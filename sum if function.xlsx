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5F97017A-4B3E-4E3B-A232-6EEDE4A8AD44}" xr6:coauthVersionLast="47" xr6:coauthVersionMax="47" xr10:uidLastSave="{00000000-0000-0000-0000-000000000000}"/>
  <bookViews>
    <workbookView xWindow="-108" yWindow="-108" windowWidth="23256" windowHeight="12456" activeTab="1" xr2:uid="{BA7598C3-C47B-4FB4-9F46-ADE9AA0999BA}"/>
  </bookViews>
  <sheets>
    <sheet name="Sheet3" sheetId="4" r:id="rId1"/>
    <sheet name="Online-eCommerce" sheetId="2" r:id="rId2"/>
    <sheet name="Sheet1" sheetId="1" r:id="rId3"/>
    <sheet name="Sheet2" sheetId="3" r:id="rId4"/>
  </sheets>
  <definedNames>
    <definedName name="ExternalData_1" localSheetId="1" hidden="1">'Online-eCommerce'!$A$1:$N$5096</definedName>
  </definedNames>
  <calcPr calcId="191029"/>
  <pivotCaches>
    <pivotCache cacheId="0" r:id="rId5"/>
    <pivotCache cacheId="1" r:id="rId6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B4" i="1"/>
  <c r="B5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E0CC7D-BEDD-48FE-A470-8BFBE059D7AB}" keepAlive="1" name="Query - Online-eCommerce" description="Connection to the 'Online-eCommerce' query in the workbook." type="5" refreshedVersion="8" background="1" saveData="1">
    <dbPr connection="Provider=Microsoft.Mashup.OleDb.1;Data Source=$Workbook$;Location=Online-eCommerce;Extended Properties=&quot;&quot;" command="SELECT * FROM [Online-eCommerce]"/>
  </connection>
</connections>
</file>

<file path=xl/sharedStrings.xml><?xml version="1.0" encoding="utf-8"?>
<sst xmlns="http://schemas.openxmlformats.org/spreadsheetml/2006/main" count="46303" uniqueCount="7563">
  <si>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</si>
  <si>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</si>
  <si>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</si>
  <si>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</si>
  <si>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</si>
  <si>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</si>
  <si>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</si>
  <si>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</si>
  <si>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</si>
  <si>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</si>
  <si>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</si>
  <si>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</si>
  <si>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</si>
  <si>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</si>
  <si>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139374</t>
  </si>
  <si>
    <t>AP</t>
  </si>
  <si>
    <t>Adhir Samal</t>
  </si>
  <si>
    <t>11/01/2020</t>
  </si>
  <si>
    <t>Delivered</t>
  </si>
  <si>
    <t>512 GB M.2</t>
  </si>
  <si>
    <t>SSD</t>
  </si>
  <si>
    <t>Samsung</t>
  </si>
  <si>
    <t>Ajay Sharma</t>
  </si>
  <si>
    <t>139375</t>
  </si>
  <si>
    <t>Dannana Jhammi</t>
  </si>
  <si>
    <t xml:space="preserve">RYZEN 3rd gen. 3500 </t>
  </si>
  <si>
    <t>CPU</t>
  </si>
  <si>
    <t>Intel</t>
  </si>
  <si>
    <t>Roshan Kumar</t>
  </si>
  <si>
    <t>139376</t>
  </si>
  <si>
    <t>AS</t>
  </si>
  <si>
    <t>Vipin Kumar</t>
  </si>
  <si>
    <t>2GB Graphic Card</t>
  </si>
  <si>
    <t>Graphic Card</t>
  </si>
  <si>
    <t>Nvidia</t>
  </si>
  <si>
    <t>Aarvi Gupta</t>
  </si>
  <si>
    <t>139377</t>
  </si>
  <si>
    <t>BR</t>
  </si>
  <si>
    <t>Ranjeet Kumar</t>
  </si>
  <si>
    <t>16 GB DDR4 RAM</t>
  </si>
  <si>
    <t>RAM</t>
  </si>
  <si>
    <t>Hynix</t>
  </si>
  <si>
    <t>Vijay Singh</t>
  </si>
  <si>
    <t>139378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</si>
  <si>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</si>
  <si>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</si>
  <si>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</si>
  <si>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</si>
  <si>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</si>
  <si>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</si>
  <si>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</si>
  <si>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139379</t>
  </si>
  <si>
    <t>Akhilesh Kumar</t>
  </si>
  <si>
    <t>Compact with 1 Fan</t>
  </si>
  <si>
    <t>Cabinet</t>
  </si>
  <si>
    <t>Asus</t>
  </si>
  <si>
    <t>Advika Joshi</t>
  </si>
  <si>
    <t>139380</t>
  </si>
  <si>
    <t>Suvankar Chakraborty</t>
  </si>
  <si>
    <t>USB Backlight Keyboard</t>
  </si>
  <si>
    <t>Keyboard</t>
  </si>
  <si>
    <t>Dell</t>
  </si>
  <si>
    <t>139381</t>
  </si>
  <si>
    <t>Suvankar Adhikary</t>
  </si>
  <si>
    <t>12/01/2020</t>
  </si>
  <si>
    <t>Ergonomic Mouse</t>
  </si>
  <si>
    <t>Mouse</t>
  </si>
  <si>
    <t>139382</t>
  </si>
  <si>
    <t>Rahul Kumar Prajapati</t>
  </si>
  <si>
    <t>13/01/2020</t>
  </si>
  <si>
    <t>15" LCD Dsipaly</t>
  </si>
  <si>
    <t>Monitor</t>
  </si>
  <si>
    <t>139383</t>
  </si>
  <si>
    <t>JK</t>
  </si>
  <si>
    <t>Sagar Jeur</t>
  </si>
  <si>
    <t>14/01/2020</t>
  </si>
  <si>
    <t>2 TB HDD</t>
  </si>
  <si>
    <t>HDD</t>
  </si>
  <si>
    <t>Seagate</t>
  </si>
  <si>
    <t>139384</t>
  </si>
  <si>
    <t>JH</t>
  </si>
  <si>
    <t>Rhushikesh Mane</t>
  </si>
  <si>
    <t>15/01/2020</t>
  </si>
  <si>
    <t>1 TB SSD</t>
  </si>
  <si>
    <t>139385</t>
  </si>
  <si>
    <t>KA</t>
  </si>
  <si>
    <t>Ashish Kumar</t>
  </si>
  <si>
    <t>16/01/2020</t>
  </si>
  <si>
    <t>Intel i5 12th gen.</t>
  </si>
  <si>
    <t>139386</t>
  </si>
  <si>
    <t>KL</t>
  </si>
  <si>
    <t>Javed Akhter</t>
  </si>
  <si>
    <t>17/01/2020</t>
  </si>
  <si>
    <t>139387</t>
  </si>
  <si>
    <t>Haridas Balraj</t>
  </si>
  <si>
    <t>18/01/2020</t>
  </si>
  <si>
    <t>Processing</t>
  </si>
  <si>
    <t>4 GB DDR4 Ram</t>
  </si>
  <si>
    <t>139388</t>
  </si>
  <si>
    <t>Kundan Kumar</t>
  </si>
  <si>
    <t>19/01/2020</t>
  </si>
  <si>
    <t>Micro ATX motherboard</t>
  </si>
  <si>
    <t>MSI</t>
  </si>
  <si>
    <t>139389</t>
  </si>
  <si>
    <t>MN</t>
  </si>
  <si>
    <t>Atif Siddiqui</t>
  </si>
  <si>
    <t>20/01/2020</t>
  </si>
  <si>
    <t>Gaming Box Cabinet</t>
  </si>
  <si>
    <t>139390</t>
  </si>
  <si>
    <t>ML</t>
  </si>
  <si>
    <t>Aditya Agarwal</t>
  </si>
  <si>
    <t>21/01/2020</t>
  </si>
  <si>
    <t>17" LCD Display</t>
  </si>
  <si>
    <t>139391</t>
  </si>
  <si>
    <t>MZ</t>
  </si>
  <si>
    <t>Firdoush Jabee</t>
  </si>
  <si>
    <t>22/01/2020</t>
  </si>
  <si>
    <t>8 GB DDR4 RAM</t>
  </si>
  <si>
    <t>139392</t>
  </si>
  <si>
    <t>NL</t>
  </si>
  <si>
    <t>Jay Prakash Kumar</t>
  </si>
  <si>
    <t>26" LCD Display</t>
  </si>
  <si>
    <t>Acer</t>
  </si>
  <si>
    <t>139393</t>
  </si>
  <si>
    <t>OR</t>
  </si>
  <si>
    <t>Ashish Pandey</t>
  </si>
  <si>
    <t>I7 - intel 12th Generation</t>
  </si>
  <si>
    <t>139394</t>
  </si>
  <si>
    <t>PB</t>
  </si>
  <si>
    <t>USB Keyboard</t>
  </si>
  <si>
    <t>139395</t>
  </si>
  <si>
    <t>RJ</t>
  </si>
  <si>
    <t>Moinuddin Saifi</t>
  </si>
  <si>
    <t>Wireless Mouse</t>
  </si>
  <si>
    <t>139396</t>
  </si>
  <si>
    <t>SK</t>
  </si>
  <si>
    <t>Ramkrishna Das Adhikary</t>
  </si>
  <si>
    <t>21" LCD Display</t>
  </si>
  <si>
    <t>139397</t>
  </si>
  <si>
    <t>TN</t>
  </si>
  <si>
    <t>Ranjeet Mandal</t>
  </si>
  <si>
    <t>23/01/2020</t>
  </si>
  <si>
    <t>Western Digital</t>
  </si>
  <si>
    <t>139398</t>
  </si>
  <si>
    <t>TR</t>
  </si>
  <si>
    <t>Ashwini Adsare</t>
  </si>
  <si>
    <t>24/01/2020</t>
  </si>
  <si>
    <t>257 GB SSD</t>
  </si>
  <si>
    <t>139399</t>
  </si>
  <si>
    <t>UK</t>
  </si>
  <si>
    <t>Rajesh Variya</t>
  </si>
  <si>
    <t>25/01/2020</t>
  </si>
  <si>
    <t>Intel i3 11th gen.</t>
  </si>
  <si>
    <t>139400</t>
  </si>
  <si>
    <t>UP</t>
  </si>
  <si>
    <t>Amit Singh</t>
  </si>
  <si>
    <t>26/01/2020</t>
  </si>
  <si>
    <t>4GB Graphic card</t>
  </si>
  <si>
    <t>139401</t>
  </si>
  <si>
    <t>WB</t>
  </si>
  <si>
    <t>Vinod Mehta</t>
  </si>
  <si>
    <t>Shipped</t>
  </si>
  <si>
    <t>9 GB DDR4 RAM</t>
  </si>
  <si>
    <t>Computer Case</t>
  </si>
  <si>
    <t>139402</t>
  </si>
  <si>
    <t>Jignesh Mhatre</t>
  </si>
  <si>
    <t>BTX motherboard</t>
  </si>
  <si>
    <t>139403</t>
  </si>
  <si>
    <t>Rahul Kashyap</t>
  </si>
  <si>
    <t>4 Fans Cabinet</t>
  </si>
  <si>
    <t>139404</t>
  </si>
  <si>
    <t>AN</t>
  </si>
  <si>
    <t>Mohammed Abdul Kaleem</t>
  </si>
  <si>
    <t>27/01/2020</t>
  </si>
  <si>
    <t>Wireless Keyboard</t>
  </si>
  <si>
    <t>139405</t>
  </si>
  <si>
    <t>CH</t>
  </si>
  <si>
    <t>Chandrakant Kasbe</t>
  </si>
  <si>
    <t>28/01/2020</t>
  </si>
  <si>
    <t>USB Mouse</t>
  </si>
  <si>
    <t>139406</t>
  </si>
  <si>
    <t>Rohan Kale</t>
  </si>
  <si>
    <t>29/01/2020</t>
  </si>
  <si>
    <t>19" LED Display</t>
  </si>
  <si>
    <t>139407</t>
  </si>
  <si>
    <t>Aniruddha Kekapure</t>
  </si>
  <si>
    <t>30/01/2020</t>
  </si>
  <si>
    <t>3 TB HDD</t>
  </si>
  <si>
    <t>139408</t>
  </si>
  <si>
    <t>Aslam Raza</t>
  </si>
  <si>
    <t>31/01/2020</t>
  </si>
  <si>
    <t>513 GB M.2</t>
  </si>
  <si>
    <t>139409</t>
  </si>
  <si>
    <t>Roshan Zameer</t>
  </si>
  <si>
    <t>01/02/2020</t>
  </si>
  <si>
    <t>RYZEN 3rd gen. 3501</t>
  </si>
  <si>
    <t>139410</t>
  </si>
  <si>
    <t>Rakesh Kumar Sharma</t>
  </si>
  <si>
    <t>139411</t>
  </si>
  <si>
    <t>Shivanand Sahani</t>
  </si>
  <si>
    <t>17 GB DDR4 RAM</t>
  </si>
  <si>
    <t>139412</t>
  </si>
  <si>
    <t>AR</t>
  </si>
  <si>
    <t>Kunal Patra</t>
  </si>
  <si>
    <t>139413</t>
  </si>
  <si>
    <t>Bijendra</t>
  </si>
  <si>
    <t>02/02/2020</t>
  </si>
  <si>
    <t>139414</t>
  </si>
  <si>
    <t>Kranti Bheke</t>
  </si>
  <si>
    <t>03/02/2020</t>
  </si>
  <si>
    <t>139415</t>
  </si>
  <si>
    <t>Jagdeep</t>
  </si>
  <si>
    <t>139416</t>
  </si>
  <si>
    <t>GA</t>
  </si>
  <si>
    <t>139417</t>
  </si>
  <si>
    <t>GJ</t>
  </si>
  <si>
    <t>04/02/2020</t>
  </si>
  <si>
    <t>139418</t>
  </si>
  <si>
    <t>05/02/2020</t>
  </si>
  <si>
    <t>2 TB SSD</t>
  </si>
  <si>
    <t>139419</t>
  </si>
  <si>
    <t>06/02/2020</t>
  </si>
  <si>
    <t>139420</t>
  </si>
  <si>
    <t>07/02/2020</t>
  </si>
  <si>
    <t>139421</t>
  </si>
  <si>
    <t>08/02/2020</t>
  </si>
  <si>
    <t>5 GB DDR4 Ram</t>
  </si>
  <si>
    <t>139422</t>
  </si>
  <si>
    <t>09/02/2020</t>
  </si>
  <si>
    <t>139423</t>
  </si>
  <si>
    <t>10/02/2020</t>
  </si>
  <si>
    <t>139424</t>
  </si>
  <si>
    <t>MP</t>
  </si>
  <si>
    <t>11/02/2020</t>
  </si>
  <si>
    <t>139425</t>
  </si>
  <si>
    <t>MH</t>
  </si>
  <si>
    <t>12/02/2020</t>
  </si>
  <si>
    <t>139426</t>
  </si>
  <si>
    <t>13/02/2020</t>
  </si>
  <si>
    <t>139427</t>
  </si>
  <si>
    <t>14/02/2020</t>
  </si>
  <si>
    <t>139428</t>
  </si>
  <si>
    <t>15/02/2020</t>
  </si>
  <si>
    <t>139429</t>
  </si>
  <si>
    <t>16/02/2020</t>
  </si>
  <si>
    <t>139430</t>
  </si>
  <si>
    <t>17/02/2020</t>
  </si>
  <si>
    <t>139431</t>
  </si>
  <si>
    <t>18/02/2020</t>
  </si>
  <si>
    <t>139432</t>
  </si>
  <si>
    <t>19/02/2020</t>
  </si>
  <si>
    <t>258 GB SSD</t>
  </si>
  <si>
    <t>139433</t>
  </si>
  <si>
    <t>139434</t>
  </si>
  <si>
    <t>139435</t>
  </si>
  <si>
    <t>10 GB DDR4 RAM</t>
  </si>
  <si>
    <t>NIC</t>
  </si>
  <si>
    <t>139436</t>
  </si>
  <si>
    <t>20/02/2020</t>
  </si>
  <si>
    <t>Printer</t>
  </si>
  <si>
    <t>139437</t>
  </si>
  <si>
    <t>21/02/2020</t>
  </si>
  <si>
    <t>5 Fans Cabinet</t>
  </si>
  <si>
    <t>139438</t>
  </si>
  <si>
    <t>22/02/2020</t>
  </si>
  <si>
    <t>139439</t>
  </si>
  <si>
    <t>23/02/2020</t>
  </si>
  <si>
    <t>139440</t>
  </si>
  <si>
    <t>24/02/2020</t>
  </si>
  <si>
    <t>139441</t>
  </si>
  <si>
    <t>25/02/2020</t>
  </si>
  <si>
    <t>4 TB HDD</t>
  </si>
  <si>
    <t>139442</t>
  </si>
  <si>
    <t>26/02/2020</t>
  </si>
  <si>
    <t>514 GB M.2</t>
  </si>
  <si>
    <t>139443</t>
  </si>
  <si>
    <t>DH</t>
  </si>
  <si>
    <t>27/02/2020</t>
  </si>
  <si>
    <t>RYZEN 3rd gen. 3502</t>
  </si>
  <si>
    <t>139444</t>
  </si>
  <si>
    <t>DD</t>
  </si>
  <si>
    <t>28/02/2020</t>
  </si>
  <si>
    <t>139445</t>
  </si>
  <si>
    <t>DL</t>
  </si>
  <si>
    <t>29/02/2020</t>
  </si>
  <si>
    <t>18 GB DDR4 RAM</t>
  </si>
  <si>
    <t>139446</t>
  </si>
  <si>
    <t>LD</t>
  </si>
  <si>
    <t>01/03/2020</t>
  </si>
  <si>
    <t>139447</t>
  </si>
  <si>
    <t>PY</t>
  </si>
  <si>
    <t>02/03/2020</t>
  </si>
  <si>
    <t>139448</t>
  </si>
  <si>
    <t>03/03/2020</t>
  </si>
  <si>
    <t>139449</t>
  </si>
  <si>
    <t>04/03/2020</t>
  </si>
  <si>
    <t>139450</t>
  </si>
  <si>
    <t>05/03/2020</t>
  </si>
  <si>
    <t>139451</t>
  </si>
  <si>
    <t>06/03/2020</t>
  </si>
  <si>
    <t>139452</t>
  </si>
  <si>
    <t>07/03/2020</t>
  </si>
  <si>
    <t>3 TB SSD</t>
  </si>
  <si>
    <t>139453</t>
  </si>
  <si>
    <t>139454</t>
  </si>
  <si>
    <t>139455</t>
  </si>
  <si>
    <t>HR</t>
  </si>
  <si>
    <t>6 GB DDR4 Ram</t>
  </si>
  <si>
    <t>139456</t>
  </si>
  <si>
    <t>139457</t>
  </si>
  <si>
    <t>139458</t>
  </si>
  <si>
    <t>139459</t>
  </si>
  <si>
    <t>08/03/2020</t>
  </si>
  <si>
    <t>139460</t>
  </si>
  <si>
    <t>09/03/2020</t>
  </si>
  <si>
    <t>139461</t>
  </si>
  <si>
    <t>10/03/2020</t>
  </si>
  <si>
    <t>139462</t>
  </si>
  <si>
    <t>11/03/2020</t>
  </si>
  <si>
    <t>139463</t>
  </si>
  <si>
    <t>12/03/2020</t>
  </si>
  <si>
    <t>139464</t>
  </si>
  <si>
    <t>13/03/2020</t>
  </si>
  <si>
    <t>139465</t>
  </si>
  <si>
    <t>14/03/2020</t>
  </si>
  <si>
    <t>139466</t>
  </si>
  <si>
    <t>15/03/2020</t>
  </si>
  <si>
    <t>259 GB SSD</t>
  </si>
  <si>
    <t>139467</t>
  </si>
  <si>
    <t>16/03/2020</t>
  </si>
  <si>
    <t>139468</t>
  </si>
  <si>
    <t>139469</t>
  </si>
  <si>
    <t>11 GB DDR4 RAM</t>
  </si>
  <si>
    <t>139470</t>
  </si>
  <si>
    <t>Motherboard</t>
  </si>
  <si>
    <t>139471</t>
  </si>
  <si>
    <t>6 Fans Cabinet</t>
  </si>
  <si>
    <t>139472</t>
  </si>
  <si>
    <t>139473</t>
  </si>
  <si>
    <t>139474</t>
  </si>
  <si>
    <t>139475</t>
  </si>
  <si>
    <t>5 TB HDD</t>
  </si>
  <si>
    <t>139476</t>
  </si>
  <si>
    <t>515 GB M.2</t>
  </si>
  <si>
    <t>139477</t>
  </si>
  <si>
    <t>17/03/2020</t>
  </si>
  <si>
    <t>RYZEN 3rd gen. 3503</t>
  </si>
  <si>
    <t>139478</t>
  </si>
  <si>
    <t>18/03/2020</t>
  </si>
  <si>
    <t>139479</t>
  </si>
  <si>
    <t>19 GB DDR4 RAM</t>
  </si>
  <si>
    <t>139480</t>
  </si>
  <si>
    <t>139481</t>
  </si>
  <si>
    <t>139482</t>
  </si>
  <si>
    <t>Vinod Singh</t>
  </si>
  <si>
    <t>139483</t>
  </si>
  <si>
    <t>Ajay Mehta</t>
  </si>
  <si>
    <t>139484</t>
  </si>
  <si>
    <t>Vikas Bhalekar</t>
  </si>
  <si>
    <t>139485</t>
  </si>
  <si>
    <t>139486</t>
  </si>
  <si>
    <t>19/03/2020</t>
  </si>
  <si>
    <t>4 TB SSD</t>
  </si>
  <si>
    <t>139487</t>
  </si>
  <si>
    <t>Sharmili Pandit</t>
  </si>
  <si>
    <t>139488</t>
  </si>
  <si>
    <t>Vijaya singh</t>
  </si>
  <si>
    <t>139489</t>
  </si>
  <si>
    <t>Dilip Rathod</t>
  </si>
  <si>
    <t>7 GB DDR4 Ram</t>
  </si>
  <si>
    <t>139490</t>
  </si>
  <si>
    <t>139491</t>
  </si>
  <si>
    <t>139492</t>
  </si>
  <si>
    <t>Jagjeet Variya</t>
  </si>
  <si>
    <t>139493</t>
  </si>
  <si>
    <t>20/03/2020</t>
  </si>
  <si>
    <t>139494</t>
  </si>
  <si>
    <t>Binod Kumar</t>
  </si>
  <si>
    <t>21/03/2020</t>
  </si>
  <si>
    <t>139495</t>
  </si>
  <si>
    <t>22/03/2020</t>
  </si>
  <si>
    <t>139496</t>
  </si>
  <si>
    <t>Vijay Mehta</t>
  </si>
  <si>
    <t>23/03/2020</t>
  </si>
  <si>
    <t>139497</t>
  </si>
  <si>
    <t>24/03/2020</t>
  </si>
  <si>
    <t>139498</t>
  </si>
  <si>
    <t>139499</t>
  </si>
  <si>
    <t>Shanti Giri</t>
  </si>
  <si>
    <t>139500</t>
  </si>
  <si>
    <t>260 GB SSD</t>
  </si>
  <si>
    <t>139501</t>
  </si>
  <si>
    <t>139502</t>
  </si>
  <si>
    <t>139503</t>
  </si>
  <si>
    <t>Prakash Chamka</t>
  </si>
  <si>
    <t>12 GB DDR4 RAM</t>
  </si>
  <si>
    <t>139504</t>
  </si>
  <si>
    <t>139505</t>
  </si>
  <si>
    <t>7 Fans Cabinet</t>
  </si>
  <si>
    <t>139506</t>
  </si>
  <si>
    <t>25/03/2020</t>
  </si>
  <si>
    <t>139507</t>
  </si>
  <si>
    <t>139508</t>
  </si>
  <si>
    <t>139509</t>
  </si>
  <si>
    <t>6 TB HDD</t>
  </si>
  <si>
    <t>139510</t>
  </si>
  <si>
    <t>516 GB M.2</t>
  </si>
  <si>
    <t>139511</t>
  </si>
  <si>
    <t>Vishal Singh</t>
  </si>
  <si>
    <t>RYZEN 3rd gen. 3504</t>
  </si>
  <si>
    <t>139512</t>
  </si>
  <si>
    <t>139513</t>
  </si>
  <si>
    <t>20 GB DDR4 RAM</t>
  </si>
  <si>
    <t>139514</t>
  </si>
  <si>
    <t>139515</t>
  </si>
  <si>
    <t>Vinod Bhave</t>
  </si>
  <si>
    <t>26/03/2020</t>
  </si>
  <si>
    <t>139516</t>
  </si>
  <si>
    <t>139517</t>
  </si>
  <si>
    <t>139518</t>
  </si>
  <si>
    <t>139519</t>
  </si>
  <si>
    <t>Rajiv Singh</t>
  </si>
  <si>
    <t>139520</t>
  </si>
  <si>
    <t>5 TB SSD</t>
  </si>
  <si>
    <t>139521</t>
  </si>
  <si>
    <t>139522</t>
  </si>
  <si>
    <t>139523</t>
  </si>
  <si>
    <t>8 GB DDR4 Ram</t>
  </si>
  <si>
    <t>139524</t>
  </si>
  <si>
    <t>139525</t>
  </si>
  <si>
    <t>139526</t>
  </si>
  <si>
    <t>139527</t>
  </si>
  <si>
    <t>139528</t>
  </si>
  <si>
    <t>139529</t>
  </si>
  <si>
    <t>139530</t>
  </si>
  <si>
    <t>27/03/2020</t>
  </si>
  <si>
    <t>139531</t>
  </si>
  <si>
    <t>139532</t>
  </si>
  <si>
    <t>139533</t>
  </si>
  <si>
    <t>139534</t>
  </si>
  <si>
    <t>261 GB SSD</t>
  </si>
  <si>
    <t>139535</t>
  </si>
  <si>
    <t>139536</t>
  </si>
  <si>
    <t>139537</t>
  </si>
  <si>
    <t>13 GB DDR4 RAM</t>
  </si>
  <si>
    <t>139538</t>
  </si>
  <si>
    <t>139539</t>
  </si>
  <si>
    <t>8 Fans Cabinet</t>
  </si>
  <si>
    <t>139540</t>
  </si>
  <si>
    <t>139541</t>
  </si>
  <si>
    <t>139542</t>
  </si>
  <si>
    <t>139543</t>
  </si>
  <si>
    <t>7 TB HDD</t>
  </si>
  <si>
    <t>139544</t>
  </si>
  <si>
    <t>517 GB M.2</t>
  </si>
  <si>
    <t>139545</t>
  </si>
  <si>
    <t>RYZEN 3rd gen. 3505</t>
  </si>
  <si>
    <t>139546</t>
  </si>
  <si>
    <t>139547</t>
  </si>
  <si>
    <t>21 GB DDR4 RAM</t>
  </si>
  <si>
    <t>139548</t>
  </si>
  <si>
    <t>139549</t>
  </si>
  <si>
    <t>139550</t>
  </si>
  <si>
    <t>139551</t>
  </si>
  <si>
    <t>139552</t>
  </si>
  <si>
    <t>139553</t>
  </si>
  <si>
    <t>139554</t>
  </si>
  <si>
    <t>6 TB SSD</t>
  </si>
  <si>
    <t>139555</t>
  </si>
  <si>
    <t>139556</t>
  </si>
  <si>
    <t>139557</t>
  </si>
  <si>
    <t>9 GB DDR4 Ram</t>
  </si>
  <si>
    <t>139558</t>
  </si>
  <si>
    <t>139559</t>
  </si>
  <si>
    <t>139560</t>
  </si>
  <si>
    <t>139561</t>
  </si>
  <si>
    <t>139562</t>
  </si>
  <si>
    <t>28/03/2020</t>
  </si>
  <si>
    <t>139563</t>
  </si>
  <si>
    <t>139564</t>
  </si>
  <si>
    <t>139565</t>
  </si>
  <si>
    <t>139566</t>
  </si>
  <si>
    <t>139567</t>
  </si>
  <si>
    <t>139568</t>
  </si>
  <si>
    <t>262 GB SSD</t>
  </si>
  <si>
    <t>139569</t>
  </si>
  <si>
    <t>139570</t>
  </si>
  <si>
    <t>139571</t>
  </si>
  <si>
    <t>14 GB DDR4 RAM</t>
  </si>
  <si>
    <t>139572</t>
  </si>
  <si>
    <t>139573</t>
  </si>
  <si>
    <t>9 Fans Cabinet</t>
  </si>
  <si>
    <t>139574</t>
  </si>
  <si>
    <t>139575</t>
  </si>
  <si>
    <t>139576</t>
  </si>
  <si>
    <t>139577</t>
  </si>
  <si>
    <t>8 TB HDD</t>
  </si>
  <si>
    <t>139578</t>
  </si>
  <si>
    <t>518 GB M.2</t>
  </si>
  <si>
    <t>139579</t>
  </si>
  <si>
    <t>RYZEN 3rd gen. 3506</t>
  </si>
  <si>
    <t>139580</t>
  </si>
  <si>
    <t>139581</t>
  </si>
  <si>
    <t>22 GB DDR4 RAM</t>
  </si>
  <si>
    <t>139582</t>
  </si>
  <si>
    <t>139583</t>
  </si>
  <si>
    <t>139584</t>
  </si>
  <si>
    <t>139585</t>
  </si>
  <si>
    <t>139586</t>
  </si>
  <si>
    <t>139587</t>
  </si>
  <si>
    <t>139588</t>
  </si>
  <si>
    <t>7 TB SSD</t>
  </si>
  <si>
    <t>139589</t>
  </si>
  <si>
    <t>139590</t>
  </si>
  <si>
    <t>139591</t>
  </si>
  <si>
    <t>10 GB DDR4 Ram</t>
  </si>
  <si>
    <t>139592</t>
  </si>
  <si>
    <t>139593</t>
  </si>
  <si>
    <t>139594</t>
  </si>
  <si>
    <t>139595</t>
  </si>
  <si>
    <t>139596</t>
  </si>
  <si>
    <t>139597</t>
  </si>
  <si>
    <t>139598</t>
  </si>
  <si>
    <t>139599</t>
  </si>
  <si>
    <t>139600</t>
  </si>
  <si>
    <t>29/03/2020</t>
  </si>
  <si>
    <t>139601</t>
  </si>
  <si>
    <t>139602</t>
  </si>
  <si>
    <t>HP</t>
  </si>
  <si>
    <t>263 GB SSD</t>
  </si>
  <si>
    <t>139603</t>
  </si>
  <si>
    <t>139604</t>
  </si>
  <si>
    <t>139605</t>
  </si>
  <si>
    <t>15 GB DDR4 RAM</t>
  </si>
  <si>
    <t>139606</t>
  </si>
  <si>
    <t>139607</t>
  </si>
  <si>
    <t>10 Fans Cabinet</t>
  </si>
  <si>
    <t>139608</t>
  </si>
  <si>
    <t>139609</t>
  </si>
  <si>
    <t>139610</t>
  </si>
  <si>
    <t>139611</t>
  </si>
  <si>
    <t>9 TB HDD</t>
  </si>
  <si>
    <t>139612</t>
  </si>
  <si>
    <t>519 GB M.2</t>
  </si>
  <si>
    <t>139613</t>
  </si>
  <si>
    <t>RYZEN 3rd gen. 3507</t>
  </si>
  <si>
    <t>139614</t>
  </si>
  <si>
    <t>139615</t>
  </si>
  <si>
    <t>23 GB DDR4 RAM</t>
  </si>
  <si>
    <t>139616</t>
  </si>
  <si>
    <t>139617</t>
  </si>
  <si>
    <t>139618</t>
  </si>
  <si>
    <t>139619</t>
  </si>
  <si>
    <t>139620</t>
  </si>
  <si>
    <t>139621</t>
  </si>
  <si>
    <t>139622</t>
  </si>
  <si>
    <t>8 TB SSD</t>
  </si>
  <si>
    <t>139623</t>
  </si>
  <si>
    <t>139624</t>
  </si>
  <si>
    <t>139625</t>
  </si>
  <si>
    <t>11 GB DDR4 Ram</t>
  </si>
  <si>
    <t>139626</t>
  </si>
  <si>
    <t>139627</t>
  </si>
  <si>
    <t>139628</t>
  </si>
  <si>
    <t>139629</t>
  </si>
  <si>
    <t>139630</t>
  </si>
  <si>
    <t>139631</t>
  </si>
  <si>
    <t>139632</t>
  </si>
  <si>
    <t>139633</t>
  </si>
  <si>
    <t>139634</t>
  </si>
  <si>
    <t>139635</t>
  </si>
  <si>
    <t>139636</t>
  </si>
  <si>
    <t>264 GB SSD</t>
  </si>
  <si>
    <t>139637</t>
  </si>
  <si>
    <t>139638</t>
  </si>
  <si>
    <t>139639</t>
  </si>
  <si>
    <t>139640</t>
  </si>
  <si>
    <t>139641</t>
  </si>
  <si>
    <t>11 Fans Cabinet</t>
  </si>
  <si>
    <t>139642</t>
  </si>
  <si>
    <t>139643</t>
  </si>
  <si>
    <t>139644</t>
  </si>
  <si>
    <t>139645</t>
  </si>
  <si>
    <t>10 TB HDD</t>
  </si>
  <si>
    <t>139646</t>
  </si>
  <si>
    <t>520 GB M.2</t>
  </si>
  <si>
    <t>139647</t>
  </si>
  <si>
    <t>RYZEN 3rd gen. 3508</t>
  </si>
  <si>
    <t>139648</t>
  </si>
  <si>
    <t>139649</t>
  </si>
  <si>
    <t>24 GB DDR4 RAM</t>
  </si>
  <si>
    <t>139650</t>
  </si>
  <si>
    <t>139651</t>
  </si>
  <si>
    <t>139652</t>
  </si>
  <si>
    <t>139653</t>
  </si>
  <si>
    <t>139654</t>
  </si>
  <si>
    <t>139655</t>
  </si>
  <si>
    <t>139656</t>
  </si>
  <si>
    <t>9 TB SSD</t>
  </si>
  <si>
    <t>139657</t>
  </si>
  <si>
    <t>139658</t>
  </si>
  <si>
    <t>139659</t>
  </si>
  <si>
    <t>12 GB DDR4 Ram</t>
  </si>
  <si>
    <t>139660</t>
  </si>
  <si>
    <t>139661</t>
  </si>
  <si>
    <t>139662</t>
  </si>
  <si>
    <t>139663</t>
  </si>
  <si>
    <t>139664</t>
  </si>
  <si>
    <t>139665</t>
  </si>
  <si>
    <t>139666</t>
  </si>
  <si>
    <t>139667</t>
  </si>
  <si>
    <t>139668</t>
  </si>
  <si>
    <t>139669</t>
  </si>
  <si>
    <t>139670</t>
  </si>
  <si>
    <t>265 GB SSD</t>
  </si>
  <si>
    <t>139671</t>
  </si>
  <si>
    <t>139672</t>
  </si>
  <si>
    <t>139673</t>
  </si>
  <si>
    <t>139674</t>
  </si>
  <si>
    <t>139675</t>
  </si>
  <si>
    <t>12 Fans Cabinet</t>
  </si>
  <si>
    <t>139676</t>
  </si>
  <si>
    <t>139677</t>
  </si>
  <si>
    <t>139678</t>
  </si>
  <si>
    <t>139679</t>
  </si>
  <si>
    <t>11 TB HDD</t>
  </si>
  <si>
    <t>139680</t>
  </si>
  <si>
    <t>521 GB M.2</t>
  </si>
  <si>
    <t>139681</t>
  </si>
  <si>
    <t>RYZEN 3rd gen. 3509</t>
  </si>
  <si>
    <t>139682</t>
  </si>
  <si>
    <t>139683</t>
  </si>
  <si>
    <t>25 GB DDR4 RAM</t>
  </si>
  <si>
    <t>139684</t>
  </si>
  <si>
    <t>139685</t>
  </si>
  <si>
    <t>139686</t>
  </si>
  <si>
    <t>139687</t>
  </si>
  <si>
    <t>139688</t>
  </si>
  <si>
    <t>139689</t>
  </si>
  <si>
    <t>139690</t>
  </si>
  <si>
    <t>10 TB SSD</t>
  </si>
  <si>
    <t>139691</t>
  </si>
  <si>
    <t>139692</t>
  </si>
  <si>
    <t>139693</t>
  </si>
  <si>
    <t>13 GB DDR4 Ram</t>
  </si>
  <si>
    <t>139694</t>
  </si>
  <si>
    <t>139695</t>
  </si>
  <si>
    <t>139696</t>
  </si>
  <si>
    <t>139697</t>
  </si>
  <si>
    <t>139698</t>
  </si>
  <si>
    <t>139699</t>
  </si>
  <si>
    <t>139700</t>
  </si>
  <si>
    <t>139701</t>
  </si>
  <si>
    <t>139702</t>
  </si>
  <si>
    <t>139703</t>
  </si>
  <si>
    <t>139704</t>
  </si>
  <si>
    <t>266 GB SSD</t>
  </si>
  <si>
    <t>139705</t>
  </si>
  <si>
    <t>139706</t>
  </si>
  <si>
    <t>139707</t>
  </si>
  <si>
    <t>139708</t>
  </si>
  <si>
    <t>139709</t>
  </si>
  <si>
    <t>13 Fans Cabinet</t>
  </si>
  <si>
    <t>139710</t>
  </si>
  <si>
    <t>139711</t>
  </si>
  <si>
    <t>139712</t>
  </si>
  <si>
    <t>139713</t>
  </si>
  <si>
    <t>30/03/2020</t>
  </si>
  <si>
    <t>12 TB HDD</t>
  </si>
  <si>
    <t>139714</t>
  </si>
  <si>
    <t>522 GB M.2</t>
  </si>
  <si>
    <t>139715</t>
  </si>
  <si>
    <t>RYZEN 3rd gen. 3510</t>
  </si>
  <si>
    <t>139716</t>
  </si>
  <si>
    <t>139717</t>
  </si>
  <si>
    <t>26 GB DDR4 RAM</t>
  </si>
  <si>
    <t>139718</t>
  </si>
  <si>
    <t>139719</t>
  </si>
  <si>
    <t>139720</t>
  </si>
  <si>
    <t>139721</t>
  </si>
  <si>
    <t>139722</t>
  </si>
  <si>
    <t>139723</t>
  </si>
  <si>
    <t>139724</t>
  </si>
  <si>
    <t>11 TB SSD</t>
  </si>
  <si>
    <t>139725</t>
  </si>
  <si>
    <t>139726</t>
  </si>
  <si>
    <t>139727</t>
  </si>
  <si>
    <t>14 GB DDR4 Ram</t>
  </si>
  <si>
    <t>139728</t>
  </si>
  <si>
    <t>139729</t>
  </si>
  <si>
    <t>139730</t>
  </si>
  <si>
    <t>139731</t>
  </si>
  <si>
    <t>139732</t>
  </si>
  <si>
    <t>139733</t>
  </si>
  <si>
    <t>139734</t>
  </si>
  <si>
    <t>139735</t>
  </si>
  <si>
    <t>139736</t>
  </si>
  <si>
    <t>139737</t>
  </si>
  <si>
    <t>139738</t>
  </si>
  <si>
    <t>267 GB SSD</t>
  </si>
  <si>
    <t>139739</t>
  </si>
  <si>
    <t>139740</t>
  </si>
  <si>
    <t>139741</t>
  </si>
  <si>
    <t>139742</t>
  </si>
  <si>
    <t>139743</t>
  </si>
  <si>
    <t>14 Fans Cabinet</t>
  </si>
  <si>
    <t>139744</t>
  </si>
  <si>
    <t>139745</t>
  </si>
  <si>
    <t>139746</t>
  </si>
  <si>
    <t>139747</t>
  </si>
  <si>
    <t>13 TB HDD</t>
  </si>
  <si>
    <t>139748</t>
  </si>
  <si>
    <t>523 GB M.2</t>
  </si>
  <si>
    <t>139749</t>
  </si>
  <si>
    <t>RYZEN 3rd gen. 3511</t>
  </si>
  <si>
    <t>139750</t>
  </si>
  <si>
    <t>139751</t>
  </si>
  <si>
    <t>27 GB DDR4 RAM</t>
  </si>
  <si>
    <t>139752</t>
  </si>
  <si>
    <t>139753</t>
  </si>
  <si>
    <t>139754</t>
  </si>
  <si>
    <t>139755</t>
  </si>
  <si>
    <t>139756</t>
  </si>
  <si>
    <t>139757</t>
  </si>
  <si>
    <t>139758</t>
  </si>
  <si>
    <t>12 TB SSD</t>
  </si>
  <si>
    <t>139759</t>
  </si>
  <si>
    <t>139760</t>
  </si>
  <si>
    <t>139761</t>
  </si>
  <si>
    <t>15 GB DDR4 Ram</t>
  </si>
  <si>
    <t>139762</t>
  </si>
  <si>
    <t>139763</t>
  </si>
  <si>
    <t>139764</t>
  </si>
  <si>
    <t>139765</t>
  </si>
  <si>
    <t>139766</t>
  </si>
  <si>
    <t>139767</t>
  </si>
  <si>
    <t>139768</t>
  </si>
  <si>
    <t>139769</t>
  </si>
  <si>
    <t>139770</t>
  </si>
  <si>
    <t>139771</t>
  </si>
  <si>
    <t>139772</t>
  </si>
  <si>
    <t>268 GB SSD</t>
  </si>
  <si>
    <t>139773</t>
  </si>
  <si>
    <t>139774</t>
  </si>
  <si>
    <t>139775</t>
  </si>
  <si>
    <t>139776</t>
  </si>
  <si>
    <t>139777</t>
  </si>
  <si>
    <t>15 Fans Cabinet</t>
  </si>
  <si>
    <t>139778</t>
  </si>
  <si>
    <t>139779</t>
  </si>
  <si>
    <t>139780</t>
  </si>
  <si>
    <t>139781</t>
  </si>
  <si>
    <t>14 TB HDD</t>
  </si>
  <si>
    <t>139782</t>
  </si>
  <si>
    <t>524 GB M.2</t>
  </si>
  <si>
    <t>139783</t>
  </si>
  <si>
    <t>RYZEN 3rd gen. 3512</t>
  </si>
  <si>
    <t>139784</t>
  </si>
  <si>
    <t>139785</t>
  </si>
  <si>
    <t>28 GB DDR4 RAM</t>
  </si>
  <si>
    <t>139786</t>
  </si>
  <si>
    <t>139787</t>
  </si>
  <si>
    <t>139788</t>
  </si>
  <si>
    <t>139789</t>
  </si>
  <si>
    <t>139790</t>
  </si>
  <si>
    <t>139791</t>
  </si>
  <si>
    <t>139792</t>
  </si>
  <si>
    <t>13 TB SSD</t>
  </si>
  <si>
    <t>139793</t>
  </si>
  <si>
    <t>139794</t>
  </si>
  <si>
    <t>139795</t>
  </si>
  <si>
    <t>16 GB DDR4 Ram</t>
  </si>
  <si>
    <t>139796</t>
  </si>
  <si>
    <t>139797</t>
  </si>
  <si>
    <t>139798</t>
  </si>
  <si>
    <t>139799</t>
  </si>
  <si>
    <t>139800</t>
  </si>
  <si>
    <t>139801</t>
  </si>
  <si>
    <t>139802</t>
  </si>
  <si>
    <t>139803</t>
  </si>
  <si>
    <t>139804</t>
  </si>
  <si>
    <t>139805</t>
  </si>
  <si>
    <t>139806</t>
  </si>
  <si>
    <t>269 GB SSD</t>
  </si>
  <si>
    <t>139807</t>
  </si>
  <si>
    <t>139808</t>
  </si>
  <si>
    <t>139809</t>
  </si>
  <si>
    <t>139810</t>
  </si>
  <si>
    <t>139811</t>
  </si>
  <si>
    <t>16 Fans Cabinet</t>
  </si>
  <si>
    <t>139812</t>
  </si>
  <si>
    <t>139813</t>
  </si>
  <si>
    <t>139814</t>
  </si>
  <si>
    <t>139815</t>
  </si>
  <si>
    <t>15 TB HDD</t>
  </si>
  <si>
    <t>139816</t>
  </si>
  <si>
    <t>525 GB M.2</t>
  </si>
  <si>
    <t>139817</t>
  </si>
  <si>
    <t>RYZEN 3rd gen. 3513</t>
  </si>
  <si>
    <t>139818</t>
  </si>
  <si>
    <t>139819</t>
  </si>
  <si>
    <t>29 GB DDR4 RAM</t>
  </si>
  <si>
    <t>139820</t>
  </si>
  <si>
    <t>139821</t>
  </si>
  <si>
    <t>139822</t>
  </si>
  <si>
    <t>139823</t>
  </si>
  <si>
    <t>139824</t>
  </si>
  <si>
    <t>139825</t>
  </si>
  <si>
    <t>139826</t>
  </si>
  <si>
    <t>14 TB SSD</t>
  </si>
  <si>
    <t>139827</t>
  </si>
  <si>
    <t>139828</t>
  </si>
  <si>
    <t>139829</t>
  </si>
  <si>
    <t>17 GB DDR4 Ram</t>
  </si>
  <si>
    <t>139830</t>
  </si>
  <si>
    <t>139831</t>
  </si>
  <si>
    <t>139832</t>
  </si>
  <si>
    <t>139833</t>
  </si>
  <si>
    <t>139834</t>
  </si>
  <si>
    <t>139835</t>
  </si>
  <si>
    <t>139836</t>
  </si>
  <si>
    <t>139837</t>
  </si>
  <si>
    <t>139838</t>
  </si>
  <si>
    <t>139839</t>
  </si>
  <si>
    <t>139840</t>
  </si>
  <si>
    <t>270 GB SSD</t>
  </si>
  <si>
    <t>139841</t>
  </si>
  <si>
    <t>139842</t>
  </si>
  <si>
    <t>139843</t>
  </si>
  <si>
    <t>139844</t>
  </si>
  <si>
    <t>139845</t>
  </si>
  <si>
    <t>17 Fans Cabinet</t>
  </si>
  <si>
    <t>139846</t>
  </si>
  <si>
    <t>139847</t>
  </si>
  <si>
    <t>139848</t>
  </si>
  <si>
    <t>139849</t>
  </si>
  <si>
    <t>16 TB HDD</t>
  </si>
  <si>
    <t>139850</t>
  </si>
  <si>
    <t>526 GB M.2</t>
  </si>
  <si>
    <t>139851</t>
  </si>
  <si>
    <t>RYZEN 3rd gen. 3514</t>
  </si>
  <si>
    <t>139852</t>
  </si>
  <si>
    <t>31/03/2020</t>
  </si>
  <si>
    <t>139853</t>
  </si>
  <si>
    <t>30 GB DDR4 RAM</t>
  </si>
  <si>
    <t>139854</t>
  </si>
  <si>
    <t>139855</t>
  </si>
  <si>
    <t>139856</t>
  </si>
  <si>
    <t>139857</t>
  </si>
  <si>
    <t>139858</t>
  </si>
  <si>
    <t>139859</t>
  </si>
  <si>
    <t>139860</t>
  </si>
  <si>
    <t>15 TB SSD</t>
  </si>
  <si>
    <t>139861</t>
  </si>
  <si>
    <t>139862</t>
  </si>
  <si>
    <t>139863</t>
  </si>
  <si>
    <t>18 GB DDR4 Ram</t>
  </si>
  <si>
    <t>139864</t>
  </si>
  <si>
    <t>139865</t>
  </si>
  <si>
    <t>139866</t>
  </si>
  <si>
    <t>139867</t>
  </si>
  <si>
    <t>139868</t>
  </si>
  <si>
    <t>139869</t>
  </si>
  <si>
    <t>139870</t>
  </si>
  <si>
    <t>139871</t>
  </si>
  <si>
    <t>139872</t>
  </si>
  <si>
    <t>139873</t>
  </si>
  <si>
    <t>139874</t>
  </si>
  <si>
    <t>271 GB SSD</t>
  </si>
  <si>
    <t>139875</t>
  </si>
  <si>
    <t>139876</t>
  </si>
  <si>
    <t>139877</t>
  </si>
  <si>
    <t>139878</t>
  </si>
  <si>
    <t>139879</t>
  </si>
  <si>
    <t>18 Fans Cabinet</t>
  </si>
  <si>
    <t>139880</t>
  </si>
  <si>
    <t>139881</t>
  </si>
  <si>
    <t>139882</t>
  </si>
  <si>
    <t>139883</t>
  </si>
  <si>
    <t>17 TB HDD</t>
  </si>
  <si>
    <t>139884</t>
  </si>
  <si>
    <t>527 GB M.2</t>
  </si>
  <si>
    <t>139885</t>
  </si>
  <si>
    <t>RYZEN 3rd gen. 3515</t>
  </si>
  <si>
    <t>139886</t>
  </si>
  <si>
    <t>139887</t>
  </si>
  <si>
    <t>31 GB DDR4 RAM</t>
  </si>
  <si>
    <t>139888</t>
  </si>
  <si>
    <t>139889</t>
  </si>
  <si>
    <t>139890</t>
  </si>
  <si>
    <t>139891</t>
  </si>
  <si>
    <t>139892</t>
  </si>
  <si>
    <t>139893</t>
  </si>
  <si>
    <t>139894</t>
  </si>
  <si>
    <t>16 TB SSD</t>
  </si>
  <si>
    <t>139895</t>
  </si>
  <si>
    <t>139896</t>
  </si>
  <si>
    <t>139897</t>
  </si>
  <si>
    <t>19 GB DDR4 Ram</t>
  </si>
  <si>
    <t>139898</t>
  </si>
  <si>
    <t>139899</t>
  </si>
  <si>
    <t>139900</t>
  </si>
  <si>
    <t>139901</t>
  </si>
  <si>
    <t>139902</t>
  </si>
  <si>
    <t>139903</t>
  </si>
  <si>
    <t>139904</t>
  </si>
  <si>
    <t>139905</t>
  </si>
  <si>
    <t>139906</t>
  </si>
  <si>
    <t>139907</t>
  </si>
  <si>
    <t>139908</t>
  </si>
  <si>
    <t>272 GB SSD</t>
  </si>
  <si>
    <t>139909</t>
  </si>
  <si>
    <t>139910</t>
  </si>
  <si>
    <t>139911</t>
  </si>
  <si>
    <t>139912</t>
  </si>
  <si>
    <t>139913</t>
  </si>
  <si>
    <t>19 Fans Cabinet</t>
  </si>
  <si>
    <t>139914</t>
  </si>
  <si>
    <t>139915</t>
  </si>
  <si>
    <t>139916</t>
  </si>
  <si>
    <t>01/04/2020</t>
  </si>
  <si>
    <t>139917</t>
  </si>
  <si>
    <t>02/04/2020</t>
  </si>
  <si>
    <t>18 TB HDD</t>
  </si>
  <si>
    <t>139918</t>
  </si>
  <si>
    <t>03/04/2020</t>
  </si>
  <si>
    <t>528 GB M.2</t>
  </si>
  <si>
    <t>139919</t>
  </si>
  <si>
    <t>RYZEN 3rd gen. 3516</t>
  </si>
  <si>
    <t>139920</t>
  </si>
  <si>
    <t>139921</t>
  </si>
  <si>
    <t>32 GB DDR4 RAM</t>
  </si>
  <si>
    <t>139922</t>
  </si>
  <si>
    <t>139923</t>
  </si>
  <si>
    <t>139924</t>
  </si>
  <si>
    <t>139925</t>
  </si>
  <si>
    <t>139926</t>
  </si>
  <si>
    <t>139927</t>
  </si>
  <si>
    <t>139928</t>
  </si>
  <si>
    <t>17 TB SSD</t>
  </si>
  <si>
    <t>139929</t>
  </si>
  <si>
    <t>139930</t>
  </si>
  <si>
    <t>139931</t>
  </si>
  <si>
    <t>20 GB DDR4 Ram</t>
  </si>
  <si>
    <t>139932</t>
  </si>
  <si>
    <t>139933</t>
  </si>
  <si>
    <t>139934</t>
  </si>
  <si>
    <t>139935</t>
  </si>
  <si>
    <t>139936</t>
  </si>
  <si>
    <t>139937</t>
  </si>
  <si>
    <t>139938</t>
  </si>
  <si>
    <t>139939</t>
  </si>
  <si>
    <t>139940</t>
  </si>
  <si>
    <t>139941</t>
  </si>
  <si>
    <t>139942</t>
  </si>
  <si>
    <t>273 GB SSD</t>
  </si>
  <si>
    <t>139943</t>
  </si>
  <si>
    <t>139944</t>
  </si>
  <si>
    <t>139945</t>
  </si>
  <si>
    <t>139946</t>
  </si>
  <si>
    <t>139947</t>
  </si>
  <si>
    <t>20 Fans Cabinet</t>
  </si>
  <si>
    <t>139948</t>
  </si>
  <si>
    <t>139949</t>
  </si>
  <si>
    <t>139950</t>
  </si>
  <si>
    <t>139951</t>
  </si>
  <si>
    <t>19 TB HDD</t>
  </si>
  <si>
    <t>139952</t>
  </si>
  <si>
    <t>529 GB M.2</t>
  </si>
  <si>
    <t>139953</t>
  </si>
  <si>
    <t>RYZEN 3rd gen. 3517</t>
  </si>
  <si>
    <t>139954</t>
  </si>
  <si>
    <t>139955</t>
  </si>
  <si>
    <t>33 GB DDR4 RAM</t>
  </si>
  <si>
    <t>139956</t>
  </si>
  <si>
    <t>139957</t>
  </si>
  <si>
    <t>139958</t>
  </si>
  <si>
    <t>139959</t>
  </si>
  <si>
    <t>139960</t>
  </si>
  <si>
    <t>139961</t>
  </si>
  <si>
    <t>139962</t>
  </si>
  <si>
    <t>18 TB SSD</t>
  </si>
  <si>
    <t>139963</t>
  </si>
  <si>
    <t>139964</t>
  </si>
  <si>
    <t>139965</t>
  </si>
  <si>
    <t>21 GB DDR4 Ram</t>
  </si>
  <si>
    <t>139966</t>
  </si>
  <si>
    <t>139967</t>
  </si>
  <si>
    <t>139968</t>
  </si>
  <si>
    <t>139969</t>
  </si>
  <si>
    <t>139970</t>
  </si>
  <si>
    <t>139971</t>
  </si>
  <si>
    <t>139972</t>
  </si>
  <si>
    <t>139973</t>
  </si>
  <si>
    <t>139974</t>
  </si>
  <si>
    <t>139975</t>
  </si>
  <si>
    <t>139976</t>
  </si>
  <si>
    <t>274 GB SSD</t>
  </si>
  <si>
    <t>139977</t>
  </si>
  <si>
    <t>139978</t>
  </si>
  <si>
    <t>139979</t>
  </si>
  <si>
    <t>139980</t>
  </si>
  <si>
    <t>139981</t>
  </si>
  <si>
    <t>21 Fans Cabinet</t>
  </si>
  <si>
    <t>139982</t>
  </si>
  <si>
    <t>139983</t>
  </si>
  <si>
    <t>139984</t>
  </si>
  <si>
    <t>139985</t>
  </si>
  <si>
    <t>20 TB HDD</t>
  </si>
  <si>
    <t>139986</t>
  </si>
  <si>
    <t>530 GB M.2</t>
  </si>
  <si>
    <t>139987</t>
  </si>
  <si>
    <t>RYZEN 3rd gen. 3518</t>
  </si>
  <si>
    <t>139988</t>
  </si>
  <si>
    <t>139989</t>
  </si>
  <si>
    <t>34 GB DDR4 RAM</t>
  </si>
  <si>
    <t>139990</t>
  </si>
  <si>
    <t>139991</t>
  </si>
  <si>
    <t>139992</t>
  </si>
  <si>
    <t>139993</t>
  </si>
  <si>
    <t>139994</t>
  </si>
  <si>
    <t>139995</t>
  </si>
  <si>
    <t>139996</t>
  </si>
  <si>
    <t>19 TB SSD</t>
  </si>
  <si>
    <t>139997</t>
  </si>
  <si>
    <t>139998</t>
  </si>
  <si>
    <t>139999</t>
  </si>
  <si>
    <t>22 GB DDR4 Ram</t>
  </si>
  <si>
    <t>140000</t>
  </si>
  <si>
    <t>140001</t>
  </si>
  <si>
    <t>140002</t>
  </si>
  <si>
    <t>140003</t>
  </si>
  <si>
    <t>140004</t>
  </si>
  <si>
    <t>140005</t>
  </si>
  <si>
    <t>140006</t>
  </si>
  <si>
    <t>140007</t>
  </si>
  <si>
    <t>140008</t>
  </si>
  <si>
    <t>140009</t>
  </si>
  <si>
    <t>140010</t>
  </si>
  <si>
    <t>275 GB SSD</t>
  </si>
  <si>
    <t>140011</t>
  </si>
  <si>
    <t>140012</t>
  </si>
  <si>
    <t>140013</t>
  </si>
  <si>
    <t>140014</t>
  </si>
  <si>
    <t>140015</t>
  </si>
  <si>
    <t>22 Fans Cabinet</t>
  </si>
  <si>
    <t>140016</t>
  </si>
  <si>
    <t>140017</t>
  </si>
  <si>
    <t>140018</t>
  </si>
  <si>
    <t>140019</t>
  </si>
  <si>
    <t>21 TB HDD</t>
  </si>
  <si>
    <t>140020</t>
  </si>
  <si>
    <t>531 GB M.2</t>
  </si>
  <si>
    <t>140021</t>
  </si>
  <si>
    <t>RYZEN 3rd gen. 3519</t>
  </si>
  <si>
    <t>140022</t>
  </si>
  <si>
    <t>140023</t>
  </si>
  <si>
    <t>35 GB DDR4 RAM</t>
  </si>
  <si>
    <t>140024</t>
  </si>
  <si>
    <t>140025</t>
  </si>
  <si>
    <t>140026</t>
  </si>
  <si>
    <t>140027</t>
  </si>
  <si>
    <t>140028</t>
  </si>
  <si>
    <t>140029</t>
  </si>
  <si>
    <t>140030</t>
  </si>
  <si>
    <t>20 TB SSD</t>
  </si>
  <si>
    <t>140031</t>
  </si>
  <si>
    <t>140032</t>
  </si>
  <si>
    <t>140033</t>
  </si>
  <si>
    <t>23 GB DDR4 Ram</t>
  </si>
  <si>
    <t>140034</t>
  </si>
  <si>
    <t>140035</t>
  </si>
  <si>
    <t>140036</t>
  </si>
  <si>
    <t>140037</t>
  </si>
  <si>
    <t>140038</t>
  </si>
  <si>
    <t>140039</t>
  </si>
  <si>
    <t>140040</t>
  </si>
  <si>
    <t>140041</t>
  </si>
  <si>
    <t>140042</t>
  </si>
  <si>
    <t>140043</t>
  </si>
  <si>
    <t>140044</t>
  </si>
  <si>
    <t>276 GB SSD</t>
  </si>
  <si>
    <t>140045</t>
  </si>
  <si>
    <t>140046</t>
  </si>
  <si>
    <t>140047</t>
  </si>
  <si>
    <t>140048</t>
  </si>
  <si>
    <t>140049</t>
  </si>
  <si>
    <t>23 Fans Cabinet</t>
  </si>
  <si>
    <t>140050</t>
  </si>
  <si>
    <t>140051</t>
  </si>
  <si>
    <t>140052</t>
  </si>
  <si>
    <t>140053</t>
  </si>
  <si>
    <t>22 TB HDD</t>
  </si>
  <si>
    <t>140054</t>
  </si>
  <si>
    <t>532 GB M.2</t>
  </si>
  <si>
    <t>140055</t>
  </si>
  <si>
    <t>RYZEN 3rd gen. 3520</t>
  </si>
  <si>
    <t>140056</t>
  </si>
  <si>
    <t>140057</t>
  </si>
  <si>
    <t>36 GB DDR4 RAM</t>
  </si>
  <si>
    <t>140058</t>
  </si>
  <si>
    <t>140059</t>
  </si>
  <si>
    <t>140060</t>
  </si>
  <si>
    <t>140061</t>
  </si>
  <si>
    <t>140062</t>
  </si>
  <si>
    <t>140063</t>
  </si>
  <si>
    <t>140064</t>
  </si>
  <si>
    <t>21 TB SSD</t>
  </si>
  <si>
    <t>140065</t>
  </si>
  <si>
    <t>140066</t>
  </si>
  <si>
    <t>140067</t>
  </si>
  <si>
    <t>24 GB DDR4 Ram</t>
  </si>
  <si>
    <t>140068</t>
  </si>
  <si>
    <t>140069</t>
  </si>
  <si>
    <t>140070</t>
  </si>
  <si>
    <t>140071</t>
  </si>
  <si>
    <t>140072</t>
  </si>
  <si>
    <t>140073</t>
  </si>
  <si>
    <t>140074</t>
  </si>
  <si>
    <t>140075</t>
  </si>
  <si>
    <t>140076</t>
  </si>
  <si>
    <t>140077</t>
  </si>
  <si>
    <t>140078</t>
  </si>
  <si>
    <t>277 GB SSD</t>
  </si>
  <si>
    <t>140079</t>
  </si>
  <si>
    <t>140080</t>
  </si>
  <si>
    <t>140081</t>
  </si>
  <si>
    <t>140082</t>
  </si>
  <si>
    <t>140083</t>
  </si>
  <si>
    <t>24 Fans Cabinet</t>
  </si>
  <si>
    <t>140084</t>
  </si>
  <si>
    <t>140085</t>
  </si>
  <si>
    <t>140086</t>
  </si>
  <si>
    <t>140087</t>
  </si>
  <si>
    <t>23 TB HDD</t>
  </si>
  <si>
    <t>140088</t>
  </si>
  <si>
    <t>533 GB M.2</t>
  </si>
  <si>
    <t>140089</t>
  </si>
  <si>
    <t>RYZEN 3rd gen. 3521</t>
  </si>
  <si>
    <t>140090</t>
  </si>
  <si>
    <t>140091</t>
  </si>
  <si>
    <t>37 GB DDR4 RAM</t>
  </si>
  <si>
    <t>140092</t>
  </si>
  <si>
    <t>140093</t>
  </si>
  <si>
    <t>140094</t>
  </si>
  <si>
    <t>140095</t>
  </si>
  <si>
    <t>140096</t>
  </si>
  <si>
    <t>140097</t>
  </si>
  <si>
    <t>140098</t>
  </si>
  <si>
    <t>22 TB SSD</t>
  </si>
  <si>
    <t>140099</t>
  </si>
  <si>
    <t>04/04/2020</t>
  </si>
  <si>
    <t>140100</t>
  </si>
  <si>
    <t>05/04/2020</t>
  </si>
  <si>
    <t>140101</t>
  </si>
  <si>
    <t>06/04/2020</t>
  </si>
  <si>
    <t>25 GB DDR4 Ram</t>
  </si>
  <si>
    <t>140102</t>
  </si>
  <si>
    <t>07/04/2020</t>
  </si>
  <si>
    <t>140103</t>
  </si>
  <si>
    <t>08/04/2020</t>
  </si>
  <si>
    <t>140104</t>
  </si>
  <si>
    <t>09/04/2020</t>
  </si>
  <si>
    <t>140105</t>
  </si>
  <si>
    <t>10/04/2020</t>
  </si>
  <si>
    <t>140106</t>
  </si>
  <si>
    <t>140107</t>
  </si>
  <si>
    <t>140108</t>
  </si>
  <si>
    <t>140109</t>
  </si>
  <si>
    <t>140110</t>
  </si>
  <si>
    <t>140111</t>
  </si>
  <si>
    <t>140112</t>
  </si>
  <si>
    <t>278 GB SSD</t>
  </si>
  <si>
    <t>140113</t>
  </si>
  <si>
    <t>140114</t>
  </si>
  <si>
    <t>140115</t>
  </si>
  <si>
    <t>140116</t>
  </si>
  <si>
    <t>140117</t>
  </si>
  <si>
    <t>25 Fans Cabinet</t>
  </si>
  <si>
    <t>140118</t>
  </si>
  <si>
    <t>140119</t>
  </si>
  <si>
    <t>140120</t>
  </si>
  <si>
    <t>140121</t>
  </si>
  <si>
    <t>24 TB HDD</t>
  </si>
  <si>
    <t>140122</t>
  </si>
  <si>
    <t>534 GB M.2</t>
  </si>
  <si>
    <t>140123</t>
  </si>
  <si>
    <t>RYZEN 3rd gen. 3522</t>
  </si>
  <si>
    <t>140124</t>
  </si>
  <si>
    <t>140125</t>
  </si>
  <si>
    <t>38 GB DDR4 RAM</t>
  </si>
  <si>
    <t>140126</t>
  </si>
  <si>
    <t>140127</t>
  </si>
  <si>
    <t>140128</t>
  </si>
  <si>
    <t>140129</t>
  </si>
  <si>
    <t>140130</t>
  </si>
  <si>
    <t>140131</t>
  </si>
  <si>
    <t>140132</t>
  </si>
  <si>
    <t>23 TB SSD</t>
  </si>
  <si>
    <t>140133</t>
  </si>
  <si>
    <t>11/04/2020</t>
  </si>
  <si>
    <t>140134</t>
  </si>
  <si>
    <t>12/04/2020</t>
  </si>
  <si>
    <t>140135</t>
  </si>
  <si>
    <t>13/04/2020</t>
  </si>
  <si>
    <t>26 GB DDR4 Ram</t>
  </si>
  <si>
    <t>140136</t>
  </si>
  <si>
    <t>14/04/2020</t>
  </si>
  <si>
    <t>140137</t>
  </si>
  <si>
    <t>15/04/2020</t>
  </si>
  <si>
    <t>140138</t>
  </si>
  <si>
    <t>16/04/2020</t>
  </si>
  <si>
    <t>140139</t>
  </si>
  <si>
    <t>140140</t>
  </si>
  <si>
    <t>140141</t>
  </si>
  <si>
    <t>140142</t>
  </si>
  <si>
    <t>140143</t>
  </si>
  <si>
    <t>140144</t>
  </si>
  <si>
    <t>140145</t>
  </si>
  <si>
    <t>140146</t>
  </si>
  <si>
    <t>279 GB SSD</t>
  </si>
  <si>
    <t>140147</t>
  </si>
  <si>
    <t>140148</t>
  </si>
  <si>
    <t>140149</t>
  </si>
  <si>
    <t>140150</t>
  </si>
  <si>
    <t>140151</t>
  </si>
  <si>
    <t>26 Fans Cabinet</t>
  </si>
  <si>
    <t>140152</t>
  </si>
  <si>
    <t>140153</t>
  </si>
  <si>
    <t>140154</t>
  </si>
  <si>
    <t>140155</t>
  </si>
  <si>
    <t>25 TB HDD</t>
  </si>
  <si>
    <t>140156</t>
  </si>
  <si>
    <t>535 GB M.2</t>
  </si>
  <si>
    <t>140157</t>
  </si>
  <si>
    <t>RYZEN 3rd gen. 3523</t>
  </si>
  <si>
    <t>140158</t>
  </si>
  <si>
    <t>140159</t>
  </si>
  <si>
    <t>39 GB DDR4 RAM</t>
  </si>
  <si>
    <t>140160</t>
  </si>
  <si>
    <t>140161</t>
  </si>
  <si>
    <t>140162</t>
  </si>
  <si>
    <t>140163</t>
  </si>
  <si>
    <t>140164</t>
  </si>
  <si>
    <t>140165</t>
  </si>
  <si>
    <t>140166</t>
  </si>
  <si>
    <t>24 TB SSD</t>
  </si>
  <si>
    <t>140167</t>
  </si>
  <si>
    <t>140168</t>
  </si>
  <si>
    <t>140169</t>
  </si>
  <si>
    <t>27 GB DDR4 Ram</t>
  </si>
  <si>
    <t>140170</t>
  </si>
  <si>
    <t>140171</t>
  </si>
  <si>
    <t>140172</t>
  </si>
  <si>
    <t>140173</t>
  </si>
  <si>
    <t>140174</t>
  </si>
  <si>
    <t>140175</t>
  </si>
  <si>
    <t>140176</t>
  </si>
  <si>
    <t>140177</t>
  </si>
  <si>
    <t>140178</t>
  </si>
  <si>
    <t>140179</t>
  </si>
  <si>
    <t>140180</t>
  </si>
  <si>
    <t>280 GB SSD</t>
  </si>
  <si>
    <t>140181</t>
  </si>
  <si>
    <t>140182</t>
  </si>
  <si>
    <t>140183</t>
  </si>
  <si>
    <t>140184</t>
  </si>
  <si>
    <t>140185</t>
  </si>
  <si>
    <t>27 Fans Cabinet</t>
  </si>
  <si>
    <t>140186</t>
  </si>
  <si>
    <t>140187</t>
  </si>
  <si>
    <t>17/04/2020</t>
  </si>
  <si>
    <t>140188</t>
  </si>
  <si>
    <t>140189</t>
  </si>
  <si>
    <t>26 TB HDD</t>
  </si>
  <si>
    <t>140190</t>
  </si>
  <si>
    <t>536 GB M.2</t>
  </si>
  <si>
    <t>140191</t>
  </si>
  <si>
    <t>RYZEN 3rd gen. 3524</t>
  </si>
  <si>
    <t>140192</t>
  </si>
  <si>
    <t>140193</t>
  </si>
  <si>
    <t>40 GB DDR4 RAM</t>
  </si>
  <si>
    <t>140194</t>
  </si>
  <si>
    <t>140195</t>
  </si>
  <si>
    <t>140196</t>
  </si>
  <si>
    <t>140197</t>
  </si>
  <si>
    <t>140198</t>
  </si>
  <si>
    <t>18/04/2020</t>
  </si>
  <si>
    <t>140199</t>
  </si>
  <si>
    <t>140200</t>
  </si>
  <si>
    <t>25 TB SSD</t>
  </si>
  <si>
    <t>140201</t>
  </si>
  <si>
    <t>140202</t>
  </si>
  <si>
    <t>140203</t>
  </si>
  <si>
    <t>28 GB DDR4 Ram</t>
  </si>
  <si>
    <t>140204</t>
  </si>
  <si>
    <t>140205</t>
  </si>
  <si>
    <t>140206</t>
  </si>
  <si>
    <t>140207</t>
  </si>
  <si>
    <t>140208</t>
  </si>
  <si>
    <t>140209</t>
  </si>
  <si>
    <t>140210</t>
  </si>
  <si>
    <t>140211</t>
  </si>
  <si>
    <t>140212</t>
  </si>
  <si>
    <t>140213</t>
  </si>
  <si>
    <t>140214</t>
  </si>
  <si>
    <t>281 GB SSD</t>
  </si>
  <si>
    <t>140215</t>
  </si>
  <si>
    <t>140216</t>
  </si>
  <si>
    <t>140217</t>
  </si>
  <si>
    <t>140218</t>
  </si>
  <si>
    <t>140219</t>
  </si>
  <si>
    <t>28 Fans Cabinet</t>
  </si>
  <si>
    <t>140220</t>
  </si>
  <si>
    <t>140221</t>
  </si>
  <si>
    <t>19/04/2020</t>
  </si>
  <si>
    <t>140222</t>
  </si>
  <si>
    <t>20/04/2020</t>
  </si>
  <si>
    <t>140223</t>
  </si>
  <si>
    <t>21/04/2020</t>
  </si>
  <si>
    <t>27 TB HDD</t>
  </si>
  <si>
    <t>140224</t>
  </si>
  <si>
    <t>22/04/2020</t>
  </si>
  <si>
    <t>537 GB M.2</t>
  </si>
  <si>
    <t>140225</t>
  </si>
  <si>
    <t>23/04/2020</t>
  </si>
  <si>
    <t>RYZEN 3rd gen. 3525</t>
  </si>
  <si>
    <t>140226</t>
  </si>
  <si>
    <t>24/04/2020</t>
  </si>
  <si>
    <t>140227</t>
  </si>
  <si>
    <t>25/04/2020</t>
  </si>
  <si>
    <t>41 GB DDR4 RAM</t>
  </si>
  <si>
    <t>140228</t>
  </si>
  <si>
    <t>26/04/2020</t>
  </si>
  <si>
    <t>140229</t>
  </si>
  <si>
    <t>140230</t>
  </si>
  <si>
    <t>140231</t>
  </si>
  <si>
    <t>140232</t>
  </si>
  <si>
    <t>140233</t>
  </si>
  <si>
    <t>140234</t>
  </si>
  <si>
    <t>26 TB SSD</t>
  </si>
  <si>
    <t>140235</t>
  </si>
  <si>
    <t>140236</t>
  </si>
  <si>
    <t>140237</t>
  </si>
  <si>
    <t>29 GB DDR4 Ram</t>
  </si>
  <si>
    <t>140238</t>
  </si>
  <si>
    <t>140239</t>
  </si>
  <si>
    <t>140240</t>
  </si>
  <si>
    <t>140241</t>
  </si>
  <si>
    <t>140242</t>
  </si>
  <si>
    <t>140243</t>
  </si>
  <si>
    <t>140244</t>
  </si>
  <si>
    <t>140245</t>
  </si>
  <si>
    <t>140246</t>
  </si>
  <si>
    <t>140247</t>
  </si>
  <si>
    <t>140248</t>
  </si>
  <si>
    <t>27/04/2020</t>
  </si>
  <si>
    <t>282 GB SSD</t>
  </si>
  <si>
    <t>140249</t>
  </si>
  <si>
    <t>140250</t>
  </si>
  <si>
    <t>140251</t>
  </si>
  <si>
    <t>140252</t>
  </si>
  <si>
    <t>140253</t>
  </si>
  <si>
    <t>29 Fans Cabinet</t>
  </si>
  <si>
    <t>140254</t>
  </si>
  <si>
    <t>140255</t>
  </si>
  <si>
    <t>140256</t>
  </si>
  <si>
    <t>140257</t>
  </si>
  <si>
    <t>28 TB HDD</t>
  </si>
  <si>
    <t>140258</t>
  </si>
  <si>
    <t>538 GB M.2</t>
  </si>
  <si>
    <t>140259</t>
  </si>
  <si>
    <t>RYZEN 3rd gen. 3526</t>
  </si>
  <si>
    <t>140260</t>
  </si>
  <si>
    <t>140261</t>
  </si>
  <si>
    <t>42 GB DDR4 RAM</t>
  </si>
  <si>
    <t>140262</t>
  </si>
  <si>
    <t>140263</t>
  </si>
  <si>
    <t>140264</t>
  </si>
  <si>
    <t>140265</t>
  </si>
  <si>
    <t>28/04/2020</t>
  </si>
  <si>
    <t>140266</t>
  </si>
  <si>
    <t>29/04/2020</t>
  </si>
  <si>
    <t>140267</t>
  </si>
  <si>
    <t>30/04/2020</t>
  </si>
  <si>
    <t>140268</t>
  </si>
  <si>
    <t>27 TB SSD</t>
  </si>
  <si>
    <t>140269</t>
  </si>
  <si>
    <t>140270</t>
  </si>
  <si>
    <t>140271</t>
  </si>
  <si>
    <t>30 GB DDR4 Ram</t>
  </si>
  <si>
    <t>140272</t>
  </si>
  <si>
    <t>140273</t>
  </si>
  <si>
    <t>140274</t>
  </si>
  <si>
    <t>140275</t>
  </si>
  <si>
    <t>140276</t>
  </si>
  <si>
    <t>140277</t>
  </si>
  <si>
    <t>140278</t>
  </si>
  <si>
    <t>140279</t>
  </si>
  <si>
    <t>140280</t>
  </si>
  <si>
    <t>140281</t>
  </si>
  <si>
    <t>140282</t>
  </si>
  <si>
    <t>283 GB SSD</t>
  </si>
  <si>
    <t>140283</t>
  </si>
  <si>
    <t>140284</t>
  </si>
  <si>
    <t>140285</t>
  </si>
  <si>
    <t>140286</t>
  </si>
  <si>
    <t>140287</t>
  </si>
  <si>
    <t>30 Fans Cabinet</t>
  </si>
  <si>
    <t>140288</t>
  </si>
  <si>
    <t>140289</t>
  </si>
  <si>
    <t>140290</t>
  </si>
  <si>
    <t>140291</t>
  </si>
  <si>
    <t>29 TB HDD</t>
  </si>
  <si>
    <t>140292</t>
  </si>
  <si>
    <t>539 GB M.2</t>
  </si>
  <si>
    <t>140293</t>
  </si>
  <si>
    <t>RYZEN 3rd gen. 3527</t>
  </si>
  <si>
    <t>140294</t>
  </si>
  <si>
    <t>140295</t>
  </si>
  <si>
    <t>43 GB DDR4 RAM</t>
  </si>
  <si>
    <t>140296</t>
  </si>
  <si>
    <t>140297</t>
  </si>
  <si>
    <t>140298</t>
  </si>
  <si>
    <t>140299</t>
  </si>
  <si>
    <t>140300</t>
  </si>
  <si>
    <t>140301</t>
  </si>
  <si>
    <t>140302</t>
  </si>
  <si>
    <t>28 TB SSD</t>
  </si>
  <si>
    <t>140303</t>
  </si>
  <si>
    <t>01/05/2020</t>
  </si>
  <si>
    <t>140304</t>
  </si>
  <si>
    <t>02/05/2020</t>
  </si>
  <si>
    <t>140305</t>
  </si>
  <si>
    <t>03/05/2020</t>
  </si>
  <si>
    <t>31 GB DDR4 Ram</t>
  </si>
  <si>
    <t>140306</t>
  </si>
  <si>
    <t>04/05/2020</t>
  </si>
  <si>
    <t>140307</t>
  </si>
  <si>
    <t>05/05/2020</t>
  </si>
  <si>
    <t>140308</t>
  </si>
  <si>
    <t>140309</t>
  </si>
  <si>
    <t>140310</t>
  </si>
  <si>
    <t>140311</t>
  </si>
  <si>
    <t>140312</t>
  </si>
  <si>
    <t>140313</t>
  </si>
  <si>
    <t>140314</t>
  </si>
  <si>
    <t>140315</t>
  </si>
  <si>
    <t>140316</t>
  </si>
  <si>
    <t>06/05/2020</t>
  </si>
  <si>
    <t>284 GB SSD</t>
  </si>
  <si>
    <t>140317</t>
  </si>
  <si>
    <t>07/05/2020</t>
  </si>
  <si>
    <t>140318</t>
  </si>
  <si>
    <t>08/05/2020</t>
  </si>
  <si>
    <t>140319</t>
  </si>
  <si>
    <t>09/05/2020</t>
  </si>
  <si>
    <t>140320</t>
  </si>
  <si>
    <t>140321</t>
  </si>
  <si>
    <t>31 Fans Cabinet</t>
  </si>
  <si>
    <t>140322</t>
  </si>
  <si>
    <t>140323</t>
  </si>
  <si>
    <t>140324</t>
  </si>
  <si>
    <t>140325</t>
  </si>
  <si>
    <t>30 TB HDD</t>
  </si>
  <si>
    <t>140326</t>
  </si>
  <si>
    <t>540 GB M.2</t>
  </si>
  <si>
    <t>140327</t>
  </si>
  <si>
    <t>RYZEN 3rd gen. 3528</t>
  </si>
  <si>
    <t>140328</t>
  </si>
  <si>
    <t>140329</t>
  </si>
  <si>
    <t>44 GB DDR4 RAM</t>
  </si>
  <si>
    <t>140330</t>
  </si>
  <si>
    <t>140331</t>
  </si>
  <si>
    <t>140332</t>
  </si>
  <si>
    <t>140333</t>
  </si>
  <si>
    <t>140334</t>
  </si>
  <si>
    <t>140335</t>
  </si>
  <si>
    <t>140336</t>
  </si>
  <si>
    <t>29 TB SSD</t>
  </si>
  <si>
    <t>140337</t>
  </si>
  <si>
    <t>140338</t>
  </si>
  <si>
    <t>140339</t>
  </si>
  <si>
    <t>32 GB DDR4 Ram</t>
  </si>
  <si>
    <t>140340</t>
  </si>
  <si>
    <t>140341</t>
  </si>
  <si>
    <t>140342</t>
  </si>
  <si>
    <t>140343</t>
  </si>
  <si>
    <t>140344</t>
  </si>
  <si>
    <t>140345</t>
  </si>
  <si>
    <t>140346</t>
  </si>
  <si>
    <t>140347</t>
  </si>
  <si>
    <t>140348</t>
  </si>
  <si>
    <t>140349</t>
  </si>
  <si>
    <t>140350</t>
  </si>
  <si>
    <t>285 GB SSD</t>
  </si>
  <si>
    <t>140351</t>
  </si>
  <si>
    <t>140352</t>
  </si>
  <si>
    <t>140353</t>
  </si>
  <si>
    <t>140354</t>
  </si>
  <si>
    <t>140355</t>
  </si>
  <si>
    <t>32 Fans Cabinet</t>
  </si>
  <si>
    <t>140356</t>
  </si>
  <si>
    <t>140357</t>
  </si>
  <si>
    <t>10/05/2020</t>
  </si>
  <si>
    <t>140358</t>
  </si>
  <si>
    <t>140359</t>
  </si>
  <si>
    <t>31 TB HDD</t>
  </si>
  <si>
    <t>140360</t>
  </si>
  <si>
    <t>541 GB M.2</t>
  </si>
  <si>
    <t>140361</t>
  </si>
  <si>
    <t>RYZEN 3rd gen. 3529</t>
  </si>
  <si>
    <t>140362</t>
  </si>
  <si>
    <t>140363</t>
  </si>
  <si>
    <t>45 GB DDR4 RAM</t>
  </si>
  <si>
    <t>140364</t>
  </si>
  <si>
    <t>140365</t>
  </si>
  <si>
    <t>140366</t>
  </si>
  <si>
    <t>140367</t>
  </si>
  <si>
    <t>140368</t>
  </si>
  <si>
    <t>140369</t>
  </si>
  <si>
    <t>140370</t>
  </si>
  <si>
    <t>30 TB SSD</t>
  </si>
  <si>
    <t>140371</t>
  </si>
  <si>
    <t>140372</t>
  </si>
  <si>
    <t>140373</t>
  </si>
  <si>
    <t>33 GB DDR4 Ram</t>
  </si>
  <si>
    <t>140374</t>
  </si>
  <si>
    <t>140375</t>
  </si>
  <si>
    <t>140376</t>
  </si>
  <si>
    <t>140377</t>
  </si>
  <si>
    <t>140378</t>
  </si>
  <si>
    <t>140379</t>
  </si>
  <si>
    <t>140380</t>
  </si>
  <si>
    <t>140381</t>
  </si>
  <si>
    <t>140382</t>
  </si>
  <si>
    <t>140383</t>
  </si>
  <si>
    <t>140384</t>
  </si>
  <si>
    <t>286 GB SSD</t>
  </si>
  <si>
    <t>140385</t>
  </si>
  <si>
    <t>140386</t>
  </si>
  <si>
    <t>140387</t>
  </si>
  <si>
    <t>140388</t>
  </si>
  <si>
    <t>11/05/2020</t>
  </si>
  <si>
    <t>140389</t>
  </si>
  <si>
    <t>33 Fans Cabinet</t>
  </si>
  <si>
    <t>140390</t>
  </si>
  <si>
    <t>140391</t>
  </si>
  <si>
    <t>140392</t>
  </si>
  <si>
    <t>140393</t>
  </si>
  <si>
    <t>32 TB HDD</t>
  </si>
  <si>
    <t>140394</t>
  </si>
  <si>
    <t>542 GB M.2</t>
  </si>
  <si>
    <t>140395</t>
  </si>
  <si>
    <t>RYZEN 3rd gen. 3530</t>
  </si>
  <si>
    <t>140396</t>
  </si>
  <si>
    <t>140397</t>
  </si>
  <si>
    <t>46 GB DDR4 RAM</t>
  </si>
  <si>
    <t>140398</t>
  </si>
  <si>
    <t>140399</t>
  </si>
  <si>
    <t>140400</t>
  </si>
  <si>
    <t>140401</t>
  </si>
  <si>
    <t>140402</t>
  </si>
  <si>
    <t>140403</t>
  </si>
  <si>
    <t>140404</t>
  </si>
  <si>
    <t>31 TB SSD</t>
  </si>
  <si>
    <t>140405</t>
  </si>
  <si>
    <t>140406</t>
  </si>
  <si>
    <t>140407</t>
  </si>
  <si>
    <t>34 GB DDR4 Ram</t>
  </si>
  <si>
    <t>140408</t>
  </si>
  <si>
    <t>140409</t>
  </si>
  <si>
    <t>140410</t>
  </si>
  <si>
    <t>140411</t>
  </si>
  <si>
    <t>140412</t>
  </si>
  <si>
    <t>140413</t>
  </si>
  <si>
    <t>140414</t>
  </si>
  <si>
    <t>140415</t>
  </si>
  <si>
    <t>140416</t>
  </si>
  <si>
    <t>140417</t>
  </si>
  <si>
    <t>140418</t>
  </si>
  <si>
    <t>287 GB SSD</t>
  </si>
  <si>
    <t>140419</t>
  </si>
  <si>
    <t>140420</t>
  </si>
  <si>
    <t>140421</t>
  </si>
  <si>
    <t>140422</t>
  </si>
  <si>
    <t>140423</t>
  </si>
  <si>
    <t>34 Fans Cabinet</t>
  </si>
  <si>
    <t>140424</t>
  </si>
  <si>
    <t>140425</t>
  </si>
  <si>
    <t>140426</t>
  </si>
  <si>
    <t>140427</t>
  </si>
  <si>
    <t>33 TB HDD</t>
  </si>
  <si>
    <t>140428</t>
  </si>
  <si>
    <t>543 GB M.2</t>
  </si>
  <si>
    <t>140429</t>
  </si>
  <si>
    <t>RYZEN 3rd gen. 3531</t>
  </si>
  <si>
    <t>140430</t>
  </si>
  <si>
    <t>140431</t>
  </si>
  <si>
    <t>47 GB DDR4 RAM</t>
  </si>
  <si>
    <t>140432</t>
  </si>
  <si>
    <t>140433</t>
  </si>
  <si>
    <t>140434</t>
  </si>
  <si>
    <t>140435</t>
  </si>
  <si>
    <t>140436</t>
  </si>
  <si>
    <t>12/05/2020</t>
  </si>
  <si>
    <t>140437</t>
  </si>
  <si>
    <t>13/05/2020</t>
  </si>
  <si>
    <t>140438</t>
  </si>
  <si>
    <t>14/05/2020</t>
  </si>
  <si>
    <t>32 TB SSD</t>
  </si>
  <si>
    <t>140439</t>
  </si>
  <si>
    <t>15/05/2020</t>
  </si>
  <si>
    <t>140440</t>
  </si>
  <si>
    <t>16/05/2020</t>
  </si>
  <si>
    <t>140441</t>
  </si>
  <si>
    <t>17/05/2020</t>
  </si>
  <si>
    <t>35 GB DDR4 Ram</t>
  </si>
  <si>
    <t>140442</t>
  </si>
  <si>
    <t>18/05/2020</t>
  </si>
  <si>
    <t>140443</t>
  </si>
  <si>
    <t>19/05/2020</t>
  </si>
  <si>
    <t>140444</t>
  </si>
  <si>
    <t>140445</t>
  </si>
  <si>
    <t>140446</t>
  </si>
  <si>
    <t>140447</t>
  </si>
  <si>
    <t>140448</t>
  </si>
  <si>
    <t>140449</t>
  </si>
  <si>
    <t>140450</t>
  </si>
  <si>
    <t>140451</t>
  </si>
  <si>
    <t>140452</t>
  </si>
  <si>
    <t>288 GB SSD</t>
  </si>
  <si>
    <t>140453</t>
  </si>
  <si>
    <t>140454</t>
  </si>
  <si>
    <t>140455</t>
  </si>
  <si>
    <t>140456</t>
  </si>
  <si>
    <t>140457</t>
  </si>
  <si>
    <t>35 Fans Cabinet</t>
  </si>
  <si>
    <t>140458</t>
  </si>
  <si>
    <t>140459</t>
  </si>
  <si>
    <t>140460</t>
  </si>
  <si>
    <t>140461</t>
  </si>
  <si>
    <t>34 TB HDD</t>
  </si>
  <si>
    <t>140462</t>
  </si>
  <si>
    <t>544 GB M.2</t>
  </si>
  <si>
    <t>140463</t>
  </si>
  <si>
    <t>RYZEN 3rd gen. 3532</t>
  </si>
  <si>
    <t>140464</t>
  </si>
  <si>
    <t>140465</t>
  </si>
  <si>
    <t>48 GB DDR4 RAM</t>
  </si>
  <si>
    <t>140466</t>
  </si>
  <si>
    <t>140467</t>
  </si>
  <si>
    <t>140468</t>
  </si>
  <si>
    <t>140469</t>
  </si>
  <si>
    <t>140470</t>
  </si>
  <si>
    <t>140471</t>
  </si>
  <si>
    <t>140472</t>
  </si>
  <si>
    <t>33 TB SSD</t>
  </si>
  <si>
    <t>140473</t>
  </si>
  <si>
    <t>140474</t>
  </si>
  <si>
    <t>140475</t>
  </si>
  <si>
    <t>36 GB DDR4 Ram</t>
  </si>
  <si>
    <t>140476</t>
  </si>
  <si>
    <t>140477</t>
  </si>
  <si>
    <t>140478</t>
  </si>
  <si>
    <t>140479</t>
  </si>
  <si>
    <t>140480</t>
  </si>
  <si>
    <t>140481</t>
  </si>
  <si>
    <t>20/05/2020</t>
  </si>
  <si>
    <t>140482</t>
  </si>
  <si>
    <t>21/05/2020</t>
  </si>
  <si>
    <t>140483</t>
  </si>
  <si>
    <t>22/05/2020</t>
  </si>
  <si>
    <t>140484</t>
  </si>
  <si>
    <t>23/05/2020</t>
  </si>
  <si>
    <t>140485</t>
  </si>
  <si>
    <t>24/05/2020</t>
  </si>
  <si>
    <t>140486</t>
  </si>
  <si>
    <t>289 GB SSD</t>
  </si>
  <si>
    <t>140487</t>
  </si>
  <si>
    <t>140488</t>
  </si>
  <si>
    <t>140489</t>
  </si>
  <si>
    <t>140490</t>
  </si>
  <si>
    <t>140491</t>
  </si>
  <si>
    <t>36 Fans Cabinet</t>
  </si>
  <si>
    <t>140492</t>
  </si>
  <si>
    <t>140493</t>
  </si>
  <si>
    <t>140494</t>
  </si>
  <si>
    <t>140495</t>
  </si>
  <si>
    <t>35 TB HDD</t>
  </si>
  <si>
    <t>140496</t>
  </si>
  <si>
    <t>545 GB M.2</t>
  </si>
  <si>
    <t>140497</t>
  </si>
  <si>
    <t>RYZEN 3rd gen. 3533</t>
  </si>
  <si>
    <t>140498</t>
  </si>
  <si>
    <t>140499</t>
  </si>
  <si>
    <t>25/05/2020</t>
  </si>
  <si>
    <t>49 GB DDR4 RAM</t>
  </si>
  <si>
    <t>140500</t>
  </si>
  <si>
    <t>26/05/2020</t>
  </si>
  <si>
    <t>140501</t>
  </si>
  <si>
    <t>27/05/2020</t>
  </si>
  <si>
    <t>140502</t>
  </si>
  <si>
    <t>140503</t>
  </si>
  <si>
    <t>140504</t>
  </si>
  <si>
    <t>140505</t>
  </si>
  <si>
    <t>140506</t>
  </si>
  <si>
    <t>34 TB SSD</t>
  </si>
  <si>
    <t>140507</t>
  </si>
  <si>
    <t>140508</t>
  </si>
  <si>
    <t>140509</t>
  </si>
  <si>
    <t>37 GB DDR4 Ram</t>
  </si>
  <si>
    <t>140510</t>
  </si>
  <si>
    <t>140511</t>
  </si>
  <si>
    <t>28/05/2020</t>
  </si>
  <si>
    <t>140512</t>
  </si>
  <si>
    <t>29/05/2020</t>
  </si>
  <si>
    <t>140513</t>
  </si>
  <si>
    <t>30/05/2020</t>
  </si>
  <si>
    <t>140514</t>
  </si>
  <si>
    <t>31/05/2020</t>
  </si>
  <si>
    <t>140515</t>
  </si>
  <si>
    <t>01/06/2020</t>
  </si>
  <si>
    <t>140516</t>
  </si>
  <si>
    <t>02/06/2020</t>
  </si>
  <si>
    <t>140517</t>
  </si>
  <si>
    <t>03/06/2020</t>
  </si>
  <si>
    <t>140518</t>
  </si>
  <si>
    <t>04/06/2020</t>
  </si>
  <si>
    <t>140519</t>
  </si>
  <si>
    <t>05/06/2020</t>
  </si>
  <si>
    <t>140520</t>
  </si>
  <si>
    <t>06/06/2020</t>
  </si>
  <si>
    <t>290 GB SSD</t>
  </si>
  <si>
    <t>140521</t>
  </si>
  <si>
    <t>07/06/2020</t>
  </si>
  <si>
    <t>140522</t>
  </si>
  <si>
    <t>08/06/2020</t>
  </si>
  <si>
    <t>140523</t>
  </si>
  <si>
    <t>09/06/2020</t>
  </si>
  <si>
    <t>140524</t>
  </si>
  <si>
    <t>10/06/2020</t>
  </si>
  <si>
    <t>140525</t>
  </si>
  <si>
    <t>11/06/2020</t>
  </si>
  <si>
    <t>37 Fans Cabinet</t>
  </si>
  <si>
    <t>140526</t>
  </si>
  <si>
    <t>12/06/2020</t>
  </si>
  <si>
    <t>140527</t>
  </si>
  <si>
    <t>13/06/2020</t>
  </si>
  <si>
    <t>140528</t>
  </si>
  <si>
    <t>14/06/2020</t>
  </si>
  <si>
    <t>140529</t>
  </si>
  <si>
    <t>15/06/2020</t>
  </si>
  <si>
    <t>36 TB HDD</t>
  </si>
  <si>
    <t>140530</t>
  </si>
  <si>
    <t>16/06/2020</t>
  </si>
  <si>
    <t>546 GB M.2</t>
  </si>
  <si>
    <t>140531</t>
  </si>
  <si>
    <t>17/06/2020</t>
  </si>
  <si>
    <t>RYZEN 3rd gen. 3534</t>
  </si>
  <si>
    <t>140532</t>
  </si>
  <si>
    <t>18/06/2020</t>
  </si>
  <si>
    <t>140533</t>
  </si>
  <si>
    <t>19/06/2020</t>
  </si>
  <si>
    <t>50 GB DDR4 RAM</t>
  </si>
  <si>
    <t>140534</t>
  </si>
  <si>
    <t>20/06/2020</t>
  </si>
  <si>
    <t>140535</t>
  </si>
  <si>
    <t>140536</t>
  </si>
  <si>
    <t>140537</t>
  </si>
  <si>
    <t>140538</t>
  </si>
  <si>
    <t>140539</t>
  </si>
  <si>
    <t>140540</t>
  </si>
  <si>
    <t>35 TB SSD</t>
  </si>
  <si>
    <t>140541</t>
  </si>
  <si>
    <t>21/06/2020</t>
  </si>
  <si>
    <t>140542</t>
  </si>
  <si>
    <t>22/06/2020</t>
  </si>
  <si>
    <t>140543</t>
  </si>
  <si>
    <t>23/06/2020</t>
  </si>
  <si>
    <t>38 GB DDR4 Ram</t>
  </si>
  <si>
    <t>140544</t>
  </si>
  <si>
    <t>24/06/2020</t>
  </si>
  <si>
    <t>140545</t>
  </si>
  <si>
    <t>25/06/2020</t>
  </si>
  <si>
    <t>140546</t>
  </si>
  <si>
    <t>26/06/2020</t>
  </si>
  <si>
    <t>140547</t>
  </si>
  <si>
    <t>140548</t>
  </si>
  <si>
    <t>140549</t>
  </si>
  <si>
    <t>140550</t>
  </si>
  <si>
    <t>140551</t>
  </si>
  <si>
    <t>140552</t>
  </si>
  <si>
    <t>140553</t>
  </si>
  <si>
    <t>140554</t>
  </si>
  <si>
    <t>291 GB SSD</t>
  </si>
  <si>
    <t>140555</t>
  </si>
  <si>
    <t>140556</t>
  </si>
  <si>
    <t>140557</t>
  </si>
  <si>
    <t>140558</t>
  </si>
  <si>
    <t>140559</t>
  </si>
  <si>
    <t>38 Fans Cabinet</t>
  </si>
  <si>
    <t>140560</t>
  </si>
  <si>
    <t>140561</t>
  </si>
  <si>
    <t>27/06/2020</t>
  </si>
  <si>
    <t>140562</t>
  </si>
  <si>
    <t>140563</t>
  </si>
  <si>
    <t>37 TB HDD</t>
  </si>
  <si>
    <t>140564</t>
  </si>
  <si>
    <t>547 GB M.2</t>
  </si>
  <si>
    <t>140565</t>
  </si>
  <si>
    <t>RYZEN 3rd gen. 3535</t>
  </si>
  <si>
    <t>140566</t>
  </si>
  <si>
    <t>140567</t>
  </si>
  <si>
    <t>51 GB DDR4 RAM</t>
  </si>
  <si>
    <t>140568</t>
  </si>
  <si>
    <t>140569</t>
  </si>
  <si>
    <t>140570</t>
  </si>
  <si>
    <t>140571</t>
  </si>
  <si>
    <t>28/06/2020</t>
  </si>
  <si>
    <t>140572</t>
  </si>
  <si>
    <t>29/06/2020</t>
  </si>
  <si>
    <t>140573</t>
  </si>
  <si>
    <t>30/06/2020</t>
  </si>
  <si>
    <t>140574</t>
  </si>
  <si>
    <t>01/07/2020</t>
  </si>
  <si>
    <t>36 TB SSD</t>
  </si>
  <si>
    <t>140575</t>
  </si>
  <si>
    <t>02/07/2020</t>
  </si>
  <si>
    <t>140576</t>
  </si>
  <si>
    <t>03/07/2020</t>
  </si>
  <si>
    <t>140577</t>
  </si>
  <si>
    <t>04/07/2020</t>
  </si>
  <si>
    <t>39 GB DDR4 Ram</t>
  </si>
  <si>
    <t>140578</t>
  </si>
  <si>
    <t>05/07/2020</t>
  </si>
  <si>
    <t>140579</t>
  </si>
  <si>
    <t>06/07/2020</t>
  </si>
  <si>
    <t>140580</t>
  </si>
  <si>
    <t>07/07/2020</t>
  </si>
  <si>
    <t>140581</t>
  </si>
  <si>
    <t>140582</t>
  </si>
  <si>
    <t>140583</t>
  </si>
  <si>
    <t>140584</t>
  </si>
  <si>
    <t>140585</t>
  </si>
  <si>
    <t>140586</t>
  </si>
  <si>
    <t>140587</t>
  </si>
  <si>
    <t>140588</t>
  </si>
  <si>
    <t>292 GB SSD</t>
  </si>
  <si>
    <t>140589</t>
  </si>
  <si>
    <t>140590</t>
  </si>
  <si>
    <t>140591</t>
  </si>
  <si>
    <t>140592</t>
  </si>
  <si>
    <t>08/07/2020</t>
  </si>
  <si>
    <t>140593</t>
  </si>
  <si>
    <t>09/07/2020</t>
  </si>
  <si>
    <t>39 Fans Cabinet</t>
  </si>
  <si>
    <t>140594</t>
  </si>
  <si>
    <t>10/07/2020</t>
  </si>
  <si>
    <t>140595</t>
  </si>
  <si>
    <t>11/07/2020</t>
  </si>
  <si>
    <t>140596</t>
  </si>
  <si>
    <t>12/07/2020</t>
  </si>
  <si>
    <t>140597</t>
  </si>
  <si>
    <t>13/07/2020</t>
  </si>
  <si>
    <t>38 TB HDD</t>
  </si>
  <si>
    <t>140598</t>
  </si>
  <si>
    <t>14/07/2020</t>
  </si>
  <si>
    <t>548 GB M.2</t>
  </si>
  <si>
    <t>140599</t>
  </si>
  <si>
    <t>15/07/2020</t>
  </si>
  <si>
    <t>RYZEN 3rd gen. 3536</t>
  </si>
  <si>
    <t>140600</t>
  </si>
  <si>
    <t>16/07/2020</t>
  </si>
  <si>
    <t>140601</t>
  </si>
  <si>
    <t>17/07/2020</t>
  </si>
  <si>
    <t>52 GB DDR4 RAM</t>
  </si>
  <si>
    <t>140602</t>
  </si>
  <si>
    <t>18/07/2020</t>
  </si>
  <si>
    <t>140603</t>
  </si>
  <si>
    <t>19/07/2020</t>
  </si>
  <si>
    <t>140604</t>
  </si>
  <si>
    <t>20/07/2020</t>
  </si>
  <si>
    <t>140605</t>
  </si>
  <si>
    <t>21/07/2020</t>
  </si>
  <si>
    <t>140606</t>
  </si>
  <si>
    <t>22/07/2020</t>
  </si>
  <si>
    <t>140607</t>
  </si>
  <si>
    <t>140608</t>
  </si>
  <si>
    <t>37 TB SSD</t>
  </si>
  <si>
    <t>140609</t>
  </si>
  <si>
    <t>140610</t>
  </si>
  <si>
    <t>140611</t>
  </si>
  <si>
    <t>23/07/2020</t>
  </si>
  <si>
    <t>40 GB DDR4 Ram</t>
  </si>
  <si>
    <t>140612</t>
  </si>
  <si>
    <t>24/07/2020</t>
  </si>
  <si>
    <t>140613</t>
  </si>
  <si>
    <t>25/07/2020</t>
  </si>
  <si>
    <t>140614</t>
  </si>
  <si>
    <t>26/07/2020</t>
  </si>
  <si>
    <t>140615</t>
  </si>
  <si>
    <t>27/07/2020</t>
  </si>
  <si>
    <t>140616</t>
  </si>
  <si>
    <t>28/07/2020</t>
  </si>
  <si>
    <t>140617</t>
  </si>
  <si>
    <t>29/07/2020</t>
  </si>
  <si>
    <t>140618</t>
  </si>
  <si>
    <t>30/07/2020</t>
  </si>
  <si>
    <t>140619</t>
  </si>
  <si>
    <t>31/07/2020</t>
  </si>
  <si>
    <t>140620</t>
  </si>
  <si>
    <t>01/08/2020</t>
  </si>
  <si>
    <t>140621</t>
  </si>
  <si>
    <t>02/08/2020</t>
  </si>
  <si>
    <t>140622</t>
  </si>
  <si>
    <t>03/08/2020</t>
  </si>
  <si>
    <t>293 GB SSD</t>
  </si>
  <si>
    <t>140623</t>
  </si>
  <si>
    <t>04/08/2020</t>
  </si>
  <si>
    <t>140624</t>
  </si>
  <si>
    <t>05/08/2020</t>
  </si>
  <si>
    <t>140625</t>
  </si>
  <si>
    <t>06/08/2020</t>
  </si>
  <si>
    <t>140626</t>
  </si>
  <si>
    <t>07/08/2020</t>
  </si>
  <si>
    <t>140627</t>
  </si>
  <si>
    <t>08/08/2020</t>
  </si>
  <si>
    <t>40 Fans Cabinet</t>
  </si>
  <si>
    <t>140628</t>
  </si>
  <si>
    <t>09/08/2020</t>
  </si>
  <si>
    <t>140629</t>
  </si>
  <si>
    <t>10/08/2020</t>
  </si>
  <si>
    <t>140630</t>
  </si>
  <si>
    <t>11/08/2020</t>
  </si>
  <si>
    <t>140631</t>
  </si>
  <si>
    <t>12/08/2020</t>
  </si>
  <si>
    <t>39 TB HDD</t>
  </si>
  <si>
    <t>140632</t>
  </si>
  <si>
    <t>13/08/2020</t>
  </si>
  <si>
    <t>549 GB M.2</t>
  </si>
  <si>
    <t>140633</t>
  </si>
  <si>
    <t>14/08/2020</t>
  </si>
  <si>
    <t>RYZEN 3rd gen. 3537</t>
  </si>
  <si>
    <t>140634</t>
  </si>
  <si>
    <t>15/08/2020</t>
  </si>
  <si>
    <t>140635</t>
  </si>
  <si>
    <t>16/08/2020</t>
  </si>
  <si>
    <t>53 GB DDR4 RAM</t>
  </si>
  <si>
    <t>140636</t>
  </si>
  <si>
    <t>17/08/2020</t>
  </si>
  <si>
    <t>140637</t>
  </si>
  <si>
    <t>18/08/2020</t>
  </si>
  <si>
    <t>140638</t>
  </si>
  <si>
    <t>19/08/2020</t>
  </si>
  <si>
    <t>140639</t>
  </si>
  <si>
    <t>20/08/2020</t>
  </si>
  <si>
    <t>140640</t>
  </si>
  <si>
    <t>21/08/2020</t>
  </si>
  <si>
    <t>140641</t>
  </si>
  <si>
    <t>22/08/2020</t>
  </si>
  <si>
    <t>140642</t>
  </si>
  <si>
    <t>23/08/2020</t>
  </si>
  <si>
    <t>38 TB SSD</t>
  </si>
  <si>
    <t>140643</t>
  </si>
  <si>
    <t>24/08/2020</t>
  </si>
  <si>
    <t>140644</t>
  </si>
  <si>
    <t>25/08/2020</t>
  </si>
  <si>
    <t>140645</t>
  </si>
  <si>
    <t>26/08/2020</t>
  </si>
  <si>
    <t>41 GB DDR4 Ram</t>
  </si>
  <si>
    <t>140646</t>
  </si>
  <si>
    <t>27/08/2020</t>
  </si>
  <si>
    <t>140647</t>
  </si>
  <si>
    <t>28/08/2020</t>
  </si>
  <si>
    <t>140648</t>
  </si>
  <si>
    <t>29/08/2020</t>
  </si>
  <si>
    <t>140649</t>
  </si>
  <si>
    <t>30/08/2020</t>
  </si>
  <si>
    <t>140650</t>
  </si>
  <si>
    <t>31/08/2020</t>
  </si>
  <si>
    <t>140651</t>
  </si>
  <si>
    <t>01/09/2020</t>
  </si>
  <si>
    <t>140652</t>
  </si>
  <si>
    <t>02/09/2020</t>
  </si>
  <si>
    <t>140653</t>
  </si>
  <si>
    <t>03/09/2020</t>
  </si>
  <si>
    <t>140654</t>
  </si>
  <si>
    <t>04/09/2020</t>
  </si>
  <si>
    <t>140655</t>
  </si>
  <si>
    <t>05/09/2020</t>
  </si>
  <si>
    <t>140656</t>
  </si>
  <si>
    <t>06/09/2020</t>
  </si>
  <si>
    <t>294 GB SSD</t>
  </si>
  <si>
    <t>140657</t>
  </si>
  <si>
    <t>07/09/2020</t>
  </si>
  <si>
    <t>140658</t>
  </si>
  <si>
    <t>140659</t>
  </si>
  <si>
    <t>140660</t>
  </si>
  <si>
    <t>140661</t>
  </si>
  <si>
    <t>41 Fans Cabinet</t>
  </si>
  <si>
    <t>140662</t>
  </si>
  <si>
    <t>140663</t>
  </si>
  <si>
    <t>140664</t>
  </si>
  <si>
    <t>140665</t>
  </si>
  <si>
    <t>40 TB HDD</t>
  </si>
  <si>
    <t>140666</t>
  </si>
  <si>
    <t>550 GB M.2</t>
  </si>
  <si>
    <t>140667</t>
  </si>
  <si>
    <t>RYZEN 3rd gen. 3538</t>
  </si>
  <si>
    <t>140668</t>
  </si>
  <si>
    <t>140669</t>
  </si>
  <si>
    <t>54 GB DDR4 RAM</t>
  </si>
  <si>
    <t>140670</t>
  </si>
  <si>
    <t>140671</t>
  </si>
  <si>
    <t>140672</t>
  </si>
  <si>
    <t>140673</t>
  </si>
  <si>
    <t>140674</t>
  </si>
  <si>
    <t>140675</t>
  </si>
  <si>
    <t>140676</t>
  </si>
  <si>
    <t>39 TB SSD</t>
  </si>
  <si>
    <t>140677</t>
  </si>
  <si>
    <t>140678</t>
  </si>
  <si>
    <t>140679</t>
  </si>
  <si>
    <t>42 GB DDR4 Ram</t>
  </si>
  <si>
    <t>140680</t>
  </si>
  <si>
    <t>140681</t>
  </si>
  <si>
    <t>140682</t>
  </si>
  <si>
    <t>140683</t>
  </si>
  <si>
    <t>140684</t>
  </si>
  <si>
    <t>140685</t>
  </si>
  <si>
    <t>140686</t>
  </si>
  <si>
    <t>140687</t>
  </si>
  <si>
    <t>140688</t>
  </si>
  <si>
    <t>140689</t>
  </si>
  <si>
    <t>140690</t>
  </si>
  <si>
    <t>295 GB SSD</t>
  </si>
  <si>
    <t>140691</t>
  </si>
  <si>
    <t>140692</t>
  </si>
  <si>
    <t>140693</t>
  </si>
  <si>
    <t>140694</t>
  </si>
  <si>
    <t>140695</t>
  </si>
  <si>
    <t>42 Fans Cabinet</t>
  </si>
  <si>
    <t>140696</t>
  </si>
  <si>
    <t>140697</t>
  </si>
  <si>
    <t>140698</t>
  </si>
  <si>
    <t>140699</t>
  </si>
  <si>
    <t>41 TB HDD</t>
  </si>
  <si>
    <t>140700</t>
  </si>
  <si>
    <t>551 GB M.2</t>
  </si>
  <si>
    <t>140701</t>
  </si>
  <si>
    <t>RYZEN 3rd gen. 3539</t>
  </si>
  <si>
    <t>140702</t>
  </si>
  <si>
    <t>140703</t>
  </si>
  <si>
    <t>55 GB DDR4 RAM</t>
  </si>
  <si>
    <t>140704</t>
  </si>
  <si>
    <t>140705</t>
  </si>
  <si>
    <t>140706</t>
  </si>
  <si>
    <t>140707</t>
  </si>
  <si>
    <t>140708</t>
  </si>
  <si>
    <t>140709</t>
  </si>
  <si>
    <t>140710</t>
  </si>
  <si>
    <t>40 TB SSD</t>
  </si>
  <si>
    <t>140711</t>
  </si>
  <si>
    <t>140712</t>
  </si>
  <si>
    <t>140713</t>
  </si>
  <si>
    <t>43 GB DDR4 Ram</t>
  </si>
  <si>
    <t>140714</t>
  </si>
  <si>
    <t>140715</t>
  </si>
  <si>
    <t>140716</t>
  </si>
  <si>
    <t>140717</t>
  </si>
  <si>
    <t>140718</t>
  </si>
  <si>
    <t>140719</t>
  </si>
  <si>
    <t>140720</t>
  </si>
  <si>
    <t>140721</t>
  </si>
  <si>
    <t>140722</t>
  </si>
  <si>
    <t>140723</t>
  </si>
  <si>
    <t>140724</t>
  </si>
  <si>
    <t>296 GB SSD</t>
  </si>
  <si>
    <t>140725</t>
  </si>
  <si>
    <t>140726</t>
  </si>
  <si>
    <t>140727</t>
  </si>
  <si>
    <t>140728</t>
  </si>
  <si>
    <t>140729</t>
  </si>
  <si>
    <t>43 Fans Cabinet</t>
  </si>
  <si>
    <t>140730</t>
  </si>
  <si>
    <t>140731</t>
  </si>
  <si>
    <t>140732</t>
  </si>
  <si>
    <t>140733</t>
  </si>
  <si>
    <t>42 TB HDD</t>
  </si>
  <si>
    <t>140734</t>
  </si>
  <si>
    <t>552 GB M.2</t>
  </si>
  <si>
    <t>140735</t>
  </si>
  <si>
    <t>RYZEN 3rd gen. 3540</t>
  </si>
  <si>
    <t>140736</t>
  </si>
  <si>
    <t>140737</t>
  </si>
  <si>
    <t>56 GB DDR4 RAM</t>
  </si>
  <si>
    <t>140738</t>
  </si>
  <si>
    <t>140739</t>
  </si>
  <si>
    <t>140740</t>
  </si>
  <si>
    <t>140741</t>
  </si>
  <si>
    <t>140742</t>
  </si>
  <si>
    <t>140743</t>
  </si>
  <si>
    <t>140744</t>
  </si>
  <si>
    <t>41 TB SSD</t>
  </si>
  <si>
    <t>140745</t>
  </si>
  <si>
    <t>140746</t>
  </si>
  <si>
    <t>140747</t>
  </si>
  <si>
    <t>44 GB DDR4 Ram</t>
  </si>
  <si>
    <t>140748</t>
  </si>
  <si>
    <t>140749</t>
  </si>
  <si>
    <t>140750</t>
  </si>
  <si>
    <t>140751</t>
  </si>
  <si>
    <t>140752</t>
  </si>
  <si>
    <t>140753</t>
  </si>
  <si>
    <t>08/09/2020</t>
  </si>
  <si>
    <t>140754</t>
  </si>
  <si>
    <t>09/09/2020</t>
  </si>
  <si>
    <t>140755</t>
  </si>
  <si>
    <t>10/09/2020</t>
  </si>
  <si>
    <t>140756</t>
  </si>
  <si>
    <t>140757</t>
  </si>
  <si>
    <t>140758</t>
  </si>
  <si>
    <t>297 GB SSD</t>
  </si>
  <si>
    <t>140759</t>
  </si>
  <si>
    <t>140760</t>
  </si>
  <si>
    <t>140761</t>
  </si>
  <si>
    <t>140762</t>
  </si>
  <si>
    <t>140763</t>
  </si>
  <si>
    <t>44 Fans Cabinet</t>
  </si>
  <si>
    <t>140764</t>
  </si>
  <si>
    <t>140765</t>
  </si>
  <si>
    <t>140766</t>
  </si>
  <si>
    <t>140767</t>
  </si>
  <si>
    <t>43 TB HDD</t>
  </si>
  <si>
    <t>140768</t>
  </si>
  <si>
    <t>553 GB M.2</t>
  </si>
  <si>
    <t>140769</t>
  </si>
  <si>
    <t>RYZEN 3rd gen. 3541</t>
  </si>
  <si>
    <t>140770</t>
  </si>
  <si>
    <t>140771</t>
  </si>
  <si>
    <t>57 GB DDR4 RAM</t>
  </si>
  <si>
    <t>140772</t>
  </si>
  <si>
    <t>140773</t>
  </si>
  <si>
    <t>140774</t>
  </si>
  <si>
    <t>140775</t>
  </si>
  <si>
    <t>140776</t>
  </si>
  <si>
    <t>140777</t>
  </si>
  <si>
    <t>140778</t>
  </si>
  <si>
    <t>42 TB SSD</t>
  </si>
  <si>
    <t>140779</t>
  </si>
  <si>
    <t>140780</t>
  </si>
  <si>
    <t>140781</t>
  </si>
  <si>
    <t>45 GB DDR4 Ram</t>
  </si>
  <si>
    <t>140782</t>
  </si>
  <si>
    <t>140783</t>
  </si>
  <si>
    <t>140784</t>
  </si>
  <si>
    <t>140785</t>
  </si>
  <si>
    <t>140786</t>
  </si>
  <si>
    <t>140787</t>
  </si>
  <si>
    <t>140788</t>
  </si>
  <si>
    <t>140789</t>
  </si>
  <si>
    <t>140790</t>
  </si>
  <si>
    <t>140791</t>
  </si>
  <si>
    <t>140792</t>
  </si>
  <si>
    <t>298 GB SSD</t>
  </si>
  <si>
    <t>140793</t>
  </si>
  <si>
    <t>140794</t>
  </si>
  <si>
    <t>140795</t>
  </si>
  <si>
    <t>11/09/2020</t>
  </si>
  <si>
    <t>140796</t>
  </si>
  <si>
    <t>12/09/2020</t>
  </si>
  <si>
    <t>140797</t>
  </si>
  <si>
    <t>13/09/2020</t>
  </si>
  <si>
    <t>45 Fans Cabinet</t>
  </si>
  <si>
    <t>140798</t>
  </si>
  <si>
    <t>14/09/2020</t>
  </si>
  <si>
    <t>140799</t>
  </si>
  <si>
    <t>15/09/2020</t>
  </si>
  <si>
    <t>140800</t>
  </si>
  <si>
    <t>16/09/2020</t>
  </si>
  <si>
    <t>140801</t>
  </si>
  <si>
    <t>17/09/2020</t>
  </si>
  <si>
    <t>44 TB HDD</t>
  </si>
  <si>
    <t>140802</t>
  </si>
  <si>
    <t>18/09/2020</t>
  </si>
  <si>
    <t>554 GB M.2</t>
  </si>
  <si>
    <t>140803</t>
  </si>
  <si>
    <t>19/09/2020</t>
  </si>
  <si>
    <t>RYZEN 3rd gen. 3542</t>
  </si>
  <si>
    <t>140804</t>
  </si>
  <si>
    <t>20/09/2020</t>
  </si>
  <si>
    <t>140805</t>
  </si>
  <si>
    <t>21/09/2020</t>
  </si>
  <si>
    <t>58 GB DDR4 RAM</t>
  </si>
  <si>
    <t>140806</t>
  </si>
  <si>
    <t>22/09/2020</t>
  </si>
  <si>
    <t>140807</t>
  </si>
  <si>
    <t>23/09/2020</t>
  </si>
  <si>
    <t>140808</t>
  </si>
  <si>
    <t>24/09/2020</t>
  </si>
  <si>
    <t>140809</t>
  </si>
  <si>
    <t>25/09/2020</t>
  </si>
  <si>
    <t>140810</t>
  </si>
  <si>
    <t>26/09/2020</t>
  </si>
  <si>
    <t>140811</t>
  </si>
  <si>
    <t>27/09/2020</t>
  </si>
  <si>
    <t>140812</t>
  </si>
  <si>
    <t>28/09/2020</t>
  </si>
  <si>
    <t>43 TB SSD</t>
  </si>
  <si>
    <t>140813</t>
  </si>
  <si>
    <t>29/09/2020</t>
  </si>
  <si>
    <t>140814</t>
  </si>
  <si>
    <t>30/09/2020</t>
  </si>
  <si>
    <t>140815</t>
  </si>
  <si>
    <t>01/10/2020</t>
  </si>
  <si>
    <t>46 GB DDR4 Ram</t>
  </si>
  <si>
    <t>140816</t>
  </si>
  <si>
    <t>02/10/2020</t>
  </si>
  <si>
    <t>140817</t>
  </si>
  <si>
    <t>03/10/2020</t>
  </si>
  <si>
    <t>140818</t>
  </si>
  <si>
    <t>04/10/2020</t>
  </si>
  <si>
    <t>140819</t>
  </si>
  <si>
    <t>05/10/2020</t>
  </si>
  <si>
    <t>140820</t>
  </si>
  <si>
    <t>06/10/2020</t>
  </si>
  <si>
    <t>140821</t>
  </si>
  <si>
    <t>07/10/2020</t>
  </si>
  <si>
    <t>140822</t>
  </si>
  <si>
    <t>08/10/2020</t>
  </si>
  <si>
    <t>140823</t>
  </si>
  <si>
    <t>09/10/2020</t>
  </si>
  <si>
    <t>140824</t>
  </si>
  <si>
    <t>10/10/2020</t>
  </si>
  <si>
    <t>140825</t>
  </si>
  <si>
    <t>11/10/2020</t>
  </si>
  <si>
    <t>140826</t>
  </si>
  <si>
    <t>12/10/2020</t>
  </si>
  <si>
    <t>299 GB SSD</t>
  </si>
  <si>
    <t>140827</t>
  </si>
  <si>
    <t>13/10/2020</t>
  </si>
  <si>
    <t>140828</t>
  </si>
  <si>
    <t>14/10/2020</t>
  </si>
  <si>
    <t>140829</t>
  </si>
  <si>
    <t>15/10/2020</t>
  </si>
  <si>
    <t>140830</t>
  </si>
  <si>
    <t>16/10/2020</t>
  </si>
  <si>
    <t>140831</t>
  </si>
  <si>
    <t>17/10/2020</t>
  </si>
  <si>
    <t>46 Fans Cabinet</t>
  </si>
  <si>
    <t>140832</t>
  </si>
  <si>
    <t>18/10/2020</t>
  </si>
  <si>
    <t>140833</t>
  </si>
  <si>
    <t>19/10/2020</t>
  </si>
  <si>
    <t>140834</t>
  </si>
  <si>
    <t>20/10/2020</t>
  </si>
  <si>
    <t>140835</t>
  </si>
  <si>
    <t>21/10/2020</t>
  </si>
  <si>
    <t>45 TB HDD</t>
  </si>
  <si>
    <t>140836</t>
  </si>
  <si>
    <t>22/10/2020</t>
  </si>
  <si>
    <t>555 GB M.2</t>
  </si>
  <si>
    <t>140837</t>
  </si>
  <si>
    <t>23/10/2020</t>
  </si>
  <si>
    <t>RYZEN 3rd gen. 3543</t>
  </si>
  <si>
    <t>140838</t>
  </si>
  <si>
    <t>24/10/2020</t>
  </si>
  <si>
    <t>140839</t>
  </si>
  <si>
    <t>25/10/2020</t>
  </si>
  <si>
    <t>59 GB DDR4 RAM</t>
  </si>
  <si>
    <t>140840</t>
  </si>
  <si>
    <t>140841</t>
  </si>
  <si>
    <t>140842</t>
  </si>
  <si>
    <t>140843</t>
  </si>
  <si>
    <t>140844</t>
  </si>
  <si>
    <t>140845</t>
  </si>
  <si>
    <t>140846</t>
  </si>
  <si>
    <t>44 TB SSD</t>
  </si>
  <si>
    <t>140847</t>
  </si>
  <si>
    <t>26/10/2020</t>
  </si>
  <si>
    <t>140848</t>
  </si>
  <si>
    <t>27/10/2020</t>
  </si>
  <si>
    <t>140849</t>
  </si>
  <si>
    <t>28/10/2020</t>
  </si>
  <si>
    <t>47 GB DDR4 Ram</t>
  </si>
  <si>
    <t>140850</t>
  </si>
  <si>
    <t>29/10/2020</t>
  </si>
  <si>
    <t>140851</t>
  </si>
  <si>
    <t>30/10/2020</t>
  </si>
  <si>
    <t>140852</t>
  </si>
  <si>
    <t>31/10/2020</t>
  </si>
  <si>
    <t>140853</t>
  </si>
  <si>
    <t>01/11/2020</t>
  </si>
  <si>
    <t>140854</t>
  </si>
  <si>
    <t>02/11/2020</t>
  </si>
  <si>
    <t>140855</t>
  </si>
  <si>
    <t>03/11/2020</t>
  </si>
  <si>
    <t>140856</t>
  </si>
  <si>
    <t>04/11/2020</t>
  </si>
  <si>
    <t>140857</t>
  </si>
  <si>
    <t>05/11/2020</t>
  </si>
  <si>
    <t>140858</t>
  </si>
  <si>
    <t>140859</t>
  </si>
  <si>
    <t>140860</t>
  </si>
  <si>
    <t>300 GB SSD</t>
  </si>
  <si>
    <t>140861</t>
  </si>
  <si>
    <t>140862</t>
  </si>
  <si>
    <t>140863</t>
  </si>
  <si>
    <t>140864</t>
  </si>
  <si>
    <t>140865</t>
  </si>
  <si>
    <t>47 Fans Cabinet</t>
  </si>
  <si>
    <t>140866</t>
  </si>
  <si>
    <t>140867</t>
  </si>
  <si>
    <t>140868</t>
  </si>
  <si>
    <t>140869</t>
  </si>
  <si>
    <t>46 TB HDD</t>
  </si>
  <si>
    <t>140870</t>
  </si>
  <si>
    <t>556 GB M.2</t>
  </si>
  <si>
    <t>140871</t>
  </si>
  <si>
    <t>RYZEN 3rd gen. 3544</t>
  </si>
  <si>
    <t>140872</t>
  </si>
  <si>
    <t>140873</t>
  </si>
  <si>
    <t>60 GB DDR4 RAM</t>
  </si>
  <si>
    <t>140874</t>
  </si>
  <si>
    <t>140875</t>
  </si>
  <si>
    <t>140876</t>
  </si>
  <si>
    <t>140877</t>
  </si>
  <si>
    <t>140878</t>
  </si>
  <si>
    <t>140879</t>
  </si>
  <si>
    <t>140880</t>
  </si>
  <si>
    <t>45 TB SSD</t>
  </si>
  <si>
    <t>140881</t>
  </si>
  <si>
    <t>140882</t>
  </si>
  <si>
    <t>140883</t>
  </si>
  <si>
    <t>48 GB DDR4 Ram</t>
  </si>
  <si>
    <t>140884</t>
  </si>
  <si>
    <t>140885</t>
  </si>
  <si>
    <t>140886</t>
  </si>
  <si>
    <t>140887</t>
  </si>
  <si>
    <t>140888</t>
  </si>
  <si>
    <t>06/11/2020</t>
  </si>
  <si>
    <t>140889</t>
  </si>
  <si>
    <t>07/11/2020</t>
  </si>
  <si>
    <t>140890</t>
  </si>
  <si>
    <t>08/11/2020</t>
  </si>
  <si>
    <t>140891</t>
  </si>
  <si>
    <t>09/11/2020</t>
  </si>
  <si>
    <t>140892</t>
  </si>
  <si>
    <t>10/11/2020</t>
  </si>
  <si>
    <t>140893</t>
  </si>
  <si>
    <t>11/11/2020</t>
  </si>
  <si>
    <t>140894</t>
  </si>
  <si>
    <t>12/11/2020</t>
  </si>
  <si>
    <t>301 GB SSD</t>
  </si>
  <si>
    <t>140895</t>
  </si>
  <si>
    <t>13/11/2020</t>
  </si>
  <si>
    <t>140896</t>
  </si>
  <si>
    <t>14/11/2020</t>
  </si>
  <si>
    <t>140897</t>
  </si>
  <si>
    <t>15/11/2020</t>
  </si>
  <si>
    <t>140898</t>
  </si>
  <si>
    <t>16/11/2020</t>
  </si>
  <si>
    <t>140899</t>
  </si>
  <si>
    <t>17/11/2020</t>
  </si>
  <si>
    <t>48 Fans Cabinet</t>
  </si>
  <si>
    <t>140900</t>
  </si>
  <si>
    <t>18/11/2020</t>
  </si>
  <si>
    <t>140901</t>
  </si>
  <si>
    <t>19/11/2020</t>
  </si>
  <si>
    <t>140902</t>
  </si>
  <si>
    <t>20/11/2020</t>
  </si>
  <si>
    <t>140903</t>
  </si>
  <si>
    <t>21/11/2020</t>
  </si>
  <si>
    <t>47 TB HDD</t>
  </si>
  <si>
    <t>140904</t>
  </si>
  <si>
    <t>22/11/2020</t>
  </si>
  <si>
    <t>557 GB M.2</t>
  </si>
  <si>
    <t>140905</t>
  </si>
  <si>
    <t>RYZEN 3rd gen. 3545</t>
  </si>
  <si>
    <t>140906</t>
  </si>
  <si>
    <t>140907</t>
  </si>
  <si>
    <t>61 GB DDR4 RAM</t>
  </si>
  <si>
    <t>140908</t>
  </si>
  <si>
    <t>140909</t>
  </si>
  <si>
    <t>140910</t>
  </si>
  <si>
    <t>140911</t>
  </si>
  <si>
    <t>140912</t>
  </si>
  <si>
    <t>140913</t>
  </si>
  <si>
    <t>140914</t>
  </si>
  <si>
    <t>46 TB SSD</t>
  </si>
  <si>
    <t>140915</t>
  </si>
  <si>
    <t>140916</t>
  </si>
  <si>
    <t>140917</t>
  </si>
  <si>
    <t>49 GB DDR4 Ram</t>
  </si>
  <si>
    <t>140918</t>
  </si>
  <si>
    <t>140919</t>
  </si>
  <si>
    <t>140920</t>
  </si>
  <si>
    <t>140921</t>
  </si>
  <si>
    <t>140922</t>
  </si>
  <si>
    <t>140923</t>
  </si>
  <si>
    <t>23/11/2020</t>
  </si>
  <si>
    <t>140924</t>
  </si>
  <si>
    <t>24/11/2020</t>
  </si>
  <si>
    <t>140925</t>
  </si>
  <si>
    <t>25/11/2020</t>
  </si>
  <si>
    <t>140926</t>
  </si>
  <si>
    <t>26/11/2020</t>
  </si>
  <si>
    <t>140927</t>
  </si>
  <si>
    <t>27/11/2020</t>
  </si>
  <si>
    <t>140928</t>
  </si>
  <si>
    <t>28/11/2020</t>
  </si>
  <si>
    <t>302 GB SSD</t>
  </si>
  <si>
    <t>140929</t>
  </si>
  <si>
    <t>29/11/2020</t>
  </si>
  <si>
    <t>140930</t>
  </si>
  <si>
    <t>30/11/2020</t>
  </si>
  <si>
    <t>140931</t>
  </si>
  <si>
    <t>01/12/2020</t>
  </si>
  <si>
    <t>140932</t>
  </si>
  <si>
    <t>02/12/2020</t>
  </si>
  <si>
    <t>140933</t>
  </si>
  <si>
    <t>03/12/2020</t>
  </si>
  <si>
    <t>49 Fans Cabinet</t>
  </si>
  <si>
    <t>140934</t>
  </si>
  <si>
    <t>04/12/2020</t>
  </si>
  <si>
    <t>140935</t>
  </si>
  <si>
    <t>05/12/2020</t>
  </si>
  <si>
    <t>140936</t>
  </si>
  <si>
    <t>06/12/2020</t>
  </si>
  <si>
    <t>140937</t>
  </si>
  <si>
    <t>07/12/2020</t>
  </si>
  <si>
    <t>48 TB HDD</t>
  </si>
  <si>
    <t>140938</t>
  </si>
  <si>
    <t>08/12/2020</t>
  </si>
  <si>
    <t>558 GB M.2</t>
  </si>
  <si>
    <t>140939</t>
  </si>
  <si>
    <t>09/12/2020</t>
  </si>
  <si>
    <t>RYZEN 3rd gen. 3546</t>
  </si>
  <si>
    <t>140940</t>
  </si>
  <si>
    <t>10/12/2020</t>
  </si>
  <si>
    <t>140941</t>
  </si>
  <si>
    <t>62 GB DDR4 RAM</t>
  </si>
  <si>
    <t>140942</t>
  </si>
  <si>
    <t>140943</t>
  </si>
  <si>
    <t>140944</t>
  </si>
  <si>
    <t>140945</t>
  </si>
  <si>
    <t>140946</t>
  </si>
  <si>
    <t>140947</t>
  </si>
  <si>
    <t>11/12/2020</t>
  </si>
  <si>
    <t>140948</t>
  </si>
  <si>
    <t>12/12/2020</t>
  </si>
  <si>
    <t>47 TB SSD</t>
  </si>
  <si>
    <t>140949</t>
  </si>
  <si>
    <t>13/12/2020</t>
  </si>
  <si>
    <t>140950</t>
  </si>
  <si>
    <t>14/12/2020</t>
  </si>
  <si>
    <t>140951</t>
  </si>
  <si>
    <t>15/12/2020</t>
  </si>
  <si>
    <t>50 GB DDR4 Ram</t>
  </si>
  <si>
    <t>140952</t>
  </si>
  <si>
    <t>16/12/2020</t>
  </si>
  <si>
    <t>140953</t>
  </si>
  <si>
    <t>17/12/2020</t>
  </si>
  <si>
    <t>140954</t>
  </si>
  <si>
    <t>140955</t>
  </si>
  <si>
    <t>140956</t>
  </si>
  <si>
    <t>140957</t>
  </si>
  <si>
    <t>140958</t>
  </si>
  <si>
    <t>140959</t>
  </si>
  <si>
    <t>140960</t>
  </si>
  <si>
    <t>140961</t>
  </si>
  <si>
    <t>140962</t>
  </si>
  <si>
    <t>303 GB SSD</t>
  </si>
  <si>
    <t>140963</t>
  </si>
  <si>
    <t>140964</t>
  </si>
  <si>
    <t>140965</t>
  </si>
  <si>
    <t>140966</t>
  </si>
  <si>
    <t>18/12/2020</t>
  </si>
  <si>
    <t>140967</t>
  </si>
  <si>
    <t>19/12/2020</t>
  </si>
  <si>
    <t>50 Fans Cabinet</t>
  </si>
  <si>
    <t>140968</t>
  </si>
  <si>
    <t>20/12/2020</t>
  </si>
  <si>
    <t>140969</t>
  </si>
  <si>
    <t>21/12/2020</t>
  </si>
  <si>
    <t>140970</t>
  </si>
  <si>
    <t>22/12/2020</t>
  </si>
  <si>
    <t>140971</t>
  </si>
  <si>
    <t>49 TB HDD</t>
  </si>
  <si>
    <t>140972</t>
  </si>
  <si>
    <t>559 GB M.2</t>
  </si>
  <si>
    <t>140973</t>
  </si>
  <si>
    <t>RYZEN 3rd gen. 3547</t>
  </si>
  <si>
    <t>140974</t>
  </si>
  <si>
    <t>140975</t>
  </si>
  <si>
    <t>63 GB DDR4 RAM</t>
  </si>
  <si>
    <t>140976</t>
  </si>
  <si>
    <t>140977</t>
  </si>
  <si>
    <t>140978</t>
  </si>
  <si>
    <t>140979</t>
  </si>
  <si>
    <t>140980</t>
  </si>
  <si>
    <t>140981</t>
  </si>
  <si>
    <t>140982</t>
  </si>
  <si>
    <t>48 TB SSD</t>
  </si>
  <si>
    <t>140983</t>
  </si>
  <si>
    <t>140984</t>
  </si>
  <si>
    <t>140985</t>
  </si>
  <si>
    <t>51 GB DDR4 Ram</t>
  </si>
  <si>
    <t>140986</t>
  </si>
  <si>
    <t>140987</t>
  </si>
  <si>
    <t>140988</t>
  </si>
  <si>
    <t>140989</t>
  </si>
  <si>
    <t>140990</t>
  </si>
  <si>
    <t>23/12/2020</t>
  </si>
  <si>
    <t>140991</t>
  </si>
  <si>
    <t>24/12/2020</t>
  </si>
  <si>
    <t>140992</t>
  </si>
  <si>
    <t>25/12/2020</t>
  </si>
  <si>
    <t>140993</t>
  </si>
  <si>
    <t>26/12/2020</t>
  </si>
  <si>
    <t>140994</t>
  </si>
  <si>
    <t>27/12/2020</t>
  </si>
  <si>
    <t>140995</t>
  </si>
  <si>
    <t>140996</t>
  </si>
  <si>
    <t>304 GB SSD</t>
  </si>
  <si>
    <t>140997</t>
  </si>
  <si>
    <t>140998</t>
  </si>
  <si>
    <t>140999</t>
  </si>
  <si>
    <t>141000</t>
  </si>
  <si>
    <t>141001</t>
  </si>
  <si>
    <t>51 Fans Cabinet</t>
  </si>
  <si>
    <t>141002</t>
  </si>
  <si>
    <t>141003</t>
  </si>
  <si>
    <t>141004</t>
  </si>
  <si>
    <t>141005</t>
  </si>
  <si>
    <t>50 TB HDD</t>
  </si>
  <si>
    <t>141006</t>
  </si>
  <si>
    <t>560 GB M.2</t>
  </si>
  <si>
    <t>141007</t>
  </si>
  <si>
    <t>RYZEN 3rd gen. 3548</t>
  </si>
  <si>
    <t>141008</t>
  </si>
  <si>
    <t>141009</t>
  </si>
  <si>
    <t>64 GB DDR4 RAM</t>
  </si>
  <si>
    <t>141010</t>
  </si>
  <si>
    <t>141011</t>
  </si>
  <si>
    <t>141012</t>
  </si>
  <si>
    <t>141013</t>
  </si>
  <si>
    <t>141014</t>
  </si>
  <si>
    <t>141015</t>
  </si>
  <si>
    <t>141016</t>
  </si>
  <si>
    <t>28/12/2020</t>
  </si>
  <si>
    <t>49 TB SSD</t>
  </si>
  <si>
    <t>141017</t>
  </si>
  <si>
    <t>29/12/2020</t>
  </si>
  <si>
    <t>141018</t>
  </si>
  <si>
    <t>30/12/2020</t>
  </si>
  <si>
    <t>141019</t>
  </si>
  <si>
    <t>31/12/2020</t>
  </si>
  <si>
    <t>52 GB DDR4 Ram</t>
  </si>
  <si>
    <t>141020</t>
  </si>
  <si>
    <t>01/01/2021</t>
  </si>
  <si>
    <t>141021</t>
  </si>
  <si>
    <t>141022</t>
  </si>
  <si>
    <t>141023</t>
  </si>
  <si>
    <t>141024</t>
  </si>
  <si>
    <t>141025</t>
  </si>
  <si>
    <t>141026</t>
  </si>
  <si>
    <t>141027</t>
  </si>
  <si>
    <t>141028</t>
  </si>
  <si>
    <t>141029</t>
  </si>
  <si>
    <t>141030</t>
  </si>
  <si>
    <t>305 GB SSD</t>
  </si>
  <si>
    <t>141031</t>
  </si>
  <si>
    <t>141032</t>
  </si>
  <si>
    <t>141033</t>
  </si>
  <si>
    <t>141034</t>
  </si>
  <si>
    <t>141035</t>
  </si>
  <si>
    <t>52 Fans Cabinet</t>
  </si>
  <si>
    <t>141036</t>
  </si>
  <si>
    <t>141037</t>
  </si>
  <si>
    <t>141038</t>
  </si>
  <si>
    <t>02/01/2021</t>
  </si>
  <si>
    <t>141039</t>
  </si>
  <si>
    <t>03/01/2021</t>
  </si>
  <si>
    <t>51 TB HDD</t>
  </si>
  <si>
    <t>141040</t>
  </si>
  <si>
    <t>04/01/2021</t>
  </si>
  <si>
    <t>561 GB M.2</t>
  </si>
  <si>
    <t>141041</t>
  </si>
  <si>
    <t>05/01/2021</t>
  </si>
  <si>
    <t>RYZEN 3rd gen. 3549</t>
  </si>
  <si>
    <t>141042</t>
  </si>
  <si>
    <t>06/01/2021</t>
  </si>
  <si>
    <t>141043</t>
  </si>
  <si>
    <t>07/01/2021</t>
  </si>
  <si>
    <t>65 GB DDR4 RAM</t>
  </si>
  <si>
    <t>141044</t>
  </si>
  <si>
    <t>08/01/2021</t>
  </si>
  <si>
    <t>141045</t>
  </si>
  <si>
    <t>09/01/2021</t>
  </si>
  <si>
    <t>141046</t>
  </si>
  <si>
    <t>10/01/2021</t>
  </si>
  <si>
    <t>141047</t>
  </si>
  <si>
    <t>11/01/2021</t>
  </si>
  <si>
    <t>141048</t>
  </si>
  <si>
    <t>12/01/2021</t>
  </si>
  <si>
    <t>141049</t>
  </si>
  <si>
    <t>141050</t>
  </si>
  <si>
    <t>50 TB SSD</t>
  </si>
  <si>
    <t>141051</t>
  </si>
  <si>
    <t>141052</t>
  </si>
  <si>
    <t>13/01/2021</t>
  </si>
  <si>
    <t>141053</t>
  </si>
  <si>
    <t>14/01/2021</t>
  </si>
  <si>
    <t>53 GB DDR4 Ram</t>
  </si>
  <si>
    <t>141054</t>
  </si>
  <si>
    <t>15/01/2021</t>
  </si>
  <si>
    <t>141055</t>
  </si>
  <si>
    <t>16/01/2021</t>
  </si>
  <si>
    <t>141056</t>
  </si>
  <si>
    <t>17/01/2021</t>
  </si>
  <si>
    <t>141057</t>
  </si>
  <si>
    <t>18/01/2021</t>
  </si>
  <si>
    <t>141058</t>
  </si>
  <si>
    <t>19/01/2021</t>
  </si>
  <si>
    <t>141059</t>
  </si>
  <si>
    <t>20/01/2021</t>
  </si>
  <si>
    <t>141060</t>
  </si>
  <si>
    <t>21/01/2021</t>
  </si>
  <si>
    <t>141061</t>
  </si>
  <si>
    <t>22/01/2021</t>
  </si>
  <si>
    <t>141062</t>
  </si>
  <si>
    <t>23/01/2021</t>
  </si>
  <si>
    <t>141063</t>
  </si>
  <si>
    <t>24/01/2021</t>
  </si>
  <si>
    <t>141064</t>
  </si>
  <si>
    <t>25/01/2021</t>
  </si>
  <si>
    <t>306 GB SSD</t>
  </si>
  <si>
    <t>141065</t>
  </si>
  <si>
    <t>26/01/2021</t>
  </si>
  <si>
    <t>141066</t>
  </si>
  <si>
    <t>27/01/2021</t>
  </si>
  <si>
    <t>141067</t>
  </si>
  <si>
    <t>28/01/2021</t>
  </si>
  <si>
    <t>141068</t>
  </si>
  <si>
    <t>29/01/2021</t>
  </si>
  <si>
    <t>141069</t>
  </si>
  <si>
    <t>30/01/2021</t>
  </si>
  <si>
    <t>53 Fans Cabinet</t>
  </si>
  <si>
    <t>141070</t>
  </si>
  <si>
    <t>31/01/2021</t>
  </si>
  <si>
    <t>141071</t>
  </si>
  <si>
    <t>01/02/2021</t>
  </si>
  <si>
    <t>141072</t>
  </si>
  <si>
    <t>141073</t>
  </si>
  <si>
    <t>02/02/2021</t>
  </si>
  <si>
    <t>52 TB HDD</t>
  </si>
  <si>
    <t>141074</t>
  </si>
  <si>
    <t>03/02/2021</t>
  </si>
  <si>
    <t>562 GB M.2</t>
  </si>
  <si>
    <t>141075</t>
  </si>
  <si>
    <t>RYZEN 3rd gen. 3550</t>
  </si>
  <si>
    <t>141076</t>
  </si>
  <si>
    <t>141077</t>
  </si>
  <si>
    <t>04/02/2021</t>
  </si>
  <si>
    <t>66 GB DDR4 RAM</t>
  </si>
  <si>
    <t>141078</t>
  </si>
  <si>
    <t>05/02/2021</t>
  </si>
  <si>
    <t>141079</t>
  </si>
  <si>
    <t>06/02/2021</t>
  </si>
  <si>
    <t>141080</t>
  </si>
  <si>
    <t>07/02/2021</t>
  </si>
  <si>
    <t>141081</t>
  </si>
  <si>
    <t>08/02/2021</t>
  </si>
  <si>
    <t>141082</t>
  </si>
  <si>
    <t>09/02/2021</t>
  </si>
  <si>
    <t>141083</t>
  </si>
  <si>
    <t>10/02/2021</t>
  </si>
  <si>
    <t>141084</t>
  </si>
  <si>
    <t>11/02/2021</t>
  </si>
  <si>
    <t>51 TB SSD</t>
  </si>
  <si>
    <t>141085</t>
  </si>
  <si>
    <t>12/02/2021</t>
  </si>
  <si>
    <t>141086</t>
  </si>
  <si>
    <t>13/02/2021</t>
  </si>
  <si>
    <t>141087</t>
  </si>
  <si>
    <t>14/02/2021</t>
  </si>
  <si>
    <t>54 GB DDR4 Ram</t>
  </si>
  <si>
    <t>141088</t>
  </si>
  <si>
    <t>15/02/2021</t>
  </si>
  <si>
    <t>141089</t>
  </si>
  <si>
    <t>16/02/2021</t>
  </si>
  <si>
    <t>141090</t>
  </si>
  <si>
    <t>17/02/2021</t>
  </si>
  <si>
    <t>141091</t>
  </si>
  <si>
    <t>18/02/2021</t>
  </si>
  <si>
    <t>141092</t>
  </si>
  <si>
    <t>19/02/2021</t>
  </si>
  <si>
    <t>141093</t>
  </si>
  <si>
    <t>141094</t>
  </si>
  <si>
    <t>141095</t>
  </si>
  <si>
    <t>141096</t>
  </si>
  <si>
    <t>20/02/2021</t>
  </si>
  <si>
    <t>141097</t>
  </si>
  <si>
    <t>21/02/2021</t>
  </si>
  <si>
    <t>141098</t>
  </si>
  <si>
    <t>22/02/2021</t>
  </si>
  <si>
    <t>307 GB SSD</t>
  </si>
  <si>
    <t>141099</t>
  </si>
  <si>
    <t>23/02/2021</t>
  </si>
  <si>
    <t>141100</t>
  </si>
  <si>
    <t>24/02/2021</t>
  </si>
  <si>
    <t>141101</t>
  </si>
  <si>
    <t>25/02/2021</t>
  </si>
  <si>
    <t>141102</t>
  </si>
  <si>
    <t>26/02/2021</t>
  </si>
  <si>
    <t>141103</t>
  </si>
  <si>
    <t>27/02/2021</t>
  </si>
  <si>
    <t>54 Fans Cabinet</t>
  </si>
  <si>
    <t>141104</t>
  </si>
  <si>
    <t>28/02/2021</t>
  </si>
  <si>
    <t>141105</t>
  </si>
  <si>
    <t>01/03/2021</t>
  </si>
  <si>
    <t>141106</t>
  </si>
  <si>
    <t>02/03/2021</t>
  </si>
  <si>
    <t>141107</t>
  </si>
  <si>
    <t>03/03/2021</t>
  </si>
  <si>
    <t>53 TB HDD</t>
  </si>
  <si>
    <t>141108</t>
  </si>
  <si>
    <t>04/03/2021</t>
  </si>
  <si>
    <t>563 GB M.2</t>
  </si>
  <si>
    <t>141109</t>
  </si>
  <si>
    <t>05/03/2021</t>
  </si>
  <si>
    <t>RYZEN 3rd gen. 3551</t>
  </si>
  <si>
    <t>141110</t>
  </si>
  <si>
    <t>141111</t>
  </si>
  <si>
    <t>06/03/2021</t>
  </si>
  <si>
    <t>67 GB DDR4 RAM</t>
  </si>
  <si>
    <t>141112</t>
  </si>
  <si>
    <t>07/03/2021</t>
  </si>
  <si>
    <t>141113</t>
  </si>
  <si>
    <t>141114</t>
  </si>
  <si>
    <t>141115</t>
  </si>
  <si>
    <t>141116</t>
  </si>
  <si>
    <t>141117</t>
  </si>
  <si>
    <t>141118</t>
  </si>
  <si>
    <t>52 TB SSD</t>
  </si>
  <si>
    <t>141119</t>
  </si>
  <si>
    <t>08/03/2021</t>
  </si>
  <si>
    <t>141120</t>
  </si>
  <si>
    <t>09/03/2021</t>
  </si>
  <si>
    <t>141121</t>
  </si>
  <si>
    <t>10/03/2021</t>
  </si>
  <si>
    <t>55 GB DDR4 Ram</t>
  </si>
  <si>
    <t>141122</t>
  </si>
  <si>
    <t>11/03/2021</t>
  </si>
  <si>
    <t>141123</t>
  </si>
  <si>
    <t>12/03/2021</t>
  </si>
  <si>
    <t>141124</t>
  </si>
  <si>
    <t>13/03/2021</t>
  </si>
  <si>
    <t>141125</t>
  </si>
  <si>
    <t>14/03/2021</t>
  </si>
  <si>
    <t>141126</t>
  </si>
  <si>
    <t>15/03/2021</t>
  </si>
  <si>
    <t>141127</t>
  </si>
  <si>
    <t>16/03/2021</t>
  </si>
  <si>
    <t>141128</t>
  </si>
  <si>
    <t>141129</t>
  </si>
  <si>
    <t>141130</t>
  </si>
  <si>
    <t>141131</t>
  </si>
  <si>
    <t>141132</t>
  </si>
  <si>
    <t>308 GB SSD</t>
  </si>
  <si>
    <t>141133</t>
  </si>
  <si>
    <t>141134</t>
  </si>
  <si>
    <t>141135</t>
  </si>
  <si>
    <t>141136</t>
  </si>
  <si>
    <t>141137</t>
  </si>
  <si>
    <t>17/03/2021</t>
  </si>
  <si>
    <t>55 Fans Cabinet</t>
  </si>
  <si>
    <t>141138</t>
  </si>
  <si>
    <t>18/03/2021</t>
  </si>
  <si>
    <t>141139</t>
  </si>
  <si>
    <t>141140</t>
  </si>
  <si>
    <t>141141</t>
  </si>
  <si>
    <t>54 TB HDD</t>
  </si>
  <si>
    <t>141142</t>
  </si>
  <si>
    <t>564 GB M.2</t>
  </si>
  <si>
    <t>141143</t>
  </si>
  <si>
    <t>RYZEN 3rd gen. 3552</t>
  </si>
  <si>
    <t>141144</t>
  </si>
  <si>
    <t>141145</t>
  </si>
  <si>
    <t>68 GB DDR4 RAM</t>
  </si>
  <si>
    <t>141146</t>
  </si>
  <si>
    <t>19/03/2021</t>
  </si>
  <si>
    <t>141147</t>
  </si>
  <si>
    <t>141148</t>
  </si>
  <si>
    <t>141149</t>
  </si>
  <si>
    <t>141150</t>
  </si>
  <si>
    <t>141151</t>
  </si>
  <si>
    <t>141152</t>
  </si>
  <si>
    <t>53 TB SSD</t>
  </si>
  <si>
    <t>141153</t>
  </si>
  <si>
    <t>20/03/2021</t>
  </si>
  <si>
    <t>141154</t>
  </si>
  <si>
    <t>21/03/2021</t>
  </si>
  <si>
    <t>141155</t>
  </si>
  <si>
    <t>22/03/2021</t>
  </si>
  <si>
    <t>56 GB DDR4 Ram</t>
  </si>
  <si>
    <t>141156</t>
  </si>
  <si>
    <t>23/03/2021</t>
  </si>
  <si>
    <t>141157</t>
  </si>
  <si>
    <t>24/03/2021</t>
  </si>
  <si>
    <t>141158</t>
  </si>
  <si>
    <t>141159</t>
  </si>
  <si>
    <t>141160</t>
  </si>
  <si>
    <t>141161</t>
  </si>
  <si>
    <t>141162</t>
  </si>
  <si>
    <t>141163</t>
  </si>
  <si>
    <t>141164</t>
  </si>
  <si>
    <t>141165</t>
  </si>
  <si>
    <t>141166</t>
  </si>
  <si>
    <t>25/03/2021</t>
  </si>
  <si>
    <t>309 GB SSD</t>
  </si>
  <si>
    <t>141167</t>
  </si>
  <si>
    <t>141168</t>
  </si>
  <si>
    <t>141169</t>
  </si>
  <si>
    <t>141170</t>
  </si>
  <si>
    <t>141171</t>
  </si>
  <si>
    <t>56 Fans Cabinet</t>
  </si>
  <si>
    <t>141172</t>
  </si>
  <si>
    <t>141173</t>
  </si>
  <si>
    <t>141174</t>
  </si>
  <si>
    <t>141175</t>
  </si>
  <si>
    <t>26/03/2021</t>
  </si>
  <si>
    <t>55 TB HDD</t>
  </si>
  <si>
    <t>141176</t>
  </si>
  <si>
    <t>565 GB M.2</t>
  </si>
  <si>
    <t>141177</t>
  </si>
  <si>
    <t>RYZEN 3rd gen. 3553</t>
  </si>
  <si>
    <t>141178</t>
  </si>
  <si>
    <t>141179</t>
  </si>
  <si>
    <t>69 GB DDR4 RAM</t>
  </si>
  <si>
    <t>141180</t>
  </si>
  <si>
    <t>141181</t>
  </si>
  <si>
    <t>141182</t>
  </si>
  <si>
    <t>141183</t>
  </si>
  <si>
    <t>141184</t>
  </si>
  <si>
    <t>141185</t>
  </si>
  <si>
    <t>141186</t>
  </si>
  <si>
    <t>54 TB SSD</t>
  </si>
  <si>
    <t>141187</t>
  </si>
  <si>
    <t>141188</t>
  </si>
  <si>
    <t>141189</t>
  </si>
  <si>
    <t>57 GB DDR4 Ram</t>
  </si>
  <si>
    <t>141190</t>
  </si>
  <si>
    <t>27/03/2021</t>
  </si>
  <si>
    <t>141191</t>
  </si>
  <si>
    <t>141192</t>
  </si>
  <si>
    <t>141193</t>
  </si>
  <si>
    <t>141194</t>
  </si>
  <si>
    <t>141195</t>
  </si>
  <si>
    <t>141196</t>
  </si>
  <si>
    <t>141197</t>
  </si>
  <si>
    <t>141198</t>
  </si>
  <si>
    <t>141199</t>
  </si>
  <si>
    <t>141200</t>
  </si>
  <si>
    <t>310 GB SSD</t>
  </si>
  <si>
    <t>141201</t>
  </si>
  <si>
    <t>141202</t>
  </si>
  <si>
    <t>141203</t>
  </si>
  <si>
    <t>141204</t>
  </si>
  <si>
    <t>141205</t>
  </si>
  <si>
    <t>57 Fans Cabinet</t>
  </si>
  <si>
    <t>141206</t>
  </si>
  <si>
    <t>141207</t>
  </si>
  <si>
    <t>141208</t>
  </si>
  <si>
    <t>141209</t>
  </si>
  <si>
    <t>56 TB HDD</t>
  </si>
  <si>
    <t>141210</t>
  </si>
  <si>
    <t>566 GB M.2</t>
  </si>
  <si>
    <t>141211</t>
  </si>
  <si>
    <t>RYZEN 3rd gen. 3554</t>
  </si>
  <si>
    <t>141212</t>
  </si>
  <si>
    <t>141213</t>
  </si>
  <si>
    <t>70 GB DDR4 RAM</t>
  </si>
  <si>
    <t>141214</t>
  </si>
  <si>
    <t>141215</t>
  </si>
  <si>
    <t>141216</t>
  </si>
  <si>
    <t>141217</t>
  </si>
  <si>
    <t>141218</t>
  </si>
  <si>
    <t>141219</t>
  </si>
  <si>
    <t>141220</t>
  </si>
  <si>
    <t>55 TB SSD</t>
  </si>
  <si>
    <t>141221</t>
  </si>
  <si>
    <t>141222</t>
  </si>
  <si>
    <t>28/03/2021</t>
  </si>
  <si>
    <t>141223</t>
  </si>
  <si>
    <t>58 GB DDR4 Ram</t>
  </si>
  <si>
    <t>141224</t>
  </si>
  <si>
    <t>141225</t>
  </si>
  <si>
    <t>141226</t>
  </si>
  <si>
    <t>141227</t>
  </si>
  <si>
    <t>141228</t>
  </si>
  <si>
    <t>141229</t>
  </si>
  <si>
    <t>141230</t>
  </si>
  <si>
    <t>141231</t>
  </si>
  <si>
    <t>141232</t>
  </si>
  <si>
    <t>141233</t>
  </si>
  <si>
    <t>141234</t>
  </si>
  <si>
    <t>311 GB SSD</t>
  </si>
  <si>
    <t>141235</t>
  </si>
  <si>
    <t>141236</t>
  </si>
  <si>
    <t>141237</t>
  </si>
  <si>
    <t>141238</t>
  </si>
  <si>
    <t>141239</t>
  </si>
  <si>
    <t>58 Fans Cabinet</t>
  </si>
  <si>
    <t>141240</t>
  </si>
  <si>
    <t>141241</t>
  </si>
  <si>
    <t>141242</t>
  </si>
  <si>
    <t>141243</t>
  </si>
  <si>
    <t>57 TB HDD</t>
  </si>
  <si>
    <t>141244</t>
  </si>
  <si>
    <t>567 GB M.2</t>
  </si>
  <si>
    <t>141245</t>
  </si>
  <si>
    <t>RYZEN 3rd gen. 3555</t>
  </si>
  <si>
    <t>141246</t>
  </si>
  <si>
    <t>141247</t>
  </si>
  <si>
    <t>71 GB DDR4 RAM</t>
  </si>
  <si>
    <t>141248</t>
  </si>
  <si>
    <t>141249</t>
  </si>
  <si>
    <t>141250</t>
  </si>
  <si>
    <t>141251</t>
  </si>
  <si>
    <t>141252</t>
  </si>
  <si>
    <t>141253</t>
  </si>
  <si>
    <t>141254</t>
  </si>
  <si>
    <t>56 TB SSD</t>
  </si>
  <si>
    <t>141255</t>
  </si>
  <si>
    <t>141256</t>
  </si>
  <si>
    <t>141257</t>
  </si>
  <si>
    <t>59 GB DDR4 Ram</t>
  </si>
  <si>
    <t>141258</t>
  </si>
  <si>
    <t>141259</t>
  </si>
  <si>
    <t>141260</t>
  </si>
  <si>
    <t>29/03/2021</t>
  </si>
  <si>
    <t>141261</t>
  </si>
  <si>
    <t>141262</t>
  </si>
  <si>
    <t>141263</t>
  </si>
  <si>
    <t>141264</t>
  </si>
  <si>
    <t>141265</t>
  </si>
  <si>
    <t>141266</t>
  </si>
  <si>
    <t>141267</t>
  </si>
  <si>
    <t>141268</t>
  </si>
  <si>
    <t>312 GB SSD</t>
  </si>
  <si>
    <t>141269</t>
  </si>
  <si>
    <t>141270</t>
  </si>
  <si>
    <t>141271</t>
  </si>
  <si>
    <t>141272</t>
  </si>
  <si>
    <t>141273</t>
  </si>
  <si>
    <t>59 Fans Cabinet</t>
  </si>
  <si>
    <t>141274</t>
  </si>
  <si>
    <t>141275</t>
  </si>
  <si>
    <t>141276</t>
  </si>
  <si>
    <t>141277</t>
  </si>
  <si>
    <t>58 TB HDD</t>
  </si>
  <si>
    <t>141278</t>
  </si>
  <si>
    <t>568 GB M.2</t>
  </si>
  <si>
    <t>141279</t>
  </si>
  <si>
    <t>RYZEN 3rd gen. 3556</t>
  </si>
  <si>
    <t>141280</t>
  </si>
  <si>
    <t>141281</t>
  </si>
  <si>
    <t>72 GB DDR4 RAM</t>
  </si>
  <si>
    <t>141282</t>
  </si>
  <si>
    <t>141283</t>
  </si>
  <si>
    <t>141284</t>
  </si>
  <si>
    <t>141285</t>
  </si>
  <si>
    <t>141286</t>
  </si>
  <si>
    <t>141287</t>
  </si>
  <si>
    <t>141288</t>
  </si>
  <si>
    <t>57 TB SSD</t>
  </si>
  <si>
    <t>141289</t>
  </si>
  <si>
    <t>141290</t>
  </si>
  <si>
    <t>141291</t>
  </si>
  <si>
    <t>60 GB DDR4 Ram</t>
  </si>
  <si>
    <t>141292</t>
  </si>
  <si>
    <t>141293</t>
  </si>
  <si>
    <t>141294</t>
  </si>
  <si>
    <t>141295</t>
  </si>
  <si>
    <t>141296</t>
  </si>
  <si>
    <t>141297</t>
  </si>
  <si>
    <t>141298</t>
  </si>
  <si>
    <t>141299</t>
  </si>
  <si>
    <t>141300</t>
  </si>
  <si>
    <t>141301</t>
  </si>
  <si>
    <t>141302</t>
  </si>
  <si>
    <t>313 GB SSD</t>
  </si>
  <si>
    <t>141303</t>
  </si>
  <si>
    <t>141304</t>
  </si>
  <si>
    <t>141305</t>
  </si>
  <si>
    <t>141306</t>
  </si>
  <si>
    <t>141307</t>
  </si>
  <si>
    <t>60 Fans Cabinet</t>
  </si>
  <si>
    <t>141308</t>
  </si>
  <si>
    <t>141309</t>
  </si>
  <si>
    <t>141310</t>
  </si>
  <si>
    <t>141311</t>
  </si>
  <si>
    <t>59 TB HDD</t>
  </si>
  <si>
    <t>141312</t>
  </si>
  <si>
    <t>569 GB M.2</t>
  </si>
  <si>
    <t>141313</t>
  </si>
  <si>
    <t>RYZEN 3rd gen. 3557</t>
  </si>
  <si>
    <t>141314</t>
  </si>
  <si>
    <t>141315</t>
  </si>
  <si>
    <t>73 GB DDR4 RAM</t>
  </si>
  <si>
    <t>141316</t>
  </si>
  <si>
    <t>141317</t>
  </si>
  <si>
    <t>141318</t>
  </si>
  <si>
    <t>141319</t>
  </si>
  <si>
    <t>141320</t>
  </si>
  <si>
    <t>141321</t>
  </si>
  <si>
    <t>141322</t>
  </si>
  <si>
    <t>58 TB SSD</t>
  </si>
  <si>
    <t>141323</t>
  </si>
  <si>
    <t>141324</t>
  </si>
  <si>
    <t>141325</t>
  </si>
  <si>
    <t>61 GB DDR4 Ram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</si>
  <si>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</si>
  <si>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</si>
  <si>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</si>
  <si>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</si>
  <si>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</si>
  <si>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</si>
  <si>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</si>
  <si>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</si>
  <si>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</si>
  <si>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</si>
  <si>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</si>
  <si>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314 GB SSD</t>
  </si>
  <si>
    <t>141337</t>
  </si>
  <si>
    <t>141338</t>
  </si>
  <si>
    <t>141339</t>
  </si>
  <si>
    <t>141340</t>
  </si>
  <si>
    <t>141341</t>
  </si>
  <si>
    <t>61 Fans Cabinet</t>
  </si>
  <si>
    <t>141342</t>
  </si>
  <si>
    <t>141343</t>
  </si>
  <si>
    <t>141344</t>
  </si>
  <si>
    <t>141345</t>
  </si>
  <si>
    <t>60 TB HDD</t>
  </si>
  <si>
    <t>141346</t>
  </si>
  <si>
    <t>570 GB M.2</t>
  </si>
  <si>
    <t>141347</t>
  </si>
  <si>
    <t>RYZEN 3rd gen. 3558</t>
  </si>
  <si>
    <t>141348</t>
  </si>
  <si>
    <t>141349</t>
  </si>
  <si>
    <t>74 GB DDR4 RAM</t>
  </si>
  <si>
    <t>141350</t>
  </si>
  <si>
    <t>141351</t>
  </si>
  <si>
    <t>141352</t>
  </si>
  <si>
    <t>141353</t>
  </si>
  <si>
    <t>141354</t>
  </si>
  <si>
    <t>141355</t>
  </si>
  <si>
    <t>141356</t>
  </si>
  <si>
    <t>59 TB SSD</t>
  </si>
  <si>
    <t>141357</t>
  </si>
  <si>
    <t>141358</t>
  </si>
  <si>
    <t>141359</t>
  </si>
  <si>
    <t>62 GB DDR4 Ram</t>
  </si>
  <si>
    <t>141360</t>
  </si>
  <si>
    <t>141361</t>
  </si>
  <si>
    <t>141362</t>
  </si>
  <si>
    <t>141363</t>
  </si>
  <si>
    <t>141364</t>
  </si>
  <si>
    <t>141365</t>
  </si>
  <si>
    <t>141366</t>
  </si>
  <si>
    <t>141367</t>
  </si>
  <si>
    <t>141368</t>
  </si>
  <si>
    <t>141369</t>
  </si>
  <si>
    <t>141370</t>
  </si>
  <si>
    <t>315 GB SSD</t>
  </si>
  <si>
    <t>141371</t>
  </si>
  <si>
    <t>141372</t>
  </si>
  <si>
    <t>141373</t>
  </si>
  <si>
    <t>30/03/2021</t>
  </si>
  <si>
    <t>141374</t>
  </si>
  <si>
    <t>141375</t>
  </si>
  <si>
    <t>62 Fans Cabinet</t>
  </si>
  <si>
    <t>141376</t>
  </si>
  <si>
    <t>141377</t>
  </si>
  <si>
    <t>141378</t>
  </si>
  <si>
    <t>141379</t>
  </si>
  <si>
    <t>61 TB HDD</t>
  </si>
  <si>
    <t>141380</t>
  </si>
  <si>
    <t>571 GB M.2</t>
  </si>
  <si>
    <t>141381</t>
  </si>
  <si>
    <t>RYZEN 3rd gen. 3559</t>
  </si>
  <si>
    <t>141382</t>
  </si>
  <si>
    <t>141383</t>
  </si>
  <si>
    <t>75 GB DDR4 RAM</t>
  </si>
  <si>
    <t>141384</t>
  </si>
  <si>
    <t>141385</t>
  </si>
  <si>
    <t>141386</t>
  </si>
  <si>
    <t>141387</t>
  </si>
  <si>
    <t>141388</t>
  </si>
  <si>
    <t>141389</t>
  </si>
  <si>
    <t>141390</t>
  </si>
  <si>
    <t>60 TB SSD</t>
  </si>
  <si>
    <t>141391</t>
  </si>
  <si>
    <t>141392</t>
  </si>
  <si>
    <t>141393</t>
  </si>
  <si>
    <t>63 GB DDR4 Ram</t>
  </si>
  <si>
    <t>141394</t>
  </si>
  <si>
    <t>141395</t>
  </si>
  <si>
    <t>141396</t>
  </si>
  <si>
    <t>141397</t>
  </si>
  <si>
    <t>141398</t>
  </si>
  <si>
    <t>141399</t>
  </si>
  <si>
    <t>141400</t>
  </si>
  <si>
    <t>141401</t>
  </si>
  <si>
    <t>141402</t>
  </si>
  <si>
    <t>141403</t>
  </si>
  <si>
    <t>141404</t>
  </si>
  <si>
    <t>316 GB SSD</t>
  </si>
  <si>
    <t>141405</t>
  </si>
  <si>
    <t>141406</t>
  </si>
  <si>
    <t>141407</t>
  </si>
  <si>
    <t>141408</t>
  </si>
  <si>
    <t>141409</t>
  </si>
  <si>
    <t>63 Fans Cabinet</t>
  </si>
  <si>
    <t>141410</t>
  </si>
  <si>
    <t>141411</t>
  </si>
  <si>
    <t>141412</t>
  </si>
  <si>
    <t>141413</t>
  </si>
  <si>
    <t>62 TB HDD</t>
  </si>
  <si>
    <t>141414</t>
  </si>
  <si>
    <t>572 GB M.2</t>
  </si>
  <si>
    <t>141415</t>
  </si>
  <si>
    <t>RYZEN 3rd gen. 3560</t>
  </si>
  <si>
    <t>141416</t>
  </si>
  <si>
    <t>141417</t>
  </si>
  <si>
    <t>76 GB DDR4 RAM</t>
  </si>
  <si>
    <t>141418</t>
  </si>
  <si>
    <t>141419</t>
  </si>
  <si>
    <t>141420</t>
  </si>
  <si>
    <t>141421</t>
  </si>
  <si>
    <t>141422</t>
  </si>
  <si>
    <t>141423</t>
  </si>
  <si>
    <t>141424</t>
  </si>
  <si>
    <t>61 TB SSD</t>
  </si>
  <si>
    <t>141425</t>
  </si>
  <si>
    <t>141426</t>
  </si>
  <si>
    <t>141427</t>
  </si>
  <si>
    <t>64 GB DDR4 Ram</t>
  </si>
  <si>
    <t>141428</t>
  </si>
  <si>
    <t>141429</t>
  </si>
  <si>
    <t>141430</t>
  </si>
  <si>
    <t>141431</t>
  </si>
  <si>
    <t>141432</t>
  </si>
  <si>
    <t>141433</t>
  </si>
  <si>
    <t>141434</t>
  </si>
  <si>
    <t>141435</t>
  </si>
  <si>
    <t>141436</t>
  </si>
  <si>
    <t>141437</t>
  </si>
  <si>
    <t>141438</t>
  </si>
  <si>
    <t>317 GB SSD</t>
  </si>
  <si>
    <t>141439</t>
  </si>
  <si>
    <t>141440</t>
  </si>
  <si>
    <t>141441</t>
  </si>
  <si>
    <t>141442</t>
  </si>
  <si>
    <t>141443</t>
  </si>
  <si>
    <t>64 Fans Cabinet</t>
  </si>
  <si>
    <t>141444</t>
  </si>
  <si>
    <t>141445</t>
  </si>
  <si>
    <t>141446</t>
  </si>
  <si>
    <t>141447</t>
  </si>
  <si>
    <t>63 TB HDD</t>
  </si>
  <si>
    <t>141448</t>
  </si>
  <si>
    <t>573 GB M.2</t>
  </si>
  <si>
    <t>141449</t>
  </si>
  <si>
    <t>RYZEN 3rd gen. 3561</t>
  </si>
  <si>
    <t>141450</t>
  </si>
  <si>
    <t>141451</t>
  </si>
  <si>
    <t>77 GB DDR4 RAM</t>
  </si>
  <si>
    <t>141452</t>
  </si>
  <si>
    <t>141453</t>
  </si>
  <si>
    <t>141454</t>
  </si>
  <si>
    <t>141455</t>
  </si>
  <si>
    <t>141456</t>
  </si>
  <si>
    <t>141457</t>
  </si>
  <si>
    <t>141458</t>
  </si>
  <si>
    <t>62 TB SSD</t>
  </si>
  <si>
    <t>141459</t>
  </si>
  <si>
    <t>141460</t>
  </si>
  <si>
    <t>141461</t>
  </si>
  <si>
    <t>65 GB DDR4 Ram</t>
  </si>
  <si>
    <t>141462</t>
  </si>
  <si>
    <t>141463</t>
  </si>
  <si>
    <t>141464</t>
  </si>
  <si>
    <t>141465</t>
  </si>
  <si>
    <t>141466</t>
  </si>
  <si>
    <t>141467</t>
  </si>
  <si>
    <t>141468</t>
  </si>
  <si>
    <t>141469</t>
  </si>
  <si>
    <t>141470</t>
  </si>
  <si>
    <t>141471</t>
  </si>
  <si>
    <t>141472</t>
  </si>
  <si>
    <t>318 GB SSD</t>
  </si>
  <si>
    <t>141473</t>
  </si>
  <si>
    <t>141474</t>
  </si>
  <si>
    <t>141475</t>
  </si>
  <si>
    <t>141476</t>
  </si>
  <si>
    <t>141477</t>
  </si>
  <si>
    <t>65 Fans Cabinet</t>
  </si>
  <si>
    <t>141478</t>
  </si>
  <si>
    <t>141479</t>
  </si>
  <si>
    <t>141480</t>
  </si>
  <si>
    <t>141481</t>
  </si>
  <si>
    <t>64 TB HDD</t>
  </si>
  <si>
    <t>141482</t>
  </si>
  <si>
    <t>574 GB M.2</t>
  </si>
  <si>
    <t>141483</t>
  </si>
  <si>
    <t>RYZEN 3rd gen. 3562</t>
  </si>
  <si>
    <t>141484</t>
  </si>
  <si>
    <t>141485</t>
  </si>
  <si>
    <t>78 GB DDR4 RAM</t>
  </si>
  <si>
    <t>141486</t>
  </si>
  <si>
    <t>141487</t>
  </si>
  <si>
    <t>141488</t>
  </si>
  <si>
    <t>141489</t>
  </si>
  <si>
    <t>141490</t>
  </si>
  <si>
    <t>141491</t>
  </si>
  <si>
    <t>141492</t>
  </si>
  <si>
    <t>63 TB SSD</t>
  </si>
  <si>
    <t>141493</t>
  </si>
  <si>
    <t>141494</t>
  </si>
  <si>
    <t>141495</t>
  </si>
  <si>
    <t>66 GB DDR4 Ram</t>
  </si>
  <si>
    <t>141496</t>
  </si>
  <si>
    <t>141497</t>
  </si>
  <si>
    <t>141498</t>
  </si>
  <si>
    <t>141499</t>
  </si>
  <si>
    <t>141500</t>
  </si>
  <si>
    <t>141501</t>
  </si>
  <si>
    <t>141502</t>
  </si>
  <si>
    <t>141503</t>
  </si>
  <si>
    <t>141504</t>
  </si>
  <si>
    <t>141505</t>
  </si>
  <si>
    <t>141506</t>
  </si>
  <si>
    <t>319 GB SSD</t>
  </si>
  <si>
    <t>141507</t>
  </si>
  <si>
    <t>141508</t>
  </si>
  <si>
    <t>141509</t>
  </si>
  <si>
    <t>141510</t>
  </si>
  <si>
    <t>141511</t>
  </si>
  <si>
    <t>66 Fans Cabinet</t>
  </si>
  <si>
    <t>141512</t>
  </si>
  <si>
    <t>31/03/2021</t>
  </si>
  <si>
    <t>141513</t>
  </si>
  <si>
    <t>141514</t>
  </si>
  <si>
    <t>141515</t>
  </si>
  <si>
    <t>65 TB HDD</t>
  </si>
  <si>
    <t>141516</t>
  </si>
  <si>
    <t>575 GB M.2</t>
  </si>
  <si>
    <t>141517</t>
  </si>
  <si>
    <t>RYZEN 3rd gen. 3563</t>
  </si>
  <si>
    <t>141518</t>
  </si>
  <si>
    <t>141519</t>
  </si>
  <si>
    <t>79 GB DDR4 RAM</t>
  </si>
  <si>
    <t>141520</t>
  </si>
  <si>
    <t>141521</t>
  </si>
  <si>
    <t>141522</t>
  </si>
  <si>
    <t>141523</t>
  </si>
  <si>
    <t>141524</t>
  </si>
  <si>
    <t>141525</t>
  </si>
  <si>
    <t>141526</t>
  </si>
  <si>
    <t>64 TB SSD</t>
  </si>
  <si>
    <t>141527</t>
  </si>
  <si>
    <t>141528</t>
  </si>
  <si>
    <t>141529</t>
  </si>
  <si>
    <t>67 GB DDR4 Ram</t>
  </si>
  <si>
    <t>141530</t>
  </si>
  <si>
    <t>141531</t>
  </si>
  <si>
    <t>141532</t>
  </si>
  <si>
    <t>141533</t>
  </si>
  <si>
    <t>141534</t>
  </si>
  <si>
    <t>141535</t>
  </si>
  <si>
    <t>141536</t>
  </si>
  <si>
    <t>141537</t>
  </si>
  <si>
    <t>141538</t>
  </si>
  <si>
    <t>141539</t>
  </si>
  <si>
    <t>141540</t>
  </si>
  <si>
    <t>320 GB SSD</t>
  </si>
  <si>
    <t>141541</t>
  </si>
  <si>
    <t>141542</t>
  </si>
  <si>
    <t>141543</t>
  </si>
  <si>
    <t>141544</t>
  </si>
  <si>
    <t>141545</t>
  </si>
  <si>
    <t>67 Fans Cabinet</t>
  </si>
  <si>
    <t>141546</t>
  </si>
  <si>
    <t>141547</t>
  </si>
  <si>
    <t>141548</t>
  </si>
  <si>
    <t>141549</t>
  </si>
  <si>
    <t>66 TB HDD</t>
  </si>
  <si>
    <t>141550</t>
  </si>
  <si>
    <t>576 GB M.2</t>
  </si>
  <si>
    <t>141551</t>
  </si>
  <si>
    <t>RYZEN 3rd gen. 3564</t>
  </si>
  <si>
    <t>141552</t>
  </si>
  <si>
    <t>141553</t>
  </si>
  <si>
    <t>80 GB DDR4 RAM</t>
  </si>
  <si>
    <t>141554</t>
  </si>
  <si>
    <t>141555</t>
  </si>
  <si>
    <t>141556</t>
  </si>
  <si>
    <t>141557</t>
  </si>
  <si>
    <t>141558</t>
  </si>
  <si>
    <t>141559</t>
  </si>
  <si>
    <t>141560</t>
  </si>
  <si>
    <t>65 TB SSD</t>
  </si>
  <si>
    <t>141561</t>
  </si>
  <si>
    <t>141562</t>
  </si>
  <si>
    <t>141563</t>
  </si>
  <si>
    <t>68 GB DDR4 Ram</t>
  </si>
  <si>
    <t>141564</t>
  </si>
  <si>
    <t>141565</t>
  </si>
  <si>
    <t>141566</t>
  </si>
  <si>
    <t>141567</t>
  </si>
  <si>
    <t>141568</t>
  </si>
  <si>
    <t>141569</t>
  </si>
  <si>
    <t>141570</t>
  </si>
  <si>
    <t>141571</t>
  </si>
  <si>
    <t>141572</t>
  </si>
  <si>
    <t>141573</t>
  </si>
  <si>
    <t>141574</t>
  </si>
  <si>
    <t>321 GB SSD</t>
  </si>
  <si>
    <t>141575</t>
  </si>
  <si>
    <t>141576</t>
  </si>
  <si>
    <t>01/04/2021</t>
  </si>
  <si>
    <t>141577</t>
  </si>
  <si>
    <t>02/04/2021</t>
  </si>
  <si>
    <t>141578</t>
  </si>
  <si>
    <t>03/04/2021</t>
  </si>
  <si>
    <t>141579</t>
  </si>
  <si>
    <t>68 Fans Cabinet</t>
  </si>
  <si>
    <t>141580</t>
  </si>
  <si>
    <t>141581</t>
  </si>
  <si>
    <t>141582</t>
  </si>
  <si>
    <t>141583</t>
  </si>
  <si>
    <t>67 TB HDD</t>
  </si>
  <si>
    <t>141584</t>
  </si>
  <si>
    <t>577 GB M.2</t>
  </si>
  <si>
    <t>141585</t>
  </si>
  <si>
    <t>RYZEN 3rd gen. 3565</t>
  </si>
  <si>
    <t>141586</t>
  </si>
  <si>
    <t>141587</t>
  </si>
  <si>
    <t>81 GB DDR4 RAM</t>
  </si>
  <si>
    <t>141588</t>
  </si>
  <si>
    <t>141589</t>
  </si>
  <si>
    <t>141590</t>
  </si>
  <si>
    <t>141591</t>
  </si>
  <si>
    <t>141592</t>
  </si>
  <si>
    <t>141593</t>
  </si>
  <si>
    <t>141594</t>
  </si>
  <si>
    <t>66 TB SSD</t>
  </si>
  <si>
    <t>141595</t>
  </si>
  <si>
    <t>141596</t>
  </si>
  <si>
    <t>141597</t>
  </si>
  <si>
    <t>69 GB DDR4 Ram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</si>
  <si>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</si>
  <si>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</si>
  <si>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</si>
  <si>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</si>
  <si>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</si>
  <si>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</si>
  <si>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</si>
  <si>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</si>
  <si>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</si>
  <si>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</si>
  <si>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141608</t>
  </si>
  <si>
    <t>322 GB SSD</t>
  </si>
  <si>
    <t>141609</t>
  </si>
  <si>
    <t>141610</t>
  </si>
  <si>
    <t>141611</t>
  </si>
  <si>
    <t>141612</t>
  </si>
  <si>
    <t>141613</t>
  </si>
  <si>
    <t>69 Fans Cabinet</t>
  </si>
  <si>
    <t>141614</t>
  </si>
  <si>
    <t>141615</t>
  </si>
  <si>
    <t>141616</t>
  </si>
  <si>
    <t>141617</t>
  </si>
  <si>
    <t>68 TB HDD</t>
  </si>
  <si>
    <t>141618</t>
  </si>
  <si>
    <t>578 GB M.2</t>
  </si>
  <si>
    <t>141619</t>
  </si>
  <si>
    <t>RYZEN 3rd gen. 3566</t>
  </si>
  <si>
    <t>141620</t>
  </si>
  <si>
    <t>141621</t>
  </si>
  <si>
    <t>82 GB DDR4 RAM</t>
  </si>
  <si>
    <t>141622</t>
  </si>
  <si>
    <t>141623</t>
  </si>
  <si>
    <t>141624</t>
  </si>
  <si>
    <t>141625</t>
  </si>
  <si>
    <t>141626</t>
  </si>
  <si>
    <t>141627</t>
  </si>
  <si>
    <t>141628</t>
  </si>
  <si>
    <t>67 TB SSD</t>
  </si>
  <si>
    <t>141629</t>
  </si>
  <si>
    <t>141630</t>
  </si>
  <si>
    <t>141631</t>
  </si>
  <si>
    <t>70 GB DDR4 Ram</t>
  </si>
  <si>
    <t>141632</t>
  </si>
  <si>
    <t>141633</t>
  </si>
  <si>
    <t>141634</t>
  </si>
  <si>
    <t>141635</t>
  </si>
  <si>
    <t>141636</t>
  </si>
  <si>
    <t>141637</t>
  </si>
  <si>
    <t>141638</t>
  </si>
  <si>
    <t>141639</t>
  </si>
  <si>
    <t>141640</t>
  </si>
  <si>
    <t>141641</t>
  </si>
  <si>
    <t>141642</t>
  </si>
  <si>
    <t>323 GB SSD</t>
  </si>
  <si>
    <t>141643</t>
  </si>
  <si>
    <t>141644</t>
  </si>
  <si>
    <t>141645</t>
  </si>
  <si>
    <t>141646</t>
  </si>
  <si>
    <t>141647</t>
  </si>
  <si>
    <t>70 Fans Cabinet</t>
  </si>
  <si>
    <t>141648</t>
  </si>
  <si>
    <t>141649</t>
  </si>
  <si>
    <t>141650</t>
  </si>
  <si>
    <t>141651</t>
  </si>
  <si>
    <t>69 TB HDD</t>
  </si>
  <si>
    <t>141652</t>
  </si>
  <si>
    <t>579 GB M.2</t>
  </si>
  <si>
    <t>141653</t>
  </si>
  <si>
    <t>RYZEN 3rd gen. 3567</t>
  </si>
  <si>
    <t>141654</t>
  </si>
  <si>
    <t>141655</t>
  </si>
  <si>
    <t>83 GB DDR4 RAM</t>
  </si>
  <si>
    <t>141656</t>
  </si>
  <si>
    <t>141657</t>
  </si>
  <si>
    <t>141658</t>
  </si>
  <si>
    <t>141659</t>
  </si>
  <si>
    <t>141660</t>
  </si>
  <si>
    <t>141661</t>
  </si>
  <si>
    <t>141662</t>
  </si>
  <si>
    <t>68 TB SSD</t>
  </si>
  <si>
    <t>141663</t>
  </si>
  <si>
    <t>141664</t>
  </si>
  <si>
    <t>141665</t>
  </si>
  <si>
    <t>71 GB DDR4 Ram</t>
  </si>
  <si>
    <t>141666</t>
  </si>
  <si>
    <t>141667</t>
  </si>
  <si>
    <t>141668</t>
  </si>
  <si>
    <t>141669</t>
  </si>
  <si>
    <t>141670</t>
  </si>
  <si>
    <t>141671</t>
  </si>
  <si>
    <t>141672</t>
  </si>
  <si>
    <t>141673</t>
  </si>
  <si>
    <t>141674</t>
  </si>
  <si>
    <t>141675</t>
  </si>
  <si>
    <t>141676</t>
  </si>
  <si>
    <t>324 GB SSD</t>
  </si>
  <si>
    <t>141677</t>
  </si>
  <si>
    <t>141678</t>
  </si>
  <si>
    <t>141679</t>
  </si>
  <si>
    <t>141680</t>
  </si>
  <si>
    <t>141681</t>
  </si>
  <si>
    <t>71 Fans Cabinet</t>
  </si>
  <si>
    <t>141682</t>
  </si>
  <si>
    <t>141683</t>
  </si>
  <si>
    <t>141684</t>
  </si>
  <si>
    <t>141685</t>
  </si>
  <si>
    <t>70 TB HDD</t>
  </si>
  <si>
    <t>141686</t>
  </si>
  <si>
    <t>580 GB M.2</t>
  </si>
  <si>
    <t>141687</t>
  </si>
  <si>
    <t>RYZEN 3rd gen. 3568</t>
  </si>
  <si>
    <t>141688</t>
  </si>
  <si>
    <t>141689</t>
  </si>
  <si>
    <t>84 GB DDR4 RAM</t>
  </si>
  <si>
    <t>141690</t>
  </si>
  <si>
    <t>141691</t>
  </si>
  <si>
    <t>141692</t>
  </si>
  <si>
    <t>141693</t>
  </si>
  <si>
    <t>141694</t>
  </si>
  <si>
    <t>141695</t>
  </si>
  <si>
    <t>141696</t>
  </si>
  <si>
    <t>69 TB SSD</t>
  </si>
  <si>
    <t>141697</t>
  </si>
  <si>
    <t>141698</t>
  </si>
  <si>
    <t>141699</t>
  </si>
  <si>
    <t>72 GB DDR4 Ram</t>
  </si>
  <si>
    <t>141700</t>
  </si>
  <si>
    <t>141701</t>
  </si>
  <si>
    <t>141702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</si>
  <si>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</si>
  <si>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</si>
  <si>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</si>
  <si>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</si>
  <si>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</si>
  <si>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</si>
  <si>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</si>
  <si>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</si>
  <si>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325 GB SSD</t>
  </si>
  <si>
    <t>141711</t>
  </si>
  <si>
    <t>141712</t>
  </si>
  <si>
    <t>141713</t>
  </si>
  <si>
    <t>141714</t>
  </si>
  <si>
    <t>141715</t>
  </si>
  <si>
    <t>72 Fans Cabinet</t>
  </si>
  <si>
    <t>141716</t>
  </si>
  <si>
    <t>141717</t>
  </si>
  <si>
    <t>141718</t>
  </si>
  <si>
    <t>141719</t>
  </si>
  <si>
    <t>71 TB HDD</t>
  </si>
  <si>
    <t>141720</t>
  </si>
  <si>
    <t>581 GB M.2</t>
  </si>
  <si>
    <t>141721</t>
  </si>
  <si>
    <t>RYZEN 3rd gen. 3569</t>
  </si>
  <si>
    <t>141722</t>
  </si>
  <si>
    <t>141723</t>
  </si>
  <si>
    <t>85 GB DDR4 RAM</t>
  </si>
  <si>
    <t>141724</t>
  </si>
  <si>
    <t>141725</t>
  </si>
  <si>
    <t>141726</t>
  </si>
  <si>
    <t>141727</t>
  </si>
  <si>
    <t>141728</t>
  </si>
  <si>
    <t>141729</t>
  </si>
  <si>
    <t>141730</t>
  </si>
  <si>
    <t>70 TB SSD</t>
  </si>
  <si>
    <t>141731</t>
  </si>
  <si>
    <t>141732</t>
  </si>
  <si>
    <t>141733</t>
  </si>
  <si>
    <t>73 GB DDR4 Ram</t>
  </si>
  <si>
    <t>141734</t>
  </si>
  <si>
    <t>141735</t>
  </si>
  <si>
    <t>141736</t>
  </si>
  <si>
    <t>141737</t>
  </si>
  <si>
    <t>141738</t>
  </si>
  <si>
    <t>141739</t>
  </si>
  <si>
    <t>141740</t>
  </si>
  <si>
    <t>141741</t>
  </si>
  <si>
    <t>141742</t>
  </si>
  <si>
    <t>141743</t>
  </si>
  <si>
    <t>141744</t>
  </si>
  <si>
    <t>326 GB SSD</t>
  </si>
  <si>
    <t>141745</t>
  </si>
  <si>
    <t>141746</t>
  </si>
  <si>
    <t>141747</t>
  </si>
  <si>
    <t>141748</t>
  </si>
  <si>
    <t>141749</t>
  </si>
  <si>
    <t>73 Fans Cabinet</t>
  </si>
  <si>
    <t>141750</t>
  </si>
  <si>
    <t>141751</t>
  </si>
  <si>
    <t>141752</t>
  </si>
  <si>
    <t>141753</t>
  </si>
  <si>
    <t>72 TB HDD</t>
  </si>
  <si>
    <t>141754</t>
  </si>
  <si>
    <t>582 GB M.2</t>
  </si>
  <si>
    <t>141755</t>
  </si>
  <si>
    <t>RYZEN 3rd gen. 3570</t>
  </si>
  <si>
    <t>141756</t>
  </si>
  <si>
    <t>141757</t>
  </si>
  <si>
    <t>86 GB DDR4 RAM</t>
  </si>
  <si>
    <t>141758</t>
  </si>
  <si>
    <t>141759</t>
  </si>
  <si>
    <t>04/04/2021</t>
  </si>
  <si>
    <t>141760</t>
  </si>
  <si>
    <t>05/04/2021</t>
  </si>
  <si>
    <t>141761</t>
  </si>
  <si>
    <t>06/04/2021</t>
  </si>
  <si>
    <t>141762</t>
  </si>
  <si>
    <t>07/04/2021</t>
  </si>
  <si>
    <t>141763</t>
  </si>
  <si>
    <t>08/04/2021</t>
  </si>
  <si>
    <t>141764</t>
  </si>
  <si>
    <t>09/04/2021</t>
  </si>
  <si>
    <t>71 TB SSD</t>
  </si>
  <si>
    <t>141765</t>
  </si>
  <si>
    <t>10/04/2021</t>
  </si>
  <si>
    <t>141766</t>
  </si>
  <si>
    <t>141767</t>
  </si>
  <si>
    <t>74 GB DDR4 Ram</t>
  </si>
  <si>
    <t>141768</t>
  </si>
  <si>
    <t>141769</t>
  </si>
  <si>
    <t>141770</t>
  </si>
  <si>
    <t>141771</t>
  </si>
  <si>
    <t>141772</t>
  </si>
  <si>
    <t>141773</t>
  </si>
  <si>
    <t>141774</t>
  </si>
  <si>
    <t>141775</t>
  </si>
  <si>
    <t>141776</t>
  </si>
  <si>
    <t>141777</t>
  </si>
  <si>
    <t>141778</t>
  </si>
  <si>
    <t>327 GB SSD</t>
  </si>
  <si>
    <t>141779</t>
  </si>
  <si>
    <t>141780</t>
  </si>
  <si>
    <t>141781</t>
  </si>
  <si>
    <t>141782</t>
  </si>
  <si>
    <t>141783</t>
  </si>
  <si>
    <t>74 Fans Cabinet</t>
  </si>
  <si>
    <t>141784</t>
  </si>
  <si>
    <t>141785</t>
  </si>
  <si>
    <t>141786</t>
  </si>
  <si>
    <t>141787</t>
  </si>
  <si>
    <t>73 TB HDD</t>
  </si>
  <si>
    <t>141788</t>
  </si>
  <si>
    <t>583 GB M.2</t>
  </si>
  <si>
    <t>141789</t>
  </si>
  <si>
    <t>RYZEN 3rd gen. 3571</t>
  </si>
  <si>
    <t>141790</t>
  </si>
  <si>
    <t>141791</t>
  </si>
  <si>
    <t>87 GB DDR4 RAM</t>
  </si>
  <si>
    <t>141792</t>
  </si>
  <si>
    <t>141793</t>
  </si>
  <si>
    <t>11/04/2021</t>
  </si>
  <si>
    <t>141794</t>
  </si>
  <si>
    <t>12/04/2021</t>
  </si>
  <si>
    <t>141795</t>
  </si>
  <si>
    <t>13/04/2021</t>
  </si>
  <si>
    <t>141796</t>
  </si>
  <si>
    <t>14/04/2021</t>
  </si>
  <si>
    <t>141797</t>
  </si>
  <si>
    <t>15/04/2021</t>
  </si>
  <si>
    <t>141798</t>
  </si>
  <si>
    <t>16/04/2021</t>
  </si>
  <si>
    <t>72 TB SSD</t>
  </si>
  <si>
    <t>141799</t>
  </si>
  <si>
    <t>141800</t>
  </si>
  <si>
    <t>141801</t>
  </si>
  <si>
    <t>75 GB DDR4 Ram</t>
  </si>
  <si>
    <t>141802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</si>
  <si>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</si>
  <si>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</si>
  <si>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</si>
  <si>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</si>
  <si>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</si>
  <si>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</si>
  <si>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</si>
  <si>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</si>
  <si>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</si>
  <si>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141812</t>
  </si>
  <si>
    <t>328 GB SSD</t>
  </si>
  <si>
    <t>141813</t>
  </si>
  <si>
    <t>141814</t>
  </si>
  <si>
    <t>141815</t>
  </si>
  <si>
    <t>141816</t>
  </si>
  <si>
    <t>141817</t>
  </si>
  <si>
    <t>75 Fans Cabinet</t>
  </si>
  <si>
    <t>141818</t>
  </si>
  <si>
    <t>141819</t>
  </si>
  <si>
    <t>141820</t>
  </si>
  <si>
    <t>141821</t>
  </si>
  <si>
    <t>74 TB HDD</t>
  </si>
  <si>
    <t>141822</t>
  </si>
  <si>
    <t>584 GB M.2</t>
  </si>
  <si>
    <t>141823</t>
  </si>
  <si>
    <t>RYZEN 3rd gen. 3572</t>
  </si>
  <si>
    <t>141824</t>
  </si>
  <si>
    <t>141825</t>
  </si>
  <si>
    <t>88 GB DDR4 RAM</t>
  </si>
  <si>
    <t>141826</t>
  </si>
  <si>
    <t>141827</t>
  </si>
  <si>
    <t>141828</t>
  </si>
  <si>
    <t>141829</t>
  </si>
  <si>
    <t>141830</t>
  </si>
  <si>
    <t>141831</t>
  </si>
  <si>
    <t>141832</t>
  </si>
  <si>
    <t>73 TB SSD</t>
  </si>
  <si>
    <t>141833</t>
  </si>
  <si>
    <t>141834</t>
  </si>
  <si>
    <t>141835</t>
  </si>
  <si>
    <t>76 GB DDR4 Ram</t>
  </si>
  <si>
    <t>141836</t>
  </si>
  <si>
    <t>141837</t>
  </si>
  <si>
    <t>141838</t>
  </si>
  <si>
    <t>141839</t>
  </si>
  <si>
    <t>141840</t>
  </si>
  <si>
    <t>141841</t>
  </si>
  <si>
    <t>141842</t>
  </si>
  <si>
    <t>141843</t>
  </si>
  <si>
    <t>141844</t>
  </si>
  <si>
    <t>141845</t>
  </si>
  <si>
    <t>141846</t>
  </si>
  <si>
    <t>329 GB SSD</t>
  </si>
  <si>
    <t>141847</t>
  </si>
  <si>
    <t>17/04/2021</t>
  </si>
  <si>
    <t>141848</t>
  </si>
  <si>
    <t>141849</t>
  </si>
  <si>
    <t>141850</t>
  </si>
  <si>
    <t>141851</t>
  </si>
  <si>
    <t>76 Fans Cabinet</t>
  </si>
  <si>
    <t>141852</t>
  </si>
  <si>
    <t>141853</t>
  </si>
  <si>
    <t>141854</t>
  </si>
  <si>
    <t>141855</t>
  </si>
  <si>
    <t>75 TB HDD</t>
  </si>
  <si>
    <t>141856</t>
  </si>
  <si>
    <t>585 GB M.2</t>
  </si>
  <si>
    <t>141857</t>
  </si>
  <si>
    <t>RYZEN 3rd gen. 3573</t>
  </si>
  <si>
    <t>141858</t>
  </si>
  <si>
    <t>18/04/2021</t>
  </si>
  <si>
    <t>141859</t>
  </si>
  <si>
    <t>89 GB DDR4 RAM</t>
  </si>
  <si>
    <t>141860</t>
  </si>
  <si>
    <t>141861</t>
  </si>
  <si>
    <t>141862</t>
  </si>
  <si>
    <t>141863</t>
  </si>
  <si>
    <t>141864</t>
  </si>
  <si>
    <t>141865</t>
  </si>
  <si>
    <t>141866</t>
  </si>
  <si>
    <t>74 TB SSD</t>
  </si>
  <si>
    <t>141867</t>
  </si>
  <si>
    <t>141868</t>
  </si>
  <si>
    <t>141869</t>
  </si>
  <si>
    <t>77 GB DDR4 Ram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</si>
  <si>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</si>
  <si>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</si>
  <si>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</si>
  <si>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</si>
  <si>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</si>
  <si>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</si>
  <si>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</si>
  <si>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</si>
  <si>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</si>
  <si>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</si>
  <si>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</si>
  <si>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330 GB SSD</t>
  </si>
  <si>
    <t>141881</t>
  </si>
  <si>
    <t>19/04/2021</t>
  </si>
  <si>
    <t>141882</t>
  </si>
  <si>
    <t>20/04/2021</t>
  </si>
  <si>
    <t>141883</t>
  </si>
  <si>
    <t>21/04/2021</t>
  </si>
  <si>
    <t>141884</t>
  </si>
  <si>
    <t>22/04/2021</t>
  </si>
  <si>
    <t>141885</t>
  </si>
  <si>
    <t>23/04/2021</t>
  </si>
  <si>
    <t>77 Fans Cabinet</t>
  </si>
  <si>
    <t>141886</t>
  </si>
  <si>
    <t>24/04/2021</t>
  </si>
  <si>
    <t>141887</t>
  </si>
  <si>
    <t>25/04/2021</t>
  </si>
  <si>
    <t>141888</t>
  </si>
  <si>
    <t>26/04/2021</t>
  </si>
  <si>
    <t>141889</t>
  </si>
  <si>
    <t>76 TB HDD</t>
  </si>
  <si>
    <t>141890</t>
  </si>
  <si>
    <t>586 GB M.2</t>
  </si>
  <si>
    <t>141891</t>
  </si>
  <si>
    <t>RYZEN 3rd gen. 3574</t>
  </si>
  <si>
    <t>141892</t>
  </si>
  <si>
    <t>141893</t>
  </si>
  <si>
    <t>90 GB DDR4 RAM</t>
  </si>
  <si>
    <t>141894</t>
  </si>
  <si>
    <t>141895</t>
  </si>
  <si>
    <t>141896</t>
  </si>
  <si>
    <t>141897</t>
  </si>
  <si>
    <t>141898</t>
  </si>
  <si>
    <t>141899</t>
  </si>
  <si>
    <t>141900</t>
  </si>
  <si>
    <t>75 TB SSD</t>
  </si>
  <si>
    <t>141901</t>
  </si>
  <si>
    <t>141902</t>
  </si>
  <si>
    <t>141903</t>
  </si>
  <si>
    <t>78 GB DDR4 Ram</t>
  </si>
  <si>
    <t>141904</t>
  </si>
  <si>
    <t>141905</t>
  </si>
  <si>
    <t>141906</t>
  </si>
  <si>
    <t>141907</t>
  </si>
  <si>
    <t>141908</t>
  </si>
  <si>
    <t>27/04/2021</t>
  </si>
  <si>
    <t>141909</t>
  </si>
  <si>
    <t>141910</t>
  </si>
  <si>
    <t>141911</t>
  </si>
  <si>
    <t>141912</t>
  </si>
  <si>
    <t>141913</t>
  </si>
  <si>
    <t>141914</t>
  </si>
  <si>
    <t>331 GB SSD</t>
  </si>
  <si>
    <t>141915</t>
  </si>
  <si>
    <t>141916</t>
  </si>
  <si>
    <t>141917</t>
  </si>
  <si>
    <t>141918</t>
  </si>
  <si>
    <t>141919</t>
  </si>
  <si>
    <t>78 Fans Cabinet</t>
  </si>
  <si>
    <t>141920</t>
  </si>
  <si>
    <t>141921</t>
  </si>
  <si>
    <t>141922</t>
  </si>
  <si>
    <t>141923</t>
  </si>
  <si>
    <t>77 TB HDD</t>
  </si>
  <si>
    <t>141924</t>
  </si>
  <si>
    <t>587 GB M.2</t>
  </si>
  <si>
    <t>141925</t>
  </si>
  <si>
    <t>28/04/2021</t>
  </si>
  <si>
    <t>RYZEN 3rd gen. 3575</t>
  </si>
  <si>
    <t>141926</t>
  </si>
  <si>
    <t>29/04/2021</t>
  </si>
  <si>
    <t>141927</t>
  </si>
  <si>
    <t>30/04/2021</t>
  </si>
  <si>
    <t>91 GB DDR4 RAM</t>
  </si>
  <si>
    <t>141928</t>
  </si>
  <si>
    <t>141929</t>
  </si>
  <si>
    <t>141930</t>
  </si>
  <si>
    <t>141931</t>
  </si>
  <si>
    <t>141932</t>
  </si>
  <si>
    <t>141933</t>
  </si>
  <si>
    <t>141934</t>
  </si>
  <si>
    <t>76 TB SSD</t>
  </si>
  <si>
    <t>141935</t>
  </si>
  <si>
    <t>141936</t>
  </si>
  <si>
    <t>141937</t>
  </si>
  <si>
    <t>79 GB DDR4 Ram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</si>
  <si>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</si>
  <si>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</si>
  <si>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</si>
  <si>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</si>
  <si>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</si>
  <si>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</si>
  <si>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</si>
  <si>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</si>
  <si>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</si>
  <si>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</si>
  <si>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</si>
  <si>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332 GB SSD</t>
  </si>
  <si>
    <t>141949</t>
  </si>
  <si>
    <t>141950</t>
  </si>
  <si>
    <t>141951</t>
  </si>
  <si>
    <t>141952</t>
  </si>
  <si>
    <t>141953</t>
  </si>
  <si>
    <t>79 Fans Cabinet</t>
  </si>
  <si>
    <t>141954</t>
  </si>
  <si>
    <t>141955</t>
  </si>
  <si>
    <t>141956</t>
  </si>
  <si>
    <t>141957</t>
  </si>
  <si>
    <t>78 TB HDD</t>
  </si>
  <si>
    <t>141958</t>
  </si>
  <si>
    <t>588 GB M.2</t>
  </si>
  <si>
    <t>141959</t>
  </si>
  <si>
    <t>RYZEN 3rd gen. 3576</t>
  </si>
  <si>
    <t>141960</t>
  </si>
  <si>
    <t>141961</t>
  </si>
  <si>
    <t>92 GB DDR4 RAM</t>
  </si>
  <si>
    <t>141962</t>
  </si>
  <si>
    <t>141963</t>
  </si>
  <si>
    <t>01/05/2021</t>
  </si>
  <si>
    <t>141964</t>
  </si>
  <si>
    <t>02/05/2021</t>
  </si>
  <si>
    <t>141965</t>
  </si>
  <si>
    <t>03/05/2021</t>
  </si>
  <si>
    <t>141966</t>
  </si>
  <si>
    <t>04/05/2021</t>
  </si>
  <si>
    <t>141967</t>
  </si>
  <si>
    <t>05/05/2021</t>
  </si>
  <si>
    <t>141968</t>
  </si>
  <si>
    <t>77 TB SSD</t>
  </si>
  <si>
    <t>141969</t>
  </si>
  <si>
    <t>141970</t>
  </si>
  <si>
    <t>141971</t>
  </si>
  <si>
    <t>80 GB DDR4 Ram</t>
  </si>
  <si>
    <t>141972</t>
  </si>
  <si>
    <t>141973</t>
  </si>
  <si>
    <t>141974</t>
  </si>
  <si>
    <t>141975</t>
  </si>
  <si>
    <t>141976</t>
  </si>
  <si>
    <t>06/05/2021</t>
  </si>
  <si>
    <t>141977</t>
  </si>
  <si>
    <t>07/05/2021</t>
  </si>
  <si>
    <t>141978</t>
  </si>
  <si>
    <t>08/05/2021</t>
  </si>
  <si>
    <t>141979</t>
  </si>
  <si>
    <t>09/05/2021</t>
  </si>
  <si>
    <t>141980</t>
  </si>
  <si>
    <t>141981</t>
  </si>
  <si>
    <t>141982</t>
  </si>
  <si>
    <t>333 GB SSD</t>
  </si>
  <si>
    <t>141983</t>
  </si>
  <si>
    <t>141984</t>
  </si>
  <si>
    <t>141985</t>
  </si>
  <si>
    <t>141986</t>
  </si>
  <si>
    <t>141987</t>
  </si>
  <si>
    <t>80 Fans Cabinet</t>
  </si>
  <si>
    <t>141988</t>
  </si>
  <si>
    <t>141989</t>
  </si>
  <si>
    <t>141990</t>
  </si>
  <si>
    <t>141991</t>
  </si>
  <si>
    <t>79 TB HDD</t>
  </si>
  <si>
    <t>141992</t>
  </si>
  <si>
    <t>589 GB M.2</t>
  </si>
  <si>
    <t>141993</t>
  </si>
  <si>
    <t>RYZEN 3rd gen. 3577</t>
  </si>
  <si>
    <t>141994</t>
  </si>
  <si>
    <t>141995</t>
  </si>
  <si>
    <t>93 GB DDR4 RAM</t>
  </si>
  <si>
    <t>141996</t>
  </si>
  <si>
    <t>141997</t>
  </si>
  <si>
    <t>141998</t>
  </si>
  <si>
    <t>141999</t>
  </si>
  <si>
    <t>142000</t>
  </si>
  <si>
    <t>142001</t>
  </si>
  <si>
    <t>142002</t>
  </si>
  <si>
    <t>78 TB SSD</t>
  </si>
  <si>
    <t>142003</t>
  </si>
  <si>
    <t>142004</t>
  </si>
  <si>
    <t>142005</t>
  </si>
  <si>
    <t>81 GB DDR4 Ram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</si>
  <si>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</si>
  <si>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</si>
  <si>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</si>
  <si>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</si>
  <si>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</si>
  <si>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</si>
  <si>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</si>
  <si>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</si>
  <si>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</si>
  <si>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</si>
  <si>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</si>
  <si>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334 GB SSD</t>
  </si>
  <si>
    <t>142017</t>
  </si>
  <si>
    <t>10/05/2021</t>
  </si>
  <si>
    <t>142018</t>
  </si>
  <si>
    <t>142019</t>
  </si>
  <si>
    <t>142020</t>
  </si>
  <si>
    <t>142021</t>
  </si>
  <si>
    <t>81 Fans Cabinet</t>
  </si>
  <si>
    <t>142022</t>
  </si>
  <si>
    <t>142023</t>
  </si>
  <si>
    <t>142024</t>
  </si>
  <si>
    <t>142025</t>
  </si>
  <si>
    <t>80 TB HDD</t>
  </si>
  <si>
    <t>142026</t>
  </si>
  <si>
    <t>590 GB M.2</t>
  </si>
  <si>
    <t>142027</t>
  </si>
  <si>
    <t>RYZEN 3rd gen. 3578</t>
  </si>
  <si>
    <t>142028</t>
  </si>
  <si>
    <t>142029</t>
  </si>
  <si>
    <t>94 GB DDR4 RAM</t>
  </si>
  <si>
    <t>142030</t>
  </si>
  <si>
    <t>142031</t>
  </si>
  <si>
    <t>142032</t>
  </si>
  <si>
    <t>142033</t>
  </si>
  <si>
    <t>142034</t>
  </si>
  <si>
    <t>142035</t>
  </si>
  <si>
    <t>142036</t>
  </si>
  <si>
    <t>79 TB SSD</t>
  </si>
  <si>
    <t>142037</t>
  </si>
  <si>
    <t>142038</t>
  </si>
  <si>
    <t>142039</t>
  </si>
  <si>
    <t>82 GB DDR4 Ram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</si>
  <si>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</si>
  <si>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</si>
  <si>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</si>
  <si>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</si>
  <si>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</si>
  <si>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</si>
  <si>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</si>
  <si>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</si>
  <si>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</si>
  <si>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11/05/2021</t>
  </si>
  <si>
    <t>142049</t>
  </si>
  <si>
    <t>142050</t>
  </si>
  <si>
    <t>335 GB SSD</t>
  </si>
  <si>
    <t>142051</t>
  </si>
  <si>
    <t>142052</t>
  </si>
  <si>
    <t>142053</t>
  </si>
  <si>
    <t>142054</t>
  </si>
  <si>
    <t>142055</t>
  </si>
  <si>
    <t>82 Fans Cabinet</t>
  </si>
  <si>
    <t>142056</t>
  </si>
  <si>
    <t>142057</t>
  </si>
  <si>
    <t>142058</t>
  </si>
  <si>
    <t>142059</t>
  </si>
  <si>
    <t>81 TB HDD</t>
  </si>
  <si>
    <t>142060</t>
  </si>
  <si>
    <t>591 GB M.2</t>
  </si>
  <si>
    <t>142061</t>
  </si>
  <si>
    <t>RYZEN 3rd gen. 3579</t>
  </si>
  <si>
    <t>142062</t>
  </si>
  <si>
    <t>142063</t>
  </si>
  <si>
    <t>95 GB DDR4 RAM</t>
  </si>
  <si>
    <t>142064</t>
  </si>
  <si>
    <t>142065</t>
  </si>
  <si>
    <t>142066</t>
  </si>
  <si>
    <t>142067</t>
  </si>
  <si>
    <t>142068</t>
  </si>
  <si>
    <t>142069</t>
  </si>
  <si>
    <t>142070</t>
  </si>
  <si>
    <t>80 TB SSD</t>
  </si>
  <si>
    <t>142071</t>
  </si>
  <si>
    <t>142072</t>
  </si>
  <si>
    <t>142073</t>
  </si>
  <si>
    <t>83 GB DDR4 Ram</t>
  </si>
  <si>
    <t>142074</t>
  </si>
  <si>
    <t>142075</t>
  </si>
  <si>
    <t>142076</t>
  </si>
  <si>
    <t>142077</t>
  </si>
  <si>
    <t>142078</t>
  </si>
  <si>
    <t>142079</t>
  </si>
  <si>
    <t>142080</t>
  </si>
  <si>
    <t>142081</t>
  </si>
  <si>
    <t>142082</t>
  </si>
  <si>
    <t>142083</t>
  </si>
  <si>
    <t>142084</t>
  </si>
  <si>
    <t>336 GB SSD</t>
  </si>
  <si>
    <t>142085</t>
  </si>
  <si>
    <t>142086</t>
  </si>
  <si>
    <t>142087</t>
  </si>
  <si>
    <t>142088</t>
  </si>
  <si>
    <t>142089</t>
  </si>
  <si>
    <t>83 Fans Cabinet</t>
  </si>
  <si>
    <t>142090</t>
  </si>
  <si>
    <t>142091</t>
  </si>
  <si>
    <t>142092</t>
  </si>
  <si>
    <t>142093</t>
  </si>
  <si>
    <t>82 TB HDD</t>
  </si>
  <si>
    <t>142094</t>
  </si>
  <si>
    <t>592 GB M.2</t>
  </si>
  <si>
    <t>142095</t>
  </si>
  <si>
    <t>RYZEN 3rd gen. 3580</t>
  </si>
  <si>
    <t>142096</t>
  </si>
  <si>
    <t>12/05/2021</t>
  </si>
  <si>
    <t>142097</t>
  </si>
  <si>
    <t>13/05/2021</t>
  </si>
  <si>
    <t>96 GB DDR4 RAM</t>
  </si>
  <si>
    <t>142098</t>
  </si>
  <si>
    <t>14/05/2021</t>
  </si>
  <si>
    <t>142099</t>
  </si>
  <si>
    <t>15/05/2021</t>
  </si>
  <si>
    <t>142100</t>
  </si>
  <si>
    <t>16/05/2021</t>
  </si>
  <si>
    <t>142101</t>
  </si>
  <si>
    <t>17/05/2021</t>
  </si>
  <si>
    <t>142102</t>
  </si>
  <si>
    <t>18/05/2021</t>
  </si>
  <si>
    <t>142103</t>
  </si>
  <si>
    <t>19/05/2021</t>
  </si>
  <si>
    <t>142104</t>
  </si>
  <si>
    <t>81 TB SSD</t>
  </si>
  <si>
    <t>142105</t>
  </si>
  <si>
    <t>142106</t>
  </si>
  <si>
    <t>142107</t>
  </si>
  <si>
    <t>84 GB DDR4 Ram</t>
  </si>
  <si>
    <t>142108</t>
  </si>
  <si>
    <t>142109</t>
  </si>
  <si>
    <t>142110</t>
  </si>
  <si>
    <t>142111</t>
  </si>
  <si>
    <t>142112</t>
  </si>
  <si>
    <t>142113</t>
  </si>
  <si>
    <t>142114</t>
  </si>
  <si>
    <t>142115</t>
  </si>
  <si>
    <t>142116</t>
  </si>
  <si>
    <t>142117</t>
  </si>
  <si>
    <t>142118</t>
  </si>
  <si>
    <t>337 GB SSD</t>
  </si>
  <si>
    <t>142119</t>
  </si>
  <si>
    <t>142120</t>
  </si>
  <si>
    <t>142121</t>
  </si>
  <si>
    <t>142122</t>
  </si>
  <si>
    <t>142123</t>
  </si>
  <si>
    <t>84 Fans Cabinet</t>
  </si>
  <si>
    <t>142124</t>
  </si>
  <si>
    <t>142125</t>
  </si>
  <si>
    <t>142126</t>
  </si>
  <si>
    <t>142127</t>
  </si>
  <si>
    <t>83 TB HDD</t>
  </si>
  <si>
    <t>142128</t>
  </si>
  <si>
    <t>593 GB M.2</t>
  </si>
  <si>
    <t>142129</t>
  </si>
  <si>
    <t>RYZEN 3rd gen. 3581</t>
  </si>
  <si>
    <t>142130</t>
  </si>
  <si>
    <t>142131</t>
  </si>
  <si>
    <t>97 GB DDR4 RAM</t>
  </si>
  <si>
    <t>142132</t>
  </si>
  <si>
    <t>142133</t>
  </si>
  <si>
    <t>142134</t>
  </si>
  <si>
    <t>142135</t>
  </si>
  <si>
    <t>142136</t>
  </si>
  <si>
    <t>142137</t>
  </si>
  <si>
    <t>142138</t>
  </si>
  <si>
    <t>82 TB SSD</t>
  </si>
  <si>
    <t>142139</t>
  </si>
  <si>
    <t>142140</t>
  </si>
  <si>
    <t>142141</t>
  </si>
  <si>
    <t>20/05/2021</t>
  </si>
  <si>
    <t>85 GB DDR4 Ram</t>
  </si>
  <si>
    <t>142142</t>
  </si>
  <si>
    <t>21/05/2021</t>
  </si>
  <si>
    <t>142143</t>
  </si>
  <si>
    <t>22/05/2021</t>
  </si>
  <si>
    <t>142144</t>
  </si>
  <si>
    <t>23/05/2021</t>
  </si>
  <si>
    <t>142145</t>
  </si>
  <si>
    <t>24/05/2021</t>
  </si>
  <si>
    <t>142146</t>
  </si>
  <si>
    <t>142147</t>
  </si>
  <si>
    <t>142148</t>
  </si>
  <si>
    <t>142149</t>
  </si>
  <si>
    <t>142150</t>
  </si>
  <si>
    <t>142151</t>
  </si>
  <si>
    <t>142152</t>
  </si>
  <si>
    <t>338 GB SSD</t>
  </si>
  <si>
    <t>142153</t>
  </si>
  <si>
    <t>142154</t>
  </si>
  <si>
    <t>142155</t>
  </si>
  <si>
    <t>142156</t>
  </si>
  <si>
    <t>142157</t>
  </si>
  <si>
    <t>85 Fans Cabinet</t>
  </si>
  <si>
    <t>142158</t>
  </si>
  <si>
    <t>142159</t>
  </si>
  <si>
    <t>25/05/2021</t>
  </si>
  <si>
    <t>142160</t>
  </si>
  <si>
    <t>26/05/2021</t>
  </si>
  <si>
    <t>142161</t>
  </si>
  <si>
    <t>27/05/2021</t>
  </si>
  <si>
    <t>84 TB HDD</t>
  </si>
  <si>
    <t>142162</t>
  </si>
  <si>
    <t>594 GB M.2</t>
  </si>
  <si>
    <t>142163</t>
  </si>
  <si>
    <t>RYZEN 3rd gen. 3582</t>
  </si>
  <si>
    <t>142164</t>
  </si>
  <si>
    <t>142165</t>
  </si>
  <si>
    <t>98 GB DDR4 RAM</t>
  </si>
  <si>
    <t>142166</t>
  </si>
  <si>
    <t>142167</t>
  </si>
  <si>
    <t>142168</t>
  </si>
  <si>
    <t>142169</t>
  </si>
  <si>
    <t>142170</t>
  </si>
  <si>
    <t>142171</t>
  </si>
  <si>
    <t>28/05/2021</t>
  </si>
  <si>
    <t>142172</t>
  </si>
  <si>
    <t>29/05/2021</t>
  </si>
  <si>
    <t>83 TB SSD</t>
  </si>
  <si>
    <t>142173</t>
  </si>
  <si>
    <t>30/05/2021</t>
  </si>
  <si>
    <t>142174</t>
  </si>
  <si>
    <t>31/05/2021</t>
  </si>
  <si>
    <t>142175</t>
  </si>
  <si>
    <t>01/06/2021</t>
  </si>
  <si>
    <t>86 GB DDR4 Ram</t>
  </si>
  <si>
    <t>142176</t>
  </si>
  <si>
    <t>02/06/2021</t>
  </si>
  <si>
    <t>142177</t>
  </si>
  <si>
    <t>03/06/2021</t>
  </si>
  <si>
    <t>142178</t>
  </si>
  <si>
    <t>04/06/2021</t>
  </si>
  <si>
    <t>142179</t>
  </si>
  <si>
    <t>05/06/2021</t>
  </si>
  <si>
    <t>142180</t>
  </si>
  <si>
    <t>06/06/2021</t>
  </si>
  <si>
    <t>142181</t>
  </si>
  <si>
    <t>07/06/2021</t>
  </si>
  <si>
    <t>142182</t>
  </si>
  <si>
    <t>08/06/2021</t>
  </si>
  <si>
    <t>142183</t>
  </si>
  <si>
    <t>09/06/2021</t>
  </si>
  <si>
    <t>142184</t>
  </si>
  <si>
    <t>10/06/2021</t>
  </si>
  <si>
    <t>142185</t>
  </si>
  <si>
    <t>11/06/2021</t>
  </si>
  <si>
    <t>142186</t>
  </si>
  <si>
    <t>12/06/2021</t>
  </si>
  <si>
    <t>339 GB SSD</t>
  </si>
  <si>
    <t>142187</t>
  </si>
  <si>
    <t>13/06/2021</t>
  </si>
  <si>
    <t>142188</t>
  </si>
  <si>
    <t>14/06/2021</t>
  </si>
  <si>
    <t>142189</t>
  </si>
  <si>
    <t>15/06/2021</t>
  </si>
  <si>
    <t>142190</t>
  </si>
  <si>
    <t>16/06/2021</t>
  </si>
  <si>
    <t>142191</t>
  </si>
  <si>
    <t>17/06/2021</t>
  </si>
  <si>
    <t>86 Fans Cabinet</t>
  </si>
  <si>
    <t>142192</t>
  </si>
  <si>
    <t>18/06/2021</t>
  </si>
  <si>
    <t>142193</t>
  </si>
  <si>
    <t>19/06/2021</t>
  </si>
  <si>
    <t>142194</t>
  </si>
  <si>
    <t>20/06/2021</t>
  </si>
  <si>
    <t>142195</t>
  </si>
  <si>
    <t>85 TB HDD</t>
  </si>
  <si>
    <t>142196</t>
  </si>
  <si>
    <t>595 GB M.2</t>
  </si>
  <si>
    <t>142197</t>
  </si>
  <si>
    <t>RYZEN 3rd gen. 3583</t>
  </si>
  <si>
    <t>142198</t>
  </si>
  <si>
    <t>142199</t>
  </si>
  <si>
    <t>99 GB DDR4 RAM</t>
  </si>
  <si>
    <t>142200</t>
  </si>
  <si>
    <t>142201</t>
  </si>
  <si>
    <t>21/06/2021</t>
  </si>
  <si>
    <t>142202</t>
  </si>
  <si>
    <t>22/06/2021</t>
  </si>
  <si>
    <t>142203</t>
  </si>
  <si>
    <t>23/06/2021</t>
  </si>
  <si>
    <t>142204</t>
  </si>
  <si>
    <t>24/06/2021</t>
  </si>
  <si>
    <t>142205</t>
  </si>
  <si>
    <t>25/06/2021</t>
  </si>
  <si>
    <t>142206</t>
  </si>
  <si>
    <t>26/06/2021</t>
  </si>
  <si>
    <t>84 TB SSD</t>
  </si>
  <si>
    <t>142207</t>
  </si>
  <si>
    <t>142208</t>
  </si>
  <si>
    <t>142209</t>
  </si>
  <si>
    <t>87 GB DDR4 Ram</t>
  </si>
  <si>
    <t>142210</t>
  </si>
  <si>
    <t>142211</t>
  </si>
  <si>
    <t>142212</t>
  </si>
  <si>
    <t>142213</t>
  </si>
  <si>
    <t>142214</t>
  </si>
  <si>
    <t>142215</t>
  </si>
  <si>
    <t>142216</t>
  </si>
  <si>
    <t>142217</t>
  </si>
  <si>
    <t>142218</t>
  </si>
  <si>
    <t>142219</t>
  </si>
  <si>
    <t>142220</t>
  </si>
  <si>
    <t>340 GB SSD</t>
  </si>
  <si>
    <t>142221</t>
  </si>
  <si>
    <t>27/06/2021</t>
  </si>
  <si>
    <t>142222</t>
  </si>
  <si>
    <t>142223</t>
  </si>
  <si>
    <t>142224</t>
  </si>
  <si>
    <t>142225</t>
  </si>
  <si>
    <t>87 Fans Cabinet</t>
  </si>
  <si>
    <t>142226</t>
  </si>
  <si>
    <t>142227</t>
  </si>
  <si>
    <t>142228</t>
  </si>
  <si>
    <t>142229</t>
  </si>
  <si>
    <t>86 TB HDD</t>
  </si>
  <si>
    <t>142230</t>
  </si>
  <si>
    <t>596 GB M.2</t>
  </si>
  <si>
    <t>142231</t>
  </si>
  <si>
    <t>28/06/2021</t>
  </si>
  <si>
    <t>RYZEN 3rd gen. 3584</t>
  </si>
  <si>
    <t>142232</t>
  </si>
  <si>
    <t>29/06/2021</t>
  </si>
  <si>
    <t>142233</t>
  </si>
  <si>
    <t>30/06/2021</t>
  </si>
  <si>
    <t>100 GB DDR4 RAM</t>
  </si>
  <si>
    <t>142234</t>
  </si>
  <si>
    <t>01/07/2021</t>
  </si>
  <si>
    <t>142235</t>
  </si>
  <si>
    <t>02/07/2021</t>
  </si>
  <si>
    <t>142236</t>
  </si>
  <si>
    <t>03/07/2021</t>
  </si>
  <si>
    <t>142237</t>
  </si>
  <si>
    <t>04/07/2021</t>
  </si>
  <si>
    <t>142238</t>
  </si>
  <si>
    <t>05/07/2021</t>
  </si>
  <si>
    <t>142239</t>
  </si>
  <si>
    <t>06/07/2021</t>
  </si>
  <si>
    <t>142240</t>
  </si>
  <si>
    <t>07/07/2021</t>
  </si>
  <si>
    <t>85 TB SSD</t>
  </si>
  <si>
    <t>142241</t>
  </si>
  <si>
    <t>142242</t>
  </si>
  <si>
    <t>142243</t>
  </si>
  <si>
    <t>88 GB DDR4 Ram</t>
  </si>
  <si>
    <t>142244</t>
  </si>
  <si>
    <t>142245</t>
  </si>
  <si>
    <t>142246</t>
  </si>
  <si>
    <t>142247</t>
  </si>
  <si>
    <t>142248</t>
  </si>
  <si>
    <t>142249</t>
  </si>
  <si>
    <t>142250</t>
  </si>
  <si>
    <t>142251</t>
  </si>
  <si>
    <t>142252</t>
  </si>
  <si>
    <t>08/07/2021</t>
  </si>
  <si>
    <t>142253</t>
  </si>
  <si>
    <t>09/07/2021</t>
  </si>
  <si>
    <t>142254</t>
  </si>
  <si>
    <t>10/07/2021</t>
  </si>
  <si>
    <t>341 GB SSD</t>
  </si>
  <si>
    <t>142255</t>
  </si>
  <si>
    <t>11/07/2021</t>
  </si>
  <si>
    <t>142256</t>
  </si>
  <si>
    <t>12/07/2021</t>
  </si>
  <si>
    <t>142257</t>
  </si>
  <si>
    <t>13/07/2021</t>
  </si>
  <si>
    <t>142258</t>
  </si>
  <si>
    <t>14/07/2021</t>
  </si>
  <si>
    <t>142259</t>
  </si>
  <si>
    <t>15/07/2021</t>
  </si>
  <si>
    <t>88 Fans Cabinet</t>
  </si>
  <si>
    <t>142260</t>
  </si>
  <si>
    <t>16/07/2021</t>
  </si>
  <si>
    <t>142261</t>
  </si>
  <si>
    <t>17/07/2021</t>
  </si>
  <si>
    <t>142262</t>
  </si>
  <si>
    <t>18/07/2021</t>
  </si>
  <si>
    <t>142263</t>
  </si>
  <si>
    <t>19/07/2021</t>
  </si>
  <si>
    <t>87 TB HDD</t>
  </si>
  <si>
    <t>142264</t>
  </si>
  <si>
    <t>20/07/2021</t>
  </si>
  <si>
    <t>597 GB M.2</t>
  </si>
  <si>
    <t>142265</t>
  </si>
  <si>
    <t>21/07/2021</t>
  </si>
  <si>
    <t>RYZEN 3rd gen. 3585</t>
  </si>
  <si>
    <t>142266</t>
  </si>
  <si>
    <t>22/07/2021</t>
  </si>
  <si>
    <t>142267</t>
  </si>
  <si>
    <t>101 GB DDR4 RAM</t>
  </si>
  <si>
    <t>142268</t>
  </si>
  <si>
    <t>142269</t>
  </si>
  <si>
    <t>142270</t>
  </si>
  <si>
    <t>142271</t>
  </si>
  <si>
    <t>23/07/2021</t>
  </si>
  <si>
    <t>142272</t>
  </si>
  <si>
    <t>24/07/2021</t>
  </si>
  <si>
    <t>142273</t>
  </si>
  <si>
    <t>25/07/2021</t>
  </si>
  <si>
    <t>142274</t>
  </si>
  <si>
    <t>26/07/2021</t>
  </si>
  <si>
    <t>86 TB SSD</t>
  </si>
  <si>
    <t>142275</t>
  </si>
  <si>
    <t>27/07/2021</t>
  </si>
  <si>
    <t>142276</t>
  </si>
  <si>
    <t>28/07/2021</t>
  </si>
  <si>
    <t>142277</t>
  </si>
  <si>
    <t>29/07/2021</t>
  </si>
  <si>
    <t>89 GB DDR4 Ram</t>
  </si>
  <si>
    <t>142278</t>
  </si>
  <si>
    <t>30/07/2021</t>
  </si>
  <si>
    <t>142279</t>
  </si>
  <si>
    <t>31/07/2021</t>
  </si>
  <si>
    <t>142280</t>
  </si>
  <si>
    <t>01/08/2021</t>
  </si>
  <si>
    <t>142281</t>
  </si>
  <si>
    <t>02/08/2021</t>
  </si>
  <si>
    <t>142282</t>
  </si>
  <si>
    <t>03/08/2021</t>
  </si>
  <si>
    <t>142283</t>
  </si>
  <si>
    <t>04/08/2021</t>
  </si>
  <si>
    <t>142284</t>
  </si>
  <si>
    <t>05/08/2021</t>
  </si>
  <si>
    <t>142285</t>
  </si>
  <si>
    <t>06/08/2021</t>
  </si>
  <si>
    <t>142286</t>
  </si>
  <si>
    <t>07/08/2021</t>
  </si>
  <si>
    <t>142287</t>
  </si>
  <si>
    <t>08/08/2021</t>
  </si>
  <si>
    <t>142288</t>
  </si>
  <si>
    <t>09/08/2021</t>
  </si>
  <si>
    <t>342 GB SSD</t>
  </si>
  <si>
    <t>142289</t>
  </si>
  <si>
    <t>10/08/2021</t>
  </si>
  <si>
    <t>142290</t>
  </si>
  <si>
    <t>11/08/2021</t>
  </si>
  <si>
    <t>142291</t>
  </si>
  <si>
    <t>12/08/2021</t>
  </si>
  <si>
    <t>142292</t>
  </si>
  <si>
    <t>13/08/2021</t>
  </si>
  <si>
    <t>142293</t>
  </si>
  <si>
    <t>14/08/2021</t>
  </si>
  <si>
    <t>89 Fans Cabinet</t>
  </si>
  <si>
    <t>142294</t>
  </si>
  <si>
    <t>15/08/2021</t>
  </si>
  <si>
    <t>142295</t>
  </si>
  <si>
    <t>16/08/2021</t>
  </si>
  <si>
    <t>142296</t>
  </si>
  <si>
    <t>17/08/2021</t>
  </si>
  <si>
    <t>142297</t>
  </si>
  <si>
    <t>18/08/2021</t>
  </si>
  <si>
    <t>88 TB HDD</t>
  </si>
  <si>
    <t>142298</t>
  </si>
  <si>
    <t>19/08/2021</t>
  </si>
  <si>
    <t>598 GB M.2</t>
  </si>
  <si>
    <t>142299</t>
  </si>
  <si>
    <t>20/08/2021</t>
  </si>
  <si>
    <t>RYZEN 3rd gen. 3586</t>
  </si>
  <si>
    <t>142300</t>
  </si>
  <si>
    <t>21/08/2021</t>
  </si>
  <si>
    <t>142301</t>
  </si>
  <si>
    <t>22/08/2021</t>
  </si>
  <si>
    <t>102 GB DDR4 RAM</t>
  </si>
  <si>
    <t>142302</t>
  </si>
  <si>
    <t>23/08/2021</t>
  </si>
  <si>
    <t>142303</t>
  </si>
  <si>
    <t>24/08/2021</t>
  </si>
  <si>
    <t>142304</t>
  </si>
  <si>
    <t>25/08/2021</t>
  </si>
  <si>
    <t>142305</t>
  </si>
  <si>
    <t>26/08/2021</t>
  </si>
  <si>
    <t>142306</t>
  </si>
  <si>
    <t>27/08/2021</t>
  </si>
  <si>
    <t>142307</t>
  </si>
  <si>
    <t>28/08/2021</t>
  </si>
  <si>
    <t>142308</t>
  </si>
  <si>
    <t>29/08/2021</t>
  </si>
  <si>
    <t>87 TB SSD</t>
  </si>
  <si>
    <t>142309</t>
  </si>
  <si>
    <t>30/08/2021</t>
  </si>
  <si>
    <t>142310</t>
  </si>
  <si>
    <t>31/08/2021</t>
  </si>
  <si>
    <t>142311</t>
  </si>
  <si>
    <t>01/09/2021</t>
  </si>
  <si>
    <t>90 GB DDR4 Ram</t>
  </si>
  <si>
    <t>142312</t>
  </si>
  <si>
    <t>02/09/2021</t>
  </si>
  <si>
    <t>142313</t>
  </si>
  <si>
    <t>03/09/2021</t>
  </si>
  <si>
    <t>142314</t>
  </si>
  <si>
    <t>04/09/2021</t>
  </si>
  <si>
    <t>142315</t>
  </si>
  <si>
    <t>05/09/2021</t>
  </si>
  <si>
    <t>142316</t>
  </si>
  <si>
    <t>06/09/2021</t>
  </si>
  <si>
    <t>142317</t>
  </si>
  <si>
    <t>07/09/2021</t>
  </si>
  <si>
    <t>142318</t>
  </si>
  <si>
    <t>142319</t>
  </si>
  <si>
    <t>142320</t>
  </si>
  <si>
    <t>142321</t>
  </si>
  <si>
    <t>142322</t>
  </si>
  <si>
    <t>343 GB SSD</t>
  </si>
  <si>
    <t>142323</t>
  </si>
  <si>
    <t>142324</t>
  </si>
  <si>
    <t>142325</t>
  </si>
  <si>
    <t>142326</t>
  </si>
  <si>
    <t>142327</t>
  </si>
  <si>
    <t>90 Fans Cabinet</t>
  </si>
  <si>
    <t>142328</t>
  </si>
  <si>
    <t>142329</t>
  </si>
  <si>
    <t>142330</t>
  </si>
  <si>
    <t>142331</t>
  </si>
  <si>
    <t>89 TB HDD</t>
  </si>
  <si>
    <t>142332</t>
  </si>
  <si>
    <t>599 GB M.2</t>
  </si>
  <si>
    <t>142333</t>
  </si>
  <si>
    <t>RYZEN 3rd gen. 3587</t>
  </si>
  <si>
    <t>142334</t>
  </si>
  <si>
    <t>142335</t>
  </si>
  <si>
    <t>103 GB DDR4 RAM</t>
  </si>
  <si>
    <t>142336</t>
  </si>
  <si>
    <t>142337</t>
  </si>
  <si>
    <t>142338</t>
  </si>
  <si>
    <t>142339</t>
  </si>
  <si>
    <t>142340</t>
  </si>
  <si>
    <t>142341</t>
  </si>
  <si>
    <t>142342</t>
  </si>
  <si>
    <t>88 TB SSD</t>
  </si>
  <si>
    <t>142343</t>
  </si>
  <si>
    <t>142344</t>
  </si>
  <si>
    <t>142345</t>
  </si>
  <si>
    <t>91 GB DDR4 Ram</t>
  </si>
  <si>
    <t>142346</t>
  </si>
  <si>
    <t>142347</t>
  </si>
  <si>
    <t>142348</t>
  </si>
  <si>
    <t>142349</t>
  </si>
  <si>
    <t>142350</t>
  </si>
  <si>
    <t>142351</t>
  </si>
  <si>
    <t>142352</t>
  </si>
  <si>
    <t>142353</t>
  </si>
  <si>
    <t>142354</t>
  </si>
  <si>
    <t>142355</t>
  </si>
  <si>
    <t>142356</t>
  </si>
  <si>
    <t>344 GB SSD</t>
  </si>
  <si>
    <t>142357</t>
  </si>
  <si>
    <t>142358</t>
  </si>
  <si>
    <t>142359</t>
  </si>
  <si>
    <t>142360</t>
  </si>
  <si>
    <t>142361</t>
  </si>
  <si>
    <t>91 Fans Cabinet</t>
  </si>
  <si>
    <t>142362</t>
  </si>
  <si>
    <t>142363</t>
  </si>
  <si>
    <t>142364</t>
  </si>
  <si>
    <t>142365</t>
  </si>
  <si>
    <t>90 TB HDD</t>
  </si>
  <si>
    <t>142366</t>
  </si>
  <si>
    <t>600 GB M.2</t>
  </si>
  <si>
    <t>142367</t>
  </si>
  <si>
    <t>RYZEN 3rd gen. 3588</t>
  </si>
  <si>
    <t>142368</t>
  </si>
  <si>
    <t>142369</t>
  </si>
  <si>
    <t>104 GB DDR4 RAM</t>
  </si>
  <si>
    <t>142370</t>
  </si>
  <si>
    <t>142371</t>
  </si>
  <si>
    <t>142372</t>
  </si>
  <si>
    <t>142373</t>
  </si>
  <si>
    <t>142374</t>
  </si>
  <si>
    <t>142375</t>
  </si>
  <si>
    <t>142376</t>
  </si>
  <si>
    <t>89 TB SSD</t>
  </si>
  <si>
    <t>142377</t>
  </si>
  <si>
    <t>142378</t>
  </si>
  <si>
    <t>142379</t>
  </si>
  <si>
    <t>92 GB DDR4 Ram</t>
  </si>
  <si>
    <t>142380</t>
  </si>
  <si>
    <t>142381</t>
  </si>
  <si>
    <t>142382</t>
  </si>
  <si>
    <t>142383</t>
  </si>
  <si>
    <t>142384</t>
  </si>
  <si>
    <t>142385</t>
  </si>
  <si>
    <t>142386</t>
  </si>
  <si>
    <t>142387</t>
  </si>
  <si>
    <t>142388</t>
  </si>
  <si>
    <t>142389</t>
  </si>
  <si>
    <t>142390</t>
  </si>
  <si>
    <t>345 GB SSD</t>
  </si>
  <si>
    <t>142391</t>
  </si>
  <si>
    <t>142392</t>
  </si>
  <si>
    <t>142393</t>
  </si>
  <si>
    <t>142394</t>
  </si>
  <si>
    <t>142395</t>
  </si>
  <si>
    <t>92 Fans Cabinet</t>
  </si>
  <si>
    <t>142396</t>
  </si>
  <si>
    <t>142397</t>
  </si>
  <si>
    <t>142398</t>
  </si>
  <si>
    <t>142399</t>
  </si>
  <si>
    <t>91 TB HDD</t>
  </si>
  <si>
    <t>142400</t>
  </si>
  <si>
    <t>601 GB M.2</t>
  </si>
  <si>
    <t>142401</t>
  </si>
  <si>
    <t>RYZEN 3rd gen. 3589</t>
  </si>
  <si>
    <t>142402</t>
  </si>
  <si>
    <t>142403</t>
  </si>
  <si>
    <t>105 GB DDR4 RAM</t>
  </si>
  <si>
    <t>142404</t>
  </si>
  <si>
    <t>142405</t>
  </si>
  <si>
    <t>142406</t>
  </si>
  <si>
    <t>142407</t>
  </si>
  <si>
    <t>142408</t>
  </si>
  <si>
    <t>142409</t>
  </si>
  <si>
    <t>142410</t>
  </si>
  <si>
    <t>90 TB SSD</t>
  </si>
  <si>
    <t>142411</t>
  </si>
  <si>
    <t>142412</t>
  </si>
  <si>
    <t>142413</t>
  </si>
  <si>
    <t>08/09/2021</t>
  </si>
  <si>
    <t>93 GB DDR4 Ram</t>
  </si>
  <si>
    <t>142414</t>
  </si>
  <si>
    <t>09/09/2021</t>
  </si>
  <si>
    <t>142415</t>
  </si>
  <si>
    <t>10/09/2021</t>
  </si>
  <si>
    <t>142416</t>
  </si>
  <si>
    <t>142417</t>
  </si>
  <si>
    <t>142418</t>
  </si>
  <si>
    <t>142419</t>
  </si>
  <si>
    <t>142420</t>
  </si>
  <si>
    <t>142421</t>
  </si>
  <si>
    <t>142422</t>
  </si>
  <si>
    <t>142423</t>
  </si>
  <si>
    <t>142424</t>
  </si>
  <si>
    <t>346 GB SSD</t>
  </si>
  <si>
    <t>142425</t>
  </si>
  <si>
    <t>142426</t>
  </si>
  <si>
    <t>142427</t>
  </si>
  <si>
    <t>142428</t>
  </si>
  <si>
    <t>142429</t>
  </si>
  <si>
    <t>93 Fans Cabinet</t>
  </si>
  <si>
    <t>142430</t>
  </si>
  <si>
    <t>142431</t>
  </si>
  <si>
    <t>142432</t>
  </si>
  <si>
    <t>142433</t>
  </si>
  <si>
    <t>92 TB HDD</t>
  </si>
  <si>
    <t>142434</t>
  </si>
  <si>
    <t>602 GB M.2</t>
  </si>
  <si>
    <t>142435</t>
  </si>
  <si>
    <t>RYZEN 3rd gen. 3590</t>
  </si>
  <si>
    <t>142436</t>
  </si>
  <si>
    <t>142437</t>
  </si>
  <si>
    <t>106 GB DDR4 RAM</t>
  </si>
  <si>
    <t>142438</t>
  </si>
  <si>
    <t>142439</t>
  </si>
  <si>
    <t>142440</t>
  </si>
  <si>
    <t>142441</t>
  </si>
  <si>
    <t>142442</t>
  </si>
  <si>
    <t>142443</t>
  </si>
  <si>
    <t>142444</t>
  </si>
  <si>
    <t>91 TB SSD</t>
  </si>
  <si>
    <t>142445</t>
  </si>
  <si>
    <t>142446</t>
  </si>
  <si>
    <t>142447</t>
  </si>
  <si>
    <t>94 GB DDR4 Ram</t>
  </si>
  <si>
    <t>142448</t>
  </si>
  <si>
    <t>142449</t>
  </si>
  <si>
    <t>142450</t>
  </si>
  <si>
    <t>142451</t>
  </si>
  <si>
    <t>142452</t>
  </si>
  <si>
    <t>142453</t>
  </si>
  <si>
    <t>142454</t>
  </si>
  <si>
    <t>142455</t>
  </si>
  <si>
    <t>11/09/2021</t>
  </si>
  <si>
    <t>142456</t>
  </si>
  <si>
    <t>12/09/2021</t>
  </si>
  <si>
    <t>142457</t>
  </si>
  <si>
    <t>13/09/2021</t>
  </si>
  <si>
    <t>142458</t>
  </si>
  <si>
    <t>14/09/2021</t>
  </si>
  <si>
    <t>347 GB SSD</t>
  </si>
  <si>
    <t>142459</t>
  </si>
  <si>
    <t>15/09/2021</t>
  </si>
  <si>
    <t>142460</t>
  </si>
  <si>
    <t>16/09/2021</t>
  </si>
  <si>
    <t>142461</t>
  </si>
  <si>
    <t>17/09/2021</t>
  </si>
  <si>
    <t>142462</t>
  </si>
  <si>
    <t>18/09/2021</t>
  </si>
  <si>
    <t>142463</t>
  </si>
  <si>
    <t>19/09/2021</t>
  </si>
  <si>
    <t>94 Fans Cabinet</t>
  </si>
  <si>
    <t>142464</t>
  </si>
  <si>
    <t>20/09/2021</t>
  </si>
  <si>
    <t>142465</t>
  </si>
  <si>
    <t>21/09/2021</t>
  </si>
  <si>
    <t>142466</t>
  </si>
  <si>
    <t>22/09/2021</t>
  </si>
  <si>
    <t>142467</t>
  </si>
  <si>
    <t>23/09/2021</t>
  </si>
  <si>
    <t>93 TB HDD</t>
  </si>
  <si>
    <t>142468</t>
  </si>
  <si>
    <t>24/09/2021</t>
  </si>
  <si>
    <t>603 GB M.2</t>
  </si>
  <si>
    <t>142469</t>
  </si>
  <si>
    <t>25/09/2021</t>
  </si>
  <si>
    <t>RYZEN 3rd gen. 3591</t>
  </si>
  <si>
    <t>142470</t>
  </si>
  <si>
    <t>26/09/2021</t>
  </si>
  <si>
    <t>142471</t>
  </si>
  <si>
    <t>27/09/2021</t>
  </si>
  <si>
    <t>107 GB DDR4 RAM</t>
  </si>
  <si>
    <t>142472</t>
  </si>
  <si>
    <t>28/09/2021</t>
  </si>
  <si>
    <t>142473</t>
  </si>
  <si>
    <t>29/09/2021</t>
  </si>
  <si>
    <t>142474</t>
  </si>
  <si>
    <t>30/09/2021</t>
  </si>
  <si>
    <t>142475</t>
  </si>
  <si>
    <t>01/10/2021</t>
  </si>
  <si>
    <t>142476</t>
  </si>
  <si>
    <t>02/10/2021</t>
  </si>
  <si>
    <t>142477</t>
  </si>
  <si>
    <t>03/10/2021</t>
  </si>
  <si>
    <t>142478</t>
  </si>
  <si>
    <t>04/10/2021</t>
  </si>
  <si>
    <t>92 TB SSD</t>
  </si>
  <si>
    <t>142479</t>
  </si>
  <si>
    <t>05/10/2021</t>
  </si>
  <si>
    <t>142480</t>
  </si>
  <si>
    <t>06/10/2021</t>
  </si>
  <si>
    <t>142481</t>
  </si>
  <si>
    <t>07/10/2021</t>
  </si>
  <si>
    <t>95 GB DDR4 Ram</t>
  </si>
  <si>
    <t>142482</t>
  </si>
  <si>
    <t>08/10/2021</t>
  </si>
  <si>
    <t>142483</t>
  </si>
  <si>
    <t>09/10/2021</t>
  </si>
  <si>
    <t>142484</t>
  </si>
  <si>
    <t>10/10/2021</t>
  </si>
  <si>
    <t>142485</t>
  </si>
  <si>
    <t>11/10/2021</t>
  </si>
  <si>
    <t>142486</t>
  </si>
  <si>
    <t>12/10/2021</t>
  </si>
  <si>
    <t>142487</t>
  </si>
  <si>
    <t>13/10/2021</t>
  </si>
  <si>
    <t>142488</t>
  </si>
  <si>
    <t>14/10/2021</t>
  </si>
  <si>
    <t>142489</t>
  </si>
  <si>
    <t>15/10/2021</t>
  </si>
  <si>
    <t>142490</t>
  </si>
  <si>
    <t>16/10/2021</t>
  </si>
  <si>
    <t>142491</t>
  </si>
  <si>
    <t>17/10/2021</t>
  </si>
  <si>
    <t>142492</t>
  </si>
  <si>
    <t>18/10/2021</t>
  </si>
  <si>
    <t>348 GB SSD</t>
  </si>
  <si>
    <t>142493</t>
  </si>
  <si>
    <t>19/10/2021</t>
  </si>
  <si>
    <t>142494</t>
  </si>
  <si>
    <t>20/10/2021</t>
  </si>
  <si>
    <t>142495</t>
  </si>
  <si>
    <t>21/10/2021</t>
  </si>
  <si>
    <t>142496</t>
  </si>
  <si>
    <t>22/10/2021</t>
  </si>
  <si>
    <t>142497</t>
  </si>
  <si>
    <t>23/10/2021</t>
  </si>
  <si>
    <t>95 Fans Cabinet</t>
  </si>
  <si>
    <t>142498</t>
  </si>
  <si>
    <t>24/10/2021</t>
  </si>
  <si>
    <t>142499</t>
  </si>
  <si>
    <t>25/10/2021</t>
  </si>
  <si>
    <t>142500</t>
  </si>
  <si>
    <t>142501</t>
  </si>
  <si>
    <t>94 TB HDD</t>
  </si>
  <si>
    <t>142502</t>
  </si>
  <si>
    <t>604 GB M.2</t>
  </si>
  <si>
    <t>142503</t>
  </si>
  <si>
    <t>RYZEN 3rd gen. 3592</t>
  </si>
  <si>
    <t>142504</t>
  </si>
  <si>
    <t>142505</t>
  </si>
  <si>
    <t>108 GB DDR4 RAM</t>
  </si>
  <si>
    <t>142506</t>
  </si>
  <si>
    <t>142507</t>
  </si>
  <si>
    <t>26/10/2021</t>
  </si>
  <si>
    <t>142508</t>
  </si>
  <si>
    <t>27/10/2021</t>
  </si>
  <si>
    <t>142509</t>
  </si>
  <si>
    <t>28/10/2021</t>
  </si>
  <si>
    <t>142510</t>
  </si>
  <si>
    <t>29/10/2021</t>
  </si>
  <si>
    <t>142511</t>
  </si>
  <si>
    <t>30/10/2021</t>
  </si>
  <si>
    <t>142512</t>
  </si>
  <si>
    <t>31/10/2021</t>
  </si>
  <si>
    <t>93 TB SSD</t>
  </si>
  <si>
    <t>142513</t>
  </si>
  <si>
    <t>01/11/2021</t>
  </si>
  <si>
    <t>142514</t>
  </si>
  <si>
    <t>02/11/2021</t>
  </si>
  <si>
    <t>142515</t>
  </si>
  <si>
    <t>03/11/2021</t>
  </si>
  <si>
    <t>96 GB DDR4 Ram</t>
  </si>
  <si>
    <t>142516</t>
  </si>
  <si>
    <t>04/11/2021</t>
  </si>
  <si>
    <t>142517</t>
  </si>
  <si>
    <t>05/11/2021</t>
  </si>
  <si>
    <t>142518</t>
  </si>
  <si>
    <t>142519</t>
  </si>
  <si>
    <t>142520</t>
  </si>
  <si>
    <t>142521</t>
  </si>
  <si>
    <t>142522</t>
  </si>
  <si>
    <t>142523</t>
  </si>
  <si>
    <t>142524</t>
  </si>
  <si>
    <t>142525</t>
  </si>
  <si>
    <t>142526</t>
  </si>
  <si>
    <t>349 GB SSD</t>
  </si>
  <si>
    <t>142527</t>
  </si>
  <si>
    <t>142528</t>
  </si>
  <si>
    <t>142529</t>
  </si>
  <si>
    <t>142530</t>
  </si>
  <si>
    <t>142531</t>
  </si>
  <si>
    <t>96 Fans Cabinet</t>
  </si>
  <si>
    <t>142532</t>
  </si>
  <si>
    <t>142533</t>
  </si>
  <si>
    <t>142534</t>
  </si>
  <si>
    <t>142535</t>
  </si>
  <si>
    <t>95 TB HDD</t>
  </si>
  <si>
    <t>142536</t>
  </si>
  <si>
    <t>605 GB M.2</t>
  </si>
  <si>
    <t>142537</t>
  </si>
  <si>
    <t>RYZEN 3rd gen. 3593</t>
  </si>
  <si>
    <t>142538</t>
  </si>
  <si>
    <t>142539</t>
  </si>
  <si>
    <t>109 GB DDR4 RAM</t>
  </si>
  <si>
    <t>142540</t>
  </si>
  <si>
    <t>142541</t>
  </si>
  <si>
    <t>142542</t>
  </si>
  <si>
    <t>142543</t>
  </si>
  <si>
    <t>142544</t>
  </si>
  <si>
    <t>142545</t>
  </si>
  <si>
    <t>142546</t>
  </si>
  <si>
    <t>94 TB SSD</t>
  </si>
  <si>
    <t>142547</t>
  </si>
  <si>
    <t>142548</t>
  </si>
  <si>
    <t>06/11/2021</t>
  </si>
  <si>
    <t>142549</t>
  </si>
  <si>
    <t>07/11/2021</t>
  </si>
  <si>
    <t>97 GB DDR4 Ram</t>
  </si>
  <si>
    <t>142550</t>
  </si>
  <si>
    <t>08/11/2021</t>
  </si>
  <si>
    <t>142551</t>
  </si>
  <si>
    <t>09/11/2021</t>
  </si>
  <si>
    <t>142552</t>
  </si>
  <si>
    <t>10/11/2021</t>
  </si>
  <si>
    <t>142553</t>
  </si>
  <si>
    <t>11/11/2021</t>
  </si>
  <si>
    <t>142554</t>
  </si>
  <si>
    <t>12/11/2021</t>
  </si>
  <si>
    <t>142555</t>
  </si>
  <si>
    <t>13/11/2021</t>
  </si>
  <si>
    <t>142556</t>
  </si>
  <si>
    <t>14/11/2021</t>
  </si>
  <si>
    <t>142557</t>
  </si>
  <si>
    <t>15/11/2021</t>
  </si>
  <si>
    <t>142558</t>
  </si>
  <si>
    <t>16/11/2021</t>
  </si>
  <si>
    <t>142559</t>
  </si>
  <si>
    <t>17/11/2021</t>
  </si>
  <si>
    <t>142560</t>
  </si>
  <si>
    <t>18/11/2021</t>
  </si>
  <si>
    <t>350 GB SSD</t>
  </si>
  <si>
    <t>142561</t>
  </si>
  <si>
    <t>19/11/2021</t>
  </si>
  <si>
    <t>142562</t>
  </si>
  <si>
    <t>20/11/2021</t>
  </si>
  <si>
    <t>142563</t>
  </si>
  <si>
    <t>21/11/2021</t>
  </si>
  <si>
    <t>142564</t>
  </si>
  <si>
    <t>22/11/2021</t>
  </si>
  <si>
    <t>142565</t>
  </si>
  <si>
    <t>97 Fans Cabinet</t>
  </si>
  <si>
    <t>142566</t>
  </si>
  <si>
    <t>142567</t>
  </si>
  <si>
    <t>142568</t>
  </si>
  <si>
    <t>142569</t>
  </si>
  <si>
    <t>96 TB HDD</t>
  </si>
  <si>
    <t>142570</t>
  </si>
  <si>
    <t>606 GB M.2</t>
  </si>
  <si>
    <t>142571</t>
  </si>
  <si>
    <t>RYZEN 3rd gen. 3594</t>
  </si>
  <si>
    <t>142572</t>
  </si>
  <si>
    <t>142573</t>
  </si>
  <si>
    <t>110 GB DDR4 RAM</t>
  </si>
  <si>
    <t>142574</t>
  </si>
  <si>
    <t>142575</t>
  </si>
  <si>
    <t>142576</t>
  </si>
  <si>
    <t>142577</t>
  </si>
  <si>
    <t>142578</t>
  </si>
  <si>
    <t>142579</t>
  </si>
  <si>
    <t>142580</t>
  </si>
  <si>
    <t>95 TB SSD</t>
  </si>
  <si>
    <t>142581</t>
  </si>
  <si>
    <t>142582</t>
  </si>
  <si>
    <t>142583</t>
  </si>
  <si>
    <t>23/11/2021</t>
  </si>
  <si>
    <t>98 GB DDR4 Ram</t>
  </si>
  <si>
    <t>142584</t>
  </si>
  <si>
    <t>24/11/2021</t>
  </si>
  <si>
    <t>142585</t>
  </si>
  <si>
    <t>25/11/2021</t>
  </si>
  <si>
    <t>142586</t>
  </si>
  <si>
    <t>26/11/2021</t>
  </si>
  <si>
    <t>142587</t>
  </si>
  <si>
    <t>27/11/2021</t>
  </si>
  <si>
    <t>142588</t>
  </si>
  <si>
    <t>28/11/2021</t>
  </si>
  <si>
    <t>142589</t>
  </si>
  <si>
    <t>29/11/2021</t>
  </si>
  <si>
    <t>142590</t>
  </si>
  <si>
    <t>30/11/2021</t>
  </si>
  <si>
    <t>142591</t>
  </si>
  <si>
    <t>01/12/2021</t>
  </si>
  <si>
    <t>142592</t>
  </si>
  <si>
    <t>02/12/2021</t>
  </si>
  <si>
    <t>142593</t>
  </si>
  <si>
    <t>03/12/2021</t>
  </si>
  <si>
    <t>142594</t>
  </si>
  <si>
    <t>04/12/2021</t>
  </si>
  <si>
    <t>351 GB SSD</t>
  </si>
  <si>
    <t>142595</t>
  </si>
  <si>
    <t>05/12/2021</t>
  </si>
  <si>
    <t>142596</t>
  </si>
  <si>
    <t>06/12/2021</t>
  </si>
  <si>
    <t>142597</t>
  </si>
  <si>
    <t>07/12/2021</t>
  </si>
  <si>
    <t>142598</t>
  </si>
  <si>
    <t>08/12/2021</t>
  </si>
  <si>
    <t>142599</t>
  </si>
  <si>
    <t>09/12/2021</t>
  </si>
  <si>
    <t>98 Fans Cabinet</t>
  </si>
  <si>
    <t>142600</t>
  </si>
  <si>
    <t>10/12/2021</t>
  </si>
  <si>
    <t>142601</t>
  </si>
  <si>
    <t>142602</t>
  </si>
  <si>
    <t>142603</t>
  </si>
  <si>
    <t>97 TB HDD</t>
  </si>
  <si>
    <t>142604</t>
  </si>
  <si>
    <t>607 GB M.2</t>
  </si>
  <si>
    <t>142605</t>
  </si>
  <si>
    <t>RYZEN 3rd gen. 3595</t>
  </si>
  <si>
    <t>142606</t>
  </si>
  <si>
    <t>142607</t>
  </si>
  <si>
    <t>11/12/2021</t>
  </si>
  <si>
    <t>111 GB DDR4 RAM</t>
  </si>
  <si>
    <t>142608</t>
  </si>
  <si>
    <t>12/12/2021</t>
  </si>
  <si>
    <t>142609</t>
  </si>
  <si>
    <t>13/12/2021</t>
  </si>
  <si>
    <t>142610</t>
  </si>
  <si>
    <t>14/12/2021</t>
  </si>
  <si>
    <t>142611</t>
  </si>
  <si>
    <t>15/12/2021</t>
  </si>
  <si>
    <t>142612</t>
  </si>
  <si>
    <t>16/12/2021</t>
  </si>
  <si>
    <t>142613</t>
  </si>
  <si>
    <t>17/12/2021</t>
  </si>
  <si>
    <t>142614</t>
  </si>
  <si>
    <t>96 TB SSD</t>
  </si>
  <si>
    <t>142615</t>
  </si>
  <si>
    <t>142616</t>
  </si>
  <si>
    <t>142617</t>
  </si>
  <si>
    <t>99 GB DDR4 Ram</t>
  </si>
  <si>
    <t>142618</t>
  </si>
  <si>
    <t>142619</t>
  </si>
  <si>
    <t>142620</t>
  </si>
  <si>
    <t>142621</t>
  </si>
  <si>
    <t>142622</t>
  </si>
  <si>
    <t>142623</t>
  </si>
  <si>
    <t>142624</t>
  </si>
  <si>
    <t>142625</t>
  </si>
  <si>
    <t>142626</t>
  </si>
  <si>
    <t>18/12/2021</t>
  </si>
  <si>
    <t>142627</t>
  </si>
  <si>
    <t>19/12/2021</t>
  </si>
  <si>
    <t>142628</t>
  </si>
  <si>
    <t>20/12/2021</t>
  </si>
  <si>
    <t>352 GB SSD</t>
  </si>
  <si>
    <t>142629</t>
  </si>
  <si>
    <t>21/12/2021</t>
  </si>
  <si>
    <t>142630</t>
  </si>
  <si>
    <t>22/12/2021</t>
  </si>
  <si>
    <t>142631</t>
  </si>
  <si>
    <t>142632</t>
  </si>
  <si>
    <t>142633</t>
  </si>
  <si>
    <t>99 Fans Cabinet</t>
  </si>
  <si>
    <t>142634</t>
  </si>
  <si>
    <t>142635</t>
  </si>
  <si>
    <t>142636</t>
  </si>
  <si>
    <t>142637</t>
  </si>
  <si>
    <t>98 TB HDD</t>
  </si>
  <si>
    <t>142638</t>
  </si>
  <si>
    <t>608 GB M.2</t>
  </si>
  <si>
    <t>142639</t>
  </si>
  <si>
    <t>RYZEN 3rd gen. 3596</t>
  </si>
  <si>
    <t>142640</t>
  </si>
  <si>
    <t>142641</t>
  </si>
  <si>
    <t>112 GB DDR4 RAM</t>
  </si>
  <si>
    <t>142642</t>
  </si>
  <si>
    <t>142643</t>
  </si>
  <si>
    <t>142644</t>
  </si>
  <si>
    <t>142645</t>
  </si>
  <si>
    <t>142646</t>
  </si>
  <si>
    <t>142647</t>
  </si>
  <si>
    <t>142648</t>
  </si>
  <si>
    <t>97 TB SSD</t>
  </si>
  <si>
    <t>142649</t>
  </si>
  <si>
    <t>142650</t>
  </si>
  <si>
    <t>23/12/2021</t>
  </si>
  <si>
    <t>142651</t>
  </si>
  <si>
    <t>24/12/2021</t>
  </si>
  <si>
    <t>100 GB DDR4 Ram</t>
  </si>
  <si>
    <t>142652</t>
  </si>
  <si>
    <t>25/12/2021</t>
  </si>
  <si>
    <t>142653</t>
  </si>
  <si>
    <t>26/12/2021</t>
  </si>
  <si>
    <t>142654</t>
  </si>
  <si>
    <t>27/12/2021</t>
  </si>
  <si>
    <t>142655</t>
  </si>
  <si>
    <t>142656</t>
  </si>
  <si>
    <t>142657</t>
  </si>
  <si>
    <t>142658</t>
  </si>
  <si>
    <t>142659</t>
  </si>
  <si>
    <t>142660</t>
  </si>
  <si>
    <t>142661</t>
  </si>
  <si>
    <t>142662</t>
  </si>
  <si>
    <t>353 GB SSD</t>
  </si>
  <si>
    <t>142663</t>
  </si>
  <si>
    <t>142664</t>
  </si>
  <si>
    <t>142665</t>
  </si>
  <si>
    <t>142666</t>
  </si>
  <si>
    <t>142667</t>
  </si>
  <si>
    <t>100 Fans Cabinet</t>
  </si>
  <si>
    <t>142668</t>
  </si>
  <si>
    <t>142669</t>
  </si>
  <si>
    <t>142670</t>
  </si>
  <si>
    <t>142671</t>
  </si>
  <si>
    <t>99 TB HDD</t>
  </si>
  <si>
    <t>142672</t>
  </si>
  <si>
    <t>609 GB M.2</t>
  </si>
  <si>
    <t>142673</t>
  </si>
  <si>
    <t>RYZEN 3rd gen. 3597</t>
  </si>
  <si>
    <t>142674</t>
  </si>
  <si>
    <t>142675</t>
  </si>
  <si>
    <t>113 GB DDR4 RAM</t>
  </si>
  <si>
    <t>142676</t>
  </si>
  <si>
    <t>28/12/2021</t>
  </si>
  <si>
    <t>142677</t>
  </si>
  <si>
    <t>29/12/2021</t>
  </si>
  <si>
    <t>142678</t>
  </si>
  <si>
    <t>30/12/2021</t>
  </si>
  <si>
    <t>142679</t>
  </si>
  <si>
    <t>31/12/2021</t>
  </si>
  <si>
    <t>142680</t>
  </si>
  <si>
    <t>142681</t>
  </si>
  <si>
    <t>142682</t>
  </si>
  <si>
    <t>98 TB SSD</t>
  </si>
  <si>
    <t>142683</t>
  </si>
  <si>
    <t>142684</t>
  </si>
  <si>
    <t>142685</t>
  </si>
  <si>
    <t>101 GB DDR4 Ram</t>
  </si>
  <si>
    <t>142686</t>
  </si>
  <si>
    <t>142687</t>
  </si>
  <si>
    <t>142688</t>
  </si>
  <si>
    <t>142689</t>
  </si>
  <si>
    <t>142690</t>
  </si>
  <si>
    <t>142691</t>
  </si>
  <si>
    <t>142692</t>
  </si>
  <si>
    <t>142693</t>
  </si>
  <si>
    <t>142694</t>
  </si>
  <si>
    <t>142695</t>
  </si>
  <si>
    <t>142696</t>
  </si>
  <si>
    <t>354 GB SSD</t>
  </si>
  <si>
    <t>142697</t>
  </si>
  <si>
    <t>142698</t>
  </si>
  <si>
    <t>142699</t>
  </si>
  <si>
    <t>142700</t>
  </si>
  <si>
    <t>142701</t>
  </si>
  <si>
    <t>101 Fans Cabinet</t>
  </si>
  <si>
    <t>142702</t>
  </si>
  <si>
    <t>142703</t>
  </si>
  <si>
    <t>142704</t>
  </si>
  <si>
    <t>142705</t>
  </si>
  <si>
    <t>100 TB HDD</t>
  </si>
  <si>
    <t>142706</t>
  </si>
  <si>
    <t>610 GB M.2</t>
  </si>
  <si>
    <t>142707</t>
  </si>
  <si>
    <t>RYZEN 3rd gen. 3598</t>
  </si>
  <si>
    <t>142708</t>
  </si>
  <si>
    <t>142709</t>
  </si>
  <si>
    <t>114 GB DDR4 RAM</t>
  </si>
  <si>
    <t>142710</t>
  </si>
  <si>
    <t>142711</t>
  </si>
  <si>
    <t>142712</t>
  </si>
  <si>
    <t>142713</t>
  </si>
  <si>
    <t>142714</t>
  </si>
  <si>
    <t>142715</t>
  </si>
  <si>
    <t>142716</t>
  </si>
  <si>
    <t>99 TB SSD</t>
  </si>
  <si>
    <t>142717</t>
  </si>
  <si>
    <t>142718</t>
  </si>
  <si>
    <t>142719</t>
  </si>
  <si>
    <t>102 GB DDR4 Ram</t>
  </si>
  <si>
    <t>142720</t>
  </si>
  <si>
    <t>142721</t>
  </si>
  <si>
    <t>142722</t>
  </si>
  <si>
    <t>142723</t>
  </si>
  <si>
    <t>142724</t>
  </si>
  <si>
    <t>142725</t>
  </si>
  <si>
    <t>142726</t>
  </si>
  <si>
    <t>142727</t>
  </si>
  <si>
    <t>142728</t>
  </si>
  <si>
    <t>142729</t>
  </si>
  <si>
    <t>142730</t>
  </si>
  <si>
    <t>355 GB SSD</t>
  </si>
  <si>
    <t>142731</t>
  </si>
  <si>
    <t>142732</t>
  </si>
  <si>
    <t>142733</t>
  </si>
  <si>
    <t>142734</t>
  </si>
  <si>
    <t>142735</t>
  </si>
  <si>
    <t>102 Fans Cabinet</t>
  </si>
  <si>
    <t>142736</t>
  </si>
  <si>
    <t>142737</t>
  </si>
  <si>
    <t>01/01/2022</t>
  </si>
  <si>
    <t>142738</t>
  </si>
  <si>
    <t>142739</t>
  </si>
  <si>
    <t>101 TB HDD</t>
  </si>
  <si>
    <t>142740</t>
  </si>
  <si>
    <t>611 GB M.2</t>
  </si>
  <si>
    <t>142741</t>
  </si>
  <si>
    <t>RYZEN 3rd gen. 3599</t>
  </si>
  <si>
    <t>142742</t>
  </si>
  <si>
    <t>142743</t>
  </si>
  <si>
    <t>115 GB DDR4 RAM</t>
  </si>
  <si>
    <t>142744</t>
  </si>
  <si>
    <t>142745</t>
  </si>
  <si>
    <t>142746</t>
  </si>
  <si>
    <t>142747</t>
  </si>
  <si>
    <t>142748</t>
  </si>
  <si>
    <t>142749</t>
  </si>
  <si>
    <t>142750</t>
  </si>
  <si>
    <t>100 TB SSD</t>
  </si>
  <si>
    <t>142751</t>
  </si>
  <si>
    <t>142752</t>
  </si>
  <si>
    <t>142753</t>
  </si>
  <si>
    <t>103 GB DDR4 Ram</t>
  </si>
  <si>
    <t>142754</t>
  </si>
  <si>
    <t>142755</t>
  </si>
  <si>
    <t>02/01/2022</t>
  </si>
  <si>
    <t>142756</t>
  </si>
  <si>
    <t>03/01/2022</t>
  </si>
  <si>
    <t>142757</t>
  </si>
  <si>
    <t>04/01/2022</t>
  </si>
  <si>
    <t>142758</t>
  </si>
  <si>
    <t>05/01/2022</t>
  </si>
  <si>
    <t>142759</t>
  </si>
  <si>
    <t>06/01/2022</t>
  </si>
  <si>
    <t>142760</t>
  </si>
  <si>
    <t>07/01/2022</t>
  </si>
  <si>
    <t>142761</t>
  </si>
  <si>
    <t>08/01/2022</t>
  </si>
  <si>
    <t>142762</t>
  </si>
  <si>
    <t>09/01/2022</t>
  </si>
  <si>
    <t>142763</t>
  </si>
  <si>
    <t>10/01/2022</t>
  </si>
  <si>
    <t>142764</t>
  </si>
  <si>
    <t>11/01/2022</t>
  </si>
  <si>
    <t>356 GB SSD</t>
  </si>
  <si>
    <t>142765</t>
  </si>
  <si>
    <t>12/01/2022</t>
  </si>
  <si>
    <t>142766</t>
  </si>
  <si>
    <t>142767</t>
  </si>
  <si>
    <t>142768</t>
  </si>
  <si>
    <t>142769</t>
  </si>
  <si>
    <t>13/01/2022</t>
  </si>
  <si>
    <t>103 Fans Cabinet</t>
  </si>
  <si>
    <t>142770</t>
  </si>
  <si>
    <t>14/01/2022</t>
  </si>
  <si>
    <t>142771</t>
  </si>
  <si>
    <t>15/01/2022</t>
  </si>
  <si>
    <t>142772</t>
  </si>
  <si>
    <t>16/01/2022</t>
  </si>
  <si>
    <t>142773</t>
  </si>
  <si>
    <t>17/01/2022</t>
  </si>
  <si>
    <t>102 TB HDD</t>
  </si>
  <si>
    <t>142774</t>
  </si>
  <si>
    <t>18/01/2022</t>
  </si>
  <si>
    <t>612 GB M.2</t>
  </si>
  <si>
    <t>142775</t>
  </si>
  <si>
    <t>19/01/2022</t>
  </si>
  <si>
    <t>RYZEN 3rd gen. 3600</t>
  </si>
  <si>
    <t>142776</t>
  </si>
  <si>
    <t>20/01/2022</t>
  </si>
  <si>
    <t>142777</t>
  </si>
  <si>
    <t>21/01/2022</t>
  </si>
  <si>
    <t>116 GB DDR4 RAM</t>
  </si>
  <si>
    <t>142778</t>
  </si>
  <si>
    <t>22/01/2022</t>
  </si>
  <si>
    <t>142779</t>
  </si>
  <si>
    <t>23/01/2022</t>
  </si>
  <si>
    <t>142780</t>
  </si>
  <si>
    <t>24/01/2022</t>
  </si>
  <si>
    <t>142781</t>
  </si>
  <si>
    <t>25/01/2022</t>
  </si>
  <si>
    <t>142782</t>
  </si>
  <si>
    <t>26/01/2022</t>
  </si>
  <si>
    <t>142783</t>
  </si>
  <si>
    <t>27/01/2022</t>
  </si>
  <si>
    <t>142784</t>
  </si>
  <si>
    <t>28/01/2022</t>
  </si>
  <si>
    <t>101 TB SSD</t>
  </si>
  <si>
    <t>142785</t>
  </si>
  <si>
    <t>29/01/2022</t>
  </si>
  <si>
    <t>142786</t>
  </si>
  <si>
    <t>30/01/2022</t>
  </si>
  <si>
    <t>142787</t>
  </si>
  <si>
    <t>31/01/2022</t>
  </si>
  <si>
    <t>104 GB DDR4 Ram</t>
  </si>
  <si>
    <t>142788</t>
  </si>
  <si>
    <t>01/02/2022</t>
  </si>
  <si>
    <t>142789</t>
  </si>
  <si>
    <t>142790</t>
  </si>
  <si>
    <t>02/02/2022</t>
  </si>
  <si>
    <t>142791</t>
  </si>
  <si>
    <t>03/02/2022</t>
  </si>
  <si>
    <t>142792</t>
  </si>
  <si>
    <t>142793</t>
  </si>
  <si>
    <t>142794</t>
  </si>
  <si>
    <t>04/02/2022</t>
  </si>
  <si>
    <t>142795</t>
  </si>
  <si>
    <t>05/02/2022</t>
  </si>
  <si>
    <t>142796</t>
  </si>
  <si>
    <t>06/02/2022</t>
  </si>
  <si>
    <t>142797</t>
  </si>
  <si>
    <t>07/02/2022</t>
  </si>
  <si>
    <t>142798</t>
  </si>
  <si>
    <t>08/02/2022</t>
  </si>
  <si>
    <t>357 GB SSD</t>
  </si>
  <si>
    <t>142799</t>
  </si>
  <si>
    <t>09/02/2022</t>
  </si>
  <si>
    <t>142800</t>
  </si>
  <si>
    <t>10/02/2022</t>
  </si>
  <si>
    <t>142801</t>
  </si>
  <si>
    <t>11/02/2022</t>
  </si>
  <si>
    <t>142802</t>
  </si>
  <si>
    <t>12/02/2022</t>
  </si>
  <si>
    <t>142803</t>
  </si>
  <si>
    <t>13/02/2022</t>
  </si>
  <si>
    <t>104 Fans Cabinet</t>
  </si>
  <si>
    <t>142804</t>
  </si>
  <si>
    <t>14/02/2022</t>
  </si>
  <si>
    <t>142805</t>
  </si>
  <si>
    <t>15/02/2022</t>
  </si>
  <si>
    <t>142806</t>
  </si>
  <si>
    <t>16/02/2022</t>
  </si>
  <si>
    <t>142807</t>
  </si>
  <si>
    <t>17/02/2022</t>
  </si>
  <si>
    <t>103 TB HDD</t>
  </si>
  <si>
    <t>142808</t>
  </si>
  <si>
    <t>18/02/2022</t>
  </si>
  <si>
    <t>613 GB M.2</t>
  </si>
  <si>
    <t>142809</t>
  </si>
  <si>
    <t>19/02/2022</t>
  </si>
  <si>
    <t>RYZEN 3rd gen. 3601</t>
  </si>
  <si>
    <t>142810</t>
  </si>
  <si>
    <t>142811</t>
  </si>
  <si>
    <t>117 GB DDR4 RAM</t>
  </si>
  <si>
    <t>142812</t>
  </si>
  <si>
    <t>142813</t>
  </si>
  <si>
    <t>20/02/2022</t>
  </si>
  <si>
    <t>142814</t>
  </si>
  <si>
    <t>21/02/2022</t>
  </si>
  <si>
    <t>142815</t>
  </si>
  <si>
    <t>22/02/2022</t>
  </si>
  <si>
    <t>142816</t>
  </si>
  <si>
    <t>23/02/2022</t>
  </si>
  <si>
    <t>142817</t>
  </si>
  <si>
    <t>24/02/2022</t>
  </si>
  <si>
    <t>142818</t>
  </si>
  <si>
    <t>25/02/2022</t>
  </si>
  <si>
    <t>102 TB SSD</t>
  </si>
  <si>
    <t>142819</t>
  </si>
  <si>
    <t>26/02/2022</t>
  </si>
  <si>
    <t>142820</t>
  </si>
  <si>
    <t>27/02/2022</t>
  </si>
  <si>
    <t>142821</t>
  </si>
  <si>
    <t>28/02/2022</t>
  </si>
  <si>
    <t>105 GB DDR4 Ram</t>
  </si>
  <si>
    <t>142822</t>
  </si>
  <si>
    <t>01/03/2022</t>
  </si>
  <si>
    <t>142823</t>
  </si>
  <si>
    <t>02/03/2022</t>
  </si>
  <si>
    <t>142824</t>
  </si>
  <si>
    <t>03/03/2022</t>
  </si>
  <si>
    <t>142825</t>
  </si>
  <si>
    <t>04/03/2022</t>
  </si>
  <si>
    <t>142826</t>
  </si>
  <si>
    <t>05/03/2022</t>
  </si>
  <si>
    <t>142827</t>
  </si>
  <si>
    <t>142828</t>
  </si>
  <si>
    <t>06/03/2022</t>
  </si>
  <si>
    <t>142829</t>
  </si>
  <si>
    <t>07/03/2022</t>
  </si>
  <si>
    <t>142830</t>
  </si>
  <si>
    <t>142831</t>
  </si>
  <si>
    <t>142832</t>
  </si>
  <si>
    <t>358 GB SSD</t>
  </si>
  <si>
    <t>142833</t>
  </si>
  <si>
    <t>142834</t>
  </si>
  <si>
    <t>142835</t>
  </si>
  <si>
    <t>142836</t>
  </si>
  <si>
    <t>08/03/2022</t>
  </si>
  <si>
    <t>142837</t>
  </si>
  <si>
    <t>09/03/2022</t>
  </si>
  <si>
    <t>105 Fans Cabinet</t>
  </si>
  <si>
    <t>142838</t>
  </si>
  <si>
    <t>10/03/2022</t>
  </si>
  <si>
    <t>142839</t>
  </si>
  <si>
    <t>142840</t>
  </si>
  <si>
    <t>142841</t>
  </si>
  <si>
    <t>104 TB HDD</t>
  </si>
  <si>
    <t>142842</t>
  </si>
  <si>
    <t>614 GB M.2</t>
  </si>
  <si>
    <t>142843</t>
  </si>
  <si>
    <t>RYZEN 3rd gen. 3602</t>
  </si>
  <si>
    <t>142844</t>
  </si>
  <si>
    <t>142845</t>
  </si>
  <si>
    <t>118 GB DDR4 RAM</t>
  </si>
  <si>
    <t>142846</t>
  </si>
  <si>
    <t>142847</t>
  </si>
  <si>
    <t>142848</t>
  </si>
  <si>
    <t>142849</t>
  </si>
  <si>
    <t>11/03/2022</t>
  </si>
  <si>
    <t>142850</t>
  </si>
  <si>
    <t>12/03/2022</t>
  </si>
  <si>
    <t>142851</t>
  </si>
  <si>
    <t>13/03/2022</t>
  </si>
  <si>
    <t>142852</t>
  </si>
  <si>
    <t>14/03/2022</t>
  </si>
  <si>
    <t>103 TB SSD</t>
  </si>
  <si>
    <t>142853</t>
  </si>
  <si>
    <t>15/03/2022</t>
  </si>
  <si>
    <t>142854</t>
  </si>
  <si>
    <t>16/03/2022</t>
  </si>
  <si>
    <t>142855</t>
  </si>
  <si>
    <t>17/03/2022</t>
  </si>
  <si>
    <t>106 GB DDR4 Ram</t>
  </si>
  <si>
    <t>142856</t>
  </si>
  <si>
    <t>18/03/2022</t>
  </si>
  <si>
    <t>142857</t>
  </si>
  <si>
    <t>142858</t>
  </si>
  <si>
    <t>142859</t>
  </si>
  <si>
    <t>142860</t>
  </si>
  <si>
    <t>142861</t>
  </si>
  <si>
    <t>142862</t>
  </si>
  <si>
    <t>142863</t>
  </si>
  <si>
    <t>19/03/2022</t>
  </si>
  <si>
    <t>142864</t>
  </si>
  <si>
    <t>142865</t>
  </si>
  <si>
    <t>142866</t>
  </si>
  <si>
    <t>359 GB SSD</t>
  </si>
  <si>
    <t>142867</t>
  </si>
  <si>
    <t>142868</t>
  </si>
  <si>
    <t>142869</t>
  </si>
  <si>
    <t>142870</t>
  </si>
  <si>
    <t>20/03/2022</t>
  </si>
  <si>
    <t>142871</t>
  </si>
  <si>
    <t>21/03/2022</t>
  </si>
  <si>
    <t>106 Fans Cabinet</t>
  </si>
  <si>
    <t>142872</t>
  </si>
  <si>
    <t>22/03/2022</t>
  </si>
  <si>
    <t>142873</t>
  </si>
  <si>
    <t>23/03/2022</t>
  </si>
  <si>
    <t>142874</t>
  </si>
  <si>
    <t>24/03/2022</t>
  </si>
  <si>
    <t>142875</t>
  </si>
  <si>
    <t>105 TB HDD</t>
  </si>
  <si>
    <t>142876</t>
  </si>
  <si>
    <t>615 GB M.2</t>
  </si>
  <si>
    <t>142877</t>
  </si>
  <si>
    <t>RYZEN 3rd gen. 3603</t>
  </si>
  <si>
    <t>142878</t>
  </si>
  <si>
    <t>142879</t>
  </si>
  <si>
    <t>119 GB DDR4 RAM</t>
  </si>
  <si>
    <t>142880</t>
  </si>
  <si>
    <t>142881</t>
  </si>
  <si>
    <t>142882</t>
  </si>
  <si>
    <t>142883</t>
  </si>
  <si>
    <t>25/03/2022</t>
  </si>
  <si>
    <t>142884</t>
  </si>
  <si>
    <t>142885</t>
  </si>
  <si>
    <t>142886</t>
  </si>
  <si>
    <t>104 TB SSD</t>
  </si>
  <si>
    <t>142887</t>
  </si>
  <si>
    <t>142888</t>
  </si>
  <si>
    <t>142889</t>
  </si>
  <si>
    <t>107 GB DDR4 Ram</t>
  </si>
  <si>
    <t>142890</t>
  </si>
  <si>
    <t>142891</t>
  </si>
  <si>
    <t>142892</t>
  </si>
  <si>
    <t>26/03/2022</t>
  </si>
  <si>
    <t>142893</t>
  </si>
  <si>
    <t>142894</t>
  </si>
  <si>
    <t>142895</t>
  </si>
  <si>
    <t>142896</t>
  </si>
  <si>
    <t>142897</t>
  </si>
  <si>
    <t>142898</t>
  </si>
  <si>
    <t>142899</t>
  </si>
  <si>
    <t>142900</t>
  </si>
  <si>
    <t>360 GB SSD</t>
  </si>
  <si>
    <t>142901</t>
  </si>
  <si>
    <t>142902</t>
  </si>
  <si>
    <t>142903</t>
  </si>
  <si>
    <t>142904</t>
  </si>
  <si>
    <t>142905</t>
  </si>
  <si>
    <t>107 Fans Cabinet</t>
  </si>
  <si>
    <t>142906</t>
  </si>
  <si>
    <t>142907</t>
  </si>
  <si>
    <t>27/03/2022</t>
  </si>
  <si>
    <t>142908</t>
  </si>
  <si>
    <t>142909</t>
  </si>
  <si>
    <t>106 TB HDD</t>
  </si>
  <si>
    <t>142910</t>
  </si>
  <si>
    <t>616 GB M.2</t>
  </si>
  <si>
    <t>142911</t>
  </si>
  <si>
    <t>RYZEN 3rd gen. 3604</t>
  </si>
  <si>
    <t>142912</t>
  </si>
  <si>
    <t>142913</t>
  </si>
  <si>
    <t>120 GB DDR4 RAM</t>
  </si>
  <si>
    <t>142914</t>
  </si>
  <si>
    <t>142915</t>
  </si>
  <si>
    <t>142916</t>
  </si>
  <si>
    <t>142917</t>
  </si>
  <si>
    <t>142918</t>
  </si>
  <si>
    <t>142919</t>
  </si>
  <si>
    <t>142920</t>
  </si>
  <si>
    <t>105 TB SSD</t>
  </si>
  <si>
    <t>142921</t>
  </si>
  <si>
    <t>142922</t>
  </si>
  <si>
    <t>142923</t>
  </si>
  <si>
    <t>108 GB DDR4 Ram</t>
  </si>
  <si>
    <t>142924</t>
  </si>
  <si>
    <t>142925</t>
  </si>
  <si>
    <t>142926</t>
  </si>
  <si>
    <t>142927</t>
  </si>
  <si>
    <t>142928</t>
  </si>
  <si>
    <t>142929</t>
  </si>
  <si>
    <t>142930</t>
  </si>
  <si>
    <t>142931</t>
  </si>
  <si>
    <t>142932</t>
  </si>
  <si>
    <t>142933</t>
  </si>
  <si>
    <t>142934</t>
  </si>
  <si>
    <t>361 GB SSD</t>
  </si>
  <si>
    <t>142935</t>
  </si>
  <si>
    <t>142936</t>
  </si>
  <si>
    <t>142937</t>
  </si>
  <si>
    <t>142938</t>
  </si>
  <si>
    <t>142939</t>
  </si>
  <si>
    <t>28/03/2022</t>
  </si>
  <si>
    <t>108 Fans Cabinet</t>
  </si>
  <si>
    <t>142940</t>
  </si>
  <si>
    <t>142941</t>
  </si>
  <si>
    <t>142942</t>
  </si>
  <si>
    <t>142943</t>
  </si>
  <si>
    <t>107 TB HDD</t>
  </si>
  <si>
    <t>142944</t>
  </si>
  <si>
    <t>617 GB M.2</t>
  </si>
  <si>
    <t>142945</t>
  </si>
  <si>
    <t>RYZEN 3rd gen. 3605</t>
  </si>
  <si>
    <t>142946</t>
  </si>
  <si>
    <t>142947</t>
  </si>
  <si>
    <t>121 GB DDR4 RAM</t>
  </si>
  <si>
    <t>142948</t>
  </si>
  <si>
    <t>142949</t>
  </si>
  <si>
    <t>142950</t>
  </si>
  <si>
    <t>142951</t>
  </si>
  <si>
    <t>142952</t>
  </si>
  <si>
    <t>142953</t>
  </si>
  <si>
    <t>142954</t>
  </si>
  <si>
    <t>106 TB SSD</t>
  </si>
  <si>
    <t>142955</t>
  </si>
  <si>
    <t>142956</t>
  </si>
  <si>
    <t>142957</t>
  </si>
  <si>
    <t>109 GB DDR4 Ram</t>
  </si>
  <si>
    <t>142958</t>
  </si>
  <si>
    <t>142959</t>
  </si>
  <si>
    <t>142960</t>
  </si>
  <si>
    <t>142961</t>
  </si>
  <si>
    <t>142962</t>
  </si>
  <si>
    <t>142963</t>
  </si>
  <si>
    <t>142964</t>
  </si>
  <si>
    <t>142965</t>
  </si>
  <si>
    <t>142966</t>
  </si>
  <si>
    <t>142967</t>
  </si>
  <si>
    <t>142968</t>
  </si>
  <si>
    <t>362 GB SSD</t>
  </si>
  <si>
    <t>142969</t>
  </si>
  <si>
    <t>142970</t>
  </si>
  <si>
    <t>142971</t>
  </si>
  <si>
    <t>142972</t>
  </si>
  <si>
    <t>142973</t>
  </si>
  <si>
    <t>109 Fans Cabinet</t>
  </si>
  <si>
    <t>142974</t>
  </si>
  <si>
    <t>142975</t>
  </si>
  <si>
    <t>142976</t>
  </si>
  <si>
    <t>142977</t>
  </si>
  <si>
    <t>29/03/2022</t>
  </si>
  <si>
    <t>108 TB HDD</t>
  </si>
  <si>
    <t>142978</t>
  </si>
  <si>
    <t>618 GB M.2</t>
  </si>
  <si>
    <t>142979</t>
  </si>
  <si>
    <t>RYZEN 3rd gen. 3606</t>
  </si>
  <si>
    <t>142980</t>
  </si>
  <si>
    <t>142981</t>
  </si>
  <si>
    <t>122 GB DDR4 RAM</t>
  </si>
  <si>
    <t>142982</t>
  </si>
  <si>
    <t>142983</t>
  </si>
  <si>
    <t>142984</t>
  </si>
  <si>
    <t>142985</t>
  </si>
  <si>
    <t>142986</t>
  </si>
  <si>
    <t>142987</t>
  </si>
  <si>
    <t>142988</t>
  </si>
  <si>
    <t>107 TB SSD</t>
  </si>
  <si>
    <t>142989</t>
  </si>
  <si>
    <t>142990</t>
  </si>
  <si>
    <t>142991</t>
  </si>
  <si>
    <t>110 GB DDR4 Ram</t>
  </si>
  <si>
    <t>142992</t>
  </si>
  <si>
    <t>142993</t>
  </si>
  <si>
    <t>142994</t>
  </si>
  <si>
    <t>142995</t>
  </si>
  <si>
    <t>142996</t>
  </si>
  <si>
    <t>142997</t>
  </si>
  <si>
    <t>142998</t>
  </si>
  <si>
    <t>142999</t>
  </si>
  <si>
    <t>143000</t>
  </si>
  <si>
    <t>143001</t>
  </si>
  <si>
    <t>143002</t>
  </si>
  <si>
    <t>363 GB SSD</t>
  </si>
  <si>
    <t>143003</t>
  </si>
  <si>
    <t>143004</t>
  </si>
  <si>
    <t>143005</t>
  </si>
  <si>
    <t>143006</t>
  </si>
  <si>
    <t>143007</t>
  </si>
  <si>
    <t>110 Fans Cabinet</t>
  </si>
  <si>
    <t>143008</t>
  </si>
  <si>
    <t>143009</t>
  </si>
  <si>
    <t>143010</t>
  </si>
  <si>
    <t>143011</t>
  </si>
  <si>
    <t>109 TB HDD</t>
  </si>
  <si>
    <t>143012</t>
  </si>
  <si>
    <t>619 GB M.2</t>
  </si>
  <si>
    <t>143013</t>
  </si>
  <si>
    <t>RYZEN 3rd gen. 3607</t>
  </si>
  <si>
    <t>143014</t>
  </si>
  <si>
    <t>143015</t>
  </si>
  <si>
    <t>123 GB DDR4 RAM</t>
  </si>
  <si>
    <t>143016</t>
  </si>
  <si>
    <t>143017</t>
  </si>
  <si>
    <t>143018</t>
  </si>
  <si>
    <t>143019</t>
  </si>
  <si>
    <t>143020</t>
  </si>
  <si>
    <t>143021</t>
  </si>
  <si>
    <t>143022</t>
  </si>
  <si>
    <t>108 TB SSD</t>
  </si>
  <si>
    <t>143023</t>
  </si>
  <si>
    <t>143024</t>
  </si>
  <si>
    <t>143025</t>
  </si>
  <si>
    <t>111 GB DDR4 Ram</t>
  </si>
  <si>
    <t>143026</t>
  </si>
  <si>
    <t>143027</t>
  </si>
  <si>
    <t>143028</t>
  </si>
  <si>
    <t>143029</t>
  </si>
  <si>
    <t>143030</t>
  </si>
  <si>
    <t>143031</t>
  </si>
  <si>
    <t>143032</t>
  </si>
  <si>
    <t>143033</t>
  </si>
  <si>
    <t>143034</t>
  </si>
  <si>
    <t>143035</t>
  </si>
  <si>
    <t>143036</t>
  </si>
  <si>
    <t>364 GB SSD</t>
  </si>
  <si>
    <t>143037</t>
  </si>
  <si>
    <t>143038</t>
  </si>
  <si>
    <t>143039</t>
  </si>
  <si>
    <t>143040</t>
  </si>
  <si>
    <t>143041</t>
  </si>
  <si>
    <t>111 Fans Cabinet</t>
  </si>
  <si>
    <t>143042</t>
  </si>
  <si>
    <t>143043</t>
  </si>
  <si>
    <t>143044</t>
  </si>
  <si>
    <t>143045</t>
  </si>
  <si>
    <t>110 TB HDD</t>
  </si>
  <si>
    <t>143046</t>
  </si>
  <si>
    <t>620 GB M.2</t>
  </si>
  <si>
    <t>143047</t>
  </si>
  <si>
    <t>RYZEN 3rd gen. 3608</t>
  </si>
  <si>
    <t>143048</t>
  </si>
  <si>
    <t>143049</t>
  </si>
  <si>
    <t>124 GB DDR4 RAM</t>
  </si>
  <si>
    <t>143050</t>
  </si>
  <si>
    <t>143051</t>
  </si>
  <si>
    <t>143052</t>
  </si>
  <si>
    <t>143053</t>
  </si>
  <si>
    <t>143054</t>
  </si>
  <si>
    <t>143055</t>
  </si>
  <si>
    <t>143056</t>
  </si>
  <si>
    <t>109 TB SSD</t>
  </si>
  <si>
    <t>143057</t>
  </si>
  <si>
    <t>143058</t>
  </si>
  <si>
    <t>143059</t>
  </si>
  <si>
    <t>112 GB DDR4 Ram</t>
  </si>
  <si>
    <t>143060</t>
  </si>
  <si>
    <t>143061</t>
  </si>
  <si>
    <t>143062</t>
  </si>
  <si>
    <t>143063</t>
  </si>
  <si>
    <t>143064</t>
  </si>
  <si>
    <t>143065</t>
  </si>
  <si>
    <t>143066</t>
  </si>
  <si>
    <t>143067</t>
  </si>
  <si>
    <t>143068</t>
  </si>
  <si>
    <t>143069</t>
  </si>
  <si>
    <t>143070</t>
  </si>
  <si>
    <t>365 GB SSD</t>
  </si>
  <si>
    <t>143071</t>
  </si>
  <si>
    <t>143072</t>
  </si>
  <si>
    <t>143073</t>
  </si>
  <si>
    <t>143074</t>
  </si>
  <si>
    <t>143075</t>
  </si>
  <si>
    <t>112 Fans Cabinet</t>
  </si>
  <si>
    <t>143076</t>
  </si>
  <si>
    <t>143077</t>
  </si>
  <si>
    <t>143078</t>
  </si>
  <si>
    <t>143079</t>
  </si>
  <si>
    <t>111 TB HDD</t>
  </si>
  <si>
    <t>143080</t>
  </si>
  <si>
    <t>621 GB M.2</t>
  </si>
  <si>
    <t>143081</t>
  </si>
  <si>
    <t>RYZEN 3rd gen. 3609</t>
  </si>
  <si>
    <t>143082</t>
  </si>
  <si>
    <t>143083</t>
  </si>
  <si>
    <t>125 GB DDR4 RAM</t>
  </si>
  <si>
    <t>143084</t>
  </si>
  <si>
    <t>143085</t>
  </si>
  <si>
    <t>143086</t>
  </si>
  <si>
    <t>143087</t>
  </si>
  <si>
    <t>143088</t>
  </si>
  <si>
    <t>143089</t>
  </si>
  <si>
    <t>143090</t>
  </si>
  <si>
    <t>30/03/2022</t>
  </si>
  <si>
    <t>110 TB SSD</t>
  </si>
  <si>
    <t>143091</t>
  </si>
  <si>
    <t>143092</t>
  </si>
  <si>
    <t>143093</t>
  </si>
  <si>
    <t>113 GB DDR4 Ram</t>
  </si>
  <si>
    <t>143094</t>
  </si>
  <si>
    <t>143095</t>
  </si>
  <si>
    <t>143096</t>
  </si>
  <si>
    <t>143097</t>
  </si>
  <si>
    <t>143098</t>
  </si>
  <si>
    <t>143099</t>
  </si>
  <si>
    <t>143100</t>
  </si>
  <si>
    <t>143101</t>
  </si>
  <si>
    <t>143102</t>
  </si>
  <si>
    <t>143103</t>
  </si>
  <si>
    <t>143104</t>
  </si>
  <si>
    <t>366 GB SSD</t>
  </si>
  <si>
    <t>143105</t>
  </si>
  <si>
    <t>143106</t>
  </si>
  <si>
    <t>143107</t>
  </si>
  <si>
    <t>143108</t>
  </si>
  <si>
    <t>143109</t>
  </si>
  <si>
    <t>113 Fans Cabinet</t>
  </si>
  <si>
    <t>143110</t>
  </si>
  <si>
    <t>143111</t>
  </si>
  <si>
    <t>143112</t>
  </si>
  <si>
    <t>143113</t>
  </si>
  <si>
    <t>112 TB HDD</t>
  </si>
  <si>
    <t>143114</t>
  </si>
  <si>
    <t>622 GB M.2</t>
  </si>
  <si>
    <t>143115</t>
  </si>
  <si>
    <t>RYZEN 3rd gen. 3610</t>
  </si>
  <si>
    <t>143116</t>
  </si>
  <si>
    <t>143117</t>
  </si>
  <si>
    <t>126 GB DDR4 RAM</t>
  </si>
  <si>
    <t>143118</t>
  </si>
  <si>
    <t>143119</t>
  </si>
  <si>
    <t>143120</t>
  </si>
  <si>
    <t>143121</t>
  </si>
  <si>
    <t>143122</t>
  </si>
  <si>
    <t>143123</t>
  </si>
  <si>
    <t>143124</t>
  </si>
  <si>
    <t>111 TB SSD</t>
  </si>
  <si>
    <t>143125</t>
  </si>
  <si>
    <t>143126</t>
  </si>
  <si>
    <t>143127</t>
  </si>
  <si>
    <t>114 GB DDR4 Ram</t>
  </si>
  <si>
    <t>143128</t>
  </si>
  <si>
    <t>143129</t>
  </si>
  <si>
    <t>143130</t>
  </si>
  <si>
    <t>143131</t>
  </si>
  <si>
    <t>143132</t>
  </si>
  <si>
    <t>143133</t>
  </si>
  <si>
    <t>143134</t>
  </si>
  <si>
    <t>143135</t>
  </si>
  <si>
    <t>143136</t>
  </si>
  <si>
    <t>143137</t>
  </si>
  <si>
    <t>143138</t>
  </si>
  <si>
    <t>367 GB SSD</t>
  </si>
  <si>
    <t>143139</t>
  </si>
  <si>
    <t>143140</t>
  </si>
  <si>
    <t>143141</t>
  </si>
  <si>
    <t>143142</t>
  </si>
  <si>
    <t>143143</t>
  </si>
  <si>
    <t>114 Fans Cabinet</t>
  </si>
  <si>
    <t>143144</t>
  </si>
  <si>
    <t>143145</t>
  </si>
  <si>
    <t>143146</t>
  </si>
  <si>
    <t>143147</t>
  </si>
  <si>
    <t>113 TB HDD</t>
  </si>
  <si>
    <t>143148</t>
  </si>
  <si>
    <t>623 GB M.2</t>
  </si>
  <si>
    <t>143149</t>
  </si>
  <si>
    <t>RYZEN 3rd gen. 3611</t>
  </si>
  <si>
    <t>143150</t>
  </si>
  <si>
    <t>143151</t>
  </si>
  <si>
    <t>127 GB DDR4 RAM</t>
  </si>
  <si>
    <t>143152</t>
  </si>
  <si>
    <t>143153</t>
  </si>
  <si>
    <t>143154</t>
  </si>
  <si>
    <t>143155</t>
  </si>
  <si>
    <t>143156</t>
  </si>
  <si>
    <t>143157</t>
  </si>
  <si>
    <t>143158</t>
  </si>
  <si>
    <t>112 TB SSD</t>
  </si>
  <si>
    <t>143159</t>
  </si>
  <si>
    <t>143160</t>
  </si>
  <si>
    <t>143161</t>
  </si>
  <si>
    <t>115 GB DDR4 Ram</t>
  </si>
  <si>
    <t>143162</t>
  </si>
  <si>
    <t>143163</t>
  </si>
  <si>
    <t>143164</t>
  </si>
  <si>
    <t>143165</t>
  </si>
  <si>
    <t>143166</t>
  </si>
  <si>
    <t>143167</t>
  </si>
  <si>
    <t>143168</t>
  </si>
  <si>
    <t>143169</t>
  </si>
  <si>
    <t>143170</t>
  </si>
  <si>
    <t>143171</t>
  </si>
  <si>
    <t>143172</t>
  </si>
  <si>
    <t>368 GB SSD</t>
  </si>
  <si>
    <t>143173</t>
  </si>
  <si>
    <t>143174</t>
  </si>
  <si>
    <t>143175</t>
  </si>
  <si>
    <t>143176</t>
  </si>
  <si>
    <t>143177</t>
  </si>
  <si>
    <t>115 Fans Cabinet</t>
  </si>
  <si>
    <t>143178</t>
  </si>
  <si>
    <t>143179</t>
  </si>
  <si>
    <t>143180</t>
  </si>
  <si>
    <t>143181</t>
  </si>
  <si>
    <t>114 TB HDD</t>
  </si>
  <si>
    <t>143182</t>
  </si>
  <si>
    <t>624 GB M.2</t>
  </si>
  <si>
    <t>143183</t>
  </si>
  <si>
    <t>RYZEN 3rd gen. 3612</t>
  </si>
  <si>
    <t>143184</t>
  </si>
  <si>
    <t>143185</t>
  </si>
  <si>
    <t>128 GB DDR4 RAM</t>
  </si>
  <si>
    <t>143186</t>
  </si>
  <si>
    <t>143187</t>
  </si>
  <si>
    <t>143188</t>
  </si>
  <si>
    <t>143189</t>
  </si>
  <si>
    <t>143190</t>
  </si>
  <si>
    <t>143191</t>
  </si>
  <si>
    <t>143192</t>
  </si>
  <si>
    <t>113 TB SSD</t>
  </si>
  <si>
    <t>143193</t>
  </si>
  <si>
    <t>143194</t>
  </si>
  <si>
    <t>143195</t>
  </si>
  <si>
    <t>116 GB DDR4 Ram</t>
  </si>
  <si>
    <t>143196</t>
  </si>
  <si>
    <t>143197</t>
  </si>
  <si>
    <t>143198</t>
  </si>
  <si>
    <t>143199</t>
  </si>
  <si>
    <t>143200</t>
  </si>
  <si>
    <t>143201</t>
  </si>
  <si>
    <t>143202</t>
  </si>
  <si>
    <t>143203</t>
  </si>
  <si>
    <t>143204</t>
  </si>
  <si>
    <t>143205</t>
  </si>
  <si>
    <t>143206</t>
  </si>
  <si>
    <t>369 GB SSD</t>
  </si>
  <si>
    <t>143207</t>
  </si>
  <si>
    <t>143208</t>
  </si>
  <si>
    <t>143209</t>
  </si>
  <si>
    <t>143210</t>
  </si>
  <si>
    <t>143211</t>
  </si>
  <si>
    <t>116 Fans Cabinet</t>
  </si>
  <si>
    <t>143212</t>
  </si>
  <si>
    <t>143213</t>
  </si>
  <si>
    <t>143214</t>
  </si>
  <si>
    <t>143215</t>
  </si>
  <si>
    <t>115 TB HDD</t>
  </si>
  <si>
    <t>143216</t>
  </si>
  <si>
    <t>625 GB M.2</t>
  </si>
  <si>
    <t>143217</t>
  </si>
  <si>
    <t>RYZEN 3rd gen. 3613</t>
  </si>
  <si>
    <t>143218</t>
  </si>
  <si>
    <t>143219</t>
  </si>
  <si>
    <t>129 GB DDR4 RAM</t>
  </si>
  <si>
    <t>143220</t>
  </si>
  <si>
    <t>143221</t>
  </si>
  <si>
    <t>143222</t>
  </si>
  <si>
    <t>143223</t>
  </si>
  <si>
    <t>143224</t>
  </si>
  <si>
    <t>143225</t>
  </si>
  <si>
    <t>143226</t>
  </si>
  <si>
    <t>114 TB SSD</t>
  </si>
  <si>
    <t>143227</t>
  </si>
  <si>
    <t>143228</t>
  </si>
  <si>
    <t>143229</t>
  </si>
  <si>
    <t>31/03/2022</t>
  </si>
  <si>
    <t>117 GB DDR4 Ram</t>
  </si>
  <si>
    <t>143230</t>
  </si>
  <si>
    <t>143231</t>
  </si>
  <si>
    <t>143232</t>
  </si>
  <si>
    <t>143233</t>
  </si>
  <si>
    <t>143234</t>
  </si>
  <si>
    <t>143235</t>
  </si>
  <si>
    <t>143236</t>
  </si>
  <si>
    <t>143237</t>
  </si>
  <si>
    <t>143238</t>
  </si>
  <si>
    <t>143239</t>
  </si>
  <si>
    <t>143240</t>
  </si>
  <si>
    <t>370 GB SSD</t>
  </si>
  <si>
    <t>143241</t>
  </si>
  <si>
    <t>143242</t>
  </si>
  <si>
    <t>143243</t>
  </si>
  <si>
    <t>143244</t>
  </si>
  <si>
    <t>143245</t>
  </si>
  <si>
    <t>117 Fans Cabinet</t>
  </si>
  <si>
    <t>143246</t>
  </si>
  <si>
    <t>143247</t>
  </si>
  <si>
    <t>143248</t>
  </si>
  <si>
    <t>143249</t>
  </si>
  <si>
    <t>116 TB HDD</t>
  </si>
  <si>
    <t>143250</t>
  </si>
  <si>
    <t>626 GB M.2</t>
  </si>
  <si>
    <t>143251</t>
  </si>
  <si>
    <t>RYZEN 3rd gen. 3614</t>
  </si>
  <si>
    <t>143252</t>
  </si>
  <si>
    <t>143253</t>
  </si>
  <si>
    <t>130 GB DDR4 RAM</t>
  </si>
  <si>
    <t>143254</t>
  </si>
  <si>
    <t>143255</t>
  </si>
  <si>
    <t>143256</t>
  </si>
  <si>
    <t>143257</t>
  </si>
  <si>
    <t>143258</t>
  </si>
  <si>
    <t>143259</t>
  </si>
  <si>
    <t>143260</t>
  </si>
  <si>
    <t>115 TB SSD</t>
  </si>
  <si>
    <t>143261</t>
  </si>
  <si>
    <t>143262</t>
  </si>
  <si>
    <t>143263</t>
  </si>
  <si>
    <t>118 GB DDR4 Ram</t>
  </si>
  <si>
    <t>143264</t>
  </si>
  <si>
    <t>143265</t>
  </si>
  <si>
    <t>143266</t>
  </si>
  <si>
    <t>143267</t>
  </si>
  <si>
    <t>143268</t>
  </si>
  <si>
    <t>143269</t>
  </si>
  <si>
    <t>143270</t>
  </si>
  <si>
    <t>143271</t>
  </si>
  <si>
    <t>143272</t>
  </si>
  <si>
    <t>143273</t>
  </si>
  <si>
    <t>143274</t>
  </si>
  <si>
    <t>371 GB SSD</t>
  </si>
  <si>
    <t>143275</t>
  </si>
  <si>
    <t>143276</t>
  </si>
  <si>
    <t>143277</t>
  </si>
  <si>
    <t>143278</t>
  </si>
  <si>
    <t>143279</t>
  </si>
  <si>
    <t>118 Fans Cabinet</t>
  </si>
  <si>
    <t>143280</t>
  </si>
  <si>
    <t>143281</t>
  </si>
  <si>
    <t>143282</t>
  </si>
  <si>
    <t>143283</t>
  </si>
  <si>
    <t>117 TB HDD</t>
  </si>
  <si>
    <t>143284</t>
  </si>
  <si>
    <t>627 GB M.2</t>
  </si>
  <si>
    <t>143285</t>
  </si>
  <si>
    <t>RYZEN 3rd gen. 3615</t>
  </si>
  <si>
    <t>143286</t>
  </si>
  <si>
    <t>143287</t>
  </si>
  <si>
    <t>131 GB DDR4 RAM</t>
  </si>
  <si>
    <t>143288</t>
  </si>
  <si>
    <t>143289</t>
  </si>
  <si>
    <t>143290</t>
  </si>
  <si>
    <t>143291</t>
  </si>
  <si>
    <t>143292</t>
  </si>
  <si>
    <t>143293</t>
  </si>
  <si>
    <t>01/04/2022</t>
  </si>
  <si>
    <t>143294</t>
  </si>
  <si>
    <t>02/04/2022</t>
  </si>
  <si>
    <t>116 TB SSD</t>
  </si>
  <si>
    <t>143295</t>
  </si>
  <si>
    <t>03/04/2022</t>
  </si>
  <si>
    <t>143296</t>
  </si>
  <si>
    <t>143297</t>
  </si>
  <si>
    <t>119 GB DDR4 Ram</t>
  </si>
  <si>
    <t>143298</t>
  </si>
  <si>
    <t>143299</t>
  </si>
  <si>
    <t>143300</t>
  </si>
  <si>
    <t>143301</t>
  </si>
  <si>
    <t>143302</t>
  </si>
  <si>
    <t>143303</t>
  </si>
  <si>
    <t>143304</t>
  </si>
  <si>
    <t>143305</t>
  </si>
  <si>
    <t>143306</t>
  </si>
  <si>
    <t>143307</t>
  </si>
  <si>
    <t>143308</t>
  </si>
  <si>
    <t>372 GB SSD</t>
  </si>
  <si>
    <t>143309</t>
  </si>
  <si>
    <t>143310</t>
  </si>
  <si>
    <t>143311</t>
  </si>
  <si>
    <t>143312</t>
  </si>
  <si>
    <t>143313</t>
  </si>
  <si>
    <t>119 Fans Cabinet</t>
  </si>
  <si>
    <t>143314</t>
  </si>
  <si>
    <t>143315</t>
  </si>
  <si>
    <t>143316</t>
  </si>
  <si>
    <t>143317</t>
  </si>
  <si>
    <t>118 TB HDD</t>
  </si>
  <si>
    <t>143318</t>
  </si>
  <si>
    <t>628 GB M.2</t>
  </si>
  <si>
    <t>143319</t>
  </si>
  <si>
    <t>RYZEN 3rd gen. 3616</t>
  </si>
  <si>
    <t>143320</t>
  </si>
  <si>
    <t>143321</t>
  </si>
  <si>
    <t>132 GB DDR4 RAM</t>
  </si>
  <si>
    <t>143322</t>
  </si>
  <si>
    <t>143323</t>
  </si>
  <si>
    <t>143324</t>
  </si>
  <si>
    <t>143325</t>
  </si>
  <si>
    <t>143326</t>
  </si>
  <si>
    <t>143327</t>
  </si>
  <si>
    <t>143328</t>
  </si>
  <si>
    <t>117 TB SSD</t>
  </si>
  <si>
    <t>143329</t>
  </si>
  <si>
    <t>143330</t>
  </si>
  <si>
    <t>143331</t>
  </si>
  <si>
    <t>120 GB DDR4 Ram</t>
  </si>
  <si>
    <t>143332</t>
  </si>
  <si>
    <t>143333</t>
  </si>
  <si>
    <t>143334</t>
  </si>
  <si>
    <t>143335</t>
  </si>
  <si>
    <t>143336</t>
  </si>
  <si>
    <t>143337</t>
  </si>
  <si>
    <t>143338</t>
  </si>
  <si>
    <t>143339</t>
  </si>
  <si>
    <t>143340</t>
  </si>
  <si>
    <t>143341</t>
  </si>
  <si>
    <t>143342</t>
  </si>
  <si>
    <t>373 GB SSD</t>
  </si>
  <si>
    <t>143343</t>
  </si>
  <si>
    <t>143344</t>
  </si>
  <si>
    <t>143345</t>
  </si>
  <si>
    <t>143346</t>
  </si>
  <si>
    <t>143347</t>
  </si>
  <si>
    <t>120 Fans Cabinet</t>
  </si>
  <si>
    <t>143348</t>
  </si>
  <si>
    <t>143349</t>
  </si>
  <si>
    <t>143350</t>
  </si>
  <si>
    <t>143351</t>
  </si>
  <si>
    <t>119 TB HDD</t>
  </si>
  <si>
    <t>143352</t>
  </si>
  <si>
    <t>629 GB M.2</t>
  </si>
  <si>
    <t>143353</t>
  </si>
  <si>
    <t>RYZEN 3rd gen. 3617</t>
  </si>
  <si>
    <t>143354</t>
  </si>
  <si>
    <t>143355</t>
  </si>
  <si>
    <t>133 GB DDR4 RAM</t>
  </si>
  <si>
    <t>143356</t>
  </si>
  <si>
    <t>143357</t>
  </si>
  <si>
    <t>143358</t>
  </si>
  <si>
    <t>143359</t>
  </si>
  <si>
    <t>143360</t>
  </si>
  <si>
    <t>143361</t>
  </si>
  <si>
    <t>143362</t>
  </si>
  <si>
    <t>118 TB SSD</t>
  </si>
  <si>
    <t>143363</t>
  </si>
  <si>
    <t>143364</t>
  </si>
  <si>
    <t>143365</t>
  </si>
  <si>
    <t>121 GB DDR4 Ram</t>
  </si>
  <si>
    <t>143366</t>
  </si>
  <si>
    <t>143367</t>
  </si>
  <si>
    <t>143368</t>
  </si>
  <si>
    <t>143369</t>
  </si>
  <si>
    <t>143370</t>
  </si>
  <si>
    <t>143371</t>
  </si>
  <si>
    <t>143372</t>
  </si>
  <si>
    <t>143373</t>
  </si>
  <si>
    <t>143374</t>
  </si>
  <si>
    <t>143375</t>
  </si>
  <si>
    <t>143376</t>
  </si>
  <si>
    <t>374 GB SSD</t>
  </si>
  <si>
    <t>143377</t>
  </si>
  <si>
    <t>143378</t>
  </si>
  <si>
    <t>143379</t>
  </si>
  <si>
    <t>143380</t>
  </si>
  <si>
    <t>143381</t>
  </si>
  <si>
    <t>121 Fans Cabinet</t>
  </si>
  <si>
    <t>143382</t>
  </si>
  <si>
    <t>143383</t>
  </si>
  <si>
    <t>143384</t>
  </si>
  <si>
    <t>143385</t>
  </si>
  <si>
    <t>120 TB HDD</t>
  </si>
  <si>
    <t>143386</t>
  </si>
  <si>
    <t>630 GB M.2</t>
  </si>
  <si>
    <t>143387</t>
  </si>
  <si>
    <t>RYZEN 3rd gen. 3618</t>
  </si>
  <si>
    <t>143388</t>
  </si>
  <si>
    <t>143389</t>
  </si>
  <si>
    <t>134 GB DDR4 RAM</t>
  </si>
  <si>
    <t>143390</t>
  </si>
  <si>
    <t>143391</t>
  </si>
  <si>
    <t>143392</t>
  </si>
  <si>
    <t>143393</t>
  </si>
  <si>
    <t>143394</t>
  </si>
  <si>
    <t>143395</t>
  </si>
  <si>
    <t>143396</t>
  </si>
  <si>
    <t>119 TB SSD</t>
  </si>
  <si>
    <t>143397</t>
  </si>
  <si>
    <t>143398</t>
  </si>
  <si>
    <t>143399</t>
  </si>
  <si>
    <t>122 GB DDR4 Ram</t>
  </si>
  <si>
    <t>143400</t>
  </si>
  <si>
    <t>143401</t>
  </si>
  <si>
    <t>143402</t>
  </si>
  <si>
    <t>143403</t>
  </si>
  <si>
    <t>143404</t>
  </si>
  <si>
    <t>143405</t>
  </si>
  <si>
    <t>143406</t>
  </si>
  <si>
    <t>143407</t>
  </si>
  <si>
    <t>143408</t>
  </si>
  <si>
    <t>143409</t>
  </si>
  <si>
    <t>143410</t>
  </si>
  <si>
    <t>375 GB SSD</t>
  </si>
  <si>
    <t>143411</t>
  </si>
  <si>
    <t>143412</t>
  </si>
  <si>
    <t>143413</t>
  </si>
  <si>
    <t>143414</t>
  </si>
  <si>
    <t>143415</t>
  </si>
  <si>
    <t>122 Fans Cabinet</t>
  </si>
  <si>
    <t>143416</t>
  </si>
  <si>
    <t>143417</t>
  </si>
  <si>
    <t>143418</t>
  </si>
  <si>
    <t>143419</t>
  </si>
  <si>
    <t>121 TB HDD</t>
  </si>
  <si>
    <t>143420</t>
  </si>
  <si>
    <t>631 GB M.2</t>
  </si>
  <si>
    <t>143421</t>
  </si>
  <si>
    <t>RYZEN 3rd gen. 3619</t>
  </si>
  <si>
    <t>143422</t>
  </si>
  <si>
    <t>143423</t>
  </si>
  <si>
    <t>135 GB DDR4 RAM</t>
  </si>
  <si>
    <t>143424</t>
  </si>
  <si>
    <t>143425</t>
  </si>
  <si>
    <t>143426</t>
  </si>
  <si>
    <t>143427</t>
  </si>
  <si>
    <t>143428</t>
  </si>
  <si>
    <t>143429</t>
  </si>
  <si>
    <t>143430</t>
  </si>
  <si>
    <t>120 TB SSD</t>
  </si>
  <si>
    <t>143431</t>
  </si>
  <si>
    <t>143432</t>
  </si>
  <si>
    <t>143433</t>
  </si>
  <si>
    <t>123 GB DDR4 Ram</t>
  </si>
  <si>
    <t>143434</t>
  </si>
  <si>
    <t>143435</t>
  </si>
  <si>
    <t>143436</t>
  </si>
  <si>
    <t>143437</t>
  </si>
  <si>
    <t>143438</t>
  </si>
  <si>
    <t>143439</t>
  </si>
  <si>
    <t>143440</t>
  </si>
  <si>
    <t>143441</t>
  </si>
  <si>
    <t>143442</t>
  </si>
  <si>
    <t>143443</t>
  </si>
  <si>
    <t>143444</t>
  </si>
  <si>
    <t>376 GB SSD</t>
  </si>
  <si>
    <t>143445</t>
  </si>
  <si>
    <t>143446</t>
  </si>
  <si>
    <t>143447</t>
  </si>
  <si>
    <t>143448</t>
  </si>
  <si>
    <t>143449</t>
  </si>
  <si>
    <t>123 Fans Cabinet</t>
  </si>
  <si>
    <t>143450</t>
  </si>
  <si>
    <t>143451</t>
  </si>
  <si>
    <t>143452</t>
  </si>
  <si>
    <t>143453</t>
  </si>
  <si>
    <t>122 TB HDD</t>
  </si>
  <si>
    <t>143454</t>
  </si>
  <si>
    <t>632 GB M.2</t>
  </si>
  <si>
    <t>143455</t>
  </si>
  <si>
    <t>RYZEN 3rd gen. 3620</t>
  </si>
  <si>
    <t>143456</t>
  </si>
  <si>
    <t>143457</t>
  </si>
  <si>
    <t>136 GB DDR4 RAM</t>
  </si>
  <si>
    <t>143458</t>
  </si>
  <si>
    <t>143459</t>
  </si>
  <si>
    <t>143460</t>
  </si>
  <si>
    <t>143461</t>
  </si>
  <si>
    <t>143462</t>
  </si>
  <si>
    <t>143463</t>
  </si>
  <si>
    <t>143464</t>
  </si>
  <si>
    <t>121 TB SSD</t>
  </si>
  <si>
    <t>143465</t>
  </si>
  <si>
    <t>143466</t>
  </si>
  <si>
    <t>143467</t>
  </si>
  <si>
    <t>124 GB DDR4 Ram</t>
  </si>
  <si>
    <t>143468</t>
  </si>
  <si>
    <t>143469</t>
  </si>
  <si>
    <t>143470</t>
  </si>
  <si>
    <t>143471</t>
  </si>
  <si>
    <t>143472</t>
  </si>
  <si>
    <t>143473</t>
  </si>
  <si>
    <t>143474</t>
  </si>
  <si>
    <t>143475</t>
  </si>
  <si>
    <t>143476</t>
  </si>
  <si>
    <t>04/04/2022</t>
  </si>
  <si>
    <t>143477</t>
  </si>
  <si>
    <t>05/04/2022</t>
  </si>
  <si>
    <t>143478</t>
  </si>
  <si>
    <t>06/04/2022</t>
  </si>
  <si>
    <t>377 GB SSD</t>
  </si>
  <si>
    <t>143479</t>
  </si>
  <si>
    <t>07/04/2022</t>
  </si>
  <si>
    <t>143480</t>
  </si>
  <si>
    <t>08/04/2022</t>
  </si>
  <si>
    <t>143481</t>
  </si>
  <si>
    <t>09/04/2022</t>
  </si>
  <si>
    <t>143482</t>
  </si>
  <si>
    <t>10/04/2022</t>
  </si>
  <si>
    <t>143483</t>
  </si>
  <si>
    <t>124 Fans Cabinet</t>
  </si>
  <si>
    <t>143484</t>
  </si>
  <si>
    <t>143485</t>
  </si>
  <si>
    <t>143486</t>
  </si>
  <si>
    <t>143487</t>
  </si>
  <si>
    <t>123 TB HDD</t>
  </si>
  <si>
    <t>143488</t>
  </si>
  <si>
    <t>633 GB M.2</t>
  </si>
  <si>
    <t>143489</t>
  </si>
  <si>
    <t>RYZEN 3rd gen. 3621</t>
  </si>
  <si>
    <t>143490</t>
  </si>
  <si>
    <t>143491</t>
  </si>
  <si>
    <t>137 GB DDR4 RAM</t>
  </si>
  <si>
    <t>143492</t>
  </si>
  <si>
    <t>143493</t>
  </si>
  <si>
    <t>143494</t>
  </si>
  <si>
    <t>143495</t>
  </si>
  <si>
    <t>143496</t>
  </si>
  <si>
    <t>143497</t>
  </si>
  <si>
    <t>143498</t>
  </si>
  <si>
    <t>122 TB SSD</t>
  </si>
  <si>
    <t>143499</t>
  </si>
  <si>
    <t>143500</t>
  </si>
  <si>
    <t>143501</t>
  </si>
  <si>
    <t>125 GB DDR4 Ram</t>
  </si>
  <si>
    <t>143502</t>
  </si>
  <si>
    <t>143503</t>
  </si>
  <si>
    <t>143504</t>
  </si>
  <si>
    <t>143505</t>
  </si>
  <si>
    <t>143506</t>
  </si>
  <si>
    <t>143507</t>
  </si>
  <si>
    <t>143508</t>
  </si>
  <si>
    <t>143509</t>
  </si>
  <si>
    <t>143510</t>
  </si>
  <si>
    <t>11/04/2022</t>
  </si>
  <si>
    <t>143511</t>
  </si>
  <si>
    <t>12/04/2022</t>
  </si>
  <si>
    <t>143512</t>
  </si>
  <si>
    <t>13/04/2022</t>
  </si>
  <si>
    <t>378 GB SSD</t>
  </si>
  <si>
    <t>143513</t>
  </si>
  <si>
    <t>14/04/2022</t>
  </si>
  <si>
    <t>143514</t>
  </si>
  <si>
    <t>15/04/2022</t>
  </si>
  <si>
    <t>143515</t>
  </si>
  <si>
    <t>16/04/2022</t>
  </si>
  <si>
    <t>143516</t>
  </si>
  <si>
    <t>143517</t>
  </si>
  <si>
    <t>125 Fans Cabinet</t>
  </si>
  <si>
    <t>143518</t>
  </si>
  <si>
    <t>143519</t>
  </si>
  <si>
    <t>143520</t>
  </si>
  <si>
    <t>143521</t>
  </si>
  <si>
    <t>124 TB HDD</t>
  </si>
  <si>
    <t>143522</t>
  </si>
  <si>
    <t>634 GB M.2</t>
  </si>
  <si>
    <t>143523</t>
  </si>
  <si>
    <t>RYZEN 3rd gen. 3622</t>
  </si>
  <si>
    <t>143524</t>
  </si>
  <si>
    <t>143525</t>
  </si>
  <si>
    <t>138 GB DDR4 RAM</t>
  </si>
  <si>
    <t>143526</t>
  </si>
  <si>
    <t>143527</t>
  </si>
  <si>
    <t>143528</t>
  </si>
  <si>
    <t>143529</t>
  </si>
  <si>
    <t>143530</t>
  </si>
  <si>
    <t>143531</t>
  </si>
  <si>
    <t>143532</t>
  </si>
  <si>
    <t>123 TB SSD</t>
  </si>
  <si>
    <t>143533</t>
  </si>
  <si>
    <t>143534</t>
  </si>
  <si>
    <t>143535</t>
  </si>
  <si>
    <t>126 GB DDR4 Ram</t>
  </si>
  <si>
    <t>143536</t>
  </si>
  <si>
    <t>143537</t>
  </si>
  <si>
    <t>143538</t>
  </si>
  <si>
    <t>143539</t>
  </si>
  <si>
    <t>143540</t>
  </si>
  <si>
    <t>143541</t>
  </si>
  <si>
    <t>143542</t>
  </si>
  <si>
    <t>143543</t>
  </si>
  <si>
    <t>143544</t>
  </si>
  <si>
    <t>143545</t>
  </si>
  <si>
    <t>143546</t>
  </si>
  <si>
    <t>379 GB SSD</t>
  </si>
  <si>
    <t>143547</t>
  </si>
  <si>
    <t>143548</t>
  </si>
  <si>
    <t>143549</t>
  </si>
  <si>
    <t>143550</t>
  </si>
  <si>
    <t>143551</t>
  </si>
  <si>
    <t>126 Fans Cabinet</t>
  </si>
  <si>
    <t>143552</t>
  </si>
  <si>
    <t>143553</t>
  </si>
  <si>
    <t>143554</t>
  </si>
  <si>
    <t>143555</t>
  </si>
  <si>
    <t>125 TB HDD</t>
  </si>
  <si>
    <t>143556</t>
  </si>
  <si>
    <t>635 GB M.2</t>
  </si>
  <si>
    <t>143557</t>
  </si>
  <si>
    <t>RYZEN 3rd gen. 3623</t>
  </si>
  <si>
    <t>143558</t>
  </si>
  <si>
    <t>143559</t>
  </si>
  <si>
    <t>139 GB DDR4 RAM</t>
  </si>
  <si>
    <t>143560</t>
  </si>
  <si>
    <t>143561</t>
  </si>
  <si>
    <t>143562</t>
  </si>
  <si>
    <t>143563</t>
  </si>
  <si>
    <t>143564</t>
  </si>
  <si>
    <t>17/04/2022</t>
  </si>
  <si>
    <t>143565</t>
  </si>
  <si>
    <t>143566</t>
  </si>
  <si>
    <t>124 TB SSD</t>
  </si>
  <si>
    <t>143567</t>
  </si>
  <si>
    <t>143568</t>
  </si>
  <si>
    <t>143569</t>
  </si>
  <si>
    <t>127 GB DDR4 Ram</t>
  </si>
  <si>
    <t>143570</t>
  </si>
  <si>
    <t>143571</t>
  </si>
  <si>
    <t>143572</t>
  </si>
  <si>
    <t>143573</t>
  </si>
  <si>
    <t>143574</t>
  </si>
  <si>
    <t>143575</t>
  </si>
  <si>
    <t>18/04/2022</t>
  </si>
  <si>
    <t>143576</t>
  </si>
  <si>
    <t>143577</t>
  </si>
  <si>
    <t>143578</t>
  </si>
  <si>
    <t>143579</t>
  </si>
  <si>
    <t>143580</t>
  </si>
  <si>
    <t>380 GB SSD</t>
  </si>
  <si>
    <t>143581</t>
  </si>
  <si>
    <t>143582</t>
  </si>
  <si>
    <t>143583</t>
  </si>
  <si>
    <t>143584</t>
  </si>
  <si>
    <t>143585</t>
  </si>
  <si>
    <t>127 Fans Cabinet</t>
  </si>
  <si>
    <t>143586</t>
  </si>
  <si>
    <t>143587</t>
  </si>
  <si>
    <t>143588</t>
  </si>
  <si>
    <t>143589</t>
  </si>
  <si>
    <t>126 TB HDD</t>
  </si>
  <si>
    <t>143590</t>
  </si>
  <si>
    <t>636 GB M.2</t>
  </si>
  <si>
    <t>143591</t>
  </si>
  <si>
    <t>RYZEN 3rd gen. 3624</t>
  </si>
  <si>
    <t>143592</t>
  </si>
  <si>
    <t>143593</t>
  </si>
  <si>
    <t>140 GB DDR4 RAM</t>
  </si>
  <si>
    <t>143594</t>
  </si>
  <si>
    <t>143595</t>
  </si>
  <si>
    <t>143596</t>
  </si>
  <si>
    <t>143597</t>
  </si>
  <si>
    <t>143598</t>
  </si>
  <si>
    <t>19/04/2022</t>
  </si>
  <si>
    <t>143599</t>
  </si>
  <si>
    <t>20/04/2022</t>
  </si>
  <si>
    <t>143600</t>
  </si>
  <si>
    <t>21/04/2022</t>
  </si>
  <si>
    <t>125 TB SSD</t>
  </si>
  <si>
    <t>143601</t>
  </si>
  <si>
    <t>22/04/2022</t>
  </si>
  <si>
    <t>143602</t>
  </si>
  <si>
    <t>23/04/2022</t>
  </si>
  <si>
    <t>143603</t>
  </si>
  <si>
    <t>24/04/2022</t>
  </si>
  <si>
    <t>128 GB DDR4 Ram</t>
  </si>
  <si>
    <t>143604</t>
  </si>
  <si>
    <t>25/04/2022</t>
  </si>
  <si>
    <t>143605</t>
  </si>
  <si>
    <t>26/04/2022</t>
  </si>
  <si>
    <t>143606</t>
  </si>
  <si>
    <t>143607</t>
  </si>
  <si>
    <t>143608</t>
  </si>
  <si>
    <t>143609</t>
  </si>
  <si>
    <t>143610</t>
  </si>
  <si>
    <t>143611</t>
  </si>
  <si>
    <t>143612</t>
  </si>
  <si>
    <t>143613</t>
  </si>
  <si>
    <t>143614</t>
  </si>
  <si>
    <t>381 GB SSD</t>
  </si>
  <si>
    <t>143615</t>
  </si>
  <si>
    <t>143616</t>
  </si>
  <si>
    <t>143617</t>
  </si>
  <si>
    <t>143618</t>
  </si>
  <si>
    <t>143619</t>
  </si>
  <si>
    <t>128 Fans Cabinet</t>
  </si>
  <si>
    <t>143620</t>
  </si>
  <si>
    <t>143621</t>
  </si>
  <si>
    <t>143622</t>
  </si>
  <si>
    <t>143623</t>
  </si>
  <si>
    <t>127 TB HDD</t>
  </si>
  <si>
    <t>143624</t>
  </si>
  <si>
    <t>637 GB M.2</t>
  </si>
  <si>
    <t>143625</t>
  </si>
  <si>
    <t>27/04/2022</t>
  </si>
  <si>
    <t>RYZEN 3rd gen. 3625</t>
  </si>
  <si>
    <t>143626</t>
  </si>
  <si>
    <t>143627</t>
  </si>
  <si>
    <t>141 GB DDR4 RAM</t>
  </si>
  <si>
    <t>143628</t>
  </si>
  <si>
    <t>143629</t>
  </si>
  <si>
    <t>143630</t>
  </si>
  <si>
    <t>143631</t>
  </si>
  <si>
    <t>143632</t>
  </si>
  <si>
    <t>143633</t>
  </si>
  <si>
    <t>143634</t>
  </si>
  <si>
    <t>126 TB SSD</t>
  </si>
  <si>
    <t>143635</t>
  </si>
  <si>
    <t>143636</t>
  </si>
  <si>
    <t>143637</t>
  </si>
  <si>
    <t>129 GB DDR4 Ram</t>
  </si>
  <si>
    <t>143638</t>
  </si>
  <si>
    <t>143639</t>
  </si>
  <si>
    <t>143640</t>
  </si>
  <si>
    <t>143641</t>
  </si>
  <si>
    <t>143642</t>
  </si>
  <si>
    <t>28/04/2022</t>
  </si>
  <si>
    <t>143643</t>
  </si>
  <si>
    <t>29/04/2022</t>
  </si>
  <si>
    <t>143644</t>
  </si>
  <si>
    <t>30/04/2022</t>
  </si>
  <si>
    <t>143645</t>
  </si>
  <si>
    <t>143646</t>
  </si>
  <si>
    <t>143647</t>
  </si>
  <si>
    <t>143648</t>
  </si>
  <si>
    <t>382 GB SSD</t>
  </si>
  <si>
    <t>143649</t>
  </si>
  <si>
    <t>143650</t>
  </si>
  <si>
    <t>143651</t>
  </si>
  <si>
    <t>143652</t>
  </si>
  <si>
    <t>143653</t>
  </si>
  <si>
    <t>129 Fans Cabinet</t>
  </si>
  <si>
    <t>143654</t>
  </si>
  <si>
    <t>143655</t>
  </si>
  <si>
    <t>143656</t>
  </si>
  <si>
    <t>143657</t>
  </si>
  <si>
    <t>128 TB HDD</t>
  </si>
  <si>
    <t>143658</t>
  </si>
  <si>
    <t>638 GB M.2</t>
  </si>
  <si>
    <t>143659</t>
  </si>
  <si>
    <t>RYZEN 3rd gen. 3626</t>
  </si>
  <si>
    <t>143660</t>
  </si>
  <si>
    <t>143661</t>
  </si>
  <si>
    <t>142 GB DDR4 RAM</t>
  </si>
  <si>
    <t>143662</t>
  </si>
  <si>
    <t>143663</t>
  </si>
  <si>
    <t>143664</t>
  </si>
  <si>
    <t>143665</t>
  </si>
  <si>
    <t>143666</t>
  </si>
  <si>
    <t>143667</t>
  </si>
  <si>
    <t>143668</t>
  </si>
  <si>
    <t>127 TB SSD</t>
  </si>
  <si>
    <t>143669</t>
  </si>
  <si>
    <t>143670</t>
  </si>
  <si>
    <t>143671</t>
  </si>
  <si>
    <t>130 GB DDR4 Ram</t>
  </si>
  <si>
    <t>143672</t>
  </si>
  <si>
    <t>143673</t>
  </si>
  <si>
    <t>143674</t>
  </si>
  <si>
    <t>143675</t>
  </si>
  <si>
    <t>143676</t>
  </si>
  <si>
    <t>143677</t>
  </si>
  <si>
    <t>143678</t>
  </si>
  <si>
    <t>143679</t>
  </si>
  <si>
    <t>143680</t>
  </si>
  <si>
    <t>01/05/2022</t>
  </si>
  <si>
    <t>143681</t>
  </si>
  <si>
    <t>02/05/2022</t>
  </si>
  <si>
    <t>143682</t>
  </si>
  <si>
    <t>03/05/2022</t>
  </si>
  <si>
    <t>383 GB SSD</t>
  </si>
  <si>
    <t>143683</t>
  </si>
  <si>
    <t>04/05/2022</t>
  </si>
  <si>
    <t>143684</t>
  </si>
  <si>
    <t>05/05/2022</t>
  </si>
  <si>
    <t>143685</t>
  </si>
  <si>
    <t>143686</t>
  </si>
  <si>
    <t>143687</t>
  </si>
  <si>
    <t>130 Fans Cabinet</t>
  </si>
  <si>
    <t>143688</t>
  </si>
  <si>
    <t>143689</t>
  </si>
  <si>
    <t>143690</t>
  </si>
  <si>
    <t>143691</t>
  </si>
  <si>
    <t>129 TB HDD</t>
  </si>
  <si>
    <t>143692</t>
  </si>
  <si>
    <t>639 GB M.2</t>
  </si>
  <si>
    <t>143693</t>
  </si>
  <si>
    <t>06/05/2022</t>
  </si>
  <si>
    <t>RYZEN 3rd gen. 3627</t>
  </si>
  <si>
    <t>143694</t>
  </si>
  <si>
    <t>07/05/2022</t>
  </si>
  <si>
    <t>143695</t>
  </si>
  <si>
    <t>08/05/2022</t>
  </si>
  <si>
    <t>143 GB DDR4 RAM</t>
  </si>
  <si>
    <t>143696</t>
  </si>
  <si>
    <t>09/05/2022</t>
  </si>
  <si>
    <t>143697</t>
  </si>
  <si>
    <t>143698</t>
  </si>
  <si>
    <t>143699</t>
  </si>
  <si>
    <t>143700</t>
  </si>
  <si>
    <t>143701</t>
  </si>
  <si>
    <t>143702</t>
  </si>
  <si>
    <t>128 TB SSD</t>
  </si>
  <si>
    <t>143703</t>
  </si>
  <si>
    <t>143704</t>
  </si>
  <si>
    <t>143705</t>
  </si>
  <si>
    <t>131 GB DDR4 Ram</t>
  </si>
  <si>
    <t>143706</t>
  </si>
  <si>
    <t>143707</t>
  </si>
  <si>
    <t>143708</t>
  </si>
  <si>
    <t>143709</t>
  </si>
  <si>
    <t>143710</t>
  </si>
  <si>
    <t>143711</t>
  </si>
  <si>
    <t>143712</t>
  </si>
  <si>
    <t>143713</t>
  </si>
  <si>
    <t>143714</t>
  </si>
  <si>
    <t>143715</t>
  </si>
  <si>
    <t>143716</t>
  </si>
  <si>
    <t>384 GB SSD</t>
  </si>
  <si>
    <t>143717</t>
  </si>
  <si>
    <t>143718</t>
  </si>
  <si>
    <t>143719</t>
  </si>
  <si>
    <t>143720</t>
  </si>
  <si>
    <t>143721</t>
  </si>
  <si>
    <t>131 Fans Cabinet</t>
  </si>
  <si>
    <t>143722</t>
  </si>
  <si>
    <t>143723</t>
  </si>
  <si>
    <t>143724</t>
  </si>
  <si>
    <t>143725</t>
  </si>
  <si>
    <t>130 TB HDD</t>
  </si>
  <si>
    <t>143726</t>
  </si>
  <si>
    <t>640 GB M.2</t>
  </si>
  <si>
    <t>143727</t>
  </si>
  <si>
    <t>RYZEN 3rd gen. 3628</t>
  </si>
  <si>
    <t>143728</t>
  </si>
  <si>
    <t>143729</t>
  </si>
  <si>
    <t>144 GB DDR4 RAM</t>
  </si>
  <si>
    <t>143730</t>
  </si>
  <si>
    <t>143731</t>
  </si>
  <si>
    <t>143732</t>
  </si>
  <si>
    <t>143733</t>
  </si>
  <si>
    <t>143734</t>
  </si>
  <si>
    <t>10/05/2022</t>
  </si>
  <si>
    <t>143735</t>
  </si>
  <si>
    <t>143736</t>
  </si>
  <si>
    <t>129 TB SSD</t>
  </si>
  <si>
    <t>143737</t>
  </si>
  <si>
    <t>143738</t>
  </si>
  <si>
    <t>143739</t>
  </si>
  <si>
    <t>132 GB DDR4 Ram</t>
  </si>
  <si>
    <t>143740</t>
  </si>
  <si>
    <t>143741</t>
  </si>
  <si>
    <t>143742</t>
  </si>
  <si>
    <t>143743</t>
  </si>
  <si>
    <t>143744</t>
  </si>
  <si>
    <t>143745</t>
  </si>
  <si>
    <t>143746</t>
  </si>
  <si>
    <t>143747</t>
  </si>
  <si>
    <t>143748</t>
  </si>
  <si>
    <t>143749</t>
  </si>
  <si>
    <t>143750</t>
  </si>
  <si>
    <t>385 GB SSD</t>
  </si>
  <si>
    <t>143751</t>
  </si>
  <si>
    <t>143752</t>
  </si>
  <si>
    <t>143753</t>
  </si>
  <si>
    <t>143754</t>
  </si>
  <si>
    <t>143755</t>
  </si>
  <si>
    <t>132 Fans Cabinet</t>
  </si>
  <si>
    <t>143756</t>
  </si>
  <si>
    <t>143757</t>
  </si>
  <si>
    <t>143758</t>
  </si>
  <si>
    <t>143759</t>
  </si>
  <si>
    <t>131 TB HDD</t>
  </si>
  <si>
    <t>143760</t>
  </si>
  <si>
    <t>641 GB M.2</t>
  </si>
  <si>
    <t>143761</t>
  </si>
  <si>
    <t>RYZEN 3rd gen. 3629</t>
  </si>
  <si>
    <t>143762</t>
  </si>
  <si>
    <t>143763</t>
  </si>
  <si>
    <t>145 GB DDR4 RAM</t>
  </si>
  <si>
    <t>143764</t>
  </si>
  <si>
    <t>143765</t>
  </si>
  <si>
    <t>11/05/2022</t>
  </si>
  <si>
    <t>143766</t>
  </si>
  <si>
    <t>143767</t>
  </si>
  <si>
    <t>143768</t>
  </si>
  <si>
    <t>143769</t>
  </si>
  <si>
    <t>143770</t>
  </si>
  <si>
    <t>130 TB SSD</t>
  </si>
  <si>
    <t>143771</t>
  </si>
  <si>
    <t>143772</t>
  </si>
  <si>
    <t>143773</t>
  </si>
  <si>
    <t>133 GB DDR4 Ram</t>
  </si>
  <si>
    <t>143774</t>
  </si>
  <si>
    <t>143775</t>
  </si>
  <si>
    <t>143776</t>
  </si>
  <si>
    <t>143777</t>
  </si>
  <si>
    <t>143778</t>
  </si>
  <si>
    <t>143779</t>
  </si>
  <si>
    <t>143780</t>
  </si>
  <si>
    <t>143781</t>
  </si>
  <si>
    <t>143782</t>
  </si>
  <si>
    <t>143783</t>
  </si>
  <si>
    <t>143784</t>
  </si>
  <si>
    <t>386 GB SSD</t>
  </si>
  <si>
    <t>143785</t>
  </si>
  <si>
    <t>143786</t>
  </si>
  <si>
    <t>143787</t>
  </si>
  <si>
    <t>143788</t>
  </si>
  <si>
    <t>143789</t>
  </si>
  <si>
    <t>133 Fans Cabinet</t>
  </si>
  <si>
    <t>143790</t>
  </si>
  <si>
    <t>143791</t>
  </si>
  <si>
    <t>143792</t>
  </si>
  <si>
    <t>143793</t>
  </si>
  <si>
    <t>132 TB HDD</t>
  </si>
  <si>
    <t>143794</t>
  </si>
  <si>
    <t>642 GB M.2</t>
  </si>
  <si>
    <t>143795</t>
  </si>
  <si>
    <t>RYZEN 3rd gen. 3630</t>
  </si>
  <si>
    <t>143796</t>
  </si>
  <si>
    <t>143797</t>
  </si>
  <si>
    <t>146 GB DDR4 RAM</t>
  </si>
  <si>
    <t>143798</t>
  </si>
  <si>
    <t>143799</t>
  </si>
  <si>
    <t>143800</t>
  </si>
  <si>
    <t>143801</t>
  </si>
  <si>
    <t>143802</t>
  </si>
  <si>
    <t>143803</t>
  </si>
  <si>
    <t>143804</t>
  </si>
  <si>
    <t>131 TB SSD</t>
  </si>
  <si>
    <t>143805</t>
  </si>
  <si>
    <t>143806</t>
  </si>
  <si>
    <t>143807</t>
  </si>
  <si>
    <t>134 GB DDR4 Ram</t>
  </si>
  <si>
    <t>143808</t>
  </si>
  <si>
    <t>143809</t>
  </si>
  <si>
    <t>143810</t>
  </si>
  <si>
    <t>143811</t>
  </si>
  <si>
    <t>143812</t>
  </si>
  <si>
    <t>143813</t>
  </si>
  <si>
    <t>12/05/2022</t>
  </si>
  <si>
    <t>143814</t>
  </si>
  <si>
    <t>13/05/2022</t>
  </si>
  <si>
    <t>143815</t>
  </si>
  <si>
    <t>14/05/2022</t>
  </si>
  <si>
    <t>143816</t>
  </si>
  <si>
    <t>15/05/2022</t>
  </si>
  <si>
    <t>143817</t>
  </si>
  <si>
    <t>16/05/2022</t>
  </si>
  <si>
    <t>143818</t>
  </si>
  <si>
    <t>17/05/2022</t>
  </si>
  <si>
    <t>387 GB SSD</t>
  </si>
  <si>
    <t>143819</t>
  </si>
  <si>
    <t>18/05/2022</t>
  </si>
  <si>
    <t>143820</t>
  </si>
  <si>
    <t>19/05/2022</t>
  </si>
  <si>
    <t>143821</t>
  </si>
  <si>
    <t>143822</t>
  </si>
  <si>
    <t>143823</t>
  </si>
  <si>
    <t>134 Fans Cabinet</t>
  </si>
  <si>
    <t>143824</t>
  </si>
  <si>
    <t>143825</t>
  </si>
  <si>
    <t>143826</t>
  </si>
  <si>
    <t>143827</t>
  </si>
  <si>
    <t>133 TB HDD</t>
  </si>
  <si>
    <t>143828</t>
  </si>
  <si>
    <t>643 GB M.2</t>
  </si>
  <si>
    <t>143829</t>
  </si>
  <si>
    <t>RYZEN 3rd gen. 3631</t>
  </si>
  <si>
    <t>143830</t>
  </si>
  <si>
    <t>143831</t>
  </si>
  <si>
    <t>147 GB DDR4 RAM</t>
  </si>
  <si>
    <t>143832</t>
  </si>
  <si>
    <t>143833</t>
  </si>
  <si>
    <t>143834</t>
  </si>
  <si>
    <t>143835</t>
  </si>
  <si>
    <t>143836</t>
  </si>
  <si>
    <t>143837</t>
  </si>
  <si>
    <t>143838</t>
  </si>
  <si>
    <t>132 TB SSD</t>
  </si>
  <si>
    <t>143839</t>
  </si>
  <si>
    <t>143840</t>
  </si>
  <si>
    <t>143841</t>
  </si>
  <si>
    <t>135 GB DDR4 Ram</t>
  </si>
  <si>
    <t>143842</t>
  </si>
  <si>
    <t>143843</t>
  </si>
  <si>
    <t>143844</t>
  </si>
  <si>
    <t>143845</t>
  </si>
  <si>
    <t>143846</t>
  </si>
  <si>
    <t>143847</t>
  </si>
  <si>
    <t>143848</t>
  </si>
  <si>
    <t>143849</t>
  </si>
  <si>
    <t>143850</t>
  </si>
  <si>
    <t>143851</t>
  </si>
  <si>
    <t>143852</t>
  </si>
  <si>
    <t>388 GB SSD</t>
  </si>
  <si>
    <t>143853</t>
  </si>
  <si>
    <t>143854</t>
  </si>
  <si>
    <t>143855</t>
  </si>
  <si>
    <t>143856</t>
  </si>
  <si>
    <t>143857</t>
  </si>
  <si>
    <t>135 Fans Cabinet</t>
  </si>
  <si>
    <t>143858</t>
  </si>
  <si>
    <t>20/05/2022</t>
  </si>
  <si>
    <t>143859</t>
  </si>
  <si>
    <t>21/05/2022</t>
  </si>
  <si>
    <t>143860</t>
  </si>
  <si>
    <t>22/05/2022</t>
  </si>
  <si>
    <t>143861</t>
  </si>
  <si>
    <t>23/05/2022</t>
  </si>
  <si>
    <t>134 TB HDD</t>
  </si>
  <si>
    <t>143862</t>
  </si>
  <si>
    <t>24/05/2022</t>
  </si>
  <si>
    <t>644 GB M.2</t>
  </si>
  <si>
    <t>143863</t>
  </si>
  <si>
    <t>RYZEN 3rd gen. 3632</t>
  </si>
  <si>
    <t>143864</t>
  </si>
  <si>
    <t>143865</t>
  </si>
  <si>
    <t>148 GB DDR4 RAM</t>
  </si>
  <si>
    <t>143866</t>
  </si>
  <si>
    <t>143867</t>
  </si>
  <si>
    <t>143868</t>
  </si>
  <si>
    <t>143869</t>
  </si>
  <si>
    <t>143870</t>
  </si>
  <si>
    <t>143871</t>
  </si>
  <si>
    <t>143872</t>
  </si>
  <si>
    <t>133 TB SSD</t>
  </si>
  <si>
    <t>143873</t>
  </si>
  <si>
    <t>143874</t>
  </si>
  <si>
    <t>143875</t>
  </si>
  <si>
    <t>136 GB DDR4 Ram</t>
  </si>
  <si>
    <t>143876</t>
  </si>
  <si>
    <t>25/05/2022</t>
  </si>
  <si>
    <t>143877</t>
  </si>
  <si>
    <t>26/05/2022</t>
  </si>
  <si>
    <t>143878</t>
  </si>
  <si>
    <t>27/05/2022</t>
  </si>
  <si>
    <t>143879</t>
  </si>
  <si>
    <t>143880</t>
  </si>
  <si>
    <t>143881</t>
  </si>
  <si>
    <t>143882</t>
  </si>
  <si>
    <t>143883</t>
  </si>
  <si>
    <t>143884</t>
  </si>
  <si>
    <t>143885</t>
  </si>
  <si>
    <t>143886</t>
  </si>
  <si>
    <t>389 GB SSD</t>
  </si>
  <si>
    <t>143887</t>
  </si>
  <si>
    <t>143888</t>
  </si>
  <si>
    <t>28/05/2022</t>
  </si>
  <si>
    <t>143889</t>
  </si>
  <si>
    <t>29/05/2022</t>
  </si>
  <si>
    <t>143890</t>
  </si>
  <si>
    <t>30/05/2022</t>
  </si>
  <si>
    <t>143891</t>
  </si>
  <si>
    <t>31/05/2022</t>
  </si>
  <si>
    <t>136 Fans Cabinet</t>
  </si>
  <si>
    <t>143892</t>
  </si>
  <si>
    <t>01/06/2022</t>
  </si>
  <si>
    <t>143893</t>
  </si>
  <si>
    <t>02/06/2022</t>
  </si>
  <si>
    <t>143894</t>
  </si>
  <si>
    <t>03/06/2022</t>
  </si>
  <si>
    <t>143895</t>
  </si>
  <si>
    <t>04/06/2022</t>
  </si>
  <si>
    <t>135 TB HDD</t>
  </si>
  <si>
    <t>143896</t>
  </si>
  <si>
    <t>05/06/2022</t>
  </si>
  <si>
    <t>645 GB M.2</t>
  </si>
  <si>
    <t>143897</t>
  </si>
  <si>
    <t>06/06/2022</t>
  </si>
  <si>
    <t>RYZEN 3rd gen. 3633</t>
  </si>
  <si>
    <t>143898</t>
  </si>
  <si>
    <t>07/06/2022</t>
  </si>
  <si>
    <t>143899</t>
  </si>
  <si>
    <t>08/06/2022</t>
  </si>
  <si>
    <t>149 GB DDR4 RAM</t>
  </si>
  <si>
    <t>143900</t>
  </si>
  <si>
    <t>09/06/2022</t>
  </si>
  <si>
    <t>143901</t>
  </si>
  <si>
    <t>10/06/2022</t>
  </si>
  <si>
    <t>143902</t>
  </si>
  <si>
    <t>11/06/2022</t>
  </si>
  <si>
    <t>143903</t>
  </si>
  <si>
    <t>12/06/2022</t>
  </si>
  <si>
    <t>143904</t>
  </si>
  <si>
    <t>13/06/2022</t>
  </si>
  <si>
    <t>143905</t>
  </si>
  <si>
    <t>14/06/2022</t>
  </si>
  <si>
    <t>143906</t>
  </si>
  <si>
    <t>15/06/2022</t>
  </si>
  <si>
    <t>134 TB SSD</t>
  </si>
  <si>
    <t>143907</t>
  </si>
  <si>
    <t>16/06/2022</t>
  </si>
  <si>
    <t>143908</t>
  </si>
  <si>
    <t>17/06/2022</t>
  </si>
  <si>
    <t>143909</t>
  </si>
  <si>
    <t>18/06/2022</t>
  </si>
  <si>
    <t>137 GB DDR4 Ram</t>
  </si>
  <si>
    <t>143910</t>
  </si>
  <si>
    <t>19/06/2022</t>
  </si>
  <si>
    <t>143911</t>
  </si>
  <si>
    <t>20/06/2022</t>
  </si>
  <si>
    <t>143912</t>
  </si>
  <si>
    <t>143913</t>
  </si>
  <si>
    <t>143914</t>
  </si>
  <si>
    <t>143915</t>
  </si>
  <si>
    <t>143916</t>
  </si>
  <si>
    <t>143917</t>
  </si>
  <si>
    <t>143918</t>
  </si>
  <si>
    <t>21/06/2022</t>
  </si>
  <si>
    <t>143919</t>
  </si>
  <si>
    <t>22/06/2022</t>
  </si>
  <si>
    <t>143920</t>
  </si>
  <si>
    <t>23/06/2022</t>
  </si>
  <si>
    <t>390 GB SSD</t>
  </si>
  <si>
    <t>143921</t>
  </si>
  <si>
    <t>24/06/2022</t>
  </si>
  <si>
    <t>143922</t>
  </si>
  <si>
    <t>25/06/2022</t>
  </si>
  <si>
    <t>143923</t>
  </si>
  <si>
    <t>26/06/2022</t>
  </si>
  <si>
    <t>143924</t>
  </si>
  <si>
    <t>143925</t>
  </si>
  <si>
    <t>137 Fans Cabinet</t>
  </si>
  <si>
    <t>143926</t>
  </si>
  <si>
    <t>143927</t>
  </si>
  <si>
    <t>143928</t>
  </si>
  <si>
    <t>143929</t>
  </si>
  <si>
    <t>136 TB HDD</t>
  </si>
  <si>
    <t>143930</t>
  </si>
  <si>
    <t>646 GB M.2</t>
  </si>
  <si>
    <t>143931</t>
  </si>
  <si>
    <t>RYZEN 3rd gen. 3634</t>
  </si>
  <si>
    <t>143932</t>
  </si>
  <si>
    <t>143933</t>
  </si>
  <si>
    <t>150 GB DDR4 RAM</t>
  </si>
  <si>
    <t>143934</t>
  </si>
  <si>
    <t>143935</t>
  </si>
  <si>
    <t>143936</t>
  </si>
  <si>
    <t>143937</t>
  </si>
  <si>
    <t>143938</t>
  </si>
  <si>
    <t>27/06/2022</t>
  </si>
  <si>
    <t>143939</t>
  </si>
  <si>
    <t>143940</t>
  </si>
  <si>
    <t>135 TB SSD</t>
  </si>
  <si>
    <t>143941</t>
  </si>
  <si>
    <t>143942</t>
  </si>
  <si>
    <t>143943</t>
  </si>
  <si>
    <t>138 GB DDR4 Ram</t>
  </si>
  <si>
    <t>143944</t>
  </si>
  <si>
    <t>143945</t>
  </si>
  <si>
    <t>143946</t>
  </si>
  <si>
    <t>143947</t>
  </si>
  <si>
    <t>143948</t>
  </si>
  <si>
    <t>28/06/2022</t>
  </si>
  <si>
    <t>143949</t>
  </si>
  <si>
    <t>29/06/2022</t>
  </si>
  <si>
    <t>143950</t>
  </si>
  <si>
    <t>30/06/2022</t>
  </si>
  <si>
    <t>143951</t>
  </si>
  <si>
    <t>01/07/2022</t>
  </si>
  <si>
    <t>143952</t>
  </si>
  <si>
    <t>02/07/2022</t>
  </si>
  <si>
    <t>143953</t>
  </si>
  <si>
    <t>03/07/2022</t>
  </si>
  <si>
    <t>143954</t>
  </si>
  <si>
    <t>04/07/2022</t>
  </si>
  <si>
    <t>391 GB SSD</t>
  </si>
  <si>
    <t>143955</t>
  </si>
  <si>
    <t>05/07/2022</t>
  </si>
  <si>
    <t>143956</t>
  </si>
  <si>
    <t>06/07/2022</t>
  </si>
  <si>
    <t>143957</t>
  </si>
  <si>
    <t>07/07/2022</t>
  </si>
  <si>
    <t>143958</t>
  </si>
  <si>
    <t>143959</t>
  </si>
  <si>
    <t>138 Fans Cabinet</t>
  </si>
  <si>
    <t>143960</t>
  </si>
  <si>
    <t>143961</t>
  </si>
  <si>
    <t>143962</t>
  </si>
  <si>
    <t>143963</t>
  </si>
  <si>
    <t>137 TB HDD</t>
  </si>
  <si>
    <t>143964</t>
  </si>
  <si>
    <t>647 GB M.2</t>
  </si>
  <si>
    <t>143965</t>
  </si>
  <si>
    <t>RYZEN 3rd gen. 3635</t>
  </si>
  <si>
    <t>143966</t>
  </si>
  <si>
    <t>143967</t>
  </si>
  <si>
    <t>151 GB DDR4 RAM</t>
  </si>
  <si>
    <t>143968</t>
  </si>
  <si>
    <t>143969</t>
  </si>
  <si>
    <t>08/07/2022</t>
  </si>
  <si>
    <t>143970</t>
  </si>
  <si>
    <t>09/07/2022</t>
  </si>
  <si>
    <t>143971</t>
  </si>
  <si>
    <t>10/07/2022</t>
  </si>
  <si>
    <t>143972</t>
  </si>
  <si>
    <t>11/07/2022</t>
  </si>
  <si>
    <t>143973</t>
  </si>
  <si>
    <t>12/07/2022</t>
  </si>
  <si>
    <t>143974</t>
  </si>
  <si>
    <t>13/07/2022</t>
  </si>
  <si>
    <t>136 TB SSD</t>
  </si>
  <si>
    <t>143975</t>
  </si>
  <si>
    <t>14/07/2022</t>
  </si>
  <si>
    <t>143976</t>
  </si>
  <si>
    <t>15/07/2022</t>
  </si>
  <si>
    <t>143977</t>
  </si>
  <si>
    <t>16/07/2022</t>
  </si>
  <si>
    <t>139 GB DDR4 Ram</t>
  </si>
  <si>
    <t>143978</t>
  </si>
  <si>
    <t>17/07/2022</t>
  </si>
  <si>
    <t>143979</t>
  </si>
  <si>
    <t>18/07/2022</t>
  </si>
  <si>
    <t>143980</t>
  </si>
  <si>
    <t>19/07/2022</t>
  </si>
  <si>
    <t>143981</t>
  </si>
  <si>
    <t>20/07/2022</t>
  </si>
  <si>
    <t>143982</t>
  </si>
  <si>
    <t>21/07/2022</t>
  </si>
  <si>
    <t>143983</t>
  </si>
  <si>
    <t>22/07/2022</t>
  </si>
  <si>
    <t>143984</t>
  </si>
  <si>
    <t>143985</t>
  </si>
  <si>
    <t>143986</t>
  </si>
  <si>
    <t>143987</t>
  </si>
  <si>
    <t>143988</t>
  </si>
  <si>
    <t>23/07/2022</t>
  </si>
  <si>
    <t>392 GB SSD</t>
  </si>
  <si>
    <t>143989</t>
  </si>
  <si>
    <t>24/07/2022</t>
  </si>
  <si>
    <t>143990</t>
  </si>
  <si>
    <t>25/07/2022</t>
  </si>
  <si>
    <t>143991</t>
  </si>
  <si>
    <t>26/07/2022</t>
  </si>
  <si>
    <t>143992</t>
  </si>
  <si>
    <t>27/07/2022</t>
  </si>
  <si>
    <t>143993</t>
  </si>
  <si>
    <t>28/07/2022</t>
  </si>
  <si>
    <t>139 Fans Cabinet</t>
  </si>
  <si>
    <t>143994</t>
  </si>
  <si>
    <t>29/07/2022</t>
  </si>
  <si>
    <t>143995</t>
  </si>
  <si>
    <t>30/07/2022</t>
  </si>
  <si>
    <t>143996</t>
  </si>
  <si>
    <t>31/07/2022</t>
  </si>
  <si>
    <t>143997</t>
  </si>
  <si>
    <t>01/08/2022</t>
  </si>
  <si>
    <t>138 TB HDD</t>
  </si>
  <si>
    <t>143998</t>
  </si>
  <si>
    <t>02/08/2022</t>
  </si>
  <si>
    <t>648 GB M.2</t>
  </si>
  <si>
    <t>143999</t>
  </si>
  <si>
    <t>03/08/2022</t>
  </si>
  <si>
    <t>RYZEN 3rd gen. 3636</t>
  </si>
  <si>
    <t>144000</t>
  </si>
  <si>
    <t>04/08/2022</t>
  </si>
  <si>
    <t>144001</t>
  </si>
  <si>
    <t>05/08/2022</t>
  </si>
  <si>
    <t>152 GB DDR4 RAM</t>
  </si>
  <si>
    <t>144002</t>
  </si>
  <si>
    <t>06/08/2022</t>
  </si>
  <si>
    <t>144003</t>
  </si>
  <si>
    <t>07/08/2022</t>
  </si>
  <si>
    <t>144004</t>
  </si>
  <si>
    <t>08/08/2022</t>
  </si>
  <si>
    <t>144005</t>
  </si>
  <si>
    <t>09/08/2022</t>
  </si>
  <si>
    <t>144006</t>
  </si>
  <si>
    <t>10/08/2022</t>
  </si>
  <si>
    <t>144007</t>
  </si>
  <si>
    <t>11/08/2022</t>
  </si>
  <si>
    <t>144008</t>
  </si>
  <si>
    <t>12/08/2022</t>
  </si>
  <si>
    <t>137 TB SSD</t>
  </si>
  <si>
    <t>144009</t>
  </si>
  <si>
    <t>13/08/2022</t>
  </si>
  <si>
    <t>144010</t>
  </si>
  <si>
    <t>14/08/2022</t>
  </si>
  <si>
    <t>144011</t>
  </si>
  <si>
    <t>15/08/2022</t>
  </si>
  <si>
    <t>140 GB DDR4 Ram</t>
  </si>
  <si>
    <t>144012</t>
  </si>
  <si>
    <t>16/08/2022</t>
  </si>
  <si>
    <t>144013</t>
  </si>
  <si>
    <t>17/08/2022</t>
  </si>
  <si>
    <t>144014</t>
  </si>
  <si>
    <t>18/08/2022</t>
  </si>
  <si>
    <t>144015</t>
  </si>
  <si>
    <t>19/08/2022</t>
  </si>
  <si>
    <t>144016</t>
  </si>
  <si>
    <t>20/08/2022</t>
  </si>
  <si>
    <t>144017</t>
  </si>
  <si>
    <t>21/08/2022</t>
  </si>
  <si>
    <t>144018</t>
  </si>
  <si>
    <t>22/08/2022</t>
  </si>
  <si>
    <t>144019</t>
  </si>
  <si>
    <t>23/08/2022</t>
  </si>
  <si>
    <t>144020</t>
  </si>
  <si>
    <t>24/08/2022</t>
  </si>
  <si>
    <t>144021</t>
  </si>
  <si>
    <t>25/08/2022</t>
  </si>
  <si>
    <t>144022</t>
  </si>
  <si>
    <t>26/08/2022</t>
  </si>
  <si>
    <t>393 GB SSD</t>
  </si>
  <si>
    <t>144023</t>
  </si>
  <si>
    <t>27/08/2022</t>
  </si>
  <si>
    <t>144024</t>
  </si>
  <si>
    <t>28/08/2022</t>
  </si>
  <si>
    <t>144025</t>
  </si>
  <si>
    <t>29/08/2022</t>
  </si>
  <si>
    <t>144026</t>
  </si>
  <si>
    <t>30/08/2022</t>
  </si>
  <si>
    <t>144027</t>
  </si>
  <si>
    <t>31/08/2022</t>
  </si>
  <si>
    <t>140 Fans Cabinet</t>
  </si>
  <si>
    <t>144028</t>
  </si>
  <si>
    <t>01/09/2022</t>
  </si>
  <si>
    <t>144029</t>
  </si>
  <si>
    <t>02/09/2022</t>
  </si>
  <si>
    <t>144030</t>
  </si>
  <si>
    <t>03/09/2022</t>
  </si>
  <si>
    <t>144031</t>
  </si>
  <si>
    <t>04/09/2022</t>
  </si>
  <si>
    <t>139 TB HDD</t>
  </si>
  <si>
    <t>144032</t>
  </si>
  <si>
    <t>05/09/2022</t>
  </si>
  <si>
    <t>649 GB M.2</t>
  </si>
  <si>
    <t>144033</t>
  </si>
  <si>
    <t>06/09/2022</t>
  </si>
  <si>
    <t>RYZEN 3rd gen. 3637</t>
  </si>
  <si>
    <t>144034</t>
  </si>
  <si>
    <t>07/09/2022</t>
  </si>
  <si>
    <t>144035</t>
  </si>
  <si>
    <t>153 GB DDR4 RAM</t>
  </si>
  <si>
    <t>144036</t>
  </si>
  <si>
    <t>144037</t>
  </si>
  <si>
    <t>144038</t>
  </si>
  <si>
    <t>144039</t>
  </si>
  <si>
    <t>144040</t>
  </si>
  <si>
    <t>144041</t>
  </si>
  <si>
    <t>144042</t>
  </si>
  <si>
    <t>138 TB SSD</t>
  </si>
  <si>
    <t>144043</t>
  </si>
  <si>
    <t>144044</t>
  </si>
  <si>
    <t>144045</t>
  </si>
  <si>
    <t>141 GB DDR4 Ram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</si>
  <si>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</si>
  <si>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</si>
  <si>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</si>
  <si>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</si>
  <si>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</si>
  <si>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</si>
  <si>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</si>
  <si>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</si>
  <si>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144054</t>
  </si>
  <si>
    <t>144055</t>
  </si>
  <si>
    <t>144056</t>
  </si>
  <si>
    <t>394 GB SSD</t>
  </si>
  <si>
    <t>144057</t>
  </si>
  <si>
    <t>144058</t>
  </si>
  <si>
    <t>144059</t>
  </si>
  <si>
    <t>144060</t>
  </si>
  <si>
    <t>144061</t>
  </si>
  <si>
    <t>141 Fans Cabinet</t>
  </si>
  <si>
    <t>144062</t>
  </si>
  <si>
    <t>144063</t>
  </si>
  <si>
    <t>144064</t>
  </si>
  <si>
    <t>144065</t>
  </si>
  <si>
    <t>140 TB HDD</t>
  </si>
  <si>
    <t>144066</t>
  </si>
  <si>
    <t>650 GB M.2</t>
  </si>
  <si>
    <t>144067</t>
  </si>
  <si>
    <t>RYZEN 3rd gen. 3638</t>
  </si>
  <si>
    <t>144068</t>
  </si>
  <si>
    <t>144069</t>
  </si>
  <si>
    <t>154 GB DDR4 RAM</t>
  </si>
  <si>
    <t>144070</t>
  </si>
  <si>
    <t>144071</t>
  </si>
  <si>
    <t>144072</t>
  </si>
  <si>
    <t>144073</t>
  </si>
  <si>
    <t>144074</t>
  </si>
  <si>
    <t>144075</t>
  </si>
  <si>
    <t>144076</t>
  </si>
  <si>
    <t>139 TB SSD</t>
  </si>
  <si>
    <t>144077</t>
  </si>
  <si>
    <t>144078</t>
  </si>
  <si>
    <t>144079</t>
  </si>
  <si>
    <t>142 GB DDR4 Ram</t>
  </si>
  <si>
    <t>144080</t>
  </si>
  <si>
    <t>144081</t>
  </si>
  <si>
    <t>144082</t>
  </si>
  <si>
    <t>144083</t>
  </si>
  <si>
    <t>144084</t>
  </si>
  <si>
    <t>144085</t>
  </si>
  <si>
    <t>144086</t>
  </si>
  <si>
    <t>144087</t>
  </si>
  <si>
    <t>144088</t>
  </si>
  <si>
    <t>144089</t>
  </si>
  <si>
    <t>144090</t>
  </si>
  <si>
    <t>395 GB SSD</t>
  </si>
  <si>
    <t>144091</t>
  </si>
  <si>
    <t>144092</t>
  </si>
  <si>
    <t>144093</t>
  </si>
  <si>
    <t>144094</t>
  </si>
  <si>
    <t>144095</t>
  </si>
  <si>
    <t>142 Fans Cabinet</t>
  </si>
  <si>
    <t>144096</t>
  </si>
  <si>
    <t>144097</t>
  </si>
  <si>
    <t>144098</t>
  </si>
  <si>
    <t>144099</t>
  </si>
  <si>
    <t>141 TB HDD</t>
  </si>
  <si>
    <t>144100</t>
  </si>
  <si>
    <t>651 GB M.2</t>
  </si>
  <si>
    <t>144101</t>
  </si>
  <si>
    <t>RYZEN 3rd gen. 3639</t>
  </si>
  <si>
    <t>144102</t>
  </si>
  <si>
    <t>144103</t>
  </si>
  <si>
    <t>155 GB DDR4 RAM</t>
  </si>
  <si>
    <t>144104</t>
  </si>
  <si>
    <t>144105</t>
  </si>
  <si>
    <t>144106</t>
  </si>
  <si>
    <t>144107</t>
  </si>
  <si>
    <t>144108</t>
  </si>
  <si>
    <t>144109</t>
  </si>
  <si>
    <t>144110</t>
  </si>
  <si>
    <t>140 TB SSD</t>
  </si>
  <si>
    <t>144111</t>
  </si>
  <si>
    <t>144112</t>
  </si>
  <si>
    <t>144113</t>
  </si>
  <si>
    <t>143 GB DDR4 Ram</t>
  </si>
  <si>
    <t>144114</t>
  </si>
  <si>
    <t>144115</t>
  </si>
  <si>
    <t>144116</t>
  </si>
  <si>
    <t>144117</t>
  </si>
  <si>
    <t>144118</t>
  </si>
  <si>
    <t>144119</t>
  </si>
  <si>
    <t>144120</t>
  </si>
  <si>
    <t>144121</t>
  </si>
  <si>
    <t>144122</t>
  </si>
  <si>
    <t>144123</t>
  </si>
  <si>
    <t>144124</t>
  </si>
  <si>
    <t>396 GB SSD</t>
  </si>
  <si>
    <t>144125</t>
  </si>
  <si>
    <t>144126</t>
  </si>
  <si>
    <t>144127</t>
  </si>
  <si>
    <t>144128</t>
  </si>
  <si>
    <t>144129</t>
  </si>
  <si>
    <t>143 Fans Cabinet</t>
  </si>
  <si>
    <t>144130</t>
  </si>
  <si>
    <t>08/09/2022</t>
  </si>
  <si>
    <t>144131</t>
  </si>
  <si>
    <t>09/09/2022</t>
  </si>
  <si>
    <t>144132</t>
  </si>
  <si>
    <t>10/09/2022</t>
  </si>
  <si>
    <t>144133</t>
  </si>
  <si>
    <t>142 TB HDD</t>
  </si>
  <si>
    <t>144134</t>
  </si>
  <si>
    <t>652 GB M.2</t>
  </si>
  <si>
    <t>144135</t>
  </si>
  <si>
    <t>RYZEN 3rd gen. 3640</t>
  </si>
  <si>
    <t>144136</t>
  </si>
  <si>
    <t>144137</t>
  </si>
  <si>
    <t>156 GB DDR4 RAM</t>
  </si>
  <si>
    <t>144138</t>
  </si>
  <si>
    <t>144139</t>
  </si>
  <si>
    <t>144140</t>
  </si>
  <si>
    <t>144141</t>
  </si>
  <si>
    <t>144142</t>
  </si>
  <si>
    <t>144143</t>
  </si>
  <si>
    <t>144144</t>
  </si>
  <si>
    <t>141 TB SSD</t>
  </si>
  <si>
    <t>144145</t>
  </si>
  <si>
    <t>144146</t>
  </si>
  <si>
    <t>144147</t>
  </si>
  <si>
    <t>144 GB DDR4 Ram</t>
  </si>
  <si>
    <t>144148</t>
  </si>
  <si>
    <t>144149</t>
  </si>
  <si>
    <t>144150</t>
  </si>
  <si>
    <t>144151</t>
  </si>
  <si>
    <t>144152</t>
  </si>
  <si>
    <t>144153</t>
  </si>
  <si>
    <t>144154</t>
  </si>
  <si>
    <t>144155</t>
  </si>
  <si>
    <t>144156</t>
  </si>
  <si>
    <t>144157</t>
  </si>
  <si>
    <t>144158</t>
  </si>
  <si>
    <t>397 GB SSD</t>
  </si>
  <si>
    <t>144159</t>
  </si>
  <si>
    <t>144160</t>
  </si>
  <si>
    <t>144161</t>
  </si>
  <si>
    <t>144162</t>
  </si>
  <si>
    <t>144163</t>
  </si>
  <si>
    <t>144 Fans Cabinet</t>
  </si>
  <si>
    <t>144164</t>
  </si>
  <si>
    <t>144165</t>
  </si>
  <si>
    <t>144166</t>
  </si>
  <si>
    <t>144167</t>
  </si>
  <si>
    <t>143 TB HDD</t>
  </si>
  <si>
    <t>144168</t>
  </si>
  <si>
    <t>653 GB M.2</t>
  </si>
  <si>
    <t>144169</t>
  </si>
  <si>
    <t>RYZEN 3rd gen. 3641</t>
  </si>
  <si>
    <t>144170</t>
  </si>
  <si>
    <t>144171</t>
  </si>
  <si>
    <t>157 GB DDR4 RAM</t>
  </si>
  <si>
    <t>144172</t>
  </si>
  <si>
    <t>11/09/2022</t>
  </si>
  <si>
    <t>144173</t>
  </si>
  <si>
    <t>12/09/2022</t>
  </si>
  <si>
    <t>144174</t>
  </si>
  <si>
    <t>13/09/2022</t>
  </si>
  <si>
    <t>144175</t>
  </si>
  <si>
    <t>14/09/2022</t>
  </si>
  <si>
    <t>144176</t>
  </si>
  <si>
    <t>15/09/2022</t>
  </si>
  <si>
    <t>144177</t>
  </si>
  <si>
    <t>16/09/2022</t>
  </si>
  <si>
    <t>144178</t>
  </si>
  <si>
    <t>17/09/2022</t>
  </si>
  <si>
    <t>142 TB SSD</t>
  </si>
  <si>
    <t>144179</t>
  </si>
  <si>
    <t>18/09/2022</t>
  </si>
  <si>
    <t>144180</t>
  </si>
  <si>
    <t>19/09/2022</t>
  </si>
  <si>
    <t>144181</t>
  </si>
  <si>
    <t>20/09/2022</t>
  </si>
  <si>
    <t>145 GB DDR4 Ram</t>
  </si>
  <si>
    <t>144182</t>
  </si>
  <si>
    <t>21/09/2022</t>
  </si>
  <si>
    <t>144183</t>
  </si>
  <si>
    <t>22/09/2022</t>
  </si>
  <si>
    <t>144184</t>
  </si>
  <si>
    <t>23/09/2022</t>
  </si>
  <si>
    <t>144185</t>
  </si>
  <si>
    <t>24/09/2022</t>
  </si>
  <si>
    <t>144186</t>
  </si>
  <si>
    <t>25/09/2022</t>
  </si>
  <si>
    <t>144187</t>
  </si>
  <si>
    <t>26/09/2022</t>
  </si>
  <si>
    <t>144188</t>
  </si>
  <si>
    <t>27/09/2022</t>
  </si>
  <si>
    <t>144189</t>
  </si>
  <si>
    <t>28/09/2022</t>
  </si>
  <si>
    <t>144190</t>
  </si>
  <si>
    <t>29/09/2022</t>
  </si>
  <si>
    <t>144191</t>
  </si>
  <si>
    <t>30/09/2022</t>
  </si>
  <si>
    <t>144192</t>
  </si>
  <si>
    <t>01/10/2022</t>
  </si>
  <si>
    <t>398 GB SSD</t>
  </si>
  <si>
    <t>144193</t>
  </si>
  <si>
    <t>02/10/2022</t>
  </si>
  <si>
    <t>144194</t>
  </si>
  <si>
    <t>03/10/2022</t>
  </si>
  <si>
    <t>144195</t>
  </si>
  <si>
    <t>04/10/2022</t>
  </si>
  <si>
    <t>144196</t>
  </si>
  <si>
    <t>05/10/2022</t>
  </si>
  <si>
    <t>144197</t>
  </si>
  <si>
    <t>06/10/2022</t>
  </si>
  <si>
    <t>145 Fans Cabinet</t>
  </si>
  <si>
    <t>144198</t>
  </si>
  <si>
    <t>07/10/2022</t>
  </si>
  <si>
    <t>144199</t>
  </si>
  <si>
    <t>08/10/2022</t>
  </si>
  <si>
    <t>144200</t>
  </si>
  <si>
    <t>09/10/2022</t>
  </si>
  <si>
    <t>144201</t>
  </si>
  <si>
    <t>10/10/2022</t>
  </si>
  <si>
    <t>144 TB HDD</t>
  </si>
  <si>
    <t>144202</t>
  </si>
  <si>
    <t>11/10/2022</t>
  </si>
  <si>
    <t>654 GB M.2</t>
  </si>
  <si>
    <t>144203</t>
  </si>
  <si>
    <t>12/10/2022</t>
  </si>
  <si>
    <t>RYZEN 3rd gen. 3642</t>
  </si>
  <si>
    <t>144204</t>
  </si>
  <si>
    <t>13/10/2022</t>
  </si>
  <si>
    <t>144205</t>
  </si>
  <si>
    <t>14/10/2022</t>
  </si>
  <si>
    <t>158 GB DDR4 RAM</t>
  </si>
  <si>
    <t>144206</t>
  </si>
  <si>
    <t>15/10/2022</t>
  </si>
  <si>
    <t>144207</t>
  </si>
  <si>
    <t>16/10/2022</t>
  </si>
  <si>
    <t>144208</t>
  </si>
  <si>
    <t>17/10/2022</t>
  </si>
  <si>
    <t>144209</t>
  </si>
  <si>
    <t>18/10/2022</t>
  </si>
  <si>
    <t>144210</t>
  </si>
  <si>
    <t>19/10/2022</t>
  </si>
  <si>
    <t>144211</t>
  </si>
  <si>
    <t>20/10/2022</t>
  </si>
  <si>
    <t>144212</t>
  </si>
  <si>
    <t>21/10/2022</t>
  </si>
  <si>
    <t>143 TB SSD</t>
  </si>
  <si>
    <t>144213</t>
  </si>
  <si>
    <t>22/10/2022</t>
  </si>
  <si>
    <t>144214</t>
  </si>
  <si>
    <t>23/10/2022</t>
  </si>
  <si>
    <t>144215</t>
  </si>
  <si>
    <t>24/10/2022</t>
  </si>
  <si>
    <t>146 GB DDR4 Ram</t>
  </si>
  <si>
    <t>144216</t>
  </si>
  <si>
    <t>25/10/2022</t>
  </si>
  <si>
    <t>144217</t>
  </si>
  <si>
    <t>144218</t>
  </si>
  <si>
    <t>144219</t>
  </si>
  <si>
    <t>144220</t>
  </si>
  <si>
    <t>144221</t>
  </si>
  <si>
    <t>144222</t>
  </si>
  <si>
    <t>144223</t>
  </si>
  <si>
    <t>144224</t>
  </si>
  <si>
    <t>26/10/2022</t>
  </si>
  <si>
    <t>144225</t>
  </si>
  <si>
    <t>27/10/2022</t>
  </si>
  <si>
    <t>144226</t>
  </si>
  <si>
    <t>28/10/2022</t>
  </si>
  <si>
    <t>399 GB SSD</t>
  </si>
  <si>
    <t>144227</t>
  </si>
  <si>
    <t>29/10/2022</t>
  </si>
  <si>
    <t>144228</t>
  </si>
  <si>
    <t>30/10/2022</t>
  </si>
  <si>
    <t>144229</t>
  </si>
  <si>
    <t>31/10/2022</t>
  </si>
  <si>
    <t>144230</t>
  </si>
  <si>
    <t>01/11/2022</t>
  </si>
  <si>
    <t>144231</t>
  </si>
  <si>
    <t>02/11/2022</t>
  </si>
  <si>
    <t>146 Fans Cabinet</t>
  </si>
  <si>
    <t>144232</t>
  </si>
  <si>
    <t>03/11/2022</t>
  </si>
  <si>
    <t>144233</t>
  </si>
  <si>
    <t>04/11/2022</t>
  </si>
  <si>
    <t>144234</t>
  </si>
  <si>
    <t>05/11/2022</t>
  </si>
  <si>
    <t>144235</t>
  </si>
  <si>
    <t>145 TB HDD</t>
  </si>
  <si>
    <t>144236</t>
  </si>
  <si>
    <t>655 GB M.2</t>
  </si>
  <si>
    <t>144237</t>
  </si>
  <si>
    <t>RYZEN 3rd gen. 3643</t>
  </si>
  <si>
    <t>144238</t>
  </si>
  <si>
    <t>144239</t>
  </si>
  <si>
    <t>159 GB DDR4 RAM</t>
  </si>
  <si>
    <t>144240</t>
  </si>
  <si>
    <t>144241</t>
  </si>
  <si>
    <t>144242</t>
  </si>
  <si>
    <t>144243</t>
  </si>
  <si>
    <t>144244</t>
  </si>
  <si>
    <t>144245</t>
  </si>
  <si>
    <t>144246</t>
  </si>
  <si>
    <t>144 TB SSD</t>
  </si>
  <si>
    <t>144247</t>
  </si>
  <si>
    <t>144248</t>
  </si>
  <si>
    <t>144249</t>
  </si>
  <si>
    <t>147 GB DDR4 Ram</t>
  </si>
  <si>
    <t>144250</t>
  </si>
  <si>
    <t>144251</t>
  </si>
  <si>
    <t>144252</t>
  </si>
  <si>
    <t>144253</t>
  </si>
  <si>
    <t>144254</t>
  </si>
  <si>
    <t>144255</t>
  </si>
  <si>
    <t>144256</t>
  </si>
  <si>
    <t>144257</t>
  </si>
  <si>
    <t>144258</t>
  </si>
  <si>
    <t>144259</t>
  </si>
  <si>
    <t>144260</t>
  </si>
  <si>
    <t>400 GB SSD</t>
  </si>
  <si>
    <t>144261</t>
  </si>
  <si>
    <t>144262</t>
  </si>
  <si>
    <t>144263</t>
  </si>
  <si>
    <t>144264</t>
  </si>
  <si>
    <t>144265</t>
  </si>
  <si>
    <t>06/11/2022</t>
  </si>
  <si>
    <t>147 Fans Cabinet</t>
  </si>
  <si>
    <t>144266</t>
  </si>
  <si>
    <t>07/11/2022</t>
  </si>
  <si>
    <t>144267</t>
  </si>
  <si>
    <t>08/11/2022</t>
  </si>
  <si>
    <t>144268</t>
  </si>
  <si>
    <t>09/11/2022</t>
  </si>
  <si>
    <t>144269</t>
  </si>
  <si>
    <t>10/11/2022</t>
  </si>
  <si>
    <t>146 TB HDD</t>
  </si>
  <si>
    <t>144270</t>
  </si>
  <si>
    <t>11/11/2022</t>
  </si>
  <si>
    <t>656 GB M.2</t>
  </si>
  <si>
    <t>144271</t>
  </si>
  <si>
    <t>12/11/2022</t>
  </si>
  <si>
    <t>RYZEN 3rd gen. 3644</t>
  </si>
  <si>
    <t>144272</t>
  </si>
  <si>
    <t>13/11/2022</t>
  </si>
  <si>
    <t>144273</t>
  </si>
  <si>
    <t>14/11/2022</t>
  </si>
  <si>
    <t>160 GB DDR4 RAM</t>
  </si>
  <si>
    <t>144274</t>
  </si>
  <si>
    <t>15/11/2022</t>
  </si>
  <si>
    <t>144275</t>
  </si>
  <si>
    <t>16/11/2022</t>
  </si>
  <si>
    <t>144276</t>
  </si>
  <si>
    <t>17/11/2022</t>
  </si>
  <si>
    <t>144277</t>
  </si>
  <si>
    <t>18/11/2022</t>
  </si>
  <si>
    <t>144278</t>
  </si>
  <si>
    <t>19/11/2022</t>
  </si>
  <si>
    <t>144279</t>
  </si>
  <si>
    <t>20/11/2022</t>
  </si>
  <si>
    <t>144280</t>
  </si>
  <si>
    <t>21/11/2022</t>
  </si>
  <si>
    <t>145 TB SSD</t>
  </si>
  <si>
    <t>144281</t>
  </si>
  <si>
    <t>22/11/2022</t>
  </si>
  <si>
    <t>144282</t>
  </si>
  <si>
    <t>144283</t>
  </si>
  <si>
    <t>148 GB DDR4 Ram</t>
  </si>
  <si>
    <t>144284</t>
  </si>
  <si>
    <t>144285</t>
  </si>
  <si>
    <t>144286</t>
  </si>
  <si>
    <t>144287</t>
  </si>
  <si>
    <t>144288</t>
  </si>
  <si>
    <t>144289</t>
  </si>
  <si>
    <t>144290</t>
  </si>
  <si>
    <t>144291</t>
  </si>
  <si>
    <t>144292</t>
  </si>
  <si>
    <t>144293</t>
  </si>
  <si>
    <t>144294</t>
  </si>
  <si>
    <t>401 GB SSD</t>
  </si>
  <si>
    <t>144295</t>
  </si>
  <si>
    <t>144296</t>
  </si>
  <si>
    <t>144297</t>
  </si>
  <si>
    <t>144298</t>
  </si>
  <si>
    <t>144299</t>
  </si>
  <si>
    <t>148 Fans Cabinet</t>
  </si>
  <si>
    <t>144300</t>
  </si>
  <si>
    <t>23/11/2022</t>
  </si>
  <si>
    <t>144301</t>
  </si>
  <si>
    <t>24/11/2022</t>
  </si>
  <si>
    <t>144302</t>
  </si>
  <si>
    <t>25/11/2022</t>
  </si>
  <si>
    <t>144303</t>
  </si>
  <si>
    <t>26/11/2022</t>
  </si>
  <si>
    <t>147 TB HDD</t>
  </si>
  <si>
    <t>144304</t>
  </si>
  <si>
    <t>27/11/2022</t>
  </si>
  <si>
    <t>657 GB M.2</t>
  </si>
  <si>
    <t>144305</t>
  </si>
  <si>
    <t>28/11/2022</t>
  </si>
  <si>
    <t>RYZEN 3rd gen. 3645</t>
  </si>
  <si>
    <t>144306</t>
  </si>
  <si>
    <t>29/11/2022</t>
  </si>
  <si>
    <t>144307</t>
  </si>
  <si>
    <t>30/11/2022</t>
  </si>
  <si>
    <t>161 GB DDR4 RAM</t>
  </si>
  <si>
    <t>144308</t>
  </si>
  <si>
    <t>01/12/2022</t>
  </si>
  <si>
    <t>144309</t>
  </si>
  <si>
    <t>02/12/2022</t>
  </si>
  <si>
    <t>144310</t>
  </si>
  <si>
    <t>03/12/2022</t>
  </si>
  <si>
    <t>144311</t>
  </si>
  <si>
    <t>04/12/2022</t>
  </si>
  <si>
    <t>144312</t>
  </si>
  <si>
    <t>05/12/2022</t>
  </si>
  <si>
    <t>144313</t>
  </si>
  <si>
    <t>06/12/2022</t>
  </si>
  <si>
    <t>144314</t>
  </si>
  <si>
    <t>07/12/2022</t>
  </si>
  <si>
    <t>146 TB SSD</t>
  </si>
  <si>
    <t>144315</t>
  </si>
  <si>
    <t>08/12/2022</t>
  </si>
  <si>
    <t>144316</t>
  </si>
  <si>
    <t>09/12/2022</t>
  </si>
  <si>
    <t>144317</t>
  </si>
  <si>
    <t>10/12/2022</t>
  </si>
  <si>
    <t>149 GB DDR4 Ram</t>
  </si>
  <si>
    <t>144318</t>
  </si>
  <si>
    <t>144319</t>
  </si>
  <si>
    <t>144320</t>
  </si>
  <si>
    <t>144321</t>
  </si>
  <si>
    <t>144322</t>
  </si>
  <si>
    <t>144323</t>
  </si>
  <si>
    <t>144324</t>
  </si>
  <si>
    <t>11/12/2022</t>
  </si>
  <si>
    <t>144325</t>
  </si>
  <si>
    <t>12/12/2022</t>
  </si>
  <si>
    <t>144326</t>
  </si>
  <si>
    <t>13/12/2022</t>
  </si>
  <si>
    <t>144327</t>
  </si>
  <si>
    <t>14/12/2022</t>
  </si>
  <si>
    <t>144328</t>
  </si>
  <si>
    <t>15/12/2022</t>
  </si>
  <si>
    <t>402 GB SSD</t>
  </si>
  <si>
    <t>144329</t>
  </si>
  <si>
    <t>16/12/2022</t>
  </si>
  <si>
    <t>144330</t>
  </si>
  <si>
    <t>17/12/2022</t>
  </si>
  <si>
    <t>144331</t>
  </si>
  <si>
    <t>144332</t>
  </si>
  <si>
    <t>144333</t>
  </si>
  <si>
    <t>149 Fans Cabinet</t>
  </si>
  <si>
    <t>144334</t>
  </si>
  <si>
    <t>144335</t>
  </si>
  <si>
    <t>144336</t>
  </si>
  <si>
    <t>144337</t>
  </si>
  <si>
    <t>148 TB HDD</t>
  </si>
  <si>
    <t>144338</t>
  </si>
  <si>
    <t>658 GB M.2</t>
  </si>
  <si>
    <t>144339</t>
  </si>
  <si>
    <t>RYZEN 3rd gen. 3646</t>
  </si>
  <si>
    <t>144340</t>
  </si>
  <si>
    <t>144341</t>
  </si>
  <si>
    <t>162 GB DDR4 RAM</t>
  </si>
  <si>
    <t>144342</t>
  </si>
  <si>
    <t>144343</t>
  </si>
  <si>
    <t>18/12/2022</t>
  </si>
  <si>
    <t>144344</t>
  </si>
  <si>
    <t>19/12/2022</t>
  </si>
  <si>
    <t>144345</t>
  </si>
  <si>
    <t>20/12/2022</t>
  </si>
  <si>
    <t>144346</t>
  </si>
  <si>
    <t>21/12/2022</t>
  </si>
  <si>
    <t>144347</t>
  </si>
  <si>
    <t>22/12/2022</t>
  </si>
  <si>
    <t>144348</t>
  </si>
  <si>
    <t>147 TB SSD</t>
  </si>
  <si>
    <t>144349</t>
  </si>
  <si>
    <t>144350</t>
  </si>
  <si>
    <t>144351</t>
  </si>
  <si>
    <t>150 GB DDR4 Ram</t>
  </si>
  <si>
    <t>144352</t>
  </si>
  <si>
    <t>144353</t>
  </si>
  <si>
    <t>144354</t>
  </si>
  <si>
    <t>144355</t>
  </si>
  <si>
    <t>144356</t>
  </si>
  <si>
    <t>144357</t>
  </si>
  <si>
    <t>144358</t>
  </si>
  <si>
    <t>144359</t>
  </si>
  <si>
    <t>144360</t>
  </si>
  <si>
    <t>144361</t>
  </si>
  <si>
    <t>144362</t>
  </si>
  <si>
    <t>403 GB SSD</t>
  </si>
  <si>
    <t>144363</t>
  </si>
  <si>
    <t>144364</t>
  </si>
  <si>
    <t>144365</t>
  </si>
  <si>
    <t>144366</t>
  </si>
  <si>
    <t>144367</t>
  </si>
  <si>
    <t>23/12/2022</t>
  </si>
  <si>
    <t>150 Fans Cabinet</t>
  </si>
  <si>
    <t>144368</t>
  </si>
  <si>
    <t>24/12/2022</t>
  </si>
  <si>
    <t>144369</t>
  </si>
  <si>
    <t>25/12/2022</t>
  </si>
  <si>
    <t>144370</t>
  </si>
  <si>
    <t>26/12/2022</t>
  </si>
  <si>
    <t>144371</t>
  </si>
  <si>
    <t>27/12/2022</t>
  </si>
  <si>
    <t>149 TB HDD</t>
  </si>
  <si>
    <t>144372</t>
  </si>
  <si>
    <t>659 GB M.2</t>
  </si>
  <si>
    <t>144373</t>
  </si>
  <si>
    <t>RYZEN 3rd gen. 3647</t>
  </si>
  <si>
    <t>144374</t>
  </si>
  <si>
    <t>144375</t>
  </si>
  <si>
    <t>163 GB DDR4 RAM</t>
  </si>
  <si>
    <t>144376</t>
  </si>
  <si>
    <t>144377</t>
  </si>
  <si>
    <t>144378</t>
  </si>
  <si>
    <t>144379</t>
  </si>
  <si>
    <t>144380</t>
  </si>
  <si>
    <t>144381</t>
  </si>
  <si>
    <t>144382</t>
  </si>
  <si>
    <t>148 TB SSD</t>
  </si>
  <si>
    <t>144383</t>
  </si>
  <si>
    <t>144384</t>
  </si>
  <si>
    <t>144385</t>
  </si>
  <si>
    <t>151 GB DDR4 Ram</t>
  </si>
  <si>
    <t>144386</t>
  </si>
  <si>
    <t>144387</t>
  </si>
  <si>
    <t>144388</t>
  </si>
  <si>
    <t>144389</t>
  </si>
  <si>
    <t>144390</t>
  </si>
  <si>
    <t>144391</t>
  </si>
  <si>
    <t>144392</t>
  </si>
  <si>
    <t>144393</t>
  </si>
  <si>
    <t>28/12/2022</t>
  </si>
  <si>
    <t>144394</t>
  </si>
  <si>
    <t>29/12/2022</t>
  </si>
  <si>
    <t>144395</t>
  </si>
  <si>
    <t>30/12/2022</t>
  </si>
  <si>
    <t>144396</t>
  </si>
  <si>
    <t>31/12/2022</t>
  </si>
  <si>
    <t>404 GB SSD</t>
  </si>
  <si>
    <t>144397</t>
  </si>
  <si>
    <t>144398</t>
  </si>
  <si>
    <t>144399</t>
  </si>
  <si>
    <t>144400</t>
  </si>
  <si>
    <t>144401</t>
  </si>
  <si>
    <t>151 Fans Cabinet</t>
  </si>
  <si>
    <t>144402</t>
  </si>
  <si>
    <t>144403</t>
  </si>
  <si>
    <t>144404</t>
  </si>
  <si>
    <t>144405</t>
  </si>
  <si>
    <t>150 TB HDD</t>
  </si>
  <si>
    <t>144406</t>
  </si>
  <si>
    <t>660 GB M.2</t>
  </si>
  <si>
    <t>144407</t>
  </si>
  <si>
    <t>RYZEN 3rd gen. 3648</t>
  </si>
  <si>
    <t>144408</t>
  </si>
  <si>
    <t>144409</t>
  </si>
  <si>
    <t>164 GB DDR4 RAM</t>
  </si>
  <si>
    <t>144410</t>
  </si>
  <si>
    <t>144411</t>
  </si>
  <si>
    <t>144412</t>
  </si>
  <si>
    <t>144413</t>
  </si>
  <si>
    <t>144414</t>
  </si>
  <si>
    <t>144415</t>
  </si>
  <si>
    <t>144416</t>
  </si>
  <si>
    <t>149 TB SSD</t>
  </si>
  <si>
    <t>144417</t>
  </si>
  <si>
    <t>144418</t>
  </si>
  <si>
    <t>144419</t>
  </si>
  <si>
    <t>152 GB DDR4 Ram</t>
  </si>
  <si>
    <t>144420</t>
  </si>
  <si>
    <t>144421</t>
  </si>
  <si>
    <t>144422</t>
  </si>
  <si>
    <t>144423</t>
  </si>
  <si>
    <t>144424</t>
  </si>
  <si>
    <t>144425</t>
  </si>
  <si>
    <t>144426</t>
  </si>
  <si>
    <t>144427</t>
  </si>
  <si>
    <t>144428</t>
  </si>
  <si>
    <t>144429</t>
  </si>
  <si>
    <t>144430</t>
  </si>
  <si>
    <t>405 GB SSD</t>
  </si>
  <si>
    <t>144431</t>
  </si>
  <si>
    <t>144432</t>
  </si>
  <si>
    <t>144433</t>
  </si>
  <si>
    <t>144434</t>
  </si>
  <si>
    <t>144435</t>
  </si>
  <si>
    <t>152 Fans Cabinet</t>
  </si>
  <si>
    <t>144436</t>
  </si>
  <si>
    <t>144437</t>
  </si>
  <si>
    <t>144438</t>
  </si>
  <si>
    <t>144439</t>
  </si>
  <si>
    <t>151 TB HDD</t>
  </si>
  <si>
    <t>144440</t>
  </si>
  <si>
    <t>661 GB M.2</t>
  </si>
  <si>
    <t>144441</t>
  </si>
  <si>
    <t>RYZEN 3rd gen. 3649</t>
  </si>
  <si>
    <t>144442</t>
  </si>
  <si>
    <t>144443</t>
  </si>
  <si>
    <t>165 GB DDR4 RAM</t>
  </si>
  <si>
    <t>144444</t>
  </si>
  <si>
    <t>144445</t>
  </si>
  <si>
    <t>144446</t>
  </si>
  <si>
    <t>144447</t>
  </si>
  <si>
    <t>144448</t>
  </si>
  <si>
    <t>144449</t>
  </si>
  <si>
    <t>144450</t>
  </si>
  <si>
    <t>150 TB SSD</t>
  </si>
  <si>
    <t>144451</t>
  </si>
  <si>
    <t>144452</t>
  </si>
  <si>
    <t>144453</t>
  </si>
  <si>
    <t>153 GB DDR4 Ram</t>
  </si>
  <si>
    <t>144454</t>
  </si>
  <si>
    <t>144455</t>
  </si>
  <si>
    <t>144456</t>
  </si>
  <si>
    <t>144457</t>
  </si>
  <si>
    <t>144458</t>
  </si>
  <si>
    <t>144459</t>
  </si>
  <si>
    <t>144460</t>
  </si>
  <si>
    <t>144461</t>
  </si>
  <si>
    <t>144462</t>
  </si>
  <si>
    <t>144463</t>
  </si>
  <si>
    <t>144464</t>
  </si>
  <si>
    <t>406 GB SSD</t>
  </si>
  <si>
    <t>144465</t>
  </si>
  <si>
    <t>144466</t>
  </si>
  <si>
    <t>144467</t>
  </si>
  <si>
    <t>144468</t>
  </si>
  <si>
    <t xml:space="preserve">empid </t>
  </si>
  <si>
    <t xml:space="preserve">name </t>
  </si>
  <si>
    <t xml:space="preserve">emp id </t>
  </si>
  <si>
    <t xml:space="preserve">rohit </t>
  </si>
  <si>
    <t xml:space="preserve">mohit </t>
  </si>
  <si>
    <t xml:space="preserve">vishal </t>
  </si>
  <si>
    <t>vkooup</t>
  </si>
  <si>
    <t>Row Labels</t>
  </si>
  <si>
    <t>Grand Total</t>
  </si>
  <si>
    <t>Sum of Total_Sales</t>
  </si>
  <si>
    <t xml:space="preserve">sum if function </t>
  </si>
  <si>
    <t xml:space="preserve">status deleivered </t>
  </si>
  <si>
    <t>sum if s</t>
  </si>
  <si>
    <t>sumif</t>
  </si>
  <si>
    <t xml:space="preserve">sumif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</si>
</sst>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6">
    <dxf>
      <fill>
        <patternFill>
          <bgColor theme="7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8.853769907408" createdVersion="8" refreshedVersion="8" minRefreshableVersion="3" recordCount="5095" xr:uid="{856D372A-E444-443C-AFEC-BA4FD9BF115E}">
  <cacheSource type="worksheet">
    <worksheetSource name="Online_eCommerce"/>
  </cacheSource>
  <cacheFields count="15">
    <cacheField name="Order_Number" numFmtId="0">
      <sharedItems/>
    </cacheField>
    <cacheField name="State_Code" numFmtId="0">
      <sharedItems count="35">
        <s v="AP"/>
        <s v="AS"/>
        <s v="BR"/>
        <s v="CG"/>
        <s v="JK"/>
        <s v="JH"/>
        <s v="KA"/>
        <s v="KL"/>
        <s v="MN"/>
        <s v="ML"/>
        <s v="MZ"/>
        <s v="NL"/>
        <s v="OR"/>
        <s v="PB"/>
        <s v="RJ"/>
        <s v="SK"/>
        <s v="TN"/>
        <s v="TR"/>
        <s v="UK"/>
        <s v="UP"/>
        <s v="WB"/>
        <s v="AN"/>
        <s v="CH"/>
        <s v="AR"/>
        <s v="GA"/>
        <s v="GJ"/>
        <s v="MP"/>
        <s v="MH"/>
        <s v="DH"/>
        <s v="DD"/>
        <s v="DL"/>
        <s v="LD"/>
        <s v="PY"/>
        <s v="HR"/>
        <s v="HP"/>
      </sharedItems>
    </cacheField>
    <cacheField name="Customer_Name" numFmtId="0">
      <sharedItems/>
    </cacheField>
    <cacheField name="Order_Date" numFmtId="0">
      <sharedItems/>
    </cacheField>
    <cacheField name="Status" numFmtId="0">
      <sharedItems/>
    </cacheField>
    <cacheField name="Product" numFmtId="0">
      <sharedItems/>
    </cacheField>
    <cacheField name="Category" numFmtId="0">
      <sharedItems/>
    </cacheField>
    <cacheField name="Brand" numFmtId="0">
      <sharedItems count="11">
        <s v="Samsung"/>
        <s v="Intel"/>
        <s v="Nvidia"/>
        <s v="Hynix"/>
        <s v="Gigabyte"/>
        <s v="Asus"/>
        <s v="Dell"/>
        <s v="Seagate"/>
        <s v="MSI"/>
        <s v="Acer"/>
        <s v="Western Digital"/>
      </sharedItems>
    </cacheField>
    <cacheField name="Cost" numFmtId="0">
      <sharedItems containsSemiMixedTypes="0" containsString="0" containsNumber="1" containsInteger="1" minValue="350" maxValue="14500"/>
    </cacheField>
    <cacheField name="Sales" numFmtId="0">
      <sharedItems containsSemiMixedTypes="0" containsString="0" containsNumber="1" containsInteger="1" minValue="455" maxValue="18850"/>
    </cacheField>
    <cacheField name="Quantity" numFmtId="0">
      <sharedItems containsSemiMixedTypes="0" containsString="0" containsNumber="1" containsInteger="1" minValue="1" maxValue="4"/>
    </cacheField>
    <cacheField name="Total_Cost" numFmtId="0">
      <sharedItems containsSemiMixedTypes="0" containsString="0" containsNumber="1" containsInteger="1" minValue="350" maxValue="58000"/>
    </cacheField>
    <cacheField name="Total_Sales" numFmtId="0">
      <sharedItems containsSemiMixedTypes="0" containsString="0" containsNumber="1" containsInteger="1" minValue="455" maxValue="75400"/>
    </cacheField>
    <cacheField name="Assigned Supervisor" numFmtId="0">
      <sharedItems/>
    </cacheField>
    <cacheField name="vkooup" numFmtId="0">
      <sharedItems containsSemiMixedTypes="0" containsString="0" containsNumber="1" containsInteger="1" minValue="1690" maxValue="39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8.854472106483" createdVersion="8" refreshedVersion="8" minRefreshableVersion="3" recordCount="5095" xr:uid="{984C8ADD-F8B9-4C0F-8DF9-E7117A88E619}">
  <cacheSource type="worksheet">
    <worksheetSource ref="A2:O1048576" sheet="Online-eCommerce"/>
  </cacheSource>
  <cacheFields count="15">
    <cacheField name="139374" numFmtId="0">
      <sharedItems containsBlank="1"/>
    </cacheField>
    <cacheField name="AP" numFmtId="0">
      <sharedItems containsBlank="1"/>
    </cacheField>
    <cacheField name="Adhir Samal" numFmtId="0">
      <sharedItems containsBlank="1"/>
    </cacheField>
    <cacheField name="11/01/2020" numFmtId="0">
      <sharedItems containsBlank="1"/>
    </cacheField>
    <cacheField name="Delivered" numFmtId="0">
      <sharedItems containsBlank="1"/>
    </cacheField>
    <cacheField name="512 GB M.2" numFmtId="0">
      <sharedItems containsBlank="1"/>
    </cacheField>
    <cacheField name="SSD" numFmtId="0">
      <sharedItems containsBlank="1"/>
    </cacheField>
    <cacheField name="Samsung" numFmtId="0">
      <sharedItems containsBlank="1"/>
    </cacheField>
    <cacheField name="6500" numFmtId="0">
      <sharedItems containsString="0" containsBlank="1" containsNumber="1" containsInteger="1" minValue="350" maxValue="14500"/>
    </cacheField>
    <cacheField name="8450" numFmtId="0">
      <sharedItems containsString="0" containsBlank="1" containsNumber="1" containsInteger="1" minValue="455" maxValue="18850"/>
    </cacheField>
    <cacheField name="1" numFmtId="0">
      <sharedItems containsString="0" containsBlank="1" containsNumber="1" containsInteger="1" minValue="1" maxValue="4"/>
    </cacheField>
    <cacheField name="65002" numFmtId="0">
      <sharedItems containsString="0" containsBlank="1" containsNumber="1" containsInteger="1" minValue="350" maxValue="58000"/>
    </cacheField>
    <cacheField name="84502" numFmtId="0">
      <sharedItems containsString="0" containsBlank="1" containsNumber="1" containsInteger="1" minValue="455" maxValue="75400"/>
    </cacheField>
    <cacheField name="Ajay Sharma" numFmtId="0">
      <sharedItems containsBlank="1"/>
    </cacheField>
    <cacheField name="84503" numFmtId="0">
      <sharedItems containsString="0" containsBlank="1" containsNumber="1" containsInteger="1" minValue="1690" maxValue="39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5">
  <r>
    <s v="139374"/>
    <x v="0"/>
    <s v="Adhir Samal"/>
    <s v="11/01/2020"/>
    <s v="Delivered"/>
    <s v="512 GB M.2"/>
    <s v="SSD"/>
    <x v="0"/>
    <n v="6500"/>
    <n v="8450"/>
    <n v="1"/>
    <n v="6500"/>
    <n v="8450"/>
    <s v="Ajay Sharma"/>
    <n v="8450"/>
  </r>
  <r>
    <s v="139375"/>
    <x v="0"/>
    <s v="Dannana Jhammi"/>
    <s v="11/01/2020"/>
    <s v="Delivered"/>
    <s v="RYZEN 3rd gen. 3500 "/>
    <s v="CPU"/>
    <x v="1"/>
    <n v="8500"/>
    <n v="11050"/>
    <n v="3"/>
    <n v="25500"/>
    <n v="33150"/>
    <s v="Roshan Kumar"/>
    <n v="33150"/>
  </r>
  <r>
    <s v="139376"/>
    <x v="1"/>
    <s v="Vipin Kumar"/>
    <s v="11/01/2020"/>
    <s v="Delivered"/>
    <s v="2GB Graphic Card"/>
    <s v="Graphic Card"/>
    <x v="2"/>
    <n v="7000"/>
    <n v="9100"/>
    <n v="2"/>
    <n v="14000"/>
    <n v="18200"/>
    <s v="Aarvi Gupta"/>
    <n v="18200"/>
  </r>
  <r>
    <s v="139377"/>
    <x v="2"/>
    <s v="Ranjeet Kumar"/>
    <s v="11/01/2020"/>
    <s v="Delivered"/>
    <s v="16 GB DDR4 RAM"/>
    <s v="RAM"/>
    <x v="3"/>
    <n v="6550"/>
    <n v="8515"/>
    <n v="3"/>
    <n v="19650"/>
    <n v="25545"/>
    <s v="Vijay Singh"/>
    <n v="25545"/>
  </r>
  <r>
    <s v="139378"/>
    <x v="3"/>
    <s v="Sajal Singhal"/>
    <s v="11/01/2020"/>
    <s v="Order"/>
    <s v="Standard ATX motherboard"/>
    <s v="MotherBoard"/>
    <x v="4"/>
    <n v="7650"/>
    <n v="9945"/>
    <n v="4"/>
    <n v="30600"/>
    <n v="39780"/>
    <s v="Aadil Khan"/>
    <n v="39780"/>
  </r>
  <r>
    <s v="139379"/>
    <x v="3"/>
    <s v="Akhilesh Kumar"/>
    <s v="11/01/2020"/>
    <s v="Order"/>
    <s v="Compact with 1 Fan"/>
    <s v="Cabinet"/>
    <x v="5"/>
    <n v="1150"/>
    <n v="1495"/>
    <n v="2"/>
    <n v="2300"/>
    <n v="2990"/>
    <s v="Advika Joshi"/>
    <n v="2990"/>
  </r>
  <r>
    <s v="139380"/>
    <x v="3"/>
    <s v="Suvankar Chakraborty"/>
    <s v="11/01/2020"/>
    <s v="Order"/>
    <s v="USB Backlight Keyboard"/>
    <s v="Keyboard"/>
    <x v="6"/>
    <n v="850"/>
    <n v="1105"/>
    <n v="3"/>
    <n v="2550"/>
    <n v="3315"/>
    <s v="Ajay Sharma"/>
    <n v="3315"/>
  </r>
  <r>
    <s v="139381"/>
    <x v="3"/>
    <s v="Suvankar Adhikary"/>
    <s v="12/01/2020"/>
    <s v="Order"/>
    <s v="Ergonomic Mouse"/>
    <s v="Mouse"/>
    <x v="0"/>
    <n v="650"/>
    <n v="845"/>
    <n v="2"/>
    <n v="1300"/>
    <n v="1690"/>
    <s v="Ajay Sharma"/>
    <n v="1690"/>
  </r>
  <r>
    <s v="139382"/>
    <x v="3"/>
    <s v="Rahul Kumar Prajapati"/>
    <s v="13/01/2020"/>
    <s v="Order"/>
    <s v="15&quot; LCD Dsipaly"/>
    <s v="Monitor"/>
    <x v="6"/>
    <n v="7500"/>
    <n v="9750"/>
    <n v="1"/>
    <n v="7500"/>
    <n v="9750"/>
    <s v="Roshan Kumar"/>
    <n v="9750"/>
  </r>
  <r>
    <s v="139383"/>
    <x v="4"/>
    <s v="Sagar Jeur"/>
    <s v="14/01/2020"/>
    <s v="Order"/>
    <s v="2 TB HDD"/>
    <s v="HDD"/>
    <x v="7"/>
    <n v="10000"/>
    <n v="13000"/>
    <n v="3"/>
    <n v="30000"/>
    <n v="39000"/>
    <s v="Aarvi Gupta"/>
    <n v="39000"/>
  </r>
  <r>
    <s v="139384"/>
    <x v="5"/>
    <s v="Rhushikesh Mane"/>
    <s v="15/01/2020"/>
    <s v="Order"/>
    <s v="1 TB SSD"/>
    <s v="SSD"/>
    <x v="0"/>
    <n v="10500"/>
    <n v="13650"/>
    <n v="1"/>
    <n v="10500"/>
    <n v="13650"/>
    <s v="Aadil Khan"/>
    <n v="8450"/>
  </r>
  <r>
    <s v="139385"/>
    <x v="6"/>
    <s v="Ashish Kumar"/>
    <s v="16/01/2020"/>
    <s v="Order"/>
    <s v="Intel i5 12th gen."/>
    <s v="CPU"/>
    <x v="1"/>
    <n v="8500"/>
    <n v="11050"/>
    <n v="4"/>
    <n v="34000"/>
    <n v="44200"/>
    <s v="Advika Joshi"/>
    <n v="33150"/>
  </r>
  <r>
    <s v="139386"/>
    <x v="7"/>
    <s v="Javed Akhter"/>
    <s v="17/01/2020"/>
    <s v="Order"/>
    <s v="2GB Graphic Card"/>
    <s v="Graphic Card"/>
    <x v="2"/>
    <n v="7000"/>
    <n v="9100"/>
    <n v="2"/>
    <n v="14000"/>
    <n v="18200"/>
    <s v="Ajay Sharma"/>
    <n v="18200"/>
  </r>
  <r>
    <s v="139387"/>
    <x v="7"/>
    <s v="Haridas Balraj"/>
    <s v="18/01/2020"/>
    <s v="Processing"/>
    <s v="4 GB DDR4 Ram"/>
    <s v="RAM"/>
    <x v="3"/>
    <n v="1680"/>
    <n v="2184"/>
    <n v="1"/>
    <n v="1680"/>
    <n v="2184"/>
    <s v="Ajay Sharma"/>
    <n v="25545"/>
  </r>
  <r>
    <s v="139388"/>
    <x v="7"/>
    <s v="Kundan Kumar"/>
    <s v="19/01/2020"/>
    <s v="Processing"/>
    <s v="Micro ATX motherboard"/>
    <s v="MotherBoard"/>
    <x v="8"/>
    <n v="6540"/>
    <n v="8502"/>
    <n v="2"/>
    <n v="13080"/>
    <n v="17004"/>
    <s v="Roshan Kumar"/>
    <n v="39780"/>
  </r>
  <r>
    <s v="139389"/>
    <x v="8"/>
    <s v="Atif Siddiqui"/>
    <s v="20/01/2020"/>
    <s v="Processing"/>
    <s v="Gaming Box Cabinet"/>
    <s v="Cabinet"/>
    <x v="5"/>
    <n v="2680"/>
    <n v="3484"/>
    <n v="1"/>
    <n v="2680"/>
    <n v="3484"/>
    <s v="Aarvi Gupta"/>
    <n v="2990"/>
  </r>
  <r>
    <s v="139390"/>
    <x v="9"/>
    <s v="Aditya Agarwal"/>
    <s v="21/01/2020"/>
    <s v="Processing"/>
    <s v="17&quot; LCD Display"/>
    <s v="Monitor"/>
    <x v="0"/>
    <n v="8250"/>
    <n v="10725"/>
    <n v="2"/>
    <n v="16500"/>
    <n v="21450"/>
    <s v="Vijay Singh"/>
    <n v="9750"/>
  </r>
  <r>
    <s v="139391"/>
    <x v="10"/>
    <s v="Firdoush Jabee"/>
    <s v="22/01/2020"/>
    <s v="Processing"/>
    <s v="8 GB DDR4 RAM"/>
    <s v="RAM"/>
    <x v="0"/>
    <n v="2650"/>
    <n v="3445"/>
    <n v="4"/>
    <n v="10600"/>
    <n v="13780"/>
    <s v="Aadil Khan"/>
    <n v="25545"/>
  </r>
  <r>
    <s v="139392"/>
    <x v="11"/>
    <s v="Jay Prakash Kumar"/>
    <s v="22/01/2020"/>
    <s v="Processing"/>
    <s v="26&quot; LCD Display"/>
    <s v="Monitor"/>
    <x v="9"/>
    <n v="12550"/>
    <n v="16315"/>
    <n v="2"/>
    <n v="25100"/>
    <n v="32630"/>
    <s v="Advika Joshi"/>
    <n v="9750"/>
  </r>
  <r>
    <s v="139393"/>
    <x v="12"/>
    <s v="Ashish Pandey"/>
    <s v="22/01/2020"/>
    <s v="Processing"/>
    <s v="I7 - intel 12th Generation"/>
    <s v="CPU"/>
    <x v="1"/>
    <n v="14500"/>
    <n v="18850"/>
    <n v="2"/>
    <n v="29000"/>
    <n v="37700"/>
    <s v="Ajay Sharma"/>
    <n v="33150"/>
  </r>
  <r>
    <s v="139394"/>
    <x v="13"/>
    <s v="Ajay Sharma"/>
    <s v="22/01/2020"/>
    <s v="Processing"/>
    <s v="USB Keyboard"/>
    <s v="Keyboard"/>
    <x v="6"/>
    <n v="800"/>
    <n v="1040"/>
    <n v="1"/>
    <n v="800"/>
    <n v="1040"/>
    <s v="Roshan Kumar"/>
    <n v="3315"/>
  </r>
  <r>
    <s v="139395"/>
    <x v="14"/>
    <s v="Moinuddin Saifi"/>
    <s v="22/01/2020"/>
    <s v="Processing"/>
    <s v="Wireless Mouse"/>
    <s v="Mouse"/>
    <x v="0"/>
    <n v="600"/>
    <n v="780"/>
    <n v="3"/>
    <n v="1800"/>
    <n v="2340"/>
    <s v="Aarvi Gupta"/>
    <n v="1690"/>
  </r>
  <r>
    <s v="139396"/>
    <x v="15"/>
    <s v="Ramkrishna Das Adhikary"/>
    <s v="22/01/2020"/>
    <s v="Processing"/>
    <s v="21&quot; LCD Display"/>
    <s v="Monitor"/>
    <x v="6"/>
    <n v="10500"/>
    <n v="13650"/>
    <n v="4"/>
    <n v="42000"/>
    <n v="54600"/>
    <s v="Vijay Singh"/>
    <n v="9750"/>
  </r>
  <r>
    <s v="139397"/>
    <x v="16"/>
    <s v="Ranjeet Mandal"/>
    <s v="23/01/2020"/>
    <s v="Processing"/>
    <s v="2 TB HDD"/>
    <s v="HDD"/>
    <x v="10"/>
    <n v="6500"/>
    <n v="8450"/>
    <n v="1"/>
    <n v="6500"/>
    <n v="8450"/>
    <s v="Aadil Khan"/>
    <n v="39000"/>
  </r>
  <r>
    <s v="139398"/>
    <x v="17"/>
    <s v="Ashwini Adsare"/>
    <s v="24/01/2020"/>
    <s v="Processing"/>
    <s v="257 GB SSD"/>
    <s v="SSD"/>
    <x v="0"/>
    <n v="4500"/>
    <n v="5850"/>
    <n v="4"/>
    <n v="18000"/>
    <n v="23400"/>
    <s v="Ajay Sharma"/>
    <n v="8450"/>
  </r>
  <r>
    <s v="139399"/>
    <x v="18"/>
    <s v="Rajesh Variya"/>
    <s v="25/01/2020"/>
    <s v="Processing"/>
    <s v="Intel i3 11th gen."/>
    <s v="CPU"/>
    <x v="1"/>
    <n v="8500"/>
    <n v="11050"/>
    <n v="2"/>
    <n v="17000"/>
    <n v="22100"/>
    <s v="Roshan Kumar"/>
    <n v="33150"/>
  </r>
  <r>
    <s v="139400"/>
    <x v="19"/>
    <s v="Amit Singh"/>
    <s v="26/01/2020"/>
    <s v="Processing"/>
    <s v="4GB Graphic card"/>
    <s v="Graphic Card"/>
    <x v="2"/>
    <n v="12500"/>
    <n v="16250"/>
    <n v="2"/>
    <n v="25000"/>
    <n v="32500"/>
    <s v="Aarvi Gupta"/>
    <n v="18200"/>
  </r>
  <r>
    <s v="139401"/>
    <x v="20"/>
    <s v="Vinod Mehta"/>
    <s v="26/01/2020"/>
    <s v="Shipped"/>
    <s v="9 GB DDR4 RAM"/>
    <s v="Computer Case"/>
    <x v="3"/>
    <n v="3500"/>
    <n v="4550"/>
    <n v="3"/>
    <n v="10500"/>
    <n v="13650"/>
    <s v="Vijay Singh"/>
    <n v="13650"/>
  </r>
  <r>
    <s v="139402"/>
    <x v="16"/>
    <s v="Jignesh Mhatre"/>
    <s v="26/01/2020"/>
    <s v="Order"/>
    <s v="BTX motherboard"/>
    <s v="Mouse"/>
    <x v="4"/>
    <n v="4500"/>
    <n v="5850"/>
    <n v="4"/>
    <n v="18000"/>
    <n v="23400"/>
    <s v="Aadil Khan"/>
    <n v="1690"/>
  </r>
  <r>
    <s v="139403"/>
    <x v="17"/>
    <s v="Rahul Kashyap"/>
    <s v="26/01/2020"/>
    <s v="Order"/>
    <s v="4 Fans Cabinet"/>
    <s v="Cabinet"/>
    <x v="5"/>
    <n v="2100"/>
    <n v="2730"/>
    <n v="3"/>
    <n v="6300"/>
    <n v="8190"/>
    <s v="Advika Joshi"/>
    <n v="2990"/>
  </r>
  <r>
    <s v="139404"/>
    <x v="21"/>
    <s v="Mohammed Abdul Kaleem"/>
    <s v="27/01/2020"/>
    <s v="Order"/>
    <s v="Wireless Keyboard"/>
    <s v="Keyboard"/>
    <x v="6"/>
    <n v="1150"/>
    <n v="1495"/>
    <n v="3"/>
    <n v="3450"/>
    <n v="4485"/>
    <s v="Ajay Sharma"/>
    <n v="3315"/>
  </r>
  <r>
    <s v="139405"/>
    <x v="22"/>
    <s v="Chandrakant Kasbe"/>
    <s v="28/01/2020"/>
    <s v="Order"/>
    <s v="USB Mouse"/>
    <s v="Mouse"/>
    <x v="0"/>
    <n v="350"/>
    <n v="455"/>
    <n v="1"/>
    <n v="350"/>
    <n v="455"/>
    <s v="Roshan Kumar"/>
    <n v="1690"/>
  </r>
  <r>
    <s v="139406"/>
    <x v="22"/>
    <s v="Rohan Kale"/>
    <s v="29/01/2020"/>
    <s v="Order"/>
    <s v="19&quot; LED Display"/>
    <s v="Monitor"/>
    <x v="6"/>
    <n v="9500"/>
    <n v="12350"/>
    <n v="3"/>
    <n v="28500"/>
    <n v="37050"/>
    <s v="Aarvi Gupta"/>
    <n v="9750"/>
  </r>
  <r>
    <s v="139407"/>
    <x v="22"/>
    <s v="Aniruddha Kekapure"/>
    <s v="30/01/2020"/>
    <s v="Processing"/>
    <s v="3 TB HDD"/>
    <s v="HDD"/>
    <x v="10"/>
    <n v="10000"/>
    <n v="13000"/>
    <n v="1"/>
    <n v="10000"/>
    <n v="13000"/>
    <s v="Vijay Singh"/>
    <n v="39000"/>
  </r>
  <r>
    <s v="139408"/>
    <x v="22"/>
    <s v="Aslam Raza"/>
    <s v="31/01/2020"/>
    <s v="Delivered"/>
    <s v="513 GB M.2"/>
    <s v="SSD"/>
    <x v="0"/>
    <n v="6500"/>
    <n v="8450"/>
    <n v="3"/>
    <n v="19500"/>
    <n v="25350"/>
    <s v="Aadil Khan"/>
    <n v="8450"/>
  </r>
  <r>
    <s v="139409"/>
    <x v="22"/>
    <s v="Roshan Zameer"/>
    <s v="01/02/2020"/>
    <s v="Shipped"/>
    <s v="RYZEN 3rd gen. 3501"/>
    <s v="CPU"/>
    <x v="1"/>
    <n v="8500"/>
    <n v="11050"/>
    <n v="4"/>
    <n v="34000"/>
    <n v="44200"/>
    <s v="Advika Joshi"/>
    <n v="33150"/>
  </r>
  <r>
    <s v="139410"/>
    <x v="22"/>
    <s v="Rakesh Kumar Sharma"/>
    <s v="01/02/2020"/>
    <s v="Shipped"/>
    <s v="2GB Graphic Card"/>
    <s v="Graphic Card"/>
    <x v="2"/>
    <n v="7000"/>
    <n v="9100"/>
    <n v="3"/>
    <n v="21000"/>
    <n v="27300"/>
    <s v="Ajay Sharma"/>
    <n v="18200"/>
  </r>
  <r>
    <s v="139411"/>
    <x v="22"/>
    <s v="Shivanand Sahani"/>
    <s v="01/02/2020"/>
    <s v="Shipped"/>
    <s v="17 GB DDR4 RAM"/>
    <s v="Computer Case"/>
    <x v="3"/>
    <n v="6550"/>
    <n v="8515"/>
    <n v="3"/>
    <n v="19650"/>
    <n v="25545"/>
    <s v="Roshan Kumar"/>
    <n v="13650"/>
  </r>
  <r>
    <s v="139412"/>
    <x v="23"/>
    <s v="Kunal Patra"/>
    <s v="01/02/2020"/>
    <s v="Shipped"/>
    <s v="Standard ATX motherboard"/>
    <s v="Mouse"/>
    <x v="4"/>
    <n v="7650"/>
    <n v="9945"/>
    <n v="3"/>
    <n v="22950"/>
    <n v="29835"/>
    <s v="Aarvi Gupta"/>
    <n v="1690"/>
  </r>
  <r>
    <s v="139413"/>
    <x v="1"/>
    <s v="Bijendra"/>
    <s v="02/02/2020"/>
    <s v="Shipped"/>
    <s v="Compact with 1 Fan"/>
    <s v="Cabinet"/>
    <x v="5"/>
    <n v="1150"/>
    <n v="1495"/>
    <n v="1"/>
    <n v="1150"/>
    <n v="1495"/>
    <s v="Vijay Singh"/>
    <n v="2990"/>
  </r>
  <r>
    <s v="139414"/>
    <x v="2"/>
    <s v="Kranti Bheke"/>
    <s v="03/02/2020"/>
    <s v="Shipped"/>
    <s v="USB Backlight Keyboard"/>
    <s v="Keyboard"/>
    <x v="6"/>
    <n v="850"/>
    <n v="1105"/>
    <n v="1"/>
    <n v="850"/>
    <n v="1105"/>
    <s v="Aadil Khan"/>
    <n v="3315"/>
  </r>
  <r>
    <s v="139415"/>
    <x v="3"/>
    <s v="Jagdeep"/>
    <s v="03/02/2020"/>
    <s v="Shipped"/>
    <s v="Ergonomic Mouse"/>
    <s v="Mouse"/>
    <x v="0"/>
    <n v="650"/>
    <n v="845"/>
    <n v="2"/>
    <n v="1300"/>
    <n v="1690"/>
    <s v="Ajay Sharma"/>
    <n v="1690"/>
  </r>
  <r>
    <s v="139416"/>
    <x v="24"/>
    <s v="Adhir Samal"/>
    <s v="03/02/2020"/>
    <s v="Shipped"/>
    <s v="15&quot; LCD Dsipaly"/>
    <s v="Monitor"/>
    <x v="6"/>
    <n v="7500"/>
    <n v="9750"/>
    <n v="1"/>
    <n v="7500"/>
    <n v="9750"/>
    <s v="Roshan Kumar"/>
    <n v="9750"/>
  </r>
  <r>
    <s v="139417"/>
    <x v="25"/>
    <s v="Dannana Jhammi"/>
    <s v="04/02/2020"/>
    <s v="Shipped"/>
    <s v="3 TB HDD"/>
    <s v="HDD"/>
    <x v="7"/>
    <n v="10000"/>
    <n v="13000"/>
    <n v="3"/>
    <n v="30000"/>
    <n v="39000"/>
    <s v="Aarvi Gupta"/>
    <n v="39000"/>
  </r>
  <r>
    <s v="139418"/>
    <x v="25"/>
    <s v="Vipin Kumar"/>
    <s v="05/02/2020"/>
    <s v="Shipped"/>
    <s v="2 TB SSD"/>
    <s v="SSD"/>
    <x v="0"/>
    <n v="10500"/>
    <n v="13650"/>
    <n v="2"/>
    <n v="21000"/>
    <n v="27300"/>
    <s v="Vijay Singh"/>
    <n v="8450"/>
  </r>
  <r>
    <s v="139419"/>
    <x v="25"/>
    <s v="Ranjeet Kumar"/>
    <s v="06/02/2020"/>
    <s v="Processing"/>
    <s v="Intel i5 12th gen."/>
    <s v="CPU"/>
    <x v="1"/>
    <n v="8500"/>
    <n v="11050"/>
    <n v="4"/>
    <n v="34000"/>
    <n v="44200"/>
    <s v="Aadil Khan"/>
    <n v="33150"/>
  </r>
  <r>
    <s v="139420"/>
    <x v="25"/>
    <s v="Sajal Singhal"/>
    <s v="07/02/2020"/>
    <s v="Delivered"/>
    <s v="2GB Graphic Card"/>
    <s v="Graphic Card"/>
    <x v="2"/>
    <n v="7000"/>
    <n v="9100"/>
    <n v="4"/>
    <n v="28000"/>
    <n v="36400"/>
    <s v="Advika Joshi"/>
    <n v="18200"/>
  </r>
  <r>
    <s v="139421"/>
    <x v="25"/>
    <s v="Akhilesh Kumar"/>
    <s v="08/02/2020"/>
    <s v="Shipped"/>
    <s v="5 GB DDR4 Ram"/>
    <s v="Computer Case"/>
    <x v="3"/>
    <n v="1680"/>
    <n v="2184"/>
    <n v="2"/>
    <n v="3360"/>
    <n v="4368"/>
    <s v="Ajay Sharma"/>
    <n v="13650"/>
  </r>
  <r>
    <s v="139422"/>
    <x v="25"/>
    <s v="Suvankar Chakraborty"/>
    <s v="09/02/2020"/>
    <s v="Order"/>
    <s v="Micro ATX motherboard"/>
    <s v="Mouse"/>
    <x v="8"/>
    <n v="6540"/>
    <n v="8502"/>
    <n v="1"/>
    <n v="6540"/>
    <n v="8502"/>
    <s v="Roshan Kumar"/>
    <n v="1690"/>
  </r>
  <r>
    <s v="139423"/>
    <x v="7"/>
    <s v="Suvankar Adhikary"/>
    <s v="10/02/2020"/>
    <s v="Processing"/>
    <s v="Gaming Box Cabinet"/>
    <s v="Cabinet"/>
    <x v="5"/>
    <n v="2680"/>
    <n v="3484"/>
    <n v="1"/>
    <n v="2680"/>
    <n v="3484"/>
    <s v="Aarvi Gupta"/>
    <n v="2990"/>
  </r>
  <r>
    <s v="139424"/>
    <x v="26"/>
    <s v="Rahul Kumar Prajapati"/>
    <s v="11/02/2020"/>
    <s v="Delivered"/>
    <s v="17&quot; LCD Display"/>
    <s v="Monitor"/>
    <x v="0"/>
    <n v="8250"/>
    <n v="10725"/>
    <n v="1"/>
    <n v="8250"/>
    <n v="10725"/>
    <s v="Vijay Singh"/>
    <n v="9750"/>
  </r>
  <r>
    <s v="139425"/>
    <x v="27"/>
    <s v="Sagar Jeur"/>
    <s v="12/02/2020"/>
    <s v="Shipped"/>
    <s v="9 GB DDR4 RAM"/>
    <s v="RAM"/>
    <x v="0"/>
    <n v="2650"/>
    <n v="3445"/>
    <n v="3"/>
    <n v="7950"/>
    <n v="10335"/>
    <s v="Aadil Khan"/>
    <n v="25545"/>
  </r>
  <r>
    <s v="139426"/>
    <x v="8"/>
    <s v="Rhushikesh Mane"/>
    <s v="13/02/2020"/>
    <s v="Order"/>
    <s v="26&quot; LCD Display"/>
    <s v="Monitor"/>
    <x v="9"/>
    <n v="12550"/>
    <n v="16315"/>
    <n v="3"/>
    <n v="37650"/>
    <n v="48945"/>
    <s v="Advika Joshi"/>
    <n v="9750"/>
  </r>
  <r>
    <s v="139427"/>
    <x v="9"/>
    <s v="Ashish Kumar"/>
    <s v="14/02/2020"/>
    <s v="Processing"/>
    <s v="I7 - intel 12th Generation"/>
    <s v="CPU"/>
    <x v="1"/>
    <n v="14500"/>
    <n v="18850"/>
    <n v="3"/>
    <n v="43500"/>
    <n v="56550"/>
    <s v="Ajay Sharma"/>
    <n v="33150"/>
  </r>
  <r>
    <s v="139428"/>
    <x v="10"/>
    <s v="Javed Akhter"/>
    <s v="15/02/2020"/>
    <s v="Delivered"/>
    <s v="USB Keyboard"/>
    <s v="Keyboard"/>
    <x v="6"/>
    <n v="800"/>
    <n v="1040"/>
    <n v="3"/>
    <n v="2400"/>
    <n v="3120"/>
    <s v="Roshan Kumar"/>
    <n v="3315"/>
  </r>
  <r>
    <s v="139429"/>
    <x v="11"/>
    <s v="Haridas Balraj"/>
    <s v="16/02/2020"/>
    <s v="Shipped"/>
    <s v="Wireless Mouse"/>
    <s v="Mouse"/>
    <x v="0"/>
    <n v="600"/>
    <n v="780"/>
    <n v="3"/>
    <n v="1800"/>
    <n v="2340"/>
    <s v="Aarvi Gupta"/>
    <n v="1690"/>
  </r>
  <r>
    <s v="139430"/>
    <x v="12"/>
    <s v="Kundan Kumar"/>
    <s v="17/02/2020"/>
    <s v="Order"/>
    <s v="21&quot; LCD Display"/>
    <s v="Monitor"/>
    <x v="6"/>
    <n v="10500"/>
    <n v="13650"/>
    <n v="3"/>
    <n v="31500"/>
    <n v="40950"/>
    <s v="Vijay Singh"/>
    <n v="9750"/>
  </r>
  <r>
    <s v="139431"/>
    <x v="13"/>
    <s v="Atif Siddiqui"/>
    <s v="18/02/2020"/>
    <s v="Processing"/>
    <s v="3 TB HDD"/>
    <s v="HDD"/>
    <x v="10"/>
    <n v="6500"/>
    <n v="8450"/>
    <n v="2"/>
    <n v="13000"/>
    <n v="16900"/>
    <s v="Aadil Khan"/>
    <n v="39000"/>
  </r>
  <r>
    <s v="139432"/>
    <x v="14"/>
    <s v="Aditya Agarwal"/>
    <s v="19/02/2020"/>
    <s v="Delivered"/>
    <s v="258 GB SSD"/>
    <s v="SSD"/>
    <x v="0"/>
    <n v="4500"/>
    <n v="5850"/>
    <n v="2"/>
    <n v="9000"/>
    <n v="11700"/>
    <s v="Advika Joshi"/>
    <n v="8450"/>
  </r>
  <r>
    <s v="139433"/>
    <x v="15"/>
    <s v="Firdoush Jabee"/>
    <s v="19/02/2020"/>
    <s v="Shipped"/>
    <s v="Intel i3 11th gen."/>
    <s v="CPU"/>
    <x v="1"/>
    <n v="8500"/>
    <n v="11050"/>
    <n v="2"/>
    <n v="17000"/>
    <n v="22100"/>
    <s v="Ajay Sharma"/>
    <n v="33150"/>
  </r>
  <r>
    <s v="139434"/>
    <x v="16"/>
    <s v="Jay Prakash Kumar"/>
    <s v="19/02/2020"/>
    <s v="Order"/>
    <s v="4GB Graphic card"/>
    <s v="Graphic Card"/>
    <x v="2"/>
    <n v="12500"/>
    <n v="16250"/>
    <n v="4"/>
    <n v="50000"/>
    <n v="65000"/>
    <s v="Roshan Kumar"/>
    <n v="18200"/>
  </r>
  <r>
    <s v="139435"/>
    <x v="16"/>
    <s v="Ashish Pandey"/>
    <s v="19/02/2020"/>
    <s v="Processing"/>
    <s v="10 GB DDR4 RAM"/>
    <s v="NIC"/>
    <x v="3"/>
    <n v="3500"/>
    <n v="4550"/>
    <n v="2"/>
    <n v="7000"/>
    <n v="9100"/>
    <s v="Aarvi Gupta"/>
    <n v="9100"/>
  </r>
  <r>
    <s v="139436"/>
    <x v="16"/>
    <s v="Ajay Sharma"/>
    <s v="20/02/2020"/>
    <s v="Delivered"/>
    <s v="BTX motherboard"/>
    <s v="Printer"/>
    <x v="4"/>
    <n v="4500"/>
    <n v="5850"/>
    <n v="2"/>
    <n v="9000"/>
    <n v="11700"/>
    <s v="Vijay Singh"/>
    <n v="11700"/>
  </r>
  <r>
    <s v="139437"/>
    <x v="16"/>
    <s v="Moinuddin Saifi"/>
    <s v="21/02/2020"/>
    <s v="Shipped"/>
    <s v="5 Fans Cabinet"/>
    <s v="Cabinet"/>
    <x v="5"/>
    <n v="2100"/>
    <n v="2730"/>
    <n v="3"/>
    <n v="6300"/>
    <n v="8190"/>
    <s v="Aadil Khan"/>
    <n v="2990"/>
  </r>
  <r>
    <s v="139438"/>
    <x v="20"/>
    <s v="Ramkrishna Das Adhikary"/>
    <s v="22/02/2020"/>
    <s v="Order"/>
    <s v="Wireless Keyboard"/>
    <s v="Keyboard"/>
    <x v="6"/>
    <n v="1150"/>
    <n v="1495"/>
    <n v="1"/>
    <n v="1150"/>
    <n v="1495"/>
    <s v="Advika Joshi"/>
    <n v="3315"/>
  </r>
  <r>
    <s v="139439"/>
    <x v="16"/>
    <s v="Ranjeet Mandal"/>
    <s v="23/02/2020"/>
    <s v="Processing"/>
    <s v="USB Mouse"/>
    <s v="Mouse"/>
    <x v="0"/>
    <n v="350"/>
    <n v="455"/>
    <n v="1"/>
    <n v="350"/>
    <n v="455"/>
    <s v="Ajay Sharma"/>
    <n v="1690"/>
  </r>
  <r>
    <s v="139440"/>
    <x v="17"/>
    <s v="Ashwini Adsare"/>
    <s v="24/02/2020"/>
    <s v="Delivered"/>
    <s v="19&quot; LED Display"/>
    <s v="Monitor"/>
    <x v="6"/>
    <n v="9500"/>
    <n v="12350"/>
    <n v="1"/>
    <n v="9500"/>
    <n v="12350"/>
    <s v="Roshan Kumar"/>
    <n v="9750"/>
  </r>
  <r>
    <s v="139441"/>
    <x v="21"/>
    <s v="Rajesh Variya"/>
    <s v="25/02/2020"/>
    <s v="Shipped"/>
    <s v="4 TB HDD"/>
    <s v="HDD"/>
    <x v="10"/>
    <n v="10000"/>
    <n v="13000"/>
    <n v="1"/>
    <n v="10000"/>
    <n v="13000"/>
    <s v="Aarvi Gupta"/>
    <n v="39000"/>
  </r>
  <r>
    <s v="139442"/>
    <x v="22"/>
    <s v="Amit Singh"/>
    <s v="26/02/2020"/>
    <s v="Order"/>
    <s v="514 GB M.2"/>
    <s v="SSD"/>
    <x v="0"/>
    <n v="6500"/>
    <n v="8450"/>
    <n v="3"/>
    <n v="19500"/>
    <n v="25350"/>
    <s v="Vijay Singh"/>
    <n v="8450"/>
  </r>
  <r>
    <s v="139443"/>
    <x v="28"/>
    <s v="Vinod Mehta"/>
    <s v="27/02/2020"/>
    <s v="Processing"/>
    <s v="RYZEN 3rd gen. 3502"/>
    <s v="CPU"/>
    <x v="1"/>
    <n v="8500"/>
    <n v="11050"/>
    <n v="3"/>
    <n v="25500"/>
    <n v="33150"/>
    <s v="Aadil Khan"/>
    <n v="33150"/>
  </r>
  <r>
    <s v="139444"/>
    <x v="29"/>
    <s v="Jignesh Mhatre"/>
    <s v="28/02/2020"/>
    <s v="Delivered"/>
    <s v="2GB Graphic Card"/>
    <s v="Graphic Card"/>
    <x v="2"/>
    <n v="7000"/>
    <n v="9100"/>
    <n v="1"/>
    <n v="7000"/>
    <n v="9100"/>
    <s v="Advika Joshi"/>
    <n v="18200"/>
  </r>
  <r>
    <s v="139445"/>
    <x v="30"/>
    <s v="Rahul Kashyap"/>
    <s v="29/02/2020"/>
    <s v="Shipped"/>
    <s v="18 GB DDR4 RAM"/>
    <s v="NIC"/>
    <x v="3"/>
    <n v="6550"/>
    <n v="8515"/>
    <n v="2"/>
    <n v="13100"/>
    <n v="17030"/>
    <s v="Ajay Sharma"/>
    <n v="9100"/>
  </r>
  <r>
    <s v="139446"/>
    <x v="31"/>
    <s v="Mohammed Abdul Kaleem"/>
    <s v="01/03/2020"/>
    <s v="Order"/>
    <s v="Standard ATX motherboard"/>
    <s v="Printer"/>
    <x v="4"/>
    <n v="7650"/>
    <n v="9945"/>
    <n v="3"/>
    <n v="22950"/>
    <n v="29835"/>
    <s v="Roshan Kumar"/>
    <n v="11700"/>
  </r>
  <r>
    <s v="139447"/>
    <x v="32"/>
    <s v="Chandrakant Kasbe"/>
    <s v="02/03/2020"/>
    <s v="Processing"/>
    <s v="Compact with 1 Fan"/>
    <s v="Cabinet"/>
    <x v="5"/>
    <n v="1150"/>
    <n v="1495"/>
    <n v="2"/>
    <n v="2300"/>
    <n v="2990"/>
    <s v="Aarvi Gupta"/>
    <n v="2990"/>
  </r>
  <r>
    <s v="139448"/>
    <x v="0"/>
    <s v="Rohan Kale"/>
    <s v="03/03/2020"/>
    <s v="Delivered"/>
    <s v="USB Backlight Keyboard"/>
    <s v="Keyboard"/>
    <x v="6"/>
    <n v="850"/>
    <n v="1105"/>
    <n v="1"/>
    <n v="850"/>
    <n v="1105"/>
    <s v="Vijay Singh"/>
    <n v="3315"/>
  </r>
  <r>
    <s v="139449"/>
    <x v="23"/>
    <s v="Aniruddha Kekapure"/>
    <s v="04/03/2020"/>
    <s v="Shipped"/>
    <s v="Ergonomic Mouse"/>
    <s v="Mouse"/>
    <x v="0"/>
    <n v="650"/>
    <n v="845"/>
    <n v="3"/>
    <n v="1950"/>
    <n v="2535"/>
    <s v="Aadil Khan"/>
    <n v="1690"/>
  </r>
  <r>
    <s v="139450"/>
    <x v="1"/>
    <s v="Aslam Raza"/>
    <s v="05/03/2020"/>
    <s v="Order"/>
    <s v="15&quot; LCD Dsipaly"/>
    <s v="Monitor"/>
    <x v="6"/>
    <n v="7500"/>
    <n v="9750"/>
    <n v="4"/>
    <n v="30000"/>
    <n v="39000"/>
    <s v="Advika Joshi"/>
    <n v="9750"/>
  </r>
  <r>
    <s v="139451"/>
    <x v="2"/>
    <s v="Roshan Zameer"/>
    <s v="06/03/2020"/>
    <s v="Processing"/>
    <s v="4 TB HDD"/>
    <s v="HDD"/>
    <x v="7"/>
    <n v="10000"/>
    <n v="13000"/>
    <n v="2"/>
    <n v="20000"/>
    <n v="26000"/>
    <s v="Roshan Kumar"/>
    <n v="39000"/>
  </r>
  <r>
    <s v="139452"/>
    <x v="3"/>
    <s v="Rakesh Kumar Sharma"/>
    <s v="07/03/2020"/>
    <s v="Delivered"/>
    <s v="3 TB SSD"/>
    <s v="SSD"/>
    <x v="0"/>
    <n v="10500"/>
    <n v="13650"/>
    <n v="3"/>
    <n v="31500"/>
    <n v="40950"/>
    <s v="Aarvi Gupta"/>
    <n v="8450"/>
  </r>
  <r>
    <s v="139453"/>
    <x v="24"/>
    <s v="Shivanand Sahani"/>
    <s v="07/03/2020"/>
    <s v="Shipped"/>
    <s v="Intel i5 12th gen."/>
    <s v="CPU"/>
    <x v="1"/>
    <n v="8500"/>
    <n v="11050"/>
    <n v="3"/>
    <n v="25500"/>
    <n v="33150"/>
    <s v="Vijay Singh"/>
    <n v="33150"/>
  </r>
  <r>
    <s v="139454"/>
    <x v="25"/>
    <s v="Kunal Patra"/>
    <s v="07/03/2020"/>
    <s v="Order"/>
    <s v="2GB Graphic Card"/>
    <s v="Graphic Card"/>
    <x v="2"/>
    <n v="7000"/>
    <n v="9100"/>
    <n v="2"/>
    <n v="14000"/>
    <n v="18200"/>
    <s v="Aadil Khan"/>
    <n v="18200"/>
  </r>
  <r>
    <s v="139455"/>
    <x v="33"/>
    <s v="Bijendra"/>
    <s v="07/03/2020"/>
    <s v="Processing"/>
    <s v="6 GB DDR4 Ram"/>
    <s v="NIC"/>
    <x v="3"/>
    <n v="1680"/>
    <n v="2184"/>
    <n v="4"/>
    <n v="6720"/>
    <n v="8736"/>
    <s v="Advika Joshi"/>
    <n v="9100"/>
  </r>
  <r>
    <s v="139456"/>
    <x v="33"/>
    <s v="Kranti Bheke"/>
    <s v="07/03/2020"/>
    <s v="Delivered"/>
    <s v="Micro ATX motherboard"/>
    <s v="Printer"/>
    <x v="8"/>
    <n v="6540"/>
    <n v="8502"/>
    <n v="1"/>
    <n v="6540"/>
    <n v="8502"/>
    <s v="Ajay Sharma"/>
    <n v="11700"/>
  </r>
  <r>
    <s v="139457"/>
    <x v="33"/>
    <s v="Jagdeep"/>
    <s v="07/03/2020"/>
    <s v="Shipped"/>
    <s v="Gaming Box Cabinet"/>
    <s v="Cabinet"/>
    <x v="5"/>
    <n v="2680"/>
    <n v="3484"/>
    <n v="3"/>
    <n v="8040"/>
    <n v="10452"/>
    <s v="Roshan Kumar"/>
    <n v="2990"/>
  </r>
  <r>
    <s v="139458"/>
    <x v="33"/>
    <s v="Adhir Samal"/>
    <s v="07/03/2020"/>
    <s v="Order"/>
    <s v="17&quot; LCD Display"/>
    <s v="Monitor"/>
    <x v="0"/>
    <n v="8250"/>
    <n v="10725"/>
    <n v="2"/>
    <n v="16500"/>
    <n v="21450"/>
    <s v="Aarvi Gupta"/>
    <n v="9750"/>
  </r>
  <r>
    <s v="139459"/>
    <x v="33"/>
    <s v="Dannana Jhammi"/>
    <s v="08/03/2020"/>
    <s v="Processing"/>
    <s v="10 GB DDR4 RAM"/>
    <s v="RAM"/>
    <x v="0"/>
    <n v="2650"/>
    <n v="3445"/>
    <n v="3"/>
    <n v="7950"/>
    <n v="10335"/>
    <s v="Vijay Singh"/>
    <n v="25545"/>
  </r>
  <r>
    <s v="139460"/>
    <x v="33"/>
    <s v="Vipin Kumar"/>
    <s v="09/03/2020"/>
    <s v="Delivered"/>
    <s v="26&quot; LCD Display"/>
    <s v="Monitor"/>
    <x v="9"/>
    <n v="12550"/>
    <n v="16315"/>
    <n v="1"/>
    <n v="12550"/>
    <n v="16315"/>
    <s v="Aadil Khan"/>
    <n v="9750"/>
  </r>
  <r>
    <s v="139461"/>
    <x v="26"/>
    <s v="Ranjeet Kumar"/>
    <s v="10/03/2020"/>
    <s v="Shipped"/>
    <s v="I7 - intel 12th Generation"/>
    <s v="CPU"/>
    <x v="1"/>
    <n v="14500"/>
    <n v="18850"/>
    <n v="1"/>
    <n v="14500"/>
    <n v="18850"/>
    <s v="Advika Joshi"/>
    <n v="33150"/>
  </r>
  <r>
    <s v="139462"/>
    <x v="27"/>
    <s v="Sajal Singhal"/>
    <s v="11/03/2020"/>
    <s v="Order"/>
    <s v="USB Keyboard"/>
    <s v="Keyboard"/>
    <x v="6"/>
    <n v="800"/>
    <n v="1040"/>
    <n v="2"/>
    <n v="1600"/>
    <n v="2080"/>
    <s v="Ajay Sharma"/>
    <n v="3315"/>
  </r>
  <r>
    <s v="139463"/>
    <x v="8"/>
    <s v="Akhilesh Kumar"/>
    <s v="12/03/2020"/>
    <s v="Processing"/>
    <s v="Wireless Mouse"/>
    <s v="Mouse"/>
    <x v="0"/>
    <n v="600"/>
    <n v="780"/>
    <n v="1"/>
    <n v="600"/>
    <n v="780"/>
    <s v="Roshan Kumar"/>
    <n v="1690"/>
  </r>
  <r>
    <s v="139464"/>
    <x v="9"/>
    <s v="Suvankar Chakraborty"/>
    <s v="13/03/2020"/>
    <s v="Delivered"/>
    <s v="21&quot; LCD Display"/>
    <s v="Monitor"/>
    <x v="6"/>
    <n v="10500"/>
    <n v="13650"/>
    <n v="1"/>
    <n v="10500"/>
    <n v="13650"/>
    <s v="Aarvi Gupta"/>
    <n v="9750"/>
  </r>
  <r>
    <s v="139465"/>
    <x v="10"/>
    <s v="Suvankar Adhikary"/>
    <s v="14/03/2020"/>
    <s v="Shipped"/>
    <s v="4 TB HDD"/>
    <s v="HDD"/>
    <x v="10"/>
    <n v="6500"/>
    <n v="8450"/>
    <n v="3"/>
    <n v="19500"/>
    <n v="25350"/>
    <s v="Vijay Singh"/>
    <n v="39000"/>
  </r>
  <r>
    <s v="139466"/>
    <x v="11"/>
    <s v="Rahul Kumar Prajapati"/>
    <s v="15/03/2020"/>
    <s v="Order"/>
    <s v="259 GB SSD"/>
    <s v="SSD"/>
    <x v="0"/>
    <n v="4500"/>
    <n v="5850"/>
    <n v="2"/>
    <n v="9000"/>
    <n v="11700"/>
    <s v="Aadil Khan"/>
    <n v="8450"/>
  </r>
  <r>
    <s v="139467"/>
    <x v="12"/>
    <s v="Sagar Jeur"/>
    <s v="16/03/2020"/>
    <s v="Processing"/>
    <s v="Intel i3 11th gen."/>
    <s v="CPU"/>
    <x v="1"/>
    <n v="8500"/>
    <n v="11050"/>
    <n v="1"/>
    <n v="8500"/>
    <n v="11050"/>
    <s v="Advika Joshi"/>
    <n v="33150"/>
  </r>
  <r>
    <s v="139468"/>
    <x v="13"/>
    <s v="Rhushikesh Mane"/>
    <s v="16/03/2020"/>
    <s v="Delivered"/>
    <s v="4GB Graphic card"/>
    <s v="Graphic Card"/>
    <x v="2"/>
    <n v="12500"/>
    <n v="16250"/>
    <n v="3"/>
    <n v="37500"/>
    <n v="48750"/>
    <s v="Ajay Sharma"/>
    <n v="18200"/>
  </r>
  <r>
    <s v="139469"/>
    <x v="14"/>
    <s v="Ashish Kumar"/>
    <s v="16/03/2020"/>
    <s v="Shipped"/>
    <s v="11 GB DDR4 RAM"/>
    <s v="RAM"/>
    <x v="3"/>
    <n v="3500"/>
    <n v="4550"/>
    <n v="1"/>
    <n v="3500"/>
    <n v="4550"/>
    <s v="Roshan Kumar"/>
    <n v="25545"/>
  </r>
  <r>
    <s v="139470"/>
    <x v="15"/>
    <s v="Javed Akhter"/>
    <s v="16/03/2020"/>
    <s v="Order"/>
    <s v="BTX motherboard"/>
    <s v="MotherBoard"/>
    <x v="4"/>
    <n v="4500"/>
    <n v="5850"/>
    <n v="4"/>
    <n v="18000"/>
    <n v="23400"/>
    <s v="Aarvi Gupta"/>
    <n v="39780"/>
  </r>
  <r>
    <s v="139471"/>
    <x v="16"/>
    <s v="Haridas Balraj"/>
    <s v="16/03/2020"/>
    <s v="Processing"/>
    <s v="6 Fans Cabinet"/>
    <s v="Cabinet"/>
    <x v="5"/>
    <n v="2100"/>
    <n v="2730"/>
    <n v="3"/>
    <n v="6300"/>
    <n v="8190"/>
    <s v="Vijay Singh"/>
    <n v="2990"/>
  </r>
  <r>
    <s v="139472"/>
    <x v="17"/>
    <s v="Kundan Kumar"/>
    <s v="16/03/2020"/>
    <s v="Delivered"/>
    <s v="Wireless Keyboard"/>
    <s v="Keyboard"/>
    <x v="6"/>
    <n v="1150"/>
    <n v="1495"/>
    <n v="4"/>
    <n v="4600"/>
    <n v="5980"/>
    <s v="Aadil Khan"/>
    <n v="3315"/>
  </r>
  <r>
    <s v="139473"/>
    <x v="18"/>
    <s v="Atif Siddiqui"/>
    <s v="16/03/2020"/>
    <s v="Shipped"/>
    <s v="USB Mouse"/>
    <s v="Mouse"/>
    <x v="0"/>
    <n v="350"/>
    <n v="455"/>
    <n v="3"/>
    <n v="1050"/>
    <n v="1365"/>
    <s v="Advika Joshi"/>
    <n v="1690"/>
  </r>
  <r>
    <s v="139474"/>
    <x v="19"/>
    <s v="Aditya Agarwal"/>
    <s v="16/03/2020"/>
    <s v="Order"/>
    <s v="19&quot; LED Display"/>
    <s v="Monitor"/>
    <x v="6"/>
    <n v="9500"/>
    <n v="12350"/>
    <n v="3"/>
    <n v="28500"/>
    <n v="37050"/>
    <s v="Ajay Sharma"/>
    <n v="9750"/>
  </r>
  <r>
    <s v="139475"/>
    <x v="19"/>
    <s v="Firdoush Jabee"/>
    <s v="16/03/2020"/>
    <s v="Processing"/>
    <s v="5 TB HDD"/>
    <s v="HDD"/>
    <x v="10"/>
    <n v="10000"/>
    <n v="13000"/>
    <n v="1"/>
    <n v="10000"/>
    <n v="13000"/>
    <s v="Roshan Kumar"/>
    <n v="39000"/>
  </r>
  <r>
    <s v="139476"/>
    <x v="19"/>
    <s v="Jay Prakash Kumar"/>
    <s v="16/03/2020"/>
    <s v="Delivered"/>
    <s v="515 GB M.2"/>
    <s v="SSD"/>
    <x v="0"/>
    <n v="6500"/>
    <n v="8450"/>
    <n v="2"/>
    <n v="13000"/>
    <n v="16900"/>
    <s v="Aarvi Gupta"/>
    <n v="8450"/>
  </r>
  <r>
    <s v="139477"/>
    <x v="19"/>
    <s v="Ashish Pandey"/>
    <s v="17/03/2020"/>
    <s v="Shipped"/>
    <s v="RYZEN 3rd gen. 3503"/>
    <s v="CPU"/>
    <x v="1"/>
    <n v="8500"/>
    <n v="11050"/>
    <n v="1"/>
    <n v="8500"/>
    <n v="11050"/>
    <s v="Vijay Singh"/>
    <n v="33150"/>
  </r>
  <r>
    <s v="139478"/>
    <x v="19"/>
    <s v="Ajay Sharma"/>
    <s v="18/03/2020"/>
    <s v="Order"/>
    <s v="2GB Graphic Card"/>
    <s v="Graphic Card"/>
    <x v="2"/>
    <n v="7000"/>
    <n v="9100"/>
    <n v="3"/>
    <n v="21000"/>
    <n v="27300"/>
    <s v="Aadil Khan"/>
    <n v="18200"/>
  </r>
  <r>
    <s v="139479"/>
    <x v="19"/>
    <s v="Moinuddin Saifi"/>
    <s v="18/03/2020"/>
    <s v="Processing"/>
    <s v="19 GB DDR4 RAM"/>
    <s v="RAM"/>
    <x v="3"/>
    <n v="6550"/>
    <n v="8515"/>
    <n v="2"/>
    <n v="13100"/>
    <n v="17030"/>
    <s v="Advika Joshi"/>
    <n v="25545"/>
  </r>
  <r>
    <s v="139480"/>
    <x v="19"/>
    <s v="Ramkrishna Das Adhikary"/>
    <s v="18/03/2020"/>
    <s v="Delivered"/>
    <s v="Standard ATX motherboard"/>
    <s v="MotherBoard"/>
    <x v="4"/>
    <n v="7650"/>
    <n v="9945"/>
    <n v="4"/>
    <n v="30600"/>
    <n v="39780"/>
    <s v="Ajay Sharma"/>
    <n v="39780"/>
  </r>
  <r>
    <s v="139481"/>
    <x v="19"/>
    <s v="Ranjeet Mandal"/>
    <s v="18/03/2020"/>
    <s v="Shipped"/>
    <s v="Compact with 1 Fan"/>
    <s v="Cabinet"/>
    <x v="5"/>
    <n v="1150"/>
    <n v="1495"/>
    <n v="2"/>
    <n v="2300"/>
    <n v="2990"/>
    <s v="Roshan Kumar"/>
    <n v="2990"/>
  </r>
  <r>
    <s v="139482"/>
    <x v="19"/>
    <s v="Vinod Singh"/>
    <s v="18/03/2020"/>
    <s v="Order"/>
    <s v="USB Backlight Keyboard"/>
    <s v="Keyboard"/>
    <x v="6"/>
    <n v="850"/>
    <n v="1105"/>
    <n v="4"/>
    <n v="3400"/>
    <n v="4420"/>
    <s v="Aarvi Gupta"/>
    <n v="3315"/>
  </r>
  <r>
    <s v="139483"/>
    <x v="19"/>
    <s v="Ajay Mehta"/>
    <s v="18/03/2020"/>
    <s v="Processing"/>
    <s v="Ergonomic Mouse"/>
    <s v="Mouse"/>
    <x v="0"/>
    <n v="650"/>
    <n v="845"/>
    <n v="4"/>
    <n v="2600"/>
    <n v="3380"/>
    <s v="Vijay Singh"/>
    <n v="1690"/>
  </r>
  <r>
    <s v="139484"/>
    <x v="19"/>
    <s v="Vikas Bhalekar"/>
    <s v="18/03/2020"/>
    <s v="Delivered"/>
    <s v="15&quot; LCD Dsipaly"/>
    <s v="Monitor"/>
    <x v="6"/>
    <n v="7500"/>
    <n v="9750"/>
    <n v="1"/>
    <n v="7500"/>
    <n v="9750"/>
    <s v="Aadil Khan"/>
    <n v="9750"/>
  </r>
  <r>
    <s v="139485"/>
    <x v="19"/>
    <s v="Vinod Mehta"/>
    <s v="18/03/2020"/>
    <s v="Shipped"/>
    <s v="5 TB HDD"/>
    <s v="HDD"/>
    <x v="7"/>
    <n v="10000"/>
    <n v="13000"/>
    <n v="2"/>
    <n v="20000"/>
    <n v="26000"/>
    <s v="Advika Joshi"/>
    <n v="39000"/>
  </r>
  <r>
    <s v="139486"/>
    <x v="19"/>
    <s v="Jignesh Mhatre"/>
    <s v="19/03/2020"/>
    <s v="Order"/>
    <s v="4 TB SSD"/>
    <s v="SSD"/>
    <x v="0"/>
    <n v="10500"/>
    <n v="13650"/>
    <n v="3"/>
    <n v="31500"/>
    <n v="40950"/>
    <s v="Ajay Sharma"/>
    <n v="8450"/>
  </r>
  <r>
    <s v="139487"/>
    <x v="19"/>
    <s v="Sharmili Pandit"/>
    <s v="19/03/2020"/>
    <s v="Processing"/>
    <s v="Intel i5 12th gen."/>
    <s v="CPU"/>
    <x v="1"/>
    <n v="8500"/>
    <n v="11050"/>
    <n v="4"/>
    <n v="34000"/>
    <n v="44200"/>
    <s v="Roshan Kumar"/>
    <n v="33150"/>
  </r>
  <r>
    <s v="139488"/>
    <x v="2"/>
    <s v="Vijaya singh"/>
    <s v="19/03/2020"/>
    <s v="Delivered"/>
    <s v="2GB Graphic Card"/>
    <s v="Graphic Card"/>
    <x v="2"/>
    <n v="7000"/>
    <n v="9100"/>
    <n v="1"/>
    <n v="7000"/>
    <n v="9100"/>
    <s v="Aarvi Gupta"/>
    <n v="18200"/>
  </r>
  <r>
    <s v="139489"/>
    <x v="3"/>
    <s v="Dilip Rathod"/>
    <s v="19/03/2020"/>
    <s v="Shipped"/>
    <s v="7 GB DDR4 Ram"/>
    <s v="RAM"/>
    <x v="3"/>
    <n v="1680"/>
    <n v="2184"/>
    <n v="2"/>
    <n v="3360"/>
    <n v="4368"/>
    <s v="Vijay Singh"/>
    <n v="25545"/>
  </r>
  <r>
    <s v="139490"/>
    <x v="24"/>
    <s v="Rohan Kale"/>
    <s v="19/03/2020"/>
    <s v="Order"/>
    <s v="Micro ATX motherboard"/>
    <s v="MotherBoard"/>
    <x v="8"/>
    <n v="6540"/>
    <n v="8502"/>
    <n v="2"/>
    <n v="13080"/>
    <n v="17004"/>
    <s v="Aadil Khan"/>
    <n v="39780"/>
  </r>
  <r>
    <s v="139491"/>
    <x v="25"/>
    <s v="Aniruddha Kekapure"/>
    <s v="19/03/2020"/>
    <s v="Processing"/>
    <s v="Gaming Box Cabinet"/>
    <s v="Cabinet"/>
    <x v="5"/>
    <n v="2680"/>
    <n v="3484"/>
    <n v="1"/>
    <n v="2680"/>
    <n v="3484"/>
    <s v="Advika Joshi"/>
    <n v="2990"/>
  </r>
  <r>
    <s v="139492"/>
    <x v="25"/>
    <s v="Jagjeet Variya"/>
    <s v="19/03/2020"/>
    <s v="Delivered"/>
    <s v="17&quot; LCD Display"/>
    <s v="Monitor"/>
    <x v="0"/>
    <n v="8250"/>
    <n v="10725"/>
    <n v="1"/>
    <n v="8250"/>
    <n v="10725"/>
    <s v="Ajay Sharma"/>
    <n v="9750"/>
  </r>
  <r>
    <s v="139493"/>
    <x v="25"/>
    <s v="Roshan Zameer"/>
    <s v="20/03/2020"/>
    <s v="Shipped"/>
    <s v="11 GB DDR4 RAM"/>
    <s v="RAM"/>
    <x v="0"/>
    <n v="2650"/>
    <n v="3445"/>
    <n v="3"/>
    <n v="7950"/>
    <n v="10335"/>
    <s v="Roshan Kumar"/>
    <n v="25545"/>
  </r>
  <r>
    <s v="139494"/>
    <x v="25"/>
    <s v="Binod Kumar"/>
    <s v="21/03/2020"/>
    <s v="Order"/>
    <s v="26&quot; LCD Display"/>
    <s v="Monitor"/>
    <x v="9"/>
    <n v="12550"/>
    <n v="16315"/>
    <n v="4"/>
    <n v="50200"/>
    <n v="65260"/>
    <s v="Aarvi Gupta"/>
    <n v="9750"/>
  </r>
  <r>
    <s v="139495"/>
    <x v="25"/>
    <s v="Shivanand Sahani"/>
    <s v="22/03/2020"/>
    <s v="Processing"/>
    <s v="I7 - intel 12th Generation"/>
    <s v="CPU"/>
    <x v="1"/>
    <n v="14500"/>
    <n v="18850"/>
    <n v="1"/>
    <n v="14500"/>
    <n v="18850"/>
    <s v="Aadil Khan"/>
    <n v="33150"/>
  </r>
  <r>
    <s v="139496"/>
    <x v="25"/>
    <s v="Vijay Mehta"/>
    <s v="23/03/2020"/>
    <s v="Delivered"/>
    <s v="USB Keyboard"/>
    <s v="Keyboard"/>
    <x v="6"/>
    <n v="800"/>
    <n v="1040"/>
    <n v="2"/>
    <n v="1600"/>
    <n v="2080"/>
    <s v="Advika Joshi"/>
    <n v="3315"/>
  </r>
  <r>
    <s v="139497"/>
    <x v="25"/>
    <s v="Bijendra"/>
    <s v="24/03/2020"/>
    <s v="Shipped"/>
    <s v="Wireless Mouse"/>
    <s v="Mouse"/>
    <x v="0"/>
    <n v="600"/>
    <n v="780"/>
    <n v="3"/>
    <n v="1800"/>
    <n v="2340"/>
    <s v="Ajay Sharma"/>
    <n v="1690"/>
  </r>
  <r>
    <s v="139498"/>
    <x v="26"/>
    <s v="Kranti Bheke"/>
    <s v="24/03/2020"/>
    <s v="Order"/>
    <s v="21&quot; LCD Display"/>
    <s v="Monitor"/>
    <x v="6"/>
    <n v="10500"/>
    <n v="13650"/>
    <n v="1"/>
    <n v="10500"/>
    <n v="13650"/>
    <s v="Roshan Kumar"/>
    <n v="9750"/>
  </r>
  <r>
    <s v="139499"/>
    <x v="27"/>
    <s v="Shanti Giri"/>
    <s v="24/03/2020"/>
    <s v="Processing"/>
    <s v="5 TB HDD"/>
    <s v="HDD"/>
    <x v="10"/>
    <n v="6500"/>
    <n v="8450"/>
    <n v="1"/>
    <n v="6500"/>
    <n v="8450"/>
    <s v="Aarvi Gupta"/>
    <n v="39000"/>
  </r>
  <r>
    <s v="139500"/>
    <x v="27"/>
    <s v="Adhir Samal"/>
    <s v="24/03/2020"/>
    <s v="Delivered"/>
    <s v="260 GB SSD"/>
    <s v="SSD"/>
    <x v="0"/>
    <n v="4500"/>
    <n v="5850"/>
    <n v="1"/>
    <n v="4500"/>
    <n v="5850"/>
    <s v="Vijay Singh"/>
    <n v="8450"/>
  </r>
  <r>
    <s v="139501"/>
    <x v="27"/>
    <s v="Dannana Jhammi"/>
    <s v="24/03/2020"/>
    <s v="Shipped"/>
    <s v="Intel i3 11th gen."/>
    <s v="CPU"/>
    <x v="1"/>
    <n v="8500"/>
    <n v="11050"/>
    <n v="4"/>
    <n v="34000"/>
    <n v="44200"/>
    <s v="Aadil Khan"/>
    <n v="33150"/>
  </r>
  <r>
    <s v="139502"/>
    <x v="27"/>
    <s v="Vipin Kumar"/>
    <s v="24/03/2020"/>
    <s v="Order"/>
    <s v="4GB Graphic card"/>
    <s v="Graphic Card"/>
    <x v="2"/>
    <n v="12500"/>
    <n v="16250"/>
    <n v="4"/>
    <n v="50000"/>
    <n v="65000"/>
    <s v="Advika Joshi"/>
    <n v="18200"/>
  </r>
  <r>
    <s v="139503"/>
    <x v="27"/>
    <s v="Prakash Chamka"/>
    <s v="24/03/2020"/>
    <s v="Processing"/>
    <s v="12 GB DDR4 RAM"/>
    <s v="Computer Case"/>
    <x v="3"/>
    <n v="3500"/>
    <n v="4550"/>
    <n v="3"/>
    <n v="10500"/>
    <n v="13650"/>
    <s v="Ajay Sharma"/>
    <n v="13650"/>
  </r>
  <r>
    <s v="139504"/>
    <x v="27"/>
    <s v="Sajal Singhal"/>
    <s v="24/03/2020"/>
    <s v="Delivered"/>
    <s v="BTX motherboard"/>
    <s v="Mouse"/>
    <x v="4"/>
    <n v="4500"/>
    <n v="5850"/>
    <n v="4"/>
    <n v="18000"/>
    <n v="23400"/>
    <s v="Roshan Kumar"/>
    <n v="1690"/>
  </r>
  <r>
    <s v="139505"/>
    <x v="27"/>
    <s v="Akhilesh Kumar"/>
    <s v="24/03/2020"/>
    <s v="Shipped"/>
    <s v="7 Fans Cabinet"/>
    <s v="Cabinet"/>
    <x v="5"/>
    <n v="2100"/>
    <n v="2730"/>
    <n v="3"/>
    <n v="6300"/>
    <n v="8190"/>
    <s v="Aarvi Gupta"/>
    <n v="2990"/>
  </r>
  <r>
    <s v="139506"/>
    <x v="27"/>
    <s v="Suvankar Chakraborty"/>
    <s v="25/03/2020"/>
    <s v="Order"/>
    <s v="Wireless Keyboard"/>
    <s v="Keyboard"/>
    <x v="6"/>
    <n v="1150"/>
    <n v="1495"/>
    <n v="2"/>
    <n v="2300"/>
    <n v="2990"/>
    <s v="Vijay Singh"/>
    <n v="3315"/>
  </r>
  <r>
    <s v="139507"/>
    <x v="27"/>
    <s v="Suvankar Adhikary"/>
    <s v="25/03/2020"/>
    <s v="Processing"/>
    <s v="USB Mouse"/>
    <s v="Mouse"/>
    <x v="0"/>
    <n v="350"/>
    <n v="455"/>
    <n v="3"/>
    <n v="1050"/>
    <n v="1365"/>
    <s v="Aadil Khan"/>
    <n v="1690"/>
  </r>
  <r>
    <s v="139508"/>
    <x v="27"/>
    <s v="Rahul Kumar Prajapati"/>
    <s v="25/03/2020"/>
    <s v="Delivered"/>
    <s v="19&quot; LED Display"/>
    <s v="Monitor"/>
    <x v="6"/>
    <n v="9500"/>
    <n v="12350"/>
    <n v="4"/>
    <n v="38000"/>
    <n v="49400"/>
    <s v="Advika Joshi"/>
    <n v="9750"/>
  </r>
  <r>
    <s v="139509"/>
    <x v="27"/>
    <s v="Sagar Jeur"/>
    <s v="25/03/2020"/>
    <s v="Shipped"/>
    <s v="6 TB HDD"/>
    <s v="HDD"/>
    <x v="10"/>
    <n v="10000"/>
    <n v="13000"/>
    <n v="4"/>
    <n v="40000"/>
    <n v="52000"/>
    <s v="Ajay Sharma"/>
    <n v="39000"/>
  </r>
  <r>
    <s v="139510"/>
    <x v="27"/>
    <s v="Rhushikesh Mane"/>
    <s v="25/03/2020"/>
    <s v="Order"/>
    <s v="516 GB M.2"/>
    <s v="SSD"/>
    <x v="0"/>
    <n v="6500"/>
    <n v="8450"/>
    <n v="1"/>
    <n v="6500"/>
    <n v="8450"/>
    <s v="Roshan Kumar"/>
    <n v="8450"/>
  </r>
  <r>
    <s v="139511"/>
    <x v="27"/>
    <s v="Vishal Singh"/>
    <s v="25/03/2020"/>
    <s v="Processing"/>
    <s v="RYZEN 3rd gen. 3504"/>
    <s v="CPU"/>
    <x v="1"/>
    <n v="8500"/>
    <n v="11050"/>
    <n v="3"/>
    <n v="25500"/>
    <n v="33150"/>
    <s v="Aarvi Gupta"/>
    <n v="33150"/>
  </r>
  <r>
    <s v="139512"/>
    <x v="27"/>
    <s v="Javed Akhter"/>
    <s v="25/03/2020"/>
    <s v="Delivered"/>
    <s v="2GB Graphic Card"/>
    <s v="Graphic Card"/>
    <x v="2"/>
    <n v="7000"/>
    <n v="9100"/>
    <n v="3"/>
    <n v="21000"/>
    <n v="27300"/>
    <s v="Vijay Singh"/>
    <n v="18200"/>
  </r>
  <r>
    <s v="139513"/>
    <x v="16"/>
    <s v="Haridas Balraj"/>
    <s v="25/03/2020"/>
    <s v="Shipped"/>
    <s v="20 GB DDR4 RAM"/>
    <s v="Computer Case"/>
    <x v="3"/>
    <n v="6550"/>
    <n v="8515"/>
    <n v="3"/>
    <n v="19650"/>
    <n v="25545"/>
    <s v="Aadil Khan"/>
    <n v="13650"/>
  </r>
  <r>
    <s v="139514"/>
    <x v="17"/>
    <s v="Kundan Kumar"/>
    <s v="25/03/2020"/>
    <s v="Order"/>
    <s v="Standard ATX motherboard"/>
    <s v="Mouse"/>
    <x v="4"/>
    <n v="7650"/>
    <n v="9945"/>
    <n v="4"/>
    <n v="30600"/>
    <n v="39780"/>
    <s v="Advika Joshi"/>
    <n v="1690"/>
  </r>
  <r>
    <s v="139515"/>
    <x v="21"/>
    <s v="Vinod Bhave"/>
    <s v="26/03/2020"/>
    <s v="Processing"/>
    <s v="Compact with 1 Fan"/>
    <s v="Cabinet"/>
    <x v="5"/>
    <n v="1150"/>
    <n v="1495"/>
    <n v="2"/>
    <n v="2300"/>
    <n v="2990"/>
    <s v="Ajay Sharma"/>
    <n v="2990"/>
  </r>
  <r>
    <s v="139516"/>
    <x v="22"/>
    <s v="Aditya Agarwal"/>
    <s v="26/03/2020"/>
    <s v="Delivered"/>
    <s v="USB Backlight Keyboard"/>
    <s v="Keyboard"/>
    <x v="6"/>
    <n v="850"/>
    <n v="1105"/>
    <n v="2"/>
    <n v="1700"/>
    <n v="2210"/>
    <s v="Aadil Khan"/>
    <n v="3315"/>
  </r>
  <r>
    <s v="139517"/>
    <x v="28"/>
    <s v="Firdoush Jabee"/>
    <s v="26/03/2020"/>
    <s v="Shipped"/>
    <s v="Ergonomic Mouse"/>
    <s v="Mouse"/>
    <x v="0"/>
    <n v="650"/>
    <n v="845"/>
    <n v="1"/>
    <n v="650"/>
    <n v="845"/>
    <s v="Advika Joshi"/>
    <n v="1690"/>
  </r>
  <r>
    <s v="139518"/>
    <x v="29"/>
    <s v="Jay Prakash Kumar"/>
    <s v="26/03/2020"/>
    <s v="Order"/>
    <s v="15&quot; LCD Dsipaly"/>
    <s v="Monitor"/>
    <x v="6"/>
    <n v="7500"/>
    <n v="9750"/>
    <n v="2"/>
    <n v="15000"/>
    <n v="19500"/>
    <s v="Ajay Sharma"/>
    <n v="9750"/>
  </r>
  <r>
    <s v="139519"/>
    <x v="30"/>
    <s v="Rajiv Singh"/>
    <s v="26/03/2020"/>
    <s v="Processing"/>
    <s v="6 TB HDD"/>
    <s v="HDD"/>
    <x v="7"/>
    <n v="10000"/>
    <n v="13000"/>
    <n v="1"/>
    <n v="10000"/>
    <n v="13000"/>
    <s v="Roshan Kumar"/>
    <n v="39000"/>
  </r>
  <r>
    <s v="139520"/>
    <x v="31"/>
    <s v="Ajay Sharma"/>
    <s v="26/03/2020"/>
    <s v="Delivered"/>
    <s v="5 TB SSD"/>
    <s v="SSD"/>
    <x v="0"/>
    <n v="10500"/>
    <n v="13650"/>
    <n v="2"/>
    <n v="21000"/>
    <n v="27300"/>
    <s v="Aarvi Gupta"/>
    <n v="8450"/>
  </r>
  <r>
    <s v="139521"/>
    <x v="32"/>
    <s v="Moinuddin Saifi"/>
    <s v="26/03/2020"/>
    <s v="Shipped"/>
    <s v="Intel i5 12th gen."/>
    <s v="CPU"/>
    <x v="1"/>
    <n v="8500"/>
    <n v="11050"/>
    <n v="1"/>
    <n v="8500"/>
    <n v="11050"/>
    <s v="Vijay Singh"/>
    <n v="33150"/>
  </r>
  <r>
    <s v="139522"/>
    <x v="12"/>
    <s v="Ramkrishna Das Adhikary"/>
    <s v="26/03/2020"/>
    <s v="Order"/>
    <s v="2GB Graphic Card"/>
    <s v="Graphic Card"/>
    <x v="2"/>
    <n v="7000"/>
    <n v="9100"/>
    <n v="4"/>
    <n v="28000"/>
    <n v="36400"/>
    <s v="Aadil Khan"/>
    <n v="18200"/>
  </r>
  <r>
    <s v="139523"/>
    <x v="13"/>
    <s v="Ranjeet Mandal"/>
    <s v="26/03/2020"/>
    <s v="Processing"/>
    <s v="8 GB DDR4 Ram"/>
    <s v="Computer Case"/>
    <x v="3"/>
    <n v="1680"/>
    <n v="2184"/>
    <n v="2"/>
    <n v="3360"/>
    <n v="4368"/>
    <s v="Advika Joshi"/>
    <n v="13650"/>
  </r>
  <r>
    <s v="139524"/>
    <x v="14"/>
    <s v="Ashwini Adsare"/>
    <s v="26/03/2020"/>
    <s v="Delivered"/>
    <s v="Micro ATX motherboard"/>
    <s v="Mouse"/>
    <x v="8"/>
    <n v="6540"/>
    <n v="8502"/>
    <n v="3"/>
    <n v="19620"/>
    <n v="25506"/>
    <s v="Ajay Sharma"/>
    <n v="1690"/>
  </r>
  <r>
    <s v="139525"/>
    <x v="15"/>
    <s v="Rajesh Variya"/>
    <s v="26/03/2020"/>
    <s v="Shipped"/>
    <s v="Gaming Box Cabinet"/>
    <s v="Cabinet"/>
    <x v="5"/>
    <n v="2680"/>
    <n v="3484"/>
    <n v="1"/>
    <n v="2680"/>
    <n v="3484"/>
    <s v="Roshan Kumar"/>
    <n v="2990"/>
  </r>
  <r>
    <s v="139526"/>
    <x v="16"/>
    <s v="Amit Singh"/>
    <s v="26/03/2020"/>
    <s v="Order"/>
    <s v="17&quot; LCD Display"/>
    <s v="Monitor"/>
    <x v="0"/>
    <n v="8250"/>
    <n v="10725"/>
    <n v="4"/>
    <n v="33000"/>
    <n v="42900"/>
    <s v="Aarvi Gupta"/>
    <n v="9750"/>
  </r>
  <r>
    <s v="139527"/>
    <x v="17"/>
    <s v="Vinod Mehta"/>
    <s v="26/03/2020"/>
    <s v="Processing"/>
    <s v="12 GB DDR4 RAM"/>
    <s v="RAM"/>
    <x v="0"/>
    <n v="2650"/>
    <n v="3445"/>
    <n v="4"/>
    <n v="10600"/>
    <n v="13780"/>
    <s v="Vijay Singh"/>
    <n v="25545"/>
  </r>
  <r>
    <s v="139528"/>
    <x v="18"/>
    <s v="Jignesh Mhatre"/>
    <s v="26/03/2020"/>
    <s v="Delivered"/>
    <s v="26&quot; LCD Display"/>
    <s v="Monitor"/>
    <x v="9"/>
    <n v="12550"/>
    <n v="16315"/>
    <n v="4"/>
    <n v="50200"/>
    <n v="65260"/>
    <s v="Aadil Khan"/>
    <n v="9750"/>
  </r>
  <r>
    <s v="139529"/>
    <x v="19"/>
    <s v="Rahul Kashyap"/>
    <s v="26/03/2020"/>
    <s v="Shipped"/>
    <s v="I7 - intel 12th Generation"/>
    <s v="CPU"/>
    <x v="1"/>
    <n v="14500"/>
    <n v="18850"/>
    <n v="1"/>
    <n v="14500"/>
    <n v="18850"/>
    <s v="Advika Joshi"/>
    <n v="33150"/>
  </r>
  <r>
    <s v="139530"/>
    <x v="20"/>
    <s v="Mohammed Abdul Kaleem"/>
    <s v="27/03/2020"/>
    <s v="Order"/>
    <s v="USB Keyboard"/>
    <s v="Keyboard"/>
    <x v="6"/>
    <n v="800"/>
    <n v="1040"/>
    <n v="4"/>
    <n v="3200"/>
    <n v="4160"/>
    <s v="Ajay Sharma"/>
    <n v="3315"/>
  </r>
  <r>
    <s v="139531"/>
    <x v="16"/>
    <s v="Chandrakant Kasbe"/>
    <s v="27/03/2020"/>
    <s v="Processing"/>
    <s v="Wireless Mouse"/>
    <s v="Mouse"/>
    <x v="0"/>
    <n v="600"/>
    <n v="780"/>
    <n v="2"/>
    <n v="1200"/>
    <n v="1560"/>
    <s v="Roshan Kumar"/>
    <n v="1690"/>
  </r>
  <r>
    <s v="139532"/>
    <x v="17"/>
    <s v="Rohan Kale"/>
    <s v="27/03/2020"/>
    <s v="Delivered"/>
    <s v="21&quot; LCD Display"/>
    <s v="Monitor"/>
    <x v="6"/>
    <n v="10500"/>
    <n v="13650"/>
    <n v="1"/>
    <n v="10500"/>
    <n v="13650"/>
    <s v="Aarvi Gupta"/>
    <n v="9750"/>
  </r>
  <r>
    <s v="139533"/>
    <x v="21"/>
    <s v="Aniruddha Kekapure"/>
    <s v="27/03/2020"/>
    <s v="Shipped"/>
    <s v="6 TB HDD"/>
    <s v="HDD"/>
    <x v="10"/>
    <n v="6500"/>
    <n v="8450"/>
    <n v="3"/>
    <n v="19500"/>
    <n v="25350"/>
    <s v="Vijay Singh"/>
    <n v="39000"/>
  </r>
  <r>
    <s v="139534"/>
    <x v="22"/>
    <s v="Aslam Raza"/>
    <s v="27/03/2020"/>
    <s v="Order"/>
    <s v="261 GB SSD"/>
    <s v="SSD"/>
    <x v="0"/>
    <n v="4500"/>
    <n v="5850"/>
    <n v="1"/>
    <n v="4500"/>
    <n v="5850"/>
    <s v="Aadil Khan"/>
    <n v="8450"/>
  </r>
  <r>
    <s v="139535"/>
    <x v="28"/>
    <s v="Roshan Zameer"/>
    <s v="27/03/2020"/>
    <s v="Processing"/>
    <s v="Intel i3 11th gen."/>
    <s v="CPU"/>
    <x v="1"/>
    <n v="8500"/>
    <n v="11050"/>
    <n v="4"/>
    <n v="34000"/>
    <n v="44200"/>
    <s v="Advika Joshi"/>
    <n v="33150"/>
  </r>
  <r>
    <s v="139536"/>
    <x v="28"/>
    <s v="Rakesh Kumar Sharma"/>
    <s v="27/03/2020"/>
    <s v="Delivered"/>
    <s v="4GB Graphic card"/>
    <s v="Graphic Card"/>
    <x v="2"/>
    <n v="12500"/>
    <n v="16250"/>
    <n v="1"/>
    <n v="12500"/>
    <n v="16250"/>
    <s v="Ajay Sharma"/>
    <n v="18200"/>
  </r>
  <r>
    <s v="139537"/>
    <x v="28"/>
    <s v="Shivanand Sahani"/>
    <s v="27/03/2020"/>
    <s v="Shipped"/>
    <s v="13 GB DDR4 RAM"/>
    <s v="NIC"/>
    <x v="3"/>
    <n v="3500"/>
    <n v="4550"/>
    <n v="2"/>
    <n v="7000"/>
    <n v="9100"/>
    <s v="Roshan Kumar"/>
    <n v="9100"/>
  </r>
  <r>
    <s v="139538"/>
    <x v="28"/>
    <s v="Kunal Patra"/>
    <s v="27/03/2020"/>
    <s v="Order"/>
    <s v="BTX motherboard"/>
    <s v="Printer"/>
    <x v="4"/>
    <n v="4500"/>
    <n v="5850"/>
    <n v="3"/>
    <n v="13500"/>
    <n v="17550"/>
    <s v="Aarvi Gupta"/>
    <n v="11700"/>
  </r>
  <r>
    <s v="139539"/>
    <x v="28"/>
    <s v="Bijendra"/>
    <s v="27/03/2020"/>
    <s v="Processing"/>
    <s v="8 Fans Cabinet"/>
    <s v="Cabinet"/>
    <x v="5"/>
    <n v="2100"/>
    <n v="2730"/>
    <n v="4"/>
    <n v="8400"/>
    <n v="10920"/>
    <s v="Vijay Singh"/>
    <n v="2990"/>
  </r>
  <r>
    <s v="139540"/>
    <x v="28"/>
    <s v="Kranti Bheke"/>
    <s v="27/03/2020"/>
    <s v="Delivered"/>
    <s v="Wireless Keyboard"/>
    <s v="Keyboard"/>
    <x v="6"/>
    <n v="1150"/>
    <n v="1495"/>
    <n v="3"/>
    <n v="3450"/>
    <n v="4485"/>
    <s v="Aadil Khan"/>
    <n v="3315"/>
  </r>
  <r>
    <s v="139541"/>
    <x v="13"/>
    <s v="Jagdeep"/>
    <s v="27/03/2020"/>
    <s v="Shipped"/>
    <s v="USB Mouse"/>
    <s v="Mouse"/>
    <x v="0"/>
    <n v="350"/>
    <n v="455"/>
    <n v="4"/>
    <n v="1400"/>
    <n v="1820"/>
    <s v="Advika Joshi"/>
    <n v="1690"/>
  </r>
  <r>
    <s v="139542"/>
    <x v="14"/>
    <s v="Adhir Samal"/>
    <s v="27/03/2020"/>
    <s v="Order"/>
    <s v="19&quot; LED Display"/>
    <s v="Monitor"/>
    <x v="6"/>
    <n v="9500"/>
    <n v="12350"/>
    <n v="4"/>
    <n v="38000"/>
    <n v="49400"/>
    <s v="Ajay Sharma"/>
    <n v="9750"/>
  </r>
  <r>
    <s v="139543"/>
    <x v="15"/>
    <s v="Dannana Jhammi"/>
    <s v="27/03/2020"/>
    <s v="Processing"/>
    <s v="7 TB HDD"/>
    <s v="HDD"/>
    <x v="10"/>
    <n v="10000"/>
    <n v="13000"/>
    <n v="2"/>
    <n v="20000"/>
    <n v="26000"/>
    <s v="Roshan Kumar"/>
    <n v="39000"/>
  </r>
  <r>
    <s v="139544"/>
    <x v="16"/>
    <s v="Vipin Kumar"/>
    <s v="27/03/2020"/>
    <s v="Delivered"/>
    <s v="517 GB M.2"/>
    <s v="SSD"/>
    <x v="0"/>
    <n v="6500"/>
    <n v="8450"/>
    <n v="4"/>
    <n v="26000"/>
    <n v="33800"/>
    <s v="Aarvi Gupta"/>
    <n v="8450"/>
  </r>
  <r>
    <s v="139545"/>
    <x v="17"/>
    <s v="Ranjeet Kumar"/>
    <s v="27/03/2020"/>
    <s v="Shipped"/>
    <s v="RYZEN 3rd gen. 3505"/>
    <s v="CPU"/>
    <x v="1"/>
    <n v="8500"/>
    <n v="11050"/>
    <n v="2"/>
    <n v="17000"/>
    <n v="22100"/>
    <s v="Vijay Singh"/>
    <n v="33150"/>
  </r>
  <r>
    <s v="139546"/>
    <x v="18"/>
    <s v="Sajal Singhal"/>
    <s v="27/03/2020"/>
    <s v="Order"/>
    <s v="2GB Graphic Card"/>
    <s v="Graphic Card"/>
    <x v="2"/>
    <n v="7000"/>
    <n v="9100"/>
    <n v="3"/>
    <n v="21000"/>
    <n v="27300"/>
    <s v="Aadil Khan"/>
    <n v="18200"/>
  </r>
  <r>
    <s v="139547"/>
    <x v="19"/>
    <s v="Akhilesh Kumar"/>
    <s v="27/03/2020"/>
    <s v="Processing"/>
    <s v="21 GB DDR4 RAM"/>
    <s v="NIC"/>
    <x v="3"/>
    <n v="6550"/>
    <n v="8515"/>
    <n v="2"/>
    <n v="13100"/>
    <n v="17030"/>
    <s v="Advika Joshi"/>
    <n v="9100"/>
  </r>
  <r>
    <s v="139548"/>
    <x v="20"/>
    <s v="Suvankar Chakraborty"/>
    <s v="27/03/2020"/>
    <s v="Delivered"/>
    <s v="Standard ATX motherboard"/>
    <s v="Printer"/>
    <x v="4"/>
    <n v="7650"/>
    <n v="9945"/>
    <n v="2"/>
    <n v="15300"/>
    <n v="19890"/>
    <s v="Ajay Sharma"/>
    <n v="11700"/>
  </r>
  <r>
    <s v="139549"/>
    <x v="16"/>
    <s v="Suvankar Adhikary"/>
    <s v="27/03/2020"/>
    <s v="Shipped"/>
    <s v="Compact with 1 Fan"/>
    <s v="Cabinet"/>
    <x v="5"/>
    <n v="1150"/>
    <n v="1495"/>
    <n v="3"/>
    <n v="3450"/>
    <n v="4485"/>
    <s v="Aarvi Gupta"/>
    <n v="2990"/>
  </r>
  <r>
    <s v="139550"/>
    <x v="17"/>
    <s v="Rahul Kumar Prajapati"/>
    <s v="27/03/2020"/>
    <s v="Order"/>
    <s v="USB Backlight Keyboard"/>
    <s v="Keyboard"/>
    <x v="6"/>
    <n v="850"/>
    <n v="1105"/>
    <n v="1"/>
    <n v="850"/>
    <n v="1105"/>
    <s v="Vijay Singh"/>
    <n v="3315"/>
  </r>
  <r>
    <s v="139551"/>
    <x v="21"/>
    <s v="Sagar Jeur"/>
    <s v="27/03/2020"/>
    <s v="Processing"/>
    <s v="Ergonomic Mouse"/>
    <s v="Mouse"/>
    <x v="0"/>
    <n v="650"/>
    <n v="845"/>
    <n v="4"/>
    <n v="2600"/>
    <n v="3380"/>
    <s v="Aadil Khan"/>
    <n v="1690"/>
  </r>
  <r>
    <s v="139552"/>
    <x v="22"/>
    <s v="Rhushikesh Mane"/>
    <s v="27/03/2020"/>
    <s v="Delivered"/>
    <s v="15&quot; LCD Dsipaly"/>
    <s v="Monitor"/>
    <x v="6"/>
    <n v="7500"/>
    <n v="9750"/>
    <n v="1"/>
    <n v="7500"/>
    <n v="9750"/>
    <s v="Advika Joshi"/>
    <n v="9750"/>
  </r>
  <r>
    <s v="139553"/>
    <x v="28"/>
    <s v="Ashish Kumar"/>
    <s v="27/03/2020"/>
    <s v="Shipped"/>
    <s v="7 TB HDD"/>
    <s v="HDD"/>
    <x v="7"/>
    <n v="10000"/>
    <n v="13000"/>
    <n v="1"/>
    <n v="10000"/>
    <n v="13000"/>
    <s v="Ajay Sharma"/>
    <n v="39000"/>
  </r>
  <r>
    <s v="139554"/>
    <x v="29"/>
    <s v="Javed Akhter"/>
    <s v="27/03/2020"/>
    <s v="Order"/>
    <s v="6 TB SSD"/>
    <s v="SSD"/>
    <x v="0"/>
    <n v="10500"/>
    <n v="13650"/>
    <n v="3"/>
    <n v="31500"/>
    <n v="40950"/>
    <s v="Roshan Kumar"/>
    <n v="8450"/>
  </r>
  <r>
    <s v="139555"/>
    <x v="30"/>
    <s v="Haridas Balraj"/>
    <s v="27/03/2020"/>
    <s v="Processing"/>
    <s v="Intel i5 12th gen."/>
    <s v="CPU"/>
    <x v="1"/>
    <n v="8500"/>
    <n v="11050"/>
    <n v="1"/>
    <n v="8500"/>
    <n v="11050"/>
    <s v="Aarvi Gupta"/>
    <n v="33150"/>
  </r>
  <r>
    <s v="139556"/>
    <x v="31"/>
    <s v="Kundan Kumar"/>
    <s v="27/03/2020"/>
    <s v="Delivered"/>
    <s v="2GB Graphic Card"/>
    <s v="Graphic Card"/>
    <x v="2"/>
    <n v="7000"/>
    <n v="9100"/>
    <n v="3"/>
    <n v="21000"/>
    <n v="27300"/>
    <s v="Vijay Singh"/>
    <n v="18200"/>
  </r>
  <r>
    <s v="139557"/>
    <x v="32"/>
    <s v="Atif Siddiqui"/>
    <s v="27/03/2020"/>
    <s v="Shipped"/>
    <s v="9 GB DDR4 Ram"/>
    <s v="NIC"/>
    <x v="3"/>
    <n v="1680"/>
    <n v="2184"/>
    <n v="2"/>
    <n v="3360"/>
    <n v="4368"/>
    <s v="Aadil Khan"/>
    <n v="9100"/>
  </r>
  <r>
    <s v="139558"/>
    <x v="12"/>
    <s v="Aditya Agarwal"/>
    <s v="27/03/2020"/>
    <s v="Order"/>
    <s v="Micro ATX motherboard"/>
    <s v="Printer"/>
    <x v="8"/>
    <n v="6540"/>
    <n v="8502"/>
    <n v="3"/>
    <n v="19620"/>
    <n v="25506"/>
    <s v="Advika Joshi"/>
    <n v="11700"/>
  </r>
  <r>
    <s v="139559"/>
    <x v="13"/>
    <s v="Firdoush Jabee"/>
    <s v="27/03/2020"/>
    <s v="Processing"/>
    <s v="Gaming Box Cabinet"/>
    <s v="Cabinet"/>
    <x v="5"/>
    <n v="2680"/>
    <n v="3484"/>
    <n v="3"/>
    <n v="8040"/>
    <n v="10452"/>
    <s v="Ajay Sharma"/>
    <n v="2990"/>
  </r>
  <r>
    <s v="139560"/>
    <x v="14"/>
    <s v="Jay Prakash Kumar"/>
    <s v="27/03/2020"/>
    <s v="Delivered"/>
    <s v="17&quot; LCD Display"/>
    <s v="Monitor"/>
    <x v="0"/>
    <n v="8250"/>
    <n v="10725"/>
    <n v="4"/>
    <n v="33000"/>
    <n v="42900"/>
    <s v="Aarvi Gupta"/>
    <n v="9750"/>
  </r>
  <r>
    <s v="139561"/>
    <x v="15"/>
    <s v="Ashish Pandey"/>
    <s v="27/03/2020"/>
    <s v="Shipped"/>
    <s v="13 GB DDR4 RAM"/>
    <s v="RAM"/>
    <x v="0"/>
    <n v="2650"/>
    <n v="3445"/>
    <n v="4"/>
    <n v="10600"/>
    <n v="13780"/>
    <s v="Vijay Singh"/>
    <n v="25545"/>
  </r>
  <r>
    <s v="139562"/>
    <x v="16"/>
    <s v="Ajay Sharma"/>
    <s v="28/03/2020"/>
    <s v="Order"/>
    <s v="26&quot; LCD Display"/>
    <s v="Monitor"/>
    <x v="9"/>
    <n v="12550"/>
    <n v="16315"/>
    <n v="4"/>
    <n v="50200"/>
    <n v="65260"/>
    <s v="Aadil Khan"/>
    <n v="9750"/>
  </r>
  <r>
    <s v="139563"/>
    <x v="17"/>
    <s v="Moinuddin Saifi"/>
    <s v="28/03/2020"/>
    <s v="Processing"/>
    <s v="I7 - intel 12th Generation"/>
    <s v="CPU"/>
    <x v="1"/>
    <n v="14500"/>
    <n v="18850"/>
    <n v="1"/>
    <n v="14500"/>
    <n v="18850"/>
    <s v="Advika Joshi"/>
    <n v="33150"/>
  </r>
  <r>
    <s v="139564"/>
    <x v="18"/>
    <s v="Ramkrishna Das Adhikary"/>
    <s v="28/03/2020"/>
    <s v="Delivered"/>
    <s v="USB Keyboard"/>
    <s v="Keyboard"/>
    <x v="6"/>
    <n v="800"/>
    <n v="1040"/>
    <n v="4"/>
    <n v="3200"/>
    <n v="4160"/>
    <s v="Ajay Sharma"/>
    <n v="3315"/>
  </r>
  <r>
    <s v="139565"/>
    <x v="19"/>
    <s v="Ranjeet Mandal"/>
    <s v="28/03/2020"/>
    <s v="Shipped"/>
    <s v="Wireless Mouse"/>
    <s v="Mouse"/>
    <x v="0"/>
    <n v="600"/>
    <n v="780"/>
    <n v="2"/>
    <n v="1200"/>
    <n v="1560"/>
    <s v="Roshan Kumar"/>
    <n v="1690"/>
  </r>
  <r>
    <s v="139566"/>
    <x v="19"/>
    <s v="Ashwini Adsare"/>
    <s v="28/03/2020"/>
    <s v="Order"/>
    <s v="21&quot; LCD Display"/>
    <s v="Monitor"/>
    <x v="6"/>
    <n v="10500"/>
    <n v="13650"/>
    <n v="1"/>
    <n v="10500"/>
    <n v="13650"/>
    <s v="Aarvi Gupta"/>
    <n v="9750"/>
  </r>
  <r>
    <s v="139567"/>
    <x v="19"/>
    <s v="Rajesh Variya"/>
    <s v="28/03/2020"/>
    <s v="Processing"/>
    <s v="7 TB HDD"/>
    <s v="HDD"/>
    <x v="10"/>
    <n v="6500"/>
    <n v="8450"/>
    <n v="4"/>
    <n v="26000"/>
    <n v="33800"/>
    <s v="Vijay Singh"/>
    <n v="39000"/>
  </r>
  <r>
    <s v="139568"/>
    <x v="19"/>
    <s v="Amit Singh"/>
    <s v="28/03/2020"/>
    <s v="Delivered"/>
    <s v="262 GB SSD"/>
    <s v="SSD"/>
    <x v="0"/>
    <n v="4500"/>
    <n v="5850"/>
    <n v="2"/>
    <n v="9000"/>
    <n v="11700"/>
    <s v="Aadil Khan"/>
    <n v="8450"/>
  </r>
  <r>
    <s v="139569"/>
    <x v="19"/>
    <s v="Vinod Mehta"/>
    <s v="28/03/2020"/>
    <s v="Shipped"/>
    <s v="Intel i3 11th gen."/>
    <s v="CPU"/>
    <x v="1"/>
    <n v="8500"/>
    <n v="11050"/>
    <n v="3"/>
    <n v="25500"/>
    <n v="33150"/>
    <s v="Advika Joshi"/>
    <n v="33150"/>
  </r>
  <r>
    <s v="139570"/>
    <x v="19"/>
    <s v="Jignesh Mhatre"/>
    <s v="28/03/2020"/>
    <s v="Order"/>
    <s v="4GB Graphic card"/>
    <s v="Graphic Card"/>
    <x v="2"/>
    <n v="12500"/>
    <n v="16250"/>
    <n v="2"/>
    <n v="25000"/>
    <n v="32500"/>
    <s v="Ajay Sharma"/>
    <n v="18200"/>
  </r>
  <r>
    <s v="139571"/>
    <x v="19"/>
    <s v="Rahul Kashyap"/>
    <s v="28/03/2020"/>
    <s v="Processing"/>
    <s v="14 GB DDR4 RAM"/>
    <s v="RAM"/>
    <x v="3"/>
    <n v="3500"/>
    <n v="4550"/>
    <n v="4"/>
    <n v="14000"/>
    <n v="18200"/>
    <s v="Roshan Kumar"/>
    <n v="25545"/>
  </r>
  <r>
    <s v="139572"/>
    <x v="19"/>
    <s v="Mohammed Abdul Kaleem"/>
    <s v="28/03/2020"/>
    <s v="Delivered"/>
    <s v="BTX motherboard"/>
    <s v="MotherBoard"/>
    <x v="4"/>
    <n v="4500"/>
    <n v="5850"/>
    <n v="2"/>
    <n v="9000"/>
    <n v="11700"/>
    <s v="Aarvi Gupta"/>
    <n v="39780"/>
  </r>
  <r>
    <s v="139573"/>
    <x v="19"/>
    <s v="Chandrakant Kasbe"/>
    <s v="28/03/2020"/>
    <s v="Shipped"/>
    <s v="9 Fans Cabinet"/>
    <s v="Cabinet"/>
    <x v="5"/>
    <n v="2100"/>
    <n v="2730"/>
    <n v="1"/>
    <n v="2100"/>
    <n v="2730"/>
    <s v="Vijay Singh"/>
    <n v="2990"/>
  </r>
  <r>
    <s v="139574"/>
    <x v="31"/>
    <s v="Rohan Kale"/>
    <s v="28/03/2020"/>
    <s v="Order"/>
    <s v="Wireless Keyboard"/>
    <s v="Keyboard"/>
    <x v="6"/>
    <n v="1150"/>
    <n v="1495"/>
    <n v="1"/>
    <n v="1150"/>
    <n v="1495"/>
    <s v="Aadil Khan"/>
    <n v="3315"/>
  </r>
  <r>
    <s v="139575"/>
    <x v="32"/>
    <s v="Aniruddha Kekapure"/>
    <s v="28/03/2020"/>
    <s v="Processing"/>
    <s v="USB Mouse"/>
    <s v="Mouse"/>
    <x v="0"/>
    <n v="350"/>
    <n v="455"/>
    <n v="2"/>
    <n v="700"/>
    <n v="910"/>
    <s v="Advika Joshi"/>
    <n v="1690"/>
  </r>
  <r>
    <s v="139576"/>
    <x v="12"/>
    <s v="Aslam Raza"/>
    <s v="28/03/2020"/>
    <s v="Delivered"/>
    <s v="19&quot; LED Display"/>
    <s v="Monitor"/>
    <x v="6"/>
    <n v="9500"/>
    <n v="12350"/>
    <n v="2"/>
    <n v="19000"/>
    <n v="24700"/>
    <s v="Ajay Sharma"/>
    <n v="9750"/>
  </r>
  <r>
    <s v="139577"/>
    <x v="13"/>
    <s v="Roshan Zameer"/>
    <s v="28/03/2020"/>
    <s v="Shipped"/>
    <s v="8 TB HDD"/>
    <s v="HDD"/>
    <x v="10"/>
    <n v="10000"/>
    <n v="13000"/>
    <n v="4"/>
    <n v="40000"/>
    <n v="52000"/>
    <s v="Roshan Kumar"/>
    <n v="39000"/>
  </r>
  <r>
    <s v="139578"/>
    <x v="14"/>
    <s v="Rakesh Kumar Sharma"/>
    <s v="28/03/2020"/>
    <s v="Order"/>
    <s v="518 GB M.2"/>
    <s v="SSD"/>
    <x v="0"/>
    <n v="6500"/>
    <n v="8450"/>
    <n v="3"/>
    <n v="19500"/>
    <n v="25350"/>
    <s v="Aarvi Gupta"/>
    <n v="8450"/>
  </r>
  <r>
    <s v="139579"/>
    <x v="15"/>
    <s v="Shivanand Sahani"/>
    <s v="28/03/2020"/>
    <s v="Processing"/>
    <s v="RYZEN 3rd gen. 3506"/>
    <s v="CPU"/>
    <x v="1"/>
    <n v="8500"/>
    <n v="11050"/>
    <n v="4"/>
    <n v="34000"/>
    <n v="44200"/>
    <s v="Vijay Singh"/>
    <n v="33150"/>
  </r>
  <r>
    <s v="139580"/>
    <x v="16"/>
    <s v="Kunal Patra"/>
    <s v="28/03/2020"/>
    <s v="Delivered"/>
    <s v="2GB Graphic Card"/>
    <s v="Graphic Card"/>
    <x v="2"/>
    <n v="7000"/>
    <n v="9100"/>
    <n v="4"/>
    <n v="28000"/>
    <n v="36400"/>
    <s v="Aadil Khan"/>
    <n v="18200"/>
  </r>
  <r>
    <s v="139581"/>
    <x v="17"/>
    <s v="Bijendra"/>
    <s v="28/03/2020"/>
    <s v="Shipped"/>
    <s v="22 GB DDR4 RAM"/>
    <s v="RAM"/>
    <x v="3"/>
    <n v="6550"/>
    <n v="8515"/>
    <n v="1"/>
    <n v="6550"/>
    <n v="8515"/>
    <s v="Advika Joshi"/>
    <n v="25545"/>
  </r>
  <r>
    <s v="139582"/>
    <x v="18"/>
    <s v="Kranti Bheke"/>
    <s v="28/03/2020"/>
    <s v="Order"/>
    <s v="Standard ATX motherboard"/>
    <s v="MotherBoard"/>
    <x v="4"/>
    <n v="7650"/>
    <n v="9945"/>
    <n v="1"/>
    <n v="7650"/>
    <n v="9945"/>
    <s v="Ajay Sharma"/>
    <n v="39780"/>
  </r>
  <r>
    <s v="139583"/>
    <x v="19"/>
    <s v="Jagdeep"/>
    <s v="28/03/2020"/>
    <s v="Processing"/>
    <s v="Compact with 1 Fan"/>
    <s v="Cabinet"/>
    <x v="5"/>
    <n v="1150"/>
    <n v="1495"/>
    <n v="1"/>
    <n v="1150"/>
    <n v="1495"/>
    <s v="Roshan Kumar"/>
    <n v="2990"/>
  </r>
  <r>
    <s v="139584"/>
    <x v="20"/>
    <s v="Adhir Samal"/>
    <s v="28/03/2020"/>
    <s v="Delivered"/>
    <s v="USB Backlight Keyboard"/>
    <s v="Keyboard"/>
    <x v="6"/>
    <n v="850"/>
    <n v="1105"/>
    <n v="4"/>
    <n v="3400"/>
    <n v="4420"/>
    <s v="Aarvi Gupta"/>
    <n v="3315"/>
  </r>
  <r>
    <s v="139585"/>
    <x v="16"/>
    <s v="Dannana Jhammi"/>
    <s v="28/03/2020"/>
    <s v="Shipped"/>
    <s v="Ergonomic Mouse"/>
    <s v="Mouse"/>
    <x v="0"/>
    <n v="650"/>
    <n v="845"/>
    <n v="1"/>
    <n v="650"/>
    <n v="845"/>
    <s v="Vijay Singh"/>
    <n v="1690"/>
  </r>
  <r>
    <s v="139586"/>
    <x v="17"/>
    <s v="Vipin Kumar"/>
    <s v="28/03/2020"/>
    <s v="Order"/>
    <s v="15&quot; LCD Dsipaly"/>
    <s v="Monitor"/>
    <x v="6"/>
    <n v="7500"/>
    <n v="9750"/>
    <n v="3"/>
    <n v="22500"/>
    <n v="29250"/>
    <s v="Aadil Khan"/>
    <n v="9750"/>
  </r>
  <r>
    <s v="139587"/>
    <x v="21"/>
    <s v="Ranjeet Kumar"/>
    <s v="28/03/2020"/>
    <s v="Processing"/>
    <s v="8 TB HDD"/>
    <s v="HDD"/>
    <x v="7"/>
    <n v="10000"/>
    <n v="13000"/>
    <n v="1"/>
    <n v="10000"/>
    <n v="13000"/>
    <s v="Advika Joshi"/>
    <n v="39000"/>
  </r>
  <r>
    <s v="139588"/>
    <x v="22"/>
    <s v="Sajal Singhal"/>
    <s v="28/03/2020"/>
    <s v="Delivered"/>
    <s v="7 TB SSD"/>
    <s v="SSD"/>
    <x v="0"/>
    <n v="10500"/>
    <n v="13650"/>
    <n v="1"/>
    <n v="10500"/>
    <n v="13650"/>
    <s v="Ajay Sharma"/>
    <n v="8450"/>
  </r>
  <r>
    <s v="139589"/>
    <x v="28"/>
    <s v="Akhilesh Kumar"/>
    <s v="28/03/2020"/>
    <s v="Shipped"/>
    <s v="Intel i5 12th gen."/>
    <s v="CPU"/>
    <x v="1"/>
    <n v="8500"/>
    <n v="11050"/>
    <n v="2"/>
    <n v="17000"/>
    <n v="22100"/>
    <s v="Roshan Kumar"/>
    <n v="33150"/>
  </r>
  <r>
    <s v="139590"/>
    <x v="29"/>
    <s v="Suvankar Chakraborty"/>
    <s v="28/03/2020"/>
    <s v="Order"/>
    <s v="2GB Graphic Card"/>
    <s v="Graphic Card"/>
    <x v="2"/>
    <n v="7000"/>
    <n v="9100"/>
    <n v="4"/>
    <n v="28000"/>
    <n v="36400"/>
    <s v="Aarvi Gupta"/>
    <n v="18200"/>
  </r>
  <r>
    <s v="139591"/>
    <x v="30"/>
    <s v="Suvankar Adhikary"/>
    <s v="28/03/2020"/>
    <s v="Processing"/>
    <s v="10 GB DDR4 Ram"/>
    <s v="RAM"/>
    <x v="3"/>
    <n v="1680"/>
    <n v="2184"/>
    <n v="1"/>
    <n v="1680"/>
    <n v="2184"/>
    <s v="Vijay Singh"/>
    <n v="25545"/>
  </r>
  <r>
    <s v="139592"/>
    <x v="31"/>
    <s v="Rahul Kumar Prajapati"/>
    <s v="28/03/2020"/>
    <s v="Delivered"/>
    <s v="Micro ATX motherboard"/>
    <s v="MotherBoard"/>
    <x v="8"/>
    <n v="6540"/>
    <n v="8502"/>
    <n v="3"/>
    <n v="19620"/>
    <n v="25506"/>
    <s v="Aadil Khan"/>
    <n v="39780"/>
  </r>
  <r>
    <s v="139593"/>
    <x v="32"/>
    <s v="Sagar Jeur"/>
    <s v="28/03/2020"/>
    <s v="Shipped"/>
    <s v="Gaming Box Cabinet"/>
    <s v="Cabinet"/>
    <x v="5"/>
    <n v="2680"/>
    <n v="3484"/>
    <n v="3"/>
    <n v="8040"/>
    <n v="10452"/>
    <s v="Advika Joshi"/>
    <n v="2990"/>
  </r>
  <r>
    <s v="139594"/>
    <x v="0"/>
    <s v="Rhushikesh Mane"/>
    <s v="28/03/2020"/>
    <s v="Order"/>
    <s v="17&quot; LCD Display"/>
    <s v="Monitor"/>
    <x v="0"/>
    <n v="8250"/>
    <n v="10725"/>
    <n v="1"/>
    <n v="8250"/>
    <n v="10725"/>
    <s v="Ajay Sharma"/>
    <n v="9750"/>
  </r>
  <r>
    <s v="139595"/>
    <x v="23"/>
    <s v="Ashish Kumar"/>
    <s v="28/03/2020"/>
    <s v="Processing"/>
    <s v="14 GB DDR4 RAM"/>
    <s v="RAM"/>
    <x v="0"/>
    <n v="2650"/>
    <n v="3445"/>
    <n v="3"/>
    <n v="7950"/>
    <n v="10335"/>
    <s v="Roshan Kumar"/>
    <n v="25545"/>
  </r>
  <r>
    <s v="139596"/>
    <x v="1"/>
    <s v="Javed Akhter"/>
    <s v="28/03/2020"/>
    <s v="Delivered"/>
    <s v="26&quot; LCD Display"/>
    <s v="Monitor"/>
    <x v="9"/>
    <n v="12550"/>
    <n v="16315"/>
    <n v="4"/>
    <n v="50200"/>
    <n v="65260"/>
    <s v="Aarvi Gupta"/>
    <n v="9750"/>
  </r>
  <r>
    <s v="139597"/>
    <x v="2"/>
    <s v="Haridas Balraj"/>
    <s v="28/03/2020"/>
    <s v="Shipped"/>
    <s v="I7 - intel 12th Generation"/>
    <s v="CPU"/>
    <x v="1"/>
    <n v="14500"/>
    <n v="18850"/>
    <n v="1"/>
    <n v="14500"/>
    <n v="18850"/>
    <s v="Vijay Singh"/>
    <n v="33150"/>
  </r>
  <r>
    <s v="139598"/>
    <x v="3"/>
    <s v="Kundan Kumar"/>
    <s v="28/03/2020"/>
    <s v="Order"/>
    <s v="USB Keyboard"/>
    <s v="Keyboard"/>
    <x v="6"/>
    <n v="800"/>
    <n v="1040"/>
    <n v="4"/>
    <n v="3200"/>
    <n v="4160"/>
    <s v="Aadil Khan"/>
    <n v="3315"/>
  </r>
  <r>
    <s v="139599"/>
    <x v="24"/>
    <s v="Atif Siddiqui"/>
    <s v="28/03/2020"/>
    <s v="Processing"/>
    <s v="Wireless Mouse"/>
    <s v="Mouse"/>
    <x v="0"/>
    <n v="600"/>
    <n v="780"/>
    <n v="4"/>
    <n v="2400"/>
    <n v="3120"/>
    <s v="Advika Joshi"/>
    <n v="1690"/>
  </r>
  <r>
    <s v="139600"/>
    <x v="25"/>
    <s v="Aditya Agarwal"/>
    <s v="29/03/2020"/>
    <s v="Delivered"/>
    <s v="21&quot; LCD Display"/>
    <s v="Monitor"/>
    <x v="6"/>
    <n v="10500"/>
    <n v="13650"/>
    <n v="3"/>
    <n v="31500"/>
    <n v="40950"/>
    <s v="Ajay Sharma"/>
    <n v="9750"/>
  </r>
  <r>
    <s v="139601"/>
    <x v="33"/>
    <s v="Firdoush Jabee"/>
    <s v="29/03/2020"/>
    <s v="Shipped"/>
    <s v="8 TB HDD"/>
    <s v="HDD"/>
    <x v="10"/>
    <n v="6500"/>
    <n v="8450"/>
    <n v="2"/>
    <n v="13000"/>
    <n v="16900"/>
    <s v="Roshan Kumar"/>
    <n v="39000"/>
  </r>
  <r>
    <s v="139602"/>
    <x v="34"/>
    <s v="Jay Prakash Kumar"/>
    <s v="29/03/2020"/>
    <s v="Order"/>
    <s v="263 GB SSD"/>
    <s v="SSD"/>
    <x v="0"/>
    <n v="4500"/>
    <n v="5850"/>
    <n v="1"/>
    <n v="4500"/>
    <n v="5850"/>
    <s v="Aarvi Gupta"/>
    <n v="8450"/>
  </r>
  <r>
    <s v="139603"/>
    <x v="4"/>
    <s v="Ashish Pandey"/>
    <s v="29/03/2020"/>
    <s v="Processing"/>
    <s v="Intel i3 11th gen."/>
    <s v="CPU"/>
    <x v="1"/>
    <n v="8500"/>
    <n v="11050"/>
    <n v="4"/>
    <n v="34000"/>
    <n v="44200"/>
    <s v="Vijay Singh"/>
    <n v="33150"/>
  </r>
  <r>
    <s v="139604"/>
    <x v="5"/>
    <s v="Ajay Sharma"/>
    <s v="29/03/2020"/>
    <s v="Delivered"/>
    <s v="4GB Graphic card"/>
    <s v="Graphic Card"/>
    <x v="2"/>
    <n v="12500"/>
    <n v="16250"/>
    <n v="3"/>
    <n v="37500"/>
    <n v="48750"/>
    <s v="Aadil Khan"/>
    <n v="18200"/>
  </r>
  <r>
    <s v="139605"/>
    <x v="6"/>
    <s v="Moinuddin Saifi"/>
    <s v="29/03/2020"/>
    <s v="Shipped"/>
    <s v="15 GB DDR4 RAM"/>
    <s v="Computer Case"/>
    <x v="3"/>
    <n v="3500"/>
    <n v="4550"/>
    <n v="1"/>
    <n v="3500"/>
    <n v="4550"/>
    <s v="Advika Joshi"/>
    <n v="13650"/>
  </r>
  <r>
    <s v="139606"/>
    <x v="7"/>
    <s v="Ramkrishna Das Adhikary"/>
    <s v="29/03/2020"/>
    <s v="Order"/>
    <s v="BTX motherboard"/>
    <s v="Mouse"/>
    <x v="4"/>
    <n v="4500"/>
    <n v="5850"/>
    <n v="1"/>
    <n v="4500"/>
    <n v="5850"/>
    <s v="Vijay Singh"/>
    <n v="1690"/>
  </r>
  <r>
    <s v="139607"/>
    <x v="26"/>
    <s v="Ranjeet Mandal"/>
    <s v="29/03/2020"/>
    <s v="Processing"/>
    <s v="10 Fans Cabinet"/>
    <s v="Cabinet"/>
    <x v="5"/>
    <n v="2100"/>
    <n v="2730"/>
    <n v="1"/>
    <n v="2100"/>
    <n v="2730"/>
    <s v="Aadil Khan"/>
    <n v="2990"/>
  </r>
  <r>
    <s v="139608"/>
    <x v="27"/>
    <s v="Ashwini Adsare"/>
    <s v="29/03/2020"/>
    <s v="Delivered"/>
    <s v="Wireless Keyboard"/>
    <s v="Keyboard"/>
    <x v="6"/>
    <n v="1150"/>
    <n v="1495"/>
    <n v="2"/>
    <n v="2300"/>
    <n v="2990"/>
    <s v="Advika Joshi"/>
    <n v="3315"/>
  </r>
  <r>
    <s v="139609"/>
    <x v="8"/>
    <s v="Rajesh Variya"/>
    <s v="29/03/2020"/>
    <s v="Shipped"/>
    <s v="USB Mouse"/>
    <s v="Mouse"/>
    <x v="0"/>
    <n v="350"/>
    <n v="455"/>
    <n v="1"/>
    <n v="350"/>
    <n v="455"/>
    <s v="Ajay Sharma"/>
    <n v="1690"/>
  </r>
  <r>
    <s v="139610"/>
    <x v="9"/>
    <s v="Amit Singh"/>
    <s v="29/03/2020"/>
    <s v="Order"/>
    <s v="19&quot; LED Display"/>
    <s v="Monitor"/>
    <x v="6"/>
    <n v="9500"/>
    <n v="12350"/>
    <n v="3"/>
    <n v="28500"/>
    <n v="37050"/>
    <s v="Roshan Kumar"/>
    <n v="9750"/>
  </r>
  <r>
    <s v="139611"/>
    <x v="10"/>
    <s v="Vinod Mehta"/>
    <s v="29/03/2020"/>
    <s v="Processing"/>
    <s v="9 TB HDD"/>
    <s v="HDD"/>
    <x v="10"/>
    <n v="10000"/>
    <n v="13000"/>
    <n v="4"/>
    <n v="40000"/>
    <n v="52000"/>
    <s v="Aarvi Gupta"/>
    <n v="39000"/>
  </r>
  <r>
    <s v="139612"/>
    <x v="11"/>
    <s v="Jignesh Mhatre"/>
    <s v="29/03/2020"/>
    <s v="Delivered"/>
    <s v="519 GB M.2"/>
    <s v="SSD"/>
    <x v="0"/>
    <n v="6500"/>
    <n v="8450"/>
    <n v="3"/>
    <n v="19500"/>
    <n v="25350"/>
    <s v="Vijay Singh"/>
    <n v="8450"/>
  </r>
  <r>
    <s v="139613"/>
    <x v="12"/>
    <s v="Rahul Kashyap"/>
    <s v="29/03/2020"/>
    <s v="Shipped"/>
    <s v="RYZEN 3rd gen. 3507"/>
    <s v="CPU"/>
    <x v="1"/>
    <n v="8500"/>
    <n v="11050"/>
    <n v="1"/>
    <n v="8500"/>
    <n v="11050"/>
    <s v="Aadil Khan"/>
    <n v="33150"/>
  </r>
  <r>
    <s v="139614"/>
    <x v="13"/>
    <s v="Mohammed Abdul Kaleem"/>
    <s v="29/03/2020"/>
    <s v="Order"/>
    <s v="2GB Graphic Card"/>
    <s v="Graphic Card"/>
    <x v="2"/>
    <n v="7000"/>
    <n v="9100"/>
    <n v="2"/>
    <n v="14000"/>
    <n v="18200"/>
    <s v="Advika Joshi"/>
    <n v="18200"/>
  </r>
  <r>
    <s v="139615"/>
    <x v="14"/>
    <s v="Chandrakant Kasbe"/>
    <s v="29/03/2020"/>
    <s v="Processing"/>
    <s v="23 GB DDR4 RAM"/>
    <s v="Computer Case"/>
    <x v="3"/>
    <n v="6550"/>
    <n v="8515"/>
    <n v="1"/>
    <n v="6550"/>
    <n v="8515"/>
    <s v="Ajay Sharma"/>
    <n v="13650"/>
  </r>
  <r>
    <s v="139616"/>
    <x v="15"/>
    <s v="Rohan Kale"/>
    <s v="29/03/2020"/>
    <s v="Delivered"/>
    <s v="Standard ATX motherboard"/>
    <s v="Mouse"/>
    <x v="4"/>
    <n v="7650"/>
    <n v="9945"/>
    <n v="4"/>
    <n v="30600"/>
    <n v="39780"/>
    <s v="Roshan Kumar"/>
    <n v="1690"/>
  </r>
  <r>
    <s v="139617"/>
    <x v="16"/>
    <s v="Aniruddha Kekapure"/>
    <s v="29/03/2020"/>
    <s v="Shipped"/>
    <s v="Compact with 1 Fan"/>
    <s v="Cabinet"/>
    <x v="5"/>
    <n v="1150"/>
    <n v="1495"/>
    <n v="3"/>
    <n v="3450"/>
    <n v="4485"/>
    <s v="Aarvi Gupta"/>
    <n v="2990"/>
  </r>
  <r>
    <s v="139618"/>
    <x v="17"/>
    <s v="Aslam Raza"/>
    <s v="29/03/2020"/>
    <s v="Order"/>
    <s v="USB Backlight Keyboard"/>
    <s v="Keyboard"/>
    <x v="6"/>
    <n v="850"/>
    <n v="1105"/>
    <n v="1"/>
    <n v="850"/>
    <n v="1105"/>
    <s v="Vijay Singh"/>
    <n v="3315"/>
  </r>
  <r>
    <s v="139619"/>
    <x v="18"/>
    <s v="Roshan Zameer"/>
    <s v="29/03/2020"/>
    <s v="Processing"/>
    <s v="Ergonomic Mouse"/>
    <s v="Mouse"/>
    <x v="0"/>
    <n v="650"/>
    <n v="845"/>
    <n v="3"/>
    <n v="1950"/>
    <n v="2535"/>
    <s v="Aadil Khan"/>
    <n v="1690"/>
  </r>
  <r>
    <s v="139620"/>
    <x v="19"/>
    <s v="Rakesh Kumar Sharma"/>
    <s v="29/03/2020"/>
    <s v="Delivered"/>
    <s v="15&quot; LCD Dsipaly"/>
    <s v="Monitor"/>
    <x v="6"/>
    <n v="7500"/>
    <n v="9750"/>
    <n v="1"/>
    <n v="7500"/>
    <n v="9750"/>
    <s v="Advika Joshi"/>
    <n v="9750"/>
  </r>
  <r>
    <s v="139621"/>
    <x v="20"/>
    <s v="Shivanand Sahani"/>
    <s v="29/03/2020"/>
    <s v="Shipped"/>
    <s v="9 TB HDD"/>
    <s v="HDD"/>
    <x v="7"/>
    <n v="10000"/>
    <n v="13000"/>
    <n v="4"/>
    <n v="40000"/>
    <n v="52000"/>
    <s v="Ajay Sharma"/>
    <n v="39000"/>
  </r>
  <r>
    <s v="139622"/>
    <x v="16"/>
    <s v="Kunal Patra"/>
    <s v="29/03/2020"/>
    <s v="Order"/>
    <s v="8 TB SSD"/>
    <s v="SSD"/>
    <x v="0"/>
    <n v="10500"/>
    <n v="13650"/>
    <n v="1"/>
    <n v="10500"/>
    <n v="13650"/>
    <s v="Roshan Kumar"/>
    <n v="8450"/>
  </r>
  <r>
    <s v="139623"/>
    <x v="17"/>
    <s v="Bijendra"/>
    <s v="29/03/2020"/>
    <s v="Processing"/>
    <s v="Intel i5 12th gen."/>
    <s v="CPU"/>
    <x v="1"/>
    <n v="8500"/>
    <n v="11050"/>
    <n v="4"/>
    <n v="34000"/>
    <n v="44200"/>
    <s v="Aarvi Gupta"/>
    <n v="33150"/>
  </r>
  <r>
    <s v="139624"/>
    <x v="17"/>
    <s v="Kranti Bheke"/>
    <s v="29/03/2020"/>
    <s v="Delivered"/>
    <s v="2GB Graphic Card"/>
    <s v="Graphic Card"/>
    <x v="2"/>
    <n v="7000"/>
    <n v="9100"/>
    <n v="4"/>
    <n v="28000"/>
    <n v="36400"/>
    <s v="Vijay Singh"/>
    <n v="18200"/>
  </r>
  <r>
    <s v="139625"/>
    <x v="17"/>
    <s v="Jagdeep"/>
    <s v="29/03/2020"/>
    <s v="Shipped"/>
    <s v="11 GB DDR4 Ram"/>
    <s v="Computer Case"/>
    <x v="3"/>
    <n v="1680"/>
    <n v="2184"/>
    <n v="1"/>
    <n v="1680"/>
    <n v="2184"/>
    <s v="Aadil Khan"/>
    <n v="13650"/>
  </r>
  <r>
    <s v="139626"/>
    <x v="17"/>
    <s v="Adhir Samal"/>
    <s v="29/03/2020"/>
    <s v="Order"/>
    <s v="Micro ATX motherboard"/>
    <s v="Mouse"/>
    <x v="8"/>
    <n v="6540"/>
    <n v="8502"/>
    <n v="1"/>
    <n v="6540"/>
    <n v="8502"/>
    <s v="Advika Joshi"/>
    <n v="1690"/>
  </r>
  <r>
    <s v="139627"/>
    <x v="17"/>
    <s v="Dannana Jhammi"/>
    <s v="29/03/2020"/>
    <s v="Processing"/>
    <s v="Gaming Box Cabinet"/>
    <s v="Cabinet"/>
    <x v="5"/>
    <n v="2680"/>
    <n v="3484"/>
    <n v="4"/>
    <n v="10720"/>
    <n v="13936"/>
    <s v="Ajay Sharma"/>
    <n v="2990"/>
  </r>
  <r>
    <s v="139628"/>
    <x v="17"/>
    <s v="Vipin Kumar"/>
    <s v="29/03/2020"/>
    <s v="Delivered"/>
    <s v="17&quot; LCD Display"/>
    <s v="Monitor"/>
    <x v="0"/>
    <n v="8250"/>
    <n v="10725"/>
    <n v="4"/>
    <n v="33000"/>
    <n v="42900"/>
    <s v="Roshan Kumar"/>
    <n v="9750"/>
  </r>
  <r>
    <s v="139629"/>
    <x v="31"/>
    <s v="Ranjeet Kumar"/>
    <s v="29/03/2020"/>
    <s v="Shipped"/>
    <s v="15 GB DDR4 RAM"/>
    <s v="RAM"/>
    <x v="0"/>
    <n v="2650"/>
    <n v="3445"/>
    <n v="4"/>
    <n v="10600"/>
    <n v="13780"/>
    <s v="Aarvi Gupta"/>
    <n v="25545"/>
  </r>
  <r>
    <s v="139630"/>
    <x v="32"/>
    <s v="Sajal Singhal"/>
    <s v="29/03/2020"/>
    <s v="Order"/>
    <s v="26&quot; LCD Display"/>
    <s v="Monitor"/>
    <x v="9"/>
    <n v="12550"/>
    <n v="16315"/>
    <n v="1"/>
    <n v="12550"/>
    <n v="16315"/>
    <s v="Vijay Singh"/>
    <n v="9750"/>
  </r>
  <r>
    <s v="139631"/>
    <x v="0"/>
    <s v="Akhilesh Kumar"/>
    <s v="29/03/2020"/>
    <s v="Processing"/>
    <s v="I7 - intel 12th Generation"/>
    <s v="CPU"/>
    <x v="1"/>
    <n v="14500"/>
    <n v="18850"/>
    <n v="1"/>
    <n v="14500"/>
    <n v="18850"/>
    <s v="Aadil Khan"/>
    <n v="33150"/>
  </r>
  <r>
    <s v="139632"/>
    <x v="23"/>
    <s v="Suvankar Chakraborty"/>
    <s v="29/03/2020"/>
    <s v="Delivered"/>
    <s v="USB Keyboard"/>
    <s v="Keyboard"/>
    <x v="6"/>
    <n v="800"/>
    <n v="1040"/>
    <n v="2"/>
    <n v="1600"/>
    <n v="2080"/>
    <s v="Advika Joshi"/>
    <n v="3315"/>
  </r>
  <r>
    <s v="139633"/>
    <x v="1"/>
    <s v="Suvankar Adhikary"/>
    <s v="29/03/2020"/>
    <s v="Shipped"/>
    <s v="Wireless Mouse"/>
    <s v="Mouse"/>
    <x v="0"/>
    <n v="600"/>
    <n v="780"/>
    <n v="1"/>
    <n v="600"/>
    <n v="780"/>
    <s v="Ajay Sharma"/>
    <n v="1690"/>
  </r>
  <r>
    <s v="139634"/>
    <x v="2"/>
    <s v="Rahul Kumar Prajapati"/>
    <s v="29/03/2020"/>
    <s v="Order"/>
    <s v="21&quot; LCD Display"/>
    <s v="Monitor"/>
    <x v="6"/>
    <n v="10500"/>
    <n v="13650"/>
    <n v="2"/>
    <n v="21000"/>
    <n v="27300"/>
    <s v="Roshan Kumar"/>
    <n v="9750"/>
  </r>
  <r>
    <s v="139635"/>
    <x v="3"/>
    <s v="Sagar Jeur"/>
    <s v="29/03/2020"/>
    <s v="Processing"/>
    <s v="9 TB HDD"/>
    <s v="HDD"/>
    <x v="10"/>
    <n v="6500"/>
    <n v="8450"/>
    <n v="1"/>
    <n v="6500"/>
    <n v="8450"/>
    <s v="Aarvi Gupta"/>
    <n v="39000"/>
  </r>
  <r>
    <s v="139636"/>
    <x v="24"/>
    <s v="Rhushikesh Mane"/>
    <s v="29/03/2020"/>
    <s v="Delivered"/>
    <s v="264 GB SSD"/>
    <s v="SSD"/>
    <x v="0"/>
    <n v="4500"/>
    <n v="5850"/>
    <n v="1"/>
    <n v="4500"/>
    <n v="5850"/>
    <s v="Vijay Singh"/>
    <n v="8450"/>
  </r>
  <r>
    <s v="139637"/>
    <x v="25"/>
    <s v="Ashish Kumar"/>
    <s v="29/03/2020"/>
    <s v="Shipped"/>
    <s v="Intel i3 11th gen."/>
    <s v="CPU"/>
    <x v="1"/>
    <n v="8500"/>
    <n v="11050"/>
    <n v="3"/>
    <n v="25500"/>
    <n v="33150"/>
    <s v="Aadil Khan"/>
    <n v="33150"/>
  </r>
  <r>
    <s v="139638"/>
    <x v="33"/>
    <s v="Javed Akhter"/>
    <s v="29/03/2020"/>
    <s v="Order"/>
    <s v="4GB Graphic card"/>
    <s v="Graphic Card"/>
    <x v="2"/>
    <n v="12500"/>
    <n v="16250"/>
    <n v="3"/>
    <n v="37500"/>
    <n v="48750"/>
    <s v="Advika Joshi"/>
    <n v="18200"/>
  </r>
  <r>
    <s v="139639"/>
    <x v="34"/>
    <s v="Haridas Balraj"/>
    <s v="29/03/2020"/>
    <s v="Processing"/>
    <s v="16 GB DDR4 RAM"/>
    <s v="NIC"/>
    <x v="3"/>
    <n v="3500"/>
    <n v="4550"/>
    <n v="3"/>
    <n v="10500"/>
    <n v="13650"/>
    <s v="Ajay Sharma"/>
    <n v="9100"/>
  </r>
  <r>
    <s v="139640"/>
    <x v="4"/>
    <s v="Kundan Kumar"/>
    <s v="29/03/2020"/>
    <s v="Delivered"/>
    <s v="BTX motherboard"/>
    <s v="Printer"/>
    <x v="4"/>
    <n v="4500"/>
    <n v="5850"/>
    <n v="2"/>
    <n v="9000"/>
    <n v="11700"/>
    <s v="Roshan Kumar"/>
    <n v="11700"/>
  </r>
  <r>
    <s v="139641"/>
    <x v="5"/>
    <s v="Atif Siddiqui"/>
    <s v="29/03/2020"/>
    <s v="Shipped"/>
    <s v="11 Fans Cabinet"/>
    <s v="Cabinet"/>
    <x v="5"/>
    <n v="2100"/>
    <n v="2730"/>
    <n v="2"/>
    <n v="4200"/>
    <n v="5460"/>
    <s v="Aarvi Gupta"/>
    <n v="2990"/>
  </r>
  <r>
    <s v="139642"/>
    <x v="6"/>
    <s v="Aditya Agarwal"/>
    <s v="29/03/2020"/>
    <s v="Order"/>
    <s v="Wireless Keyboard"/>
    <s v="Keyboard"/>
    <x v="6"/>
    <n v="1150"/>
    <n v="1495"/>
    <n v="4"/>
    <n v="4600"/>
    <n v="5980"/>
    <s v="Vijay Singh"/>
    <n v="3315"/>
  </r>
  <r>
    <s v="139643"/>
    <x v="7"/>
    <s v="Firdoush Jabee"/>
    <s v="29/03/2020"/>
    <s v="Processing"/>
    <s v="USB Mouse"/>
    <s v="Mouse"/>
    <x v="0"/>
    <n v="350"/>
    <n v="455"/>
    <n v="3"/>
    <n v="1050"/>
    <n v="1365"/>
    <s v="Aadil Khan"/>
    <n v="1690"/>
  </r>
  <r>
    <s v="139644"/>
    <x v="26"/>
    <s v="Jay Prakash Kumar"/>
    <s v="29/03/2020"/>
    <s v="Delivered"/>
    <s v="19&quot; LED Display"/>
    <s v="Monitor"/>
    <x v="6"/>
    <n v="9500"/>
    <n v="12350"/>
    <n v="3"/>
    <n v="28500"/>
    <n v="37050"/>
    <s v="Advika Joshi"/>
    <n v="9750"/>
  </r>
  <r>
    <s v="139645"/>
    <x v="27"/>
    <s v="Ashish Pandey"/>
    <s v="29/03/2020"/>
    <s v="Shipped"/>
    <s v="10 TB HDD"/>
    <s v="HDD"/>
    <x v="10"/>
    <n v="10000"/>
    <n v="13000"/>
    <n v="4"/>
    <n v="40000"/>
    <n v="52000"/>
    <s v="Ajay Sharma"/>
    <n v="39000"/>
  </r>
  <r>
    <s v="139646"/>
    <x v="8"/>
    <s v="Ajay Sharma"/>
    <s v="29/03/2020"/>
    <s v="Order"/>
    <s v="520 GB M.2"/>
    <s v="SSD"/>
    <x v="0"/>
    <n v="6500"/>
    <n v="8450"/>
    <n v="2"/>
    <n v="13000"/>
    <n v="16900"/>
    <s v="Roshan Kumar"/>
    <n v="8450"/>
  </r>
  <r>
    <s v="139647"/>
    <x v="9"/>
    <s v="Moinuddin Saifi"/>
    <s v="29/03/2020"/>
    <s v="Processing"/>
    <s v="RYZEN 3rd gen. 3508"/>
    <s v="CPU"/>
    <x v="1"/>
    <n v="8500"/>
    <n v="11050"/>
    <n v="4"/>
    <n v="34000"/>
    <n v="44200"/>
    <s v="Aarvi Gupta"/>
    <n v="33150"/>
  </r>
  <r>
    <s v="139648"/>
    <x v="10"/>
    <s v="Ramkrishna Das Adhikary"/>
    <s v="29/03/2020"/>
    <s v="Delivered"/>
    <s v="2GB Graphic Card"/>
    <s v="Graphic Card"/>
    <x v="2"/>
    <n v="7000"/>
    <n v="9100"/>
    <n v="4"/>
    <n v="28000"/>
    <n v="36400"/>
    <s v="Vijay Singh"/>
    <n v="18200"/>
  </r>
  <r>
    <s v="139649"/>
    <x v="11"/>
    <s v="Ranjeet Mandal"/>
    <s v="29/03/2020"/>
    <s v="Shipped"/>
    <s v="24 GB DDR4 RAM"/>
    <s v="NIC"/>
    <x v="3"/>
    <n v="6550"/>
    <n v="8515"/>
    <n v="1"/>
    <n v="6550"/>
    <n v="8515"/>
    <s v="Aadil Khan"/>
    <n v="9100"/>
  </r>
  <r>
    <s v="139650"/>
    <x v="12"/>
    <s v="Ashwini Adsare"/>
    <s v="29/03/2020"/>
    <s v="Order"/>
    <s v="Standard ATX motherboard"/>
    <s v="Printer"/>
    <x v="4"/>
    <n v="7650"/>
    <n v="9945"/>
    <n v="1"/>
    <n v="7650"/>
    <n v="9945"/>
    <s v="Advika Joshi"/>
    <n v="11700"/>
  </r>
  <r>
    <s v="139651"/>
    <x v="13"/>
    <s v="Rajesh Variya"/>
    <s v="29/03/2020"/>
    <s v="Processing"/>
    <s v="Compact with 1 Fan"/>
    <s v="Cabinet"/>
    <x v="5"/>
    <n v="1150"/>
    <n v="1495"/>
    <n v="3"/>
    <n v="3450"/>
    <n v="4485"/>
    <s v="Ajay Sharma"/>
    <n v="2990"/>
  </r>
  <r>
    <s v="139652"/>
    <x v="14"/>
    <s v="Amit Singh"/>
    <s v="29/03/2020"/>
    <s v="Delivered"/>
    <s v="USB Backlight Keyboard"/>
    <s v="Keyboard"/>
    <x v="6"/>
    <n v="850"/>
    <n v="1105"/>
    <n v="3"/>
    <n v="2550"/>
    <n v="3315"/>
    <s v="Roshan Kumar"/>
    <n v="3315"/>
  </r>
  <r>
    <s v="139653"/>
    <x v="15"/>
    <s v="Vinod Mehta"/>
    <s v="29/03/2020"/>
    <s v="Shipped"/>
    <s v="Ergonomic Mouse"/>
    <s v="Mouse"/>
    <x v="0"/>
    <n v="650"/>
    <n v="845"/>
    <n v="1"/>
    <n v="650"/>
    <n v="845"/>
    <s v="Aarvi Gupta"/>
    <n v="1690"/>
  </r>
  <r>
    <s v="139654"/>
    <x v="16"/>
    <s v="Jignesh Mhatre"/>
    <s v="29/03/2020"/>
    <s v="Order"/>
    <s v="15&quot; LCD Dsipaly"/>
    <s v="Monitor"/>
    <x v="6"/>
    <n v="7500"/>
    <n v="9750"/>
    <n v="3"/>
    <n v="22500"/>
    <n v="29250"/>
    <s v="Vijay Singh"/>
    <n v="9750"/>
  </r>
  <r>
    <s v="139655"/>
    <x v="17"/>
    <s v="Rahul Kashyap"/>
    <s v="29/03/2020"/>
    <s v="Processing"/>
    <s v="10 TB HDD"/>
    <s v="HDD"/>
    <x v="7"/>
    <n v="10000"/>
    <n v="13000"/>
    <n v="4"/>
    <n v="40000"/>
    <n v="52000"/>
    <s v="Aadil Khan"/>
    <n v="39000"/>
  </r>
  <r>
    <s v="139656"/>
    <x v="18"/>
    <s v="Mohammed Abdul Kaleem"/>
    <s v="29/03/2020"/>
    <s v="Delivered"/>
    <s v="9 TB SSD"/>
    <s v="SSD"/>
    <x v="0"/>
    <n v="10500"/>
    <n v="13650"/>
    <n v="2"/>
    <n v="21000"/>
    <n v="27300"/>
    <s v="Advika Joshi"/>
    <n v="8450"/>
  </r>
  <r>
    <s v="139657"/>
    <x v="19"/>
    <s v="Chandrakant Kasbe"/>
    <s v="29/03/2020"/>
    <s v="Shipped"/>
    <s v="Intel i5 12th gen."/>
    <s v="CPU"/>
    <x v="1"/>
    <n v="8500"/>
    <n v="11050"/>
    <n v="3"/>
    <n v="25500"/>
    <n v="33150"/>
    <s v="Ajay Sharma"/>
    <n v="33150"/>
  </r>
  <r>
    <s v="139658"/>
    <x v="20"/>
    <s v="Rohan Kale"/>
    <s v="29/03/2020"/>
    <s v="Order"/>
    <s v="2GB Graphic Card"/>
    <s v="Graphic Card"/>
    <x v="2"/>
    <n v="7000"/>
    <n v="9100"/>
    <n v="4"/>
    <n v="28000"/>
    <n v="36400"/>
    <s v="Roshan Kumar"/>
    <n v="18200"/>
  </r>
  <r>
    <s v="139659"/>
    <x v="16"/>
    <s v="Aniruddha Kekapure"/>
    <s v="29/03/2020"/>
    <s v="Processing"/>
    <s v="12 GB DDR4 Ram"/>
    <s v="NIC"/>
    <x v="3"/>
    <n v="1680"/>
    <n v="2184"/>
    <n v="4"/>
    <n v="6720"/>
    <n v="8736"/>
    <s v="Aarvi Gupta"/>
    <n v="9100"/>
  </r>
  <r>
    <s v="139660"/>
    <x v="17"/>
    <s v="Aslam Raza"/>
    <s v="29/03/2020"/>
    <s v="Delivered"/>
    <s v="Micro ATX motherboard"/>
    <s v="Printer"/>
    <x v="8"/>
    <n v="6540"/>
    <n v="8502"/>
    <n v="3"/>
    <n v="19620"/>
    <n v="25506"/>
    <s v="Vijay Singh"/>
    <n v="11700"/>
  </r>
  <r>
    <s v="139661"/>
    <x v="21"/>
    <s v="Roshan Zameer"/>
    <s v="29/03/2020"/>
    <s v="Shipped"/>
    <s v="Gaming Box Cabinet"/>
    <s v="Cabinet"/>
    <x v="5"/>
    <n v="2680"/>
    <n v="3484"/>
    <n v="3"/>
    <n v="8040"/>
    <n v="10452"/>
    <s v="Aadil Khan"/>
    <n v="2990"/>
  </r>
  <r>
    <s v="139662"/>
    <x v="22"/>
    <s v="Rakesh Kumar Sharma"/>
    <s v="29/03/2020"/>
    <s v="Order"/>
    <s v="17&quot; LCD Display"/>
    <s v="Monitor"/>
    <x v="0"/>
    <n v="8250"/>
    <n v="10725"/>
    <n v="4"/>
    <n v="33000"/>
    <n v="42900"/>
    <s v="Advika Joshi"/>
    <n v="9750"/>
  </r>
  <r>
    <s v="139663"/>
    <x v="28"/>
    <s v="Shivanand Sahani"/>
    <s v="29/03/2020"/>
    <s v="Processing"/>
    <s v="16 GB DDR4 RAM"/>
    <s v="RAM"/>
    <x v="0"/>
    <n v="2650"/>
    <n v="3445"/>
    <n v="2"/>
    <n v="5300"/>
    <n v="6890"/>
    <s v="Ajay Sharma"/>
    <n v="25545"/>
  </r>
  <r>
    <s v="139664"/>
    <x v="29"/>
    <s v="Kunal Patra"/>
    <s v="29/03/2020"/>
    <s v="Delivered"/>
    <s v="26&quot; LCD Display"/>
    <s v="Monitor"/>
    <x v="9"/>
    <n v="12550"/>
    <n v="16315"/>
    <n v="2"/>
    <n v="25100"/>
    <n v="32630"/>
    <s v="Roshan Kumar"/>
    <n v="9750"/>
  </r>
  <r>
    <s v="139665"/>
    <x v="30"/>
    <s v="Bijendra"/>
    <s v="29/03/2020"/>
    <s v="Shipped"/>
    <s v="I7 - intel 12th Generation"/>
    <s v="CPU"/>
    <x v="1"/>
    <n v="14500"/>
    <n v="18850"/>
    <n v="2"/>
    <n v="29000"/>
    <n v="37700"/>
    <s v="Aarvi Gupta"/>
    <n v="33150"/>
  </r>
  <r>
    <s v="139666"/>
    <x v="31"/>
    <s v="Kranti Bheke"/>
    <s v="29/03/2020"/>
    <s v="Order"/>
    <s v="USB Keyboard"/>
    <s v="Keyboard"/>
    <x v="6"/>
    <n v="800"/>
    <n v="1040"/>
    <n v="4"/>
    <n v="3200"/>
    <n v="4160"/>
    <s v="Vijay Singh"/>
    <n v="3315"/>
  </r>
  <r>
    <s v="139667"/>
    <x v="32"/>
    <s v="Jagdeep"/>
    <s v="29/03/2020"/>
    <s v="Processing"/>
    <s v="Wireless Mouse"/>
    <s v="Mouse"/>
    <x v="0"/>
    <n v="600"/>
    <n v="780"/>
    <n v="3"/>
    <n v="1800"/>
    <n v="2340"/>
    <s v="Aadil Khan"/>
    <n v="1690"/>
  </r>
  <r>
    <s v="139668"/>
    <x v="0"/>
    <s v="Adhir Samal"/>
    <s v="29/03/2020"/>
    <s v="Delivered"/>
    <s v="21&quot; LCD Display"/>
    <s v="Monitor"/>
    <x v="6"/>
    <n v="10500"/>
    <n v="13650"/>
    <n v="1"/>
    <n v="10500"/>
    <n v="13650"/>
    <s v="Advika Joshi"/>
    <n v="9750"/>
  </r>
  <r>
    <s v="139669"/>
    <x v="23"/>
    <s v="Dannana Jhammi"/>
    <s v="29/03/2020"/>
    <s v="Shipped"/>
    <s v="10 TB HDD"/>
    <s v="HDD"/>
    <x v="10"/>
    <n v="6500"/>
    <n v="8450"/>
    <n v="4"/>
    <n v="26000"/>
    <n v="33800"/>
    <s v="Ajay Sharma"/>
    <n v="39000"/>
  </r>
  <r>
    <s v="139670"/>
    <x v="1"/>
    <s v="Vipin Kumar"/>
    <s v="29/03/2020"/>
    <s v="Order"/>
    <s v="265 GB SSD"/>
    <s v="SSD"/>
    <x v="0"/>
    <n v="4500"/>
    <n v="5850"/>
    <n v="1"/>
    <n v="4500"/>
    <n v="5850"/>
    <s v="Roshan Kumar"/>
    <n v="8450"/>
  </r>
  <r>
    <s v="139671"/>
    <x v="2"/>
    <s v="Ranjeet Kumar"/>
    <s v="29/03/2020"/>
    <s v="Processing"/>
    <s v="Intel i3 11th gen."/>
    <s v="CPU"/>
    <x v="1"/>
    <n v="8500"/>
    <n v="11050"/>
    <n v="2"/>
    <n v="17000"/>
    <n v="22100"/>
    <s v="Aarvi Gupta"/>
    <n v="33150"/>
  </r>
  <r>
    <s v="139672"/>
    <x v="3"/>
    <s v="Sajal Singhal"/>
    <s v="29/03/2020"/>
    <s v="Delivered"/>
    <s v="4GB Graphic card"/>
    <s v="Graphic Card"/>
    <x v="2"/>
    <n v="12500"/>
    <n v="16250"/>
    <n v="3"/>
    <n v="37500"/>
    <n v="48750"/>
    <s v="Vijay Singh"/>
    <n v="18200"/>
  </r>
  <r>
    <s v="139673"/>
    <x v="24"/>
    <s v="Akhilesh Kumar"/>
    <s v="29/03/2020"/>
    <s v="Shipped"/>
    <s v="17 GB DDR4 RAM"/>
    <s v="RAM"/>
    <x v="3"/>
    <n v="3500"/>
    <n v="4550"/>
    <n v="2"/>
    <n v="7000"/>
    <n v="9100"/>
    <s v="Aadil Khan"/>
    <n v="25545"/>
  </r>
  <r>
    <s v="139674"/>
    <x v="25"/>
    <s v="Suvankar Chakraborty"/>
    <s v="29/03/2020"/>
    <s v="Order"/>
    <s v="BTX motherboard"/>
    <s v="MotherBoard"/>
    <x v="4"/>
    <n v="4500"/>
    <n v="5850"/>
    <n v="3"/>
    <n v="13500"/>
    <n v="17550"/>
    <s v="Advika Joshi"/>
    <n v="39780"/>
  </r>
  <r>
    <s v="139675"/>
    <x v="33"/>
    <s v="Suvankar Adhikary"/>
    <s v="29/03/2020"/>
    <s v="Processing"/>
    <s v="12 Fans Cabinet"/>
    <s v="Cabinet"/>
    <x v="5"/>
    <n v="2100"/>
    <n v="2730"/>
    <n v="3"/>
    <n v="6300"/>
    <n v="8190"/>
    <s v="Ajay Sharma"/>
    <n v="2990"/>
  </r>
  <r>
    <s v="139676"/>
    <x v="34"/>
    <s v="Rahul Kumar Prajapati"/>
    <s v="29/03/2020"/>
    <s v="Delivered"/>
    <s v="Wireless Keyboard"/>
    <s v="Keyboard"/>
    <x v="6"/>
    <n v="1150"/>
    <n v="1495"/>
    <n v="4"/>
    <n v="4600"/>
    <n v="5980"/>
    <s v="Roshan Kumar"/>
    <n v="3315"/>
  </r>
  <r>
    <s v="139677"/>
    <x v="4"/>
    <s v="Sagar Jeur"/>
    <s v="29/03/2020"/>
    <s v="Shipped"/>
    <s v="USB Mouse"/>
    <s v="Mouse"/>
    <x v="0"/>
    <n v="350"/>
    <n v="455"/>
    <n v="3"/>
    <n v="1050"/>
    <n v="1365"/>
    <s v="Aarvi Gupta"/>
    <n v="1690"/>
  </r>
  <r>
    <s v="139678"/>
    <x v="5"/>
    <s v="Rhushikesh Mane"/>
    <s v="29/03/2020"/>
    <s v="Order"/>
    <s v="19&quot; LED Display"/>
    <s v="Monitor"/>
    <x v="6"/>
    <n v="9500"/>
    <n v="12350"/>
    <n v="1"/>
    <n v="9500"/>
    <n v="12350"/>
    <s v="Vijay Singh"/>
    <n v="9750"/>
  </r>
  <r>
    <s v="139679"/>
    <x v="6"/>
    <s v="Ashish Kumar"/>
    <s v="29/03/2020"/>
    <s v="Processing"/>
    <s v="11 TB HDD"/>
    <s v="HDD"/>
    <x v="10"/>
    <n v="10000"/>
    <n v="13000"/>
    <n v="1"/>
    <n v="10000"/>
    <n v="13000"/>
    <s v="Aadil Khan"/>
    <n v="39000"/>
  </r>
  <r>
    <s v="139680"/>
    <x v="7"/>
    <s v="Javed Akhter"/>
    <s v="29/03/2020"/>
    <s v="Delivered"/>
    <s v="521 GB M.2"/>
    <s v="SSD"/>
    <x v="0"/>
    <n v="6500"/>
    <n v="8450"/>
    <n v="1"/>
    <n v="6500"/>
    <n v="8450"/>
    <s v="Advika Joshi"/>
    <n v="8450"/>
  </r>
  <r>
    <s v="139681"/>
    <x v="26"/>
    <s v="Haridas Balraj"/>
    <s v="29/03/2020"/>
    <s v="Shipped"/>
    <s v="RYZEN 3rd gen. 3509"/>
    <s v="CPU"/>
    <x v="1"/>
    <n v="8500"/>
    <n v="11050"/>
    <n v="2"/>
    <n v="17000"/>
    <n v="22100"/>
    <s v="Ajay Sharma"/>
    <n v="33150"/>
  </r>
  <r>
    <s v="139682"/>
    <x v="27"/>
    <s v="Kundan Kumar"/>
    <s v="29/03/2020"/>
    <s v="Order"/>
    <s v="2GB Graphic Card"/>
    <s v="Graphic Card"/>
    <x v="2"/>
    <n v="7000"/>
    <n v="9100"/>
    <n v="4"/>
    <n v="28000"/>
    <n v="36400"/>
    <s v="Roshan Kumar"/>
    <n v="18200"/>
  </r>
  <r>
    <s v="139683"/>
    <x v="27"/>
    <s v="Atif Siddiqui"/>
    <s v="29/03/2020"/>
    <s v="Processing"/>
    <s v="25 GB DDR4 RAM"/>
    <s v="RAM"/>
    <x v="3"/>
    <n v="6550"/>
    <n v="8515"/>
    <n v="1"/>
    <n v="6550"/>
    <n v="8515"/>
    <s v="Aarvi Gupta"/>
    <n v="25545"/>
  </r>
  <r>
    <s v="139684"/>
    <x v="27"/>
    <s v="Aditya Agarwal"/>
    <s v="29/03/2020"/>
    <s v="Delivered"/>
    <s v="Standard ATX motherboard"/>
    <s v="MotherBoard"/>
    <x v="4"/>
    <n v="7650"/>
    <n v="9945"/>
    <n v="1"/>
    <n v="7650"/>
    <n v="9945"/>
    <s v="Vijay Singh"/>
    <n v="39780"/>
  </r>
  <r>
    <s v="139685"/>
    <x v="27"/>
    <s v="Firdoush Jabee"/>
    <s v="29/03/2020"/>
    <s v="Shipped"/>
    <s v="Compact with 1 Fan"/>
    <s v="Cabinet"/>
    <x v="5"/>
    <n v="1150"/>
    <n v="1495"/>
    <n v="1"/>
    <n v="1150"/>
    <n v="1495"/>
    <s v="Aadil Khan"/>
    <n v="2990"/>
  </r>
  <r>
    <s v="139686"/>
    <x v="27"/>
    <s v="Jay Prakash Kumar"/>
    <s v="29/03/2020"/>
    <s v="Order"/>
    <s v="USB Backlight Keyboard"/>
    <s v="Keyboard"/>
    <x v="6"/>
    <n v="850"/>
    <n v="1105"/>
    <n v="2"/>
    <n v="1700"/>
    <n v="2210"/>
    <s v="Advika Joshi"/>
    <n v="3315"/>
  </r>
  <r>
    <s v="139687"/>
    <x v="27"/>
    <s v="Ashish Pandey"/>
    <s v="29/03/2020"/>
    <s v="Processing"/>
    <s v="Ergonomic Mouse"/>
    <s v="Mouse"/>
    <x v="0"/>
    <n v="650"/>
    <n v="845"/>
    <n v="3"/>
    <n v="1950"/>
    <n v="2535"/>
    <s v="Ajay Sharma"/>
    <n v="1690"/>
  </r>
  <r>
    <s v="139688"/>
    <x v="27"/>
    <s v="Ajay Sharma"/>
    <s v="29/03/2020"/>
    <s v="Delivered"/>
    <s v="15&quot; LCD Dsipaly"/>
    <s v="Monitor"/>
    <x v="6"/>
    <n v="7500"/>
    <n v="9750"/>
    <n v="4"/>
    <n v="30000"/>
    <n v="39000"/>
    <s v="Roshan Kumar"/>
    <n v="9750"/>
  </r>
  <r>
    <s v="139689"/>
    <x v="27"/>
    <s v="Moinuddin Saifi"/>
    <s v="29/03/2020"/>
    <s v="Shipped"/>
    <s v="11 TB HDD"/>
    <s v="HDD"/>
    <x v="7"/>
    <n v="10000"/>
    <n v="13000"/>
    <n v="2"/>
    <n v="20000"/>
    <n v="26000"/>
    <s v="Aarvi Gupta"/>
    <n v="39000"/>
  </r>
  <r>
    <s v="139690"/>
    <x v="27"/>
    <s v="Ramkrishna Das Adhikary"/>
    <s v="29/03/2020"/>
    <s v="Order"/>
    <s v="10 TB SSD"/>
    <s v="SSD"/>
    <x v="0"/>
    <n v="10500"/>
    <n v="13650"/>
    <n v="4"/>
    <n v="42000"/>
    <n v="54600"/>
    <s v="Vijay Singh"/>
    <n v="8450"/>
  </r>
  <r>
    <s v="139691"/>
    <x v="27"/>
    <s v="Ranjeet Mandal"/>
    <s v="29/03/2020"/>
    <s v="Processing"/>
    <s v="Intel i5 12th gen."/>
    <s v="CPU"/>
    <x v="1"/>
    <n v="8500"/>
    <n v="11050"/>
    <n v="4"/>
    <n v="34000"/>
    <n v="44200"/>
    <s v="Aadil Khan"/>
    <n v="33150"/>
  </r>
  <r>
    <s v="139692"/>
    <x v="27"/>
    <s v="Ashwini Adsare"/>
    <s v="29/03/2020"/>
    <s v="Delivered"/>
    <s v="2GB Graphic Card"/>
    <s v="Graphic Card"/>
    <x v="2"/>
    <n v="7000"/>
    <n v="9100"/>
    <n v="3"/>
    <n v="21000"/>
    <n v="27300"/>
    <s v="Advika Joshi"/>
    <n v="18200"/>
  </r>
  <r>
    <s v="139693"/>
    <x v="27"/>
    <s v="Rajesh Variya"/>
    <s v="29/03/2020"/>
    <s v="Shipped"/>
    <s v="13 GB DDR4 Ram"/>
    <s v="RAM"/>
    <x v="3"/>
    <n v="1680"/>
    <n v="2184"/>
    <n v="4"/>
    <n v="6720"/>
    <n v="8736"/>
    <s v="Ajay Sharma"/>
    <n v="25545"/>
  </r>
  <r>
    <s v="139694"/>
    <x v="27"/>
    <s v="Amit Singh"/>
    <s v="29/03/2020"/>
    <s v="Order"/>
    <s v="Micro ATX motherboard"/>
    <s v="MotherBoard"/>
    <x v="8"/>
    <n v="6540"/>
    <n v="8502"/>
    <n v="1"/>
    <n v="6540"/>
    <n v="8502"/>
    <s v="Roshan Kumar"/>
    <n v="39780"/>
  </r>
  <r>
    <s v="139695"/>
    <x v="27"/>
    <s v="Vinod Mehta"/>
    <s v="29/03/2020"/>
    <s v="Processing"/>
    <s v="Gaming Box Cabinet"/>
    <s v="Cabinet"/>
    <x v="5"/>
    <n v="2680"/>
    <n v="3484"/>
    <n v="4"/>
    <n v="10720"/>
    <n v="13936"/>
    <s v="Aarvi Gupta"/>
    <n v="2990"/>
  </r>
  <r>
    <s v="139696"/>
    <x v="27"/>
    <s v="Jignesh Mhatre"/>
    <s v="29/03/2020"/>
    <s v="Delivered"/>
    <s v="17&quot; LCD Display"/>
    <s v="Monitor"/>
    <x v="0"/>
    <n v="8250"/>
    <n v="10725"/>
    <n v="4"/>
    <n v="33000"/>
    <n v="42900"/>
    <s v="Vijay Singh"/>
    <n v="9750"/>
  </r>
  <r>
    <s v="139697"/>
    <x v="27"/>
    <s v="Rahul Kashyap"/>
    <s v="29/03/2020"/>
    <s v="Shipped"/>
    <s v="17 GB DDR4 RAM"/>
    <s v="RAM"/>
    <x v="0"/>
    <n v="2650"/>
    <n v="3445"/>
    <n v="4"/>
    <n v="10600"/>
    <n v="13780"/>
    <s v="Aadil Khan"/>
    <n v="25545"/>
  </r>
  <r>
    <s v="139698"/>
    <x v="27"/>
    <s v="Mohammed Abdul Kaleem"/>
    <s v="29/03/2020"/>
    <s v="Order"/>
    <s v="26&quot; LCD Display"/>
    <s v="Monitor"/>
    <x v="9"/>
    <n v="12550"/>
    <n v="16315"/>
    <n v="4"/>
    <n v="50200"/>
    <n v="65260"/>
    <s v="Advika Joshi"/>
    <n v="9750"/>
  </r>
  <r>
    <s v="139699"/>
    <x v="27"/>
    <s v="Chandrakant Kasbe"/>
    <s v="29/03/2020"/>
    <s v="Processing"/>
    <s v="I7 - intel 12th Generation"/>
    <s v="CPU"/>
    <x v="1"/>
    <n v="14500"/>
    <n v="18850"/>
    <n v="2"/>
    <n v="29000"/>
    <n v="37700"/>
    <s v="Ajay Sharma"/>
    <n v="33150"/>
  </r>
  <r>
    <s v="139700"/>
    <x v="27"/>
    <s v="Rohan Kale"/>
    <s v="29/03/2020"/>
    <s v="Delivered"/>
    <s v="USB Keyboard"/>
    <s v="Keyboard"/>
    <x v="6"/>
    <n v="800"/>
    <n v="1040"/>
    <n v="2"/>
    <n v="1600"/>
    <n v="2080"/>
    <s v="Roshan Kumar"/>
    <n v="3315"/>
  </r>
  <r>
    <s v="139701"/>
    <x v="27"/>
    <s v="Aniruddha Kekapure"/>
    <s v="29/03/2020"/>
    <s v="Shipped"/>
    <s v="Wireless Mouse"/>
    <s v="Mouse"/>
    <x v="0"/>
    <n v="600"/>
    <n v="780"/>
    <n v="4"/>
    <n v="2400"/>
    <n v="3120"/>
    <s v="Aarvi Gupta"/>
    <n v="1690"/>
  </r>
  <r>
    <s v="139702"/>
    <x v="27"/>
    <s v="Aslam Raza"/>
    <s v="29/03/2020"/>
    <s v="Order"/>
    <s v="21&quot; LCD Display"/>
    <s v="Monitor"/>
    <x v="6"/>
    <n v="10500"/>
    <n v="13650"/>
    <n v="2"/>
    <n v="21000"/>
    <n v="27300"/>
    <s v="Vijay Singh"/>
    <n v="9750"/>
  </r>
  <r>
    <s v="139703"/>
    <x v="27"/>
    <s v="Roshan Zameer"/>
    <s v="29/03/2020"/>
    <s v="Processing"/>
    <s v="11 TB HDD"/>
    <s v="HDD"/>
    <x v="10"/>
    <n v="6500"/>
    <n v="8450"/>
    <n v="3"/>
    <n v="19500"/>
    <n v="25350"/>
    <s v="Aadil Khan"/>
    <n v="39000"/>
  </r>
  <r>
    <s v="139704"/>
    <x v="27"/>
    <s v="Rakesh Kumar Sharma"/>
    <s v="29/03/2020"/>
    <s v="Delivered"/>
    <s v="266 GB SSD"/>
    <s v="SSD"/>
    <x v="0"/>
    <n v="4500"/>
    <n v="5850"/>
    <n v="3"/>
    <n v="13500"/>
    <n v="17550"/>
    <s v="Advika Joshi"/>
    <n v="8450"/>
  </r>
  <r>
    <s v="139705"/>
    <x v="27"/>
    <s v="Shivanand Sahani"/>
    <s v="29/03/2020"/>
    <s v="Shipped"/>
    <s v="Intel i3 11th gen."/>
    <s v="CPU"/>
    <x v="1"/>
    <n v="8500"/>
    <n v="11050"/>
    <n v="3"/>
    <n v="25500"/>
    <n v="33150"/>
    <s v="Ajay Sharma"/>
    <n v="33150"/>
  </r>
  <r>
    <s v="139706"/>
    <x v="27"/>
    <s v="Kunal Patra"/>
    <s v="29/03/2020"/>
    <s v="Order"/>
    <s v="4GB Graphic card"/>
    <s v="Graphic Card"/>
    <x v="2"/>
    <n v="12500"/>
    <n v="16250"/>
    <n v="1"/>
    <n v="12500"/>
    <n v="16250"/>
    <s v="Roshan Kumar"/>
    <n v="18200"/>
  </r>
  <r>
    <s v="139707"/>
    <x v="27"/>
    <s v="Bijendra"/>
    <s v="29/03/2020"/>
    <s v="Processing"/>
    <s v="18 GB DDR4 RAM"/>
    <s v="Computer Case"/>
    <x v="3"/>
    <n v="3500"/>
    <n v="4550"/>
    <n v="4"/>
    <n v="14000"/>
    <n v="18200"/>
    <s v="Aarvi Gupta"/>
    <n v="13650"/>
  </r>
  <r>
    <s v="139708"/>
    <x v="27"/>
    <s v="Kranti Bheke"/>
    <s v="29/03/2020"/>
    <s v="Delivered"/>
    <s v="BTX motherboard"/>
    <s v="Mouse"/>
    <x v="4"/>
    <n v="4500"/>
    <n v="5850"/>
    <n v="4"/>
    <n v="18000"/>
    <n v="23400"/>
    <s v="Vijay Singh"/>
    <n v="1690"/>
  </r>
  <r>
    <s v="139709"/>
    <x v="27"/>
    <s v="Jagdeep"/>
    <s v="29/03/2020"/>
    <s v="Shipped"/>
    <s v="13 Fans Cabinet"/>
    <s v="Cabinet"/>
    <x v="5"/>
    <n v="2100"/>
    <n v="2730"/>
    <n v="2"/>
    <n v="4200"/>
    <n v="5460"/>
    <s v="Aadil Khan"/>
    <n v="2990"/>
  </r>
  <r>
    <s v="139710"/>
    <x v="27"/>
    <s v="Adhir Samal"/>
    <s v="29/03/2020"/>
    <s v="Order"/>
    <s v="Wireless Keyboard"/>
    <s v="Keyboard"/>
    <x v="6"/>
    <n v="1150"/>
    <n v="1495"/>
    <n v="4"/>
    <n v="4600"/>
    <n v="5980"/>
    <s v="Advika Joshi"/>
    <n v="3315"/>
  </r>
  <r>
    <s v="139711"/>
    <x v="27"/>
    <s v="Dannana Jhammi"/>
    <s v="29/03/2020"/>
    <s v="Processing"/>
    <s v="USB Mouse"/>
    <s v="Mouse"/>
    <x v="0"/>
    <n v="350"/>
    <n v="455"/>
    <n v="1"/>
    <n v="350"/>
    <n v="455"/>
    <s v="Ajay Sharma"/>
    <n v="1690"/>
  </r>
  <r>
    <s v="139712"/>
    <x v="27"/>
    <s v="Vipin Kumar"/>
    <s v="29/03/2020"/>
    <s v="Delivered"/>
    <s v="19&quot; LED Display"/>
    <s v="Monitor"/>
    <x v="6"/>
    <n v="9500"/>
    <n v="12350"/>
    <n v="2"/>
    <n v="19000"/>
    <n v="24700"/>
    <s v="Roshan Kumar"/>
    <n v="9750"/>
  </r>
  <r>
    <s v="139713"/>
    <x v="27"/>
    <s v="Ranjeet Kumar"/>
    <s v="30/03/2020"/>
    <s v="Shipped"/>
    <s v="12 TB HDD"/>
    <s v="HDD"/>
    <x v="10"/>
    <n v="10000"/>
    <n v="13000"/>
    <n v="4"/>
    <n v="40000"/>
    <n v="52000"/>
    <s v="Aarvi Gupta"/>
    <n v="39000"/>
  </r>
  <r>
    <s v="139714"/>
    <x v="27"/>
    <s v="Sajal Singhal"/>
    <s v="30/03/2020"/>
    <s v="Order"/>
    <s v="522 GB M.2"/>
    <s v="SSD"/>
    <x v="0"/>
    <n v="6500"/>
    <n v="8450"/>
    <n v="3"/>
    <n v="19500"/>
    <n v="25350"/>
    <s v="Vijay Singh"/>
    <n v="8450"/>
  </r>
  <r>
    <s v="139715"/>
    <x v="27"/>
    <s v="Akhilesh Kumar"/>
    <s v="30/03/2020"/>
    <s v="Processing"/>
    <s v="RYZEN 3rd gen. 3510"/>
    <s v="CPU"/>
    <x v="1"/>
    <n v="8500"/>
    <n v="11050"/>
    <n v="1"/>
    <n v="8500"/>
    <n v="11050"/>
    <s v="Aadil Khan"/>
    <n v="33150"/>
  </r>
  <r>
    <s v="139716"/>
    <x v="27"/>
    <s v="Suvankar Chakraborty"/>
    <s v="30/03/2020"/>
    <s v="Delivered"/>
    <s v="2GB Graphic Card"/>
    <s v="Graphic Card"/>
    <x v="2"/>
    <n v="7000"/>
    <n v="9100"/>
    <n v="4"/>
    <n v="28000"/>
    <n v="36400"/>
    <s v="Advika Joshi"/>
    <n v="18200"/>
  </r>
  <r>
    <s v="139717"/>
    <x v="27"/>
    <s v="Suvankar Adhikary"/>
    <s v="30/03/2020"/>
    <s v="Shipped"/>
    <s v="26 GB DDR4 RAM"/>
    <s v="Computer Case"/>
    <x v="3"/>
    <n v="6550"/>
    <n v="8515"/>
    <n v="2"/>
    <n v="13100"/>
    <n v="17030"/>
    <s v="Ajay Sharma"/>
    <n v="13650"/>
  </r>
  <r>
    <s v="139718"/>
    <x v="27"/>
    <s v="Rahul Kumar Prajapati"/>
    <s v="30/03/2020"/>
    <s v="Order"/>
    <s v="Standard ATX motherboard"/>
    <s v="Mouse"/>
    <x v="4"/>
    <n v="7650"/>
    <n v="9945"/>
    <n v="2"/>
    <n v="15300"/>
    <n v="19890"/>
    <s v="Roshan Kumar"/>
    <n v="1690"/>
  </r>
  <r>
    <s v="139719"/>
    <x v="27"/>
    <s v="Sagar Jeur"/>
    <s v="30/03/2020"/>
    <s v="Processing"/>
    <s v="Compact with 1 Fan"/>
    <s v="Cabinet"/>
    <x v="5"/>
    <n v="1150"/>
    <n v="1495"/>
    <n v="4"/>
    <n v="4600"/>
    <n v="5980"/>
    <s v="Aarvi Gupta"/>
    <n v="2990"/>
  </r>
  <r>
    <s v="139720"/>
    <x v="27"/>
    <s v="Rhushikesh Mane"/>
    <s v="30/03/2020"/>
    <s v="Delivered"/>
    <s v="USB Backlight Keyboard"/>
    <s v="Keyboard"/>
    <x v="6"/>
    <n v="850"/>
    <n v="1105"/>
    <n v="4"/>
    <n v="3400"/>
    <n v="4420"/>
    <s v="Vijay Singh"/>
    <n v="3315"/>
  </r>
  <r>
    <s v="139721"/>
    <x v="27"/>
    <s v="Ashish Kumar"/>
    <s v="30/03/2020"/>
    <s v="Shipped"/>
    <s v="Ergonomic Mouse"/>
    <s v="Mouse"/>
    <x v="0"/>
    <n v="650"/>
    <n v="845"/>
    <n v="1"/>
    <n v="650"/>
    <n v="845"/>
    <s v="Aadil Khan"/>
    <n v="1690"/>
  </r>
  <r>
    <s v="139722"/>
    <x v="27"/>
    <s v="Javed Akhter"/>
    <s v="30/03/2020"/>
    <s v="Order"/>
    <s v="15&quot; LCD Dsipaly"/>
    <s v="Monitor"/>
    <x v="6"/>
    <n v="7500"/>
    <n v="9750"/>
    <n v="2"/>
    <n v="15000"/>
    <n v="19500"/>
    <s v="Advika Joshi"/>
    <n v="9750"/>
  </r>
  <r>
    <s v="139723"/>
    <x v="27"/>
    <s v="Haridas Balraj"/>
    <s v="30/03/2020"/>
    <s v="Processing"/>
    <s v="12 TB HDD"/>
    <s v="HDD"/>
    <x v="7"/>
    <n v="10000"/>
    <n v="13000"/>
    <n v="2"/>
    <n v="20000"/>
    <n v="26000"/>
    <s v="Ajay Sharma"/>
    <n v="39000"/>
  </r>
  <r>
    <s v="139724"/>
    <x v="27"/>
    <s v="Kundan Kumar"/>
    <s v="30/03/2020"/>
    <s v="Delivered"/>
    <s v="11 TB SSD"/>
    <s v="SSD"/>
    <x v="0"/>
    <n v="10500"/>
    <n v="13650"/>
    <n v="4"/>
    <n v="42000"/>
    <n v="54600"/>
    <s v="Roshan Kumar"/>
    <n v="8450"/>
  </r>
  <r>
    <s v="139725"/>
    <x v="27"/>
    <s v="Atif Siddiqui"/>
    <s v="30/03/2020"/>
    <s v="Shipped"/>
    <s v="Intel i5 12th gen."/>
    <s v="CPU"/>
    <x v="1"/>
    <n v="8500"/>
    <n v="11050"/>
    <n v="3"/>
    <n v="25500"/>
    <n v="33150"/>
    <s v="Aarvi Gupta"/>
    <n v="33150"/>
  </r>
  <r>
    <s v="139726"/>
    <x v="27"/>
    <s v="Aditya Agarwal"/>
    <s v="30/03/2020"/>
    <s v="Order"/>
    <s v="2GB Graphic Card"/>
    <s v="Graphic Card"/>
    <x v="2"/>
    <n v="7000"/>
    <n v="9100"/>
    <n v="4"/>
    <n v="28000"/>
    <n v="36400"/>
    <s v="Vijay Singh"/>
    <n v="18200"/>
  </r>
  <r>
    <s v="139727"/>
    <x v="27"/>
    <s v="Firdoush Jabee"/>
    <s v="30/03/2020"/>
    <s v="Processing"/>
    <s v="14 GB DDR4 Ram"/>
    <s v="Computer Case"/>
    <x v="3"/>
    <n v="1680"/>
    <n v="2184"/>
    <n v="4"/>
    <n v="6720"/>
    <n v="8736"/>
    <s v="Aadil Khan"/>
    <n v="13650"/>
  </r>
  <r>
    <s v="139728"/>
    <x v="27"/>
    <s v="Jay Prakash Kumar"/>
    <s v="30/03/2020"/>
    <s v="Delivered"/>
    <s v="Micro ATX motherboard"/>
    <s v="Mouse"/>
    <x v="8"/>
    <n v="6540"/>
    <n v="8502"/>
    <n v="3"/>
    <n v="19620"/>
    <n v="25506"/>
    <s v="Advika Joshi"/>
    <n v="1690"/>
  </r>
  <r>
    <s v="139729"/>
    <x v="27"/>
    <s v="Ashish Pandey"/>
    <s v="30/03/2020"/>
    <s v="Shipped"/>
    <s v="Gaming Box Cabinet"/>
    <s v="Cabinet"/>
    <x v="5"/>
    <n v="2680"/>
    <n v="3484"/>
    <n v="1"/>
    <n v="2680"/>
    <n v="3484"/>
    <s v="Ajay Sharma"/>
    <n v="2990"/>
  </r>
  <r>
    <s v="139730"/>
    <x v="27"/>
    <s v="Ajay Sharma"/>
    <s v="30/03/2020"/>
    <s v="Order"/>
    <s v="17&quot; LCD Display"/>
    <s v="Monitor"/>
    <x v="0"/>
    <n v="8250"/>
    <n v="10725"/>
    <n v="3"/>
    <n v="24750"/>
    <n v="32175"/>
    <s v="Roshan Kumar"/>
    <n v="9750"/>
  </r>
  <r>
    <s v="139731"/>
    <x v="27"/>
    <s v="Moinuddin Saifi"/>
    <s v="30/03/2020"/>
    <s v="Processing"/>
    <s v="18 GB DDR4 RAM"/>
    <s v="RAM"/>
    <x v="0"/>
    <n v="2650"/>
    <n v="3445"/>
    <n v="1"/>
    <n v="2650"/>
    <n v="3445"/>
    <s v="Aarvi Gupta"/>
    <n v="25545"/>
  </r>
  <r>
    <s v="139732"/>
    <x v="27"/>
    <s v="Ramkrishna Das Adhikary"/>
    <s v="30/03/2020"/>
    <s v="Delivered"/>
    <s v="26&quot; LCD Display"/>
    <s v="Monitor"/>
    <x v="9"/>
    <n v="12550"/>
    <n v="16315"/>
    <n v="3"/>
    <n v="37650"/>
    <n v="48945"/>
    <s v="Vijay Singh"/>
    <n v="9750"/>
  </r>
  <r>
    <s v="139733"/>
    <x v="27"/>
    <s v="Ranjeet Mandal"/>
    <s v="30/03/2020"/>
    <s v="Shipped"/>
    <s v="I7 - intel 12th Generation"/>
    <s v="CPU"/>
    <x v="1"/>
    <n v="14500"/>
    <n v="18850"/>
    <n v="2"/>
    <n v="29000"/>
    <n v="37700"/>
    <s v="Aadil Khan"/>
    <n v="33150"/>
  </r>
  <r>
    <s v="139734"/>
    <x v="27"/>
    <s v="Ashwini Adsare"/>
    <s v="30/03/2020"/>
    <s v="Order"/>
    <s v="USB Keyboard"/>
    <s v="Keyboard"/>
    <x v="6"/>
    <n v="800"/>
    <n v="1040"/>
    <n v="3"/>
    <n v="2400"/>
    <n v="3120"/>
    <s v="Advika Joshi"/>
    <n v="3315"/>
  </r>
  <r>
    <s v="139735"/>
    <x v="27"/>
    <s v="Rajesh Variya"/>
    <s v="30/03/2020"/>
    <s v="Processing"/>
    <s v="Wireless Mouse"/>
    <s v="Mouse"/>
    <x v="0"/>
    <n v="600"/>
    <n v="780"/>
    <n v="4"/>
    <n v="2400"/>
    <n v="3120"/>
    <s v="Ajay Sharma"/>
    <n v="1690"/>
  </r>
  <r>
    <s v="139736"/>
    <x v="27"/>
    <s v="Amit Singh"/>
    <s v="30/03/2020"/>
    <s v="Delivered"/>
    <s v="21&quot; LCD Display"/>
    <s v="Monitor"/>
    <x v="6"/>
    <n v="10500"/>
    <n v="13650"/>
    <n v="1"/>
    <n v="10500"/>
    <n v="13650"/>
    <s v="Roshan Kumar"/>
    <n v="9750"/>
  </r>
  <r>
    <s v="139737"/>
    <x v="27"/>
    <s v="Vinod Mehta"/>
    <s v="30/03/2020"/>
    <s v="Shipped"/>
    <s v="12 TB HDD"/>
    <s v="HDD"/>
    <x v="10"/>
    <n v="6500"/>
    <n v="8450"/>
    <n v="3"/>
    <n v="19500"/>
    <n v="25350"/>
    <s v="Aarvi Gupta"/>
    <n v="39000"/>
  </r>
  <r>
    <s v="139738"/>
    <x v="27"/>
    <s v="Jignesh Mhatre"/>
    <s v="30/03/2020"/>
    <s v="Order"/>
    <s v="267 GB SSD"/>
    <s v="SSD"/>
    <x v="0"/>
    <n v="4500"/>
    <n v="5850"/>
    <n v="3"/>
    <n v="13500"/>
    <n v="17550"/>
    <s v="Vijay Singh"/>
    <n v="8450"/>
  </r>
  <r>
    <s v="139739"/>
    <x v="27"/>
    <s v="Rahul Kashyap"/>
    <s v="30/03/2020"/>
    <s v="Processing"/>
    <s v="Intel i3 11th gen."/>
    <s v="CPU"/>
    <x v="1"/>
    <n v="8500"/>
    <n v="11050"/>
    <n v="3"/>
    <n v="25500"/>
    <n v="33150"/>
    <s v="Aadil Khan"/>
    <n v="33150"/>
  </r>
  <r>
    <s v="139740"/>
    <x v="27"/>
    <s v="Mohammed Abdul Kaleem"/>
    <s v="30/03/2020"/>
    <s v="Delivered"/>
    <s v="4GB Graphic card"/>
    <s v="Graphic Card"/>
    <x v="2"/>
    <n v="12500"/>
    <n v="16250"/>
    <n v="3"/>
    <n v="37500"/>
    <n v="48750"/>
    <s v="Advika Joshi"/>
    <n v="18200"/>
  </r>
  <r>
    <s v="139741"/>
    <x v="27"/>
    <s v="Chandrakant Kasbe"/>
    <s v="30/03/2020"/>
    <s v="Shipped"/>
    <s v="19 GB DDR4 RAM"/>
    <s v="NIC"/>
    <x v="3"/>
    <n v="3500"/>
    <n v="4550"/>
    <n v="2"/>
    <n v="7000"/>
    <n v="9100"/>
    <s v="Ajay Sharma"/>
    <n v="9100"/>
  </r>
  <r>
    <s v="139742"/>
    <x v="27"/>
    <s v="Rohan Kale"/>
    <s v="30/03/2020"/>
    <s v="Order"/>
    <s v="BTX motherboard"/>
    <s v="Printer"/>
    <x v="4"/>
    <n v="4500"/>
    <n v="5850"/>
    <n v="3"/>
    <n v="13500"/>
    <n v="17550"/>
    <s v="Roshan Kumar"/>
    <n v="11700"/>
  </r>
  <r>
    <s v="139743"/>
    <x v="27"/>
    <s v="Aniruddha Kekapure"/>
    <s v="30/03/2020"/>
    <s v="Processing"/>
    <s v="14 Fans Cabinet"/>
    <s v="Cabinet"/>
    <x v="5"/>
    <n v="2100"/>
    <n v="2730"/>
    <n v="3"/>
    <n v="6300"/>
    <n v="8190"/>
    <s v="Aarvi Gupta"/>
    <n v="2990"/>
  </r>
  <r>
    <s v="139744"/>
    <x v="27"/>
    <s v="Aslam Raza"/>
    <s v="30/03/2020"/>
    <s v="Delivered"/>
    <s v="Wireless Keyboard"/>
    <s v="Keyboard"/>
    <x v="6"/>
    <n v="1150"/>
    <n v="1495"/>
    <n v="4"/>
    <n v="4600"/>
    <n v="5980"/>
    <s v="Vijay Singh"/>
    <n v="3315"/>
  </r>
  <r>
    <s v="139745"/>
    <x v="27"/>
    <s v="Roshan Zameer"/>
    <s v="30/03/2020"/>
    <s v="Shipped"/>
    <s v="USB Mouse"/>
    <s v="Mouse"/>
    <x v="0"/>
    <n v="350"/>
    <n v="455"/>
    <n v="3"/>
    <n v="1050"/>
    <n v="1365"/>
    <s v="Aadil Khan"/>
    <n v="1690"/>
  </r>
  <r>
    <s v="139746"/>
    <x v="27"/>
    <s v="Rakesh Kumar Sharma"/>
    <s v="30/03/2020"/>
    <s v="Order"/>
    <s v="19&quot; LED Display"/>
    <s v="Monitor"/>
    <x v="6"/>
    <n v="9500"/>
    <n v="12350"/>
    <n v="4"/>
    <n v="38000"/>
    <n v="49400"/>
    <s v="Advika Joshi"/>
    <n v="9750"/>
  </r>
  <r>
    <s v="139747"/>
    <x v="27"/>
    <s v="Shivanand Sahani"/>
    <s v="30/03/2020"/>
    <s v="Processing"/>
    <s v="13 TB HDD"/>
    <s v="HDD"/>
    <x v="10"/>
    <n v="10000"/>
    <n v="13000"/>
    <n v="1"/>
    <n v="10000"/>
    <n v="13000"/>
    <s v="Ajay Sharma"/>
    <n v="39000"/>
  </r>
  <r>
    <s v="139748"/>
    <x v="27"/>
    <s v="Kunal Patra"/>
    <s v="30/03/2020"/>
    <s v="Delivered"/>
    <s v="523 GB M.2"/>
    <s v="SSD"/>
    <x v="0"/>
    <n v="6500"/>
    <n v="8450"/>
    <n v="4"/>
    <n v="26000"/>
    <n v="33800"/>
    <s v="Roshan Kumar"/>
    <n v="8450"/>
  </r>
  <r>
    <s v="139749"/>
    <x v="27"/>
    <s v="Bijendra"/>
    <s v="30/03/2020"/>
    <s v="Shipped"/>
    <s v="RYZEN 3rd gen. 3511"/>
    <s v="CPU"/>
    <x v="1"/>
    <n v="8500"/>
    <n v="11050"/>
    <n v="2"/>
    <n v="17000"/>
    <n v="22100"/>
    <s v="Aarvi Gupta"/>
    <n v="33150"/>
  </r>
  <r>
    <s v="139750"/>
    <x v="27"/>
    <s v="Kranti Bheke"/>
    <s v="30/03/2020"/>
    <s v="Order"/>
    <s v="2GB Graphic Card"/>
    <s v="Graphic Card"/>
    <x v="2"/>
    <n v="7000"/>
    <n v="9100"/>
    <n v="1"/>
    <n v="7000"/>
    <n v="9100"/>
    <s v="Vijay Singh"/>
    <n v="18200"/>
  </r>
  <r>
    <s v="139751"/>
    <x v="27"/>
    <s v="Jagdeep"/>
    <s v="30/03/2020"/>
    <s v="Processing"/>
    <s v="27 GB DDR4 RAM"/>
    <s v="NIC"/>
    <x v="3"/>
    <n v="6550"/>
    <n v="8515"/>
    <n v="3"/>
    <n v="19650"/>
    <n v="25545"/>
    <s v="Aadil Khan"/>
    <n v="9100"/>
  </r>
  <r>
    <s v="139752"/>
    <x v="27"/>
    <s v="Adhir Samal"/>
    <s v="30/03/2020"/>
    <s v="Delivered"/>
    <s v="Standard ATX motherboard"/>
    <s v="Printer"/>
    <x v="4"/>
    <n v="7650"/>
    <n v="9945"/>
    <n v="1"/>
    <n v="7650"/>
    <n v="9945"/>
    <s v="Advika Joshi"/>
    <n v="11700"/>
  </r>
  <r>
    <s v="139753"/>
    <x v="27"/>
    <s v="Dannana Jhammi"/>
    <s v="30/03/2020"/>
    <s v="Shipped"/>
    <s v="Compact with 1 Fan"/>
    <s v="Cabinet"/>
    <x v="5"/>
    <n v="1150"/>
    <n v="1495"/>
    <n v="3"/>
    <n v="3450"/>
    <n v="4485"/>
    <s v="Ajay Sharma"/>
    <n v="2990"/>
  </r>
  <r>
    <s v="139754"/>
    <x v="27"/>
    <s v="Vipin Kumar"/>
    <s v="30/03/2020"/>
    <s v="Order"/>
    <s v="USB Backlight Keyboard"/>
    <s v="Keyboard"/>
    <x v="6"/>
    <n v="850"/>
    <n v="1105"/>
    <n v="4"/>
    <n v="3400"/>
    <n v="4420"/>
    <s v="Roshan Kumar"/>
    <n v="3315"/>
  </r>
  <r>
    <s v="139755"/>
    <x v="27"/>
    <s v="Ranjeet Kumar"/>
    <s v="30/03/2020"/>
    <s v="Processing"/>
    <s v="Ergonomic Mouse"/>
    <s v="Mouse"/>
    <x v="0"/>
    <n v="650"/>
    <n v="845"/>
    <n v="4"/>
    <n v="2600"/>
    <n v="3380"/>
    <s v="Aarvi Gupta"/>
    <n v="1690"/>
  </r>
  <r>
    <s v="139756"/>
    <x v="27"/>
    <s v="Sajal Singhal"/>
    <s v="30/03/2020"/>
    <s v="Delivered"/>
    <s v="15&quot; LCD Dsipaly"/>
    <s v="Monitor"/>
    <x v="6"/>
    <n v="7500"/>
    <n v="9750"/>
    <n v="2"/>
    <n v="15000"/>
    <n v="19500"/>
    <s v="Vijay Singh"/>
    <n v="9750"/>
  </r>
  <r>
    <s v="139757"/>
    <x v="27"/>
    <s v="Akhilesh Kumar"/>
    <s v="30/03/2020"/>
    <s v="Shipped"/>
    <s v="13 TB HDD"/>
    <s v="HDD"/>
    <x v="7"/>
    <n v="10000"/>
    <n v="13000"/>
    <n v="1"/>
    <n v="10000"/>
    <n v="13000"/>
    <s v="Aadil Khan"/>
    <n v="39000"/>
  </r>
  <r>
    <s v="139758"/>
    <x v="27"/>
    <s v="Suvankar Chakraborty"/>
    <s v="30/03/2020"/>
    <s v="Order"/>
    <s v="12 TB SSD"/>
    <s v="SSD"/>
    <x v="0"/>
    <n v="10500"/>
    <n v="13650"/>
    <n v="1"/>
    <n v="10500"/>
    <n v="13650"/>
    <s v="Advika Joshi"/>
    <n v="8450"/>
  </r>
  <r>
    <s v="139759"/>
    <x v="27"/>
    <s v="Suvankar Adhikary"/>
    <s v="30/03/2020"/>
    <s v="Processing"/>
    <s v="Intel i5 12th gen."/>
    <s v="CPU"/>
    <x v="1"/>
    <n v="8500"/>
    <n v="11050"/>
    <n v="4"/>
    <n v="34000"/>
    <n v="44200"/>
    <s v="Ajay Sharma"/>
    <n v="33150"/>
  </r>
  <r>
    <s v="139760"/>
    <x v="27"/>
    <s v="Rahul Kumar Prajapati"/>
    <s v="30/03/2020"/>
    <s v="Delivered"/>
    <s v="2GB Graphic Card"/>
    <s v="Graphic Card"/>
    <x v="2"/>
    <n v="7000"/>
    <n v="9100"/>
    <n v="2"/>
    <n v="14000"/>
    <n v="18200"/>
    <s v="Roshan Kumar"/>
    <n v="18200"/>
  </r>
  <r>
    <s v="139761"/>
    <x v="27"/>
    <s v="Sagar Jeur"/>
    <s v="30/03/2020"/>
    <s v="Shipped"/>
    <s v="15 GB DDR4 Ram"/>
    <s v="NIC"/>
    <x v="3"/>
    <n v="1680"/>
    <n v="2184"/>
    <n v="1"/>
    <n v="1680"/>
    <n v="2184"/>
    <s v="Aarvi Gupta"/>
    <n v="9100"/>
  </r>
  <r>
    <s v="139762"/>
    <x v="27"/>
    <s v="Rhushikesh Mane"/>
    <s v="30/03/2020"/>
    <s v="Order"/>
    <s v="Micro ATX motherboard"/>
    <s v="Printer"/>
    <x v="8"/>
    <n v="6540"/>
    <n v="8502"/>
    <n v="3"/>
    <n v="19620"/>
    <n v="25506"/>
    <s v="Vijay Singh"/>
    <n v="11700"/>
  </r>
  <r>
    <s v="139763"/>
    <x v="27"/>
    <s v="Ashish Kumar"/>
    <s v="30/03/2020"/>
    <s v="Processing"/>
    <s v="Gaming Box Cabinet"/>
    <s v="Cabinet"/>
    <x v="5"/>
    <n v="2680"/>
    <n v="3484"/>
    <n v="1"/>
    <n v="2680"/>
    <n v="3484"/>
    <s v="Aadil Khan"/>
    <n v="2990"/>
  </r>
  <r>
    <s v="139764"/>
    <x v="27"/>
    <s v="Javed Akhter"/>
    <s v="30/03/2020"/>
    <s v="Delivered"/>
    <s v="17&quot; LCD Display"/>
    <s v="Monitor"/>
    <x v="0"/>
    <n v="8250"/>
    <n v="10725"/>
    <n v="4"/>
    <n v="33000"/>
    <n v="42900"/>
    <s v="Advika Joshi"/>
    <n v="9750"/>
  </r>
  <r>
    <s v="139765"/>
    <x v="27"/>
    <s v="Haridas Balraj"/>
    <s v="30/03/2020"/>
    <s v="Shipped"/>
    <s v="19 GB DDR4 RAM"/>
    <s v="RAM"/>
    <x v="0"/>
    <n v="2650"/>
    <n v="3445"/>
    <n v="3"/>
    <n v="7950"/>
    <n v="10335"/>
    <s v="Ajay Sharma"/>
    <n v="25545"/>
  </r>
  <r>
    <s v="139766"/>
    <x v="27"/>
    <s v="Kundan Kumar"/>
    <s v="30/03/2020"/>
    <s v="Order"/>
    <s v="26&quot; LCD Display"/>
    <s v="Monitor"/>
    <x v="9"/>
    <n v="12550"/>
    <n v="16315"/>
    <n v="1"/>
    <n v="12550"/>
    <n v="16315"/>
    <s v="Roshan Kumar"/>
    <n v="9750"/>
  </r>
  <r>
    <s v="139767"/>
    <x v="27"/>
    <s v="Atif Siddiqui"/>
    <s v="30/03/2020"/>
    <s v="Processing"/>
    <s v="I7 - intel 12th Generation"/>
    <s v="CPU"/>
    <x v="1"/>
    <n v="14500"/>
    <n v="18850"/>
    <n v="1"/>
    <n v="14500"/>
    <n v="18850"/>
    <s v="Aarvi Gupta"/>
    <n v="33150"/>
  </r>
  <r>
    <s v="139768"/>
    <x v="27"/>
    <s v="Aditya Agarwal"/>
    <s v="30/03/2020"/>
    <s v="Delivered"/>
    <s v="USB Keyboard"/>
    <s v="Keyboard"/>
    <x v="6"/>
    <n v="800"/>
    <n v="1040"/>
    <n v="1"/>
    <n v="800"/>
    <n v="1040"/>
    <s v="Vijay Singh"/>
    <n v="3315"/>
  </r>
  <r>
    <s v="139769"/>
    <x v="27"/>
    <s v="Firdoush Jabee"/>
    <s v="30/03/2020"/>
    <s v="Shipped"/>
    <s v="Wireless Mouse"/>
    <s v="Mouse"/>
    <x v="0"/>
    <n v="600"/>
    <n v="780"/>
    <n v="1"/>
    <n v="600"/>
    <n v="780"/>
    <s v="Aadil Khan"/>
    <n v="1690"/>
  </r>
  <r>
    <s v="139770"/>
    <x v="27"/>
    <s v="Jay Prakash Kumar"/>
    <s v="30/03/2020"/>
    <s v="Order"/>
    <s v="21&quot; LCD Display"/>
    <s v="Monitor"/>
    <x v="6"/>
    <n v="10500"/>
    <n v="13650"/>
    <n v="1"/>
    <n v="10500"/>
    <n v="13650"/>
    <s v="Advika Joshi"/>
    <n v="9750"/>
  </r>
  <r>
    <s v="139771"/>
    <x v="27"/>
    <s v="Ashish Pandey"/>
    <s v="30/03/2020"/>
    <s v="Processing"/>
    <s v="13 TB HDD"/>
    <s v="HDD"/>
    <x v="10"/>
    <n v="6500"/>
    <n v="8450"/>
    <n v="3"/>
    <n v="19500"/>
    <n v="25350"/>
    <s v="Ajay Sharma"/>
    <n v="39000"/>
  </r>
  <r>
    <s v="139772"/>
    <x v="27"/>
    <s v="Ajay Sharma"/>
    <s v="30/03/2020"/>
    <s v="Delivered"/>
    <s v="268 GB SSD"/>
    <s v="SSD"/>
    <x v="0"/>
    <n v="4500"/>
    <n v="5850"/>
    <n v="4"/>
    <n v="18000"/>
    <n v="23400"/>
    <s v="Ajay Sharma"/>
    <n v="8450"/>
  </r>
  <r>
    <s v="139773"/>
    <x v="27"/>
    <s v="Moinuddin Saifi"/>
    <s v="30/03/2020"/>
    <s v="Shipped"/>
    <s v="Intel i3 11th gen."/>
    <s v="CPU"/>
    <x v="1"/>
    <n v="8500"/>
    <n v="11050"/>
    <n v="1"/>
    <n v="8500"/>
    <n v="11050"/>
    <s v="Roshan Kumar"/>
    <n v="33150"/>
  </r>
  <r>
    <s v="139774"/>
    <x v="27"/>
    <s v="Ramkrishna Das Adhikary"/>
    <s v="30/03/2020"/>
    <s v="Order"/>
    <s v="4GB Graphic card"/>
    <s v="Graphic Card"/>
    <x v="2"/>
    <n v="12500"/>
    <n v="16250"/>
    <n v="4"/>
    <n v="50000"/>
    <n v="65000"/>
    <s v="Aarvi Gupta"/>
    <n v="18200"/>
  </r>
  <r>
    <s v="139775"/>
    <x v="27"/>
    <s v="Ranjeet Mandal"/>
    <s v="30/03/2020"/>
    <s v="Processing"/>
    <s v="20 GB DDR4 RAM"/>
    <s v="RAM"/>
    <x v="3"/>
    <n v="3500"/>
    <n v="4550"/>
    <n v="3"/>
    <n v="10500"/>
    <n v="13650"/>
    <s v="Vijay Singh"/>
    <n v="25545"/>
  </r>
  <r>
    <s v="139776"/>
    <x v="27"/>
    <s v="Ashwini Adsare"/>
    <s v="30/03/2020"/>
    <s v="Delivered"/>
    <s v="BTX motherboard"/>
    <s v="MotherBoard"/>
    <x v="4"/>
    <n v="4500"/>
    <n v="5850"/>
    <n v="1"/>
    <n v="4500"/>
    <n v="5850"/>
    <s v="Aadil Khan"/>
    <n v="39780"/>
  </r>
  <r>
    <s v="139777"/>
    <x v="27"/>
    <s v="Rajesh Variya"/>
    <s v="30/03/2020"/>
    <s v="Shipped"/>
    <s v="15 Fans Cabinet"/>
    <s v="Cabinet"/>
    <x v="5"/>
    <n v="2100"/>
    <n v="2730"/>
    <n v="1"/>
    <n v="2100"/>
    <n v="2730"/>
    <s v="Advika Joshi"/>
    <n v="2990"/>
  </r>
  <r>
    <s v="139778"/>
    <x v="27"/>
    <s v="Amit Singh"/>
    <s v="30/03/2020"/>
    <s v="Order"/>
    <s v="Wireless Keyboard"/>
    <s v="Keyboard"/>
    <x v="6"/>
    <n v="1150"/>
    <n v="1495"/>
    <n v="3"/>
    <n v="3450"/>
    <n v="4485"/>
    <s v="Ajay Sharma"/>
    <n v="3315"/>
  </r>
  <r>
    <s v="139779"/>
    <x v="27"/>
    <s v="Vinod Mehta"/>
    <s v="30/03/2020"/>
    <s v="Processing"/>
    <s v="USB Mouse"/>
    <s v="Mouse"/>
    <x v="0"/>
    <n v="350"/>
    <n v="455"/>
    <n v="1"/>
    <n v="350"/>
    <n v="455"/>
    <s v="Roshan Kumar"/>
    <n v="1690"/>
  </r>
  <r>
    <s v="139780"/>
    <x v="27"/>
    <s v="Jignesh Mhatre"/>
    <s v="30/03/2020"/>
    <s v="Delivered"/>
    <s v="19&quot; LED Display"/>
    <s v="Monitor"/>
    <x v="6"/>
    <n v="9500"/>
    <n v="12350"/>
    <n v="1"/>
    <n v="9500"/>
    <n v="12350"/>
    <s v="Aarvi Gupta"/>
    <n v="9750"/>
  </r>
  <r>
    <s v="139781"/>
    <x v="27"/>
    <s v="Rahul Kashyap"/>
    <s v="30/03/2020"/>
    <s v="Shipped"/>
    <s v="14 TB HDD"/>
    <s v="HDD"/>
    <x v="10"/>
    <n v="10000"/>
    <n v="13000"/>
    <n v="2"/>
    <n v="20000"/>
    <n v="26000"/>
    <s v="Vijay Singh"/>
    <n v="39000"/>
  </r>
  <r>
    <s v="139782"/>
    <x v="27"/>
    <s v="Mohammed Abdul Kaleem"/>
    <s v="30/03/2020"/>
    <s v="Order"/>
    <s v="524 GB M.2"/>
    <s v="SSD"/>
    <x v="0"/>
    <n v="6500"/>
    <n v="8450"/>
    <n v="1"/>
    <n v="6500"/>
    <n v="8450"/>
    <s v="Aadil Khan"/>
    <n v="8450"/>
  </r>
  <r>
    <s v="139783"/>
    <x v="27"/>
    <s v="Chandrakant Kasbe"/>
    <s v="30/03/2020"/>
    <s v="Processing"/>
    <s v="RYZEN 3rd gen. 3512"/>
    <s v="CPU"/>
    <x v="1"/>
    <n v="8500"/>
    <n v="11050"/>
    <n v="1"/>
    <n v="8500"/>
    <n v="11050"/>
    <s v="Advika Joshi"/>
    <n v="33150"/>
  </r>
  <r>
    <s v="139784"/>
    <x v="27"/>
    <s v="Rohan Kale"/>
    <s v="30/03/2020"/>
    <s v="Delivered"/>
    <s v="2GB Graphic Card"/>
    <s v="Graphic Card"/>
    <x v="2"/>
    <n v="7000"/>
    <n v="9100"/>
    <n v="3"/>
    <n v="21000"/>
    <n v="27300"/>
    <s v="Ajay Sharma"/>
    <n v="18200"/>
  </r>
  <r>
    <s v="139785"/>
    <x v="27"/>
    <s v="Aniruddha Kekapure"/>
    <s v="30/03/2020"/>
    <s v="Shipped"/>
    <s v="28 GB DDR4 RAM"/>
    <s v="RAM"/>
    <x v="3"/>
    <n v="6550"/>
    <n v="8515"/>
    <n v="3"/>
    <n v="19650"/>
    <n v="25545"/>
    <s v="Roshan Kumar"/>
    <n v="25545"/>
  </r>
  <r>
    <s v="139786"/>
    <x v="27"/>
    <s v="Aslam Raza"/>
    <s v="30/03/2020"/>
    <s v="Order"/>
    <s v="Standard ATX motherboard"/>
    <s v="MotherBoard"/>
    <x v="4"/>
    <n v="7650"/>
    <n v="9945"/>
    <n v="3"/>
    <n v="22950"/>
    <n v="29835"/>
    <s v="Aarvi Gupta"/>
    <n v="39780"/>
  </r>
  <r>
    <s v="139787"/>
    <x v="27"/>
    <s v="Roshan Zameer"/>
    <s v="30/03/2020"/>
    <s v="Processing"/>
    <s v="Compact with 1 Fan"/>
    <s v="Cabinet"/>
    <x v="5"/>
    <n v="1150"/>
    <n v="1495"/>
    <n v="4"/>
    <n v="4600"/>
    <n v="5980"/>
    <s v="Vijay Singh"/>
    <n v="2990"/>
  </r>
  <r>
    <s v="139788"/>
    <x v="27"/>
    <s v="Rakesh Kumar Sharma"/>
    <s v="30/03/2020"/>
    <s v="Delivered"/>
    <s v="USB Backlight Keyboard"/>
    <s v="Keyboard"/>
    <x v="6"/>
    <n v="850"/>
    <n v="1105"/>
    <n v="3"/>
    <n v="2550"/>
    <n v="3315"/>
    <s v="Aadil Khan"/>
    <n v="3315"/>
  </r>
  <r>
    <s v="139789"/>
    <x v="27"/>
    <s v="Shivanand Sahani"/>
    <s v="30/03/2020"/>
    <s v="Shipped"/>
    <s v="Ergonomic Mouse"/>
    <s v="Mouse"/>
    <x v="0"/>
    <n v="650"/>
    <n v="845"/>
    <n v="4"/>
    <n v="2600"/>
    <n v="3380"/>
    <s v="Advika Joshi"/>
    <n v="1690"/>
  </r>
  <r>
    <s v="139790"/>
    <x v="27"/>
    <s v="Kunal Patra"/>
    <s v="30/03/2020"/>
    <s v="Order"/>
    <s v="15&quot; LCD Dsipaly"/>
    <s v="Monitor"/>
    <x v="6"/>
    <n v="7500"/>
    <n v="9750"/>
    <n v="1"/>
    <n v="7500"/>
    <n v="9750"/>
    <s v="Ajay Sharma"/>
    <n v="9750"/>
  </r>
  <r>
    <s v="139791"/>
    <x v="27"/>
    <s v="Bijendra"/>
    <s v="30/03/2020"/>
    <s v="Processing"/>
    <s v="14 TB HDD"/>
    <s v="HDD"/>
    <x v="7"/>
    <n v="10000"/>
    <n v="13000"/>
    <n v="4"/>
    <n v="40000"/>
    <n v="52000"/>
    <s v="Roshan Kumar"/>
    <n v="39000"/>
  </r>
  <r>
    <s v="139792"/>
    <x v="27"/>
    <s v="Kranti Bheke"/>
    <s v="30/03/2020"/>
    <s v="Delivered"/>
    <s v="13 TB SSD"/>
    <s v="SSD"/>
    <x v="0"/>
    <n v="10500"/>
    <n v="13650"/>
    <n v="3"/>
    <n v="31500"/>
    <n v="40950"/>
    <s v="Aarvi Gupta"/>
    <n v="8450"/>
  </r>
  <r>
    <s v="139793"/>
    <x v="27"/>
    <s v="Jagdeep"/>
    <s v="30/03/2020"/>
    <s v="Shipped"/>
    <s v="Intel i5 12th gen."/>
    <s v="CPU"/>
    <x v="1"/>
    <n v="8500"/>
    <n v="11050"/>
    <n v="3"/>
    <n v="25500"/>
    <n v="33150"/>
    <s v="Vijay Singh"/>
    <n v="33150"/>
  </r>
  <r>
    <s v="139794"/>
    <x v="27"/>
    <s v="Adhir Samal"/>
    <s v="30/03/2020"/>
    <s v="Order"/>
    <s v="2GB Graphic Card"/>
    <s v="Graphic Card"/>
    <x v="2"/>
    <n v="7000"/>
    <n v="9100"/>
    <n v="4"/>
    <n v="28000"/>
    <n v="36400"/>
    <s v="Aadil Khan"/>
    <n v="18200"/>
  </r>
  <r>
    <s v="139795"/>
    <x v="27"/>
    <s v="Dannana Jhammi"/>
    <s v="30/03/2020"/>
    <s v="Processing"/>
    <s v="16 GB DDR4 Ram"/>
    <s v="RAM"/>
    <x v="3"/>
    <n v="1680"/>
    <n v="2184"/>
    <n v="1"/>
    <n v="1680"/>
    <n v="2184"/>
    <s v="Advika Joshi"/>
    <n v="25545"/>
  </r>
  <r>
    <s v="139796"/>
    <x v="27"/>
    <s v="Vipin Kumar"/>
    <s v="30/03/2020"/>
    <s v="Delivered"/>
    <s v="Micro ATX motherboard"/>
    <s v="MotherBoard"/>
    <x v="8"/>
    <n v="6540"/>
    <n v="8502"/>
    <n v="4"/>
    <n v="26160"/>
    <n v="34008"/>
    <s v="Ajay Sharma"/>
    <n v="39780"/>
  </r>
  <r>
    <s v="139797"/>
    <x v="27"/>
    <s v="Ranjeet Kumar"/>
    <s v="30/03/2020"/>
    <s v="Shipped"/>
    <s v="Gaming Box Cabinet"/>
    <s v="Cabinet"/>
    <x v="5"/>
    <n v="2680"/>
    <n v="3484"/>
    <n v="4"/>
    <n v="10720"/>
    <n v="13936"/>
    <s v="Roshan Kumar"/>
    <n v="2990"/>
  </r>
  <r>
    <s v="139798"/>
    <x v="27"/>
    <s v="Sajal Singhal"/>
    <s v="30/03/2020"/>
    <s v="Order"/>
    <s v="17&quot; LCD Display"/>
    <s v="Monitor"/>
    <x v="0"/>
    <n v="8250"/>
    <n v="10725"/>
    <n v="2"/>
    <n v="16500"/>
    <n v="21450"/>
    <s v="Aarvi Gupta"/>
    <n v="9750"/>
  </r>
  <r>
    <s v="139799"/>
    <x v="27"/>
    <s v="Akhilesh Kumar"/>
    <s v="30/03/2020"/>
    <s v="Processing"/>
    <s v="20 GB DDR4 RAM"/>
    <s v="RAM"/>
    <x v="0"/>
    <n v="2650"/>
    <n v="3445"/>
    <n v="3"/>
    <n v="7950"/>
    <n v="10335"/>
    <s v="Vijay Singh"/>
    <n v="25545"/>
  </r>
  <r>
    <s v="139800"/>
    <x v="27"/>
    <s v="Suvankar Chakraborty"/>
    <s v="30/03/2020"/>
    <s v="Delivered"/>
    <s v="26&quot; LCD Display"/>
    <s v="Monitor"/>
    <x v="9"/>
    <n v="12550"/>
    <n v="16315"/>
    <n v="4"/>
    <n v="50200"/>
    <n v="65260"/>
    <s v="Aadil Khan"/>
    <n v="9750"/>
  </r>
  <r>
    <s v="139801"/>
    <x v="27"/>
    <s v="Suvankar Adhikary"/>
    <s v="30/03/2020"/>
    <s v="Shipped"/>
    <s v="I7 - intel 12th Generation"/>
    <s v="CPU"/>
    <x v="1"/>
    <n v="14500"/>
    <n v="18850"/>
    <n v="3"/>
    <n v="43500"/>
    <n v="56550"/>
    <s v="Advika Joshi"/>
    <n v="33150"/>
  </r>
  <r>
    <s v="139802"/>
    <x v="27"/>
    <s v="Rahul Kumar Prajapati"/>
    <s v="30/03/2020"/>
    <s v="Order"/>
    <s v="USB Keyboard"/>
    <s v="Keyboard"/>
    <x v="6"/>
    <n v="800"/>
    <n v="1040"/>
    <n v="1"/>
    <n v="800"/>
    <n v="1040"/>
    <s v="Ajay Sharma"/>
    <n v="3315"/>
  </r>
  <r>
    <s v="139803"/>
    <x v="27"/>
    <s v="Sagar Jeur"/>
    <s v="30/03/2020"/>
    <s v="Processing"/>
    <s v="Wireless Mouse"/>
    <s v="Mouse"/>
    <x v="0"/>
    <n v="600"/>
    <n v="780"/>
    <n v="4"/>
    <n v="2400"/>
    <n v="3120"/>
    <s v="Roshan Kumar"/>
    <n v="1690"/>
  </r>
  <r>
    <s v="139804"/>
    <x v="27"/>
    <s v="Rhushikesh Mane"/>
    <s v="30/03/2020"/>
    <s v="Delivered"/>
    <s v="21&quot; LCD Display"/>
    <s v="Monitor"/>
    <x v="6"/>
    <n v="10500"/>
    <n v="13650"/>
    <n v="2"/>
    <n v="21000"/>
    <n v="27300"/>
    <s v="Aarvi Gupta"/>
    <n v="9750"/>
  </r>
  <r>
    <s v="139805"/>
    <x v="27"/>
    <s v="Ashish Kumar"/>
    <s v="30/03/2020"/>
    <s v="Shipped"/>
    <s v="14 TB HDD"/>
    <s v="HDD"/>
    <x v="10"/>
    <n v="6500"/>
    <n v="8450"/>
    <n v="2"/>
    <n v="13000"/>
    <n v="16900"/>
    <s v="Vijay Singh"/>
    <n v="39000"/>
  </r>
  <r>
    <s v="139806"/>
    <x v="27"/>
    <s v="Javed Akhter"/>
    <s v="30/03/2020"/>
    <s v="Order"/>
    <s v="269 GB SSD"/>
    <s v="SSD"/>
    <x v="0"/>
    <n v="4500"/>
    <n v="5850"/>
    <n v="1"/>
    <n v="4500"/>
    <n v="5850"/>
    <s v="Aadil Khan"/>
    <n v="8450"/>
  </r>
  <r>
    <s v="139807"/>
    <x v="27"/>
    <s v="Haridas Balraj"/>
    <s v="30/03/2020"/>
    <s v="Processing"/>
    <s v="Intel i3 11th gen."/>
    <s v="CPU"/>
    <x v="1"/>
    <n v="8500"/>
    <n v="11050"/>
    <n v="2"/>
    <n v="17000"/>
    <n v="22100"/>
    <s v="Advika Joshi"/>
    <n v="33150"/>
  </r>
  <r>
    <s v="139808"/>
    <x v="27"/>
    <s v="Kundan Kumar"/>
    <s v="30/03/2020"/>
    <s v="Delivered"/>
    <s v="4GB Graphic card"/>
    <s v="Graphic Card"/>
    <x v="2"/>
    <n v="12500"/>
    <n v="16250"/>
    <n v="2"/>
    <n v="25000"/>
    <n v="32500"/>
    <s v="Ajay Sharma"/>
    <n v="18200"/>
  </r>
  <r>
    <s v="139809"/>
    <x v="27"/>
    <s v="Atif Siddiqui"/>
    <s v="30/03/2020"/>
    <s v="Shipped"/>
    <s v="21 GB DDR4 RAM"/>
    <s v="Computer Case"/>
    <x v="3"/>
    <n v="3500"/>
    <n v="4550"/>
    <n v="4"/>
    <n v="14000"/>
    <n v="18200"/>
    <s v="Roshan Kumar"/>
    <n v="13650"/>
  </r>
  <r>
    <s v="139810"/>
    <x v="27"/>
    <s v="Aditya Agarwal"/>
    <s v="30/03/2020"/>
    <s v="Order"/>
    <s v="BTX motherboard"/>
    <s v="Mouse"/>
    <x v="4"/>
    <n v="4500"/>
    <n v="5850"/>
    <n v="2"/>
    <n v="9000"/>
    <n v="11700"/>
    <s v="Aarvi Gupta"/>
    <n v="1690"/>
  </r>
  <r>
    <s v="139811"/>
    <x v="27"/>
    <s v="Firdoush Jabee"/>
    <s v="30/03/2020"/>
    <s v="Processing"/>
    <s v="16 Fans Cabinet"/>
    <s v="Cabinet"/>
    <x v="5"/>
    <n v="2100"/>
    <n v="2730"/>
    <n v="3"/>
    <n v="6300"/>
    <n v="8190"/>
    <s v="Vijay Singh"/>
    <n v="2990"/>
  </r>
  <r>
    <s v="139812"/>
    <x v="27"/>
    <s v="Jay Prakash Kumar"/>
    <s v="30/03/2020"/>
    <s v="Delivered"/>
    <s v="Wireless Keyboard"/>
    <s v="Keyboard"/>
    <x v="6"/>
    <n v="1150"/>
    <n v="1495"/>
    <n v="3"/>
    <n v="3450"/>
    <n v="4485"/>
    <s v="Aadil Khan"/>
    <n v="3315"/>
  </r>
  <r>
    <s v="139813"/>
    <x v="27"/>
    <s v="Ashish Pandey"/>
    <s v="30/03/2020"/>
    <s v="Shipped"/>
    <s v="USB Mouse"/>
    <s v="Mouse"/>
    <x v="0"/>
    <n v="350"/>
    <n v="455"/>
    <n v="1"/>
    <n v="350"/>
    <n v="455"/>
    <s v="Advika Joshi"/>
    <n v="1690"/>
  </r>
  <r>
    <s v="139814"/>
    <x v="27"/>
    <s v="Ajay Sharma"/>
    <s v="30/03/2020"/>
    <s v="Order"/>
    <s v="19&quot; LED Display"/>
    <s v="Monitor"/>
    <x v="6"/>
    <n v="9500"/>
    <n v="12350"/>
    <n v="3"/>
    <n v="28500"/>
    <n v="37050"/>
    <s v="Ajay Sharma"/>
    <n v="9750"/>
  </r>
  <r>
    <s v="139815"/>
    <x v="32"/>
    <s v="Moinuddin Saifi"/>
    <s v="30/03/2020"/>
    <s v="Processing"/>
    <s v="15 TB HDD"/>
    <s v="HDD"/>
    <x v="10"/>
    <n v="10000"/>
    <n v="13000"/>
    <n v="4"/>
    <n v="40000"/>
    <n v="52000"/>
    <s v="Roshan Kumar"/>
    <n v="39000"/>
  </r>
  <r>
    <s v="139816"/>
    <x v="0"/>
    <s v="Ramkrishna Das Adhikary"/>
    <s v="30/03/2020"/>
    <s v="Delivered"/>
    <s v="525 GB M.2"/>
    <s v="SSD"/>
    <x v="0"/>
    <n v="6500"/>
    <n v="8450"/>
    <n v="4"/>
    <n v="26000"/>
    <n v="33800"/>
    <s v="Aarvi Gupta"/>
    <n v="8450"/>
  </r>
  <r>
    <s v="139817"/>
    <x v="23"/>
    <s v="Ranjeet Mandal"/>
    <s v="30/03/2020"/>
    <s v="Shipped"/>
    <s v="RYZEN 3rd gen. 3513"/>
    <s v="CPU"/>
    <x v="1"/>
    <n v="8500"/>
    <n v="11050"/>
    <n v="3"/>
    <n v="25500"/>
    <n v="33150"/>
    <s v="Vijay Singh"/>
    <n v="33150"/>
  </r>
  <r>
    <s v="139818"/>
    <x v="1"/>
    <s v="Ashwini Adsare"/>
    <s v="30/03/2020"/>
    <s v="Order"/>
    <s v="2GB Graphic Card"/>
    <s v="Graphic Card"/>
    <x v="2"/>
    <n v="7000"/>
    <n v="9100"/>
    <n v="1"/>
    <n v="7000"/>
    <n v="9100"/>
    <s v="Aadil Khan"/>
    <n v="18200"/>
  </r>
  <r>
    <s v="139819"/>
    <x v="2"/>
    <s v="Rajesh Variya"/>
    <s v="30/03/2020"/>
    <s v="Processing"/>
    <s v="29 GB DDR4 RAM"/>
    <s v="Computer Case"/>
    <x v="3"/>
    <n v="6550"/>
    <n v="8515"/>
    <n v="4"/>
    <n v="26200"/>
    <n v="34060"/>
    <s v="Advika Joshi"/>
    <n v="13650"/>
  </r>
  <r>
    <s v="139820"/>
    <x v="3"/>
    <s v="Amit Singh"/>
    <s v="30/03/2020"/>
    <s v="Delivered"/>
    <s v="Standard ATX motherboard"/>
    <s v="Mouse"/>
    <x v="4"/>
    <n v="7650"/>
    <n v="9945"/>
    <n v="3"/>
    <n v="22950"/>
    <n v="29835"/>
    <s v="Ajay Sharma"/>
    <n v="1690"/>
  </r>
  <r>
    <s v="139821"/>
    <x v="24"/>
    <s v="Vinod Mehta"/>
    <s v="30/03/2020"/>
    <s v="Shipped"/>
    <s v="Compact with 1 Fan"/>
    <s v="Cabinet"/>
    <x v="5"/>
    <n v="1150"/>
    <n v="1495"/>
    <n v="2"/>
    <n v="2300"/>
    <n v="2990"/>
    <s v="Roshan Kumar"/>
    <n v="2990"/>
  </r>
  <r>
    <s v="139822"/>
    <x v="25"/>
    <s v="Jignesh Mhatre"/>
    <s v="30/03/2020"/>
    <s v="Order"/>
    <s v="USB Backlight Keyboard"/>
    <s v="Keyboard"/>
    <x v="6"/>
    <n v="850"/>
    <n v="1105"/>
    <n v="2"/>
    <n v="1700"/>
    <n v="2210"/>
    <s v="Aarvi Gupta"/>
    <n v="3315"/>
  </r>
  <r>
    <s v="139823"/>
    <x v="33"/>
    <s v="Rahul Kashyap"/>
    <s v="30/03/2020"/>
    <s v="Processing"/>
    <s v="Ergonomic Mouse"/>
    <s v="Mouse"/>
    <x v="0"/>
    <n v="650"/>
    <n v="845"/>
    <n v="1"/>
    <n v="650"/>
    <n v="845"/>
    <s v="Vijay Singh"/>
    <n v="1690"/>
  </r>
  <r>
    <s v="139824"/>
    <x v="34"/>
    <s v="Mohammed Abdul Kaleem"/>
    <s v="30/03/2020"/>
    <s v="Delivered"/>
    <s v="15&quot; LCD Dsipaly"/>
    <s v="Monitor"/>
    <x v="6"/>
    <n v="7500"/>
    <n v="9750"/>
    <n v="1"/>
    <n v="7500"/>
    <n v="9750"/>
    <s v="Aadil Khan"/>
    <n v="9750"/>
  </r>
  <r>
    <s v="139825"/>
    <x v="4"/>
    <s v="Chandrakant Kasbe"/>
    <s v="30/03/2020"/>
    <s v="Shipped"/>
    <s v="15 TB HDD"/>
    <s v="HDD"/>
    <x v="7"/>
    <n v="10000"/>
    <n v="13000"/>
    <n v="2"/>
    <n v="20000"/>
    <n v="26000"/>
    <s v="Advika Joshi"/>
    <n v="39000"/>
  </r>
  <r>
    <s v="139826"/>
    <x v="5"/>
    <s v="Rohan Kale"/>
    <s v="30/03/2020"/>
    <s v="Order"/>
    <s v="14 TB SSD"/>
    <s v="SSD"/>
    <x v="0"/>
    <n v="10500"/>
    <n v="13650"/>
    <n v="3"/>
    <n v="31500"/>
    <n v="40950"/>
    <s v="Ajay Sharma"/>
    <n v="8450"/>
  </r>
  <r>
    <s v="139827"/>
    <x v="6"/>
    <s v="Aniruddha Kekapure"/>
    <s v="30/03/2020"/>
    <s v="Processing"/>
    <s v="Intel i5 12th gen."/>
    <s v="CPU"/>
    <x v="1"/>
    <n v="8500"/>
    <n v="11050"/>
    <n v="3"/>
    <n v="25500"/>
    <n v="33150"/>
    <s v="Roshan Kumar"/>
    <n v="33150"/>
  </r>
  <r>
    <s v="139828"/>
    <x v="7"/>
    <s v="Aslam Raza"/>
    <s v="30/03/2020"/>
    <s v="Delivered"/>
    <s v="2GB Graphic Card"/>
    <s v="Graphic Card"/>
    <x v="2"/>
    <n v="7000"/>
    <n v="9100"/>
    <n v="4"/>
    <n v="28000"/>
    <n v="36400"/>
    <s v="Aarvi Gupta"/>
    <n v="18200"/>
  </r>
  <r>
    <s v="139829"/>
    <x v="26"/>
    <s v="Roshan Zameer"/>
    <s v="30/03/2020"/>
    <s v="Shipped"/>
    <s v="17 GB DDR4 Ram"/>
    <s v="Computer Case"/>
    <x v="3"/>
    <n v="1680"/>
    <n v="2184"/>
    <n v="3"/>
    <n v="5040"/>
    <n v="6552"/>
    <s v="Vijay Singh"/>
    <n v="13650"/>
  </r>
  <r>
    <s v="139830"/>
    <x v="27"/>
    <s v="Rakesh Kumar Sharma"/>
    <s v="30/03/2020"/>
    <s v="Order"/>
    <s v="Micro ATX motherboard"/>
    <s v="Mouse"/>
    <x v="8"/>
    <n v="6540"/>
    <n v="8502"/>
    <n v="1"/>
    <n v="6540"/>
    <n v="8502"/>
    <s v="Aadil Khan"/>
    <n v="1690"/>
  </r>
  <r>
    <s v="139831"/>
    <x v="8"/>
    <s v="Shivanand Sahani"/>
    <s v="30/03/2020"/>
    <s v="Processing"/>
    <s v="Gaming Box Cabinet"/>
    <s v="Cabinet"/>
    <x v="5"/>
    <n v="2680"/>
    <n v="3484"/>
    <n v="2"/>
    <n v="5360"/>
    <n v="6968"/>
    <s v="Advika Joshi"/>
    <n v="2990"/>
  </r>
  <r>
    <s v="139832"/>
    <x v="9"/>
    <s v="Kunal Patra"/>
    <s v="30/03/2020"/>
    <s v="Delivered"/>
    <s v="17&quot; LCD Display"/>
    <s v="Monitor"/>
    <x v="0"/>
    <n v="8250"/>
    <n v="10725"/>
    <n v="3"/>
    <n v="24750"/>
    <n v="32175"/>
    <s v="Ajay Sharma"/>
    <n v="9750"/>
  </r>
  <r>
    <s v="139833"/>
    <x v="10"/>
    <s v="Bijendra"/>
    <s v="30/03/2020"/>
    <s v="Shipped"/>
    <s v="21 GB DDR4 RAM"/>
    <s v="RAM"/>
    <x v="0"/>
    <n v="2650"/>
    <n v="3445"/>
    <n v="3"/>
    <n v="7950"/>
    <n v="10335"/>
    <s v="Roshan Kumar"/>
    <n v="25545"/>
  </r>
  <r>
    <s v="139834"/>
    <x v="11"/>
    <s v="Kranti Bheke"/>
    <s v="30/03/2020"/>
    <s v="Order"/>
    <s v="26&quot; LCD Display"/>
    <s v="Monitor"/>
    <x v="9"/>
    <n v="12550"/>
    <n v="16315"/>
    <n v="4"/>
    <n v="50200"/>
    <n v="65260"/>
    <s v="Aarvi Gupta"/>
    <n v="9750"/>
  </r>
  <r>
    <s v="139835"/>
    <x v="12"/>
    <s v="Jagdeep"/>
    <s v="30/03/2020"/>
    <s v="Processing"/>
    <s v="I7 - intel 12th Generation"/>
    <s v="CPU"/>
    <x v="1"/>
    <n v="14500"/>
    <n v="18850"/>
    <n v="4"/>
    <n v="58000"/>
    <n v="75400"/>
    <s v="Vijay Singh"/>
    <n v="33150"/>
  </r>
  <r>
    <s v="139836"/>
    <x v="13"/>
    <s v="Adhir Samal"/>
    <s v="30/03/2020"/>
    <s v="Delivered"/>
    <s v="USB Keyboard"/>
    <s v="Keyboard"/>
    <x v="6"/>
    <n v="800"/>
    <n v="1040"/>
    <n v="2"/>
    <n v="1600"/>
    <n v="2080"/>
    <s v="Aadil Khan"/>
    <n v="3315"/>
  </r>
  <r>
    <s v="139837"/>
    <x v="14"/>
    <s v="Dannana Jhammi"/>
    <s v="30/03/2020"/>
    <s v="Shipped"/>
    <s v="Wireless Mouse"/>
    <s v="Mouse"/>
    <x v="0"/>
    <n v="600"/>
    <n v="780"/>
    <n v="3"/>
    <n v="1800"/>
    <n v="2340"/>
    <s v="Advika Joshi"/>
    <n v="1690"/>
  </r>
  <r>
    <s v="139838"/>
    <x v="15"/>
    <s v="Vipin Kumar"/>
    <s v="30/03/2020"/>
    <s v="Order"/>
    <s v="21&quot; LCD Display"/>
    <s v="Monitor"/>
    <x v="6"/>
    <n v="10500"/>
    <n v="13650"/>
    <n v="3"/>
    <n v="31500"/>
    <n v="40950"/>
    <s v="Ajay Sharma"/>
    <n v="9750"/>
  </r>
  <r>
    <s v="139839"/>
    <x v="16"/>
    <s v="Ranjeet Kumar"/>
    <s v="30/03/2020"/>
    <s v="Processing"/>
    <s v="15 TB HDD"/>
    <s v="HDD"/>
    <x v="10"/>
    <n v="6500"/>
    <n v="8450"/>
    <n v="2"/>
    <n v="13000"/>
    <n v="16900"/>
    <s v="Roshan Kumar"/>
    <n v="39000"/>
  </r>
  <r>
    <s v="139840"/>
    <x v="17"/>
    <s v="Sajal Singhal"/>
    <s v="30/03/2020"/>
    <s v="Delivered"/>
    <s v="270 GB SSD"/>
    <s v="SSD"/>
    <x v="0"/>
    <n v="4500"/>
    <n v="5850"/>
    <n v="3"/>
    <n v="13500"/>
    <n v="17550"/>
    <s v="Aarvi Gupta"/>
    <n v="8450"/>
  </r>
  <r>
    <s v="139841"/>
    <x v="18"/>
    <s v="Akhilesh Kumar"/>
    <s v="30/03/2020"/>
    <s v="Shipped"/>
    <s v="Intel i3 11th gen."/>
    <s v="CPU"/>
    <x v="1"/>
    <n v="8500"/>
    <n v="11050"/>
    <n v="4"/>
    <n v="34000"/>
    <n v="44200"/>
    <s v="Vijay Singh"/>
    <n v="33150"/>
  </r>
  <r>
    <s v="139842"/>
    <x v="19"/>
    <s v="Suvankar Chakraborty"/>
    <s v="30/03/2020"/>
    <s v="Order"/>
    <s v="4GB Graphic card"/>
    <s v="Graphic Card"/>
    <x v="2"/>
    <n v="12500"/>
    <n v="16250"/>
    <n v="1"/>
    <n v="12500"/>
    <n v="16250"/>
    <s v="Aadil Khan"/>
    <n v="18200"/>
  </r>
  <r>
    <s v="139843"/>
    <x v="20"/>
    <s v="Suvankar Adhikary"/>
    <s v="30/03/2020"/>
    <s v="Processing"/>
    <s v="22 GB DDR4 RAM"/>
    <s v="NIC"/>
    <x v="3"/>
    <n v="3500"/>
    <n v="4550"/>
    <n v="4"/>
    <n v="14000"/>
    <n v="18200"/>
    <s v="Advika Joshi"/>
    <n v="9100"/>
  </r>
  <r>
    <s v="139844"/>
    <x v="16"/>
    <s v="Rahul Kumar Prajapati"/>
    <s v="30/03/2020"/>
    <s v="Delivered"/>
    <s v="BTX motherboard"/>
    <s v="Printer"/>
    <x v="4"/>
    <n v="4500"/>
    <n v="5850"/>
    <n v="4"/>
    <n v="18000"/>
    <n v="23400"/>
    <s v="Ajay Sharma"/>
    <n v="11700"/>
  </r>
  <r>
    <s v="139845"/>
    <x v="17"/>
    <s v="Sagar Jeur"/>
    <s v="30/03/2020"/>
    <s v="Shipped"/>
    <s v="17 Fans Cabinet"/>
    <s v="Cabinet"/>
    <x v="5"/>
    <n v="2100"/>
    <n v="2730"/>
    <n v="3"/>
    <n v="6300"/>
    <n v="8190"/>
    <s v="Roshan Kumar"/>
    <n v="2990"/>
  </r>
  <r>
    <s v="139846"/>
    <x v="21"/>
    <s v="Rhushikesh Mane"/>
    <s v="30/03/2020"/>
    <s v="Order"/>
    <s v="Wireless Keyboard"/>
    <s v="Keyboard"/>
    <x v="6"/>
    <n v="1150"/>
    <n v="1495"/>
    <n v="2"/>
    <n v="2300"/>
    <n v="2990"/>
    <s v="Aarvi Gupta"/>
    <n v="3315"/>
  </r>
  <r>
    <s v="139847"/>
    <x v="22"/>
    <s v="Ashish Kumar"/>
    <s v="30/03/2020"/>
    <s v="Processing"/>
    <s v="USB Mouse"/>
    <s v="Mouse"/>
    <x v="0"/>
    <n v="350"/>
    <n v="455"/>
    <n v="3"/>
    <n v="1050"/>
    <n v="1365"/>
    <s v="Vijay Singh"/>
    <n v="1690"/>
  </r>
  <r>
    <s v="139848"/>
    <x v="28"/>
    <s v="Javed Akhter"/>
    <s v="30/03/2020"/>
    <s v="Delivered"/>
    <s v="19&quot; LED Display"/>
    <s v="Monitor"/>
    <x v="6"/>
    <n v="9500"/>
    <n v="12350"/>
    <n v="1"/>
    <n v="9500"/>
    <n v="12350"/>
    <s v="Aadil Khan"/>
    <n v="9750"/>
  </r>
  <r>
    <s v="139849"/>
    <x v="29"/>
    <s v="Haridas Balraj"/>
    <s v="30/03/2020"/>
    <s v="Shipped"/>
    <s v="16 TB HDD"/>
    <s v="HDD"/>
    <x v="10"/>
    <n v="10000"/>
    <n v="13000"/>
    <n v="2"/>
    <n v="20000"/>
    <n v="26000"/>
    <s v="Advika Joshi"/>
    <n v="39000"/>
  </r>
  <r>
    <s v="139850"/>
    <x v="30"/>
    <s v="Kundan Kumar"/>
    <s v="30/03/2020"/>
    <s v="Order"/>
    <s v="526 GB M.2"/>
    <s v="SSD"/>
    <x v="0"/>
    <n v="6500"/>
    <n v="8450"/>
    <n v="2"/>
    <n v="13000"/>
    <n v="16900"/>
    <s v="Ajay Sharma"/>
    <n v="8450"/>
  </r>
  <r>
    <s v="139851"/>
    <x v="31"/>
    <s v="Atif Siddiqui"/>
    <s v="30/03/2020"/>
    <s v="Processing"/>
    <s v="RYZEN 3rd gen. 3514"/>
    <s v="CPU"/>
    <x v="1"/>
    <n v="8500"/>
    <n v="11050"/>
    <n v="4"/>
    <n v="34000"/>
    <n v="44200"/>
    <s v="Roshan Kumar"/>
    <n v="33150"/>
  </r>
  <r>
    <s v="139852"/>
    <x v="32"/>
    <s v="Aditya Agarwal"/>
    <s v="31/03/2020"/>
    <s v="Delivered"/>
    <s v="2GB Graphic Card"/>
    <s v="Graphic Card"/>
    <x v="2"/>
    <n v="7000"/>
    <n v="9100"/>
    <n v="1"/>
    <n v="7000"/>
    <n v="9100"/>
    <s v="Aarvi Gupta"/>
    <n v="18200"/>
  </r>
  <r>
    <s v="139853"/>
    <x v="0"/>
    <s v="Firdoush Jabee"/>
    <s v="31/03/2020"/>
    <s v="Shipped"/>
    <s v="30 GB DDR4 RAM"/>
    <s v="NIC"/>
    <x v="3"/>
    <n v="6550"/>
    <n v="8515"/>
    <n v="4"/>
    <n v="26200"/>
    <n v="34060"/>
    <s v="Vijay Singh"/>
    <n v="9100"/>
  </r>
  <r>
    <s v="139854"/>
    <x v="23"/>
    <s v="Jay Prakash Kumar"/>
    <s v="31/03/2020"/>
    <s v="Order"/>
    <s v="Standard ATX motherboard"/>
    <s v="Printer"/>
    <x v="4"/>
    <n v="7650"/>
    <n v="9945"/>
    <n v="3"/>
    <n v="22950"/>
    <n v="29835"/>
    <s v="Aadil Khan"/>
    <n v="11700"/>
  </r>
  <r>
    <s v="139855"/>
    <x v="1"/>
    <s v="Ashish Pandey"/>
    <s v="31/03/2020"/>
    <s v="Processing"/>
    <s v="Compact with 1 Fan"/>
    <s v="Cabinet"/>
    <x v="5"/>
    <n v="1150"/>
    <n v="1495"/>
    <n v="4"/>
    <n v="4600"/>
    <n v="5980"/>
    <s v="Advika Joshi"/>
    <n v="2990"/>
  </r>
  <r>
    <s v="139856"/>
    <x v="2"/>
    <s v="Ajay Sharma"/>
    <s v="31/03/2020"/>
    <s v="Delivered"/>
    <s v="USB Backlight Keyboard"/>
    <s v="Keyboard"/>
    <x v="6"/>
    <n v="850"/>
    <n v="1105"/>
    <n v="4"/>
    <n v="3400"/>
    <n v="4420"/>
    <s v="Ajay Sharma"/>
    <n v="3315"/>
  </r>
  <r>
    <s v="139857"/>
    <x v="3"/>
    <s v="Moinuddin Saifi"/>
    <s v="31/03/2020"/>
    <s v="Shipped"/>
    <s v="Ergonomic Mouse"/>
    <s v="Mouse"/>
    <x v="0"/>
    <n v="650"/>
    <n v="845"/>
    <n v="4"/>
    <n v="2600"/>
    <n v="3380"/>
    <s v="Roshan Kumar"/>
    <n v="1690"/>
  </r>
  <r>
    <s v="139858"/>
    <x v="24"/>
    <s v="Ramkrishna Das Adhikary"/>
    <s v="31/03/2020"/>
    <s v="Order"/>
    <s v="15&quot; LCD Dsipaly"/>
    <s v="Monitor"/>
    <x v="6"/>
    <n v="7500"/>
    <n v="9750"/>
    <n v="2"/>
    <n v="15000"/>
    <n v="19500"/>
    <s v="Aarvi Gupta"/>
    <n v="9750"/>
  </r>
  <r>
    <s v="139859"/>
    <x v="25"/>
    <s v="Ranjeet Mandal"/>
    <s v="31/03/2020"/>
    <s v="Processing"/>
    <s v="16 TB HDD"/>
    <s v="HDD"/>
    <x v="7"/>
    <n v="10000"/>
    <n v="13000"/>
    <n v="2"/>
    <n v="20000"/>
    <n v="26000"/>
    <s v="Vijay Singh"/>
    <n v="39000"/>
  </r>
  <r>
    <s v="139860"/>
    <x v="25"/>
    <s v="Ashwini Adsare"/>
    <s v="31/03/2020"/>
    <s v="Delivered"/>
    <s v="15 TB SSD"/>
    <s v="SSD"/>
    <x v="0"/>
    <n v="10500"/>
    <n v="13650"/>
    <n v="1"/>
    <n v="10500"/>
    <n v="13650"/>
    <s v="Aadil Khan"/>
    <n v="8450"/>
  </r>
  <r>
    <s v="139861"/>
    <x v="25"/>
    <s v="Rajesh Variya"/>
    <s v="31/03/2020"/>
    <s v="Shipped"/>
    <s v="Intel i5 12th gen."/>
    <s v="CPU"/>
    <x v="1"/>
    <n v="8500"/>
    <n v="11050"/>
    <n v="4"/>
    <n v="34000"/>
    <n v="44200"/>
    <s v="Advika Joshi"/>
    <n v="33150"/>
  </r>
  <r>
    <s v="139862"/>
    <x v="25"/>
    <s v="Amit Singh"/>
    <s v="31/03/2020"/>
    <s v="Order"/>
    <s v="2GB Graphic Card"/>
    <s v="Graphic Card"/>
    <x v="2"/>
    <n v="7000"/>
    <n v="9100"/>
    <n v="3"/>
    <n v="21000"/>
    <n v="27300"/>
    <s v="Ajay Sharma"/>
    <n v="18200"/>
  </r>
  <r>
    <s v="139863"/>
    <x v="25"/>
    <s v="Vinod Mehta"/>
    <s v="31/03/2020"/>
    <s v="Processing"/>
    <s v="18 GB DDR4 Ram"/>
    <s v="NIC"/>
    <x v="3"/>
    <n v="1680"/>
    <n v="2184"/>
    <n v="2"/>
    <n v="3360"/>
    <n v="4368"/>
    <s v="Roshan Kumar"/>
    <n v="9100"/>
  </r>
  <r>
    <s v="139864"/>
    <x v="25"/>
    <s v="Jignesh Mhatre"/>
    <s v="31/03/2020"/>
    <s v="Delivered"/>
    <s v="Micro ATX motherboard"/>
    <s v="Printer"/>
    <x v="8"/>
    <n v="6540"/>
    <n v="8502"/>
    <n v="3"/>
    <n v="19620"/>
    <n v="25506"/>
    <s v="Aarvi Gupta"/>
    <n v="11700"/>
  </r>
  <r>
    <s v="139865"/>
    <x v="25"/>
    <s v="Rahul Kashyap"/>
    <s v="31/03/2020"/>
    <s v="Shipped"/>
    <s v="Gaming Box Cabinet"/>
    <s v="Cabinet"/>
    <x v="5"/>
    <n v="2680"/>
    <n v="3484"/>
    <n v="2"/>
    <n v="5360"/>
    <n v="6968"/>
    <s v="Vijay Singh"/>
    <n v="2990"/>
  </r>
  <r>
    <s v="139866"/>
    <x v="25"/>
    <s v="Mohammed Abdul Kaleem"/>
    <s v="31/03/2020"/>
    <s v="Order"/>
    <s v="17&quot; LCD Display"/>
    <s v="Monitor"/>
    <x v="0"/>
    <n v="8250"/>
    <n v="10725"/>
    <n v="4"/>
    <n v="33000"/>
    <n v="42900"/>
    <s v="Aadil Khan"/>
    <n v="9750"/>
  </r>
  <r>
    <s v="139867"/>
    <x v="25"/>
    <s v="Chandrakant Kasbe"/>
    <s v="31/03/2020"/>
    <s v="Processing"/>
    <s v="22 GB DDR4 RAM"/>
    <s v="RAM"/>
    <x v="0"/>
    <n v="2650"/>
    <n v="3445"/>
    <n v="4"/>
    <n v="10600"/>
    <n v="13780"/>
    <s v="Advika Joshi"/>
    <n v="25545"/>
  </r>
  <r>
    <s v="139868"/>
    <x v="25"/>
    <s v="Rohan Kale"/>
    <s v="31/03/2020"/>
    <s v="Delivered"/>
    <s v="26&quot; LCD Display"/>
    <s v="Monitor"/>
    <x v="9"/>
    <n v="12550"/>
    <n v="16315"/>
    <n v="2"/>
    <n v="25100"/>
    <n v="32630"/>
    <s v="Ajay Sharma"/>
    <n v="9750"/>
  </r>
  <r>
    <s v="139869"/>
    <x v="25"/>
    <s v="Aniruddha Kekapure"/>
    <s v="31/03/2020"/>
    <s v="Shipped"/>
    <s v="I7 - intel 12th Generation"/>
    <s v="CPU"/>
    <x v="1"/>
    <n v="14500"/>
    <n v="18850"/>
    <n v="1"/>
    <n v="14500"/>
    <n v="18850"/>
    <s v="Roshan Kumar"/>
    <n v="33150"/>
  </r>
  <r>
    <s v="139870"/>
    <x v="25"/>
    <s v="Aslam Raza"/>
    <s v="31/03/2020"/>
    <s v="Order"/>
    <s v="USB Keyboard"/>
    <s v="Keyboard"/>
    <x v="6"/>
    <n v="800"/>
    <n v="1040"/>
    <n v="2"/>
    <n v="1600"/>
    <n v="2080"/>
    <s v="Aarvi Gupta"/>
    <n v="3315"/>
  </r>
  <r>
    <s v="139871"/>
    <x v="25"/>
    <s v="Roshan Zameer"/>
    <s v="31/03/2020"/>
    <s v="Processing"/>
    <s v="Wireless Mouse"/>
    <s v="Mouse"/>
    <x v="0"/>
    <n v="600"/>
    <n v="780"/>
    <n v="3"/>
    <n v="1800"/>
    <n v="2340"/>
    <s v="Vijay Singh"/>
    <n v="1690"/>
  </r>
  <r>
    <s v="139872"/>
    <x v="25"/>
    <s v="Rakesh Kumar Sharma"/>
    <s v="31/03/2020"/>
    <s v="Delivered"/>
    <s v="21&quot; LCD Display"/>
    <s v="Monitor"/>
    <x v="6"/>
    <n v="10500"/>
    <n v="13650"/>
    <n v="1"/>
    <n v="10500"/>
    <n v="13650"/>
    <s v="Aadil Khan"/>
    <n v="9750"/>
  </r>
  <r>
    <s v="139873"/>
    <x v="25"/>
    <s v="Shivanand Sahani"/>
    <s v="31/03/2020"/>
    <s v="Shipped"/>
    <s v="16 TB HDD"/>
    <s v="HDD"/>
    <x v="10"/>
    <n v="6500"/>
    <n v="8450"/>
    <n v="2"/>
    <n v="13000"/>
    <n v="16900"/>
    <s v="Advika Joshi"/>
    <n v="39000"/>
  </r>
  <r>
    <s v="139874"/>
    <x v="25"/>
    <s v="Kunal Patra"/>
    <s v="31/03/2020"/>
    <s v="Order"/>
    <s v="271 GB SSD"/>
    <s v="SSD"/>
    <x v="0"/>
    <n v="4500"/>
    <n v="5850"/>
    <n v="4"/>
    <n v="18000"/>
    <n v="23400"/>
    <s v="Ajay Sharma"/>
    <n v="8450"/>
  </r>
  <r>
    <s v="139875"/>
    <x v="25"/>
    <s v="Bijendra"/>
    <s v="31/03/2020"/>
    <s v="Processing"/>
    <s v="Intel i3 11th gen."/>
    <s v="CPU"/>
    <x v="1"/>
    <n v="8500"/>
    <n v="11050"/>
    <n v="1"/>
    <n v="8500"/>
    <n v="11050"/>
    <s v="Roshan Kumar"/>
    <n v="33150"/>
  </r>
  <r>
    <s v="139876"/>
    <x v="25"/>
    <s v="Kranti Bheke"/>
    <s v="31/03/2020"/>
    <s v="Delivered"/>
    <s v="4GB Graphic card"/>
    <s v="Graphic Card"/>
    <x v="2"/>
    <n v="12500"/>
    <n v="16250"/>
    <n v="3"/>
    <n v="37500"/>
    <n v="48750"/>
    <s v="Aarvi Gupta"/>
    <n v="18200"/>
  </r>
  <r>
    <s v="139877"/>
    <x v="25"/>
    <s v="Jagdeep"/>
    <s v="31/03/2020"/>
    <s v="Shipped"/>
    <s v="23 GB DDR4 RAM"/>
    <s v="RAM"/>
    <x v="3"/>
    <n v="3500"/>
    <n v="4550"/>
    <n v="1"/>
    <n v="3500"/>
    <n v="4550"/>
    <s v="Vijay Singh"/>
    <n v="25545"/>
  </r>
  <r>
    <s v="139878"/>
    <x v="25"/>
    <s v="Adhir Samal"/>
    <s v="31/03/2020"/>
    <s v="Order"/>
    <s v="BTX motherboard"/>
    <s v="MotherBoard"/>
    <x v="4"/>
    <n v="4500"/>
    <n v="5850"/>
    <n v="2"/>
    <n v="9000"/>
    <n v="11700"/>
    <s v="Aadil Khan"/>
    <n v="39780"/>
  </r>
  <r>
    <s v="139879"/>
    <x v="25"/>
    <s v="Dannana Jhammi"/>
    <s v="31/03/2020"/>
    <s v="Processing"/>
    <s v="18 Fans Cabinet"/>
    <s v="Cabinet"/>
    <x v="5"/>
    <n v="2100"/>
    <n v="2730"/>
    <n v="4"/>
    <n v="8400"/>
    <n v="10920"/>
    <s v="Advika Joshi"/>
    <n v="2990"/>
  </r>
  <r>
    <s v="139880"/>
    <x v="25"/>
    <s v="Vipin Kumar"/>
    <s v="31/03/2020"/>
    <s v="Delivered"/>
    <s v="Wireless Keyboard"/>
    <s v="Keyboard"/>
    <x v="6"/>
    <n v="1150"/>
    <n v="1495"/>
    <n v="3"/>
    <n v="3450"/>
    <n v="4485"/>
    <s v="Ajay Sharma"/>
    <n v="3315"/>
  </r>
  <r>
    <s v="139881"/>
    <x v="25"/>
    <s v="Ranjeet Kumar"/>
    <s v="31/03/2020"/>
    <s v="Shipped"/>
    <s v="USB Mouse"/>
    <s v="Mouse"/>
    <x v="0"/>
    <n v="350"/>
    <n v="455"/>
    <n v="4"/>
    <n v="1400"/>
    <n v="1820"/>
    <s v="Roshan Kumar"/>
    <n v="1690"/>
  </r>
  <r>
    <s v="139882"/>
    <x v="25"/>
    <s v="Sajal Singhal"/>
    <s v="31/03/2020"/>
    <s v="Order"/>
    <s v="19&quot; LED Display"/>
    <s v="Monitor"/>
    <x v="6"/>
    <n v="9500"/>
    <n v="12350"/>
    <n v="1"/>
    <n v="9500"/>
    <n v="12350"/>
    <s v="Aarvi Gupta"/>
    <n v="9750"/>
  </r>
  <r>
    <s v="139883"/>
    <x v="25"/>
    <s v="Akhilesh Kumar"/>
    <s v="31/03/2020"/>
    <s v="Processing"/>
    <s v="17 TB HDD"/>
    <s v="HDD"/>
    <x v="10"/>
    <n v="10000"/>
    <n v="13000"/>
    <n v="2"/>
    <n v="20000"/>
    <n v="26000"/>
    <s v="Vijay Singh"/>
    <n v="39000"/>
  </r>
  <r>
    <s v="139884"/>
    <x v="25"/>
    <s v="Suvankar Chakraborty"/>
    <s v="31/03/2020"/>
    <s v="Delivered"/>
    <s v="527 GB M.2"/>
    <s v="SSD"/>
    <x v="0"/>
    <n v="6500"/>
    <n v="8450"/>
    <n v="3"/>
    <n v="19500"/>
    <n v="25350"/>
    <s v="Aadil Khan"/>
    <n v="8450"/>
  </r>
  <r>
    <s v="139885"/>
    <x v="25"/>
    <s v="Suvankar Adhikary"/>
    <s v="31/03/2020"/>
    <s v="Shipped"/>
    <s v="RYZEN 3rd gen. 3515"/>
    <s v="CPU"/>
    <x v="1"/>
    <n v="8500"/>
    <n v="11050"/>
    <n v="1"/>
    <n v="8500"/>
    <n v="11050"/>
    <s v="Advika Joshi"/>
    <n v="33150"/>
  </r>
  <r>
    <s v="139886"/>
    <x v="25"/>
    <s v="Rahul Kumar Prajapati"/>
    <s v="31/03/2020"/>
    <s v="Order"/>
    <s v="2GB Graphic Card"/>
    <s v="Graphic Card"/>
    <x v="2"/>
    <n v="7000"/>
    <n v="9100"/>
    <n v="3"/>
    <n v="21000"/>
    <n v="27300"/>
    <s v="Ajay Sharma"/>
    <n v="18200"/>
  </r>
  <r>
    <s v="139887"/>
    <x v="25"/>
    <s v="Sagar Jeur"/>
    <s v="31/03/2020"/>
    <s v="Processing"/>
    <s v="31 GB DDR4 RAM"/>
    <s v="RAM"/>
    <x v="3"/>
    <n v="6550"/>
    <n v="8515"/>
    <n v="3"/>
    <n v="19650"/>
    <n v="25545"/>
    <s v="Roshan Kumar"/>
    <n v="25545"/>
  </r>
  <r>
    <s v="139888"/>
    <x v="25"/>
    <s v="Rhushikesh Mane"/>
    <s v="31/03/2020"/>
    <s v="Delivered"/>
    <s v="Standard ATX motherboard"/>
    <s v="MotherBoard"/>
    <x v="4"/>
    <n v="7650"/>
    <n v="9945"/>
    <n v="4"/>
    <n v="30600"/>
    <n v="39780"/>
    <s v="Aarvi Gupta"/>
    <n v="39780"/>
  </r>
  <r>
    <s v="139889"/>
    <x v="25"/>
    <s v="Ashish Kumar"/>
    <s v="31/03/2020"/>
    <s v="Shipped"/>
    <s v="Compact with 1 Fan"/>
    <s v="Cabinet"/>
    <x v="5"/>
    <n v="1150"/>
    <n v="1495"/>
    <n v="4"/>
    <n v="4600"/>
    <n v="5980"/>
    <s v="Vijay Singh"/>
    <n v="2990"/>
  </r>
  <r>
    <s v="139890"/>
    <x v="25"/>
    <s v="Javed Akhter"/>
    <s v="31/03/2020"/>
    <s v="Order"/>
    <s v="USB Backlight Keyboard"/>
    <s v="Keyboard"/>
    <x v="6"/>
    <n v="850"/>
    <n v="1105"/>
    <n v="3"/>
    <n v="2550"/>
    <n v="3315"/>
    <s v="Aadil Khan"/>
    <n v="3315"/>
  </r>
  <r>
    <s v="139891"/>
    <x v="25"/>
    <s v="Haridas Balraj"/>
    <s v="31/03/2020"/>
    <s v="Processing"/>
    <s v="Ergonomic Mouse"/>
    <s v="Mouse"/>
    <x v="0"/>
    <n v="650"/>
    <n v="845"/>
    <n v="1"/>
    <n v="650"/>
    <n v="845"/>
    <s v="Advika Joshi"/>
    <n v="1690"/>
  </r>
  <r>
    <s v="139892"/>
    <x v="25"/>
    <s v="Kundan Kumar"/>
    <s v="31/03/2020"/>
    <s v="Delivered"/>
    <s v="15&quot; LCD Dsipaly"/>
    <s v="Monitor"/>
    <x v="6"/>
    <n v="7500"/>
    <n v="9750"/>
    <n v="2"/>
    <n v="15000"/>
    <n v="19500"/>
    <s v="Ajay Sharma"/>
    <n v="9750"/>
  </r>
  <r>
    <s v="139893"/>
    <x v="25"/>
    <s v="Atif Siddiqui"/>
    <s v="31/03/2020"/>
    <s v="Shipped"/>
    <s v="17 TB HDD"/>
    <s v="HDD"/>
    <x v="7"/>
    <n v="10000"/>
    <n v="13000"/>
    <n v="1"/>
    <n v="10000"/>
    <n v="13000"/>
    <s v="Roshan Kumar"/>
    <n v="39000"/>
  </r>
  <r>
    <s v="139894"/>
    <x v="25"/>
    <s v="Aditya Agarwal"/>
    <s v="31/03/2020"/>
    <s v="Order"/>
    <s v="16 TB SSD"/>
    <s v="SSD"/>
    <x v="0"/>
    <n v="10500"/>
    <n v="13650"/>
    <n v="3"/>
    <n v="31500"/>
    <n v="40950"/>
    <s v="Aarvi Gupta"/>
    <n v="8450"/>
  </r>
  <r>
    <s v="139895"/>
    <x v="25"/>
    <s v="Firdoush Jabee"/>
    <s v="31/03/2020"/>
    <s v="Processing"/>
    <s v="Intel i5 12th gen."/>
    <s v="CPU"/>
    <x v="1"/>
    <n v="8500"/>
    <n v="11050"/>
    <n v="2"/>
    <n v="17000"/>
    <n v="22100"/>
    <s v="Vijay Singh"/>
    <n v="33150"/>
  </r>
  <r>
    <s v="139896"/>
    <x v="25"/>
    <s v="Jay Prakash Kumar"/>
    <s v="31/03/2020"/>
    <s v="Delivered"/>
    <s v="2GB Graphic Card"/>
    <s v="Graphic Card"/>
    <x v="2"/>
    <n v="7000"/>
    <n v="9100"/>
    <n v="2"/>
    <n v="14000"/>
    <n v="18200"/>
    <s v="Aadil Khan"/>
    <n v="18200"/>
  </r>
  <r>
    <s v="139897"/>
    <x v="25"/>
    <s v="Ashish Pandey"/>
    <s v="31/03/2020"/>
    <s v="Shipped"/>
    <s v="19 GB DDR4 Ram"/>
    <s v="RAM"/>
    <x v="3"/>
    <n v="1680"/>
    <n v="2184"/>
    <n v="2"/>
    <n v="3360"/>
    <n v="4368"/>
    <s v="Advika Joshi"/>
    <n v="25545"/>
  </r>
  <r>
    <s v="139898"/>
    <x v="25"/>
    <s v="Ajay Sharma"/>
    <s v="31/03/2020"/>
    <s v="Order"/>
    <s v="Micro ATX motherboard"/>
    <s v="MotherBoard"/>
    <x v="8"/>
    <n v="6540"/>
    <n v="8502"/>
    <n v="4"/>
    <n v="26160"/>
    <n v="34008"/>
    <s v="Ajay Sharma"/>
    <n v="39780"/>
  </r>
  <r>
    <s v="139899"/>
    <x v="25"/>
    <s v="Moinuddin Saifi"/>
    <s v="31/03/2020"/>
    <s v="Processing"/>
    <s v="Gaming Box Cabinet"/>
    <s v="Cabinet"/>
    <x v="5"/>
    <n v="2680"/>
    <n v="3484"/>
    <n v="4"/>
    <n v="10720"/>
    <n v="13936"/>
    <s v="Roshan Kumar"/>
    <n v="2990"/>
  </r>
  <r>
    <s v="139900"/>
    <x v="25"/>
    <s v="Ramkrishna Das Adhikary"/>
    <s v="31/03/2020"/>
    <s v="Delivered"/>
    <s v="17&quot; LCD Display"/>
    <s v="Monitor"/>
    <x v="0"/>
    <n v="8250"/>
    <n v="10725"/>
    <n v="2"/>
    <n v="16500"/>
    <n v="21450"/>
    <s v="Aarvi Gupta"/>
    <n v="9750"/>
  </r>
  <r>
    <s v="139901"/>
    <x v="25"/>
    <s v="Ranjeet Mandal"/>
    <s v="31/03/2020"/>
    <s v="Shipped"/>
    <s v="23 GB DDR4 RAM"/>
    <s v="RAM"/>
    <x v="0"/>
    <n v="2650"/>
    <n v="3445"/>
    <n v="2"/>
    <n v="5300"/>
    <n v="6890"/>
    <s v="Vijay Singh"/>
    <n v="25545"/>
  </r>
  <r>
    <s v="139902"/>
    <x v="25"/>
    <s v="Ashwini Adsare"/>
    <s v="31/03/2020"/>
    <s v="Order"/>
    <s v="26&quot; LCD Display"/>
    <s v="Monitor"/>
    <x v="9"/>
    <n v="12550"/>
    <n v="16315"/>
    <n v="2"/>
    <n v="25100"/>
    <n v="32630"/>
    <s v="Aadil Khan"/>
    <n v="9750"/>
  </r>
  <r>
    <s v="139903"/>
    <x v="25"/>
    <s v="Rajesh Variya"/>
    <s v="31/03/2020"/>
    <s v="Processing"/>
    <s v="I7 - intel 12th Generation"/>
    <s v="CPU"/>
    <x v="1"/>
    <n v="14500"/>
    <n v="18850"/>
    <n v="3"/>
    <n v="43500"/>
    <n v="56550"/>
    <s v="Advika Joshi"/>
    <n v="33150"/>
  </r>
  <r>
    <s v="139904"/>
    <x v="25"/>
    <s v="Amit Singh"/>
    <s v="31/03/2020"/>
    <s v="Delivered"/>
    <s v="USB Keyboard"/>
    <s v="Keyboard"/>
    <x v="6"/>
    <n v="800"/>
    <n v="1040"/>
    <n v="1"/>
    <n v="800"/>
    <n v="1040"/>
    <s v="Ajay Sharma"/>
    <n v="3315"/>
  </r>
  <r>
    <s v="139905"/>
    <x v="25"/>
    <s v="Vinod Mehta"/>
    <s v="31/03/2020"/>
    <s v="Shipped"/>
    <s v="Wireless Mouse"/>
    <s v="Mouse"/>
    <x v="0"/>
    <n v="600"/>
    <n v="780"/>
    <n v="3"/>
    <n v="1800"/>
    <n v="2340"/>
    <s v="Roshan Kumar"/>
    <n v="1690"/>
  </r>
  <r>
    <s v="139906"/>
    <x v="25"/>
    <s v="Jignesh Mhatre"/>
    <s v="31/03/2020"/>
    <s v="Order"/>
    <s v="21&quot; LCD Display"/>
    <s v="Monitor"/>
    <x v="6"/>
    <n v="10500"/>
    <n v="13650"/>
    <n v="2"/>
    <n v="21000"/>
    <n v="27300"/>
    <s v="Aarvi Gupta"/>
    <n v="9750"/>
  </r>
  <r>
    <s v="139907"/>
    <x v="25"/>
    <s v="Rahul Kashyap"/>
    <s v="31/03/2020"/>
    <s v="Processing"/>
    <s v="17 TB HDD"/>
    <s v="HDD"/>
    <x v="10"/>
    <n v="6500"/>
    <n v="8450"/>
    <n v="2"/>
    <n v="13000"/>
    <n v="16900"/>
    <s v="Vijay Singh"/>
    <n v="39000"/>
  </r>
  <r>
    <s v="139908"/>
    <x v="25"/>
    <s v="Mohammed Abdul Kaleem"/>
    <s v="31/03/2020"/>
    <s v="Delivered"/>
    <s v="272 GB SSD"/>
    <s v="SSD"/>
    <x v="0"/>
    <n v="4500"/>
    <n v="5850"/>
    <n v="2"/>
    <n v="9000"/>
    <n v="11700"/>
    <s v="Aadil Khan"/>
    <n v="8450"/>
  </r>
  <r>
    <s v="139909"/>
    <x v="25"/>
    <s v="Chandrakant Kasbe"/>
    <s v="31/03/2020"/>
    <s v="Shipped"/>
    <s v="Intel i3 11th gen."/>
    <s v="CPU"/>
    <x v="1"/>
    <n v="8500"/>
    <n v="11050"/>
    <n v="3"/>
    <n v="25500"/>
    <n v="33150"/>
    <s v="Advika Joshi"/>
    <n v="33150"/>
  </r>
  <r>
    <s v="139910"/>
    <x v="25"/>
    <s v="Rohan Kale"/>
    <s v="31/03/2020"/>
    <s v="Order"/>
    <s v="4GB Graphic card"/>
    <s v="Graphic Card"/>
    <x v="2"/>
    <n v="12500"/>
    <n v="16250"/>
    <n v="2"/>
    <n v="25000"/>
    <n v="32500"/>
    <s v="Ajay Sharma"/>
    <n v="18200"/>
  </r>
  <r>
    <s v="139911"/>
    <x v="25"/>
    <s v="Aniruddha Kekapure"/>
    <s v="31/03/2020"/>
    <s v="Processing"/>
    <s v="24 GB DDR4 RAM"/>
    <s v="Computer Case"/>
    <x v="3"/>
    <n v="3500"/>
    <n v="4550"/>
    <n v="1"/>
    <n v="3500"/>
    <n v="4550"/>
    <s v="Roshan Kumar"/>
    <n v="13650"/>
  </r>
  <r>
    <s v="139912"/>
    <x v="25"/>
    <s v="Aslam Raza"/>
    <s v="31/03/2020"/>
    <s v="Delivered"/>
    <s v="BTX motherboard"/>
    <s v="Mouse"/>
    <x v="4"/>
    <n v="4500"/>
    <n v="5850"/>
    <n v="1"/>
    <n v="4500"/>
    <n v="5850"/>
    <s v="Aarvi Gupta"/>
    <n v="1690"/>
  </r>
  <r>
    <s v="139913"/>
    <x v="25"/>
    <s v="Roshan Zameer"/>
    <s v="31/03/2020"/>
    <s v="Shipped"/>
    <s v="19 Fans Cabinet"/>
    <s v="Cabinet"/>
    <x v="5"/>
    <n v="2100"/>
    <n v="2730"/>
    <n v="3"/>
    <n v="6300"/>
    <n v="8190"/>
    <s v="Vijay Singh"/>
    <n v="2990"/>
  </r>
  <r>
    <s v="139914"/>
    <x v="25"/>
    <s v="Rakesh Kumar Sharma"/>
    <s v="31/03/2020"/>
    <s v="Order"/>
    <s v="Wireless Keyboard"/>
    <s v="Keyboard"/>
    <x v="6"/>
    <n v="1150"/>
    <n v="1495"/>
    <n v="4"/>
    <n v="4600"/>
    <n v="5980"/>
    <s v="Aadil Khan"/>
    <n v="3315"/>
  </r>
  <r>
    <s v="139915"/>
    <x v="25"/>
    <s v="Shivanand Sahani"/>
    <s v="31/03/2020"/>
    <s v="Processing"/>
    <s v="USB Mouse"/>
    <s v="Mouse"/>
    <x v="0"/>
    <n v="350"/>
    <n v="455"/>
    <n v="4"/>
    <n v="1400"/>
    <n v="1820"/>
    <s v="Advika Joshi"/>
    <n v="1690"/>
  </r>
  <r>
    <s v="139916"/>
    <x v="25"/>
    <s v="Kunal Patra"/>
    <s v="01/04/2020"/>
    <s v="Delivered"/>
    <s v="19&quot; LED Display"/>
    <s v="Monitor"/>
    <x v="6"/>
    <n v="9500"/>
    <n v="12350"/>
    <n v="3"/>
    <n v="28500"/>
    <n v="37050"/>
    <s v="Ajay Sharma"/>
    <n v="9750"/>
  </r>
  <r>
    <s v="139917"/>
    <x v="25"/>
    <s v="Bijendra"/>
    <s v="02/04/2020"/>
    <s v="Shipped"/>
    <s v="18 TB HDD"/>
    <s v="HDD"/>
    <x v="10"/>
    <n v="10000"/>
    <n v="13000"/>
    <n v="1"/>
    <n v="10000"/>
    <n v="13000"/>
    <s v="Roshan Kumar"/>
    <n v="39000"/>
  </r>
  <r>
    <s v="139918"/>
    <x v="25"/>
    <s v="Kranti Bheke"/>
    <s v="03/04/2020"/>
    <s v="Order"/>
    <s v="528 GB M.2"/>
    <s v="SSD"/>
    <x v="0"/>
    <n v="6500"/>
    <n v="8450"/>
    <n v="4"/>
    <n v="26000"/>
    <n v="33800"/>
    <s v="Aarvi Gupta"/>
    <n v="8450"/>
  </r>
  <r>
    <s v="139919"/>
    <x v="25"/>
    <s v="Jagdeep"/>
    <s v="03/04/2020"/>
    <s v="Processing"/>
    <s v="RYZEN 3rd gen. 3516"/>
    <s v="CPU"/>
    <x v="1"/>
    <n v="8500"/>
    <n v="11050"/>
    <n v="2"/>
    <n v="17000"/>
    <n v="22100"/>
    <s v="Vijay Singh"/>
    <n v="33150"/>
  </r>
  <r>
    <s v="139920"/>
    <x v="25"/>
    <s v="Adhir Samal"/>
    <s v="03/04/2020"/>
    <s v="Delivered"/>
    <s v="2GB Graphic Card"/>
    <s v="Graphic Card"/>
    <x v="2"/>
    <n v="7000"/>
    <n v="9100"/>
    <n v="3"/>
    <n v="21000"/>
    <n v="27300"/>
    <s v="Aadil Khan"/>
    <n v="18200"/>
  </r>
  <r>
    <s v="139921"/>
    <x v="25"/>
    <s v="Dannana Jhammi"/>
    <s v="03/04/2020"/>
    <s v="Shipped"/>
    <s v="32 GB DDR4 RAM"/>
    <s v="Computer Case"/>
    <x v="3"/>
    <n v="6550"/>
    <n v="8515"/>
    <n v="2"/>
    <n v="13100"/>
    <n v="17030"/>
    <s v="Advika Joshi"/>
    <n v="13650"/>
  </r>
  <r>
    <s v="139922"/>
    <x v="25"/>
    <s v="Vipin Kumar"/>
    <s v="03/04/2020"/>
    <s v="Order"/>
    <s v="Standard ATX motherboard"/>
    <s v="Mouse"/>
    <x v="4"/>
    <n v="7650"/>
    <n v="9945"/>
    <n v="4"/>
    <n v="30600"/>
    <n v="39780"/>
    <s v="Ajay Sharma"/>
    <n v="1690"/>
  </r>
  <r>
    <s v="139923"/>
    <x v="25"/>
    <s v="Ranjeet Kumar"/>
    <s v="03/04/2020"/>
    <s v="Processing"/>
    <s v="Compact with 1 Fan"/>
    <s v="Cabinet"/>
    <x v="5"/>
    <n v="1150"/>
    <n v="1495"/>
    <n v="4"/>
    <n v="4600"/>
    <n v="5980"/>
    <s v="Roshan Kumar"/>
    <n v="2990"/>
  </r>
  <r>
    <s v="139924"/>
    <x v="25"/>
    <s v="Sajal Singhal"/>
    <s v="03/04/2020"/>
    <s v="Delivered"/>
    <s v="USB Backlight Keyboard"/>
    <s v="Keyboard"/>
    <x v="6"/>
    <n v="850"/>
    <n v="1105"/>
    <n v="1"/>
    <n v="850"/>
    <n v="1105"/>
    <s v="Aarvi Gupta"/>
    <n v="3315"/>
  </r>
  <r>
    <s v="139925"/>
    <x v="25"/>
    <s v="Akhilesh Kumar"/>
    <s v="03/04/2020"/>
    <s v="Shipped"/>
    <s v="Ergonomic Mouse"/>
    <s v="Mouse"/>
    <x v="0"/>
    <n v="650"/>
    <n v="845"/>
    <n v="4"/>
    <n v="2600"/>
    <n v="3380"/>
    <s v="Vijay Singh"/>
    <n v="1690"/>
  </r>
  <r>
    <s v="139926"/>
    <x v="25"/>
    <s v="Suvankar Chakraborty"/>
    <s v="03/04/2020"/>
    <s v="Order"/>
    <s v="15&quot; LCD Dsipaly"/>
    <s v="Monitor"/>
    <x v="6"/>
    <n v="7500"/>
    <n v="9750"/>
    <n v="2"/>
    <n v="15000"/>
    <n v="19500"/>
    <s v="Aadil Khan"/>
    <n v="9750"/>
  </r>
  <r>
    <s v="139927"/>
    <x v="25"/>
    <s v="Suvankar Adhikary"/>
    <s v="03/04/2020"/>
    <s v="Processing"/>
    <s v="18 TB HDD"/>
    <s v="HDD"/>
    <x v="7"/>
    <n v="10000"/>
    <n v="13000"/>
    <n v="2"/>
    <n v="20000"/>
    <n v="26000"/>
    <s v="Advika Joshi"/>
    <n v="39000"/>
  </r>
  <r>
    <s v="139928"/>
    <x v="25"/>
    <s v="Rahul Kumar Prajapati"/>
    <s v="03/04/2020"/>
    <s v="Delivered"/>
    <s v="17 TB SSD"/>
    <s v="SSD"/>
    <x v="0"/>
    <n v="10500"/>
    <n v="13650"/>
    <n v="3"/>
    <n v="31500"/>
    <n v="40950"/>
    <s v="Ajay Sharma"/>
    <n v="8450"/>
  </r>
  <r>
    <s v="139929"/>
    <x v="25"/>
    <s v="Sagar Jeur"/>
    <s v="03/04/2020"/>
    <s v="Shipped"/>
    <s v="Intel i5 12th gen."/>
    <s v="CPU"/>
    <x v="1"/>
    <n v="8500"/>
    <n v="11050"/>
    <n v="3"/>
    <n v="25500"/>
    <n v="33150"/>
    <s v="Roshan Kumar"/>
    <n v="33150"/>
  </r>
  <r>
    <s v="139930"/>
    <x v="25"/>
    <s v="Rhushikesh Mane"/>
    <s v="03/04/2020"/>
    <s v="Order"/>
    <s v="2GB Graphic Card"/>
    <s v="Graphic Card"/>
    <x v="2"/>
    <n v="7000"/>
    <n v="9100"/>
    <n v="4"/>
    <n v="28000"/>
    <n v="36400"/>
    <s v="Aarvi Gupta"/>
    <n v="18200"/>
  </r>
  <r>
    <s v="139931"/>
    <x v="25"/>
    <s v="Ashish Kumar"/>
    <s v="03/04/2020"/>
    <s v="Processing"/>
    <s v="20 GB DDR4 Ram"/>
    <s v="Computer Case"/>
    <x v="3"/>
    <n v="1680"/>
    <n v="2184"/>
    <n v="2"/>
    <n v="3360"/>
    <n v="4368"/>
    <s v="Vijay Singh"/>
    <n v="13650"/>
  </r>
  <r>
    <s v="139932"/>
    <x v="25"/>
    <s v="Javed Akhter"/>
    <s v="03/04/2020"/>
    <s v="Delivered"/>
    <s v="Micro ATX motherboard"/>
    <s v="Mouse"/>
    <x v="8"/>
    <n v="6540"/>
    <n v="8502"/>
    <n v="1"/>
    <n v="6540"/>
    <n v="8502"/>
    <s v="Aadil Khan"/>
    <n v="1690"/>
  </r>
  <r>
    <s v="139933"/>
    <x v="25"/>
    <s v="Haridas Balraj"/>
    <s v="03/04/2020"/>
    <s v="Shipped"/>
    <s v="Gaming Box Cabinet"/>
    <s v="Cabinet"/>
    <x v="5"/>
    <n v="2680"/>
    <n v="3484"/>
    <n v="4"/>
    <n v="10720"/>
    <n v="13936"/>
    <s v="Advika Joshi"/>
    <n v="2990"/>
  </r>
  <r>
    <s v="139934"/>
    <x v="25"/>
    <s v="Kundan Kumar"/>
    <s v="03/04/2020"/>
    <s v="Order"/>
    <s v="17&quot; LCD Display"/>
    <s v="Monitor"/>
    <x v="0"/>
    <n v="8250"/>
    <n v="10725"/>
    <n v="1"/>
    <n v="8250"/>
    <n v="10725"/>
    <s v="Ajay Sharma"/>
    <n v="9750"/>
  </r>
  <r>
    <s v="139935"/>
    <x v="25"/>
    <s v="Atif Siddiqui"/>
    <s v="03/04/2020"/>
    <s v="Processing"/>
    <s v="24 GB DDR4 RAM"/>
    <s v="RAM"/>
    <x v="0"/>
    <n v="2650"/>
    <n v="3445"/>
    <n v="1"/>
    <n v="2650"/>
    <n v="3445"/>
    <s v="Roshan Kumar"/>
    <n v="25545"/>
  </r>
  <r>
    <s v="139936"/>
    <x v="25"/>
    <s v="Aditya Agarwal"/>
    <s v="03/04/2020"/>
    <s v="Delivered"/>
    <s v="26&quot; LCD Display"/>
    <s v="Monitor"/>
    <x v="9"/>
    <n v="12550"/>
    <n v="16315"/>
    <n v="1"/>
    <n v="12550"/>
    <n v="16315"/>
    <s v="Aarvi Gupta"/>
    <n v="9750"/>
  </r>
  <r>
    <s v="139937"/>
    <x v="25"/>
    <s v="Firdoush Jabee"/>
    <s v="03/04/2020"/>
    <s v="Shipped"/>
    <s v="I7 - intel 12th Generation"/>
    <s v="CPU"/>
    <x v="1"/>
    <n v="14500"/>
    <n v="18850"/>
    <n v="2"/>
    <n v="29000"/>
    <n v="37700"/>
    <s v="Vijay Singh"/>
    <n v="33150"/>
  </r>
  <r>
    <s v="139938"/>
    <x v="25"/>
    <s v="Jay Prakash Kumar"/>
    <s v="03/04/2020"/>
    <s v="Order"/>
    <s v="USB Keyboard"/>
    <s v="Keyboard"/>
    <x v="6"/>
    <n v="800"/>
    <n v="1040"/>
    <n v="3"/>
    <n v="2400"/>
    <n v="3120"/>
    <s v="Aadil Khan"/>
    <n v="3315"/>
  </r>
  <r>
    <s v="139939"/>
    <x v="25"/>
    <s v="Ashish Pandey"/>
    <s v="03/04/2020"/>
    <s v="Processing"/>
    <s v="Wireless Mouse"/>
    <s v="Mouse"/>
    <x v="0"/>
    <n v="600"/>
    <n v="780"/>
    <n v="1"/>
    <n v="600"/>
    <n v="780"/>
    <s v="Advika Joshi"/>
    <n v="1690"/>
  </r>
  <r>
    <s v="139940"/>
    <x v="25"/>
    <s v="Ajay Sharma"/>
    <s v="03/04/2020"/>
    <s v="Delivered"/>
    <s v="21&quot; LCD Display"/>
    <s v="Monitor"/>
    <x v="6"/>
    <n v="10500"/>
    <n v="13650"/>
    <n v="1"/>
    <n v="10500"/>
    <n v="13650"/>
    <s v="Ajay Sharma"/>
    <n v="9750"/>
  </r>
  <r>
    <s v="139941"/>
    <x v="25"/>
    <s v="Moinuddin Saifi"/>
    <s v="03/04/2020"/>
    <s v="Shipped"/>
    <s v="18 TB HDD"/>
    <s v="HDD"/>
    <x v="10"/>
    <n v="6500"/>
    <n v="8450"/>
    <n v="2"/>
    <n v="13000"/>
    <n v="16900"/>
    <s v="Roshan Kumar"/>
    <n v="39000"/>
  </r>
  <r>
    <s v="139942"/>
    <x v="25"/>
    <s v="Ramkrishna Das Adhikary"/>
    <s v="03/04/2020"/>
    <s v="Order"/>
    <s v="273 GB SSD"/>
    <s v="SSD"/>
    <x v="0"/>
    <n v="4500"/>
    <n v="5850"/>
    <n v="2"/>
    <n v="9000"/>
    <n v="11700"/>
    <s v="Aarvi Gupta"/>
    <n v="8450"/>
  </r>
  <r>
    <s v="139943"/>
    <x v="25"/>
    <s v="Ranjeet Mandal"/>
    <s v="03/04/2020"/>
    <s v="Processing"/>
    <s v="Intel i3 11th gen."/>
    <s v="CPU"/>
    <x v="1"/>
    <n v="8500"/>
    <n v="11050"/>
    <n v="2"/>
    <n v="17000"/>
    <n v="22100"/>
    <s v="Vijay Singh"/>
    <n v="33150"/>
  </r>
  <r>
    <s v="139944"/>
    <x v="25"/>
    <s v="Ashwini Adsare"/>
    <s v="03/04/2020"/>
    <s v="Delivered"/>
    <s v="4GB Graphic card"/>
    <s v="Graphic Card"/>
    <x v="2"/>
    <n v="12500"/>
    <n v="16250"/>
    <n v="1"/>
    <n v="12500"/>
    <n v="16250"/>
    <s v="Aadil Khan"/>
    <n v="18200"/>
  </r>
  <r>
    <s v="139945"/>
    <x v="25"/>
    <s v="Rajesh Variya"/>
    <s v="03/04/2020"/>
    <s v="Shipped"/>
    <s v="25 GB DDR4 RAM"/>
    <s v="NIC"/>
    <x v="3"/>
    <n v="3500"/>
    <n v="4550"/>
    <n v="2"/>
    <n v="7000"/>
    <n v="9100"/>
    <s v="Advika Joshi"/>
    <n v="9100"/>
  </r>
  <r>
    <s v="139946"/>
    <x v="25"/>
    <s v="Amit Singh"/>
    <s v="03/04/2020"/>
    <s v="Order"/>
    <s v="BTX motherboard"/>
    <s v="Printer"/>
    <x v="4"/>
    <n v="4500"/>
    <n v="5850"/>
    <n v="1"/>
    <n v="4500"/>
    <n v="5850"/>
    <s v="Ajay Sharma"/>
    <n v="11700"/>
  </r>
  <r>
    <s v="139947"/>
    <x v="25"/>
    <s v="Vinod Mehta"/>
    <s v="03/04/2020"/>
    <s v="Processing"/>
    <s v="20 Fans Cabinet"/>
    <s v="Cabinet"/>
    <x v="5"/>
    <n v="2100"/>
    <n v="2730"/>
    <n v="2"/>
    <n v="4200"/>
    <n v="5460"/>
    <s v="Roshan Kumar"/>
    <n v="2990"/>
  </r>
  <r>
    <s v="139948"/>
    <x v="25"/>
    <s v="Jignesh Mhatre"/>
    <s v="03/04/2020"/>
    <s v="Delivered"/>
    <s v="Wireless Keyboard"/>
    <s v="Keyboard"/>
    <x v="6"/>
    <n v="1150"/>
    <n v="1495"/>
    <n v="1"/>
    <n v="1150"/>
    <n v="1495"/>
    <s v="Aarvi Gupta"/>
    <n v="3315"/>
  </r>
  <r>
    <s v="139949"/>
    <x v="25"/>
    <s v="Rahul Kashyap"/>
    <s v="03/04/2020"/>
    <s v="Shipped"/>
    <s v="USB Mouse"/>
    <s v="Mouse"/>
    <x v="0"/>
    <n v="350"/>
    <n v="455"/>
    <n v="4"/>
    <n v="1400"/>
    <n v="1820"/>
    <s v="Vijay Singh"/>
    <n v="1690"/>
  </r>
  <r>
    <s v="139950"/>
    <x v="25"/>
    <s v="Mohammed Abdul Kaleem"/>
    <s v="03/04/2020"/>
    <s v="Order"/>
    <s v="19&quot; LED Display"/>
    <s v="Monitor"/>
    <x v="6"/>
    <n v="9500"/>
    <n v="12350"/>
    <n v="1"/>
    <n v="9500"/>
    <n v="12350"/>
    <s v="Aadil Khan"/>
    <n v="9750"/>
  </r>
  <r>
    <s v="139951"/>
    <x v="25"/>
    <s v="Chandrakant Kasbe"/>
    <s v="03/04/2020"/>
    <s v="Processing"/>
    <s v="19 TB HDD"/>
    <s v="HDD"/>
    <x v="10"/>
    <n v="10000"/>
    <n v="13000"/>
    <n v="2"/>
    <n v="20000"/>
    <n v="26000"/>
    <s v="Advika Joshi"/>
    <n v="39000"/>
  </r>
  <r>
    <s v="139952"/>
    <x v="25"/>
    <s v="Rohan Kale"/>
    <s v="03/04/2020"/>
    <s v="Delivered"/>
    <s v="529 GB M.2"/>
    <s v="SSD"/>
    <x v="0"/>
    <n v="6500"/>
    <n v="8450"/>
    <n v="1"/>
    <n v="6500"/>
    <n v="8450"/>
    <s v="Ajay Sharma"/>
    <n v="8450"/>
  </r>
  <r>
    <s v="139953"/>
    <x v="25"/>
    <s v="Aniruddha Kekapure"/>
    <s v="03/04/2020"/>
    <s v="Shipped"/>
    <s v="RYZEN 3rd gen. 3517"/>
    <s v="CPU"/>
    <x v="1"/>
    <n v="8500"/>
    <n v="11050"/>
    <n v="4"/>
    <n v="34000"/>
    <n v="44200"/>
    <s v="Roshan Kumar"/>
    <n v="33150"/>
  </r>
  <r>
    <s v="139954"/>
    <x v="25"/>
    <s v="Aslam Raza"/>
    <s v="03/04/2020"/>
    <s v="Order"/>
    <s v="2GB Graphic Card"/>
    <s v="Graphic Card"/>
    <x v="2"/>
    <n v="7000"/>
    <n v="9100"/>
    <n v="2"/>
    <n v="14000"/>
    <n v="18200"/>
    <s v="Aarvi Gupta"/>
    <n v="18200"/>
  </r>
  <r>
    <s v="139955"/>
    <x v="25"/>
    <s v="Roshan Zameer"/>
    <s v="03/04/2020"/>
    <s v="Processing"/>
    <s v="33 GB DDR4 RAM"/>
    <s v="NIC"/>
    <x v="3"/>
    <n v="6550"/>
    <n v="8515"/>
    <n v="2"/>
    <n v="13100"/>
    <n v="17030"/>
    <s v="Vijay Singh"/>
    <n v="9100"/>
  </r>
  <r>
    <s v="139956"/>
    <x v="25"/>
    <s v="Rakesh Kumar Sharma"/>
    <s v="03/04/2020"/>
    <s v="Delivered"/>
    <s v="Standard ATX motherboard"/>
    <s v="Printer"/>
    <x v="4"/>
    <n v="7650"/>
    <n v="9945"/>
    <n v="2"/>
    <n v="15300"/>
    <n v="19890"/>
    <s v="Aadil Khan"/>
    <n v="11700"/>
  </r>
  <r>
    <s v="139957"/>
    <x v="25"/>
    <s v="Shivanand Sahani"/>
    <s v="03/04/2020"/>
    <s v="Shipped"/>
    <s v="Compact with 1 Fan"/>
    <s v="Cabinet"/>
    <x v="5"/>
    <n v="1150"/>
    <n v="1495"/>
    <n v="1"/>
    <n v="1150"/>
    <n v="1495"/>
    <s v="Advika Joshi"/>
    <n v="2990"/>
  </r>
  <r>
    <s v="139958"/>
    <x v="25"/>
    <s v="Kunal Patra"/>
    <s v="03/04/2020"/>
    <s v="Order"/>
    <s v="USB Backlight Keyboard"/>
    <s v="Keyboard"/>
    <x v="6"/>
    <n v="850"/>
    <n v="1105"/>
    <n v="4"/>
    <n v="3400"/>
    <n v="4420"/>
    <s v="Ajay Sharma"/>
    <n v="3315"/>
  </r>
  <r>
    <s v="139959"/>
    <x v="25"/>
    <s v="Bijendra"/>
    <s v="03/04/2020"/>
    <s v="Processing"/>
    <s v="Ergonomic Mouse"/>
    <s v="Mouse"/>
    <x v="0"/>
    <n v="650"/>
    <n v="845"/>
    <n v="1"/>
    <n v="650"/>
    <n v="845"/>
    <s v="Roshan Kumar"/>
    <n v="1690"/>
  </r>
  <r>
    <s v="139960"/>
    <x v="25"/>
    <s v="Kranti Bheke"/>
    <s v="03/04/2020"/>
    <s v="Delivered"/>
    <s v="15&quot; LCD Dsipaly"/>
    <s v="Monitor"/>
    <x v="6"/>
    <n v="7500"/>
    <n v="9750"/>
    <n v="3"/>
    <n v="22500"/>
    <n v="29250"/>
    <s v="Aarvi Gupta"/>
    <n v="9750"/>
  </r>
  <r>
    <s v="139961"/>
    <x v="25"/>
    <s v="Jagdeep"/>
    <s v="03/04/2020"/>
    <s v="Shipped"/>
    <s v="19 TB HDD"/>
    <s v="HDD"/>
    <x v="7"/>
    <n v="10000"/>
    <n v="13000"/>
    <n v="3"/>
    <n v="30000"/>
    <n v="39000"/>
    <s v="Vijay Singh"/>
    <n v="39000"/>
  </r>
  <r>
    <s v="139962"/>
    <x v="25"/>
    <s v="Adhir Samal"/>
    <s v="03/04/2020"/>
    <s v="Order"/>
    <s v="18 TB SSD"/>
    <s v="SSD"/>
    <x v="0"/>
    <n v="10500"/>
    <n v="13650"/>
    <n v="4"/>
    <n v="42000"/>
    <n v="54600"/>
    <s v="Aadil Khan"/>
    <n v="8450"/>
  </r>
  <r>
    <s v="139963"/>
    <x v="25"/>
    <s v="Dannana Jhammi"/>
    <s v="03/04/2020"/>
    <s v="Processing"/>
    <s v="Intel i5 12th gen."/>
    <s v="CPU"/>
    <x v="1"/>
    <n v="8500"/>
    <n v="11050"/>
    <n v="1"/>
    <n v="8500"/>
    <n v="11050"/>
    <s v="Advika Joshi"/>
    <n v="33150"/>
  </r>
  <r>
    <s v="139964"/>
    <x v="25"/>
    <s v="Vipin Kumar"/>
    <s v="03/04/2020"/>
    <s v="Delivered"/>
    <s v="2GB Graphic Card"/>
    <s v="Graphic Card"/>
    <x v="2"/>
    <n v="7000"/>
    <n v="9100"/>
    <n v="2"/>
    <n v="14000"/>
    <n v="18200"/>
    <s v="Ajay Sharma"/>
    <n v="18200"/>
  </r>
  <r>
    <s v="139965"/>
    <x v="25"/>
    <s v="Ranjeet Kumar"/>
    <s v="03/04/2020"/>
    <s v="Shipped"/>
    <s v="21 GB DDR4 Ram"/>
    <s v="NIC"/>
    <x v="3"/>
    <n v="1680"/>
    <n v="2184"/>
    <n v="1"/>
    <n v="1680"/>
    <n v="2184"/>
    <s v="Roshan Kumar"/>
    <n v="9100"/>
  </r>
  <r>
    <s v="139966"/>
    <x v="25"/>
    <s v="Sajal Singhal"/>
    <s v="03/04/2020"/>
    <s v="Order"/>
    <s v="Micro ATX motherboard"/>
    <s v="Printer"/>
    <x v="8"/>
    <n v="6540"/>
    <n v="8502"/>
    <n v="4"/>
    <n v="26160"/>
    <n v="34008"/>
    <s v="Aarvi Gupta"/>
    <n v="11700"/>
  </r>
  <r>
    <s v="139967"/>
    <x v="25"/>
    <s v="Akhilesh Kumar"/>
    <s v="03/04/2020"/>
    <s v="Processing"/>
    <s v="Gaming Box Cabinet"/>
    <s v="Cabinet"/>
    <x v="5"/>
    <n v="2680"/>
    <n v="3484"/>
    <n v="4"/>
    <n v="10720"/>
    <n v="13936"/>
    <s v="Vijay Singh"/>
    <n v="2990"/>
  </r>
  <r>
    <s v="139968"/>
    <x v="25"/>
    <s v="Suvankar Chakraborty"/>
    <s v="03/04/2020"/>
    <s v="Delivered"/>
    <s v="17&quot; LCD Display"/>
    <s v="Monitor"/>
    <x v="0"/>
    <n v="8250"/>
    <n v="10725"/>
    <n v="1"/>
    <n v="8250"/>
    <n v="10725"/>
    <s v="Aadil Khan"/>
    <n v="9750"/>
  </r>
  <r>
    <s v="139969"/>
    <x v="25"/>
    <s v="Suvankar Adhikary"/>
    <s v="03/04/2020"/>
    <s v="Shipped"/>
    <s v="25 GB DDR4 RAM"/>
    <s v="RAM"/>
    <x v="0"/>
    <n v="2650"/>
    <n v="3445"/>
    <n v="1"/>
    <n v="2650"/>
    <n v="3445"/>
    <s v="Advika Joshi"/>
    <n v="25545"/>
  </r>
  <r>
    <s v="139970"/>
    <x v="25"/>
    <s v="Rahul Kumar Prajapati"/>
    <s v="03/04/2020"/>
    <s v="Order"/>
    <s v="26&quot; LCD Display"/>
    <s v="Monitor"/>
    <x v="9"/>
    <n v="12550"/>
    <n v="16315"/>
    <n v="1"/>
    <n v="12550"/>
    <n v="16315"/>
    <s v="Ajay Sharma"/>
    <n v="9750"/>
  </r>
  <r>
    <s v="139971"/>
    <x v="25"/>
    <s v="Sagar Jeur"/>
    <s v="03/04/2020"/>
    <s v="Processing"/>
    <s v="I7 - intel 12th Generation"/>
    <s v="CPU"/>
    <x v="1"/>
    <n v="14500"/>
    <n v="18850"/>
    <n v="2"/>
    <n v="29000"/>
    <n v="37700"/>
    <s v="Roshan Kumar"/>
    <n v="33150"/>
  </r>
  <r>
    <s v="139972"/>
    <x v="25"/>
    <s v="Rhushikesh Mane"/>
    <s v="03/04/2020"/>
    <s v="Delivered"/>
    <s v="USB Keyboard"/>
    <s v="Keyboard"/>
    <x v="6"/>
    <n v="800"/>
    <n v="1040"/>
    <n v="2"/>
    <n v="1600"/>
    <n v="2080"/>
    <s v="Aarvi Gupta"/>
    <n v="3315"/>
  </r>
  <r>
    <s v="139973"/>
    <x v="25"/>
    <s v="Ashish Kumar"/>
    <s v="03/04/2020"/>
    <s v="Shipped"/>
    <s v="Wireless Mouse"/>
    <s v="Mouse"/>
    <x v="0"/>
    <n v="600"/>
    <n v="780"/>
    <n v="4"/>
    <n v="2400"/>
    <n v="3120"/>
    <s v="Vijay Singh"/>
    <n v="1690"/>
  </r>
  <r>
    <s v="139974"/>
    <x v="25"/>
    <s v="Javed Akhter"/>
    <s v="03/04/2020"/>
    <s v="Order"/>
    <s v="21&quot; LCD Display"/>
    <s v="Monitor"/>
    <x v="6"/>
    <n v="10500"/>
    <n v="13650"/>
    <n v="2"/>
    <n v="21000"/>
    <n v="27300"/>
    <s v="Aadil Khan"/>
    <n v="9750"/>
  </r>
  <r>
    <s v="139975"/>
    <x v="25"/>
    <s v="Haridas Balraj"/>
    <s v="03/04/2020"/>
    <s v="Processing"/>
    <s v="19 TB HDD"/>
    <s v="HDD"/>
    <x v="10"/>
    <n v="6500"/>
    <n v="8450"/>
    <n v="2"/>
    <n v="13000"/>
    <n v="16900"/>
    <s v="Advika Joshi"/>
    <n v="39000"/>
  </r>
  <r>
    <s v="139976"/>
    <x v="25"/>
    <s v="Kundan Kumar"/>
    <s v="03/04/2020"/>
    <s v="Delivered"/>
    <s v="274 GB SSD"/>
    <s v="SSD"/>
    <x v="0"/>
    <n v="4500"/>
    <n v="5850"/>
    <n v="3"/>
    <n v="13500"/>
    <n v="17550"/>
    <s v="Ajay Sharma"/>
    <n v="8450"/>
  </r>
  <r>
    <s v="139977"/>
    <x v="25"/>
    <s v="Atif Siddiqui"/>
    <s v="03/04/2020"/>
    <s v="Shipped"/>
    <s v="Intel i3 11th gen."/>
    <s v="CPU"/>
    <x v="1"/>
    <n v="8500"/>
    <n v="11050"/>
    <n v="1"/>
    <n v="8500"/>
    <n v="11050"/>
    <s v="Roshan Kumar"/>
    <n v="33150"/>
  </r>
  <r>
    <s v="139978"/>
    <x v="25"/>
    <s v="Aditya Agarwal"/>
    <s v="03/04/2020"/>
    <s v="Order"/>
    <s v="4GB Graphic card"/>
    <s v="Graphic Card"/>
    <x v="2"/>
    <n v="12500"/>
    <n v="16250"/>
    <n v="1"/>
    <n v="12500"/>
    <n v="16250"/>
    <s v="Aarvi Gupta"/>
    <n v="18200"/>
  </r>
  <r>
    <s v="139979"/>
    <x v="25"/>
    <s v="Firdoush Jabee"/>
    <s v="03/04/2020"/>
    <s v="Processing"/>
    <s v="26 GB DDR4 RAM"/>
    <s v="RAM"/>
    <x v="3"/>
    <n v="3500"/>
    <n v="4550"/>
    <n v="3"/>
    <n v="10500"/>
    <n v="13650"/>
    <s v="Vijay Singh"/>
    <n v="25545"/>
  </r>
  <r>
    <s v="139980"/>
    <x v="25"/>
    <s v="Jay Prakash Kumar"/>
    <s v="03/04/2020"/>
    <s v="Delivered"/>
    <s v="BTX motherboard"/>
    <s v="MotherBoard"/>
    <x v="4"/>
    <n v="4500"/>
    <n v="5850"/>
    <n v="1"/>
    <n v="4500"/>
    <n v="5850"/>
    <s v="Aadil Khan"/>
    <n v="39780"/>
  </r>
  <r>
    <s v="139981"/>
    <x v="25"/>
    <s v="Ashish Pandey"/>
    <s v="03/04/2020"/>
    <s v="Shipped"/>
    <s v="21 Fans Cabinet"/>
    <s v="Cabinet"/>
    <x v="5"/>
    <n v="2100"/>
    <n v="2730"/>
    <n v="1"/>
    <n v="2100"/>
    <n v="2730"/>
    <s v="Advika Joshi"/>
    <n v="2990"/>
  </r>
  <r>
    <s v="139982"/>
    <x v="25"/>
    <s v="Ajay Sharma"/>
    <s v="03/04/2020"/>
    <s v="Order"/>
    <s v="Wireless Keyboard"/>
    <s v="Keyboard"/>
    <x v="6"/>
    <n v="1150"/>
    <n v="1495"/>
    <n v="4"/>
    <n v="4600"/>
    <n v="5980"/>
    <s v="Ajay Sharma"/>
    <n v="3315"/>
  </r>
  <r>
    <s v="139983"/>
    <x v="25"/>
    <s v="Moinuddin Saifi"/>
    <s v="03/04/2020"/>
    <s v="Processing"/>
    <s v="USB Mouse"/>
    <s v="Mouse"/>
    <x v="0"/>
    <n v="350"/>
    <n v="455"/>
    <n v="3"/>
    <n v="1050"/>
    <n v="1365"/>
    <s v="Roshan Kumar"/>
    <n v="1690"/>
  </r>
  <r>
    <s v="139984"/>
    <x v="25"/>
    <s v="Ramkrishna Das Adhikary"/>
    <s v="03/04/2020"/>
    <s v="Delivered"/>
    <s v="19&quot; LED Display"/>
    <s v="Monitor"/>
    <x v="6"/>
    <n v="9500"/>
    <n v="12350"/>
    <n v="1"/>
    <n v="9500"/>
    <n v="12350"/>
    <s v="Aarvi Gupta"/>
    <n v="9750"/>
  </r>
  <r>
    <s v="139985"/>
    <x v="25"/>
    <s v="Ranjeet Mandal"/>
    <s v="03/04/2020"/>
    <s v="Shipped"/>
    <s v="20 TB HDD"/>
    <s v="HDD"/>
    <x v="10"/>
    <n v="10000"/>
    <n v="13000"/>
    <n v="3"/>
    <n v="30000"/>
    <n v="39000"/>
    <s v="Vijay Singh"/>
    <n v="39000"/>
  </r>
  <r>
    <s v="139986"/>
    <x v="25"/>
    <s v="Ashwini Adsare"/>
    <s v="03/04/2020"/>
    <s v="Order"/>
    <s v="530 GB M.2"/>
    <s v="SSD"/>
    <x v="0"/>
    <n v="6500"/>
    <n v="8450"/>
    <n v="2"/>
    <n v="13000"/>
    <n v="16900"/>
    <s v="Aadil Khan"/>
    <n v="8450"/>
  </r>
  <r>
    <s v="139987"/>
    <x v="25"/>
    <s v="Rajesh Variya"/>
    <s v="03/04/2020"/>
    <s v="Processing"/>
    <s v="RYZEN 3rd gen. 3518"/>
    <s v="CPU"/>
    <x v="1"/>
    <n v="8500"/>
    <n v="11050"/>
    <n v="2"/>
    <n v="17000"/>
    <n v="22100"/>
    <s v="Advika Joshi"/>
    <n v="33150"/>
  </r>
  <r>
    <s v="139988"/>
    <x v="25"/>
    <s v="Amit Singh"/>
    <s v="03/04/2020"/>
    <s v="Delivered"/>
    <s v="2GB Graphic Card"/>
    <s v="Graphic Card"/>
    <x v="2"/>
    <n v="7000"/>
    <n v="9100"/>
    <n v="2"/>
    <n v="14000"/>
    <n v="18200"/>
    <s v="Ajay Sharma"/>
    <n v="18200"/>
  </r>
  <r>
    <s v="139989"/>
    <x v="25"/>
    <s v="Vinod Mehta"/>
    <s v="03/04/2020"/>
    <s v="Shipped"/>
    <s v="34 GB DDR4 RAM"/>
    <s v="RAM"/>
    <x v="3"/>
    <n v="6550"/>
    <n v="8515"/>
    <n v="2"/>
    <n v="13100"/>
    <n v="17030"/>
    <s v="Roshan Kumar"/>
    <n v="25545"/>
  </r>
  <r>
    <s v="139990"/>
    <x v="25"/>
    <s v="Jignesh Mhatre"/>
    <s v="03/04/2020"/>
    <s v="Order"/>
    <s v="Standard ATX motherboard"/>
    <s v="MotherBoard"/>
    <x v="4"/>
    <n v="7650"/>
    <n v="9945"/>
    <n v="1"/>
    <n v="7650"/>
    <n v="9945"/>
    <s v="Aarvi Gupta"/>
    <n v="39780"/>
  </r>
  <r>
    <s v="139991"/>
    <x v="25"/>
    <s v="Rahul Kashyap"/>
    <s v="03/04/2020"/>
    <s v="Processing"/>
    <s v="Compact with 1 Fan"/>
    <s v="Cabinet"/>
    <x v="5"/>
    <n v="1150"/>
    <n v="1495"/>
    <n v="2"/>
    <n v="2300"/>
    <n v="2990"/>
    <s v="Vijay Singh"/>
    <n v="2990"/>
  </r>
  <r>
    <s v="139992"/>
    <x v="25"/>
    <s v="Mohammed Abdul Kaleem"/>
    <s v="03/04/2020"/>
    <s v="Delivered"/>
    <s v="USB Backlight Keyboard"/>
    <s v="Keyboard"/>
    <x v="6"/>
    <n v="850"/>
    <n v="1105"/>
    <n v="4"/>
    <n v="3400"/>
    <n v="4420"/>
    <s v="Aadil Khan"/>
    <n v="3315"/>
  </r>
  <r>
    <s v="139993"/>
    <x v="25"/>
    <s v="Chandrakant Kasbe"/>
    <s v="03/04/2020"/>
    <s v="Shipped"/>
    <s v="Ergonomic Mouse"/>
    <s v="Mouse"/>
    <x v="0"/>
    <n v="650"/>
    <n v="845"/>
    <n v="4"/>
    <n v="2600"/>
    <n v="3380"/>
    <s v="Advika Joshi"/>
    <n v="1690"/>
  </r>
  <r>
    <s v="139994"/>
    <x v="25"/>
    <s v="Rohan Kale"/>
    <s v="03/04/2020"/>
    <s v="Order"/>
    <s v="15&quot; LCD Dsipaly"/>
    <s v="Monitor"/>
    <x v="6"/>
    <n v="7500"/>
    <n v="9750"/>
    <n v="2"/>
    <n v="15000"/>
    <n v="19500"/>
    <s v="Ajay Sharma"/>
    <n v="9750"/>
  </r>
  <r>
    <s v="139995"/>
    <x v="25"/>
    <s v="Aniruddha Kekapure"/>
    <s v="03/04/2020"/>
    <s v="Processing"/>
    <s v="20 TB HDD"/>
    <s v="HDD"/>
    <x v="7"/>
    <n v="10000"/>
    <n v="13000"/>
    <n v="1"/>
    <n v="10000"/>
    <n v="13000"/>
    <s v="Roshan Kumar"/>
    <n v="39000"/>
  </r>
  <r>
    <s v="139996"/>
    <x v="25"/>
    <s v="Aslam Raza"/>
    <s v="03/04/2020"/>
    <s v="Delivered"/>
    <s v="19 TB SSD"/>
    <s v="SSD"/>
    <x v="0"/>
    <n v="10500"/>
    <n v="13650"/>
    <n v="2"/>
    <n v="21000"/>
    <n v="27300"/>
    <s v="Aarvi Gupta"/>
    <n v="8450"/>
  </r>
  <r>
    <s v="139997"/>
    <x v="25"/>
    <s v="Roshan Zameer"/>
    <s v="03/04/2020"/>
    <s v="Shipped"/>
    <s v="Intel i5 12th gen."/>
    <s v="CPU"/>
    <x v="1"/>
    <n v="8500"/>
    <n v="11050"/>
    <n v="3"/>
    <n v="25500"/>
    <n v="33150"/>
    <s v="Vijay Singh"/>
    <n v="33150"/>
  </r>
  <r>
    <s v="139998"/>
    <x v="25"/>
    <s v="Rakesh Kumar Sharma"/>
    <s v="03/04/2020"/>
    <s v="Order"/>
    <s v="2GB Graphic Card"/>
    <s v="Graphic Card"/>
    <x v="2"/>
    <n v="7000"/>
    <n v="9100"/>
    <n v="4"/>
    <n v="28000"/>
    <n v="36400"/>
    <s v="Aadil Khan"/>
    <n v="18200"/>
  </r>
  <r>
    <s v="139999"/>
    <x v="25"/>
    <s v="Shivanand Sahani"/>
    <s v="03/04/2020"/>
    <s v="Processing"/>
    <s v="22 GB DDR4 Ram"/>
    <s v="RAM"/>
    <x v="3"/>
    <n v="1680"/>
    <n v="2184"/>
    <n v="3"/>
    <n v="5040"/>
    <n v="6552"/>
    <s v="Advika Joshi"/>
    <n v="25545"/>
  </r>
  <r>
    <s v="140000"/>
    <x v="25"/>
    <s v="Kunal Patra"/>
    <s v="03/04/2020"/>
    <s v="Delivered"/>
    <s v="Micro ATX motherboard"/>
    <s v="MotherBoard"/>
    <x v="8"/>
    <n v="6540"/>
    <n v="8502"/>
    <n v="4"/>
    <n v="26160"/>
    <n v="34008"/>
    <s v="Ajay Sharma"/>
    <n v="39780"/>
  </r>
  <r>
    <s v="140001"/>
    <x v="25"/>
    <s v="Bijendra"/>
    <s v="03/04/2020"/>
    <s v="Shipped"/>
    <s v="Gaming Box Cabinet"/>
    <s v="Cabinet"/>
    <x v="5"/>
    <n v="2680"/>
    <n v="3484"/>
    <n v="3"/>
    <n v="8040"/>
    <n v="10452"/>
    <s v="Roshan Kumar"/>
    <n v="2990"/>
  </r>
  <r>
    <s v="140002"/>
    <x v="25"/>
    <s v="Kranti Bheke"/>
    <s v="03/04/2020"/>
    <s v="Order"/>
    <s v="17&quot; LCD Display"/>
    <s v="Monitor"/>
    <x v="0"/>
    <n v="8250"/>
    <n v="10725"/>
    <n v="2"/>
    <n v="16500"/>
    <n v="21450"/>
    <s v="Aarvi Gupta"/>
    <n v="9750"/>
  </r>
  <r>
    <s v="140003"/>
    <x v="25"/>
    <s v="Jagdeep"/>
    <s v="03/04/2020"/>
    <s v="Processing"/>
    <s v="26 GB DDR4 RAM"/>
    <s v="RAM"/>
    <x v="0"/>
    <n v="2650"/>
    <n v="3445"/>
    <n v="4"/>
    <n v="10600"/>
    <n v="13780"/>
    <s v="Vijay Singh"/>
    <n v="25545"/>
  </r>
  <r>
    <s v="140004"/>
    <x v="25"/>
    <s v="Adhir Samal"/>
    <s v="03/04/2020"/>
    <s v="Delivered"/>
    <s v="26&quot; LCD Display"/>
    <s v="Monitor"/>
    <x v="9"/>
    <n v="12550"/>
    <n v="16315"/>
    <n v="1"/>
    <n v="12550"/>
    <n v="16315"/>
    <s v="Aadil Khan"/>
    <n v="9750"/>
  </r>
  <r>
    <s v="140005"/>
    <x v="25"/>
    <s v="Dannana Jhammi"/>
    <s v="03/04/2020"/>
    <s v="Shipped"/>
    <s v="I7 - intel 12th Generation"/>
    <s v="CPU"/>
    <x v="1"/>
    <n v="14500"/>
    <n v="18850"/>
    <n v="2"/>
    <n v="29000"/>
    <n v="37700"/>
    <s v="Advika Joshi"/>
    <n v="33150"/>
  </r>
  <r>
    <s v="140006"/>
    <x v="25"/>
    <s v="Vipin Kumar"/>
    <s v="03/04/2020"/>
    <s v="Order"/>
    <s v="USB Keyboard"/>
    <s v="Keyboard"/>
    <x v="6"/>
    <n v="800"/>
    <n v="1040"/>
    <n v="4"/>
    <n v="3200"/>
    <n v="4160"/>
    <s v="Ajay Sharma"/>
    <n v="3315"/>
  </r>
  <r>
    <s v="140007"/>
    <x v="25"/>
    <s v="Ranjeet Kumar"/>
    <s v="03/04/2020"/>
    <s v="Processing"/>
    <s v="Wireless Mouse"/>
    <s v="Mouse"/>
    <x v="0"/>
    <n v="600"/>
    <n v="780"/>
    <n v="4"/>
    <n v="2400"/>
    <n v="3120"/>
    <s v="Roshan Kumar"/>
    <n v="1690"/>
  </r>
  <r>
    <s v="140008"/>
    <x v="25"/>
    <s v="Sajal Singhal"/>
    <s v="03/04/2020"/>
    <s v="Delivered"/>
    <s v="21&quot; LCD Display"/>
    <s v="Monitor"/>
    <x v="6"/>
    <n v="10500"/>
    <n v="13650"/>
    <n v="2"/>
    <n v="21000"/>
    <n v="27300"/>
    <s v="Aarvi Gupta"/>
    <n v="9750"/>
  </r>
  <r>
    <s v="140009"/>
    <x v="25"/>
    <s v="Akhilesh Kumar"/>
    <s v="03/04/2020"/>
    <s v="Shipped"/>
    <s v="20 TB HDD"/>
    <s v="HDD"/>
    <x v="10"/>
    <n v="6500"/>
    <n v="8450"/>
    <n v="3"/>
    <n v="19500"/>
    <n v="25350"/>
    <s v="Vijay Singh"/>
    <n v="39000"/>
  </r>
  <r>
    <s v="140010"/>
    <x v="25"/>
    <s v="Suvankar Chakraborty"/>
    <s v="03/04/2020"/>
    <s v="Order"/>
    <s v="275 GB SSD"/>
    <s v="SSD"/>
    <x v="0"/>
    <n v="4500"/>
    <n v="5850"/>
    <n v="2"/>
    <n v="9000"/>
    <n v="11700"/>
    <s v="Aadil Khan"/>
    <n v="8450"/>
  </r>
  <r>
    <s v="140011"/>
    <x v="5"/>
    <s v="Suvankar Adhikary"/>
    <s v="03/04/2020"/>
    <s v="Processing"/>
    <s v="Intel i3 11th gen."/>
    <s v="CPU"/>
    <x v="1"/>
    <n v="8500"/>
    <n v="11050"/>
    <n v="4"/>
    <n v="34000"/>
    <n v="44200"/>
    <s v="Advika Joshi"/>
    <n v="33150"/>
  </r>
  <r>
    <s v="140012"/>
    <x v="6"/>
    <s v="Rahul Kumar Prajapati"/>
    <s v="03/04/2020"/>
    <s v="Delivered"/>
    <s v="4GB Graphic card"/>
    <s v="Graphic Card"/>
    <x v="2"/>
    <n v="12500"/>
    <n v="16250"/>
    <n v="2"/>
    <n v="25000"/>
    <n v="32500"/>
    <s v="Ajay Sharma"/>
    <n v="18200"/>
  </r>
  <r>
    <s v="140013"/>
    <x v="7"/>
    <s v="Sagar Jeur"/>
    <s v="03/04/2020"/>
    <s v="Shipped"/>
    <s v="27 GB DDR4 RAM"/>
    <s v="Computer Case"/>
    <x v="3"/>
    <n v="3500"/>
    <n v="4550"/>
    <n v="3"/>
    <n v="10500"/>
    <n v="13650"/>
    <s v="Roshan Kumar"/>
    <n v="13650"/>
  </r>
  <r>
    <s v="140014"/>
    <x v="26"/>
    <s v="Rhushikesh Mane"/>
    <s v="03/04/2020"/>
    <s v="Order"/>
    <s v="BTX motherboard"/>
    <s v="Mouse"/>
    <x v="4"/>
    <n v="4500"/>
    <n v="5850"/>
    <n v="1"/>
    <n v="4500"/>
    <n v="5850"/>
    <s v="Aarvi Gupta"/>
    <n v="1690"/>
  </r>
  <r>
    <s v="140015"/>
    <x v="27"/>
    <s v="Ashish Kumar"/>
    <s v="03/04/2020"/>
    <s v="Processing"/>
    <s v="22 Fans Cabinet"/>
    <s v="Cabinet"/>
    <x v="5"/>
    <n v="2100"/>
    <n v="2730"/>
    <n v="2"/>
    <n v="4200"/>
    <n v="5460"/>
    <s v="Vijay Singh"/>
    <n v="2990"/>
  </r>
  <r>
    <s v="140016"/>
    <x v="8"/>
    <s v="Javed Akhter"/>
    <s v="03/04/2020"/>
    <s v="Delivered"/>
    <s v="Wireless Keyboard"/>
    <s v="Keyboard"/>
    <x v="6"/>
    <n v="1150"/>
    <n v="1495"/>
    <n v="3"/>
    <n v="3450"/>
    <n v="4485"/>
    <s v="Aadil Khan"/>
    <n v="3315"/>
  </r>
  <r>
    <s v="140017"/>
    <x v="9"/>
    <s v="Haridas Balraj"/>
    <s v="03/04/2020"/>
    <s v="Shipped"/>
    <s v="USB Mouse"/>
    <s v="Mouse"/>
    <x v="0"/>
    <n v="350"/>
    <n v="455"/>
    <n v="1"/>
    <n v="350"/>
    <n v="455"/>
    <s v="Advika Joshi"/>
    <n v="1690"/>
  </r>
  <r>
    <s v="140018"/>
    <x v="10"/>
    <s v="Kundan Kumar"/>
    <s v="03/04/2020"/>
    <s v="Order"/>
    <s v="19&quot; LED Display"/>
    <s v="Monitor"/>
    <x v="6"/>
    <n v="9500"/>
    <n v="12350"/>
    <n v="2"/>
    <n v="19000"/>
    <n v="24700"/>
    <s v="Ajay Sharma"/>
    <n v="9750"/>
  </r>
  <r>
    <s v="140019"/>
    <x v="11"/>
    <s v="Atif Siddiqui"/>
    <s v="03/04/2020"/>
    <s v="Processing"/>
    <s v="21 TB HDD"/>
    <s v="HDD"/>
    <x v="10"/>
    <n v="10000"/>
    <n v="13000"/>
    <n v="1"/>
    <n v="10000"/>
    <n v="13000"/>
    <s v="Roshan Kumar"/>
    <n v="39000"/>
  </r>
  <r>
    <s v="140020"/>
    <x v="12"/>
    <s v="Aditya Agarwal"/>
    <s v="03/04/2020"/>
    <s v="Delivered"/>
    <s v="531 GB M.2"/>
    <s v="SSD"/>
    <x v="0"/>
    <n v="6500"/>
    <n v="8450"/>
    <n v="2"/>
    <n v="13000"/>
    <n v="16900"/>
    <s v="Aarvi Gupta"/>
    <n v="8450"/>
  </r>
  <r>
    <s v="140021"/>
    <x v="13"/>
    <s v="Firdoush Jabee"/>
    <s v="03/04/2020"/>
    <s v="Shipped"/>
    <s v="RYZEN 3rd gen. 3519"/>
    <s v="CPU"/>
    <x v="1"/>
    <n v="8500"/>
    <n v="11050"/>
    <n v="2"/>
    <n v="17000"/>
    <n v="22100"/>
    <s v="Vijay Singh"/>
    <n v="33150"/>
  </r>
  <r>
    <s v="140022"/>
    <x v="14"/>
    <s v="Jay Prakash Kumar"/>
    <s v="03/04/2020"/>
    <s v="Order"/>
    <s v="2GB Graphic Card"/>
    <s v="Graphic Card"/>
    <x v="2"/>
    <n v="7000"/>
    <n v="9100"/>
    <n v="4"/>
    <n v="28000"/>
    <n v="36400"/>
    <s v="Aadil Khan"/>
    <n v="18200"/>
  </r>
  <r>
    <s v="140023"/>
    <x v="15"/>
    <s v="Ashish Pandey"/>
    <s v="03/04/2020"/>
    <s v="Processing"/>
    <s v="35 GB DDR4 RAM"/>
    <s v="Computer Case"/>
    <x v="3"/>
    <n v="6550"/>
    <n v="8515"/>
    <n v="3"/>
    <n v="19650"/>
    <n v="25545"/>
    <s v="Advika Joshi"/>
    <n v="13650"/>
  </r>
  <r>
    <s v="140024"/>
    <x v="16"/>
    <s v="Ajay Sharma"/>
    <s v="03/04/2020"/>
    <s v="Delivered"/>
    <s v="Standard ATX motherboard"/>
    <s v="Mouse"/>
    <x v="4"/>
    <n v="7650"/>
    <n v="9945"/>
    <n v="2"/>
    <n v="15300"/>
    <n v="19890"/>
    <s v="Ajay Sharma"/>
    <n v="1690"/>
  </r>
  <r>
    <s v="140025"/>
    <x v="17"/>
    <s v="Moinuddin Saifi"/>
    <s v="03/04/2020"/>
    <s v="Shipped"/>
    <s v="Compact with 1 Fan"/>
    <s v="Cabinet"/>
    <x v="5"/>
    <n v="1150"/>
    <n v="1495"/>
    <n v="1"/>
    <n v="1150"/>
    <n v="1495"/>
    <s v="Roshan Kumar"/>
    <n v="2990"/>
  </r>
  <r>
    <s v="140026"/>
    <x v="18"/>
    <s v="Ramkrishna Das Adhikary"/>
    <s v="03/04/2020"/>
    <s v="Order"/>
    <s v="USB Backlight Keyboard"/>
    <s v="Keyboard"/>
    <x v="6"/>
    <n v="850"/>
    <n v="1105"/>
    <n v="3"/>
    <n v="2550"/>
    <n v="3315"/>
    <s v="Aarvi Gupta"/>
    <n v="3315"/>
  </r>
  <r>
    <s v="140027"/>
    <x v="19"/>
    <s v="Ranjeet Mandal"/>
    <s v="03/04/2020"/>
    <s v="Processing"/>
    <s v="Ergonomic Mouse"/>
    <s v="Mouse"/>
    <x v="0"/>
    <n v="650"/>
    <n v="845"/>
    <n v="3"/>
    <n v="1950"/>
    <n v="2535"/>
    <s v="Vijay Singh"/>
    <n v="1690"/>
  </r>
  <r>
    <s v="140028"/>
    <x v="19"/>
    <s v="Ashwini Adsare"/>
    <s v="03/04/2020"/>
    <s v="Delivered"/>
    <s v="15&quot; LCD Dsipaly"/>
    <s v="Monitor"/>
    <x v="6"/>
    <n v="7500"/>
    <n v="9750"/>
    <n v="3"/>
    <n v="22500"/>
    <n v="29250"/>
    <s v="Aadil Khan"/>
    <n v="9750"/>
  </r>
  <r>
    <s v="140029"/>
    <x v="19"/>
    <s v="Rajesh Variya"/>
    <s v="03/04/2020"/>
    <s v="Shipped"/>
    <s v="21 TB HDD"/>
    <s v="HDD"/>
    <x v="7"/>
    <n v="10000"/>
    <n v="13000"/>
    <n v="3"/>
    <n v="30000"/>
    <n v="39000"/>
    <s v="Advika Joshi"/>
    <n v="39000"/>
  </r>
  <r>
    <s v="140030"/>
    <x v="19"/>
    <s v="Amit Singh"/>
    <s v="03/04/2020"/>
    <s v="Order"/>
    <s v="20 TB SSD"/>
    <s v="SSD"/>
    <x v="0"/>
    <n v="10500"/>
    <n v="13650"/>
    <n v="3"/>
    <n v="31500"/>
    <n v="40950"/>
    <s v="Ajay Sharma"/>
    <n v="8450"/>
  </r>
  <r>
    <s v="140031"/>
    <x v="19"/>
    <s v="Vinod Mehta"/>
    <s v="03/04/2020"/>
    <s v="Processing"/>
    <s v="Intel i5 12th gen."/>
    <s v="CPU"/>
    <x v="1"/>
    <n v="8500"/>
    <n v="11050"/>
    <n v="4"/>
    <n v="34000"/>
    <n v="44200"/>
    <s v="Roshan Kumar"/>
    <n v="33150"/>
  </r>
  <r>
    <s v="140032"/>
    <x v="19"/>
    <s v="Jignesh Mhatre"/>
    <s v="03/04/2020"/>
    <s v="Delivered"/>
    <s v="2GB Graphic Card"/>
    <s v="Graphic Card"/>
    <x v="2"/>
    <n v="7000"/>
    <n v="9100"/>
    <n v="2"/>
    <n v="14000"/>
    <n v="18200"/>
    <s v="Aarvi Gupta"/>
    <n v="18200"/>
  </r>
  <r>
    <s v="140033"/>
    <x v="19"/>
    <s v="Rahul Kashyap"/>
    <s v="03/04/2020"/>
    <s v="Shipped"/>
    <s v="23 GB DDR4 Ram"/>
    <s v="Computer Case"/>
    <x v="3"/>
    <n v="1680"/>
    <n v="2184"/>
    <n v="4"/>
    <n v="6720"/>
    <n v="8736"/>
    <s v="Vijay Singh"/>
    <n v="13650"/>
  </r>
  <r>
    <s v="140034"/>
    <x v="19"/>
    <s v="Mohammed Abdul Kaleem"/>
    <s v="03/04/2020"/>
    <s v="Order"/>
    <s v="Micro ATX motherboard"/>
    <s v="Mouse"/>
    <x v="8"/>
    <n v="6540"/>
    <n v="8502"/>
    <n v="3"/>
    <n v="19620"/>
    <n v="25506"/>
    <s v="Aadil Khan"/>
    <n v="1690"/>
  </r>
  <r>
    <s v="140035"/>
    <x v="19"/>
    <s v="Chandrakant Kasbe"/>
    <s v="03/04/2020"/>
    <s v="Processing"/>
    <s v="Gaming Box Cabinet"/>
    <s v="Cabinet"/>
    <x v="5"/>
    <n v="2680"/>
    <n v="3484"/>
    <n v="4"/>
    <n v="10720"/>
    <n v="13936"/>
    <s v="Advika Joshi"/>
    <n v="2990"/>
  </r>
  <r>
    <s v="140036"/>
    <x v="19"/>
    <s v="Rohan Kale"/>
    <s v="03/04/2020"/>
    <s v="Delivered"/>
    <s v="17&quot; LCD Display"/>
    <s v="Monitor"/>
    <x v="0"/>
    <n v="8250"/>
    <n v="10725"/>
    <n v="3"/>
    <n v="24750"/>
    <n v="32175"/>
    <s v="Ajay Sharma"/>
    <n v="9750"/>
  </r>
  <r>
    <s v="140037"/>
    <x v="19"/>
    <s v="Aniruddha Kekapure"/>
    <s v="03/04/2020"/>
    <s v="Shipped"/>
    <s v="27 GB DDR4 RAM"/>
    <s v="RAM"/>
    <x v="0"/>
    <n v="2650"/>
    <n v="3445"/>
    <n v="4"/>
    <n v="10600"/>
    <n v="13780"/>
    <s v="Roshan Kumar"/>
    <n v="25545"/>
  </r>
  <r>
    <s v="140038"/>
    <x v="19"/>
    <s v="Aslam Raza"/>
    <s v="03/04/2020"/>
    <s v="Order"/>
    <s v="26&quot; LCD Display"/>
    <s v="Monitor"/>
    <x v="9"/>
    <n v="12550"/>
    <n v="16315"/>
    <n v="3"/>
    <n v="37650"/>
    <n v="48945"/>
    <s v="Aarvi Gupta"/>
    <n v="9750"/>
  </r>
  <r>
    <s v="140039"/>
    <x v="19"/>
    <s v="Roshan Zameer"/>
    <s v="03/04/2020"/>
    <s v="Processing"/>
    <s v="I7 - intel 12th Generation"/>
    <s v="CPU"/>
    <x v="1"/>
    <n v="14500"/>
    <n v="18850"/>
    <n v="4"/>
    <n v="58000"/>
    <n v="75400"/>
    <s v="Vijay Singh"/>
    <n v="33150"/>
  </r>
  <r>
    <s v="140040"/>
    <x v="19"/>
    <s v="Rakesh Kumar Sharma"/>
    <s v="03/04/2020"/>
    <s v="Delivered"/>
    <s v="USB Keyboard"/>
    <s v="Keyboard"/>
    <x v="6"/>
    <n v="800"/>
    <n v="1040"/>
    <n v="2"/>
    <n v="1600"/>
    <n v="2080"/>
    <s v="Aadil Khan"/>
    <n v="3315"/>
  </r>
  <r>
    <s v="140041"/>
    <x v="19"/>
    <s v="Shivanand Sahani"/>
    <s v="03/04/2020"/>
    <s v="Shipped"/>
    <s v="Wireless Mouse"/>
    <s v="Mouse"/>
    <x v="0"/>
    <n v="600"/>
    <n v="780"/>
    <n v="3"/>
    <n v="1800"/>
    <n v="2340"/>
    <s v="Advika Joshi"/>
    <n v="1690"/>
  </r>
  <r>
    <s v="140042"/>
    <x v="19"/>
    <s v="Kunal Patra"/>
    <s v="03/04/2020"/>
    <s v="Order"/>
    <s v="21&quot; LCD Display"/>
    <s v="Monitor"/>
    <x v="6"/>
    <n v="10500"/>
    <n v="13650"/>
    <n v="3"/>
    <n v="31500"/>
    <n v="40950"/>
    <s v="Ajay Sharma"/>
    <n v="9750"/>
  </r>
  <r>
    <s v="140043"/>
    <x v="19"/>
    <s v="Bijendra"/>
    <s v="03/04/2020"/>
    <s v="Processing"/>
    <s v="21 TB HDD"/>
    <s v="HDD"/>
    <x v="10"/>
    <n v="6500"/>
    <n v="8450"/>
    <n v="3"/>
    <n v="19500"/>
    <n v="25350"/>
    <s v="Roshan Kumar"/>
    <n v="39000"/>
  </r>
  <r>
    <s v="140044"/>
    <x v="19"/>
    <s v="Kranti Bheke"/>
    <s v="03/04/2020"/>
    <s v="Delivered"/>
    <s v="276 GB SSD"/>
    <s v="SSD"/>
    <x v="0"/>
    <n v="4500"/>
    <n v="5850"/>
    <n v="2"/>
    <n v="9000"/>
    <n v="11700"/>
    <s v="Aarvi Gupta"/>
    <n v="8450"/>
  </r>
  <r>
    <s v="140045"/>
    <x v="19"/>
    <s v="Jagdeep"/>
    <s v="03/04/2020"/>
    <s v="Shipped"/>
    <s v="Intel i3 11th gen."/>
    <s v="CPU"/>
    <x v="1"/>
    <n v="8500"/>
    <n v="11050"/>
    <n v="3"/>
    <n v="25500"/>
    <n v="33150"/>
    <s v="Vijay Singh"/>
    <n v="33150"/>
  </r>
  <r>
    <s v="140046"/>
    <x v="19"/>
    <s v="Adhir Samal"/>
    <s v="03/04/2020"/>
    <s v="Order"/>
    <s v="4GB Graphic card"/>
    <s v="Graphic Card"/>
    <x v="2"/>
    <n v="12500"/>
    <n v="16250"/>
    <n v="2"/>
    <n v="25000"/>
    <n v="32500"/>
    <s v="Aadil Khan"/>
    <n v="18200"/>
  </r>
  <r>
    <s v="140047"/>
    <x v="19"/>
    <s v="Dannana Jhammi"/>
    <s v="03/04/2020"/>
    <s v="Processing"/>
    <s v="28 GB DDR4 RAM"/>
    <s v="NIC"/>
    <x v="3"/>
    <n v="3500"/>
    <n v="4550"/>
    <n v="4"/>
    <n v="14000"/>
    <n v="18200"/>
    <s v="Advika Joshi"/>
    <n v="9100"/>
  </r>
  <r>
    <s v="140048"/>
    <x v="19"/>
    <s v="Vipin Kumar"/>
    <s v="03/04/2020"/>
    <s v="Delivered"/>
    <s v="BTX motherboard"/>
    <s v="Printer"/>
    <x v="4"/>
    <n v="4500"/>
    <n v="5850"/>
    <n v="1"/>
    <n v="4500"/>
    <n v="5850"/>
    <s v="Ajay Sharma"/>
    <n v="11700"/>
  </r>
  <r>
    <s v="140049"/>
    <x v="19"/>
    <s v="Ranjeet Kumar"/>
    <s v="03/04/2020"/>
    <s v="Shipped"/>
    <s v="23 Fans Cabinet"/>
    <s v="Cabinet"/>
    <x v="5"/>
    <n v="2100"/>
    <n v="2730"/>
    <n v="1"/>
    <n v="2100"/>
    <n v="2730"/>
    <s v="Roshan Kumar"/>
    <n v="2990"/>
  </r>
  <r>
    <s v="140050"/>
    <x v="19"/>
    <s v="Sajal Singhal"/>
    <s v="03/04/2020"/>
    <s v="Order"/>
    <s v="Wireless Keyboard"/>
    <s v="Keyboard"/>
    <x v="6"/>
    <n v="1150"/>
    <n v="1495"/>
    <n v="3"/>
    <n v="3450"/>
    <n v="4485"/>
    <s v="Aarvi Gupta"/>
    <n v="3315"/>
  </r>
  <r>
    <s v="140051"/>
    <x v="19"/>
    <s v="Akhilesh Kumar"/>
    <s v="03/04/2020"/>
    <s v="Processing"/>
    <s v="USB Mouse"/>
    <s v="Mouse"/>
    <x v="0"/>
    <n v="350"/>
    <n v="455"/>
    <n v="4"/>
    <n v="1400"/>
    <n v="1820"/>
    <s v="Vijay Singh"/>
    <n v="1690"/>
  </r>
  <r>
    <s v="140052"/>
    <x v="19"/>
    <s v="Suvankar Chakraborty"/>
    <s v="03/04/2020"/>
    <s v="Delivered"/>
    <s v="19&quot; LED Display"/>
    <s v="Monitor"/>
    <x v="6"/>
    <n v="9500"/>
    <n v="12350"/>
    <n v="1"/>
    <n v="9500"/>
    <n v="12350"/>
    <s v="Aadil Khan"/>
    <n v="9750"/>
  </r>
  <r>
    <s v="140053"/>
    <x v="19"/>
    <s v="Suvankar Adhikary"/>
    <s v="03/04/2020"/>
    <s v="Shipped"/>
    <s v="22 TB HDD"/>
    <s v="HDD"/>
    <x v="10"/>
    <n v="10000"/>
    <n v="13000"/>
    <n v="2"/>
    <n v="20000"/>
    <n v="26000"/>
    <s v="Advika Joshi"/>
    <n v="39000"/>
  </r>
  <r>
    <s v="140054"/>
    <x v="19"/>
    <s v="Rahul Kumar Prajapati"/>
    <s v="03/04/2020"/>
    <s v="Order"/>
    <s v="532 GB M.2"/>
    <s v="SSD"/>
    <x v="0"/>
    <n v="6500"/>
    <n v="8450"/>
    <n v="3"/>
    <n v="19500"/>
    <n v="25350"/>
    <s v="Ajay Sharma"/>
    <n v="8450"/>
  </r>
  <r>
    <s v="140055"/>
    <x v="19"/>
    <s v="Sagar Jeur"/>
    <s v="03/04/2020"/>
    <s v="Processing"/>
    <s v="RYZEN 3rd gen. 3520"/>
    <s v="CPU"/>
    <x v="1"/>
    <n v="8500"/>
    <n v="11050"/>
    <n v="1"/>
    <n v="8500"/>
    <n v="11050"/>
    <s v="Roshan Kumar"/>
    <n v="33150"/>
  </r>
  <r>
    <s v="140056"/>
    <x v="19"/>
    <s v="Rhushikesh Mane"/>
    <s v="03/04/2020"/>
    <s v="Delivered"/>
    <s v="2GB Graphic Card"/>
    <s v="Graphic Card"/>
    <x v="2"/>
    <n v="7000"/>
    <n v="9100"/>
    <n v="1"/>
    <n v="7000"/>
    <n v="9100"/>
    <s v="Aarvi Gupta"/>
    <n v="18200"/>
  </r>
  <r>
    <s v="140057"/>
    <x v="19"/>
    <s v="Ashish Kumar"/>
    <s v="03/04/2020"/>
    <s v="Shipped"/>
    <s v="36 GB DDR4 RAM"/>
    <s v="NIC"/>
    <x v="3"/>
    <n v="6550"/>
    <n v="8515"/>
    <n v="2"/>
    <n v="13100"/>
    <n v="17030"/>
    <s v="Vijay Singh"/>
    <n v="9100"/>
  </r>
  <r>
    <s v="140058"/>
    <x v="19"/>
    <s v="Javed Akhter"/>
    <s v="03/04/2020"/>
    <s v="Order"/>
    <s v="Standard ATX motherboard"/>
    <s v="Printer"/>
    <x v="4"/>
    <n v="7650"/>
    <n v="9945"/>
    <n v="3"/>
    <n v="22950"/>
    <n v="29835"/>
    <s v="Aadil Khan"/>
    <n v="11700"/>
  </r>
  <r>
    <s v="140059"/>
    <x v="19"/>
    <s v="Haridas Balraj"/>
    <s v="03/04/2020"/>
    <s v="Processing"/>
    <s v="Compact with 1 Fan"/>
    <s v="Cabinet"/>
    <x v="5"/>
    <n v="1150"/>
    <n v="1495"/>
    <n v="4"/>
    <n v="4600"/>
    <n v="5980"/>
    <s v="Advika Joshi"/>
    <n v="2990"/>
  </r>
  <r>
    <s v="140060"/>
    <x v="19"/>
    <s v="Kundan Kumar"/>
    <s v="03/04/2020"/>
    <s v="Delivered"/>
    <s v="USB Backlight Keyboard"/>
    <s v="Keyboard"/>
    <x v="6"/>
    <n v="850"/>
    <n v="1105"/>
    <n v="2"/>
    <n v="1700"/>
    <n v="2210"/>
    <s v="Ajay Sharma"/>
    <n v="3315"/>
  </r>
  <r>
    <s v="140061"/>
    <x v="19"/>
    <s v="Atif Siddiqui"/>
    <s v="03/04/2020"/>
    <s v="Shipped"/>
    <s v="Ergonomic Mouse"/>
    <s v="Mouse"/>
    <x v="0"/>
    <n v="650"/>
    <n v="845"/>
    <n v="4"/>
    <n v="2600"/>
    <n v="3380"/>
    <s v="Roshan Kumar"/>
    <n v="1690"/>
  </r>
  <r>
    <s v="140062"/>
    <x v="19"/>
    <s v="Aditya Agarwal"/>
    <s v="03/04/2020"/>
    <s v="Order"/>
    <s v="15&quot; LCD Dsipaly"/>
    <s v="Monitor"/>
    <x v="6"/>
    <n v="7500"/>
    <n v="9750"/>
    <n v="2"/>
    <n v="15000"/>
    <n v="19500"/>
    <s v="Aarvi Gupta"/>
    <n v="9750"/>
  </r>
  <r>
    <s v="140063"/>
    <x v="19"/>
    <s v="Firdoush Jabee"/>
    <s v="03/04/2020"/>
    <s v="Processing"/>
    <s v="22 TB HDD"/>
    <s v="HDD"/>
    <x v="7"/>
    <n v="10000"/>
    <n v="13000"/>
    <n v="4"/>
    <n v="40000"/>
    <n v="52000"/>
    <s v="Vijay Singh"/>
    <n v="39000"/>
  </r>
  <r>
    <s v="140064"/>
    <x v="19"/>
    <s v="Jay Prakash Kumar"/>
    <s v="03/04/2020"/>
    <s v="Delivered"/>
    <s v="21 TB SSD"/>
    <s v="SSD"/>
    <x v="0"/>
    <n v="10500"/>
    <n v="13650"/>
    <n v="2"/>
    <n v="21000"/>
    <n v="27300"/>
    <s v="Aadil Khan"/>
    <n v="8450"/>
  </r>
  <r>
    <s v="140065"/>
    <x v="19"/>
    <s v="Ashish Pandey"/>
    <s v="03/04/2020"/>
    <s v="Shipped"/>
    <s v="Intel i5 12th gen."/>
    <s v="CPU"/>
    <x v="1"/>
    <n v="8500"/>
    <n v="11050"/>
    <n v="4"/>
    <n v="34000"/>
    <n v="44200"/>
    <s v="Advika Joshi"/>
    <n v="33150"/>
  </r>
  <r>
    <s v="140066"/>
    <x v="19"/>
    <s v="Ajay Sharma"/>
    <s v="03/04/2020"/>
    <s v="Order"/>
    <s v="2GB Graphic Card"/>
    <s v="Graphic Card"/>
    <x v="2"/>
    <n v="7000"/>
    <n v="9100"/>
    <n v="4"/>
    <n v="28000"/>
    <n v="36400"/>
    <s v="Ajay Sharma"/>
    <n v="18200"/>
  </r>
  <r>
    <s v="140067"/>
    <x v="19"/>
    <s v="Moinuddin Saifi"/>
    <s v="03/04/2020"/>
    <s v="Processing"/>
    <s v="24 GB DDR4 Ram"/>
    <s v="NIC"/>
    <x v="3"/>
    <n v="1680"/>
    <n v="2184"/>
    <n v="2"/>
    <n v="3360"/>
    <n v="4368"/>
    <s v="Roshan Kumar"/>
    <n v="9100"/>
  </r>
  <r>
    <s v="140068"/>
    <x v="19"/>
    <s v="Ramkrishna Das Adhikary"/>
    <s v="03/04/2020"/>
    <s v="Delivered"/>
    <s v="Micro ATX motherboard"/>
    <s v="Printer"/>
    <x v="8"/>
    <n v="6540"/>
    <n v="8502"/>
    <n v="2"/>
    <n v="13080"/>
    <n v="17004"/>
    <s v="Aarvi Gupta"/>
    <n v="11700"/>
  </r>
  <r>
    <s v="140069"/>
    <x v="19"/>
    <s v="Ranjeet Mandal"/>
    <s v="03/04/2020"/>
    <s v="Shipped"/>
    <s v="Gaming Box Cabinet"/>
    <s v="Cabinet"/>
    <x v="5"/>
    <n v="2680"/>
    <n v="3484"/>
    <n v="1"/>
    <n v="2680"/>
    <n v="3484"/>
    <s v="Vijay Singh"/>
    <n v="2990"/>
  </r>
  <r>
    <s v="140070"/>
    <x v="19"/>
    <s v="Ashwini Adsare"/>
    <s v="03/04/2020"/>
    <s v="Order"/>
    <s v="17&quot; LCD Display"/>
    <s v="Monitor"/>
    <x v="0"/>
    <n v="8250"/>
    <n v="10725"/>
    <n v="2"/>
    <n v="16500"/>
    <n v="21450"/>
    <s v="Aadil Khan"/>
    <n v="9750"/>
  </r>
  <r>
    <s v="140071"/>
    <x v="19"/>
    <s v="Rajesh Variya"/>
    <s v="03/04/2020"/>
    <s v="Processing"/>
    <s v="28 GB DDR4 RAM"/>
    <s v="RAM"/>
    <x v="0"/>
    <n v="2650"/>
    <n v="3445"/>
    <n v="1"/>
    <n v="2650"/>
    <n v="3445"/>
    <s v="Advika Joshi"/>
    <n v="25545"/>
  </r>
  <r>
    <s v="140072"/>
    <x v="19"/>
    <s v="Amit Singh"/>
    <s v="03/04/2020"/>
    <s v="Delivered"/>
    <s v="26&quot; LCD Display"/>
    <s v="Monitor"/>
    <x v="9"/>
    <n v="12550"/>
    <n v="16315"/>
    <n v="3"/>
    <n v="37650"/>
    <n v="48945"/>
    <s v="Ajay Sharma"/>
    <n v="9750"/>
  </r>
  <r>
    <s v="140073"/>
    <x v="19"/>
    <s v="Vinod Mehta"/>
    <s v="03/04/2020"/>
    <s v="Shipped"/>
    <s v="I7 - intel 12th Generation"/>
    <s v="CPU"/>
    <x v="1"/>
    <n v="14500"/>
    <n v="18850"/>
    <n v="4"/>
    <n v="58000"/>
    <n v="75400"/>
    <s v="Roshan Kumar"/>
    <n v="33150"/>
  </r>
  <r>
    <s v="140074"/>
    <x v="19"/>
    <s v="Jignesh Mhatre"/>
    <s v="03/04/2020"/>
    <s v="Order"/>
    <s v="USB Keyboard"/>
    <s v="Keyboard"/>
    <x v="6"/>
    <n v="800"/>
    <n v="1040"/>
    <n v="1"/>
    <n v="800"/>
    <n v="1040"/>
    <s v="Aarvi Gupta"/>
    <n v="3315"/>
  </r>
  <r>
    <s v="140075"/>
    <x v="19"/>
    <s v="Rahul Kashyap"/>
    <s v="03/04/2020"/>
    <s v="Processing"/>
    <s v="Wireless Mouse"/>
    <s v="Mouse"/>
    <x v="0"/>
    <n v="600"/>
    <n v="780"/>
    <n v="3"/>
    <n v="1800"/>
    <n v="2340"/>
    <s v="Vijay Singh"/>
    <n v="1690"/>
  </r>
  <r>
    <s v="140076"/>
    <x v="19"/>
    <s v="Mohammed Abdul Kaleem"/>
    <s v="03/04/2020"/>
    <s v="Delivered"/>
    <s v="21&quot; LCD Display"/>
    <s v="Monitor"/>
    <x v="6"/>
    <n v="10500"/>
    <n v="13650"/>
    <n v="2"/>
    <n v="21000"/>
    <n v="27300"/>
    <s v="Aadil Khan"/>
    <n v="9750"/>
  </r>
  <r>
    <s v="140077"/>
    <x v="19"/>
    <s v="Chandrakant Kasbe"/>
    <s v="03/04/2020"/>
    <s v="Shipped"/>
    <s v="22 TB HDD"/>
    <s v="HDD"/>
    <x v="10"/>
    <n v="6500"/>
    <n v="8450"/>
    <n v="2"/>
    <n v="13000"/>
    <n v="16900"/>
    <s v="Advika Joshi"/>
    <n v="39000"/>
  </r>
  <r>
    <s v="140078"/>
    <x v="19"/>
    <s v="Rohan Kale"/>
    <s v="03/04/2020"/>
    <s v="Order"/>
    <s v="277 GB SSD"/>
    <s v="SSD"/>
    <x v="0"/>
    <n v="4500"/>
    <n v="5850"/>
    <n v="3"/>
    <n v="13500"/>
    <n v="17550"/>
    <s v="Ajay Sharma"/>
    <n v="8450"/>
  </r>
  <r>
    <s v="140079"/>
    <x v="19"/>
    <s v="Aniruddha Kekapure"/>
    <s v="03/04/2020"/>
    <s v="Processing"/>
    <s v="Intel i3 11th gen."/>
    <s v="CPU"/>
    <x v="1"/>
    <n v="8500"/>
    <n v="11050"/>
    <n v="3"/>
    <n v="25500"/>
    <n v="33150"/>
    <s v="Roshan Kumar"/>
    <n v="33150"/>
  </r>
  <r>
    <s v="140080"/>
    <x v="19"/>
    <s v="Aslam Raza"/>
    <s v="03/04/2020"/>
    <s v="Delivered"/>
    <s v="4GB Graphic card"/>
    <s v="Graphic Card"/>
    <x v="2"/>
    <n v="12500"/>
    <n v="16250"/>
    <n v="3"/>
    <n v="37500"/>
    <n v="48750"/>
    <s v="Aarvi Gupta"/>
    <n v="18200"/>
  </r>
  <r>
    <s v="140081"/>
    <x v="19"/>
    <s v="Roshan Zameer"/>
    <s v="03/04/2020"/>
    <s v="Shipped"/>
    <s v="29 GB DDR4 RAM"/>
    <s v="RAM"/>
    <x v="3"/>
    <n v="3500"/>
    <n v="4550"/>
    <n v="2"/>
    <n v="7000"/>
    <n v="9100"/>
    <s v="Vijay Singh"/>
    <n v="25545"/>
  </r>
  <r>
    <s v="140082"/>
    <x v="19"/>
    <s v="Rakesh Kumar Sharma"/>
    <s v="03/04/2020"/>
    <s v="Order"/>
    <s v="BTX motherboard"/>
    <s v="MotherBoard"/>
    <x v="4"/>
    <n v="4500"/>
    <n v="5850"/>
    <n v="1"/>
    <n v="4500"/>
    <n v="5850"/>
    <s v="Aadil Khan"/>
    <n v="39780"/>
  </r>
  <r>
    <s v="140083"/>
    <x v="19"/>
    <s v="Shivanand Sahani"/>
    <s v="03/04/2020"/>
    <s v="Processing"/>
    <s v="24 Fans Cabinet"/>
    <s v="Cabinet"/>
    <x v="5"/>
    <n v="2100"/>
    <n v="2730"/>
    <n v="4"/>
    <n v="8400"/>
    <n v="10920"/>
    <s v="Advika Joshi"/>
    <n v="2990"/>
  </r>
  <r>
    <s v="140084"/>
    <x v="19"/>
    <s v="Kunal Patra"/>
    <s v="03/04/2020"/>
    <s v="Delivered"/>
    <s v="Wireless Keyboard"/>
    <s v="Keyboard"/>
    <x v="6"/>
    <n v="1150"/>
    <n v="1495"/>
    <n v="2"/>
    <n v="2300"/>
    <n v="2990"/>
    <s v="Ajay Sharma"/>
    <n v="3315"/>
  </r>
  <r>
    <s v="140085"/>
    <x v="19"/>
    <s v="Bijendra"/>
    <s v="03/04/2020"/>
    <s v="Shipped"/>
    <s v="USB Mouse"/>
    <s v="Mouse"/>
    <x v="0"/>
    <n v="350"/>
    <n v="455"/>
    <n v="2"/>
    <n v="700"/>
    <n v="910"/>
    <s v="Roshan Kumar"/>
    <n v="1690"/>
  </r>
  <r>
    <s v="140086"/>
    <x v="19"/>
    <s v="Kranti Bheke"/>
    <s v="03/04/2020"/>
    <s v="Order"/>
    <s v="19&quot; LED Display"/>
    <s v="Monitor"/>
    <x v="6"/>
    <n v="9500"/>
    <n v="12350"/>
    <n v="4"/>
    <n v="38000"/>
    <n v="49400"/>
    <s v="Aarvi Gupta"/>
    <n v="9750"/>
  </r>
  <r>
    <s v="140087"/>
    <x v="19"/>
    <s v="Jagdeep"/>
    <s v="03/04/2020"/>
    <s v="Processing"/>
    <s v="23 TB HDD"/>
    <s v="HDD"/>
    <x v="10"/>
    <n v="10000"/>
    <n v="13000"/>
    <n v="3"/>
    <n v="30000"/>
    <n v="39000"/>
    <s v="Vijay Singh"/>
    <n v="39000"/>
  </r>
  <r>
    <s v="140088"/>
    <x v="19"/>
    <s v="Adhir Samal"/>
    <s v="03/04/2020"/>
    <s v="Delivered"/>
    <s v="533 GB M.2"/>
    <s v="SSD"/>
    <x v="0"/>
    <n v="6500"/>
    <n v="8450"/>
    <n v="4"/>
    <n v="26000"/>
    <n v="33800"/>
    <s v="Aadil Khan"/>
    <n v="8450"/>
  </r>
  <r>
    <s v="140089"/>
    <x v="19"/>
    <s v="Dannana Jhammi"/>
    <s v="03/04/2020"/>
    <s v="Shipped"/>
    <s v="RYZEN 3rd gen. 3521"/>
    <s v="CPU"/>
    <x v="1"/>
    <n v="8500"/>
    <n v="11050"/>
    <n v="3"/>
    <n v="25500"/>
    <n v="33150"/>
    <s v="Advika Joshi"/>
    <n v="33150"/>
  </r>
  <r>
    <s v="140090"/>
    <x v="19"/>
    <s v="Vipin Kumar"/>
    <s v="03/04/2020"/>
    <s v="Order"/>
    <s v="2GB Graphic Card"/>
    <s v="Graphic Card"/>
    <x v="2"/>
    <n v="7000"/>
    <n v="9100"/>
    <n v="3"/>
    <n v="21000"/>
    <n v="27300"/>
    <s v="Ajay Sharma"/>
    <n v="18200"/>
  </r>
  <r>
    <s v="140091"/>
    <x v="19"/>
    <s v="Ranjeet Kumar"/>
    <s v="03/04/2020"/>
    <s v="Processing"/>
    <s v="37 GB DDR4 RAM"/>
    <s v="RAM"/>
    <x v="3"/>
    <n v="6550"/>
    <n v="8515"/>
    <n v="2"/>
    <n v="13100"/>
    <n v="17030"/>
    <s v="Roshan Kumar"/>
    <n v="25545"/>
  </r>
  <r>
    <s v="140092"/>
    <x v="19"/>
    <s v="Sajal Singhal"/>
    <s v="03/04/2020"/>
    <s v="Delivered"/>
    <s v="Standard ATX motherboard"/>
    <s v="MotherBoard"/>
    <x v="4"/>
    <n v="7650"/>
    <n v="9945"/>
    <n v="3"/>
    <n v="22950"/>
    <n v="29835"/>
    <s v="Aarvi Gupta"/>
    <n v="39780"/>
  </r>
  <r>
    <s v="140093"/>
    <x v="19"/>
    <s v="Akhilesh Kumar"/>
    <s v="03/04/2020"/>
    <s v="Shipped"/>
    <s v="Compact with 1 Fan"/>
    <s v="Cabinet"/>
    <x v="5"/>
    <n v="1150"/>
    <n v="1495"/>
    <n v="3"/>
    <n v="3450"/>
    <n v="4485"/>
    <s v="Vijay Singh"/>
    <n v="2990"/>
  </r>
  <r>
    <s v="140094"/>
    <x v="19"/>
    <s v="Suvankar Chakraborty"/>
    <s v="03/04/2020"/>
    <s v="Order"/>
    <s v="USB Backlight Keyboard"/>
    <s v="Keyboard"/>
    <x v="6"/>
    <n v="850"/>
    <n v="1105"/>
    <n v="3"/>
    <n v="2550"/>
    <n v="3315"/>
    <s v="Aadil Khan"/>
    <n v="3315"/>
  </r>
  <r>
    <s v="140095"/>
    <x v="19"/>
    <s v="Suvankar Adhikary"/>
    <s v="03/04/2020"/>
    <s v="Processing"/>
    <s v="Ergonomic Mouse"/>
    <s v="Mouse"/>
    <x v="0"/>
    <n v="650"/>
    <n v="845"/>
    <n v="3"/>
    <n v="1950"/>
    <n v="2535"/>
    <s v="Advika Joshi"/>
    <n v="1690"/>
  </r>
  <r>
    <s v="140096"/>
    <x v="19"/>
    <s v="Rahul Kumar Prajapati"/>
    <s v="03/04/2020"/>
    <s v="Delivered"/>
    <s v="15&quot; LCD Dsipaly"/>
    <s v="Monitor"/>
    <x v="6"/>
    <n v="7500"/>
    <n v="9750"/>
    <n v="3"/>
    <n v="22500"/>
    <n v="29250"/>
    <s v="Ajay Sharma"/>
    <n v="9750"/>
  </r>
  <r>
    <s v="140097"/>
    <x v="19"/>
    <s v="Sagar Jeur"/>
    <s v="03/04/2020"/>
    <s v="Shipped"/>
    <s v="23 TB HDD"/>
    <s v="HDD"/>
    <x v="7"/>
    <n v="10000"/>
    <n v="13000"/>
    <n v="4"/>
    <n v="40000"/>
    <n v="52000"/>
    <s v="Roshan Kumar"/>
    <n v="39000"/>
  </r>
  <r>
    <s v="140098"/>
    <x v="19"/>
    <s v="Rhushikesh Mane"/>
    <s v="03/04/2020"/>
    <s v="Order"/>
    <s v="22 TB SSD"/>
    <s v="SSD"/>
    <x v="0"/>
    <n v="10500"/>
    <n v="13650"/>
    <n v="3"/>
    <n v="31500"/>
    <n v="40950"/>
    <s v="Aarvi Gupta"/>
    <n v="8450"/>
  </r>
  <r>
    <s v="140099"/>
    <x v="19"/>
    <s v="Ashish Kumar"/>
    <s v="04/04/2020"/>
    <s v="Processing"/>
    <s v="Intel i5 12th gen."/>
    <s v="CPU"/>
    <x v="1"/>
    <n v="8500"/>
    <n v="11050"/>
    <n v="4"/>
    <n v="34000"/>
    <n v="44200"/>
    <s v="Vijay Singh"/>
    <n v="33150"/>
  </r>
  <r>
    <s v="140100"/>
    <x v="19"/>
    <s v="Javed Akhter"/>
    <s v="05/04/2020"/>
    <s v="Delivered"/>
    <s v="2GB Graphic Card"/>
    <s v="Graphic Card"/>
    <x v="2"/>
    <n v="7000"/>
    <n v="9100"/>
    <n v="2"/>
    <n v="14000"/>
    <n v="18200"/>
    <s v="Aadil Khan"/>
    <n v="18200"/>
  </r>
  <r>
    <s v="140101"/>
    <x v="19"/>
    <s v="Haridas Balraj"/>
    <s v="06/04/2020"/>
    <s v="Shipped"/>
    <s v="25 GB DDR4 Ram"/>
    <s v="RAM"/>
    <x v="3"/>
    <n v="1680"/>
    <n v="2184"/>
    <n v="2"/>
    <n v="3360"/>
    <n v="4368"/>
    <s v="Advika Joshi"/>
    <n v="25545"/>
  </r>
  <r>
    <s v="140102"/>
    <x v="19"/>
    <s v="Kundan Kumar"/>
    <s v="07/04/2020"/>
    <s v="Order"/>
    <s v="Micro ATX motherboard"/>
    <s v="MotherBoard"/>
    <x v="8"/>
    <n v="6540"/>
    <n v="8502"/>
    <n v="3"/>
    <n v="19620"/>
    <n v="25506"/>
    <s v="Ajay Sharma"/>
    <n v="39780"/>
  </r>
  <r>
    <s v="140103"/>
    <x v="19"/>
    <s v="Atif Siddiqui"/>
    <s v="08/04/2020"/>
    <s v="Processing"/>
    <s v="Gaming Box Cabinet"/>
    <s v="Cabinet"/>
    <x v="5"/>
    <n v="2680"/>
    <n v="3484"/>
    <n v="3"/>
    <n v="8040"/>
    <n v="10452"/>
    <s v="Roshan Kumar"/>
    <n v="2990"/>
  </r>
  <r>
    <s v="140104"/>
    <x v="19"/>
    <s v="Aditya Agarwal"/>
    <s v="09/04/2020"/>
    <s v="Delivered"/>
    <s v="17&quot; LCD Display"/>
    <s v="Monitor"/>
    <x v="0"/>
    <n v="8250"/>
    <n v="10725"/>
    <n v="1"/>
    <n v="8250"/>
    <n v="10725"/>
    <s v="Aarvi Gupta"/>
    <n v="9750"/>
  </r>
  <r>
    <s v="140105"/>
    <x v="19"/>
    <s v="Firdoush Jabee"/>
    <s v="10/04/2020"/>
    <s v="Shipped"/>
    <s v="29 GB DDR4 RAM"/>
    <s v="RAM"/>
    <x v="0"/>
    <n v="2650"/>
    <n v="3445"/>
    <n v="3"/>
    <n v="7950"/>
    <n v="10335"/>
    <s v="Vijay Singh"/>
    <n v="25545"/>
  </r>
  <r>
    <s v="140106"/>
    <x v="19"/>
    <s v="Jay Prakash Kumar"/>
    <s v="10/04/2020"/>
    <s v="Order"/>
    <s v="26&quot; LCD Display"/>
    <s v="Monitor"/>
    <x v="9"/>
    <n v="12550"/>
    <n v="16315"/>
    <n v="3"/>
    <n v="37650"/>
    <n v="48945"/>
    <s v="Aadil Khan"/>
    <n v="9750"/>
  </r>
  <r>
    <s v="140107"/>
    <x v="19"/>
    <s v="Ashish Pandey"/>
    <s v="10/04/2020"/>
    <s v="Processing"/>
    <s v="I7 - intel 12th Generation"/>
    <s v="CPU"/>
    <x v="1"/>
    <n v="14500"/>
    <n v="18850"/>
    <n v="4"/>
    <n v="58000"/>
    <n v="75400"/>
    <s v="Advika Joshi"/>
    <n v="33150"/>
  </r>
  <r>
    <s v="140108"/>
    <x v="19"/>
    <s v="Ajay Sharma"/>
    <s v="10/04/2020"/>
    <s v="Delivered"/>
    <s v="USB Keyboard"/>
    <s v="Keyboard"/>
    <x v="6"/>
    <n v="800"/>
    <n v="1040"/>
    <n v="3"/>
    <n v="2400"/>
    <n v="3120"/>
    <s v="Ajay Sharma"/>
    <n v="3315"/>
  </r>
  <r>
    <s v="140109"/>
    <x v="19"/>
    <s v="Moinuddin Saifi"/>
    <s v="10/04/2020"/>
    <s v="Shipped"/>
    <s v="Wireless Mouse"/>
    <s v="Mouse"/>
    <x v="0"/>
    <n v="600"/>
    <n v="780"/>
    <n v="3"/>
    <n v="1800"/>
    <n v="2340"/>
    <s v="Roshan Kumar"/>
    <n v="1690"/>
  </r>
  <r>
    <s v="140110"/>
    <x v="19"/>
    <s v="Ramkrishna Das Adhikary"/>
    <s v="10/04/2020"/>
    <s v="Order"/>
    <s v="21&quot; LCD Display"/>
    <s v="Monitor"/>
    <x v="6"/>
    <n v="10500"/>
    <n v="13650"/>
    <n v="4"/>
    <n v="42000"/>
    <n v="54600"/>
    <s v="Aarvi Gupta"/>
    <n v="9750"/>
  </r>
  <r>
    <s v="140111"/>
    <x v="19"/>
    <s v="Ranjeet Mandal"/>
    <s v="10/04/2020"/>
    <s v="Processing"/>
    <s v="23 TB HDD"/>
    <s v="HDD"/>
    <x v="10"/>
    <n v="6500"/>
    <n v="8450"/>
    <n v="1"/>
    <n v="6500"/>
    <n v="8450"/>
    <s v="Vijay Singh"/>
    <n v="39000"/>
  </r>
  <r>
    <s v="140112"/>
    <x v="19"/>
    <s v="Ashwini Adsare"/>
    <s v="10/04/2020"/>
    <s v="Delivered"/>
    <s v="278 GB SSD"/>
    <s v="SSD"/>
    <x v="0"/>
    <n v="4500"/>
    <n v="5850"/>
    <n v="2"/>
    <n v="9000"/>
    <n v="11700"/>
    <s v="Aadil Khan"/>
    <n v="8450"/>
  </r>
  <r>
    <s v="140113"/>
    <x v="19"/>
    <s v="Rajesh Variya"/>
    <s v="10/04/2020"/>
    <s v="Shipped"/>
    <s v="Intel i3 11th gen."/>
    <s v="CPU"/>
    <x v="1"/>
    <n v="8500"/>
    <n v="11050"/>
    <n v="3"/>
    <n v="25500"/>
    <n v="33150"/>
    <s v="Advika Joshi"/>
    <n v="33150"/>
  </r>
  <r>
    <s v="140114"/>
    <x v="19"/>
    <s v="Amit Singh"/>
    <s v="10/04/2020"/>
    <s v="Order"/>
    <s v="4GB Graphic card"/>
    <s v="Graphic Card"/>
    <x v="2"/>
    <n v="12500"/>
    <n v="16250"/>
    <n v="1"/>
    <n v="12500"/>
    <n v="16250"/>
    <s v="Ajay Sharma"/>
    <n v="18200"/>
  </r>
  <r>
    <s v="140115"/>
    <x v="19"/>
    <s v="Vinod Mehta"/>
    <s v="10/04/2020"/>
    <s v="Processing"/>
    <s v="30 GB DDR4 RAM"/>
    <s v="Computer Case"/>
    <x v="3"/>
    <n v="3500"/>
    <n v="4550"/>
    <n v="1"/>
    <n v="3500"/>
    <n v="4550"/>
    <s v="Roshan Kumar"/>
    <n v="13650"/>
  </r>
  <r>
    <s v="140116"/>
    <x v="19"/>
    <s v="Jignesh Mhatre"/>
    <s v="10/04/2020"/>
    <s v="Delivered"/>
    <s v="BTX motherboard"/>
    <s v="Mouse"/>
    <x v="4"/>
    <n v="4500"/>
    <n v="5850"/>
    <n v="2"/>
    <n v="9000"/>
    <n v="11700"/>
    <s v="Aarvi Gupta"/>
    <n v="1690"/>
  </r>
  <r>
    <s v="140117"/>
    <x v="19"/>
    <s v="Rahul Kashyap"/>
    <s v="10/04/2020"/>
    <s v="Shipped"/>
    <s v="25 Fans Cabinet"/>
    <s v="Cabinet"/>
    <x v="5"/>
    <n v="2100"/>
    <n v="2730"/>
    <n v="1"/>
    <n v="2100"/>
    <n v="2730"/>
    <s v="Vijay Singh"/>
    <n v="2990"/>
  </r>
  <r>
    <s v="140118"/>
    <x v="19"/>
    <s v="Mohammed Abdul Kaleem"/>
    <s v="10/04/2020"/>
    <s v="Order"/>
    <s v="Wireless Keyboard"/>
    <s v="Keyboard"/>
    <x v="6"/>
    <n v="1150"/>
    <n v="1495"/>
    <n v="4"/>
    <n v="4600"/>
    <n v="5980"/>
    <s v="Aadil Khan"/>
    <n v="3315"/>
  </r>
  <r>
    <s v="140119"/>
    <x v="19"/>
    <s v="Chandrakant Kasbe"/>
    <s v="10/04/2020"/>
    <s v="Processing"/>
    <s v="USB Mouse"/>
    <s v="Mouse"/>
    <x v="0"/>
    <n v="350"/>
    <n v="455"/>
    <n v="2"/>
    <n v="700"/>
    <n v="910"/>
    <s v="Advika Joshi"/>
    <n v="1690"/>
  </r>
  <r>
    <s v="140120"/>
    <x v="19"/>
    <s v="Rohan Kale"/>
    <s v="10/04/2020"/>
    <s v="Delivered"/>
    <s v="19&quot; LED Display"/>
    <s v="Monitor"/>
    <x v="6"/>
    <n v="9500"/>
    <n v="12350"/>
    <n v="4"/>
    <n v="38000"/>
    <n v="49400"/>
    <s v="Ajay Sharma"/>
    <n v="9750"/>
  </r>
  <r>
    <s v="140121"/>
    <x v="19"/>
    <s v="Aniruddha Kekapure"/>
    <s v="10/04/2020"/>
    <s v="Shipped"/>
    <s v="24 TB HDD"/>
    <s v="HDD"/>
    <x v="10"/>
    <n v="10000"/>
    <n v="13000"/>
    <n v="1"/>
    <n v="10000"/>
    <n v="13000"/>
    <s v="Roshan Kumar"/>
    <n v="39000"/>
  </r>
  <r>
    <s v="140122"/>
    <x v="19"/>
    <s v="Aslam Raza"/>
    <s v="10/04/2020"/>
    <s v="Order"/>
    <s v="534 GB M.2"/>
    <s v="SSD"/>
    <x v="0"/>
    <n v="6500"/>
    <n v="8450"/>
    <n v="4"/>
    <n v="26000"/>
    <n v="33800"/>
    <s v="Aarvi Gupta"/>
    <n v="8450"/>
  </r>
  <r>
    <s v="140123"/>
    <x v="19"/>
    <s v="Roshan Zameer"/>
    <s v="10/04/2020"/>
    <s v="Processing"/>
    <s v="RYZEN 3rd gen. 3522"/>
    <s v="CPU"/>
    <x v="1"/>
    <n v="8500"/>
    <n v="11050"/>
    <n v="4"/>
    <n v="34000"/>
    <n v="44200"/>
    <s v="Vijay Singh"/>
    <n v="33150"/>
  </r>
  <r>
    <s v="140124"/>
    <x v="19"/>
    <s v="Rakesh Kumar Sharma"/>
    <s v="10/04/2020"/>
    <s v="Delivered"/>
    <s v="2GB Graphic Card"/>
    <s v="Graphic Card"/>
    <x v="2"/>
    <n v="7000"/>
    <n v="9100"/>
    <n v="4"/>
    <n v="28000"/>
    <n v="36400"/>
    <s v="Aadil Khan"/>
    <n v="18200"/>
  </r>
  <r>
    <s v="140125"/>
    <x v="19"/>
    <s v="Shivanand Sahani"/>
    <s v="10/04/2020"/>
    <s v="Shipped"/>
    <s v="38 GB DDR4 RAM"/>
    <s v="Computer Case"/>
    <x v="3"/>
    <n v="6550"/>
    <n v="8515"/>
    <n v="1"/>
    <n v="6550"/>
    <n v="8515"/>
    <s v="Advika Joshi"/>
    <n v="13650"/>
  </r>
  <r>
    <s v="140126"/>
    <x v="19"/>
    <s v="Kunal Patra"/>
    <s v="10/04/2020"/>
    <s v="Order"/>
    <s v="Standard ATX motherboard"/>
    <s v="Mouse"/>
    <x v="4"/>
    <n v="7650"/>
    <n v="9945"/>
    <n v="1"/>
    <n v="7650"/>
    <n v="9945"/>
    <s v="Ajay Sharma"/>
    <n v="1690"/>
  </r>
  <r>
    <s v="140127"/>
    <x v="19"/>
    <s v="Bijendra"/>
    <s v="10/04/2020"/>
    <s v="Processing"/>
    <s v="Compact with 1 Fan"/>
    <s v="Cabinet"/>
    <x v="5"/>
    <n v="1150"/>
    <n v="1495"/>
    <n v="4"/>
    <n v="4600"/>
    <n v="5980"/>
    <s v="Roshan Kumar"/>
    <n v="2990"/>
  </r>
  <r>
    <s v="140128"/>
    <x v="19"/>
    <s v="Kranti Bheke"/>
    <s v="10/04/2020"/>
    <s v="Delivered"/>
    <s v="USB Backlight Keyboard"/>
    <s v="Keyboard"/>
    <x v="6"/>
    <n v="850"/>
    <n v="1105"/>
    <n v="3"/>
    <n v="2550"/>
    <n v="3315"/>
    <s v="Aarvi Gupta"/>
    <n v="3315"/>
  </r>
  <r>
    <s v="140129"/>
    <x v="19"/>
    <s v="Jagdeep"/>
    <s v="10/04/2020"/>
    <s v="Shipped"/>
    <s v="Ergonomic Mouse"/>
    <s v="Mouse"/>
    <x v="0"/>
    <n v="650"/>
    <n v="845"/>
    <n v="1"/>
    <n v="650"/>
    <n v="845"/>
    <s v="Vijay Singh"/>
    <n v="1690"/>
  </r>
  <r>
    <s v="140130"/>
    <x v="19"/>
    <s v="Adhir Samal"/>
    <s v="10/04/2020"/>
    <s v="Order"/>
    <s v="15&quot; LCD Dsipaly"/>
    <s v="Monitor"/>
    <x v="6"/>
    <n v="7500"/>
    <n v="9750"/>
    <n v="4"/>
    <n v="30000"/>
    <n v="39000"/>
    <s v="Aadil Khan"/>
    <n v="9750"/>
  </r>
  <r>
    <s v="140131"/>
    <x v="19"/>
    <s v="Dannana Jhammi"/>
    <s v="10/04/2020"/>
    <s v="Processing"/>
    <s v="24 TB HDD"/>
    <s v="HDD"/>
    <x v="7"/>
    <n v="10000"/>
    <n v="13000"/>
    <n v="3"/>
    <n v="30000"/>
    <n v="39000"/>
    <s v="Advika Joshi"/>
    <n v="39000"/>
  </r>
  <r>
    <s v="140132"/>
    <x v="19"/>
    <s v="Vipin Kumar"/>
    <s v="10/04/2020"/>
    <s v="Delivered"/>
    <s v="23 TB SSD"/>
    <s v="SSD"/>
    <x v="0"/>
    <n v="10500"/>
    <n v="13650"/>
    <n v="3"/>
    <n v="31500"/>
    <n v="40950"/>
    <s v="Ajay Sharma"/>
    <n v="8450"/>
  </r>
  <r>
    <s v="140133"/>
    <x v="19"/>
    <s v="Ranjeet Kumar"/>
    <s v="11/04/2020"/>
    <s v="Shipped"/>
    <s v="Intel i5 12th gen."/>
    <s v="CPU"/>
    <x v="1"/>
    <n v="8500"/>
    <n v="11050"/>
    <n v="1"/>
    <n v="8500"/>
    <n v="11050"/>
    <s v="Roshan Kumar"/>
    <n v="33150"/>
  </r>
  <r>
    <s v="140134"/>
    <x v="19"/>
    <s v="Sajal Singhal"/>
    <s v="12/04/2020"/>
    <s v="Order"/>
    <s v="2GB Graphic Card"/>
    <s v="Graphic Card"/>
    <x v="2"/>
    <n v="7000"/>
    <n v="9100"/>
    <n v="2"/>
    <n v="14000"/>
    <n v="18200"/>
    <s v="Aarvi Gupta"/>
    <n v="18200"/>
  </r>
  <r>
    <s v="140135"/>
    <x v="19"/>
    <s v="Akhilesh Kumar"/>
    <s v="13/04/2020"/>
    <s v="Processing"/>
    <s v="26 GB DDR4 Ram"/>
    <s v="Computer Case"/>
    <x v="3"/>
    <n v="1680"/>
    <n v="2184"/>
    <n v="4"/>
    <n v="6720"/>
    <n v="8736"/>
    <s v="Vijay Singh"/>
    <n v="13650"/>
  </r>
  <r>
    <s v="140136"/>
    <x v="19"/>
    <s v="Suvankar Chakraborty"/>
    <s v="14/04/2020"/>
    <s v="Delivered"/>
    <s v="Micro ATX motherboard"/>
    <s v="Mouse"/>
    <x v="8"/>
    <n v="6540"/>
    <n v="8502"/>
    <n v="3"/>
    <n v="19620"/>
    <n v="25506"/>
    <s v="Aadil Khan"/>
    <n v="1690"/>
  </r>
  <r>
    <s v="140137"/>
    <x v="19"/>
    <s v="Suvankar Adhikary"/>
    <s v="15/04/2020"/>
    <s v="Shipped"/>
    <s v="Gaming Box Cabinet"/>
    <s v="Cabinet"/>
    <x v="5"/>
    <n v="2680"/>
    <n v="3484"/>
    <n v="2"/>
    <n v="5360"/>
    <n v="6968"/>
    <s v="Advika Joshi"/>
    <n v="2990"/>
  </r>
  <r>
    <s v="140138"/>
    <x v="19"/>
    <s v="Rahul Kumar Prajapati"/>
    <s v="16/04/2020"/>
    <s v="Order"/>
    <s v="17&quot; LCD Display"/>
    <s v="Monitor"/>
    <x v="0"/>
    <n v="8250"/>
    <n v="10725"/>
    <n v="4"/>
    <n v="33000"/>
    <n v="42900"/>
    <s v="Ajay Sharma"/>
    <n v="9750"/>
  </r>
  <r>
    <s v="140139"/>
    <x v="19"/>
    <s v="Sagar Jeur"/>
    <s v="16/04/2020"/>
    <s v="Processing"/>
    <s v="30 GB DDR4 RAM"/>
    <s v="RAM"/>
    <x v="0"/>
    <n v="2650"/>
    <n v="3445"/>
    <n v="2"/>
    <n v="5300"/>
    <n v="6890"/>
    <s v="Roshan Kumar"/>
    <n v="25545"/>
  </r>
  <r>
    <s v="140140"/>
    <x v="19"/>
    <s v="Rhushikesh Mane"/>
    <s v="16/04/2020"/>
    <s v="Delivered"/>
    <s v="26&quot; LCD Display"/>
    <s v="Monitor"/>
    <x v="9"/>
    <n v="12550"/>
    <n v="16315"/>
    <n v="4"/>
    <n v="50200"/>
    <n v="65260"/>
    <s v="Aarvi Gupta"/>
    <n v="9750"/>
  </r>
  <r>
    <s v="140141"/>
    <x v="19"/>
    <s v="Ashish Kumar"/>
    <s v="16/04/2020"/>
    <s v="Shipped"/>
    <s v="I7 - intel 12th Generation"/>
    <s v="CPU"/>
    <x v="1"/>
    <n v="14500"/>
    <n v="18850"/>
    <n v="2"/>
    <n v="29000"/>
    <n v="37700"/>
    <s v="Vijay Singh"/>
    <n v="33150"/>
  </r>
  <r>
    <s v="140142"/>
    <x v="19"/>
    <s v="Javed Akhter"/>
    <s v="16/04/2020"/>
    <s v="Order"/>
    <s v="USB Keyboard"/>
    <s v="Keyboard"/>
    <x v="6"/>
    <n v="800"/>
    <n v="1040"/>
    <n v="1"/>
    <n v="800"/>
    <n v="1040"/>
    <s v="Aadil Khan"/>
    <n v="3315"/>
  </r>
  <r>
    <s v="140143"/>
    <x v="19"/>
    <s v="Haridas Balraj"/>
    <s v="16/04/2020"/>
    <s v="Processing"/>
    <s v="Wireless Mouse"/>
    <s v="Mouse"/>
    <x v="0"/>
    <n v="600"/>
    <n v="780"/>
    <n v="1"/>
    <n v="600"/>
    <n v="780"/>
    <s v="Advika Joshi"/>
    <n v="1690"/>
  </r>
  <r>
    <s v="140144"/>
    <x v="19"/>
    <s v="Kundan Kumar"/>
    <s v="16/04/2020"/>
    <s v="Delivered"/>
    <s v="21&quot; LCD Display"/>
    <s v="Monitor"/>
    <x v="6"/>
    <n v="10500"/>
    <n v="13650"/>
    <n v="1"/>
    <n v="10500"/>
    <n v="13650"/>
    <s v="Ajay Sharma"/>
    <n v="9750"/>
  </r>
  <r>
    <s v="140145"/>
    <x v="19"/>
    <s v="Atif Siddiqui"/>
    <s v="16/04/2020"/>
    <s v="Shipped"/>
    <s v="24 TB HDD"/>
    <s v="HDD"/>
    <x v="10"/>
    <n v="6500"/>
    <n v="8450"/>
    <n v="2"/>
    <n v="13000"/>
    <n v="16900"/>
    <s v="Ajay Sharma"/>
    <n v="39000"/>
  </r>
  <r>
    <s v="140146"/>
    <x v="19"/>
    <s v="Aditya Agarwal"/>
    <s v="16/04/2020"/>
    <s v="Order"/>
    <s v="279 GB SSD"/>
    <s v="SSD"/>
    <x v="0"/>
    <n v="4500"/>
    <n v="5850"/>
    <n v="4"/>
    <n v="18000"/>
    <n v="23400"/>
    <s v="Roshan Kumar"/>
    <n v="8450"/>
  </r>
  <r>
    <s v="140147"/>
    <x v="19"/>
    <s v="Firdoush Jabee"/>
    <s v="16/04/2020"/>
    <s v="Processing"/>
    <s v="Intel i3 11th gen."/>
    <s v="CPU"/>
    <x v="1"/>
    <n v="8500"/>
    <n v="11050"/>
    <n v="4"/>
    <n v="34000"/>
    <n v="44200"/>
    <s v="Aarvi Gupta"/>
    <n v="33150"/>
  </r>
  <r>
    <s v="140148"/>
    <x v="19"/>
    <s v="Jay Prakash Kumar"/>
    <s v="16/04/2020"/>
    <s v="Delivered"/>
    <s v="4GB Graphic card"/>
    <s v="Graphic Card"/>
    <x v="2"/>
    <n v="12500"/>
    <n v="16250"/>
    <n v="2"/>
    <n v="25000"/>
    <n v="32500"/>
    <s v="Vijay Singh"/>
    <n v="18200"/>
  </r>
  <r>
    <s v="140149"/>
    <x v="19"/>
    <s v="Ashish Pandey"/>
    <s v="16/04/2020"/>
    <s v="Shipped"/>
    <s v="31 GB DDR4 RAM"/>
    <s v="NIC"/>
    <x v="3"/>
    <n v="3500"/>
    <n v="4550"/>
    <n v="3"/>
    <n v="10500"/>
    <n v="13650"/>
    <s v="Aadil Khan"/>
    <n v="9100"/>
  </r>
  <r>
    <s v="140150"/>
    <x v="19"/>
    <s v="Ajay Sharma"/>
    <s v="16/04/2020"/>
    <s v="Order"/>
    <s v="BTX motherboard"/>
    <s v="Printer"/>
    <x v="4"/>
    <n v="4500"/>
    <n v="5850"/>
    <n v="2"/>
    <n v="9000"/>
    <n v="11700"/>
    <s v="Advika Joshi"/>
    <n v="11700"/>
  </r>
  <r>
    <s v="140151"/>
    <x v="19"/>
    <s v="Moinuddin Saifi"/>
    <s v="16/04/2020"/>
    <s v="Processing"/>
    <s v="26 Fans Cabinet"/>
    <s v="Cabinet"/>
    <x v="5"/>
    <n v="2100"/>
    <n v="2730"/>
    <n v="2"/>
    <n v="4200"/>
    <n v="5460"/>
    <s v="Ajay Sharma"/>
    <n v="2990"/>
  </r>
  <r>
    <s v="140152"/>
    <x v="19"/>
    <s v="Ramkrishna Das Adhikary"/>
    <s v="16/04/2020"/>
    <s v="Delivered"/>
    <s v="Wireless Keyboard"/>
    <s v="Keyboard"/>
    <x v="6"/>
    <n v="1150"/>
    <n v="1495"/>
    <n v="1"/>
    <n v="1150"/>
    <n v="1495"/>
    <s v="Roshan Kumar"/>
    <n v="3315"/>
  </r>
  <r>
    <s v="140153"/>
    <x v="19"/>
    <s v="Ranjeet Mandal"/>
    <s v="16/04/2020"/>
    <s v="Shipped"/>
    <s v="USB Mouse"/>
    <s v="Mouse"/>
    <x v="0"/>
    <n v="350"/>
    <n v="455"/>
    <n v="4"/>
    <n v="1400"/>
    <n v="1820"/>
    <s v="Aarvi Gupta"/>
    <n v="1690"/>
  </r>
  <r>
    <s v="140154"/>
    <x v="19"/>
    <s v="Ashwini Adsare"/>
    <s v="16/04/2020"/>
    <s v="Order"/>
    <s v="19&quot; LED Display"/>
    <s v="Monitor"/>
    <x v="6"/>
    <n v="9500"/>
    <n v="12350"/>
    <n v="2"/>
    <n v="19000"/>
    <n v="24700"/>
    <s v="Vijay Singh"/>
    <n v="9750"/>
  </r>
  <r>
    <s v="140155"/>
    <x v="19"/>
    <s v="Rajesh Variya"/>
    <s v="16/04/2020"/>
    <s v="Processing"/>
    <s v="25 TB HDD"/>
    <s v="HDD"/>
    <x v="10"/>
    <n v="10000"/>
    <n v="13000"/>
    <n v="3"/>
    <n v="30000"/>
    <n v="39000"/>
    <s v="Aadil Khan"/>
    <n v="39000"/>
  </r>
  <r>
    <s v="140156"/>
    <x v="19"/>
    <s v="Amit Singh"/>
    <s v="16/04/2020"/>
    <s v="Delivered"/>
    <s v="535 GB M.2"/>
    <s v="SSD"/>
    <x v="0"/>
    <n v="6500"/>
    <n v="8450"/>
    <n v="4"/>
    <n v="26000"/>
    <n v="33800"/>
    <s v="Advika Joshi"/>
    <n v="8450"/>
  </r>
  <r>
    <s v="140157"/>
    <x v="19"/>
    <s v="Vinod Mehta"/>
    <s v="16/04/2020"/>
    <s v="Shipped"/>
    <s v="RYZEN 3rd gen. 3523"/>
    <s v="CPU"/>
    <x v="1"/>
    <n v="8500"/>
    <n v="11050"/>
    <n v="3"/>
    <n v="25500"/>
    <n v="33150"/>
    <s v="Ajay Sharma"/>
    <n v="33150"/>
  </r>
  <r>
    <s v="140158"/>
    <x v="19"/>
    <s v="Jignesh Mhatre"/>
    <s v="16/04/2020"/>
    <s v="Order"/>
    <s v="2GB Graphic Card"/>
    <s v="Graphic Card"/>
    <x v="2"/>
    <n v="7000"/>
    <n v="9100"/>
    <n v="1"/>
    <n v="7000"/>
    <n v="9100"/>
    <s v="Roshan Kumar"/>
    <n v="18200"/>
  </r>
  <r>
    <s v="140159"/>
    <x v="19"/>
    <s v="Rahul Kashyap"/>
    <s v="16/04/2020"/>
    <s v="Processing"/>
    <s v="39 GB DDR4 RAM"/>
    <s v="NIC"/>
    <x v="3"/>
    <n v="6550"/>
    <n v="8515"/>
    <n v="1"/>
    <n v="6550"/>
    <n v="8515"/>
    <s v="Aarvi Gupta"/>
    <n v="9100"/>
  </r>
  <r>
    <s v="140160"/>
    <x v="19"/>
    <s v="Mohammed Abdul Kaleem"/>
    <s v="16/04/2020"/>
    <s v="Delivered"/>
    <s v="Standard ATX motherboard"/>
    <s v="Printer"/>
    <x v="4"/>
    <n v="7650"/>
    <n v="9945"/>
    <n v="4"/>
    <n v="30600"/>
    <n v="39780"/>
    <s v="Vijay Singh"/>
    <n v="11700"/>
  </r>
  <r>
    <s v="140161"/>
    <x v="19"/>
    <s v="Chandrakant Kasbe"/>
    <s v="16/04/2020"/>
    <s v="Shipped"/>
    <s v="Compact with 1 Fan"/>
    <s v="Cabinet"/>
    <x v="5"/>
    <n v="1150"/>
    <n v="1495"/>
    <n v="4"/>
    <n v="4600"/>
    <n v="5980"/>
    <s v="Aadil Khan"/>
    <n v="2990"/>
  </r>
  <r>
    <s v="140162"/>
    <x v="19"/>
    <s v="Rohan Kale"/>
    <s v="16/04/2020"/>
    <s v="Order"/>
    <s v="USB Backlight Keyboard"/>
    <s v="Keyboard"/>
    <x v="6"/>
    <n v="850"/>
    <n v="1105"/>
    <n v="4"/>
    <n v="3400"/>
    <n v="4420"/>
    <s v="Advika Joshi"/>
    <n v="3315"/>
  </r>
  <r>
    <s v="140163"/>
    <x v="19"/>
    <s v="Aniruddha Kekapure"/>
    <s v="16/04/2020"/>
    <s v="Processing"/>
    <s v="Ergonomic Mouse"/>
    <s v="Mouse"/>
    <x v="0"/>
    <n v="650"/>
    <n v="845"/>
    <n v="3"/>
    <n v="1950"/>
    <n v="2535"/>
    <s v="Ajay Sharma"/>
    <n v="1690"/>
  </r>
  <r>
    <s v="140164"/>
    <x v="19"/>
    <s v="Aslam Raza"/>
    <s v="16/04/2020"/>
    <s v="Delivered"/>
    <s v="15&quot; LCD Dsipaly"/>
    <s v="Monitor"/>
    <x v="6"/>
    <n v="7500"/>
    <n v="9750"/>
    <n v="4"/>
    <n v="30000"/>
    <n v="39000"/>
    <s v="Roshan Kumar"/>
    <n v="9750"/>
  </r>
  <r>
    <s v="140165"/>
    <x v="19"/>
    <s v="Roshan Zameer"/>
    <s v="16/04/2020"/>
    <s v="Shipped"/>
    <s v="25 TB HDD"/>
    <s v="HDD"/>
    <x v="7"/>
    <n v="10000"/>
    <n v="13000"/>
    <n v="3"/>
    <n v="30000"/>
    <n v="39000"/>
    <s v="Aarvi Gupta"/>
    <n v="39000"/>
  </r>
  <r>
    <s v="140166"/>
    <x v="19"/>
    <s v="Rakesh Kumar Sharma"/>
    <s v="16/04/2020"/>
    <s v="Order"/>
    <s v="24 TB SSD"/>
    <s v="SSD"/>
    <x v="0"/>
    <n v="10500"/>
    <n v="13650"/>
    <n v="2"/>
    <n v="21000"/>
    <n v="27300"/>
    <s v="Vijay Singh"/>
    <n v="8450"/>
  </r>
  <r>
    <s v="140167"/>
    <x v="19"/>
    <s v="Shivanand Sahani"/>
    <s v="16/04/2020"/>
    <s v="Processing"/>
    <s v="Intel i5 12th gen."/>
    <s v="CPU"/>
    <x v="1"/>
    <n v="8500"/>
    <n v="11050"/>
    <n v="1"/>
    <n v="8500"/>
    <n v="11050"/>
    <s v="Aadil Khan"/>
    <n v="33150"/>
  </r>
  <r>
    <s v="140168"/>
    <x v="19"/>
    <s v="Kunal Patra"/>
    <s v="16/04/2020"/>
    <s v="Delivered"/>
    <s v="2GB Graphic Card"/>
    <s v="Graphic Card"/>
    <x v="2"/>
    <n v="7000"/>
    <n v="9100"/>
    <n v="1"/>
    <n v="7000"/>
    <n v="9100"/>
    <s v="Advika Joshi"/>
    <n v="18200"/>
  </r>
  <r>
    <s v="140169"/>
    <x v="19"/>
    <s v="Bijendra"/>
    <s v="16/04/2020"/>
    <s v="Shipped"/>
    <s v="27 GB DDR4 Ram"/>
    <s v="NIC"/>
    <x v="3"/>
    <n v="1680"/>
    <n v="2184"/>
    <n v="4"/>
    <n v="6720"/>
    <n v="8736"/>
    <s v="Ajay Sharma"/>
    <n v="9100"/>
  </r>
  <r>
    <s v="140170"/>
    <x v="19"/>
    <s v="Kranti Bheke"/>
    <s v="16/04/2020"/>
    <s v="Order"/>
    <s v="Micro ATX motherboard"/>
    <s v="Printer"/>
    <x v="8"/>
    <n v="6540"/>
    <n v="8502"/>
    <n v="3"/>
    <n v="19620"/>
    <n v="25506"/>
    <s v="Roshan Kumar"/>
    <n v="11700"/>
  </r>
  <r>
    <s v="140171"/>
    <x v="19"/>
    <s v="Jagdeep"/>
    <s v="16/04/2020"/>
    <s v="Processing"/>
    <s v="Gaming Box Cabinet"/>
    <s v="Cabinet"/>
    <x v="5"/>
    <n v="2680"/>
    <n v="3484"/>
    <n v="1"/>
    <n v="2680"/>
    <n v="3484"/>
    <s v="Aarvi Gupta"/>
    <n v="2990"/>
  </r>
  <r>
    <s v="140172"/>
    <x v="19"/>
    <s v="Adhir Samal"/>
    <s v="16/04/2020"/>
    <s v="Delivered"/>
    <s v="17&quot; LCD Display"/>
    <s v="Monitor"/>
    <x v="0"/>
    <n v="8250"/>
    <n v="10725"/>
    <n v="3"/>
    <n v="24750"/>
    <n v="32175"/>
    <s v="Vijay Singh"/>
    <n v="9750"/>
  </r>
  <r>
    <s v="140173"/>
    <x v="19"/>
    <s v="Dannana Jhammi"/>
    <s v="16/04/2020"/>
    <s v="Shipped"/>
    <s v="31 GB DDR4 RAM"/>
    <s v="RAM"/>
    <x v="0"/>
    <n v="2650"/>
    <n v="3445"/>
    <n v="2"/>
    <n v="5300"/>
    <n v="6890"/>
    <s v="Aadil Khan"/>
    <n v="25545"/>
  </r>
  <r>
    <s v="140174"/>
    <x v="19"/>
    <s v="Vipin Kumar"/>
    <s v="16/04/2020"/>
    <s v="Order"/>
    <s v="26&quot; LCD Display"/>
    <s v="Monitor"/>
    <x v="9"/>
    <n v="12550"/>
    <n v="16315"/>
    <n v="4"/>
    <n v="50200"/>
    <n v="65260"/>
    <s v="Advika Joshi"/>
    <n v="9750"/>
  </r>
  <r>
    <s v="140175"/>
    <x v="19"/>
    <s v="Ranjeet Kumar"/>
    <s v="16/04/2020"/>
    <s v="Processing"/>
    <s v="I7 - intel 12th Generation"/>
    <s v="CPU"/>
    <x v="1"/>
    <n v="14500"/>
    <n v="18850"/>
    <n v="3"/>
    <n v="43500"/>
    <n v="56550"/>
    <s v="Ajay Sharma"/>
    <n v="33150"/>
  </r>
  <r>
    <s v="140176"/>
    <x v="19"/>
    <s v="Sajal Singhal"/>
    <s v="16/04/2020"/>
    <s v="Delivered"/>
    <s v="USB Keyboard"/>
    <s v="Keyboard"/>
    <x v="6"/>
    <n v="800"/>
    <n v="1040"/>
    <n v="1"/>
    <n v="800"/>
    <n v="1040"/>
    <s v="Roshan Kumar"/>
    <n v="3315"/>
  </r>
  <r>
    <s v="140177"/>
    <x v="19"/>
    <s v="Akhilesh Kumar"/>
    <s v="16/04/2020"/>
    <s v="Shipped"/>
    <s v="Wireless Mouse"/>
    <s v="Mouse"/>
    <x v="0"/>
    <n v="600"/>
    <n v="780"/>
    <n v="2"/>
    <n v="1200"/>
    <n v="1560"/>
    <s v="Aarvi Gupta"/>
    <n v="1690"/>
  </r>
  <r>
    <s v="140178"/>
    <x v="19"/>
    <s v="Suvankar Chakraborty"/>
    <s v="16/04/2020"/>
    <s v="Order"/>
    <s v="21&quot; LCD Display"/>
    <s v="Monitor"/>
    <x v="6"/>
    <n v="10500"/>
    <n v="13650"/>
    <n v="4"/>
    <n v="42000"/>
    <n v="54600"/>
    <s v="Vijay Singh"/>
    <n v="9750"/>
  </r>
  <r>
    <s v="140179"/>
    <x v="19"/>
    <s v="Suvankar Adhikary"/>
    <s v="16/04/2020"/>
    <s v="Processing"/>
    <s v="25 TB HDD"/>
    <s v="HDD"/>
    <x v="10"/>
    <n v="6500"/>
    <n v="8450"/>
    <n v="2"/>
    <n v="13000"/>
    <n v="16900"/>
    <s v="Aadil Khan"/>
    <n v="39000"/>
  </r>
  <r>
    <s v="140180"/>
    <x v="19"/>
    <s v="Rahul Kumar Prajapati"/>
    <s v="16/04/2020"/>
    <s v="Delivered"/>
    <s v="280 GB SSD"/>
    <s v="SSD"/>
    <x v="0"/>
    <n v="4500"/>
    <n v="5850"/>
    <n v="2"/>
    <n v="9000"/>
    <n v="11700"/>
    <s v="Advika Joshi"/>
    <n v="8450"/>
  </r>
  <r>
    <s v="140181"/>
    <x v="19"/>
    <s v="Sagar Jeur"/>
    <s v="16/04/2020"/>
    <s v="Shipped"/>
    <s v="Intel i3 11th gen."/>
    <s v="CPU"/>
    <x v="1"/>
    <n v="8500"/>
    <n v="11050"/>
    <n v="3"/>
    <n v="25500"/>
    <n v="33150"/>
    <s v="Ajay Sharma"/>
    <n v="33150"/>
  </r>
  <r>
    <s v="140182"/>
    <x v="19"/>
    <s v="Rhushikesh Mane"/>
    <s v="16/04/2020"/>
    <s v="Order"/>
    <s v="4GB Graphic card"/>
    <s v="Graphic Card"/>
    <x v="2"/>
    <n v="12500"/>
    <n v="16250"/>
    <n v="2"/>
    <n v="25000"/>
    <n v="32500"/>
    <s v="Roshan Kumar"/>
    <n v="18200"/>
  </r>
  <r>
    <s v="140183"/>
    <x v="19"/>
    <s v="Ashish Kumar"/>
    <s v="16/04/2020"/>
    <s v="Processing"/>
    <s v="32 GB DDR4 RAM"/>
    <s v="RAM"/>
    <x v="3"/>
    <n v="3500"/>
    <n v="4550"/>
    <n v="3"/>
    <n v="10500"/>
    <n v="13650"/>
    <s v="Aarvi Gupta"/>
    <n v="25545"/>
  </r>
  <r>
    <s v="140184"/>
    <x v="19"/>
    <s v="Javed Akhter"/>
    <s v="16/04/2020"/>
    <s v="Delivered"/>
    <s v="BTX motherboard"/>
    <s v="MotherBoard"/>
    <x v="4"/>
    <n v="4500"/>
    <n v="5850"/>
    <n v="2"/>
    <n v="9000"/>
    <n v="11700"/>
    <s v="Vijay Singh"/>
    <n v="39780"/>
  </r>
  <r>
    <s v="140185"/>
    <x v="19"/>
    <s v="Haridas Balraj"/>
    <s v="16/04/2020"/>
    <s v="Shipped"/>
    <s v="27 Fans Cabinet"/>
    <s v="Cabinet"/>
    <x v="5"/>
    <n v="2100"/>
    <n v="2730"/>
    <n v="3"/>
    <n v="6300"/>
    <n v="8190"/>
    <s v="Aadil Khan"/>
    <n v="2990"/>
  </r>
  <r>
    <s v="140186"/>
    <x v="19"/>
    <s v="Kundan Kumar"/>
    <s v="16/04/2020"/>
    <s v="Order"/>
    <s v="Wireless Keyboard"/>
    <s v="Keyboard"/>
    <x v="6"/>
    <n v="1150"/>
    <n v="1495"/>
    <n v="2"/>
    <n v="2300"/>
    <n v="2990"/>
    <s v="Advika Joshi"/>
    <n v="3315"/>
  </r>
  <r>
    <s v="140187"/>
    <x v="19"/>
    <s v="Atif Siddiqui"/>
    <s v="17/04/2020"/>
    <s v="Processing"/>
    <s v="USB Mouse"/>
    <s v="Mouse"/>
    <x v="0"/>
    <n v="350"/>
    <n v="455"/>
    <n v="4"/>
    <n v="1400"/>
    <n v="1820"/>
    <s v="Ajay Sharma"/>
    <n v="1690"/>
  </r>
  <r>
    <s v="140188"/>
    <x v="19"/>
    <s v="Aditya Agarwal"/>
    <s v="17/04/2020"/>
    <s v="Delivered"/>
    <s v="19&quot; LED Display"/>
    <s v="Monitor"/>
    <x v="6"/>
    <n v="9500"/>
    <n v="12350"/>
    <n v="1"/>
    <n v="9500"/>
    <n v="12350"/>
    <s v="Roshan Kumar"/>
    <n v="9750"/>
  </r>
  <r>
    <s v="140189"/>
    <x v="19"/>
    <s v="Firdoush Jabee"/>
    <s v="17/04/2020"/>
    <s v="Shipped"/>
    <s v="26 TB HDD"/>
    <s v="HDD"/>
    <x v="10"/>
    <n v="10000"/>
    <n v="13000"/>
    <n v="3"/>
    <n v="30000"/>
    <n v="39000"/>
    <s v="Aarvi Gupta"/>
    <n v="39000"/>
  </r>
  <r>
    <s v="140190"/>
    <x v="19"/>
    <s v="Jay Prakash Kumar"/>
    <s v="17/04/2020"/>
    <s v="Order"/>
    <s v="536 GB M.2"/>
    <s v="SSD"/>
    <x v="0"/>
    <n v="6500"/>
    <n v="8450"/>
    <n v="1"/>
    <n v="6500"/>
    <n v="8450"/>
    <s v="Vijay Singh"/>
    <n v="8450"/>
  </r>
  <r>
    <s v="140191"/>
    <x v="19"/>
    <s v="Ashish Pandey"/>
    <s v="17/04/2020"/>
    <s v="Processing"/>
    <s v="RYZEN 3rd gen. 3524"/>
    <s v="CPU"/>
    <x v="1"/>
    <n v="8500"/>
    <n v="11050"/>
    <n v="3"/>
    <n v="25500"/>
    <n v="33150"/>
    <s v="Aadil Khan"/>
    <n v="33150"/>
  </r>
  <r>
    <s v="140192"/>
    <x v="19"/>
    <s v="Ajay Sharma"/>
    <s v="17/04/2020"/>
    <s v="Delivered"/>
    <s v="2GB Graphic Card"/>
    <s v="Graphic Card"/>
    <x v="2"/>
    <n v="7000"/>
    <n v="9100"/>
    <n v="3"/>
    <n v="21000"/>
    <n v="27300"/>
    <s v="Advika Joshi"/>
    <n v="18200"/>
  </r>
  <r>
    <s v="140193"/>
    <x v="19"/>
    <s v="Moinuddin Saifi"/>
    <s v="17/04/2020"/>
    <s v="Shipped"/>
    <s v="40 GB DDR4 RAM"/>
    <s v="RAM"/>
    <x v="3"/>
    <n v="6550"/>
    <n v="8515"/>
    <n v="1"/>
    <n v="6550"/>
    <n v="8515"/>
    <s v="Ajay Sharma"/>
    <n v="25545"/>
  </r>
  <r>
    <s v="140194"/>
    <x v="19"/>
    <s v="Ramkrishna Das Adhikary"/>
    <s v="17/04/2020"/>
    <s v="Order"/>
    <s v="Standard ATX motherboard"/>
    <s v="MotherBoard"/>
    <x v="4"/>
    <n v="7650"/>
    <n v="9945"/>
    <n v="3"/>
    <n v="22950"/>
    <n v="29835"/>
    <s v="Roshan Kumar"/>
    <n v="39780"/>
  </r>
  <r>
    <s v="140195"/>
    <x v="19"/>
    <s v="Ranjeet Mandal"/>
    <s v="17/04/2020"/>
    <s v="Processing"/>
    <s v="Compact with 1 Fan"/>
    <s v="Cabinet"/>
    <x v="5"/>
    <n v="1150"/>
    <n v="1495"/>
    <n v="1"/>
    <n v="1150"/>
    <n v="1495"/>
    <s v="Aarvi Gupta"/>
    <n v="2990"/>
  </r>
  <r>
    <s v="140196"/>
    <x v="19"/>
    <s v="Ashwini Adsare"/>
    <s v="17/04/2020"/>
    <s v="Delivered"/>
    <s v="USB Backlight Keyboard"/>
    <s v="Keyboard"/>
    <x v="6"/>
    <n v="850"/>
    <n v="1105"/>
    <n v="4"/>
    <n v="3400"/>
    <n v="4420"/>
    <s v="Vijay Singh"/>
    <n v="3315"/>
  </r>
  <r>
    <s v="140197"/>
    <x v="19"/>
    <s v="Rajesh Variya"/>
    <s v="17/04/2020"/>
    <s v="Shipped"/>
    <s v="Ergonomic Mouse"/>
    <s v="Mouse"/>
    <x v="0"/>
    <n v="650"/>
    <n v="845"/>
    <n v="4"/>
    <n v="2600"/>
    <n v="3380"/>
    <s v="Aadil Khan"/>
    <n v="1690"/>
  </r>
  <r>
    <s v="140198"/>
    <x v="19"/>
    <s v="Amit Singh"/>
    <s v="18/04/2020"/>
    <s v="Order"/>
    <s v="15&quot; LCD Dsipaly"/>
    <s v="Monitor"/>
    <x v="6"/>
    <n v="7500"/>
    <n v="9750"/>
    <n v="4"/>
    <n v="30000"/>
    <n v="39000"/>
    <s v="Advika Joshi"/>
    <n v="9750"/>
  </r>
  <r>
    <s v="140199"/>
    <x v="19"/>
    <s v="Vinod Mehta"/>
    <s v="18/04/2020"/>
    <s v="Processing"/>
    <s v="26 TB HDD"/>
    <s v="HDD"/>
    <x v="7"/>
    <n v="10000"/>
    <n v="13000"/>
    <n v="3"/>
    <n v="30000"/>
    <n v="39000"/>
    <s v="Ajay Sharma"/>
    <n v="39000"/>
  </r>
  <r>
    <s v="140200"/>
    <x v="19"/>
    <s v="Jignesh Mhatre"/>
    <s v="18/04/2020"/>
    <s v="Delivered"/>
    <s v="25 TB SSD"/>
    <s v="SSD"/>
    <x v="0"/>
    <n v="10500"/>
    <n v="13650"/>
    <n v="3"/>
    <n v="31500"/>
    <n v="40950"/>
    <s v="Roshan Kumar"/>
    <n v="8450"/>
  </r>
  <r>
    <s v="140201"/>
    <x v="19"/>
    <s v="Rahul Kashyap"/>
    <s v="18/04/2020"/>
    <s v="Shipped"/>
    <s v="Intel i5 12th gen."/>
    <s v="CPU"/>
    <x v="1"/>
    <n v="8500"/>
    <n v="11050"/>
    <n v="1"/>
    <n v="8500"/>
    <n v="11050"/>
    <s v="Aarvi Gupta"/>
    <n v="33150"/>
  </r>
  <r>
    <s v="140202"/>
    <x v="19"/>
    <s v="Mohammed Abdul Kaleem"/>
    <s v="18/04/2020"/>
    <s v="Order"/>
    <s v="2GB Graphic Card"/>
    <s v="Graphic Card"/>
    <x v="2"/>
    <n v="7000"/>
    <n v="9100"/>
    <n v="3"/>
    <n v="21000"/>
    <n v="27300"/>
    <s v="Vijay Singh"/>
    <n v="18200"/>
  </r>
  <r>
    <s v="140203"/>
    <x v="19"/>
    <s v="Chandrakant Kasbe"/>
    <s v="18/04/2020"/>
    <s v="Processing"/>
    <s v="28 GB DDR4 Ram"/>
    <s v="RAM"/>
    <x v="3"/>
    <n v="1680"/>
    <n v="2184"/>
    <n v="2"/>
    <n v="3360"/>
    <n v="4368"/>
    <s v="Aadil Khan"/>
    <n v="25545"/>
  </r>
  <r>
    <s v="140204"/>
    <x v="19"/>
    <s v="Rohan Kale"/>
    <s v="18/04/2020"/>
    <s v="Delivered"/>
    <s v="Micro ATX motherboard"/>
    <s v="MotherBoard"/>
    <x v="8"/>
    <n v="6540"/>
    <n v="8502"/>
    <n v="3"/>
    <n v="19620"/>
    <n v="25506"/>
    <s v="Advika Joshi"/>
    <n v="39780"/>
  </r>
  <r>
    <s v="140205"/>
    <x v="19"/>
    <s v="Aniruddha Kekapure"/>
    <s v="18/04/2020"/>
    <s v="Shipped"/>
    <s v="Gaming Box Cabinet"/>
    <s v="Cabinet"/>
    <x v="5"/>
    <n v="2680"/>
    <n v="3484"/>
    <n v="2"/>
    <n v="5360"/>
    <n v="6968"/>
    <s v="Ajay Sharma"/>
    <n v="2990"/>
  </r>
  <r>
    <s v="140206"/>
    <x v="19"/>
    <s v="Aslam Raza"/>
    <s v="18/04/2020"/>
    <s v="Order"/>
    <s v="17&quot; LCD Display"/>
    <s v="Monitor"/>
    <x v="0"/>
    <n v="8250"/>
    <n v="10725"/>
    <n v="4"/>
    <n v="33000"/>
    <n v="42900"/>
    <s v="Roshan Kumar"/>
    <n v="9750"/>
  </r>
  <r>
    <s v="140207"/>
    <x v="19"/>
    <s v="Roshan Zameer"/>
    <s v="18/04/2020"/>
    <s v="Processing"/>
    <s v="32 GB DDR4 RAM"/>
    <s v="RAM"/>
    <x v="0"/>
    <n v="2650"/>
    <n v="3445"/>
    <n v="1"/>
    <n v="2650"/>
    <n v="3445"/>
    <s v="Aarvi Gupta"/>
    <n v="25545"/>
  </r>
  <r>
    <s v="140208"/>
    <x v="19"/>
    <s v="Rakesh Kumar Sharma"/>
    <s v="18/04/2020"/>
    <s v="Delivered"/>
    <s v="26&quot; LCD Display"/>
    <s v="Monitor"/>
    <x v="9"/>
    <n v="12550"/>
    <n v="16315"/>
    <n v="3"/>
    <n v="37650"/>
    <n v="48945"/>
    <s v="Vijay Singh"/>
    <n v="9750"/>
  </r>
  <r>
    <s v="140209"/>
    <x v="19"/>
    <s v="Shivanand Sahani"/>
    <s v="18/04/2020"/>
    <s v="Shipped"/>
    <s v="I7 - intel 12th Generation"/>
    <s v="CPU"/>
    <x v="1"/>
    <n v="14500"/>
    <n v="18850"/>
    <n v="3"/>
    <n v="43500"/>
    <n v="56550"/>
    <s v="Aadil Khan"/>
    <n v="33150"/>
  </r>
  <r>
    <s v="140210"/>
    <x v="19"/>
    <s v="Kunal Patra"/>
    <s v="18/04/2020"/>
    <s v="Order"/>
    <s v="USB Keyboard"/>
    <s v="Keyboard"/>
    <x v="6"/>
    <n v="800"/>
    <n v="1040"/>
    <n v="3"/>
    <n v="2400"/>
    <n v="3120"/>
    <s v="Advika Joshi"/>
    <n v="3315"/>
  </r>
  <r>
    <s v="140211"/>
    <x v="19"/>
    <s v="Bijendra"/>
    <s v="18/04/2020"/>
    <s v="Processing"/>
    <s v="Wireless Mouse"/>
    <s v="Mouse"/>
    <x v="0"/>
    <n v="600"/>
    <n v="780"/>
    <n v="4"/>
    <n v="2400"/>
    <n v="3120"/>
    <s v="Ajay Sharma"/>
    <n v="1690"/>
  </r>
  <r>
    <s v="140212"/>
    <x v="19"/>
    <s v="Kranti Bheke"/>
    <s v="18/04/2020"/>
    <s v="Delivered"/>
    <s v="21&quot; LCD Display"/>
    <s v="Monitor"/>
    <x v="6"/>
    <n v="10500"/>
    <n v="13650"/>
    <n v="3"/>
    <n v="31500"/>
    <n v="40950"/>
    <s v="Roshan Kumar"/>
    <n v="9750"/>
  </r>
  <r>
    <s v="140213"/>
    <x v="19"/>
    <s v="Jagdeep"/>
    <s v="18/04/2020"/>
    <s v="Shipped"/>
    <s v="26 TB HDD"/>
    <s v="HDD"/>
    <x v="10"/>
    <n v="6500"/>
    <n v="8450"/>
    <n v="3"/>
    <n v="19500"/>
    <n v="25350"/>
    <s v="Aarvi Gupta"/>
    <n v="39000"/>
  </r>
  <r>
    <s v="140214"/>
    <x v="19"/>
    <s v="Adhir Samal"/>
    <s v="18/04/2020"/>
    <s v="Order"/>
    <s v="281 GB SSD"/>
    <s v="SSD"/>
    <x v="0"/>
    <n v="4500"/>
    <n v="5850"/>
    <n v="4"/>
    <n v="18000"/>
    <n v="23400"/>
    <s v="Vijay Singh"/>
    <n v="8450"/>
  </r>
  <r>
    <s v="140215"/>
    <x v="19"/>
    <s v="Dannana Jhammi"/>
    <s v="18/04/2020"/>
    <s v="Processing"/>
    <s v="Intel i3 11th gen."/>
    <s v="CPU"/>
    <x v="1"/>
    <n v="8500"/>
    <n v="11050"/>
    <n v="1"/>
    <n v="8500"/>
    <n v="11050"/>
    <s v="Aadil Khan"/>
    <n v="33150"/>
  </r>
  <r>
    <s v="140216"/>
    <x v="19"/>
    <s v="Vipin Kumar"/>
    <s v="18/04/2020"/>
    <s v="Delivered"/>
    <s v="4GB Graphic card"/>
    <s v="Graphic Card"/>
    <x v="2"/>
    <n v="12500"/>
    <n v="16250"/>
    <n v="4"/>
    <n v="50000"/>
    <n v="65000"/>
    <s v="Advika Joshi"/>
    <n v="18200"/>
  </r>
  <r>
    <s v="140217"/>
    <x v="19"/>
    <s v="Ranjeet Kumar"/>
    <s v="18/04/2020"/>
    <s v="Shipped"/>
    <s v="33 GB DDR4 RAM"/>
    <s v="Computer Case"/>
    <x v="3"/>
    <n v="3500"/>
    <n v="4550"/>
    <n v="2"/>
    <n v="7000"/>
    <n v="9100"/>
    <s v="Ajay Sharma"/>
    <n v="13650"/>
  </r>
  <r>
    <s v="140218"/>
    <x v="19"/>
    <s v="Sajal Singhal"/>
    <s v="18/04/2020"/>
    <s v="Order"/>
    <s v="BTX motherboard"/>
    <s v="Mouse"/>
    <x v="4"/>
    <n v="4500"/>
    <n v="5850"/>
    <n v="1"/>
    <n v="4500"/>
    <n v="5850"/>
    <s v="Roshan Kumar"/>
    <n v="1690"/>
  </r>
  <r>
    <s v="140219"/>
    <x v="19"/>
    <s v="Akhilesh Kumar"/>
    <s v="18/04/2020"/>
    <s v="Processing"/>
    <s v="28 Fans Cabinet"/>
    <s v="Cabinet"/>
    <x v="5"/>
    <n v="2100"/>
    <n v="2730"/>
    <n v="1"/>
    <n v="2100"/>
    <n v="2730"/>
    <s v="Aarvi Gupta"/>
    <n v="2990"/>
  </r>
  <r>
    <s v="140220"/>
    <x v="19"/>
    <s v="Suvankar Chakraborty"/>
    <s v="18/04/2020"/>
    <s v="Delivered"/>
    <s v="Wireless Keyboard"/>
    <s v="Keyboard"/>
    <x v="6"/>
    <n v="1150"/>
    <n v="1495"/>
    <n v="2"/>
    <n v="2300"/>
    <n v="2990"/>
    <s v="Vijay Singh"/>
    <n v="3315"/>
  </r>
  <r>
    <s v="140221"/>
    <x v="19"/>
    <s v="Suvankar Adhikary"/>
    <s v="19/04/2020"/>
    <s v="Shipped"/>
    <s v="USB Mouse"/>
    <s v="Mouse"/>
    <x v="0"/>
    <n v="350"/>
    <n v="455"/>
    <n v="1"/>
    <n v="350"/>
    <n v="455"/>
    <s v="Aadil Khan"/>
    <n v="1690"/>
  </r>
  <r>
    <s v="140222"/>
    <x v="19"/>
    <s v="Rahul Kumar Prajapati"/>
    <s v="20/04/2020"/>
    <s v="Order"/>
    <s v="19&quot; LED Display"/>
    <s v="Monitor"/>
    <x v="6"/>
    <n v="9500"/>
    <n v="12350"/>
    <n v="3"/>
    <n v="28500"/>
    <n v="37050"/>
    <s v="Advika Joshi"/>
    <n v="9750"/>
  </r>
  <r>
    <s v="140223"/>
    <x v="19"/>
    <s v="Sagar Jeur"/>
    <s v="21/04/2020"/>
    <s v="Processing"/>
    <s v="27 TB HDD"/>
    <s v="HDD"/>
    <x v="10"/>
    <n v="10000"/>
    <n v="13000"/>
    <n v="2"/>
    <n v="20000"/>
    <n v="26000"/>
    <s v="Ajay Sharma"/>
    <n v="39000"/>
  </r>
  <r>
    <s v="140224"/>
    <x v="19"/>
    <s v="Rhushikesh Mane"/>
    <s v="22/04/2020"/>
    <s v="Delivered"/>
    <s v="537 GB M.2"/>
    <s v="SSD"/>
    <x v="0"/>
    <n v="6500"/>
    <n v="8450"/>
    <n v="1"/>
    <n v="6500"/>
    <n v="8450"/>
    <s v="Roshan Kumar"/>
    <n v="8450"/>
  </r>
  <r>
    <s v="140225"/>
    <x v="19"/>
    <s v="Ashish Kumar"/>
    <s v="23/04/2020"/>
    <s v="Shipped"/>
    <s v="RYZEN 3rd gen. 3525"/>
    <s v="CPU"/>
    <x v="1"/>
    <n v="8500"/>
    <n v="11050"/>
    <n v="4"/>
    <n v="34000"/>
    <n v="44200"/>
    <s v="Aarvi Gupta"/>
    <n v="33150"/>
  </r>
  <r>
    <s v="140226"/>
    <x v="19"/>
    <s v="Javed Akhter"/>
    <s v="24/04/2020"/>
    <s v="Order"/>
    <s v="2GB Graphic Card"/>
    <s v="Graphic Card"/>
    <x v="2"/>
    <n v="7000"/>
    <n v="9100"/>
    <n v="4"/>
    <n v="28000"/>
    <n v="36400"/>
    <s v="Vijay Singh"/>
    <n v="18200"/>
  </r>
  <r>
    <s v="140227"/>
    <x v="19"/>
    <s v="Haridas Balraj"/>
    <s v="25/04/2020"/>
    <s v="Processing"/>
    <s v="41 GB DDR4 RAM"/>
    <s v="Computer Case"/>
    <x v="3"/>
    <n v="6550"/>
    <n v="8515"/>
    <n v="3"/>
    <n v="19650"/>
    <n v="25545"/>
    <s v="Aadil Khan"/>
    <n v="13650"/>
  </r>
  <r>
    <s v="140228"/>
    <x v="19"/>
    <s v="Kundan Kumar"/>
    <s v="26/04/2020"/>
    <s v="Delivered"/>
    <s v="Standard ATX motherboard"/>
    <s v="Mouse"/>
    <x v="4"/>
    <n v="7650"/>
    <n v="9945"/>
    <n v="1"/>
    <n v="7650"/>
    <n v="9945"/>
    <s v="Advika Joshi"/>
    <n v="1690"/>
  </r>
  <r>
    <s v="140229"/>
    <x v="19"/>
    <s v="Atif Siddiqui"/>
    <s v="26/04/2020"/>
    <s v="Shipped"/>
    <s v="Compact with 1 Fan"/>
    <s v="Cabinet"/>
    <x v="5"/>
    <n v="1150"/>
    <n v="1495"/>
    <n v="3"/>
    <n v="3450"/>
    <n v="4485"/>
    <s v="Ajay Sharma"/>
    <n v="2990"/>
  </r>
  <r>
    <s v="140230"/>
    <x v="19"/>
    <s v="Aditya Agarwal"/>
    <s v="26/04/2020"/>
    <s v="Order"/>
    <s v="USB Backlight Keyboard"/>
    <s v="Keyboard"/>
    <x v="6"/>
    <n v="850"/>
    <n v="1105"/>
    <n v="1"/>
    <n v="850"/>
    <n v="1105"/>
    <s v="Roshan Kumar"/>
    <n v="3315"/>
  </r>
  <r>
    <s v="140231"/>
    <x v="19"/>
    <s v="Firdoush Jabee"/>
    <s v="26/04/2020"/>
    <s v="Processing"/>
    <s v="Ergonomic Mouse"/>
    <s v="Mouse"/>
    <x v="0"/>
    <n v="650"/>
    <n v="845"/>
    <n v="4"/>
    <n v="2600"/>
    <n v="3380"/>
    <s v="Aarvi Gupta"/>
    <n v="1690"/>
  </r>
  <r>
    <s v="140232"/>
    <x v="19"/>
    <s v="Jay Prakash Kumar"/>
    <s v="26/04/2020"/>
    <s v="Delivered"/>
    <s v="15&quot; LCD Dsipaly"/>
    <s v="Monitor"/>
    <x v="6"/>
    <n v="7500"/>
    <n v="9750"/>
    <n v="4"/>
    <n v="30000"/>
    <n v="39000"/>
    <s v="Vijay Singh"/>
    <n v="9750"/>
  </r>
  <r>
    <s v="140233"/>
    <x v="19"/>
    <s v="Ashish Pandey"/>
    <s v="26/04/2020"/>
    <s v="Shipped"/>
    <s v="27 TB HDD"/>
    <s v="HDD"/>
    <x v="7"/>
    <n v="10000"/>
    <n v="13000"/>
    <n v="1"/>
    <n v="10000"/>
    <n v="13000"/>
    <s v="Aadil Khan"/>
    <n v="39000"/>
  </r>
  <r>
    <s v="140234"/>
    <x v="19"/>
    <s v="Ajay Sharma"/>
    <s v="26/04/2020"/>
    <s v="Order"/>
    <s v="26 TB SSD"/>
    <s v="SSD"/>
    <x v="0"/>
    <n v="10500"/>
    <n v="13650"/>
    <n v="3"/>
    <n v="31500"/>
    <n v="40950"/>
    <s v="Advika Joshi"/>
    <n v="8450"/>
  </r>
  <r>
    <s v="140235"/>
    <x v="19"/>
    <s v="Moinuddin Saifi"/>
    <s v="26/04/2020"/>
    <s v="Processing"/>
    <s v="Intel i5 12th gen."/>
    <s v="CPU"/>
    <x v="1"/>
    <n v="8500"/>
    <n v="11050"/>
    <n v="2"/>
    <n v="17000"/>
    <n v="22100"/>
    <s v="Ajay Sharma"/>
    <n v="33150"/>
  </r>
  <r>
    <s v="140236"/>
    <x v="19"/>
    <s v="Ramkrishna Das Adhikary"/>
    <s v="26/04/2020"/>
    <s v="Delivered"/>
    <s v="2GB Graphic Card"/>
    <s v="Graphic Card"/>
    <x v="2"/>
    <n v="7000"/>
    <n v="9100"/>
    <n v="1"/>
    <n v="7000"/>
    <n v="9100"/>
    <s v="Roshan Kumar"/>
    <n v="18200"/>
  </r>
  <r>
    <s v="140237"/>
    <x v="19"/>
    <s v="Ranjeet Mandal"/>
    <s v="26/04/2020"/>
    <s v="Shipped"/>
    <s v="29 GB DDR4 Ram"/>
    <s v="Computer Case"/>
    <x v="3"/>
    <n v="1680"/>
    <n v="2184"/>
    <n v="2"/>
    <n v="3360"/>
    <n v="4368"/>
    <s v="Aarvi Gupta"/>
    <n v="13650"/>
  </r>
  <r>
    <s v="140238"/>
    <x v="19"/>
    <s v="Ashwini Adsare"/>
    <s v="26/04/2020"/>
    <s v="Order"/>
    <s v="Micro ATX motherboard"/>
    <s v="Mouse"/>
    <x v="8"/>
    <n v="6540"/>
    <n v="8502"/>
    <n v="2"/>
    <n v="13080"/>
    <n v="17004"/>
    <s v="Vijay Singh"/>
    <n v="1690"/>
  </r>
  <r>
    <s v="140239"/>
    <x v="19"/>
    <s v="Rajesh Variya"/>
    <s v="26/04/2020"/>
    <s v="Processing"/>
    <s v="Gaming Box Cabinet"/>
    <s v="Cabinet"/>
    <x v="5"/>
    <n v="2680"/>
    <n v="3484"/>
    <n v="4"/>
    <n v="10720"/>
    <n v="13936"/>
    <s v="Aadil Khan"/>
    <n v="2990"/>
  </r>
  <r>
    <s v="140240"/>
    <x v="19"/>
    <s v="Amit Singh"/>
    <s v="26/04/2020"/>
    <s v="Delivered"/>
    <s v="17&quot; LCD Display"/>
    <s v="Monitor"/>
    <x v="0"/>
    <n v="8250"/>
    <n v="10725"/>
    <n v="4"/>
    <n v="33000"/>
    <n v="42900"/>
    <s v="Advika Joshi"/>
    <n v="9750"/>
  </r>
  <r>
    <s v="140241"/>
    <x v="19"/>
    <s v="Vinod Mehta"/>
    <s v="26/04/2020"/>
    <s v="Shipped"/>
    <s v="33 GB DDR4 RAM"/>
    <s v="RAM"/>
    <x v="0"/>
    <n v="2650"/>
    <n v="3445"/>
    <n v="1"/>
    <n v="2650"/>
    <n v="3445"/>
    <s v="Ajay Sharma"/>
    <n v="25545"/>
  </r>
  <r>
    <s v="140242"/>
    <x v="19"/>
    <s v="Jignesh Mhatre"/>
    <s v="26/04/2020"/>
    <s v="Order"/>
    <s v="26&quot; LCD Display"/>
    <s v="Monitor"/>
    <x v="9"/>
    <n v="12550"/>
    <n v="16315"/>
    <n v="2"/>
    <n v="25100"/>
    <n v="32630"/>
    <s v="Roshan Kumar"/>
    <n v="9750"/>
  </r>
  <r>
    <s v="140243"/>
    <x v="19"/>
    <s v="Rahul Kashyap"/>
    <s v="26/04/2020"/>
    <s v="Processing"/>
    <s v="I7 - intel 12th Generation"/>
    <s v="CPU"/>
    <x v="1"/>
    <n v="14500"/>
    <n v="18850"/>
    <n v="1"/>
    <n v="14500"/>
    <n v="18850"/>
    <s v="Aarvi Gupta"/>
    <n v="33150"/>
  </r>
  <r>
    <s v="140244"/>
    <x v="19"/>
    <s v="Mohammed Abdul Kaleem"/>
    <s v="26/04/2020"/>
    <s v="Delivered"/>
    <s v="USB Keyboard"/>
    <s v="Keyboard"/>
    <x v="6"/>
    <n v="800"/>
    <n v="1040"/>
    <n v="4"/>
    <n v="3200"/>
    <n v="4160"/>
    <s v="Vijay Singh"/>
    <n v="3315"/>
  </r>
  <r>
    <s v="140245"/>
    <x v="19"/>
    <s v="Chandrakant Kasbe"/>
    <s v="26/04/2020"/>
    <s v="Shipped"/>
    <s v="Wireless Mouse"/>
    <s v="Mouse"/>
    <x v="0"/>
    <n v="600"/>
    <n v="780"/>
    <n v="3"/>
    <n v="1800"/>
    <n v="2340"/>
    <s v="Aadil Khan"/>
    <n v="1690"/>
  </r>
  <r>
    <s v="140246"/>
    <x v="19"/>
    <s v="Rohan Kale"/>
    <s v="26/04/2020"/>
    <s v="Order"/>
    <s v="21&quot; LCD Display"/>
    <s v="Monitor"/>
    <x v="6"/>
    <n v="10500"/>
    <n v="13650"/>
    <n v="1"/>
    <n v="10500"/>
    <n v="13650"/>
    <s v="Advika Joshi"/>
    <n v="9750"/>
  </r>
  <r>
    <s v="140247"/>
    <x v="19"/>
    <s v="Aniruddha Kekapure"/>
    <s v="26/04/2020"/>
    <s v="Processing"/>
    <s v="27 TB HDD"/>
    <s v="HDD"/>
    <x v="10"/>
    <n v="6500"/>
    <n v="8450"/>
    <n v="1"/>
    <n v="6500"/>
    <n v="8450"/>
    <s v="Ajay Sharma"/>
    <n v="39000"/>
  </r>
  <r>
    <s v="140248"/>
    <x v="19"/>
    <s v="Aslam Raza"/>
    <s v="27/04/2020"/>
    <s v="Delivered"/>
    <s v="282 GB SSD"/>
    <s v="SSD"/>
    <x v="0"/>
    <n v="4500"/>
    <n v="5850"/>
    <n v="2"/>
    <n v="9000"/>
    <n v="11700"/>
    <s v="Roshan Kumar"/>
    <n v="8450"/>
  </r>
  <r>
    <s v="140249"/>
    <x v="19"/>
    <s v="Roshan Zameer"/>
    <s v="27/04/2020"/>
    <s v="Shipped"/>
    <s v="Intel i3 11th gen."/>
    <s v="CPU"/>
    <x v="1"/>
    <n v="8500"/>
    <n v="11050"/>
    <n v="2"/>
    <n v="17000"/>
    <n v="22100"/>
    <s v="Aarvi Gupta"/>
    <n v="33150"/>
  </r>
  <r>
    <s v="140250"/>
    <x v="19"/>
    <s v="Rakesh Kumar Sharma"/>
    <s v="27/04/2020"/>
    <s v="Order"/>
    <s v="4GB Graphic card"/>
    <s v="Graphic Card"/>
    <x v="2"/>
    <n v="12500"/>
    <n v="16250"/>
    <n v="4"/>
    <n v="50000"/>
    <n v="65000"/>
    <s v="Vijay Singh"/>
    <n v="18200"/>
  </r>
  <r>
    <s v="140251"/>
    <x v="19"/>
    <s v="Shivanand Sahani"/>
    <s v="27/04/2020"/>
    <s v="Processing"/>
    <s v="34 GB DDR4 RAM"/>
    <s v="NIC"/>
    <x v="3"/>
    <n v="3500"/>
    <n v="4550"/>
    <n v="3"/>
    <n v="10500"/>
    <n v="13650"/>
    <s v="Aadil Khan"/>
    <n v="9100"/>
  </r>
  <r>
    <s v="140252"/>
    <x v="19"/>
    <s v="Kunal Patra"/>
    <s v="27/04/2020"/>
    <s v="Delivered"/>
    <s v="BTX motherboard"/>
    <s v="Printer"/>
    <x v="4"/>
    <n v="4500"/>
    <n v="5850"/>
    <n v="1"/>
    <n v="4500"/>
    <n v="5850"/>
    <s v="Advika Joshi"/>
    <n v="11700"/>
  </r>
  <r>
    <s v="140253"/>
    <x v="19"/>
    <s v="Bijendra"/>
    <s v="27/04/2020"/>
    <s v="Shipped"/>
    <s v="29 Fans Cabinet"/>
    <s v="Cabinet"/>
    <x v="5"/>
    <n v="2100"/>
    <n v="2730"/>
    <n v="4"/>
    <n v="8400"/>
    <n v="10920"/>
    <s v="Ajay Sharma"/>
    <n v="2990"/>
  </r>
  <r>
    <s v="140254"/>
    <x v="19"/>
    <s v="Kranti Bheke"/>
    <s v="27/04/2020"/>
    <s v="Order"/>
    <s v="Wireless Keyboard"/>
    <s v="Keyboard"/>
    <x v="6"/>
    <n v="1150"/>
    <n v="1495"/>
    <n v="4"/>
    <n v="4600"/>
    <n v="5980"/>
    <s v="Roshan Kumar"/>
    <n v="3315"/>
  </r>
  <r>
    <s v="140255"/>
    <x v="19"/>
    <s v="Jagdeep"/>
    <s v="27/04/2020"/>
    <s v="Processing"/>
    <s v="USB Mouse"/>
    <s v="Mouse"/>
    <x v="0"/>
    <n v="350"/>
    <n v="455"/>
    <n v="3"/>
    <n v="1050"/>
    <n v="1365"/>
    <s v="Aarvi Gupta"/>
    <n v="1690"/>
  </r>
  <r>
    <s v="140256"/>
    <x v="19"/>
    <s v="Adhir Samal"/>
    <s v="27/04/2020"/>
    <s v="Delivered"/>
    <s v="19&quot; LED Display"/>
    <s v="Monitor"/>
    <x v="6"/>
    <n v="9500"/>
    <n v="12350"/>
    <n v="4"/>
    <n v="38000"/>
    <n v="49400"/>
    <s v="Vijay Singh"/>
    <n v="9750"/>
  </r>
  <r>
    <s v="140257"/>
    <x v="19"/>
    <s v="Dannana Jhammi"/>
    <s v="27/04/2020"/>
    <s v="Shipped"/>
    <s v="28 TB HDD"/>
    <s v="HDD"/>
    <x v="10"/>
    <n v="10000"/>
    <n v="13000"/>
    <n v="3"/>
    <n v="30000"/>
    <n v="39000"/>
    <s v="Aadil Khan"/>
    <n v="39000"/>
  </r>
  <r>
    <s v="140258"/>
    <x v="19"/>
    <s v="Vipin Kumar"/>
    <s v="27/04/2020"/>
    <s v="Order"/>
    <s v="538 GB M.2"/>
    <s v="SSD"/>
    <x v="0"/>
    <n v="6500"/>
    <n v="8450"/>
    <n v="2"/>
    <n v="13000"/>
    <n v="16900"/>
    <s v="Advika Joshi"/>
    <n v="8450"/>
  </r>
  <r>
    <s v="140259"/>
    <x v="19"/>
    <s v="Ranjeet Kumar"/>
    <s v="27/04/2020"/>
    <s v="Processing"/>
    <s v="RYZEN 3rd gen. 3526"/>
    <s v="CPU"/>
    <x v="1"/>
    <n v="8500"/>
    <n v="11050"/>
    <n v="2"/>
    <n v="17000"/>
    <n v="22100"/>
    <s v="Ajay Sharma"/>
    <n v="33150"/>
  </r>
  <r>
    <s v="140260"/>
    <x v="19"/>
    <s v="Sajal Singhal"/>
    <s v="27/04/2020"/>
    <s v="Delivered"/>
    <s v="2GB Graphic Card"/>
    <s v="Graphic Card"/>
    <x v="2"/>
    <n v="7000"/>
    <n v="9100"/>
    <n v="3"/>
    <n v="21000"/>
    <n v="27300"/>
    <s v="Roshan Kumar"/>
    <n v="18200"/>
  </r>
  <r>
    <s v="140261"/>
    <x v="19"/>
    <s v="Akhilesh Kumar"/>
    <s v="27/04/2020"/>
    <s v="Shipped"/>
    <s v="42 GB DDR4 RAM"/>
    <s v="NIC"/>
    <x v="3"/>
    <n v="6550"/>
    <n v="8515"/>
    <n v="3"/>
    <n v="19650"/>
    <n v="25545"/>
    <s v="Aarvi Gupta"/>
    <n v="9100"/>
  </r>
  <r>
    <s v="140262"/>
    <x v="19"/>
    <s v="Suvankar Chakraborty"/>
    <s v="27/04/2020"/>
    <s v="Order"/>
    <s v="Standard ATX motherboard"/>
    <s v="Printer"/>
    <x v="4"/>
    <n v="7650"/>
    <n v="9945"/>
    <n v="2"/>
    <n v="15300"/>
    <n v="19890"/>
    <s v="Vijay Singh"/>
    <n v="11700"/>
  </r>
  <r>
    <s v="140263"/>
    <x v="19"/>
    <s v="Suvankar Adhikary"/>
    <s v="27/04/2020"/>
    <s v="Processing"/>
    <s v="Compact with 1 Fan"/>
    <s v="Cabinet"/>
    <x v="5"/>
    <n v="1150"/>
    <n v="1495"/>
    <n v="2"/>
    <n v="2300"/>
    <n v="2990"/>
    <s v="Aadil Khan"/>
    <n v="2990"/>
  </r>
  <r>
    <s v="140264"/>
    <x v="19"/>
    <s v="Rahul Kumar Prajapati"/>
    <s v="27/04/2020"/>
    <s v="Delivered"/>
    <s v="USB Backlight Keyboard"/>
    <s v="Keyboard"/>
    <x v="6"/>
    <n v="850"/>
    <n v="1105"/>
    <n v="3"/>
    <n v="2550"/>
    <n v="3315"/>
    <s v="Advika Joshi"/>
    <n v="3315"/>
  </r>
  <r>
    <s v="140265"/>
    <x v="19"/>
    <s v="Sagar Jeur"/>
    <s v="28/04/2020"/>
    <s v="Shipped"/>
    <s v="Ergonomic Mouse"/>
    <s v="Mouse"/>
    <x v="0"/>
    <n v="650"/>
    <n v="845"/>
    <n v="2"/>
    <n v="1300"/>
    <n v="1690"/>
    <s v="Ajay Sharma"/>
    <n v="1690"/>
  </r>
  <r>
    <s v="140266"/>
    <x v="19"/>
    <s v="Rhushikesh Mane"/>
    <s v="29/04/2020"/>
    <s v="Order"/>
    <s v="15&quot; LCD Dsipaly"/>
    <s v="Monitor"/>
    <x v="6"/>
    <n v="7500"/>
    <n v="9750"/>
    <n v="3"/>
    <n v="22500"/>
    <n v="29250"/>
    <s v="Roshan Kumar"/>
    <n v="9750"/>
  </r>
  <r>
    <s v="140267"/>
    <x v="19"/>
    <s v="Ashish Kumar"/>
    <s v="30/04/2020"/>
    <s v="Processing"/>
    <s v="28 TB HDD"/>
    <s v="HDD"/>
    <x v="7"/>
    <n v="10000"/>
    <n v="13000"/>
    <n v="1"/>
    <n v="10000"/>
    <n v="13000"/>
    <s v="Aarvi Gupta"/>
    <n v="39000"/>
  </r>
  <r>
    <s v="140268"/>
    <x v="19"/>
    <s v="Javed Akhter"/>
    <s v="30/04/2020"/>
    <s v="Delivered"/>
    <s v="27 TB SSD"/>
    <s v="SSD"/>
    <x v="0"/>
    <n v="10500"/>
    <n v="13650"/>
    <n v="3"/>
    <n v="31500"/>
    <n v="40950"/>
    <s v="Vijay Singh"/>
    <n v="8450"/>
  </r>
  <r>
    <s v="140269"/>
    <x v="19"/>
    <s v="Haridas Balraj"/>
    <s v="30/04/2020"/>
    <s v="Shipped"/>
    <s v="Intel i5 12th gen."/>
    <s v="CPU"/>
    <x v="1"/>
    <n v="8500"/>
    <n v="11050"/>
    <n v="2"/>
    <n v="17000"/>
    <n v="22100"/>
    <s v="Aadil Khan"/>
    <n v="33150"/>
  </r>
  <r>
    <s v="140270"/>
    <x v="19"/>
    <s v="Kundan Kumar"/>
    <s v="30/04/2020"/>
    <s v="Order"/>
    <s v="2GB Graphic Card"/>
    <s v="Graphic Card"/>
    <x v="2"/>
    <n v="7000"/>
    <n v="9100"/>
    <n v="4"/>
    <n v="28000"/>
    <n v="36400"/>
    <s v="Advika Joshi"/>
    <n v="18200"/>
  </r>
  <r>
    <s v="140271"/>
    <x v="19"/>
    <s v="Atif Siddiqui"/>
    <s v="30/04/2020"/>
    <s v="Processing"/>
    <s v="30 GB DDR4 Ram"/>
    <s v="NIC"/>
    <x v="3"/>
    <n v="1680"/>
    <n v="2184"/>
    <n v="3"/>
    <n v="5040"/>
    <n v="6552"/>
    <s v="Ajay Sharma"/>
    <n v="9100"/>
  </r>
  <r>
    <s v="140272"/>
    <x v="19"/>
    <s v="Aditya Agarwal"/>
    <s v="30/04/2020"/>
    <s v="Delivered"/>
    <s v="Micro ATX motherboard"/>
    <s v="Printer"/>
    <x v="8"/>
    <n v="6540"/>
    <n v="8502"/>
    <n v="4"/>
    <n v="26160"/>
    <n v="34008"/>
    <s v="Roshan Kumar"/>
    <n v="11700"/>
  </r>
  <r>
    <s v="140273"/>
    <x v="19"/>
    <s v="Firdoush Jabee"/>
    <s v="30/04/2020"/>
    <s v="Shipped"/>
    <s v="Gaming Box Cabinet"/>
    <s v="Cabinet"/>
    <x v="5"/>
    <n v="2680"/>
    <n v="3484"/>
    <n v="3"/>
    <n v="8040"/>
    <n v="10452"/>
    <s v="Aarvi Gupta"/>
    <n v="2990"/>
  </r>
  <r>
    <s v="140274"/>
    <x v="19"/>
    <s v="Jay Prakash Kumar"/>
    <s v="30/04/2020"/>
    <s v="Order"/>
    <s v="17&quot; LCD Display"/>
    <s v="Monitor"/>
    <x v="0"/>
    <n v="8250"/>
    <n v="10725"/>
    <n v="4"/>
    <n v="33000"/>
    <n v="42900"/>
    <s v="Vijay Singh"/>
    <n v="9750"/>
  </r>
  <r>
    <s v="140275"/>
    <x v="19"/>
    <s v="Ashish Pandey"/>
    <s v="30/04/2020"/>
    <s v="Processing"/>
    <s v="34 GB DDR4 RAM"/>
    <s v="RAM"/>
    <x v="0"/>
    <n v="2650"/>
    <n v="3445"/>
    <n v="3"/>
    <n v="7950"/>
    <n v="10335"/>
    <s v="Aadil Khan"/>
    <n v="25545"/>
  </r>
  <r>
    <s v="140276"/>
    <x v="19"/>
    <s v="Ajay Sharma"/>
    <s v="30/04/2020"/>
    <s v="Delivered"/>
    <s v="26&quot; LCD Display"/>
    <s v="Monitor"/>
    <x v="9"/>
    <n v="12550"/>
    <n v="16315"/>
    <n v="1"/>
    <n v="12550"/>
    <n v="16315"/>
    <s v="Advika Joshi"/>
    <n v="9750"/>
  </r>
  <r>
    <s v="140277"/>
    <x v="19"/>
    <s v="Moinuddin Saifi"/>
    <s v="30/04/2020"/>
    <s v="Shipped"/>
    <s v="I7 - intel 12th Generation"/>
    <s v="CPU"/>
    <x v="1"/>
    <n v="14500"/>
    <n v="18850"/>
    <n v="2"/>
    <n v="29000"/>
    <n v="37700"/>
    <s v="Ajay Sharma"/>
    <n v="33150"/>
  </r>
  <r>
    <s v="140278"/>
    <x v="19"/>
    <s v="Ramkrishna Das Adhikary"/>
    <s v="30/04/2020"/>
    <s v="Order"/>
    <s v="USB Keyboard"/>
    <s v="Keyboard"/>
    <x v="6"/>
    <n v="800"/>
    <n v="1040"/>
    <n v="1"/>
    <n v="800"/>
    <n v="1040"/>
    <s v="Roshan Kumar"/>
    <n v="3315"/>
  </r>
  <r>
    <s v="140279"/>
    <x v="19"/>
    <s v="Ranjeet Mandal"/>
    <s v="30/04/2020"/>
    <s v="Processing"/>
    <s v="Wireless Mouse"/>
    <s v="Mouse"/>
    <x v="0"/>
    <n v="600"/>
    <n v="780"/>
    <n v="1"/>
    <n v="600"/>
    <n v="780"/>
    <s v="Aarvi Gupta"/>
    <n v="1690"/>
  </r>
  <r>
    <s v="140280"/>
    <x v="19"/>
    <s v="Ashwini Adsare"/>
    <s v="30/04/2020"/>
    <s v="Delivered"/>
    <s v="21&quot; LCD Display"/>
    <s v="Monitor"/>
    <x v="6"/>
    <n v="10500"/>
    <n v="13650"/>
    <n v="3"/>
    <n v="31500"/>
    <n v="40950"/>
    <s v="Vijay Singh"/>
    <n v="9750"/>
  </r>
  <r>
    <s v="140281"/>
    <x v="19"/>
    <s v="Rajesh Variya"/>
    <s v="30/04/2020"/>
    <s v="Shipped"/>
    <s v="28 TB HDD"/>
    <s v="HDD"/>
    <x v="10"/>
    <n v="6500"/>
    <n v="8450"/>
    <n v="3"/>
    <n v="19500"/>
    <n v="25350"/>
    <s v="Aadil Khan"/>
    <n v="39000"/>
  </r>
  <r>
    <s v="140282"/>
    <x v="19"/>
    <s v="Amit Singh"/>
    <s v="30/04/2020"/>
    <s v="Order"/>
    <s v="283 GB SSD"/>
    <s v="SSD"/>
    <x v="0"/>
    <n v="4500"/>
    <n v="5850"/>
    <n v="3"/>
    <n v="13500"/>
    <n v="17550"/>
    <s v="Advika Joshi"/>
    <n v="8450"/>
  </r>
  <r>
    <s v="140283"/>
    <x v="19"/>
    <s v="Vinod Mehta"/>
    <s v="30/04/2020"/>
    <s v="Processing"/>
    <s v="Intel i3 11th gen."/>
    <s v="CPU"/>
    <x v="1"/>
    <n v="8500"/>
    <n v="11050"/>
    <n v="2"/>
    <n v="17000"/>
    <n v="22100"/>
    <s v="Ajay Sharma"/>
    <n v="33150"/>
  </r>
  <r>
    <s v="140284"/>
    <x v="19"/>
    <s v="Jignesh Mhatre"/>
    <s v="30/04/2020"/>
    <s v="Delivered"/>
    <s v="4GB Graphic card"/>
    <s v="Graphic Card"/>
    <x v="2"/>
    <n v="12500"/>
    <n v="16250"/>
    <n v="3"/>
    <n v="37500"/>
    <n v="48750"/>
    <s v="Roshan Kumar"/>
    <n v="18200"/>
  </r>
  <r>
    <s v="140285"/>
    <x v="19"/>
    <s v="Rahul Kashyap"/>
    <s v="30/04/2020"/>
    <s v="Shipped"/>
    <s v="35 GB DDR4 RAM"/>
    <s v="RAM"/>
    <x v="3"/>
    <n v="3500"/>
    <n v="4550"/>
    <n v="1"/>
    <n v="3500"/>
    <n v="4550"/>
    <s v="Aarvi Gupta"/>
    <n v="25545"/>
  </r>
  <r>
    <s v="140286"/>
    <x v="19"/>
    <s v="Mohammed Abdul Kaleem"/>
    <s v="30/04/2020"/>
    <s v="Order"/>
    <s v="BTX motherboard"/>
    <s v="MotherBoard"/>
    <x v="4"/>
    <n v="4500"/>
    <n v="5850"/>
    <n v="4"/>
    <n v="18000"/>
    <n v="23400"/>
    <s v="Vijay Singh"/>
    <n v="39780"/>
  </r>
  <r>
    <s v="140287"/>
    <x v="19"/>
    <s v="Chandrakant Kasbe"/>
    <s v="30/04/2020"/>
    <s v="Processing"/>
    <s v="30 Fans Cabinet"/>
    <s v="Cabinet"/>
    <x v="5"/>
    <n v="2100"/>
    <n v="2730"/>
    <n v="4"/>
    <n v="8400"/>
    <n v="10920"/>
    <s v="Aadil Khan"/>
    <n v="2990"/>
  </r>
  <r>
    <s v="140288"/>
    <x v="19"/>
    <s v="Rohan Kale"/>
    <s v="30/04/2020"/>
    <s v="Delivered"/>
    <s v="Wireless Keyboard"/>
    <s v="Keyboard"/>
    <x v="6"/>
    <n v="1150"/>
    <n v="1495"/>
    <n v="3"/>
    <n v="3450"/>
    <n v="4485"/>
    <s v="Advika Joshi"/>
    <n v="3315"/>
  </r>
  <r>
    <s v="140289"/>
    <x v="19"/>
    <s v="Aniruddha Kekapure"/>
    <s v="30/04/2020"/>
    <s v="Shipped"/>
    <s v="USB Mouse"/>
    <s v="Mouse"/>
    <x v="0"/>
    <n v="350"/>
    <n v="455"/>
    <n v="3"/>
    <n v="1050"/>
    <n v="1365"/>
    <s v="Ajay Sharma"/>
    <n v="1690"/>
  </r>
  <r>
    <s v="140290"/>
    <x v="19"/>
    <s v="Aslam Raza"/>
    <s v="30/04/2020"/>
    <s v="Order"/>
    <s v="19&quot; LED Display"/>
    <s v="Monitor"/>
    <x v="6"/>
    <n v="9500"/>
    <n v="12350"/>
    <n v="3"/>
    <n v="28500"/>
    <n v="37050"/>
    <s v="Roshan Kumar"/>
    <n v="9750"/>
  </r>
  <r>
    <s v="140291"/>
    <x v="19"/>
    <s v="Roshan Zameer"/>
    <s v="30/04/2020"/>
    <s v="Processing"/>
    <s v="29 TB HDD"/>
    <s v="HDD"/>
    <x v="10"/>
    <n v="10000"/>
    <n v="13000"/>
    <n v="3"/>
    <n v="30000"/>
    <n v="39000"/>
    <s v="Aarvi Gupta"/>
    <n v="39000"/>
  </r>
  <r>
    <s v="140292"/>
    <x v="19"/>
    <s v="Rakesh Kumar Sharma"/>
    <s v="30/04/2020"/>
    <s v="Delivered"/>
    <s v="539 GB M.2"/>
    <s v="SSD"/>
    <x v="0"/>
    <n v="6500"/>
    <n v="8450"/>
    <n v="1"/>
    <n v="6500"/>
    <n v="8450"/>
    <s v="Vijay Singh"/>
    <n v="8450"/>
  </r>
  <r>
    <s v="140293"/>
    <x v="19"/>
    <s v="Shivanand Sahani"/>
    <s v="30/04/2020"/>
    <s v="Shipped"/>
    <s v="RYZEN 3rd gen. 3527"/>
    <s v="CPU"/>
    <x v="1"/>
    <n v="8500"/>
    <n v="11050"/>
    <n v="3"/>
    <n v="25500"/>
    <n v="33150"/>
    <s v="Aadil Khan"/>
    <n v="33150"/>
  </r>
  <r>
    <s v="140294"/>
    <x v="19"/>
    <s v="Kunal Patra"/>
    <s v="30/04/2020"/>
    <s v="Order"/>
    <s v="2GB Graphic Card"/>
    <s v="Graphic Card"/>
    <x v="2"/>
    <n v="7000"/>
    <n v="9100"/>
    <n v="2"/>
    <n v="14000"/>
    <n v="18200"/>
    <s v="Advika Joshi"/>
    <n v="18200"/>
  </r>
  <r>
    <s v="140295"/>
    <x v="19"/>
    <s v="Bijendra"/>
    <s v="30/04/2020"/>
    <s v="Processing"/>
    <s v="43 GB DDR4 RAM"/>
    <s v="RAM"/>
    <x v="3"/>
    <n v="6550"/>
    <n v="8515"/>
    <n v="3"/>
    <n v="19650"/>
    <n v="25545"/>
    <s v="Ajay Sharma"/>
    <n v="25545"/>
  </r>
  <r>
    <s v="140296"/>
    <x v="19"/>
    <s v="Kranti Bheke"/>
    <s v="30/04/2020"/>
    <s v="Delivered"/>
    <s v="Standard ATX motherboard"/>
    <s v="MotherBoard"/>
    <x v="4"/>
    <n v="7650"/>
    <n v="9945"/>
    <n v="3"/>
    <n v="22950"/>
    <n v="29835"/>
    <s v="Roshan Kumar"/>
    <n v="39780"/>
  </r>
  <r>
    <s v="140297"/>
    <x v="19"/>
    <s v="Jagdeep"/>
    <s v="30/04/2020"/>
    <s v="Shipped"/>
    <s v="Compact with 1 Fan"/>
    <s v="Cabinet"/>
    <x v="5"/>
    <n v="1150"/>
    <n v="1495"/>
    <n v="1"/>
    <n v="1150"/>
    <n v="1495"/>
    <s v="Aarvi Gupta"/>
    <n v="2990"/>
  </r>
  <r>
    <s v="140298"/>
    <x v="19"/>
    <s v="Adhir Samal"/>
    <s v="30/04/2020"/>
    <s v="Order"/>
    <s v="USB Backlight Keyboard"/>
    <s v="Keyboard"/>
    <x v="6"/>
    <n v="850"/>
    <n v="1105"/>
    <n v="3"/>
    <n v="2550"/>
    <n v="3315"/>
    <s v="Vijay Singh"/>
    <n v="3315"/>
  </r>
  <r>
    <s v="140299"/>
    <x v="19"/>
    <s v="Dannana Jhammi"/>
    <s v="30/04/2020"/>
    <s v="Processing"/>
    <s v="Ergonomic Mouse"/>
    <s v="Mouse"/>
    <x v="0"/>
    <n v="650"/>
    <n v="845"/>
    <n v="3"/>
    <n v="1950"/>
    <n v="2535"/>
    <s v="Aadil Khan"/>
    <n v="1690"/>
  </r>
  <r>
    <s v="140300"/>
    <x v="19"/>
    <s v="Vipin Kumar"/>
    <s v="30/04/2020"/>
    <s v="Delivered"/>
    <s v="15&quot; LCD Dsipaly"/>
    <s v="Monitor"/>
    <x v="6"/>
    <n v="7500"/>
    <n v="9750"/>
    <n v="1"/>
    <n v="7500"/>
    <n v="9750"/>
    <s v="Advika Joshi"/>
    <n v="9750"/>
  </r>
  <r>
    <s v="140301"/>
    <x v="19"/>
    <s v="Ranjeet Kumar"/>
    <s v="30/04/2020"/>
    <s v="Shipped"/>
    <s v="29 TB HDD"/>
    <s v="HDD"/>
    <x v="7"/>
    <n v="10000"/>
    <n v="13000"/>
    <n v="4"/>
    <n v="40000"/>
    <n v="52000"/>
    <s v="Ajay Sharma"/>
    <n v="39000"/>
  </r>
  <r>
    <s v="140302"/>
    <x v="19"/>
    <s v="Sajal Singhal"/>
    <s v="30/04/2020"/>
    <s v="Order"/>
    <s v="28 TB SSD"/>
    <s v="SSD"/>
    <x v="0"/>
    <n v="10500"/>
    <n v="13650"/>
    <n v="4"/>
    <n v="42000"/>
    <n v="54600"/>
    <s v="Roshan Kumar"/>
    <n v="8450"/>
  </r>
  <r>
    <s v="140303"/>
    <x v="19"/>
    <s v="Akhilesh Kumar"/>
    <s v="01/05/2020"/>
    <s v="Processing"/>
    <s v="Intel i5 12th gen."/>
    <s v="CPU"/>
    <x v="1"/>
    <n v="8500"/>
    <n v="11050"/>
    <n v="2"/>
    <n v="17000"/>
    <n v="22100"/>
    <s v="Aarvi Gupta"/>
    <n v="33150"/>
  </r>
  <r>
    <s v="140304"/>
    <x v="33"/>
    <s v="Suvankar Chakraborty"/>
    <s v="02/05/2020"/>
    <s v="Delivered"/>
    <s v="2GB Graphic Card"/>
    <s v="Graphic Card"/>
    <x v="2"/>
    <n v="7000"/>
    <n v="9100"/>
    <n v="3"/>
    <n v="21000"/>
    <n v="27300"/>
    <s v="Vijay Singh"/>
    <n v="18200"/>
  </r>
  <r>
    <s v="140305"/>
    <x v="34"/>
    <s v="Suvankar Adhikary"/>
    <s v="03/05/2020"/>
    <s v="Shipped"/>
    <s v="31 GB DDR4 Ram"/>
    <s v="RAM"/>
    <x v="3"/>
    <n v="1680"/>
    <n v="2184"/>
    <n v="3"/>
    <n v="5040"/>
    <n v="6552"/>
    <s v="Aadil Khan"/>
    <n v="25545"/>
  </r>
  <r>
    <s v="140306"/>
    <x v="4"/>
    <s v="Rahul Kumar Prajapati"/>
    <s v="04/05/2020"/>
    <s v="Order"/>
    <s v="Micro ATX motherboard"/>
    <s v="MotherBoard"/>
    <x v="8"/>
    <n v="6540"/>
    <n v="8502"/>
    <n v="4"/>
    <n v="26160"/>
    <n v="34008"/>
    <s v="Advika Joshi"/>
    <n v="39780"/>
  </r>
  <r>
    <s v="140307"/>
    <x v="5"/>
    <s v="Sagar Jeur"/>
    <s v="05/05/2020"/>
    <s v="Processing"/>
    <s v="Gaming Box Cabinet"/>
    <s v="Cabinet"/>
    <x v="5"/>
    <n v="2680"/>
    <n v="3484"/>
    <n v="2"/>
    <n v="5360"/>
    <n v="6968"/>
    <s v="Ajay Sharma"/>
    <n v="2990"/>
  </r>
  <r>
    <s v="140308"/>
    <x v="6"/>
    <s v="Rhushikesh Mane"/>
    <s v="05/05/2020"/>
    <s v="Delivered"/>
    <s v="17&quot; LCD Display"/>
    <s v="Monitor"/>
    <x v="0"/>
    <n v="8250"/>
    <n v="10725"/>
    <n v="2"/>
    <n v="16500"/>
    <n v="21450"/>
    <s v="Roshan Kumar"/>
    <n v="9750"/>
  </r>
  <r>
    <s v="140309"/>
    <x v="7"/>
    <s v="Ashish Kumar"/>
    <s v="05/05/2020"/>
    <s v="Shipped"/>
    <s v="35 GB DDR4 RAM"/>
    <s v="RAM"/>
    <x v="0"/>
    <n v="2650"/>
    <n v="3445"/>
    <n v="1"/>
    <n v="2650"/>
    <n v="3445"/>
    <s v="Aarvi Gupta"/>
    <n v="25545"/>
  </r>
  <r>
    <s v="140310"/>
    <x v="26"/>
    <s v="Javed Akhter"/>
    <s v="05/05/2020"/>
    <s v="Order"/>
    <s v="26&quot; LCD Display"/>
    <s v="Monitor"/>
    <x v="9"/>
    <n v="12550"/>
    <n v="16315"/>
    <n v="3"/>
    <n v="37650"/>
    <n v="48945"/>
    <s v="Vijay Singh"/>
    <n v="9750"/>
  </r>
  <r>
    <s v="140311"/>
    <x v="27"/>
    <s v="Haridas Balraj"/>
    <s v="05/05/2020"/>
    <s v="Processing"/>
    <s v="I7 - intel 12th Generation"/>
    <s v="CPU"/>
    <x v="1"/>
    <n v="14500"/>
    <n v="18850"/>
    <n v="3"/>
    <n v="43500"/>
    <n v="56550"/>
    <s v="Aadil Khan"/>
    <n v="33150"/>
  </r>
  <r>
    <s v="140312"/>
    <x v="27"/>
    <s v="Kundan Kumar"/>
    <s v="05/05/2020"/>
    <s v="Delivered"/>
    <s v="USB Keyboard"/>
    <s v="Keyboard"/>
    <x v="6"/>
    <n v="800"/>
    <n v="1040"/>
    <n v="4"/>
    <n v="3200"/>
    <n v="4160"/>
    <s v="Advika Joshi"/>
    <n v="3315"/>
  </r>
  <r>
    <s v="140313"/>
    <x v="27"/>
    <s v="Atif Siddiqui"/>
    <s v="05/05/2020"/>
    <s v="Shipped"/>
    <s v="Wireless Mouse"/>
    <s v="Mouse"/>
    <x v="0"/>
    <n v="600"/>
    <n v="780"/>
    <n v="4"/>
    <n v="2400"/>
    <n v="3120"/>
    <s v="Ajay Sharma"/>
    <n v="1690"/>
  </r>
  <r>
    <s v="140314"/>
    <x v="27"/>
    <s v="Aditya Agarwal"/>
    <s v="05/05/2020"/>
    <s v="Order"/>
    <s v="21&quot; LCD Display"/>
    <s v="Monitor"/>
    <x v="6"/>
    <n v="10500"/>
    <n v="13650"/>
    <n v="2"/>
    <n v="21000"/>
    <n v="27300"/>
    <s v="Roshan Kumar"/>
    <n v="9750"/>
  </r>
  <r>
    <s v="140315"/>
    <x v="27"/>
    <s v="Firdoush Jabee"/>
    <s v="05/05/2020"/>
    <s v="Processing"/>
    <s v="29 TB HDD"/>
    <s v="HDD"/>
    <x v="10"/>
    <n v="6500"/>
    <n v="8450"/>
    <n v="2"/>
    <n v="13000"/>
    <n v="16900"/>
    <s v="Aarvi Gupta"/>
    <n v="39000"/>
  </r>
  <r>
    <s v="140316"/>
    <x v="27"/>
    <s v="Jay Prakash Kumar"/>
    <s v="06/05/2020"/>
    <s v="Delivered"/>
    <s v="284 GB SSD"/>
    <s v="SSD"/>
    <x v="0"/>
    <n v="4500"/>
    <n v="5850"/>
    <n v="1"/>
    <n v="4500"/>
    <n v="5850"/>
    <s v="Vijay Singh"/>
    <n v="8450"/>
  </r>
  <r>
    <s v="140317"/>
    <x v="27"/>
    <s v="Ashish Pandey"/>
    <s v="07/05/2020"/>
    <s v="Shipped"/>
    <s v="Intel i3 11th gen."/>
    <s v="CPU"/>
    <x v="1"/>
    <n v="8500"/>
    <n v="11050"/>
    <n v="4"/>
    <n v="34000"/>
    <n v="44200"/>
    <s v="Aadil Khan"/>
    <n v="33150"/>
  </r>
  <r>
    <s v="140318"/>
    <x v="27"/>
    <s v="Ajay Sharma"/>
    <s v="08/05/2020"/>
    <s v="Order"/>
    <s v="4GB Graphic card"/>
    <s v="Graphic Card"/>
    <x v="2"/>
    <n v="12500"/>
    <n v="16250"/>
    <n v="2"/>
    <n v="25000"/>
    <n v="32500"/>
    <s v="Advika Joshi"/>
    <n v="18200"/>
  </r>
  <r>
    <s v="140319"/>
    <x v="27"/>
    <s v="Moinuddin Saifi"/>
    <s v="09/05/2020"/>
    <s v="Processing"/>
    <s v="36 GB DDR4 RAM"/>
    <s v="Computer Case"/>
    <x v="3"/>
    <n v="3500"/>
    <n v="4550"/>
    <n v="3"/>
    <n v="10500"/>
    <n v="13650"/>
    <s v="Ajay Sharma"/>
    <n v="13650"/>
  </r>
  <r>
    <s v="140320"/>
    <x v="27"/>
    <s v="Ramkrishna Das Adhikary"/>
    <s v="09/05/2020"/>
    <s v="Delivered"/>
    <s v="BTX motherboard"/>
    <s v="Mouse"/>
    <x v="4"/>
    <n v="4500"/>
    <n v="5850"/>
    <n v="2"/>
    <n v="9000"/>
    <n v="11700"/>
    <s v="Roshan Kumar"/>
    <n v="1690"/>
  </r>
  <r>
    <s v="140321"/>
    <x v="27"/>
    <s v="Ranjeet Mandal"/>
    <s v="09/05/2020"/>
    <s v="Shipped"/>
    <s v="31 Fans Cabinet"/>
    <s v="Cabinet"/>
    <x v="5"/>
    <n v="2100"/>
    <n v="2730"/>
    <n v="2"/>
    <n v="4200"/>
    <n v="5460"/>
    <s v="Aarvi Gupta"/>
    <n v="2990"/>
  </r>
  <r>
    <s v="140322"/>
    <x v="27"/>
    <s v="Ashwini Adsare"/>
    <s v="09/05/2020"/>
    <s v="Order"/>
    <s v="Wireless Keyboard"/>
    <s v="Keyboard"/>
    <x v="6"/>
    <n v="1150"/>
    <n v="1495"/>
    <n v="4"/>
    <n v="4600"/>
    <n v="5980"/>
    <s v="Vijay Singh"/>
    <n v="3315"/>
  </r>
  <r>
    <s v="140323"/>
    <x v="27"/>
    <s v="Rajesh Variya"/>
    <s v="09/05/2020"/>
    <s v="Processing"/>
    <s v="USB Mouse"/>
    <s v="Mouse"/>
    <x v="0"/>
    <n v="350"/>
    <n v="455"/>
    <n v="4"/>
    <n v="1400"/>
    <n v="1820"/>
    <s v="Aadil Khan"/>
    <n v="1690"/>
  </r>
  <r>
    <s v="140324"/>
    <x v="27"/>
    <s v="Amit Singh"/>
    <s v="09/05/2020"/>
    <s v="Delivered"/>
    <s v="19&quot; LED Display"/>
    <s v="Monitor"/>
    <x v="6"/>
    <n v="9500"/>
    <n v="12350"/>
    <n v="3"/>
    <n v="28500"/>
    <n v="37050"/>
    <s v="Advika Joshi"/>
    <n v="9750"/>
  </r>
  <r>
    <s v="140325"/>
    <x v="27"/>
    <s v="Vinod Mehta"/>
    <s v="09/05/2020"/>
    <s v="Shipped"/>
    <s v="30 TB HDD"/>
    <s v="HDD"/>
    <x v="10"/>
    <n v="10000"/>
    <n v="13000"/>
    <n v="4"/>
    <n v="40000"/>
    <n v="52000"/>
    <s v="Ajay Sharma"/>
    <n v="39000"/>
  </r>
  <r>
    <s v="140326"/>
    <x v="27"/>
    <s v="Jignesh Mhatre"/>
    <s v="09/05/2020"/>
    <s v="Order"/>
    <s v="540 GB M.2"/>
    <s v="SSD"/>
    <x v="0"/>
    <n v="6500"/>
    <n v="8450"/>
    <n v="4"/>
    <n v="26000"/>
    <n v="33800"/>
    <s v="Roshan Kumar"/>
    <n v="8450"/>
  </r>
  <r>
    <s v="140327"/>
    <x v="27"/>
    <s v="Rahul Kashyap"/>
    <s v="09/05/2020"/>
    <s v="Processing"/>
    <s v="RYZEN 3rd gen. 3528"/>
    <s v="CPU"/>
    <x v="1"/>
    <n v="8500"/>
    <n v="11050"/>
    <n v="2"/>
    <n v="17000"/>
    <n v="22100"/>
    <s v="Aarvi Gupta"/>
    <n v="33150"/>
  </r>
  <r>
    <s v="140328"/>
    <x v="27"/>
    <s v="Mohammed Abdul Kaleem"/>
    <s v="09/05/2020"/>
    <s v="Delivered"/>
    <s v="2GB Graphic Card"/>
    <s v="Graphic Card"/>
    <x v="2"/>
    <n v="7000"/>
    <n v="9100"/>
    <n v="4"/>
    <n v="28000"/>
    <n v="36400"/>
    <s v="Vijay Singh"/>
    <n v="18200"/>
  </r>
  <r>
    <s v="140329"/>
    <x v="27"/>
    <s v="Chandrakant Kasbe"/>
    <s v="09/05/2020"/>
    <s v="Shipped"/>
    <s v="44 GB DDR4 RAM"/>
    <s v="Computer Case"/>
    <x v="3"/>
    <n v="6550"/>
    <n v="8515"/>
    <n v="2"/>
    <n v="13100"/>
    <n v="17030"/>
    <s v="Aadil Khan"/>
    <n v="13650"/>
  </r>
  <r>
    <s v="140330"/>
    <x v="27"/>
    <s v="Rohan Kale"/>
    <s v="09/05/2020"/>
    <s v="Order"/>
    <s v="Standard ATX motherboard"/>
    <s v="Mouse"/>
    <x v="4"/>
    <n v="7650"/>
    <n v="9945"/>
    <n v="4"/>
    <n v="30600"/>
    <n v="39780"/>
    <s v="Advika Joshi"/>
    <n v="1690"/>
  </r>
  <r>
    <s v="140331"/>
    <x v="27"/>
    <s v="Aniruddha Kekapure"/>
    <s v="09/05/2020"/>
    <s v="Processing"/>
    <s v="Compact with 1 Fan"/>
    <s v="Cabinet"/>
    <x v="5"/>
    <n v="1150"/>
    <n v="1495"/>
    <n v="1"/>
    <n v="1150"/>
    <n v="1495"/>
    <s v="Ajay Sharma"/>
    <n v="2990"/>
  </r>
  <r>
    <s v="140332"/>
    <x v="27"/>
    <s v="Aslam Raza"/>
    <s v="09/05/2020"/>
    <s v="Delivered"/>
    <s v="USB Backlight Keyboard"/>
    <s v="Keyboard"/>
    <x v="6"/>
    <n v="850"/>
    <n v="1105"/>
    <n v="2"/>
    <n v="1700"/>
    <n v="2210"/>
    <s v="Roshan Kumar"/>
    <n v="3315"/>
  </r>
  <r>
    <s v="140333"/>
    <x v="27"/>
    <s v="Roshan Zameer"/>
    <s v="09/05/2020"/>
    <s v="Shipped"/>
    <s v="Ergonomic Mouse"/>
    <s v="Mouse"/>
    <x v="0"/>
    <n v="650"/>
    <n v="845"/>
    <n v="3"/>
    <n v="1950"/>
    <n v="2535"/>
    <s v="Aarvi Gupta"/>
    <n v="1690"/>
  </r>
  <r>
    <s v="140334"/>
    <x v="27"/>
    <s v="Rakesh Kumar Sharma"/>
    <s v="09/05/2020"/>
    <s v="Order"/>
    <s v="15&quot; LCD Dsipaly"/>
    <s v="Monitor"/>
    <x v="6"/>
    <n v="7500"/>
    <n v="9750"/>
    <n v="3"/>
    <n v="22500"/>
    <n v="29250"/>
    <s v="Vijay Singh"/>
    <n v="9750"/>
  </r>
  <r>
    <s v="140335"/>
    <x v="27"/>
    <s v="Shivanand Sahani"/>
    <s v="09/05/2020"/>
    <s v="Processing"/>
    <s v="30 TB HDD"/>
    <s v="HDD"/>
    <x v="7"/>
    <n v="10000"/>
    <n v="13000"/>
    <n v="1"/>
    <n v="10000"/>
    <n v="13000"/>
    <s v="Aadil Khan"/>
    <n v="39000"/>
  </r>
  <r>
    <s v="140336"/>
    <x v="27"/>
    <s v="Kunal Patra"/>
    <s v="09/05/2020"/>
    <s v="Delivered"/>
    <s v="29 TB SSD"/>
    <s v="SSD"/>
    <x v="0"/>
    <n v="10500"/>
    <n v="13650"/>
    <n v="2"/>
    <n v="21000"/>
    <n v="27300"/>
    <s v="Advika Joshi"/>
    <n v="8450"/>
  </r>
  <r>
    <s v="140337"/>
    <x v="27"/>
    <s v="Bijendra"/>
    <s v="09/05/2020"/>
    <s v="Shipped"/>
    <s v="Intel i5 12th gen."/>
    <s v="CPU"/>
    <x v="1"/>
    <n v="8500"/>
    <n v="11050"/>
    <n v="4"/>
    <n v="34000"/>
    <n v="44200"/>
    <s v="Ajay Sharma"/>
    <n v="33150"/>
  </r>
  <r>
    <s v="140338"/>
    <x v="27"/>
    <s v="Kranti Bheke"/>
    <s v="09/05/2020"/>
    <s v="Order"/>
    <s v="2GB Graphic Card"/>
    <s v="Graphic Card"/>
    <x v="2"/>
    <n v="7000"/>
    <n v="9100"/>
    <n v="4"/>
    <n v="28000"/>
    <n v="36400"/>
    <s v="Roshan Kumar"/>
    <n v="18200"/>
  </r>
  <r>
    <s v="140339"/>
    <x v="27"/>
    <s v="Jagdeep"/>
    <s v="09/05/2020"/>
    <s v="Processing"/>
    <s v="32 GB DDR4 Ram"/>
    <s v="Computer Case"/>
    <x v="3"/>
    <n v="1680"/>
    <n v="2184"/>
    <n v="2"/>
    <n v="3360"/>
    <n v="4368"/>
    <s v="Aarvi Gupta"/>
    <n v="13650"/>
  </r>
  <r>
    <s v="140340"/>
    <x v="27"/>
    <s v="Adhir Samal"/>
    <s v="09/05/2020"/>
    <s v="Delivered"/>
    <s v="Micro ATX motherboard"/>
    <s v="Mouse"/>
    <x v="8"/>
    <n v="6540"/>
    <n v="8502"/>
    <n v="4"/>
    <n v="26160"/>
    <n v="34008"/>
    <s v="Vijay Singh"/>
    <n v="1690"/>
  </r>
  <r>
    <s v="140341"/>
    <x v="27"/>
    <s v="Dannana Jhammi"/>
    <s v="09/05/2020"/>
    <s v="Shipped"/>
    <s v="Gaming Box Cabinet"/>
    <s v="Cabinet"/>
    <x v="5"/>
    <n v="2680"/>
    <n v="3484"/>
    <n v="2"/>
    <n v="5360"/>
    <n v="6968"/>
    <s v="Aadil Khan"/>
    <n v="2990"/>
  </r>
  <r>
    <s v="140342"/>
    <x v="27"/>
    <s v="Vipin Kumar"/>
    <s v="09/05/2020"/>
    <s v="Order"/>
    <s v="17&quot; LCD Display"/>
    <s v="Monitor"/>
    <x v="0"/>
    <n v="8250"/>
    <n v="10725"/>
    <n v="2"/>
    <n v="16500"/>
    <n v="21450"/>
    <s v="Advika Joshi"/>
    <n v="9750"/>
  </r>
  <r>
    <s v="140343"/>
    <x v="27"/>
    <s v="Ranjeet Kumar"/>
    <s v="09/05/2020"/>
    <s v="Processing"/>
    <s v="36 GB DDR4 RAM"/>
    <s v="RAM"/>
    <x v="0"/>
    <n v="2650"/>
    <n v="3445"/>
    <n v="4"/>
    <n v="10600"/>
    <n v="13780"/>
    <s v="Ajay Sharma"/>
    <n v="25545"/>
  </r>
  <r>
    <s v="140344"/>
    <x v="27"/>
    <s v="Sajal Singhal"/>
    <s v="09/05/2020"/>
    <s v="Delivered"/>
    <s v="26&quot; LCD Display"/>
    <s v="Monitor"/>
    <x v="9"/>
    <n v="12550"/>
    <n v="16315"/>
    <n v="3"/>
    <n v="37650"/>
    <n v="48945"/>
    <s v="Roshan Kumar"/>
    <n v="9750"/>
  </r>
  <r>
    <s v="140345"/>
    <x v="27"/>
    <s v="Akhilesh Kumar"/>
    <s v="09/05/2020"/>
    <s v="Shipped"/>
    <s v="I7 - intel 12th Generation"/>
    <s v="CPU"/>
    <x v="1"/>
    <n v="14500"/>
    <n v="18850"/>
    <n v="4"/>
    <n v="58000"/>
    <n v="75400"/>
    <s v="Aarvi Gupta"/>
    <n v="33150"/>
  </r>
  <r>
    <s v="140346"/>
    <x v="27"/>
    <s v="Suvankar Chakraborty"/>
    <s v="09/05/2020"/>
    <s v="Order"/>
    <s v="USB Keyboard"/>
    <s v="Keyboard"/>
    <x v="6"/>
    <n v="800"/>
    <n v="1040"/>
    <n v="3"/>
    <n v="2400"/>
    <n v="3120"/>
    <s v="Vijay Singh"/>
    <n v="3315"/>
  </r>
  <r>
    <s v="140347"/>
    <x v="27"/>
    <s v="Suvankar Adhikary"/>
    <s v="09/05/2020"/>
    <s v="Processing"/>
    <s v="Wireless Mouse"/>
    <s v="Mouse"/>
    <x v="0"/>
    <n v="600"/>
    <n v="780"/>
    <n v="4"/>
    <n v="2400"/>
    <n v="3120"/>
    <s v="Aadil Khan"/>
    <n v="1690"/>
  </r>
  <r>
    <s v="140348"/>
    <x v="27"/>
    <s v="Rahul Kumar Prajapati"/>
    <s v="09/05/2020"/>
    <s v="Delivered"/>
    <s v="21&quot; LCD Display"/>
    <s v="Monitor"/>
    <x v="6"/>
    <n v="10500"/>
    <n v="13650"/>
    <n v="2"/>
    <n v="21000"/>
    <n v="27300"/>
    <s v="Advika Joshi"/>
    <n v="9750"/>
  </r>
  <r>
    <s v="140349"/>
    <x v="27"/>
    <s v="Sagar Jeur"/>
    <s v="09/05/2020"/>
    <s v="Shipped"/>
    <s v="30 TB HDD"/>
    <s v="HDD"/>
    <x v="10"/>
    <n v="6500"/>
    <n v="8450"/>
    <n v="3"/>
    <n v="19500"/>
    <n v="25350"/>
    <s v="Ajay Sharma"/>
    <n v="39000"/>
  </r>
  <r>
    <s v="140350"/>
    <x v="27"/>
    <s v="Rhushikesh Mane"/>
    <s v="09/05/2020"/>
    <s v="Order"/>
    <s v="285 GB SSD"/>
    <s v="SSD"/>
    <x v="0"/>
    <n v="4500"/>
    <n v="5850"/>
    <n v="4"/>
    <n v="18000"/>
    <n v="23400"/>
    <s v="Roshan Kumar"/>
    <n v="8450"/>
  </r>
  <r>
    <s v="140351"/>
    <x v="27"/>
    <s v="Ashish Kumar"/>
    <s v="09/05/2020"/>
    <s v="Processing"/>
    <s v="Intel i3 11th gen."/>
    <s v="CPU"/>
    <x v="1"/>
    <n v="8500"/>
    <n v="11050"/>
    <n v="4"/>
    <n v="34000"/>
    <n v="44200"/>
    <s v="Aarvi Gupta"/>
    <n v="33150"/>
  </r>
  <r>
    <s v="140352"/>
    <x v="27"/>
    <s v="Javed Akhter"/>
    <s v="09/05/2020"/>
    <s v="Delivered"/>
    <s v="4GB Graphic card"/>
    <s v="Graphic Card"/>
    <x v="2"/>
    <n v="12500"/>
    <n v="16250"/>
    <n v="4"/>
    <n v="50000"/>
    <n v="65000"/>
    <s v="Vijay Singh"/>
    <n v="18200"/>
  </r>
  <r>
    <s v="140353"/>
    <x v="27"/>
    <s v="Haridas Balraj"/>
    <s v="09/05/2020"/>
    <s v="Shipped"/>
    <s v="37 GB DDR4 RAM"/>
    <s v="NIC"/>
    <x v="3"/>
    <n v="3500"/>
    <n v="4550"/>
    <n v="2"/>
    <n v="7000"/>
    <n v="9100"/>
    <s v="Aadil Khan"/>
    <n v="9100"/>
  </r>
  <r>
    <s v="140354"/>
    <x v="27"/>
    <s v="Kundan Kumar"/>
    <s v="09/05/2020"/>
    <s v="Order"/>
    <s v="BTX motherboard"/>
    <s v="Printer"/>
    <x v="4"/>
    <n v="4500"/>
    <n v="5850"/>
    <n v="4"/>
    <n v="18000"/>
    <n v="23400"/>
    <s v="Advika Joshi"/>
    <n v="11700"/>
  </r>
  <r>
    <s v="140355"/>
    <x v="27"/>
    <s v="Atif Siddiqui"/>
    <s v="09/05/2020"/>
    <s v="Processing"/>
    <s v="32 Fans Cabinet"/>
    <s v="Cabinet"/>
    <x v="5"/>
    <n v="2100"/>
    <n v="2730"/>
    <n v="4"/>
    <n v="8400"/>
    <n v="10920"/>
    <s v="Ajay Sharma"/>
    <n v="2990"/>
  </r>
  <r>
    <s v="140356"/>
    <x v="27"/>
    <s v="Aditya Agarwal"/>
    <s v="09/05/2020"/>
    <s v="Delivered"/>
    <s v="Wireless Keyboard"/>
    <s v="Keyboard"/>
    <x v="6"/>
    <n v="1150"/>
    <n v="1495"/>
    <n v="1"/>
    <n v="1150"/>
    <n v="1495"/>
    <s v="Roshan Kumar"/>
    <n v="3315"/>
  </r>
  <r>
    <s v="140357"/>
    <x v="27"/>
    <s v="Firdoush Jabee"/>
    <s v="10/05/2020"/>
    <s v="Shipped"/>
    <s v="USB Mouse"/>
    <s v="Mouse"/>
    <x v="0"/>
    <n v="350"/>
    <n v="455"/>
    <n v="1"/>
    <n v="350"/>
    <n v="455"/>
    <s v="Aarvi Gupta"/>
    <n v="1690"/>
  </r>
  <r>
    <s v="140358"/>
    <x v="27"/>
    <s v="Jay Prakash Kumar"/>
    <s v="10/05/2020"/>
    <s v="Order"/>
    <s v="19&quot; LED Display"/>
    <s v="Monitor"/>
    <x v="6"/>
    <n v="9500"/>
    <n v="12350"/>
    <n v="4"/>
    <n v="38000"/>
    <n v="49400"/>
    <s v="Vijay Singh"/>
    <n v="9750"/>
  </r>
  <r>
    <s v="140359"/>
    <x v="27"/>
    <s v="Ashish Pandey"/>
    <s v="10/05/2020"/>
    <s v="Processing"/>
    <s v="31 TB HDD"/>
    <s v="HDD"/>
    <x v="10"/>
    <n v="10000"/>
    <n v="13000"/>
    <n v="2"/>
    <n v="20000"/>
    <n v="26000"/>
    <s v="Aadil Khan"/>
    <n v="39000"/>
  </r>
  <r>
    <s v="140360"/>
    <x v="27"/>
    <s v="Ajay Sharma"/>
    <s v="10/05/2020"/>
    <s v="Delivered"/>
    <s v="541 GB M.2"/>
    <s v="SSD"/>
    <x v="0"/>
    <n v="6500"/>
    <n v="8450"/>
    <n v="3"/>
    <n v="19500"/>
    <n v="25350"/>
    <s v="Advika Joshi"/>
    <n v="8450"/>
  </r>
  <r>
    <s v="140361"/>
    <x v="27"/>
    <s v="Moinuddin Saifi"/>
    <s v="10/05/2020"/>
    <s v="Shipped"/>
    <s v="RYZEN 3rd gen. 3529"/>
    <s v="CPU"/>
    <x v="1"/>
    <n v="8500"/>
    <n v="11050"/>
    <n v="4"/>
    <n v="34000"/>
    <n v="44200"/>
    <s v="Ajay Sharma"/>
    <n v="33150"/>
  </r>
  <r>
    <s v="140362"/>
    <x v="27"/>
    <s v="Ramkrishna Das Adhikary"/>
    <s v="10/05/2020"/>
    <s v="Order"/>
    <s v="2GB Graphic Card"/>
    <s v="Graphic Card"/>
    <x v="2"/>
    <n v="7000"/>
    <n v="9100"/>
    <n v="4"/>
    <n v="28000"/>
    <n v="36400"/>
    <s v="Roshan Kumar"/>
    <n v="18200"/>
  </r>
  <r>
    <s v="140363"/>
    <x v="27"/>
    <s v="Ranjeet Mandal"/>
    <s v="10/05/2020"/>
    <s v="Processing"/>
    <s v="45 GB DDR4 RAM"/>
    <s v="NIC"/>
    <x v="3"/>
    <n v="6550"/>
    <n v="8515"/>
    <n v="1"/>
    <n v="6550"/>
    <n v="8515"/>
    <s v="Aarvi Gupta"/>
    <n v="9100"/>
  </r>
  <r>
    <s v="140364"/>
    <x v="27"/>
    <s v="Ashwini Adsare"/>
    <s v="10/05/2020"/>
    <s v="Delivered"/>
    <s v="Standard ATX motherboard"/>
    <s v="Printer"/>
    <x v="4"/>
    <n v="7650"/>
    <n v="9945"/>
    <n v="2"/>
    <n v="15300"/>
    <n v="19890"/>
    <s v="Vijay Singh"/>
    <n v="11700"/>
  </r>
  <r>
    <s v="140365"/>
    <x v="27"/>
    <s v="Rajesh Variya"/>
    <s v="10/05/2020"/>
    <s v="Shipped"/>
    <s v="Compact with 1 Fan"/>
    <s v="Cabinet"/>
    <x v="5"/>
    <n v="1150"/>
    <n v="1495"/>
    <n v="1"/>
    <n v="1150"/>
    <n v="1495"/>
    <s v="Aadil Khan"/>
    <n v="2990"/>
  </r>
  <r>
    <s v="140366"/>
    <x v="27"/>
    <s v="Amit Singh"/>
    <s v="10/05/2020"/>
    <s v="Order"/>
    <s v="USB Backlight Keyboard"/>
    <s v="Keyboard"/>
    <x v="6"/>
    <n v="850"/>
    <n v="1105"/>
    <n v="2"/>
    <n v="1700"/>
    <n v="2210"/>
    <s v="Advika Joshi"/>
    <n v="3315"/>
  </r>
  <r>
    <s v="140367"/>
    <x v="27"/>
    <s v="Vinod Mehta"/>
    <s v="10/05/2020"/>
    <s v="Processing"/>
    <s v="Ergonomic Mouse"/>
    <s v="Mouse"/>
    <x v="0"/>
    <n v="650"/>
    <n v="845"/>
    <n v="2"/>
    <n v="1300"/>
    <n v="1690"/>
    <s v="Ajay Sharma"/>
    <n v="1690"/>
  </r>
  <r>
    <s v="140368"/>
    <x v="27"/>
    <s v="Jignesh Mhatre"/>
    <s v="10/05/2020"/>
    <s v="Delivered"/>
    <s v="15&quot; LCD Dsipaly"/>
    <s v="Monitor"/>
    <x v="6"/>
    <n v="7500"/>
    <n v="9750"/>
    <n v="4"/>
    <n v="30000"/>
    <n v="39000"/>
    <s v="Roshan Kumar"/>
    <n v="9750"/>
  </r>
  <r>
    <s v="140369"/>
    <x v="27"/>
    <s v="Rahul Kashyap"/>
    <s v="10/05/2020"/>
    <s v="Shipped"/>
    <s v="31 TB HDD"/>
    <s v="HDD"/>
    <x v="7"/>
    <n v="10000"/>
    <n v="13000"/>
    <n v="3"/>
    <n v="30000"/>
    <n v="39000"/>
    <s v="Aarvi Gupta"/>
    <n v="39000"/>
  </r>
  <r>
    <s v="140370"/>
    <x v="27"/>
    <s v="Mohammed Abdul Kaleem"/>
    <s v="10/05/2020"/>
    <s v="Order"/>
    <s v="30 TB SSD"/>
    <s v="SSD"/>
    <x v="0"/>
    <n v="10500"/>
    <n v="13650"/>
    <n v="2"/>
    <n v="21000"/>
    <n v="27300"/>
    <s v="Vijay Singh"/>
    <n v="8450"/>
  </r>
  <r>
    <s v="140371"/>
    <x v="27"/>
    <s v="Chandrakant Kasbe"/>
    <s v="10/05/2020"/>
    <s v="Processing"/>
    <s v="Intel i5 12th gen."/>
    <s v="CPU"/>
    <x v="1"/>
    <n v="8500"/>
    <n v="11050"/>
    <n v="1"/>
    <n v="8500"/>
    <n v="11050"/>
    <s v="Aadil Khan"/>
    <n v="33150"/>
  </r>
  <r>
    <s v="140372"/>
    <x v="27"/>
    <s v="Rohan Kale"/>
    <s v="10/05/2020"/>
    <s v="Delivered"/>
    <s v="2GB Graphic Card"/>
    <s v="Graphic Card"/>
    <x v="2"/>
    <n v="7000"/>
    <n v="9100"/>
    <n v="4"/>
    <n v="28000"/>
    <n v="36400"/>
    <s v="Advika Joshi"/>
    <n v="18200"/>
  </r>
  <r>
    <s v="140373"/>
    <x v="27"/>
    <s v="Aniruddha Kekapure"/>
    <s v="10/05/2020"/>
    <s v="Shipped"/>
    <s v="33 GB DDR4 Ram"/>
    <s v="NIC"/>
    <x v="3"/>
    <n v="1680"/>
    <n v="2184"/>
    <n v="3"/>
    <n v="5040"/>
    <n v="6552"/>
    <s v="Ajay Sharma"/>
    <n v="9100"/>
  </r>
  <r>
    <s v="140374"/>
    <x v="27"/>
    <s v="Aslam Raza"/>
    <s v="10/05/2020"/>
    <s v="Order"/>
    <s v="Micro ATX motherboard"/>
    <s v="Printer"/>
    <x v="8"/>
    <n v="6540"/>
    <n v="8502"/>
    <n v="2"/>
    <n v="13080"/>
    <n v="17004"/>
    <s v="Roshan Kumar"/>
    <n v="11700"/>
  </r>
  <r>
    <s v="140375"/>
    <x v="27"/>
    <s v="Roshan Zameer"/>
    <s v="10/05/2020"/>
    <s v="Processing"/>
    <s v="Gaming Box Cabinet"/>
    <s v="Cabinet"/>
    <x v="5"/>
    <n v="2680"/>
    <n v="3484"/>
    <n v="4"/>
    <n v="10720"/>
    <n v="13936"/>
    <s v="Aarvi Gupta"/>
    <n v="2990"/>
  </r>
  <r>
    <s v="140376"/>
    <x v="27"/>
    <s v="Rakesh Kumar Sharma"/>
    <s v="10/05/2020"/>
    <s v="Delivered"/>
    <s v="17&quot; LCD Display"/>
    <s v="Monitor"/>
    <x v="0"/>
    <n v="8250"/>
    <n v="10725"/>
    <n v="3"/>
    <n v="24750"/>
    <n v="32175"/>
    <s v="Vijay Singh"/>
    <n v="9750"/>
  </r>
  <r>
    <s v="140377"/>
    <x v="27"/>
    <s v="Shivanand Sahani"/>
    <s v="10/05/2020"/>
    <s v="Shipped"/>
    <s v="37 GB DDR4 RAM"/>
    <s v="RAM"/>
    <x v="0"/>
    <n v="2650"/>
    <n v="3445"/>
    <n v="1"/>
    <n v="2650"/>
    <n v="3445"/>
    <s v="Aadil Khan"/>
    <n v="25545"/>
  </r>
  <r>
    <s v="140378"/>
    <x v="27"/>
    <s v="Kunal Patra"/>
    <s v="10/05/2020"/>
    <s v="Order"/>
    <s v="26&quot; LCD Display"/>
    <s v="Monitor"/>
    <x v="9"/>
    <n v="12550"/>
    <n v="16315"/>
    <n v="1"/>
    <n v="12550"/>
    <n v="16315"/>
    <s v="Advika Joshi"/>
    <n v="9750"/>
  </r>
  <r>
    <s v="140379"/>
    <x v="27"/>
    <s v="Bijendra"/>
    <s v="10/05/2020"/>
    <s v="Processing"/>
    <s v="I7 - intel 12th Generation"/>
    <s v="CPU"/>
    <x v="1"/>
    <n v="14500"/>
    <n v="18850"/>
    <n v="1"/>
    <n v="14500"/>
    <n v="18850"/>
    <s v="Ajay Sharma"/>
    <n v="33150"/>
  </r>
  <r>
    <s v="140380"/>
    <x v="27"/>
    <s v="Kranti Bheke"/>
    <s v="10/05/2020"/>
    <s v="Delivered"/>
    <s v="USB Keyboard"/>
    <s v="Keyboard"/>
    <x v="6"/>
    <n v="800"/>
    <n v="1040"/>
    <n v="2"/>
    <n v="1600"/>
    <n v="2080"/>
    <s v="Roshan Kumar"/>
    <n v="3315"/>
  </r>
  <r>
    <s v="140381"/>
    <x v="27"/>
    <s v="Jagdeep"/>
    <s v="10/05/2020"/>
    <s v="Shipped"/>
    <s v="Wireless Mouse"/>
    <s v="Mouse"/>
    <x v="0"/>
    <n v="600"/>
    <n v="780"/>
    <n v="2"/>
    <n v="1200"/>
    <n v="1560"/>
    <s v="Aarvi Gupta"/>
    <n v="1690"/>
  </r>
  <r>
    <s v="140382"/>
    <x v="27"/>
    <s v="Adhir Samal"/>
    <s v="10/05/2020"/>
    <s v="Order"/>
    <s v="21&quot; LCD Display"/>
    <s v="Monitor"/>
    <x v="6"/>
    <n v="10500"/>
    <n v="13650"/>
    <n v="4"/>
    <n v="42000"/>
    <n v="54600"/>
    <s v="Vijay Singh"/>
    <n v="9750"/>
  </r>
  <r>
    <s v="140383"/>
    <x v="27"/>
    <s v="Dannana Jhammi"/>
    <s v="10/05/2020"/>
    <s v="Processing"/>
    <s v="31 TB HDD"/>
    <s v="HDD"/>
    <x v="10"/>
    <n v="6500"/>
    <n v="8450"/>
    <n v="2"/>
    <n v="13000"/>
    <n v="16900"/>
    <s v="Aadil Khan"/>
    <n v="39000"/>
  </r>
  <r>
    <s v="140384"/>
    <x v="27"/>
    <s v="Vipin Kumar"/>
    <s v="10/05/2020"/>
    <s v="Delivered"/>
    <s v="286 GB SSD"/>
    <s v="SSD"/>
    <x v="0"/>
    <n v="4500"/>
    <n v="5850"/>
    <n v="3"/>
    <n v="13500"/>
    <n v="17550"/>
    <s v="Advika Joshi"/>
    <n v="8450"/>
  </r>
  <r>
    <s v="140385"/>
    <x v="27"/>
    <s v="Ranjeet Kumar"/>
    <s v="10/05/2020"/>
    <s v="Shipped"/>
    <s v="Intel i3 11th gen."/>
    <s v="CPU"/>
    <x v="1"/>
    <n v="8500"/>
    <n v="11050"/>
    <n v="3"/>
    <n v="25500"/>
    <n v="33150"/>
    <s v="Ajay Sharma"/>
    <n v="33150"/>
  </r>
  <r>
    <s v="140386"/>
    <x v="27"/>
    <s v="Sajal Singhal"/>
    <s v="10/05/2020"/>
    <s v="Order"/>
    <s v="4GB Graphic card"/>
    <s v="Graphic Card"/>
    <x v="2"/>
    <n v="12500"/>
    <n v="16250"/>
    <n v="2"/>
    <n v="25000"/>
    <n v="32500"/>
    <s v="Roshan Kumar"/>
    <n v="18200"/>
  </r>
  <r>
    <s v="140387"/>
    <x v="27"/>
    <s v="Akhilesh Kumar"/>
    <s v="10/05/2020"/>
    <s v="Processing"/>
    <s v="38 GB DDR4 RAM"/>
    <s v="RAM"/>
    <x v="3"/>
    <n v="3500"/>
    <n v="4550"/>
    <n v="4"/>
    <n v="14000"/>
    <n v="18200"/>
    <s v="Aarvi Gupta"/>
    <n v="25545"/>
  </r>
  <r>
    <s v="140388"/>
    <x v="27"/>
    <s v="Suvankar Chakraborty"/>
    <s v="11/05/2020"/>
    <s v="Delivered"/>
    <s v="BTX motherboard"/>
    <s v="MotherBoard"/>
    <x v="4"/>
    <n v="4500"/>
    <n v="5850"/>
    <n v="3"/>
    <n v="13500"/>
    <n v="17550"/>
    <s v="Vijay Singh"/>
    <n v="39780"/>
  </r>
  <r>
    <s v="140389"/>
    <x v="27"/>
    <s v="Suvankar Adhikary"/>
    <s v="11/05/2020"/>
    <s v="Shipped"/>
    <s v="33 Fans Cabinet"/>
    <s v="Cabinet"/>
    <x v="5"/>
    <n v="2100"/>
    <n v="2730"/>
    <n v="1"/>
    <n v="2100"/>
    <n v="2730"/>
    <s v="Aadil Khan"/>
    <n v="2990"/>
  </r>
  <r>
    <s v="140390"/>
    <x v="27"/>
    <s v="Rahul Kumar Prajapati"/>
    <s v="11/05/2020"/>
    <s v="Order"/>
    <s v="Wireless Keyboard"/>
    <s v="Keyboard"/>
    <x v="6"/>
    <n v="1150"/>
    <n v="1495"/>
    <n v="4"/>
    <n v="4600"/>
    <n v="5980"/>
    <s v="Advika Joshi"/>
    <n v="3315"/>
  </r>
  <r>
    <s v="140391"/>
    <x v="27"/>
    <s v="Sagar Jeur"/>
    <s v="11/05/2020"/>
    <s v="Processing"/>
    <s v="USB Mouse"/>
    <s v="Mouse"/>
    <x v="0"/>
    <n v="350"/>
    <n v="455"/>
    <n v="4"/>
    <n v="1400"/>
    <n v="1820"/>
    <s v="Ajay Sharma"/>
    <n v="1690"/>
  </r>
  <r>
    <s v="140392"/>
    <x v="27"/>
    <s v="Rhushikesh Mane"/>
    <s v="11/05/2020"/>
    <s v="Delivered"/>
    <s v="19&quot; LED Display"/>
    <s v="Monitor"/>
    <x v="6"/>
    <n v="9500"/>
    <n v="12350"/>
    <n v="3"/>
    <n v="28500"/>
    <n v="37050"/>
    <s v="Roshan Kumar"/>
    <n v="9750"/>
  </r>
  <r>
    <s v="140393"/>
    <x v="27"/>
    <s v="Ashish Kumar"/>
    <s v="11/05/2020"/>
    <s v="Shipped"/>
    <s v="32 TB HDD"/>
    <s v="HDD"/>
    <x v="10"/>
    <n v="10000"/>
    <n v="13000"/>
    <n v="2"/>
    <n v="20000"/>
    <n v="26000"/>
    <s v="Aarvi Gupta"/>
    <n v="39000"/>
  </r>
  <r>
    <s v="140394"/>
    <x v="27"/>
    <s v="Javed Akhter"/>
    <s v="11/05/2020"/>
    <s v="Order"/>
    <s v="542 GB M.2"/>
    <s v="SSD"/>
    <x v="0"/>
    <n v="6500"/>
    <n v="8450"/>
    <n v="4"/>
    <n v="26000"/>
    <n v="33800"/>
    <s v="Vijay Singh"/>
    <n v="8450"/>
  </r>
  <r>
    <s v="140395"/>
    <x v="27"/>
    <s v="Haridas Balraj"/>
    <s v="11/05/2020"/>
    <s v="Processing"/>
    <s v="RYZEN 3rd gen. 3530"/>
    <s v="CPU"/>
    <x v="1"/>
    <n v="8500"/>
    <n v="11050"/>
    <n v="4"/>
    <n v="34000"/>
    <n v="44200"/>
    <s v="Aadil Khan"/>
    <n v="33150"/>
  </r>
  <r>
    <s v="140396"/>
    <x v="27"/>
    <s v="Kundan Kumar"/>
    <s v="11/05/2020"/>
    <s v="Delivered"/>
    <s v="2GB Graphic Card"/>
    <s v="Graphic Card"/>
    <x v="2"/>
    <n v="7000"/>
    <n v="9100"/>
    <n v="1"/>
    <n v="7000"/>
    <n v="9100"/>
    <s v="Advika Joshi"/>
    <n v="18200"/>
  </r>
  <r>
    <s v="140397"/>
    <x v="27"/>
    <s v="Atif Siddiqui"/>
    <s v="11/05/2020"/>
    <s v="Shipped"/>
    <s v="46 GB DDR4 RAM"/>
    <s v="RAM"/>
    <x v="3"/>
    <n v="6550"/>
    <n v="8515"/>
    <n v="1"/>
    <n v="6550"/>
    <n v="8515"/>
    <s v="Ajay Sharma"/>
    <n v="25545"/>
  </r>
  <r>
    <s v="140398"/>
    <x v="27"/>
    <s v="Aditya Agarwal"/>
    <s v="11/05/2020"/>
    <s v="Order"/>
    <s v="Standard ATX motherboard"/>
    <s v="MotherBoard"/>
    <x v="4"/>
    <n v="7650"/>
    <n v="9945"/>
    <n v="1"/>
    <n v="7650"/>
    <n v="9945"/>
    <s v="Roshan Kumar"/>
    <n v="39780"/>
  </r>
  <r>
    <s v="140399"/>
    <x v="27"/>
    <s v="Firdoush Jabee"/>
    <s v="11/05/2020"/>
    <s v="Processing"/>
    <s v="Compact with 1 Fan"/>
    <s v="Cabinet"/>
    <x v="5"/>
    <n v="1150"/>
    <n v="1495"/>
    <n v="4"/>
    <n v="4600"/>
    <n v="5980"/>
    <s v="Aarvi Gupta"/>
    <n v="2990"/>
  </r>
  <r>
    <s v="140400"/>
    <x v="27"/>
    <s v="Jay Prakash Kumar"/>
    <s v="11/05/2020"/>
    <s v="Delivered"/>
    <s v="USB Backlight Keyboard"/>
    <s v="Keyboard"/>
    <x v="6"/>
    <n v="850"/>
    <n v="1105"/>
    <n v="3"/>
    <n v="2550"/>
    <n v="3315"/>
    <s v="Vijay Singh"/>
    <n v="3315"/>
  </r>
  <r>
    <s v="140401"/>
    <x v="27"/>
    <s v="Ashish Pandey"/>
    <s v="11/05/2020"/>
    <s v="Shipped"/>
    <s v="Ergonomic Mouse"/>
    <s v="Mouse"/>
    <x v="0"/>
    <n v="650"/>
    <n v="845"/>
    <n v="1"/>
    <n v="650"/>
    <n v="845"/>
    <s v="Aadil Khan"/>
    <n v="1690"/>
  </r>
  <r>
    <s v="140402"/>
    <x v="27"/>
    <s v="Ajay Sharma"/>
    <s v="11/05/2020"/>
    <s v="Order"/>
    <s v="15&quot; LCD Dsipaly"/>
    <s v="Monitor"/>
    <x v="6"/>
    <n v="7500"/>
    <n v="9750"/>
    <n v="2"/>
    <n v="15000"/>
    <n v="19500"/>
    <s v="Advika Joshi"/>
    <n v="9750"/>
  </r>
  <r>
    <s v="140403"/>
    <x v="27"/>
    <s v="Moinuddin Saifi"/>
    <s v="11/05/2020"/>
    <s v="Processing"/>
    <s v="32 TB HDD"/>
    <s v="HDD"/>
    <x v="7"/>
    <n v="10000"/>
    <n v="13000"/>
    <n v="1"/>
    <n v="10000"/>
    <n v="13000"/>
    <s v="Ajay Sharma"/>
    <n v="39000"/>
  </r>
  <r>
    <s v="140404"/>
    <x v="27"/>
    <s v="Ramkrishna Das Adhikary"/>
    <s v="11/05/2020"/>
    <s v="Delivered"/>
    <s v="31 TB SSD"/>
    <s v="SSD"/>
    <x v="0"/>
    <n v="10500"/>
    <n v="13650"/>
    <n v="3"/>
    <n v="31500"/>
    <n v="40950"/>
    <s v="Roshan Kumar"/>
    <n v="8450"/>
  </r>
  <r>
    <s v="140405"/>
    <x v="27"/>
    <s v="Ranjeet Mandal"/>
    <s v="11/05/2020"/>
    <s v="Shipped"/>
    <s v="Intel i5 12th gen."/>
    <s v="CPU"/>
    <x v="1"/>
    <n v="8500"/>
    <n v="11050"/>
    <n v="2"/>
    <n v="17000"/>
    <n v="22100"/>
    <s v="Aarvi Gupta"/>
    <n v="33150"/>
  </r>
  <r>
    <s v="140406"/>
    <x v="27"/>
    <s v="Ashwini Adsare"/>
    <s v="11/05/2020"/>
    <s v="Order"/>
    <s v="2GB Graphic Card"/>
    <s v="Graphic Card"/>
    <x v="2"/>
    <n v="7000"/>
    <n v="9100"/>
    <n v="3"/>
    <n v="21000"/>
    <n v="27300"/>
    <s v="Vijay Singh"/>
    <n v="18200"/>
  </r>
  <r>
    <s v="140407"/>
    <x v="27"/>
    <s v="Rajesh Variya"/>
    <s v="11/05/2020"/>
    <s v="Processing"/>
    <s v="34 GB DDR4 Ram"/>
    <s v="RAM"/>
    <x v="3"/>
    <n v="1680"/>
    <n v="2184"/>
    <n v="4"/>
    <n v="6720"/>
    <n v="8736"/>
    <s v="Aadil Khan"/>
    <n v="25545"/>
  </r>
  <r>
    <s v="140408"/>
    <x v="27"/>
    <s v="Amit Singh"/>
    <s v="11/05/2020"/>
    <s v="Delivered"/>
    <s v="Micro ATX motherboard"/>
    <s v="MotherBoard"/>
    <x v="8"/>
    <n v="6540"/>
    <n v="8502"/>
    <n v="3"/>
    <n v="19620"/>
    <n v="25506"/>
    <s v="Advika Joshi"/>
    <n v="39780"/>
  </r>
  <r>
    <s v="140409"/>
    <x v="27"/>
    <s v="Vinod Mehta"/>
    <s v="11/05/2020"/>
    <s v="Shipped"/>
    <s v="Gaming Box Cabinet"/>
    <s v="Cabinet"/>
    <x v="5"/>
    <n v="2680"/>
    <n v="3484"/>
    <n v="4"/>
    <n v="10720"/>
    <n v="13936"/>
    <s v="Ajay Sharma"/>
    <n v="2990"/>
  </r>
  <r>
    <s v="140410"/>
    <x v="27"/>
    <s v="Jignesh Mhatre"/>
    <s v="11/05/2020"/>
    <s v="Order"/>
    <s v="17&quot; LCD Display"/>
    <s v="Monitor"/>
    <x v="0"/>
    <n v="8250"/>
    <n v="10725"/>
    <n v="3"/>
    <n v="24750"/>
    <n v="32175"/>
    <s v="Roshan Kumar"/>
    <n v="9750"/>
  </r>
  <r>
    <s v="140411"/>
    <x v="27"/>
    <s v="Rahul Kashyap"/>
    <s v="11/05/2020"/>
    <s v="Processing"/>
    <s v="38 GB DDR4 RAM"/>
    <s v="RAM"/>
    <x v="0"/>
    <n v="2650"/>
    <n v="3445"/>
    <n v="4"/>
    <n v="10600"/>
    <n v="13780"/>
    <s v="Aarvi Gupta"/>
    <n v="25545"/>
  </r>
  <r>
    <s v="140412"/>
    <x v="27"/>
    <s v="Mohammed Abdul Kaleem"/>
    <s v="11/05/2020"/>
    <s v="Delivered"/>
    <s v="26&quot; LCD Display"/>
    <s v="Monitor"/>
    <x v="9"/>
    <n v="12550"/>
    <n v="16315"/>
    <n v="1"/>
    <n v="12550"/>
    <n v="16315"/>
    <s v="Vijay Singh"/>
    <n v="9750"/>
  </r>
  <r>
    <s v="140413"/>
    <x v="27"/>
    <s v="Chandrakant Kasbe"/>
    <s v="11/05/2020"/>
    <s v="Shipped"/>
    <s v="I7 - intel 12th Generation"/>
    <s v="CPU"/>
    <x v="1"/>
    <n v="14500"/>
    <n v="18850"/>
    <n v="1"/>
    <n v="14500"/>
    <n v="18850"/>
    <s v="Aadil Khan"/>
    <n v="33150"/>
  </r>
  <r>
    <s v="140414"/>
    <x v="27"/>
    <s v="Rohan Kale"/>
    <s v="11/05/2020"/>
    <s v="Order"/>
    <s v="USB Keyboard"/>
    <s v="Keyboard"/>
    <x v="6"/>
    <n v="800"/>
    <n v="1040"/>
    <n v="3"/>
    <n v="2400"/>
    <n v="3120"/>
    <s v="Advika Joshi"/>
    <n v="3315"/>
  </r>
  <r>
    <s v="140415"/>
    <x v="27"/>
    <s v="Aniruddha Kekapure"/>
    <s v="11/05/2020"/>
    <s v="Processing"/>
    <s v="Wireless Mouse"/>
    <s v="Mouse"/>
    <x v="0"/>
    <n v="600"/>
    <n v="780"/>
    <n v="1"/>
    <n v="600"/>
    <n v="780"/>
    <s v="Ajay Sharma"/>
    <n v="1690"/>
  </r>
  <r>
    <s v="140416"/>
    <x v="27"/>
    <s v="Aslam Raza"/>
    <s v="11/05/2020"/>
    <s v="Delivered"/>
    <s v="21&quot; LCD Display"/>
    <s v="Monitor"/>
    <x v="6"/>
    <n v="10500"/>
    <n v="13650"/>
    <n v="3"/>
    <n v="31500"/>
    <n v="40950"/>
    <s v="Roshan Kumar"/>
    <n v="9750"/>
  </r>
  <r>
    <s v="140417"/>
    <x v="27"/>
    <s v="Roshan Zameer"/>
    <s v="11/05/2020"/>
    <s v="Shipped"/>
    <s v="32 TB HDD"/>
    <s v="HDD"/>
    <x v="10"/>
    <n v="6500"/>
    <n v="8450"/>
    <n v="2"/>
    <n v="13000"/>
    <n v="16900"/>
    <s v="Aarvi Gupta"/>
    <n v="39000"/>
  </r>
  <r>
    <s v="140418"/>
    <x v="27"/>
    <s v="Rakesh Kumar Sharma"/>
    <s v="11/05/2020"/>
    <s v="Order"/>
    <s v="287 GB SSD"/>
    <s v="SSD"/>
    <x v="0"/>
    <n v="4500"/>
    <n v="5850"/>
    <n v="4"/>
    <n v="18000"/>
    <n v="23400"/>
    <s v="Vijay Singh"/>
    <n v="8450"/>
  </r>
  <r>
    <s v="140419"/>
    <x v="27"/>
    <s v="Shivanand Sahani"/>
    <s v="11/05/2020"/>
    <s v="Processing"/>
    <s v="Intel i3 11th gen."/>
    <s v="CPU"/>
    <x v="1"/>
    <n v="8500"/>
    <n v="11050"/>
    <n v="1"/>
    <n v="8500"/>
    <n v="11050"/>
    <s v="Aadil Khan"/>
    <n v="33150"/>
  </r>
  <r>
    <s v="140420"/>
    <x v="27"/>
    <s v="Kunal Patra"/>
    <s v="11/05/2020"/>
    <s v="Delivered"/>
    <s v="4GB Graphic card"/>
    <s v="Graphic Card"/>
    <x v="2"/>
    <n v="12500"/>
    <n v="16250"/>
    <n v="2"/>
    <n v="25000"/>
    <n v="32500"/>
    <s v="Advika Joshi"/>
    <n v="18200"/>
  </r>
  <r>
    <s v="140421"/>
    <x v="27"/>
    <s v="Bijendra"/>
    <s v="11/05/2020"/>
    <s v="Shipped"/>
    <s v="39 GB DDR4 RAM"/>
    <s v="Computer Case"/>
    <x v="3"/>
    <n v="3500"/>
    <n v="4550"/>
    <n v="4"/>
    <n v="14000"/>
    <n v="18200"/>
    <s v="Ajay Sharma"/>
    <n v="13650"/>
  </r>
  <r>
    <s v="140422"/>
    <x v="27"/>
    <s v="Kranti Bheke"/>
    <s v="11/05/2020"/>
    <s v="Order"/>
    <s v="BTX motherboard"/>
    <s v="Mouse"/>
    <x v="4"/>
    <n v="4500"/>
    <n v="5850"/>
    <n v="4"/>
    <n v="18000"/>
    <n v="23400"/>
    <s v="Roshan Kumar"/>
    <n v="1690"/>
  </r>
  <r>
    <s v="140423"/>
    <x v="27"/>
    <s v="Jagdeep"/>
    <s v="11/05/2020"/>
    <s v="Processing"/>
    <s v="34 Fans Cabinet"/>
    <s v="Cabinet"/>
    <x v="5"/>
    <n v="2100"/>
    <n v="2730"/>
    <n v="1"/>
    <n v="2100"/>
    <n v="2730"/>
    <s v="Aarvi Gupta"/>
    <n v="2990"/>
  </r>
  <r>
    <s v="140424"/>
    <x v="27"/>
    <s v="Adhir Samal"/>
    <s v="11/05/2020"/>
    <s v="Delivered"/>
    <s v="Wireless Keyboard"/>
    <s v="Keyboard"/>
    <x v="6"/>
    <n v="1150"/>
    <n v="1495"/>
    <n v="3"/>
    <n v="3450"/>
    <n v="4485"/>
    <s v="Vijay Singh"/>
    <n v="3315"/>
  </r>
  <r>
    <s v="140425"/>
    <x v="27"/>
    <s v="Dannana Jhammi"/>
    <s v="11/05/2020"/>
    <s v="Shipped"/>
    <s v="USB Mouse"/>
    <s v="Mouse"/>
    <x v="0"/>
    <n v="350"/>
    <n v="455"/>
    <n v="1"/>
    <n v="350"/>
    <n v="455"/>
    <s v="Aadil Khan"/>
    <n v="1690"/>
  </r>
  <r>
    <s v="140426"/>
    <x v="27"/>
    <s v="Vipin Kumar"/>
    <s v="11/05/2020"/>
    <s v="Order"/>
    <s v="19&quot; LED Display"/>
    <s v="Monitor"/>
    <x v="6"/>
    <n v="9500"/>
    <n v="12350"/>
    <n v="4"/>
    <n v="38000"/>
    <n v="49400"/>
    <s v="Advika Joshi"/>
    <n v="9750"/>
  </r>
  <r>
    <s v="140427"/>
    <x v="27"/>
    <s v="Ranjeet Kumar"/>
    <s v="11/05/2020"/>
    <s v="Processing"/>
    <s v="33 TB HDD"/>
    <s v="HDD"/>
    <x v="10"/>
    <n v="10000"/>
    <n v="13000"/>
    <n v="2"/>
    <n v="20000"/>
    <n v="26000"/>
    <s v="Ajay Sharma"/>
    <n v="39000"/>
  </r>
  <r>
    <s v="140428"/>
    <x v="27"/>
    <s v="Sajal Singhal"/>
    <s v="11/05/2020"/>
    <s v="Delivered"/>
    <s v="543 GB M.2"/>
    <s v="SSD"/>
    <x v="0"/>
    <n v="6500"/>
    <n v="8450"/>
    <n v="2"/>
    <n v="13000"/>
    <n v="16900"/>
    <s v="Roshan Kumar"/>
    <n v="8450"/>
  </r>
  <r>
    <s v="140429"/>
    <x v="27"/>
    <s v="Akhilesh Kumar"/>
    <s v="11/05/2020"/>
    <s v="Shipped"/>
    <s v="RYZEN 3rd gen. 3531"/>
    <s v="CPU"/>
    <x v="1"/>
    <n v="8500"/>
    <n v="11050"/>
    <n v="1"/>
    <n v="8500"/>
    <n v="11050"/>
    <s v="Aarvi Gupta"/>
    <n v="33150"/>
  </r>
  <r>
    <s v="140430"/>
    <x v="27"/>
    <s v="Suvankar Chakraborty"/>
    <s v="11/05/2020"/>
    <s v="Order"/>
    <s v="2GB Graphic Card"/>
    <s v="Graphic Card"/>
    <x v="2"/>
    <n v="7000"/>
    <n v="9100"/>
    <n v="1"/>
    <n v="7000"/>
    <n v="9100"/>
    <s v="Vijay Singh"/>
    <n v="18200"/>
  </r>
  <r>
    <s v="140431"/>
    <x v="27"/>
    <s v="Suvankar Adhikary"/>
    <s v="11/05/2020"/>
    <s v="Processing"/>
    <s v="47 GB DDR4 RAM"/>
    <s v="Computer Case"/>
    <x v="3"/>
    <n v="6550"/>
    <n v="8515"/>
    <n v="1"/>
    <n v="6550"/>
    <n v="8515"/>
    <s v="Aadil Khan"/>
    <n v="13650"/>
  </r>
  <r>
    <s v="140432"/>
    <x v="27"/>
    <s v="Rahul Kumar Prajapati"/>
    <s v="11/05/2020"/>
    <s v="Delivered"/>
    <s v="Standard ATX motherboard"/>
    <s v="Mouse"/>
    <x v="4"/>
    <n v="7650"/>
    <n v="9945"/>
    <n v="2"/>
    <n v="15300"/>
    <n v="19890"/>
    <s v="Advika Joshi"/>
    <n v="1690"/>
  </r>
  <r>
    <s v="140433"/>
    <x v="27"/>
    <s v="Sagar Jeur"/>
    <s v="11/05/2020"/>
    <s v="Shipped"/>
    <s v="Compact with 1 Fan"/>
    <s v="Cabinet"/>
    <x v="5"/>
    <n v="1150"/>
    <n v="1495"/>
    <n v="3"/>
    <n v="3450"/>
    <n v="4485"/>
    <s v="Ajay Sharma"/>
    <n v="2990"/>
  </r>
  <r>
    <s v="140434"/>
    <x v="27"/>
    <s v="Rhushikesh Mane"/>
    <s v="11/05/2020"/>
    <s v="Order"/>
    <s v="USB Backlight Keyboard"/>
    <s v="Keyboard"/>
    <x v="6"/>
    <n v="850"/>
    <n v="1105"/>
    <n v="2"/>
    <n v="1700"/>
    <n v="2210"/>
    <s v="Roshan Kumar"/>
    <n v="3315"/>
  </r>
  <r>
    <s v="140435"/>
    <x v="27"/>
    <s v="Ashish Kumar"/>
    <s v="11/05/2020"/>
    <s v="Processing"/>
    <s v="Ergonomic Mouse"/>
    <s v="Mouse"/>
    <x v="0"/>
    <n v="650"/>
    <n v="845"/>
    <n v="1"/>
    <n v="650"/>
    <n v="845"/>
    <s v="Aarvi Gupta"/>
    <n v="1690"/>
  </r>
  <r>
    <s v="140436"/>
    <x v="27"/>
    <s v="Javed Akhter"/>
    <s v="12/05/2020"/>
    <s v="Delivered"/>
    <s v="15&quot; LCD Dsipaly"/>
    <s v="Monitor"/>
    <x v="6"/>
    <n v="7500"/>
    <n v="9750"/>
    <n v="4"/>
    <n v="30000"/>
    <n v="39000"/>
    <s v="Vijay Singh"/>
    <n v="9750"/>
  </r>
  <r>
    <s v="140437"/>
    <x v="27"/>
    <s v="Haridas Balraj"/>
    <s v="13/05/2020"/>
    <s v="Shipped"/>
    <s v="33 TB HDD"/>
    <s v="HDD"/>
    <x v="7"/>
    <n v="10000"/>
    <n v="13000"/>
    <n v="4"/>
    <n v="40000"/>
    <n v="52000"/>
    <s v="Aadil Khan"/>
    <n v="39000"/>
  </r>
  <r>
    <s v="140438"/>
    <x v="27"/>
    <s v="Kundan Kumar"/>
    <s v="14/05/2020"/>
    <s v="Order"/>
    <s v="32 TB SSD"/>
    <s v="SSD"/>
    <x v="0"/>
    <n v="10500"/>
    <n v="13650"/>
    <n v="2"/>
    <n v="21000"/>
    <n v="27300"/>
    <s v="Advika Joshi"/>
    <n v="8450"/>
  </r>
  <r>
    <s v="140439"/>
    <x v="27"/>
    <s v="Atif Siddiqui"/>
    <s v="15/05/2020"/>
    <s v="Processing"/>
    <s v="Intel i5 12th gen."/>
    <s v="CPU"/>
    <x v="1"/>
    <n v="8500"/>
    <n v="11050"/>
    <n v="2"/>
    <n v="17000"/>
    <n v="22100"/>
    <s v="Ajay Sharma"/>
    <n v="33150"/>
  </r>
  <r>
    <s v="140440"/>
    <x v="27"/>
    <s v="Aditya Agarwal"/>
    <s v="16/05/2020"/>
    <s v="Delivered"/>
    <s v="2GB Graphic Card"/>
    <s v="Graphic Card"/>
    <x v="2"/>
    <n v="7000"/>
    <n v="9100"/>
    <n v="1"/>
    <n v="7000"/>
    <n v="9100"/>
    <s v="Roshan Kumar"/>
    <n v="18200"/>
  </r>
  <r>
    <s v="140441"/>
    <x v="27"/>
    <s v="Firdoush Jabee"/>
    <s v="17/05/2020"/>
    <s v="Shipped"/>
    <s v="35 GB DDR4 Ram"/>
    <s v="Computer Case"/>
    <x v="3"/>
    <n v="1680"/>
    <n v="2184"/>
    <n v="2"/>
    <n v="3360"/>
    <n v="4368"/>
    <s v="Aarvi Gupta"/>
    <n v="13650"/>
  </r>
  <r>
    <s v="140442"/>
    <x v="27"/>
    <s v="Jay Prakash Kumar"/>
    <s v="18/05/2020"/>
    <s v="Order"/>
    <s v="Micro ATX motherboard"/>
    <s v="Mouse"/>
    <x v="8"/>
    <n v="6540"/>
    <n v="8502"/>
    <n v="2"/>
    <n v="13080"/>
    <n v="17004"/>
    <s v="Vijay Singh"/>
    <n v="1690"/>
  </r>
  <r>
    <s v="140443"/>
    <x v="27"/>
    <s v="Ashish Pandey"/>
    <s v="19/05/2020"/>
    <s v="Processing"/>
    <s v="Gaming Box Cabinet"/>
    <s v="Cabinet"/>
    <x v="5"/>
    <n v="2680"/>
    <n v="3484"/>
    <n v="2"/>
    <n v="5360"/>
    <n v="6968"/>
    <s v="Aadil Khan"/>
    <n v="2990"/>
  </r>
  <r>
    <s v="140444"/>
    <x v="27"/>
    <s v="Ajay Sharma"/>
    <s v="19/05/2020"/>
    <s v="Delivered"/>
    <s v="17&quot; LCD Display"/>
    <s v="Monitor"/>
    <x v="0"/>
    <n v="8250"/>
    <n v="10725"/>
    <n v="3"/>
    <n v="24750"/>
    <n v="32175"/>
    <s v="Advika Joshi"/>
    <n v="9750"/>
  </r>
  <r>
    <s v="140445"/>
    <x v="27"/>
    <s v="Moinuddin Saifi"/>
    <s v="19/05/2020"/>
    <s v="Shipped"/>
    <s v="39 GB DDR4 RAM"/>
    <s v="RAM"/>
    <x v="0"/>
    <n v="2650"/>
    <n v="3445"/>
    <n v="3"/>
    <n v="7950"/>
    <n v="10335"/>
    <s v="Ajay Sharma"/>
    <n v="25545"/>
  </r>
  <r>
    <s v="140446"/>
    <x v="27"/>
    <s v="Ramkrishna Das Adhikary"/>
    <s v="19/05/2020"/>
    <s v="Order"/>
    <s v="26&quot; LCD Display"/>
    <s v="Monitor"/>
    <x v="9"/>
    <n v="12550"/>
    <n v="16315"/>
    <n v="4"/>
    <n v="50200"/>
    <n v="65260"/>
    <s v="Roshan Kumar"/>
    <n v="9750"/>
  </r>
  <r>
    <s v="140447"/>
    <x v="1"/>
    <s v="Ranjeet Mandal"/>
    <s v="19/05/2020"/>
    <s v="Processing"/>
    <s v="I7 - intel 12th Generation"/>
    <s v="CPU"/>
    <x v="1"/>
    <n v="14500"/>
    <n v="18850"/>
    <n v="4"/>
    <n v="58000"/>
    <n v="75400"/>
    <s v="Aarvi Gupta"/>
    <n v="33150"/>
  </r>
  <r>
    <s v="140448"/>
    <x v="2"/>
    <s v="Ashwini Adsare"/>
    <s v="19/05/2020"/>
    <s v="Delivered"/>
    <s v="USB Keyboard"/>
    <s v="Keyboard"/>
    <x v="6"/>
    <n v="800"/>
    <n v="1040"/>
    <n v="3"/>
    <n v="2400"/>
    <n v="3120"/>
    <s v="Vijay Singh"/>
    <n v="3315"/>
  </r>
  <r>
    <s v="140449"/>
    <x v="3"/>
    <s v="Rajesh Variya"/>
    <s v="19/05/2020"/>
    <s v="Shipped"/>
    <s v="Wireless Mouse"/>
    <s v="Mouse"/>
    <x v="0"/>
    <n v="600"/>
    <n v="780"/>
    <n v="3"/>
    <n v="1800"/>
    <n v="2340"/>
    <s v="Aadil Khan"/>
    <n v="1690"/>
  </r>
  <r>
    <s v="140450"/>
    <x v="24"/>
    <s v="Amit Singh"/>
    <s v="19/05/2020"/>
    <s v="Order"/>
    <s v="21&quot; LCD Display"/>
    <s v="Monitor"/>
    <x v="6"/>
    <n v="10500"/>
    <n v="13650"/>
    <n v="3"/>
    <n v="31500"/>
    <n v="40950"/>
    <s v="Advika Joshi"/>
    <n v="9750"/>
  </r>
  <r>
    <s v="140451"/>
    <x v="25"/>
    <s v="Vinod Mehta"/>
    <s v="19/05/2020"/>
    <s v="Processing"/>
    <s v="33 TB HDD"/>
    <s v="HDD"/>
    <x v="10"/>
    <n v="6500"/>
    <n v="8450"/>
    <n v="1"/>
    <n v="6500"/>
    <n v="8450"/>
    <s v="Ajay Sharma"/>
    <n v="39000"/>
  </r>
  <r>
    <s v="140452"/>
    <x v="25"/>
    <s v="Jignesh Mhatre"/>
    <s v="19/05/2020"/>
    <s v="Delivered"/>
    <s v="288 GB SSD"/>
    <s v="SSD"/>
    <x v="0"/>
    <n v="4500"/>
    <n v="5850"/>
    <n v="4"/>
    <n v="18000"/>
    <n v="23400"/>
    <s v="Roshan Kumar"/>
    <n v="8450"/>
  </r>
  <r>
    <s v="140453"/>
    <x v="25"/>
    <s v="Rahul Kashyap"/>
    <s v="19/05/2020"/>
    <s v="Shipped"/>
    <s v="Intel i3 11th gen."/>
    <s v="CPU"/>
    <x v="1"/>
    <n v="8500"/>
    <n v="11050"/>
    <n v="2"/>
    <n v="17000"/>
    <n v="22100"/>
    <s v="Aarvi Gupta"/>
    <n v="33150"/>
  </r>
  <r>
    <s v="140454"/>
    <x v="25"/>
    <s v="Mohammed Abdul Kaleem"/>
    <s v="19/05/2020"/>
    <s v="Order"/>
    <s v="4GB Graphic card"/>
    <s v="Graphic Card"/>
    <x v="2"/>
    <n v="12500"/>
    <n v="16250"/>
    <n v="2"/>
    <n v="25000"/>
    <n v="32500"/>
    <s v="Vijay Singh"/>
    <n v="18200"/>
  </r>
  <r>
    <s v="140455"/>
    <x v="25"/>
    <s v="Chandrakant Kasbe"/>
    <s v="19/05/2020"/>
    <s v="Processing"/>
    <s v="40 GB DDR4 RAM"/>
    <s v="NIC"/>
    <x v="3"/>
    <n v="3500"/>
    <n v="4550"/>
    <n v="3"/>
    <n v="10500"/>
    <n v="13650"/>
    <s v="Aadil Khan"/>
    <n v="9100"/>
  </r>
  <r>
    <s v="140456"/>
    <x v="25"/>
    <s v="Rohan Kale"/>
    <s v="19/05/2020"/>
    <s v="Delivered"/>
    <s v="BTX motherboard"/>
    <s v="Printer"/>
    <x v="4"/>
    <n v="4500"/>
    <n v="5850"/>
    <n v="3"/>
    <n v="13500"/>
    <n v="17550"/>
    <s v="Advika Joshi"/>
    <n v="11700"/>
  </r>
  <r>
    <s v="140457"/>
    <x v="25"/>
    <s v="Aniruddha Kekapure"/>
    <s v="19/05/2020"/>
    <s v="Shipped"/>
    <s v="35 Fans Cabinet"/>
    <s v="Cabinet"/>
    <x v="5"/>
    <n v="2100"/>
    <n v="2730"/>
    <n v="4"/>
    <n v="8400"/>
    <n v="10920"/>
    <s v="Ajay Sharma"/>
    <n v="2990"/>
  </r>
  <r>
    <s v="140458"/>
    <x v="25"/>
    <s v="Aslam Raza"/>
    <s v="19/05/2020"/>
    <s v="Order"/>
    <s v="Wireless Keyboard"/>
    <s v="Keyboard"/>
    <x v="6"/>
    <n v="1150"/>
    <n v="1495"/>
    <n v="2"/>
    <n v="2300"/>
    <n v="2990"/>
    <s v="Roshan Kumar"/>
    <n v="3315"/>
  </r>
  <r>
    <s v="140459"/>
    <x v="25"/>
    <s v="Roshan Zameer"/>
    <s v="19/05/2020"/>
    <s v="Processing"/>
    <s v="USB Mouse"/>
    <s v="Mouse"/>
    <x v="0"/>
    <n v="350"/>
    <n v="455"/>
    <n v="2"/>
    <n v="700"/>
    <n v="910"/>
    <s v="Aarvi Gupta"/>
    <n v="1690"/>
  </r>
  <r>
    <s v="140460"/>
    <x v="25"/>
    <s v="Rakesh Kumar Sharma"/>
    <s v="19/05/2020"/>
    <s v="Delivered"/>
    <s v="19&quot; LED Display"/>
    <s v="Monitor"/>
    <x v="6"/>
    <n v="9500"/>
    <n v="12350"/>
    <n v="4"/>
    <n v="38000"/>
    <n v="49400"/>
    <s v="Vijay Singh"/>
    <n v="9750"/>
  </r>
  <r>
    <s v="140461"/>
    <x v="25"/>
    <s v="Shivanand Sahani"/>
    <s v="19/05/2020"/>
    <s v="Shipped"/>
    <s v="34 TB HDD"/>
    <s v="HDD"/>
    <x v="10"/>
    <n v="10000"/>
    <n v="13000"/>
    <n v="1"/>
    <n v="10000"/>
    <n v="13000"/>
    <s v="Aadil Khan"/>
    <n v="39000"/>
  </r>
  <r>
    <s v="140462"/>
    <x v="25"/>
    <s v="Kunal Patra"/>
    <s v="19/05/2020"/>
    <s v="Order"/>
    <s v="544 GB M.2"/>
    <s v="SSD"/>
    <x v="0"/>
    <n v="6500"/>
    <n v="8450"/>
    <n v="1"/>
    <n v="6500"/>
    <n v="8450"/>
    <s v="Advika Joshi"/>
    <n v="8450"/>
  </r>
  <r>
    <s v="140463"/>
    <x v="25"/>
    <s v="Bijendra"/>
    <s v="19/05/2020"/>
    <s v="Processing"/>
    <s v="RYZEN 3rd gen. 3532"/>
    <s v="CPU"/>
    <x v="1"/>
    <n v="8500"/>
    <n v="11050"/>
    <n v="1"/>
    <n v="8500"/>
    <n v="11050"/>
    <s v="Ajay Sharma"/>
    <n v="33150"/>
  </r>
  <r>
    <s v="140464"/>
    <x v="25"/>
    <s v="Kranti Bheke"/>
    <s v="19/05/2020"/>
    <s v="Delivered"/>
    <s v="2GB Graphic Card"/>
    <s v="Graphic Card"/>
    <x v="2"/>
    <n v="7000"/>
    <n v="9100"/>
    <n v="2"/>
    <n v="14000"/>
    <n v="18200"/>
    <s v="Roshan Kumar"/>
    <n v="18200"/>
  </r>
  <r>
    <s v="140465"/>
    <x v="25"/>
    <s v="Jagdeep"/>
    <s v="19/05/2020"/>
    <s v="Shipped"/>
    <s v="48 GB DDR4 RAM"/>
    <s v="NIC"/>
    <x v="3"/>
    <n v="6550"/>
    <n v="8515"/>
    <n v="2"/>
    <n v="13100"/>
    <n v="17030"/>
    <s v="Aarvi Gupta"/>
    <n v="9100"/>
  </r>
  <r>
    <s v="140466"/>
    <x v="25"/>
    <s v="Adhir Samal"/>
    <s v="19/05/2020"/>
    <s v="Order"/>
    <s v="Standard ATX motherboard"/>
    <s v="Printer"/>
    <x v="4"/>
    <n v="7650"/>
    <n v="9945"/>
    <n v="3"/>
    <n v="22950"/>
    <n v="29835"/>
    <s v="Vijay Singh"/>
    <n v="11700"/>
  </r>
  <r>
    <s v="140467"/>
    <x v="25"/>
    <s v="Dannana Jhammi"/>
    <s v="19/05/2020"/>
    <s v="Processing"/>
    <s v="Compact with 1 Fan"/>
    <s v="Cabinet"/>
    <x v="5"/>
    <n v="1150"/>
    <n v="1495"/>
    <n v="4"/>
    <n v="4600"/>
    <n v="5980"/>
    <s v="Aadil Khan"/>
    <n v="2990"/>
  </r>
  <r>
    <s v="140468"/>
    <x v="25"/>
    <s v="Vipin Kumar"/>
    <s v="19/05/2020"/>
    <s v="Delivered"/>
    <s v="USB Backlight Keyboard"/>
    <s v="Keyboard"/>
    <x v="6"/>
    <n v="850"/>
    <n v="1105"/>
    <n v="2"/>
    <n v="1700"/>
    <n v="2210"/>
    <s v="Advika Joshi"/>
    <n v="3315"/>
  </r>
  <r>
    <s v="140469"/>
    <x v="25"/>
    <s v="Ranjeet Kumar"/>
    <s v="19/05/2020"/>
    <s v="Shipped"/>
    <s v="Ergonomic Mouse"/>
    <s v="Mouse"/>
    <x v="0"/>
    <n v="650"/>
    <n v="845"/>
    <n v="3"/>
    <n v="1950"/>
    <n v="2535"/>
    <s v="Ajay Sharma"/>
    <n v="1690"/>
  </r>
  <r>
    <s v="140470"/>
    <x v="25"/>
    <s v="Sajal Singhal"/>
    <s v="19/05/2020"/>
    <s v="Order"/>
    <s v="15&quot; LCD Dsipaly"/>
    <s v="Monitor"/>
    <x v="6"/>
    <n v="7500"/>
    <n v="9750"/>
    <n v="1"/>
    <n v="7500"/>
    <n v="9750"/>
    <s v="Roshan Kumar"/>
    <n v="9750"/>
  </r>
  <r>
    <s v="140471"/>
    <x v="25"/>
    <s v="Akhilesh Kumar"/>
    <s v="19/05/2020"/>
    <s v="Processing"/>
    <s v="34 TB HDD"/>
    <s v="HDD"/>
    <x v="7"/>
    <n v="10000"/>
    <n v="13000"/>
    <n v="3"/>
    <n v="30000"/>
    <n v="39000"/>
    <s v="Aarvi Gupta"/>
    <n v="39000"/>
  </r>
  <r>
    <s v="140472"/>
    <x v="25"/>
    <s v="Suvankar Chakraborty"/>
    <s v="19/05/2020"/>
    <s v="Delivered"/>
    <s v="33 TB SSD"/>
    <s v="SSD"/>
    <x v="0"/>
    <n v="10500"/>
    <n v="13650"/>
    <n v="1"/>
    <n v="10500"/>
    <n v="13650"/>
    <s v="Vijay Singh"/>
    <n v="8450"/>
  </r>
  <r>
    <s v="140473"/>
    <x v="25"/>
    <s v="Suvankar Adhikary"/>
    <s v="19/05/2020"/>
    <s v="Shipped"/>
    <s v="Intel i5 12th gen."/>
    <s v="CPU"/>
    <x v="1"/>
    <n v="8500"/>
    <n v="11050"/>
    <n v="2"/>
    <n v="17000"/>
    <n v="22100"/>
    <s v="Aadil Khan"/>
    <n v="33150"/>
  </r>
  <r>
    <s v="140474"/>
    <x v="25"/>
    <s v="Rahul Kumar Prajapati"/>
    <s v="19/05/2020"/>
    <s v="Order"/>
    <s v="2GB Graphic Card"/>
    <s v="Graphic Card"/>
    <x v="2"/>
    <n v="7000"/>
    <n v="9100"/>
    <n v="4"/>
    <n v="28000"/>
    <n v="36400"/>
    <s v="Advika Joshi"/>
    <n v="18200"/>
  </r>
  <r>
    <s v="140475"/>
    <x v="25"/>
    <s v="Sagar Jeur"/>
    <s v="19/05/2020"/>
    <s v="Processing"/>
    <s v="36 GB DDR4 Ram"/>
    <s v="NIC"/>
    <x v="3"/>
    <n v="1680"/>
    <n v="2184"/>
    <n v="2"/>
    <n v="3360"/>
    <n v="4368"/>
    <s v="Ajay Sharma"/>
    <n v="9100"/>
  </r>
  <r>
    <s v="140476"/>
    <x v="25"/>
    <s v="Rhushikesh Mane"/>
    <s v="19/05/2020"/>
    <s v="Delivered"/>
    <s v="Micro ATX motherboard"/>
    <s v="Printer"/>
    <x v="8"/>
    <n v="6540"/>
    <n v="8502"/>
    <n v="3"/>
    <n v="19620"/>
    <n v="25506"/>
    <s v="Roshan Kumar"/>
    <n v="11700"/>
  </r>
  <r>
    <s v="140477"/>
    <x v="25"/>
    <s v="Ashish Kumar"/>
    <s v="19/05/2020"/>
    <s v="Shipped"/>
    <s v="Gaming Box Cabinet"/>
    <s v="Cabinet"/>
    <x v="5"/>
    <n v="2680"/>
    <n v="3484"/>
    <n v="1"/>
    <n v="2680"/>
    <n v="3484"/>
    <s v="Aarvi Gupta"/>
    <n v="2990"/>
  </r>
  <r>
    <s v="140478"/>
    <x v="25"/>
    <s v="Javed Akhter"/>
    <s v="19/05/2020"/>
    <s v="Order"/>
    <s v="17&quot; LCD Display"/>
    <s v="Monitor"/>
    <x v="0"/>
    <n v="8250"/>
    <n v="10725"/>
    <n v="2"/>
    <n v="16500"/>
    <n v="21450"/>
    <s v="Vijay Singh"/>
    <n v="9750"/>
  </r>
  <r>
    <s v="140479"/>
    <x v="25"/>
    <s v="Haridas Balraj"/>
    <s v="19/05/2020"/>
    <s v="Processing"/>
    <s v="40 GB DDR4 RAM"/>
    <s v="RAM"/>
    <x v="0"/>
    <n v="2650"/>
    <n v="3445"/>
    <n v="1"/>
    <n v="2650"/>
    <n v="3445"/>
    <s v="Aadil Khan"/>
    <n v="25545"/>
  </r>
  <r>
    <s v="140480"/>
    <x v="25"/>
    <s v="Kundan Kumar"/>
    <s v="19/05/2020"/>
    <s v="Delivered"/>
    <s v="26&quot; LCD Display"/>
    <s v="Monitor"/>
    <x v="9"/>
    <n v="12550"/>
    <n v="16315"/>
    <n v="3"/>
    <n v="37650"/>
    <n v="48945"/>
    <s v="Advika Joshi"/>
    <n v="9750"/>
  </r>
  <r>
    <s v="140481"/>
    <x v="25"/>
    <s v="Atif Siddiqui"/>
    <s v="20/05/2020"/>
    <s v="Shipped"/>
    <s v="I7 - intel 12th Generation"/>
    <s v="CPU"/>
    <x v="1"/>
    <n v="14500"/>
    <n v="18850"/>
    <n v="2"/>
    <n v="29000"/>
    <n v="37700"/>
    <s v="Ajay Sharma"/>
    <n v="33150"/>
  </r>
  <r>
    <s v="140482"/>
    <x v="25"/>
    <s v="Aditya Agarwal"/>
    <s v="21/05/2020"/>
    <s v="Order"/>
    <s v="USB Keyboard"/>
    <s v="Keyboard"/>
    <x v="6"/>
    <n v="800"/>
    <n v="1040"/>
    <n v="3"/>
    <n v="2400"/>
    <n v="3120"/>
    <s v="Roshan Kumar"/>
    <n v="3315"/>
  </r>
  <r>
    <s v="140483"/>
    <x v="25"/>
    <s v="Firdoush Jabee"/>
    <s v="22/05/2020"/>
    <s v="Processing"/>
    <s v="Wireless Mouse"/>
    <s v="Mouse"/>
    <x v="0"/>
    <n v="600"/>
    <n v="780"/>
    <n v="4"/>
    <n v="2400"/>
    <n v="3120"/>
    <s v="Aarvi Gupta"/>
    <n v="1690"/>
  </r>
  <r>
    <s v="140484"/>
    <x v="25"/>
    <s v="Jay Prakash Kumar"/>
    <s v="23/05/2020"/>
    <s v="Delivered"/>
    <s v="21&quot; LCD Display"/>
    <s v="Monitor"/>
    <x v="6"/>
    <n v="10500"/>
    <n v="13650"/>
    <n v="4"/>
    <n v="42000"/>
    <n v="54600"/>
    <s v="Vijay Singh"/>
    <n v="9750"/>
  </r>
  <r>
    <s v="140485"/>
    <x v="25"/>
    <s v="Ashish Pandey"/>
    <s v="24/05/2020"/>
    <s v="Shipped"/>
    <s v="34 TB HDD"/>
    <s v="HDD"/>
    <x v="10"/>
    <n v="6500"/>
    <n v="8450"/>
    <n v="4"/>
    <n v="26000"/>
    <n v="33800"/>
    <s v="Aadil Khan"/>
    <n v="39000"/>
  </r>
  <r>
    <s v="140486"/>
    <x v="25"/>
    <s v="Ajay Sharma"/>
    <s v="24/05/2020"/>
    <s v="Order"/>
    <s v="289 GB SSD"/>
    <s v="SSD"/>
    <x v="0"/>
    <n v="4500"/>
    <n v="5850"/>
    <n v="4"/>
    <n v="18000"/>
    <n v="23400"/>
    <s v="Advika Joshi"/>
    <n v="8450"/>
  </r>
  <r>
    <s v="140487"/>
    <x v="25"/>
    <s v="Moinuddin Saifi"/>
    <s v="24/05/2020"/>
    <s v="Processing"/>
    <s v="Intel i3 11th gen."/>
    <s v="CPU"/>
    <x v="1"/>
    <n v="8500"/>
    <n v="11050"/>
    <n v="2"/>
    <n v="17000"/>
    <n v="22100"/>
    <s v="Ajay Sharma"/>
    <n v="33150"/>
  </r>
  <r>
    <s v="140488"/>
    <x v="25"/>
    <s v="Ramkrishna Das Adhikary"/>
    <s v="24/05/2020"/>
    <s v="Delivered"/>
    <s v="4GB Graphic card"/>
    <s v="Graphic Card"/>
    <x v="2"/>
    <n v="12500"/>
    <n v="16250"/>
    <n v="1"/>
    <n v="12500"/>
    <n v="16250"/>
    <s v="Roshan Kumar"/>
    <n v="18200"/>
  </r>
  <r>
    <s v="140489"/>
    <x v="25"/>
    <s v="Ranjeet Mandal"/>
    <s v="24/05/2020"/>
    <s v="Shipped"/>
    <s v="41 GB DDR4 RAM"/>
    <s v="RAM"/>
    <x v="3"/>
    <n v="3500"/>
    <n v="4550"/>
    <n v="3"/>
    <n v="10500"/>
    <n v="13650"/>
    <s v="Aarvi Gupta"/>
    <n v="25545"/>
  </r>
  <r>
    <s v="140490"/>
    <x v="25"/>
    <s v="Ashwini Adsare"/>
    <s v="24/05/2020"/>
    <s v="Order"/>
    <s v="BTX motherboard"/>
    <s v="MotherBoard"/>
    <x v="4"/>
    <n v="4500"/>
    <n v="5850"/>
    <n v="2"/>
    <n v="9000"/>
    <n v="11700"/>
    <s v="Vijay Singh"/>
    <n v="39780"/>
  </r>
  <r>
    <s v="140491"/>
    <x v="25"/>
    <s v="Rajesh Variya"/>
    <s v="24/05/2020"/>
    <s v="Processing"/>
    <s v="36 Fans Cabinet"/>
    <s v="Cabinet"/>
    <x v="5"/>
    <n v="2100"/>
    <n v="2730"/>
    <n v="1"/>
    <n v="2100"/>
    <n v="2730"/>
    <s v="Aadil Khan"/>
    <n v="2990"/>
  </r>
  <r>
    <s v="140492"/>
    <x v="25"/>
    <s v="Amit Singh"/>
    <s v="24/05/2020"/>
    <s v="Delivered"/>
    <s v="Wireless Keyboard"/>
    <s v="Keyboard"/>
    <x v="6"/>
    <n v="1150"/>
    <n v="1495"/>
    <n v="4"/>
    <n v="4600"/>
    <n v="5980"/>
    <s v="Advika Joshi"/>
    <n v="3315"/>
  </r>
  <r>
    <s v="140493"/>
    <x v="25"/>
    <s v="Vinod Mehta"/>
    <s v="24/05/2020"/>
    <s v="Shipped"/>
    <s v="USB Mouse"/>
    <s v="Mouse"/>
    <x v="0"/>
    <n v="350"/>
    <n v="455"/>
    <n v="4"/>
    <n v="1400"/>
    <n v="1820"/>
    <s v="Ajay Sharma"/>
    <n v="1690"/>
  </r>
  <r>
    <s v="140494"/>
    <x v="25"/>
    <s v="Jignesh Mhatre"/>
    <s v="24/05/2020"/>
    <s v="Order"/>
    <s v="19&quot; LED Display"/>
    <s v="Monitor"/>
    <x v="6"/>
    <n v="9500"/>
    <n v="12350"/>
    <n v="1"/>
    <n v="9500"/>
    <n v="12350"/>
    <s v="Roshan Kumar"/>
    <n v="9750"/>
  </r>
  <r>
    <s v="140495"/>
    <x v="25"/>
    <s v="Rahul Kashyap"/>
    <s v="24/05/2020"/>
    <s v="Processing"/>
    <s v="35 TB HDD"/>
    <s v="HDD"/>
    <x v="10"/>
    <n v="10000"/>
    <n v="13000"/>
    <n v="3"/>
    <n v="30000"/>
    <n v="39000"/>
    <s v="Aarvi Gupta"/>
    <n v="39000"/>
  </r>
  <r>
    <s v="140496"/>
    <x v="25"/>
    <s v="Mohammed Abdul Kaleem"/>
    <s v="24/05/2020"/>
    <s v="Delivered"/>
    <s v="545 GB M.2"/>
    <s v="SSD"/>
    <x v="0"/>
    <n v="6500"/>
    <n v="8450"/>
    <n v="3"/>
    <n v="19500"/>
    <n v="25350"/>
    <s v="Vijay Singh"/>
    <n v="8450"/>
  </r>
  <r>
    <s v="140497"/>
    <x v="25"/>
    <s v="Chandrakant Kasbe"/>
    <s v="24/05/2020"/>
    <s v="Shipped"/>
    <s v="RYZEN 3rd gen. 3533"/>
    <s v="CPU"/>
    <x v="1"/>
    <n v="8500"/>
    <n v="11050"/>
    <n v="3"/>
    <n v="25500"/>
    <n v="33150"/>
    <s v="Aadil Khan"/>
    <n v="33150"/>
  </r>
  <r>
    <s v="140498"/>
    <x v="25"/>
    <s v="Rohan Kale"/>
    <s v="24/05/2020"/>
    <s v="Order"/>
    <s v="2GB Graphic Card"/>
    <s v="Graphic Card"/>
    <x v="2"/>
    <n v="7000"/>
    <n v="9100"/>
    <n v="3"/>
    <n v="21000"/>
    <n v="27300"/>
    <s v="Advika Joshi"/>
    <n v="18200"/>
  </r>
  <r>
    <s v="140499"/>
    <x v="25"/>
    <s v="Aniruddha Kekapure"/>
    <s v="25/05/2020"/>
    <s v="Processing"/>
    <s v="49 GB DDR4 RAM"/>
    <s v="RAM"/>
    <x v="3"/>
    <n v="6550"/>
    <n v="8515"/>
    <n v="3"/>
    <n v="19650"/>
    <n v="25545"/>
    <s v="Ajay Sharma"/>
    <n v="25545"/>
  </r>
  <r>
    <s v="140500"/>
    <x v="25"/>
    <s v="Aslam Raza"/>
    <s v="26/05/2020"/>
    <s v="Delivered"/>
    <s v="Standard ATX motherboard"/>
    <s v="MotherBoard"/>
    <x v="4"/>
    <n v="7650"/>
    <n v="9945"/>
    <n v="1"/>
    <n v="7650"/>
    <n v="9945"/>
    <s v="Roshan Kumar"/>
    <n v="39780"/>
  </r>
  <r>
    <s v="140501"/>
    <x v="25"/>
    <s v="Roshan Zameer"/>
    <s v="27/05/2020"/>
    <s v="Shipped"/>
    <s v="Compact with 1 Fan"/>
    <s v="Cabinet"/>
    <x v="5"/>
    <n v="1150"/>
    <n v="1495"/>
    <n v="2"/>
    <n v="2300"/>
    <n v="2990"/>
    <s v="Aarvi Gupta"/>
    <n v="2990"/>
  </r>
  <r>
    <s v="140502"/>
    <x v="25"/>
    <s v="Rakesh Kumar Sharma"/>
    <s v="27/05/2020"/>
    <s v="Order"/>
    <s v="USB Backlight Keyboard"/>
    <s v="Keyboard"/>
    <x v="6"/>
    <n v="850"/>
    <n v="1105"/>
    <n v="4"/>
    <n v="3400"/>
    <n v="4420"/>
    <s v="Vijay Singh"/>
    <n v="3315"/>
  </r>
  <r>
    <s v="140503"/>
    <x v="25"/>
    <s v="Shivanand Sahani"/>
    <s v="27/05/2020"/>
    <s v="Processing"/>
    <s v="Ergonomic Mouse"/>
    <s v="Mouse"/>
    <x v="0"/>
    <n v="650"/>
    <n v="845"/>
    <n v="2"/>
    <n v="1300"/>
    <n v="1690"/>
    <s v="Aadil Khan"/>
    <n v="1690"/>
  </r>
  <r>
    <s v="140504"/>
    <x v="25"/>
    <s v="Kunal Patra"/>
    <s v="27/05/2020"/>
    <s v="Delivered"/>
    <s v="15&quot; LCD Dsipaly"/>
    <s v="Monitor"/>
    <x v="6"/>
    <n v="7500"/>
    <n v="9750"/>
    <n v="2"/>
    <n v="15000"/>
    <n v="19500"/>
    <s v="Advika Joshi"/>
    <n v="9750"/>
  </r>
  <r>
    <s v="140505"/>
    <x v="25"/>
    <s v="Bijendra"/>
    <s v="27/05/2020"/>
    <s v="Shipped"/>
    <s v="35 TB HDD"/>
    <s v="HDD"/>
    <x v="7"/>
    <n v="10000"/>
    <n v="13000"/>
    <n v="2"/>
    <n v="20000"/>
    <n v="26000"/>
    <s v="Ajay Sharma"/>
    <n v="39000"/>
  </r>
  <r>
    <s v="140506"/>
    <x v="25"/>
    <s v="Kranti Bheke"/>
    <s v="27/05/2020"/>
    <s v="Order"/>
    <s v="34 TB SSD"/>
    <s v="SSD"/>
    <x v="0"/>
    <n v="10500"/>
    <n v="13650"/>
    <n v="3"/>
    <n v="31500"/>
    <n v="40950"/>
    <s v="Roshan Kumar"/>
    <n v="8450"/>
  </r>
  <r>
    <s v="140507"/>
    <x v="25"/>
    <s v="Jagdeep"/>
    <s v="27/05/2020"/>
    <s v="Processing"/>
    <s v="Intel i5 12th gen."/>
    <s v="CPU"/>
    <x v="1"/>
    <n v="8500"/>
    <n v="11050"/>
    <n v="4"/>
    <n v="34000"/>
    <n v="44200"/>
    <s v="Aarvi Gupta"/>
    <n v="33150"/>
  </r>
  <r>
    <s v="140508"/>
    <x v="25"/>
    <s v="Adhir Samal"/>
    <s v="27/05/2020"/>
    <s v="Delivered"/>
    <s v="2GB Graphic Card"/>
    <s v="Graphic Card"/>
    <x v="2"/>
    <n v="7000"/>
    <n v="9100"/>
    <n v="3"/>
    <n v="21000"/>
    <n v="27300"/>
    <s v="Vijay Singh"/>
    <n v="18200"/>
  </r>
  <r>
    <s v="140509"/>
    <x v="25"/>
    <s v="Dannana Jhammi"/>
    <s v="27/05/2020"/>
    <s v="Shipped"/>
    <s v="37 GB DDR4 Ram"/>
    <s v="RAM"/>
    <x v="3"/>
    <n v="1680"/>
    <n v="2184"/>
    <n v="4"/>
    <n v="6720"/>
    <n v="8736"/>
    <s v="Aadil Khan"/>
    <n v="25545"/>
  </r>
  <r>
    <s v="140510"/>
    <x v="25"/>
    <s v="Vipin Kumar"/>
    <s v="27/05/2020"/>
    <s v="Order"/>
    <s v="Micro ATX motherboard"/>
    <s v="MotherBoard"/>
    <x v="8"/>
    <n v="6540"/>
    <n v="8502"/>
    <n v="2"/>
    <n v="13080"/>
    <n v="17004"/>
    <s v="Advika Joshi"/>
    <n v="39780"/>
  </r>
  <r>
    <s v="140511"/>
    <x v="25"/>
    <s v="Ranjeet Kumar"/>
    <s v="28/05/2020"/>
    <s v="Processing"/>
    <s v="Gaming Box Cabinet"/>
    <s v="Cabinet"/>
    <x v="5"/>
    <n v="2680"/>
    <n v="3484"/>
    <n v="4"/>
    <n v="10720"/>
    <n v="13936"/>
    <s v="Ajay Sharma"/>
    <n v="2990"/>
  </r>
  <r>
    <s v="140512"/>
    <x v="25"/>
    <s v="Sajal Singhal"/>
    <s v="29/05/2020"/>
    <s v="Delivered"/>
    <s v="17&quot; LCD Display"/>
    <s v="Monitor"/>
    <x v="0"/>
    <n v="8250"/>
    <n v="10725"/>
    <n v="3"/>
    <n v="24750"/>
    <n v="32175"/>
    <s v="Roshan Kumar"/>
    <n v="9750"/>
  </r>
  <r>
    <s v="140513"/>
    <x v="25"/>
    <s v="Akhilesh Kumar"/>
    <s v="30/05/2020"/>
    <s v="Shipped"/>
    <s v="41 GB DDR4 RAM"/>
    <s v="RAM"/>
    <x v="0"/>
    <n v="2650"/>
    <n v="3445"/>
    <n v="4"/>
    <n v="10600"/>
    <n v="13780"/>
    <s v="Aarvi Gupta"/>
    <n v="25545"/>
  </r>
  <r>
    <s v="140514"/>
    <x v="25"/>
    <s v="Suvankar Chakraborty"/>
    <s v="31/05/2020"/>
    <s v="Order"/>
    <s v="26&quot; LCD Display"/>
    <s v="Monitor"/>
    <x v="9"/>
    <n v="12550"/>
    <n v="16315"/>
    <n v="3"/>
    <n v="37650"/>
    <n v="48945"/>
    <s v="Vijay Singh"/>
    <n v="9750"/>
  </r>
  <r>
    <s v="140515"/>
    <x v="25"/>
    <s v="Suvankar Adhikary"/>
    <s v="01/06/2020"/>
    <s v="Processing"/>
    <s v="I7 - intel 12th Generation"/>
    <s v="CPU"/>
    <x v="1"/>
    <n v="14500"/>
    <n v="18850"/>
    <n v="3"/>
    <n v="43500"/>
    <n v="56550"/>
    <s v="Aadil Khan"/>
    <n v="33150"/>
  </r>
  <r>
    <s v="140516"/>
    <x v="25"/>
    <s v="Rahul Kumar Prajapati"/>
    <s v="02/06/2020"/>
    <s v="Delivered"/>
    <s v="USB Keyboard"/>
    <s v="Keyboard"/>
    <x v="6"/>
    <n v="800"/>
    <n v="1040"/>
    <n v="3"/>
    <n v="2400"/>
    <n v="3120"/>
    <s v="Advika Joshi"/>
    <n v="3315"/>
  </r>
  <r>
    <s v="140517"/>
    <x v="25"/>
    <s v="Sagar Jeur"/>
    <s v="03/06/2020"/>
    <s v="Shipped"/>
    <s v="Wireless Mouse"/>
    <s v="Mouse"/>
    <x v="0"/>
    <n v="600"/>
    <n v="780"/>
    <n v="2"/>
    <n v="1200"/>
    <n v="1560"/>
    <s v="Ajay Sharma"/>
    <n v="1690"/>
  </r>
  <r>
    <s v="140518"/>
    <x v="25"/>
    <s v="Rhushikesh Mane"/>
    <s v="04/06/2020"/>
    <s v="Order"/>
    <s v="21&quot; LCD Display"/>
    <s v="Monitor"/>
    <x v="6"/>
    <n v="10500"/>
    <n v="13650"/>
    <n v="1"/>
    <n v="10500"/>
    <n v="13650"/>
    <s v="Ajay Sharma"/>
    <n v="9750"/>
  </r>
  <r>
    <s v="140519"/>
    <x v="25"/>
    <s v="Ashish Kumar"/>
    <s v="05/06/2020"/>
    <s v="Processing"/>
    <s v="35 TB HDD"/>
    <s v="HDD"/>
    <x v="10"/>
    <n v="6500"/>
    <n v="8450"/>
    <n v="3"/>
    <n v="19500"/>
    <n v="25350"/>
    <s v="Roshan Kumar"/>
    <n v="39000"/>
  </r>
  <r>
    <s v="140520"/>
    <x v="25"/>
    <s v="Javed Akhter"/>
    <s v="06/06/2020"/>
    <s v="Delivered"/>
    <s v="290 GB SSD"/>
    <s v="SSD"/>
    <x v="0"/>
    <n v="4500"/>
    <n v="5850"/>
    <n v="3"/>
    <n v="13500"/>
    <n v="17550"/>
    <s v="Aarvi Gupta"/>
    <n v="8450"/>
  </r>
  <r>
    <s v="140521"/>
    <x v="25"/>
    <s v="Haridas Balraj"/>
    <s v="07/06/2020"/>
    <s v="Shipped"/>
    <s v="Intel i3 11th gen."/>
    <s v="CPU"/>
    <x v="1"/>
    <n v="8500"/>
    <n v="11050"/>
    <n v="2"/>
    <n v="17000"/>
    <n v="22100"/>
    <s v="Vijay Singh"/>
    <n v="33150"/>
  </r>
  <r>
    <s v="140522"/>
    <x v="25"/>
    <s v="Kundan Kumar"/>
    <s v="08/06/2020"/>
    <s v="Order"/>
    <s v="4GB Graphic card"/>
    <s v="Graphic Card"/>
    <x v="2"/>
    <n v="12500"/>
    <n v="16250"/>
    <n v="4"/>
    <n v="50000"/>
    <n v="65000"/>
    <s v="Aadil Khan"/>
    <n v="18200"/>
  </r>
  <r>
    <s v="140523"/>
    <x v="25"/>
    <s v="Atif Siddiqui"/>
    <s v="09/06/2020"/>
    <s v="Processing"/>
    <s v="42 GB DDR4 RAM"/>
    <s v="Computer Case"/>
    <x v="3"/>
    <n v="3500"/>
    <n v="4550"/>
    <n v="2"/>
    <n v="7000"/>
    <n v="9100"/>
    <s v="Advika Joshi"/>
    <n v="13650"/>
  </r>
  <r>
    <s v="140524"/>
    <x v="25"/>
    <s v="Aditya Agarwal"/>
    <s v="10/06/2020"/>
    <s v="Delivered"/>
    <s v="BTX motherboard"/>
    <s v="Mouse"/>
    <x v="4"/>
    <n v="4500"/>
    <n v="5850"/>
    <n v="3"/>
    <n v="13500"/>
    <n v="17550"/>
    <s v="Ajay Sharma"/>
    <n v="1690"/>
  </r>
  <r>
    <s v="140525"/>
    <x v="25"/>
    <s v="Firdoush Jabee"/>
    <s v="11/06/2020"/>
    <s v="Shipped"/>
    <s v="37 Fans Cabinet"/>
    <s v="Cabinet"/>
    <x v="5"/>
    <n v="2100"/>
    <n v="2730"/>
    <n v="4"/>
    <n v="8400"/>
    <n v="10920"/>
    <s v="Roshan Kumar"/>
    <n v="2990"/>
  </r>
  <r>
    <s v="140526"/>
    <x v="25"/>
    <s v="Jay Prakash Kumar"/>
    <s v="12/06/2020"/>
    <s v="Order"/>
    <s v="Wireless Keyboard"/>
    <s v="Keyboard"/>
    <x v="6"/>
    <n v="1150"/>
    <n v="1495"/>
    <n v="3"/>
    <n v="3450"/>
    <n v="4485"/>
    <s v="Aarvi Gupta"/>
    <n v="3315"/>
  </r>
  <r>
    <s v="140527"/>
    <x v="25"/>
    <s v="Ashish Pandey"/>
    <s v="13/06/2020"/>
    <s v="Processing"/>
    <s v="USB Mouse"/>
    <s v="Mouse"/>
    <x v="0"/>
    <n v="350"/>
    <n v="455"/>
    <n v="1"/>
    <n v="350"/>
    <n v="455"/>
    <s v="Vijay Singh"/>
    <n v="1690"/>
  </r>
  <r>
    <s v="140528"/>
    <x v="25"/>
    <s v="Ajay Sharma"/>
    <s v="14/06/2020"/>
    <s v="Delivered"/>
    <s v="19&quot; LED Display"/>
    <s v="Monitor"/>
    <x v="6"/>
    <n v="9500"/>
    <n v="12350"/>
    <n v="1"/>
    <n v="9500"/>
    <n v="12350"/>
    <s v="Aadil Khan"/>
    <n v="9750"/>
  </r>
  <r>
    <s v="140529"/>
    <x v="25"/>
    <s v="Moinuddin Saifi"/>
    <s v="15/06/2020"/>
    <s v="Shipped"/>
    <s v="36 TB HDD"/>
    <s v="HDD"/>
    <x v="10"/>
    <n v="10000"/>
    <n v="13000"/>
    <n v="4"/>
    <n v="40000"/>
    <n v="52000"/>
    <s v="Advika Joshi"/>
    <n v="39000"/>
  </r>
  <r>
    <s v="140530"/>
    <x v="25"/>
    <s v="Ramkrishna Das Adhikary"/>
    <s v="16/06/2020"/>
    <s v="Order"/>
    <s v="546 GB M.2"/>
    <s v="SSD"/>
    <x v="0"/>
    <n v="6500"/>
    <n v="8450"/>
    <n v="2"/>
    <n v="13000"/>
    <n v="16900"/>
    <s v="Ajay Sharma"/>
    <n v="8450"/>
  </r>
  <r>
    <s v="140531"/>
    <x v="25"/>
    <s v="Ranjeet Mandal"/>
    <s v="17/06/2020"/>
    <s v="Processing"/>
    <s v="RYZEN 3rd gen. 3534"/>
    <s v="CPU"/>
    <x v="1"/>
    <n v="8500"/>
    <n v="11050"/>
    <n v="3"/>
    <n v="25500"/>
    <n v="33150"/>
    <s v="Roshan Kumar"/>
    <n v="33150"/>
  </r>
  <r>
    <s v="140532"/>
    <x v="25"/>
    <s v="Ashwini Adsare"/>
    <s v="18/06/2020"/>
    <s v="Delivered"/>
    <s v="2GB Graphic Card"/>
    <s v="Graphic Card"/>
    <x v="2"/>
    <n v="7000"/>
    <n v="9100"/>
    <n v="2"/>
    <n v="14000"/>
    <n v="18200"/>
    <s v="Aarvi Gupta"/>
    <n v="18200"/>
  </r>
  <r>
    <s v="140533"/>
    <x v="25"/>
    <s v="Rajesh Variya"/>
    <s v="19/06/2020"/>
    <s v="Shipped"/>
    <s v="50 GB DDR4 RAM"/>
    <s v="Computer Case"/>
    <x v="3"/>
    <n v="6550"/>
    <n v="8515"/>
    <n v="3"/>
    <n v="19650"/>
    <n v="25545"/>
    <s v="Vijay Singh"/>
    <n v="13650"/>
  </r>
  <r>
    <s v="140534"/>
    <x v="25"/>
    <s v="Amit Singh"/>
    <s v="20/06/2020"/>
    <s v="Order"/>
    <s v="Standard ATX motherboard"/>
    <s v="Mouse"/>
    <x v="4"/>
    <n v="7650"/>
    <n v="9945"/>
    <n v="3"/>
    <n v="22950"/>
    <n v="29835"/>
    <s v="Aadil Khan"/>
    <n v="1690"/>
  </r>
  <r>
    <s v="140535"/>
    <x v="25"/>
    <s v="Vinod Mehta"/>
    <s v="20/06/2020"/>
    <s v="Processing"/>
    <s v="Compact with 1 Fan"/>
    <s v="Cabinet"/>
    <x v="5"/>
    <n v="1150"/>
    <n v="1495"/>
    <n v="1"/>
    <n v="1150"/>
    <n v="1495"/>
    <s v="Advika Joshi"/>
    <n v="2990"/>
  </r>
  <r>
    <s v="140536"/>
    <x v="25"/>
    <s v="Jignesh Mhatre"/>
    <s v="20/06/2020"/>
    <s v="Delivered"/>
    <s v="USB Backlight Keyboard"/>
    <s v="Keyboard"/>
    <x v="6"/>
    <n v="850"/>
    <n v="1105"/>
    <n v="1"/>
    <n v="850"/>
    <n v="1105"/>
    <s v="Ajay Sharma"/>
    <n v="3315"/>
  </r>
  <r>
    <s v="140537"/>
    <x v="25"/>
    <s v="Rahul Kashyap"/>
    <s v="20/06/2020"/>
    <s v="Shipped"/>
    <s v="Ergonomic Mouse"/>
    <s v="Mouse"/>
    <x v="0"/>
    <n v="650"/>
    <n v="845"/>
    <n v="4"/>
    <n v="2600"/>
    <n v="3380"/>
    <s v="Roshan Kumar"/>
    <n v="1690"/>
  </r>
  <r>
    <s v="140538"/>
    <x v="25"/>
    <s v="Mohammed Abdul Kaleem"/>
    <s v="20/06/2020"/>
    <s v="Order"/>
    <s v="15&quot; LCD Dsipaly"/>
    <s v="Monitor"/>
    <x v="6"/>
    <n v="7500"/>
    <n v="9750"/>
    <n v="3"/>
    <n v="22500"/>
    <n v="29250"/>
    <s v="Aarvi Gupta"/>
    <n v="9750"/>
  </r>
  <r>
    <s v="140539"/>
    <x v="25"/>
    <s v="Chandrakant Kasbe"/>
    <s v="20/06/2020"/>
    <s v="Processing"/>
    <s v="36 TB HDD"/>
    <s v="HDD"/>
    <x v="7"/>
    <n v="10000"/>
    <n v="13000"/>
    <n v="2"/>
    <n v="20000"/>
    <n v="26000"/>
    <s v="Vijay Singh"/>
    <n v="39000"/>
  </r>
  <r>
    <s v="140540"/>
    <x v="25"/>
    <s v="Rohan Kale"/>
    <s v="20/06/2020"/>
    <s v="Delivered"/>
    <s v="35 TB SSD"/>
    <s v="SSD"/>
    <x v="0"/>
    <n v="10500"/>
    <n v="13650"/>
    <n v="2"/>
    <n v="21000"/>
    <n v="27300"/>
    <s v="Aadil Khan"/>
    <n v="8450"/>
  </r>
  <r>
    <s v="140541"/>
    <x v="25"/>
    <s v="Aniruddha Kekapure"/>
    <s v="21/06/2020"/>
    <s v="Shipped"/>
    <s v="Intel i5 12th gen."/>
    <s v="CPU"/>
    <x v="1"/>
    <n v="8500"/>
    <n v="11050"/>
    <n v="2"/>
    <n v="17000"/>
    <n v="22100"/>
    <s v="Advika Joshi"/>
    <n v="33150"/>
  </r>
  <r>
    <s v="140542"/>
    <x v="25"/>
    <s v="Aslam Raza"/>
    <s v="22/06/2020"/>
    <s v="Order"/>
    <s v="2GB Graphic Card"/>
    <s v="Graphic Card"/>
    <x v="2"/>
    <n v="7000"/>
    <n v="9100"/>
    <n v="1"/>
    <n v="7000"/>
    <n v="9100"/>
    <s v="Ajay Sharma"/>
    <n v="18200"/>
  </r>
  <r>
    <s v="140543"/>
    <x v="25"/>
    <s v="Roshan Zameer"/>
    <s v="23/06/2020"/>
    <s v="Processing"/>
    <s v="38 GB DDR4 Ram"/>
    <s v="Computer Case"/>
    <x v="3"/>
    <n v="1680"/>
    <n v="2184"/>
    <n v="4"/>
    <n v="6720"/>
    <n v="8736"/>
    <s v="Roshan Kumar"/>
    <n v="13650"/>
  </r>
  <r>
    <s v="140544"/>
    <x v="18"/>
    <s v="Rakesh Kumar Sharma"/>
    <s v="24/06/2020"/>
    <s v="Delivered"/>
    <s v="Micro ATX motherboard"/>
    <s v="Mouse"/>
    <x v="8"/>
    <n v="6540"/>
    <n v="8502"/>
    <n v="4"/>
    <n v="26160"/>
    <n v="34008"/>
    <s v="Aarvi Gupta"/>
    <n v="1690"/>
  </r>
  <r>
    <s v="140545"/>
    <x v="19"/>
    <s v="Shivanand Sahani"/>
    <s v="25/06/2020"/>
    <s v="Shipped"/>
    <s v="Gaming Box Cabinet"/>
    <s v="Cabinet"/>
    <x v="5"/>
    <n v="2680"/>
    <n v="3484"/>
    <n v="3"/>
    <n v="8040"/>
    <n v="10452"/>
    <s v="Vijay Singh"/>
    <n v="2990"/>
  </r>
  <r>
    <s v="140546"/>
    <x v="20"/>
    <s v="Kunal Patra"/>
    <s v="26/06/2020"/>
    <s v="Order"/>
    <s v="17&quot; LCD Display"/>
    <s v="Monitor"/>
    <x v="0"/>
    <n v="8250"/>
    <n v="10725"/>
    <n v="1"/>
    <n v="8250"/>
    <n v="10725"/>
    <s v="Aadil Khan"/>
    <n v="9750"/>
  </r>
  <r>
    <s v="140547"/>
    <x v="16"/>
    <s v="Bijendra"/>
    <s v="26/06/2020"/>
    <s v="Processing"/>
    <s v="42 GB DDR4 RAM"/>
    <s v="RAM"/>
    <x v="0"/>
    <n v="2650"/>
    <n v="3445"/>
    <n v="3"/>
    <n v="7950"/>
    <n v="10335"/>
    <s v="Advika Joshi"/>
    <n v="25545"/>
  </r>
  <r>
    <s v="140548"/>
    <x v="17"/>
    <s v="Kranti Bheke"/>
    <s v="26/06/2020"/>
    <s v="Delivered"/>
    <s v="26&quot; LCD Display"/>
    <s v="Monitor"/>
    <x v="9"/>
    <n v="12550"/>
    <n v="16315"/>
    <n v="2"/>
    <n v="25100"/>
    <n v="32630"/>
    <s v="Ajay Sharma"/>
    <n v="9750"/>
  </r>
  <r>
    <s v="140549"/>
    <x v="21"/>
    <s v="Jagdeep"/>
    <s v="26/06/2020"/>
    <s v="Shipped"/>
    <s v="I7 - intel 12th Generation"/>
    <s v="CPU"/>
    <x v="1"/>
    <n v="14500"/>
    <n v="18850"/>
    <n v="1"/>
    <n v="14500"/>
    <n v="18850"/>
    <s v="Roshan Kumar"/>
    <n v="33150"/>
  </r>
  <r>
    <s v="140550"/>
    <x v="22"/>
    <s v="Adhir Samal"/>
    <s v="26/06/2020"/>
    <s v="Order"/>
    <s v="USB Keyboard"/>
    <s v="Keyboard"/>
    <x v="6"/>
    <n v="800"/>
    <n v="1040"/>
    <n v="2"/>
    <n v="1600"/>
    <n v="2080"/>
    <s v="Aarvi Gupta"/>
    <n v="3315"/>
  </r>
  <r>
    <s v="140551"/>
    <x v="28"/>
    <s v="Dannana Jhammi"/>
    <s v="26/06/2020"/>
    <s v="Processing"/>
    <s v="Wireless Mouse"/>
    <s v="Mouse"/>
    <x v="0"/>
    <n v="600"/>
    <n v="780"/>
    <n v="1"/>
    <n v="600"/>
    <n v="780"/>
    <s v="Vijay Singh"/>
    <n v="1690"/>
  </r>
  <r>
    <s v="140552"/>
    <x v="29"/>
    <s v="Vipin Kumar"/>
    <s v="26/06/2020"/>
    <s v="Delivered"/>
    <s v="21&quot; LCD Display"/>
    <s v="Monitor"/>
    <x v="6"/>
    <n v="10500"/>
    <n v="13650"/>
    <n v="2"/>
    <n v="21000"/>
    <n v="27300"/>
    <s v="Aadil Khan"/>
    <n v="9750"/>
  </r>
  <r>
    <s v="140553"/>
    <x v="30"/>
    <s v="Ranjeet Kumar"/>
    <s v="26/06/2020"/>
    <s v="Shipped"/>
    <s v="36 TB HDD"/>
    <s v="HDD"/>
    <x v="10"/>
    <n v="6500"/>
    <n v="8450"/>
    <n v="3"/>
    <n v="19500"/>
    <n v="25350"/>
    <s v="Advika Joshi"/>
    <n v="39000"/>
  </r>
  <r>
    <s v="140554"/>
    <x v="31"/>
    <s v="Sajal Singhal"/>
    <s v="26/06/2020"/>
    <s v="Order"/>
    <s v="291 GB SSD"/>
    <s v="SSD"/>
    <x v="0"/>
    <n v="4500"/>
    <n v="5850"/>
    <n v="1"/>
    <n v="4500"/>
    <n v="5850"/>
    <s v="Ajay Sharma"/>
    <n v="8450"/>
  </r>
  <r>
    <s v="140555"/>
    <x v="32"/>
    <s v="Akhilesh Kumar"/>
    <s v="26/06/2020"/>
    <s v="Processing"/>
    <s v="Intel i3 11th gen."/>
    <s v="CPU"/>
    <x v="1"/>
    <n v="8500"/>
    <n v="11050"/>
    <n v="4"/>
    <n v="34000"/>
    <n v="44200"/>
    <s v="Roshan Kumar"/>
    <n v="33150"/>
  </r>
  <r>
    <s v="140556"/>
    <x v="0"/>
    <s v="Suvankar Chakraborty"/>
    <s v="26/06/2020"/>
    <s v="Delivered"/>
    <s v="4GB Graphic card"/>
    <s v="Graphic Card"/>
    <x v="2"/>
    <n v="12500"/>
    <n v="16250"/>
    <n v="4"/>
    <n v="50000"/>
    <n v="65000"/>
    <s v="Aarvi Gupta"/>
    <n v="18200"/>
  </r>
  <r>
    <s v="140557"/>
    <x v="23"/>
    <s v="Suvankar Adhikary"/>
    <s v="26/06/2020"/>
    <s v="Shipped"/>
    <s v="43 GB DDR4 RAM"/>
    <s v="NIC"/>
    <x v="3"/>
    <n v="3500"/>
    <n v="4550"/>
    <n v="3"/>
    <n v="10500"/>
    <n v="13650"/>
    <s v="Vijay Singh"/>
    <n v="9100"/>
  </r>
  <r>
    <s v="140558"/>
    <x v="1"/>
    <s v="Rahul Kumar Prajapati"/>
    <s v="26/06/2020"/>
    <s v="Order"/>
    <s v="BTX motherboard"/>
    <s v="Printer"/>
    <x v="4"/>
    <n v="4500"/>
    <n v="5850"/>
    <n v="4"/>
    <n v="18000"/>
    <n v="23400"/>
    <s v="Aadil Khan"/>
    <n v="11700"/>
  </r>
  <r>
    <s v="140559"/>
    <x v="2"/>
    <s v="Sagar Jeur"/>
    <s v="26/06/2020"/>
    <s v="Processing"/>
    <s v="38 Fans Cabinet"/>
    <s v="Cabinet"/>
    <x v="5"/>
    <n v="2100"/>
    <n v="2730"/>
    <n v="1"/>
    <n v="2100"/>
    <n v="2730"/>
    <s v="Advika Joshi"/>
    <n v="2990"/>
  </r>
  <r>
    <s v="140560"/>
    <x v="2"/>
    <s v="Rhushikesh Mane"/>
    <s v="26/06/2020"/>
    <s v="Delivered"/>
    <s v="Wireless Keyboard"/>
    <s v="Keyboard"/>
    <x v="6"/>
    <n v="1150"/>
    <n v="1495"/>
    <n v="3"/>
    <n v="3450"/>
    <n v="4485"/>
    <s v="Ajay Sharma"/>
    <n v="3315"/>
  </r>
  <r>
    <s v="140561"/>
    <x v="2"/>
    <s v="Ashish Kumar"/>
    <s v="27/06/2020"/>
    <s v="Shipped"/>
    <s v="USB Mouse"/>
    <s v="Mouse"/>
    <x v="0"/>
    <n v="350"/>
    <n v="455"/>
    <n v="2"/>
    <n v="700"/>
    <n v="910"/>
    <s v="Roshan Kumar"/>
    <n v="1690"/>
  </r>
  <r>
    <s v="140562"/>
    <x v="2"/>
    <s v="Javed Akhter"/>
    <s v="27/06/2020"/>
    <s v="Order"/>
    <s v="19&quot; LED Display"/>
    <s v="Monitor"/>
    <x v="6"/>
    <n v="9500"/>
    <n v="12350"/>
    <n v="4"/>
    <n v="38000"/>
    <n v="49400"/>
    <s v="Aarvi Gupta"/>
    <n v="9750"/>
  </r>
  <r>
    <s v="140563"/>
    <x v="2"/>
    <s v="Haridas Balraj"/>
    <s v="27/06/2020"/>
    <s v="Processing"/>
    <s v="37 TB HDD"/>
    <s v="HDD"/>
    <x v="10"/>
    <n v="10000"/>
    <n v="13000"/>
    <n v="3"/>
    <n v="30000"/>
    <n v="39000"/>
    <s v="Vijay Singh"/>
    <n v="39000"/>
  </r>
  <r>
    <s v="140564"/>
    <x v="2"/>
    <s v="Kundan Kumar"/>
    <s v="27/06/2020"/>
    <s v="Delivered"/>
    <s v="547 GB M.2"/>
    <s v="SSD"/>
    <x v="0"/>
    <n v="6500"/>
    <n v="8450"/>
    <n v="2"/>
    <n v="13000"/>
    <n v="16900"/>
    <s v="Aadil Khan"/>
    <n v="8450"/>
  </r>
  <r>
    <s v="140565"/>
    <x v="2"/>
    <s v="Atif Siddiqui"/>
    <s v="27/06/2020"/>
    <s v="Shipped"/>
    <s v="RYZEN 3rd gen. 3535"/>
    <s v="CPU"/>
    <x v="1"/>
    <n v="8500"/>
    <n v="11050"/>
    <n v="2"/>
    <n v="17000"/>
    <n v="22100"/>
    <s v="Advika Joshi"/>
    <n v="33150"/>
  </r>
  <r>
    <s v="140566"/>
    <x v="2"/>
    <s v="Aditya Agarwal"/>
    <s v="27/06/2020"/>
    <s v="Order"/>
    <s v="2GB Graphic Card"/>
    <s v="Graphic Card"/>
    <x v="2"/>
    <n v="7000"/>
    <n v="9100"/>
    <n v="1"/>
    <n v="7000"/>
    <n v="9100"/>
    <s v="Ajay Sharma"/>
    <n v="18200"/>
  </r>
  <r>
    <s v="140567"/>
    <x v="2"/>
    <s v="Firdoush Jabee"/>
    <s v="27/06/2020"/>
    <s v="Processing"/>
    <s v="51 GB DDR4 RAM"/>
    <s v="NIC"/>
    <x v="3"/>
    <n v="6550"/>
    <n v="8515"/>
    <n v="3"/>
    <n v="19650"/>
    <n v="25545"/>
    <s v="Roshan Kumar"/>
    <n v="9100"/>
  </r>
  <r>
    <s v="140568"/>
    <x v="2"/>
    <s v="Jay Prakash Kumar"/>
    <s v="27/06/2020"/>
    <s v="Delivered"/>
    <s v="Standard ATX motherboard"/>
    <s v="Printer"/>
    <x v="4"/>
    <n v="7650"/>
    <n v="9945"/>
    <n v="2"/>
    <n v="15300"/>
    <n v="19890"/>
    <s v="Aarvi Gupta"/>
    <n v="11700"/>
  </r>
  <r>
    <s v="140569"/>
    <x v="2"/>
    <s v="Ashish Pandey"/>
    <s v="27/06/2020"/>
    <s v="Shipped"/>
    <s v="Compact with 1 Fan"/>
    <s v="Cabinet"/>
    <x v="5"/>
    <n v="1150"/>
    <n v="1495"/>
    <n v="2"/>
    <n v="2300"/>
    <n v="2990"/>
    <s v="Vijay Singh"/>
    <n v="2990"/>
  </r>
  <r>
    <s v="140570"/>
    <x v="2"/>
    <s v="Ajay Sharma"/>
    <s v="27/06/2020"/>
    <s v="Order"/>
    <s v="USB Backlight Keyboard"/>
    <s v="Keyboard"/>
    <x v="6"/>
    <n v="850"/>
    <n v="1105"/>
    <n v="4"/>
    <n v="3400"/>
    <n v="4420"/>
    <s v="Aadil Khan"/>
    <n v="3315"/>
  </r>
  <r>
    <s v="140571"/>
    <x v="2"/>
    <s v="Moinuddin Saifi"/>
    <s v="28/06/2020"/>
    <s v="Processing"/>
    <s v="Ergonomic Mouse"/>
    <s v="Mouse"/>
    <x v="0"/>
    <n v="650"/>
    <n v="845"/>
    <n v="2"/>
    <n v="1300"/>
    <n v="1690"/>
    <s v="Advika Joshi"/>
    <n v="1690"/>
  </r>
  <r>
    <s v="140572"/>
    <x v="2"/>
    <s v="Ramkrishna Das Adhikary"/>
    <s v="29/06/2020"/>
    <s v="Delivered"/>
    <s v="15&quot; LCD Dsipaly"/>
    <s v="Monitor"/>
    <x v="6"/>
    <n v="7500"/>
    <n v="9750"/>
    <n v="4"/>
    <n v="30000"/>
    <n v="39000"/>
    <s v="Ajay Sharma"/>
    <n v="9750"/>
  </r>
  <r>
    <s v="140573"/>
    <x v="10"/>
    <s v="Ranjeet Mandal"/>
    <s v="30/06/2020"/>
    <s v="Shipped"/>
    <s v="37 TB HDD"/>
    <s v="HDD"/>
    <x v="7"/>
    <n v="10000"/>
    <n v="13000"/>
    <n v="4"/>
    <n v="40000"/>
    <n v="52000"/>
    <s v="Roshan Kumar"/>
    <n v="39000"/>
  </r>
  <r>
    <s v="140574"/>
    <x v="11"/>
    <s v="Ashwini Adsare"/>
    <s v="01/07/2020"/>
    <s v="Order"/>
    <s v="36 TB SSD"/>
    <s v="SSD"/>
    <x v="0"/>
    <n v="10500"/>
    <n v="13650"/>
    <n v="2"/>
    <n v="21000"/>
    <n v="27300"/>
    <s v="Aarvi Gupta"/>
    <n v="8450"/>
  </r>
  <r>
    <s v="140575"/>
    <x v="12"/>
    <s v="Rajesh Variya"/>
    <s v="02/07/2020"/>
    <s v="Processing"/>
    <s v="Intel i5 12th gen."/>
    <s v="CPU"/>
    <x v="1"/>
    <n v="8500"/>
    <n v="11050"/>
    <n v="1"/>
    <n v="8500"/>
    <n v="11050"/>
    <s v="Vijay Singh"/>
    <n v="33150"/>
  </r>
  <r>
    <s v="140576"/>
    <x v="13"/>
    <s v="Amit Singh"/>
    <s v="03/07/2020"/>
    <s v="Delivered"/>
    <s v="2GB Graphic Card"/>
    <s v="Graphic Card"/>
    <x v="2"/>
    <n v="7000"/>
    <n v="9100"/>
    <n v="4"/>
    <n v="28000"/>
    <n v="36400"/>
    <s v="Aadil Khan"/>
    <n v="18200"/>
  </r>
  <r>
    <s v="140577"/>
    <x v="14"/>
    <s v="Vinod Mehta"/>
    <s v="04/07/2020"/>
    <s v="Shipped"/>
    <s v="39 GB DDR4 Ram"/>
    <s v="NIC"/>
    <x v="3"/>
    <n v="1680"/>
    <n v="2184"/>
    <n v="3"/>
    <n v="5040"/>
    <n v="6552"/>
    <s v="Advika Joshi"/>
    <n v="9100"/>
  </r>
  <r>
    <s v="140578"/>
    <x v="15"/>
    <s v="Jignesh Mhatre"/>
    <s v="05/07/2020"/>
    <s v="Order"/>
    <s v="Micro ATX motherboard"/>
    <s v="Printer"/>
    <x v="8"/>
    <n v="6540"/>
    <n v="8502"/>
    <n v="1"/>
    <n v="6540"/>
    <n v="8502"/>
    <s v="Ajay Sharma"/>
    <n v="11700"/>
  </r>
  <r>
    <s v="140579"/>
    <x v="16"/>
    <s v="Rahul Kashyap"/>
    <s v="06/07/2020"/>
    <s v="Processing"/>
    <s v="Gaming Box Cabinet"/>
    <s v="Cabinet"/>
    <x v="5"/>
    <n v="2680"/>
    <n v="3484"/>
    <n v="4"/>
    <n v="10720"/>
    <n v="13936"/>
    <s v="Roshan Kumar"/>
    <n v="2990"/>
  </r>
  <r>
    <s v="140580"/>
    <x v="17"/>
    <s v="Mohammed Abdul Kaleem"/>
    <s v="07/07/2020"/>
    <s v="Delivered"/>
    <s v="17&quot; LCD Display"/>
    <s v="Monitor"/>
    <x v="0"/>
    <n v="8250"/>
    <n v="10725"/>
    <n v="2"/>
    <n v="16500"/>
    <n v="21450"/>
    <s v="Aarvi Gupta"/>
    <n v="9750"/>
  </r>
  <r>
    <s v="140581"/>
    <x v="18"/>
    <s v="Chandrakant Kasbe"/>
    <s v="07/07/2020"/>
    <s v="Shipped"/>
    <s v="43 GB DDR4 RAM"/>
    <s v="RAM"/>
    <x v="0"/>
    <n v="2650"/>
    <n v="3445"/>
    <n v="3"/>
    <n v="7950"/>
    <n v="10335"/>
    <s v="Vijay Singh"/>
    <n v="25545"/>
  </r>
  <r>
    <s v="140582"/>
    <x v="19"/>
    <s v="Rohan Kale"/>
    <s v="07/07/2020"/>
    <s v="Order"/>
    <s v="26&quot; LCD Display"/>
    <s v="Monitor"/>
    <x v="9"/>
    <n v="12550"/>
    <n v="16315"/>
    <n v="4"/>
    <n v="50200"/>
    <n v="65260"/>
    <s v="Aadil Khan"/>
    <n v="9750"/>
  </r>
  <r>
    <s v="140583"/>
    <x v="20"/>
    <s v="Aniruddha Kekapure"/>
    <s v="07/07/2020"/>
    <s v="Processing"/>
    <s v="I7 - intel 12th Generation"/>
    <s v="CPU"/>
    <x v="1"/>
    <n v="14500"/>
    <n v="18850"/>
    <n v="4"/>
    <n v="58000"/>
    <n v="75400"/>
    <s v="Advika Joshi"/>
    <n v="33150"/>
  </r>
  <r>
    <s v="140584"/>
    <x v="16"/>
    <s v="Aslam Raza"/>
    <s v="07/07/2020"/>
    <s v="Delivered"/>
    <s v="USB Keyboard"/>
    <s v="Keyboard"/>
    <x v="6"/>
    <n v="800"/>
    <n v="1040"/>
    <n v="2"/>
    <n v="1600"/>
    <n v="2080"/>
    <s v="Ajay Sharma"/>
    <n v="3315"/>
  </r>
  <r>
    <s v="140585"/>
    <x v="17"/>
    <s v="Roshan Zameer"/>
    <s v="07/07/2020"/>
    <s v="Shipped"/>
    <s v="Wireless Mouse"/>
    <s v="Mouse"/>
    <x v="0"/>
    <n v="600"/>
    <n v="780"/>
    <n v="2"/>
    <n v="1200"/>
    <n v="1560"/>
    <s v="Roshan Kumar"/>
    <n v="1690"/>
  </r>
  <r>
    <s v="140586"/>
    <x v="21"/>
    <s v="Rakesh Kumar Sharma"/>
    <s v="07/07/2020"/>
    <s v="Order"/>
    <s v="21&quot; LCD Display"/>
    <s v="Monitor"/>
    <x v="6"/>
    <n v="10500"/>
    <n v="13650"/>
    <n v="4"/>
    <n v="42000"/>
    <n v="54600"/>
    <s v="Aarvi Gupta"/>
    <n v="9750"/>
  </r>
  <r>
    <s v="140587"/>
    <x v="2"/>
    <s v="Shivanand Sahani"/>
    <s v="07/07/2020"/>
    <s v="Processing"/>
    <s v="37 TB HDD"/>
    <s v="HDD"/>
    <x v="10"/>
    <n v="6500"/>
    <n v="8450"/>
    <n v="2"/>
    <n v="13000"/>
    <n v="16900"/>
    <s v="Vijay Singh"/>
    <n v="39000"/>
  </r>
  <r>
    <s v="140588"/>
    <x v="2"/>
    <s v="Kunal Patra"/>
    <s v="07/07/2020"/>
    <s v="Delivered"/>
    <s v="292 GB SSD"/>
    <s v="SSD"/>
    <x v="0"/>
    <n v="4500"/>
    <n v="5850"/>
    <n v="3"/>
    <n v="13500"/>
    <n v="17550"/>
    <s v="Aadil Khan"/>
    <n v="8450"/>
  </r>
  <r>
    <s v="140589"/>
    <x v="2"/>
    <s v="Bijendra"/>
    <s v="07/07/2020"/>
    <s v="Shipped"/>
    <s v="Intel i3 11th gen."/>
    <s v="CPU"/>
    <x v="1"/>
    <n v="8500"/>
    <n v="11050"/>
    <n v="3"/>
    <n v="25500"/>
    <n v="33150"/>
    <s v="Advika Joshi"/>
    <n v="33150"/>
  </r>
  <r>
    <s v="140590"/>
    <x v="2"/>
    <s v="Kranti Bheke"/>
    <s v="07/07/2020"/>
    <s v="Order"/>
    <s v="4GB Graphic card"/>
    <s v="Graphic Card"/>
    <x v="2"/>
    <n v="12500"/>
    <n v="16250"/>
    <n v="3"/>
    <n v="37500"/>
    <n v="48750"/>
    <s v="Ajay Sharma"/>
    <n v="18200"/>
  </r>
  <r>
    <s v="140591"/>
    <x v="2"/>
    <s v="Jagdeep"/>
    <s v="07/07/2020"/>
    <s v="Processing"/>
    <s v="44 GB DDR4 RAM"/>
    <s v="RAM"/>
    <x v="3"/>
    <n v="3500"/>
    <n v="4550"/>
    <n v="3"/>
    <n v="10500"/>
    <n v="13650"/>
    <s v="Roshan Kumar"/>
    <n v="25545"/>
  </r>
  <r>
    <s v="140592"/>
    <x v="2"/>
    <s v="Adhir Samal"/>
    <s v="08/07/2020"/>
    <s v="Delivered"/>
    <s v="BTX motherboard"/>
    <s v="MotherBoard"/>
    <x v="4"/>
    <n v="4500"/>
    <n v="5850"/>
    <n v="1"/>
    <n v="4500"/>
    <n v="5850"/>
    <s v="Aarvi Gupta"/>
    <n v="39780"/>
  </r>
  <r>
    <s v="140593"/>
    <x v="2"/>
    <s v="Dannana Jhammi"/>
    <s v="09/07/2020"/>
    <s v="Shipped"/>
    <s v="39 Fans Cabinet"/>
    <s v="Cabinet"/>
    <x v="5"/>
    <n v="2100"/>
    <n v="2730"/>
    <n v="4"/>
    <n v="8400"/>
    <n v="10920"/>
    <s v="Vijay Singh"/>
    <n v="2990"/>
  </r>
  <r>
    <s v="140594"/>
    <x v="2"/>
    <s v="Vipin Kumar"/>
    <s v="10/07/2020"/>
    <s v="Order"/>
    <s v="Wireless Keyboard"/>
    <s v="Keyboard"/>
    <x v="6"/>
    <n v="1150"/>
    <n v="1495"/>
    <n v="1"/>
    <n v="1150"/>
    <n v="1495"/>
    <s v="Aadil Khan"/>
    <n v="3315"/>
  </r>
  <r>
    <s v="140595"/>
    <x v="2"/>
    <s v="Ranjeet Kumar"/>
    <s v="11/07/2020"/>
    <s v="Processing"/>
    <s v="USB Mouse"/>
    <s v="Mouse"/>
    <x v="0"/>
    <n v="350"/>
    <n v="455"/>
    <n v="3"/>
    <n v="1050"/>
    <n v="1365"/>
    <s v="Advika Joshi"/>
    <n v="1690"/>
  </r>
  <r>
    <s v="140596"/>
    <x v="2"/>
    <s v="Sajal Singhal"/>
    <s v="12/07/2020"/>
    <s v="Delivered"/>
    <s v="19&quot; LED Display"/>
    <s v="Monitor"/>
    <x v="6"/>
    <n v="9500"/>
    <n v="12350"/>
    <n v="4"/>
    <n v="38000"/>
    <n v="49400"/>
    <s v="Ajay Sharma"/>
    <n v="9750"/>
  </r>
  <r>
    <s v="140597"/>
    <x v="2"/>
    <s v="Akhilesh Kumar"/>
    <s v="13/07/2020"/>
    <s v="Shipped"/>
    <s v="38 TB HDD"/>
    <s v="HDD"/>
    <x v="10"/>
    <n v="10000"/>
    <n v="13000"/>
    <n v="2"/>
    <n v="20000"/>
    <n v="26000"/>
    <s v="Roshan Kumar"/>
    <n v="39000"/>
  </r>
  <r>
    <s v="140598"/>
    <x v="2"/>
    <s v="Suvankar Chakraborty"/>
    <s v="14/07/2020"/>
    <s v="Order"/>
    <s v="548 GB M.2"/>
    <s v="SSD"/>
    <x v="0"/>
    <n v="6500"/>
    <n v="8450"/>
    <n v="1"/>
    <n v="6500"/>
    <n v="8450"/>
    <s v="Aarvi Gupta"/>
    <n v="8450"/>
  </r>
  <r>
    <s v="140599"/>
    <x v="2"/>
    <s v="Suvankar Adhikary"/>
    <s v="15/07/2020"/>
    <s v="Processing"/>
    <s v="RYZEN 3rd gen. 3536"/>
    <s v="CPU"/>
    <x v="1"/>
    <n v="8500"/>
    <n v="11050"/>
    <n v="1"/>
    <n v="8500"/>
    <n v="11050"/>
    <s v="Vijay Singh"/>
    <n v="33150"/>
  </r>
  <r>
    <s v="140600"/>
    <x v="2"/>
    <s v="Rahul Kumar Prajapati"/>
    <s v="16/07/2020"/>
    <s v="Delivered"/>
    <s v="2GB Graphic Card"/>
    <s v="Graphic Card"/>
    <x v="2"/>
    <n v="7000"/>
    <n v="9100"/>
    <n v="3"/>
    <n v="21000"/>
    <n v="27300"/>
    <s v="Aadil Khan"/>
    <n v="18200"/>
  </r>
  <r>
    <s v="140601"/>
    <x v="34"/>
    <s v="Sagar Jeur"/>
    <s v="17/07/2020"/>
    <s v="Shipped"/>
    <s v="52 GB DDR4 RAM"/>
    <s v="RAM"/>
    <x v="3"/>
    <n v="6550"/>
    <n v="8515"/>
    <n v="3"/>
    <n v="19650"/>
    <n v="25545"/>
    <s v="Advika Joshi"/>
    <n v="25545"/>
  </r>
  <r>
    <s v="140602"/>
    <x v="4"/>
    <s v="Rhushikesh Mane"/>
    <s v="18/07/2020"/>
    <s v="Order"/>
    <s v="Standard ATX motherboard"/>
    <s v="MotherBoard"/>
    <x v="4"/>
    <n v="7650"/>
    <n v="9945"/>
    <n v="4"/>
    <n v="30600"/>
    <n v="39780"/>
    <s v="Ajay Sharma"/>
    <n v="39780"/>
  </r>
  <r>
    <s v="140603"/>
    <x v="5"/>
    <s v="Ashish Kumar"/>
    <s v="19/07/2020"/>
    <s v="Processing"/>
    <s v="Compact with 1 Fan"/>
    <s v="Cabinet"/>
    <x v="5"/>
    <n v="1150"/>
    <n v="1495"/>
    <n v="3"/>
    <n v="3450"/>
    <n v="4485"/>
    <s v="Roshan Kumar"/>
    <n v="2990"/>
  </r>
  <r>
    <s v="140604"/>
    <x v="2"/>
    <s v="Javed Akhter"/>
    <s v="20/07/2020"/>
    <s v="Delivered"/>
    <s v="USB Backlight Keyboard"/>
    <s v="Keyboard"/>
    <x v="6"/>
    <n v="850"/>
    <n v="1105"/>
    <n v="1"/>
    <n v="850"/>
    <n v="1105"/>
    <s v="Aarvi Gupta"/>
    <n v="3315"/>
  </r>
  <r>
    <s v="140605"/>
    <x v="2"/>
    <s v="Haridas Balraj"/>
    <s v="21/07/2020"/>
    <s v="Shipped"/>
    <s v="Ergonomic Mouse"/>
    <s v="Mouse"/>
    <x v="0"/>
    <n v="650"/>
    <n v="845"/>
    <n v="4"/>
    <n v="2600"/>
    <n v="3380"/>
    <s v="Vijay Singh"/>
    <n v="1690"/>
  </r>
  <r>
    <s v="140606"/>
    <x v="2"/>
    <s v="Kundan Kumar"/>
    <s v="22/07/2020"/>
    <s v="Order"/>
    <s v="15&quot; LCD Dsipaly"/>
    <s v="Monitor"/>
    <x v="6"/>
    <n v="7500"/>
    <n v="9750"/>
    <n v="1"/>
    <n v="7500"/>
    <n v="9750"/>
    <s v="Aadil Khan"/>
    <n v="9750"/>
  </r>
  <r>
    <s v="140607"/>
    <x v="2"/>
    <s v="Atif Siddiqui"/>
    <s v="22/07/2020"/>
    <s v="Processing"/>
    <s v="38 TB HDD"/>
    <s v="HDD"/>
    <x v="7"/>
    <n v="10000"/>
    <n v="13000"/>
    <n v="3"/>
    <n v="30000"/>
    <n v="39000"/>
    <s v="Advika Joshi"/>
    <n v="39000"/>
  </r>
  <r>
    <s v="140608"/>
    <x v="2"/>
    <s v="Aditya Agarwal"/>
    <s v="22/07/2020"/>
    <s v="Delivered"/>
    <s v="37 TB SSD"/>
    <s v="SSD"/>
    <x v="0"/>
    <n v="10500"/>
    <n v="13650"/>
    <n v="3"/>
    <n v="31500"/>
    <n v="40950"/>
    <s v="Ajay Sharma"/>
    <n v="8450"/>
  </r>
  <r>
    <s v="140609"/>
    <x v="2"/>
    <s v="Firdoush Jabee"/>
    <s v="22/07/2020"/>
    <s v="Shipped"/>
    <s v="Intel i5 12th gen."/>
    <s v="CPU"/>
    <x v="1"/>
    <n v="8500"/>
    <n v="11050"/>
    <n v="1"/>
    <n v="8500"/>
    <n v="11050"/>
    <s v="Roshan Kumar"/>
    <n v="33150"/>
  </r>
  <r>
    <s v="140610"/>
    <x v="2"/>
    <s v="Jay Prakash Kumar"/>
    <s v="22/07/2020"/>
    <s v="Order"/>
    <s v="2GB Graphic Card"/>
    <s v="Graphic Card"/>
    <x v="2"/>
    <n v="7000"/>
    <n v="9100"/>
    <n v="1"/>
    <n v="7000"/>
    <n v="9100"/>
    <s v="Aarvi Gupta"/>
    <n v="18200"/>
  </r>
  <r>
    <s v="140611"/>
    <x v="2"/>
    <s v="Ashish Pandey"/>
    <s v="23/07/2020"/>
    <s v="Processing"/>
    <s v="40 GB DDR4 Ram"/>
    <s v="RAM"/>
    <x v="3"/>
    <n v="1680"/>
    <n v="2184"/>
    <n v="2"/>
    <n v="3360"/>
    <n v="4368"/>
    <s v="Vijay Singh"/>
    <n v="25545"/>
  </r>
  <r>
    <s v="140612"/>
    <x v="2"/>
    <s v="Ajay Sharma"/>
    <s v="24/07/2020"/>
    <s v="Delivered"/>
    <s v="Micro ATX motherboard"/>
    <s v="MotherBoard"/>
    <x v="8"/>
    <n v="6540"/>
    <n v="8502"/>
    <n v="1"/>
    <n v="6540"/>
    <n v="8502"/>
    <s v="Aadil Khan"/>
    <n v="39780"/>
  </r>
  <r>
    <s v="140613"/>
    <x v="2"/>
    <s v="Moinuddin Saifi"/>
    <s v="25/07/2020"/>
    <s v="Shipped"/>
    <s v="Gaming Box Cabinet"/>
    <s v="Cabinet"/>
    <x v="5"/>
    <n v="2680"/>
    <n v="3484"/>
    <n v="2"/>
    <n v="5360"/>
    <n v="6968"/>
    <s v="Advika Joshi"/>
    <n v="2990"/>
  </r>
  <r>
    <s v="140614"/>
    <x v="2"/>
    <s v="Ramkrishna Das Adhikary"/>
    <s v="26/07/2020"/>
    <s v="Order"/>
    <s v="17&quot; LCD Display"/>
    <s v="Monitor"/>
    <x v="0"/>
    <n v="8250"/>
    <n v="10725"/>
    <n v="1"/>
    <n v="8250"/>
    <n v="10725"/>
    <s v="Ajay Sharma"/>
    <n v="9750"/>
  </r>
  <r>
    <s v="140615"/>
    <x v="2"/>
    <s v="Ranjeet Mandal"/>
    <s v="27/07/2020"/>
    <s v="Processing"/>
    <s v="44 GB DDR4 RAM"/>
    <s v="RAM"/>
    <x v="0"/>
    <n v="2650"/>
    <n v="3445"/>
    <n v="4"/>
    <n v="10600"/>
    <n v="13780"/>
    <s v="Roshan Kumar"/>
    <n v="25545"/>
  </r>
  <r>
    <s v="140616"/>
    <x v="2"/>
    <s v="Ashwini Adsare"/>
    <s v="28/07/2020"/>
    <s v="Delivered"/>
    <s v="26&quot; LCD Display"/>
    <s v="Monitor"/>
    <x v="9"/>
    <n v="12550"/>
    <n v="16315"/>
    <n v="3"/>
    <n v="37650"/>
    <n v="48945"/>
    <s v="Aarvi Gupta"/>
    <n v="9750"/>
  </r>
  <r>
    <s v="140617"/>
    <x v="2"/>
    <s v="Rajesh Variya"/>
    <s v="29/07/2020"/>
    <s v="Shipped"/>
    <s v="I7 - intel 12th Generation"/>
    <s v="CPU"/>
    <x v="1"/>
    <n v="14500"/>
    <n v="18850"/>
    <n v="4"/>
    <n v="58000"/>
    <n v="75400"/>
    <s v="Vijay Singh"/>
    <n v="33150"/>
  </r>
  <r>
    <s v="140618"/>
    <x v="18"/>
    <s v="Amit Singh"/>
    <s v="30/07/2020"/>
    <s v="Order"/>
    <s v="USB Keyboard"/>
    <s v="Keyboard"/>
    <x v="6"/>
    <n v="800"/>
    <n v="1040"/>
    <n v="4"/>
    <n v="3200"/>
    <n v="4160"/>
    <s v="Aadil Khan"/>
    <n v="3315"/>
  </r>
  <r>
    <s v="140619"/>
    <x v="19"/>
    <s v="Vinod Mehta"/>
    <s v="31/07/2020"/>
    <s v="Processing"/>
    <s v="Wireless Mouse"/>
    <s v="Mouse"/>
    <x v="0"/>
    <n v="600"/>
    <n v="780"/>
    <n v="2"/>
    <n v="1200"/>
    <n v="1560"/>
    <s v="Advika Joshi"/>
    <n v="1690"/>
  </r>
  <r>
    <s v="140620"/>
    <x v="20"/>
    <s v="Jignesh Mhatre"/>
    <s v="01/08/2020"/>
    <s v="Delivered"/>
    <s v="21&quot; LCD Display"/>
    <s v="Monitor"/>
    <x v="6"/>
    <n v="10500"/>
    <n v="13650"/>
    <n v="4"/>
    <n v="42000"/>
    <n v="54600"/>
    <s v="Ajay Sharma"/>
    <n v="9750"/>
  </r>
  <r>
    <s v="140621"/>
    <x v="16"/>
    <s v="Rahul Kashyap"/>
    <s v="02/08/2020"/>
    <s v="Shipped"/>
    <s v="38 TB HDD"/>
    <s v="HDD"/>
    <x v="10"/>
    <n v="6500"/>
    <n v="8450"/>
    <n v="4"/>
    <n v="26000"/>
    <n v="33800"/>
    <s v="Roshan Kumar"/>
    <n v="39000"/>
  </r>
  <r>
    <s v="140622"/>
    <x v="17"/>
    <s v="Mohammed Abdul Kaleem"/>
    <s v="03/08/2020"/>
    <s v="Order"/>
    <s v="293 GB SSD"/>
    <s v="SSD"/>
    <x v="0"/>
    <n v="4500"/>
    <n v="5850"/>
    <n v="3"/>
    <n v="13500"/>
    <n v="17550"/>
    <s v="Aarvi Gupta"/>
    <n v="8450"/>
  </r>
  <r>
    <s v="140623"/>
    <x v="2"/>
    <s v="Chandrakant Kasbe"/>
    <s v="04/08/2020"/>
    <s v="Processing"/>
    <s v="Intel i3 11th gen."/>
    <s v="CPU"/>
    <x v="1"/>
    <n v="8500"/>
    <n v="11050"/>
    <n v="4"/>
    <n v="34000"/>
    <n v="44200"/>
    <s v="Vijay Singh"/>
    <n v="33150"/>
  </r>
  <r>
    <s v="140624"/>
    <x v="2"/>
    <s v="Rohan Kale"/>
    <s v="05/08/2020"/>
    <s v="Delivered"/>
    <s v="4GB Graphic card"/>
    <s v="Graphic Card"/>
    <x v="2"/>
    <n v="12500"/>
    <n v="16250"/>
    <n v="3"/>
    <n v="37500"/>
    <n v="48750"/>
    <s v="Aadil Khan"/>
    <n v="18200"/>
  </r>
  <r>
    <s v="140625"/>
    <x v="2"/>
    <s v="Aniruddha Kekapure"/>
    <s v="06/08/2020"/>
    <s v="Shipped"/>
    <s v="45 GB DDR4 RAM"/>
    <s v="Computer Case"/>
    <x v="3"/>
    <n v="3500"/>
    <n v="4550"/>
    <n v="2"/>
    <n v="7000"/>
    <n v="9100"/>
    <s v="Advika Joshi"/>
    <n v="13650"/>
  </r>
  <r>
    <s v="140626"/>
    <x v="2"/>
    <s v="Aslam Raza"/>
    <s v="07/08/2020"/>
    <s v="Order"/>
    <s v="BTX motherboard"/>
    <s v="Mouse"/>
    <x v="4"/>
    <n v="4500"/>
    <n v="5850"/>
    <n v="4"/>
    <n v="18000"/>
    <n v="23400"/>
    <s v="Ajay Sharma"/>
    <n v="1690"/>
  </r>
  <r>
    <s v="140627"/>
    <x v="2"/>
    <s v="Roshan Zameer"/>
    <s v="08/08/2020"/>
    <s v="Processing"/>
    <s v="40 Fans Cabinet"/>
    <s v="Cabinet"/>
    <x v="5"/>
    <n v="2100"/>
    <n v="2730"/>
    <n v="4"/>
    <n v="8400"/>
    <n v="10920"/>
    <s v="Roshan Kumar"/>
    <n v="2990"/>
  </r>
  <r>
    <s v="140628"/>
    <x v="2"/>
    <s v="Rakesh Kumar Sharma"/>
    <s v="09/08/2020"/>
    <s v="Delivered"/>
    <s v="Wireless Keyboard"/>
    <s v="Keyboard"/>
    <x v="6"/>
    <n v="1150"/>
    <n v="1495"/>
    <n v="3"/>
    <n v="3450"/>
    <n v="4485"/>
    <s v="Aarvi Gupta"/>
    <n v="3315"/>
  </r>
  <r>
    <s v="140629"/>
    <x v="2"/>
    <s v="Shivanand Sahani"/>
    <s v="10/08/2020"/>
    <s v="Shipped"/>
    <s v="USB Mouse"/>
    <s v="Mouse"/>
    <x v="0"/>
    <n v="350"/>
    <n v="455"/>
    <n v="4"/>
    <n v="1400"/>
    <n v="1820"/>
    <s v="Vijay Singh"/>
    <n v="1690"/>
  </r>
  <r>
    <s v="140630"/>
    <x v="2"/>
    <s v="Kunal Patra"/>
    <s v="11/08/2020"/>
    <s v="Order"/>
    <s v="19&quot; LED Display"/>
    <s v="Monitor"/>
    <x v="6"/>
    <n v="9500"/>
    <n v="12350"/>
    <n v="4"/>
    <n v="38000"/>
    <n v="49400"/>
    <s v="Aadil Khan"/>
    <n v="9750"/>
  </r>
  <r>
    <s v="140631"/>
    <x v="2"/>
    <s v="Bijendra"/>
    <s v="12/08/2020"/>
    <s v="Processing"/>
    <s v="39 TB HDD"/>
    <s v="HDD"/>
    <x v="10"/>
    <n v="10000"/>
    <n v="13000"/>
    <n v="3"/>
    <n v="30000"/>
    <n v="39000"/>
    <s v="Advika Joshi"/>
    <n v="39000"/>
  </r>
  <r>
    <s v="140632"/>
    <x v="2"/>
    <s v="Kranti Bheke"/>
    <s v="13/08/2020"/>
    <s v="Delivered"/>
    <s v="549 GB M.2"/>
    <s v="SSD"/>
    <x v="0"/>
    <n v="6500"/>
    <n v="8450"/>
    <n v="2"/>
    <n v="13000"/>
    <n v="16900"/>
    <s v="Ajay Sharma"/>
    <n v="8450"/>
  </r>
  <r>
    <s v="140633"/>
    <x v="2"/>
    <s v="Jagdeep"/>
    <s v="14/08/2020"/>
    <s v="Shipped"/>
    <s v="RYZEN 3rd gen. 3537"/>
    <s v="CPU"/>
    <x v="1"/>
    <n v="8500"/>
    <n v="11050"/>
    <n v="2"/>
    <n v="17000"/>
    <n v="22100"/>
    <s v="Roshan Kumar"/>
    <n v="33150"/>
  </r>
  <r>
    <s v="140634"/>
    <x v="2"/>
    <s v="Adhir Samal"/>
    <s v="15/08/2020"/>
    <s v="Order"/>
    <s v="2GB Graphic Card"/>
    <s v="Graphic Card"/>
    <x v="2"/>
    <n v="7000"/>
    <n v="9100"/>
    <n v="2"/>
    <n v="14000"/>
    <n v="18200"/>
    <s v="Aarvi Gupta"/>
    <n v="18200"/>
  </r>
  <r>
    <s v="140635"/>
    <x v="2"/>
    <s v="Dannana Jhammi"/>
    <s v="16/08/2020"/>
    <s v="Processing"/>
    <s v="53 GB DDR4 RAM"/>
    <s v="Computer Case"/>
    <x v="3"/>
    <n v="6550"/>
    <n v="8515"/>
    <n v="1"/>
    <n v="6550"/>
    <n v="8515"/>
    <s v="Vijay Singh"/>
    <n v="13650"/>
  </r>
  <r>
    <s v="140636"/>
    <x v="2"/>
    <s v="Vipin Kumar"/>
    <s v="17/08/2020"/>
    <s v="Delivered"/>
    <s v="Standard ATX motherboard"/>
    <s v="Mouse"/>
    <x v="4"/>
    <n v="7650"/>
    <n v="9945"/>
    <n v="3"/>
    <n v="22950"/>
    <n v="29835"/>
    <s v="Aadil Khan"/>
    <n v="1690"/>
  </r>
  <r>
    <s v="140637"/>
    <x v="33"/>
    <s v="Ranjeet Kumar"/>
    <s v="18/08/2020"/>
    <s v="Shipped"/>
    <s v="Compact with 1 Fan"/>
    <s v="Cabinet"/>
    <x v="5"/>
    <n v="1150"/>
    <n v="1495"/>
    <n v="1"/>
    <n v="1150"/>
    <n v="1495"/>
    <s v="Advika Joshi"/>
    <n v="2990"/>
  </r>
  <r>
    <s v="140638"/>
    <x v="34"/>
    <s v="Sajal Singhal"/>
    <s v="19/08/2020"/>
    <s v="Order"/>
    <s v="USB Backlight Keyboard"/>
    <s v="Keyboard"/>
    <x v="6"/>
    <n v="850"/>
    <n v="1105"/>
    <n v="1"/>
    <n v="850"/>
    <n v="1105"/>
    <s v="Ajay Sharma"/>
    <n v="3315"/>
  </r>
  <r>
    <s v="140639"/>
    <x v="4"/>
    <s v="Akhilesh Kumar"/>
    <s v="20/08/2020"/>
    <s v="Processing"/>
    <s v="Ergonomic Mouse"/>
    <s v="Mouse"/>
    <x v="0"/>
    <n v="650"/>
    <n v="845"/>
    <n v="3"/>
    <n v="1950"/>
    <n v="2535"/>
    <s v="Roshan Kumar"/>
    <n v="1690"/>
  </r>
  <r>
    <s v="140640"/>
    <x v="5"/>
    <s v="Suvankar Chakraborty"/>
    <s v="21/08/2020"/>
    <s v="Delivered"/>
    <s v="15&quot; LCD Dsipaly"/>
    <s v="Monitor"/>
    <x v="6"/>
    <n v="7500"/>
    <n v="9750"/>
    <n v="3"/>
    <n v="22500"/>
    <n v="29250"/>
    <s v="Aarvi Gupta"/>
    <n v="9750"/>
  </r>
  <r>
    <s v="140641"/>
    <x v="6"/>
    <s v="Suvankar Adhikary"/>
    <s v="22/08/2020"/>
    <s v="Shipped"/>
    <s v="39 TB HDD"/>
    <s v="HDD"/>
    <x v="7"/>
    <n v="10000"/>
    <n v="13000"/>
    <n v="1"/>
    <n v="10000"/>
    <n v="13000"/>
    <s v="Vijay Singh"/>
    <n v="39000"/>
  </r>
  <r>
    <s v="140642"/>
    <x v="2"/>
    <s v="Rahul Kumar Prajapati"/>
    <s v="23/08/2020"/>
    <s v="Order"/>
    <s v="38 TB SSD"/>
    <s v="SSD"/>
    <x v="0"/>
    <n v="10500"/>
    <n v="13650"/>
    <n v="3"/>
    <n v="31500"/>
    <n v="40950"/>
    <s v="Aadil Khan"/>
    <n v="8450"/>
  </r>
  <r>
    <s v="140643"/>
    <x v="2"/>
    <s v="Sagar Jeur"/>
    <s v="24/08/2020"/>
    <s v="Processing"/>
    <s v="Intel i5 12th gen."/>
    <s v="CPU"/>
    <x v="1"/>
    <n v="8500"/>
    <n v="11050"/>
    <n v="2"/>
    <n v="17000"/>
    <n v="22100"/>
    <s v="Advika Joshi"/>
    <n v="33150"/>
  </r>
  <r>
    <s v="140644"/>
    <x v="2"/>
    <s v="Rhushikesh Mane"/>
    <s v="25/08/2020"/>
    <s v="Delivered"/>
    <s v="2GB Graphic Card"/>
    <s v="Graphic Card"/>
    <x v="2"/>
    <n v="7000"/>
    <n v="9100"/>
    <n v="2"/>
    <n v="14000"/>
    <n v="18200"/>
    <s v="Ajay Sharma"/>
    <n v="18200"/>
  </r>
  <r>
    <s v="140645"/>
    <x v="2"/>
    <s v="Ashish Kumar"/>
    <s v="26/08/2020"/>
    <s v="Shipped"/>
    <s v="41 GB DDR4 Ram"/>
    <s v="Computer Case"/>
    <x v="3"/>
    <n v="1680"/>
    <n v="2184"/>
    <n v="2"/>
    <n v="3360"/>
    <n v="4368"/>
    <s v="Roshan Kumar"/>
    <n v="13650"/>
  </r>
  <r>
    <s v="140646"/>
    <x v="2"/>
    <s v="Javed Akhter"/>
    <s v="27/08/2020"/>
    <s v="Order"/>
    <s v="Micro ATX motherboard"/>
    <s v="Mouse"/>
    <x v="8"/>
    <n v="6540"/>
    <n v="8502"/>
    <n v="2"/>
    <n v="13080"/>
    <n v="17004"/>
    <s v="Aarvi Gupta"/>
    <n v="1690"/>
  </r>
  <r>
    <s v="140647"/>
    <x v="2"/>
    <s v="Haridas Balraj"/>
    <s v="28/08/2020"/>
    <s v="Processing"/>
    <s v="Gaming Box Cabinet"/>
    <s v="Cabinet"/>
    <x v="5"/>
    <n v="2680"/>
    <n v="3484"/>
    <n v="2"/>
    <n v="5360"/>
    <n v="6968"/>
    <s v="Vijay Singh"/>
    <n v="2990"/>
  </r>
  <r>
    <s v="140648"/>
    <x v="2"/>
    <s v="Kundan Kumar"/>
    <s v="29/08/2020"/>
    <s v="Delivered"/>
    <s v="17&quot; LCD Display"/>
    <s v="Monitor"/>
    <x v="0"/>
    <n v="8250"/>
    <n v="10725"/>
    <n v="1"/>
    <n v="8250"/>
    <n v="10725"/>
    <s v="Aadil Khan"/>
    <n v="9750"/>
  </r>
  <r>
    <s v="140649"/>
    <x v="2"/>
    <s v="Atif Siddiqui"/>
    <s v="30/08/2020"/>
    <s v="Shipped"/>
    <s v="45 GB DDR4 RAM"/>
    <s v="RAM"/>
    <x v="0"/>
    <n v="2650"/>
    <n v="3445"/>
    <n v="2"/>
    <n v="5300"/>
    <n v="6890"/>
    <s v="Advika Joshi"/>
    <n v="25545"/>
  </r>
  <r>
    <s v="140650"/>
    <x v="2"/>
    <s v="Aditya Agarwal"/>
    <s v="31/08/2020"/>
    <s v="Order"/>
    <s v="26&quot; LCD Display"/>
    <s v="Monitor"/>
    <x v="9"/>
    <n v="12550"/>
    <n v="16315"/>
    <n v="3"/>
    <n v="37650"/>
    <n v="48945"/>
    <s v="Ajay Sharma"/>
    <n v="9750"/>
  </r>
  <r>
    <s v="140651"/>
    <x v="2"/>
    <s v="Firdoush Jabee"/>
    <s v="01/09/2020"/>
    <s v="Processing"/>
    <s v="I7 - intel 12th Generation"/>
    <s v="CPU"/>
    <x v="1"/>
    <n v="14500"/>
    <n v="18850"/>
    <n v="2"/>
    <n v="29000"/>
    <n v="37700"/>
    <s v="Roshan Kumar"/>
    <n v="33150"/>
  </r>
  <r>
    <s v="140652"/>
    <x v="2"/>
    <s v="Jay Prakash Kumar"/>
    <s v="02/09/2020"/>
    <s v="Delivered"/>
    <s v="USB Keyboard"/>
    <s v="Keyboard"/>
    <x v="6"/>
    <n v="800"/>
    <n v="1040"/>
    <n v="3"/>
    <n v="2400"/>
    <n v="3120"/>
    <s v="Aarvi Gupta"/>
    <n v="3315"/>
  </r>
  <r>
    <s v="140653"/>
    <x v="2"/>
    <s v="Ashish Pandey"/>
    <s v="03/09/2020"/>
    <s v="Shipped"/>
    <s v="Wireless Mouse"/>
    <s v="Mouse"/>
    <x v="0"/>
    <n v="600"/>
    <n v="780"/>
    <n v="4"/>
    <n v="2400"/>
    <n v="3120"/>
    <s v="Vijay Singh"/>
    <n v="1690"/>
  </r>
  <r>
    <s v="140654"/>
    <x v="2"/>
    <s v="Ajay Sharma"/>
    <s v="04/09/2020"/>
    <s v="Order"/>
    <s v="21&quot; LCD Display"/>
    <s v="Monitor"/>
    <x v="6"/>
    <n v="10500"/>
    <n v="13650"/>
    <n v="1"/>
    <n v="10500"/>
    <n v="13650"/>
    <s v="Aadil Khan"/>
    <n v="9750"/>
  </r>
  <r>
    <s v="140655"/>
    <x v="2"/>
    <s v="Moinuddin Saifi"/>
    <s v="05/09/2020"/>
    <s v="Processing"/>
    <s v="39 TB HDD"/>
    <s v="HDD"/>
    <x v="10"/>
    <n v="6500"/>
    <n v="8450"/>
    <n v="2"/>
    <n v="13000"/>
    <n v="16900"/>
    <s v="Advika Joshi"/>
    <n v="39000"/>
  </r>
  <r>
    <s v="140656"/>
    <x v="19"/>
    <s v="Ramkrishna Das Adhikary"/>
    <s v="06/09/2020"/>
    <s v="Delivered"/>
    <s v="294 GB SSD"/>
    <s v="SSD"/>
    <x v="0"/>
    <n v="4500"/>
    <n v="5850"/>
    <n v="3"/>
    <n v="13500"/>
    <n v="17550"/>
    <s v="Ajay Sharma"/>
    <n v="8450"/>
  </r>
  <r>
    <s v="140657"/>
    <x v="20"/>
    <s v="Ranjeet Mandal"/>
    <s v="07/09/2020"/>
    <s v="Shipped"/>
    <s v="Intel i3 11th gen."/>
    <s v="CPU"/>
    <x v="1"/>
    <n v="8500"/>
    <n v="11050"/>
    <n v="4"/>
    <n v="34000"/>
    <n v="44200"/>
    <s v="Roshan Kumar"/>
    <n v="33150"/>
  </r>
  <r>
    <s v="140658"/>
    <x v="16"/>
    <s v="Ashwini Adsare"/>
    <s v="07/09/2020"/>
    <s v="Order"/>
    <s v="4GB Graphic card"/>
    <s v="Graphic Card"/>
    <x v="2"/>
    <n v="12500"/>
    <n v="16250"/>
    <n v="3"/>
    <n v="37500"/>
    <n v="48750"/>
    <s v="Aarvi Gupta"/>
    <n v="18200"/>
  </r>
  <r>
    <s v="140659"/>
    <x v="17"/>
    <s v="Rajesh Variya"/>
    <s v="07/09/2020"/>
    <s v="Processing"/>
    <s v="46 GB DDR4 RAM"/>
    <s v="NIC"/>
    <x v="3"/>
    <n v="3500"/>
    <n v="4550"/>
    <n v="1"/>
    <n v="3500"/>
    <n v="4550"/>
    <s v="Vijay Singh"/>
    <n v="9100"/>
  </r>
  <r>
    <s v="140660"/>
    <x v="21"/>
    <s v="Amit Singh"/>
    <s v="07/09/2020"/>
    <s v="Delivered"/>
    <s v="BTX motherboard"/>
    <s v="Printer"/>
    <x v="4"/>
    <n v="4500"/>
    <n v="5850"/>
    <n v="1"/>
    <n v="4500"/>
    <n v="5850"/>
    <s v="Aadil Khan"/>
    <n v="11700"/>
  </r>
  <r>
    <s v="140661"/>
    <x v="22"/>
    <s v="Vinod Mehta"/>
    <s v="07/09/2020"/>
    <s v="Shipped"/>
    <s v="41 Fans Cabinet"/>
    <s v="Cabinet"/>
    <x v="5"/>
    <n v="2100"/>
    <n v="2730"/>
    <n v="1"/>
    <n v="2100"/>
    <n v="2730"/>
    <s v="Advika Joshi"/>
    <n v="2990"/>
  </r>
  <r>
    <s v="140662"/>
    <x v="2"/>
    <s v="Jignesh Mhatre"/>
    <s v="07/09/2020"/>
    <s v="Order"/>
    <s v="Wireless Keyboard"/>
    <s v="Keyboard"/>
    <x v="6"/>
    <n v="1150"/>
    <n v="1495"/>
    <n v="4"/>
    <n v="4600"/>
    <n v="5980"/>
    <s v="Ajay Sharma"/>
    <n v="3315"/>
  </r>
  <r>
    <s v="140663"/>
    <x v="2"/>
    <s v="Rahul Kashyap"/>
    <s v="07/09/2020"/>
    <s v="Processing"/>
    <s v="USB Mouse"/>
    <s v="Mouse"/>
    <x v="0"/>
    <n v="350"/>
    <n v="455"/>
    <n v="2"/>
    <n v="700"/>
    <n v="910"/>
    <s v="Roshan Kumar"/>
    <n v="1690"/>
  </r>
  <r>
    <s v="140664"/>
    <x v="2"/>
    <s v="Mohammed Abdul Kaleem"/>
    <s v="07/09/2020"/>
    <s v="Delivered"/>
    <s v="19&quot; LED Display"/>
    <s v="Monitor"/>
    <x v="6"/>
    <n v="9500"/>
    <n v="12350"/>
    <n v="1"/>
    <n v="9500"/>
    <n v="12350"/>
    <s v="Aarvi Gupta"/>
    <n v="9750"/>
  </r>
  <r>
    <s v="140665"/>
    <x v="2"/>
    <s v="Chandrakant Kasbe"/>
    <s v="07/09/2020"/>
    <s v="Shipped"/>
    <s v="40 TB HDD"/>
    <s v="HDD"/>
    <x v="10"/>
    <n v="10000"/>
    <n v="13000"/>
    <n v="3"/>
    <n v="30000"/>
    <n v="39000"/>
    <s v="Vijay Singh"/>
    <n v="39000"/>
  </r>
  <r>
    <s v="140666"/>
    <x v="2"/>
    <s v="Rohan Kale"/>
    <s v="07/09/2020"/>
    <s v="Order"/>
    <s v="550 GB M.2"/>
    <s v="SSD"/>
    <x v="0"/>
    <n v="6500"/>
    <n v="8450"/>
    <n v="2"/>
    <n v="13000"/>
    <n v="16900"/>
    <s v="Aadil Khan"/>
    <n v="8450"/>
  </r>
  <r>
    <s v="140667"/>
    <x v="2"/>
    <s v="Aniruddha Kekapure"/>
    <s v="07/09/2020"/>
    <s v="Processing"/>
    <s v="RYZEN 3rd gen. 3538"/>
    <s v="CPU"/>
    <x v="1"/>
    <n v="8500"/>
    <n v="11050"/>
    <n v="1"/>
    <n v="8500"/>
    <n v="11050"/>
    <s v="Advika Joshi"/>
    <n v="33150"/>
  </r>
  <r>
    <s v="140668"/>
    <x v="2"/>
    <s v="Aslam Raza"/>
    <s v="07/09/2020"/>
    <s v="Delivered"/>
    <s v="2GB Graphic Card"/>
    <s v="Graphic Card"/>
    <x v="2"/>
    <n v="7000"/>
    <n v="9100"/>
    <n v="1"/>
    <n v="7000"/>
    <n v="9100"/>
    <s v="Ajay Sharma"/>
    <n v="18200"/>
  </r>
  <r>
    <s v="140669"/>
    <x v="2"/>
    <s v="Roshan Zameer"/>
    <s v="07/09/2020"/>
    <s v="Shipped"/>
    <s v="54 GB DDR4 RAM"/>
    <s v="NIC"/>
    <x v="3"/>
    <n v="6550"/>
    <n v="8515"/>
    <n v="1"/>
    <n v="6550"/>
    <n v="8515"/>
    <s v="Roshan Kumar"/>
    <n v="9100"/>
  </r>
  <r>
    <s v="140670"/>
    <x v="2"/>
    <s v="Rakesh Kumar Sharma"/>
    <s v="07/09/2020"/>
    <s v="Order"/>
    <s v="Standard ATX motherboard"/>
    <s v="Printer"/>
    <x v="4"/>
    <n v="7650"/>
    <n v="9945"/>
    <n v="4"/>
    <n v="30600"/>
    <n v="39780"/>
    <s v="Aarvi Gupta"/>
    <n v="11700"/>
  </r>
  <r>
    <s v="140671"/>
    <x v="2"/>
    <s v="Shivanand Sahani"/>
    <s v="07/09/2020"/>
    <s v="Processing"/>
    <s v="Compact with 1 Fan"/>
    <s v="Cabinet"/>
    <x v="5"/>
    <n v="1150"/>
    <n v="1495"/>
    <n v="2"/>
    <n v="2300"/>
    <n v="2990"/>
    <s v="Vijay Singh"/>
    <n v="2990"/>
  </r>
  <r>
    <s v="140672"/>
    <x v="2"/>
    <s v="Kunal Patra"/>
    <s v="07/09/2020"/>
    <s v="Delivered"/>
    <s v="USB Backlight Keyboard"/>
    <s v="Keyboard"/>
    <x v="6"/>
    <n v="850"/>
    <n v="1105"/>
    <n v="1"/>
    <n v="850"/>
    <n v="1105"/>
    <s v="Aadil Khan"/>
    <n v="3315"/>
  </r>
  <r>
    <s v="140673"/>
    <x v="2"/>
    <s v="Bijendra"/>
    <s v="07/09/2020"/>
    <s v="Shipped"/>
    <s v="Ergonomic Mouse"/>
    <s v="Mouse"/>
    <x v="0"/>
    <n v="650"/>
    <n v="845"/>
    <n v="2"/>
    <n v="1300"/>
    <n v="1690"/>
    <s v="Advika Joshi"/>
    <n v="1690"/>
  </r>
  <r>
    <s v="140674"/>
    <x v="2"/>
    <s v="Kranti Bheke"/>
    <s v="07/09/2020"/>
    <s v="Order"/>
    <s v="15&quot; LCD Dsipaly"/>
    <s v="Monitor"/>
    <x v="6"/>
    <n v="7500"/>
    <n v="9750"/>
    <n v="2"/>
    <n v="15000"/>
    <n v="19500"/>
    <s v="Ajay Sharma"/>
    <n v="9750"/>
  </r>
  <r>
    <s v="140675"/>
    <x v="2"/>
    <s v="Jagdeep"/>
    <s v="07/09/2020"/>
    <s v="Processing"/>
    <s v="40 TB HDD"/>
    <s v="HDD"/>
    <x v="7"/>
    <n v="10000"/>
    <n v="13000"/>
    <n v="4"/>
    <n v="40000"/>
    <n v="52000"/>
    <s v="Roshan Kumar"/>
    <n v="39000"/>
  </r>
  <r>
    <s v="140676"/>
    <x v="4"/>
    <s v="Adhir Samal"/>
    <s v="07/09/2020"/>
    <s v="Delivered"/>
    <s v="39 TB SSD"/>
    <s v="SSD"/>
    <x v="0"/>
    <n v="10500"/>
    <n v="13650"/>
    <n v="1"/>
    <n v="10500"/>
    <n v="13650"/>
    <s v="Aarvi Gupta"/>
    <n v="8450"/>
  </r>
  <r>
    <s v="140677"/>
    <x v="5"/>
    <s v="Dannana Jhammi"/>
    <s v="07/09/2020"/>
    <s v="Shipped"/>
    <s v="Intel i5 12th gen."/>
    <s v="CPU"/>
    <x v="1"/>
    <n v="8500"/>
    <n v="11050"/>
    <n v="4"/>
    <n v="34000"/>
    <n v="44200"/>
    <s v="Vijay Singh"/>
    <n v="33150"/>
  </r>
  <r>
    <s v="140678"/>
    <x v="6"/>
    <s v="Vipin Kumar"/>
    <s v="07/09/2020"/>
    <s v="Order"/>
    <s v="2GB Graphic Card"/>
    <s v="Graphic Card"/>
    <x v="2"/>
    <n v="7000"/>
    <n v="9100"/>
    <n v="3"/>
    <n v="21000"/>
    <n v="27300"/>
    <s v="Aadil Khan"/>
    <n v="18200"/>
  </r>
  <r>
    <s v="140679"/>
    <x v="7"/>
    <s v="Ranjeet Kumar"/>
    <s v="07/09/2020"/>
    <s v="Processing"/>
    <s v="42 GB DDR4 Ram"/>
    <s v="NIC"/>
    <x v="3"/>
    <n v="1680"/>
    <n v="2184"/>
    <n v="2"/>
    <n v="3360"/>
    <n v="4368"/>
    <s v="Advika Joshi"/>
    <n v="9100"/>
  </r>
  <r>
    <s v="140680"/>
    <x v="2"/>
    <s v="Sajal Singhal"/>
    <s v="07/09/2020"/>
    <s v="Delivered"/>
    <s v="Micro ATX motherboard"/>
    <s v="Printer"/>
    <x v="8"/>
    <n v="6540"/>
    <n v="8502"/>
    <n v="3"/>
    <n v="19620"/>
    <n v="25506"/>
    <s v="Ajay Sharma"/>
    <n v="11700"/>
  </r>
  <r>
    <s v="140681"/>
    <x v="2"/>
    <s v="Akhilesh Kumar"/>
    <s v="07/09/2020"/>
    <s v="Shipped"/>
    <s v="Gaming Box Cabinet"/>
    <s v="Cabinet"/>
    <x v="5"/>
    <n v="2680"/>
    <n v="3484"/>
    <n v="2"/>
    <n v="5360"/>
    <n v="6968"/>
    <s v="Roshan Kumar"/>
    <n v="2990"/>
  </r>
  <r>
    <s v="140682"/>
    <x v="2"/>
    <s v="Suvankar Chakraborty"/>
    <s v="07/09/2020"/>
    <s v="Order"/>
    <s v="17&quot; LCD Display"/>
    <s v="Monitor"/>
    <x v="0"/>
    <n v="8250"/>
    <n v="10725"/>
    <n v="3"/>
    <n v="24750"/>
    <n v="32175"/>
    <s v="Aarvi Gupta"/>
    <n v="9750"/>
  </r>
  <r>
    <s v="140683"/>
    <x v="2"/>
    <s v="Suvankar Adhikary"/>
    <s v="07/09/2020"/>
    <s v="Processing"/>
    <s v="46 GB DDR4 RAM"/>
    <s v="RAM"/>
    <x v="0"/>
    <n v="2650"/>
    <n v="3445"/>
    <n v="1"/>
    <n v="2650"/>
    <n v="3445"/>
    <s v="Vijay Singh"/>
    <n v="25545"/>
  </r>
  <r>
    <s v="140684"/>
    <x v="2"/>
    <s v="Rahul Kumar Prajapati"/>
    <s v="07/09/2020"/>
    <s v="Delivered"/>
    <s v="26&quot; LCD Display"/>
    <s v="Monitor"/>
    <x v="9"/>
    <n v="12550"/>
    <n v="16315"/>
    <n v="3"/>
    <n v="37650"/>
    <n v="48945"/>
    <s v="Aadil Khan"/>
    <n v="9750"/>
  </r>
  <r>
    <s v="140685"/>
    <x v="2"/>
    <s v="Sagar Jeur"/>
    <s v="07/09/2020"/>
    <s v="Shipped"/>
    <s v="I7 - intel 12th Generation"/>
    <s v="CPU"/>
    <x v="1"/>
    <n v="14500"/>
    <n v="18850"/>
    <n v="2"/>
    <n v="29000"/>
    <n v="37700"/>
    <s v="Advika Joshi"/>
    <n v="33150"/>
  </r>
  <r>
    <s v="140686"/>
    <x v="2"/>
    <s v="Rhushikesh Mane"/>
    <s v="07/09/2020"/>
    <s v="Order"/>
    <s v="USB Keyboard"/>
    <s v="Keyboard"/>
    <x v="6"/>
    <n v="800"/>
    <n v="1040"/>
    <n v="4"/>
    <n v="3200"/>
    <n v="4160"/>
    <s v="Ajay Sharma"/>
    <n v="3315"/>
  </r>
  <r>
    <s v="140687"/>
    <x v="2"/>
    <s v="Ashish Kumar"/>
    <s v="07/09/2020"/>
    <s v="Processing"/>
    <s v="Wireless Mouse"/>
    <s v="Mouse"/>
    <x v="0"/>
    <n v="600"/>
    <n v="780"/>
    <n v="2"/>
    <n v="1200"/>
    <n v="1560"/>
    <s v="Roshan Kumar"/>
    <n v="1690"/>
  </r>
  <r>
    <s v="140688"/>
    <x v="2"/>
    <s v="Javed Akhter"/>
    <s v="07/09/2020"/>
    <s v="Delivered"/>
    <s v="21&quot; LCD Display"/>
    <s v="Monitor"/>
    <x v="6"/>
    <n v="10500"/>
    <n v="13650"/>
    <n v="3"/>
    <n v="31500"/>
    <n v="40950"/>
    <s v="Aarvi Gupta"/>
    <n v="9750"/>
  </r>
  <r>
    <s v="140689"/>
    <x v="2"/>
    <s v="Haridas Balraj"/>
    <s v="07/09/2020"/>
    <s v="Shipped"/>
    <s v="40 TB HDD"/>
    <s v="HDD"/>
    <x v="10"/>
    <n v="6500"/>
    <n v="8450"/>
    <n v="1"/>
    <n v="6500"/>
    <n v="8450"/>
    <s v="Vijay Singh"/>
    <n v="39000"/>
  </r>
  <r>
    <s v="140690"/>
    <x v="2"/>
    <s v="Kundan Kumar"/>
    <s v="07/09/2020"/>
    <s v="Order"/>
    <s v="295 GB SSD"/>
    <s v="SSD"/>
    <x v="0"/>
    <n v="4500"/>
    <n v="5850"/>
    <n v="4"/>
    <n v="18000"/>
    <n v="23400"/>
    <s v="Aadil Khan"/>
    <n v="8450"/>
  </r>
  <r>
    <s v="140691"/>
    <x v="2"/>
    <s v="Atif Siddiqui"/>
    <s v="07/09/2020"/>
    <s v="Processing"/>
    <s v="Intel i3 11th gen."/>
    <s v="CPU"/>
    <x v="1"/>
    <n v="8500"/>
    <n v="11050"/>
    <n v="2"/>
    <n v="17000"/>
    <n v="22100"/>
    <s v="Advika Joshi"/>
    <n v="33150"/>
  </r>
  <r>
    <s v="140692"/>
    <x v="2"/>
    <s v="Aditya Agarwal"/>
    <s v="07/09/2020"/>
    <s v="Delivered"/>
    <s v="4GB Graphic card"/>
    <s v="Graphic Card"/>
    <x v="2"/>
    <n v="12500"/>
    <n v="16250"/>
    <n v="4"/>
    <n v="50000"/>
    <n v="65000"/>
    <s v="Ajay Sharma"/>
    <n v="18200"/>
  </r>
  <r>
    <s v="140693"/>
    <x v="2"/>
    <s v="Firdoush Jabee"/>
    <s v="07/09/2020"/>
    <s v="Shipped"/>
    <s v="47 GB DDR4 RAM"/>
    <s v="RAM"/>
    <x v="3"/>
    <n v="3500"/>
    <n v="4550"/>
    <n v="2"/>
    <n v="7000"/>
    <n v="9100"/>
    <s v="Roshan Kumar"/>
    <n v="25545"/>
  </r>
  <r>
    <s v="140694"/>
    <x v="20"/>
    <s v="Jay Prakash Kumar"/>
    <s v="07/09/2020"/>
    <s v="Order"/>
    <s v="BTX motherboard"/>
    <s v="MotherBoard"/>
    <x v="4"/>
    <n v="4500"/>
    <n v="5850"/>
    <n v="3"/>
    <n v="13500"/>
    <n v="17550"/>
    <s v="Aarvi Gupta"/>
    <n v="39780"/>
  </r>
  <r>
    <s v="140695"/>
    <x v="16"/>
    <s v="Ashish Pandey"/>
    <s v="07/09/2020"/>
    <s v="Processing"/>
    <s v="42 Fans Cabinet"/>
    <s v="Cabinet"/>
    <x v="5"/>
    <n v="2100"/>
    <n v="2730"/>
    <n v="3"/>
    <n v="6300"/>
    <n v="8190"/>
    <s v="Vijay Singh"/>
    <n v="2990"/>
  </r>
  <r>
    <s v="140696"/>
    <x v="17"/>
    <s v="Ajay Sharma"/>
    <s v="07/09/2020"/>
    <s v="Delivered"/>
    <s v="Wireless Keyboard"/>
    <s v="Keyboard"/>
    <x v="6"/>
    <n v="1150"/>
    <n v="1495"/>
    <n v="2"/>
    <n v="2300"/>
    <n v="2990"/>
    <s v="Aadil Khan"/>
    <n v="3315"/>
  </r>
  <r>
    <s v="140697"/>
    <x v="21"/>
    <s v="Moinuddin Saifi"/>
    <s v="07/09/2020"/>
    <s v="Shipped"/>
    <s v="USB Mouse"/>
    <s v="Mouse"/>
    <x v="0"/>
    <n v="350"/>
    <n v="455"/>
    <n v="1"/>
    <n v="350"/>
    <n v="455"/>
    <s v="Advika Joshi"/>
    <n v="1690"/>
  </r>
  <r>
    <s v="140698"/>
    <x v="2"/>
    <s v="Ramkrishna Das Adhikary"/>
    <s v="07/09/2020"/>
    <s v="Order"/>
    <s v="19&quot; LED Display"/>
    <s v="Monitor"/>
    <x v="6"/>
    <n v="9500"/>
    <n v="12350"/>
    <n v="4"/>
    <n v="38000"/>
    <n v="49400"/>
    <s v="Ajay Sharma"/>
    <n v="9750"/>
  </r>
  <r>
    <s v="140699"/>
    <x v="2"/>
    <s v="Ranjeet Mandal"/>
    <s v="07/09/2020"/>
    <s v="Processing"/>
    <s v="41 TB HDD"/>
    <s v="HDD"/>
    <x v="10"/>
    <n v="10000"/>
    <n v="13000"/>
    <n v="2"/>
    <n v="20000"/>
    <n v="26000"/>
    <s v="Roshan Kumar"/>
    <n v="39000"/>
  </r>
  <r>
    <s v="140700"/>
    <x v="2"/>
    <s v="Ashwini Adsare"/>
    <s v="07/09/2020"/>
    <s v="Delivered"/>
    <s v="551 GB M.2"/>
    <s v="SSD"/>
    <x v="0"/>
    <n v="6500"/>
    <n v="8450"/>
    <n v="3"/>
    <n v="19500"/>
    <n v="25350"/>
    <s v="Aarvi Gupta"/>
    <n v="8450"/>
  </r>
  <r>
    <s v="140701"/>
    <x v="2"/>
    <s v="Rajesh Variya"/>
    <s v="07/09/2020"/>
    <s v="Shipped"/>
    <s v="RYZEN 3rd gen. 3539"/>
    <s v="CPU"/>
    <x v="1"/>
    <n v="8500"/>
    <n v="11050"/>
    <n v="4"/>
    <n v="34000"/>
    <n v="44200"/>
    <s v="Vijay Singh"/>
    <n v="33150"/>
  </r>
  <r>
    <s v="140702"/>
    <x v="2"/>
    <s v="Amit Singh"/>
    <s v="07/09/2020"/>
    <s v="Order"/>
    <s v="2GB Graphic Card"/>
    <s v="Graphic Card"/>
    <x v="2"/>
    <n v="7000"/>
    <n v="9100"/>
    <n v="2"/>
    <n v="14000"/>
    <n v="18200"/>
    <s v="Aadil Khan"/>
    <n v="18200"/>
  </r>
  <r>
    <s v="140703"/>
    <x v="2"/>
    <s v="Vinod Mehta"/>
    <s v="07/09/2020"/>
    <s v="Processing"/>
    <s v="55 GB DDR4 RAM"/>
    <s v="RAM"/>
    <x v="3"/>
    <n v="6550"/>
    <n v="8515"/>
    <n v="2"/>
    <n v="13100"/>
    <n v="17030"/>
    <s v="Advika Joshi"/>
    <n v="25545"/>
  </r>
  <r>
    <s v="140704"/>
    <x v="2"/>
    <s v="Jignesh Mhatre"/>
    <s v="07/09/2020"/>
    <s v="Delivered"/>
    <s v="Standard ATX motherboard"/>
    <s v="MotherBoard"/>
    <x v="4"/>
    <n v="7650"/>
    <n v="9945"/>
    <n v="1"/>
    <n v="7650"/>
    <n v="9945"/>
    <s v="Ajay Sharma"/>
    <n v="39780"/>
  </r>
  <r>
    <s v="140705"/>
    <x v="2"/>
    <s v="Rahul Kashyap"/>
    <s v="07/09/2020"/>
    <s v="Shipped"/>
    <s v="Compact with 1 Fan"/>
    <s v="Cabinet"/>
    <x v="5"/>
    <n v="1150"/>
    <n v="1495"/>
    <n v="3"/>
    <n v="3450"/>
    <n v="4485"/>
    <s v="Roshan Kumar"/>
    <n v="2990"/>
  </r>
  <r>
    <s v="140706"/>
    <x v="2"/>
    <s v="Mohammed Abdul Kaleem"/>
    <s v="07/09/2020"/>
    <s v="Order"/>
    <s v="USB Backlight Keyboard"/>
    <s v="Keyboard"/>
    <x v="6"/>
    <n v="850"/>
    <n v="1105"/>
    <n v="3"/>
    <n v="2550"/>
    <n v="3315"/>
    <s v="Aarvi Gupta"/>
    <n v="3315"/>
  </r>
  <r>
    <s v="140707"/>
    <x v="2"/>
    <s v="Chandrakant Kasbe"/>
    <s v="07/09/2020"/>
    <s v="Processing"/>
    <s v="Ergonomic Mouse"/>
    <s v="Mouse"/>
    <x v="0"/>
    <n v="650"/>
    <n v="845"/>
    <n v="2"/>
    <n v="1300"/>
    <n v="1690"/>
    <s v="Vijay Singh"/>
    <n v="1690"/>
  </r>
  <r>
    <s v="140708"/>
    <x v="2"/>
    <s v="Rohan Kale"/>
    <s v="07/09/2020"/>
    <s v="Delivered"/>
    <s v="15&quot; LCD Dsipaly"/>
    <s v="Monitor"/>
    <x v="6"/>
    <n v="7500"/>
    <n v="9750"/>
    <n v="1"/>
    <n v="7500"/>
    <n v="9750"/>
    <s v="Aadil Khan"/>
    <n v="9750"/>
  </r>
  <r>
    <s v="140709"/>
    <x v="2"/>
    <s v="Aniruddha Kekapure"/>
    <s v="07/09/2020"/>
    <s v="Shipped"/>
    <s v="41 TB HDD"/>
    <s v="HDD"/>
    <x v="7"/>
    <n v="10000"/>
    <n v="13000"/>
    <n v="4"/>
    <n v="40000"/>
    <n v="52000"/>
    <s v="Advika Joshi"/>
    <n v="39000"/>
  </r>
  <r>
    <s v="140710"/>
    <x v="2"/>
    <s v="Aslam Raza"/>
    <s v="07/09/2020"/>
    <s v="Order"/>
    <s v="40 TB SSD"/>
    <s v="SSD"/>
    <x v="0"/>
    <n v="10500"/>
    <n v="13650"/>
    <n v="3"/>
    <n v="31500"/>
    <n v="40950"/>
    <s v="Ajay Sharma"/>
    <n v="8450"/>
  </r>
  <r>
    <s v="140711"/>
    <x v="2"/>
    <s v="Roshan Zameer"/>
    <s v="07/09/2020"/>
    <s v="Processing"/>
    <s v="Intel i5 12th gen."/>
    <s v="CPU"/>
    <x v="1"/>
    <n v="8500"/>
    <n v="11050"/>
    <n v="2"/>
    <n v="17000"/>
    <n v="22100"/>
    <s v="Roshan Kumar"/>
    <n v="33150"/>
  </r>
  <r>
    <s v="140712"/>
    <x v="34"/>
    <s v="Rakesh Kumar Sharma"/>
    <s v="07/09/2020"/>
    <s v="Delivered"/>
    <s v="2GB Graphic Card"/>
    <s v="Graphic Card"/>
    <x v="2"/>
    <n v="7000"/>
    <n v="9100"/>
    <n v="1"/>
    <n v="7000"/>
    <n v="9100"/>
    <s v="Aarvi Gupta"/>
    <n v="18200"/>
  </r>
  <r>
    <s v="140713"/>
    <x v="4"/>
    <s v="Shivanand Sahani"/>
    <s v="07/09/2020"/>
    <s v="Shipped"/>
    <s v="43 GB DDR4 Ram"/>
    <s v="RAM"/>
    <x v="3"/>
    <n v="1680"/>
    <n v="2184"/>
    <n v="2"/>
    <n v="3360"/>
    <n v="4368"/>
    <s v="Vijay Singh"/>
    <n v="25545"/>
  </r>
  <r>
    <s v="140714"/>
    <x v="5"/>
    <s v="Kunal Patra"/>
    <s v="07/09/2020"/>
    <s v="Order"/>
    <s v="Micro ATX motherboard"/>
    <s v="MotherBoard"/>
    <x v="8"/>
    <n v="6540"/>
    <n v="8502"/>
    <n v="4"/>
    <n v="26160"/>
    <n v="34008"/>
    <s v="Aadil Khan"/>
    <n v="39780"/>
  </r>
  <r>
    <s v="140715"/>
    <x v="6"/>
    <s v="Bijendra"/>
    <s v="07/09/2020"/>
    <s v="Processing"/>
    <s v="Gaming Box Cabinet"/>
    <s v="Cabinet"/>
    <x v="5"/>
    <n v="2680"/>
    <n v="3484"/>
    <n v="1"/>
    <n v="2680"/>
    <n v="3484"/>
    <s v="Advika Joshi"/>
    <n v="2990"/>
  </r>
  <r>
    <s v="140716"/>
    <x v="7"/>
    <s v="Kranti Bheke"/>
    <s v="07/09/2020"/>
    <s v="Delivered"/>
    <s v="17&quot; LCD Display"/>
    <s v="Monitor"/>
    <x v="0"/>
    <n v="8250"/>
    <n v="10725"/>
    <n v="2"/>
    <n v="16500"/>
    <n v="21450"/>
    <s v="Ajay Sharma"/>
    <n v="9750"/>
  </r>
  <r>
    <s v="140717"/>
    <x v="26"/>
    <s v="Jagdeep"/>
    <s v="07/09/2020"/>
    <s v="Shipped"/>
    <s v="47 GB DDR4 RAM"/>
    <s v="RAM"/>
    <x v="0"/>
    <n v="2650"/>
    <n v="3445"/>
    <n v="4"/>
    <n v="10600"/>
    <n v="13780"/>
    <s v="Roshan Kumar"/>
    <n v="25545"/>
  </r>
  <r>
    <s v="140718"/>
    <x v="27"/>
    <s v="Adhir Samal"/>
    <s v="07/09/2020"/>
    <s v="Order"/>
    <s v="26&quot; LCD Display"/>
    <s v="Monitor"/>
    <x v="9"/>
    <n v="12550"/>
    <n v="16315"/>
    <n v="4"/>
    <n v="50200"/>
    <n v="65260"/>
    <s v="Aarvi Gupta"/>
    <n v="9750"/>
  </r>
  <r>
    <s v="140719"/>
    <x v="8"/>
    <s v="Dannana Jhammi"/>
    <s v="07/09/2020"/>
    <s v="Processing"/>
    <s v="I7 - intel 12th Generation"/>
    <s v="CPU"/>
    <x v="1"/>
    <n v="14500"/>
    <n v="18850"/>
    <n v="2"/>
    <n v="29000"/>
    <n v="37700"/>
    <s v="Vijay Singh"/>
    <n v="33150"/>
  </r>
  <r>
    <s v="140720"/>
    <x v="9"/>
    <s v="Vipin Kumar"/>
    <s v="07/09/2020"/>
    <s v="Delivered"/>
    <s v="USB Keyboard"/>
    <s v="Keyboard"/>
    <x v="6"/>
    <n v="800"/>
    <n v="1040"/>
    <n v="1"/>
    <n v="800"/>
    <n v="1040"/>
    <s v="Aadil Khan"/>
    <n v="3315"/>
  </r>
  <r>
    <s v="140721"/>
    <x v="10"/>
    <s v="Ranjeet Kumar"/>
    <s v="07/09/2020"/>
    <s v="Shipped"/>
    <s v="Wireless Mouse"/>
    <s v="Mouse"/>
    <x v="0"/>
    <n v="600"/>
    <n v="780"/>
    <n v="3"/>
    <n v="1800"/>
    <n v="2340"/>
    <s v="Advika Joshi"/>
    <n v="1690"/>
  </r>
  <r>
    <s v="140722"/>
    <x v="11"/>
    <s v="Sajal Singhal"/>
    <s v="07/09/2020"/>
    <s v="Order"/>
    <s v="21&quot; LCD Display"/>
    <s v="Monitor"/>
    <x v="6"/>
    <n v="10500"/>
    <n v="13650"/>
    <n v="4"/>
    <n v="42000"/>
    <n v="54600"/>
    <s v="Ajay Sharma"/>
    <n v="9750"/>
  </r>
  <r>
    <s v="140723"/>
    <x v="12"/>
    <s v="Akhilesh Kumar"/>
    <s v="07/09/2020"/>
    <s v="Processing"/>
    <s v="41 TB HDD"/>
    <s v="HDD"/>
    <x v="10"/>
    <n v="6500"/>
    <n v="8450"/>
    <n v="2"/>
    <n v="13000"/>
    <n v="16900"/>
    <s v="Roshan Kumar"/>
    <n v="39000"/>
  </r>
  <r>
    <s v="140724"/>
    <x v="13"/>
    <s v="Suvankar Chakraborty"/>
    <s v="07/09/2020"/>
    <s v="Delivered"/>
    <s v="296 GB SSD"/>
    <s v="SSD"/>
    <x v="0"/>
    <n v="4500"/>
    <n v="5850"/>
    <n v="2"/>
    <n v="9000"/>
    <n v="11700"/>
    <s v="Aarvi Gupta"/>
    <n v="8450"/>
  </r>
  <r>
    <s v="140725"/>
    <x v="14"/>
    <s v="Suvankar Adhikary"/>
    <s v="07/09/2020"/>
    <s v="Shipped"/>
    <s v="Intel i3 11th gen."/>
    <s v="CPU"/>
    <x v="1"/>
    <n v="8500"/>
    <n v="11050"/>
    <n v="2"/>
    <n v="17000"/>
    <n v="22100"/>
    <s v="Vijay Singh"/>
    <n v="33150"/>
  </r>
  <r>
    <s v="140726"/>
    <x v="15"/>
    <s v="Rahul Kumar Prajapati"/>
    <s v="07/09/2020"/>
    <s v="Order"/>
    <s v="4GB Graphic card"/>
    <s v="Graphic Card"/>
    <x v="2"/>
    <n v="12500"/>
    <n v="16250"/>
    <n v="1"/>
    <n v="12500"/>
    <n v="16250"/>
    <s v="Aadil Khan"/>
    <n v="18200"/>
  </r>
  <r>
    <s v="140727"/>
    <x v="16"/>
    <s v="Sagar Jeur"/>
    <s v="07/09/2020"/>
    <s v="Processing"/>
    <s v="48 GB DDR4 RAM"/>
    <s v="Computer Case"/>
    <x v="3"/>
    <n v="3500"/>
    <n v="4550"/>
    <n v="3"/>
    <n v="10500"/>
    <n v="13650"/>
    <s v="Advika Joshi"/>
    <n v="13650"/>
  </r>
  <r>
    <s v="140728"/>
    <x v="17"/>
    <s v="Rhushikesh Mane"/>
    <s v="07/09/2020"/>
    <s v="Delivered"/>
    <s v="BTX motherboard"/>
    <s v="Mouse"/>
    <x v="4"/>
    <n v="4500"/>
    <n v="5850"/>
    <n v="3"/>
    <n v="13500"/>
    <n v="17550"/>
    <s v="Ajay Sharma"/>
    <n v="1690"/>
  </r>
  <r>
    <s v="140729"/>
    <x v="18"/>
    <s v="Ashish Kumar"/>
    <s v="07/09/2020"/>
    <s v="Shipped"/>
    <s v="43 Fans Cabinet"/>
    <s v="Cabinet"/>
    <x v="5"/>
    <n v="2100"/>
    <n v="2730"/>
    <n v="2"/>
    <n v="4200"/>
    <n v="5460"/>
    <s v="Roshan Kumar"/>
    <n v="2990"/>
  </r>
  <r>
    <s v="140730"/>
    <x v="19"/>
    <s v="Javed Akhter"/>
    <s v="07/09/2020"/>
    <s v="Order"/>
    <s v="Wireless Keyboard"/>
    <s v="Keyboard"/>
    <x v="6"/>
    <n v="1150"/>
    <n v="1495"/>
    <n v="4"/>
    <n v="4600"/>
    <n v="5980"/>
    <s v="Aarvi Gupta"/>
    <n v="3315"/>
  </r>
  <r>
    <s v="140731"/>
    <x v="20"/>
    <s v="Haridas Balraj"/>
    <s v="07/09/2020"/>
    <s v="Processing"/>
    <s v="USB Mouse"/>
    <s v="Mouse"/>
    <x v="0"/>
    <n v="350"/>
    <n v="455"/>
    <n v="4"/>
    <n v="1400"/>
    <n v="1820"/>
    <s v="Vijay Singh"/>
    <n v="1690"/>
  </r>
  <r>
    <s v="140732"/>
    <x v="16"/>
    <s v="Kundan Kumar"/>
    <s v="07/09/2020"/>
    <s v="Delivered"/>
    <s v="19&quot; LED Display"/>
    <s v="Monitor"/>
    <x v="6"/>
    <n v="9500"/>
    <n v="12350"/>
    <n v="2"/>
    <n v="19000"/>
    <n v="24700"/>
    <s v="Aadil Khan"/>
    <n v="9750"/>
  </r>
  <r>
    <s v="140733"/>
    <x v="17"/>
    <s v="Atif Siddiqui"/>
    <s v="07/09/2020"/>
    <s v="Shipped"/>
    <s v="42 TB HDD"/>
    <s v="HDD"/>
    <x v="10"/>
    <n v="10000"/>
    <n v="13000"/>
    <n v="1"/>
    <n v="10000"/>
    <n v="13000"/>
    <s v="Advika Joshi"/>
    <n v="39000"/>
  </r>
  <r>
    <s v="140734"/>
    <x v="21"/>
    <s v="Aditya Agarwal"/>
    <s v="07/09/2020"/>
    <s v="Order"/>
    <s v="552 GB M.2"/>
    <s v="SSD"/>
    <x v="0"/>
    <n v="6500"/>
    <n v="8450"/>
    <n v="4"/>
    <n v="26000"/>
    <n v="33800"/>
    <s v="Ajay Sharma"/>
    <n v="8450"/>
  </r>
  <r>
    <s v="140735"/>
    <x v="22"/>
    <s v="Firdoush Jabee"/>
    <s v="07/09/2020"/>
    <s v="Processing"/>
    <s v="RYZEN 3rd gen. 3540"/>
    <s v="CPU"/>
    <x v="1"/>
    <n v="8500"/>
    <n v="11050"/>
    <n v="3"/>
    <n v="25500"/>
    <n v="33150"/>
    <s v="Roshan Kumar"/>
    <n v="33150"/>
  </r>
  <r>
    <s v="140736"/>
    <x v="28"/>
    <s v="Jay Prakash Kumar"/>
    <s v="07/09/2020"/>
    <s v="Delivered"/>
    <s v="2GB Graphic Card"/>
    <s v="Graphic Card"/>
    <x v="2"/>
    <n v="7000"/>
    <n v="9100"/>
    <n v="4"/>
    <n v="28000"/>
    <n v="36400"/>
    <s v="Aarvi Gupta"/>
    <n v="18200"/>
  </r>
  <r>
    <s v="140737"/>
    <x v="29"/>
    <s v="Ashish Pandey"/>
    <s v="07/09/2020"/>
    <s v="Shipped"/>
    <s v="56 GB DDR4 RAM"/>
    <s v="Computer Case"/>
    <x v="3"/>
    <n v="6550"/>
    <n v="8515"/>
    <n v="4"/>
    <n v="26200"/>
    <n v="34060"/>
    <s v="Vijay Singh"/>
    <n v="13650"/>
  </r>
  <r>
    <s v="140738"/>
    <x v="30"/>
    <s v="Ajay Sharma"/>
    <s v="07/09/2020"/>
    <s v="Order"/>
    <s v="Standard ATX motherboard"/>
    <s v="Mouse"/>
    <x v="4"/>
    <n v="7650"/>
    <n v="9945"/>
    <n v="4"/>
    <n v="30600"/>
    <n v="39780"/>
    <s v="Aadil Khan"/>
    <n v="1690"/>
  </r>
  <r>
    <s v="140739"/>
    <x v="31"/>
    <s v="Moinuddin Saifi"/>
    <s v="07/09/2020"/>
    <s v="Processing"/>
    <s v="Compact with 1 Fan"/>
    <s v="Cabinet"/>
    <x v="5"/>
    <n v="1150"/>
    <n v="1495"/>
    <n v="4"/>
    <n v="4600"/>
    <n v="5980"/>
    <s v="Advika Joshi"/>
    <n v="2990"/>
  </r>
  <r>
    <s v="140740"/>
    <x v="32"/>
    <s v="Ramkrishna Das Adhikary"/>
    <s v="07/09/2020"/>
    <s v="Delivered"/>
    <s v="USB Backlight Keyboard"/>
    <s v="Keyboard"/>
    <x v="6"/>
    <n v="850"/>
    <n v="1105"/>
    <n v="2"/>
    <n v="1700"/>
    <n v="2210"/>
    <s v="Ajay Sharma"/>
    <n v="3315"/>
  </r>
  <r>
    <s v="140741"/>
    <x v="0"/>
    <s v="Ranjeet Mandal"/>
    <s v="07/09/2020"/>
    <s v="Shipped"/>
    <s v="Ergonomic Mouse"/>
    <s v="Mouse"/>
    <x v="0"/>
    <n v="650"/>
    <n v="845"/>
    <n v="4"/>
    <n v="2600"/>
    <n v="3380"/>
    <s v="Roshan Kumar"/>
    <n v="1690"/>
  </r>
  <r>
    <s v="140742"/>
    <x v="23"/>
    <s v="Ashwini Adsare"/>
    <s v="07/09/2020"/>
    <s v="Order"/>
    <s v="15&quot; LCD Dsipaly"/>
    <s v="Monitor"/>
    <x v="6"/>
    <n v="7500"/>
    <n v="9750"/>
    <n v="3"/>
    <n v="22500"/>
    <n v="29250"/>
    <s v="Aarvi Gupta"/>
    <n v="9750"/>
  </r>
  <r>
    <s v="140743"/>
    <x v="1"/>
    <s v="Rajesh Variya"/>
    <s v="07/09/2020"/>
    <s v="Processing"/>
    <s v="42 TB HDD"/>
    <s v="HDD"/>
    <x v="7"/>
    <n v="10000"/>
    <n v="13000"/>
    <n v="1"/>
    <n v="10000"/>
    <n v="13000"/>
    <s v="Vijay Singh"/>
    <n v="39000"/>
  </r>
  <r>
    <s v="140744"/>
    <x v="2"/>
    <s v="Amit Singh"/>
    <s v="07/09/2020"/>
    <s v="Delivered"/>
    <s v="41 TB SSD"/>
    <s v="SSD"/>
    <x v="0"/>
    <n v="10500"/>
    <n v="13650"/>
    <n v="3"/>
    <n v="31500"/>
    <n v="40950"/>
    <s v="Aadil Khan"/>
    <n v="8450"/>
  </r>
  <r>
    <s v="140745"/>
    <x v="2"/>
    <s v="Vinod Mehta"/>
    <s v="07/09/2020"/>
    <s v="Shipped"/>
    <s v="Intel i5 12th gen."/>
    <s v="CPU"/>
    <x v="1"/>
    <n v="8500"/>
    <n v="11050"/>
    <n v="4"/>
    <n v="34000"/>
    <n v="44200"/>
    <s v="Advika Joshi"/>
    <n v="33150"/>
  </r>
  <r>
    <s v="140746"/>
    <x v="2"/>
    <s v="Jignesh Mhatre"/>
    <s v="07/09/2020"/>
    <s v="Order"/>
    <s v="2GB Graphic Card"/>
    <s v="Graphic Card"/>
    <x v="2"/>
    <n v="7000"/>
    <n v="9100"/>
    <n v="1"/>
    <n v="7000"/>
    <n v="9100"/>
    <s v="Ajay Sharma"/>
    <n v="18200"/>
  </r>
  <r>
    <s v="140747"/>
    <x v="2"/>
    <s v="Rahul Kashyap"/>
    <s v="07/09/2020"/>
    <s v="Processing"/>
    <s v="44 GB DDR4 Ram"/>
    <s v="Computer Case"/>
    <x v="3"/>
    <n v="1680"/>
    <n v="2184"/>
    <n v="2"/>
    <n v="3360"/>
    <n v="4368"/>
    <s v="Roshan Kumar"/>
    <n v="13650"/>
  </r>
  <r>
    <s v="140748"/>
    <x v="2"/>
    <s v="Mohammed Abdul Kaleem"/>
    <s v="07/09/2020"/>
    <s v="Delivered"/>
    <s v="Micro ATX motherboard"/>
    <s v="Mouse"/>
    <x v="8"/>
    <n v="6540"/>
    <n v="8502"/>
    <n v="4"/>
    <n v="26160"/>
    <n v="34008"/>
    <s v="Aarvi Gupta"/>
    <n v="1690"/>
  </r>
  <r>
    <s v="140749"/>
    <x v="2"/>
    <s v="Chandrakant Kasbe"/>
    <s v="07/09/2020"/>
    <s v="Shipped"/>
    <s v="Gaming Box Cabinet"/>
    <s v="Cabinet"/>
    <x v="5"/>
    <n v="2680"/>
    <n v="3484"/>
    <n v="4"/>
    <n v="10720"/>
    <n v="13936"/>
    <s v="Vijay Singh"/>
    <n v="2990"/>
  </r>
  <r>
    <s v="140750"/>
    <x v="2"/>
    <s v="Rohan Kale"/>
    <s v="07/09/2020"/>
    <s v="Order"/>
    <s v="17&quot; LCD Display"/>
    <s v="Monitor"/>
    <x v="0"/>
    <n v="8250"/>
    <n v="10725"/>
    <n v="2"/>
    <n v="16500"/>
    <n v="21450"/>
    <s v="Aadil Khan"/>
    <n v="9750"/>
  </r>
  <r>
    <s v="140751"/>
    <x v="2"/>
    <s v="Aniruddha Kekapure"/>
    <s v="07/09/2020"/>
    <s v="Processing"/>
    <s v="48 GB DDR4 RAM"/>
    <s v="RAM"/>
    <x v="0"/>
    <n v="2650"/>
    <n v="3445"/>
    <n v="2"/>
    <n v="5300"/>
    <n v="6890"/>
    <s v="Advika Joshi"/>
    <n v="25545"/>
  </r>
  <r>
    <s v="140752"/>
    <x v="2"/>
    <s v="Aslam Raza"/>
    <s v="07/09/2020"/>
    <s v="Delivered"/>
    <s v="26&quot; LCD Display"/>
    <s v="Monitor"/>
    <x v="9"/>
    <n v="12550"/>
    <n v="16315"/>
    <n v="3"/>
    <n v="37650"/>
    <n v="48945"/>
    <s v="Ajay Sharma"/>
    <n v="9750"/>
  </r>
  <r>
    <s v="140753"/>
    <x v="2"/>
    <s v="Roshan Zameer"/>
    <s v="08/09/2020"/>
    <s v="Shipped"/>
    <s v="I7 - intel 12th Generation"/>
    <s v="CPU"/>
    <x v="1"/>
    <n v="14500"/>
    <n v="18850"/>
    <n v="1"/>
    <n v="14500"/>
    <n v="18850"/>
    <s v="Roshan Kumar"/>
    <n v="33150"/>
  </r>
  <r>
    <s v="140754"/>
    <x v="2"/>
    <s v="Rakesh Kumar Sharma"/>
    <s v="09/09/2020"/>
    <s v="Order"/>
    <s v="USB Keyboard"/>
    <s v="Keyboard"/>
    <x v="6"/>
    <n v="800"/>
    <n v="1040"/>
    <n v="4"/>
    <n v="3200"/>
    <n v="4160"/>
    <s v="Aarvi Gupta"/>
    <n v="3315"/>
  </r>
  <r>
    <s v="140755"/>
    <x v="2"/>
    <s v="Shivanand Sahani"/>
    <s v="10/09/2020"/>
    <s v="Processing"/>
    <s v="Wireless Mouse"/>
    <s v="Mouse"/>
    <x v="0"/>
    <n v="600"/>
    <n v="780"/>
    <n v="1"/>
    <n v="600"/>
    <n v="780"/>
    <s v="Vijay Singh"/>
    <n v="1690"/>
  </r>
  <r>
    <s v="140756"/>
    <x v="2"/>
    <s v="Kunal Patra"/>
    <s v="10/09/2020"/>
    <s v="Delivered"/>
    <s v="21&quot; LCD Display"/>
    <s v="Monitor"/>
    <x v="6"/>
    <n v="10500"/>
    <n v="13650"/>
    <n v="3"/>
    <n v="31500"/>
    <n v="40950"/>
    <s v="Aadil Khan"/>
    <n v="9750"/>
  </r>
  <r>
    <s v="140757"/>
    <x v="2"/>
    <s v="Bijendra"/>
    <s v="10/09/2020"/>
    <s v="Shipped"/>
    <s v="42 TB HDD"/>
    <s v="HDD"/>
    <x v="10"/>
    <n v="6500"/>
    <n v="8450"/>
    <n v="3"/>
    <n v="19500"/>
    <n v="25350"/>
    <s v="Advika Joshi"/>
    <n v="39000"/>
  </r>
  <r>
    <s v="140758"/>
    <x v="2"/>
    <s v="Kranti Bheke"/>
    <s v="10/09/2020"/>
    <s v="Order"/>
    <s v="297 GB SSD"/>
    <s v="SSD"/>
    <x v="0"/>
    <n v="4500"/>
    <n v="5850"/>
    <n v="2"/>
    <n v="9000"/>
    <n v="11700"/>
    <s v="Ajay Sharma"/>
    <n v="8450"/>
  </r>
  <r>
    <s v="140759"/>
    <x v="11"/>
    <s v="Jagdeep"/>
    <s v="10/09/2020"/>
    <s v="Processing"/>
    <s v="Intel i3 11th gen."/>
    <s v="CPU"/>
    <x v="1"/>
    <n v="8500"/>
    <n v="11050"/>
    <n v="4"/>
    <n v="34000"/>
    <n v="44200"/>
    <s v="Roshan Kumar"/>
    <n v="33150"/>
  </r>
  <r>
    <s v="140760"/>
    <x v="12"/>
    <s v="Adhir Samal"/>
    <s v="10/09/2020"/>
    <s v="Delivered"/>
    <s v="4GB Graphic card"/>
    <s v="Graphic Card"/>
    <x v="2"/>
    <n v="12500"/>
    <n v="16250"/>
    <n v="4"/>
    <n v="50000"/>
    <n v="65000"/>
    <s v="Aarvi Gupta"/>
    <n v="18200"/>
  </r>
  <r>
    <s v="140761"/>
    <x v="13"/>
    <s v="Dannana Jhammi"/>
    <s v="10/09/2020"/>
    <s v="Shipped"/>
    <s v="49 GB DDR4 RAM"/>
    <s v="NIC"/>
    <x v="3"/>
    <n v="3500"/>
    <n v="4550"/>
    <n v="3"/>
    <n v="10500"/>
    <n v="13650"/>
    <s v="Vijay Singh"/>
    <n v="9100"/>
  </r>
  <r>
    <s v="140762"/>
    <x v="14"/>
    <s v="Vipin Kumar"/>
    <s v="10/09/2020"/>
    <s v="Order"/>
    <s v="BTX motherboard"/>
    <s v="Printer"/>
    <x v="4"/>
    <n v="4500"/>
    <n v="5850"/>
    <n v="1"/>
    <n v="4500"/>
    <n v="5850"/>
    <s v="Aadil Khan"/>
    <n v="11700"/>
  </r>
  <r>
    <s v="140763"/>
    <x v="15"/>
    <s v="Ranjeet Kumar"/>
    <s v="10/09/2020"/>
    <s v="Processing"/>
    <s v="44 Fans Cabinet"/>
    <s v="Cabinet"/>
    <x v="5"/>
    <n v="2100"/>
    <n v="2730"/>
    <n v="4"/>
    <n v="8400"/>
    <n v="10920"/>
    <s v="Advika Joshi"/>
    <n v="2990"/>
  </r>
  <r>
    <s v="140764"/>
    <x v="16"/>
    <s v="Sajal Singhal"/>
    <s v="10/09/2020"/>
    <s v="Delivered"/>
    <s v="Wireless Keyboard"/>
    <s v="Keyboard"/>
    <x v="6"/>
    <n v="1150"/>
    <n v="1495"/>
    <n v="1"/>
    <n v="1150"/>
    <n v="1495"/>
    <s v="Ajay Sharma"/>
    <n v="3315"/>
  </r>
  <r>
    <s v="140765"/>
    <x v="17"/>
    <s v="Akhilesh Kumar"/>
    <s v="10/09/2020"/>
    <s v="Shipped"/>
    <s v="USB Mouse"/>
    <s v="Mouse"/>
    <x v="0"/>
    <n v="350"/>
    <n v="455"/>
    <n v="2"/>
    <n v="700"/>
    <n v="910"/>
    <s v="Roshan Kumar"/>
    <n v="1690"/>
  </r>
  <r>
    <s v="140766"/>
    <x v="18"/>
    <s v="Suvankar Chakraborty"/>
    <s v="10/09/2020"/>
    <s v="Order"/>
    <s v="19&quot; LED Display"/>
    <s v="Monitor"/>
    <x v="6"/>
    <n v="9500"/>
    <n v="12350"/>
    <n v="1"/>
    <n v="9500"/>
    <n v="12350"/>
    <s v="Aarvi Gupta"/>
    <n v="9750"/>
  </r>
  <r>
    <s v="140767"/>
    <x v="19"/>
    <s v="Suvankar Adhikary"/>
    <s v="10/09/2020"/>
    <s v="Processing"/>
    <s v="43 TB HDD"/>
    <s v="HDD"/>
    <x v="10"/>
    <n v="10000"/>
    <n v="13000"/>
    <n v="4"/>
    <n v="40000"/>
    <n v="52000"/>
    <s v="Vijay Singh"/>
    <n v="39000"/>
  </r>
  <r>
    <s v="140768"/>
    <x v="20"/>
    <s v="Rahul Kumar Prajapati"/>
    <s v="10/09/2020"/>
    <s v="Delivered"/>
    <s v="553 GB M.2"/>
    <s v="SSD"/>
    <x v="0"/>
    <n v="6500"/>
    <n v="8450"/>
    <n v="1"/>
    <n v="6500"/>
    <n v="8450"/>
    <s v="Aadil Khan"/>
    <n v="8450"/>
  </r>
  <r>
    <s v="140769"/>
    <x v="16"/>
    <s v="Sagar Jeur"/>
    <s v="10/09/2020"/>
    <s v="Shipped"/>
    <s v="RYZEN 3rd gen. 3541"/>
    <s v="CPU"/>
    <x v="1"/>
    <n v="8500"/>
    <n v="11050"/>
    <n v="2"/>
    <n v="17000"/>
    <n v="22100"/>
    <s v="Advika Joshi"/>
    <n v="33150"/>
  </r>
  <r>
    <s v="140770"/>
    <x v="17"/>
    <s v="Rhushikesh Mane"/>
    <s v="10/09/2020"/>
    <s v="Order"/>
    <s v="2GB Graphic Card"/>
    <s v="Graphic Card"/>
    <x v="2"/>
    <n v="7000"/>
    <n v="9100"/>
    <n v="1"/>
    <n v="7000"/>
    <n v="9100"/>
    <s v="Ajay Sharma"/>
    <n v="18200"/>
  </r>
  <r>
    <s v="140771"/>
    <x v="21"/>
    <s v="Ashish Kumar"/>
    <s v="10/09/2020"/>
    <s v="Processing"/>
    <s v="57 GB DDR4 RAM"/>
    <s v="NIC"/>
    <x v="3"/>
    <n v="6550"/>
    <n v="8515"/>
    <n v="2"/>
    <n v="13100"/>
    <n v="17030"/>
    <s v="Roshan Kumar"/>
    <n v="9100"/>
  </r>
  <r>
    <s v="140772"/>
    <x v="22"/>
    <s v="Javed Akhter"/>
    <s v="10/09/2020"/>
    <s v="Delivered"/>
    <s v="Standard ATX motherboard"/>
    <s v="Printer"/>
    <x v="4"/>
    <n v="7650"/>
    <n v="9945"/>
    <n v="2"/>
    <n v="15300"/>
    <n v="19890"/>
    <s v="Aarvi Gupta"/>
    <n v="11700"/>
  </r>
  <r>
    <s v="140773"/>
    <x v="28"/>
    <s v="Haridas Balraj"/>
    <s v="10/09/2020"/>
    <s v="Shipped"/>
    <s v="Compact with 1 Fan"/>
    <s v="Cabinet"/>
    <x v="5"/>
    <n v="1150"/>
    <n v="1495"/>
    <n v="2"/>
    <n v="2300"/>
    <n v="2990"/>
    <s v="Vijay Singh"/>
    <n v="2990"/>
  </r>
  <r>
    <s v="140774"/>
    <x v="29"/>
    <s v="Kundan Kumar"/>
    <s v="10/09/2020"/>
    <s v="Order"/>
    <s v="USB Backlight Keyboard"/>
    <s v="Keyboard"/>
    <x v="6"/>
    <n v="850"/>
    <n v="1105"/>
    <n v="2"/>
    <n v="1700"/>
    <n v="2210"/>
    <s v="Aadil Khan"/>
    <n v="3315"/>
  </r>
  <r>
    <s v="140775"/>
    <x v="30"/>
    <s v="Atif Siddiqui"/>
    <s v="10/09/2020"/>
    <s v="Processing"/>
    <s v="Ergonomic Mouse"/>
    <s v="Mouse"/>
    <x v="0"/>
    <n v="650"/>
    <n v="845"/>
    <n v="3"/>
    <n v="1950"/>
    <n v="2535"/>
    <s v="Advika Joshi"/>
    <n v="1690"/>
  </r>
  <r>
    <s v="140776"/>
    <x v="31"/>
    <s v="Aditya Agarwal"/>
    <s v="10/09/2020"/>
    <s v="Delivered"/>
    <s v="15&quot; LCD Dsipaly"/>
    <s v="Monitor"/>
    <x v="6"/>
    <n v="7500"/>
    <n v="9750"/>
    <n v="4"/>
    <n v="30000"/>
    <n v="39000"/>
    <s v="Ajay Sharma"/>
    <n v="9750"/>
  </r>
  <r>
    <s v="140777"/>
    <x v="32"/>
    <s v="Firdoush Jabee"/>
    <s v="10/09/2020"/>
    <s v="Shipped"/>
    <s v="43 TB HDD"/>
    <s v="HDD"/>
    <x v="7"/>
    <n v="10000"/>
    <n v="13000"/>
    <n v="2"/>
    <n v="20000"/>
    <n v="26000"/>
    <s v="Roshan Kumar"/>
    <n v="39000"/>
  </r>
  <r>
    <s v="140778"/>
    <x v="0"/>
    <s v="Jay Prakash Kumar"/>
    <s v="10/09/2020"/>
    <s v="Order"/>
    <s v="42 TB SSD"/>
    <s v="SSD"/>
    <x v="0"/>
    <n v="10500"/>
    <n v="13650"/>
    <n v="2"/>
    <n v="21000"/>
    <n v="27300"/>
    <s v="Aarvi Gupta"/>
    <n v="8450"/>
  </r>
  <r>
    <s v="140779"/>
    <x v="23"/>
    <s v="Ashish Pandey"/>
    <s v="10/09/2020"/>
    <s v="Processing"/>
    <s v="Intel i5 12th gen."/>
    <s v="CPU"/>
    <x v="1"/>
    <n v="8500"/>
    <n v="11050"/>
    <n v="4"/>
    <n v="34000"/>
    <n v="44200"/>
    <s v="Vijay Singh"/>
    <n v="33150"/>
  </r>
  <r>
    <s v="140780"/>
    <x v="2"/>
    <s v="Ajay Sharma"/>
    <s v="10/09/2020"/>
    <s v="Delivered"/>
    <s v="2GB Graphic Card"/>
    <s v="Graphic Card"/>
    <x v="2"/>
    <n v="7000"/>
    <n v="9100"/>
    <n v="1"/>
    <n v="7000"/>
    <n v="9100"/>
    <s v="Aadil Khan"/>
    <n v="18200"/>
  </r>
  <r>
    <s v="140781"/>
    <x v="2"/>
    <s v="Moinuddin Saifi"/>
    <s v="10/09/2020"/>
    <s v="Shipped"/>
    <s v="45 GB DDR4 Ram"/>
    <s v="NIC"/>
    <x v="3"/>
    <n v="1680"/>
    <n v="2184"/>
    <n v="1"/>
    <n v="1680"/>
    <n v="2184"/>
    <s v="Advika Joshi"/>
    <n v="9100"/>
  </r>
  <r>
    <s v="140782"/>
    <x v="2"/>
    <s v="Ramkrishna Das Adhikary"/>
    <s v="10/09/2020"/>
    <s v="Order"/>
    <s v="Micro ATX motherboard"/>
    <s v="Printer"/>
    <x v="8"/>
    <n v="6540"/>
    <n v="8502"/>
    <n v="1"/>
    <n v="6540"/>
    <n v="8502"/>
    <s v="Ajay Sharma"/>
    <n v="11700"/>
  </r>
  <r>
    <s v="140783"/>
    <x v="2"/>
    <s v="Ranjeet Mandal"/>
    <s v="10/09/2020"/>
    <s v="Processing"/>
    <s v="Gaming Box Cabinet"/>
    <s v="Cabinet"/>
    <x v="5"/>
    <n v="2680"/>
    <n v="3484"/>
    <n v="3"/>
    <n v="8040"/>
    <n v="10452"/>
    <s v="Roshan Kumar"/>
    <n v="2990"/>
  </r>
  <r>
    <s v="140784"/>
    <x v="2"/>
    <s v="Ashwini Adsare"/>
    <s v="10/09/2020"/>
    <s v="Delivered"/>
    <s v="17&quot; LCD Display"/>
    <s v="Monitor"/>
    <x v="0"/>
    <n v="8250"/>
    <n v="10725"/>
    <n v="4"/>
    <n v="33000"/>
    <n v="42900"/>
    <s v="Aarvi Gupta"/>
    <n v="9750"/>
  </r>
  <r>
    <s v="140785"/>
    <x v="2"/>
    <s v="Rajesh Variya"/>
    <s v="10/09/2020"/>
    <s v="Shipped"/>
    <s v="49 GB DDR4 RAM"/>
    <s v="RAM"/>
    <x v="0"/>
    <n v="2650"/>
    <n v="3445"/>
    <n v="1"/>
    <n v="2650"/>
    <n v="3445"/>
    <s v="Vijay Singh"/>
    <n v="25545"/>
  </r>
  <r>
    <s v="140786"/>
    <x v="2"/>
    <s v="Amit Singh"/>
    <s v="10/09/2020"/>
    <s v="Order"/>
    <s v="26&quot; LCD Display"/>
    <s v="Monitor"/>
    <x v="9"/>
    <n v="12550"/>
    <n v="16315"/>
    <n v="2"/>
    <n v="25100"/>
    <n v="32630"/>
    <s v="Aadil Khan"/>
    <n v="9750"/>
  </r>
  <r>
    <s v="140787"/>
    <x v="2"/>
    <s v="Vinod Mehta"/>
    <s v="10/09/2020"/>
    <s v="Processing"/>
    <s v="I7 - intel 12th Generation"/>
    <s v="CPU"/>
    <x v="1"/>
    <n v="14500"/>
    <n v="18850"/>
    <n v="3"/>
    <n v="43500"/>
    <n v="56550"/>
    <s v="Advika Joshi"/>
    <n v="33150"/>
  </r>
  <r>
    <s v="140788"/>
    <x v="2"/>
    <s v="Jignesh Mhatre"/>
    <s v="10/09/2020"/>
    <s v="Delivered"/>
    <s v="USB Keyboard"/>
    <s v="Keyboard"/>
    <x v="6"/>
    <n v="800"/>
    <n v="1040"/>
    <n v="1"/>
    <n v="800"/>
    <n v="1040"/>
    <s v="Ajay Sharma"/>
    <n v="3315"/>
  </r>
  <r>
    <s v="140789"/>
    <x v="2"/>
    <s v="Rahul Kashyap"/>
    <s v="10/09/2020"/>
    <s v="Shipped"/>
    <s v="Wireless Mouse"/>
    <s v="Mouse"/>
    <x v="0"/>
    <n v="600"/>
    <n v="780"/>
    <n v="3"/>
    <n v="1800"/>
    <n v="2340"/>
    <s v="Roshan Kumar"/>
    <n v="1690"/>
  </r>
  <r>
    <s v="140790"/>
    <x v="2"/>
    <s v="Mohammed Abdul Kaleem"/>
    <s v="10/09/2020"/>
    <s v="Order"/>
    <s v="21&quot; LCD Display"/>
    <s v="Monitor"/>
    <x v="6"/>
    <n v="10500"/>
    <n v="13650"/>
    <n v="3"/>
    <n v="31500"/>
    <n v="40950"/>
    <s v="Aarvi Gupta"/>
    <n v="9750"/>
  </r>
  <r>
    <s v="140791"/>
    <x v="2"/>
    <s v="Chandrakant Kasbe"/>
    <s v="10/09/2020"/>
    <s v="Processing"/>
    <s v="43 TB HDD"/>
    <s v="HDD"/>
    <x v="10"/>
    <n v="6500"/>
    <n v="8450"/>
    <n v="3"/>
    <n v="19500"/>
    <n v="25350"/>
    <s v="Vijay Singh"/>
    <n v="39000"/>
  </r>
  <r>
    <s v="140792"/>
    <x v="2"/>
    <s v="Rohan Kale"/>
    <s v="10/09/2020"/>
    <s v="Delivered"/>
    <s v="298 GB SSD"/>
    <s v="SSD"/>
    <x v="0"/>
    <n v="4500"/>
    <n v="5850"/>
    <n v="4"/>
    <n v="18000"/>
    <n v="23400"/>
    <s v="Aadil Khan"/>
    <n v="8450"/>
  </r>
  <r>
    <s v="140793"/>
    <x v="2"/>
    <s v="Aniruddha Kekapure"/>
    <s v="10/09/2020"/>
    <s v="Shipped"/>
    <s v="Intel i3 11th gen."/>
    <s v="CPU"/>
    <x v="1"/>
    <n v="8500"/>
    <n v="11050"/>
    <n v="2"/>
    <n v="17000"/>
    <n v="22100"/>
    <s v="Advika Joshi"/>
    <n v="33150"/>
  </r>
  <r>
    <s v="140794"/>
    <x v="9"/>
    <s v="Aslam Raza"/>
    <s v="10/09/2020"/>
    <s v="Order"/>
    <s v="4GB Graphic card"/>
    <s v="Graphic Card"/>
    <x v="2"/>
    <n v="12500"/>
    <n v="16250"/>
    <n v="2"/>
    <n v="25000"/>
    <n v="32500"/>
    <s v="Ajay Sharma"/>
    <n v="18200"/>
  </r>
  <r>
    <s v="140795"/>
    <x v="10"/>
    <s v="Roshan Zameer"/>
    <s v="11/09/2020"/>
    <s v="Processing"/>
    <s v="50 GB DDR4 RAM"/>
    <s v="RAM"/>
    <x v="3"/>
    <n v="3500"/>
    <n v="4550"/>
    <n v="2"/>
    <n v="7000"/>
    <n v="9100"/>
    <s v="Roshan Kumar"/>
    <n v="25545"/>
  </r>
  <r>
    <s v="140796"/>
    <x v="11"/>
    <s v="Rakesh Kumar Sharma"/>
    <s v="12/09/2020"/>
    <s v="Delivered"/>
    <s v="BTX motherboard"/>
    <s v="MotherBoard"/>
    <x v="4"/>
    <n v="4500"/>
    <n v="5850"/>
    <n v="4"/>
    <n v="18000"/>
    <n v="23400"/>
    <s v="Aarvi Gupta"/>
    <n v="39780"/>
  </r>
  <r>
    <s v="140797"/>
    <x v="12"/>
    <s v="Shivanand Sahani"/>
    <s v="13/09/2020"/>
    <s v="Shipped"/>
    <s v="45 Fans Cabinet"/>
    <s v="Cabinet"/>
    <x v="5"/>
    <n v="2100"/>
    <n v="2730"/>
    <n v="3"/>
    <n v="6300"/>
    <n v="8190"/>
    <s v="Vijay Singh"/>
    <n v="2990"/>
  </r>
  <r>
    <s v="140798"/>
    <x v="13"/>
    <s v="Kunal Patra"/>
    <s v="14/09/2020"/>
    <s v="Order"/>
    <s v="Wireless Keyboard"/>
    <s v="Keyboard"/>
    <x v="6"/>
    <n v="1150"/>
    <n v="1495"/>
    <n v="3"/>
    <n v="3450"/>
    <n v="4485"/>
    <s v="Aadil Khan"/>
    <n v="3315"/>
  </r>
  <r>
    <s v="140799"/>
    <x v="14"/>
    <s v="Bijendra"/>
    <s v="15/09/2020"/>
    <s v="Processing"/>
    <s v="USB Mouse"/>
    <s v="Mouse"/>
    <x v="0"/>
    <n v="350"/>
    <n v="455"/>
    <n v="4"/>
    <n v="1400"/>
    <n v="1820"/>
    <s v="Advika Joshi"/>
    <n v="1690"/>
  </r>
  <r>
    <s v="140800"/>
    <x v="15"/>
    <s v="Kranti Bheke"/>
    <s v="16/09/2020"/>
    <s v="Delivered"/>
    <s v="19&quot; LED Display"/>
    <s v="Monitor"/>
    <x v="6"/>
    <n v="9500"/>
    <n v="12350"/>
    <n v="1"/>
    <n v="9500"/>
    <n v="12350"/>
    <s v="Ajay Sharma"/>
    <n v="9750"/>
  </r>
  <r>
    <s v="140801"/>
    <x v="16"/>
    <s v="Jagdeep"/>
    <s v="17/09/2020"/>
    <s v="Shipped"/>
    <s v="44 TB HDD"/>
    <s v="HDD"/>
    <x v="10"/>
    <n v="10000"/>
    <n v="13000"/>
    <n v="1"/>
    <n v="10000"/>
    <n v="13000"/>
    <s v="Roshan Kumar"/>
    <n v="39000"/>
  </r>
  <r>
    <s v="140802"/>
    <x v="17"/>
    <s v="Adhir Samal"/>
    <s v="18/09/2020"/>
    <s v="Order"/>
    <s v="554 GB M.2"/>
    <s v="SSD"/>
    <x v="0"/>
    <n v="6500"/>
    <n v="8450"/>
    <n v="1"/>
    <n v="6500"/>
    <n v="8450"/>
    <s v="Aarvi Gupta"/>
    <n v="8450"/>
  </r>
  <r>
    <s v="140803"/>
    <x v="18"/>
    <s v="Dannana Jhammi"/>
    <s v="19/09/2020"/>
    <s v="Processing"/>
    <s v="RYZEN 3rd gen. 3542"/>
    <s v="CPU"/>
    <x v="1"/>
    <n v="8500"/>
    <n v="11050"/>
    <n v="1"/>
    <n v="8500"/>
    <n v="11050"/>
    <s v="Vijay Singh"/>
    <n v="33150"/>
  </r>
  <r>
    <s v="140804"/>
    <x v="19"/>
    <s v="Vipin Kumar"/>
    <s v="20/09/2020"/>
    <s v="Delivered"/>
    <s v="2GB Graphic Card"/>
    <s v="Graphic Card"/>
    <x v="2"/>
    <n v="7000"/>
    <n v="9100"/>
    <n v="1"/>
    <n v="7000"/>
    <n v="9100"/>
    <s v="Aadil Khan"/>
    <n v="18200"/>
  </r>
  <r>
    <s v="140805"/>
    <x v="20"/>
    <s v="Ranjeet Kumar"/>
    <s v="21/09/2020"/>
    <s v="Shipped"/>
    <s v="58 GB DDR4 RAM"/>
    <s v="RAM"/>
    <x v="3"/>
    <n v="6550"/>
    <n v="8515"/>
    <n v="3"/>
    <n v="19650"/>
    <n v="25545"/>
    <s v="Advika Joshi"/>
    <n v="25545"/>
  </r>
  <r>
    <s v="140806"/>
    <x v="16"/>
    <s v="Sajal Singhal"/>
    <s v="22/09/2020"/>
    <s v="Order"/>
    <s v="Standard ATX motherboard"/>
    <s v="MotherBoard"/>
    <x v="4"/>
    <n v="7650"/>
    <n v="9945"/>
    <n v="3"/>
    <n v="22950"/>
    <n v="29835"/>
    <s v="Ajay Sharma"/>
    <n v="39780"/>
  </r>
  <r>
    <s v="140807"/>
    <x v="17"/>
    <s v="Akhilesh Kumar"/>
    <s v="23/09/2020"/>
    <s v="Processing"/>
    <s v="Compact with 1 Fan"/>
    <s v="Cabinet"/>
    <x v="5"/>
    <n v="1150"/>
    <n v="1495"/>
    <n v="2"/>
    <n v="2300"/>
    <n v="2990"/>
    <s v="Roshan Kumar"/>
    <n v="2990"/>
  </r>
  <r>
    <s v="140808"/>
    <x v="21"/>
    <s v="Suvankar Chakraborty"/>
    <s v="24/09/2020"/>
    <s v="Delivered"/>
    <s v="USB Backlight Keyboard"/>
    <s v="Keyboard"/>
    <x v="6"/>
    <n v="850"/>
    <n v="1105"/>
    <n v="4"/>
    <n v="3400"/>
    <n v="4420"/>
    <s v="Aarvi Gupta"/>
    <n v="3315"/>
  </r>
  <r>
    <s v="140809"/>
    <x v="22"/>
    <s v="Suvankar Adhikary"/>
    <s v="25/09/2020"/>
    <s v="Shipped"/>
    <s v="Ergonomic Mouse"/>
    <s v="Mouse"/>
    <x v="0"/>
    <n v="650"/>
    <n v="845"/>
    <n v="1"/>
    <n v="650"/>
    <n v="845"/>
    <s v="Vijay Singh"/>
    <n v="1690"/>
  </r>
  <r>
    <s v="140810"/>
    <x v="2"/>
    <s v="Rahul Kumar Prajapati"/>
    <s v="26/09/2020"/>
    <s v="Order"/>
    <s v="15&quot; LCD Dsipaly"/>
    <s v="Monitor"/>
    <x v="6"/>
    <n v="7500"/>
    <n v="9750"/>
    <n v="1"/>
    <n v="7500"/>
    <n v="9750"/>
    <s v="Aadil Khan"/>
    <n v="9750"/>
  </r>
  <r>
    <s v="140811"/>
    <x v="2"/>
    <s v="Sagar Jeur"/>
    <s v="27/09/2020"/>
    <s v="Processing"/>
    <s v="44 TB HDD"/>
    <s v="HDD"/>
    <x v="7"/>
    <n v="10000"/>
    <n v="13000"/>
    <n v="1"/>
    <n v="10000"/>
    <n v="13000"/>
    <s v="Advika Joshi"/>
    <n v="39000"/>
  </r>
  <r>
    <s v="140812"/>
    <x v="2"/>
    <s v="Rhushikesh Mane"/>
    <s v="28/09/2020"/>
    <s v="Delivered"/>
    <s v="43 TB SSD"/>
    <s v="SSD"/>
    <x v="0"/>
    <n v="10500"/>
    <n v="13650"/>
    <n v="2"/>
    <n v="21000"/>
    <n v="27300"/>
    <s v="Ajay Sharma"/>
    <n v="8450"/>
  </r>
  <r>
    <s v="140813"/>
    <x v="2"/>
    <s v="Ashish Kumar"/>
    <s v="29/09/2020"/>
    <s v="Shipped"/>
    <s v="Intel i5 12th gen."/>
    <s v="CPU"/>
    <x v="1"/>
    <n v="8500"/>
    <n v="11050"/>
    <n v="1"/>
    <n v="8500"/>
    <n v="11050"/>
    <s v="Roshan Kumar"/>
    <n v="33150"/>
  </r>
  <r>
    <s v="140814"/>
    <x v="2"/>
    <s v="Javed Akhter"/>
    <s v="30/09/2020"/>
    <s v="Order"/>
    <s v="2GB Graphic Card"/>
    <s v="Graphic Card"/>
    <x v="2"/>
    <n v="7000"/>
    <n v="9100"/>
    <n v="2"/>
    <n v="14000"/>
    <n v="18200"/>
    <s v="Aarvi Gupta"/>
    <n v="18200"/>
  </r>
  <r>
    <s v="140815"/>
    <x v="2"/>
    <s v="Haridas Balraj"/>
    <s v="01/10/2020"/>
    <s v="Processing"/>
    <s v="46 GB DDR4 Ram"/>
    <s v="RAM"/>
    <x v="3"/>
    <n v="1680"/>
    <n v="2184"/>
    <n v="4"/>
    <n v="6720"/>
    <n v="8736"/>
    <s v="Vijay Singh"/>
    <n v="25545"/>
  </r>
  <r>
    <s v="140816"/>
    <x v="2"/>
    <s v="Kundan Kumar"/>
    <s v="02/10/2020"/>
    <s v="Delivered"/>
    <s v="Micro ATX motherboard"/>
    <s v="MotherBoard"/>
    <x v="8"/>
    <n v="6540"/>
    <n v="8502"/>
    <n v="2"/>
    <n v="13080"/>
    <n v="17004"/>
    <s v="Aadil Khan"/>
    <n v="39780"/>
  </r>
  <r>
    <s v="140817"/>
    <x v="2"/>
    <s v="Atif Siddiqui"/>
    <s v="03/10/2020"/>
    <s v="Shipped"/>
    <s v="Gaming Box Cabinet"/>
    <s v="Cabinet"/>
    <x v="5"/>
    <n v="2680"/>
    <n v="3484"/>
    <n v="2"/>
    <n v="5360"/>
    <n v="6968"/>
    <s v="Advika Joshi"/>
    <n v="2990"/>
  </r>
  <r>
    <s v="140818"/>
    <x v="2"/>
    <s v="Aditya Agarwal"/>
    <s v="04/10/2020"/>
    <s v="Order"/>
    <s v="17&quot; LCD Display"/>
    <s v="Monitor"/>
    <x v="0"/>
    <n v="8250"/>
    <n v="10725"/>
    <n v="3"/>
    <n v="24750"/>
    <n v="32175"/>
    <s v="Ajay Sharma"/>
    <n v="9750"/>
  </r>
  <r>
    <s v="140819"/>
    <x v="2"/>
    <s v="Firdoush Jabee"/>
    <s v="05/10/2020"/>
    <s v="Processing"/>
    <s v="50 GB DDR4 RAM"/>
    <s v="RAM"/>
    <x v="0"/>
    <n v="2650"/>
    <n v="3445"/>
    <n v="3"/>
    <n v="7950"/>
    <n v="10335"/>
    <s v="Roshan Kumar"/>
    <n v="25545"/>
  </r>
  <r>
    <s v="140820"/>
    <x v="2"/>
    <s v="Jay Prakash Kumar"/>
    <s v="06/10/2020"/>
    <s v="Delivered"/>
    <s v="26&quot; LCD Display"/>
    <s v="Monitor"/>
    <x v="9"/>
    <n v="12550"/>
    <n v="16315"/>
    <n v="2"/>
    <n v="25100"/>
    <n v="32630"/>
    <s v="Aarvi Gupta"/>
    <n v="9750"/>
  </r>
  <r>
    <s v="140821"/>
    <x v="2"/>
    <s v="Ashish Pandey"/>
    <s v="07/10/2020"/>
    <s v="Shipped"/>
    <s v="I7 - intel 12th Generation"/>
    <s v="CPU"/>
    <x v="1"/>
    <n v="14500"/>
    <n v="18850"/>
    <n v="2"/>
    <n v="29000"/>
    <n v="37700"/>
    <s v="Vijay Singh"/>
    <n v="33150"/>
  </r>
  <r>
    <s v="140822"/>
    <x v="2"/>
    <s v="Ajay Sharma"/>
    <s v="08/10/2020"/>
    <s v="Order"/>
    <s v="USB Keyboard"/>
    <s v="Keyboard"/>
    <x v="6"/>
    <n v="800"/>
    <n v="1040"/>
    <n v="4"/>
    <n v="3200"/>
    <n v="4160"/>
    <s v="Aadil Khan"/>
    <n v="3315"/>
  </r>
  <r>
    <s v="140823"/>
    <x v="2"/>
    <s v="Moinuddin Saifi"/>
    <s v="09/10/2020"/>
    <s v="Processing"/>
    <s v="Wireless Mouse"/>
    <s v="Mouse"/>
    <x v="0"/>
    <n v="600"/>
    <n v="780"/>
    <n v="1"/>
    <n v="600"/>
    <n v="780"/>
    <s v="Advika Joshi"/>
    <n v="1690"/>
  </r>
  <r>
    <s v="140824"/>
    <x v="4"/>
    <s v="Ramkrishna Das Adhikary"/>
    <s v="10/10/2020"/>
    <s v="Delivered"/>
    <s v="21&quot; LCD Display"/>
    <s v="Monitor"/>
    <x v="6"/>
    <n v="10500"/>
    <n v="13650"/>
    <n v="1"/>
    <n v="10500"/>
    <n v="13650"/>
    <s v="Ajay Sharma"/>
    <n v="9750"/>
  </r>
  <r>
    <s v="140825"/>
    <x v="5"/>
    <s v="Ranjeet Mandal"/>
    <s v="11/10/2020"/>
    <s v="Shipped"/>
    <s v="44 TB HDD"/>
    <s v="HDD"/>
    <x v="10"/>
    <n v="6500"/>
    <n v="8450"/>
    <n v="4"/>
    <n v="26000"/>
    <n v="33800"/>
    <s v="Roshan Kumar"/>
    <n v="39000"/>
  </r>
  <r>
    <s v="140826"/>
    <x v="6"/>
    <s v="Ashwini Adsare"/>
    <s v="12/10/2020"/>
    <s v="Order"/>
    <s v="299 GB SSD"/>
    <s v="SSD"/>
    <x v="0"/>
    <n v="4500"/>
    <n v="5850"/>
    <n v="3"/>
    <n v="13500"/>
    <n v="17550"/>
    <s v="Aarvi Gupta"/>
    <n v="8450"/>
  </r>
  <r>
    <s v="140827"/>
    <x v="7"/>
    <s v="Rajesh Variya"/>
    <s v="13/10/2020"/>
    <s v="Processing"/>
    <s v="Intel i3 11th gen."/>
    <s v="CPU"/>
    <x v="1"/>
    <n v="8500"/>
    <n v="11050"/>
    <n v="3"/>
    <n v="25500"/>
    <n v="33150"/>
    <s v="Vijay Singh"/>
    <n v="33150"/>
  </r>
  <r>
    <s v="140828"/>
    <x v="26"/>
    <s v="Amit Singh"/>
    <s v="14/10/2020"/>
    <s v="Delivered"/>
    <s v="4GB Graphic card"/>
    <s v="Graphic Card"/>
    <x v="2"/>
    <n v="12500"/>
    <n v="16250"/>
    <n v="2"/>
    <n v="25000"/>
    <n v="32500"/>
    <s v="Aadil Khan"/>
    <n v="18200"/>
  </r>
  <r>
    <s v="140829"/>
    <x v="27"/>
    <s v="Vinod Mehta"/>
    <s v="15/10/2020"/>
    <s v="Shipped"/>
    <s v="51 GB DDR4 RAM"/>
    <s v="Computer Case"/>
    <x v="3"/>
    <n v="3500"/>
    <n v="4550"/>
    <n v="2"/>
    <n v="7000"/>
    <n v="9100"/>
    <s v="Advika Joshi"/>
    <n v="13650"/>
  </r>
  <r>
    <s v="140830"/>
    <x v="8"/>
    <s v="Jignesh Mhatre"/>
    <s v="16/10/2020"/>
    <s v="Order"/>
    <s v="BTX motherboard"/>
    <s v="Mouse"/>
    <x v="4"/>
    <n v="4500"/>
    <n v="5850"/>
    <n v="3"/>
    <n v="13500"/>
    <n v="17550"/>
    <s v="Ajay Sharma"/>
    <n v="1690"/>
  </r>
  <r>
    <s v="140831"/>
    <x v="9"/>
    <s v="Rahul Kashyap"/>
    <s v="17/10/2020"/>
    <s v="Processing"/>
    <s v="46 Fans Cabinet"/>
    <s v="Cabinet"/>
    <x v="5"/>
    <n v="2100"/>
    <n v="2730"/>
    <n v="3"/>
    <n v="6300"/>
    <n v="8190"/>
    <s v="Roshan Kumar"/>
    <n v="2990"/>
  </r>
  <r>
    <s v="140832"/>
    <x v="10"/>
    <s v="Mohammed Abdul Kaleem"/>
    <s v="18/10/2020"/>
    <s v="Delivered"/>
    <s v="Wireless Keyboard"/>
    <s v="Keyboard"/>
    <x v="6"/>
    <n v="1150"/>
    <n v="1495"/>
    <n v="3"/>
    <n v="3450"/>
    <n v="4485"/>
    <s v="Aarvi Gupta"/>
    <n v="3315"/>
  </r>
  <r>
    <s v="140833"/>
    <x v="11"/>
    <s v="Chandrakant Kasbe"/>
    <s v="19/10/2020"/>
    <s v="Shipped"/>
    <s v="USB Mouse"/>
    <s v="Mouse"/>
    <x v="0"/>
    <n v="350"/>
    <n v="455"/>
    <n v="4"/>
    <n v="1400"/>
    <n v="1820"/>
    <s v="Vijay Singh"/>
    <n v="1690"/>
  </r>
  <r>
    <s v="140834"/>
    <x v="12"/>
    <s v="Rohan Kale"/>
    <s v="20/10/2020"/>
    <s v="Order"/>
    <s v="19&quot; LED Display"/>
    <s v="Monitor"/>
    <x v="6"/>
    <n v="9500"/>
    <n v="12350"/>
    <n v="2"/>
    <n v="19000"/>
    <n v="24700"/>
    <s v="Aadil Khan"/>
    <n v="9750"/>
  </r>
  <r>
    <s v="140835"/>
    <x v="13"/>
    <s v="Aniruddha Kekapure"/>
    <s v="21/10/2020"/>
    <s v="Processing"/>
    <s v="45 TB HDD"/>
    <s v="HDD"/>
    <x v="10"/>
    <n v="10000"/>
    <n v="13000"/>
    <n v="3"/>
    <n v="30000"/>
    <n v="39000"/>
    <s v="Advika Joshi"/>
    <n v="39000"/>
  </r>
  <r>
    <s v="140836"/>
    <x v="14"/>
    <s v="Aslam Raza"/>
    <s v="22/10/2020"/>
    <s v="Delivered"/>
    <s v="555 GB M.2"/>
    <s v="SSD"/>
    <x v="0"/>
    <n v="6500"/>
    <n v="8450"/>
    <n v="1"/>
    <n v="6500"/>
    <n v="8450"/>
    <s v="Ajay Sharma"/>
    <n v="8450"/>
  </r>
  <r>
    <s v="140837"/>
    <x v="15"/>
    <s v="Roshan Zameer"/>
    <s v="23/10/2020"/>
    <s v="Shipped"/>
    <s v="RYZEN 3rd gen. 3543"/>
    <s v="CPU"/>
    <x v="1"/>
    <n v="8500"/>
    <n v="11050"/>
    <n v="4"/>
    <n v="34000"/>
    <n v="44200"/>
    <s v="Roshan Kumar"/>
    <n v="33150"/>
  </r>
  <r>
    <s v="140838"/>
    <x v="16"/>
    <s v="Rakesh Kumar Sharma"/>
    <s v="24/10/2020"/>
    <s v="Order"/>
    <s v="2GB Graphic Card"/>
    <s v="Graphic Card"/>
    <x v="2"/>
    <n v="7000"/>
    <n v="9100"/>
    <n v="4"/>
    <n v="28000"/>
    <n v="36400"/>
    <s v="Aarvi Gupta"/>
    <n v="18200"/>
  </r>
  <r>
    <s v="140839"/>
    <x v="17"/>
    <s v="Shivanand Sahani"/>
    <s v="25/10/2020"/>
    <s v="Processing"/>
    <s v="59 GB DDR4 RAM"/>
    <s v="Computer Case"/>
    <x v="3"/>
    <n v="6550"/>
    <n v="8515"/>
    <n v="3"/>
    <n v="19650"/>
    <n v="25545"/>
    <s v="Vijay Singh"/>
    <n v="13650"/>
  </r>
  <r>
    <s v="140840"/>
    <x v="18"/>
    <s v="Kunal Patra"/>
    <s v="25/10/2020"/>
    <s v="Delivered"/>
    <s v="Standard ATX motherboard"/>
    <s v="Mouse"/>
    <x v="4"/>
    <n v="7650"/>
    <n v="9945"/>
    <n v="3"/>
    <n v="22950"/>
    <n v="29835"/>
    <s v="Aadil Khan"/>
    <n v="1690"/>
  </r>
  <r>
    <s v="140841"/>
    <x v="19"/>
    <s v="Bijendra"/>
    <s v="25/10/2020"/>
    <s v="Shipped"/>
    <s v="Compact with 1 Fan"/>
    <s v="Cabinet"/>
    <x v="5"/>
    <n v="1150"/>
    <n v="1495"/>
    <n v="1"/>
    <n v="1150"/>
    <n v="1495"/>
    <s v="Advika Joshi"/>
    <n v="2990"/>
  </r>
  <r>
    <s v="140842"/>
    <x v="20"/>
    <s v="Kranti Bheke"/>
    <s v="25/10/2020"/>
    <s v="Order"/>
    <s v="USB Backlight Keyboard"/>
    <s v="Keyboard"/>
    <x v="6"/>
    <n v="850"/>
    <n v="1105"/>
    <n v="1"/>
    <n v="850"/>
    <n v="1105"/>
    <s v="Ajay Sharma"/>
    <n v="3315"/>
  </r>
  <r>
    <s v="140843"/>
    <x v="16"/>
    <s v="Jagdeep"/>
    <s v="25/10/2020"/>
    <s v="Processing"/>
    <s v="Ergonomic Mouse"/>
    <s v="Mouse"/>
    <x v="0"/>
    <n v="650"/>
    <n v="845"/>
    <n v="4"/>
    <n v="2600"/>
    <n v="3380"/>
    <s v="Roshan Kumar"/>
    <n v="1690"/>
  </r>
  <r>
    <s v="140844"/>
    <x v="17"/>
    <s v="Adhir Samal"/>
    <s v="25/10/2020"/>
    <s v="Delivered"/>
    <s v="15&quot; LCD Dsipaly"/>
    <s v="Monitor"/>
    <x v="6"/>
    <n v="7500"/>
    <n v="9750"/>
    <n v="3"/>
    <n v="22500"/>
    <n v="29250"/>
    <s v="Aarvi Gupta"/>
    <n v="9750"/>
  </r>
  <r>
    <s v="140845"/>
    <x v="21"/>
    <s v="Dannana Jhammi"/>
    <s v="25/10/2020"/>
    <s v="Shipped"/>
    <s v="45 TB HDD"/>
    <s v="HDD"/>
    <x v="7"/>
    <n v="10000"/>
    <n v="13000"/>
    <n v="4"/>
    <n v="40000"/>
    <n v="52000"/>
    <s v="Vijay Singh"/>
    <n v="39000"/>
  </r>
  <r>
    <s v="140846"/>
    <x v="22"/>
    <s v="Vipin Kumar"/>
    <s v="25/10/2020"/>
    <s v="Order"/>
    <s v="44 TB SSD"/>
    <s v="SSD"/>
    <x v="0"/>
    <n v="10500"/>
    <n v="13650"/>
    <n v="1"/>
    <n v="10500"/>
    <n v="13650"/>
    <s v="Aadil Khan"/>
    <n v="8450"/>
  </r>
  <r>
    <s v="140847"/>
    <x v="28"/>
    <s v="Ranjeet Kumar"/>
    <s v="26/10/2020"/>
    <s v="Processing"/>
    <s v="Intel i5 12th gen."/>
    <s v="CPU"/>
    <x v="1"/>
    <n v="8500"/>
    <n v="11050"/>
    <n v="2"/>
    <n v="17000"/>
    <n v="22100"/>
    <s v="Advika Joshi"/>
    <n v="33150"/>
  </r>
  <r>
    <s v="140848"/>
    <x v="29"/>
    <s v="Sajal Singhal"/>
    <s v="27/10/2020"/>
    <s v="Delivered"/>
    <s v="2GB Graphic Card"/>
    <s v="Graphic Card"/>
    <x v="2"/>
    <n v="7000"/>
    <n v="9100"/>
    <n v="3"/>
    <n v="21000"/>
    <n v="27300"/>
    <s v="Ajay Sharma"/>
    <n v="18200"/>
  </r>
  <r>
    <s v="140849"/>
    <x v="30"/>
    <s v="Akhilesh Kumar"/>
    <s v="28/10/2020"/>
    <s v="Shipped"/>
    <s v="47 GB DDR4 Ram"/>
    <s v="Computer Case"/>
    <x v="3"/>
    <n v="1680"/>
    <n v="2184"/>
    <n v="2"/>
    <n v="3360"/>
    <n v="4368"/>
    <s v="Roshan Kumar"/>
    <n v="13650"/>
  </r>
  <r>
    <s v="140850"/>
    <x v="31"/>
    <s v="Suvankar Chakraborty"/>
    <s v="29/10/2020"/>
    <s v="Order"/>
    <s v="Micro ATX motherboard"/>
    <s v="Mouse"/>
    <x v="8"/>
    <n v="6540"/>
    <n v="8502"/>
    <n v="4"/>
    <n v="26160"/>
    <n v="34008"/>
    <s v="Aarvi Gupta"/>
    <n v="1690"/>
  </r>
  <r>
    <s v="140851"/>
    <x v="32"/>
    <s v="Suvankar Adhikary"/>
    <s v="30/10/2020"/>
    <s v="Processing"/>
    <s v="Gaming Box Cabinet"/>
    <s v="Cabinet"/>
    <x v="5"/>
    <n v="2680"/>
    <n v="3484"/>
    <n v="1"/>
    <n v="2680"/>
    <n v="3484"/>
    <s v="Vijay Singh"/>
    <n v="2990"/>
  </r>
  <r>
    <s v="140852"/>
    <x v="0"/>
    <s v="Rahul Kumar Prajapati"/>
    <s v="31/10/2020"/>
    <s v="Delivered"/>
    <s v="17&quot; LCD Display"/>
    <s v="Monitor"/>
    <x v="0"/>
    <n v="8250"/>
    <n v="10725"/>
    <n v="3"/>
    <n v="24750"/>
    <n v="32175"/>
    <s v="Aadil Khan"/>
    <n v="9750"/>
  </r>
  <r>
    <s v="140853"/>
    <x v="23"/>
    <s v="Sagar Jeur"/>
    <s v="01/11/2020"/>
    <s v="Shipped"/>
    <s v="51 GB DDR4 RAM"/>
    <s v="RAM"/>
    <x v="0"/>
    <n v="2650"/>
    <n v="3445"/>
    <n v="1"/>
    <n v="2650"/>
    <n v="3445"/>
    <s v="Advika Joshi"/>
    <n v="25545"/>
  </r>
  <r>
    <s v="140854"/>
    <x v="1"/>
    <s v="Rhushikesh Mane"/>
    <s v="02/11/2020"/>
    <s v="Order"/>
    <s v="26&quot; LCD Display"/>
    <s v="Monitor"/>
    <x v="9"/>
    <n v="12550"/>
    <n v="16315"/>
    <n v="1"/>
    <n v="12550"/>
    <n v="16315"/>
    <s v="Ajay Sharma"/>
    <n v="9750"/>
  </r>
  <r>
    <s v="140855"/>
    <x v="2"/>
    <s v="Ashish Kumar"/>
    <s v="03/11/2020"/>
    <s v="Processing"/>
    <s v="I7 - intel 12th Generation"/>
    <s v="CPU"/>
    <x v="1"/>
    <n v="14500"/>
    <n v="18850"/>
    <n v="1"/>
    <n v="14500"/>
    <n v="18850"/>
    <s v="Roshan Kumar"/>
    <n v="33150"/>
  </r>
  <r>
    <s v="140856"/>
    <x v="2"/>
    <s v="Javed Akhter"/>
    <s v="04/11/2020"/>
    <s v="Delivered"/>
    <s v="USB Keyboard"/>
    <s v="Keyboard"/>
    <x v="6"/>
    <n v="800"/>
    <n v="1040"/>
    <n v="2"/>
    <n v="1600"/>
    <n v="2080"/>
    <s v="Aarvi Gupta"/>
    <n v="3315"/>
  </r>
  <r>
    <s v="140857"/>
    <x v="2"/>
    <s v="Haridas Balraj"/>
    <s v="05/11/2020"/>
    <s v="Shipped"/>
    <s v="Wireless Mouse"/>
    <s v="Mouse"/>
    <x v="0"/>
    <n v="600"/>
    <n v="780"/>
    <n v="2"/>
    <n v="1200"/>
    <n v="1560"/>
    <s v="Vijay Singh"/>
    <n v="1690"/>
  </r>
  <r>
    <s v="140858"/>
    <x v="2"/>
    <s v="Kundan Kumar"/>
    <s v="05/11/2020"/>
    <s v="Order"/>
    <s v="21&quot; LCD Display"/>
    <s v="Monitor"/>
    <x v="6"/>
    <n v="10500"/>
    <n v="13650"/>
    <n v="2"/>
    <n v="21000"/>
    <n v="27300"/>
    <s v="Aadil Khan"/>
    <n v="9750"/>
  </r>
  <r>
    <s v="140859"/>
    <x v="2"/>
    <s v="Atif Siddiqui"/>
    <s v="05/11/2020"/>
    <s v="Processing"/>
    <s v="45 TB HDD"/>
    <s v="HDD"/>
    <x v="10"/>
    <n v="6500"/>
    <n v="8450"/>
    <n v="2"/>
    <n v="13000"/>
    <n v="16900"/>
    <s v="Advika Joshi"/>
    <n v="39000"/>
  </r>
  <r>
    <s v="140860"/>
    <x v="2"/>
    <s v="Aditya Agarwal"/>
    <s v="05/11/2020"/>
    <s v="Delivered"/>
    <s v="300 GB SSD"/>
    <s v="SSD"/>
    <x v="0"/>
    <n v="4500"/>
    <n v="5850"/>
    <n v="3"/>
    <n v="13500"/>
    <n v="17550"/>
    <s v="Ajay Sharma"/>
    <n v="8450"/>
  </r>
  <r>
    <s v="140861"/>
    <x v="2"/>
    <s v="Firdoush Jabee"/>
    <s v="05/11/2020"/>
    <s v="Shipped"/>
    <s v="Intel i3 11th gen."/>
    <s v="CPU"/>
    <x v="1"/>
    <n v="8500"/>
    <n v="11050"/>
    <n v="1"/>
    <n v="8500"/>
    <n v="11050"/>
    <s v="Roshan Kumar"/>
    <n v="33150"/>
  </r>
  <r>
    <s v="140862"/>
    <x v="2"/>
    <s v="Jay Prakash Kumar"/>
    <s v="05/11/2020"/>
    <s v="Order"/>
    <s v="4GB Graphic card"/>
    <s v="Graphic Card"/>
    <x v="2"/>
    <n v="12500"/>
    <n v="16250"/>
    <n v="1"/>
    <n v="12500"/>
    <n v="16250"/>
    <s v="Aarvi Gupta"/>
    <n v="18200"/>
  </r>
  <r>
    <s v="140863"/>
    <x v="2"/>
    <s v="Ashish Pandey"/>
    <s v="05/11/2020"/>
    <s v="Processing"/>
    <s v="52 GB DDR4 RAM"/>
    <s v="NIC"/>
    <x v="3"/>
    <n v="3500"/>
    <n v="4550"/>
    <n v="1"/>
    <n v="3500"/>
    <n v="4550"/>
    <s v="Vijay Singh"/>
    <n v="9100"/>
  </r>
  <r>
    <s v="140864"/>
    <x v="2"/>
    <s v="Ajay Sharma"/>
    <s v="05/11/2020"/>
    <s v="Delivered"/>
    <s v="BTX motherboard"/>
    <s v="Printer"/>
    <x v="4"/>
    <n v="4500"/>
    <n v="5850"/>
    <n v="3"/>
    <n v="13500"/>
    <n v="17550"/>
    <s v="Aadil Khan"/>
    <n v="11700"/>
  </r>
  <r>
    <s v="140865"/>
    <x v="2"/>
    <s v="Moinuddin Saifi"/>
    <s v="05/11/2020"/>
    <s v="Shipped"/>
    <s v="47 Fans Cabinet"/>
    <s v="Cabinet"/>
    <x v="5"/>
    <n v="2100"/>
    <n v="2730"/>
    <n v="3"/>
    <n v="6300"/>
    <n v="8190"/>
    <s v="Advika Joshi"/>
    <n v="2990"/>
  </r>
  <r>
    <s v="140866"/>
    <x v="2"/>
    <s v="Ramkrishna Das Adhikary"/>
    <s v="05/11/2020"/>
    <s v="Order"/>
    <s v="Wireless Keyboard"/>
    <s v="Keyboard"/>
    <x v="6"/>
    <n v="1150"/>
    <n v="1495"/>
    <n v="1"/>
    <n v="1150"/>
    <n v="1495"/>
    <s v="Ajay Sharma"/>
    <n v="3315"/>
  </r>
  <r>
    <s v="140867"/>
    <x v="2"/>
    <s v="Ranjeet Mandal"/>
    <s v="05/11/2020"/>
    <s v="Processing"/>
    <s v="USB Mouse"/>
    <s v="Mouse"/>
    <x v="0"/>
    <n v="350"/>
    <n v="455"/>
    <n v="3"/>
    <n v="1050"/>
    <n v="1365"/>
    <s v="Roshan Kumar"/>
    <n v="1690"/>
  </r>
  <r>
    <s v="140868"/>
    <x v="2"/>
    <s v="Ashwini Adsare"/>
    <s v="05/11/2020"/>
    <s v="Delivered"/>
    <s v="19&quot; LED Display"/>
    <s v="Monitor"/>
    <x v="6"/>
    <n v="9500"/>
    <n v="12350"/>
    <n v="2"/>
    <n v="19000"/>
    <n v="24700"/>
    <s v="Aarvi Gupta"/>
    <n v="9750"/>
  </r>
  <r>
    <s v="140869"/>
    <x v="2"/>
    <s v="Rajesh Variya"/>
    <s v="05/11/2020"/>
    <s v="Shipped"/>
    <s v="46 TB HDD"/>
    <s v="HDD"/>
    <x v="10"/>
    <n v="10000"/>
    <n v="13000"/>
    <n v="2"/>
    <n v="20000"/>
    <n v="26000"/>
    <s v="Vijay Singh"/>
    <n v="39000"/>
  </r>
  <r>
    <s v="140870"/>
    <x v="11"/>
    <s v="Amit Singh"/>
    <s v="05/11/2020"/>
    <s v="Order"/>
    <s v="556 GB M.2"/>
    <s v="SSD"/>
    <x v="0"/>
    <n v="6500"/>
    <n v="8450"/>
    <n v="2"/>
    <n v="13000"/>
    <n v="16900"/>
    <s v="Aadil Khan"/>
    <n v="8450"/>
  </r>
  <r>
    <s v="140871"/>
    <x v="12"/>
    <s v="Vinod Mehta"/>
    <s v="05/11/2020"/>
    <s v="Processing"/>
    <s v="RYZEN 3rd gen. 3544"/>
    <s v="CPU"/>
    <x v="1"/>
    <n v="8500"/>
    <n v="11050"/>
    <n v="1"/>
    <n v="8500"/>
    <n v="11050"/>
    <s v="Advika Joshi"/>
    <n v="33150"/>
  </r>
  <r>
    <s v="140872"/>
    <x v="13"/>
    <s v="Jignesh Mhatre"/>
    <s v="05/11/2020"/>
    <s v="Delivered"/>
    <s v="2GB Graphic Card"/>
    <s v="Graphic Card"/>
    <x v="2"/>
    <n v="7000"/>
    <n v="9100"/>
    <n v="1"/>
    <n v="7000"/>
    <n v="9100"/>
    <s v="Ajay Sharma"/>
    <n v="18200"/>
  </r>
  <r>
    <s v="140873"/>
    <x v="14"/>
    <s v="Rahul Kashyap"/>
    <s v="05/11/2020"/>
    <s v="Shipped"/>
    <s v="60 GB DDR4 RAM"/>
    <s v="NIC"/>
    <x v="3"/>
    <n v="6550"/>
    <n v="8515"/>
    <n v="1"/>
    <n v="6550"/>
    <n v="8515"/>
    <s v="Roshan Kumar"/>
    <n v="9100"/>
  </r>
  <r>
    <s v="140874"/>
    <x v="15"/>
    <s v="Mohammed Abdul Kaleem"/>
    <s v="05/11/2020"/>
    <s v="Order"/>
    <s v="Standard ATX motherboard"/>
    <s v="Printer"/>
    <x v="4"/>
    <n v="7650"/>
    <n v="9945"/>
    <n v="2"/>
    <n v="15300"/>
    <n v="19890"/>
    <s v="Aarvi Gupta"/>
    <n v="11700"/>
  </r>
  <r>
    <s v="140875"/>
    <x v="16"/>
    <s v="Chandrakant Kasbe"/>
    <s v="05/11/2020"/>
    <s v="Processing"/>
    <s v="Compact with 1 Fan"/>
    <s v="Cabinet"/>
    <x v="5"/>
    <n v="1150"/>
    <n v="1495"/>
    <n v="1"/>
    <n v="1150"/>
    <n v="1495"/>
    <s v="Vijay Singh"/>
    <n v="2990"/>
  </r>
  <r>
    <s v="140876"/>
    <x v="17"/>
    <s v="Rohan Kale"/>
    <s v="05/11/2020"/>
    <s v="Delivered"/>
    <s v="USB Backlight Keyboard"/>
    <s v="Keyboard"/>
    <x v="6"/>
    <n v="850"/>
    <n v="1105"/>
    <n v="2"/>
    <n v="1700"/>
    <n v="2210"/>
    <s v="Aadil Khan"/>
    <n v="3315"/>
  </r>
  <r>
    <s v="140877"/>
    <x v="18"/>
    <s v="Aniruddha Kekapure"/>
    <s v="05/11/2020"/>
    <s v="Shipped"/>
    <s v="Ergonomic Mouse"/>
    <s v="Mouse"/>
    <x v="0"/>
    <n v="650"/>
    <n v="845"/>
    <n v="4"/>
    <n v="2600"/>
    <n v="3380"/>
    <s v="Advika Joshi"/>
    <n v="1690"/>
  </r>
  <r>
    <s v="140878"/>
    <x v="19"/>
    <s v="Aslam Raza"/>
    <s v="05/11/2020"/>
    <s v="Order"/>
    <s v="15&quot; LCD Dsipaly"/>
    <s v="Monitor"/>
    <x v="6"/>
    <n v="7500"/>
    <n v="9750"/>
    <n v="4"/>
    <n v="30000"/>
    <n v="39000"/>
    <s v="Ajay Sharma"/>
    <n v="9750"/>
  </r>
  <r>
    <s v="140879"/>
    <x v="20"/>
    <s v="Roshan Zameer"/>
    <s v="05/11/2020"/>
    <s v="Processing"/>
    <s v="46 TB HDD"/>
    <s v="HDD"/>
    <x v="7"/>
    <n v="10000"/>
    <n v="13000"/>
    <n v="4"/>
    <n v="40000"/>
    <n v="52000"/>
    <s v="Roshan Kumar"/>
    <n v="39000"/>
  </r>
  <r>
    <s v="140880"/>
    <x v="16"/>
    <s v="Rakesh Kumar Sharma"/>
    <s v="05/11/2020"/>
    <s v="Delivered"/>
    <s v="45 TB SSD"/>
    <s v="SSD"/>
    <x v="0"/>
    <n v="10500"/>
    <n v="13650"/>
    <n v="1"/>
    <n v="10500"/>
    <n v="13650"/>
    <s v="Aarvi Gupta"/>
    <n v="8450"/>
  </r>
  <r>
    <s v="140881"/>
    <x v="17"/>
    <s v="Shivanand Sahani"/>
    <s v="05/11/2020"/>
    <s v="Shipped"/>
    <s v="Intel i5 12th gen."/>
    <s v="CPU"/>
    <x v="1"/>
    <n v="8500"/>
    <n v="11050"/>
    <n v="3"/>
    <n v="25500"/>
    <n v="33150"/>
    <s v="Vijay Singh"/>
    <n v="33150"/>
  </r>
  <r>
    <s v="140882"/>
    <x v="21"/>
    <s v="Kunal Patra"/>
    <s v="05/11/2020"/>
    <s v="Order"/>
    <s v="2GB Graphic Card"/>
    <s v="Graphic Card"/>
    <x v="2"/>
    <n v="7000"/>
    <n v="9100"/>
    <n v="4"/>
    <n v="28000"/>
    <n v="36400"/>
    <s v="Aadil Khan"/>
    <n v="18200"/>
  </r>
  <r>
    <s v="140883"/>
    <x v="22"/>
    <s v="Bijendra"/>
    <s v="05/11/2020"/>
    <s v="Processing"/>
    <s v="48 GB DDR4 Ram"/>
    <s v="NIC"/>
    <x v="3"/>
    <n v="1680"/>
    <n v="2184"/>
    <n v="4"/>
    <n v="6720"/>
    <n v="8736"/>
    <s v="Advika Joshi"/>
    <n v="9100"/>
  </r>
  <r>
    <s v="140884"/>
    <x v="28"/>
    <s v="Kranti Bheke"/>
    <s v="05/11/2020"/>
    <s v="Delivered"/>
    <s v="Micro ATX motherboard"/>
    <s v="Printer"/>
    <x v="8"/>
    <n v="6540"/>
    <n v="8502"/>
    <n v="4"/>
    <n v="26160"/>
    <n v="34008"/>
    <s v="Ajay Sharma"/>
    <n v="11700"/>
  </r>
  <r>
    <s v="140885"/>
    <x v="29"/>
    <s v="Jagdeep"/>
    <s v="05/11/2020"/>
    <s v="Shipped"/>
    <s v="Gaming Box Cabinet"/>
    <s v="Cabinet"/>
    <x v="5"/>
    <n v="2680"/>
    <n v="3484"/>
    <n v="2"/>
    <n v="5360"/>
    <n v="6968"/>
    <s v="Roshan Kumar"/>
    <n v="2990"/>
  </r>
  <r>
    <s v="140886"/>
    <x v="30"/>
    <s v="Adhir Samal"/>
    <s v="05/11/2020"/>
    <s v="Order"/>
    <s v="17&quot; LCD Display"/>
    <s v="Monitor"/>
    <x v="0"/>
    <n v="8250"/>
    <n v="10725"/>
    <n v="2"/>
    <n v="16500"/>
    <n v="21450"/>
    <s v="Aarvi Gupta"/>
    <n v="9750"/>
  </r>
  <r>
    <s v="140887"/>
    <x v="31"/>
    <s v="Dannana Jhammi"/>
    <s v="05/11/2020"/>
    <s v="Processing"/>
    <s v="52 GB DDR4 RAM"/>
    <s v="RAM"/>
    <x v="0"/>
    <n v="2650"/>
    <n v="3445"/>
    <n v="3"/>
    <n v="7950"/>
    <n v="10335"/>
    <s v="Vijay Singh"/>
    <n v="25545"/>
  </r>
  <r>
    <s v="140888"/>
    <x v="32"/>
    <s v="Vipin Kumar"/>
    <s v="06/11/2020"/>
    <s v="Delivered"/>
    <s v="26&quot; LCD Display"/>
    <s v="Monitor"/>
    <x v="9"/>
    <n v="12550"/>
    <n v="16315"/>
    <n v="3"/>
    <n v="37650"/>
    <n v="48945"/>
    <s v="Aadil Khan"/>
    <n v="9750"/>
  </r>
  <r>
    <s v="140889"/>
    <x v="0"/>
    <s v="Ranjeet Kumar"/>
    <s v="07/11/2020"/>
    <s v="Shipped"/>
    <s v="I7 - intel 12th Generation"/>
    <s v="CPU"/>
    <x v="1"/>
    <n v="14500"/>
    <n v="18850"/>
    <n v="2"/>
    <n v="29000"/>
    <n v="37700"/>
    <s v="Advika Joshi"/>
    <n v="33150"/>
  </r>
  <r>
    <s v="140890"/>
    <x v="23"/>
    <s v="Sajal Singhal"/>
    <s v="08/11/2020"/>
    <s v="Order"/>
    <s v="USB Keyboard"/>
    <s v="Keyboard"/>
    <x v="6"/>
    <n v="800"/>
    <n v="1040"/>
    <n v="1"/>
    <n v="800"/>
    <n v="1040"/>
    <s v="Ajay Sharma"/>
    <n v="3315"/>
  </r>
  <r>
    <s v="140891"/>
    <x v="1"/>
    <s v="Akhilesh Kumar"/>
    <s v="09/11/2020"/>
    <s v="Processing"/>
    <s v="Wireless Mouse"/>
    <s v="Mouse"/>
    <x v="0"/>
    <n v="600"/>
    <n v="780"/>
    <n v="2"/>
    <n v="1200"/>
    <n v="1560"/>
    <s v="Ajay Sharma"/>
    <n v="1690"/>
  </r>
  <r>
    <s v="140892"/>
    <x v="2"/>
    <s v="Suvankar Chakraborty"/>
    <s v="10/11/2020"/>
    <s v="Delivered"/>
    <s v="21&quot; LCD Display"/>
    <s v="Monitor"/>
    <x v="6"/>
    <n v="10500"/>
    <n v="13650"/>
    <n v="3"/>
    <n v="31500"/>
    <n v="40950"/>
    <s v="Roshan Kumar"/>
    <n v="9750"/>
  </r>
  <r>
    <s v="140893"/>
    <x v="3"/>
    <s v="Suvankar Adhikary"/>
    <s v="11/11/2020"/>
    <s v="Shipped"/>
    <s v="46 TB HDD"/>
    <s v="HDD"/>
    <x v="10"/>
    <n v="6500"/>
    <n v="8450"/>
    <n v="3"/>
    <n v="19500"/>
    <n v="25350"/>
    <s v="Aarvi Gupta"/>
    <n v="39000"/>
  </r>
  <r>
    <s v="140894"/>
    <x v="24"/>
    <s v="Rahul Kumar Prajapati"/>
    <s v="12/11/2020"/>
    <s v="Order"/>
    <s v="301 GB SSD"/>
    <s v="SSD"/>
    <x v="0"/>
    <n v="4500"/>
    <n v="5850"/>
    <n v="3"/>
    <n v="13500"/>
    <n v="17550"/>
    <s v="Vijay Singh"/>
    <n v="8450"/>
  </r>
  <r>
    <s v="140895"/>
    <x v="25"/>
    <s v="Sagar Jeur"/>
    <s v="13/11/2020"/>
    <s v="Processing"/>
    <s v="Intel i3 11th gen."/>
    <s v="CPU"/>
    <x v="1"/>
    <n v="8500"/>
    <n v="11050"/>
    <n v="4"/>
    <n v="34000"/>
    <n v="44200"/>
    <s v="Aadil Khan"/>
    <n v="33150"/>
  </r>
  <r>
    <s v="140896"/>
    <x v="25"/>
    <s v="Rhushikesh Mane"/>
    <s v="14/11/2020"/>
    <s v="Delivered"/>
    <s v="4GB Graphic card"/>
    <s v="Graphic Card"/>
    <x v="2"/>
    <n v="12500"/>
    <n v="16250"/>
    <n v="3"/>
    <n v="37500"/>
    <n v="48750"/>
    <s v="Advika Joshi"/>
    <n v="18200"/>
  </r>
  <r>
    <s v="140897"/>
    <x v="25"/>
    <s v="Ashish Kumar"/>
    <s v="15/11/2020"/>
    <s v="Shipped"/>
    <s v="53 GB DDR4 RAM"/>
    <s v="RAM"/>
    <x v="3"/>
    <n v="3500"/>
    <n v="4550"/>
    <n v="1"/>
    <n v="3500"/>
    <n v="4550"/>
    <s v="Ajay Sharma"/>
    <n v="25545"/>
  </r>
  <r>
    <s v="140898"/>
    <x v="25"/>
    <s v="Javed Akhter"/>
    <s v="16/11/2020"/>
    <s v="Order"/>
    <s v="BTX motherboard"/>
    <s v="MotherBoard"/>
    <x v="4"/>
    <n v="4500"/>
    <n v="5850"/>
    <n v="3"/>
    <n v="13500"/>
    <n v="17550"/>
    <s v="Roshan Kumar"/>
    <n v="39780"/>
  </r>
  <r>
    <s v="140899"/>
    <x v="25"/>
    <s v="Haridas Balraj"/>
    <s v="17/11/2020"/>
    <s v="Processing"/>
    <s v="48 Fans Cabinet"/>
    <s v="Cabinet"/>
    <x v="5"/>
    <n v="2100"/>
    <n v="2730"/>
    <n v="2"/>
    <n v="4200"/>
    <n v="5460"/>
    <s v="Aarvi Gupta"/>
    <n v="2990"/>
  </r>
  <r>
    <s v="140900"/>
    <x v="25"/>
    <s v="Kundan Kumar"/>
    <s v="18/11/2020"/>
    <s v="Delivered"/>
    <s v="Wireless Keyboard"/>
    <s v="Keyboard"/>
    <x v="6"/>
    <n v="1150"/>
    <n v="1495"/>
    <n v="4"/>
    <n v="4600"/>
    <n v="5980"/>
    <s v="Vijay Singh"/>
    <n v="3315"/>
  </r>
  <r>
    <s v="140901"/>
    <x v="25"/>
    <s v="Atif Siddiqui"/>
    <s v="19/11/2020"/>
    <s v="Shipped"/>
    <s v="USB Mouse"/>
    <s v="Mouse"/>
    <x v="0"/>
    <n v="350"/>
    <n v="455"/>
    <n v="4"/>
    <n v="1400"/>
    <n v="1820"/>
    <s v="Aadil Khan"/>
    <n v="1690"/>
  </r>
  <r>
    <s v="140902"/>
    <x v="25"/>
    <s v="Aditya Agarwal"/>
    <s v="20/11/2020"/>
    <s v="Order"/>
    <s v="19&quot; LED Display"/>
    <s v="Monitor"/>
    <x v="6"/>
    <n v="9500"/>
    <n v="12350"/>
    <n v="1"/>
    <n v="9500"/>
    <n v="12350"/>
    <s v="Advika Joshi"/>
    <n v="9750"/>
  </r>
  <r>
    <s v="140903"/>
    <x v="25"/>
    <s v="Firdoush Jabee"/>
    <s v="21/11/2020"/>
    <s v="Processing"/>
    <s v="47 TB HDD"/>
    <s v="HDD"/>
    <x v="10"/>
    <n v="10000"/>
    <n v="13000"/>
    <n v="2"/>
    <n v="20000"/>
    <n v="26000"/>
    <s v="Ajay Sharma"/>
    <n v="39000"/>
  </r>
  <r>
    <s v="140904"/>
    <x v="25"/>
    <s v="Jay Prakash Kumar"/>
    <s v="22/11/2020"/>
    <s v="Delivered"/>
    <s v="557 GB M.2"/>
    <s v="SSD"/>
    <x v="0"/>
    <n v="6500"/>
    <n v="8450"/>
    <n v="1"/>
    <n v="6500"/>
    <n v="8450"/>
    <s v="Roshan Kumar"/>
    <n v="8450"/>
  </r>
  <r>
    <s v="140905"/>
    <x v="25"/>
    <s v="Ashish Pandey"/>
    <s v="22/11/2020"/>
    <s v="Shipped"/>
    <s v="RYZEN 3rd gen. 3545"/>
    <s v="CPU"/>
    <x v="1"/>
    <n v="8500"/>
    <n v="11050"/>
    <n v="4"/>
    <n v="34000"/>
    <n v="44200"/>
    <s v="Aarvi Gupta"/>
    <n v="33150"/>
  </r>
  <r>
    <s v="140906"/>
    <x v="25"/>
    <s v="Ajay Sharma"/>
    <s v="22/11/2020"/>
    <s v="Order"/>
    <s v="2GB Graphic Card"/>
    <s v="Graphic Card"/>
    <x v="2"/>
    <n v="7000"/>
    <n v="9100"/>
    <n v="4"/>
    <n v="28000"/>
    <n v="36400"/>
    <s v="Vijay Singh"/>
    <n v="18200"/>
  </r>
  <r>
    <s v="140907"/>
    <x v="25"/>
    <s v="Moinuddin Saifi"/>
    <s v="22/11/2020"/>
    <s v="Processing"/>
    <s v="61 GB DDR4 RAM"/>
    <s v="RAM"/>
    <x v="3"/>
    <n v="6550"/>
    <n v="8515"/>
    <n v="4"/>
    <n v="26200"/>
    <n v="34060"/>
    <s v="Aadil Khan"/>
    <n v="25545"/>
  </r>
  <r>
    <s v="140908"/>
    <x v="25"/>
    <s v="Ramkrishna Das Adhikary"/>
    <s v="22/11/2020"/>
    <s v="Delivered"/>
    <s v="Standard ATX motherboard"/>
    <s v="MotherBoard"/>
    <x v="4"/>
    <n v="7650"/>
    <n v="9945"/>
    <n v="2"/>
    <n v="15300"/>
    <n v="19890"/>
    <s v="Advika Joshi"/>
    <n v="39780"/>
  </r>
  <r>
    <s v="140909"/>
    <x v="25"/>
    <s v="Ranjeet Mandal"/>
    <s v="22/11/2020"/>
    <s v="Shipped"/>
    <s v="Compact with 1 Fan"/>
    <s v="Cabinet"/>
    <x v="5"/>
    <n v="1150"/>
    <n v="1495"/>
    <n v="1"/>
    <n v="1150"/>
    <n v="1495"/>
    <s v="Ajay Sharma"/>
    <n v="2990"/>
  </r>
  <r>
    <s v="140910"/>
    <x v="25"/>
    <s v="Ashwini Adsare"/>
    <s v="22/11/2020"/>
    <s v="Order"/>
    <s v="USB Backlight Keyboard"/>
    <s v="Keyboard"/>
    <x v="6"/>
    <n v="850"/>
    <n v="1105"/>
    <n v="1"/>
    <n v="850"/>
    <n v="1105"/>
    <s v="Roshan Kumar"/>
    <n v="3315"/>
  </r>
  <r>
    <s v="140911"/>
    <x v="25"/>
    <s v="Rajesh Variya"/>
    <s v="22/11/2020"/>
    <s v="Processing"/>
    <s v="Ergonomic Mouse"/>
    <s v="Mouse"/>
    <x v="0"/>
    <n v="650"/>
    <n v="845"/>
    <n v="3"/>
    <n v="1950"/>
    <n v="2535"/>
    <s v="Aarvi Gupta"/>
    <n v="1690"/>
  </r>
  <r>
    <s v="140912"/>
    <x v="25"/>
    <s v="Amit Singh"/>
    <s v="22/11/2020"/>
    <s v="Delivered"/>
    <s v="15&quot; LCD Dsipaly"/>
    <s v="Monitor"/>
    <x v="6"/>
    <n v="7500"/>
    <n v="9750"/>
    <n v="3"/>
    <n v="22500"/>
    <n v="29250"/>
    <s v="Vijay Singh"/>
    <n v="9750"/>
  </r>
  <r>
    <s v="140913"/>
    <x v="25"/>
    <s v="Vinod Mehta"/>
    <s v="22/11/2020"/>
    <s v="Shipped"/>
    <s v="47 TB HDD"/>
    <s v="HDD"/>
    <x v="7"/>
    <n v="10000"/>
    <n v="13000"/>
    <n v="1"/>
    <n v="10000"/>
    <n v="13000"/>
    <s v="Aadil Khan"/>
    <n v="39000"/>
  </r>
  <r>
    <s v="140914"/>
    <x v="25"/>
    <s v="Jignesh Mhatre"/>
    <s v="22/11/2020"/>
    <s v="Order"/>
    <s v="46 TB SSD"/>
    <s v="SSD"/>
    <x v="0"/>
    <n v="10500"/>
    <n v="13650"/>
    <n v="2"/>
    <n v="21000"/>
    <n v="27300"/>
    <s v="Advika Joshi"/>
    <n v="8450"/>
  </r>
  <r>
    <s v="140915"/>
    <x v="25"/>
    <s v="Rahul Kashyap"/>
    <s v="22/11/2020"/>
    <s v="Processing"/>
    <s v="Intel i5 12th gen."/>
    <s v="CPU"/>
    <x v="1"/>
    <n v="8500"/>
    <n v="11050"/>
    <n v="2"/>
    <n v="17000"/>
    <n v="22100"/>
    <s v="Ajay Sharma"/>
    <n v="33150"/>
  </r>
  <r>
    <s v="140916"/>
    <x v="25"/>
    <s v="Mohammed Abdul Kaleem"/>
    <s v="22/11/2020"/>
    <s v="Delivered"/>
    <s v="2GB Graphic Card"/>
    <s v="Graphic Card"/>
    <x v="2"/>
    <n v="7000"/>
    <n v="9100"/>
    <n v="4"/>
    <n v="28000"/>
    <n v="36400"/>
    <s v="Roshan Kumar"/>
    <n v="18200"/>
  </r>
  <r>
    <s v="140917"/>
    <x v="25"/>
    <s v="Chandrakant Kasbe"/>
    <s v="22/11/2020"/>
    <s v="Shipped"/>
    <s v="49 GB DDR4 Ram"/>
    <s v="RAM"/>
    <x v="3"/>
    <n v="1680"/>
    <n v="2184"/>
    <n v="1"/>
    <n v="1680"/>
    <n v="2184"/>
    <s v="Aarvi Gupta"/>
    <n v="25545"/>
  </r>
  <r>
    <s v="140918"/>
    <x v="25"/>
    <s v="Rohan Kale"/>
    <s v="22/11/2020"/>
    <s v="Order"/>
    <s v="Micro ATX motherboard"/>
    <s v="MotherBoard"/>
    <x v="8"/>
    <n v="6540"/>
    <n v="8502"/>
    <n v="2"/>
    <n v="13080"/>
    <n v="17004"/>
    <s v="Vijay Singh"/>
    <n v="39780"/>
  </r>
  <r>
    <s v="140919"/>
    <x v="25"/>
    <s v="Aniruddha Kekapure"/>
    <s v="22/11/2020"/>
    <s v="Processing"/>
    <s v="Gaming Box Cabinet"/>
    <s v="Cabinet"/>
    <x v="5"/>
    <n v="2680"/>
    <n v="3484"/>
    <n v="3"/>
    <n v="8040"/>
    <n v="10452"/>
    <s v="Aadil Khan"/>
    <n v="2990"/>
  </r>
  <r>
    <s v="140920"/>
    <x v="25"/>
    <s v="Aslam Raza"/>
    <s v="22/11/2020"/>
    <s v="Delivered"/>
    <s v="17&quot; LCD Display"/>
    <s v="Monitor"/>
    <x v="0"/>
    <n v="8250"/>
    <n v="10725"/>
    <n v="1"/>
    <n v="8250"/>
    <n v="10725"/>
    <s v="Advika Joshi"/>
    <n v="9750"/>
  </r>
  <r>
    <s v="140921"/>
    <x v="25"/>
    <s v="Roshan Zameer"/>
    <s v="22/11/2020"/>
    <s v="Shipped"/>
    <s v="53 GB DDR4 RAM"/>
    <s v="RAM"/>
    <x v="0"/>
    <n v="2650"/>
    <n v="3445"/>
    <n v="2"/>
    <n v="5300"/>
    <n v="6890"/>
    <s v="Ajay Sharma"/>
    <n v="25545"/>
  </r>
  <r>
    <s v="140922"/>
    <x v="25"/>
    <s v="Rakesh Kumar Sharma"/>
    <s v="22/11/2020"/>
    <s v="Order"/>
    <s v="26&quot; LCD Display"/>
    <s v="Monitor"/>
    <x v="9"/>
    <n v="12550"/>
    <n v="16315"/>
    <n v="1"/>
    <n v="12550"/>
    <n v="16315"/>
    <s v="Roshan Kumar"/>
    <n v="9750"/>
  </r>
  <r>
    <s v="140923"/>
    <x v="25"/>
    <s v="Shivanand Sahani"/>
    <s v="23/11/2020"/>
    <s v="Processing"/>
    <s v="I7 - intel 12th Generation"/>
    <s v="CPU"/>
    <x v="1"/>
    <n v="14500"/>
    <n v="18850"/>
    <n v="1"/>
    <n v="14500"/>
    <n v="18850"/>
    <s v="Aarvi Gupta"/>
    <n v="33150"/>
  </r>
  <r>
    <s v="140924"/>
    <x v="25"/>
    <s v="Kunal Patra"/>
    <s v="24/11/2020"/>
    <s v="Delivered"/>
    <s v="USB Keyboard"/>
    <s v="Keyboard"/>
    <x v="6"/>
    <n v="800"/>
    <n v="1040"/>
    <n v="1"/>
    <n v="800"/>
    <n v="1040"/>
    <s v="Vijay Singh"/>
    <n v="3315"/>
  </r>
  <r>
    <s v="140925"/>
    <x v="25"/>
    <s v="Bijendra"/>
    <s v="25/11/2020"/>
    <s v="Shipped"/>
    <s v="Wireless Mouse"/>
    <s v="Mouse"/>
    <x v="0"/>
    <n v="600"/>
    <n v="780"/>
    <n v="1"/>
    <n v="600"/>
    <n v="780"/>
    <s v="Aadil Khan"/>
    <n v="1690"/>
  </r>
  <r>
    <s v="140926"/>
    <x v="25"/>
    <s v="Kranti Bheke"/>
    <s v="26/11/2020"/>
    <s v="Order"/>
    <s v="21&quot; LCD Display"/>
    <s v="Monitor"/>
    <x v="6"/>
    <n v="10500"/>
    <n v="13650"/>
    <n v="2"/>
    <n v="21000"/>
    <n v="27300"/>
    <s v="Advika Joshi"/>
    <n v="9750"/>
  </r>
  <r>
    <s v="140927"/>
    <x v="25"/>
    <s v="Jagdeep"/>
    <s v="27/11/2020"/>
    <s v="Processing"/>
    <s v="47 TB HDD"/>
    <s v="HDD"/>
    <x v="10"/>
    <n v="6500"/>
    <n v="8450"/>
    <n v="2"/>
    <n v="13000"/>
    <n v="16900"/>
    <s v="Ajay Sharma"/>
    <n v="39000"/>
  </r>
  <r>
    <s v="140928"/>
    <x v="25"/>
    <s v="Adhir Samal"/>
    <s v="28/11/2020"/>
    <s v="Delivered"/>
    <s v="302 GB SSD"/>
    <s v="SSD"/>
    <x v="0"/>
    <n v="4500"/>
    <n v="5850"/>
    <n v="1"/>
    <n v="4500"/>
    <n v="5850"/>
    <s v="Roshan Kumar"/>
    <n v="8450"/>
  </r>
  <r>
    <s v="140929"/>
    <x v="25"/>
    <s v="Dannana Jhammi"/>
    <s v="29/11/2020"/>
    <s v="Shipped"/>
    <s v="Intel i3 11th gen."/>
    <s v="CPU"/>
    <x v="1"/>
    <n v="8500"/>
    <n v="11050"/>
    <n v="2"/>
    <n v="17000"/>
    <n v="22100"/>
    <s v="Aarvi Gupta"/>
    <n v="33150"/>
  </r>
  <r>
    <s v="140930"/>
    <x v="25"/>
    <s v="Vipin Kumar"/>
    <s v="30/11/2020"/>
    <s v="Order"/>
    <s v="4GB Graphic card"/>
    <s v="Graphic Card"/>
    <x v="2"/>
    <n v="12500"/>
    <n v="16250"/>
    <n v="4"/>
    <n v="50000"/>
    <n v="65000"/>
    <s v="Vijay Singh"/>
    <n v="18200"/>
  </r>
  <r>
    <s v="140931"/>
    <x v="25"/>
    <s v="Ranjeet Kumar"/>
    <s v="01/12/2020"/>
    <s v="Processing"/>
    <s v="54 GB DDR4 RAM"/>
    <s v="Computer Case"/>
    <x v="3"/>
    <n v="3500"/>
    <n v="4550"/>
    <n v="3"/>
    <n v="10500"/>
    <n v="13650"/>
    <s v="Aadil Khan"/>
    <n v="13650"/>
  </r>
  <r>
    <s v="140932"/>
    <x v="25"/>
    <s v="Sajal Singhal"/>
    <s v="02/12/2020"/>
    <s v="Delivered"/>
    <s v="BTX motherboard"/>
    <s v="Mouse"/>
    <x v="4"/>
    <n v="4500"/>
    <n v="5850"/>
    <n v="3"/>
    <n v="13500"/>
    <n v="17550"/>
    <s v="Advika Joshi"/>
    <n v="1690"/>
  </r>
  <r>
    <s v="140933"/>
    <x v="25"/>
    <s v="Akhilesh Kumar"/>
    <s v="03/12/2020"/>
    <s v="Shipped"/>
    <s v="49 Fans Cabinet"/>
    <s v="Cabinet"/>
    <x v="5"/>
    <n v="2100"/>
    <n v="2730"/>
    <n v="2"/>
    <n v="4200"/>
    <n v="5460"/>
    <s v="Ajay Sharma"/>
    <n v="2990"/>
  </r>
  <r>
    <s v="140934"/>
    <x v="25"/>
    <s v="Suvankar Chakraborty"/>
    <s v="04/12/2020"/>
    <s v="Order"/>
    <s v="Wireless Keyboard"/>
    <s v="Keyboard"/>
    <x v="6"/>
    <n v="1150"/>
    <n v="1495"/>
    <n v="3"/>
    <n v="3450"/>
    <n v="4485"/>
    <s v="Roshan Kumar"/>
    <n v="3315"/>
  </r>
  <r>
    <s v="140935"/>
    <x v="25"/>
    <s v="Suvankar Adhikary"/>
    <s v="05/12/2020"/>
    <s v="Processing"/>
    <s v="USB Mouse"/>
    <s v="Mouse"/>
    <x v="0"/>
    <n v="350"/>
    <n v="455"/>
    <n v="4"/>
    <n v="1400"/>
    <n v="1820"/>
    <s v="Aarvi Gupta"/>
    <n v="1690"/>
  </r>
  <r>
    <s v="140936"/>
    <x v="25"/>
    <s v="Rahul Kumar Prajapati"/>
    <s v="06/12/2020"/>
    <s v="Delivered"/>
    <s v="19&quot; LED Display"/>
    <s v="Monitor"/>
    <x v="6"/>
    <n v="9500"/>
    <n v="12350"/>
    <n v="2"/>
    <n v="19000"/>
    <n v="24700"/>
    <s v="Vijay Singh"/>
    <n v="9750"/>
  </r>
  <r>
    <s v="140937"/>
    <x v="25"/>
    <s v="Sagar Jeur"/>
    <s v="07/12/2020"/>
    <s v="Shipped"/>
    <s v="48 TB HDD"/>
    <s v="HDD"/>
    <x v="10"/>
    <n v="10000"/>
    <n v="13000"/>
    <n v="2"/>
    <n v="20000"/>
    <n v="26000"/>
    <s v="Aadil Khan"/>
    <n v="39000"/>
  </r>
  <r>
    <s v="140938"/>
    <x v="25"/>
    <s v="Rhushikesh Mane"/>
    <s v="08/12/2020"/>
    <s v="Order"/>
    <s v="558 GB M.2"/>
    <s v="SSD"/>
    <x v="0"/>
    <n v="6500"/>
    <n v="8450"/>
    <n v="3"/>
    <n v="19500"/>
    <n v="25350"/>
    <s v="Advika Joshi"/>
    <n v="8450"/>
  </r>
  <r>
    <s v="140939"/>
    <x v="25"/>
    <s v="Ashish Kumar"/>
    <s v="09/12/2020"/>
    <s v="Processing"/>
    <s v="RYZEN 3rd gen. 3546"/>
    <s v="CPU"/>
    <x v="1"/>
    <n v="8500"/>
    <n v="11050"/>
    <n v="3"/>
    <n v="25500"/>
    <n v="33150"/>
    <s v="Ajay Sharma"/>
    <n v="33150"/>
  </r>
  <r>
    <s v="140940"/>
    <x v="25"/>
    <s v="Javed Akhter"/>
    <s v="10/12/2020"/>
    <s v="Delivered"/>
    <s v="2GB Graphic Card"/>
    <s v="Graphic Card"/>
    <x v="2"/>
    <n v="7000"/>
    <n v="9100"/>
    <n v="4"/>
    <n v="28000"/>
    <n v="36400"/>
    <s v="Roshan Kumar"/>
    <n v="18200"/>
  </r>
  <r>
    <s v="140941"/>
    <x v="25"/>
    <s v="Haridas Balraj"/>
    <s v="10/12/2020"/>
    <s v="Shipped"/>
    <s v="62 GB DDR4 RAM"/>
    <s v="Computer Case"/>
    <x v="3"/>
    <n v="6550"/>
    <n v="8515"/>
    <n v="4"/>
    <n v="26200"/>
    <n v="34060"/>
    <s v="Aarvi Gupta"/>
    <n v="13650"/>
  </r>
  <r>
    <s v="140942"/>
    <x v="25"/>
    <s v="Kundan Kumar"/>
    <s v="10/12/2020"/>
    <s v="Order"/>
    <s v="Standard ATX motherboard"/>
    <s v="Mouse"/>
    <x v="4"/>
    <n v="7650"/>
    <n v="9945"/>
    <n v="1"/>
    <n v="7650"/>
    <n v="9945"/>
    <s v="Vijay Singh"/>
    <n v="1690"/>
  </r>
  <r>
    <s v="140943"/>
    <x v="25"/>
    <s v="Atif Siddiqui"/>
    <s v="10/12/2020"/>
    <s v="Processing"/>
    <s v="Compact with 1 Fan"/>
    <s v="Cabinet"/>
    <x v="5"/>
    <n v="1150"/>
    <n v="1495"/>
    <n v="3"/>
    <n v="3450"/>
    <n v="4485"/>
    <s v="Aadil Khan"/>
    <n v="2990"/>
  </r>
  <r>
    <s v="140944"/>
    <x v="25"/>
    <s v="Aditya Agarwal"/>
    <s v="10/12/2020"/>
    <s v="Delivered"/>
    <s v="USB Backlight Keyboard"/>
    <s v="Keyboard"/>
    <x v="6"/>
    <n v="850"/>
    <n v="1105"/>
    <n v="2"/>
    <n v="1700"/>
    <n v="2210"/>
    <s v="Advika Joshi"/>
    <n v="3315"/>
  </r>
  <r>
    <s v="140945"/>
    <x v="25"/>
    <s v="Firdoush Jabee"/>
    <s v="10/12/2020"/>
    <s v="Shipped"/>
    <s v="Ergonomic Mouse"/>
    <s v="Mouse"/>
    <x v="0"/>
    <n v="650"/>
    <n v="845"/>
    <n v="3"/>
    <n v="1950"/>
    <n v="2535"/>
    <s v="Ajay Sharma"/>
    <n v="1690"/>
  </r>
  <r>
    <s v="140946"/>
    <x v="25"/>
    <s v="Jay Prakash Kumar"/>
    <s v="10/12/2020"/>
    <s v="Order"/>
    <s v="15&quot; LCD Dsipaly"/>
    <s v="Monitor"/>
    <x v="6"/>
    <n v="7500"/>
    <n v="9750"/>
    <n v="4"/>
    <n v="30000"/>
    <n v="39000"/>
    <s v="Roshan Kumar"/>
    <n v="9750"/>
  </r>
  <r>
    <s v="140947"/>
    <x v="25"/>
    <s v="Ashish Pandey"/>
    <s v="11/12/2020"/>
    <s v="Processing"/>
    <s v="48 TB HDD"/>
    <s v="HDD"/>
    <x v="7"/>
    <n v="10000"/>
    <n v="13000"/>
    <n v="2"/>
    <n v="20000"/>
    <n v="26000"/>
    <s v="Aarvi Gupta"/>
    <n v="39000"/>
  </r>
  <r>
    <s v="140948"/>
    <x v="25"/>
    <s v="Ajay Sharma"/>
    <s v="12/12/2020"/>
    <s v="Delivered"/>
    <s v="47 TB SSD"/>
    <s v="SSD"/>
    <x v="0"/>
    <n v="10500"/>
    <n v="13650"/>
    <n v="1"/>
    <n v="10500"/>
    <n v="13650"/>
    <s v="Vijay Singh"/>
    <n v="8450"/>
  </r>
  <r>
    <s v="140949"/>
    <x v="25"/>
    <s v="Moinuddin Saifi"/>
    <s v="13/12/2020"/>
    <s v="Shipped"/>
    <s v="Intel i5 12th gen."/>
    <s v="CPU"/>
    <x v="1"/>
    <n v="8500"/>
    <n v="11050"/>
    <n v="4"/>
    <n v="34000"/>
    <n v="44200"/>
    <s v="Aadil Khan"/>
    <n v="33150"/>
  </r>
  <r>
    <s v="140950"/>
    <x v="25"/>
    <s v="Ramkrishna Das Adhikary"/>
    <s v="14/12/2020"/>
    <s v="Order"/>
    <s v="2GB Graphic Card"/>
    <s v="Graphic Card"/>
    <x v="2"/>
    <n v="7000"/>
    <n v="9100"/>
    <n v="1"/>
    <n v="7000"/>
    <n v="9100"/>
    <s v="Advika Joshi"/>
    <n v="18200"/>
  </r>
  <r>
    <s v="140951"/>
    <x v="25"/>
    <s v="Ranjeet Mandal"/>
    <s v="15/12/2020"/>
    <s v="Processing"/>
    <s v="50 GB DDR4 Ram"/>
    <s v="Computer Case"/>
    <x v="3"/>
    <n v="1680"/>
    <n v="2184"/>
    <n v="4"/>
    <n v="6720"/>
    <n v="8736"/>
    <s v="Ajay Sharma"/>
    <n v="13650"/>
  </r>
  <r>
    <s v="140952"/>
    <x v="25"/>
    <s v="Ashwini Adsare"/>
    <s v="16/12/2020"/>
    <s v="Delivered"/>
    <s v="Micro ATX motherboard"/>
    <s v="Mouse"/>
    <x v="8"/>
    <n v="6540"/>
    <n v="8502"/>
    <n v="3"/>
    <n v="19620"/>
    <n v="25506"/>
    <s v="Roshan Kumar"/>
    <n v="1690"/>
  </r>
  <r>
    <s v="140953"/>
    <x v="25"/>
    <s v="Rajesh Variya"/>
    <s v="17/12/2020"/>
    <s v="Shipped"/>
    <s v="Gaming Box Cabinet"/>
    <s v="Cabinet"/>
    <x v="5"/>
    <n v="2680"/>
    <n v="3484"/>
    <n v="1"/>
    <n v="2680"/>
    <n v="3484"/>
    <s v="Aarvi Gupta"/>
    <n v="2990"/>
  </r>
  <r>
    <s v="140954"/>
    <x v="25"/>
    <s v="Amit Singh"/>
    <s v="17/12/2020"/>
    <s v="Order"/>
    <s v="17&quot; LCD Display"/>
    <s v="Monitor"/>
    <x v="0"/>
    <n v="8250"/>
    <n v="10725"/>
    <n v="3"/>
    <n v="24750"/>
    <n v="32175"/>
    <s v="Vijay Singh"/>
    <n v="9750"/>
  </r>
  <r>
    <s v="140955"/>
    <x v="25"/>
    <s v="Vinod Mehta"/>
    <s v="17/12/2020"/>
    <s v="Processing"/>
    <s v="54 GB DDR4 RAM"/>
    <s v="RAM"/>
    <x v="0"/>
    <n v="2650"/>
    <n v="3445"/>
    <n v="4"/>
    <n v="10600"/>
    <n v="13780"/>
    <s v="Aadil Khan"/>
    <n v="25545"/>
  </r>
  <r>
    <s v="140956"/>
    <x v="25"/>
    <s v="Jignesh Mhatre"/>
    <s v="17/12/2020"/>
    <s v="Delivered"/>
    <s v="26&quot; LCD Display"/>
    <s v="Monitor"/>
    <x v="9"/>
    <n v="12550"/>
    <n v="16315"/>
    <n v="4"/>
    <n v="50200"/>
    <n v="65260"/>
    <s v="Advika Joshi"/>
    <n v="9750"/>
  </r>
  <r>
    <s v="140957"/>
    <x v="25"/>
    <s v="Rahul Kashyap"/>
    <s v="17/12/2020"/>
    <s v="Shipped"/>
    <s v="I7 - intel 12th Generation"/>
    <s v="CPU"/>
    <x v="1"/>
    <n v="14500"/>
    <n v="18850"/>
    <n v="2"/>
    <n v="29000"/>
    <n v="37700"/>
    <s v="Ajay Sharma"/>
    <n v="33150"/>
  </r>
  <r>
    <s v="140958"/>
    <x v="25"/>
    <s v="Mohammed Abdul Kaleem"/>
    <s v="17/12/2020"/>
    <s v="Order"/>
    <s v="USB Keyboard"/>
    <s v="Keyboard"/>
    <x v="6"/>
    <n v="800"/>
    <n v="1040"/>
    <n v="4"/>
    <n v="3200"/>
    <n v="4160"/>
    <s v="Roshan Kumar"/>
    <n v="3315"/>
  </r>
  <r>
    <s v="140959"/>
    <x v="25"/>
    <s v="Chandrakant Kasbe"/>
    <s v="17/12/2020"/>
    <s v="Processing"/>
    <s v="Wireless Mouse"/>
    <s v="Mouse"/>
    <x v="0"/>
    <n v="600"/>
    <n v="780"/>
    <n v="1"/>
    <n v="600"/>
    <n v="780"/>
    <s v="Aarvi Gupta"/>
    <n v="1690"/>
  </r>
  <r>
    <s v="140960"/>
    <x v="25"/>
    <s v="Rohan Kale"/>
    <s v="17/12/2020"/>
    <s v="Delivered"/>
    <s v="21&quot; LCD Display"/>
    <s v="Monitor"/>
    <x v="6"/>
    <n v="10500"/>
    <n v="13650"/>
    <n v="1"/>
    <n v="10500"/>
    <n v="13650"/>
    <s v="Vijay Singh"/>
    <n v="9750"/>
  </r>
  <r>
    <s v="140961"/>
    <x v="25"/>
    <s v="Aniruddha Kekapure"/>
    <s v="17/12/2020"/>
    <s v="Shipped"/>
    <s v="48 TB HDD"/>
    <s v="HDD"/>
    <x v="10"/>
    <n v="6500"/>
    <n v="8450"/>
    <n v="1"/>
    <n v="6500"/>
    <n v="8450"/>
    <s v="Aadil Khan"/>
    <n v="39000"/>
  </r>
  <r>
    <s v="140962"/>
    <x v="25"/>
    <s v="Aslam Raza"/>
    <s v="17/12/2020"/>
    <s v="Order"/>
    <s v="303 GB SSD"/>
    <s v="SSD"/>
    <x v="0"/>
    <n v="4500"/>
    <n v="5850"/>
    <n v="2"/>
    <n v="9000"/>
    <n v="11700"/>
    <s v="Advika Joshi"/>
    <n v="8450"/>
  </r>
  <r>
    <s v="140963"/>
    <x v="25"/>
    <s v="Roshan Zameer"/>
    <s v="17/12/2020"/>
    <s v="Processing"/>
    <s v="Intel i3 11th gen."/>
    <s v="CPU"/>
    <x v="1"/>
    <n v="8500"/>
    <n v="11050"/>
    <n v="1"/>
    <n v="8500"/>
    <n v="11050"/>
    <s v="Ajay Sharma"/>
    <n v="33150"/>
  </r>
  <r>
    <s v="140964"/>
    <x v="25"/>
    <s v="Rakesh Kumar Sharma"/>
    <s v="17/12/2020"/>
    <s v="Delivered"/>
    <s v="4GB Graphic card"/>
    <s v="Graphic Card"/>
    <x v="2"/>
    <n v="12500"/>
    <n v="16250"/>
    <n v="1"/>
    <n v="12500"/>
    <n v="16250"/>
    <s v="Roshan Kumar"/>
    <n v="18200"/>
  </r>
  <r>
    <s v="140965"/>
    <x v="25"/>
    <s v="Shivanand Sahani"/>
    <s v="17/12/2020"/>
    <s v="Shipped"/>
    <s v="55 GB DDR4 RAM"/>
    <s v="NIC"/>
    <x v="3"/>
    <n v="3500"/>
    <n v="4550"/>
    <n v="3"/>
    <n v="10500"/>
    <n v="13650"/>
    <s v="Aarvi Gupta"/>
    <n v="9100"/>
  </r>
  <r>
    <s v="140966"/>
    <x v="25"/>
    <s v="Kunal Patra"/>
    <s v="18/12/2020"/>
    <s v="Order"/>
    <s v="BTX motherboard"/>
    <s v="Printer"/>
    <x v="4"/>
    <n v="4500"/>
    <n v="5850"/>
    <n v="3"/>
    <n v="13500"/>
    <n v="17550"/>
    <s v="Vijay Singh"/>
    <n v="11700"/>
  </r>
  <r>
    <s v="140967"/>
    <x v="25"/>
    <s v="Bijendra"/>
    <s v="19/12/2020"/>
    <s v="Processing"/>
    <s v="50 Fans Cabinet"/>
    <s v="Cabinet"/>
    <x v="5"/>
    <n v="2100"/>
    <n v="2730"/>
    <n v="3"/>
    <n v="6300"/>
    <n v="8190"/>
    <s v="Aadil Khan"/>
    <n v="2990"/>
  </r>
  <r>
    <s v="140968"/>
    <x v="25"/>
    <s v="Kranti Bheke"/>
    <s v="20/12/2020"/>
    <s v="Delivered"/>
    <s v="Wireless Keyboard"/>
    <s v="Keyboard"/>
    <x v="6"/>
    <n v="1150"/>
    <n v="1495"/>
    <n v="4"/>
    <n v="4600"/>
    <n v="5980"/>
    <s v="Advika Joshi"/>
    <n v="3315"/>
  </r>
  <r>
    <s v="140969"/>
    <x v="25"/>
    <s v="Jagdeep"/>
    <s v="21/12/2020"/>
    <s v="Shipped"/>
    <s v="USB Mouse"/>
    <s v="Mouse"/>
    <x v="0"/>
    <n v="350"/>
    <n v="455"/>
    <n v="2"/>
    <n v="700"/>
    <n v="910"/>
    <s v="Ajay Sharma"/>
    <n v="1690"/>
  </r>
  <r>
    <s v="140970"/>
    <x v="25"/>
    <s v="Adhir Samal"/>
    <s v="22/12/2020"/>
    <s v="Order"/>
    <s v="19&quot; LED Display"/>
    <s v="Monitor"/>
    <x v="6"/>
    <n v="9500"/>
    <n v="12350"/>
    <n v="4"/>
    <n v="38000"/>
    <n v="49400"/>
    <s v="Roshan Kumar"/>
    <n v="9750"/>
  </r>
  <r>
    <s v="140971"/>
    <x v="25"/>
    <s v="Dannana Jhammi"/>
    <s v="22/12/2020"/>
    <s v="Processing"/>
    <s v="49 TB HDD"/>
    <s v="HDD"/>
    <x v="10"/>
    <n v="10000"/>
    <n v="13000"/>
    <n v="2"/>
    <n v="20000"/>
    <n v="26000"/>
    <s v="Aarvi Gupta"/>
    <n v="39000"/>
  </r>
  <r>
    <s v="140972"/>
    <x v="25"/>
    <s v="Vipin Kumar"/>
    <s v="22/12/2020"/>
    <s v="Delivered"/>
    <s v="559 GB M.2"/>
    <s v="SSD"/>
    <x v="0"/>
    <n v="6500"/>
    <n v="8450"/>
    <n v="3"/>
    <n v="19500"/>
    <n v="25350"/>
    <s v="Vijay Singh"/>
    <n v="8450"/>
  </r>
  <r>
    <s v="140973"/>
    <x v="25"/>
    <s v="Ranjeet Kumar"/>
    <s v="22/12/2020"/>
    <s v="Shipped"/>
    <s v="RYZEN 3rd gen. 3547"/>
    <s v="CPU"/>
    <x v="1"/>
    <n v="8500"/>
    <n v="11050"/>
    <n v="4"/>
    <n v="34000"/>
    <n v="44200"/>
    <s v="Aadil Khan"/>
    <n v="33150"/>
  </r>
  <r>
    <s v="140974"/>
    <x v="25"/>
    <s v="Sajal Singhal"/>
    <s v="22/12/2020"/>
    <s v="Order"/>
    <s v="2GB Graphic Card"/>
    <s v="Graphic Card"/>
    <x v="2"/>
    <n v="7000"/>
    <n v="9100"/>
    <n v="4"/>
    <n v="28000"/>
    <n v="36400"/>
    <s v="Advika Joshi"/>
    <n v="18200"/>
  </r>
  <r>
    <s v="140975"/>
    <x v="25"/>
    <s v="Akhilesh Kumar"/>
    <s v="22/12/2020"/>
    <s v="Processing"/>
    <s v="63 GB DDR4 RAM"/>
    <s v="NIC"/>
    <x v="3"/>
    <n v="6550"/>
    <n v="8515"/>
    <n v="1"/>
    <n v="6550"/>
    <n v="8515"/>
    <s v="Ajay Sharma"/>
    <n v="9100"/>
  </r>
  <r>
    <s v="140976"/>
    <x v="25"/>
    <s v="Suvankar Chakraborty"/>
    <s v="22/12/2020"/>
    <s v="Delivered"/>
    <s v="Standard ATX motherboard"/>
    <s v="Printer"/>
    <x v="4"/>
    <n v="7650"/>
    <n v="9945"/>
    <n v="4"/>
    <n v="30600"/>
    <n v="39780"/>
    <s v="Roshan Kumar"/>
    <n v="11700"/>
  </r>
  <r>
    <s v="140977"/>
    <x v="25"/>
    <s v="Suvankar Adhikary"/>
    <s v="22/12/2020"/>
    <s v="Shipped"/>
    <s v="Compact with 1 Fan"/>
    <s v="Cabinet"/>
    <x v="5"/>
    <n v="1150"/>
    <n v="1495"/>
    <n v="2"/>
    <n v="2300"/>
    <n v="2990"/>
    <s v="Aarvi Gupta"/>
    <n v="2990"/>
  </r>
  <r>
    <s v="140978"/>
    <x v="25"/>
    <s v="Rahul Kumar Prajapati"/>
    <s v="22/12/2020"/>
    <s v="Order"/>
    <s v="USB Backlight Keyboard"/>
    <s v="Keyboard"/>
    <x v="6"/>
    <n v="850"/>
    <n v="1105"/>
    <n v="3"/>
    <n v="2550"/>
    <n v="3315"/>
    <s v="Vijay Singh"/>
    <n v="3315"/>
  </r>
  <r>
    <s v="140979"/>
    <x v="25"/>
    <s v="Sagar Jeur"/>
    <s v="22/12/2020"/>
    <s v="Processing"/>
    <s v="Ergonomic Mouse"/>
    <s v="Mouse"/>
    <x v="0"/>
    <n v="650"/>
    <n v="845"/>
    <n v="4"/>
    <n v="2600"/>
    <n v="3380"/>
    <s v="Aadil Khan"/>
    <n v="1690"/>
  </r>
  <r>
    <s v="140980"/>
    <x v="25"/>
    <s v="Rhushikesh Mane"/>
    <s v="22/12/2020"/>
    <s v="Delivered"/>
    <s v="15&quot; LCD Dsipaly"/>
    <s v="Monitor"/>
    <x v="6"/>
    <n v="7500"/>
    <n v="9750"/>
    <n v="2"/>
    <n v="15000"/>
    <n v="19500"/>
    <s v="Advika Joshi"/>
    <n v="9750"/>
  </r>
  <r>
    <s v="140981"/>
    <x v="25"/>
    <s v="Ashish Kumar"/>
    <s v="22/12/2020"/>
    <s v="Shipped"/>
    <s v="49 TB HDD"/>
    <s v="HDD"/>
    <x v="7"/>
    <n v="10000"/>
    <n v="13000"/>
    <n v="4"/>
    <n v="40000"/>
    <n v="52000"/>
    <s v="Ajay Sharma"/>
    <n v="39000"/>
  </r>
  <r>
    <s v="140982"/>
    <x v="25"/>
    <s v="Javed Akhter"/>
    <s v="22/12/2020"/>
    <s v="Order"/>
    <s v="48 TB SSD"/>
    <s v="SSD"/>
    <x v="0"/>
    <n v="10500"/>
    <n v="13650"/>
    <n v="1"/>
    <n v="10500"/>
    <n v="13650"/>
    <s v="Roshan Kumar"/>
    <n v="8450"/>
  </r>
  <r>
    <s v="140983"/>
    <x v="25"/>
    <s v="Haridas Balraj"/>
    <s v="22/12/2020"/>
    <s v="Processing"/>
    <s v="Intel i5 12th gen."/>
    <s v="CPU"/>
    <x v="1"/>
    <n v="8500"/>
    <n v="11050"/>
    <n v="4"/>
    <n v="34000"/>
    <n v="44200"/>
    <s v="Aarvi Gupta"/>
    <n v="33150"/>
  </r>
  <r>
    <s v="140984"/>
    <x v="25"/>
    <s v="Kundan Kumar"/>
    <s v="22/12/2020"/>
    <s v="Delivered"/>
    <s v="2GB Graphic Card"/>
    <s v="Graphic Card"/>
    <x v="2"/>
    <n v="7000"/>
    <n v="9100"/>
    <n v="4"/>
    <n v="28000"/>
    <n v="36400"/>
    <s v="Vijay Singh"/>
    <n v="18200"/>
  </r>
  <r>
    <s v="140985"/>
    <x v="25"/>
    <s v="Atif Siddiqui"/>
    <s v="22/12/2020"/>
    <s v="Shipped"/>
    <s v="51 GB DDR4 Ram"/>
    <s v="NIC"/>
    <x v="3"/>
    <n v="1680"/>
    <n v="2184"/>
    <n v="3"/>
    <n v="5040"/>
    <n v="6552"/>
    <s v="Aadil Khan"/>
    <n v="9100"/>
  </r>
  <r>
    <s v="140986"/>
    <x v="25"/>
    <s v="Aditya Agarwal"/>
    <s v="22/12/2020"/>
    <s v="Order"/>
    <s v="Micro ATX motherboard"/>
    <s v="Printer"/>
    <x v="8"/>
    <n v="6540"/>
    <n v="8502"/>
    <n v="1"/>
    <n v="6540"/>
    <n v="8502"/>
    <s v="Advika Joshi"/>
    <n v="11700"/>
  </r>
  <r>
    <s v="140987"/>
    <x v="25"/>
    <s v="Firdoush Jabee"/>
    <s v="22/12/2020"/>
    <s v="Processing"/>
    <s v="Gaming Box Cabinet"/>
    <s v="Cabinet"/>
    <x v="5"/>
    <n v="2680"/>
    <n v="3484"/>
    <n v="3"/>
    <n v="8040"/>
    <n v="10452"/>
    <s v="Ajay Sharma"/>
    <n v="2990"/>
  </r>
  <r>
    <s v="140988"/>
    <x v="25"/>
    <s v="Jay Prakash Kumar"/>
    <s v="22/12/2020"/>
    <s v="Delivered"/>
    <s v="17&quot; LCD Display"/>
    <s v="Monitor"/>
    <x v="0"/>
    <n v="8250"/>
    <n v="10725"/>
    <n v="3"/>
    <n v="24750"/>
    <n v="32175"/>
    <s v="Roshan Kumar"/>
    <n v="9750"/>
  </r>
  <r>
    <s v="140989"/>
    <x v="25"/>
    <s v="Ashish Pandey"/>
    <s v="22/12/2020"/>
    <s v="Shipped"/>
    <s v="55 GB DDR4 RAM"/>
    <s v="RAM"/>
    <x v="0"/>
    <n v="2650"/>
    <n v="3445"/>
    <n v="3"/>
    <n v="7950"/>
    <n v="10335"/>
    <s v="Aarvi Gupta"/>
    <n v="25545"/>
  </r>
  <r>
    <s v="140990"/>
    <x v="25"/>
    <s v="Ajay Sharma"/>
    <s v="23/12/2020"/>
    <s v="Order"/>
    <s v="26&quot; LCD Display"/>
    <s v="Monitor"/>
    <x v="9"/>
    <n v="12550"/>
    <n v="16315"/>
    <n v="3"/>
    <n v="37650"/>
    <n v="48945"/>
    <s v="Vijay Singh"/>
    <n v="9750"/>
  </r>
  <r>
    <s v="140991"/>
    <x v="25"/>
    <s v="Moinuddin Saifi"/>
    <s v="24/12/2020"/>
    <s v="Processing"/>
    <s v="I7 - intel 12th Generation"/>
    <s v="CPU"/>
    <x v="1"/>
    <n v="14500"/>
    <n v="18850"/>
    <n v="3"/>
    <n v="43500"/>
    <n v="56550"/>
    <s v="Aadil Khan"/>
    <n v="33150"/>
  </r>
  <r>
    <s v="140992"/>
    <x v="25"/>
    <s v="Ramkrishna Das Adhikary"/>
    <s v="25/12/2020"/>
    <s v="Delivered"/>
    <s v="USB Keyboard"/>
    <s v="Keyboard"/>
    <x v="6"/>
    <n v="800"/>
    <n v="1040"/>
    <n v="3"/>
    <n v="2400"/>
    <n v="3120"/>
    <s v="Advika Joshi"/>
    <n v="3315"/>
  </r>
  <r>
    <s v="140993"/>
    <x v="25"/>
    <s v="Ranjeet Mandal"/>
    <s v="26/12/2020"/>
    <s v="Shipped"/>
    <s v="Wireless Mouse"/>
    <s v="Mouse"/>
    <x v="0"/>
    <n v="600"/>
    <n v="780"/>
    <n v="1"/>
    <n v="600"/>
    <n v="780"/>
    <s v="Ajay Sharma"/>
    <n v="1690"/>
  </r>
  <r>
    <s v="140994"/>
    <x v="25"/>
    <s v="Ashwini Adsare"/>
    <s v="27/12/2020"/>
    <s v="Order"/>
    <s v="21&quot; LCD Display"/>
    <s v="Monitor"/>
    <x v="6"/>
    <n v="10500"/>
    <n v="13650"/>
    <n v="4"/>
    <n v="42000"/>
    <n v="54600"/>
    <s v="Roshan Kumar"/>
    <n v="9750"/>
  </r>
  <r>
    <s v="140995"/>
    <x v="25"/>
    <s v="Rajesh Variya"/>
    <s v="27/12/2020"/>
    <s v="Processing"/>
    <s v="49 TB HDD"/>
    <s v="HDD"/>
    <x v="10"/>
    <n v="6500"/>
    <n v="8450"/>
    <n v="3"/>
    <n v="19500"/>
    <n v="25350"/>
    <s v="Aarvi Gupta"/>
    <n v="39000"/>
  </r>
  <r>
    <s v="140996"/>
    <x v="25"/>
    <s v="Amit Singh"/>
    <s v="27/12/2020"/>
    <s v="Delivered"/>
    <s v="304 GB SSD"/>
    <s v="SSD"/>
    <x v="0"/>
    <n v="4500"/>
    <n v="5850"/>
    <n v="3"/>
    <n v="13500"/>
    <n v="17550"/>
    <s v="Vijay Singh"/>
    <n v="8450"/>
  </r>
  <r>
    <s v="140997"/>
    <x v="25"/>
    <s v="Vinod Mehta"/>
    <s v="27/12/2020"/>
    <s v="Shipped"/>
    <s v="Intel i3 11th gen."/>
    <s v="CPU"/>
    <x v="1"/>
    <n v="8500"/>
    <n v="11050"/>
    <n v="3"/>
    <n v="25500"/>
    <n v="33150"/>
    <s v="Aadil Khan"/>
    <n v="33150"/>
  </r>
  <r>
    <s v="140998"/>
    <x v="25"/>
    <s v="Jignesh Mhatre"/>
    <s v="27/12/2020"/>
    <s v="Order"/>
    <s v="4GB Graphic card"/>
    <s v="Graphic Card"/>
    <x v="2"/>
    <n v="12500"/>
    <n v="16250"/>
    <n v="1"/>
    <n v="12500"/>
    <n v="16250"/>
    <s v="Advika Joshi"/>
    <n v="18200"/>
  </r>
  <r>
    <s v="140999"/>
    <x v="25"/>
    <s v="Rahul Kashyap"/>
    <s v="27/12/2020"/>
    <s v="Processing"/>
    <s v="56 GB DDR4 RAM"/>
    <s v="RAM"/>
    <x v="3"/>
    <n v="3500"/>
    <n v="4550"/>
    <n v="4"/>
    <n v="14000"/>
    <n v="18200"/>
    <s v="Ajay Sharma"/>
    <n v="25545"/>
  </r>
  <r>
    <s v="141000"/>
    <x v="25"/>
    <s v="Mohammed Abdul Kaleem"/>
    <s v="27/12/2020"/>
    <s v="Delivered"/>
    <s v="BTX motherboard"/>
    <s v="MotherBoard"/>
    <x v="4"/>
    <n v="4500"/>
    <n v="5850"/>
    <n v="2"/>
    <n v="9000"/>
    <n v="11700"/>
    <s v="Roshan Kumar"/>
    <n v="39780"/>
  </r>
  <r>
    <s v="141001"/>
    <x v="25"/>
    <s v="Chandrakant Kasbe"/>
    <s v="27/12/2020"/>
    <s v="Shipped"/>
    <s v="51 Fans Cabinet"/>
    <s v="Cabinet"/>
    <x v="5"/>
    <n v="2100"/>
    <n v="2730"/>
    <n v="2"/>
    <n v="4200"/>
    <n v="5460"/>
    <s v="Aarvi Gupta"/>
    <n v="2990"/>
  </r>
  <r>
    <s v="141002"/>
    <x v="25"/>
    <s v="Rohan Kale"/>
    <s v="27/12/2020"/>
    <s v="Order"/>
    <s v="Wireless Keyboard"/>
    <s v="Keyboard"/>
    <x v="6"/>
    <n v="1150"/>
    <n v="1495"/>
    <n v="3"/>
    <n v="3450"/>
    <n v="4485"/>
    <s v="Vijay Singh"/>
    <n v="3315"/>
  </r>
  <r>
    <s v="141003"/>
    <x v="25"/>
    <s v="Aniruddha Kekapure"/>
    <s v="27/12/2020"/>
    <s v="Processing"/>
    <s v="USB Mouse"/>
    <s v="Mouse"/>
    <x v="0"/>
    <n v="350"/>
    <n v="455"/>
    <n v="1"/>
    <n v="350"/>
    <n v="455"/>
    <s v="Aadil Khan"/>
    <n v="1690"/>
  </r>
  <r>
    <s v="141004"/>
    <x v="25"/>
    <s v="Aslam Raza"/>
    <s v="27/12/2020"/>
    <s v="Delivered"/>
    <s v="19&quot; LED Display"/>
    <s v="Monitor"/>
    <x v="6"/>
    <n v="9500"/>
    <n v="12350"/>
    <n v="4"/>
    <n v="38000"/>
    <n v="49400"/>
    <s v="Advika Joshi"/>
    <n v="9750"/>
  </r>
  <r>
    <s v="141005"/>
    <x v="25"/>
    <s v="Roshan Zameer"/>
    <s v="27/12/2020"/>
    <s v="Shipped"/>
    <s v="50 TB HDD"/>
    <s v="HDD"/>
    <x v="10"/>
    <n v="10000"/>
    <n v="13000"/>
    <n v="3"/>
    <n v="30000"/>
    <n v="39000"/>
    <s v="Ajay Sharma"/>
    <n v="39000"/>
  </r>
  <r>
    <s v="141006"/>
    <x v="25"/>
    <s v="Rakesh Kumar Sharma"/>
    <s v="27/12/2020"/>
    <s v="Order"/>
    <s v="560 GB M.2"/>
    <s v="SSD"/>
    <x v="0"/>
    <n v="6500"/>
    <n v="8450"/>
    <n v="4"/>
    <n v="26000"/>
    <n v="33800"/>
    <s v="Roshan Kumar"/>
    <n v="8450"/>
  </r>
  <r>
    <s v="141007"/>
    <x v="25"/>
    <s v="Shivanand Sahani"/>
    <s v="27/12/2020"/>
    <s v="Processing"/>
    <s v="RYZEN 3rd gen. 3548"/>
    <s v="CPU"/>
    <x v="1"/>
    <n v="8500"/>
    <n v="11050"/>
    <n v="3"/>
    <n v="25500"/>
    <n v="33150"/>
    <s v="Aarvi Gupta"/>
    <n v="33150"/>
  </r>
  <r>
    <s v="141008"/>
    <x v="25"/>
    <s v="Kunal Patra"/>
    <s v="27/12/2020"/>
    <s v="Delivered"/>
    <s v="2GB Graphic Card"/>
    <s v="Graphic Card"/>
    <x v="2"/>
    <n v="7000"/>
    <n v="9100"/>
    <n v="1"/>
    <n v="7000"/>
    <n v="9100"/>
    <s v="Vijay Singh"/>
    <n v="18200"/>
  </r>
  <r>
    <s v="141009"/>
    <x v="25"/>
    <s v="Bijendra"/>
    <s v="27/12/2020"/>
    <s v="Shipped"/>
    <s v="64 GB DDR4 RAM"/>
    <s v="RAM"/>
    <x v="3"/>
    <n v="6550"/>
    <n v="8515"/>
    <n v="2"/>
    <n v="13100"/>
    <n v="17030"/>
    <s v="Aadil Khan"/>
    <n v="25545"/>
  </r>
  <r>
    <s v="141010"/>
    <x v="25"/>
    <s v="Kranti Bheke"/>
    <s v="27/12/2020"/>
    <s v="Order"/>
    <s v="Standard ATX motherboard"/>
    <s v="MotherBoard"/>
    <x v="4"/>
    <n v="7650"/>
    <n v="9945"/>
    <n v="4"/>
    <n v="30600"/>
    <n v="39780"/>
    <s v="Advika Joshi"/>
    <n v="39780"/>
  </r>
  <r>
    <s v="141011"/>
    <x v="25"/>
    <s v="Jagdeep"/>
    <s v="27/12/2020"/>
    <s v="Processing"/>
    <s v="Compact with 1 Fan"/>
    <s v="Cabinet"/>
    <x v="5"/>
    <n v="1150"/>
    <n v="1495"/>
    <n v="1"/>
    <n v="1150"/>
    <n v="1495"/>
    <s v="Ajay Sharma"/>
    <n v="2990"/>
  </r>
  <r>
    <s v="141012"/>
    <x v="25"/>
    <s v="Adhir Samal"/>
    <s v="27/12/2020"/>
    <s v="Delivered"/>
    <s v="USB Backlight Keyboard"/>
    <s v="Keyboard"/>
    <x v="6"/>
    <n v="850"/>
    <n v="1105"/>
    <n v="1"/>
    <n v="850"/>
    <n v="1105"/>
    <s v="Roshan Kumar"/>
    <n v="3315"/>
  </r>
  <r>
    <s v="141013"/>
    <x v="25"/>
    <s v="Dannana Jhammi"/>
    <s v="27/12/2020"/>
    <s v="Shipped"/>
    <s v="Ergonomic Mouse"/>
    <s v="Mouse"/>
    <x v="0"/>
    <n v="650"/>
    <n v="845"/>
    <n v="1"/>
    <n v="650"/>
    <n v="845"/>
    <s v="Aarvi Gupta"/>
    <n v="1690"/>
  </r>
  <r>
    <s v="141014"/>
    <x v="25"/>
    <s v="Vipin Kumar"/>
    <s v="27/12/2020"/>
    <s v="Order"/>
    <s v="15&quot; LCD Dsipaly"/>
    <s v="Monitor"/>
    <x v="6"/>
    <n v="7500"/>
    <n v="9750"/>
    <n v="4"/>
    <n v="30000"/>
    <n v="39000"/>
    <s v="Vijay Singh"/>
    <n v="9750"/>
  </r>
  <r>
    <s v="141015"/>
    <x v="25"/>
    <s v="Ranjeet Kumar"/>
    <s v="27/12/2020"/>
    <s v="Processing"/>
    <s v="50 TB HDD"/>
    <s v="HDD"/>
    <x v="7"/>
    <n v="10000"/>
    <n v="13000"/>
    <n v="1"/>
    <n v="10000"/>
    <n v="13000"/>
    <s v="Aadil Khan"/>
    <n v="39000"/>
  </r>
  <r>
    <s v="141016"/>
    <x v="25"/>
    <s v="Sajal Singhal"/>
    <s v="28/12/2020"/>
    <s v="Delivered"/>
    <s v="49 TB SSD"/>
    <s v="SSD"/>
    <x v="0"/>
    <n v="10500"/>
    <n v="13650"/>
    <n v="3"/>
    <n v="31500"/>
    <n v="40950"/>
    <s v="Advika Joshi"/>
    <n v="8450"/>
  </r>
  <r>
    <s v="141017"/>
    <x v="25"/>
    <s v="Akhilesh Kumar"/>
    <s v="29/12/2020"/>
    <s v="Shipped"/>
    <s v="Intel i5 12th gen."/>
    <s v="CPU"/>
    <x v="1"/>
    <n v="8500"/>
    <n v="11050"/>
    <n v="4"/>
    <n v="34000"/>
    <n v="44200"/>
    <s v="Ajay Sharma"/>
    <n v="33150"/>
  </r>
  <r>
    <s v="141018"/>
    <x v="25"/>
    <s v="Suvankar Chakraborty"/>
    <s v="30/12/2020"/>
    <s v="Order"/>
    <s v="2GB Graphic Card"/>
    <s v="Graphic Card"/>
    <x v="2"/>
    <n v="7000"/>
    <n v="9100"/>
    <n v="4"/>
    <n v="28000"/>
    <n v="36400"/>
    <s v="Roshan Kumar"/>
    <n v="18200"/>
  </r>
  <r>
    <s v="141019"/>
    <x v="25"/>
    <s v="Suvankar Adhikary"/>
    <s v="31/12/2020"/>
    <s v="Processing"/>
    <s v="52 GB DDR4 Ram"/>
    <s v="RAM"/>
    <x v="3"/>
    <n v="1680"/>
    <n v="2184"/>
    <n v="1"/>
    <n v="1680"/>
    <n v="2184"/>
    <s v="Aarvi Gupta"/>
    <n v="25545"/>
  </r>
  <r>
    <s v="141020"/>
    <x v="25"/>
    <s v="Rahul Kumar Prajapati"/>
    <s v="01/01/2021"/>
    <s v="Delivered"/>
    <s v="Micro ATX motherboard"/>
    <s v="MotherBoard"/>
    <x v="8"/>
    <n v="6540"/>
    <n v="8502"/>
    <n v="2"/>
    <n v="13080"/>
    <n v="17004"/>
    <s v="Vijay Singh"/>
    <n v="39780"/>
  </r>
  <r>
    <s v="141021"/>
    <x v="25"/>
    <s v="Sagar Jeur"/>
    <s v="01/01/2021"/>
    <s v="Shipped"/>
    <s v="Gaming Box Cabinet"/>
    <s v="Cabinet"/>
    <x v="5"/>
    <n v="2680"/>
    <n v="3484"/>
    <n v="3"/>
    <n v="8040"/>
    <n v="10452"/>
    <s v="Aadil Khan"/>
    <n v="2990"/>
  </r>
  <r>
    <s v="141022"/>
    <x v="25"/>
    <s v="Rhushikesh Mane"/>
    <s v="01/01/2021"/>
    <s v="Order"/>
    <s v="17&quot; LCD Display"/>
    <s v="Monitor"/>
    <x v="0"/>
    <n v="8250"/>
    <n v="10725"/>
    <n v="4"/>
    <n v="33000"/>
    <n v="42900"/>
    <s v="Advika Joshi"/>
    <n v="9750"/>
  </r>
  <r>
    <s v="141023"/>
    <x v="25"/>
    <s v="Ashish Kumar"/>
    <s v="01/01/2021"/>
    <s v="Processing"/>
    <s v="56 GB DDR4 RAM"/>
    <s v="RAM"/>
    <x v="0"/>
    <n v="2650"/>
    <n v="3445"/>
    <n v="3"/>
    <n v="7950"/>
    <n v="10335"/>
    <s v="Ajay Sharma"/>
    <n v="25545"/>
  </r>
  <r>
    <s v="141024"/>
    <x v="25"/>
    <s v="Javed Akhter"/>
    <s v="01/01/2021"/>
    <s v="Delivered"/>
    <s v="26&quot; LCD Display"/>
    <s v="Monitor"/>
    <x v="9"/>
    <n v="12550"/>
    <n v="16315"/>
    <n v="3"/>
    <n v="37650"/>
    <n v="48945"/>
    <s v="Roshan Kumar"/>
    <n v="9750"/>
  </r>
  <r>
    <s v="141025"/>
    <x v="25"/>
    <s v="Haridas Balraj"/>
    <s v="01/01/2021"/>
    <s v="Shipped"/>
    <s v="I7 - intel 12th Generation"/>
    <s v="CPU"/>
    <x v="1"/>
    <n v="14500"/>
    <n v="18850"/>
    <n v="1"/>
    <n v="14500"/>
    <n v="18850"/>
    <s v="Aarvi Gupta"/>
    <n v="33150"/>
  </r>
  <r>
    <s v="141026"/>
    <x v="25"/>
    <s v="Kundan Kumar"/>
    <s v="01/01/2021"/>
    <s v="Order"/>
    <s v="USB Keyboard"/>
    <s v="Keyboard"/>
    <x v="6"/>
    <n v="800"/>
    <n v="1040"/>
    <n v="2"/>
    <n v="1600"/>
    <n v="2080"/>
    <s v="Vijay Singh"/>
    <n v="3315"/>
  </r>
  <r>
    <s v="141027"/>
    <x v="25"/>
    <s v="Atif Siddiqui"/>
    <s v="01/01/2021"/>
    <s v="Processing"/>
    <s v="Wireless Mouse"/>
    <s v="Mouse"/>
    <x v="0"/>
    <n v="600"/>
    <n v="780"/>
    <n v="4"/>
    <n v="2400"/>
    <n v="3120"/>
    <s v="Aadil Khan"/>
    <n v="1690"/>
  </r>
  <r>
    <s v="141028"/>
    <x v="25"/>
    <s v="Aditya Agarwal"/>
    <s v="01/01/2021"/>
    <s v="Delivered"/>
    <s v="21&quot; LCD Display"/>
    <s v="Monitor"/>
    <x v="6"/>
    <n v="10500"/>
    <n v="13650"/>
    <n v="3"/>
    <n v="31500"/>
    <n v="40950"/>
    <s v="Advika Joshi"/>
    <n v="9750"/>
  </r>
  <r>
    <s v="141029"/>
    <x v="25"/>
    <s v="Firdoush Jabee"/>
    <s v="01/01/2021"/>
    <s v="Shipped"/>
    <s v="50 TB HDD"/>
    <s v="HDD"/>
    <x v="10"/>
    <n v="6500"/>
    <n v="8450"/>
    <n v="1"/>
    <n v="6500"/>
    <n v="8450"/>
    <s v="Ajay Sharma"/>
    <n v="39000"/>
  </r>
  <r>
    <s v="141030"/>
    <x v="25"/>
    <s v="Jay Prakash Kumar"/>
    <s v="01/01/2021"/>
    <s v="Order"/>
    <s v="305 GB SSD"/>
    <s v="SSD"/>
    <x v="0"/>
    <n v="4500"/>
    <n v="5850"/>
    <n v="4"/>
    <n v="18000"/>
    <n v="23400"/>
    <s v="Roshan Kumar"/>
    <n v="8450"/>
  </r>
  <r>
    <s v="141031"/>
    <x v="25"/>
    <s v="Ashish Pandey"/>
    <s v="01/01/2021"/>
    <s v="Processing"/>
    <s v="Intel i3 11th gen."/>
    <s v="CPU"/>
    <x v="1"/>
    <n v="8500"/>
    <n v="11050"/>
    <n v="4"/>
    <n v="34000"/>
    <n v="44200"/>
    <s v="Aarvi Gupta"/>
    <n v="33150"/>
  </r>
  <r>
    <s v="141032"/>
    <x v="25"/>
    <s v="Ajay Sharma"/>
    <s v="01/01/2021"/>
    <s v="Delivered"/>
    <s v="4GB Graphic card"/>
    <s v="Graphic Card"/>
    <x v="2"/>
    <n v="12500"/>
    <n v="16250"/>
    <n v="4"/>
    <n v="50000"/>
    <n v="65000"/>
    <s v="Vijay Singh"/>
    <n v="18200"/>
  </r>
  <r>
    <s v="141033"/>
    <x v="25"/>
    <s v="Moinuddin Saifi"/>
    <s v="01/01/2021"/>
    <s v="Shipped"/>
    <s v="57 GB DDR4 RAM"/>
    <s v="Computer Case"/>
    <x v="3"/>
    <n v="3500"/>
    <n v="4550"/>
    <n v="4"/>
    <n v="14000"/>
    <n v="18200"/>
    <s v="Aadil Khan"/>
    <n v="13650"/>
  </r>
  <r>
    <s v="141034"/>
    <x v="30"/>
    <s v="Ramkrishna Das Adhikary"/>
    <s v="01/01/2021"/>
    <s v="Order"/>
    <s v="BTX motherboard"/>
    <s v="Mouse"/>
    <x v="4"/>
    <n v="4500"/>
    <n v="5850"/>
    <n v="4"/>
    <n v="18000"/>
    <n v="23400"/>
    <s v="Advika Joshi"/>
    <n v="1690"/>
  </r>
  <r>
    <s v="141035"/>
    <x v="31"/>
    <s v="Ranjeet Mandal"/>
    <s v="01/01/2021"/>
    <s v="Processing"/>
    <s v="52 Fans Cabinet"/>
    <s v="Cabinet"/>
    <x v="5"/>
    <n v="2100"/>
    <n v="2730"/>
    <n v="4"/>
    <n v="8400"/>
    <n v="10920"/>
    <s v="Ajay Sharma"/>
    <n v="2990"/>
  </r>
  <r>
    <s v="141036"/>
    <x v="32"/>
    <s v="Ashwini Adsare"/>
    <s v="01/01/2021"/>
    <s v="Delivered"/>
    <s v="Wireless Keyboard"/>
    <s v="Keyboard"/>
    <x v="6"/>
    <n v="1150"/>
    <n v="1495"/>
    <n v="2"/>
    <n v="2300"/>
    <n v="2990"/>
    <s v="Roshan Kumar"/>
    <n v="3315"/>
  </r>
  <r>
    <s v="141037"/>
    <x v="0"/>
    <s v="Rajesh Variya"/>
    <s v="01/01/2021"/>
    <s v="Shipped"/>
    <s v="USB Mouse"/>
    <s v="Mouse"/>
    <x v="0"/>
    <n v="350"/>
    <n v="455"/>
    <n v="1"/>
    <n v="350"/>
    <n v="455"/>
    <s v="Aarvi Gupta"/>
    <n v="1690"/>
  </r>
  <r>
    <s v="141038"/>
    <x v="23"/>
    <s v="Amit Singh"/>
    <s v="02/01/2021"/>
    <s v="Order"/>
    <s v="19&quot; LED Display"/>
    <s v="Monitor"/>
    <x v="6"/>
    <n v="9500"/>
    <n v="12350"/>
    <n v="1"/>
    <n v="9500"/>
    <n v="12350"/>
    <s v="Vijay Singh"/>
    <n v="9750"/>
  </r>
  <r>
    <s v="141039"/>
    <x v="1"/>
    <s v="Vinod Mehta"/>
    <s v="03/01/2021"/>
    <s v="Processing"/>
    <s v="51 TB HDD"/>
    <s v="HDD"/>
    <x v="10"/>
    <n v="10000"/>
    <n v="13000"/>
    <n v="4"/>
    <n v="40000"/>
    <n v="52000"/>
    <s v="Aadil Khan"/>
    <n v="39000"/>
  </r>
  <r>
    <s v="141040"/>
    <x v="2"/>
    <s v="Jignesh Mhatre"/>
    <s v="04/01/2021"/>
    <s v="Delivered"/>
    <s v="561 GB M.2"/>
    <s v="SSD"/>
    <x v="0"/>
    <n v="6500"/>
    <n v="8450"/>
    <n v="2"/>
    <n v="13000"/>
    <n v="16900"/>
    <s v="Advika Joshi"/>
    <n v="8450"/>
  </r>
  <r>
    <s v="141041"/>
    <x v="3"/>
    <s v="Rahul Kashyap"/>
    <s v="05/01/2021"/>
    <s v="Shipped"/>
    <s v="RYZEN 3rd gen. 3549"/>
    <s v="CPU"/>
    <x v="1"/>
    <n v="8500"/>
    <n v="11050"/>
    <n v="4"/>
    <n v="34000"/>
    <n v="44200"/>
    <s v="Ajay Sharma"/>
    <n v="33150"/>
  </r>
  <r>
    <s v="141042"/>
    <x v="24"/>
    <s v="Mohammed Abdul Kaleem"/>
    <s v="06/01/2021"/>
    <s v="Order"/>
    <s v="2GB Graphic Card"/>
    <s v="Graphic Card"/>
    <x v="2"/>
    <n v="7000"/>
    <n v="9100"/>
    <n v="4"/>
    <n v="28000"/>
    <n v="36400"/>
    <s v="Roshan Kumar"/>
    <n v="18200"/>
  </r>
  <r>
    <s v="141043"/>
    <x v="25"/>
    <s v="Chandrakant Kasbe"/>
    <s v="07/01/2021"/>
    <s v="Processing"/>
    <s v="65 GB DDR4 RAM"/>
    <s v="Computer Case"/>
    <x v="3"/>
    <n v="6550"/>
    <n v="8515"/>
    <n v="3"/>
    <n v="19650"/>
    <n v="25545"/>
    <s v="Aarvi Gupta"/>
    <n v="13650"/>
  </r>
  <r>
    <s v="141044"/>
    <x v="33"/>
    <s v="Rohan Kale"/>
    <s v="08/01/2021"/>
    <s v="Delivered"/>
    <s v="Standard ATX motherboard"/>
    <s v="Mouse"/>
    <x v="4"/>
    <n v="7650"/>
    <n v="9945"/>
    <n v="4"/>
    <n v="30600"/>
    <n v="39780"/>
    <s v="Vijay Singh"/>
    <n v="1690"/>
  </r>
  <r>
    <s v="141045"/>
    <x v="34"/>
    <s v="Aniruddha Kekapure"/>
    <s v="09/01/2021"/>
    <s v="Shipped"/>
    <s v="Compact with 1 Fan"/>
    <s v="Cabinet"/>
    <x v="5"/>
    <n v="1150"/>
    <n v="1495"/>
    <n v="4"/>
    <n v="4600"/>
    <n v="5980"/>
    <s v="Aadil Khan"/>
    <n v="2990"/>
  </r>
  <r>
    <s v="141046"/>
    <x v="4"/>
    <s v="Aslam Raza"/>
    <s v="10/01/2021"/>
    <s v="Order"/>
    <s v="USB Backlight Keyboard"/>
    <s v="Keyboard"/>
    <x v="6"/>
    <n v="850"/>
    <n v="1105"/>
    <n v="1"/>
    <n v="850"/>
    <n v="1105"/>
    <s v="Advika Joshi"/>
    <n v="3315"/>
  </r>
  <r>
    <s v="141047"/>
    <x v="5"/>
    <s v="Roshan Zameer"/>
    <s v="11/01/2021"/>
    <s v="Processing"/>
    <s v="Ergonomic Mouse"/>
    <s v="Mouse"/>
    <x v="0"/>
    <n v="650"/>
    <n v="845"/>
    <n v="4"/>
    <n v="2600"/>
    <n v="3380"/>
    <s v="Ajay Sharma"/>
    <n v="1690"/>
  </r>
  <r>
    <s v="141048"/>
    <x v="6"/>
    <s v="Rakesh Kumar Sharma"/>
    <s v="12/01/2021"/>
    <s v="Delivered"/>
    <s v="15&quot; LCD Dsipaly"/>
    <s v="Monitor"/>
    <x v="6"/>
    <n v="7500"/>
    <n v="9750"/>
    <n v="1"/>
    <n v="7500"/>
    <n v="9750"/>
    <s v="Roshan Kumar"/>
    <n v="9750"/>
  </r>
  <r>
    <s v="141049"/>
    <x v="7"/>
    <s v="Shivanand Sahani"/>
    <s v="12/01/2021"/>
    <s v="Shipped"/>
    <s v="51 TB HDD"/>
    <s v="HDD"/>
    <x v="7"/>
    <n v="10000"/>
    <n v="13000"/>
    <n v="2"/>
    <n v="20000"/>
    <n v="26000"/>
    <s v="Aarvi Gupta"/>
    <n v="39000"/>
  </r>
  <r>
    <s v="141050"/>
    <x v="26"/>
    <s v="Kunal Patra"/>
    <s v="12/01/2021"/>
    <s v="Order"/>
    <s v="50 TB SSD"/>
    <s v="SSD"/>
    <x v="0"/>
    <n v="10500"/>
    <n v="13650"/>
    <n v="1"/>
    <n v="10500"/>
    <n v="13650"/>
    <s v="Vijay Singh"/>
    <n v="8450"/>
  </r>
  <r>
    <s v="141051"/>
    <x v="27"/>
    <s v="Bijendra"/>
    <s v="12/01/2021"/>
    <s v="Processing"/>
    <s v="Intel i5 12th gen."/>
    <s v="CPU"/>
    <x v="1"/>
    <n v="8500"/>
    <n v="11050"/>
    <n v="1"/>
    <n v="8500"/>
    <n v="11050"/>
    <s v="Aadil Khan"/>
    <n v="33150"/>
  </r>
  <r>
    <s v="141052"/>
    <x v="8"/>
    <s v="Kranti Bheke"/>
    <s v="13/01/2021"/>
    <s v="Delivered"/>
    <s v="2GB Graphic Card"/>
    <s v="Graphic Card"/>
    <x v="2"/>
    <n v="7000"/>
    <n v="9100"/>
    <n v="4"/>
    <n v="28000"/>
    <n v="36400"/>
    <s v="Advika Joshi"/>
    <n v="18200"/>
  </r>
  <r>
    <s v="141053"/>
    <x v="9"/>
    <s v="Jagdeep"/>
    <s v="14/01/2021"/>
    <s v="Shipped"/>
    <s v="53 GB DDR4 Ram"/>
    <s v="Computer Case"/>
    <x v="3"/>
    <n v="1680"/>
    <n v="2184"/>
    <n v="4"/>
    <n v="6720"/>
    <n v="8736"/>
    <s v="Ajay Sharma"/>
    <n v="13650"/>
  </r>
  <r>
    <s v="141054"/>
    <x v="10"/>
    <s v="Adhir Samal"/>
    <s v="15/01/2021"/>
    <s v="Order"/>
    <s v="Micro ATX motherboard"/>
    <s v="Mouse"/>
    <x v="8"/>
    <n v="6540"/>
    <n v="8502"/>
    <n v="3"/>
    <n v="19620"/>
    <n v="25506"/>
    <s v="Roshan Kumar"/>
    <n v="1690"/>
  </r>
  <r>
    <s v="141055"/>
    <x v="11"/>
    <s v="Dannana Jhammi"/>
    <s v="16/01/2021"/>
    <s v="Processing"/>
    <s v="Gaming Box Cabinet"/>
    <s v="Cabinet"/>
    <x v="5"/>
    <n v="2680"/>
    <n v="3484"/>
    <n v="2"/>
    <n v="5360"/>
    <n v="6968"/>
    <s v="Aarvi Gupta"/>
    <n v="2990"/>
  </r>
  <r>
    <s v="141056"/>
    <x v="12"/>
    <s v="Vipin Kumar"/>
    <s v="17/01/2021"/>
    <s v="Delivered"/>
    <s v="17&quot; LCD Display"/>
    <s v="Monitor"/>
    <x v="0"/>
    <n v="8250"/>
    <n v="10725"/>
    <n v="2"/>
    <n v="16500"/>
    <n v="21450"/>
    <s v="Vijay Singh"/>
    <n v="9750"/>
  </r>
  <r>
    <s v="141057"/>
    <x v="13"/>
    <s v="Ranjeet Kumar"/>
    <s v="18/01/2021"/>
    <s v="Shipped"/>
    <s v="57 GB DDR4 RAM"/>
    <s v="RAM"/>
    <x v="0"/>
    <n v="2650"/>
    <n v="3445"/>
    <n v="4"/>
    <n v="10600"/>
    <n v="13780"/>
    <s v="Aadil Khan"/>
    <n v="25545"/>
  </r>
  <r>
    <s v="141058"/>
    <x v="14"/>
    <s v="Sajal Singhal"/>
    <s v="19/01/2021"/>
    <s v="Order"/>
    <s v="26&quot; LCD Display"/>
    <s v="Monitor"/>
    <x v="9"/>
    <n v="12550"/>
    <n v="16315"/>
    <n v="4"/>
    <n v="50200"/>
    <n v="65260"/>
    <s v="Advika Joshi"/>
    <n v="9750"/>
  </r>
  <r>
    <s v="141059"/>
    <x v="15"/>
    <s v="Akhilesh Kumar"/>
    <s v="20/01/2021"/>
    <s v="Processing"/>
    <s v="I7 - intel 12th Generation"/>
    <s v="CPU"/>
    <x v="1"/>
    <n v="14500"/>
    <n v="18850"/>
    <n v="2"/>
    <n v="29000"/>
    <n v="37700"/>
    <s v="Ajay Sharma"/>
    <n v="33150"/>
  </r>
  <r>
    <s v="141060"/>
    <x v="16"/>
    <s v="Suvankar Chakraborty"/>
    <s v="21/01/2021"/>
    <s v="Delivered"/>
    <s v="USB Keyboard"/>
    <s v="Keyboard"/>
    <x v="6"/>
    <n v="800"/>
    <n v="1040"/>
    <n v="4"/>
    <n v="3200"/>
    <n v="4160"/>
    <s v="Roshan Kumar"/>
    <n v="3315"/>
  </r>
  <r>
    <s v="141061"/>
    <x v="17"/>
    <s v="Suvankar Adhikary"/>
    <s v="22/01/2021"/>
    <s v="Shipped"/>
    <s v="Wireless Mouse"/>
    <s v="Mouse"/>
    <x v="0"/>
    <n v="600"/>
    <n v="780"/>
    <n v="2"/>
    <n v="1200"/>
    <n v="1560"/>
    <s v="Aarvi Gupta"/>
    <n v="1690"/>
  </r>
  <r>
    <s v="141062"/>
    <x v="18"/>
    <s v="Rahul Kumar Prajapati"/>
    <s v="23/01/2021"/>
    <s v="Order"/>
    <s v="21&quot; LCD Display"/>
    <s v="Monitor"/>
    <x v="6"/>
    <n v="10500"/>
    <n v="13650"/>
    <n v="4"/>
    <n v="42000"/>
    <n v="54600"/>
    <s v="Vijay Singh"/>
    <n v="9750"/>
  </r>
  <r>
    <s v="141063"/>
    <x v="19"/>
    <s v="Sagar Jeur"/>
    <s v="24/01/2021"/>
    <s v="Processing"/>
    <s v="51 TB HDD"/>
    <s v="HDD"/>
    <x v="10"/>
    <n v="6500"/>
    <n v="8450"/>
    <n v="1"/>
    <n v="6500"/>
    <n v="8450"/>
    <s v="Aadil Khan"/>
    <n v="39000"/>
  </r>
  <r>
    <s v="141064"/>
    <x v="20"/>
    <s v="Rhushikesh Mane"/>
    <s v="25/01/2021"/>
    <s v="Delivered"/>
    <s v="306 GB SSD"/>
    <s v="SSD"/>
    <x v="0"/>
    <n v="4500"/>
    <n v="5850"/>
    <n v="4"/>
    <n v="18000"/>
    <n v="23400"/>
    <s v="Advika Joshi"/>
    <n v="8450"/>
  </r>
  <r>
    <s v="141065"/>
    <x v="16"/>
    <s v="Ashish Kumar"/>
    <s v="26/01/2021"/>
    <s v="Shipped"/>
    <s v="Intel i3 11th gen."/>
    <s v="CPU"/>
    <x v="1"/>
    <n v="8500"/>
    <n v="11050"/>
    <n v="2"/>
    <n v="17000"/>
    <n v="22100"/>
    <s v="Ajay Sharma"/>
    <n v="33150"/>
  </r>
  <r>
    <s v="141066"/>
    <x v="17"/>
    <s v="Javed Akhter"/>
    <s v="27/01/2021"/>
    <s v="Order"/>
    <s v="4GB Graphic card"/>
    <s v="Graphic Card"/>
    <x v="2"/>
    <n v="12500"/>
    <n v="16250"/>
    <n v="3"/>
    <n v="37500"/>
    <n v="48750"/>
    <s v="Roshan Kumar"/>
    <n v="18200"/>
  </r>
  <r>
    <s v="141067"/>
    <x v="21"/>
    <s v="Haridas Balraj"/>
    <s v="28/01/2021"/>
    <s v="Processing"/>
    <s v="58 GB DDR4 RAM"/>
    <s v="NIC"/>
    <x v="3"/>
    <n v="3500"/>
    <n v="4550"/>
    <n v="2"/>
    <n v="7000"/>
    <n v="9100"/>
    <s v="Aarvi Gupta"/>
    <n v="9100"/>
  </r>
  <r>
    <s v="141068"/>
    <x v="22"/>
    <s v="Kundan Kumar"/>
    <s v="29/01/2021"/>
    <s v="Delivered"/>
    <s v="BTX motherboard"/>
    <s v="Printer"/>
    <x v="4"/>
    <n v="4500"/>
    <n v="5850"/>
    <n v="2"/>
    <n v="9000"/>
    <n v="11700"/>
    <s v="Vijay Singh"/>
    <n v="11700"/>
  </r>
  <r>
    <s v="141069"/>
    <x v="28"/>
    <s v="Atif Siddiqui"/>
    <s v="30/01/2021"/>
    <s v="Shipped"/>
    <s v="53 Fans Cabinet"/>
    <s v="Cabinet"/>
    <x v="5"/>
    <n v="2100"/>
    <n v="2730"/>
    <n v="3"/>
    <n v="6300"/>
    <n v="8190"/>
    <s v="Aadil Khan"/>
    <n v="2990"/>
  </r>
  <r>
    <s v="141070"/>
    <x v="29"/>
    <s v="Aditya Agarwal"/>
    <s v="31/01/2021"/>
    <s v="Order"/>
    <s v="Wireless Keyboard"/>
    <s v="Keyboard"/>
    <x v="6"/>
    <n v="1150"/>
    <n v="1495"/>
    <n v="2"/>
    <n v="2300"/>
    <n v="2990"/>
    <s v="Advika Joshi"/>
    <n v="3315"/>
  </r>
  <r>
    <s v="141071"/>
    <x v="30"/>
    <s v="Firdoush Jabee"/>
    <s v="01/02/2021"/>
    <s v="Processing"/>
    <s v="USB Mouse"/>
    <s v="Mouse"/>
    <x v="0"/>
    <n v="350"/>
    <n v="455"/>
    <n v="3"/>
    <n v="1050"/>
    <n v="1365"/>
    <s v="Ajay Sharma"/>
    <n v="1690"/>
  </r>
  <r>
    <s v="141072"/>
    <x v="30"/>
    <s v="Jay Prakash Kumar"/>
    <s v="01/02/2021"/>
    <s v="Delivered"/>
    <s v="19&quot; LED Display"/>
    <s v="Monitor"/>
    <x v="6"/>
    <n v="9500"/>
    <n v="12350"/>
    <n v="3"/>
    <n v="28500"/>
    <n v="37050"/>
    <s v="Roshan Kumar"/>
    <n v="9750"/>
  </r>
  <r>
    <s v="141073"/>
    <x v="30"/>
    <s v="Ashish Pandey"/>
    <s v="02/02/2021"/>
    <s v="Shipped"/>
    <s v="52 TB HDD"/>
    <s v="HDD"/>
    <x v="10"/>
    <n v="10000"/>
    <n v="13000"/>
    <n v="2"/>
    <n v="20000"/>
    <n v="26000"/>
    <s v="Aarvi Gupta"/>
    <n v="39000"/>
  </r>
  <r>
    <s v="141074"/>
    <x v="30"/>
    <s v="Ajay Sharma"/>
    <s v="03/02/2021"/>
    <s v="Order"/>
    <s v="562 GB M.2"/>
    <s v="SSD"/>
    <x v="0"/>
    <n v="6500"/>
    <n v="8450"/>
    <n v="1"/>
    <n v="6500"/>
    <n v="8450"/>
    <s v="Vijay Singh"/>
    <n v="8450"/>
  </r>
  <r>
    <s v="141075"/>
    <x v="30"/>
    <s v="Moinuddin Saifi"/>
    <s v="03/02/2021"/>
    <s v="Processing"/>
    <s v="RYZEN 3rd gen. 3550"/>
    <s v="CPU"/>
    <x v="1"/>
    <n v="8500"/>
    <n v="11050"/>
    <n v="4"/>
    <n v="34000"/>
    <n v="44200"/>
    <s v="Aadil Khan"/>
    <n v="33150"/>
  </r>
  <r>
    <s v="141076"/>
    <x v="30"/>
    <s v="Ramkrishna Das Adhikary"/>
    <s v="03/02/2021"/>
    <s v="Delivered"/>
    <s v="2GB Graphic Card"/>
    <s v="Graphic Card"/>
    <x v="2"/>
    <n v="7000"/>
    <n v="9100"/>
    <n v="2"/>
    <n v="14000"/>
    <n v="18200"/>
    <s v="Advika Joshi"/>
    <n v="18200"/>
  </r>
  <r>
    <s v="141077"/>
    <x v="30"/>
    <s v="Ranjeet Mandal"/>
    <s v="04/02/2021"/>
    <s v="Shipped"/>
    <s v="66 GB DDR4 RAM"/>
    <s v="NIC"/>
    <x v="3"/>
    <n v="6550"/>
    <n v="8515"/>
    <n v="4"/>
    <n v="26200"/>
    <n v="34060"/>
    <s v="Ajay Sharma"/>
    <n v="9100"/>
  </r>
  <r>
    <s v="141078"/>
    <x v="30"/>
    <s v="Ashwini Adsare"/>
    <s v="05/02/2021"/>
    <s v="Order"/>
    <s v="Standard ATX motherboard"/>
    <s v="Printer"/>
    <x v="4"/>
    <n v="7650"/>
    <n v="9945"/>
    <n v="2"/>
    <n v="15300"/>
    <n v="19890"/>
    <s v="Roshan Kumar"/>
    <n v="11700"/>
  </r>
  <r>
    <s v="141079"/>
    <x v="30"/>
    <s v="Rajesh Variya"/>
    <s v="06/02/2021"/>
    <s v="Processing"/>
    <s v="Compact with 1 Fan"/>
    <s v="Cabinet"/>
    <x v="5"/>
    <n v="1150"/>
    <n v="1495"/>
    <n v="1"/>
    <n v="1150"/>
    <n v="1495"/>
    <s v="Aarvi Gupta"/>
    <n v="2990"/>
  </r>
  <r>
    <s v="141080"/>
    <x v="30"/>
    <s v="Amit Singh"/>
    <s v="07/02/2021"/>
    <s v="Delivered"/>
    <s v="USB Backlight Keyboard"/>
    <s v="Keyboard"/>
    <x v="6"/>
    <n v="850"/>
    <n v="1105"/>
    <n v="2"/>
    <n v="1700"/>
    <n v="2210"/>
    <s v="Vijay Singh"/>
    <n v="3315"/>
  </r>
  <r>
    <s v="141081"/>
    <x v="30"/>
    <s v="Vinod Mehta"/>
    <s v="08/02/2021"/>
    <s v="Shipped"/>
    <s v="Ergonomic Mouse"/>
    <s v="Mouse"/>
    <x v="0"/>
    <n v="650"/>
    <n v="845"/>
    <n v="1"/>
    <n v="650"/>
    <n v="845"/>
    <s v="Aadil Khan"/>
    <n v="1690"/>
  </r>
  <r>
    <s v="141082"/>
    <x v="30"/>
    <s v="Jignesh Mhatre"/>
    <s v="09/02/2021"/>
    <s v="Order"/>
    <s v="15&quot; LCD Dsipaly"/>
    <s v="Monitor"/>
    <x v="6"/>
    <n v="7500"/>
    <n v="9750"/>
    <n v="3"/>
    <n v="22500"/>
    <n v="29250"/>
    <s v="Advika Joshi"/>
    <n v="9750"/>
  </r>
  <r>
    <s v="141083"/>
    <x v="30"/>
    <s v="Rahul Kashyap"/>
    <s v="10/02/2021"/>
    <s v="Processing"/>
    <s v="52 TB HDD"/>
    <s v="HDD"/>
    <x v="7"/>
    <n v="10000"/>
    <n v="13000"/>
    <n v="2"/>
    <n v="20000"/>
    <n v="26000"/>
    <s v="Ajay Sharma"/>
    <n v="39000"/>
  </r>
  <r>
    <s v="141084"/>
    <x v="30"/>
    <s v="Mohammed Abdul Kaleem"/>
    <s v="11/02/2021"/>
    <s v="Delivered"/>
    <s v="51 TB SSD"/>
    <s v="SSD"/>
    <x v="0"/>
    <n v="10500"/>
    <n v="13650"/>
    <n v="1"/>
    <n v="10500"/>
    <n v="13650"/>
    <s v="Roshan Kumar"/>
    <n v="8450"/>
  </r>
  <r>
    <s v="141085"/>
    <x v="30"/>
    <s v="Chandrakant Kasbe"/>
    <s v="12/02/2021"/>
    <s v="Shipped"/>
    <s v="Intel i5 12th gen."/>
    <s v="CPU"/>
    <x v="1"/>
    <n v="8500"/>
    <n v="11050"/>
    <n v="2"/>
    <n v="17000"/>
    <n v="22100"/>
    <s v="Aarvi Gupta"/>
    <n v="33150"/>
  </r>
  <r>
    <s v="141086"/>
    <x v="30"/>
    <s v="Rohan Kale"/>
    <s v="13/02/2021"/>
    <s v="Order"/>
    <s v="2GB Graphic Card"/>
    <s v="Graphic Card"/>
    <x v="2"/>
    <n v="7000"/>
    <n v="9100"/>
    <n v="3"/>
    <n v="21000"/>
    <n v="27300"/>
    <s v="Vijay Singh"/>
    <n v="18200"/>
  </r>
  <r>
    <s v="141087"/>
    <x v="30"/>
    <s v="Aniruddha Kekapure"/>
    <s v="14/02/2021"/>
    <s v="Processing"/>
    <s v="54 GB DDR4 Ram"/>
    <s v="NIC"/>
    <x v="3"/>
    <n v="1680"/>
    <n v="2184"/>
    <n v="2"/>
    <n v="3360"/>
    <n v="4368"/>
    <s v="Aadil Khan"/>
    <n v="9100"/>
  </r>
  <r>
    <s v="141088"/>
    <x v="30"/>
    <s v="Aslam Raza"/>
    <s v="15/02/2021"/>
    <s v="Delivered"/>
    <s v="Micro ATX motherboard"/>
    <s v="Printer"/>
    <x v="8"/>
    <n v="6540"/>
    <n v="8502"/>
    <n v="2"/>
    <n v="13080"/>
    <n v="17004"/>
    <s v="Advika Joshi"/>
    <n v="11700"/>
  </r>
  <r>
    <s v="141089"/>
    <x v="30"/>
    <s v="Roshan Zameer"/>
    <s v="16/02/2021"/>
    <s v="Shipped"/>
    <s v="Gaming Box Cabinet"/>
    <s v="Cabinet"/>
    <x v="5"/>
    <n v="2680"/>
    <n v="3484"/>
    <n v="4"/>
    <n v="10720"/>
    <n v="13936"/>
    <s v="Ajay Sharma"/>
    <n v="2990"/>
  </r>
  <r>
    <s v="141090"/>
    <x v="30"/>
    <s v="Rakesh Kumar Sharma"/>
    <s v="17/02/2021"/>
    <s v="Order"/>
    <s v="17&quot; LCD Display"/>
    <s v="Monitor"/>
    <x v="0"/>
    <n v="8250"/>
    <n v="10725"/>
    <n v="4"/>
    <n v="33000"/>
    <n v="42900"/>
    <s v="Roshan Kumar"/>
    <n v="9750"/>
  </r>
  <r>
    <s v="141091"/>
    <x v="30"/>
    <s v="Shivanand Sahani"/>
    <s v="18/02/2021"/>
    <s v="Processing"/>
    <s v="58 GB DDR4 RAM"/>
    <s v="RAM"/>
    <x v="0"/>
    <n v="2650"/>
    <n v="3445"/>
    <n v="4"/>
    <n v="10600"/>
    <n v="13780"/>
    <s v="Aarvi Gupta"/>
    <n v="25545"/>
  </r>
  <r>
    <s v="141092"/>
    <x v="30"/>
    <s v="Kunal Patra"/>
    <s v="19/02/2021"/>
    <s v="Delivered"/>
    <s v="26&quot; LCD Display"/>
    <s v="Monitor"/>
    <x v="9"/>
    <n v="12550"/>
    <n v="16315"/>
    <n v="3"/>
    <n v="37650"/>
    <n v="48945"/>
    <s v="Vijay Singh"/>
    <n v="9750"/>
  </r>
  <r>
    <s v="141093"/>
    <x v="30"/>
    <s v="Bijendra"/>
    <s v="19/02/2021"/>
    <s v="Shipped"/>
    <s v="I7 - intel 12th Generation"/>
    <s v="CPU"/>
    <x v="1"/>
    <n v="14500"/>
    <n v="18850"/>
    <n v="4"/>
    <n v="58000"/>
    <n v="75400"/>
    <s v="Aadil Khan"/>
    <n v="33150"/>
  </r>
  <r>
    <s v="141094"/>
    <x v="30"/>
    <s v="Kranti Bheke"/>
    <s v="19/02/2021"/>
    <s v="Order"/>
    <s v="USB Keyboard"/>
    <s v="Keyboard"/>
    <x v="6"/>
    <n v="800"/>
    <n v="1040"/>
    <n v="4"/>
    <n v="3200"/>
    <n v="4160"/>
    <s v="Advika Joshi"/>
    <n v="3315"/>
  </r>
  <r>
    <s v="141095"/>
    <x v="30"/>
    <s v="Jagdeep"/>
    <s v="19/02/2021"/>
    <s v="Processing"/>
    <s v="Wireless Mouse"/>
    <s v="Mouse"/>
    <x v="0"/>
    <n v="600"/>
    <n v="780"/>
    <n v="3"/>
    <n v="1800"/>
    <n v="2340"/>
    <s v="Ajay Sharma"/>
    <n v="1690"/>
  </r>
  <r>
    <s v="141096"/>
    <x v="30"/>
    <s v="Adhir Samal"/>
    <s v="20/02/2021"/>
    <s v="Delivered"/>
    <s v="21&quot; LCD Display"/>
    <s v="Monitor"/>
    <x v="6"/>
    <n v="10500"/>
    <n v="13650"/>
    <n v="2"/>
    <n v="21000"/>
    <n v="27300"/>
    <s v="Roshan Kumar"/>
    <n v="9750"/>
  </r>
  <r>
    <s v="141097"/>
    <x v="30"/>
    <s v="Dannana Jhammi"/>
    <s v="21/02/2021"/>
    <s v="Shipped"/>
    <s v="52 TB HDD"/>
    <s v="HDD"/>
    <x v="10"/>
    <n v="6500"/>
    <n v="8450"/>
    <n v="2"/>
    <n v="13000"/>
    <n v="16900"/>
    <s v="Aarvi Gupta"/>
    <n v="39000"/>
  </r>
  <r>
    <s v="141098"/>
    <x v="30"/>
    <s v="Vipin Kumar"/>
    <s v="22/02/2021"/>
    <s v="Order"/>
    <s v="307 GB SSD"/>
    <s v="SSD"/>
    <x v="0"/>
    <n v="4500"/>
    <n v="5850"/>
    <n v="2"/>
    <n v="9000"/>
    <n v="11700"/>
    <s v="Vijay Singh"/>
    <n v="8450"/>
  </r>
  <r>
    <s v="141099"/>
    <x v="30"/>
    <s v="Ranjeet Kumar"/>
    <s v="23/02/2021"/>
    <s v="Processing"/>
    <s v="Intel i3 11th gen."/>
    <s v="CPU"/>
    <x v="1"/>
    <n v="8500"/>
    <n v="11050"/>
    <n v="2"/>
    <n v="17000"/>
    <n v="22100"/>
    <s v="Aadil Khan"/>
    <n v="33150"/>
  </r>
  <r>
    <s v="141100"/>
    <x v="30"/>
    <s v="Sajal Singhal"/>
    <s v="24/02/2021"/>
    <s v="Delivered"/>
    <s v="4GB Graphic card"/>
    <s v="Graphic Card"/>
    <x v="2"/>
    <n v="12500"/>
    <n v="16250"/>
    <n v="2"/>
    <n v="25000"/>
    <n v="32500"/>
    <s v="Advika Joshi"/>
    <n v="18200"/>
  </r>
  <r>
    <s v="141101"/>
    <x v="30"/>
    <s v="Akhilesh Kumar"/>
    <s v="25/02/2021"/>
    <s v="Shipped"/>
    <s v="59 GB DDR4 RAM"/>
    <s v="RAM"/>
    <x v="3"/>
    <n v="3500"/>
    <n v="4550"/>
    <n v="2"/>
    <n v="7000"/>
    <n v="9100"/>
    <s v="Ajay Sharma"/>
    <n v="25545"/>
  </r>
  <r>
    <s v="141102"/>
    <x v="30"/>
    <s v="Suvankar Chakraborty"/>
    <s v="26/02/2021"/>
    <s v="Order"/>
    <s v="BTX motherboard"/>
    <s v="MotherBoard"/>
    <x v="4"/>
    <n v="4500"/>
    <n v="5850"/>
    <n v="2"/>
    <n v="9000"/>
    <n v="11700"/>
    <s v="Roshan Kumar"/>
    <n v="39780"/>
  </r>
  <r>
    <s v="141103"/>
    <x v="30"/>
    <s v="Suvankar Adhikary"/>
    <s v="27/02/2021"/>
    <s v="Processing"/>
    <s v="54 Fans Cabinet"/>
    <s v="Cabinet"/>
    <x v="5"/>
    <n v="2100"/>
    <n v="2730"/>
    <n v="4"/>
    <n v="8400"/>
    <n v="10920"/>
    <s v="Aarvi Gupta"/>
    <n v="2990"/>
  </r>
  <r>
    <s v="141104"/>
    <x v="30"/>
    <s v="Rahul Kumar Prajapati"/>
    <s v="28/02/2021"/>
    <s v="Delivered"/>
    <s v="Wireless Keyboard"/>
    <s v="Keyboard"/>
    <x v="6"/>
    <n v="1150"/>
    <n v="1495"/>
    <n v="3"/>
    <n v="3450"/>
    <n v="4485"/>
    <s v="Vijay Singh"/>
    <n v="3315"/>
  </r>
  <r>
    <s v="141105"/>
    <x v="30"/>
    <s v="Sagar Jeur"/>
    <s v="01/03/2021"/>
    <s v="Shipped"/>
    <s v="USB Mouse"/>
    <s v="Mouse"/>
    <x v="0"/>
    <n v="350"/>
    <n v="455"/>
    <n v="4"/>
    <n v="1400"/>
    <n v="1820"/>
    <s v="Aadil Khan"/>
    <n v="1690"/>
  </r>
  <r>
    <s v="141106"/>
    <x v="30"/>
    <s v="Rhushikesh Mane"/>
    <s v="02/03/2021"/>
    <s v="Order"/>
    <s v="19&quot; LED Display"/>
    <s v="Monitor"/>
    <x v="6"/>
    <n v="9500"/>
    <n v="12350"/>
    <n v="1"/>
    <n v="9500"/>
    <n v="12350"/>
    <s v="Advika Joshi"/>
    <n v="9750"/>
  </r>
  <r>
    <s v="141107"/>
    <x v="30"/>
    <s v="Ashish Kumar"/>
    <s v="03/03/2021"/>
    <s v="Processing"/>
    <s v="53 TB HDD"/>
    <s v="HDD"/>
    <x v="10"/>
    <n v="10000"/>
    <n v="13000"/>
    <n v="3"/>
    <n v="30000"/>
    <n v="39000"/>
    <s v="Ajay Sharma"/>
    <n v="39000"/>
  </r>
  <r>
    <s v="141108"/>
    <x v="30"/>
    <s v="Javed Akhter"/>
    <s v="04/03/2021"/>
    <s v="Delivered"/>
    <s v="563 GB M.2"/>
    <s v="SSD"/>
    <x v="0"/>
    <n v="6500"/>
    <n v="8450"/>
    <n v="3"/>
    <n v="19500"/>
    <n v="25350"/>
    <s v="Roshan Kumar"/>
    <n v="8450"/>
  </r>
  <r>
    <s v="141109"/>
    <x v="30"/>
    <s v="Haridas Balraj"/>
    <s v="05/03/2021"/>
    <s v="Shipped"/>
    <s v="RYZEN 3rd gen. 3551"/>
    <s v="CPU"/>
    <x v="1"/>
    <n v="8500"/>
    <n v="11050"/>
    <n v="1"/>
    <n v="8500"/>
    <n v="11050"/>
    <s v="Aarvi Gupta"/>
    <n v="33150"/>
  </r>
  <r>
    <s v="141110"/>
    <x v="30"/>
    <s v="Kundan Kumar"/>
    <s v="05/03/2021"/>
    <s v="Order"/>
    <s v="2GB Graphic Card"/>
    <s v="Graphic Card"/>
    <x v="2"/>
    <n v="7000"/>
    <n v="9100"/>
    <n v="3"/>
    <n v="21000"/>
    <n v="27300"/>
    <s v="Vijay Singh"/>
    <n v="18200"/>
  </r>
  <r>
    <s v="141111"/>
    <x v="30"/>
    <s v="Atif Siddiqui"/>
    <s v="06/03/2021"/>
    <s v="Processing"/>
    <s v="67 GB DDR4 RAM"/>
    <s v="RAM"/>
    <x v="3"/>
    <n v="6550"/>
    <n v="8515"/>
    <n v="4"/>
    <n v="26200"/>
    <n v="34060"/>
    <s v="Aadil Khan"/>
    <n v="25545"/>
  </r>
  <r>
    <s v="141112"/>
    <x v="30"/>
    <s v="Aditya Agarwal"/>
    <s v="07/03/2021"/>
    <s v="Delivered"/>
    <s v="Standard ATX motherboard"/>
    <s v="MotherBoard"/>
    <x v="4"/>
    <n v="7650"/>
    <n v="9945"/>
    <n v="4"/>
    <n v="30600"/>
    <n v="39780"/>
    <s v="Advika Joshi"/>
    <n v="39780"/>
  </r>
  <r>
    <s v="141113"/>
    <x v="30"/>
    <s v="Firdoush Jabee"/>
    <s v="07/03/2021"/>
    <s v="Shipped"/>
    <s v="Compact with 1 Fan"/>
    <s v="Cabinet"/>
    <x v="5"/>
    <n v="1150"/>
    <n v="1495"/>
    <n v="3"/>
    <n v="3450"/>
    <n v="4485"/>
    <s v="Ajay Sharma"/>
    <n v="2990"/>
  </r>
  <r>
    <s v="141114"/>
    <x v="30"/>
    <s v="Jay Prakash Kumar"/>
    <s v="07/03/2021"/>
    <s v="Order"/>
    <s v="USB Backlight Keyboard"/>
    <s v="Keyboard"/>
    <x v="6"/>
    <n v="850"/>
    <n v="1105"/>
    <n v="3"/>
    <n v="2550"/>
    <n v="3315"/>
    <s v="Roshan Kumar"/>
    <n v="3315"/>
  </r>
  <r>
    <s v="141115"/>
    <x v="30"/>
    <s v="Ashish Pandey"/>
    <s v="07/03/2021"/>
    <s v="Processing"/>
    <s v="Ergonomic Mouse"/>
    <s v="Mouse"/>
    <x v="0"/>
    <n v="650"/>
    <n v="845"/>
    <n v="3"/>
    <n v="1950"/>
    <n v="2535"/>
    <s v="Aarvi Gupta"/>
    <n v="1690"/>
  </r>
  <r>
    <s v="141116"/>
    <x v="30"/>
    <s v="Ajay Sharma"/>
    <s v="07/03/2021"/>
    <s v="Delivered"/>
    <s v="15&quot; LCD Dsipaly"/>
    <s v="Monitor"/>
    <x v="6"/>
    <n v="7500"/>
    <n v="9750"/>
    <n v="1"/>
    <n v="7500"/>
    <n v="9750"/>
    <s v="Vijay Singh"/>
    <n v="9750"/>
  </r>
  <r>
    <s v="141117"/>
    <x v="30"/>
    <s v="Moinuddin Saifi"/>
    <s v="07/03/2021"/>
    <s v="Shipped"/>
    <s v="53 TB HDD"/>
    <s v="HDD"/>
    <x v="7"/>
    <n v="10000"/>
    <n v="13000"/>
    <n v="4"/>
    <n v="40000"/>
    <n v="52000"/>
    <s v="Aadil Khan"/>
    <n v="39000"/>
  </r>
  <r>
    <s v="141118"/>
    <x v="30"/>
    <s v="Ramkrishna Das Adhikary"/>
    <s v="07/03/2021"/>
    <s v="Order"/>
    <s v="52 TB SSD"/>
    <s v="SSD"/>
    <x v="0"/>
    <n v="10500"/>
    <n v="13650"/>
    <n v="3"/>
    <n v="31500"/>
    <n v="40950"/>
    <s v="Advika Joshi"/>
    <n v="8450"/>
  </r>
  <r>
    <s v="141119"/>
    <x v="30"/>
    <s v="Ranjeet Mandal"/>
    <s v="08/03/2021"/>
    <s v="Processing"/>
    <s v="Intel i5 12th gen."/>
    <s v="CPU"/>
    <x v="1"/>
    <n v="8500"/>
    <n v="11050"/>
    <n v="3"/>
    <n v="25500"/>
    <n v="33150"/>
    <s v="Ajay Sharma"/>
    <n v="33150"/>
  </r>
  <r>
    <s v="141120"/>
    <x v="30"/>
    <s v="Ashwini Adsare"/>
    <s v="09/03/2021"/>
    <s v="Delivered"/>
    <s v="2GB Graphic Card"/>
    <s v="Graphic Card"/>
    <x v="2"/>
    <n v="7000"/>
    <n v="9100"/>
    <n v="4"/>
    <n v="28000"/>
    <n v="36400"/>
    <s v="Roshan Kumar"/>
    <n v="18200"/>
  </r>
  <r>
    <s v="141121"/>
    <x v="30"/>
    <s v="Rajesh Variya"/>
    <s v="10/03/2021"/>
    <s v="Shipped"/>
    <s v="55 GB DDR4 Ram"/>
    <s v="RAM"/>
    <x v="3"/>
    <n v="1680"/>
    <n v="2184"/>
    <n v="4"/>
    <n v="6720"/>
    <n v="8736"/>
    <s v="Aarvi Gupta"/>
    <n v="25545"/>
  </r>
  <r>
    <s v="141122"/>
    <x v="30"/>
    <s v="Amit Singh"/>
    <s v="11/03/2021"/>
    <s v="Order"/>
    <s v="Micro ATX motherboard"/>
    <s v="MotherBoard"/>
    <x v="8"/>
    <n v="6540"/>
    <n v="8502"/>
    <n v="3"/>
    <n v="19620"/>
    <n v="25506"/>
    <s v="Vijay Singh"/>
    <n v="39780"/>
  </r>
  <r>
    <s v="141123"/>
    <x v="30"/>
    <s v="Vinod Mehta"/>
    <s v="12/03/2021"/>
    <s v="Processing"/>
    <s v="Gaming Box Cabinet"/>
    <s v="Cabinet"/>
    <x v="5"/>
    <n v="2680"/>
    <n v="3484"/>
    <n v="3"/>
    <n v="8040"/>
    <n v="10452"/>
    <s v="Aadil Khan"/>
    <n v="2990"/>
  </r>
  <r>
    <s v="141124"/>
    <x v="30"/>
    <s v="Jignesh Mhatre"/>
    <s v="13/03/2021"/>
    <s v="Delivered"/>
    <s v="17&quot; LCD Display"/>
    <s v="Monitor"/>
    <x v="0"/>
    <n v="8250"/>
    <n v="10725"/>
    <n v="1"/>
    <n v="8250"/>
    <n v="10725"/>
    <s v="Advika Joshi"/>
    <n v="9750"/>
  </r>
  <r>
    <s v="141125"/>
    <x v="30"/>
    <s v="Rahul Kashyap"/>
    <s v="14/03/2021"/>
    <s v="Shipped"/>
    <s v="59 GB DDR4 RAM"/>
    <s v="RAM"/>
    <x v="0"/>
    <n v="2650"/>
    <n v="3445"/>
    <n v="1"/>
    <n v="2650"/>
    <n v="3445"/>
    <s v="Ajay Sharma"/>
    <n v="25545"/>
  </r>
  <r>
    <s v="141126"/>
    <x v="30"/>
    <s v="Mohammed Abdul Kaleem"/>
    <s v="15/03/2021"/>
    <s v="Order"/>
    <s v="26&quot; LCD Display"/>
    <s v="Monitor"/>
    <x v="9"/>
    <n v="12550"/>
    <n v="16315"/>
    <n v="3"/>
    <n v="37650"/>
    <n v="48945"/>
    <s v="Roshan Kumar"/>
    <n v="9750"/>
  </r>
  <r>
    <s v="141127"/>
    <x v="30"/>
    <s v="Chandrakant Kasbe"/>
    <s v="16/03/2021"/>
    <s v="Processing"/>
    <s v="I7 - intel 12th Generation"/>
    <s v="CPU"/>
    <x v="1"/>
    <n v="14500"/>
    <n v="18850"/>
    <n v="2"/>
    <n v="29000"/>
    <n v="37700"/>
    <s v="Aarvi Gupta"/>
    <n v="33150"/>
  </r>
  <r>
    <s v="141128"/>
    <x v="30"/>
    <s v="Rohan Kale"/>
    <s v="16/03/2021"/>
    <s v="Delivered"/>
    <s v="USB Keyboard"/>
    <s v="Keyboard"/>
    <x v="6"/>
    <n v="800"/>
    <n v="1040"/>
    <n v="4"/>
    <n v="3200"/>
    <n v="4160"/>
    <s v="Vijay Singh"/>
    <n v="3315"/>
  </r>
  <r>
    <s v="141129"/>
    <x v="30"/>
    <s v="Aniruddha Kekapure"/>
    <s v="16/03/2021"/>
    <s v="Shipped"/>
    <s v="Wireless Mouse"/>
    <s v="Mouse"/>
    <x v="0"/>
    <n v="600"/>
    <n v="780"/>
    <n v="4"/>
    <n v="2400"/>
    <n v="3120"/>
    <s v="Aadil Khan"/>
    <n v="1690"/>
  </r>
  <r>
    <s v="141130"/>
    <x v="30"/>
    <s v="Aslam Raza"/>
    <s v="16/03/2021"/>
    <s v="Order"/>
    <s v="21&quot; LCD Display"/>
    <s v="Monitor"/>
    <x v="6"/>
    <n v="10500"/>
    <n v="13650"/>
    <n v="1"/>
    <n v="10500"/>
    <n v="13650"/>
    <s v="Advika Joshi"/>
    <n v="9750"/>
  </r>
  <r>
    <s v="141131"/>
    <x v="30"/>
    <s v="Roshan Zameer"/>
    <s v="16/03/2021"/>
    <s v="Processing"/>
    <s v="53 TB HDD"/>
    <s v="HDD"/>
    <x v="10"/>
    <n v="6500"/>
    <n v="8450"/>
    <n v="4"/>
    <n v="26000"/>
    <n v="33800"/>
    <s v="Ajay Sharma"/>
    <n v="39000"/>
  </r>
  <r>
    <s v="141132"/>
    <x v="30"/>
    <s v="Rakesh Kumar Sharma"/>
    <s v="16/03/2021"/>
    <s v="Delivered"/>
    <s v="308 GB SSD"/>
    <s v="SSD"/>
    <x v="0"/>
    <n v="4500"/>
    <n v="5850"/>
    <n v="4"/>
    <n v="18000"/>
    <n v="23400"/>
    <s v="Roshan Kumar"/>
    <n v="8450"/>
  </r>
  <r>
    <s v="141133"/>
    <x v="30"/>
    <s v="Shivanand Sahani"/>
    <s v="16/03/2021"/>
    <s v="Shipped"/>
    <s v="Intel i3 11th gen."/>
    <s v="CPU"/>
    <x v="1"/>
    <n v="8500"/>
    <n v="11050"/>
    <n v="4"/>
    <n v="34000"/>
    <n v="44200"/>
    <s v="Aarvi Gupta"/>
    <n v="33150"/>
  </r>
  <r>
    <s v="141134"/>
    <x v="30"/>
    <s v="Kunal Patra"/>
    <s v="16/03/2021"/>
    <s v="Order"/>
    <s v="4GB Graphic card"/>
    <s v="Graphic Card"/>
    <x v="2"/>
    <n v="12500"/>
    <n v="16250"/>
    <n v="3"/>
    <n v="37500"/>
    <n v="48750"/>
    <s v="Vijay Singh"/>
    <n v="18200"/>
  </r>
  <r>
    <s v="141135"/>
    <x v="30"/>
    <s v="Bijendra"/>
    <s v="16/03/2021"/>
    <s v="Processing"/>
    <s v="60 GB DDR4 RAM"/>
    <s v="Computer Case"/>
    <x v="3"/>
    <n v="3500"/>
    <n v="4550"/>
    <n v="1"/>
    <n v="3500"/>
    <n v="4550"/>
    <s v="Aadil Khan"/>
    <n v="13650"/>
  </r>
  <r>
    <s v="141136"/>
    <x v="30"/>
    <s v="Kranti Bheke"/>
    <s v="16/03/2021"/>
    <s v="Delivered"/>
    <s v="BTX motherboard"/>
    <s v="Mouse"/>
    <x v="4"/>
    <n v="4500"/>
    <n v="5850"/>
    <n v="4"/>
    <n v="18000"/>
    <n v="23400"/>
    <s v="Advika Joshi"/>
    <n v="1690"/>
  </r>
  <r>
    <s v="141137"/>
    <x v="30"/>
    <s v="Jagdeep"/>
    <s v="17/03/2021"/>
    <s v="Shipped"/>
    <s v="55 Fans Cabinet"/>
    <s v="Cabinet"/>
    <x v="5"/>
    <n v="2100"/>
    <n v="2730"/>
    <n v="4"/>
    <n v="8400"/>
    <n v="10920"/>
    <s v="Ajay Sharma"/>
    <n v="2990"/>
  </r>
  <r>
    <s v="141138"/>
    <x v="30"/>
    <s v="Adhir Samal"/>
    <s v="18/03/2021"/>
    <s v="Order"/>
    <s v="Wireless Keyboard"/>
    <s v="Keyboard"/>
    <x v="6"/>
    <n v="1150"/>
    <n v="1495"/>
    <n v="3"/>
    <n v="3450"/>
    <n v="4485"/>
    <s v="Roshan Kumar"/>
    <n v="3315"/>
  </r>
  <r>
    <s v="141139"/>
    <x v="30"/>
    <s v="Dannana Jhammi"/>
    <s v="18/03/2021"/>
    <s v="Processing"/>
    <s v="USB Mouse"/>
    <s v="Mouse"/>
    <x v="0"/>
    <n v="350"/>
    <n v="455"/>
    <n v="1"/>
    <n v="350"/>
    <n v="455"/>
    <s v="Aarvi Gupta"/>
    <n v="1690"/>
  </r>
  <r>
    <s v="141140"/>
    <x v="30"/>
    <s v="Vipin Kumar"/>
    <s v="18/03/2021"/>
    <s v="Delivered"/>
    <s v="19&quot; LED Display"/>
    <s v="Monitor"/>
    <x v="6"/>
    <n v="9500"/>
    <n v="12350"/>
    <n v="4"/>
    <n v="38000"/>
    <n v="49400"/>
    <s v="Vijay Singh"/>
    <n v="9750"/>
  </r>
  <r>
    <s v="141141"/>
    <x v="30"/>
    <s v="Ranjeet Kumar"/>
    <s v="18/03/2021"/>
    <s v="Shipped"/>
    <s v="54 TB HDD"/>
    <s v="HDD"/>
    <x v="10"/>
    <n v="10000"/>
    <n v="13000"/>
    <n v="3"/>
    <n v="30000"/>
    <n v="39000"/>
    <s v="Aadil Khan"/>
    <n v="39000"/>
  </r>
  <r>
    <s v="141142"/>
    <x v="30"/>
    <s v="Sajal Singhal"/>
    <s v="18/03/2021"/>
    <s v="Order"/>
    <s v="564 GB M.2"/>
    <s v="SSD"/>
    <x v="0"/>
    <n v="6500"/>
    <n v="8450"/>
    <n v="1"/>
    <n v="6500"/>
    <n v="8450"/>
    <s v="Advika Joshi"/>
    <n v="8450"/>
  </r>
  <r>
    <s v="141143"/>
    <x v="30"/>
    <s v="Akhilesh Kumar"/>
    <s v="18/03/2021"/>
    <s v="Processing"/>
    <s v="RYZEN 3rd gen. 3552"/>
    <s v="CPU"/>
    <x v="1"/>
    <n v="8500"/>
    <n v="11050"/>
    <n v="4"/>
    <n v="34000"/>
    <n v="44200"/>
    <s v="Ajay Sharma"/>
    <n v="33150"/>
  </r>
  <r>
    <s v="141144"/>
    <x v="30"/>
    <s v="Suvankar Chakraborty"/>
    <s v="18/03/2021"/>
    <s v="Delivered"/>
    <s v="2GB Graphic Card"/>
    <s v="Graphic Card"/>
    <x v="2"/>
    <n v="7000"/>
    <n v="9100"/>
    <n v="3"/>
    <n v="21000"/>
    <n v="27300"/>
    <s v="Roshan Kumar"/>
    <n v="18200"/>
  </r>
  <r>
    <s v="141145"/>
    <x v="30"/>
    <s v="Suvankar Adhikary"/>
    <s v="18/03/2021"/>
    <s v="Shipped"/>
    <s v="68 GB DDR4 RAM"/>
    <s v="Computer Case"/>
    <x v="3"/>
    <n v="6550"/>
    <n v="8515"/>
    <n v="3"/>
    <n v="19650"/>
    <n v="25545"/>
    <s v="Aarvi Gupta"/>
    <n v="13650"/>
  </r>
  <r>
    <s v="141146"/>
    <x v="30"/>
    <s v="Rahul Kumar Prajapati"/>
    <s v="19/03/2021"/>
    <s v="Order"/>
    <s v="Standard ATX motherboard"/>
    <s v="Mouse"/>
    <x v="4"/>
    <n v="7650"/>
    <n v="9945"/>
    <n v="4"/>
    <n v="30600"/>
    <n v="39780"/>
    <s v="Vijay Singh"/>
    <n v="1690"/>
  </r>
  <r>
    <s v="141147"/>
    <x v="30"/>
    <s v="Sagar Jeur"/>
    <s v="19/03/2021"/>
    <s v="Processing"/>
    <s v="Compact with 1 Fan"/>
    <s v="Cabinet"/>
    <x v="5"/>
    <n v="1150"/>
    <n v="1495"/>
    <n v="2"/>
    <n v="2300"/>
    <n v="2990"/>
    <s v="Aadil Khan"/>
    <n v="2990"/>
  </r>
  <r>
    <s v="141148"/>
    <x v="30"/>
    <s v="Rhushikesh Mane"/>
    <s v="19/03/2021"/>
    <s v="Delivered"/>
    <s v="USB Backlight Keyboard"/>
    <s v="Keyboard"/>
    <x v="6"/>
    <n v="850"/>
    <n v="1105"/>
    <n v="4"/>
    <n v="3400"/>
    <n v="4420"/>
    <s v="Advika Joshi"/>
    <n v="3315"/>
  </r>
  <r>
    <s v="141149"/>
    <x v="30"/>
    <s v="Ashish Kumar"/>
    <s v="19/03/2021"/>
    <s v="Shipped"/>
    <s v="Ergonomic Mouse"/>
    <s v="Mouse"/>
    <x v="0"/>
    <n v="650"/>
    <n v="845"/>
    <n v="2"/>
    <n v="1300"/>
    <n v="1690"/>
    <s v="Ajay Sharma"/>
    <n v="1690"/>
  </r>
  <r>
    <s v="141150"/>
    <x v="30"/>
    <s v="Javed Akhter"/>
    <s v="19/03/2021"/>
    <s v="Order"/>
    <s v="15&quot; LCD Dsipaly"/>
    <s v="Monitor"/>
    <x v="6"/>
    <n v="7500"/>
    <n v="9750"/>
    <n v="4"/>
    <n v="30000"/>
    <n v="39000"/>
    <s v="Roshan Kumar"/>
    <n v="9750"/>
  </r>
  <r>
    <s v="141151"/>
    <x v="30"/>
    <s v="Haridas Balraj"/>
    <s v="19/03/2021"/>
    <s v="Processing"/>
    <s v="54 TB HDD"/>
    <s v="HDD"/>
    <x v="7"/>
    <n v="10000"/>
    <n v="13000"/>
    <n v="2"/>
    <n v="20000"/>
    <n v="26000"/>
    <s v="Aarvi Gupta"/>
    <n v="39000"/>
  </r>
  <r>
    <s v="141152"/>
    <x v="30"/>
    <s v="Kundan Kumar"/>
    <s v="19/03/2021"/>
    <s v="Delivered"/>
    <s v="53 TB SSD"/>
    <s v="SSD"/>
    <x v="0"/>
    <n v="10500"/>
    <n v="13650"/>
    <n v="2"/>
    <n v="21000"/>
    <n v="27300"/>
    <s v="Vijay Singh"/>
    <n v="8450"/>
  </r>
  <r>
    <s v="141153"/>
    <x v="30"/>
    <s v="Atif Siddiqui"/>
    <s v="20/03/2021"/>
    <s v="Shipped"/>
    <s v="Intel i5 12th gen."/>
    <s v="CPU"/>
    <x v="1"/>
    <n v="8500"/>
    <n v="11050"/>
    <n v="3"/>
    <n v="25500"/>
    <n v="33150"/>
    <s v="Aadil Khan"/>
    <n v="33150"/>
  </r>
  <r>
    <s v="141154"/>
    <x v="30"/>
    <s v="Aditya Agarwal"/>
    <s v="21/03/2021"/>
    <s v="Order"/>
    <s v="2GB Graphic Card"/>
    <s v="Graphic Card"/>
    <x v="2"/>
    <n v="7000"/>
    <n v="9100"/>
    <n v="2"/>
    <n v="14000"/>
    <n v="18200"/>
    <s v="Advika Joshi"/>
    <n v="18200"/>
  </r>
  <r>
    <s v="141155"/>
    <x v="30"/>
    <s v="Firdoush Jabee"/>
    <s v="22/03/2021"/>
    <s v="Processing"/>
    <s v="56 GB DDR4 Ram"/>
    <s v="Computer Case"/>
    <x v="3"/>
    <n v="1680"/>
    <n v="2184"/>
    <n v="2"/>
    <n v="3360"/>
    <n v="4368"/>
    <s v="Ajay Sharma"/>
    <n v="13650"/>
  </r>
  <r>
    <s v="141156"/>
    <x v="30"/>
    <s v="Jay Prakash Kumar"/>
    <s v="23/03/2021"/>
    <s v="Delivered"/>
    <s v="Micro ATX motherboard"/>
    <s v="Mouse"/>
    <x v="8"/>
    <n v="6540"/>
    <n v="8502"/>
    <n v="1"/>
    <n v="6540"/>
    <n v="8502"/>
    <s v="Roshan Kumar"/>
    <n v="1690"/>
  </r>
  <r>
    <s v="141157"/>
    <x v="30"/>
    <s v="Ashish Pandey"/>
    <s v="24/03/2021"/>
    <s v="Shipped"/>
    <s v="Gaming Box Cabinet"/>
    <s v="Cabinet"/>
    <x v="5"/>
    <n v="2680"/>
    <n v="3484"/>
    <n v="3"/>
    <n v="8040"/>
    <n v="10452"/>
    <s v="Aarvi Gupta"/>
    <n v="2990"/>
  </r>
  <r>
    <s v="141158"/>
    <x v="30"/>
    <s v="Ajay Sharma"/>
    <s v="24/03/2021"/>
    <s v="Order"/>
    <s v="17&quot; LCD Display"/>
    <s v="Monitor"/>
    <x v="0"/>
    <n v="8250"/>
    <n v="10725"/>
    <n v="4"/>
    <n v="33000"/>
    <n v="42900"/>
    <s v="Vijay Singh"/>
    <n v="9750"/>
  </r>
  <r>
    <s v="141159"/>
    <x v="30"/>
    <s v="Moinuddin Saifi"/>
    <s v="24/03/2021"/>
    <s v="Processing"/>
    <s v="60 GB DDR4 RAM"/>
    <s v="RAM"/>
    <x v="0"/>
    <n v="2650"/>
    <n v="3445"/>
    <n v="1"/>
    <n v="2650"/>
    <n v="3445"/>
    <s v="Aadil Khan"/>
    <n v="25545"/>
  </r>
  <r>
    <s v="141160"/>
    <x v="30"/>
    <s v="Ramkrishna Das Adhikary"/>
    <s v="24/03/2021"/>
    <s v="Delivered"/>
    <s v="26&quot; LCD Display"/>
    <s v="Monitor"/>
    <x v="9"/>
    <n v="12550"/>
    <n v="16315"/>
    <n v="2"/>
    <n v="25100"/>
    <n v="32630"/>
    <s v="Advika Joshi"/>
    <n v="9750"/>
  </r>
  <r>
    <s v="141161"/>
    <x v="30"/>
    <s v="Ranjeet Mandal"/>
    <s v="24/03/2021"/>
    <s v="Shipped"/>
    <s v="I7 - intel 12th Generation"/>
    <s v="CPU"/>
    <x v="1"/>
    <n v="14500"/>
    <n v="18850"/>
    <n v="4"/>
    <n v="58000"/>
    <n v="75400"/>
    <s v="Ajay Sharma"/>
    <n v="33150"/>
  </r>
  <r>
    <s v="141162"/>
    <x v="30"/>
    <s v="Ashwini Adsare"/>
    <s v="24/03/2021"/>
    <s v="Order"/>
    <s v="USB Keyboard"/>
    <s v="Keyboard"/>
    <x v="6"/>
    <n v="800"/>
    <n v="1040"/>
    <n v="3"/>
    <n v="2400"/>
    <n v="3120"/>
    <s v="Roshan Kumar"/>
    <n v="3315"/>
  </r>
  <r>
    <s v="141163"/>
    <x v="30"/>
    <s v="Rajesh Variya"/>
    <s v="24/03/2021"/>
    <s v="Processing"/>
    <s v="Wireless Mouse"/>
    <s v="Mouse"/>
    <x v="0"/>
    <n v="600"/>
    <n v="780"/>
    <n v="1"/>
    <n v="600"/>
    <n v="780"/>
    <s v="Aarvi Gupta"/>
    <n v="1690"/>
  </r>
  <r>
    <s v="141164"/>
    <x v="30"/>
    <s v="Amit Singh"/>
    <s v="24/03/2021"/>
    <s v="Delivered"/>
    <s v="21&quot; LCD Display"/>
    <s v="Monitor"/>
    <x v="6"/>
    <n v="10500"/>
    <n v="13650"/>
    <n v="4"/>
    <n v="42000"/>
    <n v="54600"/>
    <s v="Vijay Singh"/>
    <n v="9750"/>
  </r>
  <r>
    <s v="141165"/>
    <x v="30"/>
    <s v="Vinod Mehta"/>
    <s v="24/03/2021"/>
    <s v="Shipped"/>
    <s v="54 TB HDD"/>
    <s v="HDD"/>
    <x v="10"/>
    <n v="6500"/>
    <n v="8450"/>
    <n v="2"/>
    <n v="13000"/>
    <n v="16900"/>
    <s v="Aadil Khan"/>
    <n v="39000"/>
  </r>
  <r>
    <s v="141166"/>
    <x v="30"/>
    <s v="Jignesh Mhatre"/>
    <s v="25/03/2021"/>
    <s v="Order"/>
    <s v="309 GB SSD"/>
    <s v="SSD"/>
    <x v="0"/>
    <n v="4500"/>
    <n v="5850"/>
    <n v="2"/>
    <n v="9000"/>
    <n v="11700"/>
    <s v="Advika Joshi"/>
    <n v="8450"/>
  </r>
  <r>
    <s v="141167"/>
    <x v="30"/>
    <s v="Rahul Kashyap"/>
    <s v="25/03/2021"/>
    <s v="Processing"/>
    <s v="Intel i3 11th gen."/>
    <s v="CPU"/>
    <x v="1"/>
    <n v="8500"/>
    <n v="11050"/>
    <n v="4"/>
    <n v="34000"/>
    <n v="44200"/>
    <s v="Ajay Sharma"/>
    <n v="33150"/>
  </r>
  <r>
    <s v="141168"/>
    <x v="30"/>
    <s v="Mohammed Abdul Kaleem"/>
    <s v="25/03/2021"/>
    <s v="Delivered"/>
    <s v="4GB Graphic card"/>
    <s v="Graphic Card"/>
    <x v="2"/>
    <n v="12500"/>
    <n v="16250"/>
    <n v="2"/>
    <n v="25000"/>
    <n v="32500"/>
    <s v="Roshan Kumar"/>
    <n v="18200"/>
  </r>
  <r>
    <s v="141169"/>
    <x v="30"/>
    <s v="Chandrakant Kasbe"/>
    <s v="25/03/2021"/>
    <s v="Shipped"/>
    <s v="61 GB DDR4 RAM"/>
    <s v="NIC"/>
    <x v="3"/>
    <n v="3500"/>
    <n v="4550"/>
    <n v="3"/>
    <n v="10500"/>
    <n v="13650"/>
    <s v="Aarvi Gupta"/>
    <n v="9100"/>
  </r>
  <r>
    <s v="141170"/>
    <x v="30"/>
    <s v="Rohan Kale"/>
    <s v="25/03/2021"/>
    <s v="Order"/>
    <s v="BTX motherboard"/>
    <s v="Printer"/>
    <x v="4"/>
    <n v="4500"/>
    <n v="5850"/>
    <n v="1"/>
    <n v="4500"/>
    <n v="5850"/>
    <s v="Vijay Singh"/>
    <n v="11700"/>
  </r>
  <r>
    <s v="141171"/>
    <x v="30"/>
    <s v="Aniruddha Kekapure"/>
    <s v="25/03/2021"/>
    <s v="Processing"/>
    <s v="56 Fans Cabinet"/>
    <s v="Cabinet"/>
    <x v="5"/>
    <n v="2100"/>
    <n v="2730"/>
    <n v="1"/>
    <n v="2100"/>
    <n v="2730"/>
    <s v="Aadil Khan"/>
    <n v="2990"/>
  </r>
  <r>
    <s v="141172"/>
    <x v="30"/>
    <s v="Aslam Raza"/>
    <s v="25/03/2021"/>
    <s v="Delivered"/>
    <s v="Wireless Keyboard"/>
    <s v="Keyboard"/>
    <x v="6"/>
    <n v="1150"/>
    <n v="1495"/>
    <n v="4"/>
    <n v="4600"/>
    <n v="5980"/>
    <s v="Advika Joshi"/>
    <n v="3315"/>
  </r>
  <r>
    <s v="141173"/>
    <x v="30"/>
    <s v="Roshan Zameer"/>
    <s v="25/03/2021"/>
    <s v="Shipped"/>
    <s v="USB Mouse"/>
    <s v="Mouse"/>
    <x v="0"/>
    <n v="350"/>
    <n v="455"/>
    <n v="1"/>
    <n v="350"/>
    <n v="455"/>
    <s v="Ajay Sharma"/>
    <n v="1690"/>
  </r>
  <r>
    <s v="141174"/>
    <x v="30"/>
    <s v="Rakesh Kumar Sharma"/>
    <s v="25/03/2021"/>
    <s v="Order"/>
    <s v="19&quot; LED Display"/>
    <s v="Monitor"/>
    <x v="6"/>
    <n v="9500"/>
    <n v="12350"/>
    <n v="4"/>
    <n v="38000"/>
    <n v="49400"/>
    <s v="Roshan Kumar"/>
    <n v="9750"/>
  </r>
  <r>
    <s v="141175"/>
    <x v="30"/>
    <s v="Shivanand Sahani"/>
    <s v="26/03/2021"/>
    <s v="Processing"/>
    <s v="55 TB HDD"/>
    <s v="HDD"/>
    <x v="10"/>
    <n v="10000"/>
    <n v="13000"/>
    <n v="1"/>
    <n v="10000"/>
    <n v="13000"/>
    <s v="Aarvi Gupta"/>
    <n v="39000"/>
  </r>
  <r>
    <s v="141176"/>
    <x v="30"/>
    <s v="Kunal Patra"/>
    <s v="26/03/2021"/>
    <s v="Delivered"/>
    <s v="565 GB M.2"/>
    <s v="SSD"/>
    <x v="0"/>
    <n v="6500"/>
    <n v="8450"/>
    <n v="1"/>
    <n v="6500"/>
    <n v="8450"/>
    <s v="Vijay Singh"/>
    <n v="8450"/>
  </r>
  <r>
    <s v="141177"/>
    <x v="30"/>
    <s v="Bijendra"/>
    <s v="26/03/2021"/>
    <s v="Shipped"/>
    <s v="RYZEN 3rd gen. 3553"/>
    <s v="CPU"/>
    <x v="1"/>
    <n v="8500"/>
    <n v="11050"/>
    <n v="2"/>
    <n v="17000"/>
    <n v="22100"/>
    <s v="Aadil Khan"/>
    <n v="33150"/>
  </r>
  <r>
    <s v="141178"/>
    <x v="30"/>
    <s v="Kranti Bheke"/>
    <s v="26/03/2021"/>
    <s v="Order"/>
    <s v="2GB Graphic Card"/>
    <s v="Graphic Card"/>
    <x v="2"/>
    <n v="7000"/>
    <n v="9100"/>
    <n v="1"/>
    <n v="7000"/>
    <n v="9100"/>
    <s v="Advika Joshi"/>
    <n v="18200"/>
  </r>
  <r>
    <s v="141179"/>
    <x v="30"/>
    <s v="Jagdeep"/>
    <s v="26/03/2021"/>
    <s v="Processing"/>
    <s v="69 GB DDR4 RAM"/>
    <s v="NIC"/>
    <x v="3"/>
    <n v="6550"/>
    <n v="8515"/>
    <n v="2"/>
    <n v="13100"/>
    <n v="17030"/>
    <s v="Ajay Sharma"/>
    <n v="9100"/>
  </r>
  <r>
    <s v="141180"/>
    <x v="30"/>
    <s v="Adhir Samal"/>
    <s v="26/03/2021"/>
    <s v="Delivered"/>
    <s v="Standard ATX motherboard"/>
    <s v="Printer"/>
    <x v="4"/>
    <n v="7650"/>
    <n v="9945"/>
    <n v="3"/>
    <n v="22950"/>
    <n v="29835"/>
    <s v="Roshan Kumar"/>
    <n v="11700"/>
  </r>
  <r>
    <s v="141181"/>
    <x v="30"/>
    <s v="Dannana Jhammi"/>
    <s v="26/03/2021"/>
    <s v="Shipped"/>
    <s v="Compact with 1 Fan"/>
    <s v="Cabinet"/>
    <x v="5"/>
    <n v="1150"/>
    <n v="1495"/>
    <n v="1"/>
    <n v="1150"/>
    <n v="1495"/>
    <s v="Aarvi Gupta"/>
    <n v="2990"/>
  </r>
  <r>
    <s v="141182"/>
    <x v="30"/>
    <s v="Vipin Kumar"/>
    <s v="26/03/2021"/>
    <s v="Order"/>
    <s v="USB Backlight Keyboard"/>
    <s v="Keyboard"/>
    <x v="6"/>
    <n v="850"/>
    <n v="1105"/>
    <n v="1"/>
    <n v="850"/>
    <n v="1105"/>
    <s v="Vijay Singh"/>
    <n v="3315"/>
  </r>
  <r>
    <s v="141183"/>
    <x v="30"/>
    <s v="Ranjeet Kumar"/>
    <s v="26/03/2021"/>
    <s v="Processing"/>
    <s v="Ergonomic Mouse"/>
    <s v="Mouse"/>
    <x v="0"/>
    <n v="650"/>
    <n v="845"/>
    <n v="4"/>
    <n v="2600"/>
    <n v="3380"/>
    <s v="Aadil Khan"/>
    <n v="1690"/>
  </r>
  <r>
    <s v="141184"/>
    <x v="30"/>
    <s v="Sajal Singhal"/>
    <s v="26/03/2021"/>
    <s v="Delivered"/>
    <s v="15&quot; LCD Dsipaly"/>
    <s v="Monitor"/>
    <x v="6"/>
    <n v="7500"/>
    <n v="9750"/>
    <n v="3"/>
    <n v="22500"/>
    <n v="29250"/>
    <s v="Advika Joshi"/>
    <n v="9750"/>
  </r>
  <r>
    <s v="141185"/>
    <x v="30"/>
    <s v="Akhilesh Kumar"/>
    <s v="26/03/2021"/>
    <s v="Shipped"/>
    <s v="55 TB HDD"/>
    <s v="HDD"/>
    <x v="7"/>
    <n v="10000"/>
    <n v="13000"/>
    <n v="2"/>
    <n v="20000"/>
    <n v="26000"/>
    <s v="Ajay Sharma"/>
    <n v="39000"/>
  </r>
  <r>
    <s v="141186"/>
    <x v="30"/>
    <s v="Suvankar Chakraborty"/>
    <s v="26/03/2021"/>
    <s v="Order"/>
    <s v="54 TB SSD"/>
    <s v="SSD"/>
    <x v="0"/>
    <n v="10500"/>
    <n v="13650"/>
    <n v="3"/>
    <n v="31500"/>
    <n v="40950"/>
    <s v="Roshan Kumar"/>
    <n v="8450"/>
  </r>
  <r>
    <s v="141187"/>
    <x v="30"/>
    <s v="Suvankar Adhikary"/>
    <s v="26/03/2021"/>
    <s v="Processing"/>
    <s v="Intel i5 12th gen."/>
    <s v="CPU"/>
    <x v="1"/>
    <n v="8500"/>
    <n v="11050"/>
    <n v="4"/>
    <n v="34000"/>
    <n v="44200"/>
    <s v="Aarvi Gupta"/>
    <n v="33150"/>
  </r>
  <r>
    <s v="141188"/>
    <x v="30"/>
    <s v="Rahul Kumar Prajapati"/>
    <s v="26/03/2021"/>
    <s v="Delivered"/>
    <s v="2GB Graphic Card"/>
    <s v="Graphic Card"/>
    <x v="2"/>
    <n v="7000"/>
    <n v="9100"/>
    <n v="2"/>
    <n v="14000"/>
    <n v="18200"/>
    <s v="Vijay Singh"/>
    <n v="18200"/>
  </r>
  <r>
    <s v="141189"/>
    <x v="30"/>
    <s v="Sagar Jeur"/>
    <s v="26/03/2021"/>
    <s v="Shipped"/>
    <s v="57 GB DDR4 Ram"/>
    <s v="NIC"/>
    <x v="3"/>
    <n v="1680"/>
    <n v="2184"/>
    <n v="1"/>
    <n v="1680"/>
    <n v="2184"/>
    <s v="Aadil Khan"/>
    <n v="9100"/>
  </r>
  <r>
    <s v="141190"/>
    <x v="24"/>
    <s v="Rhushikesh Mane"/>
    <s v="27/03/2021"/>
    <s v="Order"/>
    <s v="Micro ATX motherboard"/>
    <s v="Printer"/>
    <x v="8"/>
    <n v="6540"/>
    <n v="8502"/>
    <n v="3"/>
    <n v="19620"/>
    <n v="25506"/>
    <s v="Advika Joshi"/>
    <n v="11700"/>
  </r>
  <r>
    <s v="141191"/>
    <x v="25"/>
    <s v="Ashish Kumar"/>
    <s v="27/03/2021"/>
    <s v="Processing"/>
    <s v="Gaming Box Cabinet"/>
    <s v="Cabinet"/>
    <x v="5"/>
    <n v="2680"/>
    <n v="3484"/>
    <n v="4"/>
    <n v="10720"/>
    <n v="13936"/>
    <s v="Ajay Sharma"/>
    <n v="2990"/>
  </r>
  <r>
    <s v="141192"/>
    <x v="33"/>
    <s v="Javed Akhter"/>
    <s v="27/03/2021"/>
    <s v="Delivered"/>
    <s v="17&quot; LCD Display"/>
    <s v="Monitor"/>
    <x v="0"/>
    <n v="8250"/>
    <n v="10725"/>
    <n v="2"/>
    <n v="16500"/>
    <n v="21450"/>
    <s v="Roshan Kumar"/>
    <n v="9750"/>
  </r>
  <r>
    <s v="141193"/>
    <x v="34"/>
    <s v="Haridas Balraj"/>
    <s v="27/03/2021"/>
    <s v="Shipped"/>
    <s v="61 GB DDR4 RAM"/>
    <s v="RAM"/>
    <x v="0"/>
    <n v="2650"/>
    <n v="3445"/>
    <n v="2"/>
    <n v="5300"/>
    <n v="6890"/>
    <s v="Aarvi Gupta"/>
    <n v="25545"/>
  </r>
  <r>
    <s v="141194"/>
    <x v="4"/>
    <s v="Kundan Kumar"/>
    <s v="27/03/2021"/>
    <s v="Order"/>
    <s v="26&quot; LCD Display"/>
    <s v="Monitor"/>
    <x v="9"/>
    <n v="12550"/>
    <n v="16315"/>
    <n v="3"/>
    <n v="37650"/>
    <n v="48945"/>
    <s v="Vijay Singh"/>
    <n v="9750"/>
  </r>
  <r>
    <s v="141195"/>
    <x v="5"/>
    <s v="Atif Siddiqui"/>
    <s v="27/03/2021"/>
    <s v="Processing"/>
    <s v="I7 - intel 12th Generation"/>
    <s v="CPU"/>
    <x v="1"/>
    <n v="14500"/>
    <n v="18850"/>
    <n v="2"/>
    <n v="29000"/>
    <n v="37700"/>
    <s v="Aadil Khan"/>
    <n v="33150"/>
  </r>
  <r>
    <s v="141196"/>
    <x v="6"/>
    <s v="Aditya Agarwal"/>
    <s v="27/03/2021"/>
    <s v="Delivered"/>
    <s v="USB Keyboard"/>
    <s v="Keyboard"/>
    <x v="6"/>
    <n v="800"/>
    <n v="1040"/>
    <n v="2"/>
    <n v="1600"/>
    <n v="2080"/>
    <s v="Advika Joshi"/>
    <n v="3315"/>
  </r>
  <r>
    <s v="141197"/>
    <x v="30"/>
    <s v="Firdoush Jabee"/>
    <s v="27/03/2021"/>
    <s v="Shipped"/>
    <s v="Wireless Mouse"/>
    <s v="Mouse"/>
    <x v="0"/>
    <n v="600"/>
    <n v="780"/>
    <n v="4"/>
    <n v="2400"/>
    <n v="3120"/>
    <s v="Ajay Sharma"/>
    <n v="1690"/>
  </r>
  <r>
    <s v="141198"/>
    <x v="30"/>
    <s v="Jay Prakash Kumar"/>
    <s v="27/03/2021"/>
    <s v="Order"/>
    <s v="21&quot; LCD Display"/>
    <s v="Monitor"/>
    <x v="6"/>
    <n v="10500"/>
    <n v="13650"/>
    <n v="2"/>
    <n v="21000"/>
    <n v="27300"/>
    <s v="Roshan Kumar"/>
    <n v="9750"/>
  </r>
  <r>
    <s v="141199"/>
    <x v="30"/>
    <s v="Ashish Pandey"/>
    <s v="27/03/2021"/>
    <s v="Processing"/>
    <s v="55 TB HDD"/>
    <s v="HDD"/>
    <x v="10"/>
    <n v="6500"/>
    <n v="8450"/>
    <n v="4"/>
    <n v="26000"/>
    <n v="33800"/>
    <s v="Aarvi Gupta"/>
    <n v="39000"/>
  </r>
  <r>
    <s v="141200"/>
    <x v="30"/>
    <s v="Ajay Sharma"/>
    <s v="27/03/2021"/>
    <s v="Delivered"/>
    <s v="310 GB SSD"/>
    <s v="SSD"/>
    <x v="0"/>
    <n v="4500"/>
    <n v="5850"/>
    <n v="4"/>
    <n v="18000"/>
    <n v="23400"/>
    <s v="Vijay Singh"/>
    <n v="8450"/>
  </r>
  <r>
    <s v="141201"/>
    <x v="30"/>
    <s v="Moinuddin Saifi"/>
    <s v="27/03/2021"/>
    <s v="Shipped"/>
    <s v="Intel i3 11th gen."/>
    <s v="CPU"/>
    <x v="1"/>
    <n v="8500"/>
    <n v="11050"/>
    <n v="3"/>
    <n v="25500"/>
    <n v="33150"/>
    <s v="Aadil Khan"/>
    <n v="33150"/>
  </r>
  <r>
    <s v="141202"/>
    <x v="30"/>
    <s v="Ramkrishna Das Adhikary"/>
    <s v="27/03/2021"/>
    <s v="Order"/>
    <s v="4GB Graphic card"/>
    <s v="Graphic Card"/>
    <x v="2"/>
    <n v="12500"/>
    <n v="16250"/>
    <n v="2"/>
    <n v="25000"/>
    <n v="32500"/>
    <s v="Advika Joshi"/>
    <n v="18200"/>
  </r>
  <r>
    <s v="141203"/>
    <x v="30"/>
    <s v="Ranjeet Mandal"/>
    <s v="27/03/2021"/>
    <s v="Processing"/>
    <s v="62 GB DDR4 RAM"/>
    <s v="RAM"/>
    <x v="3"/>
    <n v="3500"/>
    <n v="4550"/>
    <n v="1"/>
    <n v="3500"/>
    <n v="4550"/>
    <s v="Ajay Sharma"/>
    <n v="25545"/>
  </r>
  <r>
    <s v="141204"/>
    <x v="30"/>
    <s v="Ashwini Adsare"/>
    <s v="27/03/2021"/>
    <s v="Delivered"/>
    <s v="BTX motherboard"/>
    <s v="MotherBoard"/>
    <x v="4"/>
    <n v="4500"/>
    <n v="5850"/>
    <n v="1"/>
    <n v="4500"/>
    <n v="5850"/>
    <s v="Roshan Kumar"/>
    <n v="39780"/>
  </r>
  <r>
    <s v="141205"/>
    <x v="30"/>
    <s v="Rajesh Variya"/>
    <s v="27/03/2021"/>
    <s v="Shipped"/>
    <s v="57 Fans Cabinet"/>
    <s v="Cabinet"/>
    <x v="5"/>
    <n v="2100"/>
    <n v="2730"/>
    <n v="4"/>
    <n v="8400"/>
    <n v="10920"/>
    <s v="Aarvi Gupta"/>
    <n v="2990"/>
  </r>
  <r>
    <s v="141206"/>
    <x v="30"/>
    <s v="Amit Singh"/>
    <s v="27/03/2021"/>
    <s v="Order"/>
    <s v="Wireless Keyboard"/>
    <s v="Keyboard"/>
    <x v="6"/>
    <n v="1150"/>
    <n v="1495"/>
    <n v="3"/>
    <n v="3450"/>
    <n v="4485"/>
    <s v="Vijay Singh"/>
    <n v="3315"/>
  </r>
  <r>
    <s v="141207"/>
    <x v="30"/>
    <s v="Vinod Mehta"/>
    <s v="27/03/2021"/>
    <s v="Processing"/>
    <s v="USB Mouse"/>
    <s v="Mouse"/>
    <x v="0"/>
    <n v="350"/>
    <n v="455"/>
    <n v="3"/>
    <n v="1050"/>
    <n v="1365"/>
    <s v="Aadil Khan"/>
    <n v="1690"/>
  </r>
  <r>
    <s v="141208"/>
    <x v="16"/>
    <s v="Jignesh Mhatre"/>
    <s v="27/03/2021"/>
    <s v="Delivered"/>
    <s v="19&quot; LED Display"/>
    <s v="Monitor"/>
    <x v="6"/>
    <n v="9500"/>
    <n v="12350"/>
    <n v="3"/>
    <n v="28500"/>
    <n v="37050"/>
    <s v="Advika Joshi"/>
    <n v="9750"/>
  </r>
  <r>
    <s v="141209"/>
    <x v="17"/>
    <s v="Rahul Kashyap"/>
    <s v="27/03/2021"/>
    <s v="Shipped"/>
    <s v="56 TB HDD"/>
    <s v="HDD"/>
    <x v="10"/>
    <n v="10000"/>
    <n v="13000"/>
    <n v="4"/>
    <n v="40000"/>
    <n v="52000"/>
    <s v="Ajay Sharma"/>
    <n v="39000"/>
  </r>
  <r>
    <s v="141210"/>
    <x v="18"/>
    <s v="Mohammed Abdul Kaleem"/>
    <s v="27/03/2021"/>
    <s v="Order"/>
    <s v="566 GB M.2"/>
    <s v="SSD"/>
    <x v="0"/>
    <n v="6500"/>
    <n v="8450"/>
    <n v="4"/>
    <n v="26000"/>
    <n v="33800"/>
    <s v="Roshan Kumar"/>
    <n v="8450"/>
  </r>
  <r>
    <s v="141211"/>
    <x v="19"/>
    <s v="Chandrakant Kasbe"/>
    <s v="27/03/2021"/>
    <s v="Processing"/>
    <s v="RYZEN 3rd gen. 3554"/>
    <s v="CPU"/>
    <x v="1"/>
    <n v="8500"/>
    <n v="11050"/>
    <n v="3"/>
    <n v="25500"/>
    <n v="33150"/>
    <s v="Aarvi Gupta"/>
    <n v="33150"/>
  </r>
  <r>
    <s v="141212"/>
    <x v="20"/>
    <s v="Rohan Kale"/>
    <s v="27/03/2021"/>
    <s v="Delivered"/>
    <s v="2GB Graphic Card"/>
    <s v="Graphic Card"/>
    <x v="2"/>
    <n v="7000"/>
    <n v="9100"/>
    <n v="4"/>
    <n v="28000"/>
    <n v="36400"/>
    <s v="Vijay Singh"/>
    <n v="18200"/>
  </r>
  <r>
    <s v="141213"/>
    <x v="16"/>
    <s v="Aniruddha Kekapure"/>
    <s v="27/03/2021"/>
    <s v="Shipped"/>
    <s v="70 GB DDR4 RAM"/>
    <s v="RAM"/>
    <x v="3"/>
    <n v="6550"/>
    <n v="8515"/>
    <n v="3"/>
    <n v="19650"/>
    <n v="25545"/>
    <s v="Aadil Khan"/>
    <n v="25545"/>
  </r>
  <r>
    <s v="141214"/>
    <x v="17"/>
    <s v="Aslam Raza"/>
    <s v="27/03/2021"/>
    <s v="Order"/>
    <s v="Standard ATX motherboard"/>
    <s v="MotherBoard"/>
    <x v="4"/>
    <n v="7650"/>
    <n v="9945"/>
    <n v="4"/>
    <n v="30600"/>
    <n v="39780"/>
    <s v="Advika Joshi"/>
    <n v="39780"/>
  </r>
  <r>
    <s v="141215"/>
    <x v="21"/>
    <s v="Roshan Zameer"/>
    <s v="27/03/2021"/>
    <s v="Processing"/>
    <s v="Compact with 1 Fan"/>
    <s v="Cabinet"/>
    <x v="5"/>
    <n v="1150"/>
    <n v="1495"/>
    <n v="4"/>
    <n v="4600"/>
    <n v="5980"/>
    <s v="Ajay Sharma"/>
    <n v="2990"/>
  </r>
  <r>
    <s v="141216"/>
    <x v="22"/>
    <s v="Rakesh Kumar Sharma"/>
    <s v="27/03/2021"/>
    <s v="Delivered"/>
    <s v="USB Backlight Keyboard"/>
    <s v="Keyboard"/>
    <x v="6"/>
    <n v="850"/>
    <n v="1105"/>
    <n v="3"/>
    <n v="2550"/>
    <n v="3315"/>
    <s v="Roshan Kumar"/>
    <n v="3315"/>
  </r>
  <r>
    <s v="141217"/>
    <x v="28"/>
    <s v="Shivanand Sahani"/>
    <s v="27/03/2021"/>
    <s v="Shipped"/>
    <s v="Ergonomic Mouse"/>
    <s v="Mouse"/>
    <x v="0"/>
    <n v="650"/>
    <n v="845"/>
    <n v="2"/>
    <n v="1300"/>
    <n v="1690"/>
    <s v="Aarvi Gupta"/>
    <n v="1690"/>
  </r>
  <r>
    <s v="141218"/>
    <x v="29"/>
    <s v="Kunal Patra"/>
    <s v="27/03/2021"/>
    <s v="Order"/>
    <s v="15&quot; LCD Dsipaly"/>
    <s v="Monitor"/>
    <x v="6"/>
    <n v="7500"/>
    <n v="9750"/>
    <n v="2"/>
    <n v="15000"/>
    <n v="19500"/>
    <s v="Vijay Singh"/>
    <n v="9750"/>
  </r>
  <r>
    <s v="141219"/>
    <x v="30"/>
    <s v="Bijendra"/>
    <s v="27/03/2021"/>
    <s v="Processing"/>
    <s v="56 TB HDD"/>
    <s v="HDD"/>
    <x v="7"/>
    <n v="10000"/>
    <n v="13000"/>
    <n v="4"/>
    <n v="40000"/>
    <n v="52000"/>
    <s v="Aadil Khan"/>
    <n v="39000"/>
  </r>
  <r>
    <s v="141220"/>
    <x v="30"/>
    <s v="Kranti Bheke"/>
    <s v="27/03/2021"/>
    <s v="Delivered"/>
    <s v="55 TB SSD"/>
    <s v="SSD"/>
    <x v="0"/>
    <n v="10500"/>
    <n v="13650"/>
    <n v="1"/>
    <n v="10500"/>
    <n v="13650"/>
    <s v="Advika Joshi"/>
    <n v="8450"/>
  </r>
  <r>
    <s v="141221"/>
    <x v="30"/>
    <s v="Jagdeep"/>
    <s v="27/03/2021"/>
    <s v="Shipped"/>
    <s v="Intel i5 12th gen."/>
    <s v="CPU"/>
    <x v="1"/>
    <n v="8500"/>
    <n v="11050"/>
    <n v="1"/>
    <n v="8500"/>
    <n v="11050"/>
    <s v="Ajay Sharma"/>
    <n v="33150"/>
  </r>
  <r>
    <s v="141222"/>
    <x v="30"/>
    <s v="Adhir Samal"/>
    <s v="28/03/2021"/>
    <s v="Order"/>
    <s v="2GB Graphic Card"/>
    <s v="Graphic Card"/>
    <x v="2"/>
    <n v="7000"/>
    <n v="9100"/>
    <n v="1"/>
    <n v="7000"/>
    <n v="9100"/>
    <s v="Roshan Kumar"/>
    <n v="18200"/>
  </r>
  <r>
    <s v="141223"/>
    <x v="30"/>
    <s v="Dannana Jhammi"/>
    <s v="28/03/2021"/>
    <s v="Processing"/>
    <s v="58 GB DDR4 Ram"/>
    <s v="RAM"/>
    <x v="3"/>
    <n v="1680"/>
    <n v="2184"/>
    <n v="4"/>
    <n v="6720"/>
    <n v="8736"/>
    <s v="Aarvi Gupta"/>
    <n v="25545"/>
  </r>
  <r>
    <s v="141224"/>
    <x v="30"/>
    <s v="Vipin Kumar"/>
    <s v="28/03/2021"/>
    <s v="Delivered"/>
    <s v="Micro ATX motherboard"/>
    <s v="MotherBoard"/>
    <x v="8"/>
    <n v="6540"/>
    <n v="8502"/>
    <n v="2"/>
    <n v="13080"/>
    <n v="17004"/>
    <s v="Vijay Singh"/>
    <n v="39780"/>
  </r>
  <r>
    <s v="141225"/>
    <x v="30"/>
    <s v="Ranjeet Kumar"/>
    <s v="28/03/2021"/>
    <s v="Shipped"/>
    <s v="Gaming Box Cabinet"/>
    <s v="Cabinet"/>
    <x v="5"/>
    <n v="2680"/>
    <n v="3484"/>
    <n v="2"/>
    <n v="5360"/>
    <n v="6968"/>
    <s v="Aadil Khan"/>
    <n v="2990"/>
  </r>
  <r>
    <s v="141226"/>
    <x v="30"/>
    <s v="Sajal Singhal"/>
    <s v="28/03/2021"/>
    <s v="Order"/>
    <s v="17&quot; LCD Display"/>
    <s v="Monitor"/>
    <x v="0"/>
    <n v="8250"/>
    <n v="10725"/>
    <n v="4"/>
    <n v="33000"/>
    <n v="42900"/>
    <s v="Advika Joshi"/>
    <n v="9750"/>
  </r>
  <r>
    <s v="141227"/>
    <x v="30"/>
    <s v="Akhilesh Kumar"/>
    <s v="28/03/2021"/>
    <s v="Processing"/>
    <s v="62 GB DDR4 RAM"/>
    <s v="RAM"/>
    <x v="0"/>
    <n v="2650"/>
    <n v="3445"/>
    <n v="2"/>
    <n v="5300"/>
    <n v="6890"/>
    <s v="Ajay Sharma"/>
    <n v="25545"/>
  </r>
  <r>
    <s v="141228"/>
    <x v="30"/>
    <s v="Suvankar Chakraborty"/>
    <s v="28/03/2021"/>
    <s v="Delivered"/>
    <s v="26&quot; LCD Display"/>
    <s v="Monitor"/>
    <x v="9"/>
    <n v="12550"/>
    <n v="16315"/>
    <n v="3"/>
    <n v="37650"/>
    <n v="48945"/>
    <s v="Roshan Kumar"/>
    <n v="9750"/>
  </r>
  <r>
    <s v="141229"/>
    <x v="30"/>
    <s v="Suvankar Adhikary"/>
    <s v="28/03/2021"/>
    <s v="Shipped"/>
    <s v="I7 - intel 12th Generation"/>
    <s v="CPU"/>
    <x v="1"/>
    <n v="14500"/>
    <n v="18850"/>
    <n v="2"/>
    <n v="29000"/>
    <n v="37700"/>
    <s v="Aarvi Gupta"/>
    <n v="33150"/>
  </r>
  <r>
    <s v="141230"/>
    <x v="30"/>
    <s v="Rahul Kumar Prajapati"/>
    <s v="28/03/2021"/>
    <s v="Order"/>
    <s v="USB Keyboard"/>
    <s v="Keyboard"/>
    <x v="6"/>
    <n v="800"/>
    <n v="1040"/>
    <n v="1"/>
    <n v="800"/>
    <n v="1040"/>
    <s v="Vijay Singh"/>
    <n v="3315"/>
  </r>
  <r>
    <s v="141231"/>
    <x v="4"/>
    <s v="Sagar Jeur"/>
    <s v="28/03/2021"/>
    <s v="Processing"/>
    <s v="Wireless Mouse"/>
    <s v="Mouse"/>
    <x v="0"/>
    <n v="600"/>
    <n v="780"/>
    <n v="3"/>
    <n v="1800"/>
    <n v="2340"/>
    <s v="Aadil Khan"/>
    <n v="1690"/>
  </r>
  <r>
    <s v="141232"/>
    <x v="5"/>
    <s v="Rhushikesh Mane"/>
    <s v="28/03/2021"/>
    <s v="Delivered"/>
    <s v="21&quot; LCD Display"/>
    <s v="Monitor"/>
    <x v="6"/>
    <n v="10500"/>
    <n v="13650"/>
    <n v="2"/>
    <n v="21000"/>
    <n v="27300"/>
    <s v="Advika Joshi"/>
    <n v="9750"/>
  </r>
  <r>
    <s v="141233"/>
    <x v="6"/>
    <s v="Ashish Kumar"/>
    <s v="28/03/2021"/>
    <s v="Shipped"/>
    <s v="56 TB HDD"/>
    <s v="HDD"/>
    <x v="10"/>
    <n v="6500"/>
    <n v="8450"/>
    <n v="1"/>
    <n v="6500"/>
    <n v="8450"/>
    <s v="Ajay Sharma"/>
    <n v="39000"/>
  </r>
  <r>
    <s v="141234"/>
    <x v="7"/>
    <s v="Javed Akhter"/>
    <s v="28/03/2021"/>
    <s v="Order"/>
    <s v="311 GB SSD"/>
    <s v="SSD"/>
    <x v="0"/>
    <n v="4500"/>
    <n v="5850"/>
    <n v="4"/>
    <n v="18000"/>
    <n v="23400"/>
    <s v="Roshan Kumar"/>
    <n v="8450"/>
  </r>
  <r>
    <s v="141235"/>
    <x v="26"/>
    <s v="Haridas Balraj"/>
    <s v="28/03/2021"/>
    <s v="Processing"/>
    <s v="Intel i3 11th gen."/>
    <s v="CPU"/>
    <x v="1"/>
    <n v="8500"/>
    <n v="11050"/>
    <n v="2"/>
    <n v="17000"/>
    <n v="22100"/>
    <s v="Aarvi Gupta"/>
    <n v="33150"/>
  </r>
  <r>
    <s v="141236"/>
    <x v="27"/>
    <s v="Kundan Kumar"/>
    <s v="28/03/2021"/>
    <s v="Delivered"/>
    <s v="4GB Graphic card"/>
    <s v="Graphic Card"/>
    <x v="2"/>
    <n v="12500"/>
    <n v="16250"/>
    <n v="3"/>
    <n v="37500"/>
    <n v="48750"/>
    <s v="Vijay Singh"/>
    <n v="18200"/>
  </r>
  <r>
    <s v="141237"/>
    <x v="8"/>
    <s v="Atif Siddiqui"/>
    <s v="28/03/2021"/>
    <s v="Shipped"/>
    <s v="63 GB DDR4 RAM"/>
    <s v="Computer Case"/>
    <x v="3"/>
    <n v="3500"/>
    <n v="4550"/>
    <n v="3"/>
    <n v="10500"/>
    <n v="13650"/>
    <s v="Aadil Khan"/>
    <n v="13650"/>
  </r>
  <r>
    <s v="141238"/>
    <x v="9"/>
    <s v="Aditya Agarwal"/>
    <s v="28/03/2021"/>
    <s v="Order"/>
    <s v="BTX motherboard"/>
    <s v="Mouse"/>
    <x v="4"/>
    <n v="4500"/>
    <n v="5850"/>
    <n v="3"/>
    <n v="13500"/>
    <n v="17550"/>
    <s v="Advika Joshi"/>
    <n v="1690"/>
  </r>
  <r>
    <s v="141239"/>
    <x v="10"/>
    <s v="Firdoush Jabee"/>
    <s v="28/03/2021"/>
    <s v="Processing"/>
    <s v="58 Fans Cabinet"/>
    <s v="Cabinet"/>
    <x v="5"/>
    <n v="2100"/>
    <n v="2730"/>
    <n v="4"/>
    <n v="8400"/>
    <n v="10920"/>
    <s v="Ajay Sharma"/>
    <n v="2990"/>
  </r>
  <r>
    <s v="141240"/>
    <x v="30"/>
    <s v="Jay Prakash Kumar"/>
    <s v="28/03/2021"/>
    <s v="Delivered"/>
    <s v="Wireless Keyboard"/>
    <s v="Keyboard"/>
    <x v="6"/>
    <n v="1150"/>
    <n v="1495"/>
    <n v="1"/>
    <n v="1150"/>
    <n v="1495"/>
    <s v="Roshan Kumar"/>
    <n v="3315"/>
  </r>
  <r>
    <s v="141241"/>
    <x v="30"/>
    <s v="Ashish Pandey"/>
    <s v="28/03/2021"/>
    <s v="Shipped"/>
    <s v="USB Mouse"/>
    <s v="Mouse"/>
    <x v="0"/>
    <n v="350"/>
    <n v="455"/>
    <n v="1"/>
    <n v="350"/>
    <n v="455"/>
    <s v="Aarvi Gupta"/>
    <n v="1690"/>
  </r>
  <r>
    <s v="141242"/>
    <x v="30"/>
    <s v="Ajay Sharma"/>
    <s v="28/03/2021"/>
    <s v="Order"/>
    <s v="19&quot; LED Display"/>
    <s v="Monitor"/>
    <x v="6"/>
    <n v="9500"/>
    <n v="12350"/>
    <n v="4"/>
    <n v="38000"/>
    <n v="49400"/>
    <s v="Vijay Singh"/>
    <n v="9750"/>
  </r>
  <r>
    <s v="141243"/>
    <x v="30"/>
    <s v="Moinuddin Saifi"/>
    <s v="28/03/2021"/>
    <s v="Processing"/>
    <s v="57 TB HDD"/>
    <s v="HDD"/>
    <x v="10"/>
    <n v="10000"/>
    <n v="13000"/>
    <n v="1"/>
    <n v="10000"/>
    <n v="13000"/>
    <s v="Aadil Khan"/>
    <n v="39000"/>
  </r>
  <r>
    <s v="141244"/>
    <x v="30"/>
    <s v="Ramkrishna Das Adhikary"/>
    <s v="28/03/2021"/>
    <s v="Delivered"/>
    <s v="567 GB M.2"/>
    <s v="SSD"/>
    <x v="0"/>
    <n v="6500"/>
    <n v="8450"/>
    <n v="4"/>
    <n v="26000"/>
    <n v="33800"/>
    <s v="Advika Joshi"/>
    <n v="8450"/>
  </r>
  <r>
    <s v="141245"/>
    <x v="30"/>
    <s v="Ranjeet Mandal"/>
    <s v="28/03/2021"/>
    <s v="Shipped"/>
    <s v="RYZEN 3rd gen. 3555"/>
    <s v="CPU"/>
    <x v="1"/>
    <n v="8500"/>
    <n v="11050"/>
    <n v="1"/>
    <n v="8500"/>
    <n v="11050"/>
    <s v="Ajay Sharma"/>
    <n v="33150"/>
  </r>
  <r>
    <s v="141246"/>
    <x v="30"/>
    <s v="Ashwini Adsare"/>
    <s v="28/03/2021"/>
    <s v="Order"/>
    <s v="2GB Graphic Card"/>
    <s v="Graphic Card"/>
    <x v="2"/>
    <n v="7000"/>
    <n v="9100"/>
    <n v="4"/>
    <n v="28000"/>
    <n v="36400"/>
    <s v="Roshan Kumar"/>
    <n v="18200"/>
  </r>
  <r>
    <s v="141247"/>
    <x v="30"/>
    <s v="Rajesh Variya"/>
    <s v="28/03/2021"/>
    <s v="Processing"/>
    <s v="71 GB DDR4 RAM"/>
    <s v="Computer Case"/>
    <x v="3"/>
    <n v="6550"/>
    <n v="8515"/>
    <n v="3"/>
    <n v="19650"/>
    <n v="25545"/>
    <s v="Aarvi Gupta"/>
    <n v="13650"/>
  </r>
  <r>
    <s v="141248"/>
    <x v="30"/>
    <s v="Amit Singh"/>
    <s v="28/03/2021"/>
    <s v="Delivered"/>
    <s v="Standard ATX motherboard"/>
    <s v="Mouse"/>
    <x v="4"/>
    <n v="7650"/>
    <n v="9945"/>
    <n v="4"/>
    <n v="30600"/>
    <n v="39780"/>
    <s v="Vijay Singh"/>
    <n v="1690"/>
  </r>
  <r>
    <s v="141249"/>
    <x v="30"/>
    <s v="Vinod Mehta"/>
    <s v="28/03/2021"/>
    <s v="Shipped"/>
    <s v="Compact with 1 Fan"/>
    <s v="Cabinet"/>
    <x v="5"/>
    <n v="1150"/>
    <n v="1495"/>
    <n v="3"/>
    <n v="3450"/>
    <n v="4485"/>
    <s v="Aadil Khan"/>
    <n v="2990"/>
  </r>
  <r>
    <s v="141250"/>
    <x v="30"/>
    <s v="Jignesh Mhatre"/>
    <s v="28/03/2021"/>
    <s v="Order"/>
    <s v="USB Backlight Keyboard"/>
    <s v="Keyboard"/>
    <x v="6"/>
    <n v="850"/>
    <n v="1105"/>
    <n v="2"/>
    <n v="1700"/>
    <n v="2210"/>
    <s v="Advika Joshi"/>
    <n v="3315"/>
  </r>
  <r>
    <s v="141251"/>
    <x v="17"/>
    <s v="Rahul Kashyap"/>
    <s v="28/03/2021"/>
    <s v="Processing"/>
    <s v="Ergonomic Mouse"/>
    <s v="Mouse"/>
    <x v="0"/>
    <n v="650"/>
    <n v="845"/>
    <n v="4"/>
    <n v="2600"/>
    <n v="3380"/>
    <s v="Ajay Sharma"/>
    <n v="1690"/>
  </r>
  <r>
    <s v="141252"/>
    <x v="21"/>
    <s v="Mohammed Abdul Kaleem"/>
    <s v="28/03/2021"/>
    <s v="Delivered"/>
    <s v="15&quot; LCD Dsipaly"/>
    <s v="Monitor"/>
    <x v="6"/>
    <n v="7500"/>
    <n v="9750"/>
    <n v="2"/>
    <n v="15000"/>
    <n v="19500"/>
    <s v="Roshan Kumar"/>
    <n v="9750"/>
  </r>
  <r>
    <s v="141253"/>
    <x v="22"/>
    <s v="Chandrakant Kasbe"/>
    <s v="28/03/2021"/>
    <s v="Shipped"/>
    <s v="57 TB HDD"/>
    <s v="HDD"/>
    <x v="7"/>
    <n v="10000"/>
    <n v="13000"/>
    <n v="3"/>
    <n v="30000"/>
    <n v="39000"/>
    <s v="Aarvi Gupta"/>
    <n v="39000"/>
  </r>
  <r>
    <s v="141254"/>
    <x v="28"/>
    <s v="Rohan Kale"/>
    <s v="28/03/2021"/>
    <s v="Order"/>
    <s v="56 TB SSD"/>
    <s v="SSD"/>
    <x v="0"/>
    <n v="10500"/>
    <n v="13650"/>
    <n v="3"/>
    <n v="31500"/>
    <n v="40950"/>
    <s v="Vijay Singh"/>
    <n v="8450"/>
  </r>
  <r>
    <s v="141255"/>
    <x v="29"/>
    <s v="Aniruddha Kekapure"/>
    <s v="28/03/2021"/>
    <s v="Processing"/>
    <s v="Intel i5 12th gen."/>
    <s v="CPU"/>
    <x v="1"/>
    <n v="8500"/>
    <n v="11050"/>
    <n v="2"/>
    <n v="17000"/>
    <n v="22100"/>
    <s v="Aadil Khan"/>
    <n v="33150"/>
  </r>
  <r>
    <s v="141256"/>
    <x v="30"/>
    <s v="Aslam Raza"/>
    <s v="28/03/2021"/>
    <s v="Delivered"/>
    <s v="2GB Graphic Card"/>
    <s v="Graphic Card"/>
    <x v="2"/>
    <n v="7000"/>
    <n v="9100"/>
    <n v="1"/>
    <n v="7000"/>
    <n v="9100"/>
    <s v="Advika Joshi"/>
    <n v="18200"/>
  </r>
  <r>
    <s v="141257"/>
    <x v="31"/>
    <s v="Roshan Zameer"/>
    <s v="28/03/2021"/>
    <s v="Shipped"/>
    <s v="59 GB DDR4 Ram"/>
    <s v="Computer Case"/>
    <x v="3"/>
    <n v="1680"/>
    <n v="2184"/>
    <n v="1"/>
    <n v="1680"/>
    <n v="2184"/>
    <s v="Ajay Sharma"/>
    <n v="13650"/>
  </r>
  <r>
    <s v="141258"/>
    <x v="32"/>
    <s v="Rakesh Kumar Sharma"/>
    <s v="28/03/2021"/>
    <s v="Order"/>
    <s v="Micro ATX motherboard"/>
    <s v="Mouse"/>
    <x v="8"/>
    <n v="6540"/>
    <n v="8502"/>
    <n v="3"/>
    <n v="19620"/>
    <n v="25506"/>
    <s v="Roshan Kumar"/>
    <n v="1690"/>
  </r>
  <r>
    <s v="141259"/>
    <x v="0"/>
    <s v="Shivanand Sahani"/>
    <s v="28/03/2021"/>
    <s v="Processing"/>
    <s v="Gaming Box Cabinet"/>
    <s v="Cabinet"/>
    <x v="5"/>
    <n v="2680"/>
    <n v="3484"/>
    <n v="3"/>
    <n v="8040"/>
    <n v="10452"/>
    <s v="Aarvi Gupta"/>
    <n v="2990"/>
  </r>
  <r>
    <s v="141260"/>
    <x v="23"/>
    <s v="Kunal Patra"/>
    <s v="29/03/2021"/>
    <s v="Delivered"/>
    <s v="17&quot; LCD Display"/>
    <s v="Monitor"/>
    <x v="0"/>
    <n v="8250"/>
    <n v="10725"/>
    <n v="2"/>
    <n v="16500"/>
    <n v="21450"/>
    <s v="Vijay Singh"/>
    <n v="9750"/>
  </r>
  <r>
    <s v="141261"/>
    <x v="30"/>
    <s v="Bijendra"/>
    <s v="29/03/2021"/>
    <s v="Shipped"/>
    <s v="63 GB DDR4 RAM"/>
    <s v="RAM"/>
    <x v="0"/>
    <n v="2650"/>
    <n v="3445"/>
    <n v="3"/>
    <n v="7950"/>
    <n v="10335"/>
    <s v="Aadil Khan"/>
    <n v="25545"/>
  </r>
  <r>
    <s v="141262"/>
    <x v="30"/>
    <s v="Kranti Bheke"/>
    <s v="29/03/2021"/>
    <s v="Order"/>
    <s v="26&quot; LCD Display"/>
    <s v="Monitor"/>
    <x v="9"/>
    <n v="12550"/>
    <n v="16315"/>
    <n v="4"/>
    <n v="50200"/>
    <n v="65260"/>
    <s v="Advika Joshi"/>
    <n v="9750"/>
  </r>
  <r>
    <s v="141263"/>
    <x v="30"/>
    <s v="Jagdeep"/>
    <s v="29/03/2021"/>
    <s v="Processing"/>
    <s v="I7 - intel 12th Generation"/>
    <s v="CPU"/>
    <x v="1"/>
    <n v="14500"/>
    <n v="18850"/>
    <n v="1"/>
    <n v="14500"/>
    <n v="18850"/>
    <s v="Ajay Sharma"/>
    <n v="33150"/>
  </r>
  <r>
    <s v="141264"/>
    <x v="30"/>
    <s v="Adhir Samal"/>
    <s v="29/03/2021"/>
    <s v="Delivered"/>
    <s v="USB Keyboard"/>
    <s v="Keyboard"/>
    <x v="6"/>
    <n v="800"/>
    <n v="1040"/>
    <n v="3"/>
    <n v="2400"/>
    <n v="3120"/>
    <s v="Ajay Sharma"/>
    <n v="3315"/>
  </r>
  <r>
    <s v="141265"/>
    <x v="30"/>
    <s v="Dannana Jhammi"/>
    <s v="29/03/2021"/>
    <s v="Shipped"/>
    <s v="Wireless Mouse"/>
    <s v="Mouse"/>
    <x v="0"/>
    <n v="600"/>
    <n v="780"/>
    <n v="1"/>
    <n v="600"/>
    <n v="780"/>
    <s v="Roshan Kumar"/>
    <n v="1690"/>
  </r>
  <r>
    <s v="141266"/>
    <x v="30"/>
    <s v="Vipin Kumar"/>
    <s v="29/03/2021"/>
    <s v="Order"/>
    <s v="21&quot; LCD Display"/>
    <s v="Monitor"/>
    <x v="6"/>
    <n v="10500"/>
    <n v="13650"/>
    <n v="4"/>
    <n v="42000"/>
    <n v="54600"/>
    <s v="Aarvi Gupta"/>
    <n v="9750"/>
  </r>
  <r>
    <s v="141267"/>
    <x v="30"/>
    <s v="Ranjeet Kumar"/>
    <s v="29/03/2021"/>
    <s v="Processing"/>
    <s v="57 TB HDD"/>
    <s v="HDD"/>
    <x v="10"/>
    <n v="6500"/>
    <n v="8450"/>
    <n v="1"/>
    <n v="6500"/>
    <n v="8450"/>
    <s v="Vijay Singh"/>
    <n v="39000"/>
  </r>
  <r>
    <s v="141268"/>
    <x v="30"/>
    <s v="Sajal Singhal"/>
    <s v="29/03/2021"/>
    <s v="Delivered"/>
    <s v="312 GB SSD"/>
    <s v="SSD"/>
    <x v="0"/>
    <n v="4500"/>
    <n v="5850"/>
    <n v="3"/>
    <n v="13500"/>
    <n v="17550"/>
    <s v="Aadil Khan"/>
    <n v="8450"/>
  </r>
  <r>
    <s v="141269"/>
    <x v="30"/>
    <s v="Akhilesh Kumar"/>
    <s v="29/03/2021"/>
    <s v="Shipped"/>
    <s v="Intel i3 11th gen."/>
    <s v="CPU"/>
    <x v="1"/>
    <n v="8500"/>
    <n v="11050"/>
    <n v="4"/>
    <n v="34000"/>
    <n v="44200"/>
    <s v="Advika Joshi"/>
    <n v="33150"/>
  </r>
  <r>
    <s v="141270"/>
    <x v="30"/>
    <s v="Suvankar Chakraborty"/>
    <s v="29/03/2021"/>
    <s v="Order"/>
    <s v="4GB Graphic card"/>
    <s v="Graphic Card"/>
    <x v="2"/>
    <n v="12500"/>
    <n v="16250"/>
    <n v="4"/>
    <n v="50000"/>
    <n v="65000"/>
    <s v="Ajay Sharma"/>
    <n v="18200"/>
  </r>
  <r>
    <s v="141271"/>
    <x v="30"/>
    <s v="Suvankar Adhikary"/>
    <s v="29/03/2021"/>
    <s v="Processing"/>
    <s v="64 GB DDR4 RAM"/>
    <s v="NIC"/>
    <x v="3"/>
    <n v="3500"/>
    <n v="4550"/>
    <n v="2"/>
    <n v="7000"/>
    <n v="9100"/>
    <s v="Roshan Kumar"/>
    <n v="9100"/>
  </r>
  <r>
    <s v="141272"/>
    <x v="26"/>
    <s v="Rahul Kumar Prajapati"/>
    <s v="29/03/2021"/>
    <s v="Delivered"/>
    <s v="BTX motherboard"/>
    <s v="Printer"/>
    <x v="4"/>
    <n v="4500"/>
    <n v="5850"/>
    <n v="3"/>
    <n v="13500"/>
    <n v="17550"/>
    <s v="Aarvi Gupta"/>
    <n v="11700"/>
  </r>
  <r>
    <s v="141273"/>
    <x v="27"/>
    <s v="Sagar Jeur"/>
    <s v="29/03/2021"/>
    <s v="Shipped"/>
    <s v="59 Fans Cabinet"/>
    <s v="Cabinet"/>
    <x v="5"/>
    <n v="2100"/>
    <n v="2730"/>
    <n v="2"/>
    <n v="4200"/>
    <n v="5460"/>
    <s v="Vijay Singh"/>
    <n v="2990"/>
  </r>
  <r>
    <s v="141274"/>
    <x v="8"/>
    <s v="Rhushikesh Mane"/>
    <s v="29/03/2021"/>
    <s v="Order"/>
    <s v="Wireless Keyboard"/>
    <s v="Keyboard"/>
    <x v="6"/>
    <n v="1150"/>
    <n v="1495"/>
    <n v="2"/>
    <n v="2300"/>
    <n v="2990"/>
    <s v="Aadil Khan"/>
    <n v="3315"/>
  </r>
  <r>
    <s v="141275"/>
    <x v="9"/>
    <s v="Ashish Kumar"/>
    <s v="29/03/2021"/>
    <s v="Processing"/>
    <s v="USB Mouse"/>
    <s v="Mouse"/>
    <x v="0"/>
    <n v="350"/>
    <n v="455"/>
    <n v="1"/>
    <n v="350"/>
    <n v="455"/>
    <s v="Advika Joshi"/>
    <n v="1690"/>
  </r>
  <r>
    <s v="141276"/>
    <x v="10"/>
    <s v="Javed Akhter"/>
    <s v="29/03/2021"/>
    <s v="Delivered"/>
    <s v="19&quot; LED Display"/>
    <s v="Monitor"/>
    <x v="6"/>
    <n v="9500"/>
    <n v="12350"/>
    <n v="1"/>
    <n v="9500"/>
    <n v="12350"/>
    <s v="Ajay Sharma"/>
    <n v="9750"/>
  </r>
  <r>
    <s v="141277"/>
    <x v="11"/>
    <s v="Haridas Balraj"/>
    <s v="29/03/2021"/>
    <s v="Shipped"/>
    <s v="58 TB HDD"/>
    <s v="HDD"/>
    <x v="10"/>
    <n v="10000"/>
    <n v="13000"/>
    <n v="1"/>
    <n v="10000"/>
    <n v="13000"/>
    <s v="Roshan Kumar"/>
    <n v="39000"/>
  </r>
  <r>
    <s v="141278"/>
    <x v="12"/>
    <s v="Kundan Kumar"/>
    <s v="29/03/2021"/>
    <s v="Order"/>
    <s v="568 GB M.2"/>
    <s v="SSD"/>
    <x v="0"/>
    <n v="6500"/>
    <n v="8450"/>
    <n v="3"/>
    <n v="19500"/>
    <n v="25350"/>
    <s v="Aarvi Gupta"/>
    <n v="8450"/>
  </r>
  <r>
    <s v="141279"/>
    <x v="13"/>
    <s v="Atif Siddiqui"/>
    <s v="29/03/2021"/>
    <s v="Processing"/>
    <s v="RYZEN 3rd gen. 3556"/>
    <s v="CPU"/>
    <x v="1"/>
    <n v="8500"/>
    <n v="11050"/>
    <n v="1"/>
    <n v="8500"/>
    <n v="11050"/>
    <s v="Vijay Singh"/>
    <n v="33150"/>
  </r>
  <r>
    <s v="141280"/>
    <x v="14"/>
    <s v="Aditya Agarwal"/>
    <s v="29/03/2021"/>
    <s v="Delivered"/>
    <s v="2GB Graphic Card"/>
    <s v="Graphic Card"/>
    <x v="2"/>
    <n v="7000"/>
    <n v="9100"/>
    <n v="2"/>
    <n v="14000"/>
    <n v="18200"/>
    <s v="Aadil Khan"/>
    <n v="18200"/>
  </r>
  <r>
    <s v="141281"/>
    <x v="15"/>
    <s v="Firdoush Jabee"/>
    <s v="29/03/2021"/>
    <s v="Shipped"/>
    <s v="72 GB DDR4 RAM"/>
    <s v="NIC"/>
    <x v="3"/>
    <n v="6550"/>
    <n v="8515"/>
    <n v="4"/>
    <n v="26200"/>
    <n v="34060"/>
    <s v="Advika Joshi"/>
    <n v="9100"/>
  </r>
  <r>
    <s v="141282"/>
    <x v="16"/>
    <s v="Jay Prakash Kumar"/>
    <s v="29/03/2021"/>
    <s v="Order"/>
    <s v="Standard ATX motherboard"/>
    <s v="Printer"/>
    <x v="4"/>
    <n v="7650"/>
    <n v="9945"/>
    <n v="1"/>
    <n v="7650"/>
    <n v="9945"/>
    <s v="Ajay Sharma"/>
    <n v="11700"/>
  </r>
  <r>
    <s v="141283"/>
    <x v="17"/>
    <s v="Ashish Pandey"/>
    <s v="29/03/2021"/>
    <s v="Processing"/>
    <s v="Compact with 1 Fan"/>
    <s v="Cabinet"/>
    <x v="5"/>
    <n v="1150"/>
    <n v="1495"/>
    <n v="3"/>
    <n v="3450"/>
    <n v="4485"/>
    <s v="Roshan Kumar"/>
    <n v="2990"/>
  </r>
  <r>
    <s v="141284"/>
    <x v="18"/>
    <s v="Ajay Sharma"/>
    <s v="29/03/2021"/>
    <s v="Delivered"/>
    <s v="USB Backlight Keyboard"/>
    <s v="Keyboard"/>
    <x v="6"/>
    <n v="850"/>
    <n v="1105"/>
    <n v="3"/>
    <n v="2550"/>
    <n v="3315"/>
    <s v="Aarvi Gupta"/>
    <n v="3315"/>
  </r>
  <r>
    <s v="141285"/>
    <x v="19"/>
    <s v="Moinuddin Saifi"/>
    <s v="29/03/2021"/>
    <s v="Shipped"/>
    <s v="Ergonomic Mouse"/>
    <s v="Mouse"/>
    <x v="0"/>
    <n v="650"/>
    <n v="845"/>
    <n v="4"/>
    <n v="2600"/>
    <n v="3380"/>
    <s v="Vijay Singh"/>
    <n v="1690"/>
  </r>
  <r>
    <s v="141286"/>
    <x v="20"/>
    <s v="Ramkrishna Das Adhikary"/>
    <s v="29/03/2021"/>
    <s v="Order"/>
    <s v="15&quot; LCD Dsipaly"/>
    <s v="Monitor"/>
    <x v="6"/>
    <n v="7500"/>
    <n v="9750"/>
    <n v="3"/>
    <n v="22500"/>
    <n v="29250"/>
    <s v="Aadil Khan"/>
    <n v="9750"/>
  </r>
  <r>
    <s v="141287"/>
    <x v="16"/>
    <s v="Ranjeet Mandal"/>
    <s v="29/03/2021"/>
    <s v="Processing"/>
    <s v="58 TB HDD"/>
    <s v="HDD"/>
    <x v="7"/>
    <n v="10000"/>
    <n v="13000"/>
    <n v="3"/>
    <n v="30000"/>
    <n v="39000"/>
    <s v="Advika Joshi"/>
    <n v="39000"/>
  </r>
  <r>
    <s v="141288"/>
    <x v="17"/>
    <s v="Ashwini Adsare"/>
    <s v="29/03/2021"/>
    <s v="Delivered"/>
    <s v="57 TB SSD"/>
    <s v="SSD"/>
    <x v="0"/>
    <n v="10500"/>
    <n v="13650"/>
    <n v="1"/>
    <n v="10500"/>
    <n v="13650"/>
    <s v="Ajay Sharma"/>
    <n v="8450"/>
  </r>
  <r>
    <s v="141289"/>
    <x v="21"/>
    <s v="Rajesh Variya"/>
    <s v="29/03/2021"/>
    <s v="Shipped"/>
    <s v="Intel i5 12th gen."/>
    <s v="CPU"/>
    <x v="1"/>
    <n v="8500"/>
    <n v="11050"/>
    <n v="4"/>
    <n v="34000"/>
    <n v="44200"/>
    <s v="Roshan Kumar"/>
    <n v="33150"/>
  </r>
  <r>
    <s v="141290"/>
    <x v="22"/>
    <s v="Amit Singh"/>
    <s v="29/03/2021"/>
    <s v="Order"/>
    <s v="2GB Graphic Card"/>
    <s v="Graphic Card"/>
    <x v="2"/>
    <n v="7000"/>
    <n v="9100"/>
    <n v="1"/>
    <n v="7000"/>
    <n v="9100"/>
    <s v="Aarvi Gupta"/>
    <n v="18200"/>
  </r>
  <r>
    <s v="141291"/>
    <x v="28"/>
    <s v="Vinod Mehta"/>
    <s v="29/03/2021"/>
    <s v="Processing"/>
    <s v="60 GB DDR4 Ram"/>
    <s v="NIC"/>
    <x v="3"/>
    <n v="1680"/>
    <n v="2184"/>
    <n v="1"/>
    <n v="1680"/>
    <n v="2184"/>
    <s v="Vijay Singh"/>
    <n v="9100"/>
  </r>
  <r>
    <s v="141292"/>
    <x v="29"/>
    <s v="Jignesh Mhatre"/>
    <s v="29/03/2021"/>
    <s v="Delivered"/>
    <s v="Micro ATX motherboard"/>
    <s v="Printer"/>
    <x v="8"/>
    <n v="6540"/>
    <n v="8502"/>
    <n v="2"/>
    <n v="13080"/>
    <n v="17004"/>
    <s v="Aadil Khan"/>
    <n v="11700"/>
  </r>
  <r>
    <s v="141293"/>
    <x v="30"/>
    <s v="Rahul Kashyap"/>
    <s v="29/03/2021"/>
    <s v="Shipped"/>
    <s v="Gaming Box Cabinet"/>
    <s v="Cabinet"/>
    <x v="5"/>
    <n v="2680"/>
    <n v="3484"/>
    <n v="3"/>
    <n v="8040"/>
    <n v="10452"/>
    <s v="Advika Joshi"/>
    <n v="2990"/>
  </r>
  <r>
    <s v="141294"/>
    <x v="31"/>
    <s v="Mohammed Abdul Kaleem"/>
    <s v="29/03/2021"/>
    <s v="Order"/>
    <s v="17&quot; LCD Display"/>
    <s v="Monitor"/>
    <x v="0"/>
    <n v="8250"/>
    <n v="10725"/>
    <n v="2"/>
    <n v="16500"/>
    <n v="21450"/>
    <s v="Ajay Sharma"/>
    <n v="9750"/>
  </r>
  <r>
    <s v="141295"/>
    <x v="32"/>
    <s v="Chandrakant Kasbe"/>
    <s v="29/03/2021"/>
    <s v="Processing"/>
    <s v="64 GB DDR4 RAM"/>
    <s v="RAM"/>
    <x v="0"/>
    <n v="2650"/>
    <n v="3445"/>
    <n v="3"/>
    <n v="7950"/>
    <n v="10335"/>
    <s v="Roshan Kumar"/>
    <n v="25545"/>
  </r>
  <r>
    <s v="141296"/>
    <x v="0"/>
    <s v="Rohan Kale"/>
    <s v="29/03/2021"/>
    <s v="Delivered"/>
    <s v="26&quot; LCD Display"/>
    <s v="Monitor"/>
    <x v="9"/>
    <n v="12550"/>
    <n v="16315"/>
    <n v="3"/>
    <n v="37650"/>
    <n v="48945"/>
    <s v="Aarvi Gupta"/>
    <n v="9750"/>
  </r>
  <r>
    <s v="141297"/>
    <x v="23"/>
    <s v="Aniruddha Kekapure"/>
    <s v="29/03/2021"/>
    <s v="Shipped"/>
    <s v="I7 - intel 12th Generation"/>
    <s v="CPU"/>
    <x v="1"/>
    <n v="14500"/>
    <n v="18850"/>
    <n v="3"/>
    <n v="43500"/>
    <n v="56550"/>
    <s v="Vijay Singh"/>
    <n v="33150"/>
  </r>
  <r>
    <s v="141298"/>
    <x v="1"/>
    <s v="Aslam Raza"/>
    <s v="29/03/2021"/>
    <s v="Order"/>
    <s v="USB Keyboard"/>
    <s v="Keyboard"/>
    <x v="6"/>
    <n v="800"/>
    <n v="1040"/>
    <n v="3"/>
    <n v="2400"/>
    <n v="3120"/>
    <s v="Aadil Khan"/>
    <n v="3315"/>
  </r>
  <r>
    <s v="141299"/>
    <x v="2"/>
    <s v="Roshan Zameer"/>
    <s v="29/03/2021"/>
    <s v="Processing"/>
    <s v="Wireless Mouse"/>
    <s v="Mouse"/>
    <x v="0"/>
    <n v="600"/>
    <n v="780"/>
    <n v="1"/>
    <n v="600"/>
    <n v="780"/>
    <s v="Advika Joshi"/>
    <n v="1690"/>
  </r>
  <r>
    <s v="141300"/>
    <x v="3"/>
    <s v="Rakesh Kumar Sharma"/>
    <s v="29/03/2021"/>
    <s v="Delivered"/>
    <s v="21&quot; LCD Display"/>
    <s v="Monitor"/>
    <x v="6"/>
    <n v="10500"/>
    <n v="13650"/>
    <n v="1"/>
    <n v="10500"/>
    <n v="13650"/>
    <s v="Ajay Sharma"/>
    <n v="9750"/>
  </r>
  <r>
    <s v="141301"/>
    <x v="24"/>
    <s v="Shivanand Sahani"/>
    <s v="29/03/2021"/>
    <s v="Shipped"/>
    <s v="58 TB HDD"/>
    <s v="HDD"/>
    <x v="10"/>
    <n v="6500"/>
    <n v="8450"/>
    <n v="2"/>
    <n v="13000"/>
    <n v="16900"/>
    <s v="Roshan Kumar"/>
    <n v="39000"/>
  </r>
  <r>
    <s v="141302"/>
    <x v="25"/>
    <s v="Kunal Patra"/>
    <s v="29/03/2021"/>
    <s v="Order"/>
    <s v="313 GB SSD"/>
    <s v="SSD"/>
    <x v="0"/>
    <n v="4500"/>
    <n v="5850"/>
    <n v="4"/>
    <n v="18000"/>
    <n v="23400"/>
    <s v="Aarvi Gupta"/>
    <n v="8450"/>
  </r>
  <r>
    <s v="141303"/>
    <x v="33"/>
    <s v="Bijendra"/>
    <s v="29/03/2021"/>
    <s v="Processing"/>
    <s v="Intel i3 11th gen."/>
    <s v="CPU"/>
    <x v="1"/>
    <n v="8500"/>
    <n v="11050"/>
    <n v="1"/>
    <n v="8500"/>
    <n v="11050"/>
    <s v="Vijay Singh"/>
    <n v="33150"/>
  </r>
  <r>
    <s v="141304"/>
    <x v="34"/>
    <s v="Kranti Bheke"/>
    <s v="29/03/2021"/>
    <s v="Delivered"/>
    <s v="4GB Graphic card"/>
    <s v="Graphic Card"/>
    <x v="2"/>
    <n v="12500"/>
    <n v="16250"/>
    <n v="2"/>
    <n v="25000"/>
    <n v="32500"/>
    <s v="Aadil Khan"/>
    <n v="18200"/>
  </r>
  <r>
    <s v="141305"/>
    <x v="4"/>
    <s v="Jagdeep"/>
    <s v="29/03/2021"/>
    <s v="Shipped"/>
    <s v="65 GB DDR4 RAM"/>
    <s v="RAM"/>
    <x v="3"/>
    <n v="3500"/>
    <n v="4550"/>
    <n v="3"/>
    <n v="10500"/>
    <n v="13650"/>
    <s v="Advika Joshi"/>
    <n v="25545"/>
  </r>
  <r>
    <s v="141306"/>
    <x v="5"/>
    <s v="Adhir Samal"/>
    <s v="29/03/2021"/>
    <s v="Order"/>
    <s v="BTX motherboard"/>
    <s v="MotherBoard"/>
    <x v="4"/>
    <n v="4500"/>
    <n v="5850"/>
    <n v="2"/>
    <n v="9000"/>
    <n v="11700"/>
    <s v="Ajay Sharma"/>
    <n v="39780"/>
  </r>
  <r>
    <s v="141307"/>
    <x v="6"/>
    <s v="Dannana Jhammi"/>
    <s v="29/03/2021"/>
    <s v="Processing"/>
    <s v="60 Fans Cabinet"/>
    <s v="Cabinet"/>
    <x v="5"/>
    <n v="2100"/>
    <n v="2730"/>
    <n v="2"/>
    <n v="4200"/>
    <n v="5460"/>
    <s v="Roshan Kumar"/>
    <n v="2990"/>
  </r>
  <r>
    <s v="141308"/>
    <x v="7"/>
    <s v="Vipin Kumar"/>
    <s v="29/03/2021"/>
    <s v="Delivered"/>
    <s v="Wireless Keyboard"/>
    <s v="Keyboard"/>
    <x v="6"/>
    <n v="1150"/>
    <n v="1495"/>
    <n v="4"/>
    <n v="4600"/>
    <n v="5980"/>
    <s v="Aarvi Gupta"/>
    <n v="3315"/>
  </r>
  <r>
    <s v="141309"/>
    <x v="26"/>
    <s v="Ranjeet Kumar"/>
    <s v="29/03/2021"/>
    <s v="Shipped"/>
    <s v="USB Mouse"/>
    <s v="Mouse"/>
    <x v="0"/>
    <n v="350"/>
    <n v="455"/>
    <n v="2"/>
    <n v="700"/>
    <n v="910"/>
    <s v="Vijay Singh"/>
    <n v="1690"/>
  </r>
  <r>
    <s v="141310"/>
    <x v="27"/>
    <s v="Sajal Singhal"/>
    <s v="29/03/2021"/>
    <s v="Order"/>
    <s v="19&quot; LED Display"/>
    <s v="Monitor"/>
    <x v="6"/>
    <n v="9500"/>
    <n v="12350"/>
    <n v="3"/>
    <n v="28500"/>
    <n v="37050"/>
    <s v="Aadil Khan"/>
    <n v="9750"/>
  </r>
  <r>
    <s v="141311"/>
    <x v="27"/>
    <s v="Akhilesh Kumar"/>
    <s v="29/03/2021"/>
    <s v="Processing"/>
    <s v="59 TB HDD"/>
    <s v="HDD"/>
    <x v="10"/>
    <n v="10000"/>
    <n v="13000"/>
    <n v="4"/>
    <n v="40000"/>
    <n v="52000"/>
    <s v="Advika Joshi"/>
    <n v="39000"/>
  </r>
  <r>
    <s v="141312"/>
    <x v="27"/>
    <s v="Suvankar Chakraborty"/>
    <s v="29/03/2021"/>
    <s v="Delivered"/>
    <s v="569 GB M.2"/>
    <s v="SSD"/>
    <x v="0"/>
    <n v="6500"/>
    <n v="8450"/>
    <n v="2"/>
    <n v="13000"/>
    <n v="16900"/>
    <s v="Ajay Sharma"/>
    <n v="8450"/>
  </r>
  <r>
    <s v="141313"/>
    <x v="27"/>
    <s v="Suvankar Adhikary"/>
    <s v="29/03/2021"/>
    <s v="Shipped"/>
    <s v="RYZEN 3rd gen. 3557"/>
    <s v="CPU"/>
    <x v="1"/>
    <n v="8500"/>
    <n v="11050"/>
    <n v="2"/>
    <n v="17000"/>
    <n v="22100"/>
    <s v="Roshan Kumar"/>
    <n v="33150"/>
  </r>
  <r>
    <s v="141314"/>
    <x v="27"/>
    <s v="Rahul Kumar Prajapati"/>
    <s v="29/03/2021"/>
    <s v="Order"/>
    <s v="2GB Graphic Card"/>
    <s v="Graphic Card"/>
    <x v="2"/>
    <n v="7000"/>
    <n v="9100"/>
    <n v="2"/>
    <n v="14000"/>
    <n v="18200"/>
    <s v="Aarvi Gupta"/>
    <n v="18200"/>
  </r>
  <r>
    <s v="141315"/>
    <x v="27"/>
    <s v="Sagar Jeur"/>
    <s v="29/03/2021"/>
    <s v="Processing"/>
    <s v="73 GB DDR4 RAM"/>
    <s v="RAM"/>
    <x v="3"/>
    <n v="6550"/>
    <n v="8515"/>
    <n v="2"/>
    <n v="13100"/>
    <n v="17030"/>
    <s v="Vijay Singh"/>
    <n v="25545"/>
  </r>
  <r>
    <s v="141316"/>
    <x v="27"/>
    <s v="Rhushikesh Mane"/>
    <s v="29/03/2021"/>
    <s v="Delivered"/>
    <s v="Standard ATX motherboard"/>
    <s v="MotherBoard"/>
    <x v="4"/>
    <n v="7650"/>
    <n v="9945"/>
    <n v="2"/>
    <n v="15300"/>
    <n v="19890"/>
    <s v="Aadil Khan"/>
    <n v="39780"/>
  </r>
  <r>
    <s v="141317"/>
    <x v="27"/>
    <s v="Ashish Kumar"/>
    <s v="29/03/2021"/>
    <s v="Shipped"/>
    <s v="Compact with 1 Fan"/>
    <s v="Cabinet"/>
    <x v="5"/>
    <n v="1150"/>
    <n v="1495"/>
    <n v="1"/>
    <n v="1150"/>
    <n v="1495"/>
    <s v="Advika Joshi"/>
    <n v="2990"/>
  </r>
  <r>
    <s v="141318"/>
    <x v="27"/>
    <s v="Javed Akhter"/>
    <s v="29/03/2021"/>
    <s v="Order"/>
    <s v="USB Backlight Keyboard"/>
    <s v="Keyboard"/>
    <x v="6"/>
    <n v="850"/>
    <n v="1105"/>
    <n v="4"/>
    <n v="3400"/>
    <n v="4420"/>
    <s v="Ajay Sharma"/>
    <n v="3315"/>
  </r>
  <r>
    <s v="141319"/>
    <x v="27"/>
    <s v="Haridas Balraj"/>
    <s v="29/03/2021"/>
    <s v="Processing"/>
    <s v="Ergonomic Mouse"/>
    <s v="Mouse"/>
    <x v="0"/>
    <n v="650"/>
    <n v="845"/>
    <n v="1"/>
    <n v="650"/>
    <n v="845"/>
    <s v="Roshan Kumar"/>
    <n v="1690"/>
  </r>
  <r>
    <s v="141320"/>
    <x v="27"/>
    <s v="Kundan Kumar"/>
    <s v="29/03/2021"/>
    <s v="Delivered"/>
    <s v="15&quot; LCD Dsipaly"/>
    <s v="Monitor"/>
    <x v="6"/>
    <n v="7500"/>
    <n v="9750"/>
    <n v="1"/>
    <n v="7500"/>
    <n v="9750"/>
    <s v="Aarvi Gupta"/>
    <n v="9750"/>
  </r>
  <r>
    <s v="141321"/>
    <x v="27"/>
    <s v="Atif Siddiqui"/>
    <s v="29/03/2021"/>
    <s v="Shipped"/>
    <s v="59 TB HDD"/>
    <s v="HDD"/>
    <x v="7"/>
    <n v="10000"/>
    <n v="13000"/>
    <n v="4"/>
    <n v="40000"/>
    <n v="52000"/>
    <s v="Vijay Singh"/>
    <n v="39000"/>
  </r>
  <r>
    <s v="141322"/>
    <x v="27"/>
    <s v="Aditya Agarwal"/>
    <s v="29/03/2021"/>
    <s v="Order"/>
    <s v="58 TB SSD"/>
    <s v="SSD"/>
    <x v="0"/>
    <n v="10500"/>
    <n v="13650"/>
    <n v="4"/>
    <n v="42000"/>
    <n v="54600"/>
    <s v="Aadil Khan"/>
    <n v="8450"/>
  </r>
  <r>
    <s v="141323"/>
    <x v="27"/>
    <s v="Firdoush Jabee"/>
    <s v="29/03/2021"/>
    <s v="Processing"/>
    <s v="Intel i5 12th gen."/>
    <s v="CPU"/>
    <x v="1"/>
    <n v="8500"/>
    <n v="11050"/>
    <n v="4"/>
    <n v="34000"/>
    <n v="44200"/>
    <s v="Advika Joshi"/>
    <n v="33150"/>
  </r>
  <r>
    <s v="141324"/>
    <x v="27"/>
    <s v="Jay Prakash Kumar"/>
    <s v="29/03/2021"/>
    <s v="Delivered"/>
    <s v="2GB Graphic Card"/>
    <s v="Graphic Card"/>
    <x v="2"/>
    <n v="7000"/>
    <n v="9100"/>
    <n v="2"/>
    <n v="14000"/>
    <n v="18200"/>
    <s v="Ajay Sharma"/>
    <n v="18200"/>
  </r>
  <r>
    <s v="141325"/>
    <x v="27"/>
    <s v="Ashish Pandey"/>
    <s v="29/03/2021"/>
    <s v="Shipped"/>
    <s v="61 GB DDR4 Ram"/>
    <s v="RAM"/>
    <x v="3"/>
    <n v="1680"/>
    <n v="2184"/>
    <n v="3"/>
    <n v="5040"/>
    <n v="6552"/>
    <s v="Roshan Kumar"/>
    <n v="25545"/>
  </r>
  <r>
    <s v="141326"/>
    <x v="27"/>
    <s v="Ajay Sharma"/>
    <s v="29/03/2021"/>
    <s v="Order"/>
    <s v="Micro ATX motherboard"/>
    <s v="MotherBoard"/>
    <x v="8"/>
    <n v="6540"/>
    <n v="8502"/>
    <n v="2"/>
    <n v="13080"/>
    <n v="17004"/>
    <s v="Aarvi Gupta"/>
    <n v="39780"/>
  </r>
  <r>
    <s v="141327"/>
    <x v="27"/>
    <s v="Moinuddin Saifi"/>
    <s v="29/03/2021"/>
    <s v="Processing"/>
    <s v="Gaming Box Cabinet"/>
    <s v="Cabinet"/>
    <x v="5"/>
    <n v="2680"/>
    <n v="3484"/>
    <n v="2"/>
    <n v="5360"/>
    <n v="6968"/>
    <s v="Vijay Singh"/>
    <n v="2990"/>
  </r>
  <r>
    <s v="141328"/>
    <x v="27"/>
    <s v="Ramkrishna Das Adhikary"/>
    <s v="29/03/2021"/>
    <s v="Delivered"/>
    <s v="17&quot; LCD Display"/>
    <s v="Monitor"/>
    <x v="0"/>
    <n v="8250"/>
    <n v="10725"/>
    <n v="4"/>
    <n v="33000"/>
    <n v="42900"/>
    <s v="Aadil Khan"/>
    <n v="9750"/>
  </r>
  <r>
    <s v="141329"/>
    <x v="27"/>
    <s v="Ranjeet Mandal"/>
    <s v="29/03/2021"/>
    <s v="Shipped"/>
    <s v="65 GB DDR4 RAM"/>
    <s v="RAM"/>
    <x v="0"/>
    <n v="2650"/>
    <n v="3445"/>
    <n v="2"/>
    <n v="5300"/>
    <n v="6890"/>
    <s v="Advika Joshi"/>
    <n v="25545"/>
  </r>
  <r>
    <s v="141330"/>
    <x v="27"/>
    <s v="Ashwini Adsare"/>
    <s v="29/03/2021"/>
    <s v="Order"/>
    <s v="26&quot; LCD Display"/>
    <s v="Monitor"/>
    <x v="9"/>
    <n v="12550"/>
    <n v="16315"/>
    <n v="2"/>
    <n v="25100"/>
    <n v="32630"/>
    <s v="Ajay Sharma"/>
    <n v="9750"/>
  </r>
  <r>
    <s v="141331"/>
    <x v="27"/>
    <s v="Rajesh Variya"/>
    <s v="29/03/2021"/>
    <s v="Processing"/>
    <s v="I7 - intel 12th Generation"/>
    <s v="CPU"/>
    <x v="1"/>
    <n v="14500"/>
    <n v="18850"/>
    <n v="4"/>
    <n v="58000"/>
    <n v="75400"/>
    <s v="Roshan Kumar"/>
    <n v="33150"/>
  </r>
  <r>
    <s v="141332"/>
    <x v="27"/>
    <s v="Amit Singh"/>
    <s v="29/03/2021"/>
    <s v="Delivered"/>
    <s v="USB Keyboard"/>
    <s v="Keyboard"/>
    <x v="6"/>
    <n v="800"/>
    <n v="1040"/>
    <n v="4"/>
    <n v="3200"/>
    <n v="4160"/>
    <s v="Aarvi Gupta"/>
    <n v="3315"/>
  </r>
  <r>
    <s v="141333"/>
    <x v="27"/>
    <s v="Vinod Mehta"/>
    <s v="29/03/2021"/>
    <s v="Shipped"/>
    <s v="Wireless Mouse"/>
    <s v="Mouse"/>
    <x v="0"/>
    <n v="600"/>
    <n v="780"/>
    <n v="2"/>
    <n v="1200"/>
    <n v="1560"/>
    <s v="Vijay Singh"/>
    <n v="1690"/>
  </r>
  <r>
    <s v="141334"/>
    <x v="27"/>
    <s v="Jignesh Mhatre"/>
    <s v="29/03/2021"/>
    <s v="Order"/>
    <s v="21&quot; LCD Display"/>
    <s v="Monitor"/>
    <x v="6"/>
    <n v="10500"/>
    <n v="13650"/>
    <n v="4"/>
    <n v="42000"/>
    <n v="54600"/>
    <s v="Aadil Khan"/>
    <n v="9750"/>
  </r>
  <r>
    <s v="141335"/>
    <x v="27"/>
    <s v="Rahul Kashyap"/>
    <s v="29/03/2021"/>
    <s v="Processing"/>
    <s v="59 TB HDD"/>
    <s v="HDD"/>
    <x v="10"/>
    <n v="6500"/>
    <n v="8450"/>
    <n v="4"/>
    <n v="26000"/>
    <n v="33800"/>
    <s v="Advika Joshi"/>
    <n v="39000"/>
  </r>
  <r>
    <s v="141336"/>
    <x v="27"/>
    <s v="Mohammed Abdul Kaleem"/>
    <s v="29/03/2021"/>
    <s v="Delivered"/>
    <s v="314 GB SSD"/>
    <s v="SSD"/>
    <x v="0"/>
    <n v="4500"/>
    <n v="5850"/>
    <n v="4"/>
    <n v="18000"/>
    <n v="23400"/>
    <s v="Ajay Sharma"/>
    <n v="8450"/>
  </r>
  <r>
    <s v="141337"/>
    <x v="27"/>
    <s v="Chandrakant Kasbe"/>
    <s v="29/03/2021"/>
    <s v="Shipped"/>
    <s v="Intel i3 11th gen."/>
    <s v="CPU"/>
    <x v="1"/>
    <n v="8500"/>
    <n v="11050"/>
    <n v="1"/>
    <n v="8500"/>
    <n v="11050"/>
    <s v="Roshan Kumar"/>
    <n v="33150"/>
  </r>
  <r>
    <s v="141338"/>
    <x v="27"/>
    <s v="Rohan Kale"/>
    <s v="29/03/2021"/>
    <s v="Order"/>
    <s v="4GB Graphic card"/>
    <s v="Graphic Card"/>
    <x v="2"/>
    <n v="12500"/>
    <n v="16250"/>
    <n v="2"/>
    <n v="25000"/>
    <n v="32500"/>
    <s v="Aarvi Gupta"/>
    <n v="18200"/>
  </r>
  <r>
    <s v="141339"/>
    <x v="27"/>
    <s v="Aniruddha Kekapure"/>
    <s v="29/03/2021"/>
    <s v="Processing"/>
    <s v="66 GB DDR4 RAM"/>
    <s v="Computer Case"/>
    <x v="3"/>
    <n v="3500"/>
    <n v="4550"/>
    <n v="4"/>
    <n v="14000"/>
    <n v="18200"/>
    <s v="Vijay Singh"/>
    <n v="13650"/>
  </r>
  <r>
    <s v="141340"/>
    <x v="27"/>
    <s v="Aslam Raza"/>
    <s v="29/03/2021"/>
    <s v="Delivered"/>
    <s v="BTX motherboard"/>
    <s v="Mouse"/>
    <x v="4"/>
    <n v="4500"/>
    <n v="5850"/>
    <n v="4"/>
    <n v="18000"/>
    <n v="23400"/>
    <s v="Aadil Khan"/>
    <n v="1690"/>
  </r>
  <r>
    <s v="141341"/>
    <x v="27"/>
    <s v="Roshan Zameer"/>
    <s v="29/03/2021"/>
    <s v="Shipped"/>
    <s v="61 Fans Cabinet"/>
    <s v="Cabinet"/>
    <x v="5"/>
    <n v="2100"/>
    <n v="2730"/>
    <n v="2"/>
    <n v="4200"/>
    <n v="5460"/>
    <s v="Advika Joshi"/>
    <n v="2990"/>
  </r>
  <r>
    <s v="141342"/>
    <x v="27"/>
    <s v="Rakesh Kumar Sharma"/>
    <s v="29/03/2021"/>
    <s v="Order"/>
    <s v="Wireless Keyboard"/>
    <s v="Keyboard"/>
    <x v="6"/>
    <n v="1150"/>
    <n v="1495"/>
    <n v="2"/>
    <n v="2300"/>
    <n v="2990"/>
    <s v="Ajay Sharma"/>
    <n v="3315"/>
  </r>
  <r>
    <s v="141343"/>
    <x v="27"/>
    <s v="Shivanand Sahani"/>
    <s v="29/03/2021"/>
    <s v="Processing"/>
    <s v="USB Mouse"/>
    <s v="Mouse"/>
    <x v="0"/>
    <n v="350"/>
    <n v="455"/>
    <n v="3"/>
    <n v="1050"/>
    <n v="1365"/>
    <s v="Roshan Kumar"/>
    <n v="1690"/>
  </r>
  <r>
    <s v="141344"/>
    <x v="27"/>
    <s v="Kunal Patra"/>
    <s v="29/03/2021"/>
    <s v="Delivered"/>
    <s v="19&quot; LED Display"/>
    <s v="Monitor"/>
    <x v="6"/>
    <n v="9500"/>
    <n v="12350"/>
    <n v="4"/>
    <n v="38000"/>
    <n v="49400"/>
    <s v="Aarvi Gupta"/>
    <n v="9750"/>
  </r>
  <r>
    <s v="141345"/>
    <x v="27"/>
    <s v="Bijendra"/>
    <s v="29/03/2021"/>
    <s v="Shipped"/>
    <s v="60 TB HDD"/>
    <s v="HDD"/>
    <x v="10"/>
    <n v="10000"/>
    <n v="13000"/>
    <n v="3"/>
    <n v="30000"/>
    <n v="39000"/>
    <s v="Vijay Singh"/>
    <n v="39000"/>
  </r>
  <r>
    <s v="141346"/>
    <x v="27"/>
    <s v="Kranti Bheke"/>
    <s v="29/03/2021"/>
    <s v="Order"/>
    <s v="570 GB M.2"/>
    <s v="SSD"/>
    <x v="0"/>
    <n v="6500"/>
    <n v="8450"/>
    <n v="3"/>
    <n v="19500"/>
    <n v="25350"/>
    <s v="Aadil Khan"/>
    <n v="8450"/>
  </r>
  <r>
    <s v="141347"/>
    <x v="27"/>
    <s v="Jagdeep"/>
    <s v="29/03/2021"/>
    <s v="Processing"/>
    <s v="RYZEN 3rd gen. 3558"/>
    <s v="CPU"/>
    <x v="1"/>
    <n v="8500"/>
    <n v="11050"/>
    <n v="1"/>
    <n v="8500"/>
    <n v="11050"/>
    <s v="Advika Joshi"/>
    <n v="33150"/>
  </r>
  <r>
    <s v="141348"/>
    <x v="27"/>
    <s v="Adhir Samal"/>
    <s v="29/03/2021"/>
    <s v="Delivered"/>
    <s v="2GB Graphic Card"/>
    <s v="Graphic Card"/>
    <x v="2"/>
    <n v="7000"/>
    <n v="9100"/>
    <n v="1"/>
    <n v="7000"/>
    <n v="9100"/>
    <s v="Ajay Sharma"/>
    <n v="18200"/>
  </r>
  <r>
    <s v="141349"/>
    <x v="27"/>
    <s v="Dannana Jhammi"/>
    <s v="29/03/2021"/>
    <s v="Shipped"/>
    <s v="74 GB DDR4 RAM"/>
    <s v="Computer Case"/>
    <x v="3"/>
    <n v="6550"/>
    <n v="8515"/>
    <n v="1"/>
    <n v="6550"/>
    <n v="8515"/>
    <s v="Roshan Kumar"/>
    <n v="13650"/>
  </r>
  <r>
    <s v="141350"/>
    <x v="27"/>
    <s v="Vipin Kumar"/>
    <s v="29/03/2021"/>
    <s v="Order"/>
    <s v="Standard ATX motherboard"/>
    <s v="Mouse"/>
    <x v="4"/>
    <n v="7650"/>
    <n v="9945"/>
    <n v="2"/>
    <n v="15300"/>
    <n v="19890"/>
    <s v="Aarvi Gupta"/>
    <n v="1690"/>
  </r>
  <r>
    <s v="141351"/>
    <x v="27"/>
    <s v="Ranjeet Kumar"/>
    <s v="29/03/2021"/>
    <s v="Processing"/>
    <s v="Compact with 1 Fan"/>
    <s v="Cabinet"/>
    <x v="5"/>
    <n v="1150"/>
    <n v="1495"/>
    <n v="2"/>
    <n v="2300"/>
    <n v="2990"/>
    <s v="Vijay Singh"/>
    <n v="2990"/>
  </r>
  <r>
    <s v="141352"/>
    <x v="27"/>
    <s v="Sajal Singhal"/>
    <s v="29/03/2021"/>
    <s v="Delivered"/>
    <s v="USB Backlight Keyboard"/>
    <s v="Keyboard"/>
    <x v="6"/>
    <n v="850"/>
    <n v="1105"/>
    <n v="2"/>
    <n v="1700"/>
    <n v="2210"/>
    <s v="Aadil Khan"/>
    <n v="3315"/>
  </r>
  <r>
    <s v="141353"/>
    <x v="27"/>
    <s v="Akhilesh Kumar"/>
    <s v="29/03/2021"/>
    <s v="Shipped"/>
    <s v="Ergonomic Mouse"/>
    <s v="Mouse"/>
    <x v="0"/>
    <n v="650"/>
    <n v="845"/>
    <n v="1"/>
    <n v="650"/>
    <n v="845"/>
    <s v="Advika Joshi"/>
    <n v="1690"/>
  </r>
  <r>
    <s v="141354"/>
    <x v="27"/>
    <s v="Suvankar Chakraborty"/>
    <s v="29/03/2021"/>
    <s v="Order"/>
    <s v="15&quot; LCD Dsipaly"/>
    <s v="Monitor"/>
    <x v="6"/>
    <n v="7500"/>
    <n v="9750"/>
    <n v="2"/>
    <n v="15000"/>
    <n v="19500"/>
    <s v="Ajay Sharma"/>
    <n v="9750"/>
  </r>
  <r>
    <s v="141355"/>
    <x v="27"/>
    <s v="Suvankar Adhikary"/>
    <s v="29/03/2021"/>
    <s v="Processing"/>
    <s v="60 TB HDD"/>
    <s v="HDD"/>
    <x v="7"/>
    <n v="10000"/>
    <n v="13000"/>
    <n v="3"/>
    <n v="30000"/>
    <n v="39000"/>
    <s v="Roshan Kumar"/>
    <n v="39000"/>
  </r>
  <r>
    <s v="141356"/>
    <x v="27"/>
    <s v="Rahul Kumar Prajapati"/>
    <s v="29/03/2021"/>
    <s v="Delivered"/>
    <s v="59 TB SSD"/>
    <s v="SSD"/>
    <x v="0"/>
    <n v="10500"/>
    <n v="13650"/>
    <n v="2"/>
    <n v="21000"/>
    <n v="27300"/>
    <s v="Aarvi Gupta"/>
    <n v="8450"/>
  </r>
  <r>
    <s v="141357"/>
    <x v="27"/>
    <s v="Sagar Jeur"/>
    <s v="29/03/2021"/>
    <s v="Shipped"/>
    <s v="Intel i5 12th gen."/>
    <s v="CPU"/>
    <x v="1"/>
    <n v="8500"/>
    <n v="11050"/>
    <n v="4"/>
    <n v="34000"/>
    <n v="44200"/>
    <s v="Vijay Singh"/>
    <n v="33150"/>
  </r>
  <r>
    <s v="141358"/>
    <x v="27"/>
    <s v="Rhushikesh Mane"/>
    <s v="29/03/2021"/>
    <s v="Order"/>
    <s v="2GB Graphic Card"/>
    <s v="Graphic Card"/>
    <x v="2"/>
    <n v="7000"/>
    <n v="9100"/>
    <n v="3"/>
    <n v="21000"/>
    <n v="27300"/>
    <s v="Aadil Khan"/>
    <n v="18200"/>
  </r>
  <r>
    <s v="141359"/>
    <x v="27"/>
    <s v="Ashish Kumar"/>
    <s v="29/03/2021"/>
    <s v="Processing"/>
    <s v="62 GB DDR4 Ram"/>
    <s v="Computer Case"/>
    <x v="3"/>
    <n v="1680"/>
    <n v="2184"/>
    <n v="3"/>
    <n v="5040"/>
    <n v="6552"/>
    <s v="Advika Joshi"/>
    <n v="13650"/>
  </r>
  <r>
    <s v="141360"/>
    <x v="27"/>
    <s v="Javed Akhter"/>
    <s v="29/03/2021"/>
    <s v="Delivered"/>
    <s v="Micro ATX motherboard"/>
    <s v="Mouse"/>
    <x v="8"/>
    <n v="6540"/>
    <n v="8502"/>
    <n v="3"/>
    <n v="19620"/>
    <n v="25506"/>
    <s v="Ajay Sharma"/>
    <n v="1690"/>
  </r>
  <r>
    <s v="141361"/>
    <x v="27"/>
    <s v="Haridas Balraj"/>
    <s v="29/03/2021"/>
    <s v="Shipped"/>
    <s v="Gaming Box Cabinet"/>
    <s v="Cabinet"/>
    <x v="5"/>
    <n v="2680"/>
    <n v="3484"/>
    <n v="4"/>
    <n v="10720"/>
    <n v="13936"/>
    <s v="Roshan Kumar"/>
    <n v="2990"/>
  </r>
  <r>
    <s v="141362"/>
    <x v="27"/>
    <s v="Kundan Kumar"/>
    <s v="29/03/2021"/>
    <s v="Order"/>
    <s v="17&quot; LCD Display"/>
    <s v="Monitor"/>
    <x v="0"/>
    <n v="8250"/>
    <n v="10725"/>
    <n v="1"/>
    <n v="8250"/>
    <n v="10725"/>
    <s v="Aarvi Gupta"/>
    <n v="9750"/>
  </r>
  <r>
    <s v="141363"/>
    <x v="27"/>
    <s v="Atif Siddiqui"/>
    <s v="29/03/2021"/>
    <s v="Processing"/>
    <s v="66 GB DDR4 RAM"/>
    <s v="RAM"/>
    <x v="0"/>
    <n v="2650"/>
    <n v="3445"/>
    <n v="2"/>
    <n v="5300"/>
    <n v="6890"/>
    <s v="Vijay Singh"/>
    <n v="25545"/>
  </r>
  <r>
    <s v="141364"/>
    <x v="27"/>
    <s v="Aditya Agarwal"/>
    <s v="29/03/2021"/>
    <s v="Delivered"/>
    <s v="26&quot; LCD Display"/>
    <s v="Monitor"/>
    <x v="9"/>
    <n v="12550"/>
    <n v="16315"/>
    <n v="3"/>
    <n v="37650"/>
    <n v="48945"/>
    <s v="Aadil Khan"/>
    <n v="9750"/>
  </r>
  <r>
    <s v="141365"/>
    <x v="27"/>
    <s v="Firdoush Jabee"/>
    <s v="29/03/2021"/>
    <s v="Shipped"/>
    <s v="I7 - intel 12th Generation"/>
    <s v="CPU"/>
    <x v="1"/>
    <n v="14500"/>
    <n v="18850"/>
    <n v="3"/>
    <n v="43500"/>
    <n v="56550"/>
    <s v="Advika Joshi"/>
    <n v="33150"/>
  </r>
  <r>
    <s v="141366"/>
    <x v="27"/>
    <s v="Jay Prakash Kumar"/>
    <s v="29/03/2021"/>
    <s v="Order"/>
    <s v="USB Keyboard"/>
    <s v="Keyboard"/>
    <x v="6"/>
    <n v="800"/>
    <n v="1040"/>
    <n v="2"/>
    <n v="1600"/>
    <n v="2080"/>
    <s v="Ajay Sharma"/>
    <n v="3315"/>
  </r>
  <r>
    <s v="141367"/>
    <x v="27"/>
    <s v="Ashish Pandey"/>
    <s v="29/03/2021"/>
    <s v="Processing"/>
    <s v="Wireless Mouse"/>
    <s v="Mouse"/>
    <x v="0"/>
    <n v="600"/>
    <n v="780"/>
    <n v="3"/>
    <n v="1800"/>
    <n v="2340"/>
    <s v="Roshan Kumar"/>
    <n v="1690"/>
  </r>
  <r>
    <s v="141368"/>
    <x v="27"/>
    <s v="Ajay Sharma"/>
    <s v="29/03/2021"/>
    <s v="Delivered"/>
    <s v="21&quot; LCD Display"/>
    <s v="Monitor"/>
    <x v="6"/>
    <n v="10500"/>
    <n v="13650"/>
    <n v="3"/>
    <n v="31500"/>
    <n v="40950"/>
    <s v="Aarvi Gupta"/>
    <n v="9750"/>
  </r>
  <r>
    <s v="141369"/>
    <x v="27"/>
    <s v="Moinuddin Saifi"/>
    <s v="29/03/2021"/>
    <s v="Shipped"/>
    <s v="60 TB HDD"/>
    <s v="HDD"/>
    <x v="10"/>
    <n v="6500"/>
    <n v="8450"/>
    <n v="4"/>
    <n v="26000"/>
    <n v="33800"/>
    <s v="Vijay Singh"/>
    <n v="39000"/>
  </r>
  <r>
    <s v="141370"/>
    <x v="27"/>
    <s v="Ramkrishna Das Adhikary"/>
    <s v="29/03/2021"/>
    <s v="Order"/>
    <s v="315 GB SSD"/>
    <s v="SSD"/>
    <x v="0"/>
    <n v="4500"/>
    <n v="5850"/>
    <n v="4"/>
    <n v="18000"/>
    <n v="23400"/>
    <s v="Aadil Khan"/>
    <n v="8450"/>
  </r>
  <r>
    <s v="141371"/>
    <x v="27"/>
    <s v="Ranjeet Mandal"/>
    <s v="29/03/2021"/>
    <s v="Processing"/>
    <s v="Intel i3 11th gen."/>
    <s v="CPU"/>
    <x v="1"/>
    <n v="8500"/>
    <n v="11050"/>
    <n v="3"/>
    <n v="25500"/>
    <n v="33150"/>
    <s v="Advika Joshi"/>
    <n v="33150"/>
  </r>
  <r>
    <s v="141372"/>
    <x v="27"/>
    <s v="Ashwini Adsare"/>
    <s v="29/03/2021"/>
    <s v="Delivered"/>
    <s v="4GB Graphic card"/>
    <s v="Graphic Card"/>
    <x v="2"/>
    <n v="12500"/>
    <n v="16250"/>
    <n v="4"/>
    <n v="50000"/>
    <n v="65000"/>
    <s v="Ajay Sharma"/>
    <n v="18200"/>
  </r>
  <r>
    <s v="141373"/>
    <x v="27"/>
    <s v="Rajesh Variya"/>
    <s v="30/03/2021"/>
    <s v="Shipped"/>
    <s v="67 GB DDR4 RAM"/>
    <s v="NIC"/>
    <x v="3"/>
    <n v="3500"/>
    <n v="4550"/>
    <n v="1"/>
    <n v="3500"/>
    <n v="4550"/>
    <s v="Roshan Kumar"/>
    <n v="9100"/>
  </r>
  <r>
    <s v="141374"/>
    <x v="27"/>
    <s v="Amit Singh"/>
    <s v="30/03/2021"/>
    <s v="Order"/>
    <s v="BTX motherboard"/>
    <s v="Printer"/>
    <x v="4"/>
    <n v="4500"/>
    <n v="5850"/>
    <n v="1"/>
    <n v="4500"/>
    <n v="5850"/>
    <s v="Aarvi Gupta"/>
    <n v="11700"/>
  </r>
  <r>
    <s v="141375"/>
    <x v="27"/>
    <s v="Vinod Mehta"/>
    <s v="30/03/2021"/>
    <s v="Processing"/>
    <s v="62 Fans Cabinet"/>
    <s v="Cabinet"/>
    <x v="5"/>
    <n v="2100"/>
    <n v="2730"/>
    <n v="4"/>
    <n v="8400"/>
    <n v="10920"/>
    <s v="Vijay Singh"/>
    <n v="2990"/>
  </r>
  <r>
    <s v="141376"/>
    <x v="27"/>
    <s v="Jignesh Mhatre"/>
    <s v="30/03/2021"/>
    <s v="Delivered"/>
    <s v="Wireless Keyboard"/>
    <s v="Keyboard"/>
    <x v="6"/>
    <n v="1150"/>
    <n v="1495"/>
    <n v="2"/>
    <n v="2300"/>
    <n v="2990"/>
    <s v="Aadil Khan"/>
    <n v="3315"/>
  </r>
  <r>
    <s v="141377"/>
    <x v="27"/>
    <s v="Rahul Kashyap"/>
    <s v="30/03/2021"/>
    <s v="Shipped"/>
    <s v="USB Mouse"/>
    <s v="Mouse"/>
    <x v="0"/>
    <n v="350"/>
    <n v="455"/>
    <n v="1"/>
    <n v="350"/>
    <n v="455"/>
    <s v="Advika Joshi"/>
    <n v="1690"/>
  </r>
  <r>
    <s v="141378"/>
    <x v="27"/>
    <s v="Mohammed Abdul Kaleem"/>
    <s v="30/03/2021"/>
    <s v="Order"/>
    <s v="19&quot; LED Display"/>
    <s v="Monitor"/>
    <x v="6"/>
    <n v="9500"/>
    <n v="12350"/>
    <n v="1"/>
    <n v="9500"/>
    <n v="12350"/>
    <s v="Ajay Sharma"/>
    <n v="9750"/>
  </r>
  <r>
    <s v="141379"/>
    <x v="27"/>
    <s v="Chandrakant Kasbe"/>
    <s v="30/03/2021"/>
    <s v="Processing"/>
    <s v="61 TB HDD"/>
    <s v="HDD"/>
    <x v="10"/>
    <n v="10000"/>
    <n v="13000"/>
    <n v="2"/>
    <n v="20000"/>
    <n v="26000"/>
    <s v="Roshan Kumar"/>
    <n v="39000"/>
  </r>
  <r>
    <s v="141380"/>
    <x v="27"/>
    <s v="Rohan Kale"/>
    <s v="30/03/2021"/>
    <s v="Delivered"/>
    <s v="571 GB M.2"/>
    <s v="SSD"/>
    <x v="0"/>
    <n v="6500"/>
    <n v="8450"/>
    <n v="3"/>
    <n v="19500"/>
    <n v="25350"/>
    <s v="Aarvi Gupta"/>
    <n v="8450"/>
  </r>
  <r>
    <s v="141381"/>
    <x v="27"/>
    <s v="Aniruddha Kekapure"/>
    <s v="30/03/2021"/>
    <s v="Shipped"/>
    <s v="RYZEN 3rd gen. 3559"/>
    <s v="CPU"/>
    <x v="1"/>
    <n v="8500"/>
    <n v="11050"/>
    <n v="2"/>
    <n v="17000"/>
    <n v="22100"/>
    <s v="Vijay Singh"/>
    <n v="33150"/>
  </r>
  <r>
    <s v="141382"/>
    <x v="27"/>
    <s v="Aslam Raza"/>
    <s v="30/03/2021"/>
    <s v="Order"/>
    <s v="2GB Graphic Card"/>
    <s v="Graphic Card"/>
    <x v="2"/>
    <n v="7000"/>
    <n v="9100"/>
    <n v="1"/>
    <n v="7000"/>
    <n v="9100"/>
    <s v="Aadil Khan"/>
    <n v="18200"/>
  </r>
  <r>
    <s v="141383"/>
    <x v="27"/>
    <s v="Roshan Zameer"/>
    <s v="30/03/2021"/>
    <s v="Processing"/>
    <s v="75 GB DDR4 RAM"/>
    <s v="NIC"/>
    <x v="3"/>
    <n v="6550"/>
    <n v="8515"/>
    <n v="4"/>
    <n v="26200"/>
    <n v="34060"/>
    <s v="Advika Joshi"/>
    <n v="9100"/>
  </r>
  <r>
    <s v="141384"/>
    <x v="27"/>
    <s v="Rakesh Kumar Sharma"/>
    <s v="30/03/2021"/>
    <s v="Delivered"/>
    <s v="Standard ATX motherboard"/>
    <s v="Printer"/>
    <x v="4"/>
    <n v="7650"/>
    <n v="9945"/>
    <n v="4"/>
    <n v="30600"/>
    <n v="39780"/>
    <s v="Ajay Sharma"/>
    <n v="11700"/>
  </r>
  <r>
    <s v="141385"/>
    <x v="27"/>
    <s v="Shivanand Sahani"/>
    <s v="30/03/2021"/>
    <s v="Shipped"/>
    <s v="Compact with 1 Fan"/>
    <s v="Cabinet"/>
    <x v="5"/>
    <n v="1150"/>
    <n v="1495"/>
    <n v="3"/>
    <n v="3450"/>
    <n v="4485"/>
    <s v="Roshan Kumar"/>
    <n v="2990"/>
  </r>
  <r>
    <s v="141386"/>
    <x v="27"/>
    <s v="Kunal Patra"/>
    <s v="30/03/2021"/>
    <s v="Order"/>
    <s v="USB Backlight Keyboard"/>
    <s v="Keyboard"/>
    <x v="6"/>
    <n v="850"/>
    <n v="1105"/>
    <n v="2"/>
    <n v="1700"/>
    <n v="2210"/>
    <s v="Aarvi Gupta"/>
    <n v="3315"/>
  </r>
  <r>
    <s v="141387"/>
    <x v="27"/>
    <s v="Bijendra"/>
    <s v="30/03/2021"/>
    <s v="Processing"/>
    <s v="Ergonomic Mouse"/>
    <s v="Mouse"/>
    <x v="0"/>
    <n v="650"/>
    <n v="845"/>
    <n v="1"/>
    <n v="650"/>
    <n v="845"/>
    <s v="Vijay Singh"/>
    <n v="1690"/>
  </r>
  <r>
    <s v="141388"/>
    <x v="27"/>
    <s v="Kranti Bheke"/>
    <s v="30/03/2021"/>
    <s v="Delivered"/>
    <s v="15&quot; LCD Dsipaly"/>
    <s v="Monitor"/>
    <x v="6"/>
    <n v="7500"/>
    <n v="9750"/>
    <n v="3"/>
    <n v="22500"/>
    <n v="29250"/>
    <s v="Aadil Khan"/>
    <n v="9750"/>
  </r>
  <r>
    <s v="141389"/>
    <x v="27"/>
    <s v="Jagdeep"/>
    <s v="30/03/2021"/>
    <s v="Shipped"/>
    <s v="61 TB HDD"/>
    <s v="HDD"/>
    <x v="7"/>
    <n v="10000"/>
    <n v="13000"/>
    <n v="2"/>
    <n v="20000"/>
    <n v="26000"/>
    <s v="Advika Joshi"/>
    <n v="39000"/>
  </r>
  <r>
    <s v="141390"/>
    <x v="27"/>
    <s v="Adhir Samal"/>
    <s v="30/03/2021"/>
    <s v="Order"/>
    <s v="60 TB SSD"/>
    <s v="SSD"/>
    <x v="0"/>
    <n v="10500"/>
    <n v="13650"/>
    <n v="2"/>
    <n v="21000"/>
    <n v="27300"/>
    <s v="Ajay Sharma"/>
    <n v="8450"/>
  </r>
  <r>
    <s v="141391"/>
    <x v="27"/>
    <s v="Dannana Jhammi"/>
    <s v="30/03/2021"/>
    <s v="Processing"/>
    <s v="Intel i5 12th gen."/>
    <s v="CPU"/>
    <x v="1"/>
    <n v="8500"/>
    <n v="11050"/>
    <n v="2"/>
    <n v="17000"/>
    <n v="22100"/>
    <s v="Roshan Kumar"/>
    <n v="33150"/>
  </r>
  <r>
    <s v="141392"/>
    <x v="27"/>
    <s v="Vipin Kumar"/>
    <s v="30/03/2021"/>
    <s v="Delivered"/>
    <s v="2GB Graphic Card"/>
    <s v="Graphic Card"/>
    <x v="2"/>
    <n v="7000"/>
    <n v="9100"/>
    <n v="1"/>
    <n v="7000"/>
    <n v="9100"/>
    <s v="Aarvi Gupta"/>
    <n v="18200"/>
  </r>
  <r>
    <s v="141393"/>
    <x v="27"/>
    <s v="Ranjeet Kumar"/>
    <s v="30/03/2021"/>
    <s v="Shipped"/>
    <s v="63 GB DDR4 Ram"/>
    <s v="NIC"/>
    <x v="3"/>
    <n v="1680"/>
    <n v="2184"/>
    <n v="2"/>
    <n v="3360"/>
    <n v="4368"/>
    <s v="Vijay Singh"/>
    <n v="9100"/>
  </r>
  <r>
    <s v="141394"/>
    <x v="27"/>
    <s v="Sajal Singhal"/>
    <s v="30/03/2021"/>
    <s v="Order"/>
    <s v="Micro ATX motherboard"/>
    <s v="Printer"/>
    <x v="8"/>
    <n v="6540"/>
    <n v="8502"/>
    <n v="4"/>
    <n v="26160"/>
    <n v="34008"/>
    <s v="Aadil Khan"/>
    <n v="11700"/>
  </r>
  <r>
    <s v="141395"/>
    <x v="27"/>
    <s v="Akhilesh Kumar"/>
    <s v="30/03/2021"/>
    <s v="Processing"/>
    <s v="Gaming Box Cabinet"/>
    <s v="Cabinet"/>
    <x v="5"/>
    <n v="2680"/>
    <n v="3484"/>
    <n v="1"/>
    <n v="2680"/>
    <n v="3484"/>
    <s v="Advika Joshi"/>
    <n v="2990"/>
  </r>
  <r>
    <s v="141396"/>
    <x v="27"/>
    <s v="Suvankar Chakraborty"/>
    <s v="30/03/2021"/>
    <s v="Delivered"/>
    <s v="17&quot; LCD Display"/>
    <s v="Monitor"/>
    <x v="0"/>
    <n v="8250"/>
    <n v="10725"/>
    <n v="2"/>
    <n v="16500"/>
    <n v="21450"/>
    <s v="Ajay Sharma"/>
    <n v="9750"/>
  </r>
  <r>
    <s v="141397"/>
    <x v="27"/>
    <s v="Suvankar Adhikary"/>
    <s v="30/03/2021"/>
    <s v="Shipped"/>
    <s v="67 GB DDR4 RAM"/>
    <s v="RAM"/>
    <x v="0"/>
    <n v="2650"/>
    <n v="3445"/>
    <n v="1"/>
    <n v="2650"/>
    <n v="3445"/>
    <s v="Roshan Kumar"/>
    <n v="25545"/>
  </r>
  <r>
    <s v="141398"/>
    <x v="27"/>
    <s v="Rahul Kumar Prajapati"/>
    <s v="30/03/2021"/>
    <s v="Order"/>
    <s v="26&quot; LCD Display"/>
    <s v="Monitor"/>
    <x v="9"/>
    <n v="12550"/>
    <n v="16315"/>
    <n v="3"/>
    <n v="37650"/>
    <n v="48945"/>
    <s v="Aarvi Gupta"/>
    <n v="9750"/>
  </r>
  <r>
    <s v="141399"/>
    <x v="27"/>
    <s v="Sagar Jeur"/>
    <s v="30/03/2021"/>
    <s v="Processing"/>
    <s v="I7 - intel 12th Generation"/>
    <s v="CPU"/>
    <x v="1"/>
    <n v="14500"/>
    <n v="18850"/>
    <n v="4"/>
    <n v="58000"/>
    <n v="75400"/>
    <s v="Vijay Singh"/>
    <n v="33150"/>
  </r>
  <r>
    <s v="141400"/>
    <x v="27"/>
    <s v="Rhushikesh Mane"/>
    <s v="30/03/2021"/>
    <s v="Delivered"/>
    <s v="USB Keyboard"/>
    <s v="Keyboard"/>
    <x v="6"/>
    <n v="800"/>
    <n v="1040"/>
    <n v="1"/>
    <n v="800"/>
    <n v="1040"/>
    <s v="Aadil Khan"/>
    <n v="3315"/>
  </r>
  <r>
    <s v="141401"/>
    <x v="27"/>
    <s v="Ashish Kumar"/>
    <s v="30/03/2021"/>
    <s v="Shipped"/>
    <s v="Wireless Mouse"/>
    <s v="Mouse"/>
    <x v="0"/>
    <n v="600"/>
    <n v="780"/>
    <n v="2"/>
    <n v="1200"/>
    <n v="1560"/>
    <s v="Advika Joshi"/>
    <n v="1690"/>
  </r>
  <r>
    <s v="141402"/>
    <x v="27"/>
    <s v="Javed Akhter"/>
    <s v="30/03/2021"/>
    <s v="Order"/>
    <s v="21&quot; LCD Display"/>
    <s v="Monitor"/>
    <x v="6"/>
    <n v="10500"/>
    <n v="13650"/>
    <n v="1"/>
    <n v="10500"/>
    <n v="13650"/>
    <s v="Ajay Sharma"/>
    <n v="9750"/>
  </r>
  <r>
    <s v="141403"/>
    <x v="27"/>
    <s v="Haridas Balraj"/>
    <s v="30/03/2021"/>
    <s v="Processing"/>
    <s v="61 TB HDD"/>
    <s v="HDD"/>
    <x v="10"/>
    <n v="6500"/>
    <n v="8450"/>
    <n v="3"/>
    <n v="19500"/>
    <n v="25350"/>
    <s v="Roshan Kumar"/>
    <n v="39000"/>
  </r>
  <r>
    <s v="141404"/>
    <x v="27"/>
    <s v="Kundan Kumar"/>
    <s v="30/03/2021"/>
    <s v="Delivered"/>
    <s v="316 GB SSD"/>
    <s v="SSD"/>
    <x v="0"/>
    <n v="4500"/>
    <n v="5850"/>
    <n v="3"/>
    <n v="13500"/>
    <n v="17550"/>
    <s v="Aarvi Gupta"/>
    <n v="8450"/>
  </r>
  <r>
    <s v="141405"/>
    <x v="27"/>
    <s v="Atif Siddiqui"/>
    <s v="30/03/2021"/>
    <s v="Shipped"/>
    <s v="Intel i3 11th gen."/>
    <s v="CPU"/>
    <x v="1"/>
    <n v="8500"/>
    <n v="11050"/>
    <n v="2"/>
    <n v="17000"/>
    <n v="22100"/>
    <s v="Vijay Singh"/>
    <n v="33150"/>
  </r>
  <r>
    <s v="141406"/>
    <x v="27"/>
    <s v="Aditya Agarwal"/>
    <s v="30/03/2021"/>
    <s v="Order"/>
    <s v="4GB Graphic card"/>
    <s v="Graphic Card"/>
    <x v="2"/>
    <n v="12500"/>
    <n v="16250"/>
    <n v="1"/>
    <n v="12500"/>
    <n v="16250"/>
    <s v="Aadil Khan"/>
    <n v="18200"/>
  </r>
  <r>
    <s v="141407"/>
    <x v="27"/>
    <s v="Firdoush Jabee"/>
    <s v="30/03/2021"/>
    <s v="Processing"/>
    <s v="68 GB DDR4 RAM"/>
    <s v="RAM"/>
    <x v="3"/>
    <n v="3500"/>
    <n v="4550"/>
    <n v="1"/>
    <n v="3500"/>
    <n v="4550"/>
    <s v="Advika Joshi"/>
    <n v="25545"/>
  </r>
  <r>
    <s v="141408"/>
    <x v="27"/>
    <s v="Jay Prakash Kumar"/>
    <s v="30/03/2021"/>
    <s v="Delivered"/>
    <s v="BTX motherboard"/>
    <s v="MotherBoard"/>
    <x v="4"/>
    <n v="4500"/>
    <n v="5850"/>
    <n v="3"/>
    <n v="13500"/>
    <n v="17550"/>
    <s v="Ajay Sharma"/>
    <n v="39780"/>
  </r>
  <r>
    <s v="141409"/>
    <x v="27"/>
    <s v="Ashish Pandey"/>
    <s v="30/03/2021"/>
    <s v="Shipped"/>
    <s v="63 Fans Cabinet"/>
    <s v="Cabinet"/>
    <x v="5"/>
    <n v="2100"/>
    <n v="2730"/>
    <n v="2"/>
    <n v="4200"/>
    <n v="5460"/>
    <s v="Roshan Kumar"/>
    <n v="2990"/>
  </r>
  <r>
    <s v="141410"/>
    <x v="27"/>
    <s v="Ajay Sharma"/>
    <s v="30/03/2021"/>
    <s v="Order"/>
    <s v="Wireless Keyboard"/>
    <s v="Keyboard"/>
    <x v="6"/>
    <n v="1150"/>
    <n v="1495"/>
    <n v="3"/>
    <n v="3450"/>
    <n v="4485"/>
    <s v="Aarvi Gupta"/>
    <n v="3315"/>
  </r>
  <r>
    <s v="141411"/>
    <x v="27"/>
    <s v="Moinuddin Saifi"/>
    <s v="30/03/2021"/>
    <s v="Processing"/>
    <s v="USB Mouse"/>
    <s v="Mouse"/>
    <x v="0"/>
    <n v="350"/>
    <n v="455"/>
    <n v="4"/>
    <n v="1400"/>
    <n v="1820"/>
    <s v="Vijay Singh"/>
    <n v="1690"/>
  </r>
  <r>
    <s v="141412"/>
    <x v="27"/>
    <s v="Ramkrishna Das Adhikary"/>
    <s v="30/03/2021"/>
    <s v="Delivered"/>
    <s v="19&quot; LED Display"/>
    <s v="Monitor"/>
    <x v="6"/>
    <n v="9500"/>
    <n v="12350"/>
    <n v="4"/>
    <n v="38000"/>
    <n v="49400"/>
    <s v="Aadil Khan"/>
    <n v="9750"/>
  </r>
  <r>
    <s v="141413"/>
    <x v="27"/>
    <s v="Ranjeet Mandal"/>
    <s v="30/03/2021"/>
    <s v="Shipped"/>
    <s v="62 TB HDD"/>
    <s v="HDD"/>
    <x v="10"/>
    <n v="10000"/>
    <n v="13000"/>
    <n v="2"/>
    <n v="20000"/>
    <n v="26000"/>
    <s v="Advika Joshi"/>
    <n v="39000"/>
  </r>
  <r>
    <s v="141414"/>
    <x v="27"/>
    <s v="Ashwini Adsare"/>
    <s v="30/03/2021"/>
    <s v="Order"/>
    <s v="572 GB M.2"/>
    <s v="SSD"/>
    <x v="0"/>
    <n v="6500"/>
    <n v="8450"/>
    <n v="3"/>
    <n v="19500"/>
    <n v="25350"/>
    <s v="Ajay Sharma"/>
    <n v="8450"/>
  </r>
  <r>
    <s v="141415"/>
    <x v="27"/>
    <s v="Rajesh Variya"/>
    <s v="30/03/2021"/>
    <s v="Processing"/>
    <s v="RYZEN 3rd gen. 3560"/>
    <s v="CPU"/>
    <x v="1"/>
    <n v="8500"/>
    <n v="11050"/>
    <n v="2"/>
    <n v="17000"/>
    <n v="22100"/>
    <s v="Roshan Kumar"/>
    <n v="33150"/>
  </r>
  <r>
    <s v="141416"/>
    <x v="27"/>
    <s v="Amit Singh"/>
    <s v="30/03/2021"/>
    <s v="Delivered"/>
    <s v="2GB Graphic Card"/>
    <s v="Graphic Card"/>
    <x v="2"/>
    <n v="7000"/>
    <n v="9100"/>
    <n v="2"/>
    <n v="14000"/>
    <n v="18200"/>
    <s v="Aarvi Gupta"/>
    <n v="18200"/>
  </r>
  <r>
    <s v="141417"/>
    <x v="27"/>
    <s v="Vinod Mehta"/>
    <s v="30/03/2021"/>
    <s v="Shipped"/>
    <s v="76 GB DDR4 RAM"/>
    <s v="RAM"/>
    <x v="3"/>
    <n v="6550"/>
    <n v="8515"/>
    <n v="2"/>
    <n v="13100"/>
    <n v="17030"/>
    <s v="Vijay Singh"/>
    <n v="25545"/>
  </r>
  <r>
    <s v="141418"/>
    <x v="27"/>
    <s v="Jignesh Mhatre"/>
    <s v="30/03/2021"/>
    <s v="Order"/>
    <s v="Standard ATX motherboard"/>
    <s v="MotherBoard"/>
    <x v="4"/>
    <n v="7650"/>
    <n v="9945"/>
    <n v="1"/>
    <n v="7650"/>
    <n v="9945"/>
    <s v="Aadil Khan"/>
    <n v="39780"/>
  </r>
  <r>
    <s v="141419"/>
    <x v="27"/>
    <s v="Rahul Kashyap"/>
    <s v="30/03/2021"/>
    <s v="Processing"/>
    <s v="Compact with 1 Fan"/>
    <s v="Cabinet"/>
    <x v="5"/>
    <n v="1150"/>
    <n v="1495"/>
    <n v="2"/>
    <n v="2300"/>
    <n v="2990"/>
    <s v="Advika Joshi"/>
    <n v="2990"/>
  </r>
  <r>
    <s v="141420"/>
    <x v="27"/>
    <s v="Mohammed Abdul Kaleem"/>
    <s v="30/03/2021"/>
    <s v="Delivered"/>
    <s v="USB Backlight Keyboard"/>
    <s v="Keyboard"/>
    <x v="6"/>
    <n v="850"/>
    <n v="1105"/>
    <n v="4"/>
    <n v="3400"/>
    <n v="4420"/>
    <s v="Ajay Sharma"/>
    <n v="3315"/>
  </r>
  <r>
    <s v="141421"/>
    <x v="27"/>
    <s v="Chandrakant Kasbe"/>
    <s v="30/03/2021"/>
    <s v="Shipped"/>
    <s v="Ergonomic Mouse"/>
    <s v="Mouse"/>
    <x v="0"/>
    <n v="650"/>
    <n v="845"/>
    <n v="2"/>
    <n v="1300"/>
    <n v="1690"/>
    <s v="Roshan Kumar"/>
    <n v="1690"/>
  </r>
  <r>
    <s v="141422"/>
    <x v="27"/>
    <s v="Rohan Kale"/>
    <s v="30/03/2021"/>
    <s v="Order"/>
    <s v="15&quot; LCD Dsipaly"/>
    <s v="Monitor"/>
    <x v="6"/>
    <n v="7500"/>
    <n v="9750"/>
    <n v="1"/>
    <n v="7500"/>
    <n v="9750"/>
    <s v="Aarvi Gupta"/>
    <n v="9750"/>
  </r>
  <r>
    <s v="141423"/>
    <x v="27"/>
    <s v="Aniruddha Kekapure"/>
    <s v="30/03/2021"/>
    <s v="Processing"/>
    <s v="62 TB HDD"/>
    <s v="HDD"/>
    <x v="7"/>
    <n v="10000"/>
    <n v="13000"/>
    <n v="2"/>
    <n v="20000"/>
    <n v="26000"/>
    <s v="Vijay Singh"/>
    <n v="39000"/>
  </r>
  <r>
    <s v="141424"/>
    <x v="27"/>
    <s v="Aslam Raza"/>
    <s v="30/03/2021"/>
    <s v="Delivered"/>
    <s v="61 TB SSD"/>
    <s v="SSD"/>
    <x v="0"/>
    <n v="10500"/>
    <n v="13650"/>
    <n v="1"/>
    <n v="10500"/>
    <n v="13650"/>
    <s v="Aadil Khan"/>
    <n v="8450"/>
  </r>
  <r>
    <s v="141425"/>
    <x v="27"/>
    <s v="Roshan Zameer"/>
    <s v="30/03/2021"/>
    <s v="Shipped"/>
    <s v="Intel i5 12th gen."/>
    <s v="CPU"/>
    <x v="1"/>
    <n v="8500"/>
    <n v="11050"/>
    <n v="3"/>
    <n v="25500"/>
    <n v="33150"/>
    <s v="Advika Joshi"/>
    <n v="33150"/>
  </r>
  <r>
    <s v="141426"/>
    <x v="27"/>
    <s v="Rakesh Kumar Sharma"/>
    <s v="30/03/2021"/>
    <s v="Order"/>
    <s v="2GB Graphic Card"/>
    <s v="Graphic Card"/>
    <x v="2"/>
    <n v="7000"/>
    <n v="9100"/>
    <n v="1"/>
    <n v="7000"/>
    <n v="9100"/>
    <s v="Ajay Sharma"/>
    <n v="18200"/>
  </r>
  <r>
    <s v="141427"/>
    <x v="27"/>
    <s v="Shivanand Sahani"/>
    <s v="30/03/2021"/>
    <s v="Processing"/>
    <s v="64 GB DDR4 Ram"/>
    <s v="RAM"/>
    <x v="3"/>
    <n v="1680"/>
    <n v="2184"/>
    <n v="1"/>
    <n v="1680"/>
    <n v="2184"/>
    <s v="Roshan Kumar"/>
    <n v="25545"/>
  </r>
  <r>
    <s v="141428"/>
    <x v="27"/>
    <s v="Kunal Patra"/>
    <s v="30/03/2021"/>
    <s v="Delivered"/>
    <s v="Micro ATX motherboard"/>
    <s v="MotherBoard"/>
    <x v="8"/>
    <n v="6540"/>
    <n v="8502"/>
    <n v="3"/>
    <n v="19620"/>
    <n v="25506"/>
    <s v="Aarvi Gupta"/>
    <n v="39780"/>
  </r>
  <r>
    <s v="141429"/>
    <x v="27"/>
    <s v="Bijendra"/>
    <s v="30/03/2021"/>
    <s v="Shipped"/>
    <s v="Gaming Box Cabinet"/>
    <s v="Cabinet"/>
    <x v="5"/>
    <n v="2680"/>
    <n v="3484"/>
    <n v="4"/>
    <n v="10720"/>
    <n v="13936"/>
    <s v="Vijay Singh"/>
    <n v="2990"/>
  </r>
  <r>
    <s v="141430"/>
    <x v="27"/>
    <s v="Kranti Bheke"/>
    <s v="30/03/2021"/>
    <s v="Order"/>
    <s v="17&quot; LCD Display"/>
    <s v="Monitor"/>
    <x v="0"/>
    <n v="8250"/>
    <n v="10725"/>
    <n v="4"/>
    <n v="33000"/>
    <n v="42900"/>
    <s v="Aadil Khan"/>
    <n v="9750"/>
  </r>
  <r>
    <s v="141431"/>
    <x v="27"/>
    <s v="Jagdeep"/>
    <s v="30/03/2021"/>
    <s v="Processing"/>
    <s v="68 GB DDR4 RAM"/>
    <s v="RAM"/>
    <x v="0"/>
    <n v="2650"/>
    <n v="3445"/>
    <n v="2"/>
    <n v="5300"/>
    <n v="6890"/>
    <s v="Advika Joshi"/>
    <n v="25545"/>
  </r>
  <r>
    <s v="141432"/>
    <x v="27"/>
    <s v="Adhir Samal"/>
    <s v="30/03/2021"/>
    <s v="Delivered"/>
    <s v="26&quot; LCD Display"/>
    <s v="Monitor"/>
    <x v="9"/>
    <n v="12550"/>
    <n v="16315"/>
    <n v="3"/>
    <n v="37650"/>
    <n v="48945"/>
    <s v="Ajay Sharma"/>
    <n v="9750"/>
  </r>
  <r>
    <s v="141433"/>
    <x v="27"/>
    <s v="Dannana Jhammi"/>
    <s v="30/03/2021"/>
    <s v="Shipped"/>
    <s v="I7 - intel 12th Generation"/>
    <s v="CPU"/>
    <x v="1"/>
    <n v="14500"/>
    <n v="18850"/>
    <n v="1"/>
    <n v="14500"/>
    <n v="18850"/>
    <s v="Roshan Kumar"/>
    <n v="33150"/>
  </r>
  <r>
    <s v="141434"/>
    <x v="27"/>
    <s v="Vipin Kumar"/>
    <s v="30/03/2021"/>
    <s v="Order"/>
    <s v="USB Keyboard"/>
    <s v="Keyboard"/>
    <x v="6"/>
    <n v="800"/>
    <n v="1040"/>
    <n v="3"/>
    <n v="2400"/>
    <n v="3120"/>
    <s v="Aarvi Gupta"/>
    <n v="3315"/>
  </r>
  <r>
    <s v="141435"/>
    <x v="27"/>
    <s v="Ranjeet Kumar"/>
    <s v="30/03/2021"/>
    <s v="Processing"/>
    <s v="Wireless Mouse"/>
    <s v="Mouse"/>
    <x v="0"/>
    <n v="600"/>
    <n v="780"/>
    <n v="4"/>
    <n v="2400"/>
    <n v="3120"/>
    <s v="Vijay Singh"/>
    <n v="1690"/>
  </r>
  <r>
    <s v="141436"/>
    <x v="27"/>
    <s v="Sajal Singhal"/>
    <s v="30/03/2021"/>
    <s v="Delivered"/>
    <s v="21&quot; LCD Display"/>
    <s v="Monitor"/>
    <x v="6"/>
    <n v="10500"/>
    <n v="13650"/>
    <n v="2"/>
    <n v="21000"/>
    <n v="27300"/>
    <s v="Aadil Khan"/>
    <n v="9750"/>
  </r>
  <r>
    <s v="141437"/>
    <x v="27"/>
    <s v="Akhilesh Kumar"/>
    <s v="30/03/2021"/>
    <s v="Shipped"/>
    <s v="62 TB HDD"/>
    <s v="HDD"/>
    <x v="10"/>
    <n v="6500"/>
    <n v="8450"/>
    <n v="2"/>
    <n v="13000"/>
    <n v="16900"/>
    <s v="Advika Joshi"/>
    <n v="39000"/>
  </r>
  <r>
    <s v="141438"/>
    <x v="27"/>
    <s v="Suvankar Chakraborty"/>
    <s v="30/03/2021"/>
    <s v="Order"/>
    <s v="317 GB SSD"/>
    <s v="SSD"/>
    <x v="0"/>
    <n v="4500"/>
    <n v="5850"/>
    <n v="1"/>
    <n v="4500"/>
    <n v="5850"/>
    <s v="Ajay Sharma"/>
    <n v="8450"/>
  </r>
  <r>
    <s v="141439"/>
    <x v="27"/>
    <s v="Suvankar Adhikary"/>
    <s v="30/03/2021"/>
    <s v="Processing"/>
    <s v="Intel i3 11th gen."/>
    <s v="CPU"/>
    <x v="1"/>
    <n v="8500"/>
    <n v="11050"/>
    <n v="4"/>
    <n v="34000"/>
    <n v="44200"/>
    <s v="Roshan Kumar"/>
    <n v="33150"/>
  </r>
  <r>
    <s v="141440"/>
    <x v="27"/>
    <s v="Rahul Kumar Prajapati"/>
    <s v="30/03/2021"/>
    <s v="Delivered"/>
    <s v="4GB Graphic card"/>
    <s v="Graphic Card"/>
    <x v="2"/>
    <n v="12500"/>
    <n v="16250"/>
    <n v="4"/>
    <n v="50000"/>
    <n v="65000"/>
    <s v="Aarvi Gupta"/>
    <n v="18200"/>
  </r>
  <r>
    <s v="141441"/>
    <x v="27"/>
    <s v="Sagar Jeur"/>
    <s v="30/03/2021"/>
    <s v="Shipped"/>
    <s v="69 GB DDR4 RAM"/>
    <s v="Computer Case"/>
    <x v="3"/>
    <n v="3500"/>
    <n v="4550"/>
    <n v="2"/>
    <n v="7000"/>
    <n v="9100"/>
    <s v="Vijay Singh"/>
    <n v="13650"/>
  </r>
  <r>
    <s v="141442"/>
    <x v="27"/>
    <s v="Rhushikesh Mane"/>
    <s v="30/03/2021"/>
    <s v="Order"/>
    <s v="BTX motherboard"/>
    <s v="Mouse"/>
    <x v="4"/>
    <n v="4500"/>
    <n v="5850"/>
    <n v="3"/>
    <n v="13500"/>
    <n v="17550"/>
    <s v="Aadil Khan"/>
    <n v="1690"/>
  </r>
  <r>
    <s v="141443"/>
    <x v="27"/>
    <s v="Ashish Kumar"/>
    <s v="30/03/2021"/>
    <s v="Processing"/>
    <s v="64 Fans Cabinet"/>
    <s v="Cabinet"/>
    <x v="5"/>
    <n v="2100"/>
    <n v="2730"/>
    <n v="4"/>
    <n v="8400"/>
    <n v="10920"/>
    <s v="Advika Joshi"/>
    <n v="2990"/>
  </r>
  <r>
    <s v="141444"/>
    <x v="27"/>
    <s v="Javed Akhter"/>
    <s v="30/03/2021"/>
    <s v="Delivered"/>
    <s v="Wireless Keyboard"/>
    <s v="Keyboard"/>
    <x v="6"/>
    <n v="1150"/>
    <n v="1495"/>
    <n v="3"/>
    <n v="3450"/>
    <n v="4485"/>
    <s v="Ajay Sharma"/>
    <n v="3315"/>
  </r>
  <r>
    <s v="141445"/>
    <x v="27"/>
    <s v="Haridas Balraj"/>
    <s v="30/03/2021"/>
    <s v="Shipped"/>
    <s v="USB Mouse"/>
    <s v="Mouse"/>
    <x v="0"/>
    <n v="350"/>
    <n v="455"/>
    <n v="1"/>
    <n v="350"/>
    <n v="455"/>
    <s v="Roshan Kumar"/>
    <n v="1690"/>
  </r>
  <r>
    <s v="141446"/>
    <x v="27"/>
    <s v="Kundan Kumar"/>
    <s v="30/03/2021"/>
    <s v="Order"/>
    <s v="19&quot; LED Display"/>
    <s v="Monitor"/>
    <x v="6"/>
    <n v="9500"/>
    <n v="12350"/>
    <n v="2"/>
    <n v="19000"/>
    <n v="24700"/>
    <s v="Aarvi Gupta"/>
    <n v="9750"/>
  </r>
  <r>
    <s v="141447"/>
    <x v="27"/>
    <s v="Atif Siddiqui"/>
    <s v="30/03/2021"/>
    <s v="Processing"/>
    <s v="63 TB HDD"/>
    <s v="HDD"/>
    <x v="10"/>
    <n v="10000"/>
    <n v="13000"/>
    <n v="2"/>
    <n v="20000"/>
    <n v="26000"/>
    <s v="Vijay Singh"/>
    <n v="39000"/>
  </r>
  <r>
    <s v="141448"/>
    <x v="27"/>
    <s v="Aditya Agarwal"/>
    <s v="30/03/2021"/>
    <s v="Delivered"/>
    <s v="573 GB M.2"/>
    <s v="SSD"/>
    <x v="0"/>
    <n v="6500"/>
    <n v="8450"/>
    <n v="4"/>
    <n v="26000"/>
    <n v="33800"/>
    <s v="Aadil Khan"/>
    <n v="8450"/>
  </r>
  <r>
    <s v="141449"/>
    <x v="27"/>
    <s v="Firdoush Jabee"/>
    <s v="30/03/2021"/>
    <s v="Shipped"/>
    <s v="RYZEN 3rd gen. 3561"/>
    <s v="CPU"/>
    <x v="1"/>
    <n v="8500"/>
    <n v="11050"/>
    <n v="3"/>
    <n v="25500"/>
    <n v="33150"/>
    <s v="Advika Joshi"/>
    <n v="33150"/>
  </r>
  <r>
    <s v="141450"/>
    <x v="27"/>
    <s v="Jay Prakash Kumar"/>
    <s v="30/03/2021"/>
    <s v="Order"/>
    <s v="2GB Graphic Card"/>
    <s v="Graphic Card"/>
    <x v="2"/>
    <n v="7000"/>
    <n v="9100"/>
    <n v="4"/>
    <n v="28000"/>
    <n v="36400"/>
    <s v="Ajay Sharma"/>
    <n v="18200"/>
  </r>
  <r>
    <s v="141451"/>
    <x v="27"/>
    <s v="Ashish Pandey"/>
    <s v="30/03/2021"/>
    <s v="Processing"/>
    <s v="77 GB DDR4 RAM"/>
    <s v="Computer Case"/>
    <x v="3"/>
    <n v="6550"/>
    <n v="8515"/>
    <n v="2"/>
    <n v="13100"/>
    <n v="17030"/>
    <s v="Roshan Kumar"/>
    <n v="13650"/>
  </r>
  <r>
    <s v="141452"/>
    <x v="27"/>
    <s v="Ajay Sharma"/>
    <s v="30/03/2021"/>
    <s v="Delivered"/>
    <s v="Standard ATX motherboard"/>
    <s v="Mouse"/>
    <x v="4"/>
    <n v="7650"/>
    <n v="9945"/>
    <n v="3"/>
    <n v="22950"/>
    <n v="29835"/>
    <s v="Aarvi Gupta"/>
    <n v="1690"/>
  </r>
  <r>
    <s v="141453"/>
    <x v="27"/>
    <s v="Moinuddin Saifi"/>
    <s v="30/03/2021"/>
    <s v="Shipped"/>
    <s v="Compact with 1 Fan"/>
    <s v="Cabinet"/>
    <x v="5"/>
    <n v="1150"/>
    <n v="1495"/>
    <n v="4"/>
    <n v="4600"/>
    <n v="5980"/>
    <s v="Vijay Singh"/>
    <n v="2990"/>
  </r>
  <r>
    <s v="141454"/>
    <x v="27"/>
    <s v="Ramkrishna Das Adhikary"/>
    <s v="30/03/2021"/>
    <s v="Order"/>
    <s v="USB Backlight Keyboard"/>
    <s v="Keyboard"/>
    <x v="6"/>
    <n v="850"/>
    <n v="1105"/>
    <n v="2"/>
    <n v="1700"/>
    <n v="2210"/>
    <s v="Aadil Khan"/>
    <n v="3315"/>
  </r>
  <r>
    <s v="141455"/>
    <x v="27"/>
    <s v="Ranjeet Mandal"/>
    <s v="30/03/2021"/>
    <s v="Processing"/>
    <s v="Ergonomic Mouse"/>
    <s v="Mouse"/>
    <x v="0"/>
    <n v="650"/>
    <n v="845"/>
    <n v="4"/>
    <n v="2600"/>
    <n v="3380"/>
    <s v="Advika Joshi"/>
    <n v="1690"/>
  </r>
  <r>
    <s v="141456"/>
    <x v="27"/>
    <s v="Ashwini Adsare"/>
    <s v="30/03/2021"/>
    <s v="Delivered"/>
    <s v="15&quot; LCD Dsipaly"/>
    <s v="Monitor"/>
    <x v="6"/>
    <n v="7500"/>
    <n v="9750"/>
    <n v="1"/>
    <n v="7500"/>
    <n v="9750"/>
    <s v="Ajay Sharma"/>
    <n v="9750"/>
  </r>
  <r>
    <s v="141457"/>
    <x v="27"/>
    <s v="Rajesh Variya"/>
    <s v="30/03/2021"/>
    <s v="Shipped"/>
    <s v="63 TB HDD"/>
    <s v="HDD"/>
    <x v="7"/>
    <n v="10000"/>
    <n v="13000"/>
    <n v="4"/>
    <n v="40000"/>
    <n v="52000"/>
    <s v="Roshan Kumar"/>
    <n v="39000"/>
  </r>
  <r>
    <s v="141458"/>
    <x v="27"/>
    <s v="Amit Singh"/>
    <s v="30/03/2021"/>
    <s v="Order"/>
    <s v="62 TB SSD"/>
    <s v="SSD"/>
    <x v="0"/>
    <n v="10500"/>
    <n v="13650"/>
    <n v="4"/>
    <n v="42000"/>
    <n v="54600"/>
    <s v="Aarvi Gupta"/>
    <n v="8450"/>
  </r>
  <r>
    <s v="141459"/>
    <x v="27"/>
    <s v="Vinod Mehta"/>
    <s v="30/03/2021"/>
    <s v="Processing"/>
    <s v="Intel i5 12th gen."/>
    <s v="CPU"/>
    <x v="1"/>
    <n v="8500"/>
    <n v="11050"/>
    <n v="1"/>
    <n v="8500"/>
    <n v="11050"/>
    <s v="Vijay Singh"/>
    <n v="33150"/>
  </r>
  <r>
    <s v="141460"/>
    <x v="27"/>
    <s v="Jignesh Mhatre"/>
    <s v="30/03/2021"/>
    <s v="Delivered"/>
    <s v="2GB Graphic Card"/>
    <s v="Graphic Card"/>
    <x v="2"/>
    <n v="7000"/>
    <n v="9100"/>
    <n v="1"/>
    <n v="7000"/>
    <n v="9100"/>
    <s v="Aadil Khan"/>
    <n v="18200"/>
  </r>
  <r>
    <s v="141461"/>
    <x v="27"/>
    <s v="Rahul Kashyap"/>
    <s v="30/03/2021"/>
    <s v="Shipped"/>
    <s v="65 GB DDR4 Ram"/>
    <s v="Computer Case"/>
    <x v="3"/>
    <n v="1680"/>
    <n v="2184"/>
    <n v="4"/>
    <n v="6720"/>
    <n v="8736"/>
    <s v="Advika Joshi"/>
    <n v="13650"/>
  </r>
  <r>
    <s v="141462"/>
    <x v="27"/>
    <s v="Mohammed Abdul Kaleem"/>
    <s v="30/03/2021"/>
    <s v="Order"/>
    <s v="Micro ATX motherboard"/>
    <s v="Mouse"/>
    <x v="8"/>
    <n v="6540"/>
    <n v="8502"/>
    <n v="4"/>
    <n v="26160"/>
    <n v="34008"/>
    <s v="Ajay Sharma"/>
    <n v="1690"/>
  </r>
  <r>
    <s v="141463"/>
    <x v="27"/>
    <s v="Chandrakant Kasbe"/>
    <s v="30/03/2021"/>
    <s v="Processing"/>
    <s v="Gaming Box Cabinet"/>
    <s v="Cabinet"/>
    <x v="5"/>
    <n v="2680"/>
    <n v="3484"/>
    <n v="3"/>
    <n v="8040"/>
    <n v="10452"/>
    <s v="Roshan Kumar"/>
    <n v="2990"/>
  </r>
  <r>
    <s v="141464"/>
    <x v="27"/>
    <s v="Rohan Kale"/>
    <s v="30/03/2021"/>
    <s v="Delivered"/>
    <s v="17&quot; LCD Display"/>
    <s v="Monitor"/>
    <x v="0"/>
    <n v="8250"/>
    <n v="10725"/>
    <n v="1"/>
    <n v="8250"/>
    <n v="10725"/>
    <s v="Aarvi Gupta"/>
    <n v="9750"/>
  </r>
  <r>
    <s v="141465"/>
    <x v="27"/>
    <s v="Aniruddha Kekapure"/>
    <s v="30/03/2021"/>
    <s v="Shipped"/>
    <s v="69 GB DDR4 RAM"/>
    <s v="RAM"/>
    <x v="0"/>
    <n v="2650"/>
    <n v="3445"/>
    <n v="4"/>
    <n v="10600"/>
    <n v="13780"/>
    <s v="Vijay Singh"/>
    <n v="25545"/>
  </r>
  <r>
    <s v="141466"/>
    <x v="27"/>
    <s v="Aslam Raza"/>
    <s v="30/03/2021"/>
    <s v="Order"/>
    <s v="26&quot; LCD Display"/>
    <s v="Monitor"/>
    <x v="9"/>
    <n v="12550"/>
    <n v="16315"/>
    <n v="4"/>
    <n v="50200"/>
    <n v="65260"/>
    <s v="Aadil Khan"/>
    <n v="9750"/>
  </r>
  <r>
    <s v="141467"/>
    <x v="27"/>
    <s v="Roshan Zameer"/>
    <s v="30/03/2021"/>
    <s v="Processing"/>
    <s v="I7 - intel 12th Generation"/>
    <s v="CPU"/>
    <x v="1"/>
    <n v="14500"/>
    <n v="18850"/>
    <n v="3"/>
    <n v="43500"/>
    <n v="56550"/>
    <s v="Advika Joshi"/>
    <n v="33150"/>
  </r>
  <r>
    <s v="141468"/>
    <x v="27"/>
    <s v="Rakesh Kumar Sharma"/>
    <s v="30/03/2021"/>
    <s v="Delivered"/>
    <s v="USB Keyboard"/>
    <s v="Keyboard"/>
    <x v="6"/>
    <n v="800"/>
    <n v="1040"/>
    <n v="1"/>
    <n v="800"/>
    <n v="1040"/>
    <s v="Ajay Sharma"/>
    <n v="3315"/>
  </r>
  <r>
    <s v="141469"/>
    <x v="27"/>
    <s v="Shivanand Sahani"/>
    <s v="30/03/2021"/>
    <s v="Shipped"/>
    <s v="Wireless Mouse"/>
    <s v="Mouse"/>
    <x v="0"/>
    <n v="600"/>
    <n v="780"/>
    <n v="1"/>
    <n v="600"/>
    <n v="780"/>
    <s v="Roshan Kumar"/>
    <n v="1690"/>
  </r>
  <r>
    <s v="141470"/>
    <x v="27"/>
    <s v="Kunal Patra"/>
    <s v="30/03/2021"/>
    <s v="Order"/>
    <s v="21&quot; LCD Display"/>
    <s v="Monitor"/>
    <x v="6"/>
    <n v="10500"/>
    <n v="13650"/>
    <n v="3"/>
    <n v="31500"/>
    <n v="40950"/>
    <s v="Aarvi Gupta"/>
    <n v="9750"/>
  </r>
  <r>
    <s v="141471"/>
    <x v="27"/>
    <s v="Bijendra"/>
    <s v="30/03/2021"/>
    <s v="Processing"/>
    <s v="63 TB HDD"/>
    <s v="HDD"/>
    <x v="10"/>
    <n v="6500"/>
    <n v="8450"/>
    <n v="1"/>
    <n v="6500"/>
    <n v="8450"/>
    <s v="Vijay Singh"/>
    <n v="39000"/>
  </r>
  <r>
    <s v="141472"/>
    <x v="27"/>
    <s v="Kranti Bheke"/>
    <s v="30/03/2021"/>
    <s v="Delivered"/>
    <s v="318 GB SSD"/>
    <s v="SSD"/>
    <x v="0"/>
    <n v="4500"/>
    <n v="5850"/>
    <n v="4"/>
    <n v="18000"/>
    <n v="23400"/>
    <s v="Aadil Khan"/>
    <n v="8450"/>
  </r>
  <r>
    <s v="141473"/>
    <x v="27"/>
    <s v="Jagdeep"/>
    <s v="30/03/2021"/>
    <s v="Shipped"/>
    <s v="Intel i3 11th gen."/>
    <s v="CPU"/>
    <x v="1"/>
    <n v="8500"/>
    <n v="11050"/>
    <n v="2"/>
    <n v="17000"/>
    <n v="22100"/>
    <s v="Advika Joshi"/>
    <n v="33150"/>
  </r>
  <r>
    <s v="141474"/>
    <x v="27"/>
    <s v="Adhir Samal"/>
    <s v="30/03/2021"/>
    <s v="Order"/>
    <s v="4GB Graphic card"/>
    <s v="Graphic Card"/>
    <x v="2"/>
    <n v="12500"/>
    <n v="16250"/>
    <n v="4"/>
    <n v="50000"/>
    <n v="65000"/>
    <s v="Ajay Sharma"/>
    <n v="18200"/>
  </r>
  <r>
    <s v="141475"/>
    <x v="27"/>
    <s v="Dannana Jhammi"/>
    <s v="30/03/2021"/>
    <s v="Processing"/>
    <s v="70 GB DDR4 RAM"/>
    <s v="NIC"/>
    <x v="3"/>
    <n v="3500"/>
    <n v="4550"/>
    <n v="4"/>
    <n v="14000"/>
    <n v="18200"/>
    <s v="Roshan Kumar"/>
    <n v="9100"/>
  </r>
  <r>
    <s v="141476"/>
    <x v="27"/>
    <s v="Vipin Kumar"/>
    <s v="30/03/2021"/>
    <s v="Delivered"/>
    <s v="BTX motherboard"/>
    <s v="Printer"/>
    <x v="4"/>
    <n v="4500"/>
    <n v="5850"/>
    <n v="4"/>
    <n v="18000"/>
    <n v="23400"/>
    <s v="Aarvi Gupta"/>
    <n v="11700"/>
  </r>
  <r>
    <s v="141477"/>
    <x v="27"/>
    <s v="Ranjeet Kumar"/>
    <s v="30/03/2021"/>
    <s v="Shipped"/>
    <s v="65 Fans Cabinet"/>
    <s v="Cabinet"/>
    <x v="5"/>
    <n v="2100"/>
    <n v="2730"/>
    <n v="4"/>
    <n v="8400"/>
    <n v="10920"/>
    <s v="Vijay Singh"/>
    <n v="2990"/>
  </r>
  <r>
    <s v="141478"/>
    <x v="27"/>
    <s v="Sajal Singhal"/>
    <s v="30/03/2021"/>
    <s v="Order"/>
    <s v="Wireless Keyboard"/>
    <s v="Keyboard"/>
    <x v="6"/>
    <n v="1150"/>
    <n v="1495"/>
    <n v="2"/>
    <n v="2300"/>
    <n v="2990"/>
    <s v="Aadil Khan"/>
    <n v="3315"/>
  </r>
  <r>
    <s v="141479"/>
    <x v="27"/>
    <s v="Akhilesh Kumar"/>
    <s v="30/03/2021"/>
    <s v="Processing"/>
    <s v="USB Mouse"/>
    <s v="Mouse"/>
    <x v="0"/>
    <n v="350"/>
    <n v="455"/>
    <n v="2"/>
    <n v="700"/>
    <n v="910"/>
    <s v="Advika Joshi"/>
    <n v="1690"/>
  </r>
  <r>
    <s v="141480"/>
    <x v="27"/>
    <s v="Suvankar Chakraborty"/>
    <s v="30/03/2021"/>
    <s v="Delivered"/>
    <s v="19&quot; LED Display"/>
    <s v="Monitor"/>
    <x v="6"/>
    <n v="9500"/>
    <n v="12350"/>
    <n v="2"/>
    <n v="19000"/>
    <n v="24700"/>
    <s v="Ajay Sharma"/>
    <n v="9750"/>
  </r>
  <r>
    <s v="141481"/>
    <x v="27"/>
    <s v="Suvankar Adhikary"/>
    <s v="30/03/2021"/>
    <s v="Shipped"/>
    <s v="64 TB HDD"/>
    <s v="HDD"/>
    <x v="10"/>
    <n v="10000"/>
    <n v="13000"/>
    <n v="4"/>
    <n v="40000"/>
    <n v="52000"/>
    <s v="Roshan Kumar"/>
    <n v="39000"/>
  </r>
  <r>
    <s v="141482"/>
    <x v="27"/>
    <s v="Rahul Kumar Prajapati"/>
    <s v="30/03/2021"/>
    <s v="Order"/>
    <s v="574 GB M.2"/>
    <s v="SSD"/>
    <x v="0"/>
    <n v="6500"/>
    <n v="8450"/>
    <n v="3"/>
    <n v="19500"/>
    <n v="25350"/>
    <s v="Aarvi Gupta"/>
    <n v="8450"/>
  </r>
  <r>
    <s v="141483"/>
    <x v="27"/>
    <s v="Sagar Jeur"/>
    <s v="30/03/2021"/>
    <s v="Processing"/>
    <s v="RYZEN 3rd gen. 3562"/>
    <s v="CPU"/>
    <x v="1"/>
    <n v="8500"/>
    <n v="11050"/>
    <n v="1"/>
    <n v="8500"/>
    <n v="11050"/>
    <s v="Vijay Singh"/>
    <n v="33150"/>
  </r>
  <r>
    <s v="141484"/>
    <x v="27"/>
    <s v="Rhushikesh Mane"/>
    <s v="30/03/2021"/>
    <s v="Delivered"/>
    <s v="2GB Graphic Card"/>
    <s v="Graphic Card"/>
    <x v="2"/>
    <n v="7000"/>
    <n v="9100"/>
    <n v="1"/>
    <n v="7000"/>
    <n v="9100"/>
    <s v="Aadil Khan"/>
    <n v="18200"/>
  </r>
  <r>
    <s v="141485"/>
    <x v="27"/>
    <s v="Ashish Kumar"/>
    <s v="30/03/2021"/>
    <s v="Shipped"/>
    <s v="78 GB DDR4 RAM"/>
    <s v="NIC"/>
    <x v="3"/>
    <n v="6550"/>
    <n v="8515"/>
    <n v="2"/>
    <n v="13100"/>
    <n v="17030"/>
    <s v="Advika Joshi"/>
    <n v="9100"/>
  </r>
  <r>
    <s v="141486"/>
    <x v="27"/>
    <s v="Javed Akhter"/>
    <s v="30/03/2021"/>
    <s v="Order"/>
    <s v="Standard ATX motherboard"/>
    <s v="Printer"/>
    <x v="4"/>
    <n v="7650"/>
    <n v="9945"/>
    <n v="2"/>
    <n v="15300"/>
    <n v="19890"/>
    <s v="Ajay Sharma"/>
    <n v="11700"/>
  </r>
  <r>
    <s v="141487"/>
    <x v="27"/>
    <s v="Haridas Balraj"/>
    <s v="30/03/2021"/>
    <s v="Processing"/>
    <s v="Compact with 1 Fan"/>
    <s v="Cabinet"/>
    <x v="5"/>
    <n v="1150"/>
    <n v="1495"/>
    <n v="4"/>
    <n v="4600"/>
    <n v="5980"/>
    <s v="Roshan Kumar"/>
    <n v="2990"/>
  </r>
  <r>
    <s v="141488"/>
    <x v="27"/>
    <s v="Kundan Kumar"/>
    <s v="30/03/2021"/>
    <s v="Delivered"/>
    <s v="USB Backlight Keyboard"/>
    <s v="Keyboard"/>
    <x v="6"/>
    <n v="850"/>
    <n v="1105"/>
    <n v="2"/>
    <n v="1700"/>
    <n v="2210"/>
    <s v="Aarvi Gupta"/>
    <n v="3315"/>
  </r>
  <r>
    <s v="141489"/>
    <x v="27"/>
    <s v="Atif Siddiqui"/>
    <s v="30/03/2021"/>
    <s v="Shipped"/>
    <s v="Ergonomic Mouse"/>
    <s v="Mouse"/>
    <x v="0"/>
    <n v="650"/>
    <n v="845"/>
    <n v="2"/>
    <n v="1300"/>
    <n v="1690"/>
    <s v="Vijay Singh"/>
    <n v="1690"/>
  </r>
  <r>
    <s v="141490"/>
    <x v="27"/>
    <s v="Aditya Agarwal"/>
    <s v="30/03/2021"/>
    <s v="Order"/>
    <s v="15&quot; LCD Dsipaly"/>
    <s v="Monitor"/>
    <x v="6"/>
    <n v="7500"/>
    <n v="9750"/>
    <n v="3"/>
    <n v="22500"/>
    <n v="29250"/>
    <s v="Aadil Khan"/>
    <n v="9750"/>
  </r>
  <r>
    <s v="141491"/>
    <x v="27"/>
    <s v="Firdoush Jabee"/>
    <s v="30/03/2021"/>
    <s v="Processing"/>
    <s v="64 TB HDD"/>
    <s v="HDD"/>
    <x v="7"/>
    <n v="10000"/>
    <n v="13000"/>
    <n v="4"/>
    <n v="40000"/>
    <n v="52000"/>
    <s v="Advika Joshi"/>
    <n v="39000"/>
  </r>
  <r>
    <s v="141492"/>
    <x v="27"/>
    <s v="Jay Prakash Kumar"/>
    <s v="30/03/2021"/>
    <s v="Delivered"/>
    <s v="63 TB SSD"/>
    <s v="SSD"/>
    <x v="0"/>
    <n v="10500"/>
    <n v="13650"/>
    <n v="2"/>
    <n v="21000"/>
    <n v="27300"/>
    <s v="Ajay Sharma"/>
    <n v="8450"/>
  </r>
  <r>
    <s v="141493"/>
    <x v="27"/>
    <s v="Ashish Pandey"/>
    <s v="30/03/2021"/>
    <s v="Shipped"/>
    <s v="Intel i5 12th gen."/>
    <s v="CPU"/>
    <x v="1"/>
    <n v="8500"/>
    <n v="11050"/>
    <n v="4"/>
    <n v="34000"/>
    <n v="44200"/>
    <s v="Roshan Kumar"/>
    <n v="33150"/>
  </r>
  <r>
    <s v="141494"/>
    <x v="27"/>
    <s v="Ajay Sharma"/>
    <s v="30/03/2021"/>
    <s v="Order"/>
    <s v="2GB Graphic Card"/>
    <s v="Graphic Card"/>
    <x v="2"/>
    <n v="7000"/>
    <n v="9100"/>
    <n v="4"/>
    <n v="28000"/>
    <n v="36400"/>
    <s v="Aarvi Gupta"/>
    <n v="18200"/>
  </r>
  <r>
    <s v="141495"/>
    <x v="27"/>
    <s v="Moinuddin Saifi"/>
    <s v="30/03/2021"/>
    <s v="Processing"/>
    <s v="66 GB DDR4 Ram"/>
    <s v="NIC"/>
    <x v="3"/>
    <n v="1680"/>
    <n v="2184"/>
    <n v="2"/>
    <n v="3360"/>
    <n v="4368"/>
    <s v="Vijay Singh"/>
    <n v="9100"/>
  </r>
  <r>
    <s v="141496"/>
    <x v="27"/>
    <s v="Ramkrishna Das Adhikary"/>
    <s v="30/03/2021"/>
    <s v="Delivered"/>
    <s v="Micro ATX motherboard"/>
    <s v="Printer"/>
    <x v="8"/>
    <n v="6540"/>
    <n v="8502"/>
    <n v="3"/>
    <n v="19620"/>
    <n v="25506"/>
    <s v="Aadil Khan"/>
    <n v="11700"/>
  </r>
  <r>
    <s v="141497"/>
    <x v="27"/>
    <s v="Ranjeet Mandal"/>
    <s v="30/03/2021"/>
    <s v="Shipped"/>
    <s v="Gaming Box Cabinet"/>
    <s v="Cabinet"/>
    <x v="5"/>
    <n v="2680"/>
    <n v="3484"/>
    <n v="2"/>
    <n v="5360"/>
    <n v="6968"/>
    <s v="Advika Joshi"/>
    <n v="2990"/>
  </r>
  <r>
    <s v="141498"/>
    <x v="27"/>
    <s v="Ashwini Adsare"/>
    <s v="30/03/2021"/>
    <s v="Order"/>
    <s v="17&quot; LCD Display"/>
    <s v="Monitor"/>
    <x v="0"/>
    <n v="8250"/>
    <n v="10725"/>
    <n v="1"/>
    <n v="8250"/>
    <n v="10725"/>
    <s v="Ajay Sharma"/>
    <n v="9750"/>
  </r>
  <r>
    <s v="141499"/>
    <x v="27"/>
    <s v="Rajesh Variya"/>
    <s v="30/03/2021"/>
    <s v="Processing"/>
    <s v="70 GB DDR4 RAM"/>
    <s v="RAM"/>
    <x v="0"/>
    <n v="2650"/>
    <n v="3445"/>
    <n v="4"/>
    <n v="10600"/>
    <n v="13780"/>
    <s v="Roshan Kumar"/>
    <n v="25545"/>
  </r>
  <r>
    <s v="141500"/>
    <x v="27"/>
    <s v="Amit Singh"/>
    <s v="30/03/2021"/>
    <s v="Delivered"/>
    <s v="26&quot; LCD Display"/>
    <s v="Monitor"/>
    <x v="9"/>
    <n v="12550"/>
    <n v="16315"/>
    <n v="2"/>
    <n v="25100"/>
    <n v="32630"/>
    <s v="Aarvi Gupta"/>
    <n v="9750"/>
  </r>
  <r>
    <s v="141501"/>
    <x v="27"/>
    <s v="Vinod Mehta"/>
    <s v="30/03/2021"/>
    <s v="Shipped"/>
    <s v="I7 - intel 12th Generation"/>
    <s v="CPU"/>
    <x v="1"/>
    <n v="14500"/>
    <n v="18850"/>
    <n v="4"/>
    <n v="58000"/>
    <n v="75400"/>
    <s v="Vijay Singh"/>
    <n v="33150"/>
  </r>
  <r>
    <s v="141502"/>
    <x v="27"/>
    <s v="Jignesh Mhatre"/>
    <s v="30/03/2021"/>
    <s v="Order"/>
    <s v="USB Keyboard"/>
    <s v="Keyboard"/>
    <x v="6"/>
    <n v="800"/>
    <n v="1040"/>
    <n v="1"/>
    <n v="800"/>
    <n v="1040"/>
    <s v="Aadil Khan"/>
    <n v="3315"/>
  </r>
  <r>
    <s v="141503"/>
    <x v="27"/>
    <s v="Rahul Kashyap"/>
    <s v="30/03/2021"/>
    <s v="Processing"/>
    <s v="Wireless Mouse"/>
    <s v="Mouse"/>
    <x v="0"/>
    <n v="600"/>
    <n v="780"/>
    <n v="1"/>
    <n v="600"/>
    <n v="780"/>
    <s v="Advika Joshi"/>
    <n v="1690"/>
  </r>
  <r>
    <s v="141504"/>
    <x v="27"/>
    <s v="Mohammed Abdul Kaleem"/>
    <s v="30/03/2021"/>
    <s v="Delivered"/>
    <s v="21&quot; LCD Display"/>
    <s v="Monitor"/>
    <x v="6"/>
    <n v="10500"/>
    <n v="13650"/>
    <n v="1"/>
    <n v="10500"/>
    <n v="13650"/>
    <s v="Ajay Sharma"/>
    <n v="9750"/>
  </r>
  <r>
    <s v="141505"/>
    <x v="27"/>
    <s v="Chandrakant Kasbe"/>
    <s v="30/03/2021"/>
    <s v="Shipped"/>
    <s v="64 TB HDD"/>
    <s v="HDD"/>
    <x v="10"/>
    <n v="6500"/>
    <n v="8450"/>
    <n v="2"/>
    <n v="13000"/>
    <n v="16900"/>
    <s v="Roshan Kumar"/>
    <n v="39000"/>
  </r>
  <r>
    <s v="141506"/>
    <x v="27"/>
    <s v="Rohan Kale"/>
    <s v="30/03/2021"/>
    <s v="Order"/>
    <s v="319 GB SSD"/>
    <s v="SSD"/>
    <x v="0"/>
    <n v="4500"/>
    <n v="5850"/>
    <n v="2"/>
    <n v="9000"/>
    <n v="11700"/>
    <s v="Aarvi Gupta"/>
    <n v="8450"/>
  </r>
  <r>
    <s v="141507"/>
    <x v="27"/>
    <s v="Aniruddha Kekapure"/>
    <s v="30/03/2021"/>
    <s v="Processing"/>
    <s v="Intel i3 11th gen."/>
    <s v="CPU"/>
    <x v="1"/>
    <n v="8500"/>
    <n v="11050"/>
    <n v="2"/>
    <n v="17000"/>
    <n v="22100"/>
    <s v="Vijay Singh"/>
    <n v="33150"/>
  </r>
  <r>
    <s v="141508"/>
    <x v="27"/>
    <s v="Aslam Raza"/>
    <s v="30/03/2021"/>
    <s v="Delivered"/>
    <s v="4GB Graphic card"/>
    <s v="Graphic Card"/>
    <x v="2"/>
    <n v="12500"/>
    <n v="16250"/>
    <n v="3"/>
    <n v="37500"/>
    <n v="48750"/>
    <s v="Aadil Khan"/>
    <n v="18200"/>
  </r>
  <r>
    <s v="141509"/>
    <x v="27"/>
    <s v="Roshan Zameer"/>
    <s v="30/03/2021"/>
    <s v="Shipped"/>
    <s v="71 GB DDR4 RAM"/>
    <s v="RAM"/>
    <x v="3"/>
    <n v="3500"/>
    <n v="4550"/>
    <n v="1"/>
    <n v="3500"/>
    <n v="4550"/>
    <s v="Advika Joshi"/>
    <n v="25545"/>
  </r>
  <r>
    <s v="141510"/>
    <x v="27"/>
    <s v="Rakesh Kumar Sharma"/>
    <s v="30/03/2021"/>
    <s v="Order"/>
    <s v="BTX motherboard"/>
    <s v="MotherBoard"/>
    <x v="4"/>
    <n v="4500"/>
    <n v="5850"/>
    <n v="1"/>
    <n v="4500"/>
    <n v="5850"/>
    <s v="Ajay Sharma"/>
    <n v="39780"/>
  </r>
  <r>
    <s v="141511"/>
    <x v="27"/>
    <s v="Shivanand Sahani"/>
    <s v="30/03/2021"/>
    <s v="Processing"/>
    <s v="66 Fans Cabinet"/>
    <s v="Cabinet"/>
    <x v="5"/>
    <n v="2100"/>
    <n v="2730"/>
    <n v="2"/>
    <n v="4200"/>
    <n v="5460"/>
    <s v="Roshan Kumar"/>
    <n v="2990"/>
  </r>
  <r>
    <s v="141512"/>
    <x v="27"/>
    <s v="Kunal Patra"/>
    <s v="31/03/2021"/>
    <s v="Delivered"/>
    <s v="Wireless Keyboard"/>
    <s v="Keyboard"/>
    <x v="6"/>
    <n v="1150"/>
    <n v="1495"/>
    <n v="3"/>
    <n v="3450"/>
    <n v="4485"/>
    <s v="Aarvi Gupta"/>
    <n v="3315"/>
  </r>
  <r>
    <s v="141513"/>
    <x v="27"/>
    <s v="Bijendra"/>
    <s v="31/03/2021"/>
    <s v="Shipped"/>
    <s v="USB Mouse"/>
    <s v="Mouse"/>
    <x v="0"/>
    <n v="350"/>
    <n v="455"/>
    <n v="4"/>
    <n v="1400"/>
    <n v="1820"/>
    <s v="Vijay Singh"/>
    <n v="1690"/>
  </r>
  <r>
    <s v="141514"/>
    <x v="27"/>
    <s v="Kranti Bheke"/>
    <s v="31/03/2021"/>
    <s v="Order"/>
    <s v="19&quot; LED Display"/>
    <s v="Monitor"/>
    <x v="6"/>
    <n v="9500"/>
    <n v="12350"/>
    <n v="3"/>
    <n v="28500"/>
    <n v="37050"/>
    <s v="Aadil Khan"/>
    <n v="9750"/>
  </r>
  <r>
    <s v="141515"/>
    <x v="27"/>
    <s v="Jagdeep"/>
    <s v="31/03/2021"/>
    <s v="Processing"/>
    <s v="65 TB HDD"/>
    <s v="HDD"/>
    <x v="10"/>
    <n v="10000"/>
    <n v="13000"/>
    <n v="2"/>
    <n v="20000"/>
    <n v="26000"/>
    <s v="Advika Joshi"/>
    <n v="39000"/>
  </r>
  <r>
    <s v="141516"/>
    <x v="27"/>
    <s v="Adhir Samal"/>
    <s v="31/03/2021"/>
    <s v="Delivered"/>
    <s v="575 GB M.2"/>
    <s v="SSD"/>
    <x v="0"/>
    <n v="6500"/>
    <n v="8450"/>
    <n v="1"/>
    <n v="6500"/>
    <n v="8450"/>
    <s v="Ajay Sharma"/>
    <n v="8450"/>
  </r>
  <r>
    <s v="141517"/>
    <x v="27"/>
    <s v="Dannana Jhammi"/>
    <s v="31/03/2021"/>
    <s v="Shipped"/>
    <s v="RYZEN 3rd gen. 3563"/>
    <s v="CPU"/>
    <x v="1"/>
    <n v="8500"/>
    <n v="11050"/>
    <n v="1"/>
    <n v="8500"/>
    <n v="11050"/>
    <s v="Roshan Kumar"/>
    <n v="33150"/>
  </r>
  <r>
    <s v="141518"/>
    <x v="27"/>
    <s v="Vipin Kumar"/>
    <s v="31/03/2021"/>
    <s v="Order"/>
    <s v="2GB Graphic Card"/>
    <s v="Graphic Card"/>
    <x v="2"/>
    <n v="7000"/>
    <n v="9100"/>
    <n v="3"/>
    <n v="21000"/>
    <n v="27300"/>
    <s v="Aarvi Gupta"/>
    <n v="18200"/>
  </r>
  <r>
    <s v="141519"/>
    <x v="27"/>
    <s v="Ranjeet Kumar"/>
    <s v="31/03/2021"/>
    <s v="Processing"/>
    <s v="79 GB DDR4 RAM"/>
    <s v="RAM"/>
    <x v="3"/>
    <n v="6550"/>
    <n v="8515"/>
    <n v="4"/>
    <n v="26200"/>
    <n v="34060"/>
    <s v="Vijay Singh"/>
    <n v="25545"/>
  </r>
  <r>
    <s v="141520"/>
    <x v="27"/>
    <s v="Sajal Singhal"/>
    <s v="31/03/2021"/>
    <s v="Delivered"/>
    <s v="Standard ATX motherboard"/>
    <s v="MotherBoard"/>
    <x v="4"/>
    <n v="7650"/>
    <n v="9945"/>
    <n v="4"/>
    <n v="30600"/>
    <n v="39780"/>
    <s v="Aadil Khan"/>
    <n v="39780"/>
  </r>
  <r>
    <s v="141521"/>
    <x v="27"/>
    <s v="Akhilesh Kumar"/>
    <s v="31/03/2021"/>
    <s v="Shipped"/>
    <s v="Compact with 1 Fan"/>
    <s v="Cabinet"/>
    <x v="5"/>
    <n v="1150"/>
    <n v="1495"/>
    <n v="3"/>
    <n v="3450"/>
    <n v="4485"/>
    <s v="Advika Joshi"/>
    <n v="2990"/>
  </r>
  <r>
    <s v="141522"/>
    <x v="27"/>
    <s v="Suvankar Chakraborty"/>
    <s v="31/03/2021"/>
    <s v="Order"/>
    <s v="USB Backlight Keyboard"/>
    <s v="Keyboard"/>
    <x v="6"/>
    <n v="850"/>
    <n v="1105"/>
    <n v="2"/>
    <n v="1700"/>
    <n v="2210"/>
    <s v="Ajay Sharma"/>
    <n v="3315"/>
  </r>
  <r>
    <s v="141523"/>
    <x v="27"/>
    <s v="Suvankar Adhikary"/>
    <s v="31/03/2021"/>
    <s v="Processing"/>
    <s v="Ergonomic Mouse"/>
    <s v="Mouse"/>
    <x v="0"/>
    <n v="650"/>
    <n v="845"/>
    <n v="4"/>
    <n v="2600"/>
    <n v="3380"/>
    <s v="Roshan Kumar"/>
    <n v="1690"/>
  </r>
  <r>
    <s v="141524"/>
    <x v="27"/>
    <s v="Rahul Kumar Prajapati"/>
    <s v="31/03/2021"/>
    <s v="Delivered"/>
    <s v="15&quot; LCD Dsipaly"/>
    <s v="Monitor"/>
    <x v="6"/>
    <n v="7500"/>
    <n v="9750"/>
    <n v="4"/>
    <n v="30000"/>
    <n v="39000"/>
    <s v="Aarvi Gupta"/>
    <n v="9750"/>
  </r>
  <r>
    <s v="141525"/>
    <x v="27"/>
    <s v="Sagar Jeur"/>
    <s v="31/03/2021"/>
    <s v="Shipped"/>
    <s v="65 TB HDD"/>
    <s v="HDD"/>
    <x v="7"/>
    <n v="10000"/>
    <n v="13000"/>
    <n v="1"/>
    <n v="10000"/>
    <n v="13000"/>
    <s v="Vijay Singh"/>
    <n v="39000"/>
  </r>
  <r>
    <s v="141526"/>
    <x v="27"/>
    <s v="Rhushikesh Mane"/>
    <s v="31/03/2021"/>
    <s v="Order"/>
    <s v="64 TB SSD"/>
    <s v="SSD"/>
    <x v="0"/>
    <n v="10500"/>
    <n v="13650"/>
    <n v="1"/>
    <n v="10500"/>
    <n v="13650"/>
    <s v="Aadil Khan"/>
    <n v="8450"/>
  </r>
  <r>
    <s v="141527"/>
    <x v="27"/>
    <s v="Ashish Kumar"/>
    <s v="31/03/2021"/>
    <s v="Processing"/>
    <s v="Intel i5 12th gen."/>
    <s v="CPU"/>
    <x v="1"/>
    <n v="8500"/>
    <n v="11050"/>
    <n v="2"/>
    <n v="17000"/>
    <n v="22100"/>
    <s v="Advika Joshi"/>
    <n v="33150"/>
  </r>
  <r>
    <s v="141528"/>
    <x v="27"/>
    <s v="Javed Akhter"/>
    <s v="31/03/2021"/>
    <s v="Delivered"/>
    <s v="2GB Graphic Card"/>
    <s v="Graphic Card"/>
    <x v="2"/>
    <n v="7000"/>
    <n v="9100"/>
    <n v="2"/>
    <n v="14000"/>
    <n v="18200"/>
    <s v="Ajay Sharma"/>
    <n v="18200"/>
  </r>
  <r>
    <s v="141529"/>
    <x v="27"/>
    <s v="Haridas Balraj"/>
    <s v="31/03/2021"/>
    <s v="Shipped"/>
    <s v="67 GB DDR4 Ram"/>
    <s v="RAM"/>
    <x v="3"/>
    <n v="1680"/>
    <n v="2184"/>
    <n v="3"/>
    <n v="5040"/>
    <n v="6552"/>
    <s v="Roshan Kumar"/>
    <n v="25545"/>
  </r>
  <r>
    <s v="141530"/>
    <x v="27"/>
    <s v="Kundan Kumar"/>
    <s v="31/03/2021"/>
    <s v="Order"/>
    <s v="Micro ATX motherboard"/>
    <s v="MotherBoard"/>
    <x v="8"/>
    <n v="6540"/>
    <n v="8502"/>
    <n v="1"/>
    <n v="6540"/>
    <n v="8502"/>
    <s v="Aarvi Gupta"/>
    <n v="39780"/>
  </r>
  <r>
    <s v="141531"/>
    <x v="27"/>
    <s v="Atif Siddiqui"/>
    <s v="31/03/2021"/>
    <s v="Processing"/>
    <s v="Gaming Box Cabinet"/>
    <s v="Cabinet"/>
    <x v="5"/>
    <n v="2680"/>
    <n v="3484"/>
    <n v="2"/>
    <n v="5360"/>
    <n v="6968"/>
    <s v="Vijay Singh"/>
    <n v="2990"/>
  </r>
  <r>
    <s v="141532"/>
    <x v="27"/>
    <s v="Aditya Agarwal"/>
    <s v="31/03/2021"/>
    <s v="Delivered"/>
    <s v="17&quot; LCD Display"/>
    <s v="Monitor"/>
    <x v="0"/>
    <n v="8250"/>
    <n v="10725"/>
    <n v="3"/>
    <n v="24750"/>
    <n v="32175"/>
    <s v="Aadil Khan"/>
    <n v="9750"/>
  </r>
  <r>
    <s v="141533"/>
    <x v="27"/>
    <s v="Firdoush Jabee"/>
    <s v="31/03/2021"/>
    <s v="Shipped"/>
    <s v="71 GB DDR4 RAM"/>
    <s v="RAM"/>
    <x v="0"/>
    <n v="2650"/>
    <n v="3445"/>
    <n v="3"/>
    <n v="7950"/>
    <n v="10335"/>
    <s v="Advika Joshi"/>
    <n v="25545"/>
  </r>
  <r>
    <s v="141534"/>
    <x v="27"/>
    <s v="Jay Prakash Kumar"/>
    <s v="31/03/2021"/>
    <s v="Order"/>
    <s v="26&quot; LCD Display"/>
    <s v="Monitor"/>
    <x v="9"/>
    <n v="12550"/>
    <n v="16315"/>
    <n v="4"/>
    <n v="50200"/>
    <n v="65260"/>
    <s v="Ajay Sharma"/>
    <n v="9750"/>
  </r>
  <r>
    <s v="141535"/>
    <x v="27"/>
    <s v="Ashish Pandey"/>
    <s v="31/03/2021"/>
    <s v="Processing"/>
    <s v="I7 - intel 12th Generation"/>
    <s v="CPU"/>
    <x v="1"/>
    <n v="14500"/>
    <n v="18850"/>
    <n v="2"/>
    <n v="29000"/>
    <n v="37700"/>
    <s v="Roshan Kumar"/>
    <n v="33150"/>
  </r>
  <r>
    <s v="141536"/>
    <x v="27"/>
    <s v="Ajay Sharma"/>
    <s v="31/03/2021"/>
    <s v="Delivered"/>
    <s v="USB Keyboard"/>
    <s v="Keyboard"/>
    <x v="6"/>
    <n v="800"/>
    <n v="1040"/>
    <n v="4"/>
    <n v="3200"/>
    <n v="4160"/>
    <s v="Aarvi Gupta"/>
    <n v="3315"/>
  </r>
  <r>
    <s v="141537"/>
    <x v="27"/>
    <s v="Moinuddin Saifi"/>
    <s v="31/03/2021"/>
    <s v="Shipped"/>
    <s v="Wireless Mouse"/>
    <s v="Mouse"/>
    <x v="0"/>
    <n v="600"/>
    <n v="780"/>
    <n v="1"/>
    <n v="600"/>
    <n v="780"/>
    <s v="Vijay Singh"/>
    <n v="1690"/>
  </r>
  <r>
    <s v="141538"/>
    <x v="27"/>
    <s v="Ramkrishna Das Adhikary"/>
    <s v="31/03/2021"/>
    <s v="Order"/>
    <s v="21&quot; LCD Display"/>
    <s v="Monitor"/>
    <x v="6"/>
    <n v="10500"/>
    <n v="13650"/>
    <n v="2"/>
    <n v="21000"/>
    <n v="27300"/>
    <s v="Aadil Khan"/>
    <n v="9750"/>
  </r>
  <r>
    <s v="141539"/>
    <x v="27"/>
    <s v="Ranjeet Mandal"/>
    <s v="31/03/2021"/>
    <s v="Processing"/>
    <s v="65 TB HDD"/>
    <s v="HDD"/>
    <x v="10"/>
    <n v="6500"/>
    <n v="8450"/>
    <n v="4"/>
    <n v="26000"/>
    <n v="33800"/>
    <s v="Advika Joshi"/>
    <n v="39000"/>
  </r>
  <r>
    <s v="141540"/>
    <x v="27"/>
    <s v="Ashwini Adsare"/>
    <s v="31/03/2021"/>
    <s v="Delivered"/>
    <s v="320 GB SSD"/>
    <s v="SSD"/>
    <x v="0"/>
    <n v="4500"/>
    <n v="5850"/>
    <n v="1"/>
    <n v="4500"/>
    <n v="5850"/>
    <s v="Ajay Sharma"/>
    <n v="8450"/>
  </r>
  <r>
    <s v="141541"/>
    <x v="27"/>
    <s v="Rajesh Variya"/>
    <s v="31/03/2021"/>
    <s v="Shipped"/>
    <s v="Intel i3 11th gen."/>
    <s v="CPU"/>
    <x v="1"/>
    <n v="8500"/>
    <n v="11050"/>
    <n v="1"/>
    <n v="8500"/>
    <n v="11050"/>
    <s v="Roshan Kumar"/>
    <n v="33150"/>
  </r>
  <r>
    <s v="141542"/>
    <x v="27"/>
    <s v="Amit Singh"/>
    <s v="31/03/2021"/>
    <s v="Order"/>
    <s v="4GB Graphic card"/>
    <s v="Graphic Card"/>
    <x v="2"/>
    <n v="12500"/>
    <n v="16250"/>
    <n v="1"/>
    <n v="12500"/>
    <n v="16250"/>
    <s v="Aarvi Gupta"/>
    <n v="18200"/>
  </r>
  <r>
    <s v="141543"/>
    <x v="27"/>
    <s v="Vinod Mehta"/>
    <s v="31/03/2021"/>
    <s v="Processing"/>
    <s v="72 GB DDR4 RAM"/>
    <s v="Computer Case"/>
    <x v="3"/>
    <n v="3500"/>
    <n v="4550"/>
    <n v="4"/>
    <n v="14000"/>
    <n v="18200"/>
    <s v="Vijay Singh"/>
    <n v="13650"/>
  </r>
  <r>
    <s v="141544"/>
    <x v="27"/>
    <s v="Jignesh Mhatre"/>
    <s v="31/03/2021"/>
    <s v="Delivered"/>
    <s v="BTX motherboard"/>
    <s v="Mouse"/>
    <x v="4"/>
    <n v="4500"/>
    <n v="5850"/>
    <n v="1"/>
    <n v="4500"/>
    <n v="5850"/>
    <s v="Aadil Khan"/>
    <n v="1690"/>
  </r>
  <r>
    <s v="141545"/>
    <x v="27"/>
    <s v="Rahul Kashyap"/>
    <s v="31/03/2021"/>
    <s v="Shipped"/>
    <s v="67 Fans Cabinet"/>
    <s v="Cabinet"/>
    <x v="5"/>
    <n v="2100"/>
    <n v="2730"/>
    <n v="4"/>
    <n v="8400"/>
    <n v="10920"/>
    <s v="Advika Joshi"/>
    <n v="2990"/>
  </r>
  <r>
    <s v="141546"/>
    <x v="16"/>
    <s v="Mohammed Abdul Kaleem"/>
    <s v="31/03/2021"/>
    <s v="Order"/>
    <s v="Wireless Keyboard"/>
    <s v="Keyboard"/>
    <x v="6"/>
    <n v="1150"/>
    <n v="1495"/>
    <n v="1"/>
    <n v="1150"/>
    <n v="1495"/>
    <s v="Ajay Sharma"/>
    <n v="3315"/>
  </r>
  <r>
    <s v="141547"/>
    <x v="17"/>
    <s v="Chandrakant Kasbe"/>
    <s v="31/03/2021"/>
    <s v="Processing"/>
    <s v="USB Mouse"/>
    <s v="Mouse"/>
    <x v="0"/>
    <n v="350"/>
    <n v="455"/>
    <n v="4"/>
    <n v="1400"/>
    <n v="1820"/>
    <s v="Roshan Kumar"/>
    <n v="1690"/>
  </r>
  <r>
    <s v="141548"/>
    <x v="21"/>
    <s v="Rohan Kale"/>
    <s v="31/03/2021"/>
    <s v="Delivered"/>
    <s v="19&quot; LED Display"/>
    <s v="Monitor"/>
    <x v="6"/>
    <n v="9500"/>
    <n v="12350"/>
    <n v="4"/>
    <n v="38000"/>
    <n v="49400"/>
    <s v="Aarvi Gupta"/>
    <n v="9750"/>
  </r>
  <r>
    <s v="141549"/>
    <x v="22"/>
    <s v="Aniruddha Kekapure"/>
    <s v="31/03/2021"/>
    <s v="Shipped"/>
    <s v="66 TB HDD"/>
    <s v="HDD"/>
    <x v="10"/>
    <n v="10000"/>
    <n v="13000"/>
    <n v="3"/>
    <n v="30000"/>
    <n v="39000"/>
    <s v="Vijay Singh"/>
    <n v="39000"/>
  </r>
  <r>
    <s v="141550"/>
    <x v="28"/>
    <s v="Aslam Raza"/>
    <s v="31/03/2021"/>
    <s v="Order"/>
    <s v="576 GB M.2"/>
    <s v="SSD"/>
    <x v="0"/>
    <n v="6500"/>
    <n v="8450"/>
    <n v="3"/>
    <n v="19500"/>
    <n v="25350"/>
    <s v="Aadil Khan"/>
    <n v="8450"/>
  </r>
  <r>
    <s v="141551"/>
    <x v="29"/>
    <s v="Roshan Zameer"/>
    <s v="31/03/2021"/>
    <s v="Processing"/>
    <s v="RYZEN 3rd gen. 3564"/>
    <s v="CPU"/>
    <x v="1"/>
    <n v="8500"/>
    <n v="11050"/>
    <n v="4"/>
    <n v="34000"/>
    <n v="44200"/>
    <s v="Advika Joshi"/>
    <n v="33150"/>
  </r>
  <r>
    <s v="141552"/>
    <x v="30"/>
    <s v="Rakesh Kumar Sharma"/>
    <s v="31/03/2021"/>
    <s v="Delivered"/>
    <s v="2GB Graphic Card"/>
    <s v="Graphic Card"/>
    <x v="2"/>
    <n v="7000"/>
    <n v="9100"/>
    <n v="2"/>
    <n v="14000"/>
    <n v="18200"/>
    <s v="Ajay Sharma"/>
    <n v="18200"/>
  </r>
  <r>
    <s v="141553"/>
    <x v="31"/>
    <s v="Shivanand Sahani"/>
    <s v="31/03/2021"/>
    <s v="Shipped"/>
    <s v="80 GB DDR4 RAM"/>
    <s v="Computer Case"/>
    <x v="3"/>
    <n v="6550"/>
    <n v="8515"/>
    <n v="2"/>
    <n v="13100"/>
    <n v="17030"/>
    <s v="Roshan Kumar"/>
    <n v="13650"/>
  </r>
  <r>
    <s v="141554"/>
    <x v="32"/>
    <s v="Kunal Patra"/>
    <s v="31/03/2021"/>
    <s v="Order"/>
    <s v="Standard ATX motherboard"/>
    <s v="Mouse"/>
    <x v="4"/>
    <n v="7650"/>
    <n v="9945"/>
    <n v="2"/>
    <n v="15300"/>
    <n v="19890"/>
    <s v="Aarvi Gupta"/>
    <n v="1690"/>
  </r>
  <r>
    <s v="141555"/>
    <x v="0"/>
    <s v="Bijendra"/>
    <s v="31/03/2021"/>
    <s v="Processing"/>
    <s v="Compact with 1 Fan"/>
    <s v="Cabinet"/>
    <x v="5"/>
    <n v="1150"/>
    <n v="1495"/>
    <n v="3"/>
    <n v="3450"/>
    <n v="4485"/>
    <s v="Vijay Singh"/>
    <n v="2990"/>
  </r>
  <r>
    <s v="141556"/>
    <x v="23"/>
    <s v="Kranti Bheke"/>
    <s v="31/03/2021"/>
    <s v="Delivered"/>
    <s v="USB Backlight Keyboard"/>
    <s v="Keyboard"/>
    <x v="6"/>
    <n v="850"/>
    <n v="1105"/>
    <n v="4"/>
    <n v="3400"/>
    <n v="4420"/>
    <s v="Aadil Khan"/>
    <n v="3315"/>
  </r>
  <r>
    <s v="141557"/>
    <x v="1"/>
    <s v="Jagdeep"/>
    <s v="31/03/2021"/>
    <s v="Shipped"/>
    <s v="Ergonomic Mouse"/>
    <s v="Mouse"/>
    <x v="0"/>
    <n v="650"/>
    <n v="845"/>
    <n v="3"/>
    <n v="1950"/>
    <n v="2535"/>
    <s v="Advika Joshi"/>
    <n v="1690"/>
  </r>
  <r>
    <s v="141558"/>
    <x v="2"/>
    <s v="Adhir Samal"/>
    <s v="31/03/2021"/>
    <s v="Order"/>
    <s v="15&quot; LCD Dsipaly"/>
    <s v="Monitor"/>
    <x v="6"/>
    <n v="7500"/>
    <n v="9750"/>
    <n v="4"/>
    <n v="30000"/>
    <n v="39000"/>
    <s v="Ajay Sharma"/>
    <n v="9750"/>
  </r>
  <r>
    <s v="141559"/>
    <x v="3"/>
    <s v="Dannana Jhammi"/>
    <s v="31/03/2021"/>
    <s v="Processing"/>
    <s v="66 TB HDD"/>
    <s v="HDD"/>
    <x v="7"/>
    <n v="10000"/>
    <n v="13000"/>
    <n v="2"/>
    <n v="20000"/>
    <n v="26000"/>
    <s v="Roshan Kumar"/>
    <n v="39000"/>
  </r>
  <r>
    <s v="141560"/>
    <x v="24"/>
    <s v="Vipin Kumar"/>
    <s v="31/03/2021"/>
    <s v="Delivered"/>
    <s v="65 TB SSD"/>
    <s v="SSD"/>
    <x v="0"/>
    <n v="10500"/>
    <n v="13650"/>
    <n v="2"/>
    <n v="21000"/>
    <n v="27300"/>
    <s v="Aarvi Gupta"/>
    <n v="8450"/>
  </r>
  <r>
    <s v="141561"/>
    <x v="25"/>
    <s v="Ranjeet Kumar"/>
    <s v="31/03/2021"/>
    <s v="Shipped"/>
    <s v="Intel i5 12th gen."/>
    <s v="CPU"/>
    <x v="1"/>
    <n v="8500"/>
    <n v="11050"/>
    <n v="3"/>
    <n v="25500"/>
    <n v="33150"/>
    <s v="Vijay Singh"/>
    <n v="33150"/>
  </r>
  <r>
    <s v="141562"/>
    <x v="33"/>
    <s v="Sajal Singhal"/>
    <s v="31/03/2021"/>
    <s v="Order"/>
    <s v="2GB Graphic Card"/>
    <s v="Graphic Card"/>
    <x v="2"/>
    <n v="7000"/>
    <n v="9100"/>
    <n v="3"/>
    <n v="21000"/>
    <n v="27300"/>
    <s v="Aadil Khan"/>
    <n v="18200"/>
  </r>
  <r>
    <s v="141563"/>
    <x v="34"/>
    <s v="Akhilesh Kumar"/>
    <s v="31/03/2021"/>
    <s v="Processing"/>
    <s v="68 GB DDR4 Ram"/>
    <s v="Computer Case"/>
    <x v="3"/>
    <n v="1680"/>
    <n v="2184"/>
    <n v="4"/>
    <n v="6720"/>
    <n v="8736"/>
    <s v="Advika Joshi"/>
    <n v="13650"/>
  </r>
  <r>
    <s v="141564"/>
    <x v="4"/>
    <s v="Suvankar Chakraborty"/>
    <s v="31/03/2021"/>
    <s v="Delivered"/>
    <s v="Micro ATX motherboard"/>
    <s v="Mouse"/>
    <x v="8"/>
    <n v="6540"/>
    <n v="8502"/>
    <n v="3"/>
    <n v="19620"/>
    <n v="25506"/>
    <s v="Ajay Sharma"/>
    <n v="1690"/>
  </r>
  <r>
    <s v="141565"/>
    <x v="5"/>
    <s v="Suvankar Adhikary"/>
    <s v="31/03/2021"/>
    <s v="Shipped"/>
    <s v="Gaming Box Cabinet"/>
    <s v="Cabinet"/>
    <x v="5"/>
    <n v="2680"/>
    <n v="3484"/>
    <n v="1"/>
    <n v="2680"/>
    <n v="3484"/>
    <s v="Roshan Kumar"/>
    <n v="2990"/>
  </r>
  <r>
    <s v="141566"/>
    <x v="6"/>
    <s v="Rahul Kumar Prajapati"/>
    <s v="31/03/2021"/>
    <s v="Order"/>
    <s v="17&quot; LCD Display"/>
    <s v="Monitor"/>
    <x v="0"/>
    <n v="8250"/>
    <n v="10725"/>
    <n v="2"/>
    <n v="16500"/>
    <n v="21450"/>
    <s v="Aarvi Gupta"/>
    <n v="9750"/>
  </r>
  <r>
    <s v="141567"/>
    <x v="7"/>
    <s v="Sagar Jeur"/>
    <s v="31/03/2021"/>
    <s v="Processing"/>
    <s v="72 GB DDR4 RAM"/>
    <s v="RAM"/>
    <x v="0"/>
    <n v="2650"/>
    <n v="3445"/>
    <n v="4"/>
    <n v="10600"/>
    <n v="13780"/>
    <s v="Vijay Singh"/>
    <n v="25545"/>
  </r>
  <r>
    <s v="141568"/>
    <x v="26"/>
    <s v="Rhushikesh Mane"/>
    <s v="31/03/2021"/>
    <s v="Delivered"/>
    <s v="26&quot; LCD Display"/>
    <s v="Monitor"/>
    <x v="9"/>
    <n v="12550"/>
    <n v="16315"/>
    <n v="2"/>
    <n v="25100"/>
    <n v="32630"/>
    <s v="Aadil Khan"/>
    <n v="9750"/>
  </r>
  <r>
    <s v="141569"/>
    <x v="27"/>
    <s v="Ashish Kumar"/>
    <s v="31/03/2021"/>
    <s v="Shipped"/>
    <s v="I7 - intel 12th Generation"/>
    <s v="CPU"/>
    <x v="1"/>
    <n v="14500"/>
    <n v="18850"/>
    <n v="1"/>
    <n v="14500"/>
    <n v="18850"/>
    <s v="Advika Joshi"/>
    <n v="33150"/>
  </r>
  <r>
    <s v="141570"/>
    <x v="8"/>
    <s v="Javed Akhter"/>
    <s v="31/03/2021"/>
    <s v="Order"/>
    <s v="USB Keyboard"/>
    <s v="Keyboard"/>
    <x v="6"/>
    <n v="800"/>
    <n v="1040"/>
    <n v="4"/>
    <n v="3200"/>
    <n v="4160"/>
    <s v="Ajay Sharma"/>
    <n v="3315"/>
  </r>
  <r>
    <s v="141571"/>
    <x v="9"/>
    <s v="Haridas Balraj"/>
    <s v="31/03/2021"/>
    <s v="Processing"/>
    <s v="Wireless Mouse"/>
    <s v="Mouse"/>
    <x v="0"/>
    <n v="600"/>
    <n v="780"/>
    <n v="3"/>
    <n v="1800"/>
    <n v="2340"/>
    <s v="Roshan Kumar"/>
    <n v="1690"/>
  </r>
  <r>
    <s v="141572"/>
    <x v="10"/>
    <s v="Kundan Kumar"/>
    <s v="31/03/2021"/>
    <s v="Delivered"/>
    <s v="21&quot; LCD Display"/>
    <s v="Monitor"/>
    <x v="6"/>
    <n v="10500"/>
    <n v="13650"/>
    <n v="2"/>
    <n v="21000"/>
    <n v="27300"/>
    <s v="Aarvi Gupta"/>
    <n v="9750"/>
  </r>
  <r>
    <s v="141573"/>
    <x v="11"/>
    <s v="Atif Siddiqui"/>
    <s v="31/03/2021"/>
    <s v="Shipped"/>
    <s v="66 TB HDD"/>
    <s v="HDD"/>
    <x v="10"/>
    <n v="6500"/>
    <n v="8450"/>
    <n v="1"/>
    <n v="6500"/>
    <n v="8450"/>
    <s v="Vijay Singh"/>
    <n v="39000"/>
  </r>
  <r>
    <s v="141574"/>
    <x v="12"/>
    <s v="Aditya Agarwal"/>
    <s v="31/03/2021"/>
    <s v="Order"/>
    <s v="321 GB SSD"/>
    <s v="SSD"/>
    <x v="0"/>
    <n v="4500"/>
    <n v="5850"/>
    <n v="3"/>
    <n v="13500"/>
    <n v="17550"/>
    <s v="Aadil Khan"/>
    <n v="8450"/>
  </r>
  <r>
    <s v="141575"/>
    <x v="13"/>
    <s v="Firdoush Jabee"/>
    <s v="31/03/2021"/>
    <s v="Processing"/>
    <s v="Intel i3 11th gen."/>
    <s v="CPU"/>
    <x v="1"/>
    <n v="8500"/>
    <n v="11050"/>
    <n v="1"/>
    <n v="8500"/>
    <n v="11050"/>
    <s v="Advika Joshi"/>
    <n v="33150"/>
  </r>
  <r>
    <s v="141576"/>
    <x v="14"/>
    <s v="Jay Prakash Kumar"/>
    <s v="01/04/2021"/>
    <s v="Delivered"/>
    <s v="4GB Graphic card"/>
    <s v="Graphic Card"/>
    <x v="2"/>
    <n v="12500"/>
    <n v="16250"/>
    <n v="1"/>
    <n v="12500"/>
    <n v="16250"/>
    <s v="Ajay Sharma"/>
    <n v="18200"/>
  </r>
  <r>
    <s v="141577"/>
    <x v="15"/>
    <s v="Ashish Pandey"/>
    <s v="02/04/2021"/>
    <s v="Shipped"/>
    <s v="73 GB DDR4 RAM"/>
    <s v="NIC"/>
    <x v="3"/>
    <n v="3500"/>
    <n v="4550"/>
    <n v="1"/>
    <n v="3500"/>
    <n v="4550"/>
    <s v="Roshan Kumar"/>
    <n v="9100"/>
  </r>
  <r>
    <s v="141578"/>
    <x v="16"/>
    <s v="Ajay Sharma"/>
    <s v="03/04/2021"/>
    <s v="Order"/>
    <s v="BTX motherboard"/>
    <s v="Printer"/>
    <x v="4"/>
    <n v="4500"/>
    <n v="5850"/>
    <n v="2"/>
    <n v="9000"/>
    <n v="11700"/>
    <s v="Aarvi Gupta"/>
    <n v="11700"/>
  </r>
  <r>
    <s v="141579"/>
    <x v="27"/>
    <s v="Moinuddin Saifi"/>
    <s v="03/04/2021"/>
    <s v="Processing"/>
    <s v="68 Fans Cabinet"/>
    <s v="Cabinet"/>
    <x v="5"/>
    <n v="2100"/>
    <n v="2730"/>
    <n v="1"/>
    <n v="2100"/>
    <n v="2730"/>
    <s v="Vijay Singh"/>
    <n v="2990"/>
  </r>
  <r>
    <s v="141580"/>
    <x v="27"/>
    <s v="Ramkrishna Das Adhikary"/>
    <s v="03/04/2021"/>
    <s v="Delivered"/>
    <s v="Wireless Keyboard"/>
    <s v="Keyboard"/>
    <x v="6"/>
    <n v="1150"/>
    <n v="1495"/>
    <n v="4"/>
    <n v="4600"/>
    <n v="5980"/>
    <s v="Aadil Khan"/>
    <n v="3315"/>
  </r>
  <r>
    <s v="141581"/>
    <x v="27"/>
    <s v="Ranjeet Mandal"/>
    <s v="03/04/2021"/>
    <s v="Shipped"/>
    <s v="USB Mouse"/>
    <s v="Mouse"/>
    <x v="0"/>
    <n v="350"/>
    <n v="455"/>
    <n v="1"/>
    <n v="350"/>
    <n v="455"/>
    <s v="Advika Joshi"/>
    <n v="1690"/>
  </r>
  <r>
    <s v="141582"/>
    <x v="27"/>
    <s v="Ashwini Adsare"/>
    <s v="03/04/2021"/>
    <s v="Order"/>
    <s v="19&quot; LED Display"/>
    <s v="Monitor"/>
    <x v="6"/>
    <n v="9500"/>
    <n v="12350"/>
    <n v="4"/>
    <n v="38000"/>
    <n v="49400"/>
    <s v="Ajay Sharma"/>
    <n v="9750"/>
  </r>
  <r>
    <s v="141583"/>
    <x v="27"/>
    <s v="Rajesh Variya"/>
    <s v="03/04/2021"/>
    <s v="Processing"/>
    <s v="67 TB HDD"/>
    <s v="HDD"/>
    <x v="10"/>
    <n v="10000"/>
    <n v="13000"/>
    <n v="4"/>
    <n v="40000"/>
    <n v="52000"/>
    <s v="Roshan Kumar"/>
    <n v="39000"/>
  </r>
  <r>
    <s v="141584"/>
    <x v="27"/>
    <s v="Amit Singh"/>
    <s v="03/04/2021"/>
    <s v="Delivered"/>
    <s v="577 GB M.2"/>
    <s v="SSD"/>
    <x v="0"/>
    <n v="6500"/>
    <n v="8450"/>
    <n v="3"/>
    <n v="19500"/>
    <n v="25350"/>
    <s v="Aarvi Gupta"/>
    <n v="8450"/>
  </r>
  <r>
    <s v="141585"/>
    <x v="27"/>
    <s v="Vinod Mehta"/>
    <s v="03/04/2021"/>
    <s v="Shipped"/>
    <s v="RYZEN 3rd gen. 3565"/>
    <s v="CPU"/>
    <x v="1"/>
    <n v="8500"/>
    <n v="11050"/>
    <n v="4"/>
    <n v="34000"/>
    <n v="44200"/>
    <s v="Vijay Singh"/>
    <n v="33150"/>
  </r>
  <r>
    <s v="141586"/>
    <x v="27"/>
    <s v="Jignesh Mhatre"/>
    <s v="03/04/2021"/>
    <s v="Order"/>
    <s v="2GB Graphic Card"/>
    <s v="Graphic Card"/>
    <x v="2"/>
    <n v="7000"/>
    <n v="9100"/>
    <n v="3"/>
    <n v="21000"/>
    <n v="27300"/>
    <s v="Aadil Khan"/>
    <n v="18200"/>
  </r>
  <r>
    <s v="141587"/>
    <x v="27"/>
    <s v="Rahul Kashyap"/>
    <s v="03/04/2021"/>
    <s v="Processing"/>
    <s v="81 GB DDR4 RAM"/>
    <s v="NIC"/>
    <x v="3"/>
    <n v="6550"/>
    <n v="8515"/>
    <n v="3"/>
    <n v="19650"/>
    <n v="25545"/>
    <s v="Advika Joshi"/>
    <n v="9100"/>
  </r>
  <r>
    <s v="141588"/>
    <x v="27"/>
    <s v="Mohammed Abdul Kaleem"/>
    <s v="03/04/2021"/>
    <s v="Delivered"/>
    <s v="Standard ATX motherboard"/>
    <s v="Printer"/>
    <x v="4"/>
    <n v="7650"/>
    <n v="9945"/>
    <n v="1"/>
    <n v="7650"/>
    <n v="9945"/>
    <s v="Ajay Sharma"/>
    <n v="11700"/>
  </r>
  <r>
    <s v="141589"/>
    <x v="27"/>
    <s v="Chandrakant Kasbe"/>
    <s v="03/04/2021"/>
    <s v="Shipped"/>
    <s v="Compact with 1 Fan"/>
    <s v="Cabinet"/>
    <x v="5"/>
    <n v="1150"/>
    <n v="1495"/>
    <n v="2"/>
    <n v="2300"/>
    <n v="2990"/>
    <s v="Roshan Kumar"/>
    <n v="2990"/>
  </r>
  <r>
    <s v="141590"/>
    <x v="27"/>
    <s v="Rohan Kale"/>
    <s v="03/04/2021"/>
    <s v="Order"/>
    <s v="USB Backlight Keyboard"/>
    <s v="Keyboard"/>
    <x v="6"/>
    <n v="850"/>
    <n v="1105"/>
    <n v="4"/>
    <n v="3400"/>
    <n v="4420"/>
    <s v="Aarvi Gupta"/>
    <n v="3315"/>
  </r>
  <r>
    <s v="141591"/>
    <x v="27"/>
    <s v="Aniruddha Kekapure"/>
    <s v="03/04/2021"/>
    <s v="Processing"/>
    <s v="Ergonomic Mouse"/>
    <s v="Mouse"/>
    <x v="0"/>
    <n v="650"/>
    <n v="845"/>
    <n v="4"/>
    <n v="2600"/>
    <n v="3380"/>
    <s v="Vijay Singh"/>
    <n v="1690"/>
  </r>
  <r>
    <s v="141592"/>
    <x v="27"/>
    <s v="Aslam Raza"/>
    <s v="03/04/2021"/>
    <s v="Delivered"/>
    <s v="15&quot; LCD Dsipaly"/>
    <s v="Monitor"/>
    <x v="6"/>
    <n v="7500"/>
    <n v="9750"/>
    <n v="3"/>
    <n v="22500"/>
    <n v="29250"/>
    <s v="Aadil Khan"/>
    <n v="9750"/>
  </r>
  <r>
    <s v="141593"/>
    <x v="27"/>
    <s v="Roshan Zameer"/>
    <s v="03/04/2021"/>
    <s v="Shipped"/>
    <s v="67 TB HDD"/>
    <s v="HDD"/>
    <x v="7"/>
    <n v="10000"/>
    <n v="13000"/>
    <n v="2"/>
    <n v="20000"/>
    <n v="26000"/>
    <s v="Advika Joshi"/>
    <n v="39000"/>
  </r>
  <r>
    <s v="141594"/>
    <x v="27"/>
    <s v="Rakesh Kumar Sharma"/>
    <s v="03/04/2021"/>
    <s v="Order"/>
    <s v="66 TB SSD"/>
    <s v="SSD"/>
    <x v="0"/>
    <n v="10500"/>
    <n v="13650"/>
    <n v="4"/>
    <n v="42000"/>
    <n v="54600"/>
    <s v="Ajay Sharma"/>
    <n v="8450"/>
  </r>
  <r>
    <s v="141595"/>
    <x v="27"/>
    <s v="Shivanand Sahani"/>
    <s v="03/04/2021"/>
    <s v="Processing"/>
    <s v="Intel i5 12th gen."/>
    <s v="CPU"/>
    <x v="1"/>
    <n v="8500"/>
    <n v="11050"/>
    <n v="3"/>
    <n v="25500"/>
    <n v="33150"/>
    <s v="Roshan Kumar"/>
    <n v="33150"/>
  </r>
  <r>
    <s v="141596"/>
    <x v="27"/>
    <s v="Kunal Patra"/>
    <s v="03/04/2021"/>
    <s v="Delivered"/>
    <s v="2GB Graphic Card"/>
    <s v="Graphic Card"/>
    <x v="2"/>
    <n v="7000"/>
    <n v="9100"/>
    <n v="1"/>
    <n v="7000"/>
    <n v="9100"/>
    <s v="Aarvi Gupta"/>
    <n v="18200"/>
  </r>
  <r>
    <s v="141597"/>
    <x v="27"/>
    <s v="Bijendra"/>
    <s v="03/04/2021"/>
    <s v="Shipped"/>
    <s v="69 GB DDR4 Ram"/>
    <s v="NIC"/>
    <x v="3"/>
    <n v="1680"/>
    <n v="2184"/>
    <n v="1"/>
    <n v="1680"/>
    <n v="2184"/>
    <s v="Vijay Singh"/>
    <n v="9100"/>
  </r>
  <r>
    <s v="141598"/>
    <x v="27"/>
    <s v="Kranti Bheke"/>
    <s v="03/04/2021"/>
    <s v="Order"/>
    <s v="Micro ATX motherboard"/>
    <s v="Printer"/>
    <x v="8"/>
    <n v="6540"/>
    <n v="8502"/>
    <n v="2"/>
    <n v="13080"/>
    <n v="17004"/>
    <s v="Aadil Khan"/>
    <n v="11700"/>
  </r>
  <r>
    <s v="141599"/>
    <x v="27"/>
    <s v="Jagdeep"/>
    <s v="03/04/2021"/>
    <s v="Processing"/>
    <s v="Gaming Box Cabinet"/>
    <s v="Cabinet"/>
    <x v="5"/>
    <n v="2680"/>
    <n v="3484"/>
    <n v="1"/>
    <n v="2680"/>
    <n v="3484"/>
    <s v="Advika Joshi"/>
    <n v="2990"/>
  </r>
  <r>
    <s v="141600"/>
    <x v="27"/>
    <s v="Adhir Samal"/>
    <s v="03/04/2021"/>
    <s v="Delivered"/>
    <s v="17&quot; LCD Display"/>
    <s v="Monitor"/>
    <x v="0"/>
    <n v="8250"/>
    <n v="10725"/>
    <n v="3"/>
    <n v="24750"/>
    <n v="32175"/>
    <s v="Ajay Sharma"/>
    <n v="9750"/>
  </r>
  <r>
    <s v="141601"/>
    <x v="27"/>
    <s v="Dannana Jhammi"/>
    <s v="03/04/2021"/>
    <s v="Shipped"/>
    <s v="73 GB DDR4 RAM"/>
    <s v="RAM"/>
    <x v="0"/>
    <n v="2650"/>
    <n v="3445"/>
    <n v="4"/>
    <n v="10600"/>
    <n v="13780"/>
    <s v="Roshan Kumar"/>
    <n v="25545"/>
  </r>
  <r>
    <s v="141602"/>
    <x v="27"/>
    <s v="Vipin Kumar"/>
    <s v="03/04/2021"/>
    <s v="Order"/>
    <s v="26&quot; LCD Display"/>
    <s v="Monitor"/>
    <x v="9"/>
    <n v="12550"/>
    <n v="16315"/>
    <n v="3"/>
    <n v="37650"/>
    <n v="48945"/>
    <s v="Aarvi Gupta"/>
    <n v="9750"/>
  </r>
  <r>
    <s v="141603"/>
    <x v="27"/>
    <s v="Ranjeet Kumar"/>
    <s v="03/04/2021"/>
    <s v="Processing"/>
    <s v="I7 - intel 12th Generation"/>
    <s v="CPU"/>
    <x v="1"/>
    <n v="14500"/>
    <n v="18850"/>
    <n v="1"/>
    <n v="14500"/>
    <n v="18850"/>
    <s v="Vijay Singh"/>
    <n v="33150"/>
  </r>
  <r>
    <s v="141604"/>
    <x v="27"/>
    <s v="Sajal Singhal"/>
    <s v="03/04/2021"/>
    <s v="Delivered"/>
    <s v="USB Keyboard"/>
    <s v="Keyboard"/>
    <x v="6"/>
    <n v="800"/>
    <n v="1040"/>
    <n v="4"/>
    <n v="3200"/>
    <n v="4160"/>
    <s v="Aadil Khan"/>
    <n v="3315"/>
  </r>
  <r>
    <s v="141605"/>
    <x v="27"/>
    <s v="Akhilesh Kumar"/>
    <s v="03/04/2021"/>
    <s v="Shipped"/>
    <s v="Wireless Mouse"/>
    <s v="Mouse"/>
    <x v="0"/>
    <n v="600"/>
    <n v="780"/>
    <n v="2"/>
    <n v="1200"/>
    <n v="1560"/>
    <s v="Advika Joshi"/>
    <n v="1690"/>
  </r>
  <r>
    <s v="141606"/>
    <x v="27"/>
    <s v="Suvankar Chakraborty"/>
    <s v="03/04/2021"/>
    <s v="Order"/>
    <s v="21&quot; LCD Display"/>
    <s v="Monitor"/>
    <x v="6"/>
    <n v="10500"/>
    <n v="13650"/>
    <n v="4"/>
    <n v="42000"/>
    <n v="54600"/>
    <s v="Ajay Sharma"/>
    <n v="9750"/>
  </r>
  <r>
    <s v="141607"/>
    <x v="27"/>
    <s v="Suvankar Adhikary"/>
    <s v="03/04/2021"/>
    <s v="Processing"/>
    <s v="67 TB HDD"/>
    <s v="HDD"/>
    <x v="10"/>
    <n v="6500"/>
    <n v="8450"/>
    <n v="4"/>
    <n v="26000"/>
    <n v="33800"/>
    <s v="Roshan Kumar"/>
    <n v="39000"/>
  </r>
  <r>
    <s v="141608"/>
    <x v="27"/>
    <s v="Rahul Kumar Prajapati"/>
    <s v="03/04/2021"/>
    <s v="Delivered"/>
    <s v="322 GB SSD"/>
    <s v="SSD"/>
    <x v="0"/>
    <n v="4500"/>
    <n v="5850"/>
    <n v="2"/>
    <n v="9000"/>
    <n v="11700"/>
    <s v="Aarvi Gupta"/>
    <n v="8450"/>
  </r>
  <r>
    <s v="141609"/>
    <x v="27"/>
    <s v="Sagar Jeur"/>
    <s v="03/04/2021"/>
    <s v="Shipped"/>
    <s v="Intel i3 11th gen."/>
    <s v="CPU"/>
    <x v="1"/>
    <n v="8500"/>
    <n v="11050"/>
    <n v="3"/>
    <n v="25500"/>
    <n v="33150"/>
    <s v="Vijay Singh"/>
    <n v="33150"/>
  </r>
  <r>
    <s v="141610"/>
    <x v="27"/>
    <s v="Rhushikesh Mane"/>
    <s v="03/04/2021"/>
    <s v="Order"/>
    <s v="4GB Graphic card"/>
    <s v="Graphic Card"/>
    <x v="2"/>
    <n v="12500"/>
    <n v="16250"/>
    <n v="1"/>
    <n v="12500"/>
    <n v="16250"/>
    <s v="Aadil Khan"/>
    <n v="18200"/>
  </r>
  <r>
    <s v="141611"/>
    <x v="27"/>
    <s v="Ashish Kumar"/>
    <s v="03/04/2021"/>
    <s v="Processing"/>
    <s v="74 GB DDR4 RAM"/>
    <s v="RAM"/>
    <x v="3"/>
    <n v="3500"/>
    <n v="4550"/>
    <n v="1"/>
    <n v="3500"/>
    <n v="4550"/>
    <s v="Advika Joshi"/>
    <n v="25545"/>
  </r>
  <r>
    <s v="141612"/>
    <x v="27"/>
    <s v="Javed Akhter"/>
    <s v="03/04/2021"/>
    <s v="Delivered"/>
    <s v="BTX motherboard"/>
    <s v="MotherBoard"/>
    <x v="4"/>
    <n v="4500"/>
    <n v="5850"/>
    <n v="3"/>
    <n v="13500"/>
    <n v="17550"/>
    <s v="Ajay Sharma"/>
    <n v="39780"/>
  </r>
  <r>
    <s v="141613"/>
    <x v="27"/>
    <s v="Haridas Balraj"/>
    <s v="03/04/2021"/>
    <s v="Shipped"/>
    <s v="69 Fans Cabinet"/>
    <s v="Cabinet"/>
    <x v="5"/>
    <n v="2100"/>
    <n v="2730"/>
    <n v="3"/>
    <n v="6300"/>
    <n v="8190"/>
    <s v="Roshan Kumar"/>
    <n v="2990"/>
  </r>
  <r>
    <s v="141614"/>
    <x v="27"/>
    <s v="Kundan Kumar"/>
    <s v="03/04/2021"/>
    <s v="Order"/>
    <s v="Wireless Keyboard"/>
    <s v="Keyboard"/>
    <x v="6"/>
    <n v="1150"/>
    <n v="1495"/>
    <n v="1"/>
    <n v="1150"/>
    <n v="1495"/>
    <s v="Aarvi Gupta"/>
    <n v="3315"/>
  </r>
  <r>
    <s v="141615"/>
    <x v="27"/>
    <s v="Atif Siddiqui"/>
    <s v="03/04/2021"/>
    <s v="Processing"/>
    <s v="USB Mouse"/>
    <s v="Mouse"/>
    <x v="0"/>
    <n v="350"/>
    <n v="455"/>
    <n v="2"/>
    <n v="700"/>
    <n v="910"/>
    <s v="Vijay Singh"/>
    <n v="1690"/>
  </r>
  <r>
    <s v="141616"/>
    <x v="27"/>
    <s v="Aditya Agarwal"/>
    <s v="03/04/2021"/>
    <s v="Delivered"/>
    <s v="19&quot; LED Display"/>
    <s v="Monitor"/>
    <x v="6"/>
    <n v="9500"/>
    <n v="12350"/>
    <n v="1"/>
    <n v="9500"/>
    <n v="12350"/>
    <s v="Aadil Khan"/>
    <n v="9750"/>
  </r>
  <r>
    <s v="141617"/>
    <x v="27"/>
    <s v="Firdoush Jabee"/>
    <s v="03/04/2021"/>
    <s v="Shipped"/>
    <s v="68 TB HDD"/>
    <s v="HDD"/>
    <x v="10"/>
    <n v="10000"/>
    <n v="13000"/>
    <n v="1"/>
    <n v="10000"/>
    <n v="13000"/>
    <s v="Advika Joshi"/>
    <n v="39000"/>
  </r>
  <r>
    <s v="141618"/>
    <x v="27"/>
    <s v="Jay Prakash Kumar"/>
    <s v="03/04/2021"/>
    <s v="Order"/>
    <s v="578 GB M.2"/>
    <s v="SSD"/>
    <x v="0"/>
    <n v="6500"/>
    <n v="8450"/>
    <n v="3"/>
    <n v="19500"/>
    <n v="25350"/>
    <s v="Ajay Sharma"/>
    <n v="8450"/>
  </r>
  <r>
    <s v="141619"/>
    <x v="27"/>
    <s v="Ashish Pandey"/>
    <s v="03/04/2021"/>
    <s v="Processing"/>
    <s v="RYZEN 3rd gen. 3566"/>
    <s v="CPU"/>
    <x v="1"/>
    <n v="8500"/>
    <n v="11050"/>
    <n v="1"/>
    <n v="8500"/>
    <n v="11050"/>
    <s v="Roshan Kumar"/>
    <n v="33150"/>
  </r>
  <r>
    <s v="141620"/>
    <x v="27"/>
    <s v="Ajay Sharma"/>
    <s v="03/04/2021"/>
    <s v="Delivered"/>
    <s v="2GB Graphic Card"/>
    <s v="Graphic Card"/>
    <x v="2"/>
    <n v="7000"/>
    <n v="9100"/>
    <n v="2"/>
    <n v="14000"/>
    <n v="18200"/>
    <s v="Aarvi Gupta"/>
    <n v="18200"/>
  </r>
  <r>
    <s v="141621"/>
    <x v="27"/>
    <s v="Moinuddin Saifi"/>
    <s v="03/04/2021"/>
    <s v="Shipped"/>
    <s v="82 GB DDR4 RAM"/>
    <s v="RAM"/>
    <x v="3"/>
    <n v="6550"/>
    <n v="8515"/>
    <n v="1"/>
    <n v="6550"/>
    <n v="8515"/>
    <s v="Vijay Singh"/>
    <n v="25545"/>
  </r>
  <r>
    <s v="141622"/>
    <x v="27"/>
    <s v="Ramkrishna Das Adhikary"/>
    <s v="03/04/2021"/>
    <s v="Order"/>
    <s v="Standard ATX motherboard"/>
    <s v="MotherBoard"/>
    <x v="4"/>
    <n v="7650"/>
    <n v="9945"/>
    <n v="2"/>
    <n v="15300"/>
    <n v="19890"/>
    <s v="Aadil Khan"/>
    <n v="39780"/>
  </r>
  <r>
    <s v="141623"/>
    <x v="27"/>
    <s v="Ranjeet Mandal"/>
    <s v="03/04/2021"/>
    <s v="Processing"/>
    <s v="Compact with 1 Fan"/>
    <s v="Cabinet"/>
    <x v="5"/>
    <n v="1150"/>
    <n v="1495"/>
    <n v="1"/>
    <n v="1150"/>
    <n v="1495"/>
    <s v="Advika Joshi"/>
    <n v="2990"/>
  </r>
  <r>
    <s v="141624"/>
    <x v="27"/>
    <s v="Ashwini Adsare"/>
    <s v="03/04/2021"/>
    <s v="Delivered"/>
    <s v="USB Backlight Keyboard"/>
    <s v="Keyboard"/>
    <x v="6"/>
    <n v="850"/>
    <n v="1105"/>
    <n v="1"/>
    <n v="850"/>
    <n v="1105"/>
    <s v="Ajay Sharma"/>
    <n v="3315"/>
  </r>
  <r>
    <s v="141625"/>
    <x v="27"/>
    <s v="Rajesh Variya"/>
    <s v="03/04/2021"/>
    <s v="Shipped"/>
    <s v="Ergonomic Mouse"/>
    <s v="Mouse"/>
    <x v="0"/>
    <n v="650"/>
    <n v="845"/>
    <n v="2"/>
    <n v="1300"/>
    <n v="1690"/>
    <s v="Roshan Kumar"/>
    <n v="1690"/>
  </r>
  <r>
    <s v="141626"/>
    <x v="27"/>
    <s v="Amit Singh"/>
    <s v="03/04/2021"/>
    <s v="Order"/>
    <s v="15&quot; LCD Dsipaly"/>
    <s v="Monitor"/>
    <x v="6"/>
    <n v="7500"/>
    <n v="9750"/>
    <n v="1"/>
    <n v="7500"/>
    <n v="9750"/>
    <s v="Aarvi Gupta"/>
    <n v="9750"/>
  </r>
  <r>
    <s v="141627"/>
    <x v="27"/>
    <s v="Vinod Mehta"/>
    <s v="03/04/2021"/>
    <s v="Processing"/>
    <s v="68 TB HDD"/>
    <s v="HDD"/>
    <x v="7"/>
    <n v="10000"/>
    <n v="13000"/>
    <n v="1"/>
    <n v="10000"/>
    <n v="13000"/>
    <s v="Vijay Singh"/>
    <n v="39000"/>
  </r>
  <r>
    <s v="141628"/>
    <x v="27"/>
    <s v="Jignesh Mhatre"/>
    <s v="03/04/2021"/>
    <s v="Delivered"/>
    <s v="67 TB SSD"/>
    <s v="SSD"/>
    <x v="0"/>
    <n v="10500"/>
    <n v="13650"/>
    <n v="4"/>
    <n v="42000"/>
    <n v="54600"/>
    <s v="Aadil Khan"/>
    <n v="8450"/>
  </r>
  <r>
    <s v="141629"/>
    <x v="27"/>
    <s v="Rahul Kashyap"/>
    <s v="03/04/2021"/>
    <s v="Shipped"/>
    <s v="Intel i5 12th gen."/>
    <s v="CPU"/>
    <x v="1"/>
    <n v="8500"/>
    <n v="11050"/>
    <n v="1"/>
    <n v="8500"/>
    <n v="11050"/>
    <s v="Advika Joshi"/>
    <n v="33150"/>
  </r>
  <r>
    <s v="141630"/>
    <x v="27"/>
    <s v="Mohammed Abdul Kaleem"/>
    <s v="03/04/2021"/>
    <s v="Order"/>
    <s v="2GB Graphic Card"/>
    <s v="Graphic Card"/>
    <x v="2"/>
    <n v="7000"/>
    <n v="9100"/>
    <n v="1"/>
    <n v="7000"/>
    <n v="9100"/>
    <s v="Ajay Sharma"/>
    <n v="18200"/>
  </r>
  <r>
    <s v="141631"/>
    <x v="27"/>
    <s v="Chandrakant Kasbe"/>
    <s v="03/04/2021"/>
    <s v="Processing"/>
    <s v="70 GB DDR4 Ram"/>
    <s v="RAM"/>
    <x v="3"/>
    <n v="1680"/>
    <n v="2184"/>
    <n v="1"/>
    <n v="1680"/>
    <n v="2184"/>
    <s v="Roshan Kumar"/>
    <n v="25545"/>
  </r>
  <r>
    <s v="141632"/>
    <x v="27"/>
    <s v="Rohan Kale"/>
    <s v="03/04/2021"/>
    <s v="Delivered"/>
    <s v="Micro ATX motherboard"/>
    <s v="MotherBoard"/>
    <x v="8"/>
    <n v="6540"/>
    <n v="8502"/>
    <n v="2"/>
    <n v="13080"/>
    <n v="17004"/>
    <s v="Aarvi Gupta"/>
    <n v="39780"/>
  </r>
  <r>
    <s v="141633"/>
    <x v="27"/>
    <s v="Aniruddha Kekapure"/>
    <s v="03/04/2021"/>
    <s v="Shipped"/>
    <s v="Gaming Box Cabinet"/>
    <s v="Cabinet"/>
    <x v="5"/>
    <n v="2680"/>
    <n v="3484"/>
    <n v="4"/>
    <n v="10720"/>
    <n v="13936"/>
    <s v="Vijay Singh"/>
    <n v="2990"/>
  </r>
  <r>
    <s v="141634"/>
    <x v="27"/>
    <s v="Aslam Raza"/>
    <s v="03/04/2021"/>
    <s v="Order"/>
    <s v="17&quot; LCD Display"/>
    <s v="Monitor"/>
    <x v="0"/>
    <n v="8250"/>
    <n v="10725"/>
    <n v="1"/>
    <n v="8250"/>
    <n v="10725"/>
    <s v="Aadil Khan"/>
    <n v="9750"/>
  </r>
  <r>
    <s v="141635"/>
    <x v="27"/>
    <s v="Roshan Zameer"/>
    <s v="03/04/2021"/>
    <s v="Processing"/>
    <s v="74 GB DDR4 RAM"/>
    <s v="RAM"/>
    <x v="0"/>
    <n v="2650"/>
    <n v="3445"/>
    <n v="4"/>
    <n v="10600"/>
    <n v="13780"/>
    <s v="Advika Joshi"/>
    <n v="25545"/>
  </r>
  <r>
    <s v="141636"/>
    <x v="27"/>
    <s v="Rakesh Kumar Sharma"/>
    <s v="03/04/2021"/>
    <s v="Delivered"/>
    <s v="26&quot; LCD Display"/>
    <s v="Monitor"/>
    <x v="9"/>
    <n v="12550"/>
    <n v="16315"/>
    <n v="2"/>
    <n v="25100"/>
    <n v="32630"/>
    <s v="Ajay Sharma"/>
    <n v="9750"/>
  </r>
  <r>
    <s v="141637"/>
    <x v="27"/>
    <s v="Shivanand Sahani"/>
    <s v="03/04/2021"/>
    <s v="Shipped"/>
    <s v="I7 - intel 12th Generation"/>
    <s v="CPU"/>
    <x v="1"/>
    <n v="14500"/>
    <n v="18850"/>
    <n v="3"/>
    <n v="43500"/>
    <n v="56550"/>
    <s v="Ajay Sharma"/>
    <n v="33150"/>
  </r>
  <r>
    <s v="141638"/>
    <x v="27"/>
    <s v="Kunal Patra"/>
    <s v="03/04/2021"/>
    <s v="Order"/>
    <s v="USB Keyboard"/>
    <s v="Keyboard"/>
    <x v="6"/>
    <n v="800"/>
    <n v="1040"/>
    <n v="3"/>
    <n v="2400"/>
    <n v="3120"/>
    <s v="Roshan Kumar"/>
    <n v="3315"/>
  </r>
  <r>
    <s v="141639"/>
    <x v="27"/>
    <s v="Bijendra"/>
    <s v="03/04/2021"/>
    <s v="Processing"/>
    <s v="Wireless Mouse"/>
    <s v="Mouse"/>
    <x v="0"/>
    <n v="600"/>
    <n v="780"/>
    <n v="2"/>
    <n v="1200"/>
    <n v="1560"/>
    <s v="Aarvi Gupta"/>
    <n v="1690"/>
  </r>
  <r>
    <s v="141640"/>
    <x v="27"/>
    <s v="Kranti Bheke"/>
    <s v="03/04/2021"/>
    <s v="Delivered"/>
    <s v="21&quot; LCD Display"/>
    <s v="Monitor"/>
    <x v="6"/>
    <n v="10500"/>
    <n v="13650"/>
    <n v="4"/>
    <n v="42000"/>
    <n v="54600"/>
    <s v="Vijay Singh"/>
    <n v="9750"/>
  </r>
  <r>
    <s v="141641"/>
    <x v="27"/>
    <s v="Jagdeep"/>
    <s v="03/04/2021"/>
    <s v="Shipped"/>
    <s v="68 TB HDD"/>
    <s v="HDD"/>
    <x v="10"/>
    <n v="6500"/>
    <n v="8450"/>
    <n v="2"/>
    <n v="13000"/>
    <n v="16900"/>
    <s v="Aadil Khan"/>
    <n v="39000"/>
  </r>
  <r>
    <s v="141642"/>
    <x v="27"/>
    <s v="Adhir Samal"/>
    <s v="03/04/2021"/>
    <s v="Order"/>
    <s v="323 GB SSD"/>
    <s v="SSD"/>
    <x v="0"/>
    <n v="4500"/>
    <n v="5850"/>
    <n v="3"/>
    <n v="13500"/>
    <n v="17550"/>
    <s v="Advika Joshi"/>
    <n v="8450"/>
  </r>
  <r>
    <s v="141643"/>
    <x v="27"/>
    <s v="Dannana Jhammi"/>
    <s v="03/04/2021"/>
    <s v="Processing"/>
    <s v="Intel i3 11th gen."/>
    <s v="CPU"/>
    <x v="1"/>
    <n v="8500"/>
    <n v="11050"/>
    <n v="3"/>
    <n v="25500"/>
    <n v="33150"/>
    <s v="Ajay Sharma"/>
    <n v="33150"/>
  </r>
  <r>
    <s v="141644"/>
    <x v="27"/>
    <s v="Vipin Kumar"/>
    <s v="03/04/2021"/>
    <s v="Delivered"/>
    <s v="4GB Graphic card"/>
    <s v="Graphic Card"/>
    <x v="2"/>
    <n v="12500"/>
    <n v="16250"/>
    <n v="4"/>
    <n v="50000"/>
    <n v="65000"/>
    <s v="Roshan Kumar"/>
    <n v="18200"/>
  </r>
  <r>
    <s v="141645"/>
    <x v="27"/>
    <s v="Ranjeet Kumar"/>
    <s v="03/04/2021"/>
    <s v="Shipped"/>
    <s v="75 GB DDR4 RAM"/>
    <s v="Computer Case"/>
    <x v="3"/>
    <n v="3500"/>
    <n v="4550"/>
    <n v="1"/>
    <n v="3500"/>
    <n v="4550"/>
    <s v="Aarvi Gupta"/>
    <n v="13650"/>
  </r>
  <r>
    <s v="141646"/>
    <x v="27"/>
    <s v="Sajal Singhal"/>
    <s v="03/04/2021"/>
    <s v="Order"/>
    <s v="BTX motherboard"/>
    <s v="Mouse"/>
    <x v="4"/>
    <n v="4500"/>
    <n v="5850"/>
    <n v="1"/>
    <n v="4500"/>
    <n v="5850"/>
    <s v="Vijay Singh"/>
    <n v="1690"/>
  </r>
  <r>
    <s v="141647"/>
    <x v="27"/>
    <s v="Akhilesh Kumar"/>
    <s v="03/04/2021"/>
    <s v="Processing"/>
    <s v="70 Fans Cabinet"/>
    <s v="Cabinet"/>
    <x v="5"/>
    <n v="2100"/>
    <n v="2730"/>
    <n v="4"/>
    <n v="8400"/>
    <n v="10920"/>
    <s v="Aadil Khan"/>
    <n v="2990"/>
  </r>
  <r>
    <s v="141648"/>
    <x v="27"/>
    <s v="Suvankar Chakraborty"/>
    <s v="03/04/2021"/>
    <s v="Delivered"/>
    <s v="Wireless Keyboard"/>
    <s v="Keyboard"/>
    <x v="6"/>
    <n v="1150"/>
    <n v="1495"/>
    <n v="1"/>
    <n v="1150"/>
    <n v="1495"/>
    <s v="Advika Joshi"/>
    <n v="3315"/>
  </r>
  <r>
    <s v="141649"/>
    <x v="27"/>
    <s v="Suvankar Adhikary"/>
    <s v="03/04/2021"/>
    <s v="Shipped"/>
    <s v="USB Mouse"/>
    <s v="Mouse"/>
    <x v="0"/>
    <n v="350"/>
    <n v="455"/>
    <n v="4"/>
    <n v="1400"/>
    <n v="1820"/>
    <s v="Ajay Sharma"/>
    <n v="1690"/>
  </r>
  <r>
    <s v="141650"/>
    <x v="27"/>
    <s v="Rahul Kumar Prajapati"/>
    <s v="03/04/2021"/>
    <s v="Order"/>
    <s v="19&quot; LED Display"/>
    <s v="Monitor"/>
    <x v="6"/>
    <n v="9500"/>
    <n v="12350"/>
    <n v="1"/>
    <n v="9500"/>
    <n v="12350"/>
    <s v="Roshan Kumar"/>
    <n v="9750"/>
  </r>
  <r>
    <s v="141651"/>
    <x v="27"/>
    <s v="Sagar Jeur"/>
    <s v="03/04/2021"/>
    <s v="Processing"/>
    <s v="69 TB HDD"/>
    <s v="HDD"/>
    <x v="10"/>
    <n v="10000"/>
    <n v="13000"/>
    <n v="3"/>
    <n v="30000"/>
    <n v="39000"/>
    <s v="Aarvi Gupta"/>
    <n v="39000"/>
  </r>
  <r>
    <s v="141652"/>
    <x v="27"/>
    <s v="Rhushikesh Mane"/>
    <s v="03/04/2021"/>
    <s v="Delivered"/>
    <s v="579 GB M.2"/>
    <s v="SSD"/>
    <x v="0"/>
    <n v="6500"/>
    <n v="8450"/>
    <n v="3"/>
    <n v="19500"/>
    <n v="25350"/>
    <s v="Vijay Singh"/>
    <n v="8450"/>
  </r>
  <r>
    <s v="141653"/>
    <x v="27"/>
    <s v="Ashish Kumar"/>
    <s v="03/04/2021"/>
    <s v="Shipped"/>
    <s v="RYZEN 3rd gen. 3567"/>
    <s v="CPU"/>
    <x v="1"/>
    <n v="8500"/>
    <n v="11050"/>
    <n v="2"/>
    <n v="17000"/>
    <n v="22100"/>
    <s v="Aadil Khan"/>
    <n v="33150"/>
  </r>
  <r>
    <s v="141654"/>
    <x v="27"/>
    <s v="Javed Akhter"/>
    <s v="03/04/2021"/>
    <s v="Order"/>
    <s v="2GB Graphic Card"/>
    <s v="Graphic Card"/>
    <x v="2"/>
    <n v="7000"/>
    <n v="9100"/>
    <n v="1"/>
    <n v="7000"/>
    <n v="9100"/>
    <s v="Advika Joshi"/>
    <n v="18200"/>
  </r>
  <r>
    <s v="141655"/>
    <x v="27"/>
    <s v="Haridas Balraj"/>
    <s v="03/04/2021"/>
    <s v="Processing"/>
    <s v="83 GB DDR4 RAM"/>
    <s v="Computer Case"/>
    <x v="3"/>
    <n v="6550"/>
    <n v="8515"/>
    <n v="3"/>
    <n v="19650"/>
    <n v="25545"/>
    <s v="Ajay Sharma"/>
    <n v="13650"/>
  </r>
  <r>
    <s v="141656"/>
    <x v="27"/>
    <s v="Kundan Kumar"/>
    <s v="03/04/2021"/>
    <s v="Delivered"/>
    <s v="Standard ATX motherboard"/>
    <s v="Mouse"/>
    <x v="4"/>
    <n v="7650"/>
    <n v="9945"/>
    <n v="1"/>
    <n v="7650"/>
    <n v="9945"/>
    <s v="Roshan Kumar"/>
    <n v="1690"/>
  </r>
  <r>
    <s v="141657"/>
    <x v="27"/>
    <s v="Atif Siddiqui"/>
    <s v="03/04/2021"/>
    <s v="Shipped"/>
    <s v="Compact with 1 Fan"/>
    <s v="Cabinet"/>
    <x v="5"/>
    <n v="1150"/>
    <n v="1495"/>
    <n v="4"/>
    <n v="4600"/>
    <n v="5980"/>
    <s v="Aarvi Gupta"/>
    <n v="2990"/>
  </r>
  <r>
    <s v="141658"/>
    <x v="27"/>
    <s v="Aditya Agarwal"/>
    <s v="03/04/2021"/>
    <s v="Order"/>
    <s v="USB Backlight Keyboard"/>
    <s v="Keyboard"/>
    <x v="6"/>
    <n v="850"/>
    <n v="1105"/>
    <n v="1"/>
    <n v="850"/>
    <n v="1105"/>
    <s v="Vijay Singh"/>
    <n v="3315"/>
  </r>
  <r>
    <s v="141659"/>
    <x v="27"/>
    <s v="Firdoush Jabee"/>
    <s v="03/04/2021"/>
    <s v="Processing"/>
    <s v="Ergonomic Mouse"/>
    <s v="Mouse"/>
    <x v="0"/>
    <n v="650"/>
    <n v="845"/>
    <n v="3"/>
    <n v="1950"/>
    <n v="2535"/>
    <s v="Aadil Khan"/>
    <n v="1690"/>
  </r>
  <r>
    <s v="141660"/>
    <x v="27"/>
    <s v="Jay Prakash Kumar"/>
    <s v="03/04/2021"/>
    <s v="Delivered"/>
    <s v="15&quot; LCD Dsipaly"/>
    <s v="Monitor"/>
    <x v="6"/>
    <n v="7500"/>
    <n v="9750"/>
    <n v="2"/>
    <n v="15000"/>
    <n v="19500"/>
    <s v="Advika Joshi"/>
    <n v="9750"/>
  </r>
  <r>
    <s v="141661"/>
    <x v="27"/>
    <s v="Ashish Pandey"/>
    <s v="03/04/2021"/>
    <s v="Shipped"/>
    <s v="69 TB HDD"/>
    <s v="HDD"/>
    <x v="7"/>
    <n v="10000"/>
    <n v="13000"/>
    <n v="2"/>
    <n v="20000"/>
    <n v="26000"/>
    <s v="Ajay Sharma"/>
    <n v="39000"/>
  </r>
  <r>
    <s v="141662"/>
    <x v="27"/>
    <s v="Ajay Sharma"/>
    <s v="03/04/2021"/>
    <s v="Order"/>
    <s v="68 TB SSD"/>
    <s v="SSD"/>
    <x v="0"/>
    <n v="10500"/>
    <n v="13650"/>
    <n v="1"/>
    <n v="10500"/>
    <n v="13650"/>
    <s v="Roshan Kumar"/>
    <n v="8450"/>
  </r>
  <r>
    <s v="141663"/>
    <x v="27"/>
    <s v="Moinuddin Saifi"/>
    <s v="03/04/2021"/>
    <s v="Processing"/>
    <s v="Intel i5 12th gen."/>
    <s v="CPU"/>
    <x v="1"/>
    <n v="8500"/>
    <n v="11050"/>
    <n v="2"/>
    <n v="17000"/>
    <n v="22100"/>
    <s v="Aarvi Gupta"/>
    <n v="33150"/>
  </r>
  <r>
    <s v="141664"/>
    <x v="27"/>
    <s v="Ramkrishna Das Adhikary"/>
    <s v="03/04/2021"/>
    <s v="Delivered"/>
    <s v="2GB Graphic Card"/>
    <s v="Graphic Card"/>
    <x v="2"/>
    <n v="7000"/>
    <n v="9100"/>
    <n v="3"/>
    <n v="21000"/>
    <n v="27300"/>
    <s v="Vijay Singh"/>
    <n v="18200"/>
  </r>
  <r>
    <s v="141665"/>
    <x v="27"/>
    <s v="Ranjeet Mandal"/>
    <s v="03/04/2021"/>
    <s v="Shipped"/>
    <s v="71 GB DDR4 Ram"/>
    <s v="Computer Case"/>
    <x v="3"/>
    <n v="1680"/>
    <n v="2184"/>
    <n v="3"/>
    <n v="5040"/>
    <n v="6552"/>
    <s v="Aadil Khan"/>
    <n v="13650"/>
  </r>
  <r>
    <s v="141666"/>
    <x v="27"/>
    <s v="Ashwini Adsare"/>
    <s v="03/04/2021"/>
    <s v="Order"/>
    <s v="Micro ATX motherboard"/>
    <s v="Mouse"/>
    <x v="8"/>
    <n v="6540"/>
    <n v="8502"/>
    <n v="1"/>
    <n v="6540"/>
    <n v="8502"/>
    <s v="Advika Joshi"/>
    <n v="1690"/>
  </r>
  <r>
    <s v="141667"/>
    <x v="27"/>
    <s v="Rajesh Variya"/>
    <s v="03/04/2021"/>
    <s v="Processing"/>
    <s v="Gaming Box Cabinet"/>
    <s v="Cabinet"/>
    <x v="5"/>
    <n v="2680"/>
    <n v="3484"/>
    <n v="2"/>
    <n v="5360"/>
    <n v="6968"/>
    <s v="Ajay Sharma"/>
    <n v="2990"/>
  </r>
  <r>
    <s v="141668"/>
    <x v="27"/>
    <s v="Amit Singh"/>
    <s v="03/04/2021"/>
    <s v="Delivered"/>
    <s v="17&quot; LCD Display"/>
    <s v="Monitor"/>
    <x v="0"/>
    <n v="8250"/>
    <n v="10725"/>
    <n v="1"/>
    <n v="8250"/>
    <n v="10725"/>
    <s v="Roshan Kumar"/>
    <n v="9750"/>
  </r>
  <r>
    <s v="141669"/>
    <x v="27"/>
    <s v="Vinod Mehta"/>
    <s v="03/04/2021"/>
    <s v="Shipped"/>
    <s v="75 GB DDR4 RAM"/>
    <s v="RAM"/>
    <x v="0"/>
    <n v="2650"/>
    <n v="3445"/>
    <n v="3"/>
    <n v="7950"/>
    <n v="10335"/>
    <s v="Aarvi Gupta"/>
    <n v="25545"/>
  </r>
  <r>
    <s v="141670"/>
    <x v="27"/>
    <s v="Jignesh Mhatre"/>
    <s v="03/04/2021"/>
    <s v="Order"/>
    <s v="26&quot; LCD Display"/>
    <s v="Monitor"/>
    <x v="9"/>
    <n v="12550"/>
    <n v="16315"/>
    <n v="4"/>
    <n v="50200"/>
    <n v="65260"/>
    <s v="Vijay Singh"/>
    <n v="9750"/>
  </r>
  <r>
    <s v="141671"/>
    <x v="27"/>
    <s v="Rahul Kashyap"/>
    <s v="03/04/2021"/>
    <s v="Processing"/>
    <s v="I7 - intel 12th Generation"/>
    <s v="CPU"/>
    <x v="1"/>
    <n v="14500"/>
    <n v="18850"/>
    <n v="2"/>
    <n v="29000"/>
    <n v="37700"/>
    <s v="Aadil Khan"/>
    <n v="33150"/>
  </r>
  <r>
    <s v="141672"/>
    <x v="27"/>
    <s v="Mohammed Abdul Kaleem"/>
    <s v="03/04/2021"/>
    <s v="Delivered"/>
    <s v="USB Keyboard"/>
    <s v="Keyboard"/>
    <x v="6"/>
    <n v="800"/>
    <n v="1040"/>
    <n v="4"/>
    <n v="3200"/>
    <n v="4160"/>
    <s v="Advika Joshi"/>
    <n v="3315"/>
  </r>
  <r>
    <s v="141673"/>
    <x v="27"/>
    <s v="Chandrakant Kasbe"/>
    <s v="03/04/2021"/>
    <s v="Shipped"/>
    <s v="Wireless Mouse"/>
    <s v="Mouse"/>
    <x v="0"/>
    <n v="600"/>
    <n v="780"/>
    <n v="2"/>
    <n v="1200"/>
    <n v="1560"/>
    <s v="Ajay Sharma"/>
    <n v="1690"/>
  </r>
  <r>
    <s v="141674"/>
    <x v="27"/>
    <s v="Rohan Kale"/>
    <s v="03/04/2021"/>
    <s v="Order"/>
    <s v="21&quot; LCD Display"/>
    <s v="Monitor"/>
    <x v="6"/>
    <n v="10500"/>
    <n v="13650"/>
    <n v="1"/>
    <n v="10500"/>
    <n v="13650"/>
    <s v="Roshan Kumar"/>
    <n v="9750"/>
  </r>
  <r>
    <s v="141675"/>
    <x v="27"/>
    <s v="Aniruddha Kekapure"/>
    <s v="03/04/2021"/>
    <s v="Processing"/>
    <s v="69 TB HDD"/>
    <s v="HDD"/>
    <x v="10"/>
    <n v="6500"/>
    <n v="8450"/>
    <n v="2"/>
    <n v="13000"/>
    <n v="16900"/>
    <s v="Aarvi Gupta"/>
    <n v="39000"/>
  </r>
  <r>
    <s v="141676"/>
    <x v="27"/>
    <s v="Aslam Raza"/>
    <s v="03/04/2021"/>
    <s v="Delivered"/>
    <s v="324 GB SSD"/>
    <s v="SSD"/>
    <x v="0"/>
    <n v="4500"/>
    <n v="5850"/>
    <n v="1"/>
    <n v="4500"/>
    <n v="5850"/>
    <s v="Vijay Singh"/>
    <n v="8450"/>
  </r>
  <r>
    <s v="141677"/>
    <x v="27"/>
    <s v="Roshan Zameer"/>
    <s v="03/04/2021"/>
    <s v="Shipped"/>
    <s v="Intel i3 11th gen."/>
    <s v="CPU"/>
    <x v="1"/>
    <n v="8500"/>
    <n v="11050"/>
    <n v="4"/>
    <n v="34000"/>
    <n v="44200"/>
    <s v="Aadil Khan"/>
    <n v="33150"/>
  </r>
  <r>
    <s v="141678"/>
    <x v="27"/>
    <s v="Rakesh Kumar Sharma"/>
    <s v="03/04/2021"/>
    <s v="Order"/>
    <s v="4GB Graphic card"/>
    <s v="Graphic Card"/>
    <x v="2"/>
    <n v="12500"/>
    <n v="16250"/>
    <n v="1"/>
    <n v="12500"/>
    <n v="16250"/>
    <s v="Advika Joshi"/>
    <n v="18200"/>
  </r>
  <r>
    <s v="141679"/>
    <x v="27"/>
    <s v="Shivanand Sahani"/>
    <s v="03/04/2021"/>
    <s v="Processing"/>
    <s v="76 GB DDR4 RAM"/>
    <s v="NIC"/>
    <x v="3"/>
    <n v="3500"/>
    <n v="4550"/>
    <n v="4"/>
    <n v="14000"/>
    <n v="18200"/>
    <s v="Ajay Sharma"/>
    <n v="9100"/>
  </r>
  <r>
    <s v="141680"/>
    <x v="27"/>
    <s v="Kunal Patra"/>
    <s v="03/04/2021"/>
    <s v="Delivered"/>
    <s v="BTX motherboard"/>
    <s v="Printer"/>
    <x v="4"/>
    <n v="4500"/>
    <n v="5850"/>
    <n v="3"/>
    <n v="13500"/>
    <n v="17550"/>
    <s v="Roshan Kumar"/>
    <n v="11700"/>
  </r>
  <r>
    <s v="141681"/>
    <x v="27"/>
    <s v="Bijendra"/>
    <s v="03/04/2021"/>
    <s v="Shipped"/>
    <s v="71 Fans Cabinet"/>
    <s v="Cabinet"/>
    <x v="5"/>
    <n v="2100"/>
    <n v="2730"/>
    <n v="3"/>
    <n v="6300"/>
    <n v="8190"/>
    <s v="Aarvi Gupta"/>
    <n v="2990"/>
  </r>
  <r>
    <s v="141682"/>
    <x v="27"/>
    <s v="Kranti Bheke"/>
    <s v="03/04/2021"/>
    <s v="Order"/>
    <s v="Wireless Keyboard"/>
    <s v="Keyboard"/>
    <x v="6"/>
    <n v="1150"/>
    <n v="1495"/>
    <n v="4"/>
    <n v="4600"/>
    <n v="5980"/>
    <s v="Vijay Singh"/>
    <n v="3315"/>
  </r>
  <r>
    <s v="141683"/>
    <x v="27"/>
    <s v="Jagdeep"/>
    <s v="03/04/2021"/>
    <s v="Processing"/>
    <s v="USB Mouse"/>
    <s v="Mouse"/>
    <x v="0"/>
    <n v="350"/>
    <n v="455"/>
    <n v="2"/>
    <n v="700"/>
    <n v="910"/>
    <s v="Aadil Khan"/>
    <n v="1690"/>
  </r>
  <r>
    <s v="141684"/>
    <x v="27"/>
    <s v="Adhir Samal"/>
    <s v="03/04/2021"/>
    <s v="Delivered"/>
    <s v="19&quot; LED Display"/>
    <s v="Monitor"/>
    <x v="6"/>
    <n v="9500"/>
    <n v="12350"/>
    <n v="2"/>
    <n v="19000"/>
    <n v="24700"/>
    <s v="Advika Joshi"/>
    <n v="9750"/>
  </r>
  <r>
    <s v="141685"/>
    <x v="27"/>
    <s v="Dannana Jhammi"/>
    <s v="03/04/2021"/>
    <s v="Shipped"/>
    <s v="70 TB HDD"/>
    <s v="HDD"/>
    <x v="10"/>
    <n v="10000"/>
    <n v="13000"/>
    <n v="1"/>
    <n v="10000"/>
    <n v="13000"/>
    <s v="Ajay Sharma"/>
    <n v="39000"/>
  </r>
  <r>
    <s v="141686"/>
    <x v="27"/>
    <s v="Vipin Kumar"/>
    <s v="03/04/2021"/>
    <s v="Order"/>
    <s v="580 GB M.2"/>
    <s v="SSD"/>
    <x v="0"/>
    <n v="6500"/>
    <n v="8450"/>
    <n v="1"/>
    <n v="6500"/>
    <n v="8450"/>
    <s v="Roshan Kumar"/>
    <n v="8450"/>
  </r>
  <r>
    <s v="141687"/>
    <x v="27"/>
    <s v="Ranjeet Kumar"/>
    <s v="03/04/2021"/>
    <s v="Processing"/>
    <s v="RYZEN 3rd gen. 3568"/>
    <s v="CPU"/>
    <x v="1"/>
    <n v="8500"/>
    <n v="11050"/>
    <n v="2"/>
    <n v="17000"/>
    <n v="22100"/>
    <s v="Aarvi Gupta"/>
    <n v="33150"/>
  </r>
  <r>
    <s v="141688"/>
    <x v="27"/>
    <s v="Sajal Singhal"/>
    <s v="03/04/2021"/>
    <s v="Delivered"/>
    <s v="2GB Graphic Card"/>
    <s v="Graphic Card"/>
    <x v="2"/>
    <n v="7000"/>
    <n v="9100"/>
    <n v="4"/>
    <n v="28000"/>
    <n v="36400"/>
    <s v="Vijay Singh"/>
    <n v="18200"/>
  </r>
  <r>
    <s v="141689"/>
    <x v="27"/>
    <s v="Akhilesh Kumar"/>
    <s v="03/04/2021"/>
    <s v="Shipped"/>
    <s v="84 GB DDR4 RAM"/>
    <s v="NIC"/>
    <x v="3"/>
    <n v="6550"/>
    <n v="8515"/>
    <n v="3"/>
    <n v="19650"/>
    <n v="25545"/>
    <s v="Aadil Khan"/>
    <n v="9100"/>
  </r>
  <r>
    <s v="141690"/>
    <x v="27"/>
    <s v="Suvankar Chakraborty"/>
    <s v="03/04/2021"/>
    <s v="Order"/>
    <s v="Standard ATX motherboard"/>
    <s v="Printer"/>
    <x v="4"/>
    <n v="7650"/>
    <n v="9945"/>
    <n v="3"/>
    <n v="22950"/>
    <n v="29835"/>
    <s v="Advika Joshi"/>
    <n v="11700"/>
  </r>
  <r>
    <s v="141691"/>
    <x v="27"/>
    <s v="Suvankar Adhikary"/>
    <s v="03/04/2021"/>
    <s v="Processing"/>
    <s v="Compact with 1 Fan"/>
    <s v="Cabinet"/>
    <x v="5"/>
    <n v="1150"/>
    <n v="1495"/>
    <n v="4"/>
    <n v="4600"/>
    <n v="5980"/>
    <s v="Ajay Sharma"/>
    <n v="2990"/>
  </r>
  <r>
    <s v="141692"/>
    <x v="27"/>
    <s v="Rahul Kumar Prajapati"/>
    <s v="03/04/2021"/>
    <s v="Delivered"/>
    <s v="USB Backlight Keyboard"/>
    <s v="Keyboard"/>
    <x v="6"/>
    <n v="850"/>
    <n v="1105"/>
    <n v="1"/>
    <n v="850"/>
    <n v="1105"/>
    <s v="Roshan Kumar"/>
    <n v="3315"/>
  </r>
  <r>
    <s v="141693"/>
    <x v="27"/>
    <s v="Sagar Jeur"/>
    <s v="03/04/2021"/>
    <s v="Shipped"/>
    <s v="Ergonomic Mouse"/>
    <s v="Mouse"/>
    <x v="0"/>
    <n v="650"/>
    <n v="845"/>
    <n v="1"/>
    <n v="650"/>
    <n v="845"/>
    <s v="Aarvi Gupta"/>
    <n v="1690"/>
  </r>
  <r>
    <s v="141694"/>
    <x v="27"/>
    <s v="Rhushikesh Mane"/>
    <s v="03/04/2021"/>
    <s v="Order"/>
    <s v="15&quot; LCD Dsipaly"/>
    <s v="Monitor"/>
    <x v="6"/>
    <n v="7500"/>
    <n v="9750"/>
    <n v="4"/>
    <n v="30000"/>
    <n v="39000"/>
    <s v="Vijay Singh"/>
    <n v="9750"/>
  </r>
  <r>
    <s v="141695"/>
    <x v="27"/>
    <s v="Ashish Kumar"/>
    <s v="03/04/2021"/>
    <s v="Processing"/>
    <s v="70 TB HDD"/>
    <s v="HDD"/>
    <x v="7"/>
    <n v="10000"/>
    <n v="13000"/>
    <n v="2"/>
    <n v="20000"/>
    <n v="26000"/>
    <s v="Aadil Khan"/>
    <n v="39000"/>
  </r>
  <r>
    <s v="141696"/>
    <x v="27"/>
    <s v="Javed Akhter"/>
    <s v="03/04/2021"/>
    <s v="Delivered"/>
    <s v="69 TB SSD"/>
    <s v="SSD"/>
    <x v="0"/>
    <n v="10500"/>
    <n v="13650"/>
    <n v="3"/>
    <n v="31500"/>
    <n v="40950"/>
    <s v="Advika Joshi"/>
    <n v="8450"/>
  </r>
  <r>
    <s v="141697"/>
    <x v="27"/>
    <s v="Haridas Balraj"/>
    <s v="03/04/2021"/>
    <s v="Shipped"/>
    <s v="Intel i5 12th gen."/>
    <s v="CPU"/>
    <x v="1"/>
    <n v="8500"/>
    <n v="11050"/>
    <n v="2"/>
    <n v="17000"/>
    <n v="22100"/>
    <s v="Ajay Sharma"/>
    <n v="33150"/>
  </r>
  <r>
    <s v="141698"/>
    <x v="27"/>
    <s v="Kundan Kumar"/>
    <s v="03/04/2021"/>
    <s v="Order"/>
    <s v="2GB Graphic Card"/>
    <s v="Graphic Card"/>
    <x v="2"/>
    <n v="7000"/>
    <n v="9100"/>
    <n v="1"/>
    <n v="7000"/>
    <n v="9100"/>
    <s v="Roshan Kumar"/>
    <n v="18200"/>
  </r>
  <r>
    <s v="141699"/>
    <x v="27"/>
    <s v="Atif Siddiqui"/>
    <s v="03/04/2021"/>
    <s v="Processing"/>
    <s v="72 GB DDR4 Ram"/>
    <s v="NIC"/>
    <x v="3"/>
    <n v="1680"/>
    <n v="2184"/>
    <n v="4"/>
    <n v="6720"/>
    <n v="8736"/>
    <s v="Aarvi Gupta"/>
    <n v="9100"/>
  </r>
  <r>
    <s v="141700"/>
    <x v="27"/>
    <s v="Aditya Agarwal"/>
    <s v="03/04/2021"/>
    <s v="Delivered"/>
    <s v="Micro ATX motherboard"/>
    <s v="Printer"/>
    <x v="8"/>
    <n v="6540"/>
    <n v="8502"/>
    <n v="1"/>
    <n v="6540"/>
    <n v="8502"/>
    <s v="Vijay Singh"/>
    <n v="11700"/>
  </r>
  <r>
    <s v="141701"/>
    <x v="27"/>
    <s v="Firdoush Jabee"/>
    <s v="03/04/2021"/>
    <s v="Shipped"/>
    <s v="Gaming Box Cabinet"/>
    <s v="Cabinet"/>
    <x v="5"/>
    <n v="2680"/>
    <n v="3484"/>
    <n v="4"/>
    <n v="10720"/>
    <n v="13936"/>
    <s v="Aadil Khan"/>
    <n v="2990"/>
  </r>
  <r>
    <s v="141702"/>
    <x v="27"/>
    <s v="Jay Prakash Kumar"/>
    <s v="03/04/2021"/>
    <s v="Order"/>
    <s v="17&quot; LCD Display"/>
    <s v="Monitor"/>
    <x v="0"/>
    <n v="8250"/>
    <n v="10725"/>
    <n v="4"/>
    <n v="33000"/>
    <n v="42900"/>
    <s v="Advika Joshi"/>
    <n v="9750"/>
  </r>
  <r>
    <s v="141703"/>
    <x v="27"/>
    <s v="Ashish Pandey"/>
    <s v="03/04/2021"/>
    <s v="Processing"/>
    <s v="76 GB DDR4 RAM"/>
    <s v="RAM"/>
    <x v="0"/>
    <n v="2650"/>
    <n v="3445"/>
    <n v="1"/>
    <n v="2650"/>
    <n v="3445"/>
    <s v="Ajay Sharma"/>
    <n v="25545"/>
  </r>
  <r>
    <s v="141704"/>
    <x v="27"/>
    <s v="Ajay Sharma"/>
    <s v="03/04/2021"/>
    <s v="Delivered"/>
    <s v="26&quot; LCD Display"/>
    <s v="Monitor"/>
    <x v="9"/>
    <n v="12550"/>
    <n v="16315"/>
    <n v="3"/>
    <n v="37650"/>
    <n v="48945"/>
    <s v="Roshan Kumar"/>
    <n v="9750"/>
  </r>
  <r>
    <s v="141705"/>
    <x v="27"/>
    <s v="Moinuddin Saifi"/>
    <s v="03/04/2021"/>
    <s v="Shipped"/>
    <s v="I7 - intel 12th Generation"/>
    <s v="CPU"/>
    <x v="1"/>
    <n v="14500"/>
    <n v="18850"/>
    <n v="1"/>
    <n v="14500"/>
    <n v="18850"/>
    <s v="Aarvi Gupta"/>
    <n v="33150"/>
  </r>
  <r>
    <s v="141706"/>
    <x v="27"/>
    <s v="Ramkrishna Das Adhikary"/>
    <s v="03/04/2021"/>
    <s v="Order"/>
    <s v="USB Keyboard"/>
    <s v="Keyboard"/>
    <x v="6"/>
    <n v="800"/>
    <n v="1040"/>
    <n v="4"/>
    <n v="3200"/>
    <n v="4160"/>
    <s v="Vijay Singh"/>
    <n v="3315"/>
  </r>
  <r>
    <s v="141707"/>
    <x v="27"/>
    <s v="Ranjeet Mandal"/>
    <s v="03/04/2021"/>
    <s v="Processing"/>
    <s v="Wireless Mouse"/>
    <s v="Mouse"/>
    <x v="0"/>
    <n v="600"/>
    <n v="780"/>
    <n v="2"/>
    <n v="1200"/>
    <n v="1560"/>
    <s v="Aadil Khan"/>
    <n v="1690"/>
  </r>
  <r>
    <s v="141708"/>
    <x v="27"/>
    <s v="Ashwini Adsare"/>
    <s v="03/04/2021"/>
    <s v="Delivered"/>
    <s v="21&quot; LCD Display"/>
    <s v="Monitor"/>
    <x v="6"/>
    <n v="10500"/>
    <n v="13650"/>
    <n v="1"/>
    <n v="10500"/>
    <n v="13650"/>
    <s v="Advika Joshi"/>
    <n v="9750"/>
  </r>
  <r>
    <s v="141709"/>
    <x v="27"/>
    <s v="Rajesh Variya"/>
    <s v="03/04/2021"/>
    <s v="Shipped"/>
    <s v="70 TB HDD"/>
    <s v="HDD"/>
    <x v="10"/>
    <n v="6500"/>
    <n v="8450"/>
    <n v="2"/>
    <n v="13000"/>
    <n v="16900"/>
    <s v="Ajay Sharma"/>
    <n v="39000"/>
  </r>
  <r>
    <s v="141710"/>
    <x v="27"/>
    <s v="Amit Singh"/>
    <s v="03/04/2021"/>
    <s v="Order"/>
    <s v="325 GB SSD"/>
    <s v="SSD"/>
    <x v="0"/>
    <n v="4500"/>
    <n v="5850"/>
    <n v="3"/>
    <n v="13500"/>
    <n v="17550"/>
    <s v="Roshan Kumar"/>
    <n v="8450"/>
  </r>
  <r>
    <s v="141711"/>
    <x v="27"/>
    <s v="Vinod Mehta"/>
    <s v="03/04/2021"/>
    <s v="Processing"/>
    <s v="Intel i3 11th gen."/>
    <s v="CPU"/>
    <x v="1"/>
    <n v="8500"/>
    <n v="11050"/>
    <n v="4"/>
    <n v="34000"/>
    <n v="44200"/>
    <s v="Aarvi Gupta"/>
    <n v="33150"/>
  </r>
  <r>
    <s v="141712"/>
    <x v="27"/>
    <s v="Jignesh Mhatre"/>
    <s v="03/04/2021"/>
    <s v="Delivered"/>
    <s v="4GB Graphic card"/>
    <s v="Graphic Card"/>
    <x v="2"/>
    <n v="12500"/>
    <n v="16250"/>
    <n v="4"/>
    <n v="50000"/>
    <n v="65000"/>
    <s v="Vijay Singh"/>
    <n v="18200"/>
  </r>
  <r>
    <s v="141713"/>
    <x v="27"/>
    <s v="Rahul Kashyap"/>
    <s v="03/04/2021"/>
    <s v="Shipped"/>
    <s v="77 GB DDR4 RAM"/>
    <s v="RAM"/>
    <x v="3"/>
    <n v="3500"/>
    <n v="4550"/>
    <n v="4"/>
    <n v="14000"/>
    <n v="18200"/>
    <s v="Aadil Khan"/>
    <n v="25545"/>
  </r>
  <r>
    <s v="141714"/>
    <x v="27"/>
    <s v="Mohammed Abdul Kaleem"/>
    <s v="03/04/2021"/>
    <s v="Order"/>
    <s v="BTX motherboard"/>
    <s v="MotherBoard"/>
    <x v="4"/>
    <n v="4500"/>
    <n v="5850"/>
    <n v="2"/>
    <n v="9000"/>
    <n v="11700"/>
    <s v="Advika Joshi"/>
    <n v="39780"/>
  </r>
  <r>
    <s v="141715"/>
    <x v="27"/>
    <s v="Chandrakant Kasbe"/>
    <s v="03/04/2021"/>
    <s v="Processing"/>
    <s v="72 Fans Cabinet"/>
    <s v="Cabinet"/>
    <x v="5"/>
    <n v="2100"/>
    <n v="2730"/>
    <n v="3"/>
    <n v="6300"/>
    <n v="8190"/>
    <s v="Ajay Sharma"/>
    <n v="2990"/>
  </r>
  <r>
    <s v="141716"/>
    <x v="27"/>
    <s v="Rohan Kale"/>
    <s v="03/04/2021"/>
    <s v="Delivered"/>
    <s v="Wireless Keyboard"/>
    <s v="Keyboard"/>
    <x v="6"/>
    <n v="1150"/>
    <n v="1495"/>
    <n v="2"/>
    <n v="2300"/>
    <n v="2990"/>
    <s v="Roshan Kumar"/>
    <n v="3315"/>
  </r>
  <r>
    <s v="141717"/>
    <x v="27"/>
    <s v="Aniruddha Kekapure"/>
    <s v="03/04/2021"/>
    <s v="Shipped"/>
    <s v="USB Mouse"/>
    <s v="Mouse"/>
    <x v="0"/>
    <n v="350"/>
    <n v="455"/>
    <n v="1"/>
    <n v="350"/>
    <n v="455"/>
    <s v="Aarvi Gupta"/>
    <n v="1690"/>
  </r>
  <r>
    <s v="141718"/>
    <x v="27"/>
    <s v="Aslam Raza"/>
    <s v="03/04/2021"/>
    <s v="Order"/>
    <s v="19&quot; LED Display"/>
    <s v="Monitor"/>
    <x v="6"/>
    <n v="9500"/>
    <n v="12350"/>
    <n v="4"/>
    <n v="38000"/>
    <n v="49400"/>
    <s v="Vijay Singh"/>
    <n v="9750"/>
  </r>
  <r>
    <s v="141719"/>
    <x v="27"/>
    <s v="Roshan Zameer"/>
    <s v="03/04/2021"/>
    <s v="Processing"/>
    <s v="71 TB HDD"/>
    <s v="HDD"/>
    <x v="10"/>
    <n v="10000"/>
    <n v="13000"/>
    <n v="2"/>
    <n v="20000"/>
    <n v="26000"/>
    <s v="Aadil Khan"/>
    <n v="39000"/>
  </r>
  <r>
    <s v="141720"/>
    <x v="27"/>
    <s v="Rakesh Kumar Sharma"/>
    <s v="03/04/2021"/>
    <s v="Delivered"/>
    <s v="581 GB M.2"/>
    <s v="SSD"/>
    <x v="0"/>
    <n v="6500"/>
    <n v="8450"/>
    <n v="2"/>
    <n v="13000"/>
    <n v="16900"/>
    <s v="Advika Joshi"/>
    <n v="8450"/>
  </r>
  <r>
    <s v="141721"/>
    <x v="27"/>
    <s v="Shivanand Sahani"/>
    <s v="03/04/2021"/>
    <s v="Shipped"/>
    <s v="RYZEN 3rd gen. 3569"/>
    <s v="CPU"/>
    <x v="1"/>
    <n v="8500"/>
    <n v="11050"/>
    <n v="2"/>
    <n v="17000"/>
    <n v="22100"/>
    <s v="Ajay Sharma"/>
    <n v="33150"/>
  </r>
  <r>
    <s v="141722"/>
    <x v="27"/>
    <s v="Kunal Patra"/>
    <s v="03/04/2021"/>
    <s v="Order"/>
    <s v="2GB Graphic Card"/>
    <s v="Graphic Card"/>
    <x v="2"/>
    <n v="7000"/>
    <n v="9100"/>
    <n v="2"/>
    <n v="14000"/>
    <n v="18200"/>
    <s v="Roshan Kumar"/>
    <n v="18200"/>
  </r>
  <r>
    <s v="141723"/>
    <x v="27"/>
    <s v="Bijendra"/>
    <s v="03/04/2021"/>
    <s v="Processing"/>
    <s v="85 GB DDR4 RAM"/>
    <s v="RAM"/>
    <x v="3"/>
    <n v="6550"/>
    <n v="8515"/>
    <n v="1"/>
    <n v="6550"/>
    <n v="8515"/>
    <s v="Aarvi Gupta"/>
    <n v="25545"/>
  </r>
  <r>
    <s v="141724"/>
    <x v="27"/>
    <s v="Kranti Bheke"/>
    <s v="03/04/2021"/>
    <s v="Delivered"/>
    <s v="Standard ATX motherboard"/>
    <s v="MotherBoard"/>
    <x v="4"/>
    <n v="7650"/>
    <n v="9945"/>
    <n v="1"/>
    <n v="7650"/>
    <n v="9945"/>
    <s v="Vijay Singh"/>
    <n v="39780"/>
  </r>
  <r>
    <s v="141725"/>
    <x v="27"/>
    <s v="Jagdeep"/>
    <s v="03/04/2021"/>
    <s v="Shipped"/>
    <s v="Compact with 1 Fan"/>
    <s v="Cabinet"/>
    <x v="5"/>
    <n v="1150"/>
    <n v="1495"/>
    <n v="3"/>
    <n v="3450"/>
    <n v="4485"/>
    <s v="Aadil Khan"/>
    <n v="2990"/>
  </r>
  <r>
    <s v="141726"/>
    <x v="27"/>
    <s v="Adhir Samal"/>
    <s v="03/04/2021"/>
    <s v="Order"/>
    <s v="USB Backlight Keyboard"/>
    <s v="Keyboard"/>
    <x v="6"/>
    <n v="850"/>
    <n v="1105"/>
    <n v="1"/>
    <n v="850"/>
    <n v="1105"/>
    <s v="Advika Joshi"/>
    <n v="3315"/>
  </r>
  <r>
    <s v="141727"/>
    <x v="27"/>
    <s v="Dannana Jhammi"/>
    <s v="03/04/2021"/>
    <s v="Processing"/>
    <s v="Ergonomic Mouse"/>
    <s v="Mouse"/>
    <x v="0"/>
    <n v="650"/>
    <n v="845"/>
    <n v="2"/>
    <n v="1300"/>
    <n v="1690"/>
    <s v="Ajay Sharma"/>
    <n v="1690"/>
  </r>
  <r>
    <s v="141728"/>
    <x v="27"/>
    <s v="Vipin Kumar"/>
    <s v="03/04/2021"/>
    <s v="Delivered"/>
    <s v="15&quot; LCD Dsipaly"/>
    <s v="Monitor"/>
    <x v="6"/>
    <n v="7500"/>
    <n v="9750"/>
    <n v="1"/>
    <n v="7500"/>
    <n v="9750"/>
    <s v="Roshan Kumar"/>
    <n v="9750"/>
  </r>
  <r>
    <s v="141729"/>
    <x v="27"/>
    <s v="Ranjeet Kumar"/>
    <s v="03/04/2021"/>
    <s v="Shipped"/>
    <s v="71 TB HDD"/>
    <s v="HDD"/>
    <x v="7"/>
    <n v="10000"/>
    <n v="13000"/>
    <n v="1"/>
    <n v="10000"/>
    <n v="13000"/>
    <s v="Aarvi Gupta"/>
    <n v="39000"/>
  </r>
  <r>
    <s v="141730"/>
    <x v="27"/>
    <s v="Sajal Singhal"/>
    <s v="03/04/2021"/>
    <s v="Order"/>
    <s v="70 TB SSD"/>
    <s v="SSD"/>
    <x v="0"/>
    <n v="10500"/>
    <n v="13650"/>
    <n v="1"/>
    <n v="10500"/>
    <n v="13650"/>
    <s v="Vijay Singh"/>
    <n v="8450"/>
  </r>
  <r>
    <s v="141731"/>
    <x v="27"/>
    <s v="Akhilesh Kumar"/>
    <s v="03/04/2021"/>
    <s v="Processing"/>
    <s v="Intel i5 12th gen."/>
    <s v="CPU"/>
    <x v="1"/>
    <n v="8500"/>
    <n v="11050"/>
    <n v="1"/>
    <n v="8500"/>
    <n v="11050"/>
    <s v="Aadil Khan"/>
    <n v="33150"/>
  </r>
  <r>
    <s v="141732"/>
    <x v="27"/>
    <s v="Suvankar Chakraborty"/>
    <s v="03/04/2021"/>
    <s v="Delivered"/>
    <s v="2GB Graphic Card"/>
    <s v="Graphic Card"/>
    <x v="2"/>
    <n v="7000"/>
    <n v="9100"/>
    <n v="3"/>
    <n v="21000"/>
    <n v="27300"/>
    <s v="Advika Joshi"/>
    <n v="18200"/>
  </r>
  <r>
    <s v="141733"/>
    <x v="27"/>
    <s v="Suvankar Adhikary"/>
    <s v="03/04/2021"/>
    <s v="Shipped"/>
    <s v="73 GB DDR4 Ram"/>
    <s v="RAM"/>
    <x v="3"/>
    <n v="1680"/>
    <n v="2184"/>
    <n v="3"/>
    <n v="5040"/>
    <n v="6552"/>
    <s v="Ajay Sharma"/>
    <n v="25545"/>
  </r>
  <r>
    <s v="141734"/>
    <x v="27"/>
    <s v="Rahul Kumar Prajapati"/>
    <s v="03/04/2021"/>
    <s v="Order"/>
    <s v="Micro ATX motherboard"/>
    <s v="MotherBoard"/>
    <x v="8"/>
    <n v="6540"/>
    <n v="8502"/>
    <n v="3"/>
    <n v="19620"/>
    <n v="25506"/>
    <s v="Roshan Kumar"/>
    <n v="39780"/>
  </r>
  <r>
    <s v="141735"/>
    <x v="27"/>
    <s v="Sagar Jeur"/>
    <s v="03/04/2021"/>
    <s v="Processing"/>
    <s v="Gaming Box Cabinet"/>
    <s v="Cabinet"/>
    <x v="5"/>
    <n v="2680"/>
    <n v="3484"/>
    <n v="3"/>
    <n v="8040"/>
    <n v="10452"/>
    <s v="Aarvi Gupta"/>
    <n v="2990"/>
  </r>
  <r>
    <s v="141736"/>
    <x v="27"/>
    <s v="Rhushikesh Mane"/>
    <s v="03/04/2021"/>
    <s v="Delivered"/>
    <s v="17&quot; LCD Display"/>
    <s v="Monitor"/>
    <x v="0"/>
    <n v="8250"/>
    <n v="10725"/>
    <n v="2"/>
    <n v="16500"/>
    <n v="21450"/>
    <s v="Vijay Singh"/>
    <n v="9750"/>
  </r>
  <r>
    <s v="141737"/>
    <x v="27"/>
    <s v="Ashish Kumar"/>
    <s v="03/04/2021"/>
    <s v="Shipped"/>
    <s v="77 GB DDR4 RAM"/>
    <s v="RAM"/>
    <x v="0"/>
    <n v="2650"/>
    <n v="3445"/>
    <n v="4"/>
    <n v="10600"/>
    <n v="13780"/>
    <s v="Aadil Khan"/>
    <n v="25545"/>
  </r>
  <r>
    <s v="141738"/>
    <x v="27"/>
    <s v="Javed Akhter"/>
    <s v="03/04/2021"/>
    <s v="Order"/>
    <s v="26&quot; LCD Display"/>
    <s v="Monitor"/>
    <x v="9"/>
    <n v="12550"/>
    <n v="16315"/>
    <n v="1"/>
    <n v="12550"/>
    <n v="16315"/>
    <s v="Advika Joshi"/>
    <n v="9750"/>
  </r>
  <r>
    <s v="141739"/>
    <x v="27"/>
    <s v="Haridas Balraj"/>
    <s v="03/04/2021"/>
    <s v="Processing"/>
    <s v="I7 - intel 12th Generation"/>
    <s v="CPU"/>
    <x v="1"/>
    <n v="14500"/>
    <n v="18850"/>
    <n v="3"/>
    <n v="43500"/>
    <n v="56550"/>
    <s v="Ajay Sharma"/>
    <n v="33150"/>
  </r>
  <r>
    <s v="141740"/>
    <x v="27"/>
    <s v="Kundan Kumar"/>
    <s v="03/04/2021"/>
    <s v="Delivered"/>
    <s v="USB Keyboard"/>
    <s v="Keyboard"/>
    <x v="6"/>
    <n v="800"/>
    <n v="1040"/>
    <n v="4"/>
    <n v="3200"/>
    <n v="4160"/>
    <s v="Roshan Kumar"/>
    <n v="3315"/>
  </r>
  <r>
    <s v="141741"/>
    <x v="27"/>
    <s v="Atif Siddiqui"/>
    <s v="03/04/2021"/>
    <s v="Shipped"/>
    <s v="Wireless Mouse"/>
    <s v="Mouse"/>
    <x v="0"/>
    <n v="600"/>
    <n v="780"/>
    <n v="2"/>
    <n v="1200"/>
    <n v="1560"/>
    <s v="Aarvi Gupta"/>
    <n v="1690"/>
  </r>
  <r>
    <s v="141742"/>
    <x v="27"/>
    <s v="Aditya Agarwal"/>
    <s v="03/04/2021"/>
    <s v="Order"/>
    <s v="21&quot; LCD Display"/>
    <s v="Monitor"/>
    <x v="6"/>
    <n v="10500"/>
    <n v="13650"/>
    <n v="2"/>
    <n v="21000"/>
    <n v="27300"/>
    <s v="Vijay Singh"/>
    <n v="9750"/>
  </r>
  <r>
    <s v="141743"/>
    <x v="27"/>
    <s v="Firdoush Jabee"/>
    <s v="03/04/2021"/>
    <s v="Processing"/>
    <s v="71 TB HDD"/>
    <s v="HDD"/>
    <x v="10"/>
    <n v="6500"/>
    <n v="8450"/>
    <n v="2"/>
    <n v="13000"/>
    <n v="16900"/>
    <s v="Aadil Khan"/>
    <n v="39000"/>
  </r>
  <r>
    <s v="141744"/>
    <x v="27"/>
    <s v="Jay Prakash Kumar"/>
    <s v="03/04/2021"/>
    <s v="Delivered"/>
    <s v="326 GB SSD"/>
    <s v="SSD"/>
    <x v="0"/>
    <n v="4500"/>
    <n v="5850"/>
    <n v="4"/>
    <n v="18000"/>
    <n v="23400"/>
    <s v="Advika Joshi"/>
    <n v="8450"/>
  </r>
  <r>
    <s v="141745"/>
    <x v="27"/>
    <s v="Ashish Pandey"/>
    <s v="03/04/2021"/>
    <s v="Shipped"/>
    <s v="Intel i3 11th gen."/>
    <s v="CPU"/>
    <x v="1"/>
    <n v="8500"/>
    <n v="11050"/>
    <n v="3"/>
    <n v="25500"/>
    <n v="33150"/>
    <s v="Ajay Sharma"/>
    <n v="33150"/>
  </r>
  <r>
    <s v="141746"/>
    <x v="27"/>
    <s v="Ajay Sharma"/>
    <s v="03/04/2021"/>
    <s v="Order"/>
    <s v="4GB Graphic card"/>
    <s v="Graphic Card"/>
    <x v="2"/>
    <n v="12500"/>
    <n v="16250"/>
    <n v="2"/>
    <n v="25000"/>
    <n v="32500"/>
    <s v="Roshan Kumar"/>
    <n v="18200"/>
  </r>
  <r>
    <s v="141747"/>
    <x v="27"/>
    <s v="Moinuddin Saifi"/>
    <s v="03/04/2021"/>
    <s v="Processing"/>
    <s v="78 GB DDR4 RAM"/>
    <s v="Computer Case"/>
    <x v="3"/>
    <n v="3500"/>
    <n v="4550"/>
    <n v="2"/>
    <n v="7000"/>
    <n v="9100"/>
    <s v="Aarvi Gupta"/>
    <n v="13650"/>
  </r>
  <r>
    <s v="141748"/>
    <x v="27"/>
    <s v="Ramkrishna Das Adhikary"/>
    <s v="03/04/2021"/>
    <s v="Delivered"/>
    <s v="BTX motherboard"/>
    <s v="Mouse"/>
    <x v="4"/>
    <n v="4500"/>
    <n v="5850"/>
    <n v="4"/>
    <n v="18000"/>
    <n v="23400"/>
    <s v="Vijay Singh"/>
    <n v="1690"/>
  </r>
  <r>
    <s v="141749"/>
    <x v="27"/>
    <s v="Ranjeet Mandal"/>
    <s v="03/04/2021"/>
    <s v="Shipped"/>
    <s v="73 Fans Cabinet"/>
    <s v="Cabinet"/>
    <x v="5"/>
    <n v="2100"/>
    <n v="2730"/>
    <n v="1"/>
    <n v="2100"/>
    <n v="2730"/>
    <s v="Aadil Khan"/>
    <n v="2990"/>
  </r>
  <r>
    <s v="141750"/>
    <x v="27"/>
    <s v="Ashwini Adsare"/>
    <s v="03/04/2021"/>
    <s v="Order"/>
    <s v="Wireless Keyboard"/>
    <s v="Keyboard"/>
    <x v="6"/>
    <n v="1150"/>
    <n v="1495"/>
    <n v="2"/>
    <n v="2300"/>
    <n v="2990"/>
    <s v="Advika Joshi"/>
    <n v="3315"/>
  </r>
  <r>
    <s v="141751"/>
    <x v="27"/>
    <s v="Rajesh Variya"/>
    <s v="03/04/2021"/>
    <s v="Processing"/>
    <s v="USB Mouse"/>
    <s v="Mouse"/>
    <x v="0"/>
    <n v="350"/>
    <n v="455"/>
    <n v="2"/>
    <n v="700"/>
    <n v="910"/>
    <s v="Ajay Sharma"/>
    <n v="1690"/>
  </r>
  <r>
    <s v="141752"/>
    <x v="27"/>
    <s v="Amit Singh"/>
    <s v="03/04/2021"/>
    <s v="Delivered"/>
    <s v="19&quot; LED Display"/>
    <s v="Monitor"/>
    <x v="6"/>
    <n v="9500"/>
    <n v="12350"/>
    <n v="2"/>
    <n v="19000"/>
    <n v="24700"/>
    <s v="Roshan Kumar"/>
    <n v="9750"/>
  </r>
  <r>
    <s v="141753"/>
    <x v="27"/>
    <s v="Vinod Mehta"/>
    <s v="03/04/2021"/>
    <s v="Shipped"/>
    <s v="72 TB HDD"/>
    <s v="HDD"/>
    <x v="10"/>
    <n v="10000"/>
    <n v="13000"/>
    <n v="4"/>
    <n v="40000"/>
    <n v="52000"/>
    <s v="Aarvi Gupta"/>
    <n v="39000"/>
  </r>
  <r>
    <s v="141754"/>
    <x v="27"/>
    <s v="Jignesh Mhatre"/>
    <s v="03/04/2021"/>
    <s v="Order"/>
    <s v="582 GB M.2"/>
    <s v="SSD"/>
    <x v="0"/>
    <n v="6500"/>
    <n v="8450"/>
    <n v="1"/>
    <n v="6500"/>
    <n v="8450"/>
    <s v="Vijay Singh"/>
    <n v="8450"/>
  </r>
  <r>
    <s v="141755"/>
    <x v="27"/>
    <s v="Rahul Kashyap"/>
    <s v="03/04/2021"/>
    <s v="Processing"/>
    <s v="RYZEN 3rd gen. 3570"/>
    <s v="CPU"/>
    <x v="1"/>
    <n v="8500"/>
    <n v="11050"/>
    <n v="2"/>
    <n v="17000"/>
    <n v="22100"/>
    <s v="Aadil Khan"/>
    <n v="33150"/>
  </r>
  <r>
    <s v="141756"/>
    <x v="27"/>
    <s v="Mohammed Abdul Kaleem"/>
    <s v="03/04/2021"/>
    <s v="Delivered"/>
    <s v="2GB Graphic Card"/>
    <s v="Graphic Card"/>
    <x v="2"/>
    <n v="7000"/>
    <n v="9100"/>
    <n v="4"/>
    <n v="28000"/>
    <n v="36400"/>
    <s v="Advika Joshi"/>
    <n v="18200"/>
  </r>
  <r>
    <s v="141757"/>
    <x v="27"/>
    <s v="Chandrakant Kasbe"/>
    <s v="03/04/2021"/>
    <s v="Shipped"/>
    <s v="86 GB DDR4 RAM"/>
    <s v="Computer Case"/>
    <x v="3"/>
    <n v="6550"/>
    <n v="8515"/>
    <n v="3"/>
    <n v="19650"/>
    <n v="25545"/>
    <s v="Ajay Sharma"/>
    <n v="13650"/>
  </r>
  <r>
    <s v="141758"/>
    <x v="27"/>
    <s v="Rohan Kale"/>
    <s v="03/04/2021"/>
    <s v="Order"/>
    <s v="Standard ATX motherboard"/>
    <s v="Mouse"/>
    <x v="4"/>
    <n v="7650"/>
    <n v="9945"/>
    <n v="1"/>
    <n v="7650"/>
    <n v="9945"/>
    <s v="Roshan Kumar"/>
    <n v="1690"/>
  </r>
  <r>
    <s v="141759"/>
    <x v="27"/>
    <s v="Aniruddha Kekapure"/>
    <s v="04/04/2021"/>
    <s v="Processing"/>
    <s v="Compact with 1 Fan"/>
    <s v="Cabinet"/>
    <x v="5"/>
    <n v="1150"/>
    <n v="1495"/>
    <n v="4"/>
    <n v="4600"/>
    <n v="5980"/>
    <s v="Aarvi Gupta"/>
    <n v="2990"/>
  </r>
  <r>
    <s v="141760"/>
    <x v="27"/>
    <s v="Aslam Raza"/>
    <s v="05/04/2021"/>
    <s v="Delivered"/>
    <s v="USB Backlight Keyboard"/>
    <s v="Keyboard"/>
    <x v="6"/>
    <n v="850"/>
    <n v="1105"/>
    <n v="1"/>
    <n v="850"/>
    <n v="1105"/>
    <s v="Vijay Singh"/>
    <n v="3315"/>
  </r>
  <r>
    <s v="141761"/>
    <x v="27"/>
    <s v="Roshan Zameer"/>
    <s v="06/04/2021"/>
    <s v="Shipped"/>
    <s v="Ergonomic Mouse"/>
    <s v="Mouse"/>
    <x v="0"/>
    <n v="650"/>
    <n v="845"/>
    <n v="2"/>
    <n v="1300"/>
    <n v="1690"/>
    <s v="Aadil Khan"/>
    <n v="1690"/>
  </r>
  <r>
    <s v="141762"/>
    <x v="27"/>
    <s v="Rakesh Kumar Sharma"/>
    <s v="07/04/2021"/>
    <s v="Order"/>
    <s v="15&quot; LCD Dsipaly"/>
    <s v="Monitor"/>
    <x v="6"/>
    <n v="7500"/>
    <n v="9750"/>
    <n v="4"/>
    <n v="30000"/>
    <n v="39000"/>
    <s v="Advika Joshi"/>
    <n v="9750"/>
  </r>
  <r>
    <s v="141763"/>
    <x v="27"/>
    <s v="Shivanand Sahani"/>
    <s v="08/04/2021"/>
    <s v="Processing"/>
    <s v="72 TB HDD"/>
    <s v="HDD"/>
    <x v="7"/>
    <n v="10000"/>
    <n v="13000"/>
    <n v="4"/>
    <n v="40000"/>
    <n v="52000"/>
    <s v="Ajay Sharma"/>
    <n v="39000"/>
  </r>
  <r>
    <s v="141764"/>
    <x v="27"/>
    <s v="Kunal Patra"/>
    <s v="09/04/2021"/>
    <s v="Delivered"/>
    <s v="71 TB SSD"/>
    <s v="SSD"/>
    <x v="0"/>
    <n v="10500"/>
    <n v="13650"/>
    <n v="3"/>
    <n v="31500"/>
    <n v="40950"/>
    <s v="Roshan Kumar"/>
    <n v="8450"/>
  </r>
  <r>
    <s v="141765"/>
    <x v="27"/>
    <s v="Bijendra"/>
    <s v="10/04/2021"/>
    <s v="Shipped"/>
    <s v="Intel i5 12th gen."/>
    <s v="CPU"/>
    <x v="1"/>
    <n v="8500"/>
    <n v="11050"/>
    <n v="1"/>
    <n v="8500"/>
    <n v="11050"/>
    <s v="Aarvi Gupta"/>
    <n v="33150"/>
  </r>
  <r>
    <s v="141766"/>
    <x v="27"/>
    <s v="Kranti Bheke"/>
    <s v="10/04/2021"/>
    <s v="Order"/>
    <s v="2GB Graphic Card"/>
    <s v="Graphic Card"/>
    <x v="2"/>
    <n v="7000"/>
    <n v="9100"/>
    <n v="2"/>
    <n v="14000"/>
    <n v="18200"/>
    <s v="Vijay Singh"/>
    <n v="18200"/>
  </r>
  <r>
    <s v="141767"/>
    <x v="27"/>
    <s v="Jagdeep"/>
    <s v="10/04/2021"/>
    <s v="Processing"/>
    <s v="74 GB DDR4 Ram"/>
    <s v="Computer Case"/>
    <x v="3"/>
    <n v="1680"/>
    <n v="2184"/>
    <n v="2"/>
    <n v="3360"/>
    <n v="4368"/>
    <s v="Aadil Khan"/>
    <n v="13650"/>
  </r>
  <r>
    <s v="141768"/>
    <x v="27"/>
    <s v="Adhir Samal"/>
    <s v="10/04/2021"/>
    <s v="Delivered"/>
    <s v="Micro ATX motherboard"/>
    <s v="Mouse"/>
    <x v="8"/>
    <n v="6540"/>
    <n v="8502"/>
    <n v="4"/>
    <n v="26160"/>
    <n v="34008"/>
    <s v="Advika Joshi"/>
    <n v="1690"/>
  </r>
  <r>
    <s v="141769"/>
    <x v="27"/>
    <s v="Dannana Jhammi"/>
    <s v="10/04/2021"/>
    <s v="Shipped"/>
    <s v="Gaming Box Cabinet"/>
    <s v="Cabinet"/>
    <x v="5"/>
    <n v="2680"/>
    <n v="3484"/>
    <n v="1"/>
    <n v="2680"/>
    <n v="3484"/>
    <s v="Ajay Sharma"/>
    <n v="2990"/>
  </r>
  <r>
    <s v="141770"/>
    <x v="27"/>
    <s v="Vipin Kumar"/>
    <s v="10/04/2021"/>
    <s v="Order"/>
    <s v="17&quot; LCD Display"/>
    <s v="Monitor"/>
    <x v="0"/>
    <n v="8250"/>
    <n v="10725"/>
    <n v="4"/>
    <n v="33000"/>
    <n v="42900"/>
    <s v="Roshan Kumar"/>
    <n v="9750"/>
  </r>
  <r>
    <s v="141771"/>
    <x v="27"/>
    <s v="Ranjeet Kumar"/>
    <s v="10/04/2021"/>
    <s v="Processing"/>
    <s v="78 GB DDR4 RAM"/>
    <s v="RAM"/>
    <x v="0"/>
    <n v="2650"/>
    <n v="3445"/>
    <n v="2"/>
    <n v="5300"/>
    <n v="6890"/>
    <s v="Aarvi Gupta"/>
    <n v="25545"/>
  </r>
  <r>
    <s v="141772"/>
    <x v="27"/>
    <s v="Sajal Singhal"/>
    <s v="10/04/2021"/>
    <s v="Delivered"/>
    <s v="26&quot; LCD Display"/>
    <s v="Monitor"/>
    <x v="9"/>
    <n v="12550"/>
    <n v="16315"/>
    <n v="4"/>
    <n v="50200"/>
    <n v="65260"/>
    <s v="Vijay Singh"/>
    <n v="9750"/>
  </r>
  <r>
    <s v="141773"/>
    <x v="27"/>
    <s v="Akhilesh Kumar"/>
    <s v="10/04/2021"/>
    <s v="Shipped"/>
    <s v="I7 - intel 12th Generation"/>
    <s v="CPU"/>
    <x v="1"/>
    <n v="14500"/>
    <n v="18850"/>
    <n v="2"/>
    <n v="29000"/>
    <n v="37700"/>
    <s v="Aadil Khan"/>
    <n v="33150"/>
  </r>
  <r>
    <s v="141774"/>
    <x v="27"/>
    <s v="Suvankar Chakraborty"/>
    <s v="10/04/2021"/>
    <s v="Order"/>
    <s v="USB Keyboard"/>
    <s v="Keyboard"/>
    <x v="6"/>
    <n v="800"/>
    <n v="1040"/>
    <n v="2"/>
    <n v="1600"/>
    <n v="2080"/>
    <s v="Advika Joshi"/>
    <n v="3315"/>
  </r>
  <r>
    <s v="141775"/>
    <x v="27"/>
    <s v="Suvankar Adhikary"/>
    <s v="10/04/2021"/>
    <s v="Processing"/>
    <s v="Wireless Mouse"/>
    <s v="Mouse"/>
    <x v="0"/>
    <n v="600"/>
    <n v="780"/>
    <n v="4"/>
    <n v="2400"/>
    <n v="3120"/>
    <s v="Ajay Sharma"/>
    <n v="1690"/>
  </r>
  <r>
    <s v="141776"/>
    <x v="27"/>
    <s v="Rahul Kumar Prajapati"/>
    <s v="10/04/2021"/>
    <s v="Delivered"/>
    <s v="21&quot; LCD Display"/>
    <s v="Monitor"/>
    <x v="6"/>
    <n v="10500"/>
    <n v="13650"/>
    <n v="2"/>
    <n v="21000"/>
    <n v="27300"/>
    <s v="Roshan Kumar"/>
    <n v="9750"/>
  </r>
  <r>
    <s v="141777"/>
    <x v="27"/>
    <s v="Sagar Jeur"/>
    <s v="10/04/2021"/>
    <s v="Shipped"/>
    <s v="72 TB HDD"/>
    <s v="HDD"/>
    <x v="10"/>
    <n v="6500"/>
    <n v="8450"/>
    <n v="2"/>
    <n v="13000"/>
    <n v="16900"/>
    <s v="Aarvi Gupta"/>
    <n v="39000"/>
  </r>
  <r>
    <s v="141778"/>
    <x v="27"/>
    <s v="Rhushikesh Mane"/>
    <s v="10/04/2021"/>
    <s v="Order"/>
    <s v="327 GB SSD"/>
    <s v="SSD"/>
    <x v="0"/>
    <n v="4500"/>
    <n v="5850"/>
    <n v="4"/>
    <n v="18000"/>
    <n v="23400"/>
    <s v="Vijay Singh"/>
    <n v="8450"/>
  </r>
  <r>
    <s v="141779"/>
    <x v="27"/>
    <s v="Ashish Kumar"/>
    <s v="10/04/2021"/>
    <s v="Processing"/>
    <s v="Intel i3 11th gen."/>
    <s v="CPU"/>
    <x v="1"/>
    <n v="8500"/>
    <n v="11050"/>
    <n v="4"/>
    <n v="34000"/>
    <n v="44200"/>
    <s v="Aadil Khan"/>
    <n v="33150"/>
  </r>
  <r>
    <s v="141780"/>
    <x v="27"/>
    <s v="Javed Akhter"/>
    <s v="10/04/2021"/>
    <s v="Delivered"/>
    <s v="4GB Graphic card"/>
    <s v="Graphic Card"/>
    <x v="2"/>
    <n v="12500"/>
    <n v="16250"/>
    <n v="2"/>
    <n v="25000"/>
    <n v="32500"/>
    <s v="Advika Joshi"/>
    <n v="18200"/>
  </r>
  <r>
    <s v="141781"/>
    <x v="27"/>
    <s v="Haridas Balraj"/>
    <s v="10/04/2021"/>
    <s v="Shipped"/>
    <s v="79 GB DDR4 RAM"/>
    <s v="NIC"/>
    <x v="3"/>
    <n v="3500"/>
    <n v="4550"/>
    <n v="3"/>
    <n v="10500"/>
    <n v="13650"/>
    <s v="Ajay Sharma"/>
    <n v="9100"/>
  </r>
  <r>
    <s v="141782"/>
    <x v="27"/>
    <s v="Kundan Kumar"/>
    <s v="10/04/2021"/>
    <s v="Order"/>
    <s v="BTX motherboard"/>
    <s v="Printer"/>
    <x v="4"/>
    <n v="4500"/>
    <n v="5850"/>
    <n v="2"/>
    <n v="9000"/>
    <n v="11700"/>
    <s v="Roshan Kumar"/>
    <n v="11700"/>
  </r>
  <r>
    <s v="141783"/>
    <x v="27"/>
    <s v="Atif Siddiqui"/>
    <s v="10/04/2021"/>
    <s v="Processing"/>
    <s v="74 Fans Cabinet"/>
    <s v="Cabinet"/>
    <x v="5"/>
    <n v="2100"/>
    <n v="2730"/>
    <n v="1"/>
    <n v="2100"/>
    <n v="2730"/>
    <s v="Aarvi Gupta"/>
    <n v="2990"/>
  </r>
  <r>
    <s v="141784"/>
    <x v="27"/>
    <s v="Aditya Agarwal"/>
    <s v="10/04/2021"/>
    <s v="Delivered"/>
    <s v="Wireless Keyboard"/>
    <s v="Keyboard"/>
    <x v="6"/>
    <n v="1150"/>
    <n v="1495"/>
    <n v="4"/>
    <n v="4600"/>
    <n v="5980"/>
    <s v="Vijay Singh"/>
    <n v="3315"/>
  </r>
  <r>
    <s v="141785"/>
    <x v="27"/>
    <s v="Firdoush Jabee"/>
    <s v="10/04/2021"/>
    <s v="Shipped"/>
    <s v="USB Mouse"/>
    <s v="Mouse"/>
    <x v="0"/>
    <n v="350"/>
    <n v="455"/>
    <n v="1"/>
    <n v="350"/>
    <n v="455"/>
    <s v="Aadil Khan"/>
    <n v="1690"/>
  </r>
  <r>
    <s v="141786"/>
    <x v="27"/>
    <s v="Jay Prakash Kumar"/>
    <s v="10/04/2021"/>
    <s v="Order"/>
    <s v="19&quot; LED Display"/>
    <s v="Monitor"/>
    <x v="6"/>
    <n v="9500"/>
    <n v="12350"/>
    <n v="1"/>
    <n v="9500"/>
    <n v="12350"/>
    <s v="Advika Joshi"/>
    <n v="9750"/>
  </r>
  <r>
    <s v="141787"/>
    <x v="27"/>
    <s v="Ashish Pandey"/>
    <s v="10/04/2021"/>
    <s v="Processing"/>
    <s v="73 TB HDD"/>
    <s v="HDD"/>
    <x v="10"/>
    <n v="10000"/>
    <n v="13000"/>
    <n v="1"/>
    <n v="10000"/>
    <n v="13000"/>
    <s v="Ajay Sharma"/>
    <n v="39000"/>
  </r>
  <r>
    <s v="141788"/>
    <x v="27"/>
    <s v="Ajay Sharma"/>
    <s v="10/04/2021"/>
    <s v="Delivered"/>
    <s v="583 GB M.2"/>
    <s v="SSD"/>
    <x v="0"/>
    <n v="6500"/>
    <n v="8450"/>
    <n v="1"/>
    <n v="6500"/>
    <n v="8450"/>
    <s v="Roshan Kumar"/>
    <n v="8450"/>
  </r>
  <r>
    <s v="141789"/>
    <x v="27"/>
    <s v="Moinuddin Saifi"/>
    <s v="10/04/2021"/>
    <s v="Shipped"/>
    <s v="RYZEN 3rd gen. 3571"/>
    <s v="CPU"/>
    <x v="1"/>
    <n v="8500"/>
    <n v="11050"/>
    <n v="1"/>
    <n v="8500"/>
    <n v="11050"/>
    <s v="Aarvi Gupta"/>
    <n v="33150"/>
  </r>
  <r>
    <s v="141790"/>
    <x v="27"/>
    <s v="Ramkrishna Das Adhikary"/>
    <s v="10/04/2021"/>
    <s v="Order"/>
    <s v="2GB Graphic Card"/>
    <s v="Graphic Card"/>
    <x v="2"/>
    <n v="7000"/>
    <n v="9100"/>
    <n v="4"/>
    <n v="28000"/>
    <n v="36400"/>
    <s v="Vijay Singh"/>
    <n v="18200"/>
  </r>
  <r>
    <s v="141791"/>
    <x v="27"/>
    <s v="Ranjeet Mandal"/>
    <s v="10/04/2021"/>
    <s v="Processing"/>
    <s v="87 GB DDR4 RAM"/>
    <s v="NIC"/>
    <x v="3"/>
    <n v="6550"/>
    <n v="8515"/>
    <n v="2"/>
    <n v="13100"/>
    <n v="17030"/>
    <s v="Aadil Khan"/>
    <n v="9100"/>
  </r>
  <r>
    <s v="141792"/>
    <x v="27"/>
    <s v="Ashwini Adsare"/>
    <s v="10/04/2021"/>
    <s v="Delivered"/>
    <s v="Standard ATX motherboard"/>
    <s v="Printer"/>
    <x v="4"/>
    <n v="7650"/>
    <n v="9945"/>
    <n v="1"/>
    <n v="7650"/>
    <n v="9945"/>
    <s v="Advika Joshi"/>
    <n v="11700"/>
  </r>
  <r>
    <s v="141793"/>
    <x v="27"/>
    <s v="Rajesh Variya"/>
    <s v="11/04/2021"/>
    <s v="Shipped"/>
    <s v="Compact with 1 Fan"/>
    <s v="Cabinet"/>
    <x v="5"/>
    <n v="1150"/>
    <n v="1495"/>
    <n v="1"/>
    <n v="1150"/>
    <n v="1495"/>
    <s v="Ajay Sharma"/>
    <n v="2990"/>
  </r>
  <r>
    <s v="141794"/>
    <x v="27"/>
    <s v="Amit Singh"/>
    <s v="12/04/2021"/>
    <s v="Order"/>
    <s v="USB Backlight Keyboard"/>
    <s v="Keyboard"/>
    <x v="6"/>
    <n v="850"/>
    <n v="1105"/>
    <n v="3"/>
    <n v="2550"/>
    <n v="3315"/>
    <s v="Roshan Kumar"/>
    <n v="3315"/>
  </r>
  <r>
    <s v="141795"/>
    <x v="27"/>
    <s v="Vinod Mehta"/>
    <s v="13/04/2021"/>
    <s v="Processing"/>
    <s v="Ergonomic Mouse"/>
    <s v="Mouse"/>
    <x v="0"/>
    <n v="650"/>
    <n v="845"/>
    <n v="3"/>
    <n v="1950"/>
    <n v="2535"/>
    <s v="Aarvi Gupta"/>
    <n v="1690"/>
  </r>
  <r>
    <s v="141796"/>
    <x v="27"/>
    <s v="Jignesh Mhatre"/>
    <s v="14/04/2021"/>
    <s v="Delivered"/>
    <s v="15&quot; LCD Dsipaly"/>
    <s v="Monitor"/>
    <x v="6"/>
    <n v="7500"/>
    <n v="9750"/>
    <n v="1"/>
    <n v="7500"/>
    <n v="9750"/>
    <s v="Vijay Singh"/>
    <n v="9750"/>
  </r>
  <r>
    <s v="141797"/>
    <x v="27"/>
    <s v="Rahul Kashyap"/>
    <s v="15/04/2021"/>
    <s v="Shipped"/>
    <s v="73 TB HDD"/>
    <s v="HDD"/>
    <x v="7"/>
    <n v="10000"/>
    <n v="13000"/>
    <n v="1"/>
    <n v="10000"/>
    <n v="13000"/>
    <s v="Aadil Khan"/>
    <n v="39000"/>
  </r>
  <r>
    <s v="141798"/>
    <x v="27"/>
    <s v="Mohammed Abdul Kaleem"/>
    <s v="16/04/2021"/>
    <s v="Order"/>
    <s v="72 TB SSD"/>
    <s v="SSD"/>
    <x v="0"/>
    <n v="10500"/>
    <n v="13650"/>
    <n v="4"/>
    <n v="42000"/>
    <n v="54600"/>
    <s v="Advika Joshi"/>
    <n v="8450"/>
  </r>
  <r>
    <s v="141799"/>
    <x v="27"/>
    <s v="Chandrakant Kasbe"/>
    <s v="16/04/2021"/>
    <s v="Processing"/>
    <s v="Intel i5 12th gen."/>
    <s v="CPU"/>
    <x v="1"/>
    <n v="8500"/>
    <n v="11050"/>
    <n v="2"/>
    <n v="17000"/>
    <n v="22100"/>
    <s v="Ajay Sharma"/>
    <n v="33150"/>
  </r>
  <r>
    <s v="141800"/>
    <x v="27"/>
    <s v="Rohan Kale"/>
    <s v="16/04/2021"/>
    <s v="Delivered"/>
    <s v="2GB Graphic Card"/>
    <s v="Graphic Card"/>
    <x v="2"/>
    <n v="7000"/>
    <n v="9100"/>
    <n v="1"/>
    <n v="7000"/>
    <n v="9100"/>
    <s v="Roshan Kumar"/>
    <n v="18200"/>
  </r>
  <r>
    <s v="141801"/>
    <x v="27"/>
    <s v="Aniruddha Kekapure"/>
    <s v="16/04/2021"/>
    <s v="Shipped"/>
    <s v="75 GB DDR4 Ram"/>
    <s v="NIC"/>
    <x v="3"/>
    <n v="1680"/>
    <n v="2184"/>
    <n v="4"/>
    <n v="6720"/>
    <n v="8736"/>
    <s v="Aarvi Gupta"/>
    <n v="9100"/>
  </r>
  <r>
    <s v="141802"/>
    <x v="27"/>
    <s v="Aslam Raza"/>
    <s v="16/04/2021"/>
    <s v="Order"/>
    <s v="Micro ATX motherboard"/>
    <s v="Printer"/>
    <x v="8"/>
    <n v="6540"/>
    <n v="8502"/>
    <n v="2"/>
    <n v="13080"/>
    <n v="17004"/>
    <s v="Vijay Singh"/>
    <n v="11700"/>
  </r>
  <r>
    <s v="141803"/>
    <x v="27"/>
    <s v="Roshan Zameer"/>
    <s v="16/04/2021"/>
    <s v="Processing"/>
    <s v="Gaming Box Cabinet"/>
    <s v="Cabinet"/>
    <x v="5"/>
    <n v="2680"/>
    <n v="3484"/>
    <n v="2"/>
    <n v="5360"/>
    <n v="6968"/>
    <s v="Aadil Khan"/>
    <n v="2990"/>
  </r>
  <r>
    <s v="141804"/>
    <x v="27"/>
    <s v="Rakesh Kumar Sharma"/>
    <s v="16/04/2021"/>
    <s v="Delivered"/>
    <s v="17&quot; LCD Display"/>
    <s v="Monitor"/>
    <x v="0"/>
    <n v="8250"/>
    <n v="10725"/>
    <n v="2"/>
    <n v="16500"/>
    <n v="21450"/>
    <s v="Advika Joshi"/>
    <n v="9750"/>
  </r>
  <r>
    <s v="141805"/>
    <x v="27"/>
    <s v="Shivanand Sahani"/>
    <s v="16/04/2021"/>
    <s v="Shipped"/>
    <s v="79 GB DDR4 RAM"/>
    <s v="RAM"/>
    <x v="0"/>
    <n v="2650"/>
    <n v="3445"/>
    <n v="4"/>
    <n v="10600"/>
    <n v="13780"/>
    <s v="Ajay Sharma"/>
    <n v="25545"/>
  </r>
  <r>
    <s v="141806"/>
    <x v="27"/>
    <s v="Kunal Patra"/>
    <s v="16/04/2021"/>
    <s v="Order"/>
    <s v="26&quot; LCD Display"/>
    <s v="Monitor"/>
    <x v="9"/>
    <n v="12550"/>
    <n v="16315"/>
    <n v="1"/>
    <n v="12550"/>
    <n v="16315"/>
    <s v="Roshan Kumar"/>
    <n v="9750"/>
  </r>
  <r>
    <s v="141807"/>
    <x v="27"/>
    <s v="Bijendra"/>
    <s v="16/04/2021"/>
    <s v="Processing"/>
    <s v="I7 - intel 12th Generation"/>
    <s v="CPU"/>
    <x v="1"/>
    <n v="14500"/>
    <n v="18850"/>
    <n v="4"/>
    <n v="58000"/>
    <n v="75400"/>
    <s v="Aarvi Gupta"/>
    <n v="33150"/>
  </r>
  <r>
    <s v="141808"/>
    <x v="27"/>
    <s v="Kranti Bheke"/>
    <s v="16/04/2021"/>
    <s v="Delivered"/>
    <s v="USB Keyboard"/>
    <s v="Keyboard"/>
    <x v="6"/>
    <n v="800"/>
    <n v="1040"/>
    <n v="1"/>
    <n v="800"/>
    <n v="1040"/>
    <s v="Vijay Singh"/>
    <n v="3315"/>
  </r>
  <r>
    <s v="141809"/>
    <x v="27"/>
    <s v="Jagdeep"/>
    <s v="16/04/2021"/>
    <s v="Shipped"/>
    <s v="Wireless Mouse"/>
    <s v="Mouse"/>
    <x v="0"/>
    <n v="600"/>
    <n v="780"/>
    <n v="2"/>
    <n v="1200"/>
    <n v="1560"/>
    <s v="Aadil Khan"/>
    <n v="1690"/>
  </r>
  <r>
    <s v="141810"/>
    <x v="27"/>
    <s v="Adhir Samal"/>
    <s v="16/04/2021"/>
    <s v="Order"/>
    <s v="21&quot; LCD Display"/>
    <s v="Monitor"/>
    <x v="6"/>
    <n v="10500"/>
    <n v="13650"/>
    <n v="4"/>
    <n v="42000"/>
    <n v="54600"/>
    <s v="Advika Joshi"/>
    <n v="9750"/>
  </r>
  <r>
    <s v="141811"/>
    <x v="27"/>
    <s v="Dannana Jhammi"/>
    <s v="16/04/2021"/>
    <s v="Processing"/>
    <s v="73 TB HDD"/>
    <s v="HDD"/>
    <x v="10"/>
    <n v="6500"/>
    <n v="8450"/>
    <n v="4"/>
    <n v="26000"/>
    <n v="33800"/>
    <s v="Ajay Sharma"/>
    <n v="39000"/>
  </r>
  <r>
    <s v="141812"/>
    <x v="27"/>
    <s v="Vipin Kumar"/>
    <s v="16/04/2021"/>
    <s v="Delivered"/>
    <s v="328 GB SSD"/>
    <s v="SSD"/>
    <x v="0"/>
    <n v="4500"/>
    <n v="5850"/>
    <n v="3"/>
    <n v="13500"/>
    <n v="17550"/>
    <s v="Roshan Kumar"/>
    <n v="8450"/>
  </r>
  <r>
    <s v="141813"/>
    <x v="27"/>
    <s v="Ranjeet Kumar"/>
    <s v="16/04/2021"/>
    <s v="Shipped"/>
    <s v="Intel i3 11th gen."/>
    <s v="CPU"/>
    <x v="1"/>
    <n v="8500"/>
    <n v="11050"/>
    <n v="1"/>
    <n v="8500"/>
    <n v="11050"/>
    <s v="Aarvi Gupta"/>
    <n v="33150"/>
  </r>
  <r>
    <s v="141814"/>
    <x v="27"/>
    <s v="Sajal Singhal"/>
    <s v="16/04/2021"/>
    <s v="Order"/>
    <s v="4GB Graphic card"/>
    <s v="Graphic Card"/>
    <x v="2"/>
    <n v="12500"/>
    <n v="16250"/>
    <n v="2"/>
    <n v="25000"/>
    <n v="32500"/>
    <s v="Vijay Singh"/>
    <n v="18200"/>
  </r>
  <r>
    <s v="141815"/>
    <x v="23"/>
    <s v="Akhilesh Kumar"/>
    <s v="16/04/2021"/>
    <s v="Processing"/>
    <s v="80 GB DDR4 RAM"/>
    <s v="RAM"/>
    <x v="3"/>
    <n v="3500"/>
    <n v="4550"/>
    <n v="1"/>
    <n v="3500"/>
    <n v="4550"/>
    <s v="Aadil Khan"/>
    <n v="25545"/>
  </r>
  <r>
    <s v="141816"/>
    <x v="1"/>
    <s v="Suvankar Chakraborty"/>
    <s v="16/04/2021"/>
    <s v="Delivered"/>
    <s v="BTX motherboard"/>
    <s v="MotherBoard"/>
    <x v="4"/>
    <n v="4500"/>
    <n v="5850"/>
    <n v="1"/>
    <n v="4500"/>
    <n v="5850"/>
    <s v="Advika Joshi"/>
    <n v="39780"/>
  </r>
  <r>
    <s v="141817"/>
    <x v="2"/>
    <s v="Suvankar Adhikary"/>
    <s v="16/04/2021"/>
    <s v="Shipped"/>
    <s v="75 Fans Cabinet"/>
    <s v="Cabinet"/>
    <x v="5"/>
    <n v="2100"/>
    <n v="2730"/>
    <n v="2"/>
    <n v="4200"/>
    <n v="5460"/>
    <s v="Ajay Sharma"/>
    <n v="2990"/>
  </r>
  <r>
    <s v="141818"/>
    <x v="3"/>
    <s v="Rahul Kumar Prajapati"/>
    <s v="16/04/2021"/>
    <s v="Order"/>
    <s v="Wireless Keyboard"/>
    <s v="Keyboard"/>
    <x v="6"/>
    <n v="1150"/>
    <n v="1495"/>
    <n v="4"/>
    <n v="4600"/>
    <n v="5980"/>
    <s v="Roshan Kumar"/>
    <n v="3315"/>
  </r>
  <r>
    <s v="141819"/>
    <x v="24"/>
    <s v="Sagar Jeur"/>
    <s v="16/04/2021"/>
    <s v="Processing"/>
    <s v="USB Mouse"/>
    <s v="Mouse"/>
    <x v="0"/>
    <n v="350"/>
    <n v="455"/>
    <n v="3"/>
    <n v="1050"/>
    <n v="1365"/>
    <s v="Aarvi Gupta"/>
    <n v="1690"/>
  </r>
  <r>
    <s v="141820"/>
    <x v="25"/>
    <s v="Rhushikesh Mane"/>
    <s v="16/04/2021"/>
    <s v="Delivered"/>
    <s v="19&quot; LED Display"/>
    <s v="Monitor"/>
    <x v="6"/>
    <n v="9500"/>
    <n v="12350"/>
    <n v="2"/>
    <n v="19000"/>
    <n v="24700"/>
    <s v="Vijay Singh"/>
    <n v="9750"/>
  </r>
  <r>
    <s v="141821"/>
    <x v="33"/>
    <s v="Ashish Kumar"/>
    <s v="16/04/2021"/>
    <s v="Shipped"/>
    <s v="74 TB HDD"/>
    <s v="HDD"/>
    <x v="10"/>
    <n v="10000"/>
    <n v="13000"/>
    <n v="4"/>
    <n v="40000"/>
    <n v="52000"/>
    <s v="Aadil Khan"/>
    <n v="39000"/>
  </r>
  <r>
    <s v="141822"/>
    <x v="34"/>
    <s v="Javed Akhter"/>
    <s v="16/04/2021"/>
    <s v="Order"/>
    <s v="584 GB M.2"/>
    <s v="SSD"/>
    <x v="0"/>
    <n v="6500"/>
    <n v="8450"/>
    <n v="3"/>
    <n v="19500"/>
    <n v="25350"/>
    <s v="Advika Joshi"/>
    <n v="8450"/>
  </r>
  <r>
    <s v="141823"/>
    <x v="4"/>
    <s v="Haridas Balraj"/>
    <s v="16/04/2021"/>
    <s v="Processing"/>
    <s v="RYZEN 3rd gen. 3572"/>
    <s v="CPU"/>
    <x v="1"/>
    <n v="8500"/>
    <n v="11050"/>
    <n v="2"/>
    <n v="17000"/>
    <n v="22100"/>
    <s v="Ajay Sharma"/>
    <n v="33150"/>
  </r>
  <r>
    <s v="141824"/>
    <x v="5"/>
    <s v="Kundan Kumar"/>
    <s v="16/04/2021"/>
    <s v="Delivered"/>
    <s v="2GB Graphic Card"/>
    <s v="Graphic Card"/>
    <x v="2"/>
    <n v="7000"/>
    <n v="9100"/>
    <n v="3"/>
    <n v="21000"/>
    <n v="27300"/>
    <s v="Roshan Kumar"/>
    <n v="18200"/>
  </r>
  <r>
    <s v="141825"/>
    <x v="6"/>
    <s v="Atif Siddiqui"/>
    <s v="16/04/2021"/>
    <s v="Shipped"/>
    <s v="88 GB DDR4 RAM"/>
    <s v="RAM"/>
    <x v="3"/>
    <n v="6550"/>
    <n v="8515"/>
    <n v="4"/>
    <n v="26200"/>
    <n v="34060"/>
    <s v="Aarvi Gupta"/>
    <n v="25545"/>
  </r>
  <r>
    <s v="141826"/>
    <x v="7"/>
    <s v="Aditya Agarwal"/>
    <s v="16/04/2021"/>
    <s v="Order"/>
    <s v="Standard ATX motherboard"/>
    <s v="MotherBoard"/>
    <x v="4"/>
    <n v="7650"/>
    <n v="9945"/>
    <n v="2"/>
    <n v="15300"/>
    <n v="19890"/>
    <s v="Vijay Singh"/>
    <n v="39780"/>
  </r>
  <r>
    <s v="141827"/>
    <x v="26"/>
    <s v="Firdoush Jabee"/>
    <s v="16/04/2021"/>
    <s v="Processing"/>
    <s v="Compact with 1 Fan"/>
    <s v="Cabinet"/>
    <x v="5"/>
    <n v="1150"/>
    <n v="1495"/>
    <n v="3"/>
    <n v="3450"/>
    <n v="4485"/>
    <s v="Aadil Khan"/>
    <n v="2990"/>
  </r>
  <r>
    <s v="141828"/>
    <x v="27"/>
    <s v="Jay Prakash Kumar"/>
    <s v="16/04/2021"/>
    <s v="Delivered"/>
    <s v="USB Backlight Keyboard"/>
    <s v="Keyboard"/>
    <x v="6"/>
    <n v="850"/>
    <n v="1105"/>
    <n v="3"/>
    <n v="2550"/>
    <n v="3315"/>
    <s v="Advika Joshi"/>
    <n v="3315"/>
  </r>
  <r>
    <s v="141829"/>
    <x v="8"/>
    <s v="Ashish Pandey"/>
    <s v="16/04/2021"/>
    <s v="Shipped"/>
    <s v="Ergonomic Mouse"/>
    <s v="Mouse"/>
    <x v="0"/>
    <n v="650"/>
    <n v="845"/>
    <n v="4"/>
    <n v="2600"/>
    <n v="3380"/>
    <s v="Ajay Sharma"/>
    <n v="1690"/>
  </r>
  <r>
    <s v="141830"/>
    <x v="9"/>
    <s v="Ajay Sharma"/>
    <s v="16/04/2021"/>
    <s v="Order"/>
    <s v="15&quot; LCD Dsipaly"/>
    <s v="Monitor"/>
    <x v="6"/>
    <n v="7500"/>
    <n v="9750"/>
    <n v="2"/>
    <n v="15000"/>
    <n v="19500"/>
    <s v="Roshan Kumar"/>
    <n v="9750"/>
  </r>
  <r>
    <s v="141831"/>
    <x v="10"/>
    <s v="Moinuddin Saifi"/>
    <s v="16/04/2021"/>
    <s v="Processing"/>
    <s v="74 TB HDD"/>
    <s v="HDD"/>
    <x v="7"/>
    <n v="10000"/>
    <n v="13000"/>
    <n v="4"/>
    <n v="40000"/>
    <n v="52000"/>
    <s v="Aarvi Gupta"/>
    <n v="39000"/>
  </r>
  <r>
    <s v="141832"/>
    <x v="11"/>
    <s v="Ramkrishna Das Adhikary"/>
    <s v="16/04/2021"/>
    <s v="Delivered"/>
    <s v="73 TB SSD"/>
    <s v="SSD"/>
    <x v="0"/>
    <n v="10500"/>
    <n v="13650"/>
    <n v="2"/>
    <n v="21000"/>
    <n v="27300"/>
    <s v="Vijay Singh"/>
    <n v="8450"/>
  </r>
  <r>
    <s v="141833"/>
    <x v="12"/>
    <s v="Ranjeet Mandal"/>
    <s v="16/04/2021"/>
    <s v="Shipped"/>
    <s v="Intel i5 12th gen."/>
    <s v="CPU"/>
    <x v="1"/>
    <n v="8500"/>
    <n v="11050"/>
    <n v="3"/>
    <n v="25500"/>
    <n v="33150"/>
    <s v="Aadil Khan"/>
    <n v="33150"/>
  </r>
  <r>
    <s v="141834"/>
    <x v="13"/>
    <s v="Ashwini Adsare"/>
    <s v="16/04/2021"/>
    <s v="Order"/>
    <s v="2GB Graphic Card"/>
    <s v="Graphic Card"/>
    <x v="2"/>
    <n v="7000"/>
    <n v="9100"/>
    <n v="2"/>
    <n v="14000"/>
    <n v="18200"/>
    <s v="Advika Joshi"/>
    <n v="18200"/>
  </r>
  <r>
    <s v="141835"/>
    <x v="14"/>
    <s v="Rajesh Variya"/>
    <s v="16/04/2021"/>
    <s v="Processing"/>
    <s v="76 GB DDR4 Ram"/>
    <s v="RAM"/>
    <x v="3"/>
    <n v="1680"/>
    <n v="2184"/>
    <n v="2"/>
    <n v="3360"/>
    <n v="4368"/>
    <s v="Ajay Sharma"/>
    <n v="25545"/>
  </r>
  <r>
    <s v="141836"/>
    <x v="15"/>
    <s v="Amit Singh"/>
    <s v="16/04/2021"/>
    <s v="Delivered"/>
    <s v="Micro ATX motherboard"/>
    <s v="MotherBoard"/>
    <x v="8"/>
    <n v="6540"/>
    <n v="8502"/>
    <n v="3"/>
    <n v="19620"/>
    <n v="25506"/>
    <s v="Roshan Kumar"/>
    <n v="39780"/>
  </r>
  <r>
    <s v="141837"/>
    <x v="16"/>
    <s v="Vinod Mehta"/>
    <s v="16/04/2021"/>
    <s v="Shipped"/>
    <s v="Gaming Box Cabinet"/>
    <s v="Cabinet"/>
    <x v="5"/>
    <n v="2680"/>
    <n v="3484"/>
    <n v="2"/>
    <n v="5360"/>
    <n v="6968"/>
    <s v="Aarvi Gupta"/>
    <n v="2990"/>
  </r>
  <r>
    <s v="141838"/>
    <x v="17"/>
    <s v="Jignesh Mhatre"/>
    <s v="16/04/2021"/>
    <s v="Order"/>
    <s v="17&quot; LCD Display"/>
    <s v="Monitor"/>
    <x v="0"/>
    <n v="8250"/>
    <n v="10725"/>
    <n v="2"/>
    <n v="16500"/>
    <n v="21450"/>
    <s v="Vijay Singh"/>
    <n v="9750"/>
  </r>
  <r>
    <s v="141839"/>
    <x v="18"/>
    <s v="Rahul Kashyap"/>
    <s v="16/04/2021"/>
    <s v="Processing"/>
    <s v="80 GB DDR4 RAM"/>
    <s v="RAM"/>
    <x v="0"/>
    <n v="2650"/>
    <n v="3445"/>
    <n v="4"/>
    <n v="10600"/>
    <n v="13780"/>
    <s v="Aadil Khan"/>
    <n v="25545"/>
  </r>
  <r>
    <s v="141840"/>
    <x v="19"/>
    <s v="Mohammed Abdul Kaleem"/>
    <s v="16/04/2021"/>
    <s v="Delivered"/>
    <s v="26&quot; LCD Display"/>
    <s v="Monitor"/>
    <x v="9"/>
    <n v="12550"/>
    <n v="16315"/>
    <n v="4"/>
    <n v="50200"/>
    <n v="65260"/>
    <s v="Advika Joshi"/>
    <n v="9750"/>
  </r>
  <r>
    <s v="141841"/>
    <x v="19"/>
    <s v="Chandrakant Kasbe"/>
    <s v="16/04/2021"/>
    <s v="Shipped"/>
    <s v="I7 - intel 12th Generation"/>
    <s v="CPU"/>
    <x v="1"/>
    <n v="14500"/>
    <n v="18850"/>
    <n v="3"/>
    <n v="43500"/>
    <n v="56550"/>
    <s v="Ajay Sharma"/>
    <n v="33150"/>
  </r>
  <r>
    <s v="141842"/>
    <x v="19"/>
    <s v="Rohan Kale"/>
    <s v="16/04/2021"/>
    <s v="Order"/>
    <s v="USB Keyboard"/>
    <s v="Keyboard"/>
    <x v="6"/>
    <n v="800"/>
    <n v="1040"/>
    <n v="3"/>
    <n v="2400"/>
    <n v="3120"/>
    <s v="Roshan Kumar"/>
    <n v="3315"/>
  </r>
  <r>
    <s v="141843"/>
    <x v="19"/>
    <s v="Aniruddha Kekapure"/>
    <s v="16/04/2021"/>
    <s v="Processing"/>
    <s v="Wireless Mouse"/>
    <s v="Mouse"/>
    <x v="0"/>
    <n v="600"/>
    <n v="780"/>
    <n v="1"/>
    <n v="600"/>
    <n v="780"/>
    <s v="Aarvi Gupta"/>
    <n v="1690"/>
  </r>
  <r>
    <s v="141844"/>
    <x v="19"/>
    <s v="Aslam Raza"/>
    <s v="16/04/2021"/>
    <s v="Delivered"/>
    <s v="21&quot; LCD Display"/>
    <s v="Monitor"/>
    <x v="6"/>
    <n v="10500"/>
    <n v="13650"/>
    <n v="1"/>
    <n v="10500"/>
    <n v="13650"/>
    <s v="Vijay Singh"/>
    <n v="9750"/>
  </r>
  <r>
    <s v="141845"/>
    <x v="19"/>
    <s v="Roshan Zameer"/>
    <s v="16/04/2021"/>
    <s v="Shipped"/>
    <s v="74 TB HDD"/>
    <s v="HDD"/>
    <x v="10"/>
    <n v="6500"/>
    <n v="8450"/>
    <n v="4"/>
    <n v="26000"/>
    <n v="33800"/>
    <s v="Aadil Khan"/>
    <n v="39000"/>
  </r>
  <r>
    <s v="141846"/>
    <x v="19"/>
    <s v="Rakesh Kumar Sharma"/>
    <s v="16/04/2021"/>
    <s v="Order"/>
    <s v="329 GB SSD"/>
    <s v="SSD"/>
    <x v="0"/>
    <n v="4500"/>
    <n v="5850"/>
    <n v="2"/>
    <n v="9000"/>
    <n v="11700"/>
    <s v="Advika Joshi"/>
    <n v="8450"/>
  </r>
  <r>
    <s v="141847"/>
    <x v="19"/>
    <s v="Shivanand Sahani"/>
    <s v="17/04/2021"/>
    <s v="Processing"/>
    <s v="Intel i3 11th gen."/>
    <s v="CPU"/>
    <x v="1"/>
    <n v="8500"/>
    <n v="11050"/>
    <n v="2"/>
    <n v="17000"/>
    <n v="22100"/>
    <s v="Ajay Sharma"/>
    <n v="33150"/>
  </r>
  <r>
    <s v="141848"/>
    <x v="19"/>
    <s v="Kunal Patra"/>
    <s v="17/04/2021"/>
    <s v="Delivered"/>
    <s v="4GB Graphic card"/>
    <s v="Graphic Card"/>
    <x v="2"/>
    <n v="12500"/>
    <n v="16250"/>
    <n v="4"/>
    <n v="50000"/>
    <n v="65000"/>
    <s v="Roshan Kumar"/>
    <n v="18200"/>
  </r>
  <r>
    <s v="141849"/>
    <x v="19"/>
    <s v="Bijendra"/>
    <s v="17/04/2021"/>
    <s v="Shipped"/>
    <s v="81 GB DDR4 RAM"/>
    <s v="Computer Case"/>
    <x v="3"/>
    <n v="3500"/>
    <n v="4550"/>
    <n v="1"/>
    <n v="3500"/>
    <n v="4550"/>
    <s v="Aarvi Gupta"/>
    <n v="13650"/>
  </r>
  <r>
    <s v="141850"/>
    <x v="32"/>
    <s v="Kranti Bheke"/>
    <s v="17/04/2021"/>
    <s v="Order"/>
    <s v="BTX motherboard"/>
    <s v="Mouse"/>
    <x v="4"/>
    <n v="4500"/>
    <n v="5850"/>
    <n v="1"/>
    <n v="4500"/>
    <n v="5850"/>
    <s v="Vijay Singh"/>
    <n v="1690"/>
  </r>
  <r>
    <s v="141851"/>
    <x v="0"/>
    <s v="Jagdeep"/>
    <s v="17/04/2021"/>
    <s v="Processing"/>
    <s v="76 Fans Cabinet"/>
    <s v="Cabinet"/>
    <x v="5"/>
    <n v="2100"/>
    <n v="2730"/>
    <n v="2"/>
    <n v="4200"/>
    <n v="5460"/>
    <s v="Aadil Khan"/>
    <n v="2990"/>
  </r>
  <r>
    <s v="141852"/>
    <x v="23"/>
    <s v="Adhir Samal"/>
    <s v="17/04/2021"/>
    <s v="Delivered"/>
    <s v="Wireless Keyboard"/>
    <s v="Keyboard"/>
    <x v="6"/>
    <n v="1150"/>
    <n v="1495"/>
    <n v="1"/>
    <n v="1150"/>
    <n v="1495"/>
    <s v="Advika Joshi"/>
    <n v="3315"/>
  </r>
  <r>
    <s v="141853"/>
    <x v="19"/>
    <s v="Dannana Jhammi"/>
    <s v="17/04/2021"/>
    <s v="Shipped"/>
    <s v="USB Mouse"/>
    <s v="Mouse"/>
    <x v="0"/>
    <n v="350"/>
    <n v="455"/>
    <n v="1"/>
    <n v="350"/>
    <n v="455"/>
    <s v="Ajay Sharma"/>
    <n v="1690"/>
  </r>
  <r>
    <s v="141854"/>
    <x v="19"/>
    <s v="Vipin Kumar"/>
    <s v="17/04/2021"/>
    <s v="Order"/>
    <s v="19&quot; LED Display"/>
    <s v="Monitor"/>
    <x v="6"/>
    <n v="9500"/>
    <n v="12350"/>
    <n v="1"/>
    <n v="9500"/>
    <n v="12350"/>
    <s v="Roshan Kumar"/>
    <n v="9750"/>
  </r>
  <r>
    <s v="141855"/>
    <x v="19"/>
    <s v="Ranjeet Kumar"/>
    <s v="17/04/2021"/>
    <s v="Processing"/>
    <s v="75 TB HDD"/>
    <s v="HDD"/>
    <x v="10"/>
    <n v="10000"/>
    <n v="13000"/>
    <n v="1"/>
    <n v="10000"/>
    <n v="13000"/>
    <s v="Aarvi Gupta"/>
    <n v="39000"/>
  </r>
  <r>
    <s v="141856"/>
    <x v="19"/>
    <s v="Sajal Singhal"/>
    <s v="17/04/2021"/>
    <s v="Delivered"/>
    <s v="585 GB M.2"/>
    <s v="SSD"/>
    <x v="0"/>
    <n v="6500"/>
    <n v="8450"/>
    <n v="4"/>
    <n v="26000"/>
    <n v="33800"/>
    <s v="Vijay Singh"/>
    <n v="8450"/>
  </r>
  <r>
    <s v="141857"/>
    <x v="19"/>
    <s v="Akhilesh Kumar"/>
    <s v="17/04/2021"/>
    <s v="Shipped"/>
    <s v="RYZEN 3rd gen. 3573"/>
    <s v="CPU"/>
    <x v="1"/>
    <n v="8500"/>
    <n v="11050"/>
    <n v="4"/>
    <n v="34000"/>
    <n v="44200"/>
    <s v="Aadil Khan"/>
    <n v="33150"/>
  </r>
  <r>
    <s v="141858"/>
    <x v="19"/>
    <s v="Suvankar Chakraborty"/>
    <s v="18/04/2021"/>
    <s v="Order"/>
    <s v="2GB Graphic Card"/>
    <s v="Graphic Card"/>
    <x v="2"/>
    <n v="7000"/>
    <n v="9100"/>
    <n v="3"/>
    <n v="21000"/>
    <n v="27300"/>
    <s v="Advika Joshi"/>
    <n v="18200"/>
  </r>
  <r>
    <s v="141859"/>
    <x v="19"/>
    <s v="Suvankar Adhikary"/>
    <s v="18/04/2021"/>
    <s v="Processing"/>
    <s v="89 GB DDR4 RAM"/>
    <s v="Computer Case"/>
    <x v="3"/>
    <n v="6550"/>
    <n v="8515"/>
    <n v="3"/>
    <n v="19650"/>
    <n v="25545"/>
    <s v="Ajay Sharma"/>
    <n v="13650"/>
  </r>
  <r>
    <s v="141860"/>
    <x v="19"/>
    <s v="Rahul Kumar Prajapati"/>
    <s v="18/04/2021"/>
    <s v="Delivered"/>
    <s v="Standard ATX motherboard"/>
    <s v="Mouse"/>
    <x v="4"/>
    <n v="7650"/>
    <n v="9945"/>
    <n v="2"/>
    <n v="15300"/>
    <n v="19890"/>
    <s v="Roshan Kumar"/>
    <n v="1690"/>
  </r>
  <r>
    <s v="141861"/>
    <x v="19"/>
    <s v="Sagar Jeur"/>
    <s v="18/04/2021"/>
    <s v="Shipped"/>
    <s v="Compact with 1 Fan"/>
    <s v="Cabinet"/>
    <x v="5"/>
    <n v="1150"/>
    <n v="1495"/>
    <n v="2"/>
    <n v="2300"/>
    <n v="2990"/>
    <s v="Aarvi Gupta"/>
    <n v="2990"/>
  </r>
  <r>
    <s v="141862"/>
    <x v="19"/>
    <s v="Rhushikesh Mane"/>
    <s v="18/04/2021"/>
    <s v="Order"/>
    <s v="USB Backlight Keyboard"/>
    <s v="Keyboard"/>
    <x v="6"/>
    <n v="850"/>
    <n v="1105"/>
    <n v="3"/>
    <n v="2550"/>
    <n v="3315"/>
    <s v="Vijay Singh"/>
    <n v="3315"/>
  </r>
  <r>
    <s v="141863"/>
    <x v="7"/>
    <s v="Ashish Kumar"/>
    <s v="18/04/2021"/>
    <s v="Processing"/>
    <s v="Ergonomic Mouse"/>
    <s v="Mouse"/>
    <x v="0"/>
    <n v="650"/>
    <n v="845"/>
    <n v="2"/>
    <n v="1300"/>
    <n v="1690"/>
    <s v="Aadil Khan"/>
    <n v="1690"/>
  </r>
  <r>
    <s v="141864"/>
    <x v="26"/>
    <s v="Javed Akhter"/>
    <s v="18/04/2021"/>
    <s v="Delivered"/>
    <s v="15&quot; LCD Dsipaly"/>
    <s v="Monitor"/>
    <x v="6"/>
    <n v="7500"/>
    <n v="9750"/>
    <n v="2"/>
    <n v="15000"/>
    <n v="19500"/>
    <s v="Advika Joshi"/>
    <n v="9750"/>
  </r>
  <r>
    <s v="141865"/>
    <x v="27"/>
    <s v="Haridas Balraj"/>
    <s v="18/04/2021"/>
    <s v="Shipped"/>
    <s v="75 TB HDD"/>
    <s v="HDD"/>
    <x v="7"/>
    <n v="10000"/>
    <n v="13000"/>
    <n v="3"/>
    <n v="30000"/>
    <n v="39000"/>
    <s v="Ajay Sharma"/>
    <n v="39000"/>
  </r>
  <r>
    <s v="141866"/>
    <x v="8"/>
    <s v="Kundan Kumar"/>
    <s v="18/04/2021"/>
    <s v="Order"/>
    <s v="74 TB SSD"/>
    <s v="SSD"/>
    <x v="0"/>
    <n v="10500"/>
    <n v="13650"/>
    <n v="4"/>
    <n v="42000"/>
    <n v="54600"/>
    <s v="Roshan Kumar"/>
    <n v="8450"/>
  </r>
  <r>
    <s v="141867"/>
    <x v="9"/>
    <s v="Atif Siddiqui"/>
    <s v="18/04/2021"/>
    <s v="Processing"/>
    <s v="Intel i5 12th gen."/>
    <s v="CPU"/>
    <x v="1"/>
    <n v="8500"/>
    <n v="11050"/>
    <n v="1"/>
    <n v="8500"/>
    <n v="11050"/>
    <s v="Aarvi Gupta"/>
    <n v="33150"/>
  </r>
  <r>
    <s v="141868"/>
    <x v="10"/>
    <s v="Aditya Agarwal"/>
    <s v="18/04/2021"/>
    <s v="Delivered"/>
    <s v="2GB Graphic Card"/>
    <s v="Graphic Card"/>
    <x v="2"/>
    <n v="7000"/>
    <n v="9100"/>
    <n v="3"/>
    <n v="21000"/>
    <n v="27300"/>
    <s v="Vijay Singh"/>
    <n v="18200"/>
  </r>
  <r>
    <s v="141869"/>
    <x v="11"/>
    <s v="Firdoush Jabee"/>
    <s v="18/04/2021"/>
    <s v="Shipped"/>
    <s v="77 GB DDR4 Ram"/>
    <s v="Computer Case"/>
    <x v="3"/>
    <n v="1680"/>
    <n v="2184"/>
    <n v="4"/>
    <n v="6720"/>
    <n v="8736"/>
    <s v="Aadil Khan"/>
    <n v="13650"/>
  </r>
  <r>
    <s v="141870"/>
    <x v="12"/>
    <s v="Jay Prakash Kumar"/>
    <s v="18/04/2021"/>
    <s v="Order"/>
    <s v="Micro ATX motherboard"/>
    <s v="Mouse"/>
    <x v="8"/>
    <n v="6540"/>
    <n v="8502"/>
    <n v="4"/>
    <n v="26160"/>
    <n v="34008"/>
    <s v="Advika Joshi"/>
    <n v="1690"/>
  </r>
  <r>
    <s v="141871"/>
    <x v="13"/>
    <s v="Ashish Pandey"/>
    <s v="18/04/2021"/>
    <s v="Processing"/>
    <s v="Gaming Box Cabinet"/>
    <s v="Cabinet"/>
    <x v="5"/>
    <n v="2680"/>
    <n v="3484"/>
    <n v="2"/>
    <n v="5360"/>
    <n v="6968"/>
    <s v="Ajay Sharma"/>
    <n v="2990"/>
  </r>
  <r>
    <s v="141872"/>
    <x v="14"/>
    <s v="Ajay Sharma"/>
    <s v="18/04/2021"/>
    <s v="Delivered"/>
    <s v="17&quot; LCD Display"/>
    <s v="Monitor"/>
    <x v="0"/>
    <n v="8250"/>
    <n v="10725"/>
    <n v="3"/>
    <n v="24750"/>
    <n v="32175"/>
    <s v="Roshan Kumar"/>
    <n v="9750"/>
  </r>
  <r>
    <s v="141873"/>
    <x v="15"/>
    <s v="Moinuddin Saifi"/>
    <s v="18/04/2021"/>
    <s v="Shipped"/>
    <s v="81 GB DDR4 RAM"/>
    <s v="RAM"/>
    <x v="0"/>
    <n v="2650"/>
    <n v="3445"/>
    <n v="3"/>
    <n v="7950"/>
    <n v="10335"/>
    <s v="Aarvi Gupta"/>
    <n v="25545"/>
  </r>
  <r>
    <s v="141874"/>
    <x v="16"/>
    <s v="Ramkrishna Das Adhikary"/>
    <s v="18/04/2021"/>
    <s v="Order"/>
    <s v="26&quot; LCD Display"/>
    <s v="Monitor"/>
    <x v="9"/>
    <n v="12550"/>
    <n v="16315"/>
    <n v="1"/>
    <n v="12550"/>
    <n v="16315"/>
    <s v="Vijay Singh"/>
    <n v="9750"/>
  </r>
  <r>
    <s v="141875"/>
    <x v="17"/>
    <s v="Ranjeet Mandal"/>
    <s v="18/04/2021"/>
    <s v="Processing"/>
    <s v="I7 - intel 12th Generation"/>
    <s v="CPU"/>
    <x v="1"/>
    <n v="14500"/>
    <n v="18850"/>
    <n v="3"/>
    <n v="43500"/>
    <n v="56550"/>
    <s v="Aadil Khan"/>
    <n v="33150"/>
  </r>
  <r>
    <s v="141876"/>
    <x v="18"/>
    <s v="Ashwini Adsare"/>
    <s v="18/04/2021"/>
    <s v="Delivered"/>
    <s v="USB Keyboard"/>
    <s v="Keyboard"/>
    <x v="6"/>
    <n v="800"/>
    <n v="1040"/>
    <n v="4"/>
    <n v="3200"/>
    <n v="4160"/>
    <s v="Advika Joshi"/>
    <n v="3315"/>
  </r>
  <r>
    <s v="141877"/>
    <x v="19"/>
    <s v="Rajesh Variya"/>
    <s v="18/04/2021"/>
    <s v="Shipped"/>
    <s v="Wireless Mouse"/>
    <s v="Mouse"/>
    <x v="0"/>
    <n v="600"/>
    <n v="780"/>
    <n v="3"/>
    <n v="1800"/>
    <n v="2340"/>
    <s v="Ajay Sharma"/>
    <n v="1690"/>
  </r>
  <r>
    <s v="141878"/>
    <x v="20"/>
    <s v="Amit Singh"/>
    <s v="18/04/2021"/>
    <s v="Order"/>
    <s v="21&quot; LCD Display"/>
    <s v="Monitor"/>
    <x v="6"/>
    <n v="10500"/>
    <n v="13650"/>
    <n v="1"/>
    <n v="10500"/>
    <n v="13650"/>
    <s v="Roshan Kumar"/>
    <n v="9750"/>
  </r>
  <r>
    <s v="141879"/>
    <x v="16"/>
    <s v="Vinod Mehta"/>
    <s v="18/04/2021"/>
    <s v="Processing"/>
    <s v="75 TB HDD"/>
    <s v="HDD"/>
    <x v="10"/>
    <n v="6500"/>
    <n v="8450"/>
    <n v="3"/>
    <n v="19500"/>
    <n v="25350"/>
    <s v="Aarvi Gupta"/>
    <n v="39000"/>
  </r>
  <r>
    <s v="141880"/>
    <x v="17"/>
    <s v="Jignesh Mhatre"/>
    <s v="18/04/2021"/>
    <s v="Delivered"/>
    <s v="330 GB SSD"/>
    <s v="SSD"/>
    <x v="0"/>
    <n v="4500"/>
    <n v="5850"/>
    <n v="1"/>
    <n v="4500"/>
    <n v="5850"/>
    <s v="Vijay Singh"/>
    <n v="8450"/>
  </r>
  <r>
    <s v="141881"/>
    <x v="21"/>
    <s v="Rahul Kashyap"/>
    <s v="19/04/2021"/>
    <s v="Shipped"/>
    <s v="Intel i3 11th gen."/>
    <s v="CPU"/>
    <x v="1"/>
    <n v="8500"/>
    <n v="11050"/>
    <n v="4"/>
    <n v="34000"/>
    <n v="44200"/>
    <s v="Aadil Khan"/>
    <n v="33150"/>
  </r>
  <r>
    <s v="141882"/>
    <x v="22"/>
    <s v="Mohammed Abdul Kaleem"/>
    <s v="20/04/2021"/>
    <s v="Order"/>
    <s v="4GB Graphic card"/>
    <s v="Graphic Card"/>
    <x v="2"/>
    <n v="12500"/>
    <n v="16250"/>
    <n v="3"/>
    <n v="37500"/>
    <n v="48750"/>
    <s v="Advika Joshi"/>
    <n v="18200"/>
  </r>
  <r>
    <s v="141883"/>
    <x v="28"/>
    <s v="Chandrakant Kasbe"/>
    <s v="21/04/2021"/>
    <s v="Processing"/>
    <s v="82 GB DDR4 RAM"/>
    <s v="NIC"/>
    <x v="3"/>
    <n v="3500"/>
    <n v="4550"/>
    <n v="3"/>
    <n v="10500"/>
    <n v="13650"/>
    <s v="Ajay Sharma"/>
    <n v="9100"/>
  </r>
  <r>
    <s v="141884"/>
    <x v="29"/>
    <s v="Rohan Kale"/>
    <s v="22/04/2021"/>
    <s v="Delivered"/>
    <s v="BTX motherboard"/>
    <s v="Printer"/>
    <x v="4"/>
    <n v="4500"/>
    <n v="5850"/>
    <n v="3"/>
    <n v="13500"/>
    <n v="17550"/>
    <s v="Roshan Kumar"/>
    <n v="11700"/>
  </r>
  <r>
    <s v="141885"/>
    <x v="30"/>
    <s v="Aniruddha Kekapure"/>
    <s v="23/04/2021"/>
    <s v="Shipped"/>
    <s v="77 Fans Cabinet"/>
    <s v="Cabinet"/>
    <x v="5"/>
    <n v="2100"/>
    <n v="2730"/>
    <n v="3"/>
    <n v="6300"/>
    <n v="8190"/>
    <s v="Aarvi Gupta"/>
    <n v="2990"/>
  </r>
  <r>
    <s v="141886"/>
    <x v="31"/>
    <s v="Aslam Raza"/>
    <s v="24/04/2021"/>
    <s v="Order"/>
    <s v="Wireless Keyboard"/>
    <s v="Keyboard"/>
    <x v="6"/>
    <n v="1150"/>
    <n v="1495"/>
    <n v="4"/>
    <n v="4600"/>
    <n v="5980"/>
    <s v="Vijay Singh"/>
    <n v="3315"/>
  </r>
  <r>
    <s v="141887"/>
    <x v="32"/>
    <s v="Roshan Zameer"/>
    <s v="25/04/2021"/>
    <s v="Processing"/>
    <s v="USB Mouse"/>
    <s v="Mouse"/>
    <x v="0"/>
    <n v="350"/>
    <n v="455"/>
    <n v="1"/>
    <n v="350"/>
    <n v="455"/>
    <s v="Aadil Khan"/>
    <n v="1690"/>
  </r>
  <r>
    <s v="141888"/>
    <x v="0"/>
    <s v="Rakesh Kumar Sharma"/>
    <s v="26/04/2021"/>
    <s v="Delivered"/>
    <s v="19&quot; LED Display"/>
    <s v="Monitor"/>
    <x v="6"/>
    <n v="9500"/>
    <n v="12350"/>
    <n v="4"/>
    <n v="38000"/>
    <n v="49400"/>
    <s v="Advika Joshi"/>
    <n v="9750"/>
  </r>
  <r>
    <s v="141889"/>
    <x v="23"/>
    <s v="Shivanand Sahani"/>
    <s v="26/04/2021"/>
    <s v="Shipped"/>
    <s v="76 TB HDD"/>
    <s v="HDD"/>
    <x v="10"/>
    <n v="10000"/>
    <n v="13000"/>
    <n v="1"/>
    <n v="10000"/>
    <n v="13000"/>
    <s v="Ajay Sharma"/>
    <n v="39000"/>
  </r>
  <r>
    <s v="141890"/>
    <x v="1"/>
    <s v="Kunal Patra"/>
    <s v="26/04/2021"/>
    <s v="Order"/>
    <s v="586 GB M.2"/>
    <s v="SSD"/>
    <x v="0"/>
    <n v="6500"/>
    <n v="8450"/>
    <n v="4"/>
    <n v="26000"/>
    <n v="33800"/>
    <s v="Roshan Kumar"/>
    <n v="8450"/>
  </r>
  <r>
    <s v="141891"/>
    <x v="2"/>
    <s v="Bijendra"/>
    <s v="26/04/2021"/>
    <s v="Processing"/>
    <s v="RYZEN 3rd gen. 3574"/>
    <s v="CPU"/>
    <x v="1"/>
    <n v="8500"/>
    <n v="11050"/>
    <n v="2"/>
    <n v="17000"/>
    <n v="22100"/>
    <s v="Aarvi Gupta"/>
    <n v="33150"/>
  </r>
  <r>
    <s v="141892"/>
    <x v="3"/>
    <s v="Kranti Bheke"/>
    <s v="26/04/2021"/>
    <s v="Delivered"/>
    <s v="2GB Graphic Card"/>
    <s v="Graphic Card"/>
    <x v="2"/>
    <n v="7000"/>
    <n v="9100"/>
    <n v="3"/>
    <n v="21000"/>
    <n v="27300"/>
    <s v="Vijay Singh"/>
    <n v="18200"/>
  </r>
  <r>
    <s v="141893"/>
    <x v="24"/>
    <s v="Jagdeep"/>
    <s v="26/04/2021"/>
    <s v="Shipped"/>
    <s v="90 GB DDR4 RAM"/>
    <s v="NIC"/>
    <x v="3"/>
    <n v="6550"/>
    <n v="8515"/>
    <n v="3"/>
    <n v="19650"/>
    <n v="25545"/>
    <s v="Aadil Khan"/>
    <n v="9100"/>
  </r>
  <r>
    <s v="141894"/>
    <x v="25"/>
    <s v="Adhir Samal"/>
    <s v="26/04/2021"/>
    <s v="Order"/>
    <s v="Standard ATX motherboard"/>
    <s v="Printer"/>
    <x v="4"/>
    <n v="7650"/>
    <n v="9945"/>
    <n v="3"/>
    <n v="22950"/>
    <n v="29835"/>
    <s v="Advika Joshi"/>
    <n v="11700"/>
  </r>
  <r>
    <s v="141895"/>
    <x v="19"/>
    <s v="Dannana Jhammi"/>
    <s v="26/04/2021"/>
    <s v="Processing"/>
    <s v="Compact with 1 Fan"/>
    <s v="Cabinet"/>
    <x v="5"/>
    <n v="1150"/>
    <n v="1495"/>
    <n v="4"/>
    <n v="4600"/>
    <n v="5980"/>
    <s v="Ajay Sharma"/>
    <n v="2990"/>
  </r>
  <r>
    <s v="141896"/>
    <x v="19"/>
    <s v="Vipin Kumar"/>
    <s v="26/04/2021"/>
    <s v="Delivered"/>
    <s v="USB Backlight Keyboard"/>
    <s v="Keyboard"/>
    <x v="6"/>
    <n v="850"/>
    <n v="1105"/>
    <n v="4"/>
    <n v="3400"/>
    <n v="4420"/>
    <s v="Roshan Kumar"/>
    <n v="3315"/>
  </r>
  <r>
    <s v="141897"/>
    <x v="19"/>
    <s v="Ranjeet Kumar"/>
    <s v="26/04/2021"/>
    <s v="Shipped"/>
    <s v="Ergonomic Mouse"/>
    <s v="Mouse"/>
    <x v="0"/>
    <n v="650"/>
    <n v="845"/>
    <n v="2"/>
    <n v="1300"/>
    <n v="1690"/>
    <s v="Aarvi Gupta"/>
    <n v="1690"/>
  </r>
  <r>
    <s v="141898"/>
    <x v="19"/>
    <s v="Sajal Singhal"/>
    <s v="26/04/2021"/>
    <s v="Order"/>
    <s v="15&quot; LCD Dsipaly"/>
    <s v="Monitor"/>
    <x v="6"/>
    <n v="7500"/>
    <n v="9750"/>
    <n v="1"/>
    <n v="7500"/>
    <n v="9750"/>
    <s v="Vijay Singh"/>
    <n v="9750"/>
  </r>
  <r>
    <s v="141899"/>
    <x v="19"/>
    <s v="Akhilesh Kumar"/>
    <s v="26/04/2021"/>
    <s v="Processing"/>
    <s v="76 TB HDD"/>
    <s v="HDD"/>
    <x v="7"/>
    <n v="10000"/>
    <n v="13000"/>
    <n v="4"/>
    <n v="40000"/>
    <n v="52000"/>
    <s v="Aadil Khan"/>
    <n v="39000"/>
  </r>
  <r>
    <s v="141900"/>
    <x v="19"/>
    <s v="Suvankar Chakraborty"/>
    <s v="26/04/2021"/>
    <s v="Delivered"/>
    <s v="75 TB SSD"/>
    <s v="SSD"/>
    <x v="0"/>
    <n v="10500"/>
    <n v="13650"/>
    <n v="2"/>
    <n v="21000"/>
    <n v="27300"/>
    <s v="Advika Joshi"/>
    <n v="8450"/>
  </r>
  <r>
    <s v="141901"/>
    <x v="19"/>
    <s v="Suvankar Adhikary"/>
    <s v="26/04/2021"/>
    <s v="Shipped"/>
    <s v="Intel i5 12th gen."/>
    <s v="CPU"/>
    <x v="1"/>
    <n v="8500"/>
    <n v="11050"/>
    <n v="1"/>
    <n v="8500"/>
    <n v="11050"/>
    <s v="Ajay Sharma"/>
    <n v="33150"/>
  </r>
  <r>
    <s v="141902"/>
    <x v="19"/>
    <s v="Rahul Kumar Prajapati"/>
    <s v="26/04/2021"/>
    <s v="Order"/>
    <s v="2GB Graphic Card"/>
    <s v="Graphic Card"/>
    <x v="2"/>
    <n v="7000"/>
    <n v="9100"/>
    <n v="4"/>
    <n v="28000"/>
    <n v="36400"/>
    <s v="Roshan Kumar"/>
    <n v="18200"/>
  </r>
  <r>
    <s v="141903"/>
    <x v="19"/>
    <s v="Sagar Jeur"/>
    <s v="26/04/2021"/>
    <s v="Processing"/>
    <s v="78 GB DDR4 Ram"/>
    <s v="NIC"/>
    <x v="3"/>
    <n v="1680"/>
    <n v="2184"/>
    <n v="4"/>
    <n v="6720"/>
    <n v="8736"/>
    <s v="Aarvi Gupta"/>
    <n v="9100"/>
  </r>
  <r>
    <s v="141904"/>
    <x v="19"/>
    <s v="Rhushikesh Mane"/>
    <s v="26/04/2021"/>
    <s v="Delivered"/>
    <s v="Micro ATX motherboard"/>
    <s v="Printer"/>
    <x v="8"/>
    <n v="6540"/>
    <n v="8502"/>
    <n v="1"/>
    <n v="6540"/>
    <n v="8502"/>
    <s v="Vijay Singh"/>
    <n v="11700"/>
  </r>
  <r>
    <s v="141905"/>
    <x v="10"/>
    <s v="Ashish Kumar"/>
    <s v="26/04/2021"/>
    <s v="Shipped"/>
    <s v="Gaming Box Cabinet"/>
    <s v="Cabinet"/>
    <x v="5"/>
    <n v="2680"/>
    <n v="3484"/>
    <n v="4"/>
    <n v="10720"/>
    <n v="13936"/>
    <s v="Aadil Khan"/>
    <n v="2990"/>
  </r>
  <r>
    <s v="141906"/>
    <x v="11"/>
    <s v="Javed Akhter"/>
    <s v="26/04/2021"/>
    <s v="Order"/>
    <s v="17&quot; LCD Display"/>
    <s v="Monitor"/>
    <x v="0"/>
    <n v="8250"/>
    <n v="10725"/>
    <n v="4"/>
    <n v="33000"/>
    <n v="42900"/>
    <s v="Advika Joshi"/>
    <n v="9750"/>
  </r>
  <r>
    <s v="141907"/>
    <x v="19"/>
    <s v="Haridas Balraj"/>
    <s v="26/04/2021"/>
    <s v="Processing"/>
    <s v="82 GB DDR4 RAM"/>
    <s v="RAM"/>
    <x v="0"/>
    <n v="2650"/>
    <n v="3445"/>
    <n v="3"/>
    <n v="7950"/>
    <n v="10335"/>
    <s v="Ajay Sharma"/>
    <n v="25545"/>
  </r>
  <r>
    <s v="141908"/>
    <x v="19"/>
    <s v="Kundan Kumar"/>
    <s v="27/04/2021"/>
    <s v="Delivered"/>
    <s v="26&quot; LCD Display"/>
    <s v="Monitor"/>
    <x v="9"/>
    <n v="12550"/>
    <n v="16315"/>
    <n v="2"/>
    <n v="25100"/>
    <n v="32630"/>
    <s v="Roshan Kumar"/>
    <n v="9750"/>
  </r>
  <r>
    <s v="141909"/>
    <x v="19"/>
    <s v="Atif Siddiqui"/>
    <s v="27/04/2021"/>
    <s v="Shipped"/>
    <s v="I7 - intel 12th Generation"/>
    <s v="CPU"/>
    <x v="1"/>
    <n v="14500"/>
    <n v="18850"/>
    <n v="3"/>
    <n v="43500"/>
    <n v="56550"/>
    <s v="Aarvi Gupta"/>
    <n v="33150"/>
  </r>
  <r>
    <s v="141910"/>
    <x v="19"/>
    <s v="Aditya Agarwal"/>
    <s v="27/04/2021"/>
    <s v="Order"/>
    <s v="USB Keyboard"/>
    <s v="Keyboard"/>
    <x v="6"/>
    <n v="800"/>
    <n v="1040"/>
    <n v="3"/>
    <n v="2400"/>
    <n v="3120"/>
    <s v="Vijay Singh"/>
    <n v="3315"/>
  </r>
  <r>
    <s v="141911"/>
    <x v="19"/>
    <s v="Firdoush Jabee"/>
    <s v="27/04/2021"/>
    <s v="Processing"/>
    <s v="Wireless Mouse"/>
    <s v="Mouse"/>
    <x v="0"/>
    <n v="600"/>
    <n v="780"/>
    <n v="4"/>
    <n v="2400"/>
    <n v="3120"/>
    <s v="Aadil Khan"/>
    <n v="1690"/>
  </r>
  <r>
    <s v="141912"/>
    <x v="19"/>
    <s v="Jay Prakash Kumar"/>
    <s v="27/04/2021"/>
    <s v="Delivered"/>
    <s v="21&quot; LCD Display"/>
    <s v="Monitor"/>
    <x v="6"/>
    <n v="10500"/>
    <n v="13650"/>
    <n v="3"/>
    <n v="31500"/>
    <n v="40950"/>
    <s v="Advika Joshi"/>
    <n v="9750"/>
  </r>
  <r>
    <s v="141913"/>
    <x v="19"/>
    <s v="Ashish Pandey"/>
    <s v="27/04/2021"/>
    <s v="Shipped"/>
    <s v="76 TB HDD"/>
    <s v="HDD"/>
    <x v="10"/>
    <n v="6500"/>
    <n v="8450"/>
    <n v="2"/>
    <n v="13000"/>
    <n v="16900"/>
    <s v="Ajay Sharma"/>
    <n v="39000"/>
  </r>
  <r>
    <s v="141914"/>
    <x v="19"/>
    <s v="Ajay Sharma"/>
    <s v="27/04/2021"/>
    <s v="Order"/>
    <s v="331 GB SSD"/>
    <s v="SSD"/>
    <x v="0"/>
    <n v="4500"/>
    <n v="5850"/>
    <n v="3"/>
    <n v="13500"/>
    <n v="17550"/>
    <s v="Roshan Kumar"/>
    <n v="8450"/>
  </r>
  <r>
    <s v="141915"/>
    <x v="19"/>
    <s v="Moinuddin Saifi"/>
    <s v="27/04/2021"/>
    <s v="Processing"/>
    <s v="Intel i3 11th gen."/>
    <s v="CPU"/>
    <x v="1"/>
    <n v="8500"/>
    <n v="11050"/>
    <n v="2"/>
    <n v="17000"/>
    <n v="22100"/>
    <s v="Aarvi Gupta"/>
    <n v="33150"/>
  </r>
  <r>
    <s v="141916"/>
    <x v="19"/>
    <s v="Ramkrishna Das Adhikary"/>
    <s v="27/04/2021"/>
    <s v="Delivered"/>
    <s v="4GB Graphic card"/>
    <s v="Graphic Card"/>
    <x v="2"/>
    <n v="12500"/>
    <n v="16250"/>
    <n v="3"/>
    <n v="37500"/>
    <n v="48750"/>
    <s v="Vijay Singh"/>
    <n v="18200"/>
  </r>
  <r>
    <s v="141917"/>
    <x v="17"/>
    <s v="Ranjeet Mandal"/>
    <s v="27/04/2021"/>
    <s v="Shipped"/>
    <s v="83 GB DDR4 RAM"/>
    <s v="RAM"/>
    <x v="3"/>
    <n v="3500"/>
    <n v="4550"/>
    <n v="1"/>
    <n v="3500"/>
    <n v="4550"/>
    <s v="Aadil Khan"/>
    <n v="25545"/>
  </r>
  <r>
    <s v="141918"/>
    <x v="21"/>
    <s v="Ashwini Adsare"/>
    <s v="27/04/2021"/>
    <s v="Order"/>
    <s v="BTX motherboard"/>
    <s v="MotherBoard"/>
    <x v="4"/>
    <n v="4500"/>
    <n v="5850"/>
    <n v="4"/>
    <n v="18000"/>
    <n v="23400"/>
    <s v="Advika Joshi"/>
    <n v="39780"/>
  </r>
  <r>
    <s v="141919"/>
    <x v="22"/>
    <s v="Rajesh Variya"/>
    <s v="27/04/2021"/>
    <s v="Processing"/>
    <s v="78 Fans Cabinet"/>
    <s v="Cabinet"/>
    <x v="5"/>
    <n v="2100"/>
    <n v="2730"/>
    <n v="1"/>
    <n v="2100"/>
    <n v="2730"/>
    <s v="Ajay Sharma"/>
    <n v="2990"/>
  </r>
  <r>
    <s v="141920"/>
    <x v="28"/>
    <s v="Amit Singh"/>
    <s v="27/04/2021"/>
    <s v="Delivered"/>
    <s v="Wireless Keyboard"/>
    <s v="Keyboard"/>
    <x v="6"/>
    <n v="1150"/>
    <n v="1495"/>
    <n v="4"/>
    <n v="4600"/>
    <n v="5980"/>
    <s v="Roshan Kumar"/>
    <n v="3315"/>
  </r>
  <r>
    <s v="141921"/>
    <x v="29"/>
    <s v="Vinod Mehta"/>
    <s v="27/04/2021"/>
    <s v="Shipped"/>
    <s v="USB Mouse"/>
    <s v="Mouse"/>
    <x v="0"/>
    <n v="350"/>
    <n v="455"/>
    <n v="3"/>
    <n v="1050"/>
    <n v="1365"/>
    <s v="Aarvi Gupta"/>
    <n v="1690"/>
  </r>
  <r>
    <s v="141922"/>
    <x v="30"/>
    <s v="Jignesh Mhatre"/>
    <s v="27/04/2021"/>
    <s v="Order"/>
    <s v="19&quot; LED Display"/>
    <s v="Monitor"/>
    <x v="6"/>
    <n v="9500"/>
    <n v="12350"/>
    <n v="3"/>
    <n v="28500"/>
    <n v="37050"/>
    <s v="Vijay Singh"/>
    <n v="9750"/>
  </r>
  <r>
    <s v="141923"/>
    <x v="31"/>
    <s v="Rahul Kashyap"/>
    <s v="27/04/2021"/>
    <s v="Processing"/>
    <s v="77 TB HDD"/>
    <s v="HDD"/>
    <x v="10"/>
    <n v="10000"/>
    <n v="13000"/>
    <n v="3"/>
    <n v="30000"/>
    <n v="39000"/>
    <s v="Aadil Khan"/>
    <n v="39000"/>
  </r>
  <r>
    <s v="141924"/>
    <x v="32"/>
    <s v="Mohammed Abdul Kaleem"/>
    <s v="27/04/2021"/>
    <s v="Delivered"/>
    <s v="587 GB M.2"/>
    <s v="SSD"/>
    <x v="0"/>
    <n v="6500"/>
    <n v="8450"/>
    <n v="2"/>
    <n v="13000"/>
    <n v="16900"/>
    <s v="Advika Joshi"/>
    <n v="8450"/>
  </r>
  <r>
    <s v="141925"/>
    <x v="0"/>
    <s v="Chandrakant Kasbe"/>
    <s v="28/04/2021"/>
    <s v="Shipped"/>
    <s v="RYZEN 3rd gen. 3575"/>
    <s v="CPU"/>
    <x v="1"/>
    <n v="8500"/>
    <n v="11050"/>
    <n v="1"/>
    <n v="8500"/>
    <n v="11050"/>
    <s v="Ajay Sharma"/>
    <n v="33150"/>
  </r>
  <r>
    <s v="141926"/>
    <x v="19"/>
    <s v="Rohan Kale"/>
    <s v="29/04/2021"/>
    <s v="Order"/>
    <s v="2GB Graphic Card"/>
    <s v="Graphic Card"/>
    <x v="2"/>
    <n v="7000"/>
    <n v="9100"/>
    <n v="3"/>
    <n v="21000"/>
    <n v="27300"/>
    <s v="Roshan Kumar"/>
    <n v="18200"/>
  </r>
  <r>
    <s v="141927"/>
    <x v="19"/>
    <s v="Aniruddha Kekapure"/>
    <s v="30/04/2021"/>
    <s v="Processing"/>
    <s v="91 GB DDR4 RAM"/>
    <s v="RAM"/>
    <x v="3"/>
    <n v="6550"/>
    <n v="8515"/>
    <n v="1"/>
    <n v="6550"/>
    <n v="8515"/>
    <s v="Aarvi Gupta"/>
    <n v="25545"/>
  </r>
  <r>
    <s v="141928"/>
    <x v="19"/>
    <s v="Aslam Raza"/>
    <s v="30/04/2021"/>
    <s v="Delivered"/>
    <s v="Standard ATX motherboard"/>
    <s v="MotherBoard"/>
    <x v="4"/>
    <n v="7650"/>
    <n v="9945"/>
    <n v="3"/>
    <n v="22950"/>
    <n v="29835"/>
    <s v="Vijay Singh"/>
    <n v="39780"/>
  </r>
  <r>
    <s v="141929"/>
    <x v="19"/>
    <s v="Roshan Zameer"/>
    <s v="30/04/2021"/>
    <s v="Shipped"/>
    <s v="Compact with 1 Fan"/>
    <s v="Cabinet"/>
    <x v="5"/>
    <n v="1150"/>
    <n v="1495"/>
    <n v="1"/>
    <n v="1150"/>
    <n v="1495"/>
    <s v="Aadil Khan"/>
    <n v="2990"/>
  </r>
  <r>
    <s v="141930"/>
    <x v="19"/>
    <s v="Rakesh Kumar Sharma"/>
    <s v="30/04/2021"/>
    <s v="Order"/>
    <s v="USB Backlight Keyboard"/>
    <s v="Keyboard"/>
    <x v="6"/>
    <n v="850"/>
    <n v="1105"/>
    <n v="4"/>
    <n v="3400"/>
    <n v="4420"/>
    <s v="Advika Joshi"/>
    <n v="3315"/>
  </r>
  <r>
    <s v="141931"/>
    <x v="19"/>
    <s v="Shivanand Sahani"/>
    <s v="30/04/2021"/>
    <s v="Processing"/>
    <s v="Ergonomic Mouse"/>
    <s v="Mouse"/>
    <x v="0"/>
    <n v="650"/>
    <n v="845"/>
    <n v="1"/>
    <n v="650"/>
    <n v="845"/>
    <s v="Ajay Sharma"/>
    <n v="1690"/>
  </r>
  <r>
    <s v="141932"/>
    <x v="19"/>
    <s v="Kunal Patra"/>
    <s v="30/04/2021"/>
    <s v="Delivered"/>
    <s v="15&quot; LCD Dsipaly"/>
    <s v="Monitor"/>
    <x v="6"/>
    <n v="7500"/>
    <n v="9750"/>
    <n v="1"/>
    <n v="7500"/>
    <n v="9750"/>
    <s v="Roshan Kumar"/>
    <n v="9750"/>
  </r>
  <r>
    <s v="141933"/>
    <x v="19"/>
    <s v="Bijendra"/>
    <s v="30/04/2021"/>
    <s v="Shipped"/>
    <s v="77 TB HDD"/>
    <s v="HDD"/>
    <x v="7"/>
    <n v="10000"/>
    <n v="13000"/>
    <n v="3"/>
    <n v="30000"/>
    <n v="39000"/>
    <s v="Aarvi Gupta"/>
    <n v="39000"/>
  </r>
  <r>
    <s v="141934"/>
    <x v="19"/>
    <s v="Kranti Bheke"/>
    <s v="30/04/2021"/>
    <s v="Order"/>
    <s v="76 TB SSD"/>
    <s v="SSD"/>
    <x v="0"/>
    <n v="10500"/>
    <n v="13650"/>
    <n v="1"/>
    <n v="10500"/>
    <n v="13650"/>
    <s v="Vijay Singh"/>
    <n v="8450"/>
  </r>
  <r>
    <s v="141935"/>
    <x v="19"/>
    <s v="Jagdeep"/>
    <s v="30/04/2021"/>
    <s v="Processing"/>
    <s v="Intel i5 12th gen."/>
    <s v="CPU"/>
    <x v="1"/>
    <n v="8500"/>
    <n v="11050"/>
    <n v="1"/>
    <n v="8500"/>
    <n v="11050"/>
    <s v="Aadil Khan"/>
    <n v="33150"/>
  </r>
  <r>
    <s v="141936"/>
    <x v="6"/>
    <s v="Adhir Samal"/>
    <s v="30/04/2021"/>
    <s v="Delivered"/>
    <s v="2GB Graphic Card"/>
    <s v="Graphic Card"/>
    <x v="2"/>
    <n v="7000"/>
    <n v="9100"/>
    <n v="4"/>
    <n v="28000"/>
    <n v="36400"/>
    <s v="Advika Joshi"/>
    <n v="18200"/>
  </r>
  <r>
    <s v="141937"/>
    <x v="7"/>
    <s v="Dannana Jhammi"/>
    <s v="30/04/2021"/>
    <s v="Shipped"/>
    <s v="79 GB DDR4 Ram"/>
    <s v="RAM"/>
    <x v="3"/>
    <n v="1680"/>
    <n v="2184"/>
    <n v="2"/>
    <n v="3360"/>
    <n v="4368"/>
    <s v="Ajay Sharma"/>
    <n v="25545"/>
  </r>
  <r>
    <s v="141938"/>
    <x v="26"/>
    <s v="Vipin Kumar"/>
    <s v="30/04/2021"/>
    <s v="Order"/>
    <s v="Micro ATX motherboard"/>
    <s v="MotherBoard"/>
    <x v="8"/>
    <n v="6540"/>
    <n v="8502"/>
    <n v="4"/>
    <n v="26160"/>
    <n v="34008"/>
    <s v="Roshan Kumar"/>
    <n v="39780"/>
  </r>
  <r>
    <s v="141939"/>
    <x v="27"/>
    <s v="Ranjeet Kumar"/>
    <s v="30/04/2021"/>
    <s v="Processing"/>
    <s v="Gaming Box Cabinet"/>
    <s v="Cabinet"/>
    <x v="5"/>
    <n v="2680"/>
    <n v="3484"/>
    <n v="4"/>
    <n v="10720"/>
    <n v="13936"/>
    <s v="Aarvi Gupta"/>
    <n v="2990"/>
  </r>
  <r>
    <s v="141940"/>
    <x v="8"/>
    <s v="Sajal Singhal"/>
    <s v="30/04/2021"/>
    <s v="Delivered"/>
    <s v="17&quot; LCD Display"/>
    <s v="Monitor"/>
    <x v="0"/>
    <n v="8250"/>
    <n v="10725"/>
    <n v="2"/>
    <n v="16500"/>
    <n v="21450"/>
    <s v="Vijay Singh"/>
    <n v="9750"/>
  </r>
  <r>
    <s v="141941"/>
    <x v="9"/>
    <s v="Akhilesh Kumar"/>
    <s v="30/04/2021"/>
    <s v="Shipped"/>
    <s v="83 GB DDR4 RAM"/>
    <s v="RAM"/>
    <x v="0"/>
    <n v="2650"/>
    <n v="3445"/>
    <n v="4"/>
    <n v="10600"/>
    <n v="13780"/>
    <s v="Aadil Khan"/>
    <n v="25545"/>
  </r>
  <r>
    <s v="141942"/>
    <x v="10"/>
    <s v="Suvankar Chakraborty"/>
    <s v="30/04/2021"/>
    <s v="Order"/>
    <s v="26&quot; LCD Display"/>
    <s v="Monitor"/>
    <x v="9"/>
    <n v="12550"/>
    <n v="16315"/>
    <n v="4"/>
    <n v="50200"/>
    <n v="65260"/>
    <s v="Advika Joshi"/>
    <n v="9750"/>
  </r>
  <r>
    <s v="141943"/>
    <x v="11"/>
    <s v="Suvankar Adhikary"/>
    <s v="30/04/2021"/>
    <s v="Processing"/>
    <s v="I7 - intel 12th Generation"/>
    <s v="CPU"/>
    <x v="1"/>
    <n v="14500"/>
    <n v="18850"/>
    <n v="2"/>
    <n v="29000"/>
    <n v="37700"/>
    <s v="Ajay Sharma"/>
    <n v="33150"/>
  </r>
  <r>
    <s v="141944"/>
    <x v="12"/>
    <s v="Rahul Kumar Prajapati"/>
    <s v="30/04/2021"/>
    <s v="Delivered"/>
    <s v="USB Keyboard"/>
    <s v="Keyboard"/>
    <x v="6"/>
    <n v="800"/>
    <n v="1040"/>
    <n v="1"/>
    <n v="800"/>
    <n v="1040"/>
    <s v="Roshan Kumar"/>
    <n v="3315"/>
  </r>
  <r>
    <s v="141945"/>
    <x v="13"/>
    <s v="Sagar Jeur"/>
    <s v="30/04/2021"/>
    <s v="Shipped"/>
    <s v="Wireless Mouse"/>
    <s v="Mouse"/>
    <x v="0"/>
    <n v="600"/>
    <n v="780"/>
    <n v="1"/>
    <n v="600"/>
    <n v="780"/>
    <s v="Aarvi Gupta"/>
    <n v="1690"/>
  </r>
  <r>
    <s v="141946"/>
    <x v="14"/>
    <s v="Rhushikesh Mane"/>
    <s v="30/04/2021"/>
    <s v="Order"/>
    <s v="21&quot; LCD Display"/>
    <s v="Monitor"/>
    <x v="6"/>
    <n v="10500"/>
    <n v="13650"/>
    <n v="2"/>
    <n v="21000"/>
    <n v="27300"/>
    <s v="Vijay Singh"/>
    <n v="9750"/>
  </r>
  <r>
    <s v="141947"/>
    <x v="15"/>
    <s v="Ashish Kumar"/>
    <s v="30/04/2021"/>
    <s v="Processing"/>
    <s v="77 TB HDD"/>
    <s v="HDD"/>
    <x v="10"/>
    <n v="6500"/>
    <n v="8450"/>
    <n v="4"/>
    <n v="26000"/>
    <n v="33800"/>
    <s v="Aadil Khan"/>
    <n v="39000"/>
  </r>
  <r>
    <s v="141948"/>
    <x v="19"/>
    <s v="Javed Akhter"/>
    <s v="30/04/2021"/>
    <s v="Delivered"/>
    <s v="332 GB SSD"/>
    <s v="SSD"/>
    <x v="0"/>
    <n v="4500"/>
    <n v="5850"/>
    <n v="1"/>
    <n v="4500"/>
    <n v="5850"/>
    <s v="Advika Joshi"/>
    <n v="8450"/>
  </r>
  <r>
    <s v="141949"/>
    <x v="19"/>
    <s v="Haridas Balraj"/>
    <s v="30/04/2021"/>
    <s v="Shipped"/>
    <s v="Intel i3 11th gen."/>
    <s v="CPU"/>
    <x v="1"/>
    <n v="8500"/>
    <n v="11050"/>
    <n v="3"/>
    <n v="25500"/>
    <n v="33150"/>
    <s v="Ajay Sharma"/>
    <n v="33150"/>
  </r>
  <r>
    <s v="141950"/>
    <x v="19"/>
    <s v="Kundan Kumar"/>
    <s v="30/04/2021"/>
    <s v="Order"/>
    <s v="4GB Graphic card"/>
    <s v="Graphic Card"/>
    <x v="2"/>
    <n v="12500"/>
    <n v="16250"/>
    <n v="4"/>
    <n v="50000"/>
    <n v="65000"/>
    <s v="Roshan Kumar"/>
    <n v="18200"/>
  </r>
  <r>
    <s v="141951"/>
    <x v="19"/>
    <s v="Atif Siddiqui"/>
    <s v="30/04/2021"/>
    <s v="Processing"/>
    <s v="84 GB DDR4 RAM"/>
    <s v="Computer Case"/>
    <x v="3"/>
    <n v="3500"/>
    <n v="4550"/>
    <n v="1"/>
    <n v="3500"/>
    <n v="4550"/>
    <s v="Aarvi Gupta"/>
    <n v="13650"/>
  </r>
  <r>
    <s v="141952"/>
    <x v="19"/>
    <s v="Aditya Agarwal"/>
    <s v="30/04/2021"/>
    <s v="Delivered"/>
    <s v="BTX motherboard"/>
    <s v="Mouse"/>
    <x v="4"/>
    <n v="4500"/>
    <n v="5850"/>
    <n v="1"/>
    <n v="4500"/>
    <n v="5850"/>
    <s v="Vijay Singh"/>
    <n v="1690"/>
  </r>
  <r>
    <s v="141953"/>
    <x v="19"/>
    <s v="Firdoush Jabee"/>
    <s v="30/04/2021"/>
    <s v="Shipped"/>
    <s v="79 Fans Cabinet"/>
    <s v="Cabinet"/>
    <x v="5"/>
    <n v="2100"/>
    <n v="2730"/>
    <n v="1"/>
    <n v="2100"/>
    <n v="2730"/>
    <s v="Aadil Khan"/>
    <n v="2990"/>
  </r>
  <r>
    <s v="141954"/>
    <x v="19"/>
    <s v="Jay Prakash Kumar"/>
    <s v="30/04/2021"/>
    <s v="Order"/>
    <s v="Wireless Keyboard"/>
    <s v="Keyboard"/>
    <x v="6"/>
    <n v="1150"/>
    <n v="1495"/>
    <n v="3"/>
    <n v="3450"/>
    <n v="4485"/>
    <s v="Advika Joshi"/>
    <n v="3315"/>
  </r>
  <r>
    <s v="141955"/>
    <x v="19"/>
    <s v="Ashish Pandey"/>
    <s v="30/04/2021"/>
    <s v="Processing"/>
    <s v="USB Mouse"/>
    <s v="Mouse"/>
    <x v="0"/>
    <n v="350"/>
    <n v="455"/>
    <n v="2"/>
    <n v="700"/>
    <n v="910"/>
    <s v="Ajay Sharma"/>
    <n v="1690"/>
  </r>
  <r>
    <s v="141956"/>
    <x v="19"/>
    <s v="Ajay Sharma"/>
    <s v="30/04/2021"/>
    <s v="Delivered"/>
    <s v="19&quot; LED Display"/>
    <s v="Monitor"/>
    <x v="6"/>
    <n v="9500"/>
    <n v="12350"/>
    <n v="2"/>
    <n v="19000"/>
    <n v="24700"/>
    <s v="Roshan Kumar"/>
    <n v="9750"/>
  </r>
  <r>
    <s v="141957"/>
    <x v="19"/>
    <s v="Moinuddin Saifi"/>
    <s v="30/04/2021"/>
    <s v="Shipped"/>
    <s v="78 TB HDD"/>
    <s v="HDD"/>
    <x v="10"/>
    <n v="10000"/>
    <n v="13000"/>
    <n v="1"/>
    <n v="10000"/>
    <n v="13000"/>
    <s v="Aarvi Gupta"/>
    <n v="39000"/>
  </r>
  <r>
    <s v="141958"/>
    <x v="29"/>
    <s v="Ramkrishna Das Adhikary"/>
    <s v="30/04/2021"/>
    <s v="Order"/>
    <s v="588 GB M.2"/>
    <s v="SSD"/>
    <x v="0"/>
    <n v="6500"/>
    <n v="8450"/>
    <n v="1"/>
    <n v="6500"/>
    <n v="8450"/>
    <s v="Vijay Singh"/>
    <n v="8450"/>
  </r>
  <r>
    <s v="141959"/>
    <x v="30"/>
    <s v="Ranjeet Mandal"/>
    <s v="30/04/2021"/>
    <s v="Processing"/>
    <s v="RYZEN 3rd gen. 3576"/>
    <s v="CPU"/>
    <x v="1"/>
    <n v="8500"/>
    <n v="11050"/>
    <n v="2"/>
    <n v="17000"/>
    <n v="22100"/>
    <s v="Aadil Khan"/>
    <n v="33150"/>
  </r>
  <r>
    <s v="141960"/>
    <x v="31"/>
    <s v="Ashwini Adsare"/>
    <s v="30/04/2021"/>
    <s v="Delivered"/>
    <s v="2GB Graphic Card"/>
    <s v="Graphic Card"/>
    <x v="2"/>
    <n v="7000"/>
    <n v="9100"/>
    <n v="2"/>
    <n v="14000"/>
    <n v="18200"/>
    <s v="Advika Joshi"/>
    <n v="18200"/>
  </r>
  <r>
    <s v="141961"/>
    <x v="32"/>
    <s v="Rajesh Variya"/>
    <s v="30/04/2021"/>
    <s v="Shipped"/>
    <s v="92 GB DDR4 RAM"/>
    <s v="Computer Case"/>
    <x v="3"/>
    <n v="6550"/>
    <n v="8515"/>
    <n v="3"/>
    <n v="19650"/>
    <n v="25545"/>
    <s v="Ajay Sharma"/>
    <n v="13650"/>
  </r>
  <r>
    <s v="141962"/>
    <x v="0"/>
    <s v="Amit Singh"/>
    <s v="30/04/2021"/>
    <s v="Order"/>
    <s v="Standard ATX motherboard"/>
    <s v="Mouse"/>
    <x v="4"/>
    <n v="7650"/>
    <n v="9945"/>
    <n v="2"/>
    <n v="15300"/>
    <n v="19890"/>
    <s v="Roshan Kumar"/>
    <n v="1690"/>
  </r>
  <r>
    <s v="141963"/>
    <x v="23"/>
    <s v="Vinod Mehta"/>
    <s v="01/05/2021"/>
    <s v="Processing"/>
    <s v="Compact with 1 Fan"/>
    <s v="Cabinet"/>
    <x v="5"/>
    <n v="1150"/>
    <n v="1495"/>
    <n v="2"/>
    <n v="2300"/>
    <n v="2990"/>
    <s v="Aarvi Gupta"/>
    <n v="2990"/>
  </r>
  <r>
    <s v="141964"/>
    <x v="1"/>
    <s v="Jignesh Mhatre"/>
    <s v="02/05/2021"/>
    <s v="Delivered"/>
    <s v="USB Backlight Keyboard"/>
    <s v="Keyboard"/>
    <x v="6"/>
    <n v="850"/>
    <n v="1105"/>
    <n v="3"/>
    <n v="2550"/>
    <n v="3315"/>
    <s v="Vijay Singh"/>
    <n v="3315"/>
  </r>
  <r>
    <s v="141965"/>
    <x v="2"/>
    <s v="Rahul Kashyap"/>
    <s v="03/05/2021"/>
    <s v="Shipped"/>
    <s v="Ergonomic Mouse"/>
    <s v="Mouse"/>
    <x v="0"/>
    <n v="650"/>
    <n v="845"/>
    <n v="4"/>
    <n v="2600"/>
    <n v="3380"/>
    <s v="Aadil Khan"/>
    <n v="1690"/>
  </r>
  <r>
    <s v="141966"/>
    <x v="3"/>
    <s v="Mohammed Abdul Kaleem"/>
    <s v="04/05/2021"/>
    <s v="Order"/>
    <s v="15&quot; LCD Dsipaly"/>
    <s v="Monitor"/>
    <x v="6"/>
    <n v="7500"/>
    <n v="9750"/>
    <n v="3"/>
    <n v="22500"/>
    <n v="29250"/>
    <s v="Advika Joshi"/>
    <n v="9750"/>
  </r>
  <r>
    <s v="141967"/>
    <x v="24"/>
    <s v="Chandrakant Kasbe"/>
    <s v="05/05/2021"/>
    <s v="Processing"/>
    <s v="78 TB HDD"/>
    <s v="HDD"/>
    <x v="7"/>
    <n v="10000"/>
    <n v="13000"/>
    <n v="4"/>
    <n v="40000"/>
    <n v="52000"/>
    <s v="Ajay Sharma"/>
    <n v="39000"/>
  </r>
  <r>
    <s v="141968"/>
    <x v="25"/>
    <s v="Rohan Kale"/>
    <s v="05/05/2021"/>
    <s v="Delivered"/>
    <s v="77 TB SSD"/>
    <s v="SSD"/>
    <x v="0"/>
    <n v="10500"/>
    <n v="13650"/>
    <n v="4"/>
    <n v="42000"/>
    <n v="54600"/>
    <s v="Roshan Kumar"/>
    <n v="8450"/>
  </r>
  <r>
    <s v="141969"/>
    <x v="19"/>
    <s v="Aniruddha Kekapure"/>
    <s v="05/05/2021"/>
    <s v="Shipped"/>
    <s v="Intel i5 12th gen."/>
    <s v="CPU"/>
    <x v="1"/>
    <n v="8500"/>
    <n v="11050"/>
    <n v="3"/>
    <n v="25500"/>
    <n v="33150"/>
    <s v="Aarvi Gupta"/>
    <n v="33150"/>
  </r>
  <r>
    <s v="141970"/>
    <x v="19"/>
    <s v="Aslam Raza"/>
    <s v="05/05/2021"/>
    <s v="Order"/>
    <s v="2GB Graphic Card"/>
    <s v="Graphic Card"/>
    <x v="2"/>
    <n v="7000"/>
    <n v="9100"/>
    <n v="2"/>
    <n v="14000"/>
    <n v="18200"/>
    <s v="Vijay Singh"/>
    <n v="18200"/>
  </r>
  <r>
    <s v="141971"/>
    <x v="19"/>
    <s v="Roshan Zameer"/>
    <s v="05/05/2021"/>
    <s v="Processing"/>
    <s v="80 GB DDR4 Ram"/>
    <s v="Computer Case"/>
    <x v="3"/>
    <n v="1680"/>
    <n v="2184"/>
    <n v="1"/>
    <n v="1680"/>
    <n v="2184"/>
    <s v="Aadil Khan"/>
    <n v="13650"/>
  </r>
  <r>
    <s v="141972"/>
    <x v="19"/>
    <s v="Rakesh Kumar Sharma"/>
    <s v="05/05/2021"/>
    <s v="Delivered"/>
    <s v="Micro ATX motherboard"/>
    <s v="Mouse"/>
    <x v="8"/>
    <n v="6540"/>
    <n v="8502"/>
    <n v="1"/>
    <n v="6540"/>
    <n v="8502"/>
    <s v="Advika Joshi"/>
    <n v="1690"/>
  </r>
  <r>
    <s v="141973"/>
    <x v="19"/>
    <s v="Shivanand Sahani"/>
    <s v="05/05/2021"/>
    <s v="Shipped"/>
    <s v="Gaming Box Cabinet"/>
    <s v="Cabinet"/>
    <x v="5"/>
    <n v="2680"/>
    <n v="3484"/>
    <n v="4"/>
    <n v="10720"/>
    <n v="13936"/>
    <s v="Ajay Sharma"/>
    <n v="2990"/>
  </r>
  <r>
    <s v="141974"/>
    <x v="19"/>
    <s v="Kunal Patra"/>
    <s v="05/05/2021"/>
    <s v="Order"/>
    <s v="17&quot; LCD Display"/>
    <s v="Monitor"/>
    <x v="0"/>
    <n v="8250"/>
    <n v="10725"/>
    <n v="1"/>
    <n v="8250"/>
    <n v="10725"/>
    <s v="Roshan Kumar"/>
    <n v="9750"/>
  </r>
  <r>
    <s v="141975"/>
    <x v="19"/>
    <s v="Bijendra"/>
    <s v="05/05/2021"/>
    <s v="Processing"/>
    <s v="84 GB DDR4 RAM"/>
    <s v="RAM"/>
    <x v="0"/>
    <n v="2650"/>
    <n v="3445"/>
    <n v="3"/>
    <n v="7950"/>
    <n v="10335"/>
    <s v="Aarvi Gupta"/>
    <n v="25545"/>
  </r>
  <r>
    <s v="141976"/>
    <x v="19"/>
    <s v="Kranti Bheke"/>
    <s v="06/05/2021"/>
    <s v="Delivered"/>
    <s v="26&quot; LCD Display"/>
    <s v="Monitor"/>
    <x v="9"/>
    <n v="12550"/>
    <n v="16315"/>
    <n v="2"/>
    <n v="25100"/>
    <n v="32630"/>
    <s v="Vijay Singh"/>
    <n v="9750"/>
  </r>
  <r>
    <s v="141977"/>
    <x v="19"/>
    <s v="Jagdeep"/>
    <s v="07/05/2021"/>
    <s v="Shipped"/>
    <s v="I7 - intel 12th Generation"/>
    <s v="CPU"/>
    <x v="1"/>
    <n v="14500"/>
    <n v="18850"/>
    <n v="3"/>
    <n v="43500"/>
    <n v="56550"/>
    <s v="Aadil Khan"/>
    <n v="33150"/>
  </r>
  <r>
    <s v="141978"/>
    <x v="19"/>
    <s v="Adhir Samal"/>
    <s v="08/05/2021"/>
    <s v="Order"/>
    <s v="USB Keyboard"/>
    <s v="Keyboard"/>
    <x v="6"/>
    <n v="800"/>
    <n v="1040"/>
    <n v="3"/>
    <n v="2400"/>
    <n v="3120"/>
    <s v="Advika Joshi"/>
    <n v="3315"/>
  </r>
  <r>
    <s v="141979"/>
    <x v="10"/>
    <s v="Dannana Jhammi"/>
    <s v="09/05/2021"/>
    <s v="Processing"/>
    <s v="Wireless Mouse"/>
    <s v="Mouse"/>
    <x v="0"/>
    <n v="600"/>
    <n v="780"/>
    <n v="1"/>
    <n v="600"/>
    <n v="780"/>
    <s v="Ajay Sharma"/>
    <n v="1690"/>
  </r>
  <r>
    <s v="141980"/>
    <x v="11"/>
    <s v="Vipin Kumar"/>
    <s v="09/05/2021"/>
    <s v="Delivered"/>
    <s v="21&quot; LCD Display"/>
    <s v="Monitor"/>
    <x v="6"/>
    <n v="10500"/>
    <n v="13650"/>
    <n v="1"/>
    <n v="10500"/>
    <n v="13650"/>
    <s v="Roshan Kumar"/>
    <n v="9750"/>
  </r>
  <r>
    <s v="141981"/>
    <x v="12"/>
    <s v="Ranjeet Kumar"/>
    <s v="09/05/2021"/>
    <s v="Shipped"/>
    <s v="78 TB HDD"/>
    <s v="HDD"/>
    <x v="10"/>
    <n v="6500"/>
    <n v="8450"/>
    <n v="1"/>
    <n v="6500"/>
    <n v="8450"/>
    <s v="Aarvi Gupta"/>
    <n v="39000"/>
  </r>
  <r>
    <s v="141982"/>
    <x v="13"/>
    <s v="Sajal Singhal"/>
    <s v="09/05/2021"/>
    <s v="Order"/>
    <s v="333 GB SSD"/>
    <s v="SSD"/>
    <x v="0"/>
    <n v="4500"/>
    <n v="5850"/>
    <n v="3"/>
    <n v="13500"/>
    <n v="17550"/>
    <s v="Vijay Singh"/>
    <n v="8450"/>
  </r>
  <r>
    <s v="141983"/>
    <x v="14"/>
    <s v="Akhilesh Kumar"/>
    <s v="09/05/2021"/>
    <s v="Processing"/>
    <s v="Intel i3 11th gen."/>
    <s v="CPU"/>
    <x v="1"/>
    <n v="8500"/>
    <n v="11050"/>
    <n v="2"/>
    <n v="17000"/>
    <n v="22100"/>
    <s v="Aadil Khan"/>
    <n v="33150"/>
  </r>
  <r>
    <s v="141984"/>
    <x v="15"/>
    <s v="Suvankar Chakraborty"/>
    <s v="09/05/2021"/>
    <s v="Delivered"/>
    <s v="4GB Graphic card"/>
    <s v="Graphic Card"/>
    <x v="2"/>
    <n v="12500"/>
    <n v="16250"/>
    <n v="1"/>
    <n v="12500"/>
    <n v="16250"/>
    <s v="Advika Joshi"/>
    <n v="18200"/>
  </r>
  <r>
    <s v="141985"/>
    <x v="16"/>
    <s v="Suvankar Adhikary"/>
    <s v="09/05/2021"/>
    <s v="Shipped"/>
    <s v="85 GB DDR4 RAM"/>
    <s v="NIC"/>
    <x v="3"/>
    <n v="3500"/>
    <n v="4550"/>
    <n v="2"/>
    <n v="7000"/>
    <n v="9100"/>
    <s v="Ajay Sharma"/>
    <n v="9100"/>
  </r>
  <r>
    <s v="141986"/>
    <x v="17"/>
    <s v="Rahul Kumar Prajapati"/>
    <s v="09/05/2021"/>
    <s v="Order"/>
    <s v="BTX motherboard"/>
    <s v="Printer"/>
    <x v="4"/>
    <n v="4500"/>
    <n v="5850"/>
    <n v="4"/>
    <n v="18000"/>
    <n v="23400"/>
    <s v="Roshan Kumar"/>
    <n v="11700"/>
  </r>
  <r>
    <s v="141987"/>
    <x v="18"/>
    <s v="Sagar Jeur"/>
    <s v="09/05/2021"/>
    <s v="Processing"/>
    <s v="80 Fans Cabinet"/>
    <s v="Cabinet"/>
    <x v="5"/>
    <n v="2100"/>
    <n v="2730"/>
    <n v="3"/>
    <n v="6300"/>
    <n v="8190"/>
    <s v="Aarvi Gupta"/>
    <n v="2990"/>
  </r>
  <r>
    <s v="141988"/>
    <x v="19"/>
    <s v="Rhushikesh Mane"/>
    <s v="09/05/2021"/>
    <s v="Delivered"/>
    <s v="Wireless Keyboard"/>
    <s v="Keyboard"/>
    <x v="6"/>
    <n v="1150"/>
    <n v="1495"/>
    <n v="4"/>
    <n v="4600"/>
    <n v="5980"/>
    <s v="Vijay Singh"/>
    <n v="3315"/>
  </r>
  <r>
    <s v="141989"/>
    <x v="20"/>
    <s v="Ashish Kumar"/>
    <s v="09/05/2021"/>
    <s v="Shipped"/>
    <s v="USB Mouse"/>
    <s v="Mouse"/>
    <x v="0"/>
    <n v="350"/>
    <n v="455"/>
    <n v="2"/>
    <n v="700"/>
    <n v="910"/>
    <s v="Aadil Khan"/>
    <n v="1690"/>
  </r>
  <r>
    <s v="141990"/>
    <x v="16"/>
    <s v="Javed Akhter"/>
    <s v="09/05/2021"/>
    <s v="Order"/>
    <s v="19&quot; LED Display"/>
    <s v="Monitor"/>
    <x v="6"/>
    <n v="9500"/>
    <n v="12350"/>
    <n v="1"/>
    <n v="9500"/>
    <n v="12350"/>
    <s v="Advika Joshi"/>
    <n v="9750"/>
  </r>
  <r>
    <s v="141991"/>
    <x v="17"/>
    <s v="Haridas Balraj"/>
    <s v="09/05/2021"/>
    <s v="Processing"/>
    <s v="79 TB HDD"/>
    <s v="HDD"/>
    <x v="10"/>
    <n v="10000"/>
    <n v="13000"/>
    <n v="4"/>
    <n v="40000"/>
    <n v="52000"/>
    <s v="Ajay Sharma"/>
    <n v="39000"/>
  </r>
  <r>
    <s v="141992"/>
    <x v="27"/>
    <s v="Kundan Kumar"/>
    <s v="09/05/2021"/>
    <s v="Delivered"/>
    <s v="589 GB M.2"/>
    <s v="SSD"/>
    <x v="0"/>
    <n v="6500"/>
    <n v="8450"/>
    <n v="4"/>
    <n v="26000"/>
    <n v="33800"/>
    <s v="Roshan Kumar"/>
    <n v="8450"/>
  </r>
  <r>
    <s v="141993"/>
    <x v="22"/>
    <s v="Atif Siddiqui"/>
    <s v="09/05/2021"/>
    <s v="Shipped"/>
    <s v="RYZEN 3rd gen. 3577"/>
    <s v="CPU"/>
    <x v="1"/>
    <n v="8500"/>
    <n v="11050"/>
    <n v="2"/>
    <n v="17000"/>
    <n v="22100"/>
    <s v="Aarvi Gupta"/>
    <n v="33150"/>
  </r>
  <r>
    <s v="141994"/>
    <x v="28"/>
    <s v="Aditya Agarwal"/>
    <s v="09/05/2021"/>
    <s v="Order"/>
    <s v="2GB Graphic Card"/>
    <s v="Graphic Card"/>
    <x v="2"/>
    <n v="7000"/>
    <n v="9100"/>
    <n v="1"/>
    <n v="7000"/>
    <n v="9100"/>
    <s v="Vijay Singh"/>
    <n v="18200"/>
  </r>
  <r>
    <s v="141995"/>
    <x v="29"/>
    <s v="Firdoush Jabee"/>
    <s v="09/05/2021"/>
    <s v="Processing"/>
    <s v="93 GB DDR4 RAM"/>
    <s v="NIC"/>
    <x v="3"/>
    <n v="6550"/>
    <n v="8515"/>
    <n v="1"/>
    <n v="6550"/>
    <n v="8515"/>
    <s v="Aadil Khan"/>
    <n v="9100"/>
  </r>
  <r>
    <s v="141996"/>
    <x v="30"/>
    <s v="Jay Prakash Kumar"/>
    <s v="09/05/2021"/>
    <s v="Delivered"/>
    <s v="Standard ATX motherboard"/>
    <s v="Printer"/>
    <x v="4"/>
    <n v="7650"/>
    <n v="9945"/>
    <n v="1"/>
    <n v="7650"/>
    <n v="9945"/>
    <s v="Advika Joshi"/>
    <n v="11700"/>
  </r>
  <r>
    <s v="141997"/>
    <x v="31"/>
    <s v="Ashish Pandey"/>
    <s v="09/05/2021"/>
    <s v="Shipped"/>
    <s v="Compact with 1 Fan"/>
    <s v="Cabinet"/>
    <x v="5"/>
    <n v="1150"/>
    <n v="1495"/>
    <n v="4"/>
    <n v="4600"/>
    <n v="5980"/>
    <s v="Ajay Sharma"/>
    <n v="2990"/>
  </r>
  <r>
    <s v="141998"/>
    <x v="32"/>
    <s v="Ajay Sharma"/>
    <s v="09/05/2021"/>
    <s v="Order"/>
    <s v="USB Backlight Keyboard"/>
    <s v="Keyboard"/>
    <x v="6"/>
    <n v="850"/>
    <n v="1105"/>
    <n v="1"/>
    <n v="850"/>
    <n v="1105"/>
    <s v="Roshan Kumar"/>
    <n v="3315"/>
  </r>
  <r>
    <s v="141999"/>
    <x v="0"/>
    <s v="Moinuddin Saifi"/>
    <s v="09/05/2021"/>
    <s v="Processing"/>
    <s v="Ergonomic Mouse"/>
    <s v="Mouse"/>
    <x v="0"/>
    <n v="650"/>
    <n v="845"/>
    <n v="4"/>
    <n v="2600"/>
    <n v="3380"/>
    <s v="Aarvi Gupta"/>
    <n v="1690"/>
  </r>
  <r>
    <s v="142000"/>
    <x v="23"/>
    <s v="Ramkrishna Das Adhikary"/>
    <s v="09/05/2021"/>
    <s v="Delivered"/>
    <s v="15&quot; LCD Dsipaly"/>
    <s v="Monitor"/>
    <x v="6"/>
    <n v="7500"/>
    <n v="9750"/>
    <n v="3"/>
    <n v="22500"/>
    <n v="29250"/>
    <s v="Vijay Singh"/>
    <n v="9750"/>
  </r>
  <r>
    <s v="142001"/>
    <x v="1"/>
    <s v="Ranjeet Mandal"/>
    <s v="09/05/2021"/>
    <s v="Shipped"/>
    <s v="79 TB HDD"/>
    <s v="HDD"/>
    <x v="7"/>
    <n v="10000"/>
    <n v="13000"/>
    <n v="4"/>
    <n v="40000"/>
    <n v="52000"/>
    <s v="Aadil Khan"/>
    <n v="39000"/>
  </r>
  <r>
    <s v="142002"/>
    <x v="2"/>
    <s v="Ashwini Adsare"/>
    <s v="09/05/2021"/>
    <s v="Order"/>
    <s v="78 TB SSD"/>
    <s v="SSD"/>
    <x v="0"/>
    <n v="10500"/>
    <n v="13650"/>
    <n v="2"/>
    <n v="21000"/>
    <n v="27300"/>
    <s v="Advika Joshi"/>
    <n v="8450"/>
  </r>
  <r>
    <s v="142003"/>
    <x v="3"/>
    <s v="Rajesh Variya"/>
    <s v="09/05/2021"/>
    <s v="Processing"/>
    <s v="Intel i5 12th gen."/>
    <s v="CPU"/>
    <x v="1"/>
    <n v="8500"/>
    <n v="11050"/>
    <n v="4"/>
    <n v="34000"/>
    <n v="44200"/>
    <s v="Ajay Sharma"/>
    <n v="33150"/>
  </r>
  <r>
    <s v="142004"/>
    <x v="24"/>
    <s v="Amit Singh"/>
    <s v="09/05/2021"/>
    <s v="Delivered"/>
    <s v="2GB Graphic Card"/>
    <s v="Graphic Card"/>
    <x v="2"/>
    <n v="7000"/>
    <n v="9100"/>
    <n v="2"/>
    <n v="14000"/>
    <n v="18200"/>
    <s v="Roshan Kumar"/>
    <n v="18200"/>
  </r>
  <r>
    <s v="142005"/>
    <x v="25"/>
    <s v="Vinod Mehta"/>
    <s v="09/05/2021"/>
    <s v="Shipped"/>
    <s v="81 GB DDR4 Ram"/>
    <s v="NIC"/>
    <x v="3"/>
    <n v="1680"/>
    <n v="2184"/>
    <n v="1"/>
    <n v="1680"/>
    <n v="2184"/>
    <s v="Aarvi Gupta"/>
    <n v="9100"/>
  </r>
  <r>
    <s v="142006"/>
    <x v="33"/>
    <s v="Jignesh Mhatre"/>
    <s v="09/05/2021"/>
    <s v="Order"/>
    <s v="Micro ATX motherboard"/>
    <s v="Printer"/>
    <x v="8"/>
    <n v="6540"/>
    <n v="8502"/>
    <n v="3"/>
    <n v="19620"/>
    <n v="25506"/>
    <s v="Vijay Singh"/>
    <n v="11700"/>
  </r>
  <r>
    <s v="142007"/>
    <x v="34"/>
    <s v="Rahul Kashyap"/>
    <s v="09/05/2021"/>
    <s v="Processing"/>
    <s v="Gaming Box Cabinet"/>
    <s v="Cabinet"/>
    <x v="5"/>
    <n v="2680"/>
    <n v="3484"/>
    <n v="4"/>
    <n v="10720"/>
    <n v="13936"/>
    <s v="Aadil Khan"/>
    <n v="2990"/>
  </r>
  <r>
    <s v="142008"/>
    <x v="4"/>
    <s v="Mohammed Abdul Kaleem"/>
    <s v="09/05/2021"/>
    <s v="Delivered"/>
    <s v="17&quot; LCD Display"/>
    <s v="Monitor"/>
    <x v="0"/>
    <n v="8250"/>
    <n v="10725"/>
    <n v="1"/>
    <n v="8250"/>
    <n v="10725"/>
    <s v="Advika Joshi"/>
    <n v="9750"/>
  </r>
  <r>
    <s v="142009"/>
    <x v="5"/>
    <s v="Chandrakant Kasbe"/>
    <s v="09/05/2021"/>
    <s v="Shipped"/>
    <s v="85 GB DDR4 RAM"/>
    <s v="RAM"/>
    <x v="0"/>
    <n v="2650"/>
    <n v="3445"/>
    <n v="4"/>
    <n v="10600"/>
    <n v="13780"/>
    <s v="Ajay Sharma"/>
    <n v="25545"/>
  </r>
  <r>
    <s v="142010"/>
    <x v="6"/>
    <s v="Rohan Kale"/>
    <s v="09/05/2021"/>
    <s v="Order"/>
    <s v="26&quot; LCD Display"/>
    <s v="Monitor"/>
    <x v="9"/>
    <n v="12550"/>
    <n v="16315"/>
    <n v="3"/>
    <n v="37650"/>
    <n v="48945"/>
    <s v="Ajay Sharma"/>
    <n v="9750"/>
  </r>
  <r>
    <s v="142011"/>
    <x v="7"/>
    <s v="Aniruddha Kekapure"/>
    <s v="09/05/2021"/>
    <s v="Processing"/>
    <s v="I7 - intel 12th Generation"/>
    <s v="CPU"/>
    <x v="1"/>
    <n v="14500"/>
    <n v="18850"/>
    <n v="3"/>
    <n v="43500"/>
    <n v="56550"/>
    <s v="Roshan Kumar"/>
    <n v="33150"/>
  </r>
  <r>
    <s v="142012"/>
    <x v="26"/>
    <s v="Aslam Raza"/>
    <s v="09/05/2021"/>
    <s v="Delivered"/>
    <s v="USB Keyboard"/>
    <s v="Keyboard"/>
    <x v="6"/>
    <n v="800"/>
    <n v="1040"/>
    <n v="2"/>
    <n v="1600"/>
    <n v="2080"/>
    <s v="Aarvi Gupta"/>
    <n v="3315"/>
  </r>
  <r>
    <s v="142013"/>
    <x v="27"/>
    <s v="Roshan Zameer"/>
    <s v="09/05/2021"/>
    <s v="Shipped"/>
    <s v="Wireless Mouse"/>
    <s v="Mouse"/>
    <x v="0"/>
    <n v="600"/>
    <n v="780"/>
    <n v="3"/>
    <n v="1800"/>
    <n v="2340"/>
    <s v="Vijay Singh"/>
    <n v="1690"/>
  </r>
  <r>
    <s v="142014"/>
    <x v="8"/>
    <s v="Rakesh Kumar Sharma"/>
    <s v="09/05/2021"/>
    <s v="Order"/>
    <s v="21&quot; LCD Display"/>
    <s v="Monitor"/>
    <x v="6"/>
    <n v="10500"/>
    <n v="13650"/>
    <n v="3"/>
    <n v="31500"/>
    <n v="40950"/>
    <s v="Aadil Khan"/>
    <n v="9750"/>
  </r>
  <r>
    <s v="142015"/>
    <x v="9"/>
    <s v="Shivanand Sahani"/>
    <s v="09/05/2021"/>
    <s v="Processing"/>
    <s v="79 TB HDD"/>
    <s v="HDD"/>
    <x v="10"/>
    <n v="6500"/>
    <n v="8450"/>
    <n v="1"/>
    <n v="6500"/>
    <n v="8450"/>
    <s v="Advika Joshi"/>
    <n v="39000"/>
  </r>
  <r>
    <s v="142016"/>
    <x v="10"/>
    <s v="Kunal Patra"/>
    <s v="09/05/2021"/>
    <s v="Delivered"/>
    <s v="334 GB SSD"/>
    <s v="SSD"/>
    <x v="0"/>
    <n v="4500"/>
    <n v="5850"/>
    <n v="2"/>
    <n v="9000"/>
    <n v="11700"/>
    <s v="Ajay Sharma"/>
    <n v="8450"/>
  </r>
  <r>
    <s v="142017"/>
    <x v="11"/>
    <s v="Bijendra"/>
    <s v="10/05/2021"/>
    <s v="Shipped"/>
    <s v="Intel i3 11th gen."/>
    <s v="CPU"/>
    <x v="1"/>
    <n v="8500"/>
    <n v="11050"/>
    <n v="1"/>
    <n v="8500"/>
    <n v="11050"/>
    <s v="Roshan Kumar"/>
    <n v="33150"/>
  </r>
  <r>
    <s v="142018"/>
    <x v="12"/>
    <s v="Kranti Bheke"/>
    <s v="10/05/2021"/>
    <s v="Order"/>
    <s v="4GB Graphic card"/>
    <s v="Graphic Card"/>
    <x v="2"/>
    <n v="12500"/>
    <n v="16250"/>
    <n v="3"/>
    <n v="37500"/>
    <n v="48750"/>
    <s v="Aarvi Gupta"/>
    <n v="18200"/>
  </r>
  <r>
    <s v="142019"/>
    <x v="13"/>
    <s v="Jagdeep"/>
    <s v="10/05/2021"/>
    <s v="Processing"/>
    <s v="86 GB DDR4 RAM"/>
    <s v="RAM"/>
    <x v="3"/>
    <n v="3500"/>
    <n v="4550"/>
    <n v="2"/>
    <n v="7000"/>
    <n v="9100"/>
    <s v="Vijay Singh"/>
    <n v="25545"/>
  </r>
  <r>
    <s v="142020"/>
    <x v="14"/>
    <s v="Adhir Samal"/>
    <s v="10/05/2021"/>
    <s v="Delivered"/>
    <s v="BTX motherboard"/>
    <s v="MotherBoard"/>
    <x v="4"/>
    <n v="4500"/>
    <n v="5850"/>
    <n v="1"/>
    <n v="4500"/>
    <n v="5850"/>
    <s v="Aadil Khan"/>
    <n v="39780"/>
  </r>
  <r>
    <s v="142021"/>
    <x v="15"/>
    <s v="Dannana Jhammi"/>
    <s v="10/05/2021"/>
    <s v="Shipped"/>
    <s v="81 Fans Cabinet"/>
    <s v="Cabinet"/>
    <x v="5"/>
    <n v="2100"/>
    <n v="2730"/>
    <n v="1"/>
    <n v="2100"/>
    <n v="2730"/>
    <s v="Advika Joshi"/>
    <n v="2990"/>
  </r>
  <r>
    <s v="142022"/>
    <x v="16"/>
    <s v="Vipin Kumar"/>
    <s v="10/05/2021"/>
    <s v="Order"/>
    <s v="Wireless Keyboard"/>
    <s v="Keyboard"/>
    <x v="6"/>
    <n v="1150"/>
    <n v="1495"/>
    <n v="2"/>
    <n v="2300"/>
    <n v="2990"/>
    <s v="Ajay Sharma"/>
    <n v="3315"/>
  </r>
  <r>
    <s v="142023"/>
    <x v="17"/>
    <s v="Ranjeet Kumar"/>
    <s v="10/05/2021"/>
    <s v="Processing"/>
    <s v="USB Mouse"/>
    <s v="Mouse"/>
    <x v="0"/>
    <n v="350"/>
    <n v="455"/>
    <n v="3"/>
    <n v="1050"/>
    <n v="1365"/>
    <s v="Roshan Kumar"/>
    <n v="1690"/>
  </r>
  <r>
    <s v="142024"/>
    <x v="18"/>
    <s v="Sajal Singhal"/>
    <s v="10/05/2021"/>
    <s v="Delivered"/>
    <s v="19&quot; LED Display"/>
    <s v="Monitor"/>
    <x v="6"/>
    <n v="9500"/>
    <n v="12350"/>
    <n v="1"/>
    <n v="9500"/>
    <n v="12350"/>
    <s v="Aarvi Gupta"/>
    <n v="9750"/>
  </r>
  <r>
    <s v="142025"/>
    <x v="19"/>
    <s v="Akhilesh Kumar"/>
    <s v="10/05/2021"/>
    <s v="Shipped"/>
    <s v="80 TB HDD"/>
    <s v="HDD"/>
    <x v="10"/>
    <n v="10000"/>
    <n v="13000"/>
    <n v="3"/>
    <n v="30000"/>
    <n v="39000"/>
    <s v="Vijay Singh"/>
    <n v="39000"/>
  </r>
  <r>
    <s v="142026"/>
    <x v="20"/>
    <s v="Suvankar Chakraborty"/>
    <s v="10/05/2021"/>
    <s v="Order"/>
    <s v="590 GB M.2"/>
    <s v="SSD"/>
    <x v="0"/>
    <n v="6500"/>
    <n v="8450"/>
    <n v="1"/>
    <n v="6500"/>
    <n v="8450"/>
    <s v="Aadil Khan"/>
    <n v="8450"/>
  </r>
  <r>
    <s v="142027"/>
    <x v="16"/>
    <s v="Suvankar Adhikary"/>
    <s v="10/05/2021"/>
    <s v="Processing"/>
    <s v="RYZEN 3rd gen. 3578"/>
    <s v="CPU"/>
    <x v="1"/>
    <n v="8500"/>
    <n v="11050"/>
    <n v="1"/>
    <n v="8500"/>
    <n v="11050"/>
    <s v="Advika Joshi"/>
    <n v="33150"/>
  </r>
  <r>
    <s v="142028"/>
    <x v="17"/>
    <s v="Rahul Kumar Prajapati"/>
    <s v="10/05/2021"/>
    <s v="Delivered"/>
    <s v="2GB Graphic Card"/>
    <s v="Graphic Card"/>
    <x v="2"/>
    <n v="7000"/>
    <n v="9100"/>
    <n v="2"/>
    <n v="14000"/>
    <n v="18200"/>
    <s v="Ajay Sharma"/>
    <n v="18200"/>
  </r>
  <r>
    <s v="142029"/>
    <x v="27"/>
    <s v="Sagar Jeur"/>
    <s v="10/05/2021"/>
    <s v="Shipped"/>
    <s v="94 GB DDR4 RAM"/>
    <s v="RAM"/>
    <x v="3"/>
    <n v="6550"/>
    <n v="8515"/>
    <n v="1"/>
    <n v="6550"/>
    <n v="8515"/>
    <s v="Roshan Kumar"/>
    <n v="25545"/>
  </r>
  <r>
    <s v="142030"/>
    <x v="22"/>
    <s v="Rhushikesh Mane"/>
    <s v="10/05/2021"/>
    <s v="Order"/>
    <s v="Standard ATX motherboard"/>
    <s v="MotherBoard"/>
    <x v="4"/>
    <n v="7650"/>
    <n v="9945"/>
    <n v="3"/>
    <n v="22950"/>
    <n v="29835"/>
    <s v="Aarvi Gupta"/>
    <n v="39780"/>
  </r>
  <r>
    <s v="142031"/>
    <x v="28"/>
    <s v="Ashish Kumar"/>
    <s v="10/05/2021"/>
    <s v="Processing"/>
    <s v="Compact with 1 Fan"/>
    <s v="Cabinet"/>
    <x v="5"/>
    <n v="1150"/>
    <n v="1495"/>
    <n v="2"/>
    <n v="2300"/>
    <n v="2990"/>
    <s v="Vijay Singh"/>
    <n v="2990"/>
  </r>
  <r>
    <s v="142032"/>
    <x v="29"/>
    <s v="Javed Akhter"/>
    <s v="10/05/2021"/>
    <s v="Delivered"/>
    <s v="USB Backlight Keyboard"/>
    <s v="Keyboard"/>
    <x v="6"/>
    <n v="850"/>
    <n v="1105"/>
    <n v="2"/>
    <n v="1700"/>
    <n v="2210"/>
    <s v="Aadil Khan"/>
    <n v="3315"/>
  </r>
  <r>
    <s v="142033"/>
    <x v="30"/>
    <s v="Haridas Balraj"/>
    <s v="10/05/2021"/>
    <s v="Shipped"/>
    <s v="Ergonomic Mouse"/>
    <s v="Mouse"/>
    <x v="0"/>
    <n v="650"/>
    <n v="845"/>
    <n v="2"/>
    <n v="1300"/>
    <n v="1690"/>
    <s v="Advika Joshi"/>
    <n v="1690"/>
  </r>
  <r>
    <s v="142034"/>
    <x v="31"/>
    <s v="Kundan Kumar"/>
    <s v="10/05/2021"/>
    <s v="Order"/>
    <s v="15&quot; LCD Dsipaly"/>
    <s v="Monitor"/>
    <x v="6"/>
    <n v="7500"/>
    <n v="9750"/>
    <n v="3"/>
    <n v="22500"/>
    <n v="29250"/>
    <s v="Ajay Sharma"/>
    <n v="9750"/>
  </r>
  <r>
    <s v="142035"/>
    <x v="32"/>
    <s v="Atif Siddiqui"/>
    <s v="10/05/2021"/>
    <s v="Processing"/>
    <s v="80 TB HDD"/>
    <s v="HDD"/>
    <x v="7"/>
    <n v="10000"/>
    <n v="13000"/>
    <n v="1"/>
    <n v="10000"/>
    <n v="13000"/>
    <s v="Roshan Kumar"/>
    <n v="39000"/>
  </r>
  <r>
    <s v="142036"/>
    <x v="0"/>
    <s v="Aditya Agarwal"/>
    <s v="10/05/2021"/>
    <s v="Delivered"/>
    <s v="79 TB SSD"/>
    <s v="SSD"/>
    <x v="0"/>
    <n v="10500"/>
    <n v="13650"/>
    <n v="3"/>
    <n v="31500"/>
    <n v="40950"/>
    <s v="Aarvi Gupta"/>
    <n v="8450"/>
  </r>
  <r>
    <s v="142037"/>
    <x v="23"/>
    <s v="Firdoush Jabee"/>
    <s v="10/05/2021"/>
    <s v="Shipped"/>
    <s v="Intel i5 12th gen."/>
    <s v="CPU"/>
    <x v="1"/>
    <n v="8500"/>
    <n v="11050"/>
    <n v="4"/>
    <n v="34000"/>
    <n v="44200"/>
    <s v="Vijay Singh"/>
    <n v="33150"/>
  </r>
  <r>
    <s v="142038"/>
    <x v="1"/>
    <s v="Jay Prakash Kumar"/>
    <s v="10/05/2021"/>
    <s v="Order"/>
    <s v="2GB Graphic Card"/>
    <s v="Graphic Card"/>
    <x v="2"/>
    <n v="7000"/>
    <n v="9100"/>
    <n v="3"/>
    <n v="21000"/>
    <n v="27300"/>
    <s v="Aadil Khan"/>
    <n v="18200"/>
  </r>
  <r>
    <s v="142039"/>
    <x v="2"/>
    <s v="Ashish Pandey"/>
    <s v="10/05/2021"/>
    <s v="Processing"/>
    <s v="82 GB DDR4 Ram"/>
    <s v="RAM"/>
    <x v="3"/>
    <n v="1680"/>
    <n v="2184"/>
    <n v="2"/>
    <n v="3360"/>
    <n v="4368"/>
    <s v="Advika Joshi"/>
    <n v="25545"/>
  </r>
  <r>
    <s v="142040"/>
    <x v="3"/>
    <s v="Ajay Sharma"/>
    <s v="10/05/2021"/>
    <s v="Delivered"/>
    <s v="Micro ATX motherboard"/>
    <s v="MotherBoard"/>
    <x v="8"/>
    <n v="6540"/>
    <n v="8502"/>
    <n v="3"/>
    <n v="19620"/>
    <n v="25506"/>
    <s v="Ajay Sharma"/>
    <n v="39780"/>
  </r>
  <r>
    <s v="142041"/>
    <x v="24"/>
    <s v="Moinuddin Saifi"/>
    <s v="10/05/2021"/>
    <s v="Shipped"/>
    <s v="Gaming Box Cabinet"/>
    <s v="Cabinet"/>
    <x v="5"/>
    <n v="2680"/>
    <n v="3484"/>
    <n v="3"/>
    <n v="8040"/>
    <n v="10452"/>
    <s v="Roshan Kumar"/>
    <n v="2990"/>
  </r>
  <r>
    <s v="142042"/>
    <x v="25"/>
    <s v="Ramkrishna Das Adhikary"/>
    <s v="10/05/2021"/>
    <s v="Order"/>
    <s v="17&quot; LCD Display"/>
    <s v="Monitor"/>
    <x v="0"/>
    <n v="8250"/>
    <n v="10725"/>
    <n v="2"/>
    <n v="16500"/>
    <n v="21450"/>
    <s v="Aarvi Gupta"/>
    <n v="9750"/>
  </r>
  <r>
    <s v="142043"/>
    <x v="33"/>
    <s v="Ranjeet Mandal"/>
    <s v="10/05/2021"/>
    <s v="Processing"/>
    <s v="86 GB DDR4 RAM"/>
    <s v="RAM"/>
    <x v="0"/>
    <n v="2650"/>
    <n v="3445"/>
    <n v="4"/>
    <n v="10600"/>
    <n v="13780"/>
    <s v="Vijay Singh"/>
    <n v="25545"/>
  </r>
  <r>
    <s v="142044"/>
    <x v="34"/>
    <s v="Ashwini Adsare"/>
    <s v="10/05/2021"/>
    <s v="Delivered"/>
    <s v="26&quot; LCD Display"/>
    <s v="Monitor"/>
    <x v="9"/>
    <n v="12550"/>
    <n v="16315"/>
    <n v="4"/>
    <n v="50200"/>
    <n v="65260"/>
    <s v="Aadil Khan"/>
    <n v="9750"/>
  </r>
  <r>
    <s v="142045"/>
    <x v="4"/>
    <s v="Rajesh Variya"/>
    <s v="10/05/2021"/>
    <s v="Shipped"/>
    <s v="I7 - intel 12th Generation"/>
    <s v="CPU"/>
    <x v="1"/>
    <n v="14500"/>
    <n v="18850"/>
    <n v="4"/>
    <n v="58000"/>
    <n v="75400"/>
    <s v="Advika Joshi"/>
    <n v="33150"/>
  </r>
  <r>
    <s v="142046"/>
    <x v="5"/>
    <s v="Amit Singh"/>
    <s v="10/05/2021"/>
    <s v="Order"/>
    <s v="USB Keyboard"/>
    <s v="Keyboard"/>
    <x v="6"/>
    <n v="800"/>
    <n v="1040"/>
    <n v="4"/>
    <n v="3200"/>
    <n v="4160"/>
    <s v="Ajay Sharma"/>
    <n v="3315"/>
  </r>
  <r>
    <s v="142047"/>
    <x v="6"/>
    <s v="Vinod Mehta"/>
    <s v="10/05/2021"/>
    <s v="Processing"/>
    <s v="Wireless Mouse"/>
    <s v="Mouse"/>
    <x v="0"/>
    <n v="600"/>
    <n v="780"/>
    <n v="4"/>
    <n v="2400"/>
    <n v="3120"/>
    <s v="Roshan Kumar"/>
    <n v="1690"/>
  </r>
  <r>
    <s v="142048"/>
    <x v="7"/>
    <s v="Jignesh Mhatre"/>
    <s v="11/05/2021"/>
    <s v="Delivered"/>
    <s v="21&quot; LCD Display"/>
    <s v="Monitor"/>
    <x v="6"/>
    <n v="10500"/>
    <n v="13650"/>
    <n v="2"/>
    <n v="21000"/>
    <n v="27300"/>
    <s v="Aarvi Gupta"/>
    <n v="9750"/>
  </r>
  <r>
    <s v="142049"/>
    <x v="26"/>
    <s v="Rahul Kashyap"/>
    <s v="11/05/2021"/>
    <s v="Shipped"/>
    <s v="80 TB HDD"/>
    <s v="HDD"/>
    <x v="10"/>
    <n v="6500"/>
    <n v="8450"/>
    <n v="2"/>
    <n v="13000"/>
    <n v="16900"/>
    <s v="Vijay Singh"/>
    <n v="39000"/>
  </r>
  <r>
    <s v="142050"/>
    <x v="27"/>
    <s v="Mohammed Abdul Kaleem"/>
    <s v="11/05/2021"/>
    <s v="Order"/>
    <s v="335 GB SSD"/>
    <s v="SSD"/>
    <x v="0"/>
    <n v="4500"/>
    <n v="5850"/>
    <n v="2"/>
    <n v="9000"/>
    <n v="11700"/>
    <s v="Aadil Khan"/>
    <n v="8450"/>
  </r>
  <r>
    <s v="142051"/>
    <x v="8"/>
    <s v="Chandrakant Kasbe"/>
    <s v="11/05/2021"/>
    <s v="Processing"/>
    <s v="Intel i3 11th gen."/>
    <s v="CPU"/>
    <x v="1"/>
    <n v="8500"/>
    <n v="11050"/>
    <n v="2"/>
    <n v="17000"/>
    <n v="22100"/>
    <s v="Advika Joshi"/>
    <n v="33150"/>
  </r>
  <r>
    <s v="142052"/>
    <x v="9"/>
    <s v="Rohan Kale"/>
    <s v="11/05/2021"/>
    <s v="Delivered"/>
    <s v="4GB Graphic card"/>
    <s v="Graphic Card"/>
    <x v="2"/>
    <n v="12500"/>
    <n v="16250"/>
    <n v="2"/>
    <n v="25000"/>
    <n v="32500"/>
    <s v="Ajay Sharma"/>
    <n v="18200"/>
  </r>
  <r>
    <s v="142053"/>
    <x v="10"/>
    <s v="Aniruddha Kekapure"/>
    <s v="11/05/2021"/>
    <s v="Shipped"/>
    <s v="87 GB DDR4 RAM"/>
    <s v="Computer Case"/>
    <x v="3"/>
    <n v="3500"/>
    <n v="4550"/>
    <n v="3"/>
    <n v="10500"/>
    <n v="13650"/>
    <s v="Roshan Kumar"/>
    <n v="13650"/>
  </r>
  <r>
    <s v="142054"/>
    <x v="11"/>
    <s v="Aslam Raza"/>
    <s v="11/05/2021"/>
    <s v="Order"/>
    <s v="BTX motherboard"/>
    <s v="Mouse"/>
    <x v="4"/>
    <n v="4500"/>
    <n v="5850"/>
    <n v="3"/>
    <n v="13500"/>
    <n v="17550"/>
    <s v="Aarvi Gupta"/>
    <n v="1690"/>
  </r>
  <r>
    <s v="142055"/>
    <x v="12"/>
    <s v="Roshan Zameer"/>
    <s v="11/05/2021"/>
    <s v="Processing"/>
    <s v="82 Fans Cabinet"/>
    <s v="Cabinet"/>
    <x v="5"/>
    <n v="2100"/>
    <n v="2730"/>
    <n v="4"/>
    <n v="8400"/>
    <n v="10920"/>
    <s v="Vijay Singh"/>
    <n v="2990"/>
  </r>
  <r>
    <s v="142056"/>
    <x v="13"/>
    <s v="Rakesh Kumar Sharma"/>
    <s v="11/05/2021"/>
    <s v="Delivered"/>
    <s v="Wireless Keyboard"/>
    <s v="Keyboard"/>
    <x v="6"/>
    <n v="1150"/>
    <n v="1495"/>
    <n v="3"/>
    <n v="3450"/>
    <n v="4485"/>
    <s v="Aadil Khan"/>
    <n v="3315"/>
  </r>
  <r>
    <s v="142057"/>
    <x v="14"/>
    <s v="Shivanand Sahani"/>
    <s v="11/05/2021"/>
    <s v="Shipped"/>
    <s v="USB Mouse"/>
    <s v="Mouse"/>
    <x v="0"/>
    <n v="350"/>
    <n v="455"/>
    <n v="4"/>
    <n v="1400"/>
    <n v="1820"/>
    <s v="Advika Joshi"/>
    <n v="1690"/>
  </r>
  <r>
    <s v="142058"/>
    <x v="15"/>
    <s v="Kunal Patra"/>
    <s v="11/05/2021"/>
    <s v="Order"/>
    <s v="19&quot; LED Display"/>
    <s v="Monitor"/>
    <x v="6"/>
    <n v="9500"/>
    <n v="12350"/>
    <n v="3"/>
    <n v="28500"/>
    <n v="37050"/>
    <s v="Ajay Sharma"/>
    <n v="9750"/>
  </r>
  <r>
    <s v="142059"/>
    <x v="16"/>
    <s v="Bijendra"/>
    <s v="11/05/2021"/>
    <s v="Processing"/>
    <s v="81 TB HDD"/>
    <s v="HDD"/>
    <x v="10"/>
    <n v="10000"/>
    <n v="13000"/>
    <n v="3"/>
    <n v="30000"/>
    <n v="39000"/>
    <s v="Roshan Kumar"/>
    <n v="39000"/>
  </r>
  <r>
    <s v="142060"/>
    <x v="17"/>
    <s v="Kranti Bheke"/>
    <s v="11/05/2021"/>
    <s v="Delivered"/>
    <s v="591 GB M.2"/>
    <s v="SSD"/>
    <x v="0"/>
    <n v="6500"/>
    <n v="8450"/>
    <n v="3"/>
    <n v="19500"/>
    <n v="25350"/>
    <s v="Aarvi Gupta"/>
    <n v="8450"/>
  </r>
  <r>
    <s v="142061"/>
    <x v="18"/>
    <s v="Jagdeep"/>
    <s v="11/05/2021"/>
    <s v="Shipped"/>
    <s v="RYZEN 3rd gen. 3579"/>
    <s v="CPU"/>
    <x v="1"/>
    <n v="8500"/>
    <n v="11050"/>
    <n v="4"/>
    <n v="34000"/>
    <n v="44200"/>
    <s v="Vijay Singh"/>
    <n v="33150"/>
  </r>
  <r>
    <s v="142062"/>
    <x v="19"/>
    <s v="Adhir Samal"/>
    <s v="11/05/2021"/>
    <s v="Order"/>
    <s v="2GB Graphic Card"/>
    <s v="Graphic Card"/>
    <x v="2"/>
    <n v="7000"/>
    <n v="9100"/>
    <n v="4"/>
    <n v="28000"/>
    <n v="36400"/>
    <s v="Aadil Khan"/>
    <n v="18200"/>
  </r>
  <r>
    <s v="142063"/>
    <x v="20"/>
    <s v="Dannana Jhammi"/>
    <s v="11/05/2021"/>
    <s v="Processing"/>
    <s v="95 GB DDR4 RAM"/>
    <s v="Computer Case"/>
    <x v="3"/>
    <n v="6550"/>
    <n v="8515"/>
    <n v="1"/>
    <n v="6550"/>
    <n v="8515"/>
    <s v="Advika Joshi"/>
    <n v="13650"/>
  </r>
  <r>
    <s v="142064"/>
    <x v="16"/>
    <s v="Vipin Kumar"/>
    <s v="11/05/2021"/>
    <s v="Delivered"/>
    <s v="Standard ATX motherboard"/>
    <s v="Mouse"/>
    <x v="4"/>
    <n v="7650"/>
    <n v="9945"/>
    <n v="3"/>
    <n v="22950"/>
    <n v="29835"/>
    <s v="Ajay Sharma"/>
    <n v="1690"/>
  </r>
  <r>
    <s v="142065"/>
    <x v="17"/>
    <s v="Ranjeet Kumar"/>
    <s v="11/05/2021"/>
    <s v="Shipped"/>
    <s v="Compact with 1 Fan"/>
    <s v="Cabinet"/>
    <x v="5"/>
    <n v="1150"/>
    <n v="1495"/>
    <n v="4"/>
    <n v="4600"/>
    <n v="5980"/>
    <s v="Roshan Kumar"/>
    <n v="2990"/>
  </r>
  <r>
    <s v="142066"/>
    <x v="27"/>
    <s v="Sajal Singhal"/>
    <s v="11/05/2021"/>
    <s v="Order"/>
    <s v="USB Backlight Keyboard"/>
    <s v="Keyboard"/>
    <x v="6"/>
    <n v="850"/>
    <n v="1105"/>
    <n v="4"/>
    <n v="3400"/>
    <n v="4420"/>
    <s v="Aarvi Gupta"/>
    <n v="3315"/>
  </r>
  <r>
    <s v="142067"/>
    <x v="22"/>
    <s v="Akhilesh Kumar"/>
    <s v="11/05/2021"/>
    <s v="Processing"/>
    <s v="Ergonomic Mouse"/>
    <s v="Mouse"/>
    <x v="0"/>
    <n v="650"/>
    <n v="845"/>
    <n v="1"/>
    <n v="650"/>
    <n v="845"/>
    <s v="Vijay Singh"/>
    <n v="1690"/>
  </r>
  <r>
    <s v="142068"/>
    <x v="28"/>
    <s v="Suvankar Chakraborty"/>
    <s v="11/05/2021"/>
    <s v="Delivered"/>
    <s v="15&quot; LCD Dsipaly"/>
    <s v="Monitor"/>
    <x v="6"/>
    <n v="7500"/>
    <n v="9750"/>
    <n v="1"/>
    <n v="7500"/>
    <n v="9750"/>
    <s v="Aadil Khan"/>
    <n v="9750"/>
  </r>
  <r>
    <s v="142069"/>
    <x v="29"/>
    <s v="Suvankar Adhikary"/>
    <s v="11/05/2021"/>
    <s v="Shipped"/>
    <s v="81 TB HDD"/>
    <s v="HDD"/>
    <x v="7"/>
    <n v="10000"/>
    <n v="13000"/>
    <n v="1"/>
    <n v="10000"/>
    <n v="13000"/>
    <s v="Advika Joshi"/>
    <n v="39000"/>
  </r>
  <r>
    <s v="142070"/>
    <x v="30"/>
    <s v="Rahul Kumar Prajapati"/>
    <s v="11/05/2021"/>
    <s v="Order"/>
    <s v="80 TB SSD"/>
    <s v="SSD"/>
    <x v="0"/>
    <n v="10500"/>
    <n v="13650"/>
    <n v="3"/>
    <n v="31500"/>
    <n v="40950"/>
    <s v="Ajay Sharma"/>
    <n v="8450"/>
  </r>
  <r>
    <s v="142071"/>
    <x v="31"/>
    <s v="Sagar Jeur"/>
    <s v="11/05/2021"/>
    <s v="Processing"/>
    <s v="Intel i5 12th gen."/>
    <s v="CPU"/>
    <x v="1"/>
    <n v="8500"/>
    <n v="11050"/>
    <n v="4"/>
    <n v="34000"/>
    <n v="44200"/>
    <s v="Roshan Kumar"/>
    <n v="33150"/>
  </r>
  <r>
    <s v="142072"/>
    <x v="32"/>
    <s v="Rhushikesh Mane"/>
    <s v="11/05/2021"/>
    <s v="Delivered"/>
    <s v="2GB Graphic Card"/>
    <s v="Graphic Card"/>
    <x v="2"/>
    <n v="7000"/>
    <n v="9100"/>
    <n v="2"/>
    <n v="14000"/>
    <n v="18200"/>
    <s v="Aarvi Gupta"/>
    <n v="18200"/>
  </r>
  <r>
    <s v="142073"/>
    <x v="0"/>
    <s v="Ashish Kumar"/>
    <s v="11/05/2021"/>
    <s v="Shipped"/>
    <s v="83 GB DDR4 Ram"/>
    <s v="Computer Case"/>
    <x v="3"/>
    <n v="1680"/>
    <n v="2184"/>
    <n v="2"/>
    <n v="3360"/>
    <n v="4368"/>
    <s v="Vijay Singh"/>
    <n v="13650"/>
  </r>
  <r>
    <s v="142074"/>
    <x v="23"/>
    <s v="Javed Akhter"/>
    <s v="11/05/2021"/>
    <s v="Order"/>
    <s v="Micro ATX motherboard"/>
    <s v="Mouse"/>
    <x v="8"/>
    <n v="6540"/>
    <n v="8502"/>
    <n v="1"/>
    <n v="6540"/>
    <n v="8502"/>
    <s v="Aadil Khan"/>
    <n v="1690"/>
  </r>
  <r>
    <s v="142075"/>
    <x v="1"/>
    <s v="Haridas Balraj"/>
    <s v="11/05/2021"/>
    <s v="Processing"/>
    <s v="Gaming Box Cabinet"/>
    <s v="Cabinet"/>
    <x v="5"/>
    <n v="2680"/>
    <n v="3484"/>
    <n v="4"/>
    <n v="10720"/>
    <n v="13936"/>
    <s v="Advika Joshi"/>
    <n v="2990"/>
  </r>
  <r>
    <s v="142076"/>
    <x v="2"/>
    <s v="Kundan Kumar"/>
    <s v="11/05/2021"/>
    <s v="Delivered"/>
    <s v="17&quot; LCD Display"/>
    <s v="Monitor"/>
    <x v="0"/>
    <n v="8250"/>
    <n v="10725"/>
    <n v="3"/>
    <n v="24750"/>
    <n v="32175"/>
    <s v="Ajay Sharma"/>
    <n v="9750"/>
  </r>
  <r>
    <s v="142077"/>
    <x v="3"/>
    <s v="Atif Siddiqui"/>
    <s v="11/05/2021"/>
    <s v="Shipped"/>
    <s v="87 GB DDR4 RAM"/>
    <s v="RAM"/>
    <x v="0"/>
    <n v="2650"/>
    <n v="3445"/>
    <n v="3"/>
    <n v="7950"/>
    <n v="10335"/>
    <s v="Roshan Kumar"/>
    <n v="25545"/>
  </r>
  <r>
    <s v="142078"/>
    <x v="24"/>
    <s v="Aditya Agarwal"/>
    <s v="11/05/2021"/>
    <s v="Order"/>
    <s v="26&quot; LCD Display"/>
    <s v="Monitor"/>
    <x v="9"/>
    <n v="12550"/>
    <n v="16315"/>
    <n v="2"/>
    <n v="25100"/>
    <n v="32630"/>
    <s v="Aarvi Gupta"/>
    <n v="9750"/>
  </r>
  <r>
    <s v="142079"/>
    <x v="25"/>
    <s v="Firdoush Jabee"/>
    <s v="11/05/2021"/>
    <s v="Processing"/>
    <s v="I7 - intel 12th Generation"/>
    <s v="CPU"/>
    <x v="1"/>
    <n v="14500"/>
    <n v="18850"/>
    <n v="4"/>
    <n v="58000"/>
    <n v="75400"/>
    <s v="Vijay Singh"/>
    <n v="33150"/>
  </r>
  <r>
    <s v="142080"/>
    <x v="33"/>
    <s v="Jay Prakash Kumar"/>
    <s v="11/05/2021"/>
    <s v="Delivered"/>
    <s v="USB Keyboard"/>
    <s v="Keyboard"/>
    <x v="6"/>
    <n v="800"/>
    <n v="1040"/>
    <n v="1"/>
    <n v="800"/>
    <n v="1040"/>
    <s v="Aadil Khan"/>
    <n v="3315"/>
  </r>
  <r>
    <s v="142081"/>
    <x v="34"/>
    <s v="Ashish Pandey"/>
    <s v="11/05/2021"/>
    <s v="Shipped"/>
    <s v="Wireless Mouse"/>
    <s v="Mouse"/>
    <x v="0"/>
    <n v="600"/>
    <n v="780"/>
    <n v="4"/>
    <n v="2400"/>
    <n v="3120"/>
    <s v="Advika Joshi"/>
    <n v="1690"/>
  </r>
  <r>
    <s v="142082"/>
    <x v="4"/>
    <s v="Ajay Sharma"/>
    <s v="11/05/2021"/>
    <s v="Order"/>
    <s v="21&quot; LCD Display"/>
    <s v="Monitor"/>
    <x v="6"/>
    <n v="10500"/>
    <n v="13650"/>
    <n v="3"/>
    <n v="31500"/>
    <n v="40950"/>
    <s v="Ajay Sharma"/>
    <n v="9750"/>
  </r>
  <r>
    <s v="142083"/>
    <x v="5"/>
    <s v="Moinuddin Saifi"/>
    <s v="11/05/2021"/>
    <s v="Processing"/>
    <s v="81 TB HDD"/>
    <s v="HDD"/>
    <x v="10"/>
    <n v="6500"/>
    <n v="8450"/>
    <n v="4"/>
    <n v="26000"/>
    <n v="33800"/>
    <s v="Roshan Kumar"/>
    <n v="39000"/>
  </r>
  <r>
    <s v="142084"/>
    <x v="6"/>
    <s v="Ramkrishna Das Adhikary"/>
    <s v="11/05/2021"/>
    <s v="Delivered"/>
    <s v="336 GB SSD"/>
    <s v="SSD"/>
    <x v="0"/>
    <n v="4500"/>
    <n v="5850"/>
    <n v="1"/>
    <n v="4500"/>
    <n v="5850"/>
    <s v="Aarvi Gupta"/>
    <n v="8450"/>
  </r>
  <r>
    <s v="142085"/>
    <x v="7"/>
    <s v="Ranjeet Mandal"/>
    <s v="11/05/2021"/>
    <s v="Shipped"/>
    <s v="Intel i3 11th gen."/>
    <s v="CPU"/>
    <x v="1"/>
    <n v="8500"/>
    <n v="11050"/>
    <n v="4"/>
    <n v="34000"/>
    <n v="44200"/>
    <s v="Vijay Singh"/>
    <n v="33150"/>
  </r>
  <r>
    <s v="142086"/>
    <x v="26"/>
    <s v="Ashwini Adsare"/>
    <s v="11/05/2021"/>
    <s v="Order"/>
    <s v="4GB Graphic card"/>
    <s v="Graphic Card"/>
    <x v="2"/>
    <n v="12500"/>
    <n v="16250"/>
    <n v="4"/>
    <n v="50000"/>
    <n v="65000"/>
    <s v="Aadil Khan"/>
    <n v="18200"/>
  </r>
  <r>
    <s v="142087"/>
    <x v="27"/>
    <s v="Rajesh Variya"/>
    <s v="11/05/2021"/>
    <s v="Processing"/>
    <s v="88 GB DDR4 RAM"/>
    <s v="NIC"/>
    <x v="3"/>
    <n v="3500"/>
    <n v="4550"/>
    <n v="3"/>
    <n v="10500"/>
    <n v="13650"/>
    <s v="Advika Joshi"/>
    <n v="9100"/>
  </r>
  <r>
    <s v="142088"/>
    <x v="8"/>
    <s v="Amit Singh"/>
    <s v="11/05/2021"/>
    <s v="Delivered"/>
    <s v="BTX motherboard"/>
    <s v="Printer"/>
    <x v="4"/>
    <n v="4500"/>
    <n v="5850"/>
    <n v="4"/>
    <n v="18000"/>
    <n v="23400"/>
    <s v="Ajay Sharma"/>
    <n v="11700"/>
  </r>
  <r>
    <s v="142089"/>
    <x v="9"/>
    <s v="Vinod Mehta"/>
    <s v="11/05/2021"/>
    <s v="Shipped"/>
    <s v="83 Fans Cabinet"/>
    <s v="Cabinet"/>
    <x v="5"/>
    <n v="2100"/>
    <n v="2730"/>
    <n v="4"/>
    <n v="8400"/>
    <n v="10920"/>
    <s v="Roshan Kumar"/>
    <n v="2990"/>
  </r>
  <r>
    <s v="142090"/>
    <x v="10"/>
    <s v="Jignesh Mhatre"/>
    <s v="11/05/2021"/>
    <s v="Order"/>
    <s v="Wireless Keyboard"/>
    <s v="Keyboard"/>
    <x v="6"/>
    <n v="1150"/>
    <n v="1495"/>
    <n v="2"/>
    <n v="2300"/>
    <n v="2990"/>
    <s v="Aarvi Gupta"/>
    <n v="3315"/>
  </r>
  <r>
    <s v="142091"/>
    <x v="11"/>
    <s v="Rahul Kashyap"/>
    <s v="11/05/2021"/>
    <s v="Processing"/>
    <s v="USB Mouse"/>
    <s v="Mouse"/>
    <x v="0"/>
    <n v="350"/>
    <n v="455"/>
    <n v="2"/>
    <n v="700"/>
    <n v="910"/>
    <s v="Vijay Singh"/>
    <n v="1690"/>
  </r>
  <r>
    <s v="142092"/>
    <x v="12"/>
    <s v="Mohammed Abdul Kaleem"/>
    <s v="11/05/2021"/>
    <s v="Delivered"/>
    <s v="19&quot; LED Display"/>
    <s v="Monitor"/>
    <x v="6"/>
    <n v="9500"/>
    <n v="12350"/>
    <n v="3"/>
    <n v="28500"/>
    <n v="37050"/>
    <s v="Aadil Khan"/>
    <n v="9750"/>
  </r>
  <r>
    <s v="142093"/>
    <x v="13"/>
    <s v="Chandrakant Kasbe"/>
    <s v="11/05/2021"/>
    <s v="Shipped"/>
    <s v="82 TB HDD"/>
    <s v="HDD"/>
    <x v="10"/>
    <n v="10000"/>
    <n v="13000"/>
    <n v="4"/>
    <n v="40000"/>
    <n v="52000"/>
    <s v="Advika Joshi"/>
    <n v="39000"/>
  </r>
  <r>
    <s v="142094"/>
    <x v="14"/>
    <s v="Rohan Kale"/>
    <s v="11/05/2021"/>
    <s v="Order"/>
    <s v="592 GB M.2"/>
    <s v="SSD"/>
    <x v="0"/>
    <n v="6500"/>
    <n v="8450"/>
    <n v="4"/>
    <n v="26000"/>
    <n v="33800"/>
    <s v="Ajay Sharma"/>
    <n v="8450"/>
  </r>
  <r>
    <s v="142095"/>
    <x v="15"/>
    <s v="Aniruddha Kekapure"/>
    <s v="11/05/2021"/>
    <s v="Processing"/>
    <s v="RYZEN 3rd gen. 3580"/>
    <s v="CPU"/>
    <x v="1"/>
    <n v="8500"/>
    <n v="11050"/>
    <n v="3"/>
    <n v="25500"/>
    <n v="33150"/>
    <s v="Roshan Kumar"/>
    <n v="33150"/>
  </r>
  <r>
    <s v="142096"/>
    <x v="16"/>
    <s v="Aslam Raza"/>
    <s v="12/05/2021"/>
    <s v="Delivered"/>
    <s v="2GB Graphic Card"/>
    <s v="Graphic Card"/>
    <x v="2"/>
    <n v="7000"/>
    <n v="9100"/>
    <n v="1"/>
    <n v="7000"/>
    <n v="9100"/>
    <s v="Aarvi Gupta"/>
    <n v="18200"/>
  </r>
  <r>
    <s v="142097"/>
    <x v="17"/>
    <s v="Roshan Zameer"/>
    <s v="13/05/2021"/>
    <s v="Shipped"/>
    <s v="96 GB DDR4 RAM"/>
    <s v="NIC"/>
    <x v="3"/>
    <n v="6550"/>
    <n v="8515"/>
    <n v="1"/>
    <n v="6550"/>
    <n v="8515"/>
    <s v="Vijay Singh"/>
    <n v="9100"/>
  </r>
  <r>
    <s v="142098"/>
    <x v="18"/>
    <s v="Rakesh Kumar Sharma"/>
    <s v="14/05/2021"/>
    <s v="Order"/>
    <s v="Standard ATX motherboard"/>
    <s v="Printer"/>
    <x v="4"/>
    <n v="7650"/>
    <n v="9945"/>
    <n v="2"/>
    <n v="15300"/>
    <n v="19890"/>
    <s v="Aadil Khan"/>
    <n v="11700"/>
  </r>
  <r>
    <s v="142099"/>
    <x v="19"/>
    <s v="Shivanand Sahani"/>
    <s v="15/05/2021"/>
    <s v="Processing"/>
    <s v="Compact with 1 Fan"/>
    <s v="Cabinet"/>
    <x v="5"/>
    <n v="1150"/>
    <n v="1495"/>
    <n v="4"/>
    <n v="4600"/>
    <n v="5980"/>
    <s v="Advika Joshi"/>
    <n v="2990"/>
  </r>
  <r>
    <s v="142100"/>
    <x v="20"/>
    <s v="Kunal Patra"/>
    <s v="16/05/2021"/>
    <s v="Delivered"/>
    <s v="USB Backlight Keyboard"/>
    <s v="Keyboard"/>
    <x v="6"/>
    <n v="850"/>
    <n v="1105"/>
    <n v="1"/>
    <n v="850"/>
    <n v="1105"/>
    <s v="Ajay Sharma"/>
    <n v="3315"/>
  </r>
  <r>
    <s v="142101"/>
    <x v="16"/>
    <s v="Bijendra"/>
    <s v="17/05/2021"/>
    <s v="Shipped"/>
    <s v="Ergonomic Mouse"/>
    <s v="Mouse"/>
    <x v="0"/>
    <n v="650"/>
    <n v="845"/>
    <n v="4"/>
    <n v="2600"/>
    <n v="3380"/>
    <s v="Roshan Kumar"/>
    <n v="1690"/>
  </r>
  <r>
    <s v="142102"/>
    <x v="17"/>
    <s v="Kranti Bheke"/>
    <s v="18/05/2021"/>
    <s v="Order"/>
    <s v="15&quot; LCD Dsipaly"/>
    <s v="Monitor"/>
    <x v="6"/>
    <n v="7500"/>
    <n v="9750"/>
    <n v="1"/>
    <n v="7500"/>
    <n v="9750"/>
    <s v="Aarvi Gupta"/>
    <n v="9750"/>
  </r>
  <r>
    <s v="142103"/>
    <x v="27"/>
    <s v="Jagdeep"/>
    <s v="19/05/2021"/>
    <s v="Processing"/>
    <s v="82 TB HDD"/>
    <s v="HDD"/>
    <x v="7"/>
    <n v="10000"/>
    <n v="13000"/>
    <n v="3"/>
    <n v="30000"/>
    <n v="39000"/>
    <s v="Vijay Singh"/>
    <n v="39000"/>
  </r>
  <r>
    <s v="142104"/>
    <x v="22"/>
    <s v="Adhir Samal"/>
    <s v="19/05/2021"/>
    <s v="Delivered"/>
    <s v="81 TB SSD"/>
    <s v="SSD"/>
    <x v="0"/>
    <n v="10500"/>
    <n v="13650"/>
    <n v="1"/>
    <n v="10500"/>
    <n v="13650"/>
    <s v="Aadil Khan"/>
    <n v="8450"/>
  </r>
  <r>
    <s v="142105"/>
    <x v="28"/>
    <s v="Dannana Jhammi"/>
    <s v="19/05/2021"/>
    <s v="Shipped"/>
    <s v="Intel i5 12th gen."/>
    <s v="CPU"/>
    <x v="1"/>
    <n v="8500"/>
    <n v="11050"/>
    <n v="4"/>
    <n v="34000"/>
    <n v="44200"/>
    <s v="Advika Joshi"/>
    <n v="33150"/>
  </r>
  <r>
    <s v="142106"/>
    <x v="29"/>
    <s v="Vipin Kumar"/>
    <s v="19/05/2021"/>
    <s v="Order"/>
    <s v="2GB Graphic Card"/>
    <s v="Graphic Card"/>
    <x v="2"/>
    <n v="7000"/>
    <n v="9100"/>
    <n v="2"/>
    <n v="14000"/>
    <n v="18200"/>
    <s v="Ajay Sharma"/>
    <n v="18200"/>
  </r>
  <r>
    <s v="142107"/>
    <x v="30"/>
    <s v="Ranjeet Kumar"/>
    <s v="19/05/2021"/>
    <s v="Processing"/>
    <s v="84 GB DDR4 Ram"/>
    <s v="NIC"/>
    <x v="3"/>
    <n v="1680"/>
    <n v="2184"/>
    <n v="3"/>
    <n v="5040"/>
    <n v="6552"/>
    <s v="Roshan Kumar"/>
    <n v="9100"/>
  </r>
  <r>
    <s v="142108"/>
    <x v="31"/>
    <s v="Sajal Singhal"/>
    <s v="19/05/2021"/>
    <s v="Delivered"/>
    <s v="Micro ATX motherboard"/>
    <s v="Printer"/>
    <x v="8"/>
    <n v="6540"/>
    <n v="8502"/>
    <n v="2"/>
    <n v="13080"/>
    <n v="17004"/>
    <s v="Aarvi Gupta"/>
    <n v="11700"/>
  </r>
  <r>
    <s v="142109"/>
    <x v="32"/>
    <s v="Akhilesh Kumar"/>
    <s v="19/05/2021"/>
    <s v="Shipped"/>
    <s v="Gaming Box Cabinet"/>
    <s v="Cabinet"/>
    <x v="5"/>
    <n v="2680"/>
    <n v="3484"/>
    <n v="4"/>
    <n v="10720"/>
    <n v="13936"/>
    <s v="Vijay Singh"/>
    <n v="2990"/>
  </r>
  <r>
    <s v="142110"/>
    <x v="0"/>
    <s v="Suvankar Chakraborty"/>
    <s v="19/05/2021"/>
    <s v="Order"/>
    <s v="17&quot; LCD Display"/>
    <s v="Monitor"/>
    <x v="0"/>
    <n v="8250"/>
    <n v="10725"/>
    <n v="3"/>
    <n v="24750"/>
    <n v="32175"/>
    <s v="Aadil Khan"/>
    <n v="9750"/>
  </r>
  <r>
    <s v="142111"/>
    <x v="23"/>
    <s v="Suvankar Adhikary"/>
    <s v="19/05/2021"/>
    <s v="Processing"/>
    <s v="88 GB DDR4 RAM"/>
    <s v="RAM"/>
    <x v="0"/>
    <n v="2650"/>
    <n v="3445"/>
    <n v="2"/>
    <n v="5300"/>
    <n v="6890"/>
    <s v="Advika Joshi"/>
    <n v="25545"/>
  </r>
  <r>
    <s v="142112"/>
    <x v="1"/>
    <s v="Rahul Kumar Prajapati"/>
    <s v="19/05/2021"/>
    <s v="Delivered"/>
    <s v="26&quot; LCD Display"/>
    <s v="Monitor"/>
    <x v="9"/>
    <n v="12550"/>
    <n v="16315"/>
    <n v="1"/>
    <n v="12550"/>
    <n v="16315"/>
    <s v="Ajay Sharma"/>
    <n v="9750"/>
  </r>
  <r>
    <s v="142113"/>
    <x v="2"/>
    <s v="Sagar Jeur"/>
    <s v="19/05/2021"/>
    <s v="Shipped"/>
    <s v="I7 - intel 12th Generation"/>
    <s v="CPU"/>
    <x v="1"/>
    <n v="14500"/>
    <n v="18850"/>
    <n v="3"/>
    <n v="43500"/>
    <n v="56550"/>
    <s v="Roshan Kumar"/>
    <n v="33150"/>
  </r>
  <r>
    <s v="142114"/>
    <x v="3"/>
    <s v="Rhushikesh Mane"/>
    <s v="19/05/2021"/>
    <s v="Order"/>
    <s v="USB Keyboard"/>
    <s v="Keyboard"/>
    <x v="6"/>
    <n v="800"/>
    <n v="1040"/>
    <n v="3"/>
    <n v="2400"/>
    <n v="3120"/>
    <s v="Aarvi Gupta"/>
    <n v="3315"/>
  </r>
  <r>
    <s v="142115"/>
    <x v="24"/>
    <s v="Ashish Kumar"/>
    <s v="19/05/2021"/>
    <s v="Processing"/>
    <s v="Wireless Mouse"/>
    <s v="Mouse"/>
    <x v="0"/>
    <n v="600"/>
    <n v="780"/>
    <n v="1"/>
    <n v="600"/>
    <n v="780"/>
    <s v="Vijay Singh"/>
    <n v="1690"/>
  </r>
  <r>
    <s v="142116"/>
    <x v="25"/>
    <s v="Javed Akhter"/>
    <s v="19/05/2021"/>
    <s v="Delivered"/>
    <s v="21&quot; LCD Display"/>
    <s v="Monitor"/>
    <x v="6"/>
    <n v="10500"/>
    <n v="13650"/>
    <n v="3"/>
    <n v="31500"/>
    <n v="40950"/>
    <s v="Aadil Khan"/>
    <n v="9750"/>
  </r>
  <r>
    <s v="142117"/>
    <x v="33"/>
    <s v="Haridas Balraj"/>
    <s v="19/05/2021"/>
    <s v="Shipped"/>
    <s v="82 TB HDD"/>
    <s v="HDD"/>
    <x v="10"/>
    <n v="6500"/>
    <n v="8450"/>
    <n v="4"/>
    <n v="26000"/>
    <n v="33800"/>
    <s v="Advika Joshi"/>
    <n v="39000"/>
  </r>
  <r>
    <s v="142118"/>
    <x v="34"/>
    <s v="Kundan Kumar"/>
    <s v="19/05/2021"/>
    <s v="Order"/>
    <s v="337 GB SSD"/>
    <s v="SSD"/>
    <x v="0"/>
    <n v="4500"/>
    <n v="5850"/>
    <n v="3"/>
    <n v="13500"/>
    <n v="17550"/>
    <s v="Ajay Sharma"/>
    <n v="8450"/>
  </r>
  <r>
    <s v="142119"/>
    <x v="4"/>
    <s v="Atif Siddiqui"/>
    <s v="19/05/2021"/>
    <s v="Processing"/>
    <s v="Intel i3 11th gen."/>
    <s v="CPU"/>
    <x v="1"/>
    <n v="8500"/>
    <n v="11050"/>
    <n v="3"/>
    <n v="25500"/>
    <n v="33150"/>
    <s v="Roshan Kumar"/>
    <n v="33150"/>
  </r>
  <r>
    <s v="142120"/>
    <x v="5"/>
    <s v="Aditya Agarwal"/>
    <s v="19/05/2021"/>
    <s v="Delivered"/>
    <s v="4GB Graphic card"/>
    <s v="Graphic Card"/>
    <x v="2"/>
    <n v="12500"/>
    <n v="16250"/>
    <n v="1"/>
    <n v="12500"/>
    <n v="16250"/>
    <s v="Aarvi Gupta"/>
    <n v="18200"/>
  </r>
  <r>
    <s v="142121"/>
    <x v="6"/>
    <s v="Firdoush Jabee"/>
    <s v="19/05/2021"/>
    <s v="Shipped"/>
    <s v="89 GB DDR4 RAM"/>
    <s v="RAM"/>
    <x v="3"/>
    <n v="3500"/>
    <n v="4550"/>
    <n v="1"/>
    <n v="3500"/>
    <n v="4550"/>
    <s v="Vijay Singh"/>
    <n v="25545"/>
  </r>
  <r>
    <s v="142122"/>
    <x v="7"/>
    <s v="Jay Prakash Kumar"/>
    <s v="19/05/2021"/>
    <s v="Order"/>
    <s v="BTX motherboard"/>
    <s v="MotherBoard"/>
    <x v="4"/>
    <n v="4500"/>
    <n v="5850"/>
    <n v="2"/>
    <n v="9000"/>
    <n v="11700"/>
    <s v="Aadil Khan"/>
    <n v="39780"/>
  </r>
  <r>
    <s v="142123"/>
    <x v="26"/>
    <s v="Ashish Pandey"/>
    <s v="19/05/2021"/>
    <s v="Processing"/>
    <s v="84 Fans Cabinet"/>
    <s v="Cabinet"/>
    <x v="5"/>
    <n v="2100"/>
    <n v="2730"/>
    <n v="1"/>
    <n v="2100"/>
    <n v="2730"/>
    <s v="Advika Joshi"/>
    <n v="2990"/>
  </r>
  <r>
    <s v="142124"/>
    <x v="27"/>
    <s v="Ajay Sharma"/>
    <s v="19/05/2021"/>
    <s v="Delivered"/>
    <s v="Wireless Keyboard"/>
    <s v="Keyboard"/>
    <x v="6"/>
    <n v="1150"/>
    <n v="1495"/>
    <n v="3"/>
    <n v="3450"/>
    <n v="4485"/>
    <s v="Ajay Sharma"/>
    <n v="3315"/>
  </r>
  <r>
    <s v="142125"/>
    <x v="8"/>
    <s v="Moinuddin Saifi"/>
    <s v="19/05/2021"/>
    <s v="Shipped"/>
    <s v="USB Mouse"/>
    <s v="Mouse"/>
    <x v="0"/>
    <n v="350"/>
    <n v="455"/>
    <n v="3"/>
    <n v="1050"/>
    <n v="1365"/>
    <s v="Roshan Kumar"/>
    <n v="1690"/>
  </r>
  <r>
    <s v="142126"/>
    <x v="9"/>
    <s v="Ramkrishna Das Adhikary"/>
    <s v="19/05/2021"/>
    <s v="Order"/>
    <s v="19&quot; LED Display"/>
    <s v="Monitor"/>
    <x v="6"/>
    <n v="9500"/>
    <n v="12350"/>
    <n v="2"/>
    <n v="19000"/>
    <n v="24700"/>
    <s v="Aarvi Gupta"/>
    <n v="9750"/>
  </r>
  <r>
    <s v="142127"/>
    <x v="10"/>
    <s v="Ranjeet Mandal"/>
    <s v="19/05/2021"/>
    <s v="Processing"/>
    <s v="83 TB HDD"/>
    <s v="HDD"/>
    <x v="10"/>
    <n v="10000"/>
    <n v="13000"/>
    <n v="3"/>
    <n v="30000"/>
    <n v="39000"/>
    <s v="Vijay Singh"/>
    <n v="39000"/>
  </r>
  <r>
    <s v="142128"/>
    <x v="11"/>
    <s v="Ashwini Adsare"/>
    <s v="19/05/2021"/>
    <s v="Delivered"/>
    <s v="593 GB M.2"/>
    <s v="SSD"/>
    <x v="0"/>
    <n v="6500"/>
    <n v="8450"/>
    <n v="1"/>
    <n v="6500"/>
    <n v="8450"/>
    <s v="Aadil Khan"/>
    <n v="8450"/>
  </r>
  <r>
    <s v="142129"/>
    <x v="12"/>
    <s v="Rajesh Variya"/>
    <s v="19/05/2021"/>
    <s v="Shipped"/>
    <s v="RYZEN 3rd gen. 3581"/>
    <s v="CPU"/>
    <x v="1"/>
    <n v="8500"/>
    <n v="11050"/>
    <n v="3"/>
    <n v="25500"/>
    <n v="33150"/>
    <s v="Advika Joshi"/>
    <n v="33150"/>
  </r>
  <r>
    <s v="142130"/>
    <x v="13"/>
    <s v="Amit Singh"/>
    <s v="19/05/2021"/>
    <s v="Order"/>
    <s v="2GB Graphic Card"/>
    <s v="Graphic Card"/>
    <x v="2"/>
    <n v="7000"/>
    <n v="9100"/>
    <n v="3"/>
    <n v="21000"/>
    <n v="27300"/>
    <s v="Ajay Sharma"/>
    <n v="18200"/>
  </r>
  <r>
    <s v="142131"/>
    <x v="14"/>
    <s v="Vinod Mehta"/>
    <s v="19/05/2021"/>
    <s v="Processing"/>
    <s v="97 GB DDR4 RAM"/>
    <s v="RAM"/>
    <x v="3"/>
    <n v="6550"/>
    <n v="8515"/>
    <n v="3"/>
    <n v="19650"/>
    <n v="25545"/>
    <s v="Roshan Kumar"/>
    <n v="25545"/>
  </r>
  <r>
    <s v="142132"/>
    <x v="15"/>
    <s v="Jignesh Mhatre"/>
    <s v="19/05/2021"/>
    <s v="Delivered"/>
    <s v="Standard ATX motherboard"/>
    <s v="MotherBoard"/>
    <x v="4"/>
    <n v="7650"/>
    <n v="9945"/>
    <n v="4"/>
    <n v="30600"/>
    <n v="39780"/>
    <s v="Aarvi Gupta"/>
    <n v="39780"/>
  </r>
  <r>
    <s v="142133"/>
    <x v="16"/>
    <s v="Rahul Kashyap"/>
    <s v="19/05/2021"/>
    <s v="Shipped"/>
    <s v="Compact with 1 Fan"/>
    <s v="Cabinet"/>
    <x v="5"/>
    <n v="1150"/>
    <n v="1495"/>
    <n v="2"/>
    <n v="2300"/>
    <n v="2990"/>
    <s v="Vijay Singh"/>
    <n v="2990"/>
  </r>
  <r>
    <s v="142134"/>
    <x v="17"/>
    <s v="Mohammed Abdul Kaleem"/>
    <s v="19/05/2021"/>
    <s v="Order"/>
    <s v="USB Backlight Keyboard"/>
    <s v="Keyboard"/>
    <x v="6"/>
    <n v="850"/>
    <n v="1105"/>
    <n v="1"/>
    <n v="850"/>
    <n v="1105"/>
    <s v="Aadil Khan"/>
    <n v="3315"/>
  </r>
  <r>
    <s v="142135"/>
    <x v="18"/>
    <s v="Chandrakant Kasbe"/>
    <s v="19/05/2021"/>
    <s v="Processing"/>
    <s v="Ergonomic Mouse"/>
    <s v="Mouse"/>
    <x v="0"/>
    <n v="650"/>
    <n v="845"/>
    <n v="2"/>
    <n v="1300"/>
    <n v="1690"/>
    <s v="Advika Joshi"/>
    <n v="1690"/>
  </r>
  <r>
    <s v="142136"/>
    <x v="19"/>
    <s v="Rohan Kale"/>
    <s v="19/05/2021"/>
    <s v="Delivered"/>
    <s v="15&quot; LCD Dsipaly"/>
    <s v="Monitor"/>
    <x v="6"/>
    <n v="7500"/>
    <n v="9750"/>
    <n v="1"/>
    <n v="7500"/>
    <n v="9750"/>
    <s v="Ajay Sharma"/>
    <n v="9750"/>
  </r>
  <r>
    <s v="142137"/>
    <x v="20"/>
    <s v="Aniruddha Kekapure"/>
    <s v="19/05/2021"/>
    <s v="Shipped"/>
    <s v="83 TB HDD"/>
    <s v="HDD"/>
    <x v="7"/>
    <n v="10000"/>
    <n v="13000"/>
    <n v="4"/>
    <n v="40000"/>
    <n v="52000"/>
    <s v="Roshan Kumar"/>
    <n v="39000"/>
  </r>
  <r>
    <s v="142138"/>
    <x v="16"/>
    <s v="Aslam Raza"/>
    <s v="19/05/2021"/>
    <s v="Order"/>
    <s v="82 TB SSD"/>
    <s v="SSD"/>
    <x v="0"/>
    <n v="10500"/>
    <n v="13650"/>
    <n v="4"/>
    <n v="42000"/>
    <n v="54600"/>
    <s v="Aarvi Gupta"/>
    <n v="8450"/>
  </r>
  <r>
    <s v="142139"/>
    <x v="17"/>
    <s v="Roshan Zameer"/>
    <s v="19/05/2021"/>
    <s v="Processing"/>
    <s v="Intel i5 12th gen."/>
    <s v="CPU"/>
    <x v="1"/>
    <n v="8500"/>
    <n v="11050"/>
    <n v="4"/>
    <n v="34000"/>
    <n v="44200"/>
    <s v="Vijay Singh"/>
    <n v="33150"/>
  </r>
  <r>
    <s v="142140"/>
    <x v="27"/>
    <s v="Rakesh Kumar Sharma"/>
    <s v="19/05/2021"/>
    <s v="Delivered"/>
    <s v="2GB Graphic Card"/>
    <s v="Graphic Card"/>
    <x v="2"/>
    <n v="7000"/>
    <n v="9100"/>
    <n v="1"/>
    <n v="7000"/>
    <n v="9100"/>
    <s v="Aadil Khan"/>
    <n v="18200"/>
  </r>
  <r>
    <s v="142141"/>
    <x v="22"/>
    <s v="Shivanand Sahani"/>
    <s v="20/05/2021"/>
    <s v="Shipped"/>
    <s v="85 GB DDR4 Ram"/>
    <s v="RAM"/>
    <x v="3"/>
    <n v="1680"/>
    <n v="2184"/>
    <n v="4"/>
    <n v="6720"/>
    <n v="8736"/>
    <s v="Advika Joshi"/>
    <n v="25545"/>
  </r>
  <r>
    <s v="142142"/>
    <x v="28"/>
    <s v="Kunal Patra"/>
    <s v="21/05/2021"/>
    <s v="Order"/>
    <s v="Micro ATX motherboard"/>
    <s v="MotherBoard"/>
    <x v="8"/>
    <n v="6540"/>
    <n v="8502"/>
    <n v="1"/>
    <n v="6540"/>
    <n v="8502"/>
    <s v="Ajay Sharma"/>
    <n v="39780"/>
  </r>
  <r>
    <s v="142143"/>
    <x v="29"/>
    <s v="Bijendra"/>
    <s v="22/05/2021"/>
    <s v="Processing"/>
    <s v="Gaming Box Cabinet"/>
    <s v="Cabinet"/>
    <x v="5"/>
    <n v="2680"/>
    <n v="3484"/>
    <n v="1"/>
    <n v="2680"/>
    <n v="3484"/>
    <s v="Roshan Kumar"/>
    <n v="2990"/>
  </r>
  <r>
    <s v="142144"/>
    <x v="30"/>
    <s v="Kranti Bheke"/>
    <s v="23/05/2021"/>
    <s v="Delivered"/>
    <s v="17&quot; LCD Display"/>
    <s v="Monitor"/>
    <x v="0"/>
    <n v="8250"/>
    <n v="10725"/>
    <n v="4"/>
    <n v="33000"/>
    <n v="42900"/>
    <s v="Aarvi Gupta"/>
    <n v="9750"/>
  </r>
  <r>
    <s v="142145"/>
    <x v="31"/>
    <s v="Jagdeep"/>
    <s v="24/05/2021"/>
    <s v="Shipped"/>
    <s v="89 GB DDR4 RAM"/>
    <s v="RAM"/>
    <x v="0"/>
    <n v="2650"/>
    <n v="3445"/>
    <n v="2"/>
    <n v="5300"/>
    <n v="6890"/>
    <s v="Vijay Singh"/>
    <n v="25545"/>
  </r>
  <r>
    <s v="142146"/>
    <x v="32"/>
    <s v="Adhir Samal"/>
    <s v="24/05/2021"/>
    <s v="Order"/>
    <s v="26&quot; LCD Display"/>
    <s v="Monitor"/>
    <x v="9"/>
    <n v="12550"/>
    <n v="16315"/>
    <n v="3"/>
    <n v="37650"/>
    <n v="48945"/>
    <s v="Aadil Khan"/>
    <n v="9750"/>
  </r>
  <r>
    <s v="142147"/>
    <x v="0"/>
    <s v="Dannana Jhammi"/>
    <s v="24/05/2021"/>
    <s v="Processing"/>
    <s v="I7 - intel 12th Generation"/>
    <s v="CPU"/>
    <x v="1"/>
    <n v="14500"/>
    <n v="18850"/>
    <n v="3"/>
    <n v="43500"/>
    <n v="56550"/>
    <s v="Advika Joshi"/>
    <n v="33150"/>
  </r>
  <r>
    <s v="142148"/>
    <x v="23"/>
    <s v="Vipin Kumar"/>
    <s v="24/05/2021"/>
    <s v="Delivered"/>
    <s v="USB Keyboard"/>
    <s v="Keyboard"/>
    <x v="6"/>
    <n v="800"/>
    <n v="1040"/>
    <n v="3"/>
    <n v="2400"/>
    <n v="3120"/>
    <s v="Ajay Sharma"/>
    <n v="3315"/>
  </r>
  <r>
    <s v="142149"/>
    <x v="1"/>
    <s v="Ranjeet Kumar"/>
    <s v="24/05/2021"/>
    <s v="Shipped"/>
    <s v="Wireless Mouse"/>
    <s v="Mouse"/>
    <x v="0"/>
    <n v="600"/>
    <n v="780"/>
    <n v="3"/>
    <n v="1800"/>
    <n v="2340"/>
    <s v="Roshan Kumar"/>
    <n v="1690"/>
  </r>
  <r>
    <s v="142150"/>
    <x v="2"/>
    <s v="Sajal Singhal"/>
    <s v="24/05/2021"/>
    <s v="Order"/>
    <s v="21&quot; LCD Display"/>
    <s v="Monitor"/>
    <x v="6"/>
    <n v="10500"/>
    <n v="13650"/>
    <n v="1"/>
    <n v="10500"/>
    <n v="13650"/>
    <s v="Aarvi Gupta"/>
    <n v="9750"/>
  </r>
  <r>
    <s v="142151"/>
    <x v="3"/>
    <s v="Akhilesh Kumar"/>
    <s v="24/05/2021"/>
    <s v="Processing"/>
    <s v="83 TB HDD"/>
    <s v="HDD"/>
    <x v="10"/>
    <n v="6500"/>
    <n v="8450"/>
    <n v="3"/>
    <n v="19500"/>
    <n v="25350"/>
    <s v="Vijay Singh"/>
    <n v="39000"/>
  </r>
  <r>
    <s v="142152"/>
    <x v="24"/>
    <s v="Suvankar Chakraborty"/>
    <s v="24/05/2021"/>
    <s v="Delivered"/>
    <s v="338 GB SSD"/>
    <s v="SSD"/>
    <x v="0"/>
    <n v="4500"/>
    <n v="5850"/>
    <n v="4"/>
    <n v="18000"/>
    <n v="23400"/>
    <s v="Aadil Khan"/>
    <n v="8450"/>
  </r>
  <r>
    <s v="142153"/>
    <x v="25"/>
    <s v="Suvankar Adhikary"/>
    <s v="24/05/2021"/>
    <s v="Shipped"/>
    <s v="Intel i3 11th gen."/>
    <s v="CPU"/>
    <x v="1"/>
    <n v="8500"/>
    <n v="11050"/>
    <n v="4"/>
    <n v="34000"/>
    <n v="44200"/>
    <s v="Advika Joshi"/>
    <n v="33150"/>
  </r>
  <r>
    <s v="142154"/>
    <x v="33"/>
    <s v="Rahul Kumar Prajapati"/>
    <s v="24/05/2021"/>
    <s v="Order"/>
    <s v="4GB Graphic card"/>
    <s v="Graphic Card"/>
    <x v="2"/>
    <n v="12500"/>
    <n v="16250"/>
    <n v="3"/>
    <n v="37500"/>
    <n v="48750"/>
    <s v="Ajay Sharma"/>
    <n v="18200"/>
  </r>
  <r>
    <s v="142155"/>
    <x v="34"/>
    <s v="Sagar Jeur"/>
    <s v="24/05/2021"/>
    <s v="Processing"/>
    <s v="90 GB DDR4 RAM"/>
    <s v="Computer Case"/>
    <x v="3"/>
    <n v="3500"/>
    <n v="4550"/>
    <n v="4"/>
    <n v="14000"/>
    <n v="18200"/>
    <s v="Roshan Kumar"/>
    <n v="13650"/>
  </r>
  <r>
    <s v="142156"/>
    <x v="4"/>
    <s v="Rhushikesh Mane"/>
    <s v="24/05/2021"/>
    <s v="Delivered"/>
    <s v="BTX motherboard"/>
    <s v="Mouse"/>
    <x v="4"/>
    <n v="4500"/>
    <n v="5850"/>
    <n v="2"/>
    <n v="9000"/>
    <n v="11700"/>
    <s v="Aarvi Gupta"/>
    <n v="1690"/>
  </r>
  <r>
    <s v="142157"/>
    <x v="5"/>
    <s v="Ashish Kumar"/>
    <s v="24/05/2021"/>
    <s v="Shipped"/>
    <s v="85 Fans Cabinet"/>
    <s v="Cabinet"/>
    <x v="5"/>
    <n v="2100"/>
    <n v="2730"/>
    <n v="1"/>
    <n v="2100"/>
    <n v="2730"/>
    <s v="Vijay Singh"/>
    <n v="2990"/>
  </r>
  <r>
    <s v="142158"/>
    <x v="6"/>
    <s v="Javed Akhter"/>
    <s v="24/05/2021"/>
    <s v="Order"/>
    <s v="Wireless Keyboard"/>
    <s v="Keyboard"/>
    <x v="6"/>
    <n v="1150"/>
    <n v="1495"/>
    <n v="1"/>
    <n v="1150"/>
    <n v="1495"/>
    <s v="Aadil Khan"/>
    <n v="3315"/>
  </r>
  <r>
    <s v="142159"/>
    <x v="7"/>
    <s v="Haridas Balraj"/>
    <s v="25/05/2021"/>
    <s v="Processing"/>
    <s v="USB Mouse"/>
    <s v="Mouse"/>
    <x v="0"/>
    <n v="350"/>
    <n v="455"/>
    <n v="3"/>
    <n v="1050"/>
    <n v="1365"/>
    <s v="Advika Joshi"/>
    <n v="1690"/>
  </r>
  <r>
    <s v="142160"/>
    <x v="26"/>
    <s v="Kundan Kumar"/>
    <s v="26/05/2021"/>
    <s v="Delivered"/>
    <s v="19&quot; LED Display"/>
    <s v="Monitor"/>
    <x v="6"/>
    <n v="9500"/>
    <n v="12350"/>
    <n v="2"/>
    <n v="19000"/>
    <n v="24700"/>
    <s v="Ajay Sharma"/>
    <n v="9750"/>
  </r>
  <r>
    <s v="142161"/>
    <x v="27"/>
    <s v="Atif Siddiqui"/>
    <s v="27/05/2021"/>
    <s v="Shipped"/>
    <s v="84 TB HDD"/>
    <s v="HDD"/>
    <x v="10"/>
    <n v="10000"/>
    <n v="13000"/>
    <n v="2"/>
    <n v="20000"/>
    <n v="26000"/>
    <s v="Roshan Kumar"/>
    <n v="39000"/>
  </r>
  <r>
    <s v="142162"/>
    <x v="8"/>
    <s v="Aditya Agarwal"/>
    <s v="27/05/2021"/>
    <s v="Order"/>
    <s v="594 GB M.2"/>
    <s v="SSD"/>
    <x v="0"/>
    <n v="6500"/>
    <n v="8450"/>
    <n v="4"/>
    <n v="26000"/>
    <n v="33800"/>
    <s v="Aarvi Gupta"/>
    <n v="8450"/>
  </r>
  <r>
    <s v="142163"/>
    <x v="9"/>
    <s v="Firdoush Jabee"/>
    <s v="27/05/2021"/>
    <s v="Processing"/>
    <s v="RYZEN 3rd gen. 3582"/>
    <s v="CPU"/>
    <x v="1"/>
    <n v="8500"/>
    <n v="11050"/>
    <n v="2"/>
    <n v="17000"/>
    <n v="22100"/>
    <s v="Vijay Singh"/>
    <n v="33150"/>
  </r>
  <r>
    <s v="142164"/>
    <x v="10"/>
    <s v="Jay Prakash Kumar"/>
    <s v="27/05/2021"/>
    <s v="Delivered"/>
    <s v="2GB Graphic Card"/>
    <s v="Graphic Card"/>
    <x v="2"/>
    <n v="7000"/>
    <n v="9100"/>
    <n v="3"/>
    <n v="21000"/>
    <n v="27300"/>
    <s v="Aadil Khan"/>
    <n v="18200"/>
  </r>
  <r>
    <s v="142165"/>
    <x v="11"/>
    <s v="Ashish Pandey"/>
    <s v="27/05/2021"/>
    <s v="Shipped"/>
    <s v="98 GB DDR4 RAM"/>
    <s v="Computer Case"/>
    <x v="3"/>
    <n v="6550"/>
    <n v="8515"/>
    <n v="4"/>
    <n v="26200"/>
    <n v="34060"/>
    <s v="Advika Joshi"/>
    <n v="13650"/>
  </r>
  <r>
    <s v="142166"/>
    <x v="12"/>
    <s v="Ajay Sharma"/>
    <s v="27/05/2021"/>
    <s v="Order"/>
    <s v="Standard ATX motherboard"/>
    <s v="Mouse"/>
    <x v="4"/>
    <n v="7650"/>
    <n v="9945"/>
    <n v="1"/>
    <n v="7650"/>
    <n v="9945"/>
    <s v="Ajay Sharma"/>
    <n v="1690"/>
  </r>
  <r>
    <s v="142167"/>
    <x v="13"/>
    <s v="Moinuddin Saifi"/>
    <s v="27/05/2021"/>
    <s v="Processing"/>
    <s v="Compact with 1 Fan"/>
    <s v="Cabinet"/>
    <x v="5"/>
    <n v="1150"/>
    <n v="1495"/>
    <n v="4"/>
    <n v="4600"/>
    <n v="5980"/>
    <s v="Roshan Kumar"/>
    <n v="2990"/>
  </r>
  <r>
    <s v="142168"/>
    <x v="14"/>
    <s v="Ramkrishna Das Adhikary"/>
    <s v="27/05/2021"/>
    <s v="Delivered"/>
    <s v="USB Backlight Keyboard"/>
    <s v="Keyboard"/>
    <x v="6"/>
    <n v="850"/>
    <n v="1105"/>
    <n v="4"/>
    <n v="3400"/>
    <n v="4420"/>
    <s v="Aarvi Gupta"/>
    <n v="3315"/>
  </r>
  <r>
    <s v="142169"/>
    <x v="15"/>
    <s v="Ranjeet Mandal"/>
    <s v="27/05/2021"/>
    <s v="Shipped"/>
    <s v="Ergonomic Mouse"/>
    <s v="Mouse"/>
    <x v="0"/>
    <n v="650"/>
    <n v="845"/>
    <n v="2"/>
    <n v="1300"/>
    <n v="1690"/>
    <s v="Vijay Singh"/>
    <n v="1690"/>
  </r>
  <r>
    <s v="142170"/>
    <x v="16"/>
    <s v="Ashwini Adsare"/>
    <s v="27/05/2021"/>
    <s v="Order"/>
    <s v="15&quot; LCD Dsipaly"/>
    <s v="Monitor"/>
    <x v="6"/>
    <n v="7500"/>
    <n v="9750"/>
    <n v="4"/>
    <n v="30000"/>
    <n v="39000"/>
    <s v="Aadil Khan"/>
    <n v="9750"/>
  </r>
  <r>
    <s v="142171"/>
    <x v="17"/>
    <s v="Rajesh Variya"/>
    <s v="28/05/2021"/>
    <s v="Processing"/>
    <s v="84 TB HDD"/>
    <s v="HDD"/>
    <x v="7"/>
    <n v="10000"/>
    <n v="13000"/>
    <n v="2"/>
    <n v="20000"/>
    <n v="26000"/>
    <s v="Advika Joshi"/>
    <n v="39000"/>
  </r>
  <r>
    <s v="142172"/>
    <x v="18"/>
    <s v="Amit Singh"/>
    <s v="29/05/2021"/>
    <s v="Delivered"/>
    <s v="83 TB SSD"/>
    <s v="SSD"/>
    <x v="0"/>
    <n v="10500"/>
    <n v="13650"/>
    <n v="3"/>
    <n v="31500"/>
    <n v="40950"/>
    <s v="Ajay Sharma"/>
    <n v="8450"/>
  </r>
  <r>
    <s v="142173"/>
    <x v="19"/>
    <s v="Vinod Mehta"/>
    <s v="30/05/2021"/>
    <s v="Shipped"/>
    <s v="Intel i5 12th gen."/>
    <s v="CPU"/>
    <x v="1"/>
    <n v="8500"/>
    <n v="11050"/>
    <n v="1"/>
    <n v="8500"/>
    <n v="11050"/>
    <s v="Roshan Kumar"/>
    <n v="33150"/>
  </r>
  <r>
    <s v="142174"/>
    <x v="20"/>
    <s v="Jignesh Mhatre"/>
    <s v="31/05/2021"/>
    <s v="Order"/>
    <s v="2GB Graphic Card"/>
    <s v="Graphic Card"/>
    <x v="2"/>
    <n v="7000"/>
    <n v="9100"/>
    <n v="1"/>
    <n v="7000"/>
    <n v="9100"/>
    <s v="Aarvi Gupta"/>
    <n v="18200"/>
  </r>
  <r>
    <s v="142175"/>
    <x v="16"/>
    <s v="Rahul Kashyap"/>
    <s v="01/06/2021"/>
    <s v="Processing"/>
    <s v="86 GB DDR4 Ram"/>
    <s v="Computer Case"/>
    <x v="3"/>
    <n v="1680"/>
    <n v="2184"/>
    <n v="2"/>
    <n v="3360"/>
    <n v="4368"/>
    <s v="Vijay Singh"/>
    <n v="13650"/>
  </r>
  <r>
    <s v="142176"/>
    <x v="17"/>
    <s v="Mohammed Abdul Kaleem"/>
    <s v="02/06/2021"/>
    <s v="Delivered"/>
    <s v="Micro ATX motherboard"/>
    <s v="Mouse"/>
    <x v="8"/>
    <n v="6540"/>
    <n v="8502"/>
    <n v="1"/>
    <n v="6540"/>
    <n v="8502"/>
    <s v="Aadil Khan"/>
    <n v="1690"/>
  </r>
  <r>
    <s v="142177"/>
    <x v="27"/>
    <s v="Chandrakant Kasbe"/>
    <s v="03/06/2021"/>
    <s v="Shipped"/>
    <s v="Gaming Box Cabinet"/>
    <s v="Cabinet"/>
    <x v="5"/>
    <n v="2680"/>
    <n v="3484"/>
    <n v="1"/>
    <n v="2680"/>
    <n v="3484"/>
    <s v="Advika Joshi"/>
    <n v="2990"/>
  </r>
  <r>
    <s v="142178"/>
    <x v="22"/>
    <s v="Rohan Kale"/>
    <s v="04/06/2021"/>
    <s v="Order"/>
    <s v="17&quot; LCD Display"/>
    <s v="Monitor"/>
    <x v="0"/>
    <n v="8250"/>
    <n v="10725"/>
    <n v="1"/>
    <n v="8250"/>
    <n v="10725"/>
    <s v="Ajay Sharma"/>
    <n v="9750"/>
  </r>
  <r>
    <s v="142179"/>
    <x v="28"/>
    <s v="Aniruddha Kekapure"/>
    <s v="05/06/2021"/>
    <s v="Processing"/>
    <s v="90 GB DDR4 RAM"/>
    <s v="RAM"/>
    <x v="0"/>
    <n v="2650"/>
    <n v="3445"/>
    <n v="2"/>
    <n v="5300"/>
    <n v="6890"/>
    <s v="Roshan Kumar"/>
    <n v="25545"/>
  </r>
  <r>
    <s v="142180"/>
    <x v="29"/>
    <s v="Aslam Raza"/>
    <s v="06/06/2021"/>
    <s v="Delivered"/>
    <s v="26&quot; LCD Display"/>
    <s v="Monitor"/>
    <x v="9"/>
    <n v="12550"/>
    <n v="16315"/>
    <n v="3"/>
    <n v="37650"/>
    <n v="48945"/>
    <s v="Aarvi Gupta"/>
    <n v="9750"/>
  </r>
  <r>
    <s v="142181"/>
    <x v="30"/>
    <s v="Roshan Zameer"/>
    <s v="07/06/2021"/>
    <s v="Shipped"/>
    <s v="I7 - intel 12th Generation"/>
    <s v="CPU"/>
    <x v="1"/>
    <n v="14500"/>
    <n v="18850"/>
    <n v="1"/>
    <n v="14500"/>
    <n v="18850"/>
    <s v="Vijay Singh"/>
    <n v="33150"/>
  </r>
  <r>
    <s v="142182"/>
    <x v="31"/>
    <s v="Rakesh Kumar Sharma"/>
    <s v="08/06/2021"/>
    <s v="Order"/>
    <s v="USB Keyboard"/>
    <s v="Keyboard"/>
    <x v="6"/>
    <n v="800"/>
    <n v="1040"/>
    <n v="2"/>
    <n v="1600"/>
    <n v="2080"/>
    <s v="Aadil Khan"/>
    <n v="3315"/>
  </r>
  <r>
    <s v="142183"/>
    <x v="32"/>
    <s v="Shivanand Sahani"/>
    <s v="09/06/2021"/>
    <s v="Processing"/>
    <s v="Wireless Mouse"/>
    <s v="Mouse"/>
    <x v="0"/>
    <n v="600"/>
    <n v="780"/>
    <n v="2"/>
    <n v="1200"/>
    <n v="1560"/>
    <s v="Advika Joshi"/>
    <n v="1690"/>
  </r>
  <r>
    <s v="142184"/>
    <x v="0"/>
    <s v="Kunal Patra"/>
    <s v="10/06/2021"/>
    <s v="Delivered"/>
    <s v="21&quot; LCD Display"/>
    <s v="Monitor"/>
    <x v="6"/>
    <n v="10500"/>
    <n v="13650"/>
    <n v="2"/>
    <n v="21000"/>
    <n v="27300"/>
    <s v="Ajay Sharma"/>
    <n v="9750"/>
  </r>
  <r>
    <s v="142185"/>
    <x v="23"/>
    <s v="Bijendra"/>
    <s v="11/06/2021"/>
    <s v="Shipped"/>
    <s v="84 TB HDD"/>
    <s v="HDD"/>
    <x v="10"/>
    <n v="6500"/>
    <n v="8450"/>
    <n v="2"/>
    <n v="13000"/>
    <n v="16900"/>
    <s v="Roshan Kumar"/>
    <n v="39000"/>
  </r>
  <r>
    <s v="142186"/>
    <x v="1"/>
    <s v="Kranti Bheke"/>
    <s v="12/06/2021"/>
    <s v="Order"/>
    <s v="339 GB SSD"/>
    <s v="SSD"/>
    <x v="0"/>
    <n v="4500"/>
    <n v="5850"/>
    <n v="2"/>
    <n v="9000"/>
    <n v="11700"/>
    <s v="Aarvi Gupta"/>
    <n v="8450"/>
  </r>
  <r>
    <s v="142187"/>
    <x v="2"/>
    <s v="Jagdeep"/>
    <s v="13/06/2021"/>
    <s v="Processing"/>
    <s v="Intel i3 11th gen."/>
    <s v="CPU"/>
    <x v="1"/>
    <n v="8500"/>
    <n v="11050"/>
    <n v="2"/>
    <n v="17000"/>
    <n v="22100"/>
    <s v="Vijay Singh"/>
    <n v="33150"/>
  </r>
  <r>
    <s v="142188"/>
    <x v="3"/>
    <s v="Adhir Samal"/>
    <s v="14/06/2021"/>
    <s v="Delivered"/>
    <s v="4GB Graphic card"/>
    <s v="Graphic Card"/>
    <x v="2"/>
    <n v="12500"/>
    <n v="16250"/>
    <n v="2"/>
    <n v="25000"/>
    <n v="32500"/>
    <s v="Aadil Khan"/>
    <n v="18200"/>
  </r>
  <r>
    <s v="142189"/>
    <x v="24"/>
    <s v="Dannana Jhammi"/>
    <s v="15/06/2021"/>
    <s v="Shipped"/>
    <s v="91 GB DDR4 RAM"/>
    <s v="NIC"/>
    <x v="3"/>
    <n v="3500"/>
    <n v="4550"/>
    <n v="1"/>
    <n v="3500"/>
    <n v="4550"/>
    <s v="Advika Joshi"/>
    <n v="9100"/>
  </r>
  <r>
    <s v="142190"/>
    <x v="25"/>
    <s v="Vipin Kumar"/>
    <s v="16/06/2021"/>
    <s v="Order"/>
    <s v="BTX motherboard"/>
    <s v="Printer"/>
    <x v="4"/>
    <n v="4500"/>
    <n v="5850"/>
    <n v="3"/>
    <n v="13500"/>
    <n v="17550"/>
    <s v="Ajay Sharma"/>
    <n v="11700"/>
  </r>
  <r>
    <s v="142191"/>
    <x v="33"/>
    <s v="Ranjeet Kumar"/>
    <s v="17/06/2021"/>
    <s v="Processing"/>
    <s v="86 Fans Cabinet"/>
    <s v="Cabinet"/>
    <x v="5"/>
    <n v="2100"/>
    <n v="2730"/>
    <n v="4"/>
    <n v="8400"/>
    <n v="10920"/>
    <s v="Roshan Kumar"/>
    <n v="2990"/>
  </r>
  <r>
    <s v="142192"/>
    <x v="34"/>
    <s v="Sajal Singhal"/>
    <s v="18/06/2021"/>
    <s v="Delivered"/>
    <s v="Wireless Keyboard"/>
    <s v="Keyboard"/>
    <x v="6"/>
    <n v="1150"/>
    <n v="1495"/>
    <n v="1"/>
    <n v="1150"/>
    <n v="1495"/>
    <s v="Aarvi Gupta"/>
    <n v="3315"/>
  </r>
  <r>
    <s v="142193"/>
    <x v="4"/>
    <s v="Akhilesh Kumar"/>
    <s v="19/06/2021"/>
    <s v="Shipped"/>
    <s v="USB Mouse"/>
    <s v="Mouse"/>
    <x v="0"/>
    <n v="350"/>
    <n v="455"/>
    <n v="3"/>
    <n v="1050"/>
    <n v="1365"/>
    <s v="Vijay Singh"/>
    <n v="1690"/>
  </r>
  <r>
    <s v="142194"/>
    <x v="5"/>
    <s v="Suvankar Chakraborty"/>
    <s v="20/06/2021"/>
    <s v="Order"/>
    <s v="19&quot; LED Display"/>
    <s v="Monitor"/>
    <x v="6"/>
    <n v="9500"/>
    <n v="12350"/>
    <n v="3"/>
    <n v="28500"/>
    <n v="37050"/>
    <s v="Aadil Khan"/>
    <n v="9750"/>
  </r>
  <r>
    <s v="142195"/>
    <x v="6"/>
    <s v="Suvankar Adhikary"/>
    <s v="20/06/2021"/>
    <s v="Processing"/>
    <s v="85 TB HDD"/>
    <s v="HDD"/>
    <x v="10"/>
    <n v="10000"/>
    <n v="13000"/>
    <n v="2"/>
    <n v="20000"/>
    <n v="26000"/>
    <s v="Advika Joshi"/>
    <n v="39000"/>
  </r>
  <r>
    <s v="142196"/>
    <x v="7"/>
    <s v="Rahul Kumar Prajapati"/>
    <s v="20/06/2021"/>
    <s v="Delivered"/>
    <s v="595 GB M.2"/>
    <s v="SSD"/>
    <x v="0"/>
    <n v="6500"/>
    <n v="8450"/>
    <n v="2"/>
    <n v="13000"/>
    <n v="16900"/>
    <s v="Ajay Sharma"/>
    <n v="8450"/>
  </r>
  <r>
    <s v="142197"/>
    <x v="26"/>
    <s v="Sagar Jeur"/>
    <s v="20/06/2021"/>
    <s v="Shipped"/>
    <s v="RYZEN 3rd gen. 3583"/>
    <s v="CPU"/>
    <x v="1"/>
    <n v="8500"/>
    <n v="11050"/>
    <n v="4"/>
    <n v="34000"/>
    <n v="44200"/>
    <s v="Roshan Kumar"/>
    <n v="33150"/>
  </r>
  <r>
    <s v="142198"/>
    <x v="27"/>
    <s v="Rhushikesh Mane"/>
    <s v="20/06/2021"/>
    <s v="Order"/>
    <s v="2GB Graphic Card"/>
    <s v="Graphic Card"/>
    <x v="2"/>
    <n v="7000"/>
    <n v="9100"/>
    <n v="4"/>
    <n v="28000"/>
    <n v="36400"/>
    <s v="Aarvi Gupta"/>
    <n v="18200"/>
  </r>
  <r>
    <s v="142199"/>
    <x v="8"/>
    <s v="Ashish Kumar"/>
    <s v="20/06/2021"/>
    <s v="Processing"/>
    <s v="99 GB DDR4 RAM"/>
    <s v="NIC"/>
    <x v="3"/>
    <n v="6550"/>
    <n v="8515"/>
    <n v="2"/>
    <n v="13100"/>
    <n v="17030"/>
    <s v="Vijay Singh"/>
    <n v="9100"/>
  </r>
  <r>
    <s v="142200"/>
    <x v="9"/>
    <s v="Javed Akhter"/>
    <s v="20/06/2021"/>
    <s v="Delivered"/>
    <s v="Standard ATX motherboard"/>
    <s v="Printer"/>
    <x v="4"/>
    <n v="7650"/>
    <n v="9945"/>
    <n v="4"/>
    <n v="30600"/>
    <n v="39780"/>
    <s v="Aadil Khan"/>
    <n v="11700"/>
  </r>
  <r>
    <s v="142201"/>
    <x v="10"/>
    <s v="Haridas Balraj"/>
    <s v="21/06/2021"/>
    <s v="Shipped"/>
    <s v="Compact with 1 Fan"/>
    <s v="Cabinet"/>
    <x v="5"/>
    <n v="1150"/>
    <n v="1495"/>
    <n v="3"/>
    <n v="3450"/>
    <n v="4485"/>
    <s v="Advika Joshi"/>
    <n v="2990"/>
  </r>
  <r>
    <s v="142202"/>
    <x v="11"/>
    <s v="Kundan Kumar"/>
    <s v="22/06/2021"/>
    <s v="Order"/>
    <s v="USB Backlight Keyboard"/>
    <s v="Keyboard"/>
    <x v="6"/>
    <n v="850"/>
    <n v="1105"/>
    <n v="4"/>
    <n v="3400"/>
    <n v="4420"/>
    <s v="Ajay Sharma"/>
    <n v="3315"/>
  </r>
  <r>
    <s v="142203"/>
    <x v="12"/>
    <s v="Atif Siddiqui"/>
    <s v="23/06/2021"/>
    <s v="Processing"/>
    <s v="Ergonomic Mouse"/>
    <s v="Mouse"/>
    <x v="0"/>
    <n v="650"/>
    <n v="845"/>
    <n v="3"/>
    <n v="1950"/>
    <n v="2535"/>
    <s v="Roshan Kumar"/>
    <n v="1690"/>
  </r>
  <r>
    <s v="142204"/>
    <x v="13"/>
    <s v="Aditya Agarwal"/>
    <s v="24/06/2021"/>
    <s v="Delivered"/>
    <s v="15&quot; LCD Dsipaly"/>
    <s v="Monitor"/>
    <x v="6"/>
    <n v="7500"/>
    <n v="9750"/>
    <n v="1"/>
    <n v="7500"/>
    <n v="9750"/>
    <s v="Aarvi Gupta"/>
    <n v="9750"/>
  </r>
  <r>
    <s v="142205"/>
    <x v="14"/>
    <s v="Firdoush Jabee"/>
    <s v="25/06/2021"/>
    <s v="Shipped"/>
    <s v="85 TB HDD"/>
    <s v="HDD"/>
    <x v="7"/>
    <n v="10000"/>
    <n v="13000"/>
    <n v="2"/>
    <n v="20000"/>
    <n v="26000"/>
    <s v="Vijay Singh"/>
    <n v="39000"/>
  </r>
  <r>
    <s v="142206"/>
    <x v="15"/>
    <s v="Jay Prakash Kumar"/>
    <s v="26/06/2021"/>
    <s v="Order"/>
    <s v="84 TB SSD"/>
    <s v="SSD"/>
    <x v="0"/>
    <n v="10500"/>
    <n v="13650"/>
    <n v="2"/>
    <n v="21000"/>
    <n v="27300"/>
    <s v="Aadil Khan"/>
    <n v="8450"/>
  </r>
  <r>
    <s v="142207"/>
    <x v="16"/>
    <s v="Ashish Pandey"/>
    <s v="26/06/2021"/>
    <s v="Processing"/>
    <s v="Intel i5 12th gen."/>
    <s v="CPU"/>
    <x v="1"/>
    <n v="8500"/>
    <n v="11050"/>
    <n v="3"/>
    <n v="25500"/>
    <n v="33150"/>
    <s v="Advika Joshi"/>
    <n v="33150"/>
  </r>
  <r>
    <s v="142208"/>
    <x v="17"/>
    <s v="Ajay Sharma"/>
    <s v="26/06/2021"/>
    <s v="Delivered"/>
    <s v="2GB Graphic Card"/>
    <s v="Graphic Card"/>
    <x v="2"/>
    <n v="7000"/>
    <n v="9100"/>
    <n v="2"/>
    <n v="14000"/>
    <n v="18200"/>
    <s v="Ajay Sharma"/>
    <n v="18200"/>
  </r>
  <r>
    <s v="142209"/>
    <x v="18"/>
    <s v="Moinuddin Saifi"/>
    <s v="26/06/2021"/>
    <s v="Shipped"/>
    <s v="87 GB DDR4 Ram"/>
    <s v="NIC"/>
    <x v="3"/>
    <n v="1680"/>
    <n v="2184"/>
    <n v="2"/>
    <n v="3360"/>
    <n v="4368"/>
    <s v="Roshan Kumar"/>
    <n v="9100"/>
  </r>
  <r>
    <s v="142210"/>
    <x v="19"/>
    <s v="Ramkrishna Das Adhikary"/>
    <s v="26/06/2021"/>
    <s v="Order"/>
    <s v="Micro ATX motherboard"/>
    <s v="Printer"/>
    <x v="8"/>
    <n v="6540"/>
    <n v="8502"/>
    <n v="3"/>
    <n v="19620"/>
    <n v="25506"/>
    <s v="Aarvi Gupta"/>
    <n v="11700"/>
  </r>
  <r>
    <s v="142211"/>
    <x v="20"/>
    <s v="Ranjeet Mandal"/>
    <s v="26/06/2021"/>
    <s v="Processing"/>
    <s v="Gaming Box Cabinet"/>
    <s v="Cabinet"/>
    <x v="5"/>
    <n v="2680"/>
    <n v="3484"/>
    <n v="2"/>
    <n v="5360"/>
    <n v="6968"/>
    <s v="Vijay Singh"/>
    <n v="2990"/>
  </r>
  <r>
    <s v="142212"/>
    <x v="16"/>
    <s v="Ashwini Adsare"/>
    <s v="26/06/2021"/>
    <s v="Delivered"/>
    <s v="17&quot; LCD Display"/>
    <s v="Monitor"/>
    <x v="0"/>
    <n v="8250"/>
    <n v="10725"/>
    <n v="3"/>
    <n v="24750"/>
    <n v="32175"/>
    <s v="Aadil Khan"/>
    <n v="9750"/>
  </r>
  <r>
    <s v="142213"/>
    <x v="17"/>
    <s v="Rajesh Variya"/>
    <s v="26/06/2021"/>
    <s v="Shipped"/>
    <s v="91 GB DDR4 RAM"/>
    <s v="RAM"/>
    <x v="0"/>
    <n v="2650"/>
    <n v="3445"/>
    <n v="3"/>
    <n v="7950"/>
    <n v="10335"/>
    <s v="Advika Joshi"/>
    <n v="25545"/>
  </r>
  <r>
    <s v="142214"/>
    <x v="27"/>
    <s v="Amit Singh"/>
    <s v="26/06/2021"/>
    <s v="Order"/>
    <s v="26&quot; LCD Display"/>
    <s v="Monitor"/>
    <x v="9"/>
    <n v="12550"/>
    <n v="16315"/>
    <n v="2"/>
    <n v="25100"/>
    <n v="32630"/>
    <s v="Ajay Sharma"/>
    <n v="9750"/>
  </r>
  <r>
    <s v="142215"/>
    <x v="22"/>
    <s v="Vinod Mehta"/>
    <s v="26/06/2021"/>
    <s v="Processing"/>
    <s v="I7 - intel 12th Generation"/>
    <s v="CPU"/>
    <x v="1"/>
    <n v="14500"/>
    <n v="18850"/>
    <n v="4"/>
    <n v="58000"/>
    <n v="75400"/>
    <s v="Roshan Kumar"/>
    <n v="33150"/>
  </r>
  <r>
    <s v="142216"/>
    <x v="28"/>
    <s v="Jignesh Mhatre"/>
    <s v="26/06/2021"/>
    <s v="Delivered"/>
    <s v="USB Keyboard"/>
    <s v="Keyboard"/>
    <x v="6"/>
    <n v="800"/>
    <n v="1040"/>
    <n v="3"/>
    <n v="2400"/>
    <n v="3120"/>
    <s v="Aarvi Gupta"/>
    <n v="3315"/>
  </r>
  <r>
    <s v="142217"/>
    <x v="29"/>
    <s v="Rahul Kashyap"/>
    <s v="26/06/2021"/>
    <s v="Shipped"/>
    <s v="Wireless Mouse"/>
    <s v="Mouse"/>
    <x v="0"/>
    <n v="600"/>
    <n v="780"/>
    <n v="4"/>
    <n v="2400"/>
    <n v="3120"/>
    <s v="Vijay Singh"/>
    <n v="1690"/>
  </r>
  <r>
    <s v="142218"/>
    <x v="30"/>
    <s v="Mohammed Abdul Kaleem"/>
    <s v="26/06/2021"/>
    <s v="Order"/>
    <s v="21&quot; LCD Display"/>
    <s v="Monitor"/>
    <x v="6"/>
    <n v="10500"/>
    <n v="13650"/>
    <n v="4"/>
    <n v="42000"/>
    <n v="54600"/>
    <s v="Aadil Khan"/>
    <n v="9750"/>
  </r>
  <r>
    <s v="142219"/>
    <x v="31"/>
    <s v="Chandrakant Kasbe"/>
    <s v="26/06/2021"/>
    <s v="Processing"/>
    <s v="85 TB HDD"/>
    <s v="HDD"/>
    <x v="10"/>
    <n v="6500"/>
    <n v="8450"/>
    <n v="4"/>
    <n v="26000"/>
    <n v="33800"/>
    <s v="Advika Joshi"/>
    <n v="39000"/>
  </r>
  <r>
    <s v="142220"/>
    <x v="32"/>
    <s v="Rohan Kale"/>
    <s v="26/06/2021"/>
    <s v="Delivered"/>
    <s v="340 GB SSD"/>
    <s v="SSD"/>
    <x v="0"/>
    <n v="4500"/>
    <n v="5850"/>
    <n v="1"/>
    <n v="4500"/>
    <n v="5850"/>
    <s v="Ajay Sharma"/>
    <n v="8450"/>
  </r>
  <r>
    <s v="142221"/>
    <x v="0"/>
    <s v="Aniruddha Kekapure"/>
    <s v="27/06/2021"/>
    <s v="Shipped"/>
    <s v="Intel i3 11th gen."/>
    <s v="CPU"/>
    <x v="1"/>
    <n v="8500"/>
    <n v="11050"/>
    <n v="3"/>
    <n v="25500"/>
    <n v="33150"/>
    <s v="Roshan Kumar"/>
    <n v="33150"/>
  </r>
  <r>
    <s v="142222"/>
    <x v="23"/>
    <s v="Aslam Raza"/>
    <s v="27/06/2021"/>
    <s v="Order"/>
    <s v="4GB Graphic card"/>
    <s v="Graphic Card"/>
    <x v="2"/>
    <n v="12500"/>
    <n v="16250"/>
    <n v="1"/>
    <n v="12500"/>
    <n v="16250"/>
    <s v="Aarvi Gupta"/>
    <n v="18200"/>
  </r>
  <r>
    <s v="142223"/>
    <x v="1"/>
    <s v="Roshan Zameer"/>
    <s v="27/06/2021"/>
    <s v="Processing"/>
    <s v="92 GB DDR4 RAM"/>
    <s v="RAM"/>
    <x v="3"/>
    <n v="3500"/>
    <n v="4550"/>
    <n v="1"/>
    <n v="3500"/>
    <n v="4550"/>
    <s v="Vijay Singh"/>
    <n v="25545"/>
  </r>
  <r>
    <s v="142224"/>
    <x v="2"/>
    <s v="Rakesh Kumar Sharma"/>
    <s v="27/06/2021"/>
    <s v="Delivered"/>
    <s v="BTX motherboard"/>
    <s v="MotherBoard"/>
    <x v="4"/>
    <n v="4500"/>
    <n v="5850"/>
    <n v="2"/>
    <n v="9000"/>
    <n v="11700"/>
    <s v="Aadil Khan"/>
    <n v="39780"/>
  </r>
  <r>
    <s v="142225"/>
    <x v="3"/>
    <s v="Shivanand Sahani"/>
    <s v="27/06/2021"/>
    <s v="Shipped"/>
    <s v="87 Fans Cabinet"/>
    <s v="Cabinet"/>
    <x v="5"/>
    <n v="2100"/>
    <n v="2730"/>
    <n v="3"/>
    <n v="6300"/>
    <n v="8190"/>
    <s v="Advika Joshi"/>
    <n v="2990"/>
  </r>
  <r>
    <s v="142226"/>
    <x v="24"/>
    <s v="Kunal Patra"/>
    <s v="27/06/2021"/>
    <s v="Order"/>
    <s v="Wireless Keyboard"/>
    <s v="Keyboard"/>
    <x v="6"/>
    <n v="1150"/>
    <n v="1495"/>
    <n v="2"/>
    <n v="2300"/>
    <n v="2990"/>
    <s v="Ajay Sharma"/>
    <n v="3315"/>
  </r>
  <r>
    <s v="142227"/>
    <x v="25"/>
    <s v="Bijendra"/>
    <s v="27/06/2021"/>
    <s v="Processing"/>
    <s v="USB Mouse"/>
    <s v="Mouse"/>
    <x v="0"/>
    <n v="350"/>
    <n v="455"/>
    <n v="2"/>
    <n v="700"/>
    <n v="910"/>
    <s v="Roshan Kumar"/>
    <n v="1690"/>
  </r>
  <r>
    <s v="142228"/>
    <x v="33"/>
    <s v="Kranti Bheke"/>
    <s v="27/06/2021"/>
    <s v="Delivered"/>
    <s v="19&quot; LED Display"/>
    <s v="Monitor"/>
    <x v="6"/>
    <n v="9500"/>
    <n v="12350"/>
    <n v="2"/>
    <n v="19000"/>
    <n v="24700"/>
    <s v="Aarvi Gupta"/>
    <n v="9750"/>
  </r>
  <r>
    <s v="142229"/>
    <x v="34"/>
    <s v="Jagdeep"/>
    <s v="27/06/2021"/>
    <s v="Shipped"/>
    <s v="86 TB HDD"/>
    <s v="HDD"/>
    <x v="10"/>
    <n v="10000"/>
    <n v="13000"/>
    <n v="2"/>
    <n v="20000"/>
    <n v="26000"/>
    <s v="Vijay Singh"/>
    <n v="39000"/>
  </r>
  <r>
    <s v="142230"/>
    <x v="4"/>
    <s v="Adhir Samal"/>
    <s v="27/06/2021"/>
    <s v="Order"/>
    <s v="596 GB M.2"/>
    <s v="SSD"/>
    <x v="0"/>
    <n v="6500"/>
    <n v="8450"/>
    <n v="1"/>
    <n v="6500"/>
    <n v="8450"/>
    <s v="Aadil Khan"/>
    <n v="8450"/>
  </r>
  <r>
    <s v="142231"/>
    <x v="5"/>
    <s v="Dannana Jhammi"/>
    <s v="28/06/2021"/>
    <s v="Processing"/>
    <s v="RYZEN 3rd gen. 3584"/>
    <s v="CPU"/>
    <x v="1"/>
    <n v="8500"/>
    <n v="11050"/>
    <n v="3"/>
    <n v="25500"/>
    <n v="33150"/>
    <s v="Advika Joshi"/>
    <n v="33150"/>
  </r>
  <r>
    <s v="142232"/>
    <x v="6"/>
    <s v="Vipin Kumar"/>
    <s v="29/06/2021"/>
    <s v="Delivered"/>
    <s v="2GB Graphic Card"/>
    <s v="Graphic Card"/>
    <x v="2"/>
    <n v="7000"/>
    <n v="9100"/>
    <n v="3"/>
    <n v="21000"/>
    <n v="27300"/>
    <s v="Ajay Sharma"/>
    <n v="18200"/>
  </r>
  <r>
    <s v="142233"/>
    <x v="7"/>
    <s v="Ranjeet Kumar"/>
    <s v="30/06/2021"/>
    <s v="Shipped"/>
    <s v="100 GB DDR4 RAM"/>
    <s v="RAM"/>
    <x v="3"/>
    <n v="6550"/>
    <n v="8515"/>
    <n v="2"/>
    <n v="13100"/>
    <n v="17030"/>
    <s v="Roshan Kumar"/>
    <n v="25545"/>
  </r>
  <r>
    <s v="142234"/>
    <x v="26"/>
    <s v="Sajal Singhal"/>
    <s v="01/07/2021"/>
    <s v="Order"/>
    <s v="Standard ATX motherboard"/>
    <s v="MotherBoard"/>
    <x v="4"/>
    <n v="7650"/>
    <n v="9945"/>
    <n v="2"/>
    <n v="15300"/>
    <n v="19890"/>
    <s v="Aarvi Gupta"/>
    <n v="39780"/>
  </r>
  <r>
    <s v="142235"/>
    <x v="27"/>
    <s v="Akhilesh Kumar"/>
    <s v="02/07/2021"/>
    <s v="Processing"/>
    <s v="Compact with 1 Fan"/>
    <s v="Cabinet"/>
    <x v="5"/>
    <n v="1150"/>
    <n v="1495"/>
    <n v="1"/>
    <n v="1150"/>
    <n v="1495"/>
    <s v="Vijay Singh"/>
    <n v="2990"/>
  </r>
  <r>
    <s v="142236"/>
    <x v="8"/>
    <s v="Suvankar Chakraborty"/>
    <s v="03/07/2021"/>
    <s v="Delivered"/>
    <s v="USB Backlight Keyboard"/>
    <s v="Keyboard"/>
    <x v="6"/>
    <n v="850"/>
    <n v="1105"/>
    <n v="2"/>
    <n v="1700"/>
    <n v="2210"/>
    <s v="Aadil Khan"/>
    <n v="3315"/>
  </r>
  <r>
    <s v="142237"/>
    <x v="9"/>
    <s v="Suvankar Adhikary"/>
    <s v="04/07/2021"/>
    <s v="Shipped"/>
    <s v="Ergonomic Mouse"/>
    <s v="Mouse"/>
    <x v="0"/>
    <n v="650"/>
    <n v="845"/>
    <n v="4"/>
    <n v="2600"/>
    <n v="3380"/>
    <s v="Advika Joshi"/>
    <n v="1690"/>
  </r>
  <r>
    <s v="142238"/>
    <x v="10"/>
    <s v="Rahul Kumar Prajapati"/>
    <s v="05/07/2021"/>
    <s v="Order"/>
    <s v="15&quot; LCD Dsipaly"/>
    <s v="Monitor"/>
    <x v="6"/>
    <n v="7500"/>
    <n v="9750"/>
    <n v="2"/>
    <n v="15000"/>
    <n v="19500"/>
    <s v="Ajay Sharma"/>
    <n v="9750"/>
  </r>
  <r>
    <s v="142239"/>
    <x v="11"/>
    <s v="Sagar Jeur"/>
    <s v="06/07/2021"/>
    <s v="Processing"/>
    <s v="86 TB HDD"/>
    <s v="HDD"/>
    <x v="7"/>
    <n v="10000"/>
    <n v="13000"/>
    <n v="1"/>
    <n v="10000"/>
    <n v="13000"/>
    <s v="Roshan Kumar"/>
    <n v="39000"/>
  </r>
  <r>
    <s v="142240"/>
    <x v="12"/>
    <s v="Rhushikesh Mane"/>
    <s v="07/07/2021"/>
    <s v="Delivered"/>
    <s v="85 TB SSD"/>
    <s v="SSD"/>
    <x v="0"/>
    <n v="10500"/>
    <n v="13650"/>
    <n v="3"/>
    <n v="31500"/>
    <n v="40950"/>
    <s v="Aarvi Gupta"/>
    <n v="8450"/>
  </r>
  <r>
    <s v="142241"/>
    <x v="13"/>
    <s v="Ashish Kumar"/>
    <s v="07/07/2021"/>
    <s v="Shipped"/>
    <s v="Intel i5 12th gen."/>
    <s v="CPU"/>
    <x v="1"/>
    <n v="8500"/>
    <n v="11050"/>
    <n v="2"/>
    <n v="17000"/>
    <n v="22100"/>
    <s v="Vijay Singh"/>
    <n v="33150"/>
  </r>
  <r>
    <s v="142242"/>
    <x v="14"/>
    <s v="Javed Akhter"/>
    <s v="07/07/2021"/>
    <s v="Order"/>
    <s v="2GB Graphic Card"/>
    <s v="Graphic Card"/>
    <x v="2"/>
    <n v="7000"/>
    <n v="9100"/>
    <n v="4"/>
    <n v="28000"/>
    <n v="36400"/>
    <s v="Aadil Khan"/>
    <n v="18200"/>
  </r>
  <r>
    <s v="142243"/>
    <x v="15"/>
    <s v="Haridas Balraj"/>
    <s v="07/07/2021"/>
    <s v="Processing"/>
    <s v="88 GB DDR4 Ram"/>
    <s v="RAM"/>
    <x v="3"/>
    <n v="1680"/>
    <n v="2184"/>
    <n v="2"/>
    <n v="3360"/>
    <n v="4368"/>
    <s v="Advika Joshi"/>
    <n v="25545"/>
  </r>
  <r>
    <s v="142244"/>
    <x v="16"/>
    <s v="Kundan Kumar"/>
    <s v="07/07/2021"/>
    <s v="Delivered"/>
    <s v="Micro ATX motherboard"/>
    <s v="MotherBoard"/>
    <x v="8"/>
    <n v="6540"/>
    <n v="8502"/>
    <n v="1"/>
    <n v="6540"/>
    <n v="8502"/>
    <s v="Ajay Sharma"/>
    <n v="39780"/>
  </r>
  <r>
    <s v="142245"/>
    <x v="17"/>
    <s v="Atif Siddiqui"/>
    <s v="07/07/2021"/>
    <s v="Shipped"/>
    <s v="Gaming Box Cabinet"/>
    <s v="Cabinet"/>
    <x v="5"/>
    <n v="2680"/>
    <n v="3484"/>
    <n v="4"/>
    <n v="10720"/>
    <n v="13936"/>
    <s v="Roshan Kumar"/>
    <n v="2990"/>
  </r>
  <r>
    <s v="142246"/>
    <x v="18"/>
    <s v="Aditya Agarwal"/>
    <s v="07/07/2021"/>
    <s v="Order"/>
    <s v="17&quot; LCD Display"/>
    <s v="Monitor"/>
    <x v="0"/>
    <n v="8250"/>
    <n v="10725"/>
    <n v="1"/>
    <n v="8250"/>
    <n v="10725"/>
    <s v="Aarvi Gupta"/>
    <n v="9750"/>
  </r>
  <r>
    <s v="142247"/>
    <x v="19"/>
    <s v="Firdoush Jabee"/>
    <s v="07/07/2021"/>
    <s v="Processing"/>
    <s v="92 GB DDR4 RAM"/>
    <s v="RAM"/>
    <x v="0"/>
    <n v="2650"/>
    <n v="3445"/>
    <n v="2"/>
    <n v="5300"/>
    <n v="6890"/>
    <s v="Vijay Singh"/>
    <n v="25545"/>
  </r>
  <r>
    <s v="142248"/>
    <x v="20"/>
    <s v="Jay Prakash Kumar"/>
    <s v="07/07/2021"/>
    <s v="Delivered"/>
    <s v="26&quot; LCD Display"/>
    <s v="Monitor"/>
    <x v="9"/>
    <n v="12550"/>
    <n v="16315"/>
    <n v="4"/>
    <n v="50200"/>
    <n v="65260"/>
    <s v="Aadil Khan"/>
    <n v="9750"/>
  </r>
  <r>
    <s v="142249"/>
    <x v="16"/>
    <s v="Ashish Pandey"/>
    <s v="07/07/2021"/>
    <s v="Shipped"/>
    <s v="I7 - intel 12th Generation"/>
    <s v="CPU"/>
    <x v="1"/>
    <n v="14500"/>
    <n v="18850"/>
    <n v="2"/>
    <n v="29000"/>
    <n v="37700"/>
    <s v="Advika Joshi"/>
    <n v="33150"/>
  </r>
  <r>
    <s v="142250"/>
    <x v="17"/>
    <s v="Ajay Sharma"/>
    <s v="07/07/2021"/>
    <s v="Order"/>
    <s v="USB Keyboard"/>
    <s v="Keyboard"/>
    <x v="6"/>
    <n v="800"/>
    <n v="1040"/>
    <n v="3"/>
    <n v="2400"/>
    <n v="3120"/>
    <s v="Ajay Sharma"/>
    <n v="3315"/>
  </r>
  <r>
    <s v="142251"/>
    <x v="27"/>
    <s v="Moinuddin Saifi"/>
    <s v="07/07/2021"/>
    <s v="Processing"/>
    <s v="Wireless Mouse"/>
    <s v="Mouse"/>
    <x v="0"/>
    <n v="600"/>
    <n v="780"/>
    <n v="1"/>
    <n v="600"/>
    <n v="780"/>
    <s v="Roshan Kumar"/>
    <n v="1690"/>
  </r>
  <r>
    <s v="142252"/>
    <x v="22"/>
    <s v="Ramkrishna Das Adhikary"/>
    <s v="08/07/2021"/>
    <s v="Delivered"/>
    <s v="21&quot; LCD Display"/>
    <s v="Monitor"/>
    <x v="6"/>
    <n v="10500"/>
    <n v="13650"/>
    <n v="1"/>
    <n v="10500"/>
    <n v="13650"/>
    <s v="Aarvi Gupta"/>
    <n v="9750"/>
  </r>
  <r>
    <s v="142253"/>
    <x v="28"/>
    <s v="Ranjeet Mandal"/>
    <s v="09/07/2021"/>
    <s v="Shipped"/>
    <s v="86 TB HDD"/>
    <s v="HDD"/>
    <x v="10"/>
    <n v="6500"/>
    <n v="8450"/>
    <n v="4"/>
    <n v="26000"/>
    <n v="33800"/>
    <s v="Vijay Singh"/>
    <n v="39000"/>
  </r>
  <r>
    <s v="142254"/>
    <x v="29"/>
    <s v="Ashwini Adsare"/>
    <s v="10/07/2021"/>
    <s v="Order"/>
    <s v="341 GB SSD"/>
    <s v="SSD"/>
    <x v="0"/>
    <n v="4500"/>
    <n v="5850"/>
    <n v="4"/>
    <n v="18000"/>
    <n v="23400"/>
    <s v="Aadil Khan"/>
    <n v="8450"/>
  </r>
  <r>
    <s v="142255"/>
    <x v="30"/>
    <s v="Rajesh Variya"/>
    <s v="11/07/2021"/>
    <s v="Processing"/>
    <s v="Intel i3 11th gen."/>
    <s v="CPU"/>
    <x v="1"/>
    <n v="8500"/>
    <n v="11050"/>
    <n v="2"/>
    <n v="17000"/>
    <n v="22100"/>
    <s v="Advika Joshi"/>
    <n v="33150"/>
  </r>
  <r>
    <s v="142256"/>
    <x v="31"/>
    <s v="Amit Singh"/>
    <s v="12/07/2021"/>
    <s v="Delivered"/>
    <s v="4GB Graphic card"/>
    <s v="Graphic Card"/>
    <x v="2"/>
    <n v="12500"/>
    <n v="16250"/>
    <n v="4"/>
    <n v="50000"/>
    <n v="65000"/>
    <s v="Ajay Sharma"/>
    <n v="18200"/>
  </r>
  <r>
    <s v="142257"/>
    <x v="32"/>
    <s v="Vinod Mehta"/>
    <s v="13/07/2021"/>
    <s v="Shipped"/>
    <s v="93 GB DDR4 RAM"/>
    <s v="Computer Case"/>
    <x v="3"/>
    <n v="3500"/>
    <n v="4550"/>
    <n v="2"/>
    <n v="7000"/>
    <n v="9100"/>
    <s v="Roshan Kumar"/>
    <n v="13650"/>
  </r>
  <r>
    <s v="142258"/>
    <x v="0"/>
    <s v="Jignesh Mhatre"/>
    <s v="14/07/2021"/>
    <s v="Order"/>
    <s v="BTX motherboard"/>
    <s v="Mouse"/>
    <x v="4"/>
    <n v="4500"/>
    <n v="5850"/>
    <n v="1"/>
    <n v="4500"/>
    <n v="5850"/>
    <s v="Aarvi Gupta"/>
    <n v="1690"/>
  </r>
  <r>
    <s v="142259"/>
    <x v="23"/>
    <s v="Rahul Kashyap"/>
    <s v="15/07/2021"/>
    <s v="Processing"/>
    <s v="88 Fans Cabinet"/>
    <s v="Cabinet"/>
    <x v="5"/>
    <n v="2100"/>
    <n v="2730"/>
    <n v="2"/>
    <n v="4200"/>
    <n v="5460"/>
    <s v="Vijay Singh"/>
    <n v="2990"/>
  </r>
  <r>
    <s v="142260"/>
    <x v="1"/>
    <s v="Mohammed Abdul Kaleem"/>
    <s v="16/07/2021"/>
    <s v="Delivered"/>
    <s v="Wireless Keyboard"/>
    <s v="Keyboard"/>
    <x v="6"/>
    <n v="1150"/>
    <n v="1495"/>
    <n v="3"/>
    <n v="3450"/>
    <n v="4485"/>
    <s v="Aadil Khan"/>
    <n v="3315"/>
  </r>
  <r>
    <s v="142261"/>
    <x v="2"/>
    <s v="Chandrakant Kasbe"/>
    <s v="17/07/2021"/>
    <s v="Shipped"/>
    <s v="USB Mouse"/>
    <s v="Mouse"/>
    <x v="0"/>
    <n v="350"/>
    <n v="455"/>
    <n v="3"/>
    <n v="1050"/>
    <n v="1365"/>
    <s v="Advika Joshi"/>
    <n v="1690"/>
  </r>
  <r>
    <s v="142262"/>
    <x v="3"/>
    <s v="Rohan Kale"/>
    <s v="18/07/2021"/>
    <s v="Order"/>
    <s v="19&quot; LED Display"/>
    <s v="Monitor"/>
    <x v="6"/>
    <n v="9500"/>
    <n v="12350"/>
    <n v="4"/>
    <n v="38000"/>
    <n v="49400"/>
    <s v="Ajay Sharma"/>
    <n v="9750"/>
  </r>
  <r>
    <s v="142263"/>
    <x v="24"/>
    <s v="Aniruddha Kekapure"/>
    <s v="19/07/2021"/>
    <s v="Processing"/>
    <s v="87 TB HDD"/>
    <s v="HDD"/>
    <x v="10"/>
    <n v="10000"/>
    <n v="13000"/>
    <n v="1"/>
    <n v="10000"/>
    <n v="13000"/>
    <s v="Roshan Kumar"/>
    <n v="39000"/>
  </r>
  <r>
    <s v="142264"/>
    <x v="25"/>
    <s v="Aslam Raza"/>
    <s v="20/07/2021"/>
    <s v="Delivered"/>
    <s v="597 GB M.2"/>
    <s v="SSD"/>
    <x v="0"/>
    <n v="6500"/>
    <n v="8450"/>
    <n v="3"/>
    <n v="19500"/>
    <n v="25350"/>
    <s v="Aarvi Gupta"/>
    <n v="8450"/>
  </r>
  <r>
    <s v="142265"/>
    <x v="33"/>
    <s v="Roshan Zameer"/>
    <s v="21/07/2021"/>
    <s v="Shipped"/>
    <s v="RYZEN 3rd gen. 3585"/>
    <s v="CPU"/>
    <x v="1"/>
    <n v="8500"/>
    <n v="11050"/>
    <n v="2"/>
    <n v="17000"/>
    <n v="22100"/>
    <s v="Vijay Singh"/>
    <n v="33150"/>
  </r>
  <r>
    <s v="142266"/>
    <x v="34"/>
    <s v="Rakesh Kumar Sharma"/>
    <s v="22/07/2021"/>
    <s v="Order"/>
    <s v="2GB Graphic Card"/>
    <s v="Graphic Card"/>
    <x v="2"/>
    <n v="7000"/>
    <n v="9100"/>
    <n v="3"/>
    <n v="21000"/>
    <n v="27300"/>
    <s v="Aadil Khan"/>
    <n v="18200"/>
  </r>
  <r>
    <s v="142267"/>
    <x v="4"/>
    <s v="Shivanand Sahani"/>
    <s v="22/07/2021"/>
    <s v="Processing"/>
    <s v="101 GB DDR4 RAM"/>
    <s v="Computer Case"/>
    <x v="3"/>
    <n v="6550"/>
    <n v="8515"/>
    <n v="2"/>
    <n v="13100"/>
    <n v="17030"/>
    <s v="Advika Joshi"/>
    <n v="13650"/>
  </r>
  <r>
    <s v="142268"/>
    <x v="5"/>
    <s v="Kunal Patra"/>
    <s v="22/07/2021"/>
    <s v="Delivered"/>
    <s v="Standard ATX motherboard"/>
    <s v="Mouse"/>
    <x v="4"/>
    <n v="7650"/>
    <n v="9945"/>
    <n v="2"/>
    <n v="15300"/>
    <n v="19890"/>
    <s v="Ajay Sharma"/>
    <n v="1690"/>
  </r>
  <r>
    <s v="142269"/>
    <x v="6"/>
    <s v="Bijendra"/>
    <s v="22/07/2021"/>
    <s v="Shipped"/>
    <s v="Compact with 1 Fan"/>
    <s v="Cabinet"/>
    <x v="5"/>
    <n v="1150"/>
    <n v="1495"/>
    <n v="3"/>
    <n v="3450"/>
    <n v="4485"/>
    <s v="Roshan Kumar"/>
    <n v="2990"/>
  </r>
  <r>
    <s v="142270"/>
    <x v="7"/>
    <s v="Kranti Bheke"/>
    <s v="22/07/2021"/>
    <s v="Order"/>
    <s v="USB Backlight Keyboard"/>
    <s v="Keyboard"/>
    <x v="6"/>
    <n v="850"/>
    <n v="1105"/>
    <n v="2"/>
    <n v="1700"/>
    <n v="2210"/>
    <s v="Aarvi Gupta"/>
    <n v="3315"/>
  </r>
  <r>
    <s v="142271"/>
    <x v="26"/>
    <s v="Jagdeep"/>
    <s v="23/07/2021"/>
    <s v="Processing"/>
    <s v="Ergonomic Mouse"/>
    <s v="Mouse"/>
    <x v="0"/>
    <n v="650"/>
    <n v="845"/>
    <n v="2"/>
    <n v="1300"/>
    <n v="1690"/>
    <s v="Vijay Singh"/>
    <n v="1690"/>
  </r>
  <r>
    <s v="142272"/>
    <x v="27"/>
    <s v="Adhir Samal"/>
    <s v="24/07/2021"/>
    <s v="Delivered"/>
    <s v="15&quot; LCD Dsipaly"/>
    <s v="Monitor"/>
    <x v="6"/>
    <n v="7500"/>
    <n v="9750"/>
    <n v="4"/>
    <n v="30000"/>
    <n v="39000"/>
    <s v="Aadil Khan"/>
    <n v="9750"/>
  </r>
  <r>
    <s v="142273"/>
    <x v="8"/>
    <s v="Dannana Jhammi"/>
    <s v="25/07/2021"/>
    <s v="Shipped"/>
    <s v="87 TB HDD"/>
    <s v="HDD"/>
    <x v="7"/>
    <n v="10000"/>
    <n v="13000"/>
    <n v="3"/>
    <n v="30000"/>
    <n v="39000"/>
    <s v="Advika Joshi"/>
    <n v="39000"/>
  </r>
  <r>
    <s v="142274"/>
    <x v="9"/>
    <s v="Vipin Kumar"/>
    <s v="26/07/2021"/>
    <s v="Order"/>
    <s v="86 TB SSD"/>
    <s v="SSD"/>
    <x v="0"/>
    <n v="10500"/>
    <n v="13650"/>
    <n v="2"/>
    <n v="21000"/>
    <n v="27300"/>
    <s v="Ajay Sharma"/>
    <n v="8450"/>
  </r>
  <r>
    <s v="142275"/>
    <x v="10"/>
    <s v="Ranjeet Kumar"/>
    <s v="27/07/2021"/>
    <s v="Processing"/>
    <s v="Intel i5 12th gen."/>
    <s v="CPU"/>
    <x v="1"/>
    <n v="8500"/>
    <n v="11050"/>
    <n v="4"/>
    <n v="34000"/>
    <n v="44200"/>
    <s v="Roshan Kumar"/>
    <n v="33150"/>
  </r>
  <r>
    <s v="142276"/>
    <x v="11"/>
    <s v="Sajal Singhal"/>
    <s v="28/07/2021"/>
    <s v="Delivered"/>
    <s v="2GB Graphic Card"/>
    <s v="Graphic Card"/>
    <x v="2"/>
    <n v="7000"/>
    <n v="9100"/>
    <n v="3"/>
    <n v="21000"/>
    <n v="27300"/>
    <s v="Aarvi Gupta"/>
    <n v="18200"/>
  </r>
  <r>
    <s v="142277"/>
    <x v="12"/>
    <s v="Akhilesh Kumar"/>
    <s v="29/07/2021"/>
    <s v="Shipped"/>
    <s v="89 GB DDR4 Ram"/>
    <s v="Computer Case"/>
    <x v="3"/>
    <n v="1680"/>
    <n v="2184"/>
    <n v="3"/>
    <n v="5040"/>
    <n v="6552"/>
    <s v="Vijay Singh"/>
    <n v="13650"/>
  </r>
  <r>
    <s v="142278"/>
    <x v="13"/>
    <s v="Suvankar Chakraborty"/>
    <s v="30/07/2021"/>
    <s v="Order"/>
    <s v="Micro ATX motherboard"/>
    <s v="Mouse"/>
    <x v="8"/>
    <n v="6540"/>
    <n v="8502"/>
    <n v="3"/>
    <n v="19620"/>
    <n v="25506"/>
    <s v="Aadil Khan"/>
    <n v="1690"/>
  </r>
  <r>
    <s v="142279"/>
    <x v="14"/>
    <s v="Suvankar Adhikary"/>
    <s v="31/07/2021"/>
    <s v="Processing"/>
    <s v="Gaming Box Cabinet"/>
    <s v="Cabinet"/>
    <x v="5"/>
    <n v="2680"/>
    <n v="3484"/>
    <n v="4"/>
    <n v="10720"/>
    <n v="13936"/>
    <s v="Advika Joshi"/>
    <n v="2990"/>
  </r>
  <r>
    <s v="142280"/>
    <x v="15"/>
    <s v="Rahul Kumar Prajapati"/>
    <s v="01/08/2021"/>
    <s v="Delivered"/>
    <s v="17&quot; LCD Display"/>
    <s v="Monitor"/>
    <x v="0"/>
    <n v="8250"/>
    <n v="10725"/>
    <n v="3"/>
    <n v="24750"/>
    <n v="32175"/>
    <s v="Ajay Sharma"/>
    <n v="9750"/>
  </r>
  <r>
    <s v="142281"/>
    <x v="16"/>
    <s v="Sagar Jeur"/>
    <s v="02/08/2021"/>
    <s v="Shipped"/>
    <s v="93 GB DDR4 RAM"/>
    <s v="RAM"/>
    <x v="0"/>
    <n v="2650"/>
    <n v="3445"/>
    <n v="2"/>
    <n v="5300"/>
    <n v="6890"/>
    <s v="Roshan Kumar"/>
    <n v="25545"/>
  </r>
  <r>
    <s v="142282"/>
    <x v="17"/>
    <s v="Rhushikesh Mane"/>
    <s v="03/08/2021"/>
    <s v="Order"/>
    <s v="26&quot; LCD Display"/>
    <s v="Monitor"/>
    <x v="9"/>
    <n v="12550"/>
    <n v="16315"/>
    <n v="4"/>
    <n v="50200"/>
    <n v="65260"/>
    <s v="Aarvi Gupta"/>
    <n v="9750"/>
  </r>
  <r>
    <s v="142283"/>
    <x v="18"/>
    <s v="Ashish Kumar"/>
    <s v="04/08/2021"/>
    <s v="Processing"/>
    <s v="I7 - intel 12th Generation"/>
    <s v="CPU"/>
    <x v="1"/>
    <n v="14500"/>
    <n v="18850"/>
    <n v="3"/>
    <n v="43500"/>
    <n v="56550"/>
    <s v="Vijay Singh"/>
    <n v="33150"/>
  </r>
  <r>
    <s v="142284"/>
    <x v="19"/>
    <s v="Javed Akhter"/>
    <s v="05/08/2021"/>
    <s v="Delivered"/>
    <s v="USB Keyboard"/>
    <s v="Keyboard"/>
    <x v="6"/>
    <n v="800"/>
    <n v="1040"/>
    <n v="1"/>
    <n v="800"/>
    <n v="1040"/>
    <s v="Aadil Khan"/>
    <n v="3315"/>
  </r>
  <r>
    <s v="142285"/>
    <x v="20"/>
    <s v="Haridas Balraj"/>
    <s v="06/08/2021"/>
    <s v="Shipped"/>
    <s v="Wireless Mouse"/>
    <s v="Mouse"/>
    <x v="0"/>
    <n v="600"/>
    <n v="780"/>
    <n v="3"/>
    <n v="1800"/>
    <n v="2340"/>
    <s v="Advika Joshi"/>
    <n v="1690"/>
  </r>
  <r>
    <s v="142286"/>
    <x v="16"/>
    <s v="Kundan Kumar"/>
    <s v="07/08/2021"/>
    <s v="Order"/>
    <s v="21&quot; LCD Display"/>
    <s v="Monitor"/>
    <x v="6"/>
    <n v="10500"/>
    <n v="13650"/>
    <n v="2"/>
    <n v="21000"/>
    <n v="27300"/>
    <s v="Ajay Sharma"/>
    <n v="9750"/>
  </r>
  <r>
    <s v="142287"/>
    <x v="17"/>
    <s v="Atif Siddiqui"/>
    <s v="08/08/2021"/>
    <s v="Processing"/>
    <s v="87 TB HDD"/>
    <s v="HDD"/>
    <x v="10"/>
    <n v="6500"/>
    <n v="8450"/>
    <n v="2"/>
    <n v="13000"/>
    <n v="16900"/>
    <s v="Roshan Kumar"/>
    <n v="39000"/>
  </r>
  <r>
    <s v="142288"/>
    <x v="27"/>
    <s v="Aditya Agarwal"/>
    <s v="09/08/2021"/>
    <s v="Delivered"/>
    <s v="342 GB SSD"/>
    <s v="SSD"/>
    <x v="0"/>
    <n v="4500"/>
    <n v="5850"/>
    <n v="3"/>
    <n v="13500"/>
    <n v="17550"/>
    <s v="Aarvi Gupta"/>
    <n v="8450"/>
  </r>
  <r>
    <s v="142289"/>
    <x v="22"/>
    <s v="Firdoush Jabee"/>
    <s v="10/08/2021"/>
    <s v="Shipped"/>
    <s v="Intel i3 11th gen."/>
    <s v="CPU"/>
    <x v="1"/>
    <n v="8500"/>
    <n v="11050"/>
    <n v="3"/>
    <n v="25500"/>
    <n v="33150"/>
    <s v="Vijay Singh"/>
    <n v="33150"/>
  </r>
  <r>
    <s v="142290"/>
    <x v="28"/>
    <s v="Jay Prakash Kumar"/>
    <s v="11/08/2021"/>
    <s v="Order"/>
    <s v="4GB Graphic card"/>
    <s v="Graphic Card"/>
    <x v="2"/>
    <n v="12500"/>
    <n v="16250"/>
    <n v="1"/>
    <n v="12500"/>
    <n v="16250"/>
    <s v="Aadil Khan"/>
    <n v="18200"/>
  </r>
  <r>
    <s v="142291"/>
    <x v="29"/>
    <s v="Ashish Pandey"/>
    <s v="12/08/2021"/>
    <s v="Processing"/>
    <s v="94 GB DDR4 RAM"/>
    <s v="NIC"/>
    <x v="3"/>
    <n v="3500"/>
    <n v="4550"/>
    <n v="1"/>
    <n v="3500"/>
    <n v="4550"/>
    <s v="Advika Joshi"/>
    <n v="9100"/>
  </r>
  <r>
    <s v="142292"/>
    <x v="30"/>
    <s v="Ajay Sharma"/>
    <s v="13/08/2021"/>
    <s v="Delivered"/>
    <s v="BTX motherboard"/>
    <s v="Printer"/>
    <x v="4"/>
    <n v="4500"/>
    <n v="5850"/>
    <n v="4"/>
    <n v="18000"/>
    <n v="23400"/>
    <s v="Ajay Sharma"/>
    <n v="11700"/>
  </r>
  <r>
    <s v="142293"/>
    <x v="31"/>
    <s v="Moinuddin Saifi"/>
    <s v="14/08/2021"/>
    <s v="Shipped"/>
    <s v="89 Fans Cabinet"/>
    <s v="Cabinet"/>
    <x v="5"/>
    <n v="2100"/>
    <n v="2730"/>
    <n v="4"/>
    <n v="8400"/>
    <n v="10920"/>
    <s v="Roshan Kumar"/>
    <n v="2990"/>
  </r>
  <r>
    <s v="142294"/>
    <x v="32"/>
    <s v="Ramkrishna Das Adhikary"/>
    <s v="15/08/2021"/>
    <s v="Order"/>
    <s v="Wireless Keyboard"/>
    <s v="Keyboard"/>
    <x v="6"/>
    <n v="1150"/>
    <n v="1495"/>
    <n v="4"/>
    <n v="4600"/>
    <n v="5980"/>
    <s v="Aarvi Gupta"/>
    <n v="3315"/>
  </r>
  <r>
    <s v="142295"/>
    <x v="0"/>
    <s v="Ranjeet Mandal"/>
    <s v="16/08/2021"/>
    <s v="Processing"/>
    <s v="USB Mouse"/>
    <s v="Mouse"/>
    <x v="0"/>
    <n v="350"/>
    <n v="455"/>
    <n v="2"/>
    <n v="700"/>
    <n v="910"/>
    <s v="Vijay Singh"/>
    <n v="1690"/>
  </r>
  <r>
    <s v="142296"/>
    <x v="23"/>
    <s v="Ashwini Adsare"/>
    <s v="17/08/2021"/>
    <s v="Delivered"/>
    <s v="19&quot; LED Display"/>
    <s v="Monitor"/>
    <x v="6"/>
    <n v="9500"/>
    <n v="12350"/>
    <n v="4"/>
    <n v="38000"/>
    <n v="49400"/>
    <s v="Aadil Khan"/>
    <n v="9750"/>
  </r>
  <r>
    <s v="142297"/>
    <x v="1"/>
    <s v="Rajesh Variya"/>
    <s v="18/08/2021"/>
    <s v="Shipped"/>
    <s v="88 TB HDD"/>
    <s v="HDD"/>
    <x v="10"/>
    <n v="10000"/>
    <n v="13000"/>
    <n v="2"/>
    <n v="20000"/>
    <n v="26000"/>
    <s v="Advika Joshi"/>
    <n v="39000"/>
  </r>
  <r>
    <s v="142298"/>
    <x v="2"/>
    <s v="Amit Singh"/>
    <s v="19/08/2021"/>
    <s v="Order"/>
    <s v="598 GB M.2"/>
    <s v="SSD"/>
    <x v="0"/>
    <n v="6500"/>
    <n v="8450"/>
    <n v="1"/>
    <n v="6500"/>
    <n v="8450"/>
    <s v="Ajay Sharma"/>
    <n v="8450"/>
  </r>
  <r>
    <s v="142299"/>
    <x v="3"/>
    <s v="Vinod Mehta"/>
    <s v="20/08/2021"/>
    <s v="Processing"/>
    <s v="RYZEN 3rd gen. 3586"/>
    <s v="CPU"/>
    <x v="1"/>
    <n v="8500"/>
    <n v="11050"/>
    <n v="4"/>
    <n v="34000"/>
    <n v="44200"/>
    <s v="Roshan Kumar"/>
    <n v="33150"/>
  </r>
  <r>
    <s v="142300"/>
    <x v="24"/>
    <s v="Jignesh Mhatre"/>
    <s v="21/08/2021"/>
    <s v="Delivered"/>
    <s v="2GB Graphic Card"/>
    <s v="Graphic Card"/>
    <x v="2"/>
    <n v="7000"/>
    <n v="9100"/>
    <n v="2"/>
    <n v="14000"/>
    <n v="18200"/>
    <s v="Aarvi Gupta"/>
    <n v="18200"/>
  </r>
  <r>
    <s v="142301"/>
    <x v="25"/>
    <s v="Rahul Kashyap"/>
    <s v="22/08/2021"/>
    <s v="Shipped"/>
    <s v="102 GB DDR4 RAM"/>
    <s v="NIC"/>
    <x v="3"/>
    <n v="6550"/>
    <n v="8515"/>
    <n v="2"/>
    <n v="13100"/>
    <n v="17030"/>
    <s v="Vijay Singh"/>
    <n v="9100"/>
  </r>
  <r>
    <s v="142302"/>
    <x v="33"/>
    <s v="Mohammed Abdul Kaleem"/>
    <s v="23/08/2021"/>
    <s v="Order"/>
    <s v="Standard ATX motherboard"/>
    <s v="Printer"/>
    <x v="4"/>
    <n v="7650"/>
    <n v="9945"/>
    <n v="3"/>
    <n v="22950"/>
    <n v="29835"/>
    <s v="Aadil Khan"/>
    <n v="11700"/>
  </r>
  <r>
    <s v="142303"/>
    <x v="34"/>
    <s v="Chandrakant Kasbe"/>
    <s v="24/08/2021"/>
    <s v="Processing"/>
    <s v="Compact with 1 Fan"/>
    <s v="Cabinet"/>
    <x v="5"/>
    <n v="1150"/>
    <n v="1495"/>
    <n v="4"/>
    <n v="4600"/>
    <n v="5980"/>
    <s v="Advika Joshi"/>
    <n v="2990"/>
  </r>
  <r>
    <s v="142304"/>
    <x v="4"/>
    <s v="Rohan Kale"/>
    <s v="25/08/2021"/>
    <s v="Delivered"/>
    <s v="USB Backlight Keyboard"/>
    <s v="Keyboard"/>
    <x v="6"/>
    <n v="850"/>
    <n v="1105"/>
    <n v="3"/>
    <n v="2550"/>
    <n v="3315"/>
    <s v="Ajay Sharma"/>
    <n v="3315"/>
  </r>
  <r>
    <s v="142305"/>
    <x v="5"/>
    <s v="Aniruddha Kekapure"/>
    <s v="26/08/2021"/>
    <s v="Shipped"/>
    <s v="Ergonomic Mouse"/>
    <s v="Mouse"/>
    <x v="0"/>
    <n v="650"/>
    <n v="845"/>
    <n v="1"/>
    <n v="650"/>
    <n v="845"/>
    <s v="Roshan Kumar"/>
    <n v="1690"/>
  </r>
  <r>
    <s v="142306"/>
    <x v="6"/>
    <s v="Aslam Raza"/>
    <s v="27/08/2021"/>
    <s v="Order"/>
    <s v="15&quot; LCD Dsipaly"/>
    <s v="Monitor"/>
    <x v="6"/>
    <n v="7500"/>
    <n v="9750"/>
    <n v="3"/>
    <n v="22500"/>
    <n v="29250"/>
    <s v="Aarvi Gupta"/>
    <n v="9750"/>
  </r>
  <r>
    <s v="142307"/>
    <x v="7"/>
    <s v="Roshan Zameer"/>
    <s v="28/08/2021"/>
    <s v="Processing"/>
    <s v="88 TB HDD"/>
    <s v="HDD"/>
    <x v="7"/>
    <n v="10000"/>
    <n v="13000"/>
    <n v="2"/>
    <n v="20000"/>
    <n v="26000"/>
    <s v="Vijay Singh"/>
    <n v="39000"/>
  </r>
  <r>
    <s v="142308"/>
    <x v="26"/>
    <s v="Rakesh Kumar Sharma"/>
    <s v="29/08/2021"/>
    <s v="Delivered"/>
    <s v="87 TB SSD"/>
    <s v="SSD"/>
    <x v="0"/>
    <n v="10500"/>
    <n v="13650"/>
    <n v="4"/>
    <n v="42000"/>
    <n v="54600"/>
    <s v="Aadil Khan"/>
    <n v="8450"/>
  </r>
  <r>
    <s v="142309"/>
    <x v="27"/>
    <s v="Shivanand Sahani"/>
    <s v="30/08/2021"/>
    <s v="Shipped"/>
    <s v="Intel i5 12th gen."/>
    <s v="CPU"/>
    <x v="1"/>
    <n v="8500"/>
    <n v="11050"/>
    <n v="2"/>
    <n v="17000"/>
    <n v="22100"/>
    <s v="Advika Joshi"/>
    <n v="33150"/>
  </r>
  <r>
    <s v="142310"/>
    <x v="8"/>
    <s v="Kunal Patra"/>
    <s v="31/08/2021"/>
    <s v="Order"/>
    <s v="2GB Graphic Card"/>
    <s v="Graphic Card"/>
    <x v="2"/>
    <n v="7000"/>
    <n v="9100"/>
    <n v="1"/>
    <n v="7000"/>
    <n v="9100"/>
    <s v="Ajay Sharma"/>
    <n v="18200"/>
  </r>
  <r>
    <s v="142311"/>
    <x v="9"/>
    <s v="Bijendra"/>
    <s v="01/09/2021"/>
    <s v="Processing"/>
    <s v="90 GB DDR4 Ram"/>
    <s v="NIC"/>
    <x v="3"/>
    <n v="1680"/>
    <n v="2184"/>
    <n v="4"/>
    <n v="6720"/>
    <n v="8736"/>
    <s v="Roshan Kumar"/>
    <n v="9100"/>
  </r>
  <r>
    <s v="142312"/>
    <x v="10"/>
    <s v="Kranti Bheke"/>
    <s v="02/09/2021"/>
    <s v="Delivered"/>
    <s v="Micro ATX motherboard"/>
    <s v="Printer"/>
    <x v="8"/>
    <n v="6540"/>
    <n v="8502"/>
    <n v="4"/>
    <n v="26160"/>
    <n v="34008"/>
    <s v="Aarvi Gupta"/>
    <n v="11700"/>
  </r>
  <r>
    <s v="142313"/>
    <x v="11"/>
    <s v="Jagdeep"/>
    <s v="03/09/2021"/>
    <s v="Shipped"/>
    <s v="Gaming Box Cabinet"/>
    <s v="Cabinet"/>
    <x v="5"/>
    <n v="2680"/>
    <n v="3484"/>
    <n v="1"/>
    <n v="2680"/>
    <n v="3484"/>
    <s v="Vijay Singh"/>
    <n v="2990"/>
  </r>
  <r>
    <s v="142314"/>
    <x v="12"/>
    <s v="Adhir Samal"/>
    <s v="04/09/2021"/>
    <s v="Order"/>
    <s v="17&quot; LCD Display"/>
    <s v="Monitor"/>
    <x v="0"/>
    <n v="8250"/>
    <n v="10725"/>
    <n v="1"/>
    <n v="8250"/>
    <n v="10725"/>
    <s v="Aadil Khan"/>
    <n v="9750"/>
  </r>
  <r>
    <s v="142315"/>
    <x v="13"/>
    <s v="Dannana Jhammi"/>
    <s v="05/09/2021"/>
    <s v="Processing"/>
    <s v="94 GB DDR4 RAM"/>
    <s v="RAM"/>
    <x v="0"/>
    <n v="2650"/>
    <n v="3445"/>
    <n v="4"/>
    <n v="10600"/>
    <n v="13780"/>
    <s v="Advika Joshi"/>
    <n v="25545"/>
  </r>
  <r>
    <s v="142316"/>
    <x v="14"/>
    <s v="Vipin Kumar"/>
    <s v="06/09/2021"/>
    <s v="Delivered"/>
    <s v="26&quot; LCD Display"/>
    <s v="Monitor"/>
    <x v="9"/>
    <n v="12550"/>
    <n v="16315"/>
    <n v="4"/>
    <n v="50200"/>
    <n v="65260"/>
    <s v="Ajay Sharma"/>
    <n v="9750"/>
  </r>
  <r>
    <s v="142317"/>
    <x v="15"/>
    <s v="Ranjeet Kumar"/>
    <s v="07/09/2021"/>
    <s v="Shipped"/>
    <s v="I7 - intel 12th Generation"/>
    <s v="CPU"/>
    <x v="1"/>
    <n v="14500"/>
    <n v="18850"/>
    <n v="3"/>
    <n v="43500"/>
    <n v="56550"/>
    <s v="Roshan Kumar"/>
    <n v="33150"/>
  </r>
  <r>
    <s v="142318"/>
    <x v="16"/>
    <s v="Sajal Singhal"/>
    <s v="07/09/2021"/>
    <s v="Order"/>
    <s v="USB Keyboard"/>
    <s v="Keyboard"/>
    <x v="6"/>
    <n v="800"/>
    <n v="1040"/>
    <n v="1"/>
    <n v="800"/>
    <n v="1040"/>
    <s v="Aarvi Gupta"/>
    <n v="3315"/>
  </r>
  <r>
    <s v="142319"/>
    <x v="17"/>
    <s v="Akhilesh Kumar"/>
    <s v="07/09/2021"/>
    <s v="Processing"/>
    <s v="Wireless Mouse"/>
    <s v="Mouse"/>
    <x v="0"/>
    <n v="600"/>
    <n v="780"/>
    <n v="1"/>
    <n v="600"/>
    <n v="780"/>
    <s v="Vijay Singh"/>
    <n v="1690"/>
  </r>
  <r>
    <s v="142320"/>
    <x v="18"/>
    <s v="Suvankar Chakraborty"/>
    <s v="07/09/2021"/>
    <s v="Delivered"/>
    <s v="21&quot; LCD Display"/>
    <s v="Monitor"/>
    <x v="6"/>
    <n v="10500"/>
    <n v="13650"/>
    <n v="4"/>
    <n v="42000"/>
    <n v="54600"/>
    <s v="Aadil Khan"/>
    <n v="9750"/>
  </r>
  <r>
    <s v="142321"/>
    <x v="19"/>
    <s v="Suvankar Adhikary"/>
    <s v="07/09/2021"/>
    <s v="Shipped"/>
    <s v="88 TB HDD"/>
    <s v="HDD"/>
    <x v="10"/>
    <n v="6500"/>
    <n v="8450"/>
    <n v="1"/>
    <n v="6500"/>
    <n v="8450"/>
    <s v="Advika Joshi"/>
    <n v="39000"/>
  </r>
  <r>
    <s v="142322"/>
    <x v="20"/>
    <s v="Rahul Kumar Prajapati"/>
    <s v="07/09/2021"/>
    <s v="Order"/>
    <s v="343 GB SSD"/>
    <s v="SSD"/>
    <x v="0"/>
    <n v="4500"/>
    <n v="5850"/>
    <n v="4"/>
    <n v="18000"/>
    <n v="23400"/>
    <s v="Ajay Sharma"/>
    <n v="8450"/>
  </r>
  <r>
    <s v="142323"/>
    <x v="16"/>
    <s v="Sagar Jeur"/>
    <s v="07/09/2021"/>
    <s v="Processing"/>
    <s v="Intel i3 11th gen."/>
    <s v="CPU"/>
    <x v="1"/>
    <n v="8500"/>
    <n v="11050"/>
    <n v="1"/>
    <n v="8500"/>
    <n v="11050"/>
    <s v="Roshan Kumar"/>
    <n v="33150"/>
  </r>
  <r>
    <s v="142324"/>
    <x v="17"/>
    <s v="Rhushikesh Mane"/>
    <s v="07/09/2021"/>
    <s v="Delivered"/>
    <s v="4GB Graphic card"/>
    <s v="Graphic Card"/>
    <x v="2"/>
    <n v="12500"/>
    <n v="16250"/>
    <n v="1"/>
    <n v="12500"/>
    <n v="16250"/>
    <s v="Aarvi Gupta"/>
    <n v="18200"/>
  </r>
  <r>
    <s v="142325"/>
    <x v="27"/>
    <s v="Ashish Kumar"/>
    <s v="07/09/2021"/>
    <s v="Shipped"/>
    <s v="95 GB DDR4 RAM"/>
    <s v="RAM"/>
    <x v="3"/>
    <n v="3500"/>
    <n v="4550"/>
    <n v="2"/>
    <n v="7000"/>
    <n v="9100"/>
    <s v="Vijay Singh"/>
    <n v="25545"/>
  </r>
  <r>
    <s v="142326"/>
    <x v="22"/>
    <s v="Javed Akhter"/>
    <s v="07/09/2021"/>
    <s v="Order"/>
    <s v="BTX motherboard"/>
    <s v="MotherBoard"/>
    <x v="4"/>
    <n v="4500"/>
    <n v="5850"/>
    <n v="4"/>
    <n v="18000"/>
    <n v="23400"/>
    <s v="Aadil Khan"/>
    <n v="39780"/>
  </r>
  <r>
    <s v="142327"/>
    <x v="28"/>
    <s v="Haridas Balraj"/>
    <s v="07/09/2021"/>
    <s v="Processing"/>
    <s v="90 Fans Cabinet"/>
    <s v="Cabinet"/>
    <x v="5"/>
    <n v="2100"/>
    <n v="2730"/>
    <n v="2"/>
    <n v="4200"/>
    <n v="5460"/>
    <s v="Advika Joshi"/>
    <n v="2990"/>
  </r>
  <r>
    <s v="142328"/>
    <x v="29"/>
    <s v="Kundan Kumar"/>
    <s v="07/09/2021"/>
    <s v="Delivered"/>
    <s v="Wireless Keyboard"/>
    <s v="Keyboard"/>
    <x v="6"/>
    <n v="1150"/>
    <n v="1495"/>
    <n v="1"/>
    <n v="1150"/>
    <n v="1495"/>
    <s v="Ajay Sharma"/>
    <n v="3315"/>
  </r>
  <r>
    <s v="142329"/>
    <x v="30"/>
    <s v="Atif Siddiqui"/>
    <s v="07/09/2021"/>
    <s v="Shipped"/>
    <s v="USB Mouse"/>
    <s v="Mouse"/>
    <x v="0"/>
    <n v="350"/>
    <n v="455"/>
    <n v="1"/>
    <n v="350"/>
    <n v="455"/>
    <s v="Roshan Kumar"/>
    <n v="1690"/>
  </r>
  <r>
    <s v="142330"/>
    <x v="31"/>
    <s v="Aditya Agarwal"/>
    <s v="07/09/2021"/>
    <s v="Order"/>
    <s v="19&quot; LED Display"/>
    <s v="Monitor"/>
    <x v="6"/>
    <n v="9500"/>
    <n v="12350"/>
    <n v="4"/>
    <n v="38000"/>
    <n v="49400"/>
    <s v="Aarvi Gupta"/>
    <n v="9750"/>
  </r>
  <r>
    <s v="142331"/>
    <x v="32"/>
    <s v="Firdoush Jabee"/>
    <s v="07/09/2021"/>
    <s v="Processing"/>
    <s v="89 TB HDD"/>
    <s v="HDD"/>
    <x v="10"/>
    <n v="10000"/>
    <n v="13000"/>
    <n v="3"/>
    <n v="30000"/>
    <n v="39000"/>
    <s v="Vijay Singh"/>
    <n v="39000"/>
  </r>
  <r>
    <s v="142332"/>
    <x v="0"/>
    <s v="Jay Prakash Kumar"/>
    <s v="07/09/2021"/>
    <s v="Delivered"/>
    <s v="599 GB M.2"/>
    <s v="SSD"/>
    <x v="0"/>
    <n v="6500"/>
    <n v="8450"/>
    <n v="1"/>
    <n v="6500"/>
    <n v="8450"/>
    <s v="Aadil Khan"/>
    <n v="8450"/>
  </r>
  <r>
    <s v="142333"/>
    <x v="23"/>
    <s v="Ashish Pandey"/>
    <s v="07/09/2021"/>
    <s v="Shipped"/>
    <s v="RYZEN 3rd gen. 3587"/>
    <s v="CPU"/>
    <x v="1"/>
    <n v="8500"/>
    <n v="11050"/>
    <n v="3"/>
    <n v="25500"/>
    <n v="33150"/>
    <s v="Advika Joshi"/>
    <n v="33150"/>
  </r>
  <r>
    <s v="142334"/>
    <x v="1"/>
    <s v="Ajay Sharma"/>
    <s v="07/09/2021"/>
    <s v="Order"/>
    <s v="2GB Graphic Card"/>
    <s v="Graphic Card"/>
    <x v="2"/>
    <n v="7000"/>
    <n v="9100"/>
    <n v="4"/>
    <n v="28000"/>
    <n v="36400"/>
    <s v="Ajay Sharma"/>
    <n v="18200"/>
  </r>
  <r>
    <s v="142335"/>
    <x v="2"/>
    <s v="Moinuddin Saifi"/>
    <s v="07/09/2021"/>
    <s v="Processing"/>
    <s v="103 GB DDR4 RAM"/>
    <s v="RAM"/>
    <x v="3"/>
    <n v="6550"/>
    <n v="8515"/>
    <n v="4"/>
    <n v="26200"/>
    <n v="34060"/>
    <s v="Roshan Kumar"/>
    <n v="25545"/>
  </r>
  <r>
    <s v="142336"/>
    <x v="3"/>
    <s v="Ramkrishna Das Adhikary"/>
    <s v="07/09/2021"/>
    <s v="Delivered"/>
    <s v="Standard ATX motherboard"/>
    <s v="MotherBoard"/>
    <x v="4"/>
    <n v="7650"/>
    <n v="9945"/>
    <n v="2"/>
    <n v="15300"/>
    <n v="19890"/>
    <s v="Aarvi Gupta"/>
    <n v="39780"/>
  </r>
  <r>
    <s v="142337"/>
    <x v="24"/>
    <s v="Ranjeet Mandal"/>
    <s v="07/09/2021"/>
    <s v="Shipped"/>
    <s v="Compact with 1 Fan"/>
    <s v="Cabinet"/>
    <x v="5"/>
    <n v="1150"/>
    <n v="1495"/>
    <n v="1"/>
    <n v="1150"/>
    <n v="1495"/>
    <s v="Vijay Singh"/>
    <n v="2990"/>
  </r>
  <r>
    <s v="142338"/>
    <x v="25"/>
    <s v="Ashwini Adsare"/>
    <s v="07/09/2021"/>
    <s v="Order"/>
    <s v="USB Backlight Keyboard"/>
    <s v="Keyboard"/>
    <x v="6"/>
    <n v="850"/>
    <n v="1105"/>
    <n v="4"/>
    <n v="3400"/>
    <n v="4420"/>
    <s v="Aadil Khan"/>
    <n v="3315"/>
  </r>
  <r>
    <s v="142339"/>
    <x v="33"/>
    <s v="Rajesh Variya"/>
    <s v="07/09/2021"/>
    <s v="Processing"/>
    <s v="Ergonomic Mouse"/>
    <s v="Mouse"/>
    <x v="0"/>
    <n v="650"/>
    <n v="845"/>
    <n v="2"/>
    <n v="1300"/>
    <n v="1690"/>
    <s v="Advika Joshi"/>
    <n v="1690"/>
  </r>
  <r>
    <s v="142340"/>
    <x v="34"/>
    <s v="Amit Singh"/>
    <s v="07/09/2021"/>
    <s v="Delivered"/>
    <s v="15&quot; LCD Dsipaly"/>
    <s v="Monitor"/>
    <x v="6"/>
    <n v="7500"/>
    <n v="9750"/>
    <n v="3"/>
    <n v="22500"/>
    <n v="29250"/>
    <s v="Ajay Sharma"/>
    <n v="9750"/>
  </r>
  <r>
    <s v="142341"/>
    <x v="4"/>
    <s v="Vinod Mehta"/>
    <s v="07/09/2021"/>
    <s v="Shipped"/>
    <s v="89 TB HDD"/>
    <s v="HDD"/>
    <x v="7"/>
    <n v="10000"/>
    <n v="13000"/>
    <n v="2"/>
    <n v="20000"/>
    <n v="26000"/>
    <s v="Roshan Kumar"/>
    <n v="39000"/>
  </r>
  <r>
    <s v="142342"/>
    <x v="5"/>
    <s v="Jignesh Mhatre"/>
    <s v="07/09/2021"/>
    <s v="Order"/>
    <s v="88 TB SSD"/>
    <s v="SSD"/>
    <x v="0"/>
    <n v="10500"/>
    <n v="13650"/>
    <n v="2"/>
    <n v="21000"/>
    <n v="27300"/>
    <s v="Aarvi Gupta"/>
    <n v="8450"/>
  </r>
  <r>
    <s v="142343"/>
    <x v="6"/>
    <s v="Rahul Kashyap"/>
    <s v="07/09/2021"/>
    <s v="Processing"/>
    <s v="Intel i5 12th gen."/>
    <s v="CPU"/>
    <x v="1"/>
    <n v="8500"/>
    <n v="11050"/>
    <n v="2"/>
    <n v="17000"/>
    <n v="22100"/>
    <s v="Vijay Singh"/>
    <n v="33150"/>
  </r>
  <r>
    <s v="142344"/>
    <x v="7"/>
    <s v="Mohammed Abdul Kaleem"/>
    <s v="07/09/2021"/>
    <s v="Delivered"/>
    <s v="2GB Graphic Card"/>
    <s v="Graphic Card"/>
    <x v="2"/>
    <n v="7000"/>
    <n v="9100"/>
    <n v="1"/>
    <n v="7000"/>
    <n v="9100"/>
    <s v="Aadil Khan"/>
    <n v="18200"/>
  </r>
  <r>
    <s v="142345"/>
    <x v="26"/>
    <s v="Chandrakant Kasbe"/>
    <s v="07/09/2021"/>
    <s v="Shipped"/>
    <s v="91 GB DDR4 Ram"/>
    <s v="RAM"/>
    <x v="3"/>
    <n v="1680"/>
    <n v="2184"/>
    <n v="4"/>
    <n v="6720"/>
    <n v="8736"/>
    <s v="Advika Joshi"/>
    <n v="25545"/>
  </r>
  <r>
    <s v="142346"/>
    <x v="27"/>
    <s v="Rohan Kale"/>
    <s v="07/09/2021"/>
    <s v="Order"/>
    <s v="Micro ATX motherboard"/>
    <s v="MotherBoard"/>
    <x v="8"/>
    <n v="6540"/>
    <n v="8502"/>
    <n v="3"/>
    <n v="19620"/>
    <n v="25506"/>
    <s v="Ajay Sharma"/>
    <n v="39780"/>
  </r>
  <r>
    <s v="142347"/>
    <x v="8"/>
    <s v="Aniruddha Kekapure"/>
    <s v="07/09/2021"/>
    <s v="Processing"/>
    <s v="Gaming Box Cabinet"/>
    <s v="Cabinet"/>
    <x v="5"/>
    <n v="2680"/>
    <n v="3484"/>
    <n v="3"/>
    <n v="8040"/>
    <n v="10452"/>
    <s v="Roshan Kumar"/>
    <n v="2990"/>
  </r>
  <r>
    <s v="142348"/>
    <x v="9"/>
    <s v="Aslam Raza"/>
    <s v="07/09/2021"/>
    <s v="Delivered"/>
    <s v="17&quot; LCD Display"/>
    <s v="Monitor"/>
    <x v="0"/>
    <n v="8250"/>
    <n v="10725"/>
    <n v="1"/>
    <n v="8250"/>
    <n v="10725"/>
    <s v="Aarvi Gupta"/>
    <n v="9750"/>
  </r>
  <r>
    <s v="142349"/>
    <x v="10"/>
    <s v="Roshan Zameer"/>
    <s v="07/09/2021"/>
    <s v="Shipped"/>
    <s v="95 GB DDR4 RAM"/>
    <s v="RAM"/>
    <x v="0"/>
    <n v="2650"/>
    <n v="3445"/>
    <n v="2"/>
    <n v="5300"/>
    <n v="6890"/>
    <s v="Vijay Singh"/>
    <n v="25545"/>
  </r>
  <r>
    <s v="142350"/>
    <x v="11"/>
    <s v="Rakesh Kumar Sharma"/>
    <s v="07/09/2021"/>
    <s v="Order"/>
    <s v="26&quot; LCD Display"/>
    <s v="Monitor"/>
    <x v="9"/>
    <n v="12550"/>
    <n v="16315"/>
    <n v="3"/>
    <n v="37650"/>
    <n v="48945"/>
    <s v="Aadil Khan"/>
    <n v="9750"/>
  </r>
  <r>
    <s v="142351"/>
    <x v="12"/>
    <s v="Shivanand Sahani"/>
    <s v="07/09/2021"/>
    <s v="Processing"/>
    <s v="I7 - intel 12th Generation"/>
    <s v="CPU"/>
    <x v="1"/>
    <n v="14500"/>
    <n v="18850"/>
    <n v="3"/>
    <n v="43500"/>
    <n v="56550"/>
    <s v="Advika Joshi"/>
    <n v="33150"/>
  </r>
  <r>
    <s v="142352"/>
    <x v="13"/>
    <s v="Kunal Patra"/>
    <s v="07/09/2021"/>
    <s v="Delivered"/>
    <s v="USB Keyboard"/>
    <s v="Keyboard"/>
    <x v="6"/>
    <n v="800"/>
    <n v="1040"/>
    <n v="1"/>
    <n v="800"/>
    <n v="1040"/>
    <s v="Ajay Sharma"/>
    <n v="3315"/>
  </r>
  <r>
    <s v="142353"/>
    <x v="14"/>
    <s v="Bijendra"/>
    <s v="07/09/2021"/>
    <s v="Shipped"/>
    <s v="Wireless Mouse"/>
    <s v="Mouse"/>
    <x v="0"/>
    <n v="600"/>
    <n v="780"/>
    <n v="2"/>
    <n v="1200"/>
    <n v="1560"/>
    <s v="Roshan Kumar"/>
    <n v="1690"/>
  </r>
  <r>
    <s v="142354"/>
    <x v="15"/>
    <s v="Kranti Bheke"/>
    <s v="07/09/2021"/>
    <s v="Order"/>
    <s v="21&quot; LCD Display"/>
    <s v="Monitor"/>
    <x v="6"/>
    <n v="10500"/>
    <n v="13650"/>
    <n v="1"/>
    <n v="10500"/>
    <n v="13650"/>
    <s v="Aarvi Gupta"/>
    <n v="9750"/>
  </r>
  <r>
    <s v="142355"/>
    <x v="16"/>
    <s v="Jagdeep"/>
    <s v="07/09/2021"/>
    <s v="Processing"/>
    <s v="89 TB HDD"/>
    <s v="HDD"/>
    <x v="10"/>
    <n v="6500"/>
    <n v="8450"/>
    <n v="4"/>
    <n v="26000"/>
    <n v="33800"/>
    <s v="Vijay Singh"/>
    <n v="39000"/>
  </r>
  <r>
    <s v="142356"/>
    <x v="17"/>
    <s v="Adhir Samal"/>
    <s v="07/09/2021"/>
    <s v="Delivered"/>
    <s v="344 GB SSD"/>
    <s v="SSD"/>
    <x v="0"/>
    <n v="4500"/>
    <n v="5850"/>
    <n v="3"/>
    <n v="13500"/>
    <n v="17550"/>
    <s v="Aadil Khan"/>
    <n v="8450"/>
  </r>
  <r>
    <s v="142357"/>
    <x v="18"/>
    <s v="Dannana Jhammi"/>
    <s v="07/09/2021"/>
    <s v="Shipped"/>
    <s v="Intel i3 11th gen."/>
    <s v="CPU"/>
    <x v="1"/>
    <n v="8500"/>
    <n v="11050"/>
    <n v="2"/>
    <n v="17000"/>
    <n v="22100"/>
    <s v="Advika Joshi"/>
    <n v="33150"/>
  </r>
  <r>
    <s v="142358"/>
    <x v="19"/>
    <s v="Vipin Kumar"/>
    <s v="07/09/2021"/>
    <s v="Order"/>
    <s v="4GB Graphic card"/>
    <s v="Graphic Card"/>
    <x v="2"/>
    <n v="12500"/>
    <n v="16250"/>
    <n v="2"/>
    <n v="25000"/>
    <n v="32500"/>
    <s v="Ajay Sharma"/>
    <n v="18200"/>
  </r>
  <r>
    <s v="142359"/>
    <x v="20"/>
    <s v="Ranjeet Kumar"/>
    <s v="07/09/2021"/>
    <s v="Processing"/>
    <s v="96 GB DDR4 RAM"/>
    <s v="Computer Case"/>
    <x v="3"/>
    <n v="3500"/>
    <n v="4550"/>
    <n v="4"/>
    <n v="14000"/>
    <n v="18200"/>
    <s v="Roshan Kumar"/>
    <n v="13650"/>
  </r>
  <r>
    <s v="142360"/>
    <x v="16"/>
    <s v="Sajal Singhal"/>
    <s v="07/09/2021"/>
    <s v="Delivered"/>
    <s v="BTX motherboard"/>
    <s v="Mouse"/>
    <x v="4"/>
    <n v="4500"/>
    <n v="5850"/>
    <n v="3"/>
    <n v="13500"/>
    <n v="17550"/>
    <s v="Aarvi Gupta"/>
    <n v="1690"/>
  </r>
  <r>
    <s v="142361"/>
    <x v="17"/>
    <s v="Akhilesh Kumar"/>
    <s v="07/09/2021"/>
    <s v="Shipped"/>
    <s v="91 Fans Cabinet"/>
    <s v="Cabinet"/>
    <x v="5"/>
    <n v="2100"/>
    <n v="2730"/>
    <n v="1"/>
    <n v="2100"/>
    <n v="2730"/>
    <s v="Vijay Singh"/>
    <n v="2990"/>
  </r>
  <r>
    <s v="142362"/>
    <x v="27"/>
    <s v="Suvankar Chakraborty"/>
    <s v="07/09/2021"/>
    <s v="Order"/>
    <s v="Wireless Keyboard"/>
    <s v="Keyboard"/>
    <x v="6"/>
    <n v="1150"/>
    <n v="1495"/>
    <n v="1"/>
    <n v="1150"/>
    <n v="1495"/>
    <s v="Aadil Khan"/>
    <n v="3315"/>
  </r>
  <r>
    <s v="142363"/>
    <x v="22"/>
    <s v="Suvankar Adhikary"/>
    <s v="07/09/2021"/>
    <s v="Processing"/>
    <s v="USB Mouse"/>
    <s v="Mouse"/>
    <x v="0"/>
    <n v="350"/>
    <n v="455"/>
    <n v="2"/>
    <n v="700"/>
    <n v="910"/>
    <s v="Advika Joshi"/>
    <n v="1690"/>
  </r>
  <r>
    <s v="142364"/>
    <x v="28"/>
    <s v="Rahul Kumar Prajapati"/>
    <s v="07/09/2021"/>
    <s v="Delivered"/>
    <s v="19&quot; LED Display"/>
    <s v="Monitor"/>
    <x v="6"/>
    <n v="9500"/>
    <n v="12350"/>
    <n v="3"/>
    <n v="28500"/>
    <n v="37050"/>
    <s v="Ajay Sharma"/>
    <n v="9750"/>
  </r>
  <r>
    <s v="142365"/>
    <x v="29"/>
    <s v="Sagar Jeur"/>
    <s v="07/09/2021"/>
    <s v="Shipped"/>
    <s v="90 TB HDD"/>
    <s v="HDD"/>
    <x v="10"/>
    <n v="10000"/>
    <n v="13000"/>
    <n v="4"/>
    <n v="40000"/>
    <n v="52000"/>
    <s v="Roshan Kumar"/>
    <n v="39000"/>
  </r>
  <r>
    <s v="142366"/>
    <x v="30"/>
    <s v="Rhushikesh Mane"/>
    <s v="07/09/2021"/>
    <s v="Order"/>
    <s v="600 GB M.2"/>
    <s v="SSD"/>
    <x v="0"/>
    <n v="6500"/>
    <n v="8450"/>
    <n v="3"/>
    <n v="19500"/>
    <n v="25350"/>
    <s v="Aarvi Gupta"/>
    <n v="8450"/>
  </r>
  <r>
    <s v="142367"/>
    <x v="31"/>
    <s v="Ashish Kumar"/>
    <s v="07/09/2021"/>
    <s v="Processing"/>
    <s v="RYZEN 3rd gen. 3588"/>
    <s v="CPU"/>
    <x v="1"/>
    <n v="8500"/>
    <n v="11050"/>
    <n v="2"/>
    <n v="17000"/>
    <n v="22100"/>
    <s v="Vijay Singh"/>
    <n v="33150"/>
  </r>
  <r>
    <s v="142368"/>
    <x v="32"/>
    <s v="Javed Akhter"/>
    <s v="07/09/2021"/>
    <s v="Delivered"/>
    <s v="2GB Graphic Card"/>
    <s v="Graphic Card"/>
    <x v="2"/>
    <n v="7000"/>
    <n v="9100"/>
    <n v="3"/>
    <n v="21000"/>
    <n v="27300"/>
    <s v="Aadil Khan"/>
    <n v="18200"/>
  </r>
  <r>
    <s v="142369"/>
    <x v="0"/>
    <s v="Haridas Balraj"/>
    <s v="07/09/2021"/>
    <s v="Shipped"/>
    <s v="104 GB DDR4 RAM"/>
    <s v="Computer Case"/>
    <x v="3"/>
    <n v="6550"/>
    <n v="8515"/>
    <n v="2"/>
    <n v="13100"/>
    <n v="17030"/>
    <s v="Advika Joshi"/>
    <n v="13650"/>
  </r>
  <r>
    <s v="142370"/>
    <x v="23"/>
    <s v="Kundan Kumar"/>
    <s v="07/09/2021"/>
    <s v="Order"/>
    <s v="Standard ATX motherboard"/>
    <s v="Mouse"/>
    <x v="4"/>
    <n v="7650"/>
    <n v="9945"/>
    <n v="2"/>
    <n v="15300"/>
    <n v="19890"/>
    <s v="Ajay Sharma"/>
    <n v="1690"/>
  </r>
  <r>
    <s v="142371"/>
    <x v="1"/>
    <s v="Atif Siddiqui"/>
    <s v="07/09/2021"/>
    <s v="Processing"/>
    <s v="Compact with 1 Fan"/>
    <s v="Cabinet"/>
    <x v="5"/>
    <n v="1150"/>
    <n v="1495"/>
    <n v="1"/>
    <n v="1150"/>
    <n v="1495"/>
    <s v="Roshan Kumar"/>
    <n v="2990"/>
  </r>
  <r>
    <s v="142372"/>
    <x v="2"/>
    <s v="Aditya Agarwal"/>
    <s v="07/09/2021"/>
    <s v="Delivered"/>
    <s v="USB Backlight Keyboard"/>
    <s v="Keyboard"/>
    <x v="6"/>
    <n v="850"/>
    <n v="1105"/>
    <n v="2"/>
    <n v="1700"/>
    <n v="2210"/>
    <s v="Aarvi Gupta"/>
    <n v="3315"/>
  </r>
  <r>
    <s v="142373"/>
    <x v="3"/>
    <s v="Firdoush Jabee"/>
    <s v="07/09/2021"/>
    <s v="Shipped"/>
    <s v="Ergonomic Mouse"/>
    <s v="Mouse"/>
    <x v="0"/>
    <n v="650"/>
    <n v="845"/>
    <n v="2"/>
    <n v="1300"/>
    <n v="1690"/>
    <s v="Vijay Singh"/>
    <n v="1690"/>
  </r>
  <r>
    <s v="142374"/>
    <x v="24"/>
    <s v="Jay Prakash Kumar"/>
    <s v="07/09/2021"/>
    <s v="Order"/>
    <s v="15&quot; LCD Dsipaly"/>
    <s v="Monitor"/>
    <x v="6"/>
    <n v="7500"/>
    <n v="9750"/>
    <n v="1"/>
    <n v="7500"/>
    <n v="9750"/>
    <s v="Aadil Khan"/>
    <n v="9750"/>
  </r>
  <r>
    <s v="142375"/>
    <x v="25"/>
    <s v="Ashish Pandey"/>
    <s v="07/09/2021"/>
    <s v="Processing"/>
    <s v="90 TB HDD"/>
    <s v="HDD"/>
    <x v="7"/>
    <n v="10000"/>
    <n v="13000"/>
    <n v="1"/>
    <n v="10000"/>
    <n v="13000"/>
    <s v="Advika Joshi"/>
    <n v="39000"/>
  </r>
  <r>
    <s v="142376"/>
    <x v="33"/>
    <s v="Ajay Sharma"/>
    <s v="07/09/2021"/>
    <s v="Delivered"/>
    <s v="89 TB SSD"/>
    <s v="SSD"/>
    <x v="0"/>
    <n v="10500"/>
    <n v="13650"/>
    <n v="1"/>
    <n v="10500"/>
    <n v="13650"/>
    <s v="Ajay Sharma"/>
    <n v="8450"/>
  </r>
  <r>
    <s v="142377"/>
    <x v="34"/>
    <s v="Moinuddin Saifi"/>
    <s v="07/09/2021"/>
    <s v="Shipped"/>
    <s v="Intel i5 12th gen."/>
    <s v="CPU"/>
    <x v="1"/>
    <n v="8500"/>
    <n v="11050"/>
    <n v="3"/>
    <n v="25500"/>
    <n v="33150"/>
    <s v="Roshan Kumar"/>
    <n v="33150"/>
  </r>
  <r>
    <s v="142378"/>
    <x v="4"/>
    <s v="Ramkrishna Das Adhikary"/>
    <s v="07/09/2021"/>
    <s v="Order"/>
    <s v="2GB Graphic Card"/>
    <s v="Graphic Card"/>
    <x v="2"/>
    <n v="7000"/>
    <n v="9100"/>
    <n v="3"/>
    <n v="21000"/>
    <n v="27300"/>
    <s v="Aarvi Gupta"/>
    <n v="18200"/>
  </r>
  <r>
    <s v="142379"/>
    <x v="5"/>
    <s v="Ranjeet Mandal"/>
    <s v="07/09/2021"/>
    <s v="Processing"/>
    <s v="92 GB DDR4 Ram"/>
    <s v="Computer Case"/>
    <x v="3"/>
    <n v="1680"/>
    <n v="2184"/>
    <n v="1"/>
    <n v="1680"/>
    <n v="2184"/>
    <s v="Vijay Singh"/>
    <n v="13650"/>
  </r>
  <r>
    <s v="142380"/>
    <x v="6"/>
    <s v="Ashwini Adsare"/>
    <s v="07/09/2021"/>
    <s v="Delivered"/>
    <s v="Micro ATX motherboard"/>
    <s v="Mouse"/>
    <x v="8"/>
    <n v="6540"/>
    <n v="8502"/>
    <n v="4"/>
    <n v="26160"/>
    <n v="34008"/>
    <s v="Aadil Khan"/>
    <n v="1690"/>
  </r>
  <r>
    <s v="142381"/>
    <x v="7"/>
    <s v="Rajesh Variya"/>
    <s v="07/09/2021"/>
    <s v="Shipped"/>
    <s v="Gaming Box Cabinet"/>
    <s v="Cabinet"/>
    <x v="5"/>
    <n v="2680"/>
    <n v="3484"/>
    <n v="3"/>
    <n v="8040"/>
    <n v="10452"/>
    <s v="Advika Joshi"/>
    <n v="2990"/>
  </r>
  <r>
    <s v="142382"/>
    <x v="26"/>
    <s v="Amit Singh"/>
    <s v="07/09/2021"/>
    <s v="Order"/>
    <s v="17&quot; LCD Display"/>
    <s v="Monitor"/>
    <x v="0"/>
    <n v="8250"/>
    <n v="10725"/>
    <n v="2"/>
    <n v="16500"/>
    <n v="21450"/>
    <s v="Ajay Sharma"/>
    <n v="9750"/>
  </r>
  <r>
    <s v="142383"/>
    <x v="27"/>
    <s v="Vinod Mehta"/>
    <s v="07/09/2021"/>
    <s v="Processing"/>
    <s v="96 GB DDR4 RAM"/>
    <s v="RAM"/>
    <x v="0"/>
    <n v="2650"/>
    <n v="3445"/>
    <n v="1"/>
    <n v="2650"/>
    <n v="3445"/>
    <s v="Ajay Sharma"/>
    <n v="25545"/>
  </r>
  <r>
    <s v="142384"/>
    <x v="8"/>
    <s v="Jignesh Mhatre"/>
    <s v="07/09/2021"/>
    <s v="Delivered"/>
    <s v="26&quot; LCD Display"/>
    <s v="Monitor"/>
    <x v="9"/>
    <n v="12550"/>
    <n v="16315"/>
    <n v="4"/>
    <n v="50200"/>
    <n v="65260"/>
    <s v="Roshan Kumar"/>
    <n v="9750"/>
  </r>
  <r>
    <s v="142385"/>
    <x v="9"/>
    <s v="Rahul Kashyap"/>
    <s v="07/09/2021"/>
    <s v="Shipped"/>
    <s v="I7 - intel 12th Generation"/>
    <s v="CPU"/>
    <x v="1"/>
    <n v="14500"/>
    <n v="18850"/>
    <n v="4"/>
    <n v="58000"/>
    <n v="75400"/>
    <s v="Aarvi Gupta"/>
    <n v="33150"/>
  </r>
  <r>
    <s v="142386"/>
    <x v="10"/>
    <s v="Mohammed Abdul Kaleem"/>
    <s v="07/09/2021"/>
    <s v="Order"/>
    <s v="USB Keyboard"/>
    <s v="Keyboard"/>
    <x v="6"/>
    <n v="800"/>
    <n v="1040"/>
    <n v="2"/>
    <n v="1600"/>
    <n v="2080"/>
    <s v="Vijay Singh"/>
    <n v="3315"/>
  </r>
  <r>
    <s v="142387"/>
    <x v="11"/>
    <s v="Chandrakant Kasbe"/>
    <s v="07/09/2021"/>
    <s v="Processing"/>
    <s v="Wireless Mouse"/>
    <s v="Mouse"/>
    <x v="0"/>
    <n v="600"/>
    <n v="780"/>
    <n v="4"/>
    <n v="2400"/>
    <n v="3120"/>
    <s v="Aadil Khan"/>
    <n v="1690"/>
  </r>
  <r>
    <s v="142388"/>
    <x v="12"/>
    <s v="Rohan Kale"/>
    <s v="07/09/2021"/>
    <s v="Delivered"/>
    <s v="21&quot; LCD Display"/>
    <s v="Monitor"/>
    <x v="6"/>
    <n v="10500"/>
    <n v="13650"/>
    <n v="1"/>
    <n v="10500"/>
    <n v="13650"/>
    <s v="Advika Joshi"/>
    <n v="9750"/>
  </r>
  <r>
    <s v="142389"/>
    <x v="13"/>
    <s v="Aniruddha Kekapure"/>
    <s v="07/09/2021"/>
    <s v="Shipped"/>
    <s v="90 TB HDD"/>
    <s v="HDD"/>
    <x v="10"/>
    <n v="6500"/>
    <n v="8450"/>
    <n v="1"/>
    <n v="6500"/>
    <n v="8450"/>
    <s v="Ajay Sharma"/>
    <n v="39000"/>
  </r>
  <r>
    <s v="142390"/>
    <x v="14"/>
    <s v="Aslam Raza"/>
    <s v="07/09/2021"/>
    <s v="Order"/>
    <s v="345 GB SSD"/>
    <s v="SSD"/>
    <x v="0"/>
    <n v="4500"/>
    <n v="5850"/>
    <n v="2"/>
    <n v="9000"/>
    <n v="11700"/>
    <s v="Roshan Kumar"/>
    <n v="8450"/>
  </r>
  <r>
    <s v="142391"/>
    <x v="15"/>
    <s v="Roshan Zameer"/>
    <s v="07/09/2021"/>
    <s v="Processing"/>
    <s v="Intel i3 11th gen."/>
    <s v="CPU"/>
    <x v="1"/>
    <n v="8500"/>
    <n v="11050"/>
    <n v="4"/>
    <n v="34000"/>
    <n v="44200"/>
    <s v="Aarvi Gupta"/>
    <n v="33150"/>
  </r>
  <r>
    <s v="142392"/>
    <x v="16"/>
    <s v="Rakesh Kumar Sharma"/>
    <s v="07/09/2021"/>
    <s v="Delivered"/>
    <s v="4GB Graphic card"/>
    <s v="Graphic Card"/>
    <x v="2"/>
    <n v="12500"/>
    <n v="16250"/>
    <n v="4"/>
    <n v="50000"/>
    <n v="65000"/>
    <s v="Vijay Singh"/>
    <n v="18200"/>
  </r>
  <r>
    <s v="142393"/>
    <x v="17"/>
    <s v="Shivanand Sahani"/>
    <s v="07/09/2021"/>
    <s v="Shipped"/>
    <s v="97 GB DDR4 RAM"/>
    <s v="NIC"/>
    <x v="3"/>
    <n v="3500"/>
    <n v="4550"/>
    <n v="3"/>
    <n v="10500"/>
    <n v="13650"/>
    <s v="Aadil Khan"/>
    <n v="9100"/>
  </r>
  <r>
    <s v="142394"/>
    <x v="18"/>
    <s v="Kunal Patra"/>
    <s v="07/09/2021"/>
    <s v="Order"/>
    <s v="BTX motherboard"/>
    <s v="Printer"/>
    <x v="4"/>
    <n v="4500"/>
    <n v="5850"/>
    <n v="1"/>
    <n v="4500"/>
    <n v="5850"/>
    <s v="Advika Joshi"/>
    <n v="11700"/>
  </r>
  <r>
    <s v="142395"/>
    <x v="19"/>
    <s v="Bijendra"/>
    <s v="07/09/2021"/>
    <s v="Processing"/>
    <s v="92 Fans Cabinet"/>
    <s v="Cabinet"/>
    <x v="5"/>
    <n v="2100"/>
    <n v="2730"/>
    <n v="3"/>
    <n v="6300"/>
    <n v="8190"/>
    <s v="Ajay Sharma"/>
    <n v="2990"/>
  </r>
  <r>
    <s v="142396"/>
    <x v="20"/>
    <s v="Kranti Bheke"/>
    <s v="07/09/2021"/>
    <s v="Delivered"/>
    <s v="Wireless Keyboard"/>
    <s v="Keyboard"/>
    <x v="6"/>
    <n v="1150"/>
    <n v="1495"/>
    <n v="3"/>
    <n v="3450"/>
    <n v="4485"/>
    <s v="Roshan Kumar"/>
    <n v="3315"/>
  </r>
  <r>
    <s v="142397"/>
    <x v="16"/>
    <s v="Jagdeep"/>
    <s v="07/09/2021"/>
    <s v="Shipped"/>
    <s v="USB Mouse"/>
    <s v="Mouse"/>
    <x v="0"/>
    <n v="350"/>
    <n v="455"/>
    <n v="2"/>
    <n v="700"/>
    <n v="910"/>
    <s v="Aarvi Gupta"/>
    <n v="1690"/>
  </r>
  <r>
    <s v="142398"/>
    <x v="17"/>
    <s v="Adhir Samal"/>
    <s v="07/09/2021"/>
    <s v="Order"/>
    <s v="19&quot; LED Display"/>
    <s v="Monitor"/>
    <x v="6"/>
    <n v="9500"/>
    <n v="12350"/>
    <n v="2"/>
    <n v="19000"/>
    <n v="24700"/>
    <s v="Vijay Singh"/>
    <n v="9750"/>
  </r>
  <r>
    <s v="142399"/>
    <x v="27"/>
    <s v="Dannana Jhammi"/>
    <s v="07/09/2021"/>
    <s v="Processing"/>
    <s v="91 TB HDD"/>
    <s v="HDD"/>
    <x v="10"/>
    <n v="10000"/>
    <n v="13000"/>
    <n v="1"/>
    <n v="10000"/>
    <n v="13000"/>
    <s v="Aadil Khan"/>
    <n v="39000"/>
  </r>
  <r>
    <s v="142400"/>
    <x v="22"/>
    <s v="Vipin Kumar"/>
    <s v="07/09/2021"/>
    <s v="Delivered"/>
    <s v="601 GB M.2"/>
    <s v="SSD"/>
    <x v="0"/>
    <n v="6500"/>
    <n v="8450"/>
    <n v="3"/>
    <n v="19500"/>
    <n v="25350"/>
    <s v="Advika Joshi"/>
    <n v="8450"/>
  </r>
  <r>
    <s v="142401"/>
    <x v="28"/>
    <s v="Ranjeet Kumar"/>
    <s v="07/09/2021"/>
    <s v="Shipped"/>
    <s v="RYZEN 3rd gen. 3589"/>
    <s v="CPU"/>
    <x v="1"/>
    <n v="8500"/>
    <n v="11050"/>
    <n v="4"/>
    <n v="34000"/>
    <n v="44200"/>
    <s v="Ajay Sharma"/>
    <n v="33150"/>
  </r>
  <r>
    <s v="142402"/>
    <x v="29"/>
    <s v="Sajal Singhal"/>
    <s v="07/09/2021"/>
    <s v="Order"/>
    <s v="2GB Graphic Card"/>
    <s v="Graphic Card"/>
    <x v="2"/>
    <n v="7000"/>
    <n v="9100"/>
    <n v="4"/>
    <n v="28000"/>
    <n v="36400"/>
    <s v="Roshan Kumar"/>
    <n v="18200"/>
  </r>
  <r>
    <s v="142403"/>
    <x v="30"/>
    <s v="Akhilesh Kumar"/>
    <s v="07/09/2021"/>
    <s v="Processing"/>
    <s v="105 GB DDR4 RAM"/>
    <s v="NIC"/>
    <x v="3"/>
    <n v="6550"/>
    <n v="8515"/>
    <n v="1"/>
    <n v="6550"/>
    <n v="8515"/>
    <s v="Aarvi Gupta"/>
    <n v="9100"/>
  </r>
  <r>
    <s v="142404"/>
    <x v="31"/>
    <s v="Suvankar Chakraborty"/>
    <s v="07/09/2021"/>
    <s v="Delivered"/>
    <s v="Standard ATX motherboard"/>
    <s v="Printer"/>
    <x v="4"/>
    <n v="7650"/>
    <n v="9945"/>
    <n v="3"/>
    <n v="22950"/>
    <n v="29835"/>
    <s v="Vijay Singh"/>
    <n v="11700"/>
  </r>
  <r>
    <s v="142405"/>
    <x v="32"/>
    <s v="Suvankar Adhikary"/>
    <s v="07/09/2021"/>
    <s v="Shipped"/>
    <s v="Compact with 1 Fan"/>
    <s v="Cabinet"/>
    <x v="5"/>
    <n v="1150"/>
    <n v="1495"/>
    <n v="4"/>
    <n v="4600"/>
    <n v="5980"/>
    <s v="Aadil Khan"/>
    <n v="2990"/>
  </r>
  <r>
    <s v="142406"/>
    <x v="0"/>
    <s v="Rahul Kumar Prajapati"/>
    <s v="07/09/2021"/>
    <s v="Order"/>
    <s v="USB Backlight Keyboard"/>
    <s v="Keyboard"/>
    <x v="6"/>
    <n v="850"/>
    <n v="1105"/>
    <n v="1"/>
    <n v="850"/>
    <n v="1105"/>
    <s v="Advika Joshi"/>
    <n v="3315"/>
  </r>
  <r>
    <s v="142407"/>
    <x v="23"/>
    <s v="Sagar Jeur"/>
    <s v="07/09/2021"/>
    <s v="Processing"/>
    <s v="Ergonomic Mouse"/>
    <s v="Mouse"/>
    <x v="0"/>
    <n v="650"/>
    <n v="845"/>
    <n v="3"/>
    <n v="1950"/>
    <n v="2535"/>
    <s v="Ajay Sharma"/>
    <n v="1690"/>
  </r>
  <r>
    <s v="142408"/>
    <x v="1"/>
    <s v="Rhushikesh Mane"/>
    <s v="07/09/2021"/>
    <s v="Delivered"/>
    <s v="15&quot; LCD Dsipaly"/>
    <s v="Monitor"/>
    <x v="6"/>
    <n v="7500"/>
    <n v="9750"/>
    <n v="3"/>
    <n v="22500"/>
    <n v="29250"/>
    <s v="Roshan Kumar"/>
    <n v="9750"/>
  </r>
  <r>
    <s v="142409"/>
    <x v="2"/>
    <s v="Ashish Kumar"/>
    <s v="07/09/2021"/>
    <s v="Shipped"/>
    <s v="91 TB HDD"/>
    <s v="HDD"/>
    <x v="7"/>
    <n v="10000"/>
    <n v="13000"/>
    <n v="2"/>
    <n v="20000"/>
    <n v="26000"/>
    <s v="Aarvi Gupta"/>
    <n v="39000"/>
  </r>
  <r>
    <s v="142410"/>
    <x v="3"/>
    <s v="Javed Akhter"/>
    <s v="07/09/2021"/>
    <s v="Order"/>
    <s v="90 TB SSD"/>
    <s v="SSD"/>
    <x v="0"/>
    <n v="10500"/>
    <n v="13650"/>
    <n v="3"/>
    <n v="31500"/>
    <n v="40950"/>
    <s v="Vijay Singh"/>
    <n v="8450"/>
  </r>
  <r>
    <s v="142411"/>
    <x v="24"/>
    <s v="Haridas Balraj"/>
    <s v="07/09/2021"/>
    <s v="Processing"/>
    <s v="Intel i5 12th gen."/>
    <s v="CPU"/>
    <x v="1"/>
    <n v="8500"/>
    <n v="11050"/>
    <n v="1"/>
    <n v="8500"/>
    <n v="11050"/>
    <s v="Aadil Khan"/>
    <n v="33150"/>
  </r>
  <r>
    <s v="142412"/>
    <x v="25"/>
    <s v="Kundan Kumar"/>
    <s v="07/09/2021"/>
    <s v="Delivered"/>
    <s v="2GB Graphic Card"/>
    <s v="Graphic Card"/>
    <x v="2"/>
    <n v="7000"/>
    <n v="9100"/>
    <n v="4"/>
    <n v="28000"/>
    <n v="36400"/>
    <s v="Advika Joshi"/>
    <n v="18200"/>
  </r>
  <r>
    <s v="142413"/>
    <x v="33"/>
    <s v="Atif Siddiqui"/>
    <s v="08/09/2021"/>
    <s v="Shipped"/>
    <s v="93 GB DDR4 Ram"/>
    <s v="NIC"/>
    <x v="3"/>
    <n v="1680"/>
    <n v="2184"/>
    <n v="4"/>
    <n v="6720"/>
    <n v="8736"/>
    <s v="Ajay Sharma"/>
    <n v="9100"/>
  </r>
  <r>
    <s v="142414"/>
    <x v="34"/>
    <s v="Aditya Agarwal"/>
    <s v="09/09/2021"/>
    <s v="Order"/>
    <s v="Micro ATX motherboard"/>
    <s v="Printer"/>
    <x v="8"/>
    <n v="6540"/>
    <n v="8502"/>
    <n v="4"/>
    <n v="26160"/>
    <n v="34008"/>
    <s v="Roshan Kumar"/>
    <n v="11700"/>
  </r>
  <r>
    <s v="142415"/>
    <x v="4"/>
    <s v="Firdoush Jabee"/>
    <s v="10/09/2021"/>
    <s v="Processing"/>
    <s v="Gaming Box Cabinet"/>
    <s v="Cabinet"/>
    <x v="5"/>
    <n v="2680"/>
    <n v="3484"/>
    <n v="1"/>
    <n v="2680"/>
    <n v="3484"/>
    <s v="Aarvi Gupta"/>
    <n v="2990"/>
  </r>
  <r>
    <s v="142416"/>
    <x v="5"/>
    <s v="Jay Prakash Kumar"/>
    <s v="10/09/2021"/>
    <s v="Delivered"/>
    <s v="17&quot; LCD Display"/>
    <s v="Monitor"/>
    <x v="0"/>
    <n v="8250"/>
    <n v="10725"/>
    <n v="1"/>
    <n v="8250"/>
    <n v="10725"/>
    <s v="Vijay Singh"/>
    <n v="9750"/>
  </r>
  <r>
    <s v="142417"/>
    <x v="6"/>
    <s v="Ashish Pandey"/>
    <s v="10/09/2021"/>
    <s v="Shipped"/>
    <s v="97 GB DDR4 RAM"/>
    <s v="RAM"/>
    <x v="0"/>
    <n v="2650"/>
    <n v="3445"/>
    <n v="1"/>
    <n v="2650"/>
    <n v="3445"/>
    <s v="Aadil Khan"/>
    <n v="25545"/>
  </r>
  <r>
    <s v="142418"/>
    <x v="7"/>
    <s v="Ajay Sharma"/>
    <s v="10/09/2021"/>
    <s v="Order"/>
    <s v="26&quot; LCD Display"/>
    <s v="Monitor"/>
    <x v="9"/>
    <n v="12550"/>
    <n v="16315"/>
    <n v="2"/>
    <n v="25100"/>
    <n v="32630"/>
    <s v="Advika Joshi"/>
    <n v="9750"/>
  </r>
  <r>
    <s v="142419"/>
    <x v="26"/>
    <s v="Moinuddin Saifi"/>
    <s v="10/09/2021"/>
    <s v="Processing"/>
    <s v="I7 - intel 12th Generation"/>
    <s v="CPU"/>
    <x v="1"/>
    <n v="14500"/>
    <n v="18850"/>
    <n v="3"/>
    <n v="43500"/>
    <n v="56550"/>
    <s v="Ajay Sharma"/>
    <n v="33150"/>
  </r>
  <r>
    <s v="142420"/>
    <x v="27"/>
    <s v="Ramkrishna Das Adhikary"/>
    <s v="10/09/2021"/>
    <s v="Delivered"/>
    <s v="USB Keyboard"/>
    <s v="Keyboard"/>
    <x v="6"/>
    <n v="800"/>
    <n v="1040"/>
    <n v="2"/>
    <n v="1600"/>
    <n v="2080"/>
    <s v="Roshan Kumar"/>
    <n v="3315"/>
  </r>
  <r>
    <s v="142421"/>
    <x v="8"/>
    <s v="Ranjeet Mandal"/>
    <s v="10/09/2021"/>
    <s v="Shipped"/>
    <s v="Wireless Mouse"/>
    <s v="Mouse"/>
    <x v="0"/>
    <n v="600"/>
    <n v="780"/>
    <n v="3"/>
    <n v="1800"/>
    <n v="2340"/>
    <s v="Aarvi Gupta"/>
    <n v="1690"/>
  </r>
  <r>
    <s v="142422"/>
    <x v="9"/>
    <s v="Ashwini Adsare"/>
    <s v="10/09/2021"/>
    <s v="Order"/>
    <s v="21&quot; LCD Display"/>
    <s v="Monitor"/>
    <x v="6"/>
    <n v="10500"/>
    <n v="13650"/>
    <n v="3"/>
    <n v="31500"/>
    <n v="40950"/>
    <s v="Vijay Singh"/>
    <n v="9750"/>
  </r>
  <r>
    <s v="142423"/>
    <x v="10"/>
    <s v="Rajesh Variya"/>
    <s v="10/09/2021"/>
    <s v="Processing"/>
    <s v="91 TB HDD"/>
    <s v="HDD"/>
    <x v="10"/>
    <n v="6500"/>
    <n v="8450"/>
    <n v="4"/>
    <n v="26000"/>
    <n v="33800"/>
    <s v="Aadil Khan"/>
    <n v="39000"/>
  </r>
  <r>
    <s v="142424"/>
    <x v="11"/>
    <s v="Amit Singh"/>
    <s v="10/09/2021"/>
    <s v="Delivered"/>
    <s v="346 GB SSD"/>
    <s v="SSD"/>
    <x v="0"/>
    <n v="4500"/>
    <n v="5850"/>
    <n v="4"/>
    <n v="18000"/>
    <n v="23400"/>
    <s v="Advika Joshi"/>
    <n v="8450"/>
  </r>
  <r>
    <s v="142425"/>
    <x v="12"/>
    <s v="Vinod Mehta"/>
    <s v="10/09/2021"/>
    <s v="Shipped"/>
    <s v="Intel i3 11th gen."/>
    <s v="CPU"/>
    <x v="1"/>
    <n v="8500"/>
    <n v="11050"/>
    <n v="1"/>
    <n v="8500"/>
    <n v="11050"/>
    <s v="Ajay Sharma"/>
    <n v="33150"/>
  </r>
  <r>
    <s v="142426"/>
    <x v="13"/>
    <s v="Jignesh Mhatre"/>
    <s v="10/09/2021"/>
    <s v="Order"/>
    <s v="4GB Graphic card"/>
    <s v="Graphic Card"/>
    <x v="2"/>
    <n v="12500"/>
    <n v="16250"/>
    <n v="2"/>
    <n v="25000"/>
    <n v="32500"/>
    <s v="Roshan Kumar"/>
    <n v="18200"/>
  </r>
  <r>
    <s v="142427"/>
    <x v="14"/>
    <s v="Rahul Kashyap"/>
    <s v="10/09/2021"/>
    <s v="Processing"/>
    <s v="98 GB DDR4 RAM"/>
    <s v="RAM"/>
    <x v="3"/>
    <n v="3500"/>
    <n v="4550"/>
    <n v="1"/>
    <n v="3500"/>
    <n v="4550"/>
    <s v="Aarvi Gupta"/>
    <n v="25545"/>
  </r>
  <r>
    <s v="142428"/>
    <x v="15"/>
    <s v="Mohammed Abdul Kaleem"/>
    <s v="10/09/2021"/>
    <s v="Delivered"/>
    <s v="BTX motherboard"/>
    <s v="MotherBoard"/>
    <x v="4"/>
    <n v="4500"/>
    <n v="5850"/>
    <n v="4"/>
    <n v="18000"/>
    <n v="23400"/>
    <s v="Vijay Singh"/>
    <n v="39780"/>
  </r>
  <r>
    <s v="142429"/>
    <x v="16"/>
    <s v="Chandrakant Kasbe"/>
    <s v="10/09/2021"/>
    <s v="Shipped"/>
    <s v="93 Fans Cabinet"/>
    <s v="Cabinet"/>
    <x v="5"/>
    <n v="2100"/>
    <n v="2730"/>
    <n v="4"/>
    <n v="8400"/>
    <n v="10920"/>
    <s v="Aadil Khan"/>
    <n v="2990"/>
  </r>
  <r>
    <s v="142430"/>
    <x v="17"/>
    <s v="Rohan Kale"/>
    <s v="10/09/2021"/>
    <s v="Order"/>
    <s v="Wireless Keyboard"/>
    <s v="Keyboard"/>
    <x v="6"/>
    <n v="1150"/>
    <n v="1495"/>
    <n v="1"/>
    <n v="1150"/>
    <n v="1495"/>
    <s v="Advika Joshi"/>
    <n v="3315"/>
  </r>
  <r>
    <s v="142431"/>
    <x v="18"/>
    <s v="Aniruddha Kekapure"/>
    <s v="10/09/2021"/>
    <s v="Processing"/>
    <s v="USB Mouse"/>
    <s v="Mouse"/>
    <x v="0"/>
    <n v="350"/>
    <n v="455"/>
    <n v="3"/>
    <n v="1050"/>
    <n v="1365"/>
    <s v="Ajay Sharma"/>
    <n v="1690"/>
  </r>
  <r>
    <s v="142432"/>
    <x v="19"/>
    <s v="Aslam Raza"/>
    <s v="10/09/2021"/>
    <s v="Delivered"/>
    <s v="19&quot; LED Display"/>
    <s v="Monitor"/>
    <x v="6"/>
    <n v="9500"/>
    <n v="12350"/>
    <n v="3"/>
    <n v="28500"/>
    <n v="37050"/>
    <s v="Roshan Kumar"/>
    <n v="9750"/>
  </r>
  <r>
    <s v="142433"/>
    <x v="20"/>
    <s v="Roshan Zameer"/>
    <s v="10/09/2021"/>
    <s v="Shipped"/>
    <s v="92 TB HDD"/>
    <s v="HDD"/>
    <x v="10"/>
    <n v="10000"/>
    <n v="13000"/>
    <n v="1"/>
    <n v="10000"/>
    <n v="13000"/>
    <s v="Aarvi Gupta"/>
    <n v="39000"/>
  </r>
  <r>
    <s v="142434"/>
    <x v="16"/>
    <s v="Rakesh Kumar Sharma"/>
    <s v="10/09/2021"/>
    <s v="Order"/>
    <s v="602 GB M.2"/>
    <s v="SSD"/>
    <x v="0"/>
    <n v="6500"/>
    <n v="8450"/>
    <n v="2"/>
    <n v="13000"/>
    <n v="16900"/>
    <s v="Vijay Singh"/>
    <n v="8450"/>
  </r>
  <r>
    <s v="142435"/>
    <x v="17"/>
    <s v="Shivanand Sahani"/>
    <s v="10/09/2021"/>
    <s v="Processing"/>
    <s v="RYZEN 3rd gen. 3590"/>
    <s v="CPU"/>
    <x v="1"/>
    <n v="8500"/>
    <n v="11050"/>
    <n v="3"/>
    <n v="25500"/>
    <n v="33150"/>
    <s v="Aadil Khan"/>
    <n v="33150"/>
  </r>
  <r>
    <s v="142436"/>
    <x v="27"/>
    <s v="Kunal Patra"/>
    <s v="10/09/2021"/>
    <s v="Delivered"/>
    <s v="2GB Graphic Card"/>
    <s v="Graphic Card"/>
    <x v="2"/>
    <n v="7000"/>
    <n v="9100"/>
    <n v="1"/>
    <n v="7000"/>
    <n v="9100"/>
    <s v="Advika Joshi"/>
    <n v="18200"/>
  </r>
  <r>
    <s v="142437"/>
    <x v="22"/>
    <s v="Bijendra"/>
    <s v="10/09/2021"/>
    <s v="Shipped"/>
    <s v="106 GB DDR4 RAM"/>
    <s v="RAM"/>
    <x v="3"/>
    <n v="6550"/>
    <n v="8515"/>
    <n v="3"/>
    <n v="19650"/>
    <n v="25545"/>
    <s v="Ajay Sharma"/>
    <n v="25545"/>
  </r>
  <r>
    <s v="142438"/>
    <x v="28"/>
    <s v="Kranti Bheke"/>
    <s v="10/09/2021"/>
    <s v="Order"/>
    <s v="Standard ATX motherboard"/>
    <s v="MotherBoard"/>
    <x v="4"/>
    <n v="7650"/>
    <n v="9945"/>
    <n v="3"/>
    <n v="22950"/>
    <n v="29835"/>
    <s v="Roshan Kumar"/>
    <n v="39780"/>
  </r>
  <r>
    <s v="142439"/>
    <x v="29"/>
    <s v="Jagdeep"/>
    <s v="10/09/2021"/>
    <s v="Processing"/>
    <s v="Compact with 1 Fan"/>
    <s v="Cabinet"/>
    <x v="5"/>
    <n v="1150"/>
    <n v="1495"/>
    <n v="4"/>
    <n v="4600"/>
    <n v="5980"/>
    <s v="Aarvi Gupta"/>
    <n v="2990"/>
  </r>
  <r>
    <s v="142440"/>
    <x v="30"/>
    <s v="Adhir Samal"/>
    <s v="10/09/2021"/>
    <s v="Delivered"/>
    <s v="USB Backlight Keyboard"/>
    <s v="Keyboard"/>
    <x v="6"/>
    <n v="850"/>
    <n v="1105"/>
    <n v="2"/>
    <n v="1700"/>
    <n v="2210"/>
    <s v="Vijay Singh"/>
    <n v="3315"/>
  </r>
  <r>
    <s v="142441"/>
    <x v="31"/>
    <s v="Dannana Jhammi"/>
    <s v="10/09/2021"/>
    <s v="Shipped"/>
    <s v="Ergonomic Mouse"/>
    <s v="Mouse"/>
    <x v="0"/>
    <n v="650"/>
    <n v="845"/>
    <n v="2"/>
    <n v="1300"/>
    <n v="1690"/>
    <s v="Aadil Khan"/>
    <n v="1690"/>
  </r>
  <r>
    <s v="142442"/>
    <x v="32"/>
    <s v="Vipin Kumar"/>
    <s v="10/09/2021"/>
    <s v="Order"/>
    <s v="15&quot; LCD Dsipaly"/>
    <s v="Monitor"/>
    <x v="6"/>
    <n v="7500"/>
    <n v="9750"/>
    <n v="2"/>
    <n v="15000"/>
    <n v="19500"/>
    <s v="Advika Joshi"/>
    <n v="9750"/>
  </r>
  <r>
    <s v="142443"/>
    <x v="0"/>
    <s v="Ranjeet Kumar"/>
    <s v="10/09/2021"/>
    <s v="Processing"/>
    <s v="92 TB HDD"/>
    <s v="HDD"/>
    <x v="7"/>
    <n v="10000"/>
    <n v="13000"/>
    <n v="1"/>
    <n v="10000"/>
    <n v="13000"/>
    <s v="Ajay Sharma"/>
    <n v="39000"/>
  </r>
  <r>
    <s v="142444"/>
    <x v="23"/>
    <s v="Sajal Singhal"/>
    <s v="10/09/2021"/>
    <s v="Delivered"/>
    <s v="91 TB SSD"/>
    <s v="SSD"/>
    <x v="0"/>
    <n v="10500"/>
    <n v="13650"/>
    <n v="1"/>
    <n v="10500"/>
    <n v="13650"/>
    <s v="Roshan Kumar"/>
    <n v="8450"/>
  </r>
  <r>
    <s v="142445"/>
    <x v="1"/>
    <s v="Akhilesh Kumar"/>
    <s v="10/09/2021"/>
    <s v="Shipped"/>
    <s v="Intel i5 12th gen."/>
    <s v="CPU"/>
    <x v="1"/>
    <n v="8500"/>
    <n v="11050"/>
    <n v="2"/>
    <n v="17000"/>
    <n v="22100"/>
    <s v="Aarvi Gupta"/>
    <n v="33150"/>
  </r>
  <r>
    <s v="142446"/>
    <x v="2"/>
    <s v="Suvankar Chakraborty"/>
    <s v="10/09/2021"/>
    <s v="Order"/>
    <s v="2GB Graphic Card"/>
    <s v="Graphic Card"/>
    <x v="2"/>
    <n v="7000"/>
    <n v="9100"/>
    <n v="4"/>
    <n v="28000"/>
    <n v="36400"/>
    <s v="Vijay Singh"/>
    <n v="18200"/>
  </r>
  <r>
    <s v="142447"/>
    <x v="3"/>
    <s v="Suvankar Adhikary"/>
    <s v="10/09/2021"/>
    <s v="Processing"/>
    <s v="94 GB DDR4 Ram"/>
    <s v="RAM"/>
    <x v="3"/>
    <n v="1680"/>
    <n v="2184"/>
    <n v="4"/>
    <n v="6720"/>
    <n v="8736"/>
    <s v="Aadil Khan"/>
    <n v="25545"/>
  </r>
  <r>
    <s v="142448"/>
    <x v="24"/>
    <s v="Rahul Kumar Prajapati"/>
    <s v="10/09/2021"/>
    <s v="Delivered"/>
    <s v="Micro ATX motherboard"/>
    <s v="MotherBoard"/>
    <x v="8"/>
    <n v="6540"/>
    <n v="8502"/>
    <n v="3"/>
    <n v="19620"/>
    <n v="25506"/>
    <s v="Advika Joshi"/>
    <n v="39780"/>
  </r>
  <r>
    <s v="142449"/>
    <x v="25"/>
    <s v="Sagar Jeur"/>
    <s v="10/09/2021"/>
    <s v="Shipped"/>
    <s v="Gaming Box Cabinet"/>
    <s v="Cabinet"/>
    <x v="5"/>
    <n v="2680"/>
    <n v="3484"/>
    <n v="4"/>
    <n v="10720"/>
    <n v="13936"/>
    <s v="Ajay Sharma"/>
    <n v="2990"/>
  </r>
  <r>
    <s v="142450"/>
    <x v="33"/>
    <s v="Rhushikesh Mane"/>
    <s v="10/09/2021"/>
    <s v="Order"/>
    <s v="17&quot; LCD Display"/>
    <s v="Monitor"/>
    <x v="0"/>
    <n v="8250"/>
    <n v="10725"/>
    <n v="2"/>
    <n v="16500"/>
    <n v="21450"/>
    <s v="Roshan Kumar"/>
    <n v="9750"/>
  </r>
  <r>
    <s v="142451"/>
    <x v="34"/>
    <s v="Ashish Kumar"/>
    <s v="10/09/2021"/>
    <s v="Processing"/>
    <s v="98 GB DDR4 RAM"/>
    <s v="RAM"/>
    <x v="0"/>
    <n v="2650"/>
    <n v="3445"/>
    <n v="3"/>
    <n v="7950"/>
    <n v="10335"/>
    <s v="Aarvi Gupta"/>
    <n v="25545"/>
  </r>
  <r>
    <s v="142452"/>
    <x v="4"/>
    <s v="Javed Akhter"/>
    <s v="10/09/2021"/>
    <s v="Delivered"/>
    <s v="26&quot; LCD Display"/>
    <s v="Monitor"/>
    <x v="9"/>
    <n v="12550"/>
    <n v="16315"/>
    <n v="4"/>
    <n v="50200"/>
    <n v="65260"/>
    <s v="Vijay Singh"/>
    <n v="9750"/>
  </r>
  <r>
    <s v="142453"/>
    <x v="5"/>
    <s v="Haridas Balraj"/>
    <s v="10/09/2021"/>
    <s v="Shipped"/>
    <s v="I7 - intel 12th Generation"/>
    <s v="CPU"/>
    <x v="1"/>
    <n v="14500"/>
    <n v="18850"/>
    <n v="1"/>
    <n v="14500"/>
    <n v="18850"/>
    <s v="Aadil Khan"/>
    <n v="33150"/>
  </r>
  <r>
    <s v="142454"/>
    <x v="6"/>
    <s v="Kundan Kumar"/>
    <s v="10/09/2021"/>
    <s v="Order"/>
    <s v="USB Keyboard"/>
    <s v="Keyboard"/>
    <x v="6"/>
    <n v="800"/>
    <n v="1040"/>
    <n v="3"/>
    <n v="2400"/>
    <n v="3120"/>
    <s v="Advika Joshi"/>
    <n v="3315"/>
  </r>
  <r>
    <s v="142455"/>
    <x v="7"/>
    <s v="Atif Siddiqui"/>
    <s v="11/09/2021"/>
    <s v="Processing"/>
    <s v="Wireless Mouse"/>
    <s v="Mouse"/>
    <x v="0"/>
    <n v="600"/>
    <n v="780"/>
    <n v="2"/>
    <n v="1200"/>
    <n v="1560"/>
    <s v="Ajay Sharma"/>
    <n v="1690"/>
  </r>
  <r>
    <s v="142456"/>
    <x v="26"/>
    <s v="Aditya Agarwal"/>
    <s v="12/09/2021"/>
    <s v="Delivered"/>
    <s v="21&quot; LCD Display"/>
    <s v="Monitor"/>
    <x v="6"/>
    <n v="10500"/>
    <n v="13650"/>
    <n v="2"/>
    <n v="21000"/>
    <n v="27300"/>
    <s v="Roshan Kumar"/>
    <n v="9750"/>
  </r>
  <r>
    <s v="142457"/>
    <x v="27"/>
    <s v="Firdoush Jabee"/>
    <s v="13/09/2021"/>
    <s v="Shipped"/>
    <s v="92 TB HDD"/>
    <s v="HDD"/>
    <x v="10"/>
    <n v="6500"/>
    <n v="8450"/>
    <n v="2"/>
    <n v="13000"/>
    <n v="16900"/>
    <s v="Aarvi Gupta"/>
    <n v="39000"/>
  </r>
  <r>
    <s v="142458"/>
    <x v="8"/>
    <s v="Jay Prakash Kumar"/>
    <s v="14/09/2021"/>
    <s v="Order"/>
    <s v="347 GB SSD"/>
    <s v="SSD"/>
    <x v="0"/>
    <n v="4500"/>
    <n v="5850"/>
    <n v="1"/>
    <n v="4500"/>
    <n v="5850"/>
    <s v="Vijay Singh"/>
    <n v="8450"/>
  </r>
  <r>
    <s v="142459"/>
    <x v="9"/>
    <s v="Ashish Pandey"/>
    <s v="15/09/2021"/>
    <s v="Processing"/>
    <s v="Intel i3 11th gen."/>
    <s v="CPU"/>
    <x v="1"/>
    <n v="8500"/>
    <n v="11050"/>
    <n v="2"/>
    <n v="17000"/>
    <n v="22100"/>
    <s v="Aadil Khan"/>
    <n v="33150"/>
  </r>
  <r>
    <s v="142460"/>
    <x v="10"/>
    <s v="Ajay Sharma"/>
    <s v="16/09/2021"/>
    <s v="Delivered"/>
    <s v="4GB Graphic card"/>
    <s v="Graphic Card"/>
    <x v="2"/>
    <n v="12500"/>
    <n v="16250"/>
    <n v="4"/>
    <n v="50000"/>
    <n v="65000"/>
    <s v="Advika Joshi"/>
    <n v="18200"/>
  </r>
  <r>
    <s v="142461"/>
    <x v="11"/>
    <s v="Moinuddin Saifi"/>
    <s v="17/09/2021"/>
    <s v="Shipped"/>
    <s v="99 GB DDR4 RAM"/>
    <s v="Computer Case"/>
    <x v="3"/>
    <n v="3500"/>
    <n v="4550"/>
    <n v="4"/>
    <n v="14000"/>
    <n v="18200"/>
    <s v="Ajay Sharma"/>
    <n v="13650"/>
  </r>
  <r>
    <s v="142462"/>
    <x v="12"/>
    <s v="Ramkrishna Das Adhikary"/>
    <s v="18/09/2021"/>
    <s v="Order"/>
    <s v="BTX motherboard"/>
    <s v="Mouse"/>
    <x v="4"/>
    <n v="4500"/>
    <n v="5850"/>
    <n v="2"/>
    <n v="9000"/>
    <n v="11700"/>
    <s v="Roshan Kumar"/>
    <n v="1690"/>
  </r>
  <r>
    <s v="142463"/>
    <x v="13"/>
    <s v="Ranjeet Mandal"/>
    <s v="19/09/2021"/>
    <s v="Processing"/>
    <s v="94 Fans Cabinet"/>
    <s v="Cabinet"/>
    <x v="5"/>
    <n v="2100"/>
    <n v="2730"/>
    <n v="2"/>
    <n v="4200"/>
    <n v="5460"/>
    <s v="Aarvi Gupta"/>
    <n v="2990"/>
  </r>
  <r>
    <s v="142464"/>
    <x v="14"/>
    <s v="Ashwini Adsare"/>
    <s v="20/09/2021"/>
    <s v="Delivered"/>
    <s v="Wireless Keyboard"/>
    <s v="Keyboard"/>
    <x v="6"/>
    <n v="1150"/>
    <n v="1495"/>
    <n v="1"/>
    <n v="1150"/>
    <n v="1495"/>
    <s v="Vijay Singh"/>
    <n v="3315"/>
  </r>
  <r>
    <s v="142465"/>
    <x v="15"/>
    <s v="Rajesh Variya"/>
    <s v="21/09/2021"/>
    <s v="Shipped"/>
    <s v="USB Mouse"/>
    <s v="Mouse"/>
    <x v="0"/>
    <n v="350"/>
    <n v="455"/>
    <n v="4"/>
    <n v="1400"/>
    <n v="1820"/>
    <s v="Aadil Khan"/>
    <n v="1690"/>
  </r>
  <r>
    <s v="142466"/>
    <x v="16"/>
    <s v="Amit Singh"/>
    <s v="22/09/2021"/>
    <s v="Order"/>
    <s v="19&quot; LED Display"/>
    <s v="Monitor"/>
    <x v="6"/>
    <n v="9500"/>
    <n v="12350"/>
    <n v="2"/>
    <n v="19000"/>
    <n v="24700"/>
    <s v="Advika Joshi"/>
    <n v="9750"/>
  </r>
  <r>
    <s v="142467"/>
    <x v="17"/>
    <s v="Vinod Mehta"/>
    <s v="23/09/2021"/>
    <s v="Processing"/>
    <s v="93 TB HDD"/>
    <s v="HDD"/>
    <x v="10"/>
    <n v="10000"/>
    <n v="13000"/>
    <n v="4"/>
    <n v="40000"/>
    <n v="52000"/>
    <s v="Ajay Sharma"/>
    <n v="39000"/>
  </r>
  <r>
    <s v="142468"/>
    <x v="18"/>
    <s v="Jignesh Mhatre"/>
    <s v="24/09/2021"/>
    <s v="Delivered"/>
    <s v="603 GB M.2"/>
    <s v="SSD"/>
    <x v="0"/>
    <n v="6500"/>
    <n v="8450"/>
    <n v="4"/>
    <n v="26000"/>
    <n v="33800"/>
    <s v="Roshan Kumar"/>
    <n v="8450"/>
  </r>
  <r>
    <s v="142469"/>
    <x v="19"/>
    <s v="Rahul Kashyap"/>
    <s v="25/09/2021"/>
    <s v="Shipped"/>
    <s v="RYZEN 3rd gen. 3591"/>
    <s v="CPU"/>
    <x v="1"/>
    <n v="8500"/>
    <n v="11050"/>
    <n v="2"/>
    <n v="17000"/>
    <n v="22100"/>
    <s v="Aarvi Gupta"/>
    <n v="33150"/>
  </r>
  <r>
    <s v="142470"/>
    <x v="20"/>
    <s v="Mohammed Abdul Kaleem"/>
    <s v="26/09/2021"/>
    <s v="Order"/>
    <s v="2GB Graphic Card"/>
    <s v="Graphic Card"/>
    <x v="2"/>
    <n v="7000"/>
    <n v="9100"/>
    <n v="2"/>
    <n v="14000"/>
    <n v="18200"/>
    <s v="Vijay Singh"/>
    <n v="18200"/>
  </r>
  <r>
    <s v="142471"/>
    <x v="16"/>
    <s v="Chandrakant Kasbe"/>
    <s v="27/09/2021"/>
    <s v="Processing"/>
    <s v="107 GB DDR4 RAM"/>
    <s v="Computer Case"/>
    <x v="3"/>
    <n v="6550"/>
    <n v="8515"/>
    <n v="1"/>
    <n v="6550"/>
    <n v="8515"/>
    <s v="Aadil Khan"/>
    <n v="13650"/>
  </r>
  <r>
    <s v="142472"/>
    <x v="17"/>
    <s v="Rohan Kale"/>
    <s v="28/09/2021"/>
    <s v="Delivered"/>
    <s v="Standard ATX motherboard"/>
    <s v="Mouse"/>
    <x v="4"/>
    <n v="7650"/>
    <n v="9945"/>
    <n v="3"/>
    <n v="22950"/>
    <n v="29835"/>
    <s v="Advika Joshi"/>
    <n v="1690"/>
  </r>
  <r>
    <s v="142473"/>
    <x v="27"/>
    <s v="Aniruddha Kekapure"/>
    <s v="29/09/2021"/>
    <s v="Shipped"/>
    <s v="Compact with 1 Fan"/>
    <s v="Cabinet"/>
    <x v="5"/>
    <n v="1150"/>
    <n v="1495"/>
    <n v="1"/>
    <n v="1150"/>
    <n v="1495"/>
    <s v="Ajay Sharma"/>
    <n v="2990"/>
  </r>
  <r>
    <s v="142474"/>
    <x v="22"/>
    <s v="Aslam Raza"/>
    <s v="30/09/2021"/>
    <s v="Order"/>
    <s v="USB Backlight Keyboard"/>
    <s v="Keyboard"/>
    <x v="6"/>
    <n v="850"/>
    <n v="1105"/>
    <n v="3"/>
    <n v="2550"/>
    <n v="3315"/>
    <s v="Roshan Kumar"/>
    <n v="3315"/>
  </r>
  <r>
    <s v="142475"/>
    <x v="28"/>
    <s v="Roshan Zameer"/>
    <s v="01/10/2021"/>
    <s v="Processing"/>
    <s v="Ergonomic Mouse"/>
    <s v="Mouse"/>
    <x v="0"/>
    <n v="650"/>
    <n v="845"/>
    <n v="2"/>
    <n v="1300"/>
    <n v="1690"/>
    <s v="Aarvi Gupta"/>
    <n v="1690"/>
  </r>
  <r>
    <s v="142476"/>
    <x v="29"/>
    <s v="Rakesh Kumar Sharma"/>
    <s v="02/10/2021"/>
    <s v="Delivered"/>
    <s v="15&quot; LCD Dsipaly"/>
    <s v="Monitor"/>
    <x v="6"/>
    <n v="7500"/>
    <n v="9750"/>
    <n v="3"/>
    <n v="22500"/>
    <n v="29250"/>
    <s v="Vijay Singh"/>
    <n v="9750"/>
  </r>
  <r>
    <s v="142477"/>
    <x v="30"/>
    <s v="Shivanand Sahani"/>
    <s v="03/10/2021"/>
    <s v="Shipped"/>
    <s v="93 TB HDD"/>
    <s v="HDD"/>
    <x v="7"/>
    <n v="10000"/>
    <n v="13000"/>
    <n v="3"/>
    <n v="30000"/>
    <n v="39000"/>
    <s v="Aadil Khan"/>
    <n v="39000"/>
  </r>
  <r>
    <s v="142478"/>
    <x v="31"/>
    <s v="Kunal Patra"/>
    <s v="04/10/2021"/>
    <s v="Order"/>
    <s v="92 TB SSD"/>
    <s v="SSD"/>
    <x v="0"/>
    <n v="10500"/>
    <n v="13650"/>
    <n v="4"/>
    <n v="42000"/>
    <n v="54600"/>
    <s v="Advika Joshi"/>
    <n v="8450"/>
  </r>
  <r>
    <s v="142479"/>
    <x v="32"/>
    <s v="Bijendra"/>
    <s v="05/10/2021"/>
    <s v="Processing"/>
    <s v="Intel i5 12th gen."/>
    <s v="CPU"/>
    <x v="1"/>
    <n v="8500"/>
    <n v="11050"/>
    <n v="4"/>
    <n v="34000"/>
    <n v="44200"/>
    <s v="Ajay Sharma"/>
    <n v="33150"/>
  </r>
  <r>
    <s v="142480"/>
    <x v="0"/>
    <s v="Kranti Bheke"/>
    <s v="06/10/2021"/>
    <s v="Delivered"/>
    <s v="2GB Graphic Card"/>
    <s v="Graphic Card"/>
    <x v="2"/>
    <n v="7000"/>
    <n v="9100"/>
    <n v="3"/>
    <n v="21000"/>
    <n v="27300"/>
    <s v="Roshan Kumar"/>
    <n v="18200"/>
  </r>
  <r>
    <s v="142481"/>
    <x v="23"/>
    <s v="Jagdeep"/>
    <s v="07/10/2021"/>
    <s v="Shipped"/>
    <s v="95 GB DDR4 Ram"/>
    <s v="Computer Case"/>
    <x v="3"/>
    <n v="1680"/>
    <n v="2184"/>
    <n v="1"/>
    <n v="1680"/>
    <n v="2184"/>
    <s v="Aarvi Gupta"/>
    <n v="13650"/>
  </r>
  <r>
    <s v="142482"/>
    <x v="1"/>
    <s v="Adhir Samal"/>
    <s v="08/10/2021"/>
    <s v="Order"/>
    <s v="Micro ATX motherboard"/>
    <s v="Mouse"/>
    <x v="8"/>
    <n v="6540"/>
    <n v="8502"/>
    <n v="3"/>
    <n v="19620"/>
    <n v="25506"/>
    <s v="Vijay Singh"/>
    <n v="1690"/>
  </r>
  <r>
    <s v="142483"/>
    <x v="2"/>
    <s v="Dannana Jhammi"/>
    <s v="09/10/2021"/>
    <s v="Processing"/>
    <s v="Gaming Box Cabinet"/>
    <s v="Cabinet"/>
    <x v="5"/>
    <n v="2680"/>
    <n v="3484"/>
    <n v="1"/>
    <n v="2680"/>
    <n v="3484"/>
    <s v="Aadil Khan"/>
    <n v="2990"/>
  </r>
  <r>
    <s v="142484"/>
    <x v="3"/>
    <s v="Vipin Kumar"/>
    <s v="10/10/2021"/>
    <s v="Delivered"/>
    <s v="17&quot; LCD Display"/>
    <s v="Monitor"/>
    <x v="0"/>
    <n v="8250"/>
    <n v="10725"/>
    <n v="2"/>
    <n v="16500"/>
    <n v="21450"/>
    <s v="Advika Joshi"/>
    <n v="9750"/>
  </r>
  <r>
    <s v="142485"/>
    <x v="24"/>
    <s v="Ranjeet Kumar"/>
    <s v="11/10/2021"/>
    <s v="Shipped"/>
    <s v="99 GB DDR4 RAM"/>
    <s v="RAM"/>
    <x v="0"/>
    <n v="2650"/>
    <n v="3445"/>
    <n v="2"/>
    <n v="5300"/>
    <n v="6890"/>
    <s v="Ajay Sharma"/>
    <n v="25545"/>
  </r>
  <r>
    <s v="142486"/>
    <x v="25"/>
    <s v="Sajal Singhal"/>
    <s v="12/10/2021"/>
    <s v="Order"/>
    <s v="26&quot; LCD Display"/>
    <s v="Monitor"/>
    <x v="9"/>
    <n v="12550"/>
    <n v="16315"/>
    <n v="2"/>
    <n v="25100"/>
    <n v="32630"/>
    <s v="Roshan Kumar"/>
    <n v="9750"/>
  </r>
  <r>
    <s v="142487"/>
    <x v="33"/>
    <s v="Akhilesh Kumar"/>
    <s v="13/10/2021"/>
    <s v="Processing"/>
    <s v="I7 - intel 12th Generation"/>
    <s v="CPU"/>
    <x v="1"/>
    <n v="14500"/>
    <n v="18850"/>
    <n v="1"/>
    <n v="14500"/>
    <n v="18850"/>
    <s v="Aarvi Gupta"/>
    <n v="33150"/>
  </r>
  <r>
    <s v="142488"/>
    <x v="34"/>
    <s v="Suvankar Chakraborty"/>
    <s v="14/10/2021"/>
    <s v="Delivered"/>
    <s v="USB Keyboard"/>
    <s v="Keyboard"/>
    <x v="6"/>
    <n v="800"/>
    <n v="1040"/>
    <n v="1"/>
    <n v="800"/>
    <n v="1040"/>
    <s v="Vijay Singh"/>
    <n v="3315"/>
  </r>
  <r>
    <s v="142489"/>
    <x v="4"/>
    <s v="Suvankar Adhikary"/>
    <s v="15/10/2021"/>
    <s v="Shipped"/>
    <s v="Wireless Mouse"/>
    <s v="Mouse"/>
    <x v="0"/>
    <n v="600"/>
    <n v="780"/>
    <n v="2"/>
    <n v="1200"/>
    <n v="1560"/>
    <s v="Aadil Khan"/>
    <n v="1690"/>
  </r>
  <r>
    <s v="142490"/>
    <x v="5"/>
    <s v="Rahul Kumar Prajapati"/>
    <s v="16/10/2021"/>
    <s v="Order"/>
    <s v="21&quot; LCD Display"/>
    <s v="Monitor"/>
    <x v="6"/>
    <n v="10500"/>
    <n v="13650"/>
    <n v="4"/>
    <n v="42000"/>
    <n v="54600"/>
    <s v="Advika Joshi"/>
    <n v="9750"/>
  </r>
  <r>
    <s v="142491"/>
    <x v="6"/>
    <s v="Sagar Jeur"/>
    <s v="17/10/2021"/>
    <s v="Processing"/>
    <s v="93 TB HDD"/>
    <s v="HDD"/>
    <x v="10"/>
    <n v="6500"/>
    <n v="8450"/>
    <n v="3"/>
    <n v="19500"/>
    <n v="25350"/>
    <s v="Ajay Sharma"/>
    <n v="39000"/>
  </r>
  <r>
    <s v="142492"/>
    <x v="7"/>
    <s v="Rhushikesh Mane"/>
    <s v="18/10/2021"/>
    <s v="Delivered"/>
    <s v="348 GB SSD"/>
    <s v="SSD"/>
    <x v="0"/>
    <n v="4500"/>
    <n v="5850"/>
    <n v="2"/>
    <n v="9000"/>
    <n v="11700"/>
    <s v="Roshan Kumar"/>
    <n v="8450"/>
  </r>
  <r>
    <s v="142493"/>
    <x v="26"/>
    <s v="Ashish Kumar"/>
    <s v="19/10/2021"/>
    <s v="Shipped"/>
    <s v="Intel i3 11th gen."/>
    <s v="CPU"/>
    <x v="1"/>
    <n v="8500"/>
    <n v="11050"/>
    <n v="3"/>
    <n v="25500"/>
    <n v="33150"/>
    <s v="Aarvi Gupta"/>
    <n v="33150"/>
  </r>
  <r>
    <s v="142494"/>
    <x v="27"/>
    <s v="Javed Akhter"/>
    <s v="20/10/2021"/>
    <s v="Order"/>
    <s v="4GB Graphic card"/>
    <s v="Graphic Card"/>
    <x v="2"/>
    <n v="12500"/>
    <n v="16250"/>
    <n v="2"/>
    <n v="25000"/>
    <n v="32500"/>
    <s v="Vijay Singh"/>
    <n v="18200"/>
  </r>
  <r>
    <s v="142495"/>
    <x v="8"/>
    <s v="Haridas Balraj"/>
    <s v="21/10/2021"/>
    <s v="Processing"/>
    <s v="100 GB DDR4 RAM"/>
    <s v="NIC"/>
    <x v="3"/>
    <n v="3500"/>
    <n v="4550"/>
    <n v="1"/>
    <n v="3500"/>
    <n v="4550"/>
    <s v="Aadil Khan"/>
    <n v="9100"/>
  </r>
  <r>
    <s v="142496"/>
    <x v="9"/>
    <s v="Kundan Kumar"/>
    <s v="22/10/2021"/>
    <s v="Delivered"/>
    <s v="BTX motherboard"/>
    <s v="Printer"/>
    <x v="4"/>
    <n v="4500"/>
    <n v="5850"/>
    <n v="1"/>
    <n v="4500"/>
    <n v="5850"/>
    <s v="Advika Joshi"/>
    <n v="11700"/>
  </r>
  <r>
    <s v="142497"/>
    <x v="10"/>
    <s v="Atif Siddiqui"/>
    <s v="23/10/2021"/>
    <s v="Shipped"/>
    <s v="95 Fans Cabinet"/>
    <s v="Cabinet"/>
    <x v="5"/>
    <n v="2100"/>
    <n v="2730"/>
    <n v="4"/>
    <n v="8400"/>
    <n v="10920"/>
    <s v="Ajay Sharma"/>
    <n v="2990"/>
  </r>
  <r>
    <s v="142498"/>
    <x v="11"/>
    <s v="Aditya Agarwal"/>
    <s v="24/10/2021"/>
    <s v="Order"/>
    <s v="Wireless Keyboard"/>
    <s v="Keyboard"/>
    <x v="6"/>
    <n v="1150"/>
    <n v="1495"/>
    <n v="3"/>
    <n v="3450"/>
    <n v="4485"/>
    <s v="Roshan Kumar"/>
    <n v="3315"/>
  </r>
  <r>
    <s v="142499"/>
    <x v="12"/>
    <s v="Firdoush Jabee"/>
    <s v="25/10/2021"/>
    <s v="Processing"/>
    <s v="USB Mouse"/>
    <s v="Mouse"/>
    <x v="0"/>
    <n v="350"/>
    <n v="455"/>
    <n v="1"/>
    <n v="350"/>
    <n v="455"/>
    <s v="Aarvi Gupta"/>
    <n v="1690"/>
  </r>
  <r>
    <s v="142500"/>
    <x v="13"/>
    <s v="Jay Prakash Kumar"/>
    <s v="25/10/2021"/>
    <s v="Delivered"/>
    <s v="19&quot; LED Display"/>
    <s v="Monitor"/>
    <x v="6"/>
    <n v="9500"/>
    <n v="12350"/>
    <n v="3"/>
    <n v="28500"/>
    <n v="37050"/>
    <s v="Vijay Singh"/>
    <n v="9750"/>
  </r>
  <r>
    <s v="142501"/>
    <x v="14"/>
    <s v="Ashish Pandey"/>
    <s v="25/10/2021"/>
    <s v="Shipped"/>
    <s v="94 TB HDD"/>
    <s v="HDD"/>
    <x v="10"/>
    <n v="10000"/>
    <n v="13000"/>
    <n v="4"/>
    <n v="40000"/>
    <n v="52000"/>
    <s v="Aadil Khan"/>
    <n v="39000"/>
  </r>
  <r>
    <s v="142502"/>
    <x v="15"/>
    <s v="Ajay Sharma"/>
    <s v="25/10/2021"/>
    <s v="Order"/>
    <s v="604 GB M.2"/>
    <s v="SSD"/>
    <x v="0"/>
    <n v="6500"/>
    <n v="8450"/>
    <n v="1"/>
    <n v="6500"/>
    <n v="8450"/>
    <s v="Advika Joshi"/>
    <n v="8450"/>
  </r>
  <r>
    <s v="142503"/>
    <x v="16"/>
    <s v="Moinuddin Saifi"/>
    <s v="25/10/2021"/>
    <s v="Processing"/>
    <s v="RYZEN 3rd gen. 3592"/>
    <s v="CPU"/>
    <x v="1"/>
    <n v="8500"/>
    <n v="11050"/>
    <n v="1"/>
    <n v="8500"/>
    <n v="11050"/>
    <s v="Ajay Sharma"/>
    <n v="33150"/>
  </r>
  <r>
    <s v="142504"/>
    <x v="17"/>
    <s v="Ramkrishna Das Adhikary"/>
    <s v="25/10/2021"/>
    <s v="Delivered"/>
    <s v="2GB Graphic Card"/>
    <s v="Graphic Card"/>
    <x v="2"/>
    <n v="7000"/>
    <n v="9100"/>
    <n v="3"/>
    <n v="21000"/>
    <n v="27300"/>
    <s v="Roshan Kumar"/>
    <n v="18200"/>
  </r>
  <r>
    <s v="142505"/>
    <x v="18"/>
    <s v="Ranjeet Mandal"/>
    <s v="25/10/2021"/>
    <s v="Shipped"/>
    <s v="108 GB DDR4 RAM"/>
    <s v="NIC"/>
    <x v="3"/>
    <n v="6550"/>
    <n v="8515"/>
    <n v="2"/>
    <n v="13100"/>
    <n v="17030"/>
    <s v="Aarvi Gupta"/>
    <n v="9100"/>
  </r>
  <r>
    <s v="142506"/>
    <x v="19"/>
    <s v="Ashwini Adsare"/>
    <s v="25/10/2021"/>
    <s v="Order"/>
    <s v="Standard ATX motherboard"/>
    <s v="Printer"/>
    <x v="4"/>
    <n v="7650"/>
    <n v="9945"/>
    <n v="3"/>
    <n v="22950"/>
    <n v="29835"/>
    <s v="Vijay Singh"/>
    <n v="11700"/>
  </r>
  <r>
    <s v="142507"/>
    <x v="20"/>
    <s v="Rajesh Variya"/>
    <s v="26/10/2021"/>
    <s v="Processing"/>
    <s v="Compact with 1 Fan"/>
    <s v="Cabinet"/>
    <x v="5"/>
    <n v="1150"/>
    <n v="1495"/>
    <n v="3"/>
    <n v="3450"/>
    <n v="4485"/>
    <s v="Aadil Khan"/>
    <n v="2990"/>
  </r>
  <r>
    <s v="142508"/>
    <x v="16"/>
    <s v="Amit Singh"/>
    <s v="27/10/2021"/>
    <s v="Delivered"/>
    <s v="USB Backlight Keyboard"/>
    <s v="Keyboard"/>
    <x v="6"/>
    <n v="850"/>
    <n v="1105"/>
    <n v="2"/>
    <n v="1700"/>
    <n v="2210"/>
    <s v="Advika Joshi"/>
    <n v="3315"/>
  </r>
  <r>
    <s v="142509"/>
    <x v="17"/>
    <s v="Vinod Mehta"/>
    <s v="28/10/2021"/>
    <s v="Shipped"/>
    <s v="Ergonomic Mouse"/>
    <s v="Mouse"/>
    <x v="0"/>
    <n v="650"/>
    <n v="845"/>
    <n v="1"/>
    <n v="650"/>
    <n v="845"/>
    <s v="Ajay Sharma"/>
    <n v="1690"/>
  </r>
  <r>
    <s v="142510"/>
    <x v="27"/>
    <s v="Jignesh Mhatre"/>
    <s v="29/10/2021"/>
    <s v="Order"/>
    <s v="15&quot; LCD Dsipaly"/>
    <s v="Monitor"/>
    <x v="6"/>
    <n v="7500"/>
    <n v="9750"/>
    <n v="2"/>
    <n v="15000"/>
    <n v="19500"/>
    <s v="Roshan Kumar"/>
    <n v="9750"/>
  </r>
  <r>
    <s v="142511"/>
    <x v="22"/>
    <s v="Rahul Kashyap"/>
    <s v="30/10/2021"/>
    <s v="Processing"/>
    <s v="94 TB HDD"/>
    <s v="HDD"/>
    <x v="7"/>
    <n v="10000"/>
    <n v="13000"/>
    <n v="4"/>
    <n v="40000"/>
    <n v="52000"/>
    <s v="Aarvi Gupta"/>
    <n v="39000"/>
  </r>
  <r>
    <s v="142512"/>
    <x v="28"/>
    <s v="Mohammed Abdul Kaleem"/>
    <s v="31/10/2021"/>
    <s v="Delivered"/>
    <s v="93 TB SSD"/>
    <s v="SSD"/>
    <x v="0"/>
    <n v="10500"/>
    <n v="13650"/>
    <n v="1"/>
    <n v="10500"/>
    <n v="13650"/>
    <s v="Vijay Singh"/>
    <n v="8450"/>
  </r>
  <r>
    <s v="142513"/>
    <x v="29"/>
    <s v="Chandrakant Kasbe"/>
    <s v="01/11/2021"/>
    <s v="Shipped"/>
    <s v="Intel i5 12th gen."/>
    <s v="CPU"/>
    <x v="1"/>
    <n v="8500"/>
    <n v="11050"/>
    <n v="2"/>
    <n v="17000"/>
    <n v="22100"/>
    <s v="Aadil Khan"/>
    <n v="33150"/>
  </r>
  <r>
    <s v="142514"/>
    <x v="30"/>
    <s v="Rohan Kale"/>
    <s v="02/11/2021"/>
    <s v="Order"/>
    <s v="2GB Graphic Card"/>
    <s v="Graphic Card"/>
    <x v="2"/>
    <n v="7000"/>
    <n v="9100"/>
    <n v="4"/>
    <n v="28000"/>
    <n v="36400"/>
    <s v="Advika Joshi"/>
    <n v="18200"/>
  </r>
  <r>
    <s v="142515"/>
    <x v="31"/>
    <s v="Aniruddha Kekapure"/>
    <s v="03/11/2021"/>
    <s v="Processing"/>
    <s v="96 GB DDR4 Ram"/>
    <s v="NIC"/>
    <x v="3"/>
    <n v="1680"/>
    <n v="2184"/>
    <n v="1"/>
    <n v="1680"/>
    <n v="2184"/>
    <s v="Ajay Sharma"/>
    <n v="9100"/>
  </r>
  <r>
    <s v="142516"/>
    <x v="32"/>
    <s v="Aslam Raza"/>
    <s v="04/11/2021"/>
    <s v="Delivered"/>
    <s v="Micro ATX motherboard"/>
    <s v="Printer"/>
    <x v="8"/>
    <n v="6540"/>
    <n v="8502"/>
    <n v="4"/>
    <n v="26160"/>
    <n v="34008"/>
    <s v="Roshan Kumar"/>
    <n v="11700"/>
  </r>
  <r>
    <s v="142517"/>
    <x v="0"/>
    <s v="Roshan Zameer"/>
    <s v="05/11/2021"/>
    <s v="Shipped"/>
    <s v="Gaming Box Cabinet"/>
    <s v="Cabinet"/>
    <x v="5"/>
    <n v="2680"/>
    <n v="3484"/>
    <n v="2"/>
    <n v="5360"/>
    <n v="6968"/>
    <s v="Aarvi Gupta"/>
    <n v="2990"/>
  </r>
  <r>
    <s v="142518"/>
    <x v="23"/>
    <s v="Rakesh Kumar Sharma"/>
    <s v="05/11/2021"/>
    <s v="Order"/>
    <s v="17&quot; LCD Display"/>
    <s v="Monitor"/>
    <x v="0"/>
    <n v="8250"/>
    <n v="10725"/>
    <n v="2"/>
    <n v="16500"/>
    <n v="21450"/>
    <s v="Vijay Singh"/>
    <n v="9750"/>
  </r>
  <r>
    <s v="142519"/>
    <x v="1"/>
    <s v="Shivanand Sahani"/>
    <s v="05/11/2021"/>
    <s v="Processing"/>
    <s v="100 GB DDR4 RAM"/>
    <s v="RAM"/>
    <x v="0"/>
    <n v="2650"/>
    <n v="3445"/>
    <n v="1"/>
    <n v="2650"/>
    <n v="3445"/>
    <s v="Aadil Khan"/>
    <n v="25545"/>
  </r>
  <r>
    <s v="142520"/>
    <x v="2"/>
    <s v="Kunal Patra"/>
    <s v="05/11/2021"/>
    <s v="Delivered"/>
    <s v="26&quot; LCD Display"/>
    <s v="Monitor"/>
    <x v="9"/>
    <n v="12550"/>
    <n v="16315"/>
    <n v="3"/>
    <n v="37650"/>
    <n v="48945"/>
    <s v="Advika Joshi"/>
    <n v="9750"/>
  </r>
  <r>
    <s v="142521"/>
    <x v="3"/>
    <s v="Bijendra"/>
    <s v="05/11/2021"/>
    <s v="Shipped"/>
    <s v="I7 - intel 12th Generation"/>
    <s v="CPU"/>
    <x v="1"/>
    <n v="14500"/>
    <n v="18850"/>
    <n v="1"/>
    <n v="14500"/>
    <n v="18850"/>
    <s v="Ajay Sharma"/>
    <n v="33150"/>
  </r>
  <r>
    <s v="142522"/>
    <x v="24"/>
    <s v="Kranti Bheke"/>
    <s v="05/11/2021"/>
    <s v="Order"/>
    <s v="USB Keyboard"/>
    <s v="Keyboard"/>
    <x v="6"/>
    <n v="800"/>
    <n v="1040"/>
    <n v="3"/>
    <n v="2400"/>
    <n v="3120"/>
    <s v="Roshan Kumar"/>
    <n v="3315"/>
  </r>
  <r>
    <s v="142523"/>
    <x v="25"/>
    <s v="Jagdeep"/>
    <s v="05/11/2021"/>
    <s v="Processing"/>
    <s v="Wireless Mouse"/>
    <s v="Mouse"/>
    <x v="0"/>
    <n v="600"/>
    <n v="780"/>
    <n v="4"/>
    <n v="2400"/>
    <n v="3120"/>
    <s v="Aarvi Gupta"/>
    <n v="1690"/>
  </r>
  <r>
    <s v="142524"/>
    <x v="33"/>
    <s v="Adhir Samal"/>
    <s v="05/11/2021"/>
    <s v="Delivered"/>
    <s v="21&quot; LCD Display"/>
    <s v="Monitor"/>
    <x v="6"/>
    <n v="10500"/>
    <n v="13650"/>
    <n v="1"/>
    <n v="10500"/>
    <n v="13650"/>
    <s v="Vijay Singh"/>
    <n v="9750"/>
  </r>
  <r>
    <s v="142525"/>
    <x v="34"/>
    <s v="Dannana Jhammi"/>
    <s v="05/11/2021"/>
    <s v="Shipped"/>
    <s v="94 TB HDD"/>
    <s v="HDD"/>
    <x v="10"/>
    <n v="6500"/>
    <n v="8450"/>
    <n v="4"/>
    <n v="26000"/>
    <n v="33800"/>
    <s v="Aadil Khan"/>
    <n v="39000"/>
  </r>
  <r>
    <s v="142526"/>
    <x v="4"/>
    <s v="Vipin Kumar"/>
    <s v="05/11/2021"/>
    <s v="Order"/>
    <s v="349 GB SSD"/>
    <s v="SSD"/>
    <x v="0"/>
    <n v="4500"/>
    <n v="5850"/>
    <n v="2"/>
    <n v="9000"/>
    <n v="11700"/>
    <s v="Advika Joshi"/>
    <n v="8450"/>
  </r>
  <r>
    <s v="142527"/>
    <x v="5"/>
    <s v="Ranjeet Kumar"/>
    <s v="05/11/2021"/>
    <s v="Processing"/>
    <s v="Intel i3 11th gen."/>
    <s v="CPU"/>
    <x v="1"/>
    <n v="8500"/>
    <n v="11050"/>
    <n v="2"/>
    <n v="17000"/>
    <n v="22100"/>
    <s v="Ajay Sharma"/>
    <n v="33150"/>
  </r>
  <r>
    <s v="142528"/>
    <x v="6"/>
    <s v="Sajal Singhal"/>
    <s v="05/11/2021"/>
    <s v="Delivered"/>
    <s v="4GB Graphic card"/>
    <s v="Graphic Card"/>
    <x v="2"/>
    <n v="12500"/>
    <n v="16250"/>
    <n v="1"/>
    <n v="12500"/>
    <n v="16250"/>
    <s v="Roshan Kumar"/>
    <n v="18200"/>
  </r>
  <r>
    <s v="142529"/>
    <x v="7"/>
    <s v="Akhilesh Kumar"/>
    <s v="05/11/2021"/>
    <s v="Shipped"/>
    <s v="101 GB DDR4 RAM"/>
    <s v="RAM"/>
    <x v="3"/>
    <n v="3500"/>
    <n v="4550"/>
    <n v="3"/>
    <n v="10500"/>
    <n v="13650"/>
    <s v="Aarvi Gupta"/>
    <n v="25545"/>
  </r>
  <r>
    <s v="142530"/>
    <x v="26"/>
    <s v="Suvankar Chakraborty"/>
    <s v="05/11/2021"/>
    <s v="Order"/>
    <s v="BTX motherboard"/>
    <s v="MotherBoard"/>
    <x v="4"/>
    <n v="4500"/>
    <n v="5850"/>
    <n v="3"/>
    <n v="13500"/>
    <n v="17550"/>
    <s v="Vijay Singh"/>
    <n v="39780"/>
  </r>
  <r>
    <s v="142531"/>
    <x v="27"/>
    <s v="Suvankar Adhikary"/>
    <s v="05/11/2021"/>
    <s v="Processing"/>
    <s v="96 Fans Cabinet"/>
    <s v="Cabinet"/>
    <x v="5"/>
    <n v="2100"/>
    <n v="2730"/>
    <n v="4"/>
    <n v="8400"/>
    <n v="10920"/>
    <s v="Aadil Khan"/>
    <n v="2990"/>
  </r>
  <r>
    <s v="142532"/>
    <x v="8"/>
    <s v="Rahul Kumar Prajapati"/>
    <s v="05/11/2021"/>
    <s v="Delivered"/>
    <s v="Wireless Keyboard"/>
    <s v="Keyboard"/>
    <x v="6"/>
    <n v="1150"/>
    <n v="1495"/>
    <n v="4"/>
    <n v="4600"/>
    <n v="5980"/>
    <s v="Advika Joshi"/>
    <n v="3315"/>
  </r>
  <r>
    <s v="142533"/>
    <x v="9"/>
    <s v="Sagar Jeur"/>
    <s v="05/11/2021"/>
    <s v="Shipped"/>
    <s v="USB Mouse"/>
    <s v="Mouse"/>
    <x v="0"/>
    <n v="350"/>
    <n v="455"/>
    <n v="2"/>
    <n v="700"/>
    <n v="910"/>
    <s v="Ajay Sharma"/>
    <n v="1690"/>
  </r>
  <r>
    <s v="142534"/>
    <x v="10"/>
    <s v="Rhushikesh Mane"/>
    <s v="05/11/2021"/>
    <s v="Order"/>
    <s v="19&quot; LED Display"/>
    <s v="Monitor"/>
    <x v="6"/>
    <n v="9500"/>
    <n v="12350"/>
    <n v="2"/>
    <n v="19000"/>
    <n v="24700"/>
    <s v="Roshan Kumar"/>
    <n v="9750"/>
  </r>
  <r>
    <s v="142535"/>
    <x v="11"/>
    <s v="Ashish Kumar"/>
    <s v="05/11/2021"/>
    <s v="Processing"/>
    <s v="95 TB HDD"/>
    <s v="HDD"/>
    <x v="10"/>
    <n v="10000"/>
    <n v="13000"/>
    <n v="2"/>
    <n v="20000"/>
    <n v="26000"/>
    <s v="Aarvi Gupta"/>
    <n v="39000"/>
  </r>
  <r>
    <s v="142536"/>
    <x v="12"/>
    <s v="Javed Akhter"/>
    <s v="05/11/2021"/>
    <s v="Delivered"/>
    <s v="605 GB M.2"/>
    <s v="SSD"/>
    <x v="0"/>
    <n v="6500"/>
    <n v="8450"/>
    <n v="3"/>
    <n v="19500"/>
    <n v="25350"/>
    <s v="Vijay Singh"/>
    <n v="8450"/>
  </r>
  <r>
    <s v="142537"/>
    <x v="13"/>
    <s v="Haridas Balraj"/>
    <s v="05/11/2021"/>
    <s v="Shipped"/>
    <s v="RYZEN 3rd gen. 3593"/>
    <s v="CPU"/>
    <x v="1"/>
    <n v="8500"/>
    <n v="11050"/>
    <n v="2"/>
    <n v="17000"/>
    <n v="22100"/>
    <s v="Aadil Khan"/>
    <n v="33150"/>
  </r>
  <r>
    <s v="142538"/>
    <x v="14"/>
    <s v="Kundan Kumar"/>
    <s v="05/11/2021"/>
    <s v="Order"/>
    <s v="2GB Graphic Card"/>
    <s v="Graphic Card"/>
    <x v="2"/>
    <n v="7000"/>
    <n v="9100"/>
    <n v="4"/>
    <n v="28000"/>
    <n v="36400"/>
    <s v="Advika Joshi"/>
    <n v="18200"/>
  </r>
  <r>
    <s v="142539"/>
    <x v="15"/>
    <s v="Atif Siddiqui"/>
    <s v="05/11/2021"/>
    <s v="Processing"/>
    <s v="109 GB DDR4 RAM"/>
    <s v="RAM"/>
    <x v="3"/>
    <n v="6550"/>
    <n v="8515"/>
    <n v="3"/>
    <n v="19650"/>
    <n v="25545"/>
    <s v="Ajay Sharma"/>
    <n v="25545"/>
  </r>
  <r>
    <s v="142540"/>
    <x v="16"/>
    <s v="Aditya Agarwal"/>
    <s v="05/11/2021"/>
    <s v="Delivered"/>
    <s v="Standard ATX motherboard"/>
    <s v="MotherBoard"/>
    <x v="4"/>
    <n v="7650"/>
    <n v="9945"/>
    <n v="2"/>
    <n v="15300"/>
    <n v="19890"/>
    <s v="Roshan Kumar"/>
    <n v="39780"/>
  </r>
  <r>
    <s v="142541"/>
    <x v="17"/>
    <s v="Firdoush Jabee"/>
    <s v="05/11/2021"/>
    <s v="Shipped"/>
    <s v="Compact with 1 Fan"/>
    <s v="Cabinet"/>
    <x v="5"/>
    <n v="1150"/>
    <n v="1495"/>
    <n v="1"/>
    <n v="1150"/>
    <n v="1495"/>
    <s v="Aarvi Gupta"/>
    <n v="2990"/>
  </r>
  <r>
    <s v="142542"/>
    <x v="18"/>
    <s v="Jay Prakash Kumar"/>
    <s v="05/11/2021"/>
    <s v="Order"/>
    <s v="USB Backlight Keyboard"/>
    <s v="Keyboard"/>
    <x v="6"/>
    <n v="850"/>
    <n v="1105"/>
    <n v="2"/>
    <n v="1700"/>
    <n v="2210"/>
    <s v="Vijay Singh"/>
    <n v="3315"/>
  </r>
  <r>
    <s v="142543"/>
    <x v="19"/>
    <s v="Ashish Pandey"/>
    <s v="05/11/2021"/>
    <s v="Processing"/>
    <s v="Ergonomic Mouse"/>
    <s v="Mouse"/>
    <x v="0"/>
    <n v="650"/>
    <n v="845"/>
    <n v="2"/>
    <n v="1300"/>
    <n v="1690"/>
    <s v="Aadil Khan"/>
    <n v="1690"/>
  </r>
  <r>
    <s v="142544"/>
    <x v="20"/>
    <s v="Ajay Sharma"/>
    <s v="05/11/2021"/>
    <s v="Delivered"/>
    <s v="15&quot; LCD Dsipaly"/>
    <s v="Monitor"/>
    <x v="6"/>
    <n v="7500"/>
    <n v="9750"/>
    <n v="2"/>
    <n v="15000"/>
    <n v="19500"/>
    <s v="Advika Joshi"/>
    <n v="9750"/>
  </r>
  <r>
    <s v="142545"/>
    <x v="16"/>
    <s v="Moinuddin Saifi"/>
    <s v="05/11/2021"/>
    <s v="Shipped"/>
    <s v="95 TB HDD"/>
    <s v="HDD"/>
    <x v="7"/>
    <n v="10000"/>
    <n v="13000"/>
    <n v="2"/>
    <n v="20000"/>
    <n v="26000"/>
    <s v="Ajay Sharma"/>
    <n v="39000"/>
  </r>
  <r>
    <s v="142546"/>
    <x v="17"/>
    <s v="Ramkrishna Das Adhikary"/>
    <s v="05/11/2021"/>
    <s v="Order"/>
    <s v="94 TB SSD"/>
    <s v="SSD"/>
    <x v="0"/>
    <n v="10500"/>
    <n v="13650"/>
    <n v="1"/>
    <n v="10500"/>
    <n v="13650"/>
    <s v="Roshan Kumar"/>
    <n v="8450"/>
  </r>
  <r>
    <s v="142547"/>
    <x v="27"/>
    <s v="Ranjeet Mandal"/>
    <s v="05/11/2021"/>
    <s v="Processing"/>
    <s v="Intel i5 12th gen."/>
    <s v="CPU"/>
    <x v="1"/>
    <n v="8500"/>
    <n v="11050"/>
    <n v="1"/>
    <n v="8500"/>
    <n v="11050"/>
    <s v="Aarvi Gupta"/>
    <n v="33150"/>
  </r>
  <r>
    <s v="142548"/>
    <x v="22"/>
    <s v="Ashwini Adsare"/>
    <s v="06/11/2021"/>
    <s v="Delivered"/>
    <s v="2GB Graphic Card"/>
    <s v="Graphic Card"/>
    <x v="2"/>
    <n v="7000"/>
    <n v="9100"/>
    <n v="4"/>
    <n v="28000"/>
    <n v="36400"/>
    <s v="Vijay Singh"/>
    <n v="18200"/>
  </r>
  <r>
    <s v="142549"/>
    <x v="28"/>
    <s v="Rajesh Variya"/>
    <s v="07/11/2021"/>
    <s v="Shipped"/>
    <s v="97 GB DDR4 Ram"/>
    <s v="RAM"/>
    <x v="3"/>
    <n v="1680"/>
    <n v="2184"/>
    <n v="1"/>
    <n v="1680"/>
    <n v="2184"/>
    <s v="Aadil Khan"/>
    <n v="25545"/>
  </r>
  <r>
    <s v="142550"/>
    <x v="29"/>
    <s v="Amit Singh"/>
    <s v="08/11/2021"/>
    <s v="Order"/>
    <s v="Micro ATX motherboard"/>
    <s v="MotherBoard"/>
    <x v="8"/>
    <n v="6540"/>
    <n v="8502"/>
    <n v="3"/>
    <n v="19620"/>
    <n v="25506"/>
    <s v="Advika Joshi"/>
    <n v="39780"/>
  </r>
  <r>
    <s v="142551"/>
    <x v="30"/>
    <s v="Vinod Mehta"/>
    <s v="09/11/2021"/>
    <s v="Processing"/>
    <s v="Gaming Box Cabinet"/>
    <s v="Cabinet"/>
    <x v="5"/>
    <n v="2680"/>
    <n v="3484"/>
    <n v="3"/>
    <n v="8040"/>
    <n v="10452"/>
    <s v="Ajay Sharma"/>
    <n v="2990"/>
  </r>
  <r>
    <s v="142552"/>
    <x v="31"/>
    <s v="Jignesh Mhatre"/>
    <s v="10/11/2021"/>
    <s v="Delivered"/>
    <s v="17&quot; LCD Display"/>
    <s v="Monitor"/>
    <x v="0"/>
    <n v="8250"/>
    <n v="10725"/>
    <n v="2"/>
    <n v="16500"/>
    <n v="21450"/>
    <s v="Roshan Kumar"/>
    <n v="9750"/>
  </r>
  <r>
    <s v="142553"/>
    <x v="32"/>
    <s v="Rahul Kashyap"/>
    <s v="11/11/2021"/>
    <s v="Shipped"/>
    <s v="101 GB DDR4 RAM"/>
    <s v="RAM"/>
    <x v="0"/>
    <n v="2650"/>
    <n v="3445"/>
    <n v="1"/>
    <n v="2650"/>
    <n v="3445"/>
    <s v="Aarvi Gupta"/>
    <n v="25545"/>
  </r>
  <r>
    <s v="142554"/>
    <x v="0"/>
    <s v="Mohammed Abdul Kaleem"/>
    <s v="12/11/2021"/>
    <s v="Order"/>
    <s v="26&quot; LCD Display"/>
    <s v="Monitor"/>
    <x v="9"/>
    <n v="12550"/>
    <n v="16315"/>
    <n v="1"/>
    <n v="12550"/>
    <n v="16315"/>
    <s v="Vijay Singh"/>
    <n v="9750"/>
  </r>
  <r>
    <s v="142555"/>
    <x v="23"/>
    <s v="Chandrakant Kasbe"/>
    <s v="13/11/2021"/>
    <s v="Processing"/>
    <s v="I7 - intel 12th Generation"/>
    <s v="CPU"/>
    <x v="1"/>
    <n v="14500"/>
    <n v="18850"/>
    <n v="2"/>
    <n v="29000"/>
    <n v="37700"/>
    <s v="Aadil Khan"/>
    <n v="33150"/>
  </r>
  <r>
    <s v="142556"/>
    <x v="1"/>
    <s v="Rohan Kale"/>
    <s v="14/11/2021"/>
    <s v="Delivered"/>
    <s v="USB Keyboard"/>
    <s v="Keyboard"/>
    <x v="6"/>
    <n v="800"/>
    <n v="1040"/>
    <n v="2"/>
    <n v="1600"/>
    <n v="2080"/>
    <s v="Advika Joshi"/>
    <n v="3315"/>
  </r>
  <r>
    <s v="142557"/>
    <x v="2"/>
    <s v="Aniruddha Kekapure"/>
    <s v="15/11/2021"/>
    <s v="Shipped"/>
    <s v="Wireless Mouse"/>
    <s v="Mouse"/>
    <x v="0"/>
    <n v="600"/>
    <n v="780"/>
    <n v="3"/>
    <n v="1800"/>
    <n v="2340"/>
    <s v="Ajay Sharma"/>
    <n v="1690"/>
  </r>
  <r>
    <s v="142558"/>
    <x v="3"/>
    <s v="Aslam Raza"/>
    <s v="16/11/2021"/>
    <s v="Order"/>
    <s v="21&quot; LCD Display"/>
    <s v="Monitor"/>
    <x v="6"/>
    <n v="10500"/>
    <n v="13650"/>
    <n v="4"/>
    <n v="42000"/>
    <n v="54600"/>
    <s v="Roshan Kumar"/>
    <n v="9750"/>
  </r>
  <r>
    <s v="142559"/>
    <x v="24"/>
    <s v="Roshan Zameer"/>
    <s v="17/11/2021"/>
    <s v="Processing"/>
    <s v="95 TB HDD"/>
    <s v="HDD"/>
    <x v="10"/>
    <n v="6500"/>
    <n v="8450"/>
    <n v="3"/>
    <n v="19500"/>
    <n v="25350"/>
    <s v="Aarvi Gupta"/>
    <n v="39000"/>
  </r>
  <r>
    <s v="142560"/>
    <x v="25"/>
    <s v="Rakesh Kumar Sharma"/>
    <s v="18/11/2021"/>
    <s v="Delivered"/>
    <s v="350 GB SSD"/>
    <s v="SSD"/>
    <x v="0"/>
    <n v="4500"/>
    <n v="5850"/>
    <n v="1"/>
    <n v="4500"/>
    <n v="5850"/>
    <s v="Vijay Singh"/>
    <n v="8450"/>
  </r>
  <r>
    <s v="142561"/>
    <x v="33"/>
    <s v="Shivanand Sahani"/>
    <s v="19/11/2021"/>
    <s v="Shipped"/>
    <s v="Intel i3 11th gen."/>
    <s v="CPU"/>
    <x v="1"/>
    <n v="8500"/>
    <n v="11050"/>
    <n v="2"/>
    <n v="17000"/>
    <n v="22100"/>
    <s v="Aadil Khan"/>
    <n v="33150"/>
  </r>
  <r>
    <s v="142562"/>
    <x v="34"/>
    <s v="Kunal Patra"/>
    <s v="20/11/2021"/>
    <s v="Order"/>
    <s v="4GB Graphic card"/>
    <s v="Graphic Card"/>
    <x v="2"/>
    <n v="12500"/>
    <n v="16250"/>
    <n v="1"/>
    <n v="12500"/>
    <n v="16250"/>
    <s v="Advika Joshi"/>
    <n v="18200"/>
  </r>
  <r>
    <s v="142563"/>
    <x v="4"/>
    <s v="Bijendra"/>
    <s v="21/11/2021"/>
    <s v="Processing"/>
    <s v="102 GB DDR4 RAM"/>
    <s v="Computer Case"/>
    <x v="3"/>
    <n v="3500"/>
    <n v="4550"/>
    <n v="1"/>
    <n v="3500"/>
    <n v="4550"/>
    <s v="Ajay Sharma"/>
    <n v="13650"/>
  </r>
  <r>
    <s v="142564"/>
    <x v="5"/>
    <s v="Kranti Bheke"/>
    <s v="22/11/2021"/>
    <s v="Delivered"/>
    <s v="BTX motherboard"/>
    <s v="Mouse"/>
    <x v="4"/>
    <n v="4500"/>
    <n v="5850"/>
    <n v="2"/>
    <n v="9000"/>
    <n v="11700"/>
    <s v="Roshan Kumar"/>
    <n v="1690"/>
  </r>
  <r>
    <s v="142565"/>
    <x v="6"/>
    <s v="Jagdeep"/>
    <s v="22/11/2021"/>
    <s v="Shipped"/>
    <s v="97 Fans Cabinet"/>
    <s v="Cabinet"/>
    <x v="5"/>
    <n v="2100"/>
    <n v="2730"/>
    <n v="3"/>
    <n v="6300"/>
    <n v="8190"/>
    <s v="Aarvi Gupta"/>
    <n v="2990"/>
  </r>
  <r>
    <s v="142566"/>
    <x v="7"/>
    <s v="Adhir Samal"/>
    <s v="22/11/2021"/>
    <s v="Order"/>
    <s v="Wireless Keyboard"/>
    <s v="Keyboard"/>
    <x v="6"/>
    <n v="1150"/>
    <n v="1495"/>
    <n v="4"/>
    <n v="4600"/>
    <n v="5980"/>
    <s v="Vijay Singh"/>
    <n v="3315"/>
  </r>
  <r>
    <s v="142567"/>
    <x v="26"/>
    <s v="Dannana Jhammi"/>
    <s v="22/11/2021"/>
    <s v="Processing"/>
    <s v="USB Mouse"/>
    <s v="Mouse"/>
    <x v="0"/>
    <n v="350"/>
    <n v="455"/>
    <n v="1"/>
    <n v="350"/>
    <n v="455"/>
    <s v="Aadil Khan"/>
    <n v="1690"/>
  </r>
  <r>
    <s v="142568"/>
    <x v="27"/>
    <s v="Vipin Kumar"/>
    <s v="22/11/2021"/>
    <s v="Delivered"/>
    <s v="19&quot; LED Display"/>
    <s v="Monitor"/>
    <x v="6"/>
    <n v="9500"/>
    <n v="12350"/>
    <n v="3"/>
    <n v="28500"/>
    <n v="37050"/>
    <s v="Advika Joshi"/>
    <n v="9750"/>
  </r>
  <r>
    <s v="142569"/>
    <x v="8"/>
    <s v="Ranjeet Kumar"/>
    <s v="22/11/2021"/>
    <s v="Shipped"/>
    <s v="96 TB HDD"/>
    <s v="HDD"/>
    <x v="10"/>
    <n v="10000"/>
    <n v="13000"/>
    <n v="2"/>
    <n v="20000"/>
    <n v="26000"/>
    <s v="Ajay Sharma"/>
    <n v="39000"/>
  </r>
  <r>
    <s v="142570"/>
    <x v="9"/>
    <s v="Sajal Singhal"/>
    <s v="22/11/2021"/>
    <s v="Order"/>
    <s v="606 GB M.2"/>
    <s v="SSD"/>
    <x v="0"/>
    <n v="6500"/>
    <n v="8450"/>
    <n v="2"/>
    <n v="13000"/>
    <n v="16900"/>
    <s v="Roshan Kumar"/>
    <n v="8450"/>
  </r>
  <r>
    <s v="142571"/>
    <x v="10"/>
    <s v="Akhilesh Kumar"/>
    <s v="22/11/2021"/>
    <s v="Processing"/>
    <s v="RYZEN 3rd gen. 3594"/>
    <s v="CPU"/>
    <x v="1"/>
    <n v="8500"/>
    <n v="11050"/>
    <n v="3"/>
    <n v="25500"/>
    <n v="33150"/>
    <s v="Aarvi Gupta"/>
    <n v="33150"/>
  </r>
  <r>
    <s v="142572"/>
    <x v="11"/>
    <s v="Suvankar Chakraborty"/>
    <s v="22/11/2021"/>
    <s v="Delivered"/>
    <s v="2GB Graphic Card"/>
    <s v="Graphic Card"/>
    <x v="2"/>
    <n v="7000"/>
    <n v="9100"/>
    <n v="1"/>
    <n v="7000"/>
    <n v="9100"/>
    <s v="Vijay Singh"/>
    <n v="18200"/>
  </r>
  <r>
    <s v="142573"/>
    <x v="12"/>
    <s v="Suvankar Adhikary"/>
    <s v="22/11/2021"/>
    <s v="Shipped"/>
    <s v="110 GB DDR4 RAM"/>
    <s v="Computer Case"/>
    <x v="3"/>
    <n v="6550"/>
    <n v="8515"/>
    <n v="4"/>
    <n v="26200"/>
    <n v="34060"/>
    <s v="Aadil Khan"/>
    <n v="13650"/>
  </r>
  <r>
    <s v="142574"/>
    <x v="13"/>
    <s v="Rahul Kumar Prajapati"/>
    <s v="22/11/2021"/>
    <s v="Order"/>
    <s v="Standard ATX motherboard"/>
    <s v="Mouse"/>
    <x v="4"/>
    <n v="7650"/>
    <n v="9945"/>
    <n v="1"/>
    <n v="7650"/>
    <n v="9945"/>
    <s v="Advika Joshi"/>
    <n v="1690"/>
  </r>
  <r>
    <s v="142575"/>
    <x v="14"/>
    <s v="Sagar Jeur"/>
    <s v="22/11/2021"/>
    <s v="Processing"/>
    <s v="Compact with 1 Fan"/>
    <s v="Cabinet"/>
    <x v="5"/>
    <n v="1150"/>
    <n v="1495"/>
    <n v="2"/>
    <n v="2300"/>
    <n v="2990"/>
    <s v="Ajay Sharma"/>
    <n v="2990"/>
  </r>
  <r>
    <s v="142576"/>
    <x v="15"/>
    <s v="Rhushikesh Mane"/>
    <s v="22/11/2021"/>
    <s v="Delivered"/>
    <s v="USB Backlight Keyboard"/>
    <s v="Keyboard"/>
    <x v="6"/>
    <n v="850"/>
    <n v="1105"/>
    <n v="3"/>
    <n v="2550"/>
    <n v="3315"/>
    <s v="Roshan Kumar"/>
    <n v="3315"/>
  </r>
  <r>
    <s v="142577"/>
    <x v="16"/>
    <s v="Ashish Kumar"/>
    <s v="22/11/2021"/>
    <s v="Shipped"/>
    <s v="Ergonomic Mouse"/>
    <s v="Mouse"/>
    <x v="0"/>
    <n v="650"/>
    <n v="845"/>
    <n v="4"/>
    <n v="2600"/>
    <n v="3380"/>
    <s v="Aarvi Gupta"/>
    <n v="1690"/>
  </r>
  <r>
    <s v="142578"/>
    <x v="17"/>
    <s v="Javed Akhter"/>
    <s v="22/11/2021"/>
    <s v="Order"/>
    <s v="15&quot; LCD Dsipaly"/>
    <s v="Monitor"/>
    <x v="6"/>
    <n v="7500"/>
    <n v="9750"/>
    <n v="2"/>
    <n v="15000"/>
    <n v="19500"/>
    <s v="Vijay Singh"/>
    <n v="9750"/>
  </r>
  <r>
    <s v="142579"/>
    <x v="18"/>
    <s v="Haridas Balraj"/>
    <s v="22/11/2021"/>
    <s v="Processing"/>
    <s v="96 TB HDD"/>
    <s v="HDD"/>
    <x v="7"/>
    <n v="10000"/>
    <n v="13000"/>
    <n v="2"/>
    <n v="20000"/>
    <n v="26000"/>
    <s v="Aadil Khan"/>
    <n v="39000"/>
  </r>
  <r>
    <s v="142580"/>
    <x v="19"/>
    <s v="Kundan Kumar"/>
    <s v="22/11/2021"/>
    <s v="Delivered"/>
    <s v="95 TB SSD"/>
    <s v="SSD"/>
    <x v="0"/>
    <n v="10500"/>
    <n v="13650"/>
    <n v="1"/>
    <n v="10500"/>
    <n v="13650"/>
    <s v="Advika Joshi"/>
    <n v="8450"/>
  </r>
  <r>
    <s v="142581"/>
    <x v="20"/>
    <s v="Atif Siddiqui"/>
    <s v="22/11/2021"/>
    <s v="Shipped"/>
    <s v="Intel i5 12th gen."/>
    <s v="CPU"/>
    <x v="1"/>
    <n v="8500"/>
    <n v="11050"/>
    <n v="4"/>
    <n v="34000"/>
    <n v="44200"/>
    <s v="Ajay Sharma"/>
    <n v="33150"/>
  </r>
  <r>
    <s v="142582"/>
    <x v="16"/>
    <s v="Aditya Agarwal"/>
    <s v="22/11/2021"/>
    <s v="Order"/>
    <s v="2GB Graphic Card"/>
    <s v="Graphic Card"/>
    <x v="2"/>
    <n v="7000"/>
    <n v="9100"/>
    <n v="4"/>
    <n v="28000"/>
    <n v="36400"/>
    <s v="Roshan Kumar"/>
    <n v="18200"/>
  </r>
  <r>
    <s v="142583"/>
    <x v="17"/>
    <s v="Firdoush Jabee"/>
    <s v="23/11/2021"/>
    <s v="Processing"/>
    <s v="98 GB DDR4 Ram"/>
    <s v="Computer Case"/>
    <x v="3"/>
    <n v="1680"/>
    <n v="2184"/>
    <n v="1"/>
    <n v="1680"/>
    <n v="2184"/>
    <s v="Aarvi Gupta"/>
    <n v="13650"/>
  </r>
  <r>
    <s v="142584"/>
    <x v="27"/>
    <s v="Jay Prakash Kumar"/>
    <s v="24/11/2021"/>
    <s v="Delivered"/>
    <s v="Micro ATX motherboard"/>
    <s v="Mouse"/>
    <x v="8"/>
    <n v="6540"/>
    <n v="8502"/>
    <n v="1"/>
    <n v="6540"/>
    <n v="8502"/>
    <s v="Vijay Singh"/>
    <n v="1690"/>
  </r>
  <r>
    <s v="142585"/>
    <x v="22"/>
    <s v="Ashish Pandey"/>
    <s v="25/11/2021"/>
    <s v="Shipped"/>
    <s v="Gaming Box Cabinet"/>
    <s v="Cabinet"/>
    <x v="5"/>
    <n v="2680"/>
    <n v="3484"/>
    <n v="1"/>
    <n v="2680"/>
    <n v="3484"/>
    <s v="Aadil Khan"/>
    <n v="2990"/>
  </r>
  <r>
    <s v="142586"/>
    <x v="28"/>
    <s v="Ajay Sharma"/>
    <s v="26/11/2021"/>
    <s v="Order"/>
    <s v="17&quot; LCD Display"/>
    <s v="Monitor"/>
    <x v="0"/>
    <n v="8250"/>
    <n v="10725"/>
    <n v="3"/>
    <n v="24750"/>
    <n v="32175"/>
    <s v="Advika Joshi"/>
    <n v="9750"/>
  </r>
  <r>
    <s v="142587"/>
    <x v="29"/>
    <s v="Moinuddin Saifi"/>
    <s v="27/11/2021"/>
    <s v="Processing"/>
    <s v="102 GB DDR4 RAM"/>
    <s v="RAM"/>
    <x v="0"/>
    <n v="2650"/>
    <n v="3445"/>
    <n v="1"/>
    <n v="2650"/>
    <n v="3445"/>
    <s v="Ajay Sharma"/>
    <n v="25545"/>
  </r>
  <r>
    <s v="142588"/>
    <x v="30"/>
    <s v="Ramkrishna Das Adhikary"/>
    <s v="28/11/2021"/>
    <s v="Delivered"/>
    <s v="26&quot; LCD Display"/>
    <s v="Monitor"/>
    <x v="9"/>
    <n v="12550"/>
    <n v="16315"/>
    <n v="4"/>
    <n v="50200"/>
    <n v="65260"/>
    <s v="Roshan Kumar"/>
    <n v="9750"/>
  </r>
  <r>
    <s v="142589"/>
    <x v="31"/>
    <s v="Ranjeet Mandal"/>
    <s v="29/11/2021"/>
    <s v="Shipped"/>
    <s v="I7 - intel 12th Generation"/>
    <s v="CPU"/>
    <x v="1"/>
    <n v="14500"/>
    <n v="18850"/>
    <n v="2"/>
    <n v="29000"/>
    <n v="37700"/>
    <s v="Aarvi Gupta"/>
    <n v="33150"/>
  </r>
  <r>
    <s v="142590"/>
    <x v="32"/>
    <s v="Ashwini Adsare"/>
    <s v="30/11/2021"/>
    <s v="Order"/>
    <s v="USB Keyboard"/>
    <s v="Keyboard"/>
    <x v="6"/>
    <n v="800"/>
    <n v="1040"/>
    <n v="3"/>
    <n v="2400"/>
    <n v="3120"/>
    <s v="Vijay Singh"/>
    <n v="3315"/>
  </r>
  <r>
    <s v="142591"/>
    <x v="0"/>
    <s v="Rajesh Variya"/>
    <s v="01/12/2021"/>
    <s v="Processing"/>
    <s v="Wireless Mouse"/>
    <s v="Mouse"/>
    <x v="0"/>
    <n v="600"/>
    <n v="780"/>
    <n v="3"/>
    <n v="1800"/>
    <n v="2340"/>
    <s v="Aadil Khan"/>
    <n v="1690"/>
  </r>
  <r>
    <s v="142592"/>
    <x v="23"/>
    <s v="Amit Singh"/>
    <s v="02/12/2021"/>
    <s v="Delivered"/>
    <s v="21&quot; LCD Display"/>
    <s v="Monitor"/>
    <x v="6"/>
    <n v="10500"/>
    <n v="13650"/>
    <n v="4"/>
    <n v="42000"/>
    <n v="54600"/>
    <s v="Advika Joshi"/>
    <n v="9750"/>
  </r>
  <r>
    <s v="142593"/>
    <x v="1"/>
    <s v="Vinod Mehta"/>
    <s v="03/12/2021"/>
    <s v="Shipped"/>
    <s v="96 TB HDD"/>
    <s v="HDD"/>
    <x v="10"/>
    <n v="6500"/>
    <n v="8450"/>
    <n v="4"/>
    <n v="26000"/>
    <n v="33800"/>
    <s v="Ajay Sharma"/>
    <n v="39000"/>
  </r>
  <r>
    <s v="142594"/>
    <x v="2"/>
    <s v="Jignesh Mhatre"/>
    <s v="04/12/2021"/>
    <s v="Order"/>
    <s v="351 GB SSD"/>
    <s v="SSD"/>
    <x v="0"/>
    <n v="4500"/>
    <n v="5850"/>
    <n v="1"/>
    <n v="4500"/>
    <n v="5850"/>
    <s v="Roshan Kumar"/>
    <n v="8450"/>
  </r>
  <r>
    <s v="142595"/>
    <x v="3"/>
    <s v="Rahul Kashyap"/>
    <s v="05/12/2021"/>
    <s v="Processing"/>
    <s v="Intel i3 11th gen."/>
    <s v="CPU"/>
    <x v="1"/>
    <n v="8500"/>
    <n v="11050"/>
    <n v="1"/>
    <n v="8500"/>
    <n v="11050"/>
    <s v="Aarvi Gupta"/>
    <n v="33150"/>
  </r>
  <r>
    <s v="142596"/>
    <x v="24"/>
    <s v="Mohammed Abdul Kaleem"/>
    <s v="06/12/2021"/>
    <s v="Delivered"/>
    <s v="4GB Graphic card"/>
    <s v="Graphic Card"/>
    <x v="2"/>
    <n v="12500"/>
    <n v="16250"/>
    <n v="3"/>
    <n v="37500"/>
    <n v="48750"/>
    <s v="Vijay Singh"/>
    <n v="18200"/>
  </r>
  <r>
    <s v="142597"/>
    <x v="25"/>
    <s v="Chandrakant Kasbe"/>
    <s v="07/12/2021"/>
    <s v="Shipped"/>
    <s v="103 GB DDR4 RAM"/>
    <s v="NIC"/>
    <x v="3"/>
    <n v="3500"/>
    <n v="4550"/>
    <n v="2"/>
    <n v="7000"/>
    <n v="9100"/>
    <s v="Aadil Khan"/>
    <n v="9100"/>
  </r>
  <r>
    <s v="142598"/>
    <x v="33"/>
    <s v="Rohan Kale"/>
    <s v="08/12/2021"/>
    <s v="Order"/>
    <s v="BTX motherboard"/>
    <s v="Printer"/>
    <x v="4"/>
    <n v="4500"/>
    <n v="5850"/>
    <n v="1"/>
    <n v="4500"/>
    <n v="5850"/>
    <s v="Advika Joshi"/>
    <n v="11700"/>
  </r>
  <r>
    <s v="142599"/>
    <x v="34"/>
    <s v="Aniruddha Kekapure"/>
    <s v="09/12/2021"/>
    <s v="Processing"/>
    <s v="98 Fans Cabinet"/>
    <s v="Cabinet"/>
    <x v="5"/>
    <n v="2100"/>
    <n v="2730"/>
    <n v="3"/>
    <n v="6300"/>
    <n v="8190"/>
    <s v="Ajay Sharma"/>
    <n v="2990"/>
  </r>
  <r>
    <s v="142600"/>
    <x v="4"/>
    <s v="Aslam Raza"/>
    <s v="10/12/2021"/>
    <s v="Delivered"/>
    <s v="Wireless Keyboard"/>
    <s v="Keyboard"/>
    <x v="6"/>
    <n v="1150"/>
    <n v="1495"/>
    <n v="4"/>
    <n v="4600"/>
    <n v="5980"/>
    <s v="Roshan Kumar"/>
    <n v="3315"/>
  </r>
  <r>
    <s v="142601"/>
    <x v="5"/>
    <s v="Roshan Zameer"/>
    <s v="10/12/2021"/>
    <s v="Shipped"/>
    <s v="USB Mouse"/>
    <s v="Mouse"/>
    <x v="0"/>
    <n v="350"/>
    <n v="455"/>
    <n v="3"/>
    <n v="1050"/>
    <n v="1365"/>
    <s v="Aarvi Gupta"/>
    <n v="1690"/>
  </r>
  <r>
    <s v="142602"/>
    <x v="6"/>
    <s v="Rakesh Kumar Sharma"/>
    <s v="10/12/2021"/>
    <s v="Order"/>
    <s v="19&quot; LED Display"/>
    <s v="Monitor"/>
    <x v="6"/>
    <n v="9500"/>
    <n v="12350"/>
    <n v="2"/>
    <n v="19000"/>
    <n v="24700"/>
    <s v="Vijay Singh"/>
    <n v="9750"/>
  </r>
  <r>
    <s v="142603"/>
    <x v="7"/>
    <s v="Shivanand Sahani"/>
    <s v="10/12/2021"/>
    <s v="Processing"/>
    <s v="97 TB HDD"/>
    <s v="HDD"/>
    <x v="10"/>
    <n v="10000"/>
    <n v="13000"/>
    <n v="4"/>
    <n v="40000"/>
    <n v="52000"/>
    <s v="Aadil Khan"/>
    <n v="39000"/>
  </r>
  <r>
    <s v="142604"/>
    <x v="26"/>
    <s v="Kunal Patra"/>
    <s v="10/12/2021"/>
    <s v="Delivered"/>
    <s v="607 GB M.2"/>
    <s v="SSD"/>
    <x v="0"/>
    <n v="6500"/>
    <n v="8450"/>
    <n v="4"/>
    <n v="26000"/>
    <n v="33800"/>
    <s v="Advika Joshi"/>
    <n v="8450"/>
  </r>
  <r>
    <s v="142605"/>
    <x v="27"/>
    <s v="Bijendra"/>
    <s v="10/12/2021"/>
    <s v="Shipped"/>
    <s v="RYZEN 3rd gen. 3595"/>
    <s v="CPU"/>
    <x v="1"/>
    <n v="8500"/>
    <n v="11050"/>
    <n v="1"/>
    <n v="8500"/>
    <n v="11050"/>
    <s v="Ajay Sharma"/>
    <n v="33150"/>
  </r>
  <r>
    <s v="142606"/>
    <x v="8"/>
    <s v="Kranti Bheke"/>
    <s v="10/12/2021"/>
    <s v="Order"/>
    <s v="2GB Graphic Card"/>
    <s v="Graphic Card"/>
    <x v="2"/>
    <n v="7000"/>
    <n v="9100"/>
    <n v="2"/>
    <n v="14000"/>
    <n v="18200"/>
    <s v="Roshan Kumar"/>
    <n v="18200"/>
  </r>
  <r>
    <s v="142607"/>
    <x v="9"/>
    <s v="Jagdeep"/>
    <s v="11/12/2021"/>
    <s v="Processing"/>
    <s v="111 GB DDR4 RAM"/>
    <s v="NIC"/>
    <x v="3"/>
    <n v="6550"/>
    <n v="8515"/>
    <n v="1"/>
    <n v="6550"/>
    <n v="8515"/>
    <s v="Aarvi Gupta"/>
    <n v="9100"/>
  </r>
  <r>
    <s v="142608"/>
    <x v="10"/>
    <s v="Adhir Samal"/>
    <s v="12/12/2021"/>
    <s v="Delivered"/>
    <s v="Standard ATX motherboard"/>
    <s v="Printer"/>
    <x v="4"/>
    <n v="7650"/>
    <n v="9945"/>
    <n v="1"/>
    <n v="7650"/>
    <n v="9945"/>
    <s v="Vijay Singh"/>
    <n v="11700"/>
  </r>
  <r>
    <s v="142609"/>
    <x v="11"/>
    <s v="Dannana Jhammi"/>
    <s v="13/12/2021"/>
    <s v="Shipped"/>
    <s v="Compact with 1 Fan"/>
    <s v="Cabinet"/>
    <x v="5"/>
    <n v="1150"/>
    <n v="1495"/>
    <n v="2"/>
    <n v="2300"/>
    <n v="2990"/>
    <s v="Aadil Khan"/>
    <n v="2990"/>
  </r>
  <r>
    <s v="142610"/>
    <x v="12"/>
    <s v="Vipin Kumar"/>
    <s v="14/12/2021"/>
    <s v="Order"/>
    <s v="USB Backlight Keyboard"/>
    <s v="Keyboard"/>
    <x v="6"/>
    <n v="850"/>
    <n v="1105"/>
    <n v="4"/>
    <n v="3400"/>
    <n v="4420"/>
    <s v="Advika Joshi"/>
    <n v="3315"/>
  </r>
  <r>
    <s v="142611"/>
    <x v="13"/>
    <s v="Ranjeet Kumar"/>
    <s v="15/12/2021"/>
    <s v="Processing"/>
    <s v="Ergonomic Mouse"/>
    <s v="Mouse"/>
    <x v="0"/>
    <n v="650"/>
    <n v="845"/>
    <n v="1"/>
    <n v="650"/>
    <n v="845"/>
    <s v="Ajay Sharma"/>
    <n v="1690"/>
  </r>
  <r>
    <s v="142612"/>
    <x v="14"/>
    <s v="Sajal Singhal"/>
    <s v="16/12/2021"/>
    <s v="Delivered"/>
    <s v="15&quot; LCD Dsipaly"/>
    <s v="Monitor"/>
    <x v="6"/>
    <n v="7500"/>
    <n v="9750"/>
    <n v="2"/>
    <n v="15000"/>
    <n v="19500"/>
    <s v="Roshan Kumar"/>
    <n v="9750"/>
  </r>
  <r>
    <s v="142613"/>
    <x v="15"/>
    <s v="Akhilesh Kumar"/>
    <s v="17/12/2021"/>
    <s v="Shipped"/>
    <s v="97 TB HDD"/>
    <s v="HDD"/>
    <x v="7"/>
    <n v="10000"/>
    <n v="13000"/>
    <n v="1"/>
    <n v="10000"/>
    <n v="13000"/>
    <s v="Aarvi Gupta"/>
    <n v="39000"/>
  </r>
  <r>
    <s v="142614"/>
    <x v="16"/>
    <s v="Suvankar Chakraborty"/>
    <s v="17/12/2021"/>
    <s v="Order"/>
    <s v="96 TB SSD"/>
    <s v="SSD"/>
    <x v="0"/>
    <n v="10500"/>
    <n v="13650"/>
    <n v="3"/>
    <n v="31500"/>
    <n v="40950"/>
    <s v="Vijay Singh"/>
    <n v="8450"/>
  </r>
  <r>
    <s v="142615"/>
    <x v="17"/>
    <s v="Suvankar Adhikary"/>
    <s v="17/12/2021"/>
    <s v="Processing"/>
    <s v="Intel i5 12th gen."/>
    <s v="CPU"/>
    <x v="1"/>
    <n v="8500"/>
    <n v="11050"/>
    <n v="2"/>
    <n v="17000"/>
    <n v="22100"/>
    <s v="Aadil Khan"/>
    <n v="33150"/>
  </r>
  <r>
    <s v="142616"/>
    <x v="18"/>
    <s v="Rahul Kumar Prajapati"/>
    <s v="17/12/2021"/>
    <s v="Delivered"/>
    <s v="2GB Graphic Card"/>
    <s v="Graphic Card"/>
    <x v="2"/>
    <n v="7000"/>
    <n v="9100"/>
    <n v="2"/>
    <n v="14000"/>
    <n v="18200"/>
    <s v="Advika Joshi"/>
    <n v="18200"/>
  </r>
  <r>
    <s v="142617"/>
    <x v="19"/>
    <s v="Sagar Jeur"/>
    <s v="17/12/2021"/>
    <s v="Shipped"/>
    <s v="99 GB DDR4 Ram"/>
    <s v="NIC"/>
    <x v="3"/>
    <n v="1680"/>
    <n v="2184"/>
    <n v="3"/>
    <n v="5040"/>
    <n v="6552"/>
    <s v="Ajay Sharma"/>
    <n v="9100"/>
  </r>
  <r>
    <s v="142618"/>
    <x v="20"/>
    <s v="Rhushikesh Mane"/>
    <s v="17/12/2021"/>
    <s v="Order"/>
    <s v="Micro ATX motherboard"/>
    <s v="Printer"/>
    <x v="8"/>
    <n v="6540"/>
    <n v="8502"/>
    <n v="1"/>
    <n v="6540"/>
    <n v="8502"/>
    <s v="Roshan Kumar"/>
    <n v="11700"/>
  </r>
  <r>
    <s v="142619"/>
    <x v="16"/>
    <s v="Ashish Kumar"/>
    <s v="17/12/2021"/>
    <s v="Processing"/>
    <s v="Gaming Box Cabinet"/>
    <s v="Cabinet"/>
    <x v="5"/>
    <n v="2680"/>
    <n v="3484"/>
    <n v="3"/>
    <n v="8040"/>
    <n v="10452"/>
    <s v="Aarvi Gupta"/>
    <n v="2990"/>
  </r>
  <r>
    <s v="142620"/>
    <x v="17"/>
    <s v="Javed Akhter"/>
    <s v="17/12/2021"/>
    <s v="Delivered"/>
    <s v="17&quot; LCD Display"/>
    <s v="Monitor"/>
    <x v="0"/>
    <n v="8250"/>
    <n v="10725"/>
    <n v="2"/>
    <n v="16500"/>
    <n v="21450"/>
    <s v="Vijay Singh"/>
    <n v="9750"/>
  </r>
  <r>
    <s v="142621"/>
    <x v="27"/>
    <s v="Haridas Balraj"/>
    <s v="17/12/2021"/>
    <s v="Shipped"/>
    <s v="103 GB DDR4 RAM"/>
    <s v="RAM"/>
    <x v="0"/>
    <n v="2650"/>
    <n v="3445"/>
    <n v="3"/>
    <n v="7950"/>
    <n v="10335"/>
    <s v="Aadil Khan"/>
    <n v="25545"/>
  </r>
  <r>
    <s v="142622"/>
    <x v="22"/>
    <s v="Kundan Kumar"/>
    <s v="17/12/2021"/>
    <s v="Order"/>
    <s v="26&quot; LCD Display"/>
    <s v="Monitor"/>
    <x v="9"/>
    <n v="12550"/>
    <n v="16315"/>
    <n v="1"/>
    <n v="12550"/>
    <n v="16315"/>
    <s v="Advika Joshi"/>
    <n v="9750"/>
  </r>
  <r>
    <s v="142623"/>
    <x v="28"/>
    <s v="Atif Siddiqui"/>
    <s v="17/12/2021"/>
    <s v="Processing"/>
    <s v="I7 - intel 12th Generation"/>
    <s v="CPU"/>
    <x v="1"/>
    <n v="14500"/>
    <n v="18850"/>
    <n v="3"/>
    <n v="43500"/>
    <n v="56550"/>
    <s v="Ajay Sharma"/>
    <n v="33150"/>
  </r>
  <r>
    <s v="142624"/>
    <x v="29"/>
    <s v="Aditya Agarwal"/>
    <s v="17/12/2021"/>
    <s v="Delivered"/>
    <s v="USB Keyboard"/>
    <s v="Keyboard"/>
    <x v="6"/>
    <n v="800"/>
    <n v="1040"/>
    <n v="3"/>
    <n v="2400"/>
    <n v="3120"/>
    <s v="Roshan Kumar"/>
    <n v="3315"/>
  </r>
  <r>
    <s v="142625"/>
    <x v="30"/>
    <s v="Firdoush Jabee"/>
    <s v="17/12/2021"/>
    <s v="Shipped"/>
    <s v="Wireless Mouse"/>
    <s v="Mouse"/>
    <x v="0"/>
    <n v="600"/>
    <n v="780"/>
    <n v="3"/>
    <n v="1800"/>
    <n v="2340"/>
    <s v="Aarvi Gupta"/>
    <n v="1690"/>
  </r>
  <r>
    <s v="142626"/>
    <x v="31"/>
    <s v="Jay Prakash Kumar"/>
    <s v="18/12/2021"/>
    <s v="Order"/>
    <s v="21&quot; LCD Display"/>
    <s v="Monitor"/>
    <x v="6"/>
    <n v="10500"/>
    <n v="13650"/>
    <n v="2"/>
    <n v="21000"/>
    <n v="27300"/>
    <s v="Vijay Singh"/>
    <n v="9750"/>
  </r>
  <r>
    <s v="142627"/>
    <x v="32"/>
    <s v="Ashish Pandey"/>
    <s v="19/12/2021"/>
    <s v="Processing"/>
    <s v="97 TB HDD"/>
    <s v="HDD"/>
    <x v="10"/>
    <n v="6500"/>
    <n v="8450"/>
    <n v="3"/>
    <n v="19500"/>
    <n v="25350"/>
    <s v="Aadil Khan"/>
    <n v="39000"/>
  </r>
  <r>
    <s v="142628"/>
    <x v="0"/>
    <s v="Ajay Sharma"/>
    <s v="20/12/2021"/>
    <s v="Delivered"/>
    <s v="352 GB SSD"/>
    <s v="SSD"/>
    <x v="0"/>
    <n v="4500"/>
    <n v="5850"/>
    <n v="3"/>
    <n v="13500"/>
    <n v="17550"/>
    <s v="Advika Joshi"/>
    <n v="8450"/>
  </r>
  <r>
    <s v="142629"/>
    <x v="23"/>
    <s v="Moinuddin Saifi"/>
    <s v="21/12/2021"/>
    <s v="Shipped"/>
    <s v="Intel i3 11th gen."/>
    <s v="CPU"/>
    <x v="1"/>
    <n v="8500"/>
    <n v="11050"/>
    <n v="3"/>
    <n v="25500"/>
    <n v="33150"/>
    <s v="Ajay Sharma"/>
    <n v="33150"/>
  </r>
  <r>
    <s v="142630"/>
    <x v="1"/>
    <s v="Ramkrishna Das Adhikary"/>
    <s v="22/12/2021"/>
    <s v="Order"/>
    <s v="4GB Graphic card"/>
    <s v="Graphic Card"/>
    <x v="2"/>
    <n v="12500"/>
    <n v="16250"/>
    <n v="2"/>
    <n v="25000"/>
    <n v="32500"/>
    <s v="Roshan Kumar"/>
    <n v="18200"/>
  </r>
  <r>
    <s v="142631"/>
    <x v="2"/>
    <s v="Ranjeet Mandal"/>
    <s v="22/12/2021"/>
    <s v="Processing"/>
    <s v="104 GB DDR4 RAM"/>
    <s v="RAM"/>
    <x v="3"/>
    <n v="3500"/>
    <n v="4550"/>
    <n v="1"/>
    <n v="3500"/>
    <n v="4550"/>
    <s v="Aarvi Gupta"/>
    <n v="25545"/>
  </r>
  <r>
    <s v="142632"/>
    <x v="3"/>
    <s v="Ashwini Adsare"/>
    <s v="22/12/2021"/>
    <s v="Delivered"/>
    <s v="BTX motherboard"/>
    <s v="MotherBoard"/>
    <x v="4"/>
    <n v="4500"/>
    <n v="5850"/>
    <n v="2"/>
    <n v="9000"/>
    <n v="11700"/>
    <s v="Vijay Singh"/>
    <n v="39780"/>
  </r>
  <r>
    <s v="142633"/>
    <x v="24"/>
    <s v="Rajesh Variya"/>
    <s v="22/12/2021"/>
    <s v="Shipped"/>
    <s v="99 Fans Cabinet"/>
    <s v="Cabinet"/>
    <x v="5"/>
    <n v="2100"/>
    <n v="2730"/>
    <n v="1"/>
    <n v="2100"/>
    <n v="2730"/>
    <s v="Aadil Khan"/>
    <n v="2990"/>
  </r>
  <r>
    <s v="142634"/>
    <x v="25"/>
    <s v="Amit Singh"/>
    <s v="22/12/2021"/>
    <s v="Order"/>
    <s v="Wireless Keyboard"/>
    <s v="Keyboard"/>
    <x v="6"/>
    <n v="1150"/>
    <n v="1495"/>
    <n v="3"/>
    <n v="3450"/>
    <n v="4485"/>
    <s v="Advika Joshi"/>
    <n v="3315"/>
  </r>
  <r>
    <s v="142635"/>
    <x v="33"/>
    <s v="Vinod Mehta"/>
    <s v="22/12/2021"/>
    <s v="Processing"/>
    <s v="USB Mouse"/>
    <s v="Mouse"/>
    <x v="0"/>
    <n v="350"/>
    <n v="455"/>
    <n v="2"/>
    <n v="700"/>
    <n v="910"/>
    <s v="Ajay Sharma"/>
    <n v="1690"/>
  </r>
  <r>
    <s v="142636"/>
    <x v="34"/>
    <s v="Jignesh Mhatre"/>
    <s v="22/12/2021"/>
    <s v="Delivered"/>
    <s v="19&quot; LED Display"/>
    <s v="Monitor"/>
    <x v="6"/>
    <n v="9500"/>
    <n v="12350"/>
    <n v="4"/>
    <n v="38000"/>
    <n v="49400"/>
    <s v="Roshan Kumar"/>
    <n v="9750"/>
  </r>
  <r>
    <s v="142637"/>
    <x v="4"/>
    <s v="Rahul Kashyap"/>
    <s v="22/12/2021"/>
    <s v="Shipped"/>
    <s v="98 TB HDD"/>
    <s v="HDD"/>
    <x v="10"/>
    <n v="10000"/>
    <n v="13000"/>
    <n v="4"/>
    <n v="40000"/>
    <n v="52000"/>
    <s v="Aarvi Gupta"/>
    <n v="39000"/>
  </r>
  <r>
    <s v="142638"/>
    <x v="5"/>
    <s v="Mohammed Abdul Kaleem"/>
    <s v="22/12/2021"/>
    <s v="Order"/>
    <s v="608 GB M.2"/>
    <s v="SSD"/>
    <x v="0"/>
    <n v="6500"/>
    <n v="8450"/>
    <n v="1"/>
    <n v="6500"/>
    <n v="8450"/>
    <s v="Vijay Singh"/>
    <n v="8450"/>
  </r>
  <r>
    <s v="142639"/>
    <x v="6"/>
    <s v="Chandrakant Kasbe"/>
    <s v="22/12/2021"/>
    <s v="Processing"/>
    <s v="RYZEN 3rd gen. 3596"/>
    <s v="CPU"/>
    <x v="1"/>
    <n v="8500"/>
    <n v="11050"/>
    <n v="4"/>
    <n v="34000"/>
    <n v="44200"/>
    <s v="Aadil Khan"/>
    <n v="33150"/>
  </r>
  <r>
    <s v="142640"/>
    <x v="7"/>
    <s v="Rohan Kale"/>
    <s v="22/12/2021"/>
    <s v="Delivered"/>
    <s v="2GB Graphic Card"/>
    <s v="Graphic Card"/>
    <x v="2"/>
    <n v="7000"/>
    <n v="9100"/>
    <n v="1"/>
    <n v="7000"/>
    <n v="9100"/>
    <s v="Advika Joshi"/>
    <n v="18200"/>
  </r>
  <r>
    <s v="142641"/>
    <x v="26"/>
    <s v="Aniruddha Kekapure"/>
    <s v="22/12/2021"/>
    <s v="Shipped"/>
    <s v="112 GB DDR4 RAM"/>
    <s v="RAM"/>
    <x v="3"/>
    <n v="6550"/>
    <n v="8515"/>
    <n v="4"/>
    <n v="26200"/>
    <n v="34060"/>
    <s v="Ajay Sharma"/>
    <n v="25545"/>
  </r>
  <r>
    <s v="142642"/>
    <x v="27"/>
    <s v="Aslam Raza"/>
    <s v="22/12/2021"/>
    <s v="Order"/>
    <s v="Standard ATX motherboard"/>
    <s v="MotherBoard"/>
    <x v="4"/>
    <n v="7650"/>
    <n v="9945"/>
    <n v="4"/>
    <n v="30600"/>
    <n v="39780"/>
    <s v="Roshan Kumar"/>
    <n v="39780"/>
  </r>
  <r>
    <s v="142643"/>
    <x v="8"/>
    <s v="Roshan Zameer"/>
    <s v="22/12/2021"/>
    <s v="Processing"/>
    <s v="Compact with 1 Fan"/>
    <s v="Cabinet"/>
    <x v="5"/>
    <n v="1150"/>
    <n v="1495"/>
    <n v="1"/>
    <n v="1150"/>
    <n v="1495"/>
    <s v="Aarvi Gupta"/>
    <n v="2990"/>
  </r>
  <r>
    <s v="142644"/>
    <x v="9"/>
    <s v="Rakesh Kumar Sharma"/>
    <s v="22/12/2021"/>
    <s v="Delivered"/>
    <s v="USB Backlight Keyboard"/>
    <s v="Keyboard"/>
    <x v="6"/>
    <n v="850"/>
    <n v="1105"/>
    <n v="1"/>
    <n v="850"/>
    <n v="1105"/>
    <s v="Vijay Singh"/>
    <n v="3315"/>
  </r>
  <r>
    <s v="142645"/>
    <x v="10"/>
    <s v="Shivanand Sahani"/>
    <s v="22/12/2021"/>
    <s v="Shipped"/>
    <s v="Ergonomic Mouse"/>
    <s v="Mouse"/>
    <x v="0"/>
    <n v="650"/>
    <n v="845"/>
    <n v="4"/>
    <n v="2600"/>
    <n v="3380"/>
    <s v="Aadil Khan"/>
    <n v="1690"/>
  </r>
  <r>
    <s v="142646"/>
    <x v="11"/>
    <s v="Kunal Patra"/>
    <s v="22/12/2021"/>
    <s v="Order"/>
    <s v="15&quot; LCD Dsipaly"/>
    <s v="Monitor"/>
    <x v="6"/>
    <n v="7500"/>
    <n v="9750"/>
    <n v="2"/>
    <n v="15000"/>
    <n v="19500"/>
    <s v="Advika Joshi"/>
    <n v="9750"/>
  </r>
  <r>
    <s v="142647"/>
    <x v="12"/>
    <s v="Bijendra"/>
    <s v="22/12/2021"/>
    <s v="Processing"/>
    <s v="98 TB HDD"/>
    <s v="HDD"/>
    <x v="7"/>
    <n v="10000"/>
    <n v="13000"/>
    <n v="3"/>
    <n v="30000"/>
    <n v="39000"/>
    <s v="Ajay Sharma"/>
    <n v="39000"/>
  </r>
  <r>
    <s v="142648"/>
    <x v="13"/>
    <s v="Kranti Bheke"/>
    <s v="22/12/2021"/>
    <s v="Delivered"/>
    <s v="97 TB SSD"/>
    <s v="SSD"/>
    <x v="0"/>
    <n v="10500"/>
    <n v="13650"/>
    <n v="2"/>
    <n v="21000"/>
    <n v="27300"/>
    <s v="Roshan Kumar"/>
    <n v="8450"/>
  </r>
  <r>
    <s v="142649"/>
    <x v="14"/>
    <s v="Jagdeep"/>
    <s v="22/12/2021"/>
    <s v="Shipped"/>
    <s v="Intel i5 12th gen."/>
    <s v="CPU"/>
    <x v="1"/>
    <n v="8500"/>
    <n v="11050"/>
    <n v="1"/>
    <n v="8500"/>
    <n v="11050"/>
    <s v="Aarvi Gupta"/>
    <n v="33150"/>
  </r>
  <r>
    <s v="142650"/>
    <x v="15"/>
    <s v="Adhir Samal"/>
    <s v="23/12/2021"/>
    <s v="Order"/>
    <s v="2GB Graphic Card"/>
    <s v="Graphic Card"/>
    <x v="2"/>
    <n v="7000"/>
    <n v="9100"/>
    <n v="2"/>
    <n v="14000"/>
    <n v="18200"/>
    <s v="Vijay Singh"/>
    <n v="18200"/>
  </r>
  <r>
    <s v="142651"/>
    <x v="16"/>
    <s v="Dannana Jhammi"/>
    <s v="24/12/2021"/>
    <s v="Processing"/>
    <s v="100 GB DDR4 Ram"/>
    <s v="RAM"/>
    <x v="3"/>
    <n v="1680"/>
    <n v="2184"/>
    <n v="4"/>
    <n v="6720"/>
    <n v="8736"/>
    <s v="Aadil Khan"/>
    <n v="25545"/>
  </r>
  <r>
    <s v="142652"/>
    <x v="17"/>
    <s v="Vipin Kumar"/>
    <s v="25/12/2021"/>
    <s v="Delivered"/>
    <s v="Micro ATX motherboard"/>
    <s v="MotherBoard"/>
    <x v="8"/>
    <n v="6540"/>
    <n v="8502"/>
    <n v="4"/>
    <n v="26160"/>
    <n v="34008"/>
    <s v="Advika Joshi"/>
    <n v="39780"/>
  </r>
  <r>
    <s v="142653"/>
    <x v="18"/>
    <s v="Ranjeet Kumar"/>
    <s v="26/12/2021"/>
    <s v="Shipped"/>
    <s v="Gaming Box Cabinet"/>
    <s v="Cabinet"/>
    <x v="5"/>
    <n v="2680"/>
    <n v="3484"/>
    <n v="4"/>
    <n v="10720"/>
    <n v="13936"/>
    <s v="Ajay Sharma"/>
    <n v="2990"/>
  </r>
  <r>
    <s v="142654"/>
    <x v="19"/>
    <s v="Sajal Singhal"/>
    <s v="27/12/2021"/>
    <s v="Order"/>
    <s v="17&quot; LCD Display"/>
    <s v="Monitor"/>
    <x v="0"/>
    <n v="8250"/>
    <n v="10725"/>
    <n v="2"/>
    <n v="16500"/>
    <n v="21450"/>
    <s v="Roshan Kumar"/>
    <n v="9750"/>
  </r>
  <r>
    <s v="142655"/>
    <x v="20"/>
    <s v="Akhilesh Kumar"/>
    <s v="27/12/2021"/>
    <s v="Processing"/>
    <s v="104 GB DDR4 RAM"/>
    <s v="RAM"/>
    <x v="0"/>
    <n v="2650"/>
    <n v="3445"/>
    <n v="3"/>
    <n v="7950"/>
    <n v="10335"/>
    <s v="Aarvi Gupta"/>
    <n v="25545"/>
  </r>
  <r>
    <s v="142656"/>
    <x v="16"/>
    <s v="Suvankar Chakraborty"/>
    <s v="27/12/2021"/>
    <s v="Delivered"/>
    <s v="26&quot; LCD Display"/>
    <s v="Monitor"/>
    <x v="9"/>
    <n v="12550"/>
    <n v="16315"/>
    <n v="1"/>
    <n v="12550"/>
    <n v="16315"/>
    <s v="Vijay Singh"/>
    <n v="9750"/>
  </r>
  <r>
    <s v="142657"/>
    <x v="17"/>
    <s v="Suvankar Adhikary"/>
    <s v="27/12/2021"/>
    <s v="Shipped"/>
    <s v="I7 - intel 12th Generation"/>
    <s v="CPU"/>
    <x v="1"/>
    <n v="14500"/>
    <n v="18850"/>
    <n v="3"/>
    <n v="43500"/>
    <n v="56550"/>
    <s v="Aadil Khan"/>
    <n v="33150"/>
  </r>
  <r>
    <s v="142658"/>
    <x v="27"/>
    <s v="Rahul Kumar Prajapati"/>
    <s v="27/12/2021"/>
    <s v="Order"/>
    <s v="USB Keyboard"/>
    <s v="Keyboard"/>
    <x v="6"/>
    <n v="800"/>
    <n v="1040"/>
    <n v="2"/>
    <n v="1600"/>
    <n v="2080"/>
    <s v="Advika Joshi"/>
    <n v="3315"/>
  </r>
  <r>
    <s v="142659"/>
    <x v="22"/>
    <s v="Sagar Jeur"/>
    <s v="27/12/2021"/>
    <s v="Processing"/>
    <s v="Wireless Mouse"/>
    <s v="Mouse"/>
    <x v="0"/>
    <n v="600"/>
    <n v="780"/>
    <n v="4"/>
    <n v="2400"/>
    <n v="3120"/>
    <s v="Ajay Sharma"/>
    <n v="1690"/>
  </r>
  <r>
    <s v="142660"/>
    <x v="28"/>
    <s v="Rhushikesh Mane"/>
    <s v="27/12/2021"/>
    <s v="Delivered"/>
    <s v="21&quot; LCD Display"/>
    <s v="Monitor"/>
    <x v="6"/>
    <n v="10500"/>
    <n v="13650"/>
    <n v="4"/>
    <n v="42000"/>
    <n v="54600"/>
    <s v="Roshan Kumar"/>
    <n v="9750"/>
  </r>
  <r>
    <s v="142661"/>
    <x v="29"/>
    <s v="Ashish Kumar"/>
    <s v="27/12/2021"/>
    <s v="Shipped"/>
    <s v="98 TB HDD"/>
    <s v="HDD"/>
    <x v="10"/>
    <n v="6500"/>
    <n v="8450"/>
    <n v="1"/>
    <n v="6500"/>
    <n v="8450"/>
    <s v="Aarvi Gupta"/>
    <n v="39000"/>
  </r>
  <r>
    <s v="142662"/>
    <x v="30"/>
    <s v="Javed Akhter"/>
    <s v="27/12/2021"/>
    <s v="Order"/>
    <s v="353 GB SSD"/>
    <s v="SSD"/>
    <x v="0"/>
    <n v="4500"/>
    <n v="5850"/>
    <n v="3"/>
    <n v="13500"/>
    <n v="17550"/>
    <s v="Vijay Singh"/>
    <n v="8450"/>
  </r>
  <r>
    <s v="142663"/>
    <x v="31"/>
    <s v="Haridas Balraj"/>
    <s v="27/12/2021"/>
    <s v="Processing"/>
    <s v="Intel i3 11th gen."/>
    <s v="CPU"/>
    <x v="1"/>
    <n v="8500"/>
    <n v="11050"/>
    <n v="1"/>
    <n v="8500"/>
    <n v="11050"/>
    <s v="Aadil Khan"/>
    <n v="33150"/>
  </r>
  <r>
    <s v="142664"/>
    <x v="32"/>
    <s v="Kundan Kumar"/>
    <s v="27/12/2021"/>
    <s v="Delivered"/>
    <s v="4GB Graphic card"/>
    <s v="Graphic Card"/>
    <x v="2"/>
    <n v="12500"/>
    <n v="16250"/>
    <n v="3"/>
    <n v="37500"/>
    <n v="48750"/>
    <s v="Advika Joshi"/>
    <n v="18200"/>
  </r>
  <r>
    <s v="142665"/>
    <x v="0"/>
    <s v="Atif Siddiqui"/>
    <s v="27/12/2021"/>
    <s v="Shipped"/>
    <s v="105 GB DDR4 RAM"/>
    <s v="Computer Case"/>
    <x v="3"/>
    <n v="3500"/>
    <n v="4550"/>
    <n v="1"/>
    <n v="3500"/>
    <n v="4550"/>
    <s v="Ajay Sharma"/>
    <n v="13650"/>
  </r>
  <r>
    <s v="142666"/>
    <x v="23"/>
    <s v="Aditya Agarwal"/>
    <s v="27/12/2021"/>
    <s v="Order"/>
    <s v="BTX motherboard"/>
    <s v="Mouse"/>
    <x v="4"/>
    <n v="4500"/>
    <n v="5850"/>
    <n v="2"/>
    <n v="9000"/>
    <n v="11700"/>
    <s v="Roshan Kumar"/>
    <n v="1690"/>
  </r>
  <r>
    <s v="142667"/>
    <x v="1"/>
    <s v="Firdoush Jabee"/>
    <s v="27/12/2021"/>
    <s v="Processing"/>
    <s v="100 Fans Cabinet"/>
    <s v="Cabinet"/>
    <x v="5"/>
    <n v="2100"/>
    <n v="2730"/>
    <n v="4"/>
    <n v="8400"/>
    <n v="10920"/>
    <s v="Aarvi Gupta"/>
    <n v="2990"/>
  </r>
  <r>
    <s v="142668"/>
    <x v="2"/>
    <s v="Jay Prakash Kumar"/>
    <s v="27/12/2021"/>
    <s v="Delivered"/>
    <s v="Wireless Keyboard"/>
    <s v="Keyboard"/>
    <x v="6"/>
    <n v="1150"/>
    <n v="1495"/>
    <n v="3"/>
    <n v="3450"/>
    <n v="4485"/>
    <s v="Vijay Singh"/>
    <n v="3315"/>
  </r>
  <r>
    <s v="142669"/>
    <x v="3"/>
    <s v="Ashish Pandey"/>
    <s v="27/12/2021"/>
    <s v="Shipped"/>
    <s v="USB Mouse"/>
    <s v="Mouse"/>
    <x v="0"/>
    <n v="350"/>
    <n v="455"/>
    <n v="4"/>
    <n v="1400"/>
    <n v="1820"/>
    <s v="Aadil Khan"/>
    <n v="1690"/>
  </r>
  <r>
    <s v="142670"/>
    <x v="24"/>
    <s v="Ajay Sharma"/>
    <s v="27/12/2021"/>
    <s v="Order"/>
    <s v="19&quot; LED Display"/>
    <s v="Monitor"/>
    <x v="6"/>
    <n v="9500"/>
    <n v="12350"/>
    <n v="1"/>
    <n v="9500"/>
    <n v="12350"/>
    <s v="Advika Joshi"/>
    <n v="9750"/>
  </r>
  <r>
    <s v="142671"/>
    <x v="25"/>
    <s v="Moinuddin Saifi"/>
    <s v="27/12/2021"/>
    <s v="Processing"/>
    <s v="99 TB HDD"/>
    <s v="HDD"/>
    <x v="10"/>
    <n v="10000"/>
    <n v="13000"/>
    <n v="4"/>
    <n v="40000"/>
    <n v="52000"/>
    <s v="Ajay Sharma"/>
    <n v="39000"/>
  </r>
  <r>
    <s v="142672"/>
    <x v="33"/>
    <s v="Ramkrishna Das Adhikary"/>
    <s v="27/12/2021"/>
    <s v="Delivered"/>
    <s v="609 GB M.2"/>
    <s v="SSD"/>
    <x v="0"/>
    <n v="6500"/>
    <n v="8450"/>
    <n v="1"/>
    <n v="6500"/>
    <n v="8450"/>
    <s v="Roshan Kumar"/>
    <n v="8450"/>
  </r>
  <r>
    <s v="142673"/>
    <x v="34"/>
    <s v="Ranjeet Mandal"/>
    <s v="27/12/2021"/>
    <s v="Shipped"/>
    <s v="RYZEN 3rd gen. 3597"/>
    <s v="CPU"/>
    <x v="1"/>
    <n v="8500"/>
    <n v="11050"/>
    <n v="1"/>
    <n v="8500"/>
    <n v="11050"/>
    <s v="Aarvi Gupta"/>
    <n v="33150"/>
  </r>
  <r>
    <s v="142674"/>
    <x v="4"/>
    <s v="Ashwini Adsare"/>
    <s v="27/12/2021"/>
    <s v="Order"/>
    <s v="2GB Graphic Card"/>
    <s v="Graphic Card"/>
    <x v="2"/>
    <n v="7000"/>
    <n v="9100"/>
    <n v="1"/>
    <n v="7000"/>
    <n v="9100"/>
    <s v="Vijay Singh"/>
    <n v="18200"/>
  </r>
  <r>
    <s v="142675"/>
    <x v="5"/>
    <s v="Rajesh Variya"/>
    <s v="27/12/2021"/>
    <s v="Processing"/>
    <s v="113 GB DDR4 RAM"/>
    <s v="Computer Case"/>
    <x v="3"/>
    <n v="6550"/>
    <n v="8515"/>
    <n v="3"/>
    <n v="19650"/>
    <n v="25545"/>
    <s v="Aadil Khan"/>
    <n v="13650"/>
  </r>
  <r>
    <s v="142676"/>
    <x v="6"/>
    <s v="Amit Singh"/>
    <s v="28/12/2021"/>
    <s v="Delivered"/>
    <s v="Standard ATX motherboard"/>
    <s v="Mouse"/>
    <x v="4"/>
    <n v="7650"/>
    <n v="9945"/>
    <n v="4"/>
    <n v="30600"/>
    <n v="39780"/>
    <s v="Advika Joshi"/>
    <n v="1690"/>
  </r>
  <r>
    <s v="142677"/>
    <x v="7"/>
    <s v="Vinod Mehta"/>
    <s v="29/12/2021"/>
    <s v="Shipped"/>
    <s v="Compact with 1 Fan"/>
    <s v="Cabinet"/>
    <x v="5"/>
    <n v="1150"/>
    <n v="1495"/>
    <n v="4"/>
    <n v="4600"/>
    <n v="5980"/>
    <s v="Ajay Sharma"/>
    <n v="2990"/>
  </r>
  <r>
    <s v="142678"/>
    <x v="26"/>
    <s v="Jignesh Mhatre"/>
    <s v="30/12/2021"/>
    <s v="Order"/>
    <s v="USB Backlight Keyboard"/>
    <s v="Keyboard"/>
    <x v="6"/>
    <n v="850"/>
    <n v="1105"/>
    <n v="1"/>
    <n v="850"/>
    <n v="1105"/>
    <s v="Roshan Kumar"/>
    <n v="3315"/>
  </r>
  <r>
    <s v="142679"/>
    <x v="27"/>
    <s v="Rahul Kashyap"/>
    <s v="31/12/2021"/>
    <s v="Processing"/>
    <s v="Ergonomic Mouse"/>
    <s v="Mouse"/>
    <x v="0"/>
    <n v="650"/>
    <n v="845"/>
    <n v="2"/>
    <n v="1300"/>
    <n v="1690"/>
    <s v="Aarvi Gupta"/>
    <n v="1690"/>
  </r>
  <r>
    <s v="142680"/>
    <x v="8"/>
    <s v="Mohammed Abdul Kaleem"/>
    <s v="31/12/2021"/>
    <s v="Delivered"/>
    <s v="15&quot; LCD Dsipaly"/>
    <s v="Monitor"/>
    <x v="6"/>
    <n v="7500"/>
    <n v="9750"/>
    <n v="3"/>
    <n v="22500"/>
    <n v="29250"/>
    <s v="Vijay Singh"/>
    <n v="9750"/>
  </r>
  <r>
    <s v="142681"/>
    <x v="9"/>
    <s v="Chandrakant Kasbe"/>
    <s v="31/12/2021"/>
    <s v="Shipped"/>
    <s v="99 TB HDD"/>
    <s v="HDD"/>
    <x v="7"/>
    <n v="10000"/>
    <n v="13000"/>
    <n v="1"/>
    <n v="10000"/>
    <n v="13000"/>
    <s v="Aadil Khan"/>
    <n v="39000"/>
  </r>
  <r>
    <s v="142682"/>
    <x v="10"/>
    <s v="Rohan Kale"/>
    <s v="31/12/2021"/>
    <s v="Order"/>
    <s v="98 TB SSD"/>
    <s v="SSD"/>
    <x v="0"/>
    <n v="10500"/>
    <n v="13650"/>
    <n v="2"/>
    <n v="21000"/>
    <n v="27300"/>
    <s v="Advika Joshi"/>
    <n v="8450"/>
  </r>
  <r>
    <s v="142683"/>
    <x v="11"/>
    <s v="Aniruddha Kekapure"/>
    <s v="31/12/2021"/>
    <s v="Processing"/>
    <s v="Intel i5 12th gen."/>
    <s v="CPU"/>
    <x v="1"/>
    <n v="8500"/>
    <n v="11050"/>
    <n v="1"/>
    <n v="8500"/>
    <n v="11050"/>
    <s v="Ajay Sharma"/>
    <n v="33150"/>
  </r>
  <r>
    <s v="142684"/>
    <x v="12"/>
    <s v="Aslam Raza"/>
    <s v="31/12/2021"/>
    <s v="Delivered"/>
    <s v="2GB Graphic Card"/>
    <s v="Graphic Card"/>
    <x v="2"/>
    <n v="7000"/>
    <n v="9100"/>
    <n v="1"/>
    <n v="7000"/>
    <n v="9100"/>
    <s v="Roshan Kumar"/>
    <n v="18200"/>
  </r>
  <r>
    <s v="142685"/>
    <x v="13"/>
    <s v="Roshan Zameer"/>
    <s v="31/12/2021"/>
    <s v="Shipped"/>
    <s v="101 GB DDR4 Ram"/>
    <s v="Computer Case"/>
    <x v="3"/>
    <n v="1680"/>
    <n v="2184"/>
    <n v="2"/>
    <n v="3360"/>
    <n v="4368"/>
    <s v="Aarvi Gupta"/>
    <n v="13650"/>
  </r>
  <r>
    <s v="142686"/>
    <x v="14"/>
    <s v="Rakesh Kumar Sharma"/>
    <s v="31/12/2021"/>
    <s v="Order"/>
    <s v="Micro ATX motherboard"/>
    <s v="Mouse"/>
    <x v="8"/>
    <n v="6540"/>
    <n v="8502"/>
    <n v="4"/>
    <n v="26160"/>
    <n v="34008"/>
    <s v="Vijay Singh"/>
    <n v="1690"/>
  </r>
  <r>
    <s v="142687"/>
    <x v="15"/>
    <s v="Shivanand Sahani"/>
    <s v="31/12/2021"/>
    <s v="Processing"/>
    <s v="Gaming Box Cabinet"/>
    <s v="Cabinet"/>
    <x v="5"/>
    <n v="2680"/>
    <n v="3484"/>
    <n v="4"/>
    <n v="10720"/>
    <n v="13936"/>
    <s v="Aadil Khan"/>
    <n v="2990"/>
  </r>
  <r>
    <s v="142688"/>
    <x v="16"/>
    <s v="Kunal Patra"/>
    <s v="31/12/2021"/>
    <s v="Delivered"/>
    <s v="17&quot; LCD Display"/>
    <s v="Monitor"/>
    <x v="0"/>
    <n v="8250"/>
    <n v="10725"/>
    <n v="4"/>
    <n v="33000"/>
    <n v="42900"/>
    <s v="Advika Joshi"/>
    <n v="9750"/>
  </r>
  <r>
    <s v="142689"/>
    <x v="17"/>
    <s v="Bijendra"/>
    <s v="31/12/2021"/>
    <s v="Shipped"/>
    <s v="105 GB DDR4 RAM"/>
    <s v="RAM"/>
    <x v="0"/>
    <n v="2650"/>
    <n v="3445"/>
    <n v="1"/>
    <n v="2650"/>
    <n v="3445"/>
    <s v="Ajay Sharma"/>
    <n v="25545"/>
  </r>
  <r>
    <s v="142690"/>
    <x v="18"/>
    <s v="Kranti Bheke"/>
    <s v="31/12/2021"/>
    <s v="Order"/>
    <s v="26&quot; LCD Display"/>
    <s v="Monitor"/>
    <x v="9"/>
    <n v="12550"/>
    <n v="16315"/>
    <n v="4"/>
    <n v="50200"/>
    <n v="65260"/>
    <s v="Roshan Kumar"/>
    <n v="9750"/>
  </r>
  <r>
    <s v="142691"/>
    <x v="19"/>
    <s v="Jagdeep"/>
    <s v="31/12/2021"/>
    <s v="Processing"/>
    <s v="I7 - intel 12th Generation"/>
    <s v="CPU"/>
    <x v="1"/>
    <n v="14500"/>
    <n v="18850"/>
    <n v="2"/>
    <n v="29000"/>
    <n v="37700"/>
    <s v="Aarvi Gupta"/>
    <n v="33150"/>
  </r>
  <r>
    <s v="142692"/>
    <x v="20"/>
    <s v="Adhir Samal"/>
    <s v="31/12/2021"/>
    <s v="Delivered"/>
    <s v="USB Keyboard"/>
    <s v="Keyboard"/>
    <x v="6"/>
    <n v="800"/>
    <n v="1040"/>
    <n v="2"/>
    <n v="1600"/>
    <n v="2080"/>
    <s v="Vijay Singh"/>
    <n v="3315"/>
  </r>
  <r>
    <s v="142693"/>
    <x v="16"/>
    <s v="Dannana Jhammi"/>
    <s v="31/12/2021"/>
    <s v="Shipped"/>
    <s v="Wireless Mouse"/>
    <s v="Mouse"/>
    <x v="0"/>
    <n v="600"/>
    <n v="780"/>
    <n v="4"/>
    <n v="2400"/>
    <n v="3120"/>
    <s v="Aadil Khan"/>
    <n v="1690"/>
  </r>
  <r>
    <s v="142694"/>
    <x v="17"/>
    <s v="Vipin Kumar"/>
    <s v="31/12/2021"/>
    <s v="Order"/>
    <s v="21&quot; LCD Display"/>
    <s v="Monitor"/>
    <x v="6"/>
    <n v="10500"/>
    <n v="13650"/>
    <n v="2"/>
    <n v="21000"/>
    <n v="27300"/>
    <s v="Advika Joshi"/>
    <n v="9750"/>
  </r>
  <r>
    <s v="142695"/>
    <x v="27"/>
    <s v="Ranjeet Kumar"/>
    <s v="31/12/2021"/>
    <s v="Processing"/>
    <s v="99 TB HDD"/>
    <s v="HDD"/>
    <x v="10"/>
    <n v="6500"/>
    <n v="8450"/>
    <n v="4"/>
    <n v="26000"/>
    <n v="33800"/>
    <s v="Ajay Sharma"/>
    <n v="39000"/>
  </r>
  <r>
    <s v="142696"/>
    <x v="22"/>
    <s v="Sajal Singhal"/>
    <s v="31/12/2021"/>
    <s v="Delivered"/>
    <s v="354 GB SSD"/>
    <s v="SSD"/>
    <x v="0"/>
    <n v="4500"/>
    <n v="5850"/>
    <n v="4"/>
    <n v="18000"/>
    <n v="23400"/>
    <s v="Roshan Kumar"/>
    <n v="8450"/>
  </r>
  <r>
    <s v="142697"/>
    <x v="28"/>
    <s v="Akhilesh Kumar"/>
    <s v="31/12/2021"/>
    <s v="Shipped"/>
    <s v="Intel i3 11th gen."/>
    <s v="CPU"/>
    <x v="1"/>
    <n v="8500"/>
    <n v="11050"/>
    <n v="3"/>
    <n v="25500"/>
    <n v="33150"/>
    <s v="Aarvi Gupta"/>
    <n v="33150"/>
  </r>
  <r>
    <s v="142698"/>
    <x v="29"/>
    <s v="Suvankar Chakraborty"/>
    <s v="31/12/2021"/>
    <s v="Order"/>
    <s v="4GB Graphic card"/>
    <s v="Graphic Card"/>
    <x v="2"/>
    <n v="12500"/>
    <n v="16250"/>
    <n v="1"/>
    <n v="12500"/>
    <n v="16250"/>
    <s v="Vijay Singh"/>
    <n v="18200"/>
  </r>
  <r>
    <s v="142699"/>
    <x v="30"/>
    <s v="Suvankar Adhikary"/>
    <s v="31/12/2021"/>
    <s v="Processing"/>
    <s v="106 GB DDR4 RAM"/>
    <s v="NIC"/>
    <x v="3"/>
    <n v="3500"/>
    <n v="4550"/>
    <n v="3"/>
    <n v="10500"/>
    <n v="13650"/>
    <s v="Aadil Khan"/>
    <n v="9100"/>
  </r>
  <r>
    <s v="142700"/>
    <x v="31"/>
    <s v="Rahul Kumar Prajapati"/>
    <s v="31/12/2021"/>
    <s v="Delivered"/>
    <s v="BTX motherboard"/>
    <s v="Printer"/>
    <x v="4"/>
    <n v="4500"/>
    <n v="5850"/>
    <n v="4"/>
    <n v="18000"/>
    <n v="23400"/>
    <s v="Advika Joshi"/>
    <n v="11700"/>
  </r>
  <r>
    <s v="142701"/>
    <x v="32"/>
    <s v="Sagar Jeur"/>
    <s v="31/12/2021"/>
    <s v="Shipped"/>
    <s v="101 Fans Cabinet"/>
    <s v="Cabinet"/>
    <x v="5"/>
    <n v="2100"/>
    <n v="2730"/>
    <n v="3"/>
    <n v="6300"/>
    <n v="8190"/>
    <s v="Ajay Sharma"/>
    <n v="2990"/>
  </r>
  <r>
    <s v="142702"/>
    <x v="0"/>
    <s v="Rhushikesh Mane"/>
    <s v="31/12/2021"/>
    <s v="Order"/>
    <s v="Wireless Keyboard"/>
    <s v="Keyboard"/>
    <x v="6"/>
    <n v="1150"/>
    <n v="1495"/>
    <n v="4"/>
    <n v="4600"/>
    <n v="5980"/>
    <s v="Roshan Kumar"/>
    <n v="3315"/>
  </r>
  <r>
    <s v="142703"/>
    <x v="23"/>
    <s v="Ashish Kumar"/>
    <s v="31/12/2021"/>
    <s v="Processing"/>
    <s v="USB Mouse"/>
    <s v="Mouse"/>
    <x v="0"/>
    <n v="350"/>
    <n v="455"/>
    <n v="4"/>
    <n v="1400"/>
    <n v="1820"/>
    <s v="Aarvi Gupta"/>
    <n v="1690"/>
  </r>
  <r>
    <s v="142704"/>
    <x v="1"/>
    <s v="Javed Akhter"/>
    <s v="31/12/2021"/>
    <s v="Delivered"/>
    <s v="19&quot; LED Display"/>
    <s v="Monitor"/>
    <x v="6"/>
    <n v="9500"/>
    <n v="12350"/>
    <n v="2"/>
    <n v="19000"/>
    <n v="24700"/>
    <s v="Vijay Singh"/>
    <n v="9750"/>
  </r>
  <r>
    <s v="142705"/>
    <x v="2"/>
    <s v="Haridas Balraj"/>
    <s v="31/12/2021"/>
    <s v="Shipped"/>
    <s v="100 TB HDD"/>
    <s v="HDD"/>
    <x v="10"/>
    <n v="10000"/>
    <n v="13000"/>
    <n v="2"/>
    <n v="20000"/>
    <n v="26000"/>
    <s v="Aadil Khan"/>
    <n v="39000"/>
  </r>
  <r>
    <s v="142706"/>
    <x v="3"/>
    <s v="Kundan Kumar"/>
    <s v="31/12/2021"/>
    <s v="Order"/>
    <s v="610 GB M.2"/>
    <s v="SSD"/>
    <x v="0"/>
    <n v="6500"/>
    <n v="8450"/>
    <n v="1"/>
    <n v="6500"/>
    <n v="8450"/>
    <s v="Advika Joshi"/>
    <n v="8450"/>
  </r>
  <r>
    <s v="142707"/>
    <x v="24"/>
    <s v="Atif Siddiqui"/>
    <s v="31/12/2021"/>
    <s v="Processing"/>
    <s v="RYZEN 3rd gen. 3598"/>
    <s v="CPU"/>
    <x v="1"/>
    <n v="8500"/>
    <n v="11050"/>
    <n v="3"/>
    <n v="25500"/>
    <n v="33150"/>
    <s v="Ajay Sharma"/>
    <n v="33150"/>
  </r>
  <r>
    <s v="142708"/>
    <x v="25"/>
    <s v="Aditya Agarwal"/>
    <s v="31/12/2021"/>
    <s v="Delivered"/>
    <s v="2GB Graphic Card"/>
    <s v="Graphic Card"/>
    <x v="2"/>
    <n v="7000"/>
    <n v="9100"/>
    <n v="2"/>
    <n v="14000"/>
    <n v="18200"/>
    <s v="Roshan Kumar"/>
    <n v="18200"/>
  </r>
  <r>
    <s v="142709"/>
    <x v="33"/>
    <s v="Firdoush Jabee"/>
    <s v="31/12/2021"/>
    <s v="Shipped"/>
    <s v="114 GB DDR4 RAM"/>
    <s v="NIC"/>
    <x v="3"/>
    <n v="6550"/>
    <n v="8515"/>
    <n v="2"/>
    <n v="13100"/>
    <n v="17030"/>
    <s v="Aarvi Gupta"/>
    <n v="9100"/>
  </r>
  <r>
    <s v="142710"/>
    <x v="34"/>
    <s v="Jay Prakash Kumar"/>
    <s v="31/12/2021"/>
    <s v="Order"/>
    <s v="Standard ATX motherboard"/>
    <s v="Printer"/>
    <x v="4"/>
    <n v="7650"/>
    <n v="9945"/>
    <n v="1"/>
    <n v="7650"/>
    <n v="9945"/>
    <s v="Vijay Singh"/>
    <n v="11700"/>
  </r>
  <r>
    <s v="142711"/>
    <x v="4"/>
    <s v="Ashish Pandey"/>
    <s v="31/12/2021"/>
    <s v="Processing"/>
    <s v="Compact with 1 Fan"/>
    <s v="Cabinet"/>
    <x v="5"/>
    <n v="1150"/>
    <n v="1495"/>
    <n v="1"/>
    <n v="1150"/>
    <n v="1495"/>
    <s v="Aadil Khan"/>
    <n v="2990"/>
  </r>
  <r>
    <s v="142712"/>
    <x v="5"/>
    <s v="Ajay Sharma"/>
    <s v="31/12/2021"/>
    <s v="Delivered"/>
    <s v="USB Backlight Keyboard"/>
    <s v="Keyboard"/>
    <x v="6"/>
    <n v="850"/>
    <n v="1105"/>
    <n v="2"/>
    <n v="1700"/>
    <n v="2210"/>
    <s v="Advika Joshi"/>
    <n v="3315"/>
  </r>
  <r>
    <s v="142713"/>
    <x v="6"/>
    <s v="Moinuddin Saifi"/>
    <s v="31/12/2021"/>
    <s v="Shipped"/>
    <s v="Ergonomic Mouse"/>
    <s v="Mouse"/>
    <x v="0"/>
    <n v="650"/>
    <n v="845"/>
    <n v="1"/>
    <n v="650"/>
    <n v="845"/>
    <s v="Ajay Sharma"/>
    <n v="1690"/>
  </r>
  <r>
    <s v="142714"/>
    <x v="7"/>
    <s v="Ramkrishna Das Adhikary"/>
    <s v="31/12/2021"/>
    <s v="Order"/>
    <s v="15&quot; LCD Dsipaly"/>
    <s v="Monitor"/>
    <x v="6"/>
    <n v="7500"/>
    <n v="9750"/>
    <n v="1"/>
    <n v="7500"/>
    <n v="9750"/>
    <s v="Roshan Kumar"/>
    <n v="9750"/>
  </r>
  <r>
    <s v="142715"/>
    <x v="26"/>
    <s v="Ranjeet Mandal"/>
    <s v="31/12/2021"/>
    <s v="Processing"/>
    <s v="100 TB HDD"/>
    <s v="HDD"/>
    <x v="7"/>
    <n v="10000"/>
    <n v="13000"/>
    <n v="4"/>
    <n v="40000"/>
    <n v="52000"/>
    <s v="Aarvi Gupta"/>
    <n v="39000"/>
  </r>
  <r>
    <s v="142716"/>
    <x v="27"/>
    <s v="Ashwini Adsare"/>
    <s v="31/12/2021"/>
    <s v="Delivered"/>
    <s v="99 TB SSD"/>
    <s v="SSD"/>
    <x v="0"/>
    <n v="10500"/>
    <n v="13650"/>
    <n v="1"/>
    <n v="10500"/>
    <n v="13650"/>
    <s v="Vijay Singh"/>
    <n v="8450"/>
  </r>
  <r>
    <s v="142717"/>
    <x v="8"/>
    <s v="Rajesh Variya"/>
    <s v="31/12/2021"/>
    <s v="Shipped"/>
    <s v="Intel i5 12th gen."/>
    <s v="CPU"/>
    <x v="1"/>
    <n v="8500"/>
    <n v="11050"/>
    <n v="1"/>
    <n v="8500"/>
    <n v="11050"/>
    <s v="Aadil Khan"/>
    <n v="33150"/>
  </r>
  <r>
    <s v="142718"/>
    <x v="9"/>
    <s v="Amit Singh"/>
    <s v="31/12/2021"/>
    <s v="Order"/>
    <s v="2GB Graphic Card"/>
    <s v="Graphic Card"/>
    <x v="2"/>
    <n v="7000"/>
    <n v="9100"/>
    <n v="4"/>
    <n v="28000"/>
    <n v="36400"/>
    <s v="Advika Joshi"/>
    <n v="18200"/>
  </r>
  <r>
    <s v="142719"/>
    <x v="10"/>
    <s v="Vinod Mehta"/>
    <s v="31/12/2021"/>
    <s v="Processing"/>
    <s v="102 GB DDR4 Ram"/>
    <s v="NIC"/>
    <x v="3"/>
    <n v="1680"/>
    <n v="2184"/>
    <n v="2"/>
    <n v="3360"/>
    <n v="4368"/>
    <s v="Ajay Sharma"/>
    <n v="9100"/>
  </r>
  <r>
    <s v="142720"/>
    <x v="11"/>
    <s v="Jignesh Mhatre"/>
    <s v="31/12/2021"/>
    <s v="Delivered"/>
    <s v="Micro ATX motherboard"/>
    <s v="Printer"/>
    <x v="8"/>
    <n v="6540"/>
    <n v="8502"/>
    <n v="2"/>
    <n v="13080"/>
    <n v="17004"/>
    <s v="Roshan Kumar"/>
    <n v="11700"/>
  </r>
  <r>
    <s v="142721"/>
    <x v="12"/>
    <s v="Rahul Kashyap"/>
    <s v="31/12/2021"/>
    <s v="Shipped"/>
    <s v="Gaming Box Cabinet"/>
    <s v="Cabinet"/>
    <x v="5"/>
    <n v="2680"/>
    <n v="3484"/>
    <n v="4"/>
    <n v="10720"/>
    <n v="13936"/>
    <s v="Aarvi Gupta"/>
    <n v="2990"/>
  </r>
  <r>
    <s v="142722"/>
    <x v="13"/>
    <s v="Mohammed Abdul Kaleem"/>
    <s v="31/12/2021"/>
    <s v="Order"/>
    <s v="17&quot; LCD Display"/>
    <s v="Monitor"/>
    <x v="0"/>
    <n v="8250"/>
    <n v="10725"/>
    <n v="4"/>
    <n v="33000"/>
    <n v="42900"/>
    <s v="Vijay Singh"/>
    <n v="9750"/>
  </r>
  <r>
    <s v="142723"/>
    <x v="14"/>
    <s v="Chandrakant Kasbe"/>
    <s v="31/12/2021"/>
    <s v="Processing"/>
    <s v="106 GB DDR4 RAM"/>
    <s v="RAM"/>
    <x v="0"/>
    <n v="2650"/>
    <n v="3445"/>
    <n v="1"/>
    <n v="2650"/>
    <n v="3445"/>
    <s v="Aadil Khan"/>
    <n v="25545"/>
  </r>
  <r>
    <s v="142724"/>
    <x v="15"/>
    <s v="Rohan Kale"/>
    <s v="31/12/2021"/>
    <s v="Delivered"/>
    <s v="26&quot; LCD Display"/>
    <s v="Monitor"/>
    <x v="9"/>
    <n v="12550"/>
    <n v="16315"/>
    <n v="3"/>
    <n v="37650"/>
    <n v="48945"/>
    <s v="Advika Joshi"/>
    <n v="9750"/>
  </r>
  <r>
    <s v="142725"/>
    <x v="16"/>
    <s v="Aniruddha Kekapure"/>
    <s v="31/12/2021"/>
    <s v="Shipped"/>
    <s v="I7 - intel 12th Generation"/>
    <s v="CPU"/>
    <x v="1"/>
    <n v="14500"/>
    <n v="18850"/>
    <n v="2"/>
    <n v="29000"/>
    <n v="37700"/>
    <s v="Ajay Sharma"/>
    <n v="33150"/>
  </r>
  <r>
    <s v="142726"/>
    <x v="17"/>
    <s v="Aslam Raza"/>
    <s v="31/12/2021"/>
    <s v="Order"/>
    <s v="USB Keyboard"/>
    <s v="Keyboard"/>
    <x v="6"/>
    <n v="800"/>
    <n v="1040"/>
    <n v="1"/>
    <n v="800"/>
    <n v="1040"/>
    <s v="Roshan Kumar"/>
    <n v="3315"/>
  </r>
  <r>
    <s v="142727"/>
    <x v="18"/>
    <s v="Roshan Zameer"/>
    <s v="31/12/2021"/>
    <s v="Processing"/>
    <s v="Wireless Mouse"/>
    <s v="Mouse"/>
    <x v="0"/>
    <n v="600"/>
    <n v="780"/>
    <n v="3"/>
    <n v="1800"/>
    <n v="2340"/>
    <s v="Aarvi Gupta"/>
    <n v="1690"/>
  </r>
  <r>
    <s v="142728"/>
    <x v="19"/>
    <s v="Rakesh Kumar Sharma"/>
    <s v="31/12/2021"/>
    <s v="Delivered"/>
    <s v="21&quot; LCD Display"/>
    <s v="Monitor"/>
    <x v="6"/>
    <n v="10500"/>
    <n v="13650"/>
    <n v="3"/>
    <n v="31500"/>
    <n v="40950"/>
    <s v="Vijay Singh"/>
    <n v="9750"/>
  </r>
  <r>
    <s v="142729"/>
    <x v="20"/>
    <s v="Shivanand Sahani"/>
    <s v="31/12/2021"/>
    <s v="Shipped"/>
    <s v="100 TB HDD"/>
    <s v="HDD"/>
    <x v="10"/>
    <n v="6500"/>
    <n v="8450"/>
    <n v="4"/>
    <n v="26000"/>
    <n v="33800"/>
    <s v="Aadil Khan"/>
    <n v="39000"/>
  </r>
  <r>
    <s v="142730"/>
    <x v="16"/>
    <s v="Kunal Patra"/>
    <s v="31/12/2021"/>
    <s v="Order"/>
    <s v="355 GB SSD"/>
    <s v="SSD"/>
    <x v="0"/>
    <n v="4500"/>
    <n v="5850"/>
    <n v="1"/>
    <n v="4500"/>
    <n v="5850"/>
    <s v="Advika Joshi"/>
    <n v="8450"/>
  </r>
  <r>
    <s v="142731"/>
    <x v="17"/>
    <s v="Bijendra"/>
    <s v="31/12/2021"/>
    <s v="Processing"/>
    <s v="Intel i3 11th gen."/>
    <s v="CPU"/>
    <x v="1"/>
    <n v="8500"/>
    <n v="11050"/>
    <n v="2"/>
    <n v="17000"/>
    <n v="22100"/>
    <s v="Ajay Sharma"/>
    <n v="33150"/>
  </r>
  <r>
    <s v="142732"/>
    <x v="27"/>
    <s v="Kranti Bheke"/>
    <s v="31/12/2021"/>
    <s v="Delivered"/>
    <s v="4GB Graphic card"/>
    <s v="Graphic Card"/>
    <x v="2"/>
    <n v="12500"/>
    <n v="16250"/>
    <n v="3"/>
    <n v="37500"/>
    <n v="48750"/>
    <s v="Roshan Kumar"/>
    <n v="18200"/>
  </r>
  <r>
    <s v="142733"/>
    <x v="22"/>
    <s v="Jagdeep"/>
    <s v="31/12/2021"/>
    <s v="Shipped"/>
    <s v="107 GB DDR4 RAM"/>
    <s v="RAM"/>
    <x v="3"/>
    <n v="3500"/>
    <n v="4550"/>
    <n v="1"/>
    <n v="3500"/>
    <n v="4550"/>
    <s v="Aarvi Gupta"/>
    <n v="25545"/>
  </r>
  <r>
    <s v="142734"/>
    <x v="28"/>
    <s v="Adhir Samal"/>
    <s v="31/12/2021"/>
    <s v="Order"/>
    <s v="BTX motherboard"/>
    <s v="MotherBoard"/>
    <x v="4"/>
    <n v="4500"/>
    <n v="5850"/>
    <n v="3"/>
    <n v="13500"/>
    <n v="17550"/>
    <s v="Vijay Singh"/>
    <n v="39780"/>
  </r>
  <r>
    <s v="142735"/>
    <x v="29"/>
    <s v="Dannana Jhammi"/>
    <s v="31/12/2021"/>
    <s v="Processing"/>
    <s v="102 Fans Cabinet"/>
    <s v="Cabinet"/>
    <x v="5"/>
    <n v="2100"/>
    <n v="2730"/>
    <n v="2"/>
    <n v="4200"/>
    <n v="5460"/>
    <s v="Aadil Khan"/>
    <n v="2990"/>
  </r>
  <r>
    <s v="142736"/>
    <x v="30"/>
    <s v="Vipin Kumar"/>
    <s v="31/12/2021"/>
    <s v="Delivered"/>
    <s v="Wireless Keyboard"/>
    <s v="Keyboard"/>
    <x v="6"/>
    <n v="1150"/>
    <n v="1495"/>
    <n v="2"/>
    <n v="2300"/>
    <n v="2990"/>
    <s v="Advika Joshi"/>
    <n v="3315"/>
  </r>
  <r>
    <s v="142737"/>
    <x v="31"/>
    <s v="Ranjeet Kumar"/>
    <s v="01/01/2022"/>
    <s v="Shipped"/>
    <s v="USB Mouse"/>
    <s v="Mouse"/>
    <x v="0"/>
    <n v="350"/>
    <n v="455"/>
    <n v="4"/>
    <n v="1400"/>
    <n v="1820"/>
    <s v="Ajay Sharma"/>
    <n v="1690"/>
  </r>
  <r>
    <s v="142738"/>
    <x v="32"/>
    <s v="Sajal Singhal"/>
    <s v="01/01/2022"/>
    <s v="Order"/>
    <s v="19&quot; LED Display"/>
    <s v="Monitor"/>
    <x v="6"/>
    <n v="9500"/>
    <n v="12350"/>
    <n v="3"/>
    <n v="28500"/>
    <n v="37050"/>
    <s v="Roshan Kumar"/>
    <n v="9750"/>
  </r>
  <r>
    <s v="142739"/>
    <x v="0"/>
    <s v="Akhilesh Kumar"/>
    <s v="01/01/2022"/>
    <s v="Processing"/>
    <s v="101 TB HDD"/>
    <s v="HDD"/>
    <x v="10"/>
    <n v="10000"/>
    <n v="13000"/>
    <n v="3"/>
    <n v="30000"/>
    <n v="39000"/>
    <s v="Aarvi Gupta"/>
    <n v="39000"/>
  </r>
  <r>
    <s v="142740"/>
    <x v="23"/>
    <s v="Suvankar Chakraborty"/>
    <s v="01/01/2022"/>
    <s v="Delivered"/>
    <s v="611 GB M.2"/>
    <s v="SSD"/>
    <x v="0"/>
    <n v="6500"/>
    <n v="8450"/>
    <n v="1"/>
    <n v="6500"/>
    <n v="8450"/>
    <s v="Vijay Singh"/>
    <n v="8450"/>
  </r>
  <r>
    <s v="142741"/>
    <x v="1"/>
    <s v="Suvankar Adhikary"/>
    <s v="01/01/2022"/>
    <s v="Shipped"/>
    <s v="RYZEN 3rd gen. 3599"/>
    <s v="CPU"/>
    <x v="1"/>
    <n v="8500"/>
    <n v="11050"/>
    <n v="1"/>
    <n v="8500"/>
    <n v="11050"/>
    <s v="Aadil Khan"/>
    <n v="33150"/>
  </r>
  <r>
    <s v="142742"/>
    <x v="2"/>
    <s v="Rahul Kumar Prajapati"/>
    <s v="01/01/2022"/>
    <s v="Order"/>
    <s v="2GB Graphic Card"/>
    <s v="Graphic Card"/>
    <x v="2"/>
    <n v="7000"/>
    <n v="9100"/>
    <n v="3"/>
    <n v="21000"/>
    <n v="27300"/>
    <s v="Advika Joshi"/>
    <n v="18200"/>
  </r>
  <r>
    <s v="142743"/>
    <x v="3"/>
    <s v="Sagar Jeur"/>
    <s v="01/01/2022"/>
    <s v="Processing"/>
    <s v="115 GB DDR4 RAM"/>
    <s v="RAM"/>
    <x v="3"/>
    <n v="6550"/>
    <n v="8515"/>
    <n v="1"/>
    <n v="6550"/>
    <n v="8515"/>
    <s v="Ajay Sharma"/>
    <n v="25545"/>
  </r>
  <r>
    <s v="142744"/>
    <x v="24"/>
    <s v="Rhushikesh Mane"/>
    <s v="01/01/2022"/>
    <s v="Delivered"/>
    <s v="Standard ATX motherboard"/>
    <s v="MotherBoard"/>
    <x v="4"/>
    <n v="7650"/>
    <n v="9945"/>
    <n v="3"/>
    <n v="22950"/>
    <n v="29835"/>
    <s v="Roshan Kumar"/>
    <n v="39780"/>
  </r>
  <r>
    <s v="142745"/>
    <x v="25"/>
    <s v="Ashish Kumar"/>
    <s v="01/01/2022"/>
    <s v="Shipped"/>
    <s v="Compact with 1 Fan"/>
    <s v="Cabinet"/>
    <x v="5"/>
    <n v="1150"/>
    <n v="1495"/>
    <n v="2"/>
    <n v="2300"/>
    <n v="2990"/>
    <s v="Aarvi Gupta"/>
    <n v="2990"/>
  </r>
  <r>
    <s v="142746"/>
    <x v="33"/>
    <s v="Javed Akhter"/>
    <s v="01/01/2022"/>
    <s v="Order"/>
    <s v="USB Backlight Keyboard"/>
    <s v="Keyboard"/>
    <x v="6"/>
    <n v="850"/>
    <n v="1105"/>
    <n v="4"/>
    <n v="3400"/>
    <n v="4420"/>
    <s v="Vijay Singh"/>
    <n v="3315"/>
  </r>
  <r>
    <s v="142747"/>
    <x v="34"/>
    <s v="Haridas Balraj"/>
    <s v="01/01/2022"/>
    <s v="Processing"/>
    <s v="Ergonomic Mouse"/>
    <s v="Mouse"/>
    <x v="0"/>
    <n v="650"/>
    <n v="845"/>
    <n v="1"/>
    <n v="650"/>
    <n v="845"/>
    <s v="Aadil Khan"/>
    <n v="1690"/>
  </r>
  <r>
    <s v="142748"/>
    <x v="4"/>
    <s v="Kundan Kumar"/>
    <s v="01/01/2022"/>
    <s v="Delivered"/>
    <s v="15&quot; LCD Dsipaly"/>
    <s v="Monitor"/>
    <x v="6"/>
    <n v="7500"/>
    <n v="9750"/>
    <n v="3"/>
    <n v="22500"/>
    <n v="29250"/>
    <s v="Advika Joshi"/>
    <n v="9750"/>
  </r>
  <r>
    <s v="142749"/>
    <x v="5"/>
    <s v="Atif Siddiqui"/>
    <s v="01/01/2022"/>
    <s v="Shipped"/>
    <s v="101 TB HDD"/>
    <s v="HDD"/>
    <x v="7"/>
    <n v="10000"/>
    <n v="13000"/>
    <n v="1"/>
    <n v="10000"/>
    <n v="13000"/>
    <s v="Ajay Sharma"/>
    <n v="39000"/>
  </r>
  <r>
    <s v="142750"/>
    <x v="6"/>
    <s v="Aditya Agarwal"/>
    <s v="01/01/2022"/>
    <s v="Order"/>
    <s v="100 TB SSD"/>
    <s v="SSD"/>
    <x v="0"/>
    <n v="10500"/>
    <n v="13650"/>
    <n v="1"/>
    <n v="10500"/>
    <n v="13650"/>
    <s v="Roshan Kumar"/>
    <n v="8450"/>
  </r>
  <r>
    <s v="142751"/>
    <x v="7"/>
    <s v="Firdoush Jabee"/>
    <s v="01/01/2022"/>
    <s v="Processing"/>
    <s v="Intel i5 12th gen."/>
    <s v="CPU"/>
    <x v="1"/>
    <n v="8500"/>
    <n v="11050"/>
    <n v="3"/>
    <n v="25500"/>
    <n v="33150"/>
    <s v="Aarvi Gupta"/>
    <n v="33150"/>
  </r>
  <r>
    <s v="142752"/>
    <x v="26"/>
    <s v="Jay Prakash Kumar"/>
    <s v="01/01/2022"/>
    <s v="Delivered"/>
    <s v="2GB Graphic Card"/>
    <s v="Graphic Card"/>
    <x v="2"/>
    <n v="7000"/>
    <n v="9100"/>
    <n v="3"/>
    <n v="21000"/>
    <n v="27300"/>
    <s v="Vijay Singh"/>
    <n v="18200"/>
  </r>
  <r>
    <s v="142753"/>
    <x v="27"/>
    <s v="Ashish Pandey"/>
    <s v="01/01/2022"/>
    <s v="Shipped"/>
    <s v="103 GB DDR4 Ram"/>
    <s v="RAM"/>
    <x v="3"/>
    <n v="1680"/>
    <n v="2184"/>
    <n v="2"/>
    <n v="3360"/>
    <n v="4368"/>
    <s v="Aadil Khan"/>
    <n v="25545"/>
  </r>
  <r>
    <s v="142754"/>
    <x v="8"/>
    <s v="Ajay Sharma"/>
    <s v="01/01/2022"/>
    <s v="Order"/>
    <s v="Micro ATX motherboard"/>
    <s v="MotherBoard"/>
    <x v="8"/>
    <n v="6540"/>
    <n v="8502"/>
    <n v="2"/>
    <n v="13080"/>
    <n v="17004"/>
    <s v="Advika Joshi"/>
    <n v="39780"/>
  </r>
  <r>
    <s v="142755"/>
    <x v="9"/>
    <s v="Moinuddin Saifi"/>
    <s v="02/01/2022"/>
    <s v="Processing"/>
    <s v="Gaming Box Cabinet"/>
    <s v="Cabinet"/>
    <x v="5"/>
    <n v="2680"/>
    <n v="3484"/>
    <n v="4"/>
    <n v="10720"/>
    <n v="13936"/>
    <s v="Ajay Sharma"/>
    <n v="2990"/>
  </r>
  <r>
    <s v="142756"/>
    <x v="10"/>
    <s v="Ramkrishna Das Adhikary"/>
    <s v="03/01/2022"/>
    <s v="Delivered"/>
    <s v="17&quot; LCD Display"/>
    <s v="Monitor"/>
    <x v="0"/>
    <n v="8250"/>
    <n v="10725"/>
    <n v="3"/>
    <n v="24750"/>
    <n v="32175"/>
    <s v="Ajay Sharma"/>
    <n v="9750"/>
  </r>
  <r>
    <s v="142757"/>
    <x v="11"/>
    <s v="Ranjeet Mandal"/>
    <s v="04/01/2022"/>
    <s v="Shipped"/>
    <s v="107 GB DDR4 RAM"/>
    <s v="RAM"/>
    <x v="0"/>
    <n v="2650"/>
    <n v="3445"/>
    <n v="1"/>
    <n v="2650"/>
    <n v="3445"/>
    <s v="Roshan Kumar"/>
    <n v="25545"/>
  </r>
  <r>
    <s v="142758"/>
    <x v="12"/>
    <s v="Ashwini Adsare"/>
    <s v="05/01/2022"/>
    <s v="Order"/>
    <s v="26&quot; LCD Display"/>
    <s v="Monitor"/>
    <x v="9"/>
    <n v="12550"/>
    <n v="16315"/>
    <n v="3"/>
    <n v="37650"/>
    <n v="48945"/>
    <s v="Aarvi Gupta"/>
    <n v="9750"/>
  </r>
  <r>
    <s v="142759"/>
    <x v="13"/>
    <s v="Rajesh Variya"/>
    <s v="06/01/2022"/>
    <s v="Processing"/>
    <s v="I7 - intel 12th Generation"/>
    <s v="CPU"/>
    <x v="1"/>
    <n v="14500"/>
    <n v="18850"/>
    <n v="3"/>
    <n v="43500"/>
    <n v="56550"/>
    <s v="Vijay Singh"/>
    <n v="33150"/>
  </r>
  <r>
    <s v="142760"/>
    <x v="14"/>
    <s v="Amit Singh"/>
    <s v="07/01/2022"/>
    <s v="Delivered"/>
    <s v="USB Keyboard"/>
    <s v="Keyboard"/>
    <x v="6"/>
    <n v="800"/>
    <n v="1040"/>
    <n v="2"/>
    <n v="1600"/>
    <n v="2080"/>
    <s v="Aadil Khan"/>
    <n v="3315"/>
  </r>
  <r>
    <s v="142761"/>
    <x v="15"/>
    <s v="Vinod Mehta"/>
    <s v="08/01/2022"/>
    <s v="Shipped"/>
    <s v="Wireless Mouse"/>
    <s v="Mouse"/>
    <x v="0"/>
    <n v="600"/>
    <n v="780"/>
    <n v="3"/>
    <n v="1800"/>
    <n v="2340"/>
    <s v="Advika Joshi"/>
    <n v="1690"/>
  </r>
  <r>
    <s v="142762"/>
    <x v="16"/>
    <s v="Jignesh Mhatre"/>
    <s v="09/01/2022"/>
    <s v="Order"/>
    <s v="21&quot; LCD Display"/>
    <s v="Monitor"/>
    <x v="6"/>
    <n v="10500"/>
    <n v="13650"/>
    <n v="2"/>
    <n v="21000"/>
    <n v="27300"/>
    <s v="Ajay Sharma"/>
    <n v="9750"/>
  </r>
  <r>
    <s v="142763"/>
    <x v="17"/>
    <s v="Rahul Kashyap"/>
    <s v="10/01/2022"/>
    <s v="Processing"/>
    <s v="101 TB HDD"/>
    <s v="HDD"/>
    <x v="10"/>
    <n v="6500"/>
    <n v="8450"/>
    <n v="4"/>
    <n v="26000"/>
    <n v="33800"/>
    <s v="Roshan Kumar"/>
    <n v="39000"/>
  </r>
  <r>
    <s v="142764"/>
    <x v="18"/>
    <s v="Mohammed Abdul Kaleem"/>
    <s v="11/01/2022"/>
    <s v="Delivered"/>
    <s v="356 GB SSD"/>
    <s v="SSD"/>
    <x v="0"/>
    <n v="4500"/>
    <n v="5850"/>
    <n v="4"/>
    <n v="18000"/>
    <n v="23400"/>
    <s v="Aarvi Gupta"/>
    <n v="8450"/>
  </r>
  <r>
    <s v="142765"/>
    <x v="19"/>
    <s v="Chandrakant Kasbe"/>
    <s v="12/01/2022"/>
    <s v="Shipped"/>
    <s v="Intel i3 11th gen."/>
    <s v="CPU"/>
    <x v="1"/>
    <n v="8500"/>
    <n v="11050"/>
    <n v="2"/>
    <n v="17000"/>
    <n v="22100"/>
    <s v="Vijay Singh"/>
    <n v="33150"/>
  </r>
  <r>
    <s v="142766"/>
    <x v="20"/>
    <s v="Rohan Kale"/>
    <s v="12/01/2022"/>
    <s v="Order"/>
    <s v="4GB Graphic card"/>
    <s v="Graphic Card"/>
    <x v="2"/>
    <n v="12500"/>
    <n v="16250"/>
    <n v="2"/>
    <n v="25000"/>
    <n v="32500"/>
    <s v="Aadil Khan"/>
    <n v="18200"/>
  </r>
  <r>
    <s v="142767"/>
    <x v="16"/>
    <s v="Aniruddha Kekapure"/>
    <s v="12/01/2022"/>
    <s v="Processing"/>
    <s v="108 GB DDR4 RAM"/>
    <s v="Computer Case"/>
    <x v="3"/>
    <n v="3500"/>
    <n v="4550"/>
    <n v="2"/>
    <n v="7000"/>
    <n v="9100"/>
    <s v="Advika Joshi"/>
    <n v="13650"/>
  </r>
  <r>
    <s v="142768"/>
    <x v="17"/>
    <s v="Aslam Raza"/>
    <s v="12/01/2022"/>
    <s v="Delivered"/>
    <s v="BTX motherboard"/>
    <s v="Mouse"/>
    <x v="4"/>
    <n v="4500"/>
    <n v="5850"/>
    <n v="4"/>
    <n v="18000"/>
    <n v="23400"/>
    <s v="Ajay Sharma"/>
    <n v="1690"/>
  </r>
  <r>
    <s v="142769"/>
    <x v="27"/>
    <s v="Roshan Zameer"/>
    <s v="13/01/2022"/>
    <s v="Shipped"/>
    <s v="103 Fans Cabinet"/>
    <s v="Cabinet"/>
    <x v="5"/>
    <n v="2100"/>
    <n v="2730"/>
    <n v="1"/>
    <n v="2100"/>
    <n v="2730"/>
    <s v="Roshan Kumar"/>
    <n v="2990"/>
  </r>
  <r>
    <s v="142770"/>
    <x v="22"/>
    <s v="Rakesh Kumar Sharma"/>
    <s v="14/01/2022"/>
    <s v="Order"/>
    <s v="Wireless Keyboard"/>
    <s v="Keyboard"/>
    <x v="6"/>
    <n v="1150"/>
    <n v="1495"/>
    <n v="3"/>
    <n v="3450"/>
    <n v="4485"/>
    <s v="Aarvi Gupta"/>
    <n v="3315"/>
  </r>
  <r>
    <s v="142771"/>
    <x v="28"/>
    <s v="Shivanand Sahani"/>
    <s v="15/01/2022"/>
    <s v="Processing"/>
    <s v="USB Mouse"/>
    <s v="Mouse"/>
    <x v="0"/>
    <n v="350"/>
    <n v="455"/>
    <n v="2"/>
    <n v="700"/>
    <n v="910"/>
    <s v="Vijay Singh"/>
    <n v="1690"/>
  </r>
  <r>
    <s v="142772"/>
    <x v="29"/>
    <s v="Kunal Patra"/>
    <s v="16/01/2022"/>
    <s v="Delivered"/>
    <s v="19&quot; LED Display"/>
    <s v="Monitor"/>
    <x v="6"/>
    <n v="9500"/>
    <n v="12350"/>
    <n v="2"/>
    <n v="19000"/>
    <n v="24700"/>
    <s v="Aadil Khan"/>
    <n v="9750"/>
  </r>
  <r>
    <s v="142773"/>
    <x v="30"/>
    <s v="Bijendra"/>
    <s v="17/01/2022"/>
    <s v="Shipped"/>
    <s v="102 TB HDD"/>
    <s v="HDD"/>
    <x v="10"/>
    <n v="10000"/>
    <n v="13000"/>
    <n v="1"/>
    <n v="10000"/>
    <n v="13000"/>
    <s v="Advika Joshi"/>
    <n v="39000"/>
  </r>
  <r>
    <s v="142774"/>
    <x v="31"/>
    <s v="Kranti Bheke"/>
    <s v="18/01/2022"/>
    <s v="Order"/>
    <s v="612 GB M.2"/>
    <s v="SSD"/>
    <x v="0"/>
    <n v="6500"/>
    <n v="8450"/>
    <n v="2"/>
    <n v="13000"/>
    <n v="16900"/>
    <s v="Ajay Sharma"/>
    <n v="8450"/>
  </r>
  <r>
    <s v="142775"/>
    <x v="32"/>
    <s v="Jagdeep"/>
    <s v="19/01/2022"/>
    <s v="Processing"/>
    <s v="RYZEN 3rd gen. 3600"/>
    <s v="CPU"/>
    <x v="1"/>
    <n v="8500"/>
    <n v="11050"/>
    <n v="1"/>
    <n v="8500"/>
    <n v="11050"/>
    <s v="Roshan Kumar"/>
    <n v="33150"/>
  </r>
  <r>
    <s v="142776"/>
    <x v="0"/>
    <s v="Adhir Samal"/>
    <s v="20/01/2022"/>
    <s v="Delivered"/>
    <s v="2GB Graphic Card"/>
    <s v="Graphic Card"/>
    <x v="2"/>
    <n v="7000"/>
    <n v="9100"/>
    <n v="1"/>
    <n v="7000"/>
    <n v="9100"/>
    <s v="Aarvi Gupta"/>
    <n v="18200"/>
  </r>
  <r>
    <s v="142777"/>
    <x v="23"/>
    <s v="Dannana Jhammi"/>
    <s v="21/01/2022"/>
    <s v="Shipped"/>
    <s v="116 GB DDR4 RAM"/>
    <s v="Computer Case"/>
    <x v="3"/>
    <n v="6550"/>
    <n v="8515"/>
    <n v="1"/>
    <n v="6550"/>
    <n v="8515"/>
    <s v="Vijay Singh"/>
    <n v="13650"/>
  </r>
  <r>
    <s v="142778"/>
    <x v="1"/>
    <s v="Vipin Kumar"/>
    <s v="22/01/2022"/>
    <s v="Order"/>
    <s v="Standard ATX motherboard"/>
    <s v="Mouse"/>
    <x v="4"/>
    <n v="7650"/>
    <n v="9945"/>
    <n v="2"/>
    <n v="15300"/>
    <n v="19890"/>
    <s v="Aadil Khan"/>
    <n v="1690"/>
  </r>
  <r>
    <s v="142779"/>
    <x v="2"/>
    <s v="Ranjeet Kumar"/>
    <s v="23/01/2022"/>
    <s v="Processing"/>
    <s v="Compact with 1 Fan"/>
    <s v="Cabinet"/>
    <x v="5"/>
    <n v="1150"/>
    <n v="1495"/>
    <n v="1"/>
    <n v="1150"/>
    <n v="1495"/>
    <s v="Advika Joshi"/>
    <n v="2990"/>
  </r>
  <r>
    <s v="142780"/>
    <x v="3"/>
    <s v="Sajal Singhal"/>
    <s v="24/01/2022"/>
    <s v="Delivered"/>
    <s v="USB Backlight Keyboard"/>
    <s v="Keyboard"/>
    <x v="6"/>
    <n v="850"/>
    <n v="1105"/>
    <n v="2"/>
    <n v="1700"/>
    <n v="2210"/>
    <s v="Ajay Sharma"/>
    <n v="3315"/>
  </r>
  <r>
    <s v="142781"/>
    <x v="24"/>
    <s v="Akhilesh Kumar"/>
    <s v="25/01/2022"/>
    <s v="Shipped"/>
    <s v="Ergonomic Mouse"/>
    <s v="Mouse"/>
    <x v="0"/>
    <n v="650"/>
    <n v="845"/>
    <n v="2"/>
    <n v="1300"/>
    <n v="1690"/>
    <s v="Roshan Kumar"/>
    <n v="1690"/>
  </r>
  <r>
    <s v="142782"/>
    <x v="25"/>
    <s v="Suvankar Chakraborty"/>
    <s v="26/01/2022"/>
    <s v="Order"/>
    <s v="15&quot; LCD Dsipaly"/>
    <s v="Monitor"/>
    <x v="6"/>
    <n v="7500"/>
    <n v="9750"/>
    <n v="3"/>
    <n v="22500"/>
    <n v="29250"/>
    <s v="Aarvi Gupta"/>
    <n v="9750"/>
  </r>
  <r>
    <s v="142783"/>
    <x v="33"/>
    <s v="Suvankar Adhikary"/>
    <s v="27/01/2022"/>
    <s v="Processing"/>
    <s v="102 TB HDD"/>
    <s v="HDD"/>
    <x v="7"/>
    <n v="10000"/>
    <n v="13000"/>
    <n v="2"/>
    <n v="20000"/>
    <n v="26000"/>
    <s v="Vijay Singh"/>
    <n v="39000"/>
  </r>
  <r>
    <s v="142784"/>
    <x v="34"/>
    <s v="Rahul Kumar Prajapati"/>
    <s v="28/01/2022"/>
    <s v="Delivered"/>
    <s v="101 TB SSD"/>
    <s v="SSD"/>
    <x v="0"/>
    <n v="10500"/>
    <n v="13650"/>
    <n v="4"/>
    <n v="42000"/>
    <n v="54600"/>
    <s v="Aadil Khan"/>
    <n v="8450"/>
  </r>
  <r>
    <s v="142785"/>
    <x v="4"/>
    <s v="Sagar Jeur"/>
    <s v="29/01/2022"/>
    <s v="Shipped"/>
    <s v="Intel i5 12th gen."/>
    <s v="CPU"/>
    <x v="1"/>
    <n v="8500"/>
    <n v="11050"/>
    <n v="3"/>
    <n v="25500"/>
    <n v="33150"/>
    <s v="Advika Joshi"/>
    <n v="33150"/>
  </r>
  <r>
    <s v="142786"/>
    <x v="5"/>
    <s v="Rhushikesh Mane"/>
    <s v="30/01/2022"/>
    <s v="Order"/>
    <s v="2GB Graphic Card"/>
    <s v="Graphic Card"/>
    <x v="2"/>
    <n v="7000"/>
    <n v="9100"/>
    <n v="3"/>
    <n v="21000"/>
    <n v="27300"/>
    <s v="Ajay Sharma"/>
    <n v="18200"/>
  </r>
  <r>
    <s v="142787"/>
    <x v="6"/>
    <s v="Ashish Kumar"/>
    <s v="31/01/2022"/>
    <s v="Processing"/>
    <s v="104 GB DDR4 Ram"/>
    <s v="Computer Case"/>
    <x v="3"/>
    <n v="1680"/>
    <n v="2184"/>
    <n v="2"/>
    <n v="3360"/>
    <n v="4368"/>
    <s v="Roshan Kumar"/>
    <n v="13650"/>
  </r>
  <r>
    <s v="142788"/>
    <x v="7"/>
    <s v="Javed Akhter"/>
    <s v="01/02/2022"/>
    <s v="Delivered"/>
    <s v="Micro ATX motherboard"/>
    <s v="Mouse"/>
    <x v="8"/>
    <n v="6540"/>
    <n v="8502"/>
    <n v="1"/>
    <n v="6540"/>
    <n v="8502"/>
    <s v="Aarvi Gupta"/>
    <n v="1690"/>
  </r>
  <r>
    <s v="142789"/>
    <x v="26"/>
    <s v="Haridas Balraj"/>
    <s v="01/02/2022"/>
    <s v="Shipped"/>
    <s v="Gaming Box Cabinet"/>
    <s v="Cabinet"/>
    <x v="5"/>
    <n v="2680"/>
    <n v="3484"/>
    <n v="4"/>
    <n v="10720"/>
    <n v="13936"/>
    <s v="Vijay Singh"/>
    <n v="2990"/>
  </r>
  <r>
    <s v="142790"/>
    <x v="27"/>
    <s v="Kundan Kumar"/>
    <s v="02/02/2022"/>
    <s v="Order"/>
    <s v="17&quot; LCD Display"/>
    <s v="Monitor"/>
    <x v="0"/>
    <n v="8250"/>
    <n v="10725"/>
    <n v="2"/>
    <n v="16500"/>
    <n v="21450"/>
    <s v="Aadil Khan"/>
    <n v="9750"/>
  </r>
  <r>
    <s v="142791"/>
    <x v="8"/>
    <s v="Atif Siddiqui"/>
    <s v="03/02/2022"/>
    <s v="Processing"/>
    <s v="108 GB DDR4 RAM"/>
    <s v="RAM"/>
    <x v="0"/>
    <n v="2650"/>
    <n v="3445"/>
    <n v="1"/>
    <n v="2650"/>
    <n v="3445"/>
    <s v="Advika Joshi"/>
    <n v="25545"/>
  </r>
  <r>
    <s v="142792"/>
    <x v="9"/>
    <s v="Aditya Agarwal"/>
    <s v="03/02/2022"/>
    <s v="Delivered"/>
    <s v="26&quot; LCD Display"/>
    <s v="Monitor"/>
    <x v="9"/>
    <n v="12550"/>
    <n v="16315"/>
    <n v="2"/>
    <n v="25100"/>
    <n v="32630"/>
    <s v="Ajay Sharma"/>
    <n v="9750"/>
  </r>
  <r>
    <s v="142793"/>
    <x v="10"/>
    <s v="Firdoush Jabee"/>
    <s v="03/02/2022"/>
    <s v="Shipped"/>
    <s v="I7 - intel 12th Generation"/>
    <s v="CPU"/>
    <x v="1"/>
    <n v="14500"/>
    <n v="18850"/>
    <n v="2"/>
    <n v="29000"/>
    <n v="37700"/>
    <s v="Roshan Kumar"/>
    <n v="33150"/>
  </r>
  <r>
    <s v="142794"/>
    <x v="11"/>
    <s v="Jay Prakash Kumar"/>
    <s v="04/02/2022"/>
    <s v="Order"/>
    <s v="USB Keyboard"/>
    <s v="Keyboard"/>
    <x v="6"/>
    <n v="800"/>
    <n v="1040"/>
    <n v="2"/>
    <n v="1600"/>
    <n v="2080"/>
    <s v="Aarvi Gupta"/>
    <n v="3315"/>
  </r>
  <r>
    <s v="142795"/>
    <x v="12"/>
    <s v="Ashish Pandey"/>
    <s v="05/02/2022"/>
    <s v="Processing"/>
    <s v="Wireless Mouse"/>
    <s v="Mouse"/>
    <x v="0"/>
    <n v="600"/>
    <n v="780"/>
    <n v="2"/>
    <n v="1200"/>
    <n v="1560"/>
    <s v="Vijay Singh"/>
    <n v="1690"/>
  </r>
  <r>
    <s v="142796"/>
    <x v="13"/>
    <s v="Ajay Sharma"/>
    <s v="06/02/2022"/>
    <s v="Delivered"/>
    <s v="21&quot; LCD Display"/>
    <s v="Monitor"/>
    <x v="6"/>
    <n v="10500"/>
    <n v="13650"/>
    <n v="2"/>
    <n v="21000"/>
    <n v="27300"/>
    <s v="Aadil Khan"/>
    <n v="9750"/>
  </r>
  <r>
    <s v="142797"/>
    <x v="14"/>
    <s v="Moinuddin Saifi"/>
    <s v="07/02/2022"/>
    <s v="Shipped"/>
    <s v="102 TB HDD"/>
    <s v="HDD"/>
    <x v="10"/>
    <n v="6500"/>
    <n v="8450"/>
    <n v="2"/>
    <n v="13000"/>
    <n v="16900"/>
    <s v="Advika Joshi"/>
    <n v="39000"/>
  </r>
  <r>
    <s v="142798"/>
    <x v="15"/>
    <s v="Ramkrishna Das Adhikary"/>
    <s v="08/02/2022"/>
    <s v="Order"/>
    <s v="357 GB SSD"/>
    <s v="SSD"/>
    <x v="0"/>
    <n v="4500"/>
    <n v="5850"/>
    <n v="2"/>
    <n v="9000"/>
    <n v="11700"/>
    <s v="Ajay Sharma"/>
    <n v="8450"/>
  </r>
  <r>
    <s v="142799"/>
    <x v="16"/>
    <s v="Ranjeet Mandal"/>
    <s v="09/02/2022"/>
    <s v="Processing"/>
    <s v="Intel i3 11th gen."/>
    <s v="CPU"/>
    <x v="1"/>
    <n v="8500"/>
    <n v="11050"/>
    <n v="1"/>
    <n v="8500"/>
    <n v="11050"/>
    <s v="Roshan Kumar"/>
    <n v="33150"/>
  </r>
  <r>
    <s v="142800"/>
    <x v="17"/>
    <s v="Ashwini Adsare"/>
    <s v="10/02/2022"/>
    <s v="Delivered"/>
    <s v="4GB Graphic card"/>
    <s v="Graphic Card"/>
    <x v="2"/>
    <n v="12500"/>
    <n v="16250"/>
    <n v="2"/>
    <n v="25000"/>
    <n v="32500"/>
    <s v="Aarvi Gupta"/>
    <n v="18200"/>
  </r>
  <r>
    <s v="142801"/>
    <x v="18"/>
    <s v="Rajesh Variya"/>
    <s v="11/02/2022"/>
    <s v="Shipped"/>
    <s v="109 GB DDR4 RAM"/>
    <s v="NIC"/>
    <x v="3"/>
    <n v="3500"/>
    <n v="4550"/>
    <n v="2"/>
    <n v="7000"/>
    <n v="9100"/>
    <s v="Vijay Singh"/>
    <n v="9100"/>
  </r>
  <r>
    <s v="142802"/>
    <x v="19"/>
    <s v="Amit Singh"/>
    <s v="12/02/2022"/>
    <s v="Order"/>
    <s v="BTX motherboard"/>
    <s v="Printer"/>
    <x v="4"/>
    <n v="4500"/>
    <n v="5850"/>
    <n v="2"/>
    <n v="9000"/>
    <n v="11700"/>
    <s v="Aadil Khan"/>
    <n v="11700"/>
  </r>
  <r>
    <s v="142803"/>
    <x v="20"/>
    <s v="Vinod Mehta"/>
    <s v="13/02/2022"/>
    <s v="Processing"/>
    <s v="104 Fans Cabinet"/>
    <s v="Cabinet"/>
    <x v="5"/>
    <n v="2100"/>
    <n v="2730"/>
    <n v="3"/>
    <n v="6300"/>
    <n v="8190"/>
    <s v="Advika Joshi"/>
    <n v="2990"/>
  </r>
  <r>
    <s v="142804"/>
    <x v="16"/>
    <s v="Jignesh Mhatre"/>
    <s v="14/02/2022"/>
    <s v="Delivered"/>
    <s v="Wireless Keyboard"/>
    <s v="Keyboard"/>
    <x v="6"/>
    <n v="1150"/>
    <n v="1495"/>
    <n v="1"/>
    <n v="1150"/>
    <n v="1495"/>
    <s v="Ajay Sharma"/>
    <n v="3315"/>
  </r>
  <r>
    <s v="142805"/>
    <x v="17"/>
    <s v="Rahul Kashyap"/>
    <s v="15/02/2022"/>
    <s v="Shipped"/>
    <s v="USB Mouse"/>
    <s v="Mouse"/>
    <x v="0"/>
    <n v="350"/>
    <n v="455"/>
    <n v="3"/>
    <n v="1050"/>
    <n v="1365"/>
    <s v="Roshan Kumar"/>
    <n v="1690"/>
  </r>
  <r>
    <s v="142806"/>
    <x v="27"/>
    <s v="Mohammed Abdul Kaleem"/>
    <s v="16/02/2022"/>
    <s v="Order"/>
    <s v="19&quot; LED Display"/>
    <s v="Monitor"/>
    <x v="6"/>
    <n v="9500"/>
    <n v="12350"/>
    <n v="3"/>
    <n v="28500"/>
    <n v="37050"/>
    <s v="Aarvi Gupta"/>
    <n v="9750"/>
  </r>
  <r>
    <s v="142807"/>
    <x v="22"/>
    <s v="Chandrakant Kasbe"/>
    <s v="17/02/2022"/>
    <s v="Processing"/>
    <s v="103 TB HDD"/>
    <s v="HDD"/>
    <x v="10"/>
    <n v="10000"/>
    <n v="13000"/>
    <n v="3"/>
    <n v="30000"/>
    <n v="39000"/>
    <s v="Vijay Singh"/>
    <n v="39000"/>
  </r>
  <r>
    <s v="142808"/>
    <x v="28"/>
    <s v="Rohan Kale"/>
    <s v="18/02/2022"/>
    <s v="Delivered"/>
    <s v="613 GB M.2"/>
    <s v="SSD"/>
    <x v="0"/>
    <n v="6500"/>
    <n v="8450"/>
    <n v="4"/>
    <n v="26000"/>
    <n v="33800"/>
    <s v="Aadil Khan"/>
    <n v="8450"/>
  </r>
  <r>
    <s v="142809"/>
    <x v="29"/>
    <s v="Aniruddha Kekapure"/>
    <s v="19/02/2022"/>
    <s v="Shipped"/>
    <s v="RYZEN 3rd gen. 3601"/>
    <s v="CPU"/>
    <x v="1"/>
    <n v="8500"/>
    <n v="11050"/>
    <n v="4"/>
    <n v="34000"/>
    <n v="44200"/>
    <s v="Advika Joshi"/>
    <n v="33150"/>
  </r>
  <r>
    <s v="142810"/>
    <x v="30"/>
    <s v="Aslam Raza"/>
    <s v="19/02/2022"/>
    <s v="Order"/>
    <s v="2GB Graphic Card"/>
    <s v="Graphic Card"/>
    <x v="2"/>
    <n v="7000"/>
    <n v="9100"/>
    <n v="1"/>
    <n v="7000"/>
    <n v="9100"/>
    <s v="Ajay Sharma"/>
    <n v="18200"/>
  </r>
  <r>
    <s v="142811"/>
    <x v="31"/>
    <s v="Roshan Zameer"/>
    <s v="19/02/2022"/>
    <s v="Processing"/>
    <s v="117 GB DDR4 RAM"/>
    <s v="NIC"/>
    <x v="3"/>
    <n v="6550"/>
    <n v="8515"/>
    <n v="4"/>
    <n v="26200"/>
    <n v="34060"/>
    <s v="Roshan Kumar"/>
    <n v="9100"/>
  </r>
  <r>
    <s v="142812"/>
    <x v="32"/>
    <s v="Rakesh Kumar Sharma"/>
    <s v="19/02/2022"/>
    <s v="Delivered"/>
    <s v="Standard ATX motherboard"/>
    <s v="Printer"/>
    <x v="4"/>
    <n v="7650"/>
    <n v="9945"/>
    <n v="4"/>
    <n v="30600"/>
    <n v="39780"/>
    <s v="Aarvi Gupta"/>
    <n v="11700"/>
  </r>
  <r>
    <s v="142813"/>
    <x v="0"/>
    <s v="Shivanand Sahani"/>
    <s v="20/02/2022"/>
    <s v="Shipped"/>
    <s v="Compact with 1 Fan"/>
    <s v="Cabinet"/>
    <x v="5"/>
    <n v="1150"/>
    <n v="1495"/>
    <n v="4"/>
    <n v="4600"/>
    <n v="5980"/>
    <s v="Vijay Singh"/>
    <n v="2990"/>
  </r>
  <r>
    <s v="142814"/>
    <x v="23"/>
    <s v="Kunal Patra"/>
    <s v="21/02/2022"/>
    <s v="Order"/>
    <s v="USB Backlight Keyboard"/>
    <s v="Keyboard"/>
    <x v="6"/>
    <n v="850"/>
    <n v="1105"/>
    <n v="2"/>
    <n v="1700"/>
    <n v="2210"/>
    <s v="Aadil Khan"/>
    <n v="3315"/>
  </r>
  <r>
    <s v="142815"/>
    <x v="1"/>
    <s v="Bijendra"/>
    <s v="22/02/2022"/>
    <s v="Processing"/>
    <s v="Ergonomic Mouse"/>
    <s v="Mouse"/>
    <x v="0"/>
    <n v="650"/>
    <n v="845"/>
    <n v="1"/>
    <n v="650"/>
    <n v="845"/>
    <s v="Advika Joshi"/>
    <n v="1690"/>
  </r>
  <r>
    <s v="142816"/>
    <x v="2"/>
    <s v="Kranti Bheke"/>
    <s v="23/02/2022"/>
    <s v="Delivered"/>
    <s v="15&quot; LCD Dsipaly"/>
    <s v="Monitor"/>
    <x v="6"/>
    <n v="7500"/>
    <n v="9750"/>
    <n v="1"/>
    <n v="7500"/>
    <n v="9750"/>
    <s v="Ajay Sharma"/>
    <n v="9750"/>
  </r>
  <r>
    <s v="142817"/>
    <x v="3"/>
    <s v="Jagdeep"/>
    <s v="24/02/2022"/>
    <s v="Shipped"/>
    <s v="103 TB HDD"/>
    <s v="HDD"/>
    <x v="7"/>
    <n v="10000"/>
    <n v="13000"/>
    <n v="4"/>
    <n v="40000"/>
    <n v="52000"/>
    <s v="Roshan Kumar"/>
    <n v="39000"/>
  </r>
  <r>
    <s v="142818"/>
    <x v="24"/>
    <s v="Adhir Samal"/>
    <s v="25/02/2022"/>
    <s v="Order"/>
    <s v="102 TB SSD"/>
    <s v="SSD"/>
    <x v="0"/>
    <n v="10500"/>
    <n v="13650"/>
    <n v="4"/>
    <n v="42000"/>
    <n v="54600"/>
    <s v="Aarvi Gupta"/>
    <n v="8450"/>
  </r>
  <r>
    <s v="142819"/>
    <x v="25"/>
    <s v="Dannana Jhammi"/>
    <s v="26/02/2022"/>
    <s v="Processing"/>
    <s v="Intel i5 12th gen."/>
    <s v="CPU"/>
    <x v="1"/>
    <n v="8500"/>
    <n v="11050"/>
    <n v="1"/>
    <n v="8500"/>
    <n v="11050"/>
    <s v="Vijay Singh"/>
    <n v="33150"/>
  </r>
  <r>
    <s v="142820"/>
    <x v="33"/>
    <s v="Vipin Kumar"/>
    <s v="27/02/2022"/>
    <s v="Delivered"/>
    <s v="2GB Graphic Card"/>
    <s v="Graphic Card"/>
    <x v="2"/>
    <n v="7000"/>
    <n v="9100"/>
    <n v="3"/>
    <n v="21000"/>
    <n v="27300"/>
    <s v="Aadil Khan"/>
    <n v="18200"/>
  </r>
  <r>
    <s v="142821"/>
    <x v="34"/>
    <s v="Ranjeet Kumar"/>
    <s v="28/02/2022"/>
    <s v="Shipped"/>
    <s v="105 GB DDR4 Ram"/>
    <s v="NIC"/>
    <x v="3"/>
    <n v="1680"/>
    <n v="2184"/>
    <n v="2"/>
    <n v="3360"/>
    <n v="4368"/>
    <s v="Advika Joshi"/>
    <n v="9100"/>
  </r>
  <r>
    <s v="142822"/>
    <x v="4"/>
    <s v="Sajal Singhal"/>
    <s v="01/03/2022"/>
    <s v="Order"/>
    <s v="Micro ATX motherboard"/>
    <s v="Printer"/>
    <x v="8"/>
    <n v="6540"/>
    <n v="8502"/>
    <n v="4"/>
    <n v="26160"/>
    <n v="34008"/>
    <s v="Ajay Sharma"/>
    <n v="11700"/>
  </r>
  <r>
    <s v="142823"/>
    <x v="5"/>
    <s v="Akhilesh Kumar"/>
    <s v="02/03/2022"/>
    <s v="Processing"/>
    <s v="Gaming Box Cabinet"/>
    <s v="Cabinet"/>
    <x v="5"/>
    <n v="2680"/>
    <n v="3484"/>
    <n v="2"/>
    <n v="5360"/>
    <n v="6968"/>
    <s v="Roshan Kumar"/>
    <n v="2990"/>
  </r>
  <r>
    <s v="142824"/>
    <x v="6"/>
    <s v="Suvankar Chakraborty"/>
    <s v="03/03/2022"/>
    <s v="Delivered"/>
    <s v="17&quot; LCD Display"/>
    <s v="Monitor"/>
    <x v="0"/>
    <n v="8250"/>
    <n v="10725"/>
    <n v="1"/>
    <n v="8250"/>
    <n v="10725"/>
    <s v="Aarvi Gupta"/>
    <n v="9750"/>
  </r>
  <r>
    <s v="142825"/>
    <x v="7"/>
    <s v="Suvankar Adhikary"/>
    <s v="04/03/2022"/>
    <s v="Shipped"/>
    <s v="109 GB DDR4 RAM"/>
    <s v="RAM"/>
    <x v="0"/>
    <n v="2650"/>
    <n v="3445"/>
    <n v="3"/>
    <n v="7950"/>
    <n v="10335"/>
    <s v="Vijay Singh"/>
    <n v="25545"/>
  </r>
  <r>
    <s v="142826"/>
    <x v="26"/>
    <s v="Rahul Kumar Prajapati"/>
    <s v="05/03/2022"/>
    <s v="Order"/>
    <s v="26&quot; LCD Display"/>
    <s v="Monitor"/>
    <x v="9"/>
    <n v="12550"/>
    <n v="16315"/>
    <n v="4"/>
    <n v="50200"/>
    <n v="65260"/>
    <s v="Aadil Khan"/>
    <n v="9750"/>
  </r>
  <r>
    <s v="142827"/>
    <x v="27"/>
    <s v="Sagar Jeur"/>
    <s v="05/03/2022"/>
    <s v="Processing"/>
    <s v="I7 - intel 12th Generation"/>
    <s v="CPU"/>
    <x v="1"/>
    <n v="14500"/>
    <n v="18850"/>
    <n v="1"/>
    <n v="14500"/>
    <n v="18850"/>
    <s v="Advika Joshi"/>
    <n v="33150"/>
  </r>
  <r>
    <s v="142828"/>
    <x v="8"/>
    <s v="Rhushikesh Mane"/>
    <s v="06/03/2022"/>
    <s v="Delivered"/>
    <s v="USB Keyboard"/>
    <s v="Keyboard"/>
    <x v="6"/>
    <n v="800"/>
    <n v="1040"/>
    <n v="3"/>
    <n v="2400"/>
    <n v="3120"/>
    <s v="Ajay Sharma"/>
    <n v="3315"/>
  </r>
  <r>
    <s v="142829"/>
    <x v="9"/>
    <s v="Ashish Kumar"/>
    <s v="07/03/2022"/>
    <s v="Shipped"/>
    <s v="Wireless Mouse"/>
    <s v="Mouse"/>
    <x v="0"/>
    <n v="600"/>
    <n v="780"/>
    <n v="1"/>
    <n v="600"/>
    <n v="780"/>
    <s v="Roshan Kumar"/>
    <n v="1690"/>
  </r>
  <r>
    <s v="142830"/>
    <x v="10"/>
    <s v="Javed Akhter"/>
    <s v="07/03/2022"/>
    <s v="Order"/>
    <s v="21&quot; LCD Display"/>
    <s v="Monitor"/>
    <x v="6"/>
    <n v="10500"/>
    <n v="13650"/>
    <n v="1"/>
    <n v="10500"/>
    <n v="13650"/>
    <s v="Aarvi Gupta"/>
    <n v="9750"/>
  </r>
  <r>
    <s v="142831"/>
    <x v="11"/>
    <s v="Haridas Balraj"/>
    <s v="07/03/2022"/>
    <s v="Processing"/>
    <s v="103 TB HDD"/>
    <s v="HDD"/>
    <x v="10"/>
    <n v="6500"/>
    <n v="8450"/>
    <n v="1"/>
    <n v="6500"/>
    <n v="8450"/>
    <s v="Vijay Singh"/>
    <n v="39000"/>
  </r>
  <r>
    <s v="142832"/>
    <x v="12"/>
    <s v="Kundan Kumar"/>
    <s v="07/03/2022"/>
    <s v="Delivered"/>
    <s v="358 GB SSD"/>
    <s v="SSD"/>
    <x v="0"/>
    <n v="4500"/>
    <n v="5850"/>
    <n v="4"/>
    <n v="18000"/>
    <n v="23400"/>
    <s v="Aadil Khan"/>
    <n v="8450"/>
  </r>
  <r>
    <s v="142833"/>
    <x v="13"/>
    <s v="Atif Siddiqui"/>
    <s v="07/03/2022"/>
    <s v="Shipped"/>
    <s v="Intel i3 11th gen."/>
    <s v="CPU"/>
    <x v="1"/>
    <n v="8500"/>
    <n v="11050"/>
    <n v="2"/>
    <n v="17000"/>
    <n v="22100"/>
    <s v="Advika Joshi"/>
    <n v="33150"/>
  </r>
  <r>
    <s v="142834"/>
    <x v="14"/>
    <s v="Aditya Agarwal"/>
    <s v="07/03/2022"/>
    <s v="Order"/>
    <s v="4GB Graphic card"/>
    <s v="Graphic Card"/>
    <x v="2"/>
    <n v="12500"/>
    <n v="16250"/>
    <n v="4"/>
    <n v="50000"/>
    <n v="65000"/>
    <s v="Ajay Sharma"/>
    <n v="18200"/>
  </r>
  <r>
    <s v="142835"/>
    <x v="15"/>
    <s v="Firdoush Jabee"/>
    <s v="07/03/2022"/>
    <s v="Processing"/>
    <s v="110 GB DDR4 RAM"/>
    <s v="RAM"/>
    <x v="3"/>
    <n v="3500"/>
    <n v="4550"/>
    <n v="1"/>
    <n v="3500"/>
    <n v="4550"/>
    <s v="Roshan Kumar"/>
    <n v="25545"/>
  </r>
  <r>
    <s v="142836"/>
    <x v="16"/>
    <s v="Jay Prakash Kumar"/>
    <s v="08/03/2022"/>
    <s v="Delivered"/>
    <s v="BTX motherboard"/>
    <s v="MotherBoard"/>
    <x v="4"/>
    <n v="4500"/>
    <n v="5850"/>
    <n v="1"/>
    <n v="4500"/>
    <n v="5850"/>
    <s v="Aarvi Gupta"/>
    <n v="39780"/>
  </r>
  <r>
    <s v="142837"/>
    <x v="17"/>
    <s v="Ashish Pandey"/>
    <s v="09/03/2022"/>
    <s v="Shipped"/>
    <s v="105 Fans Cabinet"/>
    <s v="Cabinet"/>
    <x v="5"/>
    <n v="2100"/>
    <n v="2730"/>
    <n v="4"/>
    <n v="8400"/>
    <n v="10920"/>
    <s v="Vijay Singh"/>
    <n v="2990"/>
  </r>
  <r>
    <s v="142838"/>
    <x v="18"/>
    <s v="Ajay Sharma"/>
    <s v="10/03/2022"/>
    <s v="Order"/>
    <s v="Wireless Keyboard"/>
    <s v="Keyboard"/>
    <x v="6"/>
    <n v="1150"/>
    <n v="1495"/>
    <n v="2"/>
    <n v="2300"/>
    <n v="2990"/>
    <s v="Aadil Khan"/>
    <n v="3315"/>
  </r>
  <r>
    <s v="142839"/>
    <x v="19"/>
    <s v="Moinuddin Saifi"/>
    <s v="10/03/2022"/>
    <s v="Processing"/>
    <s v="USB Mouse"/>
    <s v="Mouse"/>
    <x v="0"/>
    <n v="350"/>
    <n v="455"/>
    <n v="4"/>
    <n v="1400"/>
    <n v="1820"/>
    <s v="Advika Joshi"/>
    <n v="1690"/>
  </r>
  <r>
    <s v="142840"/>
    <x v="20"/>
    <s v="Ramkrishna Das Adhikary"/>
    <s v="10/03/2022"/>
    <s v="Delivered"/>
    <s v="19&quot; LED Display"/>
    <s v="Monitor"/>
    <x v="6"/>
    <n v="9500"/>
    <n v="12350"/>
    <n v="4"/>
    <n v="38000"/>
    <n v="49400"/>
    <s v="Ajay Sharma"/>
    <n v="9750"/>
  </r>
  <r>
    <s v="142841"/>
    <x v="16"/>
    <s v="Ranjeet Mandal"/>
    <s v="10/03/2022"/>
    <s v="Shipped"/>
    <s v="104 TB HDD"/>
    <s v="HDD"/>
    <x v="10"/>
    <n v="10000"/>
    <n v="13000"/>
    <n v="3"/>
    <n v="30000"/>
    <n v="39000"/>
    <s v="Roshan Kumar"/>
    <n v="39000"/>
  </r>
  <r>
    <s v="142842"/>
    <x v="17"/>
    <s v="Ashwini Adsare"/>
    <s v="10/03/2022"/>
    <s v="Order"/>
    <s v="614 GB M.2"/>
    <s v="SSD"/>
    <x v="0"/>
    <n v="6500"/>
    <n v="8450"/>
    <n v="1"/>
    <n v="6500"/>
    <n v="8450"/>
    <s v="Aarvi Gupta"/>
    <n v="8450"/>
  </r>
  <r>
    <s v="142843"/>
    <x v="27"/>
    <s v="Rajesh Variya"/>
    <s v="10/03/2022"/>
    <s v="Processing"/>
    <s v="RYZEN 3rd gen. 3602"/>
    <s v="CPU"/>
    <x v="1"/>
    <n v="8500"/>
    <n v="11050"/>
    <n v="2"/>
    <n v="17000"/>
    <n v="22100"/>
    <s v="Vijay Singh"/>
    <n v="33150"/>
  </r>
  <r>
    <s v="142844"/>
    <x v="22"/>
    <s v="Amit Singh"/>
    <s v="10/03/2022"/>
    <s v="Delivered"/>
    <s v="2GB Graphic Card"/>
    <s v="Graphic Card"/>
    <x v="2"/>
    <n v="7000"/>
    <n v="9100"/>
    <n v="4"/>
    <n v="28000"/>
    <n v="36400"/>
    <s v="Aadil Khan"/>
    <n v="18200"/>
  </r>
  <r>
    <s v="142845"/>
    <x v="28"/>
    <s v="Vinod Mehta"/>
    <s v="10/03/2022"/>
    <s v="Shipped"/>
    <s v="118 GB DDR4 RAM"/>
    <s v="RAM"/>
    <x v="3"/>
    <n v="6550"/>
    <n v="8515"/>
    <n v="4"/>
    <n v="26200"/>
    <n v="34060"/>
    <s v="Advika Joshi"/>
    <n v="25545"/>
  </r>
  <r>
    <s v="142846"/>
    <x v="29"/>
    <s v="Jignesh Mhatre"/>
    <s v="10/03/2022"/>
    <s v="Order"/>
    <s v="Standard ATX motherboard"/>
    <s v="MotherBoard"/>
    <x v="4"/>
    <n v="7650"/>
    <n v="9945"/>
    <n v="3"/>
    <n v="22950"/>
    <n v="29835"/>
    <s v="Ajay Sharma"/>
    <n v="39780"/>
  </r>
  <r>
    <s v="142847"/>
    <x v="30"/>
    <s v="Rahul Kashyap"/>
    <s v="10/03/2022"/>
    <s v="Processing"/>
    <s v="Compact with 1 Fan"/>
    <s v="Cabinet"/>
    <x v="5"/>
    <n v="1150"/>
    <n v="1495"/>
    <n v="2"/>
    <n v="2300"/>
    <n v="2990"/>
    <s v="Roshan Kumar"/>
    <n v="2990"/>
  </r>
  <r>
    <s v="142848"/>
    <x v="31"/>
    <s v="Mohammed Abdul Kaleem"/>
    <s v="10/03/2022"/>
    <s v="Delivered"/>
    <s v="USB Backlight Keyboard"/>
    <s v="Keyboard"/>
    <x v="6"/>
    <n v="850"/>
    <n v="1105"/>
    <n v="2"/>
    <n v="1700"/>
    <n v="2210"/>
    <s v="Aarvi Gupta"/>
    <n v="3315"/>
  </r>
  <r>
    <s v="142849"/>
    <x v="32"/>
    <s v="Chandrakant Kasbe"/>
    <s v="11/03/2022"/>
    <s v="Shipped"/>
    <s v="Ergonomic Mouse"/>
    <s v="Mouse"/>
    <x v="0"/>
    <n v="650"/>
    <n v="845"/>
    <n v="2"/>
    <n v="1300"/>
    <n v="1690"/>
    <s v="Vijay Singh"/>
    <n v="1690"/>
  </r>
  <r>
    <s v="142850"/>
    <x v="0"/>
    <s v="Rohan Kale"/>
    <s v="12/03/2022"/>
    <s v="Order"/>
    <s v="15&quot; LCD Dsipaly"/>
    <s v="Monitor"/>
    <x v="6"/>
    <n v="7500"/>
    <n v="9750"/>
    <n v="1"/>
    <n v="7500"/>
    <n v="9750"/>
    <s v="Aadil Khan"/>
    <n v="9750"/>
  </r>
  <r>
    <s v="142851"/>
    <x v="23"/>
    <s v="Aniruddha Kekapure"/>
    <s v="13/03/2022"/>
    <s v="Processing"/>
    <s v="104 TB HDD"/>
    <s v="HDD"/>
    <x v="7"/>
    <n v="10000"/>
    <n v="13000"/>
    <n v="3"/>
    <n v="30000"/>
    <n v="39000"/>
    <s v="Advika Joshi"/>
    <n v="39000"/>
  </r>
  <r>
    <s v="142852"/>
    <x v="1"/>
    <s v="Aslam Raza"/>
    <s v="14/03/2022"/>
    <s v="Delivered"/>
    <s v="103 TB SSD"/>
    <s v="SSD"/>
    <x v="0"/>
    <n v="10500"/>
    <n v="13650"/>
    <n v="3"/>
    <n v="31500"/>
    <n v="40950"/>
    <s v="Ajay Sharma"/>
    <n v="8450"/>
  </r>
  <r>
    <s v="142853"/>
    <x v="2"/>
    <s v="Roshan Zameer"/>
    <s v="15/03/2022"/>
    <s v="Shipped"/>
    <s v="Intel i5 12th gen."/>
    <s v="CPU"/>
    <x v="1"/>
    <n v="8500"/>
    <n v="11050"/>
    <n v="4"/>
    <n v="34000"/>
    <n v="44200"/>
    <s v="Roshan Kumar"/>
    <n v="33150"/>
  </r>
  <r>
    <s v="142854"/>
    <x v="3"/>
    <s v="Rakesh Kumar Sharma"/>
    <s v="16/03/2022"/>
    <s v="Order"/>
    <s v="2GB Graphic Card"/>
    <s v="Graphic Card"/>
    <x v="2"/>
    <n v="7000"/>
    <n v="9100"/>
    <n v="4"/>
    <n v="28000"/>
    <n v="36400"/>
    <s v="Aarvi Gupta"/>
    <n v="18200"/>
  </r>
  <r>
    <s v="142855"/>
    <x v="24"/>
    <s v="Shivanand Sahani"/>
    <s v="17/03/2022"/>
    <s v="Processing"/>
    <s v="106 GB DDR4 Ram"/>
    <s v="RAM"/>
    <x v="3"/>
    <n v="1680"/>
    <n v="2184"/>
    <n v="2"/>
    <n v="3360"/>
    <n v="4368"/>
    <s v="Vijay Singh"/>
    <n v="25545"/>
  </r>
  <r>
    <s v="142856"/>
    <x v="25"/>
    <s v="Kunal Patra"/>
    <s v="18/03/2022"/>
    <s v="Delivered"/>
    <s v="Micro ATX motherboard"/>
    <s v="MotherBoard"/>
    <x v="8"/>
    <n v="6540"/>
    <n v="8502"/>
    <n v="4"/>
    <n v="26160"/>
    <n v="34008"/>
    <s v="Aadil Khan"/>
    <n v="39780"/>
  </r>
  <r>
    <s v="142857"/>
    <x v="33"/>
    <s v="Bijendra"/>
    <s v="18/03/2022"/>
    <s v="Shipped"/>
    <s v="Gaming Box Cabinet"/>
    <s v="Cabinet"/>
    <x v="5"/>
    <n v="2680"/>
    <n v="3484"/>
    <n v="2"/>
    <n v="5360"/>
    <n v="6968"/>
    <s v="Advika Joshi"/>
    <n v="2990"/>
  </r>
  <r>
    <s v="142858"/>
    <x v="34"/>
    <s v="Kranti Bheke"/>
    <s v="18/03/2022"/>
    <s v="Order"/>
    <s v="17&quot; LCD Display"/>
    <s v="Monitor"/>
    <x v="0"/>
    <n v="8250"/>
    <n v="10725"/>
    <n v="3"/>
    <n v="24750"/>
    <n v="32175"/>
    <s v="Ajay Sharma"/>
    <n v="9750"/>
  </r>
  <r>
    <s v="142859"/>
    <x v="4"/>
    <s v="Jagdeep"/>
    <s v="18/03/2022"/>
    <s v="Processing"/>
    <s v="110 GB DDR4 RAM"/>
    <s v="RAM"/>
    <x v="0"/>
    <n v="2650"/>
    <n v="3445"/>
    <n v="4"/>
    <n v="10600"/>
    <n v="13780"/>
    <s v="Roshan Kumar"/>
    <n v="25545"/>
  </r>
  <r>
    <s v="142860"/>
    <x v="5"/>
    <s v="Adhir Samal"/>
    <s v="18/03/2022"/>
    <s v="Delivered"/>
    <s v="26&quot; LCD Display"/>
    <s v="Monitor"/>
    <x v="9"/>
    <n v="12550"/>
    <n v="16315"/>
    <n v="4"/>
    <n v="50200"/>
    <n v="65260"/>
    <s v="Aarvi Gupta"/>
    <n v="9750"/>
  </r>
  <r>
    <s v="142861"/>
    <x v="6"/>
    <s v="Dannana Jhammi"/>
    <s v="18/03/2022"/>
    <s v="Shipped"/>
    <s v="I7 - intel 12th Generation"/>
    <s v="CPU"/>
    <x v="1"/>
    <n v="14500"/>
    <n v="18850"/>
    <n v="2"/>
    <n v="29000"/>
    <n v="37700"/>
    <s v="Vijay Singh"/>
    <n v="33150"/>
  </r>
  <r>
    <s v="142862"/>
    <x v="7"/>
    <s v="Vipin Kumar"/>
    <s v="18/03/2022"/>
    <s v="Order"/>
    <s v="USB Keyboard"/>
    <s v="Keyboard"/>
    <x v="6"/>
    <n v="800"/>
    <n v="1040"/>
    <n v="2"/>
    <n v="1600"/>
    <n v="2080"/>
    <s v="Aadil Khan"/>
    <n v="3315"/>
  </r>
  <r>
    <s v="142863"/>
    <x v="26"/>
    <s v="Ranjeet Kumar"/>
    <s v="19/03/2022"/>
    <s v="Processing"/>
    <s v="Wireless Mouse"/>
    <s v="Mouse"/>
    <x v="0"/>
    <n v="600"/>
    <n v="780"/>
    <n v="4"/>
    <n v="2400"/>
    <n v="3120"/>
    <s v="Advika Joshi"/>
    <n v="1690"/>
  </r>
  <r>
    <s v="142864"/>
    <x v="27"/>
    <s v="Sajal Singhal"/>
    <s v="19/03/2022"/>
    <s v="Delivered"/>
    <s v="21&quot; LCD Display"/>
    <s v="Monitor"/>
    <x v="6"/>
    <n v="10500"/>
    <n v="13650"/>
    <n v="2"/>
    <n v="21000"/>
    <n v="27300"/>
    <s v="Ajay Sharma"/>
    <n v="9750"/>
  </r>
  <r>
    <s v="142865"/>
    <x v="8"/>
    <s v="Akhilesh Kumar"/>
    <s v="19/03/2022"/>
    <s v="Shipped"/>
    <s v="104 TB HDD"/>
    <s v="HDD"/>
    <x v="10"/>
    <n v="6500"/>
    <n v="8450"/>
    <n v="2"/>
    <n v="13000"/>
    <n v="16900"/>
    <s v="Roshan Kumar"/>
    <n v="39000"/>
  </r>
  <r>
    <s v="142866"/>
    <x v="9"/>
    <s v="Suvankar Chakraborty"/>
    <s v="19/03/2022"/>
    <s v="Order"/>
    <s v="359 GB SSD"/>
    <s v="SSD"/>
    <x v="0"/>
    <n v="4500"/>
    <n v="5850"/>
    <n v="3"/>
    <n v="13500"/>
    <n v="17550"/>
    <s v="Aarvi Gupta"/>
    <n v="8450"/>
  </r>
  <r>
    <s v="142867"/>
    <x v="10"/>
    <s v="Suvankar Adhikary"/>
    <s v="19/03/2022"/>
    <s v="Processing"/>
    <s v="Intel i3 11th gen."/>
    <s v="CPU"/>
    <x v="1"/>
    <n v="8500"/>
    <n v="11050"/>
    <n v="3"/>
    <n v="25500"/>
    <n v="33150"/>
    <s v="Vijay Singh"/>
    <n v="33150"/>
  </r>
  <r>
    <s v="142868"/>
    <x v="11"/>
    <s v="Rahul Kumar Prajapati"/>
    <s v="19/03/2022"/>
    <s v="Delivered"/>
    <s v="4GB Graphic card"/>
    <s v="Graphic Card"/>
    <x v="2"/>
    <n v="12500"/>
    <n v="16250"/>
    <n v="3"/>
    <n v="37500"/>
    <n v="48750"/>
    <s v="Aadil Khan"/>
    <n v="18200"/>
  </r>
  <r>
    <s v="142869"/>
    <x v="12"/>
    <s v="Sagar Jeur"/>
    <s v="19/03/2022"/>
    <s v="Shipped"/>
    <s v="111 GB DDR4 RAM"/>
    <s v="Computer Case"/>
    <x v="3"/>
    <n v="3500"/>
    <n v="4550"/>
    <n v="2"/>
    <n v="7000"/>
    <n v="9100"/>
    <s v="Advika Joshi"/>
    <n v="13650"/>
  </r>
  <r>
    <s v="142870"/>
    <x v="13"/>
    <s v="Rhushikesh Mane"/>
    <s v="20/03/2022"/>
    <s v="Order"/>
    <s v="BTX motherboard"/>
    <s v="Mouse"/>
    <x v="4"/>
    <n v="4500"/>
    <n v="5850"/>
    <n v="3"/>
    <n v="13500"/>
    <n v="17550"/>
    <s v="Ajay Sharma"/>
    <n v="1690"/>
  </r>
  <r>
    <s v="142871"/>
    <x v="14"/>
    <s v="Ashish Kumar"/>
    <s v="21/03/2022"/>
    <s v="Processing"/>
    <s v="106 Fans Cabinet"/>
    <s v="Cabinet"/>
    <x v="5"/>
    <n v="2100"/>
    <n v="2730"/>
    <n v="2"/>
    <n v="4200"/>
    <n v="5460"/>
    <s v="Roshan Kumar"/>
    <n v="2990"/>
  </r>
  <r>
    <s v="142872"/>
    <x v="15"/>
    <s v="Javed Akhter"/>
    <s v="22/03/2022"/>
    <s v="Delivered"/>
    <s v="Wireless Keyboard"/>
    <s v="Keyboard"/>
    <x v="6"/>
    <n v="1150"/>
    <n v="1495"/>
    <n v="1"/>
    <n v="1150"/>
    <n v="1495"/>
    <s v="Aarvi Gupta"/>
    <n v="3315"/>
  </r>
  <r>
    <s v="142873"/>
    <x v="16"/>
    <s v="Haridas Balraj"/>
    <s v="23/03/2022"/>
    <s v="Shipped"/>
    <s v="USB Mouse"/>
    <s v="Mouse"/>
    <x v="0"/>
    <n v="350"/>
    <n v="455"/>
    <n v="2"/>
    <n v="700"/>
    <n v="910"/>
    <s v="Vijay Singh"/>
    <n v="1690"/>
  </r>
  <r>
    <s v="142874"/>
    <x v="17"/>
    <s v="Kundan Kumar"/>
    <s v="24/03/2022"/>
    <s v="Order"/>
    <s v="19&quot; LED Display"/>
    <s v="Monitor"/>
    <x v="6"/>
    <n v="9500"/>
    <n v="12350"/>
    <n v="2"/>
    <n v="19000"/>
    <n v="24700"/>
    <s v="Aadil Khan"/>
    <n v="9750"/>
  </r>
  <r>
    <s v="142875"/>
    <x v="18"/>
    <s v="Atif Siddiqui"/>
    <s v="24/03/2022"/>
    <s v="Processing"/>
    <s v="105 TB HDD"/>
    <s v="HDD"/>
    <x v="10"/>
    <n v="10000"/>
    <n v="13000"/>
    <n v="4"/>
    <n v="40000"/>
    <n v="52000"/>
    <s v="Advika Joshi"/>
    <n v="39000"/>
  </r>
  <r>
    <s v="142876"/>
    <x v="19"/>
    <s v="Aditya Agarwal"/>
    <s v="24/03/2022"/>
    <s v="Delivered"/>
    <s v="615 GB M.2"/>
    <s v="SSD"/>
    <x v="0"/>
    <n v="6500"/>
    <n v="8450"/>
    <n v="3"/>
    <n v="19500"/>
    <n v="25350"/>
    <s v="Ajay Sharma"/>
    <n v="8450"/>
  </r>
  <r>
    <s v="142877"/>
    <x v="20"/>
    <s v="Firdoush Jabee"/>
    <s v="24/03/2022"/>
    <s v="Shipped"/>
    <s v="RYZEN 3rd gen. 3603"/>
    <s v="CPU"/>
    <x v="1"/>
    <n v="8500"/>
    <n v="11050"/>
    <n v="4"/>
    <n v="34000"/>
    <n v="44200"/>
    <s v="Roshan Kumar"/>
    <n v="33150"/>
  </r>
  <r>
    <s v="142878"/>
    <x v="16"/>
    <s v="Jay Prakash Kumar"/>
    <s v="24/03/2022"/>
    <s v="Order"/>
    <s v="2GB Graphic Card"/>
    <s v="Graphic Card"/>
    <x v="2"/>
    <n v="7000"/>
    <n v="9100"/>
    <n v="4"/>
    <n v="28000"/>
    <n v="36400"/>
    <s v="Aarvi Gupta"/>
    <n v="18200"/>
  </r>
  <r>
    <s v="142879"/>
    <x v="17"/>
    <s v="Ashish Pandey"/>
    <s v="24/03/2022"/>
    <s v="Processing"/>
    <s v="119 GB DDR4 RAM"/>
    <s v="Computer Case"/>
    <x v="3"/>
    <n v="6550"/>
    <n v="8515"/>
    <n v="1"/>
    <n v="6550"/>
    <n v="8515"/>
    <s v="Vijay Singh"/>
    <n v="13650"/>
  </r>
  <r>
    <s v="142880"/>
    <x v="27"/>
    <s v="Ajay Sharma"/>
    <s v="24/03/2022"/>
    <s v="Delivered"/>
    <s v="Standard ATX motherboard"/>
    <s v="Mouse"/>
    <x v="4"/>
    <n v="7650"/>
    <n v="9945"/>
    <n v="2"/>
    <n v="15300"/>
    <n v="19890"/>
    <s v="Aadil Khan"/>
    <n v="1690"/>
  </r>
  <r>
    <s v="142881"/>
    <x v="22"/>
    <s v="Moinuddin Saifi"/>
    <s v="24/03/2022"/>
    <s v="Shipped"/>
    <s v="Compact with 1 Fan"/>
    <s v="Cabinet"/>
    <x v="5"/>
    <n v="1150"/>
    <n v="1495"/>
    <n v="1"/>
    <n v="1150"/>
    <n v="1495"/>
    <s v="Advika Joshi"/>
    <n v="2990"/>
  </r>
  <r>
    <s v="142882"/>
    <x v="28"/>
    <s v="Ramkrishna Das Adhikary"/>
    <s v="24/03/2022"/>
    <s v="Order"/>
    <s v="USB Backlight Keyboard"/>
    <s v="Keyboard"/>
    <x v="6"/>
    <n v="850"/>
    <n v="1105"/>
    <n v="3"/>
    <n v="2550"/>
    <n v="3315"/>
    <s v="Ajay Sharma"/>
    <n v="3315"/>
  </r>
  <r>
    <s v="142883"/>
    <x v="29"/>
    <s v="Ranjeet Mandal"/>
    <s v="25/03/2022"/>
    <s v="Processing"/>
    <s v="Ergonomic Mouse"/>
    <s v="Mouse"/>
    <x v="0"/>
    <n v="650"/>
    <n v="845"/>
    <n v="3"/>
    <n v="1950"/>
    <n v="2535"/>
    <s v="Roshan Kumar"/>
    <n v="1690"/>
  </r>
  <r>
    <s v="142884"/>
    <x v="30"/>
    <s v="Ashwini Adsare"/>
    <s v="25/03/2022"/>
    <s v="Delivered"/>
    <s v="15&quot; LCD Dsipaly"/>
    <s v="Monitor"/>
    <x v="6"/>
    <n v="7500"/>
    <n v="9750"/>
    <n v="3"/>
    <n v="22500"/>
    <n v="29250"/>
    <s v="Aarvi Gupta"/>
    <n v="9750"/>
  </r>
  <r>
    <s v="142885"/>
    <x v="31"/>
    <s v="Rajesh Variya"/>
    <s v="25/03/2022"/>
    <s v="Shipped"/>
    <s v="105 TB HDD"/>
    <s v="HDD"/>
    <x v="7"/>
    <n v="10000"/>
    <n v="13000"/>
    <n v="1"/>
    <n v="10000"/>
    <n v="13000"/>
    <s v="Vijay Singh"/>
    <n v="39000"/>
  </r>
  <r>
    <s v="142886"/>
    <x v="32"/>
    <s v="Amit Singh"/>
    <s v="25/03/2022"/>
    <s v="Order"/>
    <s v="104 TB SSD"/>
    <s v="SSD"/>
    <x v="0"/>
    <n v="10500"/>
    <n v="13650"/>
    <n v="4"/>
    <n v="42000"/>
    <n v="54600"/>
    <s v="Aadil Khan"/>
    <n v="8450"/>
  </r>
  <r>
    <s v="142887"/>
    <x v="0"/>
    <s v="Vinod Mehta"/>
    <s v="25/03/2022"/>
    <s v="Processing"/>
    <s v="Intel i5 12th gen."/>
    <s v="CPU"/>
    <x v="1"/>
    <n v="8500"/>
    <n v="11050"/>
    <n v="1"/>
    <n v="8500"/>
    <n v="11050"/>
    <s v="Advika Joshi"/>
    <n v="33150"/>
  </r>
  <r>
    <s v="142888"/>
    <x v="23"/>
    <s v="Jignesh Mhatre"/>
    <s v="25/03/2022"/>
    <s v="Delivered"/>
    <s v="2GB Graphic Card"/>
    <s v="Graphic Card"/>
    <x v="2"/>
    <n v="7000"/>
    <n v="9100"/>
    <n v="1"/>
    <n v="7000"/>
    <n v="9100"/>
    <s v="Ajay Sharma"/>
    <n v="18200"/>
  </r>
  <r>
    <s v="142889"/>
    <x v="1"/>
    <s v="Rahul Kashyap"/>
    <s v="25/03/2022"/>
    <s v="Shipped"/>
    <s v="107 GB DDR4 Ram"/>
    <s v="Computer Case"/>
    <x v="3"/>
    <n v="1680"/>
    <n v="2184"/>
    <n v="3"/>
    <n v="5040"/>
    <n v="6552"/>
    <s v="Roshan Kumar"/>
    <n v="13650"/>
  </r>
  <r>
    <s v="142890"/>
    <x v="2"/>
    <s v="Mohammed Abdul Kaleem"/>
    <s v="25/03/2022"/>
    <s v="Order"/>
    <s v="Micro ATX motherboard"/>
    <s v="Mouse"/>
    <x v="8"/>
    <n v="6540"/>
    <n v="8502"/>
    <n v="2"/>
    <n v="13080"/>
    <n v="17004"/>
    <s v="Aarvi Gupta"/>
    <n v="1690"/>
  </r>
  <r>
    <s v="142891"/>
    <x v="3"/>
    <s v="Chandrakant Kasbe"/>
    <s v="25/03/2022"/>
    <s v="Processing"/>
    <s v="Gaming Box Cabinet"/>
    <s v="Cabinet"/>
    <x v="5"/>
    <n v="2680"/>
    <n v="3484"/>
    <n v="2"/>
    <n v="5360"/>
    <n v="6968"/>
    <s v="Vijay Singh"/>
    <n v="2990"/>
  </r>
  <r>
    <s v="142892"/>
    <x v="24"/>
    <s v="Rohan Kale"/>
    <s v="26/03/2022"/>
    <s v="Delivered"/>
    <s v="17&quot; LCD Display"/>
    <s v="Monitor"/>
    <x v="0"/>
    <n v="8250"/>
    <n v="10725"/>
    <n v="1"/>
    <n v="8250"/>
    <n v="10725"/>
    <s v="Aadil Khan"/>
    <n v="9750"/>
  </r>
  <r>
    <s v="142893"/>
    <x v="25"/>
    <s v="Aniruddha Kekapure"/>
    <s v="26/03/2022"/>
    <s v="Shipped"/>
    <s v="111 GB DDR4 RAM"/>
    <s v="RAM"/>
    <x v="0"/>
    <n v="2650"/>
    <n v="3445"/>
    <n v="4"/>
    <n v="10600"/>
    <n v="13780"/>
    <s v="Advika Joshi"/>
    <n v="25545"/>
  </r>
  <r>
    <s v="142894"/>
    <x v="33"/>
    <s v="Aslam Raza"/>
    <s v="26/03/2022"/>
    <s v="Order"/>
    <s v="26&quot; LCD Display"/>
    <s v="Monitor"/>
    <x v="9"/>
    <n v="12550"/>
    <n v="16315"/>
    <n v="1"/>
    <n v="12550"/>
    <n v="16315"/>
    <s v="Ajay Sharma"/>
    <n v="9750"/>
  </r>
  <r>
    <s v="142895"/>
    <x v="34"/>
    <s v="Roshan Zameer"/>
    <s v="26/03/2022"/>
    <s v="Processing"/>
    <s v="I7 - intel 12th Generation"/>
    <s v="CPU"/>
    <x v="1"/>
    <n v="14500"/>
    <n v="18850"/>
    <n v="4"/>
    <n v="58000"/>
    <n v="75400"/>
    <s v="Roshan Kumar"/>
    <n v="33150"/>
  </r>
  <r>
    <s v="142896"/>
    <x v="4"/>
    <s v="Rakesh Kumar Sharma"/>
    <s v="26/03/2022"/>
    <s v="Delivered"/>
    <s v="USB Keyboard"/>
    <s v="Keyboard"/>
    <x v="6"/>
    <n v="800"/>
    <n v="1040"/>
    <n v="2"/>
    <n v="1600"/>
    <n v="2080"/>
    <s v="Aarvi Gupta"/>
    <n v="3315"/>
  </r>
  <r>
    <s v="142897"/>
    <x v="5"/>
    <s v="Shivanand Sahani"/>
    <s v="26/03/2022"/>
    <s v="Shipped"/>
    <s v="Wireless Mouse"/>
    <s v="Mouse"/>
    <x v="0"/>
    <n v="600"/>
    <n v="780"/>
    <n v="4"/>
    <n v="2400"/>
    <n v="3120"/>
    <s v="Vijay Singh"/>
    <n v="1690"/>
  </r>
  <r>
    <s v="142898"/>
    <x v="6"/>
    <s v="Kunal Patra"/>
    <s v="26/03/2022"/>
    <s v="Order"/>
    <s v="21&quot; LCD Display"/>
    <s v="Monitor"/>
    <x v="6"/>
    <n v="10500"/>
    <n v="13650"/>
    <n v="1"/>
    <n v="10500"/>
    <n v="13650"/>
    <s v="Aadil Khan"/>
    <n v="9750"/>
  </r>
  <r>
    <s v="142899"/>
    <x v="7"/>
    <s v="Bijendra"/>
    <s v="26/03/2022"/>
    <s v="Processing"/>
    <s v="105 TB HDD"/>
    <s v="HDD"/>
    <x v="10"/>
    <n v="6500"/>
    <n v="8450"/>
    <n v="4"/>
    <n v="26000"/>
    <n v="33800"/>
    <s v="Advika Joshi"/>
    <n v="39000"/>
  </r>
  <r>
    <s v="142900"/>
    <x v="26"/>
    <s v="Kranti Bheke"/>
    <s v="26/03/2022"/>
    <s v="Delivered"/>
    <s v="360 GB SSD"/>
    <s v="SSD"/>
    <x v="0"/>
    <n v="4500"/>
    <n v="5850"/>
    <n v="2"/>
    <n v="9000"/>
    <n v="11700"/>
    <s v="Ajay Sharma"/>
    <n v="8450"/>
  </r>
  <r>
    <s v="142901"/>
    <x v="27"/>
    <s v="Jagdeep"/>
    <s v="26/03/2022"/>
    <s v="Shipped"/>
    <s v="Intel i3 11th gen."/>
    <s v="CPU"/>
    <x v="1"/>
    <n v="8500"/>
    <n v="11050"/>
    <n v="2"/>
    <n v="17000"/>
    <n v="22100"/>
    <s v="Roshan Kumar"/>
    <n v="33150"/>
  </r>
  <r>
    <s v="142902"/>
    <x v="8"/>
    <s v="Adhir Samal"/>
    <s v="26/03/2022"/>
    <s v="Order"/>
    <s v="4GB Graphic card"/>
    <s v="Graphic Card"/>
    <x v="2"/>
    <n v="12500"/>
    <n v="16250"/>
    <n v="3"/>
    <n v="37500"/>
    <n v="48750"/>
    <s v="Aarvi Gupta"/>
    <n v="18200"/>
  </r>
  <r>
    <s v="142903"/>
    <x v="9"/>
    <s v="Dannana Jhammi"/>
    <s v="26/03/2022"/>
    <s v="Processing"/>
    <s v="112 GB DDR4 RAM"/>
    <s v="NIC"/>
    <x v="3"/>
    <n v="3500"/>
    <n v="4550"/>
    <n v="4"/>
    <n v="14000"/>
    <n v="18200"/>
    <s v="Vijay Singh"/>
    <n v="9100"/>
  </r>
  <r>
    <s v="142904"/>
    <x v="10"/>
    <s v="Vipin Kumar"/>
    <s v="26/03/2022"/>
    <s v="Delivered"/>
    <s v="BTX motherboard"/>
    <s v="Printer"/>
    <x v="4"/>
    <n v="4500"/>
    <n v="5850"/>
    <n v="4"/>
    <n v="18000"/>
    <n v="23400"/>
    <s v="Aadil Khan"/>
    <n v="11700"/>
  </r>
  <r>
    <s v="142905"/>
    <x v="11"/>
    <s v="Ranjeet Kumar"/>
    <s v="26/03/2022"/>
    <s v="Shipped"/>
    <s v="107 Fans Cabinet"/>
    <s v="Cabinet"/>
    <x v="5"/>
    <n v="2100"/>
    <n v="2730"/>
    <n v="2"/>
    <n v="4200"/>
    <n v="5460"/>
    <s v="Advika Joshi"/>
    <n v="2990"/>
  </r>
  <r>
    <s v="142906"/>
    <x v="12"/>
    <s v="Sajal Singhal"/>
    <s v="26/03/2022"/>
    <s v="Order"/>
    <s v="Wireless Keyboard"/>
    <s v="Keyboard"/>
    <x v="6"/>
    <n v="1150"/>
    <n v="1495"/>
    <n v="3"/>
    <n v="3450"/>
    <n v="4485"/>
    <s v="Ajay Sharma"/>
    <n v="3315"/>
  </r>
  <r>
    <s v="142907"/>
    <x v="13"/>
    <s v="Akhilesh Kumar"/>
    <s v="27/03/2022"/>
    <s v="Processing"/>
    <s v="USB Mouse"/>
    <s v="Mouse"/>
    <x v="0"/>
    <n v="350"/>
    <n v="455"/>
    <n v="4"/>
    <n v="1400"/>
    <n v="1820"/>
    <s v="Roshan Kumar"/>
    <n v="1690"/>
  </r>
  <r>
    <s v="142908"/>
    <x v="14"/>
    <s v="Suvankar Chakraborty"/>
    <s v="27/03/2022"/>
    <s v="Delivered"/>
    <s v="19&quot; LED Display"/>
    <s v="Monitor"/>
    <x v="6"/>
    <n v="9500"/>
    <n v="12350"/>
    <n v="1"/>
    <n v="9500"/>
    <n v="12350"/>
    <s v="Aarvi Gupta"/>
    <n v="9750"/>
  </r>
  <r>
    <s v="142909"/>
    <x v="15"/>
    <s v="Suvankar Adhikary"/>
    <s v="27/03/2022"/>
    <s v="Shipped"/>
    <s v="106 TB HDD"/>
    <s v="HDD"/>
    <x v="10"/>
    <n v="10000"/>
    <n v="13000"/>
    <n v="4"/>
    <n v="40000"/>
    <n v="52000"/>
    <s v="Vijay Singh"/>
    <n v="39000"/>
  </r>
  <r>
    <s v="142910"/>
    <x v="16"/>
    <s v="Rahul Kumar Prajapati"/>
    <s v="27/03/2022"/>
    <s v="Order"/>
    <s v="616 GB M.2"/>
    <s v="SSD"/>
    <x v="0"/>
    <n v="6500"/>
    <n v="8450"/>
    <n v="4"/>
    <n v="26000"/>
    <n v="33800"/>
    <s v="Aadil Khan"/>
    <n v="8450"/>
  </r>
  <r>
    <s v="142911"/>
    <x v="17"/>
    <s v="Sagar Jeur"/>
    <s v="27/03/2022"/>
    <s v="Processing"/>
    <s v="RYZEN 3rd gen. 3604"/>
    <s v="CPU"/>
    <x v="1"/>
    <n v="8500"/>
    <n v="11050"/>
    <n v="4"/>
    <n v="34000"/>
    <n v="44200"/>
    <s v="Advika Joshi"/>
    <n v="33150"/>
  </r>
  <r>
    <s v="142912"/>
    <x v="18"/>
    <s v="Rhushikesh Mane"/>
    <s v="27/03/2022"/>
    <s v="Delivered"/>
    <s v="2GB Graphic Card"/>
    <s v="Graphic Card"/>
    <x v="2"/>
    <n v="7000"/>
    <n v="9100"/>
    <n v="4"/>
    <n v="28000"/>
    <n v="36400"/>
    <s v="Ajay Sharma"/>
    <n v="18200"/>
  </r>
  <r>
    <s v="142913"/>
    <x v="19"/>
    <s v="Ashish Kumar"/>
    <s v="27/03/2022"/>
    <s v="Shipped"/>
    <s v="120 GB DDR4 RAM"/>
    <s v="NIC"/>
    <x v="3"/>
    <n v="6550"/>
    <n v="8515"/>
    <n v="4"/>
    <n v="26200"/>
    <n v="34060"/>
    <s v="Roshan Kumar"/>
    <n v="9100"/>
  </r>
  <r>
    <s v="142914"/>
    <x v="20"/>
    <s v="Javed Akhter"/>
    <s v="27/03/2022"/>
    <s v="Order"/>
    <s v="Standard ATX motherboard"/>
    <s v="Printer"/>
    <x v="4"/>
    <n v="7650"/>
    <n v="9945"/>
    <n v="2"/>
    <n v="15300"/>
    <n v="19890"/>
    <s v="Aarvi Gupta"/>
    <n v="11700"/>
  </r>
  <r>
    <s v="142915"/>
    <x v="16"/>
    <s v="Haridas Balraj"/>
    <s v="27/03/2022"/>
    <s v="Processing"/>
    <s v="Compact with 1 Fan"/>
    <s v="Cabinet"/>
    <x v="5"/>
    <n v="1150"/>
    <n v="1495"/>
    <n v="1"/>
    <n v="1150"/>
    <n v="1495"/>
    <s v="Vijay Singh"/>
    <n v="2990"/>
  </r>
  <r>
    <s v="142916"/>
    <x v="17"/>
    <s v="Kundan Kumar"/>
    <s v="27/03/2022"/>
    <s v="Delivered"/>
    <s v="USB Backlight Keyboard"/>
    <s v="Keyboard"/>
    <x v="6"/>
    <n v="850"/>
    <n v="1105"/>
    <n v="3"/>
    <n v="2550"/>
    <n v="3315"/>
    <s v="Aadil Khan"/>
    <n v="3315"/>
  </r>
  <r>
    <s v="142917"/>
    <x v="27"/>
    <s v="Atif Siddiqui"/>
    <s v="27/03/2022"/>
    <s v="Shipped"/>
    <s v="Ergonomic Mouse"/>
    <s v="Mouse"/>
    <x v="0"/>
    <n v="650"/>
    <n v="845"/>
    <n v="4"/>
    <n v="2600"/>
    <n v="3380"/>
    <s v="Advika Joshi"/>
    <n v="1690"/>
  </r>
  <r>
    <s v="142918"/>
    <x v="22"/>
    <s v="Aditya Agarwal"/>
    <s v="27/03/2022"/>
    <s v="Order"/>
    <s v="15&quot; LCD Dsipaly"/>
    <s v="Monitor"/>
    <x v="6"/>
    <n v="7500"/>
    <n v="9750"/>
    <n v="3"/>
    <n v="22500"/>
    <n v="29250"/>
    <s v="Ajay Sharma"/>
    <n v="9750"/>
  </r>
  <r>
    <s v="142919"/>
    <x v="28"/>
    <s v="Firdoush Jabee"/>
    <s v="27/03/2022"/>
    <s v="Processing"/>
    <s v="106 TB HDD"/>
    <s v="HDD"/>
    <x v="7"/>
    <n v="10000"/>
    <n v="13000"/>
    <n v="4"/>
    <n v="40000"/>
    <n v="52000"/>
    <s v="Roshan Kumar"/>
    <n v="39000"/>
  </r>
  <r>
    <s v="142920"/>
    <x v="29"/>
    <s v="Jay Prakash Kumar"/>
    <s v="27/03/2022"/>
    <s v="Delivered"/>
    <s v="105 TB SSD"/>
    <s v="SSD"/>
    <x v="0"/>
    <n v="10500"/>
    <n v="13650"/>
    <n v="3"/>
    <n v="31500"/>
    <n v="40950"/>
    <s v="Aarvi Gupta"/>
    <n v="8450"/>
  </r>
  <r>
    <s v="142921"/>
    <x v="30"/>
    <s v="Ashish Pandey"/>
    <s v="27/03/2022"/>
    <s v="Shipped"/>
    <s v="Intel i5 12th gen."/>
    <s v="CPU"/>
    <x v="1"/>
    <n v="8500"/>
    <n v="11050"/>
    <n v="3"/>
    <n v="25500"/>
    <n v="33150"/>
    <s v="Vijay Singh"/>
    <n v="33150"/>
  </r>
  <r>
    <s v="142922"/>
    <x v="31"/>
    <s v="Ajay Sharma"/>
    <s v="27/03/2022"/>
    <s v="Order"/>
    <s v="2GB Graphic Card"/>
    <s v="Graphic Card"/>
    <x v="2"/>
    <n v="7000"/>
    <n v="9100"/>
    <n v="3"/>
    <n v="21000"/>
    <n v="27300"/>
    <s v="Aadil Khan"/>
    <n v="18200"/>
  </r>
  <r>
    <s v="142923"/>
    <x v="32"/>
    <s v="Moinuddin Saifi"/>
    <s v="27/03/2022"/>
    <s v="Processing"/>
    <s v="108 GB DDR4 Ram"/>
    <s v="NIC"/>
    <x v="3"/>
    <n v="1680"/>
    <n v="2184"/>
    <n v="1"/>
    <n v="1680"/>
    <n v="2184"/>
    <s v="Advika Joshi"/>
    <n v="9100"/>
  </r>
  <r>
    <s v="142924"/>
    <x v="0"/>
    <s v="Ramkrishna Das Adhikary"/>
    <s v="27/03/2022"/>
    <s v="Delivered"/>
    <s v="Micro ATX motherboard"/>
    <s v="Printer"/>
    <x v="8"/>
    <n v="6540"/>
    <n v="8502"/>
    <n v="4"/>
    <n v="26160"/>
    <n v="34008"/>
    <s v="Ajay Sharma"/>
    <n v="11700"/>
  </r>
  <r>
    <s v="142925"/>
    <x v="23"/>
    <s v="Ranjeet Mandal"/>
    <s v="27/03/2022"/>
    <s v="Shipped"/>
    <s v="Gaming Box Cabinet"/>
    <s v="Cabinet"/>
    <x v="5"/>
    <n v="2680"/>
    <n v="3484"/>
    <n v="2"/>
    <n v="5360"/>
    <n v="6968"/>
    <s v="Roshan Kumar"/>
    <n v="2990"/>
  </r>
  <r>
    <s v="142926"/>
    <x v="1"/>
    <s v="Ashwini Adsare"/>
    <s v="27/03/2022"/>
    <s v="Order"/>
    <s v="17&quot; LCD Display"/>
    <s v="Monitor"/>
    <x v="0"/>
    <n v="8250"/>
    <n v="10725"/>
    <n v="3"/>
    <n v="24750"/>
    <n v="32175"/>
    <s v="Aarvi Gupta"/>
    <n v="9750"/>
  </r>
  <r>
    <s v="142927"/>
    <x v="2"/>
    <s v="Rajesh Variya"/>
    <s v="27/03/2022"/>
    <s v="Processing"/>
    <s v="112 GB DDR4 RAM"/>
    <s v="RAM"/>
    <x v="0"/>
    <n v="2650"/>
    <n v="3445"/>
    <n v="4"/>
    <n v="10600"/>
    <n v="13780"/>
    <s v="Vijay Singh"/>
    <n v="25545"/>
  </r>
  <r>
    <s v="142928"/>
    <x v="3"/>
    <s v="Amit Singh"/>
    <s v="27/03/2022"/>
    <s v="Delivered"/>
    <s v="26&quot; LCD Display"/>
    <s v="Monitor"/>
    <x v="9"/>
    <n v="12550"/>
    <n v="16315"/>
    <n v="3"/>
    <n v="37650"/>
    <n v="48945"/>
    <s v="Aadil Khan"/>
    <n v="9750"/>
  </r>
  <r>
    <s v="142929"/>
    <x v="24"/>
    <s v="Vinod Mehta"/>
    <s v="27/03/2022"/>
    <s v="Shipped"/>
    <s v="I7 - intel 12th Generation"/>
    <s v="CPU"/>
    <x v="1"/>
    <n v="14500"/>
    <n v="18850"/>
    <n v="3"/>
    <n v="43500"/>
    <n v="56550"/>
    <s v="Advika Joshi"/>
    <n v="33150"/>
  </r>
  <r>
    <s v="142930"/>
    <x v="25"/>
    <s v="Jignesh Mhatre"/>
    <s v="27/03/2022"/>
    <s v="Order"/>
    <s v="USB Keyboard"/>
    <s v="Keyboard"/>
    <x v="6"/>
    <n v="800"/>
    <n v="1040"/>
    <n v="3"/>
    <n v="2400"/>
    <n v="3120"/>
    <s v="Ajay Sharma"/>
    <n v="3315"/>
  </r>
  <r>
    <s v="142931"/>
    <x v="33"/>
    <s v="Rahul Kashyap"/>
    <s v="27/03/2022"/>
    <s v="Processing"/>
    <s v="Wireless Mouse"/>
    <s v="Mouse"/>
    <x v="0"/>
    <n v="600"/>
    <n v="780"/>
    <n v="1"/>
    <n v="600"/>
    <n v="780"/>
    <s v="Roshan Kumar"/>
    <n v="1690"/>
  </r>
  <r>
    <s v="142932"/>
    <x v="34"/>
    <s v="Mohammed Abdul Kaleem"/>
    <s v="27/03/2022"/>
    <s v="Delivered"/>
    <s v="21&quot; LCD Display"/>
    <s v="Monitor"/>
    <x v="6"/>
    <n v="10500"/>
    <n v="13650"/>
    <n v="3"/>
    <n v="31500"/>
    <n v="40950"/>
    <s v="Aarvi Gupta"/>
    <n v="9750"/>
  </r>
  <r>
    <s v="142933"/>
    <x v="4"/>
    <s v="Chandrakant Kasbe"/>
    <s v="27/03/2022"/>
    <s v="Shipped"/>
    <s v="106 TB HDD"/>
    <s v="HDD"/>
    <x v="10"/>
    <n v="6500"/>
    <n v="8450"/>
    <n v="2"/>
    <n v="13000"/>
    <n v="16900"/>
    <s v="Vijay Singh"/>
    <n v="39000"/>
  </r>
  <r>
    <s v="142934"/>
    <x v="5"/>
    <s v="Rohan Kale"/>
    <s v="27/03/2022"/>
    <s v="Order"/>
    <s v="361 GB SSD"/>
    <s v="SSD"/>
    <x v="0"/>
    <n v="4500"/>
    <n v="5850"/>
    <n v="2"/>
    <n v="9000"/>
    <n v="11700"/>
    <s v="Aadil Khan"/>
    <n v="8450"/>
  </r>
  <r>
    <s v="142935"/>
    <x v="6"/>
    <s v="Aniruddha Kekapure"/>
    <s v="27/03/2022"/>
    <s v="Processing"/>
    <s v="Intel i3 11th gen."/>
    <s v="CPU"/>
    <x v="1"/>
    <n v="8500"/>
    <n v="11050"/>
    <n v="3"/>
    <n v="25500"/>
    <n v="33150"/>
    <s v="Advika Joshi"/>
    <n v="33150"/>
  </r>
  <r>
    <s v="142936"/>
    <x v="7"/>
    <s v="Aslam Raza"/>
    <s v="27/03/2022"/>
    <s v="Delivered"/>
    <s v="4GB Graphic card"/>
    <s v="Graphic Card"/>
    <x v="2"/>
    <n v="12500"/>
    <n v="16250"/>
    <n v="1"/>
    <n v="12500"/>
    <n v="16250"/>
    <s v="Ajay Sharma"/>
    <n v="18200"/>
  </r>
  <r>
    <s v="142937"/>
    <x v="26"/>
    <s v="Roshan Zameer"/>
    <s v="27/03/2022"/>
    <s v="Shipped"/>
    <s v="113 GB DDR4 RAM"/>
    <s v="RAM"/>
    <x v="3"/>
    <n v="3500"/>
    <n v="4550"/>
    <n v="1"/>
    <n v="3500"/>
    <n v="4550"/>
    <s v="Roshan Kumar"/>
    <n v="25545"/>
  </r>
  <r>
    <s v="142938"/>
    <x v="27"/>
    <s v="Rakesh Kumar Sharma"/>
    <s v="27/03/2022"/>
    <s v="Order"/>
    <s v="BTX motherboard"/>
    <s v="MotherBoard"/>
    <x v="4"/>
    <n v="4500"/>
    <n v="5850"/>
    <n v="3"/>
    <n v="13500"/>
    <n v="17550"/>
    <s v="Aarvi Gupta"/>
    <n v="39780"/>
  </r>
  <r>
    <s v="142939"/>
    <x v="8"/>
    <s v="Shivanand Sahani"/>
    <s v="28/03/2022"/>
    <s v="Processing"/>
    <s v="108 Fans Cabinet"/>
    <s v="Cabinet"/>
    <x v="5"/>
    <n v="2100"/>
    <n v="2730"/>
    <n v="1"/>
    <n v="2100"/>
    <n v="2730"/>
    <s v="Vijay Singh"/>
    <n v="2990"/>
  </r>
  <r>
    <s v="142940"/>
    <x v="9"/>
    <s v="Kunal Patra"/>
    <s v="28/03/2022"/>
    <s v="Delivered"/>
    <s v="Wireless Keyboard"/>
    <s v="Keyboard"/>
    <x v="6"/>
    <n v="1150"/>
    <n v="1495"/>
    <n v="1"/>
    <n v="1150"/>
    <n v="1495"/>
    <s v="Aadil Khan"/>
    <n v="3315"/>
  </r>
  <r>
    <s v="142941"/>
    <x v="10"/>
    <s v="Bijendra"/>
    <s v="28/03/2022"/>
    <s v="Shipped"/>
    <s v="USB Mouse"/>
    <s v="Mouse"/>
    <x v="0"/>
    <n v="350"/>
    <n v="455"/>
    <n v="2"/>
    <n v="700"/>
    <n v="910"/>
    <s v="Advika Joshi"/>
    <n v="1690"/>
  </r>
  <r>
    <s v="142942"/>
    <x v="11"/>
    <s v="Kranti Bheke"/>
    <s v="28/03/2022"/>
    <s v="Order"/>
    <s v="19&quot; LED Display"/>
    <s v="Monitor"/>
    <x v="6"/>
    <n v="9500"/>
    <n v="12350"/>
    <n v="1"/>
    <n v="9500"/>
    <n v="12350"/>
    <s v="Ajay Sharma"/>
    <n v="9750"/>
  </r>
  <r>
    <s v="142943"/>
    <x v="12"/>
    <s v="Jagdeep"/>
    <s v="28/03/2022"/>
    <s v="Processing"/>
    <s v="107 TB HDD"/>
    <s v="HDD"/>
    <x v="10"/>
    <n v="10000"/>
    <n v="13000"/>
    <n v="4"/>
    <n v="40000"/>
    <n v="52000"/>
    <s v="Roshan Kumar"/>
    <n v="39000"/>
  </r>
  <r>
    <s v="142944"/>
    <x v="13"/>
    <s v="Adhir Samal"/>
    <s v="28/03/2022"/>
    <s v="Delivered"/>
    <s v="617 GB M.2"/>
    <s v="SSD"/>
    <x v="0"/>
    <n v="6500"/>
    <n v="8450"/>
    <n v="4"/>
    <n v="26000"/>
    <n v="33800"/>
    <s v="Aarvi Gupta"/>
    <n v="8450"/>
  </r>
  <r>
    <s v="142945"/>
    <x v="14"/>
    <s v="Dannana Jhammi"/>
    <s v="28/03/2022"/>
    <s v="Shipped"/>
    <s v="RYZEN 3rd gen. 3605"/>
    <s v="CPU"/>
    <x v="1"/>
    <n v="8500"/>
    <n v="11050"/>
    <n v="3"/>
    <n v="25500"/>
    <n v="33150"/>
    <s v="Vijay Singh"/>
    <n v="33150"/>
  </r>
  <r>
    <s v="142946"/>
    <x v="15"/>
    <s v="Vipin Kumar"/>
    <s v="28/03/2022"/>
    <s v="Order"/>
    <s v="2GB Graphic Card"/>
    <s v="Graphic Card"/>
    <x v="2"/>
    <n v="7000"/>
    <n v="9100"/>
    <n v="3"/>
    <n v="21000"/>
    <n v="27300"/>
    <s v="Aadil Khan"/>
    <n v="18200"/>
  </r>
  <r>
    <s v="142947"/>
    <x v="16"/>
    <s v="Ranjeet Kumar"/>
    <s v="28/03/2022"/>
    <s v="Processing"/>
    <s v="121 GB DDR4 RAM"/>
    <s v="RAM"/>
    <x v="3"/>
    <n v="6550"/>
    <n v="8515"/>
    <n v="1"/>
    <n v="6550"/>
    <n v="8515"/>
    <s v="Advika Joshi"/>
    <n v="25545"/>
  </r>
  <r>
    <s v="142948"/>
    <x v="17"/>
    <s v="Sajal Singhal"/>
    <s v="28/03/2022"/>
    <s v="Delivered"/>
    <s v="Standard ATX motherboard"/>
    <s v="MotherBoard"/>
    <x v="4"/>
    <n v="7650"/>
    <n v="9945"/>
    <n v="3"/>
    <n v="22950"/>
    <n v="29835"/>
    <s v="Ajay Sharma"/>
    <n v="39780"/>
  </r>
  <r>
    <s v="142949"/>
    <x v="18"/>
    <s v="Akhilesh Kumar"/>
    <s v="28/03/2022"/>
    <s v="Shipped"/>
    <s v="Compact with 1 Fan"/>
    <s v="Cabinet"/>
    <x v="5"/>
    <n v="1150"/>
    <n v="1495"/>
    <n v="2"/>
    <n v="2300"/>
    <n v="2990"/>
    <s v="Roshan Kumar"/>
    <n v="2990"/>
  </r>
  <r>
    <s v="142950"/>
    <x v="19"/>
    <s v="Suvankar Chakraborty"/>
    <s v="28/03/2022"/>
    <s v="Order"/>
    <s v="USB Backlight Keyboard"/>
    <s v="Keyboard"/>
    <x v="6"/>
    <n v="850"/>
    <n v="1105"/>
    <n v="4"/>
    <n v="3400"/>
    <n v="4420"/>
    <s v="Aarvi Gupta"/>
    <n v="3315"/>
  </r>
  <r>
    <s v="142951"/>
    <x v="20"/>
    <s v="Suvankar Adhikary"/>
    <s v="28/03/2022"/>
    <s v="Processing"/>
    <s v="Ergonomic Mouse"/>
    <s v="Mouse"/>
    <x v="0"/>
    <n v="650"/>
    <n v="845"/>
    <n v="4"/>
    <n v="2600"/>
    <n v="3380"/>
    <s v="Vijay Singh"/>
    <n v="1690"/>
  </r>
  <r>
    <s v="142952"/>
    <x v="16"/>
    <s v="Rahul Kumar Prajapati"/>
    <s v="28/03/2022"/>
    <s v="Delivered"/>
    <s v="15&quot; LCD Dsipaly"/>
    <s v="Monitor"/>
    <x v="6"/>
    <n v="7500"/>
    <n v="9750"/>
    <n v="2"/>
    <n v="15000"/>
    <n v="19500"/>
    <s v="Aadil Khan"/>
    <n v="9750"/>
  </r>
  <r>
    <s v="142953"/>
    <x v="17"/>
    <s v="Sagar Jeur"/>
    <s v="28/03/2022"/>
    <s v="Shipped"/>
    <s v="107 TB HDD"/>
    <s v="HDD"/>
    <x v="7"/>
    <n v="10000"/>
    <n v="13000"/>
    <n v="2"/>
    <n v="20000"/>
    <n v="26000"/>
    <s v="Advika Joshi"/>
    <n v="39000"/>
  </r>
  <r>
    <s v="142954"/>
    <x v="27"/>
    <s v="Rhushikesh Mane"/>
    <s v="28/03/2022"/>
    <s v="Order"/>
    <s v="106 TB SSD"/>
    <s v="SSD"/>
    <x v="0"/>
    <n v="10500"/>
    <n v="13650"/>
    <n v="2"/>
    <n v="21000"/>
    <n v="27300"/>
    <s v="Ajay Sharma"/>
    <n v="8450"/>
  </r>
  <r>
    <s v="142955"/>
    <x v="22"/>
    <s v="Ashish Kumar"/>
    <s v="28/03/2022"/>
    <s v="Processing"/>
    <s v="Intel i5 12th gen."/>
    <s v="CPU"/>
    <x v="1"/>
    <n v="8500"/>
    <n v="11050"/>
    <n v="4"/>
    <n v="34000"/>
    <n v="44200"/>
    <s v="Roshan Kumar"/>
    <n v="33150"/>
  </r>
  <r>
    <s v="142956"/>
    <x v="28"/>
    <s v="Javed Akhter"/>
    <s v="28/03/2022"/>
    <s v="Delivered"/>
    <s v="2GB Graphic Card"/>
    <s v="Graphic Card"/>
    <x v="2"/>
    <n v="7000"/>
    <n v="9100"/>
    <n v="2"/>
    <n v="14000"/>
    <n v="18200"/>
    <s v="Aarvi Gupta"/>
    <n v="18200"/>
  </r>
  <r>
    <s v="142957"/>
    <x v="29"/>
    <s v="Haridas Balraj"/>
    <s v="28/03/2022"/>
    <s v="Shipped"/>
    <s v="109 GB DDR4 Ram"/>
    <s v="RAM"/>
    <x v="3"/>
    <n v="1680"/>
    <n v="2184"/>
    <n v="3"/>
    <n v="5040"/>
    <n v="6552"/>
    <s v="Vijay Singh"/>
    <n v="25545"/>
  </r>
  <r>
    <s v="142958"/>
    <x v="30"/>
    <s v="Kundan Kumar"/>
    <s v="28/03/2022"/>
    <s v="Order"/>
    <s v="Micro ATX motherboard"/>
    <s v="MotherBoard"/>
    <x v="8"/>
    <n v="6540"/>
    <n v="8502"/>
    <n v="2"/>
    <n v="13080"/>
    <n v="17004"/>
    <s v="Aadil Khan"/>
    <n v="39780"/>
  </r>
  <r>
    <s v="142959"/>
    <x v="31"/>
    <s v="Atif Siddiqui"/>
    <s v="28/03/2022"/>
    <s v="Processing"/>
    <s v="Gaming Box Cabinet"/>
    <s v="Cabinet"/>
    <x v="5"/>
    <n v="2680"/>
    <n v="3484"/>
    <n v="3"/>
    <n v="8040"/>
    <n v="10452"/>
    <s v="Advika Joshi"/>
    <n v="2990"/>
  </r>
  <r>
    <s v="142960"/>
    <x v="32"/>
    <s v="Aditya Agarwal"/>
    <s v="28/03/2022"/>
    <s v="Delivered"/>
    <s v="17&quot; LCD Display"/>
    <s v="Monitor"/>
    <x v="0"/>
    <n v="8250"/>
    <n v="10725"/>
    <n v="2"/>
    <n v="16500"/>
    <n v="21450"/>
    <s v="Ajay Sharma"/>
    <n v="9750"/>
  </r>
  <r>
    <s v="142961"/>
    <x v="0"/>
    <s v="Firdoush Jabee"/>
    <s v="28/03/2022"/>
    <s v="Shipped"/>
    <s v="113 GB DDR4 RAM"/>
    <s v="RAM"/>
    <x v="0"/>
    <n v="2650"/>
    <n v="3445"/>
    <n v="3"/>
    <n v="7950"/>
    <n v="10335"/>
    <s v="Roshan Kumar"/>
    <n v="25545"/>
  </r>
  <r>
    <s v="142962"/>
    <x v="23"/>
    <s v="Jay Prakash Kumar"/>
    <s v="28/03/2022"/>
    <s v="Order"/>
    <s v="26&quot; LCD Display"/>
    <s v="Monitor"/>
    <x v="9"/>
    <n v="12550"/>
    <n v="16315"/>
    <n v="4"/>
    <n v="50200"/>
    <n v="65260"/>
    <s v="Aarvi Gupta"/>
    <n v="9750"/>
  </r>
  <r>
    <s v="142963"/>
    <x v="1"/>
    <s v="Ashish Pandey"/>
    <s v="28/03/2022"/>
    <s v="Processing"/>
    <s v="I7 - intel 12th Generation"/>
    <s v="CPU"/>
    <x v="1"/>
    <n v="14500"/>
    <n v="18850"/>
    <n v="3"/>
    <n v="43500"/>
    <n v="56550"/>
    <s v="Vijay Singh"/>
    <n v="33150"/>
  </r>
  <r>
    <s v="142964"/>
    <x v="2"/>
    <s v="Ajay Sharma"/>
    <s v="28/03/2022"/>
    <s v="Delivered"/>
    <s v="USB Keyboard"/>
    <s v="Keyboard"/>
    <x v="6"/>
    <n v="800"/>
    <n v="1040"/>
    <n v="3"/>
    <n v="2400"/>
    <n v="3120"/>
    <s v="Aadil Khan"/>
    <n v="3315"/>
  </r>
  <r>
    <s v="142965"/>
    <x v="3"/>
    <s v="Moinuddin Saifi"/>
    <s v="28/03/2022"/>
    <s v="Shipped"/>
    <s v="Wireless Mouse"/>
    <s v="Mouse"/>
    <x v="0"/>
    <n v="600"/>
    <n v="780"/>
    <n v="2"/>
    <n v="1200"/>
    <n v="1560"/>
    <s v="Advika Joshi"/>
    <n v="1690"/>
  </r>
  <r>
    <s v="142966"/>
    <x v="24"/>
    <s v="Ramkrishna Das Adhikary"/>
    <s v="28/03/2022"/>
    <s v="Order"/>
    <s v="21&quot; LCD Display"/>
    <s v="Monitor"/>
    <x v="6"/>
    <n v="10500"/>
    <n v="13650"/>
    <n v="2"/>
    <n v="21000"/>
    <n v="27300"/>
    <s v="Ajay Sharma"/>
    <n v="9750"/>
  </r>
  <r>
    <s v="142967"/>
    <x v="25"/>
    <s v="Ranjeet Mandal"/>
    <s v="28/03/2022"/>
    <s v="Processing"/>
    <s v="107 TB HDD"/>
    <s v="HDD"/>
    <x v="10"/>
    <n v="6500"/>
    <n v="8450"/>
    <n v="1"/>
    <n v="6500"/>
    <n v="8450"/>
    <s v="Roshan Kumar"/>
    <n v="39000"/>
  </r>
  <r>
    <s v="142968"/>
    <x v="33"/>
    <s v="Ashwini Adsare"/>
    <s v="28/03/2022"/>
    <s v="Delivered"/>
    <s v="362 GB SSD"/>
    <s v="SSD"/>
    <x v="0"/>
    <n v="4500"/>
    <n v="5850"/>
    <n v="2"/>
    <n v="9000"/>
    <n v="11700"/>
    <s v="Aarvi Gupta"/>
    <n v="8450"/>
  </r>
  <r>
    <s v="142969"/>
    <x v="34"/>
    <s v="Rajesh Variya"/>
    <s v="28/03/2022"/>
    <s v="Shipped"/>
    <s v="Intel i3 11th gen."/>
    <s v="CPU"/>
    <x v="1"/>
    <n v="8500"/>
    <n v="11050"/>
    <n v="2"/>
    <n v="17000"/>
    <n v="22100"/>
    <s v="Vijay Singh"/>
    <n v="33150"/>
  </r>
  <r>
    <s v="142970"/>
    <x v="4"/>
    <s v="Amit Singh"/>
    <s v="28/03/2022"/>
    <s v="Order"/>
    <s v="4GB Graphic card"/>
    <s v="Graphic Card"/>
    <x v="2"/>
    <n v="12500"/>
    <n v="16250"/>
    <n v="4"/>
    <n v="50000"/>
    <n v="65000"/>
    <s v="Aadil Khan"/>
    <n v="18200"/>
  </r>
  <r>
    <s v="142971"/>
    <x v="5"/>
    <s v="Vinod Mehta"/>
    <s v="28/03/2022"/>
    <s v="Processing"/>
    <s v="114 GB DDR4 RAM"/>
    <s v="Computer Case"/>
    <x v="3"/>
    <n v="3500"/>
    <n v="4550"/>
    <n v="2"/>
    <n v="7000"/>
    <n v="9100"/>
    <s v="Advika Joshi"/>
    <n v="13650"/>
  </r>
  <r>
    <s v="142972"/>
    <x v="6"/>
    <s v="Jignesh Mhatre"/>
    <s v="28/03/2022"/>
    <s v="Delivered"/>
    <s v="BTX motherboard"/>
    <s v="Mouse"/>
    <x v="4"/>
    <n v="4500"/>
    <n v="5850"/>
    <n v="4"/>
    <n v="18000"/>
    <n v="23400"/>
    <s v="Ajay Sharma"/>
    <n v="1690"/>
  </r>
  <r>
    <s v="142973"/>
    <x v="7"/>
    <s v="Rahul Kashyap"/>
    <s v="28/03/2022"/>
    <s v="Shipped"/>
    <s v="109 Fans Cabinet"/>
    <s v="Cabinet"/>
    <x v="5"/>
    <n v="2100"/>
    <n v="2730"/>
    <n v="1"/>
    <n v="2100"/>
    <n v="2730"/>
    <s v="Roshan Kumar"/>
    <n v="2990"/>
  </r>
  <r>
    <s v="142974"/>
    <x v="26"/>
    <s v="Mohammed Abdul Kaleem"/>
    <s v="28/03/2022"/>
    <s v="Order"/>
    <s v="Wireless Keyboard"/>
    <s v="Keyboard"/>
    <x v="6"/>
    <n v="1150"/>
    <n v="1495"/>
    <n v="4"/>
    <n v="4600"/>
    <n v="5980"/>
    <s v="Aarvi Gupta"/>
    <n v="3315"/>
  </r>
  <r>
    <s v="142975"/>
    <x v="27"/>
    <s v="Chandrakant Kasbe"/>
    <s v="28/03/2022"/>
    <s v="Processing"/>
    <s v="USB Mouse"/>
    <s v="Mouse"/>
    <x v="0"/>
    <n v="350"/>
    <n v="455"/>
    <n v="4"/>
    <n v="1400"/>
    <n v="1820"/>
    <s v="Vijay Singh"/>
    <n v="1690"/>
  </r>
  <r>
    <s v="142976"/>
    <x v="8"/>
    <s v="Rohan Kale"/>
    <s v="28/03/2022"/>
    <s v="Delivered"/>
    <s v="19&quot; LED Display"/>
    <s v="Monitor"/>
    <x v="6"/>
    <n v="9500"/>
    <n v="12350"/>
    <n v="2"/>
    <n v="19000"/>
    <n v="24700"/>
    <s v="Aadil Khan"/>
    <n v="9750"/>
  </r>
  <r>
    <s v="142977"/>
    <x v="9"/>
    <s v="Aniruddha Kekapure"/>
    <s v="29/03/2022"/>
    <s v="Shipped"/>
    <s v="108 TB HDD"/>
    <s v="HDD"/>
    <x v="10"/>
    <n v="10000"/>
    <n v="13000"/>
    <n v="4"/>
    <n v="40000"/>
    <n v="52000"/>
    <s v="Advika Joshi"/>
    <n v="39000"/>
  </r>
  <r>
    <s v="142978"/>
    <x v="10"/>
    <s v="Aslam Raza"/>
    <s v="29/03/2022"/>
    <s v="Order"/>
    <s v="618 GB M.2"/>
    <s v="SSD"/>
    <x v="0"/>
    <n v="6500"/>
    <n v="8450"/>
    <n v="3"/>
    <n v="19500"/>
    <n v="25350"/>
    <s v="Ajay Sharma"/>
    <n v="8450"/>
  </r>
  <r>
    <s v="142979"/>
    <x v="11"/>
    <s v="Roshan Zameer"/>
    <s v="29/03/2022"/>
    <s v="Processing"/>
    <s v="RYZEN 3rd gen. 3606"/>
    <s v="CPU"/>
    <x v="1"/>
    <n v="8500"/>
    <n v="11050"/>
    <n v="1"/>
    <n v="8500"/>
    <n v="11050"/>
    <s v="Roshan Kumar"/>
    <n v="33150"/>
  </r>
  <r>
    <s v="142980"/>
    <x v="12"/>
    <s v="Rakesh Kumar Sharma"/>
    <s v="29/03/2022"/>
    <s v="Delivered"/>
    <s v="2GB Graphic Card"/>
    <s v="Graphic Card"/>
    <x v="2"/>
    <n v="7000"/>
    <n v="9100"/>
    <n v="2"/>
    <n v="14000"/>
    <n v="18200"/>
    <s v="Aarvi Gupta"/>
    <n v="18200"/>
  </r>
  <r>
    <s v="142981"/>
    <x v="13"/>
    <s v="Shivanand Sahani"/>
    <s v="29/03/2022"/>
    <s v="Shipped"/>
    <s v="122 GB DDR4 RAM"/>
    <s v="Computer Case"/>
    <x v="3"/>
    <n v="6550"/>
    <n v="8515"/>
    <n v="2"/>
    <n v="13100"/>
    <n v="17030"/>
    <s v="Vijay Singh"/>
    <n v="13650"/>
  </r>
  <r>
    <s v="142982"/>
    <x v="14"/>
    <s v="Kunal Patra"/>
    <s v="29/03/2022"/>
    <s v="Order"/>
    <s v="Standard ATX motherboard"/>
    <s v="Mouse"/>
    <x v="4"/>
    <n v="7650"/>
    <n v="9945"/>
    <n v="3"/>
    <n v="22950"/>
    <n v="29835"/>
    <s v="Aadil Khan"/>
    <n v="1690"/>
  </r>
  <r>
    <s v="142983"/>
    <x v="15"/>
    <s v="Bijendra"/>
    <s v="29/03/2022"/>
    <s v="Processing"/>
    <s v="Compact with 1 Fan"/>
    <s v="Cabinet"/>
    <x v="5"/>
    <n v="1150"/>
    <n v="1495"/>
    <n v="1"/>
    <n v="1150"/>
    <n v="1495"/>
    <s v="Advika Joshi"/>
    <n v="2990"/>
  </r>
  <r>
    <s v="142984"/>
    <x v="16"/>
    <s v="Kranti Bheke"/>
    <s v="29/03/2022"/>
    <s v="Delivered"/>
    <s v="USB Backlight Keyboard"/>
    <s v="Keyboard"/>
    <x v="6"/>
    <n v="850"/>
    <n v="1105"/>
    <n v="3"/>
    <n v="2550"/>
    <n v="3315"/>
    <s v="Ajay Sharma"/>
    <n v="3315"/>
  </r>
  <r>
    <s v="142985"/>
    <x v="17"/>
    <s v="Jagdeep"/>
    <s v="29/03/2022"/>
    <s v="Shipped"/>
    <s v="Ergonomic Mouse"/>
    <s v="Mouse"/>
    <x v="0"/>
    <n v="650"/>
    <n v="845"/>
    <n v="1"/>
    <n v="650"/>
    <n v="845"/>
    <s v="Roshan Kumar"/>
    <n v="1690"/>
  </r>
  <r>
    <s v="142986"/>
    <x v="18"/>
    <s v="Adhir Samal"/>
    <s v="29/03/2022"/>
    <s v="Order"/>
    <s v="15&quot; LCD Dsipaly"/>
    <s v="Monitor"/>
    <x v="6"/>
    <n v="7500"/>
    <n v="9750"/>
    <n v="2"/>
    <n v="15000"/>
    <n v="19500"/>
    <s v="Aarvi Gupta"/>
    <n v="9750"/>
  </r>
  <r>
    <s v="142987"/>
    <x v="19"/>
    <s v="Dannana Jhammi"/>
    <s v="29/03/2022"/>
    <s v="Processing"/>
    <s v="108 TB HDD"/>
    <s v="HDD"/>
    <x v="7"/>
    <n v="10000"/>
    <n v="13000"/>
    <n v="4"/>
    <n v="40000"/>
    <n v="52000"/>
    <s v="Vijay Singh"/>
    <n v="39000"/>
  </r>
  <r>
    <s v="142988"/>
    <x v="20"/>
    <s v="Vipin Kumar"/>
    <s v="29/03/2022"/>
    <s v="Delivered"/>
    <s v="107 TB SSD"/>
    <s v="SSD"/>
    <x v="0"/>
    <n v="10500"/>
    <n v="13650"/>
    <n v="2"/>
    <n v="21000"/>
    <n v="27300"/>
    <s v="Aadil Khan"/>
    <n v="8450"/>
  </r>
  <r>
    <s v="142989"/>
    <x v="16"/>
    <s v="Ranjeet Kumar"/>
    <s v="29/03/2022"/>
    <s v="Shipped"/>
    <s v="Intel i5 12th gen."/>
    <s v="CPU"/>
    <x v="1"/>
    <n v="8500"/>
    <n v="11050"/>
    <n v="2"/>
    <n v="17000"/>
    <n v="22100"/>
    <s v="Advika Joshi"/>
    <n v="33150"/>
  </r>
  <r>
    <s v="142990"/>
    <x v="17"/>
    <s v="Sajal Singhal"/>
    <s v="29/03/2022"/>
    <s v="Order"/>
    <s v="2GB Graphic Card"/>
    <s v="Graphic Card"/>
    <x v="2"/>
    <n v="7000"/>
    <n v="9100"/>
    <n v="4"/>
    <n v="28000"/>
    <n v="36400"/>
    <s v="Ajay Sharma"/>
    <n v="18200"/>
  </r>
  <r>
    <s v="142991"/>
    <x v="27"/>
    <s v="Akhilesh Kumar"/>
    <s v="29/03/2022"/>
    <s v="Processing"/>
    <s v="110 GB DDR4 Ram"/>
    <s v="Computer Case"/>
    <x v="3"/>
    <n v="1680"/>
    <n v="2184"/>
    <n v="4"/>
    <n v="6720"/>
    <n v="8736"/>
    <s v="Roshan Kumar"/>
    <n v="13650"/>
  </r>
  <r>
    <s v="142992"/>
    <x v="22"/>
    <s v="Suvankar Chakraborty"/>
    <s v="29/03/2022"/>
    <s v="Delivered"/>
    <s v="Micro ATX motherboard"/>
    <s v="Mouse"/>
    <x v="8"/>
    <n v="6540"/>
    <n v="8502"/>
    <n v="2"/>
    <n v="13080"/>
    <n v="17004"/>
    <s v="Aarvi Gupta"/>
    <n v="1690"/>
  </r>
  <r>
    <s v="142993"/>
    <x v="28"/>
    <s v="Suvankar Adhikary"/>
    <s v="29/03/2022"/>
    <s v="Shipped"/>
    <s v="Gaming Box Cabinet"/>
    <s v="Cabinet"/>
    <x v="5"/>
    <n v="2680"/>
    <n v="3484"/>
    <n v="1"/>
    <n v="2680"/>
    <n v="3484"/>
    <s v="Vijay Singh"/>
    <n v="2990"/>
  </r>
  <r>
    <s v="142994"/>
    <x v="29"/>
    <s v="Rahul Kumar Prajapati"/>
    <s v="29/03/2022"/>
    <s v="Order"/>
    <s v="17&quot; LCD Display"/>
    <s v="Monitor"/>
    <x v="0"/>
    <n v="8250"/>
    <n v="10725"/>
    <n v="4"/>
    <n v="33000"/>
    <n v="42900"/>
    <s v="Aadil Khan"/>
    <n v="9750"/>
  </r>
  <r>
    <s v="142995"/>
    <x v="30"/>
    <s v="Sagar Jeur"/>
    <s v="29/03/2022"/>
    <s v="Processing"/>
    <s v="114 GB DDR4 RAM"/>
    <s v="RAM"/>
    <x v="0"/>
    <n v="2650"/>
    <n v="3445"/>
    <n v="1"/>
    <n v="2650"/>
    <n v="3445"/>
    <s v="Advika Joshi"/>
    <n v="25545"/>
  </r>
  <r>
    <s v="142996"/>
    <x v="31"/>
    <s v="Rhushikesh Mane"/>
    <s v="29/03/2022"/>
    <s v="Delivered"/>
    <s v="26&quot; LCD Display"/>
    <s v="Monitor"/>
    <x v="9"/>
    <n v="12550"/>
    <n v="16315"/>
    <n v="2"/>
    <n v="25100"/>
    <n v="32630"/>
    <s v="Ajay Sharma"/>
    <n v="9750"/>
  </r>
  <r>
    <s v="142997"/>
    <x v="32"/>
    <s v="Ashish Kumar"/>
    <s v="29/03/2022"/>
    <s v="Shipped"/>
    <s v="I7 - intel 12th Generation"/>
    <s v="CPU"/>
    <x v="1"/>
    <n v="14500"/>
    <n v="18850"/>
    <n v="1"/>
    <n v="14500"/>
    <n v="18850"/>
    <s v="Roshan Kumar"/>
    <n v="33150"/>
  </r>
  <r>
    <s v="142998"/>
    <x v="0"/>
    <s v="Javed Akhter"/>
    <s v="29/03/2022"/>
    <s v="Order"/>
    <s v="USB Keyboard"/>
    <s v="Keyboard"/>
    <x v="6"/>
    <n v="800"/>
    <n v="1040"/>
    <n v="3"/>
    <n v="2400"/>
    <n v="3120"/>
    <s v="Aarvi Gupta"/>
    <n v="3315"/>
  </r>
  <r>
    <s v="142999"/>
    <x v="23"/>
    <s v="Haridas Balraj"/>
    <s v="29/03/2022"/>
    <s v="Processing"/>
    <s v="Wireless Mouse"/>
    <s v="Mouse"/>
    <x v="0"/>
    <n v="600"/>
    <n v="780"/>
    <n v="4"/>
    <n v="2400"/>
    <n v="3120"/>
    <s v="Vijay Singh"/>
    <n v="1690"/>
  </r>
  <r>
    <s v="143000"/>
    <x v="1"/>
    <s v="Kundan Kumar"/>
    <s v="29/03/2022"/>
    <s v="Delivered"/>
    <s v="21&quot; LCD Display"/>
    <s v="Monitor"/>
    <x v="6"/>
    <n v="10500"/>
    <n v="13650"/>
    <n v="1"/>
    <n v="10500"/>
    <n v="13650"/>
    <s v="Aadil Khan"/>
    <n v="9750"/>
  </r>
  <r>
    <s v="143001"/>
    <x v="2"/>
    <s v="Atif Siddiqui"/>
    <s v="29/03/2022"/>
    <s v="Shipped"/>
    <s v="108 TB HDD"/>
    <s v="HDD"/>
    <x v="10"/>
    <n v="6500"/>
    <n v="8450"/>
    <n v="2"/>
    <n v="13000"/>
    <n v="16900"/>
    <s v="Advika Joshi"/>
    <n v="39000"/>
  </r>
  <r>
    <s v="143002"/>
    <x v="3"/>
    <s v="Aditya Agarwal"/>
    <s v="29/03/2022"/>
    <s v="Order"/>
    <s v="363 GB SSD"/>
    <s v="SSD"/>
    <x v="0"/>
    <n v="4500"/>
    <n v="5850"/>
    <n v="2"/>
    <n v="9000"/>
    <n v="11700"/>
    <s v="Ajay Sharma"/>
    <n v="8450"/>
  </r>
  <r>
    <s v="143003"/>
    <x v="24"/>
    <s v="Firdoush Jabee"/>
    <s v="29/03/2022"/>
    <s v="Processing"/>
    <s v="Intel i3 11th gen."/>
    <s v="CPU"/>
    <x v="1"/>
    <n v="8500"/>
    <n v="11050"/>
    <n v="3"/>
    <n v="25500"/>
    <n v="33150"/>
    <s v="Roshan Kumar"/>
    <n v="33150"/>
  </r>
  <r>
    <s v="143004"/>
    <x v="25"/>
    <s v="Jay Prakash Kumar"/>
    <s v="29/03/2022"/>
    <s v="Delivered"/>
    <s v="4GB Graphic card"/>
    <s v="Graphic Card"/>
    <x v="2"/>
    <n v="12500"/>
    <n v="16250"/>
    <n v="3"/>
    <n v="37500"/>
    <n v="48750"/>
    <s v="Aarvi Gupta"/>
    <n v="18200"/>
  </r>
  <r>
    <s v="143005"/>
    <x v="33"/>
    <s v="Ashish Pandey"/>
    <s v="29/03/2022"/>
    <s v="Shipped"/>
    <s v="115 GB DDR4 RAM"/>
    <s v="NIC"/>
    <x v="3"/>
    <n v="3500"/>
    <n v="4550"/>
    <n v="4"/>
    <n v="14000"/>
    <n v="18200"/>
    <s v="Vijay Singh"/>
    <n v="9100"/>
  </r>
  <r>
    <s v="143006"/>
    <x v="34"/>
    <s v="Ajay Sharma"/>
    <s v="29/03/2022"/>
    <s v="Order"/>
    <s v="BTX motherboard"/>
    <s v="Printer"/>
    <x v="4"/>
    <n v="4500"/>
    <n v="5850"/>
    <n v="1"/>
    <n v="4500"/>
    <n v="5850"/>
    <s v="Aadil Khan"/>
    <n v="11700"/>
  </r>
  <r>
    <s v="143007"/>
    <x v="4"/>
    <s v="Moinuddin Saifi"/>
    <s v="29/03/2022"/>
    <s v="Processing"/>
    <s v="110 Fans Cabinet"/>
    <s v="Cabinet"/>
    <x v="5"/>
    <n v="2100"/>
    <n v="2730"/>
    <n v="1"/>
    <n v="2100"/>
    <n v="2730"/>
    <s v="Advika Joshi"/>
    <n v="2990"/>
  </r>
  <r>
    <s v="143008"/>
    <x v="5"/>
    <s v="Ramkrishna Das Adhikary"/>
    <s v="29/03/2022"/>
    <s v="Delivered"/>
    <s v="Wireless Keyboard"/>
    <s v="Keyboard"/>
    <x v="6"/>
    <n v="1150"/>
    <n v="1495"/>
    <n v="3"/>
    <n v="3450"/>
    <n v="4485"/>
    <s v="Ajay Sharma"/>
    <n v="3315"/>
  </r>
  <r>
    <s v="143009"/>
    <x v="6"/>
    <s v="Ranjeet Mandal"/>
    <s v="29/03/2022"/>
    <s v="Shipped"/>
    <s v="USB Mouse"/>
    <s v="Mouse"/>
    <x v="0"/>
    <n v="350"/>
    <n v="455"/>
    <n v="2"/>
    <n v="700"/>
    <n v="910"/>
    <s v="Roshan Kumar"/>
    <n v="1690"/>
  </r>
  <r>
    <s v="143010"/>
    <x v="7"/>
    <s v="Ashwini Adsare"/>
    <s v="29/03/2022"/>
    <s v="Order"/>
    <s v="19&quot; LED Display"/>
    <s v="Monitor"/>
    <x v="6"/>
    <n v="9500"/>
    <n v="12350"/>
    <n v="1"/>
    <n v="9500"/>
    <n v="12350"/>
    <s v="Aarvi Gupta"/>
    <n v="9750"/>
  </r>
  <r>
    <s v="143011"/>
    <x v="26"/>
    <s v="Rajesh Variya"/>
    <s v="29/03/2022"/>
    <s v="Processing"/>
    <s v="109 TB HDD"/>
    <s v="HDD"/>
    <x v="10"/>
    <n v="10000"/>
    <n v="13000"/>
    <n v="2"/>
    <n v="20000"/>
    <n v="26000"/>
    <s v="Vijay Singh"/>
    <n v="39000"/>
  </r>
  <r>
    <s v="143012"/>
    <x v="27"/>
    <s v="Amit Singh"/>
    <s v="29/03/2022"/>
    <s v="Delivered"/>
    <s v="619 GB M.2"/>
    <s v="SSD"/>
    <x v="0"/>
    <n v="6500"/>
    <n v="8450"/>
    <n v="2"/>
    <n v="13000"/>
    <n v="16900"/>
    <s v="Aadil Khan"/>
    <n v="8450"/>
  </r>
  <r>
    <s v="143013"/>
    <x v="8"/>
    <s v="Vinod Mehta"/>
    <s v="29/03/2022"/>
    <s v="Shipped"/>
    <s v="RYZEN 3rd gen. 3607"/>
    <s v="CPU"/>
    <x v="1"/>
    <n v="8500"/>
    <n v="11050"/>
    <n v="1"/>
    <n v="8500"/>
    <n v="11050"/>
    <s v="Advika Joshi"/>
    <n v="33150"/>
  </r>
  <r>
    <s v="143014"/>
    <x v="9"/>
    <s v="Jignesh Mhatre"/>
    <s v="29/03/2022"/>
    <s v="Order"/>
    <s v="2GB Graphic Card"/>
    <s v="Graphic Card"/>
    <x v="2"/>
    <n v="7000"/>
    <n v="9100"/>
    <n v="1"/>
    <n v="7000"/>
    <n v="9100"/>
    <s v="Ajay Sharma"/>
    <n v="18200"/>
  </r>
  <r>
    <s v="143015"/>
    <x v="10"/>
    <s v="Rahul Kashyap"/>
    <s v="29/03/2022"/>
    <s v="Processing"/>
    <s v="123 GB DDR4 RAM"/>
    <s v="NIC"/>
    <x v="3"/>
    <n v="6550"/>
    <n v="8515"/>
    <n v="4"/>
    <n v="26200"/>
    <n v="34060"/>
    <s v="Roshan Kumar"/>
    <n v="9100"/>
  </r>
  <r>
    <s v="143016"/>
    <x v="11"/>
    <s v="Mohammed Abdul Kaleem"/>
    <s v="29/03/2022"/>
    <s v="Delivered"/>
    <s v="Standard ATX motherboard"/>
    <s v="Printer"/>
    <x v="4"/>
    <n v="7650"/>
    <n v="9945"/>
    <n v="2"/>
    <n v="15300"/>
    <n v="19890"/>
    <s v="Aarvi Gupta"/>
    <n v="11700"/>
  </r>
  <r>
    <s v="143017"/>
    <x v="12"/>
    <s v="Chandrakant Kasbe"/>
    <s v="29/03/2022"/>
    <s v="Shipped"/>
    <s v="Compact with 1 Fan"/>
    <s v="Cabinet"/>
    <x v="5"/>
    <n v="1150"/>
    <n v="1495"/>
    <n v="4"/>
    <n v="4600"/>
    <n v="5980"/>
    <s v="Vijay Singh"/>
    <n v="2990"/>
  </r>
  <r>
    <s v="143018"/>
    <x v="13"/>
    <s v="Rohan Kale"/>
    <s v="29/03/2022"/>
    <s v="Order"/>
    <s v="USB Backlight Keyboard"/>
    <s v="Keyboard"/>
    <x v="6"/>
    <n v="850"/>
    <n v="1105"/>
    <n v="1"/>
    <n v="850"/>
    <n v="1105"/>
    <s v="Aadil Khan"/>
    <n v="3315"/>
  </r>
  <r>
    <s v="143019"/>
    <x v="14"/>
    <s v="Aniruddha Kekapure"/>
    <s v="29/03/2022"/>
    <s v="Processing"/>
    <s v="Ergonomic Mouse"/>
    <s v="Mouse"/>
    <x v="0"/>
    <n v="650"/>
    <n v="845"/>
    <n v="3"/>
    <n v="1950"/>
    <n v="2535"/>
    <s v="Advika Joshi"/>
    <n v="1690"/>
  </r>
  <r>
    <s v="143020"/>
    <x v="15"/>
    <s v="Aslam Raza"/>
    <s v="29/03/2022"/>
    <s v="Delivered"/>
    <s v="15&quot; LCD Dsipaly"/>
    <s v="Monitor"/>
    <x v="6"/>
    <n v="7500"/>
    <n v="9750"/>
    <n v="1"/>
    <n v="7500"/>
    <n v="9750"/>
    <s v="Ajay Sharma"/>
    <n v="9750"/>
  </r>
  <r>
    <s v="143021"/>
    <x v="16"/>
    <s v="Roshan Zameer"/>
    <s v="29/03/2022"/>
    <s v="Shipped"/>
    <s v="109 TB HDD"/>
    <s v="HDD"/>
    <x v="7"/>
    <n v="10000"/>
    <n v="13000"/>
    <n v="3"/>
    <n v="30000"/>
    <n v="39000"/>
    <s v="Roshan Kumar"/>
    <n v="39000"/>
  </r>
  <r>
    <s v="143022"/>
    <x v="17"/>
    <s v="Rakesh Kumar Sharma"/>
    <s v="29/03/2022"/>
    <s v="Order"/>
    <s v="108 TB SSD"/>
    <s v="SSD"/>
    <x v="0"/>
    <n v="10500"/>
    <n v="13650"/>
    <n v="1"/>
    <n v="10500"/>
    <n v="13650"/>
    <s v="Aarvi Gupta"/>
    <n v="8450"/>
  </r>
  <r>
    <s v="143023"/>
    <x v="18"/>
    <s v="Shivanand Sahani"/>
    <s v="29/03/2022"/>
    <s v="Processing"/>
    <s v="Intel i5 12th gen."/>
    <s v="CPU"/>
    <x v="1"/>
    <n v="8500"/>
    <n v="11050"/>
    <n v="4"/>
    <n v="34000"/>
    <n v="44200"/>
    <s v="Vijay Singh"/>
    <n v="33150"/>
  </r>
  <r>
    <s v="143024"/>
    <x v="19"/>
    <s v="Kunal Patra"/>
    <s v="29/03/2022"/>
    <s v="Delivered"/>
    <s v="2GB Graphic Card"/>
    <s v="Graphic Card"/>
    <x v="2"/>
    <n v="7000"/>
    <n v="9100"/>
    <n v="3"/>
    <n v="21000"/>
    <n v="27300"/>
    <s v="Aadil Khan"/>
    <n v="18200"/>
  </r>
  <r>
    <s v="143025"/>
    <x v="20"/>
    <s v="Bijendra"/>
    <s v="29/03/2022"/>
    <s v="Shipped"/>
    <s v="111 GB DDR4 Ram"/>
    <s v="NIC"/>
    <x v="3"/>
    <n v="1680"/>
    <n v="2184"/>
    <n v="2"/>
    <n v="3360"/>
    <n v="4368"/>
    <s v="Advika Joshi"/>
    <n v="9100"/>
  </r>
  <r>
    <s v="143026"/>
    <x v="16"/>
    <s v="Kranti Bheke"/>
    <s v="29/03/2022"/>
    <s v="Order"/>
    <s v="Micro ATX motherboard"/>
    <s v="Printer"/>
    <x v="8"/>
    <n v="6540"/>
    <n v="8502"/>
    <n v="4"/>
    <n v="26160"/>
    <n v="34008"/>
    <s v="Ajay Sharma"/>
    <n v="11700"/>
  </r>
  <r>
    <s v="143027"/>
    <x v="17"/>
    <s v="Jagdeep"/>
    <s v="29/03/2022"/>
    <s v="Processing"/>
    <s v="Gaming Box Cabinet"/>
    <s v="Cabinet"/>
    <x v="5"/>
    <n v="2680"/>
    <n v="3484"/>
    <n v="4"/>
    <n v="10720"/>
    <n v="13936"/>
    <s v="Roshan Kumar"/>
    <n v="2990"/>
  </r>
  <r>
    <s v="143028"/>
    <x v="27"/>
    <s v="Adhir Samal"/>
    <s v="29/03/2022"/>
    <s v="Delivered"/>
    <s v="17&quot; LCD Display"/>
    <s v="Monitor"/>
    <x v="0"/>
    <n v="8250"/>
    <n v="10725"/>
    <n v="4"/>
    <n v="33000"/>
    <n v="42900"/>
    <s v="Aarvi Gupta"/>
    <n v="9750"/>
  </r>
  <r>
    <s v="143029"/>
    <x v="22"/>
    <s v="Dannana Jhammi"/>
    <s v="29/03/2022"/>
    <s v="Shipped"/>
    <s v="115 GB DDR4 RAM"/>
    <s v="RAM"/>
    <x v="0"/>
    <n v="2650"/>
    <n v="3445"/>
    <n v="4"/>
    <n v="10600"/>
    <n v="13780"/>
    <s v="Vijay Singh"/>
    <n v="25545"/>
  </r>
  <r>
    <s v="143030"/>
    <x v="28"/>
    <s v="Vipin Kumar"/>
    <s v="29/03/2022"/>
    <s v="Order"/>
    <s v="26&quot; LCD Display"/>
    <s v="Monitor"/>
    <x v="9"/>
    <n v="12550"/>
    <n v="16315"/>
    <n v="3"/>
    <n v="37650"/>
    <n v="48945"/>
    <s v="Aadil Khan"/>
    <n v="9750"/>
  </r>
  <r>
    <s v="143031"/>
    <x v="29"/>
    <s v="Ranjeet Kumar"/>
    <s v="29/03/2022"/>
    <s v="Processing"/>
    <s v="I7 - intel 12th Generation"/>
    <s v="CPU"/>
    <x v="1"/>
    <n v="14500"/>
    <n v="18850"/>
    <n v="3"/>
    <n v="43500"/>
    <n v="56550"/>
    <s v="Advika Joshi"/>
    <n v="33150"/>
  </r>
  <r>
    <s v="143032"/>
    <x v="30"/>
    <s v="Sajal Singhal"/>
    <s v="29/03/2022"/>
    <s v="Delivered"/>
    <s v="USB Keyboard"/>
    <s v="Keyboard"/>
    <x v="6"/>
    <n v="800"/>
    <n v="1040"/>
    <n v="1"/>
    <n v="800"/>
    <n v="1040"/>
    <s v="Ajay Sharma"/>
    <n v="3315"/>
  </r>
  <r>
    <s v="143033"/>
    <x v="31"/>
    <s v="Akhilesh Kumar"/>
    <s v="29/03/2022"/>
    <s v="Shipped"/>
    <s v="Wireless Mouse"/>
    <s v="Mouse"/>
    <x v="0"/>
    <n v="600"/>
    <n v="780"/>
    <n v="4"/>
    <n v="2400"/>
    <n v="3120"/>
    <s v="Roshan Kumar"/>
    <n v="1690"/>
  </r>
  <r>
    <s v="143034"/>
    <x v="32"/>
    <s v="Suvankar Chakraborty"/>
    <s v="29/03/2022"/>
    <s v="Order"/>
    <s v="21&quot; LCD Display"/>
    <s v="Monitor"/>
    <x v="6"/>
    <n v="10500"/>
    <n v="13650"/>
    <n v="3"/>
    <n v="31500"/>
    <n v="40950"/>
    <s v="Aarvi Gupta"/>
    <n v="9750"/>
  </r>
  <r>
    <s v="143035"/>
    <x v="0"/>
    <s v="Suvankar Adhikary"/>
    <s v="29/03/2022"/>
    <s v="Processing"/>
    <s v="109 TB HDD"/>
    <s v="HDD"/>
    <x v="10"/>
    <n v="6500"/>
    <n v="8450"/>
    <n v="3"/>
    <n v="19500"/>
    <n v="25350"/>
    <s v="Vijay Singh"/>
    <n v="39000"/>
  </r>
  <r>
    <s v="143036"/>
    <x v="23"/>
    <s v="Rahul Kumar Prajapati"/>
    <s v="29/03/2022"/>
    <s v="Delivered"/>
    <s v="364 GB SSD"/>
    <s v="SSD"/>
    <x v="0"/>
    <n v="4500"/>
    <n v="5850"/>
    <n v="3"/>
    <n v="13500"/>
    <n v="17550"/>
    <s v="Aadil Khan"/>
    <n v="8450"/>
  </r>
  <r>
    <s v="143037"/>
    <x v="1"/>
    <s v="Sagar Jeur"/>
    <s v="29/03/2022"/>
    <s v="Shipped"/>
    <s v="Intel i3 11th gen."/>
    <s v="CPU"/>
    <x v="1"/>
    <n v="8500"/>
    <n v="11050"/>
    <n v="4"/>
    <n v="34000"/>
    <n v="44200"/>
    <s v="Advika Joshi"/>
    <n v="33150"/>
  </r>
  <r>
    <s v="143038"/>
    <x v="2"/>
    <s v="Rhushikesh Mane"/>
    <s v="29/03/2022"/>
    <s v="Order"/>
    <s v="4GB Graphic card"/>
    <s v="Graphic Card"/>
    <x v="2"/>
    <n v="12500"/>
    <n v="16250"/>
    <n v="2"/>
    <n v="25000"/>
    <n v="32500"/>
    <s v="Ajay Sharma"/>
    <n v="18200"/>
  </r>
  <r>
    <s v="143039"/>
    <x v="3"/>
    <s v="Ashish Kumar"/>
    <s v="29/03/2022"/>
    <s v="Processing"/>
    <s v="116 GB DDR4 RAM"/>
    <s v="RAM"/>
    <x v="3"/>
    <n v="3500"/>
    <n v="4550"/>
    <n v="3"/>
    <n v="10500"/>
    <n v="13650"/>
    <s v="Roshan Kumar"/>
    <n v="25545"/>
  </r>
  <r>
    <s v="143040"/>
    <x v="24"/>
    <s v="Javed Akhter"/>
    <s v="29/03/2022"/>
    <s v="Delivered"/>
    <s v="BTX motherboard"/>
    <s v="MotherBoard"/>
    <x v="4"/>
    <n v="4500"/>
    <n v="5850"/>
    <n v="1"/>
    <n v="4500"/>
    <n v="5850"/>
    <s v="Aarvi Gupta"/>
    <n v="39780"/>
  </r>
  <r>
    <s v="143041"/>
    <x v="25"/>
    <s v="Haridas Balraj"/>
    <s v="29/03/2022"/>
    <s v="Shipped"/>
    <s v="111 Fans Cabinet"/>
    <s v="Cabinet"/>
    <x v="5"/>
    <n v="2100"/>
    <n v="2730"/>
    <n v="1"/>
    <n v="2100"/>
    <n v="2730"/>
    <s v="Vijay Singh"/>
    <n v="2990"/>
  </r>
  <r>
    <s v="143042"/>
    <x v="33"/>
    <s v="Kundan Kumar"/>
    <s v="29/03/2022"/>
    <s v="Order"/>
    <s v="Wireless Keyboard"/>
    <s v="Keyboard"/>
    <x v="6"/>
    <n v="1150"/>
    <n v="1495"/>
    <n v="3"/>
    <n v="3450"/>
    <n v="4485"/>
    <s v="Aadil Khan"/>
    <n v="3315"/>
  </r>
  <r>
    <s v="143043"/>
    <x v="34"/>
    <s v="Atif Siddiqui"/>
    <s v="29/03/2022"/>
    <s v="Processing"/>
    <s v="USB Mouse"/>
    <s v="Mouse"/>
    <x v="0"/>
    <n v="350"/>
    <n v="455"/>
    <n v="3"/>
    <n v="1050"/>
    <n v="1365"/>
    <s v="Advika Joshi"/>
    <n v="1690"/>
  </r>
  <r>
    <s v="143044"/>
    <x v="4"/>
    <s v="Aditya Agarwal"/>
    <s v="29/03/2022"/>
    <s v="Delivered"/>
    <s v="19&quot; LED Display"/>
    <s v="Monitor"/>
    <x v="6"/>
    <n v="9500"/>
    <n v="12350"/>
    <n v="2"/>
    <n v="19000"/>
    <n v="24700"/>
    <s v="Ajay Sharma"/>
    <n v="9750"/>
  </r>
  <r>
    <s v="143045"/>
    <x v="5"/>
    <s v="Firdoush Jabee"/>
    <s v="29/03/2022"/>
    <s v="Shipped"/>
    <s v="110 TB HDD"/>
    <s v="HDD"/>
    <x v="10"/>
    <n v="10000"/>
    <n v="13000"/>
    <n v="3"/>
    <n v="30000"/>
    <n v="39000"/>
    <s v="Roshan Kumar"/>
    <n v="39000"/>
  </r>
  <r>
    <s v="143046"/>
    <x v="6"/>
    <s v="Jay Prakash Kumar"/>
    <s v="29/03/2022"/>
    <s v="Order"/>
    <s v="620 GB M.2"/>
    <s v="SSD"/>
    <x v="0"/>
    <n v="6500"/>
    <n v="8450"/>
    <n v="3"/>
    <n v="19500"/>
    <n v="25350"/>
    <s v="Aarvi Gupta"/>
    <n v="8450"/>
  </r>
  <r>
    <s v="143047"/>
    <x v="7"/>
    <s v="Ashish Pandey"/>
    <s v="29/03/2022"/>
    <s v="Processing"/>
    <s v="RYZEN 3rd gen. 3608"/>
    <s v="CPU"/>
    <x v="1"/>
    <n v="8500"/>
    <n v="11050"/>
    <n v="2"/>
    <n v="17000"/>
    <n v="22100"/>
    <s v="Vijay Singh"/>
    <n v="33150"/>
  </r>
  <r>
    <s v="143048"/>
    <x v="26"/>
    <s v="Ajay Sharma"/>
    <s v="29/03/2022"/>
    <s v="Delivered"/>
    <s v="2GB Graphic Card"/>
    <s v="Graphic Card"/>
    <x v="2"/>
    <n v="7000"/>
    <n v="9100"/>
    <n v="1"/>
    <n v="7000"/>
    <n v="9100"/>
    <s v="Aadil Khan"/>
    <n v="18200"/>
  </r>
  <r>
    <s v="143049"/>
    <x v="27"/>
    <s v="Moinuddin Saifi"/>
    <s v="29/03/2022"/>
    <s v="Shipped"/>
    <s v="124 GB DDR4 RAM"/>
    <s v="RAM"/>
    <x v="3"/>
    <n v="6550"/>
    <n v="8515"/>
    <n v="2"/>
    <n v="13100"/>
    <n v="17030"/>
    <s v="Advika Joshi"/>
    <n v="25545"/>
  </r>
  <r>
    <s v="143050"/>
    <x v="8"/>
    <s v="Ramkrishna Das Adhikary"/>
    <s v="29/03/2022"/>
    <s v="Order"/>
    <s v="Standard ATX motherboard"/>
    <s v="MotherBoard"/>
    <x v="4"/>
    <n v="7650"/>
    <n v="9945"/>
    <n v="1"/>
    <n v="7650"/>
    <n v="9945"/>
    <s v="Ajay Sharma"/>
    <n v="39780"/>
  </r>
  <r>
    <s v="143051"/>
    <x v="9"/>
    <s v="Ranjeet Mandal"/>
    <s v="29/03/2022"/>
    <s v="Processing"/>
    <s v="Compact with 1 Fan"/>
    <s v="Cabinet"/>
    <x v="5"/>
    <n v="1150"/>
    <n v="1495"/>
    <n v="4"/>
    <n v="4600"/>
    <n v="5980"/>
    <s v="Roshan Kumar"/>
    <n v="2990"/>
  </r>
  <r>
    <s v="143052"/>
    <x v="10"/>
    <s v="Ashwini Adsare"/>
    <s v="29/03/2022"/>
    <s v="Delivered"/>
    <s v="USB Backlight Keyboard"/>
    <s v="Keyboard"/>
    <x v="6"/>
    <n v="850"/>
    <n v="1105"/>
    <n v="4"/>
    <n v="3400"/>
    <n v="4420"/>
    <s v="Aarvi Gupta"/>
    <n v="3315"/>
  </r>
  <r>
    <s v="143053"/>
    <x v="11"/>
    <s v="Rajesh Variya"/>
    <s v="29/03/2022"/>
    <s v="Shipped"/>
    <s v="Ergonomic Mouse"/>
    <s v="Mouse"/>
    <x v="0"/>
    <n v="650"/>
    <n v="845"/>
    <n v="4"/>
    <n v="2600"/>
    <n v="3380"/>
    <s v="Vijay Singh"/>
    <n v="1690"/>
  </r>
  <r>
    <s v="143054"/>
    <x v="12"/>
    <s v="Amit Singh"/>
    <s v="29/03/2022"/>
    <s v="Order"/>
    <s v="15&quot; LCD Dsipaly"/>
    <s v="Monitor"/>
    <x v="6"/>
    <n v="7500"/>
    <n v="9750"/>
    <n v="2"/>
    <n v="15000"/>
    <n v="19500"/>
    <s v="Aadil Khan"/>
    <n v="9750"/>
  </r>
  <r>
    <s v="143055"/>
    <x v="13"/>
    <s v="Vinod Mehta"/>
    <s v="29/03/2022"/>
    <s v="Processing"/>
    <s v="110 TB HDD"/>
    <s v="HDD"/>
    <x v="7"/>
    <n v="10000"/>
    <n v="13000"/>
    <n v="4"/>
    <n v="40000"/>
    <n v="52000"/>
    <s v="Advika Joshi"/>
    <n v="39000"/>
  </r>
  <r>
    <s v="143056"/>
    <x v="14"/>
    <s v="Jignesh Mhatre"/>
    <s v="29/03/2022"/>
    <s v="Delivered"/>
    <s v="109 TB SSD"/>
    <s v="SSD"/>
    <x v="0"/>
    <n v="10500"/>
    <n v="13650"/>
    <n v="1"/>
    <n v="10500"/>
    <n v="13650"/>
    <s v="Ajay Sharma"/>
    <n v="8450"/>
  </r>
  <r>
    <s v="143057"/>
    <x v="15"/>
    <s v="Rahul Kashyap"/>
    <s v="29/03/2022"/>
    <s v="Shipped"/>
    <s v="Intel i5 12th gen."/>
    <s v="CPU"/>
    <x v="1"/>
    <n v="8500"/>
    <n v="11050"/>
    <n v="2"/>
    <n v="17000"/>
    <n v="22100"/>
    <s v="Roshan Kumar"/>
    <n v="33150"/>
  </r>
  <r>
    <s v="143058"/>
    <x v="16"/>
    <s v="Mohammed Abdul Kaleem"/>
    <s v="29/03/2022"/>
    <s v="Order"/>
    <s v="2GB Graphic Card"/>
    <s v="Graphic Card"/>
    <x v="2"/>
    <n v="7000"/>
    <n v="9100"/>
    <n v="1"/>
    <n v="7000"/>
    <n v="9100"/>
    <s v="Aarvi Gupta"/>
    <n v="18200"/>
  </r>
  <r>
    <s v="143059"/>
    <x v="17"/>
    <s v="Chandrakant Kasbe"/>
    <s v="29/03/2022"/>
    <s v="Processing"/>
    <s v="112 GB DDR4 Ram"/>
    <s v="RAM"/>
    <x v="3"/>
    <n v="1680"/>
    <n v="2184"/>
    <n v="4"/>
    <n v="6720"/>
    <n v="8736"/>
    <s v="Vijay Singh"/>
    <n v="25545"/>
  </r>
  <r>
    <s v="143060"/>
    <x v="18"/>
    <s v="Rohan Kale"/>
    <s v="29/03/2022"/>
    <s v="Delivered"/>
    <s v="Micro ATX motherboard"/>
    <s v="MotherBoard"/>
    <x v="8"/>
    <n v="6540"/>
    <n v="8502"/>
    <n v="1"/>
    <n v="6540"/>
    <n v="8502"/>
    <s v="Aadil Khan"/>
    <n v="39780"/>
  </r>
  <r>
    <s v="143061"/>
    <x v="19"/>
    <s v="Aniruddha Kekapure"/>
    <s v="29/03/2022"/>
    <s v="Shipped"/>
    <s v="Gaming Box Cabinet"/>
    <s v="Cabinet"/>
    <x v="5"/>
    <n v="2680"/>
    <n v="3484"/>
    <n v="4"/>
    <n v="10720"/>
    <n v="13936"/>
    <s v="Advika Joshi"/>
    <n v="2990"/>
  </r>
  <r>
    <s v="143062"/>
    <x v="20"/>
    <s v="Aslam Raza"/>
    <s v="29/03/2022"/>
    <s v="Order"/>
    <s v="17&quot; LCD Display"/>
    <s v="Monitor"/>
    <x v="0"/>
    <n v="8250"/>
    <n v="10725"/>
    <n v="1"/>
    <n v="8250"/>
    <n v="10725"/>
    <s v="Ajay Sharma"/>
    <n v="9750"/>
  </r>
  <r>
    <s v="143063"/>
    <x v="16"/>
    <s v="Roshan Zameer"/>
    <s v="29/03/2022"/>
    <s v="Processing"/>
    <s v="116 GB DDR4 RAM"/>
    <s v="RAM"/>
    <x v="0"/>
    <n v="2650"/>
    <n v="3445"/>
    <n v="4"/>
    <n v="10600"/>
    <n v="13780"/>
    <s v="Roshan Kumar"/>
    <n v="25545"/>
  </r>
  <r>
    <s v="143064"/>
    <x v="17"/>
    <s v="Rakesh Kumar Sharma"/>
    <s v="29/03/2022"/>
    <s v="Delivered"/>
    <s v="26&quot; LCD Display"/>
    <s v="Monitor"/>
    <x v="9"/>
    <n v="12550"/>
    <n v="16315"/>
    <n v="4"/>
    <n v="50200"/>
    <n v="65260"/>
    <s v="Aarvi Gupta"/>
    <n v="9750"/>
  </r>
  <r>
    <s v="143065"/>
    <x v="27"/>
    <s v="Shivanand Sahani"/>
    <s v="29/03/2022"/>
    <s v="Shipped"/>
    <s v="I7 - intel 12th Generation"/>
    <s v="CPU"/>
    <x v="1"/>
    <n v="14500"/>
    <n v="18850"/>
    <n v="2"/>
    <n v="29000"/>
    <n v="37700"/>
    <s v="Vijay Singh"/>
    <n v="33150"/>
  </r>
  <r>
    <s v="143066"/>
    <x v="22"/>
    <s v="Kunal Patra"/>
    <s v="29/03/2022"/>
    <s v="Order"/>
    <s v="USB Keyboard"/>
    <s v="Keyboard"/>
    <x v="6"/>
    <n v="800"/>
    <n v="1040"/>
    <n v="2"/>
    <n v="1600"/>
    <n v="2080"/>
    <s v="Aadil Khan"/>
    <n v="3315"/>
  </r>
  <r>
    <s v="143067"/>
    <x v="28"/>
    <s v="Bijendra"/>
    <s v="29/03/2022"/>
    <s v="Processing"/>
    <s v="Wireless Mouse"/>
    <s v="Mouse"/>
    <x v="0"/>
    <n v="600"/>
    <n v="780"/>
    <n v="4"/>
    <n v="2400"/>
    <n v="3120"/>
    <s v="Advika Joshi"/>
    <n v="1690"/>
  </r>
  <r>
    <s v="143068"/>
    <x v="29"/>
    <s v="Kranti Bheke"/>
    <s v="29/03/2022"/>
    <s v="Delivered"/>
    <s v="21&quot; LCD Display"/>
    <s v="Monitor"/>
    <x v="6"/>
    <n v="10500"/>
    <n v="13650"/>
    <n v="1"/>
    <n v="10500"/>
    <n v="13650"/>
    <s v="Ajay Sharma"/>
    <n v="9750"/>
  </r>
  <r>
    <s v="143069"/>
    <x v="30"/>
    <s v="Jagdeep"/>
    <s v="29/03/2022"/>
    <s v="Shipped"/>
    <s v="110 TB HDD"/>
    <s v="HDD"/>
    <x v="10"/>
    <n v="6500"/>
    <n v="8450"/>
    <n v="3"/>
    <n v="19500"/>
    <n v="25350"/>
    <s v="Roshan Kumar"/>
    <n v="39000"/>
  </r>
  <r>
    <s v="143070"/>
    <x v="31"/>
    <s v="Adhir Samal"/>
    <s v="29/03/2022"/>
    <s v="Order"/>
    <s v="365 GB SSD"/>
    <s v="SSD"/>
    <x v="0"/>
    <n v="4500"/>
    <n v="5850"/>
    <n v="3"/>
    <n v="13500"/>
    <n v="17550"/>
    <s v="Aarvi Gupta"/>
    <n v="8450"/>
  </r>
  <r>
    <s v="143071"/>
    <x v="32"/>
    <s v="Dannana Jhammi"/>
    <s v="29/03/2022"/>
    <s v="Processing"/>
    <s v="Intel i3 11th gen."/>
    <s v="CPU"/>
    <x v="1"/>
    <n v="8500"/>
    <n v="11050"/>
    <n v="1"/>
    <n v="8500"/>
    <n v="11050"/>
    <s v="Vijay Singh"/>
    <n v="33150"/>
  </r>
  <r>
    <s v="143072"/>
    <x v="0"/>
    <s v="Vipin Kumar"/>
    <s v="29/03/2022"/>
    <s v="Delivered"/>
    <s v="4GB Graphic card"/>
    <s v="Graphic Card"/>
    <x v="2"/>
    <n v="12500"/>
    <n v="16250"/>
    <n v="1"/>
    <n v="12500"/>
    <n v="16250"/>
    <s v="Aadil Khan"/>
    <n v="18200"/>
  </r>
  <r>
    <s v="143073"/>
    <x v="23"/>
    <s v="Ranjeet Kumar"/>
    <s v="29/03/2022"/>
    <s v="Shipped"/>
    <s v="117 GB DDR4 RAM"/>
    <s v="Computer Case"/>
    <x v="3"/>
    <n v="3500"/>
    <n v="4550"/>
    <n v="2"/>
    <n v="7000"/>
    <n v="9100"/>
    <s v="Advika Joshi"/>
    <n v="13650"/>
  </r>
  <r>
    <s v="143074"/>
    <x v="1"/>
    <s v="Sajal Singhal"/>
    <s v="29/03/2022"/>
    <s v="Order"/>
    <s v="BTX motherboard"/>
    <s v="Mouse"/>
    <x v="4"/>
    <n v="4500"/>
    <n v="5850"/>
    <n v="2"/>
    <n v="9000"/>
    <n v="11700"/>
    <s v="Ajay Sharma"/>
    <n v="1690"/>
  </r>
  <r>
    <s v="143075"/>
    <x v="2"/>
    <s v="Akhilesh Kumar"/>
    <s v="29/03/2022"/>
    <s v="Processing"/>
    <s v="112 Fans Cabinet"/>
    <s v="Cabinet"/>
    <x v="5"/>
    <n v="2100"/>
    <n v="2730"/>
    <n v="3"/>
    <n v="6300"/>
    <n v="8190"/>
    <s v="Roshan Kumar"/>
    <n v="2990"/>
  </r>
  <r>
    <s v="143076"/>
    <x v="3"/>
    <s v="Suvankar Chakraborty"/>
    <s v="29/03/2022"/>
    <s v="Delivered"/>
    <s v="Wireless Keyboard"/>
    <s v="Keyboard"/>
    <x v="6"/>
    <n v="1150"/>
    <n v="1495"/>
    <n v="1"/>
    <n v="1150"/>
    <n v="1495"/>
    <s v="Aarvi Gupta"/>
    <n v="3315"/>
  </r>
  <r>
    <s v="143077"/>
    <x v="24"/>
    <s v="Suvankar Adhikary"/>
    <s v="29/03/2022"/>
    <s v="Shipped"/>
    <s v="USB Mouse"/>
    <s v="Mouse"/>
    <x v="0"/>
    <n v="350"/>
    <n v="455"/>
    <n v="3"/>
    <n v="1050"/>
    <n v="1365"/>
    <s v="Vijay Singh"/>
    <n v="1690"/>
  </r>
  <r>
    <s v="143078"/>
    <x v="25"/>
    <s v="Rahul Kumar Prajapati"/>
    <s v="29/03/2022"/>
    <s v="Order"/>
    <s v="19&quot; LED Display"/>
    <s v="Monitor"/>
    <x v="6"/>
    <n v="9500"/>
    <n v="12350"/>
    <n v="2"/>
    <n v="19000"/>
    <n v="24700"/>
    <s v="Aadil Khan"/>
    <n v="9750"/>
  </r>
  <r>
    <s v="143079"/>
    <x v="33"/>
    <s v="Sagar Jeur"/>
    <s v="29/03/2022"/>
    <s v="Processing"/>
    <s v="111 TB HDD"/>
    <s v="HDD"/>
    <x v="10"/>
    <n v="10000"/>
    <n v="13000"/>
    <n v="2"/>
    <n v="20000"/>
    <n v="26000"/>
    <s v="Advika Joshi"/>
    <n v="39000"/>
  </r>
  <r>
    <s v="143080"/>
    <x v="34"/>
    <s v="Rhushikesh Mane"/>
    <s v="29/03/2022"/>
    <s v="Delivered"/>
    <s v="621 GB M.2"/>
    <s v="SSD"/>
    <x v="0"/>
    <n v="6500"/>
    <n v="8450"/>
    <n v="4"/>
    <n v="26000"/>
    <n v="33800"/>
    <s v="Ajay Sharma"/>
    <n v="8450"/>
  </r>
  <r>
    <s v="143081"/>
    <x v="4"/>
    <s v="Ashish Kumar"/>
    <s v="29/03/2022"/>
    <s v="Shipped"/>
    <s v="RYZEN 3rd gen. 3609"/>
    <s v="CPU"/>
    <x v="1"/>
    <n v="8500"/>
    <n v="11050"/>
    <n v="1"/>
    <n v="8500"/>
    <n v="11050"/>
    <s v="Roshan Kumar"/>
    <n v="33150"/>
  </r>
  <r>
    <s v="143082"/>
    <x v="5"/>
    <s v="Javed Akhter"/>
    <s v="29/03/2022"/>
    <s v="Order"/>
    <s v="2GB Graphic Card"/>
    <s v="Graphic Card"/>
    <x v="2"/>
    <n v="7000"/>
    <n v="9100"/>
    <n v="4"/>
    <n v="28000"/>
    <n v="36400"/>
    <s v="Aarvi Gupta"/>
    <n v="18200"/>
  </r>
  <r>
    <s v="143083"/>
    <x v="6"/>
    <s v="Haridas Balraj"/>
    <s v="29/03/2022"/>
    <s v="Processing"/>
    <s v="125 GB DDR4 RAM"/>
    <s v="Computer Case"/>
    <x v="3"/>
    <n v="6550"/>
    <n v="8515"/>
    <n v="2"/>
    <n v="13100"/>
    <n v="17030"/>
    <s v="Vijay Singh"/>
    <n v="13650"/>
  </r>
  <r>
    <s v="143084"/>
    <x v="7"/>
    <s v="Kundan Kumar"/>
    <s v="29/03/2022"/>
    <s v="Delivered"/>
    <s v="Standard ATX motherboard"/>
    <s v="Mouse"/>
    <x v="4"/>
    <n v="7650"/>
    <n v="9945"/>
    <n v="3"/>
    <n v="22950"/>
    <n v="29835"/>
    <s v="Aadil Khan"/>
    <n v="1690"/>
  </r>
  <r>
    <s v="143085"/>
    <x v="26"/>
    <s v="Atif Siddiqui"/>
    <s v="29/03/2022"/>
    <s v="Shipped"/>
    <s v="Compact with 1 Fan"/>
    <s v="Cabinet"/>
    <x v="5"/>
    <n v="1150"/>
    <n v="1495"/>
    <n v="1"/>
    <n v="1150"/>
    <n v="1495"/>
    <s v="Advika Joshi"/>
    <n v="2990"/>
  </r>
  <r>
    <s v="143086"/>
    <x v="27"/>
    <s v="Aditya Agarwal"/>
    <s v="29/03/2022"/>
    <s v="Order"/>
    <s v="USB Backlight Keyboard"/>
    <s v="Keyboard"/>
    <x v="6"/>
    <n v="850"/>
    <n v="1105"/>
    <n v="4"/>
    <n v="3400"/>
    <n v="4420"/>
    <s v="Ajay Sharma"/>
    <n v="3315"/>
  </r>
  <r>
    <s v="143087"/>
    <x v="8"/>
    <s v="Firdoush Jabee"/>
    <s v="29/03/2022"/>
    <s v="Processing"/>
    <s v="Ergonomic Mouse"/>
    <s v="Mouse"/>
    <x v="0"/>
    <n v="650"/>
    <n v="845"/>
    <n v="2"/>
    <n v="1300"/>
    <n v="1690"/>
    <s v="Roshan Kumar"/>
    <n v="1690"/>
  </r>
  <r>
    <s v="143088"/>
    <x v="9"/>
    <s v="Jay Prakash Kumar"/>
    <s v="29/03/2022"/>
    <s v="Delivered"/>
    <s v="15&quot; LCD Dsipaly"/>
    <s v="Monitor"/>
    <x v="6"/>
    <n v="7500"/>
    <n v="9750"/>
    <n v="2"/>
    <n v="15000"/>
    <n v="19500"/>
    <s v="Aarvi Gupta"/>
    <n v="9750"/>
  </r>
  <r>
    <s v="143089"/>
    <x v="10"/>
    <s v="Ashish Pandey"/>
    <s v="29/03/2022"/>
    <s v="Shipped"/>
    <s v="111 TB HDD"/>
    <s v="HDD"/>
    <x v="7"/>
    <n v="10000"/>
    <n v="13000"/>
    <n v="4"/>
    <n v="40000"/>
    <n v="52000"/>
    <s v="Vijay Singh"/>
    <n v="39000"/>
  </r>
  <r>
    <s v="143090"/>
    <x v="11"/>
    <s v="Ajay Sharma"/>
    <s v="30/03/2022"/>
    <s v="Order"/>
    <s v="110 TB SSD"/>
    <s v="SSD"/>
    <x v="0"/>
    <n v="10500"/>
    <n v="13650"/>
    <n v="2"/>
    <n v="21000"/>
    <n v="27300"/>
    <s v="Aadil Khan"/>
    <n v="8450"/>
  </r>
  <r>
    <s v="143091"/>
    <x v="12"/>
    <s v="Moinuddin Saifi"/>
    <s v="30/03/2022"/>
    <s v="Processing"/>
    <s v="Intel i5 12th gen."/>
    <s v="CPU"/>
    <x v="1"/>
    <n v="8500"/>
    <n v="11050"/>
    <n v="4"/>
    <n v="34000"/>
    <n v="44200"/>
    <s v="Advika Joshi"/>
    <n v="33150"/>
  </r>
  <r>
    <s v="143092"/>
    <x v="13"/>
    <s v="Ramkrishna Das Adhikary"/>
    <s v="30/03/2022"/>
    <s v="Delivered"/>
    <s v="2GB Graphic Card"/>
    <s v="Graphic Card"/>
    <x v="2"/>
    <n v="7000"/>
    <n v="9100"/>
    <n v="3"/>
    <n v="21000"/>
    <n v="27300"/>
    <s v="Ajay Sharma"/>
    <n v="18200"/>
  </r>
  <r>
    <s v="143093"/>
    <x v="14"/>
    <s v="Ranjeet Mandal"/>
    <s v="30/03/2022"/>
    <s v="Shipped"/>
    <s v="113 GB DDR4 Ram"/>
    <s v="Computer Case"/>
    <x v="3"/>
    <n v="1680"/>
    <n v="2184"/>
    <n v="2"/>
    <n v="3360"/>
    <n v="4368"/>
    <s v="Roshan Kumar"/>
    <n v="13650"/>
  </r>
  <r>
    <s v="143094"/>
    <x v="15"/>
    <s v="Ashwini Adsare"/>
    <s v="30/03/2022"/>
    <s v="Order"/>
    <s v="Micro ATX motherboard"/>
    <s v="Mouse"/>
    <x v="8"/>
    <n v="6540"/>
    <n v="8502"/>
    <n v="1"/>
    <n v="6540"/>
    <n v="8502"/>
    <s v="Aarvi Gupta"/>
    <n v="1690"/>
  </r>
  <r>
    <s v="143095"/>
    <x v="16"/>
    <s v="Rajesh Variya"/>
    <s v="30/03/2022"/>
    <s v="Processing"/>
    <s v="Gaming Box Cabinet"/>
    <s v="Cabinet"/>
    <x v="5"/>
    <n v="2680"/>
    <n v="3484"/>
    <n v="4"/>
    <n v="10720"/>
    <n v="13936"/>
    <s v="Vijay Singh"/>
    <n v="2990"/>
  </r>
  <r>
    <s v="143096"/>
    <x v="17"/>
    <s v="Amit Singh"/>
    <s v="30/03/2022"/>
    <s v="Delivered"/>
    <s v="17&quot; LCD Display"/>
    <s v="Monitor"/>
    <x v="0"/>
    <n v="8250"/>
    <n v="10725"/>
    <n v="1"/>
    <n v="8250"/>
    <n v="10725"/>
    <s v="Aadil Khan"/>
    <n v="9750"/>
  </r>
  <r>
    <s v="143097"/>
    <x v="18"/>
    <s v="Vinod Mehta"/>
    <s v="30/03/2022"/>
    <s v="Shipped"/>
    <s v="117 GB DDR4 RAM"/>
    <s v="RAM"/>
    <x v="0"/>
    <n v="2650"/>
    <n v="3445"/>
    <n v="2"/>
    <n v="5300"/>
    <n v="6890"/>
    <s v="Advika Joshi"/>
    <n v="25545"/>
  </r>
  <r>
    <s v="143098"/>
    <x v="19"/>
    <s v="Jignesh Mhatre"/>
    <s v="30/03/2022"/>
    <s v="Order"/>
    <s v="26&quot; LCD Display"/>
    <s v="Monitor"/>
    <x v="9"/>
    <n v="12550"/>
    <n v="16315"/>
    <n v="2"/>
    <n v="25100"/>
    <n v="32630"/>
    <s v="Ajay Sharma"/>
    <n v="9750"/>
  </r>
  <r>
    <s v="143099"/>
    <x v="20"/>
    <s v="Rahul Kashyap"/>
    <s v="30/03/2022"/>
    <s v="Processing"/>
    <s v="I7 - intel 12th Generation"/>
    <s v="CPU"/>
    <x v="1"/>
    <n v="14500"/>
    <n v="18850"/>
    <n v="3"/>
    <n v="43500"/>
    <n v="56550"/>
    <s v="Roshan Kumar"/>
    <n v="33150"/>
  </r>
  <r>
    <s v="143100"/>
    <x v="16"/>
    <s v="Mohammed Abdul Kaleem"/>
    <s v="30/03/2022"/>
    <s v="Delivered"/>
    <s v="USB Keyboard"/>
    <s v="Keyboard"/>
    <x v="6"/>
    <n v="800"/>
    <n v="1040"/>
    <n v="1"/>
    <n v="800"/>
    <n v="1040"/>
    <s v="Aarvi Gupta"/>
    <n v="3315"/>
  </r>
  <r>
    <s v="143101"/>
    <x v="17"/>
    <s v="Chandrakant Kasbe"/>
    <s v="30/03/2022"/>
    <s v="Shipped"/>
    <s v="Wireless Mouse"/>
    <s v="Mouse"/>
    <x v="0"/>
    <n v="600"/>
    <n v="780"/>
    <n v="3"/>
    <n v="1800"/>
    <n v="2340"/>
    <s v="Vijay Singh"/>
    <n v="1690"/>
  </r>
  <r>
    <s v="143102"/>
    <x v="27"/>
    <s v="Rohan Kale"/>
    <s v="30/03/2022"/>
    <s v="Order"/>
    <s v="21&quot; LCD Display"/>
    <s v="Monitor"/>
    <x v="6"/>
    <n v="10500"/>
    <n v="13650"/>
    <n v="1"/>
    <n v="10500"/>
    <n v="13650"/>
    <s v="Aadil Khan"/>
    <n v="9750"/>
  </r>
  <r>
    <s v="143103"/>
    <x v="22"/>
    <s v="Aniruddha Kekapure"/>
    <s v="30/03/2022"/>
    <s v="Processing"/>
    <s v="111 TB HDD"/>
    <s v="HDD"/>
    <x v="10"/>
    <n v="6500"/>
    <n v="8450"/>
    <n v="3"/>
    <n v="19500"/>
    <n v="25350"/>
    <s v="Advika Joshi"/>
    <n v="39000"/>
  </r>
  <r>
    <s v="143104"/>
    <x v="28"/>
    <s v="Aslam Raza"/>
    <s v="30/03/2022"/>
    <s v="Delivered"/>
    <s v="366 GB SSD"/>
    <s v="SSD"/>
    <x v="0"/>
    <n v="4500"/>
    <n v="5850"/>
    <n v="3"/>
    <n v="13500"/>
    <n v="17550"/>
    <s v="Ajay Sharma"/>
    <n v="8450"/>
  </r>
  <r>
    <s v="143105"/>
    <x v="29"/>
    <s v="Roshan Zameer"/>
    <s v="30/03/2022"/>
    <s v="Shipped"/>
    <s v="Intel i3 11th gen."/>
    <s v="CPU"/>
    <x v="1"/>
    <n v="8500"/>
    <n v="11050"/>
    <n v="2"/>
    <n v="17000"/>
    <n v="22100"/>
    <s v="Roshan Kumar"/>
    <n v="33150"/>
  </r>
  <r>
    <s v="143106"/>
    <x v="30"/>
    <s v="Rakesh Kumar Sharma"/>
    <s v="30/03/2022"/>
    <s v="Order"/>
    <s v="4GB Graphic card"/>
    <s v="Graphic Card"/>
    <x v="2"/>
    <n v="12500"/>
    <n v="16250"/>
    <n v="4"/>
    <n v="50000"/>
    <n v="65000"/>
    <s v="Aarvi Gupta"/>
    <n v="18200"/>
  </r>
  <r>
    <s v="143107"/>
    <x v="31"/>
    <s v="Shivanand Sahani"/>
    <s v="30/03/2022"/>
    <s v="Processing"/>
    <s v="118 GB DDR4 RAM"/>
    <s v="NIC"/>
    <x v="3"/>
    <n v="3500"/>
    <n v="4550"/>
    <n v="3"/>
    <n v="10500"/>
    <n v="13650"/>
    <s v="Vijay Singh"/>
    <n v="9100"/>
  </r>
  <r>
    <s v="143108"/>
    <x v="32"/>
    <s v="Kunal Patra"/>
    <s v="30/03/2022"/>
    <s v="Delivered"/>
    <s v="BTX motherboard"/>
    <s v="Printer"/>
    <x v="4"/>
    <n v="4500"/>
    <n v="5850"/>
    <n v="1"/>
    <n v="4500"/>
    <n v="5850"/>
    <s v="Aadil Khan"/>
    <n v="11700"/>
  </r>
  <r>
    <s v="143109"/>
    <x v="0"/>
    <s v="Bijendra"/>
    <s v="30/03/2022"/>
    <s v="Shipped"/>
    <s v="113 Fans Cabinet"/>
    <s v="Cabinet"/>
    <x v="5"/>
    <n v="2100"/>
    <n v="2730"/>
    <n v="3"/>
    <n v="6300"/>
    <n v="8190"/>
    <s v="Advika Joshi"/>
    <n v="2990"/>
  </r>
  <r>
    <s v="143110"/>
    <x v="23"/>
    <s v="Kranti Bheke"/>
    <s v="30/03/2022"/>
    <s v="Order"/>
    <s v="Wireless Keyboard"/>
    <s v="Keyboard"/>
    <x v="6"/>
    <n v="1150"/>
    <n v="1495"/>
    <n v="3"/>
    <n v="3450"/>
    <n v="4485"/>
    <s v="Ajay Sharma"/>
    <n v="3315"/>
  </r>
  <r>
    <s v="143111"/>
    <x v="1"/>
    <s v="Jagdeep"/>
    <s v="30/03/2022"/>
    <s v="Processing"/>
    <s v="USB Mouse"/>
    <s v="Mouse"/>
    <x v="0"/>
    <n v="350"/>
    <n v="455"/>
    <n v="1"/>
    <n v="350"/>
    <n v="455"/>
    <s v="Roshan Kumar"/>
    <n v="1690"/>
  </r>
  <r>
    <s v="143112"/>
    <x v="2"/>
    <s v="Adhir Samal"/>
    <s v="30/03/2022"/>
    <s v="Delivered"/>
    <s v="19&quot; LED Display"/>
    <s v="Monitor"/>
    <x v="6"/>
    <n v="9500"/>
    <n v="12350"/>
    <n v="1"/>
    <n v="9500"/>
    <n v="12350"/>
    <s v="Aarvi Gupta"/>
    <n v="9750"/>
  </r>
  <r>
    <s v="143113"/>
    <x v="3"/>
    <s v="Dannana Jhammi"/>
    <s v="30/03/2022"/>
    <s v="Shipped"/>
    <s v="112 TB HDD"/>
    <s v="HDD"/>
    <x v="10"/>
    <n v="10000"/>
    <n v="13000"/>
    <n v="3"/>
    <n v="30000"/>
    <n v="39000"/>
    <s v="Vijay Singh"/>
    <n v="39000"/>
  </r>
  <r>
    <s v="143114"/>
    <x v="24"/>
    <s v="Vipin Kumar"/>
    <s v="30/03/2022"/>
    <s v="Order"/>
    <s v="622 GB M.2"/>
    <s v="SSD"/>
    <x v="0"/>
    <n v="6500"/>
    <n v="8450"/>
    <n v="3"/>
    <n v="19500"/>
    <n v="25350"/>
    <s v="Aadil Khan"/>
    <n v="8450"/>
  </r>
  <r>
    <s v="143115"/>
    <x v="25"/>
    <s v="Ranjeet Kumar"/>
    <s v="30/03/2022"/>
    <s v="Processing"/>
    <s v="RYZEN 3rd gen. 3610"/>
    <s v="CPU"/>
    <x v="1"/>
    <n v="8500"/>
    <n v="11050"/>
    <n v="1"/>
    <n v="8500"/>
    <n v="11050"/>
    <s v="Advika Joshi"/>
    <n v="33150"/>
  </r>
  <r>
    <s v="143116"/>
    <x v="33"/>
    <s v="Sajal Singhal"/>
    <s v="30/03/2022"/>
    <s v="Delivered"/>
    <s v="2GB Graphic Card"/>
    <s v="Graphic Card"/>
    <x v="2"/>
    <n v="7000"/>
    <n v="9100"/>
    <n v="4"/>
    <n v="28000"/>
    <n v="36400"/>
    <s v="Ajay Sharma"/>
    <n v="18200"/>
  </r>
  <r>
    <s v="143117"/>
    <x v="34"/>
    <s v="Akhilesh Kumar"/>
    <s v="30/03/2022"/>
    <s v="Shipped"/>
    <s v="126 GB DDR4 RAM"/>
    <s v="NIC"/>
    <x v="3"/>
    <n v="6550"/>
    <n v="8515"/>
    <n v="1"/>
    <n v="6550"/>
    <n v="8515"/>
    <s v="Roshan Kumar"/>
    <n v="9100"/>
  </r>
  <r>
    <s v="143118"/>
    <x v="4"/>
    <s v="Suvankar Chakraborty"/>
    <s v="30/03/2022"/>
    <s v="Order"/>
    <s v="Standard ATX motherboard"/>
    <s v="Printer"/>
    <x v="4"/>
    <n v="7650"/>
    <n v="9945"/>
    <n v="2"/>
    <n v="15300"/>
    <n v="19890"/>
    <s v="Aarvi Gupta"/>
    <n v="11700"/>
  </r>
  <r>
    <s v="143119"/>
    <x v="5"/>
    <s v="Suvankar Adhikary"/>
    <s v="30/03/2022"/>
    <s v="Processing"/>
    <s v="Compact with 1 Fan"/>
    <s v="Cabinet"/>
    <x v="5"/>
    <n v="1150"/>
    <n v="1495"/>
    <n v="4"/>
    <n v="4600"/>
    <n v="5980"/>
    <s v="Vijay Singh"/>
    <n v="2990"/>
  </r>
  <r>
    <s v="143120"/>
    <x v="6"/>
    <s v="Rahul Kumar Prajapati"/>
    <s v="30/03/2022"/>
    <s v="Delivered"/>
    <s v="USB Backlight Keyboard"/>
    <s v="Keyboard"/>
    <x v="6"/>
    <n v="850"/>
    <n v="1105"/>
    <n v="4"/>
    <n v="3400"/>
    <n v="4420"/>
    <s v="Aadil Khan"/>
    <n v="3315"/>
  </r>
  <r>
    <s v="143121"/>
    <x v="7"/>
    <s v="Sagar Jeur"/>
    <s v="30/03/2022"/>
    <s v="Shipped"/>
    <s v="Ergonomic Mouse"/>
    <s v="Mouse"/>
    <x v="0"/>
    <n v="650"/>
    <n v="845"/>
    <n v="2"/>
    <n v="1300"/>
    <n v="1690"/>
    <s v="Advika Joshi"/>
    <n v="1690"/>
  </r>
  <r>
    <s v="143122"/>
    <x v="26"/>
    <s v="Rhushikesh Mane"/>
    <s v="30/03/2022"/>
    <s v="Order"/>
    <s v="15&quot; LCD Dsipaly"/>
    <s v="Monitor"/>
    <x v="6"/>
    <n v="7500"/>
    <n v="9750"/>
    <n v="3"/>
    <n v="22500"/>
    <n v="29250"/>
    <s v="Ajay Sharma"/>
    <n v="9750"/>
  </r>
  <r>
    <s v="143123"/>
    <x v="27"/>
    <s v="Ashish Kumar"/>
    <s v="30/03/2022"/>
    <s v="Processing"/>
    <s v="112 TB HDD"/>
    <s v="HDD"/>
    <x v="7"/>
    <n v="10000"/>
    <n v="13000"/>
    <n v="1"/>
    <n v="10000"/>
    <n v="13000"/>
    <s v="Roshan Kumar"/>
    <n v="39000"/>
  </r>
  <r>
    <s v="143124"/>
    <x v="8"/>
    <s v="Javed Akhter"/>
    <s v="30/03/2022"/>
    <s v="Delivered"/>
    <s v="111 TB SSD"/>
    <s v="SSD"/>
    <x v="0"/>
    <n v="10500"/>
    <n v="13650"/>
    <n v="1"/>
    <n v="10500"/>
    <n v="13650"/>
    <s v="Aarvi Gupta"/>
    <n v="8450"/>
  </r>
  <r>
    <s v="143125"/>
    <x v="9"/>
    <s v="Haridas Balraj"/>
    <s v="30/03/2022"/>
    <s v="Shipped"/>
    <s v="Intel i5 12th gen."/>
    <s v="CPU"/>
    <x v="1"/>
    <n v="8500"/>
    <n v="11050"/>
    <n v="3"/>
    <n v="25500"/>
    <n v="33150"/>
    <s v="Vijay Singh"/>
    <n v="33150"/>
  </r>
  <r>
    <s v="143126"/>
    <x v="10"/>
    <s v="Kundan Kumar"/>
    <s v="30/03/2022"/>
    <s v="Order"/>
    <s v="2GB Graphic Card"/>
    <s v="Graphic Card"/>
    <x v="2"/>
    <n v="7000"/>
    <n v="9100"/>
    <n v="4"/>
    <n v="28000"/>
    <n v="36400"/>
    <s v="Aadil Khan"/>
    <n v="18200"/>
  </r>
  <r>
    <s v="143127"/>
    <x v="11"/>
    <s v="Atif Siddiqui"/>
    <s v="30/03/2022"/>
    <s v="Processing"/>
    <s v="114 GB DDR4 Ram"/>
    <s v="NIC"/>
    <x v="3"/>
    <n v="1680"/>
    <n v="2184"/>
    <n v="4"/>
    <n v="6720"/>
    <n v="8736"/>
    <s v="Advika Joshi"/>
    <n v="9100"/>
  </r>
  <r>
    <s v="143128"/>
    <x v="12"/>
    <s v="Aditya Agarwal"/>
    <s v="30/03/2022"/>
    <s v="Delivered"/>
    <s v="Micro ATX motherboard"/>
    <s v="Printer"/>
    <x v="8"/>
    <n v="6540"/>
    <n v="8502"/>
    <n v="1"/>
    <n v="6540"/>
    <n v="8502"/>
    <s v="Ajay Sharma"/>
    <n v="11700"/>
  </r>
  <r>
    <s v="143129"/>
    <x v="13"/>
    <s v="Firdoush Jabee"/>
    <s v="30/03/2022"/>
    <s v="Shipped"/>
    <s v="Gaming Box Cabinet"/>
    <s v="Cabinet"/>
    <x v="5"/>
    <n v="2680"/>
    <n v="3484"/>
    <n v="2"/>
    <n v="5360"/>
    <n v="6968"/>
    <s v="Ajay Sharma"/>
    <n v="2990"/>
  </r>
  <r>
    <s v="143130"/>
    <x v="14"/>
    <s v="Jay Prakash Kumar"/>
    <s v="30/03/2022"/>
    <s v="Order"/>
    <s v="17&quot; LCD Display"/>
    <s v="Monitor"/>
    <x v="0"/>
    <n v="8250"/>
    <n v="10725"/>
    <n v="4"/>
    <n v="33000"/>
    <n v="42900"/>
    <s v="Roshan Kumar"/>
    <n v="9750"/>
  </r>
  <r>
    <s v="143131"/>
    <x v="15"/>
    <s v="Ashish Pandey"/>
    <s v="30/03/2022"/>
    <s v="Processing"/>
    <s v="118 GB DDR4 RAM"/>
    <s v="RAM"/>
    <x v="0"/>
    <n v="2650"/>
    <n v="3445"/>
    <n v="2"/>
    <n v="5300"/>
    <n v="6890"/>
    <s v="Aarvi Gupta"/>
    <n v="25545"/>
  </r>
  <r>
    <s v="143132"/>
    <x v="16"/>
    <s v="Ajay Sharma"/>
    <s v="30/03/2022"/>
    <s v="Delivered"/>
    <s v="26&quot; LCD Display"/>
    <s v="Monitor"/>
    <x v="9"/>
    <n v="12550"/>
    <n v="16315"/>
    <n v="1"/>
    <n v="12550"/>
    <n v="16315"/>
    <s v="Vijay Singh"/>
    <n v="9750"/>
  </r>
  <r>
    <s v="143133"/>
    <x v="17"/>
    <s v="Moinuddin Saifi"/>
    <s v="30/03/2022"/>
    <s v="Shipped"/>
    <s v="I7 - intel 12th Generation"/>
    <s v="CPU"/>
    <x v="1"/>
    <n v="14500"/>
    <n v="18850"/>
    <n v="4"/>
    <n v="58000"/>
    <n v="75400"/>
    <s v="Aadil Khan"/>
    <n v="33150"/>
  </r>
  <r>
    <s v="143134"/>
    <x v="18"/>
    <s v="Ramkrishna Das Adhikary"/>
    <s v="30/03/2022"/>
    <s v="Order"/>
    <s v="USB Keyboard"/>
    <s v="Keyboard"/>
    <x v="6"/>
    <n v="800"/>
    <n v="1040"/>
    <n v="3"/>
    <n v="2400"/>
    <n v="3120"/>
    <s v="Advika Joshi"/>
    <n v="3315"/>
  </r>
  <r>
    <s v="143135"/>
    <x v="19"/>
    <s v="Ranjeet Mandal"/>
    <s v="30/03/2022"/>
    <s v="Processing"/>
    <s v="Wireless Mouse"/>
    <s v="Mouse"/>
    <x v="0"/>
    <n v="600"/>
    <n v="780"/>
    <n v="1"/>
    <n v="600"/>
    <n v="780"/>
    <s v="Ajay Sharma"/>
    <n v="1690"/>
  </r>
  <r>
    <s v="143136"/>
    <x v="20"/>
    <s v="Ashwini Adsare"/>
    <s v="30/03/2022"/>
    <s v="Delivered"/>
    <s v="21&quot; LCD Display"/>
    <s v="Monitor"/>
    <x v="6"/>
    <n v="10500"/>
    <n v="13650"/>
    <n v="3"/>
    <n v="31500"/>
    <n v="40950"/>
    <s v="Roshan Kumar"/>
    <n v="9750"/>
  </r>
  <r>
    <s v="143137"/>
    <x v="16"/>
    <s v="Rajesh Variya"/>
    <s v="30/03/2022"/>
    <s v="Shipped"/>
    <s v="112 TB HDD"/>
    <s v="HDD"/>
    <x v="10"/>
    <n v="6500"/>
    <n v="8450"/>
    <n v="3"/>
    <n v="19500"/>
    <n v="25350"/>
    <s v="Aarvi Gupta"/>
    <n v="39000"/>
  </r>
  <r>
    <s v="143138"/>
    <x v="17"/>
    <s v="Amit Singh"/>
    <s v="30/03/2022"/>
    <s v="Order"/>
    <s v="367 GB SSD"/>
    <s v="SSD"/>
    <x v="0"/>
    <n v="4500"/>
    <n v="5850"/>
    <n v="4"/>
    <n v="18000"/>
    <n v="23400"/>
    <s v="Aarvi Gupta"/>
    <n v="8450"/>
  </r>
  <r>
    <s v="143139"/>
    <x v="27"/>
    <s v="Vinod Mehta"/>
    <s v="30/03/2022"/>
    <s v="Processing"/>
    <s v="Intel i3 11th gen."/>
    <s v="CPU"/>
    <x v="1"/>
    <n v="8500"/>
    <n v="11050"/>
    <n v="3"/>
    <n v="25500"/>
    <n v="33150"/>
    <s v="Aarvi Gupta"/>
    <n v="33150"/>
  </r>
  <r>
    <s v="143140"/>
    <x v="22"/>
    <s v="Jignesh Mhatre"/>
    <s v="30/03/2022"/>
    <s v="Delivered"/>
    <s v="4GB Graphic card"/>
    <s v="Graphic Card"/>
    <x v="2"/>
    <n v="12500"/>
    <n v="16250"/>
    <n v="4"/>
    <n v="50000"/>
    <n v="65000"/>
    <s v="Aarvi Gupta"/>
    <n v="18200"/>
  </r>
  <r>
    <s v="143141"/>
    <x v="28"/>
    <s v="Rahul Kashyap"/>
    <s v="30/03/2022"/>
    <s v="Shipped"/>
    <s v="119 GB DDR4 RAM"/>
    <s v="RAM"/>
    <x v="3"/>
    <n v="3500"/>
    <n v="4550"/>
    <n v="1"/>
    <n v="3500"/>
    <n v="4550"/>
    <s v="Aarvi Gupta"/>
    <n v="25545"/>
  </r>
  <r>
    <s v="143142"/>
    <x v="29"/>
    <s v="Mohammed Abdul Kaleem"/>
    <s v="30/03/2022"/>
    <s v="Order"/>
    <s v="BTX motherboard"/>
    <s v="MotherBoard"/>
    <x v="4"/>
    <n v="4500"/>
    <n v="5850"/>
    <n v="1"/>
    <n v="4500"/>
    <n v="5850"/>
    <s v="Aarvi Gupta"/>
    <n v="39780"/>
  </r>
  <r>
    <s v="143143"/>
    <x v="30"/>
    <s v="Chandrakant Kasbe"/>
    <s v="30/03/2022"/>
    <s v="Processing"/>
    <s v="114 Fans Cabinet"/>
    <s v="Cabinet"/>
    <x v="5"/>
    <n v="2100"/>
    <n v="2730"/>
    <n v="4"/>
    <n v="8400"/>
    <n v="10920"/>
    <s v="Aarvi Gupta"/>
    <n v="2990"/>
  </r>
  <r>
    <s v="143144"/>
    <x v="31"/>
    <s v="Rohan Kale"/>
    <s v="30/03/2022"/>
    <s v="Delivered"/>
    <s v="Wireless Keyboard"/>
    <s v="Keyboard"/>
    <x v="6"/>
    <n v="1150"/>
    <n v="1495"/>
    <n v="4"/>
    <n v="4600"/>
    <n v="5980"/>
    <s v="Aarvi Gupta"/>
    <n v="3315"/>
  </r>
  <r>
    <s v="143145"/>
    <x v="32"/>
    <s v="Aniruddha Kekapure"/>
    <s v="30/03/2022"/>
    <s v="Shipped"/>
    <s v="USB Mouse"/>
    <s v="Mouse"/>
    <x v="0"/>
    <n v="350"/>
    <n v="455"/>
    <n v="4"/>
    <n v="1400"/>
    <n v="1820"/>
    <s v="Aarvi Gupta"/>
    <n v="1690"/>
  </r>
  <r>
    <s v="143146"/>
    <x v="0"/>
    <s v="Aslam Raza"/>
    <s v="30/03/2022"/>
    <s v="Order"/>
    <s v="19&quot; LED Display"/>
    <s v="Monitor"/>
    <x v="6"/>
    <n v="9500"/>
    <n v="12350"/>
    <n v="1"/>
    <n v="9500"/>
    <n v="12350"/>
    <s v="Aarvi Gupta"/>
    <n v="9750"/>
  </r>
  <r>
    <s v="143147"/>
    <x v="23"/>
    <s v="Roshan Zameer"/>
    <s v="30/03/2022"/>
    <s v="Processing"/>
    <s v="113 TB HDD"/>
    <s v="HDD"/>
    <x v="10"/>
    <n v="10000"/>
    <n v="13000"/>
    <n v="4"/>
    <n v="40000"/>
    <n v="52000"/>
    <s v="Ajay Sharma"/>
    <n v="39000"/>
  </r>
  <r>
    <s v="143148"/>
    <x v="1"/>
    <s v="Rakesh Kumar Sharma"/>
    <s v="30/03/2022"/>
    <s v="Delivered"/>
    <s v="623 GB M.2"/>
    <s v="SSD"/>
    <x v="0"/>
    <n v="6500"/>
    <n v="8450"/>
    <n v="2"/>
    <n v="13000"/>
    <n v="16900"/>
    <s v="Roshan Kumar"/>
    <n v="8450"/>
  </r>
  <r>
    <s v="143149"/>
    <x v="2"/>
    <s v="Shivanand Sahani"/>
    <s v="30/03/2022"/>
    <s v="Shipped"/>
    <s v="RYZEN 3rd gen. 3611"/>
    <s v="CPU"/>
    <x v="1"/>
    <n v="8500"/>
    <n v="11050"/>
    <n v="2"/>
    <n v="17000"/>
    <n v="22100"/>
    <s v="Aarvi Gupta"/>
    <n v="33150"/>
  </r>
  <r>
    <s v="143150"/>
    <x v="3"/>
    <s v="Kunal Patra"/>
    <s v="30/03/2022"/>
    <s v="Order"/>
    <s v="2GB Graphic Card"/>
    <s v="Graphic Card"/>
    <x v="2"/>
    <n v="7000"/>
    <n v="9100"/>
    <n v="1"/>
    <n v="7000"/>
    <n v="9100"/>
    <s v="Vijay Singh"/>
    <n v="18200"/>
  </r>
  <r>
    <s v="143151"/>
    <x v="24"/>
    <s v="Bijendra"/>
    <s v="30/03/2022"/>
    <s v="Processing"/>
    <s v="127 GB DDR4 RAM"/>
    <s v="RAM"/>
    <x v="3"/>
    <n v="6550"/>
    <n v="8515"/>
    <n v="4"/>
    <n v="26200"/>
    <n v="34060"/>
    <s v="Aadil Khan"/>
    <n v="25545"/>
  </r>
  <r>
    <s v="143152"/>
    <x v="25"/>
    <s v="Kranti Bheke"/>
    <s v="30/03/2022"/>
    <s v="Delivered"/>
    <s v="Standard ATX motherboard"/>
    <s v="MotherBoard"/>
    <x v="4"/>
    <n v="7650"/>
    <n v="9945"/>
    <n v="4"/>
    <n v="30600"/>
    <n v="39780"/>
    <s v="Advika Joshi"/>
    <n v="39780"/>
  </r>
  <r>
    <s v="143153"/>
    <x v="33"/>
    <s v="Jagdeep"/>
    <s v="30/03/2022"/>
    <s v="Shipped"/>
    <s v="Compact with 1 Fan"/>
    <s v="Cabinet"/>
    <x v="5"/>
    <n v="1150"/>
    <n v="1495"/>
    <n v="4"/>
    <n v="4600"/>
    <n v="5980"/>
    <s v="Ajay Sharma"/>
    <n v="2990"/>
  </r>
  <r>
    <s v="143154"/>
    <x v="34"/>
    <s v="Adhir Samal"/>
    <s v="30/03/2022"/>
    <s v="Order"/>
    <s v="USB Backlight Keyboard"/>
    <s v="Keyboard"/>
    <x v="6"/>
    <n v="850"/>
    <n v="1105"/>
    <n v="2"/>
    <n v="1700"/>
    <n v="2210"/>
    <s v="Roshan Kumar"/>
    <n v="3315"/>
  </r>
  <r>
    <s v="143155"/>
    <x v="4"/>
    <s v="Dannana Jhammi"/>
    <s v="30/03/2022"/>
    <s v="Processing"/>
    <s v="Ergonomic Mouse"/>
    <s v="Mouse"/>
    <x v="0"/>
    <n v="650"/>
    <n v="845"/>
    <n v="1"/>
    <n v="650"/>
    <n v="845"/>
    <s v="Aarvi Gupta"/>
    <n v="1690"/>
  </r>
  <r>
    <s v="143156"/>
    <x v="5"/>
    <s v="Vipin Kumar"/>
    <s v="30/03/2022"/>
    <s v="Delivered"/>
    <s v="15&quot; LCD Dsipaly"/>
    <s v="Monitor"/>
    <x v="6"/>
    <n v="7500"/>
    <n v="9750"/>
    <n v="1"/>
    <n v="7500"/>
    <n v="9750"/>
    <s v="Vijay Singh"/>
    <n v="9750"/>
  </r>
  <r>
    <s v="143157"/>
    <x v="6"/>
    <s v="Ranjeet Kumar"/>
    <s v="30/03/2022"/>
    <s v="Shipped"/>
    <s v="113 TB HDD"/>
    <s v="HDD"/>
    <x v="7"/>
    <n v="10000"/>
    <n v="13000"/>
    <n v="2"/>
    <n v="20000"/>
    <n v="26000"/>
    <s v="Aadil Khan"/>
    <n v="39000"/>
  </r>
  <r>
    <s v="143158"/>
    <x v="7"/>
    <s v="Sajal Singhal"/>
    <s v="30/03/2022"/>
    <s v="Order"/>
    <s v="112 TB SSD"/>
    <s v="SSD"/>
    <x v="0"/>
    <n v="10500"/>
    <n v="13650"/>
    <n v="3"/>
    <n v="31500"/>
    <n v="40950"/>
    <s v="Advika Joshi"/>
    <n v="8450"/>
  </r>
  <r>
    <s v="143159"/>
    <x v="26"/>
    <s v="Akhilesh Kumar"/>
    <s v="30/03/2022"/>
    <s v="Processing"/>
    <s v="Intel i5 12th gen."/>
    <s v="CPU"/>
    <x v="1"/>
    <n v="8500"/>
    <n v="11050"/>
    <n v="4"/>
    <n v="34000"/>
    <n v="44200"/>
    <s v="Ajay Sharma"/>
    <n v="33150"/>
  </r>
  <r>
    <s v="143160"/>
    <x v="27"/>
    <s v="Suvankar Chakraborty"/>
    <s v="30/03/2022"/>
    <s v="Delivered"/>
    <s v="2GB Graphic Card"/>
    <s v="Graphic Card"/>
    <x v="2"/>
    <n v="7000"/>
    <n v="9100"/>
    <n v="4"/>
    <n v="28000"/>
    <n v="36400"/>
    <s v="Roshan Kumar"/>
    <n v="18200"/>
  </r>
  <r>
    <s v="143161"/>
    <x v="8"/>
    <s v="Suvankar Adhikary"/>
    <s v="30/03/2022"/>
    <s v="Shipped"/>
    <s v="115 GB DDR4 Ram"/>
    <s v="RAM"/>
    <x v="3"/>
    <n v="1680"/>
    <n v="2184"/>
    <n v="2"/>
    <n v="3360"/>
    <n v="4368"/>
    <s v="Aarvi Gupta"/>
    <n v="25545"/>
  </r>
  <r>
    <s v="143162"/>
    <x v="9"/>
    <s v="Rahul Kumar Prajapati"/>
    <s v="30/03/2022"/>
    <s v="Order"/>
    <s v="Micro ATX motherboard"/>
    <s v="MotherBoard"/>
    <x v="8"/>
    <n v="6540"/>
    <n v="8502"/>
    <n v="4"/>
    <n v="26160"/>
    <n v="34008"/>
    <s v="Aarvi Gupta"/>
    <n v="39780"/>
  </r>
  <r>
    <s v="143163"/>
    <x v="10"/>
    <s v="Sagar Jeur"/>
    <s v="30/03/2022"/>
    <s v="Processing"/>
    <s v="Gaming Box Cabinet"/>
    <s v="Cabinet"/>
    <x v="5"/>
    <n v="2680"/>
    <n v="3484"/>
    <n v="4"/>
    <n v="10720"/>
    <n v="13936"/>
    <s v="Aarvi Gupta"/>
    <n v="2990"/>
  </r>
  <r>
    <s v="143164"/>
    <x v="11"/>
    <s v="Rhushikesh Mane"/>
    <s v="30/03/2022"/>
    <s v="Delivered"/>
    <s v="17&quot; LCD Display"/>
    <s v="Monitor"/>
    <x v="0"/>
    <n v="8250"/>
    <n v="10725"/>
    <n v="2"/>
    <n v="16500"/>
    <n v="21450"/>
    <s v="Aarvi Gupta"/>
    <n v="9750"/>
  </r>
  <r>
    <s v="143165"/>
    <x v="12"/>
    <s v="Ashish Kumar"/>
    <s v="30/03/2022"/>
    <s v="Shipped"/>
    <s v="119 GB DDR4 RAM"/>
    <s v="RAM"/>
    <x v="0"/>
    <n v="2650"/>
    <n v="3445"/>
    <n v="3"/>
    <n v="7950"/>
    <n v="10335"/>
    <s v="Aarvi Gupta"/>
    <n v="25545"/>
  </r>
  <r>
    <s v="143166"/>
    <x v="13"/>
    <s v="Javed Akhter"/>
    <s v="30/03/2022"/>
    <s v="Order"/>
    <s v="26&quot; LCD Display"/>
    <s v="Monitor"/>
    <x v="9"/>
    <n v="12550"/>
    <n v="16315"/>
    <n v="4"/>
    <n v="50200"/>
    <n v="65260"/>
    <s v="Aarvi Gupta"/>
    <n v="9750"/>
  </r>
  <r>
    <s v="143167"/>
    <x v="14"/>
    <s v="Haridas Balraj"/>
    <s v="30/03/2022"/>
    <s v="Processing"/>
    <s v="I7 - intel 12th Generation"/>
    <s v="CPU"/>
    <x v="1"/>
    <n v="14500"/>
    <n v="18850"/>
    <n v="1"/>
    <n v="14500"/>
    <n v="18850"/>
    <s v="Aarvi Gupta"/>
    <n v="33150"/>
  </r>
  <r>
    <s v="143168"/>
    <x v="15"/>
    <s v="Kundan Kumar"/>
    <s v="30/03/2022"/>
    <s v="Delivered"/>
    <s v="USB Keyboard"/>
    <s v="Keyboard"/>
    <x v="6"/>
    <n v="800"/>
    <n v="1040"/>
    <n v="3"/>
    <n v="2400"/>
    <n v="3120"/>
    <s v="Aarvi Gupta"/>
    <n v="3315"/>
  </r>
  <r>
    <s v="143169"/>
    <x v="16"/>
    <s v="Atif Siddiqui"/>
    <s v="30/03/2022"/>
    <s v="Shipped"/>
    <s v="Wireless Mouse"/>
    <s v="Mouse"/>
    <x v="0"/>
    <n v="600"/>
    <n v="780"/>
    <n v="3"/>
    <n v="1800"/>
    <n v="2340"/>
    <s v="Aarvi Gupta"/>
    <n v="1690"/>
  </r>
  <r>
    <s v="143170"/>
    <x v="17"/>
    <s v="Aditya Agarwal"/>
    <s v="30/03/2022"/>
    <s v="Order"/>
    <s v="21&quot; LCD Display"/>
    <s v="Monitor"/>
    <x v="6"/>
    <n v="10500"/>
    <n v="13650"/>
    <n v="1"/>
    <n v="10500"/>
    <n v="13650"/>
    <s v="Aarvi Gupta"/>
    <n v="9750"/>
  </r>
  <r>
    <s v="143171"/>
    <x v="18"/>
    <s v="Firdoush Jabee"/>
    <s v="30/03/2022"/>
    <s v="Processing"/>
    <s v="113 TB HDD"/>
    <s v="HDD"/>
    <x v="10"/>
    <n v="6500"/>
    <n v="8450"/>
    <n v="2"/>
    <n v="13000"/>
    <n v="16900"/>
    <s v="Ajay Sharma"/>
    <n v="39000"/>
  </r>
  <r>
    <s v="143172"/>
    <x v="19"/>
    <s v="Jay Prakash Kumar"/>
    <s v="30/03/2022"/>
    <s v="Delivered"/>
    <s v="368 GB SSD"/>
    <s v="SSD"/>
    <x v="0"/>
    <n v="4500"/>
    <n v="5850"/>
    <n v="2"/>
    <n v="9000"/>
    <n v="11700"/>
    <s v="Roshan Kumar"/>
    <n v="8450"/>
  </r>
  <r>
    <s v="143173"/>
    <x v="20"/>
    <s v="Ashish Pandey"/>
    <s v="30/03/2022"/>
    <s v="Shipped"/>
    <s v="Intel i3 11th gen."/>
    <s v="CPU"/>
    <x v="1"/>
    <n v="8500"/>
    <n v="11050"/>
    <n v="1"/>
    <n v="8500"/>
    <n v="11050"/>
    <s v="Aarvi Gupta"/>
    <n v="33150"/>
  </r>
  <r>
    <s v="143174"/>
    <x v="16"/>
    <s v="Ajay Sharma"/>
    <s v="30/03/2022"/>
    <s v="Order"/>
    <s v="4GB Graphic card"/>
    <s v="Graphic Card"/>
    <x v="2"/>
    <n v="12500"/>
    <n v="16250"/>
    <n v="2"/>
    <n v="25000"/>
    <n v="32500"/>
    <s v="Vijay Singh"/>
    <n v="18200"/>
  </r>
  <r>
    <s v="143175"/>
    <x v="17"/>
    <s v="Moinuddin Saifi"/>
    <s v="30/03/2022"/>
    <s v="Processing"/>
    <s v="120 GB DDR4 RAM"/>
    <s v="Computer Case"/>
    <x v="3"/>
    <n v="3500"/>
    <n v="4550"/>
    <n v="4"/>
    <n v="14000"/>
    <n v="18200"/>
    <s v="Aadil Khan"/>
    <n v="13650"/>
  </r>
  <r>
    <s v="143176"/>
    <x v="27"/>
    <s v="Ramkrishna Das Adhikary"/>
    <s v="30/03/2022"/>
    <s v="Delivered"/>
    <s v="BTX motherboard"/>
    <s v="Mouse"/>
    <x v="4"/>
    <n v="4500"/>
    <n v="5850"/>
    <n v="2"/>
    <n v="9000"/>
    <n v="11700"/>
    <s v="Advika Joshi"/>
    <n v="1690"/>
  </r>
  <r>
    <s v="143177"/>
    <x v="22"/>
    <s v="Ranjeet Mandal"/>
    <s v="30/03/2022"/>
    <s v="Shipped"/>
    <s v="115 Fans Cabinet"/>
    <s v="Cabinet"/>
    <x v="5"/>
    <n v="2100"/>
    <n v="2730"/>
    <n v="1"/>
    <n v="2100"/>
    <n v="2730"/>
    <s v="Ajay Sharma"/>
    <n v="2990"/>
  </r>
  <r>
    <s v="143178"/>
    <x v="28"/>
    <s v="Ashwini Adsare"/>
    <s v="30/03/2022"/>
    <s v="Order"/>
    <s v="Wireless Keyboard"/>
    <s v="Keyboard"/>
    <x v="6"/>
    <n v="1150"/>
    <n v="1495"/>
    <n v="1"/>
    <n v="1150"/>
    <n v="1495"/>
    <s v="Roshan Kumar"/>
    <n v="3315"/>
  </r>
  <r>
    <s v="143179"/>
    <x v="29"/>
    <s v="Rajesh Variya"/>
    <s v="30/03/2022"/>
    <s v="Processing"/>
    <s v="USB Mouse"/>
    <s v="Mouse"/>
    <x v="0"/>
    <n v="350"/>
    <n v="455"/>
    <n v="1"/>
    <n v="350"/>
    <n v="455"/>
    <s v="Aarvi Gupta"/>
    <n v="1690"/>
  </r>
  <r>
    <s v="143180"/>
    <x v="30"/>
    <s v="Amit Singh"/>
    <s v="30/03/2022"/>
    <s v="Delivered"/>
    <s v="19&quot; LED Display"/>
    <s v="Monitor"/>
    <x v="6"/>
    <n v="9500"/>
    <n v="12350"/>
    <n v="3"/>
    <n v="28500"/>
    <n v="37050"/>
    <s v="Vijay Singh"/>
    <n v="9750"/>
  </r>
  <r>
    <s v="143181"/>
    <x v="31"/>
    <s v="Vinod Mehta"/>
    <s v="30/03/2022"/>
    <s v="Shipped"/>
    <s v="114 TB HDD"/>
    <s v="HDD"/>
    <x v="10"/>
    <n v="10000"/>
    <n v="13000"/>
    <n v="3"/>
    <n v="30000"/>
    <n v="39000"/>
    <s v="Aarvi Gupta"/>
    <n v="39000"/>
  </r>
  <r>
    <s v="143182"/>
    <x v="32"/>
    <s v="Jignesh Mhatre"/>
    <s v="30/03/2022"/>
    <s v="Order"/>
    <s v="624 GB M.2"/>
    <s v="SSD"/>
    <x v="0"/>
    <n v="6500"/>
    <n v="8450"/>
    <n v="4"/>
    <n v="26000"/>
    <n v="33800"/>
    <s v="Aarvi Gupta"/>
    <n v="8450"/>
  </r>
  <r>
    <s v="143183"/>
    <x v="0"/>
    <s v="Rahul Kashyap"/>
    <s v="30/03/2022"/>
    <s v="Processing"/>
    <s v="RYZEN 3rd gen. 3612"/>
    <s v="CPU"/>
    <x v="1"/>
    <n v="8500"/>
    <n v="11050"/>
    <n v="2"/>
    <n v="17000"/>
    <n v="22100"/>
    <s v="Aarvi Gupta"/>
    <n v="33150"/>
  </r>
  <r>
    <s v="143184"/>
    <x v="23"/>
    <s v="Mohammed Abdul Kaleem"/>
    <s v="30/03/2022"/>
    <s v="Delivered"/>
    <s v="2GB Graphic Card"/>
    <s v="Graphic Card"/>
    <x v="2"/>
    <n v="7000"/>
    <n v="9100"/>
    <n v="4"/>
    <n v="28000"/>
    <n v="36400"/>
    <s v="Aarvi Gupta"/>
    <n v="18200"/>
  </r>
  <r>
    <s v="143185"/>
    <x v="1"/>
    <s v="Chandrakant Kasbe"/>
    <s v="30/03/2022"/>
    <s v="Shipped"/>
    <s v="128 GB DDR4 RAM"/>
    <s v="Computer Case"/>
    <x v="3"/>
    <n v="6550"/>
    <n v="8515"/>
    <n v="4"/>
    <n v="26200"/>
    <n v="34060"/>
    <s v="Aarvi Gupta"/>
    <n v="13650"/>
  </r>
  <r>
    <s v="143186"/>
    <x v="2"/>
    <s v="Rohan Kale"/>
    <s v="30/03/2022"/>
    <s v="Order"/>
    <s v="Standard ATX motherboard"/>
    <s v="Mouse"/>
    <x v="4"/>
    <n v="7650"/>
    <n v="9945"/>
    <n v="1"/>
    <n v="7650"/>
    <n v="9945"/>
    <s v="Aarvi Gupta"/>
    <n v="1690"/>
  </r>
  <r>
    <s v="143187"/>
    <x v="3"/>
    <s v="Aniruddha Kekapure"/>
    <s v="30/03/2022"/>
    <s v="Processing"/>
    <s v="Compact with 1 Fan"/>
    <s v="Cabinet"/>
    <x v="5"/>
    <n v="1150"/>
    <n v="1495"/>
    <n v="2"/>
    <n v="2300"/>
    <n v="2990"/>
    <s v="Aarvi Gupta"/>
    <n v="2990"/>
  </r>
  <r>
    <s v="143188"/>
    <x v="24"/>
    <s v="Aslam Raza"/>
    <s v="30/03/2022"/>
    <s v="Delivered"/>
    <s v="USB Backlight Keyboard"/>
    <s v="Keyboard"/>
    <x v="6"/>
    <n v="850"/>
    <n v="1105"/>
    <n v="4"/>
    <n v="3400"/>
    <n v="4420"/>
    <s v="Aarvi Gupta"/>
    <n v="3315"/>
  </r>
  <r>
    <s v="143189"/>
    <x v="25"/>
    <s v="Roshan Zameer"/>
    <s v="30/03/2022"/>
    <s v="Shipped"/>
    <s v="Ergonomic Mouse"/>
    <s v="Mouse"/>
    <x v="0"/>
    <n v="650"/>
    <n v="845"/>
    <n v="4"/>
    <n v="2600"/>
    <n v="3380"/>
    <s v="Aarvi Gupta"/>
    <n v="1690"/>
  </r>
  <r>
    <s v="143190"/>
    <x v="33"/>
    <s v="Rakesh Kumar Sharma"/>
    <s v="30/03/2022"/>
    <s v="Order"/>
    <s v="15&quot; LCD Dsipaly"/>
    <s v="Monitor"/>
    <x v="6"/>
    <n v="7500"/>
    <n v="9750"/>
    <n v="3"/>
    <n v="22500"/>
    <n v="29250"/>
    <s v="Aarvi Gupta"/>
    <n v="9750"/>
  </r>
  <r>
    <s v="143191"/>
    <x v="34"/>
    <s v="Shivanand Sahani"/>
    <s v="30/03/2022"/>
    <s v="Processing"/>
    <s v="114 TB HDD"/>
    <s v="HDD"/>
    <x v="7"/>
    <n v="10000"/>
    <n v="13000"/>
    <n v="4"/>
    <n v="40000"/>
    <n v="52000"/>
    <s v="Aarvi Gupta"/>
    <n v="39000"/>
  </r>
  <r>
    <s v="143192"/>
    <x v="4"/>
    <s v="Kunal Patra"/>
    <s v="30/03/2022"/>
    <s v="Delivered"/>
    <s v="113 TB SSD"/>
    <s v="SSD"/>
    <x v="0"/>
    <n v="10500"/>
    <n v="13650"/>
    <n v="4"/>
    <n v="42000"/>
    <n v="54600"/>
    <s v="Vijay Singh"/>
    <n v="8450"/>
  </r>
  <r>
    <s v="143193"/>
    <x v="5"/>
    <s v="Bijendra"/>
    <s v="30/03/2022"/>
    <s v="Shipped"/>
    <s v="Intel i5 12th gen."/>
    <s v="CPU"/>
    <x v="1"/>
    <n v="8500"/>
    <n v="11050"/>
    <n v="4"/>
    <n v="34000"/>
    <n v="44200"/>
    <s v="Aadil Khan"/>
    <n v="33150"/>
  </r>
  <r>
    <s v="143194"/>
    <x v="6"/>
    <s v="Kranti Bheke"/>
    <s v="30/03/2022"/>
    <s v="Order"/>
    <s v="2GB Graphic Card"/>
    <s v="Graphic Card"/>
    <x v="2"/>
    <n v="7000"/>
    <n v="9100"/>
    <n v="3"/>
    <n v="21000"/>
    <n v="27300"/>
    <s v="Advika Joshi"/>
    <n v="18200"/>
  </r>
  <r>
    <s v="143195"/>
    <x v="7"/>
    <s v="Jagdeep"/>
    <s v="30/03/2022"/>
    <s v="Processing"/>
    <s v="116 GB DDR4 Ram"/>
    <s v="Computer Case"/>
    <x v="3"/>
    <n v="1680"/>
    <n v="2184"/>
    <n v="1"/>
    <n v="1680"/>
    <n v="2184"/>
    <s v="Ajay Sharma"/>
    <n v="13650"/>
  </r>
  <r>
    <s v="143196"/>
    <x v="26"/>
    <s v="Adhir Samal"/>
    <s v="30/03/2022"/>
    <s v="Delivered"/>
    <s v="Micro ATX motherboard"/>
    <s v="Mouse"/>
    <x v="8"/>
    <n v="6540"/>
    <n v="8502"/>
    <n v="1"/>
    <n v="6540"/>
    <n v="8502"/>
    <s v="Roshan Kumar"/>
    <n v="1690"/>
  </r>
  <r>
    <s v="143197"/>
    <x v="27"/>
    <s v="Dannana Jhammi"/>
    <s v="30/03/2022"/>
    <s v="Shipped"/>
    <s v="Gaming Box Cabinet"/>
    <s v="Cabinet"/>
    <x v="5"/>
    <n v="2680"/>
    <n v="3484"/>
    <n v="3"/>
    <n v="8040"/>
    <n v="10452"/>
    <s v="Aarvi Gupta"/>
    <n v="2990"/>
  </r>
  <r>
    <s v="143198"/>
    <x v="8"/>
    <s v="Vipin Kumar"/>
    <s v="30/03/2022"/>
    <s v="Order"/>
    <s v="17&quot; LCD Display"/>
    <s v="Monitor"/>
    <x v="0"/>
    <n v="8250"/>
    <n v="10725"/>
    <n v="1"/>
    <n v="8250"/>
    <n v="10725"/>
    <s v="Vijay Singh"/>
    <n v="9750"/>
  </r>
  <r>
    <s v="143199"/>
    <x v="9"/>
    <s v="Ranjeet Kumar"/>
    <s v="30/03/2022"/>
    <s v="Processing"/>
    <s v="120 GB DDR4 RAM"/>
    <s v="RAM"/>
    <x v="0"/>
    <n v="2650"/>
    <n v="3445"/>
    <n v="1"/>
    <n v="2650"/>
    <n v="3445"/>
    <s v="Aadil Khan"/>
    <n v="25545"/>
  </r>
  <r>
    <s v="143200"/>
    <x v="10"/>
    <s v="Sajal Singhal"/>
    <s v="30/03/2022"/>
    <s v="Delivered"/>
    <s v="26&quot; LCD Display"/>
    <s v="Monitor"/>
    <x v="9"/>
    <n v="12550"/>
    <n v="16315"/>
    <n v="4"/>
    <n v="50200"/>
    <n v="65260"/>
    <s v="Aarvi Gupta"/>
    <n v="9750"/>
  </r>
  <r>
    <s v="143201"/>
    <x v="11"/>
    <s v="Akhilesh Kumar"/>
    <s v="30/03/2022"/>
    <s v="Shipped"/>
    <s v="I7 - intel 12th Generation"/>
    <s v="CPU"/>
    <x v="1"/>
    <n v="14500"/>
    <n v="18850"/>
    <n v="2"/>
    <n v="29000"/>
    <n v="37700"/>
    <s v="Aarvi Gupta"/>
    <n v="33150"/>
  </r>
  <r>
    <s v="143202"/>
    <x v="12"/>
    <s v="Suvankar Chakraborty"/>
    <s v="30/03/2022"/>
    <s v="Order"/>
    <s v="USB Keyboard"/>
    <s v="Keyboard"/>
    <x v="6"/>
    <n v="800"/>
    <n v="1040"/>
    <n v="2"/>
    <n v="1600"/>
    <n v="2080"/>
    <s v="Aarvi Gupta"/>
    <n v="3315"/>
  </r>
  <r>
    <s v="143203"/>
    <x v="13"/>
    <s v="Suvankar Adhikary"/>
    <s v="30/03/2022"/>
    <s v="Processing"/>
    <s v="Wireless Mouse"/>
    <s v="Mouse"/>
    <x v="0"/>
    <n v="600"/>
    <n v="780"/>
    <n v="1"/>
    <n v="600"/>
    <n v="780"/>
    <s v="Aarvi Gupta"/>
    <n v="1690"/>
  </r>
  <r>
    <s v="143204"/>
    <x v="14"/>
    <s v="Rahul Kumar Prajapati"/>
    <s v="30/03/2022"/>
    <s v="Delivered"/>
    <s v="21&quot; LCD Display"/>
    <s v="Monitor"/>
    <x v="6"/>
    <n v="10500"/>
    <n v="13650"/>
    <n v="2"/>
    <n v="21000"/>
    <n v="27300"/>
    <s v="Aarvi Gupta"/>
    <n v="9750"/>
  </r>
  <r>
    <s v="143205"/>
    <x v="15"/>
    <s v="Sagar Jeur"/>
    <s v="30/03/2022"/>
    <s v="Shipped"/>
    <s v="114 TB HDD"/>
    <s v="HDD"/>
    <x v="10"/>
    <n v="6500"/>
    <n v="8450"/>
    <n v="4"/>
    <n v="26000"/>
    <n v="33800"/>
    <s v="Aarvi Gupta"/>
    <n v="39000"/>
  </r>
  <r>
    <s v="143206"/>
    <x v="16"/>
    <s v="Rhushikesh Mane"/>
    <s v="30/03/2022"/>
    <s v="Order"/>
    <s v="369 GB SSD"/>
    <s v="SSD"/>
    <x v="0"/>
    <n v="4500"/>
    <n v="5850"/>
    <n v="2"/>
    <n v="9000"/>
    <n v="11700"/>
    <s v="Aarvi Gupta"/>
    <n v="8450"/>
  </r>
  <r>
    <s v="143207"/>
    <x v="17"/>
    <s v="Ashish Kumar"/>
    <s v="30/03/2022"/>
    <s v="Processing"/>
    <s v="Intel i3 11th gen."/>
    <s v="CPU"/>
    <x v="1"/>
    <n v="8500"/>
    <n v="11050"/>
    <n v="3"/>
    <n v="25500"/>
    <n v="33150"/>
    <s v="Aarvi Gupta"/>
    <n v="33150"/>
  </r>
  <r>
    <s v="143208"/>
    <x v="18"/>
    <s v="Javed Akhter"/>
    <s v="30/03/2022"/>
    <s v="Delivered"/>
    <s v="4GB Graphic card"/>
    <s v="Graphic Card"/>
    <x v="2"/>
    <n v="12500"/>
    <n v="16250"/>
    <n v="2"/>
    <n v="25000"/>
    <n v="32500"/>
    <s v="Aarvi Gupta"/>
    <n v="18200"/>
  </r>
  <r>
    <s v="143209"/>
    <x v="19"/>
    <s v="Haridas Balraj"/>
    <s v="30/03/2022"/>
    <s v="Shipped"/>
    <s v="121 GB DDR4 RAM"/>
    <s v="NIC"/>
    <x v="3"/>
    <n v="3500"/>
    <n v="4550"/>
    <n v="1"/>
    <n v="3500"/>
    <n v="4550"/>
    <s v="Aarvi Gupta"/>
    <n v="9100"/>
  </r>
  <r>
    <s v="143210"/>
    <x v="20"/>
    <s v="Kundan Kumar"/>
    <s v="30/03/2022"/>
    <s v="Order"/>
    <s v="BTX motherboard"/>
    <s v="Printer"/>
    <x v="4"/>
    <n v="4500"/>
    <n v="5850"/>
    <n v="3"/>
    <n v="13500"/>
    <n v="17550"/>
    <s v="Vijay Singh"/>
    <n v="11700"/>
  </r>
  <r>
    <s v="143211"/>
    <x v="16"/>
    <s v="Atif Siddiqui"/>
    <s v="30/03/2022"/>
    <s v="Processing"/>
    <s v="116 Fans Cabinet"/>
    <s v="Cabinet"/>
    <x v="5"/>
    <n v="2100"/>
    <n v="2730"/>
    <n v="4"/>
    <n v="8400"/>
    <n v="10920"/>
    <s v="Aadil Khan"/>
    <n v="2990"/>
  </r>
  <r>
    <s v="143212"/>
    <x v="17"/>
    <s v="Aditya Agarwal"/>
    <s v="30/03/2022"/>
    <s v="Delivered"/>
    <s v="Wireless Keyboard"/>
    <s v="Keyboard"/>
    <x v="6"/>
    <n v="1150"/>
    <n v="1495"/>
    <n v="1"/>
    <n v="1150"/>
    <n v="1495"/>
    <s v="Advika Joshi"/>
    <n v="3315"/>
  </r>
  <r>
    <s v="143213"/>
    <x v="27"/>
    <s v="Firdoush Jabee"/>
    <s v="30/03/2022"/>
    <s v="Shipped"/>
    <s v="USB Mouse"/>
    <s v="Mouse"/>
    <x v="0"/>
    <n v="350"/>
    <n v="455"/>
    <n v="3"/>
    <n v="1050"/>
    <n v="1365"/>
    <s v="Ajay Sharma"/>
    <n v="1690"/>
  </r>
  <r>
    <s v="143214"/>
    <x v="22"/>
    <s v="Jay Prakash Kumar"/>
    <s v="30/03/2022"/>
    <s v="Order"/>
    <s v="19&quot; LED Display"/>
    <s v="Monitor"/>
    <x v="6"/>
    <n v="9500"/>
    <n v="12350"/>
    <n v="4"/>
    <n v="38000"/>
    <n v="49400"/>
    <s v="Roshan Kumar"/>
    <n v="9750"/>
  </r>
  <r>
    <s v="143215"/>
    <x v="28"/>
    <s v="Ashish Pandey"/>
    <s v="30/03/2022"/>
    <s v="Processing"/>
    <s v="115 TB HDD"/>
    <s v="HDD"/>
    <x v="10"/>
    <n v="10000"/>
    <n v="13000"/>
    <n v="3"/>
    <n v="30000"/>
    <n v="39000"/>
    <s v="Aarvi Gupta"/>
    <n v="39000"/>
  </r>
  <r>
    <s v="143216"/>
    <x v="29"/>
    <s v="Ajay Sharma"/>
    <s v="30/03/2022"/>
    <s v="Delivered"/>
    <s v="625 GB M.2"/>
    <s v="SSD"/>
    <x v="0"/>
    <n v="6500"/>
    <n v="8450"/>
    <n v="2"/>
    <n v="13000"/>
    <n v="16900"/>
    <s v="Vijay Singh"/>
    <n v="8450"/>
  </r>
  <r>
    <s v="143217"/>
    <x v="30"/>
    <s v="Moinuddin Saifi"/>
    <s v="30/03/2022"/>
    <s v="Shipped"/>
    <s v="RYZEN 3rd gen. 3613"/>
    <s v="CPU"/>
    <x v="1"/>
    <n v="8500"/>
    <n v="11050"/>
    <n v="1"/>
    <n v="8500"/>
    <n v="11050"/>
    <s v="Aadil Khan"/>
    <n v="33150"/>
  </r>
  <r>
    <s v="143218"/>
    <x v="31"/>
    <s v="Ramkrishna Das Adhikary"/>
    <s v="30/03/2022"/>
    <s v="Order"/>
    <s v="2GB Graphic Card"/>
    <s v="Graphic Card"/>
    <x v="2"/>
    <n v="7000"/>
    <n v="9100"/>
    <n v="4"/>
    <n v="28000"/>
    <n v="36400"/>
    <s v="Advika Joshi"/>
    <n v="18200"/>
  </r>
  <r>
    <s v="143219"/>
    <x v="32"/>
    <s v="Ranjeet Mandal"/>
    <s v="30/03/2022"/>
    <s v="Processing"/>
    <s v="129 GB DDR4 RAM"/>
    <s v="NIC"/>
    <x v="3"/>
    <n v="6550"/>
    <n v="8515"/>
    <n v="2"/>
    <n v="13100"/>
    <n v="17030"/>
    <s v="Ajay Sharma"/>
    <n v="9100"/>
  </r>
  <r>
    <s v="143220"/>
    <x v="0"/>
    <s v="Ashwini Adsare"/>
    <s v="30/03/2022"/>
    <s v="Delivered"/>
    <s v="Standard ATX motherboard"/>
    <s v="Printer"/>
    <x v="4"/>
    <n v="7650"/>
    <n v="9945"/>
    <n v="2"/>
    <n v="15300"/>
    <n v="19890"/>
    <s v="Aarvi Gupta"/>
    <n v="11700"/>
  </r>
  <r>
    <s v="143221"/>
    <x v="23"/>
    <s v="Rajesh Variya"/>
    <s v="30/03/2022"/>
    <s v="Shipped"/>
    <s v="Compact with 1 Fan"/>
    <s v="Cabinet"/>
    <x v="5"/>
    <n v="1150"/>
    <n v="1495"/>
    <n v="2"/>
    <n v="2300"/>
    <n v="2990"/>
    <s v="Aarvi Gupta"/>
    <n v="2990"/>
  </r>
  <r>
    <s v="143222"/>
    <x v="1"/>
    <s v="Amit Singh"/>
    <s v="30/03/2022"/>
    <s v="Order"/>
    <s v="USB Backlight Keyboard"/>
    <s v="Keyboard"/>
    <x v="6"/>
    <n v="850"/>
    <n v="1105"/>
    <n v="1"/>
    <n v="850"/>
    <n v="1105"/>
    <s v="Aarvi Gupta"/>
    <n v="3315"/>
  </r>
  <r>
    <s v="143223"/>
    <x v="2"/>
    <s v="Vinod Mehta"/>
    <s v="30/03/2022"/>
    <s v="Processing"/>
    <s v="Ergonomic Mouse"/>
    <s v="Mouse"/>
    <x v="0"/>
    <n v="650"/>
    <n v="845"/>
    <n v="1"/>
    <n v="650"/>
    <n v="845"/>
    <s v="Aarvi Gupta"/>
    <n v="1690"/>
  </r>
  <r>
    <s v="143224"/>
    <x v="3"/>
    <s v="Jignesh Mhatre"/>
    <s v="30/03/2022"/>
    <s v="Delivered"/>
    <s v="15&quot; LCD Dsipaly"/>
    <s v="Monitor"/>
    <x v="6"/>
    <n v="7500"/>
    <n v="9750"/>
    <n v="3"/>
    <n v="22500"/>
    <n v="29250"/>
    <s v="Aarvi Gupta"/>
    <n v="9750"/>
  </r>
  <r>
    <s v="143225"/>
    <x v="24"/>
    <s v="Rahul Kashyap"/>
    <s v="30/03/2022"/>
    <s v="Shipped"/>
    <s v="115 TB HDD"/>
    <s v="HDD"/>
    <x v="7"/>
    <n v="10000"/>
    <n v="13000"/>
    <n v="1"/>
    <n v="10000"/>
    <n v="13000"/>
    <s v="Aarvi Gupta"/>
    <n v="39000"/>
  </r>
  <r>
    <s v="143226"/>
    <x v="25"/>
    <s v="Mohammed Abdul Kaleem"/>
    <s v="30/03/2022"/>
    <s v="Order"/>
    <s v="114 TB SSD"/>
    <s v="SSD"/>
    <x v="0"/>
    <n v="10500"/>
    <n v="13650"/>
    <n v="4"/>
    <n v="42000"/>
    <n v="54600"/>
    <s v="Aarvi Gupta"/>
    <n v="8450"/>
  </r>
  <r>
    <s v="143227"/>
    <x v="33"/>
    <s v="Chandrakant Kasbe"/>
    <s v="30/03/2022"/>
    <s v="Processing"/>
    <s v="Intel i5 12th gen."/>
    <s v="CPU"/>
    <x v="1"/>
    <n v="8500"/>
    <n v="11050"/>
    <n v="3"/>
    <n v="25500"/>
    <n v="33150"/>
    <s v="Aarvi Gupta"/>
    <n v="33150"/>
  </r>
  <r>
    <s v="143228"/>
    <x v="34"/>
    <s v="Rohan Kale"/>
    <s v="30/03/2022"/>
    <s v="Delivered"/>
    <s v="2GB Graphic Card"/>
    <s v="Graphic Card"/>
    <x v="2"/>
    <n v="7000"/>
    <n v="9100"/>
    <n v="2"/>
    <n v="14000"/>
    <n v="18200"/>
    <s v="Aarvi Gupta"/>
    <n v="18200"/>
  </r>
  <r>
    <s v="143229"/>
    <x v="4"/>
    <s v="Aniruddha Kekapure"/>
    <s v="31/03/2022"/>
    <s v="Shipped"/>
    <s v="117 GB DDR4 Ram"/>
    <s v="NIC"/>
    <x v="3"/>
    <n v="1680"/>
    <n v="2184"/>
    <n v="3"/>
    <n v="5040"/>
    <n v="6552"/>
    <s v="Aarvi Gupta"/>
    <n v="9100"/>
  </r>
  <r>
    <s v="143230"/>
    <x v="5"/>
    <s v="Aslam Raza"/>
    <s v="31/03/2022"/>
    <s v="Order"/>
    <s v="Micro ATX motherboard"/>
    <s v="Printer"/>
    <x v="8"/>
    <n v="6540"/>
    <n v="8502"/>
    <n v="1"/>
    <n v="6540"/>
    <n v="8502"/>
    <s v="Advika Joshi"/>
    <n v="11700"/>
  </r>
  <r>
    <s v="143231"/>
    <x v="6"/>
    <s v="Roshan Zameer"/>
    <s v="31/03/2022"/>
    <s v="Processing"/>
    <s v="Gaming Box Cabinet"/>
    <s v="Cabinet"/>
    <x v="5"/>
    <n v="2680"/>
    <n v="3484"/>
    <n v="4"/>
    <n v="10720"/>
    <n v="13936"/>
    <s v="Ajay Sharma"/>
    <n v="2990"/>
  </r>
  <r>
    <s v="143232"/>
    <x v="7"/>
    <s v="Rakesh Kumar Sharma"/>
    <s v="31/03/2022"/>
    <s v="Delivered"/>
    <s v="17&quot; LCD Display"/>
    <s v="Monitor"/>
    <x v="0"/>
    <n v="8250"/>
    <n v="10725"/>
    <n v="4"/>
    <n v="33000"/>
    <n v="42900"/>
    <s v="Roshan Kumar"/>
    <n v="9750"/>
  </r>
  <r>
    <s v="143233"/>
    <x v="26"/>
    <s v="Shivanand Sahani"/>
    <s v="31/03/2022"/>
    <s v="Shipped"/>
    <s v="121 GB DDR4 RAM"/>
    <s v="RAM"/>
    <x v="0"/>
    <n v="2650"/>
    <n v="3445"/>
    <n v="2"/>
    <n v="5300"/>
    <n v="6890"/>
    <s v="Aarvi Gupta"/>
    <n v="25545"/>
  </r>
  <r>
    <s v="143234"/>
    <x v="27"/>
    <s v="Kunal Patra"/>
    <s v="31/03/2022"/>
    <s v="Order"/>
    <s v="26&quot; LCD Display"/>
    <s v="Monitor"/>
    <x v="9"/>
    <n v="12550"/>
    <n v="16315"/>
    <n v="1"/>
    <n v="12550"/>
    <n v="16315"/>
    <s v="Vijay Singh"/>
    <n v="9750"/>
  </r>
  <r>
    <s v="143235"/>
    <x v="8"/>
    <s v="Bijendra"/>
    <s v="31/03/2022"/>
    <s v="Processing"/>
    <s v="I7 - intel 12th Generation"/>
    <s v="CPU"/>
    <x v="1"/>
    <n v="14500"/>
    <n v="18850"/>
    <n v="1"/>
    <n v="14500"/>
    <n v="18850"/>
    <s v="Aadil Khan"/>
    <n v="33150"/>
  </r>
  <r>
    <s v="143236"/>
    <x v="9"/>
    <s v="Kranti Bheke"/>
    <s v="31/03/2022"/>
    <s v="Delivered"/>
    <s v="USB Keyboard"/>
    <s v="Keyboard"/>
    <x v="6"/>
    <n v="800"/>
    <n v="1040"/>
    <n v="3"/>
    <n v="2400"/>
    <n v="3120"/>
    <s v="Advika Joshi"/>
    <n v="3315"/>
  </r>
  <r>
    <s v="143237"/>
    <x v="10"/>
    <s v="Jagdeep"/>
    <s v="31/03/2022"/>
    <s v="Shipped"/>
    <s v="Wireless Mouse"/>
    <s v="Mouse"/>
    <x v="0"/>
    <n v="600"/>
    <n v="780"/>
    <n v="3"/>
    <n v="1800"/>
    <n v="2340"/>
    <s v="Ajay Sharma"/>
    <n v="1690"/>
  </r>
  <r>
    <s v="143238"/>
    <x v="11"/>
    <s v="Adhir Samal"/>
    <s v="31/03/2022"/>
    <s v="Order"/>
    <s v="21&quot; LCD Display"/>
    <s v="Monitor"/>
    <x v="6"/>
    <n v="10500"/>
    <n v="13650"/>
    <n v="2"/>
    <n v="21000"/>
    <n v="27300"/>
    <s v="Roshan Kumar"/>
    <n v="9750"/>
  </r>
  <r>
    <s v="143239"/>
    <x v="12"/>
    <s v="Dannana Jhammi"/>
    <s v="31/03/2022"/>
    <s v="Processing"/>
    <s v="115 TB HDD"/>
    <s v="HDD"/>
    <x v="10"/>
    <n v="6500"/>
    <n v="8450"/>
    <n v="1"/>
    <n v="6500"/>
    <n v="8450"/>
    <s v="Aarvi Gupta"/>
    <n v="39000"/>
  </r>
  <r>
    <s v="143240"/>
    <x v="13"/>
    <s v="Vipin Kumar"/>
    <s v="31/03/2022"/>
    <s v="Delivered"/>
    <s v="370 GB SSD"/>
    <s v="SSD"/>
    <x v="0"/>
    <n v="4500"/>
    <n v="5850"/>
    <n v="3"/>
    <n v="13500"/>
    <n v="17550"/>
    <s v="Vijay Singh"/>
    <n v="8450"/>
  </r>
  <r>
    <s v="143241"/>
    <x v="14"/>
    <s v="Ranjeet Kumar"/>
    <s v="31/03/2022"/>
    <s v="Shipped"/>
    <s v="Intel i3 11th gen."/>
    <s v="CPU"/>
    <x v="1"/>
    <n v="8500"/>
    <n v="11050"/>
    <n v="2"/>
    <n v="17000"/>
    <n v="22100"/>
    <s v="Aarvi Gupta"/>
    <n v="33150"/>
  </r>
  <r>
    <s v="143242"/>
    <x v="15"/>
    <s v="Sajal Singhal"/>
    <s v="31/03/2022"/>
    <s v="Order"/>
    <s v="4GB Graphic card"/>
    <s v="Graphic Card"/>
    <x v="2"/>
    <n v="12500"/>
    <n v="16250"/>
    <n v="2"/>
    <n v="25000"/>
    <n v="32500"/>
    <s v="Aarvi Gupta"/>
    <n v="18200"/>
  </r>
  <r>
    <s v="143243"/>
    <x v="16"/>
    <s v="Akhilesh Kumar"/>
    <s v="31/03/2022"/>
    <s v="Processing"/>
    <s v="122 GB DDR4 RAM"/>
    <s v="RAM"/>
    <x v="3"/>
    <n v="3500"/>
    <n v="4550"/>
    <n v="1"/>
    <n v="3500"/>
    <n v="4550"/>
    <s v="Aarvi Gupta"/>
    <n v="25545"/>
  </r>
  <r>
    <s v="143244"/>
    <x v="17"/>
    <s v="Suvankar Chakraborty"/>
    <s v="31/03/2022"/>
    <s v="Delivered"/>
    <s v="BTX motherboard"/>
    <s v="MotherBoard"/>
    <x v="4"/>
    <n v="4500"/>
    <n v="5850"/>
    <n v="1"/>
    <n v="4500"/>
    <n v="5850"/>
    <s v="Aarvi Gupta"/>
    <n v="39780"/>
  </r>
  <r>
    <s v="143245"/>
    <x v="18"/>
    <s v="Suvankar Adhikary"/>
    <s v="31/03/2022"/>
    <s v="Shipped"/>
    <s v="117 Fans Cabinet"/>
    <s v="Cabinet"/>
    <x v="5"/>
    <n v="2100"/>
    <n v="2730"/>
    <n v="1"/>
    <n v="2100"/>
    <n v="2730"/>
    <s v="Aarvi Gupta"/>
    <n v="2990"/>
  </r>
  <r>
    <s v="143246"/>
    <x v="19"/>
    <s v="Rahul Kumar Prajapati"/>
    <s v="31/03/2022"/>
    <s v="Order"/>
    <s v="Wireless Keyboard"/>
    <s v="Keyboard"/>
    <x v="6"/>
    <n v="1150"/>
    <n v="1495"/>
    <n v="4"/>
    <n v="4600"/>
    <n v="5980"/>
    <s v="Aarvi Gupta"/>
    <n v="3315"/>
  </r>
  <r>
    <s v="143247"/>
    <x v="20"/>
    <s v="Sagar Jeur"/>
    <s v="31/03/2022"/>
    <s v="Processing"/>
    <s v="USB Mouse"/>
    <s v="Mouse"/>
    <x v="0"/>
    <n v="350"/>
    <n v="455"/>
    <n v="2"/>
    <n v="700"/>
    <n v="910"/>
    <s v="Aarvi Gupta"/>
    <n v="1690"/>
  </r>
  <r>
    <s v="143248"/>
    <x v="16"/>
    <s v="Rhushikesh Mane"/>
    <s v="31/03/2022"/>
    <s v="Delivered"/>
    <s v="19&quot; LED Display"/>
    <s v="Monitor"/>
    <x v="6"/>
    <n v="9500"/>
    <n v="12350"/>
    <n v="4"/>
    <n v="38000"/>
    <n v="49400"/>
    <s v="Aarvi Gupta"/>
    <n v="9750"/>
  </r>
  <r>
    <s v="143249"/>
    <x v="17"/>
    <s v="Ashish Kumar"/>
    <s v="31/03/2022"/>
    <s v="Shipped"/>
    <s v="116 TB HDD"/>
    <s v="HDD"/>
    <x v="10"/>
    <n v="10000"/>
    <n v="13000"/>
    <n v="4"/>
    <n v="40000"/>
    <n v="52000"/>
    <s v="Aarvi Gupta"/>
    <n v="39000"/>
  </r>
  <r>
    <s v="143250"/>
    <x v="27"/>
    <s v="Javed Akhter"/>
    <s v="31/03/2022"/>
    <s v="Order"/>
    <s v="626 GB M.2"/>
    <s v="SSD"/>
    <x v="0"/>
    <n v="6500"/>
    <n v="8450"/>
    <n v="3"/>
    <n v="19500"/>
    <n v="25350"/>
    <s v="Aarvi Gupta"/>
    <n v="8450"/>
  </r>
  <r>
    <s v="143251"/>
    <x v="22"/>
    <s v="Haridas Balraj"/>
    <s v="31/03/2022"/>
    <s v="Processing"/>
    <s v="RYZEN 3rd gen. 3614"/>
    <s v="CPU"/>
    <x v="1"/>
    <n v="8500"/>
    <n v="11050"/>
    <n v="3"/>
    <n v="25500"/>
    <n v="33150"/>
    <s v="Aarvi Gupta"/>
    <n v="33150"/>
  </r>
  <r>
    <s v="143252"/>
    <x v="28"/>
    <s v="Kundan Kumar"/>
    <s v="31/03/2022"/>
    <s v="Delivered"/>
    <s v="2GB Graphic Card"/>
    <s v="Graphic Card"/>
    <x v="2"/>
    <n v="7000"/>
    <n v="9100"/>
    <n v="4"/>
    <n v="28000"/>
    <n v="36400"/>
    <s v="Vijay Singh"/>
    <n v="18200"/>
  </r>
  <r>
    <s v="143253"/>
    <x v="29"/>
    <s v="Atif Siddiqui"/>
    <s v="31/03/2022"/>
    <s v="Shipped"/>
    <s v="130 GB DDR4 RAM"/>
    <s v="RAM"/>
    <x v="3"/>
    <n v="6550"/>
    <n v="8515"/>
    <n v="4"/>
    <n v="26200"/>
    <n v="34060"/>
    <s v="Aadil Khan"/>
    <n v="25545"/>
  </r>
  <r>
    <s v="143254"/>
    <x v="30"/>
    <s v="Aditya Agarwal"/>
    <s v="31/03/2022"/>
    <s v="Order"/>
    <s v="Standard ATX motherboard"/>
    <s v="MotherBoard"/>
    <x v="4"/>
    <n v="7650"/>
    <n v="9945"/>
    <n v="4"/>
    <n v="30600"/>
    <n v="39780"/>
    <s v="Advika Joshi"/>
    <n v="39780"/>
  </r>
  <r>
    <s v="143255"/>
    <x v="31"/>
    <s v="Firdoush Jabee"/>
    <s v="31/03/2022"/>
    <s v="Processing"/>
    <s v="Compact with 1 Fan"/>
    <s v="Cabinet"/>
    <x v="5"/>
    <n v="1150"/>
    <n v="1495"/>
    <n v="4"/>
    <n v="4600"/>
    <n v="5980"/>
    <s v="Ajay Sharma"/>
    <n v="2990"/>
  </r>
  <r>
    <s v="143256"/>
    <x v="32"/>
    <s v="Jay Prakash Kumar"/>
    <s v="31/03/2022"/>
    <s v="Delivered"/>
    <s v="USB Backlight Keyboard"/>
    <s v="Keyboard"/>
    <x v="6"/>
    <n v="850"/>
    <n v="1105"/>
    <n v="2"/>
    <n v="1700"/>
    <n v="2210"/>
    <s v="Roshan Kumar"/>
    <n v="3315"/>
  </r>
  <r>
    <s v="143257"/>
    <x v="0"/>
    <s v="Ashish Pandey"/>
    <s v="31/03/2022"/>
    <s v="Shipped"/>
    <s v="Ergonomic Mouse"/>
    <s v="Mouse"/>
    <x v="0"/>
    <n v="650"/>
    <n v="845"/>
    <n v="1"/>
    <n v="650"/>
    <n v="845"/>
    <s v="Aarvi Gupta"/>
    <n v="1690"/>
  </r>
  <r>
    <s v="143258"/>
    <x v="23"/>
    <s v="Ajay Sharma"/>
    <s v="31/03/2022"/>
    <s v="Order"/>
    <s v="15&quot; LCD Dsipaly"/>
    <s v="Monitor"/>
    <x v="6"/>
    <n v="7500"/>
    <n v="9750"/>
    <n v="2"/>
    <n v="15000"/>
    <n v="19500"/>
    <s v="Vijay Singh"/>
    <n v="9750"/>
  </r>
  <r>
    <s v="143259"/>
    <x v="1"/>
    <s v="Moinuddin Saifi"/>
    <s v="31/03/2022"/>
    <s v="Processing"/>
    <s v="116 TB HDD"/>
    <s v="HDD"/>
    <x v="7"/>
    <n v="10000"/>
    <n v="13000"/>
    <n v="3"/>
    <n v="30000"/>
    <n v="39000"/>
    <s v="Aadil Khan"/>
    <n v="39000"/>
  </r>
  <r>
    <s v="143260"/>
    <x v="2"/>
    <s v="Ramkrishna Das Adhikary"/>
    <s v="31/03/2022"/>
    <s v="Delivered"/>
    <s v="115 TB SSD"/>
    <s v="SSD"/>
    <x v="0"/>
    <n v="10500"/>
    <n v="13650"/>
    <n v="3"/>
    <n v="31500"/>
    <n v="40950"/>
    <s v="Advika Joshi"/>
    <n v="8450"/>
  </r>
  <r>
    <s v="143261"/>
    <x v="3"/>
    <s v="Ranjeet Mandal"/>
    <s v="31/03/2022"/>
    <s v="Shipped"/>
    <s v="Intel i5 12th gen."/>
    <s v="CPU"/>
    <x v="1"/>
    <n v="8500"/>
    <n v="11050"/>
    <n v="2"/>
    <n v="17000"/>
    <n v="22100"/>
    <s v="Aarvi Gupta"/>
    <n v="33150"/>
  </r>
  <r>
    <s v="143262"/>
    <x v="24"/>
    <s v="Ashwini Adsare"/>
    <s v="31/03/2022"/>
    <s v="Order"/>
    <s v="2GB Graphic Card"/>
    <s v="Graphic Card"/>
    <x v="2"/>
    <n v="7000"/>
    <n v="9100"/>
    <n v="1"/>
    <n v="7000"/>
    <n v="9100"/>
    <s v="Aarvi Gupta"/>
    <n v="18200"/>
  </r>
  <r>
    <s v="143263"/>
    <x v="25"/>
    <s v="Rajesh Variya"/>
    <s v="31/03/2022"/>
    <s v="Processing"/>
    <s v="118 GB DDR4 Ram"/>
    <s v="RAM"/>
    <x v="3"/>
    <n v="1680"/>
    <n v="2184"/>
    <n v="3"/>
    <n v="5040"/>
    <n v="6552"/>
    <s v="Aarvi Gupta"/>
    <n v="25545"/>
  </r>
  <r>
    <s v="143264"/>
    <x v="33"/>
    <s v="Amit Singh"/>
    <s v="31/03/2022"/>
    <s v="Delivered"/>
    <s v="Micro ATX motherboard"/>
    <s v="MotherBoard"/>
    <x v="8"/>
    <n v="6540"/>
    <n v="8502"/>
    <n v="3"/>
    <n v="19620"/>
    <n v="25506"/>
    <s v="Aarvi Gupta"/>
    <n v="39780"/>
  </r>
  <r>
    <s v="143265"/>
    <x v="34"/>
    <s v="Vinod Mehta"/>
    <s v="31/03/2022"/>
    <s v="Shipped"/>
    <s v="Gaming Box Cabinet"/>
    <s v="Cabinet"/>
    <x v="5"/>
    <n v="2680"/>
    <n v="3484"/>
    <n v="2"/>
    <n v="5360"/>
    <n v="6968"/>
    <s v="Aarvi Gupta"/>
    <n v="2990"/>
  </r>
  <r>
    <s v="143266"/>
    <x v="4"/>
    <s v="Jignesh Mhatre"/>
    <s v="31/03/2022"/>
    <s v="Order"/>
    <s v="17&quot; LCD Display"/>
    <s v="Monitor"/>
    <x v="0"/>
    <n v="8250"/>
    <n v="10725"/>
    <n v="2"/>
    <n v="16500"/>
    <n v="21450"/>
    <s v="Aarvi Gupta"/>
    <n v="9750"/>
  </r>
  <r>
    <s v="143267"/>
    <x v="5"/>
    <s v="Rahul Kashyap"/>
    <s v="31/03/2022"/>
    <s v="Processing"/>
    <s v="122 GB DDR4 RAM"/>
    <s v="RAM"/>
    <x v="0"/>
    <n v="2650"/>
    <n v="3445"/>
    <n v="3"/>
    <n v="7950"/>
    <n v="10335"/>
    <s v="Aarvi Gupta"/>
    <n v="25545"/>
  </r>
  <r>
    <s v="143268"/>
    <x v="6"/>
    <s v="Mohammed Abdul Kaleem"/>
    <s v="31/03/2022"/>
    <s v="Delivered"/>
    <s v="26&quot; LCD Display"/>
    <s v="Monitor"/>
    <x v="9"/>
    <n v="12550"/>
    <n v="16315"/>
    <n v="3"/>
    <n v="37650"/>
    <n v="48945"/>
    <s v="Aarvi Gupta"/>
    <n v="9750"/>
  </r>
  <r>
    <s v="143269"/>
    <x v="7"/>
    <s v="Chandrakant Kasbe"/>
    <s v="31/03/2022"/>
    <s v="Shipped"/>
    <s v="I7 - intel 12th Generation"/>
    <s v="CPU"/>
    <x v="1"/>
    <n v="14500"/>
    <n v="18850"/>
    <n v="1"/>
    <n v="14500"/>
    <n v="18850"/>
    <s v="Aarvi Gupta"/>
    <n v="33150"/>
  </r>
  <r>
    <s v="143270"/>
    <x v="26"/>
    <s v="Rohan Kale"/>
    <s v="31/03/2022"/>
    <s v="Order"/>
    <s v="USB Keyboard"/>
    <s v="Keyboard"/>
    <x v="6"/>
    <n v="800"/>
    <n v="1040"/>
    <n v="4"/>
    <n v="3200"/>
    <n v="4160"/>
    <s v="Aarvi Gupta"/>
    <n v="3315"/>
  </r>
  <r>
    <s v="143271"/>
    <x v="27"/>
    <s v="Aniruddha Kekapure"/>
    <s v="31/03/2022"/>
    <s v="Processing"/>
    <s v="Wireless Mouse"/>
    <s v="Mouse"/>
    <x v="0"/>
    <n v="600"/>
    <n v="780"/>
    <n v="1"/>
    <n v="600"/>
    <n v="780"/>
    <s v="Aadil Khan"/>
    <n v="1690"/>
  </r>
  <r>
    <s v="143272"/>
    <x v="8"/>
    <s v="Aslam Raza"/>
    <s v="31/03/2022"/>
    <s v="Delivered"/>
    <s v="21&quot; LCD Display"/>
    <s v="Monitor"/>
    <x v="6"/>
    <n v="10500"/>
    <n v="13650"/>
    <n v="4"/>
    <n v="42000"/>
    <n v="54600"/>
    <s v="Advika Joshi"/>
    <n v="9750"/>
  </r>
  <r>
    <s v="143273"/>
    <x v="9"/>
    <s v="Roshan Zameer"/>
    <s v="31/03/2022"/>
    <s v="Shipped"/>
    <s v="116 TB HDD"/>
    <s v="HDD"/>
    <x v="10"/>
    <n v="6500"/>
    <n v="8450"/>
    <n v="4"/>
    <n v="26000"/>
    <n v="33800"/>
    <s v="Ajay Sharma"/>
    <n v="39000"/>
  </r>
  <r>
    <s v="143274"/>
    <x v="10"/>
    <s v="Rakesh Kumar Sharma"/>
    <s v="31/03/2022"/>
    <s v="Order"/>
    <s v="371 GB SSD"/>
    <s v="SSD"/>
    <x v="0"/>
    <n v="4500"/>
    <n v="5850"/>
    <n v="1"/>
    <n v="4500"/>
    <n v="5850"/>
    <s v="Roshan Kumar"/>
    <n v="8450"/>
  </r>
  <r>
    <s v="143275"/>
    <x v="11"/>
    <s v="Shivanand Sahani"/>
    <s v="31/03/2022"/>
    <s v="Processing"/>
    <s v="Intel i3 11th gen."/>
    <s v="CPU"/>
    <x v="1"/>
    <n v="8500"/>
    <n v="11050"/>
    <n v="1"/>
    <n v="8500"/>
    <n v="11050"/>
    <s v="Aarvi Gupta"/>
    <n v="33150"/>
  </r>
  <r>
    <s v="143276"/>
    <x v="12"/>
    <s v="Kunal Patra"/>
    <s v="31/03/2022"/>
    <s v="Delivered"/>
    <s v="4GB Graphic card"/>
    <s v="Graphic Card"/>
    <x v="2"/>
    <n v="12500"/>
    <n v="16250"/>
    <n v="2"/>
    <n v="25000"/>
    <n v="32500"/>
    <s v="Vijay Singh"/>
    <n v="18200"/>
  </r>
  <r>
    <s v="143277"/>
    <x v="13"/>
    <s v="Bijendra"/>
    <s v="31/03/2022"/>
    <s v="Shipped"/>
    <s v="123 GB DDR4 RAM"/>
    <s v="Computer Case"/>
    <x v="3"/>
    <n v="3500"/>
    <n v="4550"/>
    <n v="3"/>
    <n v="10500"/>
    <n v="13650"/>
    <s v="Aadil Khan"/>
    <n v="13650"/>
  </r>
  <r>
    <s v="143278"/>
    <x v="14"/>
    <s v="Kranti Bheke"/>
    <s v="31/03/2022"/>
    <s v="Order"/>
    <s v="BTX motherboard"/>
    <s v="Mouse"/>
    <x v="4"/>
    <n v="4500"/>
    <n v="5850"/>
    <n v="3"/>
    <n v="13500"/>
    <n v="17550"/>
    <s v="Advika Joshi"/>
    <n v="1690"/>
  </r>
  <r>
    <s v="143279"/>
    <x v="15"/>
    <s v="Jagdeep"/>
    <s v="31/03/2022"/>
    <s v="Processing"/>
    <s v="118 Fans Cabinet"/>
    <s v="Cabinet"/>
    <x v="5"/>
    <n v="2100"/>
    <n v="2730"/>
    <n v="2"/>
    <n v="4200"/>
    <n v="5460"/>
    <s v="Ajay Sharma"/>
    <n v="2990"/>
  </r>
  <r>
    <s v="143280"/>
    <x v="16"/>
    <s v="Adhir Samal"/>
    <s v="31/03/2022"/>
    <s v="Delivered"/>
    <s v="Wireless Keyboard"/>
    <s v="Keyboard"/>
    <x v="6"/>
    <n v="1150"/>
    <n v="1495"/>
    <n v="4"/>
    <n v="4600"/>
    <n v="5980"/>
    <s v="Roshan Kumar"/>
    <n v="3315"/>
  </r>
  <r>
    <s v="143281"/>
    <x v="17"/>
    <s v="Dannana Jhammi"/>
    <s v="31/03/2022"/>
    <s v="Shipped"/>
    <s v="USB Mouse"/>
    <s v="Mouse"/>
    <x v="0"/>
    <n v="350"/>
    <n v="455"/>
    <n v="3"/>
    <n v="1050"/>
    <n v="1365"/>
    <s v="Aarvi Gupta"/>
    <n v="1690"/>
  </r>
  <r>
    <s v="143282"/>
    <x v="18"/>
    <s v="Vipin Kumar"/>
    <s v="31/03/2022"/>
    <s v="Order"/>
    <s v="19&quot; LED Display"/>
    <s v="Monitor"/>
    <x v="6"/>
    <n v="9500"/>
    <n v="12350"/>
    <n v="2"/>
    <n v="19000"/>
    <n v="24700"/>
    <s v="Vijay Singh"/>
    <n v="9750"/>
  </r>
  <r>
    <s v="143283"/>
    <x v="19"/>
    <s v="Ranjeet Kumar"/>
    <s v="31/03/2022"/>
    <s v="Processing"/>
    <s v="117 TB HDD"/>
    <s v="HDD"/>
    <x v="10"/>
    <n v="10000"/>
    <n v="13000"/>
    <n v="1"/>
    <n v="10000"/>
    <n v="13000"/>
    <s v="Aarvi Gupta"/>
    <n v="39000"/>
  </r>
  <r>
    <s v="143284"/>
    <x v="20"/>
    <s v="Sajal Singhal"/>
    <s v="31/03/2022"/>
    <s v="Delivered"/>
    <s v="627 GB M.2"/>
    <s v="SSD"/>
    <x v="0"/>
    <n v="6500"/>
    <n v="8450"/>
    <n v="1"/>
    <n v="6500"/>
    <n v="8450"/>
    <s v="Aarvi Gupta"/>
    <n v="8450"/>
  </r>
  <r>
    <s v="143285"/>
    <x v="16"/>
    <s v="Akhilesh Kumar"/>
    <s v="31/03/2022"/>
    <s v="Shipped"/>
    <s v="RYZEN 3rd gen. 3615"/>
    <s v="CPU"/>
    <x v="1"/>
    <n v="8500"/>
    <n v="11050"/>
    <n v="1"/>
    <n v="8500"/>
    <n v="11050"/>
    <s v="Aarvi Gupta"/>
    <n v="33150"/>
  </r>
  <r>
    <s v="143286"/>
    <x v="17"/>
    <s v="Suvankar Chakraborty"/>
    <s v="31/03/2022"/>
    <s v="Order"/>
    <s v="2GB Graphic Card"/>
    <s v="Graphic Card"/>
    <x v="2"/>
    <n v="7000"/>
    <n v="9100"/>
    <n v="2"/>
    <n v="14000"/>
    <n v="18200"/>
    <s v="Aarvi Gupta"/>
    <n v="18200"/>
  </r>
  <r>
    <s v="143287"/>
    <x v="27"/>
    <s v="Suvankar Adhikary"/>
    <s v="31/03/2022"/>
    <s v="Processing"/>
    <s v="131 GB DDR4 RAM"/>
    <s v="Computer Case"/>
    <x v="3"/>
    <n v="6550"/>
    <n v="8515"/>
    <n v="2"/>
    <n v="13100"/>
    <n v="17030"/>
    <s v="Aarvi Gupta"/>
    <n v="13650"/>
  </r>
  <r>
    <s v="143288"/>
    <x v="22"/>
    <s v="Rahul Kumar Prajapati"/>
    <s v="31/03/2022"/>
    <s v="Delivered"/>
    <s v="Standard ATX motherboard"/>
    <s v="Mouse"/>
    <x v="4"/>
    <n v="7650"/>
    <n v="9945"/>
    <n v="3"/>
    <n v="22950"/>
    <n v="29835"/>
    <s v="Aarvi Gupta"/>
    <n v="1690"/>
  </r>
  <r>
    <s v="143289"/>
    <x v="28"/>
    <s v="Sagar Jeur"/>
    <s v="31/03/2022"/>
    <s v="Shipped"/>
    <s v="Compact with 1 Fan"/>
    <s v="Cabinet"/>
    <x v="5"/>
    <n v="1150"/>
    <n v="1495"/>
    <n v="4"/>
    <n v="4600"/>
    <n v="5980"/>
    <s v="Aarvi Gupta"/>
    <n v="2990"/>
  </r>
  <r>
    <s v="143290"/>
    <x v="29"/>
    <s v="Rhushikesh Mane"/>
    <s v="31/03/2022"/>
    <s v="Order"/>
    <s v="USB Backlight Keyboard"/>
    <s v="Keyboard"/>
    <x v="6"/>
    <n v="850"/>
    <n v="1105"/>
    <n v="4"/>
    <n v="3400"/>
    <n v="4420"/>
    <s v="Aarvi Gupta"/>
    <n v="3315"/>
  </r>
  <r>
    <s v="143291"/>
    <x v="30"/>
    <s v="Ashish Kumar"/>
    <s v="31/03/2022"/>
    <s v="Processing"/>
    <s v="Ergonomic Mouse"/>
    <s v="Mouse"/>
    <x v="0"/>
    <n v="650"/>
    <n v="845"/>
    <n v="2"/>
    <n v="1300"/>
    <n v="1690"/>
    <s v="Aarvi Gupta"/>
    <n v="1690"/>
  </r>
  <r>
    <s v="143292"/>
    <x v="31"/>
    <s v="Javed Akhter"/>
    <s v="31/03/2022"/>
    <s v="Delivered"/>
    <s v="15&quot; LCD Dsipaly"/>
    <s v="Monitor"/>
    <x v="6"/>
    <n v="7500"/>
    <n v="9750"/>
    <n v="2"/>
    <n v="15000"/>
    <n v="19500"/>
    <s v="Aarvi Gupta"/>
    <n v="9750"/>
  </r>
  <r>
    <s v="143293"/>
    <x v="32"/>
    <s v="Haridas Balraj"/>
    <s v="01/04/2022"/>
    <s v="Shipped"/>
    <s v="117 TB HDD"/>
    <s v="HDD"/>
    <x v="7"/>
    <n v="10000"/>
    <n v="13000"/>
    <n v="3"/>
    <n v="30000"/>
    <n v="39000"/>
    <s v="Aarvi Gupta"/>
    <n v="39000"/>
  </r>
  <r>
    <s v="143294"/>
    <x v="0"/>
    <s v="Kundan Kumar"/>
    <s v="02/04/2022"/>
    <s v="Order"/>
    <s v="116 TB SSD"/>
    <s v="SSD"/>
    <x v="0"/>
    <n v="10500"/>
    <n v="13650"/>
    <n v="3"/>
    <n v="31500"/>
    <n v="40950"/>
    <s v="Vijay Singh"/>
    <n v="8450"/>
  </r>
  <r>
    <s v="143295"/>
    <x v="23"/>
    <s v="Atif Siddiqui"/>
    <s v="03/04/2022"/>
    <s v="Processing"/>
    <s v="Intel i5 12th gen."/>
    <s v="CPU"/>
    <x v="1"/>
    <n v="8500"/>
    <n v="11050"/>
    <n v="1"/>
    <n v="8500"/>
    <n v="11050"/>
    <s v="Aadil Khan"/>
    <n v="33150"/>
  </r>
  <r>
    <s v="143296"/>
    <x v="1"/>
    <s v="Aditya Agarwal"/>
    <s v="03/04/2022"/>
    <s v="Delivered"/>
    <s v="2GB Graphic Card"/>
    <s v="Graphic Card"/>
    <x v="2"/>
    <n v="7000"/>
    <n v="9100"/>
    <n v="1"/>
    <n v="7000"/>
    <n v="9100"/>
    <s v="Advika Joshi"/>
    <n v="18200"/>
  </r>
  <r>
    <s v="143297"/>
    <x v="2"/>
    <s v="Firdoush Jabee"/>
    <s v="03/04/2022"/>
    <s v="Shipped"/>
    <s v="119 GB DDR4 Ram"/>
    <s v="Computer Case"/>
    <x v="3"/>
    <n v="1680"/>
    <n v="2184"/>
    <n v="4"/>
    <n v="6720"/>
    <n v="8736"/>
    <s v="Ajay Sharma"/>
    <n v="13650"/>
  </r>
  <r>
    <s v="143298"/>
    <x v="3"/>
    <s v="Jay Prakash Kumar"/>
    <s v="03/04/2022"/>
    <s v="Order"/>
    <s v="Micro ATX motherboard"/>
    <s v="Mouse"/>
    <x v="8"/>
    <n v="6540"/>
    <n v="8502"/>
    <n v="2"/>
    <n v="13080"/>
    <n v="17004"/>
    <s v="Roshan Kumar"/>
    <n v="1690"/>
  </r>
  <r>
    <s v="143299"/>
    <x v="24"/>
    <s v="Ashish Pandey"/>
    <s v="03/04/2022"/>
    <s v="Processing"/>
    <s v="Gaming Box Cabinet"/>
    <s v="Cabinet"/>
    <x v="5"/>
    <n v="2680"/>
    <n v="3484"/>
    <n v="3"/>
    <n v="8040"/>
    <n v="10452"/>
    <s v="Aarvi Gupta"/>
    <n v="2990"/>
  </r>
  <r>
    <s v="143300"/>
    <x v="25"/>
    <s v="Ajay Sharma"/>
    <s v="03/04/2022"/>
    <s v="Delivered"/>
    <s v="17&quot; LCD Display"/>
    <s v="Monitor"/>
    <x v="0"/>
    <n v="8250"/>
    <n v="10725"/>
    <n v="4"/>
    <n v="33000"/>
    <n v="42900"/>
    <s v="Vijay Singh"/>
    <n v="9750"/>
  </r>
  <r>
    <s v="143301"/>
    <x v="33"/>
    <s v="Moinuddin Saifi"/>
    <s v="03/04/2022"/>
    <s v="Shipped"/>
    <s v="123 GB DDR4 RAM"/>
    <s v="RAM"/>
    <x v="0"/>
    <n v="2650"/>
    <n v="3445"/>
    <n v="1"/>
    <n v="2650"/>
    <n v="3445"/>
    <s v="Aadil Khan"/>
    <n v="25545"/>
  </r>
  <r>
    <s v="143302"/>
    <x v="34"/>
    <s v="Ramkrishna Das Adhikary"/>
    <s v="03/04/2022"/>
    <s v="Order"/>
    <s v="26&quot; LCD Display"/>
    <s v="Monitor"/>
    <x v="9"/>
    <n v="12550"/>
    <n v="16315"/>
    <n v="2"/>
    <n v="25100"/>
    <n v="32630"/>
    <s v="Advika Joshi"/>
    <n v="9750"/>
  </r>
  <r>
    <s v="143303"/>
    <x v="4"/>
    <s v="Ranjeet Mandal"/>
    <s v="03/04/2022"/>
    <s v="Processing"/>
    <s v="I7 - intel 12th Generation"/>
    <s v="CPU"/>
    <x v="1"/>
    <n v="14500"/>
    <n v="18850"/>
    <n v="1"/>
    <n v="14500"/>
    <n v="18850"/>
    <s v="Ajay Sharma"/>
    <n v="33150"/>
  </r>
  <r>
    <s v="143304"/>
    <x v="5"/>
    <s v="Ashwini Adsare"/>
    <s v="03/04/2022"/>
    <s v="Delivered"/>
    <s v="USB Keyboard"/>
    <s v="Keyboard"/>
    <x v="6"/>
    <n v="800"/>
    <n v="1040"/>
    <n v="2"/>
    <n v="1600"/>
    <n v="2080"/>
    <s v="Roshan Kumar"/>
    <n v="3315"/>
  </r>
  <r>
    <s v="143305"/>
    <x v="6"/>
    <s v="Rajesh Variya"/>
    <s v="03/04/2022"/>
    <s v="Shipped"/>
    <s v="Wireless Mouse"/>
    <s v="Mouse"/>
    <x v="0"/>
    <n v="600"/>
    <n v="780"/>
    <n v="3"/>
    <n v="1800"/>
    <n v="2340"/>
    <s v="Aarvi Gupta"/>
    <n v="1690"/>
  </r>
  <r>
    <s v="143306"/>
    <x v="7"/>
    <s v="Amit Singh"/>
    <s v="03/04/2022"/>
    <s v="Order"/>
    <s v="21&quot; LCD Display"/>
    <s v="Monitor"/>
    <x v="6"/>
    <n v="10500"/>
    <n v="13650"/>
    <n v="1"/>
    <n v="10500"/>
    <n v="13650"/>
    <s v="Aarvi Gupta"/>
    <n v="9750"/>
  </r>
  <r>
    <s v="143307"/>
    <x v="26"/>
    <s v="Vinod Mehta"/>
    <s v="03/04/2022"/>
    <s v="Processing"/>
    <s v="117 TB HDD"/>
    <s v="HDD"/>
    <x v="10"/>
    <n v="6500"/>
    <n v="8450"/>
    <n v="3"/>
    <n v="19500"/>
    <n v="25350"/>
    <s v="Aarvi Gupta"/>
    <n v="39000"/>
  </r>
  <r>
    <s v="143308"/>
    <x v="27"/>
    <s v="Jignesh Mhatre"/>
    <s v="03/04/2022"/>
    <s v="Delivered"/>
    <s v="372 GB SSD"/>
    <s v="SSD"/>
    <x v="0"/>
    <n v="4500"/>
    <n v="5850"/>
    <n v="2"/>
    <n v="9000"/>
    <n v="11700"/>
    <s v="Aarvi Gupta"/>
    <n v="8450"/>
  </r>
  <r>
    <s v="143309"/>
    <x v="8"/>
    <s v="Rahul Kashyap"/>
    <s v="03/04/2022"/>
    <s v="Shipped"/>
    <s v="Intel i3 11th gen."/>
    <s v="CPU"/>
    <x v="1"/>
    <n v="8500"/>
    <n v="11050"/>
    <n v="2"/>
    <n v="17000"/>
    <n v="22100"/>
    <s v="Aarvi Gupta"/>
    <n v="33150"/>
  </r>
  <r>
    <s v="143310"/>
    <x v="9"/>
    <s v="Mohammed Abdul Kaleem"/>
    <s v="03/04/2022"/>
    <s v="Order"/>
    <s v="4GB Graphic card"/>
    <s v="Graphic Card"/>
    <x v="2"/>
    <n v="12500"/>
    <n v="16250"/>
    <n v="3"/>
    <n v="37500"/>
    <n v="48750"/>
    <s v="Aarvi Gupta"/>
    <n v="18200"/>
  </r>
  <r>
    <s v="143311"/>
    <x v="10"/>
    <s v="Chandrakant Kasbe"/>
    <s v="03/04/2022"/>
    <s v="Processing"/>
    <s v="124 GB DDR4 RAM"/>
    <s v="NIC"/>
    <x v="3"/>
    <n v="3500"/>
    <n v="4550"/>
    <n v="2"/>
    <n v="7000"/>
    <n v="9100"/>
    <s v="Aarvi Gupta"/>
    <n v="9100"/>
  </r>
  <r>
    <s v="143312"/>
    <x v="11"/>
    <s v="Rohan Kale"/>
    <s v="03/04/2022"/>
    <s v="Delivered"/>
    <s v="BTX motherboard"/>
    <s v="Printer"/>
    <x v="4"/>
    <n v="4500"/>
    <n v="5850"/>
    <n v="1"/>
    <n v="4500"/>
    <n v="5850"/>
    <s v="Aarvi Gupta"/>
    <n v="11700"/>
  </r>
  <r>
    <s v="143313"/>
    <x v="12"/>
    <s v="Aniruddha Kekapure"/>
    <s v="03/04/2022"/>
    <s v="Shipped"/>
    <s v="119 Fans Cabinet"/>
    <s v="Cabinet"/>
    <x v="5"/>
    <n v="2100"/>
    <n v="2730"/>
    <n v="3"/>
    <n v="6300"/>
    <n v="8190"/>
    <s v="Aarvi Gupta"/>
    <n v="2990"/>
  </r>
  <r>
    <s v="143314"/>
    <x v="13"/>
    <s v="Aslam Raza"/>
    <s v="03/04/2022"/>
    <s v="Order"/>
    <s v="Wireless Keyboard"/>
    <s v="Keyboard"/>
    <x v="6"/>
    <n v="1150"/>
    <n v="1495"/>
    <n v="2"/>
    <n v="2300"/>
    <n v="2990"/>
    <s v="Aarvi Gupta"/>
    <n v="3315"/>
  </r>
  <r>
    <s v="143315"/>
    <x v="14"/>
    <s v="Roshan Zameer"/>
    <s v="03/04/2022"/>
    <s v="Processing"/>
    <s v="USB Mouse"/>
    <s v="Mouse"/>
    <x v="0"/>
    <n v="350"/>
    <n v="455"/>
    <n v="3"/>
    <n v="1050"/>
    <n v="1365"/>
    <s v="Ajay Sharma"/>
    <n v="1690"/>
  </r>
  <r>
    <s v="143316"/>
    <x v="15"/>
    <s v="Rakesh Kumar Sharma"/>
    <s v="03/04/2022"/>
    <s v="Delivered"/>
    <s v="19&quot; LED Display"/>
    <s v="Monitor"/>
    <x v="6"/>
    <n v="9500"/>
    <n v="12350"/>
    <n v="3"/>
    <n v="28500"/>
    <n v="37050"/>
    <s v="Roshan Kumar"/>
    <n v="9750"/>
  </r>
  <r>
    <s v="143317"/>
    <x v="16"/>
    <s v="Shivanand Sahani"/>
    <s v="03/04/2022"/>
    <s v="Shipped"/>
    <s v="118 TB HDD"/>
    <s v="HDD"/>
    <x v="10"/>
    <n v="10000"/>
    <n v="13000"/>
    <n v="3"/>
    <n v="30000"/>
    <n v="39000"/>
    <s v="Aarvi Gupta"/>
    <n v="39000"/>
  </r>
  <r>
    <s v="143318"/>
    <x v="17"/>
    <s v="Kunal Patra"/>
    <s v="03/04/2022"/>
    <s v="Order"/>
    <s v="628 GB M.2"/>
    <s v="SSD"/>
    <x v="0"/>
    <n v="6500"/>
    <n v="8450"/>
    <n v="3"/>
    <n v="19500"/>
    <n v="25350"/>
    <s v="Vijay Singh"/>
    <n v="8450"/>
  </r>
  <r>
    <s v="143319"/>
    <x v="18"/>
    <s v="Bijendra"/>
    <s v="03/04/2022"/>
    <s v="Processing"/>
    <s v="RYZEN 3rd gen. 3616"/>
    <s v="CPU"/>
    <x v="1"/>
    <n v="8500"/>
    <n v="11050"/>
    <n v="1"/>
    <n v="8500"/>
    <n v="11050"/>
    <s v="Aadil Khan"/>
    <n v="33150"/>
  </r>
  <r>
    <s v="143320"/>
    <x v="19"/>
    <s v="Kranti Bheke"/>
    <s v="03/04/2022"/>
    <s v="Delivered"/>
    <s v="2GB Graphic Card"/>
    <s v="Graphic Card"/>
    <x v="2"/>
    <n v="7000"/>
    <n v="9100"/>
    <n v="3"/>
    <n v="21000"/>
    <n v="27300"/>
    <s v="Advika Joshi"/>
    <n v="18200"/>
  </r>
  <r>
    <s v="143321"/>
    <x v="20"/>
    <s v="Jagdeep"/>
    <s v="03/04/2022"/>
    <s v="Shipped"/>
    <s v="132 GB DDR4 RAM"/>
    <s v="NIC"/>
    <x v="3"/>
    <n v="6550"/>
    <n v="8515"/>
    <n v="1"/>
    <n v="6550"/>
    <n v="8515"/>
    <s v="Ajay Sharma"/>
    <n v="9100"/>
  </r>
  <r>
    <s v="143322"/>
    <x v="16"/>
    <s v="Adhir Samal"/>
    <s v="03/04/2022"/>
    <s v="Order"/>
    <s v="Standard ATX motherboard"/>
    <s v="Printer"/>
    <x v="4"/>
    <n v="7650"/>
    <n v="9945"/>
    <n v="1"/>
    <n v="7650"/>
    <n v="9945"/>
    <s v="Roshan Kumar"/>
    <n v="11700"/>
  </r>
  <r>
    <s v="143323"/>
    <x v="17"/>
    <s v="Dannana Jhammi"/>
    <s v="03/04/2022"/>
    <s v="Processing"/>
    <s v="Compact with 1 Fan"/>
    <s v="Cabinet"/>
    <x v="5"/>
    <n v="1150"/>
    <n v="1495"/>
    <n v="1"/>
    <n v="1150"/>
    <n v="1495"/>
    <s v="Aarvi Gupta"/>
    <n v="2990"/>
  </r>
  <r>
    <s v="143324"/>
    <x v="27"/>
    <s v="Vipin Kumar"/>
    <s v="03/04/2022"/>
    <s v="Delivered"/>
    <s v="USB Backlight Keyboard"/>
    <s v="Keyboard"/>
    <x v="6"/>
    <n v="850"/>
    <n v="1105"/>
    <n v="3"/>
    <n v="2550"/>
    <n v="3315"/>
    <s v="Aarvi Gupta"/>
    <n v="3315"/>
  </r>
  <r>
    <s v="143325"/>
    <x v="22"/>
    <s v="Ranjeet Kumar"/>
    <s v="03/04/2022"/>
    <s v="Shipped"/>
    <s v="Ergonomic Mouse"/>
    <s v="Mouse"/>
    <x v="0"/>
    <n v="650"/>
    <n v="845"/>
    <n v="3"/>
    <n v="1950"/>
    <n v="2535"/>
    <s v="Aarvi Gupta"/>
    <n v="1690"/>
  </r>
  <r>
    <s v="143326"/>
    <x v="28"/>
    <s v="Sajal Singhal"/>
    <s v="03/04/2022"/>
    <s v="Order"/>
    <s v="15&quot; LCD Dsipaly"/>
    <s v="Monitor"/>
    <x v="6"/>
    <n v="7500"/>
    <n v="9750"/>
    <n v="2"/>
    <n v="15000"/>
    <n v="19500"/>
    <s v="Aarvi Gupta"/>
    <n v="9750"/>
  </r>
  <r>
    <s v="143327"/>
    <x v="29"/>
    <s v="Akhilesh Kumar"/>
    <s v="03/04/2022"/>
    <s v="Processing"/>
    <s v="118 TB HDD"/>
    <s v="HDD"/>
    <x v="7"/>
    <n v="10000"/>
    <n v="13000"/>
    <n v="4"/>
    <n v="40000"/>
    <n v="52000"/>
    <s v="Aarvi Gupta"/>
    <n v="39000"/>
  </r>
  <r>
    <s v="143328"/>
    <x v="30"/>
    <s v="Suvankar Chakraborty"/>
    <s v="03/04/2022"/>
    <s v="Delivered"/>
    <s v="117 TB SSD"/>
    <s v="SSD"/>
    <x v="0"/>
    <n v="10500"/>
    <n v="13650"/>
    <n v="2"/>
    <n v="21000"/>
    <n v="27300"/>
    <s v="Aarvi Gupta"/>
    <n v="8450"/>
  </r>
  <r>
    <s v="143329"/>
    <x v="31"/>
    <s v="Suvankar Adhikary"/>
    <s v="03/04/2022"/>
    <s v="Shipped"/>
    <s v="Intel i5 12th gen."/>
    <s v="CPU"/>
    <x v="1"/>
    <n v="8500"/>
    <n v="11050"/>
    <n v="3"/>
    <n v="25500"/>
    <n v="33150"/>
    <s v="Aarvi Gupta"/>
    <n v="33150"/>
  </r>
  <r>
    <s v="143330"/>
    <x v="32"/>
    <s v="Rahul Kumar Prajapati"/>
    <s v="03/04/2022"/>
    <s v="Order"/>
    <s v="2GB Graphic Card"/>
    <s v="Graphic Card"/>
    <x v="2"/>
    <n v="7000"/>
    <n v="9100"/>
    <n v="2"/>
    <n v="14000"/>
    <n v="18200"/>
    <s v="Aarvi Gupta"/>
    <n v="18200"/>
  </r>
  <r>
    <s v="143331"/>
    <x v="0"/>
    <s v="Sagar Jeur"/>
    <s v="03/04/2022"/>
    <s v="Processing"/>
    <s v="120 GB DDR4 Ram"/>
    <s v="NIC"/>
    <x v="3"/>
    <n v="1680"/>
    <n v="2184"/>
    <n v="4"/>
    <n v="6720"/>
    <n v="8736"/>
    <s v="Aarvi Gupta"/>
    <n v="9100"/>
  </r>
  <r>
    <s v="143332"/>
    <x v="23"/>
    <s v="Rhushikesh Mane"/>
    <s v="03/04/2022"/>
    <s v="Delivered"/>
    <s v="Micro ATX motherboard"/>
    <s v="Printer"/>
    <x v="8"/>
    <n v="6540"/>
    <n v="8502"/>
    <n v="2"/>
    <n v="13080"/>
    <n v="17004"/>
    <s v="Aarvi Gupta"/>
    <n v="11700"/>
  </r>
  <r>
    <s v="143333"/>
    <x v="1"/>
    <s v="Ashish Kumar"/>
    <s v="03/04/2022"/>
    <s v="Shipped"/>
    <s v="Gaming Box Cabinet"/>
    <s v="Cabinet"/>
    <x v="5"/>
    <n v="2680"/>
    <n v="3484"/>
    <n v="3"/>
    <n v="8040"/>
    <n v="10452"/>
    <s v="Ajay Sharma"/>
    <n v="2990"/>
  </r>
  <r>
    <s v="143334"/>
    <x v="2"/>
    <s v="Javed Akhter"/>
    <s v="03/04/2022"/>
    <s v="Order"/>
    <s v="17&quot; LCD Display"/>
    <s v="Monitor"/>
    <x v="0"/>
    <n v="8250"/>
    <n v="10725"/>
    <n v="3"/>
    <n v="24750"/>
    <n v="32175"/>
    <s v="Roshan Kumar"/>
    <n v="9750"/>
  </r>
  <r>
    <s v="143335"/>
    <x v="3"/>
    <s v="Haridas Balraj"/>
    <s v="03/04/2022"/>
    <s v="Processing"/>
    <s v="124 GB DDR4 RAM"/>
    <s v="RAM"/>
    <x v="0"/>
    <n v="2650"/>
    <n v="3445"/>
    <n v="1"/>
    <n v="2650"/>
    <n v="3445"/>
    <s v="Aarvi Gupta"/>
    <n v="25545"/>
  </r>
  <r>
    <s v="143336"/>
    <x v="24"/>
    <s v="Kundan Kumar"/>
    <s v="03/04/2022"/>
    <s v="Delivered"/>
    <s v="26&quot; LCD Display"/>
    <s v="Monitor"/>
    <x v="9"/>
    <n v="12550"/>
    <n v="16315"/>
    <n v="4"/>
    <n v="50200"/>
    <n v="65260"/>
    <s v="Vijay Singh"/>
    <n v="9750"/>
  </r>
  <r>
    <s v="143337"/>
    <x v="25"/>
    <s v="Atif Siddiqui"/>
    <s v="03/04/2022"/>
    <s v="Shipped"/>
    <s v="I7 - intel 12th Generation"/>
    <s v="CPU"/>
    <x v="1"/>
    <n v="14500"/>
    <n v="18850"/>
    <n v="2"/>
    <n v="29000"/>
    <n v="37700"/>
    <s v="Aadil Khan"/>
    <n v="33150"/>
  </r>
  <r>
    <s v="143338"/>
    <x v="33"/>
    <s v="Aditya Agarwal"/>
    <s v="03/04/2022"/>
    <s v="Order"/>
    <s v="USB Keyboard"/>
    <s v="Keyboard"/>
    <x v="6"/>
    <n v="800"/>
    <n v="1040"/>
    <n v="4"/>
    <n v="3200"/>
    <n v="4160"/>
    <s v="Advika Joshi"/>
    <n v="3315"/>
  </r>
  <r>
    <s v="143339"/>
    <x v="34"/>
    <s v="Firdoush Jabee"/>
    <s v="03/04/2022"/>
    <s v="Processing"/>
    <s v="Wireless Mouse"/>
    <s v="Mouse"/>
    <x v="0"/>
    <n v="600"/>
    <n v="780"/>
    <n v="4"/>
    <n v="2400"/>
    <n v="3120"/>
    <s v="Ajay Sharma"/>
    <n v="1690"/>
  </r>
  <r>
    <s v="143340"/>
    <x v="4"/>
    <s v="Jay Prakash Kumar"/>
    <s v="03/04/2022"/>
    <s v="Delivered"/>
    <s v="21&quot; LCD Display"/>
    <s v="Monitor"/>
    <x v="6"/>
    <n v="10500"/>
    <n v="13650"/>
    <n v="4"/>
    <n v="42000"/>
    <n v="54600"/>
    <s v="Roshan Kumar"/>
    <n v="9750"/>
  </r>
  <r>
    <s v="143341"/>
    <x v="5"/>
    <s v="Ashish Pandey"/>
    <s v="03/04/2022"/>
    <s v="Shipped"/>
    <s v="118 TB HDD"/>
    <s v="HDD"/>
    <x v="10"/>
    <n v="6500"/>
    <n v="8450"/>
    <n v="4"/>
    <n v="26000"/>
    <n v="33800"/>
    <s v="Aarvi Gupta"/>
    <n v="39000"/>
  </r>
  <r>
    <s v="143342"/>
    <x v="6"/>
    <s v="Ajay Sharma"/>
    <s v="03/04/2022"/>
    <s v="Order"/>
    <s v="373 GB SSD"/>
    <s v="SSD"/>
    <x v="0"/>
    <n v="4500"/>
    <n v="5850"/>
    <n v="3"/>
    <n v="13500"/>
    <n v="17550"/>
    <s v="Vijay Singh"/>
    <n v="8450"/>
  </r>
  <r>
    <s v="143343"/>
    <x v="7"/>
    <s v="Moinuddin Saifi"/>
    <s v="03/04/2022"/>
    <s v="Processing"/>
    <s v="Intel i3 11th gen."/>
    <s v="CPU"/>
    <x v="1"/>
    <n v="8500"/>
    <n v="11050"/>
    <n v="4"/>
    <n v="34000"/>
    <n v="44200"/>
    <s v="Aadil Khan"/>
    <n v="33150"/>
  </r>
  <r>
    <s v="143344"/>
    <x v="26"/>
    <s v="Ramkrishna Das Adhikary"/>
    <s v="03/04/2022"/>
    <s v="Delivered"/>
    <s v="4GB Graphic card"/>
    <s v="Graphic Card"/>
    <x v="2"/>
    <n v="12500"/>
    <n v="16250"/>
    <n v="3"/>
    <n v="37500"/>
    <n v="48750"/>
    <s v="Aarvi Gupta"/>
    <n v="18200"/>
  </r>
  <r>
    <s v="143345"/>
    <x v="27"/>
    <s v="Ranjeet Mandal"/>
    <s v="03/04/2022"/>
    <s v="Shipped"/>
    <s v="125 GB DDR4 RAM"/>
    <s v="RAM"/>
    <x v="3"/>
    <n v="3500"/>
    <n v="4550"/>
    <n v="3"/>
    <n v="10500"/>
    <n v="13650"/>
    <s v="Aarvi Gupta"/>
    <n v="25545"/>
  </r>
  <r>
    <s v="143346"/>
    <x v="8"/>
    <s v="Ashwini Adsare"/>
    <s v="03/04/2022"/>
    <s v="Order"/>
    <s v="BTX motherboard"/>
    <s v="MotherBoard"/>
    <x v="4"/>
    <n v="4500"/>
    <n v="5850"/>
    <n v="3"/>
    <n v="13500"/>
    <n v="17550"/>
    <s v="Aarvi Gupta"/>
    <n v="39780"/>
  </r>
  <r>
    <s v="143347"/>
    <x v="9"/>
    <s v="Rajesh Variya"/>
    <s v="03/04/2022"/>
    <s v="Processing"/>
    <s v="120 Fans Cabinet"/>
    <s v="Cabinet"/>
    <x v="5"/>
    <n v="2100"/>
    <n v="2730"/>
    <n v="4"/>
    <n v="8400"/>
    <n v="10920"/>
    <s v="Aarvi Gupta"/>
    <n v="2990"/>
  </r>
  <r>
    <s v="143348"/>
    <x v="10"/>
    <s v="Amit Singh"/>
    <s v="03/04/2022"/>
    <s v="Delivered"/>
    <s v="Wireless Keyboard"/>
    <s v="Keyboard"/>
    <x v="6"/>
    <n v="1150"/>
    <n v="1495"/>
    <n v="2"/>
    <n v="2300"/>
    <n v="2990"/>
    <s v="Aarvi Gupta"/>
    <n v="3315"/>
  </r>
  <r>
    <s v="143349"/>
    <x v="11"/>
    <s v="Vinod Mehta"/>
    <s v="03/04/2022"/>
    <s v="Shipped"/>
    <s v="USB Mouse"/>
    <s v="Mouse"/>
    <x v="0"/>
    <n v="350"/>
    <n v="455"/>
    <n v="1"/>
    <n v="350"/>
    <n v="455"/>
    <s v="Aarvi Gupta"/>
    <n v="1690"/>
  </r>
  <r>
    <s v="143350"/>
    <x v="12"/>
    <s v="Jignesh Mhatre"/>
    <s v="03/04/2022"/>
    <s v="Order"/>
    <s v="19&quot; LED Display"/>
    <s v="Monitor"/>
    <x v="6"/>
    <n v="9500"/>
    <n v="12350"/>
    <n v="4"/>
    <n v="38000"/>
    <n v="49400"/>
    <s v="Aarvi Gupta"/>
    <n v="9750"/>
  </r>
  <r>
    <s v="143351"/>
    <x v="13"/>
    <s v="Rahul Kashyap"/>
    <s v="03/04/2022"/>
    <s v="Processing"/>
    <s v="119 TB HDD"/>
    <s v="HDD"/>
    <x v="10"/>
    <n v="10000"/>
    <n v="13000"/>
    <n v="4"/>
    <n v="40000"/>
    <n v="52000"/>
    <s v="Aarvi Gupta"/>
    <n v="39000"/>
  </r>
  <r>
    <s v="143352"/>
    <x v="14"/>
    <s v="Mohammed Abdul Kaleem"/>
    <s v="03/04/2022"/>
    <s v="Delivered"/>
    <s v="629 GB M.2"/>
    <s v="SSD"/>
    <x v="0"/>
    <n v="6500"/>
    <n v="8450"/>
    <n v="3"/>
    <n v="19500"/>
    <n v="25350"/>
    <s v="Aarvi Gupta"/>
    <n v="8450"/>
  </r>
  <r>
    <s v="143353"/>
    <x v="15"/>
    <s v="Chandrakant Kasbe"/>
    <s v="03/04/2022"/>
    <s v="Shipped"/>
    <s v="RYZEN 3rd gen. 3617"/>
    <s v="CPU"/>
    <x v="1"/>
    <n v="8500"/>
    <n v="11050"/>
    <n v="1"/>
    <n v="8500"/>
    <n v="11050"/>
    <s v="Aarvi Gupta"/>
    <n v="33150"/>
  </r>
  <r>
    <s v="143354"/>
    <x v="16"/>
    <s v="Rohan Kale"/>
    <s v="03/04/2022"/>
    <s v="Order"/>
    <s v="2GB Graphic Card"/>
    <s v="Graphic Card"/>
    <x v="2"/>
    <n v="7000"/>
    <n v="9100"/>
    <n v="2"/>
    <n v="14000"/>
    <n v="18200"/>
    <s v="Vijay Singh"/>
    <n v="18200"/>
  </r>
  <r>
    <s v="143355"/>
    <x v="17"/>
    <s v="Aniruddha Kekapure"/>
    <s v="03/04/2022"/>
    <s v="Processing"/>
    <s v="133 GB DDR4 RAM"/>
    <s v="RAM"/>
    <x v="3"/>
    <n v="6550"/>
    <n v="8515"/>
    <n v="4"/>
    <n v="26200"/>
    <n v="34060"/>
    <s v="Aadil Khan"/>
    <n v="25545"/>
  </r>
  <r>
    <s v="143356"/>
    <x v="18"/>
    <s v="Aslam Raza"/>
    <s v="03/04/2022"/>
    <s v="Delivered"/>
    <s v="Standard ATX motherboard"/>
    <s v="MotherBoard"/>
    <x v="4"/>
    <n v="7650"/>
    <n v="9945"/>
    <n v="3"/>
    <n v="22950"/>
    <n v="29835"/>
    <s v="Advika Joshi"/>
    <n v="39780"/>
  </r>
  <r>
    <s v="143357"/>
    <x v="19"/>
    <s v="Roshan Zameer"/>
    <s v="03/04/2022"/>
    <s v="Shipped"/>
    <s v="Compact with 1 Fan"/>
    <s v="Cabinet"/>
    <x v="5"/>
    <n v="1150"/>
    <n v="1495"/>
    <n v="4"/>
    <n v="4600"/>
    <n v="5980"/>
    <s v="Ajay Sharma"/>
    <n v="2990"/>
  </r>
  <r>
    <s v="143358"/>
    <x v="20"/>
    <s v="Rakesh Kumar Sharma"/>
    <s v="03/04/2022"/>
    <s v="Order"/>
    <s v="USB Backlight Keyboard"/>
    <s v="Keyboard"/>
    <x v="6"/>
    <n v="850"/>
    <n v="1105"/>
    <n v="3"/>
    <n v="2550"/>
    <n v="3315"/>
    <s v="Roshan Kumar"/>
    <n v="3315"/>
  </r>
  <r>
    <s v="143359"/>
    <x v="16"/>
    <s v="Shivanand Sahani"/>
    <s v="03/04/2022"/>
    <s v="Processing"/>
    <s v="Ergonomic Mouse"/>
    <s v="Mouse"/>
    <x v="0"/>
    <n v="650"/>
    <n v="845"/>
    <n v="4"/>
    <n v="2600"/>
    <n v="3380"/>
    <s v="Aarvi Gupta"/>
    <n v="1690"/>
  </r>
  <r>
    <s v="143360"/>
    <x v="17"/>
    <s v="Kunal Patra"/>
    <s v="03/04/2022"/>
    <s v="Delivered"/>
    <s v="15&quot; LCD Dsipaly"/>
    <s v="Monitor"/>
    <x v="6"/>
    <n v="7500"/>
    <n v="9750"/>
    <n v="4"/>
    <n v="30000"/>
    <n v="39000"/>
    <s v="Vijay Singh"/>
    <n v="9750"/>
  </r>
  <r>
    <s v="143361"/>
    <x v="27"/>
    <s v="Bijendra"/>
    <s v="03/04/2022"/>
    <s v="Shipped"/>
    <s v="119 TB HDD"/>
    <s v="HDD"/>
    <x v="7"/>
    <n v="10000"/>
    <n v="13000"/>
    <n v="4"/>
    <n v="40000"/>
    <n v="52000"/>
    <s v="Aadil Khan"/>
    <n v="39000"/>
  </r>
  <r>
    <s v="143362"/>
    <x v="22"/>
    <s v="Kranti Bheke"/>
    <s v="03/04/2022"/>
    <s v="Order"/>
    <s v="118 TB SSD"/>
    <s v="SSD"/>
    <x v="0"/>
    <n v="10500"/>
    <n v="13650"/>
    <n v="4"/>
    <n v="42000"/>
    <n v="54600"/>
    <s v="Advika Joshi"/>
    <n v="8450"/>
  </r>
  <r>
    <s v="143363"/>
    <x v="28"/>
    <s v="Jagdeep"/>
    <s v="03/04/2022"/>
    <s v="Processing"/>
    <s v="Intel i5 12th gen."/>
    <s v="CPU"/>
    <x v="1"/>
    <n v="8500"/>
    <n v="11050"/>
    <n v="1"/>
    <n v="8500"/>
    <n v="11050"/>
    <s v="Ajay Sharma"/>
    <n v="33150"/>
  </r>
  <r>
    <s v="143364"/>
    <x v="29"/>
    <s v="Adhir Samal"/>
    <s v="03/04/2022"/>
    <s v="Delivered"/>
    <s v="2GB Graphic Card"/>
    <s v="Graphic Card"/>
    <x v="2"/>
    <n v="7000"/>
    <n v="9100"/>
    <n v="3"/>
    <n v="21000"/>
    <n v="27300"/>
    <s v="Roshan Kumar"/>
    <n v="18200"/>
  </r>
  <r>
    <s v="143365"/>
    <x v="30"/>
    <s v="Dannana Jhammi"/>
    <s v="03/04/2022"/>
    <s v="Shipped"/>
    <s v="121 GB DDR4 Ram"/>
    <s v="RAM"/>
    <x v="3"/>
    <n v="1680"/>
    <n v="2184"/>
    <n v="2"/>
    <n v="3360"/>
    <n v="4368"/>
    <s v="Aarvi Gupta"/>
    <n v="25545"/>
  </r>
  <r>
    <s v="143366"/>
    <x v="31"/>
    <s v="Vipin Kumar"/>
    <s v="03/04/2022"/>
    <s v="Order"/>
    <s v="Micro ATX motherboard"/>
    <s v="MotherBoard"/>
    <x v="8"/>
    <n v="6540"/>
    <n v="8502"/>
    <n v="3"/>
    <n v="19620"/>
    <n v="25506"/>
    <s v="Vijay Singh"/>
    <n v="39780"/>
  </r>
  <r>
    <s v="143367"/>
    <x v="32"/>
    <s v="Ranjeet Kumar"/>
    <s v="03/04/2022"/>
    <s v="Processing"/>
    <s v="Gaming Box Cabinet"/>
    <s v="Cabinet"/>
    <x v="5"/>
    <n v="2680"/>
    <n v="3484"/>
    <n v="2"/>
    <n v="5360"/>
    <n v="6968"/>
    <s v="Aadil Khan"/>
    <n v="2990"/>
  </r>
  <r>
    <s v="143368"/>
    <x v="0"/>
    <s v="Sajal Singhal"/>
    <s v="03/04/2022"/>
    <s v="Delivered"/>
    <s v="17&quot; LCD Display"/>
    <s v="Monitor"/>
    <x v="0"/>
    <n v="8250"/>
    <n v="10725"/>
    <n v="2"/>
    <n v="16500"/>
    <n v="21450"/>
    <s v="Advika Joshi"/>
    <n v="9750"/>
  </r>
  <r>
    <s v="143369"/>
    <x v="23"/>
    <s v="Akhilesh Kumar"/>
    <s v="03/04/2022"/>
    <s v="Shipped"/>
    <s v="125 GB DDR4 RAM"/>
    <s v="RAM"/>
    <x v="0"/>
    <n v="2650"/>
    <n v="3445"/>
    <n v="3"/>
    <n v="7950"/>
    <n v="10335"/>
    <s v="Ajay Sharma"/>
    <n v="25545"/>
  </r>
  <r>
    <s v="143370"/>
    <x v="1"/>
    <s v="Suvankar Chakraborty"/>
    <s v="03/04/2022"/>
    <s v="Order"/>
    <s v="26&quot; LCD Display"/>
    <s v="Monitor"/>
    <x v="9"/>
    <n v="12550"/>
    <n v="16315"/>
    <n v="4"/>
    <n v="50200"/>
    <n v="65260"/>
    <s v="Roshan Kumar"/>
    <n v="9750"/>
  </r>
  <r>
    <s v="143371"/>
    <x v="2"/>
    <s v="Suvankar Adhikary"/>
    <s v="03/04/2022"/>
    <s v="Processing"/>
    <s v="I7 - intel 12th Generation"/>
    <s v="CPU"/>
    <x v="1"/>
    <n v="14500"/>
    <n v="18850"/>
    <n v="4"/>
    <n v="58000"/>
    <n v="75400"/>
    <s v="Aarvi Gupta"/>
    <n v="33150"/>
  </r>
  <r>
    <s v="143372"/>
    <x v="3"/>
    <s v="Rahul Kumar Prajapati"/>
    <s v="03/04/2022"/>
    <s v="Delivered"/>
    <s v="USB Keyboard"/>
    <s v="Keyboard"/>
    <x v="6"/>
    <n v="800"/>
    <n v="1040"/>
    <n v="2"/>
    <n v="1600"/>
    <n v="2080"/>
    <s v="Vijay Singh"/>
    <n v="3315"/>
  </r>
  <r>
    <s v="143373"/>
    <x v="24"/>
    <s v="Sagar Jeur"/>
    <s v="03/04/2022"/>
    <s v="Shipped"/>
    <s v="Wireless Mouse"/>
    <s v="Mouse"/>
    <x v="0"/>
    <n v="600"/>
    <n v="780"/>
    <n v="3"/>
    <n v="1800"/>
    <n v="2340"/>
    <s v="Aadil Khan"/>
    <n v="1690"/>
  </r>
  <r>
    <s v="143374"/>
    <x v="25"/>
    <s v="Rhushikesh Mane"/>
    <s v="03/04/2022"/>
    <s v="Order"/>
    <s v="21&quot; LCD Display"/>
    <s v="Monitor"/>
    <x v="6"/>
    <n v="10500"/>
    <n v="13650"/>
    <n v="1"/>
    <n v="10500"/>
    <n v="13650"/>
    <s v="Advika Joshi"/>
    <n v="9750"/>
  </r>
  <r>
    <s v="143375"/>
    <x v="33"/>
    <s v="Ashish Kumar"/>
    <s v="03/04/2022"/>
    <s v="Processing"/>
    <s v="119 TB HDD"/>
    <s v="HDD"/>
    <x v="10"/>
    <n v="6500"/>
    <n v="8450"/>
    <n v="2"/>
    <n v="13000"/>
    <n v="16900"/>
    <s v="Ajay Sharma"/>
    <n v="39000"/>
  </r>
  <r>
    <s v="143376"/>
    <x v="34"/>
    <s v="Javed Akhter"/>
    <s v="03/04/2022"/>
    <s v="Delivered"/>
    <s v="374 GB SSD"/>
    <s v="SSD"/>
    <x v="0"/>
    <n v="4500"/>
    <n v="5850"/>
    <n v="3"/>
    <n v="13500"/>
    <n v="17550"/>
    <s v="Roshan Kumar"/>
    <n v="8450"/>
  </r>
  <r>
    <s v="143377"/>
    <x v="4"/>
    <s v="Haridas Balraj"/>
    <s v="03/04/2022"/>
    <s v="Shipped"/>
    <s v="Intel i3 11th gen."/>
    <s v="CPU"/>
    <x v="1"/>
    <n v="8500"/>
    <n v="11050"/>
    <n v="4"/>
    <n v="34000"/>
    <n v="44200"/>
    <s v="Aarvi Gupta"/>
    <n v="33150"/>
  </r>
  <r>
    <s v="143378"/>
    <x v="5"/>
    <s v="Kundan Kumar"/>
    <s v="03/04/2022"/>
    <s v="Order"/>
    <s v="4GB Graphic card"/>
    <s v="Graphic Card"/>
    <x v="2"/>
    <n v="12500"/>
    <n v="16250"/>
    <n v="3"/>
    <n v="37500"/>
    <n v="48750"/>
    <s v="Aarvi Gupta"/>
    <n v="18200"/>
  </r>
  <r>
    <s v="143379"/>
    <x v="6"/>
    <s v="Atif Siddiqui"/>
    <s v="03/04/2022"/>
    <s v="Processing"/>
    <s v="126 GB DDR4 RAM"/>
    <s v="Computer Case"/>
    <x v="3"/>
    <n v="3500"/>
    <n v="4550"/>
    <n v="4"/>
    <n v="14000"/>
    <n v="18200"/>
    <s v="Aarvi Gupta"/>
    <n v="13650"/>
  </r>
  <r>
    <s v="143380"/>
    <x v="7"/>
    <s v="Aditya Agarwal"/>
    <s v="03/04/2022"/>
    <s v="Delivered"/>
    <s v="BTX motherboard"/>
    <s v="Mouse"/>
    <x v="4"/>
    <n v="4500"/>
    <n v="5850"/>
    <n v="1"/>
    <n v="4500"/>
    <n v="5850"/>
    <s v="Aarvi Gupta"/>
    <n v="1690"/>
  </r>
  <r>
    <s v="143381"/>
    <x v="26"/>
    <s v="Firdoush Jabee"/>
    <s v="03/04/2022"/>
    <s v="Shipped"/>
    <s v="121 Fans Cabinet"/>
    <s v="Cabinet"/>
    <x v="5"/>
    <n v="2100"/>
    <n v="2730"/>
    <n v="1"/>
    <n v="2100"/>
    <n v="2730"/>
    <s v="Aarvi Gupta"/>
    <n v="2990"/>
  </r>
  <r>
    <s v="143382"/>
    <x v="27"/>
    <s v="Jay Prakash Kumar"/>
    <s v="03/04/2022"/>
    <s v="Order"/>
    <s v="Wireless Keyboard"/>
    <s v="Keyboard"/>
    <x v="6"/>
    <n v="1150"/>
    <n v="1495"/>
    <n v="1"/>
    <n v="1150"/>
    <n v="1495"/>
    <s v="Aarvi Gupta"/>
    <n v="3315"/>
  </r>
  <r>
    <s v="143383"/>
    <x v="8"/>
    <s v="Ashish Pandey"/>
    <s v="03/04/2022"/>
    <s v="Processing"/>
    <s v="USB Mouse"/>
    <s v="Mouse"/>
    <x v="0"/>
    <n v="350"/>
    <n v="455"/>
    <n v="4"/>
    <n v="1400"/>
    <n v="1820"/>
    <s v="Aarvi Gupta"/>
    <n v="1690"/>
  </r>
  <r>
    <s v="143384"/>
    <x v="9"/>
    <s v="Ajay Sharma"/>
    <s v="03/04/2022"/>
    <s v="Delivered"/>
    <s v="19&quot; LED Display"/>
    <s v="Monitor"/>
    <x v="6"/>
    <n v="9500"/>
    <n v="12350"/>
    <n v="3"/>
    <n v="28500"/>
    <n v="37050"/>
    <s v="Aarvi Gupta"/>
    <n v="9750"/>
  </r>
  <r>
    <s v="143385"/>
    <x v="10"/>
    <s v="Moinuddin Saifi"/>
    <s v="03/04/2022"/>
    <s v="Shipped"/>
    <s v="120 TB HDD"/>
    <s v="HDD"/>
    <x v="10"/>
    <n v="10000"/>
    <n v="13000"/>
    <n v="2"/>
    <n v="20000"/>
    <n v="26000"/>
    <s v="Aarvi Gupta"/>
    <n v="39000"/>
  </r>
  <r>
    <s v="143386"/>
    <x v="11"/>
    <s v="Ramkrishna Das Adhikary"/>
    <s v="03/04/2022"/>
    <s v="Order"/>
    <s v="630 GB M.2"/>
    <s v="SSD"/>
    <x v="0"/>
    <n v="6500"/>
    <n v="8450"/>
    <n v="2"/>
    <n v="13000"/>
    <n v="16900"/>
    <s v="Aarvi Gupta"/>
    <n v="8450"/>
  </r>
  <r>
    <s v="143387"/>
    <x v="12"/>
    <s v="Ranjeet Mandal"/>
    <s v="03/04/2022"/>
    <s v="Processing"/>
    <s v="RYZEN 3rd gen. 3618"/>
    <s v="CPU"/>
    <x v="1"/>
    <n v="8500"/>
    <n v="11050"/>
    <n v="1"/>
    <n v="8500"/>
    <n v="11050"/>
    <s v="Aarvi Gupta"/>
    <n v="33150"/>
  </r>
  <r>
    <s v="143388"/>
    <x v="13"/>
    <s v="Ashwini Adsare"/>
    <s v="03/04/2022"/>
    <s v="Delivered"/>
    <s v="2GB Graphic Card"/>
    <s v="Graphic Card"/>
    <x v="2"/>
    <n v="7000"/>
    <n v="9100"/>
    <n v="3"/>
    <n v="21000"/>
    <n v="27300"/>
    <s v="Roshan Kumar"/>
    <n v="18200"/>
  </r>
  <r>
    <s v="143389"/>
    <x v="14"/>
    <s v="Rajesh Variya"/>
    <s v="03/04/2022"/>
    <s v="Shipped"/>
    <s v="134 GB DDR4 RAM"/>
    <s v="Computer Case"/>
    <x v="3"/>
    <n v="6550"/>
    <n v="8515"/>
    <n v="4"/>
    <n v="26200"/>
    <n v="34060"/>
    <s v="Aarvi Gupta"/>
    <n v="13650"/>
  </r>
  <r>
    <s v="143390"/>
    <x v="15"/>
    <s v="Amit Singh"/>
    <s v="03/04/2022"/>
    <s v="Order"/>
    <s v="Standard ATX motherboard"/>
    <s v="Mouse"/>
    <x v="4"/>
    <n v="7650"/>
    <n v="9945"/>
    <n v="1"/>
    <n v="7650"/>
    <n v="9945"/>
    <s v="Vijay Singh"/>
    <n v="1690"/>
  </r>
  <r>
    <s v="143391"/>
    <x v="16"/>
    <s v="Vinod Mehta"/>
    <s v="03/04/2022"/>
    <s v="Processing"/>
    <s v="Compact with 1 Fan"/>
    <s v="Cabinet"/>
    <x v="5"/>
    <n v="1150"/>
    <n v="1495"/>
    <n v="3"/>
    <n v="3450"/>
    <n v="4485"/>
    <s v="Aadil Khan"/>
    <n v="2990"/>
  </r>
  <r>
    <s v="143392"/>
    <x v="17"/>
    <s v="Jignesh Mhatre"/>
    <s v="03/04/2022"/>
    <s v="Delivered"/>
    <s v="USB Backlight Keyboard"/>
    <s v="Keyboard"/>
    <x v="6"/>
    <n v="850"/>
    <n v="1105"/>
    <n v="4"/>
    <n v="3400"/>
    <n v="4420"/>
    <s v="Advika Joshi"/>
    <n v="3315"/>
  </r>
  <r>
    <s v="143393"/>
    <x v="18"/>
    <s v="Rahul Kashyap"/>
    <s v="03/04/2022"/>
    <s v="Shipped"/>
    <s v="Ergonomic Mouse"/>
    <s v="Mouse"/>
    <x v="0"/>
    <n v="650"/>
    <n v="845"/>
    <n v="1"/>
    <n v="650"/>
    <n v="845"/>
    <s v="Ajay Sharma"/>
    <n v="1690"/>
  </r>
  <r>
    <s v="143394"/>
    <x v="19"/>
    <s v="Mohammed Abdul Kaleem"/>
    <s v="03/04/2022"/>
    <s v="Order"/>
    <s v="15&quot; LCD Dsipaly"/>
    <s v="Monitor"/>
    <x v="6"/>
    <n v="7500"/>
    <n v="9750"/>
    <n v="4"/>
    <n v="30000"/>
    <n v="39000"/>
    <s v="Roshan Kumar"/>
    <n v="9750"/>
  </r>
  <r>
    <s v="143395"/>
    <x v="20"/>
    <s v="Chandrakant Kasbe"/>
    <s v="03/04/2022"/>
    <s v="Processing"/>
    <s v="120 TB HDD"/>
    <s v="HDD"/>
    <x v="7"/>
    <n v="10000"/>
    <n v="13000"/>
    <n v="3"/>
    <n v="30000"/>
    <n v="39000"/>
    <s v="Aarvi Gupta"/>
    <n v="39000"/>
  </r>
  <r>
    <s v="143396"/>
    <x v="16"/>
    <s v="Rohan Kale"/>
    <s v="03/04/2022"/>
    <s v="Delivered"/>
    <s v="119 TB SSD"/>
    <s v="SSD"/>
    <x v="0"/>
    <n v="10500"/>
    <n v="13650"/>
    <n v="2"/>
    <n v="21000"/>
    <n v="27300"/>
    <s v="Aarvi Gupta"/>
    <n v="8450"/>
  </r>
  <r>
    <s v="143397"/>
    <x v="17"/>
    <s v="Aniruddha Kekapure"/>
    <s v="03/04/2022"/>
    <s v="Shipped"/>
    <s v="Intel i5 12th gen."/>
    <s v="CPU"/>
    <x v="1"/>
    <n v="8500"/>
    <n v="11050"/>
    <n v="4"/>
    <n v="34000"/>
    <n v="44200"/>
    <s v="Aarvi Gupta"/>
    <n v="33150"/>
  </r>
  <r>
    <s v="143398"/>
    <x v="27"/>
    <s v="Aslam Raza"/>
    <s v="03/04/2022"/>
    <s v="Order"/>
    <s v="2GB Graphic Card"/>
    <s v="Graphic Card"/>
    <x v="2"/>
    <n v="7000"/>
    <n v="9100"/>
    <n v="4"/>
    <n v="28000"/>
    <n v="36400"/>
    <s v="Aarvi Gupta"/>
    <n v="18200"/>
  </r>
  <r>
    <s v="143399"/>
    <x v="22"/>
    <s v="Roshan Zameer"/>
    <s v="03/04/2022"/>
    <s v="Processing"/>
    <s v="122 GB DDR4 Ram"/>
    <s v="Computer Case"/>
    <x v="3"/>
    <n v="1680"/>
    <n v="2184"/>
    <n v="3"/>
    <n v="5040"/>
    <n v="6552"/>
    <s v="Aarvi Gupta"/>
    <n v="13650"/>
  </r>
  <r>
    <s v="143400"/>
    <x v="28"/>
    <s v="Rakesh Kumar Sharma"/>
    <s v="03/04/2022"/>
    <s v="Delivered"/>
    <s v="Micro ATX motherboard"/>
    <s v="Mouse"/>
    <x v="8"/>
    <n v="6540"/>
    <n v="8502"/>
    <n v="1"/>
    <n v="6540"/>
    <n v="8502"/>
    <s v="Aarvi Gupta"/>
    <n v="1690"/>
  </r>
  <r>
    <s v="143401"/>
    <x v="29"/>
    <s v="Shivanand Sahani"/>
    <s v="03/04/2022"/>
    <s v="Shipped"/>
    <s v="Gaming Box Cabinet"/>
    <s v="Cabinet"/>
    <x v="5"/>
    <n v="2680"/>
    <n v="3484"/>
    <n v="3"/>
    <n v="8040"/>
    <n v="10452"/>
    <s v="Aarvi Gupta"/>
    <n v="2990"/>
  </r>
  <r>
    <s v="143402"/>
    <x v="30"/>
    <s v="Kunal Patra"/>
    <s v="03/04/2022"/>
    <s v="Order"/>
    <s v="17&quot; LCD Display"/>
    <s v="Monitor"/>
    <x v="0"/>
    <n v="8250"/>
    <n v="10725"/>
    <n v="1"/>
    <n v="8250"/>
    <n v="10725"/>
    <s v="Aarvi Gupta"/>
    <n v="9750"/>
  </r>
  <r>
    <s v="143403"/>
    <x v="31"/>
    <s v="Bijendra"/>
    <s v="03/04/2022"/>
    <s v="Processing"/>
    <s v="126 GB DDR4 RAM"/>
    <s v="RAM"/>
    <x v="0"/>
    <n v="2650"/>
    <n v="3445"/>
    <n v="3"/>
    <n v="7950"/>
    <n v="10335"/>
    <s v="Aarvi Gupta"/>
    <n v="25545"/>
  </r>
  <r>
    <s v="143404"/>
    <x v="32"/>
    <s v="Kranti Bheke"/>
    <s v="03/04/2022"/>
    <s v="Delivered"/>
    <s v="26&quot; LCD Display"/>
    <s v="Monitor"/>
    <x v="9"/>
    <n v="12550"/>
    <n v="16315"/>
    <n v="3"/>
    <n v="37650"/>
    <n v="48945"/>
    <s v="Aarvi Gupta"/>
    <n v="9750"/>
  </r>
  <r>
    <s v="143405"/>
    <x v="0"/>
    <s v="Jagdeep"/>
    <s v="03/04/2022"/>
    <s v="Shipped"/>
    <s v="I7 - intel 12th Generation"/>
    <s v="CPU"/>
    <x v="1"/>
    <n v="14500"/>
    <n v="18850"/>
    <n v="2"/>
    <n v="29000"/>
    <n v="37700"/>
    <s v="Aarvi Gupta"/>
    <n v="33150"/>
  </r>
  <r>
    <s v="143406"/>
    <x v="23"/>
    <s v="Adhir Samal"/>
    <s v="03/04/2022"/>
    <s v="Order"/>
    <s v="USB Keyboard"/>
    <s v="Keyboard"/>
    <x v="6"/>
    <n v="800"/>
    <n v="1040"/>
    <n v="2"/>
    <n v="1600"/>
    <n v="2080"/>
    <s v="Roshan Kumar"/>
    <n v="3315"/>
  </r>
  <r>
    <s v="143407"/>
    <x v="1"/>
    <s v="Dannana Jhammi"/>
    <s v="03/04/2022"/>
    <s v="Processing"/>
    <s v="Wireless Mouse"/>
    <s v="Mouse"/>
    <x v="0"/>
    <n v="600"/>
    <n v="780"/>
    <n v="2"/>
    <n v="1200"/>
    <n v="1560"/>
    <s v="Aarvi Gupta"/>
    <n v="1690"/>
  </r>
  <r>
    <s v="143408"/>
    <x v="2"/>
    <s v="Vipin Kumar"/>
    <s v="03/04/2022"/>
    <s v="Delivered"/>
    <s v="21&quot; LCD Display"/>
    <s v="Monitor"/>
    <x v="6"/>
    <n v="10500"/>
    <n v="13650"/>
    <n v="4"/>
    <n v="42000"/>
    <n v="54600"/>
    <s v="Vijay Singh"/>
    <n v="9750"/>
  </r>
  <r>
    <s v="143409"/>
    <x v="3"/>
    <s v="Ranjeet Kumar"/>
    <s v="03/04/2022"/>
    <s v="Shipped"/>
    <s v="120 TB HDD"/>
    <s v="HDD"/>
    <x v="10"/>
    <n v="6500"/>
    <n v="8450"/>
    <n v="3"/>
    <n v="19500"/>
    <n v="25350"/>
    <s v="Aadil Khan"/>
    <n v="39000"/>
  </r>
  <r>
    <s v="143410"/>
    <x v="24"/>
    <s v="Sajal Singhal"/>
    <s v="03/04/2022"/>
    <s v="Order"/>
    <s v="375 GB SSD"/>
    <s v="SSD"/>
    <x v="0"/>
    <n v="4500"/>
    <n v="5850"/>
    <n v="4"/>
    <n v="18000"/>
    <n v="23400"/>
    <s v="Advika Joshi"/>
    <n v="8450"/>
  </r>
  <r>
    <s v="143411"/>
    <x v="25"/>
    <s v="Akhilesh Kumar"/>
    <s v="03/04/2022"/>
    <s v="Processing"/>
    <s v="Intel i3 11th gen."/>
    <s v="CPU"/>
    <x v="1"/>
    <n v="8500"/>
    <n v="11050"/>
    <n v="2"/>
    <n v="17000"/>
    <n v="22100"/>
    <s v="Ajay Sharma"/>
    <n v="33150"/>
  </r>
  <r>
    <s v="143412"/>
    <x v="33"/>
    <s v="Suvankar Chakraborty"/>
    <s v="03/04/2022"/>
    <s v="Delivered"/>
    <s v="4GB Graphic card"/>
    <s v="Graphic Card"/>
    <x v="2"/>
    <n v="12500"/>
    <n v="16250"/>
    <n v="1"/>
    <n v="12500"/>
    <n v="16250"/>
    <s v="Roshan Kumar"/>
    <n v="18200"/>
  </r>
  <r>
    <s v="143413"/>
    <x v="34"/>
    <s v="Suvankar Adhikary"/>
    <s v="03/04/2022"/>
    <s v="Shipped"/>
    <s v="127 GB DDR4 RAM"/>
    <s v="NIC"/>
    <x v="3"/>
    <n v="3500"/>
    <n v="4550"/>
    <n v="4"/>
    <n v="14000"/>
    <n v="18200"/>
    <s v="Aarvi Gupta"/>
    <n v="9100"/>
  </r>
  <r>
    <s v="143414"/>
    <x v="4"/>
    <s v="Rahul Kumar Prajapati"/>
    <s v="03/04/2022"/>
    <s v="Order"/>
    <s v="BTX motherboard"/>
    <s v="Printer"/>
    <x v="4"/>
    <n v="4500"/>
    <n v="5850"/>
    <n v="3"/>
    <n v="13500"/>
    <n v="17550"/>
    <s v="Vijay Singh"/>
    <n v="11700"/>
  </r>
  <r>
    <s v="143415"/>
    <x v="5"/>
    <s v="Sagar Jeur"/>
    <s v="03/04/2022"/>
    <s v="Processing"/>
    <s v="122 Fans Cabinet"/>
    <s v="Cabinet"/>
    <x v="5"/>
    <n v="2100"/>
    <n v="2730"/>
    <n v="1"/>
    <n v="2100"/>
    <n v="2730"/>
    <s v="Aadil Khan"/>
    <n v="2990"/>
  </r>
  <r>
    <s v="143416"/>
    <x v="6"/>
    <s v="Rhushikesh Mane"/>
    <s v="03/04/2022"/>
    <s v="Delivered"/>
    <s v="Wireless Keyboard"/>
    <s v="Keyboard"/>
    <x v="6"/>
    <n v="1150"/>
    <n v="1495"/>
    <n v="2"/>
    <n v="2300"/>
    <n v="2990"/>
    <s v="Advika Joshi"/>
    <n v="3315"/>
  </r>
  <r>
    <s v="143417"/>
    <x v="7"/>
    <s v="Ashish Kumar"/>
    <s v="03/04/2022"/>
    <s v="Shipped"/>
    <s v="USB Mouse"/>
    <s v="Mouse"/>
    <x v="0"/>
    <n v="350"/>
    <n v="455"/>
    <n v="2"/>
    <n v="700"/>
    <n v="910"/>
    <s v="Ajay Sharma"/>
    <n v="1690"/>
  </r>
  <r>
    <s v="143418"/>
    <x v="26"/>
    <s v="Javed Akhter"/>
    <s v="03/04/2022"/>
    <s v="Order"/>
    <s v="19&quot; LED Display"/>
    <s v="Monitor"/>
    <x v="6"/>
    <n v="9500"/>
    <n v="12350"/>
    <n v="4"/>
    <n v="38000"/>
    <n v="49400"/>
    <s v="Roshan Kumar"/>
    <n v="9750"/>
  </r>
  <r>
    <s v="143419"/>
    <x v="27"/>
    <s v="Haridas Balraj"/>
    <s v="03/04/2022"/>
    <s v="Processing"/>
    <s v="121 TB HDD"/>
    <s v="HDD"/>
    <x v="10"/>
    <n v="10000"/>
    <n v="13000"/>
    <n v="3"/>
    <n v="30000"/>
    <n v="39000"/>
    <s v="Aarvi Gupta"/>
    <n v="39000"/>
  </r>
  <r>
    <s v="143420"/>
    <x v="8"/>
    <s v="Kundan Kumar"/>
    <s v="03/04/2022"/>
    <s v="Delivered"/>
    <s v="631 GB M.2"/>
    <s v="SSD"/>
    <x v="0"/>
    <n v="6500"/>
    <n v="8450"/>
    <n v="2"/>
    <n v="13000"/>
    <n v="16900"/>
    <s v="Aarvi Gupta"/>
    <n v="8450"/>
  </r>
  <r>
    <s v="143421"/>
    <x v="9"/>
    <s v="Atif Siddiqui"/>
    <s v="03/04/2022"/>
    <s v="Shipped"/>
    <s v="RYZEN 3rd gen. 3619"/>
    <s v="CPU"/>
    <x v="1"/>
    <n v="8500"/>
    <n v="11050"/>
    <n v="1"/>
    <n v="8500"/>
    <n v="11050"/>
    <s v="Aarvi Gupta"/>
    <n v="33150"/>
  </r>
  <r>
    <s v="143422"/>
    <x v="10"/>
    <s v="Aditya Agarwal"/>
    <s v="03/04/2022"/>
    <s v="Order"/>
    <s v="2GB Graphic Card"/>
    <s v="Graphic Card"/>
    <x v="2"/>
    <n v="7000"/>
    <n v="9100"/>
    <n v="1"/>
    <n v="7000"/>
    <n v="9100"/>
    <s v="Aarvi Gupta"/>
    <n v="18200"/>
  </r>
  <r>
    <s v="143423"/>
    <x v="11"/>
    <s v="Firdoush Jabee"/>
    <s v="03/04/2022"/>
    <s v="Processing"/>
    <s v="135 GB DDR4 RAM"/>
    <s v="NIC"/>
    <x v="3"/>
    <n v="6550"/>
    <n v="8515"/>
    <n v="3"/>
    <n v="19650"/>
    <n v="25545"/>
    <s v="Aarvi Gupta"/>
    <n v="9100"/>
  </r>
  <r>
    <s v="143424"/>
    <x v="12"/>
    <s v="Jay Prakash Kumar"/>
    <s v="03/04/2022"/>
    <s v="Delivered"/>
    <s v="Standard ATX motherboard"/>
    <s v="Printer"/>
    <x v="4"/>
    <n v="7650"/>
    <n v="9945"/>
    <n v="2"/>
    <n v="15300"/>
    <n v="19890"/>
    <s v="Aarvi Gupta"/>
    <n v="11700"/>
  </r>
  <r>
    <s v="143425"/>
    <x v="13"/>
    <s v="Ashish Pandey"/>
    <s v="03/04/2022"/>
    <s v="Shipped"/>
    <s v="Compact with 1 Fan"/>
    <s v="Cabinet"/>
    <x v="5"/>
    <n v="1150"/>
    <n v="1495"/>
    <n v="1"/>
    <n v="1150"/>
    <n v="1495"/>
    <s v="Aarvi Gupta"/>
    <n v="2990"/>
  </r>
  <r>
    <s v="143426"/>
    <x v="14"/>
    <s v="Ajay Sharma"/>
    <s v="03/04/2022"/>
    <s v="Order"/>
    <s v="USB Backlight Keyboard"/>
    <s v="Keyboard"/>
    <x v="6"/>
    <n v="850"/>
    <n v="1105"/>
    <n v="2"/>
    <n v="1700"/>
    <n v="2210"/>
    <s v="Aarvi Gupta"/>
    <n v="3315"/>
  </r>
  <r>
    <s v="143427"/>
    <x v="15"/>
    <s v="Moinuddin Saifi"/>
    <s v="03/04/2022"/>
    <s v="Processing"/>
    <s v="Ergonomic Mouse"/>
    <s v="Mouse"/>
    <x v="0"/>
    <n v="650"/>
    <n v="845"/>
    <n v="1"/>
    <n v="650"/>
    <n v="845"/>
    <s v="Aarvi Gupta"/>
    <n v="1690"/>
  </r>
  <r>
    <s v="143428"/>
    <x v="16"/>
    <s v="Ramkrishna Das Adhikary"/>
    <s v="03/04/2022"/>
    <s v="Delivered"/>
    <s v="15&quot; LCD Dsipaly"/>
    <s v="Monitor"/>
    <x v="6"/>
    <n v="7500"/>
    <n v="9750"/>
    <n v="2"/>
    <n v="15000"/>
    <n v="19500"/>
    <s v="Aarvi Gupta"/>
    <n v="9750"/>
  </r>
  <r>
    <s v="143429"/>
    <x v="17"/>
    <s v="Ranjeet Mandal"/>
    <s v="03/04/2022"/>
    <s v="Shipped"/>
    <s v="121 TB HDD"/>
    <s v="HDD"/>
    <x v="7"/>
    <n v="10000"/>
    <n v="13000"/>
    <n v="2"/>
    <n v="20000"/>
    <n v="26000"/>
    <s v="Aarvi Gupta"/>
    <n v="39000"/>
  </r>
  <r>
    <s v="143430"/>
    <x v="18"/>
    <s v="Ashwini Adsare"/>
    <s v="03/04/2022"/>
    <s v="Order"/>
    <s v="120 TB SSD"/>
    <s v="SSD"/>
    <x v="0"/>
    <n v="10500"/>
    <n v="13650"/>
    <n v="3"/>
    <n v="31500"/>
    <n v="40950"/>
    <s v="Roshan Kumar"/>
    <n v="8450"/>
  </r>
  <r>
    <s v="143431"/>
    <x v="19"/>
    <s v="Rajesh Variya"/>
    <s v="03/04/2022"/>
    <s v="Processing"/>
    <s v="Intel i5 12th gen."/>
    <s v="CPU"/>
    <x v="1"/>
    <n v="8500"/>
    <n v="11050"/>
    <n v="2"/>
    <n v="17000"/>
    <n v="22100"/>
    <s v="Aarvi Gupta"/>
    <n v="33150"/>
  </r>
  <r>
    <s v="143432"/>
    <x v="20"/>
    <s v="Amit Singh"/>
    <s v="03/04/2022"/>
    <s v="Delivered"/>
    <s v="2GB Graphic Card"/>
    <s v="Graphic Card"/>
    <x v="2"/>
    <n v="7000"/>
    <n v="9100"/>
    <n v="3"/>
    <n v="21000"/>
    <n v="27300"/>
    <s v="Vijay Singh"/>
    <n v="18200"/>
  </r>
  <r>
    <s v="143433"/>
    <x v="16"/>
    <s v="Vinod Mehta"/>
    <s v="03/04/2022"/>
    <s v="Shipped"/>
    <s v="123 GB DDR4 Ram"/>
    <s v="NIC"/>
    <x v="3"/>
    <n v="1680"/>
    <n v="2184"/>
    <n v="1"/>
    <n v="1680"/>
    <n v="2184"/>
    <s v="Aadil Khan"/>
    <n v="9100"/>
  </r>
  <r>
    <s v="143434"/>
    <x v="17"/>
    <s v="Jignesh Mhatre"/>
    <s v="03/04/2022"/>
    <s v="Order"/>
    <s v="Micro ATX motherboard"/>
    <s v="Printer"/>
    <x v="8"/>
    <n v="6540"/>
    <n v="8502"/>
    <n v="2"/>
    <n v="13080"/>
    <n v="17004"/>
    <s v="Advika Joshi"/>
    <n v="11700"/>
  </r>
  <r>
    <s v="143435"/>
    <x v="27"/>
    <s v="Rahul Kashyap"/>
    <s v="03/04/2022"/>
    <s v="Processing"/>
    <s v="Gaming Box Cabinet"/>
    <s v="Cabinet"/>
    <x v="5"/>
    <n v="2680"/>
    <n v="3484"/>
    <n v="2"/>
    <n v="5360"/>
    <n v="6968"/>
    <s v="Ajay Sharma"/>
    <n v="2990"/>
  </r>
  <r>
    <s v="143436"/>
    <x v="22"/>
    <s v="Mohammed Abdul Kaleem"/>
    <s v="03/04/2022"/>
    <s v="Delivered"/>
    <s v="17&quot; LCD Display"/>
    <s v="Monitor"/>
    <x v="0"/>
    <n v="8250"/>
    <n v="10725"/>
    <n v="2"/>
    <n v="16500"/>
    <n v="21450"/>
    <s v="Roshan Kumar"/>
    <n v="9750"/>
  </r>
  <r>
    <s v="143437"/>
    <x v="28"/>
    <s v="Chandrakant Kasbe"/>
    <s v="03/04/2022"/>
    <s v="Shipped"/>
    <s v="127 GB DDR4 RAM"/>
    <s v="RAM"/>
    <x v="0"/>
    <n v="2650"/>
    <n v="3445"/>
    <n v="3"/>
    <n v="7950"/>
    <n v="10335"/>
    <s v="Aarvi Gupta"/>
    <n v="25545"/>
  </r>
  <r>
    <s v="143438"/>
    <x v="29"/>
    <s v="Rohan Kale"/>
    <s v="03/04/2022"/>
    <s v="Order"/>
    <s v="26&quot; LCD Display"/>
    <s v="Monitor"/>
    <x v="9"/>
    <n v="12550"/>
    <n v="16315"/>
    <n v="2"/>
    <n v="25100"/>
    <n v="32630"/>
    <s v="Aarvi Gupta"/>
    <n v="9750"/>
  </r>
  <r>
    <s v="143439"/>
    <x v="30"/>
    <s v="Aniruddha Kekapure"/>
    <s v="03/04/2022"/>
    <s v="Processing"/>
    <s v="I7 - intel 12th Generation"/>
    <s v="CPU"/>
    <x v="1"/>
    <n v="14500"/>
    <n v="18850"/>
    <n v="1"/>
    <n v="14500"/>
    <n v="18850"/>
    <s v="Aarvi Gupta"/>
    <n v="33150"/>
  </r>
  <r>
    <s v="143440"/>
    <x v="31"/>
    <s v="Aslam Raza"/>
    <s v="03/04/2022"/>
    <s v="Delivered"/>
    <s v="USB Keyboard"/>
    <s v="Keyboard"/>
    <x v="6"/>
    <n v="800"/>
    <n v="1040"/>
    <n v="2"/>
    <n v="1600"/>
    <n v="2080"/>
    <s v="Aarvi Gupta"/>
    <n v="3315"/>
  </r>
  <r>
    <s v="143441"/>
    <x v="32"/>
    <s v="Roshan Zameer"/>
    <s v="03/04/2022"/>
    <s v="Shipped"/>
    <s v="Wireless Mouse"/>
    <s v="Mouse"/>
    <x v="0"/>
    <n v="600"/>
    <n v="780"/>
    <n v="1"/>
    <n v="600"/>
    <n v="780"/>
    <s v="Aarvi Gupta"/>
    <n v="1690"/>
  </r>
  <r>
    <s v="143442"/>
    <x v="0"/>
    <s v="Rakesh Kumar Sharma"/>
    <s v="03/04/2022"/>
    <s v="Order"/>
    <s v="21&quot; LCD Display"/>
    <s v="Monitor"/>
    <x v="6"/>
    <n v="10500"/>
    <n v="13650"/>
    <n v="4"/>
    <n v="42000"/>
    <n v="54600"/>
    <s v="Aarvi Gupta"/>
    <n v="9750"/>
  </r>
  <r>
    <s v="143443"/>
    <x v="23"/>
    <s v="Shivanand Sahani"/>
    <s v="03/04/2022"/>
    <s v="Processing"/>
    <s v="121 TB HDD"/>
    <s v="HDD"/>
    <x v="10"/>
    <n v="6500"/>
    <n v="8450"/>
    <n v="3"/>
    <n v="19500"/>
    <n v="25350"/>
    <s v="Aarvi Gupta"/>
    <n v="39000"/>
  </r>
  <r>
    <s v="143444"/>
    <x v="1"/>
    <s v="Kunal Patra"/>
    <s v="03/04/2022"/>
    <s v="Delivered"/>
    <s v="376 GB SSD"/>
    <s v="SSD"/>
    <x v="0"/>
    <n v="4500"/>
    <n v="5850"/>
    <n v="3"/>
    <n v="13500"/>
    <n v="17550"/>
    <s v="Aarvi Gupta"/>
    <n v="8450"/>
  </r>
  <r>
    <s v="143445"/>
    <x v="2"/>
    <s v="Bijendra"/>
    <s v="03/04/2022"/>
    <s v="Shipped"/>
    <s v="Intel i3 11th gen."/>
    <s v="CPU"/>
    <x v="1"/>
    <n v="8500"/>
    <n v="11050"/>
    <n v="2"/>
    <n v="17000"/>
    <n v="22100"/>
    <s v="Aarvi Gupta"/>
    <n v="33150"/>
  </r>
  <r>
    <s v="143446"/>
    <x v="3"/>
    <s v="Kranti Bheke"/>
    <s v="03/04/2022"/>
    <s v="Order"/>
    <s v="4GB Graphic card"/>
    <s v="Graphic Card"/>
    <x v="2"/>
    <n v="12500"/>
    <n v="16250"/>
    <n v="2"/>
    <n v="25000"/>
    <n v="32500"/>
    <s v="Aarvi Gupta"/>
    <n v="18200"/>
  </r>
  <r>
    <s v="143447"/>
    <x v="24"/>
    <s v="Jagdeep"/>
    <s v="03/04/2022"/>
    <s v="Processing"/>
    <s v="128 GB DDR4 RAM"/>
    <s v="RAM"/>
    <x v="3"/>
    <n v="3500"/>
    <n v="4550"/>
    <n v="4"/>
    <n v="14000"/>
    <n v="18200"/>
    <s v="Aarvi Gupta"/>
    <n v="25545"/>
  </r>
  <r>
    <s v="143448"/>
    <x v="25"/>
    <s v="Adhir Samal"/>
    <s v="03/04/2022"/>
    <s v="Delivered"/>
    <s v="BTX motherboard"/>
    <s v="MotherBoard"/>
    <x v="4"/>
    <n v="4500"/>
    <n v="5850"/>
    <n v="3"/>
    <n v="13500"/>
    <n v="17550"/>
    <s v="Roshan Kumar"/>
    <n v="39780"/>
  </r>
  <r>
    <s v="143449"/>
    <x v="33"/>
    <s v="Dannana Jhammi"/>
    <s v="03/04/2022"/>
    <s v="Shipped"/>
    <s v="123 Fans Cabinet"/>
    <s v="Cabinet"/>
    <x v="5"/>
    <n v="2100"/>
    <n v="2730"/>
    <n v="1"/>
    <n v="2100"/>
    <n v="2730"/>
    <s v="Aarvi Gupta"/>
    <n v="2990"/>
  </r>
  <r>
    <s v="143450"/>
    <x v="34"/>
    <s v="Vipin Kumar"/>
    <s v="03/04/2022"/>
    <s v="Order"/>
    <s v="Wireless Keyboard"/>
    <s v="Keyboard"/>
    <x v="6"/>
    <n v="1150"/>
    <n v="1495"/>
    <n v="4"/>
    <n v="4600"/>
    <n v="5980"/>
    <s v="Vijay Singh"/>
    <n v="3315"/>
  </r>
  <r>
    <s v="143451"/>
    <x v="4"/>
    <s v="Ranjeet Kumar"/>
    <s v="03/04/2022"/>
    <s v="Processing"/>
    <s v="USB Mouse"/>
    <s v="Mouse"/>
    <x v="0"/>
    <n v="350"/>
    <n v="455"/>
    <n v="4"/>
    <n v="1400"/>
    <n v="1820"/>
    <s v="Aadil Khan"/>
    <n v="1690"/>
  </r>
  <r>
    <s v="143452"/>
    <x v="5"/>
    <s v="Sajal Singhal"/>
    <s v="03/04/2022"/>
    <s v="Delivered"/>
    <s v="19&quot; LED Display"/>
    <s v="Monitor"/>
    <x v="6"/>
    <n v="9500"/>
    <n v="12350"/>
    <n v="2"/>
    <n v="19000"/>
    <n v="24700"/>
    <s v="Advika Joshi"/>
    <n v="9750"/>
  </r>
  <r>
    <s v="143453"/>
    <x v="6"/>
    <s v="Akhilesh Kumar"/>
    <s v="03/04/2022"/>
    <s v="Shipped"/>
    <s v="122 TB HDD"/>
    <s v="HDD"/>
    <x v="10"/>
    <n v="10000"/>
    <n v="13000"/>
    <n v="3"/>
    <n v="30000"/>
    <n v="39000"/>
    <s v="Ajay Sharma"/>
    <n v="39000"/>
  </r>
  <r>
    <s v="143454"/>
    <x v="7"/>
    <s v="Suvankar Chakraborty"/>
    <s v="03/04/2022"/>
    <s v="Order"/>
    <s v="632 GB M.2"/>
    <s v="SSD"/>
    <x v="0"/>
    <n v="6500"/>
    <n v="8450"/>
    <n v="2"/>
    <n v="13000"/>
    <n v="16900"/>
    <s v="Roshan Kumar"/>
    <n v="8450"/>
  </r>
  <r>
    <s v="143455"/>
    <x v="26"/>
    <s v="Suvankar Adhikary"/>
    <s v="03/04/2022"/>
    <s v="Processing"/>
    <s v="RYZEN 3rd gen. 3620"/>
    <s v="CPU"/>
    <x v="1"/>
    <n v="8500"/>
    <n v="11050"/>
    <n v="1"/>
    <n v="8500"/>
    <n v="11050"/>
    <s v="Aarvi Gupta"/>
    <n v="33150"/>
  </r>
  <r>
    <s v="143456"/>
    <x v="27"/>
    <s v="Rahul Kumar Prajapati"/>
    <s v="03/04/2022"/>
    <s v="Delivered"/>
    <s v="2GB Graphic Card"/>
    <s v="Graphic Card"/>
    <x v="2"/>
    <n v="7000"/>
    <n v="9100"/>
    <n v="3"/>
    <n v="21000"/>
    <n v="27300"/>
    <s v="Vijay Singh"/>
    <n v="18200"/>
  </r>
  <r>
    <s v="143457"/>
    <x v="8"/>
    <s v="Sagar Jeur"/>
    <s v="03/04/2022"/>
    <s v="Shipped"/>
    <s v="136 GB DDR4 RAM"/>
    <s v="RAM"/>
    <x v="3"/>
    <n v="6550"/>
    <n v="8515"/>
    <n v="3"/>
    <n v="19650"/>
    <n v="25545"/>
    <s v="Aadil Khan"/>
    <n v="25545"/>
  </r>
  <r>
    <s v="143458"/>
    <x v="9"/>
    <s v="Rhushikesh Mane"/>
    <s v="03/04/2022"/>
    <s v="Order"/>
    <s v="Standard ATX motherboard"/>
    <s v="MotherBoard"/>
    <x v="4"/>
    <n v="7650"/>
    <n v="9945"/>
    <n v="1"/>
    <n v="7650"/>
    <n v="9945"/>
    <s v="Aarvi Gupta"/>
    <n v="39780"/>
  </r>
  <r>
    <s v="143459"/>
    <x v="10"/>
    <s v="Ashish Kumar"/>
    <s v="03/04/2022"/>
    <s v="Processing"/>
    <s v="Compact with 1 Fan"/>
    <s v="Cabinet"/>
    <x v="5"/>
    <n v="1150"/>
    <n v="1495"/>
    <n v="4"/>
    <n v="4600"/>
    <n v="5980"/>
    <s v="Aarvi Gupta"/>
    <n v="2990"/>
  </r>
  <r>
    <s v="143460"/>
    <x v="11"/>
    <s v="Javed Akhter"/>
    <s v="03/04/2022"/>
    <s v="Delivered"/>
    <s v="USB Backlight Keyboard"/>
    <s v="Keyboard"/>
    <x v="6"/>
    <n v="850"/>
    <n v="1105"/>
    <n v="2"/>
    <n v="1700"/>
    <n v="2210"/>
    <s v="Aarvi Gupta"/>
    <n v="3315"/>
  </r>
  <r>
    <s v="143461"/>
    <x v="12"/>
    <s v="Haridas Balraj"/>
    <s v="03/04/2022"/>
    <s v="Shipped"/>
    <s v="Ergonomic Mouse"/>
    <s v="Mouse"/>
    <x v="0"/>
    <n v="650"/>
    <n v="845"/>
    <n v="1"/>
    <n v="650"/>
    <n v="845"/>
    <s v="Aarvi Gupta"/>
    <n v="1690"/>
  </r>
  <r>
    <s v="143462"/>
    <x v="13"/>
    <s v="Kundan Kumar"/>
    <s v="03/04/2022"/>
    <s v="Order"/>
    <s v="15&quot; LCD Dsipaly"/>
    <s v="Monitor"/>
    <x v="6"/>
    <n v="7500"/>
    <n v="9750"/>
    <n v="2"/>
    <n v="15000"/>
    <n v="19500"/>
    <s v="Aarvi Gupta"/>
    <n v="9750"/>
  </r>
  <r>
    <s v="143463"/>
    <x v="14"/>
    <s v="Atif Siddiqui"/>
    <s v="03/04/2022"/>
    <s v="Processing"/>
    <s v="122 TB HDD"/>
    <s v="HDD"/>
    <x v="7"/>
    <n v="10000"/>
    <n v="13000"/>
    <n v="2"/>
    <n v="20000"/>
    <n v="26000"/>
    <s v="Aarvi Gupta"/>
    <n v="39000"/>
  </r>
  <r>
    <s v="143464"/>
    <x v="15"/>
    <s v="Aditya Agarwal"/>
    <s v="03/04/2022"/>
    <s v="Delivered"/>
    <s v="121 TB SSD"/>
    <s v="SSD"/>
    <x v="0"/>
    <n v="10500"/>
    <n v="13650"/>
    <n v="1"/>
    <n v="10500"/>
    <n v="13650"/>
    <s v="Aarvi Gupta"/>
    <n v="8450"/>
  </r>
  <r>
    <s v="143465"/>
    <x v="16"/>
    <s v="Firdoush Jabee"/>
    <s v="03/04/2022"/>
    <s v="Shipped"/>
    <s v="Intel i5 12th gen."/>
    <s v="CPU"/>
    <x v="1"/>
    <n v="8500"/>
    <n v="11050"/>
    <n v="2"/>
    <n v="17000"/>
    <n v="22100"/>
    <s v="Aarvi Gupta"/>
    <n v="33150"/>
  </r>
  <r>
    <s v="143466"/>
    <x v="17"/>
    <s v="Jay Prakash Kumar"/>
    <s v="03/04/2022"/>
    <s v="Order"/>
    <s v="2GB Graphic Card"/>
    <s v="Graphic Card"/>
    <x v="2"/>
    <n v="7000"/>
    <n v="9100"/>
    <n v="1"/>
    <n v="7000"/>
    <n v="9100"/>
    <s v="Aarvi Gupta"/>
    <n v="18200"/>
  </r>
  <r>
    <s v="143467"/>
    <x v="18"/>
    <s v="Ashish Pandey"/>
    <s v="03/04/2022"/>
    <s v="Processing"/>
    <s v="124 GB DDR4 Ram"/>
    <s v="RAM"/>
    <x v="3"/>
    <n v="1680"/>
    <n v="2184"/>
    <n v="3"/>
    <n v="5040"/>
    <n v="6552"/>
    <s v="Aarvi Gupta"/>
    <n v="25545"/>
  </r>
  <r>
    <s v="143468"/>
    <x v="19"/>
    <s v="Ajay Sharma"/>
    <s v="03/04/2022"/>
    <s v="Delivered"/>
    <s v="Micro ATX motherboard"/>
    <s v="MotherBoard"/>
    <x v="8"/>
    <n v="6540"/>
    <n v="8502"/>
    <n v="1"/>
    <n v="6540"/>
    <n v="8502"/>
    <s v="Vijay Singh"/>
    <n v="39780"/>
  </r>
  <r>
    <s v="143469"/>
    <x v="20"/>
    <s v="Moinuddin Saifi"/>
    <s v="03/04/2022"/>
    <s v="Shipped"/>
    <s v="Gaming Box Cabinet"/>
    <s v="Cabinet"/>
    <x v="5"/>
    <n v="2680"/>
    <n v="3484"/>
    <n v="4"/>
    <n v="10720"/>
    <n v="13936"/>
    <s v="Aadil Khan"/>
    <n v="2990"/>
  </r>
  <r>
    <s v="143470"/>
    <x v="16"/>
    <s v="Ramkrishna Das Adhikary"/>
    <s v="03/04/2022"/>
    <s v="Order"/>
    <s v="17&quot; LCD Display"/>
    <s v="Monitor"/>
    <x v="0"/>
    <n v="8250"/>
    <n v="10725"/>
    <n v="3"/>
    <n v="24750"/>
    <n v="32175"/>
    <s v="Advika Joshi"/>
    <n v="9750"/>
  </r>
  <r>
    <s v="143471"/>
    <x v="17"/>
    <s v="Ranjeet Mandal"/>
    <s v="03/04/2022"/>
    <s v="Processing"/>
    <s v="128 GB DDR4 RAM"/>
    <s v="RAM"/>
    <x v="0"/>
    <n v="2650"/>
    <n v="3445"/>
    <n v="4"/>
    <n v="10600"/>
    <n v="13780"/>
    <s v="Ajay Sharma"/>
    <n v="25545"/>
  </r>
  <r>
    <s v="143472"/>
    <x v="27"/>
    <s v="Ashwini Adsare"/>
    <s v="03/04/2022"/>
    <s v="Delivered"/>
    <s v="26&quot; LCD Display"/>
    <s v="Monitor"/>
    <x v="9"/>
    <n v="12550"/>
    <n v="16315"/>
    <n v="4"/>
    <n v="50200"/>
    <n v="65260"/>
    <s v="Roshan Kumar"/>
    <n v="9750"/>
  </r>
  <r>
    <s v="143473"/>
    <x v="22"/>
    <s v="Rajesh Variya"/>
    <s v="03/04/2022"/>
    <s v="Shipped"/>
    <s v="I7 - intel 12th Generation"/>
    <s v="CPU"/>
    <x v="1"/>
    <n v="14500"/>
    <n v="18850"/>
    <n v="4"/>
    <n v="58000"/>
    <n v="75400"/>
    <s v="Aarvi Gupta"/>
    <n v="33150"/>
  </r>
  <r>
    <s v="143474"/>
    <x v="28"/>
    <s v="Amit Singh"/>
    <s v="03/04/2022"/>
    <s v="Order"/>
    <s v="USB Keyboard"/>
    <s v="Keyboard"/>
    <x v="6"/>
    <n v="800"/>
    <n v="1040"/>
    <n v="4"/>
    <n v="3200"/>
    <n v="4160"/>
    <s v="Vijay Singh"/>
    <n v="3315"/>
  </r>
  <r>
    <s v="143475"/>
    <x v="29"/>
    <s v="Vinod Mehta"/>
    <s v="03/04/2022"/>
    <s v="Processing"/>
    <s v="Wireless Mouse"/>
    <s v="Mouse"/>
    <x v="0"/>
    <n v="600"/>
    <n v="780"/>
    <n v="2"/>
    <n v="1200"/>
    <n v="1560"/>
    <s v="Aadil Khan"/>
    <n v="1690"/>
  </r>
  <r>
    <s v="143476"/>
    <x v="30"/>
    <s v="Jignesh Mhatre"/>
    <s v="04/04/2022"/>
    <s v="Delivered"/>
    <s v="21&quot; LCD Display"/>
    <s v="Monitor"/>
    <x v="6"/>
    <n v="10500"/>
    <n v="13650"/>
    <n v="2"/>
    <n v="21000"/>
    <n v="27300"/>
    <s v="Advika Joshi"/>
    <n v="9750"/>
  </r>
  <r>
    <s v="143477"/>
    <x v="31"/>
    <s v="Rahul Kashyap"/>
    <s v="05/04/2022"/>
    <s v="Shipped"/>
    <s v="122 TB HDD"/>
    <s v="HDD"/>
    <x v="10"/>
    <n v="6500"/>
    <n v="8450"/>
    <n v="2"/>
    <n v="13000"/>
    <n v="16900"/>
    <s v="Aarvi Gupta"/>
    <n v="39000"/>
  </r>
  <r>
    <s v="143478"/>
    <x v="32"/>
    <s v="Mohammed Abdul Kaleem"/>
    <s v="06/04/2022"/>
    <s v="Order"/>
    <s v="377 GB SSD"/>
    <s v="SSD"/>
    <x v="0"/>
    <n v="4500"/>
    <n v="5850"/>
    <n v="3"/>
    <n v="13500"/>
    <n v="17550"/>
    <s v="Aarvi Gupta"/>
    <n v="8450"/>
  </r>
  <r>
    <s v="143479"/>
    <x v="0"/>
    <s v="Chandrakant Kasbe"/>
    <s v="07/04/2022"/>
    <s v="Processing"/>
    <s v="Intel i3 11th gen."/>
    <s v="CPU"/>
    <x v="1"/>
    <n v="8500"/>
    <n v="11050"/>
    <n v="1"/>
    <n v="8500"/>
    <n v="11050"/>
    <s v="Aarvi Gupta"/>
    <n v="33150"/>
  </r>
  <r>
    <s v="143480"/>
    <x v="23"/>
    <s v="Rohan Kale"/>
    <s v="08/04/2022"/>
    <s v="Delivered"/>
    <s v="4GB Graphic card"/>
    <s v="Graphic Card"/>
    <x v="2"/>
    <n v="12500"/>
    <n v="16250"/>
    <n v="3"/>
    <n v="37500"/>
    <n v="48750"/>
    <s v="Aarvi Gupta"/>
    <n v="18200"/>
  </r>
  <r>
    <s v="143481"/>
    <x v="1"/>
    <s v="Aniruddha Kekapure"/>
    <s v="09/04/2022"/>
    <s v="Shipped"/>
    <s v="129 GB DDR4 RAM"/>
    <s v="Computer Case"/>
    <x v="3"/>
    <n v="3500"/>
    <n v="4550"/>
    <n v="3"/>
    <n v="10500"/>
    <n v="13650"/>
    <s v="Aarvi Gupta"/>
    <n v="13650"/>
  </r>
  <r>
    <s v="143482"/>
    <x v="2"/>
    <s v="Aslam Raza"/>
    <s v="10/04/2022"/>
    <s v="Order"/>
    <s v="BTX motherboard"/>
    <s v="Mouse"/>
    <x v="4"/>
    <n v="4500"/>
    <n v="5850"/>
    <n v="1"/>
    <n v="4500"/>
    <n v="5850"/>
    <s v="Aarvi Gupta"/>
    <n v="1690"/>
  </r>
  <r>
    <s v="143483"/>
    <x v="3"/>
    <s v="Roshan Zameer"/>
    <s v="10/04/2022"/>
    <s v="Processing"/>
    <s v="124 Fans Cabinet"/>
    <s v="Cabinet"/>
    <x v="5"/>
    <n v="2100"/>
    <n v="2730"/>
    <n v="2"/>
    <n v="4200"/>
    <n v="5460"/>
    <s v="Aarvi Gupta"/>
    <n v="2990"/>
  </r>
  <r>
    <s v="143484"/>
    <x v="24"/>
    <s v="Rakesh Kumar Sharma"/>
    <s v="10/04/2022"/>
    <s v="Delivered"/>
    <s v="Wireless Keyboard"/>
    <s v="Keyboard"/>
    <x v="6"/>
    <n v="1150"/>
    <n v="1495"/>
    <n v="2"/>
    <n v="2300"/>
    <n v="2990"/>
    <s v="Aarvi Gupta"/>
    <n v="3315"/>
  </r>
  <r>
    <s v="143485"/>
    <x v="25"/>
    <s v="Shivanand Sahani"/>
    <s v="10/04/2022"/>
    <s v="Shipped"/>
    <s v="USB Mouse"/>
    <s v="Mouse"/>
    <x v="0"/>
    <n v="350"/>
    <n v="455"/>
    <n v="3"/>
    <n v="1050"/>
    <n v="1365"/>
    <s v="Aarvi Gupta"/>
    <n v="1690"/>
  </r>
  <r>
    <s v="143486"/>
    <x v="33"/>
    <s v="Kunal Patra"/>
    <s v="10/04/2022"/>
    <s v="Order"/>
    <s v="19&quot; LED Display"/>
    <s v="Monitor"/>
    <x v="6"/>
    <n v="9500"/>
    <n v="12350"/>
    <n v="1"/>
    <n v="9500"/>
    <n v="12350"/>
    <s v="Aarvi Gupta"/>
    <n v="9750"/>
  </r>
  <r>
    <s v="143487"/>
    <x v="34"/>
    <s v="Bijendra"/>
    <s v="10/04/2022"/>
    <s v="Processing"/>
    <s v="123 TB HDD"/>
    <s v="HDD"/>
    <x v="10"/>
    <n v="10000"/>
    <n v="13000"/>
    <n v="3"/>
    <n v="30000"/>
    <n v="39000"/>
    <s v="Aadil Khan"/>
    <n v="39000"/>
  </r>
  <r>
    <s v="143488"/>
    <x v="4"/>
    <s v="Kranti Bheke"/>
    <s v="10/04/2022"/>
    <s v="Delivered"/>
    <s v="633 GB M.2"/>
    <s v="SSD"/>
    <x v="0"/>
    <n v="6500"/>
    <n v="8450"/>
    <n v="1"/>
    <n v="6500"/>
    <n v="8450"/>
    <s v="Advika Joshi"/>
    <n v="8450"/>
  </r>
  <r>
    <s v="143489"/>
    <x v="5"/>
    <s v="Jagdeep"/>
    <s v="10/04/2022"/>
    <s v="Shipped"/>
    <s v="RYZEN 3rd gen. 3621"/>
    <s v="CPU"/>
    <x v="1"/>
    <n v="8500"/>
    <n v="11050"/>
    <n v="3"/>
    <n v="25500"/>
    <n v="33150"/>
    <s v="Ajay Sharma"/>
    <n v="33150"/>
  </r>
  <r>
    <s v="143490"/>
    <x v="6"/>
    <s v="Adhir Samal"/>
    <s v="10/04/2022"/>
    <s v="Order"/>
    <s v="2GB Graphic Card"/>
    <s v="Graphic Card"/>
    <x v="2"/>
    <n v="7000"/>
    <n v="9100"/>
    <n v="2"/>
    <n v="14000"/>
    <n v="18200"/>
    <s v="Roshan Kumar"/>
    <n v="18200"/>
  </r>
  <r>
    <s v="143491"/>
    <x v="7"/>
    <s v="Dannana Jhammi"/>
    <s v="10/04/2022"/>
    <s v="Processing"/>
    <s v="137 GB DDR4 RAM"/>
    <s v="Computer Case"/>
    <x v="3"/>
    <n v="6550"/>
    <n v="8515"/>
    <n v="3"/>
    <n v="19650"/>
    <n v="25545"/>
    <s v="Aarvi Gupta"/>
    <n v="13650"/>
  </r>
  <r>
    <s v="143492"/>
    <x v="26"/>
    <s v="Vipin Kumar"/>
    <s v="10/04/2022"/>
    <s v="Delivered"/>
    <s v="Standard ATX motherboard"/>
    <s v="Mouse"/>
    <x v="4"/>
    <n v="7650"/>
    <n v="9945"/>
    <n v="4"/>
    <n v="30600"/>
    <n v="39780"/>
    <s v="Vijay Singh"/>
    <n v="1690"/>
  </r>
  <r>
    <s v="143493"/>
    <x v="27"/>
    <s v="Ranjeet Kumar"/>
    <s v="10/04/2022"/>
    <s v="Shipped"/>
    <s v="Compact with 1 Fan"/>
    <s v="Cabinet"/>
    <x v="5"/>
    <n v="1150"/>
    <n v="1495"/>
    <n v="4"/>
    <n v="4600"/>
    <n v="5980"/>
    <s v="Aadil Khan"/>
    <n v="2990"/>
  </r>
  <r>
    <s v="143494"/>
    <x v="8"/>
    <s v="Sajal Singhal"/>
    <s v="10/04/2022"/>
    <s v="Order"/>
    <s v="USB Backlight Keyboard"/>
    <s v="Keyboard"/>
    <x v="6"/>
    <n v="850"/>
    <n v="1105"/>
    <n v="3"/>
    <n v="2550"/>
    <n v="3315"/>
    <s v="Advika Joshi"/>
    <n v="3315"/>
  </r>
  <r>
    <s v="143495"/>
    <x v="9"/>
    <s v="Akhilesh Kumar"/>
    <s v="10/04/2022"/>
    <s v="Processing"/>
    <s v="Ergonomic Mouse"/>
    <s v="Mouse"/>
    <x v="0"/>
    <n v="650"/>
    <n v="845"/>
    <n v="1"/>
    <n v="650"/>
    <n v="845"/>
    <s v="Ajay Sharma"/>
    <n v="1690"/>
  </r>
  <r>
    <s v="143496"/>
    <x v="10"/>
    <s v="Suvankar Chakraborty"/>
    <s v="10/04/2022"/>
    <s v="Delivered"/>
    <s v="15&quot; LCD Dsipaly"/>
    <s v="Monitor"/>
    <x v="6"/>
    <n v="7500"/>
    <n v="9750"/>
    <n v="1"/>
    <n v="7500"/>
    <n v="9750"/>
    <s v="Ajay Sharma"/>
    <n v="9750"/>
  </r>
  <r>
    <s v="143497"/>
    <x v="11"/>
    <s v="Suvankar Adhikary"/>
    <s v="10/04/2022"/>
    <s v="Shipped"/>
    <s v="123 TB HDD"/>
    <s v="HDD"/>
    <x v="7"/>
    <n v="10000"/>
    <n v="13000"/>
    <n v="2"/>
    <n v="20000"/>
    <n v="26000"/>
    <s v="Ajay Sharma"/>
    <n v="39000"/>
  </r>
  <r>
    <s v="143498"/>
    <x v="12"/>
    <s v="Rahul Kumar Prajapati"/>
    <s v="10/04/2022"/>
    <s v="Order"/>
    <s v="122 TB SSD"/>
    <s v="SSD"/>
    <x v="0"/>
    <n v="10500"/>
    <n v="13650"/>
    <n v="3"/>
    <n v="31500"/>
    <n v="40950"/>
    <s v="Ajay Sharma"/>
    <n v="8450"/>
  </r>
  <r>
    <s v="143499"/>
    <x v="13"/>
    <s v="Sagar Jeur"/>
    <s v="10/04/2022"/>
    <s v="Processing"/>
    <s v="Intel i5 12th gen."/>
    <s v="CPU"/>
    <x v="1"/>
    <n v="8500"/>
    <n v="11050"/>
    <n v="1"/>
    <n v="8500"/>
    <n v="11050"/>
    <s v="Ajay Sharma"/>
    <n v="33150"/>
  </r>
  <r>
    <s v="143500"/>
    <x v="14"/>
    <s v="Rhushikesh Mane"/>
    <s v="10/04/2022"/>
    <s v="Delivered"/>
    <s v="2GB Graphic Card"/>
    <s v="Graphic Card"/>
    <x v="2"/>
    <n v="7000"/>
    <n v="9100"/>
    <n v="4"/>
    <n v="28000"/>
    <n v="36400"/>
    <s v="Ajay Sharma"/>
    <n v="18200"/>
  </r>
  <r>
    <s v="143501"/>
    <x v="15"/>
    <s v="Ashish Kumar"/>
    <s v="10/04/2022"/>
    <s v="Shipped"/>
    <s v="125 GB DDR4 Ram"/>
    <s v="Computer Case"/>
    <x v="3"/>
    <n v="1680"/>
    <n v="2184"/>
    <n v="4"/>
    <n v="6720"/>
    <n v="8736"/>
    <s v="Ajay Sharma"/>
    <n v="13650"/>
  </r>
  <r>
    <s v="143502"/>
    <x v="16"/>
    <s v="Javed Akhter"/>
    <s v="10/04/2022"/>
    <s v="Order"/>
    <s v="Micro ATX motherboard"/>
    <s v="Mouse"/>
    <x v="8"/>
    <n v="6540"/>
    <n v="8502"/>
    <n v="3"/>
    <n v="19620"/>
    <n v="25506"/>
    <s v="Ajay Sharma"/>
    <n v="1690"/>
  </r>
  <r>
    <s v="143503"/>
    <x v="17"/>
    <s v="Haridas Balraj"/>
    <s v="10/04/2022"/>
    <s v="Processing"/>
    <s v="Gaming Box Cabinet"/>
    <s v="Cabinet"/>
    <x v="5"/>
    <n v="2680"/>
    <n v="3484"/>
    <n v="3"/>
    <n v="8040"/>
    <n v="10452"/>
    <s v="Ajay Sharma"/>
    <n v="2990"/>
  </r>
  <r>
    <s v="143504"/>
    <x v="18"/>
    <s v="Kundan Kumar"/>
    <s v="10/04/2022"/>
    <s v="Delivered"/>
    <s v="17&quot; LCD Display"/>
    <s v="Monitor"/>
    <x v="0"/>
    <n v="8250"/>
    <n v="10725"/>
    <n v="1"/>
    <n v="8250"/>
    <n v="10725"/>
    <s v="Ajay Sharma"/>
    <n v="9750"/>
  </r>
  <r>
    <s v="143505"/>
    <x v="19"/>
    <s v="Atif Siddiqui"/>
    <s v="10/04/2022"/>
    <s v="Shipped"/>
    <s v="129 GB DDR4 RAM"/>
    <s v="RAM"/>
    <x v="0"/>
    <n v="2650"/>
    <n v="3445"/>
    <n v="1"/>
    <n v="2650"/>
    <n v="3445"/>
    <s v="Ajay Sharma"/>
    <n v="25545"/>
  </r>
  <r>
    <s v="143506"/>
    <x v="20"/>
    <s v="Aditya Agarwal"/>
    <s v="10/04/2022"/>
    <s v="Order"/>
    <s v="26&quot; LCD Display"/>
    <s v="Monitor"/>
    <x v="9"/>
    <n v="12550"/>
    <n v="16315"/>
    <n v="3"/>
    <n v="37650"/>
    <n v="48945"/>
    <s v="Ajay Sharma"/>
    <n v="9750"/>
  </r>
  <r>
    <s v="143507"/>
    <x v="16"/>
    <s v="Firdoush Jabee"/>
    <s v="10/04/2022"/>
    <s v="Processing"/>
    <s v="I7 - intel 12th Generation"/>
    <s v="CPU"/>
    <x v="1"/>
    <n v="14500"/>
    <n v="18850"/>
    <n v="1"/>
    <n v="14500"/>
    <n v="18850"/>
    <s v="Ajay Sharma"/>
    <n v="33150"/>
  </r>
  <r>
    <s v="143508"/>
    <x v="17"/>
    <s v="Jay Prakash Kumar"/>
    <s v="10/04/2022"/>
    <s v="Delivered"/>
    <s v="USB Keyboard"/>
    <s v="Keyboard"/>
    <x v="6"/>
    <n v="800"/>
    <n v="1040"/>
    <n v="3"/>
    <n v="2400"/>
    <n v="3120"/>
    <s v="Ajay Sharma"/>
    <n v="3315"/>
  </r>
  <r>
    <s v="143509"/>
    <x v="27"/>
    <s v="Ashish Pandey"/>
    <s v="10/04/2022"/>
    <s v="Shipped"/>
    <s v="Wireless Mouse"/>
    <s v="Mouse"/>
    <x v="0"/>
    <n v="600"/>
    <n v="780"/>
    <n v="1"/>
    <n v="600"/>
    <n v="780"/>
    <s v="Ajay Sharma"/>
    <n v="1690"/>
  </r>
  <r>
    <s v="143510"/>
    <x v="22"/>
    <s v="Ajay Sharma"/>
    <s v="11/04/2022"/>
    <s v="Order"/>
    <s v="21&quot; LCD Display"/>
    <s v="Monitor"/>
    <x v="6"/>
    <n v="10500"/>
    <n v="13650"/>
    <n v="1"/>
    <n v="10500"/>
    <n v="13650"/>
    <s v="Ajay Sharma"/>
    <n v="9750"/>
  </r>
  <r>
    <s v="143511"/>
    <x v="28"/>
    <s v="Moinuddin Saifi"/>
    <s v="12/04/2022"/>
    <s v="Processing"/>
    <s v="123 TB HDD"/>
    <s v="HDD"/>
    <x v="10"/>
    <n v="6500"/>
    <n v="8450"/>
    <n v="2"/>
    <n v="13000"/>
    <n v="16900"/>
    <s v="Ajay Sharma"/>
    <n v="39000"/>
  </r>
  <r>
    <s v="143512"/>
    <x v="29"/>
    <s v="Ramkrishna Das Adhikary"/>
    <s v="13/04/2022"/>
    <s v="Delivered"/>
    <s v="378 GB SSD"/>
    <s v="SSD"/>
    <x v="0"/>
    <n v="4500"/>
    <n v="5850"/>
    <n v="2"/>
    <n v="9000"/>
    <n v="11700"/>
    <s v="Ajay Sharma"/>
    <n v="8450"/>
  </r>
  <r>
    <s v="143513"/>
    <x v="30"/>
    <s v="Ranjeet Mandal"/>
    <s v="14/04/2022"/>
    <s v="Shipped"/>
    <s v="Intel i3 11th gen."/>
    <s v="CPU"/>
    <x v="1"/>
    <n v="8500"/>
    <n v="11050"/>
    <n v="2"/>
    <n v="17000"/>
    <n v="22100"/>
    <s v="Ajay Sharma"/>
    <n v="33150"/>
  </r>
  <r>
    <s v="143514"/>
    <x v="31"/>
    <s v="Ashwini Adsare"/>
    <s v="15/04/2022"/>
    <s v="Order"/>
    <s v="4GB Graphic card"/>
    <s v="Graphic Card"/>
    <x v="2"/>
    <n v="12500"/>
    <n v="16250"/>
    <n v="4"/>
    <n v="50000"/>
    <n v="65000"/>
    <s v="Ajay Sharma"/>
    <n v="18200"/>
  </r>
  <r>
    <s v="143515"/>
    <x v="32"/>
    <s v="Rajesh Variya"/>
    <s v="16/04/2022"/>
    <s v="Processing"/>
    <s v="130 GB DDR4 RAM"/>
    <s v="NIC"/>
    <x v="3"/>
    <n v="3500"/>
    <n v="4550"/>
    <n v="3"/>
    <n v="10500"/>
    <n v="13650"/>
    <s v="Roshan Kumar"/>
    <n v="9100"/>
  </r>
  <r>
    <s v="143516"/>
    <x v="0"/>
    <s v="Amit Singh"/>
    <s v="16/04/2022"/>
    <s v="Delivered"/>
    <s v="BTX motherboard"/>
    <s v="Printer"/>
    <x v="4"/>
    <n v="4500"/>
    <n v="5850"/>
    <n v="2"/>
    <n v="9000"/>
    <n v="11700"/>
    <s v="Aarvi Gupta"/>
    <n v="11700"/>
  </r>
  <r>
    <s v="143517"/>
    <x v="23"/>
    <s v="Vinod Mehta"/>
    <s v="16/04/2022"/>
    <s v="Shipped"/>
    <s v="125 Fans Cabinet"/>
    <s v="Cabinet"/>
    <x v="5"/>
    <n v="2100"/>
    <n v="2730"/>
    <n v="1"/>
    <n v="2100"/>
    <n v="2730"/>
    <s v="Vijay Singh"/>
    <n v="2990"/>
  </r>
  <r>
    <s v="143518"/>
    <x v="1"/>
    <s v="Jignesh Mhatre"/>
    <s v="16/04/2022"/>
    <s v="Order"/>
    <s v="Wireless Keyboard"/>
    <s v="Keyboard"/>
    <x v="6"/>
    <n v="1150"/>
    <n v="1495"/>
    <n v="4"/>
    <n v="4600"/>
    <n v="5980"/>
    <s v="Aadil Khan"/>
    <n v="3315"/>
  </r>
  <r>
    <s v="143519"/>
    <x v="2"/>
    <s v="Rahul Kashyap"/>
    <s v="16/04/2022"/>
    <s v="Processing"/>
    <s v="USB Mouse"/>
    <s v="Mouse"/>
    <x v="0"/>
    <n v="350"/>
    <n v="455"/>
    <n v="3"/>
    <n v="1050"/>
    <n v="1365"/>
    <s v="Advika Joshi"/>
    <n v="1690"/>
  </r>
  <r>
    <s v="143520"/>
    <x v="3"/>
    <s v="Mohammed Abdul Kaleem"/>
    <s v="16/04/2022"/>
    <s v="Delivered"/>
    <s v="19&quot; LED Display"/>
    <s v="Monitor"/>
    <x v="6"/>
    <n v="9500"/>
    <n v="12350"/>
    <n v="1"/>
    <n v="9500"/>
    <n v="12350"/>
    <s v="Ajay Sharma"/>
    <n v="9750"/>
  </r>
  <r>
    <s v="143521"/>
    <x v="24"/>
    <s v="Chandrakant Kasbe"/>
    <s v="16/04/2022"/>
    <s v="Shipped"/>
    <s v="124 TB HDD"/>
    <s v="HDD"/>
    <x v="10"/>
    <n v="10000"/>
    <n v="13000"/>
    <n v="3"/>
    <n v="30000"/>
    <n v="39000"/>
    <s v="Roshan Kumar"/>
    <n v="39000"/>
  </r>
  <r>
    <s v="143522"/>
    <x v="25"/>
    <s v="Rohan Kale"/>
    <s v="16/04/2022"/>
    <s v="Order"/>
    <s v="634 GB M.2"/>
    <s v="SSD"/>
    <x v="0"/>
    <n v="6500"/>
    <n v="8450"/>
    <n v="2"/>
    <n v="13000"/>
    <n v="16900"/>
    <s v="Aarvi Gupta"/>
    <n v="8450"/>
  </r>
  <r>
    <s v="143523"/>
    <x v="33"/>
    <s v="Aniruddha Kekapure"/>
    <s v="16/04/2022"/>
    <s v="Processing"/>
    <s v="RYZEN 3rd gen. 3622"/>
    <s v="CPU"/>
    <x v="1"/>
    <n v="8500"/>
    <n v="11050"/>
    <n v="2"/>
    <n v="17000"/>
    <n v="22100"/>
    <s v="Vijay Singh"/>
    <n v="33150"/>
  </r>
  <r>
    <s v="143524"/>
    <x v="34"/>
    <s v="Aslam Raza"/>
    <s v="16/04/2022"/>
    <s v="Delivered"/>
    <s v="2GB Graphic Card"/>
    <s v="Graphic Card"/>
    <x v="2"/>
    <n v="7000"/>
    <n v="9100"/>
    <n v="3"/>
    <n v="21000"/>
    <n v="27300"/>
    <s v="Aadil Khan"/>
    <n v="18200"/>
  </r>
  <r>
    <s v="143525"/>
    <x v="4"/>
    <s v="Roshan Zameer"/>
    <s v="16/04/2022"/>
    <s v="Shipped"/>
    <s v="138 GB DDR4 RAM"/>
    <s v="NIC"/>
    <x v="3"/>
    <n v="6550"/>
    <n v="8515"/>
    <n v="1"/>
    <n v="6550"/>
    <n v="8515"/>
    <s v="Advika Joshi"/>
    <n v="9100"/>
  </r>
  <r>
    <s v="143526"/>
    <x v="5"/>
    <s v="Rakesh Kumar Sharma"/>
    <s v="16/04/2022"/>
    <s v="Order"/>
    <s v="Standard ATX motherboard"/>
    <s v="Printer"/>
    <x v="4"/>
    <n v="7650"/>
    <n v="9945"/>
    <n v="1"/>
    <n v="7650"/>
    <n v="9945"/>
    <s v="Ajay Sharma"/>
    <n v="11700"/>
  </r>
  <r>
    <s v="143527"/>
    <x v="6"/>
    <s v="Shivanand Sahani"/>
    <s v="16/04/2022"/>
    <s v="Processing"/>
    <s v="Compact with 1 Fan"/>
    <s v="Cabinet"/>
    <x v="5"/>
    <n v="1150"/>
    <n v="1495"/>
    <n v="2"/>
    <n v="2300"/>
    <n v="2990"/>
    <s v="Roshan Kumar"/>
    <n v="2990"/>
  </r>
  <r>
    <s v="143528"/>
    <x v="7"/>
    <s v="Kunal Patra"/>
    <s v="16/04/2022"/>
    <s v="Delivered"/>
    <s v="USB Backlight Keyboard"/>
    <s v="Keyboard"/>
    <x v="6"/>
    <n v="850"/>
    <n v="1105"/>
    <n v="1"/>
    <n v="850"/>
    <n v="1105"/>
    <s v="Aarvi Gupta"/>
    <n v="3315"/>
  </r>
  <r>
    <s v="143529"/>
    <x v="26"/>
    <s v="Bijendra"/>
    <s v="16/04/2022"/>
    <s v="Shipped"/>
    <s v="Ergonomic Mouse"/>
    <s v="Mouse"/>
    <x v="0"/>
    <n v="650"/>
    <n v="845"/>
    <n v="3"/>
    <n v="1950"/>
    <n v="2535"/>
    <s v="Vijay Singh"/>
    <n v="1690"/>
  </r>
  <r>
    <s v="143530"/>
    <x v="27"/>
    <s v="Kranti Bheke"/>
    <s v="16/04/2022"/>
    <s v="Order"/>
    <s v="15&quot; LCD Dsipaly"/>
    <s v="Monitor"/>
    <x v="6"/>
    <n v="7500"/>
    <n v="9750"/>
    <n v="4"/>
    <n v="30000"/>
    <n v="39000"/>
    <s v="Aadil Khan"/>
    <n v="9750"/>
  </r>
  <r>
    <s v="143531"/>
    <x v="8"/>
    <s v="Jagdeep"/>
    <s v="16/04/2022"/>
    <s v="Processing"/>
    <s v="124 TB HDD"/>
    <s v="HDD"/>
    <x v="7"/>
    <n v="10000"/>
    <n v="13000"/>
    <n v="1"/>
    <n v="10000"/>
    <n v="13000"/>
    <s v="Advika Joshi"/>
    <n v="39000"/>
  </r>
  <r>
    <s v="143532"/>
    <x v="9"/>
    <s v="Adhir Samal"/>
    <s v="16/04/2022"/>
    <s v="Delivered"/>
    <s v="123 TB SSD"/>
    <s v="SSD"/>
    <x v="0"/>
    <n v="10500"/>
    <n v="13650"/>
    <n v="4"/>
    <n v="42000"/>
    <n v="54600"/>
    <s v="Ajay Sharma"/>
    <n v="8450"/>
  </r>
  <r>
    <s v="143533"/>
    <x v="10"/>
    <s v="Dannana Jhammi"/>
    <s v="16/04/2022"/>
    <s v="Shipped"/>
    <s v="Intel i5 12th gen."/>
    <s v="CPU"/>
    <x v="1"/>
    <n v="8500"/>
    <n v="11050"/>
    <n v="4"/>
    <n v="34000"/>
    <n v="44200"/>
    <s v="Roshan Kumar"/>
    <n v="33150"/>
  </r>
  <r>
    <s v="143534"/>
    <x v="11"/>
    <s v="Vipin Kumar"/>
    <s v="16/04/2022"/>
    <s v="Order"/>
    <s v="2GB Graphic Card"/>
    <s v="Graphic Card"/>
    <x v="2"/>
    <n v="7000"/>
    <n v="9100"/>
    <n v="3"/>
    <n v="21000"/>
    <n v="27300"/>
    <s v="Aarvi Gupta"/>
    <n v="18200"/>
  </r>
  <r>
    <s v="143535"/>
    <x v="12"/>
    <s v="Ranjeet Kumar"/>
    <s v="16/04/2022"/>
    <s v="Processing"/>
    <s v="126 GB DDR4 Ram"/>
    <s v="NIC"/>
    <x v="3"/>
    <n v="1680"/>
    <n v="2184"/>
    <n v="2"/>
    <n v="3360"/>
    <n v="4368"/>
    <s v="Vijay Singh"/>
    <n v="9100"/>
  </r>
  <r>
    <s v="143536"/>
    <x v="13"/>
    <s v="Sajal Singhal"/>
    <s v="16/04/2022"/>
    <s v="Delivered"/>
    <s v="Micro ATX motherboard"/>
    <s v="Printer"/>
    <x v="8"/>
    <n v="6540"/>
    <n v="8502"/>
    <n v="2"/>
    <n v="13080"/>
    <n v="17004"/>
    <s v="Aadil Khan"/>
    <n v="11700"/>
  </r>
  <r>
    <s v="143537"/>
    <x v="14"/>
    <s v="Akhilesh Kumar"/>
    <s v="16/04/2022"/>
    <s v="Shipped"/>
    <s v="Gaming Box Cabinet"/>
    <s v="Cabinet"/>
    <x v="5"/>
    <n v="2680"/>
    <n v="3484"/>
    <n v="2"/>
    <n v="5360"/>
    <n v="6968"/>
    <s v="Advika Joshi"/>
    <n v="2990"/>
  </r>
  <r>
    <s v="143538"/>
    <x v="15"/>
    <s v="Suvankar Chakraborty"/>
    <s v="16/04/2022"/>
    <s v="Order"/>
    <s v="17&quot; LCD Display"/>
    <s v="Monitor"/>
    <x v="0"/>
    <n v="8250"/>
    <n v="10725"/>
    <n v="1"/>
    <n v="8250"/>
    <n v="10725"/>
    <s v="Ajay Sharma"/>
    <n v="9750"/>
  </r>
  <r>
    <s v="143539"/>
    <x v="16"/>
    <s v="Suvankar Adhikary"/>
    <s v="16/04/2022"/>
    <s v="Processing"/>
    <s v="130 GB DDR4 RAM"/>
    <s v="RAM"/>
    <x v="0"/>
    <n v="2650"/>
    <n v="3445"/>
    <n v="2"/>
    <n v="5300"/>
    <n v="6890"/>
    <s v="Roshan Kumar"/>
    <n v="25545"/>
  </r>
  <r>
    <s v="143540"/>
    <x v="17"/>
    <s v="Rahul Kumar Prajapati"/>
    <s v="16/04/2022"/>
    <s v="Delivered"/>
    <s v="26&quot; LCD Display"/>
    <s v="Monitor"/>
    <x v="9"/>
    <n v="12550"/>
    <n v="16315"/>
    <n v="4"/>
    <n v="50200"/>
    <n v="65260"/>
    <s v="Aarvi Gupta"/>
    <n v="9750"/>
  </r>
  <r>
    <s v="143541"/>
    <x v="18"/>
    <s v="Sagar Jeur"/>
    <s v="16/04/2022"/>
    <s v="Shipped"/>
    <s v="I7 - intel 12th Generation"/>
    <s v="CPU"/>
    <x v="1"/>
    <n v="14500"/>
    <n v="18850"/>
    <n v="4"/>
    <n v="58000"/>
    <n v="75400"/>
    <s v="Vijay Singh"/>
    <n v="33150"/>
  </r>
  <r>
    <s v="143542"/>
    <x v="19"/>
    <s v="Rhushikesh Mane"/>
    <s v="16/04/2022"/>
    <s v="Order"/>
    <s v="USB Keyboard"/>
    <s v="Keyboard"/>
    <x v="6"/>
    <n v="800"/>
    <n v="1040"/>
    <n v="1"/>
    <n v="800"/>
    <n v="1040"/>
    <s v="Aadil Khan"/>
    <n v="3315"/>
  </r>
  <r>
    <s v="143543"/>
    <x v="20"/>
    <s v="Ashish Kumar"/>
    <s v="16/04/2022"/>
    <s v="Processing"/>
    <s v="Wireless Mouse"/>
    <s v="Mouse"/>
    <x v="0"/>
    <n v="600"/>
    <n v="780"/>
    <n v="4"/>
    <n v="2400"/>
    <n v="3120"/>
    <s v="Advika Joshi"/>
    <n v="1690"/>
  </r>
  <r>
    <s v="143544"/>
    <x v="16"/>
    <s v="Javed Akhter"/>
    <s v="16/04/2022"/>
    <s v="Delivered"/>
    <s v="21&quot; LCD Display"/>
    <s v="Monitor"/>
    <x v="6"/>
    <n v="10500"/>
    <n v="13650"/>
    <n v="1"/>
    <n v="10500"/>
    <n v="13650"/>
    <s v="Ajay Sharma"/>
    <n v="9750"/>
  </r>
  <r>
    <s v="143545"/>
    <x v="17"/>
    <s v="Haridas Balraj"/>
    <s v="16/04/2022"/>
    <s v="Shipped"/>
    <s v="124 TB HDD"/>
    <s v="HDD"/>
    <x v="10"/>
    <n v="6500"/>
    <n v="8450"/>
    <n v="2"/>
    <n v="13000"/>
    <n v="16900"/>
    <s v="Roshan Kumar"/>
    <n v="39000"/>
  </r>
  <r>
    <s v="143546"/>
    <x v="27"/>
    <s v="Kundan Kumar"/>
    <s v="16/04/2022"/>
    <s v="Order"/>
    <s v="379 GB SSD"/>
    <s v="SSD"/>
    <x v="0"/>
    <n v="4500"/>
    <n v="5850"/>
    <n v="2"/>
    <n v="9000"/>
    <n v="11700"/>
    <s v="Aarvi Gupta"/>
    <n v="8450"/>
  </r>
  <r>
    <s v="143547"/>
    <x v="22"/>
    <s v="Atif Siddiqui"/>
    <s v="16/04/2022"/>
    <s v="Processing"/>
    <s v="Intel i3 11th gen."/>
    <s v="CPU"/>
    <x v="1"/>
    <n v="8500"/>
    <n v="11050"/>
    <n v="4"/>
    <n v="34000"/>
    <n v="44200"/>
    <s v="Vijay Singh"/>
    <n v="33150"/>
  </r>
  <r>
    <s v="143548"/>
    <x v="28"/>
    <s v="Aditya Agarwal"/>
    <s v="16/04/2022"/>
    <s v="Delivered"/>
    <s v="4GB Graphic card"/>
    <s v="Graphic Card"/>
    <x v="2"/>
    <n v="12500"/>
    <n v="16250"/>
    <n v="4"/>
    <n v="50000"/>
    <n v="65000"/>
    <s v="Aadil Khan"/>
    <n v="18200"/>
  </r>
  <r>
    <s v="143549"/>
    <x v="29"/>
    <s v="Firdoush Jabee"/>
    <s v="16/04/2022"/>
    <s v="Shipped"/>
    <s v="131 GB DDR4 RAM"/>
    <s v="RAM"/>
    <x v="3"/>
    <n v="3500"/>
    <n v="4550"/>
    <n v="1"/>
    <n v="3500"/>
    <n v="4550"/>
    <s v="Advika Joshi"/>
    <n v="25545"/>
  </r>
  <r>
    <s v="143550"/>
    <x v="30"/>
    <s v="Jay Prakash Kumar"/>
    <s v="16/04/2022"/>
    <s v="Order"/>
    <s v="BTX motherboard"/>
    <s v="MotherBoard"/>
    <x v="4"/>
    <n v="4500"/>
    <n v="5850"/>
    <n v="4"/>
    <n v="18000"/>
    <n v="23400"/>
    <s v="Ajay Sharma"/>
    <n v="39780"/>
  </r>
  <r>
    <s v="143551"/>
    <x v="31"/>
    <s v="Ashish Pandey"/>
    <s v="16/04/2022"/>
    <s v="Processing"/>
    <s v="126 Fans Cabinet"/>
    <s v="Cabinet"/>
    <x v="5"/>
    <n v="2100"/>
    <n v="2730"/>
    <n v="2"/>
    <n v="4200"/>
    <n v="5460"/>
    <s v="Roshan Kumar"/>
    <n v="2990"/>
  </r>
  <r>
    <s v="143552"/>
    <x v="32"/>
    <s v="Ajay Sharma"/>
    <s v="16/04/2022"/>
    <s v="Delivered"/>
    <s v="Wireless Keyboard"/>
    <s v="Keyboard"/>
    <x v="6"/>
    <n v="1150"/>
    <n v="1495"/>
    <n v="2"/>
    <n v="2300"/>
    <n v="2990"/>
    <s v="Aarvi Gupta"/>
    <n v="3315"/>
  </r>
  <r>
    <s v="143553"/>
    <x v="0"/>
    <s v="Moinuddin Saifi"/>
    <s v="16/04/2022"/>
    <s v="Shipped"/>
    <s v="USB Mouse"/>
    <s v="Mouse"/>
    <x v="0"/>
    <n v="350"/>
    <n v="455"/>
    <n v="4"/>
    <n v="1400"/>
    <n v="1820"/>
    <s v="Vijay Singh"/>
    <n v="1690"/>
  </r>
  <r>
    <s v="143554"/>
    <x v="23"/>
    <s v="Ramkrishna Das Adhikary"/>
    <s v="16/04/2022"/>
    <s v="Order"/>
    <s v="19&quot; LED Display"/>
    <s v="Monitor"/>
    <x v="6"/>
    <n v="9500"/>
    <n v="12350"/>
    <n v="1"/>
    <n v="9500"/>
    <n v="12350"/>
    <s v="Aadil Khan"/>
    <n v="9750"/>
  </r>
  <r>
    <s v="143555"/>
    <x v="1"/>
    <s v="Ranjeet Mandal"/>
    <s v="16/04/2022"/>
    <s v="Processing"/>
    <s v="125 TB HDD"/>
    <s v="HDD"/>
    <x v="10"/>
    <n v="10000"/>
    <n v="13000"/>
    <n v="3"/>
    <n v="30000"/>
    <n v="39000"/>
    <s v="Advika Joshi"/>
    <n v="39000"/>
  </r>
  <r>
    <s v="143556"/>
    <x v="2"/>
    <s v="Ashwini Adsare"/>
    <s v="16/04/2022"/>
    <s v="Delivered"/>
    <s v="635 GB M.2"/>
    <s v="SSD"/>
    <x v="0"/>
    <n v="6500"/>
    <n v="8450"/>
    <n v="1"/>
    <n v="6500"/>
    <n v="8450"/>
    <s v="Ajay Sharma"/>
    <n v="8450"/>
  </r>
  <r>
    <s v="143557"/>
    <x v="3"/>
    <s v="Rajesh Variya"/>
    <s v="16/04/2022"/>
    <s v="Shipped"/>
    <s v="RYZEN 3rd gen. 3623"/>
    <s v="CPU"/>
    <x v="1"/>
    <n v="8500"/>
    <n v="11050"/>
    <n v="3"/>
    <n v="25500"/>
    <n v="33150"/>
    <s v="Roshan Kumar"/>
    <n v="33150"/>
  </r>
  <r>
    <s v="143558"/>
    <x v="24"/>
    <s v="Amit Singh"/>
    <s v="16/04/2022"/>
    <s v="Order"/>
    <s v="2GB Graphic Card"/>
    <s v="Graphic Card"/>
    <x v="2"/>
    <n v="7000"/>
    <n v="9100"/>
    <n v="4"/>
    <n v="28000"/>
    <n v="36400"/>
    <s v="Aarvi Gupta"/>
    <n v="18200"/>
  </r>
  <r>
    <s v="143559"/>
    <x v="25"/>
    <s v="Vinod Mehta"/>
    <s v="16/04/2022"/>
    <s v="Processing"/>
    <s v="139 GB DDR4 RAM"/>
    <s v="RAM"/>
    <x v="3"/>
    <n v="6550"/>
    <n v="8515"/>
    <n v="1"/>
    <n v="6550"/>
    <n v="8515"/>
    <s v="Vijay Singh"/>
    <n v="25545"/>
  </r>
  <r>
    <s v="143560"/>
    <x v="33"/>
    <s v="Jignesh Mhatre"/>
    <s v="16/04/2022"/>
    <s v="Delivered"/>
    <s v="Standard ATX motherboard"/>
    <s v="MotherBoard"/>
    <x v="4"/>
    <n v="7650"/>
    <n v="9945"/>
    <n v="4"/>
    <n v="30600"/>
    <n v="39780"/>
    <s v="Aadil Khan"/>
    <n v="39780"/>
  </r>
  <r>
    <s v="143561"/>
    <x v="34"/>
    <s v="Rahul Kashyap"/>
    <s v="16/04/2022"/>
    <s v="Shipped"/>
    <s v="Compact with 1 Fan"/>
    <s v="Cabinet"/>
    <x v="5"/>
    <n v="1150"/>
    <n v="1495"/>
    <n v="4"/>
    <n v="4600"/>
    <n v="5980"/>
    <s v="Advika Joshi"/>
    <n v="2990"/>
  </r>
  <r>
    <s v="143562"/>
    <x v="4"/>
    <s v="Mohammed Abdul Kaleem"/>
    <s v="16/04/2022"/>
    <s v="Order"/>
    <s v="USB Backlight Keyboard"/>
    <s v="Keyboard"/>
    <x v="6"/>
    <n v="850"/>
    <n v="1105"/>
    <n v="4"/>
    <n v="3400"/>
    <n v="4420"/>
    <s v="Ajay Sharma"/>
    <n v="3315"/>
  </r>
  <r>
    <s v="143563"/>
    <x v="5"/>
    <s v="Chandrakant Kasbe"/>
    <s v="16/04/2022"/>
    <s v="Processing"/>
    <s v="Ergonomic Mouse"/>
    <s v="Mouse"/>
    <x v="0"/>
    <n v="650"/>
    <n v="845"/>
    <n v="4"/>
    <n v="2600"/>
    <n v="3380"/>
    <s v="Roshan Kumar"/>
    <n v="1690"/>
  </r>
  <r>
    <s v="143564"/>
    <x v="6"/>
    <s v="Rohan Kale"/>
    <s v="17/04/2022"/>
    <s v="Delivered"/>
    <s v="15&quot; LCD Dsipaly"/>
    <s v="Monitor"/>
    <x v="6"/>
    <n v="7500"/>
    <n v="9750"/>
    <n v="4"/>
    <n v="30000"/>
    <n v="39000"/>
    <s v="Aarvi Gupta"/>
    <n v="9750"/>
  </r>
  <r>
    <s v="143565"/>
    <x v="7"/>
    <s v="Aniruddha Kekapure"/>
    <s v="17/04/2022"/>
    <s v="Shipped"/>
    <s v="125 TB HDD"/>
    <s v="HDD"/>
    <x v="7"/>
    <n v="10000"/>
    <n v="13000"/>
    <n v="4"/>
    <n v="40000"/>
    <n v="52000"/>
    <s v="Vijay Singh"/>
    <n v="39000"/>
  </r>
  <r>
    <s v="143566"/>
    <x v="26"/>
    <s v="Aslam Raza"/>
    <s v="17/04/2022"/>
    <s v="Order"/>
    <s v="124 TB SSD"/>
    <s v="SSD"/>
    <x v="0"/>
    <n v="10500"/>
    <n v="13650"/>
    <n v="4"/>
    <n v="42000"/>
    <n v="54600"/>
    <s v="Aadil Khan"/>
    <n v="8450"/>
  </r>
  <r>
    <s v="143567"/>
    <x v="27"/>
    <s v="Roshan Zameer"/>
    <s v="17/04/2022"/>
    <s v="Processing"/>
    <s v="Intel i5 12th gen."/>
    <s v="CPU"/>
    <x v="1"/>
    <n v="8500"/>
    <n v="11050"/>
    <n v="2"/>
    <n v="17000"/>
    <n v="22100"/>
    <s v="Advika Joshi"/>
    <n v="33150"/>
  </r>
  <r>
    <s v="143568"/>
    <x v="8"/>
    <s v="Rakesh Kumar Sharma"/>
    <s v="17/04/2022"/>
    <s v="Delivered"/>
    <s v="2GB Graphic Card"/>
    <s v="Graphic Card"/>
    <x v="2"/>
    <n v="7000"/>
    <n v="9100"/>
    <n v="3"/>
    <n v="21000"/>
    <n v="27300"/>
    <s v="Ajay Sharma"/>
    <n v="18200"/>
  </r>
  <r>
    <s v="143569"/>
    <x v="9"/>
    <s v="Shivanand Sahani"/>
    <s v="17/04/2022"/>
    <s v="Shipped"/>
    <s v="127 GB DDR4 Ram"/>
    <s v="RAM"/>
    <x v="3"/>
    <n v="1680"/>
    <n v="2184"/>
    <n v="3"/>
    <n v="5040"/>
    <n v="6552"/>
    <s v="Roshan Kumar"/>
    <n v="25545"/>
  </r>
  <r>
    <s v="143570"/>
    <x v="10"/>
    <s v="Kunal Patra"/>
    <s v="17/04/2022"/>
    <s v="Order"/>
    <s v="Micro ATX motherboard"/>
    <s v="MotherBoard"/>
    <x v="8"/>
    <n v="6540"/>
    <n v="8502"/>
    <n v="1"/>
    <n v="6540"/>
    <n v="8502"/>
    <s v="Aarvi Gupta"/>
    <n v="39780"/>
  </r>
  <r>
    <s v="143571"/>
    <x v="11"/>
    <s v="Bijendra"/>
    <s v="17/04/2022"/>
    <s v="Processing"/>
    <s v="Gaming Box Cabinet"/>
    <s v="Cabinet"/>
    <x v="5"/>
    <n v="2680"/>
    <n v="3484"/>
    <n v="2"/>
    <n v="5360"/>
    <n v="6968"/>
    <s v="Ajay Sharma"/>
    <n v="2990"/>
  </r>
  <r>
    <s v="143572"/>
    <x v="12"/>
    <s v="Kranti Bheke"/>
    <s v="17/04/2022"/>
    <s v="Delivered"/>
    <s v="17&quot; LCD Display"/>
    <s v="Monitor"/>
    <x v="0"/>
    <n v="8250"/>
    <n v="10725"/>
    <n v="1"/>
    <n v="8250"/>
    <n v="10725"/>
    <s v="Ajay Sharma"/>
    <n v="9750"/>
  </r>
  <r>
    <s v="143573"/>
    <x v="13"/>
    <s v="Jagdeep"/>
    <s v="17/04/2022"/>
    <s v="Shipped"/>
    <s v="131 GB DDR4 RAM"/>
    <s v="RAM"/>
    <x v="0"/>
    <n v="2650"/>
    <n v="3445"/>
    <n v="4"/>
    <n v="10600"/>
    <n v="13780"/>
    <s v="Ajay Sharma"/>
    <n v="25545"/>
  </r>
  <r>
    <s v="143574"/>
    <x v="14"/>
    <s v="Adhir Samal"/>
    <s v="17/04/2022"/>
    <s v="Order"/>
    <s v="26&quot; LCD Display"/>
    <s v="Monitor"/>
    <x v="9"/>
    <n v="12550"/>
    <n v="16315"/>
    <n v="1"/>
    <n v="12550"/>
    <n v="16315"/>
    <s v="Ajay Sharma"/>
    <n v="9750"/>
  </r>
  <r>
    <s v="143575"/>
    <x v="15"/>
    <s v="Dannana Jhammi"/>
    <s v="18/04/2022"/>
    <s v="Processing"/>
    <s v="I7 - intel 12th Generation"/>
    <s v="CPU"/>
    <x v="1"/>
    <n v="14500"/>
    <n v="18850"/>
    <n v="4"/>
    <n v="58000"/>
    <n v="75400"/>
    <s v="Ajay Sharma"/>
    <n v="33150"/>
  </r>
  <r>
    <s v="143576"/>
    <x v="16"/>
    <s v="Vipin Kumar"/>
    <s v="18/04/2022"/>
    <s v="Delivered"/>
    <s v="USB Keyboard"/>
    <s v="Keyboard"/>
    <x v="6"/>
    <n v="800"/>
    <n v="1040"/>
    <n v="4"/>
    <n v="3200"/>
    <n v="4160"/>
    <s v="Ajay Sharma"/>
    <n v="3315"/>
  </r>
  <r>
    <s v="143577"/>
    <x v="17"/>
    <s v="Ranjeet Kumar"/>
    <s v="18/04/2022"/>
    <s v="Shipped"/>
    <s v="Wireless Mouse"/>
    <s v="Mouse"/>
    <x v="0"/>
    <n v="600"/>
    <n v="780"/>
    <n v="1"/>
    <n v="600"/>
    <n v="780"/>
    <s v="Ajay Sharma"/>
    <n v="1690"/>
  </r>
  <r>
    <s v="143578"/>
    <x v="18"/>
    <s v="Sajal Singhal"/>
    <s v="18/04/2022"/>
    <s v="Order"/>
    <s v="21&quot; LCD Display"/>
    <s v="Monitor"/>
    <x v="6"/>
    <n v="10500"/>
    <n v="13650"/>
    <n v="1"/>
    <n v="10500"/>
    <n v="13650"/>
    <s v="Ajay Sharma"/>
    <n v="9750"/>
  </r>
  <r>
    <s v="143579"/>
    <x v="19"/>
    <s v="Akhilesh Kumar"/>
    <s v="18/04/2022"/>
    <s v="Processing"/>
    <s v="125 TB HDD"/>
    <s v="HDD"/>
    <x v="10"/>
    <n v="6500"/>
    <n v="8450"/>
    <n v="1"/>
    <n v="6500"/>
    <n v="8450"/>
    <s v="Ajay Sharma"/>
    <n v="39000"/>
  </r>
  <r>
    <s v="143580"/>
    <x v="20"/>
    <s v="Suvankar Chakraborty"/>
    <s v="18/04/2022"/>
    <s v="Delivered"/>
    <s v="380 GB SSD"/>
    <s v="SSD"/>
    <x v="0"/>
    <n v="4500"/>
    <n v="5850"/>
    <n v="2"/>
    <n v="9000"/>
    <n v="11700"/>
    <s v="Ajay Sharma"/>
    <n v="8450"/>
  </r>
  <r>
    <s v="143581"/>
    <x v="16"/>
    <s v="Suvankar Adhikary"/>
    <s v="18/04/2022"/>
    <s v="Shipped"/>
    <s v="Intel i3 11th gen."/>
    <s v="CPU"/>
    <x v="1"/>
    <n v="8500"/>
    <n v="11050"/>
    <n v="1"/>
    <n v="8500"/>
    <n v="11050"/>
    <s v="Ajay Sharma"/>
    <n v="33150"/>
  </r>
  <r>
    <s v="143582"/>
    <x v="17"/>
    <s v="Rahul Kumar Prajapati"/>
    <s v="18/04/2022"/>
    <s v="Order"/>
    <s v="4GB Graphic card"/>
    <s v="Graphic Card"/>
    <x v="2"/>
    <n v="12500"/>
    <n v="16250"/>
    <n v="2"/>
    <n v="25000"/>
    <n v="32500"/>
    <s v="Ajay Sharma"/>
    <n v="18200"/>
  </r>
  <r>
    <s v="143583"/>
    <x v="27"/>
    <s v="Sagar Jeur"/>
    <s v="18/04/2022"/>
    <s v="Processing"/>
    <s v="132 GB DDR4 RAM"/>
    <s v="Computer Case"/>
    <x v="3"/>
    <n v="3500"/>
    <n v="4550"/>
    <n v="1"/>
    <n v="3500"/>
    <n v="4550"/>
    <s v="Ajay Sharma"/>
    <n v="13650"/>
  </r>
  <r>
    <s v="143584"/>
    <x v="22"/>
    <s v="Rhushikesh Mane"/>
    <s v="18/04/2022"/>
    <s v="Delivered"/>
    <s v="BTX motherboard"/>
    <s v="Mouse"/>
    <x v="4"/>
    <n v="4500"/>
    <n v="5850"/>
    <n v="1"/>
    <n v="4500"/>
    <n v="5850"/>
    <s v="Ajay Sharma"/>
    <n v="1690"/>
  </r>
  <r>
    <s v="143585"/>
    <x v="28"/>
    <s v="Ashish Kumar"/>
    <s v="18/04/2022"/>
    <s v="Shipped"/>
    <s v="127 Fans Cabinet"/>
    <s v="Cabinet"/>
    <x v="5"/>
    <n v="2100"/>
    <n v="2730"/>
    <n v="2"/>
    <n v="4200"/>
    <n v="5460"/>
    <s v="Ajay Sharma"/>
    <n v="2990"/>
  </r>
  <r>
    <s v="143586"/>
    <x v="29"/>
    <s v="Javed Akhter"/>
    <s v="18/04/2022"/>
    <s v="Order"/>
    <s v="Wireless Keyboard"/>
    <s v="Keyboard"/>
    <x v="6"/>
    <n v="1150"/>
    <n v="1495"/>
    <n v="2"/>
    <n v="2300"/>
    <n v="2990"/>
    <s v="Ajay Sharma"/>
    <n v="3315"/>
  </r>
  <r>
    <s v="143587"/>
    <x v="30"/>
    <s v="Haridas Balraj"/>
    <s v="18/04/2022"/>
    <s v="Processing"/>
    <s v="USB Mouse"/>
    <s v="Mouse"/>
    <x v="0"/>
    <n v="350"/>
    <n v="455"/>
    <n v="1"/>
    <n v="350"/>
    <n v="455"/>
    <s v="Ajay Sharma"/>
    <n v="1690"/>
  </r>
  <r>
    <s v="143588"/>
    <x v="31"/>
    <s v="Kundan Kumar"/>
    <s v="18/04/2022"/>
    <s v="Delivered"/>
    <s v="19&quot; LED Display"/>
    <s v="Monitor"/>
    <x v="6"/>
    <n v="9500"/>
    <n v="12350"/>
    <n v="1"/>
    <n v="9500"/>
    <n v="12350"/>
    <s v="Ajay Sharma"/>
    <n v="9750"/>
  </r>
  <r>
    <s v="143589"/>
    <x v="32"/>
    <s v="Atif Siddiqui"/>
    <s v="18/04/2022"/>
    <s v="Shipped"/>
    <s v="126 TB HDD"/>
    <s v="HDD"/>
    <x v="10"/>
    <n v="10000"/>
    <n v="13000"/>
    <n v="3"/>
    <n v="30000"/>
    <n v="39000"/>
    <s v="Ajay Sharma"/>
    <n v="39000"/>
  </r>
  <r>
    <s v="143590"/>
    <x v="0"/>
    <s v="Aditya Agarwal"/>
    <s v="18/04/2022"/>
    <s v="Order"/>
    <s v="636 GB M.2"/>
    <s v="SSD"/>
    <x v="0"/>
    <n v="6500"/>
    <n v="8450"/>
    <n v="2"/>
    <n v="13000"/>
    <n v="16900"/>
    <s v="Ajay Sharma"/>
    <n v="8450"/>
  </r>
  <r>
    <s v="143591"/>
    <x v="23"/>
    <s v="Firdoush Jabee"/>
    <s v="18/04/2022"/>
    <s v="Processing"/>
    <s v="RYZEN 3rd gen. 3624"/>
    <s v="CPU"/>
    <x v="1"/>
    <n v="8500"/>
    <n v="11050"/>
    <n v="1"/>
    <n v="8500"/>
    <n v="11050"/>
    <s v="Advika Joshi"/>
    <n v="33150"/>
  </r>
  <r>
    <s v="143592"/>
    <x v="1"/>
    <s v="Jay Prakash Kumar"/>
    <s v="18/04/2022"/>
    <s v="Delivered"/>
    <s v="2GB Graphic Card"/>
    <s v="Graphic Card"/>
    <x v="2"/>
    <n v="7000"/>
    <n v="9100"/>
    <n v="4"/>
    <n v="28000"/>
    <n v="36400"/>
    <s v="Ajay Sharma"/>
    <n v="18200"/>
  </r>
  <r>
    <s v="143593"/>
    <x v="2"/>
    <s v="Ashish Pandey"/>
    <s v="18/04/2022"/>
    <s v="Shipped"/>
    <s v="140 GB DDR4 RAM"/>
    <s v="Computer Case"/>
    <x v="3"/>
    <n v="6550"/>
    <n v="8515"/>
    <n v="3"/>
    <n v="19650"/>
    <n v="25545"/>
    <s v="Roshan Kumar"/>
    <n v="13650"/>
  </r>
  <r>
    <s v="143594"/>
    <x v="3"/>
    <s v="Ajay Sharma"/>
    <s v="18/04/2022"/>
    <s v="Order"/>
    <s v="Standard ATX motherboard"/>
    <s v="Mouse"/>
    <x v="4"/>
    <n v="7650"/>
    <n v="9945"/>
    <n v="2"/>
    <n v="15300"/>
    <n v="19890"/>
    <s v="Aarvi Gupta"/>
    <n v="1690"/>
  </r>
  <r>
    <s v="143595"/>
    <x v="24"/>
    <s v="Moinuddin Saifi"/>
    <s v="18/04/2022"/>
    <s v="Processing"/>
    <s v="Compact with 1 Fan"/>
    <s v="Cabinet"/>
    <x v="5"/>
    <n v="1150"/>
    <n v="1495"/>
    <n v="2"/>
    <n v="2300"/>
    <n v="2990"/>
    <s v="Vijay Singh"/>
    <n v="2990"/>
  </r>
  <r>
    <s v="143596"/>
    <x v="25"/>
    <s v="Ramkrishna Das Adhikary"/>
    <s v="18/04/2022"/>
    <s v="Delivered"/>
    <s v="USB Backlight Keyboard"/>
    <s v="Keyboard"/>
    <x v="6"/>
    <n v="850"/>
    <n v="1105"/>
    <n v="2"/>
    <n v="1700"/>
    <n v="2210"/>
    <s v="Aadil Khan"/>
    <n v="3315"/>
  </r>
  <r>
    <s v="143597"/>
    <x v="33"/>
    <s v="Ranjeet Mandal"/>
    <s v="18/04/2022"/>
    <s v="Shipped"/>
    <s v="Ergonomic Mouse"/>
    <s v="Mouse"/>
    <x v="0"/>
    <n v="650"/>
    <n v="845"/>
    <n v="3"/>
    <n v="1950"/>
    <n v="2535"/>
    <s v="Advika Joshi"/>
    <n v="1690"/>
  </r>
  <r>
    <s v="143598"/>
    <x v="34"/>
    <s v="Ashwini Adsare"/>
    <s v="19/04/2022"/>
    <s v="Order"/>
    <s v="15&quot; LCD Dsipaly"/>
    <s v="Monitor"/>
    <x v="6"/>
    <n v="7500"/>
    <n v="9750"/>
    <n v="2"/>
    <n v="15000"/>
    <n v="19500"/>
    <s v="Ajay Sharma"/>
    <n v="9750"/>
  </r>
  <r>
    <s v="143599"/>
    <x v="4"/>
    <s v="Rajesh Variya"/>
    <s v="20/04/2022"/>
    <s v="Processing"/>
    <s v="126 TB HDD"/>
    <s v="HDD"/>
    <x v="7"/>
    <n v="10000"/>
    <n v="13000"/>
    <n v="2"/>
    <n v="20000"/>
    <n v="26000"/>
    <s v="Roshan Kumar"/>
    <n v="39000"/>
  </r>
  <r>
    <s v="143600"/>
    <x v="5"/>
    <s v="Amit Singh"/>
    <s v="21/04/2022"/>
    <s v="Delivered"/>
    <s v="125 TB SSD"/>
    <s v="SSD"/>
    <x v="0"/>
    <n v="10500"/>
    <n v="13650"/>
    <n v="3"/>
    <n v="31500"/>
    <n v="40950"/>
    <s v="Aarvi Gupta"/>
    <n v="8450"/>
  </r>
  <r>
    <s v="143601"/>
    <x v="6"/>
    <s v="Vinod Mehta"/>
    <s v="22/04/2022"/>
    <s v="Shipped"/>
    <s v="Intel i5 12th gen."/>
    <s v="CPU"/>
    <x v="1"/>
    <n v="8500"/>
    <n v="11050"/>
    <n v="4"/>
    <n v="34000"/>
    <n v="44200"/>
    <s v="Vijay Singh"/>
    <n v="33150"/>
  </r>
  <r>
    <s v="143602"/>
    <x v="7"/>
    <s v="Jignesh Mhatre"/>
    <s v="23/04/2022"/>
    <s v="Order"/>
    <s v="2GB Graphic Card"/>
    <s v="Graphic Card"/>
    <x v="2"/>
    <n v="7000"/>
    <n v="9100"/>
    <n v="2"/>
    <n v="14000"/>
    <n v="18200"/>
    <s v="Aadil Khan"/>
    <n v="18200"/>
  </r>
  <r>
    <s v="143603"/>
    <x v="26"/>
    <s v="Rahul Kashyap"/>
    <s v="24/04/2022"/>
    <s v="Processing"/>
    <s v="128 GB DDR4 Ram"/>
    <s v="Computer Case"/>
    <x v="3"/>
    <n v="1680"/>
    <n v="2184"/>
    <n v="1"/>
    <n v="1680"/>
    <n v="2184"/>
    <s v="Advika Joshi"/>
    <n v="13650"/>
  </r>
  <r>
    <s v="143604"/>
    <x v="27"/>
    <s v="Mohammed Abdul Kaleem"/>
    <s v="25/04/2022"/>
    <s v="Delivered"/>
    <s v="Micro ATX motherboard"/>
    <s v="Mouse"/>
    <x v="8"/>
    <n v="6540"/>
    <n v="8502"/>
    <n v="1"/>
    <n v="6540"/>
    <n v="8502"/>
    <s v="Ajay Sharma"/>
    <n v="1690"/>
  </r>
  <r>
    <s v="143605"/>
    <x v="8"/>
    <s v="Chandrakant Kasbe"/>
    <s v="26/04/2022"/>
    <s v="Shipped"/>
    <s v="Gaming Box Cabinet"/>
    <s v="Cabinet"/>
    <x v="5"/>
    <n v="2680"/>
    <n v="3484"/>
    <n v="3"/>
    <n v="8040"/>
    <n v="10452"/>
    <s v="Roshan Kumar"/>
    <n v="2990"/>
  </r>
  <r>
    <s v="143606"/>
    <x v="9"/>
    <s v="Rohan Kale"/>
    <s v="26/04/2022"/>
    <s v="Order"/>
    <s v="17&quot; LCD Display"/>
    <s v="Monitor"/>
    <x v="0"/>
    <n v="8250"/>
    <n v="10725"/>
    <n v="2"/>
    <n v="16500"/>
    <n v="21450"/>
    <s v="Aarvi Gupta"/>
    <n v="9750"/>
  </r>
  <r>
    <s v="143607"/>
    <x v="10"/>
    <s v="Aniruddha Kekapure"/>
    <s v="26/04/2022"/>
    <s v="Processing"/>
    <s v="132 GB DDR4 RAM"/>
    <s v="RAM"/>
    <x v="0"/>
    <n v="2650"/>
    <n v="3445"/>
    <n v="2"/>
    <n v="5300"/>
    <n v="6890"/>
    <s v="Vijay Singh"/>
    <n v="25545"/>
  </r>
  <r>
    <s v="143608"/>
    <x v="11"/>
    <s v="Aslam Raza"/>
    <s v="26/04/2022"/>
    <s v="Delivered"/>
    <s v="26&quot; LCD Display"/>
    <s v="Monitor"/>
    <x v="9"/>
    <n v="12550"/>
    <n v="16315"/>
    <n v="1"/>
    <n v="12550"/>
    <n v="16315"/>
    <s v="Aadil Khan"/>
    <n v="9750"/>
  </r>
  <r>
    <s v="143609"/>
    <x v="12"/>
    <s v="Roshan Zameer"/>
    <s v="26/04/2022"/>
    <s v="Shipped"/>
    <s v="I7 - intel 12th Generation"/>
    <s v="CPU"/>
    <x v="1"/>
    <n v="14500"/>
    <n v="18850"/>
    <n v="1"/>
    <n v="14500"/>
    <n v="18850"/>
    <s v="Advika Joshi"/>
    <n v="33150"/>
  </r>
  <r>
    <s v="143610"/>
    <x v="13"/>
    <s v="Rakesh Kumar Sharma"/>
    <s v="26/04/2022"/>
    <s v="Order"/>
    <s v="USB Keyboard"/>
    <s v="Keyboard"/>
    <x v="6"/>
    <n v="800"/>
    <n v="1040"/>
    <n v="1"/>
    <n v="800"/>
    <n v="1040"/>
    <s v="Ajay Sharma"/>
    <n v="3315"/>
  </r>
  <r>
    <s v="143611"/>
    <x v="14"/>
    <s v="Shivanand Sahani"/>
    <s v="26/04/2022"/>
    <s v="Processing"/>
    <s v="Wireless Mouse"/>
    <s v="Mouse"/>
    <x v="0"/>
    <n v="600"/>
    <n v="780"/>
    <n v="2"/>
    <n v="1200"/>
    <n v="1560"/>
    <s v="Roshan Kumar"/>
    <n v="1690"/>
  </r>
  <r>
    <s v="143612"/>
    <x v="15"/>
    <s v="Kunal Patra"/>
    <s v="26/04/2022"/>
    <s v="Delivered"/>
    <s v="21&quot; LCD Display"/>
    <s v="Monitor"/>
    <x v="6"/>
    <n v="10500"/>
    <n v="13650"/>
    <n v="2"/>
    <n v="21000"/>
    <n v="27300"/>
    <s v="Aarvi Gupta"/>
    <n v="9750"/>
  </r>
  <r>
    <s v="143613"/>
    <x v="16"/>
    <s v="Bijendra"/>
    <s v="26/04/2022"/>
    <s v="Shipped"/>
    <s v="126 TB HDD"/>
    <s v="HDD"/>
    <x v="10"/>
    <n v="6500"/>
    <n v="8450"/>
    <n v="2"/>
    <n v="13000"/>
    <n v="16900"/>
    <s v="Vijay Singh"/>
    <n v="39000"/>
  </r>
  <r>
    <s v="143614"/>
    <x v="17"/>
    <s v="Kranti Bheke"/>
    <s v="26/04/2022"/>
    <s v="Order"/>
    <s v="381 GB SSD"/>
    <s v="SSD"/>
    <x v="0"/>
    <n v="4500"/>
    <n v="5850"/>
    <n v="1"/>
    <n v="4500"/>
    <n v="5850"/>
    <s v="Aadil Khan"/>
    <n v="8450"/>
  </r>
  <r>
    <s v="143615"/>
    <x v="18"/>
    <s v="Jagdeep"/>
    <s v="26/04/2022"/>
    <s v="Processing"/>
    <s v="Intel i3 11th gen."/>
    <s v="CPU"/>
    <x v="1"/>
    <n v="8500"/>
    <n v="11050"/>
    <n v="1"/>
    <n v="8500"/>
    <n v="11050"/>
    <s v="Advika Joshi"/>
    <n v="33150"/>
  </r>
  <r>
    <s v="143616"/>
    <x v="19"/>
    <s v="Adhir Samal"/>
    <s v="26/04/2022"/>
    <s v="Delivered"/>
    <s v="4GB Graphic card"/>
    <s v="Graphic Card"/>
    <x v="2"/>
    <n v="12500"/>
    <n v="16250"/>
    <n v="1"/>
    <n v="12500"/>
    <n v="16250"/>
    <s v="Ajay Sharma"/>
    <n v="18200"/>
  </r>
  <r>
    <s v="143617"/>
    <x v="20"/>
    <s v="Dannana Jhammi"/>
    <s v="26/04/2022"/>
    <s v="Shipped"/>
    <s v="133 GB DDR4 RAM"/>
    <s v="NIC"/>
    <x v="3"/>
    <n v="3500"/>
    <n v="4550"/>
    <n v="3"/>
    <n v="10500"/>
    <n v="13650"/>
    <s v="Roshan Kumar"/>
    <n v="9100"/>
  </r>
  <r>
    <s v="143618"/>
    <x v="16"/>
    <s v="Vipin Kumar"/>
    <s v="26/04/2022"/>
    <s v="Order"/>
    <s v="BTX motherboard"/>
    <s v="Printer"/>
    <x v="4"/>
    <n v="4500"/>
    <n v="5850"/>
    <n v="1"/>
    <n v="4500"/>
    <n v="5850"/>
    <s v="Aarvi Gupta"/>
    <n v="11700"/>
  </r>
  <r>
    <s v="143619"/>
    <x v="17"/>
    <s v="Ranjeet Kumar"/>
    <s v="26/04/2022"/>
    <s v="Processing"/>
    <s v="128 Fans Cabinet"/>
    <s v="Cabinet"/>
    <x v="5"/>
    <n v="2100"/>
    <n v="2730"/>
    <n v="4"/>
    <n v="8400"/>
    <n v="10920"/>
    <s v="Vijay Singh"/>
    <n v="2990"/>
  </r>
  <r>
    <s v="143620"/>
    <x v="27"/>
    <s v="Sajal Singhal"/>
    <s v="26/04/2022"/>
    <s v="Delivered"/>
    <s v="Wireless Keyboard"/>
    <s v="Keyboard"/>
    <x v="6"/>
    <n v="1150"/>
    <n v="1495"/>
    <n v="3"/>
    <n v="3450"/>
    <n v="4485"/>
    <s v="Aadil Khan"/>
    <n v="3315"/>
  </r>
  <r>
    <s v="143621"/>
    <x v="22"/>
    <s v="Akhilesh Kumar"/>
    <s v="26/04/2022"/>
    <s v="Shipped"/>
    <s v="USB Mouse"/>
    <s v="Mouse"/>
    <x v="0"/>
    <n v="350"/>
    <n v="455"/>
    <n v="4"/>
    <n v="1400"/>
    <n v="1820"/>
    <s v="Advika Joshi"/>
    <n v="1690"/>
  </r>
  <r>
    <s v="143622"/>
    <x v="28"/>
    <s v="Suvankar Chakraborty"/>
    <s v="26/04/2022"/>
    <s v="Order"/>
    <s v="19&quot; LED Display"/>
    <s v="Monitor"/>
    <x v="6"/>
    <n v="9500"/>
    <n v="12350"/>
    <n v="4"/>
    <n v="38000"/>
    <n v="49400"/>
    <s v="Ajay Sharma"/>
    <n v="9750"/>
  </r>
  <r>
    <s v="143623"/>
    <x v="29"/>
    <s v="Suvankar Adhikary"/>
    <s v="26/04/2022"/>
    <s v="Processing"/>
    <s v="127 TB HDD"/>
    <s v="HDD"/>
    <x v="10"/>
    <n v="10000"/>
    <n v="13000"/>
    <n v="2"/>
    <n v="20000"/>
    <n v="26000"/>
    <s v="Roshan Kumar"/>
    <n v="39000"/>
  </r>
  <r>
    <s v="143624"/>
    <x v="30"/>
    <s v="Rahul Kumar Prajapati"/>
    <s v="26/04/2022"/>
    <s v="Delivered"/>
    <s v="637 GB M.2"/>
    <s v="SSD"/>
    <x v="0"/>
    <n v="6500"/>
    <n v="8450"/>
    <n v="4"/>
    <n v="26000"/>
    <n v="33800"/>
    <s v="Aarvi Gupta"/>
    <n v="8450"/>
  </r>
  <r>
    <s v="143625"/>
    <x v="31"/>
    <s v="Sagar Jeur"/>
    <s v="27/04/2022"/>
    <s v="Shipped"/>
    <s v="RYZEN 3rd gen. 3625"/>
    <s v="CPU"/>
    <x v="1"/>
    <n v="8500"/>
    <n v="11050"/>
    <n v="2"/>
    <n v="17000"/>
    <n v="22100"/>
    <s v="Vijay Singh"/>
    <n v="33150"/>
  </r>
  <r>
    <s v="143626"/>
    <x v="32"/>
    <s v="Rhushikesh Mane"/>
    <s v="27/04/2022"/>
    <s v="Order"/>
    <s v="2GB Graphic Card"/>
    <s v="Graphic Card"/>
    <x v="2"/>
    <n v="7000"/>
    <n v="9100"/>
    <n v="4"/>
    <n v="28000"/>
    <n v="36400"/>
    <s v="Ajay Sharma"/>
    <n v="18200"/>
  </r>
  <r>
    <s v="143627"/>
    <x v="0"/>
    <s v="Ashish Kumar"/>
    <s v="27/04/2022"/>
    <s v="Processing"/>
    <s v="141 GB DDR4 RAM"/>
    <s v="NIC"/>
    <x v="3"/>
    <n v="6550"/>
    <n v="8515"/>
    <n v="4"/>
    <n v="26200"/>
    <n v="34060"/>
    <s v="Ajay Sharma"/>
    <n v="9100"/>
  </r>
  <r>
    <s v="143628"/>
    <x v="23"/>
    <s v="Javed Akhter"/>
    <s v="27/04/2022"/>
    <s v="Delivered"/>
    <s v="Standard ATX motherboard"/>
    <s v="Printer"/>
    <x v="4"/>
    <n v="7650"/>
    <n v="9945"/>
    <n v="3"/>
    <n v="22950"/>
    <n v="29835"/>
    <s v="Ajay Sharma"/>
    <n v="11700"/>
  </r>
  <r>
    <s v="143629"/>
    <x v="1"/>
    <s v="Haridas Balraj"/>
    <s v="27/04/2022"/>
    <s v="Shipped"/>
    <s v="Compact with 1 Fan"/>
    <s v="Cabinet"/>
    <x v="5"/>
    <n v="1150"/>
    <n v="1495"/>
    <n v="2"/>
    <n v="2300"/>
    <n v="2990"/>
    <s v="Ajay Sharma"/>
    <n v="2990"/>
  </r>
  <r>
    <s v="143630"/>
    <x v="2"/>
    <s v="Kundan Kumar"/>
    <s v="27/04/2022"/>
    <s v="Order"/>
    <s v="USB Backlight Keyboard"/>
    <s v="Keyboard"/>
    <x v="6"/>
    <n v="850"/>
    <n v="1105"/>
    <n v="4"/>
    <n v="3400"/>
    <n v="4420"/>
    <s v="Ajay Sharma"/>
    <n v="3315"/>
  </r>
  <r>
    <s v="143631"/>
    <x v="3"/>
    <s v="Atif Siddiqui"/>
    <s v="27/04/2022"/>
    <s v="Processing"/>
    <s v="Ergonomic Mouse"/>
    <s v="Mouse"/>
    <x v="0"/>
    <n v="650"/>
    <n v="845"/>
    <n v="2"/>
    <n v="1300"/>
    <n v="1690"/>
    <s v="Ajay Sharma"/>
    <n v="1690"/>
  </r>
  <r>
    <s v="143632"/>
    <x v="24"/>
    <s v="Aditya Agarwal"/>
    <s v="27/04/2022"/>
    <s v="Delivered"/>
    <s v="15&quot; LCD Dsipaly"/>
    <s v="Monitor"/>
    <x v="6"/>
    <n v="7500"/>
    <n v="9750"/>
    <n v="2"/>
    <n v="15000"/>
    <n v="19500"/>
    <s v="Ajay Sharma"/>
    <n v="9750"/>
  </r>
  <r>
    <s v="143633"/>
    <x v="25"/>
    <s v="Firdoush Jabee"/>
    <s v="27/04/2022"/>
    <s v="Shipped"/>
    <s v="127 TB HDD"/>
    <s v="HDD"/>
    <x v="7"/>
    <n v="10000"/>
    <n v="13000"/>
    <n v="4"/>
    <n v="40000"/>
    <n v="52000"/>
    <s v="Ajay Sharma"/>
    <n v="39000"/>
  </r>
  <r>
    <s v="143634"/>
    <x v="33"/>
    <s v="Jay Prakash Kumar"/>
    <s v="27/04/2022"/>
    <s v="Order"/>
    <s v="126 TB SSD"/>
    <s v="SSD"/>
    <x v="0"/>
    <n v="10500"/>
    <n v="13650"/>
    <n v="4"/>
    <n v="42000"/>
    <n v="54600"/>
    <s v="Ajay Sharma"/>
    <n v="8450"/>
  </r>
  <r>
    <s v="143635"/>
    <x v="34"/>
    <s v="Ashish Pandey"/>
    <s v="27/04/2022"/>
    <s v="Processing"/>
    <s v="Intel i5 12th gen."/>
    <s v="CPU"/>
    <x v="1"/>
    <n v="8500"/>
    <n v="11050"/>
    <n v="2"/>
    <n v="17000"/>
    <n v="22100"/>
    <s v="Ajay Sharma"/>
    <n v="33150"/>
  </r>
  <r>
    <s v="143636"/>
    <x v="4"/>
    <s v="Ajay Sharma"/>
    <s v="27/04/2022"/>
    <s v="Delivered"/>
    <s v="2GB Graphic Card"/>
    <s v="Graphic Card"/>
    <x v="2"/>
    <n v="7000"/>
    <n v="9100"/>
    <n v="2"/>
    <n v="14000"/>
    <n v="18200"/>
    <s v="Ajay Sharma"/>
    <n v="18200"/>
  </r>
  <r>
    <s v="143637"/>
    <x v="5"/>
    <s v="Moinuddin Saifi"/>
    <s v="27/04/2022"/>
    <s v="Shipped"/>
    <s v="129 GB DDR4 Ram"/>
    <s v="NIC"/>
    <x v="3"/>
    <n v="1680"/>
    <n v="2184"/>
    <n v="4"/>
    <n v="6720"/>
    <n v="8736"/>
    <s v="Ajay Sharma"/>
    <n v="9100"/>
  </r>
  <r>
    <s v="143638"/>
    <x v="6"/>
    <s v="Ramkrishna Das Adhikary"/>
    <s v="27/04/2022"/>
    <s v="Order"/>
    <s v="Micro ATX motherboard"/>
    <s v="Printer"/>
    <x v="8"/>
    <n v="6540"/>
    <n v="8502"/>
    <n v="2"/>
    <n v="13080"/>
    <n v="17004"/>
    <s v="Ajay Sharma"/>
    <n v="11700"/>
  </r>
  <r>
    <s v="143639"/>
    <x v="7"/>
    <s v="Ranjeet Mandal"/>
    <s v="27/04/2022"/>
    <s v="Processing"/>
    <s v="Gaming Box Cabinet"/>
    <s v="Cabinet"/>
    <x v="5"/>
    <n v="2680"/>
    <n v="3484"/>
    <n v="1"/>
    <n v="2680"/>
    <n v="3484"/>
    <s v="Ajay Sharma"/>
    <n v="2990"/>
  </r>
  <r>
    <s v="143640"/>
    <x v="26"/>
    <s v="Ashwini Adsare"/>
    <s v="27/04/2022"/>
    <s v="Delivered"/>
    <s v="17&quot; LCD Display"/>
    <s v="Monitor"/>
    <x v="0"/>
    <n v="8250"/>
    <n v="10725"/>
    <n v="3"/>
    <n v="24750"/>
    <n v="32175"/>
    <s v="Ajay Sharma"/>
    <n v="9750"/>
  </r>
  <r>
    <s v="143641"/>
    <x v="27"/>
    <s v="Rajesh Variya"/>
    <s v="27/04/2022"/>
    <s v="Shipped"/>
    <s v="133 GB DDR4 RAM"/>
    <s v="RAM"/>
    <x v="0"/>
    <n v="2650"/>
    <n v="3445"/>
    <n v="1"/>
    <n v="2650"/>
    <n v="3445"/>
    <s v="Ajay Sharma"/>
    <n v="25545"/>
  </r>
  <r>
    <s v="143642"/>
    <x v="8"/>
    <s v="Amit Singh"/>
    <s v="28/04/2022"/>
    <s v="Order"/>
    <s v="26&quot; LCD Display"/>
    <s v="Monitor"/>
    <x v="9"/>
    <n v="12550"/>
    <n v="16315"/>
    <n v="3"/>
    <n v="37650"/>
    <n v="48945"/>
    <s v="Ajay Sharma"/>
    <n v="9750"/>
  </r>
  <r>
    <s v="143643"/>
    <x v="9"/>
    <s v="Vinod Mehta"/>
    <s v="29/04/2022"/>
    <s v="Processing"/>
    <s v="I7 - intel 12th Generation"/>
    <s v="CPU"/>
    <x v="1"/>
    <n v="14500"/>
    <n v="18850"/>
    <n v="2"/>
    <n v="29000"/>
    <n v="37700"/>
    <s v="Ajay Sharma"/>
    <n v="33150"/>
  </r>
  <r>
    <s v="143644"/>
    <x v="10"/>
    <s v="Jignesh Mhatre"/>
    <s v="30/04/2022"/>
    <s v="Delivered"/>
    <s v="USB Keyboard"/>
    <s v="Keyboard"/>
    <x v="6"/>
    <n v="800"/>
    <n v="1040"/>
    <n v="3"/>
    <n v="2400"/>
    <n v="3120"/>
    <s v="Ajay Sharma"/>
    <n v="3315"/>
  </r>
  <r>
    <s v="143645"/>
    <x v="11"/>
    <s v="Rahul Kashyap"/>
    <s v="30/04/2022"/>
    <s v="Shipped"/>
    <s v="Wireless Mouse"/>
    <s v="Mouse"/>
    <x v="0"/>
    <n v="600"/>
    <n v="780"/>
    <n v="2"/>
    <n v="1200"/>
    <n v="1560"/>
    <s v="Ajay Sharma"/>
    <n v="1690"/>
  </r>
  <r>
    <s v="143646"/>
    <x v="12"/>
    <s v="Mohammed Abdul Kaleem"/>
    <s v="30/04/2022"/>
    <s v="Order"/>
    <s v="21&quot; LCD Display"/>
    <s v="Monitor"/>
    <x v="6"/>
    <n v="10500"/>
    <n v="13650"/>
    <n v="4"/>
    <n v="42000"/>
    <n v="54600"/>
    <s v="Ajay Sharma"/>
    <n v="9750"/>
  </r>
  <r>
    <s v="143647"/>
    <x v="13"/>
    <s v="Chandrakant Kasbe"/>
    <s v="30/04/2022"/>
    <s v="Processing"/>
    <s v="127 TB HDD"/>
    <s v="HDD"/>
    <x v="10"/>
    <n v="6500"/>
    <n v="8450"/>
    <n v="1"/>
    <n v="6500"/>
    <n v="8450"/>
    <s v="Roshan Kumar"/>
    <n v="39000"/>
  </r>
  <r>
    <s v="143648"/>
    <x v="14"/>
    <s v="Rohan Kale"/>
    <s v="30/04/2022"/>
    <s v="Delivered"/>
    <s v="382 GB SSD"/>
    <s v="SSD"/>
    <x v="0"/>
    <n v="4500"/>
    <n v="5850"/>
    <n v="4"/>
    <n v="18000"/>
    <n v="23400"/>
    <s v="Aarvi Gupta"/>
    <n v="8450"/>
  </r>
  <r>
    <s v="143649"/>
    <x v="15"/>
    <s v="Aniruddha Kekapure"/>
    <s v="30/04/2022"/>
    <s v="Shipped"/>
    <s v="Intel i3 11th gen."/>
    <s v="CPU"/>
    <x v="1"/>
    <n v="8500"/>
    <n v="11050"/>
    <n v="4"/>
    <n v="34000"/>
    <n v="44200"/>
    <s v="Vijay Singh"/>
    <n v="33150"/>
  </r>
  <r>
    <s v="143650"/>
    <x v="16"/>
    <s v="Aslam Raza"/>
    <s v="30/04/2022"/>
    <s v="Order"/>
    <s v="4GB Graphic card"/>
    <s v="Graphic Card"/>
    <x v="2"/>
    <n v="12500"/>
    <n v="16250"/>
    <n v="3"/>
    <n v="37500"/>
    <n v="48750"/>
    <s v="Aadil Khan"/>
    <n v="18200"/>
  </r>
  <r>
    <s v="143651"/>
    <x v="17"/>
    <s v="Roshan Zameer"/>
    <s v="30/04/2022"/>
    <s v="Processing"/>
    <s v="134 GB DDR4 RAM"/>
    <s v="RAM"/>
    <x v="3"/>
    <n v="3500"/>
    <n v="4550"/>
    <n v="3"/>
    <n v="10500"/>
    <n v="13650"/>
    <s v="Advika Joshi"/>
    <n v="25545"/>
  </r>
  <r>
    <s v="143652"/>
    <x v="18"/>
    <s v="Rakesh Kumar Sharma"/>
    <s v="30/04/2022"/>
    <s v="Delivered"/>
    <s v="BTX motherboard"/>
    <s v="MotherBoard"/>
    <x v="4"/>
    <n v="4500"/>
    <n v="5850"/>
    <n v="2"/>
    <n v="9000"/>
    <n v="11700"/>
    <s v="Ajay Sharma"/>
    <n v="39780"/>
  </r>
  <r>
    <s v="143653"/>
    <x v="19"/>
    <s v="Shivanand Sahani"/>
    <s v="30/04/2022"/>
    <s v="Shipped"/>
    <s v="129 Fans Cabinet"/>
    <s v="Cabinet"/>
    <x v="5"/>
    <n v="2100"/>
    <n v="2730"/>
    <n v="2"/>
    <n v="4200"/>
    <n v="5460"/>
    <s v="Roshan Kumar"/>
    <n v="2990"/>
  </r>
  <r>
    <s v="143654"/>
    <x v="20"/>
    <s v="Kunal Patra"/>
    <s v="30/04/2022"/>
    <s v="Order"/>
    <s v="Wireless Keyboard"/>
    <s v="Keyboard"/>
    <x v="6"/>
    <n v="1150"/>
    <n v="1495"/>
    <n v="1"/>
    <n v="1150"/>
    <n v="1495"/>
    <s v="Aarvi Gupta"/>
    <n v="3315"/>
  </r>
  <r>
    <s v="143655"/>
    <x v="16"/>
    <s v="Bijendra"/>
    <s v="30/04/2022"/>
    <s v="Processing"/>
    <s v="USB Mouse"/>
    <s v="Mouse"/>
    <x v="0"/>
    <n v="350"/>
    <n v="455"/>
    <n v="1"/>
    <n v="350"/>
    <n v="455"/>
    <s v="Vijay Singh"/>
    <n v="1690"/>
  </r>
  <r>
    <s v="143656"/>
    <x v="17"/>
    <s v="Kranti Bheke"/>
    <s v="30/04/2022"/>
    <s v="Delivered"/>
    <s v="19&quot; LED Display"/>
    <s v="Monitor"/>
    <x v="6"/>
    <n v="9500"/>
    <n v="12350"/>
    <n v="4"/>
    <n v="38000"/>
    <n v="49400"/>
    <s v="Aadil Khan"/>
    <n v="9750"/>
  </r>
  <r>
    <s v="143657"/>
    <x v="27"/>
    <s v="Jagdeep"/>
    <s v="30/04/2022"/>
    <s v="Shipped"/>
    <s v="128 TB HDD"/>
    <s v="HDD"/>
    <x v="10"/>
    <n v="10000"/>
    <n v="13000"/>
    <n v="1"/>
    <n v="10000"/>
    <n v="13000"/>
    <s v="Advika Joshi"/>
    <n v="39000"/>
  </r>
  <r>
    <s v="143658"/>
    <x v="22"/>
    <s v="Adhir Samal"/>
    <s v="30/04/2022"/>
    <s v="Order"/>
    <s v="638 GB M.2"/>
    <s v="SSD"/>
    <x v="0"/>
    <n v="6500"/>
    <n v="8450"/>
    <n v="2"/>
    <n v="13000"/>
    <n v="16900"/>
    <s v="Ajay Sharma"/>
    <n v="8450"/>
  </r>
  <r>
    <s v="143659"/>
    <x v="28"/>
    <s v="Dannana Jhammi"/>
    <s v="30/04/2022"/>
    <s v="Processing"/>
    <s v="RYZEN 3rd gen. 3626"/>
    <s v="CPU"/>
    <x v="1"/>
    <n v="8500"/>
    <n v="11050"/>
    <n v="4"/>
    <n v="34000"/>
    <n v="44200"/>
    <s v="Roshan Kumar"/>
    <n v="33150"/>
  </r>
  <r>
    <s v="143660"/>
    <x v="29"/>
    <s v="Vipin Kumar"/>
    <s v="30/04/2022"/>
    <s v="Delivered"/>
    <s v="2GB Graphic Card"/>
    <s v="Graphic Card"/>
    <x v="2"/>
    <n v="7000"/>
    <n v="9100"/>
    <n v="3"/>
    <n v="21000"/>
    <n v="27300"/>
    <s v="Aarvi Gupta"/>
    <n v="18200"/>
  </r>
  <r>
    <s v="143661"/>
    <x v="30"/>
    <s v="Ranjeet Kumar"/>
    <s v="30/04/2022"/>
    <s v="Shipped"/>
    <s v="142 GB DDR4 RAM"/>
    <s v="RAM"/>
    <x v="3"/>
    <n v="6550"/>
    <n v="8515"/>
    <n v="2"/>
    <n v="13100"/>
    <n v="17030"/>
    <s v="Vijay Singh"/>
    <n v="25545"/>
  </r>
  <r>
    <s v="143662"/>
    <x v="31"/>
    <s v="Sajal Singhal"/>
    <s v="30/04/2022"/>
    <s v="Order"/>
    <s v="Standard ATX motherboard"/>
    <s v="MotherBoard"/>
    <x v="4"/>
    <n v="7650"/>
    <n v="9945"/>
    <n v="1"/>
    <n v="7650"/>
    <n v="9945"/>
    <s v="Aadil Khan"/>
    <n v="39780"/>
  </r>
  <r>
    <s v="143663"/>
    <x v="32"/>
    <s v="Akhilesh Kumar"/>
    <s v="30/04/2022"/>
    <s v="Processing"/>
    <s v="Compact with 1 Fan"/>
    <s v="Cabinet"/>
    <x v="5"/>
    <n v="1150"/>
    <n v="1495"/>
    <n v="4"/>
    <n v="4600"/>
    <n v="5980"/>
    <s v="Advika Joshi"/>
    <n v="2990"/>
  </r>
  <r>
    <s v="143664"/>
    <x v="0"/>
    <s v="Suvankar Chakraborty"/>
    <s v="30/04/2022"/>
    <s v="Delivered"/>
    <s v="USB Backlight Keyboard"/>
    <s v="Keyboard"/>
    <x v="6"/>
    <n v="850"/>
    <n v="1105"/>
    <n v="2"/>
    <n v="1700"/>
    <n v="2210"/>
    <s v="Ajay Sharma"/>
    <n v="3315"/>
  </r>
  <r>
    <s v="143665"/>
    <x v="23"/>
    <s v="Suvankar Adhikary"/>
    <s v="30/04/2022"/>
    <s v="Shipped"/>
    <s v="Ergonomic Mouse"/>
    <s v="Mouse"/>
    <x v="0"/>
    <n v="650"/>
    <n v="845"/>
    <n v="1"/>
    <n v="650"/>
    <n v="845"/>
    <s v="Roshan Kumar"/>
    <n v="1690"/>
  </r>
  <r>
    <s v="143666"/>
    <x v="1"/>
    <s v="Rahul Kumar Prajapati"/>
    <s v="30/04/2022"/>
    <s v="Order"/>
    <s v="15&quot; LCD Dsipaly"/>
    <s v="Monitor"/>
    <x v="6"/>
    <n v="7500"/>
    <n v="9750"/>
    <n v="2"/>
    <n v="15000"/>
    <n v="19500"/>
    <s v="Aarvi Gupta"/>
    <n v="9750"/>
  </r>
  <r>
    <s v="143667"/>
    <x v="2"/>
    <s v="Sagar Jeur"/>
    <s v="30/04/2022"/>
    <s v="Processing"/>
    <s v="128 TB HDD"/>
    <s v="HDD"/>
    <x v="7"/>
    <n v="10000"/>
    <n v="13000"/>
    <n v="2"/>
    <n v="20000"/>
    <n v="26000"/>
    <s v="Vijay Singh"/>
    <n v="39000"/>
  </r>
  <r>
    <s v="143668"/>
    <x v="3"/>
    <s v="Rhushikesh Mane"/>
    <s v="30/04/2022"/>
    <s v="Delivered"/>
    <s v="127 TB SSD"/>
    <s v="SSD"/>
    <x v="0"/>
    <n v="10500"/>
    <n v="13650"/>
    <n v="2"/>
    <n v="21000"/>
    <n v="27300"/>
    <s v="Aadil Khan"/>
    <n v="8450"/>
  </r>
  <r>
    <s v="143669"/>
    <x v="24"/>
    <s v="Ashish Kumar"/>
    <s v="30/04/2022"/>
    <s v="Shipped"/>
    <s v="Intel i5 12th gen."/>
    <s v="CPU"/>
    <x v="1"/>
    <n v="8500"/>
    <n v="11050"/>
    <n v="2"/>
    <n v="17000"/>
    <n v="22100"/>
    <s v="Advika Joshi"/>
    <n v="33150"/>
  </r>
  <r>
    <s v="143670"/>
    <x v="25"/>
    <s v="Javed Akhter"/>
    <s v="30/04/2022"/>
    <s v="Order"/>
    <s v="2GB Graphic Card"/>
    <s v="Graphic Card"/>
    <x v="2"/>
    <n v="7000"/>
    <n v="9100"/>
    <n v="1"/>
    <n v="7000"/>
    <n v="9100"/>
    <s v="Ajay Sharma"/>
    <n v="18200"/>
  </r>
  <r>
    <s v="143671"/>
    <x v="33"/>
    <s v="Haridas Balraj"/>
    <s v="30/04/2022"/>
    <s v="Processing"/>
    <s v="130 GB DDR4 Ram"/>
    <s v="RAM"/>
    <x v="3"/>
    <n v="1680"/>
    <n v="2184"/>
    <n v="3"/>
    <n v="5040"/>
    <n v="6552"/>
    <s v="Roshan Kumar"/>
    <n v="25545"/>
  </r>
  <r>
    <s v="143672"/>
    <x v="34"/>
    <s v="Kundan Kumar"/>
    <s v="30/04/2022"/>
    <s v="Delivered"/>
    <s v="Micro ATX motherboard"/>
    <s v="MotherBoard"/>
    <x v="8"/>
    <n v="6540"/>
    <n v="8502"/>
    <n v="4"/>
    <n v="26160"/>
    <n v="34008"/>
    <s v="Aarvi Gupta"/>
    <n v="39780"/>
  </r>
  <r>
    <s v="143673"/>
    <x v="4"/>
    <s v="Atif Siddiqui"/>
    <s v="30/04/2022"/>
    <s v="Shipped"/>
    <s v="Gaming Box Cabinet"/>
    <s v="Cabinet"/>
    <x v="5"/>
    <n v="2680"/>
    <n v="3484"/>
    <n v="3"/>
    <n v="8040"/>
    <n v="10452"/>
    <s v="Vijay Singh"/>
    <n v="2990"/>
  </r>
  <r>
    <s v="143674"/>
    <x v="5"/>
    <s v="Aditya Agarwal"/>
    <s v="30/04/2022"/>
    <s v="Order"/>
    <s v="17&quot; LCD Display"/>
    <s v="Monitor"/>
    <x v="0"/>
    <n v="8250"/>
    <n v="10725"/>
    <n v="3"/>
    <n v="24750"/>
    <n v="32175"/>
    <s v="Aadil Khan"/>
    <n v="9750"/>
  </r>
  <r>
    <s v="143675"/>
    <x v="6"/>
    <s v="Firdoush Jabee"/>
    <s v="30/04/2022"/>
    <s v="Processing"/>
    <s v="134 GB DDR4 RAM"/>
    <s v="RAM"/>
    <x v="0"/>
    <n v="2650"/>
    <n v="3445"/>
    <n v="4"/>
    <n v="10600"/>
    <n v="13780"/>
    <s v="Advika Joshi"/>
    <n v="25545"/>
  </r>
  <r>
    <s v="143676"/>
    <x v="7"/>
    <s v="Jay Prakash Kumar"/>
    <s v="30/04/2022"/>
    <s v="Delivered"/>
    <s v="26&quot; LCD Display"/>
    <s v="Monitor"/>
    <x v="9"/>
    <n v="12550"/>
    <n v="16315"/>
    <n v="4"/>
    <n v="50200"/>
    <n v="65260"/>
    <s v="Ajay Sharma"/>
    <n v="9750"/>
  </r>
  <r>
    <s v="143677"/>
    <x v="26"/>
    <s v="Ashish Pandey"/>
    <s v="30/04/2022"/>
    <s v="Shipped"/>
    <s v="I7 - intel 12th Generation"/>
    <s v="CPU"/>
    <x v="1"/>
    <n v="14500"/>
    <n v="18850"/>
    <n v="4"/>
    <n v="58000"/>
    <n v="75400"/>
    <s v="Roshan Kumar"/>
    <n v="33150"/>
  </r>
  <r>
    <s v="143678"/>
    <x v="27"/>
    <s v="Ajay Sharma"/>
    <s v="30/04/2022"/>
    <s v="Order"/>
    <s v="USB Keyboard"/>
    <s v="Keyboard"/>
    <x v="6"/>
    <n v="800"/>
    <n v="1040"/>
    <n v="4"/>
    <n v="3200"/>
    <n v="4160"/>
    <s v="Aarvi Gupta"/>
    <n v="3315"/>
  </r>
  <r>
    <s v="143679"/>
    <x v="8"/>
    <s v="Moinuddin Saifi"/>
    <s v="30/04/2022"/>
    <s v="Processing"/>
    <s v="Wireless Mouse"/>
    <s v="Mouse"/>
    <x v="0"/>
    <n v="600"/>
    <n v="780"/>
    <n v="4"/>
    <n v="2400"/>
    <n v="3120"/>
    <s v="Vijay Singh"/>
    <n v="1690"/>
  </r>
  <r>
    <s v="143680"/>
    <x v="9"/>
    <s v="Ramkrishna Das Adhikary"/>
    <s v="01/05/2022"/>
    <s v="Delivered"/>
    <s v="21&quot; LCD Display"/>
    <s v="Monitor"/>
    <x v="6"/>
    <n v="10500"/>
    <n v="13650"/>
    <n v="4"/>
    <n v="42000"/>
    <n v="54600"/>
    <s v="Aadil Khan"/>
    <n v="9750"/>
  </r>
  <r>
    <s v="143681"/>
    <x v="10"/>
    <s v="Ranjeet Mandal"/>
    <s v="02/05/2022"/>
    <s v="Shipped"/>
    <s v="128 TB HDD"/>
    <s v="HDD"/>
    <x v="10"/>
    <n v="6500"/>
    <n v="8450"/>
    <n v="1"/>
    <n v="6500"/>
    <n v="8450"/>
    <s v="Advika Joshi"/>
    <n v="39000"/>
  </r>
  <r>
    <s v="143682"/>
    <x v="11"/>
    <s v="Ashwini Adsare"/>
    <s v="03/05/2022"/>
    <s v="Order"/>
    <s v="383 GB SSD"/>
    <s v="SSD"/>
    <x v="0"/>
    <n v="4500"/>
    <n v="5850"/>
    <n v="2"/>
    <n v="9000"/>
    <n v="11700"/>
    <s v="Ajay Sharma"/>
    <n v="8450"/>
  </r>
  <r>
    <s v="143683"/>
    <x v="12"/>
    <s v="Rajesh Variya"/>
    <s v="04/05/2022"/>
    <s v="Processing"/>
    <s v="Intel i3 11th gen."/>
    <s v="CPU"/>
    <x v="1"/>
    <n v="8500"/>
    <n v="11050"/>
    <n v="1"/>
    <n v="8500"/>
    <n v="11050"/>
    <s v="Roshan Kumar"/>
    <n v="33150"/>
  </r>
  <r>
    <s v="143684"/>
    <x v="13"/>
    <s v="Amit Singh"/>
    <s v="05/05/2022"/>
    <s v="Delivered"/>
    <s v="4GB Graphic card"/>
    <s v="Graphic Card"/>
    <x v="2"/>
    <n v="12500"/>
    <n v="16250"/>
    <n v="1"/>
    <n v="12500"/>
    <n v="16250"/>
    <s v="Ajay Sharma"/>
    <n v="18200"/>
  </r>
  <r>
    <s v="143685"/>
    <x v="14"/>
    <s v="Vinod Mehta"/>
    <s v="05/05/2022"/>
    <s v="Shipped"/>
    <s v="135 GB DDR4 RAM"/>
    <s v="Computer Case"/>
    <x v="3"/>
    <n v="3500"/>
    <n v="4550"/>
    <n v="4"/>
    <n v="14000"/>
    <n v="18200"/>
    <s v="Ajay Sharma"/>
    <n v="13650"/>
  </r>
  <r>
    <s v="143686"/>
    <x v="15"/>
    <s v="Jignesh Mhatre"/>
    <s v="05/05/2022"/>
    <s v="Order"/>
    <s v="BTX motherboard"/>
    <s v="Mouse"/>
    <x v="4"/>
    <n v="4500"/>
    <n v="5850"/>
    <n v="4"/>
    <n v="18000"/>
    <n v="23400"/>
    <s v="Ajay Sharma"/>
    <n v="1690"/>
  </r>
  <r>
    <s v="143687"/>
    <x v="16"/>
    <s v="Rahul Kashyap"/>
    <s v="05/05/2022"/>
    <s v="Processing"/>
    <s v="130 Fans Cabinet"/>
    <s v="Cabinet"/>
    <x v="5"/>
    <n v="2100"/>
    <n v="2730"/>
    <n v="3"/>
    <n v="6300"/>
    <n v="8190"/>
    <s v="Ajay Sharma"/>
    <n v="2990"/>
  </r>
  <r>
    <s v="143688"/>
    <x v="17"/>
    <s v="Mohammed Abdul Kaleem"/>
    <s v="05/05/2022"/>
    <s v="Delivered"/>
    <s v="Wireless Keyboard"/>
    <s v="Keyboard"/>
    <x v="6"/>
    <n v="1150"/>
    <n v="1495"/>
    <n v="2"/>
    <n v="2300"/>
    <n v="2990"/>
    <s v="Ajay Sharma"/>
    <n v="3315"/>
  </r>
  <r>
    <s v="143689"/>
    <x v="18"/>
    <s v="Chandrakant Kasbe"/>
    <s v="05/05/2022"/>
    <s v="Shipped"/>
    <s v="USB Mouse"/>
    <s v="Mouse"/>
    <x v="0"/>
    <n v="350"/>
    <n v="455"/>
    <n v="3"/>
    <n v="1050"/>
    <n v="1365"/>
    <s v="Ajay Sharma"/>
    <n v="1690"/>
  </r>
  <r>
    <s v="143690"/>
    <x v="19"/>
    <s v="Rohan Kale"/>
    <s v="05/05/2022"/>
    <s v="Order"/>
    <s v="19&quot; LED Display"/>
    <s v="Monitor"/>
    <x v="6"/>
    <n v="9500"/>
    <n v="12350"/>
    <n v="4"/>
    <n v="38000"/>
    <n v="49400"/>
    <s v="Ajay Sharma"/>
    <n v="9750"/>
  </r>
  <r>
    <s v="143691"/>
    <x v="20"/>
    <s v="Aniruddha Kekapure"/>
    <s v="05/05/2022"/>
    <s v="Processing"/>
    <s v="129 TB HDD"/>
    <s v="HDD"/>
    <x v="10"/>
    <n v="10000"/>
    <n v="13000"/>
    <n v="1"/>
    <n v="10000"/>
    <n v="13000"/>
    <s v="Ajay Sharma"/>
    <n v="39000"/>
  </r>
  <r>
    <s v="143692"/>
    <x v="16"/>
    <s v="Aslam Raza"/>
    <s v="05/05/2022"/>
    <s v="Delivered"/>
    <s v="639 GB M.2"/>
    <s v="SSD"/>
    <x v="0"/>
    <n v="6500"/>
    <n v="8450"/>
    <n v="4"/>
    <n v="26000"/>
    <n v="33800"/>
    <s v="Ajay Sharma"/>
    <n v="8450"/>
  </r>
  <r>
    <s v="143693"/>
    <x v="17"/>
    <s v="Roshan Zameer"/>
    <s v="06/05/2022"/>
    <s v="Shipped"/>
    <s v="RYZEN 3rd gen. 3627"/>
    <s v="CPU"/>
    <x v="1"/>
    <n v="8500"/>
    <n v="11050"/>
    <n v="1"/>
    <n v="8500"/>
    <n v="11050"/>
    <s v="Ajay Sharma"/>
    <n v="33150"/>
  </r>
  <r>
    <s v="143694"/>
    <x v="27"/>
    <s v="Rakesh Kumar Sharma"/>
    <s v="07/05/2022"/>
    <s v="Order"/>
    <s v="2GB Graphic Card"/>
    <s v="Graphic Card"/>
    <x v="2"/>
    <n v="7000"/>
    <n v="9100"/>
    <n v="2"/>
    <n v="14000"/>
    <n v="18200"/>
    <s v="Ajay Sharma"/>
    <n v="18200"/>
  </r>
  <r>
    <s v="143695"/>
    <x v="22"/>
    <s v="Shivanand Sahani"/>
    <s v="08/05/2022"/>
    <s v="Processing"/>
    <s v="143 GB DDR4 RAM"/>
    <s v="Computer Case"/>
    <x v="3"/>
    <n v="6550"/>
    <n v="8515"/>
    <n v="4"/>
    <n v="26200"/>
    <n v="34060"/>
    <s v="Ajay Sharma"/>
    <n v="13650"/>
  </r>
  <r>
    <s v="143696"/>
    <x v="28"/>
    <s v="Kunal Patra"/>
    <s v="09/05/2022"/>
    <s v="Delivered"/>
    <s v="Standard ATX motherboard"/>
    <s v="Mouse"/>
    <x v="4"/>
    <n v="7650"/>
    <n v="9945"/>
    <n v="4"/>
    <n v="30600"/>
    <n v="39780"/>
    <s v="Ajay Sharma"/>
    <n v="1690"/>
  </r>
  <r>
    <s v="143697"/>
    <x v="29"/>
    <s v="Bijendra"/>
    <s v="09/05/2022"/>
    <s v="Shipped"/>
    <s v="Compact with 1 Fan"/>
    <s v="Cabinet"/>
    <x v="5"/>
    <n v="1150"/>
    <n v="1495"/>
    <n v="3"/>
    <n v="3450"/>
    <n v="4485"/>
    <s v="Ajay Sharma"/>
    <n v="2990"/>
  </r>
  <r>
    <s v="143698"/>
    <x v="30"/>
    <s v="Kranti Bheke"/>
    <s v="09/05/2022"/>
    <s v="Order"/>
    <s v="USB Backlight Keyboard"/>
    <s v="Keyboard"/>
    <x v="6"/>
    <n v="850"/>
    <n v="1105"/>
    <n v="3"/>
    <n v="2550"/>
    <n v="3315"/>
    <s v="Ajay Sharma"/>
    <n v="3315"/>
  </r>
  <r>
    <s v="143699"/>
    <x v="31"/>
    <s v="Jagdeep"/>
    <s v="09/05/2022"/>
    <s v="Processing"/>
    <s v="Ergonomic Mouse"/>
    <s v="Mouse"/>
    <x v="0"/>
    <n v="650"/>
    <n v="845"/>
    <n v="3"/>
    <n v="1950"/>
    <n v="2535"/>
    <s v="Ajay Sharma"/>
    <n v="1690"/>
  </r>
  <r>
    <s v="143700"/>
    <x v="32"/>
    <s v="Adhir Samal"/>
    <s v="09/05/2022"/>
    <s v="Delivered"/>
    <s v="15&quot; LCD Dsipaly"/>
    <s v="Monitor"/>
    <x v="6"/>
    <n v="7500"/>
    <n v="9750"/>
    <n v="3"/>
    <n v="22500"/>
    <n v="29250"/>
    <s v="Ajay Sharma"/>
    <n v="9750"/>
  </r>
  <r>
    <s v="143701"/>
    <x v="0"/>
    <s v="Dannana Jhammi"/>
    <s v="09/05/2022"/>
    <s v="Shipped"/>
    <s v="129 TB HDD"/>
    <s v="HDD"/>
    <x v="7"/>
    <n v="10000"/>
    <n v="13000"/>
    <n v="1"/>
    <n v="10000"/>
    <n v="13000"/>
    <s v="Ajay Sharma"/>
    <n v="39000"/>
  </r>
  <r>
    <s v="143702"/>
    <x v="23"/>
    <s v="Vipin Kumar"/>
    <s v="09/05/2022"/>
    <s v="Order"/>
    <s v="128 TB SSD"/>
    <s v="SSD"/>
    <x v="0"/>
    <n v="10500"/>
    <n v="13650"/>
    <n v="1"/>
    <n v="10500"/>
    <n v="13650"/>
    <s v="Ajay Sharma"/>
    <n v="8450"/>
  </r>
  <r>
    <s v="143703"/>
    <x v="1"/>
    <s v="Ranjeet Kumar"/>
    <s v="09/05/2022"/>
    <s v="Processing"/>
    <s v="Intel i5 12th gen."/>
    <s v="CPU"/>
    <x v="1"/>
    <n v="8500"/>
    <n v="11050"/>
    <n v="1"/>
    <n v="8500"/>
    <n v="11050"/>
    <s v="Ajay Sharma"/>
    <n v="33150"/>
  </r>
  <r>
    <s v="143704"/>
    <x v="2"/>
    <s v="Sajal Singhal"/>
    <s v="09/05/2022"/>
    <s v="Delivered"/>
    <s v="2GB Graphic Card"/>
    <s v="Graphic Card"/>
    <x v="2"/>
    <n v="7000"/>
    <n v="9100"/>
    <n v="4"/>
    <n v="28000"/>
    <n v="36400"/>
    <s v="Aadil Khan"/>
    <n v="18200"/>
  </r>
  <r>
    <s v="143705"/>
    <x v="3"/>
    <s v="Akhilesh Kumar"/>
    <s v="09/05/2022"/>
    <s v="Shipped"/>
    <s v="131 GB DDR4 Ram"/>
    <s v="Computer Case"/>
    <x v="3"/>
    <n v="1680"/>
    <n v="2184"/>
    <n v="4"/>
    <n v="6720"/>
    <n v="8736"/>
    <s v="Advika Joshi"/>
    <n v="13650"/>
  </r>
  <r>
    <s v="143706"/>
    <x v="24"/>
    <s v="Suvankar Chakraborty"/>
    <s v="09/05/2022"/>
    <s v="Order"/>
    <s v="Micro ATX motherboard"/>
    <s v="Mouse"/>
    <x v="8"/>
    <n v="6540"/>
    <n v="8502"/>
    <n v="4"/>
    <n v="26160"/>
    <n v="34008"/>
    <s v="Ajay Sharma"/>
    <n v="1690"/>
  </r>
  <r>
    <s v="143707"/>
    <x v="25"/>
    <s v="Suvankar Adhikary"/>
    <s v="09/05/2022"/>
    <s v="Processing"/>
    <s v="Gaming Box Cabinet"/>
    <s v="Cabinet"/>
    <x v="5"/>
    <n v="2680"/>
    <n v="3484"/>
    <n v="3"/>
    <n v="8040"/>
    <n v="10452"/>
    <s v="Roshan Kumar"/>
    <n v="2990"/>
  </r>
  <r>
    <s v="143708"/>
    <x v="33"/>
    <s v="Rahul Kumar Prajapati"/>
    <s v="09/05/2022"/>
    <s v="Delivered"/>
    <s v="17&quot; LCD Display"/>
    <s v="Monitor"/>
    <x v="0"/>
    <n v="8250"/>
    <n v="10725"/>
    <n v="2"/>
    <n v="16500"/>
    <n v="21450"/>
    <s v="Aarvi Gupta"/>
    <n v="9750"/>
  </r>
  <r>
    <s v="143709"/>
    <x v="34"/>
    <s v="Sagar Jeur"/>
    <s v="09/05/2022"/>
    <s v="Shipped"/>
    <s v="135 GB DDR4 RAM"/>
    <s v="RAM"/>
    <x v="0"/>
    <n v="2650"/>
    <n v="3445"/>
    <n v="2"/>
    <n v="5300"/>
    <n v="6890"/>
    <s v="Vijay Singh"/>
    <n v="25545"/>
  </r>
  <r>
    <s v="143710"/>
    <x v="4"/>
    <s v="Rhushikesh Mane"/>
    <s v="09/05/2022"/>
    <s v="Order"/>
    <s v="26&quot; LCD Display"/>
    <s v="Monitor"/>
    <x v="9"/>
    <n v="12550"/>
    <n v="16315"/>
    <n v="1"/>
    <n v="12550"/>
    <n v="16315"/>
    <s v="Aadil Khan"/>
    <n v="9750"/>
  </r>
  <r>
    <s v="143711"/>
    <x v="5"/>
    <s v="Ashish Kumar"/>
    <s v="09/05/2022"/>
    <s v="Processing"/>
    <s v="I7 - intel 12th Generation"/>
    <s v="CPU"/>
    <x v="1"/>
    <n v="14500"/>
    <n v="18850"/>
    <n v="2"/>
    <n v="29000"/>
    <n v="37700"/>
    <s v="Advika Joshi"/>
    <n v="33150"/>
  </r>
  <r>
    <s v="143712"/>
    <x v="6"/>
    <s v="Javed Akhter"/>
    <s v="09/05/2022"/>
    <s v="Delivered"/>
    <s v="USB Keyboard"/>
    <s v="Keyboard"/>
    <x v="6"/>
    <n v="800"/>
    <n v="1040"/>
    <n v="1"/>
    <n v="800"/>
    <n v="1040"/>
    <s v="Ajay Sharma"/>
    <n v="3315"/>
  </r>
  <r>
    <s v="143713"/>
    <x v="7"/>
    <s v="Haridas Balraj"/>
    <s v="09/05/2022"/>
    <s v="Shipped"/>
    <s v="Wireless Mouse"/>
    <s v="Mouse"/>
    <x v="0"/>
    <n v="600"/>
    <n v="780"/>
    <n v="3"/>
    <n v="1800"/>
    <n v="2340"/>
    <s v="Roshan Kumar"/>
    <n v="1690"/>
  </r>
  <r>
    <s v="143714"/>
    <x v="26"/>
    <s v="Kundan Kumar"/>
    <s v="09/05/2022"/>
    <s v="Order"/>
    <s v="21&quot; LCD Display"/>
    <s v="Monitor"/>
    <x v="6"/>
    <n v="10500"/>
    <n v="13650"/>
    <n v="2"/>
    <n v="21000"/>
    <n v="27300"/>
    <s v="Aarvi Gupta"/>
    <n v="9750"/>
  </r>
  <r>
    <s v="143715"/>
    <x v="27"/>
    <s v="Atif Siddiqui"/>
    <s v="09/05/2022"/>
    <s v="Processing"/>
    <s v="129 TB HDD"/>
    <s v="HDD"/>
    <x v="10"/>
    <n v="6500"/>
    <n v="8450"/>
    <n v="4"/>
    <n v="26000"/>
    <n v="33800"/>
    <s v="Vijay Singh"/>
    <n v="39000"/>
  </r>
  <r>
    <s v="143716"/>
    <x v="8"/>
    <s v="Aditya Agarwal"/>
    <s v="09/05/2022"/>
    <s v="Delivered"/>
    <s v="384 GB SSD"/>
    <s v="SSD"/>
    <x v="0"/>
    <n v="4500"/>
    <n v="5850"/>
    <n v="1"/>
    <n v="4500"/>
    <n v="5850"/>
    <s v="Aadil Khan"/>
    <n v="8450"/>
  </r>
  <r>
    <s v="143717"/>
    <x v="9"/>
    <s v="Firdoush Jabee"/>
    <s v="09/05/2022"/>
    <s v="Shipped"/>
    <s v="Intel i3 11th gen."/>
    <s v="CPU"/>
    <x v="1"/>
    <n v="8500"/>
    <n v="11050"/>
    <n v="4"/>
    <n v="34000"/>
    <n v="44200"/>
    <s v="Advika Joshi"/>
    <n v="33150"/>
  </r>
  <r>
    <s v="143718"/>
    <x v="10"/>
    <s v="Jay Prakash Kumar"/>
    <s v="09/05/2022"/>
    <s v="Order"/>
    <s v="4GB Graphic card"/>
    <s v="Graphic Card"/>
    <x v="2"/>
    <n v="12500"/>
    <n v="16250"/>
    <n v="2"/>
    <n v="25000"/>
    <n v="32500"/>
    <s v="Ajay Sharma"/>
    <n v="18200"/>
  </r>
  <r>
    <s v="143719"/>
    <x v="11"/>
    <s v="Ashish Pandey"/>
    <s v="09/05/2022"/>
    <s v="Processing"/>
    <s v="136 GB DDR4 RAM"/>
    <s v="NIC"/>
    <x v="3"/>
    <n v="3500"/>
    <n v="4550"/>
    <n v="1"/>
    <n v="3500"/>
    <n v="4550"/>
    <s v="Roshan Kumar"/>
    <n v="9100"/>
  </r>
  <r>
    <s v="143720"/>
    <x v="12"/>
    <s v="Ajay Sharma"/>
    <s v="09/05/2022"/>
    <s v="Delivered"/>
    <s v="BTX motherboard"/>
    <s v="Printer"/>
    <x v="4"/>
    <n v="4500"/>
    <n v="5850"/>
    <n v="2"/>
    <n v="9000"/>
    <n v="11700"/>
    <s v="Aarvi Gupta"/>
    <n v="11700"/>
  </r>
  <r>
    <s v="143721"/>
    <x v="13"/>
    <s v="Moinuddin Saifi"/>
    <s v="09/05/2022"/>
    <s v="Shipped"/>
    <s v="131 Fans Cabinet"/>
    <s v="Cabinet"/>
    <x v="5"/>
    <n v="2100"/>
    <n v="2730"/>
    <n v="1"/>
    <n v="2100"/>
    <n v="2730"/>
    <s v="Vijay Singh"/>
    <n v="2990"/>
  </r>
  <r>
    <s v="143722"/>
    <x v="14"/>
    <s v="Ramkrishna Das Adhikary"/>
    <s v="09/05/2022"/>
    <s v="Order"/>
    <s v="Wireless Keyboard"/>
    <s v="Keyboard"/>
    <x v="6"/>
    <n v="1150"/>
    <n v="1495"/>
    <n v="3"/>
    <n v="3450"/>
    <n v="4485"/>
    <s v="Aadil Khan"/>
    <n v="3315"/>
  </r>
  <r>
    <s v="143723"/>
    <x v="15"/>
    <s v="Ranjeet Mandal"/>
    <s v="09/05/2022"/>
    <s v="Processing"/>
    <s v="USB Mouse"/>
    <s v="Mouse"/>
    <x v="0"/>
    <n v="350"/>
    <n v="455"/>
    <n v="2"/>
    <n v="700"/>
    <n v="910"/>
    <s v="Advika Joshi"/>
    <n v="1690"/>
  </r>
  <r>
    <s v="143724"/>
    <x v="16"/>
    <s v="Ashwini Adsare"/>
    <s v="09/05/2022"/>
    <s v="Delivered"/>
    <s v="19&quot; LED Display"/>
    <s v="Monitor"/>
    <x v="6"/>
    <n v="9500"/>
    <n v="12350"/>
    <n v="3"/>
    <n v="28500"/>
    <n v="37050"/>
    <s v="Ajay Sharma"/>
    <n v="9750"/>
  </r>
  <r>
    <s v="143725"/>
    <x v="17"/>
    <s v="Rajesh Variya"/>
    <s v="09/05/2022"/>
    <s v="Shipped"/>
    <s v="130 TB HDD"/>
    <s v="HDD"/>
    <x v="10"/>
    <n v="10000"/>
    <n v="13000"/>
    <n v="2"/>
    <n v="20000"/>
    <n v="26000"/>
    <s v="Roshan Kumar"/>
    <n v="39000"/>
  </r>
  <r>
    <s v="143726"/>
    <x v="18"/>
    <s v="Amit Singh"/>
    <s v="09/05/2022"/>
    <s v="Order"/>
    <s v="640 GB M.2"/>
    <s v="SSD"/>
    <x v="0"/>
    <n v="6500"/>
    <n v="8450"/>
    <n v="2"/>
    <n v="13000"/>
    <n v="16900"/>
    <s v="Aarvi Gupta"/>
    <n v="8450"/>
  </r>
  <r>
    <s v="143727"/>
    <x v="19"/>
    <s v="Vinod Mehta"/>
    <s v="09/05/2022"/>
    <s v="Processing"/>
    <s v="RYZEN 3rd gen. 3628"/>
    <s v="CPU"/>
    <x v="1"/>
    <n v="8500"/>
    <n v="11050"/>
    <n v="2"/>
    <n v="17000"/>
    <n v="22100"/>
    <s v="Vijay Singh"/>
    <n v="33150"/>
  </r>
  <r>
    <s v="143728"/>
    <x v="20"/>
    <s v="Jignesh Mhatre"/>
    <s v="09/05/2022"/>
    <s v="Delivered"/>
    <s v="2GB Graphic Card"/>
    <s v="Graphic Card"/>
    <x v="2"/>
    <n v="7000"/>
    <n v="9100"/>
    <n v="2"/>
    <n v="14000"/>
    <n v="18200"/>
    <s v="Aadil Khan"/>
    <n v="18200"/>
  </r>
  <r>
    <s v="143729"/>
    <x v="16"/>
    <s v="Rahul Kashyap"/>
    <s v="09/05/2022"/>
    <s v="Shipped"/>
    <s v="144 GB DDR4 RAM"/>
    <s v="NIC"/>
    <x v="3"/>
    <n v="6550"/>
    <n v="8515"/>
    <n v="1"/>
    <n v="6550"/>
    <n v="8515"/>
    <s v="Advika Joshi"/>
    <n v="9100"/>
  </r>
  <r>
    <s v="143730"/>
    <x v="17"/>
    <s v="Mohammed Abdul Kaleem"/>
    <s v="09/05/2022"/>
    <s v="Order"/>
    <s v="Standard ATX motherboard"/>
    <s v="Printer"/>
    <x v="4"/>
    <n v="7650"/>
    <n v="9945"/>
    <n v="1"/>
    <n v="7650"/>
    <n v="9945"/>
    <s v="Ajay Sharma"/>
    <n v="11700"/>
  </r>
  <r>
    <s v="143731"/>
    <x v="27"/>
    <s v="Chandrakant Kasbe"/>
    <s v="09/05/2022"/>
    <s v="Processing"/>
    <s v="Compact with 1 Fan"/>
    <s v="Cabinet"/>
    <x v="5"/>
    <n v="1150"/>
    <n v="1495"/>
    <n v="1"/>
    <n v="1150"/>
    <n v="1495"/>
    <s v="Roshan Kumar"/>
    <n v="2990"/>
  </r>
  <r>
    <s v="143732"/>
    <x v="22"/>
    <s v="Rohan Kale"/>
    <s v="09/05/2022"/>
    <s v="Delivered"/>
    <s v="USB Backlight Keyboard"/>
    <s v="Keyboard"/>
    <x v="6"/>
    <n v="850"/>
    <n v="1105"/>
    <n v="1"/>
    <n v="850"/>
    <n v="1105"/>
    <s v="Ajay Sharma"/>
    <n v="3315"/>
  </r>
  <r>
    <s v="143733"/>
    <x v="28"/>
    <s v="Aniruddha Kekapure"/>
    <s v="09/05/2022"/>
    <s v="Shipped"/>
    <s v="Ergonomic Mouse"/>
    <s v="Mouse"/>
    <x v="0"/>
    <n v="650"/>
    <n v="845"/>
    <n v="1"/>
    <n v="650"/>
    <n v="845"/>
    <s v="Ajay Sharma"/>
    <n v="1690"/>
  </r>
  <r>
    <s v="143734"/>
    <x v="29"/>
    <s v="Aslam Raza"/>
    <s v="10/05/2022"/>
    <s v="Order"/>
    <s v="15&quot; LCD Dsipaly"/>
    <s v="Monitor"/>
    <x v="6"/>
    <n v="7500"/>
    <n v="9750"/>
    <n v="1"/>
    <n v="7500"/>
    <n v="9750"/>
    <s v="Ajay Sharma"/>
    <n v="9750"/>
  </r>
  <r>
    <s v="143735"/>
    <x v="30"/>
    <s v="Roshan Zameer"/>
    <s v="10/05/2022"/>
    <s v="Processing"/>
    <s v="130 TB HDD"/>
    <s v="HDD"/>
    <x v="7"/>
    <n v="10000"/>
    <n v="13000"/>
    <n v="1"/>
    <n v="10000"/>
    <n v="13000"/>
    <s v="Ajay Sharma"/>
    <n v="39000"/>
  </r>
  <r>
    <s v="143736"/>
    <x v="31"/>
    <s v="Rakesh Kumar Sharma"/>
    <s v="10/05/2022"/>
    <s v="Delivered"/>
    <s v="129 TB SSD"/>
    <s v="SSD"/>
    <x v="0"/>
    <n v="10500"/>
    <n v="13650"/>
    <n v="4"/>
    <n v="42000"/>
    <n v="54600"/>
    <s v="Ajay Sharma"/>
    <n v="8450"/>
  </r>
  <r>
    <s v="143737"/>
    <x v="32"/>
    <s v="Shivanand Sahani"/>
    <s v="10/05/2022"/>
    <s v="Shipped"/>
    <s v="Intel i5 12th gen."/>
    <s v="CPU"/>
    <x v="1"/>
    <n v="8500"/>
    <n v="11050"/>
    <n v="3"/>
    <n v="25500"/>
    <n v="33150"/>
    <s v="Ajay Sharma"/>
    <n v="33150"/>
  </r>
  <r>
    <s v="143738"/>
    <x v="0"/>
    <s v="Kunal Patra"/>
    <s v="10/05/2022"/>
    <s v="Order"/>
    <s v="2GB Graphic Card"/>
    <s v="Graphic Card"/>
    <x v="2"/>
    <n v="7000"/>
    <n v="9100"/>
    <n v="1"/>
    <n v="7000"/>
    <n v="9100"/>
    <s v="Ajay Sharma"/>
    <n v="18200"/>
  </r>
  <r>
    <s v="143739"/>
    <x v="23"/>
    <s v="Bijendra"/>
    <s v="10/05/2022"/>
    <s v="Processing"/>
    <s v="132 GB DDR4 Ram"/>
    <s v="NIC"/>
    <x v="3"/>
    <n v="1680"/>
    <n v="2184"/>
    <n v="2"/>
    <n v="3360"/>
    <n v="4368"/>
    <s v="Ajay Sharma"/>
    <n v="9100"/>
  </r>
  <r>
    <s v="143740"/>
    <x v="1"/>
    <s v="Kranti Bheke"/>
    <s v="10/05/2022"/>
    <s v="Delivered"/>
    <s v="Micro ATX motherboard"/>
    <s v="Printer"/>
    <x v="8"/>
    <n v="6540"/>
    <n v="8502"/>
    <n v="3"/>
    <n v="19620"/>
    <n v="25506"/>
    <s v="Ajay Sharma"/>
    <n v="11700"/>
  </r>
  <r>
    <s v="143741"/>
    <x v="2"/>
    <s v="Jagdeep"/>
    <s v="10/05/2022"/>
    <s v="Shipped"/>
    <s v="Gaming Box Cabinet"/>
    <s v="Cabinet"/>
    <x v="5"/>
    <n v="2680"/>
    <n v="3484"/>
    <n v="2"/>
    <n v="5360"/>
    <n v="6968"/>
    <s v="Ajay Sharma"/>
    <n v="2990"/>
  </r>
  <r>
    <s v="143742"/>
    <x v="3"/>
    <s v="Adhir Samal"/>
    <s v="10/05/2022"/>
    <s v="Order"/>
    <s v="17&quot; LCD Display"/>
    <s v="Monitor"/>
    <x v="0"/>
    <n v="8250"/>
    <n v="10725"/>
    <n v="3"/>
    <n v="24750"/>
    <n v="32175"/>
    <s v="Ajay Sharma"/>
    <n v="9750"/>
  </r>
  <r>
    <s v="143743"/>
    <x v="24"/>
    <s v="Dannana Jhammi"/>
    <s v="10/05/2022"/>
    <s v="Processing"/>
    <s v="136 GB DDR4 RAM"/>
    <s v="RAM"/>
    <x v="0"/>
    <n v="2650"/>
    <n v="3445"/>
    <n v="1"/>
    <n v="2650"/>
    <n v="3445"/>
    <s v="Ajay Sharma"/>
    <n v="25545"/>
  </r>
  <r>
    <s v="143744"/>
    <x v="25"/>
    <s v="Vipin Kumar"/>
    <s v="10/05/2022"/>
    <s v="Delivered"/>
    <s v="26&quot; LCD Display"/>
    <s v="Monitor"/>
    <x v="9"/>
    <n v="12550"/>
    <n v="16315"/>
    <n v="2"/>
    <n v="25100"/>
    <n v="32630"/>
    <s v="Ajay Sharma"/>
    <n v="9750"/>
  </r>
  <r>
    <s v="143745"/>
    <x v="33"/>
    <s v="Ranjeet Kumar"/>
    <s v="10/05/2022"/>
    <s v="Shipped"/>
    <s v="I7 - intel 12th Generation"/>
    <s v="CPU"/>
    <x v="1"/>
    <n v="14500"/>
    <n v="18850"/>
    <n v="1"/>
    <n v="14500"/>
    <n v="18850"/>
    <s v="Ajay Sharma"/>
    <n v="33150"/>
  </r>
  <r>
    <s v="143746"/>
    <x v="34"/>
    <s v="Sajal Singhal"/>
    <s v="10/05/2022"/>
    <s v="Order"/>
    <s v="USB Keyboard"/>
    <s v="Keyboard"/>
    <x v="6"/>
    <n v="800"/>
    <n v="1040"/>
    <n v="1"/>
    <n v="800"/>
    <n v="1040"/>
    <s v="Ajay Sharma"/>
    <n v="3315"/>
  </r>
  <r>
    <s v="143747"/>
    <x v="4"/>
    <s v="Akhilesh Kumar"/>
    <s v="10/05/2022"/>
    <s v="Processing"/>
    <s v="Wireless Mouse"/>
    <s v="Mouse"/>
    <x v="0"/>
    <n v="600"/>
    <n v="780"/>
    <n v="1"/>
    <n v="600"/>
    <n v="780"/>
    <s v="Ajay Sharma"/>
    <n v="1690"/>
  </r>
  <r>
    <s v="143748"/>
    <x v="5"/>
    <s v="Suvankar Chakraborty"/>
    <s v="10/05/2022"/>
    <s v="Delivered"/>
    <s v="21&quot; LCD Display"/>
    <s v="Monitor"/>
    <x v="6"/>
    <n v="10500"/>
    <n v="13650"/>
    <n v="2"/>
    <n v="21000"/>
    <n v="27300"/>
    <s v="Ajay Sharma"/>
    <n v="9750"/>
  </r>
  <r>
    <s v="143749"/>
    <x v="6"/>
    <s v="Suvankar Adhikary"/>
    <s v="10/05/2022"/>
    <s v="Shipped"/>
    <s v="130 TB HDD"/>
    <s v="HDD"/>
    <x v="10"/>
    <n v="6500"/>
    <n v="8450"/>
    <n v="1"/>
    <n v="6500"/>
    <n v="8450"/>
    <s v="Ajay Sharma"/>
    <n v="39000"/>
  </r>
  <r>
    <s v="143750"/>
    <x v="7"/>
    <s v="Rahul Kumar Prajapati"/>
    <s v="10/05/2022"/>
    <s v="Order"/>
    <s v="385 GB SSD"/>
    <s v="SSD"/>
    <x v="0"/>
    <n v="4500"/>
    <n v="5850"/>
    <n v="3"/>
    <n v="13500"/>
    <n v="17550"/>
    <s v="Ajay Sharma"/>
    <n v="8450"/>
  </r>
  <r>
    <s v="143751"/>
    <x v="26"/>
    <s v="Sagar Jeur"/>
    <s v="10/05/2022"/>
    <s v="Processing"/>
    <s v="Intel i3 11th gen."/>
    <s v="CPU"/>
    <x v="1"/>
    <n v="8500"/>
    <n v="11050"/>
    <n v="4"/>
    <n v="34000"/>
    <n v="44200"/>
    <s v="Ajay Sharma"/>
    <n v="33150"/>
  </r>
  <r>
    <s v="143752"/>
    <x v="27"/>
    <s v="Rhushikesh Mane"/>
    <s v="10/05/2022"/>
    <s v="Delivered"/>
    <s v="4GB Graphic card"/>
    <s v="Graphic Card"/>
    <x v="2"/>
    <n v="12500"/>
    <n v="16250"/>
    <n v="1"/>
    <n v="12500"/>
    <n v="16250"/>
    <s v="Aadil Khan"/>
    <n v="18200"/>
  </r>
  <r>
    <s v="143753"/>
    <x v="8"/>
    <s v="Ashish Kumar"/>
    <s v="10/05/2022"/>
    <s v="Shipped"/>
    <s v="137 GB DDR4 RAM"/>
    <s v="RAM"/>
    <x v="3"/>
    <n v="3500"/>
    <n v="4550"/>
    <n v="4"/>
    <n v="14000"/>
    <n v="18200"/>
    <s v="Advika Joshi"/>
    <n v="25545"/>
  </r>
  <r>
    <s v="143754"/>
    <x v="9"/>
    <s v="Javed Akhter"/>
    <s v="10/05/2022"/>
    <s v="Order"/>
    <s v="BTX motherboard"/>
    <s v="MotherBoard"/>
    <x v="4"/>
    <n v="4500"/>
    <n v="5850"/>
    <n v="3"/>
    <n v="13500"/>
    <n v="17550"/>
    <s v="Ajay Sharma"/>
    <n v="39780"/>
  </r>
  <r>
    <s v="143755"/>
    <x v="10"/>
    <s v="Haridas Balraj"/>
    <s v="10/05/2022"/>
    <s v="Processing"/>
    <s v="132 Fans Cabinet"/>
    <s v="Cabinet"/>
    <x v="5"/>
    <n v="2100"/>
    <n v="2730"/>
    <n v="2"/>
    <n v="4200"/>
    <n v="5460"/>
    <s v="Roshan Kumar"/>
    <n v="2990"/>
  </r>
  <r>
    <s v="143756"/>
    <x v="11"/>
    <s v="Kundan Kumar"/>
    <s v="10/05/2022"/>
    <s v="Delivered"/>
    <s v="Wireless Keyboard"/>
    <s v="Keyboard"/>
    <x v="6"/>
    <n v="1150"/>
    <n v="1495"/>
    <n v="4"/>
    <n v="4600"/>
    <n v="5980"/>
    <s v="Aarvi Gupta"/>
    <n v="3315"/>
  </r>
  <r>
    <s v="143757"/>
    <x v="12"/>
    <s v="Atif Siddiqui"/>
    <s v="10/05/2022"/>
    <s v="Shipped"/>
    <s v="USB Mouse"/>
    <s v="Mouse"/>
    <x v="0"/>
    <n v="350"/>
    <n v="455"/>
    <n v="1"/>
    <n v="350"/>
    <n v="455"/>
    <s v="Vijay Singh"/>
    <n v="1690"/>
  </r>
  <r>
    <s v="143758"/>
    <x v="13"/>
    <s v="Aditya Agarwal"/>
    <s v="10/05/2022"/>
    <s v="Order"/>
    <s v="19&quot; LED Display"/>
    <s v="Monitor"/>
    <x v="6"/>
    <n v="9500"/>
    <n v="12350"/>
    <n v="3"/>
    <n v="28500"/>
    <n v="37050"/>
    <s v="Aadil Khan"/>
    <n v="9750"/>
  </r>
  <r>
    <s v="143759"/>
    <x v="14"/>
    <s v="Firdoush Jabee"/>
    <s v="10/05/2022"/>
    <s v="Processing"/>
    <s v="131 TB HDD"/>
    <s v="HDD"/>
    <x v="10"/>
    <n v="10000"/>
    <n v="13000"/>
    <n v="4"/>
    <n v="40000"/>
    <n v="52000"/>
    <s v="Advika Joshi"/>
    <n v="39000"/>
  </r>
  <r>
    <s v="143760"/>
    <x v="15"/>
    <s v="Jay Prakash Kumar"/>
    <s v="10/05/2022"/>
    <s v="Delivered"/>
    <s v="641 GB M.2"/>
    <s v="SSD"/>
    <x v="0"/>
    <n v="6500"/>
    <n v="8450"/>
    <n v="1"/>
    <n v="6500"/>
    <n v="8450"/>
    <s v="Ajay Sharma"/>
    <n v="8450"/>
  </r>
  <r>
    <s v="143761"/>
    <x v="16"/>
    <s v="Ashish Pandey"/>
    <s v="10/05/2022"/>
    <s v="Shipped"/>
    <s v="RYZEN 3rd gen. 3629"/>
    <s v="CPU"/>
    <x v="1"/>
    <n v="8500"/>
    <n v="11050"/>
    <n v="1"/>
    <n v="8500"/>
    <n v="11050"/>
    <s v="Roshan Kumar"/>
    <n v="33150"/>
  </r>
  <r>
    <s v="143762"/>
    <x v="17"/>
    <s v="Ajay Sharma"/>
    <s v="10/05/2022"/>
    <s v="Order"/>
    <s v="2GB Graphic Card"/>
    <s v="Graphic Card"/>
    <x v="2"/>
    <n v="7000"/>
    <n v="9100"/>
    <n v="4"/>
    <n v="28000"/>
    <n v="36400"/>
    <s v="Aarvi Gupta"/>
    <n v="18200"/>
  </r>
  <r>
    <s v="143763"/>
    <x v="18"/>
    <s v="Moinuddin Saifi"/>
    <s v="10/05/2022"/>
    <s v="Processing"/>
    <s v="145 GB DDR4 RAM"/>
    <s v="RAM"/>
    <x v="3"/>
    <n v="6550"/>
    <n v="8515"/>
    <n v="2"/>
    <n v="13100"/>
    <n v="17030"/>
    <s v="Vijay Singh"/>
    <n v="25545"/>
  </r>
  <r>
    <s v="143764"/>
    <x v="19"/>
    <s v="Ramkrishna Das Adhikary"/>
    <s v="10/05/2022"/>
    <s v="Delivered"/>
    <s v="Standard ATX motherboard"/>
    <s v="MotherBoard"/>
    <x v="4"/>
    <n v="7650"/>
    <n v="9945"/>
    <n v="4"/>
    <n v="30600"/>
    <n v="39780"/>
    <s v="Aadil Khan"/>
    <n v="39780"/>
  </r>
  <r>
    <s v="143765"/>
    <x v="20"/>
    <s v="Ranjeet Mandal"/>
    <s v="11/05/2022"/>
    <s v="Shipped"/>
    <s v="Compact with 1 Fan"/>
    <s v="Cabinet"/>
    <x v="5"/>
    <n v="1150"/>
    <n v="1495"/>
    <n v="3"/>
    <n v="3450"/>
    <n v="4485"/>
    <s v="Advika Joshi"/>
    <n v="2990"/>
  </r>
  <r>
    <s v="143766"/>
    <x v="16"/>
    <s v="Ashwini Adsare"/>
    <s v="11/05/2022"/>
    <s v="Order"/>
    <s v="USB Backlight Keyboard"/>
    <s v="Keyboard"/>
    <x v="6"/>
    <n v="850"/>
    <n v="1105"/>
    <n v="3"/>
    <n v="2550"/>
    <n v="3315"/>
    <s v="Ajay Sharma"/>
    <n v="3315"/>
  </r>
  <r>
    <s v="143767"/>
    <x v="17"/>
    <s v="Rajesh Variya"/>
    <s v="11/05/2022"/>
    <s v="Processing"/>
    <s v="Ergonomic Mouse"/>
    <s v="Mouse"/>
    <x v="0"/>
    <n v="650"/>
    <n v="845"/>
    <n v="1"/>
    <n v="650"/>
    <n v="845"/>
    <s v="Roshan Kumar"/>
    <n v="1690"/>
  </r>
  <r>
    <s v="143768"/>
    <x v="27"/>
    <s v="Amit Singh"/>
    <s v="11/05/2022"/>
    <s v="Delivered"/>
    <s v="15&quot; LCD Dsipaly"/>
    <s v="Monitor"/>
    <x v="6"/>
    <n v="7500"/>
    <n v="9750"/>
    <n v="2"/>
    <n v="15000"/>
    <n v="19500"/>
    <s v="Aarvi Gupta"/>
    <n v="9750"/>
  </r>
  <r>
    <s v="143769"/>
    <x v="22"/>
    <s v="Vinod Mehta"/>
    <s v="11/05/2022"/>
    <s v="Shipped"/>
    <s v="131 TB HDD"/>
    <s v="HDD"/>
    <x v="7"/>
    <n v="10000"/>
    <n v="13000"/>
    <n v="3"/>
    <n v="30000"/>
    <n v="39000"/>
    <s v="Vijay Singh"/>
    <n v="39000"/>
  </r>
  <r>
    <s v="143770"/>
    <x v="28"/>
    <s v="Jignesh Mhatre"/>
    <s v="11/05/2022"/>
    <s v="Order"/>
    <s v="130 TB SSD"/>
    <s v="SSD"/>
    <x v="0"/>
    <n v="10500"/>
    <n v="13650"/>
    <n v="1"/>
    <n v="10500"/>
    <n v="13650"/>
    <s v="Aadil Khan"/>
    <n v="8450"/>
  </r>
  <r>
    <s v="143771"/>
    <x v="29"/>
    <s v="Rahul Kashyap"/>
    <s v="11/05/2022"/>
    <s v="Processing"/>
    <s v="Intel i5 12th gen."/>
    <s v="CPU"/>
    <x v="1"/>
    <n v="8500"/>
    <n v="11050"/>
    <n v="1"/>
    <n v="8500"/>
    <n v="11050"/>
    <s v="Advika Joshi"/>
    <n v="33150"/>
  </r>
  <r>
    <s v="143772"/>
    <x v="30"/>
    <s v="Mohammed Abdul Kaleem"/>
    <s v="11/05/2022"/>
    <s v="Delivered"/>
    <s v="2GB Graphic Card"/>
    <s v="Graphic Card"/>
    <x v="2"/>
    <n v="7000"/>
    <n v="9100"/>
    <n v="3"/>
    <n v="21000"/>
    <n v="27300"/>
    <s v="Ajay Sharma"/>
    <n v="18200"/>
  </r>
  <r>
    <s v="143773"/>
    <x v="31"/>
    <s v="Chandrakant Kasbe"/>
    <s v="11/05/2022"/>
    <s v="Shipped"/>
    <s v="133 GB DDR4 Ram"/>
    <s v="RAM"/>
    <x v="3"/>
    <n v="1680"/>
    <n v="2184"/>
    <n v="3"/>
    <n v="5040"/>
    <n v="6552"/>
    <s v="Roshan Kumar"/>
    <n v="25545"/>
  </r>
  <r>
    <s v="143774"/>
    <x v="32"/>
    <s v="Rohan Kale"/>
    <s v="11/05/2022"/>
    <s v="Order"/>
    <s v="Micro ATX motherboard"/>
    <s v="MotherBoard"/>
    <x v="8"/>
    <n v="6540"/>
    <n v="8502"/>
    <n v="1"/>
    <n v="6540"/>
    <n v="8502"/>
    <s v="Aarvi Gupta"/>
    <n v="39780"/>
  </r>
  <r>
    <s v="143775"/>
    <x v="0"/>
    <s v="Aniruddha Kekapure"/>
    <s v="11/05/2022"/>
    <s v="Processing"/>
    <s v="Gaming Box Cabinet"/>
    <s v="Cabinet"/>
    <x v="5"/>
    <n v="2680"/>
    <n v="3484"/>
    <n v="2"/>
    <n v="5360"/>
    <n v="6968"/>
    <s v="Vijay Singh"/>
    <n v="2990"/>
  </r>
  <r>
    <s v="143776"/>
    <x v="23"/>
    <s v="Aslam Raza"/>
    <s v="11/05/2022"/>
    <s v="Delivered"/>
    <s v="17&quot; LCD Display"/>
    <s v="Monitor"/>
    <x v="0"/>
    <n v="8250"/>
    <n v="10725"/>
    <n v="4"/>
    <n v="33000"/>
    <n v="42900"/>
    <s v="Aadil Khan"/>
    <n v="9750"/>
  </r>
  <r>
    <s v="143777"/>
    <x v="1"/>
    <s v="Roshan Zameer"/>
    <s v="11/05/2022"/>
    <s v="Shipped"/>
    <s v="137 GB DDR4 RAM"/>
    <s v="RAM"/>
    <x v="0"/>
    <n v="2650"/>
    <n v="3445"/>
    <n v="3"/>
    <n v="7950"/>
    <n v="10335"/>
    <s v="Advika Joshi"/>
    <n v="25545"/>
  </r>
  <r>
    <s v="143778"/>
    <x v="2"/>
    <s v="Rakesh Kumar Sharma"/>
    <s v="11/05/2022"/>
    <s v="Order"/>
    <s v="26&quot; LCD Display"/>
    <s v="Monitor"/>
    <x v="9"/>
    <n v="12550"/>
    <n v="16315"/>
    <n v="1"/>
    <n v="12550"/>
    <n v="16315"/>
    <s v="Ajay Sharma"/>
    <n v="9750"/>
  </r>
  <r>
    <s v="143779"/>
    <x v="3"/>
    <s v="Shivanand Sahani"/>
    <s v="11/05/2022"/>
    <s v="Processing"/>
    <s v="I7 - intel 12th Generation"/>
    <s v="CPU"/>
    <x v="1"/>
    <n v="14500"/>
    <n v="18850"/>
    <n v="1"/>
    <n v="14500"/>
    <n v="18850"/>
    <s v="Roshan Kumar"/>
    <n v="33150"/>
  </r>
  <r>
    <s v="143780"/>
    <x v="24"/>
    <s v="Kunal Patra"/>
    <s v="11/05/2022"/>
    <s v="Delivered"/>
    <s v="USB Keyboard"/>
    <s v="Keyboard"/>
    <x v="6"/>
    <n v="800"/>
    <n v="1040"/>
    <n v="2"/>
    <n v="1600"/>
    <n v="2080"/>
    <s v="Aarvi Gupta"/>
    <n v="3315"/>
  </r>
  <r>
    <s v="143781"/>
    <x v="25"/>
    <s v="Bijendra"/>
    <s v="11/05/2022"/>
    <s v="Shipped"/>
    <s v="Wireless Mouse"/>
    <s v="Mouse"/>
    <x v="0"/>
    <n v="600"/>
    <n v="780"/>
    <n v="3"/>
    <n v="1800"/>
    <n v="2340"/>
    <s v="Vijay Singh"/>
    <n v="1690"/>
  </r>
  <r>
    <s v="143782"/>
    <x v="33"/>
    <s v="Kranti Bheke"/>
    <s v="11/05/2022"/>
    <s v="Order"/>
    <s v="21&quot; LCD Display"/>
    <s v="Monitor"/>
    <x v="6"/>
    <n v="10500"/>
    <n v="13650"/>
    <n v="1"/>
    <n v="10500"/>
    <n v="13650"/>
    <s v="Aadil Khan"/>
    <n v="9750"/>
  </r>
  <r>
    <s v="143783"/>
    <x v="34"/>
    <s v="Jagdeep"/>
    <s v="11/05/2022"/>
    <s v="Processing"/>
    <s v="131 TB HDD"/>
    <s v="HDD"/>
    <x v="10"/>
    <n v="6500"/>
    <n v="8450"/>
    <n v="1"/>
    <n v="6500"/>
    <n v="8450"/>
    <s v="Ajay Sharma"/>
    <n v="39000"/>
  </r>
  <r>
    <s v="143784"/>
    <x v="4"/>
    <s v="Adhir Samal"/>
    <s v="11/05/2022"/>
    <s v="Delivered"/>
    <s v="386 GB SSD"/>
    <s v="SSD"/>
    <x v="0"/>
    <n v="4500"/>
    <n v="5850"/>
    <n v="3"/>
    <n v="13500"/>
    <n v="17550"/>
    <s v="Ajay Sharma"/>
    <n v="8450"/>
  </r>
  <r>
    <s v="143785"/>
    <x v="5"/>
    <s v="Dannana Jhammi"/>
    <s v="11/05/2022"/>
    <s v="Shipped"/>
    <s v="Intel i3 11th gen."/>
    <s v="CPU"/>
    <x v="1"/>
    <n v="8500"/>
    <n v="11050"/>
    <n v="2"/>
    <n v="17000"/>
    <n v="22100"/>
    <s v="Ajay Sharma"/>
    <n v="33150"/>
  </r>
  <r>
    <s v="143786"/>
    <x v="6"/>
    <s v="Vipin Kumar"/>
    <s v="11/05/2022"/>
    <s v="Order"/>
    <s v="4GB Graphic card"/>
    <s v="Graphic Card"/>
    <x v="2"/>
    <n v="12500"/>
    <n v="16250"/>
    <n v="1"/>
    <n v="12500"/>
    <n v="16250"/>
    <s v="Ajay Sharma"/>
    <n v="18200"/>
  </r>
  <r>
    <s v="143787"/>
    <x v="7"/>
    <s v="Ranjeet Kumar"/>
    <s v="11/05/2022"/>
    <s v="Processing"/>
    <s v="138 GB DDR4 RAM"/>
    <s v="Computer Case"/>
    <x v="3"/>
    <n v="3500"/>
    <n v="4550"/>
    <n v="4"/>
    <n v="14000"/>
    <n v="18200"/>
    <s v="Ajay Sharma"/>
    <n v="13650"/>
  </r>
  <r>
    <s v="143788"/>
    <x v="26"/>
    <s v="Sajal Singhal"/>
    <s v="11/05/2022"/>
    <s v="Delivered"/>
    <s v="BTX motherboard"/>
    <s v="Mouse"/>
    <x v="4"/>
    <n v="4500"/>
    <n v="5850"/>
    <n v="2"/>
    <n v="9000"/>
    <n v="11700"/>
    <s v="Ajay Sharma"/>
    <n v="1690"/>
  </r>
  <r>
    <s v="143789"/>
    <x v="27"/>
    <s v="Akhilesh Kumar"/>
    <s v="11/05/2022"/>
    <s v="Shipped"/>
    <s v="133 Fans Cabinet"/>
    <s v="Cabinet"/>
    <x v="5"/>
    <n v="2100"/>
    <n v="2730"/>
    <n v="1"/>
    <n v="2100"/>
    <n v="2730"/>
    <s v="Ajay Sharma"/>
    <n v="2990"/>
  </r>
  <r>
    <s v="143790"/>
    <x v="8"/>
    <s v="Suvankar Chakraborty"/>
    <s v="11/05/2022"/>
    <s v="Order"/>
    <s v="Wireless Keyboard"/>
    <s v="Keyboard"/>
    <x v="6"/>
    <n v="1150"/>
    <n v="1495"/>
    <n v="2"/>
    <n v="2300"/>
    <n v="2990"/>
    <s v="Ajay Sharma"/>
    <n v="3315"/>
  </r>
  <r>
    <s v="143791"/>
    <x v="9"/>
    <s v="Suvankar Adhikary"/>
    <s v="11/05/2022"/>
    <s v="Processing"/>
    <s v="USB Mouse"/>
    <s v="Mouse"/>
    <x v="0"/>
    <n v="350"/>
    <n v="455"/>
    <n v="3"/>
    <n v="1050"/>
    <n v="1365"/>
    <s v="Ajay Sharma"/>
    <n v="1690"/>
  </r>
  <r>
    <s v="143792"/>
    <x v="10"/>
    <s v="Rahul Kumar Prajapati"/>
    <s v="11/05/2022"/>
    <s v="Delivered"/>
    <s v="19&quot; LED Display"/>
    <s v="Monitor"/>
    <x v="6"/>
    <n v="9500"/>
    <n v="12350"/>
    <n v="3"/>
    <n v="28500"/>
    <n v="37050"/>
    <s v="Ajay Sharma"/>
    <n v="9750"/>
  </r>
  <r>
    <s v="143793"/>
    <x v="11"/>
    <s v="Sagar Jeur"/>
    <s v="11/05/2022"/>
    <s v="Shipped"/>
    <s v="132 TB HDD"/>
    <s v="HDD"/>
    <x v="10"/>
    <n v="10000"/>
    <n v="13000"/>
    <n v="3"/>
    <n v="30000"/>
    <n v="39000"/>
    <s v="Ajay Sharma"/>
    <n v="39000"/>
  </r>
  <r>
    <s v="143794"/>
    <x v="12"/>
    <s v="Rhushikesh Mane"/>
    <s v="11/05/2022"/>
    <s v="Order"/>
    <s v="642 GB M.2"/>
    <s v="SSD"/>
    <x v="0"/>
    <n v="6500"/>
    <n v="8450"/>
    <n v="2"/>
    <n v="13000"/>
    <n v="16900"/>
    <s v="Ajay Sharma"/>
    <n v="8450"/>
  </r>
  <r>
    <s v="143795"/>
    <x v="13"/>
    <s v="Ashish Kumar"/>
    <s v="11/05/2022"/>
    <s v="Processing"/>
    <s v="RYZEN 3rd gen. 3630"/>
    <s v="CPU"/>
    <x v="1"/>
    <n v="8500"/>
    <n v="11050"/>
    <n v="3"/>
    <n v="25500"/>
    <n v="33150"/>
    <s v="Ajay Sharma"/>
    <n v="33150"/>
  </r>
  <r>
    <s v="143796"/>
    <x v="14"/>
    <s v="Javed Akhter"/>
    <s v="11/05/2022"/>
    <s v="Delivered"/>
    <s v="2GB Graphic Card"/>
    <s v="Graphic Card"/>
    <x v="2"/>
    <n v="7000"/>
    <n v="9100"/>
    <n v="4"/>
    <n v="28000"/>
    <n v="36400"/>
    <s v="Ajay Sharma"/>
    <n v="18200"/>
  </r>
  <r>
    <s v="143797"/>
    <x v="15"/>
    <s v="Haridas Balraj"/>
    <s v="11/05/2022"/>
    <s v="Shipped"/>
    <s v="146 GB DDR4 RAM"/>
    <s v="Computer Case"/>
    <x v="3"/>
    <n v="6550"/>
    <n v="8515"/>
    <n v="4"/>
    <n v="26200"/>
    <n v="34060"/>
    <s v="Ajay Sharma"/>
    <n v="13650"/>
  </r>
  <r>
    <s v="143798"/>
    <x v="16"/>
    <s v="Kundan Kumar"/>
    <s v="11/05/2022"/>
    <s v="Order"/>
    <s v="Standard ATX motherboard"/>
    <s v="Mouse"/>
    <x v="4"/>
    <n v="7650"/>
    <n v="9945"/>
    <n v="4"/>
    <n v="30600"/>
    <n v="39780"/>
    <s v="Ajay Sharma"/>
    <n v="1690"/>
  </r>
  <r>
    <s v="143799"/>
    <x v="17"/>
    <s v="Atif Siddiqui"/>
    <s v="11/05/2022"/>
    <s v="Processing"/>
    <s v="Compact with 1 Fan"/>
    <s v="Cabinet"/>
    <x v="5"/>
    <n v="1150"/>
    <n v="1495"/>
    <n v="4"/>
    <n v="4600"/>
    <n v="5980"/>
    <s v="Ajay Sharma"/>
    <n v="2990"/>
  </r>
  <r>
    <s v="143800"/>
    <x v="18"/>
    <s v="Aditya Agarwal"/>
    <s v="11/05/2022"/>
    <s v="Delivered"/>
    <s v="USB Backlight Keyboard"/>
    <s v="Keyboard"/>
    <x v="6"/>
    <n v="850"/>
    <n v="1105"/>
    <n v="3"/>
    <n v="2550"/>
    <n v="3315"/>
    <s v="Ajay Sharma"/>
    <n v="3315"/>
  </r>
  <r>
    <s v="143801"/>
    <x v="19"/>
    <s v="Firdoush Jabee"/>
    <s v="11/05/2022"/>
    <s v="Shipped"/>
    <s v="Ergonomic Mouse"/>
    <s v="Mouse"/>
    <x v="0"/>
    <n v="650"/>
    <n v="845"/>
    <n v="1"/>
    <n v="650"/>
    <n v="845"/>
    <s v="Ajay Sharma"/>
    <n v="1690"/>
  </r>
  <r>
    <s v="143802"/>
    <x v="20"/>
    <s v="Jay Prakash Kumar"/>
    <s v="11/05/2022"/>
    <s v="Order"/>
    <s v="15&quot; LCD Dsipaly"/>
    <s v="Monitor"/>
    <x v="6"/>
    <n v="7500"/>
    <n v="9750"/>
    <n v="1"/>
    <n v="7500"/>
    <n v="9750"/>
    <s v="Ajay Sharma"/>
    <n v="9750"/>
  </r>
  <r>
    <s v="143803"/>
    <x v="16"/>
    <s v="Ashish Pandey"/>
    <s v="11/05/2022"/>
    <s v="Processing"/>
    <s v="132 TB HDD"/>
    <s v="HDD"/>
    <x v="7"/>
    <n v="10000"/>
    <n v="13000"/>
    <n v="1"/>
    <n v="10000"/>
    <n v="13000"/>
    <s v="Roshan Kumar"/>
    <n v="39000"/>
  </r>
  <r>
    <s v="143804"/>
    <x v="17"/>
    <s v="Ajay Sharma"/>
    <s v="11/05/2022"/>
    <s v="Delivered"/>
    <s v="131 TB SSD"/>
    <s v="SSD"/>
    <x v="0"/>
    <n v="10500"/>
    <n v="13650"/>
    <n v="1"/>
    <n v="10500"/>
    <n v="13650"/>
    <s v="Aarvi Gupta"/>
    <n v="8450"/>
  </r>
  <r>
    <s v="143805"/>
    <x v="27"/>
    <s v="Moinuddin Saifi"/>
    <s v="11/05/2022"/>
    <s v="Shipped"/>
    <s v="Intel i5 12th gen."/>
    <s v="CPU"/>
    <x v="1"/>
    <n v="8500"/>
    <n v="11050"/>
    <n v="2"/>
    <n v="17000"/>
    <n v="22100"/>
    <s v="Vijay Singh"/>
    <n v="33150"/>
  </r>
  <r>
    <s v="143806"/>
    <x v="22"/>
    <s v="Ramkrishna Das Adhikary"/>
    <s v="11/05/2022"/>
    <s v="Order"/>
    <s v="2GB Graphic Card"/>
    <s v="Graphic Card"/>
    <x v="2"/>
    <n v="7000"/>
    <n v="9100"/>
    <n v="4"/>
    <n v="28000"/>
    <n v="36400"/>
    <s v="Aadil Khan"/>
    <n v="18200"/>
  </r>
  <r>
    <s v="143807"/>
    <x v="28"/>
    <s v="Ranjeet Mandal"/>
    <s v="11/05/2022"/>
    <s v="Processing"/>
    <s v="134 GB DDR4 Ram"/>
    <s v="Computer Case"/>
    <x v="3"/>
    <n v="1680"/>
    <n v="2184"/>
    <n v="4"/>
    <n v="6720"/>
    <n v="8736"/>
    <s v="Advika Joshi"/>
    <n v="13650"/>
  </r>
  <r>
    <s v="143808"/>
    <x v="29"/>
    <s v="Ashwini Adsare"/>
    <s v="11/05/2022"/>
    <s v="Delivered"/>
    <s v="Micro ATX motherboard"/>
    <s v="Mouse"/>
    <x v="8"/>
    <n v="6540"/>
    <n v="8502"/>
    <n v="3"/>
    <n v="19620"/>
    <n v="25506"/>
    <s v="Ajay Sharma"/>
    <n v="1690"/>
  </r>
  <r>
    <s v="143809"/>
    <x v="30"/>
    <s v="Rajesh Variya"/>
    <s v="11/05/2022"/>
    <s v="Shipped"/>
    <s v="Gaming Box Cabinet"/>
    <s v="Cabinet"/>
    <x v="5"/>
    <n v="2680"/>
    <n v="3484"/>
    <n v="4"/>
    <n v="10720"/>
    <n v="13936"/>
    <s v="Roshan Kumar"/>
    <n v="2990"/>
  </r>
  <r>
    <s v="143810"/>
    <x v="31"/>
    <s v="Amit Singh"/>
    <s v="11/05/2022"/>
    <s v="Order"/>
    <s v="17&quot; LCD Display"/>
    <s v="Monitor"/>
    <x v="0"/>
    <n v="8250"/>
    <n v="10725"/>
    <n v="2"/>
    <n v="16500"/>
    <n v="21450"/>
    <s v="Aarvi Gupta"/>
    <n v="9750"/>
  </r>
  <r>
    <s v="143811"/>
    <x v="32"/>
    <s v="Vinod Mehta"/>
    <s v="11/05/2022"/>
    <s v="Processing"/>
    <s v="138 GB DDR4 RAM"/>
    <s v="RAM"/>
    <x v="0"/>
    <n v="2650"/>
    <n v="3445"/>
    <n v="2"/>
    <n v="5300"/>
    <n v="6890"/>
    <s v="Vijay Singh"/>
    <n v="25545"/>
  </r>
  <r>
    <s v="143812"/>
    <x v="0"/>
    <s v="Jignesh Mhatre"/>
    <s v="11/05/2022"/>
    <s v="Delivered"/>
    <s v="26&quot; LCD Display"/>
    <s v="Monitor"/>
    <x v="9"/>
    <n v="12550"/>
    <n v="16315"/>
    <n v="2"/>
    <n v="25100"/>
    <n v="32630"/>
    <s v="Aadil Khan"/>
    <n v="9750"/>
  </r>
  <r>
    <s v="143813"/>
    <x v="23"/>
    <s v="Rahul Kashyap"/>
    <s v="12/05/2022"/>
    <s v="Shipped"/>
    <s v="I7 - intel 12th Generation"/>
    <s v="CPU"/>
    <x v="1"/>
    <n v="14500"/>
    <n v="18850"/>
    <n v="2"/>
    <n v="29000"/>
    <n v="37700"/>
    <s v="Advika Joshi"/>
    <n v="33150"/>
  </r>
  <r>
    <s v="143814"/>
    <x v="1"/>
    <s v="Mohammed Abdul Kaleem"/>
    <s v="13/05/2022"/>
    <s v="Order"/>
    <s v="USB Keyboard"/>
    <s v="Keyboard"/>
    <x v="6"/>
    <n v="800"/>
    <n v="1040"/>
    <n v="2"/>
    <n v="1600"/>
    <n v="2080"/>
    <s v="Ajay Sharma"/>
    <n v="3315"/>
  </r>
  <r>
    <s v="143815"/>
    <x v="2"/>
    <s v="Chandrakant Kasbe"/>
    <s v="14/05/2022"/>
    <s v="Processing"/>
    <s v="Wireless Mouse"/>
    <s v="Mouse"/>
    <x v="0"/>
    <n v="600"/>
    <n v="780"/>
    <n v="4"/>
    <n v="2400"/>
    <n v="3120"/>
    <s v="Roshan Kumar"/>
    <n v="1690"/>
  </r>
  <r>
    <s v="143816"/>
    <x v="3"/>
    <s v="Rohan Kale"/>
    <s v="15/05/2022"/>
    <s v="Delivered"/>
    <s v="21&quot; LCD Display"/>
    <s v="Monitor"/>
    <x v="6"/>
    <n v="10500"/>
    <n v="13650"/>
    <n v="1"/>
    <n v="10500"/>
    <n v="13650"/>
    <s v="Aarvi Gupta"/>
    <n v="9750"/>
  </r>
  <r>
    <s v="143817"/>
    <x v="24"/>
    <s v="Aniruddha Kekapure"/>
    <s v="16/05/2022"/>
    <s v="Shipped"/>
    <s v="132 TB HDD"/>
    <s v="HDD"/>
    <x v="10"/>
    <n v="6500"/>
    <n v="8450"/>
    <n v="2"/>
    <n v="13000"/>
    <n v="16900"/>
    <s v="Vijay Singh"/>
    <n v="39000"/>
  </r>
  <r>
    <s v="143818"/>
    <x v="25"/>
    <s v="Aslam Raza"/>
    <s v="17/05/2022"/>
    <s v="Order"/>
    <s v="387 GB SSD"/>
    <s v="SSD"/>
    <x v="0"/>
    <n v="4500"/>
    <n v="5850"/>
    <n v="4"/>
    <n v="18000"/>
    <n v="23400"/>
    <s v="Aadil Khan"/>
    <n v="8450"/>
  </r>
  <r>
    <s v="143819"/>
    <x v="33"/>
    <s v="Roshan Zameer"/>
    <s v="18/05/2022"/>
    <s v="Processing"/>
    <s v="Intel i3 11th gen."/>
    <s v="CPU"/>
    <x v="1"/>
    <n v="8500"/>
    <n v="11050"/>
    <n v="2"/>
    <n v="17000"/>
    <n v="22100"/>
    <s v="Advika Joshi"/>
    <n v="33150"/>
  </r>
  <r>
    <s v="143820"/>
    <x v="34"/>
    <s v="Rakesh Kumar Sharma"/>
    <s v="19/05/2022"/>
    <s v="Delivered"/>
    <s v="4GB Graphic card"/>
    <s v="Graphic Card"/>
    <x v="2"/>
    <n v="12500"/>
    <n v="16250"/>
    <n v="2"/>
    <n v="25000"/>
    <n v="32500"/>
    <s v="Ajay Sharma"/>
    <n v="18200"/>
  </r>
  <r>
    <s v="143821"/>
    <x v="4"/>
    <s v="Shivanand Sahani"/>
    <s v="19/05/2022"/>
    <s v="Shipped"/>
    <s v="139 GB DDR4 RAM"/>
    <s v="NIC"/>
    <x v="3"/>
    <n v="3500"/>
    <n v="4550"/>
    <n v="4"/>
    <n v="14000"/>
    <n v="18200"/>
    <s v="Roshan Kumar"/>
    <n v="9100"/>
  </r>
  <r>
    <s v="143822"/>
    <x v="5"/>
    <s v="Kunal Patra"/>
    <s v="19/05/2022"/>
    <s v="Order"/>
    <s v="BTX motherboard"/>
    <s v="Printer"/>
    <x v="4"/>
    <n v="4500"/>
    <n v="5850"/>
    <n v="4"/>
    <n v="18000"/>
    <n v="23400"/>
    <s v="Aarvi Gupta"/>
    <n v="11700"/>
  </r>
  <r>
    <s v="143823"/>
    <x v="6"/>
    <s v="Bijendra"/>
    <s v="19/05/2022"/>
    <s v="Processing"/>
    <s v="134 Fans Cabinet"/>
    <s v="Cabinet"/>
    <x v="5"/>
    <n v="2100"/>
    <n v="2730"/>
    <n v="2"/>
    <n v="4200"/>
    <n v="5460"/>
    <s v="Vijay Singh"/>
    <n v="2990"/>
  </r>
  <r>
    <s v="143824"/>
    <x v="7"/>
    <s v="Kranti Bheke"/>
    <s v="19/05/2022"/>
    <s v="Delivered"/>
    <s v="Wireless Keyboard"/>
    <s v="Keyboard"/>
    <x v="6"/>
    <n v="1150"/>
    <n v="1495"/>
    <n v="2"/>
    <n v="2300"/>
    <n v="2990"/>
    <s v="Aadil Khan"/>
    <n v="3315"/>
  </r>
  <r>
    <s v="143825"/>
    <x v="26"/>
    <s v="Jagdeep"/>
    <s v="19/05/2022"/>
    <s v="Shipped"/>
    <s v="USB Mouse"/>
    <s v="Mouse"/>
    <x v="0"/>
    <n v="350"/>
    <n v="455"/>
    <n v="2"/>
    <n v="700"/>
    <n v="910"/>
    <s v="Advika Joshi"/>
    <n v="1690"/>
  </r>
  <r>
    <s v="143826"/>
    <x v="27"/>
    <s v="Adhir Samal"/>
    <s v="19/05/2022"/>
    <s v="Order"/>
    <s v="19&quot; LED Display"/>
    <s v="Monitor"/>
    <x v="6"/>
    <n v="9500"/>
    <n v="12350"/>
    <n v="3"/>
    <n v="28500"/>
    <n v="37050"/>
    <s v="Ajay Sharma"/>
    <n v="9750"/>
  </r>
  <r>
    <s v="143827"/>
    <x v="8"/>
    <s v="Dannana Jhammi"/>
    <s v="19/05/2022"/>
    <s v="Processing"/>
    <s v="133 TB HDD"/>
    <s v="HDD"/>
    <x v="10"/>
    <n v="10000"/>
    <n v="13000"/>
    <n v="3"/>
    <n v="30000"/>
    <n v="39000"/>
    <s v="Roshan Kumar"/>
    <n v="39000"/>
  </r>
  <r>
    <s v="143828"/>
    <x v="9"/>
    <s v="Vipin Kumar"/>
    <s v="19/05/2022"/>
    <s v="Delivered"/>
    <s v="643 GB M.2"/>
    <s v="SSD"/>
    <x v="0"/>
    <n v="6500"/>
    <n v="8450"/>
    <n v="3"/>
    <n v="19500"/>
    <n v="25350"/>
    <s v="Aarvi Gupta"/>
    <n v="8450"/>
  </r>
  <r>
    <s v="143829"/>
    <x v="10"/>
    <s v="Ranjeet Kumar"/>
    <s v="19/05/2022"/>
    <s v="Shipped"/>
    <s v="RYZEN 3rd gen. 3631"/>
    <s v="CPU"/>
    <x v="1"/>
    <n v="8500"/>
    <n v="11050"/>
    <n v="3"/>
    <n v="25500"/>
    <n v="33150"/>
    <s v="Vijay Singh"/>
    <n v="33150"/>
  </r>
  <r>
    <s v="143830"/>
    <x v="11"/>
    <s v="Sajal Singhal"/>
    <s v="19/05/2022"/>
    <s v="Order"/>
    <s v="2GB Graphic Card"/>
    <s v="Graphic Card"/>
    <x v="2"/>
    <n v="7000"/>
    <n v="9100"/>
    <n v="3"/>
    <n v="21000"/>
    <n v="27300"/>
    <s v="Aadil Khan"/>
    <n v="18200"/>
  </r>
  <r>
    <s v="143831"/>
    <x v="12"/>
    <s v="Akhilesh Kumar"/>
    <s v="19/05/2022"/>
    <s v="Processing"/>
    <s v="147 GB DDR4 RAM"/>
    <s v="NIC"/>
    <x v="3"/>
    <n v="6550"/>
    <n v="8515"/>
    <n v="1"/>
    <n v="6550"/>
    <n v="8515"/>
    <s v="Ajay Sharma"/>
    <n v="9100"/>
  </r>
  <r>
    <s v="143832"/>
    <x v="13"/>
    <s v="Suvankar Chakraborty"/>
    <s v="19/05/2022"/>
    <s v="Delivered"/>
    <s v="Standard ATX motherboard"/>
    <s v="Printer"/>
    <x v="4"/>
    <n v="7650"/>
    <n v="9945"/>
    <n v="3"/>
    <n v="22950"/>
    <n v="29835"/>
    <s v="Ajay Sharma"/>
    <n v="11700"/>
  </r>
  <r>
    <s v="143833"/>
    <x v="14"/>
    <s v="Suvankar Adhikary"/>
    <s v="19/05/2022"/>
    <s v="Shipped"/>
    <s v="Compact with 1 Fan"/>
    <s v="Cabinet"/>
    <x v="5"/>
    <n v="1150"/>
    <n v="1495"/>
    <n v="2"/>
    <n v="2300"/>
    <n v="2990"/>
    <s v="Ajay Sharma"/>
    <n v="2990"/>
  </r>
  <r>
    <s v="143834"/>
    <x v="15"/>
    <s v="Rahul Kumar Prajapati"/>
    <s v="19/05/2022"/>
    <s v="Order"/>
    <s v="USB Backlight Keyboard"/>
    <s v="Keyboard"/>
    <x v="6"/>
    <n v="850"/>
    <n v="1105"/>
    <n v="2"/>
    <n v="1700"/>
    <n v="2210"/>
    <s v="Ajay Sharma"/>
    <n v="3315"/>
  </r>
  <r>
    <s v="143835"/>
    <x v="16"/>
    <s v="Sagar Jeur"/>
    <s v="19/05/2022"/>
    <s v="Processing"/>
    <s v="Ergonomic Mouse"/>
    <s v="Mouse"/>
    <x v="0"/>
    <n v="650"/>
    <n v="845"/>
    <n v="2"/>
    <n v="1300"/>
    <n v="1690"/>
    <s v="Ajay Sharma"/>
    <n v="1690"/>
  </r>
  <r>
    <s v="143836"/>
    <x v="17"/>
    <s v="Rhushikesh Mane"/>
    <s v="19/05/2022"/>
    <s v="Delivered"/>
    <s v="15&quot; LCD Dsipaly"/>
    <s v="Monitor"/>
    <x v="6"/>
    <n v="7500"/>
    <n v="9750"/>
    <n v="2"/>
    <n v="15000"/>
    <n v="19500"/>
    <s v="Ajay Sharma"/>
    <n v="9750"/>
  </r>
  <r>
    <s v="143837"/>
    <x v="18"/>
    <s v="Ashish Kumar"/>
    <s v="19/05/2022"/>
    <s v="Shipped"/>
    <s v="133 TB HDD"/>
    <s v="HDD"/>
    <x v="7"/>
    <n v="10000"/>
    <n v="13000"/>
    <n v="1"/>
    <n v="10000"/>
    <n v="13000"/>
    <s v="Ajay Sharma"/>
    <n v="39000"/>
  </r>
  <r>
    <s v="143838"/>
    <x v="19"/>
    <s v="Javed Akhter"/>
    <s v="19/05/2022"/>
    <s v="Order"/>
    <s v="132 TB SSD"/>
    <s v="SSD"/>
    <x v="0"/>
    <n v="10500"/>
    <n v="13650"/>
    <n v="1"/>
    <n v="10500"/>
    <n v="13650"/>
    <s v="Ajay Sharma"/>
    <n v="8450"/>
  </r>
  <r>
    <s v="143839"/>
    <x v="20"/>
    <s v="Haridas Balraj"/>
    <s v="19/05/2022"/>
    <s v="Processing"/>
    <s v="Intel i5 12th gen."/>
    <s v="CPU"/>
    <x v="1"/>
    <n v="8500"/>
    <n v="11050"/>
    <n v="1"/>
    <n v="8500"/>
    <n v="11050"/>
    <s v="Ajay Sharma"/>
    <n v="33150"/>
  </r>
  <r>
    <s v="143840"/>
    <x v="16"/>
    <s v="Kundan Kumar"/>
    <s v="19/05/2022"/>
    <s v="Delivered"/>
    <s v="2GB Graphic Card"/>
    <s v="Graphic Card"/>
    <x v="2"/>
    <n v="7000"/>
    <n v="9100"/>
    <n v="3"/>
    <n v="21000"/>
    <n v="27300"/>
    <s v="Ajay Sharma"/>
    <n v="18200"/>
  </r>
  <r>
    <s v="143841"/>
    <x v="17"/>
    <s v="Atif Siddiqui"/>
    <s v="19/05/2022"/>
    <s v="Shipped"/>
    <s v="135 GB DDR4 Ram"/>
    <s v="NIC"/>
    <x v="3"/>
    <n v="1680"/>
    <n v="2184"/>
    <n v="1"/>
    <n v="1680"/>
    <n v="2184"/>
    <s v="Ajay Sharma"/>
    <n v="9100"/>
  </r>
  <r>
    <s v="143842"/>
    <x v="27"/>
    <s v="Aditya Agarwal"/>
    <s v="19/05/2022"/>
    <s v="Order"/>
    <s v="Micro ATX motherboard"/>
    <s v="Printer"/>
    <x v="8"/>
    <n v="6540"/>
    <n v="8502"/>
    <n v="1"/>
    <n v="6540"/>
    <n v="8502"/>
    <s v="Ajay Sharma"/>
    <n v="11700"/>
  </r>
  <r>
    <s v="143843"/>
    <x v="22"/>
    <s v="Firdoush Jabee"/>
    <s v="19/05/2022"/>
    <s v="Processing"/>
    <s v="Gaming Box Cabinet"/>
    <s v="Cabinet"/>
    <x v="5"/>
    <n v="2680"/>
    <n v="3484"/>
    <n v="1"/>
    <n v="2680"/>
    <n v="3484"/>
    <s v="Ajay Sharma"/>
    <n v="2990"/>
  </r>
  <r>
    <s v="143844"/>
    <x v="28"/>
    <s v="Jay Prakash Kumar"/>
    <s v="19/05/2022"/>
    <s v="Delivered"/>
    <s v="17&quot; LCD Display"/>
    <s v="Monitor"/>
    <x v="0"/>
    <n v="8250"/>
    <n v="10725"/>
    <n v="2"/>
    <n v="16500"/>
    <n v="21450"/>
    <s v="Ajay Sharma"/>
    <n v="9750"/>
  </r>
  <r>
    <s v="143845"/>
    <x v="29"/>
    <s v="Ashish Pandey"/>
    <s v="19/05/2022"/>
    <s v="Shipped"/>
    <s v="139 GB DDR4 RAM"/>
    <s v="RAM"/>
    <x v="0"/>
    <n v="2650"/>
    <n v="3445"/>
    <n v="3"/>
    <n v="7950"/>
    <n v="10335"/>
    <s v="Ajay Sharma"/>
    <n v="25545"/>
  </r>
  <r>
    <s v="143846"/>
    <x v="30"/>
    <s v="Ajay Sharma"/>
    <s v="19/05/2022"/>
    <s v="Order"/>
    <s v="26&quot; LCD Display"/>
    <s v="Monitor"/>
    <x v="9"/>
    <n v="12550"/>
    <n v="16315"/>
    <n v="2"/>
    <n v="25100"/>
    <n v="32630"/>
    <s v="Ajay Sharma"/>
    <n v="9750"/>
  </r>
  <r>
    <s v="143847"/>
    <x v="31"/>
    <s v="Moinuddin Saifi"/>
    <s v="19/05/2022"/>
    <s v="Processing"/>
    <s v="I7 - intel 12th Generation"/>
    <s v="CPU"/>
    <x v="1"/>
    <n v="14500"/>
    <n v="18850"/>
    <n v="1"/>
    <n v="14500"/>
    <n v="18850"/>
    <s v="Ajay Sharma"/>
    <n v="33150"/>
  </r>
  <r>
    <s v="143848"/>
    <x v="32"/>
    <s v="Ramkrishna Das Adhikary"/>
    <s v="19/05/2022"/>
    <s v="Delivered"/>
    <s v="USB Keyboard"/>
    <s v="Keyboard"/>
    <x v="6"/>
    <n v="800"/>
    <n v="1040"/>
    <n v="3"/>
    <n v="2400"/>
    <n v="3120"/>
    <s v="Ajay Sharma"/>
    <n v="3315"/>
  </r>
  <r>
    <s v="143849"/>
    <x v="0"/>
    <s v="Ranjeet Mandal"/>
    <s v="19/05/2022"/>
    <s v="Shipped"/>
    <s v="Wireless Mouse"/>
    <s v="Mouse"/>
    <x v="0"/>
    <n v="600"/>
    <n v="780"/>
    <n v="2"/>
    <n v="1200"/>
    <n v="1560"/>
    <s v="Ajay Sharma"/>
    <n v="1690"/>
  </r>
  <r>
    <s v="143850"/>
    <x v="23"/>
    <s v="Ashwini Adsare"/>
    <s v="19/05/2022"/>
    <s v="Order"/>
    <s v="21&quot; LCD Display"/>
    <s v="Monitor"/>
    <x v="6"/>
    <n v="10500"/>
    <n v="13650"/>
    <n v="4"/>
    <n v="42000"/>
    <n v="54600"/>
    <s v="Ajay Sharma"/>
    <n v="9750"/>
  </r>
  <r>
    <s v="143851"/>
    <x v="1"/>
    <s v="Rajesh Variya"/>
    <s v="19/05/2022"/>
    <s v="Processing"/>
    <s v="133 TB HDD"/>
    <s v="HDD"/>
    <x v="10"/>
    <n v="6500"/>
    <n v="8450"/>
    <n v="1"/>
    <n v="6500"/>
    <n v="8450"/>
    <s v="Roshan Kumar"/>
    <n v="39000"/>
  </r>
  <r>
    <s v="143852"/>
    <x v="2"/>
    <s v="Amit Singh"/>
    <s v="19/05/2022"/>
    <s v="Delivered"/>
    <s v="388 GB SSD"/>
    <s v="SSD"/>
    <x v="0"/>
    <n v="4500"/>
    <n v="5850"/>
    <n v="4"/>
    <n v="18000"/>
    <n v="23400"/>
    <s v="Aarvi Gupta"/>
    <n v="8450"/>
  </r>
  <r>
    <s v="143853"/>
    <x v="3"/>
    <s v="Vinod Mehta"/>
    <s v="19/05/2022"/>
    <s v="Shipped"/>
    <s v="Intel i3 11th gen."/>
    <s v="CPU"/>
    <x v="1"/>
    <n v="8500"/>
    <n v="11050"/>
    <n v="3"/>
    <n v="25500"/>
    <n v="33150"/>
    <s v="Vijay Singh"/>
    <n v="33150"/>
  </r>
  <r>
    <s v="143854"/>
    <x v="24"/>
    <s v="Jignesh Mhatre"/>
    <s v="19/05/2022"/>
    <s v="Order"/>
    <s v="4GB Graphic card"/>
    <s v="Graphic Card"/>
    <x v="2"/>
    <n v="12500"/>
    <n v="16250"/>
    <n v="2"/>
    <n v="25000"/>
    <n v="32500"/>
    <s v="Aadil Khan"/>
    <n v="18200"/>
  </r>
  <r>
    <s v="143855"/>
    <x v="25"/>
    <s v="Rahul Kashyap"/>
    <s v="19/05/2022"/>
    <s v="Processing"/>
    <s v="140 GB DDR4 RAM"/>
    <s v="RAM"/>
    <x v="3"/>
    <n v="3500"/>
    <n v="4550"/>
    <n v="1"/>
    <n v="3500"/>
    <n v="4550"/>
    <s v="Advika Joshi"/>
    <n v="25545"/>
  </r>
  <r>
    <s v="143856"/>
    <x v="33"/>
    <s v="Mohammed Abdul Kaleem"/>
    <s v="19/05/2022"/>
    <s v="Delivered"/>
    <s v="BTX motherboard"/>
    <s v="MotherBoard"/>
    <x v="4"/>
    <n v="4500"/>
    <n v="5850"/>
    <n v="1"/>
    <n v="4500"/>
    <n v="5850"/>
    <s v="Ajay Sharma"/>
    <n v="39780"/>
  </r>
  <r>
    <s v="143857"/>
    <x v="34"/>
    <s v="Chandrakant Kasbe"/>
    <s v="19/05/2022"/>
    <s v="Shipped"/>
    <s v="135 Fans Cabinet"/>
    <s v="Cabinet"/>
    <x v="5"/>
    <n v="2100"/>
    <n v="2730"/>
    <n v="1"/>
    <n v="2100"/>
    <n v="2730"/>
    <s v="Roshan Kumar"/>
    <n v="2990"/>
  </r>
  <r>
    <s v="143858"/>
    <x v="4"/>
    <s v="Rohan Kale"/>
    <s v="20/05/2022"/>
    <s v="Order"/>
    <s v="Wireless Keyboard"/>
    <s v="Keyboard"/>
    <x v="6"/>
    <n v="1150"/>
    <n v="1495"/>
    <n v="4"/>
    <n v="4600"/>
    <n v="5980"/>
    <s v="Aarvi Gupta"/>
    <n v="3315"/>
  </r>
  <r>
    <s v="143859"/>
    <x v="5"/>
    <s v="Aniruddha Kekapure"/>
    <s v="21/05/2022"/>
    <s v="Processing"/>
    <s v="USB Mouse"/>
    <s v="Mouse"/>
    <x v="0"/>
    <n v="350"/>
    <n v="455"/>
    <n v="3"/>
    <n v="1050"/>
    <n v="1365"/>
    <s v="Vijay Singh"/>
    <n v="1690"/>
  </r>
  <r>
    <s v="143860"/>
    <x v="6"/>
    <s v="Aslam Raza"/>
    <s v="22/05/2022"/>
    <s v="Delivered"/>
    <s v="19&quot; LED Display"/>
    <s v="Monitor"/>
    <x v="6"/>
    <n v="9500"/>
    <n v="12350"/>
    <n v="3"/>
    <n v="28500"/>
    <n v="37050"/>
    <s v="Aadil Khan"/>
    <n v="9750"/>
  </r>
  <r>
    <s v="143861"/>
    <x v="7"/>
    <s v="Roshan Zameer"/>
    <s v="23/05/2022"/>
    <s v="Shipped"/>
    <s v="134 TB HDD"/>
    <s v="HDD"/>
    <x v="10"/>
    <n v="10000"/>
    <n v="13000"/>
    <n v="1"/>
    <n v="10000"/>
    <n v="13000"/>
    <s v="Advika Joshi"/>
    <n v="39000"/>
  </r>
  <r>
    <s v="143862"/>
    <x v="26"/>
    <s v="Rakesh Kumar Sharma"/>
    <s v="24/05/2022"/>
    <s v="Order"/>
    <s v="644 GB M.2"/>
    <s v="SSD"/>
    <x v="0"/>
    <n v="6500"/>
    <n v="8450"/>
    <n v="1"/>
    <n v="6500"/>
    <n v="8450"/>
    <s v="Ajay Sharma"/>
    <n v="8450"/>
  </r>
  <r>
    <s v="143863"/>
    <x v="27"/>
    <s v="Shivanand Sahani"/>
    <s v="24/05/2022"/>
    <s v="Processing"/>
    <s v="RYZEN 3rd gen. 3632"/>
    <s v="CPU"/>
    <x v="1"/>
    <n v="8500"/>
    <n v="11050"/>
    <n v="2"/>
    <n v="17000"/>
    <n v="22100"/>
    <s v="Roshan Kumar"/>
    <n v="33150"/>
  </r>
  <r>
    <s v="143864"/>
    <x v="8"/>
    <s v="Kunal Patra"/>
    <s v="24/05/2022"/>
    <s v="Delivered"/>
    <s v="2GB Graphic Card"/>
    <s v="Graphic Card"/>
    <x v="2"/>
    <n v="7000"/>
    <n v="9100"/>
    <n v="4"/>
    <n v="28000"/>
    <n v="36400"/>
    <s v="Aarvi Gupta"/>
    <n v="18200"/>
  </r>
  <r>
    <s v="143865"/>
    <x v="9"/>
    <s v="Bijendra"/>
    <s v="24/05/2022"/>
    <s v="Shipped"/>
    <s v="148 GB DDR4 RAM"/>
    <s v="RAM"/>
    <x v="3"/>
    <n v="6550"/>
    <n v="8515"/>
    <n v="4"/>
    <n v="26200"/>
    <n v="34060"/>
    <s v="Vijay Singh"/>
    <n v="25545"/>
  </r>
  <r>
    <s v="143866"/>
    <x v="10"/>
    <s v="Kranti Bheke"/>
    <s v="24/05/2022"/>
    <s v="Order"/>
    <s v="Standard ATX motherboard"/>
    <s v="MotherBoard"/>
    <x v="4"/>
    <n v="7650"/>
    <n v="9945"/>
    <n v="4"/>
    <n v="30600"/>
    <n v="39780"/>
    <s v="Aadil Khan"/>
    <n v="39780"/>
  </r>
  <r>
    <s v="143867"/>
    <x v="11"/>
    <s v="Jagdeep"/>
    <s v="24/05/2022"/>
    <s v="Processing"/>
    <s v="Compact with 1 Fan"/>
    <s v="Cabinet"/>
    <x v="5"/>
    <n v="1150"/>
    <n v="1495"/>
    <n v="2"/>
    <n v="2300"/>
    <n v="2990"/>
    <s v="Advika Joshi"/>
    <n v="2990"/>
  </r>
  <r>
    <s v="143868"/>
    <x v="12"/>
    <s v="Adhir Samal"/>
    <s v="24/05/2022"/>
    <s v="Delivered"/>
    <s v="USB Backlight Keyboard"/>
    <s v="Keyboard"/>
    <x v="6"/>
    <n v="850"/>
    <n v="1105"/>
    <n v="1"/>
    <n v="850"/>
    <n v="1105"/>
    <s v="Ajay Sharma"/>
    <n v="3315"/>
  </r>
  <r>
    <s v="143869"/>
    <x v="13"/>
    <s v="Dannana Jhammi"/>
    <s v="24/05/2022"/>
    <s v="Shipped"/>
    <s v="Ergonomic Mouse"/>
    <s v="Mouse"/>
    <x v="0"/>
    <n v="650"/>
    <n v="845"/>
    <n v="3"/>
    <n v="1950"/>
    <n v="2535"/>
    <s v="Roshan Kumar"/>
    <n v="1690"/>
  </r>
  <r>
    <s v="143870"/>
    <x v="14"/>
    <s v="Vipin Kumar"/>
    <s v="24/05/2022"/>
    <s v="Order"/>
    <s v="15&quot; LCD Dsipaly"/>
    <s v="Monitor"/>
    <x v="6"/>
    <n v="7500"/>
    <n v="9750"/>
    <n v="2"/>
    <n v="15000"/>
    <n v="19500"/>
    <s v="Aarvi Gupta"/>
    <n v="9750"/>
  </r>
  <r>
    <s v="143871"/>
    <x v="15"/>
    <s v="Ranjeet Kumar"/>
    <s v="24/05/2022"/>
    <s v="Processing"/>
    <s v="134 TB HDD"/>
    <s v="HDD"/>
    <x v="7"/>
    <n v="10000"/>
    <n v="13000"/>
    <n v="3"/>
    <n v="30000"/>
    <n v="39000"/>
    <s v="Vijay Singh"/>
    <n v="39000"/>
  </r>
  <r>
    <s v="143872"/>
    <x v="16"/>
    <s v="Sajal Singhal"/>
    <s v="24/05/2022"/>
    <s v="Delivered"/>
    <s v="133 TB SSD"/>
    <s v="SSD"/>
    <x v="0"/>
    <n v="10500"/>
    <n v="13650"/>
    <n v="3"/>
    <n v="31500"/>
    <n v="40950"/>
    <s v="Aadil Khan"/>
    <n v="8450"/>
  </r>
  <r>
    <s v="143873"/>
    <x v="17"/>
    <s v="Akhilesh Kumar"/>
    <s v="24/05/2022"/>
    <s v="Shipped"/>
    <s v="Intel i5 12th gen."/>
    <s v="CPU"/>
    <x v="1"/>
    <n v="8500"/>
    <n v="11050"/>
    <n v="3"/>
    <n v="25500"/>
    <n v="33150"/>
    <s v="Advika Joshi"/>
    <n v="33150"/>
  </r>
  <r>
    <s v="143874"/>
    <x v="18"/>
    <s v="Suvankar Chakraborty"/>
    <s v="24/05/2022"/>
    <s v="Order"/>
    <s v="2GB Graphic Card"/>
    <s v="Graphic Card"/>
    <x v="2"/>
    <n v="7000"/>
    <n v="9100"/>
    <n v="2"/>
    <n v="14000"/>
    <n v="18200"/>
    <s v="Ajay Sharma"/>
    <n v="18200"/>
  </r>
  <r>
    <s v="143875"/>
    <x v="19"/>
    <s v="Suvankar Adhikary"/>
    <s v="24/05/2022"/>
    <s v="Processing"/>
    <s v="136 GB DDR4 Ram"/>
    <s v="RAM"/>
    <x v="3"/>
    <n v="1680"/>
    <n v="2184"/>
    <n v="3"/>
    <n v="5040"/>
    <n v="6552"/>
    <s v="Ajay Sharma"/>
    <n v="25545"/>
  </r>
  <r>
    <s v="143876"/>
    <x v="20"/>
    <s v="Rahul Kumar Prajapati"/>
    <s v="25/05/2022"/>
    <s v="Delivered"/>
    <s v="Micro ATX motherboard"/>
    <s v="MotherBoard"/>
    <x v="8"/>
    <n v="6540"/>
    <n v="8502"/>
    <n v="4"/>
    <n v="26160"/>
    <n v="34008"/>
    <s v="Roshan Kumar"/>
    <n v="39780"/>
  </r>
  <r>
    <s v="143877"/>
    <x v="16"/>
    <s v="Sagar Jeur"/>
    <s v="26/05/2022"/>
    <s v="Shipped"/>
    <s v="Gaming Box Cabinet"/>
    <s v="Cabinet"/>
    <x v="5"/>
    <n v="2680"/>
    <n v="3484"/>
    <n v="2"/>
    <n v="5360"/>
    <n v="6968"/>
    <s v="Aarvi Gupta"/>
    <n v="2990"/>
  </r>
  <r>
    <s v="143878"/>
    <x v="17"/>
    <s v="Rhushikesh Mane"/>
    <s v="27/05/2022"/>
    <s v="Order"/>
    <s v="17&quot; LCD Display"/>
    <s v="Monitor"/>
    <x v="0"/>
    <n v="8250"/>
    <n v="10725"/>
    <n v="1"/>
    <n v="8250"/>
    <n v="10725"/>
    <s v="Vijay Singh"/>
    <n v="9750"/>
  </r>
  <r>
    <s v="143879"/>
    <x v="27"/>
    <s v="Ashish Kumar"/>
    <s v="27/05/2022"/>
    <s v="Processing"/>
    <s v="140 GB DDR4 RAM"/>
    <s v="RAM"/>
    <x v="0"/>
    <n v="2650"/>
    <n v="3445"/>
    <n v="3"/>
    <n v="7950"/>
    <n v="10335"/>
    <s v="Aadil Khan"/>
    <n v="25545"/>
  </r>
  <r>
    <s v="143880"/>
    <x v="22"/>
    <s v="Javed Akhter"/>
    <s v="27/05/2022"/>
    <s v="Delivered"/>
    <s v="26&quot; LCD Display"/>
    <s v="Monitor"/>
    <x v="9"/>
    <n v="12550"/>
    <n v="16315"/>
    <n v="4"/>
    <n v="50200"/>
    <n v="65260"/>
    <s v="Advika Joshi"/>
    <n v="9750"/>
  </r>
  <r>
    <s v="143881"/>
    <x v="28"/>
    <s v="Haridas Balraj"/>
    <s v="27/05/2022"/>
    <s v="Shipped"/>
    <s v="I7 - intel 12th Generation"/>
    <s v="CPU"/>
    <x v="1"/>
    <n v="14500"/>
    <n v="18850"/>
    <n v="2"/>
    <n v="29000"/>
    <n v="37700"/>
    <s v="Ajay Sharma"/>
    <n v="33150"/>
  </r>
  <r>
    <s v="143882"/>
    <x v="29"/>
    <s v="Kundan Kumar"/>
    <s v="27/05/2022"/>
    <s v="Order"/>
    <s v="USB Keyboard"/>
    <s v="Keyboard"/>
    <x v="6"/>
    <n v="800"/>
    <n v="1040"/>
    <n v="1"/>
    <n v="800"/>
    <n v="1040"/>
    <s v="Roshan Kumar"/>
    <n v="3315"/>
  </r>
  <r>
    <s v="143883"/>
    <x v="30"/>
    <s v="Atif Siddiqui"/>
    <s v="27/05/2022"/>
    <s v="Processing"/>
    <s v="Wireless Mouse"/>
    <s v="Mouse"/>
    <x v="0"/>
    <n v="600"/>
    <n v="780"/>
    <n v="2"/>
    <n v="1200"/>
    <n v="1560"/>
    <s v="Aarvi Gupta"/>
    <n v="1690"/>
  </r>
  <r>
    <s v="143884"/>
    <x v="31"/>
    <s v="Aditya Agarwal"/>
    <s v="27/05/2022"/>
    <s v="Delivered"/>
    <s v="21&quot; LCD Display"/>
    <s v="Monitor"/>
    <x v="6"/>
    <n v="10500"/>
    <n v="13650"/>
    <n v="3"/>
    <n v="31500"/>
    <n v="40950"/>
    <s v="Vijay Singh"/>
    <n v="9750"/>
  </r>
  <r>
    <s v="143885"/>
    <x v="32"/>
    <s v="Firdoush Jabee"/>
    <s v="27/05/2022"/>
    <s v="Shipped"/>
    <s v="134 TB HDD"/>
    <s v="HDD"/>
    <x v="10"/>
    <n v="6500"/>
    <n v="8450"/>
    <n v="2"/>
    <n v="13000"/>
    <n v="16900"/>
    <s v="Aadil Khan"/>
    <n v="39000"/>
  </r>
  <r>
    <s v="143886"/>
    <x v="0"/>
    <s v="Jay Prakash Kumar"/>
    <s v="27/05/2022"/>
    <s v="Order"/>
    <s v="389 GB SSD"/>
    <s v="SSD"/>
    <x v="0"/>
    <n v="4500"/>
    <n v="5850"/>
    <n v="2"/>
    <n v="9000"/>
    <n v="11700"/>
    <s v="Advika Joshi"/>
    <n v="8450"/>
  </r>
  <r>
    <s v="143887"/>
    <x v="23"/>
    <s v="Ashish Pandey"/>
    <s v="27/05/2022"/>
    <s v="Processing"/>
    <s v="Intel i3 11th gen."/>
    <s v="CPU"/>
    <x v="1"/>
    <n v="8500"/>
    <n v="11050"/>
    <n v="3"/>
    <n v="25500"/>
    <n v="33150"/>
    <s v="Ajay Sharma"/>
    <n v="33150"/>
  </r>
  <r>
    <s v="143888"/>
    <x v="1"/>
    <s v="Ajay Sharma"/>
    <s v="28/05/2022"/>
    <s v="Delivered"/>
    <s v="4GB Graphic card"/>
    <s v="Graphic Card"/>
    <x v="2"/>
    <n v="12500"/>
    <n v="16250"/>
    <n v="2"/>
    <n v="25000"/>
    <n v="32500"/>
    <s v="Roshan Kumar"/>
    <n v="18200"/>
  </r>
  <r>
    <s v="143889"/>
    <x v="2"/>
    <s v="Moinuddin Saifi"/>
    <s v="29/05/2022"/>
    <s v="Shipped"/>
    <s v="141 GB DDR4 RAM"/>
    <s v="Computer Case"/>
    <x v="3"/>
    <n v="3500"/>
    <n v="4550"/>
    <n v="3"/>
    <n v="10500"/>
    <n v="13650"/>
    <s v="Aarvi Gupta"/>
    <n v="13650"/>
  </r>
  <r>
    <s v="143890"/>
    <x v="3"/>
    <s v="Ramkrishna Das Adhikary"/>
    <s v="30/05/2022"/>
    <s v="Order"/>
    <s v="BTX motherboard"/>
    <s v="Mouse"/>
    <x v="4"/>
    <n v="4500"/>
    <n v="5850"/>
    <n v="2"/>
    <n v="9000"/>
    <n v="11700"/>
    <s v="Vijay Singh"/>
    <n v="1690"/>
  </r>
  <r>
    <s v="143891"/>
    <x v="24"/>
    <s v="Ranjeet Mandal"/>
    <s v="31/05/2022"/>
    <s v="Processing"/>
    <s v="136 Fans Cabinet"/>
    <s v="Cabinet"/>
    <x v="5"/>
    <n v="2100"/>
    <n v="2730"/>
    <n v="2"/>
    <n v="4200"/>
    <n v="5460"/>
    <s v="Aadil Khan"/>
    <n v="2990"/>
  </r>
  <r>
    <s v="143892"/>
    <x v="25"/>
    <s v="Ashwini Adsare"/>
    <s v="01/06/2022"/>
    <s v="Delivered"/>
    <s v="Wireless Keyboard"/>
    <s v="Keyboard"/>
    <x v="6"/>
    <n v="1150"/>
    <n v="1495"/>
    <n v="1"/>
    <n v="1150"/>
    <n v="1495"/>
    <s v="Advika Joshi"/>
    <n v="3315"/>
  </r>
  <r>
    <s v="143893"/>
    <x v="33"/>
    <s v="Rajesh Variya"/>
    <s v="02/06/2022"/>
    <s v="Shipped"/>
    <s v="USB Mouse"/>
    <s v="Mouse"/>
    <x v="0"/>
    <n v="350"/>
    <n v="455"/>
    <n v="3"/>
    <n v="1050"/>
    <n v="1365"/>
    <s v="Ajay Sharma"/>
    <n v="1690"/>
  </r>
  <r>
    <s v="143894"/>
    <x v="34"/>
    <s v="Amit Singh"/>
    <s v="03/06/2022"/>
    <s v="Order"/>
    <s v="19&quot; LED Display"/>
    <s v="Monitor"/>
    <x v="6"/>
    <n v="9500"/>
    <n v="12350"/>
    <n v="2"/>
    <n v="19000"/>
    <n v="24700"/>
    <s v="Roshan Kumar"/>
    <n v="9750"/>
  </r>
  <r>
    <s v="143895"/>
    <x v="4"/>
    <s v="Vinod Mehta"/>
    <s v="04/06/2022"/>
    <s v="Processing"/>
    <s v="135 TB HDD"/>
    <s v="HDD"/>
    <x v="10"/>
    <n v="10000"/>
    <n v="13000"/>
    <n v="4"/>
    <n v="40000"/>
    <n v="52000"/>
    <s v="Aarvi Gupta"/>
    <n v="39000"/>
  </r>
  <r>
    <s v="143896"/>
    <x v="5"/>
    <s v="Jignesh Mhatre"/>
    <s v="05/06/2022"/>
    <s v="Delivered"/>
    <s v="645 GB M.2"/>
    <s v="SSD"/>
    <x v="0"/>
    <n v="6500"/>
    <n v="8450"/>
    <n v="1"/>
    <n v="6500"/>
    <n v="8450"/>
    <s v="Vijay Singh"/>
    <n v="8450"/>
  </r>
  <r>
    <s v="143897"/>
    <x v="6"/>
    <s v="Rahul Kashyap"/>
    <s v="06/06/2022"/>
    <s v="Shipped"/>
    <s v="RYZEN 3rd gen. 3633"/>
    <s v="CPU"/>
    <x v="1"/>
    <n v="8500"/>
    <n v="11050"/>
    <n v="1"/>
    <n v="8500"/>
    <n v="11050"/>
    <s v="Aadil Khan"/>
    <n v="33150"/>
  </r>
  <r>
    <s v="143898"/>
    <x v="7"/>
    <s v="Mohammed Abdul Kaleem"/>
    <s v="07/06/2022"/>
    <s v="Order"/>
    <s v="2GB Graphic Card"/>
    <s v="Graphic Card"/>
    <x v="2"/>
    <n v="7000"/>
    <n v="9100"/>
    <n v="3"/>
    <n v="21000"/>
    <n v="27300"/>
    <s v="Advika Joshi"/>
    <n v="18200"/>
  </r>
  <r>
    <s v="143899"/>
    <x v="26"/>
    <s v="Chandrakant Kasbe"/>
    <s v="08/06/2022"/>
    <s v="Processing"/>
    <s v="149 GB DDR4 RAM"/>
    <s v="Computer Case"/>
    <x v="3"/>
    <n v="6550"/>
    <n v="8515"/>
    <n v="2"/>
    <n v="13100"/>
    <n v="17030"/>
    <s v="Ajay Sharma"/>
    <n v="13650"/>
  </r>
  <r>
    <s v="143900"/>
    <x v="27"/>
    <s v="Rohan Kale"/>
    <s v="09/06/2022"/>
    <s v="Delivered"/>
    <s v="Standard ATX motherboard"/>
    <s v="Mouse"/>
    <x v="4"/>
    <n v="7650"/>
    <n v="9945"/>
    <n v="3"/>
    <n v="22950"/>
    <n v="29835"/>
    <s v="Roshan Kumar"/>
    <n v="1690"/>
  </r>
  <r>
    <s v="143901"/>
    <x v="8"/>
    <s v="Aniruddha Kekapure"/>
    <s v="10/06/2022"/>
    <s v="Shipped"/>
    <s v="Compact with 1 Fan"/>
    <s v="Cabinet"/>
    <x v="5"/>
    <n v="1150"/>
    <n v="1495"/>
    <n v="1"/>
    <n v="1150"/>
    <n v="1495"/>
    <s v="Aarvi Gupta"/>
    <n v="2990"/>
  </r>
  <r>
    <s v="143902"/>
    <x v="9"/>
    <s v="Aslam Raza"/>
    <s v="11/06/2022"/>
    <s v="Order"/>
    <s v="USB Backlight Keyboard"/>
    <s v="Keyboard"/>
    <x v="6"/>
    <n v="850"/>
    <n v="1105"/>
    <n v="2"/>
    <n v="1700"/>
    <n v="2210"/>
    <s v="Vijay Singh"/>
    <n v="3315"/>
  </r>
  <r>
    <s v="143903"/>
    <x v="10"/>
    <s v="Roshan Zameer"/>
    <s v="12/06/2022"/>
    <s v="Processing"/>
    <s v="Ergonomic Mouse"/>
    <s v="Mouse"/>
    <x v="0"/>
    <n v="650"/>
    <n v="845"/>
    <n v="4"/>
    <n v="2600"/>
    <n v="3380"/>
    <s v="Aadil Khan"/>
    <n v="1690"/>
  </r>
  <r>
    <s v="143904"/>
    <x v="11"/>
    <s v="Rakesh Kumar Sharma"/>
    <s v="13/06/2022"/>
    <s v="Delivered"/>
    <s v="15&quot; LCD Dsipaly"/>
    <s v="Monitor"/>
    <x v="6"/>
    <n v="7500"/>
    <n v="9750"/>
    <n v="2"/>
    <n v="15000"/>
    <n v="19500"/>
    <s v="Advika Joshi"/>
    <n v="9750"/>
  </r>
  <r>
    <s v="143905"/>
    <x v="12"/>
    <s v="Shivanand Sahani"/>
    <s v="14/06/2022"/>
    <s v="Shipped"/>
    <s v="135 TB HDD"/>
    <s v="HDD"/>
    <x v="7"/>
    <n v="10000"/>
    <n v="13000"/>
    <n v="1"/>
    <n v="10000"/>
    <n v="13000"/>
    <s v="Ajay Sharma"/>
    <n v="39000"/>
  </r>
  <r>
    <s v="143906"/>
    <x v="13"/>
    <s v="Kunal Patra"/>
    <s v="15/06/2022"/>
    <s v="Order"/>
    <s v="134 TB SSD"/>
    <s v="SSD"/>
    <x v="0"/>
    <n v="10500"/>
    <n v="13650"/>
    <n v="1"/>
    <n v="10500"/>
    <n v="13650"/>
    <s v="Roshan Kumar"/>
    <n v="8450"/>
  </r>
  <r>
    <s v="143907"/>
    <x v="14"/>
    <s v="Bijendra"/>
    <s v="16/06/2022"/>
    <s v="Processing"/>
    <s v="Intel i5 12th gen."/>
    <s v="CPU"/>
    <x v="1"/>
    <n v="8500"/>
    <n v="11050"/>
    <n v="1"/>
    <n v="8500"/>
    <n v="11050"/>
    <s v="Aarvi Gupta"/>
    <n v="33150"/>
  </r>
  <r>
    <s v="143908"/>
    <x v="15"/>
    <s v="Kranti Bheke"/>
    <s v="17/06/2022"/>
    <s v="Delivered"/>
    <s v="2GB Graphic Card"/>
    <s v="Graphic Card"/>
    <x v="2"/>
    <n v="7000"/>
    <n v="9100"/>
    <n v="2"/>
    <n v="14000"/>
    <n v="18200"/>
    <s v="Vijay Singh"/>
    <n v="18200"/>
  </r>
  <r>
    <s v="143909"/>
    <x v="16"/>
    <s v="Jagdeep"/>
    <s v="18/06/2022"/>
    <s v="Shipped"/>
    <s v="137 GB DDR4 Ram"/>
    <s v="Computer Case"/>
    <x v="3"/>
    <n v="1680"/>
    <n v="2184"/>
    <n v="1"/>
    <n v="1680"/>
    <n v="2184"/>
    <s v="Aadil Khan"/>
    <n v="13650"/>
  </r>
  <r>
    <s v="143910"/>
    <x v="17"/>
    <s v="Adhir Samal"/>
    <s v="19/06/2022"/>
    <s v="Order"/>
    <s v="Micro ATX motherboard"/>
    <s v="Mouse"/>
    <x v="8"/>
    <n v="6540"/>
    <n v="8502"/>
    <n v="1"/>
    <n v="6540"/>
    <n v="8502"/>
    <s v="Advika Joshi"/>
    <n v="1690"/>
  </r>
  <r>
    <s v="143911"/>
    <x v="18"/>
    <s v="Dannana Jhammi"/>
    <s v="20/06/2022"/>
    <s v="Processing"/>
    <s v="Gaming Box Cabinet"/>
    <s v="Cabinet"/>
    <x v="5"/>
    <n v="2680"/>
    <n v="3484"/>
    <n v="1"/>
    <n v="2680"/>
    <n v="3484"/>
    <s v="Ajay Sharma"/>
    <n v="2990"/>
  </r>
  <r>
    <s v="143912"/>
    <x v="19"/>
    <s v="Vipin Kumar"/>
    <s v="20/06/2022"/>
    <s v="Delivered"/>
    <s v="17&quot; LCD Display"/>
    <s v="Monitor"/>
    <x v="0"/>
    <n v="8250"/>
    <n v="10725"/>
    <n v="1"/>
    <n v="8250"/>
    <n v="10725"/>
    <s v="Roshan Kumar"/>
    <n v="9750"/>
  </r>
  <r>
    <s v="143913"/>
    <x v="20"/>
    <s v="Ranjeet Kumar"/>
    <s v="20/06/2022"/>
    <s v="Shipped"/>
    <s v="141 GB DDR4 RAM"/>
    <s v="RAM"/>
    <x v="0"/>
    <n v="2650"/>
    <n v="3445"/>
    <n v="2"/>
    <n v="5300"/>
    <n v="6890"/>
    <s v="Aarvi Gupta"/>
    <n v="25545"/>
  </r>
  <r>
    <s v="143914"/>
    <x v="16"/>
    <s v="Sajal Singhal"/>
    <s v="20/06/2022"/>
    <s v="Order"/>
    <s v="26&quot; LCD Display"/>
    <s v="Monitor"/>
    <x v="9"/>
    <n v="12550"/>
    <n v="16315"/>
    <n v="4"/>
    <n v="50200"/>
    <n v="65260"/>
    <s v="Vijay Singh"/>
    <n v="9750"/>
  </r>
  <r>
    <s v="143915"/>
    <x v="17"/>
    <s v="Akhilesh Kumar"/>
    <s v="20/06/2022"/>
    <s v="Processing"/>
    <s v="I7 - intel 12th Generation"/>
    <s v="CPU"/>
    <x v="1"/>
    <n v="14500"/>
    <n v="18850"/>
    <n v="4"/>
    <n v="58000"/>
    <n v="75400"/>
    <s v="Aadil Khan"/>
    <n v="33150"/>
  </r>
  <r>
    <s v="143916"/>
    <x v="27"/>
    <s v="Suvankar Chakraborty"/>
    <s v="20/06/2022"/>
    <s v="Delivered"/>
    <s v="USB Keyboard"/>
    <s v="Keyboard"/>
    <x v="6"/>
    <n v="800"/>
    <n v="1040"/>
    <n v="1"/>
    <n v="800"/>
    <n v="1040"/>
    <s v="Advika Joshi"/>
    <n v="3315"/>
  </r>
  <r>
    <s v="143917"/>
    <x v="22"/>
    <s v="Suvankar Adhikary"/>
    <s v="20/06/2022"/>
    <s v="Shipped"/>
    <s v="Wireless Mouse"/>
    <s v="Mouse"/>
    <x v="0"/>
    <n v="600"/>
    <n v="780"/>
    <n v="1"/>
    <n v="600"/>
    <n v="780"/>
    <s v="Ajay Sharma"/>
    <n v="1690"/>
  </r>
  <r>
    <s v="143918"/>
    <x v="28"/>
    <s v="Rahul Kumar Prajapati"/>
    <s v="21/06/2022"/>
    <s v="Order"/>
    <s v="21&quot; LCD Display"/>
    <s v="Monitor"/>
    <x v="6"/>
    <n v="10500"/>
    <n v="13650"/>
    <n v="2"/>
    <n v="21000"/>
    <n v="27300"/>
    <s v="Roshan Kumar"/>
    <n v="9750"/>
  </r>
  <r>
    <s v="143919"/>
    <x v="29"/>
    <s v="Sagar Jeur"/>
    <s v="22/06/2022"/>
    <s v="Processing"/>
    <s v="135 TB HDD"/>
    <s v="HDD"/>
    <x v="10"/>
    <n v="6500"/>
    <n v="8450"/>
    <n v="4"/>
    <n v="26000"/>
    <n v="33800"/>
    <s v="Aarvi Gupta"/>
    <n v="39000"/>
  </r>
  <r>
    <s v="143920"/>
    <x v="30"/>
    <s v="Rhushikesh Mane"/>
    <s v="23/06/2022"/>
    <s v="Delivered"/>
    <s v="390 GB SSD"/>
    <s v="SSD"/>
    <x v="0"/>
    <n v="4500"/>
    <n v="5850"/>
    <n v="4"/>
    <n v="18000"/>
    <n v="23400"/>
    <s v="Vijay Singh"/>
    <n v="8450"/>
  </r>
  <r>
    <s v="143921"/>
    <x v="31"/>
    <s v="Ashish Kumar"/>
    <s v="24/06/2022"/>
    <s v="Shipped"/>
    <s v="Intel i3 11th gen."/>
    <s v="CPU"/>
    <x v="1"/>
    <n v="8500"/>
    <n v="11050"/>
    <n v="2"/>
    <n v="17000"/>
    <n v="22100"/>
    <s v="Aadil Khan"/>
    <n v="33150"/>
  </r>
  <r>
    <s v="143922"/>
    <x v="32"/>
    <s v="Javed Akhter"/>
    <s v="25/06/2022"/>
    <s v="Order"/>
    <s v="4GB Graphic card"/>
    <s v="Graphic Card"/>
    <x v="2"/>
    <n v="12500"/>
    <n v="16250"/>
    <n v="1"/>
    <n v="12500"/>
    <n v="16250"/>
    <s v="Advika Joshi"/>
    <n v="18200"/>
  </r>
  <r>
    <s v="143923"/>
    <x v="0"/>
    <s v="Haridas Balraj"/>
    <s v="26/06/2022"/>
    <s v="Processing"/>
    <s v="142 GB DDR4 RAM"/>
    <s v="NIC"/>
    <x v="3"/>
    <n v="3500"/>
    <n v="4550"/>
    <n v="1"/>
    <n v="3500"/>
    <n v="4550"/>
    <s v="Ajay Sharma"/>
    <n v="9100"/>
  </r>
  <r>
    <s v="143924"/>
    <x v="23"/>
    <s v="Kundan Kumar"/>
    <s v="26/06/2022"/>
    <s v="Delivered"/>
    <s v="BTX motherboard"/>
    <s v="Printer"/>
    <x v="4"/>
    <n v="4500"/>
    <n v="5850"/>
    <n v="2"/>
    <n v="9000"/>
    <n v="11700"/>
    <s v="Roshan Kumar"/>
    <n v="11700"/>
  </r>
  <r>
    <s v="143925"/>
    <x v="1"/>
    <s v="Atif Siddiqui"/>
    <s v="26/06/2022"/>
    <s v="Shipped"/>
    <s v="137 Fans Cabinet"/>
    <s v="Cabinet"/>
    <x v="5"/>
    <n v="2100"/>
    <n v="2730"/>
    <n v="2"/>
    <n v="4200"/>
    <n v="5460"/>
    <s v="Aarvi Gupta"/>
    <n v="2990"/>
  </r>
  <r>
    <s v="143926"/>
    <x v="2"/>
    <s v="Aditya Agarwal"/>
    <s v="26/06/2022"/>
    <s v="Order"/>
    <s v="Wireless Keyboard"/>
    <s v="Keyboard"/>
    <x v="6"/>
    <n v="1150"/>
    <n v="1495"/>
    <n v="4"/>
    <n v="4600"/>
    <n v="5980"/>
    <s v="Vijay Singh"/>
    <n v="3315"/>
  </r>
  <r>
    <s v="143927"/>
    <x v="3"/>
    <s v="Firdoush Jabee"/>
    <s v="26/06/2022"/>
    <s v="Processing"/>
    <s v="USB Mouse"/>
    <s v="Mouse"/>
    <x v="0"/>
    <n v="350"/>
    <n v="455"/>
    <n v="1"/>
    <n v="350"/>
    <n v="455"/>
    <s v="Aadil Khan"/>
    <n v="1690"/>
  </r>
  <r>
    <s v="143928"/>
    <x v="24"/>
    <s v="Jay Prakash Kumar"/>
    <s v="26/06/2022"/>
    <s v="Delivered"/>
    <s v="19&quot; LED Display"/>
    <s v="Monitor"/>
    <x v="6"/>
    <n v="9500"/>
    <n v="12350"/>
    <n v="2"/>
    <n v="19000"/>
    <n v="24700"/>
    <s v="Advika Joshi"/>
    <n v="9750"/>
  </r>
  <r>
    <s v="143929"/>
    <x v="25"/>
    <s v="Ashish Pandey"/>
    <s v="26/06/2022"/>
    <s v="Shipped"/>
    <s v="136 TB HDD"/>
    <s v="HDD"/>
    <x v="10"/>
    <n v="10000"/>
    <n v="13000"/>
    <n v="4"/>
    <n v="40000"/>
    <n v="52000"/>
    <s v="Ajay Sharma"/>
    <n v="39000"/>
  </r>
  <r>
    <s v="143930"/>
    <x v="33"/>
    <s v="Ajay Sharma"/>
    <s v="26/06/2022"/>
    <s v="Order"/>
    <s v="646 GB M.2"/>
    <s v="SSD"/>
    <x v="0"/>
    <n v="6500"/>
    <n v="8450"/>
    <n v="1"/>
    <n v="6500"/>
    <n v="8450"/>
    <s v="Roshan Kumar"/>
    <n v="8450"/>
  </r>
  <r>
    <s v="143931"/>
    <x v="34"/>
    <s v="Moinuddin Saifi"/>
    <s v="26/06/2022"/>
    <s v="Processing"/>
    <s v="RYZEN 3rd gen. 3634"/>
    <s v="CPU"/>
    <x v="1"/>
    <n v="8500"/>
    <n v="11050"/>
    <n v="4"/>
    <n v="34000"/>
    <n v="44200"/>
    <s v="Aarvi Gupta"/>
    <n v="33150"/>
  </r>
  <r>
    <s v="143932"/>
    <x v="4"/>
    <s v="Ramkrishna Das Adhikary"/>
    <s v="26/06/2022"/>
    <s v="Delivered"/>
    <s v="2GB Graphic Card"/>
    <s v="Graphic Card"/>
    <x v="2"/>
    <n v="7000"/>
    <n v="9100"/>
    <n v="4"/>
    <n v="28000"/>
    <n v="36400"/>
    <s v="Vijay Singh"/>
    <n v="18200"/>
  </r>
  <r>
    <s v="143933"/>
    <x v="5"/>
    <s v="Ranjeet Mandal"/>
    <s v="26/06/2022"/>
    <s v="Shipped"/>
    <s v="150 GB DDR4 RAM"/>
    <s v="NIC"/>
    <x v="3"/>
    <n v="6550"/>
    <n v="8515"/>
    <n v="4"/>
    <n v="26200"/>
    <n v="34060"/>
    <s v="Aadil Khan"/>
    <n v="9100"/>
  </r>
  <r>
    <s v="143934"/>
    <x v="6"/>
    <s v="Ashwini Adsare"/>
    <s v="26/06/2022"/>
    <s v="Order"/>
    <s v="Standard ATX motherboard"/>
    <s v="Printer"/>
    <x v="4"/>
    <n v="7650"/>
    <n v="9945"/>
    <n v="1"/>
    <n v="7650"/>
    <n v="9945"/>
    <s v="Advika Joshi"/>
    <n v="11700"/>
  </r>
  <r>
    <s v="143935"/>
    <x v="7"/>
    <s v="Rajesh Variya"/>
    <s v="26/06/2022"/>
    <s v="Processing"/>
    <s v="Compact with 1 Fan"/>
    <s v="Cabinet"/>
    <x v="5"/>
    <n v="1150"/>
    <n v="1495"/>
    <n v="1"/>
    <n v="1150"/>
    <n v="1495"/>
    <s v="Ajay Sharma"/>
    <n v="2990"/>
  </r>
  <r>
    <s v="143936"/>
    <x v="26"/>
    <s v="Amit Singh"/>
    <s v="26/06/2022"/>
    <s v="Delivered"/>
    <s v="USB Backlight Keyboard"/>
    <s v="Keyboard"/>
    <x v="6"/>
    <n v="850"/>
    <n v="1105"/>
    <n v="2"/>
    <n v="1700"/>
    <n v="2210"/>
    <s v="Roshan Kumar"/>
    <n v="3315"/>
  </r>
  <r>
    <s v="143937"/>
    <x v="27"/>
    <s v="Vinod Mehta"/>
    <s v="26/06/2022"/>
    <s v="Shipped"/>
    <s v="Ergonomic Mouse"/>
    <s v="Mouse"/>
    <x v="0"/>
    <n v="650"/>
    <n v="845"/>
    <n v="3"/>
    <n v="1950"/>
    <n v="2535"/>
    <s v="Aarvi Gupta"/>
    <n v="1690"/>
  </r>
  <r>
    <s v="143938"/>
    <x v="8"/>
    <s v="Jignesh Mhatre"/>
    <s v="27/06/2022"/>
    <s v="Order"/>
    <s v="15&quot; LCD Dsipaly"/>
    <s v="Monitor"/>
    <x v="6"/>
    <n v="7500"/>
    <n v="9750"/>
    <n v="4"/>
    <n v="30000"/>
    <n v="39000"/>
    <s v="Vijay Singh"/>
    <n v="9750"/>
  </r>
  <r>
    <s v="143939"/>
    <x v="9"/>
    <s v="Rahul Kashyap"/>
    <s v="27/06/2022"/>
    <s v="Processing"/>
    <s v="136 TB HDD"/>
    <s v="HDD"/>
    <x v="7"/>
    <n v="10000"/>
    <n v="13000"/>
    <n v="4"/>
    <n v="40000"/>
    <n v="52000"/>
    <s v="Aadil Khan"/>
    <n v="39000"/>
  </r>
  <r>
    <s v="143940"/>
    <x v="10"/>
    <s v="Mohammed Abdul Kaleem"/>
    <s v="27/06/2022"/>
    <s v="Delivered"/>
    <s v="135 TB SSD"/>
    <s v="SSD"/>
    <x v="0"/>
    <n v="10500"/>
    <n v="13650"/>
    <n v="3"/>
    <n v="31500"/>
    <n v="40950"/>
    <s v="Advika Joshi"/>
    <n v="8450"/>
  </r>
  <r>
    <s v="143941"/>
    <x v="11"/>
    <s v="Chandrakant Kasbe"/>
    <s v="27/06/2022"/>
    <s v="Shipped"/>
    <s v="Intel i5 12th gen."/>
    <s v="CPU"/>
    <x v="1"/>
    <n v="8500"/>
    <n v="11050"/>
    <n v="1"/>
    <n v="8500"/>
    <n v="11050"/>
    <s v="Ajay Sharma"/>
    <n v="33150"/>
  </r>
  <r>
    <s v="143942"/>
    <x v="12"/>
    <s v="Rohan Kale"/>
    <s v="27/06/2022"/>
    <s v="Order"/>
    <s v="2GB Graphic Card"/>
    <s v="Graphic Card"/>
    <x v="2"/>
    <n v="7000"/>
    <n v="9100"/>
    <n v="1"/>
    <n v="7000"/>
    <n v="9100"/>
    <s v="Roshan Kumar"/>
    <n v="18200"/>
  </r>
  <r>
    <s v="143943"/>
    <x v="13"/>
    <s v="Aniruddha Kekapure"/>
    <s v="27/06/2022"/>
    <s v="Processing"/>
    <s v="138 GB DDR4 Ram"/>
    <s v="NIC"/>
    <x v="3"/>
    <n v="1680"/>
    <n v="2184"/>
    <n v="3"/>
    <n v="5040"/>
    <n v="6552"/>
    <s v="Aarvi Gupta"/>
    <n v="9100"/>
  </r>
  <r>
    <s v="143944"/>
    <x v="14"/>
    <s v="Aslam Raza"/>
    <s v="27/06/2022"/>
    <s v="Delivered"/>
    <s v="Micro ATX motherboard"/>
    <s v="Printer"/>
    <x v="8"/>
    <n v="6540"/>
    <n v="8502"/>
    <n v="2"/>
    <n v="13080"/>
    <n v="17004"/>
    <s v="Vijay Singh"/>
    <n v="11700"/>
  </r>
  <r>
    <s v="143945"/>
    <x v="15"/>
    <s v="Roshan Zameer"/>
    <s v="27/06/2022"/>
    <s v="Shipped"/>
    <s v="Gaming Box Cabinet"/>
    <s v="Cabinet"/>
    <x v="5"/>
    <n v="2680"/>
    <n v="3484"/>
    <n v="2"/>
    <n v="5360"/>
    <n v="6968"/>
    <s v="Aadil Khan"/>
    <n v="2990"/>
  </r>
  <r>
    <s v="143946"/>
    <x v="16"/>
    <s v="Rakesh Kumar Sharma"/>
    <s v="27/06/2022"/>
    <s v="Order"/>
    <s v="17&quot; LCD Display"/>
    <s v="Monitor"/>
    <x v="0"/>
    <n v="8250"/>
    <n v="10725"/>
    <n v="4"/>
    <n v="33000"/>
    <n v="42900"/>
    <s v="Advika Joshi"/>
    <n v="9750"/>
  </r>
  <r>
    <s v="143947"/>
    <x v="17"/>
    <s v="Shivanand Sahani"/>
    <s v="27/06/2022"/>
    <s v="Processing"/>
    <s v="142 GB DDR4 RAM"/>
    <s v="RAM"/>
    <x v="0"/>
    <n v="2650"/>
    <n v="3445"/>
    <n v="1"/>
    <n v="2650"/>
    <n v="3445"/>
    <s v="Ajay Sharma"/>
    <n v="25545"/>
  </r>
  <r>
    <s v="143948"/>
    <x v="18"/>
    <s v="Kunal Patra"/>
    <s v="28/06/2022"/>
    <s v="Delivered"/>
    <s v="26&quot; LCD Display"/>
    <s v="Monitor"/>
    <x v="9"/>
    <n v="12550"/>
    <n v="16315"/>
    <n v="3"/>
    <n v="37650"/>
    <n v="48945"/>
    <s v="Roshan Kumar"/>
    <n v="9750"/>
  </r>
  <r>
    <s v="143949"/>
    <x v="19"/>
    <s v="Bijendra"/>
    <s v="29/06/2022"/>
    <s v="Shipped"/>
    <s v="I7 - intel 12th Generation"/>
    <s v="CPU"/>
    <x v="1"/>
    <n v="14500"/>
    <n v="18850"/>
    <n v="4"/>
    <n v="58000"/>
    <n v="75400"/>
    <s v="Aarvi Gupta"/>
    <n v="33150"/>
  </r>
  <r>
    <s v="143950"/>
    <x v="20"/>
    <s v="Kranti Bheke"/>
    <s v="30/06/2022"/>
    <s v="Order"/>
    <s v="USB Keyboard"/>
    <s v="Keyboard"/>
    <x v="6"/>
    <n v="800"/>
    <n v="1040"/>
    <n v="4"/>
    <n v="3200"/>
    <n v="4160"/>
    <s v="Vijay Singh"/>
    <n v="3315"/>
  </r>
  <r>
    <s v="143951"/>
    <x v="16"/>
    <s v="Jagdeep"/>
    <s v="01/07/2022"/>
    <s v="Processing"/>
    <s v="Wireless Mouse"/>
    <s v="Mouse"/>
    <x v="0"/>
    <n v="600"/>
    <n v="780"/>
    <n v="3"/>
    <n v="1800"/>
    <n v="2340"/>
    <s v="Aadil Khan"/>
    <n v="1690"/>
  </r>
  <r>
    <s v="143952"/>
    <x v="17"/>
    <s v="Adhir Samal"/>
    <s v="02/07/2022"/>
    <s v="Delivered"/>
    <s v="21&quot; LCD Display"/>
    <s v="Monitor"/>
    <x v="6"/>
    <n v="10500"/>
    <n v="13650"/>
    <n v="3"/>
    <n v="31500"/>
    <n v="40950"/>
    <s v="Advika Joshi"/>
    <n v="9750"/>
  </r>
  <r>
    <s v="143953"/>
    <x v="27"/>
    <s v="Dannana Jhammi"/>
    <s v="03/07/2022"/>
    <s v="Shipped"/>
    <s v="136 TB HDD"/>
    <s v="HDD"/>
    <x v="10"/>
    <n v="6500"/>
    <n v="8450"/>
    <n v="2"/>
    <n v="13000"/>
    <n v="16900"/>
    <s v="Ajay Sharma"/>
    <n v="39000"/>
  </r>
  <r>
    <s v="143954"/>
    <x v="22"/>
    <s v="Vipin Kumar"/>
    <s v="04/07/2022"/>
    <s v="Order"/>
    <s v="391 GB SSD"/>
    <s v="SSD"/>
    <x v="0"/>
    <n v="4500"/>
    <n v="5850"/>
    <n v="4"/>
    <n v="18000"/>
    <n v="23400"/>
    <s v="Roshan Kumar"/>
    <n v="8450"/>
  </r>
  <r>
    <s v="143955"/>
    <x v="28"/>
    <s v="Ranjeet Kumar"/>
    <s v="05/07/2022"/>
    <s v="Processing"/>
    <s v="Intel i3 11th gen."/>
    <s v="CPU"/>
    <x v="1"/>
    <n v="8500"/>
    <n v="11050"/>
    <n v="4"/>
    <n v="34000"/>
    <n v="44200"/>
    <s v="Aarvi Gupta"/>
    <n v="33150"/>
  </r>
  <r>
    <s v="143956"/>
    <x v="29"/>
    <s v="Sajal Singhal"/>
    <s v="06/07/2022"/>
    <s v="Delivered"/>
    <s v="4GB Graphic card"/>
    <s v="Graphic Card"/>
    <x v="2"/>
    <n v="12500"/>
    <n v="16250"/>
    <n v="1"/>
    <n v="12500"/>
    <n v="16250"/>
    <s v="Vijay Singh"/>
    <n v="18200"/>
  </r>
  <r>
    <s v="143957"/>
    <x v="30"/>
    <s v="Akhilesh Kumar"/>
    <s v="07/07/2022"/>
    <s v="Shipped"/>
    <s v="143 GB DDR4 RAM"/>
    <s v="RAM"/>
    <x v="3"/>
    <n v="3500"/>
    <n v="4550"/>
    <n v="2"/>
    <n v="7000"/>
    <n v="9100"/>
    <s v="Aadil Khan"/>
    <n v="25545"/>
  </r>
  <r>
    <s v="143958"/>
    <x v="31"/>
    <s v="Suvankar Chakraborty"/>
    <s v="07/07/2022"/>
    <s v="Order"/>
    <s v="BTX motherboard"/>
    <s v="MotherBoard"/>
    <x v="4"/>
    <n v="4500"/>
    <n v="5850"/>
    <n v="1"/>
    <n v="4500"/>
    <n v="5850"/>
    <s v="Advika Joshi"/>
    <n v="39780"/>
  </r>
  <r>
    <s v="143959"/>
    <x v="32"/>
    <s v="Suvankar Adhikary"/>
    <s v="07/07/2022"/>
    <s v="Processing"/>
    <s v="138 Fans Cabinet"/>
    <s v="Cabinet"/>
    <x v="5"/>
    <n v="2100"/>
    <n v="2730"/>
    <n v="4"/>
    <n v="8400"/>
    <n v="10920"/>
    <s v="Ajay Sharma"/>
    <n v="2990"/>
  </r>
  <r>
    <s v="143960"/>
    <x v="0"/>
    <s v="Rahul Kumar Prajapati"/>
    <s v="07/07/2022"/>
    <s v="Delivered"/>
    <s v="Wireless Keyboard"/>
    <s v="Keyboard"/>
    <x v="6"/>
    <n v="1150"/>
    <n v="1495"/>
    <n v="3"/>
    <n v="3450"/>
    <n v="4485"/>
    <s v="Roshan Kumar"/>
    <n v="3315"/>
  </r>
  <r>
    <s v="143961"/>
    <x v="23"/>
    <s v="Sagar Jeur"/>
    <s v="07/07/2022"/>
    <s v="Shipped"/>
    <s v="USB Mouse"/>
    <s v="Mouse"/>
    <x v="0"/>
    <n v="350"/>
    <n v="455"/>
    <n v="3"/>
    <n v="1050"/>
    <n v="1365"/>
    <s v="Aarvi Gupta"/>
    <n v="1690"/>
  </r>
  <r>
    <s v="143962"/>
    <x v="1"/>
    <s v="Rhushikesh Mane"/>
    <s v="07/07/2022"/>
    <s v="Order"/>
    <s v="19&quot; LED Display"/>
    <s v="Monitor"/>
    <x v="6"/>
    <n v="9500"/>
    <n v="12350"/>
    <n v="2"/>
    <n v="19000"/>
    <n v="24700"/>
    <s v="Vijay Singh"/>
    <n v="9750"/>
  </r>
  <r>
    <s v="143963"/>
    <x v="2"/>
    <s v="Ashish Kumar"/>
    <s v="07/07/2022"/>
    <s v="Processing"/>
    <s v="137 TB HDD"/>
    <s v="HDD"/>
    <x v="10"/>
    <n v="10000"/>
    <n v="13000"/>
    <n v="3"/>
    <n v="30000"/>
    <n v="39000"/>
    <s v="Aadil Khan"/>
    <n v="39000"/>
  </r>
  <r>
    <s v="143964"/>
    <x v="3"/>
    <s v="Javed Akhter"/>
    <s v="07/07/2022"/>
    <s v="Delivered"/>
    <s v="647 GB M.2"/>
    <s v="SSD"/>
    <x v="0"/>
    <n v="6500"/>
    <n v="8450"/>
    <n v="2"/>
    <n v="13000"/>
    <n v="16900"/>
    <s v="Advika Joshi"/>
    <n v="8450"/>
  </r>
  <r>
    <s v="143965"/>
    <x v="24"/>
    <s v="Haridas Balraj"/>
    <s v="07/07/2022"/>
    <s v="Shipped"/>
    <s v="RYZEN 3rd gen. 3635"/>
    <s v="CPU"/>
    <x v="1"/>
    <n v="8500"/>
    <n v="11050"/>
    <n v="4"/>
    <n v="34000"/>
    <n v="44200"/>
    <s v="Ajay Sharma"/>
    <n v="33150"/>
  </r>
  <r>
    <s v="143966"/>
    <x v="25"/>
    <s v="Kundan Kumar"/>
    <s v="07/07/2022"/>
    <s v="Order"/>
    <s v="2GB Graphic Card"/>
    <s v="Graphic Card"/>
    <x v="2"/>
    <n v="7000"/>
    <n v="9100"/>
    <n v="2"/>
    <n v="14000"/>
    <n v="18200"/>
    <s v="Roshan Kumar"/>
    <n v="18200"/>
  </r>
  <r>
    <s v="143967"/>
    <x v="33"/>
    <s v="Atif Siddiqui"/>
    <s v="07/07/2022"/>
    <s v="Processing"/>
    <s v="151 GB DDR4 RAM"/>
    <s v="RAM"/>
    <x v="3"/>
    <n v="6550"/>
    <n v="8515"/>
    <n v="4"/>
    <n v="26200"/>
    <n v="34060"/>
    <s v="Aarvi Gupta"/>
    <n v="25545"/>
  </r>
  <r>
    <s v="143968"/>
    <x v="34"/>
    <s v="Aditya Agarwal"/>
    <s v="07/07/2022"/>
    <s v="Delivered"/>
    <s v="Standard ATX motherboard"/>
    <s v="MotherBoard"/>
    <x v="4"/>
    <n v="7650"/>
    <n v="9945"/>
    <n v="4"/>
    <n v="30600"/>
    <n v="39780"/>
    <s v="Vijay Singh"/>
    <n v="39780"/>
  </r>
  <r>
    <s v="143969"/>
    <x v="4"/>
    <s v="Firdoush Jabee"/>
    <s v="08/07/2022"/>
    <s v="Shipped"/>
    <s v="Compact with 1 Fan"/>
    <s v="Cabinet"/>
    <x v="5"/>
    <n v="1150"/>
    <n v="1495"/>
    <n v="2"/>
    <n v="2300"/>
    <n v="2990"/>
    <s v="Aadil Khan"/>
    <n v="2990"/>
  </r>
  <r>
    <s v="143970"/>
    <x v="5"/>
    <s v="Jay Prakash Kumar"/>
    <s v="09/07/2022"/>
    <s v="Order"/>
    <s v="USB Backlight Keyboard"/>
    <s v="Keyboard"/>
    <x v="6"/>
    <n v="850"/>
    <n v="1105"/>
    <n v="4"/>
    <n v="3400"/>
    <n v="4420"/>
    <s v="Advika Joshi"/>
    <n v="3315"/>
  </r>
  <r>
    <s v="143971"/>
    <x v="6"/>
    <s v="Ashish Pandey"/>
    <s v="10/07/2022"/>
    <s v="Processing"/>
    <s v="Ergonomic Mouse"/>
    <s v="Mouse"/>
    <x v="0"/>
    <n v="650"/>
    <n v="845"/>
    <n v="2"/>
    <n v="1300"/>
    <n v="1690"/>
    <s v="Ajay Sharma"/>
    <n v="1690"/>
  </r>
  <r>
    <s v="143972"/>
    <x v="7"/>
    <s v="Ajay Sharma"/>
    <s v="11/07/2022"/>
    <s v="Delivered"/>
    <s v="15&quot; LCD Dsipaly"/>
    <s v="Monitor"/>
    <x v="6"/>
    <n v="7500"/>
    <n v="9750"/>
    <n v="1"/>
    <n v="7500"/>
    <n v="9750"/>
    <s v="Roshan Kumar"/>
    <n v="9750"/>
  </r>
  <r>
    <s v="143973"/>
    <x v="26"/>
    <s v="Moinuddin Saifi"/>
    <s v="12/07/2022"/>
    <s v="Shipped"/>
    <s v="137 TB HDD"/>
    <s v="HDD"/>
    <x v="7"/>
    <n v="10000"/>
    <n v="13000"/>
    <n v="3"/>
    <n v="30000"/>
    <n v="39000"/>
    <s v="Aarvi Gupta"/>
    <n v="39000"/>
  </r>
  <r>
    <s v="143974"/>
    <x v="27"/>
    <s v="Ramkrishna Das Adhikary"/>
    <s v="13/07/2022"/>
    <s v="Order"/>
    <s v="136 TB SSD"/>
    <s v="SSD"/>
    <x v="0"/>
    <n v="10500"/>
    <n v="13650"/>
    <n v="1"/>
    <n v="10500"/>
    <n v="13650"/>
    <s v="Vijay Singh"/>
    <n v="8450"/>
  </r>
  <r>
    <s v="143975"/>
    <x v="8"/>
    <s v="Ranjeet Mandal"/>
    <s v="14/07/2022"/>
    <s v="Processing"/>
    <s v="Intel i5 12th gen."/>
    <s v="CPU"/>
    <x v="1"/>
    <n v="8500"/>
    <n v="11050"/>
    <n v="2"/>
    <n v="17000"/>
    <n v="22100"/>
    <s v="Aadil Khan"/>
    <n v="33150"/>
  </r>
  <r>
    <s v="143976"/>
    <x v="9"/>
    <s v="Ashwini Adsare"/>
    <s v="15/07/2022"/>
    <s v="Delivered"/>
    <s v="2GB Graphic Card"/>
    <s v="Graphic Card"/>
    <x v="2"/>
    <n v="7000"/>
    <n v="9100"/>
    <n v="4"/>
    <n v="28000"/>
    <n v="36400"/>
    <s v="Advika Joshi"/>
    <n v="18200"/>
  </r>
  <r>
    <s v="143977"/>
    <x v="10"/>
    <s v="Rajesh Variya"/>
    <s v="16/07/2022"/>
    <s v="Shipped"/>
    <s v="139 GB DDR4 Ram"/>
    <s v="RAM"/>
    <x v="3"/>
    <n v="1680"/>
    <n v="2184"/>
    <n v="4"/>
    <n v="6720"/>
    <n v="8736"/>
    <s v="Ajay Sharma"/>
    <n v="25545"/>
  </r>
  <r>
    <s v="143978"/>
    <x v="11"/>
    <s v="Amit Singh"/>
    <s v="17/07/2022"/>
    <s v="Order"/>
    <s v="Micro ATX motherboard"/>
    <s v="MotherBoard"/>
    <x v="8"/>
    <n v="6540"/>
    <n v="8502"/>
    <n v="3"/>
    <n v="19620"/>
    <n v="25506"/>
    <s v="Roshan Kumar"/>
    <n v="39780"/>
  </r>
  <r>
    <s v="143979"/>
    <x v="12"/>
    <s v="Vinod Mehta"/>
    <s v="18/07/2022"/>
    <s v="Processing"/>
    <s v="Gaming Box Cabinet"/>
    <s v="Cabinet"/>
    <x v="5"/>
    <n v="2680"/>
    <n v="3484"/>
    <n v="2"/>
    <n v="5360"/>
    <n v="6968"/>
    <s v="Aarvi Gupta"/>
    <n v="2990"/>
  </r>
  <r>
    <s v="143980"/>
    <x v="13"/>
    <s v="Jignesh Mhatre"/>
    <s v="19/07/2022"/>
    <s v="Delivered"/>
    <s v="17&quot; LCD Display"/>
    <s v="Monitor"/>
    <x v="0"/>
    <n v="8250"/>
    <n v="10725"/>
    <n v="2"/>
    <n v="16500"/>
    <n v="21450"/>
    <s v="Vijay Singh"/>
    <n v="9750"/>
  </r>
  <r>
    <s v="143981"/>
    <x v="14"/>
    <s v="Rahul Kashyap"/>
    <s v="20/07/2022"/>
    <s v="Shipped"/>
    <s v="143 GB DDR4 RAM"/>
    <s v="RAM"/>
    <x v="0"/>
    <n v="2650"/>
    <n v="3445"/>
    <n v="2"/>
    <n v="5300"/>
    <n v="6890"/>
    <s v="Aadil Khan"/>
    <n v="25545"/>
  </r>
  <r>
    <s v="143982"/>
    <x v="15"/>
    <s v="Mohammed Abdul Kaleem"/>
    <s v="21/07/2022"/>
    <s v="Order"/>
    <s v="26&quot; LCD Display"/>
    <s v="Monitor"/>
    <x v="9"/>
    <n v="12550"/>
    <n v="16315"/>
    <n v="1"/>
    <n v="12550"/>
    <n v="16315"/>
    <s v="Advika Joshi"/>
    <n v="9750"/>
  </r>
  <r>
    <s v="143983"/>
    <x v="16"/>
    <s v="Chandrakant Kasbe"/>
    <s v="22/07/2022"/>
    <s v="Processing"/>
    <s v="I7 - intel 12th Generation"/>
    <s v="CPU"/>
    <x v="1"/>
    <n v="14500"/>
    <n v="18850"/>
    <n v="1"/>
    <n v="14500"/>
    <n v="18850"/>
    <s v="Ajay Sharma"/>
    <n v="33150"/>
  </r>
  <r>
    <s v="143984"/>
    <x v="17"/>
    <s v="Rohan Kale"/>
    <s v="22/07/2022"/>
    <s v="Delivered"/>
    <s v="USB Keyboard"/>
    <s v="Keyboard"/>
    <x v="6"/>
    <n v="800"/>
    <n v="1040"/>
    <n v="1"/>
    <n v="800"/>
    <n v="1040"/>
    <s v="Roshan Kumar"/>
    <n v="3315"/>
  </r>
  <r>
    <s v="143985"/>
    <x v="18"/>
    <s v="Aniruddha Kekapure"/>
    <s v="22/07/2022"/>
    <s v="Shipped"/>
    <s v="Wireless Mouse"/>
    <s v="Mouse"/>
    <x v="0"/>
    <n v="600"/>
    <n v="780"/>
    <n v="1"/>
    <n v="600"/>
    <n v="780"/>
    <s v="Aarvi Gupta"/>
    <n v="1690"/>
  </r>
  <r>
    <s v="143986"/>
    <x v="19"/>
    <s v="Aslam Raza"/>
    <s v="22/07/2022"/>
    <s v="Order"/>
    <s v="21&quot; LCD Display"/>
    <s v="Monitor"/>
    <x v="6"/>
    <n v="10500"/>
    <n v="13650"/>
    <n v="4"/>
    <n v="42000"/>
    <n v="54600"/>
    <s v="Vijay Singh"/>
    <n v="9750"/>
  </r>
  <r>
    <s v="143987"/>
    <x v="20"/>
    <s v="Roshan Zameer"/>
    <s v="22/07/2022"/>
    <s v="Processing"/>
    <s v="137 TB HDD"/>
    <s v="HDD"/>
    <x v="10"/>
    <n v="6500"/>
    <n v="8450"/>
    <n v="2"/>
    <n v="13000"/>
    <n v="16900"/>
    <s v="Aadil Khan"/>
    <n v="39000"/>
  </r>
  <r>
    <s v="143988"/>
    <x v="16"/>
    <s v="Rakesh Kumar Sharma"/>
    <s v="23/07/2022"/>
    <s v="Delivered"/>
    <s v="392 GB SSD"/>
    <s v="SSD"/>
    <x v="0"/>
    <n v="4500"/>
    <n v="5850"/>
    <n v="1"/>
    <n v="4500"/>
    <n v="5850"/>
    <s v="Advika Joshi"/>
    <n v="8450"/>
  </r>
  <r>
    <s v="143989"/>
    <x v="17"/>
    <s v="Shivanand Sahani"/>
    <s v="24/07/2022"/>
    <s v="Shipped"/>
    <s v="Intel i3 11th gen."/>
    <s v="CPU"/>
    <x v="1"/>
    <n v="8500"/>
    <n v="11050"/>
    <n v="1"/>
    <n v="8500"/>
    <n v="11050"/>
    <s v="Ajay Sharma"/>
    <n v="33150"/>
  </r>
  <r>
    <s v="143990"/>
    <x v="27"/>
    <s v="Kunal Patra"/>
    <s v="25/07/2022"/>
    <s v="Order"/>
    <s v="4GB Graphic card"/>
    <s v="Graphic Card"/>
    <x v="2"/>
    <n v="12500"/>
    <n v="16250"/>
    <n v="4"/>
    <n v="50000"/>
    <n v="65000"/>
    <s v="Roshan Kumar"/>
    <n v="18200"/>
  </r>
  <r>
    <s v="143991"/>
    <x v="22"/>
    <s v="Bijendra"/>
    <s v="26/07/2022"/>
    <s v="Processing"/>
    <s v="144 GB DDR4 RAM"/>
    <s v="Computer Case"/>
    <x v="3"/>
    <n v="3500"/>
    <n v="4550"/>
    <n v="2"/>
    <n v="7000"/>
    <n v="9100"/>
    <s v="Aarvi Gupta"/>
    <n v="13650"/>
  </r>
  <r>
    <s v="143992"/>
    <x v="28"/>
    <s v="Kranti Bheke"/>
    <s v="27/07/2022"/>
    <s v="Delivered"/>
    <s v="BTX motherboard"/>
    <s v="Mouse"/>
    <x v="4"/>
    <n v="4500"/>
    <n v="5850"/>
    <n v="2"/>
    <n v="9000"/>
    <n v="11700"/>
    <s v="Vijay Singh"/>
    <n v="1690"/>
  </r>
  <r>
    <s v="143993"/>
    <x v="29"/>
    <s v="Jagdeep"/>
    <s v="28/07/2022"/>
    <s v="Shipped"/>
    <s v="139 Fans Cabinet"/>
    <s v="Cabinet"/>
    <x v="5"/>
    <n v="2100"/>
    <n v="2730"/>
    <n v="4"/>
    <n v="8400"/>
    <n v="10920"/>
    <s v="Aadil Khan"/>
    <n v="2990"/>
  </r>
  <r>
    <s v="143994"/>
    <x v="30"/>
    <s v="Adhir Samal"/>
    <s v="29/07/2022"/>
    <s v="Order"/>
    <s v="Wireless Keyboard"/>
    <s v="Keyboard"/>
    <x v="6"/>
    <n v="1150"/>
    <n v="1495"/>
    <n v="1"/>
    <n v="1150"/>
    <n v="1495"/>
    <s v="Advika Joshi"/>
    <n v="3315"/>
  </r>
  <r>
    <s v="143995"/>
    <x v="31"/>
    <s v="Dannana Jhammi"/>
    <s v="30/07/2022"/>
    <s v="Processing"/>
    <s v="USB Mouse"/>
    <s v="Mouse"/>
    <x v="0"/>
    <n v="350"/>
    <n v="455"/>
    <n v="4"/>
    <n v="1400"/>
    <n v="1820"/>
    <s v="Ajay Sharma"/>
    <n v="1690"/>
  </r>
  <r>
    <s v="143996"/>
    <x v="32"/>
    <s v="Vipin Kumar"/>
    <s v="31/07/2022"/>
    <s v="Delivered"/>
    <s v="19&quot; LED Display"/>
    <s v="Monitor"/>
    <x v="6"/>
    <n v="9500"/>
    <n v="12350"/>
    <n v="4"/>
    <n v="38000"/>
    <n v="49400"/>
    <s v="Roshan Kumar"/>
    <n v="9750"/>
  </r>
  <r>
    <s v="143997"/>
    <x v="0"/>
    <s v="Ranjeet Kumar"/>
    <s v="01/08/2022"/>
    <s v="Shipped"/>
    <s v="138 TB HDD"/>
    <s v="HDD"/>
    <x v="10"/>
    <n v="10000"/>
    <n v="13000"/>
    <n v="1"/>
    <n v="10000"/>
    <n v="13000"/>
    <s v="Aarvi Gupta"/>
    <n v="39000"/>
  </r>
  <r>
    <s v="143998"/>
    <x v="23"/>
    <s v="Sajal Singhal"/>
    <s v="02/08/2022"/>
    <s v="Order"/>
    <s v="648 GB M.2"/>
    <s v="SSD"/>
    <x v="0"/>
    <n v="6500"/>
    <n v="8450"/>
    <n v="2"/>
    <n v="13000"/>
    <n v="16900"/>
    <s v="Vijay Singh"/>
    <n v="8450"/>
  </r>
  <r>
    <s v="143999"/>
    <x v="1"/>
    <s v="Akhilesh Kumar"/>
    <s v="03/08/2022"/>
    <s v="Processing"/>
    <s v="RYZEN 3rd gen. 3636"/>
    <s v="CPU"/>
    <x v="1"/>
    <n v="8500"/>
    <n v="11050"/>
    <n v="1"/>
    <n v="8500"/>
    <n v="11050"/>
    <s v="Aadil Khan"/>
    <n v="33150"/>
  </r>
  <r>
    <s v="144000"/>
    <x v="2"/>
    <s v="Suvankar Chakraborty"/>
    <s v="04/08/2022"/>
    <s v="Delivered"/>
    <s v="2GB Graphic Card"/>
    <s v="Graphic Card"/>
    <x v="2"/>
    <n v="7000"/>
    <n v="9100"/>
    <n v="1"/>
    <n v="7000"/>
    <n v="9100"/>
    <s v="Advika Joshi"/>
    <n v="18200"/>
  </r>
  <r>
    <s v="144001"/>
    <x v="3"/>
    <s v="Suvankar Adhikary"/>
    <s v="05/08/2022"/>
    <s v="Shipped"/>
    <s v="152 GB DDR4 RAM"/>
    <s v="Computer Case"/>
    <x v="3"/>
    <n v="6550"/>
    <n v="8515"/>
    <n v="3"/>
    <n v="19650"/>
    <n v="25545"/>
    <s v="Ajay Sharma"/>
    <n v="13650"/>
  </r>
  <r>
    <s v="144002"/>
    <x v="24"/>
    <s v="Rahul Kumar Prajapati"/>
    <s v="06/08/2022"/>
    <s v="Order"/>
    <s v="Standard ATX motherboard"/>
    <s v="Mouse"/>
    <x v="4"/>
    <n v="7650"/>
    <n v="9945"/>
    <n v="4"/>
    <n v="30600"/>
    <n v="39780"/>
    <s v="Roshan Kumar"/>
    <n v="1690"/>
  </r>
  <r>
    <s v="144003"/>
    <x v="25"/>
    <s v="Sagar Jeur"/>
    <s v="07/08/2022"/>
    <s v="Processing"/>
    <s v="Compact with 1 Fan"/>
    <s v="Cabinet"/>
    <x v="5"/>
    <n v="1150"/>
    <n v="1495"/>
    <n v="1"/>
    <n v="1150"/>
    <n v="1495"/>
    <s v="Aarvi Gupta"/>
    <n v="2990"/>
  </r>
  <r>
    <s v="144004"/>
    <x v="33"/>
    <s v="Rhushikesh Mane"/>
    <s v="08/08/2022"/>
    <s v="Delivered"/>
    <s v="USB Backlight Keyboard"/>
    <s v="Keyboard"/>
    <x v="6"/>
    <n v="850"/>
    <n v="1105"/>
    <n v="4"/>
    <n v="3400"/>
    <n v="4420"/>
    <s v="Vijay Singh"/>
    <n v="3315"/>
  </r>
  <r>
    <s v="144005"/>
    <x v="34"/>
    <s v="Ashish Kumar"/>
    <s v="09/08/2022"/>
    <s v="Shipped"/>
    <s v="Ergonomic Mouse"/>
    <s v="Mouse"/>
    <x v="0"/>
    <n v="650"/>
    <n v="845"/>
    <n v="1"/>
    <n v="650"/>
    <n v="845"/>
    <s v="Aadil Khan"/>
    <n v="1690"/>
  </r>
  <r>
    <s v="144006"/>
    <x v="4"/>
    <s v="Javed Akhter"/>
    <s v="10/08/2022"/>
    <s v="Order"/>
    <s v="15&quot; LCD Dsipaly"/>
    <s v="Monitor"/>
    <x v="6"/>
    <n v="7500"/>
    <n v="9750"/>
    <n v="1"/>
    <n v="7500"/>
    <n v="9750"/>
    <s v="Advika Joshi"/>
    <n v="9750"/>
  </r>
  <r>
    <s v="144007"/>
    <x v="5"/>
    <s v="Haridas Balraj"/>
    <s v="11/08/2022"/>
    <s v="Processing"/>
    <s v="138 TB HDD"/>
    <s v="HDD"/>
    <x v="7"/>
    <n v="10000"/>
    <n v="13000"/>
    <n v="1"/>
    <n v="10000"/>
    <n v="13000"/>
    <s v="Ajay Sharma"/>
    <n v="39000"/>
  </r>
  <r>
    <s v="144008"/>
    <x v="6"/>
    <s v="Kundan Kumar"/>
    <s v="12/08/2022"/>
    <s v="Delivered"/>
    <s v="137 TB SSD"/>
    <s v="SSD"/>
    <x v="0"/>
    <n v="10500"/>
    <n v="13650"/>
    <n v="1"/>
    <n v="10500"/>
    <n v="13650"/>
    <s v="Roshan Kumar"/>
    <n v="8450"/>
  </r>
  <r>
    <s v="144009"/>
    <x v="7"/>
    <s v="Atif Siddiqui"/>
    <s v="13/08/2022"/>
    <s v="Shipped"/>
    <s v="Intel i5 12th gen."/>
    <s v="CPU"/>
    <x v="1"/>
    <n v="8500"/>
    <n v="11050"/>
    <n v="1"/>
    <n v="8500"/>
    <n v="11050"/>
    <s v="Aarvi Gupta"/>
    <n v="33150"/>
  </r>
  <r>
    <s v="144010"/>
    <x v="26"/>
    <s v="Aditya Agarwal"/>
    <s v="14/08/2022"/>
    <s v="Order"/>
    <s v="2GB Graphic Card"/>
    <s v="Graphic Card"/>
    <x v="2"/>
    <n v="7000"/>
    <n v="9100"/>
    <n v="4"/>
    <n v="28000"/>
    <n v="36400"/>
    <s v="Vijay Singh"/>
    <n v="18200"/>
  </r>
  <r>
    <s v="144011"/>
    <x v="27"/>
    <s v="Firdoush Jabee"/>
    <s v="15/08/2022"/>
    <s v="Processing"/>
    <s v="140 GB DDR4 Ram"/>
    <s v="Computer Case"/>
    <x v="3"/>
    <n v="1680"/>
    <n v="2184"/>
    <n v="3"/>
    <n v="5040"/>
    <n v="6552"/>
    <s v="Aadil Khan"/>
    <n v="13650"/>
  </r>
  <r>
    <s v="144012"/>
    <x v="8"/>
    <s v="Jay Prakash Kumar"/>
    <s v="16/08/2022"/>
    <s v="Delivered"/>
    <s v="Micro ATX motherboard"/>
    <s v="Mouse"/>
    <x v="8"/>
    <n v="6540"/>
    <n v="8502"/>
    <n v="3"/>
    <n v="19620"/>
    <n v="25506"/>
    <s v="Advika Joshi"/>
    <n v="1690"/>
  </r>
  <r>
    <s v="144013"/>
    <x v="9"/>
    <s v="Ashish Pandey"/>
    <s v="17/08/2022"/>
    <s v="Shipped"/>
    <s v="Gaming Box Cabinet"/>
    <s v="Cabinet"/>
    <x v="5"/>
    <n v="2680"/>
    <n v="3484"/>
    <n v="1"/>
    <n v="2680"/>
    <n v="3484"/>
    <s v="Ajay Sharma"/>
    <n v="2990"/>
  </r>
  <r>
    <s v="144014"/>
    <x v="10"/>
    <s v="Ajay Sharma"/>
    <s v="18/08/2022"/>
    <s v="Order"/>
    <s v="17&quot; LCD Display"/>
    <s v="Monitor"/>
    <x v="0"/>
    <n v="8250"/>
    <n v="10725"/>
    <n v="2"/>
    <n v="16500"/>
    <n v="21450"/>
    <s v="Roshan Kumar"/>
    <n v="9750"/>
  </r>
  <r>
    <s v="144015"/>
    <x v="11"/>
    <s v="Moinuddin Saifi"/>
    <s v="19/08/2022"/>
    <s v="Processing"/>
    <s v="144 GB DDR4 RAM"/>
    <s v="RAM"/>
    <x v="0"/>
    <n v="2650"/>
    <n v="3445"/>
    <n v="1"/>
    <n v="2650"/>
    <n v="3445"/>
    <s v="Aarvi Gupta"/>
    <n v="25545"/>
  </r>
  <r>
    <s v="144016"/>
    <x v="12"/>
    <s v="Ramkrishna Das Adhikary"/>
    <s v="20/08/2022"/>
    <s v="Delivered"/>
    <s v="26&quot; LCD Display"/>
    <s v="Monitor"/>
    <x v="9"/>
    <n v="12550"/>
    <n v="16315"/>
    <n v="3"/>
    <n v="37650"/>
    <n v="48945"/>
    <s v="Vijay Singh"/>
    <n v="9750"/>
  </r>
  <r>
    <s v="144017"/>
    <x v="13"/>
    <s v="Ranjeet Mandal"/>
    <s v="21/08/2022"/>
    <s v="Shipped"/>
    <s v="I7 - intel 12th Generation"/>
    <s v="CPU"/>
    <x v="1"/>
    <n v="14500"/>
    <n v="18850"/>
    <n v="2"/>
    <n v="29000"/>
    <n v="37700"/>
    <s v="Aadil Khan"/>
    <n v="33150"/>
  </r>
  <r>
    <s v="144018"/>
    <x v="14"/>
    <s v="Ashwini Adsare"/>
    <s v="22/08/2022"/>
    <s v="Order"/>
    <s v="USB Keyboard"/>
    <s v="Keyboard"/>
    <x v="6"/>
    <n v="800"/>
    <n v="1040"/>
    <n v="1"/>
    <n v="800"/>
    <n v="1040"/>
    <s v="Advika Joshi"/>
    <n v="3315"/>
  </r>
  <r>
    <s v="144019"/>
    <x v="15"/>
    <s v="Rajesh Variya"/>
    <s v="23/08/2022"/>
    <s v="Processing"/>
    <s v="Wireless Mouse"/>
    <s v="Mouse"/>
    <x v="0"/>
    <n v="600"/>
    <n v="780"/>
    <n v="2"/>
    <n v="1200"/>
    <n v="1560"/>
    <s v="Ajay Sharma"/>
    <n v="1690"/>
  </r>
  <r>
    <s v="144020"/>
    <x v="16"/>
    <s v="Amit Singh"/>
    <s v="24/08/2022"/>
    <s v="Delivered"/>
    <s v="21&quot; LCD Display"/>
    <s v="Monitor"/>
    <x v="6"/>
    <n v="10500"/>
    <n v="13650"/>
    <n v="3"/>
    <n v="31500"/>
    <n v="40950"/>
    <s v="Roshan Kumar"/>
    <n v="9750"/>
  </r>
  <r>
    <s v="144021"/>
    <x v="17"/>
    <s v="Vinod Mehta"/>
    <s v="25/08/2022"/>
    <s v="Shipped"/>
    <s v="138 TB HDD"/>
    <s v="HDD"/>
    <x v="10"/>
    <n v="6500"/>
    <n v="8450"/>
    <n v="3"/>
    <n v="19500"/>
    <n v="25350"/>
    <s v="Aarvi Gupta"/>
    <n v="39000"/>
  </r>
  <r>
    <s v="144022"/>
    <x v="18"/>
    <s v="Jignesh Mhatre"/>
    <s v="26/08/2022"/>
    <s v="Order"/>
    <s v="393 GB SSD"/>
    <s v="SSD"/>
    <x v="0"/>
    <n v="4500"/>
    <n v="5850"/>
    <n v="1"/>
    <n v="4500"/>
    <n v="5850"/>
    <s v="Vijay Singh"/>
    <n v="8450"/>
  </r>
  <r>
    <s v="144023"/>
    <x v="19"/>
    <s v="Rahul Kashyap"/>
    <s v="27/08/2022"/>
    <s v="Processing"/>
    <s v="Intel i3 11th gen."/>
    <s v="CPU"/>
    <x v="1"/>
    <n v="8500"/>
    <n v="11050"/>
    <n v="2"/>
    <n v="17000"/>
    <n v="22100"/>
    <s v="Aadil Khan"/>
    <n v="33150"/>
  </r>
  <r>
    <s v="144024"/>
    <x v="20"/>
    <s v="Mohammed Abdul Kaleem"/>
    <s v="28/08/2022"/>
    <s v="Delivered"/>
    <s v="4GB Graphic card"/>
    <s v="Graphic Card"/>
    <x v="2"/>
    <n v="12500"/>
    <n v="16250"/>
    <n v="1"/>
    <n v="12500"/>
    <n v="16250"/>
    <s v="Advika Joshi"/>
    <n v="18200"/>
  </r>
  <r>
    <s v="144025"/>
    <x v="16"/>
    <s v="Chandrakant Kasbe"/>
    <s v="29/08/2022"/>
    <s v="Shipped"/>
    <s v="145 GB DDR4 RAM"/>
    <s v="NIC"/>
    <x v="3"/>
    <n v="3500"/>
    <n v="4550"/>
    <n v="4"/>
    <n v="14000"/>
    <n v="18200"/>
    <s v="Ajay Sharma"/>
    <n v="9100"/>
  </r>
  <r>
    <s v="144026"/>
    <x v="17"/>
    <s v="Rohan Kale"/>
    <s v="30/08/2022"/>
    <s v="Order"/>
    <s v="BTX motherboard"/>
    <s v="Printer"/>
    <x v="4"/>
    <n v="4500"/>
    <n v="5850"/>
    <n v="4"/>
    <n v="18000"/>
    <n v="23400"/>
    <s v="Roshan Kumar"/>
    <n v="11700"/>
  </r>
  <r>
    <s v="144027"/>
    <x v="27"/>
    <s v="Aniruddha Kekapure"/>
    <s v="31/08/2022"/>
    <s v="Processing"/>
    <s v="140 Fans Cabinet"/>
    <s v="Cabinet"/>
    <x v="5"/>
    <n v="2100"/>
    <n v="2730"/>
    <n v="2"/>
    <n v="4200"/>
    <n v="5460"/>
    <s v="Aarvi Gupta"/>
    <n v="2990"/>
  </r>
  <r>
    <s v="144028"/>
    <x v="22"/>
    <s v="Aslam Raza"/>
    <s v="01/09/2022"/>
    <s v="Delivered"/>
    <s v="Wireless Keyboard"/>
    <s v="Keyboard"/>
    <x v="6"/>
    <n v="1150"/>
    <n v="1495"/>
    <n v="1"/>
    <n v="1150"/>
    <n v="1495"/>
    <s v="Vijay Singh"/>
    <n v="3315"/>
  </r>
  <r>
    <s v="144029"/>
    <x v="28"/>
    <s v="Roshan Zameer"/>
    <s v="02/09/2022"/>
    <s v="Shipped"/>
    <s v="USB Mouse"/>
    <s v="Mouse"/>
    <x v="0"/>
    <n v="350"/>
    <n v="455"/>
    <n v="2"/>
    <n v="700"/>
    <n v="910"/>
    <s v="Aadil Khan"/>
    <n v="1690"/>
  </r>
  <r>
    <s v="144030"/>
    <x v="29"/>
    <s v="Rakesh Kumar Sharma"/>
    <s v="03/09/2022"/>
    <s v="Order"/>
    <s v="19&quot; LED Display"/>
    <s v="Monitor"/>
    <x v="6"/>
    <n v="9500"/>
    <n v="12350"/>
    <n v="1"/>
    <n v="9500"/>
    <n v="12350"/>
    <s v="Advika Joshi"/>
    <n v="9750"/>
  </r>
  <r>
    <s v="144031"/>
    <x v="30"/>
    <s v="Shivanand Sahani"/>
    <s v="04/09/2022"/>
    <s v="Processing"/>
    <s v="139 TB HDD"/>
    <s v="HDD"/>
    <x v="10"/>
    <n v="10000"/>
    <n v="13000"/>
    <n v="2"/>
    <n v="20000"/>
    <n v="26000"/>
    <s v="Ajay Sharma"/>
    <n v="39000"/>
  </r>
  <r>
    <s v="144032"/>
    <x v="31"/>
    <s v="Kunal Patra"/>
    <s v="05/09/2022"/>
    <s v="Delivered"/>
    <s v="649 GB M.2"/>
    <s v="SSD"/>
    <x v="0"/>
    <n v="6500"/>
    <n v="8450"/>
    <n v="4"/>
    <n v="26000"/>
    <n v="33800"/>
    <s v="Roshan Kumar"/>
    <n v="8450"/>
  </r>
  <r>
    <s v="144033"/>
    <x v="32"/>
    <s v="Bijendra"/>
    <s v="06/09/2022"/>
    <s v="Shipped"/>
    <s v="RYZEN 3rd gen. 3637"/>
    <s v="CPU"/>
    <x v="1"/>
    <n v="8500"/>
    <n v="11050"/>
    <n v="2"/>
    <n v="17000"/>
    <n v="22100"/>
    <s v="Aarvi Gupta"/>
    <n v="33150"/>
  </r>
  <r>
    <s v="144034"/>
    <x v="0"/>
    <s v="Kranti Bheke"/>
    <s v="07/09/2022"/>
    <s v="Order"/>
    <s v="2GB Graphic Card"/>
    <s v="Graphic Card"/>
    <x v="2"/>
    <n v="7000"/>
    <n v="9100"/>
    <n v="2"/>
    <n v="14000"/>
    <n v="18200"/>
    <s v="Vijay Singh"/>
    <n v="18200"/>
  </r>
  <r>
    <s v="144035"/>
    <x v="23"/>
    <s v="Jagdeep"/>
    <s v="07/09/2022"/>
    <s v="Processing"/>
    <s v="153 GB DDR4 RAM"/>
    <s v="NIC"/>
    <x v="3"/>
    <n v="6550"/>
    <n v="8515"/>
    <n v="1"/>
    <n v="6550"/>
    <n v="8515"/>
    <s v="Aadil Khan"/>
    <n v="9100"/>
  </r>
  <r>
    <s v="144036"/>
    <x v="1"/>
    <s v="Adhir Samal"/>
    <s v="07/09/2022"/>
    <s v="Delivered"/>
    <s v="Standard ATX motherboard"/>
    <s v="Printer"/>
    <x v="4"/>
    <n v="7650"/>
    <n v="9945"/>
    <n v="3"/>
    <n v="22950"/>
    <n v="29835"/>
    <s v="Advika Joshi"/>
    <n v="11700"/>
  </r>
  <r>
    <s v="144037"/>
    <x v="2"/>
    <s v="Dannana Jhammi"/>
    <s v="07/09/2022"/>
    <s v="Shipped"/>
    <s v="Compact with 1 Fan"/>
    <s v="Cabinet"/>
    <x v="5"/>
    <n v="1150"/>
    <n v="1495"/>
    <n v="3"/>
    <n v="3450"/>
    <n v="4485"/>
    <s v="Ajay Sharma"/>
    <n v="2990"/>
  </r>
  <r>
    <s v="144038"/>
    <x v="3"/>
    <s v="Vipin Kumar"/>
    <s v="07/09/2022"/>
    <s v="Order"/>
    <s v="USB Backlight Keyboard"/>
    <s v="Keyboard"/>
    <x v="6"/>
    <n v="850"/>
    <n v="1105"/>
    <n v="2"/>
    <n v="1700"/>
    <n v="2210"/>
    <s v="Roshan Kumar"/>
    <n v="3315"/>
  </r>
  <r>
    <s v="144039"/>
    <x v="24"/>
    <s v="Ranjeet Kumar"/>
    <s v="07/09/2022"/>
    <s v="Processing"/>
    <s v="Ergonomic Mouse"/>
    <s v="Mouse"/>
    <x v="0"/>
    <n v="650"/>
    <n v="845"/>
    <n v="4"/>
    <n v="2600"/>
    <n v="3380"/>
    <s v="Aarvi Gupta"/>
    <n v="1690"/>
  </r>
  <r>
    <s v="144040"/>
    <x v="25"/>
    <s v="Sajal Singhal"/>
    <s v="07/09/2022"/>
    <s v="Delivered"/>
    <s v="15&quot; LCD Dsipaly"/>
    <s v="Monitor"/>
    <x v="6"/>
    <n v="7500"/>
    <n v="9750"/>
    <n v="4"/>
    <n v="30000"/>
    <n v="39000"/>
    <s v="Vijay Singh"/>
    <n v="9750"/>
  </r>
  <r>
    <s v="144041"/>
    <x v="33"/>
    <s v="Akhilesh Kumar"/>
    <s v="07/09/2022"/>
    <s v="Shipped"/>
    <s v="139 TB HDD"/>
    <s v="HDD"/>
    <x v="7"/>
    <n v="10000"/>
    <n v="13000"/>
    <n v="3"/>
    <n v="30000"/>
    <n v="39000"/>
    <s v="Aadil Khan"/>
    <n v="39000"/>
  </r>
  <r>
    <s v="144042"/>
    <x v="34"/>
    <s v="Suvankar Chakraborty"/>
    <s v="07/09/2022"/>
    <s v="Order"/>
    <s v="138 TB SSD"/>
    <s v="SSD"/>
    <x v="0"/>
    <n v="10500"/>
    <n v="13650"/>
    <n v="4"/>
    <n v="42000"/>
    <n v="54600"/>
    <s v="Advika Joshi"/>
    <n v="8450"/>
  </r>
  <r>
    <s v="144043"/>
    <x v="4"/>
    <s v="Suvankar Adhikary"/>
    <s v="07/09/2022"/>
    <s v="Processing"/>
    <s v="Intel i5 12th gen."/>
    <s v="CPU"/>
    <x v="1"/>
    <n v="8500"/>
    <n v="11050"/>
    <n v="4"/>
    <n v="34000"/>
    <n v="44200"/>
    <s v="Ajay Sharma"/>
    <n v="33150"/>
  </r>
  <r>
    <s v="144044"/>
    <x v="5"/>
    <s v="Rahul Kumar Prajapati"/>
    <s v="07/09/2022"/>
    <s v="Delivered"/>
    <s v="2GB Graphic Card"/>
    <s v="Graphic Card"/>
    <x v="2"/>
    <n v="7000"/>
    <n v="9100"/>
    <n v="2"/>
    <n v="14000"/>
    <n v="18200"/>
    <s v="Roshan Kumar"/>
    <n v="18200"/>
  </r>
  <r>
    <s v="144045"/>
    <x v="6"/>
    <s v="Sagar Jeur"/>
    <s v="07/09/2022"/>
    <s v="Shipped"/>
    <s v="141 GB DDR4 Ram"/>
    <s v="NIC"/>
    <x v="3"/>
    <n v="1680"/>
    <n v="2184"/>
    <n v="3"/>
    <n v="5040"/>
    <n v="6552"/>
    <s v="Aarvi Gupta"/>
    <n v="9100"/>
  </r>
  <r>
    <s v="144046"/>
    <x v="7"/>
    <s v="Rhushikesh Mane"/>
    <s v="07/09/2022"/>
    <s v="Order"/>
    <s v="Micro ATX motherboard"/>
    <s v="Printer"/>
    <x v="8"/>
    <n v="6540"/>
    <n v="8502"/>
    <n v="3"/>
    <n v="19620"/>
    <n v="25506"/>
    <s v="Vijay Singh"/>
    <n v="11700"/>
  </r>
  <r>
    <s v="144047"/>
    <x v="26"/>
    <s v="Ashish Kumar"/>
    <s v="07/09/2022"/>
    <s v="Processing"/>
    <s v="Gaming Box Cabinet"/>
    <s v="Cabinet"/>
    <x v="5"/>
    <n v="2680"/>
    <n v="3484"/>
    <n v="1"/>
    <n v="2680"/>
    <n v="3484"/>
    <s v="Aadil Khan"/>
    <n v="2990"/>
  </r>
  <r>
    <s v="144048"/>
    <x v="27"/>
    <s v="Javed Akhter"/>
    <s v="07/09/2022"/>
    <s v="Delivered"/>
    <s v="17&quot; LCD Display"/>
    <s v="Monitor"/>
    <x v="0"/>
    <n v="8250"/>
    <n v="10725"/>
    <n v="3"/>
    <n v="24750"/>
    <n v="32175"/>
    <s v="Advika Joshi"/>
    <n v="9750"/>
  </r>
  <r>
    <s v="144049"/>
    <x v="8"/>
    <s v="Haridas Balraj"/>
    <s v="07/09/2022"/>
    <s v="Shipped"/>
    <s v="145 GB DDR4 RAM"/>
    <s v="RAM"/>
    <x v="0"/>
    <n v="2650"/>
    <n v="3445"/>
    <n v="1"/>
    <n v="2650"/>
    <n v="3445"/>
    <s v="Ajay Sharma"/>
    <n v="25545"/>
  </r>
  <r>
    <s v="144050"/>
    <x v="9"/>
    <s v="Kundan Kumar"/>
    <s v="07/09/2022"/>
    <s v="Order"/>
    <s v="26&quot; LCD Display"/>
    <s v="Monitor"/>
    <x v="9"/>
    <n v="12550"/>
    <n v="16315"/>
    <n v="3"/>
    <n v="37650"/>
    <n v="48945"/>
    <s v="Roshan Kumar"/>
    <n v="9750"/>
  </r>
  <r>
    <s v="144051"/>
    <x v="10"/>
    <s v="Atif Siddiqui"/>
    <s v="07/09/2022"/>
    <s v="Processing"/>
    <s v="I7 - intel 12th Generation"/>
    <s v="CPU"/>
    <x v="1"/>
    <n v="14500"/>
    <n v="18850"/>
    <n v="3"/>
    <n v="43500"/>
    <n v="56550"/>
    <s v="Aarvi Gupta"/>
    <n v="33150"/>
  </r>
  <r>
    <s v="144052"/>
    <x v="11"/>
    <s v="Aditya Agarwal"/>
    <s v="07/09/2022"/>
    <s v="Delivered"/>
    <s v="USB Keyboard"/>
    <s v="Keyboard"/>
    <x v="6"/>
    <n v="800"/>
    <n v="1040"/>
    <n v="2"/>
    <n v="1600"/>
    <n v="2080"/>
    <s v="Vijay Singh"/>
    <n v="3315"/>
  </r>
  <r>
    <s v="144053"/>
    <x v="12"/>
    <s v="Firdoush Jabee"/>
    <s v="07/09/2022"/>
    <s v="Shipped"/>
    <s v="Wireless Mouse"/>
    <s v="Mouse"/>
    <x v="0"/>
    <n v="600"/>
    <n v="780"/>
    <n v="2"/>
    <n v="1200"/>
    <n v="1560"/>
    <s v="Aadil Khan"/>
    <n v="1690"/>
  </r>
  <r>
    <s v="144054"/>
    <x v="13"/>
    <s v="Jay Prakash Kumar"/>
    <s v="07/09/2022"/>
    <s v="Order"/>
    <s v="21&quot; LCD Display"/>
    <s v="Monitor"/>
    <x v="6"/>
    <n v="10500"/>
    <n v="13650"/>
    <n v="1"/>
    <n v="10500"/>
    <n v="13650"/>
    <s v="Advika Joshi"/>
    <n v="9750"/>
  </r>
  <r>
    <s v="144055"/>
    <x v="14"/>
    <s v="Ashish Pandey"/>
    <s v="07/09/2022"/>
    <s v="Processing"/>
    <s v="139 TB HDD"/>
    <s v="HDD"/>
    <x v="10"/>
    <n v="6500"/>
    <n v="8450"/>
    <n v="1"/>
    <n v="6500"/>
    <n v="8450"/>
    <s v="Ajay Sharma"/>
    <n v="39000"/>
  </r>
  <r>
    <s v="144056"/>
    <x v="15"/>
    <s v="Ajay Sharma"/>
    <s v="07/09/2022"/>
    <s v="Delivered"/>
    <s v="394 GB SSD"/>
    <s v="SSD"/>
    <x v="0"/>
    <n v="4500"/>
    <n v="5850"/>
    <n v="1"/>
    <n v="4500"/>
    <n v="5850"/>
    <s v="Roshan Kumar"/>
    <n v="8450"/>
  </r>
  <r>
    <s v="144057"/>
    <x v="16"/>
    <s v="Moinuddin Saifi"/>
    <s v="07/09/2022"/>
    <s v="Shipped"/>
    <s v="Intel i3 11th gen."/>
    <s v="CPU"/>
    <x v="1"/>
    <n v="8500"/>
    <n v="11050"/>
    <n v="2"/>
    <n v="17000"/>
    <n v="22100"/>
    <s v="Aarvi Gupta"/>
    <n v="33150"/>
  </r>
  <r>
    <s v="144058"/>
    <x v="17"/>
    <s v="Ramkrishna Das Adhikary"/>
    <s v="07/09/2022"/>
    <s v="Order"/>
    <s v="4GB Graphic card"/>
    <s v="Graphic Card"/>
    <x v="2"/>
    <n v="12500"/>
    <n v="16250"/>
    <n v="1"/>
    <n v="12500"/>
    <n v="16250"/>
    <s v="Vijay Singh"/>
    <n v="18200"/>
  </r>
  <r>
    <s v="144059"/>
    <x v="18"/>
    <s v="Ranjeet Mandal"/>
    <s v="07/09/2022"/>
    <s v="Processing"/>
    <s v="146 GB DDR4 RAM"/>
    <s v="RAM"/>
    <x v="3"/>
    <n v="3500"/>
    <n v="4550"/>
    <n v="3"/>
    <n v="10500"/>
    <n v="13650"/>
    <s v="Aadil Khan"/>
    <n v="25545"/>
  </r>
  <r>
    <s v="144060"/>
    <x v="19"/>
    <s v="Ashwini Adsare"/>
    <s v="07/09/2022"/>
    <s v="Delivered"/>
    <s v="BTX motherboard"/>
    <s v="MotherBoard"/>
    <x v="4"/>
    <n v="4500"/>
    <n v="5850"/>
    <n v="3"/>
    <n v="13500"/>
    <n v="17550"/>
    <s v="Advika Joshi"/>
    <n v="39780"/>
  </r>
  <r>
    <s v="144061"/>
    <x v="20"/>
    <s v="Rajesh Variya"/>
    <s v="07/09/2022"/>
    <s v="Shipped"/>
    <s v="141 Fans Cabinet"/>
    <s v="Cabinet"/>
    <x v="5"/>
    <n v="2100"/>
    <n v="2730"/>
    <n v="1"/>
    <n v="2100"/>
    <n v="2730"/>
    <s v="Ajay Sharma"/>
    <n v="2990"/>
  </r>
  <r>
    <s v="144062"/>
    <x v="16"/>
    <s v="Amit Singh"/>
    <s v="07/09/2022"/>
    <s v="Order"/>
    <s v="Wireless Keyboard"/>
    <s v="Keyboard"/>
    <x v="6"/>
    <n v="1150"/>
    <n v="1495"/>
    <n v="4"/>
    <n v="4600"/>
    <n v="5980"/>
    <s v="Roshan Kumar"/>
    <n v="3315"/>
  </r>
  <r>
    <s v="144063"/>
    <x v="17"/>
    <s v="Vinod Mehta"/>
    <s v="07/09/2022"/>
    <s v="Processing"/>
    <s v="USB Mouse"/>
    <s v="Mouse"/>
    <x v="0"/>
    <n v="350"/>
    <n v="455"/>
    <n v="3"/>
    <n v="1050"/>
    <n v="1365"/>
    <s v="Aarvi Gupta"/>
    <n v="1690"/>
  </r>
  <r>
    <s v="144064"/>
    <x v="27"/>
    <s v="Jignesh Mhatre"/>
    <s v="07/09/2022"/>
    <s v="Delivered"/>
    <s v="19&quot; LED Display"/>
    <s v="Monitor"/>
    <x v="6"/>
    <n v="9500"/>
    <n v="12350"/>
    <n v="1"/>
    <n v="9500"/>
    <n v="12350"/>
    <s v="Vijay Singh"/>
    <n v="9750"/>
  </r>
  <r>
    <s v="144065"/>
    <x v="22"/>
    <s v="Rahul Kashyap"/>
    <s v="07/09/2022"/>
    <s v="Shipped"/>
    <s v="140 TB HDD"/>
    <s v="HDD"/>
    <x v="10"/>
    <n v="10000"/>
    <n v="13000"/>
    <n v="1"/>
    <n v="10000"/>
    <n v="13000"/>
    <s v="Aadil Khan"/>
    <n v="39000"/>
  </r>
  <r>
    <s v="144066"/>
    <x v="28"/>
    <s v="Mohammed Abdul Kaleem"/>
    <s v="07/09/2022"/>
    <s v="Order"/>
    <s v="650 GB M.2"/>
    <s v="SSD"/>
    <x v="0"/>
    <n v="6500"/>
    <n v="8450"/>
    <n v="3"/>
    <n v="19500"/>
    <n v="25350"/>
    <s v="Advika Joshi"/>
    <n v="8450"/>
  </r>
  <r>
    <s v="144067"/>
    <x v="29"/>
    <s v="Chandrakant Kasbe"/>
    <s v="07/09/2022"/>
    <s v="Processing"/>
    <s v="RYZEN 3rd gen. 3638"/>
    <s v="CPU"/>
    <x v="1"/>
    <n v="8500"/>
    <n v="11050"/>
    <n v="2"/>
    <n v="17000"/>
    <n v="22100"/>
    <s v="Ajay Sharma"/>
    <n v="33150"/>
  </r>
  <r>
    <s v="144068"/>
    <x v="30"/>
    <s v="Rohan Kale"/>
    <s v="07/09/2022"/>
    <s v="Delivered"/>
    <s v="2GB Graphic Card"/>
    <s v="Graphic Card"/>
    <x v="2"/>
    <n v="7000"/>
    <n v="9100"/>
    <n v="1"/>
    <n v="7000"/>
    <n v="9100"/>
    <s v="Roshan Kumar"/>
    <n v="18200"/>
  </r>
  <r>
    <s v="144069"/>
    <x v="31"/>
    <s v="Aniruddha Kekapure"/>
    <s v="07/09/2022"/>
    <s v="Shipped"/>
    <s v="154 GB DDR4 RAM"/>
    <s v="RAM"/>
    <x v="3"/>
    <n v="6550"/>
    <n v="8515"/>
    <n v="3"/>
    <n v="19650"/>
    <n v="25545"/>
    <s v="Aarvi Gupta"/>
    <n v="25545"/>
  </r>
  <r>
    <s v="144070"/>
    <x v="32"/>
    <s v="Aslam Raza"/>
    <s v="07/09/2022"/>
    <s v="Order"/>
    <s v="Standard ATX motherboard"/>
    <s v="MotherBoard"/>
    <x v="4"/>
    <n v="7650"/>
    <n v="9945"/>
    <n v="4"/>
    <n v="30600"/>
    <n v="39780"/>
    <s v="Vijay Singh"/>
    <n v="39780"/>
  </r>
  <r>
    <s v="144071"/>
    <x v="0"/>
    <s v="Roshan Zameer"/>
    <s v="07/09/2022"/>
    <s v="Processing"/>
    <s v="Compact with 1 Fan"/>
    <s v="Cabinet"/>
    <x v="5"/>
    <n v="1150"/>
    <n v="1495"/>
    <n v="2"/>
    <n v="2300"/>
    <n v="2990"/>
    <s v="Aadil Khan"/>
    <n v="2990"/>
  </r>
  <r>
    <s v="144072"/>
    <x v="23"/>
    <s v="Rakesh Kumar Sharma"/>
    <s v="07/09/2022"/>
    <s v="Delivered"/>
    <s v="USB Backlight Keyboard"/>
    <s v="Keyboard"/>
    <x v="6"/>
    <n v="850"/>
    <n v="1105"/>
    <n v="2"/>
    <n v="1700"/>
    <n v="2210"/>
    <s v="Advika Joshi"/>
    <n v="3315"/>
  </r>
  <r>
    <s v="144073"/>
    <x v="1"/>
    <s v="Shivanand Sahani"/>
    <s v="07/09/2022"/>
    <s v="Shipped"/>
    <s v="Ergonomic Mouse"/>
    <s v="Mouse"/>
    <x v="0"/>
    <n v="650"/>
    <n v="845"/>
    <n v="3"/>
    <n v="1950"/>
    <n v="2535"/>
    <s v="Ajay Sharma"/>
    <n v="1690"/>
  </r>
  <r>
    <s v="144074"/>
    <x v="2"/>
    <s v="Kunal Patra"/>
    <s v="07/09/2022"/>
    <s v="Order"/>
    <s v="15&quot; LCD Dsipaly"/>
    <s v="Monitor"/>
    <x v="6"/>
    <n v="7500"/>
    <n v="9750"/>
    <n v="4"/>
    <n v="30000"/>
    <n v="39000"/>
    <s v="Roshan Kumar"/>
    <n v="9750"/>
  </r>
  <r>
    <s v="144075"/>
    <x v="3"/>
    <s v="Bijendra"/>
    <s v="07/09/2022"/>
    <s v="Processing"/>
    <s v="140 TB HDD"/>
    <s v="HDD"/>
    <x v="7"/>
    <n v="10000"/>
    <n v="13000"/>
    <n v="3"/>
    <n v="30000"/>
    <n v="39000"/>
    <s v="Aarvi Gupta"/>
    <n v="39000"/>
  </r>
  <r>
    <s v="144076"/>
    <x v="24"/>
    <s v="Kranti Bheke"/>
    <s v="07/09/2022"/>
    <s v="Delivered"/>
    <s v="139 TB SSD"/>
    <s v="SSD"/>
    <x v="0"/>
    <n v="10500"/>
    <n v="13650"/>
    <n v="1"/>
    <n v="10500"/>
    <n v="13650"/>
    <s v="Vijay Singh"/>
    <n v="8450"/>
  </r>
  <r>
    <s v="144077"/>
    <x v="25"/>
    <s v="Jagdeep"/>
    <s v="07/09/2022"/>
    <s v="Shipped"/>
    <s v="Intel i5 12th gen."/>
    <s v="CPU"/>
    <x v="1"/>
    <n v="8500"/>
    <n v="11050"/>
    <n v="2"/>
    <n v="17000"/>
    <n v="22100"/>
    <s v="Aadil Khan"/>
    <n v="33150"/>
  </r>
  <r>
    <s v="144078"/>
    <x v="33"/>
    <s v="Adhir Samal"/>
    <s v="07/09/2022"/>
    <s v="Order"/>
    <s v="2GB Graphic Card"/>
    <s v="Graphic Card"/>
    <x v="2"/>
    <n v="7000"/>
    <n v="9100"/>
    <n v="1"/>
    <n v="7000"/>
    <n v="9100"/>
    <s v="Advika Joshi"/>
    <n v="18200"/>
  </r>
  <r>
    <s v="144079"/>
    <x v="34"/>
    <s v="Dannana Jhammi"/>
    <s v="07/09/2022"/>
    <s v="Processing"/>
    <s v="142 GB DDR4 Ram"/>
    <s v="RAM"/>
    <x v="3"/>
    <n v="1680"/>
    <n v="2184"/>
    <n v="4"/>
    <n v="6720"/>
    <n v="8736"/>
    <s v="Ajay Sharma"/>
    <n v="25545"/>
  </r>
  <r>
    <s v="144080"/>
    <x v="4"/>
    <s v="Vipin Kumar"/>
    <s v="07/09/2022"/>
    <s v="Delivered"/>
    <s v="Micro ATX motherboard"/>
    <s v="MotherBoard"/>
    <x v="8"/>
    <n v="6540"/>
    <n v="8502"/>
    <n v="4"/>
    <n v="26160"/>
    <n v="34008"/>
    <s v="Roshan Kumar"/>
    <n v="39780"/>
  </r>
  <r>
    <s v="144081"/>
    <x v="5"/>
    <s v="Ranjeet Kumar"/>
    <s v="07/09/2022"/>
    <s v="Shipped"/>
    <s v="Gaming Box Cabinet"/>
    <s v="Cabinet"/>
    <x v="5"/>
    <n v="2680"/>
    <n v="3484"/>
    <n v="2"/>
    <n v="5360"/>
    <n v="6968"/>
    <s v="Aarvi Gupta"/>
    <n v="2990"/>
  </r>
  <r>
    <s v="144082"/>
    <x v="6"/>
    <s v="Sajal Singhal"/>
    <s v="07/09/2022"/>
    <s v="Order"/>
    <s v="17&quot; LCD Display"/>
    <s v="Monitor"/>
    <x v="0"/>
    <n v="8250"/>
    <n v="10725"/>
    <n v="4"/>
    <n v="33000"/>
    <n v="42900"/>
    <s v="Vijay Singh"/>
    <n v="9750"/>
  </r>
  <r>
    <s v="144083"/>
    <x v="7"/>
    <s v="Akhilesh Kumar"/>
    <s v="07/09/2022"/>
    <s v="Processing"/>
    <s v="146 GB DDR4 RAM"/>
    <s v="RAM"/>
    <x v="0"/>
    <n v="2650"/>
    <n v="3445"/>
    <n v="1"/>
    <n v="2650"/>
    <n v="3445"/>
    <s v="Aadil Khan"/>
    <n v="25545"/>
  </r>
  <r>
    <s v="144084"/>
    <x v="26"/>
    <s v="Suvankar Chakraborty"/>
    <s v="07/09/2022"/>
    <s v="Delivered"/>
    <s v="26&quot; LCD Display"/>
    <s v="Monitor"/>
    <x v="9"/>
    <n v="12550"/>
    <n v="16315"/>
    <n v="1"/>
    <n v="12550"/>
    <n v="16315"/>
    <s v="Advika Joshi"/>
    <n v="9750"/>
  </r>
  <r>
    <s v="144085"/>
    <x v="27"/>
    <s v="Suvankar Adhikary"/>
    <s v="07/09/2022"/>
    <s v="Shipped"/>
    <s v="I7 - intel 12th Generation"/>
    <s v="CPU"/>
    <x v="1"/>
    <n v="14500"/>
    <n v="18850"/>
    <n v="2"/>
    <n v="29000"/>
    <n v="37700"/>
    <s v="Ajay Sharma"/>
    <n v="33150"/>
  </r>
  <r>
    <s v="144086"/>
    <x v="8"/>
    <s v="Rahul Kumar Prajapati"/>
    <s v="07/09/2022"/>
    <s v="Order"/>
    <s v="USB Keyboard"/>
    <s v="Keyboard"/>
    <x v="6"/>
    <n v="800"/>
    <n v="1040"/>
    <n v="4"/>
    <n v="3200"/>
    <n v="4160"/>
    <s v="Roshan Kumar"/>
    <n v="3315"/>
  </r>
  <r>
    <s v="144087"/>
    <x v="9"/>
    <s v="Sagar Jeur"/>
    <s v="07/09/2022"/>
    <s v="Processing"/>
    <s v="Wireless Mouse"/>
    <s v="Mouse"/>
    <x v="0"/>
    <n v="600"/>
    <n v="780"/>
    <n v="2"/>
    <n v="1200"/>
    <n v="1560"/>
    <s v="Aarvi Gupta"/>
    <n v="1690"/>
  </r>
  <r>
    <s v="144088"/>
    <x v="10"/>
    <s v="Rhushikesh Mane"/>
    <s v="07/09/2022"/>
    <s v="Delivered"/>
    <s v="21&quot; LCD Display"/>
    <s v="Monitor"/>
    <x v="6"/>
    <n v="10500"/>
    <n v="13650"/>
    <n v="2"/>
    <n v="21000"/>
    <n v="27300"/>
    <s v="Vijay Singh"/>
    <n v="9750"/>
  </r>
  <r>
    <s v="144089"/>
    <x v="11"/>
    <s v="Ashish Kumar"/>
    <s v="07/09/2022"/>
    <s v="Shipped"/>
    <s v="140 TB HDD"/>
    <s v="HDD"/>
    <x v="10"/>
    <n v="6500"/>
    <n v="8450"/>
    <n v="1"/>
    <n v="6500"/>
    <n v="8450"/>
    <s v="Aadil Khan"/>
    <n v="39000"/>
  </r>
  <r>
    <s v="144090"/>
    <x v="12"/>
    <s v="Javed Akhter"/>
    <s v="07/09/2022"/>
    <s v="Order"/>
    <s v="395 GB SSD"/>
    <s v="SSD"/>
    <x v="0"/>
    <n v="4500"/>
    <n v="5850"/>
    <n v="3"/>
    <n v="13500"/>
    <n v="17550"/>
    <s v="Advika Joshi"/>
    <n v="8450"/>
  </r>
  <r>
    <s v="144091"/>
    <x v="13"/>
    <s v="Haridas Balraj"/>
    <s v="07/09/2022"/>
    <s v="Processing"/>
    <s v="Intel i3 11th gen."/>
    <s v="CPU"/>
    <x v="1"/>
    <n v="8500"/>
    <n v="11050"/>
    <n v="2"/>
    <n v="17000"/>
    <n v="22100"/>
    <s v="Ajay Sharma"/>
    <n v="33150"/>
  </r>
  <r>
    <s v="144092"/>
    <x v="14"/>
    <s v="Kundan Kumar"/>
    <s v="07/09/2022"/>
    <s v="Delivered"/>
    <s v="4GB Graphic card"/>
    <s v="Graphic Card"/>
    <x v="2"/>
    <n v="12500"/>
    <n v="16250"/>
    <n v="3"/>
    <n v="37500"/>
    <n v="48750"/>
    <s v="Roshan Kumar"/>
    <n v="18200"/>
  </r>
  <r>
    <s v="144093"/>
    <x v="15"/>
    <s v="Atif Siddiqui"/>
    <s v="07/09/2022"/>
    <s v="Shipped"/>
    <s v="147 GB DDR4 RAM"/>
    <s v="Computer Case"/>
    <x v="3"/>
    <n v="3500"/>
    <n v="4550"/>
    <n v="3"/>
    <n v="10500"/>
    <n v="13650"/>
    <s v="Aarvi Gupta"/>
    <n v="13650"/>
  </r>
  <r>
    <s v="144094"/>
    <x v="16"/>
    <s v="Aditya Agarwal"/>
    <s v="07/09/2022"/>
    <s v="Order"/>
    <s v="BTX motherboard"/>
    <s v="Mouse"/>
    <x v="4"/>
    <n v="4500"/>
    <n v="5850"/>
    <n v="3"/>
    <n v="13500"/>
    <n v="17550"/>
    <s v="Vijay Singh"/>
    <n v="1690"/>
  </r>
  <r>
    <s v="144095"/>
    <x v="17"/>
    <s v="Firdoush Jabee"/>
    <s v="07/09/2022"/>
    <s v="Processing"/>
    <s v="142 Fans Cabinet"/>
    <s v="Cabinet"/>
    <x v="5"/>
    <n v="2100"/>
    <n v="2730"/>
    <n v="2"/>
    <n v="4200"/>
    <n v="5460"/>
    <s v="Aadil Khan"/>
    <n v="2990"/>
  </r>
  <r>
    <s v="144096"/>
    <x v="18"/>
    <s v="Jay Prakash Kumar"/>
    <s v="07/09/2022"/>
    <s v="Delivered"/>
    <s v="Wireless Keyboard"/>
    <s v="Keyboard"/>
    <x v="6"/>
    <n v="1150"/>
    <n v="1495"/>
    <n v="2"/>
    <n v="2300"/>
    <n v="2990"/>
    <s v="Advika Joshi"/>
    <n v="3315"/>
  </r>
  <r>
    <s v="144097"/>
    <x v="19"/>
    <s v="Ashish Pandey"/>
    <s v="07/09/2022"/>
    <s v="Shipped"/>
    <s v="USB Mouse"/>
    <s v="Mouse"/>
    <x v="0"/>
    <n v="350"/>
    <n v="455"/>
    <n v="2"/>
    <n v="700"/>
    <n v="910"/>
    <s v="Ajay Sharma"/>
    <n v="1690"/>
  </r>
  <r>
    <s v="144098"/>
    <x v="20"/>
    <s v="Ajay Sharma"/>
    <s v="07/09/2022"/>
    <s v="Order"/>
    <s v="19&quot; LED Display"/>
    <s v="Monitor"/>
    <x v="6"/>
    <n v="9500"/>
    <n v="12350"/>
    <n v="4"/>
    <n v="38000"/>
    <n v="49400"/>
    <s v="Roshan Kumar"/>
    <n v="9750"/>
  </r>
  <r>
    <s v="144099"/>
    <x v="16"/>
    <s v="Moinuddin Saifi"/>
    <s v="07/09/2022"/>
    <s v="Processing"/>
    <s v="141 TB HDD"/>
    <s v="HDD"/>
    <x v="10"/>
    <n v="10000"/>
    <n v="13000"/>
    <n v="1"/>
    <n v="10000"/>
    <n v="13000"/>
    <s v="Aarvi Gupta"/>
    <n v="39000"/>
  </r>
  <r>
    <s v="144100"/>
    <x v="17"/>
    <s v="Ramkrishna Das Adhikary"/>
    <s v="07/09/2022"/>
    <s v="Delivered"/>
    <s v="651 GB M.2"/>
    <s v="SSD"/>
    <x v="0"/>
    <n v="6500"/>
    <n v="8450"/>
    <n v="1"/>
    <n v="6500"/>
    <n v="8450"/>
    <s v="Vijay Singh"/>
    <n v="8450"/>
  </r>
  <r>
    <s v="144101"/>
    <x v="27"/>
    <s v="Ranjeet Mandal"/>
    <s v="07/09/2022"/>
    <s v="Shipped"/>
    <s v="RYZEN 3rd gen. 3639"/>
    <s v="CPU"/>
    <x v="1"/>
    <n v="8500"/>
    <n v="11050"/>
    <n v="4"/>
    <n v="34000"/>
    <n v="44200"/>
    <s v="Aadil Khan"/>
    <n v="33150"/>
  </r>
  <r>
    <s v="144102"/>
    <x v="22"/>
    <s v="Ashwini Adsare"/>
    <s v="07/09/2022"/>
    <s v="Order"/>
    <s v="2GB Graphic Card"/>
    <s v="Graphic Card"/>
    <x v="2"/>
    <n v="7000"/>
    <n v="9100"/>
    <n v="1"/>
    <n v="7000"/>
    <n v="9100"/>
    <s v="Advika Joshi"/>
    <n v="18200"/>
  </r>
  <r>
    <s v="144103"/>
    <x v="28"/>
    <s v="Rajesh Variya"/>
    <s v="07/09/2022"/>
    <s v="Processing"/>
    <s v="155 GB DDR4 RAM"/>
    <s v="Computer Case"/>
    <x v="3"/>
    <n v="6550"/>
    <n v="8515"/>
    <n v="2"/>
    <n v="13100"/>
    <n v="17030"/>
    <s v="Ajay Sharma"/>
    <n v="13650"/>
  </r>
  <r>
    <s v="144104"/>
    <x v="29"/>
    <s v="Amit Singh"/>
    <s v="07/09/2022"/>
    <s v="Delivered"/>
    <s v="Standard ATX motherboard"/>
    <s v="Mouse"/>
    <x v="4"/>
    <n v="7650"/>
    <n v="9945"/>
    <n v="4"/>
    <n v="30600"/>
    <n v="39780"/>
    <s v="Roshan Kumar"/>
    <n v="1690"/>
  </r>
  <r>
    <s v="144105"/>
    <x v="30"/>
    <s v="Vinod Mehta"/>
    <s v="07/09/2022"/>
    <s v="Shipped"/>
    <s v="Compact with 1 Fan"/>
    <s v="Cabinet"/>
    <x v="5"/>
    <n v="1150"/>
    <n v="1495"/>
    <n v="3"/>
    <n v="3450"/>
    <n v="4485"/>
    <s v="Aarvi Gupta"/>
    <n v="2990"/>
  </r>
  <r>
    <s v="144106"/>
    <x v="31"/>
    <s v="Jignesh Mhatre"/>
    <s v="07/09/2022"/>
    <s v="Order"/>
    <s v="USB Backlight Keyboard"/>
    <s v="Keyboard"/>
    <x v="6"/>
    <n v="850"/>
    <n v="1105"/>
    <n v="1"/>
    <n v="850"/>
    <n v="1105"/>
    <s v="Vijay Singh"/>
    <n v="3315"/>
  </r>
  <r>
    <s v="144107"/>
    <x v="32"/>
    <s v="Rahul Kashyap"/>
    <s v="07/09/2022"/>
    <s v="Processing"/>
    <s v="Ergonomic Mouse"/>
    <s v="Mouse"/>
    <x v="0"/>
    <n v="650"/>
    <n v="845"/>
    <n v="4"/>
    <n v="2600"/>
    <n v="3380"/>
    <s v="Aadil Khan"/>
    <n v="1690"/>
  </r>
  <r>
    <s v="144108"/>
    <x v="0"/>
    <s v="Mohammed Abdul Kaleem"/>
    <s v="07/09/2022"/>
    <s v="Delivered"/>
    <s v="15&quot; LCD Dsipaly"/>
    <s v="Monitor"/>
    <x v="6"/>
    <n v="7500"/>
    <n v="9750"/>
    <n v="2"/>
    <n v="15000"/>
    <n v="19500"/>
    <s v="Advika Joshi"/>
    <n v="9750"/>
  </r>
  <r>
    <s v="144109"/>
    <x v="23"/>
    <s v="Chandrakant Kasbe"/>
    <s v="07/09/2022"/>
    <s v="Shipped"/>
    <s v="141 TB HDD"/>
    <s v="HDD"/>
    <x v="7"/>
    <n v="10000"/>
    <n v="13000"/>
    <n v="4"/>
    <n v="40000"/>
    <n v="52000"/>
    <s v="Ajay Sharma"/>
    <n v="39000"/>
  </r>
  <r>
    <s v="144110"/>
    <x v="1"/>
    <s v="Rohan Kale"/>
    <s v="07/09/2022"/>
    <s v="Order"/>
    <s v="140 TB SSD"/>
    <s v="SSD"/>
    <x v="0"/>
    <n v="10500"/>
    <n v="13650"/>
    <n v="3"/>
    <n v="31500"/>
    <n v="40950"/>
    <s v="Roshan Kumar"/>
    <n v="8450"/>
  </r>
  <r>
    <s v="144111"/>
    <x v="2"/>
    <s v="Aniruddha Kekapure"/>
    <s v="07/09/2022"/>
    <s v="Processing"/>
    <s v="Intel i5 12th gen."/>
    <s v="CPU"/>
    <x v="1"/>
    <n v="8500"/>
    <n v="11050"/>
    <n v="3"/>
    <n v="25500"/>
    <n v="33150"/>
    <s v="Aarvi Gupta"/>
    <n v="33150"/>
  </r>
  <r>
    <s v="144112"/>
    <x v="3"/>
    <s v="Aslam Raza"/>
    <s v="07/09/2022"/>
    <s v="Delivered"/>
    <s v="2GB Graphic Card"/>
    <s v="Graphic Card"/>
    <x v="2"/>
    <n v="7000"/>
    <n v="9100"/>
    <n v="2"/>
    <n v="14000"/>
    <n v="18200"/>
    <s v="Vijay Singh"/>
    <n v="18200"/>
  </r>
  <r>
    <s v="144113"/>
    <x v="24"/>
    <s v="Roshan Zameer"/>
    <s v="07/09/2022"/>
    <s v="Shipped"/>
    <s v="143 GB DDR4 Ram"/>
    <s v="Computer Case"/>
    <x v="3"/>
    <n v="1680"/>
    <n v="2184"/>
    <n v="1"/>
    <n v="1680"/>
    <n v="2184"/>
    <s v="Aadil Khan"/>
    <n v="13650"/>
  </r>
  <r>
    <s v="144114"/>
    <x v="25"/>
    <s v="Rakesh Kumar Sharma"/>
    <s v="07/09/2022"/>
    <s v="Order"/>
    <s v="Micro ATX motherboard"/>
    <s v="Mouse"/>
    <x v="8"/>
    <n v="6540"/>
    <n v="8502"/>
    <n v="1"/>
    <n v="6540"/>
    <n v="8502"/>
    <s v="Advika Joshi"/>
    <n v="1690"/>
  </r>
  <r>
    <s v="144115"/>
    <x v="33"/>
    <s v="Shivanand Sahani"/>
    <s v="07/09/2022"/>
    <s v="Processing"/>
    <s v="Gaming Box Cabinet"/>
    <s v="Cabinet"/>
    <x v="5"/>
    <n v="2680"/>
    <n v="3484"/>
    <n v="2"/>
    <n v="5360"/>
    <n v="6968"/>
    <s v="Ajay Sharma"/>
    <n v="2990"/>
  </r>
  <r>
    <s v="144116"/>
    <x v="34"/>
    <s v="Kunal Patra"/>
    <s v="07/09/2022"/>
    <s v="Delivered"/>
    <s v="17&quot; LCD Display"/>
    <s v="Monitor"/>
    <x v="0"/>
    <n v="8250"/>
    <n v="10725"/>
    <n v="2"/>
    <n v="16500"/>
    <n v="21450"/>
    <s v="Roshan Kumar"/>
    <n v="9750"/>
  </r>
  <r>
    <s v="144117"/>
    <x v="4"/>
    <s v="Bijendra"/>
    <s v="07/09/2022"/>
    <s v="Shipped"/>
    <s v="147 GB DDR4 RAM"/>
    <s v="RAM"/>
    <x v="0"/>
    <n v="2650"/>
    <n v="3445"/>
    <n v="4"/>
    <n v="10600"/>
    <n v="13780"/>
    <s v="Aarvi Gupta"/>
    <n v="25545"/>
  </r>
  <r>
    <s v="144118"/>
    <x v="5"/>
    <s v="Kranti Bheke"/>
    <s v="07/09/2022"/>
    <s v="Order"/>
    <s v="26&quot; LCD Display"/>
    <s v="Monitor"/>
    <x v="9"/>
    <n v="12550"/>
    <n v="16315"/>
    <n v="1"/>
    <n v="12550"/>
    <n v="16315"/>
    <s v="Vijay Singh"/>
    <n v="9750"/>
  </r>
  <r>
    <s v="144119"/>
    <x v="6"/>
    <s v="Jagdeep"/>
    <s v="07/09/2022"/>
    <s v="Processing"/>
    <s v="I7 - intel 12th Generation"/>
    <s v="CPU"/>
    <x v="1"/>
    <n v="14500"/>
    <n v="18850"/>
    <n v="2"/>
    <n v="29000"/>
    <n v="37700"/>
    <s v="Aadil Khan"/>
    <n v="33150"/>
  </r>
  <r>
    <s v="144120"/>
    <x v="7"/>
    <s v="Adhir Samal"/>
    <s v="07/09/2022"/>
    <s v="Delivered"/>
    <s v="USB Keyboard"/>
    <s v="Keyboard"/>
    <x v="6"/>
    <n v="800"/>
    <n v="1040"/>
    <n v="3"/>
    <n v="2400"/>
    <n v="3120"/>
    <s v="Advika Joshi"/>
    <n v="3315"/>
  </r>
  <r>
    <s v="144121"/>
    <x v="26"/>
    <s v="Dannana Jhammi"/>
    <s v="07/09/2022"/>
    <s v="Shipped"/>
    <s v="Wireless Mouse"/>
    <s v="Mouse"/>
    <x v="0"/>
    <n v="600"/>
    <n v="780"/>
    <n v="4"/>
    <n v="2400"/>
    <n v="3120"/>
    <s v="Ajay Sharma"/>
    <n v="1690"/>
  </r>
  <r>
    <s v="144122"/>
    <x v="27"/>
    <s v="Vipin Kumar"/>
    <s v="07/09/2022"/>
    <s v="Order"/>
    <s v="21&quot; LCD Display"/>
    <s v="Monitor"/>
    <x v="6"/>
    <n v="10500"/>
    <n v="13650"/>
    <n v="1"/>
    <n v="10500"/>
    <n v="13650"/>
    <s v="Roshan Kumar"/>
    <n v="9750"/>
  </r>
  <r>
    <s v="144123"/>
    <x v="8"/>
    <s v="Ranjeet Kumar"/>
    <s v="07/09/2022"/>
    <s v="Processing"/>
    <s v="141 TB HDD"/>
    <s v="HDD"/>
    <x v="10"/>
    <n v="6500"/>
    <n v="8450"/>
    <n v="2"/>
    <n v="13000"/>
    <n v="16900"/>
    <s v="Aarvi Gupta"/>
    <n v="39000"/>
  </r>
  <r>
    <s v="144124"/>
    <x v="9"/>
    <s v="Sajal Singhal"/>
    <s v="07/09/2022"/>
    <s v="Delivered"/>
    <s v="396 GB SSD"/>
    <s v="SSD"/>
    <x v="0"/>
    <n v="4500"/>
    <n v="5850"/>
    <n v="3"/>
    <n v="13500"/>
    <n v="17550"/>
    <s v="Vijay Singh"/>
    <n v="8450"/>
  </r>
  <r>
    <s v="144125"/>
    <x v="10"/>
    <s v="Akhilesh Kumar"/>
    <s v="07/09/2022"/>
    <s v="Shipped"/>
    <s v="Intel i3 11th gen."/>
    <s v="CPU"/>
    <x v="1"/>
    <n v="8500"/>
    <n v="11050"/>
    <n v="1"/>
    <n v="8500"/>
    <n v="11050"/>
    <s v="Aadil Khan"/>
    <n v="33150"/>
  </r>
  <r>
    <s v="144126"/>
    <x v="11"/>
    <s v="Suvankar Chakraborty"/>
    <s v="07/09/2022"/>
    <s v="Order"/>
    <s v="4GB Graphic card"/>
    <s v="Graphic Card"/>
    <x v="2"/>
    <n v="12500"/>
    <n v="16250"/>
    <n v="2"/>
    <n v="25000"/>
    <n v="32500"/>
    <s v="Advika Joshi"/>
    <n v="18200"/>
  </r>
  <r>
    <s v="144127"/>
    <x v="12"/>
    <s v="Suvankar Adhikary"/>
    <s v="07/09/2022"/>
    <s v="Processing"/>
    <s v="148 GB DDR4 RAM"/>
    <s v="NIC"/>
    <x v="3"/>
    <n v="3500"/>
    <n v="4550"/>
    <n v="1"/>
    <n v="3500"/>
    <n v="4550"/>
    <s v="Ajay Sharma"/>
    <n v="9100"/>
  </r>
  <r>
    <s v="144128"/>
    <x v="13"/>
    <s v="Rahul Kumar Prajapati"/>
    <s v="07/09/2022"/>
    <s v="Delivered"/>
    <s v="BTX motherboard"/>
    <s v="Printer"/>
    <x v="4"/>
    <n v="4500"/>
    <n v="5850"/>
    <n v="4"/>
    <n v="18000"/>
    <n v="23400"/>
    <s v="Roshan Kumar"/>
    <n v="11700"/>
  </r>
  <r>
    <s v="144129"/>
    <x v="14"/>
    <s v="Sagar Jeur"/>
    <s v="07/09/2022"/>
    <s v="Shipped"/>
    <s v="143 Fans Cabinet"/>
    <s v="Cabinet"/>
    <x v="5"/>
    <n v="2100"/>
    <n v="2730"/>
    <n v="4"/>
    <n v="8400"/>
    <n v="10920"/>
    <s v="Aarvi Gupta"/>
    <n v="2990"/>
  </r>
  <r>
    <s v="144130"/>
    <x v="15"/>
    <s v="Rhushikesh Mane"/>
    <s v="08/09/2022"/>
    <s v="Order"/>
    <s v="Wireless Keyboard"/>
    <s v="Keyboard"/>
    <x v="6"/>
    <n v="1150"/>
    <n v="1495"/>
    <n v="4"/>
    <n v="4600"/>
    <n v="5980"/>
    <s v="Vijay Singh"/>
    <n v="3315"/>
  </r>
  <r>
    <s v="144131"/>
    <x v="16"/>
    <s v="Ashish Kumar"/>
    <s v="09/09/2022"/>
    <s v="Processing"/>
    <s v="USB Mouse"/>
    <s v="Mouse"/>
    <x v="0"/>
    <n v="350"/>
    <n v="455"/>
    <n v="4"/>
    <n v="1400"/>
    <n v="1820"/>
    <s v="Aadil Khan"/>
    <n v="1690"/>
  </r>
  <r>
    <s v="144132"/>
    <x v="17"/>
    <s v="Javed Akhter"/>
    <s v="10/09/2022"/>
    <s v="Delivered"/>
    <s v="19&quot; LED Display"/>
    <s v="Monitor"/>
    <x v="6"/>
    <n v="9500"/>
    <n v="12350"/>
    <n v="4"/>
    <n v="38000"/>
    <n v="49400"/>
    <s v="Advika Joshi"/>
    <n v="9750"/>
  </r>
  <r>
    <s v="144133"/>
    <x v="18"/>
    <s v="Haridas Balraj"/>
    <s v="10/09/2022"/>
    <s v="Shipped"/>
    <s v="142 TB HDD"/>
    <s v="HDD"/>
    <x v="10"/>
    <n v="10000"/>
    <n v="13000"/>
    <n v="4"/>
    <n v="40000"/>
    <n v="52000"/>
    <s v="Ajay Sharma"/>
    <n v="39000"/>
  </r>
  <r>
    <s v="144134"/>
    <x v="19"/>
    <s v="Kundan Kumar"/>
    <s v="10/09/2022"/>
    <s v="Order"/>
    <s v="652 GB M.2"/>
    <s v="SSD"/>
    <x v="0"/>
    <n v="6500"/>
    <n v="8450"/>
    <n v="2"/>
    <n v="13000"/>
    <n v="16900"/>
    <s v="Roshan Kumar"/>
    <n v="8450"/>
  </r>
  <r>
    <s v="144135"/>
    <x v="20"/>
    <s v="Atif Siddiqui"/>
    <s v="10/09/2022"/>
    <s v="Processing"/>
    <s v="RYZEN 3rd gen. 3640"/>
    <s v="CPU"/>
    <x v="1"/>
    <n v="8500"/>
    <n v="11050"/>
    <n v="1"/>
    <n v="8500"/>
    <n v="11050"/>
    <s v="Aarvi Gupta"/>
    <n v="33150"/>
  </r>
  <r>
    <s v="144136"/>
    <x v="16"/>
    <s v="Aditya Agarwal"/>
    <s v="10/09/2022"/>
    <s v="Delivered"/>
    <s v="2GB Graphic Card"/>
    <s v="Graphic Card"/>
    <x v="2"/>
    <n v="7000"/>
    <n v="9100"/>
    <n v="2"/>
    <n v="14000"/>
    <n v="18200"/>
    <s v="Vijay Singh"/>
    <n v="18200"/>
  </r>
  <r>
    <s v="144137"/>
    <x v="17"/>
    <s v="Firdoush Jabee"/>
    <s v="10/09/2022"/>
    <s v="Shipped"/>
    <s v="156 GB DDR4 RAM"/>
    <s v="NIC"/>
    <x v="3"/>
    <n v="6550"/>
    <n v="8515"/>
    <n v="1"/>
    <n v="6550"/>
    <n v="8515"/>
    <s v="Aadil Khan"/>
    <n v="9100"/>
  </r>
  <r>
    <s v="144138"/>
    <x v="27"/>
    <s v="Jay Prakash Kumar"/>
    <s v="10/09/2022"/>
    <s v="Order"/>
    <s v="Standard ATX motherboard"/>
    <s v="Printer"/>
    <x v="4"/>
    <n v="7650"/>
    <n v="9945"/>
    <n v="1"/>
    <n v="7650"/>
    <n v="9945"/>
    <s v="Advika Joshi"/>
    <n v="11700"/>
  </r>
  <r>
    <s v="144139"/>
    <x v="22"/>
    <s v="Ashish Pandey"/>
    <s v="10/09/2022"/>
    <s v="Processing"/>
    <s v="Compact with 1 Fan"/>
    <s v="Cabinet"/>
    <x v="5"/>
    <n v="1150"/>
    <n v="1495"/>
    <n v="1"/>
    <n v="1150"/>
    <n v="1495"/>
    <s v="Ajay Sharma"/>
    <n v="2990"/>
  </r>
  <r>
    <s v="144140"/>
    <x v="28"/>
    <s v="Ajay Sharma"/>
    <s v="10/09/2022"/>
    <s v="Delivered"/>
    <s v="USB Backlight Keyboard"/>
    <s v="Keyboard"/>
    <x v="6"/>
    <n v="850"/>
    <n v="1105"/>
    <n v="4"/>
    <n v="3400"/>
    <n v="4420"/>
    <s v="Roshan Kumar"/>
    <n v="3315"/>
  </r>
  <r>
    <s v="144141"/>
    <x v="29"/>
    <s v="Moinuddin Saifi"/>
    <s v="10/09/2022"/>
    <s v="Shipped"/>
    <s v="Ergonomic Mouse"/>
    <s v="Mouse"/>
    <x v="0"/>
    <n v="650"/>
    <n v="845"/>
    <n v="4"/>
    <n v="2600"/>
    <n v="3380"/>
    <s v="Aarvi Gupta"/>
    <n v="1690"/>
  </r>
  <r>
    <s v="144142"/>
    <x v="30"/>
    <s v="Ramkrishna Das Adhikary"/>
    <s v="10/09/2022"/>
    <s v="Order"/>
    <s v="15&quot; LCD Dsipaly"/>
    <s v="Monitor"/>
    <x v="6"/>
    <n v="7500"/>
    <n v="9750"/>
    <n v="3"/>
    <n v="22500"/>
    <n v="29250"/>
    <s v="Vijay Singh"/>
    <n v="9750"/>
  </r>
  <r>
    <s v="144143"/>
    <x v="31"/>
    <s v="Ranjeet Mandal"/>
    <s v="10/09/2022"/>
    <s v="Processing"/>
    <s v="142 TB HDD"/>
    <s v="HDD"/>
    <x v="7"/>
    <n v="10000"/>
    <n v="13000"/>
    <n v="4"/>
    <n v="40000"/>
    <n v="52000"/>
    <s v="Aadil Khan"/>
    <n v="39000"/>
  </r>
  <r>
    <s v="144144"/>
    <x v="32"/>
    <s v="Ashwini Adsare"/>
    <s v="10/09/2022"/>
    <s v="Delivered"/>
    <s v="141 TB SSD"/>
    <s v="SSD"/>
    <x v="0"/>
    <n v="10500"/>
    <n v="13650"/>
    <n v="4"/>
    <n v="42000"/>
    <n v="54600"/>
    <s v="Advika Joshi"/>
    <n v="8450"/>
  </r>
  <r>
    <s v="144145"/>
    <x v="0"/>
    <s v="Rajesh Variya"/>
    <s v="10/09/2022"/>
    <s v="Shipped"/>
    <s v="Intel i5 12th gen."/>
    <s v="CPU"/>
    <x v="1"/>
    <n v="8500"/>
    <n v="11050"/>
    <n v="2"/>
    <n v="17000"/>
    <n v="22100"/>
    <s v="Ajay Sharma"/>
    <n v="33150"/>
  </r>
  <r>
    <s v="144146"/>
    <x v="23"/>
    <s v="Amit Singh"/>
    <s v="10/09/2022"/>
    <s v="Order"/>
    <s v="2GB Graphic Card"/>
    <s v="Graphic Card"/>
    <x v="2"/>
    <n v="7000"/>
    <n v="9100"/>
    <n v="4"/>
    <n v="28000"/>
    <n v="36400"/>
    <s v="Roshan Kumar"/>
    <n v="18200"/>
  </r>
  <r>
    <s v="144147"/>
    <x v="1"/>
    <s v="Vinod Mehta"/>
    <s v="10/09/2022"/>
    <s v="Processing"/>
    <s v="144 GB DDR4 Ram"/>
    <s v="NIC"/>
    <x v="3"/>
    <n v="1680"/>
    <n v="2184"/>
    <n v="2"/>
    <n v="3360"/>
    <n v="4368"/>
    <s v="Aarvi Gupta"/>
    <n v="9100"/>
  </r>
  <r>
    <s v="144148"/>
    <x v="2"/>
    <s v="Jignesh Mhatre"/>
    <s v="10/09/2022"/>
    <s v="Delivered"/>
    <s v="Micro ATX motherboard"/>
    <s v="Printer"/>
    <x v="8"/>
    <n v="6540"/>
    <n v="8502"/>
    <n v="3"/>
    <n v="19620"/>
    <n v="25506"/>
    <s v="Vijay Singh"/>
    <n v="11700"/>
  </r>
  <r>
    <s v="144149"/>
    <x v="3"/>
    <s v="Rahul Kashyap"/>
    <s v="10/09/2022"/>
    <s v="Shipped"/>
    <s v="Gaming Box Cabinet"/>
    <s v="Cabinet"/>
    <x v="5"/>
    <n v="2680"/>
    <n v="3484"/>
    <n v="3"/>
    <n v="8040"/>
    <n v="10452"/>
    <s v="Aadil Khan"/>
    <n v="2990"/>
  </r>
  <r>
    <s v="144150"/>
    <x v="24"/>
    <s v="Mohammed Abdul Kaleem"/>
    <s v="10/09/2022"/>
    <s v="Order"/>
    <s v="17&quot; LCD Display"/>
    <s v="Monitor"/>
    <x v="0"/>
    <n v="8250"/>
    <n v="10725"/>
    <n v="1"/>
    <n v="8250"/>
    <n v="10725"/>
    <s v="Advika Joshi"/>
    <n v="9750"/>
  </r>
  <r>
    <s v="144151"/>
    <x v="25"/>
    <s v="Chandrakant Kasbe"/>
    <s v="10/09/2022"/>
    <s v="Processing"/>
    <s v="148 GB DDR4 RAM"/>
    <s v="RAM"/>
    <x v="0"/>
    <n v="2650"/>
    <n v="3445"/>
    <n v="2"/>
    <n v="5300"/>
    <n v="6890"/>
    <s v="Ajay Sharma"/>
    <n v="25545"/>
  </r>
  <r>
    <s v="144152"/>
    <x v="33"/>
    <s v="Rohan Kale"/>
    <s v="10/09/2022"/>
    <s v="Delivered"/>
    <s v="26&quot; LCD Display"/>
    <s v="Monitor"/>
    <x v="9"/>
    <n v="12550"/>
    <n v="16315"/>
    <n v="1"/>
    <n v="12550"/>
    <n v="16315"/>
    <s v="Roshan Kumar"/>
    <n v="9750"/>
  </r>
  <r>
    <s v="144153"/>
    <x v="34"/>
    <s v="Aniruddha Kekapure"/>
    <s v="10/09/2022"/>
    <s v="Shipped"/>
    <s v="I7 - intel 12th Generation"/>
    <s v="CPU"/>
    <x v="1"/>
    <n v="14500"/>
    <n v="18850"/>
    <n v="1"/>
    <n v="14500"/>
    <n v="18850"/>
    <s v="Aarvi Gupta"/>
    <n v="33150"/>
  </r>
  <r>
    <s v="144154"/>
    <x v="4"/>
    <s v="Aslam Raza"/>
    <s v="10/09/2022"/>
    <s v="Order"/>
    <s v="USB Keyboard"/>
    <s v="Keyboard"/>
    <x v="6"/>
    <n v="800"/>
    <n v="1040"/>
    <n v="1"/>
    <n v="800"/>
    <n v="1040"/>
    <s v="Vijay Singh"/>
    <n v="3315"/>
  </r>
  <r>
    <s v="144155"/>
    <x v="5"/>
    <s v="Roshan Zameer"/>
    <s v="10/09/2022"/>
    <s v="Processing"/>
    <s v="Wireless Mouse"/>
    <s v="Mouse"/>
    <x v="0"/>
    <n v="600"/>
    <n v="780"/>
    <n v="3"/>
    <n v="1800"/>
    <n v="2340"/>
    <s v="Aadil Khan"/>
    <n v="1690"/>
  </r>
  <r>
    <s v="144156"/>
    <x v="6"/>
    <s v="Rakesh Kumar Sharma"/>
    <s v="10/09/2022"/>
    <s v="Delivered"/>
    <s v="21&quot; LCD Display"/>
    <s v="Monitor"/>
    <x v="6"/>
    <n v="10500"/>
    <n v="13650"/>
    <n v="3"/>
    <n v="31500"/>
    <n v="40950"/>
    <s v="Advika Joshi"/>
    <n v="9750"/>
  </r>
  <r>
    <s v="144157"/>
    <x v="7"/>
    <s v="Shivanand Sahani"/>
    <s v="10/09/2022"/>
    <s v="Shipped"/>
    <s v="142 TB HDD"/>
    <s v="HDD"/>
    <x v="10"/>
    <n v="6500"/>
    <n v="8450"/>
    <n v="2"/>
    <n v="13000"/>
    <n v="16900"/>
    <s v="Ajay Sharma"/>
    <n v="39000"/>
  </r>
  <r>
    <s v="144158"/>
    <x v="26"/>
    <s v="Kunal Patra"/>
    <s v="10/09/2022"/>
    <s v="Order"/>
    <s v="397 GB SSD"/>
    <s v="SSD"/>
    <x v="0"/>
    <n v="4500"/>
    <n v="5850"/>
    <n v="3"/>
    <n v="13500"/>
    <n v="17550"/>
    <s v="Roshan Kumar"/>
    <n v="8450"/>
  </r>
  <r>
    <s v="144159"/>
    <x v="27"/>
    <s v="Bijendra"/>
    <s v="10/09/2022"/>
    <s v="Processing"/>
    <s v="Intel i3 11th gen."/>
    <s v="CPU"/>
    <x v="1"/>
    <n v="8500"/>
    <n v="11050"/>
    <n v="4"/>
    <n v="34000"/>
    <n v="44200"/>
    <s v="Aarvi Gupta"/>
    <n v="33150"/>
  </r>
  <r>
    <s v="144160"/>
    <x v="8"/>
    <s v="Kranti Bheke"/>
    <s v="10/09/2022"/>
    <s v="Delivered"/>
    <s v="4GB Graphic card"/>
    <s v="Graphic Card"/>
    <x v="2"/>
    <n v="12500"/>
    <n v="16250"/>
    <n v="4"/>
    <n v="50000"/>
    <n v="65000"/>
    <s v="Vijay Singh"/>
    <n v="18200"/>
  </r>
  <r>
    <s v="144161"/>
    <x v="9"/>
    <s v="Jagdeep"/>
    <s v="10/09/2022"/>
    <s v="Shipped"/>
    <s v="149 GB DDR4 RAM"/>
    <s v="RAM"/>
    <x v="3"/>
    <n v="3500"/>
    <n v="4550"/>
    <n v="2"/>
    <n v="7000"/>
    <n v="9100"/>
    <s v="Aadil Khan"/>
    <n v="25545"/>
  </r>
  <r>
    <s v="144162"/>
    <x v="10"/>
    <s v="Adhir Samal"/>
    <s v="10/09/2022"/>
    <s v="Order"/>
    <s v="BTX motherboard"/>
    <s v="MotherBoard"/>
    <x v="4"/>
    <n v="4500"/>
    <n v="5850"/>
    <n v="2"/>
    <n v="9000"/>
    <n v="11700"/>
    <s v="Advika Joshi"/>
    <n v="39780"/>
  </r>
  <r>
    <s v="144163"/>
    <x v="11"/>
    <s v="Dannana Jhammi"/>
    <s v="10/09/2022"/>
    <s v="Processing"/>
    <s v="144 Fans Cabinet"/>
    <s v="Cabinet"/>
    <x v="5"/>
    <n v="2100"/>
    <n v="2730"/>
    <n v="2"/>
    <n v="4200"/>
    <n v="5460"/>
    <s v="Ajay Sharma"/>
    <n v="2990"/>
  </r>
  <r>
    <s v="144164"/>
    <x v="12"/>
    <s v="Vipin Kumar"/>
    <s v="10/09/2022"/>
    <s v="Delivered"/>
    <s v="Wireless Keyboard"/>
    <s v="Keyboard"/>
    <x v="6"/>
    <n v="1150"/>
    <n v="1495"/>
    <n v="1"/>
    <n v="1150"/>
    <n v="1495"/>
    <s v="Roshan Kumar"/>
    <n v="3315"/>
  </r>
  <r>
    <s v="144165"/>
    <x v="13"/>
    <s v="Ranjeet Kumar"/>
    <s v="10/09/2022"/>
    <s v="Shipped"/>
    <s v="USB Mouse"/>
    <s v="Mouse"/>
    <x v="0"/>
    <n v="350"/>
    <n v="455"/>
    <n v="2"/>
    <n v="700"/>
    <n v="910"/>
    <s v="Aarvi Gupta"/>
    <n v="1690"/>
  </r>
  <r>
    <s v="144166"/>
    <x v="14"/>
    <s v="Sajal Singhal"/>
    <s v="10/09/2022"/>
    <s v="Order"/>
    <s v="19&quot; LED Display"/>
    <s v="Monitor"/>
    <x v="6"/>
    <n v="9500"/>
    <n v="12350"/>
    <n v="3"/>
    <n v="28500"/>
    <n v="37050"/>
    <s v="Vijay Singh"/>
    <n v="9750"/>
  </r>
  <r>
    <s v="144167"/>
    <x v="15"/>
    <s v="Akhilesh Kumar"/>
    <s v="10/09/2022"/>
    <s v="Processing"/>
    <s v="143 TB HDD"/>
    <s v="HDD"/>
    <x v="10"/>
    <n v="10000"/>
    <n v="13000"/>
    <n v="3"/>
    <n v="30000"/>
    <n v="39000"/>
    <s v="Aadil Khan"/>
    <n v="39000"/>
  </r>
  <r>
    <s v="144168"/>
    <x v="16"/>
    <s v="Suvankar Chakraborty"/>
    <s v="10/09/2022"/>
    <s v="Delivered"/>
    <s v="653 GB M.2"/>
    <s v="SSD"/>
    <x v="0"/>
    <n v="6500"/>
    <n v="8450"/>
    <n v="2"/>
    <n v="13000"/>
    <n v="16900"/>
    <s v="Advika Joshi"/>
    <n v="8450"/>
  </r>
  <r>
    <s v="144169"/>
    <x v="17"/>
    <s v="Suvankar Adhikary"/>
    <s v="10/09/2022"/>
    <s v="Shipped"/>
    <s v="RYZEN 3rd gen. 3641"/>
    <s v="CPU"/>
    <x v="1"/>
    <n v="8500"/>
    <n v="11050"/>
    <n v="3"/>
    <n v="25500"/>
    <n v="33150"/>
    <s v="Ajay Sharma"/>
    <n v="33150"/>
  </r>
  <r>
    <s v="144170"/>
    <x v="18"/>
    <s v="Rahul Kumar Prajapati"/>
    <s v="10/09/2022"/>
    <s v="Order"/>
    <s v="2GB Graphic Card"/>
    <s v="Graphic Card"/>
    <x v="2"/>
    <n v="7000"/>
    <n v="9100"/>
    <n v="3"/>
    <n v="21000"/>
    <n v="27300"/>
    <s v="Roshan Kumar"/>
    <n v="18200"/>
  </r>
  <r>
    <s v="144171"/>
    <x v="19"/>
    <s v="Sagar Jeur"/>
    <s v="10/09/2022"/>
    <s v="Processing"/>
    <s v="157 GB DDR4 RAM"/>
    <s v="RAM"/>
    <x v="3"/>
    <n v="6550"/>
    <n v="8515"/>
    <n v="1"/>
    <n v="6550"/>
    <n v="8515"/>
    <s v="Aarvi Gupta"/>
    <n v="25545"/>
  </r>
  <r>
    <s v="144172"/>
    <x v="20"/>
    <s v="Rhushikesh Mane"/>
    <s v="11/09/2022"/>
    <s v="Delivered"/>
    <s v="Standard ATX motherboard"/>
    <s v="MotherBoard"/>
    <x v="4"/>
    <n v="7650"/>
    <n v="9945"/>
    <n v="4"/>
    <n v="30600"/>
    <n v="39780"/>
    <s v="Vijay Singh"/>
    <n v="39780"/>
  </r>
  <r>
    <s v="144173"/>
    <x v="16"/>
    <s v="Ashish Kumar"/>
    <s v="12/09/2022"/>
    <s v="Shipped"/>
    <s v="Compact with 1 Fan"/>
    <s v="Cabinet"/>
    <x v="5"/>
    <n v="1150"/>
    <n v="1495"/>
    <n v="1"/>
    <n v="1150"/>
    <n v="1495"/>
    <s v="Aadil Khan"/>
    <n v="2990"/>
  </r>
  <r>
    <s v="144174"/>
    <x v="17"/>
    <s v="Javed Akhter"/>
    <s v="13/09/2022"/>
    <s v="Order"/>
    <s v="USB Backlight Keyboard"/>
    <s v="Keyboard"/>
    <x v="6"/>
    <n v="850"/>
    <n v="1105"/>
    <n v="3"/>
    <n v="2550"/>
    <n v="3315"/>
    <s v="Advika Joshi"/>
    <n v="3315"/>
  </r>
  <r>
    <s v="144175"/>
    <x v="27"/>
    <s v="Haridas Balraj"/>
    <s v="14/09/2022"/>
    <s v="Processing"/>
    <s v="Ergonomic Mouse"/>
    <s v="Mouse"/>
    <x v="0"/>
    <n v="650"/>
    <n v="845"/>
    <n v="1"/>
    <n v="650"/>
    <n v="845"/>
    <s v="Ajay Sharma"/>
    <n v="1690"/>
  </r>
  <r>
    <s v="144176"/>
    <x v="22"/>
    <s v="Kundan Kumar"/>
    <s v="15/09/2022"/>
    <s v="Delivered"/>
    <s v="15&quot; LCD Dsipaly"/>
    <s v="Monitor"/>
    <x v="6"/>
    <n v="7500"/>
    <n v="9750"/>
    <n v="4"/>
    <n v="30000"/>
    <n v="39000"/>
    <s v="Roshan Kumar"/>
    <n v="9750"/>
  </r>
  <r>
    <s v="144177"/>
    <x v="28"/>
    <s v="Atif Siddiqui"/>
    <s v="16/09/2022"/>
    <s v="Shipped"/>
    <s v="143 TB HDD"/>
    <s v="HDD"/>
    <x v="7"/>
    <n v="10000"/>
    <n v="13000"/>
    <n v="1"/>
    <n v="10000"/>
    <n v="13000"/>
    <s v="Aarvi Gupta"/>
    <n v="39000"/>
  </r>
  <r>
    <s v="144178"/>
    <x v="29"/>
    <s v="Aditya Agarwal"/>
    <s v="17/09/2022"/>
    <s v="Order"/>
    <s v="142 TB SSD"/>
    <s v="SSD"/>
    <x v="0"/>
    <n v="10500"/>
    <n v="13650"/>
    <n v="4"/>
    <n v="42000"/>
    <n v="54600"/>
    <s v="Vijay Singh"/>
    <n v="8450"/>
  </r>
  <r>
    <s v="144179"/>
    <x v="30"/>
    <s v="Firdoush Jabee"/>
    <s v="18/09/2022"/>
    <s v="Processing"/>
    <s v="Intel i5 12th gen."/>
    <s v="CPU"/>
    <x v="1"/>
    <n v="8500"/>
    <n v="11050"/>
    <n v="3"/>
    <n v="25500"/>
    <n v="33150"/>
    <s v="Aadil Khan"/>
    <n v="33150"/>
  </r>
  <r>
    <s v="144180"/>
    <x v="31"/>
    <s v="Jay Prakash Kumar"/>
    <s v="19/09/2022"/>
    <s v="Delivered"/>
    <s v="2GB Graphic Card"/>
    <s v="Graphic Card"/>
    <x v="2"/>
    <n v="7000"/>
    <n v="9100"/>
    <n v="2"/>
    <n v="14000"/>
    <n v="18200"/>
    <s v="Advika Joshi"/>
    <n v="18200"/>
  </r>
  <r>
    <s v="144181"/>
    <x v="32"/>
    <s v="Ashish Pandey"/>
    <s v="20/09/2022"/>
    <s v="Shipped"/>
    <s v="145 GB DDR4 Ram"/>
    <s v="RAM"/>
    <x v="3"/>
    <n v="1680"/>
    <n v="2184"/>
    <n v="4"/>
    <n v="6720"/>
    <n v="8736"/>
    <s v="Ajay Sharma"/>
    <n v="25545"/>
  </r>
  <r>
    <s v="144182"/>
    <x v="0"/>
    <s v="Ajay Sharma"/>
    <s v="21/09/2022"/>
    <s v="Order"/>
    <s v="Micro ATX motherboard"/>
    <s v="MotherBoard"/>
    <x v="8"/>
    <n v="6540"/>
    <n v="8502"/>
    <n v="1"/>
    <n v="6540"/>
    <n v="8502"/>
    <s v="Roshan Kumar"/>
    <n v="39780"/>
  </r>
  <r>
    <s v="144183"/>
    <x v="23"/>
    <s v="Moinuddin Saifi"/>
    <s v="22/09/2022"/>
    <s v="Processing"/>
    <s v="Gaming Box Cabinet"/>
    <s v="Cabinet"/>
    <x v="5"/>
    <n v="2680"/>
    <n v="3484"/>
    <n v="2"/>
    <n v="5360"/>
    <n v="6968"/>
    <s v="Aarvi Gupta"/>
    <n v="2990"/>
  </r>
  <r>
    <s v="144184"/>
    <x v="1"/>
    <s v="Ramkrishna Das Adhikary"/>
    <s v="23/09/2022"/>
    <s v="Delivered"/>
    <s v="17&quot; LCD Display"/>
    <s v="Monitor"/>
    <x v="0"/>
    <n v="8250"/>
    <n v="10725"/>
    <n v="4"/>
    <n v="33000"/>
    <n v="42900"/>
    <s v="Vijay Singh"/>
    <n v="9750"/>
  </r>
  <r>
    <s v="144185"/>
    <x v="2"/>
    <s v="Ranjeet Mandal"/>
    <s v="24/09/2022"/>
    <s v="Shipped"/>
    <s v="149 GB DDR4 RAM"/>
    <s v="RAM"/>
    <x v="0"/>
    <n v="2650"/>
    <n v="3445"/>
    <n v="1"/>
    <n v="2650"/>
    <n v="3445"/>
    <s v="Aadil Khan"/>
    <n v="25545"/>
  </r>
  <r>
    <s v="144186"/>
    <x v="3"/>
    <s v="Ashwini Adsare"/>
    <s v="25/09/2022"/>
    <s v="Order"/>
    <s v="26&quot; LCD Display"/>
    <s v="Monitor"/>
    <x v="9"/>
    <n v="12550"/>
    <n v="16315"/>
    <n v="4"/>
    <n v="50200"/>
    <n v="65260"/>
    <s v="Advika Joshi"/>
    <n v="9750"/>
  </r>
  <r>
    <s v="144187"/>
    <x v="24"/>
    <s v="Rajesh Variya"/>
    <s v="26/09/2022"/>
    <s v="Processing"/>
    <s v="I7 - intel 12th Generation"/>
    <s v="CPU"/>
    <x v="1"/>
    <n v="14500"/>
    <n v="18850"/>
    <n v="2"/>
    <n v="29000"/>
    <n v="37700"/>
    <s v="Ajay Sharma"/>
    <n v="33150"/>
  </r>
  <r>
    <s v="144188"/>
    <x v="25"/>
    <s v="Amit Singh"/>
    <s v="27/09/2022"/>
    <s v="Delivered"/>
    <s v="USB Keyboard"/>
    <s v="Keyboard"/>
    <x v="6"/>
    <n v="800"/>
    <n v="1040"/>
    <n v="2"/>
    <n v="1600"/>
    <n v="2080"/>
    <s v="Roshan Kumar"/>
    <n v="3315"/>
  </r>
  <r>
    <s v="144189"/>
    <x v="33"/>
    <s v="Vinod Mehta"/>
    <s v="28/09/2022"/>
    <s v="Shipped"/>
    <s v="Wireless Mouse"/>
    <s v="Mouse"/>
    <x v="0"/>
    <n v="600"/>
    <n v="780"/>
    <n v="3"/>
    <n v="1800"/>
    <n v="2340"/>
    <s v="Aarvi Gupta"/>
    <n v="1690"/>
  </r>
  <r>
    <s v="144190"/>
    <x v="34"/>
    <s v="Jignesh Mhatre"/>
    <s v="29/09/2022"/>
    <s v="Order"/>
    <s v="21&quot; LCD Display"/>
    <s v="Monitor"/>
    <x v="6"/>
    <n v="10500"/>
    <n v="13650"/>
    <n v="4"/>
    <n v="42000"/>
    <n v="54600"/>
    <s v="Vijay Singh"/>
    <n v="9750"/>
  </r>
  <r>
    <s v="144191"/>
    <x v="4"/>
    <s v="Rahul Kashyap"/>
    <s v="30/09/2022"/>
    <s v="Processing"/>
    <s v="143 TB HDD"/>
    <s v="HDD"/>
    <x v="10"/>
    <n v="6500"/>
    <n v="8450"/>
    <n v="2"/>
    <n v="13000"/>
    <n v="16900"/>
    <s v="Aadil Khan"/>
    <n v="39000"/>
  </r>
  <r>
    <s v="144192"/>
    <x v="5"/>
    <s v="Mohammed Abdul Kaleem"/>
    <s v="01/10/2022"/>
    <s v="Delivered"/>
    <s v="398 GB SSD"/>
    <s v="SSD"/>
    <x v="0"/>
    <n v="4500"/>
    <n v="5850"/>
    <n v="2"/>
    <n v="9000"/>
    <n v="11700"/>
    <s v="Advika Joshi"/>
    <n v="8450"/>
  </r>
  <r>
    <s v="144193"/>
    <x v="6"/>
    <s v="Chandrakant Kasbe"/>
    <s v="02/10/2022"/>
    <s v="Shipped"/>
    <s v="Intel i3 11th gen."/>
    <s v="CPU"/>
    <x v="1"/>
    <n v="8500"/>
    <n v="11050"/>
    <n v="1"/>
    <n v="8500"/>
    <n v="11050"/>
    <s v="Ajay Sharma"/>
    <n v="33150"/>
  </r>
  <r>
    <s v="144194"/>
    <x v="7"/>
    <s v="Rohan Kale"/>
    <s v="03/10/2022"/>
    <s v="Order"/>
    <s v="4GB Graphic card"/>
    <s v="Graphic Card"/>
    <x v="2"/>
    <n v="12500"/>
    <n v="16250"/>
    <n v="4"/>
    <n v="50000"/>
    <n v="65000"/>
    <s v="Roshan Kumar"/>
    <n v="18200"/>
  </r>
  <r>
    <s v="144195"/>
    <x v="26"/>
    <s v="Aniruddha Kekapure"/>
    <s v="04/10/2022"/>
    <s v="Processing"/>
    <s v="150 GB DDR4 RAM"/>
    <s v="Computer Case"/>
    <x v="3"/>
    <n v="3500"/>
    <n v="4550"/>
    <n v="4"/>
    <n v="14000"/>
    <n v="18200"/>
    <s v="Aarvi Gupta"/>
    <n v="13650"/>
  </r>
  <r>
    <s v="144196"/>
    <x v="27"/>
    <s v="Aslam Raza"/>
    <s v="05/10/2022"/>
    <s v="Delivered"/>
    <s v="BTX motherboard"/>
    <s v="Mouse"/>
    <x v="4"/>
    <n v="4500"/>
    <n v="5850"/>
    <n v="3"/>
    <n v="13500"/>
    <n v="17550"/>
    <s v="Vijay Singh"/>
    <n v="1690"/>
  </r>
  <r>
    <s v="144197"/>
    <x v="8"/>
    <s v="Roshan Zameer"/>
    <s v="06/10/2022"/>
    <s v="Shipped"/>
    <s v="145 Fans Cabinet"/>
    <s v="Cabinet"/>
    <x v="5"/>
    <n v="2100"/>
    <n v="2730"/>
    <n v="4"/>
    <n v="8400"/>
    <n v="10920"/>
    <s v="Aadil Khan"/>
    <n v="2990"/>
  </r>
  <r>
    <s v="144198"/>
    <x v="9"/>
    <s v="Rakesh Kumar Sharma"/>
    <s v="07/10/2022"/>
    <s v="Order"/>
    <s v="Wireless Keyboard"/>
    <s v="Keyboard"/>
    <x v="6"/>
    <n v="1150"/>
    <n v="1495"/>
    <n v="2"/>
    <n v="2300"/>
    <n v="2990"/>
    <s v="Advika Joshi"/>
    <n v="3315"/>
  </r>
  <r>
    <s v="144199"/>
    <x v="10"/>
    <s v="Shivanand Sahani"/>
    <s v="08/10/2022"/>
    <s v="Processing"/>
    <s v="USB Mouse"/>
    <s v="Mouse"/>
    <x v="0"/>
    <n v="350"/>
    <n v="455"/>
    <n v="4"/>
    <n v="1400"/>
    <n v="1820"/>
    <s v="Ajay Sharma"/>
    <n v="1690"/>
  </r>
  <r>
    <s v="144200"/>
    <x v="11"/>
    <s v="Kunal Patra"/>
    <s v="09/10/2022"/>
    <s v="Delivered"/>
    <s v="19&quot; LED Display"/>
    <s v="Monitor"/>
    <x v="6"/>
    <n v="9500"/>
    <n v="12350"/>
    <n v="2"/>
    <n v="19000"/>
    <n v="24700"/>
    <s v="Roshan Kumar"/>
    <n v="9750"/>
  </r>
  <r>
    <s v="144201"/>
    <x v="12"/>
    <s v="Bijendra"/>
    <s v="10/10/2022"/>
    <s v="Shipped"/>
    <s v="144 TB HDD"/>
    <s v="HDD"/>
    <x v="10"/>
    <n v="10000"/>
    <n v="13000"/>
    <n v="1"/>
    <n v="10000"/>
    <n v="13000"/>
    <s v="Aarvi Gupta"/>
    <n v="39000"/>
  </r>
  <r>
    <s v="144202"/>
    <x v="13"/>
    <s v="Kranti Bheke"/>
    <s v="11/10/2022"/>
    <s v="Order"/>
    <s v="654 GB M.2"/>
    <s v="SSD"/>
    <x v="0"/>
    <n v="6500"/>
    <n v="8450"/>
    <n v="1"/>
    <n v="6500"/>
    <n v="8450"/>
    <s v="Vijay Singh"/>
    <n v="8450"/>
  </r>
  <r>
    <s v="144203"/>
    <x v="14"/>
    <s v="Jagdeep"/>
    <s v="12/10/2022"/>
    <s v="Processing"/>
    <s v="RYZEN 3rd gen. 3642"/>
    <s v="CPU"/>
    <x v="1"/>
    <n v="8500"/>
    <n v="11050"/>
    <n v="1"/>
    <n v="8500"/>
    <n v="11050"/>
    <s v="Aadil Khan"/>
    <n v="33150"/>
  </r>
  <r>
    <s v="144204"/>
    <x v="15"/>
    <s v="Adhir Samal"/>
    <s v="13/10/2022"/>
    <s v="Delivered"/>
    <s v="2GB Graphic Card"/>
    <s v="Graphic Card"/>
    <x v="2"/>
    <n v="7000"/>
    <n v="9100"/>
    <n v="3"/>
    <n v="21000"/>
    <n v="27300"/>
    <s v="Advika Joshi"/>
    <n v="18200"/>
  </r>
  <r>
    <s v="144205"/>
    <x v="16"/>
    <s v="Dannana Jhammi"/>
    <s v="14/10/2022"/>
    <s v="Shipped"/>
    <s v="158 GB DDR4 RAM"/>
    <s v="Computer Case"/>
    <x v="3"/>
    <n v="6550"/>
    <n v="8515"/>
    <n v="1"/>
    <n v="6550"/>
    <n v="8515"/>
    <s v="Ajay Sharma"/>
    <n v="13650"/>
  </r>
  <r>
    <s v="144206"/>
    <x v="17"/>
    <s v="Vipin Kumar"/>
    <s v="15/10/2022"/>
    <s v="Order"/>
    <s v="Standard ATX motherboard"/>
    <s v="Mouse"/>
    <x v="4"/>
    <n v="7650"/>
    <n v="9945"/>
    <n v="1"/>
    <n v="7650"/>
    <n v="9945"/>
    <s v="Roshan Kumar"/>
    <n v="1690"/>
  </r>
  <r>
    <s v="144207"/>
    <x v="18"/>
    <s v="Ranjeet Kumar"/>
    <s v="16/10/2022"/>
    <s v="Processing"/>
    <s v="Compact with 1 Fan"/>
    <s v="Cabinet"/>
    <x v="5"/>
    <n v="1150"/>
    <n v="1495"/>
    <n v="2"/>
    <n v="2300"/>
    <n v="2990"/>
    <s v="Aarvi Gupta"/>
    <n v="2990"/>
  </r>
  <r>
    <s v="144208"/>
    <x v="19"/>
    <s v="Sajal Singhal"/>
    <s v="17/10/2022"/>
    <s v="Delivered"/>
    <s v="USB Backlight Keyboard"/>
    <s v="Keyboard"/>
    <x v="6"/>
    <n v="850"/>
    <n v="1105"/>
    <n v="1"/>
    <n v="850"/>
    <n v="1105"/>
    <s v="Vijay Singh"/>
    <n v="3315"/>
  </r>
  <r>
    <s v="144209"/>
    <x v="20"/>
    <s v="Akhilesh Kumar"/>
    <s v="18/10/2022"/>
    <s v="Shipped"/>
    <s v="Ergonomic Mouse"/>
    <s v="Mouse"/>
    <x v="0"/>
    <n v="650"/>
    <n v="845"/>
    <n v="3"/>
    <n v="1950"/>
    <n v="2535"/>
    <s v="Aadil Khan"/>
    <n v="1690"/>
  </r>
  <r>
    <s v="144210"/>
    <x v="16"/>
    <s v="Suvankar Chakraborty"/>
    <s v="19/10/2022"/>
    <s v="Order"/>
    <s v="15&quot; LCD Dsipaly"/>
    <s v="Monitor"/>
    <x v="6"/>
    <n v="7500"/>
    <n v="9750"/>
    <n v="4"/>
    <n v="30000"/>
    <n v="39000"/>
    <s v="Advika Joshi"/>
    <n v="9750"/>
  </r>
  <r>
    <s v="144211"/>
    <x v="17"/>
    <s v="Suvankar Adhikary"/>
    <s v="20/10/2022"/>
    <s v="Processing"/>
    <s v="144 TB HDD"/>
    <s v="HDD"/>
    <x v="7"/>
    <n v="10000"/>
    <n v="13000"/>
    <n v="4"/>
    <n v="40000"/>
    <n v="52000"/>
    <s v="Ajay Sharma"/>
    <n v="39000"/>
  </r>
  <r>
    <s v="144212"/>
    <x v="27"/>
    <s v="Rahul Kumar Prajapati"/>
    <s v="21/10/2022"/>
    <s v="Delivered"/>
    <s v="143 TB SSD"/>
    <s v="SSD"/>
    <x v="0"/>
    <n v="10500"/>
    <n v="13650"/>
    <n v="4"/>
    <n v="42000"/>
    <n v="54600"/>
    <s v="Roshan Kumar"/>
    <n v="8450"/>
  </r>
  <r>
    <s v="144213"/>
    <x v="22"/>
    <s v="Sagar Jeur"/>
    <s v="22/10/2022"/>
    <s v="Shipped"/>
    <s v="Intel i5 12th gen."/>
    <s v="CPU"/>
    <x v="1"/>
    <n v="8500"/>
    <n v="11050"/>
    <n v="2"/>
    <n v="17000"/>
    <n v="22100"/>
    <s v="Aarvi Gupta"/>
    <n v="33150"/>
  </r>
  <r>
    <s v="144214"/>
    <x v="28"/>
    <s v="Rhushikesh Mane"/>
    <s v="23/10/2022"/>
    <s v="Order"/>
    <s v="2GB Graphic Card"/>
    <s v="Graphic Card"/>
    <x v="2"/>
    <n v="7000"/>
    <n v="9100"/>
    <n v="3"/>
    <n v="21000"/>
    <n v="27300"/>
    <s v="Vijay Singh"/>
    <n v="18200"/>
  </r>
  <r>
    <s v="144215"/>
    <x v="29"/>
    <s v="Ashish Kumar"/>
    <s v="24/10/2022"/>
    <s v="Processing"/>
    <s v="146 GB DDR4 Ram"/>
    <s v="Computer Case"/>
    <x v="3"/>
    <n v="1680"/>
    <n v="2184"/>
    <n v="3"/>
    <n v="5040"/>
    <n v="6552"/>
    <s v="Aadil Khan"/>
    <n v="13650"/>
  </r>
  <r>
    <s v="144216"/>
    <x v="30"/>
    <s v="Javed Akhter"/>
    <s v="25/10/2022"/>
    <s v="Delivered"/>
    <s v="Micro ATX motherboard"/>
    <s v="Mouse"/>
    <x v="8"/>
    <n v="6540"/>
    <n v="8502"/>
    <n v="3"/>
    <n v="19620"/>
    <n v="25506"/>
    <s v="Advika Joshi"/>
    <n v="1690"/>
  </r>
  <r>
    <s v="144217"/>
    <x v="31"/>
    <s v="Haridas Balraj"/>
    <s v="25/10/2022"/>
    <s v="Shipped"/>
    <s v="Gaming Box Cabinet"/>
    <s v="Cabinet"/>
    <x v="5"/>
    <n v="2680"/>
    <n v="3484"/>
    <n v="3"/>
    <n v="8040"/>
    <n v="10452"/>
    <s v="Ajay Sharma"/>
    <n v="2990"/>
  </r>
  <r>
    <s v="144218"/>
    <x v="32"/>
    <s v="Kundan Kumar"/>
    <s v="25/10/2022"/>
    <s v="Order"/>
    <s v="17&quot; LCD Display"/>
    <s v="Monitor"/>
    <x v="0"/>
    <n v="8250"/>
    <n v="10725"/>
    <n v="2"/>
    <n v="16500"/>
    <n v="21450"/>
    <s v="Roshan Kumar"/>
    <n v="9750"/>
  </r>
  <r>
    <s v="144219"/>
    <x v="0"/>
    <s v="Atif Siddiqui"/>
    <s v="25/10/2022"/>
    <s v="Processing"/>
    <s v="150 GB DDR4 RAM"/>
    <s v="RAM"/>
    <x v="0"/>
    <n v="2650"/>
    <n v="3445"/>
    <n v="2"/>
    <n v="5300"/>
    <n v="6890"/>
    <s v="Aarvi Gupta"/>
    <n v="25545"/>
  </r>
  <r>
    <s v="144220"/>
    <x v="23"/>
    <s v="Aditya Agarwal"/>
    <s v="25/10/2022"/>
    <s v="Delivered"/>
    <s v="26&quot; LCD Display"/>
    <s v="Monitor"/>
    <x v="9"/>
    <n v="12550"/>
    <n v="16315"/>
    <n v="4"/>
    <n v="50200"/>
    <n v="65260"/>
    <s v="Vijay Singh"/>
    <n v="9750"/>
  </r>
  <r>
    <s v="144221"/>
    <x v="1"/>
    <s v="Firdoush Jabee"/>
    <s v="25/10/2022"/>
    <s v="Shipped"/>
    <s v="I7 - intel 12th Generation"/>
    <s v="CPU"/>
    <x v="1"/>
    <n v="14500"/>
    <n v="18850"/>
    <n v="1"/>
    <n v="14500"/>
    <n v="18850"/>
    <s v="Aadil Khan"/>
    <n v="33150"/>
  </r>
  <r>
    <s v="144222"/>
    <x v="2"/>
    <s v="Jay Prakash Kumar"/>
    <s v="25/10/2022"/>
    <s v="Order"/>
    <s v="USB Keyboard"/>
    <s v="Keyboard"/>
    <x v="6"/>
    <n v="800"/>
    <n v="1040"/>
    <n v="3"/>
    <n v="2400"/>
    <n v="3120"/>
    <s v="Advika Joshi"/>
    <n v="3315"/>
  </r>
  <r>
    <s v="144223"/>
    <x v="3"/>
    <s v="Ashish Pandey"/>
    <s v="25/10/2022"/>
    <s v="Processing"/>
    <s v="Wireless Mouse"/>
    <s v="Mouse"/>
    <x v="0"/>
    <n v="600"/>
    <n v="780"/>
    <n v="4"/>
    <n v="2400"/>
    <n v="3120"/>
    <s v="Ajay Sharma"/>
    <n v="1690"/>
  </r>
  <r>
    <s v="144224"/>
    <x v="24"/>
    <s v="Ajay Sharma"/>
    <s v="26/10/2022"/>
    <s v="Delivered"/>
    <s v="21&quot; LCD Display"/>
    <s v="Monitor"/>
    <x v="6"/>
    <n v="10500"/>
    <n v="13650"/>
    <n v="1"/>
    <n v="10500"/>
    <n v="13650"/>
    <s v="Roshan Kumar"/>
    <n v="9750"/>
  </r>
  <r>
    <s v="144225"/>
    <x v="25"/>
    <s v="Moinuddin Saifi"/>
    <s v="27/10/2022"/>
    <s v="Shipped"/>
    <s v="144 TB HDD"/>
    <s v="HDD"/>
    <x v="10"/>
    <n v="6500"/>
    <n v="8450"/>
    <n v="2"/>
    <n v="13000"/>
    <n v="16900"/>
    <s v="Aarvi Gupta"/>
    <n v="39000"/>
  </r>
  <r>
    <s v="144226"/>
    <x v="33"/>
    <s v="Ramkrishna Das Adhikary"/>
    <s v="28/10/2022"/>
    <s v="Order"/>
    <s v="399 GB SSD"/>
    <s v="SSD"/>
    <x v="0"/>
    <n v="4500"/>
    <n v="5850"/>
    <n v="3"/>
    <n v="13500"/>
    <n v="17550"/>
    <s v="Vijay Singh"/>
    <n v="8450"/>
  </r>
  <r>
    <s v="144227"/>
    <x v="34"/>
    <s v="Ranjeet Mandal"/>
    <s v="29/10/2022"/>
    <s v="Processing"/>
    <s v="Intel i3 11th gen."/>
    <s v="CPU"/>
    <x v="1"/>
    <n v="8500"/>
    <n v="11050"/>
    <n v="3"/>
    <n v="25500"/>
    <n v="33150"/>
    <s v="Aadil Khan"/>
    <n v="33150"/>
  </r>
  <r>
    <s v="144228"/>
    <x v="4"/>
    <s v="Ashwini Adsare"/>
    <s v="30/10/2022"/>
    <s v="Delivered"/>
    <s v="4GB Graphic card"/>
    <s v="Graphic Card"/>
    <x v="2"/>
    <n v="12500"/>
    <n v="16250"/>
    <n v="3"/>
    <n v="37500"/>
    <n v="48750"/>
    <s v="Advika Joshi"/>
    <n v="18200"/>
  </r>
  <r>
    <s v="144229"/>
    <x v="5"/>
    <s v="Rajesh Variya"/>
    <s v="31/10/2022"/>
    <s v="Shipped"/>
    <s v="151 GB DDR4 RAM"/>
    <s v="NIC"/>
    <x v="3"/>
    <n v="3500"/>
    <n v="4550"/>
    <n v="3"/>
    <n v="10500"/>
    <n v="13650"/>
    <s v="Ajay Sharma"/>
    <n v="9100"/>
  </r>
  <r>
    <s v="144230"/>
    <x v="6"/>
    <s v="Amit Singh"/>
    <s v="01/11/2022"/>
    <s v="Order"/>
    <s v="BTX motherboard"/>
    <s v="Printer"/>
    <x v="4"/>
    <n v="4500"/>
    <n v="5850"/>
    <n v="2"/>
    <n v="9000"/>
    <n v="11700"/>
    <s v="Roshan Kumar"/>
    <n v="11700"/>
  </r>
  <r>
    <s v="144231"/>
    <x v="7"/>
    <s v="Vinod Mehta"/>
    <s v="02/11/2022"/>
    <s v="Processing"/>
    <s v="146 Fans Cabinet"/>
    <s v="Cabinet"/>
    <x v="5"/>
    <n v="2100"/>
    <n v="2730"/>
    <n v="4"/>
    <n v="8400"/>
    <n v="10920"/>
    <s v="Aarvi Gupta"/>
    <n v="2990"/>
  </r>
  <r>
    <s v="144232"/>
    <x v="26"/>
    <s v="Jignesh Mhatre"/>
    <s v="03/11/2022"/>
    <s v="Delivered"/>
    <s v="Wireless Keyboard"/>
    <s v="Keyboard"/>
    <x v="6"/>
    <n v="1150"/>
    <n v="1495"/>
    <n v="3"/>
    <n v="3450"/>
    <n v="4485"/>
    <s v="Vijay Singh"/>
    <n v="3315"/>
  </r>
  <r>
    <s v="144233"/>
    <x v="27"/>
    <s v="Rahul Kashyap"/>
    <s v="04/11/2022"/>
    <s v="Shipped"/>
    <s v="USB Mouse"/>
    <s v="Mouse"/>
    <x v="0"/>
    <n v="350"/>
    <n v="455"/>
    <n v="3"/>
    <n v="1050"/>
    <n v="1365"/>
    <s v="Aadil Khan"/>
    <n v="1690"/>
  </r>
  <r>
    <s v="144234"/>
    <x v="8"/>
    <s v="Mohammed Abdul Kaleem"/>
    <s v="05/11/2022"/>
    <s v="Order"/>
    <s v="19&quot; LED Display"/>
    <s v="Monitor"/>
    <x v="6"/>
    <n v="9500"/>
    <n v="12350"/>
    <n v="2"/>
    <n v="19000"/>
    <n v="24700"/>
    <s v="Advika Joshi"/>
    <n v="9750"/>
  </r>
  <r>
    <s v="144235"/>
    <x v="9"/>
    <s v="Chandrakant Kasbe"/>
    <s v="05/11/2022"/>
    <s v="Processing"/>
    <s v="145 TB HDD"/>
    <s v="HDD"/>
    <x v="10"/>
    <n v="10000"/>
    <n v="13000"/>
    <n v="2"/>
    <n v="20000"/>
    <n v="26000"/>
    <s v="Ajay Sharma"/>
    <n v="39000"/>
  </r>
  <r>
    <s v="144236"/>
    <x v="10"/>
    <s v="Rohan Kale"/>
    <s v="05/11/2022"/>
    <s v="Delivered"/>
    <s v="655 GB M.2"/>
    <s v="SSD"/>
    <x v="0"/>
    <n v="6500"/>
    <n v="8450"/>
    <n v="2"/>
    <n v="13000"/>
    <n v="16900"/>
    <s v="Roshan Kumar"/>
    <n v="8450"/>
  </r>
  <r>
    <s v="144237"/>
    <x v="11"/>
    <s v="Aniruddha Kekapure"/>
    <s v="05/11/2022"/>
    <s v="Shipped"/>
    <s v="RYZEN 3rd gen. 3643"/>
    <s v="CPU"/>
    <x v="1"/>
    <n v="8500"/>
    <n v="11050"/>
    <n v="4"/>
    <n v="34000"/>
    <n v="44200"/>
    <s v="Aarvi Gupta"/>
    <n v="33150"/>
  </r>
  <r>
    <s v="144238"/>
    <x v="12"/>
    <s v="Aslam Raza"/>
    <s v="05/11/2022"/>
    <s v="Order"/>
    <s v="2GB Graphic Card"/>
    <s v="Graphic Card"/>
    <x v="2"/>
    <n v="7000"/>
    <n v="9100"/>
    <n v="4"/>
    <n v="28000"/>
    <n v="36400"/>
    <s v="Vijay Singh"/>
    <n v="18200"/>
  </r>
  <r>
    <s v="144239"/>
    <x v="13"/>
    <s v="Roshan Zameer"/>
    <s v="05/11/2022"/>
    <s v="Processing"/>
    <s v="159 GB DDR4 RAM"/>
    <s v="NIC"/>
    <x v="3"/>
    <n v="6550"/>
    <n v="8515"/>
    <n v="3"/>
    <n v="19650"/>
    <n v="25545"/>
    <s v="Aadil Khan"/>
    <n v="9100"/>
  </r>
  <r>
    <s v="144240"/>
    <x v="14"/>
    <s v="Rakesh Kumar Sharma"/>
    <s v="05/11/2022"/>
    <s v="Delivered"/>
    <s v="Standard ATX motherboard"/>
    <s v="Printer"/>
    <x v="4"/>
    <n v="7650"/>
    <n v="9945"/>
    <n v="1"/>
    <n v="7650"/>
    <n v="9945"/>
    <s v="Advika Joshi"/>
    <n v="11700"/>
  </r>
  <r>
    <s v="144241"/>
    <x v="15"/>
    <s v="Shivanand Sahani"/>
    <s v="05/11/2022"/>
    <s v="Shipped"/>
    <s v="Compact with 1 Fan"/>
    <s v="Cabinet"/>
    <x v="5"/>
    <n v="1150"/>
    <n v="1495"/>
    <n v="3"/>
    <n v="3450"/>
    <n v="4485"/>
    <s v="Ajay Sharma"/>
    <n v="2990"/>
  </r>
  <r>
    <s v="144242"/>
    <x v="16"/>
    <s v="Kunal Patra"/>
    <s v="05/11/2022"/>
    <s v="Order"/>
    <s v="USB Backlight Keyboard"/>
    <s v="Keyboard"/>
    <x v="6"/>
    <n v="850"/>
    <n v="1105"/>
    <n v="3"/>
    <n v="2550"/>
    <n v="3315"/>
    <s v="Roshan Kumar"/>
    <n v="3315"/>
  </r>
  <r>
    <s v="144243"/>
    <x v="17"/>
    <s v="Bijendra"/>
    <s v="05/11/2022"/>
    <s v="Processing"/>
    <s v="Ergonomic Mouse"/>
    <s v="Mouse"/>
    <x v="0"/>
    <n v="650"/>
    <n v="845"/>
    <n v="3"/>
    <n v="1950"/>
    <n v="2535"/>
    <s v="Aarvi Gupta"/>
    <n v="1690"/>
  </r>
  <r>
    <s v="144244"/>
    <x v="18"/>
    <s v="Kranti Bheke"/>
    <s v="05/11/2022"/>
    <s v="Delivered"/>
    <s v="15&quot; LCD Dsipaly"/>
    <s v="Monitor"/>
    <x v="6"/>
    <n v="7500"/>
    <n v="9750"/>
    <n v="1"/>
    <n v="7500"/>
    <n v="9750"/>
    <s v="Vijay Singh"/>
    <n v="9750"/>
  </r>
  <r>
    <s v="144245"/>
    <x v="19"/>
    <s v="Jagdeep"/>
    <s v="05/11/2022"/>
    <s v="Shipped"/>
    <s v="145 TB HDD"/>
    <s v="HDD"/>
    <x v="7"/>
    <n v="10000"/>
    <n v="13000"/>
    <n v="2"/>
    <n v="20000"/>
    <n v="26000"/>
    <s v="Aadil Khan"/>
    <n v="39000"/>
  </r>
  <r>
    <s v="144246"/>
    <x v="20"/>
    <s v="Adhir Samal"/>
    <s v="05/11/2022"/>
    <s v="Order"/>
    <s v="144 TB SSD"/>
    <s v="SSD"/>
    <x v="0"/>
    <n v="10500"/>
    <n v="13650"/>
    <n v="2"/>
    <n v="21000"/>
    <n v="27300"/>
    <s v="Advika Joshi"/>
    <n v="8450"/>
  </r>
  <r>
    <s v="144247"/>
    <x v="16"/>
    <s v="Dannana Jhammi"/>
    <s v="05/11/2022"/>
    <s v="Processing"/>
    <s v="Intel i5 12th gen."/>
    <s v="CPU"/>
    <x v="1"/>
    <n v="8500"/>
    <n v="11050"/>
    <n v="2"/>
    <n v="17000"/>
    <n v="22100"/>
    <s v="Ajay Sharma"/>
    <n v="33150"/>
  </r>
  <r>
    <s v="144248"/>
    <x v="17"/>
    <s v="Vipin Kumar"/>
    <s v="05/11/2022"/>
    <s v="Delivered"/>
    <s v="2GB Graphic Card"/>
    <s v="Graphic Card"/>
    <x v="2"/>
    <n v="7000"/>
    <n v="9100"/>
    <n v="4"/>
    <n v="28000"/>
    <n v="36400"/>
    <s v="Ajay Sharma"/>
    <n v="18200"/>
  </r>
  <r>
    <s v="144249"/>
    <x v="27"/>
    <s v="Ranjeet Kumar"/>
    <s v="05/11/2022"/>
    <s v="Shipped"/>
    <s v="147 GB DDR4 Ram"/>
    <s v="NIC"/>
    <x v="3"/>
    <n v="1680"/>
    <n v="2184"/>
    <n v="4"/>
    <n v="6720"/>
    <n v="8736"/>
    <s v="Roshan Kumar"/>
    <n v="9100"/>
  </r>
  <r>
    <s v="144250"/>
    <x v="22"/>
    <s v="Sajal Singhal"/>
    <s v="05/11/2022"/>
    <s v="Order"/>
    <s v="Micro ATX motherboard"/>
    <s v="Printer"/>
    <x v="8"/>
    <n v="6540"/>
    <n v="8502"/>
    <n v="3"/>
    <n v="19620"/>
    <n v="25506"/>
    <s v="Aarvi Gupta"/>
    <n v="11700"/>
  </r>
  <r>
    <s v="144251"/>
    <x v="28"/>
    <s v="Akhilesh Kumar"/>
    <s v="05/11/2022"/>
    <s v="Processing"/>
    <s v="Gaming Box Cabinet"/>
    <s v="Cabinet"/>
    <x v="5"/>
    <n v="2680"/>
    <n v="3484"/>
    <n v="1"/>
    <n v="2680"/>
    <n v="3484"/>
    <s v="Vijay Singh"/>
    <n v="2990"/>
  </r>
  <r>
    <s v="144252"/>
    <x v="29"/>
    <s v="Suvankar Chakraborty"/>
    <s v="05/11/2022"/>
    <s v="Delivered"/>
    <s v="17&quot; LCD Display"/>
    <s v="Monitor"/>
    <x v="0"/>
    <n v="8250"/>
    <n v="10725"/>
    <n v="1"/>
    <n v="8250"/>
    <n v="10725"/>
    <s v="Aadil Khan"/>
    <n v="9750"/>
  </r>
  <r>
    <s v="144253"/>
    <x v="30"/>
    <s v="Suvankar Adhikary"/>
    <s v="05/11/2022"/>
    <s v="Shipped"/>
    <s v="151 GB DDR4 RAM"/>
    <s v="RAM"/>
    <x v="0"/>
    <n v="2650"/>
    <n v="3445"/>
    <n v="2"/>
    <n v="5300"/>
    <n v="6890"/>
    <s v="Advika Joshi"/>
    <n v="25545"/>
  </r>
  <r>
    <s v="144254"/>
    <x v="31"/>
    <s v="Rahul Kumar Prajapati"/>
    <s v="05/11/2022"/>
    <s v="Order"/>
    <s v="26&quot; LCD Display"/>
    <s v="Monitor"/>
    <x v="9"/>
    <n v="12550"/>
    <n v="16315"/>
    <n v="3"/>
    <n v="37650"/>
    <n v="48945"/>
    <s v="Ajay Sharma"/>
    <n v="9750"/>
  </r>
  <r>
    <s v="144255"/>
    <x v="32"/>
    <s v="Sagar Jeur"/>
    <s v="05/11/2022"/>
    <s v="Processing"/>
    <s v="I7 - intel 12th Generation"/>
    <s v="CPU"/>
    <x v="1"/>
    <n v="14500"/>
    <n v="18850"/>
    <n v="3"/>
    <n v="43500"/>
    <n v="56550"/>
    <s v="Roshan Kumar"/>
    <n v="33150"/>
  </r>
  <r>
    <s v="144256"/>
    <x v="0"/>
    <s v="Rhushikesh Mane"/>
    <s v="05/11/2022"/>
    <s v="Delivered"/>
    <s v="USB Keyboard"/>
    <s v="Keyboard"/>
    <x v="6"/>
    <n v="800"/>
    <n v="1040"/>
    <n v="4"/>
    <n v="3200"/>
    <n v="4160"/>
    <s v="Aarvi Gupta"/>
    <n v="3315"/>
  </r>
  <r>
    <s v="144257"/>
    <x v="23"/>
    <s v="Ashish Kumar"/>
    <s v="05/11/2022"/>
    <s v="Shipped"/>
    <s v="Wireless Mouse"/>
    <s v="Mouse"/>
    <x v="0"/>
    <n v="600"/>
    <n v="780"/>
    <n v="2"/>
    <n v="1200"/>
    <n v="1560"/>
    <s v="Vijay Singh"/>
    <n v="1690"/>
  </r>
  <r>
    <s v="144258"/>
    <x v="1"/>
    <s v="Javed Akhter"/>
    <s v="05/11/2022"/>
    <s v="Order"/>
    <s v="21&quot; LCD Display"/>
    <s v="Monitor"/>
    <x v="6"/>
    <n v="10500"/>
    <n v="13650"/>
    <n v="2"/>
    <n v="21000"/>
    <n v="27300"/>
    <s v="Aadil Khan"/>
    <n v="9750"/>
  </r>
  <r>
    <s v="144259"/>
    <x v="2"/>
    <s v="Haridas Balraj"/>
    <s v="05/11/2022"/>
    <s v="Processing"/>
    <s v="145 TB HDD"/>
    <s v="HDD"/>
    <x v="10"/>
    <n v="6500"/>
    <n v="8450"/>
    <n v="2"/>
    <n v="13000"/>
    <n v="16900"/>
    <s v="Advika Joshi"/>
    <n v="39000"/>
  </r>
  <r>
    <s v="144260"/>
    <x v="3"/>
    <s v="Kundan Kumar"/>
    <s v="05/11/2022"/>
    <s v="Delivered"/>
    <s v="400 GB SSD"/>
    <s v="SSD"/>
    <x v="0"/>
    <n v="4500"/>
    <n v="5850"/>
    <n v="2"/>
    <n v="9000"/>
    <n v="11700"/>
    <s v="Ajay Sharma"/>
    <n v="8450"/>
  </r>
  <r>
    <s v="144261"/>
    <x v="24"/>
    <s v="Atif Siddiqui"/>
    <s v="05/11/2022"/>
    <s v="Shipped"/>
    <s v="Intel i3 11th gen."/>
    <s v="CPU"/>
    <x v="1"/>
    <n v="8500"/>
    <n v="11050"/>
    <n v="1"/>
    <n v="8500"/>
    <n v="11050"/>
    <s v="Roshan Kumar"/>
    <n v="33150"/>
  </r>
  <r>
    <s v="144262"/>
    <x v="25"/>
    <s v="Aditya Agarwal"/>
    <s v="05/11/2022"/>
    <s v="Order"/>
    <s v="4GB Graphic card"/>
    <s v="Graphic Card"/>
    <x v="2"/>
    <n v="12500"/>
    <n v="16250"/>
    <n v="2"/>
    <n v="25000"/>
    <n v="32500"/>
    <s v="Aarvi Gupta"/>
    <n v="18200"/>
  </r>
  <r>
    <s v="144263"/>
    <x v="33"/>
    <s v="Firdoush Jabee"/>
    <s v="05/11/2022"/>
    <s v="Processing"/>
    <s v="152 GB DDR4 RAM"/>
    <s v="RAM"/>
    <x v="3"/>
    <n v="3500"/>
    <n v="4550"/>
    <n v="2"/>
    <n v="7000"/>
    <n v="9100"/>
    <s v="Vijay Singh"/>
    <n v="25545"/>
  </r>
  <r>
    <s v="144264"/>
    <x v="34"/>
    <s v="Jay Prakash Kumar"/>
    <s v="05/11/2022"/>
    <s v="Delivered"/>
    <s v="BTX motherboard"/>
    <s v="MotherBoard"/>
    <x v="4"/>
    <n v="4500"/>
    <n v="5850"/>
    <n v="3"/>
    <n v="13500"/>
    <n v="17550"/>
    <s v="Aadil Khan"/>
    <n v="39780"/>
  </r>
  <r>
    <s v="144265"/>
    <x v="4"/>
    <s v="Ashish Pandey"/>
    <s v="06/11/2022"/>
    <s v="Shipped"/>
    <s v="147 Fans Cabinet"/>
    <s v="Cabinet"/>
    <x v="5"/>
    <n v="2100"/>
    <n v="2730"/>
    <n v="3"/>
    <n v="6300"/>
    <n v="8190"/>
    <s v="Advika Joshi"/>
    <n v="2990"/>
  </r>
  <r>
    <s v="144266"/>
    <x v="5"/>
    <s v="Ajay Sharma"/>
    <s v="07/11/2022"/>
    <s v="Order"/>
    <s v="Wireless Keyboard"/>
    <s v="Keyboard"/>
    <x v="6"/>
    <n v="1150"/>
    <n v="1495"/>
    <n v="2"/>
    <n v="2300"/>
    <n v="2990"/>
    <s v="Ajay Sharma"/>
    <n v="3315"/>
  </r>
  <r>
    <s v="144267"/>
    <x v="6"/>
    <s v="Moinuddin Saifi"/>
    <s v="08/11/2022"/>
    <s v="Processing"/>
    <s v="USB Mouse"/>
    <s v="Mouse"/>
    <x v="0"/>
    <n v="350"/>
    <n v="455"/>
    <n v="1"/>
    <n v="350"/>
    <n v="455"/>
    <s v="Roshan Kumar"/>
    <n v="1690"/>
  </r>
  <r>
    <s v="144268"/>
    <x v="7"/>
    <s v="Ramkrishna Das Adhikary"/>
    <s v="09/11/2022"/>
    <s v="Delivered"/>
    <s v="19&quot; LED Display"/>
    <s v="Monitor"/>
    <x v="6"/>
    <n v="9500"/>
    <n v="12350"/>
    <n v="1"/>
    <n v="9500"/>
    <n v="12350"/>
    <s v="Aarvi Gupta"/>
    <n v="9750"/>
  </r>
  <r>
    <s v="144269"/>
    <x v="26"/>
    <s v="Ranjeet Mandal"/>
    <s v="10/11/2022"/>
    <s v="Shipped"/>
    <s v="146 TB HDD"/>
    <s v="HDD"/>
    <x v="10"/>
    <n v="10000"/>
    <n v="13000"/>
    <n v="3"/>
    <n v="30000"/>
    <n v="39000"/>
    <s v="Vijay Singh"/>
    <n v="39000"/>
  </r>
  <r>
    <s v="144270"/>
    <x v="27"/>
    <s v="Ashwini Adsare"/>
    <s v="11/11/2022"/>
    <s v="Order"/>
    <s v="656 GB M.2"/>
    <s v="SSD"/>
    <x v="0"/>
    <n v="6500"/>
    <n v="8450"/>
    <n v="4"/>
    <n v="26000"/>
    <n v="33800"/>
    <s v="Aadil Khan"/>
    <n v="8450"/>
  </r>
  <r>
    <s v="144271"/>
    <x v="8"/>
    <s v="Rajesh Variya"/>
    <s v="12/11/2022"/>
    <s v="Processing"/>
    <s v="RYZEN 3rd gen. 3644"/>
    <s v="CPU"/>
    <x v="1"/>
    <n v="8500"/>
    <n v="11050"/>
    <n v="2"/>
    <n v="17000"/>
    <n v="22100"/>
    <s v="Advika Joshi"/>
    <n v="33150"/>
  </r>
  <r>
    <s v="144272"/>
    <x v="9"/>
    <s v="Amit Singh"/>
    <s v="13/11/2022"/>
    <s v="Delivered"/>
    <s v="2GB Graphic Card"/>
    <s v="Graphic Card"/>
    <x v="2"/>
    <n v="7000"/>
    <n v="9100"/>
    <n v="3"/>
    <n v="21000"/>
    <n v="27300"/>
    <s v="Ajay Sharma"/>
    <n v="18200"/>
  </r>
  <r>
    <s v="144273"/>
    <x v="10"/>
    <s v="Vinod Mehta"/>
    <s v="14/11/2022"/>
    <s v="Shipped"/>
    <s v="160 GB DDR4 RAM"/>
    <s v="RAM"/>
    <x v="3"/>
    <n v="6550"/>
    <n v="8515"/>
    <n v="3"/>
    <n v="19650"/>
    <n v="25545"/>
    <s v="Roshan Kumar"/>
    <n v="25545"/>
  </r>
  <r>
    <s v="144274"/>
    <x v="11"/>
    <s v="Jignesh Mhatre"/>
    <s v="15/11/2022"/>
    <s v="Order"/>
    <s v="Standard ATX motherboard"/>
    <s v="MotherBoard"/>
    <x v="4"/>
    <n v="7650"/>
    <n v="9945"/>
    <n v="2"/>
    <n v="15300"/>
    <n v="19890"/>
    <s v="Aarvi Gupta"/>
    <n v="39780"/>
  </r>
  <r>
    <s v="144275"/>
    <x v="12"/>
    <s v="Rahul Kashyap"/>
    <s v="16/11/2022"/>
    <s v="Processing"/>
    <s v="Compact with 1 Fan"/>
    <s v="Cabinet"/>
    <x v="5"/>
    <n v="1150"/>
    <n v="1495"/>
    <n v="4"/>
    <n v="4600"/>
    <n v="5980"/>
    <s v="Vijay Singh"/>
    <n v="2990"/>
  </r>
  <r>
    <s v="144276"/>
    <x v="13"/>
    <s v="Mohammed Abdul Kaleem"/>
    <s v="17/11/2022"/>
    <s v="Delivered"/>
    <s v="USB Backlight Keyboard"/>
    <s v="Keyboard"/>
    <x v="6"/>
    <n v="850"/>
    <n v="1105"/>
    <n v="3"/>
    <n v="2550"/>
    <n v="3315"/>
    <s v="Aadil Khan"/>
    <n v="3315"/>
  </r>
  <r>
    <s v="144277"/>
    <x v="14"/>
    <s v="Chandrakant Kasbe"/>
    <s v="18/11/2022"/>
    <s v="Shipped"/>
    <s v="Ergonomic Mouse"/>
    <s v="Mouse"/>
    <x v="0"/>
    <n v="650"/>
    <n v="845"/>
    <n v="1"/>
    <n v="650"/>
    <n v="845"/>
    <s v="Advika Joshi"/>
    <n v="1690"/>
  </r>
  <r>
    <s v="144278"/>
    <x v="15"/>
    <s v="Rohan Kale"/>
    <s v="19/11/2022"/>
    <s v="Order"/>
    <s v="15&quot; LCD Dsipaly"/>
    <s v="Monitor"/>
    <x v="6"/>
    <n v="7500"/>
    <n v="9750"/>
    <n v="2"/>
    <n v="15000"/>
    <n v="19500"/>
    <s v="Ajay Sharma"/>
    <n v="9750"/>
  </r>
  <r>
    <s v="144279"/>
    <x v="16"/>
    <s v="Aniruddha Kekapure"/>
    <s v="20/11/2022"/>
    <s v="Processing"/>
    <s v="146 TB HDD"/>
    <s v="HDD"/>
    <x v="7"/>
    <n v="10000"/>
    <n v="13000"/>
    <n v="3"/>
    <n v="30000"/>
    <n v="39000"/>
    <s v="Roshan Kumar"/>
    <n v="39000"/>
  </r>
  <r>
    <s v="144280"/>
    <x v="17"/>
    <s v="Aslam Raza"/>
    <s v="21/11/2022"/>
    <s v="Delivered"/>
    <s v="145 TB SSD"/>
    <s v="SSD"/>
    <x v="0"/>
    <n v="10500"/>
    <n v="13650"/>
    <n v="4"/>
    <n v="42000"/>
    <n v="54600"/>
    <s v="Aarvi Gupta"/>
    <n v="8450"/>
  </r>
  <r>
    <s v="144281"/>
    <x v="18"/>
    <s v="Roshan Zameer"/>
    <s v="22/11/2022"/>
    <s v="Shipped"/>
    <s v="Intel i5 12th gen."/>
    <s v="CPU"/>
    <x v="1"/>
    <n v="8500"/>
    <n v="11050"/>
    <n v="1"/>
    <n v="8500"/>
    <n v="11050"/>
    <s v="Vijay Singh"/>
    <n v="33150"/>
  </r>
  <r>
    <s v="144282"/>
    <x v="19"/>
    <s v="Rakesh Kumar Sharma"/>
    <s v="22/11/2022"/>
    <s v="Order"/>
    <s v="2GB Graphic Card"/>
    <s v="Graphic Card"/>
    <x v="2"/>
    <n v="7000"/>
    <n v="9100"/>
    <n v="4"/>
    <n v="28000"/>
    <n v="36400"/>
    <s v="Aadil Khan"/>
    <n v="18200"/>
  </r>
  <r>
    <s v="144283"/>
    <x v="20"/>
    <s v="Shivanand Sahani"/>
    <s v="22/11/2022"/>
    <s v="Processing"/>
    <s v="148 GB DDR4 Ram"/>
    <s v="RAM"/>
    <x v="3"/>
    <n v="1680"/>
    <n v="2184"/>
    <n v="3"/>
    <n v="5040"/>
    <n v="6552"/>
    <s v="Advika Joshi"/>
    <n v="25545"/>
  </r>
  <r>
    <s v="144284"/>
    <x v="16"/>
    <s v="Kunal Patra"/>
    <s v="22/11/2022"/>
    <s v="Delivered"/>
    <s v="Micro ATX motherboard"/>
    <s v="MotherBoard"/>
    <x v="8"/>
    <n v="6540"/>
    <n v="8502"/>
    <n v="3"/>
    <n v="19620"/>
    <n v="25506"/>
    <s v="Ajay Sharma"/>
    <n v="39780"/>
  </r>
  <r>
    <s v="144285"/>
    <x v="17"/>
    <s v="Bijendra"/>
    <s v="22/11/2022"/>
    <s v="Shipped"/>
    <s v="Gaming Box Cabinet"/>
    <s v="Cabinet"/>
    <x v="5"/>
    <n v="2680"/>
    <n v="3484"/>
    <n v="3"/>
    <n v="8040"/>
    <n v="10452"/>
    <s v="Roshan Kumar"/>
    <n v="2990"/>
  </r>
  <r>
    <s v="144286"/>
    <x v="27"/>
    <s v="Kranti Bheke"/>
    <s v="22/11/2022"/>
    <s v="Order"/>
    <s v="17&quot; LCD Display"/>
    <s v="Monitor"/>
    <x v="0"/>
    <n v="8250"/>
    <n v="10725"/>
    <n v="2"/>
    <n v="16500"/>
    <n v="21450"/>
    <s v="Aarvi Gupta"/>
    <n v="9750"/>
  </r>
  <r>
    <s v="144287"/>
    <x v="22"/>
    <s v="Jagdeep"/>
    <s v="22/11/2022"/>
    <s v="Processing"/>
    <s v="152 GB DDR4 RAM"/>
    <s v="RAM"/>
    <x v="0"/>
    <n v="2650"/>
    <n v="3445"/>
    <n v="1"/>
    <n v="2650"/>
    <n v="3445"/>
    <s v="Vijay Singh"/>
    <n v="25545"/>
  </r>
  <r>
    <s v="144288"/>
    <x v="28"/>
    <s v="Adhir Samal"/>
    <s v="22/11/2022"/>
    <s v="Delivered"/>
    <s v="26&quot; LCD Display"/>
    <s v="Monitor"/>
    <x v="9"/>
    <n v="12550"/>
    <n v="16315"/>
    <n v="1"/>
    <n v="12550"/>
    <n v="16315"/>
    <s v="Aadil Khan"/>
    <n v="9750"/>
  </r>
  <r>
    <s v="144289"/>
    <x v="29"/>
    <s v="Dannana Jhammi"/>
    <s v="22/11/2022"/>
    <s v="Shipped"/>
    <s v="I7 - intel 12th Generation"/>
    <s v="CPU"/>
    <x v="1"/>
    <n v="14500"/>
    <n v="18850"/>
    <n v="4"/>
    <n v="58000"/>
    <n v="75400"/>
    <s v="Advika Joshi"/>
    <n v="33150"/>
  </r>
  <r>
    <s v="144290"/>
    <x v="30"/>
    <s v="Vipin Kumar"/>
    <s v="22/11/2022"/>
    <s v="Order"/>
    <s v="USB Keyboard"/>
    <s v="Keyboard"/>
    <x v="6"/>
    <n v="800"/>
    <n v="1040"/>
    <n v="3"/>
    <n v="2400"/>
    <n v="3120"/>
    <s v="Ajay Sharma"/>
    <n v="3315"/>
  </r>
  <r>
    <s v="144291"/>
    <x v="31"/>
    <s v="Ranjeet Kumar"/>
    <s v="22/11/2022"/>
    <s v="Processing"/>
    <s v="Wireless Mouse"/>
    <s v="Mouse"/>
    <x v="0"/>
    <n v="600"/>
    <n v="780"/>
    <n v="3"/>
    <n v="1800"/>
    <n v="2340"/>
    <s v="Roshan Kumar"/>
    <n v="1690"/>
  </r>
  <r>
    <s v="144292"/>
    <x v="32"/>
    <s v="Sajal Singhal"/>
    <s v="22/11/2022"/>
    <s v="Delivered"/>
    <s v="21&quot; LCD Display"/>
    <s v="Monitor"/>
    <x v="6"/>
    <n v="10500"/>
    <n v="13650"/>
    <n v="4"/>
    <n v="42000"/>
    <n v="54600"/>
    <s v="Aarvi Gupta"/>
    <n v="9750"/>
  </r>
  <r>
    <s v="144293"/>
    <x v="0"/>
    <s v="Akhilesh Kumar"/>
    <s v="22/11/2022"/>
    <s v="Shipped"/>
    <s v="146 TB HDD"/>
    <s v="HDD"/>
    <x v="10"/>
    <n v="6500"/>
    <n v="8450"/>
    <n v="1"/>
    <n v="6500"/>
    <n v="8450"/>
    <s v="Vijay Singh"/>
    <n v="39000"/>
  </r>
  <r>
    <s v="144294"/>
    <x v="23"/>
    <s v="Suvankar Chakraborty"/>
    <s v="22/11/2022"/>
    <s v="Order"/>
    <s v="401 GB SSD"/>
    <s v="SSD"/>
    <x v="0"/>
    <n v="4500"/>
    <n v="5850"/>
    <n v="1"/>
    <n v="4500"/>
    <n v="5850"/>
    <s v="Aadil Khan"/>
    <n v="8450"/>
  </r>
  <r>
    <s v="144295"/>
    <x v="1"/>
    <s v="Suvankar Adhikary"/>
    <s v="22/11/2022"/>
    <s v="Processing"/>
    <s v="Intel i3 11th gen."/>
    <s v="CPU"/>
    <x v="1"/>
    <n v="8500"/>
    <n v="11050"/>
    <n v="2"/>
    <n v="17000"/>
    <n v="22100"/>
    <s v="Advika Joshi"/>
    <n v="33150"/>
  </r>
  <r>
    <s v="144296"/>
    <x v="2"/>
    <s v="Rahul Kumar Prajapati"/>
    <s v="22/11/2022"/>
    <s v="Delivered"/>
    <s v="4GB Graphic card"/>
    <s v="Graphic Card"/>
    <x v="2"/>
    <n v="12500"/>
    <n v="16250"/>
    <n v="2"/>
    <n v="25000"/>
    <n v="32500"/>
    <s v="Ajay Sharma"/>
    <n v="18200"/>
  </r>
  <r>
    <s v="144297"/>
    <x v="3"/>
    <s v="Sagar Jeur"/>
    <s v="22/11/2022"/>
    <s v="Shipped"/>
    <s v="153 GB DDR4 RAM"/>
    <s v="Computer Case"/>
    <x v="3"/>
    <n v="3500"/>
    <n v="4550"/>
    <n v="1"/>
    <n v="3500"/>
    <n v="4550"/>
    <s v="Roshan Kumar"/>
    <n v="13650"/>
  </r>
  <r>
    <s v="144298"/>
    <x v="24"/>
    <s v="Rhushikesh Mane"/>
    <s v="22/11/2022"/>
    <s v="Order"/>
    <s v="BTX motherboard"/>
    <s v="Mouse"/>
    <x v="4"/>
    <n v="4500"/>
    <n v="5850"/>
    <n v="4"/>
    <n v="18000"/>
    <n v="23400"/>
    <s v="Aarvi Gupta"/>
    <n v="1690"/>
  </r>
  <r>
    <s v="144299"/>
    <x v="25"/>
    <s v="Ashish Kumar"/>
    <s v="22/11/2022"/>
    <s v="Processing"/>
    <s v="148 Fans Cabinet"/>
    <s v="Cabinet"/>
    <x v="5"/>
    <n v="2100"/>
    <n v="2730"/>
    <n v="3"/>
    <n v="6300"/>
    <n v="8190"/>
    <s v="Vijay Singh"/>
    <n v="2990"/>
  </r>
  <r>
    <s v="144300"/>
    <x v="33"/>
    <s v="Javed Akhter"/>
    <s v="23/11/2022"/>
    <s v="Delivered"/>
    <s v="Wireless Keyboard"/>
    <s v="Keyboard"/>
    <x v="6"/>
    <n v="1150"/>
    <n v="1495"/>
    <n v="2"/>
    <n v="2300"/>
    <n v="2990"/>
    <s v="Aadil Khan"/>
    <n v="3315"/>
  </r>
  <r>
    <s v="144301"/>
    <x v="34"/>
    <s v="Haridas Balraj"/>
    <s v="24/11/2022"/>
    <s v="Shipped"/>
    <s v="USB Mouse"/>
    <s v="Mouse"/>
    <x v="0"/>
    <n v="350"/>
    <n v="455"/>
    <n v="2"/>
    <n v="700"/>
    <n v="910"/>
    <s v="Advika Joshi"/>
    <n v="1690"/>
  </r>
  <r>
    <s v="144302"/>
    <x v="4"/>
    <s v="Kundan Kumar"/>
    <s v="25/11/2022"/>
    <s v="Order"/>
    <s v="19&quot; LED Display"/>
    <s v="Monitor"/>
    <x v="6"/>
    <n v="9500"/>
    <n v="12350"/>
    <n v="2"/>
    <n v="19000"/>
    <n v="24700"/>
    <s v="Ajay Sharma"/>
    <n v="9750"/>
  </r>
  <r>
    <s v="144303"/>
    <x v="5"/>
    <s v="Atif Siddiqui"/>
    <s v="26/11/2022"/>
    <s v="Processing"/>
    <s v="147 TB HDD"/>
    <s v="HDD"/>
    <x v="10"/>
    <n v="10000"/>
    <n v="13000"/>
    <n v="4"/>
    <n v="40000"/>
    <n v="52000"/>
    <s v="Roshan Kumar"/>
    <n v="39000"/>
  </r>
  <r>
    <s v="144304"/>
    <x v="6"/>
    <s v="Aditya Agarwal"/>
    <s v="27/11/2022"/>
    <s v="Delivered"/>
    <s v="657 GB M.2"/>
    <s v="SSD"/>
    <x v="0"/>
    <n v="6500"/>
    <n v="8450"/>
    <n v="4"/>
    <n v="26000"/>
    <n v="33800"/>
    <s v="Aarvi Gupta"/>
    <n v="8450"/>
  </r>
  <r>
    <s v="144305"/>
    <x v="7"/>
    <s v="Firdoush Jabee"/>
    <s v="28/11/2022"/>
    <s v="Shipped"/>
    <s v="RYZEN 3rd gen. 3645"/>
    <s v="CPU"/>
    <x v="1"/>
    <n v="8500"/>
    <n v="11050"/>
    <n v="3"/>
    <n v="25500"/>
    <n v="33150"/>
    <s v="Vijay Singh"/>
    <n v="33150"/>
  </r>
  <r>
    <s v="144306"/>
    <x v="26"/>
    <s v="Jay Prakash Kumar"/>
    <s v="29/11/2022"/>
    <s v="Order"/>
    <s v="2GB Graphic Card"/>
    <s v="Graphic Card"/>
    <x v="2"/>
    <n v="7000"/>
    <n v="9100"/>
    <n v="3"/>
    <n v="21000"/>
    <n v="27300"/>
    <s v="Aadil Khan"/>
    <n v="18200"/>
  </r>
  <r>
    <s v="144307"/>
    <x v="27"/>
    <s v="Ashish Pandey"/>
    <s v="30/11/2022"/>
    <s v="Processing"/>
    <s v="161 GB DDR4 RAM"/>
    <s v="Computer Case"/>
    <x v="3"/>
    <n v="6550"/>
    <n v="8515"/>
    <n v="1"/>
    <n v="6550"/>
    <n v="8515"/>
    <s v="Advika Joshi"/>
    <n v="13650"/>
  </r>
  <r>
    <s v="144308"/>
    <x v="8"/>
    <s v="Ajay Sharma"/>
    <s v="01/12/2022"/>
    <s v="Delivered"/>
    <s v="Standard ATX motherboard"/>
    <s v="Mouse"/>
    <x v="4"/>
    <n v="7650"/>
    <n v="9945"/>
    <n v="4"/>
    <n v="30600"/>
    <n v="39780"/>
    <s v="Ajay Sharma"/>
    <n v="1690"/>
  </r>
  <r>
    <s v="144309"/>
    <x v="9"/>
    <s v="Moinuddin Saifi"/>
    <s v="02/12/2022"/>
    <s v="Shipped"/>
    <s v="Compact with 1 Fan"/>
    <s v="Cabinet"/>
    <x v="5"/>
    <n v="1150"/>
    <n v="1495"/>
    <n v="2"/>
    <n v="2300"/>
    <n v="2990"/>
    <s v="Roshan Kumar"/>
    <n v="2990"/>
  </r>
  <r>
    <s v="144310"/>
    <x v="10"/>
    <s v="Ramkrishna Das Adhikary"/>
    <s v="03/12/2022"/>
    <s v="Order"/>
    <s v="USB Backlight Keyboard"/>
    <s v="Keyboard"/>
    <x v="6"/>
    <n v="850"/>
    <n v="1105"/>
    <n v="4"/>
    <n v="3400"/>
    <n v="4420"/>
    <s v="Aarvi Gupta"/>
    <n v="3315"/>
  </r>
  <r>
    <s v="144311"/>
    <x v="11"/>
    <s v="Ranjeet Mandal"/>
    <s v="04/12/2022"/>
    <s v="Processing"/>
    <s v="Ergonomic Mouse"/>
    <s v="Mouse"/>
    <x v="0"/>
    <n v="650"/>
    <n v="845"/>
    <n v="2"/>
    <n v="1300"/>
    <n v="1690"/>
    <s v="Vijay Singh"/>
    <n v="1690"/>
  </r>
  <r>
    <s v="144312"/>
    <x v="12"/>
    <s v="Ashwini Adsare"/>
    <s v="05/12/2022"/>
    <s v="Delivered"/>
    <s v="15&quot; LCD Dsipaly"/>
    <s v="Monitor"/>
    <x v="6"/>
    <n v="7500"/>
    <n v="9750"/>
    <n v="3"/>
    <n v="22500"/>
    <n v="29250"/>
    <s v="Aadil Khan"/>
    <n v="9750"/>
  </r>
  <r>
    <s v="144313"/>
    <x v="13"/>
    <s v="Rajesh Variya"/>
    <s v="06/12/2022"/>
    <s v="Shipped"/>
    <s v="147 TB HDD"/>
    <s v="HDD"/>
    <x v="7"/>
    <n v="10000"/>
    <n v="13000"/>
    <n v="1"/>
    <n v="10000"/>
    <n v="13000"/>
    <s v="Advika Joshi"/>
    <n v="39000"/>
  </r>
  <r>
    <s v="144314"/>
    <x v="14"/>
    <s v="Amit Singh"/>
    <s v="07/12/2022"/>
    <s v="Order"/>
    <s v="146 TB SSD"/>
    <s v="SSD"/>
    <x v="0"/>
    <n v="10500"/>
    <n v="13650"/>
    <n v="1"/>
    <n v="10500"/>
    <n v="13650"/>
    <s v="Ajay Sharma"/>
    <n v="8450"/>
  </r>
  <r>
    <s v="144315"/>
    <x v="15"/>
    <s v="Vinod Mehta"/>
    <s v="08/12/2022"/>
    <s v="Processing"/>
    <s v="Intel i5 12th gen."/>
    <s v="CPU"/>
    <x v="1"/>
    <n v="8500"/>
    <n v="11050"/>
    <n v="2"/>
    <n v="17000"/>
    <n v="22100"/>
    <s v="Roshan Kumar"/>
    <n v="33150"/>
  </r>
  <r>
    <s v="144316"/>
    <x v="16"/>
    <s v="Jignesh Mhatre"/>
    <s v="09/12/2022"/>
    <s v="Delivered"/>
    <s v="2GB Graphic Card"/>
    <s v="Graphic Card"/>
    <x v="2"/>
    <n v="7000"/>
    <n v="9100"/>
    <n v="4"/>
    <n v="28000"/>
    <n v="36400"/>
    <s v="Aarvi Gupta"/>
    <n v="18200"/>
  </r>
  <r>
    <s v="144317"/>
    <x v="17"/>
    <s v="Rahul Kashyap"/>
    <s v="10/12/2022"/>
    <s v="Shipped"/>
    <s v="149 GB DDR4 Ram"/>
    <s v="Computer Case"/>
    <x v="3"/>
    <n v="1680"/>
    <n v="2184"/>
    <n v="2"/>
    <n v="3360"/>
    <n v="4368"/>
    <s v="Vijay Singh"/>
    <n v="13650"/>
  </r>
  <r>
    <s v="144318"/>
    <x v="18"/>
    <s v="Mohammed Abdul Kaleem"/>
    <s v="10/12/2022"/>
    <s v="Order"/>
    <s v="Micro ATX motherboard"/>
    <s v="Mouse"/>
    <x v="8"/>
    <n v="6540"/>
    <n v="8502"/>
    <n v="2"/>
    <n v="13080"/>
    <n v="17004"/>
    <s v="Aadil Khan"/>
    <n v="1690"/>
  </r>
  <r>
    <s v="144319"/>
    <x v="19"/>
    <s v="Chandrakant Kasbe"/>
    <s v="10/12/2022"/>
    <s v="Processing"/>
    <s v="Gaming Box Cabinet"/>
    <s v="Cabinet"/>
    <x v="5"/>
    <n v="2680"/>
    <n v="3484"/>
    <n v="3"/>
    <n v="8040"/>
    <n v="10452"/>
    <s v="Advika Joshi"/>
    <n v="2990"/>
  </r>
  <r>
    <s v="144320"/>
    <x v="20"/>
    <s v="Rohan Kale"/>
    <s v="10/12/2022"/>
    <s v="Delivered"/>
    <s v="17&quot; LCD Display"/>
    <s v="Monitor"/>
    <x v="0"/>
    <n v="8250"/>
    <n v="10725"/>
    <n v="2"/>
    <n v="16500"/>
    <n v="21450"/>
    <s v="Ajay Sharma"/>
    <n v="9750"/>
  </r>
  <r>
    <s v="144321"/>
    <x v="16"/>
    <s v="Aniruddha Kekapure"/>
    <s v="10/12/2022"/>
    <s v="Shipped"/>
    <s v="153 GB DDR4 RAM"/>
    <s v="RAM"/>
    <x v="0"/>
    <n v="2650"/>
    <n v="3445"/>
    <n v="3"/>
    <n v="7950"/>
    <n v="10335"/>
    <s v="Roshan Kumar"/>
    <n v="25545"/>
  </r>
  <r>
    <s v="144322"/>
    <x v="17"/>
    <s v="Aslam Raza"/>
    <s v="10/12/2022"/>
    <s v="Order"/>
    <s v="26&quot; LCD Display"/>
    <s v="Monitor"/>
    <x v="9"/>
    <n v="12550"/>
    <n v="16315"/>
    <n v="3"/>
    <n v="37650"/>
    <n v="48945"/>
    <s v="Aarvi Gupta"/>
    <n v="9750"/>
  </r>
  <r>
    <s v="144323"/>
    <x v="27"/>
    <s v="Roshan Zameer"/>
    <s v="10/12/2022"/>
    <s v="Processing"/>
    <s v="I7 - intel 12th Generation"/>
    <s v="CPU"/>
    <x v="1"/>
    <n v="14500"/>
    <n v="18850"/>
    <n v="1"/>
    <n v="14500"/>
    <n v="18850"/>
    <s v="Vijay Singh"/>
    <n v="33150"/>
  </r>
  <r>
    <s v="144324"/>
    <x v="22"/>
    <s v="Rakesh Kumar Sharma"/>
    <s v="11/12/2022"/>
    <s v="Delivered"/>
    <s v="USB Keyboard"/>
    <s v="Keyboard"/>
    <x v="6"/>
    <n v="800"/>
    <n v="1040"/>
    <n v="2"/>
    <n v="1600"/>
    <n v="2080"/>
    <s v="Aadil Khan"/>
    <n v="3315"/>
  </r>
  <r>
    <s v="144325"/>
    <x v="28"/>
    <s v="Shivanand Sahani"/>
    <s v="12/12/2022"/>
    <s v="Shipped"/>
    <s v="Wireless Mouse"/>
    <s v="Mouse"/>
    <x v="0"/>
    <n v="600"/>
    <n v="780"/>
    <n v="3"/>
    <n v="1800"/>
    <n v="2340"/>
    <s v="Advika Joshi"/>
    <n v="1690"/>
  </r>
  <r>
    <s v="144326"/>
    <x v="29"/>
    <s v="Kunal Patra"/>
    <s v="13/12/2022"/>
    <s v="Order"/>
    <s v="21&quot; LCD Display"/>
    <s v="Monitor"/>
    <x v="6"/>
    <n v="10500"/>
    <n v="13650"/>
    <n v="2"/>
    <n v="21000"/>
    <n v="27300"/>
    <s v="Ajay Sharma"/>
    <n v="9750"/>
  </r>
  <r>
    <s v="144327"/>
    <x v="30"/>
    <s v="Bijendra"/>
    <s v="14/12/2022"/>
    <s v="Processing"/>
    <s v="147 TB HDD"/>
    <s v="HDD"/>
    <x v="10"/>
    <n v="6500"/>
    <n v="8450"/>
    <n v="3"/>
    <n v="19500"/>
    <n v="25350"/>
    <s v="Roshan Kumar"/>
    <n v="39000"/>
  </r>
  <r>
    <s v="144328"/>
    <x v="31"/>
    <s v="Kranti Bheke"/>
    <s v="15/12/2022"/>
    <s v="Delivered"/>
    <s v="402 GB SSD"/>
    <s v="SSD"/>
    <x v="0"/>
    <n v="4500"/>
    <n v="5850"/>
    <n v="1"/>
    <n v="4500"/>
    <n v="5850"/>
    <s v="Aarvi Gupta"/>
    <n v="8450"/>
  </r>
  <r>
    <s v="144329"/>
    <x v="32"/>
    <s v="Jagdeep"/>
    <s v="16/12/2022"/>
    <s v="Shipped"/>
    <s v="Intel i3 11th gen."/>
    <s v="CPU"/>
    <x v="1"/>
    <n v="8500"/>
    <n v="11050"/>
    <n v="4"/>
    <n v="34000"/>
    <n v="44200"/>
    <s v="Vijay Singh"/>
    <n v="33150"/>
  </r>
  <r>
    <s v="144330"/>
    <x v="0"/>
    <s v="Adhir Samal"/>
    <s v="17/12/2022"/>
    <s v="Order"/>
    <s v="4GB Graphic card"/>
    <s v="Graphic Card"/>
    <x v="2"/>
    <n v="12500"/>
    <n v="16250"/>
    <n v="2"/>
    <n v="25000"/>
    <n v="32500"/>
    <s v="Aadil Khan"/>
    <n v="18200"/>
  </r>
  <r>
    <s v="144331"/>
    <x v="23"/>
    <s v="Dannana Jhammi"/>
    <s v="17/12/2022"/>
    <s v="Processing"/>
    <s v="154 GB DDR4 RAM"/>
    <s v="NIC"/>
    <x v="3"/>
    <n v="3500"/>
    <n v="4550"/>
    <n v="2"/>
    <n v="7000"/>
    <n v="9100"/>
    <s v="Advika Joshi"/>
    <n v="9100"/>
  </r>
  <r>
    <s v="144332"/>
    <x v="1"/>
    <s v="Vipin Kumar"/>
    <s v="17/12/2022"/>
    <s v="Delivered"/>
    <s v="BTX motherboard"/>
    <s v="Printer"/>
    <x v="4"/>
    <n v="4500"/>
    <n v="5850"/>
    <n v="2"/>
    <n v="9000"/>
    <n v="11700"/>
    <s v="Ajay Sharma"/>
    <n v="11700"/>
  </r>
  <r>
    <s v="144333"/>
    <x v="2"/>
    <s v="Ranjeet Kumar"/>
    <s v="17/12/2022"/>
    <s v="Shipped"/>
    <s v="149 Fans Cabinet"/>
    <s v="Cabinet"/>
    <x v="5"/>
    <n v="2100"/>
    <n v="2730"/>
    <n v="3"/>
    <n v="6300"/>
    <n v="8190"/>
    <s v="Roshan Kumar"/>
    <n v="2990"/>
  </r>
  <r>
    <s v="144334"/>
    <x v="3"/>
    <s v="Sajal Singhal"/>
    <s v="17/12/2022"/>
    <s v="Order"/>
    <s v="Wireless Keyboard"/>
    <s v="Keyboard"/>
    <x v="6"/>
    <n v="1150"/>
    <n v="1495"/>
    <n v="4"/>
    <n v="4600"/>
    <n v="5980"/>
    <s v="Aarvi Gupta"/>
    <n v="3315"/>
  </r>
  <r>
    <s v="144335"/>
    <x v="24"/>
    <s v="Akhilesh Kumar"/>
    <s v="17/12/2022"/>
    <s v="Processing"/>
    <s v="USB Mouse"/>
    <s v="Mouse"/>
    <x v="0"/>
    <n v="350"/>
    <n v="455"/>
    <n v="1"/>
    <n v="350"/>
    <n v="455"/>
    <s v="Vijay Singh"/>
    <n v="1690"/>
  </r>
  <r>
    <s v="144336"/>
    <x v="25"/>
    <s v="Suvankar Chakraborty"/>
    <s v="17/12/2022"/>
    <s v="Delivered"/>
    <s v="19&quot; LED Display"/>
    <s v="Monitor"/>
    <x v="6"/>
    <n v="9500"/>
    <n v="12350"/>
    <n v="1"/>
    <n v="9500"/>
    <n v="12350"/>
    <s v="Aadil Khan"/>
    <n v="9750"/>
  </r>
  <r>
    <s v="144337"/>
    <x v="33"/>
    <s v="Suvankar Adhikary"/>
    <s v="17/12/2022"/>
    <s v="Shipped"/>
    <s v="148 TB HDD"/>
    <s v="HDD"/>
    <x v="10"/>
    <n v="10000"/>
    <n v="13000"/>
    <n v="2"/>
    <n v="20000"/>
    <n v="26000"/>
    <s v="Advika Joshi"/>
    <n v="39000"/>
  </r>
  <r>
    <s v="144338"/>
    <x v="34"/>
    <s v="Rahul Kumar Prajapati"/>
    <s v="17/12/2022"/>
    <s v="Order"/>
    <s v="658 GB M.2"/>
    <s v="SSD"/>
    <x v="0"/>
    <n v="6500"/>
    <n v="8450"/>
    <n v="3"/>
    <n v="19500"/>
    <n v="25350"/>
    <s v="Ajay Sharma"/>
    <n v="8450"/>
  </r>
  <r>
    <s v="144339"/>
    <x v="4"/>
    <s v="Sagar Jeur"/>
    <s v="17/12/2022"/>
    <s v="Processing"/>
    <s v="RYZEN 3rd gen. 3646"/>
    <s v="CPU"/>
    <x v="1"/>
    <n v="8500"/>
    <n v="11050"/>
    <n v="4"/>
    <n v="34000"/>
    <n v="44200"/>
    <s v="Roshan Kumar"/>
    <n v="33150"/>
  </r>
  <r>
    <s v="144340"/>
    <x v="5"/>
    <s v="Rhushikesh Mane"/>
    <s v="17/12/2022"/>
    <s v="Delivered"/>
    <s v="2GB Graphic Card"/>
    <s v="Graphic Card"/>
    <x v="2"/>
    <n v="7000"/>
    <n v="9100"/>
    <n v="4"/>
    <n v="28000"/>
    <n v="36400"/>
    <s v="Aarvi Gupta"/>
    <n v="18200"/>
  </r>
  <r>
    <s v="144341"/>
    <x v="6"/>
    <s v="Ashish Kumar"/>
    <s v="17/12/2022"/>
    <s v="Shipped"/>
    <s v="162 GB DDR4 RAM"/>
    <s v="NIC"/>
    <x v="3"/>
    <n v="6550"/>
    <n v="8515"/>
    <n v="3"/>
    <n v="19650"/>
    <n v="25545"/>
    <s v="Vijay Singh"/>
    <n v="9100"/>
  </r>
  <r>
    <s v="144342"/>
    <x v="7"/>
    <s v="Javed Akhter"/>
    <s v="17/12/2022"/>
    <s v="Order"/>
    <s v="Standard ATX motherboard"/>
    <s v="Printer"/>
    <x v="4"/>
    <n v="7650"/>
    <n v="9945"/>
    <n v="1"/>
    <n v="7650"/>
    <n v="9945"/>
    <s v="Aadil Khan"/>
    <n v="11700"/>
  </r>
  <r>
    <s v="144343"/>
    <x v="26"/>
    <s v="Haridas Balraj"/>
    <s v="18/12/2022"/>
    <s v="Processing"/>
    <s v="Compact with 1 Fan"/>
    <s v="Cabinet"/>
    <x v="5"/>
    <n v="1150"/>
    <n v="1495"/>
    <n v="2"/>
    <n v="2300"/>
    <n v="2990"/>
    <s v="Advika Joshi"/>
    <n v="2990"/>
  </r>
  <r>
    <s v="144344"/>
    <x v="27"/>
    <s v="Kundan Kumar"/>
    <s v="19/12/2022"/>
    <s v="Delivered"/>
    <s v="USB Backlight Keyboard"/>
    <s v="Keyboard"/>
    <x v="6"/>
    <n v="850"/>
    <n v="1105"/>
    <n v="3"/>
    <n v="2550"/>
    <n v="3315"/>
    <s v="Ajay Sharma"/>
    <n v="3315"/>
  </r>
  <r>
    <s v="144345"/>
    <x v="8"/>
    <s v="Atif Siddiqui"/>
    <s v="20/12/2022"/>
    <s v="Shipped"/>
    <s v="Ergonomic Mouse"/>
    <s v="Mouse"/>
    <x v="0"/>
    <n v="650"/>
    <n v="845"/>
    <n v="3"/>
    <n v="1950"/>
    <n v="2535"/>
    <s v="Roshan Kumar"/>
    <n v="1690"/>
  </r>
  <r>
    <s v="144346"/>
    <x v="9"/>
    <s v="Aditya Agarwal"/>
    <s v="21/12/2022"/>
    <s v="Order"/>
    <s v="15&quot; LCD Dsipaly"/>
    <s v="Monitor"/>
    <x v="6"/>
    <n v="7500"/>
    <n v="9750"/>
    <n v="1"/>
    <n v="7500"/>
    <n v="9750"/>
    <s v="Aarvi Gupta"/>
    <n v="9750"/>
  </r>
  <r>
    <s v="144347"/>
    <x v="10"/>
    <s v="Firdoush Jabee"/>
    <s v="22/12/2022"/>
    <s v="Processing"/>
    <s v="148 TB HDD"/>
    <s v="HDD"/>
    <x v="7"/>
    <n v="10000"/>
    <n v="13000"/>
    <n v="3"/>
    <n v="30000"/>
    <n v="39000"/>
    <s v="Vijay Singh"/>
    <n v="39000"/>
  </r>
  <r>
    <s v="144348"/>
    <x v="11"/>
    <s v="Jay Prakash Kumar"/>
    <s v="22/12/2022"/>
    <s v="Delivered"/>
    <s v="147 TB SSD"/>
    <s v="SSD"/>
    <x v="0"/>
    <n v="10500"/>
    <n v="13650"/>
    <n v="1"/>
    <n v="10500"/>
    <n v="13650"/>
    <s v="Aadil Khan"/>
    <n v="8450"/>
  </r>
  <r>
    <s v="144349"/>
    <x v="12"/>
    <s v="Ashish Pandey"/>
    <s v="22/12/2022"/>
    <s v="Shipped"/>
    <s v="Intel i5 12th gen."/>
    <s v="CPU"/>
    <x v="1"/>
    <n v="8500"/>
    <n v="11050"/>
    <n v="3"/>
    <n v="25500"/>
    <n v="33150"/>
    <s v="Advika Joshi"/>
    <n v="33150"/>
  </r>
  <r>
    <s v="144350"/>
    <x v="13"/>
    <s v="Ajay Sharma"/>
    <s v="22/12/2022"/>
    <s v="Order"/>
    <s v="2GB Graphic Card"/>
    <s v="Graphic Card"/>
    <x v="2"/>
    <n v="7000"/>
    <n v="9100"/>
    <n v="4"/>
    <n v="28000"/>
    <n v="36400"/>
    <s v="Ajay Sharma"/>
    <n v="18200"/>
  </r>
  <r>
    <s v="144351"/>
    <x v="14"/>
    <s v="Moinuddin Saifi"/>
    <s v="22/12/2022"/>
    <s v="Processing"/>
    <s v="150 GB DDR4 Ram"/>
    <s v="NIC"/>
    <x v="3"/>
    <n v="1680"/>
    <n v="2184"/>
    <n v="2"/>
    <n v="3360"/>
    <n v="4368"/>
    <s v="Roshan Kumar"/>
    <n v="9100"/>
  </r>
  <r>
    <s v="144352"/>
    <x v="15"/>
    <s v="Ramkrishna Das Adhikary"/>
    <s v="22/12/2022"/>
    <s v="Delivered"/>
    <s v="Micro ATX motherboard"/>
    <s v="Printer"/>
    <x v="8"/>
    <n v="6540"/>
    <n v="8502"/>
    <n v="1"/>
    <n v="6540"/>
    <n v="8502"/>
    <s v="Aarvi Gupta"/>
    <n v="11700"/>
  </r>
  <r>
    <s v="144353"/>
    <x v="16"/>
    <s v="Ranjeet Mandal"/>
    <s v="22/12/2022"/>
    <s v="Shipped"/>
    <s v="Gaming Box Cabinet"/>
    <s v="Cabinet"/>
    <x v="5"/>
    <n v="2680"/>
    <n v="3484"/>
    <n v="2"/>
    <n v="5360"/>
    <n v="6968"/>
    <s v="Vijay Singh"/>
    <n v="2990"/>
  </r>
  <r>
    <s v="144354"/>
    <x v="17"/>
    <s v="Ashwini Adsare"/>
    <s v="22/12/2022"/>
    <s v="Order"/>
    <s v="17&quot; LCD Display"/>
    <s v="Monitor"/>
    <x v="0"/>
    <n v="8250"/>
    <n v="10725"/>
    <n v="3"/>
    <n v="24750"/>
    <n v="32175"/>
    <s v="Aadil Khan"/>
    <n v="9750"/>
  </r>
  <r>
    <s v="144355"/>
    <x v="18"/>
    <s v="Rajesh Variya"/>
    <s v="22/12/2022"/>
    <s v="Processing"/>
    <s v="154 GB DDR4 RAM"/>
    <s v="RAM"/>
    <x v="0"/>
    <n v="2650"/>
    <n v="3445"/>
    <n v="4"/>
    <n v="10600"/>
    <n v="13780"/>
    <s v="Advika Joshi"/>
    <n v="25545"/>
  </r>
  <r>
    <s v="144356"/>
    <x v="19"/>
    <s v="Amit Singh"/>
    <s v="22/12/2022"/>
    <s v="Delivered"/>
    <s v="26&quot; LCD Display"/>
    <s v="Monitor"/>
    <x v="9"/>
    <n v="12550"/>
    <n v="16315"/>
    <n v="1"/>
    <n v="12550"/>
    <n v="16315"/>
    <s v="Ajay Sharma"/>
    <n v="9750"/>
  </r>
  <r>
    <s v="144357"/>
    <x v="20"/>
    <s v="Vinod Mehta"/>
    <s v="22/12/2022"/>
    <s v="Shipped"/>
    <s v="I7 - intel 12th Generation"/>
    <s v="CPU"/>
    <x v="1"/>
    <n v="14500"/>
    <n v="18850"/>
    <n v="4"/>
    <n v="58000"/>
    <n v="75400"/>
    <s v="Roshan Kumar"/>
    <n v="33150"/>
  </r>
  <r>
    <s v="144358"/>
    <x v="16"/>
    <s v="Jignesh Mhatre"/>
    <s v="22/12/2022"/>
    <s v="Order"/>
    <s v="USB Keyboard"/>
    <s v="Keyboard"/>
    <x v="6"/>
    <n v="800"/>
    <n v="1040"/>
    <n v="1"/>
    <n v="800"/>
    <n v="1040"/>
    <s v="Aarvi Gupta"/>
    <n v="3315"/>
  </r>
  <r>
    <s v="144359"/>
    <x v="17"/>
    <s v="Rahul Kashyap"/>
    <s v="22/12/2022"/>
    <s v="Processing"/>
    <s v="Wireless Mouse"/>
    <s v="Mouse"/>
    <x v="0"/>
    <n v="600"/>
    <n v="780"/>
    <n v="1"/>
    <n v="600"/>
    <n v="780"/>
    <s v="Vijay Singh"/>
    <n v="1690"/>
  </r>
  <r>
    <s v="144360"/>
    <x v="27"/>
    <s v="Mohammed Abdul Kaleem"/>
    <s v="22/12/2022"/>
    <s v="Delivered"/>
    <s v="21&quot; LCD Display"/>
    <s v="Monitor"/>
    <x v="6"/>
    <n v="10500"/>
    <n v="13650"/>
    <n v="3"/>
    <n v="31500"/>
    <n v="40950"/>
    <s v="Aadil Khan"/>
    <n v="9750"/>
  </r>
  <r>
    <s v="144361"/>
    <x v="22"/>
    <s v="Chandrakant Kasbe"/>
    <s v="22/12/2022"/>
    <s v="Shipped"/>
    <s v="148 TB HDD"/>
    <s v="HDD"/>
    <x v="10"/>
    <n v="6500"/>
    <n v="8450"/>
    <n v="4"/>
    <n v="26000"/>
    <n v="33800"/>
    <s v="Advika Joshi"/>
    <n v="39000"/>
  </r>
  <r>
    <s v="144362"/>
    <x v="28"/>
    <s v="Rohan Kale"/>
    <s v="22/12/2022"/>
    <s v="Order"/>
    <s v="403 GB SSD"/>
    <s v="SSD"/>
    <x v="0"/>
    <n v="4500"/>
    <n v="5850"/>
    <n v="1"/>
    <n v="4500"/>
    <n v="5850"/>
    <s v="Ajay Sharma"/>
    <n v="8450"/>
  </r>
  <r>
    <s v="144363"/>
    <x v="29"/>
    <s v="Aniruddha Kekapure"/>
    <s v="22/12/2022"/>
    <s v="Processing"/>
    <s v="Intel i3 11th gen."/>
    <s v="CPU"/>
    <x v="1"/>
    <n v="8500"/>
    <n v="11050"/>
    <n v="2"/>
    <n v="17000"/>
    <n v="22100"/>
    <s v="Roshan Kumar"/>
    <n v="33150"/>
  </r>
  <r>
    <s v="144364"/>
    <x v="30"/>
    <s v="Aslam Raza"/>
    <s v="22/12/2022"/>
    <s v="Delivered"/>
    <s v="4GB Graphic card"/>
    <s v="Graphic Card"/>
    <x v="2"/>
    <n v="12500"/>
    <n v="16250"/>
    <n v="3"/>
    <n v="37500"/>
    <n v="48750"/>
    <s v="Aarvi Gupta"/>
    <n v="18200"/>
  </r>
  <r>
    <s v="144365"/>
    <x v="31"/>
    <s v="Roshan Zameer"/>
    <s v="22/12/2022"/>
    <s v="Shipped"/>
    <s v="155 GB DDR4 RAM"/>
    <s v="RAM"/>
    <x v="3"/>
    <n v="3500"/>
    <n v="4550"/>
    <n v="3"/>
    <n v="10500"/>
    <n v="13650"/>
    <s v="Vijay Singh"/>
    <n v="25545"/>
  </r>
  <r>
    <s v="144366"/>
    <x v="32"/>
    <s v="Rakesh Kumar Sharma"/>
    <s v="22/12/2022"/>
    <s v="Order"/>
    <s v="BTX motherboard"/>
    <s v="MotherBoard"/>
    <x v="4"/>
    <n v="4500"/>
    <n v="5850"/>
    <n v="3"/>
    <n v="13500"/>
    <n v="17550"/>
    <s v="Aadil Khan"/>
    <n v="39780"/>
  </r>
  <r>
    <s v="144367"/>
    <x v="0"/>
    <s v="Shivanand Sahani"/>
    <s v="23/12/2022"/>
    <s v="Processing"/>
    <s v="150 Fans Cabinet"/>
    <s v="Cabinet"/>
    <x v="5"/>
    <n v="2100"/>
    <n v="2730"/>
    <n v="4"/>
    <n v="8400"/>
    <n v="10920"/>
    <s v="Advika Joshi"/>
    <n v="2990"/>
  </r>
  <r>
    <s v="144368"/>
    <x v="23"/>
    <s v="Kunal Patra"/>
    <s v="24/12/2022"/>
    <s v="Delivered"/>
    <s v="Wireless Keyboard"/>
    <s v="Keyboard"/>
    <x v="6"/>
    <n v="1150"/>
    <n v="1495"/>
    <n v="1"/>
    <n v="1150"/>
    <n v="1495"/>
    <s v="Ajay Sharma"/>
    <n v="3315"/>
  </r>
  <r>
    <s v="144369"/>
    <x v="1"/>
    <s v="Bijendra"/>
    <s v="25/12/2022"/>
    <s v="Shipped"/>
    <s v="USB Mouse"/>
    <s v="Mouse"/>
    <x v="0"/>
    <n v="350"/>
    <n v="455"/>
    <n v="2"/>
    <n v="700"/>
    <n v="910"/>
    <s v="Roshan Kumar"/>
    <n v="1690"/>
  </r>
  <r>
    <s v="144370"/>
    <x v="2"/>
    <s v="Kranti Bheke"/>
    <s v="26/12/2022"/>
    <s v="Order"/>
    <s v="19&quot; LED Display"/>
    <s v="Monitor"/>
    <x v="6"/>
    <n v="9500"/>
    <n v="12350"/>
    <n v="3"/>
    <n v="28500"/>
    <n v="37050"/>
    <s v="Aarvi Gupta"/>
    <n v="9750"/>
  </r>
  <r>
    <s v="144371"/>
    <x v="3"/>
    <s v="Jagdeep"/>
    <s v="27/12/2022"/>
    <s v="Processing"/>
    <s v="149 TB HDD"/>
    <s v="HDD"/>
    <x v="10"/>
    <n v="10000"/>
    <n v="13000"/>
    <n v="3"/>
    <n v="30000"/>
    <n v="39000"/>
    <s v="Vijay Singh"/>
    <n v="39000"/>
  </r>
  <r>
    <s v="144372"/>
    <x v="24"/>
    <s v="Adhir Samal"/>
    <s v="27/12/2022"/>
    <s v="Delivered"/>
    <s v="659 GB M.2"/>
    <s v="SSD"/>
    <x v="0"/>
    <n v="6500"/>
    <n v="8450"/>
    <n v="3"/>
    <n v="19500"/>
    <n v="25350"/>
    <s v="Aadil Khan"/>
    <n v="8450"/>
  </r>
  <r>
    <s v="144373"/>
    <x v="25"/>
    <s v="Dannana Jhammi"/>
    <s v="27/12/2022"/>
    <s v="Shipped"/>
    <s v="RYZEN 3rd gen. 3647"/>
    <s v="CPU"/>
    <x v="1"/>
    <n v="8500"/>
    <n v="11050"/>
    <n v="1"/>
    <n v="8500"/>
    <n v="11050"/>
    <s v="Advika Joshi"/>
    <n v="33150"/>
  </r>
  <r>
    <s v="144374"/>
    <x v="33"/>
    <s v="Vipin Kumar"/>
    <s v="27/12/2022"/>
    <s v="Order"/>
    <s v="2GB Graphic Card"/>
    <s v="Graphic Card"/>
    <x v="2"/>
    <n v="7000"/>
    <n v="9100"/>
    <n v="4"/>
    <n v="28000"/>
    <n v="36400"/>
    <s v="Ajay Sharma"/>
    <n v="18200"/>
  </r>
  <r>
    <s v="144375"/>
    <x v="34"/>
    <s v="Ranjeet Kumar"/>
    <s v="27/12/2022"/>
    <s v="Processing"/>
    <s v="163 GB DDR4 RAM"/>
    <s v="RAM"/>
    <x v="3"/>
    <n v="6550"/>
    <n v="8515"/>
    <n v="4"/>
    <n v="26200"/>
    <n v="34060"/>
    <s v="Roshan Kumar"/>
    <n v="25545"/>
  </r>
  <r>
    <s v="144376"/>
    <x v="4"/>
    <s v="Sajal Singhal"/>
    <s v="27/12/2022"/>
    <s v="Delivered"/>
    <s v="Standard ATX motherboard"/>
    <s v="MotherBoard"/>
    <x v="4"/>
    <n v="7650"/>
    <n v="9945"/>
    <n v="2"/>
    <n v="15300"/>
    <n v="19890"/>
    <s v="Aarvi Gupta"/>
    <n v="39780"/>
  </r>
  <r>
    <s v="144377"/>
    <x v="5"/>
    <s v="Akhilesh Kumar"/>
    <s v="27/12/2022"/>
    <s v="Shipped"/>
    <s v="Compact with 1 Fan"/>
    <s v="Cabinet"/>
    <x v="5"/>
    <n v="1150"/>
    <n v="1495"/>
    <n v="4"/>
    <n v="4600"/>
    <n v="5980"/>
    <s v="Vijay Singh"/>
    <n v="2990"/>
  </r>
  <r>
    <s v="144378"/>
    <x v="6"/>
    <s v="Suvankar Chakraborty"/>
    <s v="27/12/2022"/>
    <s v="Order"/>
    <s v="USB Backlight Keyboard"/>
    <s v="Keyboard"/>
    <x v="6"/>
    <n v="850"/>
    <n v="1105"/>
    <n v="4"/>
    <n v="3400"/>
    <n v="4420"/>
    <s v="Aadil Khan"/>
    <n v="3315"/>
  </r>
  <r>
    <s v="144379"/>
    <x v="7"/>
    <s v="Suvankar Adhikary"/>
    <s v="27/12/2022"/>
    <s v="Processing"/>
    <s v="Ergonomic Mouse"/>
    <s v="Mouse"/>
    <x v="0"/>
    <n v="650"/>
    <n v="845"/>
    <n v="1"/>
    <n v="650"/>
    <n v="845"/>
    <s v="Advika Joshi"/>
    <n v="1690"/>
  </r>
  <r>
    <s v="144380"/>
    <x v="26"/>
    <s v="Rahul Kumar Prajapati"/>
    <s v="27/12/2022"/>
    <s v="Delivered"/>
    <s v="15&quot; LCD Dsipaly"/>
    <s v="Monitor"/>
    <x v="6"/>
    <n v="7500"/>
    <n v="9750"/>
    <n v="3"/>
    <n v="22500"/>
    <n v="29250"/>
    <s v="Ajay Sharma"/>
    <n v="9750"/>
  </r>
  <r>
    <s v="144381"/>
    <x v="27"/>
    <s v="Sagar Jeur"/>
    <s v="27/12/2022"/>
    <s v="Shipped"/>
    <s v="149 TB HDD"/>
    <s v="HDD"/>
    <x v="7"/>
    <n v="10000"/>
    <n v="13000"/>
    <n v="3"/>
    <n v="30000"/>
    <n v="39000"/>
    <s v="Roshan Kumar"/>
    <n v="39000"/>
  </r>
  <r>
    <s v="144382"/>
    <x v="8"/>
    <s v="Rhushikesh Mane"/>
    <s v="27/12/2022"/>
    <s v="Order"/>
    <s v="148 TB SSD"/>
    <s v="SSD"/>
    <x v="0"/>
    <n v="10500"/>
    <n v="13650"/>
    <n v="1"/>
    <n v="10500"/>
    <n v="13650"/>
    <s v="Aarvi Gupta"/>
    <n v="8450"/>
  </r>
  <r>
    <s v="144383"/>
    <x v="9"/>
    <s v="Ashish Kumar"/>
    <s v="27/12/2022"/>
    <s v="Processing"/>
    <s v="Intel i5 12th gen."/>
    <s v="CPU"/>
    <x v="1"/>
    <n v="8500"/>
    <n v="11050"/>
    <n v="2"/>
    <n v="17000"/>
    <n v="22100"/>
    <s v="Vijay Singh"/>
    <n v="33150"/>
  </r>
  <r>
    <s v="144384"/>
    <x v="10"/>
    <s v="Javed Akhter"/>
    <s v="27/12/2022"/>
    <s v="Delivered"/>
    <s v="2GB Graphic Card"/>
    <s v="Graphic Card"/>
    <x v="2"/>
    <n v="7000"/>
    <n v="9100"/>
    <n v="1"/>
    <n v="7000"/>
    <n v="9100"/>
    <s v="Aadil Khan"/>
    <n v="18200"/>
  </r>
  <r>
    <s v="144385"/>
    <x v="11"/>
    <s v="Haridas Balraj"/>
    <s v="27/12/2022"/>
    <s v="Shipped"/>
    <s v="151 GB DDR4 Ram"/>
    <s v="RAM"/>
    <x v="3"/>
    <n v="1680"/>
    <n v="2184"/>
    <n v="2"/>
    <n v="3360"/>
    <n v="4368"/>
    <s v="Advika Joshi"/>
    <n v="25545"/>
  </r>
  <r>
    <s v="144386"/>
    <x v="12"/>
    <s v="Kundan Kumar"/>
    <s v="27/12/2022"/>
    <s v="Order"/>
    <s v="Micro ATX motherboard"/>
    <s v="MotherBoard"/>
    <x v="8"/>
    <n v="6540"/>
    <n v="8502"/>
    <n v="4"/>
    <n v="26160"/>
    <n v="34008"/>
    <s v="Ajay Sharma"/>
    <n v="39780"/>
  </r>
  <r>
    <s v="144387"/>
    <x v="13"/>
    <s v="Atif Siddiqui"/>
    <s v="27/12/2022"/>
    <s v="Processing"/>
    <s v="Gaming Box Cabinet"/>
    <s v="Cabinet"/>
    <x v="5"/>
    <n v="2680"/>
    <n v="3484"/>
    <n v="4"/>
    <n v="10720"/>
    <n v="13936"/>
    <s v="Roshan Kumar"/>
    <n v="2990"/>
  </r>
  <r>
    <s v="144388"/>
    <x v="14"/>
    <s v="Aditya Agarwal"/>
    <s v="27/12/2022"/>
    <s v="Delivered"/>
    <s v="17&quot; LCD Display"/>
    <s v="Monitor"/>
    <x v="0"/>
    <n v="8250"/>
    <n v="10725"/>
    <n v="2"/>
    <n v="16500"/>
    <n v="21450"/>
    <s v="Aarvi Gupta"/>
    <n v="9750"/>
  </r>
  <r>
    <s v="144389"/>
    <x v="15"/>
    <s v="Firdoush Jabee"/>
    <s v="27/12/2022"/>
    <s v="Shipped"/>
    <s v="155 GB DDR4 RAM"/>
    <s v="RAM"/>
    <x v="0"/>
    <n v="2650"/>
    <n v="3445"/>
    <n v="3"/>
    <n v="7950"/>
    <n v="10335"/>
    <s v="Vijay Singh"/>
    <n v="25545"/>
  </r>
  <r>
    <s v="144390"/>
    <x v="16"/>
    <s v="Jay Prakash Kumar"/>
    <s v="27/12/2022"/>
    <s v="Order"/>
    <s v="26&quot; LCD Display"/>
    <s v="Monitor"/>
    <x v="9"/>
    <n v="12550"/>
    <n v="16315"/>
    <n v="3"/>
    <n v="37650"/>
    <n v="48945"/>
    <s v="Aadil Khan"/>
    <n v="9750"/>
  </r>
  <r>
    <s v="144391"/>
    <x v="17"/>
    <s v="Ashish Pandey"/>
    <s v="27/12/2022"/>
    <s v="Processing"/>
    <s v="I7 - intel 12th Generation"/>
    <s v="CPU"/>
    <x v="1"/>
    <n v="14500"/>
    <n v="18850"/>
    <n v="2"/>
    <n v="29000"/>
    <n v="37700"/>
    <s v="Advika Joshi"/>
    <n v="33150"/>
  </r>
  <r>
    <s v="144392"/>
    <x v="18"/>
    <s v="Ajay Sharma"/>
    <s v="27/12/2022"/>
    <s v="Delivered"/>
    <s v="USB Keyboard"/>
    <s v="Keyboard"/>
    <x v="6"/>
    <n v="800"/>
    <n v="1040"/>
    <n v="3"/>
    <n v="2400"/>
    <n v="3120"/>
    <s v="Ajay Sharma"/>
    <n v="3315"/>
  </r>
  <r>
    <s v="144393"/>
    <x v="19"/>
    <s v="Moinuddin Saifi"/>
    <s v="28/12/2022"/>
    <s v="Shipped"/>
    <s v="Wireless Mouse"/>
    <s v="Mouse"/>
    <x v="0"/>
    <n v="600"/>
    <n v="780"/>
    <n v="3"/>
    <n v="1800"/>
    <n v="2340"/>
    <s v="Roshan Kumar"/>
    <n v="1690"/>
  </r>
  <r>
    <s v="144394"/>
    <x v="20"/>
    <s v="Ramkrishna Das Adhikary"/>
    <s v="29/12/2022"/>
    <s v="Order"/>
    <s v="21&quot; LCD Display"/>
    <s v="Monitor"/>
    <x v="6"/>
    <n v="10500"/>
    <n v="13650"/>
    <n v="2"/>
    <n v="21000"/>
    <n v="27300"/>
    <s v="Aarvi Gupta"/>
    <n v="9750"/>
  </r>
  <r>
    <s v="144395"/>
    <x v="16"/>
    <s v="Ranjeet Mandal"/>
    <s v="30/12/2022"/>
    <s v="Processing"/>
    <s v="149 TB HDD"/>
    <s v="HDD"/>
    <x v="10"/>
    <n v="6500"/>
    <n v="8450"/>
    <n v="4"/>
    <n v="26000"/>
    <n v="33800"/>
    <s v="Vijay Singh"/>
    <n v="39000"/>
  </r>
  <r>
    <s v="144396"/>
    <x v="17"/>
    <s v="Ashwini Adsare"/>
    <s v="31/12/2022"/>
    <s v="Delivered"/>
    <s v="404 GB SSD"/>
    <s v="SSD"/>
    <x v="0"/>
    <n v="4500"/>
    <n v="5850"/>
    <n v="3"/>
    <n v="13500"/>
    <n v="17550"/>
    <s v="Aadil Khan"/>
    <n v="8450"/>
  </r>
  <r>
    <s v="144397"/>
    <x v="27"/>
    <s v="Rajesh Variya"/>
    <s v="31/12/2022"/>
    <s v="Shipped"/>
    <s v="Intel i3 11th gen."/>
    <s v="CPU"/>
    <x v="1"/>
    <n v="8500"/>
    <n v="11050"/>
    <n v="4"/>
    <n v="34000"/>
    <n v="44200"/>
    <s v="Advika Joshi"/>
    <n v="33150"/>
  </r>
  <r>
    <s v="144398"/>
    <x v="22"/>
    <s v="Amit Singh"/>
    <s v="31/12/2022"/>
    <s v="Order"/>
    <s v="4GB Graphic card"/>
    <s v="Graphic Card"/>
    <x v="2"/>
    <n v="12500"/>
    <n v="16250"/>
    <n v="1"/>
    <n v="12500"/>
    <n v="16250"/>
    <s v="Ajay Sharma"/>
    <n v="18200"/>
  </r>
  <r>
    <s v="144399"/>
    <x v="28"/>
    <s v="Vinod Mehta"/>
    <s v="31/12/2022"/>
    <s v="Processing"/>
    <s v="156 GB DDR4 RAM"/>
    <s v="Computer Case"/>
    <x v="3"/>
    <n v="3500"/>
    <n v="4550"/>
    <n v="2"/>
    <n v="7000"/>
    <n v="9100"/>
    <s v="Roshan Kumar"/>
    <n v="13650"/>
  </r>
  <r>
    <s v="144400"/>
    <x v="29"/>
    <s v="Jignesh Mhatre"/>
    <s v="31/12/2022"/>
    <s v="Delivered"/>
    <s v="BTX motherboard"/>
    <s v="Mouse"/>
    <x v="4"/>
    <n v="4500"/>
    <n v="5850"/>
    <n v="1"/>
    <n v="4500"/>
    <n v="5850"/>
    <s v="Aarvi Gupta"/>
    <n v="1690"/>
  </r>
  <r>
    <s v="144401"/>
    <x v="30"/>
    <s v="Rahul Kashyap"/>
    <s v="31/12/2022"/>
    <s v="Shipped"/>
    <s v="151 Fans Cabinet"/>
    <s v="Cabinet"/>
    <x v="5"/>
    <n v="2100"/>
    <n v="2730"/>
    <n v="4"/>
    <n v="8400"/>
    <n v="10920"/>
    <s v="Vijay Singh"/>
    <n v="2990"/>
  </r>
  <r>
    <s v="144402"/>
    <x v="31"/>
    <s v="Mohammed Abdul Kaleem"/>
    <s v="31/12/2022"/>
    <s v="Order"/>
    <s v="Wireless Keyboard"/>
    <s v="Keyboard"/>
    <x v="6"/>
    <n v="1150"/>
    <n v="1495"/>
    <n v="4"/>
    <n v="4600"/>
    <n v="5980"/>
    <s v="Aadil Khan"/>
    <n v="3315"/>
  </r>
  <r>
    <s v="144403"/>
    <x v="32"/>
    <s v="Chandrakant Kasbe"/>
    <s v="31/12/2022"/>
    <s v="Processing"/>
    <s v="USB Mouse"/>
    <s v="Mouse"/>
    <x v="0"/>
    <n v="350"/>
    <n v="455"/>
    <n v="4"/>
    <n v="1400"/>
    <n v="1820"/>
    <s v="Advika Joshi"/>
    <n v="1690"/>
  </r>
  <r>
    <s v="144404"/>
    <x v="0"/>
    <s v="Rohan Kale"/>
    <s v="31/12/2022"/>
    <s v="Delivered"/>
    <s v="19&quot; LED Display"/>
    <s v="Monitor"/>
    <x v="6"/>
    <n v="9500"/>
    <n v="12350"/>
    <n v="4"/>
    <n v="38000"/>
    <n v="49400"/>
    <s v="Ajay Sharma"/>
    <n v="9750"/>
  </r>
  <r>
    <s v="144405"/>
    <x v="23"/>
    <s v="Aniruddha Kekapure"/>
    <s v="31/12/2022"/>
    <s v="Shipped"/>
    <s v="150 TB HDD"/>
    <s v="HDD"/>
    <x v="10"/>
    <n v="10000"/>
    <n v="13000"/>
    <n v="4"/>
    <n v="40000"/>
    <n v="52000"/>
    <s v="Roshan Kumar"/>
    <n v="39000"/>
  </r>
  <r>
    <s v="144406"/>
    <x v="1"/>
    <s v="Aslam Raza"/>
    <s v="31/12/2022"/>
    <s v="Order"/>
    <s v="660 GB M.2"/>
    <s v="SSD"/>
    <x v="0"/>
    <n v="6500"/>
    <n v="8450"/>
    <n v="1"/>
    <n v="6500"/>
    <n v="8450"/>
    <s v="Aarvi Gupta"/>
    <n v="8450"/>
  </r>
  <r>
    <s v="144407"/>
    <x v="2"/>
    <s v="Roshan Zameer"/>
    <s v="31/12/2022"/>
    <s v="Processing"/>
    <s v="RYZEN 3rd gen. 3648"/>
    <s v="CPU"/>
    <x v="1"/>
    <n v="8500"/>
    <n v="11050"/>
    <n v="1"/>
    <n v="8500"/>
    <n v="11050"/>
    <s v="Vijay Singh"/>
    <n v="33150"/>
  </r>
  <r>
    <s v="144408"/>
    <x v="3"/>
    <s v="Rakesh Kumar Sharma"/>
    <s v="31/12/2022"/>
    <s v="Delivered"/>
    <s v="2GB Graphic Card"/>
    <s v="Graphic Card"/>
    <x v="2"/>
    <n v="7000"/>
    <n v="9100"/>
    <n v="4"/>
    <n v="28000"/>
    <n v="36400"/>
    <s v="Aadil Khan"/>
    <n v="18200"/>
  </r>
  <r>
    <s v="144409"/>
    <x v="24"/>
    <s v="Shivanand Sahani"/>
    <s v="31/12/2022"/>
    <s v="Shipped"/>
    <s v="164 GB DDR4 RAM"/>
    <s v="Computer Case"/>
    <x v="3"/>
    <n v="6550"/>
    <n v="8515"/>
    <n v="2"/>
    <n v="13100"/>
    <n v="17030"/>
    <s v="Advika Joshi"/>
    <n v="13650"/>
  </r>
  <r>
    <s v="144410"/>
    <x v="25"/>
    <s v="Kunal Patra"/>
    <s v="31/12/2022"/>
    <s v="Order"/>
    <s v="Standard ATX motherboard"/>
    <s v="Mouse"/>
    <x v="4"/>
    <n v="7650"/>
    <n v="9945"/>
    <n v="2"/>
    <n v="15300"/>
    <n v="19890"/>
    <s v="Ajay Sharma"/>
    <n v="1690"/>
  </r>
  <r>
    <s v="144411"/>
    <x v="33"/>
    <s v="Bijendra"/>
    <s v="31/12/2022"/>
    <s v="Processing"/>
    <s v="Compact with 1 Fan"/>
    <s v="Cabinet"/>
    <x v="5"/>
    <n v="1150"/>
    <n v="1495"/>
    <n v="4"/>
    <n v="4600"/>
    <n v="5980"/>
    <s v="Roshan Kumar"/>
    <n v="2990"/>
  </r>
  <r>
    <s v="144412"/>
    <x v="34"/>
    <s v="Kranti Bheke"/>
    <s v="31/12/2022"/>
    <s v="Delivered"/>
    <s v="USB Backlight Keyboard"/>
    <s v="Keyboard"/>
    <x v="6"/>
    <n v="850"/>
    <n v="1105"/>
    <n v="3"/>
    <n v="2550"/>
    <n v="3315"/>
    <s v="Aarvi Gupta"/>
    <n v="3315"/>
  </r>
  <r>
    <s v="144413"/>
    <x v="4"/>
    <s v="Jagdeep"/>
    <s v="31/12/2022"/>
    <s v="Shipped"/>
    <s v="Ergonomic Mouse"/>
    <s v="Mouse"/>
    <x v="0"/>
    <n v="650"/>
    <n v="845"/>
    <n v="1"/>
    <n v="650"/>
    <n v="845"/>
    <s v="Vijay Singh"/>
    <n v="1690"/>
  </r>
  <r>
    <s v="144414"/>
    <x v="5"/>
    <s v="Adhir Samal"/>
    <s v="31/12/2022"/>
    <s v="Order"/>
    <s v="15&quot; LCD Dsipaly"/>
    <s v="Monitor"/>
    <x v="6"/>
    <n v="7500"/>
    <n v="9750"/>
    <n v="2"/>
    <n v="15000"/>
    <n v="19500"/>
    <s v="Aadil Khan"/>
    <n v="9750"/>
  </r>
  <r>
    <s v="144415"/>
    <x v="6"/>
    <s v="Dannana Jhammi"/>
    <s v="31/12/2022"/>
    <s v="Processing"/>
    <s v="150 TB HDD"/>
    <s v="HDD"/>
    <x v="7"/>
    <n v="10000"/>
    <n v="13000"/>
    <n v="2"/>
    <n v="20000"/>
    <n v="26000"/>
    <s v="Advika Joshi"/>
    <n v="39000"/>
  </r>
  <r>
    <s v="144416"/>
    <x v="7"/>
    <s v="Vipin Kumar"/>
    <s v="31/12/2022"/>
    <s v="Delivered"/>
    <s v="149 TB SSD"/>
    <s v="SSD"/>
    <x v="0"/>
    <n v="10500"/>
    <n v="13650"/>
    <n v="3"/>
    <n v="31500"/>
    <n v="40950"/>
    <s v="Ajay Sharma"/>
    <n v="8450"/>
  </r>
  <r>
    <s v="144417"/>
    <x v="26"/>
    <s v="Ranjeet Kumar"/>
    <s v="31/12/2022"/>
    <s v="Shipped"/>
    <s v="Intel i5 12th gen."/>
    <s v="CPU"/>
    <x v="1"/>
    <n v="8500"/>
    <n v="11050"/>
    <n v="2"/>
    <n v="17000"/>
    <n v="22100"/>
    <s v="Roshan Kumar"/>
    <n v="33150"/>
  </r>
  <r>
    <s v="144418"/>
    <x v="27"/>
    <s v="Sajal Singhal"/>
    <s v="31/12/2022"/>
    <s v="Order"/>
    <s v="2GB Graphic Card"/>
    <s v="Graphic Card"/>
    <x v="2"/>
    <n v="7000"/>
    <n v="9100"/>
    <n v="4"/>
    <n v="28000"/>
    <n v="36400"/>
    <s v="Aarvi Gupta"/>
    <n v="18200"/>
  </r>
  <r>
    <s v="144419"/>
    <x v="8"/>
    <s v="Akhilesh Kumar"/>
    <s v="31/12/2022"/>
    <s v="Processing"/>
    <s v="152 GB DDR4 Ram"/>
    <s v="Computer Case"/>
    <x v="3"/>
    <n v="1680"/>
    <n v="2184"/>
    <n v="2"/>
    <n v="3360"/>
    <n v="4368"/>
    <s v="Vijay Singh"/>
    <n v="13650"/>
  </r>
  <r>
    <s v="144420"/>
    <x v="9"/>
    <s v="Suvankar Chakraborty"/>
    <s v="31/12/2022"/>
    <s v="Delivered"/>
    <s v="Micro ATX motherboard"/>
    <s v="Mouse"/>
    <x v="8"/>
    <n v="6540"/>
    <n v="8502"/>
    <n v="3"/>
    <n v="19620"/>
    <n v="25506"/>
    <s v="Aadil Khan"/>
    <n v="1690"/>
  </r>
  <r>
    <s v="144421"/>
    <x v="10"/>
    <s v="Suvankar Adhikary"/>
    <s v="31/12/2022"/>
    <s v="Shipped"/>
    <s v="Gaming Box Cabinet"/>
    <s v="Cabinet"/>
    <x v="5"/>
    <n v="2680"/>
    <n v="3484"/>
    <n v="4"/>
    <n v="10720"/>
    <n v="13936"/>
    <s v="Advika Joshi"/>
    <n v="2990"/>
  </r>
  <r>
    <s v="144422"/>
    <x v="11"/>
    <s v="Rahul Kumar Prajapati"/>
    <s v="31/12/2022"/>
    <s v="Order"/>
    <s v="17&quot; LCD Display"/>
    <s v="Monitor"/>
    <x v="0"/>
    <n v="8250"/>
    <n v="10725"/>
    <n v="2"/>
    <n v="16500"/>
    <n v="21450"/>
    <s v="Ajay Sharma"/>
    <n v="9750"/>
  </r>
  <r>
    <s v="144423"/>
    <x v="12"/>
    <s v="Sagar Jeur"/>
    <s v="31/12/2022"/>
    <s v="Processing"/>
    <s v="156 GB DDR4 RAM"/>
    <s v="RAM"/>
    <x v="0"/>
    <n v="2650"/>
    <n v="3445"/>
    <n v="3"/>
    <n v="7950"/>
    <n v="10335"/>
    <s v="Roshan Kumar"/>
    <n v="25545"/>
  </r>
  <r>
    <s v="144424"/>
    <x v="13"/>
    <s v="Rhushikesh Mane"/>
    <s v="31/12/2022"/>
    <s v="Delivered"/>
    <s v="26&quot; LCD Display"/>
    <s v="Monitor"/>
    <x v="9"/>
    <n v="12550"/>
    <n v="16315"/>
    <n v="1"/>
    <n v="12550"/>
    <n v="16315"/>
    <s v="Aarvi Gupta"/>
    <n v="9750"/>
  </r>
  <r>
    <s v="144425"/>
    <x v="14"/>
    <s v="Ashish Kumar"/>
    <s v="31/12/2022"/>
    <s v="Shipped"/>
    <s v="I7 - intel 12th Generation"/>
    <s v="CPU"/>
    <x v="1"/>
    <n v="14500"/>
    <n v="18850"/>
    <n v="2"/>
    <n v="29000"/>
    <n v="37700"/>
    <s v="Vijay Singh"/>
    <n v="33150"/>
  </r>
  <r>
    <s v="144426"/>
    <x v="15"/>
    <s v="Javed Akhter"/>
    <s v="31/12/2022"/>
    <s v="Order"/>
    <s v="USB Keyboard"/>
    <s v="Keyboard"/>
    <x v="6"/>
    <n v="800"/>
    <n v="1040"/>
    <n v="4"/>
    <n v="3200"/>
    <n v="4160"/>
    <s v="Aadil Khan"/>
    <n v="3315"/>
  </r>
  <r>
    <s v="144427"/>
    <x v="16"/>
    <s v="Haridas Balraj"/>
    <s v="31/12/2022"/>
    <s v="Processing"/>
    <s v="Wireless Mouse"/>
    <s v="Mouse"/>
    <x v="0"/>
    <n v="600"/>
    <n v="780"/>
    <n v="3"/>
    <n v="1800"/>
    <n v="2340"/>
    <s v="Advika Joshi"/>
    <n v="1690"/>
  </r>
  <r>
    <s v="144428"/>
    <x v="17"/>
    <s v="Kundan Kumar"/>
    <s v="31/12/2022"/>
    <s v="Delivered"/>
    <s v="21&quot; LCD Display"/>
    <s v="Monitor"/>
    <x v="6"/>
    <n v="10500"/>
    <n v="13650"/>
    <n v="2"/>
    <n v="21000"/>
    <n v="27300"/>
    <s v="Ajay Sharma"/>
    <n v="9750"/>
  </r>
  <r>
    <s v="144429"/>
    <x v="18"/>
    <s v="Atif Siddiqui"/>
    <s v="31/12/2022"/>
    <s v="Shipped"/>
    <s v="150 TB HDD"/>
    <s v="HDD"/>
    <x v="10"/>
    <n v="6500"/>
    <n v="8450"/>
    <n v="2"/>
    <n v="13000"/>
    <n v="16900"/>
    <s v="Roshan Kumar"/>
    <n v="39000"/>
  </r>
  <r>
    <s v="144430"/>
    <x v="19"/>
    <s v="Aditya Agarwal"/>
    <s v="31/12/2022"/>
    <s v="Order"/>
    <s v="405 GB SSD"/>
    <s v="SSD"/>
    <x v="0"/>
    <n v="4500"/>
    <n v="5850"/>
    <n v="1"/>
    <n v="4500"/>
    <n v="5850"/>
    <s v="Aarvi Gupta"/>
    <n v="8450"/>
  </r>
  <r>
    <s v="144431"/>
    <x v="20"/>
    <s v="Firdoush Jabee"/>
    <s v="31/12/2022"/>
    <s v="Processing"/>
    <s v="Intel i3 11th gen."/>
    <s v="CPU"/>
    <x v="1"/>
    <n v="8500"/>
    <n v="11050"/>
    <n v="2"/>
    <n v="17000"/>
    <n v="22100"/>
    <s v="Vijay Singh"/>
    <n v="33150"/>
  </r>
  <r>
    <s v="144432"/>
    <x v="16"/>
    <s v="Jay Prakash Kumar"/>
    <s v="31/12/2022"/>
    <s v="Delivered"/>
    <s v="4GB Graphic card"/>
    <s v="Graphic Card"/>
    <x v="2"/>
    <n v="12500"/>
    <n v="16250"/>
    <n v="2"/>
    <n v="25000"/>
    <n v="32500"/>
    <s v="Aadil Khan"/>
    <n v="18200"/>
  </r>
  <r>
    <s v="144433"/>
    <x v="17"/>
    <s v="Ashish Pandey"/>
    <s v="31/12/2022"/>
    <s v="Shipped"/>
    <s v="157 GB DDR4 RAM"/>
    <s v="NIC"/>
    <x v="3"/>
    <n v="3500"/>
    <n v="4550"/>
    <n v="1"/>
    <n v="3500"/>
    <n v="4550"/>
    <s v="Advika Joshi"/>
    <n v="9100"/>
  </r>
  <r>
    <s v="144434"/>
    <x v="27"/>
    <s v="Ajay Sharma"/>
    <s v="31/12/2022"/>
    <s v="Order"/>
    <s v="BTX motherboard"/>
    <s v="Printer"/>
    <x v="4"/>
    <n v="4500"/>
    <n v="5850"/>
    <n v="2"/>
    <n v="9000"/>
    <n v="11700"/>
    <s v="Ajay Sharma"/>
    <n v="11700"/>
  </r>
  <r>
    <s v="144435"/>
    <x v="22"/>
    <s v="Moinuddin Saifi"/>
    <s v="31/12/2022"/>
    <s v="Processing"/>
    <s v="152 Fans Cabinet"/>
    <s v="Cabinet"/>
    <x v="5"/>
    <n v="2100"/>
    <n v="2730"/>
    <n v="3"/>
    <n v="6300"/>
    <n v="8190"/>
    <s v="Roshan Kumar"/>
    <n v="2990"/>
  </r>
  <r>
    <s v="144436"/>
    <x v="28"/>
    <s v="Ramkrishna Das Adhikary"/>
    <s v="31/12/2022"/>
    <s v="Delivered"/>
    <s v="Wireless Keyboard"/>
    <s v="Keyboard"/>
    <x v="6"/>
    <n v="1150"/>
    <n v="1495"/>
    <n v="1"/>
    <n v="1150"/>
    <n v="1495"/>
    <s v="Aarvi Gupta"/>
    <n v="3315"/>
  </r>
  <r>
    <s v="144437"/>
    <x v="29"/>
    <s v="Ranjeet Mandal"/>
    <s v="31/12/2022"/>
    <s v="Shipped"/>
    <s v="USB Mouse"/>
    <s v="Mouse"/>
    <x v="0"/>
    <n v="350"/>
    <n v="455"/>
    <n v="1"/>
    <n v="350"/>
    <n v="455"/>
    <s v="Vijay Singh"/>
    <n v="1690"/>
  </r>
  <r>
    <s v="144438"/>
    <x v="30"/>
    <s v="Ashwini Adsare"/>
    <s v="31/12/2022"/>
    <s v="Order"/>
    <s v="19&quot; LED Display"/>
    <s v="Monitor"/>
    <x v="6"/>
    <n v="9500"/>
    <n v="12350"/>
    <n v="2"/>
    <n v="19000"/>
    <n v="24700"/>
    <s v="Aadil Khan"/>
    <n v="9750"/>
  </r>
  <r>
    <s v="144439"/>
    <x v="31"/>
    <s v="Rajesh Variya"/>
    <s v="31/12/2022"/>
    <s v="Processing"/>
    <s v="151 TB HDD"/>
    <s v="HDD"/>
    <x v="10"/>
    <n v="10000"/>
    <n v="13000"/>
    <n v="2"/>
    <n v="20000"/>
    <n v="26000"/>
    <s v="Advika Joshi"/>
    <n v="39000"/>
  </r>
  <r>
    <s v="144440"/>
    <x v="32"/>
    <s v="Amit Singh"/>
    <s v="31/12/2022"/>
    <s v="Delivered"/>
    <s v="661 GB M.2"/>
    <s v="SSD"/>
    <x v="0"/>
    <n v="6500"/>
    <n v="8450"/>
    <n v="2"/>
    <n v="13000"/>
    <n v="16900"/>
    <s v="Ajay Sharma"/>
    <n v="8450"/>
  </r>
  <r>
    <s v="144441"/>
    <x v="0"/>
    <s v="Vinod Mehta"/>
    <s v="31/12/2022"/>
    <s v="Shipped"/>
    <s v="RYZEN 3rd gen. 3649"/>
    <s v="CPU"/>
    <x v="1"/>
    <n v="8500"/>
    <n v="11050"/>
    <n v="3"/>
    <n v="25500"/>
    <n v="33150"/>
    <s v="Roshan Kumar"/>
    <n v="33150"/>
  </r>
  <r>
    <s v="144442"/>
    <x v="23"/>
    <s v="Jignesh Mhatre"/>
    <s v="31/12/2022"/>
    <s v="Order"/>
    <s v="2GB Graphic Card"/>
    <s v="Graphic Card"/>
    <x v="2"/>
    <n v="7000"/>
    <n v="9100"/>
    <n v="4"/>
    <n v="28000"/>
    <n v="36400"/>
    <s v="Aarvi Gupta"/>
    <n v="18200"/>
  </r>
  <r>
    <s v="144443"/>
    <x v="1"/>
    <s v="Rahul Kashyap"/>
    <s v="31/12/2022"/>
    <s v="Processing"/>
    <s v="165 GB DDR4 RAM"/>
    <s v="NIC"/>
    <x v="3"/>
    <n v="6550"/>
    <n v="8515"/>
    <n v="2"/>
    <n v="13100"/>
    <n v="17030"/>
    <s v="Vijay Singh"/>
    <n v="9100"/>
  </r>
  <r>
    <s v="144444"/>
    <x v="2"/>
    <s v="Mohammed Abdul Kaleem"/>
    <s v="31/12/2022"/>
    <s v="Delivered"/>
    <s v="Standard ATX motherboard"/>
    <s v="Printer"/>
    <x v="4"/>
    <n v="7650"/>
    <n v="9945"/>
    <n v="2"/>
    <n v="15300"/>
    <n v="19890"/>
    <s v="Aadil Khan"/>
    <n v="11700"/>
  </r>
  <r>
    <s v="144445"/>
    <x v="3"/>
    <s v="Chandrakant Kasbe"/>
    <s v="31/12/2022"/>
    <s v="Shipped"/>
    <s v="Compact with 1 Fan"/>
    <s v="Cabinet"/>
    <x v="5"/>
    <n v="1150"/>
    <n v="1495"/>
    <n v="2"/>
    <n v="2300"/>
    <n v="2990"/>
    <s v="Advika Joshi"/>
    <n v="2990"/>
  </r>
  <r>
    <s v="144446"/>
    <x v="24"/>
    <s v="Rohan Kale"/>
    <s v="31/12/2022"/>
    <s v="Order"/>
    <s v="USB Backlight Keyboard"/>
    <s v="Keyboard"/>
    <x v="6"/>
    <n v="850"/>
    <n v="1105"/>
    <n v="2"/>
    <n v="1700"/>
    <n v="2210"/>
    <s v="Ajay Sharma"/>
    <n v="3315"/>
  </r>
  <r>
    <s v="144447"/>
    <x v="25"/>
    <s v="Aniruddha Kekapure"/>
    <s v="31/12/2022"/>
    <s v="Processing"/>
    <s v="Ergonomic Mouse"/>
    <s v="Mouse"/>
    <x v="0"/>
    <n v="650"/>
    <n v="845"/>
    <n v="4"/>
    <n v="2600"/>
    <n v="3380"/>
    <s v="Roshan Kumar"/>
    <n v="1690"/>
  </r>
  <r>
    <s v="144448"/>
    <x v="33"/>
    <s v="Aslam Raza"/>
    <s v="31/12/2022"/>
    <s v="Delivered"/>
    <s v="15&quot; LCD Dsipaly"/>
    <s v="Monitor"/>
    <x v="6"/>
    <n v="7500"/>
    <n v="9750"/>
    <n v="1"/>
    <n v="7500"/>
    <n v="9750"/>
    <s v="Aarvi Gupta"/>
    <n v="9750"/>
  </r>
  <r>
    <s v="144449"/>
    <x v="34"/>
    <s v="Roshan Zameer"/>
    <s v="31/12/2022"/>
    <s v="Shipped"/>
    <s v="151 TB HDD"/>
    <s v="HDD"/>
    <x v="7"/>
    <n v="10000"/>
    <n v="13000"/>
    <n v="1"/>
    <n v="10000"/>
    <n v="13000"/>
    <s v="Vijay Singh"/>
    <n v="39000"/>
  </r>
  <r>
    <s v="144450"/>
    <x v="4"/>
    <s v="Rakesh Kumar Sharma"/>
    <s v="31/12/2022"/>
    <s v="Order"/>
    <s v="150 TB SSD"/>
    <s v="SSD"/>
    <x v="0"/>
    <n v="10500"/>
    <n v="13650"/>
    <n v="4"/>
    <n v="42000"/>
    <n v="54600"/>
    <s v="Aadil Khan"/>
    <n v="8450"/>
  </r>
  <r>
    <s v="144451"/>
    <x v="5"/>
    <s v="Shivanand Sahani"/>
    <s v="31/12/2022"/>
    <s v="Processing"/>
    <s v="Intel i5 12th gen."/>
    <s v="CPU"/>
    <x v="1"/>
    <n v="8500"/>
    <n v="11050"/>
    <n v="1"/>
    <n v="8500"/>
    <n v="11050"/>
    <s v="Advika Joshi"/>
    <n v="33150"/>
  </r>
  <r>
    <s v="144452"/>
    <x v="6"/>
    <s v="Kunal Patra"/>
    <s v="31/12/2022"/>
    <s v="Delivered"/>
    <s v="2GB Graphic Card"/>
    <s v="Graphic Card"/>
    <x v="2"/>
    <n v="7000"/>
    <n v="9100"/>
    <n v="2"/>
    <n v="14000"/>
    <n v="18200"/>
    <s v="Ajay Sharma"/>
    <n v="18200"/>
  </r>
  <r>
    <s v="144453"/>
    <x v="7"/>
    <s v="Bijendra"/>
    <s v="31/12/2022"/>
    <s v="Shipped"/>
    <s v="153 GB DDR4 Ram"/>
    <s v="NIC"/>
    <x v="3"/>
    <n v="1680"/>
    <n v="2184"/>
    <n v="4"/>
    <n v="6720"/>
    <n v="8736"/>
    <s v="Roshan Kumar"/>
    <n v="9100"/>
  </r>
  <r>
    <s v="144454"/>
    <x v="26"/>
    <s v="Kranti Bheke"/>
    <s v="31/12/2022"/>
    <s v="Order"/>
    <s v="Micro ATX motherboard"/>
    <s v="Printer"/>
    <x v="8"/>
    <n v="6540"/>
    <n v="8502"/>
    <n v="4"/>
    <n v="26160"/>
    <n v="34008"/>
    <s v="Aarvi Gupta"/>
    <n v="11700"/>
  </r>
  <r>
    <s v="144455"/>
    <x v="27"/>
    <s v="Jagdeep"/>
    <s v="31/12/2022"/>
    <s v="Processing"/>
    <s v="Gaming Box Cabinet"/>
    <s v="Cabinet"/>
    <x v="5"/>
    <n v="2680"/>
    <n v="3484"/>
    <n v="2"/>
    <n v="5360"/>
    <n v="6968"/>
    <s v="Vijay Singh"/>
    <n v="2990"/>
  </r>
  <r>
    <s v="144456"/>
    <x v="8"/>
    <s v="Adhir Samal"/>
    <s v="31/12/2022"/>
    <s v="Delivered"/>
    <s v="17&quot; LCD Display"/>
    <s v="Monitor"/>
    <x v="0"/>
    <n v="8250"/>
    <n v="10725"/>
    <n v="4"/>
    <n v="33000"/>
    <n v="42900"/>
    <s v="Aadil Khan"/>
    <n v="9750"/>
  </r>
  <r>
    <s v="144457"/>
    <x v="9"/>
    <s v="Dannana Jhammi"/>
    <s v="31/12/2022"/>
    <s v="Shipped"/>
    <s v="157 GB DDR4 RAM"/>
    <s v="RAM"/>
    <x v="0"/>
    <n v="2650"/>
    <n v="3445"/>
    <n v="2"/>
    <n v="5300"/>
    <n v="6890"/>
    <s v="Advika Joshi"/>
    <n v="25545"/>
  </r>
  <r>
    <s v="144458"/>
    <x v="10"/>
    <s v="Vipin Kumar"/>
    <s v="31/12/2022"/>
    <s v="Order"/>
    <s v="26&quot; LCD Display"/>
    <s v="Monitor"/>
    <x v="9"/>
    <n v="12550"/>
    <n v="16315"/>
    <n v="2"/>
    <n v="25100"/>
    <n v="32630"/>
    <s v="Ajay Sharma"/>
    <n v="9750"/>
  </r>
  <r>
    <s v="144459"/>
    <x v="11"/>
    <s v="Ranjeet Kumar"/>
    <s v="31/12/2022"/>
    <s v="Processing"/>
    <s v="I7 - intel 12th Generation"/>
    <s v="CPU"/>
    <x v="1"/>
    <n v="14500"/>
    <n v="18850"/>
    <n v="2"/>
    <n v="29000"/>
    <n v="37700"/>
    <s v="Roshan Kumar"/>
    <n v="33150"/>
  </r>
  <r>
    <s v="144460"/>
    <x v="12"/>
    <s v="Sajal Singhal"/>
    <s v="31/12/2022"/>
    <s v="Delivered"/>
    <s v="USB Keyboard"/>
    <s v="Keyboard"/>
    <x v="6"/>
    <n v="800"/>
    <n v="1040"/>
    <n v="1"/>
    <n v="800"/>
    <n v="1040"/>
    <s v="Aarvi Gupta"/>
    <n v="3315"/>
  </r>
  <r>
    <s v="144461"/>
    <x v="13"/>
    <s v="Akhilesh Kumar"/>
    <s v="31/12/2022"/>
    <s v="Shipped"/>
    <s v="Wireless Mouse"/>
    <s v="Mouse"/>
    <x v="0"/>
    <n v="600"/>
    <n v="780"/>
    <n v="2"/>
    <n v="1200"/>
    <n v="1560"/>
    <s v="Vijay Singh"/>
    <n v="1690"/>
  </r>
  <r>
    <s v="144462"/>
    <x v="14"/>
    <s v="Suvankar Chakraborty"/>
    <s v="31/12/2022"/>
    <s v="Order"/>
    <s v="21&quot; LCD Display"/>
    <s v="Monitor"/>
    <x v="6"/>
    <n v="10500"/>
    <n v="13650"/>
    <n v="4"/>
    <n v="42000"/>
    <n v="54600"/>
    <s v="Aadil Khan"/>
    <n v="9750"/>
  </r>
  <r>
    <s v="144463"/>
    <x v="15"/>
    <s v="Suvankar Adhikary"/>
    <s v="31/12/2022"/>
    <s v="Processing"/>
    <s v="151 TB HDD"/>
    <s v="HDD"/>
    <x v="10"/>
    <n v="6500"/>
    <n v="8450"/>
    <n v="1"/>
    <n v="6500"/>
    <n v="8450"/>
    <s v="Advika Joshi"/>
    <n v="39000"/>
  </r>
  <r>
    <s v="144464"/>
    <x v="16"/>
    <s v="Rahul Kumar Prajapati"/>
    <s v="31/12/2022"/>
    <s v="Delivered"/>
    <s v="406 GB SSD"/>
    <s v="SSD"/>
    <x v="0"/>
    <n v="4500"/>
    <n v="5850"/>
    <n v="1"/>
    <n v="4500"/>
    <n v="5850"/>
    <s v="Ajay Sharma"/>
    <n v="8450"/>
  </r>
  <r>
    <s v="144465"/>
    <x v="17"/>
    <s v="Sagar Jeur"/>
    <s v="31/12/2022"/>
    <s v="Shipped"/>
    <s v="Intel i3 11th gen."/>
    <s v="CPU"/>
    <x v="1"/>
    <n v="8500"/>
    <n v="11050"/>
    <n v="4"/>
    <n v="34000"/>
    <n v="44200"/>
    <s v="Roshan Kumar"/>
    <n v="33150"/>
  </r>
  <r>
    <s v="144466"/>
    <x v="18"/>
    <s v="Rhushikesh Mane"/>
    <s v="31/12/2022"/>
    <s v="Order"/>
    <s v="4GB Graphic card"/>
    <s v="Graphic Card"/>
    <x v="2"/>
    <n v="12500"/>
    <n v="16250"/>
    <n v="2"/>
    <n v="25000"/>
    <n v="32500"/>
    <s v="Aarvi Gupta"/>
    <n v="18200"/>
  </r>
  <r>
    <s v="144467"/>
    <x v="19"/>
    <s v="Ashish Kumar"/>
    <s v="31/12/2022"/>
    <s v="Processing"/>
    <s v="158 GB DDR4 RAM"/>
    <s v="RAM"/>
    <x v="3"/>
    <n v="3500"/>
    <n v="4550"/>
    <n v="2"/>
    <n v="7000"/>
    <n v="9100"/>
    <s v="Vijay Singh"/>
    <n v="25545"/>
  </r>
  <r>
    <s v="144468"/>
    <x v="20"/>
    <s v="Javed Akhter"/>
    <s v="31/12/2022"/>
    <s v="Delivered"/>
    <s v="BTX motherboard"/>
    <s v="MotherBoard"/>
    <x v="4"/>
    <n v="4500"/>
    <n v="5850"/>
    <n v="3"/>
    <n v="13500"/>
    <n v="17550"/>
    <s v="Aadil Khan"/>
    <n v="397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5">
  <r>
    <s v="139375"/>
    <s v="AP"/>
    <s v="Dannana Jhammi"/>
    <s v="11/01/2020"/>
    <s v="Delivered"/>
    <s v="RYZEN 3rd gen. 3500 "/>
    <s v="CPU"/>
    <s v="Intel"/>
    <n v="8500"/>
    <n v="11050"/>
    <n v="3"/>
    <n v="25500"/>
    <n v="33150"/>
    <s v="Roshan Kumar"/>
    <n v="33150"/>
  </r>
  <r>
    <s v="139376"/>
    <s v="AS"/>
    <s v="Vipin Kumar"/>
    <s v="11/01/2020"/>
    <s v="Delivered"/>
    <s v="2GB Graphic Card"/>
    <s v="Graphic Card"/>
    <s v="Nvidia"/>
    <n v="7000"/>
    <n v="9100"/>
    <n v="2"/>
    <n v="14000"/>
    <n v="18200"/>
    <s v="Aarvi Gupta"/>
    <n v="18200"/>
  </r>
  <r>
    <s v="139377"/>
    <s v="BR"/>
    <s v="Ranjeet Kumar"/>
    <s v="11/01/2020"/>
    <s v="Delivered"/>
    <s v="16 GB DDR4 RAM"/>
    <s v="RAM"/>
    <s v="Hynix"/>
    <n v="6550"/>
    <n v="8515"/>
    <n v="3"/>
    <n v="19650"/>
    <n v="25545"/>
    <s v="Vijay Singh"/>
    <n v="25545"/>
  </r>
  <r>
    <s v="139378"/>
    <s v="CG"/>
    <s v="Sajal Singhal"/>
    <s v="11/01/2020"/>
    <s v="Order"/>
    <s v="Standard ATX motherboard"/>
    <s v="MotherBoard"/>
    <s v="Gigabyte"/>
    <n v="7650"/>
    <n v="9945"/>
    <n v="4"/>
    <n v="30600"/>
    <n v="39780"/>
    <s v="Aadil Khan"/>
    <n v="39780"/>
  </r>
  <r>
    <s v="139379"/>
    <s v="CG"/>
    <s v="Akhilesh Kumar"/>
    <s v="11/01/2020"/>
    <s v="Order"/>
    <s v="Compact with 1 Fan"/>
    <s v="Cabinet"/>
    <s v="Asus"/>
    <n v="1150"/>
    <n v="1495"/>
    <n v="2"/>
    <n v="2300"/>
    <n v="2990"/>
    <s v="Advika Joshi"/>
    <n v="2990"/>
  </r>
  <r>
    <s v="139380"/>
    <s v="CG"/>
    <s v="Suvankar Chakraborty"/>
    <s v="11/01/2020"/>
    <s v="Order"/>
    <s v="USB Backlight Keyboard"/>
    <s v="Keyboard"/>
    <s v="Dell"/>
    <n v="850"/>
    <n v="1105"/>
    <n v="3"/>
    <n v="2550"/>
    <n v="3315"/>
    <s v="Ajay Sharma"/>
    <n v="3315"/>
  </r>
  <r>
    <s v="139381"/>
    <s v="CG"/>
    <s v="Suvankar Adhikary"/>
    <s v="12/01/2020"/>
    <s v="Order"/>
    <s v="Ergonomic Mouse"/>
    <s v="Mouse"/>
    <s v="Samsung"/>
    <n v="650"/>
    <n v="845"/>
    <n v="2"/>
    <n v="1300"/>
    <n v="1690"/>
    <s v="Ajay Sharma"/>
    <n v="1690"/>
  </r>
  <r>
    <s v="139382"/>
    <s v="CG"/>
    <s v="Rahul Kumar Prajapati"/>
    <s v="13/01/2020"/>
    <s v="Order"/>
    <s v="15&quot; LCD Dsipaly"/>
    <s v="Monitor"/>
    <s v="Dell"/>
    <n v="7500"/>
    <n v="9750"/>
    <n v="1"/>
    <n v="7500"/>
    <n v="9750"/>
    <s v="Roshan Kumar"/>
    <n v="9750"/>
  </r>
  <r>
    <s v="139383"/>
    <s v="JK"/>
    <s v="Sagar Jeur"/>
    <s v="14/01/2020"/>
    <s v="Order"/>
    <s v="2 TB HDD"/>
    <s v="HDD"/>
    <s v="Seagate"/>
    <n v="10000"/>
    <n v="13000"/>
    <n v="3"/>
    <n v="30000"/>
    <n v="39000"/>
    <s v="Aarvi Gupta"/>
    <n v="39000"/>
  </r>
  <r>
    <s v="139384"/>
    <s v="JH"/>
    <s v="Rhushikesh Mane"/>
    <s v="15/01/2020"/>
    <s v="Order"/>
    <s v="1 TB SSD"/>
    <s v="SSD"/>
    <s v="Samsung"/>
    <n v="10500"/>
    <n v="13650"/>
    <n v="1"/>
    <n v="10500"/>
    <n v="13650"/>
    <s v="Aadil Khan"/>
    <n v="8450"/>
  </r>
  <r>
    <s v="139385"/>
    <s v="KA"/>
    <s v="Ashish Kumar"/>
    <s v="16/01/2020"/>
    <s v="Order"/>
    <s v="Intel i5 12th gen."/>
    <s v="CPU"/>
    <s v="Intel"/>
    <n v="8500"/>
    <n v="11050"/>
    <n v="4"/>
    <n v="34000"/>
    <n v="44200"/>
    <s v="Advika Joshi"/>
    <n v="33150"/>
  </r>
  <r>
    <s v="139386"/>
    <s v="KL"/>
    <s v="Javed Akhter"/>
    <s v="17/01/2020"/>
    <s v="Order"/>
    <s v="2GB Graphic Card"/>
    <s v="Graphic Card"/>
    <s v="Nvidia"/>
    <n v="7000"/>
    <n v="9100"/>
    <n v="2"/>
    <n v="14000"/>
    <n v="18200"/>
    <s v="Ajay Sharma"/>
    <n v="18200"/>
  </r>
  <r>
    <s v="139387"/>
    <s v="KL"/>
    <s v="Haridas Balraj"/>
    <s v="18/01/2020"/>
    <s v="Processing"/>
    <s v="4 GB DDR4 Ram"/>
    <s v="RAM"/>
    <s v="Hynix"/>
    <n v="1680"/>
    <n v="2184"/>
    <n v="1"/>
    <n v="1680"/>
    <n v="2184"/>
    <s v="Ajay Sharma"/>
    <n v="25545"/>
  </r>
  <r>
    <s v="139388"/>
    <s v="KL"/>
    <s v="Kundan Kumar"/>
    <s v="19/01/2020"/>
    <s v="Processing"/>
    <s v="Micro ATX motherboard"/>
    <s v="MotherBoard"/>
    <s v="MSI"/>
    <n v="6540"/>
    <n v="8502"/>
    <n v="2"/>
    <n v="13080"/>
    <n v="17004"/>
    <s v="Roshan Kumar"/>
    <n v="39780"/>
  </r>
  <r>
    <s v="139389"/>
    <s v="MN"/>
    <s v="Atif Siddiqui"/>
    <s v="20/01/2020"/>
    <s v="Processing"/>
    <s v="Gaming Box Cabinet"/>
    <s v="Cabinet"/>
    <s v="Asus"/>
    <n v="2680"/>
    <n v="3484"/>
    <n v="1"/>
    <n v="2680"/>
    <n v="3484"/>
    <s v="Aarvi Gupta"/>
    <n v="2990"/>
  </r>
  <r>
    <s v="139390"/>
    <s v="ML"/>
    <s v="Aditya Agarwal"/>
    <s v="21/01/2020"/>
    <s v="Processing"/>
    <s v="17&quot; LCD Display"/>
    <s v="Monitor"/>
    <s v="Samsung"/>
    <n v="8250"/>
    <n v="10725"/>
    <n v="2"/>
    <n v="16500"/>
    <n v="21450"/>
    <s v="Vijay Singh"/>
    <n v="9750"/>
  </r>
  <r>
    <s v="139391"/>
    <s v="MZ"/>
    <s v="Firdoush Jabee"/>
    <s v="22/01/2020"/>
    <s v="Processing"/>
    <s v="8 GB DDR4 RAM"/>
    <s v="RAM"/>
    <s v="Samsung"/>
    <n v="2650"/>
    <n v="3445"/>
    <n v="4"/>
    <n v="10600"/>
    <n v="13780"/>
    <s v="Aadil Khan"/>
    <n v="25545"/>
  </r>
  <r>
    <s v="139392"/>
    <s v="NL"/>
    <s v="Jay Prakash Kumar"/>
    <s v="22/01/2020"/>
    <s v="Processing"/>
    <s v="26&quot; LCD Display"/>
    <s v="Monitor"/>
    <s v="Acer"/>
    <n v="12550"/>
    <n v="16315"/>
    <n v="2"/>
    <n v="25100"/>
    <n v="32630"/>
    <s v="Advika Joshi"/>
    <n v="9750"/>
  </r>
  <r>
    <s v="139393"/>
    <s v="OR"/>
    <s v="Ashish Pandey"/>
    <s v="22/01/2020"/>
    <s v="Processing"/>
    <s v="I7 - intel 12th Generation"/>
    <s v="CPU"/>
    <s v="Intel"/>
    <n v="14500"/>
    <n v="18850"/>
    <n v="2"/>
    <n v="29000"/>
    <n v="37700"/>
    <s v="Ajay Sharma"/>
    <n v="33150"/>
  </r>
  <r>
    <s v="139394"/>
    <s v="PB"/>
    <s v="Ajay Sharma"/>
    <s v="22/01/2020"/>
    <s v="Processing"/>
    <s v="USB Keyboard"/>
    <s v="Keyboard"/>
    <s v="Dell"/>
    <n v="800"/>
    <n v="1040"/>
    <n v="1"/>
    <n v="800"/>
    <n v="1040"/>
    <s v="Roshan Kumar"/>
    <n v="3315"/>
  </r>
  <r>
    <s v="139395"/>
    <s v="RJ"/>
    <s v="Moinuddin Saifi"/>
    <s v="22/01/2020"/>
    <s v="Processing"/>
    <s v="Wireless Mouse"/>
    <s v="Mouse"/>
    <s v="Samsung"/>
    <n v="600"/>
    <n v="780"/>
    <n v="3"/>
    <n v="1800"/>
    <n v="2340"/>
    <s v="Aarvi Gupta"/>
    <n v="1690"/>
  </r>
  <r>
    <s v="139396"/>
    <s v="SK"/>
    <s v="Ramkrishna Das Adhikary"/>
    <s v="22/01/2020"/>
    <s v="Processing"/>
    <s v="21&quot; LCD Display"/>
    <s v="Monitor"/>
    <s v="Dell"/>
    <n v="10500"/>
    <n v="13650"/>
    <n v="4"/>
    <n v="42000"/>
    <n v="54600"/>
    <s v="Vijay Singh"/>
    <n v="9750"/>
  </r>
  <r>
    <s v="139397"/>
    <s v="TN"/>
    <s v="Ranjeet Mandal"/>
    <s v="23/01/2020"/>
    <s v="Processing"/>
    <s v="2 TB HDD"/>
    <s v="HDD"/>
    <s v="Western Digital"/>
    <n v="6500"/>
    <n v="8450"/>
    <n v="1"/>
    <n v="6500"/>
    <n v="8450"/>
    <s v="Aadil Khan"/>
    <n v="39000"/>
  </r>
  <r>
    <s v="139398"/>
    <s v="TR"/>
    <s v="Ashwini Adsare"/>
    <s v="24/01/2020"/>
    <s v="Processing"/>
    <s v="257 GB SSD"/>
    <s v="SSD"/>
    <s v="Samsung"/>
    <n v="4500"/>
    <n v="5850"/>
    <n v="4"/>
    <n v="18000"/>
    <n v="23400"/>
    <s v="Ajay Sharma"/>
    <n v="8450"/>
  </r>
  <r>
    <s v="139399"/>
    <s v="UK"/>
    <s v="Rajesh Variya"/>
    <s v="25/01/2020"/>
    <s v="Processing"/>
    <s v="Intel i3 11th gen."/>
    <s v="CPU"/>
    <s v="Intel"/>
    <n v="8500"/>
    <n v="11050"/>
    <n v="2"/>
    <n v="17000"/>
    <n v="22100"/>
    <s v="Roshan Kumar"/>
    <n v="33150"/>
  </r>
  <r>
    <s v="139400"/>
    <s v="UP"/>
    <s v="Amit Singh"/>
    <s v="26/01/2020"/>
    <s v="Processing"/>
    <s v="4GB Graphic card"/>
    <s v="Graphic Card"/>
    <s v="Nvidia"/>
    <n v="12500"/>
    <n v="16250"/>
    <n v="2"/>
    <n v="25000"/>
    <n v="32500"/>
    <s v="Aarvi Gupta"/>
    <n v="18200"/>
  </r>
  <r>
    <s v="139401"/>
    <s v="WB"/>
    <s v="Vinod Mehta"/>
    <s v="26/01/2020"/>
    <s v="Shipped"/>
    <s v="9 GB DDR4 RAM"/>
    <s v="Computer Case"/>
    <s v="Hynix"/>
    <n v="3500"/>
    <n v="4550"/>
    <n v="3"/>
    <n v="10500"/>
    <n v="13650"/>
    <s v="Vijay Singh"/>
    <n v="13650"/>
  </r>
  <r>
    <s v="139402"/>
    <s v="TN"/>
    <s v="Jignesh Mhatre"/>
    <s v="26/01/2020"/>
    <s v="Order"/>
    <s v="BTX motherboard"/>
    <s v="Mouse"/>
    <s v="Gigabyte"/>
    <n v="4500"/>
    <n v="5850"/>
    <n v="4"/>
    <n v="18000"/>
    <n v="23400"/>
    <s v="Aadil Khan"/>
    <n v="1690"/>
  </r>
  <r>
    <s v="139403"/>
    <s v="TR"/>
    <s v="Rahul Kashyap"/>
    <s v="26/01/2020"/>
    <s v="Order"/>
    <s v="4 Fans Cabinet"/>
    <s v="Cabinet"/>
    <s v="Asus"/>
    <n v="2100"/>
    <n v="2730"/>
    <n v="3"/>
    <n v="6300"/>
    <n v="8190"/>
    <s v="Advika Joshi"/>
    <n v="2990"/>
  </r>
  <r>
    <s v="139404"/>
    <s v="AN"/>
    <s v="Mohammed Abdul Kaleem"/>
    <s v="27/01/2020"/>
    <s v="Order"/>
    <s v="Wireless Keyboard"/>
    <s v="Keyboard"/>
    <s v="Dell"/>
    <n v="1150"/>
    <n v="1495"/>
    <n v="3"/>
    <n v="3450"/>
    <n v="4485"/>
    <s v="Ajay Sharma"/>
    <n v="3315"/>
  </r>
  <r>
    <s v="139405"/>
    <s v="CH"/>
    <s v="Chandrakant Kasbe"/>
    <s v="28/01/2020"/>
    <s v="Order"/>
    <s v="USB Mouse"/>
    <s v="Mouse"/>
    <s v="Samsung"/>
    <n v="350"/>
    <n v="455"/>
    <n v="1"/>
    <n v="350"/>
    <n v="455"/>
    <s v="Roshan Kumar"/>
    <n v="1690"/>
  </r>
  <r>
    <s v="139406"/>
    <s v="CH"/>
    <s v="Rohan Kale"/>
    <s v="29/01/2020"/>
    <s v="Order"/>
    <s v="19&quot; LED Display"/>
    <s v="Monitor"/>
    <s v="Dell"/>
    <n v="9500"/>
    <n v="12350"/>
    <n v="3"/>
    <n v="28500"/>
    <n v="37050"/>
    <s v="Aarvi Gupta"/>
    <n v="9750"/>
  </r>
  <r>
    <s v="139407"/>
    <s v="CH"/>
    <s v="Aniruddha Kekapure"/>
    <s v="30/01/2020"/>
    <s v="Processing"/>
    <s v="3 TB HDD"/>
    <s v="HDD"/>
    <s v="Western Digital"/>
    <n v="10000"/>
    <n v="13000"/>
    <n v="1"/>
    <n v="10000"/>
    <n v="13000"/>
    <s v="Vijay Singh"/>
    <n v="39000"/>
  </r>
  <r>
    <s v="139408"/>
    <s v="CH"/>
    <s v="Aslam Raza"/>
    <s v="31/01/2020"/>
    <s v="Delivered"/>
    <s v="513 GB M.2"/>
    <s v="SSD"/>
    <s v="Samsung"/>
    <n v="6500"/>
    <n v="8450"/>
    <n v="3"/>
    <n v="19500"/>
    <n v="25350"/>
    <s v="Aadil Khan"/>
    <n v="8450"/>
  </r>
  <r>
    <s v="139409"/>
    <s v="CH"/>
    <s v="Roshan Zameer"/>
    <s v="01/02/2020"/>
    <s v="Shipped"/>
    <s v="RYZEN 3rd gen. 3501"/>
    <s v="CPU"/>
    <s v="Intel"/>
    <n v="8500"/>
    <n v="11050"/>
    <n v="4"/>
    <n v="34000"/>
    <n v="44200"/>
    <s v="Advika Joshi"/>
    <n v="33150"/>
  </r>
  <r>
    <s v="139410"/>
    <s v="CH"/>
    <s v="Rakesh Kumar Sharma"/>
    <s v="01/02/2020"/>
    <s v="Shipped"/>
    <s v="2GB Graphic Card"/>
    <s v="Graphic Card"/>
    <s v="Nvidia"/>
    <n v="7000"/>
    <n v="9100"/>
    <n v="3"/>
    <n v="21000"/>
    <n v="27300"/>
    <s v="Ajay Sharma"/>
    <n v="18200"/>
  </r>
  <r>
    <s v="139411"/>
    <s v="CH"/>
    <s v="Shivanand Sahani"/>
    <s v="01/02/2020"/>
    <s v="Shipped"/>
    <s v="17 GB DDR4 RAM"/>
    <s v="Computer Case"/>
    <s v="Hynix"/>
    <n v="6550"/>
    <n v="8515"/>
    <n v="3"/>
    <n v="19650"/>
    <n v="25545"/>
    <s v="Roshan Kumar"/>
    <n v="13650"/>
  </r>
  <r>
    <s v="139412"/>
    <s v="AR"/>
    <s v="Kunal Patra"/>
    <s v="01/02/2020"/>
    <s v="Shipped"/>
    <s v="Standard ATX motherboard"/>
    <s v="Mouse"/>
    <s v="Gigabyte"/>
    <n v="7650"/>
    <n v="9945"/>
    <n v="3"/>
    <n v="22950"/>
    <n v="29835"/>
    <s v="Aarvi Gupta"/>
    <n v="1690"/>
  </r>
  <r>
    <s v="139413"/>
    <s v="AS"/>
    <s v="Bijendra"/>
    <s v="02/02/2020"/>
    <s v="Shipped"/>
    <s v="Compact with 1 Fan"/>
    <s v="Cabinet"/>
    <s v="Asus"/>
    <n v="1150"/>
    <n v="1495"/>
    <n v="1"/>
    <n v="1150"/>
    <n v="1495"/>
    <s v="Vijay Singh"/>
    <n v="2990"/>
  </r>
  <r>
    <s v="139414"/>
    <s v="BR"/>
    <s v="Kranti Bheke"/>
    <s v="03/02/2020"/>
    <s v="Shipped"/>
    <s v="USB Backlight Keyboard"/>
    <s v="Keyboard"/>
    <s v="Dell"/>
    <n v="850"/>
    <n v="1105"/>
    <n v="1"/>
    <n v="850"/>
    <n v="1105"/>
    <s v="Aadil Khan"/>
    <n v="3315"/>
  </r>
  <r>
    <s v="139415"/>
    <s v="CG"/>
    <s v="Jagdeep"/>
    <s v="03/02/2020"/>
    <s v="Shipped"/>
    <s v="Ergonomic Mouse"/>
    <s v="Mouse"/>
    <s v="Samsung"/>
    <n v="650"/>
    <n v="845"/>
    <n v="2"/>
    <n v="1300"/>
    <n v="1690"/>
    <s v="Ajay Sharma"/>
    <n v="1690"/>
  </r>
  <r>
    <s v="139416"/>
    <s v="GA"/>
    <s v="Adhir Samal"/>
    <s v="03/02/2020"/>
    <s v="Shipped"/>
    <s v="15&quot; LCD Dsipaly"/>
    <s v="Monitor"/>
    <s v="Dell"/>
    <n v="7500"/>
    <n v="9750"/>
    <n v="1"/>
    <n v="7500"/>
    <n v="9750"/>
    <s v="Roshan Kumar"/>
    <n v="9750"/>
  </r>
  <r>
    <s v="139417"/>
    <s v="GJ"/>
    <s v="Dannana Jhammi"/>
    <s v="04/02/2020"/>
    <s v="Shipped"/>
    <s v="3 TB HDD"/>
    <s v="HDD"/>
    <s v="Seagate"/>
    <n v="10000"/>
    <n v="13000"/>
    <n v="3"/>
    <n v="30000"/>
    <n v="39000"/>
    <s v="Aarvi Gupta"/>
    <n v="39000"/>
  </r>
  <r>
    <s v="139418"/>
    <s v="GJ"/>
    <s v="Vipin Kumar"/>
    <s v="05/02/2020"/>
    <s v="Shipped"/>
    <s v="2 TB SSD"/>
    <s v="SSD"/>
    <s v="Samsung"/>
    <n v="10500"/>
    <n v="13650"/>
    <n v="2"/>
    <n v="21000"/>
    <n v="27300"/>
    <s v="Vijay Singh"/>
    <n v="8450"/>
  </r>
  <r>
    <s v="139419"/>
    <s v="GJ"/>
    <s v="Ranjeet Kumar"/>
    <s v="06/02/2020"/>
    <s v="Processing"/>
    <s v="Intel i5 12th gen."/>
    <s v="CPU"/>
    <s v="Intel"/>
    <n v="8500"/>
    <n v="11050"/>
    <n v="4"/>
    <n v="34000"/>
    <n v="44200"/>
    <s v="Aadil Khan"/>
    <n v="33150"/>
  </r>
  <r>
    <s v="139420"/>
    <s v="GJ"/>
    <s v="Sajal Singhal"/>
    <s v="07/02/2020"/>
    <s v="Delivered"/>
    <s v="2GB Graphic Card"/>
    <s v="Graphic Card"/>
    <s v="Nvidia"/>
    <n v="7000"/>
    <n v="9100"/>
    <n v="4"/>
    <n v="28000"/>
    <n v="36400"/>
    <s v="Advika Joshi"/>
    <n v="18200"/>
  </r>
  <r>
    <s v="139421"/>
    <s v="GJ"/>
    <s v="Akhilesh Kumar"/>
    <s v="08/02/2020"/>
    <s v="Shipped"/>
    <s v="5 GB DDR4 Ram"/>
    <s v="Computer Case"/>
    <s v="Hynix"/>
    <n v="1680"/>
    <n v="2184"/>
    <n v="2"/>
    <n v="3360"/>
    <n v="4368"/>
    <s v="Ajay Sharma"/>
    <n v="13650"/>
  </r>
  <r>
    <s v="139422"/>
    <s v="GJ"/>
    <s v="Suvankar Chakraborty"/>
    <s v="09/02/2020"/>
    <s v="Order"/>
    <s v="Micro ATX motherboard"/>
    <s v="Mouse"/>
    <s v="MSI"/>
    <n v="6540"/>
    <n v="8502"/>
    <n v="1"/>
    <n v="6540"/>
    <n v="8502"/>
    <s v="Roshan Kumar"/>
    <n v="1690"/>
  </r>
  <r>
    <s v="139423"/>
    <s v="KL"/>
    <s v="Suvankar Adhikary"/>
    <s v="10/02/2020"/>
    <s v="Processing"/>
    <s v="Gaming Box Cabinet"/>
    <s v="Cabinet"/>
    <s v="Asus"/>
    <n v="2680"/>
    <n v="3484"/>
    <n v="1"/>
    <n v="2680"/>
    <n v="3484"/>
    <s v="Aarvi Gupta"/>
    <n v="2990"/>
  </r>
  <r>
    <s v="139424"/>
    <s v="MP"/>
    <s v="Rahul Kumar Prajapati"/>
    <s v="11/02/2020"/>
    <s v="Delivered"/>
    <s v="17&quot; LCD Display"/>
    <s v="Monitor"/>
    <s v="Samsung"/>
    <n v="8250"/>
    <n v="10725"/>
    <n v="1"/>
    <n v="8250"/>
    <n v="10725"/>
    <s v="Vijay Singh"/>
    <n v="9750"/>
  </r>
  <r>
    <s v="139425"/>
    <s v="MH"/>
    <s v="Sagar Jeur"/>
    <s v="12/02/2020"/>
    <s v="Shipped"/>
    <s v="9 GB DDR4 RAM"/>
    <s v="RAM"/>
    <s v="Samsung"/>
    <n v="2650"/>
    <n v="3445"/>
    <n v="3"/>
    <n v="7950"/>
    <n v="10335"/>
    <s v="Aadil Khan"/>
    <n v="25545"/>
  </r>
  <r>
    <s v="139426"/>
    <s v="MN"/>
    <s v="Rhushikesh Mane"/>
    <s v="13/02/2020"/>
    <s v="Order"/>
    <s v="26&quot; LCD Display"/>
    <s v="Monitor"/>
    <s v="Acer"/>
    <n v="12550"/>
    <n v="16315"/>
    <n v="3"/>
    <n v="37650"/>
    <n v="48945"/>
    <s v="Advika Joshi"/>
    <n v="9750"/>
  </r>
  <r>
    <s v="139427"/>
    <s v="ML"/>
    <s v="Ashish Kumar"/>
    <s v="14/02/2020"/>
    <s v="Processing"/>
    <s v="I7 - intel 12th Generation"/>
    <s v="CPU"/>
    <s v="Intel"/>
    <n v="14500"/>
    <n v="18850"/>
    <n v="3"/>
    <n v="43500"/>
    <n v="56550"/>
    <s v="Ajay Sharma"/>
    <n v="33150"/>
  </r>
  <r>
    <s v="139428"/>
    <s v="MZ"/>
    <s v="Javed Akhter"/>
    <s v="15/02/2020"/>
    <s v="Delivered"/>
    <s v="USB Keyboard"/>
    <s v="Keyboard"/>
    <s v="Dell"/>
    <n v="800"/>
    <n v="1040"/>
    <n v="3"/>
    <n v="2400"/>
    <n v="3120"/>
    <s v="Roshan Kumar"/>
    <n v="3315"/>
  </r>
  <r>
    <s v="139429"/>
    <s v="NL"/>
    <s v="Haridas Balraj"/>
    <s v="16/02/2020"/>
    <s v="Shipped"/>
    <s v="Wireless Mouse"/>
    <s v="Mouse"/>
    <s v="Samsung"/>
    <n v="600"/>
    <n v="780"/>
    <n v="3"/>
    <n v="1800"/>
    <n v="2340"/>
    <s v="Aarvi Gupta"/>
    <n v="1690"/>
  </r>
  <r>
    <s v="139430"/>
    <s v="OR"/>
    <s v="Kundan Kumar"/>
    <s v="17/02/2020"/>
    <s v="Order"/>
    <s v="21&quot; LCD Display"/>
    <s v="Monitor"/>
    <s v="Dell"/>
    <n v="10500"/>
    <n v="13650"/>
    <n v="3"/>
    <n v="31500"/>
    <n v="40950"/>
    <s v="Vijay Singh"/>
    <n v="9750"/>
  </r>
  <r>
    <s v="139431"/>
    <s v="PB"/>
    <s v="Atif Siddiqui"/>
    <s v="18/02/2020"/>
    <s v="Processing"/>
    <s v="3 TB HDD"/>
    <s v="HDD"/>
    <s v="Western Digital"/>
    <n v="6500"/>
    <n v="8450"/>
    <n v="2"/>
    <n v="13000"/>
    <n v="16900"/>
    <s v="Aadil Khan"/>
    <n v="39000"/>
  </r>
  <r>
    <s v="139432"/>
    <s v="RJ"/>
    <s v="Aditya Agarwal"/>
    <s v="19/02/2020"/>
    <s v="Delivered"/>
    <s v="258 GB SSD"/>
    <s v="SSD"/>
    <s v="Samsung"/>
    <n v="4500"/>
    <n v="5850"/>
    <n v="2"/>
    <n v="9000"/>
    <n v="11700"/>
    <s v="Advika Joshi"/>
    <n v="8450"/>
  </r>
  <r>
    <s v="139433"/>
    <s v="SK"/>
    <s v="Firdoush Jabee"/>
    <s v="19/02/2020"/>
    <s v="Shipped"/>
    <s v="Intel i3 11th gen."/>
    <s v="CPU"/>
    <s v="Intel"/>
    <n v="8500"/>
    <n v="11050"/>
    <n v="2"/>
    <n v="17000"/>
    <n v="22100"/>
    <s v="Ajay Sharma"/>
    <n v="33150"/>
  </r>
  <r>
    <s v="139434"/>
    <s v="TN"/>
    <s v="Jay Prakash Kumar"/>
    <s v="19/02/2020"/>
    <s v="Order"/>
    <s v="4GB Graphic card"/>
    <s v="Graphic Card"/>
    <s v="Nvidia"/>
    <n v="12500"/>
    <n v="16250"/>
    <n v="4"/>
    <n v="50000"/>
    <n v="65000"/>
    <s v="Roshan Kumar"/>
    <n v="18200"/>
  </r>
  <r>
    <s v="139435"/>
    <s v="TN"/>
    <s v="Ashish Pandey"/>
    <s v="19/02/2020"/>
    <s v="Processing"/>
    <s v="10 GB DDR4 RAM"/>
    <s v="NIC"/>
    <s v="Hynix"/>
    <n v="3500"/>
    <n v="4550"/>
    <n v="2"/>
    <n v="7000"/>
    <n v="9100"/>
    <s v="Aarvi Gupta"/>
    <n v="9100"/>
  </r>
  <r>
    <s v="139436"/>
    <s v="TN"/>
    <s v="Ajay Sharma"/>
    <s v="20/02/2020"/>
    <s v="Delivered"/>
    <s v="BTX motherboard"/>
    <s v="Printer"/>
    <s v="Gigabyte"/>
    <n v="4500"/>
    <n v="5850"/>
    <n v="2"/>
    <n v="9000"/>
    <n v="11700"/>
    <s v="Vijay Singh"/>
    <n v="11700"/>
  </r>
  <r>
    <s v="139437"/>
    <s v="TN"/>
    <s v="Moinuddin Saifi"/>
    <s v="21/02/2020"/>
    <s v="Shipped"/>
    <s v="5 Fans Cabinet"/>
    <s v="Cabinet"/>
    <s v="Asus"/>
    <n v="2100"/>
    <n v="2730"/>
    <n v="3"/>
    <n v="6300"/>
    <n v="8190"/>
    <s v="Aadil Khan"/>
    <n v="2990"/>
  </r>
  <r>
    <s v="139438"/>
    <s v="WB"/>
    <s v="Ramkrishna Das Adhikary"/>
    <s v="22/02/2020"/>
    <s v="Order"/>
    <s v="Wireless Keyboard"/>
    <s v="Keyboard"/>
    <s v="Dell"/>
    <n v="1150"/>
    <n v="1495"/>
    <n v="1"/>
    <n v="1150"/>
    <n v="1495"/>
    <s v="Advika Joshi"/>
    <n v="3315"/>
  </r>
  <r>
    <s v="139439"/>
    <s v="TN"/>
    <s v="Ranjeet Mandal"/>
    <s v="23/02/2020"/>
    <s v="Processing"/>
    <s v="USB Mouse"/>
    <s v="Mouse"/>
    <s v="Samsung"/>
    <n v="350"/>
    <n v="455"/>
    <n v="1"/>
    <n v="350"/>
    <n v="455"/>
    <s v="Ajay Sharma"/>
    <n v="1690"/>
  </r>
  <r>
    <s v="139440"/>
    <s v="TR"/>
    <s v="Ashwini Adsare"/>
    <s v="24/02/2020"/>
    <s v="Delivered"/>
    <s v="19&quot; LED Display"/>
    <s v="Monitor"/>
    <s v="Dell"/>
    <n v="9500"/>
    <n v="12350"/>
    <n v="1"/>
    <n v="9500"/>
    <n v="12350"/>
    <s v="Roshan Kumar"/>
    <n v="9750"/>
  </r>
  <r>
    <s v="139441"/>
    <s v="AN"/>
    <s v="Rajesh Variya"/>
    <s v="25/02/2020"/>
    <s v="Shipped"/>
    <s v="4 TB HDD"/>
    <s v="HDD"/>
    <s v="Western Digital"/>
    <n v="10000"/>
    <n v="13000"/>
    <n v="1"/>
    <n v="10000"/>
    <n v="13000"/>
    <s v="Aarvi Gupta"/>
    <n v="39000"/>
  </r>
  <r>
    <s v="139442"/>
    <s v="CH"/>
    <s v="Amit Singh"/>
    <s v="26/02/2020"/>
    <s v="Order"/>
    <s v="514 GB M.2"/>
    <s v="SSD"/>
    <s v="Samsung"/>
    <n v="6500"/>
    <n v="8450"/>
    <n v="3"/>
    <n v="19500"/>
    <n v="25350"/>
    <s v="Vijay Singh"/>
    <n v="8450"/>
  </r>
  <r>
    <s v="139443"/>
    <s v="DH"/>
    <s v="Vinod Mehta"/>
    <s v="27/02/2020"/>
    <s v="Processing"/>
    <s v="RYZEN 3rd gen. 3502"/>
    <s v="CPU"/>
    <s v="Intel"/>
    <n v="8500"/>
    <n v="11050"/>
    <n v="3"/>
    <n v="25500"/>
    <n v="33150"/>
    <s v="Aadil Khan"/>
    <n v="33150"/>
  </r>
  <r>
    <s v="139444"/>
    <s v="DD"/>
    <s v="Jignesh Mhatre"/>
    <s v="28/02/2020"/>
    <s v="Delivered"/>
    <s v="2GB Graphic Card"/>
    <s v="Graphic Card"/>
    <s v="Nvidia"/>
    <n v="7000"/>
    <n v="9100"/>
    <n v="1"/>
    <n v="7000"/>
    <n v="9100"/>
    <s v="Advika Joshi"/>
    <n v="18200"/>
  </r>
  <r>
    <s v="139445"/>
    <s v="DL"/>
    <s v="Rahul Kashyap"/>
    <s v="29/02/2020"/>
    <s v="Shipped"/>
    <s v="18 GB DDR4 RAM"/>
    <s v="NIC"/>
    <s v="Hynix"/>
    <n v="6550"/>
    <n v="8515"/>
    <n v="2"/>
    <n v="13100"/>
    <n v="17030"/>
    <s v="Ajay Sharma"/>
    <n v="9100"/>
  </r>
  <r>
    <s v="139446"/>
    <s v="LD"/>
    <s v="Mohammed Abdul Kaleem"/>
    <s v="01/03/2020"/>
    <s v="Order"/>
    <s v="Standard ATX motherboard"/>
    <s v="Printer"/>
    <s v="Gigabyte"/>
    <n v="7650"/>
    <n v="9945"/>
    <n v="3"/>
    <n v="22950"/>
    <n v="29835"/>
    <s v="Roshan Kumar"/>
    <n v="11700"/>
  </r>
  <r>
    <s v="139447"/>
    <s v="PY"/>
    <s v="Chandrakant Kasbe"/>
    <s v="02/03/2020"/>
    <s v="Processing"/>
    <s v="Compact with 1 Fan"/>
    <s v="Cabinet"/>
    <s v="Asus"/>
    <n v="1150"/>
    <n v="1495"/>
    <n v="2"/>
    <n v="2300"/>
    <n v="2990"/>
    <s v="Aarvi Gupta"/>
    <n v="2990"/>
  </r>
  <r>
    <s v="139448"/>
    <s v="AP"/>
    <s v="Rohan Kale"/>
    <s v="03/03/2020"/>
    <s v="Delivered"/>
    <s v="USB Backlight Keyboard"/>
    <s v="Keyboard"/>
    <s v="Dell"/>
    <n v="850"/>
    <n v="1105"/>
    <n v="1"/>
    <n v="850"/>
    <n v="1105"/>
    <s v="Vijay Singh"/>
    <n v="3315"/>
  </r>
  <r>
    <s v="139449"/>
    <s v="AR"/>
    <s v="Aniruddha Kekapure"/>
    <s v="04/03/2020"/>
    <s v="Shipped"/>
    <s v="Ergonomic Mouse"/>
    <s v="Mouse"/>
    <s v="Samsung"/>
    <n v="650"/>
    <n v="845"/>
    <n v="3"/>
    <n v="1950"/>
    <n v="2535"/>
    <s v="Aadil Khan"/>
    <n v="1690"/>
  </r>
  <r>
    <s v="139450"/>
    <s v="AS"/>
    <s v="Aslam Raza"/>
    <s v="05/03/2020"/>
    <s v="Order"/>
    <s v="15&quot; LCD Dsipaly"/>
    <s v="Monitor"/>
    <s v="Dell"/>
    <n v="7500"/>
    <n v="9750"/>
    <n v="4"/>
    <n v="30000"/>
    <n v="39000"/>
    <s v="Advika Joshi"/>
    <n v="9750"/>
  </r>
  <r>
    <s v="139451"/>
    <s v="BR"/>
    <s v="Roshan Zameer"/>
    <s v="06/03/2020"/>
    <s v="Processing"/>
    <s v="4 TB HDD"/>
    <s v="HDD"/>
    <s v="Seagate"/>
    <n v="10000"/>
    <n v="13000"/>
    <n v="2"/>
    <n v="20000"/>
    <n v="26000"/>
    <s v="Roshan Kumar"/>
    <n v="39000"/>
  </r>
  <r>
    <s v="139452"/>
    <s v="CG"/>
    <s v="Rakesh Kumar Sharma"/>
    <s v="07/03/2020"/>
    <s v="Delivered"/>
    <s v="3 TB SSD"/>
    <s v="SSD"/>
    <s v="Samsung"/>
    <n v="10500"/>
    <n v="13650"/>
    <n v="3"/>
    <n v="31500"/>
    <n v="40950"/>
    <s v="Aarvi Gupta"/>
    <n v="8450"/>
  </r>
  <r>
    <s v="139453"/>
    <s v="GA"/>
    <s v="Shivanand Sahani"/>
    <s v="07/03/2020"/>
    <s v="Shipped"/>
    <s v="Intel i5 12th gen."/>
    <s v="CPU"/>
    <s v="Intel"/>
    <n v="8500"/>
    <n v="11050"/>
    <n v="3"/>
    <n v="25500"/>
    <n v="33150"/>
    <s v="Vijay Singh"/>
    <n v="33150"/>
  </r>
  <r>
    <s v="139454"/>
    <s v="GJ"/>
    <s v="Kunal Patra"/>
    <s v="07/03/2020"/>
    <s v="Order"/>
    <s v="2GB Graphic Card"/>
    <s v="Graphic Card"/>
    <s v="Nvidia"/>
    <n v="7000"/>
    <n v="9100"/>
    <n v="2"/>
    <n v="14000"/>
    <n v="18200"/>
    <s v="Aadil Khan"/>
    <n v="18200"/>
  </r>
  <r>
    <s v="139455"/>
    <s v="HR"/>
    <s v="Bijendra"/>
    <s v="07/03/2020"/>
    <s v="Processing"/>
    <s v="6 GB DDR4 Ram"/>
    <s v="NIC"/>
    <s v="Hynix"/>
    <n v="1680"/>
    <n v="2184"/>
    <n v="4"/>
    <n v="6720"/>
    <n v="8736"/>
    <s v="Advika Joshi"/>
    <n v="9100"/>
  </r>
  <r>
    <s v="139456"/>
    <s v="HR"/>
    <s v="Kranti Bheke"/>
    <s v="07/03/2020"/>
    <s v="Delivered"/>
    <s v="Micro ATX motherboard"/>
    <s v="Printer"/>
    <s v="MSI"/>
    <n v="6540"/>
    <n v="8502"/>
    <n v="1"/>
    <n v="6540"/>
    <n v="8502"/>
    <s v="Ajay Sharma"/>
    <n v="11700"/>
  </r>
  <r>
    <s v="139457"/>
    <s v="HR"/>
    <s v="Jagdeep"/>
    <s v="07/03/2020"/>
    <s v="Shipped"/>
    <s v="Gaming Box Cabinet"/>
    <s v="Cabinet"/>
    <s v="Asus"/>
    <n v="2680"/>
    <n v="3484"/>
    <n v="3"/>
    <n v="8040"/>
    <n v="10452"/>
    <s v="Roshan Kumar"/>
    <n v="2990"/>
  </r>
  <r>
    <s v="139458"/>
    <s v="HR"/>
    <s v="Adhir Samal"/>
    <s v="07/03/2020"/>
    <s v="Order"/>
    <s v="17&quot; LCD Display"/>
    <s v="Monitor"/>
    <s v="Samsung"/>
    <n v="8250"/>
    <n v="10725"/>
    <n v="2"/>
    <n v="16500"/>
    <n v="21450"/>
    <s v="Aarvi Gupta"/>
    <n v="9750"/>
  </r>
  <r>
    <s v="139459"/>
    <s v="HR"/>
    <s v="Dannana Jhammi"/>
    <s v="08/03/2020"/>
    <s v="Processing"/>
    <s v="10 GB DDR4 RAM"/>
    <s v="RAM"/>
    <s v="Samsung"/>
    <n v="2650"/>
    <n v="3445"/>
    <n v="3"/>
    <n v="7950"/>
    <n v="10335"/>
    <s v="Vijay Singh"/>
    <n v="25545"/>
  </r>
  <r>
    <s v="139460"/>
    <s v="HR"/>
    <s v="Vipin Kumar"/>
    <s v="09/03/2020"/>
    <s v="Delivered"/>
    <s v="26&quot; LCD Display"/>
    <s v="Monitor"/>
    <s v="Acer"/>
    <n v="12550"/>
    <n v="16315"/>
    <n v="1"/>
    <n v="12550"/>
    <n v="16315"/>
    <s v="Aadil Khan"/>
    <n v="9750"/>
  </r>
  <r>
    <s v="139461"/>
    <s v="MP"/>
    <s v="Ranjeet Kumar"/>
    <s v="10/03/2020"/>
    <s v="Shipped"/>
    <s v="I7 - intel 12th Generation"/>
    <s v="CPU"/>
    <s v="Intel"/>
    <n v="14500"/>
    <n v="18850"/>
    <n v="1"/>
    <n v="14500"/>
    <n v="18850"/>
    <s v="Advika Joshi"/>
    <n v="33150"/>
  </r>
  <r>
    <s v="139462"/>
    <s v="MH"/>
    <s v="Sajal Singhal"/>
    <s v="11/03/2020"/>
    <s v="Order"/>
    <s v="USB Keyboard"/>
    <s v="Keyboard"/>
    <s v="Dell"/>
    <n v="800"/>
    <n v="1040"/>
    <n v="2"/>
    <n v="1600"/>
    <n v="2080"/>
    <s v="Ajay Sharma"/>
    <n v="3315"/>
  </r>
  <r>
    <s v="139463"/>
    <s v="MN"/>
    <s v="Akhilesh Kumar"/>
    <s v="12/03/2020"/>
    <s v="Processing"/>
    <s v="Wireless Mouse"/>
    <s v="Mouse"/>
    <s v="Samsung"/>
    <n v="600"/>
    <n v="780"/>
    <n v="1"/>
    <n v="600"/>
    <n v="780"/>
    <s v="Roshan Kumar"/>
    <n v="1690"/>
  </r>
  <r>
    <s v="139464"/>
    <s v="ML"/>
    <s v="Suvankar Chakraborty"/>
    <s v="13/03/2020"/>
    <s v="Delivered"/>
    <s v="21&quot; LCD Display"/>
    <s v="Monitor"/>
    <s v="Dell"/>
    <n v="10500"/>
    <n v="13650"/>
    <n v="1"/>
    <n v="10500"/>
    <n v="13650"/>
    <s v="Aarvi Gupta"/>
    <n v="9750"/>
  </r>
  <r>
    <s v="139465"/>
    <s v="MZ"/>
    <s v="Suvankar Adhikary"/>
    <s v="14/03/2020"/>
    <s v="Shipped"/>
    <s v="4 TB HDD"/>
    <s v="HDD"/>
    <s v="Western Digital"/>
    <n v="6500"/>
    <n v="8450"/>
    <n v="3"/>
    <n v="19500"/>
    <n v="25350"/>
    <s v="Vijay Singh"/>
    <n v="39000"/>
  </r>
  <r>
    <s v="139466"/>
    <s v="NL"/>
    <s v="Rahul Kumar Prajapati"/>
    <s v="15/03/2020"/>
    <s v="Order"/>
    <s v="259 GB SSD"/>
    <s v="SSD"/>
    <s v="Samsung"/>
    <n v="4500"/>
    <n v="5850"/>
    <n v="2"/>
    <n v="9000"/>
    <n v="11700"/>
    <s v="Aadil Khan"/>
    <n v="8450"/>
  </r>
  <r>
    <s v="139467"/>
    <s v="OR"/>
    <s v="Sagar Jeur"/>
    <s v="16/03/2020"/>
    <s v="Processing"/>
    <s v="Intel i3 11th gen."/>
    <s v="CPU"/>
    <s v="Intel"/>
    <n v="8500"/>
    <n v="11050"/>
    <n v="1"/>
    <n v="8500"/>
    <n v="11050"/>
    <s v="Advika Joshi"/>
    <n v="33150"/>
  </r>
  <r>
    <s v="139468"/>
    <s v="PB"/>
    <s v="Rhushikesh Mane"/>
    <s v="16/03/2020"/>
    <s v="Delivered"/>
    <s v="4GB Graphic card"/>
    <s v="Graphic Card"/>
    <s v="Nvidia"/>
    <n v="12500"/>
    <n v="16250"/>
    <n v="3"/>
    <n v="37500"/>
    <n v="48750"/>
    <s v="Ajay Sharma"/>
    <n v="18200"/>
  </r>
  <r>
    <s v="139469"/>
    <s v="RJ"/>
    <s v="Ashish Kumar"/>
    <s v="16/03/2020"/>
    <s v="Shipped"/>
    <s v="11 GB DDR4 RAM"/>
    <s v="RAM"/>
    <s v="Hynix"/>
    <n v="3500"/>
    <n v="4550"/>
    <n v="1"/>
    <n v="3500"/>
    <n v="4550"/>
    <s v="Roshan Kumar"/>
    <n v="25545"/>
  </r>
  <r>
    <s v="139470"/>
    <s v="SK"/>
    <s v="Javed Akhter"/>
    <s v="16/03/2020"/>
    <s v="Order"/>
    <s v="BTX motherboard"/>
    <s v="MotherBoard"/>
    <s v="Gigabyte"/>
    <n v="4500"/>
    <n v="5850"/>
    <n v="4"/>
    <n v="18000"/>
    <n v="23400"/>
    <s v="Aarvi Gupta"/>
    <n v="39780"/>
  </r>
  <r>
    <s v="139471"/>
    <s v="TN"/>
    <s v="Haridas Balraj"/>
    <s v="16/03/2020"/>
    <s v="Processing"/>
    <s v="6 Fans Cabinet"/>
    <s v="Cabinet"/>
    <s v="Asus"/>
    <n v="2100"/>
    <n v="2730"/>
    <n v="3"/>
    <n v="6300"/>
    <n v="8190"/>
    <s v="Vijay Singh"/>
    <n v="2990"/>
  </r>
  <r>
    <s v="139472"/>
    <s v="TR"/>
    <s v="Kundan Kumar"/>
    <s v="16/03/2020"/>
    <s v="Delivered"/>
    <s v="Wireless Keyboard"/>
    <s v="Keyboard"/>
    <s v="Dell"/>
    <n v="1150"/>
    <n v="1495"/>
    <n v="4"/>
    <n v="4600"/>
    <n v="5980"/>
    <s v="Aadil Khan"/>
    <n v="3315"/>
  </r>
  <r>
    <s v="139473"/>
    <s v="UK"/>
    <s v="Atif Siddiqui"/>
    <s v="16/03/2020"/>
    <s v="Shipped"/>
    <s v="USB Mouse"/>
    <s v="Mouse"/>
    <s v="Samsung"/>
    <n v="350"/>
    <n v="455"/>
    <n v="3"/>
    <n v="1050"/>
    <n v="1365"/>
    <s v="Advika Joshi"/>
    <n v="1690"/>
  </r>
  <r>
    <s v="139474"/>
    <s v="UP"/>
    <s v="Aditya Agarwal"/>
    <s v="16/03/2020"/>
    <s v="Order"/>
    <s v="19&quot; LED Display"/>
    <s v="Monitor"/>
    <s v="Dell"/>
    <n v="9500"/>
    <n v="12350"/>
    <n v="3"/>
    <n v="28500"/>
    <n v="37050"/>
    <s v="Ajay Sharma"/>
    <n v="9750"/>
  </r>
  <r>
    <s v="139475"/>
    <s v="UP"/>
    <s v="Firdoush Jabee"/>
    <s v="16/03/2020"/>
    <s v="Processing"/>
    <s v="5 TB HDD"/>
    <s v="HDD"/>
    <s v="Western Digital"/>
    <n v="10000"/>
    <n v="13000"/>
    <n v="1"/>
    <n v="10000"/>
    <n v="13000"/>
    <s v="Roshan Kumar"/>
    <n v="39000"/>
  </r>
  <r>
    <s v="139476"/>
    <s v="UP"/>
    <s v="Jay Prakash Kumar"/>
    <s v="16/03/2020"/>
    <s v="Delivered"/>
    <s v="515 GB M.2"/>
    <s v="SSD"/>
    <s v="Samsung"/>
    <n v="6500"/>
    <n v="8450"/>
    <n v="2"/>
    <n v="13000"/>
    <n v="16900"/>
    <s v="Aarvi Gupta"/>
    <n v="8450"/>
  </r>
  <r>
    <s v="139477"/>
    <s v="UP"/>
    <s v="Ashish Pandey"/>
    <s v="17/03/2020"/>
    <s v="Shipped"/>
    <s v="RYZEN 3rd gen. 3503"/>
    <s v="CPU"/>
    <s v="Intel"/>
    <n v="8500"/>
    <n v="11050"/>
    <n v="1"/>
    <n v="8500"/>
    <n v="11050"/>
    <s v="Vijay Singh"/>
    <n v="33150"/>
  </r>
  <r>
    <s v="139478"/>
    <s v="UP"/>
    <s v="Ajay Sharma"/>
    <s v="18/03/2020"/>
    <s v="Order"/>
    <s v="2GB Graphic Card"/>
    <s v="Graphic Card"/>
    <s v="Nvidia"/>
    <n v="7000"/>
    <n v="9100"/>
    <n v="3"/>
    <n v="21000"/>
    <n v="27300"/>
    <s v="Aadil Khan"/>
    <n v="18200"/>
  </r>
  <r>
    <s v="139479"/>
    <s v="UP"/>
    <s v="Moinuddin Saifi"/>
    <s v="18/03/2020"/>
    <s v="Processing"/>
    <s v="19 GB DDR4 RAM"/>
    <s v="RAM"/>
    <s v="Hynix"/>
    <n v="6550"/>
    <n v="8515"/>
    <n v="2"/>
    <n v="13100"/>
    <n v="17030"/>
    <s v="Advika Joshi"/>
    <n v="25545"/>
  </r>
  <r>
    <s v="139480"/>
    <s v="UP"/>
    <s v="Ramkrishna Das Adhikary"/>
    <s v="18/03/2020"/>
    <s v="Delivered"/>
    <s v="Standard ATX motherboard"/>
    <s v="MotherBoard"/>
    <s v="Gigabyte"/>
    <n v="7650"/>
    <n v="9945"/>
    <n v="4"/>
    <n v="30600"/>
    <n v="39780"/>
    <s v="Ajay Sharma"/>
    <n v="39780"/>
  </r>
  <r>
    <s v="139481"/>
    <s v="UP"/>
    <s v="Ranjeet Mandal"/>
    <s v="18/03/2020"/>
    <s v="Shipped"/>
    <s v="Compact with 1 Fan"/>
    <s v="Cabinet"/>
    <s v="Asus"/>
    <n v="1150"/>
    <n v="1495"/>
    <n v="2"/>
    <n v="2300"/>
    <n v="2990"/>
    <s v="Roshan Kumar"/>
    <n v="2990"/>
  </r>
  <r>
    <s v="139482"/>
    <s v="UP"/>
    <s v="Vinod Singh"/>
    <s v="18/03/2020"/>
    <s v="Order"/>
    <s v="USB Backlight Keyboard"/>
    <s v="Keyboard"/>
    <s v="Dell"/>
    <n v="850"/>
    <n v="1105"/>
    <n v="4"/>
    <n v="3400"/>
    <n v="4420"/>
    <s v="Aarvi Gupta"/>
    <n v="3315"/>
  </r>
  <r>
    <s v="139483"/>
    <s v="UP"/>
    <s v="Ajay Mehta"/>
    <s v="18/03/2020"/>
    <s v="Processing"/>
    <s v="Ergonomic Mouse"/>
    <s v="Mouse"/>
    <s v="Samsung"/>
    <n v="650"/>
    <n v="845"/>
    <n v="4"/>
    <n v="2600"/>
    <n v="3380"/>
    <s v="Vijay Singh"/>
    <n v="1690"/>
  </r>
  <r>
    <s v="139484"/>
    <s v="UP"/>
    <s v="Vikas Bhalekar"/>
    <s v="18/03/2020"/>
    <s v="Delivered"/>
    <s v="15&quot; LCD Dsipaly"/>
    <s v="Monitor"/>
    <s v="Dell"/>
    <n v="7500"/>
    <n v="9750"/>
    <n v="1"/>
    <n v="7500"/>
    <n v="9750"/>
    <s v="Aadil Khan"/>
    <n v="9750"/>
  </r>
  <r>
    <s v="139485"/>
    <s v="UP"/>
    <s v="Vinod Mehta"/>
    <s v="18/03/2020"/>
    <s v="Shipped"/>
    <s v="5 TB HDD"/>
    <s v="HDD"/>
    <s v="Seagate"/>
    <n v="10000"/>
    <n v="13000"/>
    <n v="2"/>
    <n v="20000"/>
    <n v="26000"/>
    <s v="Advika Joshi"/>
    <n v="39000"/>
  </r>
  <r>
    <s v="139486"/>
    <s v="UP"/>
    <s v="Jignesh Mhatre"/>
    <s v="19/03/2020"/>
    <s v="Order"/>
    <s v="4 TB SSD"/>
    <s v="SSD"/>
    <s v="Samsung"/>
    <n v="10500"/>
    <n v="13650"/>
    <n v="3"/>
    <n v="31500"/>
    <n v="40950"/>
    <s v="Ajay Sharma"/>
    <n v="8450"/>
  </r>
  <r>
    <s v="139487"/>
    <s v="UP"/>
    <s v="Sharmili Pandit"/>
    <s v="19/03/2020"/>
    <s v="Processing"/>
    <s v="Intel i5 12th gen."/>
    <s v="CPU"/>
    <s v="Intel"/>
    <n v="8500"/>
    <n v="11050"/>
    <n v="4"/>
    <n v="34000"/>
    <n v="44200"/>
    <s v="Roshan Kumar"/>
    <n v="33150"/>
  </r>
  <r>
    <s v="139488"/>
    <s v="BR"/>
    <s v="Vijaya singh"/>
    <s v="19/03/2020"/>
    <s v="Delivered"/>
    <s v="2GB Graphic Card"/>
    <s v="Graphic Card"/>
    <s v="Nvidia"/>
    <n v="7000"/>
    <n v="9100"/>
    <n v="1"/>
    <n v="7000"/>
    <n v="9100"/>
    <s v="Aarvi Gupta"/>
    <n v="18200"/>
  </r>
  <r>
    <s v="139489"/>
    <s v="CG"/>
    <s v="Dilip Rathod"/>
    <s v="19/03/2020"/>
    <s v="Shipped"/>
    <s v="7 GB DDR4 Ram"/>
    <s v="RAM"/>
    <s v="Hynix"/>
    <n v="1680"/>
    <n v="2184"/>
    <n v="2"/>
    <n v="3360"/>
    <n v="4368"/>
    <s v="Vijay Singh"/>
    <n v="25545"/>
  </r>
  <r>
    <s v="139490"/>
    <s v="GA"/>
    <s v="Rohan Kale"/>
    <s v="19/03/2020"/>
    <s v="Order"/>
    <s v="Micro ATX motherboard"/>
    <s v="MotherBoard"/>
    <s v="MSI"/>
    <n v="6540"/>
    <n v="8502"/>
    <n v="2"/>
    <n v="13080"/>
    <n v="17004"/>
    <s v="Aadil Khan"/>
    <n v="39780"/>
  </r>
  <r>
    <s v="139491"/>
    <s v="GJ"/>
    <s v="Aniruddha Kekapure"/>
    <s v="19/03/2020"/>
    <s v="Processing"/>
    <s v="Gaming Box Cabinet"/>
    <s v="Cabinet"/>
    <s v="Asus"/>
    <n v="2680"/>
    <n v="3484"/>
    <n v="1"/>
    <n v="2680"/>
    <n v="3484"/>
    <s v="Advika Joshi"/>
    <n v="2990"/>
  </r>
  <r>
    <s v="139492"/>
    <s v="GJ"/>
    <s v="Jagjeet Variya"/>
    <s v="19/03/2020"/>
    <s v="Delivered"/>
    <s v="17&quot; LCD Display"/>
    <s v="Monitor"/>
    <s v="Samsung"/>
    <n v="8250"/>
    <n v="10725"/>
    <n v="1"/>
    <n v="8250"/>
    <n v="10725"/>
    <s v="Ajay Sharma"/>
    <n v="9750"/>
  </r>
  <r>
    <s v="139493"/>
    <s v="GJ"/>
    <s v="Roshan Zameer"/>
    <s v="20/03/2020"/>
    <s v="Shipped"/>
    <s v="11 GB DDR4 RAM"/>
    <s v="RAM"/>
    <s v="Samsung"/>
    <n v="2650"/>
    <n v="3445"/>
    <n v="3"/>
    <n v="7950"/>
    <n v="10335"/>
    <s v="Roshan Kumar"/>
    <n v="25545"/>
  </r>
  <r>
    <s v="139494"/>
    <s v="GJ"/>
    <s v="Binod Kumar"/>
    <s v="21/03/2020"/>
    <s v="Order"/>
    <s v="26&quot; LCD Display"/>
    <s v="Monitor"/>
    <s v="Acer"/>
    <n v="12550"/>
    <n v="16315"/>
    <n v="4"/>
    <n v="50200"/>
    <n v="65260"/>
    <s v="Aarvi Gupta"/>
    <n v="9750"/>
  </r>
  <r>
    <s v="139495"/>
    <s v="GJ"/>
    <s v="Shivanand Sahani"/>
    <s v="22/03/2020"/>
    <s v="Processing"/>
    <s v="I7 - intel 12th Generation"/>
    <s v="CPU"/>
    <s v="Intel"/>
    <n v="14500"/>
    <n v="18850"/>
    <n v="1"/>
    <n v="14500"/>
    <n v="18850"/>
    <s v="Aadil Khan"/>
    <n v="33150"/>
  </r>
  <r>
    <s v="139496"/>
    <s v="GJ"/>
    <s v="Vijay Mehta"/>
    <s v="23/03/2020"/>
    <s v="Delivered"/>
    <s v="USB Keyboard"/>
    <s v="Keyboard"/>
    <s v="Dell"/>
    <n v="800"/>
    <n v="1040"/>
    <n v="2"/>
    <n v="1600"/>
    <n v="2080"/>
    <s v="Advika Joshi"/>
    <n v="3315"/>
  </r>
  <r>
    <s v="139497"/>
    <s v="GJ"/>
    <s v="Bijendra"/>
    <s v="24/03/2020"/>
    <s v="Shipped"/>
    <s v="Wireless Mouse"/>
    <s v="Mouse"/>
    <s v="Samsung"/>
    <n v="600"/>
    <n v="780"/>
    <n v="3"/>
    <n v="1800"/>
    <n v="2340"/>
    <s v="Ajay Sharma"/>
    <n v="1690"/>
  </r>
  <r>
    <s v="139498"/>
    <s v="MP"/>
    <s v="Kranti Bheke"/>
    <s v="24/03/2020"/>
    <s v="Order"/>
    <s v="21&quot; LCD Display"/>
    <s v="Monitor"/>
    <s v="Dell"/>
    <n v="10500"/>
    <n v="13650"/>
    <n v="1"/>
    <n v="10500"/>
    <n v="13650"/>
    <s v="Roshan Kumar"/>
    <n v="9750"/>
  </r>
  <r>
    <s v="139499"/>
    <s v="MH"/>
    <s v="Shanti Giri"/>
    <s v="24/03/2020"/>
    <s v="Processing"/>
    <s v="5 TB HDD"/>
    <s v="HDD"/>
    <s v="Western Digital"/>
    <n v="6500"/>
    <n v="8450"/>
    <n v="1"/>
    <n v="6500"/>
    <n v="8450"/>
    <s v="Aarvi Gupta"/>
    <n v="39000"/>
  </r>
  <r>
    <s v="139500"/>
    <s v="MH"/>
    <s v="Adhir Samal"/>
    <s v="24/03/2020"/>
    <s v="Delivered"/>
    <s v="260 GB SSD"/>
    <s v="SSD"/>
    <s v="Samsung"/>
    <n v="4500"/>
    <n v="5850"/>
    <n v="1"/>
    <n v="4500"/>
    <n v="5850"/>
    <s v="Vijay Singh"/>
    <n v="8450"/>
  </r>
  <r>
    <s v="139501"/>
    <s v="MH"/>
    <s v="Dannana Jhammi"/>
    <s v="24/03/2020"/>
    <s v="Shipped"/>
    <s v="Intel i3 11th gen."/>
    <s v="CPU"/>
    <s v="Intel"/>
    <n v="8500"/>
    <n v="11050"/>
    <n v="4"/>
    <n v="34000"/>
    <n v="44200"/>
    <s v="Aadil Khan"/>
    <n v="33150"/>
  </r>
  <r>
    <s v="139502"/>
    <s v="MH"/>
    <s v="Vipin Kumar"/>
    <s v="24/03/2020"/>
    <s v="Order"/>
    <s v="4GB Graphic card"/>
    <s v="Graphic Card"/>
    <s v="Nvidia"/>
    <n v="12500"/>
    <n v="16250"/>
    <n v="4"/>
    <n v="50000"/>
    <n v="65000"/>
    <s v="Advika Joshi"/>
    <n v="18200"/>
  </r>
  <r>
    <s v="139503"/>
    <s v="MH"/>
    <s v="Prakash Chamka"/>
    <s v="24/03/2020"/>
    <s v="Processing"/>
    <s v="12 GB DDR4 RAM"/>
    <s v="Computer Case"/>
    <s v="Hynix"/>
    <n v="3500"/>
    <n v="4550"/>
    <n v="3"/>
    <n v="10500"/>
    <n v="13650"/>
    <s v="Ajay Sharma"/>
    <n v="13650"/>
  </r>
  <r>
    <s v="139504"/>
    <s v="MH"/>
    <s v="Sajal Singhal"/>
    <s v="24/03/2020"/>
    <s v="Delivered"/>
    <s v="BTX motherboard"/>
    <s v="Mouse"/>
    <s v="Gigabyte"/>
    <n v="4500"/>
    <n v="5850"/>
    <n v="4"/>
    <n v="18000"/>
    <n v="23400"/>
    <s v="Roshan Kumar"/>
    <n v="1690"/>
  </r>
  <r>
    <s v="139505"/>
    <s v="MH"/>
    <s v="Akhilesh Kumar"/>
    <s v="24/03/2020"/>
    <s v="Shipped"/>
    <s v="7 Fans Cabinet"/>
    <s v="Cabinet"/>
    <s v="Asus"/>
    <n v="2100"/>
    <n v="2730"/>
    <n v="3"/>
    <n v="6300"/>
    <n v="8190"/>
    <s v="Aarvi Gupta"/>
    <n v="2990"/>
  </r>
  <r>
    <s v="139506"/>
    <s v="MH"/>
    <s v="Suvankar Chakraborty"/>
    <s v="25/03/2020"/>
    <s v="Order"/>
    <s v="Wireless Keyboard"/>
    <s v="Keyboard"/>
    <s v="Dell"/>
    <n v="1150"/>
    <n v="1495"/>
    <n v="2"/>
    <n v="2300"/>
    <n v="2990"/>
    <s v="Vijay Singh"/>
    <n v="3315"/>
  </r>
  <r>
    <s v="139507"/>
    <s v="MH"/>
    <s v="Suvankar Adhikary"/>
    <s v="25/03/2020"/>
    <s v="Processing"/>
    <s v="USB Mouse"/>
    <s v="Mouse"/>
    <s v="Samsung"/>
    <n v="350"/>
    <n v="455"/>
    <n v="3"/>
    <n v="1050"/>
    <n v="1365"/>
    <s v="Aadil Khan"/>
    <n v="1690"/>
  </r>
  <r>
    <s v="139508"/>
    <s v="MH"/>
    <s v="Rahul Kumar Prajapati"/>
    <s v="25/03/2020"/>
    <s v="Delivered"/>
    <s v="19&quot; LED Display"/>
    <s v="Monitor"/>
    <s v="Dell"/>
    <n v="9500"/>
    <n v="12350"/>
    <n v="4"/>
    <n v="38000"/>
    <n v="49400"/>
    <s v="Advika Joshi"/>
    <n v="9750"/>
  </r>
  <r>
    <s v="139509"/>
    <s v="MH"/>
    <s v="Sagar Jeur"/>
    <s v="25/03/2020"/>
    <s v="Shipped"/>
    <s v="6 TB HDD"/>
    <s v="HDD"/>
    <s v="Western Digital"/>
    <n v="10000"/>
    <n v="13000"/>
    <n v="4"/>
    <n v="40000"/>
    <n v="52000"/>
    <s v="Ajay Sharma"/>
    <n v="39000"/>
  </r>
  <r>
    <s v="139510"/>
    <s v="MH"/>
    <s v="Rhushikesh Mane"/>
    <s v="25/03/2020"/>
    <s v="Order"/>
    <s v="516 GB M.2"/>
    <s v="SSD"/>
    <s v="Samsung"/>
    <n v="6500"/>
    <n v="8450"/>
    <n v="1"/>
    <n v="6500"/>
    <n v="8450"/>
    <s v="Roshan Kumar"/>
    <n v="8450"/>
  </r>
  <r>
    <s v="139511"/>
    <s v="MH"/>
    <s v="Vishal Singh"/>
    <s v="25/03/2020"/>
    <s v="Processing"/>
    <s v="RYZEN 3rd gen. 3504"/>
    <s v="CPU"/>
    <s v="Intel"/>
    <n v="8500"/>
    <n v="11050"/>
    <n v="3"/>
    <n v="25500"/>
    <n v="33150"/>
    <s v="Aarvi Gupta"/>
    <n v="33150"/>
  </r>
  <r>
    <s v="139512"/>
    <s v="MH"/>
    <s v="Javed Akhter"/>
    <s v="25/03/2020"/>
    <s v="Delivered"/>
    <s v="2GB Graphic Card"/>
    <s v="Graphic Card"/>
    <s v="Nvidia"/>
    <n v="7000"/>
    <n v="9100"/>
    <n v="3"/>
    <n v="21000"/>
    <n v="27300"/>
    <s v="Vijay Singh"/>
    <n v="18200"/>
  </r>
  <r>
    <s v="139513"/>
    <s v="TN"/>
    <s v="Haridas Balraj"/>
    <s v="25/03/2020"/>
    <s v="Shipped"/>
    <s v="20 GB DDR4 RAM"/>
    <s v="Computer Case"/>
    <s v="Hynix"/>
    <n v="6550"/>
    <n v="8515"/>
    <n v="3"/>
    <n v="19650"/>
    <n v="25545"/>
    <s v="Aadil Khan"/>
    <n v="13650"/>
  </r>
  <r>
    <s v="139514"/>
    <s v="TR"/>
    <s v="Kundan Kumar"/>
    <s v="25/03/2020"/>
    <s v="Order"/>
    <s v="Standard ATX motherboard"/>
    <s v="Mouse"/>
    <s v="Gigabyte"/>
    <n v="7650"/>
    <n v="9945"/>
    <n v="4"/>
    <n v="30600"/>
    <n v="39780"/>
    <s v="Advika Joshi"/>
    <n v="1690"/>
  </r>
  <r>
    <s v="139515"/>
    <s v="AN"/>
    <s v="Vinod Bhave"/>
    <s v="26/03/2020"/>
    <s v="Processing"/>
    <s v="Compact with 1 Fan"/>
    <s v="Cabinet"/>
    <s v="Asus"/>
    <n v="1150"/>
    <n v="1495"/>
    <n v="2"/>
    <n v="2300"/>
    <n v="2990"/>
    <s v="Ajay Sharma"/>
    <n v="2990"/>
  </r>
  <r>
    <s v="139516"/>
    <s v="CH"/>
    <s v="Aditya Agarwal"/>
    <s v="26/03/2020"/>
    <s v="Delivered"/>
    <s v="USB Backlight Keyboard"/>
    <s v="Keyboard"/>
    <s v="Dell"/>
    <n v="850"/>
    <n v="1105"/>
    <n v="2"/>
    <n v="1700"/>
    <n v="2210"/>
    <s v="Aadil Khan"/>
    <n v="3315"/>
  </r>
  <r>
    <s v="139517"/>
    <s v="DH"/>
    <s v="Firdoush Jabee"/>
    <s v="26/03/2020"/>
    <s v="Shipped"/>
    <s v="Ergonomic Mouse"/>
    <s v="Mouse"/>
    <s v="Samsung"/>
    <n v="650"/>
    <n v="845"/>
    <n v="1"/>
    <n v="650"/>
    <n v="845"/>
    <s v="Advika Joshi"/>
    <n v="1690"/>
  </r>
  <r>
    <s v="139518"/>
    <s v="DD"/>
    <s v="Jay Prakash Kumar"/>
    <s v="26/03/2020"/>
    <s v="Order"/>
    <s v="15&quot; LCD Dsipaly"/>
    <s v="Monitor"/>
    <s v="Dell"/>
    <n v="7500"/>
    <n v="9750"/>
    <n v="2"/>
    <n v="15000"/>
    <n v="19500"/>
    <s v="Ajay Sharma"/>
    <n v="9750"/>
  </r>
  <r>
    <s v="139519"/>
    <s v="DL"/>
    <s v="Rajiv Singh"/>
    <s v="26/03/2020"/>
    <s v="Processing"/>
    <s v="6 TB HDD"/>
    <s v="HDD"/>
    <s v="Seagate"/>
    <n v="10000"/>
    <n v="13000"/>
    <n v="1"/>
    <n v="10000"/>
    <n v="13000"/>
    <s v="Roshan Kumar"/>
    <n v="39000"/>
  </r>
  <r>
    <s v="139520"/>
    <s v="LD"/>
    <s v="Ajay Sharma"/>
    <s v="26/03/2020"/>
    <s v="Delivered"/>
    <s v="5 TB SSD"/>
    <s v="SSD"/>
    <s v="Samsung"/>
    <n v="10500"/>
    <n v="13650"/>
    <n v="2"/>
    <n v="21000"/>
    <n v="27300"/>
    <s v="Aarvi Gupta"/>
    <n v="8450"/>
  </r>
  <r>
    <s v="139521"/>
    <s v="PY"/>
    <s v="Moinuddin Saifi"/>
    <s v="26/03/2020"/>
    <s v="Shipped"/>
    <s v="Intel i5 12th gen."/>
    <s v="CPU"/>
    <s v="Intel"/>
    <n v="8500"/>
    <n v="11050"/>
    <n v="1"/>
    <n v="8500"/>
    <n v="11050"/>
    <s v="Vijay Singh"/>
    <n v="33150"/>
  </r>
  <r>
    <s v="139522"/>
    <s v="OR"/>
    <s v="Ramkrishna Das Adhikary"/>
    <s v="26/03/2020"/>
    <s v="Order"/>
    <s v="2GB Graphic Card"/>
    <s v="Graphic Card"/>
    <s v="Nvidia"/>
    <n v="7000"/>
    <n v="9100"/>
    <n v="4"/>
    <n v="28000"/>
    <n v="36400"/>
    <s v="Aadil Khan"/>
    <n v="18200"/>
  </r>
  <r>
    <s v="139523"/>
    <s v="PB"/>
    <s v="Ranjeet Mandal"/>
    <s v="26/03/2020"/>
    <s v="Processing"/>
    <s v="8 GB DDR4 Ram"/>
    <s v="Computer Case"/>
    <s v="Hynix"/>
    <n v="1680"/>
    <n v="2184"/>
    <n v="2"/>
    <n v="3360"/>
    <n v="4368"/>
    <s v="Advika Joshi"/>
    <n v="13650"/>
  </r>
  <r>
    <s v="139524"/>
    <s v="RJ"/>
    <s v="Ashwini Adsare"/>
    <s v="26/03/2020"/>
    <s v="Delivered"/>
    <s v="Micro ATX motherboard"/>
    <s v="Mouse"/>
    <s v="MSI"/>
    <n v="6540"/>
    <n v="8502"/>
    <n v="3"/>
    <n v="19620"/>
    <n v="25506"/>
    <s v="Ajay Sharma"/>
    <n v="1690"/>
  </r>
  <r>
    <s v="139525"/>
    <s v="SK"/>
    <s v="Rajesh Variya"/>
    <s v="26/03/2020"/>
    <s v="Shipped"/>
    <s v="Gaming Box Cabinet"/>
    <s v="Cabinet"/>
    <s v="Asus"/>
    <n v="2680"/>
    <n v="3484"/>
    <n v="1"/>
    <n v="2680"/>
    <n v="3484"/>
    <s v="Roshan Kumar"/>
    <n v="2990"/>
  </r>
  <r>
    <s v="139526"/>
    <s v="TN"/>
    <s v="Amit Singh"/>
    <s v="26/03/2020"/>
    <s v="Order"/>
    <s v="17&quot; LCD Display"/>
    <s v="Monitor"/>
    <s v="Samsung"/>
    <n v="8250"/>
    <n v="10725"/>
    <n v="4"/>
    <n v="33000"/>
    <n v="42900"/>
    <s v="Aarvi Gupta"/>
    <n v="9750"/>
  </r>
  <r>
    <s v="139527"/>
    <s v="TR"/>
    <s v="Vinod Mehta"/>
    <s v="26/03/2020"/>
    <s v="Processing"/>
    <s v="12 GB DDR4 RAM"/>
    <s v="RAM"/>
    <s v="Samsung"/>
    <n v="2650"/>
    <n v="3445"/>
    <n v="4"/>
    <n v="10600"/>
    <n v="13780"/>
    <s v="Vijay Singh"/>
    <n v="25545"/>
  </r>
  <r>
    <s v="139528"/>
    <s v="UK"/>
    <s v="Jignesh Mhatre"/>
    <s v="26/03/2020"/>
    <s v="Delivered"/>
    <s v="26&quot; LCD Display"/>
    <s v="Monitor"/>
    <s v="Acer"/>
    <n v="12550"/>
    <n v="16315"/>
    <n v="4"/>
    <n v="50200"/>
    <n v="65260"/>
    <s v="Aadil Khan"/>
    <n v="9750"/>
  </r>
  <r>
    <s v="139529"/>
    <s v="UP"/>
    <s v="Rahul Kashyap"/>
    <s v="26/03/2020"/>
    <s v="Shipped"/>
    <s v="I7 - intel 12th Generation"/>
    <s v="CPU"/>
    <s v="Intel"/>
    <n v="14500"/>
    <n v="18850"/>
    <n v="1"/>
    <n v="14500"/>
    <n v="18850"/>
    <s v="Advika Joshi"/>
    <n v="33150"/>
  </r>
  <r>
    <s v="139530"/>
    <s v="WB"/>
    <s v="Mohammed Abdul Kaleem"/>
    <s v="27/03/2020"/>
    <s v="Order"/>
    <s v="USB Keyboard"/>
    <s v="Keyboard"/>
    <s v="Dell"/>
    <n v="800"/>
    <n v="1040"/>
    <n v="4"/>
    <n v="3200"/>
    <n v="4160"/>
    <s v="Ajay Sharma"/>
    <n v="3315"/>
  </r>
  <r>
    <s v="139531"/>
    <s v="TN"/>
    <s v="Chandrakant Kasbe"/>
    <s v="27/03/2020"/>
    <s v="Processing"/>
    <s v="Wireless Mouse"/>
    <s v="Mouse"/>
    <s v="Samsung"/>
    <n v="600"/>
    <n v="780"/>
    <n v="2"/>
    <n v="1200"/>
    <n v="1560"/>
    <s v="Roshan Kumar"/>
    <n v="1690"/>
  </r>
  <r>
    <s v="139532"/>
    <s v="TR"/>
    <s v="Rohan Kale"/>
    <s v="27/03/2020"/>
    <s v="Delivered"/>
    <s v="21&quot; LCD Display"/>
    <s v="Monitor"/>
    <s v="Dell"/>
    <n v="10500"/>
    <n v="13650"/>
    <n v="1"/>
    <n v="10500"/>
    <n v="13650"/>
    <s v="Aarvi Gupta"/>
    <n v="9750"/>
  </r>
  <r>
    <s v="139533"/>
    <s v="AN"/>
    <s v="Aniruddha Kekapure"/>
    <s v="27/03/2020"/>
    <s v="Shipped"/>
    <s v="6 TB HDD"/>
    <s v="HDD"/>
    <s v="Western Digital"/>
    <n v="6500"/>
    <n v="8450"/>
    <n v="3"/>
    <n v="19500"/>
    <n v="25350"/>
    <s v="Vijay Singh"/>
    <n v="39000"/>
  </r>
  <r>
    <s v="139534"/>
    <s v="CH"/>
    <s v="Aslam Raza"/>
    <s v="27/03/2020"/>
    <s v="Order"/>
    <s v="261 GB SSD"/>
    <s v="SSD"/>
    <s v="Samsung"/>
    <n v="4500"/>
    <n v="5850"/>
    <n v="1"/>
    <n v="4500"/>
    <n v="5850"/>
    <s v="Aadil Khan"/>
    <n v="8450"/>
  </r>
  <r>
    <s v="139535"/>
    <s v="DH"/>
    <s v="Roshan Zameer"/>
    <s v="27/03/2020"/>
    <s v="Processing"/>
    <s v="Intel i3 11th gen."/>
    <s v="CPU"/>
    <s v="Intel"/>
    <n v="8500"/>
    <n v="11050"/>
    <n v="4"/>
    <n v="34000"/>
    <n v="44200"/>
    <s v="Advika Joshi"/>
    <n v="33150"/>
  </r>
  <r>
    <s v="139536"/>
    <s v="DH"/>
    <s v="Rakesh Kumar Sharma"/>
    <s v="27/03/2020"/>
    <s v="Delivered"/>
    <s v="4GB Graphic card"/>
    <s v="Graphic Card"/>
    <s v="Nvidia"/>
    <n v="12500"/>
    <n v="16250"/>
    <n v="1"/>
    <n v="12500"/>
    <n v="16250"/>
    <s v="Ajay Sharma"/>
    <n v="18200"/>
  </r>
  <r>
    <s v="139537"/>
    <s v="DH"/>
    <s v="Shivanand Sahani"/>
    <s v="27/03/2020"/>
    <s v="Shipped"/>
    <s v="13 GB DDR4 RAM"/>
    <s v="NIC"/>
    <s v="Hynix"/>
    <n v="3500"/>
    <n v="4550"/>
    <n v="2"/>
    <n v="7000"/>
    <n v="9100"/>
    <s v="Roshan Kumar"/>
    <n v="9100"/>
  </r>
  <r>
    <s v="139538"/>
    <s v="DH"/>
    <s v="Kunal Patra"/>
    <s v="27/03/2020"/>
    <s v="Order"/>
    <s v="BTX motherboard"/>
    <s v="Printer"/>
    <s v="Gigabyte"/>
    <n v="4500"/>
    <n v="5850"/>
    <n v="3"/>
    <n v="13500"/>
    <n v="17550"/>
    <s v="Aarvi Gupta"/>
    <n v="11700"/>
  </r>
  <r>
    <s v="139539"/>
    <s v="DH"/>
    <s v="Bijendra"/>
    <s v="27/03/2020"/>
    <s v="Processing"/>
    <s v="8 Fans Cabinet"/>
    <s v="Cabinet"/>
    <s v="Asus"/>
    <n v="2100"/>
    <n v="2730"/>
    <n v="4"/>
    <n v="8400"/>
    <n v="10920"/>
    <s v="Vijay Singh"/>
    <n v="2990"/>
  </r>
  <r>
    <s v="139540"/>
    <s v="DH"/>
    <s v="Kranti Bheke"/>
    <s v="27/03/2020"/>
    <s v="Delivered"/>
    <s v="Wireless Keyboard"/>
    <s v="Keyboard"/>
    <s v="Dell"/>
    <n v="1150"/>
    <n v="1495"/>
    <n v="3"/>
    <n v="3450"/>
    <n v="4485"/>
    <s v="Aadil Khan"/>
    <n v="3315"/>
  </r>
  <r>
    <s v="139541"/>
    <s v="PB"/>
    <s v="Jagdeep"/>
    <s v="27/03/2020"/>
    <s v="Shipped"/>
    <s v="USB Mouse"/>
    <s v="Mouse"/>
    <s v="Samsung"/>
    <n v="350"/>
    <n v="455"/>
    <n v="4"/>
    <n v="1400"/>
    <n v="1820"/>
    <s v="Advika Joshi"/>
    <n v="1690"/>
  </r>
  <r>
    <s v="139542"/>
    <s v="RJ"/>
    <s v="Adhir Samal"/>
    <s v="27/03/2020"/>
    <s v="Order"/>
    <s v="19&quot; LED Display"/>
    <s v="Monitor"/>
    <s v="Dell"/>
    <n v="9500"/>
    <n v="12350"/>
    <n v="4"/>
    <n v="38000"/>
    <n v="49400"/>
    <s v="Ajay Sharma"/>
    <n v="9750"/>
  </r>
  <r>
    <s v="139543"/>
    <s v="SK"/>
    <s v="Dannana Jhammi"/>
    <s v="27/03/2020"/>
    <s v="Processing"/>
    <s v="7 TB HDD"/>
    <s v="HDD"/>
    <s v="Western Digital"/>
    <n v="10000"/>
    <n v="13000"/>
    <n v="2"/>
    <n v="20000"/>
    <n v="26000"/>
    <s v="Roshan Kumar"/>
    <n v="39000"/>
  </r>
  <r>
    <s v="139544"/>
    <s v="TN"/>
    <s v="Vipin Kumar"/>
    <s v="27/03/2020"/>
    <s v="Delivered"/>
    <s v="517 GB M.2"/>
    <s v="SSD"/>
    <s v="Samsung"/>
    <n v="6500"/>
    <n v="8450"/>
    <n v="4"/>
    <n v="26000"/>
    <n v="33800"/>
    <s v="Aarvi Gupta"/>
    <n v="8450"/>
  </r>
  <r>
    <s v="139545"/>
    <s v="TR"/>
    <s v="Ranjeet Kumar"/>
    <s v="27/03/2020"/>
    <s v="Shipped"/>
    <s v="RYZEN 3rd gen. 3505"/>
    <s v="CPU"/>
    <s v="Intel"/>
    <n v="8500"/>
    <n v="11050"/>
    <n v="2"/>
    <n v="17000"/>
    <n v="22100"/>
    <s v="Vijay Singh"/>
    <n v="33150"/>
  </r>
  <r>
    <s v="139546"/>
    <s v="UK"/>
    <s v="Sajal Singhal"/>
    <s v="27/03/2020"/>
    <s v="Order"/>
    <s v="2GB Graphic Card"/>
    <s v="Graphic Card"/>
    <s v="Nvidia"/>
    <n v="7000"/>
    <n v="9100"/>
    <n v="3"/>
    <n v="21000"/>
    <n v="27300"/>
    <s v="Aadil Khan"/>
    <n v="18200"/>
  </r>
  <r>
    <s v="139547"/>
    <s v="UP"/>
    <s v="Akhilesh Kumar"/>
    <s v="27/03/2020"/>
    <s v="Processing"/>
    <s v="21 GB DDR4 RAM"/>
    <s v="NIC"/>
    <s v="Hynix"/>
    <n v="6550"/>
    <n v="8515"/>
    <n v="2"/>
    <n v="13100"/>
    <n v="17030"/>
    <s v="Advika Joshi"/>
    <n v="9100"/>
  </r>
  <r>
    <s v="139548"/>
    <s v="WB"/>
    <s v="Suvankar Chakraborty"/>
    <s v="27/03/2020"/>
    <s v="Delivered"/>
    <s v="Standard ATX motherboard"/>
    <s v="Printer"/>
    <s v="Gigabyte"/>
    <n v="7650"/>
    <n v="9945"/>
    <n v="2"/>
    <n v="15300"/>
    <n v="19890"/>
    <s v="Ajay Sharma"/>
    <n v="11700"/>
  </r>
  <r>
    <s v="139549"/>
    <s v="TN"/>
    <s v="Suvankar Adhikary"/>
    <s v="27/03/2020"/>
    <s v="Shipped"/>
    <s v="Compact with 1 Fan"/>
    <s v="Cabinet"/>
    <s v="Asus"/>
    <n v="1150"/>
    <n v="1495"/>
    <n v="3"/>
    <n v="3450"/>
    <n v="4485"/>
    <s v="Aarvi Gupta"/>
    <n v="2990"/>
  </r>
  <r>
    <s v="139550"/>
    <s v="TR"/>
    <s v="Rahul Kumar Prajapati"/>
    <s v="27/03/2020"/>
    <s v="Order"/>
    <s v="USB Backlight Keyboard"/>
    <s v="Keyboard"/>
    <s v="Dell"/>
    <n v="850"/>
    <n v="1105"/>
    <n v="1"/>
    <n v="850"/>
    <n v="1105"/>
    <s v="Vijay Singh"/>
    <n v="3315"/>
  </r>
  <r>
    <s v="139551"/>
    <s v="AN"/>
    <s v="Sagar Jeur"/>
    <s v="27/03/2020"/>
    <s v="Processing"/>
    <s v="Ergonomic Mouse"/>
    <s v="Mouse"/>
    <s v="Samsung"/>
    <n v="650"/>
    <n v="845"/>
    <n v="4"/>
    <n v="2600"/>
    <n v="3380"/>
    <s v="Aadil Khan"/>
    <n v="1690"/>
  </r>
  <r>
    <s v="139552"/>
    <s v="CH"/>
    <s v="Rhushikesh Mane"/>
    <s v="27/03/2020"/>
    <s v="Delivered"/>
    <s v="15&quot; LCD Dsipaly"/>
    <s v="Monitor"/>
    <s v="Dell"/>
    <n v="7500"/>
    <n v="9750"/>
    <n v="1"/>
    <n v="7500"/>
    <n v="9750"/>
    <s v="Advika Joshi"/>
    <n v="9750"/>
  </r>
  <r>
    <s v="139553"/>
    <s v="DH"/>
    <s v="Ashish Kumar"/>
    <s v="27/03/2020"/>
    <s v="Shipped"/>
    <s v="7 TB HDD"/>
    <s v="HDD"/>
    <s v="Seagate"/>
    <n v="10000"/>
    <n v="13000"/>
    <n v="1"/>
    <n v="10000"/>
    <n v="13000"/>
    <s v="Ajay Sharma"/>
    <n v="39000"/>
  </r>
  <r>
    <s v="139554"/>
    <s v="DD"/>
    <s v="Javed Akhter"/>
    <s v="27/03/2020"/>
    <s v="Order"/>
    <s v="6 TB SSD"/>
    <s v="SSD"/>
    <s v="Samsung"/>
    <n v="10500"/>
    <n v="13650"/>
    <n v="3"/>
    <n v="31500"/>
    <n v="40950"/>
    <s v="Roshan Kumar"/>
    <n v="8450"/>
  </r>
  <r>
    <s v="139555"/>
    <s v="DL"/>
    <s v="Haridas Balraj"/>
    <s v="27/03/2020"/>
    <s v="Processing"/>
    <s v="Intel i5 12th gen."/>
    <s v="CPU"/>
    <s v="Intel"/>
    <n v="8500"/>
    <n v="11050"/>
    <n v="1"/>
    <n v="8500"/>
    <n v="11050"/>
    <s v="Aarvi Gupta"/>
    <n v="33150"/>
  </r>
  <r>
    <s v="139556"/>
    <s v="LD"/>
    <s v="Kundan Kumar"/>
    <s v="27/03/2020"/>
    <s v="Delivered"/>
    <s v="2GB Graphic Card"/>
    <s v="Graphic Card"/>
    <s v="Nvidia"/>
    <n v="7000"/>
    <n v="9100"/>
    <n v="3"/>
    <n v="21000"/>
    <n v="27300"/>
    <s v="Vijay Singh"/>
    <n v="18200"/>
  </r>
  <r>
    <s v="139557"/>
    <s v="PY"/>
    <s v="Atif Siddiqui"/>
    <s v="27/03/2020"/>
    <s v="Shipped"/>
    <s v="9 GB DDR4 Ram"/>
    <s v="NIC"/>
    <s v="Hynix"/>
    <n v="1680"/>
    <n v="2184"/>
    <n v="2"/>
    <n v="3360"/>
    <n v="4368"/>
    <s v="Aadil Khan"/>
    <n v="9100"/>
  </r>
  <r>
    <s v="139558"/>
    <s v="OR"/>
    <s v="Aditya Agarwal"/>
    <s v="27/03/2020"/>
    <s v="Order"/>
    <s v="Micro ATX motherboard"/>
    <s v="Printer"/>
    <s v="MSI"/>
    <n v="6540"/>
    <n v="8502"/>
    <n v="3"/>
    <n v="19620"/>
    <n v="25506"/>
    <s v="Advika Joshi"/>
    <n v="11700"/>
  </r>
  <r>
    <s v="139559"/>
    <s v="PB"/>
    <s v="Firdoush Jabee"/>
    <s v="27/03/2020"/>
    <s v="Processing"/>
    <s v="Gaming Box Cabinet"/>
    <s v="Cabinet"/>
    <s v="Asus"/>
    <n v="2680"/>
    <n v="3484"/>
    <n v="3"/>
    <n v="8040"/>
    <n v="10452"/>
    <s v="Ajay Sharma"/>
    <n v="2990"/>
  </r>
  <r>
    <s v="139560"/>
    <s v="RJ"/>
    <s v="Jay Prakash Kumar"/>
    <s v="27/03/2020"/>
    <s v="Delivered"/>
    <s v="17&quot; LCD Display"/>
    <s v="Monitor"/>
    <s v="Samsung"/>
    <n v="8250"/>
    <n v="10725"/>
    <n v="4"/>
    <n v="33000"/>
    <n v="42900"/>
    <s v="Aarvi Gupta"/>
    <n v="9750"/>
  </r>
  <r>
    <s v="139561"/>
    <s v="SK"/>
    <s v="Ashish Pandey"/>
    <s v="27/03/2020"/>
    <s v="Shipped"/>
    <s v="13 GB DDR4 RAM"/>
    <s v="RAM"/>
    <s v="Samsung"/>
    <n v="2650"/>
    <n v="3445"/>
    <n v="4"/>
    <n v="10600"/>
    <n v="13780"/>
    <s v="Vijay Singh"/>
    <n v="25545"/>
  </r>
  <r>
    <s v="139562"/>
    <s v="TN"/>
    <s v="Ajay Sharma"/>
    <s v="28/03/2020"/>
    <s v="Order"/>
    <s v="26&quot; LCD Display"/>
    <s v="Monitor"/>
    <s v="Acer"/>
    <n v="12550"/>
    <n v="16315"/>
    <n v="4"/>
    <n v="50200"/>
    <n v="65260"/>
    <s v="Aadil Khan"/>
    <n v="9750"/>
  </r>
  <r>
    <s v="139563"/>
    <s v="TR"/>
    <s v="Moinuddin Saifi"/>
    <s v="28/03/2020"/>
    <s v="Processing"/>
    <s v="I7 - intel 12th Generation"/>
    <s v="CPU"/>
    <s v="Intel"/>
    <n v="14500"/>
    <n v="18850"/>
    <n v="1"/>
    <n v="14500"/>
    <n v="18850"/>
    <s v="Advika Joshi"/>
    <n v="33150"/>
  </r>
  <r>
    <s v="139564"/>
    <s v="UK"/>
    <s v="Ramkrishna Das Adhikary"/>
    <s v="28/03/2020"/>
    <s v="Delivered"/>
    <s v="USB Keyboard"/>
    <s v="Keyboard"/>
    <s v="Dell"/>
    <n v="800"/>
    <n v="1040"/>
    <n v="4"/>
    <n v="3200"/>
    <n v="4160"/>
    <s v="Ajay Sharma"/>
    <n v="3315"/>
  </r>
  <r>
    <s v="139565"/>
    <s v="UP"/>
    <s v="Ranjeet Mandal"/>
    <s v="28/03/2020"/>
    <s v="Shipped"/>
    <s v="Wireless Mouse"/>
    <s v="Mouse"/>
    <s v="Samsung"/>
    <n v="600"/>
    <n v="780"/>
    <n v="2"/>
    <n v="1200"/>
    <n v="1560"/>
    <s v="Roshan Kumar"/>
    <n v="1690"/>
  </r>
  <r>
    <s v="139566"/>
    <s v="UP"/>
    <s v="Ashwini Adsare"/>
    <s v="28/03/2020"/>
    <s v="Order"/>
    <s v="21&quot; LCD Display"/>
    <s v="Monitor"/>
    <s v="Dell"/>
    <n v="10500"/>
    <n v="13650"/>
    <n v="1"/>
    <n v="10500"/>
    <n v="13650"/>
    <s v="Aarvi Gupta"/>
    <n v="9750"/>
  </r>
  <r>
    <s v="139567"/>
    <s v="UP"/>
    <s v="Rajesh Variya"/>
    <s v="28/03/2020"/>
    <s v="Processing"/>
    <s v="7 TB HDD"/>
    <s v="HDD"/>
    <s v="Western Digital"/>
    <n v="6500"/>
    <n v="8450"/>
    <n v="4"/>
    <n v="26000"/>
    <n v="33800"/>
    <s v="Vijay Singh"/>
    <n v="39000"/>
  </r>
  <r>
    <s v="139568"/>
    <s v="UP"/>
    <s v="Amit Singh"/>
    <s v="28/03/2020"/>
    <s v="Delivered"/>
    <s v="262 GB SSD"/>
    <s v="SSD"/>
    <s v="Samsung"/>
    <n v="4500"/>
    <n v="5850"/>
    <n v="2"/>
    <n v="9000"/>
    <n v="11700"/>
    <s v="Aadil Khan"/>
    <n v="8450"/>
  </r>
  <r>
    <s v="139569"/>
    <s v="UP"/>
    <s v="Vinod Mehta"/>
    <s v="28/03/2020"/>
    <s v="Shipped"/>
    <s v="Intel i3 11th gen."/>
    <s v="CPU"/>
    <s v="Intel"/>
    <n v="8500"/>
    <n v="11050"/>
    <n v="3"/>
    <n v="25500"/>
    <n v="33150"/>
    <s v="Advika Joshi"/>
    <n v="33150"/>
  </r>
  <r>
    <s v="139570"/>
    <s v="UP"/>
    <s v="Jignesh Mhatre"/>
    <s v="28/03/2020"/>
    <s v="Order"/>
    <s v="4GB Graphic card"/>
    <s v="Graphic Card"/>
    <s v="Nvidia"/>
    <n v="12500"/>
    <n v="16250"/>
    <n v="2"/>
    <n v="25000"/>
    <n v="32500"/>
    <s v="Ajay Sharma"/>
    <n v="18200"/>
  </r>
  <r>
    <s v="139571"/>
    <s v="UP"/>
    <s v="Rahul Kashyap"/>
    <s v="28/03/2020"/>
    <s v="Processing"/>
    <s v="14 GB DDR4 RAM"/>
    <s v="RAM"/>
    <s v="Hynix"/>
    <n v="3500"/>
    <n v="4550"/>
    <n v="4"/>
    <n v="14000"/>
    <n v="18200"/>
    <s v="Roshan Kumar"/>
    <n v="25545"/>
  </r>
  <r>
    <s v="139572"/>
    <s v="UP"/>
    <s v="Mohammed Abdul Kaleem"/>
    <s v="28/03/2020"/>
    <s v="Delivered"/>
    <s v="BTX motherboard"/>
    <s v="MotherBoard"/>
    <s v="Gigabyte"/>
    <n v="4500"/>
    <n v="5850"/>
    <n v="2"/>
    <n v="9000"/>
    <n v="11700"/>
    <s v="Aarvi Gupta"/>
    <n v="39780"/>
  </r>
  <r>
    <s v="139573"/>
    <s v="UP"/>
    <s v="Chandrakant Kasbe"/>
    <s v="28/03/2020"/>
    <s v="Shipped"/>
    <s v="9 Fans Cabinet"/>
    <s v="Cabinet"/>
    <s v="Asus"/>
    <n v="2100"/>
    <n v="2730"/>
    <n v="1"/>
    <n v="2100"/>
    <n v="2730"/>
    <s v="Vijay Singh"/>
    <n v="2990"/>
  </r>
  <r>
    <s v="139574"/>
    <s v="LD"/>
    <s v="Rohan Kale"/>
    <s v="28/03/2020"/>
    <s v="Order"/>
    <s v="Wireless Keyboard"/>
    <s v="Keyboard"/>
    <s v="Dell"/>
    <n v="1150"/>
    <n v="1495"/>
    <n v="1"/>
    <n v="1150"/>
    <n v="1495"/>
    <s v="Aadil Khan"/>
    <n v="3315"/>
  </r>
  <r>
    <s v="139575"/>
    <s v="PY"/>
    <s v="Aniruddha Kekapure"/>
    <s v="28/03/2020"/>
    <s v="Processing"/>
    <s v="USB Mouse"/>
    <s v="Mouse"/>
    <s v="Samsung"/>
    <n v="350"/>
    <n v="455"/>
    <n v="2"/>
    <n v="700"/>
    <n v="910"/>
    <s v="Advika Joshi"/>
    <n v="1690"/>
  </r>
  <r>
    <s v="139576"/>
    <s v="OR"/>
    <s v="Aslam Raza"/>
    <s v="28/03/2020"/>
    <s v="Delivered"/>
    <s v="19&quot; LED Display"/>
    <s v="Monitor"/>
    <s v="Dell"/>
    <n v="9500"/>
    <n v="12350"/>
    <n v="2"/>
    <n v="19000"/>
    <n v="24700"/>
    <s v="Ajay Sharma"/>
    <n v="9750"/>
  </r>
  <r>
    <s v="139577"/>
    <s v="PB"/>
    <s v="Roshan Zameer"/>
    <s v="28/03/2020"/>
    <s v="Shipped"/>
    <s v="8 TB HDD"/>
    <s v="HDD"/>
    <s v="Western Digital"/>
    <n v="10000"/>
    <n v="13000"/>
    <n v="4"/>
    <n v="40000"/>
    <n v="52000"/>
    <s v="Roshan Kumar"/>
    <n v="39000"/>
  </r>
  <r>
    <s v="139578"/>
    <s v="RJ"/>
    <s v="Rakesh Kumar Sharma"/>
    <s v="28/03/2020"/>
    <s v="Order"/>
    <s v="518 GB M.2"/>
    <s v="SSD"/>
    <s v="Samsung"/>
    <n v="6500"/>
    <n v="8450"/>
    <n v="3"/>
    <n v="19500"/>
    <n v="25350"/>
    <s v="Aarvi Gupta"/>
    <n v="8450"/>
  </r>
  <r>
    <s v="139579"/>
    <s v="SK"/>
    <s v="Shivanand Sahani"/>
    <s v="28/03/2020"/>
    <s v="Processing"/>
    <s v="RYZEN 3rd gen. 3506"/>
    <s v="CPU"/>
    <s v="Intel"/>
    <n v="8500"/>
    <n v="11050"/>
    <n v="4"/>
    <n v="34000"/>
    <n v="44200"/>
    <s v="Vijay Singh"/>
    <n v="33150"/>
  </r>
  <r>
    <s v="139580"/>
    <s v="TN"/>
    <s v="Kunal Patra"/>
    <s v="28/03/2020"/>
    <s v="Delivered"/>
    <s v="2GB Graphic Card"/>
    <s v="Graphic Card"/>
    <s v="Nvidia"/>
    <n v="7000"/>
    <n v="9100"/>
    <n v="4"/>
    <n v="28000"/>
    <n v="36400"/>
    <s v="Aadil Khan"/>
    <n v="18200"/>
  </r>
  <r>
    <s v="139581"/>
    <s v="TR"/>
    <s v="Bijendra"/>
    <s v="28/03/2020"/>
    <s v="Shipped"/>
    <s v="22 GB DDR4 RAM"/>
    <s v="RAM"/>
    <s v="Hynix"/>
    <n v="6550"/>
    <n v="8515"/>
    <n v="1"/>
    <n v="6550"/>
    <n v="8515"/>
    <s v="Advika Joshi"/>
    <n v="25545"/>
  </r>
  <r>
    <s v="139582"/>
    <s v="UK"/>
    <s v="Kranti Bheke"/>
    <s v="28/03/2020"/>
    <s v="Order"/>
    <s v="Standard ATX motherboard"/>
    <s v="MotherBoard"/>
    <s v="Gigabyte"/>
    <n v="7650"/>
    <n v="9945"/>
    <n v="1"/>
    <n v="7650"/>
    <n v="9945"/>
    <s v="Ajay Sharma"/>
    <n v="39780"/>
  </r>
  <r>
    <s v="139583"/>
    <s v="UP"/>
    <s v="Jagdeep"/>
    <s v="28/03/2020"/>
    <s v="Processing"/>
    <s v="Compact with 1 Fan"/>
    <s v="Cabinet"/>
    <s v="Asus"/>
    <n v="1150"/>
    <n v="1495"/>
    <n v="1"/>
    <n v="1150"/>
    <n v="1495"/>
    <s v="Roshan Kumar"/>
    <n v="2990"/>
  </r>
  <r>
    <s v="139584"/>
    <s v="WB"/>
    <s v="Adhir Samal"/>
    <s v="28/03/2020"/>
    <s v="Delivered"/>
    <s v="USB Backlight Keyboard"/>
    <s v="Keyboard"/>
    <s v="Dell"/>
    <n v="850"/>
    <n v="1105"/>
    <n v="4"/>
    <n v="3400"/>
    <n v="4420"/>
    <s v="Aarvi Gupta"/>
    <n v="3315"/>
  </r>
  <r>
    <s v="139585"/>
    <s v="TN"/>
    <s v="Dannana Jhammi"/>
    <s v="28/03/2020"/>
    <s v="Shipped"/>
    <s v="Ergonomic Mouse"/>
    <s v="Mouse"/>
    <s v="Samsung"/>
    <n v="650"/>
    <n v="845"/>
    <n v="1"/>
    <n v="650"/>
    <n v="845"/>
    <s v="Vijay Singh"/>
    <n v="1690"/>
  </r>
  <r>
    <s v="139586"/>
    <s v="TR"/>
    <s v="Vipin Kumar"/>
    <s v="28/03/2020"/>
    <s v="Order"/>
    <s v="15&quot; LCD Dsipaly"/>
    <s v="Monitor"/>
    <s v="Dell"/>
    <n v="7500"/>
    <n v="9750"/>
    <n v="3"/>
    <n v="22500"/>
    <n v="29250"/>
    <s v="Aadil Khan"/>
    <n v="9750"/>
  </r>
  <r>
    <s v="139587"/>
    <s v="AN"/>
    <s v="Ranjeet Kumar"/>
    <s v="28/03/2020"/>
    <s v="Processing"/>
    <s v="8 TB HDD"/>
    <s v="HDD"/>
    <s v="Seagate"/>
    <n v="10000"/>
    <n v="13000"/>
    <n v="1"/>
    <n v="10000"/>
    <n v="13000"/>
    <s v="Advika Joshi"/>
    <n v="39000"/>
  </r>
  <r>
    <s v="139588"/>
    <s v="CH"/>
    <s v="Sajal Singhal"/>
    <s v="28/03/2020"/>
    <s v="Delivered"/>
    <s v="7 TB SSD"/>
    <s v="SSD"/>
    <s v="Samsung"/>
    <n v="10500"/>
    <n v="13650"/>
    <n v="1"/>
    <n v="10500"/>
    <n v="13650"/>
    <s v="Ajay Sharma"/>
    <n v="8450"/>
  </r>
  <r>
    <s v="139589"/>
    <s v="DH"/>
    <s v="Akhilesh Kumar"/>
    <s v="28/03/2020"/>
    <s v="Shipped"/>
    <s v="Intel i5 12th gen."/>
    <s v="CPU"/>
    <s v="Intel"/>
    <n v="8500"/>
    <n v="11050"/>
    <n v="2"/>
    <n v="17000"/>
    <n v="22100"/>
    <s v="Roshan Kumar"/>
    <n v="33150"/>
  </r>
  <r>
    <s v="139590"/>
    <s v="DD"/>
    <s v="Suvankar Chakraborty"/>
    <s v="28/03/2020"/>
    <s v="Order"/>
    <s v="2GB Graphic Card"/>
    <s v="Graphic Card"/>
    <s v="Nvidia"/>
    <n v="7000"/>
    <n v="9100"/>
    <n v="4"/>
    <n v="28000"/>
    <n v="36400"/>
    <s v="Aarvi Gupta"/>
    <n v="18200"/>
  </r>
  <r>
    <s v="139591"/>
    <s v="DL"/>
    <s v="Suvankar Adhikary"/>
    <s v="28/03/2020"/>
    <s v="Processing"/>
    <s v="10 GB DDR4 Ram"/>
    <s v="RAM"/>
    <s v="Hynix"/>
    <n v="1680"/>
    <n v="2184"/>
    <n v="1"/>
    <n v="1680"/>
    <n v="2184"/>
    <s v="Vijay Singh"/>
    <n v="25545"/>
  </r>
  <r>
    <s v="139592"/>
    <s v="LD"/>
    <s v="Rahul Kumar Prajapati"/>
    <s v="28/03/2020"/>
    <s v="Delivered"/>
    <s v="Micro ATX motherboard"/>
    <s v="MotherBoard"/>
    <s v="MSI"/>
    <n v="6540"/>
    <n v="8502"/>
    <n v="3"/>
    <n v="19620"/>
    <n v="25506"/>
    <s v="Aadil Khan"/>
    <n v="39780"/>
  </r>
  <r>
    <s v="139593"/>
    <s v="PY"/>
    <s v="Sagar Jeur"/>
    <s v="28/03/2020"/>
    <s v="Shipped"/>
    <s v="Gaming Box Cabinet"/>
    <s v="Cabinet"/>
    <s v="Asus"/>
    <n v="2680"/>
    <n v="3484"/>
    <n v="3"/>
    <n v="8040"/>
    <n v="10452"/>
    <s v="Advika Joshi"/>
    <n v="2990"/>
  </r>
  <r>
    <s v="139594"/>
    <s v="AP"/>
    <s v="Rhushikesh Mane"/>
    <s v="28/03/2020"/>
    <s v="Order"/>
    <s v="17&quot; LCD Display"/>
    <s v="Monitor"/>
    <s v="Samsung"/>
    <n v="8250"/>
    <n v="10725"/>
    <n v="1"/>
    <n v="8250"/>
    <n v="10725"/>
    <s v="Ajay Sharma"/>
    <n v="9750"/>
  </r>
  <r>
    <s v="139595"/>
    <s v="AR"/>
    <s v="Ashish Kumar"/>
    <s v="28/03/2020"/>
    <s v="Processing"/>
    <s v="14 GB DDR4 RAM"/>
    <s v="RAM"/>
    <s v="Samsung"/>
    <n v="2650"/>
    <n v="3445"/>
    <n v="3"/>
    <n v="7950"/>
    <n v="10335"/>
    <s v="Roshan Kumar"/>
    <n v="25545"/>
  </r>
  <r>
    <s v="139596"/>
    <s v="AS"/>
    <s v="Javed Akhter"/>
    <s v="28/03/2020"/>
    <s v="Delivered"/>
    <s v="26&quot; LCD Display"/>
    <s v="Monitor"/>
    <s v="Acer"/>
    <n v="12550"/>
    <n v="16315"/>
    <n v="4"/>
    <n v="50200"/>
    <n v="65260"/>
    <s v="Aarvi Gupta"/>
    <n v="9750"/>
  </r>
  <r>
    <s v="139597"/>
    <s v="BR"/>
    <s v="Haridas Balraj"/>
    <s v="28/03/2020"/>
    <s v="Shipped"/>
    <s v="I7 - intel 12th Generation"/>
    <s v="CPU"/>
    <s v="Intel"/>
    <n v="14500"/>
    <n v="18850"/>
    <n v="1"/>
    <n v="14500"/>
    <n v="18850"/>
    <s v="Vijay Singh"/>
    <n v="33150"/>
  </r>
  <r>
    <s v="139598"/>
    <s v="CG"/>
    <s v="Kundan Kumar"/>
    <s v="28/03/2020"/>
    <s v="Order"/>
    <s v="USB Keyboard"/>
    <s v="Keyboard"/>
    <s v="Dell"/>
    <n v="800"/>
    <n v="1040"/>
    <n v="4"/>
    <n v="3200"/>
    <n v="4160"/>
    <s v="Aadil Khan"/>
    <n v="3315"/>
  </r>
  <r>
    <s v="139599"/>
    <s v="GA"/>
    <s v="Atif Siddiqui"/>
    <s v="28/03/2020"/>
    <s v="Processing"/>
    <s v="Wireless Mouse"/>
    <s v="Mouse"/>
    <s v="Samsung"/>
    <n v="600"/>
    <n v="780"/>
    <n v="4"/>
    <n v="2400"/>
    <n v="3120"/>
    <s v="Advika Joshi"/>
    <n v="1690"/>
  </r>
  <r>
    <s v="139600"/>
    <s v="GJ"/>
    <s v="Aditya Agarwal"/>
    <s v="29/03/2020"/>
    <s v="Delivered"/>
    <s v="21&quot; LCD Display"/>
    <s v="Monitor"/>
    <s v="Dell"/>
    <n v="10500"/>
    <n v="13650"/>
    <n v="3"/>
    <n v="31500"/>
    <n v="40950"/>
    <s v="Ajay Sharma"/>
    <n v="9750"/>
  </r>
  <r>
    <s v="139601"/>
    <s v="HR"/>
    <s v="Firdoush Jabee"/>
    <s v="29/03/2020"/>
    <s v="Shipped"/>
    <s v="8 TB HDD"/>
    <s v="HDD"/>
    <s v="Western Digital"/>
    <n v="6500"/>
    <n v="8450"/>
    <n v="2"/>
    <n v="13000"/>
    <n v="16900"/>
    <s v="Roshan Kumar"/>
    <n v="39000"/>
  </r>
  <r>
    <s v="139602"/>
    <s v="HP"/>
    <s v="Jay Prakash Kumar"/>
    <s v="29/03/2020"/>
    <s v="Order"/>
    <s v="263 GB SSD"/>
    <s v="SSD"/>
    <s v="Samsung"/>
    <n v="4500"/>
    <n v="5850"/>
    <n v="1"/>
    <n v="4500"/>
    <n v="5850"/>
    <s v="Aarvi Gupta"/>
    <n v="8450"/>
  </r>
  <r>
    <s v="139603"/>
    <s v="JK"/>
    <s v="Ashish Pandey"/>
    <s v="29/03/2020"/>
    <s v="Processing"/>
    <s v="Intel i3 11th gen."/>
    <s v="CPU"/>
    <s v="Intel"/>
    <n v="8500"/>
    <n v="11050"/>
    <n v="4"/>
    <n v="34000"/>
    <n v="44200"/>
    <s v="Vijay Singh"/>
    <n v="33150"/>
  </r>
  <r>
    <s v="139604"/>
    <s v="JH"/>
    <s v="Ajay Sharma"/>
    <s v="29/03/2020"/>
    <s v="Delivered"/>
    <s v="4GB Graphic card"/>
    <s v="Graphic Card"/>
    <s v="Nvidia"/>
    <n v="12500"/>
    <n v="16250"/>
    <n v="3"/>
    <n v="37500"/>
    <n v="48750"/>
    <s v="Aadil Khan"/>
    <n v="18200"/>
  </r>
  <r>
    <s v="139605"/>
    <s v="KA"/>
    <s v="Moinuddin Saifi"/>
    <s v="29/03/2020"/>
    <s v="Shipped"/>
    <s v="15 GB DDR4 RAM"/>
    <s v="Computer Case"/>
    <s v="Hynix"/>
    <n v="3500"/>
    <n v="4550"/>
    <n v="1"/>
    <n v="3500"/>
    <n v="4550"/>
    <s v="Advika Joshi"/>
    <n v="13650"/>
  </r>
  <r>
    <s v="139606"/>
    <s v="KL"/>
    <s v="Ramkrishna Das Adhikary"/>
    <s v="29/03/2020"/>
    <s v="Order"/>
    <s v="BTX motherboard"/>
    <s v="Mouse"/>
    <s v="Gigabyte"/>
    <n v="4500"/>
    <n v="5850"/>
    <n v="1"/>
    <n v="4500"/>
    <n v="5850"/>
    <s v="Vijay Singh"/>
    <n v="1690"/>
  </r>
  <r>
    <s v="139607"/>
    <s v="MP"/>
    <s v="Ranjeet Mandal"/>
    <s v="29/03/2020"/>
    <s v="Processing"/>
    <s v="10 Fans Cabinet"/>
    <s v="Cabinet"/>
    <s v="Asus"/>
    <n v="2100"/>
    <n v="2730"/>
    <n v="1"/>
    <n v="2100"/>
    <n v="2730"/>
    <s v="Aadil Khan"/>
    <n v="2990"/>
  </r>
  <r>
    <s v="139608"/>
    <s v="MH"/>
    <s v="Ashwini Adsare"/>
    <s v="29/03/2020"/>
    <s v="Delivered"/>
    <s v="Wireless Keyboard"/>
    <s v="Keyboard"/>
    <s v="Dell"/>
    <n v="1150"/>
    <n v="1495"/>
    <n v="2"/>
    <n v="2300"/>
    <n v="2990"/>
    <s v="Advika Joshi"/>
    <n v="3315"/>
  </r>
  <r>
    <s v="139609"/>
    <s v="MN"/>
    <s v="Rajesh Variya"/>
    <s v="29/03/2020"/>
    <s v="Shipped"/>
    <s v="USB Mouse"/>
    <s v="Mouse"/>
    <s v="Samsung"/>
    <n v="350"/>
    <n v="455"/>
    <n v="1"/>
    <n v="350"/>
    <n v="455"/>
    <s v="Ajay Sharma"/>
    <n v="1690"/>
  </r>
  <r>
    <s v="139610"/>
    <s v="ML"/>
    <s v="Amit Singh"/>
    <s v="29/03/2020"/>
    <s v="Order"/>
    <s v="19&quot; LED Display"/>
    <s v="Monitor"/>
    <s v="Dell"/>
    <n v="9500"/>
    <n v="12350"/>
    <n v="3"/>
    <n v="28500"/>
    <n v="37050"/>
    <s v="Roshan Kumar"/>
    <n v="9750"/>
  </r>
  <r>
    <s v="139611"/>
    <s v="MZ"/>
    <s v="Vinod Mehta"/>
    <s v="29/03/2020"/>
    <s v="Processing"/>
    <s v="9 TB HDD"/>
    <s v="HDD"/>
    <s v="Western Digital"/>
    <n v="10000"/>
    <n v="13000"/>
    <n v="4"/>
    <n v="40000"/>
    <n v="52000"/>
    <s v="Aarvi Gupta"/>
    <n v="39000"/>
  </r>
  <r>
    <s v="139612"/>
    <s v="NL"/>
    <s v="Jignesh Mhatre"/>
    <s v="29/03/2020"/>
    <s v="Delivered"/>
    <s v="519 GB M.2"/>
    <s v="SSD"/>
    <s v="Samsung"/>
    <n v="6500"/>
    <n v="8450"/>
    <n v="3"/>
    <n v="19500"/>
    <n v="25350"/>
    <s v="Vijay Singh"/>
    <n v="8450"/>
  </r>
  <r>
    <s v="139613"/>
    <s v="OR"/>
    <s v="Rahul Kashyap"/>
    <s v="29/03/2020"/>
    <s v="Shipped"/>
    <s v="RYZEN 3rd gen. 3507"/>
    <s v="CPU"/>
    <s v="Intel"/>
    <n v="8500"/>
    <n v="11050"/>
    <n v="1"/>
    <n v="8500"/>
    <n v="11050"/>
    <s v="Aadil Khan"/>
    <n v="33150"/>
  </r>
  <r>
    <s v="139614"/>
    <s v="PB"/>
    <s v="Mohammed Abdul Kaleem"/>
    <s v="29/03/2020"/>
    <s v="Order"/>
    <s v="2GB Graphic Card"/>
    <s v="Graphic Card"/>
    <s v="Nvidia"/>
    <n v="7000"/>
    <n v="9100"/>
    <n v="2"/>
    <n v="14000"/>
    <n v="18200"/>
    <s v="Advika Joshi"/>
    <n v="18200"/>
  </r>
  <r>
    <s v="139615"/>
    <s v="RJ"/>
    <s v="Chandrakant Kasbe"/>
    <s v="29/03/2020"/>
    <s v="Processing"/>
    <s v="23 GB DDR4 RAM"/>
    <s v="Computer Case"/>
    <s v="Hynix"/>
    <n v="6550"/>
    <n v="8515"/>
    <n v="1"/>
    <n v="6550"/>
    <n v="8515"/>
    <s v="Ajay Sharma"/>
    <n v="13650"/>
  </r>
  <r>
    <s v="139616"/>
    <s v="SK"/>
    <s v="Rohan Kale"/>
    <s v="29/03/2020"/>
    <s v="Delivered"/>
    <s v="Standard ATX motherboard"/>
    <s v="Mouse"/>
    <s v="Gigabyte"/>
    <n v="7650"/>
    <n v="9945"/>
    <n v="4"/>
    <n v="30600"/>
    <n v="39780"/>
    <s v="Roshan Kumar"/>
    <n v="1690"/>
  </r>
  <r>
    <s v="139617"/>
    <s v="TN"/>
    <s v="Aniruddha Kekapure"/>
    <s v="29/03/2020"/>
    <s v="Shipped"/>
    <s v="Compact with 1 Fan"/>
    <s v="Cabinet"/>
    <s v="Asus"/>
    <n v="1150"/>
    <n v="1495"/>
    <n v="3"/>
    <n v="3450"/>
    <n v="4485"/>
    <s v="Aarvi Gupta"/>
    <n v="2990"/>
  </r>
  <r>
    <s v="139618"/>
    <s v="TR"/>
    <s v="Aslam Raza"/>
    <s v="29/03/2020"/>
    <s v="Order"/>
    <s v="USB Backlight Keyboard"/>
    <s v="Keyboard"/>
    <s v="Dell"/>
    <n v="850"/>
    <n v="1105"/>
    <n v="1"/>
    <n v="850"/>
    <n v="1105"/>
    <s v="Vijay Singh"/>
    <n v="3315"/>
  </r>
  <r>
    <s v="139619"/>
    <s v="UK"/>
    <s v="Roshan Zameer"/>
    <s v="29/03/2020"/>
    <s v="Processing"/>
    <s v="Ergonomic Mouse"/>
    <s v="Mouse"/>
    <s v="Samsung"/>
    <n v="650"/>
    <n v="845"/>
    <n v="3"/>
    <n v="1950"/>
    <n v="2535"/>
    <s v="Aadil Khan"/>
    <n v="1690"/>
  </r>
  <r>
    <s v="139620"/>
    <s v="UP"/>
    <s v="Rakesh Kumar Sharma"/>
    <s v="29/03/2020"/>
    <s v="Delivered"/>
    <s v="15&quot; LCD Dsipaly"/>
    <s v="Monitor"/>
    <s v="Dell"/>
    <n v="7500"/>
    <n v="9750"/>
    <n v="1"/>
    <n v="7500"/>
    <n v="9750"/>
    <s v="Advika Joshi"/>
    <n v="9750"/>
  </r>
  <r>
    <s v="139621"/>
    <s v="WB"/>
    <s v="Shivanand Sahani"/>
    <s v="29/03/2020"/>
    <s v="Shipped"/>
    <s v="9 TB HDD"/>
    <s v="HDD"/>
    <s v="Seagate"/>
    <n v="10000"/>
    <n v="13000"/>
    <n v="4"/>
    <n v="40000"/>
    <n v="52000"/>
    <s v="Ajay Sharma"/>
    <n v="39000"/>
  </r>
  <r>
    <s v="139622"/>
    <s v="TN"/>
    <s v="Kunal Patra"/>
    <s v="29/03/2020"/>
    <s v="Order"/>
    <s v="8 TB SSD"/>
    <s v="SSD"/>
    <s v="Samsung"/>
    <n v="10500"/>
    <n v="13650"/>
    <n v="1"/>
    <n v="10500"/>
    <n v="13650"/>
    <s v="Roshan Kumar"/>
    <n v="8450"/>
  </r>
  <r>
    <s v="139623"/>
    <s v="TR"/>
    <s v="Bijendra"/>
    <s v="29/03/2020"/>
    <s v="Processing"/>
    <s v="Intel i5 12th gen."/>
    <s v="CPU"/>
    <s v="Intel"/>
    <n v="8500"/>
    <n v="11050"/>
    <n v="4"/>
    <n v="34000"/>
    <n v="44200"/>
    <s v="Aarvi Gupta"/>
    <n v="33150"/>
  </r>
  <r>
    <s v="139624"/>
    <s v="TR"/>
    <s v="Kranti Bheke"/>
    <s v="29/03/2020"/>
    <s v="Delivered"/>
    <s v="2GB Graphic Card"/>
    <s v="Graphic Card"/>
    <s v="Nvidia"/>
    <n v="7000"/>
    <n v="9100"/>
    <n v="4"/>
    <n v="28000"/>
    <n v="36400"/>
    <s v="Vijay Singh"/>
    <n v="18200"/>
  </r>
  <r>
    <s v="139625"/>
    <s v="TR"/>
    <s v="Jagdeep"/>
    <s v="29/03/2020"/>
    <s v="Shipped"/>
    <s v="11 GB DDR4 Ram"/>
    <s v="Computer Case"/>
    <s v="Hynix"/>
    <n v="1680"/>
    <n v="2184"/>
    <n v="1"/>
    <n v="1680"/>
    <n v="2184"/>
    <s v="Aadil Khan"/>
    <n v="13650"/>
  </r>
  <r>
    <s v="139626"/>
    <s v="TR"/>
    <s v="Adhir Samal"/>
    <s v="29/03/2020"/>
    <s v="Order"/>
    <s v="Micro ATX motherboard"/>
    <s v="Mouse"/>
    <s v="MSI"/>
    <n v="6540"/>
    <n v="8502"/>
    <n v="1"/>
    <n v="6540"/>
    <n v="8502"/>
    <s v="Advika Joshi"/>
    <n v="1690"/>
  </r>
  <r>
    <s v="139627"/>
    <s v="TR"/>
    <s v="Dannana Jhammi"/>
    <s v="29/03/2020"/>
    <s v="Processing"/>
    <s v="Gaming Box Cabinet"/>
    <s v="Cabinet"/>
    <s v="Asus"/>
    <n v="2680"/>
    <n v="3484"/>
    <n v="4"/>
    <n v="10720"/>
    <n v="13936"/>
    <s v="Ajay Sharma"/>
    <n v="2990"/>
  </r>
  <r>
    <s v="139628"/>
    <s v="TR"/>
    <s v="Vipin Kumar"/>
    <s v="29/03/2020"/>
    <s v="Delivered"/>
    <s v="17&quot; LCD Display"/>
    <s v="Monitor"/>
    <s v="Samsung"/>
    <n v="8250"/>
    <n v="10725"/>
    <n v="4"/>
    <n v="33000"/>
    <n v="42900"/>
    <s v="Roshan Kumar"/>
    <n v="9750"/>
  </r>
  <r>
    <s v="139629"/>
    <s v="LD"/>
    <s v="Ranjeet Kumar"/>
    <s v="29/03/2020"/>
    <s v="Shipped"/>
    <s v="15 GB DDR4 RAM"/>
    <s v="RAM"/>
    <s v="Samsung"/>
    <n v="2650"/>
    <n v="3445"/>
    <n v="4"/>
    <n v="10600"/>
    <n v="13780"/>
    <s v="Aarvi Gupta"/>
    <n v="25545"/>
  </r>
  <r>
    <s v="139630"/>
    <s v="PY"/>
    <s v="Sajal Singhal"/>
    <s v="29/03/2020"/>
    <s v="Order"/>
    <s v="26&quot; LCD Display"/>
    <s v="Monitor"/>
    <s v="Acer"/>
    <n v="12550"/>
    <n v="16315"/>
    <n v="1"/>
    <n v="12550"/>
    <n v="16315"/>
    <s v="Vijay Singh"/>
    <n v="9750"/>
  </r>
  <r>
    <s v="139631"/>
    <s v="AP"/>
    <s v="Akhilesh Kumar"/>
    <s v="29/03/2020"/>
    <s v="Processing"/>
    <s v="I7 - intel 12th Generation"/>
    <s v="CPU"/>
    <s v="Intel"/>
    <n v="14500"/>
    <n v="18850"/>
    <n v="1"/>
    <n v="14500"/>
    <n v="18850"/>
    <s v="Aadil Khan"/>
    <n v="33150"/>
  </r>
  <r>
    <s v="139632"/>
    <s v="AR"/>
    <s v="Suvankar Chakraborty"/>
    <s v="29/03/2020"/>
    <s v="Delivered"/>
    <s v="USB Keyboard"/>
    <s v="Keyboard"/>
    <s v="Dell"/>
    <n v="800"/>
    <n v="1040"/>
    <n v="2"/>
    <n v="1600"/>
    <n v="2080"/>
    <s v="Advika Joshi"/>
    <n v="3315"/>
  </r>
  <r>
    <s v="139633"/>
    <s v="AS"/>
    <s v="Suvankar Adhikary"/>
    <s v="29/03/2020"/>
    <s v="Shipped"/>
    <s v="Wireless Mouse"/>
    <s v="Mouse"/>
    <s v="Samsung"/>
    <n v="600"/>
    <n v="780"/>
    <n v="1"/>
    <n v="600"/>
    <n v="780"/>
    <s v="Ajay Sharma"/>
    <n v="1690"/>
  </r>
  <r>
    <s v="139634"/>
    <s v="BR"/>
    <s v="Rahul Kumar Prajapati"/>
    <s v="29/03/2020"/>
    <s v="Order"/>
    <s v="21&quot; LCD Display"/>
    <s v="Monitor"/>
    <s v="Dell"/>
    <n v="10500"/>
    <n v="13650"/>
    <n v="2"/>
    <n v="21000"/>
    <n v="27300"/>
    <s v="Roshan Kumar"/>
    <n v="9750"/>
  </r>
  <r>
    <s v="139635"/>
    <s v="CG"/>
    <s v="Sagar Jeur"/>
    <s v="29/03/2020"/>
    <s v="Processing"/>
    <s v="9 TB HDD"/>
    <s v="HDD"/>
    <s v="Western Digital"/>
    <n v="6500"/>
    <n v="8450"/>
    <n v="1"/>
    <n v="6500"/>
    <n v="8450"/>
    <s v="Aarvi Gupta"/>
    <n v="39000"/>
  </r>
  <r>
    <s v="139636"/>
    <s v="GA"/>
    <s v="Rhushikesh Mane"/>
    <s v="29/03/2020"/>
    <s v="Delivered"/>
    <s v="264 GB SSD"/>
    <s v="SSD"/>
    <s v="Samsung"/>
    <n v="4500"/>
    <n v="5850"/>
    <n v="1"/>
    <n v="4500"/>
    <n v="5850"/>
    <s v="Vijay Singh"/>
    <n v="8450"/>
  </r>
  <r>
    <s v="139637"/>
    <s v="GJ"/>
    <s v="Ashish Kumar"/>
    <s v="29/03/2020"/>
    <s v="Shipped"/>
    <s v="Intel i3 11th gen."/>
    <s v="CPU"/>
    <s v="Intel"/>
    <n v="8500"/>
    <n v="11050"/>
    <n v="3"/>
    <n v="25500"/>
    <n v="33150"/>
    <s v="Aadil Khan"/>
    <n v="33150"/>
  </r>
  <r>
    <s v="139638"/>
    <s v="HR"/>
    <s v="Javed Akhter"/>
    <s v="29/03/2020"/>
    <s v="Order"/>
    <s v="4GB Graphic card"/>
    <s v="Graphic Card"/>
    <s v="Nvidia"/>
    <n v="12500"/>
    <n v="16250"/>
    <n v="3"/>
    <n v="37500"/>
    <n v="48750"/>
    <s v="Advika Joshi"/>
    <n v="18200"/>
  </r>
  <r>
    <s v="139639"/>
    <s v="HP"/>
    <s v="Haridas Balraj"/>
    <s v="29/03/2020"/>
    <s v="Processing"/>
    <s v="16 GB DDR4 RAM"/>
    <s v="NIC"/>
    <s v="Hynix"/>
    <n v="3500"/>
    <n v="4550"/>
    <n v="3"/>
    <n v="10500"/>
    <n v="13650"/>
    <s v="Ajay Sharma"/>
    <n v="9100"/>
  </r>
  <r>
    <s v="139640"/>
    <s v="JK"/>
    <s v="Kundan Kumar"/>
    <s v="29/03/2020"/>
    <s v="Delivered"/>
    <s v="BTX motherboard"/>
    <s v="Printer"/>
    <s v="Gigabyte"/>
    <n v="4500"/>
    <n v="5850"/>
    <n v="2"/>
    <n v="9000"/>
    <n v="11700"/>
    <s v="Roshan Kumar"/>
    <n v="11700"/>
  </r>
  <r>
    <s v="139641"/>
    <s v="JH"/>
    <s v="Atif Siddiqui"/>
    <s v="29/03/2020"/>
    <s v="Shipped"/>
    <s v="11 Fans Cabinet"/>
    <s v="Cabinet"/>
    <s v="Asus"/>
    <n v="2100"/>
    <n v="2730"/>
    <n v="2"/>
    <n v="4200"/>
    <n v="5460"/>
    <s v="Aarvi Gupta"/>
    <n v="2990"/>
  </r>
  <r>
    <s v="139642"/>
    <s v="KA"/>
    <s v="Aditya Agarwal"/>
    <s v="29/03/2020"/>
    <s v="Order"/>
    <s v="Wireless Keyboard"/>
    <s v="Keyboard"/>
    <s v="Dell"/>
    <n v="1150"/>
    <n v="1495"/>
    <n v="4"/>
    <n v="4600"/>
    <n v="5980"/>
    <s v="Vijay Singh"/>
    <n v="3315"/>
  </r>
  <r>
    <s v="139643"/>
    <s v="KL"/>
    <s v="Firdoush Jabee"/>
    <s v="29/03/2020"/>
    <s v="Processing"/>
    <s v="USB Mouse"/>
    <s v="Mouse"/>
    <s v="Samsung"/>
    <n v="350"/>
    <n v="455"/>
    <n v="3"/>
    <n v="1050"/>
    <n v="1365"/>
    <s v="Aadil Khan"/>
    <n v="1690"/>
  </r>
  <r>
    <s v="139644"/>
    <s v="MP"/>
    <s v="Jay Prakash Kumar"/>
    <s v="29/03/2020"/>
    <s v="Delivered"/>
    <s v="19&quot; LED Display"/>
    <s v="Monitor"/>
    <s v="Dell"/>
    <n v="9500"/>
    <n v="12350"/>
    <n v="3"/>
    <n v="28500"/>
    <n v="37050"/>
    <s v="Advika Joshi"/>
    <n v="9750"/>
  </r>
  <r>
    <s v="139645"/>
    <s v="MH"/>
    <s v="Ashish Pandey"/>
    <s v="29/03/2020"/>
    <s v="Shipped"/>
    <s v="10 TB HDD"/>
    <s v="HDD"/>
    <s v="Western Digital"/>
    <n v="10000"/>
    <n v="13000"/>
    <n v="4"/>
    <n v="40000"/>
    <n v="52000"/>
    <s v="Ajay Sharma"/>
    <n v="39000"/>
  </r>
  <r>
    <s v="139646"/>
    <s v="MN"/>
    <s v="Ajay Sharma"/>
    <s v="29/03/2020"/>
    <s v="Order"/>
    <s v="520 GB M.2"/>
    <s v="SSD"/>
    <s v="Samsung"/>
    <n v="6500"/>
    <n v="8450"/>
    <n v="2"/>
    <n v="13000"/>
    <n v="16900"/>
    <s v="Roshan Kumar"/>
    <n v="8450"/>
  </r>
  <r>
    <s v="139647"/>
    <s v="ML"/>
    <s v="Moinuddin Saifi"/>
    <s v="29/03/2020"/>
    <s v="Processing"/>
    <s v="RYZEN 3rd gen. 3508"/>
    <s v="CPU"/>
    <s v="Intel"/>
    <n v="8500"/>
    <n v="11050"/>
    <n v="4"/>
    <n v="34000"/>
    <n v="44200"/>
    <s v="Aarvi Gupta"/>
    <n v="33150"/>
  </r>
  <r>
    <s v="139648"/>
    <s v="MZ"/>
    <s v="Ramkrishna Das Adhikary"/>
    <s v="29/03/2020"/>
    <s v="Delivered"/>
    <s v="2GB Graphic Card"/>
    <s v="Graphic Card"/>
    <s v="Nvidia"/>
    <n v="7000"/>
    <n v="9100"/>
    <n v="4"/>
    <n v="28000"/>
    <n v="36400"/>
    <s v="Vijay Singh"/>
    <n v="18200"/>
  </r>
  <r>
    <s v="139649"/>
    <s v="NL"/>
    <s v="Ranjeet Mandal"/>
    <s v="29/03/2020"/>
    <s v="Shipped"/>
    <s v="24 GB DDR4 RAM"/>
    <s v="NIC"/>
    <s v="Hynix"/>
    <n v="6550"/>
    <n v="8515"/>
    <n v="1"/>
    <n v="6550"/>
    <n v="8515"/>
    <s v="Aadil Khan"/>
    <n v="9100"/>
  </r>
  <r>
    <s v="139650"/>
    <s v="OR"/>
    <s v="Ashwini Adsare"/>
    <s v="29/03/2020"/>
    <s v="Order"/>
    <s v="Standard ATX motherboard"/>
    <s v="Printer"/>
    <s v="Gigabyte"/>
    <n v="7650"/>
    <n v="9945"/>
    <n v="1"/>
    <n v="7650"/>
    <n v="9945"/>
    <s v="Advika Joshi"/>
    <n v="11700"/>
  </r>
  <r>
    <s v="139651"/>
    <s v="PB"/>
    <s v="Rajesh Variya"/>
    <s v="29/03/2020"/>
    <s v="Processing"/>
    <s v="Compact with 1 Fan"/>
    <s v="Cabinet"/>
    <s v="Asus"/>
    <n v="1150"/>
    <n v="1495"/>
    <n v="3"/>
    <n v="3450"/>
    <n v="4485"/>
    <s v="Ajay Sharma"/>
    <n v="2990"/>
  </r>
  <r>
    <s v="139652"/>
    <s v="RJ"/>
    <s v="Amit Singh"/>
    <s v="29/03/2020"/>
    <s v="Delivered"/>
    <s v="USB Backlight Keyboard"/>
    <s v="Keyboard"/>
    <s v="Dell"/>
    <n v="850"/>
    <n v="1105"/>
    <n v="3"/>
    <n v="2550"/>
    <n v="3315"/>
    <s v="Roshan Kumar"/>
    <n v="3315"/>
  </r>
  <r>
    <s v="139653"/>
    <s v="SK"/>
    <s v="Vinod Mehta"/>
    <s v="29/03/2020"/>
    <s v="Shipped"/>
    <s v="Ergonomic Mouse"/>
    <s v="Mouse"/>
    <s v="Samsung"/>
    <n v="650"/>
    <n v="845"/>
    <n v="1"/>
    <n v="650"/>
    <n v="845"/>
    <s v="Aarvi Gupta"/>
    <n v="1690"/>
  </r>
  <r>
    <s v="139654"/>
    <s v="TN"/>
    <s v="Jignesh Mhatre"/>
    <s v="29/03/2020"/>
    <s v="Order"/>
    <s v="15&quot; LCD Dsipaly"/>
    <s v="Monitor"/>
    <s v="Dell"/>
    <n v="7500"/>
    <n v="9750"/>
    <n v="3"/>
    <n v="22500"/>
    <n v="29250"/>
    <s v="Vijay Singh"/>
    <n v="9750"/>
  </r>
  <r>
    <s v="139655"/>
    <s v="TR"/>
    <s v="Rahul Kashyap"/>
    <s v="29/03/2020"/>
    <s v="Processing"/>
    <s v="10 TB HDD"/>
    <s v="HDD"/>
    <s v="Seagate"/>
    <n v="10000"/>
    <n v="13000"/>
    <n v="4"/>
    <n v="40000"/>
    <n v="52000"/>
    <s v="Aadil Khan"/>
    <n v="39000"/>
  </r>
  <r>
    <s v="139656"/>
    <s v="UK"/>
    <s v="Mohammed Abdul Kaleem"/>
    <s v="29/03/2020"/>
    <s v="Delivered"/>
    <s v="9 TB SSD"/>
    <s v="SSD"/>
    <s v="Samsung"/>
    <n v="10500"/>
    <n v="13650"/>
    <n v="2"/>
    <n v="21000"/>
    <n v="27300"/>
    <s v="Advika Joshi"/>
    <n v="8450"/>
  </r>
  <r>
    <s v="139657"/>
    <s v="UP"/>
    <s v="Chandrakant Kasbe"/>
    <s v="29/03/2020"/>
    <s v="Shipped"/>
    <s v="Intel i5 12th gen."/>
    <s v="CPU"/>
    <s v="Intel"/>
    <n v="8500"/>
    <n v="11050"/>
    <n v="3"/>
    <n v="25500"/>
    <n v="33150"/>
    <s v="Ajay Sharma"/>
    <n v="33150"/>
  </r>
  <r>
    <s v="139658"/>
    <s v="WB"/>
    <s v="Rohan Kale"/>
    <s v="29/03/2020"/>
    <s v="Order"/>
    <s v="2GB Graphic Card"/>
    <s v="Graphic Card"/>
    <s v="Nvidia"/>
    <n v="7000"/>
    <n v="9100"/>
    <n v="4"/>
    <n v="28000"/>
    <n v="36400"/>
    <s v="Roshan Kumar"/>
    <n v="18200"/>
  </r>
  <r>
    <s v="139659"/>
    <s v="TN"/>
    <s v="Aniruddha Kekapure"/>
    <s v="29/03/2020"/>
    <s v="Processing"/>
    <s v="12 GB DDR4 Ram"/>
    <s v="NIC"/>
    <s v="Hynix"/>
    <n v="1680"/>
    <n v="2184"/>
    <n v="4"/>
    <n v="6720"/>
    <n v="8736"/>
    <s v="Aarvi Gupta"/>
    <n v="9100"/>
  </r>
  <r>
    <s v="139660"/>
    <s v="TR"/>
    <s v="Aslam Raza"/>
    <s v="29/03/2020"/>
    <s v="Delivered"/>
    <s v="Micro ATX motherboard"/>
    <s v="Printer"/>
    <s v="MSI"/>
    <n v="6540"/>
    <n v="8502"/>
    <n v="3"/>
    <n v="19620"/>
    <n v="25506"/>
    <s v="Vijay Singh"/>
    <n v="11700"/>
  </r>
  <r>
    <s v="139661"/>
    <s v="AN"/>
    <s v="Roshan Zameer"/>
    <s v="29/03/2020"/>
    <s v="Shipped"/>
    <s v="Gaming Box Cabinet"/>
    <s v="Cabinet"/>
    <s v="Asus"/>
    <n v="2680"/>
    <n v="3484"/>
    <n v="3"/>
    <n v="8040"/>
    <n v="10452"/>
    <s v="Aadil Khan"/>
    <n v="2990"/>
  </r>
  <r>
    <s v="139662"/>
    <s v="CH"/>
    <s v="Rakesh Kumar Sharma"/>
    <s v="29/03/2020"/>
    <s v="Order"/>
    <s v="17&quot; LCD Display"/>
    <s v="Monitor"/>
    <s v="Samsung"/>
    <n v="8250"/>
    <n v="10725"/>
    <n v="4"/>
    <n v="33000"/>
    <n v="42900"/>
    <s v="Advika Joshi"/>
    <n v="9750"/>
  </r>
  <r>
    <s v="139663"/>
    <s v="DH"/>
    <s v="Shivanand Sahani"/>
    <s v="29/03/2020"/>
    <s v="Processing"/>
    <s v="16 GB DDR4 RAM"/>
    <s v="RAM"/>
    <s v="Samsung"/>
    <n v="2650"/>
    <n v="3445"/>
    <n v="2"/>
    <n v="5300"/>
    <n v="6890"/>
    <s v="Ajay Sharma"/>
    <n v="25545"/>
  </r>
  <r>
    <s v="139664"/>
    <s v="DD"/>
    <s v="Kunal Patra"/>
    <s v="29/03/2020"/>
    <s v="Delivered"/>
    <s v="26&quot; LCD Display"/>
    <s v="Monitor"/>
    <s v="Acer"/>
    <n v="12550"/>
    <n v="16315"/>
    <n v="2"/>
    <n v="25100"/>
    <n v="32630"/>
    <s v="Roshan Kumar"/>
    <n v="9750"/>
  </r>
  <r>
    <s v="139665"/>
    <s v="DL"/>
    <s v="Bijendra"/>
    <s v="29/03/2020"/>
    <s v="Shipped"/>
    <s v="I7 - intel 12th Generation"/>
    <s v="CPU"/>
    <s v="Intel"/>
    <n v="14500"/>
    <n v="18850"/>
    <n v="2"/>
    <n v="29000"/>
    <n v="37700"/>
    <s v="Aarvi Gupta"/>
    <n v="33150"/>
  </r>
  <r>
    <s v="139666"/>
    <s v="LD"/>
    <s v="Kranti Bheke"/>
    <s v="29/03/2020"/>
    <s v="Order"/>
    <s v="USB Keyboard"/>
    <s v="Keyboard"/>
    <s v="Dell"/>
    <n v="800"/>
    <n v="1040"/>
    <n v="4"/>
    <n v="3200"/>
    <n v="4160"/>
    <s v="Vijay Singh"/>
    <n v="3315"/>
  </r>
  <r>
    <s v="139667"/>
    <s v="PY"/>
    <s v="Jagdeep"/>
    <s v="29/03/2020"/>
    <s v="Processing"/>
    <s v="Wireless Mouse"/>
    <s v="Mouse"/>
    <s v="Samsung"/>
    <n v="600"/>
    <n v="780"/>
    <n v="3"/>
    <n v="1800"/>
    <n v="2340"/>
    <s v="Aadil Khan"/>
    <n v="1690"/>
  </r>
  <r>
    <s v="139668"/>
    <s v="AP"/>
    <s v="Adhir Samal"/>
    <s v="29/03/2020"/>
    <s v="Delivered"/>
    <s v="21&quot; LCD Display"/>
    <s v="Monitor"/>
    <s v="Dell"/>
    <n v="10500"/>
    <n v="13650"/>
    <n v="1"/>
    <n v="10500"/>
    <n v="13650"/>
    <s v="Advika Joshi"/>
    <n v="9750"/>
  </r>
  <r>
    <s v="139669"/>
    <s v="AR"/>
    <s v="Dannana Jhammi"/>
    <s v="29/03/2020"/>
    <s v="Shipped"/>
    <s v="10 TB HDD"/>
    <s v="HDD"/>
    <s v="Western Digital"/>
    <n v="6500"/>
    <n v="8450"/>
    <n v="4"/>
    <n v="26000"/>
    <n v="33800"/>
    <s v="Ajay Sharma"/>
    <n v="39000"/>
  </r>
  <r>
    <s v="139670"/>
    <s v="AS"/>
    <s v="Vipin Kumar"/>
    <s v="29/03/2020"/>
    <s v="Order"/>
    <s v="265 GB SSD"/>
    <s v="SSD"/>
    <s v="Samsung"/>
    <n v="4500"/>
    <n v="5850"/>
    <n v="1"/>
    <n v="4500"/>
    <n v="5850"/>
    <s v="Roshan Kumar"/>
    <n v="8450"/>
  </r>
  <r>
    <s v="139671"/>
    <s v="BR"/>
    <s v="Ranjeet Kumar"/>
    <s v="29/03/2020"/>
    <s v="Processing"/>
    <s v="Intel i3 11th gen."/>
    <s v="CPU"/>
    <s v="Intel"/>
    <n v="8500"/>
    <n v="11050"/>
    <n v="2"/>
    <n v="17000"/>
    <n v="22100"/>
    <s v="Aarvi Gupta"/>
    <n v="33150"/>
  </r>
  <r>
    <s v="139672"/>
    <s v="CG"/>
    <s v="Sajal Singhal"/>
    <s v="29/03/2020"/>
    <s v="Delivered"/>
    <s v="4GB Graphic card"/>
    <s v="Graphic Card"/>
    <s v="Nvidia"/>
    <n v="12500"/>
    <n v="16250"/>
    <n v="3"/>
    <n v="37500"/>
    <n v="48750"/>
    <s v="Vijay Singh"/>
    <n v="18200"/>
  </r>
  <r>
    <s v="139673"/>
    <s v="GA"/>
    <s v="Akhilesh Kumar"/>
    <s v="29/03/2020"/>
    <s v="Shipped"/>
    <s v="17 GB DDR4 RAM"/>
    <s v="RAM"/>
    <s v="Hynix"/>
    <n v="3500"/>
    <n v="4550"/>
    <n v="2"/>
    <n v="7000"/>
    <n v="9100"/>
    <s v="Aadil Khan"/>
    <n v="25545"/>
  </r>
  <r>
    <s v="139674"/>
    <s v="GJ"/>
    <s v="Suvankar Chakraborty"/>
    <s v="29/03/2020"/>
    <s v="Order"/>
    <s v="BTX motherboard"/>
    <s v="MotherBoard"/>
    <s v="Gigabyte"/>
    <n v="4500"/>
    <n v="5850"/>
    <n v="3"/>
    <n v="13500"/>
    <n v="17550"/>
    <s v="Advika Joshi"/>
    <n v="39780"/>
  </r>
  <r>
    <s v="139675"/>
    <s v="HR"/>
    <s v="Suvankar Adhikary"/>
    <s v="29/03/2020"/>
    <s v="Processing"/>
    <s v="12 Fans Cabinet"/>
    <s v="Cabinet"/>
    <s v="Asus"/>
    <n v="2100"/>
    <n v="2730"/>
    <n v="3"/>
    <n v="6300"/>
    <n v="8190"/>
    <s v="Ajay Sharma"/>
    <n v="2990"/>
  </r>
  <r>
    <s v="139676"/>
    <s v="HP"/>
    <s v="Rahul Kumar Prajapati"/>
    <s v="29/03/2020"/>
    <s v="Delivered"/>
    <s v="Wireless Keyboard"/>
    <s v="Keyboard"/>
    <s v="Dell"/>
    <n v="1150"/>
    <n v="1495"/>
    <n v="4"/>
    <n v="4600"/>
    <n v="5980"/>
    <s v="Roshan Kumar"/>
    <n v="3315"/>
  </r>
  <r>
    <s v="139677"/>
    <s v="JK"/>
    <s v="Sagar Jeur"/>
    <s v="29/03/2020"/>
    <s v="Shipped"/>
    <s v="USB Mouse"/>
    <s v="Mouse"/>
    <s v="Samsung"/>
    <n v="350"/>
    <n v="455"/>
    <n v="3"/>
    <n v="1050"/>
    <n v="1365"/>
    <s v="Aarvi Gupta"/>
    <n v="1690"/>
  </r>
  <r>
    <s v="139678"/>
    <s v="JH"/>
    <s v="Rhushikesh Mane"/>
    <s v="29/03/2020"/>
    <s v="Order"/>
    <s v="19&quot; LED Display"/>
    <s v="Monitor"/>
    <s v="Dell"/>
    <n v="9500"/>
    <n v="12350"/>
    <n v="1"/>
    <n v="9500"/>
    <n v="12350"/>
    <s v="Vijay Singh"/>
    <n v="9750"/>
  </r>
  <r>
    <s v="139679"/>
    <s v="KA"/>
    <s v="Ashish Kumar"/>
    <s v="29/03/2020"/>
    <s v="Processing"/>
    <s v="11 TB HDD"/>
    <s v="HDD"/>
    <s v="Western Digital"/>
    <n v="10000"/>
    <n v="13000"/>
    <n v="1"/>
    <n v="10000"/>
    <n v="13000"/>
    <s v="Aadil Khan"/>
    <n v="39000"/>
  </r>
  <r>
    <s v="139680"/>
    <s v="KL"/>
    <s v="Javed Akhter"/>
    <s v="29/03/2020"/>
    <s v="Delivered"/>
    <s v="521 GB M.2"/>
    <s v="SSD"/>
    <s v="Samsung"/>
    <n v="6500"/>
    <n v="8450"/>
    <n v="1"/>
    <n v="6500"/>
    <n v="8450"/>
    <s v="Advika Joshi"/>
    <n v="8450"/>
  </r>
  <r>
    <s v="139681"/>
    <s v="MP"/>
    <s v="Haridas Balraj"/>
    <s v="29/03/2020"/>
    <s v="Shipped"/>
    <s v="RYZEN 3rd gen. 3509"/>
    <s v="CPU"/>
    <s v="Intel"/>
    <n v="8500"/>
    <n v="11050"/>
    <n v="2"/>
    <n v="17000"/>
    <n v="22100"/>
    <s v="Ajay Sharma"/>
    <n v="33150"/>
  </r>
  <r>
    <s v="139682"/>
    <s v="MH"/>
    <s v="Kundan Kumar"/>
    <s v="29/03/2020"/>
    <s v="Order"/>
    <s v="2GB Graphic Card"/>
    <s v="Graphic Card"/>
    <s v="Nvidia"/>
    <n v="7000"/>
    <n v="9100"/>
    <n v="4"/>
    <n v="28000"/>
    <n v="36400"/>
    <s v="Roshan Kumar"/>
    <n v="18200"/>
  </r>
  <r>
    <s v="139683"/>
    <s v="MH"/>
    <s v="Atif Siddiqui"/>
    <s v="29/03/2020"/>
    <s v="Processing"/>
    <s v="25 GB DDR4 RAM"/>
    <s v="RAM"/>
    <s v="Hynix"/>
    <n v="6550"/>
    <n v="8515"/>
    <n v="1"/>
    <n v="6550"/>
    <n v="8515"/>
    <s v="Aarvi Gupta"/>
    <n v="25545"/>
  </r>
  <r>
    <s v="139684"/>
    <s v="MH"/>
    <s v="Aditya Agarwal"/>
    <s v="29/03/2020"/>
    <s v="Delivered"/>
    <s v="Standard ATX motherboard"/>
    <s v="MotherBoard"/>
    <s v="Gigabyte"/>
    <n v="7650"/>
    <n v="9945"/>
    <n v="1"/>
    <n v="7650"/>
    <n v="9945"/>
    <s v="Vijay Singh"/>
    <n v="39780"/>
  </r>
  <r>
    <s v="139685"/>
    <s v="MH"/>
    <s v="Firdoush Jabee"/>
    <s v="29/03/2020"/>
    <s v="Shipped"/>
    <s v="Compact with 1 Fan"/>
    <s v="Cabinet"/>
    <s v="Asus"/>
    <n v="1150"/>
    <n v="1495"/>
    <n v="1"/>
    <n v="1150"/>
    <n v="1495"/>
    <s v="Aadil Khan"/>
    <n v="2990"/>
  </r>
  <r>
    <s v="139686"/>
    <s v="MH"/>
    <s v="Jay Prakash Kumar"/>
    <s v="29/03/2020"/>
    <s v="Order"/>
    <s v="USB Backlight Keyboard"/>
    <s v="Keyboard"/>
    <s v="Dell"/>
    <n v="850"/>
    <n v="1105"/>
    <n v="2"/>
    <n v="1700"/>
    <n v="2210"/>
    <s v="Advika Joshi"/>
    <n v="3315"/>
  </r>
  <r>
    <s v="139687"/>
    <s v="MH"/>
    <s v="Ashish Pandey"/>
    <s v="29/03/2020"/>
    <s v="Processing"/>
    <s v="Ergonomic Mouse"/>
    <s v="Mouse"/>
    <s v="Samsung"/>
    <n v="650"/>
    <n v="845"/>
    <n v="3"/>
    <n v="1950"/>
    <n v="2535"/>
    <s v="Ajay Sharma"/>
    <n v="1690"/>
  </r>
  <r>
    <s v="139688"/>
    <s v="MH"/>
    <s v="Ajay Sharma"/>
    <s v="29/03/2020"/>
    <s v="Delivered"/>
    <s v="15&quot; LCD Dsipaly"/>
    <s v="Monitor"/>
    <s v="Dell"/>
    <n v="7500"/>
    <n v="9750"/>
    <n v="4"/>
    <n v="30000"/>
    <n v="39000"/>
    <s v="Roshan Kumar"/>
    <n v="9750"/>
  </r>
  <r>
    <s v="139689"/>
    <s v="MH"/>
    <s v="Moinuddin Saifi"/>
    <s v="29/03/2020"/>
    <s v="Shipped"/>
    <s v="11 TB HDD"/>
    <s v="HDD"/>
    <s v="Seagate"/>
    <n v="10000"/>
    <n v="13000"/>
    <n v="2"/>
    <n v="20000"/>
    <n v="26000"/>
    <s v="Aarvi Gupta"/>
    <n v="39000"/>
  </r>
  <r>
    <s v="139690"/>
    <s v="MH"/>
    <s v="Ramkrishna Das Adhikary"/>
    <s v="29/03/2020"/>
    <s v="Order"/>
    <s v="10 TB SSD"/>
    <s v="SSD"/>
    <s v="Samsung"/>
    <n v="10500"/>
    <n v="13650"/>
    <n v="4"/>
    <n v="42000"/>
    <n v="54600"/>
    <s v="Vijay Singh"/>
    <n v="8450"/>
  </r>
  <r>
    <s v="139691"/>
    <s v="MH"/>
    <s v="Ranjeet Mandal"/>
    <s v="29/03/2020"/>
    <s v="Processing"/>
    <s v="Intel i5 12th gen."/>
    <s v="CPU"/>
    <s v="Intel"/>
    <n v="8500"/>
    <n v="11050"/>
    <n v="4"/>
    <n v="34000"/>
    <n v="44200"/>
    <s v="Aadil Khan"/>
    <n v="33150"/>
  </r>
  <r>
    <s v="139692"/>
    <s v="MH"/>
    <s v="Ashwini Adsare"/>
    <s v="29/03/2020"/>
    <s v="Delivered"/>
    <s v="2GB Graphic Card"/>
    <s v="Graphic Card"/>
    <s v="Nvidia"/>
    <n v="7000"/>
    <n v="9100"/>
    <n v="3"/>
    <n v="21000"/>
    <n v="27300"/>
    <s v="Advika Joshi"/>
    <n v="18200"/>
  </r>
  <r>
    <s v="139693"/>
    <s v="MH"/>
    <s v="Rajesh Variya"/>
    <s v="29/03/2020"/>
    <s v="Shipped"/>
    <s v="13 GB DDR4 Ram"/>
    <s v="RAM"/>
    <s v="Hynix"/>
    <n v="1680"/>
    <n v="2184"/>
    <n v="4"/>
    <n v="6720"/>
    <n v="8736"/>
    <s v="Ajay Sharma"/>
    <n v="25545"/>
  </r>
  <r>
    <s v="139694"/>
    <s v="MH"/>
    <s v="Amit Singh"/>
    <s v="29/03/2020"/>
    <s v="Order"/>
    <s v="Micro ATX motherboard"/>
    <s v="MotherBoard"/>
    <s v="MSI"/>
    <n v="6540"/>
    <n v="8502"/>
    <n v="1"/>
    <n v="6540"/>
    <n v="8502"/>
    <s v="Roshan Kumar"/>
    <n v="39780"/>
  </r>
  <r>
    <s v="139695"/>
    <s v="MH"/>
    <s v="Vinod Mehta"/>
    <s v="29/03/2020"/>
    <s v="Processing"/>
    <s v="Gaming Box Cabinet"/>
    <s v="Cabinet"/>
    <s v="Asus"/>
    <n v="2680"/>
    <n v="3484"/>
    <n v="4"/>
    <n v="10720"/>
    <n v="13936"/>
    <s v="Aarvi Gupta"/>
    <n v="2990"/>
  </r>
  <r>
    <s v="139696"/>
    <s v="MH"/>
    <s v="Jignesh Mhatre"/>
    <s v="29/03/2020"/>
    <s v="Delivered"/>
    <s v="17&quot; LCD Display"/>
    <s v="Monitor"/>
    <s v="Samsung"/>
    <n v="8250"/>
    <n v="10725"/>
    <n v="4"/>
    <n v="33000"/>
    <n v="42900"/>
    <s v="Vijay Singh"/>
    <n v="9750"/>
  </r>
  <r>
    <s v="139697"/>
    <s v="MH"/>
    <s v="Rahul Kashyap"/>
    <s v="29/03/2020"/>
    <s v="Shipped"/>
    <s v="17 GB DDR4 RAM"/>
    <s v="RAM"/>
    <s v="Samsung"/>
    <n v="2650"/>
    <n v="3445"/>
    <n v="4"/>
    <n v="10600"/>
    <n v="13780"/>
    <s v="Aadil Khan"/>
    <n v="25545"/>
  </r>
  <r>
    <s v="139698"/>
    <s v="MH"/>
    <s v="Mohammed Abdul Kaleem"/>
    <s v="29/03/2020"/>
    <s v="Order"/>
    <s v="26&quot; LCD Display"/>
    <s v="Monitor"/>
    <s v="Acer"/>
    <n v="12550"/>
    <n v="16315"/>
    <n v="4"/>
    <n v="50200"/>
    <n v="65260"/>
    <s v="Advika Joshi"/>
    <n v="9750"/>
  </r>
  <r>
    <s v="139699"/>
    <s v="MH"/>
    <s v="Chandrakant Kasbe"/>
    <s v="29/03/2020"/>
    <s v="Processing"/>
    <s v="I7 - intel 12th Generation"/>
    <s v="CPU"/>
    <s v="Intel"/>
    <n v="14500"/>
    <n v="18850"/>
    <n v="2"/>
    <n v="29000"/>
    <n v="37700"/>
    <s v="Ajay Sharma"/>
    <n v="33150"/>
  </r>
  <r>
    <s v="139700"/>
    <s v="MH"/>
    <s v="Rohan Kale"/>
    <s v="29/03/2020"/>
    <s v="Delivered"/>
    <s v="USB Keyboard"/>
    <s v="Keyboard"/>
    <s v="Dell"/>
    <n v="800"/>
    <n v="1040"/>
    <n v="2"/>
    <n v="1600"/>
    <n v="2080"/>
    <s v="Roshan Kumar"/>
    <n v="3315"/>
  </r>
  <r>
    <s v="139701"/>
    <s v="MH"/>
    <s v="Aniruddha Kekapure"/>
    <s v="29/03/2020"/>
    <s v="Shipped"/>
    <s v="Wireless Mouse"/>
    <s v="Mouse"/>
    <s v="Samsung"/>
    <n v="600"/>
    <n v="780"/>
    <n v="4"/>
    <n v="2400"/>
    <n v="3120"/>
    <s v="Aarvi Gupta"/>
    <n v="1690"/>
  </r>
  <r>
    <s v="139702"/>
    <s v="MH"/>
    <s v="Aslam Raza"/>
    <s v="29/03/2020"/>
    <s v="Order"/>
    <s v="21&quot; LCD Display"/>
    <s v="Monitor"/>
    <s v="Dell"/>
    <n v="10500"/>
    <n v="13650"/>
    <n v="2"/>
    <n v="21000"/>
    <n v="27300"/>
    <s v="Vijay Singh"/>
    <n v="9750"/>
  </r>
  <r>
    <s v="139703"/>
    <s v="MH"/>
    <s v="Roshan Zameer"/>
    <s v="29/03/2020"/>
    <s v="Processing"/>
    <s v="11 TB HDD"/>
    <s v="HDD"/>
    <s v="Western Digital"/>
    <n v="6500"/>
    <n v="8450"/>
    <n v="3"/>
    <n v="19500"/>
    <n v="25350"/>
    <s v="Aadil Khan"/>
    <n v="39000"/>
  </r>
  <r>
    <s v="139704"/>
    <s v="MH"/>
    <s v="Rakesh Kumar Sharma"/>
    <s v="29/03/2020"/>
    <s v="Delivered"/>
    <s v="266 GB SSD"/>
    <s v="SSD"/>
    <s v="Samsung"/>
    <n v="4500"/>
    <n v="5850"/>
    <n v="3"/>
    <n v="13500"/>
    <n v="17550"/>
    <s v="Advika Joshi"/>
    <n v="8450"/>
  </r>
  <r>
    <s v="139705"/>
    <s v="MH"/>
    <s v="Shivanand Sahani"/>
    <s v="29/03/2020"/>
    <s v="Shipped"/>
    <s v="Intel i3 11th gen."/>
    <s v="CPU"/>
    <s v="Intel"/>
    <n v="8500"/>
    <n v="11050"/>
    <n v="3"/>
    <n v="25500"/>
    <n v="33150"/>
    <s v="Ajay Sharma"/>
    <n v="33150"/>
  </r>
  <r>
    <s v="139706"/>
    <s v="MH"/>
    <s v="Kunal Patra"/>
    <s v="29/03/2020"/>
    <s v="Order"/>
    <s v="4GB Graphic card"/>
    <s v="Graphic Card"/>
    <s v="Nvidia"/>
    <n v="12500"/>
    <n v="16250"/>
    <n v="1"/>
    <n v="12500"/>
    <n v="16250"/>
    <s v="Roshan Kumar"/>
    <n v="18200"/>
  </r>
  <r>
    <s v="139707"/>
    <s v="MH"/>
    <s v="Bijendra"/>
    <s v="29/03/2020"/>
    <s v="Processing"/>
    <s v="18 GB DDR4 RAM"/>
    <s v="Computer Case"/>
    <s v="Hynix"/>
    <n v="3500"/>
    <n v="4550"/>
    <n v="4"/>
    <n v="14000"/>
    <n v="18200"/>
    <s v="Aarvi Gupta"/>
    <n v="13650"/>
  </r>
  <r>
    <s v="139708"/>
    <s v="MH"/>
    <s v="Kranti Bheke"/>
    <s v="29/03/2020"/>
    <s v="Delivered"/>
    <s v="BTX motherboard"/>
    <s v="Mouse"/>
    <s v="Gigabyte"/>
    <n v="4500"/>
    <n v="5850"/>
    <n v="4"/>
    <n v="18000"/>
    <n v="23400"/>
    <s v="Vijay Singh"/>
    <n v="1690"/>
  </r>
  <r>
    <s v="139709"/>
    <s v="MH"/>
    <s v="Jagdeep"/>
    <s v="29/03/2020"/>
    <s v="Shipped"/>
    <s v="13 Fans Cabinet"/>
    <s v="Cabinet"/>
    <s v="Asus"/>
    <n v="2100"/>
    <n v="2730"/>
    <n v="2"/>
    <n v="4200"/>
    <n v="5460"/>
    <s v="Aadil Khan"/>
    <n v="2990"/>
  </r>
  <r>
    <s v="139710"/>
    <s v="MH"/>
    <s v="Adhir Samal"/>
    <s v="29/03/2020"/>
    <s v="Order"/>
    <s v="Wireless Keyboard"/>
    <s v="Keyboard"/>
    <s v="Dell"/>
    <n v="1150"/>
    <n v="1495"/>
    <n v="4"/>
    <n v="4600"/>
    <n v="5980"/>
    <s v="Advika Joshi"/>
    <n v="3315"/>
  </r>
  <r>
    <s v="139711"/>
    <s v="MH"/>
    <s v="Dannana Jhammi"/>
    <s v="29/03/2020"/>
    <s v="Processing"/>
    <s v="USB Mouse"/>
    <s v="Mouse"/>
    <s v="Samsung"/>
    <n v="350"/>
    <n v="455"/>
    <n v="1"/>
    <n v="350"/>
    <n v="455"/>
    <s v="Ajay Sharma"/>
    <n v="1690"/>
  </r>
  <r>
    <s v="139712"/>
    <s v="MH"/>
    <s v="Vipin Kumar"/>
    <s v="29/03/2020"/>
    <s v="Delivered"/>
    <s v="19&quot; LED Display"/>
    <s v="Monitor"/>
    <s v="Dell"/>
    <n v="9500"/>
    <n v="12350"/>
    <n v="2"/>
    <n v="19000"/>
    <n v="24700"/>
    <s v="Roshan Kumar"/>
    <n v="9750"/>
  </r>
  <r>
    <s v="139713"/>
    <s v="MH"/>
    <s v="Ranjeet Kumar"/>
    <s v="30/03/2020"/>
    <s v="Shipped"/>
    <s v="12 TB HDD"/>
    <s v="HDD"/>
    <s v="Western Digital"/>
    <n v="10000"/>
    <n v="13000"/>
    <n v="4"/>
    <n v="40000"/>
    <n v="52000"/>
    <s v="Aarvi Gupta"/>
    <n v="39000"/>
  </r>
  <r>
    <s v="139714"/>
    <s v="MH"/>
    <s v="Sajal Singhal"/>
    <s v="30/03/2020"/>
    <s v="Order"/>
    <s v="522 GB M.2"/>
    <s v="SSD"/>
    <s v="Samsung"/>
    <n v="6500"/>
    <n v="8450"/>
    <n v="3"/>
    <n v="19500"/>
    <n v="25350"/>
    <s v="Vijay Singh"/>
    <n v="8450"/>
  </r>
  <r>
    <s v="139715"/>
    <s v="MH"/>
    <s v="Akhilesh Kumar"/>
    <s v="30/03/2020"/>
    <s v="Processing"/>
    <s v="RYZEN 3rd gen. 3510"/>
    <s v="CPU"/>
    <s v="Intel"/>
    <n v="8500"/>
    <n v="11050"/>
    <n v="1"/>
    <n v="8500"/>
    <n v="11050"/>
    <s v="Aadil Khan"/>
    <n v="33150"/>
  </r>
  <r>
    <s v="139716"/>
    <s v="MH"/>
    <s v="Suvankar Chakraborty"/>
    <s v="30/03/2020"/>
    <s v="Delivered"/>
    <s v="2GB Graphic Card"/>
    <s v="Graphic Card"/>
    <s v="Nvidia"/>
    <n v="7000"/>
    <n v="9100"/>
    <n v="4"/>
    <n v="28000"/>
    <n v="36400"/>
    <s v="Advika Joshi"/>
    <n v="18200"/>
  </r>
  <r>
    <s v="139717"/>
    <s v="MH"/>
    <s v="Suvankar Adhikary"/>
    <s v="30/03/2020"/>
    <s v="Shipped"/>
    <s v="26 GB DDR4 RAM"/>
    <s v="Computer Case"/>
    <s v="Hynix"/>
    <n v="6550"/>
    <n v="8515"/>
    <n v="2"/>
    <n v="13100"/>
    <n v="17030"/>
    <s v="Ajay Sharma"/>
    <n v="13650"/>
  </r>
  <r>
    <s v="139718"/>
    <s v="MH"/>
    <s v="Rahul Kumar Prajapati"/>
    <s v="30/03/2020"/>
    <s v="Order"/>
    <s v="Standard ATX motherboard"/>
    <s v="Mouse"/>
    <s v="Gigabyte"/>
    <n v="7650"/>
    <n v="9945"/>
    <n v="2"/>
    <n v="15300"/>
    <n v="19890"/>
    <s v="Roshan Kumar"/>
    <n v="1690"/>
  </r>
  <r>
    <s v="139719"/>
    <s v="MH"/>
    <s v="Sagar Jeur"/>
    <s v="30/03/2020"/>
    <s v="Processing"/>
    <s v="Compact with 1 Fan"/>
    <s v="Cabinet"/>
    <s v="Asus"/>
    <n v="1150"/>
    <n v="1495"/>
    <n v="4"/>
    <n v="4600"/>
    <n v="5980"/>
    <s v="Aarvi Gupta"/>
    <n v="2990"/>
  </r>
  <r>
    <s v="139720"/>
    <s v="MH"/>
    <s v="Rhushikesh Mane"/>
    <s v="30/03/2020"/>
    <s v="Delivered"/>
    <s v="USB Backlight Keyboard"/>
    <s v="Keyboard"/>
    <s v="Dell"/>
    <n v="850"/>
    <n v="1105"/>
    <n v="4"/>
    <n v="3400"/>
    <n v="4420"/>
    <s v="Vijay Singh"/>
    <n v="3315"/>
  </r>
  <r>
    <s v="139721"/>
    <s v="MH"/>
    <s v="Ashish Kumar"/>
    <s v="30/03/2020"/>
    <s v="Shipped"/>
    <s v="Ergonomic Mouse"/>
    <s v="Mouse"/>
    <s v="Samsung"/>
    <n v="650"/>
    <n v="845"/>
    <n v="1"/>
    <n v="650"/>
    <n v="845"/>
    <s v="Aadil Khan"/>
    <n v="1690"/>
  </r>
  <r>
    <s v="139722"/>
    <s v="MH"/>
    <s v="Javed Akhter"/>
    <s v="30/03/2020"/>
    <s v="Order"/>
    <s v="15&quot; LCD Dsipaly"/>
    <s v="Monitor"/>
    <s v="Dell"/>
    <n v="7500"/>
    <n v="9750"/>
    <n v="2"/>
    <n v="15000"/>
    <n v="19500"/>
    <s v="Advika Joshi"/>
    <n v="9750"/>
  </r>
  <r>
    <s v="139723"/>
    <s v="MH"/>
    <s v="Haridas Balraj"/>
    <s v="30/03/2020"/>
    <s v="Processing"/>
    <s v="12 TB HDD"/>
    <s v="HDD"/>
    <s v="Seagate"/>
    <n v="10000"/>
    <n v="13000"/>
    <n v="2"/>
    <n v="20000"/>
    <n v="26000"/>
    <s v="Ajay Sharma"/>
    <n v="39000"/>
  </r>
  <r>
    <s v="139724"/>
    <s v="MH"/>
    <s v="Kundan Kumar"/>
    <s v="30/03/2020"/>
    <s v="Delivered"/>
    <s v="11 TB SSD"/>
    <s v="SSD"/>
    <s v="Samsung"/>
    <n v="10500"/>
    <n v="13650"/>
    <n v="4"/>
    <n v="42000"/>
    <n v="54600"/>
    <s v="Roshan Kumar"/>
    <n v="8450"/>
  </r>
  <r>
    <s v="139725"/>
    <s v="MH"/>
    <s v="Atif Siddiqui"/>
    <s v="30/03/2020"/>
    <s v="Shipped"/>
    <s v="Intel i5 12th gen."/>
    <s v="CPU"/>
    <s v="Intel"/>
    <n v="8500"/>
    <n v="11050"/>
    <n v="3"/>
    <n v="25500"/>
    <n v="33150"/>
    <s v="Aarvi Gupta"/>
    <n v="33150"/>
  </r>
  <r>
    <s v="139726"/>
    <s v="MH"/>
    <s v="Aditya Agarwal"/>
    <s v="30/03/2020"/>
    <s v="Order"/>
    <s v="2GB Graphic Card"/>
    <s v="Graphic Card"/>
    <s v="Nvidia"/>
    <n v="7000"/>
    <n v="9100"/>
    <n v="4"/>
    <n v="28000"/>
    <n v="36400"/>
    <s v="Vijay Singh"/>
    <n v="18200"/>
  </r>
  <r>
    <s v="139727"/>
    <s v="MH"/>
    <s v="Firdoush Jabee"/>
    <s v="30/03/2020"/>
    <s v="Processing"/>
    <s v="14 GB DDR4 Ram"/>
    <s v="Computer Case"/>
    <s v="Hynix"/>
    <n v="1680"/>
    <n v="2184"/>
    <n v="4"/>
    <n v="6720"/>
    <n v="8736"/>
    <s v="Aadil Khan"/>
    <n v="13650"/>
  </r>
  <r>
    <s v="139728"/>
    <s v="MH"/>
    <s v="Jay Prakash Kumar"/>
    <s v="30/03/2020"/>
    <s v="Delivered"/>
    <s v="Micro ATX motherboard"/>
    <s v="Mouse"/>
    <s v="MSI"/>
    <n v="6540"/>
    <n v="8502"/>
    <n v="3"/>
    <n v="19620"/>
    <n v="25506"/>
    <s v="Advika Joshi"/>
    <n v="1690"/>
  </r>
  <r>
    <s v="139729"/>
    <s v="MH"/>
    <s v="Ashish Pandey"/>
    <s v="30/03/2020"/>
    <s v="Shipped"/>
    <s v="Gaming Box Cabinet"/>
    <s v="Cabinet"/>
    <s v="Asus"/>
    <n v="2680"/>
    <n v="3484"/>
    <n v="1"/>
    <n v="2680"/>
    <n v="3484"/>
    <s v="Ajay Sharma"/>
    <n v="2990"/>
  </r>
  <r>
    <s v="139730"/>
    <s v="MH"/>
    <s v="Ajay Sharma"/>
    <s v="30/03/2020"/>
    <s v="Order"/>
    <s v="17&quot; LCD Display"/>
    <s v="Monitor"/>
    <s v="Samsung"/>
    <n v="8250"/>
    <n v="10725"/>
    <n v="3"/>
    <n v="24750"/>
    <n v="32175"/>
    <s v="Roshan Kumar"/>
    <n v="9750"/>
  </r>
  <r>
    <s v="139731"/>
    <s v="MH"/>
    <s v="Moinuddin Saifi"/>
    <s v="30/03/2020"/>
    <s v="Processing"/>
    <s v="18 GB DDR4 RAM"/>
    <s v="RAM"/>
    <s v="Samsung"/>
    <n v="2650"/>
    <n v="3445"/>
    <n v="1"/>
    <n v="2650"/>
    <n v="3445"/>
    <s v="Aarvi Gupta"/>
    <n v="25545"/>
  </r>
  <r>
    <s v="139732"/>
    <s v="MH"/>
    <s v="Ramkrishna Das Adhikary"/>
    <s v="30/03/2020"/>
    <s v="Delivered"/>
    <s v="26&quot; LCD Display"/>
    <s v="Monitor"/>
    <s v="Acer"/>
    <n v="12550"/>
    <n v="16315"/>
    <n v="3"/>
    <n v="37650"/>
    <n v="48945"/>
    <s v="Vijay Singh"/>
    <n v="9750"/>
  </r>
  <r>
    <s v="139733"/>
    <s v="MH"/>
    <s v="Ranjeet Mandal"/>
    <s v="30/03/2020"/>
    <s v="Shipped"/>
    <s v="I7 - intel 12th Generation"/>
    <s v="CPU"/>
    <s v="Intel"/>
    <n v="14500"/>
    <n v="18850"/>
    <n v="2"/>
    <n v="29000"/>
    <n v="37700"/>
    <s v="Aadil Khan"/>
    <n v="33150"/>
  </r>
  <r>
    <s v="139734"/>
    <s v="MH"/>
    <s v="Ashwini Adsare"/>
    <s v="30/03/2020"/>
    <s v="Order"/>
    <s v="USB Keyboard"/>
    <s v="Keyboard"/>
    <s v="Dell"/>
    <n v="800"/>
    <n v="1040"/>
    <n v="3"/>
    <n v="2400"/>
    <n v="3120"/>
    <s v="Advika Joshi"/>
    <n v="3315"/>
  </r>
  <r>
    <s v="139735"/>
    <s v="MH"/>
    <s v="Rajesh Variya"/>
    <s v="30/03/2020"/>
    <s v="Processing"/>
    <s v="Wireless Mouse"/>
    <s v="Mouse"/>
    <s v="Samsung"/>
    <n v="600"/>
    <n v="780"/>
    <n v="4"/>
    <n v="2400"/>
    <n v="3120"/>
    <s v="Ajay Sharma"/>
    <n v="1690"/>
  </r>
  <r>
    <s v="139736"/>
    <s v="MH"/>
    <s v="Amit Singh"/>
    <s v="30/03/2020"/>
    <s v="Delivered"/>
    <s v="21&quot; LCD Display"/>
    <s v="Monitor"/>
    <s v="Dell"/>
    <n v="10500"/>
    <n v="13650"/>
    <n v="1"/>
    <n v="10500"/>
    <n v="13650"/>
    <s v="Roshan Kumar"/>
    <n v="9750"/>
  </r>
  <r>
    <s v="139737"/>
    <s v="MH"/>
    <s v="Vinod Mehta"/>
    <s v="30/03/2020"/>
    <s v="Shipped"/>
    <s v="12 TB HDD"/>
    <s v="HDD"/>
    <s v="Western Digital"/>
    <n v="6500"/>
    <n v="8450"/>
    <n v="3"/>
    <n v="19500"/>
    <n v="25350"/>
    <s v="Aarvi Gupta"/>
    <n v="39000"/>
  </r>
  <r>
    <s v="139738"/>
    <s v="MH"/>
    <s v="Jignesh Mhatre"/>
    <s v="30/03/2020"/>
    <s v="Order"/>
    <s v="267 GB SSD"/>
    <s v="SSD"/>
    <s v="Samsung"/>
    <n v="4500"/>
    <n v="5850"/>
    <n v="3"/>
    <n v="13500"/>
    <n v="17550"/>
    <s v="Vijay Singh"/>
    <n v="8450"/>
  </r>
  <r>
    <s v="139739"/>
    <s v="MH"/>
    <s v="Rahul Kashyap"/>
    <s v="30/03/2020"/>
    <s v="Processing"/>
    <s v="Intel i3 11th gen."/>
    <s v="CPU"/>
    <s v="Intel"/>
    <n v="8500"/>
    <n v="11050"/>
    <n v="3"/>
    <n v="25500"/>
    <n v="33150"/>
    <s v="Aadil Khan"/>
    <n v="33150"/>
  </r>
  <r>
    <s v="139740"/>
    <s v="MH"/>
    <s v="Mohammed Abdul Kaleem"/>
    <s v="30/03/2020"/>
    <s v="Delivered"/>
    <s v="4GB Graphic card"/>
    <s v="Graphic Card"/>
    <s v="Nvidia"/>
    <n v="12500"/>
    <n v="16250"/>
    <n v="3"/>
    <n v="37500"/>
    <n v="48750"/>
    <s v="Advika Joshi"/>
    <n v="18200"/>
  </r>
  <r>
    <s v="139741"/>
    <s v="MH"/>
    <s v="Chandrakant Kasbe"/>
    <s v="30/03/2020"/>
    <s v="Shipped"/>
    <s v="19 GB DDR4 RAM"/>
    <s v="NIC"/>
    <s v="Hynix"/>
    <n v="3500"/>
    <n v="4550"/>
    <n v="2"/>
    <n v="7000"/>
    <n v="9100"/>
    <s v="Ajay Sharma"/>
    <n v="9100"/>
  </r>
  <r>
    <s v="139742"/>
    <s v="MH"/>
    <s v="Rohan Kale"/>
    <s v="30/03/2020"/>
    <s v="Order"/>
    <s v="BTX motherboard"/>
    <s v="Printer"/>
    <s v="Gigabyte"/>
    <n v="4500"/>
    <n v="5850"/>
    <n v="3"/>
    <n v="13500"/>
    <n v="17550"/>
    <s v="Roshan Kumar"/>
    <n v="11700"/>
  </r>
  <r>
    <s v="139743"/>
    <s v="MH"/>
    <s v="Aniruddha Kekapure"/>
    <s v="30/03/2020"/>
    <s v="Processing"/>
    <s v="14 Fans Cabinet"/>
    <s v="Cabinet"/>
    <s v="Asus"/>
    <n v="2100"/>
    <n v="2730"/>
    <n v="3"/>
    <n v="6300"/>
    <n v="8190"/>
    <s v="Aarvi Gupta"/>
    <n v="2990"/>
  </r>
  <r>
    <s v="139744"/>
    <s v="MH"/>
    <s v="Aslam Raza"/>
    <s v="30/03/2020"/>
    <s v="Delivered"/>
    <s v="Wireless Keyboard"/>
    <s v="Keyboard"/>
    <s v="Dell"/>
    <n v="1150"/>
    <n v="1495"/>
    <n v="4"/>
    <n v="4600"/>
    <n v="5980"/>
    <s v="Vijay Singh"/>
    <n v="3315"/>
  </r>
  <r>
    <s v="139745"/>
    <s v="MH"/>
    <s v="Roshan Zameer"/>
    <s v="30/03/2020"/>
    <s v="Shipped"/>
    <s v="USB Mouse"/>
    <s v="Mouse"/>
    <s v="Samsung"/>
    <n v="350"/>
    <n v="455"/>
    <n v="3"/>
    <n v="1050"/>
    <n v="1365"/>
    <s v="Aadil Khan"/>
    <n v="1690"/>
  </r>
  <r>
    <s v="139746"/>
    <s v="MH"/>
    <s v="Rakesh Kumar Sharma"/>
    <s v="30/03/2020"/>
    <s v="Order"/>
    <s v="19&quot; LED Display"/>
    <s v="Monitor"/>
    <s v="Dell"/>
    <n v="9500"/>
    <n v="12350"/>
    <n v="4"/>
    <n v="38000"/>
    <n v="49400"/>
    <s v="Advika Joshi"/>
    <n v="9750"/>
  </r>
  <r>
    <s v="139747"/>
    <s v="MH"/>
    <s v="Shivanand Sahani"/>
    <s v="30/03/2020"/>
    <s v="Processing"/>
    <s v="13 TB HDD"/>
    <s v="HDD"/>
    <s v="Western Digital"/>
    <n v="10000"/>
    <n v="13000"/>
    <n v="1"/>
    <n v="10000"/>
    <n v="13000"/>
    <s v="Ajay Sharma"/>
    <n v="39000"/>
  </r>
  <r>
    <s v="139748"/>
    <s v="MH"/>
    <s v="Kunal Patra"/>
    <s v="30/03/2020"/>
    <s v="Delivered"/>
    <s v="523 GB M.2"/>
    <s v="SSD"/>
    <s v="Samsung"/>
    <n v="6500"/>
    <n v="8450"/>
    <n v="4"/>
    <n v="26000"/>
    <n v="33800"/>
    <s v="Roshan Kumar"/>
    <n v="8450"/>
  </r>
  <r>
    <s v="139749"/>
    <s v="MH"/>
    <s v="Bijendra"/>
    <s v="30/03/2020"/>
    <s v="Shipped"/>
    <s v="RYZEN 3rd gen. 3511"/>
    <s v="CPU"/>
    <s v="Intel"/>
    <n v="8500"/>
    <n v="11050"/>
    <n v="2"/>
    <n v="17000"/>
    <n v="22100"/>
    <s v="Aarvi Gupta"/>
    <n v="33150"/>
  </r>
  <r>
    <s v="139750"/>
    <s v="MH"/>
    <s v="Kranti Bheke"/>
    <s v="30/03/2020"/>
    <s v="Order"/>
    <s v="2GB Graphic Card"/>
    <s v="Graphic Card"/>
    <s v="Nvidia"/>
    <n v="7000"/>
    <n v="9100"/>
    <n v="1"/>
    <n v="7000"/>
    <n v="9100"/>
    <s v="Vijay Singh"/>
    <n v="18200"/>
  </r>
  <r>
    <s v="139751"/>
    <s v="MH"/>
    <s v="Jagdeep"/>
    <s v="30/03/2020"/>
    <s v="Processing"/>
    <s v="27 GB DDR4 RAM"/>
    <s v="NIC"/>
    <s v="Hynix"/>
    <n v="6550"/>
    <n v="8515"/>
    <n v="3"/>
    <n v="19650"/>
    <n v="25545"/>
    <s v="Aadil Khan"/>
    <n v="9100"/>
  </r>
  <r>
    <s v="139752"/>
    <s v="MH"/>
    <s v="Adhir Samal"/>
    <s v="30/03/2020"/>
    <s v="Delivered"/>
    <s v="Standard ATX motherboard"/>
    <s v="Printer"/>
    <s v="Gigabyte"/>
    <n v="7650"/>
    <n v="9945"/>
    <n v="1"/>
    <n v="7650"/>
    <n v="9945"/>
    <s v="Advika Joshi"/>
    <n v="11700"/>
  </r>
  <r>
    <s v="139753"/>
    <s v="MH"/>
    <s v="Dannana Jhammi"/>
    <s v="30/03/2020"/>
    <s v="Shipped"/>
    <s v="Compact with 1 Fan"/>
    <s v="Cabinet"/>
    <s v="Asus"/>
    <n v="1150"/>
    <n v="1495"/>
    <n v="3"/>
    <n v="3450"/>
    <n v="4485"/>
    <s v="Ajay Sharma"/>
    <n v="2990"/>
  </r>
  <r>
    <s v="139754"/>
    <s v="MH"/>
    <s v="Vipin Kumar"/>
    <s v="30/03/2020"/>
    <s v="Order"/>
    <s v="USB Backlight Keyboard"/>
    <s v="Keyboard"/>
    <s v="Dell"/>
    <n v="850"/>
    <n v="1105"/>
    <n v="4"/>
    <n v="3400"/>
    <n v="4420"/>
    <s v="Roshan Kumar"/>
    <n v="3315"/>
  </r>
  <r>
    <s v="139755"/>
    <s v="MH"/>
    <s v="Ranjeet Kumar"/>
    <s v="30/03/2020"/>
    <s v="Processing"/>
    <s v="Ergonomic Mouse"/>
    <s v="Mouse"/>
    <s v="Samsung"/>
    <n v="650"/>
    <n v="845"/>
    <n v="4"/>
    <n v="2600"/>
    <n v="3380"/>
    <s v="Aarvi Gupta"/>
    <n v="1690"/>
  </r>
  <r>
    <s v="139756"/>
    <s v="MH"/>
    <s v="Sajal Singhal"/>
    <s v="30/03/2020"/>
    <s v="Delivered"/>
    <s v="15&quot; LCD Dsipaly"/>
    <s v="Monitor"/>
    <s v="Dell"/>
    <n v="7500"/>
    <n v="9750"/>
    <n v="2"/>
    <n v="15000"/>
    <n v="19500"/>
    <s v="Vijay Singh"/>
    <n v="9750"/>
  </r>
  <r>
    <s v="139757"/>
    <s v="MH"/>
    <s v="Akhilesh Kumar"/>
    <s v="30/03/2020"/>
    <s v="Shipped"/>
    <s v="13 TB HDD"/>
    <s v="HDD"/>
    <s v="Seagate"/>
    <n v="10000"/>
    <n v="13000"/>
    <n v="1"/>
    <n v="10000"/>
    <n v="13000"/>
    <s v="Aadil Khan"/>
    <n v="39000"/>
  </r>
  <r>
    <s v="139758"/>
    <s v="MH"/>
    <s v="Suvankar Chakraborty"/>
    <s v="30/03/2020"/>
    <s v="Order"/>
    <s v="12 TB SSD"/>
    <s v="SSD"/>
    <s v="Samsung"/>
    <n v="10500"/>
    <n v="13650"/>
    <n v="1"/>
    <n v="10500"/>
    <n v="13650"/>
    <s v="Advika Joshi"/>
    <n v="8450"/>
  </r>
  <r>
    <s v="139759"/>
    <s v="MH"/>
    <s v="Suvankar Adhikary"/>
    <s v="30/03/2020"/>
    <s v="Processing"/>
    <s v="Intel i5 12th gen."/>
    <s v="CPU"/>
    <s v="Intel"/>
    <n v="8500"/>
    <n v="11050"/>
    <n v="4"/>
    <n v="34000"/>
    <n v="44200"/>
    <s v="Ajay Sharma"/>
    <n v="33150"/>
  </r>
  <r>
    <s v="139760"/>
    <s v="MH"/>
    <s v="Rahul Kumar Prajapati"/>
    <s v="30/03/2020"/>
    <s v="Delivered"/>
    <s v="2GB Graphic Card"/>
    <s v="Graphic Card"/>
    <s v="Nvidia"/>
    <n v="7000"/>
    <n v="9100"/>
    <n v="2"/>
    <n v="14000"/>
    <n v="18200"/>
    <s v="Roshan Kumar"/>
    <n v="18200"/>
  </r>
  <r>
    <s v="139761"/>
    <s v="MH"/>
    <s v="Sagar Jeur"/>
    <s v="30/03/2020"/>
    <s v="Shipped"/>
    <s v="15 GB DDR4 Ram"/>
    <s v="NIC"/>
    <s v="Hynix"/>
    <n v="1680"/>
    <n v="2184"/>
    <n v="1"/>
    <n v="1680"/>
    <n v="2184"/>
    <s v="Aarvi Gupta"/>
    <n v="9100"/>
  </r>
  <r>
    <s v="139762"/>
    <s v="MH"/>
    <s v="Rhushikesh Mane"/>
    <s v="30/03/2020"/>
    <s v="Order"/>
    <s v="Micro ATX motherboard"/>
    <s v="Printer"/>
    <s v="MSI"/>
    <n v="6540"/>
    <n v="8502"/>
    <n v="3"/>
    <n v="19620"/>
    <n v="25506"/>
    <s v="Vijay Singh"/>
    <n v="11700"/>
  </r>
  <r>
    <s v="139763"/>
    <s v="MH"/>
    <s v="Ashish Kumar"/>
    <s v="30/03/2020"/>
    <s v="Processing"/>
    <s v="Gaming Box Cabinet"/>
    <s v="Cabinet"/>
    <s v="Asus"/>
    <n v="2680"/>
    <n v="3484"/>
    <n v="1"/>
    <n v="2680"/>
    <n v="3484"/>
    <s v="Aadil Khan"/>
    <n v="2990"/>
  </r>
  <r>
    <s v="139764"/>
    <s v="MH"/>
    <s v="Javed Akhter"/>
    <s v="30/03/2020"/>
    <s v="Delivered"/>
    <s v="17&quot; LCD Display"/>
    <s v="Monitor"/>
    <s v="Samsung"/>
    <n v="8250"/>
    <n v="10725"/>
    <n v="4"/>
    <n v="33000"/>
    <n v="42900"/>
    <s v="Advika Joshi"/>
    <n v="9750"/>
  </r>
  <r>
    <s v="139765"/>
    <s v="MH"/>
    <s v="Haridas Balraj"/>
    <s v="30/03/2020"/>
    <s v="Shipped"/>
    <s v="19 GB DDR4 RAM"/>
    <s v="RAM"/>
    <s v="Samsung"/>
    <n v="2650"/>
    <n v="3445"/>
    <n v="3"/>
    <n v="7950"/>
    <n v="10335"/>
    <s v="Ajay Sharma"/>
    <n v="25545"/>
  </r>
  <r>
    <s v="139766"/>
    <s v="MH"/>
    <s v="Kundan Kumar"/>
    <s v="30/03/2020"/>
    <s v="Order"/>
    <s v="26&quot; LCD Display"/>
    <s v="Monitor"/>
    <s v="Acer"/>
    <n v="12550"/>
    <n v="16315"/>
    <n v="1"/>
    <n v="12550"/>
    <n v="16315"/>
    <s v="Roshan Kumar"/>
    <n v="9750"/>
  </r>
  <r>
    <s v="139767"/>
    <s v="MH"/>
    <s v="Atif Siddiqui"/>
    <s v="30/03/2020"/>
    <s v="Processing"/>
    <s v="I7 - intel 12th Generation"/>
    <s v="CPU"/>
    <s v="Intel"/>
    <n v="14500"/>
    <n v="18850"/>
    <n v="1"/>
    <n v="14500"/>
    <n v="18850"/>
    <s v="Aarvi Gupta"/>
    <n v="33150"/>
  </r>
  <r>
    <s v="139768"/>
    <s v="MH"/>
    <s v="Aditya Agarwal"/>
    <s v="30/03/2020"/>
    <s v="Delivered"/>
    <s v="USB Keyboard"/>
    <s v="Keyboard"/>
    <s v="Dell"/>
    <n v="800"/>
    <n v="1040"/>
    <n v="1"/>
    <n v="800"/>
    <n v="1040"/>
    <s v="Vijay Singh"/>
    <n v="3315"/>
  </r>
  <r>
    <s v="139769"/>
    <s v="MH"/>
    <s v="Firdoush Jabee"/>
    <s v="30/03/2020"/>
    <s v="Shipped"/>
    <s v="Wireless Mouse"/>
    <s v="Mouse"/>
    <s v="Samsung"/>
    <n v="600"/>
    <n v="780"/>
    <n v="1"/>
    <n v="600"/>
    <n v="780"/>
    <s v="Aadil Khan"/>
    <n v="1690"/>
  </r>
  <r>
    <s v="139770"/>
    <s v="MH"/>
    <s v="Jay Prakash Kumar"/>
    <s v="30/03/2020"/>
    <s v="Order"/>
    <s v="21&quot; LCD Display"/>
    <s v="Monitor"/>
    <s v="Dell"/>
    <n v="10500"/>
    <n v="13650"/>
    <n v="1"/>
    <n v="10500"/>
    <n v="13650"/>
    <s v="Advika Joshi"/>
    <n v="9750"/>
  </r>
  <r>
    <s v="139771"/>
    <s v="MH"/>
    <s v="Ashish Pandey"/>
    <s v="30/03/2020"/>
    <s v="Processing"/>
    <s v="13 TB HDD"/>
    <s v="HDD"/>
    <s v="Western Digital"/>
    <n v="6500"/>
    <n v="8450"/>
    <n v="3"/>
    <n v="19500"/>
    <n v="25350"/>
    <s v="Ajay Sharma"/>
    <n v="39000"/>
  </r>
  <r>
    <s v="139772"/>
    <s v="MH"/>
    <s v="Ajay Sharma"/>
    <s v="30/03/2020"/>
    <s v="Delivered"/>
    <s v="268 GB SSD"/>
    <s v="SSD"/>
    <s v="Samsung"/>
    <n v="4500"/>
    <n v="5850"/>
    <n v="4"/>
    <n v="18000"/>
    <n v="23400"/>
    <s v="Ajay Sharma"/>
    <n v="8450"/>
  </r>
  <r>
    <s v="139773"/>
    <s v="MH"/>
    <s v="Moinuddin Saifi"/>
    <s v="30/03/2020"/>
    <s v="Shipped"/>
    <s v="Intel i3 11th gen."/>
    <s v="CPU"/>
    <s v="Intel"/>
    <n v="8500"/>
    <n v="11050"/>
    <n v="1"/>
    <n v="8500"/>
    <n v="11050"/>
    <s v="Roshan Kumar"/>
    <n v="33150"/>
  </r>
  <r>
    <s v="139774"/>
    <s v="MH"/>
    <s v="Ramkrishna Das Adhikary"/>
    <s v="30/03/2020"/>
    <s v="Order"/>
    <s v="4GB Graphic card"/>
    <s v="Graphic Card"/>
    <s v="Nvidia"/>
    <n v="12500"/>
    <n v="16250"/>
    <n v="4"/>
    <n v="50000"/>
    <n v="65000"/>
    <s v="Aarvi Gupta"/>
    <n v="18200"/>
  </r>
  <r>
    <s v="139775"/>
    <s v="MH"/>
    <s v="Ranjeet Mandal"/>
    <s v="30/03/2020"/>
    <s v="Processing"/>
    <s v="20 GB DDR4 RAM"/>
    <s v="RAM"/>
    <s v="Hynix"/>
    <n v="3500"/>
    <n v="4550"/>
    <n v="3"/>
    <n v="10500"/>
    <n v="13650"/>
    <s v="Vijay Singh"/>
    <n v="25545"/>
  </r>
  <r>
    <s v="139776"/>
    <s v="MH"/>
    <s v="Ashwini Adsare"/>
    <s v="30/03/2020"/>
    <s v="Delivered"/>
    <s v="BTX motherboard"/>
    <s v="MotherBoard"/>
    <s v="Gigabyte"/>
    <n v="4500"/>
    <n v="5850"/>
    <n v="1"/>
    <n v="4500"/>
    <n v="5850"/>
    <s v="Aadil Khan"/>
    <n v="39780"/>
  </r>
  <r>
    <s v="139777"/>
    <s v="MH"/>
    <s v="Rajesh Variya"/>
    <s v="30/03/2020"/>
    <s v="Shipped"/>
    <s v="15 Fans Cabinet"/>
    <s v="Cabinet"/>
    <s v="Asus"/>
    <n v="2100"/>
    <n v="2730"/>
    <n v="1"/>
    <n v="2100"/>
    <n v="2730"/>
    <s v="Advika Joshi"/>
    <n v="2990"/>
  </r>
  <r>
    <s v="139778"/>
    <s v="MH"/>
    <s v="Amit Singh"/>
    <s v="30/03/2020"/>
    <s v="Order"/>
    <s v="Wireless Keyboard"/>
    <s v="Keyboard"/>
    <s v="Dell"/>
    <n v="1150"/>
    <n v="1495"/>
    <n v="3"/>
    <n v="3450"/>
    <n v="4485"/>
    <s v="Ajay Sharma"/>
    <n v="3315"/>
  </r>
  <r>
    <s v="139779"/>
    <s v="MH"/>
    <s v="Vinod Mehta"/>
    <s v="30/03/2020"/>
    <s v="Processing"/>
    <s v="USB Mouse"/>
    <s v="Mouse"/>
    <s v="Samsung"/>
    <n v="350"/>
    <n v="455"/>
    <n v="1"/>
    <n v="350"/>
    <n v="455"/>
    <s v="Roshan Kumar"/>
    <n v="1690"/>
  </r>
  <r>
    <s v="139780"/>
    <s v="MH"/>
    <s v="Jignesh Mhatre"/>
    <s v="30/03/2020"/>
    <s v="Delivered"/>
    <s v="19&quot; LED Display"/>
    <s v="Monitor"/>
    <s v="Dell"/>
    <n v="9500"/>
    <n v="12350"/>
    <n v="1"/>
    <n v="9500"/>
    <n v="12350"/>
    <s v="Aarvi Gupta"/>
    <n v="9750"/>
  </r>
  <r>
    <s v="139781"/>
    <s v="MH"/>
    <s v="Rahul Kashyap"/>
    <s v="30/03/2020"/>
    <s v="Shipped"/>
    <s v="14 TB HDD"/>
    <s v="HDD"/>
    <s v="Western Digital"/>
    <n v="10000"/>
    <n v="13000"/>
    <n v="2"/>
    <n v="20000"/>
    <n v="26000"/>
    <s v="Vijay Singh"/>
    <n v="39000"/>
  </r>
  <r>
    <s v="139782"/>
    <s v="MH"/>
    <s v="Mohammed Abdul Kaleem"/>
    <s v="30/03/2020"/>
    <s v="Order"/>
    <s v="524 GB M.2"/>
    <s v="SSD"/>
    <s v="Samsung"/>
    <n v="6500"/>
    <n v="8450"/>
    <n v="1"/>
    <n v="6500"/>
    <n v="8450"/>
    <s v="Aadil Khan"/>
    <n v="8450"/>
  </r>
  <r>
    <s v="139783"/>
    <s v="MH"/>
    <s v="Chandrakant Kasbe"/>
    <s v="30/03/2020"/>
    <s v="Processing"/>
    <s v="RYZEN 3rd gen. 3512"/>
    <s v="CPU"/>
    <s v="Intel"/>
    <n v="8500"/>
    <n v="11050"/>
    <n v="1"/>
    <n v="8500"/>
    <n v="11050"/>
    <s v="Advika Joshi"/>
    <n v="33150"/>
  </r>
  <r>
    <s v="139784"/>
    <s v="MH"/>
    <s v="Rohan Kale"/>
    <s v="30/03/2020"/>
    <s v="Delivered"/>
    <s v="2GB Graphic Card"/>
    <s v="Graphic Card"/>
    <s v="Nvidia"/>
    <n v="7000"/>
    <n v="9100"/>
    <n v="3"/>
    <n v="21000"/>
    <n v="27300"/>
    <s v="Ajay Sharma"/>
    <n v="18200"/>
  </r>
  <r>
    <s v="139785"/>
    <s v="MH"/>
    <s v="Aniruddha Kekapure"/>
    <s v="30/03/2020"/>
    <s v="Shipped"/>
    <s v="28 GB DDR4 RAM"/>
    <s v="RAM"/>
    <s v="Hynix"/>
    <n v="6550"/>
    <n v="8515"/>
    <n v="3"/>
    <n v="19650"/>
    <n v="25545"/>
    <s v="Roshan Kumar"/>
    <n v="25545"/>
  </r>
  <r>
    <s v="139786"/>
    <s v="MH"/>
    <s v="Aslam Raza"/>
    <s v="30/03/2020"/>
    <s v="Order"/>
    <s v="Standard ATX motherboard"/>
    <s v="MotherBoard"/>
    <s v="Gigabyte"/>
    <n v="7650"/>
    <n v="9945"/>
    <n v="3"/>
    <n v="22950"/>
    <n v="29835"/>
    <s v="Aarvi Gupta"/>
    <n v="39780"/>
  </r>
  <r>
    <s v="139787"/>
    <s v="MH"/>
    <s v="Roshan Zameer"/>
    <s v="30/03/2020"/>
    <s v="Processing"/>
    <s v="Compact with 1 Fan"/>
    <s v="Cabinet"/>
    <s v="Asus"/>
    <n v="1150"/>
    <n v="1495"/>
    <n v="4"/>
    <n v="4600"/>
    <n v="5980"/>
    <s v="Vijay Singh"/>
    <n v="2990"/>
  </r>
  <r>
    <s v="139788"/>
    <s v="MH"/>
    <s v="Rakesh Kumar Sharma"/>
    <s v="30/03/2020"/>
    <s v="Delivered"/>
    <s v="USB Backlight Keyboard"/>
    <s v="Keyboard"/>
    <s v="Dell"/>
    <n v="850"/>
    <n v="1105"/>
    <n v="3"/>
    <n v="2550"/>
    <n v="3315"/>
    <s v="Aadil Khan"/>
    <n v="3315"/>
  </r>
  <r>
    <s v="139789"/>
    <s v="MH"/>
    <s v="Shivanand Sahani"/>
    <s v="30/03/2020"/>
    <s v="Shipped"/>
    <s v="Ergonomic Mouse"/>
    <s v="Mouse"/>
    <s v="Samsung"/>
    <n v="650"/>
    <n v="845"/>
    <n v="4"/>
    <n v="2600"/>
    <n v="3380"/>
    <s v="Advika Joshi"/>
    <n v="1690"/>
  </r>
  <r>
    <s v="139790"/>
    <s v="MH"/>
    <s v="Kunal Patra"/>
    <s v="30/03/2020"/>
    <s v="Order"/>
    <s v="15&quot; LCD Dsipaly"/>
    <s v="Monitor"/>
    <s v="Dell"/>
    <n v="7500"/>
    <n v="9750"/>
    <n v="1"/>
    <n v="7500"/>
    <n v="9750"/>
    <s v="Ajay Sharma"/>
    <n v="9750"/>
  </r>
  <r>
    <s v="139791"/>
    <s v="MH"/>
    <s v="Bijendra"/>
    <s v="30/03/2020"/>
    <s v="Processing"/>
    <s v="14 TB HDD"/>
    <s v="HDD"/>
    <s v="Seagate"/>
    <n v="10000"/>
    <n v="13000"/>
    <n v="4"/>
    <n v="40000"/>
    <n v="52000"/>
    <s v="Roshan Kumar"/>
    <n v="39000"/>
  </r>
  <r>
    <s v="139792"/>
    <s v="MH"/>
    <s v="Kranti Bheke"/>
    <s v="30/03/2020"/>
    <s v="Delivered"/>
    <s v="13 TB SSD"/>
    <s v="SSD"/>
    <s v="Samsung"/>
    <n v="10500"/>
    <n v="13650"/>
    <n v="3"/>
    <n v="31500"/>
    <n v="40950"/>
    <s v="Aarvi Gupta"/>
    <n v="8450"/>
  </r>
  <r>
    <s v="139793"/>
    <s v="MH"/>
    <s v="Jagdeep"/>
    <s v="30/03/2020"/>
    <s v="Shipped"/>
    <s v="Intel i5 12th gen."/>
    <s v="CPU"/>
    <s v="Intel"/>
    <n v="8500"/>
    <n v="11050"/>
    <n v="3"/>
    <n v="25500"/>
    <n v="33150"/>
    <s v="Vijay Singh"/>
    <n v="33150"/>
  </r>
  <r>
    <s v="139794"/>
    <s v="MH"/>
    <s v="Adhir Samal"/>
    <s v="30/03/2020"/>
    <s v="Order"/>
    <s v="2GB Graphic Card"/>
    <s v="Graphic Card"/>
    <s v="Nvidia"/>
    <n v="7000"/>
    <n v="9100"/>
    <n v="4"/>
    <n v="28000"/>
    <n v="36400"/>
    <s v="Aadil Khan"/>
    <n v="18200"/>
  </r>
  <r>
    <s v="139795"/>
    <s v="MH"/>
    <s v="Dannana Jhammi"/>
    <s v="30/03/2020"/>
    <s v="Processing"/>
    <s v="16 GB DDR4 Ram"/>
    <s v="RAM"/>
    <s v="Hynix"/>
    <n v="1680"/>
    <n v="2184"/>
    <n v="1"/>
    <n v="1680"/>
    <n v="2184"/>
    <s v="Advika Joshi"/>
    <n v="25545"/>
  </r>
  <r>
    <s v="139796"/>
    <s v="MH"/>
    <s v="Vipin Kumar"/>
    <s v="30/03/2020"/>
    <s v="Delivered"/>
    <s v="Micro ATX motherboard"/>
    <s v="MotherBoard"/>
    <s v="MSI"/>
    <n v="6540"/>
    <n v="8502"/>
    <n v="4"/>
    <n v="26160"/>
    <n v="34008"/>
    <s v="Ajay Sharma"/>
    <n v="39780"/>
  </r>
  <r>
    <s v="139797"/>
    <s v="MH"/>
    <s v="Ranjeet Kumar"/>
    <s v="30/03/2020"/>
    <s v="Shipped"/>
    <s v="Gaming Box Cabinet"/>
    <s v="Cabinet"/>
    <s v="Asus"/>
    <n v="2680"/>
    <n v="3484"/>
    <n v="4"/>
    <n v="10720"/>
    <n v="13936"/>
    <s v="Roshan Kumar"/>
    <n v="2990"/>
  </r>
  <r>
    <s v="139798"/>
    <s v="MH"/>
    <s v="Sajal Singhal"/>
    <s v="30/03/2020"/>
    <s v="Order"/>
    <s v="17&quot; LCD Display"/>
    <s v="Monitor"/>
    <s v="Samsung"/>
    <n v="8250"/>
    <n v="10725"/>
    <n v="2"/>
    <n v="16500"/>
    <n v="21450"/>
    <s v="Aarvi Gupta"/>
    <n v="9750"/>
  </r>
  <r>
    <s v="139799"/>
    <s v="MH"/>
    <s v="Akhilesh Kumar"/>
    <s v="30/03/2020"/>
    <s v="Processing"/>
    <s v="20 GB DDR4 RAM"/>
    <s v="RAM"/>
    <s v="Samsung"/>
    <n v="2650"/>
    <n v="3445"/>
    <n v="3"/>
    <n v="7950"/>
    <n v="10335"/>
    <s v="Vijay Singh"/>
    <n v="25545"/>
  </r>
  <r>
    <s v="139800"/>
    <s v="MH"/>
    <s v="Suvankar Chakraborty"/>
    <s v="30/03/2020"/>
    <s v="Delivered"/>
    <s v="26&quot; LCD Display"/>
    <s v="Monitor"/>
    <s v="Acer"/>
    <n v="12550"/>
    <n v="16315"/>
    <n v="4"/>
    <n v="50200"/>
    <n v="65260"/>
    <s v="Aadil Khan"/>
    <n v="9750"/>
  </r>
  <r>
    <s v="139801"/>
    <s v="MH"/>
    <s v="Suvankar Adhikary"/>
    <s v="30/03/2020"/>
    <s v="Shipped"/>
    <s v="I7 - intel 12th Generation"/>
    <s v="CPU"/>
    <s v="Intel"/>
    <n v="14500"/>
    <n v="18850"/>
    <n v="3"/>
    <n v="43500"/>
    <n v="56550"/>
    <s v="Advika Joshi"/>
    <n v="33150"/>
  </r>
  <r>
    <s v="139802"/>
    <s v="MH"/>
    <s v="Rahul Kumar Prajapati"/>
    <s v="30/03/2020"/>
    <s v="Order"/>
    <s v="USB Keyboard"/>
    <s v="Keyboard"/>
    <s v="Dell"/>
    <n v="800"/>
    <n v="1040"/>
    <n v="1"/>
    <n v="800"/>
    <n v="1040"/>
    <s v="Ajay Sharma"/>
    <n v="3315"/>
  </r>
  <r>
    <s v="139803"/>
    <s v="MH"/>
    <s v="Sagar Jeur"/>
    <s v="30/03/2020"/>
    <s v="Processing"/>
    <s v="Wireless Mouse"/>
    <s v="Mouse"/>
    <s v="Samsung"/>
    <n v="600"/>
    <n v="780"/>
    <n v="4"/>
    <n v="2400"/>
    <n v="3120"/>
    <s v="Roshan Kumar"/>
    <n v="1690"/>
  </r>
  <r>
    <s v="139804"/>
    <s v="MH"/>
    <s v="Rhushikesh Mane"/>
    <s v="30/03/2020"/>
    <s v="Delivered"/>
    <s v="21&quot; LCD Display"/>
    <s v="Monitor"/>
    <s v="Dell"/>
    <n v="10500"/>
    <n v="13650"/>
    <n v="2"/>
    <n v="21000"/>
    <n v="27300"/>
    <s v="Aarvi Gupta"/>
    <n v="9750"/>
  </r>
  <r>
    <s v="139805"/>
    <s v="MH"/>
    <s v="Ashish Kumar"/>
    <s v="30/03/2020"/>
    <s v="Shipped"/>
    <s v="14 TB HDD"/>
    <s v="HDD"/>
    <s v="Western Digital"/>
    <n v="6500"/>
    <n v="8450"/>
    <n v="2"/>
    <n v="13000"/>
    <n v="16900"/>
    <s v="Vijay Singh"/>
    <n v="39000"/>
  </r>
  <r>
    <s v="139806"/>
    <s v="MH"/>
    <s v="Javed Akhter"/>
    <s v="30/03/2020"/>
    <s v="Order"/>
    <s v="269 GB SSD"/>
    <s v="SSD"/>
    <s v="Samsung"/>
    <n v="4500"/>
    <n v="5850"/>
    <n v="1"/>
    <n v="4500"/>
    <n v="5850"/>
    <s v="Aadil Khan"/>
    <n v="8450"/>
  </r>
  <r>
    <s v="139807"/>
    <s v="MH"/>
    <s v="Haridas Balraj"/>
    <s v="30/03/2020"/>
    <s v="Processing"/>
    <s v="Intel i3 11th gen."/>
    <s v="CPU"/>
    <s v="Intel"/>
    <n v="8500"/>
    <n v="11050"/>
    <n v="2"/>
    <n v="17000"/>
    <n v="22100"/>
    <s v="Advika Joshi"/>
    <n v="33150"/>
  </r>
  <r>
    <s v="139808"/>
    <s v="MH"/>
    <s v="Kundan Kumar"/>
    <s v="30/03/2020"/>
    <s v="Delivered"/>
    <s v="4GB Graphic card"/>
    <s v="Graphic Card"/>
    <s v="Nvidia"/>
    <n v="12500"/>
    <n v="16250"/>
    <n v="2"/>
    <n v="25000"/>
    <n v="32500"/>
    <s v="Ajay Sharma"/>
    <n v="18200"/>
  </r>
  <r>
    <s v="139809"/>
    <s v="MH"/>
    <s v="Atif Siddiqui"/>
    <s v="30/03/2020"/>
    <s v="Shipped"/>
    <s v="21 GB DDR4 RAM"/>
    <s v="Computer Case"/>
    <s v="Hynix"/>
    <n v="3500"/>
    <n v="4550"/>
    <n v="4"/>
    <n v="14000"/>
    <n v="18200"/>
    <s v="Roshan Kumar"/>
    <n v="13650"/>
  </r>
  <r>
    <s v="139810"/>
    <s v="MH"/>
    <s v="Aditya Agarwal"/>
    <s v="30/03/2020"/>
    <s v="Order"/>
    <s v="BTX motherboard"/>
    <s v="Mouse"/>
    <s v="Gigabyte"/>
    <n v="4500"/>
    <n v="5850"/>
    <n v="2"/>
    <n v="9000"/>
    <n v="11700"/>
    <s v="Aarvi Gupta"/>
    <n v="1690"/>
  </r>
  <r>
    <s v="139811"/>
    <s v="MH"/>
    <s v="Firdoush Jabee"/>
    <s v="30/03/2020"/>
    <s v="Processing"/>
    <s v="16 Fans Cabinet"/>
    <s v="Cabinet"/>
    <s v="Asus"/>
    <n v="2100"/>
    <n v="2730"/>
    <n v="3"/>
    <n v="6300"/>
    <n v="8190"/>
    <s v="Vijay Singh"/>
    <n v="2990"/>
  </r>
  <r>
    <s v="139812"/>
    <s v="MH"/>
    <s v="Jay Prakash Kumar"/>
    <s v="30/03/2020"/>
    <s v="Delivered"/>
    <s v="Wireless Keyboard"/>
    <s v="Keyboard"/>
    <s v="Dell"/>
    <n v="1150"/>
    <n v="1495"/>
    <n v="3"/>
    <n v="3450"/>
    <n v="4485"/>
    <s v="Aadil Khan"/>
    <n v="3315"/>
  </r>
  <r>
    <s v="139813"/>
    <s v="MH"/>
    <s v="Ashish Pandey"/>
    <s v="30/03/2020"/>
    <s v="Shipped"/>
    <s v="USB Mouse"/>
    <s v="Mouse"/>
    <s v="Samsung"/>
    <n v="350"/>
    <n v="455"/>
    <n v="1"/>
    <n v="350"/>
    <n v="455"/>
    <s v="Advika Joshi"/>
    <n v="1690"/>
  </r>
  <r>
    <s v="139814"/>
    <s v="MH"/>
    <s v="Ajay Sharma"/>
    <s v="30/03/2020"/>
    <s v="Order"/>
    <s v="19&quot; LED Display"/>
    <s v="Monitor"/>
    <s v="Dell"/>
    <n v="9500"/>
    <n v="12350"/>
    <n v="3"/>
    <n v="28500"/>
    <n v="37050"/>
    <s v="Ajay Sharma"/>
    <n v="9750"/>
  </r>
  <r>
    <s v="139815"/>
    <s v="PY"/>
    <s v="Moinuddin Saifi"/>
    <s v="30/03/2020"/>
    <s v="Processing"/>
    <s v="15 TB HDD"/>
    <s v="HDD"/>
    <s v="Western Digital"/>
    <n v="10000"/>
    <n v="13000"/>
    <n v="4"/>
    <n v="40000"/>
    <n v="52000"/>
    <s v="Roshan Kumar"/>
    <n v="39000"/>
  </r>
  <r>
    <s v="139816"/>
    <s v="AP"/>
    <s v="Ramkrishna Das Adhikary"/>
    <s v="30/03/2020"/>
    <s v="Delivered"/>
    <s v="525 GB M.2"/>
    <s v="SSD"/>
    <s v="Samsung"/>
    <n v="6500"/>
    <n v="8450"/>
    <n v="4"/>
    <n v="26000"/>
    <n v="33800"/>
    <s v="Aarvi Gupta"/>
    <n v="8450"/>
  </r>
  <r>
    <s v="139817"/>
    <s v="AR"/>
    <s v="Ranjeet Mandal"/>
    <s v="30/03/2020"/>
    <s v="Shipped"/>
    <s v="RYZEN 3rd gen. 3513"/>
    <s v="CPU"/>
    <s v="Intel"/>
    <n v="8500"/>
    <n v="11050"/>
    <n v="3"/>
    <n v="25500"/>
    <n v="33150"/>
    <s v="Vijay Singh"/>
    <n v="33150"/>
  </r>
  <r>
    <s v="139818"/>
    <s v="AS"/>
    <s v="Ashwini Adsare"/>
    <s v="30/03/2020"/>
    <s v="Order"/>
    <s v="2GB Graphic Card"/>
    <s v="Graphic Card"/>
    <s v="Nvidia"/>
    <n v="7000"/>
    <n v="9100"/>
    <n v="1"/>
    <n v="7000"/>
    <n v="9100"/>
    <s v="Aadil Khan"/>
    <n v="18200"/>
  </r>
  <r>
    <s v="139819"/>
    <s v="BR"/>
    <s v="Rajesh Variya"/>
    <s v="30/03/2020"/>
    <s v="Processing"/>
    <s v="29 GB DDR4 RAM"/>
    <s v="Computer Case"/>
    <s v="Hynix"/>
    <n v="6550"/>
    <n v="8515"/>
    <n v="4"/>
    <n v="26200"/>
    <n v="34060"/>
    <s v="Advika Joshi"/>
    <n v="13650"/>
  </r>
  <r>
    <s v="139820"/>
    <s v="CG"/>
    <s v="Amit Singh"/>
    <s v="30/03/2020"/>
    <s v="Delivered"/>
    <s v="Standard ATX motherboard"/>
    <s v="Mouse"/>
    <s v="Gigabyte"/>
    <n v="7650"/>
    <n v="9945"/>
    <n v="3"/>
    <n v="22950"/>
    <n v="29835"/>
    <s v="Ajay Sharma"/>
    <n v="1690"/>
  </r>
  <r>
    <s v="139821"/>
    <s v="GA"/>
    <s v="Vinod Mehta"/>
    <s v="30/03/2020"/>
    <s v="Shipped"/>
    <s v="Compact with 1 Fan"/>
    <s v="Cabinet"/>
    <s v="Asus"/>
    <n v="1150"/>
    <n v="1495"/>
    <n v="2"/>
    <n v="2300"/>
    <n v="2990"/>
    <s v="Roshan Kumar"/>
    <n v="2990"/>
  </r>
  <r>
    <s v="139822"/>
    <s v="GJ"/>
    <s v="Jignesh Mhatre"/>
    <s v="30/03/2020"/>
    <s v="Order"/>
    <s v="USB Backlight Keyboard"/>
    <s v="Keyboard"/>
    <s v="Dell"/>
    <n v="850"/>
    <n v="1105"/>
    <n v="2"/>
    <n v="1700"/>
    <n v="2210"/>
    <s v="Aarvi Gupta"/>
    <n v="3315"/>
  </r>
  <r>
    <s v="139823"/>
    <s v="HR"/>
    <s v="Rahul Kashyap"/>
    <s v="30/03/2020"/>
    <s v="Processing"/>
    <s v="Ergonomic Mouse"/>
    <s v="Mouse"/>
    <s v="Samsung"/>
    <n v="650"/>
    <n v="845"/>
    <n v="1"/>
    <n v="650"/>
    <n v="845"/>
    <s v="Vijay Singh"/>
    <n v="1690"/>
  </r>
  <r>
    <s v="139824"/>
    <s v="HP"/>
    <s v="Mohammed Abdul Kaleem"/>
    <s v="30/03/2020"/>
    <s v="Delivered"/>
    <s v="15&quot; LCD Dsipaly"/>
    <s v="Monitor"/>
    <s v="Dell"/>
    <n v="7500"/>
    <n v="9750"/>
    <n v="1"/>
    <n v="7500"/>
    <n v="9750"/>
    <s v="Aadil Khan"/>
    <n v="9750"/>
  </r>
  <r>
    <s v="139825"/>
    <s v="JK"/>
    <s v="Chandrakant Kasbe"/>
    <s v="30/03/2020"/>
    <s v="Shipped"/>
    <s v="15 TB HDD"/>
    <s v="HDD"/>
    <s v="Seagate"/>
    <n v="10000"/>
    <n v="13000"/>
    <n v="2"/>
    <n v="20000"/>
    <n v="26000"/>
    <s v="Advika Joshi"/>
    <n v="39000"/>
  </r>
  <r>
    <s v="139826"/>
    <s v="JH"/>
    <s v="Rohan Kale"/>
    <s v="30/03/2020"/>
    <s v="Order"/>
    <s v="14 TB SSD"/>
    <s v="SSD"/>
    <s v="Samsung"/>
    <n v="10500"/>
    <n v="13650"/>
    <n v="3"/>
    <n v="31500"/>
    <n v="40950"/>
    <s v="Ajay Sharma"/>
    <n v="8450"/>
  </r>
  <r>
    <s v="139827"/>
    <s v="KA"/>
    <s v="Aniruddha Kekapure"/>
    <s v="30/03/2020"/>
    <s v="Processing"/>
    <s v="Intel i5 12th gen."/>
    <s v="CPU"/>
    <s v="Intel"/>
    <n v="8500"/>
    <n v="11050"/>
    <n v="3"/>
    <n v="25500"/>
    <n v="33150"/>
    <s v="Roshan Kumar"/>
    <n v="33150"/>
  </r>
  <r>
    <s v="139828"/>
    <s v="KL"/>
    <s v="Aslam Raza"/>
    <s v="30/03/2020"/>
    <s v="Delivered"/>
    <s v="2GB Graphic Card"/>
    <s v="Graphic Card"/>
    <s v="Nvidia"/>
    <n v="7000"/>
    <n v="9100"/>
    <n v="4"/>
    <n v="28000"/>
    <n v="36400"/>
    <s v="Aarvi Gupta"/>
    <n v="18200"/>
  </r>
  <r>
    <s v="139829"/>
    <s v="MP"/>
    <s v="Roshan Zameer"/>
    <s v="30/03/2020"/>
    <s v="Shipped"/>
    <s v="17 GB DDR4 Ram"/>
    <s v="Computer Case"/>
    <s v="Hynix"/>
    <n v="1680"/>
    <n v="2184"/>
    <n v="3"/>
    <n v="5040"/>
    <n v="6552"/>
    <s v="Vijay Singh"/>
    <n v="13650"/>
  </r>
  <r>
    <s v="139830"/>
    <s v="MH"/>
    <s v="Rakesh Kumar Sharma"/>
    <s v="30/03/2020"/>
    <s v="Order"/>
    <s v="Micro ATX motherboard"/>
    <s v="Mouse"/>
    <s v="MSI"/>
    <n v="6540"/>
    <n v="8502"/>
    <n v="1"/>
    <n v="6540"/>
    <n v="8502"/>
    <s v="Aadil Khan"/>
    <n v="1690"/>
  </r>
  <r>
    <s v="139831"/>
    <s v="MN"/>
    <s v="Shivanand Sahani"/>
    <s v="30/03/2020"/>
    <s v="Processing"/>
    <s v="Gaming Box Cabinet"/>
    <s v="Cabinet"/>
    <s v="Asus"/>
    <n v="2680"/>
    <n v="3484"/>
    <n v="2"/>
    <n v="5360"/>
    <n v="6968"/>
    <s v="Advika Joshi"/>
    <n v="2990"/>
  </r>
  <r>
    <s v="139832"/>
    <s v="ML"/>
    <s v="Kunal Patra"/>
    <s v="30/03/2020"/>
    <s v="Delivered"/>
    <s v="17&quot; LCD Display"/>
    <s v="Monitor"/>
    <s v="Samsung"/>
    <n v="8250"/>
    <n v="10725"/>
    <n v="3"/>
    <n v="24750"/>
    <n v="32175"/>
    <s v="Ajay Sharma"/>
    <n v="9750"/>
  </r>
  <r>
    <s v="139833"/>
    <s v="MZ"/>
    <s v="Bijendra"/>
    <s v="30/03/2020"/>
    <s v="Shipped"/>
    <s v="21 GB DDR4 RAM"/>
    <s v="RAM"/>
    <s v="Samsung"/>
    <n v="2650"/>
    <n v="3445"/>
    <n v="3"/>
    <n v="7950"/>
    <n v="10335"/>
    <s v="Roshan Kumar"/>
    <n v="25545"/>
  </r>
  <r>
    <s v="139834"/>
    <s v="NL"/>
    <s v="Kranti Bheke"/>
    <s v="30/03/2020"/>
    <s v="Order"/>
    <s v="26&quot; LCD Display"/>
    <s v="Monitor"/>
    <s v="Acer"/>
    <n v="12550"/>
    <n v="16315"/>
    <n v="4"/>
    <n v="50200"/>
    <n v="65260"/>
    <s v="Aarvi Gupta"/>
    <n v="9750"/>
  </r>
  <r>
    <s v="139835"/>
    <s v="OR"/>
    <s v="Jagdeep"/>
    <s v="30/03/2020"/>
    <s v="Processing"/>
    <s v="I7 - intel 12th Generation"/>
    <s v="CPU"/>
    <s v="Intel"/>
    <n v="14500"/>
    <n v="18850"/>
    <n v="4"/>
    <n v="58000"/>
    <n v="75400"/>
    <s v="Vijay Singh"/>
    <n v="33150"/>
  </r>
  <r>
    <s v="139836"/>
    <s v="PB"/>
    <s v="Adhir Samal"/>
    <s v="30/03/2020"/>
    <s v="Delivered"/>
    <s v="USB Keyboard"/>
    <s v="Keyboard"/>
    <s v="Dell"/>
    <n v="800"/>
    <n v="1040"/>
    <n v="2"/>
    <n v="1600"/>
    <n v="2080"/>
    <s v="Aadil Khan"/>
    <n v="3315"/>
  </r>
  <r>
    <s v="139837"/>
    <s v="RJ"/>
    <s v="Dannana Jhammi"/>
    <s v="30/03/2020"/>
    <s v="Shipped"/>
    <s v="Wireless Mouse"/>
    <s v="Mouse"/>
    <s v="Samsung"/>
    <n v="600"/>
    <n v="780"/>
    <n v="3"/>
    <n v="1800"/>
    <n v="2340"/>
    <s v="Advika Joshi"/>
    <n v="1690"/>
  </r>
  <r>
    <s v="139838"/>
    <s v="SK"/>
    <s v="Vipin Kumar"/>
    <s v="30/03/2020"/>
    <s v="Order"/>
    <s v="21&quot; LCD Display"/>
    <s v="Monitor"/>
    <s v="Dell"/>
    <n v="10500"/>
    <n v="13650"/>
    <n v="3"/>
    <n v="31500"/>
    <n v="40950"/>
    <s v="Ajay Sharma"/>
    <n v="9750"/>
  </r>
  <r>
    <s v="139839"/>
    <s v="TN"/>
    <s v="Ranjeet Kumar"/>
    <s v="30/03/2020"/>
    <s v="Processing"/>
    <s v="15 TB HDD"/>
    <s v="HDD"/>
    <s v="Western Digital"/>
    <n v="6500"/>
    <n v="8450"/>
    <n v="2"/>
    <n v="13000"/>
    <n v="16900"/>
    <s v="Roshan Kumar"/>
    <n v="39000"/>
  </r>
  <r>
    <s v="139840"/>
    <s v="TR"/>
    <s v="Sajal Singhal"/>
    <s v="30/03/2020"/>
    <s v="Delivered"/>
    <s v="270 GB SSD"/>
    <s v="SSD"/>
    <s v="Samsung"/>
    <n v="4500"/>
    <n v="5850"/>
    <n v="3"/>
    <n v="13500"/>
    <n v="17550"/>
    <s v="Aarvi Gupta"/>
    <n v="8450"/>
  </r>
  <r>
    <s v="139841"/>
    <s v="UK"/>
    <s v="Akhilesh Kumar"/>
    <s v="30/03/2020"/>
    <s v="Shipped"/>
    <s v="Intel i3 11th gen."/>
    <s v="CPU"/>
    <s v="Intel"/>
    <n v="8500"/>
    <n v="11050"/>
    <n v="4"/>
    <n v="34000"/>
    <n v="44200"/>
    <s v="Vijay Singh"/>
    <n v="33150"/>
  </r>
  <r>
    <s v="139842"/>
    <s v="UP"/>
    <s v="Suvankar Chakraborty"/>
    <s v="30/03/2020"/>
    <s v="Order"/>
    <s v="4GB Graphic card"/>
    <s v="Graphic Card"/>
    <s v="Nvidia"/>
    <n v="12500"/>
    <n v="16250"/>
    <n v="1"/>
    <n v="12500"/>
    <n v="16250"/>
    <s v="Aadil Khan"/>
    <n v="18200"/>
  </r>
  <r>
    <s v="139843"/>
    <s v="WB"/>
    <s v="Suvankar Adhikary"/>
    <s v="30/03/2020"/>
    <s v="Processing"/>
    <s v="22 GB DDR4 RAM"/>
    <s v="NIC"/>
    <s v="Hynix"/>
    <n v="3500"/>
    <n v="4550"/>
    <n v="4"/>
    <n v="14000"/>
    <n v="18200"/>
    <s v="Advika Joshi"/>
    <n v="9100"/>
  </r>
  <r>
    <s v="139844"/>
    <s v="TN"/>
    <s v="Rahul Kumar Prajapati"/>
    <s v="30/03/2020"/>
    <s v="Delivered"/>
    <s v="BTX motherboard"/>
    <s v="Printer"/>
    <s v="Gigabyte"/>
    <n v="4500"/>
    <n v="5850"/>
    <n v="4"/>
    <n v="18000"/>
    <n v="23400"/>
    <s v="Ajay Sharma"/>
    <n v="11700"/>
  </r>
  <r>
    <s v="139845"/>
    <s v="TR"/>
    <s v="Sagar Jeur"/>
    <s v="30/03/2020"/>
    <s v="Shipped"/>
    <s v="17 Fans Cabinet"/>
    <s v="Cabinet"/>
    <s v="Asus"/>
    <n v="2100"/>
    <n v="2730"/>
    <n v="3"/>
    <n v="6300"/>
    <n v="8190"/>
    <s v="Roshan Kumar"/>
    <n v="2990"/>
  </r>
  <r>
    <s v="139846"/>
    <s v="AN"/>
    <s v="Rhushikesh Mane"/>
    <s v="30/03/2020"/>
    <s v="Order"/>
    <s v="Wireless Keyboard"/>
    <s v="Keyboard"/>
    <s v="Dell"/>
    <n v="1150"/>
    <n v="1495"/>
    <n v="2"/>
    <n v="2300"/>
    <n v="2990"/>
    <s v="Aarvi Gupta"/>
    <n v="3315"/>
  </r>
  <r>
    <s v="139847"/>
    <s v="CH"/>
    <s v="Ashish Kumar"/>
    <s v="30/03/2020"/>
    <s v="Processing"/>
    <s v="USB Mouse"/>
    <s v="Mouse"/>
    <s v="Samsung"/>
    <n v="350"/>
    <n v="455"/>
    <n v="3"/>
    <n v="1050"/>
    <n v="1365"/>
    <s v="Vijay Singh"/>
    <n v="1690"/>
  </r>
  <r>
    <s v="139848"/>
    <s v="DH"/>
    <s v="Javed Akhter"/>
    <s v="30/03/2020"/>
    <s v="Delivered"/>
    <s v="19&quot; LED Display"/>
    <s v="Monitor"/>
    <s v="Dell"/>
    <n v="9500"/>
    <n v="12350"/>
    <n v="1"/>
    <n v="9500"/>
    <n v="12350"/>
    <s v="Aadil Khan"/>
    <n v="9750"/>
  </r>
  <r>
    <s v="139849"/>
    <s v="DD"/>
    <s v="Haridas Balraj"/>
    <s v="30/03/2020"/>
    <s v="Shipped"/>
    <s v="16 TB HDD"/>
    <s v="HDD"/>
    <s v="Western Digital"/>
    <n v="10000"/>
    <n v="13000"/>
    <n v="2"/>
    <n v="20000"/>
    <n v="26000"/>
    <s v="Advika Joshi"/>
    <n v="39000"/>
  </r>
  <r>
    <s v="139850"/>
    <s v="DL"/>
    <s v="Kundan Kumar"/>
    <s v="30/03/2020"/>
    <s v="Order"/>
    <s v="526 GB M.2"/>
    <s v="SSD"/>
    <s v="Samsung"/>
    <n v="6500"/>
    <n v="8450"/>
    <n v="2"/>
    <n v="13000"/>
    <n v="16900"/>
    <s v="Ajay Sharma"/>
    <n v="8450"/>
  </r>
  <r>
    <s v="139851"/>
    <s v="LD"/>
    <s v="Atif Siddiqui"/>
    <s v="30/03/2020"/>
    <s v="Processing"/>
    <s v="RYZEN 3rd gen. 3514"/>
    <s v="CPU"/>
    <s v="Intel"/>
    <n v="8500"/>
    <n v="11050"/>
    <n v="4"/>
    <n v="34000"/>
    <n v="44200"/>
    <s v="Roshan Kumar"/>
    <n v="33150"/>
  </r>
  <r>
    <s v="139852"/>
    <s v="PY"/>
    <s v="Aditya Agarwal"/>
    <s v="31/03/2020"/>
    <s v="Delivered"/>
    <s v="2GB Graphic Card"/>
    <s v="Graphic Card"/>
    <s v="Nvidia"/>
    <n v="7000"/>
    <n v="9100"/>
    <n v="1"/>
    <n v="7000"/>
    <n v="9100"/>
    <s v="Aarvi Gupta"/>
    <n v="18200"/>
  </r>
  <r>
    <s v="139853"/>
    <s v="AP"/>
    <s v="Firdoush Jabee"/>
    <s v="31/03/2020"/>
    <s v="Shipped"/>
    <s v="30 GB DDR4 RAM"/>
    <s v="NIC"/>
    <s v="Hynix"/>
    <n v="6550"/>
    <n v="8515"/>
    <n v="4"/>
    <n v="26200"/>
    <n v="34060"/>
    <s v="Vijay Singh"/>
    <n v="9100"/>
  </r>
  <r>
    <s v="139854"/>
    <s v="AR"/>
    <s v="Jay Prakash Kumar"/>
    <s v="31/03/2020"/>
    <s v="Order"/>
    <s v="Standard ATX motherboard"/>
    <s v="Printer"/>
    <s v="Gigabyte"/>
    <n v="7650"/>
    <n v="9945"/>
    <n v="3"/>
    <n v="22950"/>
    <n v="29835"/>
    <s v="Aadil Khan"/>
    <n v="11700"/>
  </r>
  <r>
    <s v="139855"/>
    <s v="AS"/>
    <s v="Ashish Pandey"/>
    <s v="31/03/2020"/>
    <s v="Processing"/>
    <s v="Compact with 1 Fan"/>
    <s v="Cabinet"/>
    <s v="Asus"/>
    <n v="1150"/>
    <n v="1495"/>
    <n v="4"/>
    <n v="4600"/>
    <n v="5980"/>
    <s v="Advika Joshi"/>
    <n v="2990"/>
  </r>
  <r>
    <s v="139856"/>
    <s v="BR"/>
    <s v="Ajay Sharma"/>
    <s v="31/03/2020"/>
    <s v="Delivered"/>
    <s v="USB Backlight Keyboard"/>
    <s v="Keyboard"/>
    <s v="Dell"/>
    <n v="850"/>
    <n v="1105"/>
    <n v="4"/>
    <n v="3400"/>
    <n v="4420"/>
    <s v="Ajay Sharma"/>
    <n v="3315"/>
  </r>
  <r>
    <s v="139857"/>
    <s v="CG"/>
    <s v="Moinuddin Saifi"/>
    <s v="31/03/2020"/>
    <s v="Shipped"/>
    <s v="Ergonomic Mouse"/>
    <s v="Mouse"/>
    <s v="Samsung"/>
    <n v="650"/>
    <n v="845"/>
    <n v="4"/>
    <n v="2600"/>
    <n v="3380"/>
    <s v="Roshan Kumar"/>
    <n v="1690"/>
  </r>
  <r>
    <s v="139858"/>
    <s v="GA"/>
    <s v="Ramkrishna Das Adhikary"/>
    <s v="31/03/2020"/>
    <s v="Order"/>
    <s v="15&quot; LCD Dsipaly"/>
    <s v="Monitor"/>
    <s v="Dell"/>
    <n v="7500"/>
    <n v="9750"/>
    <n v="2"/>
    <n v="15000"/>
    <n v="19500"/>
    <s v="Aarvi Gupta"/>
    <n v="9750"/>
  </r>
  <r>
    <s v="139859"/>
    <s v="GJ"/>
    <s v="Ranjeet Mandal"/>
    <s v="31/03/2020"/>
    <s v="Processing"/>
    <s v="16 TB HDD"/>
    <s v="HDD"/>
    <s v="Seagate"/>
    <n v="10000"/>
    <n v="13000"/>
    <n v="2"/>
    <n v="20000"/>
    <n v="26000"/>
    <s v="Vijay Singh"/>
    <n v="39000"/>
  </r>
  <r>
    <s v="139860"/>
    <s v="GJ"/>
    <s v="Ashwini Adsare"/>
    <s v="31/03/2020"/>
    <s v="Delivered"/>
    <s v="15 TB SSD"/>
    <s v="SSD"/>
    <s v="Samsung"/>
    <n v="10500"/>
    <n v="13650"/>
    <n v="1"/>
    <n v="10500"/>
    <n v="13650"/>
    <s v="Aadil Khan"/>
    <n v="8450"/>
  </r>
  <r>
    <s v="139861"/>
    <s v="GJ"/>
    <s v="Rajesh Variya"/>
    <s v="31/03/2020"/>
    <s v="Shipped"/>
    <s v="Intel i5 12th gen."/>
    <s v="CPU"/>
    <s v="Intel"/>
    <n v="8500"/>
    <n v="11050"/>
    <n v="4"/>
    <n v="34000"/>
    <n v="44200"/>
    <s v="Advika Joshi"/>
    <n v="33150"/>
  </r>
  <r>
    <s v="139862"/>
    <s v="GJ"/>
    <s v="Amit Singh"/>
    <s v="31/03/2020"/>
    <s v="Order"/>
    <s v="2GB Graphic Card"/>
    <s v="Graphic Card"/>
    <s v="Nvidia"/>
    <n v="7000"/>
    <n v="9100"/>
    <n v="3"/>
    <n v="21000"/>
    <n v="27300"/>
    <s v="Ajay Sharma"/>
    <n v="18200"/>
  </r>
  <r>
    <s v="139863"/>
    <s v="GJ"/>
    <s v="Vinod Mehta"/>
    <s v="31/03/2020"/>
    <s v="Processing"/>
    <s v="18 GB DDR4 Ram"/>
    <s v="NIC"/>
    <s v="Hynix"/>
    <n v="1680"/>
    <n v="2184"/>
    <n v="2"/>
    <n v="3360"/>
    <n v="4368"/>
    <s v="Roshan Kumar"/>
    <n v="9100"/>
  </r>
  <r>
    <s v="139864"/>
    <s v="GJ"/>
    <s v="Jignesh Mhatre"/>
    <s v="31/03/2020"/>
    <s v="Delivered"/>
    <s v="Micro ATX motherboard"/>
    <s v="Printer"/>
    <s v="MSI"/>
    <n v="6540"/>
    <n v="8502"/>
    <n v="3"/>
    <n v="19620"/>
    <n v="25506"/>
    <s v="Aarvi Gupta"/>
    <n v="11700"/>
  </r>
  <r>
    <s v="139865"/>
    <s v="GJ"/>
    <s v="Rahul Kashyap"/>
    <s v="31/03/2020"/>
    <s v="Shipped"/>
    <s v="Gaming Box Cabinet"/>
    <s v="Cabinet"/>
    <s v="Asus"/>
    <n v="2680"/>
    <n v="3484"/>
    <n v="2"/>
    <n v="5360"/>
    <n v="6968"/>
    <s v="Vijay Singh"/>
    <n v="2990"/>
  </r>
  <r>
    <s v="139866"/>
    <s v="GJ"/>
    <s v="Mohammed Abdul Kaleem"/>
    <s v="31/03/2020"/>
    <s v="Order"/>
    <s v="17&quot; LCD Display"/>
    <s v="Monitor"/>
    <s v="Samsung"/>
    <n v="8250"/>
    <n v="10725"/>
    <n v="4"/>
    <n v="33000"/>
    <n v="42900"/>
    <s v="Aadil Khan"/>
    <n v="9750"/>
  </r>
  <r>
    <s v="139867"/>
    <s v="GJ"/>
    <s v="Chandrakant Kasbe"/>
    <s v="31/03/2020"/>
    <s v="Processing"/>
    <s v="22 GB DDR4 RAM"/>
    <s v="RAM"/>
    <s v="Samsung"/>
    <n v="2650"/>
    <n v="3445"/>
    <n v="4"/>
    <n v="10600"/>
    <n v="13780"/>
    <s v="Advika Joshi"/>
    <n v="25545"/>
  </r>
  <r>
    <s v="139868"/>
    <s v="GJ"/>
    <s v="Rohan Kale"/>
    <s v="31/03/2020"/>
    <s v="Delivered"/>
    <s v="26&quot; LCD Display"/>
    <s v="Monitor"/>
    <s v="Acer"/>
    <n v="12550"/>
    <n v="16315"/>
    <n v="2"/>
    <n v="25100"/>
    <n v="32630"/>
    <s v="Ajay Sharma"/>
    <n v="9750"/>
  </r>
  <r>
    <s v="139869"/>
    <s v="GJ"/>
    <s v="Aniruddha Kekapure"/>
    <s v="31/03/2020"/>
    <s v="Shipped"/>
    <s v="I7 - intel 12th Generation"/>
    <s v="CPU"/>
    <s v="Intel"/>
    <n v="14500"/>
    <n v="18850"/>
    <n v="1"/>
    <n v="14500"/>
    <n v="18850"/>
    <s v="Roshan Kumar"/>
    <n v="33150"/>
  </r>
  <r>
    <s v="139870"/>
    <s v="GJ"/>
    <s v="Aslam Raza"/>
    <s v="31/03/2020"/>
    <s v="Order"/>
    <s v="USB Keyboard"/>
    <s v="Keyboard"/>
    <s v="Dell"/>
    <n v="800"/>
    <n v="1040"/>
    <n v="2"/>
    <n v="1600"/>
    <n v="2080"/>
    <s v="Aarvi Gupta"/>
    <n v="3315"/>
  </r>
  <r>
    <s v="139871"/>
    <s v="GJ"/>
    <s v="Roshan Zameer"/>
    <s v="31/03/2020"/>
    <s v="Processing"/>
    <s v="Wireless Mouse"/>
    <s v="Mouse"/>
    <s v="Samsung"/>
    <n v="600"/>
    <n v="780"/>
    <n v="3"/>
    <n v="1800"/>
    <n v="2340"/>
    <s v="Vijay Singh"/>
    <n v="1690"/>
  </r>
  <r>
    <s v="139872"/>
    <s v="GJ"/>
    <s v="Rakesh Kumar Sharma"/>
    <s v="31/03/2020"/>
    <s v="Delivered"/>
    <s v="21&quot; LCD Display"/>
    <s v="Monitor"/>
    <s v="Dell"/>
    <n v="10500"/>
    <n v="13650"/>
    <n v="1"/>
    <n v="10500"/>
    <n v="13650"/>
    <s v="Aadil Khan"/>
    <n v="9750"/>
  </r>
  <r>
    <s v="139873"/>
    <s v="GJ"/>
    <s v="Shivanand Sahani"/>
    <s v="31/03/2020"/>
    <s v="Shipped"/>
    <s v="16 TB HDD"/>
    <s v="HDD"/>
    <s v="Western Digital"/>
    <n v="6500"/>
    <n v="8450"/>
    <n v="2"/>
    <n v="13000"/>
    <n v="16900"/>
    <s v="Advika Joshi"/>
    <n v="39000"/>
  </r>
  <r>
    <s v="139874"/>
    <s v="GJ"/>
    <s v="Kunal Patra"/>
    <s v="31/03/2020"/>
    <s v="Order"/>
    <s v="271 GB SSD"/>
    <s v="SSD"/>
    <s v="Samsung"/>
    <n v="4500"/>
    <n v="5850"/>
    <n v="4"/>
    <n v="18000"/>
    <n v="23400"/>
    <s v="Ajay Sharma"/>
    <n v="8450"/>
  </r>
  <r>
    <s v="139875"/>
    <s v="GJ"/>
    <s v="Bijendra"/>
    <s v="31/03/2020"/>
    <s v="Processing"/>
    <s v="Intel i3 11th gen."/>
    <s v="CPU"/>
    <s v="Intel"/>
    <n v="8500"/>
    <n v="11050"/>
    <n v="1"/>
    <n v="8500"/>
    <n v="11050"/>
    <s v="Roshan Kumar"/>
    <n v="33150"/>
  </r>
  <r>
    <s v="139876"/>
    <s v="GJ"/>
    <s v="Kranti Bheke"/>
    <s v="31/03/2020"/>
    <s v="Delivered"/>
    <s v="4GB Graphic card"/>
    <s v="Graphic Card"/>
    <s v="Nvidia"/>
    <n v="12500"/>
    <n v="16250"/>
    <n v="3"/>
    <n v="37500"/>
    <n v="48750"/>
    <s v="Aarvi Gupta"/>
    <n v="18200"/>
  </r>
  <r>
    <s v="139877"/>
    <s v="GJ"/>
    <s v="Jagdeep"/>
    <s v="31/03/2020"/>
    <s v="Shipped"/>
    <s v="23 GB DDR4 RAM"/>
    <s v="RAM"/>
    <s v="Hynix"/>
    <n v="3500"/>
    <n v="4550"/>
    <n v="1"/>
    <n v="3500"/>
    <n v="4550"/>
    <s v="Vijay Singh"/>
    <n v="25545"/>
  </r>
  <r>
    <s v="139878"/>
    <s v="GJ"/>
    <s v="Adhir Samal"/>
    <s v="31/03/2020"/>
    <s v="Order"/>
    <s v="BTX motherboard"/>
    <s v="MotherBoard"/>
    <s v="Gigabyte"/>
    <n v="4500"/>
    <n v="5850"/>
    <n v="2"/>
    <n v="9000"/>
    <n v="11700"/>
    <s v="Aadil Khan"/>
    <n v="39780"/>
  </r>
  <r>
    <s v="139879"/>
    <s v="GJ"/>
    <s v="Dannana Jhammi"/>
    <s v="31/03/2020"/>
    <s v="Processing"/>
    <s v="18 Fans Cabinet"/>
    <s v="Cabinet"/>
    <s v="Asus"/>
    <n v="2100"/>
    <n v="2730"/>
    <n v="4"/>
    <n v="8400"/>
    <n v="10920"/>
    <s v="Advika Joshi"/>
    <n v="2990"/>
  </r>
  <r>
    <s v="139880"/>
    <s v="GJ"/>
    <s v="Vipin Kumar"/>
    <s v="31/03/2020"/>
    <s v="Delivered"/>
    <s v="Wireless Keyboard"/>
    <s v="Keyboard"/>
    <s v="Dell"/>
    <n v="1150"/>
    <n v="1495"/>
    <n v="3"/>
    <n v="3450"/>
    <n v="4485"/>
    <s v="Ajay Sharma"/>
    <n v="3315"/>
  </r>
  <r>
    <s v="139881"/>
    <s v="GJ"/>
    <s v="Ranjeet Kumar"/>
    <s v="31/03/2020"/>
    <s v="Shipped"/>
    <s v="USB Mouse"/>
    <s v="Mouse"/>
    <s v="Samsung"/>
    <n v="350"/>
    <n v="455"/>
    <n v="4"/>
    <n v="1400"/>
    <n v="1820"/>
    <s v="Roshan Kumar"/>
    <n v="1690"/>
  </r>
  <r>
    <s v="139882"/>
    <s v="GJ"/>
    <s v="Sajal Singhal"/>
    <s v="31/03/2020"/>
    <s v="Order"/>
    <s v="19&quot; LED Display"/>
    <s v="Monitor"/>
    <s v="Dell"/>
    <n v="9500"/>
    <n v="12350"/>
    <n v="1"/>
    <n v="9500"/>
    <n v="12350"/>
    <s v="Aarvi Gupta"/>
    <n v="9750"/>
  </r>
  <r>
    <s v="139883"/>
    <s v="GJ"/>
    <s v="Akhilesh Kumar"/>
    <s v="31/03/2020"/>
    <s v="Processing"/>
    <s v="17 TB HDD"/>
    <s v="HDD"/>
    <s v="Western Digital"/>
    <n v="10000"/>
    <n v="13000"/>
    <n v="2"/>
    <n v="20000"/>
    <n v="26000"/>
    <s v="Vijay Singh"/>
    <n v="39000"/>
  </r>
  <r>
    <s v="139884"/>
    <s v="GJ"/>
    <s v="Suvankar Chakraborty"/>
    <s v="31/03/2020"/>
    <s v="Delivered"/>
    <s v="527 GB M.2"/>
    <s v="SSD"/>
    <s v="Samsung"/>
    <n v="6500"/>
    <n v="8450"/>
    <n v="3"/>
    <n v="19500"/>
    <n v="25350"/>
    <s v="Aadil Khan"/>
    <n v="8450"/>
  </r>
  <r>
    <s v="139885"/>
    <s v="GJ"/>
    <s v="Suvankar Adhikary"/>
    <s v="31/03/2020"/>
    <s v="Shipped"/>
    <s v="RYZEN 3rd gen. 3515"/>
    <s v="CPU"/>
    <s v="Intel"/>
    <n v="8500"/>
    <n v="11050"/>
    <n v="1"/>
    <n v="8500"/>
    <n v="11050"/>
    <s v="Advika Joshi"/>
    <n v="33150"/>
  </r>
  <r>
    <s v="139886"/>
    <s v="GJ"/>
    <s v="Rahul Kumar Prajapati"/>
    <s v="31/03/2020"/>
    <s v="Order"/>
    <s v="2GB Graphic Card"/>
    <s v="Graphic Card"/>
    <s v="Nvidia"/>
    <n v="7000"/>
    <n v="9100"/>
    <n v="3"/>
    <n v="21000"/>
    <n v="27300"/>
    <s v="Ajay Sharma"/>
    <n v="18200"/>
  </r>
  <r>
    <s v="139887"/>
    <s v="GJ"/>
    <s v="Sagar Jeur"/>
    <s v="31/03/2020"/>
    <s v="Processing"/>
    <s v="31 GB DDR4 RAM"/>
    <s v="RAM"/>
    <s v="Hynix"/>
    <n v="6550"/>
    <n v="8515"/>
    <n v="3"/>
    <n v="19650"/>
    <n v="25545"/>
    <s v="Roshan Kumar"/>
    <n v="25545"/>
  </r>
  <r>
    <s v="139888"/>
    <s v="GJ"/>
    <s v="Rhushikesh Mane"/>
    <s v="31/03/2020"/>
    <s v="Delivered"/>
    <s v="Standard ATX motherboard"/>
    <s v="MotherBoard"/>
    <s v="Gigabyte"/>
    <n v="7650"/>
    <n v="9945"/>
    <n v="4"/>
    <n v="30600"/>
    <n v="39780"/>
    <s v="Aarvi Gupta"/>
    <n v="39780"/>
  </r>
  <r>
    <s v="139889"/>
    <s v="GJ"/>
    <s v="Ashish Kumar"/>
    <s v="31/03/2020"/>
    <s v="Shipped"/>
    <s v="Compact with 1 Fan"/>
    <s v="Cabinet"/>
    <s v="Asus"/>
    <n v="1150"/>
    <n v="1495"/>
    <n v="4"/>
    <n v="4600"/>
    <n v="5980"/>
    <s v="Vijay Singh"/>
    <n v="2990"/>
  </r>
  <r>
    <s v="139890"/>
    <s v="GJ"/>
    <s v="Javed Akhter"/>
    <s v="31/03/2020"/>
    <s v="Order"/>
    <s v="USB Backlight Keyboard"/>
    <s v="Keyboard"/>
    <s v="Dell"/>
    <n v="850"/>
    <n v="1105"/>
    <n v="3"/>
    <n v="2550"/>
    <n v="3315"/>
    <s v="Aadil Khan"/>
    <n v="3315"/>
  </r>
  <r>
    <s v="139891"/>
    <s v="GJ"/>
    <s v="Haridas Balraj"/>
    <s v="31/03/2020"/>
    <s v="Processing"/>
    <s v="Ergonomic Mouse"/>
    <s v="Mouse"/>
    <s v="Samsung"/>
    <n v="650"/>
    <n v="845"/>
    <n v="1"/>
    <n v="650"/>
    <n v="845"/>
    <s v="Advika Joshi"/>
    <n v="1690"/>
  </r>
  <r>
    <s v="139892"/>
    <s v="GJ"/>
    <s v="Kundan Kumar"/>
    <s v="31/03/2020"/>
    <s v="Delivered"/>
    <s v="15&quot; LCD Dsipaly"/>
    <s v="Monitor"/>
    <s v="Dell"/>
    <n v="7500"/>
    <n v="9750"/>
    <n v="2"/>
    <n v="15000"/>
    <n v="19500"/>
    <s v="Ajay Sharma"/>
    <n v="9750"/>
  </r>
  <r>
    <s v="139893"/>
    <s v="GJ"/>
    <s v="Atif Siddiqui"/>
    <s v="31/03/2020"/>
    <s v="Shipped"/>
    <s v="17 TB HDD"/>
    <s v="HDD"/>
    <s v="Seagate"/>
    <n v="10000"/>
    <n v="13000"/>
    <n v="1"/>
    <n v="10000"/>
    <n v="13000"/>
    <s v="Roshan Kumar"/>
    <n v="39000"/>
  </r>
  <r>
    <s v="139894"/>
    <s v="GJ"/>
    <s v="Aditya Agarwal"/>
    <s v="31/03/2020"/>
    <s v="Order"/>
    <s v="16 TB SSD"/>
    <s v="SSD"/>
    <s v="Samsung"/>
    <n v="10500"/>
    <n v="13650"/>
    <n v="3"/>
    <n v="31500"/>
    <n v="40950"/>
    <s v="Aarvi Gupta"/>
    <n v="8450"/>
  </r>
  <r>
    <s v="139895"/>
    <s v="GJ"/>
    <s v="Firdoush Jabee"/>
    <s v="31/03/2020"/>
    <s v="Processing"/>
    <s v="Intel i5 12th gen."/>
    <s v="CPU"/>
    <s v="Intel"/>
    <n v="8500"/>
    <n v="11050"/>
    <n v="2"/>
    <n v="17000"/>
    <n v="22100"/>
    <s v="Vijay Singh"/>
    <n v="33150"/>
  </r>
  <r>
    <s v="139896"/>
    <s v="GJ"/>
    <s v="Jay Prakash Kumar"/>
    <s v="31/03/2020"/>
    <s v="Delivered"/>
    <s v="2GB Graphic Card"/>
    <s v="Graphic Card"/>
    <s v="Nvidia"/>
    <n v="7000"/>
    <n v="9100"/>
    <n v="2"/>
    <n v="14000"/>
    <n v="18200"/>
    <s v="Aadil Khan"/>
    <n v="18200"/>
  </r>
  <r>
    <s v="139897"/>
    <s v="GJ"/>
    <s v="Ashish Pandey"/>
    <s v="31/03/2020"/>
    <s v="Shipped"/>
    <s v="19 GB DDR4 Ram"/>
    <s v="RAM"/>
    <s v="Hynix"/>
    <n v="1680"/>
    <n v="2184"/>
    <n v="2"/>
    <n v="3360"/>
    <n v="4368"/>
    <s v="Advika Joshi"/>
    <n v="25545"/>
  </r>
  <r>
    <s v="139898"/>
    <s v="GJ"/>
    <s v="Ajay Sharma"/>
    <s v="31/03/2020"/>
    <s v="Order"/>
    <s v="Micro ATX motherboard"/>
    <s v="MotherBoard"/>
    <s v="MSI"/>
    <n v="6540"/>
    <n v="8502"/>
    <n v="4"/>
    <n v="26160"/>
    <n v="34008"/>
    <s v="Ajay Sharma"/>
    <n v="39780"/>
  </r>
  <r>
    <s v="139899"/>
    <s v="GJ"/>
    <s v="Moinuddin Saifi"/>
    <s v="31/03/2020"/>
    <s v="Processing"/>
    <s v="Gaming Box Cabinet"/>
    <s v="Cabinet"/>
    <s v="Asus"/>
    <n v="2680"/>
    <n v="3484"/>
    <n v="4"/>
    <n v="10720"/>
    <n v="13936"/>
    <s v="Roshan Kumar"/>
    <n v="2990"/>
  </r>
  <r>
    <s v="139900"/>
    <s v="GJ"/>
    <s v="Ramkrishna Das Adhikary"/>
    <s v="31/03/2020"/>
    <s v="Delivered"/>
    <s v="17&quot; LCD Display"/>
    <s v="Monitor"/>
    <s v="Samsung"/>
    <n v="8250"/>
    <n v="10725"/>
    <n v="2"/>
    <n v="16500"/>
    <n v="21450"/>
    <s v="Aarvi Gupta"/>
    <n v="9750"/>
  </r>
  <r>
    <s v="139901"/>
    <s v="GJ"/>
    <s v="Ranjeet Mandal"/>
    <s v="31/03/2020"/>
    <s v="Shipped"/>
    <s v="23 GB DDR4 RAM"/>
    <s v="RAM"/>
    <s v="Samsung"/>
    <n v="2650"/>
    <n v="3445"/>
    <n v="2"/>
    <n v="5300"/>
    <n v="6890"/>
    <s v="Vijay Singh"/>
    <n v="25545"/>
  </r>
  <r>
    <s v="139902"/>
    <s v="GJ"/>
    <s v="Ashwini Adsare"/>
    <s v="31/03/2020"/>
    <s v="Order"/>
    <s v="26&quot; LCD Display"/>
    <s v="Monitor"/>
    <s v="Acer"/>
    <n v="12550"/>
    <n v="16315"/>
    <n v="2"/>
    <n v="25100"/>
    <n v="32630"/>
    <s v="Aadil Khan"/>
    <n v="9750"/>
  </r>
  <r>
    <s v="139903"/>
    <s v="GJ"/>
    <s v="Rajesh Variya"/>
    <s v="31/03/2020"/>
    <s v="Processing"/>
    <s v="I7 - intel 12th Generation"/>
    <s v="CPU"/>
    <s v="Intel"/>
    <n v="14500"/>
    <n v="18850"/>
    <n v="3"/>
    <n v="43500"/>
    <n v="56550"/>
    <s v="Advika Joshi"/>
    <n v="33150"/>
  </r>
  <r>
    <s v="139904"/>
    <s v="GJ"/>
    <s v="Amit Singh"/>
    <s v="31/03/2020"/>
    <s v="Delivered"/>
    <s v="USB Keyboard"/>
    <s v="Keyboard"/>
    <s v="Dell"/>
    <n v="800"/>
    <n v="1040"/>
    <n v="1"/>
    <n v="800"/>
    <n v="1040"/>
    <s v="Ajay Sharma"/>
    <n v="3315"/>
  </r>
  <r>
    <s v="139905"/>
    <s v="GJ"/>
    <s v="Vinod Mehta"/>
    <s v="31/03/2020"/>
    <s v="Shipped"/>
    <s v="Wireless Mouse"/>
    <s v="Mouse"/>
    <s v="Samsung"/>
    <n v="600"/>
    <n v="780"/>
    <n v="3"/>
    <n v="1800"/>
    <n v="2340"/>
    <s v="Roshan Kumar"/>
    <n v="1690"/>
  </r>
  <r>
    <s v="139906"/>
    <s v="GJ"/>
    <s v="Jignesh Mhatre"/>
    <s v="31/03/2020"/>
    <s v="Order"/>
    <s v="21&quot; LCD Display"/>
    <s v="Monitor"/>
    <s v="Dell"/>
    <n v="10500"/>
    <n v="13650"/>
    <n v="2"/>
    <n v="21000"/>
    <n v="27300"/>
    <s v="Aarvi Gupta"/>
    <n v="9750"/>
  </r>
  <r>
    <s v="139907"/>
    <s v="GJ"/>
    <s v="Rahul Kashyap"/>
    <s v="31/03/2020"/>
    <s v="Processing"/>
    <s v="17 TB HDD"/>
    <s v="HDD"/>
    <s v="Western Digital"/>
    <n v="6500"/>
    <n v="8450"/>
    <n v="2"/>
    <n v="13000"/>
    <n v="16900"/>
    <s v="Vijay Singh"/>
    <n v="39000"/>
  </r>
  <r>
    <s v="139908"/>
    <s v="GJ"/>
    <s v="Mohammed Abdul Kaleem"/>
    <s v="31/03/2020"/>
    <s v="Delivered"/>
    <s v="272 GB SSD"/>
    <s v="SSD"/>
    <s v="Samsung"/>
    <n v="4500"/>
    <n v="5850"/>
    <n v="2"/>
    <n v="9000"/>
    <n v="11700"/>
    <s v="Aadil Khan"/>
    <n v="8450"/>
  </r>
  <r>
    <s v="139909"/>
    <s v="GJ"/>
    <s v="Chandrakant Kasbe"/>
    <s v="31/03/2020"/>
    <s v="Shipped"/>
    <s v="Intel i3 11th gen."/>
    <s v="CPU"/>
    <s v="Intel"/>
    <n v="8500"/>
    <n v="11050"/>
    <n v="3"/>
    <n v="25500"/>
    <n v="33150"/>
    <s v="Advika Joshi"/>
    <n v="33150"/>
  </r>
  <r>
    <s v="139910"/>
    <s v="GJ"/>
    <s v="Rohan Kale"/>
    <s v="31/03/2020"/>
    <s v="Order"/>
    <s v="4GB Graphic card"/>
    <s v="Graphic Card"/>
    <s v="Nvidia"/>
    <n v="12500"/>
    <n v="16250"/>
    <n v="2"/>
    <n v="25000"/>
    <n v="32500"/>
    <s v="Ajay Sharma"/>
    <n v="18200"/>
  </r>
  <r>
    <s v="139911"/>
    <s v="GJ"/>
    <s v="Aniruddha Kekapure"/>
    <s v="31/03/2020"/>
    <s v="Processing"/>
    <s v="24 GB DDR4 RAM"/>
    <s v="Computer Case"/>
    <s v="Hynix"/>
    <n v="3500"/>
    <n v="4550"/>
    <n v="1"/>
    <n v="3500"/>
    <n v="4550"/>
    <s v="Roshan Kumar"/>
    <n v="13650"/>
  </r>
  <r>
    <s v="139912"/>
    <s v="GJ"/>
    <s v="Aslam Raza"/>
    <s v="31/03/2020"/>
    <s v="Delivered"/>
    <s v="BTX motherboard"/>
    <s v="Mouse"/>
    <s v="Gigabyte"/>
    <n v="4500"/>
    <n v="5850"/>
    <n v="1"/>
    <n v="4500"/>
    <n v="5850"/>
    <s v="Aarvi Gupta"/>
    <n v="1690"/>
  </r>
  <r>
    <s v="139913"/>
    <s v="GJ"/>
    <s v="Roshan Zameer"/>
    <s v="31/03/2020"/>
    <s v="Shipped"/>
    <s v="19 Fans Cabinet"/>
    <s v="Cabinet"/>
    <s v="Asus"/>
    <n v="2100"/>
    <n v="2730"/>
    <n v="3"/>
    <n v="6300"/>
    <n v="8190"/>
    <s v="Vijay Singh"/>
    <n v="2990"/>
  </r>
  <r>
    <s v="139914"/>
    <s v="GJ"/>
    <s v="Rakesh Kumar Sharma"/>
    <s v="31/03/2020"/>
    <s v="Order"/>
    <s v="Wireless Keyboard"/>
    <s v="Keyboard"/>
    <s v="Dell"/>
    <n v="1150"/>
    <n v="1495"/>
    <n v="4"/>
    <n v="4600"/>
    <n v="5980"/>
    <s v="Aadil Khan"/>
    <n v="3315"/>
  </r>
  <r>
    <s v="139915"/>
    <s v="GJ"/>
    <s v="Shivanand Sahani"/>
    <s v="31/03/2020"/>
    <s v="Processing"/>
    <s v="USB Mouse"/>
    <s v="Mouse"/>
    <s v="Samsung"/>
    <n v="350"/>
    <n v="455"/>
    <n v="4"/>
    <n v="1400"/>
    <n v="1820"/>
    <s v="Advika Joshi"/>
    <n v="1690"/>
  </r>
  <r>
    <s v="139916"/>
    <s v="GJ"/>
    <s v="Kunal Patra"/>
    <s v="01/04/2020"/>
    <s v="Delivered"/>
    <s v="19&quot; LED Display"/>
    <s v="Monitor"/>
    <s v="Dell"/>
    <n v="9500"/>
    <n v="12350"/>
    <n v="3"/>
    <n v="28500"/>
    <n v="37050"/>
    <s v="Ajay Sharma"/>
    <n v="9750"/>
  </r>
  <r>
    <s v="139917"/>
    <s v="GJ"/>
    <s v="Bijendra"/>
    <s v="02/04/2020"/>
    <s v="Shipped"/>
    <s v="18 TB HDD"/>
    <s v="HDD"/>
    <s v="Western Digital"/>
    <n v="10000"/>
    <n v="13000"/>
    <n v="1"/>
    <n v="10000"/>
    <n v="13000"/>
    <s v="Roshan Kumar"/>
    <n v="39000"/>
  </r>
  <r>
    <s v="139918"/>
    <s v="GJ"/>
    <s v="Kranti Bheke"/>
    <s v="03/04/2020"/>
    <s v="Order"/>
    <s v="528 GB M.2"/>
    <s v="SSD"/>
    <s v="Samsung"/>
    <n v="6500"/>
    <n v="8450"/>
    <n v="4"/>
    <n v="26000"/>
    <n v="33800"/>
    <s v="Aarvi Gupta"/>
    <n v="8450"/>
  </r>
  <r>
    <s v="139919"/>
    <s v="GJ"/>
    <s v="Jagdeep"/>
    <s v="03/04/2020"/>
    <s v="Processing"/>
    <s v="RYZEN 3rd gen. 3516"/>
    <s v="CPU"/>
    <s v="Intel"/>
    <n v="8500"/>
    <n v="11050"/>
    <n v="2"/>
    <n v="17000"/>
    <n v="22100"/>
    <s v="Vijay Singh"/>
    <n v="33150"/>
  </r>
  <r>
    <s v="139920"/>
    <s v="GJ"/>
    <s v="Adhir Samal"/>
    <s v="03/04/2020"/>
    <s v="Delivered"/>
    <s v="2GB Graphic Card"/>
    <s v="Graphic Card"/>
    <s v="Nvidia"/>
    <n v="7000"/>
    <n v="9100"/>
    <n v="3"/>
    <n v="21000"/>
    <n v="27300"/>
    <s v="Aadil Khan"/>
    <n v="18200"/>
  </r>
  <r>
    <s v="139921"/>
    <s v="GJ"/>
    <s v="Dannana Jhammi"/>
    <s v="03/04/2020"/>
    <s v="Shipped"/>
    <s v="32 GB DDR4 RAM"/>
    <s v="Computer Case"/>
    <s v="Hynix"/>
    <n v="6550"/>
    <n v="8515"/>
    <n v="2"/>
    <n v="13100"/>
    <n v="17030"/>
    <s v="Advika Joshi"/>
    <n v="13650"/>
  </r>
  <r>
    <s v="139922"/>
    <s v="GJ"/>
    <s v="Vipin Kumar"/>
    <s v="03/04/2020"/>
    <s v="Order"/>
    <s v="Standard ATX motherboard"/>
    <s v="Mouse"/>
    <s v="Gigabyte"/>
    <n v="7650"/>
    <n v="9945"/>
    <n v="4"/>
    <n v="30600"/>
    <n v="39780"/>
    <s v="Ajay Sharma"/>
    <n v="1690"/>
  </r>
  <r>
    <s v="139923"/>
    <s v="GJ"/>
    <s v="Ranjeet Kumar"/>
    <s v="03/04/2020"/>
    <s v="Processing"/>
    <s v="Compact with 1 Fan"/>
    <s v="Cabinet"/>
    <s v="Asus"/>
    <n v="1150"/>
    <n v="1495"/>
    <n v="4"/>
    <n v="4600"/>
    <n v="5980"/>
    <s v="Roshan Kumar"/>
    <n v="2990"/>
  </r>
  <r>
    <s v="139924"/>
    <s v="GJ"/>
    <s v="Sajal Singhal"/>
    <s v="03/04/2020"/>
    <s v="Delivered"/>
    <s v="USB Backlight Keyboard"/>
    <s v="Keyboard"/>
    <s v="Dell"/>
    <n v="850"/>
    <n v="1105"/>
    <n v="1"/>
    <n v="850"/>
    <n v="1105"/>
    <s v="Aarvi Gupta"/>
    <n v="3315"/>
  </r>
  <r>
    <s v="139925"/>
    <s v="GJ"/>
    <s v="Akhilesh Kumar"/>
    <s v="03/04/2020"/>
    <s v="Shipped"/>
    <s v="Ergonomic Mouse"/>
    <s v="Mouse"/>
    <s v="Samsung"/>
    <n v="650"/>
    <n v="845"/>
    <n v="4"/>
    <n v="2600"/>
    <n v="3380"/>
    <s v="Vijay Singh"/>
    <n v="1690"/>
  </r>
  <r>
    <s v="139926"/>
    <s v="GJ"/>
    <s v="Suvankar Chakraborty"/>
    <s v="03/04/2020"/>
    <s v="Order"/>
    <s v="15&quot; LCD Dsipaly"/>
    <s v="Monitor"/>
    <s v="Dell"/>
    <n v="7500"/>
    <n v="9750"/>
    <n v="2"/>
    <n v="15000"/>
    <n v="19500"/>
    <s v="Aadil Khan"/>
    <n v="9750"/>
  </r>
  <r>
    <s v="139927"/>
    <s v="GJ"/>
    <s v="Suvankar Adhikary"/>
    <s v="03/04/2020"/>
    <s v="Processing"/>
    <s v="18 TB HDD"/>
    <s v="HDD"/>
    <s v="Seagate"/>
    <n v="10000"/>
    <n v="13000"/>
    <n v="2"/>
    <n v="20000"/>
    <n v="26000"/>
    <s v="Advika Joshi"/>
    <n v="39000"/>
  </r>
  <r>
    <s v="139928"/>
    <s v="GJ"/>
    <s v="Rahul Kumar Prajapati"/>
    <s v="03/04/2020"/>
    <s v="Delivered"/>
    <s v="17 TB SSD"/>
    <s v="SSD"/>
    <s v="Samsung"/>
    <n v="10500"/>
    <n v="13650"/>
    <n v="3"/>
    <n v="31500"/>
    <n v="40950"/>
    <s v="Ajay Sharma"/>
    <n v="8450"/>
  </r>
  <r>
    <s v="139929"/>
    <s v="GJ"/>
    <s v="Sagar Jeur"/>
    <s v="03/04/2020"/>
    <s v="Shipped"/>
    <s v="Intel i5 12th gen."/>
    <s v="CPU"/>
    <s v="Intel"/>
    <n v="8500"/>
    <n v="11050"/>
    <n v="3"/>
    <n v="25500"/>
    <n v="33150"/>
    <s v="Roshan Kumar"/>
    <n v="33150"/>
  </r>
  <r>
    <s v="139930"/>
    <s v="GJ"/>
    <s v="Rhushikesh Mane"/>
    <s v="03/04/2020"/>
    <s v="Order"/>
    <s v="2GB Graphic Card"/>
    <s v="Graphic Card"/>
    <s v="Nvidia"/>
    <n v="7000"/>
    <n v="9100"/>
    <n v="4"/>
    <n v="28000"/>
    <n v="36400"/>
    <s v="Aarvi Gupta"/>
    <n v="18200"/>
  </r>
  <r>
    <s v="139931"/>
    <s v="GJ"/>
    <s v="Ashish Kumar"/>
    <s v="03/04/2020"/>
    <s v="Processing"/>
    <s v="20 GB DDR4 Ram"/>
    <s v="Computer Case"/>
    <s v="Hynix"/>
    <n v="1680"/>
    <n v="2184"/>
    <n v="2"/>
    <n v="3360"/>
    <n v="4368"/>
    <s v="Vijay Singh"/>
    <n v="13650"/>
  </r>
  <r>
    <s v="139932"/>
    <s v="GJ"/>
    <s v="Javed Akhter"/>
    <s v="03/04/2020"/>
    <s v="Delivered"/>
    <s v="Micro ATX motherboard"/>
    <s v="Mouse"/>
    <s v="MSI"/>
    <n v="6540"/>
    <n v="8502"/>
    <n v="1"/>
    <n v="6540"/>
    <n v="8502"/>
    <s v="Aadil Khan"/>
    <n v="1690"/>
  </r>
  <r>
    <s v="139933"/>
    <s v="GJ"/>
    <s v="Haridas Balraj"/>
    <s v="03/04/2020"/>
    <s v="Shipped"/>
    <s v="Gaming Box Cabinet"/>
    <s v="Cabinet"/>
    <s v="Asus"/>
    <n v="2680"/>
    <n v="3484"/>
    <n v="4"/>
    <n v="10720"/>
    <n v="13936"/>
    <s v="Advika Joshi"/>
    <n v="2990"/>
  </r>
  <r>
    <s v="139934"/>
    <s v="GJ"/>
    <s v="Kundan Kumar"/>
    <s v="03/04/2020"/>
    <s v="Order"/>
    <s v="17&quot; LCD Display"/>
    <s v="Monitor"/>
    <s v="Samsung"/>
    <n v="8250"/>
    <n v="10725"/>
    <n v="1"/>
    <n v="8250"/>
    <n v="10725"/>
    <s v="Ajay Sharma"/>
    <n v="9750"/>
  </r>
  <r>
    <s v="139935"/>
    <s v="GJ"/>
    <s v="Atif Siddiqui"/>
    <s v="03/04/2020"/>
    <s v="Processing"/>
    <s v="24 GB DDR4 RAM"/>
    <s v="RAM"/>
    <s v="Samsung"/>
    <n v="2650"/>
    <n v="3445"/>
    <n v="1"/>
    <n v="2650"/>
    <n v="3445"/>
    <s v="Roshan Kumar"/>
    <n v="25545"/>
  </r>
  <r>
    <s v="139936"/>
    <s v="GJ"/>
    <s v="Aditya Agarwal"/>
    <s v="03/04/2020"/>
    <s v="Delivered"/>
    <s v="26&quot; LCD Display"/>
    <s v="Monitor"/>
    <s v="Acer"/>
    <n v="12550"/>
    <n v="16315"/>
    <n v="1"/>
    <n v="12550"/>
    <n v="16315"/>
    <s v="Aarvi Gupta"/>
    <n v="9750"/>
  </r>
  <r>
    <s v="139937"/>
    <s v="GJ"/>
    <s v="Firdoush Jabee"/>
    <s v="03/04/2020"/>
    <s v="Shipped"/>
    <s v="I7 - intel 12th Generation"/>
    <s v="CPU"/>
    <s v="Intel"/>
    <n v="14500"/>
    <n v="18850"/>
    <n v="2"/>
    <n v="29000"/>
    <n v="37700"/>
    <s v="Vijay Singh"/>
    <n v="33150"/>
  </r>
  <r>
    <s v="139938"/>
    <s v="GJ"/>
    <s v="Jay Prakash Kumar"/>
    <s v="03/04/2020"/>
    <s v="Order"/>
    <s v="USB Keyboard"/>
    <s v="Keyboard"/>
    <s v="Dell"/>
    <n v="800"/>
    <n v="1040"/>
    <n v="3"/>
    <n v="2400"/>
    <n v="3120"/>
    <s v="Aadil Khan"/>
    <n v="3315"/>
  </r>
  <r>
    <s v="139939"/>
    <s v="GJ"/>
    <s v="Ashish Pandey"/>
    <s v="03/04/2020"/>
    <s v="Processing"/>
    <s v="Wireless Mouse"/>
    <s v="Mouse"/>
    <s v="Samsung"/>
    <n v="600"/>
    <n v="780"/>
    <n v="1"/>
    <n v="600"/>
    <n v="780"/>
    <s v="Advika Joshi"/>
    <n v="1690"/>
  </r>
  <r>
    <s v="139940"/>
    <s v="GJ"/>
    <s v="Ajay Sharma"/>
    <s v="03/04/2020"/>
    <s v="Delivered"/>
    <s v="21&quot; LCD Display"/>
    <s v="Monitor"/>
    <s v="Dell"/>
    <n v="10500"/>
    <n v="13650"/>
    <n v="1"/>
    <n v="10500"/>
    <n v="13650"/>
    <s v="Ajay Sharma"/>
    <n v="9750"/>
  </r>
  <r>
    <s v="139941"/>
    <s v="GJ"/>
    <s v="Moinuddin Saifi"/>
    <s v="03/04/2020"/>
    <s v="Shipped"/>
    <s v="18 TB HDD"/>
    <s v="HDD"/>
    <s v="Western Digital"/>
    <n v="6500"/>
    <n v="8450"/>
    <n v="2"/>
    <n v="13000"/>
    <n v="16900"/>
    <s v="Roshan Kumar"/>
    <n v="39000"/>
  </r>
  <r>
    <s v="139942"/>
    <s v="GJ"/>
    <s v="Ramkrishna Das Adhikary"/>
    <s v="03/04/2020"/>
    <s v="Order"/>
    <s v="273 GB SSD"/>
    <s v="SSD"/>
    <s v="Samsung"/>
    <n v="4500"/>
    <n v="5850"/>
    <n v="2"/>
    <n v="9000"/>
    <n v="11700"/>
    <s v="Aarvi Gupta"/>
    <n v="8450"/>
  </r>
  <r>
    <s v="139943"/>
    <s v="GJ"/>
    <s v="Ranjeet Mandal"/>
    <s v="03/04/2020"/>
    <s v="Processing"/>
    <s v="Intel i3 11th gen."/>
    <s v="CPU"/>
    <s v="Intel"/>
    <n v="8500"/>
    <n v="11050"/>
    <n v="2"/>
    <n v="17000"/>
    <n v="22100"/>
    <s v="Vijay Singh"/>
    <n v="33150"/>
  </r>
  <r>
    <s v="139944"/>
    <s v="GJ"/>
    <s v="Ashwini Adsare"/>
    <s v="03/04/2020"/>
    <s v="Delivered"/>
    <s v="4GB Graphic card"/>
    <s v="Graphic Card"/>
    <s v="Nvidia"/>
    <n v="12500"/>
    <n v="16250"/>
    <n v="1"/>
    <n v="12500"/>
    <n v="16250"/>
    <s v="Aadil Khan"/>
    <n v="18200"/>
  </r>
  <r>
    <s v="139945"/>
    <s v="GJ"/>
    <s v="Rajesh Variya"/>
    <s v="03/04/2020"/>
    <s v="Shipped"/>
    <s v="25 GB DDR4 RAM"/>
    <s v="NIC"/>
    <s v="Hynix"/>
    <n v="3500"/>
    <n v="4550"/>
    <n v="2"/>
    <n v="7000"/>
    <n v="9100"/>
    <s v="Advika Joshi"/>
    <n v="9100"/>
  </r>
  <r>
    <s v="139946"/>
    <s v="GJ"/>
    <s v="Amit Singh"/>
    <s v="03/04/2020"/>
    <s v="Order"/>
    <s v="BTX motherboard"/>
    <s v="Printer"/>
    <s v="Gigabyte"/>
    <n v="4500"/>
    <n v="5850"/>
    <n v="1"/>
    <n v="4500"/>
    <n v="5850"/>
    <s v="Ajay Sharma"/>
    <n v="11700"/>
  </r>
  <r>
    <s v="139947"/>
    <s v="GJ"/>
    <s v="Vinod Mehta"/>
    <s v="03/04/2020"/>
    <s v="Processing"/>
    <s v="20 Fans Cabinet"/>
    <s v="Cabinet"/>
    <s v="Asus"/>
    <n v="2100"/>
    <n v="2730"/>
    <n v="2"/>
    <n v="4200"/>
    <n v="5460"/>
    <s v="Roshan Kumar"/>
    <n v="2990"/>
  </r>
  <r>
    <s v="139948"/>
    <s v="GJ"/>
    <s v="Jignesh Mhatre"/>
    <s v="03/04/2020"/>
    <s v="Delivered"/>
    <s v="Wireless Keyboard"/>
    <s v="Keyboard"/>
    <s v="Dell"/>
    <n v="1150"/>
    <n v="1495"/>
    <n v="1"/>
    <n v="1150"/>
    <n v="1495"/>
    <s v="Aarvi Gupta"/>
    <n v="3315"/>
  </r>
  <r>
    <s v="139949"/>
    <s v="GJ"/>
    <s v="Rahul Kashyap"/>
    <s v="03/04/2020"/>
    <s v="Shipped"/>
    <s v="USB Mouse"/>
    <s v="Mouse"/>
    <s v="Samsung"/>
    <n v="350"/>
    <n v="455"/>
    <n v="4"/>
    <n v="1400"/>
    <n v="1820"/>
    <s v="Vijay Singh"/>
    <n v="1690"/>
  </r>
  <r>
    <s v="139950"/>
    <s v="GJ"/>
    <s v="Mohammed Abdul Kaleem"/>
    <s v="03/04/2020"/>
    <s v="Order"/>
    <s v="19&quot; LED Display"/>
    <s v="Monitor"/>
    <s v="Dell"/>
    <n v="9500"/>
    <n v="12350"/>
    <n v="1"/>
    <n v="9500"/>
    <n v="12350"/>
    <s v="Aadil Khan"/>
    <n v="9750"/>
  </r>
  <r>
    <s v="139951"/>
    <s v="GJ"/>
    <s v="Chandrakant Kasbe"/>
    <s v="03/04/2020"/>
    <s v="Processing"/>
    <s v="19 TB HDD"/>
    <s v="HDD"/>
    <s v="Western Digital"/>
    <n v="10000"/>
    <n v="13000"/>
    <n v="2"/>
    <n v="20000"/>
    <n v="26000"/>
    <s v="Advika Joshi"/>
    <n v="39000"/>
  </r>
  <r>
    <s v="139952"/>
    <s v="GJ"/>
    <s v="Rohan Kale"/>
    <s v="03/04/2020"/>
    <s v="Delivered"/>
    <s v="529 GB M.2"/>
    <s v="SSD"/>
    <s v="Samsung"/>
    <n v="6500"/>
    <n v="8450"/>
    <n v="1"/>
    <n v="6500"/>
    <n v="8450"/>
    <s v="Ajay Sharma"/>
    <n v="8450"/>
  </r>
  <r>
    <s v="139953"/>
    <s v="GJ"/>
    <s v="Aniruddha Kekapure"/>
    <s v="03/04/2020"/>
    <s v="Shipped"/>
    <s v="RYZEN 3rd gen. 3517"/>
    <s v="CPU"/>
    <s v="Intel"/>
    <n v="8500"/>
    <n v="11050"/>
    <n v="4"/>
    <n v="34000"/>
    <n v="44200"/>
    <s v="Roshan Kumar"/>
    <n v="33150"/>
  </r>
  <r>
    <s v="139954"/>
    <s v="GJ"/>
    <s v="Aslam Raza"/>
    <s v="03/04/2020"/>
    <s v="Order"/>
    <s v="2GB Graphic Card"/>
    <s v="Graphic Card"/>
    <s v="Nvidia"/>
    <n v="7000"/>
    <n v="9100"/>
    <n v="2"/>
    <n v="14000"/>
    <n v="18200"/>
    <s v="Aarvi Gupta"/>
    <n v="18200"/>
  </r>
  <r>
    <s v="139955"/>
    <s v="GJ"/>
    <s v="Roshan Zameer"/>
    <s v="03/04/2020"/>
    <s v="Processing"/>
    <s v="33 GB DDR4 RAM"/>
    <s v="NIC"/>
    <s v="Hynix"/>
    <n v="6550"/>
    <n v="8515"/>
    <n v="2"/>
    <n v="13100"/>
    <n v="17030"/>
    <s v="Vijay Singh"/>
    <n v="9100"/>
  </r>
  <r>
    <s v="139956"/>
    <s v="GJ"/>
    <s v="Rakesh Kumar Sharma"/>
    <s v="03/04/2020"/>
    <s v="Delivered"/>
    <s v="Standard ATX motherboard"/>
    <s v="Printer"/>
    <s v="Gigabyte"/>
    <n v="7650"/>
    <n v="9945"/>
    <n v="2"/>
    <n v="15300"/>
    <n v="19890"/>
    <s v="Aadil Khan"/>
    <n v="11700"/>
  </r>
  <r>
    <s v="139957"/>
    <s v="GJ"/>
    <s v="Shivanand Sahani"/>
    <s v="03/04/2020"/>
    <s v="Shipped"/>
    <s v="Compact with 1 Fan"/>
    <s v="Cabinet"/>
    <s v="Asus"/>
    <n v="1150"/>
    <n v="1495"/>
    <n v="1"/>
    <n v="1150"/>
    <n v="1495"/>
    <s v="Advika Joshi"/>
    <n v="2990"/>
  </r>
  <r>
    <s v="139958"/>
    <s v="GJ"/>
    <s v="Kunal Patra"/>
    <s v="03/04/2020"/>
    <s v="Order"/>
    <s v="USB Backlight Keyboard"/>
    <s v="Keyboard"/>
    <s v="Dell"/>
    <n v="850"/>
    <n v="1105"/>
    <n v="4"/>
    <n v="3400"/>
    <n v="4420"/>
    <s v="Ajay Sharma"/>
    <n v="3315"/>
  </r>
  <r>
    <s v="139959"/>
    <s v="GJ"/>
    <s v="Bijendra"/>
    <s v="03/04/2020"/>
    <s v="Processing"/>
    <s v="Ergonomic Mouse"/>
    <s v="Mouse"/>
    <s v="Samsung"/>
    <n v="650"/>
    <n v="845"/>
    <n v="1"/>
    <n v="650"/>
    <n v="845"/>
    <s v="Roshan Kumar"/>
    <n v="1690"/>
  </r>
  <r>
    <s v="139960"/>
    <s v="GJ"/>
    <s v="Kranti Bheke"/>
    <s v="03/04/2020"/>
    <s v="Delivered"/>
    <s v="15&quot; LCD Dsipaly"/>
    <s v="Monitor"/>
    <s v="Dell"/>
    <n v="7500"/>
    <n v="9750"/>
    <n v="3"/>
    <n v="22500"/>
    <n v="29250"/>
    <s v="Aarvi Gupta"/>
    <n v="9750"/>
  </r>
  <r>
    <s v="139961"/>
    <s v="GJ"/>
    <s v="Jagdeep"/>
    <s v="03/04/2020"/>
    <s v="Shipped"/>
    <s v="19 TB HDD"/>
    <s v="HDD"/>
    <s v="Seagate"/>
    <n v="10000"/>
    <n v="13000"/>
    <n v="3"/>
    <n v="30000"/>
    <n v="39000"/>
    <s v="Vijay Singh"/>
    <n v="39000"/>
  </r>
  <r>
    <s v="139962"/>
    <s v="GJ"/>
    <s v="Adhir Samal"/>
    <s v="03/04/2020"/>
    <s v="Order"/>
    <s v="18 TB SSD"/>
    <s v="SSD"/>
    <s v="Samsung"/>
    <n v="10500"/>
    <n v="13650"/>
    <n v="4"/>
    <n v="42000"/>
    <n v="54600"/>
    <s v="Aadil Khan"/>
    <n v="8450"/>
  </r>
  <r>
    <s v="139963"/>
    <s v="GJ"/>
    <s v="Dannana Jhammi"/>
    <s v="03/04/2020"/>
    <s v="Processing"/>
    <s v="Intel i5 12th gen."/>
    <s v="CPU"/>
    <s v="Intel"/>
    <n v="8500"/>
    <n v="11050"/>
    <n v="1"/>
    <n v="8500"/>
    <n v="11050"/>
    <s v="Advika Joshi"/>
    <n v="33150"/>
  </r>
  <r>
    <s v="139964"/>
    <s v="GJ"/>
    <s v="Vipin Kumar"/>
    <s v="03/04/2020"/>
    <s v="Delivered"/>
    <s v="2GB Graphic Card"/>
    <s v="Graphic Card"/>
    <s v="Nvidia"/>
    <n v="7000"/>
    <n v="9100"/>
    <n v="2"/>
    <n v="14000"/>
    <n v="18200"/>
    <s v="Ajay Sharma"/>
    <n v="18200"/>
  </r>
  <r>
    <s v="139965"/>
    <s v="GJ"/>
    <s v="Ranjeet Kumar"/>
    <s v="03/04/2020"/>
    <s v="Shipped"/>
    <s v="21 GB DDR4 Ram"/>
    <s v="NIC"/>
    <s v="Hynix"/>
    <n v="1680"/>
    <n v="2184"/>
    <n v="1"/>
    <n v="1680"/>
    <n v="2184"/>
    <s v="Roshan Kumar"/>
    <n v="9100"/>
  </r>
  <r>
    <s v="139966"/>
    <s v="GJ"/>
    <s v="Sajal Singhal"/>
    <s v="03/04/2020"/>
    <s v="Order"/>
    <s v="Micro ATX motherboard"/>
    <s v="Printer"/>
    <s v="MSI"/>
    <n v="6540"/>
    <n v="8502"/>
    <n v="4"/>
    <n v="26160"/>
    <n v="34008"/>
    <s v="Aarvi Gupta"/>
    <n v="11700"/>
  </r>
  <r>
    <s v="139967"/>
    <s v="GJ"/>
    <s v="Akhilesh Kumar"/>
    <s v="03/04/2020"/>
    <s v="Processing"/>
    <s v="Gaming Box Cabinet"/>
    <s v="Cabinet"/>
    <s v="Asus"/>
    <n v="2680"/>
    <n v="3484"/>
    <n v="4"/>
    <n v="10720"/>
    <n v="13936"/>
    <s v="Vijay Singh"/>
    <n v="2990"/>
  </r>
  <r>
    <s v="139968"/>
    <s v="GJ"/>
    <s v="Suvankar Chakraborty"/>
    <s v="03/04/2020"/>
    <s v="Delivered"/>
    <s v="17&quot; LCD Display"/>
    <s v="Monitor"/>
    <s v="Samsung"/>
    <n v="8250"/>
    <n v="10725"/>
    <n v="1"/>
    <n v="8250"/>
    <n v="10725"/>
    <s v="Aadil Khan"/>
    <n v="9750"/>
  </r>
  <r>
    <s v="139969"/>
    <s v="GJ"/>
    <s v="Suvankar Adhikary"/>
    <s v="03/04/2020"/>
    <s v="Shipped"/>
    <s v="25 GB DDR4 RAM"/>
    <s v="RAM"/>
    <s v="Samsung"/>
    <n v="2650"/>
    <n v="3445"/>
    <n v="1"/>
    <n v="2650"/>
    <n v="3445"/>
    <s v="Advika Joshi"/>
    <n v="25545"/>
  </r>
  <r>
    <s v="139970"/>
    <s v="GJ"/>
    <s v="Rahul Kumar Prajapati"/>
    <s v="03/04/2020"/>
    <s v="Order"/>
    <s v="26&quot; LCD Display"/>
    <s v="Monitor"/>
    <s v="Acer"/>
    <n v="12550"/>
    <n v="16315"/>
    <n v="1"/>
    <n v="12550"/>
    <n v="16315"/>
    <s v="Ajay Sharma"/>
    <n v="9750"/>
  </r>
  <r>
    <s v="139971"/>
    <s v="GJ"/>
    <s v="Sagar Jeur"/>
    <s v="03/04/2020"/>
    <s v="Processing"/>
    <s v="I7 - intel 12th Generation"/>
    <s v="CPU"/>
    <s v="Intel"/>
    <n v="14500"/>
    <n v="18850"/>
    <n v="2"/>
    <n v="29000"/>
    <n v="37700"/>
    <s v="Roshan Kumar"/>
    <n v="33150"/>
  </r>
  <r>
    <s v="139972"/>
    <s v="GJ"/>
    <s v="Rhushikesh Mane"/>
    <s v="03/04/2020"/>
    <s v="Delivered"/>
    <s v="USB Keyboard"/>
    <s v="Keyboard"/>
    <s v="Dell"/>
    <n v="800"/>
    <n v="1040"/>
    <n v="2"/>
    <n v="1600"/>
    <n v="2080"/>
    <s v="Aarvi Gupta"/>
    <n v="3315"/>
  </r>
  <r>
    <s v="139973"/>
    <s v="GJ"/>
    <s v="Ashish Kumar"/>
    <s v="03/04/2020"/>
    <s v="Shipped"/>
    <s v="Wireless Mouse"/>
    <s v="Mouse"/>
    <s v="Samsung"/>
    <n v="600"/>
    <n v="780"/>
    <n v="4"/>
    <n v="2400"/>
    <n v="3120"/>
    <s v="Vijay Singh"/>
    <n v="1690"/>
  </r>
  <r>
    <s v="139974"/>
    <s v="GJ"/>
    <s v="Javed Akhter"/>
    <s v="03/04/2020"/>
    <s v="Order"/>
    <s v="21&quot; LCD Display"/>
    <s v="Monitor"/>
    <s v="Dell"/>
    <n v="10500"/>
    <n v="13650"/>
    <n v="2"/>
    <n v="21000"/>
    <n v="27300"/>
    <s v="Aadil Khan"/>
    <n v="9750"/>
  </r>
  <r>
    <s v="139975"/>
    <s v="GJ"/>
    <s v="Haridas Balraj"/>
    <s v="03/04/2020"/>
    <s v="Processing"/>
    <s v="19 TB HDD"/>
    <s v="HDD"/>
    <s v="Western Digital"/>
    <n v="6500"/>
    <n v="8450"/>
    <n v="2"/>
    <n v="13000"/>
    <n v="16900"/>
    <s v="Advika Joshi"/>
    <n v="39000"/>
  </r>
  <r>
    <s v="139976"/>
    <s v="GJ"/>
    <s v="Kundan Kumar"/>
    <s v="03/04/2020"/>
    <s v="Delivered"/>
    <s v="274 GB SSD"/>
    <s v="SSD"/>
    <s v="Samsung"/>
    <n v="4500"/>
    <n v="5850"/>
    <n v="3"/>
    <n v="13500"/>
    <n v="17550"/>
    <s v="Ajay Sharma"/>
    <n v="8450"/>
  </r>
  <r>
    <s v="139977"/>
    <s v="GJ"/>
    <s v="Atif Siddiqui"/>
    <s v="03/04/2020"/>
    <s v="Shipped"/>
    <s v="Intel i3 11th gen."/>
    <s v="CPU"/>
    <s v="Intel"/>
    <n v="8500"/>
    <n v="11050"/>
    <n v="1"/>
    <n v="8500"/>
    <n v="11050"/>
    <s v="Roshan Kumar"/>
    <n v="33150"/>
  </r>
  <r>
    <s v="139978"/>
    <s v="GJ"/>
    <s v="Aditya Agarwal"/>
    <s v="03/04/2020"/>
    <s v="Order"/>
    <s v="4GB Graphic card"/>
    <s v="Graphic Card"/>
    <s v="Nvidia"/>
    <n v="12500"/>
    <n v="16250"/>
    <n v="1"/>
    <n v="12500"/>
    <n v="16250"/>
    <s v="Aarvi Gupta"/>
    <n v="18200"/>
  </r>
  <r>
    <s v="139979"/>
    <s v="GJ"/>
    <s v="Firdoush Jabee"/>
    <s v="03/04/2020"/>
    <s v="Processing"/>
    <s v="26 GB DDR4 RAM"/>
    <s v="RAM"/>
    <s v="Hynix"/>
    <n v="3500"/>
    <n v="4550"/>
    <n v="3"/>
    <n v="10500"/>
    <n v="13650"/>
    <s v="Vijay Singh"/>
    <n v="25545"/>
  </r>
  <r>
    <s v="139980"/>
    <s v="GJ"/>
    <s v="Jay Prakash Kumar"/>
    <s v="03/04/2020"/>
    <s v="Delivered"/>
    <s v="BTX motherboard"/>
    <s v="MotherBoard"/>
    <s v="Gigabyte"/>
    <n v="4500"/>
    <n v="5850"/>
    <n v="1"/>
    <n v="4500"/>
    <n v="5850"/>
    <s v="Aadil Khan"/>
    <n v="39780"/>
  </r>
  <r>
    <s v="139981"/>
    <s v="GJ"/>
    <s v="Ashish Pandey"/>
    <s v="03/04/2020"/>
    <s v="Shipped"/>
    <s v="21 Fans Cabinet"/>
    <s v="Cabinet"/>
    <s v="Asus"/>
    <n v="2100"/>
    <n v="2730"/>
    <n v="1"/>
    <n v="2100"/>
    <n v="2730"/>
    <s v="Advika Joshi"/>
    <n v="2990"/>
  </r>
  <r>
    <s v="139982"/>
    <s v="GJ"/>
    <s v="Ajay Sharma"/>
    <s v="03/04/2020"/>
    <s v="Order"/>
    <s v="Wireless Keyboard"/>
    <s v="Keyboard"/>
    <s v="Dell"/>
    <n v="1150"/>
    <n v="1495"/>
    <n v="4"/>
    <n v="4600"/>
    <n v="5980"/>
    <s v="Ajay Sharma"/>
    <n v="3315"/>
  </r>
  <r>
    <s v="139983"/>
    <s v="GJ"/>
    <s v="Moinuddin Saifi"/>
    <s v="03/04/2020"/>
    <s v="Processing"/>
    <s v="USB Mouse"/>
    <s v="Mouse"/>
    <s v="Samsung"/>
    <n v="350"/>
    <n v="455"/>
    <n v="3"/>
    <n v="1050"/>
    <n v="1365"/>
    <s v="Roshan Kumar"/>
    <n v="1690"/>
  </r>
  <r>
    <s v="139984"/>
    <s v="GJ"/>
    <s v="Ramkrishna Das Adhikary"/>
    <s v="03/04/2020"/>
    <s v="Delivered"/>
    <s v="19&quot; LED Display"/>
    <s v="Monitor"/>
    <s v="Dell"/>
    <n v="9500"/>
    <n v="12350"/>
    <n v="1"/>
    <n v="9500"/>
    <n v="12350"/>
    <s v="Aarvi Gupta"/>
    <n v="9750"/>
  </r>
  <r>
    <s v="139985"/>
    <s v="GJ"/>
    <s v="Ranjeet Mandal"/>
    <s v="03/04/2020"/>
    <s v="Shipped"/>
    <s v="20 TB HDD"/>
    <s v="HDD"/>
    <s v="Western Digital"/>
    <n v="10000"/>
    <n v="13000"/>
    <n v="3"/>
    <n v="30000"/>
    <n v="39000"/>
    <s v="Vijay Singh"/>
    <n v="39000"/>
  </r>
  <r>
    <s v="139986"/>
    <s v="GJ"/>
    <s v="Ashwini Adsare"/>
    <s v="03/04/2020"/>
    <s v="Order"/>
    <s v="530 GB M.2"/>
    <s v="SSD"/>
    <s v="Samsung"/>
    <n v="6500"/>
    <n v="8450"/>
    <n v="2"/>
    <n v="13000"/>
    <n v="16900"/>
    <s v="Aadil Khan"/>
    <n v="8450"/>
  </r>
  <r>
    <s v="139987"/>
    <s v="GJ"/>
    <s v="Rajesh Variya"/>
    <s v="03/04/2020"/>
    <s v="Processing"/>
    <s v="RYZEN 3rd gen. 3518"/>
    <s v="CPU"/>
    <s v="Intel"/>
    <n v="8500"/>
    <n v="11050"/>
    <n v="2"/>
    <n v="17000"/>
    <n v="22100"/>
    <s v="Advika Joshi"/>
    <n v="33150"/>
  </r>
  <r>
    <s v="139988"/>
    <s v="GJ"/>
    <s v="Amit Singh"/>
    <s v="03/04/2020"/>
    <s v="Delivered"/>
    <s v="2GB Graphic Card"/>
    <s v="Graphic Card"/>
    <s v="Nvidia"/>
    <n v="7000"/>
    <n v="9100"/>
    <n v="2"/>
    <n v="14000"/>
    <n v="18200"/>
    <s v="Ajay Sharma"/>
    <n v="18200"/>
  </r>
  <r>
    <s v="139989"/>
    <s v="GJ"/>
    <s v="Vinod Mehta"/>
    <s v="03/04/2020"/>
    <s v="Shipped"/>
    <s v="34 GB DDR4 RAM"/>
    <s v="RAM"/>
    <s v="Hynix"/>
    <n v="6550"/>
    <n v="8515"/>
    <n v="2"/>
    <n v="13100"/>
    <n v="17030"/>
    <s v="Roshan Kumar"/>
    <n v="25545"/>
  </r>
  <r>
    <s v="139990"/>
    <s v="GJ"/>
    <s v="Jignesh Mhatre"/>
    <s v="03/04/2020"/>
    <s v="Order"/>
    <s v="Standard ATX motherboard"/>
    <s v="MotherBoard"/>
    <s v="Gigabyte"/>
    <n v="7650"/>
    <n v="9945"/>
    <n v="1"/>
    <n v="7650"/>
    <n v="9945"/>
    <s v="Aarvi Gupta"/>
    <n v="39780"/>
  </r>
  <r>
    <s v="139991"/>
    <s v="GJ"/>
    <s v="Rahul Kashyap"/>
    <s v="03/04/2020"/>
    <s v="Processing"/>
    <s v="Compact with 1 Fan"/>
    <s v="Cabinet"/>
    <s v="Asus"/>
    <n v="1150"/>
    <n v="1495"/>
    <n v="2"/>
    <n v="2300"/>
    <n v="2990"/>
    <s v="Vijay Singh"/>
    <n v="2990"/>
  </r>
  <r>
    <s v="139992"/>
    <s v="GJ"/>
    <s v="Mohammed Abdul Kaleem"/>
    <s v="03/04/2020"/>
    <s v="Delivered"/>
    <s v="USB Backlight Keyboard"/>
    <s v="Keyboard"/>
    <s v="Dell"/>
    <n v="850"/>
    <n v="1105"/>
    <n v="4"/>
    <n v="3400"/>
    <n v="4420"/>
    <s v="Aadil Khan"/>
    <n v="3315"/>
  </r>
  <r>
    <s v="139993"/>
    <s v="GJ"/>
    <s v="Chandrakant Kasbe"/>
    <s v="03/04/2020"/>
    <s v="Shipped"/>
    <s v="Ergonomic Mouse"/>
    <s v="Mouse"/>
    <s v="Samsung"/>
    <n v="650"/>
    <n v="845"/>
    <n v="4"/>
    <n v="2600"/>
    <n v="3380"/>
    <s v="Advika Joshi"/>
    <n v="1690"/>
  </r>
  <r>
    <s v="139994"/>
    <s v="GJ"/>
    <s v="Rohan Kale"/>
    <s v="03/04/2020"/>
    <s v="Order"/>
    <s v="15&quot; LCD Dsipaly"/>
    <s v="Monitor"/>
    <s v="Dell"/>
    <n v="7500"/>
    <n v="9750"/>
    <n v="2"/>
    <n v="15000"/>
    <n v="19500"/>
    <s v="Ajay Sharma"/>
    <n v="9750"/>
  </r>
  <r>
    <s v="139995"/>
    <s v="GJ"/>
    <s v="Aniruddha Kekapure"/>
    <s v="03/04/2020"/>
    <s v="Processing"/>
    <s v="20 TB HDD"/>
    <s v="HDD"/>
    <s v="Seagate"/>
    <n v="10000"/>
    <n v="13000"/>
    <n v="1"/>
    <n v="10000"/>
    <n v="13000"/>
    <s v="Roshan Kumar"/>
    <n v="39000"/>
  </r>
  <r>
    <s v="139996"/>
    <s v="GJ"/>
    <s v="Aslam Raza"/>
    <s v="03/04/2020"/>
    <s v="Delivered"/>
    <s v="19 TB SSD"/>
    <s v="SSD"/>
    <s v="Samsung"/>
    <n v="10500"/>
    <n v="13650"/>
    <n v="2"/>
    <n v="21000"/>
    <n v="27300"/>
    <s v="Aarvi Gupta"/>
    <n v="8450"/>
  </r>
  <r>
    <s v="139997"/>
    <s v="GJ"/>
    <s v="Roshan Zameer"/>
    <s v="03/04/2020"/>
    <s v="Shipped"/>
    <s v="Intel i5 12th gen."/>
    <s v="CPU"/>
    <s v="Intel"/>
    <n v="8500"/>
    <n v="11050"/>
    <n v="3"/>
    <n v="25500"/>
    <n v="33150"/>
    <s v="Vijay Singh"/>
    <n v="33150"/>
  </r>
  <r>
    <s v="139998"/>
    <s v="GJ"/>
    <s v="Rakesh Kumar Sharma"/>
    <s v="03/04/2020"/>
    <s v="Order"/>
    <s v="2GB Graphic Card"/>
    <s v="Graphic Card"/>
    <s v="Nvidia"/>
    <n v="7000"/>
    <n v="9100"/>
    <n v="4"/>
    <n v="28000"/>
    <n v="36400"/>
    <s v="Aadil Khan"/>
    <n v="18200"/>
  </r>
  <r>
    <s v="139999"/>
    <s v="GJ"/>
    <s v="Shivanand Sahani"/>
    <s v="03/04/2020"/>
    <s v="Processing"/>
    <s v="22 GB DDR4 Ram"/>
    <s v="RAM"/>
    <s v="Hynix"/>
    <n v="1680"/>
    <n v="2184"/>
    <n v="3"/>
    <n v="5040"/>
    <n v="6552"/>
    <s v="Advika Joshi"/>
    <n v="25545"/>
  </r>
  <r>
    <s v="140000"/>
    <s v="GJ"/>
    <s v="Kunal Patra"/>
    <s v="03/04/2020"/>
    <s v="Delivered"/>
    <s v="Micro ATX motherboard"/>
    <s v="MotherBoard"/>
    <s v="MSI"/>
    <n v="6540"/>
    <n v="8502"/>
    <n v="4"/>
    <n v="26160"/>
    <n v="34008"/>
    <s v="Ajay Sharma"/>
    <n v="39780"/>
  </r>
  <r>
    <s v="140001"/>
    <s v="GJ"/>
    <s v="Bijendra"/>
    <s v="03/04/2020"/>
    <s v="Shipped"/>
    <s v="Gaming Box Cabinet"/>
    <s v="Cabinet"/>
    <s v="Asus"/>
    <n v="2680"/>
    <n v="3484"/>
    <n v="3"/>
    <n v="8040"/>
    <n v="10452"/>
    <s v="Roshan Kumar"/>
    <n v="2990"/>
  </r>
  <r>
    <s v="140002"/>
    <s v="GJ"/>
    <s v="Kranti Bheke"/>
    <s v="03/04/2020"/>
    <s v="Order"/>
    <s v="17&quot; LCD Display"/>
    <s v="Monitor"/>
    <s v="Samsung"/>
    <n v="8250"/>
    <n v="10725"/>
    <n v="2"/>
    <n v="16500"/>
    <n v="21450"/>
    <s v="Aarvi Gupta"/>
    <n v="9750"/>
  </r>
  <r>
    <s v="140003"/>
    <s v="GJ"/>
    <s v="Jagdeep"/>
    <s v="03/04/2020"/>
    <s v="Processing"/>
    <s v="26 GB DDR4 RAM"/>
    <s v="RAM"/>
    <s v="Samsung"/>
    <n v="2650"/>
    <n v="3445"/>
    <n v="4"/>
    <n v="10600"/>
    <n v="13780"/>
    <s v="Vijay Singh"/>
    <n v="25545"/>
  </r>
  <r>
    <s v="140004"/>
    <s v="GJ"/>
    <s v="Adhir Samal"/>
    <s v="03/04/2020"/>
    <s v="Delivered"/>
    <s v="26&quot; LCD Display"/>
    <s v="Monitor"/>
    <s v="Acer"/>
    <n v="12550"/>
    <n v="16315"/>
    <n v="1"/>
    <n v="12550"/>
    <n v="16315"/>
    <s v="Aadil Khan"/>
    <n v="9750"/>
  </r>
  <r>
    <s v="140005"/>
    <s v="GJ"/>
    <s v="Dannana Jhammi"/>
    <s v="03/04/2020"/>
    <s v="Shipped"/>
    <s v="I7 - intel 12th Generation"/>
    <s v="CPU"/>
    <s v="Intel"/>
    <n v="14500"/>
    <n v="18850"/>
    <n v="2"/>
    <n v="29000"/>
    <n v="37700"/>
    <s v="Advika Joshi"/>
    <n v="33150"/>
  </r>
  <r>
    <s v="140006"/>
    <s v="GJ"/>
    <s v="Vipin Kumar"/>
    <s v="03/04/2020"/>
    <s v="Order"/>
    <s v="USB Keyboard"/>
    <s v="Keyboard"/>
    <s v="Dell"/>
    <n v="800"/>
    <n v="1040"/>
    <n v="4"/>
    <n v="3200"/>
    <n v="4160"/>
    <s v="Ajay Sharma"/>
    <n v="3315"/>
  </r>
  <r>
    <s v="140007"/>
    <s v="GJ"/>
    <s v="Ranjeet Kumar"/>
    <s v="03/04/2020"/>
    <s v="Processing"/>
    <s v="Wireless Mouse"/>
    <s v="Mouse"/>
    <s v="Samsung"/>
    <n v="600"/>
    <n v="780"/>
    <n v="4"/>
    <n v="2400"/>
    <n v="3120"/>
    <s v="Roshan Kumar"/>
    <n v="1690"/>
  </r>
  <r>
    <s v="140008"/>
    <s v="GJ"/>
    <s v="Sajal Singhal"/>
    <s v="03/04/2020"/>
    <s v="Delivered"/>
    <s v="21&quot; LCD Display"/>
    <s v="Monitor"/>
    <s v="Dell"/>
    <n v="10500"/>
    <n v="13650"/>
    <n v="2"/>
    <n v="21000"/>
    <n v="27300"/>
    <s v="Aarvi Gupta"/>
    <n v="9750"/>
  </r>
  <r>
    <s v="140009"/>
    <s v="GJ"/>
    <s v="Akhilesh Kumar"/>
    <s v="03/04/2020"/>
    <s v="Shipped"/>
    <s v="20 TB HDD"/>
    <s v="HDD"/>
    <s v="Western Digital"/>
    <n v="6500"/>
    <n v="8450"/>
    <n v="3"/>
    <n v="19500"/>
    <n v="25350"/>
    <s v="Vijay Singh"/>
    <n v="39000"/>
  </r>
  <r>
    <s v="140010"/>
    <s v="GJ"/>
    <s v="Suvankar Chakraborty"/>
    <s v="03/04/2020"/>
    <s v="Order"/>
    <s v="275 GB SSD"/>
    <s v="SSD"/>
    <s v="Samsung"/>
    <n v="4500"/>
    <n v="5850"/>
    <n v="2"/>
    <n v="9000"/>
    <n v="11700"/>
    <s v="Aadil Khan"/>
    <n v="8450"/>
  </r>
  <r>
    <s v="140011"/>
    <s v="JH"/>
    <s v="Suvankar Adhikary"/>
    <s v="03/04/2020"/>
    <s v="Processing"/>
    <s v="Intel i3 11th gen."/>
    <s v="CPU"/>
    <s v="Intel"/>
    <n v="8500"/>
    <n v="11050"/>
    <n v="4"/>
    <n v="34000"/>
    <n v="44200"/>
    <s v="Advika Joshi"/>
    <n v="33150"/>
  </r>
  <r>
    <s v="140012"/>
    <s v="KA"/>
    <s v="Rahul Kumar Prajapati"/>
    <s v="03/04/2020"/>
    <s v="Delivered"/>
    <s v="4GB Graphic card"/>
    <s v="Graphic Card"/>
    <s v="Nvidia"/>
    <n v="12500"/>
    <n v="16250"/>
    <n v="2"/>
    <n v="25000"/>
    <n v="32500"/>
    <s v="Ajay Sharma"/>
    <n v="18200"/>
  </r>
  <r>
    <s v="140013"/>
    <s v="KL"/>
    <s v="Sagar Jeur"/>
    <s v="03/04/2020"/>
    <s v="Shipped"/>
    <s v="27 GB DDR4 RAM"/>
    <s v="Computer Case"/>
    <s v="Hynix"/>
    <n v="3500"/>
    <n v="4550"/>
    <n v="3"/>
    <n v="10500"/>
    <n v="13650"/>
    <s v="Roshan Kumar"/>
    <n v="13650"/>
  </r>
  <r>
    <s v="140014"/>
    <s v="MP"/>
    <s v="Rhushikesh Mane"/>
    <s v="03/04/2020"/>
    <s v="Order"/>
    <s v="BTX motherboard"/>
    <s v="Mouse"/>
    <s v="Gigabyte"/>
    <n v="4500"/>
    <n v="5850"/>
    <n v="1"/>
    <n v="4500"/>
    <n v="5850"/>
    <s v="Aarvi Gupta"/>
    <n v="1690"/>
  </r>
  <r>
    <s v="140015"/>
    <s v="MH"/>
    <s v="Ashish Kumar"/>
    <s v="03/04/2020"/>
    <s v="Processing"/>
    <s v="22 Fans Cabinet"/>
    <s v="Cabinet"/>
    <s v="Asus"/>
    <n v="2100"/>
    <n v="2730"/>
    <n v="2"/>
    <n v="4200"/>
    <n v="5460"/>
    <s v="Vijay Singh"/>
    <n v="2990"/>
  </r>
  <r>
    <s v="140016"/>
    <s v="MN"/>
    <s v="Javed Akhter"/>
    <s v="03/04/2020"/>
    <s v="Delivered"/>
    <s v="Wireless Keyboard"/>
    <s v="Keyboard"/>
    <s v="Dell"/>
    <n v="1150"/>
    <n v="1495"/>
    <n v="3"/>
    <n v="3450"/>
    <n v="4485"/>
    <s v="Aadil Khan"/>
    <n v="3315"/>
  </r>
  <r>
    <s v="140017"/>
    <s v="ML"/>
    <s v="Haridas Balraj"/>
    <s v="03/04/2020"/>
    <s v="Shipped"/>
    <s v="USB Mouse"/>
    <s v="Mouse"/>
    <s v="Samsung"/>
    <n v="350"/>
    <n v="455"/>
    <n v="1"/>
    <n v="350"/>
    <n v="455"/>
    <s v="Advika Joshi"/>
    <n v="1690"/>
  </r>
  <r>
    <s v="140018"/>
    <s v="MZ"/>
    <s v="Kundan Kumar"/>
    <s v="03/04/2020"/>
    <s v="Order"/>
    <s v="19&quot; LED Display"/>
    <s v="Monitor"/>
    <s v="Dell"/>
    <n v="9500"/>
    <n v="12350"/>
    <n v="2"/>
    <n v="19000"/>
    <n v="24700"/>
    <s v="Ajay Sharma"/>
    <n v="9750"/>
  </r>
  <r>
    <s v="140019"/>
    <s v="NL"/>
    <s v="Atif Siddiqui"/>
    <s v="03/04/2020"/>
    <s v="Processing"/>
    <s v="21 TB HDD"/>
    <s v="HDD"/>
    <s v="Western Digital"/>
    <n v="10000"/>
    <n v="13000"/>
    <n v="1"/>
    <n v="10000"/>
    <n v="13000"/>
    <s v="Roshan Kumar"/>
    <n v="39000"/>
  </r>
  <r>
    <s v="140020"/>
    <s v="OR"/>
    <s v="Aditya Agarwal"/>
    <s v="03/04/2020"/>
    <s v="Delivered"/>
    <s v="531 GB M.2"/>
    <s v="SSD"/>
    <s v="Samsung"/>
    <n v="6500"/>
    <n v="8450"/>
    <n v="2"/>
    <n v="13000"/>
    <n v="16900"/>
    <s v="Aarvi Gupta"/>
    <n v="8450"/>
  </r>
  <r>
    <s v="140021"/>
    <s v="PB"/>
    <s v="Firdoush Jabee"/>
    <s v="03/04/2020"/>
    <s v="Shipped"/>
    <s v="RYZEN 3rd gen. 3519"/>
    <s v="CPU"/>
    <s v="Intel"/>
    <n v="8500"/>
    <n v="11050"/>
    <n v="2"/>
    <n v="17000"/>
    <n v="22100"/>
    <s v="Vijay Singh"/>
    <n v="33150"/>
  </r>
  <r>
    <s v="140022"/>
    <s v="RJ"/>
    <s v="Jay Prakash Kumar"/>
    <s v="03/04/2020"/>
    <s v="Order"/>
    <s v="2GB Graphic Card"/>
    <s v="Graphic Card"/>
    <s v="Nvidia"/>
    <n v="7000"/>
    <n v="9100"/>
    <n v="4"/>
    <n v="28000"/>
    <n v="36400"/>
    <s v="Aadil Khan"/>
    <n v="18200"/>
  </r>
  <r>
    <s v="140023"/>
    <s v="SK"/>
    <s v="Ashish Pandey"/>
    <s v="03/04/2020"/>
    <s v="Processing"/>
    <s v="35 GB DDR4 RAM"/>
    <s v="Computer Case"/>
    <s v="Hynix"/>
    <n v="6550"/>
    <n v="8515"/>
    <n v="3"/>
    <n v="19650"/>
    <n v="25545"/>
    <s v="Advika Joshi"/>
    <n v="13650"/>
  </r>
  <r>
    <s v="140024"/>
    <s v="TN"/>
    <s v="Ajay Sharma"/>
    <s v="03/04/2020"/>
    <s v="Delivered"/>
    <s v="Standard ATX motherboard"/>
    <s v="Mouse"/>
    <s v="Gigabyte"/>
    <n v="7650"/>
    <n v="9945"/>
    <n v="2"/>
    <n v="15300"/>
    <n v="19890"/>
    <s v="Ajay Sharma"/>
    <n v="1690"/>
  </r>
  <r>
    <s v="140025"/>
    <s v="TR"/>
    <s v="Moinuddin Saifi"/>
    <s v="03/04/2020"/>
    <s v="Shipped"/>
    <s v="Compact with 1 Fan"/>
    <s v="Cabinet"/>
    <s v="Asus"/>
    <n v="1150"/>
    <n v="1495"/>
    <n v="1"/>
    <n v="1150"/>
    <n v="1495"/>
    <s v="Roshan Kumar"/>
    <n v="2990"/>
  </r>
  <r>
    <s v="140026"/>
    <s v="UK"/>
    <s v="Ramkrishna Das Adhikary"/>
    <s v="03/04/2020"/>
    <s v="Order"/>
    <s v="USB Backlight Keyboard"/>
    <s v="Keyboard"/>
    <s v="Dell"/>
    <n v="850"/>
    <n v="1105"/>
    <n v="3"/>
    <n v="2550"/>
    <n v="3315"/>
    <s v="Aarvi Gupta"/>
    <n v="3315"/>
  </r>
  <r>
    <s v="140027"/>
    <s v="UP"/>
    <s v="Ranjeet Mandal"/>
    <s v="03/04/2020"/>
    <s v="Processing"/>
    <s v="Ergonomic Mouse"/>
    <s v="Mouse"/>
    <s v="Samsung"/>
    <n v="650"/>
    <n v="845"/>
    <n v="3"/>
    <n v="1950"/>
    <n v="2535"/>
    <s v="Vijay Singh"/>
    <n v="1690"/>
  </r>
  <r>
    <s v="140028"/>
    <s v="UP"/>
    <s v="Ashwini Adsare"/>
    <s v="03/04/2020"/>
    <s v="Delivered"/>
    <s v="15&quot; LCD Dsipaly"/>
    <s v="Monitor"/>
    <s v="Dell"/>
    <n v="7500"/>
    <n v="9750"/>
    <n v="3"/>
    <n v="22500"/>
    <n v="29250"/>
    <s v="Aadil Khan"/>
    <n v="9750"/>
  </r>
  <r>
    <s v="140029"/>
    <s v="UP"/>
    <s v="Rajesh Variya"/>
    <s v="03/04/2020"/>
    <s v="Shipped"/>
    <s v="21 TB HDD"/>
    <s v="HDD"/>
    <s v="Seagate"/>
    <n v="10000"/>
    <n v="13000"/>
    <n v="3"/>
    <n v="30000"/>
    <n v="39000"/>
    <s v="Advika Joshi"/>
    <n v="39000"/>
  </r>
  <r>
    <s v="140030"/>
    <s v="UP"/>
    <s v="Amit Singh"/>
    <s v="03/04/2020"/>
    <s v="Order"/>
    <s v="20 TB SSD"/>
    <s v="SSD"/>
    <s v="Samsung"/>
    <n v="10500"/>
    <n v="13650"/>
    <n v="3"/>
    <n v="31500"/>
    <n v="40950"/>
    <s v="Ajay Sharma"/>
    <n v="8450"/>
  </r>
  <r>
    <s v="140031"/>
    <s v="UP"/>
    <s v="Vinod Mehta"/>
    <s v="03/04/2020"/>
    <s v="Processing"/>
    <s v="Intel i5 12th gen."/>
    <s v="CPU"/>
    <s v="Intel"/>
    <n v="8500"/>
    <n v="11050"/>
    <n v="4"/>
    <n v="34000"/>
    <n v="44200"/>
    <s v="Roshan Kumar"/>
    <n v="33150"/>
  </r>
  <r>
    <s v="140032"/>
    <s v="UP"/>
    <s v="Jignesh Mhatre"/>
    <s v="03/04/2020"/>
    <s v="Delivered"/>
    <s v="2GB Graphic Card"/>
    <s v="Graphic Card"/>
    <s v="Nvidia"/>
    <n v="7000"/>
    <n v="9100"/>
    <n v="2"/>
    <n v="14000"/>
    <n v="18200"/>
    <s v="Aarvi Gupta"/>
    <n v="18200"/>
  </r>
  <r>
    <s v="140033"/>
    <s v="UP"/>
    <s v="Rahul Kashyap"/>
    <s v="03/04/2020"/>
    <s v="Shipped"/>
    <s v="23 GB DDR4 Ram"/>
    <s v="Computer Case"/>
    <s v="Hynix"/>
    <n v="1680"/>
    <n v="2184"/>
    <n v="4"/>
    <n v="6720"/>
    <n v="8736"/>
    <s v="Vijay Singh"/>
    <n v="13650"/>
  </r>
  <r>
    <s v="140034"/>
    <s v="UP"/>
    <s v="Mohammed Abdul Kaleem"/>
    <s v="03/04/2020"/>
    <s v="Order"/>
    <s v="Micro ATX motherboard"/>
    <s v="Mouse"/>
    <s v="MSI"/>
    <n v="6540"/>
    <n v="8502"/>
    <n v="3"/>
    <n v="19620"/>
    <n v="25506"/>
    <s v="Aadil Khan"/>
    <n v="1690"/>
  </r>
  <r>
    <s v="140035"/>
    <s v="UP"/>
    <s v="Chandrakant Kasbe"/>
    <s v="03/04/2020"/>
    <s v="Processing"/>
    <s v="Gaming Box Cabinet"/>
    <s v="Cabinet"/>
    <s v="Asus"/>
    <n v="2680"/>
    <n v="3484"/>
    <n v="4"/>
    <n v="10720"/>
    <n v="13936"/>
    <s v="Advika Joshi"/>
    <n v="2990"/>
  </r>
  <r>
    <s v="140036"/>
    <s v="UP"/>
    <s v="Rohan Kale"/>
    <s v="03/04/2020"/>
    <s v="Delivered"/>
    <s v="17&quot; LCD Display"/>
    <s v="Monitor"/>
    <s v="Samsung"/>
    <n v="8250"/>
    <n v="10725"/>
    <n v="3"/>
    <n v="24750"/>
    <n v="32175"/>
    <s v="Ajay Sharma"/>
    <n v="9750"/>
  </r>
  <r>
    <s v="140037"/>
    <s v="UP"/>
    <s v="Aniruddha Kekapure"/>
    <s v="03/04/2020"/>
    <s v="Shipped"/>
    <s v="27 GB DDR4 RAM"/>
    <s v="RAM"/>
    <s v="Samsung"/>
    <n v="2650"/>
    <n v="3445"/>
    <n v="4"/>
    <n v="10600"/>
    <n v="13780"/>
    <s v="Roshan Kumar"/>
    <n v="25545"/>
  </r>
  <r>
    <s v="140038"/>
    <s v="UP"/>
    <s v="Aslam Raza"/>
    <s v="03/04/2020"/>
    <s v="Order"/>
    <s v="26&quot; LCD Display"/>
    <s v="Monitor"/>
    <s v="Acer"/>
    <n v="12550"/>
    <n v="16315"/>
    <n v="3"/>
    <n v="37650"/>
    <n v="48945"/>
    <s v="Aarvi Gupta"/>
    <n v="9750"/>
  </r>
  <r>
    <s v="140039"/>
    <s v="UP"/>
    <s v="Roshan Zameer"/>
    <s v="03/04/2020"/>
    <s v="Processing"/>
    <s v="I7 - intel 12th Generation"/>
    <s v="CPU"/>
    <s v="Intel"/>
    <n v="14500"/>
    <n v="18850"/>
    <n v="4"/>
    <n v="58000"/>
    <n v="75400"/>
    <s v="Vijay Singh"/>
    <n v="33150"/>
  </r>
  <r>
    <s v="140040"/>
    <s v="UP"/>
    <s v="Rakesh Kumar Sharma"/>
    <s v="03/04/2020"/>
    <s v="Delivered"/>
    <s v="USB Keyboard"/>
    <s v="Keyboard"/>
    <s v="Dell"/>
    <n v="800"/>
    <n v="1040"/>
    <n v="2"/>
    <n v="1600"/>
    <n v="2080"/>
    <s v="Aadil Khan"/>
    <n v="3315"/>
  </r>
  <r>
    <s v="140041"/>
    <s v="UP"/>
    <s v="Shivanand Sahani"/>
    <s v="03/04/2020"/>
    <s v="Shipped"/>
    <s v="Wireless Mouse"/>
    <s v="Mouse"/>
    <s v="Samsung"/>
    <n v="600"/>
    <n v="780"/>
    <n v="3"/>
    <n v="1800"/>
    <n v="2340"/>
    <s v="Advika Joshi"/>
    <n v="1690"/>
  </r>
  <r>
    <s v="140042"/>
    <s v="UP"/>
    <s v="Kunal Patra"/>
    <s v="03/04/2020"/>
    <s v="Order"/>
    <s v="21&quot; LCD Display"/>
    <s v="Monitor"/>
    <s v="Dell"/>
    <n v="10500"/>
    <n v="13650"/>
    <n v="3"/>
    <n v="31500"/>
    <n v="40950"/>
    <s v="Ajay Sharma"/>
    <n v="9750"/>
  </r>
  <r>
    <s v="140043"/>
    <s v="UP"/>
    <s v="Bijendra"/>
    <s v="03/04/2020"/>
    <s v="Processing"/>
    <s v="21 TB HDD"/>
    <s v="HDD"/>
    <s v="Western Digital"/>
    <n v="6500"/>
    <n v="8450"/>
    <n v="3"/>
    <n v="19500"/>
    <n v="25350"/>
    <s v="Roshan Kumar"/>
    <n v="39000"/>
  </r>
  <r>
    <s v="140044"/>
    <s v="UP"/>
    <s v="Kranti Bheke"/>
    <s v="03/04/2020"/>
    <s v="Delivered"/>
    <s v="276 GB SSD"/>
    <s v="SSD"/>
    <s v="Samsung"/>
    <n v="4500"/>
    <n v="5850"/>
    <n v="2"/>
    <n v="9000"/>
    <n v="11700"/>
    <s v="Aarvi Gupta"/>
    <n v="8450"/>
  </r>
  <r>
    <s v="140045"/>
    <s v="UP"/>
    <s v="Jagdeep"/>
    <s v="03/04/2020"/>
    <s v="Shipped"/>
    <s v="Intel i3 11th gen."/>
    <s v="CPU"/>
    <s v="Intel"/>
    <n v="8500"/>
    <n v="11050"/>
    <n v="3"/>
    <n v="25500"/>
    <n v="33150"/>
    <s v="Vijay Singh"/>
    <n v="33150"/>
  </r>
  <r>
    <s v="140046"/>
    <s v="UP"/>
    <s v="Adhir Samal"/>
    <s v="03/04/2020"/>
    <s v="Order"/>
    <s v="4GB Graphic card"/>
    <s v="Graphic Card"/>
    <s v="Nvidia"/>
    <n v="12500"/>
    <n v="16250"/>
    <n v="2"/>
    <n v="25000"/>
    <n v="32500"/>
    <s v="Aadil Khan"/>
    <n v="18200"/>
  </r>
  <r>
    <s v="140047"/>
    <s v="UP"/>
    <s v="Dannana Jhammi"/>
    <s v="03/04/2020"/>
    <s v="Processing"/>
    <s v="28 GB DDR4 RAM"/>
    <s v="NIC"/>
    <s v="Hynix"/>
    <n v="3500"/>
    <n v="4550"/>
    <n v="4"/>
    <n v="14000"/>
    <n v="18200"/>
    <s v="Advika Joshi"/>
    <n v="9100"/>
  </r>
  <r>
    <s v="140048"/>
    <s v="UP"/>
    <s v="Vipin Kumar"/>
    <s v="03/04/2020"/>
    <s v="Delivered"/>
    <s v="BTX motherboard"/>
    <s v="Printer"/>
    <s v="Gigabyte"/>
    <n v="4500"/>
    <n v="5850"/>
    <n v="1"/>
    <n v="4500"/>
    <n v="5850"/>
    <s v="Ajay Sharma"/>
    <n v="11700"/>
  </r>
  <r>
    <s v="140049"/>
    <s v="UP"/>
    <s v="Ranjeet Kumar"/>
    <s v="03/04/2020"/>
    <s v="Shipped"/>
    <s v="23 Fans Cabinet"/>
    <s v="Cabinet"/>
    <s v="Asus"/>
    <n v="2100"/>
    <n v="2730"/>
    <n v="1"/>
    <n v="2100"/>
    <n v="2730"/>
    <s v="Roshan Kumar"/>
    <n v="2990"/>
  </r>
  <r>
    <s v="140050"/>
    <s v="UP"/>
    <s v="Sajal Singhal"/>
    <s v="03/04/2020"/>
    <s v="Order"/>
    <s v="Wireless Keyboard"/>
    <s v="Keyboard"/>
    <s v="Dell"/>
    <n v="1150"/>
    <n v="1495"/>
    <n v="3"/>
    <n v="3450"/>
    <n v="4485"/>
    <s v="Aarvi Gupta"/>
    <n v="3315"/>
  </r>
  <r>
    <s v="140051"/>
    <s v="UP"/>
    <s v="Akhilesh Kumar"/>
    <s v="03/04/2020"/>
    <s v="Processing"/>
    <s v="USB Mouse"/>
    <s v="Mouse"/>
    <s v="Samsung"/>
    <n v="350"/>
    <n v="455"/>
    <n v="4"/>
    <n v="1400"/>
    <n v="1820"/>
    <s v="Vijay Singh"/>
    <n v="1690"/>
  </r>
  <r>
    <s v="140052"/>
    <s v="UP"/>
    <s v="Suvankar Chakraborty"/>
    <s v="03/04/2020"/>
    <s v="Delivered"/>
    <s v="19&quot; LED Display"/>
    <s v="Monitor"/>
    <s v="Dell"/>
    <n v="9500"/>
    <n v="12350"/>
    <n v="1"/>
    <n v="9500"/>
    <n v="12350"/>
    <s v="Aadil Khan"/>
    <n v="9750"/>
  </r>
  <r>
    <s v="140053"/>
    <s v="UP"/>
    <s v="Suvankar Adhikary"/>
    <s v="03/04/2020"/>
    <s v="Shipped"/>
    <s v="22 TB HDD"/>
    <s v="HDD"/>
    <s v="Western Digital"/>
    <n v="10000"/>
    <n v="13000"/>
    <n v="2"/>
    <n v="20000"/>
    <n v="26000"/>
    <s v="Advika Joshi"/>
    <n v="39000"/>
  </r>
  <r>
    <s v="140054"/>
    <s v="UP"/>
    <s v="Rahul Kumar Prajapati"/>
    <s v="03/04/2020"/>
    <s v="Order"/>
    <s v="532 GB M.2"/>
    <s v="SSD"/>
    <s v="Samsung"/>
    <n v="6500"/>
    <n v="8450"/>
    <n v="3"/>
    <n v="19500"/>
    <n v="25350"/>
    <s v="Ajay Sharma"/>
    <n v="8450"/>
  </r>
  <r>
    <s v="140055"/>
    <s v="UP"/>
    <s v="Sagar Jeur"/>
    <s v="03/04/2020"/>
    <s v="Processing"/>
    <s v="RYZEN 3rd gen. 3520"/>
    <s v="CPU"/>
    <s v="Intel"/>
    <n v="8500"/>
    <n v="11050"/>
    <n v="1"/>
    <n v="8500"/>
    <n v="11050"/>
    <s v="Roshan Kumar"/>
    <n v="33150"/>
  </r>
  <r>
    <s v="140056"/>
    <s v="UP"/>
    <s v="Rhushikesh Mane"/>
    <s v="03/04/2020"/>
    <s v="Delivered"/>
    <s v="2GB Graphic Card"/>
    <s v="Graphic Card"/>
    <s v="Nvidia"/>
    <n v="7000"/>
    <n v="9100"/>
    <n v="1"/>
    <n v="7000"/>
    <n v="9100"/>
    <s v="Aarvi Gupta"/>
    <n v="18200"/>
  </r>
  <r>
    <s v="140057"/>
    <s v="UP"/>
    <s v="Ashish Kumar"/>
    <s v="03/04/2020"/>
    <s v="Shipped"/>
    <s v="36 GB DDR4 RAM"/>
    <s v="NIC"/>
    <s v="Hynix"/>
    <n v="6550"/>
    <n v="8515"/>
    <n v="2"/>
    <n v="13100"/>
    <n v="17030"/>
    <s v="Vijay Singh"/>
    <n v="9100"/>
  </r>
  <r>
    <s v="140058"/>
    <s v="UP"/>
    <s v="Javed Akhter"/>
    <s v="03/04/2020"/>
    <s v="Order"/>
    <s v="Standard ATX motherboard"/>
    <s v="Printer"/>
    <s v="Gigabyte"/>
    <n v="7650"/>
    <n v="9945"/>
    <n v="3"/>
    <n v="22950"/>
    <n v="29835"/>
    <s v="Aadil Khan"/>
    <n v="11700"/>
  </r>
  <r>
    <s v="140059"/>
    <s v="UP"/>
    <s v="Haridas Balraj"/>
    <s v="03/04/2020"/>
    <s v="Processing"/>
    <s v="Compact with 1 Fan"/>
    <s v="Cabinet"/>
    <s v="Asus"/>
    <n v="1150"/>
    <n v="1495"/>
    <n v="4"/>
    <n v="4600"/>
    <n v="5980"/>
    <s v="Advika Joshi"/>
    <n v="2990"/>
  </r>
  <r>
    <s v="140060"/>
    <s v="UP"/>
    <s v="Kundan Kumar"/>
    <s v="03/04/2020"/>
    <s v="Delivered"/>
    <s v="USB Backlight Keyboard"/>
    <s v="Keyboard"/>
    <s v="Dell"/>
    <n v="850"/>
    <n v="1105"/>
    <n v="2"/>
    <n v="1700"/>
    <n v="2210"/>
    <s v="Ajay Sharma"/>
    <n v="3315"/>
  </r>
  <r>
    <s v="140061"/>
    <s v="UP"/>
    <s v="Atif Siddiqui"/>
    <s v="03/04/2020"/>
    <s v="Shipped"/>
    <s v="Ergonomic Mouse"/>
    <s v="Mouse"/>
    <s v="Samsung"/>
    <n v="650"/>
    <n v="845"/>
    <n v="4"/>
    <n v="2600"/>
    <n v="3380"/>
    <s v="Roshan Kumar"/>
    <n v="1690"/>
  </r>
  <r>
    <s v="140062"/>
    <s v="UP"/>
    <s v="Aditya Agarwal"/>
    <s v="03/04/2020"/>
    <s v="Order"/>
    <s v="15&quot; LCD Dsipaly"/>
    <s v="Monitor"/>
    <s v="Dell"/>
    <n v="7500"/>
    <n v="9750"/>
    <n v="2"/>
    <n v="15000"/>
    <n v="19500"/>
    <s v="Aarvi Gupta"/>
    <n v="9750"/>
  </r>
  <r>
    <s v="140063"/>
    <s v="UP"/>
    <s v="Firdoush Jabee"/>
    <s v="03/04/2020"/>
    <s v="Processing"/>
    <s v="22 TB HDD"/>
    <s v="HDD"/>
    <s v="Seagate"/>
    <n v="10000"/>
    <n v="13000"/>
    <n v="4"/>
    <n v="40000"/>
    <n v="52000"/>
    <s v="Vijay Singh"/>
    <n v="39000"/>
  </r>
  <r>
    <s v="140064"/>
    <s v="UP"/>
    <s v="Jay Prakash Kumar"/>
    <s v="03/04/2020"/>
    <s v="Delivered"/>
    <s v="21 TB SSD"/>
    <s v="SSD"/>
    <s v="Samsung"/>
    <n v="10500"/>
    <n v="13650"/>
    <n v="2"/>
    <n v="21000"/>
    <n v="27300"/>
    <s v="Aadil Khan"/>
    <n v="8450"/>
  </r>
  <r>
    <s v="140065"/>
    <s v="UP"/>
    <s v="Ashish Pandey"/>
    <s v="03/04/2020"/>
    <s v="Shipped"/>
    <s v="Intel i5 12th gen."/>
    <s v="CPU"/>
    <s v="Intel"/>
    <n v="8500"/>
    <n v="11050"/>
    <n v="4"/>
    <n v="34000"/>
    <n v="44200"/>
    <s v="Advika Joshi"/>
    <n v="33150"/>
  </r>
  <r>
    <s v="140066"/>
    <s v="UP"/>
    <s v="Ajay Sharma"/>
    <s v="03/04/2020"/>
    <s v="Order"/>
    <s v="2GB Graphic Card"/>
    <s v="Graphic Card"/>
    <s v="Nvidia"/>
    <n v="7000"/>
    <n v="9100"/>
    <n v="4"/>
    <n v="28000"/>
    <n v="36400"/>
    <s v="Ajay Sharma"/>
    <n v="18200"/>
  </r>
  <r>
    <s v="140067"/>
    <s v="UP"/>
    <s v="Moinuddin Saifi"/>
    <s v="03/04/2020"/>
    <s v="Processing"/>
    <s v="24 GB DDR4 Ram"/>
    <s v="NIC"/>
    <s v="Hynix"/>
    <n v="1680"/>
    <n v="2184"/>
    <n v="2"/>
    <n v="3360"/>
    <n v="4368"/>
    <s v="Roshan Kumar"/>
    <n v="9100"/>
  </r>
  <r>
    <s v="140068"/>
    <s v="UP"/>
    <s v="Ramkrishna Das Adhikary"/>
    <s v="03/04/2020"/>
    <s v="Delivered"/>
    <s v="Micro ATX motherboard"/>
    <s v="Printer"/>
    <s v="MSI"/>
    <n v="6540"/>
    <n v="8502"/>
    <n v="2"/>
    <n v="13080"/>
    <n v="17004"/>
    <s v="Aarvi Gupta"/>
    <n v="11700"/>
  </r>
  <r>
    <s v="140069"/>
    <s v="UP"/>
    <s v="Ranjeet Mandal"/>
    <s v="03/04/2020"/>
    <s v="Shipped"/>
    <s v="Gaming Box Cabinet"/>
    <s v="Cabinet"/>
    <s v="Asus"/>
    <n v="2680"/>
    <n v="3484"/>
    <n v="1"/>
    <n v="2680"/>
    <n v="3484"/>
    <s v="Vijay Singh"/>
    <n v="2990"/>
  </r>
  <r>
    <s v="140070"/>
    <s v="UP"/>
    <s v="Ashwini Adsare"/>
    <s v="03/04/2020"/>
    <s v="Order"/>
    <s v="17&quot; LCD Display"/>
    <s v="Monitor"/>
    <s v="Samsung"/>
    <n v="8250"/>
    <n v="10725"/>
    <n v="2"/>
    <n v="16500"/>
    <n v="21450"/>
    <s v="Aadil Khan"/>
    <n v="9750"/>
  </r>
  <r>
    <s v="140071"/>
    <s v="UP"/>
    <s v="Rajesh Variya"/>
    <s v="03/04/2020"/>
    <s v="Processing"/>
    <s v="28 GB DDR4 RAM"/>
    <s v="RAM"/>
    <s v="Samsung"/>
    <n v="2650"/>
    <n v="3445"/>
    <n v="1"/>
    <n v="2650"/>
    <n v="3445"/>
    <s v="Advika Joshi"/>
    <n v="25545"/>
  </r>
  <r>
    <s v="140072"/>
    <s v="UP"/>
    <s v="Amit Singh"/>
    <s v="03/04/2020"/>
    <s v="Delivered"/>
    <s v="26&quot; LCD Display"/>
    <s v="Monitor"/>
    <s v="Acer"/>
    <n v="12550"/>
    <n v="16315"/>
    <n v="3"/>
    <n v="37650"/>
    <n v="48945"/>
    <s v="Ajay Sharma"/>
    <n v="9750"/>
  </r>
  <r>
    <s v="140073"/>
    <s v="UP"/>
    <s v="Vinod Mehta"/>
    <s v="03/04/2020"/>
    <s v="Shipped"/>
    <s v="I7 - intel 12th Generation"/>
    <s v="CPU"/>
    <s v="Intel"/>
    <n v="14500"/>
    <n v="18850"/>
    <n v="4"/>
    <n v="58000"/>
    <n v="75400"/>
    <s v="Roshan Kumar"/>
    <n v="33150"/>
  </r>
  <r>
    <s v="140074"/>
    <s v="UP"/>
    <s v="Jignesh Mhatre"/>
    <s v="03/04/2020"/>
    <s v="Order"/>
    <s v="USB Keyboard"/>
    <s v="Keyboard"/>
    <s v="Dell"/>
    <n v="800"/>
    <n v="1040"/>
    <n v="1"/>
    <n v="800"/>
    <n v="1040"/>
    <s v="Aarvi Gupta"/>
    <n v="3315"/>
  </r>
  <r>
    <s v="140075"/>
    <s v="UP"/>
    <s v="Rahul Kashyap"/>
    <s v="03/04/2020"/>
    <s v="Processing"/>
    <s v="Wireless Mouse"/>
    <s v="Mouse"/>
    <s v="Samsung"/>
    <n v="600"/>
    <n v="780"/>
    <n v="3"/>
    <n v="1800"/>
    <n v="2340"/>
    <s v="Vijay Singh"/>
    <n v="1690"/>
  </r>
  <r>
    <s v="140076"/>
    <s v="UP"/>
    <s v="Mohammed Abdul Kaleem"/>
    <s v="03/04/2020"/>
    <s v="Delivered"/>
    <s v="21&quot; LCD Display"/>
    <s v="Monitor"/>
    <s v="Dell"/>
    <n v="10500"/>
    <n v="13650"/>
    <n v="2"/>
    <n v="21000"/>
    <n v="27300"/>
    <s v="Aadil Khan"/>
    <n v="9750"/>
  </r>
  <r>
    <s v="140077"/>
    <s v="UP"/>
    <s v="Chandrakant Kasbe"/>
    <s v="03/04/2020"/>
    <s v="Shipped"/>
    <s v="22 TB HDD"/>
    <s v="HDD"/>
    <s v="Western Digital"/>
    <n v="6500"/>
    <n v="8450"/>
    <n v="2"/>
    <n v="13000"/>
    <n v="16900"/>
    <s v="Advika Joshi"/>
    <n v="39000"/>
  </r>
  <r>
    <s v="140078"/>
    <s v="UP"/>
    <s v="Rohan Kale"/>
    <s v="03/04/2020"/>
    <s v="Order"/>
    <s v="277 GB SSD"/>
    <s v="SSD"/>
    <s v="Samsung"/>
    <n v="4500"/>
    <n v="5850"/>
    <n v="3"/>
    <n v="13500"/>
    <n v="17550"/>
    <s v="Ajay Sharma"/>
    <n v="8450"/>
  </r>
  <r>
    <s v="140079"/>
    <s v="UP"/>
    <s v="Aniruddha Kekapure"/>
    <s v="03/04/2020"/>
    <s v="Processing"/>
    <s v="Intel i3 11th gen."/>
    <s v="CPU"/>
    <s v="Intel"/>
    <n v="8500"/>
    <n v="11050"/>
    <n v="3"/>
    <n v="25500"/>
    <n v="33150"/>
    <s v="Roshan Kumar"/>
    <n v="33150"/>
  </r>
  <r>
    <s v="140080"/>
    <s v="UP"/>
    <s v="Aslam Raza"/>
    <s v="03/04/2020"/>
    <s v="Delivered"/>
    <s v="4GB Graphic card"/>
    <s v="Graphic Card"/>
    <s v="Nvidia"/>
    <n v="12500"/>
    <n v="16250"/>
    <n v="3"/>
    <n v="37500"/>
    <n v="48750"/>
    <s v="Aarvi Gupta"/>
    <n v="18200"/>
  </r>
  <r>
    <s v="140081"/>
    <s v="UP"/>
    <s v="Roshan Zameer"/>
    <s v="03/04/2020"/>
    <s v="Shipped"/>
    <s v="29 GB DDR4 RAM"/>
    <s v="RAM"/>
    <s v="Hynix"/>
    <n v="3500"/>
    <n v="4550"/>
    <n v="2"/>
    <n v="7000"/>
    <n v="9100"/>
    <s v="Vijay Singh"/>
    <n v="25545"/>
  </r>
  <r>
    <s v="140082"/>
    <s v="UP"/>
    <s v="Rakesh Kumar Sharma"/>
    <s v="03/04/2020"/>
    <s v="Order"/>
    <s v="BTX motherboard"/>
    <s v="MotherBoard"/>
    <s v="Gigabyte"/>
    <n v="4500"/>
    <n v="5850"/>
    <n v="1"/>
    <n v="4500"/>
    <n v="5850"/>
    <s v="Aadil Khan"/>
    <n v="39780"/>
  </r>
  <r>
    <s v="140083"/>
    <s v="UP"/>
    <s v="Shivanand Sahani"/>
    <s v="03/04/2020"/>
    <s v="Processing"/>
    <s v="24 Fans Cabinet"/>
    <s v="Cabinet"/>
    <s v="Asus"/>
    <n v="2100"/>
    <n v="2730"/>
    <n v="4"/>
    <n v="8400"/>
    <n v="10920"/>
    <s v="Advika Joshi"/>
    <n v="2990"/>
  </r>
  <r>
    <s v="140084"/>
    <s v="UP"/>
    <s v="Kunal Patra"/>
    <s v="03/04/2020"/>
    <s v="Delivered"/>
    <s v="Wireless Keyboard"/>
    <s v="Keyboard"/>
    <s v="Dell"/>
    <n v="1150"/>
    <n v="1495"/>
    <n v="2"/>
    <n v="2300"/>
    <n v="2990"/>
    <s v="Ajay Sharma"/>
    <n v="3315"/>
  </r>
  <r>
    <s v="140085"/>
    <s v="UP"/>
    <s v="Bijendra"/>
    <s v="03/04/2020"/>
    <s v="Shipped"/>
    <s v="USB Mouse"/>
    <s v="Mouse"/>
    <s v="Samsung"/>
    <n v="350"/>
    <n v="455"/>
    <n v="2"/>
    <n v="700"/>
    <n v="910"/>
    <s v="Roshan Kumar"/>
    <n v="1690"/>
  </r>
  <r>
    <s v="140086"/>
    <s v="UP"/>
    <s v="Kranti Bheke"/>
    <s v="03/04/2020"/>
    <s v="Order"/>
    <s v="19&quot; LED Display"/>
    <s v="Monitor"/>
    <s v="Dell"/>
    <n v="9500"/>
    <n v="12350"/>
    <n v="4"/>
    <n v="38000"/>
    <n v="49400"/>
    <s v="Aarvi Gupta"/>
    <n v="9750"/>
  </r>
  <r>
    <s v="140087"/>
    <s v="UP"/>
    <s v="Jagdeep"/>
    <s v="03/04/2020"/>
    <s v="Processing"/>
    <s v="23 TB HDD"/>
    <s v="HDD"/>
    <s v="Western Digital"/>
    <n v="10000"/>
    <n v="13000"/>
    <n v="3"/>
    <n v="30000"/>
    <n v="39000"/>
    <s v="Vijay Singh"/>
    <n v="39000"/>
  </r>
  <r>
    <s v="140088"/>
    <s v="UP"/>
    <s v="Adhir Samal"/>
    <s v="03/04/2020"/>
    <s v="Delivered"/>
    <s v="533 GB M.2"/>
    <s v="SSD"/>
    <s v="Samsung"/>
    <n v="6500"/>
    <n v="8450"/>
    <n v="4"/>
    <n v="26000"/>
    <n v="33800"/>
    <s v="Aadil Khan"/>
    <n v="8450"/>
  </r>
  <r>
    <s v="140089"/>
    <s v="UP"/>
    <s v="Dannana Jhammi"/>
    <s v="03/04/2020"/>
    <s v="Shipped"/>
    <s v="RYZEN 3rd gen. 3521"/>
    <s v="CPU"/>
    <s v="Intel"/>
    <n v="8500"/>
    <n v="11050"/>
    <n v="3"/>
    <n v="25500"/>
    <n v="33150"/>
    <s v="Advika Joshi"/>
    <n v="33150"/>
  </r>
  <r>
    <s v="140090"/>
    <s v="UP"/>
    <s v="Vipin Kumar"/>
    <s v="03/04/2020"/>
    <s v="Order"/>
    <s v="2GB Graphic Card"/>
    <s v="Graphic Card"/>
    <s v="Nvidia"/>
    <n v="7000"/>
    <n v="9100"/>
    <n v="3"/>
    <n v="21000"/>
    <n v="27300"/>
    <s v="Ajay Sharma"/>
    <n v="18200"/>
  </r>
  <r>
    <s v="140091"/>
    <s v="UP"/>
    <s v="Ranjeet Kumar"/>
    <s v="03/04/2020"/>
    <s v="Processing"/>
    <s v="37 GB DDR4 RAM"/>
    <s v="RAM"/>
    <s v="Hynix"/>
    <n v="6550"/>
    <n v="8515"/>
    <n v="2"/>
    <n v="13100"/>
    <n v="17030"/>
    <s v="Roshan Kumar"/>
    <n v="25545"/>
  </r>
  <r>
    <s v="140092"/>
    <s v="UP"/>
    <s v="Sajal Singhal"/>
    <s v="03/04/2020"/>
    <s v="Delivered"/>
    <s v="Standard ATX motherboard"/>
    <s v="MotherBoard"/>
    <s v="Gigabyte"/>
    <n v="7650"/>
    <n v="9945"/>
    <n v="3"/>
    <n v="22950"/>
    <n v="29835"/>
    <s v="Aarvi Gupta"/>
    <n v="39780"/>
  </r>
  <r>
    <s v="140093"/>
    <s v="UP"/>
    <s v="Akhilesh Kumar"/>
    <s v="03/04/2020"/>
    <s v="Shipped"/>
    <s v="Compact with 1 Fan"/>
    <s v="Cabinet"/>
    <s v="Asus"/>
    <n v="1150"/>
    <n v="1495"/>
    <n v="3"/>
    <n v="3450"/>
    <n v="4485"/>
    <s v="Vijay Singh"/>
    <n v="2990"/>
  </r>
  <r>
    <s v="140094"/>
    <s v="UP"/>
    <s v="Suvankar Chakraborty"/>
    <s v="03/04/2020"/>
    <s v="Order"/>
    <s v="USB Backlight Keyboard"/>
    <s v="Keyboard"/>
    <s v="Dell"/>
    <n v="850"/>
    <n v="1105"/>
    <n v="3"/>
    <n v="2550"/>
    <n v="3315"/>
    <s v="Aadil Khan"/>
    <n v="3315"/>
  </r>
  <r>
    <s v="140095"/>
    <s v="UP"/>
    <s v="Suvankar Adhikary"/>
    <s v="03/04/2020"/>
    <s v="Processing"/>
    <s v="Ergonomic Mouse"/>
    <s v="Mouse"/>
    <s v="Samsung"/>
    <n v="650"/>
    <n v="845"/>
    <n v="3"/>
    <n v="1950"/>
    <n v="2535"/>
    <s v="Advika Joshi"/>
    <n v="1690"/>
  </r>
  <r>
    <s v="140096"/>
    <s v="UP"/>
    <s v="Rahul Kumar Prajapati"/>
    <s v="03/04/2020"/>
    <s v="Delivered"/>
    <s v="15&quot; LCD Dsipaly"/>
    <s v="Monitor"/>
    <s v="Dell"/>
    <n v="7500"/>
    <n v="9750"/>
    <n v="3"/>
    <n v="22500"/>
    <n v="29250"/>
    <s v="Ajay Sharma"/>
    <n v="9750"/>
  </r>
  <r>
    <s v="140097"/>
    <s v="UP"/>
    <s v="Sagar Jeur"/>
    <s v="03/04/2020"/>
    <s v="Shipped"/>
    <s v="23 TB HDD"/>
    <s v="HDD"/>
    <s v="Seagate"/>
    <n v="10000"/>
    <n v="13000"/>
    <n v="4"/>
    <n v="40000"/>
    <n v="52000"/>
    <s v="Roshan Kumar"/>
    <n v="39000"/>
  </r>
  <r>
    <s v="140098"/>
    <s v="UP"/>
    <s v="Rhushikesh Mane"/>
    <s v="03/04/2020"/>
    <s v="Order"/>
    <s v="22 TB SSD"/>
    <s v="SSD"/>
    <s v="Samsung"/>
    <n v="10500"/>
    <n v="13650"/>
    <n v="3"/>
    <n v="31500"/>
    <n v="40950"/>
    <s v="Aarvi Gupta"/>
    <n v="8450"/>
  </r>
  <r>
    <s v="140099"/>
    <s v="UP"/>
    <s v="Ashish Kumar"/>
    <s v="04/04/2020"/>
    <s v="Processing"/>
    <s v="Intel i5 12th gen."/>
    <s v="CPU"/>
    <s v="Intel"/>
    <n v="8500"/>
    <n v="11050"/>
    <n v="4"/>
    <n v="34000"/>
    <n v="44200"/>
    <s v="Vijay Singh"/>
    <n v="33150"/>
  </r>
  <r>
    <s v="140100"/>
    <s v="UP"/>
    <s v="Javed Akhter"/>
    <s v="05/04/2020"/>
    <s v="Delivered"/>
    <s v="2GB Graphic Card"/>
    <s v="Graphic Card"/>
    <s v="Nvidia"/>
    <n v="7000"/>
    <n v="9100"/>
    <n v="2"/>
    <n v="14000"/>
    <n v="18200"/>
    <s v="Aadil Khan"/>
    <n v="18200"/>
  </r>
  <r>
    <s v="140101"/>
    <s v="UP"/>
    <s v="Haridas Balraj"/>
    <s v="06/04/2020"/>
    <s v="Shipped"/>
    <s v="25 GB DDR4 Ram"/>
    <s v="RAM"/>
    <s v="Hynix"/>
    <n v="1680"/>
    <n v="2184"/>
    <n v="2"/>
    <n v="3360"/>
    <n v="4368"/>
    <s v="Advika Joshi"/>
    <n v="25545"/>
  </r>
  <r>
    <s v="140102"/>
    <s v="UP"/>
    <s v="Kundan Kumar"/>
    <s v="07/04/2020"/>
    <s v="Order"/>
    <s v="Micro ATX motherboard"/>
    <s v="MotherBoard"/>
    <s v="MSI"/>
    <n v="6540"/>
    <n v="8502"/>
    <n v="3"/>
    <n v="19620"/>
    <n v="25506"/>
    <s v="Ajay Sharma"/>
    <n v="39780"/>
  </r>
  <r>
    <s v="140103"/>
    <s v="UP"/>
    <s v="Atif Siddiqui"/>
    <s v="08/04/2020"/>
    <s v="Processing"/>
    <s v="Gaming Box Cabinet"/>
    <s v="Cabinet"/>
    <s v="Asus"/>
    <n v="2680"/>
    <n v="3484"/>
    <n v="3"/>
    <n v="8040"/>
    <n v="10452"/>
    <s v="Roshan Kumar"/>
    <n v="2990"/>
  </r>
  <r>
    <s v="140104"/>
    <s v="UP"/>
    <s v="Aditya Agarwal"/>
    <s v="09/04/2020"/>
    <s v="Delivered"/>
    <s v="17&quot; LCD Display"/>
    <s v="Monitor"/>
    <s v="Samsung"/>
    <n v="8250"/>
    <n v="10725"/>
    <n v="1"/>
    <n v="8250"/>
    <n v="10725"/>
    <s v="Aarvi Gupta"/>
    <n v="9750"/>
  </r>
  <r>
    <s v="140105"/>
    <s v="UP"/>
    <s v="Firdoush Jabee"/>
    <s v="10/04/2020"/>
    <s v="Shipped"/>
    <s v="29 GB DDR4 RAM"/>
    <s v="RAM"/>
    <s v="Samsung"/>
    <n v="2650"/>
    <n v="3445"/>
    <n v="3"/>
    <n v="7950"/>
    <n v="10335"/>
    <s v="Vijay Singh"/>
    <n v="25545"/>
  </r>
  <r>
    <s v="140106"/>
    <s v="UP"/>
    <s v="Jay Prakash Kumar"/>
    <s v="10/04/2020"/>
    <s v="Order"/>
    <s v="26&quot; LCD Display"/>
    <s v="Monitor"/>
    <s v="Acer"/>
    <n v="12550"/>
    <n v="16315"/>
    <n v="3"/>
    <n v="37650"/>
    <n v="48945"/>
    <s v="Aadil Khan"/>
    <n v="9750"/>
  </r>
  <r>
    <s v="140107"/>
    <s v="UP"/>
    <s v="Ashish Pandey"/>
    <s v="10/04/2020"/>
    <s v="Processing"/>
    <s v="I7 - intel 12th Generation"/>
    <s v="CPU"/>
    <s v="Intel"/>
    <n v="14500"/>
    <n v="18850"/>
    <n v="4"/>
    <n v="58000"/>
    <n v="75400"/>
    <s v="Advika Joshi"/>
    <n v="33150"/>
  </r>
  <r>
    <s v="140108"/>
    <s v="UP"/>
    <s v="Ajay Sharma"/>
    <s v="10/04/2020"/>
    <s v="Delivered"/>
    <s v="USB Keyboard"/>
    <s v="Keyboard"/>
    <s v="Dell"/>
    <n v="800"/>
    <n v="1040"/>
    <n v="3"/>
    <n v="2400"/>
    <n v="3120"/>
    <s v="Ajay Sharma"/>
    <n v="3315"/>
  </r>
  <r>
    <s v="140109"/>
    <s v="UP"/>
    <s v="Moinuddin Saifi"/>
    <s v="10/04/2020"/>
    <s v="Shipped"/>
    <s v="Wireless Mouse"/>
    <s v="Mouse"/>
    <s v="Samsung"/>
    <n v="600"/>
    <n v="780"/>
    <n v="3"/>
    <n v="1800"/>
    <n v="2340"/>
    <s v="Roshan Kumar"/>
    <n v="1690"/>
  </r>
  <r>
    <s v="140110"/>
    <s v="UP"/>
    <s v="Ramkrishna Das Adhikary"/>
    <s v="10/04/2020"/>
    <s v="Order"/>
    <s v="21&quot; LCD Display"/>
    <s v="Monitor"/>
    <s v="Dell"/>
    <n v="10500"/>
    <n v="13650"/>
    <n v="4"/>
    <n v="42000"/>
    <n v="54600"/>
    <s v="Aarvi Gupta"/>
    <n v="9750"/>
  </r>
  <r>
    <s v="140111"/>
    <s v="UP"/>
    <s v="Ranjeet Mandal"/>
    <s v="10/04/2020"/>
    <s v="Processing"/>
    <s v="23 TB HDD"/>
    <s v="HDD"/>
    <s v="Western Digital"/>
    <n v="6500"/>
    <n v="8450"/>
    <n v="1"/>
    <n v="6500"/>
    <n v="8450"/>
    <s v="Vijay Singh"/>
    <n v="39000"/>
  </r>
  <r>
    <s v="140112"/>
    <s v="UP"/>
    <s v="Ashwini Adsare"/>
    <s v="10/04/2020"/>
    <s v="Delivered"/>
    <s v="278 GB SSD"/>
    <s v="SSD"/>
    <s v="Samsung"/>
    <n v="4500"/>
    <n v="5850"/>
    <n v="2"/>
    <n v="9000"/>
    <n v="11700"/>
    <s v="Aadil Khan"/>
    <n v="8450"/>
  </r>
  <r>
    <s v="140113"/>
    <s v="UP"/>
    <s v="Rajesh Variya"/>
    <s v="10/04/2020"/>
    <s v="Shipped"/>
    <s v="Intel i3 11th gen."/>
    <s v="CPU"/>
    <s v="Intel"/>
    <n v="8500"/>
    <n v="11050"/>
    <n v="3"/>
    <n v="25500"/>
    <n v="33150"/>
    <s v="Advika Joshi"/>
    <n v="33150"/>
  </r>
  <r>
    <s v="140114"/>
    <s v="UP"/>
    <s v="Amit Singh"/>
    <s v="10/04/2020"/>
    <s v="Order"/>
    <s v="4GB Graphic card"/>
    <s v="Graphic Card"/>
    <s v="Nvidia"/>
    <n v="12500"/>
    <n v="16250"/>
    <n v="1"/>
    <n v="12500"/>
    <n v="16250"/>
    <s v="Ajay Sharma"/>
    <n v="18200"/>
  </r>
  <r>
    <s v="140115"/>
    <s v="UP"/>
    <s v="Vinod Mehta"/>
    <s v="10/04/2020"/>
    <s v="Processing"/>
    <s v="30 GB DDR4 RAM"/>
    <s v="Computer Case"/>
    <s v="Hynix"/>
    <n v="3500"/>
    <n v="4550"/>
    <n v="1"/>
    <n v="3500"/>
    <n v="4550"/>
    <s v="Roshan Kumar"/>
    <n v="13650"/>
  </r>
  <r>
    <s v="140116"/>
    <s v="UP"/>
    <s v="Jignesh Mhatre"/>
    <s v="10/04/2020"/>
    <s v="Delivered"/>
    <s v="BTX motherboard"/>
    <s v="Mouse"/>
    <s v="Gigabyte"/>
    <n v="4500"/>
    <n v="5850"/>
    <n v="2"/>
    <n v="9000"/>
    <n v="11700"/>
    <s v="Aarvi Gupta"/>
    <n v="1690"/>
  </r>
  <r>
    <s v="140117"/>
    <s v="UP"/>
    <s v="Rahul Kashyap"/>
    <s v="10/04/2020"/>
    <s v="Shipped"/>
    <s v="25 Fans Cabinet"/>
    <s v="Cabinet"/>
    <s v="Asus"/>
    <n v="2100"/>
    <n v="2730"/>
    <n v="1"/>
    <n v="2100"/>
    <n v="2730"/>
    <s v="Vijay Singh"/>
    <n v="2990"/>
  </r>
  <r>
    <s v="140118"/>
    <s v="UP"/>
    <s v="Mohammed Abdul Kaleem"/>
    <s v="10/04/2020"/>
    <s v="Order"/>
    <s v="Wireless Keyboard"/>
    <s v="Keyboard"/>
    <s v="Dell"/>
    <n v="1150"/>
    <n v="1495"/>
    <n v="4"/>
    <n v="4600"/>
    <n v="5980"/>
    <s v="Aadil Khan"/>
    <n v="3315"/>
  </r>
  <r>
    <s v="140119"/>
    <s v="UP"/>
    <s v="Chandrakant Kasbe"/>
    <s v="10/04/2020"/>
    <s v="Processing"/>
    <s v="USB Mouse"/>
    <s v="Mouse"/>
    <s v="Samsung"/>
    <n v="350"/>
    <n v="455"/>
    <n v="2"/>
    <n v="700"/>
    <n v="910"/>
    <s v="Advika Joshi"/>
    <n v="1690"/>
  </r>
  <r>
    <s v="140120"/>
    <s v="UP"/>
    <s v="Rohan Kale"/>
    <s v="10/04/2020"/>
    <s v="Delivered"/>
    <s v="19&quot; LED Display"/>
    <s v="Monitor"/>
    <s v="Dell"/>
    <n v="9500"/>
    <n v="12350"/>
    <n v="4"/>
    <n v="38000"/>
    <n v="49400"/>
    <s v="Ajay Sharma"/>
    <n v="9750"/>
  </r>
  <r>
    <s v="140121"/>
    <s v="UP"/>
    <s v="Aniruddha Kekapure"/>
    <s v="10/04/2020"/>
    <s v="Shipped"/>
    <s v="24 TB HDD"/>
    <s v="HDD"/>
    <s v="Western Digital"/>
    <n v="10000"/>
    <n v="13000"/>
    <n v="1"/>
    <n v="10000"/>
    <n v="13000"/>
    <s v="Roshan Kumar"/>
    <n v="39000"/>
  </r>
  <r>
    <s v="140122"/>
    <s v="UP"/>
    <s v="Aslam Raza"/>
    <s v="10/04/2020"/>
    <s v="Order"/>
    <s v="534 GB M.2"/>
    <s v="SSD"/>
    <s v="Samsung"/>
    <n v="6500"/>
    <n v="8450"/>
    <n v="4"/>
    <n v="26000"/>
    <n v="33800"/>
    <s v="Aarvi Gupta"/>
    <n v="8450"/>
  </r>
  <r>
    <s v="140123"/>
    <s v="UP"/>
    <s v="Roshan Zameer"/>
    <s v="10/04/2020"/>
    <s v="Processing"/>
    <s v="RYZEN 3rd gen. 3522"/>
    <s v="CPU"/>
    <s v="Intel"/>
    <n v="8500"/>
    <n v="11050"/>
    <n v="4"/>
    <n v="34000"/>
    <n v="44200"/>
    <s v="Vijay Singh"/>
    <n v="33150"/>
  </r>
  <r>
    <s v="140124"/>
    <s v="UP"/>
    <s v="Rakesh Kumar Sharma"/>
    <s v="10/04/2020"/>
    <s v="Delivered"/>
    <s v="2GB Graphic Card"/>
    <s v="Graphic Card"/>
    <s v="Nvidia"/>
    <n v="7000"/>
    <n v="9100"/>
    <n v="4"/>
    <n v="28000"/>
    <n v="36400"/>
    <s v="Aadil Khan"/>
    <n v="18200"/>
  </r>
  <r>
    <s v="140125"/>
    <s v="UP"/>
    <s v="Shivanand Sahani"/>
    <s v="10/04/2020"/>
    <s v="Shipped"/>
    <s v="38 GB DDR4 RAM"/>
    <s v="Computer Case"/>
    <s v="Hynix"/>
    <n v="6550"/>
    <n v="8515"/>
    <n v="1"/>
    <n v="6550"/>
    <n v="8515"/>
    <s v="Advika Joshi"/>
    <n v="13650"/>
  </r>
  <r>
    <s v="140126"/>
    <s v="UP"/>
    <s v="Kunal Patra"/>
    <s v="10/04/2020"/>
    <s v="Order"/>
    <s v="Standard ATX motherboard"/>
    <s v="Mouse"/>
    <s v="Gigabyte"/>
    <n v="7650"/>
    <n v="9945"/>
    <n v="1"/>
    <n v="7650"/>
    <n v="9945"/>
    <s v="Ajay Sharma"/>
    <n v="1690"/>
  </r>
  <r>
    <s v="140127"/>
    <s v="UP"/>
    <s v="Bijendra"/>
    <s v="10/04/2020"/>
    <s v="Processing"/>
    <s v="Compact with 1 Fan"/>
    <s v="Cabinet"/>
    <s v="Asus"/>
    <n v="1150"/>
    <n v="1495"/>
    <n v="4"/>
    <n v="4600"/>
    <n v="5980"/>
    <s v="Roshan Kumar"/>
    <n v="2990"/>
  </r>
  <r>
    <s v="140128"/>
    <s v="UP"/>
    <s v="Kranti Bheke"/>
    <s v="10/04/2020"/>
    <s v="Delivered"/>
    <s v="USB Backlight Keyboard"/>
    <s v="Keyboard"/>
    <s v="Dell"/>
    <n v="850"/>
    <n v="1105"/>
    <n v="3"/>
    <n v="2550"/>
    <n v="3315"/>
    <s v="Aarvi Gupta"/>
    <n v="3315"/>
  </r>
  <r>
    <s v="140129"/>
    <s v="UP"/>
    <s v="Jagdeep"/>
    <s v="10/04/2020"/>
    <s v="Shipped"/>
    <s v="Ergonomic Mouse"/>
    <s v="Mouse"/>
    <s v="Samsung"/>
    <n v="650"/>
    <n v="845"/>
    <n v="1"/>
    <n v="650"/>
    <n v="845"/>
    <s v="Vijay Singh"/>
    <n v="1690"/>
  </r>
  <r>
    <s v="140130"/>
    <s v="UP"/>
    <s v="Adhir Samal"/>
    <s v="10/04/2020"/>
    <s v="Order"/>
    <s v="15&quot; LCD Dsipaly"/>
    <s v="Monitor"/>
    <s v="Dell"/>
    <n v="7500"/>
    <n v="9750"/>
    <n v="4"/>
    <n v="30000"/>
    <n v="39000"/>
    <s v="Aadil Khan"/>
    <n v="9750"/>
  </r>
  <r>
    <s v="140131"/>
    <s v="UP"/>
    <s v="Dannana Jhammi"/>
    <s v="10/04/2020"/>
    <s v="Processing"/>
    <s v="24 TB HDD"/>
    <s v="HDD"/>
    <s v="Seagate"/>
    <n v="10000"/>
    <n v="13000"/>
    <n v="3"/>
    <n v="30000"/>
    <n v="39000"/>
    <s v="Advika Joshi"/>
    <n v="39000"/>
  </r>
  <r>
    <s v="140132"/>
    <s v="UP"/>
    <s v="Vipin Kumar"/>
    <s v="10/04/2020"/>
    <s v="Delivered"/>
    <s v="23 TB SSD"/>
    <s v="SSD"/>
    <s v="Samsung"/>
    <n v="10500"/>
    <n v="13650"/>
    <n v="3"/>
    <n v="31500"/>
    <n v="40950"/>
    <s v="Ajay Sharma"/>
    <n v="8450"/>
  </r>
  <r>
    <s v="140133"/>
    <s v="UP"/>
    <s v="Ranjeet Kumar"/>
    <s v="11/04/2020"/>
    <s v="Shipped"/>
    <s v="Intel i5 12th gen."/>
    <s v="CPU"/>
    <s v="Intel"/>
    <n v="8500"/>
    <n v="11050"/>
    <n v="1"/>
    <n v="8500"/>
    <n v="11050"/>
    <s v="Roshan Kumar"/>
    <n v="33150"/>
  </r>
  <r>
    <s v="140134"/>
    <s v="UP"/>
    <s v="Sajal Singhal"/>
    <s v="12/04/2020"/>
    <s v="Order"/>
    <s v="2GB Graphic Card"/>
    <s v="Graphic Card"/>
    <s v="Nvidia"/>
    <n v="7000"/>
    <n v="9100"/>
    <n v="2"/>
    <n v="14000"/>
    <n v="18200"/>
    <s v="Aarvi Gupta"/>
    <n v="18200"/>
  </r>
  <r>
    <s v="140135"/>
    <s v="UP"/>
    <s v="Akhilesh Kumar"/>
    <s v="13/04/2020"/>
    <s v="Processing"/>
    <s v="26 GB DDR4 Ram"/>
    <s v="Computer Case"/>
    <s v="Hynix"/>
    <n v="1680"/>
    <n v="2184"/>
    <n v="4"/>
    <n v="6720"/>
    <n v="8736"/>
    <s v="Vijay Singh"/>
    <n v="13650"/>
  </r>
  <r>
    <s v="140136"/>
    <s v="UP"/>
    <s v="Suvankar Chakraborty"/>
    <s v="14/04/2020"/>
    <s v="Delivered"/>
    <s v="Micro ATX motherboard"/>
    <s v="Mouse"/>
    <s v="MSI"/>
    <n v="6540"/>
    <n v="8502"/>
    <n v="3"/>
    <n v="19620"/>
    <n v="25506"/>
    <s v="Aadil Khan"/>
    <n v="1690"/>
  </r>
  <r>
    <s v="140137"/>
    <s v="UP"/>
    <s v="Suvankar Adhikary"/>
    <s v="15/04/2020"/>
    <s v="Shipped"/>
    <s v="Gaming Box Cabinet"/>
    <s v="Cabinet"/>
    <s v="Asus"/>
    <n v="2680"/>
    <n v="3484"/>
    <n v="2"/>
    <n v="5360"/>
    <n v="6968"/>
    <s v="Advika Joshi"/>
    <n v="2990"/>
  </r>
  <r>
    <s v="140138"/>
    <s v="UP"/>
    <s v="Rahul Kumar Prajapati"/>
    <s v="16/04/2020"/>
    <s v="Order"/>
    <s v="17&quot; LCD Display"/>
    <s v="Monitor"/>
    <s v="Samsung"/>
    <n v="8250"/>
    <n v="10725"/>
    <n v="4"/>
    <n v="33000"/>
    <n v="42900"/>
    <s v="Ajay Sharma"/>
    <n v="9750"/>
  </r>
  <r>
    <s v="140139"/>
    <s v="UP"/>
    <s v="Sagar Jeur"/>
    <s v="16/04/2020"/>
    <s v="Processing"/>
    <s v="30 GB DDR4 RAM"/>
    <s v="RAM"/>
    <s v="Samsung"/>
    <n v="2650"/>
    <n v="3445"/>
    <n v="2"/>
    <n v="5300"/>
    <n v="6890"/>
    <s v="Roshan Kumar"/>
    <n v="25545"/>
  </r>
  <r>
    <s v="140140"/>
    <s v="UP"/>
    <s v="Rhushikesh Mane"/>
    <s v="16/04/2020"/>
    <s v="Delivered"/>
    <s v="26&quot; LCD Display"/>
    <s v="Monitor"/>
    <s v="Acer"/>
    <n v="12550"/>
    <n v="16315"/>
    <n v="4"/>
    <n v="50200"/>
    <n v="65260"/>
    <s v="Aarvi Gupta"/>
    <n v="9750"/>
  </r>
  <r>
    <s v="140141"/>
    <s v="UP"/>
    <s v="Ashish Kumar"/>
    <s v="16/04/2020"/>
    <s v="Shipped"/>
    <s v="I7 - intel 12th Generation"/>
    <s v="CPU"/>
    <s v="Intel"/>
    <n v="14500"/>
    <n v="18850"/>
    <n v="2"/>
    <n v="29000"/>
    <n v="37700"/>
    <s v="Vijay Singh"/>
    <n v="33150"/>
  </r>
  <r>
    <s v="140142"/>
    <s v="UP"/>
    <s v="Javed Akhter"/>
    <s v="16/04/2020"/>
    <s v="Order"/>
    <s v="USB Keyboard"/>
    <s v="Keyboard"/>
    <s v="Dell"/>
    <n v="800"/>
    <n v="1040"/>
    <n v="1"/>
    <n v="800"/>
    <n v="1040"/>
    <s v="Aadil Khan"/>
    <n v="3315"/>
  </r>
  <r>
    <s v="140143"/>
    <s v="UP"/>
    <s v="Haridas Balraj"/>
    <s v="16/04/2020"/>
    <s v="Processing"/>
    <s v="Wireless Mouse"/>
    <s v="Mouse"/>
    <s v="Samsung"/>
    <n v="600"/>
    <n v="780"/>
    <n v="1"/>
    <n v="600"/>
    <n v="780"/>
    <s v="Advika Joshi"/>
    <n v="1690"/>
  </r>
  <r>
    <s v="140144"/>
    <s v="UP"/>
    <s v="Kundan Kumar"/>
    <s v="16/04/2020"/>
    <s v="Delivered"/>
    <s v="21&quot; LCD Display"/>
    <s v="Monitor"/>
    <s v="Dell"/>
    <n v="10500"/>
    <n v="13650"/>
    <n v="1"/>
    <n v="10500"/>
    <n v="13650"/>
    <s v="Ajay Sharma"/>
    <n v="9750"/>
  </r>
  <r>
    <s v="140145"/>
    <s v="UP"/>
    <s v="Atif Siddiqui"/>
    <s v="16/04/2020"/>
    <s v="Shipped"/>
    <s v="24 TB HDD"/>
    <s v="HDD"/>
    <s v="Western Digital"/>
    <n v="6500"/>
    <n v="8450"/>
    <n v="2"/>
    <n v="13000"/>
    <n v="16900"/>
    <s v="Ajay Sharma"/>
    <n v="39000"/>
  </r>
  <r>
    <s v="140146"/>
    <s v="UP"/>
    <s v="Aditya Agarwal"/>
    <s v="16/04/2020"/>
    <s v="Order"/>
    <s v="279 GB SSD"/>
    <s v="SSD"/>
    <s v="Samsung"/>
    <n v="4500"/>
    <n v="5850"/>
    <n v="4"/>
    <n v="18000"/>
    <n v="23400"/>
    <s v="Roshan Kumar"/>
    <n v="8450"/>
  </r>
  <r>
    <s v="140147"/>
    <s v="UP"/>
    <s v="Firdoush Jabee"/>
    <s v="16/04/2020"/>
    <s v="Processing"/>
    <s v="Intel i3 11th gen."/>
    <s v="CPU"/>
    <s v="Intel"/>
    <n v="8500"/>
    <n v="11050"/>
    <n v="4"/>
    <n v="34000"/>
    <n v="44200"/>
    <s v="Aarvi Gupta"/>
    <n v="33150"/>
  </r>
  <r>
    <s v="140148"/>
    <s v="UP"/>
    <s v="Jay Prakash Kumar"/>
    <s v="16/04/2020"/>
    <s v="Delivered"/>
    <s v="4GB Graphic card"/>
    <s v="Graphic Card"/>
    <s v="Nvidia"/>
    <n v="12500"/>
    <n v="16250"/>
    <n v="2"/>
    <n v="25000"/>
    <n v="32500"/>
    <s v="Vijay Singh"/>
    <n v="18200"/>
  </r>
  <r>
    <s v="140149"/>
    <s v="UP"/>
    <s v="Ashish Pandey"/>
    <s v="16/04/2020"/>
    <s v="Shipped"/>
    <s v="31 GB DDR4 RAM"/>
    <s v="NIC"/>
    <s v="Hynix"/>
    <n v="3500"/>
    <n v="4550"/>
    <n v="3"/>
    <n v="10500"/>
    <n v="13650"/>
    <s v="Aadil Khan"/>
    <n v="9100"/>
  </r>
  <r>
    <s v="140150"/>
    <s v="UP"/>
    <s v="Ajay Sharma"/>
    <s v="16/04/2020"/>
    <s v="Order"/>
    <s v="BTX motherboard"/>
    <s v="Printer"/>
    <s v="Gigabyte"/>
    <n v="4500"/>
    <n v="5850"/>
    <n v="2"/>
    <n v="9000"/>
    <n v="11700"/>
    <s v="Advika Joshi"/>
    <n v="11700"/>
  </r>
  <r>
    <s v="140151"/>
    <s v="UP"/>
    <s v="Moinuddin Saifi"/>
    <s v="16/04/2020"/>
    <s v="Processing"/>
    <s v="26 Fans Cabinet"/>
    <s v="Cabinet"/>
    <s v="Asus"/>
    <n v="2100"/>
    <n v="2730"/>
    <n v="2"/>
    <n v="4200"/>
    <n v="5460"/>
    <s v="Ajay Sharma"/>
    <n v="2990"/>
  </r>
  <r>
    <s v="140152"/>
    <s v="UP"/>
    <s v="Ramkrishna Das Adhikary"/>
    <s v="16/04/2020"/>
    <s v="Delivered"/>
    <s v="Wireless Keyboard"/>
    <s v="Keyboard"/>
    <s v="Dell"/>
    <n v="1150"/>
    <n v="1495"/>
    <n v="1"/>
    <n v="1150"/>
    <n v="1495"/>
    <s v="Roshan Kumar"/>
    <n v="3315"/>
  </r>
  <r>
    <s v="140153"/>
    <s v="UP"/>
    <s v="Ranjeet Mandal"/>
    <s v="16/04/2020"/>
    <s v="Shipped"/>
    <s v="USB Mouse"/>
    <s v="Mouse"/>
    <s v="Samsung"/>
    <n v="350"/>
    <n v="455"/>
    <n v="4"/>
    <n v="1400"/>
    <n v="1820"/>
    <s v="Aarvi Gupta"/>
    <n v="1690"/>
  </r>
  <r>
    <s v="140154"/>
    <s v="UP"/>
    <s v="Ashwini Adsare"/>
    <s v="16/04/2020"/>
    <s v="Order"/>
    <s v="19&quot; LED Display"/>
    <s v="Monitor"/>
    <s v="Dell"/>
    <n v="9500"/>
    <n v="12350"/>
    <n v="2"/>
    <n v="19000"/>
    <n v="24700"/>
    <s v="Vijay Singh"/>
    <n v="9750"/>
  </r>
  <r>
    <s v="140155"/>
    <s v="UP"/>
    <s v="Rajesh Variya"/>
    <s v="16/04/2020"/>
    <s v="Processing"/>
    <s v="25 TB HDD"/>
    <s v="HDD"/>
    <s v="Western Digital"/>
    <n v="10000"/>
    <n v="13000"/>
    <n v="3"/>
    <n v="30000"/>
    <n v="39000"/>
    <s v="Aadil Khan"/>
    <n v="39000"/>
  </r>
  <r>
    <s v="140156"/>
    <s v="UP"/>
    <s v="Amit Singh"/>
    <s v="16/04/2020"/>
    <s v="Delivered"/>
    <s v="535 GB M.2"/>
    <s v="SSD"/>
    <s v="Samsung"/>
    <n v="6500"/>
    <n v="8450"/>
    <n v="4"/>
    <n v="26000"/>
    <n v="33800"/>
    <s v="Advika Joshi"/>
    <n v="8450"/>
  </r>
  <r>
    <s v="140157"/>
    <s v="UP"/>
    <s v="Vinod Mehta"/>
    <s v="16/04/2020"/>
    <s v="Shipped"/>
    <s v="RYZEN 3rd gen. 3523"/>
    <s v="CPU"/>
    <s v="Intel"/>
    <n v="8500"/>
    <n v="11050"/>
    <n v="3"/>
    <n v="25500"/>
    <n v="33150"/>
    <s v="Ajay Sharma"/>
    <n v="33150"/>
  </r>
  <r>
    <s v="140158"/>
    <s v="UP"/>
    <s v="Jignesh Mhatre"/>
    <s v="16/04/2020"/>
    <s v="Order"/>
    <s v="2GB Graphic Card"/>
    <s v="Graphic Card"/>
    <s v="Nvidia"/>
    <n v="7000"/>
    <n v="9100"/>
    <n v="1"/>
    <n v="7000"/>
    <n v="9100"/>
    <s v="Roshan Kumar"/>
    <n v="18200"/>
  </r>
  <r>
    <s v="140159"/>
    <s v="UP"/>
    <s v="Rahul Kashyap"/>
    <s v="16/04/2020"/>
    <s v="Processing"/>
    <s v="39 GB DDR4 RAM"/>
    <s v="NIC"/>
    <s v="Hynix"/>
    <n v="6550"/>
    <n v="8515"/>
    <n v="1"/>
    <n v="6550"/>
    <n v="8515"/>
    <s v="Aarvi Gupta"/>
    <n v="9100"/>
  </r>
  <r>
    <s v="140160"/>
    <s v="UP"/>
    <s v="Mohammed Abdul Kaleem"/>
    <s v="16/04/2020"/>
    <s v="Delivered"/>
    <s v="Standard ATX motherboard"/>
    <s v="Printer"/>
    <s v="Gigabyte"/>
    <n v="7650"/>
    <n v="9945"/>
    <n v="4"/>
    <n v="30600"/>
    <n v="39780"/>
    <s v="Vijay Singh"/>
    <n v="11700"/>
  </r>
  <r>
    <s v="140161"/>
    <s v="UP"/>
    <s v="Chandrakant Kasbe"/>
    <s v="16/04/2020"/>
    <s v="Shipped"/>
    <s v="Compact with 1 Fan"/>
    <s v="Cabinet"/>
    <s v="Asus"/>
    <n v="1150"/>
    <n v="1495"/>
    <n v="4"/>
    <n v="4600"/>
    <n v="5980"/>
    <s v="Aadil Khan"/>
    <n v="2990"/>
  </r>
  <r>
    <s v="140162"/>
    <s v="UP"/>
    <s v="Rohan Kale"/>
    <s v="16/04/2020"/>
    <s v="Order"/>
    <s v="USB Backlight Keyboard"/>
    <s v="Keyboard"/>
    <s v="Dell"/>
    <n v="850"/>
    <n v="1105"/>
    <n v="4"/>
    <n v="3400"/>
    <n v="4420"/>
    <s v="Advika Joshi"/>
    <n v="3315"/>
  </r>
  <r>
    <s v="140163"/>
    <s v="UP"/>
    <s v="Aniruddha Kekapure"/>
    <s v="16/04/2020"/>
    <s v="Processing"/>
    <s v="Ergonomic Mouse"/>
    <s v="Mouse"/>
    <s v="Samsung"/>
    <n v="650"/>
    <n v="845"/>
    <n v="3"/>
    <n v="1950"/>
    <n v="2535"/>
    <s v="Ajay Sharma"/>
    <n v="1690"/>
  </r>
  <r>
    <s v="140164"/>
    <s v="UP"/>
    <s v="Aslam Raza"/>
    <s v="16/04/2020"/>
    <s v="Delivered"/>
    <s v="15&quot; LCD Dsipaly"/>
    <s v="Monitor"/>
    <s v="Dell"/>
    <n v="7500"/>
    <n v="9750"/>
    <n v="4"/>
    <n v="30000"/>
    <n v="39000"/>
    <s v="Roshan Kumar"/>
    <n v="9750"/>
  </r>
  <r>
    <s v="140165"/>
    <s v="UP"/>
    <s v="Roshan Zameer"/>
    <s v="16/04/2020"/>
    <s v="Shipped"/>
    <s v="25 TB HDD"/>
    <s v="HDD"/>
    <s v="Seagate"/>
    <n v="10000"/>
    <n v="13000"/>
    <n v="3"/>
    <n v="30000"/>
    <n v="39000"/>
    <s v="Aarvi Gupta"/>
    <n v="39000"/>
  </r>
  <r>
    <s v="140166"/>
    <s v="UP"/>
    <s v="Rakesh Kumar Sharma"/>
    <s v="16/04/2020"/>
    <s v="Order"/>
    <s v="24 TB SSD"/>
    <s v="SSD"/>
    <s v="Samsung"/>
    <n v="10500"/>
    <n v="13650"/>
    <n v="2"/>
    <n v="21000"/>
    <n v="27300"/>
    <s v="Vijay Singh"/>
    <n v="8450"/>
  </r>
  <r>
    <s v="140167"/>
    <s v="UP"/>
    <s v="Shivanand Sahani"/>
    <s v="16/04/2020"/>
    <s v="Processing"/>
    <s v="Intel i5 12th gen."/>
    <s v="CPU"/>
    <s v="Intel"/>
    <n v="8500"/>
    <n v="11050"/>
    <n v="1"/>
    <n v="8500"/>
    <n v="11050"/>
    <s v="Aadil Khan"/>
    <n v="33150"/>
  </r>
  <r>
    <s v="140168"/>
    <s v="UP"/>
    <s v="Kunal Patra"/>
    <s v="16/04/2020"/>
    <s v="Delivered"/>
    <s v="2GB Graphic Card"/>
    <s v="Graphic Card"/>
    <s v="Nvidia"/>
    <n v="7000"/>
    <n v="9100"/>
    <n v="1"/>
    <n v="7000"/>
    <n v="9100"/>
    <s v="Advika Joshi"/>
    <n v="18200"/>
  </r>
  <r>
    <s v="140169"/>
    <s v="UP"/>
    <s v="Bijendra"/>
    <s v="16/04/2020"/>
    <s v="Shipped"/>
    <s v="27 GB DDR4 Ram"/>
    <s v="NIC"/>
    <s v="Hynix"/>
    <n v="1680"/>
    <n v="2184"/>
    <n v="4"/>
    <n v="6720"/>
    <n v="8736"/>
    <s v="Ajay Sharma"/>
    <n v="9100"/>
  </r>
  <r>
    <s v="140170"/>
    <s v="UP"/>
    <s v="Kranti Bheke"/>
    <s v="16/04/2020"/>
    <s v="Order"/>
    <s v="Micro ATX motherboard"/>
    <s v="Printer"/>
    <s v="MSI"/>
    <n v="6540"/>
    <n v="8502"/>
    <n v="3"/>
    <n v="19620"/>
    <n v="25506"/>
    <s v="Roshan Kumar"/>
    <n v="11700"/>
  </r>
  <r>
    <s v="140171"/>
    <s v="UP"/>
    <s v="Jagdeep"/>
    <s v="16/04/2020"/>
    <s v="Processing"/>
    <s v="Gaming Box Cabinet"/>
    <s v="Cabinet"/>
    <s v="Asus"/>
    <n v="2680"/>
    <n v="3484"/>
    <n v="1"/>
    <n v="2680"/>
    <n v="3484"/>
    <s v="Aarvi Gupta"/>
    <n v="2990"/>
  </r>
  <r>
    <s v="140172"/>
    <s v="UP"/>
    <s v="Adhir Samal"/>
    <s v="16/04/2020"/>
    <s v="Delivered"/>
    <s v="17&quot; LCD Display"/>
    <s v="Monitor"/>
    <s v="Samsung"/>
    <n v="8250"/>
    <n v="10725"/>
    <n v="3"/>
    <n v="24750"/>
    <n v="32175"/>
    <s v="Vijay Singh"/>
    <n v="9750"/>
  </r>
  <r>
    <s v="140173"/>
    <s v="UP"/>
    <s v="Dannana Jhammi"/>
    <s v="16/04/2020"/>
    <s v="Shipped"/>
    <s v="31 GB DDR4 RAM"/>
    <s v="RAM"/>
    <s v="Samsung"/>
    <n v="2650"/>
    <n v="3445"/>
    <n v="2"/>
    <n v="5300"/>
    <n v="6890"/>
    <s v="Aadil Khan"/>
    <n v="25545"/>
  </r>
  <r>
    <s v="140174"/>
    <s v="UP"/>
    <s v="Vipin Kumar"/>
    <s v="16/04/2020"/>
    <s v="Order"/>
    <s v="26&quot; LCD Display"/>
    <s v="Monitor"/>
    <s v="Acer"/>
    <n v="12550"/>
    <n v="16315"/>
    <n v="4"/>
    <n v="50200"/>
    <n v="65260"/>
    <s v="Advika Joshi"/>
    <n v="9750"/>
  </r>
  <r>
    <s v="140175"/>
    <s v="UP"/>
    <s v="Ranjeet Kumar"/>
    <s v="16/04/2020"/>
    <s v="Processing"/>
    <s v="I7 - intel 12th Generation"/>
    <s v="CPU"/>
    <s v="Intel"/>
    <n v="14500"/>
    <n v="18850"/>
    <n v="3"/>
    <n v="43500"/>
    <n v="56550"/>
    <s v="Ajay Sharma"/>
    <n v="33150"/>
  </r>
  <r>
    <s v="140176"/>
    <s v="UP"/>
    <s v="Sajal Singhal"/>
    <s v="16/04/2020"/>
    <s v="Delivered"/>
    <s v="USB Keyboard"/>
    <s v="Keyboard"/>
    <s v="Dell"/>
    <n v="800"/>
    <n v="1040"/>
    <n v="1"/>
    <n v="800"/>
    <n v="1040"/>
    <s v="Roshan Kumar"/>
    <n v="3315"/>
  </r>
  <r>
    <s v="140177"/>
    <s v="UP"/>
    <s v="Akhilesh Kumar"/>
    <s v="16/04/2020"/>
    <s v="Shipped"/>
    <s v="Wireless Mouse"/>
    <s v="Mouse"/>
    <s v="Samsung"/>
    <n v="600"/>
    <n v="780"/>
    <n v="2"/>
    <n v="1200"/>
    <n v="1560"/>
    <s v="Aarvi Gupta"/>
    <n v="1690"/>
  </r>
  <r>
    <s v="140178"/>
    <s v="UP"/>
    <s v="Suvankar Chakraborty"/>
    <s v="16/04/2020"/>
    <s v="Order"/>
    <s v="21&quot; LCD Display"/>
    <s v="Monitor"/>
    <s v="Dell"/>
    <n v="10500"/>
    <n v="13650"/>
    <n v="4"/>
    <n v="42000"/>
    <n v="54600"/>
    <s v="Vijay Singh"/>
    <n v="9750"/>
  </r>
  <r>
    <s v="140179"/>
    <s v="UP"/>
    <s v="Suvankar Adhikary"/>
    <s v="16/04/2020"/>
    <s v="Processing"/>
    <s v="25 TB HDD"/>
    <s v="HDD"/>
    <s v="Western Digital"/>
    <n v="6500"/>
    <n v="8450"/>
    <n v="2"/>
    <n v="13000"/>
    <n v="16900"/>
    <s v="Aadil Khan"/>
    <n v="39000"/>
  </r>
  <r>
    <s v="140180"/>
    <s v="UP"/>
    <s v="Rahul Kumar Prajapati"/>
    <s v="16/04/2020"/>
    <s v="Delivered"/>
    <s v="280 GB SSD"/>
    <s v="SSD"/>
    <s v="Samsung"/>
    <n v="4500"/>
    <n v="5850"/>
    <n v="2"/>
    <n v="9000"/>
    <n v="11700"/>
    <s v="Advika Joshi"/>
    <n v="8450"/>
  </r>
  <r>
    <s v="140181"/>
    <s v="UP"/>
    <s v="Sagar Jeur"/>
    <s v="16/04/2020"/>
    <s v="Shipped"/>
    <s v="Intel i3 11th gen."/>
    <s v="CPU"/>
    <s v="Intel"/>
    <n v="8500"/>
    <n v="11050"/>
    <n v="3"/>
    <n v="25500"/>
    <n v="33150"/>
    <s v="Ajay Sharma"/>
    <n v="33150"/>
  </r>
  <r>
    <s v="140182"/>
    <s v="UP"/>
    <s v="Rhushikesh Mane"/>
    <s v="16/04/2020"/>
    <s v="Order"/>
    <s v="4GB Graphic card"/>
    <s v="Graphic Card"/>
    <s v="Nvidia"/>
    <n v="12500"/>
    <n v="16250"/>
    <n v="2"/>
    <n v="25000"/>
    <n v="32500"/>
    <s v="Roshan Kumar"/>
    <n v="18200"/>
  </r>
  <r>
    <s v="140183"/>
    <s v="UP"/>
    <s v="Ashish Kumar"/>
    <s v="16/04/2020"/>
    <s v="Processing"/>
    <s v="32 GB DDR4 RAM"/>
    <s v="RAM"/>
    <s v="Hynix"/>
    <n v="3500"/>
    <n v="4550"/>
    <n v="3"/>
    <n v="10500"/>
    <n v="13650"/>
    <s v="Aarvi Gupta"/>
    <n v="25545"/>
  </r>
  <r>
    <s v="140184"/>
    <s v="UP"/>
    <s v="Javed Akhter"/>
    <s v="16/04/2020"/>
    <s v="Delivered"/>
    <s v="BTX motherboard"/>
    <s v="MotherBoard"/>
    <s v="Gigabyte"/>
    <n v="4500"/>
    <n v="5850"/>
    <n v="2"/>
    <n v="9000"/>
    <n v="11700"/>
    <s v="Vijay Singh"/>
    <n v="39780"/>
  </r>
  <r>
    <s v="140185"/>
    <s v="UP"/>
    <s v="Haridas Balraj"/>
    <s v="16/04/2020"/>
    <s v="Shipped"/>
    <s v="27 Fans Cabinet"/>
    <s v="Cabinet"/>
    <s v="Asus"/>
    <n v="2100"/>
    <n v="2730"/>
    <n v="3"/>
    <n v="6300"/>
    <n v="8190"/>
    <s v="Aadil Khan"/>
    <n v="2990"/>
  </r>
  <r>
    <s v="140186"/>
    <s v="UP"/>
    <s v="Kundan Kumar"/>
    <s v="16/04/2020"/>
    <s v="Order"/>
    <s v="Wireless Keyboard"/>
    <s v="Keyboard"/>
    <s v="Dell"/>
    <n v="1150"/>
    <n v="1495"/>
    <n v="2"/>
    <n v="2300"/>
    <n v="2990"/>
    <s v="Advika Joshi"/>
    <n v="3315"/>
  </r>
  <r>
    <s v="140187"/>
    <s v="UP"/>
    <s v="Atif Siddiqui"/>
    <s v="17/04/2020"/>
    <s v="Processing"/>
    <s v="USB Mouse"/>
    <s v="Mouse"/>
    <s v="Samsung"/>
    <n v="350"/>
    <n v="455"/>
    <n v="4"/>
    <n v="1400"/>
    <n v="1820"/>
    <s v="Ajay Sharma"/>
    <n v="1690"/>
  </r>
  <r>
    <s v="140188"/>
    <s v="UP"/>
    <s v="Aditya Agarwal"/>
    <s v="17/04/2020"/>
    <s v="Delivered"/>
    <s v="19&quot; LED Display"/>
    <s v="Monitor"/>
    <s v="Dell"/>
    <n v="9500"/>
    <n v="12350"/>
    <n v="1"/>
    <n v="9500"/>
    <n v="12350"/>
    <s v="Roshan Kumar"/>
    <n v="9750"/>
  </r>
  <r>
    <s v="140189"/>
    <s v="UP"/>
    <s v="Firdoush Jabee"/>
    <s v="17/04/2020"/>
    <s v="Shipped"/>
    <s v="26 TB HDD"/>
    <s v="HDD"/>
    <s v="Western Digital"/>
    <n v="10000"/>
    <n v="13000"/>
    <n v="3"/>
    <n v="30000"/>
    <n v="39000"/>
    <s v="Aarvi Gupta"/>
    <n v="39000"/>
  </r>
  <r>
    <s v="140190"/>
    <s v="UP"/>
    <s v="Jay Prakash Kumar"/>
    <s v="17/04/2020"/>
    <s v="Order"/>
    <s v="536 GB M.2"/>
    <s v="SSD"/>
    <s v="Samsung"/>
    <n v="6500"/>
    <n v="8450"/>
    <n v="1"/>
    <n v="6500"/>
    <n v="8450"/>
    <s v="Vijay Singh"/>
    <n v="8450"/>
  </r>
  <r>
    <s v="140191"/>
    <s v="UP"/>
    <s v="Ashish Pandey"/>
    <s v="17/04/2020"/>
    <s v="Processing"/>
    <s v="RYZEN 3rd gen. 3524"/>
    <s v="CPU"/>
    <s v="Intel"/>
    <n v="8500"/>
    <n v="11050"/>
    <n v="3"/>
    <n v="25500"/>
    <n v="33150"/>
    <s v="Aadil Khan"/>
    <n v="33150"/>
  </r>
  <r>
    <s v="140192"/>
    <s v="UP"/>
    <s v="Ajay Sharma"/>
    <s v="17/04/2020"/>
    <s v="Delivered"/>
    <s v="2GB Graphic Card"/>
    <s v="Graphic Card"/>
    <s v="Nvidia"/>
    <n v="7000"/>
    <n v="9100"/>
    <n v="3"/>
    <n v="21000"/>
    <n v="27300"/>
    <s v="Advika Joshi"/>
    <n v="18200"/>
  </r>
  <r>
    <s v="140193"/>
    <s v="UP"/>
    <s v="Moinuddin Saifi"/>
    <s v="17/04/2020"/>
    <s v="Shipped"/>
    <s v="40 GB DDR4 RAM"/>
    <s v="RAM"/>
    <s v="Hynix"/>
    <n v="6550"/>
    <n v="8515"/>
    <n v="1"/>
    <n v="6550"/>
    <n v="8515"/>
    <s v="Ajay Sharma"/>
    <n v="25545"/>
  </r>
  <r>
    <s v="140194"/>
    <s v="UP"/>
    <s v="Ramkrishna Das Adhikary"/>
    <s v="17/04/2020"/>
    <s v="Order"/>
    <s v="Standard ATX motherboard"/>
    <s v="MotherBoard"/>
    <s v="Gigabyte"/>
    <n v="7650"/>
    <n v="9945"/>
    <n v="3"/>
    <n v="22950"/>
    <n v="29835"/>
    <s v="Roshan Kumar"/>
    <n v="39780"/>
  </r>
  <r>
    <s v="140195"/>
    <s v="UP"/>
    <s v="Ranjeet Mandal"/>
    <s v="17/04/2020"/>
    <s v="Processing"/>
    <s v="Compact with 1 Fan"/>
    <s v="Cabinet"/>
    <s v="Asus"/>
    <n v="1150"/>
    <n v="1495"/>
    <n v="1"/>
    <n v="1150"/>
    <n v="1495"/>
    <s v="Aarvi Gupta"/>
    <n v="2990"/>
  </r>
  <r>
    <s v="140196"/>
    <s v="UP"/>
    <s v="Ashwini Adsare"/>
    <s v="17/04/2020"/>
    <s v="Delivered"/>
    <s v="USB Backlight Keyboard"/>
    <s v="Keyboard"/>
    <s v="Dell"/>
    <n v="850"/>
    <n v="1105"/>
    <n v="4"/>
    <n v="3400"/>
    <n v="4420"/>
    <s v="Vijay Singh"/>
    <n v="3315"/>
  </r>
  <r>
    <s v="140197"/>
    <s v="UP"/>
    <s v="Rajesh Variya"/>
    <s v="17/04/2020"/>
    <s v="Shipped"/>
    <s v="Ergonomic Mouse"/>
    <s v="Mouse"/>
    <s v="Samsung"/>
    <n v="650"/>
    <n v="845"/>
    <n v="4"/>
    <n v="2600"/>
    <n v="3380"/>
    <s v="Aadil Khan"/>
    <n v="1690"/>
  </r>
  <r>
    <s v="140198"/>
    <s v="UP"/>
    <s v="Amit Singh"/>
    <s v="18/04/2020"/>
    <s v="Order"/>
    <s v="15&quot; LCD Dsipaly"/>
    <s v="Monitor"/>
    <s v="Dell"/>
    <n v="7500"/>
    <n v="9750"/>
    <n v="4"/>
    <n v="30000"/>
    <n v="39000"/>
    <s v="Advika Joshi"/>
    <n v="9750"/>
  </r>
  <r>
    <s v="140199"/>
    <s v="UP"/>
    <s v="Vinod Mehta"/>
    <s v="18/04/2020"/>
    <s v="Processing"/>
    <s v="26 TB HDD"/>
    <s v="HDD"/>
    <s v="Seagate"/>
    <n v="10000"/>
    <n v="13000"/>
    <n v="3"/>
    <n v="30000"/>
    <n v="39000"/>
    <s v="Ajay Sharma"/>
    <n v="39000"/>
  </r>
  <r>
    <s v="140200"/>
    <s v="UP"/>
    <s v="Jignesh Mhatre"/>
    <s v="18/04/2020"/>
    <s v="Delivered"/>
    <s v="25 TB SSD"/>
    <s v="SSD"/>
    <s v="Samsung"/>
    <n v="10500"/>
    <n v="13650"/>
    <n v="3"/>
    <n v="31500"/>
    <n v="40950"/>
    <s v="Roshan Kumar"/>
    <n v="8450"/>
  </r>
  <r>
    <s v="140201"/>
    <s v="UP"/>
    <s v="Rahul Kashyap"/>
    <s v="18/04/2020"/>
    <s v="Shipped"/>
    <s v="Intel i5 12th gen."/>
    <s v="CPU"/>
    <s v="Intel"/>
    <n v="8500"/>
    <n v="11050"/>
    <n v="1"/>
    <n v="8500"/>
    <n v="11050"/>
    <s v="Aarvi Gupta"/>
    <n v="33150"/>
  </r>
  <r>
    <s v="140202"/>
    <s v="UP"/>
    <s v="Mohammed Abdul Kaleem"/>
    <s v="18/04/2020"/>
    <s v="Order"/>
    <s v="2GB Graphic Card"/>
    <s v="Graphic Card"/>
    <s v="Nvidia"/>
    <n v="7000"/>
    <n v="9100"/>
    <n v="3"/>
    <n v="21000"/>
    <n v="27300"/>
    <s v="Vijay Singh"/>
    <n v="18200"/>
  </r>
  <r>
    <s v="140203"/>
    <s v="UP"/>
    <s v="Chandrakant Kasbe"/>
    <s v="18/04/2020"/>
    <s v="Processing"/>
    <s v="28 GB DDR4 Ram"/>
    <s v="RAM"/>
    <s v="Hynix"/>
    <n v="1680"/>
    <n v="2184"/>
    <n v="2"/>
    <n v="3360"/>
    <n v="4368"/>
    <s v="Aadil Khan"/>
    <n v="25545"/>
  </r>
  <r>
    <s v="140204"/>
    <s v="UP"/>
    <s v="Rohan Kale"/>
    <s v="18/04/2020"/>
    <s v="Delivered"/>
    <s v="Micro ATX motherboard"/>
    <s v="MotherBoard"/>
    <s v="MSI"/>
    <n v="6540"/>
    <n v="8502"/>
    <n v="3"/>
    <n v="19620"/>
    <n v="25506"/>
    <s v="Advika Joshi"/>
    <n v="39780"/>
  </r>
  <r>
    <s v="140205"/>
    <s v="UP"/>
    <s v="Aniruddha Kekapure"/>
    <s v="18/04/2020"/>
    <s v="Shipped"/>
    <s v="Gaming Box Cabinet"/>
    <s v="Cabinet"/>
    <s v="Asus"/>
    <n v="2680"/>
    <n v="3484"/>
    <n v="2"/>
    <n v="5360"/>
    <n v="6968"/>
    <s v="Ajay Sharma"/>
    <n v="2990"/>
  </r>
  <r>
    <s v="140206"/>
    <s v="UP"/>
    <s v="Aslam Raza"/>
    <s v="18/04/2020"/>
    <s v="Order"/>
    <s v="17&quot; LCD Display"/>
    <s v="Monitor"/>
    <s v="Samsung"/>
    <n v="8250"/>
    <n v="10725"/>
    <n v="4"/>
    <n v="33000"/>
    <n v="42900"/>
    <s v="Roshan Kumar"/>
    <n v="9750"/>
  </r>
  <r>
    <s v="140207"/>
    <s v="UP"/>
    <s v="Roshan Zameer"/>
    <s v="18/04/2020"/>
    <s v="Processing"/>
    <s v="32 GB DDR4 RAM"/>
    <s v="RAM"/>
    <s v="Samsung"/>
    <n v="2650"/>
    <n v="3445"/>
    <n v="1"/>
    <n v="2650"/>
    <n v="3445"/>
    <s v="Aarvi Gupta"/>
    <n v="25545"/>
  </r>
  <r>
    <s v="140208"/>
    <s v="UP"/>
    <s v="Rakesh Kumar Sharma"/>
    <s v="18/04/2020"/>
    <s v="Delivered"/>
    <s v="26&quot; LCD Display"/>
    <s v="Monitor"/>
    <s v="Acer"/>
    <n v="12550"/>
    <n v="16315"/>
    <n v="3"/>
    <n v="37650"/>
    <n v="48945"/>
    <s v="Vijay Singh"/>
    <n v="9750"/>
  </r>
  <r>
    <s v="140209"/>
    <s v="UP"/>
    <s v="Shivanand Sahani"/>
    <s v="18/04/2020"/>
    <s v="Shipped"/>
    <s v="I7 - intel 12th Generation"/>
    <s v="CPU"/>
    <s v="Intel"/>
    <n v="14500"/>
    <n v="18850"/>
    <n v="3"/>
    <n v="43500"/>
    <n v="56550"/>
    <s v="Aadil Khan"/>
    <n v="33150"/>
  </r>
  <r>
    <s v="140210"/>
    <s v="UP"/>
    <s v="Kunal Patra"/>
    <s v="18/04/2020"/>
    <s v="Order"/>
    <s v="USB Keyboard"/>
    <s v="Keyboard"/>
    <s v="Dell"/>
    <n v="800"/>
    <n v="1040"/>
    <n v="3"/>
    <n v="2400"/>
    <n v="3120"/>
    <s v="Advika Joshi"/>
    <n v="3315"/>
  </r>
  <r>
    <s v="140211"/>
    <s v="UP"/>
    <s v="Bijendra"/>
    <s v="18/04/2020"/>
    <s v="Processing"/>
    <s v="Wireless Mouse"/>
    <s v="Mouse"/>
    <s v="Samsung"/>
    <n v="600"/>
    <n v="780"/>
    <n v="4"/>
    <n v="2400"/>
    <n v="3120"/>
    <s v="Ajay Sharma"/>
    <n v="1690"/>
  </r>
  <r>
    <s v="140212"/>
    <s v="UP"/>
    <s v="Kranti Bheke"/>
    <s v="18/04/2020"/>
    <s v="Delivered"/>
    <s v="21&quot; LCD Display"/>
    <s v="Monitor"/>
    <s v="Dell"/>
    <n v="10500"/>
    <n v="13650"/>
    <n v="3"/>
    <n v="31500"/>
    <n v="40950"/>
    <s v="Roshan Kumar"/>
    <n v="9750"/>
  </r>
  <r>
    <s v="140213"/>
    <s v="UP"/>
    <s v="Jagdeep"/>
    <s v="18/04/2020"/>
    <s v="Shipped"/>
    <s v="26 TB HDD"/>
    <s v="HDD"/>
    <s v="Western Digital"/>
    <n v="6500"/>
    <n v="8450"/>
    <n v="3"/>
    <n v="19500"/>
    <n v="25350"/>
    <s v="Aarvi Gupta"/>
    <n v="39000"/>
  </r>
  <r>
    <s v="140214"/>
    <s v="UP"/>
    <s v="Adhir Samal"/>
    <s v="18/04/2020"/>
    <s v="Order"/>
    <s v="281 GB SSD"/>
    <s v="SSD"/>
    <s v="Samsung"/>
    <n v="4500"/>
    <n v="5850"/>
    <n v="4"/>
    <n v="18000"/>
    <n v="23400"/>
    <s v="Vijay Singh"/>
    <n v="8450"/>
  </r>
  <r>
    <s v="140215"/>
    <s v="UP"/>
    <s v="Dannana Jhammi"/>
    <s v="18/04/2020"/>
    <s v="Processing"/>
    <s v="Intel i3 11th gen."/>
    <s v="CPU"/>
    <s v="Intel"/>
    <n v="8500"/>
    <n v="11050"/>
    <n v="1"/>
    <n v="8500"/>
    <n v="11050"/>
    <s v="Aadil Khan"/>
    <n v="33150"/>
  </r>
  <r>
    <s v="140216"/>
    <s v="UP"/>
    <s v="Vipin Kumar"/>
    <s v="18/04/2020"/>
    <s v="Delivered"/>
    <s v="4GB Graphic card"/>
    <s v="Graphic Card"/>
    <s v="Nvidia"/>
    <n v="12500"/>
    <n v="16250"/>
    <n v="4"/>
    <n v="50000"/>
    <n v="65000"/>
    <s v="Advika Joshi"/>
    <n v="18200"/>
  </r>
  <r>
    <s v="140217"/>
    <s v="UP"/>
    <s v="Ranjeet Kumar"/>
    <s v="18/04/2020"/>
    <s v="Shipped"/>
    <s v="33 GB DDR4 RAM"/>
    <s v="Computer Case"/>
    <s v="Hynix"/>
    <n v="3500"/>
    <n v="4550"/>
    <n v="2"/>
    <n v="7000"/>
    <n v="9100"/>
    <s v="Ajay Sharma"/>
    <n v="13650"/>
  </r>
  <r>
    <s v="140218"/>
    <s v="UP"/>
    <s v="Sajal Singhal"/>
    <s v="18/04/2020"/>
    <s v="Order"/>
    <s v="BTX motherboard"/>
    <s v="Mouse"/>
    <s v="Gigabyte"/>
    <n v="4500"/>
    <n v="5850"/>
    <n v="1"/>
    <n v="4500"/>
    <n v="5850"/>
    <s v="Roshan Kumar"/>
    <n v="1690"/>
  </r>
  <r>
    <s v="140219"/>
    <s v="UP"/>
    <s v="Akhilesh Kumar"/>
    <s v="18/04/2020"/>
    <s v="Processing"/>
    <s v="28 Fans Cabinet"/>
    <s v="Cabinet"/>
    <s v="Asus"/>
    <n v="2100"/>
    <n v="2730"/>
    <n v="1"/>
    <n v="2100"/>
    <n v="2730"/>
    <s v="Aarvi Gupta"/>
    <n v="2990"/>
  </r>
  <r>
    <s v="140220"/>
    <s v="UP"/>
    <s v="Suvankar Chakraborty"/>
    <s v="18/04/2020"/>
    <s v="Delivered"/>
    <s v="Wireless Keyboard"/>
    <s v="Keyboard"/>
    <s v="Dell"/>
    <n v="1150"/>
    <n v="1495"/>
    <n v="2"/>
    <n v="2300"/>
    <n v="2990"/>
    <s v="Vijay Singh"/>
    <n v="3315"/>
  </r>
  <r>
    <s v="140221"/>
    <s v="UP"/>
    <s v="Suvankar Adhikary"/>
    <s v="19/04/2020"/>
    <s v="Shipped"/>
    <s v="USB Mouse"/>
    <s v="Mouse"/>
    <s v="Samsung"/>
    <n v="350"/>
    <n v="455"/>
    <n v="1"/>
    <n v="350"/>
    <n v="455"/>
    <s v="Aadil Khan"/>
    <n v="1690"/>
  </r>
  <r>
    <s v="140222"/>
    <s v="UP"/>
    <s v="Rahul Kumar Prajapati"/>
    <s v="20/04/2020"/>
    <s v="Order"/>
    <s v="19&quot; LED Display"/>
    <s v="Monitor"/>
    <s v="Dell"/>
    <n v="9500"/>
    <n v="12350"/>
    <n v="3"/>
    <n v="28500"/>
    <n v="37050"/>
    <s v="Advika Joshi"/>
    <n v="9750"/>
  </r>
  <r>
    <s v="140223"/>
    <s v="UP"/>
    <s v="Sagar Jeur"/>
    <s v="21/04/2020"/>
    <s v="Processing"/>
    <s v="27 TB HDD"/>
    <s v="HDD"/>
    <s v="Western Digital"/>
    <n v="10000"/>
    <n v="13000"/>
    <n v="2"/>
    <n v="20000"/>
    <n v="26000"/>
    <s v="Ajay Sharma"/>
    <n v="39000"/>
  </r>
  <r>
    <s v="140224"/>
    <s v="UP"/>
    <s v="Rhushikesh Mane"/>
    <s v="22/04/2020"/>
    <s v="Delivered"/>
    <s v="537 GB M.2"/>
    <s v="SSD"/>
    <s v="Samsung"/>
    <n v="6500"/>
    <n v="8450"/>
    <n v="1"/>
    <n v="6500"/>
    <n v="8450"/>
    <s v="Roshan Kumar"/>
    <n v="8450"/>
  </r>
  <r>
    <s v="140225"/>
    <s v="UP"/>
    <s v="Ashish Kumar"/>
    <s v="23/04/2020"/>
    <s v="Shipped"/>
    <s v="RYZEN 3rd gen. 3525"/>
    <s v="CPU"/>
    <s v="Intel"/>
    <n v="8500"/>
    <n v="11050"/>
    <n v="4"/>
    <n v="34000"/>
    <n v="44200"/>
    <s v="Aarvi Gupta"/>
    <n v="33150"/>
  </r>
  <r>
    <s v="140226"/>
    <s v="UP"/>
    <s v="Javed Akhter"/>
    <s v="24/04/2020"/>
    <s v="Order"/>
    <s v="2GB Graphic Card"/>
    <s v="Graphic Card"/>
    <s v="Nvidia"/>
    <n v="7000"/>
    <n v="9100"/>
    <n v="4"/>
    <n v="28000"/>
    <n v="36400"/>
    <s v="Vijay Singh"/>
    <n v="18200"/>
  </r>
  <r>
    <s v="140227"/>
    <s v="UP"/>
    <s v="Haridas Balraj"/>
    <s v="25/04/2020"/>
    <s v="Processing"/>
    <s v="41 GB DDR4 RAM"/>
    <s v="Computer Case"/>
    <s v="Hynix"/>
    <n v="6550"/>
    <n v="8515"/>
    <n v="3"/>
    <n v="19650"/>
    <n v="25545"/>
    <s v="Aadil Khan"/>
    <n v="13650"/>
  </r>
  <r>
    <s v="140228"/>
    <s v="UP"/>
    <s v="Kundan Kumar"/>
    <s v="26/04/2020"/>
    <s v="Delivered"/>
    <s v="Standard ATX motherboard"/>
    <s v="Mouse"/>
    <s v="Gigabyte"/>
    <n v="7650"/>
    <n v="9945"/>
    <n v="1"/>
    <n v="7650"/>
    <n v="9945"/>
    <s v="Advika Joshi"/>
    <n v="1690"/>
  </r>
  <r>
    <s v="140229"/>
    <s v="UP"/>
    <s v="Atif Siddiqui"/>
    <s v="26/04/2020"/>
    <s v="Shipped"/>
    <s v="Compact with 1 Fan"/>
    <s v="Cabinet"/>
    <s v="Asus"/>
    <n v="1150"/>
    <n v="1495"/>
    <n v="3"/>
    <n v="3450"/>
    <n v="4485"/>
    <s v="Ajay Sharma"/>
    <n v="2990"/>
  </r>
  <r>
    <s v="140230"/>
    <s v="UP"/>
    <s v="Aditya Agarwal"/>
    <s v="26/04/2020"/>
    <s v="Order"/>
    <s v="USB Backlight Keyboard"/>
    <s v="Keyboard"/>
    <s v="Dell"/>
    <n v="850"/>
    <n v="1105"/>
    <n v="1"/>
    <n v="850"/>
    <n v="1105"/>
    <s v="Roshan Kumar"/>
    <n v="3315"/>
  </r>
  <r>
    <s v="140231"/>
    <s v="UP"/>
    <s v="Firdoush Jabee"/>
    <s v="26/04/2020"/>
    <s v="Processing"/>
    <s v="Ergonomic Mouse"/>
    <s v="Mouse"/>
    <s v="Samsung"/>
    <n v="650"/>
    <n v="845"/>
    <n v="4"/>
    <n v="2600"/>
    <n v="3380"/>
    <s v="Aarvi Gupta"/>
    <n v="1690"/>
  </r>
  <r>
    <s v="140232"/>
    <s v="UP"/>
    <s v="Jay Prakash Kumar"/>
    <s v="26/04/2020"/>
    <s v="Delivered"/>
    <s v="15&quot; LCD Dsipaly"/>
    <s v="Monitor"/>
    <s v="Dell"/>
    <n v="7500"/>
    <n v="9750"/>
    <n v="4"/>
    <n v="30000"/>
    <n v="39000"/>
    <s v="Vijay Singh"/>
    <n v="9750"/>
  </r>
  <r>
    <s v="140233"/>
    <s v="UP"/>
    <s v="Ashish Pandey"/>
    <s v="26/04/2020"/>
    <s v="Shipped"/>
    <s v="27 TB HDD"/>
    <s v="HDD"/>
    <s v="Seagate"/>
    <n v="10000"/>
    <n v="13000"/>
    <n v="1"/>
    <n v="10000"/>
    <n v="13000"/>
    <s v="Aadil Khan"/>
    <n v="39000"/>
  </r>
  <r>
    <s v="140234"/>
    <s v="UP"/>
    <s v="Ajay Sharma"/>
    <s v="26/04/2020"/>
    <s v="Order"/>
    <s v="26 TB SSD"/>
    <s v="SSD"/>
    <s v="Samsung"/>
    <n v="10500"/>
    <n v="13650"/>
    <n v="3"/>
    <n v="31500"/>
    <n v="40950"/>
    <s v="Advika Joshi"/>
    <n v="8450"/>
  </r>
  <r>
    <s v="140235"/>
    <s v="UP"/>
    <s v="Moinuddin Saifi"/>
    <s v="26/04/2020"/>
    <s v="Processing"/>
    <s v="Intel i5 12th gen."/>
    <s v="CPU"/>
    <s v="Intel"/>
    <n v="8500"/>
    <n v="11050"/>
    <n v="2"/>
    <n v="17000"/>
    <n v="22100"/>
    <s v="Ajay Sharma"/>
    <n v="33150"/>
  </r>
  <r>
    <s v="140236"/>
    <s v="UP"/>
    <s v="Ramkrishna Das Adhikary"/>
    <s v="26/04/2020"/>
    <s v="Delivered"/>
    <s v="2GB Graphic Card"/>
    <s v="Graphic Card"/>
    <s v="Nvidia"/>
    <n v="7000"/>
    <n v="9100"/>
    <n v="1"/>
    <n v="7000"/>
    <n v="9100"/>
    <s v="Roshan Kumar"/>
    <n v="18200"/>
  </r>
  <r>
    <s v="140237"/>
    <s v="UP"/>
    <s v="Ranjeet Mandal"/>
    <s v="26/04/2020"/>
    <s v="Shipped"/>
    <s v="29 GB DDR4 Ram"/>
    <s v="Computer Case"/>
    <s v="Hynix"/>
    <n v="1680"/>
    <n v="2184"/>
    <n v="2"/>
    <n v="3360"/>
    <n v="4368"/>
    <s v="Aarvi Gupta"/>
    <n v="13650"/>
  </r>
  <r>
    <s v="140238"/>
    <s v="UP"/>
    <s v="Ashwini Adsare"/>
    <s v="26/04/2020"/>
    <s v="Order"/>
    <s v="Micro ATX motherboard"/>
    <s v="Mouse"/>
    <s v="MSI"/>
    <n v="6540"/>
    <n v="8502"/>
    <n v="2"/>
    <n v="13080"/>
    <n v="17004"/>
    <s v="Vijay Singh"/>
    <n v="1690"/>
  </r>
  <r>
    <s v="140239"/>
    <s v="UP"/>
    <s v="Rajesh Variya"/>
    <s v="26/04/2020"/>
    <s v="Processing"/>
    <s v="Gaming Box Cabinet"/>
    <s v="Cabinet"/>
    <s v="Asus"/>
    <n v="2680"/>
    <n v="3484"/>
    <n v="4"/>
    <n v="10720"/>
    <n v="13936"/>
    <s v="Aadil Khan"/>
    <n v="2990"/>
  </r>
  <r>
    <s v="140240"/>
    <s v="UP"/>
    <s v="Amit Singh"/>
    <s v="26/04/2020"/>
    <s v="Delivered"/>
    <s v="17&quot; LCD Display"/>
    <s v="Monitor"/>
    <s v="Samsung"/>
    <n v="8250"/>
    <n v="10725"/>
    <n v="4"/>
    <n v="33000"/>
    <n v="42900"/>
    <s v="Advika Joshi"/>
    <n v="9750"/>
  </r>
  <r>
    <s v="140241"/>
    <s v="UP"/>
    <s v="Vinod Mehta"/>
    <s v="26/04/2020"/>
    <s v="Shipped"/>
    <s v="33 GB DDR4 RAM"/>
    <s v="RAM"/>
    <s v="Samsung"/>
    <n v="2650"/>
    <n v="3445"/>
    <n v="1"/>
    <n v="2650"/>
    <n v="3445"/>
    <s v="Ajay Sharma"/>
    <n v="25545"/>
  </r>
  <r>
    <s v="140242"/>
    <s v="UP"/>
    <s v="Jignesh Mhatre"/>
    <s v="26/04/2020"/>
    <s v="Order"/>
    <s v="26&quot; LCD Display"/>
    <s v="Monitor"/>
    <s v="Acer"/>
    <n v="12550"/>
    <n v="16315"/>
    <n v="2"/>
    <n v="25100"/>
    <n v="32630"/>
    <s v="Roshan Kumar"/>
    <n v="9750"/>
  </r>
  <r>
    <s v="140243"/>
    <s v="UP"/>
    <s v="Rahul Kashyap"/>
    <s v="26/04/2020"/>
    <s v="Processing"/>
    <s v="I7 - intel 12th Generation"/>
    <s v="CPU"/>
    <s v="Intel"/>
    <n v="14500"/>
    <n v="18850"/>
    <n v="1"/>
    <n v="14500"/>
    <n v="18850"/>
    <s v="Aarvi Gupta"/>
    <n v="33150"/>
  </r>
  <r>
    <s v="140244"/>
    <s v="UP"/>
    <s v="Mohammed Abdul Kaleem"/>
    <s v="26/04/2020"/>
    <s v="Delivered"/>
    <s v="USB Keyboard"/>
    <s v="Keyboard"/>
    <s v="Dell"/>
    <n v="800"/>
    <n v="1040"/>
    <n v="4"/>
    <n v="3200"/>
    <n v="4160"/>
    <s v="Vijay Singh"/>
    <n v="3315"/>
  </r>
  <r>
    <s v="140245"/>
    <s v="UP"/>
    <s v="Chandrakant Kasbe"/>
    <s v="26/04/2020"/>
    <s v="Shipped"/>
    <s v="Wireless Mouse"/>
    <s v="Mouse"/>
    <s v="Samsung"/>
    <n v="600"/>
    <n v="780"/>
    <n v="3"/>
    <n v="1800"/>
    <n v="2340"/>
    <s v="Aadil Khan"/>
    <n v="1690"/>
  </r>
  <r>
    <s v="140246"/>
    <s v="UP"/>
    <s v="Rohan Kale"/>
    <s v="26/04/2020"/>
    <s v="Order"/>
    <s v="21&quot; LCD Display"/>
    <s v="Monitor"/>
    <s v="Dell"/>
    <n v="10500"/>
    <n v="13650"/>
    <n v="1"/>
    <n v="10500"/>
    <n v="13650"/>
    <s v="Advika Joshi"/>
    <n v="9750"/>
  </r>
  <r>
    <s v="140247"/>
    <s v="UP"/>
    <s v="Aniruddha Kekapure"/>
    <s v="26/04/2020"/>
    <s v="Processing"/>
    <s v="27 TB HDD"/>
    <s v="HDD"/>
    <s v="Western Digital"/>
    <n v="6500"/>
    <n v="8450"/>
    <n v="1"/>
    <n v="6500"/>
    <n v="8450"/>
    <s v="Ajay Sharma"/>
    <n v="39000"/>
  </r>
  <r>
    <s v="140248"/>
    <s v="UP"/>
    <s v="Aslam Raza"/>
    <s v="27/04/2020"/>
    <s v="Delivered"/>
    <s v="282 GB SSD"/>
    <s v="SSD"/>
    <s v="Samsung"/>
    <n v="4500"/>
    <n v="5850"/>
    <n v="2"/>
    <n v="9000"/>
    <n v="11700"/>
    <s v="Roshan Kumar"/>
    <n v="8450"/>
  </r>
  <r>
    <s v="140249"/>
    <s v="UP"/>
    <s v="Roshan Zameer"/>
    <s v="27/04/2020"/>
    <s v="Shipped"/>
    <s v="Intel i3 11th gen."/>
    <s v="CPU"/>
    <s v="Intel"/>
    <n v="8500"/>
    <n v="11050"/>
    <n v="2"/>
    <n v="17000"/>
    <n v="22100"/>
    <s v="Aarvi Gupta"/>
    <n v="33150"/>
  </r>
  <r>
    <s v="140250"/>
    <s v="UP"/>
    <s v="Rakesh Kumar Sharma"/>
    <s v="27/04/2020"/>
    <s v="Order"/>
    <s v="4GB Graphic card"/>
    <s v="Graphic Card"/>
    <s v="Nvidia"/>
    <n v="12500"/>
    <n v="16250"/>
    <n v="4"/>
    <n v="50000"/>
    <n v="65000"/>
    <s v="Vijay Singh"/>
    <n v="18200"/>
  </r>
  <r>
    <s v="140251"/>
    <s v="UP"/>
    <s v="Shivanand Sahani"/>
    <s v="27/04/2020"/>
    <s v="Processing"/>
    <s v="34 GB DDR4 RAM"/>
    <s v="NIC"/>
    <s v="Hynix"/>
    <n v="3500"/>
    <n v="4550"/>
    <n v="3"/>
    <n v="10500"/>
    <n v="13650"/>
    <s v="Aadil Khan"/>
    <n v="9100"/>
  </r>
  <r>
    <s v="140252"/>
    <s v="UP"/>
    <s v="Kunal Patra"/>
    <s v="27/04/2020"/>
    <s v="Delivered"/>
    <s v="BTX motherboard"/>
    <s v="Printer"/>
    <s v="Gigabyte"/>
    <n v="4500"/>
    <n v="5850"/>
    <n v="1"/>
    <n v="4500"/>
    <n v="5850"/>
    <s v="Advika Joshi"/>
    <n v="11700"/>
  </r>
  <r>
    <s v="140253"/>
    <s v="UP"/>
    <s v="Bijendra"/>
    <s v="27/04/2020"/>
    <s v="Shipped"/>
    <s v="29 Fans Cabinet"/>
    <s v="Cabinet"/>
    <s v="Asus"/>
    <n v="2100"/>
    <n v="2730"/>
    <n v="4"/>
    <n v="8400"/>
    <n v="10920"/>
    <s v="Ajay Sharma"/>
    <n v="2990"/>
  </r>
  <r>
    <s v="140254"/>
    <s v="UP"/>
    <s v="Kranti Bheke"/>
    <s v="27/04/2020"/>
    <s v="Order"/>
    <s v="Wireless Keyboard"/>
    <s v="Keyboard"/>
    <s v="Dell"/>
    <n v="1150"/>
    <n v="1495"/>
    <n v="4"/>
    <n v="4600"/>
    <n v="5980"/>
    <s v="Roshan Kumar"/>
    <n v="3315"/>
  </r>
  <r>
    <s v="140255"/>
    <s v="UP"/>
    <s v="Jagdeep"/>
    <s v="27/04/2020"/>
    <s v="Processing"/>
    <s v="USB Mouse"/>
    <s v="Mouse"/>
    <s v="Samsung"/>
    <n v="350"/>
    <n v="455"/>
    <n v="3"/>
    <n v="1050"/>
    <n v="1365"/>
    <s v="Aarvi Gupta"/>
    <n v="1690"/>
  </r>
  <r>
    <s v="140256"/>
    <s v="UP"/>
    <s v="Adhir Samal"/>
    <s v="27/04/2020"/>
    <s v="Delivered"/>
    <s v="19&quot; LED Display"/>
    <s v="Monitor"/>
    <s v="Dell"/>
    <n v="9500"/>
    <n v="12350"/>
    <n v="4"/>
    <n v="38000"/>
    <n v="49400"/>
    <s v="Vijay Singh"/>
    <n v="9750"/>
  </r>
  <r>
    <s v="140257"/>
    <s v="UP"/>
    <s v="Dannana Jhammi"/>
    <s v="27/04/2020"/>
    <s v="Shipped"/>
    <s v="28 TB HDD"/>
    <s v="HDD"/>
    <s v="Western Digital"/>
    <n v="10000"/>
    <n v="13000"/>
    <n v="3"/>
    <n v="30000"/>
    <n v="39000"/>
    <s v="Aadil Khan"/>
    <n v="39000"/>
  </r>
  <r>
    <s v="140258"/>
    <s v="UP"/>
    <s v="Vipin Kumar"/>
    <s v="27/04/2020"/>
    <s v="Order"/>
    <s v="538 GB M.2"/>
    <s v="SSD"/>
    <s v="Samsung"/>
    <n v="6500"/>
    <n v="8450"/>
    <n v="2"/>
    <n v="13000"/>
    <n v="16900"/>
    <s v="Advika Joshi"/>
    <n v="8450"/>
  </r>
  <r>
    <s v="140259"/>
    <s v="UP"/>
    <s v="Ranjeet Kumar"/>
    <s v="27/04/2020"/>
    <s v="Processing"/>
    <s v="RYZEN 3rd gen. 3526"/>
    <s v="CPU"/>
    <s v="Intel"/>
    <n v="8500"/>
    <n v="11050"/>
    <n v="2"/>
    <n v="17000"/>
    <n v="22100"/>
    <s v="Ajay Sharma"/>
    <n v="33150"/>
  </r>
  <r>
    <s v="140260"/>
    <s v="UP"/>
    <s v="Sajal Singhal"/>
    <s v="27/04/2020"/>
    <s v="Delivered"/>
    <s v="2GB Graphic Card"/>
    <s v="Graphic Card"/>
    <s v="Nvidia"/>
    <n v="7000"/>
    <n v="9100"/>
    <n v="3"/>
    <n v="21000"/>
    <n v="27300"/>
    <s v="Roshan Kumar"/>
    <n v="18200"/>
  </r>
  <r>
    <s v="140261"/>
    <s v="UP"/>
    <s v="Akhilesh Kumar"/>
    <s v="27/04/2020"/>
    <s v="Shipped"/>
    <s v="42 GB DDR4 RAM"/>
    <s v="NIC"/>
    <s v="Hynix"/>
    <n v="6550"/>
    <n v="8515"/>
    <n v="3"/>
    <n v="19650"/>
    <n v="25545"/>
    <s v="Aarvi Gupta"/>
    <n v="9100"/>
  </r>
  <r>
    <s v="140262"/>
    <s v="UP"/>
    <s v="Suvankar Chakraborty"/>
    <s v="27/04/2020"/>
    <s v="Order"/>
    <s v="Standard ATX motherboard"/>
    <s v="Printer"/>
    <s v="Gigabyte"/>
    <n v="7650"/>
    <n v="9945"/>
    <n v="2"/>
    <n v="15300"/>
    <n v="19890"/>
    <s v="Vijay Singh"/>
    <n v="11700"/>
  </r>
  <r>
    <s v="140263"/>
    <s v="UP"/>
    <s v="Suvankar Adhikary"/>
    <s v="27/04/2020"/>
    <s v="Processing"/>
    <s v="Compact with 1 Fan"/>
    <s v="Cabinet"/>
    <s v="Asus"/>
    <n v="1150"/>
    <n v="1495"/>
    <n v="2"/>
    <n v="2300"/>
    <n v="2990"/>
    <s v="Aadil Khan"/>
    <n v="2990"/>
  </r>
  <r>
    <s v="140264"/>
    <s v="UP"/>
    <s v="Rahul Kumar Prajapati"/>
    <s v="27/04/2020"/>
    <s v="Delivered"/>
    <s v="USB Backlight Keyboard"/>
    <s v="Keyboard"/>
    <s v="Dell"/>
    <n v="850"/>
    <n v="1105"/>
    <n v="3"/>
    <n v="2550"/>
    <n v="3315"/>
    <s v="Advika Joshi"/>
    <n v="3315"/>
  </r>
  <r>
    <s v="140265"/>
    <s v="UP"/>
    <s v="Sagar Jeur"/>
    <s v="28/04/2020"/>
    <s v="Shipped"/>
    <s v="Ergonomic Mouse"/>
    <s v="Mouse"/>
    <s v="Samsung"/>
    <n v="650"/>
    <n v="845"/>
    <n v="2"/>
    <n v="1300"/>
    <n v="1690"/>
    <s v="Ajay Sharma"/>
    <n v="1690"/>
  </r>
  <r>
    <s v="140266"/>
    <s v="UP"/>
    <s v="Rhushikesh Mane"/>
    <s v="29/04/2020"/>
    <s v="Order"/>
    <s v="15&quot; LCD Dsipaly"/>
    <s v="Monitor"/>
    <s v="Dell"/>
    <n v="7500"/>
    <n v="9750"/>
    <n v="3"/>
    <n v="22500"/>
    <n v="29250"/>
    <s v="Roshan Kumar"/>
    <n v="9750"/>
  </r>
  <r>
    <s v="140267"/>
    <s v="UP"/>
    <s v="Ashish Kumar"/>
    <s v="30/04/2020"/>
    <s v="Processing"/>
    <s v="28 TB HDD"/>
    <s v="HDD"/>
    <s v="Seagate"/>
    <n v="10000"/>
    <n v="13000"/>
    <n v="1"/>
    <n v="10000"/>
    <n v="13000"/>
    <s v="Aarvi Gupta"/>
    <n v="39000"/>
  </r>
  <r>
    <s v="140268"/>
    <s v="UP"/>
    <s v="Javed Akhter"/>
    <s v="30/04/2020"/>
    <s v="Delivered"/>
    <s v="27 TB SSD"/>
    <s v="SSD"/>
    <s v="Samsung"/>
    <n v="10500"/>
    <n v="13650"/>
    <n v="3"/>
    <n v="31500"/>
    <n v="40950"/>
    <s v="Vijay Singh"/>
    <n v="8450"/>
  </r>
  <r>
    <s v="140269"/>
    <s v="UP"/>
    <s v="Haridas Balraj"/>
    <s v="30/04/2020"/>
    <s v="Shipped"/>
    <s v="Intel i5 12th gen."/>
    <s v="CPU"/>
    <s v="Intel"/>
    <n v="8500"/>
    <n v="11050"/>
    <n v="2"/>
    <n v="17000"/>
    <n v="22100"/>
    <s v="Aadil Khan"/>
    <n v="33150"/>
  </r>
  <r>
    <s v="140270"/>
    <s v="UP"/>
    <s v="Kundan Kumar"/>
    <s v="30/04/2020"/>
    <s v="Order"/>
    <s v="2GB Graphic Card"/>
    <s v="Graphic Card"/>
    <s v="Nvidia"/>
    <n v="7000"/>
    <n v="9100"/>
    <n v="4"/>
    <n v="28000"/>
    <n v="36400"/>
    <s v="Advika Joshi"/>
    <n v="18200"/>
  </r>
  <r>
    <s v="140271"/>
    <s v="UP"/>
    <s v="Atif Siddiqui"/>
    <s v="30/04/2020"/>
    <s v="Processing"/>
    <s v="30 GB DDR4 Ram"/>
    <s v="NIC"/>
    <s v="Hynix"/>
    <n v="1680"/>
    <n v="2184"/>
    <n v="3"/>
    <n v="5040"/>
    <n v="6552"/>
    <s v="Ajay Sharma"/>
    <n v="9100"/>
  </r>
  <r>
    <s v="140272"/>
    <s v="UP"/>
    <s v="Aditya Agarwal"/>
    <s v="30/04/2020"/>
    <s v="Delivered"/>
    <s v="Micro ATX motherboard"/>
    <s v="Printer"/>
    <s v="MSI"/>
    <n v="6540"/>
    <n v="8502"/>
    <n v="4"/>
    <n v="26160"/>
    <n v="34008"/>
    <s v="Roshan Kumar"/>
    <n v="11700"/>
  </r>
  <r>
    <s v="140273"/>
    <s v="UP"/>
    <s v="Firdoush Jabee"/>
    <s v="30/04/2020"/>
    <s v="Shipped"/>
    <s v="Gaming Box Cabinet"/>
    <s v="Cabinet"/>
    <s v="Asus"/>
    <n v="2680"/>
    <n v="3484"/>
    <n v="3"/>
    <n v="8040"/>
    <n v="10452"/>
    <s v="Aarvi Gupta"/>
    <n v="2990"/>
  </r>
  <r>
    <s v="140274"/>
    <s v="UP"/>
    <s v="Jay Prakash Kumar"/>
    <s v="30/04/2020"/>
    <s v="Order"/>
    <s v="17&quot; LCD Display"/>
    <s v="Monitor"/>
    <s v="Samsung"/>
    <n v="8250"/>
    <n v="10725"/>
    <n v="4"/>
    <n v="33000"/>
    <n v="42900"/>
    <s v="Vijay Singh"/>
    <n v="9750"/>
  </r>
  <r>
    <s v="140275"/>
    <s v="UP"/>
    <s v="Ashish Pandey"/>
    <s v="30/04/2020"/>
    <s v="Processing"/>
    <s v="34 GB DDR4 RAM"/>
    <s v="RAM"/>
    <s v="Samsung"/>
    <n v="2650"/>
    <n v="3445"/>
    <n v="3"/>
    <n v="7950"/>
    <n v="10335"/>
    <s v="Aadil Khan"/>
    <n v="25545"/>
  </r>
  <r>
    <s v="140276"/>
    <s v="UP"/>
    <s v="Ajay Sharma"/>
    <s v="30/04/2020"/>
    <s v="Delivered"/>
    <s v="26&quot; LCD Display"/>
    <s v="Monitor"/>
    <s v="Acer"/>
    <n v="12550"/>
    <n v="16315"/>
    <n v="1"/>
    <n v="12550"/>
    <n v="16315"/>
    <s v="Advika Joshi"/>
    <n v="9750"/>
  </r>
  <r>
    <s v="140277"/>
    <s v="UP"/>
    <s v="Moinuddin Saifi"/>
    <s v="30/04/2020"/>
    <s v="Shipped"/>
    <s v="I7 - intel 12th Generation"/>
    <s v="CPU"/>
    <s v="Intel"/>
    <n v="14500"/>
    <n v="18850"/>
    <n v="2"/>
    <n v="29000"/>
    <n v="37700"/>
    <s v="Ajay Sharma"/>
    <n v="33150"/>
  </r>
  <r>
    <s v="140278"/>
    <s v="UP"/>
    <s v="Ramkrishna Das Adhikary"/>
    <s v="30/04/2020"/>
    <s v="Order"/>
    <s v="USB Keyboard"/>
    <s v="Keyboard"/>
    <s v="Dell"/>
    <n v="800"/>
    <n v="1040"/>
    <n v="1"/>
    <n v="800"/>
    <n v="1040"/>
    <s v="Roshan Kumar"/>
    <n v="3315"/>
  </r>
  <r>
    <s v="140279"/>
    <s v="UP"/>
    <s v="Ranjeet Mandal"/>
    <s v="30/04/2020"/>
    <s v="Processing"/>
    <s v="Wireless Mouse"/>
    <s v="Mouse"/>
    <s v="Samsung"/>
    <n v="600"/>
    <n v="780"/>
    <n v="1"/>
    <n v="600"/>
    <n v="780"/>
    <s v="Aarvi Gupta"/>
    <n v="1690"/>
  </r>
  <r>
    <s v="140280"/>
    <s v="UP"/>
    <s v="Ashwini Adsare"/>
    <s v="30/04/2020"/>
    <s v="Delivered"/>
    <s v="21&quot; LCD Display"/>
    <s v="Monitor"/>
    <s v="Dell"/>
    <n v="10500"/>
    <n v="13650"/>
    <n v="3"/>
    <n v="31500"/>
    <n v="40950"/>
    <s v="Vijay Singh"/>
    <n v="9750"/>
  </r>
  <r>
    <s v="140281"/>
    <s v="UP"/>
    <s v="Rajesh Variya"/>
    <s v="30/04/2020"/>
    <s v="Shipped"/>
    <s v="28 TB HDD"/>
    <s v="HDD"/>
    <s v="Western Digital"/>
    <n v="6500"/>
    <n v="8450"/>
    <n v="3"/>
    <n v="19500"/>
    <n v="25350"/>
    <s v="Aadil Khan"/>
    <n v="39000"/>
  </r>
  <r>
    <s v="140282"/>
    <s v="UP"/>
    <s v="Amit Singh"/>
    <s v="30/04/2020"/>
    <s v="Order"/>
    <s v="283 GB SSD"/>
    <s v="SSD"/>
    <s v="Samsung"/>
    <n v="4500"/>
    <n v="5850"/>
    <n v="3"/>
    <n v="13500"/>
    <n v="17550"/>
    <s v="Advika Joshi"/>
    <n v="8450"/>
  </r>
  <r>
    <s v="140283"/>
    <s v="UP"/>
    <s v="Vinod Mehta"/>
    <s v="30/04/2020"/>
    <s v="Processing"/>
    <s v="Intel i3 11th gen."/>
    <s v="CPU"/>
    <s v="Intel"/>
    <n v="8500"/>
    <n v="11050"/>
    <n v="2"/>
    <n v="17000"/>
    <n v="22100"/>
    <s v="Ajay Sharma"/>
    <n v="33150"/>
  </r>
  <r>
    <s v="140284"/>
    <s v="UP"/>
    <s v="Jignesh Mhatre"/>
    <s v="30/04/2020"/>
    <s v="Delivered"/>
    <s v="4GB Graphic card"/>
    <s v="Graphic Card"/>
    <s v="Nvidia"/>
    <n v="12500"/>
    <n v="16250"/>
    <n v="3"/>
    <n v="37500"/>
    <n v="48750"/>
    <s v="Roshan Kumar"/>
    <n v="18200"/>
  </r>
  <r>
    <s v="140285"/>
    <s v="UP"/>
    <s v="Rahul Kashyap"/>
    <s v="30/04/2020"/>
    <s v="Shipped"/>
    <s v="35 GB DDR4 RAM"/>
    <s v="RAM"/>
    <s v="Hynix"/>
    <n v="3500"/>
    <n v="4550"/>
    <n v="1"/>
    <n v="3500"/>
    <n v="4550"/>
    <s v="Aarvi Gupta"/>
    <n v="25545"/>
  </r>
  <r>
    <s v="140286"/>
    <s v="UP"/>
    <s v="Mohammed Abdul Kaleem"/>
    <s v="30/04/2020"/>
    <s v="Order"/>
    <s v="BTX motherboard"/>
    <s v="MotherBoard"/>
    <s v="Gigabyte"/>
    <n v="4500"/>
    <n v="5850"/>
    <n v="4"/>
    <n v="18000"/>
    <n v="23400"/>
    <s v="Vijay Singh"/>
    <n v="39780"/>
  </r>
  <r>
    <s v="140287"/>
    <s v="UP"/>
    <s v="Chandrakant Kasbe"/>
    <s v="30/04/2020"/>
    <s v="Processing"/>
    <s v="30 Fans Cabinet"/>
    <s v="Cabinet"/>
    <s v="Asus"/>
    <n v="2100"/>
    <n v="2730"/>
    <n v="4"/>
    <n v="8400"/>
    <n v="10920"/>
    <s v="Aadil Khan"/>
    <n v="2990"/>
  </r>
  <r>
    <s v="140288"/>
    <s v="UP"/>
    <s v="Rohan Kale"/>
    <s v="30/04/2020"/>
    <s v="Delivered"/>
    <s v="Wireless Keyboard"/>
    <s v="Keyboard"/>
    <s v="Dell"/>
    <n v="1150"/>
    <n v="1495"/>
    <n v="3"/>
    <n v="3450"/>
    <n v="4485"/>
    <s v="Advika Joshi"/>
    <n v="3315"/>
  </r>
  <r>
    <s v="140289"/>
    <s v="UP"/>
    <s v="Aniruddha Kekapure"/>
    <s v="30/04/2020"/>
    <s v="Shipped"/>
    <s v="USB Mouse"/>
    <s v="Mouse"/>
    <s v="Samsung"/>
    <n v="350"/>
    <n v="455"/>
    <n v="3"/>
    <n v="1050"/>
    <n v="1365"/>
    <s v="Ajay Sharma"/>
    <n v="1690"/>
  </r>
  <r>
    <s v="140290"/>
    <s v="UP"/>
    <s v="Aslam Raza"/>
    <s v="30/04/2020"/>
    <s v="Order"/>
    <s v="19&quot; LED Display"/>
    <s v="Monitor"/>
    <s v="Dell"/>
    <n v="9500"/>
    <n v="12350"/>
    <n v="3"/>
    <n v="28500"/>
    <n v="37050"/>
    <s v="Roshan Kumar"/>
    <n v="9750"/>
  </r>
  <r>
    <s v="140291"/>
    <s v="UP"/>
    <s v="Roshan Zameer"/>
    <s v="30/04/2020"/>
    <s v="Processing"/>
    <s v="29 TB HDD"/>
    <s v="HDD"/>
    <s v="Western Digital"/>
    <n v="10000"/>
    <n v="13000"/>
    <n v="3"/>
    <n v="30000"/>
    <n v="39000"/>
    <s v="Aarvi Gupta"/>
    <n v="39000"/>
  </r>
  <r>
    <s v="140292"/>
    <s v="UP"/>
    <s v="Rakesh Kumar Sharma"/>
    <s v="30/04/2020"/>
    <s v="Delivered"/>
    <s v="539 GB M.2"/>
    <s v="SSD"/>
    <s v="Samsung"/>
    <n v="6500"/>
    <n v="8450"/>
    <n v="1"/>
    <n v="6500"/>
    <n v="8450"/>
    <s v="Vijay Singh"/>
    <n v="8450"/>
  </r>
  <r>
    <s v="140293"/>
    <s v="UP"/>
    <s v="Shivanand Sahani"/>
    <s v="30/04/2020"/>
    <s v="Shipped"/>
    <s v="RYZEN 3rd gen. 3527"/>
    <s v="CPU"/>
    <s v="Intel"/>
    <n v="8500"/>
    <n v="11050"/>
    <n v="3"/>
    <n v="25500"/>
    <n v="33150"/>
    <s v="Aadil Khan"/>
    <n v="33150"/>
  </r>
  <r>
    <s v="140294"/>
    <s v="UP"/>
    <s v="Kunal Patra"/>
    <s v="30/04/2020"/>
    <s v="Order"/>
    <s v="2GB Graphic Card"/>
    <s v="Graphic Card"/>
    <s v="Nvidia"/>
    <n v="7000"/>
    <n v="9100"/>
    <n v="2"/>
    <n v="14000"/>
    <n v="18200"/>
    <s v="Advika Joshi"/>
    <n v="18200"/>
  </r>
  <r>
    <s v="140295"/>
    <s v="UP"/>
    <s v="Bijendra"/>
    <s v="30/04/2020"/>
    <s v="Processing"/>
    <s v="43 GB DDR4 RAM"/>
    <s v="RAM"/>
    <s v="Hynix"/>
    <n v="6550"/>
    <n v="8515"/>
    <n v="3"/>
    <n v="19650"/>
    <n v="25545"/>
    <s v="Ajay Sharma"/>
    <n v="25545"/>
  </r>
  <r>
    <s v="140296"/>
    <s v="UP"/>
    <s v="Kranti Bheke"/>
    <s v="30/04/2020"/>
    <s v="Delivered"/>
    <s v="Standard ATX motherboard"/>
    <s v="MotherBoard"/>
    <s v="Gigabyte"/>
    <n v="7650"/>
    <n v="9945"/>
    <n v="3"/>
    <n v="22950"/>
    <n v="29835"/>
    <s v="Roshan Kumar"/>
    <n v="39780"/>
  </r>
  <r>
    <s v="140297"/>
    <s v="UP"/>
    <s v="Jagdeep"/>
    <s v="30/04/2020"/>
    <s v="Shipped"/>
    <s v="Compact with 1 Fan"/>
    <s v="Cabinet"/>
    <s v="Asus"/>
    <n v="1150"/>
    <n v="1495"/>
    <n v="1"/>
    <n v="1150"/>
    <n v="1495"/>
    <s v="Aarvi Gupta"/>
    <n v="2990"/>
  </r>
  <r>
    <s v="140298"/>
    <s v="UP"/>
    <s v="Adhir Samal"/>
    <s v="30/04/2020"/>
    <s v="Order"/>
    <s v="USB Backlight Keyboard"/>
    <s v="Keyboard"/>
    <s v="Dell"/>
    <n v="850"/>
    <n v="1105"/>
    <n v="3"/>
    <n v="2550"/>
    <n v="3315"/>
    <s v="Vijay Singh"/>
    <n v="3315"/>
  </r>
  <r>
    <s v="140299"/>
    <s v="UP"/>
    <s v="Dannana Jhammi"/>
    <s v="30/04/2020"/>
    <s v="Processing"/>
    <s v="Ergonomic Mouse"/>
    <s v="Mouse"/>
    <s v="Samsung"/>
    <n v="650"/>
    <n v="845"/>
    <n v="3"/>
    <n v="1950"/>
    <n v="2535"/>
    <s v="Aadil Khan"/>
    <n v="1690"/>
  </r>
  <r>
    <s v="140300"/>
    <s v="UP"/>
    <s v="Vipin Kumar"/>
    <s v="30/04/2020"/>
    <s v="Delivered"/>
    <s v="15&quot; LCD Dsipaly"/>
    <s v="Monitor"/>
    <s v="Dell"/>
    <n v="7500"/>
    <n v="9750"/>
    <n v="1"/>
    <n v="7500"/>
    <n v="9750"/>
    <s v="Advika Joshi"/>
    <n v="9750"/>
  </r>
  <r>
    <s v="140301"/>
    <s v="UP"/>
    <s v="Ranjeet Kumar"/>
    <s v="30/04/2020"/>
    <s v="Shipped"/>
    <s v="29 TB HDD"/>
    <s v="HDD"/>
    <s v="Seagate"/>
    <n v="10000"/>
    <n v="13000"/>
    <n v="4"/>
    <n v="40000"/>
    <n v="52000"/>
    <s v="Ajay Sharma"/>
    <n v="39000"/>
  </r>
  <r>
    <s v="140302"/>
    <s v="UP"/>
    <s v="Sajal Singhal"/>
    <s v="30/04/2020"/>
    <s v="Order"/>
    <s v="28 TB SSD"/>
    <s v="SSD"/>
    <s v="Samsung"/>
    <n v="10500"/>
    <n v="13650"/>
    <n v="4"/>
    <n v="42000"/>
    <n v="54600"/>
    <s v="Roshan Kumar"/>
    <n v="8450"/>
  </r>
  <r>
    <s v="140303"/>
    <s v="UP"/>
    <s v="Akhilesh Kumar"/>
    <s v="01/05/2020"/>
    <s v="Processing"/>
    <s v="Intel i5 12th gen."/>
    <s v="CPU"/>
    <s v="Intel"/>
    <n v="8500"/>
    <n v="11050"/>
    <n v="2"/>
    <n v="17000"/>
    <n v="22100"/>
    <s v="Aarvi Gupta"/>
    <n v="33150"/>
  </r>
  <r>
    <s v="140304"/>
    <s v="HR"/>
    <s v="Suvankar Chakraborty"/>
    <s v="02/05/2020"/>
    <s v="Delivered"/>
    <s v="2GB Graphic Card"/>
    <s v="Graphic Card"/>
    <s v="Nvidia"/>
    <n v="7000"/>
    <n v="9100"/>
    <n v="3"/>
    <n v="21000"/>
    <n v="27300"/>
    <s v="Vijay Singh"/>
    <n v="18200"/>
  </r>
  <r>
    <s v="140305"/>
    <s v="HP"/>
    <s v="Suvankar Adhikary"/>
    <s v="03/05/2020"/>
    <s v="Shipped"/>
    <s v="31 GB DDR4 Ram"/>
    <s v="RAM"/>
    <s v="Hynix"/>
    <n v="1680"/>
    <n v="2184"/>
    <n v="3"/>
    <n v="5040"/>
    <n v="6552"/>
    <s v="Aadil Khan"/>
    <n v="25545"/>
  </r>
  <r>
    <s v="140306"/>
    <s v="JK"/>
    <s v="Rahul Kumar Prajapati"/>
    <s v="04/05/2020"/>
    <s v="Order"/>
    <s v="Micro ATX motherboard"/>
    <s v="MotherBoard"/>
    <s v="MSI"/>
    <n v="6540"/>
    <n v="8502"/>
    <n v="4"/>
    <n v="26160"/>
    <n v="34008"/>
    <s v="Advika Joshi"/>
    <n v="39780"/>
  </r>
  <r>
    <s v="140307"/>
    <s v="JH"/>
    <s v="Sagar Jeur"/>
    <s v="05/05/2020"/>
    <s v="Processing"/>
    <s v="Gaming Box Cabinet"/>
    <s v="Cabinet"/>
    <s v="Asus"/>
    <n v="2680"/>
    <n v="3484"/>
    <n v="2"/>
    <n v="5360"/>
    <n v="6968"/>
    <s v="Ajay Sharma"/>
    <n v="2990"/>
  </r>
  <r>
    <s v="140308"/>
    <s v="KA"/>
    <s v="Rhushikesh Mane"/>
    <s v="05/05/2020"/>
    <s v="Delivered"/>
    <s v="17&quot; LCD Display"/>
    <s v="Monitor"/>
    <s v="Samsung"/>
    <n v="8250"/>
    <n v="10725"/>
    <n v="2"/>
    <n v="16500"/>
    <n v="21450"/>
    <s v="Roshan Kumar"/>
    <n v="9750"/>
  </r>
  <r>
    <s v="140309"/>
    <s v="KL"/>
    <s v="Ashish Kumar"/>
    <s v="05/05/2020"/>
    <s v="Shipped"/>
    <s v="35 GB DDR4 RAM"/>
    <s v="RAM"/>
    <s v="Samsung"/>
    <n v="2650"/>
    <n v="3445"/>
    <n v="1"/>
    <n v="2650"/>
    <n v="3445"/>
    <s v="Aarvi Gupta"/>
    <n v="25545"/>
  </r>
  <r>
    <s v="140310"/>
    <s v="MP"/>
    <s v="Javed Akhter"/>
    <s v="05/05/2020"/>
    <s v="Order"/>
    <s v="26&quot; LCD Display"/>
    <s v="Monitor"/>
    <s v="Acer"/>
    <n v="12550"/>
    <n v="16315"/>
    <n v="3"/>
    <n v="37650"/>
    <n v="48945"/>
    <s v="Vijay Singh"/>
    <n v="9750"/>
  </r>
  <r>
    <s v="140311"/>
    <s v="MH"/>
    <s v="Haridas Balraj"/>
    <s v="05/05/2020"/>
    <s v="Processing"/>
    <s v="I7 - intel 12th Generation"/>
    <s v="CPU"/>
    <s v="Intel"/>
    <n v="14500"/>
    <n v="18850"/>
    <n v="3"/>
    <n v="43500"/>
    <n v="56550"/>
    <s v="Aadil Khan"/>
    <n v="33150"/>
  </r>
  <r>
    <s v="140312"/>
    <s v="MH"/>
    <s v="Kundan Kumar"/>
    <s v="05/05/2020"/>
    <s v="Delivered"/>
    <s v="USB Keyboard"/>
    <s v="Keyboard"/>
    <s v="Dell"/>
    <n v="800"/>
    <n v="1040"/>
    <n v="4"/>
    <n v="3200"/>
    <n v="4160"/>
    <s v="Advika Joshi"/>
    <n v="3315"/>
  </r>
  <r>
    <s v="140313"/>
    <s v="MH"/>
    <s v="Atif Siddiqui"/>
    <s v="05/05/2020"/>
    <s v="Shipped"/>
    <s v="Wireless Mouse"/>
    <s v="Mouse"/>
    <s v="Samsung"/>
    <n v="600"/>
    <n v="780"/>
    <n v="4"/>
    <n v="2400"/>
    <n v="3120"/>
    <s v="Ajay Sharma"/>
    <n v="1690"/>
  </r>
  <r>
    <s v="140314"/>
    <s v="MH"/>
    <s v="Aditya Agarwal"/>
    <s v="05/05/2020"/>
    <s v="Order"/>
    <s v="21&quot; LCD Display"/>
    <s v="Monitor"/>
    <s v="Dell"/>
    <n v="10500"/>
    <n v="13650"/>
    <n v="2"/>
    <n v="21000"/>
    <n v="27300"/>
    <s v="Roshan Kumar"/>
    <n v="9750"/>
  </r>
  <r>
    <s v="140315"/>
    <s v="MH"/>
    <s v="Firdoush Jabee"/>
    <s v="05/05/2020"/>
    <s v="Processing"/>
    <s v="29 TB HDD"/>
    <s v="HDD"/>
    <s v="Western Digital"/>
    <n v="6500"/>
    <n v="8450"/>
    <n v="2"/>
    <n v="13000"/>
    <n v="16900"/>
    <s v="Aarvi Gupta"/>
    <n v="39000"/>
  </r>
  <r>
    <s v="140316"/>
    <s v="MH"/>
    <s v="Jay Prakash Kumar"/>
    <s v="06/05/2020"/>
    <s v="Delivered"/>
    <s v="284 GB SSD"/>
    <s v="SSD"/>
    <s v="Samsung"/>
    <n v="4500"/>
    <n v="5850"/>
    <n v="1"/>
    <n v="4500"/>
    <n v="5850"/>
    <s v="Vijay Singh"/>
    <n v="8450"/>
  </r>
  <r>
    <s v="140317"/>
    <s v="MH"/>
    <s v="Ashish Pandey"/>
    <s v="07/05/2020"/>
    <s v="Shipped"/>
    <s v="Intel i3 11th gen."/>
    <s v="CPU"/>
    <s v="Intel"/>
    <n v="8500"/>
    <n v="11050"/>
    <n v="4"/>
    <n v="34000"/>
    <n v="44200"/>
    <s v="Aadil Khan"/>
    <n v="33150"/>
  </r>
  <r>
    <s v="140318"/>
    <s v="MH"/>
    <s v="Ajay Sharma"/>
    <s v="08/05/2020"/>
    <s v="Order"/>
    <s v="4GB Graphic card"/>
    <s v="Graphic Card"/>
    <s v="Nvidia"/>
    <n v="12500"/>
    <n v="16250"/>
    <n v="2"/>
    <n v="25000"/>
    <n v="32500"/>
    <s v="Advika Joshi"/>
    <n v="18200"/>
  </r>
  <r>
    <s v="140319"/>
    <s v="MH"/>
    <s v="Moinuddin Saifi"/>
    <s v="09/05/2020"/>
    <s v="Processing"/>
    <s v="36 GB DDR4 RAM"/>
    <s v="Computer Case"/>
    <s v="Hynix"/>
    <n v="3500"/>
    <n v="4550"/>
    <n v="3"/>
    <n v="10500"/>
    <n v="13650"/>
    <s v="Ajay Sharma"/>
    <n v="13650"/>
  </r>
  <r>
    <s v="140320"/>
    <s v="MH"/>
    <s v="Ramkrishna Das Adhikary"/>
    <s v="09/05/2020"/>
    <s v="Delivered"/>
    <s v="BTX motherboard"/>
    <s v="Mouse"/>
    <s v="Gigabyte"/>
    <n v="4500"/>
    <n v="5850"/>
    <n v="2"/>
    <n v="9000"/>
    <n v="11700"/>
    <s v="Roshan Kumar"/>
    <n v="1690"/>
  </r>
  <r>
    <s v="140321"/>
    <s v="MH"/>
    <s v="Ranjeet Mandal"/>
    <s v="09/05/2020"/>
    <s v="Shipped"/>
    <s v="31 Fans Cabinet"/>
    <s v="Cabinet"/>
    <s v="Asus"/>
    <n v="2100"/>
    <n v="2730"/>
    <n v="2"/>
    <n v="4200"/>
    <n v="5460"/>
    <s v="Aarvi Gupta"/>
    <n v="2990"/>
  </r>
  <r>
    <s v="140322"/>
    <s v="MH"/>
    <s v="Ashwini Adsare"/>
    <s v="09/05/2020"/>
    <s v="Order"/>
    <s v="Wireless Keyboard"/>
    <s v="Keyboard"/>
    <s v="Dell"/>
    <n v="1150"/>
    <n v="1495"/>
    <n v="4"/>
    <n v="4600"/>
    <n v="5980"/>
    <s v="Vijay Singh"/>
    <n v="3315"/>
  </r>
  <r>
    <s v="140323"/>
    <s v="MH"/>
    <s v="Rajesh Variya"/>
    <s v="09/05/2020"/>
    <s v="Processing"/>
    <s v="USB Mouse"/>
    <s v="Mouse"/>
    <s v="Samsung"/>
    <n v="350"/>
    <n v="455"/>
    <n v="4"/>
    <n v="1400"/>
    <n v="1820"/>
    <s v="Aadil Khan"/>
    <n v="1690"/>
  </r>
  <r>
    <s v="140324"/>
    <s v="MH"/>
    <s v="Amit Singh"/>
    <s v="09/05/2020"/>
    <s v="Delivered"/>
    <s v="19&quot; LED Display"/>
    <s v="Monitor"/>
    <s v="Dell"/>
    <n v="9500"/>
    <n v="12350"/>
    <n v="3"/>
    <n v="28500"/>
    <n v="37050"/>
    <s v="Advika Joshi"/>
    <n v="9750"/>
  </r>
  <r>
    <s v="140325"/>
    <s v="MH"/>
    <s v="Vinod Mehta"/>
    <s v="09/05/2020"/>
    <s v="Shipped"/>
    <s v="30 TB HDD"/>
    <s v="HDD"/>
    <s v="Western Digital"/>
    <n v="10000"/>
    <n v="13000"/>
    <n v="4"/>
    <n v="40000"/>
    <n v="52000"/>
    <s v="Ajay Sharma"/>
    <n v="39000"/>
  </r>
  <r>
    <s v="140326"/>
    <s v="MH"/>
    <s v="Jignesh Mhatre"/>
    <s v="09/05/2020"/>
    <s v="Order"/>
    <s v="540 GB M.2"/>
    <s v="SSD"/>
    <s v="Samsung"/>
    <n v="6500"/>
    <n v="8450"/>
    <n v="4"/>
    <n v="26000"/>
    <n v="33800"/>
    <s v="Roshan Kumar"/>
    <n v="8450"/>
  </r>
  <r>
    <s v="140327"/>
    <s v="MH"/>
    <s v="Rahul Kashyap"/>
    <s v="09/05/2020"/>
    <s v="Processing"/>
    <s v="RYZEN 3rd gen. 3528"/>
    <s v="CPU"/>
    <s v="Intel"/>
    <n v="8500"/>
    <n v="11050"/>
    <n v="2"/>
    <n v="17000"/>
    <n v="22100"/>
    <s v="Aarvi Gupta"/>
    <n v="33150"/>
  </r>
  <r>
    <s v="140328"/>
    <s v="MH"/>
    <s v="Mohammed Abdul Kaleem"/>
    <s v="09/05/2020"/>
    <s v="Delivered"/>
    <s v="2GB Graphic Card"/>
    <s v="Graphic Card"/>
    <s v="Nvidia"/>
    <n v="7000"/>
    <n v="9100"/>
    <n v="4"/>
    <n v="28000"/>
    <n v="36400"/>
    <s v="Vijay Singh"/>
    <n v="18200"/>
  </r>
  <r>
    <s v="140329"/>
    <s v="MH"/>
    <s v="Chandrakant Kasbe"/>
    <s v="09/05/2020"/>
    <s v="Shipped"/>
    <s v="44 GB DDR4 RAM"/>
    <s v="Computer Case"/>
    <s v="Hynix"/>
    <n v="6550"/>
    <n v="8515"/>
    <n v="2"/>
    <n v="13100"/>
    <n v="17030"/>
    <s v="Aadil Khan"/>
    <n v="13650"/>
  </r>
  <r>
    <s v="140330"/>
    <s v="MH"/>
    <s v="Rohan Kale"/>
    <s v="09/05/2020"/>
    <s v="Order"/>
    <s v="Standard ATX motherboard"/>
    <s v="Mouse"/>
    <s v="Gigabyte"/>
    <n v="7650"/>
    <n v="9945"/>
    <n v="4"/>
    <n v="30600"/>
    <n v="39780"/>
    <s v="Advika Joshi"/>
    <n v="1690"/>
  </r>
  <r>
    <s v="140331"/>
    <s v="MH"/>
    <s v="Aniruddha Kekapure"/>
    <s v="09/05/2020"/>
    <s v="Processing"/>
    <s v="Compact with 1 Fan"/>
    <s v="Cabinet"/>
    <s v="Asus"/>
    <n v="1150"/>
    <n v="1495"/>
    <n v="1"/>
    <n v="1150"/>
    <n v="1495"/>
    <s v="Ajay Sharma"/>
    <n v="2990"/>
  </r>
  <r>
    <s v="140332"/>
    <s v="MH"/>
    <s v="Aslam Raza"/>
    <s v="09/05/2020"/>
    <s v="Delivered"/>
    <s v="USB Backlight Keyboard"/>
    <s v="Keyboard"/>
    <s v="Dell"/>
    <n v="850"/>
    <n v="1105"/>
    <n v="2"/>
    <n v="1700"/>
    <n v="2210"/>
    <s v="Roshan Kumar"/>
    <n v="3315"/>
  </r>
  <r>
    <s v="140333"/>
    <s v="MH"/>
    <s v="Roshan Zameer"/>
    <s v="09/05/2020"/>
    <s v="Shipped"/>
    <s v="Ergonomic Mouse"/>
    <s v="Mouse"/>
    <s v="Samsung"/>
    <n v="650"/>
    <n v="845"/>
    <n v="3"/>
    <n v="1950"/>
    <n v="2535"/>
    <s v="Aarvi Gupta"/>
    <n v="1690"/>
  </r>
  <r>
    <s v="140334"/>
    <s v="MH"/>
    <s v="Rakesh Kumar Sharma"/>
    <s v="09/05/2020"/>
    <s v="Order"/>
    <s v="15&quot; LCD Dsipaly"/>
    <s v="Monitor"/>
    <s v="Dell"/>
    <n v="7500"/>
    <n v="9750"/>
    <n v="3"/>
    <n v="22500"/>
    <n v="29250"/>
    <s v="Vijay Singh"/>
    <n v="9750"/>
  </r>
  <r>
    <s v="140335"/>
    <s v="MH"/>
    <s v="Shivanand Sahani"/>
    <s v="09/05/2020"/>
    <s v="Processing"/>
    <s v="30 TB HDD"/>
    <s v="HDD"/>
    <s v="Seagate"/>
    <n v="10000"/>
    <n v="13000"/>
    <n v="1"/>
    <n v="10000"/>
    <n v="13000"/>
    <s v="Aadil Khan"/>
    <n v="39000"/>
  </r>
  <r>
    <s v="140336"/>
    <s v="MH"/>
    <s v="Kunal Patra"/>
    <s v="09/05/2020"/>
    <s v="Delivered"/>
    <s v="29 TB SSD"/>
    <s v="SSD"/>
    <s v="Samsung"/>
    <n v="10500"/>
    <n v="13650"/>
    <n v="2"/>
    <n v="21000"/>
    <n v="27300"/>
    <s v="Advika Joshi"/>
    <n v="8450"/>
  </r>
  <r>
    <s v="140337"/>
    <s v="MH"/>
    <s v="Bijendra"/>
    <s v="09/05/2020"/>
    <s v="Shipped"/>
    <s v="Intel i5 12th gen."/>
    <s v="CPU"/>
    <s v="Intel"/>
    <n v="8500"/>
    <n v="11050"/>
    <n v="4"/>
    <n v="34000"/>
    <n v="44200"/>
    <s v="Ajay Sharma"/>
    <n v="33150"/>
  </r>
  <r>
    <s v="140338"/>
    <s v="MH"/>
    <s v="Kranti Bheke"/>
    <s v="09/05/2020"/>
    <s v="Order"/>
    <s v="2GB Graphic Card"/>
    <s v="Graphic Card"/>
    <s v="Nvidia"/>
    <n v="7000"/>
    <n v="9100"/>
    <n v="4"/>
    <n v="28000"/>
    <n v="36400"/>
    <s v="Roshan Kumar"/>
    <n v="18200"/>
  </r>
  <r>
    <s v="140339"/>
    <s v="MH"/>
    <s v="Jagdeep"/>
    <s v="09/05/2020"/>
    <s v="Processing"/>
    <s v="32 GB DDR4 Ram"/>
    <s v="Computer Case"/>
    <s v="Hynix"/>
    <n v="1680"/>
    <n v="2184"/>
    <n v="2"/>
    <n v="3360"/>
    <n v="4368"/>
    <s v="Aarvi Gupta"/>
    <n v="13650"/>
  </r>
  <r>
    <s v="140340"/>
    <s v="MH"/>
    <s v="Adhir Samal"/>
    <s v="09/05/2020"/>
    <s v="Delivered"/>
    <s v="Micro ATX motherboard"/>
    <s v="Mouse"/>
    <s v="MSI"/>
    <n v="6540"/>
    <n v="8502"/>
    <n v="4"/>
    <n v="26160"/>
    <n v="34008"/>
    <s v="Vijay Singh"/>
    <n v="1690"/>
  </r>
  <r>
    <s v="140341"/>
    <s v="MH"/>
    <s v="Dannana Jhammi"/>
    <s v="09/05/2020"/>
    <s v="Shipped"/>
    <s v="Gaming Box Cabinet"/>
    <s v="Cabinet"/>
    <s v="Asus"/>
    <n v="2680"/>
    <n v="3484"/>
    <n v="2"/>
    <n v="5360"/>
    <n v="6968"/>
    <s v="Aadil Khan"/>
    <n v="2990"/>
  </r>
  <r>
    <s v="140342"/>
    <s v="MH"/>
    <s v="Vipin Kumar"/>
    <s v="09/05/2020"/>
    <s v="Order"/>
    <s v="17&quot; LCD Display"/>
    <s v="Monitor"/>
    <s v="Samsung"/>
    <n v="8250"/>
    <n v="10725"/>
    <n v="2"/>
    <n v="16500"/>
    <n v="21450"/>
    <s v="Advika Joshi"/>
    <n v="9750"/>
  </r>
  <r>
    <s v="140343"/>
    <s v="MH"/>
    <s v="Ranjeet Kumar"/>
    <s v="09/05/2020"/>
    <s v="Processing"/>
    <s v="36 GB DDR4 RAM"/>
    <s v="RAM"/>
    <s v="Samsung"/>
    <n v="2650"/>
    <n v="3445"/>
    <n v="4"/>
    <n v="10600"/>
    <n v="13780"/>
    <s v="Ajay Sharma"/>
    <n v="25545"/>
  </r>
  <r>
    <s v="140344"/>
    <s v="MH"/>
    <s v="Sajal Singhal"/>
    <s v="09/05/2020"/>
    <s v="Delivered"/>
    <s v="26&quot; LCD Display"/>
    <s v="Monitor"/>
    <s v="Acer"/>
    <n v="12550"/>
    <n v="16315"/>
    <n v="3"/>
    <n v="37650"/>
    <n v="48945"/>
    <s v="Roshan Kumar"/>
    <n v="9750"/>
  </r>
  <r>
    <s v="140345"/>
    <s v="MH"/>
    <s v="Akhilesh Kumar"/>
    <s v="09/05/2020"/>
    <s v="Shipped"/>
    <s v="I7 - intel 12th Generation"/>
    <s v="CPU"/>
    <s v="Intel"/>
    <n v="14500"/>
    <n v="18850"/>
    <n v="4"/>
    <n v="58000"/>
    <n v="75400"/>
    <s v="Aarvi Gupta"/>
    <n v="33150"/>
  </r>
  <r>
    <s v="140346"/>
    <s v="MH"/>
    <s v="Suvankar Chakraborty"/>
    <s v="09/05/2020"/>
    <s v="Order"/>
    <s v="USB Keyboard"/>
    <s v="Keyboard"/>
    <s v="Dell"/>
    <n v="800"/>
    <n v="1040"/>
    <n v="3"/>
    <n v="2400"/>
    <n v="3120"/>
    <s v="Vijay Singh"/>
    <n v="3315"/>
  </r>
  <r>
    <s v="140347"/>
    <s v="MH"/>
    <s v="Suvankar Adhikary"/>
    <s v="09/05/2020"/>
    <s v="Processing"/>
    <s v="Wireless Mouse"/>
    <s v="Mouse"/>
    <s v="Samsung"/>
    <n v="600"/>
    <n v="780"/>
    <n v="4"/>
    <n v="2400"/>
    <n v="3120"/>
    <s v="Aadil Khan"/>
    <n v="1690"/>
  </r>
  <r>
    <s v="140348"/>
    <s v="MH"/>
    <s v="Rahul Kumar Prajapati"/>
    <s v="09/05/2020"/>
    <s v="Delivered"/>
    <s v="21&quot; LCD Display"/>
    <s v="Monitor"/>
    <s v="Dell"/>
    <n v="10500"/>
    <n v="13650"/>
    <n v="2"/>
    <n v="21000"/>
    <n v="27300"/>
    <s v="Advika Joshi"/>
    <n v="9750"/>
  </r>
  <r>
    <s v="140349"/>
    <s v="MH"/>
    <s v="Sagar Jeur"/>
    <s v="09/05/2020"/>
    <s v="Shipped"/>
    <s v="30 TB HDD"/>
    <s v="HDD"/>
    <s v="Western Digital"/>
    <n v="6500"/>
    <n v="8450"/>
    <n v="3"/>
    <n v="19500"/>
    <n v="25350"/>
    <s v="Ajay Sharma"/>
    <n v="39000"/>
  </r>
  <r>
    <s v="140350"/>
    <s v="MH"/>
    <s v="Rhushikesh Mane"/>
    <s v="09/05/2020"/>
    <s v="Order"/>
    <s v="285 GB SSD"/>
    <s v="SSD"/>
    <s v="Samsung"/>
    <n v="4500"/>
    <n v="5850"/>
    <n v="4"/>
    <n v="18000"/>
    <n v="23400"/>
    <s v="Roshan Kumar"/>
    <n v="8450"/>
  </r>
  <r>
    <s v="140351"/>
    <s v="MH"/>
    <s v="Ashish Kumar"/>
    <s v="09/05/2020"/>
    <s v="Processing"/>
    <s v="Intel i3 11th gen."/>
    <s v="CPU"/>
    <s v="Intel"/>
    <n v="8500"/>
    <n v="11050"/>
    <n v="4"/>
    <n v="34000"/>
    <n v="44200"/>
    <s v="Aarvi Gupta"/>
    <n v="33150"/>
  </r>
  <r>
    <s v="140352"/>
    <s v="MH"/>
    <s v="Javed Akhter"/>
    <s v="09/05/2020"/>
    <s v="Delivered"/>
    <s v="4GB Graphic card"/>
    <s v="Graphic Card"/>
    <s v="Nvidia"/>
    <n v="12500"/>
    <n v="16250"/>
    <n v="4"/>
    <n v="50000"/>
    <n v="65000"/>
    <s v="Vijay Singh"/>
    <n v="18200"/>
  </r>
  <r>
    <s v="140353"/>
    <s v="MH"/>
    <s v="Haridas Balraj"/>
    <s v="09/05/2020"/>
    <s v="Shipped"/>
    <s v="37 GB DDR4 RAM"/>
    <s v="NIC"/>
    <s v="Hynix"/>
    <n v="3500"/>
    <n v="4550"/>
    <n v="2"/>
    <n v="7000"/>
    <n v="9100"/>
    <s v="Aadil Khan"/>
    <n v="9100"/>
  </r>
  <r>
    <s v="140354"/>
    <s v="MH"/>
    <s v="Kundan Kumar"/>
    <s v="09/05/2020"/>
    <s v="Order"/>
    <s v="BTX motherboard"/>
    <s v="Printer"/>
    <s v="Gigabyte"/>
    <n v="4500"/>
    <n v="5850"/>
    <n v="4"/>
    <n v="18000"/>
    <n v="23400"/>
    <s v="Advika Joshi"/>
    <n v="11700"/>
  </r>
  <r>
    <s v="140355"/>
    <s v="MH"/>
    <s v="Atif Siddiqui"/>
    <s v="09/05/2020"/>
    <s v="Processing"/>
    <s v="32 Fans Cabinet"/>
    <s v="Cabinet"/>
    <s v="Asus"/>
    <n v="2100"/>
    <n v="2730"/>
    <n v="4"/>
    <n v="8400"/>
    <n v="10920"/>
    <s v="Ajay Sharma"/>
    <n v="2990"/>
  </r>
  <r>
    <s v="140356"/>
    <s v="MH"/>
    <s v="Aditya Agarwal"/>
    <s v="09/05/2020"/>
    <s v="Delivered"/>
    <s v="Wireless Keyboard"/>
    <s v="Keyboard"/>
    <s v="Dell"/>
    <n v="1150"/>
    <n v="1495"/>
    <n v="1"/>
    <n v="1150"/>
    <n v="1495"/>
    <s v="Roshan Kumar"/>
    <n v="3315"/>
  </r>
  <r>
    <s v="140357"/>
    <s v="MH"/>
    <s v="Firdoush Jabee"/>
    <s v="10/05/2020"/>
    <s v="Shipped"/>
    <s v="USB Mouse"/>
    <s v="Mouse"/>
    <s v="Samsung"/>
    <n v="350"/>
    <n v="455"/>
    <n v="1"/>
    <n v="350"/>
    <n v="455"/>
    <s v="Aarvi Gupta"/>
    <n v="1690"/>
  </r>
  <r>
    <s v="140358"/>
    <s v="MH"/>
    <s v="Jay Prakash Kumar"/>
    <s v="10/05/2020"/>
    <s v="Order"/>
    <s v="19&quot; LED Display"/>
    <s v="Monitor"/>
    <s v="Dell"/>
    <n v="9500"/>
    <n v="12350"/>
    <n v="4"/>
    <n v="38000"/>
    <n v="49400"/>
    <s v="Vijay Singh"/>
    <n v="9750"/>
  </r>
  <r>
    <s v="140359"/>
    <s v="MH"/>
    <s v="Ashish Pandey"/>
    <s v="10/05/2020"/>
    <s v="Processing"/>
    <s v="31 TB HDD"/>
    <s v="HDD"/>
    <s v="Western Digital"/>
    <n v="10000"/>
    <n v="13000"/>
    <n v="2"/>
    <n v="20000"/>
    <n v="26000"/>
    <s v="Aadil Khan"/>
    <n v="39000"/>
  </r>
  <r>
    <s v="140360"/>
    <s v="MH"/>
    <s v="Ajay Sharma"/>
    <s v="10/05/2020"/>
    <s v="Delivered"/>
    <s v="541 GB M.2"/>
    <s v="SSD"/>
    <s v="Samsung"/>
    <n v="6500"/>
    <n v="8450"/>
    <n v="3"/>
    <n v="19500"/>
    <n v="25350"/>
    <s v="Advika Joshi"/>
    <n v="8450"/>
  </r>
  <r>
    <s v="140361"/>
    <s v="MH"/>
    <s v="Moinuddin Saifi"/>
    <s v="10/05/2020"/>
    <s v="Shipped"/>
    <s v="RYZEN 3rd gen. 3529"/>
    <s v="CPU"/>
    <s v="Intel"/>
    <n v="8500"/>
    <n v="11050"/>
    <n v="4"/>
    <n v="34000"/>
    <n v="44200"/>
    <s v="Ajay Sharma"/>
    <n v="33150"/>
  </r>
  <r>
    <s v="140362"/>
    <s v="MH"/>
    <s v="Ramkrishna Das Adhikary"/>
    <s v="10/05/2020"/>
    <s v="Order"/>
    <s v="2GB Graphic Card"/>
    <s v="Graphic Card"/>
    <s v="Nvidia"/>
    <n v="7000"/>
    <n v="9100"/>
    <n v="4"/>
    <n v="28000"/>
    <n v="36400"/>
    <s v="Roshan Kumar"/>
    <n v="18200"/>
  </r>
  <r>
    <s v="140363"/>
    <s v="MH"/>
    <s v="Ranjeet Mandal"/>
    <s v="10/05/2020"/>
    <s v="Processing"/>
    <s v="45 GB DDR4 RAM"/>
    <s v="NIC"/>
    <s v="Hynix"/>
    <n v="6550"/>
    <n v="8515"/>
    <n v="1"/>
    <n v="6550"/>
    <n v="8515"/>
    <s v="Aarvi Gupta"/>
    <n v="9100"/>
  </r>
  <r>
    <s v="140364"/>
    <s v="MH"/>
    <s v="Ashwini Adsare"/>
    <s v="10/05/2020"/>
    <s v="Delivered"/>
    <s v="Standard ATX motherboard"/>
    <s v="Printer"/>
    <s v="Gigabyte"/>
    <n v="7650"/>
    <n v="9945"/>
    <n v="2"/>
    <n v="15300"/>
    <n v="19890"/>
    <s v="Vijay Singh"/>
    <n v="11700"/>
  </r>
  <r>
    <s v="140365"/>
    <s v="MH"/>
    <s v="Rajesh Variya"/>
    <s v="10/05/2020"/>
    <s v="Shipped"/>
    <s v="Compact with 1 Fan"/>
    <s v="Cabinet"/>
    <s v="Asus"/>
    <n v="1150"/>
    <n v="1495"/>
    <n v="1"/>
    <n v="1150"/>
    <n v="1495"/>
    <s v="Aadil Khan"/>
    <n v="2990"/>
  </r>
  <r>
    <s v="140366"/>
    <s v="MH"/>
    <s v="Amit Singh"/>
    <s v="10/05/2020"/>
    <s v="Order"/>
    <s v="USB Backlight Keyboard"/>
    <s v="Keyboard"/>
    <s v="Dell"/>
    <n v="850"/>
    <n v="1105"/>
    <n v="2"/>
    <n v="1700"/>
    <n v="2210"/>
    <s v="Advika Joshi"/>
    <n v="3315"/>
  </r>
  <r>
    <s v="140367"/>
    <s v="MH"/>
    <s v="Vinod Mehta"/>
    <s v="10/05/2020"/>
    <s v="Processing"/>
    <s v="Ergonomic Mouse"/>
    <s v="Mouse"/>
    <s v="Samsung"/>
    <n v="650"/>
    <n v="845"/>
    <n v="2"/>
    <n v="1300"/>
    <n v="1690"/>
    <s v="Ajay Sharma"/>
    <n v="1690"/>
  </r>
  <r>
    <s v="140368"/>
    <s v="MH"/>
    <s v="Jignesh Mhatre"/>
    <s v="10/05/2020"/>
    <s v="Delivered"/>
    <s v="15&quot; LCD Dsipaly"/>
    <s v="Monitor"/>
    <s v="Dell"/>
    <n v="7500"/>
    <n v="9750"/>
    <n v="4"/>
    <n v="30000"/>
    <n v="39000"/>
    <s v="Roshan Kumar"/>
    <n v="9750"/>
  </r>
  <r>
    <s v="140369"/>
    <s v="MH"/>
    <s v="Rahul Kashyap"/>
    <s v="10/05/2020"/>
    <s v="Shipped"/>
    <s v="31 TB HDD"/>
    <s v="HDD"/>
    <s v="Seagate"/>
    <n v="10000"/>
    <n v="13000"/>
    <n v="3"/>
    <n v="30000"/>
    <n v="39000"/>
    <s v="Aarvi Gupta"/>
    <n v="39000"/>
  </r>
  <r>
    <s v="140370"/>
    <s v="MH"/>
    <s v="Mohammed Abdul Kaleem"/>
    <s v="10/05/2020"/>
    <s v="Order"/>
    <s v="30 TB SSD"/>
    <s v="SSD"/>
    <s v="Samsung"/>
    <n v="10500"/>
    <n v="13650"/>
    <n v="2"/>
    <n v="21000"/>
    <n v="27300"/>
    <s v="Vijay Singh"/>
    <n v="8450"/>
  </r>
  <r>
    <s v="140371"/>
    <s v="MH"/>
    <s v="Chandrakant Kasbe"/>
    <s v="10/05/2020"/>
    <s v="Processing"/>
    <s v="Intel i5 12th gen."/>
    <s v="CPU"/>
    <s v="Intel"/>
    <n v="8500"/>
    <n v="11050"/>
    <n v="1"/>
    <n v="8500"/>
    <n v="11050"/>
    <s v="Aadil Khan"/>
    <n v="33150"/>
  </r>
  <r>
    <s v="140372"/>
    <s v="MH"/>
    <s v="Rohan Kale"/>
    <s v="10/05/2020"/>
    <s v="Delivered"/>
    <s v="2GB Graphic Card"/>
    <s v="Graphic Card"/>
    <s v="Nvidia"/>
    <n v="7000"/>
    <n v="9100"/>
    <n v="4"/>
    <n v="28000"/>
    <n v="36400"/>
    <s v="Advika Joshi"/>
    <n v="18200"/>
  </r>
  <r>
    <s v="140373"/>
    <s v="MH"/>
    <s v="Aniruddha Kekapure"/>
    <s v="10/05/2020"/>
    <s v="Shipped"/>
    <s v="33 GB DDR4 Ram"/>
    <s v="NIC"/>
    <s v="Hynix"/>
    <n v="1680"/>
    <n v="2184"/>
    <n v="3"/>
    <n v="5040"/>
    <n v="6552"/>
    <s v="Ajay Sharma"/>
    <n v="9100"/>
  </r>
  <r>
    <s v="140374"/>
    <s v="MH"/>
    <s v="Aslam Raza"/>
    <s v="10/05/2020"/>
    <s v="Order"/>
    <s v="Micro ATX motherboard"/>
    <s v="Printer"/>
    <s v="MSI"/>
    <n v="6540"/>
    <n v="8502"/>
    <n v="2"/>
    <n v="13080"/>
    <n v="17004"/>
    <s v="Roshan Kumar"/>
    <n v="11700"/>
  </r>
  <r>
    <s v="140375"/>
    <s v="MH"/>
    <s v="Roshan Zameer"/>
    <s v="10/05/2020"/>
    <s v="Processing"/>
    <s v="Gaming Box Cabinet"/>
    <s v="Cabinet"/>
    <s v="Asus"/>
    <n v="2680"/>
    <n v="3484"/>
    <n v="4"/>
    <n v="10720"/>
    <n v="13936"/>
    <s v="Aarvi Gupta"/>
    <n v="2990"/>
  </r>
  <r>
    <s v="140376"/>
    <s v="MH"/>
    <s v="Rakesh Kumar Sharma"/>
    <s v="10/05/2020"/>
    <s v="Delivered"/>
    <s v="17&quot; LCD Display"/>
    <s v="Monitor"/>
    <s v="Samsung"/>
    <n v="8250"/>
    <n v="10725"/>
    <n v="3"/>
    <n v="24750"/>
    <n v="32175"/>
    <s v="Vijay Singh"/>
    <n v="9750"/>
  </r>
  <r>
    <s v="140377"/>
    <s v="MH"/>
    <s v="Shivanand Sahani"/>
    <s v="10/05/2020"/>
    <s v="Shipped"/>
    <s v="37 GB DDR4 RAM"/>
    <s v="RAM"/>
    <s v="Samsung"/>
    <n v="2650"/>
    <n v="3445"/>
    <n v="1"/>
    <n v="2650"/>
    <n v="3445"/>
    <s v="Aadil Khan"/>
    <n v="25545"/>
  </r>
  <r>
    <s v="140378"/>
    <s v="MH"/>
    <s v="Kunal Patra"/>
    <s v="10/05/2020"/>
    <s v="Order"/>
    <s v="26&quot; LCD Display"/>
    <s v="Monitor"/>
    <s v="Acer"/>
    <n v="12550"/>
    <n v="16315"/>
    <n v="1"/>
    <n v="12550"/>
    <n v="16315"/>
    <s v="Advika Joshi"/>
    <n v="9750"/>
  </r>
  <r>
    <s v="140379"/>
    <s v="MH"/>
    <s v="Bijendra"/>
    <s v="10/05/2020"/>
    <s v="Processing"/>
    <s v="I7 - intel 12th Generation"/>
    <s v="CPU"/>
    <s v="Intel"/>
    <n v="14500"/>
    <n v="18850"/>
    <n v="1"/>
    <n v="14500"/>
    <n v="18850"/>
    <s v="Ajay Sharma"/>
    <n v="33150"/>
  </r>
  <r>
    <s v="140380"/>
    <s v="MH"/>
    <s v="Kranti Bheke"/>
    <s v="10/05/2020"/>
    <s v="Delivered"/>
    <s v="USB Keyboard"/>
    <s v="Keyboard"/>
    <s v="Dell"/>
    <n v="800"/>
    <n v="1040"/>
    <n v="2"/>
    <n v="1600"/>
    <n v="2080"/>
    <s v="Roshan Kumar"/>
    <n v="3315"/>
  </r>
  <r>
    <s v="140381"/>
    <s v="MH"/>
    <s v="Jagdeep"/>
    <s v="10/05/2020"/>
    <s v="Shipped"/>
    <s v="Wireless Mouse"/>
    <s v="Mouse"/>
    <s v="Samsung"/>
    <n v="600"/>
    <n v="780"/>
    <n v="2"/>
    <n v="1200"/>
    <n v="1560"/>
    <s v="Aarvi Gupta"/>
    <n v="1690"/>
  </r>
  <r>
    <s v="140382"/>
    <s v="MH"/>
    <s v="Adhir Samal"/>
    <s v="10/05/2020"/>
    <s v="Order"/>
    <s v="21&quot; LCD Display"/>
    <s v="Monitor"/>
    <s v="Dell"/>
    <n v="10500"/>
    <n v="13650"/>
    <n v="4"/>
    <n v="42000"/>
    <n v="54600"/>
    <s v="Vijay Singh"/>
    <n v="9750"/>
  </r>
  <r>
    <s v="140383"/>
    <s v="MH"/>
    <s v="Dannana Jhammi"/>
    <s v="10/05/2020"/>
    <s v="Processing"/>
    <s v="31 TB HDD"/>
    <s v="HDD"/>
    <s v="Western Digital"/>
    <n v="6500"/>
    <n v="8450"/>
    <n v="2"/>
    <n v="13000"/>
    <n v="16900"/>
    <s v="Aadil Khan"/>
    <n v="39000"/>
  </r>
  <r>
    <s v="140384"/>
    <s v="MH"/>
    <s v="Vipin Kumar"/>
    <s v="10/05/2020"/>
    <s v="Delivered"/>
    <s v="286 GB SSD"/>
    <s v="SSD"/>
    <s v="Samsung"/>
    <n v="4500"/>
    <n v="5850"/>
    <n v="3"/>
    <n v="13500"/>
    <n v="17550"/>
    <s v="Advika Joshi"/>
    <n v="8450"/>
  </r>
  <r>
    <s v="140385"/>
    <s v="MH"/>
    <s v="Ranjeet Kumar"/>
    <s v="10/05/2020"/>
    <s v="Shipped"/>
    <s v="Intel i3 11th gen."/>
    <s v="CPU"/>
    <s v="Intel"/>
    <n v="8500"/>
    <n v="11050"/>
    <n v="3"/>
    <n v="25500"/>
    <n v="33150"/>
    <s v="Ajay Sharma"/>
    <n v="33150"/>
  </r>
  <r>
    <s v="140386"/>
    <s v="MH"/>
    <s v="Sajal Singhal"/>
    <s v="10/05/2020"/>
    <s v="Order"/>
    <s v="4GB Graphic card"/>
    <s v="Graphic Card"/>
    <s v="Nvidia"/>
    <n v="12500"/>
    <n v="16250"/>
    <n v="2"/>
    <n v="25000"/>
    <n v="32500"/>
    <s v="Roshan Kumar"/>
    <n v="18200"/>
  </r>
  <r>
    <s v="140387"/>
    <s v="MH"/>
    <s v="Akhilesh Kumar"/>
    <s v="10/05/2020"/>
    <s v="Processing"/>
    <s v="38 GB DDR4 RAM"/>
    <s v="RAM"/>
    <s v="Hynix"/>
    <n v="3500"/>
    <n v="4550"/>
    <n v="4"/>
    <n v="14000"/>
    <n v="18200"/>
    <s v="Aarvi Gupta"/>
    <n v="25545"/>
  </r>
  <r>
    <s v="140388"/>
    <s v="MH"/>
    <s v="Suvankar Chakraborty"/>
    <s v="11/05/2020"/>
    <s v="Delivered"/>
    <s v="BTX motherboard"/>
    <s v="MotherBoard"/>
    <s v="Gigabyte"/>
    <n v="4500"/>
    <n v="5850"/>
    <n v="3"/>
    <n v="13500"/>
    <n v="17550"/>
    <s v="Vijay Singh"/>
    <n v="39780"/>
  </r>
  <r>
    <s v="140389"/>
    <s v="MH"/>
    <s v="Suvankar Adhikary"/>
    <s v="11/05/2020"/>
    <s v="Shipped"/>
    <s v="33 Fans Cabinet"/>
    <s v="Cabinet"/>
    <s v="Asus"/>
    <n v="2100"/>
    <n v="2730"/>
    <n v="1"/>
    <n v="2100"/>
    <n v="2730"/>
    <s v="Aadil Khan"/>
    <n v="2990"/>
  </r>
  <r>
    <s v="140390"/>
    <s v="MH"/>
    <s v="Rahul Kumar Prajapati"/>
    <s v="11/05/2020"/>
    <s v="Order"/>
    <s v="Wireless Keyboard"/>
    <s v="Keyboard"/>
    <s v="Dell"/>
    <n v="1150"/>
    <n v="1495"/>
    <n v="4"/>
    <n v="4600"/>
    <n v="5980"/>
    <s v="Advika Joshi"/>
    <n v="3315"/>
  </r>
  <r>
    <s v="140391"/>
    <s v="MH"/>
    <s v="Sagar Jeur"/>
    <s v="11/05/2020"/>
    <s v="Processing"/>
    <s v="USB Mouse"/>
    <s v="Mouse"/>
    <s v="Samsung"/>
    <n v="350"/>
    <n v="455"/>
    <n v="4"/>
    <n v="1400"/>
    <n v="1820"/>
    <s v="Ajay Sharma"/>
    <n v="1690"/>
  </r>
  <r>
    <s v="140392"/>
    <s v="MH"/>
    <s v="Rhushikesh Mane"/>
    <s v="11/05/2020"/>
    <s v="Delivered"/>
    <s v="19&quot; LED Display"/>
    <s v="Monitor"/>
    <s v="Dell"/>
    <n v="9500"/>
    <n v="12350"/>
    <n v="3"/>
    <n v="28500"/>
    <n v="37050"/>
    <s v="Roshan Kumar"/>
    <n v="9750"/>
  </r>
  <r>
    <s v="140393"/>
    <s v="MH"/>
    <s v="Ashish Kumar"/>
    <s v="11/05/2020"/>
    <s v="Shipped"/>
    <s v="32 TB HDD"/>
    <s v="HDD"/>
    <s v="Western Digital"/>
    <n v="10000"/>
    <n v="13000"/>
    <n v="2"/>
    <n v="20000"/>
    <n v="26000"/>
    <s v="Aarvi Gupta"/>
    <n v="39000"/>
  </r>
  <r>
    <s v="140394"/>
    <s v="MH"/>
    <s v="Javed Akhter"/>
    <s v="11/05/2020"/>
    <s v="Order"/>
    <s v="542 GB M.2"/>
    <s v="SSD"/>
    <s v="Samsung"/>
    <n v="6500"/>
    <n v="8450"/>
    <n v="4"/>
    <n v="26000"/>
    <n v="33800"/>
    <s v="Vijay Singh"/>
    <n v="8450"/>
  </r>
  <r>
    <s v="140395"/>
    <s v="MH"/>
    <s v="Haridas Balraj"/>
    <s v="11/05/2020"/>
    <s v="Processing"/>
    <s v="RYZEN 3rd gen. 3530"/>
    <s v="CPU"/>
    <s v="Intel"/>
    <n v="8500"/>
    <n v="11050"/>
    <n v="4"/>
    <n v="34000"/>
    <n v="44200"/>
    <s v="Aadil Khan"/>
    <n v="33150"/>
  </r>
  <r>
    <s v="140396"/>
    <s v="MH"/>
    <s v="Kundan Kumar"/>
    <s v="11/05/2020"/>
    <s v="Delivered"/>
    <s v="2GB Graphic Card"/>
    <s v="Graphic Card"/>
    <s v="Nvidia"/>
    <n v="7000"/>
    <n v="9100"/>
    <n v="1"/>
    <n v="7000"/>
    <n v="9100"/>
    <s v="Advika Joshi"/>
    <n v="18200"/>
  </r>
  <r>
    <s v="140397"/>
    <s v="MH"/>
    <s v="Atif Siddiqui"/>
    <s v="11/05/2020"/>
    <s v="Shipped"/>
    <s v="46 GB DDR4 RAM"/>
    <s v="RAM"/>
    <s v="Hynix"/>
    <n v="6550"/>
    <n v="8515"/>
    <n v="1"/>
    <n v="6550"/>
    <n v="8515"/>
    <s v="Ajay Sharma"/>
    <n v="25545"/>
  </r>
  <r>
    <s v="140398"/>
    <s v="MH"/>
    <s v="Aditya Agarwal"/>
    <s v="11/05/2020"/>
    <s v="Order"/>
    <s v="Standard ATX motherboard"/>
    <s v="MotherBoard"/>
    <s v="Gigabyte"/>
    <n v="7650"/>
    <n v="9945"/>
    <n v="1"/>
    <n v="7650"/>
    <n v="9945"/>
    <s v="Roshan Kumar"/>
    <n v="39780"/>
  </r>
  <r>
    <s v="140399"/>
    <s v="MH"/>
    <s v="Firdoush Jabee"/>
    <s v="11/05/2020"/>
    <s v="Processing"/>
    <s v="Compact with 1 Fan"/>
    <s v="Cabinet"/>
    <s v="Asus"/>
    <n v="1150"/>
    <n v="1495"/>
    <n v="4"/>
    <n v="4600"/>
    <n v="5980"/>
    <s v="Aarvi Gupta"/>
    <n v="2990"/>
  </r>
  <r>
    <s v="140400"/>
    <s v="MH"/>
    <s v="Jay Prakash Kumar"/>
    <s v="11/05/2020"/>
    <s v="Delivered"/>
    <s v="USB Backlight Keyboard"/>
    <s v="Keyboard"/>
    <s v="Dell"/>
    <n v="850"/>
    <n v="1105"/>
    <n v="3"/>
    <n v="2550"/>
    <n v="3315"/>
    <s v="Vijay Singh"/>
    <n v="3315"/>
  </r>
  <r>
    <s v="140401"/>
    <s v="MH"/>
    <s v="Ashish Pandey"/>
    <s v="11/05/2020"/>
    <s v="Shipped"/>
    <s v="Ergonomic Mouse"/>
    <s v="Mouse"/>
    <s v="Samsung"/>
    <n v="650"/>
    <n v="845"/>
    <n v="1"/>
    <n v="650"/>
    <n v="845"/>
    <s v="Aadil Khan"/>
    <n v="1690"/>
  </r>
  <r>
    <s v="140402"/>
    <s v="MH"/>
    <s v="Ajay Sharma"/>
    <s v="11/05/2020"/>
    <s v="Order"/>
    <s v="15&quot; LCD Dsipaly"/>
    <s v="Monitor"/>
    <s v="Dell"/>
    <n v="7500"/>
    <n v="9750"/>
    <n v="2"/>
    <n v="15000"/>
    <n v="19500"/>
    <s v="Advika Joshi"/>
    <n v="9750"/>
  </r>
  <r>
    <s v="140403"/>
    <s v="MH"/>
    <s v="Moinuddin Saifi"/>
    <s v="11/05/2020"/>
    <s v="Processing"/>
    <s v="32 TB HDD"/>
    <s v="HDD"/>
    <s v="Seagate"/>
    <n v="10000"/>
    <n v="13000"/>
    <n v="1"/>
    <n v="10000"/>
    <n v="13000"/>
    <s v="Ajay Sharma"/>
    <n v="39000"/>
  </r>
  <r>
    <s v="140404"/>
    <s v="MH"/>
    <s v="Ramkrishna Das Adhikary"/>
    <s v="11/05/2020"/>
    <s v="Delivered"/>
    <s v="31 TB SSD"/>
    <s v="SSD"/>
    <s v="Samsung"/>
    <n v="10500"/>
    <n v="13650"/>
    <n v="3"/>
    <n v="31500"/>
    <n v="40950"/>
    <s v="Roshan Kumar"/>
    <n v="8450"/>
  </r>
  <r>
    <s v="140405"/>
    <s v="MH"/>
    <s v="Ranjeet Mandal"/>
    <s v="11/05/2020"/>
    <s v="Shipped"/>
    <s v="Intel i5 12th gen."/>
    <s v="CPU"/>
    <s v="Intel"/>
    <n v="8500"/>
    <n v="11050"/>
    <n v="2"/>
    <n v="17000"/>
    <n v="22100"/>
    <s v="Aarvi Gupta"/>
    <n v="33150"/>
  </r>
  <r>
    <s v="140406"/>
    <s v="MH"/>
    <s v="Ashwini Adsare"/>
    <s v="11/05/2020"/>
    <s v="Order"/>
    <s v="2GB Graphic Card"/>
    <s v="Graphic Card"/>
    <s v="Nvidia"/>
    <n v="7000"/>
    <n v="9100"/>
    <n v="3"/>
    <n v="21000"/>
    <n v="27300"/>
    <s v="Vijay Singh"/>
    <n v="18200"/>
  </r>
  <r>
    <s v="140407"/>
    <s v="MH"/>
    <s v="Rajesh Variya"/>
    <s v="11/05/2020"/>
    <s v="Processing"/>
    <s v="34 GB DDR4 Ram"/>
    <s v="RAM"/>
    <s v="Hynix"/>
    <n v="1680"/>
    <n v="2184"/>
    <n v="4"/>
    <n v="6720"/>
    <n v="8736"/>
    <s v="Aadil Khan"/>
    <n v="25545"/>
  </r>
  <r>
    <s v="140408"/>
    <s v="MH"/>
    <s v="Amit Singh"/>
    <s v="11/05/2020"/>
    <s v="Delivered"/>
    <s v="Micro ATX motherboard"/>
    <s v="MotherBoard"/>
    <s v="MSI"/>
    <n v="6540"/>
    <n v="8502"/>
    <n v="3"/>
    <n v="19620"/>
    <n v="25506"/>
    <s v="Advika Joshi"/>
    <n v="39780"/>
  </r>
  <r>
    <s v="140409"/>
    <s v="MH"/>
    <s v="Vinod Mehta"/>
    <s v="11/05/2020"/>
    <s v="Shipped"/>
    <s v="Gaming Box Cabinet"/>
    <s v="Cabinet"/>
    <s v="Asus"/>
    <n v="2680"/>
    <n v="3484"/>
    <n v="4"/>
    <n v="10720"/>
    <n v="13936"/>
    <s v="Ajay Sharma"/>
    <n v="2990"/>
  </r>
  <r>
    <s v="140410"/>
    <s v="MH"/>
    <s v="Jignesh Mhatre"/>
    <s v="11/05/2020"/>
    <s v="Order"/>
    <s v="17&quot; LCD Display"/>
    <s v="Monitor"/>
    <s v="Samsung"/>
    <n v="8250"/>
    <n v="10725"/>
    <n v="3"/>
    <n v="24750"/>
    <n v="32175"/>
    <s v="Roshan Kumar"/>
    <n v="9750"/>
  </r>
  <r>
    <s v="140411"/>
    <s v="MH"/>
    <s v="Rahul Kashyap"/>
    <s v="11/05/2020"/>
    <s v="Processing"/>
    <s v="38 GB DDR4 RAM"/>
    <s v="RAM"/>
    <s v="Samsung"/>
    <n v="2650"/>
    <n v="3445"/>
    <n v="4"/>
    <n v="10600"/>
    <n v="13780"/>
    <s v="Aarvi Gupta"/>
    <n v="25545"/>
  </r>
  <r>
    <s v="140412"/>
    <s v="MH"/>
    <s v="Mohammed Abdul Kaleem"/>
    <s v="11/05/2020"/>
    <s v="Delivered"/>
    <s v="26&quot; LCD Display"/>
    <s v="Monitor"/>
    <s v="Acer"/>
    <n v="12550"/>
    <n v="16315"/>
    <n v="1"/>
    <n v="12550"/>
    <n v="16315"/>
    <s v="Vijay Singh"/>
    <n v="9750"/>
  </r>
  <r>
    <s v="140413"/>
    <s v="MH"/>
    <s v="Chandrakant Kasbe"/>
    <s v="11/05/2020"/>
    <s v="Shipped"/>
    <s v="I7 - intel 12th Generation"/>
    <s v="CPU"/>
    <s v="Intel"/>
    <n v="14500"/>
    <n v="18850"/>
    <n v="1"/>
    <n v="14500"/>
    <n v="18850"/>
    <s v="Aadil Khan"/>
    <n v="33150"/>
  </r>
  <r>
    <s v="140414"/>
    <s v="MH"/>
    <s v="Rohan Kale"/>
    <s v="11/05/2020"/>
    <s v="Order"/>
    <s v="USB Keyboard"/>
    <s v="Keyboard"/>
    <s v="Dell"/>
    <n v="800"/>
    <n v="1040"/>
    <n v="3"/>
    <n v="2400"/>
    <n v="3120"/>
    <s v="Advika Joshi"/>
    <n v="3315"/>
  </r>
  <r>
    <s v="140415"/>
    <s v="MH"/>
    <s v="Aniruddha Kekapure"/>
    <s v="11/05/2020"/>
    <s v="Processing"/>
    <s v="Wireless Mouse"/>
    <s v="Mouse"/>
    <s v="Samsung"/>
    <n v="600"/>
    <n v="780"/>
    <n v="1"/>
    <n v="600"/>
    <n v="780"/>
    <s v="Ajay Sharma"/>
    <n v="1690"/>
  </r>
  <r>
    <s v="140416"/>
    <s v="MH"/>
    <s v="Aslam Raza"/>
    <s v="11/05/2020"/>
    <s v="Delivered"/>
    <s v="21&quot; LCD Display"/>
    <s v="Monitor"/>
    <s v="Dell"/>
    <n v="10500"/>
    <n v="13650"/>
    <n v="3"/>
    <n v="31500"/>
    <n v="40950"/>
    <s v="Roshan Kumar"/>
    <n v="9750"/>
  </r>
  <r>
    <s v="140417"/>
    <s v="MH"/>
    <s v="Roshan Zameer"/>
    <s v="11/05/2020"/>
    <s v="Shipped"/>
    <s v="32 TB HDD"/>
    <s v="HDD"/>
    <s v="Western Digital"/>
    <n v="6500"/>
    <n v="8450"/>
    <n v="2"/>
    <n v="13000"/>
    <n v="16900"/>
    <s v="Aarvi Gupta"/>
    <n v="39000"/>
  </r>
  <r>
    <s v="140418"/>
    <s v="MH"/>
    <s v="Rakesh Kumar Sharma"/>
    <s v="11/05/2020"/>
    <s v="Order"/>
    <s v="287 GB SSD"/>
    <s v="SSD"/>
    <s v="Samsung"/>
    <n v="4500"/>
    <n v="5850"/>
    <n v="4"/>
    <n v="18000"/>
    <n v="23400"/>
    <s v="Vijay Singh"/>
    <n v="8450"/>
  </r>
  <r>
    <s v="140419"/>
    <s v="MH"/>
    <s v="Shivanand Sahani"/>
    <s v="11/05/2020"/>
    <s v="Processing"/>
    <s v="Intel i3 11th gen."/>
    <s v="CPU"/>
    <s v="Intel"/>
    <n v="8500"/>
    <n v="11050"/>
    <n v="1"/>
    <n v="8500"/>
    <n v="11050"/>
    <s v="Aadil Khan"/>
    <n v="33150"/>
  </r>
  <r>
    <s v="140420"/>
    <s v="MH"/>
    <s v="Kunal Patra"/>
    <s v="11/05/2020"/>
    <s v="Delivered"/>
    <s v="4GB Graphic card"/>
    <s v="Graphic Card"/>
    <s v="Nvidia"/>
    <n v="12500"/>
    <n v="16250"/>
    <n v="2"/>
    <n v="25000"/>
    <n v="32500"/>
    <s v="Advika Joshi"/>
    <n v="18200"/>
  </r>
  <r>
    <s v="140421"/>
    <s v="MH"/>
    <s v="Bijendra"/>
    <s v="11/05/2020"/>
    <s v="Shipped"/>
    <s v="39 GB DDR4 RAM"/>
    <s v="Computer Case"/>
    <s v="Hynix"/>
    <n v="3500"/>
    <n v="4550"/>
    <n v="4"/>
    <n v="14000"/>
    <n v="18200"/>
    <s v="Ajay Sharma"/>
    <n v="13650"/>
  </r>
  <r>
    <s v="140422"/>
    <s v="MH"/>
    <s v="Kranti Bheke"/>
    <s v="11/05/2020"/>
    <s v="Order"/>
    <s v="BTX motherboard"/>
    <s v="Mouse"/>
    <s v="Gigabyte"/>
    <n v="4500"/>
    <n v="5850"/>
    <n v="4"/>
    <n v="18000"/>
    <n v="23400"/>
    <s v="Roshan Kumar"/>
    <n v="1690"/>
  </r>
  <r>
    <s v="140423"/>
    <s v="MH"/>
    <s v="Jagdeep"/>
    <s v="11/05/2020"/>
    <s v="Processing"/>
    <s v="34 Fans Cabinet"/>
    <s v="Cabinet"/>
    <s v="Asus"/>
    <n v="2100"/>
    <n v="2730"/>
    <n v="1"/>
    <n v="2100"/>
    <n v="2730"/>
    <s v="Aarvi Gupta"/>
    <n v="2990"/>
  </r>
  <r>
    <s v="140424"/>
    <s v="MH"/>
    <s v="Adhir Samal"/>
    <s v="11/05/2020"/>
    <s v="Delivered"/>
    <s v="Wireless Keyboard"/>
    <s v="Keyboard"/>
    <s v="Dell"/>
    <n v="1150"/>
    <n v="1495"/>
    <n v="3"/>
    <n v="3450"/>
    <n v="4485"/>
    <s v="Vijay Singh"/>
    <n v="3315"/>
  </r>
  <r>
    <s v="140425"/>
    <s v="MH"/>
    <s v="Dannana Jhammi"/>
    <s v="11/05/2020"/>
    <s v="Shipped"/>
    <s v="USB Mouse"/>
    <s v="Mouse"/>
    <s v="Samsung"/>
    <n v="350"/>
    <n v="455"/>
    <n v="1"/>
    <n v="350"/>
    <n v="455"/>
    <s v="Aadil Khan"/>
    <n v="1690"/>
  </r>
  <r>
    <s v="140426"/>
    <s v="MH"/>
    <s v="Vipin Kumar"/>
    <s v="11/05/2020"/>
    <s v="Order"/>
    <s v="19&quot; LED Display"/>
    <s v="Monitor"/>
    <s v="Dell"/>
    <n v="9500"/>
    <n v="12350"/>
    <n v="4"/>
    <n v="38000"/>
    <n v="49400"/>
    <s v="Advika Joshi"/>
    <n v="9750"/>
  </r>
  <r>
    <s v="140427"/>
    <s v="MH"/>
    <s v="Ranjeet Kumar"/>
    <s v="11/05/2020"/>
    <s v="Processing"/>
    <s v="33 TB HDD"/>
    <s v="HDD"/>
    <s v="Western Digital"/>
    <n v="10000"/>
    <n v="13000"/>
    <n v="2"/>
    <n v="20000"/>
    <n v="26000"/>
    <s v="Ajay Sharma"/>
    <n v="39000"/>
  </r>
  <r>
    <s v="140428"/>
    <s v="MH"/>
    <s v="Sajal Singhal"/>
    <s v="11/05/2020"/>
    <s v="Delivered"/>
    <s v="543 GB M.2"/>
    <s v="SSD"/>
    <s v="Samsung"/>
    <n v="6500"/>
    <n v="8450"/>
    <n v="2"/>
    <n v="13000"/>
    <n v="16900"/>
    <s v="Roshan Kumar"/>
    <n v="8450"/>
  </r>
  <r>
    <s v="140429"/>
    <s v="MH"/>
    <s v="Akhilesh Kumar"/>
    <s v="11/05/2020"/>
    <s v="Shipped"/>
    <s v="RYZEN 3rd gen. 3531"/>
    <s v="CPU"/>
    <s v="Intel"/>
    <n v="8500"/>
    <n v="11050"/>
    <n v="1"/>
    <n v="8500"/>
    <n v="11050"/>
    <s v="Aarvi Gupta"/>
    <n v="33150"/>
  </r>
  <r>
    <s v="140430"/>
    <s v="MH"/>
    <s v="Suvankar Chakraborty"/>
    <s v="11/05/2020"/>
    <s v="Order"/>
    <s v="2GB Graphic Card"/>
    <s v="Graphic Card"/>
    <s v="Nvidia"/>
    <n v="7000"/>
    <n v="9100"/>
    <n v="1"/>
    <n v="7000"/>
    <n v="9100"/>
    <s v="Vijay Singh"/>
    <n v="18200"/>
  </r>
  <r>
    <s v="140431"/>
    <s v="MH"/>
    <s v="Suvankar Adhikary"/>
    <s v="11/05/2020"/>
    <s v="Processing"/>
    <s v="47 GB DDR4 RAM"/>
    <s v="Computer Case"/>
    <s v="Hynix"/>
    <n v="6550"/>
    <n v="8515"/>
    <n v="1"/>
    <n v="6550"/>
    <n v="8515"/>
    <s v="Aadil Khan"/>
    <n v="13650"/>
  </r>
  <r>
    <s v="140432"/>
    <s v="MH"/>
    <s v="Rahul Kumar Prajapati"/>
    <s v="11/05/2020"/>
    <s v="Delivered"/>
    <s v="Standard ATX motherboard"/>
    <s v="Mouse"/>
    <s v="Gigabyte"/>
    <n v="7650"/>
    <n v="9945"/>
    <n v="2"/>
    <n v="15300"/>
    <n v="19890"/>
    <s v="Advika Joshi"/>
    <n v="1690"/>
  </r>
  <r>
    <s v="140433"/>
    <s v="MH"/>
    <s v="Sagar Jeur"/>
    <s v="11/05/2020"/>
    <s v="Shipped"/>
    <s v="Compact with 1 Fan"/>
    <s v="Cabinet"/>
    <s v="Asus"/>
    <n v="1150"/>
    <n v="1495"/>
    <n v="3"/>
    <n v="3450"/>
    <n v="4485"/>
    <s v="Ajay Sharma"/>
    <n v="2990"/>
  </r>
  <r>
    <s v="140434"/>
    <s v="MH"/>
    <s v="Rhushikesh Mane"/>
    <s v="11/05/2020"/>
    <s v="Order"/>
    <s v="USB Backlight Keyboard"/>
    <s v="Keyboard"/>
    <s v="Dell"/>
    <n v="850"/>
    <n v="1105"/>
    <n v="2"/>
    <n v="1700"/>
    <n v="2210"/>
    <s v="Roshan Kumar"/>
    <n v="3315"/>
  </r>
  <r>
    <s v="140435"/>
    <s v="MH"/>
    <s v="Ashish Kumar"/>
    <s v="11/05/2020"/>
    <s v="Processing"/>
    <s v="Ergonomic Mouse"/>
    <s v="Mouse"/>
    <s v="Samsung"/>
    <n v="650"/>
    <n v="845"/>
    <n v="1"/>
    <n v="650"/>
    <n v="845"/>
    <s v="Aarvi Gupta"/>
    <n v="1690"/>
  </r>
  <r>
    <s v="140436"/>
    <s v="MH"/>
    <s v="Javed Akhter"/>
    <s v="12/05/2020"/>
    <s v="Delivered"/>
    <s v="15&quot; LCD Dsipaly"/>
    <s v="Monitor"/>
    <s v="Dell"/>
    <n v="7500"/>
    <n v="9750"/>
    <n v="4"/>
    <n v="30000"/>
    <n v="39000"/>
    <s v="Vijay Singh"/>
    <n v="9750"/>
  </r>
  <r>
    <s v="140437"/>
    <s v="MH"/>
    <s v="Haridas Balraj"/>
    <s v="13/05/2020"/>
    <s v="Shipped"/>
    <s v="33 TB HDD"/>
    <s v="HDD"/>
    <s v="Seagate"/>
    <n v="10000"/>
    <n v="13000"/>
    <n v="4"/>
    <n v="40000"/>
    <n v="52000"/>
    <s v="Aadil Khan"/>
    <n v="39000"/>
  </r>
  <r>
    <s v="140438"/>
    <s v="MH"/>
    <s v="Kundan Kumar"/>
    <s v="14/05/2020"/>
    <s v="Order"/>
    <s v="32 TB SSD"/>
    <s v="SSD"/>
    <s v="Samsung"/>
    <n v="10500"/>
    <n v="13650"/>
    <n v="2"/>
    <n v="21000"/>
    <n v="27300"/>
    <s v="Advika Joshi"/>
    <n v="8450"/>
  </r>
  <r>
    <s v="140439"/>
    <s v="MH"/>
    <s v="Atif Siddiqui"/>
    <s v="15/05/2020"/>
    <s v="Processing"/>
    <s v="Intel i5 12th gen."/>
    <s v="CPU"/>
    <s v="Intel"/>
    <n v="8500"/>
    <n v="11050"/>
    <n v="2"/>
    <n v="17000"/>
    <n v="22100"/>
    <s v="Ajay Sharma"/>
    <n v="33150"/>
  </r>
  <r>
    <s v="140440"/>
    <s v="MH"/>
    <s v="Aditya Agarwal"/>
    <s v="16/05/2020"/>
    <s v="Delivered"/>
    <s v="2GB Graphic Card"/>
    <s v="Graphic Card"/>
    <s v="Nvidia"/>
    <n v="7000"/>
    <n v="9100"/>
    <n v="1"/>
    <n v="7000"/>
    <n v="9100"/>
    <s v="Roshan Kumar"/>
    <n v="18200"/>
  </r>
  <r>
    <s v="140441"/>
    <s v="MH"/>
    <s v="Firdoush Jabee"/>
    <s v="17/05/2020"/>
    <s v="Shipped"/>
    <s v="35 GB DDR4 Ram"/>
    <s v="Computer Case"/>
    <s v="Hynix"/>
    <n v="1680"/>
    <n v="2184"/>
    <n v="2"/>
    <n v="3360"/>
    <n v="4368"/>
    <s v="Aarvi Gupta"/>
    <n v="13650"/>
  </r>
  <r>
    <s v="140442"/>
    <s v="MH"/>
    <s v="Jay Prakash Kumar"/>
    <s v="18/05/2020"/>
    <s v="Order"/>
    <s v="Micro ATX motherboard"/>
    <s v="Mouse"/>
    <s v="MSI"/>
    <n v="6540"/>
    <n v="8502"/>
    <n v="2"/>
    <n v="13080"/>
    <n v="17004"/>
    <s v="Vijay Singh"/>
    <n v="1690"/>
  </r>
  <r>
    <s v="140443"/>
    <s v="MH"/>
    <s v="Ashish Pandey"/>
    <s v="19/05/2020"/>
    <s v="Processing"/>
    <s v="Gaming Box Cabinet"/>
    <s v="Cabinet"/>
    <s v="Asus"/>
    <n v="2680"/>
    <n v="3484"/>
    <n v="2"/>
    <n v="5360"/>
    <n v="6968"/>
    <s v="Aadil Khan"/>
    <n v="2990"/>
  </r>
  <r>
    <s v="140444"/>
    <s v="MH"/>
    <s v="Ajay Sharma"/>
    <s v="19/05/2020"/>
    <s v="Delivered"/>
    <s v="17&quot; LCD Display"/>
    <s v="Monitor"/>
    <s v="Samsung"/>
    <n v="8250"/>
    <n v="10725"/>
    <n v="3"/>
    <n v="24750"/>
    <n v="32175"/>
    <s v="Advika Joshi"/>
    <n v="9750"/>
  </r>
  <r>
    <s v="140445"/>
    <s v="MH"/>
    <s v="Moinuddin Saifi"/>
    <s v="19/05/2020"/>
    <s v="Shipped"/>
    <s v="39 GB DDR4 RAM"/>
    <s v="RAM"/>
    <s v="Samsung"/>
    <n v="2650"/>
    <n v="3445"/>
    <n v="3"/>
    <n v="7950"/>
    <n v="10335"/>
    <s v="Ajay Sharma"/>
    <n v="25545"/>
  </r>
  <r>
    <s v="140446"/>
    <s v="MH"/>
    <s v="Ramkrishna Das Adhikary"/>
    <s v="19/05/2020"/>
    <s v="Order"/>
    <s v="26&quot; LCD Display"/>
    <s v="Monitor"/>
    <s v="Acer"/>
    <n v="12550"/>
    <n v="16315"/>
    <n v="4"/>
    <n v="50200"/>
    <n v="65260"/>
    <s v="Roshan Kumar"/>
    <n v="9750"/>
  </r>
  <r>
    <s v="140447"/>
    <s v="AS"/>
    <s v="Ranjeet Mandal"/>
    <s v="19/05/2020"/>
    <s v="Processing"/>
    <s v="I7 - intel 12th Generation"/>
    <s v="CPU"/>
    <s v="Intel"/>
    <n v="14500"/>
    <n v="18850"/>
    <n v="4"/>
    <n v="58000"/>
    <n v="75400"/>
    <s v="Aarvi Gupta"/>
    <n v="33150"/>
  </r>
  <r>
    <s v="140448"/>
    <s v="BR"/>
    <s v="Ashwini Adsare"/>
    <s v="19/05/2020"/>
    <s v="Delivered"/>
    <s v="USB Keyboard"/>
    <s v="Keyboard"/>
    <s v="Dell"/>
    <n v="800"/>
    <n v="1040"/>
    <n v="3"/>
    <n v="2400"/>
    <n v="3120"/>
    <s v="Vijay Singh"/>
    <n v="3315"/>
  </r>
  <r>
    <s v="140449"/>
    <s v="CG"/>
    <s v="Rajesh Variya"/>
    <s v="19/05/2020"/>
    <s v="Shipped"/>
    <s v="Wireless Mouse"/>
    <s v="Mouse"/>
    <s v="Samsung"/>
    <n v="600"/>
    <n v="780"/>
    <n v="3"/>
    <n v="1800"/>
    <n v="2340"/>
    <s v="Aadil Khan"/>
    <n v="1690"/>
  </r>
  <r>
    <s v="140450"/>
    <s v="GA"/>
    <s v="Amit Singh"/>
    <s v="19/05/2020"/>
    <s v="Order"/>
    <s v="21&quot; LCD Display"/>
    <s v="Monitor"/>
    <s v="Dell"/>
    <n v="10500"/>
    <n v="13650"/>
    <n v="3"/>
    <n v="31500"/>
    <n v="40950"/>
    <s v="Advika Joshi"/>
    <n v="9750"/>
  </r>
  <r>
    <s v="140451"/>
    <s v="GJ"/>
    <s v="Vinod Mehta"/>
    <s v="19/05/2020"/>
    <s v="Processing"/>
    <s v="33 TB HDD"/>
    <s v="HDD"/>
    <s v="Western Digital"/>
    <n v="6500"/>
    <n v="8450"/>
    <n v="1"/>
    <n v="6500"/>
    <n v="8450"/>
    <s v="Ajay Sharma"/>
    <n v="39000"/>
  </r>
  <r>
    <s v="140452"/>
    <s v="GJ"/>
    <s v="Jignesh Mhatre"/>
    <s v="19/05/2020"/>
    <s v="Delivered"/>
    <s v="288 GB SSD"/>
    <s v="SSD"/>
    <s v="Samsung"/>
    <n v="4500"/>
    <n v="5850"/>
    <n v="4"/>
    <n v="18000"/>
    <n v="23400"/>
    <s v="Roshan Kumar"/>
    <n v="8450"/>
  </r>
  <r>
    <s v="140453"/>
    <s v="GJ"/>
    <s v="Rahul Kashyap"/>
    <s v="19/05/2020"/>
    <s v="Shipped"/>
    <s v="Intel i3 11th gen."/>
    <s v="CPU"/>
    <s v="Intel"/>
    <n v="8500"/>
    <n v="11050"/>
    <n v="2"/>
    <n v="17000"/>
    <n v="22100"/>
    <s v="Aarvi Gupta"/>
    <n v="33150"/>
  </r>
  <r>
    <s v="140454"/>
    <s v="GJ"/>
    <s v="Mohammed Abdul Kaleem"/>
    <s v="19/05/2020"/>
    <s v="Order"/>
    <s v="4GB Graphic card"/>
    <s v="Graphic Card"/>
    <s v="Nvidia"/>
    <n v="12500"/>
    <n v="16250"/>
    <n v="2"/>
    <n v="25000"/>
    <n v="32500"/>
    <s v="Vijay Singh"/>
    <n v="18200"/>
  </r>
  <r>
    <s v="140455"/>
    <s v="GJ"/>
    <s v="Chandrakant Kasbe"/>
    <s v="19/05/2020"/>
    <s v="Processing"/>
    <s v="40 GB DDR4 RAM"/>
    <s v="NIC"/>
    <s v="Hynix"/>
    <n v="3500"/>
    <n v="4550"/>
    <n v="3"/>
    <n v="10500"/>
    <n v="13650"/>
    <s v="Aadil Khan"/>
    <n v="9100"/>
  </r>
  <r>
    <s v="140456"/>
    <s v="GJ"/>
    <s v="Rohan Kale"/>
    <s v="19/05/2020"/>
    <s v="Delivered"/>
    <s v="BTX motherboard"/>
    <s v="Printer"/>
    <s v="Gigabyte"/>
    <n v="4500"/>
    <n v="5850"/>
    <n v="3"/>
    <n v="13500"/>
    <n v="17550"/>
    <s v="Advika Joshi"/>
    <n v="11700"/>
  </r>
  <r>
    <s v="140457"/>
    <s v="GJ"/>
    <s v="Aniruddha Kekapure"/>
    <s v="19/05/2020"/>
    <s v="Shipped"/>
    <s v="35 Fans Cabinet"/>
    <s v="Cabinet"/>
    <s v="Asus"/>
    <n v="2100"/>
    <n v="2730"/>
    <n v="4"/>
    <n v="8400"/>
    <n v="10920"/>
    <s v="Ajay Sharma"/>
    <n v="2990"/>
  </r>
  <r>
    <s v="140458"/>
    <s v="GJ"/>
    <s v="Aslam Raza"/>
    <s v="19/05/2020"/>
    <s v="Order"/>
    <s v="Wireless Keyboard"/>
    <s v="Keyboard"/>
    <s v="Dell"/>
    <n v="1150"/>
    <n v="1495"/>
    <n v="2"/>
    <n v="2300"/>
    <n v="2990"/>
    <s v="Roshan Kumar"/>
    <n v="3315"/>
  </r>
  <r>
    <s v="140459"/>
    <s v="GJ"/>
    <s v="Roshan Zameer"/>
    <s v="19/05/2020"/>
    <s v="Processing"/>
    <s v="USB Mouse"/>
    <s v="Mouse"/>
    <s v="Samsung"/>
    <n v="350"/>
    <n v="455"/>
    <n v="2"/>
    <n v="700"/>
    <n v="910"/>
    <s v="Aarvi Gupta"/>
    <n v="1690"/>
  </r>
  <r>
    <s v="140460"/>
    <s v="GJ"/>
    <s v="Rakesh Kumar Sharma"/>
    <s v="19/05/2020"/>
    <s v="Delivered"/>
    <s v="19&quot; LED Display"/>
    <s v="Monitor"/>
    <s v="Dell"/>
    <n v="9500"/>
    <n v="12350"/>
    <n v="4"/>
    <n v="38000"/>
    <n v="49400"/>
    <s v="Vijay Singh"/>
    <n v="9750"/>
  </r>
  <r>
    <s v="140461"/>
    <s v="GJ"/>
    <s v="Shivanand Sahani"/>
    <s v="19/05/2020"/>
    <s v="Shipped"/>
    <s v="34 TB HDD"/>
    <s v="HDD"/>
    <s v="Western Digital"/>
    <n v="10000"/>
    <n v="13000"/>
    <n v="1"/>
    <n v="10000"/>
    <n v="13000"/>
    <s v="Aadil Khan"/>
    <n v="39000"/>
  </r>
  <r>
    <s v="140462"/>
    <s v="GJ"/>
    <s v="Kunal Patra"/>
    <s v="19/05/2020"/>
    <s v="Order"/>
    <s v="544 GB M.2"/>
    <s v="SSD"/>
    <s v="Samsung"/>
    <n v="6500"/>
    <n v="8450"/>
    <n v="1"/>
    <n v="6500"/>
    <n v="8450"/>
    <s v="Advika Joshi"/>
    <n v="8450"/>
  </r>
  <r>
    <s v="140463"/>
    <s v="GJ"/>
    <s v="Bijendra"/>
    <s v="19/05/2020"/>
    <s v="Processing"/>
    <s v="RYZEN 3rd gen. 3532"/>
    <s v="CPU"/>
    <s v="Intel"/>
    <n v="8500"/>
    <n v="11050"/>
    <n v="1"/>
    <n v="8500"/>
    <n v="11050"/>
    <s v="Ajay Sharma"/>
    <n v="33150"/>
  </r>
  <r>
    <s v="140464"/>
    <s v="GJ"/>
    <s v="Kranti Bheke"/>
    <s v="19/05/2020"/>
    <s v="Delivered"/>
    <s v="2GB Graphic Card"/>
    <s v="Graphic Card"/>
    <s v="Nvidia"/>
    <n v="7000"/>
    <n v="9100"/>
    <n v="2"/>
    <n v="14000"/>
    <n v="18200"/>
    <s v="Roshan Kumar"/>
    <n v="18200"/>
  </r>
  <r>
    <s v="140465"/>
    <s v="GJ"/>
    <s v="Jagdeep"/>
    <s v="19/05/2020"/>
    <s v="Shipped"/>
    <s v="48 GB DDR4 RAM"/>
    <s v="NIC"/>
    <s v="Hynix"/>
    <n v="6550"/>
    <n v="8515"/>
    <n v="2"/>
    <n v="13100"/>
    <n v="17030"/>
    <s v="Aarvi Gupta"/>
    <n v="9100"/>
  </r>
  <r>
    <s v="140466"/>
    <s v="GJ"/>
    <s v="Adhir Samal"/>
    <s v="19/05/2020"/>
    <s v="Order"/>
    <s v="Standard ATX motherboard"/>
    <s v="Printer"/>
    <s v="Gigabyte"/>
    <n v="7650"/>
    <n v="9945"/>
    <n v="3"/>
    <n v="22950"/>
    <n v="29835"/>
    <s v="Vijay Singh"/>
    <n v="11700"/>
  </r>
  <r>
    <s v="140467"/>
    <s v="GJ"/>
    <s v="Dannana Jhammi"/>
    <s v="19/05/2020"/>
    <s v="Processing"/>
    <s v="Compact with 1 Fan"/>
    <s v="Cabinet"/>
    <s v="Asus"/>
    <n v="1150"/>
    <n v="1495"/>
    <n v="4"/>
    <n v="4600"/>
    <n v="5980"/>
    <s v="Aadil Khan"/>
    <n v="2990"/>
  </r>
  <r>
    <s v="140468"/>
    <s v="GJ"/>
    <s v="Vipin Kumar"/>
    <s v="19/05/2020"/>
    <s v="Delivered"/>
    <s v="USB Backlight Keyboard"/>
    <s v="Keyboard"/>
    <s v="Dell"/>
    <n v="850"/>
    <n v="1105"/>
    <n v="2"/>
    <n v="1700"/>
    <n v="2210"/>
    <s v="Advika Joshi"/>
    <n v="3315"/>
  </r>
  <r>
    <s v="140469"/>
    <s v="GJ"/>
    <s v="Ranjeet Kumar"/>
    <s v="19/05/2020"/>
    <s v="Shipped"/>
    <s v="Ergonomic Mouse"/>
    <s v="Mouse"/>
    <s v="Samsung"/>
    <n v="650"/>
    <n v="845"/>
    <n v="3"/>
    <n v="1950"/>
    <n v="2535"/>
    <s v="Ajay Sharma"/>
    <n v="1690"/>
  </r>
  <r>
    <s v="140470"/>
    <s v="GJ"/>
    <s v="Sajal Singhal"/>
    <s v="19/05/2020"/>
    <s v="Order"/>
    <s v="15&quot; LCD Dsipaly"/>
    <s v="Monitor"/>
    <s v="Dell"/>
    <n v="7500"/>
    <n v="9750"/>
    <n v="1"/>
    <n v="7500"/>
    <n v="9750"/>
    <s v="Roshan Kumar"/>
    <n v="9750"/>
  </r>
  <r>
    <s v="140471"/>
    <s v="GJ"/>
    <s v="Akhilesh Kumar"/>
    <s v="19/05/2020"/>
    <s v="Processing"/>
    <s v="34 TB HDD"/>
    <s v="HDD"/>
    <s v="Seagate"/>
    <n v="10000"/>
    <n v="13000"/>
    <n v="3"/>
    <n v="30000"/>
    <n v="39000"/>
    <s v="Aarvi Gupta"/>
    <n v="39000"/>
  </r>
  <r>
    <s v="140472"/>
    <s v="GJ"/>
    <s v="Suvankar Chakraborty"/>
    <s v="19/05/2020"/>
    <s v="Delivered"/>
    <s v="33 TB SSD"/>
    <s v="SSD"/>
    <s v="Samsung"/>
    <n v="10500"/>
    <n v="13650"/>
    <n v="1"/>
    <n v="10500"/>
    <n v="13650"/>
    <s v="Vijay Singh"/>
    <n v="8450"/>
  </r>
  <r>
    <s v="140473"/>
    <s v="GJ"/>
    <s v="Suvankar Adhikary"/>
    <s v="19/05/2020"/>
    <s v="Shipped"/>
    <s v="Intel i5 12th gen."/>
    <s v="CPU"/>
    <s v="Intel"/>
    <n v="8500"/>
    <n v="11050"/>
    <n v="2"/>
    <n v="17000"/>
    <n v="22100"/>
    <s v="Aadil Khan"/>
    <n v="33150"/>
  </r>
  <r>
    <s v="140474"/>
    <s v="GJ"/>
    <s v="Rahul Kumar Prajapati"/>
    <s v="19/05/2020"/>
    <s v="Order"/>
    <s v="2GB Graphic Card"/>
    <s v="Graphic Card"/>
    <s v="Nvidia"/>
    <n v="7000"/>
    <n v="9100"/>
    <n v="4"/>
    <n v="28000"/>
    <n v="36400"/>
    <s v="Advika Joshi"/>
    <n v="18200"/>
  </r>
  <r>
    <s v="140475"/>
    <s v="GJ"/>
    <s v="Sagar Jeur"/>
    <s v="19/05/2020"/>
    <s v="Processing"/>
    <s v="36 GB DDR4 Ram"/>
    <s v="NIC"/>
    <s v="Hynix"/>
    <n v="1680"/>
    <n v="2184"/>
    <n v="2"/>
    <n v="3360"/>
    <n v="4368"/>
    <s v="Ajay Sharma"/>
    <n v="9100"/>
  </r>
  <r>
    <s v="140476"/>
    <s v="GJ"/>
    <s v="Rhushikesh Mane"/>
    <s v="19/05/2020"/>
    <s v="Delivered"/>
    <s v="Micro ATX motherboard"/>
    <s v="Printer"/>
    <s v="MSI"/>
    <n v="6540"/>
    <n v="8502"/>
    <n v="3"/>
    <n v="19620"/>
    <n v="25506"/>
    <s v="Roshan Kumar"/>
    <n v="11700"/>
  </r>
  <r>
    <s v="140477"/>
    <s v="GJ"/>
    <s v="Ashish Kumar"/>
    <s v="19/05/2020"/>
    <s v="Shipped"/>
    <s v="Gaming Box Cabinet"/>
    <s v="Cabinet"/>
    <s v="Asus"/>
    <n v="2680"/>
    <n v="3484"/>
    <n v="1"/>
    <n v="2680"/>
    <n v="3484"/>
    <s v="Aarvi Gupta"/>
    <n v="2990"/>
  </r>
  <r>
    <s v="140478"/>
    <s v="GJ"/>
    <s v="Javed Akhter"/>
    <s v="19/05/2020"/>
    <s v="Order"/>
    <s v="17&quot; LCD Display"/>
    <s v="Monitor"/>
    <s v="Samsung"/>
    <n v="8250"/>
    <n v="10725"/>
    <n v="2"/>
    <n v="16500"/>
    <n v="21450"/>
    <s v="Vijay Singh"/>
    <n v="9750"/>
  </r>
  <r>
    <s v="140479"/>
    <s v="GJ"/>
    <s v="Haridas Balraj"/>
    <s v="19/05/2020"/>
    <s v="Processing"/>
    <s v="40 GB DDR4 RAM"/>
    <s v="RAM"/>
    <s v="Samsung"/>
    <n v="2650"/>
    <n v="3445"/>
    <n v="1"/>
    <n v="2650"/>
    <n v="3445"/>
    <s v="Aadil Khan"/>
    <n v="25545"/>
  </r>
  <r>
    <s v="140480"/>
    <s v="GJ"/>
    <s v="Kundan Kumar"/>
    <s v="19/05/2020"/>
    <s v="Delivered"/>
    <s v="26&quot; LCD Display"/>
    <s v="Monitor"/>
    <s v="Acer"/>
    <n v="12550"/>
    <n v="16315"/>
    <n v="3"/>
    <n v="37650"/>
    <n v="48945"/>
    <s v="Advika Joshi"/>
    <n v="9750"/>
  </r>
  <r>
    <s v="140481"/>
    <s v="GJ"/>
    <s v="Atif Siddiqui"/>
    <s v="20/05/2020"/>
    <s v="Shipped"/>
    <s v="I7 - intel 12th Generation"/>
    <s v="CPU"/>
    <s v="Intel"/>
    <n v="14500"/>
    <n v="18850"/>
    <n v="2"/>
    <n v="29000"/>
    <n v="37700"/>
    <s v="Ajay Sharma"/>
    <n v="33150"/>
  </r>
  <r>
    <s v="140482"/>
    <s v="GJ"/>
    <s v="Aditya Agarwal"/>
    <s v="21/05/2020"/>
    <s v="Order"/>
    <s v="USB Keyboard"/>
    <s v="Keyboard"/>
    <s v="Dell"/>
    <n v="800"/>
    <n v="1040"/>
    <n v="3"/>
    <n v="2400"/>
    <n v="3120"/>
    <s v="Roshan Kumar"/>
    <n v="3315"/>
  </r>
  <r>
    <s v="140483"/>
    <s v="GJ"/>
    <s v="Firdoush Jabee"/>
    <s v="22/05/2020"/>
    <s v="Processing"/>
    <s v="Wireless Mouse"/>
    <s v="Mouse"/>
    <s v="Samsung"/>
    <n v="600"/>
    <n v="780"/>
    <n v="4"/>
    <n v="2400"/>
    <n v="3120"/>
    <s v="Aarvi Gupta"/>
    <n v="1690"/>
  </r>
  <r>
    <s v="140484"/>
    <s v="GJ"/>
    <s v="Jay Prakash Kumar"/>
    <s v="23/05/2020"/>
    <s v="Delivered"/>
    <s v="21&quot; LCD Display"/>
    <s v="Monitor"/>
    <s v="Dell"/>
    <n v="10500"/>
    <n v="13650"/>
    <n v="4"/>
    <n v="42000"/>
    <n v="54600"/>
    <s v="Vijay Singh"/>
    <n v="9750"/>
  </r>
  <r>
    <s v="140485"/>
    <s v="GJ"/>
    <s v="Ashish Pandey"/>
    <s v="24/05/2020"/>
    <s v="Shipped"/>
    <s v="34 TB HDD"/>
    <s v="HDD"/>
    <s v="Western Digital"/>
    <n v="6500"/>
    <n v="8450"/>
    <n v="4"/>
    <n v="26000"/>
    <n v="33800"/>
    <s v="Aadil Khan"/>
    <n v="39000"/>
  </r>
  <r>
    <s v="140486"/>
    <s v="GJ"/>
    <s v="Ajay Sharma"/>
    <s v="24/05/2020"/>
    <s v="Order"/>
    <s v="289 GB SSD"/>
    <s v="SSD"/>
    <s v="Samsung"/>
    <n v="4500"/>
    <n v="5850"/>
    <n v="4"/>
    <n v="18000"/>
    <n v="23400"/>
    <s v="Advika Joshi"/>
    <n v="8450"/>
  </r>
  <r>
    <s v="140487"/>
    <s v="GJ"/>
    <s v="Moinuddin Saifi"/>
    <s v="24/05/2020"/>
    <s v="Processing"/>
    <s v="Intel i3 11th gen."/>
    <s v="CPU"/>
    <s v="Intel"/>
    <n v="8500"/>
    <n v="11050"/>
    <n v="2"/>
    <n v="17000"/>
    <n v="22100"/>
    <s v="Ajay Sharma"/>
    <n v="33150"/>
  </r>
  <r>
    <s v="140488"/>
    <s v="GJ"/>
    <s v="Ramkrishna Das Adhikary"/>
    <s v="24/05/2020"/>
    <s v="Delivered"/>
    <s v="4GB Graphic card"/>
    <s v="Graphic Card"/>
    <s v="Nvidia"/>
    <n v="12500"/>
    <n v="16250"/>
    <n v="1"/>
    <n v="12500"/>
    <n v="16250"/>
    <s v="Roshan Kumar"/>
    <n v="18200"/>
  </r>
  <r>
    <s v="140489"/>
    <s v="GJ"/>
    <s v="Ranjeet Mandal"/>
    <s v="24/05/2020"/>
    <s v="Shipped"/>
    <s v="41 GB DDR4 RAM"/>
    <s v="RAM"/>
    <s v="Hynix"/>
    <n v="3500"/>
    <n v="4550"/>
    <n v="3"/>
    <n v="10500"/>
    <n v="13650"/>
    <s v="Aarvi Gupta"/>
    <n v="25545"/>
  </r>
  <r>
    <s v="140490"/>
    <s v="GJ"/>
    <s v="Ashwini Adsare"/>
    <s v="24/05/2020"/>
    <s v="Order"/>
    <s v="BTX motherboard"/>
    <s v="MotherBoard"/>
    <s v="Gigabyte"/>
    <n v="4500"/>
    <n v="5850"/>
    <n v="2"/>
    <n v="9000"/>
    <n v="11700"/>
    <s v="Vijay Singh"/>
    <n v="39780"/>
  </r>
  <r>
    <s v="140491"/>
    <s v="GJ"/>
    <s v="Rajesh Variya"/>
    <s v="24/05/2020"/>
    <s v="Processing"/>
    <s v="36 Fans Cabinet"/>
    <s v="Cabinet"/>
    <s v="Asus"/>
    <n v="2100"/>
    <n v="2730"/>
    <n v="1"/>
    <n v="2100"/>
    <n v="2730"/>
    <s v="Aadil Khan"/>
    <n v="2990"/>
  </r>
  <r>
    <s v="140492"/>
    <s v="GJ"/>
    <s v="Amit Singh"/>
    <s v="24/05/2020"/>
    <s v="Delivered"/>
    <s v="Wireless Keyboard"/>
    <s v="Keyboard"/>
    <s v="Dell"/>
    <n v="1150"/>
    <n v="1495"/>
    <n v="4"/>
    <n v="4600"/>
    <n v="5980"/>
    <s v="Advika Joshi"/>
    <n v="3315"/>
  </r>
  <r>
    <s v="140493"/>
    <s v="GJ"/>
    <s v="Vinod Mehta"/>
    <s v="24/05/2020"/>
    <s v="Shipped"/>
    <s v="USB Mouse"/>
    <s v="Mouse"/>
    <s v="Samsung"/>
    <n v="350"/>
    <n v="455"/>
    <n v="4"/>
    <n v="1400"/>
    <n v="1820"/>
    <s v="Ajay Sharma"/>
    <n v="1690"/>
  </r>
  <r>
    <s v="140494"/>
    <s v="GJ"/>
    <s v="Jignesh Mhatre"/>
    <s v="24/05/2020"/>
    <s v="Order"/>
    <s v="19&quot; LED Display"/>
    <s v="Monitor"/>
    <s v="Dell"/>
    <n v="9500"/>
    <n v="12350"/>
    <n v="1"/>
    <n v="9500"/>
    <n v="12350"/>
    <s v="Roshan Kumar"/>
    <n v="9750"/>
  </r>
  <r>
    <s v="140495"/>
    <s v="GJ"/>
    <s v="Rahul Kashyap"/>
    <s v="24/05/2020"/>
    <s v="Processing"/>
    <s v="35 TB HDD"/>
    <s v="HDD"/>
    <s v="Western Digital"/>
    <n v="10000"/>
    <n v="13000"/>
    <n v="3"/>
    <n v="30000"/>
    <n v="39000"/>
    <s v="Aarvi Gupta"/>
    <n v="39000"/>
  </r>
  <r>
    <s v="140496"/>
    <s v="GJ"/>
    <s v="Mohammed Abdul Kaleem"/>
    <s v="24/05/2020"/>
    <s v="Delivered"/>
    <s v="545 GB M.2"/>
    <s v="SSD"/>
    <s v="Samsung"/>
    <n v="6500"/>
    <n v="8450"/>
    <n v="3"/>
    <n v="19500"/>
    <n v="25350"/>
    <s v="Vijay Singh"/>
    <n v="8450"/>
  </r>
  <r>
    <s v="140497"/>
    <s v="GJ"/>
    <s v="Chandrakant Kasbe"/>
    <s v="24/05/2020"/>
    <s v="Shipped"/>
    <s v="RYZEN 3rd gen. 3533"/>
    <s v="CPU"/>
    <s v="Intel"/>
    <n v="8500"/>
    <n v="11050"/>
    <n v="3"/>
    <n v="25500"/>
    <n v="33150"/>
    <s v="Aadil Khan"/>
    <n v="33150"/>
  </r>
  <r>
    <s v="140498"/>
    <s v="GJ"/>
    <s v="Rohan Kale"/>
    <s v="24/05/2020"/>
    <s v="Order"/>
    <s v="2GB Graphic Card"/>
    <s v="Graphic Card"/>
    <s v="Nvidia"/>
    <n v="7000"/>
    <n v="9100"/>
    <n v="3"/>
    <n v="21000"/>
    <n v="27300"/>
    <s v="Advika Joshi"/>
    <n v="18200"/>
  </r>
  <r>
    <s v="140499"/>
    <s v="GJ"/>
    <s v="Aniruddha Kekapure"/>
    <s v="25/05/2020"/>
    <s v="Processing"/>
    <s v="49 GB DDR4 RAM"/>
    <s v="RAM"/>
    <s v="Hynix"/>
    <n v="6550"/>
    <n v="8515"/>
    <n v="3"/>
    <n v="19650"/>
    <n v="25545"/>
    <s v="Ajay Sharma"/>
    <n v="25545"/>
  </r>
  <r>
    <s v="140500"/>
    <s v="GJ"/>
    <s v="Aslam Raza"/>
    <s v="26/05/2020"/>
    <s v="Delivered"/>
    <s v="Standard ATX motherboard"/>
    <s v="MotherBoard"/>
    <s v="Gigabyte"/>
    <n v="7650"/>
    <n v="9945"/>
    <n v="1"/>
    <n v="7650"/>
    <n v="9945"/>
    <s v="Roshan Kumar"/>
    <n v="39780"/>
  </r>
  <r>
    <s v="140501"/>
    <s v="GJ"/>
    <s v="Roshan Zameer"/>
    <s v="27/05/2020"/>
    <s v="Shipped"/>
    <s v="Compact with 1 Fan"/>
    <s v="Cabinet"/>
    <s v="Asus"/>
    <n v="1150"/>
    <n v="1495"/>
    <n v="2"/>
    <n v="2300"/>
    <n v="2990"/>
    <s v="Aarvi Gupta"/>
    <n v="2990"/>
  </r>
  <r>
    <s v="140502"/>
    <s v="GJ"/>
    <s v="Rakesh Kumar Sharma"/>
    <s v="27/05/2020"/>
    <s v="Order"/>
    <s v="USB Backlight Keyboard"/>
    <s v="Keyboard"/>
    <s v="Dell"/>
    <n v="850"/>
    <n v="1105"/>
    <n v="4"/>
    <n v="3400"/>
    <n v="4420"/>
    <s v="Vijay Singh"/>
    <n v="3315"/>
  </r>
  <r>
    <s v="140503"/>
    <s v="GJ"/>
    <s v="Shivanand Sahani"/>
    <s v="27/05/2020"/>
    <s v="Processing"/>
    <s v="Ergonomic Mouse"/>
    <s v="Mouse"/>
    <s v="Samsung"/>
    <n v="650"/>
    <n v="845"/>
    <n v="2"/>
    <n v="1300"/>
    <n v="1690"/>
    <s v="Aadil Khan"/>
    <n v="1690"/>
  </r>
  <r>
    <s v="140504"/>
    <s v="GJ"/>
    <s v="Kunal Patra"/>
    <s v="27/05/2020"/>
    <s v="Delivered"/>
    <s v="15&quot; LCD Dsipaly"/>
    <s v="Monitor"/>
    <s v="Dell"/>
    <n v="7500"/>
    <n v="9750"/>
    <n v="2"/>
    <n v="15000"/>
    <n v="19500"/>
    <s v="Advika Joshi"/>
    <n v="9750"/>
  </r>
  <r>
    <s v="140505"/>
    <s v="GJ"/>
    <s v="Bijendra"/>
    <s v="27/05/2020"/>
    <s v="Shipped"/>
    <s v="35 TB HDD"/>
    <s v="HDD"/>
    <s v="Seagate"/>
    <n v="10000"/>
    <n v="13000"/>
    <n v="2"/>
    <n v="20000"/>
    <n v="26000"/>
    <s v="Ajay Sharma"/>
    <n v="39000"/>
  </r>
  <r>
    <s v="140506"/>
    <s v="GJ"/>
    <s v="Kranti Bheke"/>
    <s v="27/05/2020"/>
    <s v="Order"/>
    <s v="34 TB SSD"/>
    <s v="SSD"/>
    <s v="Samsung"/>
    <n v="10500"/>
    <n v="13650"/>
    <n v="3"/>
    <n v="31500"/>
    <n v="40950"/>
    <s v="Roshan Kumar"/>
    <n v="8450"/>
  </r>
  <r>
    <s v="140507"/>
    <s v="GJ"/>
    <s v="Jagdeep"/>
    <s v="27/05/2020"/>
    <s v="Processing"/>
    <s v="Intel i5 12th gen."/>
    <s v="CPU"/>
    <s v="Intel"/>
    <n v="8500"/>
    <n v="11050"/>
    <n v="4"/>
    <n v="34000"/>
    <n v="44200"/>
    <s v="Aarvi Gupta"/>
    <n v="33150"/>
  </r>
  <r>
    <s v="140508"/>
    <s v="GJ"/>
    <s v="Adhir Samal"/>
    <s v="27/05/2020"/>
    <s v="Delivered"/>
    <s v="2GB Graphic Card"/>
    <s v="Graphic Card"/>
    <s v="Nvidia"/>
    <n v="7000"/>
    <n v="9100"/>
    <n v="3"/>
    <n v="21000"/>
    <n v="27300"/>
    <s v="Vijay Singh"/>
    <n v="18200"/>
  </r>
  <r>
    <s v="140509"/>
    <s v="GJ"/>
    <s v="Dannana Jhammi"/>
    <s v="27/05/2020"/>
    <s v="Shipped"/>
    <s v="37 GB DDR4 Ram"/>
    <s v="RAM"/>
    <s v="Hynix"/>
    <n v="1680"/>
    <n v="2184"/>
    <n v="4"/>
    <n v="6720"/>
    <n v="8736"/>
    <s v="Aadil Khan"/>
    <n v="25545"/>
  </r>
  <r>
    <s v="140510"/>
    <s v="GJ"/>
    <s v="Vipin Kumar"/>
    <s v="27/05/2020"/>
    <s v="Order"/>
    <s v="Micro ATX motherboard"/>
    <s v="MotherBoard"/>
    <s v="MSI"/>
    <n v="6540"/>
    <n v="8502"/>
    <n v="2"/>
    <n v="13080"/>
    <n v="17004"/>
    <s v="Advika Joshi"/>
    <n v="39780"/>
  </r>
  <r>
    <s v="140511"/>
    <s v="GJ"/>
    <s v="Ranjeet Kumar"/>
    <s v="28/05/2020"/>
    <s v="Processing"/>
    <s v="Gaming Box Cabinet"/>
    <s v="Cabinet"/>
    <s v="Asus"/>
    <n v="2680"/>
    <n v="3484"/>
    <n v="4"/>
    <n v="10720"/>
    <n v="13936"/>
    <s v="Ajay Sharma"/>
    <n v="2990"/>
  </r>
  <r>
    <s v="140512"/>
    <s v="GJ"/>
    <s v="Sajal Singhal"/>
    <s v="29/05/2020"/>
    <s v="Delivered"/>
    <s v="17&quot; LCD Display"/>
    <s v="Monitor"/>
    <s v="Samsung"/>
    <n v="8250"/>
    <n v="10725"/>
    <n v="3"/>
    <n v="24750"/>
    <n v="32175"/>
    <s v="Roshan Kumar"/>
    <n v="9750"/>
  </r>
  <r>
    <s v="140513"/>
    <s v="GJ"/>
    <s v="Akhilesh Kumar"/>
    <s v="30/05/2020"/>
    <s v="Shipped"/>
    <s v="41 GB DDR4 RAM"/>
    <s v="RAM"/>
    <s v="Samsung"/>
    <n v="2650"/>
    <n v="3445"/>
    <n v="4"/>
    <n v="10600"/>
    <n v="13780"/>
    <s v="Aarvi Gupta"/>
    <n v="25545"/>
  </r>
  <r>
    <s v="140514"/>
    <s v="GJ"/>
    <s v="Suvankar Chakraborty"/>
    <s v="31/05/2020"/>
    <s v="Order"/>
    <s v="26&quot; LCD Display"/>
    <s v="Monitor"/>
    <s v="Acer"/>
    <n v="12550"/>
    <n v="16315"/>
    <n v="3"/>
    <n v="37650"/>
    <n v="48945"/>
    <s v="Vijay Singh"/>
    <n v="9750"/>
  </r>
  <r>
    <s v="140515"/>
    <s v="GJ"/>
    <s v="Suvankar Adhikary"/>
    <s v="01/06/2020"/>
    <s v="Processing"/>
    <s v="I7 - intel 12th Generation"/>
    <s v="CPU"/>
    <s v="Intel"/>
    <n v="14500"/>
    <n v="18850"/>
    <n v="3"/>
    <n v="43500"/>
    <n v="56550"/>
    <s v="Aadil Khan"/>
    <n v="33150"/>
  </r>
  <r>
    <s v="140516"/>
    <s v="GJ"/>
    <s v="Rahul Kumar Prajapati"/>
    <s v="02/06/2020"/>
    <s v="Delivered"/>
    <s v="USB Keyboard"/>
    <s v="Keyboard"/>
    <s v="Dell"/>
    <n v="800"/>
    <n v="1040"/>
    <n v="3"/>
    <n v="2400"/>
    <n v="3120"/>
    <s v="Advika Joshi"/>
    <n v="3315"/>
  </r>
  <r>
    <s v="140517"/>
    <s v="GJ"/>
    <s v="Sagar Jeur"/>
    <s v="03/06/2020"/>
    <s v="Shipped"/>
    <s v="Wireless Mouse"/>
    <s v="Mouse"/>
    <s v="Samsung"/>
    <n v="600"/>
    <n v="780"/>
    <n v="2"/>
    <n v="1200"/>
    <n v="1560"/>
    <s v="Ajay Sharma"/>
    <n v="1690"/>
  </r>
  <r>
    <s v="140518"/>
    <s v="GJ"/>
    <s v="Rhushikesh Mane"/>
    <s v="04/06/2020"/>
    <s v="Order"/>
    <s v="21&quot; LCD Display"/>
    <s v="Monitor"/>
    <s v="Dell"/>
    <n v="10500"/>
    <n v="13650"/>
    <n v="1"/>
    <n v="10500"/>
    <n v="13650"/>
    <s v="Ajay Sharma"/>
    <n v="9750"/>
  </r>
  <r>
    <s v="140519"/>
    <s v="GJ"/>
    <s v="Ashish Kumar"/>
    <s v="05/06/2020"/>
    <s v="Processing"/>
    <s v="35 TB HDD"/>
    <s v="HDD"/>
    <s v="Western Digital"/>
    <n v="6500"/>
    <n v="8450"/>
    <n v="3"/>
    <n v="19500"/>
    <n v="25350"/>
    <s v="Roshan Kumar"/>
    <n v="39000"/>
  </r>
  <r>
    <s v="140520"/>
    <s v="GJ"/>
    <s v="Javed Akhter"/>
    <s v="06/06/2020"/>
    <s v="Delivered"/>
    <s v="290 GB SSD"/>
    <s v="SSD"/>
    <s v="Samsung"/>
    <n v="4500"/>
    <n v="5850"/>
    <n v="3"/>
    <n v="13500"/>
    <n v="17550"/>
    <s v="Aarvi Gupta"/>
    <n v="8450"/>
  </r>
  <r>
    <s v="140521"/>
    <s v="GJ"/>
    <s v="Haridas Balraj"/>
    <s v="07/06/2020"/>
    <s v="Shipped"/>
    <s v="Intel i3 11th gen."/>
    <s v="CPU"/>
    <s v="Intel"/>
    <n v="8500"/>
    <n v="11050"/>
    <n v="2"/>
    <n v="17000"/>
    <n v="22100"/>
    <s v="Vijay Singh"/>
    <n v="33150"/>
  </r>
  <r>
    <s v="140522"/>
    <s v="GJ"/>
    <s v="Kundan Kumar"/>
    <s v="08/06/2020"/>
    <s v="Order"/>
    <s v="4GB Graphic card"/>
    <s v="Graphic Card"/>
    <s v="Nvidia"/>
    <n v="12500"/>
    <n v="16250"/>
    <n v="4"/>
    <n v="50000"/>
    <n v="65000"/>
    <s v="Aadil Khan"/>
    <n v="18200"/>
  </r>
  <r>
    <s v="140523"/>
    <s v="GJ"/>
    <s v="Atif Siddiqui"/>
    <s v="09/06/2020"/>
    <s v="Processing"/>
    <s v="42 GB DDR4 RAM"/>
    <s v="Computer Case"/>
    <s v="Hynix"/>
    <n v="3500"/>
    <n v="4550"/>
    <n v="2"/>
    <n v="7000"/>
    <n v="9100"/>
    <s v="Advika Joshi"/>
    <n v="13650"/>
  </r>
  <r>
    <s v="140524"/>
    <s v="GJ"/>
    <s v="Aditya Agarwal"/>
    <s v="10/06/2020"/>
    <s v="Delivered"/>
    <s v="BTX motherboard"/>
    <s v="Mouse"/>
    <s v="Gigabyte"/>
    <n v="4500"/>
    <n v="5850"/>
    <n v="3"/>
    <n v="13500"/>
    <n v="17550"/>
    <s v="Ajay Sharma"/>
    <n v="1690"/>
  </r>
  <r>
    <s v="140525"/>
    <s v="GJ"/>
    <s v="Firdoush Jabee"/>
    <s v="11/06/2020"/>
    <s v="Shipped"/>
    <s v="37 Fans Cabinet"/>
    <s v="Cabinet"/>
    <s v="Asus"/>
    <n v="2100"/>
    <n v="2730"/>
    <n v="4"/>
    <n v="8400"/>
    <n v="10920"/>
    <s v="Roshan Kumar"/>
    <n v="2990"/>
  </r>
  <r>
    <s v="140526"/>
    <s v="GJ"/>
    <s v="Jay Prakash Kumar"/>
    <s v="12/06/2020"/>
    <s v="Order"/>
    <s v="Wireless Keyboard"/>
    <s v="Keyboard"/>
    <s v="Dell"/>
    <n v="1150"/>
    <n v="1495"/>
    <n v="3"/>
    <n v="3450"/>
    <n v="4485"/>
    <s v="Aarvi Gupta"/>
    <n v="3315"/>
  </r>
  <r>
    <s v="140527"/>
    <s v="GJ"/>
    <s v="Ashish Pandey"/>
    <s v="13/06/2020"/>
    <s v="Processing"/>
    <s v="USB Mouse"/>
    <s v="Mouse"/>
    <s v="Samsung"/>
    <n v="350"/>
    <n v="455"/>
    <n v="1"/>
    <n v="350"/>
    <n v="455"/>
    <s v="Vijay Singh"/>
    <n v="1690"/>
  </r>
  <r>
    <s v="140528"/>
    <s v="GJ"/>
    <s v="Ajay Sharma"/>
    <s v="14/06/2020"/>
    <s v="Delivered"/>
    <s v="19&quot; LED Display"/>
    <s v="Monitor"/>
    <s v="Dell"/>
    <n v="9500"/>
    <n v="12350"/>
    <n v="1"/>
    <n v="9500"/>
    <n v="12350"/>
    <s v="Aadil Khan"/>
    <n v="9750"/>
  </r>
  <r>
    <s v="140529"/>
    <s v="GJ"/>
    <s v="Moinuddin Saifi"/>
    <s v="15/06/2020"/>
    <s v="Shipped"/>
    <s v="36 TB HDD"/>
    <s v="HDD"/>
    <s v="Western Digital"/>
    <n v="10000"/>
    <n v="13000"/>
    <n v="4"/>
    <n v="40000"/>
    <n v="52000"/>
    <s v="Advika Joshi"/>
    <n v="39000"/>
  </r>
  <r>
    <s v="140530"/>
    <s v="GJ"/>
    <s v="Ramkrishna Das Adhikary"/>
    <s v="16/06/2020"/>
    <s v="Order"/>
    <s v="546 GB M.2"/>
    <s v="SSD"/>
    <s v="Samsung"/>
    <n v="6500"/>
    <n v="8450"/>
    <n v="2"/>
    <n v="13000"/>
    <n v="16900"/>
    <s v="Ajay Sharma"/>
    <n v="8450"/>
  </r>
  <r>
    <s v="140531"/>
    <s v="GJ"/>
    <s v="Ranjeet Mandal"/>
    <s v="17/06/2020"/>
    <s v="Processing"/>
    <s v="RYZEN 3rd gen. 3534"/>
    <s v="CPU"/>
    <s v="Intel"/>
    <n v="8500"/>
    <n v="11050"/>
    <n v="3"/>
    <n v="25500"/>
    <n v="33150"/>
    <s v="Roshan Kumar"/>
    <n v="33150"/>
  </r>
  <r>
    <s v="140532"/>
    <s v="GJ"/>
    <s v="Ashwini Adsare"/>
    <s v="18/06/2020"/>
    <s v="Delivered"/>
    <s v="2GB Graphic Card"/>
    <s v="Graphic Card"/>
    <s v="Nvidia"/>
    <n v="7000"/>
    <n v="9100"/>
    <n v="2"/>
    <n v="14000"/>
    <n v="18200"/>
    <s v="Aarvi Gupta"/>
    <n v="18200"/>
  </r>
  <r>
    <s v="140533"/>
    <s v="GJ"/>
    <s v="Rajesh Variya"/>
    <s v="19/06/2020"/>
    <s v="Shipped"/>
    <s v="50 GB DDR4 RAM"/>
    <s v="Computer Case"/>
    <s v="Hynix"/>
    <n v="6550"/>
    <n v="8515"/>
    <n v="3"/>
    <n v="19650"/>
    <n v="25545"/>
    <s v="Vijay Singh"/>
    <n v="13650"/>
  </r>
  <r>
    <s v="140534"/>
    <s v="GJ"/>
    <s v="Amit Singh"/>
    <s v="20/06/2020"/>
    <s v="Order"/>
    <s v="Standard ATX motherboard"/>
    <s v="Mouse"/>
    <s v="Gigabyte"/>
    <n v="7650"/>
    <n v="9945"/>
    <n v="3"/>
    <n v="22950"/>
    <n v="29835"/>
    <s v="Aadil Khan"/>
    <n v="1690"/>
  </r>
  <r>
    <s v="140535"/>
    <s v="GJ"/>
    <s v="Vinod Mehta"/>
    <s v="20/06/2020"/>
    <s v="Processing"/>
    <s v="Compact with 1 Fan"/>
    <s v="Cabinet"/>
    <s v="Asus"/>
    <n v="1150"/>
    <n v="1495"/>
    <n v="1"/>
    <n v="1150"/>
    <n v="1495"/>
    <s v="Advika Joshi"/>
    <n v="2990"/>
  </r>
  <r>
    <s v="140536"/>
    <s v="GJ"/>
    <s v="Jignesh Mhatre"/>
    <s v="20/06/2020"/>
    <s v="Delivered"/>
    <s v="USB Backlight Keyboard"/>
    <s v="Keyboard"/>
    <s v="Dell"/>
    <n v="850"/>
    <n v="1105"/>
    <n v="1"/>
    <n v="850"/>
    <n v="1105"/>
    <s v="Ajay Sharma"/>
    <n v="3315"/>
  </r>
  <r>
    <s v="140537"/>
    <s v="GJ"/>
    <s v="Rahul Kashyap"/>
    <s v="20/06/2020"/>
    <s v="Shipped"/>
    <s v="Ergonomic Mouse"/>
    <s v="Mouse"/>
    <s v="Samsung"/>
    <n v="650"/>
    <n v="845"/>
    <n v="4"/>
    <n v="2600"/>
    <n v="3380"/>
    <s v="Roshan Kumar"/>
    <n v="1690"/>
  </r>
  <r>
    <s v="140538"/>
    <s v="GJ"/>
    <s v="Mohammed Abdul Kaleem"/>
    <s v="20/06/2020"/>
    <s v="Order"/>
    <s v="15&quot; LCD Dsipaly"/>
    <s v="Monitor"/>
    <s v="Dell"/>
    <n v="7500"/>
    <n v="9750"/>
    <n v="3"/>
    <n v="22500"/>
    <n v="29250"/>
    <s v="Aarvi Gupta"/>
    <n v="9750"/>
  </r>
  <r>
    <s v="140539"/>
    <s v="GJ"/>
    <s v="Chandrakant Kasbe"/>
    <s v="20/06/2020"/>
    <s v="Processing"/>
    <s v="36 TB HDD"/>
    <s v="HDD"/>
    <s v="Seagate"/>
    <n v="10000"/>
    <n v="13000"/>
    <n v="2"/>
    <n v="20000"/>
    <n v="26000"/>
    <s v="Vijay Singh"/>
    <n v="39000"/>
  </r>
  <r>
    <s v="140540"/>
    <s v="GJ"/>
    <s v="Rohan Kale"/>
    <s v="20/06/2020"/>
    <s v="Delivered"/>
    <s v="35 TB SSD"/>
    <s v="SSD"/>
    <s v="Samsung"/>
    <n v="10500"/>
    <n v="13650"/>
    <n v="2"/>
    <n v="21000"/>
    <n v="27300"/>
    <s v="Aadil Khan"/>
    <n v="8450"/>
  </r>
  <r>
    <s v="140541"/>
    <s v="GJ"/>
    <s v="Aniruddha Kekapure"/>
    <s v="21/06/2020"/>
    <s v="Shipped"/>
    <s v="Intel i5 12th gen."/>
    <s v="CPU"/>
    <s v="Intel"/>
    <n v="8500"/>
    <n v="11050"/>
    <n v="2"/>
    <n v="17000"/>
    <n v="22100"/>
    <s v="Advika Joshi"/>
    <n v="33150"/>
  </r>
  <r>
    <s v="140542"/>
    <s v="GJ"/>
    <s v="Aslam Raza"/>
    <s v="22/06/2020"/>
    <s v="Order"/>
    <s v="2GB Graphic Card"/>
    <s v="Graphic Card"/>
    <s v="Nvidia"/>
    <n v="7000"/>
    <n v="9100"/>
    <n v="1"/>
    <n v="7000"/>
    <n v="9100"/>
    <s v="Ajay Sharma"/>
    <n v="18200"/>
  </r>
  <r>
    <s v="140543"/>
    <s v="GJ"/>
    <s v="Roshan Zameer"/>
    <s v="23/06/2020"/>
    <s v="Processing"/>
    <s v="38 GB DDR4 Ram"/>
    <s v="Computer Case"/>
    <s v="Hynix"/>
    <n v="1680"/>
    <n v="2184"/>
    <n v="4"/>
    <n v="6720"/>
    <n v="8736"/>
    <s v="Roshan Kumar"/>
    <n v="13650"/>
  </r>
  <r>
    <s v="140544"/>
    <s v="UK"/>
    <s v="Rakesh Kumar Sharma"/>
    <s v="24/06/2020"/>
    <s v="Delivered"/>
    <s v="Micro ATX motherboard"/>
    <s v="Mouse"/>
    <s v="MSI"/>
    <n v="6540"/>
    <n v="8502"/>
    <n v="4"/>
    <n v="26160"/>
    <n v="34008"/>
    <s v="Aarvi Gupta"/>
    <n v="1690"/>
  </r>
  <r>
    <s v="140545"/>
    <s v="UP"/>
    <s v="Shivanand Sahani"/>
    <s v="25/06/2020"/>
    <s v="Shipped"/>
    <s v="Gaming Box Cabinet"/>
    <s v="Cabinet"/>
    <s v="Asus"/>
    <n v="2680"/>
    <n v="3484"/>
    <n v="3"/>
    <n v="8040"/>
    <n v="10452"/>
    <s v="Vijay Singh"/>
    <n v="2990"/>
  </r>
  <r>
    <s v="140546"/>
    <s v="WB"/>
    <s v="Kunal Patra"/>
    <s v="26/06/2020"/>
    <s v="Order"/>
    <s v="17&quot; LCD Display"/>
    <s v="Monitor"/>
    <s v="Samsung"/>
    <n v="8250"/>
    <n v="10725"/>
    <n v="1"/>
    <n v="8250"/>
    <n v="10725"/>
    <s v="Aadil Khan"/>
    <n v="9750"/>
  </r>
  <r>
    <s v="140547"/>
    <s v="TN"/>
    <s v="Bijendra"/>
    <s v="26/06/2020"/>
    <s v="Processing"/>
    <s v="42 GB DDR4 RAM"/>
    <s v="RAM"/>
    <s v="Samsung"/>
    <n v="2650"/>
    <n v="3445"/>
    <n v="3"/>
    <n v="7950"/>
    <n v="10335"/>
    <s v="Advika Joshi"/>
    <n v="25545"/>
  </r>
  <r>
    <s v="140548"/>
    <s v="TR"/>
    <s v="Kranti Bheke"/>
    <s v="26/06/2020"/>
    <s v="Delivered"/>
    <s v="26&quot; LCD Display"/>
    <s v="Monitor"/>
    <s v="Acer"/>
    <n v="12550"/>
    <n v="16315"/>
    <n v="2"/>
    <n v="25100"/>
    <n v="32630"/>
    <s v="Ajay Sharma"/>
    <n v="9750"/>
  </r>
  <r>
    <s v="140549"/>
    <s v="AN"/>
    <s v="Jagdeep"/>
    <s v="26/06/2020"/>
    <s v="Shipped"/>
    <s v="I7 - intel 12th Generation"/>
    <s v="CPU"/>
    <s v="Intel"/>
    <n v="14500"/>
    <n v="18850"/>
    <n v="1"/>
    <n v="14500"/>
    <n v="18850"/>
    <s v="Roshan Kumar"/>
    <n v="33150"/>
  </r>
  <r>
    <s v="140550"/>
    <s v="CH"/>
    <s v="Adhir Samal"/>
    <s v="26/06/2020"/>
    <s v="Order"/>
    <s v="USB Keyboard"/>
    <s v="Keyboard"/>
    <s v="Dell"/>
    <n v="800"/>
    <n v="1040"/>
    <n v="2"/>
    <n v="1600"/>
    <n v="2080"/>
    <s v="Aarvi Gupta"/>
    <n v="3315"/>
  </r>
  <r>
    <s v="140551"/>
    <s v="DH"/>
    <s v="Dannana Jhammi"/>
    <s v="26/06/2020"/>
    <s v="Processing"/>
    <s v="Wireless Mouse"/>
    <s v="Mouse"/>
    <s v="Samsung"/>
    <n v="600"/>
    <n v="780"/>
    <n v="1"/>
    <n v="600"/>
    <n v="780"/>
    <s v="Vijay Singh"/>
    <n v="1690"/>
  </r>
  <r>
    <s v="140552"/>
    <s v="DD"/>
    <s v="Vipin Kumar"/>
    <s v="26/06/2020"/>
    <s v="Delivered"/>
    <s v="21&quot; LCD Display"/>
    <s v="Monitor"/>
    <s v="Dell"/>
    <n v="10500"/>
    <n v="13650"/>
    <n v="2"/>
    <n v="21000"/>
    <n v="27300"/>
    <s v="Aadil Khan"/>
    <n v="9750"/>
  </r>
  <r>
    <s v="140553"/>
    <s v="DL"/>
    <s v="Ranjeet Kumar"/>
    <s v="26/06/2020"/>
    <s v="Shipped"/>
    <s v="36 TB HDD"/>
    <s v="HDD"/>
    <s v="Western Digital"/>
    <n v="6500"/>
    <n v="8450"/>
    <n v="3"/>
    <n v="19500"/>
    <n v="25350"/>
    <s v="Advika Joshi"/>
    <n v="39000"/>
  </r>
  <r>
    <s v="140554"/>
    <s v="LD"/>
    <s v="Sajal Singhal"/>
    <s v="26/06/2020"/>
    <s v="Order"/>
    <s v="291 GB SSD"/>
    <s v="SSD"/>
    <s v="Samsung"/>
    <n v="4500"/>
    <n v="5850"/>
    <n v="1"/>
    <n v="4500"/>
    <n v="5850"/>
    <s v="Ajay Sharma"/>
    <n v="8450"/>
  </r>
  <r>
    <s v="140555"/>
    <s v="PY"/>
    <s v="Akhilesh Kumar"/>
    <s v="26/06/2020"/>
    <s v="Processing"/>
    <s v="Intel i3 11th gen."/>
    <s v="CPU"/>
    <s v="Intel"/>
    <n v="8500"/>
    <n v="11050"/>
    <n v="4"/>
    <n v="34000"/>
    <n v="44200"/>
    <s v="Roshan Kumar"/>
    <n v="33150"/>
  </r>
  <r>
    <s v="140556"/>
    <s v="AP"/>
    <s v="Suvankar Chakraborty"/>
    <s v="26/06/2020"/>
    <s v="Delivered"/>
    <s v="4GB Graphic card"/>
    <s v="Graphic Card"/>
    <s v="Nvidia"/>
    <n v="12500"/>
    <n v="16250"/>
    <n v="4"/>
    <n v="50000"/>
    <n v="65000"/>
    <s v="Aarvi Gupta"/>
    <n v="18200"/>
  </r>
  <r>
    <s v="140557"/>
    <s v="AR"/>
    <s v="Suvankar Adhikary"/>
    <s v="26/06/2020"/>
    <s v="Shipped"/>
    <s v="43 GB DDR4 RAM"/>
    <s v="NIC"/>
    <s v="Hynix"/>
    <n v="3500"/>
    <n v="4550"/>
    <n v="3"/>
    <n v="10500"/>
    <n v="13650"/>
    <s v="Vijay Singh"/>
    <n v="9100"/>
  </r>
  <r>
    <s v="140558"/>
    <s v="AS"/>
    <s v="Rahul Kumar Prajapati"/>
    <s v="26/06/2020"/>
    <s v="Order"/>
    <s v="BTX motherboard"/>
    <s v="Printer"/>
    <s v="Gigabyte"/>
    <n v="4500"/>
    <n v="5850"/>
    <n v="4"/>
    <n v="18000"/>
    <n v="23400"/>
    <s v="Aadil Khan"/>
    <n v="11700"/>
  </r>
  <r>
    <s v="140559"/>
    <s v="BR"/>
    <s v="Sagar Jeur"/>
    <s v="26/06/2020"/>
    <s v="Processing"/>
    <s v="38 Fans Cabinet"/>
    <s v="Cabinet"/>
    <s v="Asus"/>
    <n v="2100"/>
    <n v="2730"/>
    <n v="1"/>
    <n v="2100"/>
    <n v="2730"/>
    <s v="Advika Joshi"/>
    <n v="2990"/>
  </r>
  <r>
    <s v="140560"/>
    <s v="BR"/>
    <s v="Rhushikesh Mane"/>
    <s v="26/06/2020"/>
    <s v="Delivered"/>
    <s v="Wireless Keyboard"/>
    <s v="Keyboard"/>
    <s v="Dell"/>
    <n v="1150"/>
    <n v="1495"/>
    <n v="3"/>
    <n v="3450"/>
    <n v="4485"/>
    <s v="Ajay Sharma"/>
    <n v="3315"/>
  </r>
  <r>
    <s v="140561"/>
    <s v="BR"/>
    <s v="Ashish Kumar"/>
    <s v="27/06/2020"/>
    <s v="Shipped"/>
    <s v="USB Mouse"/>
    <s v="Mouse"/>
    <s v="Samsung"/>
    <n v="350"/>
    <n v="455"/>
    <n v="2"/>
    <n v="700"/>
    <n v="910"/>
    <s v="Roshan Kumar"/>
    <n v="1690"/>
  </r>
  <r>
    <s v="140562"/>
    <s v="BR"/>
    <s v="Javed Akhter"/>
    <s v="27/06/2020"/>
    <s v="Order"/>
    <s v="19&quot; LED Display"/>
    <s v="Monitor"/>
    <s v="Dell"/>
    <n v="9500"/>
    <n v="12350"/>
    <n v="4"/>
    <n v="38000"/>
    <n v="49400"/>
    <s v="Aarvi Gupta"/>
    <n v="9750"/>
  </r>
  <r>
    <s v="140563"/>
    <s v="BR"/>
    <s v="Haridas Balraj"/>
    <s v="27/06/2020"/>
    <s v="Processing"/>
    <s v="37 TB HDD"/>
    <s v="HDD"/>
    <s v="Western Digital"/>
    <n v="10000"/>
    <n v="13000"/>
    <n v="3"/>
    <n v="30000"/>
    <n v="39000"/>
    <s v="Vijay Singh"/>
    <n v="39000"/>
  </r>
  <r>
    <s v="140564"/>
    <s v="BR"/>
    <s v="Kundan Kumar"/>
    <s v="27/06/2020"/>
    <s v="Delivered"/>
    <s v="547 GB M.2"/>
    <s v="SSD"/>
    <s v="Samsung"/>
    <n v="6500"/>
    <n v="8450"/>
    <n v="2"/>
    <n v="13000"/>
    <n v="16900"/>
    <s v="Aadil Khan"/>
    <n v="8450"/>
  </r>
  <r>
    <s v="140565"/>
    <s v="BR"/>
    <s v="Atif Siddiqui"/>
    <s v="27/06/2020"/>
    <s v="Shipped"/>
    <s v="RYZEN 3rd gen. 3535"/>
    <s v="CPU"/>
    <s v="Intel"/>
    <n v="8500"/>
    <n v="11050"/>
    <n v="2"/>
    <n v="17000"/>
    <n v="22100"/>
    <s v="Advika Joshi"/>
    <n v="33150"/>
  </r>
  <r>
    <s v="140566"/>
    <s v="BR"/>
    <s v="Aditya Agarwal"/>
    <s v="27/06/2020"/>
    <s v="Order"/>
    <s v="2GB Graphic Card"/>
    <s v="Graphic Card"/>
    <s v="Nvidia"/>
    <n v="7000"/>
    <n v="9100"/>
    <n v="1"/>
    <n v="7000"/>
    <n v="9100"/>
    <s v="Ajay Sharma"/>
    <n v="18200"/>
  </r>
  <r>
    <s v="140567"/>
    <s v="BR"/>
    <s v="Firdoush Jabee"/>
    <s v="27/06/2020"/>
    <s v="Processing"/>
    <s v="51 GB DDR4 RAM"/>
    <s v="NIC"/>
    <s v="Hynix"/>
    <n v="6550"/>
    <n v="8515"/>
    <n v="3"/>
    <n v="19650"/>
    <n v="25545"/>
    <s v="Roshan Kumar"/>
    <n v="9100"/>
  </r>
  <r>
    <s v="140568"/>
    <s v="BR"/>
    <s v="Jay Prakash Kumar"/>
    <s v="27/06/2020"/>
    <s v="Delivered"/>
    <s v="Standard ATX motherboard"/>
    <s v="Printer"/>
    <s v="Gigabyte"/>
    <n v="7650"/>
    <n v="9945"/>
    <n v="2"/>
    <n v="15300"/>
    <n v="19890"/>
    <s v="Aarvi Gupta"/>
    <n v="11700"/>
  </r>
  <r>
    <s v="140569"/>
    <s v="BR"/>
    <s v="Ashish Pandey"/>
    <s v="27/06/2020"/>
    <s v="Shipped"/>
    <s v="Compact with 1 Fan"/>
    <s v="Cabinet"/>
    <s v="Asus"/>
    <n v="1150"/>
    <n v="1495"/>
    <n v="2"/>
    <n v="2300"/>
    <n v="2990"/>
    <s v="Vijay Singh"/>
    <n v="2990"/>
  </r>
  <r>
    <s v="140570"/>
    <s v="BR"/>
    <s v="Ajay Sharma"/>
    <s v="27/06/2020"/>
    <s v="Order"/>
    <s v="USB Backlight Keyboard"/>
    <s v="Keyboard"/>
    <s v="Dell"/>
    <n v="850"/>
    <n v="1105"/>
    <n v="4"/>
    <n v="3400"/>
    <n v="4420"/>
    <s v="Aadil Khan"/>
    <n v="3315"/>
  </r>
  <r>
    <s v="140571"/>
    <s v="BR"/>
    <s v="Moinuddin Saifi"/>
    <s v="28/06/2020"/>
    <s v="Processing"/>
    <s v="Ergonomic Mouse"/>
    <s v="Mouse"/>
    <s v="Samsung"/>
    <n v="650"/>
    <n v="845"/>
    <n v="2"/>
    <n v="1300"/>
    <n v="1690"/>
    <s v="Advika Joshi"/>
    <n v="1690"/>
  </r>
  <r>
    <s v="140572"/>
    <s v="BR"/>
    <s v="Ramkrishna Das Adhikary"/>
    <s v="29/06/2020"/>
    <s v="Delivered"/>
    <s v="15&quot; LCD Dsipaly"/>
    <s v="Monitor"/>
    <s v="Dell"/>
    <n v="7500"/>
    <n v="9750"/>
    <n v="4"/>
    <n v="30000"/>
    <n v="39000"/>
    <s v="Ajay Sharma"/>
    <n v="9750"/>
  </r>
  <r>
    <s v="140573"/>
    <s v="MZ"/>
    <s v="Ranjeet Mandal"/>
    <s v="30/06/2020"/>
    <s v="Shipped"/>
    <s v="37 TB HDD"/>
    <s v="HDD"/>
    <s v="Seagate"/>
    <n v="10000"/>
    <n v="13000"/>
    <n v="4"/>
    <n v="40000"/>
    <n v="52000"/>
    <s v="Roshan Kumar"/>
    <n v="39000"/>
  </r>
  <r>
    <s v="140574"/>
    <s v="NL"/>
    <s v="Ashwini Adsare"/>
    <s v="01/07/2020"/>
    <s v="Order"/>
    <s v="36 TB SSD"/>
    <s v="SSD"/>
    <s v="Samsung"/>
    <n v="10500"/>
    <n v="13650"/>
    <n v="2"/>
    <n v="21000"/>
    <n v="27300"/>
    <s v="Aarvi Gupta"/>
    <n v="8450"/>
  </r>
  <r>
    <s v="140575"/>
    <s v="OR"/>
    <s v="Rajesh Variya"/>
    <s v="02/07/2020"/>
    <s v="Processing"/>
    <s v="Intel i5 12th gen."/>
    <s v="CPU"/>
    <s v="Intel"/>
    <n v="8500"/>
    <n v="11050"/>
    <n v="1"/>
    <n v="8500"/>
    <n v="11050"/>
    <s v="Vijay Singh"/>
    <n v="33150"/>
  </r>
  <r>
    <s v="140576"/>
    <s v="PB"/>
    <s v="Amit Singh"/>
    <s v="03/07/2020"/>
    <s v="Delivered"/>
    <s v="2GB Graphic Card"/>
    <s v="Graphic Card"/>
    <s v="Nvidia"/>
    <n v="7000"/>
    <n v="9100"/>
    <n v="4"/>
    <n v="28000"/>
    <n v="36400"/>
    <s v="Aadil Khan"/>
    <n v="18200"/>
  </r>
  <r>
    <s v="140577"/>
    <s v="RJ"/>
    <s v="Vinod Mehta"/>
    <s v="04/07/2020"/>
    <s v="Shipped"/>
    <s v="39 GB DDR4 Ram"/>
    <s v="NIC"/>
    <s v="Hynix"/>
    <n v="1680"/>
    <n v="2184"/>
    <n v="3"/>
    <n v="5040"/>
    <n v="6552"/>
    <s v="Advika Joshi"/>
    <n v="9100"/>
  </r>
  <r>
    <s v="140578"/>
    <s v="SK"/>
    <s v="Jignesh Mhatre"/>
    <s v="05/07/2020"/>
    <s v="Order"/>
    <s v="Micro ATX motherboard"/>
    <s v="Printer"/>
    <s v="MSI"/>
    <n v="6540"/>
    <n v="8502"/>
    <n v="1"/>
    <n v="6540"/>
    <n v="8502"/>
    <s v="Ajay Sharma"/>
    <n v="11700"/>
  </r>
  <r>
    <s v="140579"/>
    <s v="TN"/>
    <s v="Rahul Kashyap"/>
    <s v="06/07/2020"/>
    <s v="Processing"/>
    <s v="Gaming Box Cabinet"/>
    <s v="Cabinet"/>
    <s v="Asus"/>
    <n v="2680"/>
    <n v="3484"/>
    <n v="4"/>
    <n v="10720"/>
    <n v="13936"/>
    <s v="Roshan Kumar"/>
    <n v="2990"/>
  </r>
  <r>
    <s v="140580"/>
    <s v="TR"/>
    <s v="Mohammed Abdul Kaleem"/>
    <s v="07/07/2020"/>
    <s v="Delivered"/>
    <s v="17&quot; LCD Display"/>
    <s v="Monitor"/>
    <s v="Samsung"/>
    <n v="8250"/>
    <n v="10725"/>
    <n v="2"/>
    <n v="16500"/>
    <n v="21450"/>
    <s v="Aarvi Gupta"/>
    <n v="9750"/>
  </r>
  <r>
    <s v="140581"/>
    <s v="UK"/>
    <s v="Chandrakant Kasbe"/>
    <s v="07/07/2020"/>
    <s v="Shipped"/>
    <s v="43 GB DDR4 RAM"/>
    <s v="RAM"/>
    <s v="Samsung"/>
    <n v="2650"/>
    <n v="3445"/>
    <n v="3"/>
    <n v="7950"/>
    <n v="10335"/>
    <s v="Vijay Singh"/>
    <n v="25545"/>
  </r>
  <r>
    <s v="140582"/>
    <s v="UP"/>
    <s v="Rohan Kale"/>
    <s v="07/07/2020"/>
    <s v="Order"/>
    <s v="26&quot; LCD Display"/>
    <s v="Monitor"/>
    <s v="Acer"/>
    <n v="12550"/>
    <n v="16315"/>
    <n v="4"/>
    <n v="50200"/>
    <n v="65260"/>
    <s v="Aadil Khan"/>
    <n v="9750"/>
  </r>
  <r>
    <s v="140583"/>
    <s v="WB"/>
    <s v="Aniruddha Kekapure"/>
    <s v="07/07/2020"/>
    <s v="Processing"/>
    <s v="I7 - intel 12th Generation"/>
    <s v="CPU"/>
    <s v="Intel"/>
    <n v="14500"/>
    <n v="18850"/>
    <n v="4"/>
    <n v="58000"/>
    <n v="75400"/>
    <s v="Advika Joshi"/>
    <n v="33150"/>
  </r>
  <r>
    <s v="140584"/>
    <s v="TN"/>
    <s v="Aslam Raza"/>
    <s v="07/07/2020"/>
    <s v="Delivered"/>
    <s v="USB Keyboard"/>
    <s v="Keyboard"/>
    <s v="Dell"/>
    <n v="800"/>
    <n v="1040"/>
    <n v="2"/>
    <n v="1600"/>
    <n v="2080"/>
    <s v="Ajay Sharma"/>
    <n v="3315"/>
  </r>
  <r>
    <s v="140585"/>
    <s v="TR"/>
    <s v="Roshan Zameer"/>
    <s v="07/07/2020"/>
    <s v="Shipped"/>
    <s v="Wireless Mouse"/>
    <s v="Mouse"/>
    <s v="Samsung"/>
    <n v="600"/>
    <n v="780"/>
    <n v="2"/>
    <n v="1200"/>
    <n v="1560"/>
    <s v="Roshan Kumar"/>
    <n v="1690"/>
  </r>
  <r>
    <s v="140586"/>
    <s v="AN"/>
    <s v="Rakesh Kumar Sharma"/>
    <s v="07/07/2020"/>
    <s v="Order"/>
    <s v="21&quot; LCD Display"/>
    <s v="Monitor"/>
    <s v="Dell"/>
    <n v="10500"/>
    <n v="13650"/>
    <n v="4"/>
    <n v="42000"/>
    <n v="54600"/>
    <s v="Aarvi Gupta"/>
    <n v="9750"/>
  </r>
  <r>
    <s v="140587"/>
    <s v="BR"/>
    <s v="Shivanand Sahani"/>
    <s v="07/07/2020"/>
    <s v="Processing"/>
    <s v="37 TB HDD"/>
    <s v="HDD"/>
    <s v="Western Digital"/>
    <n v="6500"/>
    <n v="8450"/>
    <n v="2"/>
    <n v="13000"/>
    <n v="16900"/>
    <s v="Vijay Singh"/>
    <n v="39000"/>
  </r>
  <r>
    <s v="140588"/>
    <s v="BR"/>
    <s v="Kunal Patra"/>
    <s v="07/07/2020"/>
    <s v="Delivered"/>
    <s v="292 GB SSD"/>
    <s v="SSD"/>
    <s v="Samsung"/>
    <n v="4500"/>
    <n v="5850"/>
    <n v="3"/>
    <n v="13500"/>
    <n v="17550"/>
    <s v="Aadil Khan"/>
    <n v="8450"/>
  </r>
  <r>
    <s v="140589"/>
    <s v="BR"/>
    <s v="Bijendra"/>
    <s v="07/07/2020"/>
    <s v="Shipped"/>
    <s v="Intel i3 11th gen."/>
    <s v="CPU"/>
    <s v="Intel"/>
    <n v="8500"/>
    <n v="11050"/>
    <n v="3"/>
    <n v="25500"/>
    <n v="33150"/>
    <s v="Advika Joshi"/>
    <n v="33150"/>
  </r>
  <r>
    <s v="140590"/>
    <s v="BR"/>
    <s v="Kranti Bheke"/>
    <s v="07/07/2020"/>
    <s v="Order"/>
    <s v="4GB Graphic card"/>
    <s v="Graphic Card"/>
    <s v="Nvidia"/>
    <n v="12500"/>
    <n v="16250"/>
    <n v="3"/>
    <n v="37500"/>
    <n v="48750"/>
    <s v="Ajay Sharma"/>
    <n v="18200"/>
  </r>
  <r>
    <s v="140591"/>
    <s v="BR"/>
    <s v="Jagdeep"/>
    <s v="07/07/2020"/>
    <s v="Processing"/>
    <s v="44 GB DDR4 RAM"/>
    <s v="RAM"/>
    <s v="Hynix"/>
    <n v="3500"/>
    <n v="4550"/>
    <n v="3"/>
    <n v="10500"/>
    <n v="13650"/>
    <s v="Roshan Kumar"/>
    <n v="25545"/>
  </r>
  <r>
    <s v="140592"/>
    <s v="BR"/>
    <s v="Adhir Samal"/>
    <s v="08/07/2020"/>
    <s v="Delivered"/>
    <s v="BTX motherboard"/>
    <s v="MotherBoard"/>
    <s v="Gigabyte"/>
    <n v="4500"/>
    <n v="5850"/>
    <n v="1"/>
    <n v="4500"/>
    <n v="5850"/>
    <s v="Aarvi Gupta"/>
    <n v="39780"/>
  </r>
  <r>
    <s v="140593"/>
    <s v="BR"/>
    <s v="Dannana Jhammi"/>
    <s v="09/07/2020"/>
    <s v="Shipped"/>
    <s v="39 Fans Cabinet"/>
    <s v="Cabinet"/>
    <s v="Asus"/>
    <n v="2100"/>
    <n v="2730"/>
    <n v="4"/>
    <n v="8400"/>
    <n v="10920"/>
    <s v="Vijay Singh"/>
    <n v="2990"/>
  </r>
  <r>
    <s v="140594"/>
    <s v="BR"/>
    <s v="Vipin Kumar"/>
    <s v="10/07/2020"/>
    <s v="Order"/>
    <s v="Wireless Keyboard"/>
    <s v="Keyboard"/>
    <s v="Dell"/>
    <n v="1150"/>
    <n v="1495"/>
    <n v="1"/>
    <n v="1150"/>
    <n v="1495"/>
    <s v="Aadil Khan"/>
    <n v="3315"/>
  </r>
  <r>
    <s v="140595"/>
    <s v="BR"/>
    <s v="Ranjeet Kumar"/>
    <s v="11/07/2020"/>
    <s v="Processing"/>
    <s v="USB Mouse"/>
    <s v="Mouse"/>
    <s v="Samsung"/>
    <n v="350"/>
    <n v="455"/>
    <n v="3"/>
    <n v="1050"/>
    <n v="1365"/>
    <s v="Advika Joshi"/>
    <n v="1690"/>
  </r>
  <r>
    <s v="140596"/>
    <s v="BR"/>
    <s v="Sajal Singhal"/>
    <s v="12/07/2020"/>
    <s v="Delivered"/>
    <s v="19&quot; LED Display"/>
    <s v="Monitor"/>
    <s v="Dell"/>
    <n v="9500"/>
    <n v="12350"/>
    <n v="4"/>
    <n v="38000"/>
    <n v="49400"/>
    <s v="Ajay Sharma"/>
    <n v="9750"/>
  </r>
  <r>
    <s v="140597"/>
    <s v="BR"/>
    <s v="Akhilesh Kumar"/>
    <s v="13/07/2020"/>
    <s v="Shipped"/>
    <s v="38 TB HDD"/>
    <s v="HDD"/>
    <s v="Western Digital"/>
    <n v="10000"/>
    <n v="13000"/>
    <n v="2"/>
    <n v="20000"/>
    <n v="26000"/>
    <s v="Roshan Kumar"/>
    <n v="39000"/>
  </r>
  <r>
    <s v="140598"/>
    <s v="BR"/>
    <s v="Suvankar Chakraborty"/>
    <s v="14/07/2020"/>
    <s v="Order"/>
    <s v="548 GB M.2"/>
    <s v="SSD"/>
    <s v="Samsung"/>
    <n v="6500"/>
    <n v="8450"/>
    <n v="1"/>
    <n v="6500"/>
    <n v="8450"/>
    <s v="Aarvi Gupta"/>
    <n v="8450"/>
  </r>
  <r>
    <s v="140599"/>
    <s v="BR"/>
    <s v="Suvankar Adhikary"/>
    <s v="15/07/2020"/>
    <s v="Processing"/>
    <s v="RYZEN 3rd gen. 3536"/>
    <s v="CPU"/>
    <s v="Intel"/>
    <n v="8500"/>
    <n v="11050"/>
    <n v="1"/>
    <n v="8500"/>
    <n v="11050"/>
    <s v="Vijay Singh"/>
    <n v="33150"/>
  </r>
  <r>
    <s v="140600"/>
    <s v="BR"/>
    <s v="Rahul Kumar Prajapati"/>
    <s v="16/07/2020"/>
    <s v="Delivered"/>
    <s v="2GB Graphic Card"/>
    <s v="Graphic Card"/>
    <s v="Nvidia"/>
    <n v="7000"/>
    <n v="9100"/>
    <n v="3"/>
    <n v="21000"/>
    <n v="27300"/>
    <s v="Aadil Khan"/>
    <n v="18200"/>
  </r>
  <r>
    <s v="140601"/>
    <s v="HP"/>
    <s v="Sagar Jeur"/>
    <s v="17/07/2020"/>
    <s v="Shipped"/>
    <s v="52 GB DDR4 RAM"/>
    <s v="RAM"/>
    <s v="Hynix"/>
    <n v="6550"/>
    <n v="8515"/>
    <n v="3"/>
    <n v="19650"/>
    <n v="25545"/>
    <s v="Advika Joshi"/>
    <n v="25545"/>
  </r>
  <r>
    <s v="140602"/>
    <s v="JK"/>
    <s v="Rhushikesh Mane"/>
    <s v="18/07/2020"/>
    <s v="Order"/>
    <s v="Standard ATX motherboard"/>
    <s v="MotherBoard"/>
    <s v="Gigabyte"/>
    <n v="7650"/>
    <n v="9945"/>
    <n v="4"/>
    <n v="30600"/>
    <n v="39780"/>
    <s v="Ajay Sharma"/>
    <n v="39780"/>
  </r>
  <r>
    <s v="140603"/>
    <s v="JH"/>
    <s v="Ashish Kumar"/>
    <s v="19/07/2020"/>
    <s v="Processing"/>
    <s v="Compact with 1 Fan"/>
    <s v="Cabinet"/>
    <s v="Asus"/>
    <n v="1150"/>
    <n v="1495"/>
    <n v="3"/>
    <n v="3450"/>
    <n v="4485"/>
    <s v="Roshan Kumar"/>
    <n v="2990"/>
  </r>
  <r>
    <s v="140604"/>
    <s v="BR"/>
    <s v="Javed Akhter"/>
    <s v="20/07/2020"/>
    <s v="Delivered"/>
    <s v="USB Backlight Keyboard"/>
    <s v="Keyboard"/>
    <s v="Dell"/>
    <n v="850"/>
    <n v="1105"/>
    <n v="1"/>
    <n v="850"/>
    <n v="1105"/>
    <s v="Aarvi Gupta"/>
    <n v="3315"/>
  </r>
  <r>
    <s v="140605"/>
    <s v="BR"/>
    <s v="Haridas Balraj"/>
    <s v="21/07/2020"/>
    <s v="Shipped"/>
    <s v="Ergonomic Mouse"/>
    <s v="Mouse"/>
    <s v="Samsung"/>
    <n v="650"/>
    <n v="845"/>
    <n v="4"/>
    <n v="2600"/>
    <n v="3380"/>
    <s v="Vijay Singh"/>
    <n v="1690"/>
  </r>
  <r>
    <s v="140606"/>
    <s v="BR"/>
    <s v="Kundan Kumar"/>
    <s v="22/07/2020"/>
    <s v="Order"/>
    <s v="15&quot; LCD Dsipaly"/>
    <s v="Monitor"/>
    <s v="Dell"/>
    <n v="7500"/>
    <n v="9750"/>
    <n v="1"/>
    <n v="7500"/>
    <n v="9750"/>
    <s v="Aadil Khan"/>
    <n v="9750"/>
  </r>
  <r>
    <s v="140607"/>
    <s v="BR"/>
    <s v="Atif Siddiqui"/>
    <s v="22/07/2020"/>
    <s v="Processing"/>
    <s v="38 TB HDD"/>
    <s v="HDD"/>
    <s v="Seagate"/>
    <n v="10000"/>
    <n v="13000"/>
    <n v="3"/>
    <n v="30000"/>
    <n v="39000"/>
    <s v="Advika Joshi"/>
    <n v="39000"/>
  </r>
  <r>
    <s v="140608"/>
    <s v="BR"/>
    <s v="Aditya Agarwal"/>
    <s v="22/07/2020"/>
    <s v="Delivered"/>
    <s v="37 TB SSD"/>
    <s v="SSD"/>
    <s v="Samsung"/>
    <n v="10500"/>
    <n v="13650"/>
    <n v="3"/>
    <n v="31500"/>
    <n v="40950"/>
    <s v="Ajay Sharma"/>
    <n v="8450"/>
  </r>
  <r>
    <s v="140609"/>
    <s v="BR"/>
    <s v="Firdoush Jabee"/>
    <s v="22/07/2020"/>
    <s v="Shipped"/>
    <s v="Intel i5 12th gen."/>
    <s v="CPU"/>
    <s v="Intel"/>
    <n v="8500"/>
    <n v="11050"/>
    <n v="1"/>
    <n v="8500"/>
    <n v="11050"/>
    <s v="Roshan Kumar"/>
    <n v="33150"/>
  </r>
  <r>
    <s v="140610"/>
    <s v="BR"/>
    <s v="Jay Prakash Kumar"/>
    <s v="22/07/2020"/>
    <s v="Order"/>
    <s v="2GB Graphic Card"/>
    <s v="Graphic Card"/>
    <s v="Nvidia"/>
    <n v="7000"/>
    <n v="9100"/>
    <n v="1"/>
    <n v="7000"/>
    <n v="9100"/>
    <s v="Aarvi Gupta"/>
    <n v="18200"/>
  </r>
  <r>
    <s v="140611"/>
    <s v="BR"/>
    <s v="Ashish Pandey"/>
    <s v="23/07/2020"/>
    <s v="Processing"/>
    <s v="40 GB DDR4 Ram"/>
    <s v="RAM"/>
    <s v="Hynix"/>
    <n v="1680"/>
    <n v="2184"/>
    <n v="2"/>
    <n v="3360"/>
    <n v="4368"/>
    <s v="Vijay Singh"/>
    <n v="25545"/>
  </r>
  <r>
    <s v="140612"/>
    <s v="BR"/>
    <s v="Ajay Sharma"/>
    <s v="24/07/2020"/>
    <s v="Delivered"/>
    <s v="Micro ATX motherboard"/>
    <s v="MotherBoard"/>
    <s v="MSI"/>
    <n v="6540"/>
    <n v="8502"/>
    <n v="1"/>
    <n v="6540"/>
    <n v="8502"/>
    <s v="Aadil Khan"/>
    <n v="39780"/>
  </r>
  <r>
    <s v="140613"/>
    <s v="BR"/>
    <s v="Moinuddin Saifi"/>
    <s v="25/07/2020"/>
    <s v="Shipped"/>
    <s v="Gaming Box Cabinet"/>
    <s v="Cabinet"/>
    <s v="Asus"/>
    <n v="2680"/>
    <n v="3484"/>
    <n v="2"/>
    <n v="5360"/>
    <n v="6968"/>
    <s v="Advika Joshi"/>
    <n v="2990"/>
  </r>
  <r>
    <s v="140614"/>
    <s v="BR"/>
    <s v="Ramkrishna Das Adhikary"/>
    <s v="26/07/2020"/>
    <s v="Order"/>
    <s v="17&quot; LCD Display"/>
    <s v="Monitor"/>
    <s v="Samsung"/>
    <n v="8250"/>
    <n v="10725"/>
    <n v="1"/>
    <n v="8250"/>
    <n v="10725"/>
    <s v="Ajay Sharma"/>
    <n v="9750"/>
  </r>
  <r>
    <s v="140615"/>
    <s v="BR"/>
    <s v="Ranjeet Mandal"/>
    <s v="27/07/2020"/>
    <s v="Processing"/>
    <s v="44 GB DDR4 RAM"/>
    <s v="RAM"/>
    <s v="Samsung"/>
    <n v="2650"/>
    <n v="3445"/>
    <n v="4"/>
    <n v="10600"/>
    <n v="13780"/>
    <s v="Roshan Kumar"/>
    <n v="25545"/>
  </r>
  <r>
    <s v="140616"/>
    <s v="BR"/>
    <s v="Ashwini Adsare"/>
    <s v="28/07/2020"/>
    <s v="Delivered"/>
    <s v="26&quot; LCD Display"/>
    <s v="Monitor"/>
    <s v="Acer"/>
    <n v="12550"/>
    <n v="16315"/>
    <n v="3"/>
    <n v="37650"/>
    <n v="48945"/>
    <s v="Aarvi Gupta"/>
    <n v="9750"/>
  </r>
  <r>
    <s v="140617"/>
    <s v="BR"/>
    <s v="Rajesh Variya"/>
    <s v="29/07/2020"/>
    <s v="Shipped"/>
    <s v="I7 - intel 12th Generation"/>
    <s v="CPU"/>
    <s v="Intel"/>
    <n v="14500"/>
    <n v="18850"/>
    <n v="4"/>
    <n v="58000"/>
    <n v="75400"/>
    <s v="Vijay Singh"/>
    <n v="33150"/>
  </r>
  <r>
    <s v="140618"/>
    <s v="UK"/>
    <s v="Amit Singh"/>
    <s v="30/07/2020"/>
    <s v="Order"/>
    <s v="USB Keyboard"/>
    <s v="Keyboard"/>
    <s v="Dell"/>
    <n v="800"/>
    <n v="1040"/>
    <n v="4"/>
    <n v="3200"/>
    <n v="4160"/>
    <s v="Aadil Khan"/>
    <n v="3315"/>
  </r>
  <r>
    <s v="140619"/>
    <s v="UP"/>
    <s v="Vinod Mehta"/>
    <s v="31/07/2020"/>
    <s v="Processing"/>
    <s v="Wireless Mouse"/>
    <s v="Mouse"/>
    <s v="Samsung"/>
    <n v="600"/>
    <n v="780"/>
    <n v="2"/>
    <n v="1200"/>
    <n v="1560"/>
    <s v="Advika Joshi"/>
    <n v="1690"/>
  </r>
  <r>
    <s v="140620"/>
    <s v="WB"/>
    <s v="Jignesh Mhatre"/>
    <s v="01/08/2020"/>
    <s v="Delivered"/>
    <s v="21&quot; LCD Display"/>
    <s v="Monitor"/>
    <s v="Dell"/>
    <n v="10500"/>
    <n v="13650"/>
    <n v="4"/>
    <n v="42000"/>
    <n v="54600"/>
    <s v="Ajay Sharma"/>
    <n v="9750"/>
  </r>
  <r>
    <s v="140621"/>
    <s v="TN"/>
    <s v="Rahul Kashyap"/>
    <s v="02/08/2020"/>
    <s v="Shipped"/>
    <s v="38 TB HDD"/>
    <s v="HDD"/>
    <s v="Western Digital"/>
    <n v="6500"/>
    <n v="8450"/>
    <n v="4"/>
    <n v="26000"/>
    <n v="33800"/>
    <s v="Roshan Kumar"/>
    <n v="39000"/>
  </r>
  <r>
    <s v="140622"/>
    <s v="TR"/>
    <s v="Mohammed Abdul Kaleem"/>
    <s v="03/08/2020"/>
    <s v="Order"/>
    <s v="293 GB SSD"/>
    <s v="SSD"/>
    <s v="Samsung"/>
    <n v="4500"/>
    <n v="5850"/>
    <n v="3"/>
    <n v="13500"/>
    <n v="17550"/>
    <s v="Aarvi Gupta"/>
    <n v="8450"/>
  </r>
  <r>
    <s v="140623"/>
    <s v="BR"/>
    <s v="Chandrakant Kasbe"/>
    <s v="04/08/2020"/>
    <s v="Processing"/>
    <s v="Intel i3 11th gen."/>
    <s v="CPU"/>
    <s v="Intel"/>
    <n v="8500"/>
    <n v="11050"/>
    <n v="4"/>
    <n v="34000"/>
    <n v="44200"/>
    <s v="Vijay Singh"/>
    <n v="33150"/>
  </r>
  <r>
    <s v="140624"/>
    <s v="BR"/>
    <s v="Rohan Kale"/>
    <s v="05/08/2020"/>
    <s v="Delivered"/>
    <s v="4GB Graphic card"/>
    <s v="Graphic Card"/>
    <s v="Nvidia"/>
    <n v="12500"/>
    <n v="16250"/>
    <n v="3"/>
    <n v="37500"/>
    <n v="48750"/>
    <s v="Aadil Khan"/>
    <n v="18200"/>
  </r>
  <r>
    <s v="140625"/>
    <s v="BR"/>
    <s v="Aniruddha Kekapure"/>
    <s v="06/08/2020"/>
    <s v="Shipped"/>
    <s v="45 GB DDR4 RAM"/>
    <s v="Computer Case"/>
    <s v="Hynix"/>
    <n v="3500"/>
    <n v="4550"/>
    <n v="2"/>
    <n v="7000"/>
    <n v="9100"/>
    <s v="Advika Joshi"/>
    <n v="13650"/>
  </r>
  <r>
    <s v="140626"/>
    <s v="BR"/>
    <s v="Aslam Raza"/>
    <s v="07/08/2020"/>
    <s v="Order"/>
    <s v="BTX motherboard"/>
    <s v="Mouse"/>
    <s v="Gigabyte"/>
    <n v="4500"/>
    <n v="5850"/>
    <n v="4"/>
    <n v="18000"/>
    <n v="23400"/>
    <s v="Ajay Sharma"/>
    <n v="1690"/>
  </r>
  <r>
    <s v="140627"/>
    <s v="BR"/>
    <s v="Roshan Zameer"/>
    <s v="08/08/2020"/>
    <s v="Processing"/>
    <s v="40 Fans Cabinet"/>
    <s v="Cabinet"/>
    <s v="Asus"/>
    <n v="2100"/>
    <n v="2730"/>
    <n v="4"/>
    <n v="8400"/>
    <n v="10920"/>
    <s v="Roshan Kumar"/>
    <n v="2990"/>
  </r>
  <r>
    <s v="140628"/>
    <s v="BR"/>
    <s v="Rakesh Kumar Sharma"/>
    <s v="09/08/2020"/>
    <s v="Delivered"/>
    <s v="Wireless Keyboard"/>
    <s v="Keyboard"/>
    <s v="Dell"/>
    <n v="1150"/>
    <n v="1495"/>
    <n v="3"/>
    <n v="3450"/>
    <n v="4485"/>
    <s v="Aarvi Gupta"/>
    <n v="3315"/>
  </r>
  <r>
    <s v="140629"/>
    <s v="BR"/>
    <s v="Shivanand Sahani"/>
    <s v="10/08/2020"/>
    <s v="Shipped"/>
    <s v="USB Mouse"/>
    <s v="Mouse"/>
    <s v="Samsung"/>
    <n v="350"/>
    <n v="455"/>
    <n v="4"/>
    <n v="1400"/>
    <n v="1820"/>
    <s v="Vijay Singh"/>
    <n v="1690"/>
  </r>
  <r>
    <s v="140630"/>
    <s v="BR"/>
    <s v="Kunal Patra"/>
    <s v="11/08/2020"/>
    <s v="Order"/>
    <s v="19&quot; LED Display"/>
    <s v="Monitor"/>
    <s v="Dell"/>
    <n v="9500"/>
    <n v="12350"/>
    <n v="4"/>
    <n v="38000"/>
    <n v="49400"/>
    <s v="Aadil Khan"/>
    <n v="9750"/>
  </r>
  <r>
    <s v="140631"/>
    <s v="BR"/>
    <s v="Bijendra"/>
    <s v="12/08/2020"/>
    <s v="Processing"/>
    <s v="39 TB HDD"/>
    <s v="HDD"/>
    <s v="Western Digital"/>
    <n v="10000"/>
    <n v="13000"/>
    <n v="3"/>
    <n v="30000"/>
    <n v="39000"/>
    <s v="Advika Joshi"/>
    <n v="39000"/>
  </r>
  <r>
    <s v="140632"/>
    <s v="BR"/>
    <s v="Kranti Bheke"/>
    <s v="13/08/2020"/>
    <s v="Delivered"/>
    <s v="549 GB M.2"/>
    <s v="SSD"/>
    <s v="Samsung"/>
    <n v="6500"/>
    <n v="8450"/>
    <n v="2"/>
    <n v="13000"/>
    <n v="16900"/>
    <s v="Ajay Sharma"/>
    <n v="8450"/>
  </r>
  <r>
    <s v="140633"/>
    <s v="BR"/>
    <s v="Jagdeep"/>
    <s v="14/08/2020"/>
    <s v="Shipped"/>
    <s v="RYZEN 3rd gen. 3537"/>
    <s v="CPU"/>
    <s v="Intel"/>
    <n v="8500"/>
    <n v="11050"/>
    <n v="2"/>
    <n v="17000"/>
    <n v="22100"/>
    <s v="Roshan Kumar"/>
    <n v="33150"/>
  </r>
  <r>
    <s v="140634"/>
    <s v="BR"/>
    <s v="Adhir Samal"/>
    <s v="15/08/2020"/>
    <s v="Order"/>
    <s v="2GB Graphic Card"/>
    <s v="Graphic Card"/>
    <s v="Nvidia"/>
    <n v="7000"/>
    <n v="9100"/>
    <n v="2"/>
    <n v="14000"/>
    <n v="18200"/>
    <s v="Aarvi Gupta"/>
    <n v="18200"/>
  </r>
  <r>
    <s v="140635"/>
    <s v="BR"/>
    <s v="Dannana Jhammi"/>
    <s v="16/08/2020"/>
    <s v="Processing"/>
    <s v="53 GB DDR4 RAM"/>
    <s v="Computer Case"/>
    <s v="Hynix"/>
    <n v="6550"/>
    <n v="8515"/>
    <n v="1"/>
    <n v="6550"/>
    <n v="8515"/>
    <s v="Vijay Singh"/>
    <n v="13650"/>
  </r>
  <r>
    <s v="140636"/>
    <s v="BR"/>
    <s v="Vipin Kumar"/>
    <s v="17/08/2020"/>
    <s v="Delivered"/>
    <s v="Standard ATX motherboard"/>
    <s v="Mouse"/>
    <s v="Gigabyte"/>
    <n v="7650"/>
    <n v="9945"/>
    <n v="3"/>
    <n v="22950"/>
    <n v="29835"/>
    <s v="Aadil Khan"/>
    <n v="1690"/>
  </r>
  <r>
    <s v="140637"/>
    <s v="HR"/>
    <s v="Ranjeet Kumar"/>
    <s v="18/08/2020"/>
    <s v="Shipped"/>
    <s v="Compact with 1 Fan"/>
    <s v="Cabinet"/>
    <s v="Asus"/>
    <n v="1150"/>
    <n v="1495"/>
    <n v="1"/>
    <n v="1150"/>
    <n v="1495"/>
    <s v="Advika Joshi"/>
    <n v="2990"/>
  </r>
  <r>
    <s v="140638"/>
    <s v="HP"/>
    <s v="Sajal Singhal"/>
    <s v="19/08/2020"/>
    <s v="Order"/>
    <s v="USB Backlight Keyboard"/>
    <s v="Keyboard"/>
    <s v="Dell"/>
    <n v="850"/>
    <n v="1105"/>
    <n v="1"/>
    <n v="850"/>
    <n v="1105"/>
    <s v="Ajay Sharma"/>
    <n v="3315"/>
  </r>
  <r>
    <s v="140639"/>
    <s v="JK"/>
    <s v="Akhilesh Kumar"/>
    <s v="20/08/2020"/>
    <s v="Processing"/>
    <s v="Ergonomic Mouse"/>
    <s v="Mouse"/>
    <s v="Samsung"/>
    <n v="650"/>
    <n v="845"/>
    <n v="3"/>
    <n v="1950"/>
    <n v="2535"/>
    <s v="Roshan Kumar"/>
    <n v="1690"/>
  </r>
  <r>
    <s v="140640"/>
    <s v="JH"/>
    <s v="Suvankar Chakraborty"/>
    <s v="21/08/2020"/>
    <s v="Delivered"/>
    <s v="15&quot; LCD Dsipaly"/>
    <s v="Monitor"/>
    <s v="Dell"/>
    <n v="7500"/>
    <n v="9750"/>
    <n v="3"/>
    <n v="22500"/>
    <n v="29250"/>
    <s v="Aarvi Gupta"/>
    <n v="9750"/>
  </r>
  <r>
    <s v="140641"/>
    <s v="KA"/>
    <s v="Suvankar Adhikary"/>
    <s v="22/08/2020"/>
    <s v="Shipped"/>
    <s v="39 TB HDD"/>
    <s v="HDD"/>
    <s v="Seagate"/>
    <n v="10000"/>
    <n v="13000"/>
    <n v="1"/>
    <n v="10000"/>
    <n v="13000"/>
    <s v="Vijay Singh"/>
    <n v="39000"/>
  </r>
  <r>
    <s v="140642"/>
    <s v="BR"/>
    <s v="Rahul Kumar Prajapati"/>
    <s v="23/08/2020"/>
    <s v="Order"/>
    <s v="38 TB SSD"/>
    <s v="SSD"/>
    <s v="Samsung"/>
    <n v="10500"/>
    <n v="13650"/>
    <n v="3"/>
    <n v="31500"/>
    <n v="40950"/>
    <s v="Aadil Khan"/>
    <n v="8450"/>
  </r>
  <r>
    <s v="140643"/>
    <s v="BR"/>
    <s v="Sagar Jeur"/>
    <s v="24/08/2020"/>
    <s v="Processing"/>
    <s v="Intel i5 12th gen."/>
    <s v="CPU"/>
    <s v="Intel"/>
    <n v="8500"/>
    <n v="11050"/>
    <n v="2"/>
    <n v="17000"/>
    <n v="22100"/>
    <s v="Advika Joshi"/>
    <n v="33150"/>
  </r>
  <r>
    <s v="140644"/>
    <s v="BR"/>
    <s v="Rhushikesh Mane"/>
    <s v="25/08/2020"/>
    <s v="Delivered"/>
    <s v="2GB Graphic Card"/>
    <s v="Graphic Card"/>
    <s v="Nvidia"/>
    <n v="7000"/>
    <n v="9100"/>
    <n v="2"/>
    <n v="14000"/>
    <n v="18200"/>
    <s v="Ajay Sharma"/>
    <n v="18200"/>
  </r>
  <r>
    <s v="140645"/>
    <s v="BR"/>
    <s v="Ashish Kumar"/>
    <s v="26/08/2020"/>
    <s v="Shipped"/>
    <s v="41 GB DDR4 Ram"/>
    <s v="Computer Case"/>
    <s v="Hynix"/>
    <n v="1680"/>
    <n v="2184"/>
    <n v="2"/>
    <n v="3360"/>
    <n v="4368"/>
    <s v="Roshan Kumar"/>
    <n v="13650"/>
  </r>
  <r>
    <s v="140646"/>
    <s v="BR"/>
    <s v="Javed Akhter"/>
    <s v="27/08/2020"/>
    <s v="Order"/>
    <s v="Micro ATX motherboard"/>
    <s v="Mouse"/>
    <s v="MSI"/>
    <n v="6540"/>
    <n v="8502"/>
    <n v="2"/>
    <n v="13080"/>
    <n v="17004"/>
    <s v="Aarvi Gupta"/>
    <n v="1690"/>
  </r>
  <r>
    <s v="140647"/>
    <s v="BR"/>
    <s v="Haridas Balraj"/>
    <s v="28/08/2020"/>
    <s v="Processing"/>
    <s v="Gaming Box Cabinet"/>
    <s v="Cabinet"/>
    <s v="Asus"/>
    <n v="2680"/>
    <n v="3484"/>
    <n v="2"/>
    <n v="5360"/>
    <n v="6968"/>
    <s v="Vijay Singh"/>
    <n v="2990"/>
  </r>
  <r>
    <s v="140648"/>
    <s v="BR"/>
    <s v="Kundan Kumar"/>
    <s v="29/08/2020"/>
    <s v="Delivered"/>
    <s v="17&quot; LCD Display"/>
    <s v="Monitor"/>
    <s v="Samsung"/>
    <n v="8250"/>
    <n v="10725"/>
    <n v="1"/>
    <n v="8250"/>
    <n v="10725"/>
    <s v="Aadil Khan"/>
    <n v="9750"/>
  </r>
  <r>
    <s v="140649"/>
    <s v="BR"/>
    <s v="Atif Siddiqui"/>
    <s v="30/08/2020"/>
    <s v="Shipped"/>
    <s v="45 GB DDR4 RAM"/>
    <s v="RAM"/>
    <s v="Samsung"/>
    <n v="2650"/>
    <n v="3445"/>
    <n v="2"/>
    <n v="5300"/>
    <n v="6890"/>
    <s v="Advika Joshi"/>
    <n v="25545"/>
  </r>
  <r>
    <s v="140650"/>
    <s v="BR"/>
    <s v="Aditya Agarwal"/>
    <s v="31/08/2020"/>
    <s v="Order"/>
    <s v="26&quot; LCD Display"/>
    <s v="Monitor"/>
    <s v="Acer"/>
    <n v="12550"/>
    <n v="16315"/>
    <n v="3"/>
    <n v="37650"/>
    <n v="48945"/>
    <s v="Ajay Sharma"/>
    <n v="9750"/>
  </r>
  <r>
    <s v="140651"/>
    <s v="BR"/>
    <s v="Firdoush Jabee"/>
    <s v="01/09/2020"/>
    <s v="Processing"/>
    <s v="I7 - intel 12th Generation"/>
    <s v="CPU"/>
    <s v="Intel"/>
    <n v="14500"/>
    <n v="18850"/>
    <n v="2"/>
    <n v="29000"/>
    <n v="37700"/>
    <s v="Roshan Kumar"/>
    <n v="33150"/>
  </r>
  <r>
    <s v="140652"/>
    <s v="BR"/>
    <s v="Jay Prakash Kumar"/>
    <s v="02/09/2020"/>
    <s v="Delivered"/>
    <s v="USB Keyboard"/>
    <s v="Keyboard"/>
    <s v="Dell"/>
    <n v="800"/>
    <n v="1040"/>
    <n v="3"/>
    <n v="2400"/>
    <n v="3120"/>
    <s v="Aarvi Gupta"/>
    <n v="3315"/>
  </r>
  <r>
    <s v="140653"/>
    <s v="BR"/>
    <s v="Ashish Pandey"/>
    <s v="03/09/2020"/>
    <s v="Shipped"/>
    <s v="Wireless Mouse"/>
    <s v="Mouse"/>
    <s v="Samsung"/>
    <n v="600"/>
    <n v="780"/>
    <n v="4"/>
    <n v="2400"/>
    <n v="3120"/>
    <s v="Vijay Singh"/>
    <n v="1690"/>
  </r>
  <r>
    <s v="140654"/>
    <s v="BR"/>
    <s v="Ajay Sharma"/>
    <s v="04/09/2020"/>
    <s v="Order"/>
    <s v="21&quot; LCD Display"/>
    <s v="Monitor"/>
    <s v="Dell"/>
    <n v="10500"/>
    <n v="13650"/>
    <n v="1"/>
    <n v="10500"/>
    <n v="13650"/>
    <s v="Aadil Khan"/>
    <n v="9750"/>
  </r>
  <r>
    <s v="140655"/>
    <s v="BR"/>
    <s v="Moinuddin Saifi"/>
    <s v="05/09/2020"/>
    <s v="Processing"/>
    <s v="39 TB HDD"/>
    <s v="HDD"/>
    <s v="Western Digital"/>
    <n v="6500"/>
    <n v="8450"/>
    <n v="2"/>
    <n v="13000"/>
    <n v="16900"/>
    <s v="Advika Joshi"/>
    <n v="39000"/>
  </r>
  <r>
    <s v="140656"/>
    <s v="UP"/>
    <s v="Ramkrishna Das Adhikary"/>
    <s v="06/09/2020"/>
    <s v="Delivered"/>
    <s v="294 GB SSD"/>
    <s v="SSD"/>
    <s v="Samsung"/>
    <n v="4500"/>
    <n v="5850"/>
    <n v="3"/>
    <n v="13500"/>
    <n v="17550"/>
    <s v="Ajay Sharma"/>
    <n v="8450"/>
  </r>
  <r>
    <s v="140657"/>
    <s v="WB"/>
    <s v="Ranjeet Mandal"/>
    <s v="07/09/2020"/>
    <s v="Shipped"/>
    <s v="Intel i3 11th gen."/>
    <s v="CPU"/>
    <s v="Intel"/>
    <n v="8500"/>
    <n v="11050"/>
    <n v="4"/>
    <n v="34000"/>
    <n v="44200"/>
    <s v="Roshan Kumar"/>
    <n v="33150"/>
  </r>
  <r>
    <s v="140658"/>
    <s v="TN"/>
    <s v="Ashwini Adsare"/>
    <s v="07/09/2020"/>
    <s v="Order"/>
    <s v="4GB Graphic card"/>
    <s v="Graphic Card"/>
    <s v="Nvidia"/>
    <n v="12500"/>
    <n v="16250"/>
    <n v="3"/>
    <n v="37500"/>
    <n v="48750"/>
    <s v="Aarvi Gupta"/>
    <n v="18200"/>
  </r>
  <r>
    <s v="140659"/>
    <s v="TR"/>
    <s v="Rajesh Variya"/>
    <s v="07/09/2020"/>
    <s v="Processing"/>
    <s v="46 GB DDR4 RAM"/>
    <s v="NIC"/>
    <s v="Hynix"/>
    <n v="3500"/>
    <n v="4550"/>
    <n v="1"/>
    <n v="3500"/>
    <n v="4550"/>
    <s v="Vijay Singh"/>
    <n v="9100"/>
  </r>
  <r>
    <s v="140660"/>
    <s v="AN"/>
    <s v="Amit Singh"/>
    <s v="07/09/2020"/>
    <s v="Delivered"/>
    <s v="BTX motherboard"/>
    <s v="Printer"/>
    <s v="Gigabyte"/>
    <n v="4500"/>
    <n v="5850"/>
    <n v="1"/>
    <n v="4500"/>
    <n v="5850"/>
    <s v="Aadil Khan"/>
    <n v="11700"/>
  </r>
  <r>
    <s v="140661"/>
    <s v="CH"/>
    <s v="Vinod Mehta"/>
    <s v="07/09/2020"/>
    <s v="Shipped"/>
    <s v="41 Fans Cabinet"/>
    <s v="Cabinet"/>
    <s v="Asus"/>
    <n v="2100"/>
    <n v="2730"/>
    <n v="1"/>
    <n v="2100"/>
    <n v="2730"/>
    <s v="Advika Joshi"/>
    <n v="2990"/>
  </r>
  <r>
    <s v="140662"/>
    <s v="BR"/>
    <s v="Jignesh Mhatre"/>
    <s v="07/09/2020"/>
    <s v="Order"/>
    <s v="Wireless Keyboard"/>
    <s v="Keyboard"/>
    <s v="Dell"/>
    <n v="1150"/>
    <n v="1495"/>
    <n v="4"/>
    <n v="4600"/>
    <n v="5980"/>
    <s v="Ajay Sharma"/>
    <n v="3315"/>
  </r>
  <r>
    <s v="140663"/>
    <s v="BR"/>
    <s v="Rahul Kashyap"/>
    <s v="07/09/2020"/>
    <s v="Processing"/>
    <s v="USB Mouse"/>
    <s v="Mouse"/>
    <s v="Samsung"/>
    <n v="350"/>
    <n v="455"/>
    <n v="2"/>
    <n v="700"/>
    <n v="910"/>
    <s v="Roshan Kumar"/>
    <n v="1690"/>
  </r>
  <r>
    <s v="140664"/>
    <s v="BR"/>
    <s v="Mohammed Abdul Kaleem"/>
    <s v="07/09/2020"/>
    <s v="Delivered"/>
    <s v="19&quot; LED Display"/>
    <s v="Monitor"/>
    <s v="Dell"/>
    <n v="9500"/>
    <n v="12350"/>
    <n v="1"/>
    <n v="9500"/>
    <n v="12350"/>
    <s v="Aarvi Gupta"/>
    <n v="9750"/>
  </r>
  <r>
    <s v="140665"/>
    <s v="BR"/>
    <s v="Chandrakant Kasbe"/>
    <s v="07/09/2020"/>
    <s v="Shipped"/>
    <s v="40 TB HDD"/>
    <s v="HDD"/>
    <s v="Western Digital"/>
    <n v="10000"/>
    <n v="13000"/>
    <n v="3"/>
    <n v="30000"/>
    <n v="39000"/>
    <s v="Vijay Singh"/>
    <n v="39000"/>
  </r>
  <r>
    <s v="140666"/>
    <s v="BR"/>
    <s v="Rohan Kale"/>
    <s v="07/09/2020"/>
    <s v="Order"/>
    <s v="550 GB M.2"/>
    <s v="SSD"/>
    <s v="Samsung"/>
    <n v="6500"/>
    <n v="8450"/>
    <n v="2"/>
    <n v="13000"/>
    <n v="16900"/>
    <s v="Aadil Khan"/>
    <n v="8450"/>
  </r>
  <r>
    <s v="140667"/>
    <s v="BR"/>
    <s v="Aniruddha Kekapure"/>
    <s v="07/09/2020"/>
    <s v="Processing"/>
    <s v="RYZEN 3rd gen. 3538"/>
    <s v="CPU"/>
    <s v="Intel"/>
    <n v="8500"/>
    <n v="11050"/>
    <n v="1"/>
    <n v="8500"/>
    <n v="11050"/>
    <s v="Advika Joshi"/>
    <n v="33150"/>
  </r>
  <r>
    <s v="140668"/>
    <s v="BR"/>
    <s v="Aslam Raza"/>
    <s v="07/09/2020"/>
    <s v="Delivered"/>
    <s v="2GB Graphic Card"/>
    <s v="Graphic Card"/>
    <s v="Nvidia"/>
    <n v="7000"/>
    <n v="9100"/>
    <n v="1"/>
    <n v="7000"/>
    <n v="9100"/>
    <s v="Ajay Sharma"/>
    <n v="18200"/>
  </r>
  <r>
    <s v="140669"/>
    <s v="BR"/>
    <s v="Roshan Zameer"/>
    <s v="07/09/2020"/>
    <s v="Shipped"/>
    <s v="54 GB DDR4 RAM"/>
    <s v="NIC"/>
    <s v="Hynix"/>
    <n v="6550"/>
    <n v="8515"/>
    <n v="1"/>
    <n v="6550"/>
    <n v="8515"/>
    <s v="Roshan Kumar"/>
    <n v="9100"/>
  </r>
  <r>
    <s v="140670"/>
    <s v="BR"/>
    <s v="Rakesh Kumar Sharma"/>
    <s v="07/09/2020"/>
    <s v="Order"/>
    <s v="Standard ATX motherboard"/>
    <s v="Printer"/>
    <s v="Gigabyte"/>
    <n v="7650"/>
    <n v="9945"/>
    <n v="4"/>
    <n v="30600"/>
    <n v="39780"/>
    <s v="Aarvi Gupta"/>
    <n v="11700"/>
  </r>
  <r>
    <s v="140671"/>
    <s v="BR"/>
    <s v="Shivanand Sahani"/>
    <s v="07/09/2020"/>
    <s v="Processing"/>
    <s v="Compact with 1 Fan"/>
    <s v="Cabinet"/>
    <s v="Asus"/>
    <n v="1150"/>
    <n v="1495"/>
    <n v="2"/>
    <n v="2300"/>
    <n v="2990"/>
    <s v="Vijay Singh"/>
    <n v="2990"/>
  </r>
  <r>
    <s v="140672"/>
    <s v="BR"/>
    <s v="Kunal Patra"/>
    <s v="07/09/2020"/>
    <s v="Delivered"/>
    <s v="USB Backlight Keyboard"/>
    <s v="Keyboard"/>
    <s v="Dell"/>
    <n v="850"/>
    <n v="1105"/>
    <n v="1"/>
    <n v="850"/>
    <n v="1105"/>
    <s v="Aadil Khan"/>
    <n v="3315"/>
  </r>
  <r>
    <s v="140673"/>
    <s v="BR"/>
    <s v="Bijendra"/>
    <s v="07/09/2020"/>
    <s v="Shipped"/>
    <s v="Ergonomic Mouse"/>
    <s v="Mouse"/>
    <s v="Samsung"/>
    <n v="650"/>
    <n v="845"/>
    <n v="2"/>
    <n v="1300"/>
    <n v="1690"/>
    <s v="Advika Joshi"/>
    <n v="1690"/>
  </r>
  <r>
    <s v="140674"/>
    <s v="BR"/>
    <s v="Kranti Bheke"/>
    <s v="07/09/2020"/>
    <s v="Order"/>
    <s v="15&quot; LCD Dsipaly"/>
    <s v="Monitor"/>
    <s v="Dell"/>
    <n v="7500"/>
    <n v="9750"/>
    <n v="2"/>
    <n v="15000"/>
    <n v="19500"/>
    <s v="Ajay Sharma"/>
    <n v="9750"/>
  </r>
  <r>
    <s v="140675"/>
    <s v="BR"/>
    <s v="Jagdeep"/>
    <s v="07/09/2020"/>
    <s v="Processing"/>
    <s v="40 TB HDD"/>
    <s v="HDD"/>
    <s v="Seagate"/>
    <n v="10000"/>
    <n v="13000"/>
    <n v="4"/>
    <n v="40000"/>
    <n v="52000"/>
    <s v="Roshan Kumar"/>
    <n v="39000"/>
  </r>
  <r>
    <s v="140676"/>
    <s v="JK"/>
    <s v="Adhir Samal"/>
    <s v="07/09/2020"/>
    <s v="Delivered"/>
    <s v="39 TB SSD"/>
    <s v="SSD"/>
    <s v="Samsung"/>
    <n v="10500"/>
    <n v="13650"/>
    <n v="1"/>
    <n v="10500"/>
    <n v="13650"/>
    <s v="Aarvi Gupta"/>
    <n v="8450"/>
  </r>
  <r>
    <s v="140677"/>
    <s v="JH"/>
    <s v="Dannana Jhammi"/>
    <s v="07/09/2020"/>
    <s v="Shipped"/>
    <s v="Intel i5 12th gen."/>
    <s v="CPU"/>
    <s v="Intel"/>
    <n v="8500"/>
    <n v="11050"/>
    <n v="4"/>
    <n v="34000"/>
    <n v="44200"/>
    <s v="Vijay Singh"/>
    <n v="33150"/>
  </r>
  <r>
    <s v="140678"/>
    <s v="KA"/>
    <s v="Vipin Kumar"/>
    <s v="07/09/2020"/>
    <s v="Order"/>
    <s v="2GB Graphic Card"/>
    <s v="Graphic Card"/>
    <s v="Nvidia"/>
    <n v="7000"/>
    <n v="9100"/>
    <n v="3"/>
    <n v="21000"/>
    <n v="27300"/>
    <s v="Aadil Khan"/>
    <n v="18200"/>
  </r>
  <r>
    <s v="140679"/>
    <s v="KL"/>
    <s v="Ranjeet Kumar"/>
    <s v="07/09/2020"/>
    <s v="Processing"/>
    <s v="42 GB DDR4 Ram"/>
    <s v="NIC"/>
    <s v="Hynix"/>
    <n v="1680"/>
    <n v="2184"/>
    <n v="2"/>
    <n v="3360"/>
    <n v="4368"/>
    <s v="Advika Joshi"/>
    <n v="9100"/>
  </r>
  <r>
    <s v="140680"/>
    <s v="BR"/>
    <s v="Sajal Singhal"/>
    <s v="07/09/2020"/>
    <s v="Delivered"/>
    <s v="Micro ATX motherboard"/>
    <s v="Printer"/>
    <s v="MSI"/>
    <n v="6540"/>
    <n v="8502"/>
    <n v="3"/>
    <n v="19620"/>
    <n v="25506"/>
    <s v="Ajay Sharma"/>
    <n v="11700"/>
  </r>
  <r>
    <s v="140681"/>
    <s v="BR"/>
    <s v="Akhilesh Kumar"/>
    <s v="07/09/2020"/>
    <s v="Shipped"/>
    <s v="Gaming Box Cabinet"/>
    <s v="Cabinet"/>
    <s v="Asus"/>
    <n v="2680"/>
    <n v="3484"/>
    <n v="2"/>
    <n v="5360"/>
    <n v="6968"/>
    <s v="Roshan Kumar"/>
    <n v="2990"/>
  </r>
  <r>
    <s v="140682"/>
    <s v="BR"/>
    <s v="Suvankar Chakraborty"/>
    <s v="07/09/2020"/>
    <s v="Order"/>
    <s v="17&quot; LCD Display"/>
    <s v="Monitor"/>
    <s v="Samsung"/>
    <n v="8250"/>
    <n v="10725"/>
    <n v="3"/>
    <n v="24750"/>
    <n v="32175"/>
    <s v="Aarvi Gupta"/>
    <n v="9750"/>
  </r>
  <r>
    <s v="140683"/>
    <s v="BR"/>
    <s v="Suvankar Adhikary"/>
    <s v="07/09/2020"/>
    <s v="Processing"/>
    <s v="46 GB DDR4 RAM"/>
    <s v="RAM"/>
    <s v="Samsung"/>
    <n v="2650"/>
    <n v="3445"/>
    <n v="1"/>
    <n v="2650"/>
    <n v="3445"/>
    <s v="Vijay Singh"/>
    <n v="25545"/>
  </r>
  <r>
    <s v="140684"/>
    <s v="BR"/>
    <s v="Rahul Kumar Prajapati"/>
    <s v="07/09/2020"/>
    <s v="Delivered"/>
    <s v="26&quot; LCD Display"/>
    <s v="Monitor"/>
    <s v="Acer"/>
    <n v="12550"/>
    <n v="16315"/>
    <n v="3"/>
    <n v="37650"/>
    <n v="48945"/>
    <s v="Aadil Khan"/>
    <n v="9750"/>
  </r>
  <r>
    <s v="140685"/>
    <s v="BR"/>
    <s v="Sagar Jeur"/>
    <s v="07/09/2020"/>
    <s v="Shipped"/>
    <s v="I7 - intel 12th Generation"/>
    <s v="CPU"/>
    <s v="Intel"/>
    <n v="14500"/>
    <n v="18850"/>
    <n v="2"/>
    <n v="29000"/>
    <n v="37700"/>
    <s v="Advika Joshi"/>
    <n v="33150"/>
  </r>
  <r>
    <s v="140686"/>
    <s v="BR"/>
    <s v="Rhushikesh Mane"/>
    <s v="07/09/2020"/>
    <s v="Order"/>
    <s v="USB Keyboard"/>
    <s v="Keyboard"/>
    <s v="Dell"/>
    <n v="800"/>
    <n v="1040"/>
    <n v="4"/>
    <n v="3200"/>
    <n v="4160"/>
    <s v="Ajay Sharma"/>
    <n v="3315"/>
  </r>
  <r>
    <s v="140687"/>
    <s v="BR"/>
    <s v="Ashish Kumar"/>
    <s v="07/09/2020"/>
    <s v="Processing"/>
    <s v="Wireless Mouse"/>
    <s v="Mouse"/>
    <s v="Samsung"/>
    <n v="600"/>
    <n v="780"/>
    <n v="2"/>
    <n v="1200"/>
    <n v="1560"/>
    <s v="Roshan Kumar"/>
    <n v="1690"/>
  </r>
  <r>
    <s v="140688"/>
    <s v="BR"/>
    <s v="Javed Akhter"/>
    <s v="07/09/2020"/>
    <s v="Delivered"/>
    <s v="21&quot; LCD Display"/>
    <s v="Monitor"/>
    <s v="Dell"/>
    <n v="10500"/>
    <n v="13650"/>
    <n v="3"/>
    <n v="31500"/>
    <n v="40950"/>
    <s v="Aarvi Gupta"/>
    <n v="9750"/>
  </r>
  <r>
    <s v="140689"/>
    <s v="BR"/>
    <s v="Haridas Balraj"/>
    <s v="07/09/2020"/>
    <s v="Shipped"/>
    <s v="40 TB HDD"/>
    <s v="HDD"/>
    <s v="Western Digital"/>
    <n v="6500"/>
    <n v="8450"/>
    <n v="1"/>
    <n v="6500"/>
    <n v="8450"/>
    <s v="Vijay Singh"/>
    <n v="39000"/>
  </r>
  <r>
    <s v="140690"/>
    <s v="BR"/>
    <s v="Kundan Kumar"/>
    <s v="07/09/2020"/>
    <s v="Order"/>
    <s v="295 GB SSD"/>
    <s v="SSD"/>
    <s v="Samsung"/>
    <n v="4500"/>
    <n v="5850"/>
    <n v="4"/>
    <n v="18000"/>
    <n v="23400"/>
    <s v="Aadil Khan"/>
    <n v="8450"/>
  </r>
  <r>
    <s v="140691"/>
    <s v="BR"/>
    <s v="Atif Siddiqui"/>
    <s v="07/09/2020"/>
    <s v="Processing"/>
    <s v="Intel i3 11th gen."/>
    <s v="CPU"/>
    <s v="Intel"/>
    <n v="8500"/>
    <n v="11050"/>
    <n v="2"/>
    <n v="17000"/>
    <n v="22100"/>
    <s v="Advika Joshi"/>
    <n v="33150"/>
  </r>
  <r>
    <s v="140692"/>
    <s v="BR"/>
    <s v="Aditya Agarwal"/>
    <s v="07/09/2020"/>
    <s v="Delivered"/>
    <s v="4GB Graphic card"/>
    <s v="Graphic Card"/>
    <s v="Nvidia"/>
    <n v="12500"/>
    <n v="16250"/>
    <n v="4"/>
    <n v="50000"/>
    <n v="65000"/>
    <s v="Ajay Sharma"/>
    <n v="18200"/>
  </r>
  <r>
    <s v="140693"/>
    <s v="BR"/>
    <s v="Firdoush Jabee"/>
    <s v="07/09/2020"/>
    <s v="Shipped"/>
    <s v="47 GB DDR4 RAM"/>
    <s v="RAM"/>
    <s v="Hynix"/>
    <n v="3500"/>
    <n v="4550"/>
    <n v="2"/>
    <n v="7000"/>
    <n v="9100"/>
    <s v="Roshan Kumar"/>
    <n v="25545"/>
  </r>
  <r>
    <s v="140694"/>
    <s v="WB"/>
    <s v="Jay Prakash Kumar"/>
    <s v="07/09/2020"/>
    <s v="Order"/>
    <s v="BTX motherboard"/>
    <s v="MotherBoard"/>
    <s v="Gigabyte"/>
    <n v="4500"/>
    <n v="5850"/>
    <n v="3"/>
    <n v="13500"/>
    <n v="17550"/>
    <s v="Aarvi Gupta"/>
    <n v="39780"/>
  </r>
  <r>
    <s v="140695"/>
    <s v="TN"/>
    <s v="Ashish Pandey"/>
    <s v="07/09/2020"/>
    <s v="Processing"/>
    <s v="42 Fans Cabinet"/>
    <s v="Cabinet"/>
    <s v="Asus"/>
    <n v="2100"/>
    <n v="2730"/>
    <n v="3"/>
    <n v="6300"/>
    <n v="8190"/>
    <s v="Vijay Singh"/>
    <n v="2990"/>
  </r>
  <r>
    <s v="140696"/>
    <s v="TR"/>
    <s v="Ajay Sharma"/>
    <s v="07/09/2020"/>
    <s v="Delivered"/>
    <s v="Wireless Keyboard"/>
    <s v="Keyboard"/>
    <s v="Dell"/>
    <n v="1150"/>
    <n v="1495"/>
    <n v="2"/>
    <n v="2300"/>
    <n v="2990"/>
    <s v="Aadil Khan"/>
    <n v="3315"/>
  </r>
  <r>
    <s v="140697"/>
    <s v="AN"/>
    <s v="Moinuddin Saifi"/>
    <s v="07/09/2020"/>
    <s v="Shipped"/>
    <s v="USB Mouse"/>
    <s v="Mouse"/>
    <s v="Samsung"/>
    <n v="350"/>
    <n v="455"/>
    <n v="1"/>
    <n v="350"/>
    <n v="455"/>
    <s v="Advika Joshi"/>
    <n v="1690"/>
  </r>
  <r>
    <s v="140698"/>
    <s v="BR"/>
    <s v="Ramkrishna Das Adhikary"/>
    <s v="07/09/2020"/>
    <s v="Order"/>
    <s v="19&quot; LED Display"/>
    <s v="Monitor"/>
    <s v="Dell"/>
    <n v="9500"/>
    <n v="12350"/>
    <n v="4"/>
    <n v="38000"/>
    <n v="49400"/>
    <s v="Ajay Sharma"/>
    <n v="9750"/>
  </r>
  <r>
    <s v="140699"/>
    <s v="BR"/>
    <s v="Ranjeet Mandal"/>
    <s v="07/09/2020"/>
    <s v="Processing"/>
    <s v="41 TB HDD"/>
    <s v="HDD"/>
    <s v="Western Digital"/>
    <n v="10000"/>
    <n v="13000"/>
    <n v="2"/>
    <n v="20000"/>
    <n v="26000"/>
    <s v="Roshan Kumar"/>
    <n v="39000"/>
  </r>
  <r>
    <s v="140700"/>
    <s v="BR"/>
    <s v="Ashwini Adsare"/>
    <s v="07/09/2020"/>
    <s v="Delivered"/>
    <s v="551 GB M.2"/>
    <s v="SSD"/>
    <s v="Samsung"/>
    <n v="6500"/>
    <n v="8450"/>
    <n v="3"/>
    <n v="19500"/>
    <n v="25350"/>
    <s v="Aarvi Gupta"/>
    <n v="8450"/>
  </r>
  <r>
    <s v="140701"/>
    <s v="BR"/>
    <s v="Rajesh Variya"/>
    <s v="07/09/2020"/>
    <s v="Shipped"/>
    <s v="RYZEN 3rd gen. 3539"/>
    <s v="CPU"/>
    <s v="Intel"/>
    <n v="8500"/>
    <n v="11050"/>
    <n v="4"/>
    <n v="34000"/>
    <n v="44200"/>
    <s v="Vijay Singh"/>
    <n v="33150"/>
  </r>
  <r>
    <s v="140702"/>
    <s v="BR"/>
    <s v="Amit Singh"/>
    <s v="07/09/2020"/>
    <s v="Order"/>
    <s v="2GB Graphic Card"/>
    <s v="Graphic Card"/>
    <s v="Nvidia"/>
    <n v="7000"/>
    <n v="9100"/>
    <n v="2"/>
    <n v="14000"/>
    <n v="18200"/>
    <s v="Aadil Khan"/>
    <n v="18200"/>
  </r>
  <r>
    <s v="140703"/>
    <s v="BR"/>
    <s v="Vinod Mehta"/>
    <s v="07/09/2020"/>
    <s v="Processing"/>
    <s v="55 GB DDR4 RAM"/>
    <s v="RAM"/>
    <s v="Hynix"/>
    <n v="6550"/>
    <n v="8515"/>
    <n v="2"/>
    <n v="13100"/>
    <n v="17030"/>
    <s v="Advika Joshi"/>
    <n v="25545"/>
  </r>
  <r>
    <s v="140704"/>
    <s v="BR"/>
    <s v="Jignesh Mhatre"/>
    <s v="07/09/2020"/>
    <s v="Delivered"/>
    <s v="Standard ATX motherboard"/>
    <s v="MotherBoard"/>
    <s v="Gigabyte"/>
    <n v="7650"/>
    <n v="9945"/>
    <n v="1"/>
    <n v="7650"/>
    <n v="9945"/>
    <s v="Ajay Sharma"/>
    <n v="39780"/>
  </r>
  <r>
    <s v="140705"/>
    <s v="BR"/>
    <s v="Rahul Kashyap"/>
    <s v="07/09/2020"/>
    <s v="Shipped"/>
    <s v="Compact with 1 Fan"/>
    <s v="Cabinet"/>
    <s v="Asus"/>
    <n v="1150"/>
    <n v="1495"/>
    <n v="3"/>
    <n v="3450"/>
    <n v="4485"/>
    <s v="Roshan Kumar"/>
    <n v="2990"/>
  </r>
  <r>
    <s v="140706"/>
    <s v="BR"/>
    <s v="Mohammed Abdul Kaleem"/>
    <s v="07/09/2020"/>
    <s v="Order"/>
    <s v="USB Backlight Keyboard"/>
    <s v="Keyboard"/>
    <s v="Dell"/>
    <n v="850"/>
    <n v="1105"/>
    <n v="3"/>
    <n v="2550"/>
    <n v="3315"/>
    <s v="Aarvi Gupta"/>
    <n v="3315"/>
  </r>
  <r>
    <s v="140707"/>
    <s v="BR"/>
    <s v="Chandrakant Kasbe"/>
    <s v="07/09/2020"/>
    <s v="Processing"/>
    <s v="Ergonomic Mouse"/>
    <s v="Mouse"/>
    <s v="Samsung"/>
    <n v="650"/>
    <n v="845"/>
    <n v="2"/>
    <n v="1300"/>
    <n v="1690"/>
    <s v="Vijay Singh"/>
    <n v="1690"/>
  </r>
  <r>
    <s v="140708"/>
    <s v="BR"/>
    <s v="Rohan Kale"/>
    <s v="07/09/2020"/>
    <s v="Delivered"/>
    <s v="15&quot; LCD Dsipaly"/>
    <s v="Monitor"/>
    <s v="Dell"/>
    <n v="7500"/>
    <n v="9750"/>
    <n v="1"/>
    <n v="7500"/>
    <n v="9750"/>
    <s v="Aadil Khan"/>
    <n v="9750"/>
  </r>
  <r>
    <s v="140709"/>
    <s v="BR"/>
    <s v="Aniruddha Kekapure"/>
    <s v="07/09/2020"/>
    <s v="Shipped"/>
    <s v="41 TB HDD"/>
    <s v="HDD"/>
    <s v="Seagate"/>
    <n v="10000"/>
    <n v="13000"/>
    <n v="4"/>
    <n v="40000"/>
    <n v="52000"/>
    <s v="Advika Joshi"/>
    <n v="39000"/>
  </r>
  <r>
    <s v="140710"/>
    <s v="BR"/>
    <s v="Aslam Raza"/>
    <s v="07/09/2020"/>
    <s v="Order"/>
    <s v="40 TB SSD"/>
    <s v="SSD"/>
    <s v="Samsung"/>
    <n v="10500"/>
    <n v="13650"/>
    <n v="3"/>
    <n v="31500"/>
    <n v="40950"/>
    <s v="Ajay Sharma"/>
    <n v="8450"/>
  </r>
  <r>
    <s v="140711"/>
    <s v="BR"/>
    <s v="Roshan Zameer"/>
    <s v="07/09/2020"/>
    <s v="Processing"/>
    <s v="Intel i5 12th gen."/>
    <s v="CPU"/>
    <s v="Intel"/>
    <n v="8500"/>
    <n v="11050"/>
    <n v="2"/>
    <n v="17000"/>
    <n v="22100"/>
    <s v="Roshan Kumar"/>
    <n v="33150"/>
  </r>
  <r>
    <s v="140712"/>
    <s v="HP"/>
    <s v="Rakesh Kumar Sharma"/>
    <s v="07/09/2020"/>
    <s v="Delivered"/>
    <s v="2GB Graphic Card"/>
    <s v="Graphic Card"/>
    <s v="Nvidia"/>
    <n v="7000"/>
    <n v="9100"/>
    <n v="1"/>
    <n v="7000"/>
    <n v="9100"/>
    <s v="Aarvi Gupta"/>
    <n v="18200"/>
  </r>
  <r>
    <s v="140713"/>
    <s v="JK"/>
    <s v="Shivanand Sahani"/>
    <s v="07/09/2020"/>
    <s v="Shipped"/>
    <s v="43 GB DDR4 Ram"/>
    <s v="RAM"/>
    <s v="Hynix"/>
    <n v="1680"/>
    <n v="2184"/>
    <n v="2"/>
    <n v="3360"/>
    <n v="4368"/>
    <s v="Vijay Singh"/>
    <n v="25545"/>
  </r>
  <r>
    <s v="140714"/>
    <s v="JH"/>
    <s v="Kunal Patra"/>
    <s v="07/09/2020"/>
    <s v="Order"/>
    <s v="Micro ATX motherboard"/>
    <s v="MotherBoard"/>
    <s v="MSI"/>
    <n v="6540"/>
    <n v="8502"/>
    <n v="4"/>
    <n v="26160"/>
    <n v="34008"/>
    <s v="Aadil Khan"/>
    <n v="39780"/>
  </r>
  <r>
    <s v="140715"/>
    <s v="KA"/>
    <s v="Bijendra"/>
    <s v="07/09/2020"/>
    <s v="Processing"/>
    <s v="Gaming Box Cabinet"/>
    <s v="Cabinet"/>
    <s v="Asus"/>
    <n v="2680"/>
    <n v="3484"/>
    <n v="1"/>
    <n v="2680"/>
    <n v="3484"/>
    <s v="Advika Joshi"/>
    <n v="2990"/>
  </r>
  <r>
    <s v="140716"/>
    <s v="KL"/>
    <s v="Kranti Bheke"/>
    <s v="07/09/2020"/>
    <s v="Delivered"/>
    <s v="17&quot; LCD Display"/>
    <s v="Monitor"/>
    <s v="Samsung"/>
    <n v="8250"/>
    <n v="10725"/>
    <n v="2"/>
    <n v="16500"/>
    <n v="21450"/>
    <s v="Ajay Sharma"/>
    <n v="9750"/>
  </r>
  <r>
    <s v="140717"/>
    <s v="MP"/>
    <s v="Jagdeep"/>
    <s v="07/09/2020"/>
    <s v="Shipped"/>
    <s v="47 GB DDR4 RAM"/>
    <s v="RAM"/>
    <s v="Samsung"/>
    <n v="2650"/>
    <n v="3445"/>
    <n v="4"/>
    <n v="10600"/>
    <n v="13780"/>
    <s v="Roshan Kumar"/>
    <n v="25545"/>
  </r>
  <r>
    <s v="140718"/>
    <s v="MH"/>
    <s v="Adhir Samal"/>
    <s v="07/09/2020"/>
    <s v="Order"/>
    <s v="26&quot; LCD Display"/>
    <s v="Monitor"/>
    <s v="Acer"/>
    <n v="12550"/>
    <n v="16315"/>
    <n v="4"/>
    <n v="50200"/>
    <n v="65260"/>
    <s v="Aarvi Gupta"/>
    <n v="9750"/>
  </r>
  <r>
    <s v="140719"/>
    <s v="MN"/>
    <s v="Dannana Jhammi"/>
    <s v="07/09/2020"/>
    <s v="Processing"/>
    <s v="I7 - intel 12th Generation"/>
    <s v="CPU"/>
    <s v="Intel"/>
    <n v="14500"/>
    <n v="18850"/>
    <n v="2"/>
    <n v="29000"/>
    <n v="37700"/>
    <s v="Vijay Singh"/>
    <n v="33150"/>
  </r>
  <r>
    <s v="140720"/>
    <s v="ML"/>
    <s v="Vipin Kumar"/>
    <s v="07/09/2020"/>
    <s v="Delivered"/>
    <s v="USB Keyboard"/>
    <s v="Keyboard"/>
    <s v="Dell"/>
    <n v="800"/>
    <n v="1040"/>
    <n v="1"/>
    <n v="800"/>
    <n v="1040"/>
    <s v="Aadil Khan"/>
    <n v="3315"/>
  </r>
  <r>
    <s v="140721"/>
    <s v="MZ"/>
    <s v="Ranjeet Kumar"/>
    <s v="07/09/2020"/>
    <s v="Shipped"/>
    <s v="Wireless Mouse"/>
    <s v="Mouse"/>
    <s v="Samsung"/>
    <n v="600"/>
    <n v="780"/>
    <n v="3"/>
    <n v="1800"/>
    <n v="2340"/>
    <s v="Advika Joshi"/>
    <n v="1690"/>
  </r>
  <r>
    <s v="140722"/>
    <s v="NL"/>
    <s v="Sajal Singhal"/>
    <s v="07/09/2020"/>
    <s v="Order"/>
    <s v="21&quot; LCD Display"/>
    <s v="Monitor"/>
    <s v="Dell"/>
    <n v="10500"/>
    <n v="13650"/>
    <n v="4"/>
    <n v="42000"/>
    <n v="54600"/>
    <s v="Ajay Sharma"/>
    <n v="9750"/>
  </r>
  <r>
    <s v="140723"/>
    <s v="OR"/>
    <s v="Akhilesh Kumar"/>
    <s v="07/09/2020"/>
    <s v="Processing"/>
    <s v="41 TB HDD"/>
    <s v="HDD"/>
    <s v="Western Digital"/>
    <n v="6500"/>
    <n v="8450"/>
    <n v="2"/>
    <n v="13000"/>
    <n v="16900"/>
    <s v="Roshan Kumar"/>
    <n v="39000"/>
  </r>
  <r>
    <s v="140724"/>
    <s v="PB"/>
    <s v="Suvankar Chakraborty"/>
    <s v="07/09/2020"/>
    <s v="Delivered"/>
    <s v="296 GB SSD"/>
    <s v="SSD"/>
    <s v="Samsung"/>
    <n v="4500"/>
    <n v="5850"/>
    <n v="2"/>
    <n v="9000"/>
    <n v="11700"/>
    <s v="Aarvi Gupta"/>
    <n v="8450"/>
  </r>
  <r>
    <s v="140725"/>
    <s v="RJ"/>
    <s v="Suvankar Adhikary"/>
    <s v="07/09/2020"/>
    <s v="Shipped"/>
    <s v="Intel i3 11th gen."/>
    <s v="CPU"/>
    <s v="Intel"/>
    <n v="8500"/>
    <n v="11050"/>
    <n v="2"/>
    <n v="17000"/>
    <n v="22100"/>
    <s v="Vijay Singh"/>
    <n v="33150"/>
  </r>
  <r>
    <s v="140726"/>
    <s v="SK"/>
    <s v="Rahul Kumar Prajapati"/>
    <s v="07/09/2020"/>
    <s v="Order"/>
    <s v="4GB Graphic card"/>
    <s v="Graphic Card"/>
    <s v="Nvidia"/>
    <n v="12500"/>
    <n v="16250"/>
    <n v="1"/>
    <n v="12500"/>
    <n v="16250"/>
    <s v="Aadil Khan"/>
    <n v="18200"/>
  </r>
  <r>
    <s v="140727"/>
    <s v="TN"/>
    <s v="Sagar Jeur"/>
    <s v="07/09/2020"/>
    <s v="Processing"/>
    <s v="48 GB DDR4 RAM"/>
    <s v="Computer Case"/>
    <s v="Hynix"/>
    <n v="3500"/>
    <n v="4550"/>
    <n v="3"/>
    <n v="10500"/>
    <n v="13650"/>
    <s v="Advika Joshi"/>
    <n v="13650"/>
  </r>
  <r>
    <s v="140728"/>
    <s v="TR"/>
    <s v="Rhushikesh Mane"/>
    <s v="07/09/2020"/>
    <s v="Delivered"/>
    <s v="BTX motherboard"/>
    <s v="Mouse"/>
    <s v="Gigabyte"/>
    <n v="4500"/>
    <n v="5850"/>
    <n v="3"/>
    <n v="13500"/>
    <n v="17550"/>
    <s v="Ajay Sharma"/>
    <n v="1690"/>
  </r>
  <r>
    <s v="140729"/>
    <s v="UK"/>
    <s v="Ashish Kumar"/>
    <s v="07/09/2020"/>
    <s v="Shipped"/>
    <s v="43 Fans Cabinet"/>
    <s v="Cabinet"/>
    <s v="Asus"/>
    <n v="2100"/>
    <n v="2730"/>
    <n v="2"/>
    <n v="4200"/>
    <n v="5460"/>
    <s v="Roshan Kumar"/>
    <n v="2990"/>
  </r>
  <r>
    <s v="140730"/>
    <s v="UP"/>
    <s v="Javed Akhter"/>
    <s v="07/09/2020"/>
    <s v="Order"/>
    <s v="Wireless Keyboard"/>
    <s v="Keyboard"/>
    <s v="Dell"/>
    <n v="1150"/>
    <n v="1495"/>
    <n v="4"/>
    <n v="4600"/>
    <n v="5980"/>
    <s v="Aarvi Gupta"/>
    <n v="3315"/>
  </r>
  <r>
    <s v="140731"/>
    <s v="WB"/>
    <s v="Haridas Balraj"/>
    <s v="07/09/2020"/>
    <s v="Processing"/>
    <s v="USB Mouse"/>
    <s v="Mouse"/>
    <s v="Samsung"/>
    <n v="350"/>
    <n v="455"/>
    <n v="4"/>
    <n v="1400"/>
    <n v="1820"/>
    <s v="Vijay Singh"/>
    <n v="1690"/>
  </r>
  <r>
    <s v="140732"/>
    <s v="TN"/>
    <s v="Kundan Kumar"/>
    <s v="07/09/2020"/>
    <s v="Delivered"/>
    <s v="19&quot; LED Display"/>
    <s v="Monitor"/>
    <s v="Dell"/>
    <n v="9500"/>
    <n v="12350"/>
    <n v="2"/>
    <n v="19000"/>
    <n v="24700"/>
    <s v="Aadil Khan"/>
    <n v="9750"/>
  </r>
  <r>
    <s v="140733"/>
    <s v="TR"/>
    <s v="Atif Siddiqui"/>
    <s v="07/09/2020"/>
    <s v="Shipped"/>
    <s v="42 TB HDD"/>
    <s v="HDD"/>
    <s v="Western Digital"/>
    <n v="10000"/>
    <n v="13000"/>
    <n v="1"/>
    <n v="10000"/>
    <n v="13000"/>
    <s v="Advika Joshi"/>
    <n v="39000"/>
  </r>
  <r>
    <s v="140734"/>
    <s v="AN"/>
    <s v="Aditya Agarwal"/>
    <s v="07/09/2020"/>
    <s v="Order"/>
    <s v="552 GB M.2"/>
    <s v="SSD"/>
    <s v="Samsung"/>
    <n v="6500"/>
    <n v="8450"/>
    <n v="4"/>
    <n v="26000"/>
    <n v="33800"/>
    <s v="Ajay Sharma"/>
    <n v="8450"/>
  </r>
  <r>
    <s v="140735"/>
    <s v="CH"/>
    <s v="Firdoush Jabee"/>
    <s v="07/09/2020"/>
    <s v="Processing"/>
    <s v="RYZEN 3rd gen. 3540"/>
    <s v="CPU"/>
    <s v="Intel"/>
    <n v="8500"/>
    <n v="11050"/>
    <n v="3"/>
    <n v="25500"/>
    <n v="33150"/>
    <s v="Roshan Kumar"/>
    <n v="33150"/>
  </r>
  <r>
    <s v="140736"/>
    <s v="DH"/>
    <s v="Jay Prakash Kumar"/>
    <s v="07/09/2020"/>
    <s v="Delivered"/>
    <s v="2GB Graphic Card"/>
    <s v="Graphic Card"/>
    <s v="Nvidia"/>
    <n v="7000"/>
    <n v="9100"/>
    <n v="4"/>
    <n v="28000"/>
    <n v="36400"/>
    <s v="Aarvi Gupta"/>
    <n v="18200"/>
  </r>
  <r>
    <s v="140737"/>
    <s v="DD"/>
    <s v="Ashish Pandey"/>
    <s v="07/09/2020"/>
    <s v="Shipped"/>
    <s v="56 GB DDR4 RAM"/>
    <s v="Computer Case"/>
    <s v="Hynix"/>
    <n v="6550"/>
    <n v="8515"/>
    <n v="4"/>
    <n v="26200"/>
    <n v="34060"/>
    <s v="Vijay Singh"/>
    <n v="13650"/>
  </r>
  <r>
    <s v="140738"/>
    <s v="DL"/>
    <s v="Ajay Sharma"/>
    <s v="07/09/2020"/>
    <s v="Order"/>
    <s v="Standard ATX motherboard"/>
    <s v="Mouse"/>
    <s v="Gigabyte"/>
    <n v="7650"/>
    <n v="9945"/>
    <n v="4"/>
    <n v="30600"/>
    <n v="39780"/>
    <s v="Aadil Khan"/>
    <n v="1690"/>
  </r>
  <r>
    <s v="140739"/>
    <s v="LD"/>
    <s v="Moinuddin Saifi"/>
    <s v="07/09/2020"/>
    <s v="Processing"/>
    <s v="Compact with 1 Fan"/>
    <s v="Cabinet"/>
    <s v="Asus"/>
    <n v="1150"/>
    <n v="1495"/>
    <n v="4"/>
    <n v="4600"/>
    <n v="5980"/>
    <s v="Advika Joshi"/>
    <n v="2990"/>
  </r>
  <r>
    <s v="140740"/>
    <s v="PY"/>
    <s v="Ramkrishna Das Adhikary"/>
    <s v="07/09/2020"/>
    <s v="Delivered"/>
    <s v="USB Backlight Keyboard"/>
    <s v="Keyboard"/>
    <s v="Dell"/>
    <n v="850"/>
    <n v="1105"/>
    <n v="2"/>
    <n v="1700"/>
    <n v="2210"/>
    <s v="Ajay Sharma"/>
    <n v="3315"/>
  </r>
  <r>
    <s v="140741"/>
    <s v="AP"/>
    <s v="Ranjeet Mandal"/>
    <s v="07/09/2020"/>
    <s v="Shipped"/>
    <s v="Ergonomic Mouse"/>
    <s v="Mouse"/>
    <s v="Samsung"/>
    <n v="650"/>
    <n v="845"/>
    <n v="4"/>
    <n v="2600"/>
    <n v="3380"/>
    <s v="Roshan Kumar"/>
    <n v="1690"/>
  </r>
  <r>
    <s v="140742"/>
    <s v="AR"/>
    <s v="Ashwini Adsare"/>
    <s v="07/09/2020"/>
    <s v="Order"/>
    <s v="15&quot; LCD Dsipaly"/>
    <s v="Monitor"/>
    <s v="Dell"/>
    <n v="7500"/>
    <n v="9750"/>
    <n v="3"/>
    <n v="22500"/>
    <n v="29250"/>
    <s v="Aarvi Gupta"/>
    <n v="9750"/>
  </r>
  <r>
    <s v="140743"/>
    <s v="AS"/>
    <s v="Rajesh Variya"/>
    <s v="07/09/2020"/>
    <s v="Processing"/>
    <s v="42 TB HDD"/>
    <s v="HDD"/>
    <s v="Seagate"/>
    <n v="10000"/>
    <n v="13000"/>
    <n v="1"/>
    <n v="10000"/>
    <n v="13000"/>
    <s v="Vijay Singh"/>
    <n v="39000"/>
  </r>
  <r>
    <s v="140744"/>
    <s v="BR"/>
    <s v="Amit Singh"/>
    <s v="07/09/2020"/>
    <s v="Delivered"/>
    <s v="41 TB SSD"/>
    <s v="SSD"/>
    <s v="Samsung"/>
    <n v="10500"/>
    <n v="13650"/>
    <n v="3"/>
    <n v="31500"/>
    <n v="40950"/>
    <s v="Aadil Khan"/>
    <n v="8450"/>
  </r>
  <r>
    <s v="140745"/>
    <s v="BR"/>
    <s v="Vinod Mehta"/>
    <s v="07/09/2020"/>
    <s v="Shipped"/>
    <s v="Intel i5 12th gen."/>
    <s v="CPU"/>
    <s v="Intel"/>
    <n v="8500"/>
    <n v="11050"/>
    <n v="4"/>
    <n v="34000"/>
    <n v="44200"/>
    <s v="Advika Joshi"/>
    <n v="33150"/>
  </r>
  <r>
    <s v="140746"/>
    <s v="BR"/>
    <s v="Jignesh Mhatre"/>
    <s v="07/09/2020"/>
    <s v="Order"/>
    <s v="2GB Graphic Card"/>
    <s v="Graphic Card"/>
    <s v="Nvidia"/>
    <n v="7000"/>
    <n v="9100"/>
    <n v="1"/>
    <n v="7000"/>
    <n v="9100"/>
    <s v="Ajay Sharma"/>
    <n v="18200"/>
  </r>
  <r>
    <s v="140747"/>
    <s v="BR"/>
    <s v="Rahul Kashyap"/>
    <s v="07/09/2020"/>
    <s v="Processing"/>
    <s v="44 GB DDR4 Ram"/>
    <s v="Computer Case"/>
    <s v="Hynix"/>
    <n v="1680"/>
    <n v="2184"/>
    <n v="2"/>
    <n v="3360"/>
    <n v="4368"/>
    <s v="Roshan Kumar"/>
    <n v="13650"/>
  </r>
  <r>
    <s v="140748"/>
    <s v="BR"/>
    <s v="Mohammed Abdul Kaleem"/>
    <s v="07/09/2020"/>
    <s v="Delivered"/>
    <s v="Micro ATX motherboard"/>
    <s v="Mouse"/>
    <s v="MSI"/>
    <n v="6540"/>
    <n v="8502"/>
    <n v="4"/>
    <n v="26160"/>
    <n v="34008"/>
    <s v="Aarvi Gupta"/>
    <n v="1690"/>
  </r>
  <r>
    <s v="140749"/>
    <s v="BR"/>
    <s v="Chandrakant Kasbe"/>
    <s v="07/09/2020"/>
    <s v="Shipped"/>
    <s v="Gaming Box Cabinet"/>
    <s v="Cabinet"/>
    <s v="Asus"/>
    <n v="2680"/>
    <n v="3484"/>
    <n v="4"/>
    <n v="10720"/>
    <n v="13936"/>
    <s v="Vijay Singh"/>
    <n v="2990"/>
  </r>
  <r>
    <s v="140750"/>
    <s v="BR"/>
    <s v="Rohan Kale"/>
    <s v="07/09/2020"/>
    <s v="Order"/>
    <s v="17&quot; LCD Display"/>
    <s v="Monitor"/>
    <s v="Samsung"/>
    <n v="8250"/>
    <n v="10725"/>
    <n v="2"/>
    <n v="16500"/>
    <n v="21450"/>
    <s v="Aadil Khan"/>
    <n v="9750"/>
  </r>
  <r>
    <s v="140751"/>
    <s v="BR"/>
    <s v="Aniruddha Kekapure"/>
    <s v="07/09/2020"/>
    <s v="Processing"/>
    <s v="48 GB DDR4 RAM"/>
    <s v="RAM"/>
    <s v="Samsung"/>
    <n v="2650"/>
    <n v="3445"/>
    <n v="2"/>
    <n v="5300"/>
    <n v="6890"/>
    <s v="Advika Joshi"/>
    <n v="25545"/>
  </r>
  <r>
    <s v="140752"/>
    <s v="BR"/>
    <s v="Aslam Raza"/>
    <s v="07/09/2020"/>
    <s v="Delivered"/>
    <s v="26&quot; LCD Display"/>
    <s v="Monitor"/>
    <s v="Acer"/>
    <n v="12550"/>
    <n v="16315"/>
    <n v="3"/>
    <n v="37650"/>
    <n v="48945"/>
    <s v="Ajay Sharma"/>
    <n v="9750"/>
  </r>
  <r>
    <s v="140753"/>
    <s v="BR"/>
    <s v="Roshan Zameer"/>
    <s v="08/09/2020"/>
    <s v="Shipped"/>
    <s v="I7 - intel 12th Generation"/>
    <s v="CPU"/>
    <s v="Intel"/>
    <n v="14500"/>
    <n v="18850"/>
    <n v="1"/>
    <n v="14500"/>
    <n v="18850"/>
    <s v="Roshan Kumar"/>
    <n v="33150"/>
  </r>
  <r>
    <s v="140754"/>
    <s v="BR"/>
    <s v="Rakesh Kumar Sharma"/>
    <s v="09/09/2020"/>
    <s v="Order"/>
    <s v="USB Keyboard"/>
    <s v="Keyboard"/>
    <s v="Dell"/>
    <n v="800"/>
    <n v="1040"/>
    <n v="4"/>
    <n v="3200"/>
    <n v="4160"/>
    <s v="Aarvi Gupta"/>
    <n v="3315"/>
  </r>
  <r>
    <s v="140755"/>
    <s v="BR"/>
    <s v="Shivanand Sahani"/>
    <s v="10/09/2020"/>
    <s v="Processing"/>
    <s v="Wireless Mouse"/>
    <s v="Mouse"/>
    <s v="Samsung"/>
    <n v="600"/>
    <n v="780"/>
    <n v="1"/>
    <n v="600"/>
    <n v="780"/>
    <s v="Vijay Singh"/>
    <n v="1690"/>
  </r>
  <r>
    <s v="140756"/>
    <s v="BR"/>
    <s v="Kunal Patra"/>
    <s v="10/09/2020"/>
    <s v="Delivered"/>
    <s v="21&quot; LCD Display"/>
    <s v="Monitor"/>
    <s v="Dell"/>
    <n v="10500"/>
    <n v="13650"/>
    <n v="3"/>
    <n v="31500"/>
    <n v="40950"/>
    <s v="Aadil Khan"/>
    <n v="9750"/>
  </r>
  <r>
    <s v="140757"/>
    <s v="BR"/>
    <s v="Bijendra"/>
    <s v="10/09/2020"/>
    <s v="Shipped"/>
    <s v="42 TB HDD"/>
    <s v="HDD"/>
    <s v="Western Digital"/>
    <n v="6500"/>
    <n v="8450"/>
    <n v="3"/>
    <n v="19500"/>
    <n v="25350"/>
    <s v="Advika Joshi"/>
    <n v="39000"/>
  </r>
  <r>
    <s v="140758"/>
    <s v="BR"/>
    <s v="Kranti Bheke"/>
    <s v="10/09/2020"/>
    <s v="Order"/>
    <s v="297 GB SSD"/>
    <s v="SSD"/>
    <s v="Samsung"/>
    <n v="4500"/>
    <n v="5850"/>
    <n v="2"/>
    <n v="9000"/>
    <n v="11700"/>
    <s v="Ajay Sharma"/>
    <n v="8450"/>
  </r>
  <r>
    <s v="140759"/>
    <s v="NL"/>
    <s v="Jagdeep"/>
    <s v="10/09/2020"/>
    <s v="Processing"/>
    <s v="Intel i3 11th gen."/>
    <s v="CPU"/>
    <s v="Intel"/>
    <n v="8500"/>
    <n v="11050"/>
    <n v="4"/>
    <n v="34000"/>
    <n v="44200"/>
    <s v="Roshan Kumar"/>
    <n v="33150"/>
  </r>
  <r>
    <s v="140760"/>
    <s v="OR"/>
    <s v="Adhir Samal"/>
    <s v="10/09/2020"/>
    <s v="Delivered"/>
    <s v="4GB Graphic card"/>
    <s v="Graphic Card"/>
    <s v="Nvidia"/>
    <n v="12500"/>
    <n v="16250"/>
    <n v="4"/>
    <n v="50000"/>
    <n v="65000"/>
    <s v="Aarvi Gupta"/>
    <n v="18200"/>
  </r>
  <r>
    <s v="140761"/>
    <s v="PB"/>
    <s v="Dannana Jhammi"/>
    <s v="10/09/2020"/>
    <s v="Shipped"/>
    <s v="49 GB DDR4 RAM"/>
    <s v="NIC"/>
    <s v="Hynix"/>
    <n v="3500"/>
    <n v="4550"/>
    <n v="3"/>
    <n v="10500"/>
    <n v="13650"/>
    <s v="Vijay Singh"/>
    <n v="9100"/>
  </r>
  <r>
    <s v="140762"/>
    <s v="RJ"/>
    <s v="Vipin Kumar"/>
    <s v="10/09/2020"/>
    <s v="Order"/>
    <s v="BTX motherboard"/>
    <s v="Printer"/>
    <s v="Gigabyte"/>
    <n v="4500"/>
    <n v="5850"/>
    <n v="1"/>
    <n v="4500"/>
    <n v="5850"/>
    <s v="Aadil Khan"/>
    <n v="11700"/>
  </r>
  <r>
    <s v="140763"/>
    <s v="SK"/>
    <s v="Ranjeet Kumar"/>
    <s v="10/09/2020"/>
    <s v="Processing"/>
    <s v="44 Fans Cabinet"/>
    <s v="Cabinet"/>
    <s v="Asus"/>
    <n v="2100"/>
    <n v="2730"/>
    <n v="4"/>
    <n v="8400"/>
    <n v="10920"/>
    <s v="Advika Joshi"/>
    <n v="2990"/>
  </r>
  <r>
    <s v="140764"/>
    <s v="TN"/>
    <s v="Sajal Singhal"/>
    <s v="10/09/2020"/>
    <s v="Delivered"/>
    <s v="Wireless Keyboard"/>
    <s v="Keyboard"/>
    <s v="Dell"/>
    <n v="1150"/>
    <n v="1495"/>
    <n v="1"/>
    <n v="1150"/>
    <n v="1495"/>
    <s v="Ajay Sharma"/>
    <n v="3315"/>
  </r>
  <r>
    <s v="140765"/>
    <s v="TR"/>
    <s v="Akhilesh Kumar"/>
    <s v="10/09/2020"/>
    <s v="Shipped"/>
    <s v="USB Mouse"/>
    <s v="Mouse"/>
    <s v="Samsung"/>
    <n v="350"/>
    <n v="455"/>
    <n v="2"/>
    <n v="700"/>
    <n v="910"/>
    <s v="Roshan Kumar"/>
    <n v="1690"/>
  </r>
  <r>
    <s v="140766"/>
    <s v="UK"/>
    <s v="Suvankar Chakraborty"/>
    <s v="10/09/2020"/>
    <s v="Order"/>
    <s v="19&quot; LED Display"/>
    <s v="Monitor"/>
    <s v="Dell"/>
    <n v="9500"/>
    <n v="12350"/>
    <n v="1"/>
    <n v="9500"/>
    <n v="12350"/>
    <s v="Aarvi Gupta"/>
    <n v="9750"/>
  </r>
  <r>
    <s v="140767"/>
    <s v="UP"/>
    <s v="Suvankar Adhikary"/>
    <s v="10/09/2020"/>
    <s v="Processing"/>
    <s v="43 TB HDD"/>
    <s v="HDD"/>
    <s v="Western Digital"/>
    <n v="10000"/>
    <n v="13000"/>
    <n v="4"/>
    <n v="40000"/>
    <n v="52000"/>
    <s v="Vijay Singh"/>
    <n v="39000"/>
  </r>
  <r>
    <s v="140768"/>
    <s v="WB"/>
    <s v="Rahul Kumar Prajapati"/>
    <s v="10/09/2020"/>
    <s v="Delivered"/>
    <s v="553 GB M.2"/>
    <s v="SSD"/>
    <s v="Samsung"/>
    <n v="6500"/>
    <n v="8450"/>
    <n v="1"/>
    <n v="6500"/>
    <n v="8450"/>
    <s v="Aadil Khan"/>
    <n v="8450"/>
  </r>
  <r>
    <s v="140769"/>
    <s v="TN"/>
    <s v="Sagar Jeur"/>
    <s v="10/09/2020"/>
    <s v="Shipped"/>
    <s v="RYZEN 3rd gen. 3541"/>
    <s v="CPU"/>
    <s v="Intel"/>
    <n v="8500"/>
    <n v="11050"/>
    <n v="2"/>
    <n v="17000"/>
    <n v="22100"/>
    <s v="Advika Joshi"/>
    <n v="33150"/>
  </r>
  <r>
    <s v="140770"/>
    <s v="TR"/>
    <s v="Rhushikesh Mane"/>
    <s v="10/09/2020"/>
    <s v="Order"/>
    <s v="2GB Graphic Card"/>
    <s v="Graphic Card"/>
    <s v="Nvidia"/>
    <n v="7000"/>
    <n v="9100"/>
    <n v="1"/>
    <n v="7000"/>
    <n v="9100"/>
    <s v="Ajay Sharma"/>
    <n v="18200"/>
  </r>
  <r>
    <s v="140771"/>
    <s v="AN"/>
    <s v="Ashish Kumar"/>
    <s v="10/09/2020"/>
    <s v="Processing"/>
    <s v="57 GB DDR4 RAM"/>
    <s v="NIC"/>
    <s v="Hynix"/>
    <n v="6550"/>
    <n v="8515"/>
    <n v="2"/>
    <n v="13100"/>
    <n v="17030"/>
    <s v="Roshan Kumar"/>
    <n v="9100"/>
  </r>
  <r>
    <s v="140772"/>
    <s v="CH"/>
    <s v="Javed Akhter"/>
    <s v="10/09/2020"/>
    <s v="Delivered"/>
    <s v="Standard ATX motherboard"/>
    <s v="Printer"/>
    <s v="Gigabyte"/>
    <n v="7650"/>
    <n v="9945"/>
    <n v="2"/>
    <n v="15300"/>
    <n v="19890"/>
    <s v="Aarvi Gupta"/>
    <n v="11700"/>
  </r>
  <r>
    <s v="140773"/>
    <s v="DH"/>
    <s v="Haridas Balraj"/>
    <s v="10/09/2020"/>
    <s v="Shipped"/>
    <s v="Compact with 1 Fan"/>
    <s v="Cabinet"/>
    <s v="Asus"/>
    <n v="1150"/>
    <n v="1495"/>
    <n v="2"/>
    <n v="2300"/>
    <n v="2990"/>
    <s v="Vijay Singh"/>
    <n v="2990"/>
  </r>
  <r>
    <s v="140774"/>
    <s v="DD"/>
    <s v="Kundan Kumar"/>
    <s v="10/09/2020"/>
    <s v="Order"/>
    <s v="USB Backlight Keyboard"/>
    <s v="Keyboard"/>
    <s v="Dell"/>
    <n v="850"/>
    <n v="1105"/>
    <n v="2"/>
    <n v="1700"/>
    <n v="2210"/>
    <s v="Aadil Khan"/>
    <n v="3315"/>
  </r>
  <r>
    <s v="140775"/>
    <s v="DL"/>
    <s v="Atif Siddiqui"/>
    <s v="10/09/2020"/>
    <s v="Processing"/>
    <s v="Ergonomic Mouse"/>
    <s v="Mouse"/>
    <s v="Samsung"/>
    <n v="650"/>
    <n v="845"/>
    <n v="3"/>
    <n v="1950"/>
    <n v="2535"/>
    <s v="Advika Joshi"/>
    <n v="1690"/>
  </r>
  <r>
    <s v="140776"/>
    <s v="LD"/>
    <s v="Aditya Agarwal"/>
    <s v="10/09/2020"/>
    <s v="Delivered"/>
    <s v="15&quot; LCD Dsipaly"/>
    <s v="Monitor"/>
    <s v="Dell"/>
    <n v="7500"/>
    <n v="9750"/>
    <n v="4"/>
    <n v="30000"/>
    <n v="39000"/>
    <s v="Ajay Sharma"/>
    <n v="9750"/>
  </r>
  <r>
    <s v="140777"/>
    <s v="PY"/>
    <s v="Firdoush Jabee"/>
    <s v="10/09/2020"/>
    <s v="Shipped"/>
    <s v="43 TB HDD"/>
    <s v="HDD"/>
    <s v="Seagate"/>
    <n v="10000"/>
    <n v="13000"/>
    <n v="2"/>
    <n v="20000"/>
    <n v="26000"/>
    <s v="Roshan Kumar"/>
    <n v="39000"/>
  </r>
  <r>
    <s v="140778"/>
    <s v="AP"/>
    <s v="Jay Prakash Kumar"/>
    <s v="10/09/2020"/>
    <s v="Order"/>
    <s v="42 TB SSD"/>
    <s v="SSD"/>
    <s v="Samsung"/>
    <n v="10500"/>
    <n v="13650"/>
    <n v="2"/>
    <n v="21000"/>
    <n v="27300"/>
    <s v="Aarvi Gupta"/>
    <n v="8450"/>
  </r>
  <r>
    <s v="140779"/>
    <s v="AR"/>
    <s v="Ashish Pandey"/>
    <s v="10/09/2020"/>
    <s v="Processing"/>
    <s v="Intel i5 12th gen."/>
    <s v="CPU"/>
    <s v="Intel"/>
    <n v="8500"/>
    <n v="11050"/>
    <n v="4"/>
    <n v="34000"/>
    <n v="44200"/>
    <s v="Vijay Singh"/>
    <n v="33150"/>
  </r>
  <r>
    <s v="140780"/>
    <s v="BR"/>
    <s v="Ajay Sharma"/>
    <s v="10/09/2020"/>
    <s v="Delivered"/>
    <s v="2GB Graphic Card"/>
    <s v="Graphic Card"/>
    <s v="Nvidia"/>
    <n v="7000"/>
    <n v="9100"/>
    <n v="1"/>
    <n v="7000"/>
    <n v="9100"/>
    <s v="Aadil Khan"/>
    <n v="18200"/>
  </r>
  <r>
    <s v="140781"/>
    <s v="BR"/>
    <s v="Moinuddin Saifi"/>
    <s v="10/09/2020"/>
    <s v="Shipped"/>
    <s v="45 GB DDR4 Ram"/>
    <s v="NIC"/>
    <s v="Hynix"/>
    <n v="1680"/>
    <n v="2184"/>
    <n v="1"/>
    <n v="1680"/>
    <n v="2184"/>
    <s v="Advika Joshi"/>
    <n v="9100"/>
  </r>
  <r>
    <s v="140782"/>
    <s v="BR"/>
    <s v="Ramkrishna Das Adhikary"/>
    <s v="10/09/2020"/>
    <s v="Order"/>
    <s v="Micro ATX motherboard"/>
    <s v="Printer"/>
    <s v="MSI"/>
    <n v="6540"/>
    <n v="8502"/>
    <n v="1"/>
    <n v="6540"/>
    <n v="8502"/>
    <s v="Ajay Sharma"/>
    <n v="11700"/>
  </r>
  <r>
    <s v="140783"/>
    <s v="BR"/>
    <s v="Ranjeet Mandal"/>
    <s v="10/09/2020"/>
    <s v="Processing"/>
    <s v="Gaming Box Cabinet"/>
    <s v="Cabinet"/>
    <s v="Asus"/>
    <n v="2680"/>
    <n v="3484"/>
    <n v="3"/>
    <n v="8040"/>
    <n v="10452"/>
    <s v="Roshan Kumar"/>
    <n v="2990"/>
  </r>
  <r>
    <s v="140784"/>
    <s v="BR"/>
    <s v="Ashwini Adsare"/>
    <s v="10/09/2020"/>
    <s v="Delivered"/>
    <s v="17&quot; LCD Display"/>
    <s v="Monitor"/>
    <s v="Samsung"/>
    <n v="8250"/>
    <n v="10725"/>
    <n v="4"/>
    <n v="33000"/>
    <n v="42900"/>
    <s v="Aarvi Gupta"/>
    <n v="9750"/>
  </r>
  <r>
    <s v="140785"/>
    <s v="BR"/>
    <s v="Rajesh Variya"/>
    <s v="10/09/2020"/>
    <s v="Shipped"/>
    <s v="49 GB DDR4 RAM"/>
    <s v="RAM"/>
    <s v="Samsung"/>
    <n v="2650"/>
    <n v="3445"/>
    <n v="1"/>
    <n v="2650"/>
    <n v="3445"/>
    <s v="Vijay Singh"/>
    <n v="25545"/>
  </r>
  <r>
    <s v="140786"/>
    <s v="BR"/>
    <s v="Amit Singh"/>
    <s v="10/09/2020"/>
    <s v="Order"/>
    <s v="26&quot; LCD Display"/>
    <s v="Monitor"/>
    <s v="Acer"/>
    <n v="12550"/>
    <n v="16315"/>
    <n v="2"/>
    <n v="25100"/>
    <n v="32630"/>
    <s v="Aadil Khan"/>
    <n v="9750"/>
  </r>
  <r>
    <s v="140787"/>
    <s v="BR"/>
    <s v="Vinod Mehta"/>
    <s v="10/09/2020"/>
    <s v="Processing"/>
    <s v="I7 - intel 12th Generation"/>
    <s v="CPU"/>
    <s v="Intel"/>
    <n v="14500"/>
    <n v="18850"/>
    <n v="3"/>
    <n v="43500"/>
    <n v="56550"/>
    <s v="Advika Joshi"/>
    <n v="33150"/>
  </r>
  <r>
    <s v="140788"/>
    <s v="BR"/>
    <s v="Jignesh Mhatre"/>
    <s v="10/09/2020"/>
    <s v="Delivered"/>
    <s v="USB Keyboard"/>
    <s v="Keyboard"/>
    <s v="Dell"/>
    <n v="800"/>
    <n v="1040"/>
    <n v="1"/>
    <n v="800"/>
    <n v="1040"/>
    <s v="Ajay Sharma"/>
    <n v="3315"/>
  </r>
  <r>
    <s v="140789"/>
    <s v="BR"/>
    <s v="Rahul Kashyap"/>
    <s v="10/09/2020"/>
    <s v="Shipped"/>
    <s v="Wireless Mouse"/>
    <s v="Mouse"/>
    <s v="Samsung"/>
    <n v="600"/>
    <n v="780"/>
    <n v="3"/>
    <n v="1800"/>
    <n v="2340"/>
    <s v="Roshan Kumar"/>
    <n v="1690"/>
  </r>
  <r>
    <s v="140790"/>
    <s v="BR"/>
    <s v="Mohammed Abdul Kaleem"/>
    <s v="10/09/2020"/>
    <s v="Order"/>
    <s v="21&quot; LCD Display"/>
    <s v="Monitor"/>
    <s v="Dell"/>
    <n v="10500"/>
    <n v="13650"/>
    <n v="3"/>
    <n v="31500"/>
    <n v="40950"/>
    <s v="Aarvi Gupta"/>
    <n v="9750"/>
  </r>
  <r>
    <s v="140791"/>
    <s v="BR"/>
    <s v="Chandrakant Kasbe"/>
    <s v="10/09/2020"/>
    <s v="Processing"/>
    <s v="43 TB HDD"/>
    <s v="HDD"/>
    <s v="Western Digital"/>
    <n v="6500"/>
    <n v="8450"/>
    <n v="3"/>
    <n v="19500"/>
    <n v="25350"/>
    <s v="Vijay Singh"/>
    <n v="39000"/>
  </r>
  <r>
    <s v="140792"/>
    <s v="BR"/>
    <s v="Rohan Kale"/>
    <s v="10/09/2020"/>
    <s v="Delivered"/>
    <s v="298 GB SSD"/>
    <s v="SSD"/>
    <s v="Samsung"/>
    <n v="4500"/>
    <n v="5850"/>
    <n v="4"/>
    <n v="18000"/>
    <n v="23400"/>
    <s v="Aadil Khan"/>
    <n v="8450"/>
  </r>
  <r>
    <s v="140793"/>
    <s v="BR"/>
    <s v="Aniruddha Kekapure"/>
    <s v="10/09/2020"/>
    <s v="Shipped"/>
    <s v="Intel i3 11th gen."/>
    <s v="CPU"/>
    <s v="Intel"/>
    <n v="8500"/>
    <n v="11050"/>
    <n v="2"/>
    <n v="17000"/>
    <n v="22100"/>
    <s v="Advika Joshi"/>
    <n v="33150"/>
  </r>
  <r>
    <s v="140794"/>
    <s v="ML"/>
    <s v="Aslam Raza"/>
    <s v="10/09/2020"/>
    <s v="Order"/>
    <s v="4GB Graphic card"/>
    <s v="Graphic Card"/>
    <s v="Nvidia"/>
    <n v="12500"/>
    <n v="16250"/>
    <n v="2"/>
    <n v="25000"/>
    <n v="32500"/>
    <s v="Ajay Sharma"/>
    <n v="18200"/>
  </r>
  <r>
    <s v="140795"/>
    <s v="MZ"/>
    <s v="Roshan Zameer"/>
    <s v="11/09/2020"/>
    <s v="Processing"/>
    <s v="50 GB DDR4 RAM"/>
    <s v="RAM"/>
    <s v="Hynix"/>
    <n v="3500"/>
    <n v="4550"/>
    <n v="2"/>
    <n v="7000"/>
    <n v="9100"/>
    <s v="Roshan Kumar"/>
    <n v="25545"/>
  </r>
  <r>
    <s v="140796"/>
    <s v="NL"/>
    <s v="Rakesh Kumar Sharma"/>
    <s v="12/09/2020"/>
    <s v="Delivered"/>
    <s v="BTX motherboard"/>
    <s v="MotherBoard"/>
    <s v="Gigabyte"/>
    <n v="4500"/>
    <n v="5850"/>
    <n v="4"/>
    <n v="18000"/>
    <n v="23400"/>
    <s v="Aarvi Gupta"/>
    <n v="39780"/>
  </r>
  <r>
    <s v="140797"/>
    <s v="OR"/>
    <s v="Shivanand Sahani"/>
    <s v="13/09/2020"/>
    <s v="Shipped"/>
    <s v="45 Fans Cabinet"/>
    <s v="Cabinet"/>
    <s v="Asus"/>
    <n v="2100"/>
    <n v="2730"/>
    <n v="3"/>
    <n v="6300"/>
    <n v="8190"/>
    <s v="Vijay Singh"/>
    <n v="2990"/>
  </r>
  <r>
    <s v="140798"/>
    <s v="PB"/>
    <s v="Kunal Patra"/>
    <s v="14/09/2020"/>
    <s v="Order"/>
    <s v="Wireless Keyboard"/>
    <s v="Keyboard"/>
    <s v="Dell"/>
    <n v="1150"/>
    <n v="1495"/>
    <n v="3"/>
    <n v="3450"/>
    <n v="4485"/>
    <s v="Aadil Khan"/>
    <n v="3315"/>
  </r>
  <r>
    <s v="140799"/>
    <s v="RJ"/>
    <s v="Bijendra"/>
    <s v="15/09/2020"/>
    <s v="Processing"/>
    <s v="USB Mouse"/>
    <s v="Mouse"/>
    <s v="Samsung"/>
    <n v="350"/>
    <n v="455"/>
    <n v="4"/>
    <n v="1400"/>
    <n v="1820"/>
    <s v="Advika Joshi"/>
    <n v="1690"/>
  </r>
  <r>
    <s v="140800"/>
    <s v="SK"/>
    <s v="Kranti Bheke"/>
    <s v="16/09/2020"/>
    <s v="Delivered"/>
    <s v="19&quot; LED Display"/>
    <s v="Monitor"/>
    <s v="Dell"/>
    <n v="9500"/>
    <n v="12350"/>
    <n v="1"/>
    <n v="9500"/>
    <n v="12350"/>
    <s v="Ajay Sharma"/>
    <n v="9750"/>
  </r>
  <r>
    <s v="140801"/>
    <s v="TN"/>
    <s v="Jagdeep"/>
    <s v="17/09/2020"/>
    <s v="Shipped"/>
    <s v="44 TB HDD"/>
    <s v="HDD"/>
    <s v="Western Digital"/>
    <n v="10000"/>
    <n v="13000"/>
    <n v="1"/>
    <n v="10000"/>
    <n v="13000"/>
    <s v="Roshan Kumar"/>
    <n v="39000"/>
  </r>
  <r>
    <s v="140802"/>
    <s v="TR"/>
    <s v="Adhir Samal"/>
    <s v="18/09/2020"/>
    <s v="Order"/>
    <s v="554 GB M.2"/>
    <s v="SSD"/>
    <s v="Samsung"/>
    <n v="6500"/>
    <n v="8450"/>
    <n v="1"/>
    <n v="6500"/>
    <n v="8450"/>
    <s v="Aarvi Gupta"/>
    <n v="8450"/>
  </r>
  <r>
    <s v="140803"/>
    <s v="UK"/>
    <s v="Dannana Jhammi"/>
    <s v="19/09/2020"/>
    <s v="Processing"/>
    <s v="RYZEN 3rd gen. 3542"/>
    <s v="CPU"/>
    <s v="Intel"/>
    <n v="8500"/>
    <n v="11050"/>
    <n v="1"/>
    <n v="8500"/>
    <n v="11050"/>
    <s v="Vijay Singh"/>
    <n v="33150"/>
  </r>
  <r>
    <s v="140804"/>
    <s v="UP"/>
    <s v="Vipin Kumar"/>
    <s v="20/09/2020"/>
    <s v="Delivered"/>
    <s v="2GB Graphic Card"/>
    <s v="Graphic Card"/>
    <s v="Nvidia"/>
    <n v="7000"/>
    <n v="9100"/>
    <n v="1"/>
    <n v="7000"/>
    <n v="9100"/>
    <s v="Aadil Khan"/>
    <n v="18200"/>
  </r>
  <r>
    <s v="140805"/>
    <s v="WB"/>
    <s v="Ranjeet Kumar"/>
    <s v="21/09/2020"/>
    <s v="Shipped"/>
    <s v="58 GB DDR4 RAM"/>
    <s v="RAM"/>
    <s v="Hynix"/>
    <n v="6550"/>
    <n v="8515"/>
    <n v="3"/>
    <n v="19650"/>
    <n v="25545"/>
    <s v="Advika Joshi"/>
    <n v="25545"/>
  </r>
  <r>
    <s v="140806"/>
    <s v="TN"/>
    <s v="Sajal Singhal"/>
    <s v="22/09/2020"/>
    <s v="Order"/>
    <s v="Standard ATX motherboard"/>
    <s v="MotherBoard"/>
    <s v="Gigabyte"/>
    <n v="7650"/>
    <n v="9945"/>
    <n v="3"/>
    <n v="22950"/>
    <n v="29835"/>
    <s v="Ajay Sharma"/>
    <n v="39780"/>
  </r>
  <r>
    <s v="140807"/>
    <s v="TR"/>
    <s v="Akhilesh Kumar"/>
    <s v="23/09/2020"/>
    <s v="Processing"/>
    <s v="Compact with 1 Fan"/>
    <s v="Cabinet"/>
    <s v="Asus"/>
    <n v="1150"/>
    <n v="1495"/>
    <n v="2"/>
    <n v="2300"/>
    <n v="2990"/>
    <s v="Roshan Kumar"/>
    <n v="2990"/>
  </r>
  <r>
    <s v="140808"/>
    <s v="AN"/>
    <s v="Suvankar Chakraborty"/>
    <s v="24/09/2020"/>
    <s v="Delivered"/>
    <s v="USB Backlight Keyboard"/>
    <s v="Keyboard"/>
    <s v="Dell"/>
    <n v="850"/>
    <n v="1105"/>
    <n v="4"/>
    <n v="3400"/>
    <n v="4420"/>
    <s v="Aarvi Gupta"/>
    <n v="3315"/>
  </r>
  <r>
    <s v="140809"/>
    <s v="CH"/>
    <s v="Suvankar Adhikary"/>
    <s v="25/09/2020"/>
    <s v="Shipped"/>
    <s v="Ergonomic Mouse"/>
    <s v="Mouse"/>
    <s v="Samsung"/>
    <n v="650"/>
    <n v="845"/>
    <n v="1"/>
    <n v="650"/>
    <n v="845"/>
    <s v="Vijay Singh"/>
    <n v="1690"/>
  </r>
  <r>
    <s v="140810"/>
    <s v="BR"/>
    <s v="Rahul Kumar Prajapati"/>
    <s v="26/09/2020"/>
    <s v="Order"/>
    <s v="15&quot; LCD Dsipaly"/>
    <s v="Monitor"/>
    <s v="Dell"/>
    <n v="7500"/>
    <n v="9750"/>
    <n v="1"/>
    <n v="7500"/>
    <n v="9750"/>
    <s v="Aadil Khan"/>
    <n v="9750"/>
  </r>
  <r>
    <s v="140811"/>
    <s v="BR"/>
    <s v="Sagar Jeur"/>
    <s v="27/09/2020"/>
    <s v="Processing"/>
    <s v="44 TB HDD"/>
    <s v="HDD"/>
    <s v="Seagate"/>
    <n v="10000"/>
    <n v="13000"/>
    <n v="1"/>
    <n v="10000"/>
    <n v="13000"/>
    <s v="Advika Joshi"/>
    <n v="39000"/>
  </r>
  <r>
    <s v="140812"/>
    <s v="BR"/>
    <s v="Rhushikesh Mane"/>
    <s v="28/09/2020"/>
    <s v="Delivered"/>
    <s v="43 TB SSD"/>
    <s v="SSD"/>
    <s v="Samsung"/>
    <n v="10500"/>
    <n v="13650"/>
    <n v="2"/>
    <n v="21000"/>
    <n v="27300"/>
    <s v="Ajay Sharma"/>
    <n v="8450"/>
  </r>
  <r>
    <s v="140813"/>
    <s v="BR"/>
    <s v="Ashish Kumar"/>
    <s v="29/09/2020"/>
    <s v="Shipped"/>
    <s v="Intel i5 12th gen."/>
    <s v="CPU"/>
    <s v="Intel"/>
    <n v="8500"/>
    <n v="11050"/>
    <n v="1"/>
    <n v="8500"/>
    <n v="11050"/>
    <s v="Roshan Kumar"/>
    <n v="33150"/>
  </r>
  <r>
    <s v="140814"/>
    <s v="BR"/>
    <s v="Javed Akhter"/>
    <s v="30/09/2020"/>
    <s v="Order"/>
    <s v="2GB Graphic Card"/>
    <s v="Graphic Card"/>
    <s v="Nvidia"/>
    <n v="7000"/>
    <n v="9100"/>
    <n v="2"/>
    <n v="14000"/>
    <n v="18200"/>
    <s v="Aarvi Gupta"/>
    <n v="18200"/>
  </r>
  <r>
    <s v="140815"/>
    <s v="BR"/>
    <s v="Haridas Balraj"/>
    <s v="01/10/2020"/>
    <s v="Processing"/>
    <s v="46 GB DDR4 Ram"/>
    <s v="RAM"/>
    <s v="Hynix"/>
    <n v="1680"/>
    <n v="2184"/>
    <n v="4"/>
    <n v="6720"/>
    <n v="8736"/>
    <s v="Vijay Singh"/>
    <n v="25545"/>
  </r>
  <r>
    <s v="140816"/>
    <s v="BR"/>
    <s v="Kundan Kumar"/>
    <s v="02/10/2020"/>
    <s v="Delivered"/>
    <s v="Micro ATX motherboard"/>
    <s v="MotherBoard"/>
    <s v="MSI"/>
    <n v="6540"/>
    <n v="8502"/>
    <n v="2"/>
    <n v="13080"/>
    <n v="17004"/>
    <s v="Aadil Khan"/>
    <n v="39780"/>
  </r>
  <r>
    <s v="140817"/>
    <s v="BR"/>
    <s v="Atif Siddiqui"/>
    <s v="03/10/2020"/>
    <s v="Shipped"/>
    <s v="Gaming Box Cabinet"/>
    <s v="Cabinet"/>
    <s v="Asus"/>
    <n v="2680"/>
    <n v="3484"/>
    <n v="2"/>
    <n v="5360"/>
    <n v="6968"/>
    <s v="Advika Joshi"/>
    <n v="2990"/>
  </r>
  <r>
    <s v="140818"/>
    <s v="BR"/>
    <s v="Aditya Agarwal"/>
    <s v="04/10/2020"/>
    <s v="Order"/>
    <s v="17&quot; LCD Display"/>
    <s v="Monitor"/>
    <s v="Samsung"/>
    <n v="8250"/>
    <n v="10725"/>
    <n v="3"/>
    <n v="24750"/>
    <n v="32175"/>
    <s v="Ajay Sharma"/>
    <n v="9750"/>
  </r>
  <r>
    <s v="140819"/>
    <s v="BR"/>
    <s v="Firdoush Jabee"/>
    <s v="05/10/2020"/>
    <s v="Processing"/>
    <s v="50 GB DDR4 RAM"/>
    <s v="RAM"/>
    <s v="Samsung"/>
    <n v="2650"/>
    <n v="3445"/>
    <n v="3"/>
    <n v="7950"/>
    <n v="10335"/>
    <s v="Roshan Kumar"/>
    <n v="25545"/>
  </r>
  <r>
    <s v="140820"/>
    <s v="BR"/>
    <s v="Jay Prakash Kumar"/>
    <s v="06/10/2020"/>
    <s v="Delivered"/>
    <s v="26&quot; LCD Display"/>
    <s v="Monitor"/>
    <s v="Acer"/>
    <n v="12550"/>
    <n v="16315"/>
    <n v="2"/>
    <n v="25100"/>
    <n v="32630"/>
    <s v="Aarvi Gupta"/>
    <n v="9750"/>
  </r>
  <r>
    <s v="140821"/>
    <s v="BR"/>
    <s v="Ashish Pandey"/>
    <s v="07/10/2020"/>
    <s v="Shipped"/>
    <s v="I7 - intel 12th Generation"/>
    <s v="CPU"/>
    <s v="Intel"/>
    <n v="14500"/>
    <n v="18850"/>
    <n v="2"/>
    <n v="29000"/>
    <n v="37700"/>
    <s v="Vijay Singh"/>
    <n v="33150"/>
  </r>
  <r>
    <s v="140822"/>
    <s v="BR"/>
    <s v="Ajay Sharma"/>
    <s v="08/10/2020"/>
    <s v="Order"/>
    <s v="USB Keyboard"/>
    <s v="Keyboard"/>
    <s v="Dell"/>
    <n v="800"/>
    <n v="1040"/>
    <n v="4"/>
    <n v="3200"/>
    <n v="4160"/>
    <s v="Aadil Khan"/>
    <n v="3315"/>
  </r>
  <r>
    <s v="140823"/>
    <s v="BR"/>
    <s v="Moinuddin Saifi"/>
    <s v="09/10/2020"/>
    <s v="Processing"/>
    <s v="Wireless Mouse"/>
    <s v="Mouse"/>
    <s v="Samsung"/>
    <n v="600"/>
    <n v="780"/>
    <n v="1"/>
    <n v="600"/>
    <n v="780"/>
    <s v="Advika Joshi"/>
    <n v="1690"/>
  </r>
  <r>
    <s v="140824"/>
    <s v="JK"/>
    <s v="Ramkrishna Das Adhikary"/>
    <s v="10/10/2020"/>
    <s v="Delivered"/>
    <s v="21&quot; LCD Display"/>
    <s v="Monitor"/>
    <s v="Dell"/>
    <n v="10500"/>
    <n v="13650"/>
    <n v="1"/>
    <n v="10500"/>
    <n v="13650"/>
    <s v="Ajay Sharma"/>
    <n v="9750"/>
  </r>
  <r>
    <s v="140825"/>
    <s v="JH"/>
    <s v="Ranjeet Mandal"/>
    <s v="11/10/2020"/>
    <s v="Shipped"/>
    <s v="44 TB HDD"/>
    <s v="HDD"/>
    <s v="Western Digital"/>
    <n v="6500"/>
    <n v="8450"/>
    <n v="4"/>
    <n v="26000"/>
    <n v="33800"/>
    <s v="Roshan Kumar"/>
    <n v="39000"/>
  </r>
  <r>
    <s v="140826"/>
    <s v="KA"/>
    <s v="Ashwini Adsare"/>
    <s v="12/10/2020"/>
    <s v="Order"/>
    <s v="299 GB SSD"/>
    <s v="SSD"/>
    <s v="Samsung"/>
    <n v="4500"/>
    <n v="5850"/>
    <n v="3"/>
    <n v="13500"/>
    <n v="17550"/>
    <s v="Aarvi Gupta"/>
    <n v="8450"/>
  </r>
  <r>
    <s v="140827"/>
    <s v="KL"/>
    <s v="Rajesh Variya"/>
    <s v="13/10/2020"/>
    <s v="Processing"/>
    <s v="Intel i3 11th gen."/>
    <s v="CPU"/>
    <s v="Intel"/>
    <n v="8500"/>
    <n v="11050"/>
    <n v="3"/>
    <n v="25500"/>
    <n v="33150"/>
    <s v="Vijay Singh"/>
    <n v="33150"/>
  </r>
  <r>
    <s v="140828"/>
    <s v="MP"/>
    <s v="Amit Singh"/>
    <s v="14/10/2020"/>
    <s v="Delivered"/>
    <s v="4GB Graphic card"/>
    <s v="Graphic Card"/>
    <s v="Nvidia"/>
    <n v="12500"/>
    <n v="16250"/>
    <n v="2"/>
    <n v="25000"/>
    <n v="32500"/>
    <s v="Aadil Khan"/>
    <n v="18200"/>
  </r>
  <r>
    <s v="140829"/>
    <s v="MH"/>
    <s v="Vinod Mehta"/>
    <s v="15/10/2020"/>
    <s v="Shipped"/>
    <s v="51 GB DDR4 RAM"/>
    <s v="Computer Case"/>
    <s v="Hynix"/>
    <n v="3500"/>
    <n v="4550"/>
    <n v="2"/>
    <n v="7000"/>
    <n v="9100"/>
    <s v="Advika Joshi"/>
    <n v="13650"/>
  </r>
  <r>
    <s v="140830"/>
    <s v="MN"/>
    <s v="Jignesh Mhatre"/>
    <s v="16/10/2020"/>
    <s v="Order"/>
    <s v="BTX motherboard"/>
    <s v="Mouse"/>
    <s v="Gigabyte"/>
    <n v="4500"/>
    <n v="5850"/>
    <n v="3"/>
    <n v="13500"/>
    <n v="17550"/>
    <s v="Ajay Sharma"/>
    <n v="1690"/>
  </r>
  <r>
    <s v="140831"/>
    <s v="ML"/>
    <s v="Rahul Kashyap"/>
    <s v="17/10/2020"/>
    <s v="Processing"/>
    <s v="46 Fans Cabinet"/>
    <s v="Cabinet"/>
    <s v="Asus"/>
    <n v="2100"/>
    <n v="2730"/>
    <n v="3"/>
    <n v="6300"/>
    <n v="8190"/>
    <s v="Roshan Kumar"/>
    <n v="2990"/>
  </r>
  <r>
    <s v="140832"/>
    <s v="MZ"/>
    <s v="Mohammed Abdul Kaleem"/>
    <s v="18/10/2020"/>
    <s v="Delivered"/>
    <s v="Wireless Keyboard"/>
    <s v="Keyboard"/>
    <s v="Dell"/>
    <n v="1150"/>
    <n v="1495"/>
    <n v="3"/>
    <n v="3450"/>
    <n v="4485"/>
    <s v="Aarvi Gupta"/>
    <n v="3315"/>
  </r>
  <r>
    <s v="140833"/>
    <s v="NL"/>
    <s v="Chandrakant Kasbe"/>
    <s v="19/10/2020"/>
    <s v="Shipped"/>
    <s v="USB Mouse"/>
    <s v="Mouse"/>
    <s v="Samsung"/>
    <n v="350"/>
    <n v="455"/>
    <n v="4"/>
    <n v="1400"/>
    <n v="1820"/>
    <s v="Vijay Singh"/>
    <n v="1690"/>
  </r>
  <r>
    <s v="140834"/>
    <s v="OR"/>
    <s v="Rohan Kale"/>
    <s v="20/10/2020"/>
    <s v="Order"/>
    <s v="19&quot; LED Display"/>
    <s v="Monitor"/>
    <s v="Dell"/>
    <n v="9500"/>
    <n v="12350"/>
    <n v="2"/>
    <n v="19000"/>
    <n v="24700"/>
    <s v="Aadil Khan"/>
    <n v="9750"/>
  </r>
  <r>
    <s v="140835"/>
    <s v="PB"/>
    <s v="Aniruddha Kekapure"/>
    <s v="21/10/2020"/>
    <s v="Processing"/>
    <s v="45 TB HDD"/>
    <s v="HDD"/>
    <s v="Western Digital"/>
    <n v="10000"/>
    <n v="13000"/>
    <n v="3"/>
    <n v="30000"/>
    <n v="39000"/>
    <s v="Advika Joshi"/>
    <n v="39000"/>
  </r>
  <r>
    <s v="140836"/>
    <s v="RJ"/>
    <s v="Aslam Raza"/>
    <s v="22/10/2020"/>
    <s v="Delivered"/>
    <s v="555 GB M.2"/>
    <s v="SSD"/>
    <s v="Samsung"/>
    <n v="6500"/>
    <n v="8450"/>
    <n v="1"/>
    <n v="6500"/>
    <n v="8450"/>
    <s v="Ajay Sharma"/>
    <n v="8450"/>
  </r>
  <r>
    <s v="140837"/>
    <s v="SK"/>
    <s v="Roshan Zameer"/>
    <s v="23/10/2020"/>
    <s v="Shipped"/>
    <s v="RYZEN 3rd gen. 3543"/>
    <s v="CPU"/>
    <s v="Intel"/>
    <n v="8500"/>
    <n v="11050"/>
    <n v="4"/>
    <n v="34000"/>
    <n v="44200"/>
    <s v="Roshan Kumar"/>
    <n v="33150"/>
  </r>
  <r>
    <s v="140838"/>
    <s v="TN"/>
    <s v="Rakesh Kumar Sharma"/>
    <s v="24/10/2020"/>
    <s v="Order"/>
    <s v="2GB Graphic Card"/>
    <s v="Graphic Card"/>
    <s v="Nvidia"/>
    <n v="7000"/>
    <n v="9100"/>
    <n v="4"/>
    <n v="28000"/>
    <n v="36400"/>
    <s v="Aarvi Gupta"/>
    <n v="18200"/>
  </r>
  <r>
    <s v="140839"/>
    <s v="TR"/>
    <s v="Shivanand Sahani"/>
    <s v="25/10/2020"/>
    <s v="Processing"/>
    <s v="59 GB DDR4 RAM"/>
    <s v="Computer Case"/>
    <s v="Hynix"/>
    <n v="6550"/>
    <n v="8515"/>
    <n v="3"/>
    <n v="19650"/>
    <n v="25545"/>
    <s v="Vijay Singh"/>
    <n v="13650"/>
  </r>
  <r>
    <s v="140840"/>
    <s v="UK"/>
    <s v="Kunal Patra"/>
    <s v="25/10/2020"/>
    <s v="Delivered"/>
    <s v="Standard ATX motherboard"/>
    <s v="Mouse"/>
    <s v="Gigabyte"/>
    <n v="7650"/>
    <n v="9945"/>
    <n v="3"/>
    <n v="22950"/>
    <n v="29835"/>
    <s v="Aadil Khan"/>
    <n v="1690"/>
  </r>
  <r>
    <s v="140841"/>
    <s v="UP"/>
    <s v="Bijendra"/>
    <s v="25/10/2020"/>
    <s v="Shipped"/>
    <s v="Compact with 1 Fan"/>
    <s v="Cabinet"/>
    <s v="Asus"/>
    <n v="1150"/>
    <n v="1495"/>
    <n v="1"/>
    <n v="1150"/>
    <n v="1495"/>
    <s v="Advika Joshi"/>
    <n v="2990"/>
  </r>
  <r>
    <s v="140842"/>
    <s v="WB"/>
    <s v="Kranti Bheke"/>
    <s v="25/10/2020"/>
    <s v="Order"/>
    <s v="USB Backlight Keyboard"/>
    <s v="Keyboard"/>
    <s v="Dell"/>
    <n v="850"/>
    <n v="1105"/>
    <n v="1"/>
    <n v="850"/>
    <n v="1105"/>
    <s v="Ajay Sharma"/>
    <n v="3315"/>
  </r>
  <r>
    <s v="140843"/>
    <s v="TN"/>
    <s v="Jagdeep"/>
    <s v="25/10/2020"/>
    <s v="Processing"/>
    <s v="Ergonomic Mouse"/>
    <s v="Mouse"/>
    <s v="Samsung"/>
    <n v="650"/>
    <n v="845"/>
    <n v="4"/>
    <n v="2600"/>
    <n v="3380"/>
    <s v="Roshan Kumar"/>
    <n v="1690"/>
  </r>
  <r>
    <s v="140844"/>
    <s v="TR"/>
    <s v="Adhir Samal"/>
    <s v="25/10/2020"/>
    <s v="Delivered"/>
    <s v="15&quot; LCD Dsipaly"/>
    <s v="Monitor"/>
    <s v="Dell"/>
    <n v="7500"/>
    <n v="9750"/>
    <n v="3"/>
    <n v="22500"/>
    <n v="29250"/>
    <s v="Aarvi Gupta"/>
    <n v="9750"/>
  </r>
  <r>
    <s v="140845"/>
    <s v="AN"/>
    <s v="Dannana Jhammi"/>
    <s v="25/10/2020"/>
    <s v="Shipped"/>
    <s v="45 TB HDD"/>
    <s v="HDD"/>
    <s v="Seagate"/>
    <n v="10000"/>
    <n v="13000"/>
    <n v="4"/>
    <n v="40000"/>
    <n v="52000"/>
    <s v="Vijay Singh"/>
    <n v="39000"/>
  </r>
  <r>
    <s v="140846"/>
    <s v="CH"/>
    <s v="Vipin Kumar"/>
    <s v="25/10/2020"/>
    <s v="Order"/>
    <s v="44 TB SSD"/>
    <s v="SSD"/>
    <s v="Samsung"/>
    <n v="10500"/>
    <n v="13650"/>
    <n v="1"/>
    <n v="10500"/>
    <n v="13650"/>
    <s v="Aadil Khan"/>
    <n v="8450"/>
  </r>
  <r>
    <s v="140847"/>
    <s v="DH"/>
    <s v="Ranjeet Kumar"/>
    <s v="26/10/2020"/>
    <s v="Processing"/>
    <s v="Intel i5 12th gen."/>
    <s v="CPU"/>
    <s v="Intel"/>
    <n v="8500"/>
    <n v="11050"/>
    <n v="2"/>
    <n v="17000"/>
    <n v="22100"/>
    <s v="Advika Joshi"/>
    <n v="33150"/>
  </r>
  <r>
    <s v="140848"/>
    <s v="DD"/>
    <s v="Sajal Singhal"/>
    <s v="27/10/2020"/>
    <s v="Delivered"/>
    <s v="2GB Graphic Card"/>
    <s v="Graphic Card"/>
    <s v="Nvidia"/>
    <n v="7000"/>
    <n v="9100"/>
    <n v="3"/>
    <n v="21000"/>
    <n v="27300"/>
    <s v="Ajay Sharma"/>
    <n v="18200"/>
  </r>
  <r>
    <s v="140849"/>
    <s v="DL"/>
    <s v="Akhilesh Kumar"/>
    <s v="28/10/2020"/>
    <s v="Shipped"/>
    <s v="47 GB DDR4 Ram"/>
    <s v="Computer Case"/>
    <s v="Hynix"/>
    <n v="1680"/>
    <n v="2184"/>
    <n v="2"/>
    <n v="3360"/>
    <n v="4368"/>
    <s v="Roshan Kumar"/>
    <n v="13650"/>
  </r>
  <r>
    <s v="140850"/>
    <s v="LD"/>
    <s v="Suvankar Chakraborty"/>
    <s v="29/10/2020"/>
    <s v="Order"/>
    <s v="Micro ATX motherboard"/>
    <s v="Mouse"/>
    <s v="MSI"/>
    <n v="6540"/>
    <n v="8502"/>
    <n v="4"/>
    <n v="26160"/>
    <n v="34008"/>
    <s v="Aarvi Gupta"/>
    <n v="1690"/>
  </r>
  <r>
    <s v="140851"/>
    <s v="PY"/>
    <s v="Suvankar Adhikary"/>
    <s v="30/10/2020"/>
    <s v="Processing"/>
    <s v="Gaming Box Cabinet"/>
    <s v="Cabinet"/>
    <s v="Asus"/>
    <n v="2680"/>
    <n v="3484"/>
    <n v="1"/>
    <n v="2680"/>
    <n v="3484"/>
    <s v="Vijay Singh"/>
    <n v="2990"/>
  </r>
  <r>
    <s v="140852"/>
    <s v="AP"/>
    <s v="Rahul Kumar Prajapati"/>
    <s v="31/10/2020"/>
    <s v="Delivered"/>
    <s v="17&quot; LCD Display"/>
    <s v="Monitor"/>
    <s v="Samsung"/>
    <n v="8250"/>
    <n v="10725"/>
    <n v="3"/>
    <n v="24750"/>
    <n v="32175"/>
    <s v="Aadil Khan"/>
    <n v="9750"/>
  </r>
  <r>
    <s v="140853"/>
    <s v="AR"/>
    <s v="Sagar Jeur"/>
    <s v="01/11/2020"/>
    <s v="Shipped"/>
    <s v="51 GB DDR4 RAM"/>
    <s v="RAM"/>
    <s v="Samsung"/>
    <n v="2650"/>
    <n v="3445"/>
    <n v="1"/>
    <n v="2650"/>
    <n v="3445"/>
    <s v="Advika Joshi"/>
    <n v="25545"/>
  </r>
  <r>
    <s v="140854"/>
    <s v="AS"/>
    <s v="Rhushikesh Mane"/>
    <s v="02/11/2020"/>
    <s v="Order"/>
    <s v="26&quot; LCD Display"/>
    <s v="Monitor"/>
    <s v="Acer"/>
    <n v="12550"/>
    <n v="16315"/>
    <n v="1"/>
    <n v="12550"/>
    <n v="16315"/>
    <s v="Ajay Sharma"/>
    <n v="9750"/>
  </r>
  <r>
    <s v="140855"/>
    <s v="BR"/>
    <s v="Ashish Kumar"/>
    <s v="03/11/2020"/>
    <s v="Processing"/>
    <s v="I7 - intel 12th Generation"/>
    <s v="CPU"/>
    <s v="Intel"/>
    <n v="14500"/>
    <n v="18850"/>
    <n v="1"/>
    <n v="14500"/>
    <n v="18850"/>
    <s v="Roshan Kumar"/>
    <n v="33150"/>
  </r>
  <r>
    <s v="140856"/>
    <s v="BR"/>
    <s v="Javed Akhter"/>
    <s v="04/11/2020"/>
    <s v="Delivered"/>
    <s v="USB Keyboard"/>
    <s v="Keyboard"/>
    <s v="Dell"/>
    <n v="800"/>
    <n v="1040"/>
    <n v="2"/>
    <n v="1600"/>
    <n v="2080"/>
    <s v="Aarvi Gupta"/>
    <n v="3315"/>
  </r>
  <r>
    <s v="140857"/>
    <s v="BR"/>
    <s v="Haridas Balraj"/>
    <s v="05/11/2020"/>
    <s v="Shipped"/>
    <s v="Wireless Mouse"/>
    <s v="Mouse"/>
    <s v="Samsung"/>
    <n v="600"/>
    <n v="780"/>
    <n v="2"/>
    <n v="1200"/>
    <n v="1560"/>
    <s v="Vijay Singh"/>
    <n v="1690"/>
  </r>
  <r>
    <s v="140858"/>
    <s v="BR"/>
    <s v="Kundan Kumar"/>
    <s v="05/11/2020"/>
    <s v="Order"/>
    <s v="21&quot; LCD Display"/>
    <s v="Monitor"/>
    <s v="Dell"/>
    <n v="10500"/>
    <n v="13650"/>
    <n v="2"/>
    <n v="21000"/>
    <n v="27300"/>
    <s v="Aadil Khan"/>
    <n v="9750"/>
  </r>
  <r>
    <s v="140859"/>
    <s v="BR"/>
    <s v="Atif Siddiqui"/>
    <s v="05/11/2020"/>
    <s v="Processing"/>
    <s v="45 TB HDD"/>
    <s v="HDD"/>
    <s v="Western Digital"/>
    <n v="6500"/>
    <n v="8450"/>
    <n v="2"/>
    <n v="13000"/>
    <n v="16900"/>
    <s v="Advika Joshi"/>
    <n v="39000"/>
  </r>
  <r>
    <s v="140860"/>
    <s v="BR"/>
    <s v="Aditya Agarwal"/>
    <s v="05/11/2020"/>
    <s v="Delivered"/>
    <s v="300 GB SSD"/>
    <s v="SSD"/>
    <s v="Samsung"/>
    <n v="4500"/>
    <n v="5850"/>
    <n v="3"/>
    <n v="13500"/>
    <n v="17550"/>
    <s v="Ajay Sharma"/>
    <n v="8450"/>
  </r>
  <r>
    <s v="140861"/>
    <s v="BR"/>
    <s v="Firdoush Jabee"/>
    <s v="05/11/2020"/>
    <s v="Shipped"/>
    <s v="Intel i3 11th gen."/>
    <s v="CPU"/>
    <s v="Intel"/>
    <n v="8500"/>
    <n v="11050"/>
    <n v="1"/>
    <n v="8500"/>
    <n v="11050"/>
    <s v="Roshan Kumar"/>
    <n v="33150"/>
  </r>
  <r>
    <s v="140862"/>
    <s v="BR"/>
    <s v="Jay Prakash Kumar"/>
    <s v="05/11/2020"/>
    <s v="Order"/>
    <s v="4GB Graphic card"/>
    <s v="Graphic Card"/>
    <s v="Nvidia"/>
    <n v="12500"/>
    <n v="16250"/>
    <n v="1"/>
    <n v="12500"/>
    <n v="16250"/>
    <s v="Aarvi Gupta"/>
    <n v="18200"/>
  </r>
  <r>
    <s v="140863"/>
    <s v="BR"/>
    <s v="Ashish Pandey"/>
    <s v="05/11/2020"/>
    <s v="Processing"/>
    <s v="52 GB DDR4 RAM"/>
    <s v="NIC"/>
    <s v="Hynix"/>
    <n v="3500"/>
    <n v="4550"/>
    <n v="1"/>
    <n v="3500"/>
    <n v="4550"/>
    <s v="Vijay Singh"/>
    <n v="9100"/>
  </r>
  <r>
    <s v="140864"/>
    <s v="BR"/>
    <s v="Ajay Sharma"/>
    <s v="05/11/2020"/>
    <s v="Delivered"/>
    <s v="BTX motherboard"/>
    <s v="Printer"/>
    <s v="Gigabyte"/>
    <n v="4500"/>
    <n v="5850"/>
    <n v="3"/>
    <n v="13500"/>
    <n v="17550"/>
    <s v="Aadil Khan"/>
    <n v="11700"/>
  </r>
  <r>
    <s v="140865"/>
    <s v="BR"/>
    <s v="Moinuddin Saifi"/>
    <s v="05/11/2020"/>
    <s v="Shipped"/>
    <s v="47 Fans Cabinet"/>
    <s v="Cabinet"/>
    <s v="Asus"/>
    <n v="2100"/>
    <n v="2730"/>
    <n v="3"/>
    <n v="6300"/>
    <n v="8190"/>
    <s v="Advika Joshi"/>
    <n v="2990"/>
  </r>
  <r>
    <s v="140866"/>
    <s v="BR"/>
    <s v="Ramkrishna Das Adhikary"/>
    <s v="05/11/2020"/>
    <s v="Order"/>
    <s v="Wireless Keyboard"/>
    <s v="Keyboard"/>
    <s v="Dell"/>
    <n v="1150"/>
    <n v="1495"/>
    <n v="1"/>
    <n v="1150"/>
    <n v="1495"/>
    <s v="Ajay Sharma"/>
    <n v="3315"/>
  </r>
  <r>
    <s v="140867"/>
    <s v="BR"/>
    <s v="Ranjeet Mandal"/>
    <s v="05/11/2020"/>
    <s v="Processing"/>
    <s v="USB Mouse"/>
    <s v="Mouse"/>
    <s v="Samsung"/>
    <n v="350"/>
    <n v="455"/>
    <n v="3"/>
    <n v="1050"/>
    <n v="1365"/>
    <s v="Roshan Kumar"/>
    <n v="1690"/>
  </r>
  <r>
    <s v="140868"/>
    <s v="BR"/>
    <s v="Ashwini Adsare"/>
    <s v="05/11/2020"/>
    <s v="Delivered"/>
    <s v="19&quot; LED Display"/>
    <s v="Monitor"/>
    <s v="Dell"/>
    <n v="9500"/>
    <n v="12350"/>
    <n v="2"/>
    <n v="19000"/>
    <n v="24700"/>
    <s v="Aarvi Gupta"/>
    <n v="9750"/>
  </r>
  <r>
    <s v="140869"/>
    <s v="BR"/>
    <s v="Rajesh Variya"/>
    <s v="05/11/2020"/>
    <s v="Shipped"/>
    <s v="46 TB HDD"/>
    <s v="HDD"/>
    <s v="Western Digital"/>
    <n v="10000"/>
    <n v="13000"/>
    <n v="2"/>
    <n v="20000"/>
    <n v="26000"/>
    <s v="Vijay Singh"/>
    <n v="39000"/>
  </r>
  <r>
    <s v="140870"/>
    <s v="NL"/>
    <s v="Amit Singh"/>
    <s v="05/11/2020"/>
    <s v="Order"/>
    <s v="556 GB M.2"/>
    <s v="SSD"/>
    <s v="Samsung"/>
    <n v="6500"/>
    <n v="8450"/>
    <n v="2"/>
    <n v="13000"/>
    <n v="16900"/>
    <s v="Aadil Khan"/>
    <n v="8450"/>
  </r>
  <r>
    <s v="140871"/>
    <s v="OR"/>
    <s v="Vinod Mehta"/>
    <s v="05/11/2020"/>
    <s v="Processing"/>
    <s v="RYZEN 3rd gen. 3544"/>
    <s v="CPU"/>
    <s v="Intel"/>
    <n v="8500"/>
    <n v="11050"/>
    <n v="1"/>
    <n v="8500"/>
    <n v="11050"/>
    <s v="Advika Joshi"/>
    <n v="33150"/>
  </r>
  <r>
    <s v="140872"/>
    <s v="PB"/>
    <s v="Jignesh Mhatre"/>
    <s v="05/11/2020"/>
    <s v="Delivered"/>
    <s v="2GB Graphic Card"/>
    <s v="Graphic Card"/>
    <s v="Nvidia"/>
    <n v="7000"/>
    <n v="9100"/>
    <n v="1"/>
    <n v="7000"/>
    <n v="9100"/>
    <s v="Ajay Sharma"/>
    <n v="18200"/>
  </r>
  <r>
    <s v="140873"/>
    <s v="RJ"/>
    <s v="Rahul Kashyap"/>
    <s v="05/11/2020"/>
    <s v="Shipped"/>
    <s v="60 GB DDR4 RAM"/>
    <s v="NIC"/>
    <s v="Hynix"/>
    <n v="6550"/>
    <n v="8515"/>
    <n v="1"/>
    <n v="6550"/>
    <n v="8515"/>
    <s v="Roshan Kumar"/>
    <n v="9100"/>
  </r>
  <r>
    <s v="140874"/>
    <s v="SK"/>
    <s v="Mohammed Abdul Kaleem"/>
    <s v="05/11/2020"/>
    <s v="Order"/>
    <s v="Standard ATX motherboard"/>
    <s v="Printer"/>
    <s v="Gigabyte"/>
    <n v="7650"/>
    <n v="9945"/>
    <n v="2"/>
    <n v="15300"/>
    <n v="19890"/>
    <s v="Aarvi Gupta"/>
    <n v="11700"/>
  </r>
  <r>
    <s v="140875"/>
    <s v="TN"/>
    <s v="Chandrakant Kasbe"/>
    <s v="05/11/2020"/>
    <s v="Processing"/>
    <s v="Compact with 1 Fan"/>
    <s v="Cabinet"/>
    <s v="Asus"/>
    <n v="1150"/>
    <n v="1495"/>
    <n v="1"/>
    <n v="1150"/>
    <n v="1495"/>
    <s v="Vijay Singh"/>
    <n v="2990"/>
  </r>
  <r>
    <s v="140876"/>
    <s v="TR"/>
    <s v="Rohan Kale"/>
    <s v="05/11/2020"/>
    <s v="Delivered"/>
    <s v="USB Backlight Keyboard"/>
    <s v="Keyboard"/>
    <s v="Dell"/>
    <n v="850"/>
    <n v="1105"/>
    <n v="2"/>
    <n v="1700"/>
    <n v="2210"/>
    <s v="Aadil Khan"/>
    <n v="3315"/>
  </r>
  <r>
    <s v="140877"/>
    <s v="UK"/>
    <s v="Aniruddha Kekapure"/>
    <s v="05/11/2020"/>
    <s v="Shipped"/>
    <s v="Ergonomic Mouse"/>
    <s v="Mouse"/>
    <s v="Samsung"/>
    <n v="650"/>
    <n v="845"/>
    <n v="4"/>
    <n v="2600"/>
    <n v="3380"/>
    <s v="Advika Joshi"/>
    <n v="1690"/>
  </r>
  <r>
    <s v="140878"/>
    <s v="UP"/>
    <s v="Aslam Raza"/>
    <s v="05/11/2020"/>
    <s v="Order"/>
    <s v="15&quot; LCD Dsipaly"/>
    <s v="Monitor"/>
    <s v="Dell"/>
    <n v="7500"/>
    <n v="9750"/>
    <n v="4"/>
    <n v="30000"/>
    <n v="39000"/>
    <s v="Ajay Sharma"/>
    <n v="9750"/>
  </r>
  <r>
    <s v="140879"/>
    <s v="WB"/>
    <s v="Roshan Zameer"/>
    <s v="05/11/2020"/>
    <s v="Processing"/>
    <s v="46 TB HDD"/>
    <s v="HDD"/>
    <s v="Seagate"/>
    <n v="10000"/>
    <n v="13000"/>
    <n v="4"/>
    <n v="40000"/>
    <n v="52000"/>
    <s v="Roshan Kumar"/>
    <n v="39000"/>
  </r>
  <r>
    <s v="140880"/>
    <s v="TN"/>
    <s v="Rakesh Kumar Sharma"/>
    <s v="05/11/2020"/>
    <s v="Delivered"/>
    <s v="45 TB SSD"/>
    <s v="SSD"/>
    <s v="Samsung"/>
    <n v="10500"/>
    <n v="13650"/>
    <n v="1"/>
    <n v="10500"/>
    <n v="13650"/>
    <s v="Aarvi Gupta"/>
    <n v="8450"/>
  </r>
  <r>
    <s v="140881"/>
    <s v="TR"/>
    <s v="Shivanand Sahani"/>
    <s v="05/11/2020"/>
    <s v="Shipped"/>
    <s v="Intel i5 12th gen."/>
    <s v="CPU"/>
    <s v="Intel"/>
    <n v="8500"/>
    <n v="11050"/>
    <n v="3"/>
    <n v="25500"/>
    <n v="33150"/>
    <s v="Vijay Singh"/>
    <n v="33150"/>
  </r>
  <r>
    <s v="140882"/>
    <s v="AN"/>
    <s v="Kunal Patra"/>
    <s v="05/11/2020"/>
    <s v="Order"/>
    <s v="2GB Graphic Card"/>
    <s v="Graphic Card"/>
    <s v="Nvidia"/>
    <n v="7000"/>
    <n v="9100"/>
    <n v="4"/>
    <n v="28000"/>
    <n v="36400"/>
    <s v="Aadil Khan"/>
    <n v="18200"/>
  </r>
  <r>
    <s v="140883"/>
    <s v="CH"/>
    <s v="Bijendra"/>
    <s v="05/11/2020"/>
    <s v="Processing"/>
    <s v="48 GB DDR4 Ram"/>
    <s v="NIC"/>
    <s v="Hynix"/>
    <n v="1680"/>
    <n v="2184"/>
    <n v="4"/>
    <n v="6720"/>
    <n v="8736"/>
    <s v="Advika Joshi"/>
    <n v="9100"/>
  </r>
  <r>
    <s v="140884"/>
    <s v="DH"/>
    <s v="Kranti Bheke"/>
    <s v="05/11/2020"/>
    <s v="Delivered"/>
    <s v="Micro ATX motherboard"/>
    <s v="Printer"/>
    <s v="MSI"/>
    <n v="6540"/>
    <n v="8502"/>
    <n v="4"/>
    <n v="26160"/>
    <n v="34008"/>
    <s v="Ajay Sharma"/>
    <n v="11700"/>
  </r>
  <r>
    <s v="140885"/>
    <s v="DD"/>
    <s v="Jagdeep"/>
    <s v="05/11/2020"/>
    <s v="Shipped"/>
    <s v="Gaming Box Cabinet"/>
    <s v="Cabinet"/>
    <s v="Asus"/>
    <n v="2680"/>
    <n v="3484"/>
    <n v="2"/>
    <n v="5360"/>
    <n v="6968"/>
    <s v="Roshan Kumar"/>
    <n v="2990"/>
  </r>
  <r>
    <s v="140886"/>
    <s v="DL"/>
    <s v="Adhir Samal"/>
    <s v="05/11/2020"/>
    <s v="Order"/>
    <s v="17&quot; LCD Display"/>
    <s v="Monitor"/>
    <s v="Samsung"/>
    <n v="8250"/>
    <n v="10725"/>
    <n v="2"/>
    <n v="16500"/>
    <n v="21450"/>
    <s v="Aarvi Gupta"/>
    <n v="9750"/>
  </r>
  <r>
    <s v="140887"/>
    <s v="LD"/>
    <s v="Dannana Jhammi"/>
    <s v="05/11/2020"/>
    <s v="Processing"/>
    <s v="52 GB DDR4 RAM"/>
    <s v="RAM"/>
    <s v="Samsung"/>
    <n v="2650"/>
    <n v="3445"/>
    <n v="3"/>
    <n v="7950"/>
    <n v="10335"/>
    <s v="Vijay Singh"/>
    <n v="25545"/>
  </r>
  <r>
    <s v="140888"/>
    <s v="PY"/>
    <s v="Vipin Kumar"/>
    <s v="06/11/2020"/>
    <s v="Delivered"/>
    <s v="26&quot; LCD Display"/>
    <s v="Monitor"/>
    <s v="Acer"/>
    <n v="12550"/>
    <n v="16315"/>
    <n v="3"/>
    <n v="37650"/>
    <n v="48945"/>
    <s v="Aadil Khan"/>
    <n v="9750"/>
  </r>
  <r>
    <s v="140889"/>
    <s v="AP"/>
    <s v="Ranjeet Kumar"/>
    <s v="07/11/2020"/>
    <s v="Shipped"/>
    <s v="I7 - intel 12th Generation"/>
    <s v="CPU"/>
    <s v="Intel"/>
    <n v="14500"/>
    <n v="18850"/>
    <n v="2"/>
    <n v="29000"/>
    <n v="37700"/>
    <s v="Advika Joshi"/>
    <n v="33150"/>
  </r>
  <r>
    <s v="140890"/>
    <s v="AR"/>
    <s v="Sajal Singhal"/>
    <s v="08/11/2020"/>
    <s v="Order"/>
    <s v="USB Keyboard"/>
    <s v="Keyboard"/>
    <s v="Dell"/>
    <n v="800"/>
    <n v="1040"/>
    <n v="1"/>
    <n v="800"/>
    <n v="1040"/>
    <s v="Ajay Sharma"/>
    <n v="3315"/>
  </r>
  <r>
    <s v="140891"/>
    <s v="AS"/>
    <s v="Akhilesh Kumar"/>
    <s v="09/11/2020"/>
    <s v="Processing"/>
    <s v="Wireless Mouse"/>
    <s v="Mouse"/>
    <s v="Samsung"/>
    <n v="600"/>
    <n v="780"/>
    <n v="2"/>
    <n v="1200"/>
    <n v="1560"/>
    <s v="Ajay Sharma"/>
    <n v="1690"/>
  </r>
  <r>
    <s v="140892"/>
    <s v="BR"/>
    <s v="Suvankar Chakraborty"/>
    <s v="10/11/2020"/>
    <s v="Delivered"/>
    <s v="21&quot; LCD Display"/>
    <s v="Monitor"/>
    <s v="Dell"/>
    <n v="10500"/>
    <n v="13650"/>
    <n v="3"/>
    <n v="31500"/>
    <n v="40950"/>
    <s v="Roshan Kumar"/>
    <n v="9750"/>
  </r>
  <r>
    <s v="140893"/>
    <s v="CG"/>
    <s v="Suvankar Adhikary"/>
    <s v="11/11/2020"/>
    <s v="Shipped"/>
    <s v="46 TB HDD"/>
    <s v="HDD"/>
    <s v="Western Digital"/>
    <n v="6500"/>
    <n v="8450"/>
    <n v="3"/>
    <n v="19500"/>
    <n v="25350"/>
    <s v="Aarvi Gupta"/>
    <n v="39000"/>
  </r>
  <r>
    <s v="140894"/>
    <s v="GA"/>
    <s v="Rahul Kumar Prajapati"/>
    <s v="12/11/2020"/>
    <s v="Order"/>
    <s v="301 GB SSD"/>
    <s v="SSD"/>
    <s v="Samsung"/>
    <n v="4500"/>
    <n v="5850"/>
    <n v="3"/>
    <n v="13500"/>
    <n v="17550"/>
    <s v="Vijay Singh"/>
    <n v="8450"/>
  </r>
  <r>
    <s v="140895"/>
    <s v="GJ"/>
    <s v="Sagar Jeur"/>
    <s v="13/11/2020"/>
    <s v="Processing"/>
    <s v="Intel i3 11th gen."/>
    <s v="CPU"/>
    <s v="Intel"/>
    <n v="8500"/>
    <n v="11050"/>
    <n v="4"/>
    <n v="34000"/>
    <n v="44200"/>
    <s v="Aadil Khan"/>
    <n v="33150"/>
  </r>
  <r>
    <s v="140896"/>
    <s v="GJ"/>
    <s v="Rhushikesh Mane"/>
    <s v="14/11/2020"/>
    <s v="Delivered"/>
    <s v="4GB Graphic card"/>
    <s v="Graphic Card"/>
    <s v="Nvidia"/>
    <n v="12500"/>
    <n v="16250"/>
    <n v="3"/>
    <n v="37500"/>
    <n v="48750"/>
    <s v="Advika Joshi"/>
    <n v="18200"/>
  </r>
  <r>
    <s v="140897"/>
    <s v="GJ"/>
    <s v="Ashish Kumar"/>
    <s v="15/11/2020"/>
    <s v="Shipped"/>
    <s v="53 GB DDR4 RAM"/>
    <s v="RAM"/>
    <s v="Hynix"/>
    <n v="3500"/>
    <n v="4550"/>
    <n v="1"/>
    <n v="3500"/>
    <n v="4550"/>
    <s v="Ajay Sharma"/>
    <n v="25545"/>
  </r>
  <r>
    <s v="140898"/>
    <s v="GJ"/>
    <s v="Javed Akhter"/>
    <s v="16/11/2020"/>
    <s v="Order"/>
    <s v="BTX motherboard"/>
    <s v="MotherBoard"/>
    <s v="Gigabyte"/>
    <n v="4500"/>
    <n v="5850"/>
    <n v="3"/>
    <n v="13500"/>
    <n v="17550"/>
    <s v="Roshan Kumar"/>
    <n v="39780"/>
  </r>
  <r>
    <s v="140899"/>
    <s v="GJ"/>
    <s v="Haridas Balraj"/>
    <s v="17/11/2020"/>
    <s v="Processing"/>
    <s v="48 Fans Cabinet"/>
    <s v="Cabinet"/>
    <s v="Asus"/>
    <n v="2100"/>
    <n v="2730"/>
    <n v="2"/>
    <n v="4200"/>
    <n v="5460"/>
    <s v="Aarvi Gupta"/>
    <n v="2990"/>
  </r>
  <r>
    <s v="140900"/>
    <s v="GJ"/>
    <s v="Kundan Kumar"/>
    <s v="18/11/2020"/>
    <s v="Delivered"/>
    <s v="Wireless Keyboard"/>
    <s v="Keyboard"/>
    <s v="Dell"/>
    <n v="1150"/>
    <n v="1495"/>
    <n v="4"/>
    <n v="4600"/>
    <n v="5980"/>
    <s v="Vijay Singh"/>
    <n v="3315"/>
  </r>
  <r>
    <s v="140901"/>
    <s v="GJ"/>
    <s v="Atif Siddiqui"/>
    <s v="19/11/2020"/>
    <s v="Shipped"/>
    <s v="USB Mouse"/>
    <s v="Mouse"/>
    <s v="Samsung"/>
    <n v="350"/>
    <n v="455"/>
    <n v="4"/>
    <n v="1400"/>
    <n v="1820"/>
    <s v="Aadil Khan"/>
    <n v="1690"/>
  </r>
  <r>
    <s v="140902"/>
    <s v="GJ"/>
    <s v="Aditya Agarwal"/>
    <s v="20/11/2020"/>
    <s v="Order"/>
    <s v="19&quot; LED Display"/>
    <s v="Monitor"/>
    <s v="Dell"/>
    <n v="9500"/>
    <n v="12350"/>
    <n v="1"/>
    <n v="9500"/>
    <n v="12350"/>
    <s v="Advika Joshi"/>
    <n v="9750"/>
  </r>
  <r>
    <s v="140903"/>
    <s v="GJ"/>
    <s v="Firdoush Jabee"/>
    <s v="21/11/2020"/>
    <s v="Processing"/>
    <s v="47 TB HDD"/>
    <s v="HDD"/>
    <s v="Western Digital"/>
    <n v="10000"/>
    <n v="13000"/>
    <n v="2"/>
    <n v="20000"/>
    <n v="26000"/>
    <s v="Ajay Sharma"/>
    <n v="39000"/>
  </r>
  <r>
    <s v="140904"/>
    <s v="GJ"/>
    <s v="Jay Prakash Kumar"/>
    <s v="22/11/2020"/>
    <s v="Delivered"/>
    <s v="557 GB M.2"/>
    <s v="SSD"/>
    <s v="Samsung"/>
    <n v="6500"/>
    <n v="8450"/>
    <n v="1"/>
    <n v="6500"/>
    <n v="8450"/>
    <s v="Roshan Kumar"/>
    <n v="8450"/>
  </r>
  <r>
    <s v="140905"/>
    <s v="GJ"/>
    <s v="Ashish Pandey"/>
    <s v="22/11/2020"/>
    <s v="Shipped"/>
    <s v="RYZEN 3rd gen. 3545"/>
    <s v="CPU"/>
    <s v="Intel"/>
    <n v="8500"/>
    <n v="11050"/>
    <n v="4"/>
    <n v="34000"/>
    <n v="44200"/>
    <s v="Aarvi Gupta"/>
    <n v="33150"/>
  </r>
  <r>
    <s v="140906"/>
    <s v="GJ"/>
    <s v="Ajay Sharma"/>
    <s v="22/11/2020"/>
    <s v="Order"/>
    <s v="2GB Graphic Card"/>
    <s v="Graphic Card"/>
    <s v="Nvidia"/>
    <n v="7000"/>
    <n v="9100"/>
    <n v="4"/>
    <n v="28000"/>
    <n v="36400"/>
    <s v="Vijay Singh"/>
    <n v="18200"/>
  </r>
  <r>
    <s v="140907"/>
    <s v="GJ"/>
    <s v="Moinuddin Saifi"/>
    <s v="22/11/2020"/>
    <s v="Processing"/>
    <s v="61 GB DDR4 RAM"/>
    <s v="RAM"/>
    <s v="Hynix"/>
    <n v="6550"/>
    <n v="8515"/>
    <n v="4"/>
    <n v="26200"/>
    <n v="34060"/>
    <s v="Aadil Khan"/>
    <n v="25545"/>
  </r>
  <r>
    <s v="140908"/>
    <s v="GJ"/>
    <s v="Ramkrishna Das Adhikary"/>
    <s v="22/11/2020"/>
    <s v="Delivered"/>
    <s v="Standard ATX motherboard"/>
    <s v="MotherBoard"/>
    <s v="Gigabyte"/>
    <n v="7650"/>
    <n v="9945"/>
    <n v="2"/>
    <n v="15300"/>
    <n v="19890"/>
    <s v="Advika Joshi"/>
    <n v="39780"/>
  </r>
  <r>
    <s v="140909"/>
    <s v="GJ"/>
    <s v="Ranjeet Mandal"/>
    <s v="22/11/2020"/>
    <s v="Shipped"/>
    <s v="Compact with 1 Fan"/>
    <s v="Cabinet"/>
    <s v="Asus"/>
    <n v="1150"/>
    <n v="1495"/>
    <n v="1"/>
    <n v="1150"/>
    <n v="1495"/>
    <s v="Ajay Sharma"/>
    <n v="2990"/>
  </r>
  <r>
    <s v="140910"/>
    <s v="GJ"/>
    <s v="Ashwini Adsare"/>
    <s v="22/11/2020"/>
    <s v="Order"/>
    <s v="USB Backlight Keyboard"/>
    <s v="Keyboard"/>
    <s v="Dell"/>
    <n v="850"/>
    <n v="1105"/>
    <n v="1"/>
    <n v="850"/>
    <n v="1105"/>
    <s v="Roshan Kumar"/>
    <n v="3315"/>
  </r>
  <r>
    <s v="140911"/>
    <s v="GJ"/>
    <s v="Rajesh Variya"/>
    <s v="22/11/2020"/>
    <s v="Processing"/>
    <s v="Ergonomic Mouse"/>
    <s v="Mouse"/>
    <s v="Samsung"/>
    <n v="650"/>
    <n v="845"/>
    <n v="3"/>
    <n v="1950"/>
    <n v="2535"/>
    <s v="Aarvi Gupta"/>
    <n v="1690"/>
  </r>
  <r>
    <s v="140912"/>
    <s v="GJ"/>
    <s v="Amit Singh"/>
    <s v="22/11/2020"/>
    <s v="Delivered"/>
    <s v="15&quot; LCD Dsipaly"/>
    <s v="Monitor"/>
    <s v="Dell"/>
    <n v="7500"/>
    <n v="9750"/>
    <n v="3"/>
    <n v="22500"/>
    <n v="29250"/>
    <s v="Vijay Singh"/>
    <n v="9750"/>
  </r>
  <r>
    <s v="140913"/>
    <s v="GJ"/>
    <s v="Vinod Mehta"/>
    <s v="22/11/2020"/>
    <s v="Shipped"/>
    <s v="47 TB HDD"/>
    <s v="HDD"/>
    <s v="Seagate"/>
    <n v="10000"/>
    <n v="13000"/>
    <n v="1"/>
    <n v="10000"/>
    <n v="13000"/>
    <s v="Aadil Khan"/>
    <n v="39000"/>
  </r>
  <r>
    <s v="140914"/>
    <s v="GJ"/>
    <s v="Jignesh Mhatre"/>
    <s v="22/11/2020"/>
    <s v="Order"/>
    <s v="46 TB SSD"/>
    <s v="SSD"/>
    <s v="Samsung"/>
    <n v="10500"/>
    <n v="13650"/>
    <n v="2"/>
    <n v="21000"/>
    <n v="27300"/>
    <s v="Advika Joshi"/>
    <n v="8450"/>
  </r>
  <r>
    <s v="140915"/>
    <s v="GJ"/>
    <s v="Rahul Kashyap"/>
    <s v="22/11/2020"/>
    <s v="Processing"/>
    <s v="Intel i5 12th gen."/>
    <s v="CPU"/>
    <s v="Intel"/>
    <n v="8500"/>
    <n v="11050"/>
    <n v="2"/>
    <n v="17000"/>
    <n v="22100"/>
    <s v="Ajay Sharma"/>
    <n v="33150"/>
  </r>
  <r>
    <s v="140916"/>
    <s v="GJ"/>
    <s v="Mohammed Abdul Kaleem"/>
    <s v="22/11/2020"/>
    <s v="Delivered"/>
    <s v="2GB Graphic Card"/>
    <s v="Graphic Card"/>
    <s v="Nvidia"/>
    <n v="7000"/>
    <n v="9100"/>
    <n v="4"/>
    <n v="28000"/>
    <n v="36400"/>
    <s v="Roshan Kumar"/>
    <n v="18200"/>
  </r>
  <r>
    <s v="140917"/>
    <s v="GJ"/>
    <s v="Chandrakant Kasbe"/>
    <s v="22/11/2020"/>
    <s v="Shipped"/>
    <s v="49 GB DDR4 Ram"/>
    <s v="RAM"/>
    <s v="Hynix"/>
    <n v="1680"/>
    <n v="2184"/>
    <n v="1"/>
    <n v="1680"/>
    <n v="2184"/>
    <s v="Aarvi Gupta"/>
    <n v="25545"/>
  </r>
  <r>
    <s v="140918"/>
    <s v="GJ"/>
    <s v="Rohan Kale"/>
    <s v="22/11/2020"/>
    <s v="Order"/>
    <s v="Micro ATX motherboard"/>
    <s v="MotherBoard"/>
    <s v="MSI"/>
    <n v="6540"/>
    <n v="8502"/>
    <n v="2"/>
    <n v="13080"/>
    <n v="17004"/>
    <s v="Vijay Singh"/>
    <n v="39780"/>
  </r>
  <r>
    <s v="140919"/>
    <s v="GJ"/>
    <s v="Aniruddha Kekapure"/>
    <s v="22/11/2020"/>
    <s v="Processing"/>
    <s v="Gaming Box Cabinet"/>
    <s v="Cabinet"/>
    <s v="Asus"/>
    <n v="2680"/>
    <n v="3484"/>
    <n v="3"/>
    <n v="8040"/>
    <n v="10452"/>
    <s v="Aadil Khan"/>
    <n v="2990"/>
  </r>
  <r>
    <s v="140920"/>
    <s v="GJ"/>
    <s v="Aslam Raza"/>
    <s v="22/11/2020"/>
    <s v="Delivered"/>
    <s v="17&quot; LCD Display"/>
    <s v="Monitor"/>
    <s v="Samsung"/>
    <n v="8250"/>
    <n v="10725"/>
    <n v="1"/>
    <n v="8250"/>
    <n v="10725"/>
    <s v="Advika Joshi"/>
    <n v="9750"/>
  </r>
  <r>
    <s v="140921"/>
    <s v="GJ"/>
    <s v="Roshan Zameer"/>
    <s v="22/11/2020"/>
    <s v="Shipped"/>
    <s v="53 GB DDR4 RAM"/>
    <s v="RAM"/>
    <s v="Samsung"/>
    <n v="2650"/>
    <n v="3445"/>
    <n v="2"/>
    <n v="5300"/>
    <n v="6890"/>
    <s v="Ajay Sharma"/>
    <n v="25545"/>
  </r>
  <r>
    <s v="140922"/>
    <s v="GJ"/>
    <s v="Rakesh Kumar Sharma"/>
    <s v="22/11/2020"/>
    <s v="Order"/>
    <s v="26&quot; LCD Display"/>
    <s v="Monitor"/>
    <s v="Acer"/>
    <n v="12550"/>
    <n v="16315"/>
    <n v="1"/>
    <n v="12550"/>
    <n v="16315"/>
    <s v="Roshan Kumar"/>
    <n v="9750"/>
  </r>
  <r>
    <s v="140923"/>
    <s v="GJ"/>
    <s v="Shivanand Sahani"/>
    <s v="23/11/2020"/>
    <s v="Processing"/>
    <s v="I7 - intel 12th Generation"/>
    <s v="CPU"/>
    <s v="Intel"/>
    <n v="14500"/>
    <n v="18850"/>
    <n v="1"/>
    <n v="14500"/>
    <n v="18850"/>
    <s v="Aarvi Gupta"/>
    <n v="33150"/>
  </r>
  <r>
    <s v="140924"/>
    <s v="GJ"/>
    <s v="Kunal Patra"/>
    <s v="24/11/2020"/>
    <s v="Delivered"/>
    <s v="USB Keyboard"/>
    <s v="Keyboard"/>
    <s v="Dell"/>
    <n v="800"/>
    <n v="1040"/>
    <n v="1"/>
    <n v="800"/>
    <n v="1040"/>
    <s v="Vijay Singh"/>
    <n v="3315"/>
  </r>
  <r>
    <s v="140925"/>
    <s v="GJ"/>
    <s v="Bijendra"/>
    <s v="25/11/2020"/>
    <s v="Shipped"/>
    <s v="Wireless Mouse"/>
    <s v="Mouse"/>
    <s v="Samsung"/>
    <n v="600"/>
    <n v="780"/>
    <n v="1"/>
    <n v="600"/>
    <n v="780"/>
    <s v="Aadil Khan"/>
    <n v="1690"/>
  </r>
  <r>
    <s v="140926"/>
    <s v="GJ"/>
    <s v="Kranti Bheke"/>
    <s v="26/11/2020"/>
    <s v="Order"/>
    <s v="21&quot; LCD Display"/>
    <s v="Monitor"/>
    <s v="Dell"/>
    <n v="10500"/>
    <n v="13650"/>
    <n v="2"/>
    <n v="21000"/>
    <n v="27300"/>
    <s v="Advika Joshi"/>
    <n v="9750"/>
  </r>
  <r>
    <s v="140927"/>
    <s v="GJ"/>
    <s v="Jagdeep"/>
    <s v="27/11/2020"/>
    <s v="Processing"/>
    <s v="47 TB HDD"/>
    <s v="HDD"/>
    <s v="Western Digital"/>
    <n v="6500"/>
    <n v="8450"/>
    <n v="2"/>
    <n v="13000"/>
    <n v="16900"/>
    <s v="Ajay Sharma"/>
    <n v="39000"/>
  </r>
  <r>
    <s v="140928"/>
    <s v="GJ"/>
    <s v="Adhir Samal"/>
    <s v="28/11/2020"/>
    <s v="Delivered"/>
    <s v="302 GB SSD"/>
    <s v="SSD"/>
    <s v="Samsung"/>
    <n v="4500"/>
    <n v="5850"/>
    <n v="1"/>
    <n v="4500"/>
    <n v="5850"/>
    <s v="Roshan Kumar"/>
    <n v="8450"/>
  </r>
  <r>
    <s v="140929"/>
    <s v="GJ"/>
    <s v="Dannana Jhammi"/>
    <s v="29/11/2020"/>
    <s v="Shipped"/>
    <s v="Intel i3 11th gen."/>
    <s v="CPU"/>
    <s v="Intel"/>
    <n v="8500"/>
    <n v="11050"/>
    <n v="2"/>
    <n v="17000"/>
    <n v="22100"/>
    <s v="Aarvi Gupta"/>
    <n v="33150"/>
  </r>
  <r>
    <s v="140930"/>
    <s v="GJ"/>
    <s v="Vipin Kumar"/>
    <s v="30/11/2020"/>
    <s v="Order"/>
    <s v="4GB Graphic card"/>
    <s v="Graphic Card"/>
    <s v="Nvidia"/>
    <n v="12500"/>
    <n v="16250"/>
    <n v="4"/>
    <n v="50000"/>
    <n v="65000"/>
    <s v="Vijay Singh"/>
    <n v="18200"/>
  </r>
  <r>
    <s v="140931"/>
    <s v="GJ"/>
    <s v="Ranjeet Kumar"/>
    <s v="01/12/2020"/>
    <s v="Processing"/>
    <s v="54 GB DDR4 RAM"/>
    <s v="Computer Case"/>
    <s v="Hynix"/>
    <n v="3500"/>
    <n v="4550"/>
    <n v="3"/>
    <n v="10500"/>
    <n v="13650"/>
    <s v="Aadil Khan"/>
    <n v="13650"/>
  </r>
  <r>
    <s v="140932"/>
    <s v="GJ"/>
    <s v="Sajal Singhal"/>
    <s v="02/12/2020"/>
    <s v="Delivered"/>
    <s v="BTX motherboard"/>
    <s v="Mouse"/>
    <s v="Gigabyte"/>
    <n v="4500"/>
    <n v="5850"/>
    <n v="3"/>
    <n v="13500"/>
    <n v="17550"/>
    <s v="Advika Joshi"/>
    <n v="1690"/>
  </r>
  <r>
    <s v="140933"/>
    <s v="GJ"/>
    <s v="Akhilesh Kumar"/>
    <s v="03/12/2020"/>
    <s v="Shipped"/>
    <s v="49 Fans Cabinet"/>
    <s v="Cabinet"/>
    <s v="Asus"/>
    <n v="2100"/>
    <n v="2730"/>
    <n v="2"/>
    <n v="4200"/>
    <n v="5460"/>
    <s v="Ajay Sharma"/>
    <n v="2990"/>
  </r>
  <r>
    <s v="140934"/>
    <s v="GJ"/>
    <s v="Suvankar Chakraborty"/>
    <s v="04/12/2020"/>
    <s v="Order"/>
    <s v="Wireless Keyboard"/>
    <s v="Keyboard"/>
    <s v="Dell"/>
    <n v="1150"/>
    <n v="1495"/>
    <n v="3"/>
    <n v="3450"/>
    <n v="4485"/>
    <s v="Roshan Kumar"/>
    <n v="3315"/>
  </r>
  <r>
    <s v="140935"/>
    <s v="GJ"/>
    <s v="Suvankar Adhikary"/>
    <s v="05/12/2020"/>
    <s v="Processing"/>
    <s v="USB Mouse"/>
    <s v="Mouse"/>
    <s v="Samsung"/>
    <n v="350"/>
    <n v="455"/>
    <n v="4"/>
    <n v="1400"/>
    <n v="1820"/>
    <s v="Aarvi Gupta"/>
    <n v="1690"/>
  </r>
  <r>
    <s v="140936"/>
    <s v="GJ"/>
    <s v="Rahul Kumar Prajapati"/>
    <s v="06/12/2020"/>
    <s v="Delivered"/>
    <s v="19&quot; LED Display"/>
    <s v="Monitor"/>
    <s v="Dell"/>
    <n v="9500"/>
    <n v="12350"/>
    <n v="2"/>
    <n v="19000"/>
    <n v="24700"/>
    <s v="Vijay Singh"/>
    <n v="9750"/>
  </r>
  <r>
    <s v="140937"/>
    <s v="GJ"/>
    <s v="Sagar Jeur"/>
    <s v="07/12/2020"/>
    <s v="Shipped"/>
    <s v="48 TB HDD"/>
    <s v="HDD"/>
    <s v="Western Digital"/>
    <n v="10000"/>
    <n v="13000"/>
    <n v="2"/>
    <n v="20000"/>
    <n v="26000"/>
    <s v="Aadil Khan"/>
    <n v="39000"/>
  </r>
  <r>
    <s v="140938"/>
    <s v="GJ"/>
    <s v="Rhushikesh Mane"/>
    <s v="08/12/2020"/>
    <s v="Order"/>
    <s v="558 GB M.2"/>
    <s v="SSD"/>
    <s v="Samsung"/>
    <n v="6500"/>
    <n v="8450"/>
    <n v="3"/>
    <n v="19500"/>
    <n v="25350"/>
    <s v="Advika Joshi"/>
    <n v="8450"/>
  </r>
  <r>
    <s v="140939"/>
    <s v="GJ"/>
    <s v="Ashish Kumar"/>
    <s v="09/12/2020"/>
    <s v="Processing"/>
    <s v="RYZEN 3rd gen. 3546"/>
    <s v="CPU"/>
    <s v="Intel"/>
    <n v="8500"/>
    <n v="11050"/>
    <n v="3"/>
    <n v="25500"/>
    <n v="33150"/>
    <s v="Ajay Sharma"/>
    <n v="33150"/>
  </r>
  <r>
    <s v="140940"/>
    <s v="GJ"/>
    <s v="Javed Akhter"/>
    <s v="10/12/2020"/>
    <s v="Delivered"/>
    <s v="2GB Graphic Card"/>
    <s v="Graphic Card"/>
    <s v="Nvidia"/>
    <n v="7000"/>
    <n v="9100"/>
    <n v="4"/>
    <n v="28000"/>
    <n v="36400"/>
    <s v="Roshan Kumar"/>
    <n v="18200"/>
  </r>
  <r>
    <s v="140941"/>
    <s v="GJ"/>
    <s v="Haridas Balraj"/>
    <s v="10/12/2020"/>
    <s v="Shipped"/>
    <s v="62 GB DDR4 RAM"/>
    <s v="Computer Case"/>
    <s v="Hynix"/>
    <n v="6550"/>
    <n v="8515"/>
    <n v="4"/>
    <n v="26200"/>
    <n v="34060"/>
    <s v="Aarvi Gupta"/>
    <n v="13650"/>
  </r>
  <r>
    <s v="140942"/>
    <s v="GJ"/>
    <s v="Kundan Kumar"/>
    <s v="10/12/2020"/>
    <s v="Order"/>
    <s v="Standard ATX motherboard"/>
    <s v="Mouse"/>
    <s v="Gigabyte"/>
    <n v="7650"/>
    <n v="9945"/>
    <n v="1"/>
    <n v="7650"/>
    <n v="9945"/>
    <s v="Vijay Singh"/>
    <n v="1690"/>
  </r>
  <r>
    <s v="140943"/>
    <s v="GJ"/>
    <s v="Atif Siddiqui"/>
    <s v="10/12/2020"/>
    <s v="Processing"/>
    <s v="Compact with 1 Fan"/>
    <s v="Cabinet"/>
    <s v="Asus"/>
    <n v="1150"/>
    <n v="1495"/>
    <n v="3"/>
    <n v="3450"/>
    <n v="4485"/>
    <s v="Aadil Khan"/>
    <n v="2990"/>
  </r>
  <r>
    <s v="140944"/>
    <s v="GJ"/>
    <s v="Aditya Agarwal"/>
    <s v="10/12/2020"/>
    <s v="Delivered"/>
    <s v="USB Backlight Keyboard"/>
    <s v="Keyboard"/>
    <s v="Dell"/>
    <n v="850"/>
    <n v="1105"/>
    <n v="2"/>
    <n v="1700"/>
    <n v="2210"/>
    <s v="Advika Joshi"/>
    <n v="3315"/>
  </r>
  <r>
    <s v="140945"/>
    <s v="GJ"/>
    <s v="Firdoush Jabee"/>
    <s v="10/12/2020"/>
    <s v="Shipped"/>
    <s v="Ergonomic Mouse"/>
    <s v="Mouse"/>
    <s v="Samsung"/>
    <n v="650"/>
    <n v="845"/>
    <n v="3"/>
    <n v="1950"/>
    <n v="2535"/>
    <s v="Ajay Sharma"/>
    <n v="1690"/>
  </r>
  <r>
    <s v="140946"/>
    <s v="GJ"/>
    <s v="Jay Prakash Kumar"/>
    <s v="10/12/2020"/>
    <s v="Order"/>
    <s v="15&quot; LCD Dsipaly"/>
    <s v="Monitor"/>
    <s v="Dell"/>
    <n v="7500"/>
    <n v="9750"/>
    <n v="4"/>
    <n v="30000"/>
    <n v="39000"/>
    <s v="Roshan Kumar"/>
    <n v="9750"/>
  </r>
  <r>
    <s v="140947"/>
    <s v="GJ"/>
    <s v="Ashish Pandey"/>
    <s v="11/12/2020"/>
    <s v="Processing"/>
    <s v="48 TB HDD"/>
    <s v="HDD"/>
    <s v="Seagate"/>
    <n v="10000"/>
    <n v="13000"/>
    <n v="2"/>
    <n v="20000"/>
    <n v="26000"/>
    <s v="Aarvi Gupta"/>
    <n v="39000"/>
  </r>
  <r>
    <s v="140948"/>
    <s v="GJ"/>
    <s v="Ajay Sharma"/>
    <s v="12/12/2020"/>
    <s v="Delivered"/>
    <s v="47 TB SSD"/>
    <s v="SSD"/>
    <s v="Samsung"/>
    <n v="10500"/>
    <n v="13650"/>
    <n v="1"/>
    <n v="10500"/>
    <n v="13650"/>
    <s v="Vijay Singh"/>
    <n v="8450"/>
  </r>
  <r>
    <s v="140949"/>
    <s v="GJ"/>
    <s v="Moinuddin Saifi"/>
    <s v="13/12/2020"/>
    <s v="Shipped"/>
    <s v="Intel i5 12th gen."/>
    <s v="CPU"/>
    <s v="Intel"/>
    <n v="8500"/>
    <n v="11050"/>
    <n v="4"/>
    <n v="34000"/>
    <n v="44200"/>
    <s v="Aadil Khan"/>
    <n v="33150"/>
  </r>
  <r>
    <s v="140950"/>
    <s v="GJ"/>
    <s v="Ramkrishna Das Adhikary"/>
    <s v="14/12/2020"/>
    <s v="Order"/>
    <s v="2GB Graphic Card"/>
    <s v="Graphic Card"/>
    <s v="Nvidia"/>
    <n v="7000"/>
    <n v="9100"/>
    <n v="1"/>
    <n v="7000"/>
    <n v="9100"/>
    <s v="Advika Joshi"/>
    <n v="18200"/>
  </r>
  <r>
    <s v="140951"/>
    <s v="GJ"/>
    <s v="Ranjeet Mandal"/>
    <s v="15/12/2020"/>
    <s v="Processing"/>
    <s v="50 GB DDR4 Ram"/>
    <s v="Computer Case"/>
    <s v="Hynix"/>
    <n v="1680"/>
    <n v="2184"/>
    <n v="4"/>
    <n v="6720"/>
    <n v="8736"/>
    <s v="Ajay Sharma"/>
    <n v="13650"/>
  </r>
  <r>
    <s v="140952"/>
    <s v="GJ"/>
    <s v="Ashwini Adsare"/>
    <s v="16/12/2020"/>
    <s v="Delivered"/>
    <s v="Micro ATX motherboard"/>
    <s v="Mouse"/>
    <s v="MSI"/>
    <n v="6540"/>
    <n v="8502"/>
    <n v="3"/>
    <n v="19620"/>
    <n v="25506"/>
    <s v="Roshan Kumar"/>
    <n v="1690"/>
  </r>
  <r>
    <s v="140953"/>
    <s v="GJ"/>
    <s v="Rajesh Variya"/>
    <s v="17/12/2020"/>
    <s v="Shipped"/>
    <s v="Gaming Box Cabinet"/>
    <s v="Cabinet"/>
    <s v="Asus"/>
    <n v="2680"/>
    <n v="3484"/>
    <n v="1"/>
    <n v="2680"/>
    <n v="3484"/>
    <s v="Aarvi Gupta"/>
    <n v="2990"/>
  </r>
  <r>
    <s v="140954"/>
    <s v="GJ"/>
    <s v="Amit Singh"/>
    <s v="17/12/2020"/>
    <s v="Order"/>
    <s v="17&quot; LCD Display"/>
    <s v="Monitor"/>
    <s v="Samsung"/>
    <n v="8250"/>
    <n v="10725"/>
    <n v="3"/>
    <n v="24750"/>
    <n v="32175"/>
    <s v="Vijay Singh"/>
    <n v="9750"/>
  </r>
  <r>
    <s v="140955"/>
    <s v="GJ"/>
    <s v="Vinod Mehta"/>
    <s v="17/12/2020"/>
    <s v="Processing"/>
    <s v="54 GB DDR4 RAM"/>
    <s v="RAM"/>
    <s v="Samsung"/>
    <n v="2650"/>
    <n v="3445"/>
    <n v="4"/>
    <n v="10600"/>
    <n v="13780"/>
    <s v="Aadil Khan"/>
    <n v="25545"/>
  </r>
  <r>
    <s v="140956"/>
    <s v="GJ"/>
    <s v="Jignesh Mhatre"/>
    <s v="17/12/2020"/>
    <s v="Delivered"/>
    <s v="26&quot; LCD Display"/>
    <s v="Monitor"/>
    <s v="Acer"/>
    <n v="12550"/>
    <n v="16315"/>
    <n v="4"/>
    <n v="50200"/>
    <n v="65260"/>
    <s v="Advika Joshi"/>
    <n v="9750"/>
  </r>
  <r>
    <s v="140957"/>
    <s v="GJ"/>
    <s v="Rahul Kashyap"/>
    <s v="17/12/2020"/>
    <s v="Shipped"/>
    <s v="I7 - intel 12th Generation"/>
    <s v="CPU"/>
    <s v="Intel"/>
    <n v="14500"/>
    <n v="18850"/>
    <n v="2"/>
    <n v="29000"/>
    <n v="37700"/>
    <s v="Ajay Sharma"/>
    <n v="33150"/>
  </r>
  <r>
    <s v="140958"/>
    <s v="GJ"/>
    <s v="Mohammed Abdul Kaleem"/>
    <s v="17/12/2020"/>
    <s v="Order"/>
    <s v="USB Keyboard"/>
    <s v="Keyboard"/>
    <s v="Dell"/>
    <n v="800"/>
    <n v="1040"/>
    <n v="4"/>
    <n v="3200"/>
    <n v="4160"/>
    <s v="Roshan Kumar"/>
    <n v="3315"/>
  </r>
  <r>
    <s v="140959"/>
    <s v="GJ"/>
    <s v="Chandrakant Kasbe"/>
    <s v="17/12/2020"/>
    <s v="Processing"/>
    <s v="Wireless Mouse"/>
    <s v="Mouse"/>
    <s v="Samsung"/>
    <n v="600"/>
    <n v="780"/>
    <n v="1"/>
    <n v="600"/>
    <n v="780"/>
    <s v="Aarvi Gupta"/>
    <n v="1690"/>
  </r>
  <r>
    <s v="140960"/>
    <s v="GJ"/>
    <s v="Rohan Kale"/>
    <s v="17/12/2020"/>
    <s v="Delivered"/>
    <s v="21&quot; LCD Display"/>
    <s v="Monitor"/>
    <s v="Dell"/>
    <n v="10500"/>
    <n v="13650"/>
    <n v="1"/>
    <n v="10500"/>
    <n v="13650"/>
    <s v="Vijay Singh"/>
    <n v="9750"/>
  </r>
  <r>
    <s v="140961"/>
    <s v="GJ"/>
    <s v="Aniruddha Kekapure"/>
    <s v="17/12/2020"/>
    <s v="Shipped"/>
    <s v="48 TB HDD"/>
    <s v="HDD"/>
    <s v="Western Digital"/>
    <n v="6500"/>
    <n v="8450"/>
    <n v="1"/>
    <n v="6500"/>
    <n v="8450"/>
    <s v="Aadil Khan"/>
    <n v="39000"/>
  </r>
  <r>
    <s v="140962"/>
    <s v="GJ"/>
    <s v="Aslam Raza"/>
    <s v="17/12/2020"/>
    <s v="Order"/>
    <s v="303 GB SSD"/>
    <s v="SSD"/>
    <s v="Samsung"/>
    <n v="4500"/>
    <n v="5850"/>
    <n v="2"/>
    <n v="9000"/>
    <n v="11700"/>
    <s v="Advika Joshi"/>
    <n v="8450"/>
  </r>
  <r>
    <s v="140963"/>
    <s v="GJ"/>
    <s v="Roshan Zameer"/>
    <s v="17/12/2020"/>
    <s v="Processing"/>
    <s v="Intel i3 11th gen."/>
    <s v="CPU"/>
    <s v="Intel"/>
    <n v="8500"/>
    <n v="11050"/>
    <n v="1"/>
    <n v="8500"/>
    <n v="11050"/>
    <s v="Ajay Sharma"/>
    <n v="33150"/>
  </r>
  <r>
    <s v="140964"/>
    <s v="GJ"/>
    <s v="Rakesh Kumar Sharma"/>
    <s v="17/12/2020"/>
    <s v="Delivered"/>
    <s v="4GB Graphic card"/>
    <s v="Graphic Card"/>
    <s v="Nvidia"/>
    <n v="12500"/>
    <n v="16250"/>
    <n v="1"/>
    <n v="12500"/>
    <n v="16250"/>
    <s v="Roshan Kumar"/>
    <n v="18200"/>
  </r>
  <r>
    <s v="140965"/>
    <s v="GJ"/>
    <s v="Shivanand Sahani"/>
    <s v="17/12/2020"/>
    <s v="Shipped"/>
    <s v="55 GB DDR4 RAM"/>
    <s v="NIC"/>
    <s v="Hynix"/>
    <n v="3500"/>
    <n v="4550"/>
    <n v="3"/>
    <n v="10500"/>
    <n v="13650"/>
    <s v="Aarvi Gupta"/>
    <n v="9100"/>
  </r>
  <r>
    <s v="140966"/>
    <s v="GJ"/>
    <s v="Kunal Patra"/>
    <s v="18/12/2020"/>
    <s v="Order"/>
    <s v="BTX motherboard"/>
    <s v="Printer"/>
    <s v="Gigabyte"/>
    <n v="4500"/>
    <n v="5850"/>
    <n v="3"/>
    <n v="13500"/>
    <n v="17550"/>
    <s v="Vijay Singh"/>
    <n v="11700"/>
  </r>
  <r>
    <s v="140967"/>
    <s v="GJ"/>
    <s v="Bijendra"/>
    <s v="19/12/2020"/>
    <s v="Processing"/>
    <s v="50 Fans Cabinet"/>
    <s v="Cabinet"/>
    <s v="Asus"/>
    <n v="2100"/>
    <n v="2730"/>
    <n v="3"/>
    <n v="6300"/>
    <n v="8190"/>
    <s v="Aadil Khan"/>
    <n v="2990"/>
  </r>
  <r>
    <s v="140968"/>
    <s v="GJ"/>
    <s v="Kranti Bheke"/>
    <s v="20/12/2020"/>
    <s v="Delivered"/>
    <s v="Wireless Keyboard"/>
    <s v="Keyboard"/>
    <s v="Dell"/>
    <n v="1150"/>
    <n v="1495"/>
    <n v="4"/>
    <n v="4600"/>
    <n v="5980"/>
    <s v="Advika Joshi"/>
    <n v="3315"/>
  </r>
  <r>
    <s v="140969"/>
    <s v="GJ"/>
    <s v="Jagdeep"/>
    <s v="21/12/2020"/>
    <s v="Shipped"/>
    <s v="USB Mouse"/>
    <s v="Mouse"/>
    <s v="Samsung"/>
    <n v="350"/>
    <n v="455"/>
    <n v="2"/>
    <n v="700"/>
    <n v="910"/>
    <s v="Ajay Sharma"/>
    <n v="1690"/>
  </r>
  <r>
    <s v="140970"/>
    <s v="GJ"/>
    <s v="Adhir Samal"/>
    <s v="22/12/2020"/>
    <s v="Order"/>
    <s v="19&quot; LED Display"/>
    <s v="Monitor"/>
    <s v="Dell"/>
    <n v="9500"/>
    <n v="12350"/>
    <n v="4"/>
    <n v="38000"/>
    <n v="49400"/>
    <s v="Roshan Kumar"/>
    <n v="9750"/>
  </r>
  <r>
    <s v="140971"/>
    <s v="GJ"/>
    <s v="Dannana Jhammi"/>
    <s v="22/12/2020"/>
    <s v="Processing"/>
    <s v="49 TB HDD"/>
    <s v="HDD"/>
    <s v="Western Digital"/>
    <n v="10000"/>
    <n v="13000"/>
    <n v="2"/>
    <n v="20000"/>
    <n v="26000"/>
    <s v="Aarvi Gupta"/>
    <n v="39000"/>
  </r>
  <r>
    <s v="140972"/>
    <s v="GJ"/>
    <s v="Vipin Kumar"/>
    <s v="22/12/2020"/>
    <s v="Delivered"/>
    <s v="559 GB M.2"/>
    <s v="SSD"/>
    <s v="Samsung"/>
    <n v="6500"/>
    <n v="8450"/>
    <n v="3"/>
    <n v="19500"/>
    <n v="25350"/>
    <s v="Vijay Singh"/>
    <n v="8450"/>
  </r>
  <r>
    <s v="140973"/>
    <s v="GJ"/>
    <s v="Ranjeet Kumar"/>
    <s v="22/12/2020"/>
    <s v="Shipped"/>
    <s v="RYZEN 3rd gen. 3547"/>
    <s v="CPU"/>
    <s v="Intel"/>
    <n v="8500"/>
    <n v="11050"/>
    <n v="4"/>
    <n v="34000"/>
    <n v="44200"/>
    <s v="Aadil Khan"/>
    <n v="33150"/>
  </r>
  <r>
    <s v="140974"/>
    <s v="GJ"/>
    <s v="Sajal Singhal"/>
    <s v="22/12/2020"/>
    <s v="Order"/>
    <s v="2GB Graphic Card"/>
    <s v="Graphic Card"/>
    <s v="Nvidia"/>
    <n v="7000"/>
    <n v="9100"/>
    <n v="4"/>
    <n v="28000"/>
    <n v="36400"/>
    <s v="Advika Joshi"/>
    <n v="18200"/>
  </r>
  <r>
    <s v="140975"/>
    <s v="GJ"/>
    <s v="Akhilesh Kumar"/>
    <s v="22/12/2020"/>
    <s v="Processing"/>
    <s v="63 GB DDR4 RAM"/>
    <s v="NIC"/>
    <s v="Hynix"/>
    <n v="6550"/>
    <n v="8515"/>
    <n v="1"/>
    <n v="6550"/>
    <n v="8515"/>
    <s v="Ajay Sharma"/>
    <n v="9100"/>
  </r>
  <r>
    <s v="140976"/>
    <s v="GJ"/>
    <s v="Suvankar Chakraborty"/>
    <s v="22/12/2020"/>
    <s v="Delivered"/>
    <s v="Standard ATX motherboard"/>
    <s v="Printer"/>
    <s v="Gigabyte"/>
    <n v="7650"/>
    <n v="9945"/>
    <n v="4"/>
    <n v="30600"/>
    <n v="39780"/>
    <s v="Roshan Kumar"/>
    <n v="11700"/>
  </r>
  <r>
    <s v="140977"/>
    <s v="GJ"/>
    <s v="Suvankar Adhikary"/>
    <s v="22/12/2020"/>
    <s v="Shipped"/>
    <s v="Compact with 1 Fan"/>
    <s v="Cabinet"/>
    <s v="Asus"/>
    <n v="1150"/>
    <n v="1495"/>
    <n v="2"/>
    <n v="2300"/>
    <n v="2990"/>
    <s v="Aarvi Gupta"/>
    <n v="2990"/>
  </r>
  <r>
    <s v="140978"/>
    <s v="GJ"/>
    <s v="Rahul Kumar Prajapati"/>
    <s v="22/12/2020"/>
    <s v="Order"/>
    <s v="USB Backlight Keyboard"/>
    <s v="Keyboard"/>
    <s v="Dell"/>
    <n v="850"/>
    <n v="1105"/>
    <n v="3"/>
    <n v="2550"/>
    <n v="3315"/>
    <s v="Vijay Singh"/>
    <n v="3315"/>
  </r>
  <r>
    <s v="140979"/>
    <s v="GJ"/>
    <s v="Sagar Jeur"/>
    <s v="22/12/2020"/>
    <s v="Processing"/>
    <s v="Ergonomic Mouse"/>
    <s v="Mouse"/>
    <s v="Samsung"/>
    <n v="650"/>
    <n v="845"/>
    <n v="4"/>
    <n v="2600"/>
    <n v="3380"/>
    <s v="Aadil Khan"/>
    <n v="1690"/>
  </r>
  <r>
    <s v="140980"/>
    <s v="GJ"/>
    <s v="Rhushikesh Mane"/>
    <s v="22/12/2020"/>
    <s v="Delivered"/>
    <s v="15&quot; LCD Dsipaly"/>
    <s v="Monitor"/>
    <s v="Dell"/>
    <n v="7500"/>
    <n v="9750"/>
    <n v="2"/>
    <n v="15000"/>
    <n v="19500"/>
    <s v="Advika Joshi"/>
    <n v="9750"/>
  </r>
  <r>
    <s v="140981"/>
    <s v="GJ"/>
    <s v="Ashish Kumar"/>
    <s v="22/12/2020"/>
    <s v="Shipped"/>
    <s v="49 TB HDD"/>
    <s v="HDD"/>
    <s v="Seagate"/>
    <n v="10000"/>
    <n v="13000"/>
    <n v="4"/>
    <n v="40000"/>
    <n v="52000"/>
    <s v="Ajay Sharma"/>
    <n v="39000"/>
  </r>
  <r>
    <s v="140982"/>
    <s v="GJ"/>
    <s v="Javed Akhter"/>
    <s v="22/12/2020"/>
    <s v="Order"/>
    <s v="48 TB SSD"/>
    <s v="SSD"/>
    <s v="Samsung"/>
    <n v="10500"/>
    <n v="13650"/>
    <n v="1"/>
    <n v="10500"/>
    <n v="13650"/>
    <s v="Roshan Kumar"/>
    <n v="8450"/>
  </r>
  <r>
    <s v="140983"/>
    <s v="GJ"/>
    <s v="Haridas Balraj"/>
    <s v="22/12/2020"/>
    <s v="Processing"/>
    <s v="Intel i5 12th gen."/>
    <s v="CPU"/>
    <s v="Intel"/>
    <n v="8500"/>
    <n v="11050"/>
    <n v="4"/>
    <n v="34000"/>
    <n v="44200"/>
    <s v="Aarvi Gupta"/>
    <n v="33150"/>
  </r>
  <r>
    <s v="140984"/>
    <s v="GJ"/>
    <s v="Kundan Kumar"/>
    <s v="22/12/2020"/>
    <s v="Delivered"/>
    <s v="2GB Graphic Card"/>
    <s v="Graphic Card"/>
    <s v="Nvidia"/>
    <n v="7000"/>
    <n v="9100"/>
    <n v="4"/>
    <n v="28000"/>
    <n v="36400"/>
    <s v="Vijay Singh"/>
    <n v="18200"/>
  </r>
  <r>
    <s v="140985"/>
    <s v="GJ"/>
    <s v="Atif Siddiqui"/>
    <s v="22/12/2020"/>
    <s v="Shipped"/>
    <s v="51 GB DDR4 Ram"/>
    <s v="NIC"/>
    <s v="Hynix"/>
    <n v="1680"/>
    <n v="2184"/>
    <n v="3"/>
    <n v="5040"/>
    <n v="6552"/>
    <s v="Aadil Khan"/>
    <n v="9100"/>
  </r>
  <r>
    <s v="140986"/>
    <s v="GJ"/>
    <s v="Aditya Agarwal"/>
    <s v="22/12/2020"/>
    <s v="Order"/>
    <s v="Micro ATX motherboard"/>
    <s v="Printer"/>
    <s v="MSI"/>
    <n v="6540"/>
    <n v="8502"/>
    <n v="1"/>
    <n v="6540"/>
    <n v="8502"/>
    <s v="Advika Joshi"/>
    <n v="11700"/>
  </r>
  <r>
    <s v="140987"/>
    <s v="GJ"/>
    <s v="Firdoush Jabee"/>
    <s v="22/12/2020"/>
    <s v="Processing"/>
    <s v="Gaming Box Cabinet"/>
    <s v="Cabinet"/>
    <s v="Asus"/>
    <n v="2680"/>
    <n v="3484"/>
    <n v="3"/>
    <n v="8040"/>
    <n v="10452"/>
    <s v="Ajay Sharma"/>
    <n v="2990"/>
  </r>
  <r>
    <s v="140988"/>
    <s v="GJ"/>
    <s v="Jay Prakash Kumar"/>
    <s v="22/12/2020"/>
    <s v="Delivered"/>
    <s v="17&quot; LCD Display"/>
    <s v="Monitor"/>
    <s v="Samsung"/>
    <n v="8250"/>
    <n v="10725"/>
    <n v="3"/>
    <n v="24750"/>
    <n v="32175"/>
    <s v="Roshan Kumar"/>
    <n v="9750"/>
  </r>
  <r>
    <s v="140989"/>
    <s v="GJ"/>
    <s v="Ashish Pandey"/>
    <s v="22/12/2020"/>
    <s v="Shipped"/>
    <s v="55 GB DDR4 RAM"/>
    <s v="RAM"/>
    <s v="Samsung"/>
    <n v="2650"/>
    <n v="3445"/>
    <n v="3"/>
    <n v="7950"/>
    <n v="10335"/>
    <s v="Aarvi Gupta"/>
    <n v="25545"/>
  </r>
  <r>
    <s v="140990"/>
    <s v="GJ"/>
    <s v="Ajay Sharma"/>
    <s v="23/12/2020"/>
    <s v="Order"/>
    <s v="26&quot; LCD Display"/>
    <s v="Monitor"/>
    <s v="Acer"/>
    <n v="12550"/>
    <n v="16315"/>
    <n v="3"/>
    <n v="37650"/>
    <n v="48945"/>
    <s v="Vijay Singh"/>
    <n v="9750"/>
  </r>
  <r>
    <s v="140991"/>
    <s v="GJ"/>
    <s v="Moinuddin Saifi"/>
    <s v="24/12/2020"/>
    <s v="Processing"/>
    <s v="I7 - intel 12th Generation"/>
    <s v="CPU"/>
    <s v="Intel"/>
    <n v="14500"/>
    <n v="18850"/>
    <n v="3"/>
    <n v="43500"/>
    <n v="56550"/>
    <s v="Aadil Khan"/>
    <n v="33150"/>
  </r>
  <r>
    <s v="140992"/>
    <s v="GJ"/>
    <s v="Ramkrishna Das Adhikary"/>
    <s v="25/12/2020"/>
    <s v="Delivered"/>
    <s v="USB Keyboard"/>
    <s v="Keyboard"/>
    <s v="Dell"/>
    <n v="800"/>
    <n v="1040"/>
    <n v="3"/>
    <n v="2400"/>
    <n v="3120"/>
    <s v="Advika Joshi"/>
    <n v="3315"/>
  </r>
  <r>
    <s v="140993"/>
    <s v="GJ"/>
    <s v="Ranjeet Mandal"/>
    <s v="26/12/2020"/>
    <s v="Shipped"/>
    <s v="Wireless Mouse"/>
    <s v="Mouse"/>
    <s v="Samsung"/>
    <n v="600"/>
    <n v="780"/>
    <n v="1"/>
    <n v="600"/>
    <n v="780"/>
    <s v="Ajay Sharma"/>
    <n v="1690"/>
  </r>
  <r>
    <s v="140994"/>
    <s v="GJ"/>
    <s v="Ashwini Adsare"/>
    <s v="27/12/2020"/>
    <s v="Order"/>
    <s v="21&quot; LCD Display"/>
    <s v="Monitor"/>
    <s v="Dell"/>
    <n v="10500"/>
    <n v="13650"/>
    <n v="4"/>
    <n v="42000"/>
    <n v="54600"/>
    <s v="Roshan Kumar"/>
    <n v="9750"/>
  </r>
  <r>
    <s v="140995"/>
    <s v="GJ"/>
    <s v="Rajesh Variya"/>
    <s v="27/12/2020"/>
    <s v="Processing"/>
    <s v="49 TB HDD"/>
    <s v="HDD"/>
    <s v="Western Digital"/>
    <n v="6500"/>
    <n v="8450"/>
    <n v="3"/>
    <n v="19500"/>
    <n v="25350"/>
    <s v="Aarvi Gupta"/>
    <n v="39000"/>
  </r>
  <r>
    <s v="140996"/>
    <s v="GJ"/>
    <s v="Amit Singh"/>
    <s v="27/12/2020"/>
    <s v="Delivered"/>
    <s v="304 GB SSD"/>
    <s v="SSD"/>
    <s v="Samsung"/>
    <n v="4500"/>
    <n v="5850"/>
    <n v="3"/>
    <n v="13500"/>
    <n v="17550"/>
    <s v="Vijay Singh"/>
    <n v="8450"/>
  </r>
  <r>
    <s v="140997"/>
    <s v="GJ"/>
    <s v="Vinod Mehta"/>
    <s v="27/12/2020"/>
    <s v="Shipped"/>
    <s v="Intel i3 11th gen."/>
    <s v="CPU"/>
    <s v="Intel"/>
    <n v="8500"/>
    <n v="11050"/>
    <n v="3"/>
    <n v="25500"/>
    <n v="33150"/>
    <s v="Aadil Khan"/>
    <n v="33150"/>
  </r>
  <r>
    <s v="140998"/>
    <s v="GJ"/>
    <s v="Jignesh Mhatre"/>
    <s v="27/12/2020"/>
    <s v="Order"/>
    <s v="4GB Graphic card"/>
    <s v="Graphic Card"/>
    <s v="Nvidia"/>
    <n v="12500"/>
    <n v="16250"/>
    <n v="1"/>
    <n v="12500"/>
    <n v="16250"/>
    <s v="Advika Joshi"/>
    <n v="18200"/>
  </r>
  <r>
    <s v="140999"/>
    <s v="GJ"/>
    <s v="Rahul Kashyap"/>
    <s v="27/12/2020"/>
    <s v="Processing"/>
    <s v="56 GB DDR4 RAM"/>
    <s v="RAM"/>
    <s v="Hynix"/>
    <n v="3500"/>
    <n v="4550"/>
    <n v="4"/>
    <n v="14000"/>
    <n v="18200"/>
    <s v="Ajay Sharma"/>
    <n v="25545"/>
  </r>
  <r>
    <s v="141000"/>
    <s v="GJ"/>
    <s v="Mohammed Abdul Kaleem"/>
    <s v="27/12/2020"/>
    <s v="Delivered"/>
    <s v="BTX motherboard"/>
    <s v="MotherBoard"/>
    <s v="Gigabyte"/>
    <n v="4500"/>
    <n v="5850"/>
    <n v="2"/>
    <n v="9000"/>
    <n v="11700"/>
    <s v="Roshan Kumar"/>
    <n v="39780"/>
  </r>
  <r>
    <s v="141001"/>
    <s v="GJ"/>
    <s v="Chandrakant Kasbe"/>
    <s v="27/12/2020"/>
    <s v="Shipped"/>
    <s v="51 Fans Cabinet"/>
    <s v="Cabinet"/>
    <s v="Asus"/>
    <n v="2100"/>
    <n v="2730"/>
    <n v="2"/>
    <n v="4200"/>
    <n v="5460"/>
    <s v="Aarvi Gupta"/>
    <n v="2990"/>
  </r>
  <r>
    <s v="141002"/>
    <s v="GJ"/>
    <s v="Rohan Kale"/>
    <s v="27/12/2020"/>
    <s v="Order"/>
    <s v="Wireless Keyboard"/>
    <s v="Keyboard"/>
    <s v="Dell"/>
    <n v="1150"/>
    <n v="1495"/>
    <n v="3"/>
    <n v="3450"/>
    <n v="4485"/>
    <s v="Vijay Singh"/>
    <n v="3315"/>
  </r>
  <r>
    <s v="141003"/>
    <s v="GJ"/>
    <s v="Aniruddha Kekapure"/>
    <s v="27/12/2020"/>
    <s v="Processing"/>
    <s v="USB Mouse"/>
    <s v="Mouse"/>
    <s v="Samsung"/>
    <n v="350"/>
    <n v="455"/>
    <n v="1"/>
    <n v="350"/>
    <n v="455"/>
    <s v="Aadil Khan"/>
    <n v="1690"/>
  </r>
  <r>
    <s v="141004"/>
    <s v="GJ"/>
    <s v="Aslam Raza"/>
    <s v="27/12/2020"/>
    <s v="Delivered"/>
    <s v="19&quot; LED Display"/>
    <s v="Monitor"/>
    <s v="Dell"/>
    <n v="9500"/>
    <n v="12350"/>
    <n v="4"/>
    <n v="38000"/>
    <n v="49400"/>
    <s v="Advika Joshi"/>
    <n v="9750"/>
  </r>
  <r>
    <s v="141005"/>
    <s v="GJ"/>
    <s v="Roshan Zameer"/>
    <s v="27/12/2020"/>
    <s v="Shipped"/>
    <s v="50 TB HDD"/>
    <s v="HDD"/>
    <s v="Western Digital"/>
    <n v="10000"/>
    <n v="13000"/>
    <n v="3"/>
    <n v="30000"/>
    <n v="39000"/>
    <s v="Ajay Sharma"/>
    <n v="39000"/>
  </r>
  <r>
    <s v="141006"/>
    <s v="GJ"/>
    <s v="Rakesh Kumar Sharma"/>
    <s v="27/12/2020"/>
    <s v="Order"/>
    <s v="560 GB M.2"/>
    <s v="SSD"/>
    <s v="Samsung"/>
    <n v="6500"/>
    <n v="8450"/>
    <n v="4"/>
    <n v="26000"/>
    <n v="33800"/>
    <s v="Roshan Kumar"/>
    <n v="8450"/>
  </r>
  <r>
    <s v="141007"/>
    <s v="GJ"/>
    <s v="Shivanand Sahani"/>
    <s v="27/12/2020"/>
    <s v="Processing"/>
    <s v="RYZEN 3rd gen. 3548"/>
    <s v="CPU"/>
    <s v="Intel"/>
    <n v="8500"/>
    <n v="11050"/>
    <n v="3"/>
    <n v="25500"/>
    <n v="33150"/>
    <s v="Aarvi Gupta"/>
    <n v="33150"/>
  </r>
  <r>
    <s v="141008"/>
    <s v="GJ"/>
    <s v="Kunal Patra"/>
    <s v="27/12/2020"/>
    <s v="Delivered"/>
    <s v="2GB Graphic Card"/>
    <s v="Graphic Card"/>
    <s v="Nvidia"/>
    <n v="7000"/>
    <n v="9100"/>
    <n v="1"/>
    <n v="7000"/>
    <n v="9100"/>
    <s v="Vijay Singh"/>
    <n v="18200"/>
  </r>
  <r>
    <s v="141009"/>
    <s v="GJ"/>
    <s v="Bijendra"/>
    <s v="27/12/2020"/>
    <s v="Shipped"/>
    <s v="64 GB DDR4 RAM"/>
    <s v="RAM"/>
    <s v="Hynix"/>
    <n v="6550"/>
    <n v="8515"/>
    <n v="2"/>
    <n v="13100"/>
    <n v="17030"/>
    <s v="Aadil Khan"/>
    <n v="25545"/>
  </r>
  <r>
    <s v="141010"/>
    <s v="GJ"/>
    <s v="Kranti Bheke"/>
    <s v="27/12/2020"/>
    <s v="Order"/>
    <s v="Standard ATX motherboard"/>
    <s v="MotherBoard"/>
    <s v="Gigabyte"/>
    <n v="7650"/>
    <n v="9945"/>
    <n v="4"/>
    <n v="30600"/>
    <n v="39780"/>
    <s v="Advika Joshi"/>
    <n v="39780"/>
  </r>
  <r>
    <s v="141011"/>
    <s v="GJ"/>
    <s v="Jagdeep"/>
    <s v="27/12/2020"/>
    <s v="Processing"/>
    <s v="Compact with 1 Fan"/>
    <s v="Cabinet"/>
    <s v="Asus"/>
    <n v="1150"/>
    <n v="1495"/>
    <n v="1"/>
    <n v="1150"/>
    <n v="1495"/>
    <s v="Ajay Sharma"/>
    <n v="2990"/>
  </r>
  <r>
    <s v="141012"/>
    <s v="GJ"/>
    <s v="Adhir Samal"/>
    <s v="27/12/2020"/>
    <s v="Delivered"/>
    <s v="USB Backlight Keyboard"/>
    <s v="Keyboard"/>
    <s v="Dell"/>
    <n v="850"/>
    <n v="1105"/>
    <n v="1"/>
    <n v="850"/>
    <n v="1105"/>
    <s v="Roshan Kumar"/>
    <n v="3315"/>
  </r>
  <r>
    <s v="141013"/>
    <s v="GJ"/>
    <s v="Dannana Jhammi"/>
    <s v="27/12/2020"/>
    <s v="Shipped"/>
    <s v="Ergonomic Mouse"/>
    <s v="Mouse"/>
    <s v="Samsung"/>
    <n v="650"/>
    <n v="845"/>
    <n v="1"/>
    <n v="650"/>
    <n v="845"/>
    <s v="Aarvi Gupta"/>
    <n v="1690"/>
  </r>
  <r>
    <s v="141014"/>
    <s v="GJ"/>
    <s v="Vipin Kumar"/>
    <s v="27/12/2020"/>
    <s v="Order"/>
    <s v="15&quot; LCD Dsipaly"/>
    <s v="Monitor"/>
    <s v="Dell"/>
    <n v="7500"/>
    <n v="9750"/>
    <n v="4"/>
    <n v="30000"/>
    <n v="39000"/>
    <s v="Vijay Singh"/>
    <n v="9750"/>
  </r>
  <r>
    <s v="141015"/>
    <s v="GJ"/>
    <s v="Ranjeet Kumar"/>
    <s v="27/12/2020"/>
    <s v="Processing"/>
    <s v="50 TB HDD"/>
    <s v="HDD"/>
    <s v="Seagate"/>
    <n v="10000"/>
    <n v="13000"/>
    <n v="1"/>
    <n v="10000"/>
    <n v="13000"/>
    <s v="Aadil Khan"/>
    <n v="39000"/>
  </r>
  <r>
    <s v="141016"/>
    <s v="GJ"/>
    <s v="Sajal Singhal"/>
    <s v="28/12/2020"/>
    <s v="Delivered"/>
    <s v="49 TB SSD"/>
    <s v="SSD"/>
    <s v="Samsung"/>
    <n v="10500"/>
    <n v="13650"/>
    <n v="3"/>
    <n v="31500"/>
    <n v="40950"/>
    <s v="Advika Joshi"/>
    <n v="8450"/>
  </r>
  <r>
    <s v="141017"/>
    <s v="GJ"/>
    <s v="Akhilesh Kumar"/>
    <s v="29/12/2020"/>
    <s v="Shipped"/>
    <s v="Intel i5 12th gen."/>
    <s v="CPU"/>
    <s v="Intel"/>
    <n v="8500"/>
    <n v="11050"/>
    <n v="4"/>
    <n v="34000"/>
    <n v="44200"/>
    <s v="Ajay Sharma"/>
    <n v="33150"/>
  </r>
  <r>
    <s v="141018"/>
    <s v="GJ"/>
    <s v="Suvankar Chakraborty"/>
    <s v="30/12/2020"/>
    <s v="Order"/>
    <s v="2GB Graphic Card"/>
    <s v="Graphic Card"/>
    <s v="Nvidia"/>
    <n v="7000"/>
    <n v="9100"/>
    <n v="4"/>
    <n v="28000"/>
    <n v="36400"/>
    <s v="Roshan Kumar"/>
    <n v="18200"/>
  </r>
  <r>
    <s v="141019"/>
    <s v="GJ"/>
    <s v="Suvankar Adhikary"/>
    <s v="31/12/2020"/>
    <s v="Processing"/>
    <s v="52 GB DDR4 Ram"/>
    <s v="RAM"/>
    <s v="Hynix"/>
    <n v="1680"/>
    <n v="2184"/>
    <n v="1"/>
    <n v="1680"/>
    <n v="2184"/>
    <s v="Aarvi Gupta"/>
    <n v="25545"/>
  </r>
  <r>
    <s v="141020"/>
    <s v="GJ"/>
    <s v="Rahul Kumar Prajapati"/>
    <s v="01/01/2021"/>
    <s v="Delivered"/>
    <s v="Micro ATX motherboard"/>
    <s v="MotherBoard"/>
    <s v="MSI"/>
    <n v="6540"/>
    <n v="8502"/>
    <n v="2"/>
    <n v="13080"/>
    <n v="17004"/>
    <s v="Vijay Singh"/>
    <n v="39780"/>
  </r>
  <r>
    <s v="141021"/>
    <s v="GJ"/>
    <s v="Sagar Jeur"/>
    <s v="01/01/2021"/>
    <s v="Shipped"/>
    <s v="Gaming Box Cabinet"/>
    <s v="Cabinet"/>
    <s v="Asus"/>
    <n v="2680"/>
    <n v="3484"/>
    <n v="3"/>
    <n v="8040"/>
    <n v="10452"/>
    <s v="Aadil Khan"/>
    <n v="2990"/>
  </r>
  <r>
    <s v="141022"/>
    <s v="GJ"/>
    <s v="Rhushikesh Mane"/>
    <s v="01/01/2021"/>
    <s v="Order"/>
    <s v="17&quot; LCD Display"/>
    <s v="Monitor"/>
    <s v="Samsung"/>
    <n v="8250"/>
    <n v="10725"/>
    <n v="4"/>
    <n v="33000"/>
    <n v="42900"/>
    <s v="Advika Joshi"/>
    <n v="9750"/>
  </r>
  <r>
    <s v="141023"/>
    <s v="GJ"/>
    <s v="Ashish Kumar"/>
    <s v="01/01/2021"/>
    <s v="Processing"/>
    <s v="56 GB DDR4 RAM"/>
    <s v="RAM"/>
    <s v="Samsung"/>
    <n v="2650"/>
    <n v="3445"/>
    <n v="3"/>
    <n v="7950"/>
    <n v="10335"/>
    <s v="Ajay Sharma"/>
    <n v="25545"/>
  </r>
  <r>
    <s v="141024"/>
    <s v="GJ"/>
    <s v="Javed Akhter"/>
    <s v="01/01/2021"/>
    <s v="Delivered"/>
    <s v="26&quot; LCD Display"/>
    <s v="Monitor"/>
    <s v="Acer"/>
    <n v="12550"/>
    <n v="16315"/>
    <n v="3"/>
    <n v="37650"/>
    <n v="48945"/>
    <s v="Roshan Kumar"/>
    <n v="9750"/>
  </r>
  <r>
    <s v="141025"/>
    <s v="GJ"/>
    <s v="Haridas Balraj"/>
    <s v="01/01/2021"/>
    <s v="Shipped"/>
    <s v="I7 - intel 12th Generation"/>
    <s v="CPU"/>
    <s v="Intel"/>
    <n v="14500"/>
    <n v="18850"/>
    <n v="1"/>
    <n v="14500"/>
    <n v="18850"/>
    <s v="Aarvi Gupta"/>
    <n v="33150"/>
  </r>
  <r>
    <s v="141026"/>
    <s v="GJ"/>
    <s v="Kundan Kumar"/>
    <s v="01/01/2021"/>
    <s v="Order"/>
    <s v="USB Keyboard"/>
    <s v="Keyboard"/>
    <s v="Dell"/>
    <n v="800"/>
    <n v="1040"/>
    <n v="2"/>
    <n v="1600"/>
    <n v="2080"/>
    <s v="Vijay Singh"/>
    <n v="3315"/>
  </r>
  <r>
    <s v="141027"/>
    <s v="GJ"/>
    <s v="Atif Siddiqui"/>
    <s v="01/01/2021"/>
    <s v="Processing"/>
    <s v="Wireless Mouse"/>
    <s v="Mouse"/>
    <s v="Samsung"/>
    <n v="600"/>
    <n v="780"/>
    <n v="4"/>
    <n v="2400"/>
    <n v="3120"/>
    <s v="Aadil Khan"/>
    <n v="1690"/>
  </r>
  <r>
    <s v="141028"/>
    <s v="GJ"/>
    <s v="Aditya Agarwal"/>
    <s v="01/01/2021"/>
    <s v="Delivered"/>
    <s v="21&quot; LCD Display"/>
    <s v="Monitor"/>
    <s v="Dell"/>
    <n v="10500"/>
    <n v="13650"/>
    <n v="3"/>
    <n v="31500"/>
    <n v="40950"/>
    <s v="Advika Joshi"/>
    <n v="9750"/>
  </r>
  <r>
    <s v="141029"/>
    <s v="GJ"/>
    <s v="Firdoush Jabee"/>
    <s v="01/01/2021"/>
    <s v="Shipped"/>
    <s v="50 TB HDD"/>
    <s v="HDD"/>
    <s v="Western Digital"/>
    <n v="6500"/>
    <n v="8450"/>
    <n v="1"/>
    <n v="6500"/>
    <n v="8450"/>
    <s v="Ajay Sharma"/>
    <n v="39000"/>
  </r>
  <r>
    <s v="141030"/>
    <s v="GJ"/>
    <s v="Jay Prakash Kumar"/>
    <s v="01/01/2021"/>
    <s v="Order"/>
    <s v="305 GB SSD"/>
    <s v="SSD"/>
    <s v="Samsung"/>
    <n v="4500"/>
    <n v="5850"/>
    <n v="4"/>
    <n v="18000"/>
    <n v="23400"/>
    <s v="Roshan Kumar"/>
    <n v="8450"/>
  </r>
  <r>
    <s v="141031"/>
    <s v="GJ"/>
    <s v="Ashish Pandey"/>
    <s v="01/01/2021"/>
    <s v="Processing"/>
    <s v="Intel i3 11th gen."/>
    <s v="CPU"/>
    <s v="Intel"/>
    <n v="8500"/>
    <n v="11050"/>
    <n v="4"/>
    <n v="34000"/>
    <n v="44200"/>
    <s v="Aarvi Gupta"/>
    <n v="33150"/>
  </r>
  <r>
    <s v="141032"/>
    <s v="GJ"/>
    <s v="Ajay Sharma"/>
    <s v="01/01/2021"/>
    <s v="Delivered"/>
    <s v="4GB Graphic card"/>
    <s v="Graphic Card"/>
    <s v="Nvidia"/>
    <n v="12500"/>
    <n v="16250"/>
    <n v="4"/>
    <n v="50000"/>
    <n v="65000"/>
    <s v="Vijay Singh"/>
    <n v="18200"/>
  </r>
  <r>
    <s v="141033"/>
    <s v="GJ"/>
    <s v="Moinuddin Saifi"/>
    <s v="01/01/2021"/>
    <s v="Shipped"/>
    <s v="57 GB DDR4 RAM"/>
    <s v="Computer Case"/>
    <s v="Hynix"/>
    <n v="3500"/>
    <n v="4550"/>
    <n v="4"/>
    <n v="14000"/>
    <n v="18200"/>
    <s v="Aadil Khan"/>
    <n v="13650"/>
  </r>
  <r>
    <s v="141034"/>
    <s v="DL"/>
    <s v="Ramkrishna Das Adhikary"/>
    <s v="01/01/2021"/>
    <s v="Order"/>
    <s v="BTX motherboard"/>
    <s v="Mouse"/>
    <s v="Gigabyte"/>
    <n v="4500"/>
    <n v="5850"/>
    <n v="4"/>
    <n v="18000"/>
    <n v="23400"/>
    <s v="Advika Joshi"/>
    <n v="1690"/>
  </r>
  <r>
    <s v="141035"/>
    <s v="LD"/>
    <s v="Ranjeet Mandal"/>
    <s v="01/01/2021"/>
    <s v="Processing"/>
    <s v="52 Fans Cabinet"/>
    <s v="Cabinet"/>
    <s v="Asus"/>
    <n v="2100"/>
    <n v="2730"/>
    <n v="4"/>
    <n v="8400"/>
    <n v="10920"/>
    <s v="Ajay Sharma"/>
    <n v="2990"/>
  </r>
  <r>
    <s v="141036"/>
    <s v="PY"/>
    <s v="Ashwini Adsare"/>
    <s v="01/01/2021"/>
    <s v="Delivered"/>
    <s v="Wireless Keyboard"/>
    <s v="Keyboard"/>
    <s v="Dell"/>
    <n v="1150"/>
    <n v="1495"/>
    <n v="2"/>
    <n v="2300"/>
    <n v="2990"/>
    <s v="Roshan Kumar"/>
    <n v="3315"/>
  </r>
  <r>
    <s v="141037"/>
    <s v="AP"/>
    <s v="Rajesh Variya"/>
    <s v="01/01/2021"/>
    <s v="Shipped"/>
    <s v="USB Mouse"/>
    <s v="Mouse"/>
    <s v="Samsung"/>
    <n v="350"/>
    <n v="455"/>
    <n v="1"/>
    <n v="350"/>
    <n v="455"/>
    <s v="Aarvi Gupta"/>
    <n v="1690"/>
  </r>
  <r>
    <s v="141038"/>
    <s v="AR"/>
    <s v="Amit Singh"/>
    <s v="02/01/2021"/>
    <s v="Order"/>
    <s v="19&quot; LED Display"/>
    <s v="Monitor"/>
    <s v="Dell"/>
    <n v="9500"/>
    <n v="12350"/>
    <n v="1"/>
    <n v="9500"/>
    <n v="12350"/>
    <s v="Vijay Singh"/>
    <n v="9750"/>
  </r>
  <r>
    <s v="141039"/>
    <s v="AS"/>
    <s v="Vinod Mehta"/>
    <s v="03/01/2021"/>
    <s v="Processing"/>
    <s v="51 TB HDD"/>
    <s v="HDD"/>
    <s v="Western Digital"/>
    <n v="10000"/>
    <n v="13000"/>
    <n v="4"/>
    <n v="40000"/>
    <n v="52000"/>
    <s v="Aadil Khan"/>
    <n v="39000"/>
  </r>
  <r>
    <s v="141040"/>
    <s v="BR"/>
    <s v="Jignesh Mhatre"/>
    <s v="04/01/2021"/>
    <s v="Delivered"/>
    <s v="561 GB M.2"/>
    <s v="SSD"/>
    <s v="Samsung"/>
    <n v="6500"/>
    <n v="8450"/>
    <n v="2"/>
    <n v="13000"/>
    <n v="16900"/>
    <s v="Advika Joshi"/>
    <n v="8450"/>
  </r>
  <r>
    <s v="141041"/>
    <s v="CG"/>
    <s v="Rahul Kashyap"/>
    <s v="05/01/2021"/>
    <s v="Shipped"/>
    <s v="RYZEN 3rd gen. 3549"/>
    <s v="CPU"/>
    <s v="Intel"/>
    <n v="8500"/>
    <n v="11050"/>
    <n v="4"/>
    <n v="34000"/>
    <n v="44200"/>
    <s v="Ajay Sharma"/>
    <n v="33150"/>
  </r>
  <r>
    <s v="141042"/>
    <s v="GA"/>
    <s v="Mohammed Abdul Kaleem"/>
    <s v="06/01/2021"/>
    <s v="Order"/>
    <s v="2GB Graphic Card"/>
    <s v="Graphic Card"/>
    <s v="Nvidia"/>
    <n v="7000"/>
    <n v="9100"/>
    <n v="4"/>
    <n v="28000"/>
    <n v="36400"/>
    <s v="Roshan Kumar"/>
    <n v="18200"/>
  </r>
  <r>
    <s v="141043"/>
    <s v="GJ"/>
    <s v="Chandrakant Kasbe"/>
    <s v="07/01/2021"/>
    <s v="Processing"/>
    <s v="65 GB DDR4 RAM"/>
    <s v="Computer Case"/>
    <s v="Hynix"/>
    <n v="6550"/>
    <n v="8515"/>
    <n v="3"/>
    <n v="19650"/>
    <n v="25545"/>
    <s v="Aarvi Gupta"/>
    <n v="13650"/>
  </r>
  <r>
    <s v="141044"/>
    <s v="HR"/>
    <s v="Rohan Kale"/>
    <s v="08/01/2021"/>
    <s v="Delivered"/>
    <s v="Standard ATX motherboard"/>
    <s v="Mouse"/>
    <s v="Gigabyte"/>
    <n v="7650"/>
    <n v="9945"/>
    <n v="4"/>
    <n v="30600"/>
    <n v="39780"/>
    <s v="Vijay Singh"/>
    <n v="1690"/>
  </r>
  <r>
    <s v="141045"/>
    <s v="HP"/>
    <s v="Aniruddha Kekapure"/>
    <s v="09/01/2021"/>
    <s v="Shipped"/>
    <s v="Compact with 1 Fan"/>
    <s v="Cabinet"/>
    <s v="Asus"/>
    <n v="1150"/>
    <n v="1495"/>
    <n v="4"/>
    <n v="4600"/>
    <n v="5980"/>
    <s v="Aadil Khan"/>
    <n v="2990"/>
  </r>
  <r>
    <s v="141046"/>
    <s v="JK"/>
    <s v="Aslam Raza"/>
    <s v="10/01/2021"/>
    <s v="Order"/>
    <s v="USB Backlight Keyboard"/>
    <s v="Keyboard"/>
    <s v="Dell"/>
    <n v="850"/>
    <n v="1105"/>
    <n v="1"/>
    <n v="850"/>
    <n v="1105"/>
    <s v="Advika Joshi"/>
    <n v="3315"/>
  </r>
  <r>
    <s v="141047"/>
    <s v="JH"/>
    <s v="Roshan Zameer"/>
    <s v="11/01/2021"/>
    <s v="Processing"/>
    <s v="Ergonomic Mouse"/>
    <s v="Mouse"/>
    <s v="Samsung"/>
    <n v="650"/>
    <n v="845"/>
    <n v="4"/>
    <n v="2600"/>
    <n v="3380"/>
    <s v="Ajay Sharma"/>
    <n v="1690"/>
  </r>
  <r>
    <s v="141048"/>
    <s v="KA"/>
    <s v="Rakesh Kumar Sharma"/>
    <s v="12/01/2021"/>
    <s v="Delivered"/>
    <s v="15&quot; LCD Dsipaly"/>
    <s v="Monitor"/>
    <s v="Dell"/>
    <n v="7500"/>
    <n v="9750"/>
    <n v="1"/>
    <n v="7500"/>
    <n v="9750"/>
    <s v="Roshan Kumar"/>
    <n v="9750"/>
  </r>
  <r>
    <s v="141049"/>
    <s v="KL"/>
    <s v="Shivanand Sahani"/>
    <s v="12/01/2021"/>
    <s v="Shipped"/>
    <s v="51 TB HDD"/>
    <s v="HDD"/>
    <s v="Seagate"/>
    <n v="10000"/>
    <n v="13000"/>
    <n v="2"/>
    <n v="20000"/>
    <n v="26000"/>
    <s v="Aarvi Gupta"/>
    <n v="39000"/>
  </r>
  <r>
    <s v="141050"/>
    <s v="MP"/>
    <s v="Kunal Patra"/>
    <s v="12/01/2021"/>
    <s v="Order"/>
    <s v="50 TB SSD"/>
    <s v="SSD"/>
    <s v="Samsung"/>
    <n v="10500"/>
    <n v="13650"/>
    <n v="1"/>
    <n v="10500"/>
    <n v="13650"/>
    <s v="Vijay Singh"/>
    <n v="8450"/>
  </r>
  <r>
    <s v="141051"/>
    <s v="MH"/>
    <s v="Bijendra"/>
    <s v="12/01/2021"/>
    <s v="Processing"/>
    <s v="Intel i5 12th gen."/>
    <s v="CPU"/>
    <s v="Intel"/>
    <n v="8500"/>
    <n v="11050"/>
    <n v="1"/>
    <n v="8500"/>
    <n v="11050"/>
    <s v="Aadil Khan"/>
    <n v="33150"/>
  </r>
  <r>
    <s v="141052"/>
    <s v="MN"/>
    <s v="Kranti Bheke"/>
    <s v="13/01/2021"/>
    <s v="Delivered"/>
    <s v="2GB Graphic Card"/>
    <s v="Graphic Card"/>
    <s v="Nvidia"/>
    <n v="7000"/>
    <n v="9100"/>
    <n v="4"/>
    <n v="28000"/>
    <n v="36400"/>
    <s v="Advika Joshi"/>
    <n v="18200"/>
  </r>
  <r>
    <s v="141053"/>
    <s v="ML"/>
    <s v="Jagdeep"/>
    <s v="14/01/2021"/>
    <s v="Shipped"/>
    <s v="53 GB DDR4 Ram"/>
    <s v="Computer Case"/>
    <s v="Hynix"/>
    <n v="1680"/>
    <n v="2184"/>
    <n v="4"/>
    <n v="6720"/>
    <n v="8736"/>
    <s v="Ajay Sharma"/>
    <n v="13650"/>
  </r>
  <r>
    <s v="141054"/>
    <s v="MZ"/>
    <s v="Adhir Samal"/>
    <s v="15/01/2021"/>
    <s v="Order"/>
    <s v="Micro ATX motherboard"/>
    <s v="Mouse"/>
    <s v="MSI"/>
    <n v="6540"/>
    <n v="8502"/>
    <n v="3"/>
    <n v="19620"/>
    <n v="25506"/>
    <s v="Roshan Kumar"/>
    <n v="1690"/>
  </r>
  <r>
    <s v="141055"/>
    <s v="NL"/>
    <s v="Dannana Jhammi"/>
    <s v="16/01/2021"/>
    <s v="Processing"/>
    <s v="Gaming Box Cabinet"/>
    <s v="Cabinet"/>
    <s v="Asus"/>
    <n v="2680"/>
    <n v="3484"/>
    <n v="2"/>
    <n v="5360"/>
    <n v="6968"/>
    <s v="Aarvi Gupta"/>
    <n v="2990"/>
  </r>
  <r>
    <s v="141056"/>
    <s v="OR"/>
    <s v="Vipin Kumar"/>
    <s v="17/01/2021"/>
    <s v="Delivered"/>
    <s v="17&quot; LCD Display"/>
    <s v="Monitor"/>
    <s v="Samsung"/>
    <n v="8250"/>
    <n v="10725"/>
    <n v="2"/>
    <n v="16500"/>
    <n v="21450"/>
    <s v="Vijay Singh"/>
    <n v="9750"/>
  </r>
  <r>
    <s v="141057"/>
    <s v="PB"/>
    <s v="Ranjeet Kumar"/>
    <s v="18/01/2021"/>
    <s v="Shipped"/>
    <s v="57 GB DDR4 RAM"/>
    <s v="RAM"/>
    <s v="Samsung"/>
    <n v="2650"/>
    <n v="3445"/>
    <n v="4"/>
    <n v="10600"/>
    <n v="13780"/>
    <s v="Aadil Khan"/>
    <n v="25545"/>
  </r>
  <r>
    <s v="141058"/>
    <s v="RJ"/>
    <s v="Sajal Singhal"/>
    <s v="19/01/2021"/>
    <s v="Order"/>
    <s v="26&quot; LCD Display"/>
    <s v="Monitor"/>
    <s v="Acer"/>
    <n v="12550"/>
    <n v="16315"/>
    <n v="4"/>
    <n v="50200"/>
    <n v="65260"/>
    <s v="Advika Joshi"/>
    <n v="9750"/>
  </r>
  <r>
    <s v="141059"/>
    <s v="SK"/>
    <s v="Akhilesh Kumar"/>
    <s v="20/01/2021"/>
    <s v="Processing"/>
    <s v="I7 - intel 12th Generation"/>
    <s v="CPU"/>
    <s v="Intel"/>
    <n v="14500"/>
    <n v="18850"/>
    <n v="2"/>
    <n v="29000"/>
    <n v="37700"/>
    <s v="Ajay Sharma"/>
    <n v="33150"/>
  </r>
  <r>
    <s v="141060"/>
    <s v="TN"/>
    <s v="Suvankar Chakraborty"/>
    <s v="21/01/2021"/>
    <s v="Delivered"/>
    <s v="USB Keyboard"/>
    <s v="Keyboard"/>
    <s v="Dell"/>
    <n v="800"/>
    <n v="1040"/>
    <n v="4"/>
    <n v="3200"/>
    <n v="4160"/>
    <s v="Roshan Kumar"/>
    <n v="3315"/>
  </r>
  <r>
    <s v="141061"/>
    <s v="TR"/>
    <s v="Suvankar Adhikary"/>
    <s v="22/01/2021"/>
    <s v="Shipped"/>
    <s v="Wireless Mouse"/>
    <s v="Mouse"/>
    <s v="Samsung"/>
    <n v="600"/>
    <n v="780"/>
    <n v="2"/>
    <n v="1200"/>
    <n v="1560"/>
    <s v="Aarvi Gupta"/>
    <n v="1690"/>
  </r>
  <r>
    <s v="141062"/>
    <s v="UK"/>
    <s v="Rahul Kumar Prajapati"/>
    <s v="23/01/2021"/>
    <s v="Order"/>
    <s v="21&quot; LCD Display"/>
    <s v="Monitor"/>
    <s v="Dell"/>
    <n v="10500"/>
    <n v="13650"/>
    <n v="4"/>
    <n v="42000"/>
    <n v="54600"/>
    <s v="Vijay Singh"/>
    <n v="9750"/>
  </r>
  <r>
    <s v="141063"/>
    <s v="UP"/>
    <s v="Sagar Jeur"/>
    <s v="24/01/2021"/>
    <s v="Processing"/>
    <s v="51 TB HDD"/>
    <s v="HDD"/>
    <s v="Western Digital"/>
    <n v="6500"/>
    <n v="8450"/>
    <n v="1"/>
    <n v="6500"/>
    <n v="8450"/>
    <s v="Aadil Khan"/>
    <n v="39000"/>
  </r>
  <r>
    <s v="141064"/>
    <s v="WB"/>
    <s v="Rhushikesh Mane"/>
    <s v="25/01/2021"/>
    <s v="Delivered"/>
    <s v="306 GB SSD"/>
    <s v="SSD"/>
    <s v="Samsung"/>
    <n v="4500"/>
    <n v="5850"/>
    <n v="4"/>
    <n v="18000"/>
    <n v="23400"/>
    <s v="Advika Joshi"/>
    <n v="8450"/>
  </r>
  <r>
    <s v="141065"/>
    <s v="TN"/>
    <s v="Ashish Kumar"/>
    <s v="26/01/2021"/>
    <s v="Shipped"/>
    <s v="Intel i3 11th gen."/>
    <s v="CPU"/>
    <s v="Intel"/>
    <n v="8500"/>
    <n v="11050"/>
    <n v="2"/>
    <n v="17000"/>
    <n v="22100"/>
    <s v="Ajay Sharma"/>
    <n v="33150"/>
  </r>
  <r>
    <s v="141066"/>
    <s v="TR"/>
    <s v="Javed Akhter"/>
    <s v="27/01/2021"/>
    <s v="Order"/>
    <s v="4GB Graphic card"/>
    <s v="Graphic Card"/>
    <s v="Nvidia"/>
    <n v="12500"/>
    <n v="16250"/>
    <n v="3"/>
    <n v="37500"/>
    <n v="48750"/>
    <s v="Roshan Kumar"/>
    <n v="18200"/>
  </r>
  <r>
    <s v="141067"/>
    <s v="AN"/>
    <s v="Haridas Balraj"/>
    <s v="28/01/2021"/>
    <s v="Processing"/>
    <s v="58 GB DDR4 RAM"/>
    <s v="NIC"/>
    <s v="Hynix"/>
    <n v="3500"/>
    <n v="4550"/>
    <n v="2"/>
    <n v="7000"/>
    <n v="9100"/>
    <s v="Aarvi Gupta"/>
    <n v="9100"/>
  </r>
  <r>
    <s v="141068"/>
    <s v="CH"/>
    <s v="Kundan Kumar"/>
    <s v="29/01/2021"/>
    <s v="Delivered"/>
    <s v="BTX motherboard"/>
    <s v="Printer"/>
    <s v="Gigabyte"/>
    <n v="4500"/>
    <n v="5850"/>
    <n v="2"/>
    <n v="9000"/>
    <n v="11700"/>
    <s v="Vijay Singh"/>
    <n v="11700"/>
  </r>
  <r>
    <s v="141069"/>
    <s v="DH"/>
    <s v="Atif Siddiqui"/>
    <s v="30/01/2021"/>
    <s v="Shipped"/>
    <s v="53 Fans Cabinet"/>
    <s v="Cabinet"/>
    <s v="Asus"/>
    <n v="2100"/>
    <n v="2730"/>
    <n v="3"/>
    <n v="6300"/>
    <n v="8190"/>
    <s v="Aadil Khan"/>
    <n v="2990"/>
  </r>
  <r>
    <s v="141070"/>
    <s v="DD"/>
    <s v="Aditya Agarwal"/>
    <s v="31/01/2021"/>
    <s v="Order"/>
    <s v="Wireless Keyboard"/>
    <s v="Keyboard"/>
    <s v="Dell"/>
    <n v="1150"/>
    <n v="1495"/>
    <n v="2"/>
    <n v="2300"/>
    <n v="2990"/>
    <s v="Advika Joshi"/>
    <n v="3315"/>
  </r>
  <r>
    <s v="141071"/>
    <s v="DL"/>
    <s v="Firdoush Jabee"/>
    <s v="01/02/2021"/>
    <s v="Processing"/>
    <s v="USB Mouse"/>
    <s v="Mouse"/>
    <s v="Samsung"/>
    <n v="350"/>
    <n v="455"/>
    <n v="3"/>
    <n v="1050"/>
    <n v="1365"/>
    <s v="Ajay Sharma"/>
    <n v="1690"/>
  </r>
  <r>
    <s v="141072"/>
    <s v="DL"/>
    <s v="Jay Prakash Kumar"/>
    <s v="01/02/2021"/>
    <s v="Delivered"/>
    <s v="19&quot; LED Display"/>
    <s v="Monitor"/>
    <s v="Dell"/>
    <n v="9500"/>
    <n v="12350"/>
    <n v="3"/>
    <n v="28500"/>
    <n v="37050"/>
    <s v="Roshan Kumar"/>
    <n v="9750"/>
  </r>
  <r>
    <s v="141073"/>
    <s v="DL"/>
    <s v="Ashish Pandey"/>
    <s v="02/02/2021"/>
    <s v="Shipped"/>
    <s v="52 TB HDD"/>
    <s v="HDD"/>
    <s v="Western Digital"/>
    <n v="10000"/>
    <n v="13000"/>
    <n v="2"/>
    <n v="20000"/>
    <n v="26000"/>
    <s v="Aarvi Gupta"/>
    <n v="39000"/>
  </r>
  <r>
    <s v="141074"/>
    <s v="DL"/>
    <s v="Ajay Sharma"/>
    <s v="03/02/2021"/>
    <s v="Order"/>
    <s v="562 GB M.2"/>
    <s v="SSD"/>
    <s v="Samsung"/>
    <n v="6500"/>
    <n v="8450"/>
    <n v="1"/>
    <n v="6500"/>
    <n v="8450"/>
    <s v="Vijay Singh"/>
    <n v="8450"/>
  </r>
  <r>
    <s v="141075"/>
    <s v="DL"/>
    <s v="Moinuddin Saifi"/>
    <s v="03/02/2021"/>
    <s v="Processing"/>
    <s v="RYZEN 3rd gen. 3550"/>
    <s v="CPU"/>
    <s v="Intel"/>
    <n v="8500"/>
    <n v="11050"/>
    <n v="4"/>
    <n v="34000"/>
    <n v="44200"/>
    <s v="Aadil Khan"/>
    <n v="33150"/>
  </r>
  <r>
    <s v="141076"/>
    <s v="DL"/>
    <s v="Ramkrishna Das Adhikary"/>
    <s v="03/02/2021"/>
    <s v="Delivered"/>
    <s v="2GB Graphic Card"/>
    <s v="Graphic Card"/>
    <s v="Nvidia"/>
    <n v="7000"/>
    <n v="9100"/>
    <n v="2"/>
    <n v="14000"/>
    <n v="18200"/>
    <s v="Advika Joshi"/>
    <n v="18200"/>
  </r>
  <r>
    <s v="141077"/>
    <s v="DL"/>
    <s v="Ranjeet Mandal"/>
    <s v="04/02/2021"/>
    <s v="Shipped"/>
    <s v="66 GB DDR4 RAM"/>
    <s v="NIC"/>
    <s v="Hynix"/>
    <n v="6550"/>
    <n v="8515"/>
    <n v="4"/>
    <n v="26200"/>
    <n v="34060"/>
    <s v="Ajay Sharma"/>
    <n v="9100"/>
  </r>
  <r>
    <s v="141078"/>
    <s v="DL"/>
    <s v="Ashwini Adsare"/>
    <s v="05/02/2021"/>
    <s v="Order"/>
    <s v="Standard ATX motherboard"/>
    <s v="Printer"/>
    <s v="Gigabyte"/>
    <n v="7650"/>
    <n v="9945"/>
    <n v="2"/>
    <n v="15300"/>
    <n v="19890"/>
    <s v="Roshan Kumar"/>
    <n v="11700"/>
  </r>
  <r>
    <s v="141079"/>
    <s v="DL"/>
    <s v="Rajesh Variya"/>
    <s v="06/02/2021"/>
    <s v="Processing"/>
    <s v="Compact with 1 Fan"/>
    <s v="Cabinet"/>
    <s v="Asus"/>
    <n v="1150"/>
    <n v="1495"/>
    <n v="1"/>
    <n v="1150"/>
    <n v="1495"/>
    <s v="Aarvi Gupta"/>
    <n v="2990"/>
  </r>
  <r>
    <s v="141080"/>
    <s v="DL"/>
    <s v="Amit Singh"/>
    <s v="07/02/2021"/>
    <s v="Delivered"/>
    <s v="USB Backlight Keyboard"/>
    <s v="Keyboard"/>
    <s v="Dell"/>
    <n v="850"/>
    <n v="1105"/>
    <n v="2"/>
    <n v="1700"/>
    <n v="2210"/>
    <s v="Vijay Singh"/>
    <n v="3315"/>
  </r>
  <r>
    <s v="141081"/>
    <s v="DL"/>
    <s v="Vinod Mehta"/>
    <s v="08/02/2021"/>
    <s v="Shipped"/>
    <s v="Ergonomic Mouse"/>
    <s v="Mouse"/>
    <s v="Samsung"/>
    <n v="650"/>
    <n v="845"/>
    <n v="1"/>
    <n v="650"/>
    <n v="845"/>
    <s v="Aadil Khan"/>
    <n v="1690"/>
  </r>
  <r>
    <s v="141082"/>
    <s v="DL"/>
    <s v="Jignesh Mhatre"/>
    <s v="09/02/2021"/>
    <s v="Order"/>
    <s v="15&quot; LCD Dsipaly"/>
    <s v="Monitor"/>
    <s v="Dell"/>
    <n v="7500"/>
    <n v="9750"/>
    <n v="3"/>
    <n v="22500"/>
    <n v="29250"/>
    <s v="Advika Joshi"/>
    <n v="9750"/>
  </r>
  <r>
    <s v="141083"/>
    <s v="DL"/>
    <s v="Rahul Kashyap"/>
    <s v="10/02/2021"/>
    <s v="Processing"/>
    <s v="52 TB HDD"/>
    <s v="HDD"/>
    <s v="Seagate"/>
    <n v="10000"/>
    <n v="13000"/>
    <n v="2"/>
    <n v="20000"/>
    <n v="26000"/>
    <s v="Ajay Sharma"/>
    <n v="39000"/>
  </r>
  <r>
    <s v="141084"/>
    <s v="DL"/>
    <s v="Mohammed Abdul Kaleem"/>
    <s v="11/02/2021"/>
    <s v="Delivered"/>
    <s v="51 TB SSD"/>
    <s v="SSD"/>
    <s v="Samsung"/>
    <n v="10500"/>
    <n v="13650"/>
    <n v="1"/>
    <n v="10500"/>
    <n v="13650"/>
    <s v="Roshan Kumar"/>
    <n v="8450"/>
  </r>
  <r>
    <s v="141085"/>
    <s v="DL"/>
    <s v="Chandrakant Kasbe"/>
    <s v="12/02/2021"/>
    <s v="Shipped"/>
    <s v="Intel i5 12th gen."/>
    <s v="CPU"/>
    <s v="Intel"/>
    <n v="8500"/>
    <n v="11050"/>
    <n v="2"/>
    <n v="17000"/>
    <n v="22100"/>
    <s v="Aarvi Gupta"/>
    <n v="33150"/>
  </r>
  <r>
    <s v="141086"/>
    <s v="DL"/>
    <s v="Rohan Kale"/>
    <s v="13/02/2021"/>
    <s v="Order"/>
    <s v="2GB Graphic Card"/>
    <s v="Graphic Card"/>
    <s v="Nvidia"/>
    <n v="7000"/>
    <n v="9100"/>
    <n v="3"/>
    <n v="21000"/>
    <n v="27300"/>
    <s v="Vijay Singh"/>
    <n v="18200"/>
  </r>
  <r>
    <s v="141087"/>
    <s v="DL"/>
    <s v="Aniruddha Kekapure"/>
    <s v="14/02/2021"/>
    <s v="Processing"/>
    <s v="54 GB DDR4 Ram"/>
    <s v="NIC"/>
    <s v="Hynix"/>
    <n v="1680"/>
    <n v="2184"/>
    <n v="2"/>
    <n v="3360"/>
    <n v="4368"/>
    <s v="Aadil Khan"/>
    <n v="9100"/>
  </r>
  <r>
    <s v="141088"/>
    <s v="DL"/>
    <s v="Aslam Raza"/>
    <s v="15/02/2021"/>
    <s v="Delivered"/>
    <s v="Micro ATX motherboard"/>
    <s v="Printer"/>
    <s v="MSI"/>
    <n v="6540"/>
    <n v="8502"/>
    <n v="2"/>
    <n v="13080"/>
    <n v="17004"/>
    <s v="Advika Joshi"/>
    <n v="11700"/>
  </r>
  <r>
    <s v="141089"/>
    <s v="DL"/>
    <s v="Roshan Zameer"/>
    <s v="16/02/2021"/>
    <s v="Shipped"/>
    <s v="Gaming Box Cabinet"/>
    <s v="Cabinet"/>
    <s v="Asus"/>
    <n v="2680"/>
    <n v="3484"/>
    <n v="4"/>
    <n v="10720"/>
    <n v="13936"/>
    <s v="Ajay Sharma"/>
    <n v="2990"/>
  </r>
  <r>
    <s v="141090"/>
    <s v="DL"/>
    <s v="Rakesh Kumar Sharma"/>
    <s v="17/02/2021"/>
    <s v="Order"/>
    <s v="17&quot; LCD Display"/>
    <s v="Monitor"/>
    <s v="Samsung"/>
    <n v="8250"/>
    <n v="10725"/>
    <n v="4"/>
    <n v="33000"/>
    <n v="42900"/>
    <s v="Roshan Kumar"/>
    <n v="9750"/>
  </r>
  <r>
    <s v="141091"/>
    <s v="DL"/>
    <s v="Shivanand Sahani"/>
    <s v="18/02/2021"/>
    <s v="Processing"/>
    <s v="58 GB DDR4 RAM"/>
    <s v="RAM"/>
    <s v="Samsung"/>
    <n v="2650"/>
    <n v="3445"/>
    <n v="4"/>
    <n v="10600"/>
    <n v="13780"/>
    <s v="Aarvi Gupta"/>
    <n v="25545"/>
  </r>
  <r>
    <s v="141092"/>
    <s v="DL"/>
    <s v="Kunal Patra"/>
    <s v="19/02/2021"/>
    <s v="Delivered"/>
    <s v="26&quot; LCD Display"/>
    <s v="Monitor"/>
    <s v="Acer"/>
    <n v="12550"/>
    <n v="16315"/>
    <n v="3"/>
    <n v="37650"/>
    <n v="48945"/>
    <s v="Vijay Singh"/>
    <n v="9750"/>
  </r>
  <r>
    <s v="141093"/>
    <s v="DL"/>
    <s v="Bijendra"/>
    <s v="19/02/2021"/>
    <s v="Shipped"/>
    <s v="I7 - intel 12th Generation"/>
    <s v="CPU"/>
    <s v="Intel"/>
    <n v="14500"/>
    <n v="18850"/>
    <n v="4"/>
    <n v="58000"/>
    <n v="75400"/>
    <s v="Aadil Khan"/>
    <n v="33150"/>
  </r>
  <r>
    <s v="141094"/>
    <s v="DL"/>
    <s v="Kranti Bheke"/>
    <s v="19/02/2021"/>
    <s v="Order"/>
    <s v="USB Keyboard"/>
    <s v="Keyboard"/>
    <s v="Dell"/>
    <n v="800"/>
    <n v="1040"/>
    <n v="4"/>
    <n v="3200"/>
    <n v="4160"/>
    <s v="Advika Joshi"/>
    <n v="3315"/>
  </r>
  <r>
    <s v="141095"/>
    <s v="DL"/>
    <s v="Jagdeep"/>
    <s v="19/02/2021"/>
    <s v="Processing"/>
    <s v="Wireless Mouse"/>
    <s v="Mouse"/>
    <s v="Samsung"/>
    <n v="600"/>
    <n v="780"/>
    <n v="3"/>
    <n v="1800"/>
    <n v="2340"/>
    <s v="Ajay Sharma"/>
    <n v="1690"/>
  </r>
  <r>
    <s v="141096"/>
    <s v="DL"/>
    <s v="Adhir Samal"/>
    <s v="20/02/2021"/>
    <s v="Delivered"/>
    <s v="21&quot; LCD Display"/>
    <s v="Monitor"/>
    <s v="Dell"/>
    <n v="10500"/>
    <n v="13650"/>
    <n v="2"/>
    <n v="21000"/>
    <n v="27300"/>
    <s v="Roshan Kumar"/>
    <n v="9750"/>
  </r>
  <r>
    <s v="141097"/>
    <s v="DL"/>
    <s v="Dannana Jhammi"/>
    <s v="21/02/2021"/>
    <s v="Shipped"/>
    <s v="52 TB HDD"/>
    <s v="HDD"/>
    <s v="Western Digital"/>
    <n v="6500"/>
    <n v="8450"/>
    <n v="2"/>
    <n v="13000"/>
    <n v="16900"/>
    <s v="Aarvi Gupta"/>
    <n v="39000"/>
  </r>
  <r>
    <s v="141098"/>
    <s v="DL"/>
    <s v="Vipin Kumar"/>
    <s v="22/02/2021"/>
    <s v="Order"/>
    <s v="307 GB SSD"/>
    <s v="SSD"/>
    <s v="Samsung"/>
    <n v="4500"/>
    <n v="5850"/>
    <n v="2"/>
    <n v="9000"/>
    <n v="11700"/>
    <s v="Vijay Singh"/>
    <n v="8450"/>
  </r>
  <r>
    <s v="141099"/>
    <s v="DL"/>
    <s v="Ranjeet Kumar"/>
    <s v="23/02/2021"/>
    <s v="Processing"/>
    <s v="Intel i3 11th gen."/>
    <s v="CPU"/>
    <s v="Intel"/>
    <n v="8500"/>
    <n v="11050"/>
    <n v="2"/>
    <n v="17000"/>
    <n v="22100"/>
    <s v="Aadil Khan"/>
    <n v="33150"/>
  </r>
  <r>
    <s v="141100"/>
    <s v="DL"/>
    <s v="Sajal Singhal"/>
    <s v="24/02/2021"/>
    <s v="Delivered"/>
    <s v="4GB Graphic card"/>
    <s v="Graphic Card"/>
    <s v="Nvidia"/>
    <n v="12500"/>
    <n v="16250"/>
    <n v="2"/>
    <n v="25000"/>
    <n v="32500"/>
    <s v="Advika Joshi"/>
    <n v="18200"/>
  </r>
  <r>
    <s v="141101"/>
    <s v="DL"/>
    <s v="Akhilesh Kumar"/>
    <s v="25/02/2021"/>
    <s v="Shipped"/>
    <s v="59 GB DDR4 RAM"/>
    <s v="RAM"/>
    <s v="Hynix"/>
    <n v="3500"/>
    <n v="4550"/>
    <n v="2"/>
    <n v="7000"/>
    <n v="9100"/>
    <s v="Ajay Sharma"/>
    <n v="25545"/>
  </r>
  <r>
    <s v="141102"/>
    <s v="DL"/>
    <s v="Suvankar Chakraborty"/>
    <s v="26/02/2021"/>
    <s v="Order"/>
    <s v="BTX motherboard"/>
    <s v="MotherBoard"/>
    <s v="Gigabyte"/>
    <n v="4500"/>
    <n v="5850"/>
    <n v="2"/>
    <n v="9000"/>
    <n v="11700"/>
    <s v="Roshan Kumar"/>
    <n v="39780"/>
  </r>
  <r>
    <s v="141103"/>
    <s v="DL"/>
    <s v="Suvankar Adhikary"/>
    <s v="27/02/2021"/>
    <s v="Processing"/>
    <s v="54 Fans Cabinet"/>
    <s v="Cabinet"/>
    <s v="Asus"/>
    <n v="2100"/>
    <n v="2730"/>
    <n v="4"/>
    <n v="8400"/>
    <n v="10920"/>
    <s v="Aarvi Gupta"/>
    <n v="2990"/>
  </r>
  <r>
    <s v="141104"/>
    <s v="DL"/>
    <s v="Rahul Kumar Prajapati"/>
    <s v="28/02/2021"/>
    <s v="Delivered"/>
    <s v="Wireless Keyboard"/>
    <s v="Keyboard"/>
    <s v="Dell"/>
    <n v="1150"/>
    <n v="1495"/>
    <n v="3"/>
    <n v="3450"/>
    <n v="4485"/>
    <s v="Vijay Singh"/>
    <n v="3315"/>
  </r>
  <r>
    <s v="141105"/>
    <s v="DL"/>
    <s v="Sagar Jeur"/>
    <s v="01/03/2021"/>
    <s v="Shipped"/>
    <s v="USB Mouse"/>
    <s v="Mouse"/>
    <s v="Samsung"/>
    <n v="350"/>
    <n v="455"/>
    <n v="4"/>
    <n v="1400"/>
    <n v="1820"/>
    <s v="Aadil Khan"/>
    <n v="1690"/>
  </r>
  <r>
    <s v="141106"/>
    <s v="DL"/>
    <s v="Rhushikesh Mane"/>
    <s v="02/03/2021"/>
    <s v="Order"/>
    <s v="19&quot; LED Display"/>
    <s v="Monitor"/>
    <s v="Dell"/>
    <n v="9500"/>
    <n v="12350"/>
    <n v="1"/>
    <n v="9500"/>
    <n v="12350"/>
    <s v="Advika Joshi"/>
    <n v="9750"/>
  </r>
  <r>
    <s v="141107"/>
    <s v="DL"/>
    <s v="Ashish Kumar"/>
    <s v="03/03/2021"/>
    <s v="Processing"/>
    <s v="53 TB HDD"/>
    <s v="HDD"/>
    <s v="Western Digital"/>
    <n v="10000"/>
    <n v="13000"/>
    <n v="3"/>
    <n v="30000"/>
    <n v="39000"/>
    <s v="Ajay Sharma"/>
    <n v="39000"/>
  </r>
  <r>
    <s v="141108"/>
    <s v="DL"/>
    <s v="Javed Akhter"/>
    <s v="04/03/2021"/>
    <s v="Delivered"/>
    <s v="563 GB M.2"/>
    <s v="SSD"/>
    <s v="Samsung"/>
    <n v="6500"/>
    <n v="8450"/>
    <n v="3"/>
    <n v="19500"/>
    <n v="25350"/>
    <s v="Roshan Kumar"/>
    <n v="8450"/>
  </r>
  <r>
    <s v="141109"/>
    <s v="DL"/>
    <s v="Haridas Balraj"/>
    <s v="05/03/2021"/>
    <s v="Shipped"/>
    <s v="RYZEN 3rd gen. 3551"/>
    <s v="CPU"/>
    <s v="Intel"/>
    <n v="8500"/>
    <n v="11050"/>
    <n v="1"/>
    <n v="8500"/>
    <n v="11050"/>
    <s v="Aarvi Gupta"/>
    <n v="33150"/>
  </r>
  <r>
    <s v="141110"/>
    <s v="DL"/>
    <s v="Kundan Kumar"/>
    <s v="05/03/2021"/>
    <s v="Order"/>
    <s v="2GB Graphic Card"/>
    <s v="Graphic Card"/>
    <s v="Nvidia"/>
    <n v="7000"/>
    <n v="9100"/>
    <n v="3"/>
    <n v="21000"/>
    <n v="27300"/>
    <s v="Vijay Singh"/>
    <n v="18200"/>
  </r>
  <r>
    <s v="141111"/>
    <s v="DL"/>
    <s v="Atif Siddiqui"/>
    <s v="06/03/2021"/>
    <s v="Processing"/>
    <s v="67 GB DDR4 RAM"/>
    <s v="RAM"/>
    <s v="Hynix"/>
    <n v="6550"/>
    <n v="8515"/>
    <n v="4"/>
    <n v="26200"/>
    <n v="34060"/>
    <s v="Aadil Khan"/>
    <n v="25545"/>
  </r>
  <r>
    <s v="141112"/>
    <s v="DL"/>
    <s v="Aditya Agarwal"/>
    <s v="07/03/2021"/>
    <s v="Delivered"/>
    <s v="Standard ATX motherboard"/>
    <s v="MotherBoard"/>
    <s v="Gigabyte"/>
    <n v="7650"/>
    <n v="9945"/>
    <n v="4"/>
    <n v="30600"/>
    <n v="39780"/>
    <s v="Advika Joshi"/>
    <n v="39780"/>
  </r>
  <r>
    <s v="141113"/>
    <s v="DL"/>
    <s v="Firdoush Jabee"/>
    <s v="07/03/2021"/>
    <s v="Shipped"/>
    <s v="Compact with 1 Fan"/>
    <s v="Cabinet"/>
    <s v="Asus"/>
    <n v="1150"/>
    <n v="1495"/>
    <n v="3"/>
    <n v="3450"/>
    <n v="4485"/>
    <s v="Ajay Sharma"/>
    <n v="2990"/>
  </r>
  <r>
    <s v="141114"/>
    <s v="DL"/>
    <s v="Jay Prakash Kumar"/>
    <s v="07/03/2021"/>
    <s v="Order"/>
    <s v="USB Backlight Keyboard"/>
    <s v="Keyboard"/>
    <s v="Dell"/>
    <n v="850"/>
    <n v="1105"/>
    <n v="3"/>
    <n v="2550"/>
    <n v="3315"/>
    <s v="Roshan Kumar"/>
    <n v="3315"/>
  </r>
  <r>
    <s v="141115"/>
    <s v="DL"/>
    <s v="Ashish Pandey"/>
    <s v="07/03/2021"/>
    <s v="Processing"/>
    <s v="Ergonomic Mouse"/>
    <s v="Mouse"/>
    <s v="Samsung"/>
    <n v="650"/>
    <n v="845"/>
    <n v="3"/>
    <n v="1950"/>
    <n v="2535"/>
    <s v="Aarvi Gupta"/>
    <n v="1690"/>
  </r>
  <r>
    <s v="141116"/>
    <s v="DL"/>
    <s v="Ajay Sharma"/>
    <s v="07/03/2021"/>
    <s v="Delivered"/>
    <s v="15&quot; LCD Dsipaly"/>
    <s v="Monitor"/>
    <s v="Dell"/>
    <n v="7500"/>
    <n v="9750"/>
    <n v="1"/>
    <n v="7500"/>
    <n v="9750"/>
    <s v="Vijay Singh"/>
    <n v="9750"/>
  </r>
  <r>
    <s v="141117"/>
    <s v="DL"/>
    <s v="Moinuddin Saifi"/>
    <s v="07/03/2021"/>
    <s v="Shipped"/>
    <s v="53 TB HDD"/>
    <s v="HDD"/>
    <s v="Seagate"/>
    <n v="10000"/>
    <n v="13000"/>
    <n v="4"/>
    <n v="40000"/>
    <n v="52000"/>
    <s v="Aadil Khan"/>
    <n v="39000"/>
  </r>
  <r>
    <s v="141118"/>
    <s v="DL"/>
    <s v="Ramkrishna Das Adhikary"/>
    <s v="07/03/2021"/>
    <s v="Order"/>
    <s v="52 TB SSD"/>
    <s v="SSD"/>
    <s v="Samsung"/>
    <n v="10500"/>
    <n v="13650"/>
    <n v="3"/>
    <n v="31500"/>
    <n v="40950"/>
    <s v="Advika Joshi"/>
    <n v="8450"/>
  </r>
  <r>
    <s v="141119"/>
    <s v="DL"/>
    <s v="Ranjeet Mandal"/>
    <s v="08/03/2021"/>
    <s v="Processing"/>
    <s v="Intel i5 12th gen."/>
    <s v="CPU"/>
    <s v="Intel"/>
    <n v="8500"/>
    <n v="11050"/>
    <n v="3"/>
    <n v="25500"/>
    <n v="33150"/>
    <s v="Ajay Sharma"/>
    <n v="33150"/>
  </r>
  <r>
    <s v="141120"/>
    <s v="DL"/>
    <s v="Ashwini Adsare"/>
    <s v="09/03/2021"/>
    <s v="Delivered"/>
    <s v="2GB Graphic Card"/>
    <s v="Graphic Card"/>
    <s v="Nvidia"/>
    <n v="7000"/>
    <n v="9100"/>
    <n v="4"/>
    <n v="28000"/>
    <n v="36400"/>
    <s v="Roshan Kumar"/>
    <n v="18200"/>
  </r>
  <r>
    <s v="141121"/>
    <s v="DL"/>
    <s v="Rajesh Variya"/>
    <s v="10/03/2021"/>
    <s v="Shipped"/>
    <s v="55 GB DDR4 Ram"/>
    <s v="RAM"/>
    <s v="Hynix"/>
    <n v="1680"/>
    <n v="2184"/>
    <n v="4"/>
    <n v="6720"/>
    <n v="8736"/>
    <s v="Aarvi Gupta"/>
    <n v="25545"/>
  </r>
  <r>
    <s v="141122"/>
    <s v="DL"/>
    <s v="Amit Singh"/>
    <s v="11/03/2021"/>
    <s v="Order"/>
    <s v="Micro ATX motherboard"/>
    <s v="MotherBoard"/>
    <s v="MSI"/>
    <n v="6540"/>
    <n v="8502"/>
    <n v="3"/>
    <n v="19620"/>
    <n v="25506"/>
    <s v="Vijay Singh"/>
    <n v="39780"/>
  </r>
  <r>
    <s v="141123"/>
    <s v="DL"/>
    <s v="Vinod Mehta"/>
    <s v="12/03/2021"/>
    <s v="Processing"/>
    <s v="Gaming Box Cabinet"/>
    <s v="Cabinet"/>
    <s v="Asus"/>
    <n v="2680"/>
    <n v="3484"/>
    <n v="3"/>
    <n v="8040"/>
    <n v="10452"/>
    <s v="Aadil Khan"/>
    <n v="2990"/>
  </r>
  <r>
    <s v="141124"/>
    <s v="DL"/>
    <s v="Jignesh Mhatre"/>
    <s v="13/03/2021"/>
    <s v="Delivered"/>
    <s v="17&quot; LCD Display"/>
    <s v="Monitor"/>
    <s v="Samsung"/>
    <n v="8250"/>
    <n v="10725"/>
    <n v="1"/>
    <n v="8250"/>
    <n v="10725"/>
    <s v="Advika Joshi"/>
    <n v="9750"/>
  </r>
  <r>
    <s v="141125"/>
    <s v="DL"/>
    <s v="Rahul Kashyap"/>
    <s v="14/03/2021"/>
    <s v="Shipped"/>
    <s v="59 GB DDR4 RAM"/>
    <s v="RAM"/>
    <s v="Samsung"/>
    <n v="2650"/>
    <n v="3445"/>
    <n v="1"/>
    <n v="2650"/>
    <n v="3445"/>
    <s v="Ajay Sharma"/>
    <n v="25545"/>
  </r>
  <r>
    <s v="141126"/>
    <s v="DL"/>
    <s v="Mohammed Abdul Kaleem"/>
    <s v="15/03/2021"/>
    <s v="Order"/>
    <s v="26&quot; LCD Display"/>
    <s v="Monitor"/>
    <s v="Acer"/>
    <n v="12550"/>
    <n v="16315"/>
    <n v="3"/>
    <n v="37650"/>
    <n v="48945"/>
    <s v="Roshan Kumar"/>
    <n v="9750"/>
  </r>
  <r>
    <s v="141127"/>
    <s v="DL"/>
    <s v="Chandrakant Kasbe"/>
    <s v="16/03/2021"/>
    <s v="Processing"/>
    <s v="I7 - intel 12th Generation"/>
    <s v="CPU"/>
    <s v="Intel"/>
    <n v="14500"/>
    <n v="18850"/>
    <n v="2"/>
    <n v="29000"/>
    <n v="37700"/>
    <s v="Aarvi Gupta"/>
    <n v="33150"/>
  </r>
  <r>
    <s v="141128"/>
    <s v="DL"/>
    <s v="Rohan Kale"/>
    <s v="16/03/2021"/>
    <s v="Delivered"/>
    <s v="USB Keyboard"/>
    <s v="Keyboard"/>
    <s v="Dell"/>
    <n v="800"/>
    <n v="1040"/>
    <n v="4"/>
    <n v="3200"/>
    <n v="4160"/>
    <s v="Vijay Singh"/>
    <n v="3315"/>
  </r>
  <r>
    <s v="141129"/>
    <s v="DL"/>
    <s v="Aniruddha Kekapure"/>
    <s v="16/03/2021"/>
    <s v="Shipped"/>
    <s v="Wireless Mouse"/>
    <s v="Mouse"/>
    <s v="Samsung"/>
    <n v="600"/>
    <n v="780"/>
    <n v="4"/>
    <n v="2400"/>
    <n v="3120"/>
    <s v="Aadil Khan"/>
    <n v="1690"/>
  </r>
  <r>
    <s v="141130"/>
    <s v="DL"/>
    <s v="Aslam Raza"/>
    <s v="16/03/2021"/>
    <s v="Order"/>
    <s v="21&quot; LCD Display"/>
    <s v="Monitor"/>
    <s v="Dell"/>
    <n v="10500"/>
    <n v="13650"/>
    <n v="1"/>
    <n v="10500"/>
    <n v="13650"/>
    <s v="Advika Joshi"/>
    <n v="9750"/>
  </r>
  <r>
    <s v="141131"/>
    <s v="DL"/>
    <s v="Roshan Zameer"/>
    <s v="16/03/2021"/>
    <s v="Processing"/>
    <s v="53 TB HDD"/>
    <s v="HDD"/>
    <s v="Western Digital"/>
    <n v="6500"/>
    <n v="8450"/>
    <n v="4"/>
    <n v="26000"/>
    <n v="33800"/>
    <s v="Ajay Sharma"/>
    <n v="39000"/>
  </r>
  <r>
    <s v="141132"/>
    <s v="DL"/>
    <s v="Rakesh Kumar Sharma"/>
    <s v="16/03/2021"/>
    <s v="Delivered"/>
    <s v="308 GB SSD"/>
    <s v="SSD"/>
    <s v="Samsung"/>
    <n v="4500"/>
    <n v="5850"/>
    <n v="4"/>
    <n v="18000"/>
    <n v="23400"/>
    <s v="Roshan Kumar"/>
    <n v="8450"/>
  </r>
  <r>
    <s v="141133"/>
    <s v="DL"/>
    <s v="Shivanand Sahani"/>
    <s v="16/03/2021"/>
    <s v="Shipped"/>
    <s v="Intel i3 11th gen."/>
    <s v="CPU"/>
    <s v="Intel"/>
    <n v="8500"/>
    <n v="11050"/>
    <n v="4"/>
    <n v="34000"/>
    <n v="44200"/>
    <s v="Aarvi Gupta"/>
    <n v="33150"/>
  </r>
  <r>
    <s v="141134"/>
    <s v="DL"/>
    <s v="Kunal Patra"/>
    <s v="16/03/2021"/>
    <s v="Order"/>
    <s v="4GB Graphic card"/>
    <s v="Graphic Card"/>
    <s v="Nvidia"/>
    <n v="12500"/>
    <n v="16250"/>
    <n v="3"/>
    <n v="37500"/>
    <n v="48750"/>
    <s v="Vijay Singh"/>
    <n v="18200"/>
  </r>
  <r>
    <s v="141135"/>
    <s v="DL"/>
    <s v="Bijendra"/>
    <s v="16/03/2021"/>
    <s v="Processing"/>
    <s v="60 GB DDR4 RAM"/>
    <s v="Computer Case"/>
    <s v="Hynix"/>
    <n v="3500"/>
    <n v="4550"/>
    <n v="1"/>
    <n v="3500"/>
    <n v="4550"/>
    <s v="Aadil Khan"/>
    <n v="13650"/>
  </r>
  <r>
    <s v="141136"/>
    <s v="DL"/>
    <s v="Kranti Bheke"/>
    <s v="16/03/2021"/>
    <s v="Delivered"/>
    <s v="BTX motherboard"/>
    <s v="Mouse"/>
    <s v="Gigabyte"/>
    <n v="4500"/>
    <n v="5850"/>
    <n v="4"/>
    <n v="18000"/>
    <n v="23400"/>
    <s v="Advika Joshi"/>
    <n v="1690"/>
  </r>
  <r>
    <s v="141137"/>
    <s v="DL"/>
    <s v="Jagdeep"/>
    <s v="17/03/2021"/>
    <s v="Shipped"/>
    <s v="55 Fans Cabinet"/>
    <s v="Cabinet"/>
    <s v="Asus"/>
    <n v="2100"/>
    <n v="2730"/>
    <n v="4"/>
    <n v="8400"/>
    <n v="10920"/>
    <s v="Ajay Sharma"/>
    <n v="2990"/>
  </r>
  <r>
    <s v="141138"/>
    <s v="DL"/>
    <s v="Adhir Samal"/>
    <s v="18/03/2021"/>
    <s v="Order"/>
    <s v="Wireless Keyboard"/>
    <s v="Keyboard"/>
    <s v="Dell"/>
    <n v="1150"/>
    <n v="1495"/>
    <n v="3"/>
    <n v="3450"/>
    <n v="4485"/>
    <s v="Roshan Kumar"/>
    <n v="3315"/>
  </r>
  <r>
    <s v="141139"/>
    <s v="DL"/>
    <s v="Dannana Jhammi"/>
    <s v="18/03/2021"/>
    <s v="Processing"/>
    <s v="USB Mouse"/>
    <s v="Mouse"/>
    <s v="Samsung"/>
    <n v="350"/>
    <n v="455"/>
    <n v="1"/>
    <n v="350"/>
    <n v="455"/>
    <s v="Aarvi Gupta"/>
    <n v="1690"/>
  </r>
  <r>
    <s v="141140"/>
    <s v="DL"/>
    <s v="Vipin Kumar"/>
    <s v="18/03/2021"/>
    <s v="Delivered"/>
    <s v="19&quot; LED Display"/>
    <s v="Monitor"/>
    <s v="Dell"/>
    <n v="9500"/>
    <n v="12350"/>
    <n v="4"/>
    <n v="38000"/>
    <n v="49400"/>
    <s v="Vijay Singh"/>
    <n v="9750"/>
  </r>
  <r>
    <s v="141141"/>
    <s v="DL"/>
    <s v="Ranjeet Kumar"/>
    <s v="18/03/2021"/>
    <s v="Shipped"/>
    <s v="54 TB HDD"/>
    <s v="HDD"/>
    <s v="Western Digital"/>
    <n v="10000"/>
    <n v="13000"/>
    <n v="3"/>
    <n v="30000"/>
    <n v="39000"/>
    <s v="Aadil Khan"/>
    <n v="39000"/>
  </r>
  <r>
    <s v="141142"/>
    <s v="DL"/>
    <s v="Sajal Singhal"/>
    <s v="18/03/2021"/>
    <s v="Order"/>
    <s v="564 GB M.2"/>
    <s v="SSD"/>
    <s v="Samsung"/>
    <n v="6500"/>
    <n v="8450"/>
    <n v="1"/>
    <n v="6500"/>
    <n v="8450"/>
    <s v="Advika Joshi"/>
    <n v="8450"/>
  </r>
  <r>
    <s v="141143"/>
    <s v="DL"/>
    <s v="Akhilesh Kumar"/>
    <s v="18/03/2021"/>
    <s v="Processing"/>
    <s v="RYZEN 3rd gen. 3552"/>
    <s v="CPU"/>
    <s v="Intel"/>
    <n v="8500"/>
    <n v="11050"/>
    <n v="4"/>
    <n v="34000"/>
    <n v="44200"/>
    <s v="Ajay Sharma"/>
    <n v="33150"/>
  </r>
  <r>
    <s v="141144"/>
    <s v="DL"/>
    <s v="Suvankar Chakraborty"/>
    <s v="18/03/2021"/>
    <s v="Delivered"/>
    <s v="2GB Graphic Card"/>
    <s v="Graphic Card"/>
    <s v="Nvidia"/>
    <n v="7000"/>
    <n v="9100"/>
    <n v="3"/>
    <n v="21000"/>
    <n v="27300"/>
    <s v="Roshan Kumar"/>
    <n v="18200"/>
  </r>
  <r>
    <s v="141145"/>
    <s v="DL"/>
    <s v="Suvankar Adhikary"/>
    <s v="18/03/2021"/>
    <s v="Shipped"/>
    <s v="68 GB DDR4 RAM"/>
    <s v="Computer Case"/>
    <s v="Hynix"/>
    <n v="6550"/>
    <n v="8515"/>
    <n v="3"/>
    <n v="19650"/>
    <n v="25545"/>
    <s v="Aarvi Gupta"/>
    <n v="13650"/>
  </r>
  <r>
    <s v="141146"/>
    <s v="DL"/>
    <s v="Rahul Kumar Prajapati"/>
    <s v="19/03/2021"/>
    <s v="Order"/>
    <s v="Standard ATX motherboard"/>
    <s v="Mouse"/>
    <s v="Gigabyte"/>
    <n v="7650"/>
    <n v="9945"/>
    <n v="4"/>
    <n v="30600"/>
    <n v="39780"/>
    <s v="Vijay Singh"/>
    <n v="1690"/>
  </r>
  <r>
    <s v="141147"/>
    <s v="DL"/>
    <s v="Sagar Jeur"/>
    <s v="19/03/2021"/>
    <s v="Processing"/>
    <s v="Compact with 1 Fan"/>
    <s v="Cabinet"/>
    <s v="Asus"/>
    <n v="1150"/>
    <n v="1495"/>
    <n v="2"/>
    <n v="2300"/>
    <n v="2990"/>
    <s v="Aadil Khan"/>
    <n v="2990"/>
  </r>
  <r>
    <s v="141148"/>
    <s v="DL"/>
    <s v="Rhushikesh Mane"/>
    <s v="19/03/2021"/>
    <s v="Delivered"/>
    <s v="USB Backlight Keyboard"/>
    <s v="Keyboard"/>
    <s v="Dell"/>
    <n v="850"/>
    <n v="1105"/>
    <n v="4"/>
    <n v="3400"/>
    <n v="4420"/>
    <s v="Advika Joshi"/>
    <n v="3315"/>
  </r>
  <r>
    <s v="141149"/>
    <s v="DL"/>
    <s v="Ashish Kumar"/>
    <s v="19/03/2021"/>
    <s v="Shipped"/>
    <s v="Ergonomic Mouse"/>
    <s v="Mouse"/>
    <s v="Samsung"/>
    <n v="650"/>
    <n v="845"/>
    <n v="2"/>
    <n v="1300"/>
    <n v="1690"/>
    <s v="Ajay Sharma"/>
    <n v="1690"/>
  </r>
  <r>
    <s v="141150"/>
    <s v="DL"/>
    <s v="Javed Akhter"/>
    <s v="19/03/2021"/>
    <s v="Order"/>
    <s v="15&quot; LCD Dsipaly"/>
    <s v="Monitor"/>
    <s v="Dell"/>
    <n v="7500"/>
    <n v="9750"/>
    <n v="4"/>
    <n v="30000"/>
    <n v="39000"/>
    <s v="Roshan Kumar"/>
    <n v="9750"/>
  </r>
  <r>
    <s v="141151"/>
    <s v="DL"/>
    <s v="Haridas Balraj"/>
    <s v="19/03/2021"/>
    <s v="Processing"/>
    <s v="54 TB HDD"/>
    <s v="HDD"/>
    <s v="Seagate"/>
    <n v="10000"/>
    <n v="13000"/>
    <n v="2"/>
    <n v="20000"/>
    <n v="26000"/>
    <s v="Aarvi Gupta"/>
    <n v="39000"/>
  </r>
  <r>
    <s v="141152"/>
    <s v="DL"/>
    <s v="Kundan Kumar"/>
    <s v="19/03/2021"/>
    <s v="Delivered"/>
    <s v="53 TB SSD"/>
    <s v="SSD"/>
    <s v="Samsung"/>
    <n v="10500"/>
    <n v="13650"/>
    <n v="2"/>
    <n v="21000"/>
    <n v="27300"/>
    <s v="Vijay Singh"/>
    <n v="8450"/>
  </r>
  <r>
    <s v="141153"/>
    <s v="DL"/>
    <s v="Atif Siddiqui"/>
    <s v="20/03/2021"/>
    <s v="Shipped"/>
    <s v="Intel i5 12th gen."/>
    <s v="CPU"/>
    <s v="Intel"/>
    <n v="8500"/>
    <n v="11050"/>
    <n v="3"/>
    <n v="25500"/>
    <n v="33150"/>
    <s v="Aadil Khan"/>
    <n v="33150"/>
  </r>
  <r>
    <s v="141154"/>
    <s v="DL"/>
    <s v="Aditya Agarwal"/>
    <s v="21/03/2021"/>
    <s v="Order"/>
    <s v="2GB Graphic Card"/>
    <s v="Graphic Card"/>
    <s v="Nvidia"/>
    <n v="7000"/>
    <n v="9100"/>
    <n v="2"/>
    <n v="14000"/>
    <n v="18200"/>
    <s v="Advika Joshi"/>
    <n v="18200"/>
  </r>
  <r>
    <s v="141155"/>
    <s v="DL"/>
    <s v="Firdoush Jabee"/>
    <s v="22/03/2021"/>
    <s v="Processing"/>
    <s v="56 GB DDR4 Ram"/>
    <s v="Computer Case"/>
    <s v="Hynix"/>
    <n v="1680"/>
    <n v="2184"/>
    <n v="2"/>
    <n v="3360"/>
    <n v="4368"/>
    <s v="Ajay Sharma"/>
    <n v="13650"/>
  </r>
  <r>
    <s v="141156"/>
    <s v="DL"/>
    <s v="Jay Prakash Kumar"/>
    <s v="23/03/2021"/>
    <s v="Delivered"/>
    <s v="Micro ATX motherboard"/>
    <s v="Mouse"/>
    <s v="MSI"/>
    <n v="6540"/>
    <n v="8502"/>
    <n v="1"/>
    <n v="6540"/>
    <n v="8502"/>
    <s v="Roshan Kumar"/>
    <n v="1690"/>
  </r>
  <r>
    <s v="141157"/>
    <s v="DL"/>
    <s v="Ashish Pandey"/>
    <s v="24/03/2021"/>
    <s v="Shipped"/>
    <s v="Gaming Box Cabinet"/>
    <s v="Cabinet"/>
    <s v="Asus"/>
    <n v="2680"/>
    <n v="3484"/>
    <n v="3"/>
    <n v="8040"/>
    <n v="10452"/>
    <s v="Aarvi Gupta"/>
    <n v="2990"/>
  </r>
  <r>
    <s v="141158"/>
    <s v="DL"/>
    <s v="Ajay Sharma"/>
    <s v="24/03/2021"/>
    <s v="Order"/>
    <s v="17&quot; LCD Display"/>
    <s v="Monitor"/>
    <s v="Samsung"/>
    <n v="8250"/>
    <n v="10725"/>
    <n v="4"/>
    <n v="33000"/>
    <n v="42900"/>
    <s v="Vijay Singh"/>
    <n v="9750"/>
  </r>
  <r>
    <s v="141159"/>
    <s v="DL"/>
    <s v="Moinuddin Saifi"/>
    <s v="24/03/2021"/>
    <s v="Processing"/>
    <s v="60 GB DDR4 RAM"/>
    <s v="RAM"/>
    <s v="Samsung"/>
    <n v="2650"/>
    <n v="3445"/>
    <n v="1"/>
    <n v="2650"/>
    <n v="3445"/>
    <s v="Aadil Khan"/>
    <n v="25545"/>
  </r>
  <r>
    <s v="141160"/>
    <s v="DL"/>
    <s v="Ramkrishna Das Adhikary"/>
    <s v="24/03/2021"/>
    <s v="Delivered"/>
    <s v="26&quot; LCD Display"/>
    <s v="Monitor"/>
    <s v="Acer"/>
    <n v="12550"/>
    <n v="16315"/>
    <n v="2"/>
    <n v="25100"/>
    <n v="32630"/>
    <s v="Advika Joshi"/>
    <n v="9750"/>
  </r>
  <r>
    <s v="141161"/>
    <s v="DL"/>
    <s v="Ranjeet Mandal"/>
    <s v="24/03/2021"/>
    <s v="Shipped"/>
    <s v="I7 - intel 12th Generation"/>
    <s v="CPU"/>
    <s v="Intel"/>
    <n v="14500"/>
    <n v="18850"/>
    <n v="4"/>
    <n v="58000"/>
    <n v="75400"/>
    <s v="Ajay Sharma"/>
    <n v="33150"/>
  </r>
  <r>
    <s v="141162"/>
    <s v="DL"/>
    <s v="Ashwini Adsare"/>
    <s v="24/03/2021"/>
    <s v="Order"/>
    <s v="USB Keyboard"/>
    <s v="Keyboard"/>
    <s v="Dell"/>
    <n v="800"/>
    <n v="1040"/>
    <n v="3"/>
    <n v="2400"/>
    <n v="3120"/>
    <s v="Roshan Kumar"/>
    <n v="3315"/>
  </r>
  <r>
    <s v="141163"/>
    <s v="DL"/>
    <s v="Rajesh Variya"/>
    <s v="24/03/2021"/>
    <s v="Processing"/>
    <s v="Wireless Mouse"/>
    <s v="Mouse"/>
    <s v="Samsung"/>
    <n v="600"/>
    <n v="780"/>
    <n v="1"/>
    <n v="600"/>
    <n v="780"/>
    <s v="Aarvi Gupta"/>
    <n v="1690"/>
  </r>
  <r>
    <s v="141164"/>
    <s v="DL"/>
    <s v="Amit Singh"/>
    <s v="24/03/2021"/>
    <s v="Delivered"/>
    <s v="21&quot; LCD Display"/>
    <s v="Monitor"/>
    <s v="Dell"/>
    <n v="10500"/>
    <n v="13650"/>
    <n v="4"/>
    <n v="42000"/>
    <n v="54600"/>
    <s v="Vijay Singh"/>
    <n v="9750"/>
  </r>
  <r>
    <s v="141165"/>
    <s v="DL"/>
    <s v="Vinod Mehta"/>
    <s v="24/03/2021"/>
    <s v="Shipped"/>
    <s v="54 TB HDD"/>
    <s v="HDD"/>
    <s v="Western Digital"/>
    <n v="6500"/>
    <n v="8450"/>
    <n v="2"/>
    <n v="13000"/>
    <n v="16900"/>
    <s v="Aadil Khan"/>
    <n v="39000"/>
  </r>
  <r>
    <s v="141166"/>
    <s v="DL"/>
    <s v="Jignesh Mhatre"/>
    <s v="25/03/2021"/>
    <s v="Order"/>
    <s v="309 GB SSD"/>
    <s v="SSD"/>
    <s v="Samsung"/>
    <n v="4500"/>
    <n v="5850"/>
    <n v="2"/>
    <n v="9000"/>
    <n v="11700"/>
    <s v="Advika Joshi"/>
    <n v="8450"/>
  </r>
  <r>
    <s v="141167"/>
    <s v="DL"/>
    <s v="Rahul Kashyap"/>
    <s v="25/03/2021"/>
    <s v="Processing"/>
    <s v="Intel i3 11th gen."/>
    <s v="CPU"/>
    <s v="Intel"/>
    <n v="8500"/>
    <n v="11050"/>
    <n v="4"/>
    <n v="34000"/>
    <n v="44200"/>
    <s v="Ajay Sharma"/>
    <n v="33150"/>
  </r>
  <r>
    <s v="141168"/>
    <s v="DL"/>
    <s v="Mohammed Abdul Kaleem"/>
    <s v="25/03/2021"/>
    <s v="Delivered"/>
    <s v="4GB Graphic card"/>
    <s v="Graphic Card"/>
    <s v="Nvidia"/>
    <n v="12500"/>
    <n v="16250"/>
    <n v="2"/>
    <n v="25000"/>
    <n v="32500"/>
    <s v="Roshan Kumar"/>
    <n v="18200"/>
  </r>
  <r>
    <s v="141169"/>
    <s v="DL"/>
    <s v="Chandrakant Kasbe"/>
    <s v="25/03/2021"/>
    <s v="Shipped"/>
    <s v="61 GB DDR4 RAM"/>
    <s v="NIC"/>
    <s v="Hynix"/>
    <n v="3500"/>
    <n v="4550"/>
    <n v="3"/>
    <n v="10500"/>
    <n v="13650"/>
    <s v="Aarvi Gupta"/>
    <n v="9100"/>
  </r>
  <r>
    <s v="141170"/>
    <s v="DL"/>
    <s v="Rohan Kale"/>
    <s v="25/03/2021"/>
    <s v="Order"/>
    <s v="BTX motherboard"/>
    <s v="Printer"/>
    <s v="Gigabyte"/>
    <n v="4500"/>
    <n v="5850"/>
    <n v="1"/>
    <n v="4500"/>
    <n v="5850"/>
    <s v="Vijay Singh"/>
    <n v="11700"/>
  </r>
  <r>
    <s v="141171"/>
    <s v="DL"/>
    <s v="Aniruddha Kekapure"/>
    <s v="25/03/2021"/>
    <s v="Processing"/>
    <s v="56 Fans Cabinet"/>
    <s v="Cabinet"/>
    <s v="Asus"/>
    <n v="2100"/>
    <n v="2730"/>
    <n v="1"/>
    <n v="2100"/>
    <n v="2730"/>
    <s v="Aadil Khan"/>
    <n v="2990"/>
  </r>
  <r>
    <s v="141172"/>
    <s v="DL"/>
    <s v="Aslam Raza"/>
    <s v="25/03/2021"/>
    <s v="Delivered"/>
    <s v="Wireless Keyboard"/>
    <s v="Keyboard"/>
    <s v="Dell"/>
    <n v="1150"/>
    <n v="1495"/>
    <n v="4"/>
    <n v="4600"/>
    <n v="5980"/>
    <s v="Advika Joshi"/>
    <n v="3315"/>
  </r>
  <r>
    <s v="141173"/>
    <s v="DL"/>
    <s v="Roshan Zameer"/>
    <s v="25/03/2021"/>
    <s v="Shipped"/>
    <s v="USB Mouse"/>
    <s v="Mouse"/>
    <s v="Samsung"/>
    <n v="350"/>
    <n v="455"/>
    <n v="1"/>
    <n v="350"/>
    <n v="455"/>
    <s v="Ajay Sharma"/>
    <n v="1690"/>
  </r>
  <r>
    <s v="141174"/>
    <s v="DL"/>
    <s v="Rakesh Kumar Sharma"/>
    <s v="25/03/2021"/>
    <s v="Order"/>
    <s v="19&quot; LED Display"/>
    <s v="Monitor"/>
    <s v="Dell"/>
    <n v="9500"/>
    <n v="12350"/>
    <n v="4"/>
    <n v="38000"/>
    <n v="49400"/>
    <s v="Roshan Kumar"/>
    <n v="9750"/>
  </r>
  <r>
    <s v="141175"/>
    <s v="DL"/>
    <s v="Shivanand Sahani"/>
    <s v="26/03/2021"/>
    <s v="Processing"/>
    <s v="55 TB HDD"/>
    <s v="HDD"/>
    <s v="Western Digital"/>
    <n v="10000"/>
    <n v="13000"/>
    <n v="1"/>
    <n v="10000"/>
    <n v="13000"/>
    <s v="Aarvi Gupta"/>
    <n v="39000"/>
  </r>
  <r>
    <s v="141176"/>
    <s v="DL"/>
    <s v="Kunal Patra"/>
    <s v="26/03/2021"/>
    <s v="Delivered"/>
    <s v="565 GB M.2"/>
    <s v="SSD"/>
    <s v="Samsung"/>
    <n v="6500"/>
    <n v="8450"/>
    <n v="1"/>
    <n v="6500"/>
    <n v="8450"/>
    <s v="Vijay Singh"/>
    <n v="8450"/>
  </r>
  <r>
    <s v="141177"/>
    <s v="DL"/>
    <s v="Bijendra"/>
    <s v="26/03/2021"/>
    <s v="Shipped"/>
    <s v="RYZEN 3rd gen. 3553"/>
    <s v="CPU"/>
    <s v="Intel"/>
    <n v="8500"/>
    <n v="11050"/>
    <n v="2"/>
    <n v="17000"/>
    <n v="22100"/>
    <s v="Aadil Khan"/>
    <n v="33150"/>
  </r>
  <r>
    <s v="141178"/>
    <s v="DL"/>
    <s v="Kranti Bheke"/>
    <s v="26/03/2021"/>
    <s v="Order"/>
    <s v="2GB Graphic Card"/>
    <s v="Graphic Card"/>
    <s v="Nvidia"/>
    <n v="7000"/>
    <n v="9100"/>
    <n v="1"/>
    <n v="7000"/>
    <n v="9100"/>
    <s v="Advika Joshi"/>
    <n v="18200"/>
  </r>
  <r>
    <s v="141179"/>
    <s v="DL"/>
    <s v="Jagdeep"/>
    <s v="26/03/2021"/>
    <s v="Processing"/>
    <s v="69 GB DDR4 RAM"/>
    <s v="NIC"/>
    <s v="Hynix"/>
    <n v="6550"/>
    <n v="8515"/>
    <n v="2"/>
    <n v="13100"/>
    <n v="17030"/>
    <s v="Ajay Sharma"/>
    <n v="9100"/>
  </r>
  <r>
    <s v="141180"/>
    <s v="DL"/>
    <s v="Adhir Samal"/>
    <s v="26/03/2021"/>
    <s v="Delivered"/>
    <s v="Standard ATX motherboard"/>
    <s v="Printer"/>
    <s v="Gigabyte"/>
    <n v="7650"/>
    <n v="9945"/>
    <n v="3"/>
    <n v="22950"/>
    <n v="29835"/>
    <s v="Roshan Kumar"/>
    <n v="11700"/>
  </r>
  <r>
    <s v="141181"/>
    <s v="DL"/>
    <s v="Dannana Jhammi"/>
    <s v="26/03/2021"/>
    <s v="Shipped"/>
    <s v="Compact with 1 Fan"/>
    <s v="Cabinet"/>
    <s v="Asus"/>
    <n v="1150"/>
    <n v="1495"/>
    <n v="1"/>
    <n v="1150"/>
    <n v="1495"/>
    <s v="Aarvi Gupta"/>
    <n v="2990"/>
  </r>
  <r>
    <s v="141182"/>
    <s v="DL"/>
    <s v="Vipin Kumar"/>
    <s v="26/03/2021"/>
    <s v="Order"/>
    <s v="USB Backlight Keyboard"/>
    <s v="Keyboard"/>
    <s v="Dell"/>
    <n v="850"/>
    <n v="1105"/>
    <n v="1"/>
    <n v="850"/>
    <n v="1105"/>
    <s v="Vijay Singh"/>
    <n v="3315"/>
  </r>
  <r>
    <s v="141183"/>
    <s v="DL"/>
    <s v="Ranjeet Kumar"/>
    <s v="26/03/2021"/>
    <s v="Processing"/>
    <s v="Ergonomic Mouse"/>
    <s v="Mouse"/>
    <s v="Samsung"/>
    <n v="650"/>
    <n v="845"/>
    <n v="4"/>
    <n v="2600"/>
    <n v="3380"/>
    <s v="Aadil Khan"/>
    <n v="1690"/>
  </r>
  <r>
    <s v="141184"/>
    <s v="DL"/>
    <s v="Sajal Singhal"/>
    <s v="26/03/2021"/>
    <s v="Delivered"/>
    <s v="15&quot; LCD Dsipaly"/>
    <s v="Monitor"/>
    <s v="Dell"/>
    <n v="7500"/>
    <n v="9750"/>
    <n v="3"/>
    <n v="22500"/>
    <n v="29250"/>
    <s v="Advika Joshi"/>
    <n v="9750"/>
  </r>
  <r>
    <s v="141185"/>
    <s v="DL"/>
    <s v="Akhilesh Kumar"/>
    <s v="26/03/2021"/>
    <s v="Shipped"/>
    <s v="55 TB HDD"/>
    <s v="HDD"/>
    <s v="Seagate"/>
    <n v="10000"/>
    <n v="13000"/>
    <n v="2"/>
    <n v="20000"/>
    <n v="26000"/>
    <s v="Ajay Sharma"/>
    <n v="39000"/>
  </r>
  <r>
    <s v="141186"/>
    <s v="DL"/>
    <s v="Suvankar Chakraborty"/>
    <s v="26/03/2021"/>
    <s v="Order"/>
    <s v="54 TB SSD"/>
    <s v="SSD"/>
    <s v="Samsung"/>
    <n v="10500"/>
    <n v="13650"/>
    <n v="3"/>
    <n v="31500"/>
    <n v="40950"/>
    <s v="Roshan Kumar"/>
    <n v="8450"/>
  </r>
  <r>
    <s v="141187"/>
    <s v="DL"/>
    <s v="Suvankar Adhikary"/>
    <s v="26/03/2021"/>
    <s v="Processing"/>
    <s v="Intel i5 12th gen."/>
    <s v="CPU"/>
    <s v="Intel"/>
    <n v="8500"/>
    <n v="11050"/>
    <n v="4"/>
    <n v="34000"/>
    <n v="44200"/>
    <s v="Aarvi Gupta"/>
    <n v="33150"/>
  </r>
  <r>
    <s v="141188"/>
    <s v="DL"/>
    <s v="Rahul Kumar Prajapati"/>
    <s v="26/03/2021"/>
    <s v="Delivered"/>
    <s v="2GB Graphic Card"/>
    <s v="Graphic Card"/>
    <s v="Nvidia"/>
    <n v="7000"/>
    <n v="9100"/>
    <n v="2"/>
    <n v="14000"/>
    <n v="18200"/>
    <s v="Vijay Singh"/>
    <n v="18200"/>
  </r>
  <r>
    <s v="141189"/>
    <s v="DL"/>
    <s v="Sagar Jeur"/>
    <s v="26/03/2021"/>
    <s v="Shipped"/>
    <s v="57 GB DDR4 Ram"/>
    <s v="NIC"/>
    <s v="Hynix"/>
    <n v="1680"/>
    <n v="2184"/>
    <n v="1"/>
    <n v="1680"/>
    <n v="2184"/>
    <s v="Aadil Khan"/>
    <n v="9100"/>
  </r>
  <r>
    <s v="141190"/>
    <s v="GA"/>
    <s v="Rhushikesh Mane"/>
    <s v="27/03/2021"/>
    <s v="Order"/>
    <s v="Micro ATX motherboard"/>
    <s v="Printer"/>
    <s v="MSI"/>
    <n v="6540"/>
    <n v="8502"/>
    <n v="3"/>
    <n v="19620"/>
    <n v="25506"/>
    <s v="Advika Joshi"/>
    <n v="11700"/>
  </r>
  <r>
    <s v="141191"/>
    <s v="GJ"/>
    <s v="Ashish Kumar"/>
    <s v="27/03/2021"/>
    <s v="Processing"/>
    <s v="Gaming Box Cabinet"/>
    <s v="Cabinet"/>
    <s v="Asus"/>
    <n v="2680"/>
    <n v="3484"/>
    <n v="4"/>
    <n v="10720"/>
    <n v="13936"/>
    <s v="Ajay Sharma"/>
    <n v="2990"/>
  </r>
  <r>
    <s v="141192"/>
    <s v="HR"/>
    <s v="Javed Akhter"/>
    <s v="27/03/2021"/>
    <s v="Delivered"/>
    <s v="17&quot; LCD Display"/>
    <s v="Monitor"/>
    <s v="Samsung"/>
    <n v="8250"/>
    <n v="10725"/>
    <n v="2"/>
    <n v="16500"/>
    <n v="21450"/>
    <s v="Roshan Kumar"/>
    <n v="9750"/>
  </r>
  <r>
    <s v="141193"/>
    <s v="HP"/>
    <s v="Haridas Balraj"/>
    <s v="27/03/2021"/>
    <s v="Shipped"/>
    <s v="61 GB DDR4 RAM"/>
    <s v="RAM"/>
    <s v="Samsung"/>
    <n v="2650"/>
    <n v="3445"/>
    <n v="2"/>
    <n v="5300"/>
    <n v="6890"/>
    <s v="Aarvi Gupta"/>
    <n v="25545"/>
  </r>
  <r>
    <s v="141194"/>
    <s v="JK"/>
    <s v="Kundan Kumar"/>
    <s v="27/03/2021"/>
    <s v="Order"/>
    <s v="26&quot; LCD Display"/>
    <s v="Monitor"/>
    <s v="Acer"/>
    <n v="12550"/>
    <n v="16315"/>
    <n v="3"/>
    <n v="37650"/>
    <n v="48945"/>
    <s v="Vijay Singh"/>
    <n v="9750"/>
  </r>
  <r>
    <s v="141195"/>
    <s v="JH"/>
    <s v="Atif Siddiqui"/>
    <s v="27/03/2021"/>
    <s v="Processing"/>
    <s v="I7 - intel 12th Generation"/>
    <s v="CPU"/>
    <s v="Intel"/>
    <n v="14500"/>
    <n v="18850"/>
    <n v="2"/>
    <n v="29000"/>
    <n v="37700"/>
    <s v="Aadil Khan"/>
    <n v="33150"/>
  </r>
  <r>
    <s v="141196"/>
    <s v="KA"/>
    <s v="Aditya Agarwal"/>
    <s v="27/03/2021"/>
    <s v="Delivered"/>
    <s v="USB Keyboard"/>
    <s v="Keyboard"/>
    <s v="Dell"/>
    <n v="800"/>
    <n v="1040"/>
    <n v="2"/>
    <n v="1600"/>
    <n v="2080"/>
    <s v="Advika Joshi"/>
    <n v="3315"/>
  </r>
  <r>
    <s v="141197"/>
    <s v="DL"/>
    <s v="Firdoush Jabee"/>
    <s v="27/03/2021"/>
    <s v="Shipped"/>
    <s v="Wireless Mouse"/>
    <s v="Mouse"/>
    <s v="Samsung"/>
    <n v="600"/>
    <n v="780"/>
    <n v="4"/>
    <n v="2400"/>
    <n v="3120"/>
    <s v="Ajay Sharma"/>
    <n v="1690"/>
  </r>
  <r>
    <s v="141198"/>
    <s v="DL"/>
    <s v="Jay Prakash Kumar"/>
    <s v="27/03/2021"/>
    <s v="Order"/>
    <s v="21&quot; LCD Display"/>
    <s v="Monitor"/>
    <s v="Dell"/>
    <n v="10500"/>
    <n v="13650"/>
    <n v="2"/>
    <n v="21000"/>
    <n v="27300"/>
    <s v="Roshan Kumar"/>
    <n v="9750"/>
  </r>
  <r>
    <s v="141199"/>
    <s v="DL"/>
    <s v="Ashish Pandey"/>
    <s v="27/03/2021"/>
    <s v="Processing"/>
    <s v="55 TB HDD"/>
    <s v="HDD"/>
    <s v="Western Digital"/>
    <n v="6500"/>
    <n v="8450"/>
    <n v="4"/>
    <n v="26000"/>
    <n v="33800"/>
    <s v="Aarvi Gupta"/>
    <n v="39000"/>
  </r>
  <r>
    <s v="141200"/>
    <s v="DL"/>
    <s v="Ajay Sharma"/>
    <s v="27/03/2021"/>
    <s v="Delivered"/>
    <s v="310 GB SSD"/>
    <s v="SSD"/>
    <s v="Samsung"/>
    <n v="4500"/>
    <n v="5850"/>
    <n v="4"/>
    <n v="18000"/>
    <n v="23400"/>
    <s v="Vijay Singh"/>
    <n v="8450"/>
  </r>
  <r>
    <s v="141201"/>
    <s v="DL"/>
    <s v="Moinuddin Saifi"/>
    <s v="27/03/2021"/>
    <s v="Shipped"/>
    <s v="Intel i3 11th gen."/>
    <s v="CPU"/>
    <s v="Intel"/>
    <n v="8500"/>
    <n v="11050"/>
    <n v="3"/>
    <n v="25500"/>
    <n v="33150"/>
    <s v="Aadil Khan"/>
    <n v="33150"/>
  </r>
  <r>
    <s v="141202"/>
    <s v="DL"/>
    <s v="Ramkrishna Das Adhikary"/>
    <s v="27/03/2021"/>
    <s v="Order"/>
    <s v="4GB Graphic card"/>
    <s v="Graphic Card"/>
    <s v="Nvidia"/>
    <n v="12500"/>
    <n v="16250"/>
    <n v="2"/>
    <n v="25000"/>
    <n v="32500"/>
    <s v="Advika Joshi"/>
    <n v="18200"/>
  </r>
  <r>
    <s v="141203"/>
    <s v="DL"/>
    <s v="Ranjeet Mandal"/>
    <s v="27/03/2021"/>
    <s v="Processing"/>
    <s v="62 GB DDR4 RAM"/>
    <s v="RAM"/>
    <s v="Hynix"/>
    <n v="3500"/>
    <n v="4550"/>
    <n v="1"/>
    <n v="3500"/>
    <n v="4550"/>
    <s v="Ajay Sharma"/>
    <n v="25545"/>
  </r>
  <r>
    <s v="141204"/>
    <s v="DL"/>
    <s v="Ashwini Adsare"/>
    <s v="27/03/2021"/>
    <s v="Delivered"/>
    <s v="BTX motherboard"/>
    <s v="MotherBoard"/>
    <s v="Gigabyte"/>
    <n v="4500"/>
    <n v="5850"/>
    <n v="1"/>
    <n v="4500"/>
    <n v="5850"/>
    <s v="Roshan Kumar"/>
    <n v="39780"/>
  </r>
  <r>
    <s v="141205"/>
    <s v="DL"/>
    <s v="Rajesh Variya"/>
    <s v="27/03/2021"/>
    <s v="Shipped"/>
    <s v="57 Fans Cabinet"/>
    <s v="Cabinet"/>
    <s v="Asus"/>
    <n v="2100"/>
    <n v="2730"/>
    <n v="4"/>
    <n v="8400"/>
    <n v="10920"/>
    <s v="Aarvi Gupta"/>
    <n v="2990"/>
  </r>
  <r>
    <s v="141206"/>
    <s v="DL"/>
    <s v="Amit Singh"/>
    <s v="27/03/2021"/>
    <s v="Order"/>
    <s v="Wireless Keyboard"/>
    <s v="Keyboard"/>
    <s v="Dell"/>
    <n v="1150"/>
    <n v="1495"/>
    <n v="3"/>
    <n v="3450"/>
    <n v="4485"/>
    <s v="Vijay Singh"/>
    <n v="3315"/>
  </r>
  <r>
    <s v="141207"/>
    <s v="DL"/>
    <s v="Vinod Mehta"/>
    <s v="27/03/2021"/>
    <s v="Processing"/>
    <s v="USB Mouse"/>
    <s v="Mouse"/>
    <s v="Samsung"/>
    <n v="350"/>
    <n v="455"/>
    <n v="3"/>
    <n v="1050"/>
    <n v="1365"/>
    <s v="Aadil Khan"/>
    <n v="1690"/>
  </r>
  <r>
    <s v="141208"/>
    <s v="TN"/>
    <s v="Jignesh Mhatre"/>
    <s v="27/03/2021"/>
    <s v="Delivered"/>
    <s v="19&quot; LED Display"/>
    <s v="Monitor"/>
    <s v="Dell"/>
    <n v="9500"/>
    <n v="12350"/>
    <n v="3"/>
    <n v="28500"/>
    <n v="37050"/>
    <s v="Advika Joshi"/>
    <n v="9750"/>
  </r>
  <r>
    <s v="141209"/>
    <s v="TR"/>
    <s v="Rahul Kashyap"/>
    <s v="27/03/2021"/>
    <s v="Shipped"/>
    <s v="56 TB HDD"/>
    <s v="HDD"/>
    <s v="Western Digital"/>
    <n v="10000"/>
    <n v="13000"/>
    <n v="4"/>
    <n v="40000"/>
    <n v="52000"/>
    <s v="Ajay Sharma"/>
    <n v="39000"/>
  </r>
  <r>
    <s v="141210"/>
    <s v="UK"/>
    <s v="Mohammed Abdul Kaleem"/>
    <s v="27/03/2021"/>
    <s v="Order"/>
    <s v="566 GB M.2"/>
    <s v="SSD"/>
    <s v="Samsung"/>
    <n v="6500"/>
    <n v="8450"/>
    <n v="4"/>
    <n v="26000"/>
    <n v="33800"/>
    <s v="Roshan Kumar"/>
    <n v="8450"/>
  </r>
  <r>
    <s v="141211"/>
    <s v="UP"/>
    <s v="Chandrakant Kasbe"/>
    <s v="27/03/2021"/>
    <s v="Processing"/>
    <s v="RYZEN 3rd gen. 3554"/>
    <s v="CPU"/>
    <s v="Intel"/>
    <n v="8500"/>
    <n v="11050"/>
    <n v="3"/>
    <n v="25500"/>
    <n v="33150"/>
    <s v="Aarvi Gupta"/>
    <n v="33150"/>
  </r>
  <r>
    <s v="141212"/>
    <s v="WB"/>
    <s v="Rohan Kale"/>
    <s v="27/03/2021"/>
    <s v="Delivered"/>
    <s v="2GB Graphic Card"/>
    <s v="Graphic Card"/>
    <s v="Nvidia"/>
    <n v="7000"/>
    <n v="9100"/>
    <n v="4"/>
    <n v="28000"/>
    <n v="36400"/>
    <s v="Vijay Singh"/>
    <n v="18200"/>
  </r>
  <r>
    <s v="141213"/>
    <s v="TN"/>
    <s v="Aniruddha Kekapure"/>
    <s v="27/03/2021"/>
    <s v="Shipped"/>
    <s v="70 GB DDR4 RAM"/>
    <s v="RAM"/>
    <s v="Hynix"/>
    <n v="6550"/>
    <n v="8515"/>
    <n v="3"/>
    <n v="19650"/>
    <n v="25545"/>
    <s v="Aadil Khan"/>
    <n v="25545"/>
  </r>
  <r>
    <s v="141214"/>
    <s v="TR"/>
    <s v="Aslam Raza"/>
    <s v="27/03/2021"/>
    <s v="Order"/>
    <s v="Standard ATX motherboard"/>
    <s v="MotherBoard"/>
    <s v="Gigabyte"/>
    <n v="7650"/>
    <n v="9945"/>
    <n v="4"/>
    <n v="30600"/>
    <n v="39780"/>
    <s v="Advika Joshi"/>
    <n v="39780"/>
  </r>
  <r>
    <s v="141215"/>
    <s v="AN"/>
    <s v="Roshan Zameer"/>
    <s v="27/03/2021"/>
    <s v="Processing"/>
    <s v="Compact with 1 Fan"/>
    <s v="Cabinet"/>
    <s v="Asus"/>
    <n v="1150"/>
    <n v="1495"/>
    <n v="4"/>
    <n v="4600"/>
    <n v="5980"/>
    <s v="Ajay Sharma"/>
    <n v="2990"/>
  </r>
  <r>
    <s v="141216"/>
    <s v="CH"/>
    <s v="Rakesh Kumar Sharma"/>
    <s v="27/03/2021"/>
    <s v="Delivered"/>
    <s v="USB Backlight Keyboard"/>
    <s v="Keyboard"/>
    <s v="Dell"/>
    <n v="850"/>
    <n v="1105"/>
    <n v="3"/>
    <n v="2550"/>
    <n v="3315"/>
    <s v="Roshan Kumar"/>
    <n v="3315"/>
  </r>
  <r>
    <s v="141217"/>
    <s v="DH"/>
    <s v="Shivanand Sahani"/>
    <s v="27/03/2021"/>
    <s v="Shipped"/>
    <s v="Ergonomic Mouse"/>
    <s v="Mouse"/>
    <s v="Samsung"/>
    <n v="650"/>
    <n v="845"/>
    <n v="2"/>
    <n v="1300"/>
    <n v="1690"/>
    <s v="Aarvi Gupta"/>
    <n v="1690"/>
  </r>
  <r>
    <s v="141218"/>
    <s v="DD"/>
    <s v="Kunal Patra"/>
    <s v="27/03/2021"/>
    <s v="Order"/>
    <s v="15&quot; LCD Dsipaly"/>
    <s v="Monitor"/>
    <s v="Dell"/>
    <n v="7500"/>
    <n v="9750"/>
    <n v="2"/>
    <n v="15000"/>
    <n v="19500"/>
    <s v="Vijay Singh"/>
    <n v="9750"/>
  </r>
  <r>
    <s v="141219"/>
    <s v="DL"/>
    <s v="Bijendra"/>
    <s v="27/03/2021"/>
    <s v="Processing"/>
    <s v="56 TB HDD"/>
    <s v="HDD"/>
    <s v="Seagate"/>
    <n v="10000"/>
    <n v="13000"/>
    <n v="4"/>
    <n v="40000"/>
    <n v="52000"/>
    <s v="Aadil Khan"/>
    <n v="39000"/>
  </r>
  <r>
    <s v="141220"/>
    <s v="DL"/>
    <s v="Kranti Bheke"/>
    <s v="27/03/2021"/>
    <s v="Delivered"/>
    <s v="55 TB SSD"/>
    <s v="SSD"/>
    <s v="Samsung"/>
    <n v="10500"/>
    <n v="13650"/>
    <n v="1"/>
    <n v="10500"/>
    <n v="13650"/>
    <s v="Advika Joshi"/>
    <n v="8450"/>
  </r>
  <r>
    <s v="141221"/>
    <s v="DL"/>
    <s v="Jagdeep"/>
    <s v="27/03/2021"/>
    <s v="Shipped"/>
    <s v="Intel i5 12th gen."/>
    <s v="CPU"/>
    <s v="Intel"/>
    <n v="8500"/>
    <n v="11050"/>
    <n v="1"/>
    <n v="8500"/>
    <n v="11050"/>
    <s v="Ajay Sharma"/>
    <n v="33150"/>
  </r>
  <r>
    <s v="141222"/>
    <s v="DL"/>
    <s v="Adhir Samal"/>
    <s v="28/03/2021"/>
    <s v="Order"/>
    <s v="2GB Graphic Card"/>
    <s v="Graphic Card"/>
    <s v="Nvidia"/>
    <n v="7000"/>
    <n v="9100"/>
    <n v="1"/>
    <n v="7000"/>
    <n v="9100"/>
    <s v="Roshan Kumar"/>
    <n v="18200"/>
  </r>
  <r>
    <s v="141223"/>
    <s v="DL"/>
    <s v="Dannana Jhammi"/>
    <s v="28/03/2021"/>
    <s v="Processing"/>
    <s v="58 GB DDR4 Ram"/>
    <s v="RAM"/>
    <s v="Hynix"/>
    <n v="1680"/>
    <n v="2184"/>
    <n v="4"/>
    <n v="6720"/>
    <n v="8736"/>
    <s v="Aarvi Gupta"/>
    <n v="25545"/>
  </r>
  <r>
    <s v="141224"/>
    <s v="DL"/>
    <s v="Vipin Kumar"/>
    <s v="28/03/2021"/>
    <s v="Delivered"/>
    <s v="Micro ATX motherboard"/>
    <s v="MotherBoard"/>
    <s v="MSI"/>
    <n v="6540"/>
    <n v="8502"/>
    <n v="2"/>
    <n v="13080"/>
    <n v="17004"/>
    <s v="Vijay Singh"/>
    <n v="39780"/>
  </r>
  <r>
    <s v="141225"/>
    <s v="DL"/>
    <s v="Ranjeet Kumar"/>
    <s v="28/03/2021"/>
    <s v="Shipped"/>
    <s v="Gaming Box Cabinet"/>
    <s v="Cabinet"/>
    <s v="Asus"/>
    <n v="2680"/>
    <n v="3484"/>
    <n v="2"/>
    <n v="5360"/>
    <n v="6968"/>
    <s v="Aadil Khan"/>
    <n v="2990"/>
  </r>
  <r>
    <s v="141226"/>
    <s v="DL"/>
    <s v="Sajal Singhal"/>
    <s v="28/03/2021"/>
    <s v="Order"/>
    <s v="17&quot; LCD Display"/>
    <s v="Monitor"/>
    <s v="Samsung"/>
    <n v="8250"/>
    <n v="10725"/>
    <n v="4"/>
    <n v="33000"/>
    <n v="42900"/>
    <s v="Advika Joshi"/>
    <n v="9750"/>
  </r>
  <r>
    <s v="141227"/>
    <s v="DL"/>
    <s v="Akhilesh Kumar"/>
    <s v="28/03/2021"/>
    <s v="Processing"/>
    <s v="62 GB DDR4 RAM"/>
    <s v="RAM"/>
    <s v="Samsung"/>
    <n v="2650"/>
    <n v="3445"/>
    <n v="2"/>
    <n v="5300"/>
    <n v="6890"/>
    <s v="Ajay Sharma"/>
    <n v="25545"/>
  </r>
  <r>
    <s v="141228"/>
    <s v="DL"/>
    <s v="Suvankar Chakraborty"/>
    <s v="28/03/2021"/>
    <s v="Delivered"/>
    <s v="26&quot; LCD Display"/>
    <s v="Monitor"/>
    <s v="Acer"/>
    <n v="12550"/>
    <n v="16315"/>
    <n v="3"/>
    <n v="37650"/>
    <n v="48945"/>
    <s v="Roshan Kumar"/>
    <n v="9750"/>
  </r>
  <r>
    <s v="141229"/>
    <s v="DL"/>
    <s v="Suvankar Adhikary"/>
    <s v="28/03/2021"/>
    <s v="Shipped"/>
    <s v="I7 - intel 12th Generation"/>
    <s v="CPU"/>
    <s v="Intel"/>
    <n v="14500"/>
    <n v="18850"/>
    <n v="2"/>
    <n v="29000"/>
    <n v="37700"/>
    <s v="Aarvi Gupta"/>
    <n v="33150"/>
  </r>
  <r>
    <s v="141230"/>
    <s v="DL"/>
    <s v="Rahul Kumar Prajapati"/>
    <s v="28/03/2021"/>
    <s v="Order"/>
    <s v="USB Keyboard"/>
    <s v="Keyboard"/>
    <s v="Dell"/>
    <n v="800"/>
    <n v="1040"/>
    <n v="1"/>
    <n v="800"/>
    <n v="1040"/>
    <s v="Vijay Singh"/>
    <n v="3315"/>
  </r>
  <r>
    <s v="141231"/>
    <s v="JK"/>
    <s v="Sagar Jeur"/>
    <s v="28/03/2021"/>
    <s v="Processing"/>
    <s v="Wireless Mouse"/>
    <s v="Mouse"/>
    <s v="Samsung"/>
    <n v="600"/>
    <n v="780"/>
    <n v="3"/>
    <n v="1800"/>
    <n v="2340"/>
    <s v="Aadil Khan"/>
    <n v="1690"/>
  </r>
  <r>
    <s v="141232"/>
    <s v="JH"/>
    <s v="Rhushikesh Mane"/>
    <s v="28/03/2021"/>
    <s v="Delivered"/>
    <s v="21&quot; LCD Display"/>
    <s v="Monitor"/>
    <s v="Dell"/>
    <n v="10500"/>
    <n v="13650"/>
    <n v="2"/>
    <n v="21000"/>
    <n v="27300"/>
    <s v="Advika Joshi"/>
    <n v="9750"/>
  </r>
  <r>
    <s v="141233"/>
    <s v="KA"/>
    <s v="Ashish Kumar"/>
    <s v="28/03/2021"/>
    <s v="Shipped"/>
    <s v="56 TB HDD"/>
    <s v="HDD"/>
    <s v="Western Digital"/>
    <n v="6500"/>
    <n v="8450"/>
    <n v="1"/>
    <n v="6500"/>
    <n v="8450"/>
    <s v="Ajay Sharma"/>
    <n v="39000"/>
  </r>
  <r>
    <s v="141234"/>
    <s v="KL"/>
    <s v="Javed Akhter"/>
    <s v="28/03/2021"/>
    <s v="Order"/>
    <s v="311 GB SSD"/>
    <s v="SSD"/>
    <s v="Samsung"/>
    <n v="4500"/>
    <n v="5850"/>
    <n v="4"/>
    <n v="18000"/>
    <n v="23400"/>
    <s v="Roshan Kumar"/>
    <n v="8450"/>
  </r>
  <r>
    <s v="141235"/>
    <s v="MP"/>
    <s v="Haridas Balraj"/>
    <s v="28/03/2021"/>
    <s v="Processing"/>
    <s v="Intel i3 11th gen."/>
    <s v="CPU"/>
    <s v="Intel"/>
    <n v="8500"/>
    <n v="11050"/>
    <n v="2"/>
    <n v="17000"/>
    <n v="22100"/>
    <s v="Aarvi Gupta"/>
    <n v="33150"/>
  </r>
  <r>
    <s v="141236"/>
    <s v="MH"/>
    <s v="Kundan Kumar"/>
    <s v="28/03/2021"/>
    <s v="Delivered"/>
    <s v="4GB Graphic card"/>
    <s v="Graphic Card"/>
    <s v="Nvidia"/>
    <n v="12500"/>
    <n v="16250"/>
    <n v="3"/>
    <n v="37500"/>
    <n v="48750"/>
    <s v="Vijay Singh"/>
    <n v="18200"/>
  </r>
  <r>
    <s v="141237"/>
    <s v="MN"/>
    <s v="Atif Siddiqui"/>
    <s v="28/03/2021"/>
    <s v="Shipped"/>
    <s v="63 GB DDR4 RAM"/>
    <s v="Computer Case"/>
    <s v="Hynix"/>
    <n v="3500"/>
    <n v="4550"/>
    <n v="3"/>
    <n v="10500"/>
    <n v="13650"/>
    <s v="Aadil Khan"/>
    <n v="13650"/>
  </r>
  <r>
    <s v="141238"/>
    <s v="ML"/>
    <s v="Aditya Agarwal"/>
    <s v="28/03/2021"/>
    <s v="Order"/>
    <s v="BTX motherboard"/>
    <s v="Mouse"/>
    <s v="Gigabyte"/>
    <n v="4500"/>
    <n v="5850"/>
    <n v="3"/>
    <n v="13500"/>
    <n v="17550"/>
    <s v="Advika Joshi"/>
    <n v="1690"/>
  </r>
  <r>
    <s v="141239"/>
    <s v="MZ"/>
    <s v="Firdoush Jabee"/>
    <s v="28/03/2021"/>
    <s v="Processing"/>
    <s v="58 Fans Cabinet"/>
    <s v="Cabinet"/>
    <s v="Asus"/>
    <n v="2100"/>
    <n v="2730"/>
    <n v="4"/>
    <n v="8400"/>
    <n v="10920"/>
    <s v="Ajay Sharma"/>
    <n v="2990"/>
  </r>
  <r>
    <s v="141240"/>
    <s v="DL"/>
    <s v="Jay Prakash Kumar"/>
    <s v="28/03/2021"/>
    <s v="Delivered"/>
    <s v="Wireless Keyboard"/>
    <s v="Keyboard"/>
    <s v="Dell"/>
    <n v="1150"/>
    <n v="1495"/>
    <n v="1"/>
    <n v="1150"/>
    <n v="1495"/>
    <s v="Roshan Kumar"/>
    <n v="3315"/>
  </r>
  <r>
    <s v="141241"/>
    <s v="DL"/>
    <s v="Ashish Pandey"/>
    <s v="28/03/2021"/>
    <s v="Shipped"/>
    <s v="USB Mouse"/>
    <s v="Mouse"/>
    <s v="Samsung"/>
    <n v="350"/>
    <n v="455"/>
    <n v="1"/>
    <n v="350"/>
    <n v="455"/>
    <s v="Aarvi Gupta"/>
    <n v="1690"/>
  </r>
  <r>
    <s v="141242"/>
    <s v="DL"/>
    <s v="Ajay Sharma"/>
    <s v="28/03/2021"/>
    <s v="Order"/>
    <s v="19&quot; LED Display"/>
    <s v="Monitor"/>
    <s v="Dell"/>
    <n v="9500"/>
    <n v="12350"/>
    <n v="4"/>
    <n v="38000"/>
    <n v="49400"/>
    <s v="Vijay Singh"/>
    <n v="9750"/>
  </r>
  <r>
    <s v="141243"/>
    <s v="DL"/>
    <s v="Moinuddin Saifi"/>
    <s v="28/03/2021"/>
    <s v="Processing"/>
    <s v="57 TB HDD"/>
    <s v="HDD"/>
    <s v="Western Digital"/>
    <n v="10000"/>
    <n v="13000"/>
    <n v="1"/>
    <n v="10000"/>
    <n v="13000"/>
    <s v="Aadil Khan"/>
    <n v="39000"/>
  </r>
  <r>
    <s v="141244"/>
    <s v="DL"/>
    <s v="Ramkrishna Das Adhikary"/>
    <s v="28/03/2021"/>
    <s v="Delivered"/>
    <s v="567 GB M.2"/>
    <s v="SSD"/>
    <s v="Samsung"/>
    <n v="6500"/>
    <n v="8450"/>
    <n v="4"/>
    <n v="26000"/>
    <n v="33800"/>
    <s v="Advika Joshi"/>
    <n v="8450"/>
  </r>
  <r>
    <s v="141245"/>
    <s v="DL"/>
    <s v="Ranjeet Mandal"/>
    <s v="28/03/2021"/>
    <s v="Shipped"/>
    <s v="RYZEN 3rd gen. 3555"/>
    <s v="CPU"/>
    <s v="Intel"/>
    <n v="8500"/>
    <n v="11050"/>
    <n v="1"/>
    <n v="8500"/>
    <n v="11050"/>
    <s v="Ajay Sharma"/>
    <n v="33150"/>
  </r>
  <r>
    <s v="141246"/>
    <s v="DL"/>
    <s v="Ashwini Adsare"/>
    <s v="28/03/2021"/>
    <s v="Order"/>
    <s v="2GB Graphic Card"/>
    <s v="Graphic Card"/>
    <s v="Nvidia"/>
    <n v="7000"/>
    <n v="9100"/>
    <n v="4"/>
    <n v="28000"/>
    <n v="36400"/>
    <s v="Roshan Kumar"/>
    <n v="18200"/>
  </r>
  <r>
    <s v="141247"/>
    <s v="DL"/>
    <s v="Rajesh Variya"/>
    <s v="28/03/2021"/>
    <s v="Processing"/>
    <s v="71 GB DDR4 RAM"/>
    <s v="Computer Case"/>
    <s v="Hynix"/>
    <n v="6550"/>
    <n v="8515"/>
    <n v="3"/>
    <n v="19650"/>
    <n v="25545"/>
    <s v="Aarvi Gupta"/>
    <n v="13650"/>
  </r>
  <r>
    <s v="141248"/>
    <s v="DL"/>
    <s v="Amit Singh"/>
    <s v="28/03/2021"/>
    <s v="Delivered"/>
    <s v="Standard ATX motherboard"/>
    <s v="Mouse"/>
    <s v="Gigabyte"/>
    <n v="7650"/>
    <n v="9945"/>
    <n v="4"/>
    <n v="30600"/>
    <n v="39780"/>
    <s v="Vijay Singh"/>
    <n v="1690"/>
  </r>
  <r>
    <s v="141249"/>
    <s v="DL"/>
    <s v="Vinod Mehta"/>
    <s v="28/03/2021"/>
    <s v="Shipped"/>
    <s v="Compact with 1 Fan"/>
    <s v="Cabinet"/>
    <s v="Asus"/>
    <n v="1150"/>
    <n v="1495"/>
    <n v="3"/>
    <n v="3450"/>
    <n v="4485"/>
    <s v="Aadil Khan"/>
    <n v="2990"/>
  </r>
  <r>
    <s v="141250"/>
    <s v="DL"/>
    <s v="Jignesh Mhatre"/>
    <s v="28/03/2021"/>
    <s v="Order"/>
    <s v="USB Backlight Keyboard"/>
    <s v="Keyboard"/>
    <s v="Dell"/>
    <n v="850"/>
    <n v="1105"/>
    <n v="2"/>
    <n v="1700"/>
    <n v="2210"/>
    <s v="Advika Joshi"/>
    <n v="3315"/>
  </r>
  <r>
    <s v="141251"/>
    <s v="TR"/>
    <s v="Rahul Kashyap"/>
    <s v="28/03/2021"/>
    <s v="Processing"/>
    <s v="Ergonomic Mouse"/>
    <s v="Mouse"/>
    <s v="Samsung"/>
    <n v="650"/>
    <n v="845"/>
    <n v="4"/>
    <n v="2600"/>
    <n v="3380"/>
    <s v="Ajay Sharma"/>
    <n v="1690"/>
  </r>
  <r>
    <s v="141252"/>
    <s v="AN"/>
    <s v="Mohammed Abdul Kaleem"/>
    <s v="28/03/2021"/>
    <s v="Delivered"/>
    <s v="15&quot; LCD Dsipaly"/>
    <s v="Monitor"/>
    <s v="Dell"/>
    <n v="7500"/>
    <n v="9750"/>
    <n v="2"/>
    <n v="15000"/>
    <n v="19500"/>
    <s v="Roshan Kumar"/>
    <n v="9750"/>
  </r>
  <r>
    <s v="141253"/>
    <s v="CH"/>
    <s v="Chandrakant Kasbe"/>
    <s v="28/03/2021"/>
    <s v="Shipped"/>
    <s v="57 TB HDD"/>
    <s v="HDD"/>
    <s v="Seagate"/>
    <n v="10000"/>
    <n v="13000"/>
    <n v="3"/>
    <n v="30000"/>
    <n v="39000"/>
    <s v="Aarvi Gupta"/>
    <n v="39000"/>
  </r>
  <r>
    <s v="141254"/>
    <s v="DH"/>
    <s v="Rohan Kale"/>
    <s v="28/03/2021"/>
    <s v="Order"/>
    <s v="56 TB SSD"/>
    <s v="SSD"/>
    <s v="Samsung"/>
    <n v="10500"/>
    <n v="13650"/>
    <n v="3"/>
    <n v="31500"/>
    <n v="40950"/>
    <s v="Vijay Singh"/>
    <n v="8450"/>
  </r>
  <r>
    <s v="141255"/>
    <s v="DD"/>
    <s v="Aniruddha Kekapure"/>
    <s v="28/03/2021"/>
    <s v="Processing"/>
    <s v="Intel i5 12th gen."/>
    <s v="CPU"/>
    <s v="Intel"/>
    <n v="8500"/>
    <n v="11050"/>
    <n v="2"/>
    <n v="17000"/>
    <n v="22100"/>
    <s v="Aadil Khan"/>
    <n v="33150"/>
  </r>
  <r>
    <s v="141256"/>
    <s v="DL"/>
    <s v="Aslam Raza"/>
    <s v="28/03/2021"/>
    <s v="Delivered"/>
    <s v="2GB Graphic Card"/>
    <s v="Graphic Card"/>
    <s v="Nvidia"/>
    <n v="7000"/>
    <n v="9100"/>
    <n v="1"/>
    <n v="7000"/>
    <n v="9100"/>
    <s v="Advika Joshi"/>
    <n v="18200"/>
  </r>
  <r>
    <s v="141257"/>
    <s v="LD"/>
    <s v="Roshan Zameer"/>
    <s v="28/03/2021"/>
    <s v="Shipped"/>
    <s v="59 GB DDR4 Ram"/>
    <s v="Computer Case"/>
    <s v="Hynix"/>
    <n v="1680"/>
    <n v="2184"/>
    <n v="1"/>
    <n v="1680"/>
    <n v="2184"/>
    <s v="Ajay Sharma"/>
    <n v="13650"/>
  </r>
  <r>
    <s v="141258"/>
    <s v="PY"/>
    <s v="Rakesh Kumar Sharma"/>
    <s v="28/03/2021"/>
    <s v="Order"/>
    <s v="Micro ATX motherboard"/>
    <s v="Mouse"/>
    <s v="MSI"/>
    <n v="6540"/>
    <n v="8502"/>
    <n v="3"/>
    <n v="19620"/>
    <n v="25506"/>
    <s v="Roshan Kumar"/>
    <n v="1690"/>
  </r>
  <r>
    <s v="141259"/>
    <s v="AP"/>
    <s v="Shivanand Sahani"/>
    <s v="28/03/2021"/>
    <s v="Processing"/>
    <s v="Gaming Box Cabinet"/>
    <s v="Cabinet"/>
    <s v="Asus"/>
    <n v="2680"/>
    <n v="3484"/>
    <n v="3"/>
    <n v="8040"/>
    <n v="10452"/>
    <s v="Aarvi Gupta"/>
    <n v="2990"/>
  </r>
  <r>
    <s v="141260"/>
    <s v="AR"/>
    <s v="Kunal Patra"/>
    <s v="29/03/2021"/>
    <s v="Delivered"/>
    <s v="17&quot; LCD Display"/>
    <s v="Monitor"/>
    <s v="Samsung"/>
    <n v="8250"/>
    <n v="10725"/>
    <n v="2"/>
    <n v="16500"/>
    <n v="21450"/>
    <s v="Vijay Singh"/>
    <n v="9750"/>
  </r>
  <r>
    <s v="141261"/>
    <s v="DL"/>
    <s v="Bijendra"/>
    <s v="29/03/2021"/>
    <s v="Shipped"/>
    <s v="63 GB DDR4 RAM"/>
    <s v="RAM"/>
    <s v="Samsung"/>
    <n v="2650"/>
    <n v="3445"/>
    <n v="3"/>
    <n v="7950"/>
    <n v="10335"/>
    <s v="Aadil Khan"/>
    <n v="25545"/>
  </r>
  <r>
    <s v="141262"/>
    <s v="DL"/>
    <s v="Kranti Bheke"/>
    <s v="29/03/2021"/>
    <s v="Order"/>
    <s v="26&quot; LCD Display"/>
    <s v="Monitor"/>
    <s v="Acer"/>
    <n v="12550"/>
    <n v="16315"/>
    <n v="4"/>
    <n v="50200"/>
    <n v="65260"/>
    <s v="Advika Joshi"/>
    <n v="9750"/>
  </r>
  <r>
    <s v="141263"/>
    <s v="DL"/>
    <s v="Jagdeep"/>
    <s v="29/03/2021"/>
    <s v="Processing"/>
    <s v="I7 - intel 12th Generation"/>
    <s v="CPU"/>
    <s v="Intel"/>
    <n v="14500"/>
    <n v="18850"/>
    <n v="1"/>
    <n v="14500"/>
    <n v="18850"/>
    <s v="Ajay Sharma"/>
    <n v="33150"/>
  </r>
  <r>
    <s v="141264"/>
    <s v="DL"/>
    <s v="Adhir Samal"/>
    <s v="29/03/2021"/>
    <s v="Delivered"/>
    <s v="USB Keyboard"/>
    <s v="Keyboard"/>
    <s v="Dell"/>
    <n v="800"/>
    <n v="1040"/>
    <n v="3"/>
    <n v="2400"/>
    <n v="3120"/>
    <s v="Ajay Sharma"/>
    <n v="3315"/>
  </r>
  <r>
    <s v="141265"/>
    <s v="DL"/>
    <s v="Dannana Jhammi"/>
    <s v="29/03/2021"/>
    <s v="Shipped"/>
    <s v="Wireless Mouse"/>
    <s v="Mouse"/>
    <s v="Samsung"/>
    <n v="600"/>
    <n v="780"/>
    <n v="1"/>
    <n v="600"/>
    <n v="780"/>
    <s v="Roshan Kumar"/>
    <n v="1690"/>
  </r>
  <r>
    <s v="141266"/>
    <s v="DL"/>
    <s v="Vipin Kumar"/>
    <s v="29/03/2021"/>
    <s v="Order"/>
    <s v="21&quot; LCD Display"/>
    <s v="Monitor"/>
    <s v="Dell"/>
    <n v="10500"/>
    <n v="13650"/>
    <n v="4"/>
    <n v="42000"/>
    <n v="54600"/>
    <s v="Aarvi Gupta"/>
    <n v="9750"/>
  </r>
  <r>
    <s v="141267"/>
    <s v="DL"/>
    <s v="Ranjeet Kumar"/>
    <s v="29/03/2021"/>
    <s v="Processing"/>
    <s v="57 TB HDD"/>
    <s v="HDD"/>
    <s v="Western Digital"/>
    <n v="6500"/>
    <n v="8450"/>
    <n v="1"/>
    <n v="6500"/>
    <n v="8450"/>
    <s v="Vijay Singh"/>
    <n v="39000"/>
  </r>
  <r>
    <s v="141268"/>
    <s v="DL"/>
    <s v="Sajal Singhal"/>
    <s v="29/03/2021"/>
    <s v="Delivered"/>
    <s v="312 GB SSD"/>
    <s v="SSD"/>
    <s v="Samsung"/>
    <n v="4500"/>
    <n v="5850"/>
    <n v="3"/>
    <n v="13500"/>
    <n v="17550"/>
    <s v="Aadil Khan"/>
    <n v="8450"/>
  </r>
  <r>
    <s v="141269"/>
    <s v="DL"/>
    <s v="Akhilesh Kumar"/>
    <s v="29/03/2021"/>
    <s v="Shipped"/>
    <s v="Intel i3 11th gen."/>
    <s v="CPU"/>
    <s v="Intel"/>
    <n v="8500"/>
    <n v="11050"/>
    <n v="4"/>
    <n v="34000"/>
    <n v="44200"/>
    <s v="Advika Joshi"/>
    <n v="33150"/>
  </r>
  <r>
    <s v="141270"/>
    <s v="DL"/>
    <s v="Suvankar Chakraborty"/>
    <s v="29/03/2021"/>
    <s v="Order"/>
    <s v="4GB Graphic card"/>
    <s v="Graphic Card"/>
    <s v="Nvidia"/>
    <n v="12500"/>
    <n v="16250"/>
    <n v="4"/>
    <n v="50000"/>
    <n v="65000"/>
    <s v="Ajay Sharma"/>
    <n v="18200"/>
  </r>
  <r>
    <s v="141271"/>
    <s v="DL"/>
    <s v="Suvankar Adhikary"/>
    <s v="29/03/2021"/>
    <s v="Processing"/>
    <s v="64 GB DDR4 RAM"/>
    <s v="NIC"/>
    <s v="Hynix"/>
    <n v="3500"/>
    <n v="4550"/>
    <n v="2"/>
    <n v="7000"/>
    <n v="9100"/>
    <s v="Roshan Kumar"/>
    <n v="9100"/>
  </r>
  <r>
    <s v="141272"/>
    <s v="MP"/>
    <s v="Rahul Kumar Prajapati"/>
    <s v="29/03/2021"/>
    <s v="Delivered"/>
    <s v="BTX motherboard"/>
    <s v="Printer"/>
    <s v="Gigabyte"/>
    <n v="4500"/>
    <n v="5850"/>
    <n v="3"/>
    <n v="13500"/>
    <n v="17550"/>
    <s v="Aarvi Gupta"/>
    <n v="11700"/>
  </r>
  <r>
    <s v="141273"/>
    <s v="MH"/>
    <s v="Sagar Jeur"/>
    <s v="29/03/2021"/>
    <s v="Shipped"/>
    <s v="59 Fans Cabinet"/>
    <s v="Cabinet"/>
    <s v="Asus"/>
    <n v="2100"/>
    <n v="2730"/>
    <n v="2"/>
    <n v="4200"/>
    <n v="5460"/>
    <s v="Vijay Singh"/>
    <n v="2990"/>
  </r>
  <r>
    <s v="141274"/>
    <s v="MN"/>
    <s v="Rhushikesh Mane"/>
    <s v="29/03/2021"/>
    <s v="Order"/>
    <s v="Wireless Keyboard"/>
    <s v="Keyboard"/>
    <s v="Dell"/>
    <n v="1150"/>
    <n v="1495"/>
    <n v="2"/>
    <n v="2300"/>
    <n v="2990"/>
    <s v="Aadil Khan"/>
    <n v="3315"/>
  </r>
  <r>
    <s v="141275"/>
    <s v="ML"/>
    <s v="Ashish Kumar"/>
    <s v="29/03/2021"/>
    <s v="Processing"/>
    <s v="USB Mouse"/>
    <s v="Mouse"/>
    <s v="Samsung"/>
    <n v="350"/>
    <n v="455"/>
    <n v="1"/>
    <n v="350"/>
    <n v="455"/>
    <s v="Advika Joshi"/>
    <n v="1690"/>
  </r>
  <r>
    <s v="141276"/>
    <s v="MZ"/>
    <s v="Javed Akhter"/>
    <s v="29/03/2021"/>
    <s v="Delivered"/>
    <s v="19&quot; LED Display"/>
    <s v="Monitor"/>
    <s v="Dell"/>
    <n v="9500"/>
    <n v="12350"/>
    <n v="1"/>
    <n v="9500"/>
    <n v="12350"/>
    <s v="Ajay Sharma"/>
    <n v="9750"/>
  </r>
  <r>
    <s v="141277"/>
    <s v="NL"/>
    <s v="Haridas Balraj"/>
    <s v="29/03/2021"/>
    <s v="Shipped"/>
    <s v="58 TB HDD"/>
    <s v="HDD"/>
    <s v="Western Digital"/>
    <n v="10000"/>
    <n v="13000"/>
    <n v="1"/>
    <n v="10000"/>
    <n v="13000"/>
    <s v="Roshan Kumar"/>
    <n v="39000"/>
  </r>
  <r>
    <s v="141278"/>
    <s v="OR"/>
    <s v="Kundan Kumar"/>
    <s v="29/03/2021"/>
    <s v="Order"/>
    <s v="568 GB M.2"/>
    <s v="SSD"/>
    <s v="Samsung"/>
    <n v="6500"/>
    <n v="8450"/>
    <n v="3"/>
    <n v="19500"/>
    <n v="25350"/>
    <s v="Aarvi Gupta"/>
    <n v="8450"/>
  </r>
  <r>
    <s v="141279"/>
    <s v="PB"/>
    <s v="Atif Siddiqui"/>
    <s v="29/03/2021"/>
    <s v="Processing"/>
    <s v="RYZEN 3rd gen. 3556"/>
    <s v="CPU"/>
    <s v="Intel"/>
    <n v="8500"/>
    <n v="11050"/>
    <n v="1"/>
    <n v="8500"/>
    <n v="11050"/>
    <s v="Vijay Singh"/>
    <n v="33150"/>
  </r>
  <r>
    <s v="141280"/>
    <s v="RJ"/>
    <s v="Aditya Agarwal"/>
    <s v="29/03/2021"/>
    <s v="Delivered"/>
    <s v="2GB Graphic Card"/>
    <s v="Graphic Card"/>
    <s v="Nvidia"/>
    <n v="7000"/>
    <n v="9100"/>
    <n v="2"/>
    <n v="14000"/>
    <n v="18200"/>
    <s v="Aadil Khan"/>
    <n v="18200"/>
  </r>
  <r>
    <s v="141281"/>
    <s v="SK"/>
    <s v="Firdoush Jabee"/>
    <s v="29/03/2021"/>
    <s v="Shipped"/>
    <s v="72 GB DDR4 RAM"/>
    <s v="NIC"/>
    <s v="Hynix"/>
    <n v="6550"/>
    <n v="8515"/>
    <n v="4"/>
    <n v="26200"/>
    <n v="34060"/>
    <s v="Advika Joshi"/>
    <n v="9100"/>
  </r>
  <r>
    <s v="141282"/>
    <s v="TN"/>
    <s v="Jay Prakash Kumar"/>
    <s v="29/03/2021"/>
    <s v="Order"/>
    <s v="Standard ATX motherboard"/>
    <s v="Printer"/>
    <s v="Gigabyte"/>
    <n v="7650"/>
    <n v="9945"/>
    <n v="1"/>
    <n v="7650"/>
    <n v="9945"/>
    <s v="Ajay Sharma"/>
    <n v="11700"/>
  </r>
  <r>
    <s v="141283"/>
    <s v="TR"/>
    <s v="Ashish Pandey"/>
    <s v="29/03/2021"/>
    <s v="Processing"/>
    <s v="Compact with 1 Fan"/>
    <s v="Cabinet"/>
    <s v="Asus"/>
    <n v="1150"/>
    <n v="1495"/>
    <n v="3"/>
    <n v="3450"/>
    <n v="4485"/>
    <s v="Roshan Kumar"/>
    <n v="2990"/>
  </r>
  <r>
    <s v="141284"/>
    <s v="UK"/>
    <s v="Ajay Sharma"/>
    <s v="29/03/2021"/>
    <s v="Delivered"/>
    <s v="USB Backlight Keyboard"/>
    <s v="Keyboard"/>
    <s v="Dell"/>
    <n v="850"/>
    <n v="1105"/>
    <n v="3"/>
    <n v="2550"/>
    <n v="3315"/>
    <s v="Aarvi Gupta"/>
    <n v="3315"/>
  </r>
  <r>
    <s v="141285"/>
    <s v="UP"/>
    <s v="Moinuddin Saifi"/>
    <s v="29/03/2021"/>
    <s v="Shipped"/>
    <s v="Ergonomic Mouse"/>
    <s v="Mouse"/>
    <s v="Samsung"/>
    <n v="650"/>
    <n v="845"/>
    <n v="4"/>
    <n v="2600"/>
    <n v="3380"/>
    <s v="Vijay Singh"/>
    <n v="1690"/>
  </r>
  <r>
    <s v="141286"/>
    <s v="WB"/>
    <s v="Ramkrishna Das Adhikary"/>
    <s v="29/03/2021"/>
    <s v="Order"/>
    <s v="15&quot; LCD Dsipaly"/>
    <s v="Monitor"/>
    <s v="Dell"/>
    <n v="7500"/>
    <n v="9750"/>
    <n v="3"/>
    <n v="22500"/>
    <n v="29250"/>
    <s v="Aadil Khan"/>
    <n v="9750"/>
  </r>
  <r>
    <s v="141287"/>
    <s v="TN"/>
    <s v="Ranjeet Mandal"/>
    <s v="29/03/2021"/>
    <s v="Processing"/>
    <s v="58 TB HDD"/>
    <s v="HDD"/>
    <s v="Seagate"/>
    <n v="10000"/>
    <n v="13000"/>
    <n v="3"/>
    <n v="30000"/>
    <n v="39000"/>
    <s v="Advika Joshi"/>
    <n v="39000"/>
  </r>
  <r>
    <s v="141288"/>
    <s v="TR"/>
    <s v="Ashwini Adsare"/>
    <s v="29/03/2021"/>
    <s v="Delivered"/>
    <s v="57 TB SSD"/>
    <s v="SSD"/>
    <s v="Samsung"/>
    <n v="10500"/>
    <n v="13650"/>
    <n v="1"/>
    <n v="10500"/>
    <n v="13650"/>
    <s v="Ajay Sharma"/>
    <n v="8450"/>
  </r>
  <r>
    <s v="141289"/>
    <s v="AN"/>
    <s v="Rajesh Variya"/>
    <s v="29/03/2021"/>
    <s v="Shipped"/>
    <s v="Intel i5 12th gen."/>
    <s v="CPU"/>
    <s v="Intel"/>
    <n v="8500"/>
    <n v="11050"/>
    <n v="4"/>
    <n v="34000"/>
    <n v="44200"/>
    <s v="Roshan Kumar"/>
    <n v="33150"/>
  </r>
  <r>
    <s v="141290"/>
    <s v="CH"/>
    <s v="Amit Singh"/>
    <s v="29/03/2021"/>
    <s v="Order"/>
    <s v="2GB Graphic Card"/>
    <s v="Graphic Card"/>
    <s v="Nvidia"/>
    <n v="7000"/>
    <n v="9100"/>
    <n v="1"/>
    <n v="7000"/>
    <n v="9100"/>
    <s v="Aarvi Gupta"/>
    <n v="18200"/>
  </r>
  <r>
    <s v="141291"/>
    <s v="DH"/>
    <s v="Vinod Mehta"/>
    <s v="29/03/2021"/>
    <s v="Processing"/>
    <s v="60 GB DDR4 Ram"/>
    <s v="NIC"/>
    <s v="Hynix"/>
    <n v="1680"/>
    <n v="2184"/>
    <n v="1"/>
    <n v="1680"/>
    <n v="2184"/>
    <s v="Vijay Singh"/>
    <n v="9100"/>
  </r>
  <r>
    <s v="141292"/>
    <s v="DD"/>
    <s v="Jignesh Mhatre"/>
    <s v="29/03/2021"/>
    <s v="Delivered"/>
    <s v="Micro ATX motherboard"/>
    <s v="Printer"/>
    <s v="MSI"/>
    <n v="6540"/>
    <n v="8502"/>
    <n v="2"/>
    <n v="13080"/>
    <n v="17004"/>
    <s v="Aadil Khan"/>
    <n v="11700"/>
  </r>
  <r>
    <s v="141293"/>
    <s v="DL"/>
    <s v="Rahul Kashyap"/>
    <s v="29/03/2021"/>
    <s v="Shipped"/>
    <s v="Gaming Box Cabinet"/>
    <s v="Cabinet"/>
    <s v="Asus"/>
    <n v="2680"/>
    <n v="3484"/>
    <n v="3"/>
    <n v="8040"/>
    <n v="10452"/>
    <s v="Advika Joshi"/>
    <n v="2990"/>
  </r>
  <r>
    <s v="141294"/>
    <s v="LD"/>
    <s v="Mohammed Abdul Kaleem"/>
    <s v="29/03/2021"/>
    <s v="Order"/>
    <s v="17&quot; LCD Display"/>
    <s v="Monitor"/>
    <s v="Samsung"/>
    <n v="8250"/>
    <n v="10725"/>
    <n v="2"/>
    <n v="16500"/>
    <n v="21450"/>
    <s v="Ajay Sharma"/>
    <n v="9750"/>
  </r>
  <r>
    <s v="141295"/>
    <s v="PY"/>
    <s v="Chandrakant Kasbe"/>
    <s v="29/03/2021"/>
    <s v="Processing"/>
    <s v="64 GB DDR4 RAM"/>
    <s v="RAM"/>
    <s v="Samsung"/>
    <n v="2650"/>
    <n v="3445"/>
    <n v="3"/>
    <n v="7950"/>
    <n v="10335"/>
    <s v="Roshan Kumar"/>
    <n v="25545"/>
  </r>
  <r>
    <s v="141296"/>
    <s v="AP"/>
    <s v="Rohan Kale"/>
    <s v="29/03/2021"/>
    <s v="Delivered"/>
    <s v="26&quot; LCD Display"/>
    <s v="Monitor"/>
    <s v="Acer"/>
    <n v="12550"/>
    <n v="16315"/>
    <n v="3"/>
    <n v="37650"/>
    <n v="48945"/>
    <s v="Aarvi Gupta"/>
    <n v="9750"/>
  </r>
  <r>
    <s v="141297"/>
    <s v="AR"/>
    <s v="Aniruddha Kekapure"/>
    <s v="29/03/2021"/>
    <s v="Shipped"/>
    <s v="I7 - intel 12th Generation"/>
    <s v="CPU"/>
    <s v="Intel"/>
    <n v="14500"/>
    <n v="18850"/>
    <n v="3"/>
    <n v="43500"/>
    <n v="56550"/>
    <s v="Vijay Singh"/>
    <n v="33150"/>
  </r>
  <r>
    <s v="141298"/>
    <s v="AS"/>
    <s v="Aslam Raza"/>
    <s v="29/03/2021"/>
    <s v="Order"/>
    <s v="USB Keyboard"/>
    <s v="Keyboard"/>
    <s v="Dell"/>
    <n v="800"/>
    <n v="1040"/>
    <n v="3"/>
    <n v="2400"/>
    <n v="3120"/>
    <s v="Aadil Khan"/>
    <n v="3315"/>
  </r>
  <r>
    <s v="141299"/>
    <s v="BR"/>
    <s v="Roshan Zameer"/>
    <s v="29/03/2021"/>
    <s v="Processing"/>
    <s v="Wireless Mouse"/>
    <s v="Mouse"/>
    <s v="Samsung"/>
    <n v="600"/>
    <n v="780"/>
    <n v="1"/>
    <n v="600"/>
    <n v="780"/>
    <s v="Advika Joshi"/>
    <n v="1690"/>
  </r>
  <r>
    <s v="141300"/>
    <s v="CG"/>
    <s v="Rakesh Kumar Sharma"/>
    <s v="29/03/2021"/>
    <s v="Delivered"/>
    <s v="21&quot; LCD Display"/>
    <s v="Monitor"/>
    <s v="Dell"/>
    <n v="10500"/>
    <n v="13650"/>
    <n v="1"/>
    <n v="10500"/>
    <n v="13650"/>
    <s v="Ajay Sharma"/>
    <n v="9750"/>
  </r>
  <r>
    <s v="141301"/>
    <s v="GA"/>
    <s v="Shivanand Sahani"/>
    <s v="29/03/2021"/>
    <s v="Shipped"/>
    <s v="58 TB HDD"/>
    <s v="HDD"/>
    <s v="Western Digital"/>
    <n v="6500"/>
    <n v="8450"/>
    <n v="2"/>
    <n v="13000"/>
    <n v="16900"/>
    <s v="Roshan Kumar"/>
    <n v="39000"/>
  </r>
  <r>
    <s v="141302"/>
    <s v="GJ"/>
    <s v="Kunal Patra"/>
    <s v="29/03/2021"/>
    <s v="Order"/>
    <s v="313 GB SSD"/>
    <s v="SSD"/>
    <s v="Samsung"/>
    <n v="4500"/>
    <n v="5850"/>
    <n v="4"/>
    <n v="18000"/>
    <n v="23400"/>
    <s v="Aarvi Gupta"/>
    <n v="8450"/>
  </r>
  <r>
    <s v="141303"/>
    <s v="HR"/>
    <s v="Bijendra"/>
    <s v="29/03/2021"/>
    <s v="Processing"/>
    <s v="Intel i3 11th gen."/>
    <s v="CPU"/>
    <s v="Intel"/>
    <n v="8500"/>
    <n v="11050"/>
    <n v="1"/>
    <n v="8500"/>
    <n v="11050"/>
    <s v="Vijay Singh"/>
    <n v="33150"/>
  </r>
  <r>
    <s v="141304"/>
    <s v="HP"/>
    <s v="Kranti Bheke"/>
    <s v="29/03/2021"/>
    <s v="Delivered"/>
    <s v="4GB Graphic card"/>
    <s v="Graphic Card"/>
    <s v="Nvidia"/>
    <n v="12500"/>
    <n v="16250"/>
    <n v="2"/>
    <n v="25000"/>
    <n v="32500"/>
    <s v="Aadil Khan"/>
    <n v="18200"/>
  </r>
  <r>
    <s v="141305"/>
    <s v="JK"/>
    <s v="Jagdeep"/>
    <s v="29/03/2021"/>
    <s v="Shipped"/>
    <s v="65 GB DDR4 RAM"/>
    <s v="RAM"/>
    <s v="Hynix"/>
    <n v="3500"/>
    <n v="4550"/>
    <n v="3"/>
    <n v="10500"/>
    <n v="13650"/>
    <s v="Advika Joshi"/>
    <n v="25545"/>
  </r>
  <r>
    <s v="141306"/>
    <s v="JH"/>
    <s v="Adhir Samal"/>
    <s v="29/03/2021"/>
    <s v="Order"/>
    <s v="BTX motherboard"/>
    <s v="MotherBoard"/>
    <s v="Gigabyte"/>
    <n v="4500"/>
    <n v="5850"/>
    <n v="2"/>
    <n v="9000"/>
    <n v="11700"/>
    <s v="Ajay Sharma"/>
    <n v="39780"/>
  </r>
  <r>
    <s v="141307"/>
    <s v="KA"/>
    <s v="Dannana Jhammi"/>
    <s v="29/03/2021"/>
    <s v="Processing"/>
    <s v="60 Fans Cabinet"/>
    <s v="Cabinet"/>
    <s v="Asus"/>
    <n v="2100"/>
    <n v="2730"/>
    <n v="2"/>
    <n v="4200"/>
    <n v="5460"/>
    <s v="Roshan Kumar"/>
    <n v="2990"/>
  </r>
  <r>
    <s v="141308"/>
    <s v="KL"/>
    <s v="Vipin Kumar"/>
    <s v="29/03/2021"/>
    <s v="Delivered"/>
    <s v="Wireless Keyboard"/>
    <s v="Keyboard"/>
    <s v="Dell"/>
    <n v="1150"/>
    <n v="1495"/>
    <n v="4"/>
    <n v="4600"/>
    <n v="5980"/>
    <s v="Aarvi Gupta"/>
    <n v="3315"/>
  </r>
  <r>
    <s v="141309"/>
    <s v="MP"/>
    <s v="Ranjeet Kumar"/>
    <s v="29/03/2021"/>
    <s v="Shipped"/>
    <s v="USB Mouse"/>
    <s v="Mouse"/>
    <s v="Samsung"/>
    <n v="350"/>
    <n v="455"/>
    <n v="2"/>
    <n v="700"/>
    <n v="910"/>
    <s v="Vijay Singh"/>
    <n v="1690"/>
  </r>
  <r>
    <s v="141310"/>
    <s v="MH"/>
    <s v="Sajal Singhal"/>
    <s v="29/03/2021"/>
    <s v="Order"/>
    <s v="19&quot; LED Display"/>
    <s v="Monitor"/>
    <s v="Dell"/>
    <n v="9500"/>
    <n v="12350"/>
    <n v="3"/>
    <n v="28500"/>
    <n v="37050"/>
    <s v="Aadil Khan"/>
    <n v="9750"/>
  </r>
  <r>
    <s v="141311"/>
    <s v="MH"/>
    <s v="Akhilesh Kumar"/>
    <s v="29/03/2021"/>
    <s v="Processing"/>
    <s v="59 TB HDD"/>
    <s v="HDD"/>
    <s v="Western Digital"/>
    <n v="10000"/>
    <n v="13000"/>
    <n v="4"/>
    <n v="40000"/>
    <n v="52000"/>
    <s v="Advika Joshi"/>
    <n v="39000"/>
  </r>
  <r>
    <s v="141312"/>
    <s v="MH"/>
    <s v="Suvankar Chakraborty"/>
    <s v="29/03/2021"/>
    <s v="Delivered"/>
    <s v="569 GB M.2"/>
    <s v="SSD"/>
    <s v="Samsung"/>
    <n v="6500"/>
    <n v="8450"/>
    <n v="2"/>
    <n v="13000"/>
    <n v="16900"/>
    <s v="Ajay Sharma"/>
    <n v="8450"/>
  </r>
  <r>
    <s v="141313"/>
    <s v="MH"/>
    <s v="Suvankar Adhikary"/>
    <s v="29/03/2021"/>
    <s v="Shipped"/>
    <s v="RYZEN 3rd gen. 3557"/>
    <s v="CPU"/>
    <s v="Intel"/>
    <n v="8500"/>
    <n v="11050"/>
    <n v="2"/>
    <n v="17000"/>
    <n v="22100"/>
    <s v="Roshan Kumar"/>
    <n v="33150"/>
  </r>
  <r>
    <s v="141314"/>
    <s v="MH"/>
    <s v="Rahul Kumar Prajapati"/>
    <s v="29/03/2021"/>
    <s v="Order"/>
    <s v="2GB Graphic Card"/>
    <s v="Graphic Card"/>
    <s v="Nvidia"/>
    <n v="7000"/>
    <n v="9100"/>
    <n v="2"/>
    <n v="14000"/>
    <n v="18200"/>
    <s v="Aarvi Gupta"/>
    <n v="18200"/>
  </r>
  <r>
    <s v="141315"/>
    <s v="MH"/>
    <s v="Sagar Jeur"/>
    <s v="29/03/2021"/>
    <s v="Processing"/>
    <s v="73 GB DDR4 RAM"/>
    <s v="RAM"/>
    <s v="Hynix"/>
    <n v="6550"/>
    <n v="8515"/>
    <n v="2"/>
    <n v="13100"/>
    <n v="17030"/>
    <s v="Vijay Singh"/>
    <n v="25545"/>
  </r>
  <r>
    <s v="141316"/>
    <s v="MH"/>
    <s v="Rhushikesh Mane"/>
    <s v="29/03/2021"/>
    <s v="Delivered"/>
    <s v="Standard ATX motherboard"/>
    <s v="MotherBoard"/>
    <s v="Gigabyte"/>
    <n v="7650"/>
    <n v="9945"/>
    <n v="2"/>
    <n v="15300"/>
    <n v="19890"/>
    <s v="Aadil Khan"/>
    <n v="39780"/>
  </r>
  <r>
    <s v="141317"/>
    <s v="MH"/>
    <s v="Ashish Kumar"/>
    <s v="29/03/2021"/>
    <s v="Shipped"/>
    <s v="Compact with 1 Fan"/>
    <s v="Cabinet"/>
    <s v="Asus"/>
    <n v="1150"/>
    <n v="1495"/>
    <n v="1"/>
    <n v="1150"/>
    <n v="1495"/>
    <s v="Advika Joshi"/>
    <n v="2990"/>
  </r>
  <r>
    <s v="141318"/>
    <s v="MH"/>
    <s v="Javed Akhter"/>
    <s v="29/03/2021"/>
    <s v="Order"/>
    <s v="USB Backlight Keyboard"/>
    <s v="Keyboard"/>
    <s v="Dell"/>
    <n v="850"/>
    <n v="1105"/>
    <n v="4"/>
    <n v="3400"/>
    <n v="4420"/>
    <s v="Ajay Sharma"/>
    <n v="3315"/>
  </r>
  <r>
    <s v="141319"/>
    <s v="MH"/>
    <s v="Haridas Balraj"/>
    <s v="29/03/2021"/>
    <s v="Processing"/>
    <s v="Ergonomic Mouse"/>
    <s v="Mouse"/>
    <s v="Samsung"/>
    <n v="650"/>
    <n v="845"/>
    <n v="1"/>
    <n v="650"/>
    <n v="845"/>
    <s v="Roshan Kumar"/>
    <n v="1690"/>
  </r>
  <r>
    <s v="141320"/>
    <s v="MH"/>
    <s v="Kundan Kumar"/>
    <s v="29/03/2021"/>
    <s v="Delivered"/>
    <s v="15&quot; LCD Dsipaly"/>
    <s v="Monitor"/>
    <s v="Dell"/>
    <n v="7500"/>
    <n v="9750"/>
    <n v="1"/>
    <n v="7500"/>
    <n v="9750"/>
    <s v="Aarvi Gupta"/>
    <n v="9750"/>
  </r>
  <r>
    <s v="141321"/>
    <s v="MH"/>
    <s v="Atif Siddiqui"/>
    <s v="29/03/2021"/>
    <s v="Shipped"/>
    <s v="59 TB HDD"/>
    <s v="HDD"/>
    <s v="Seagate"/>
    <n v="10000"/>
    <n v="13000"/>
    <n v="4"/>
    <n v="40000"/>
    <n v="52000"/>
    <s v="Vijay Singh"/>
    <n v="39000"/>
  </r>
  <r>
    <s v="141322"/>
    <s v="MH"/>
    <s v="Aditya Agarwal"/>
    <s v="29/03/2021"/>
    <s v="Order"/>
    <s v="58 TB SSD"/>
    <s v="SSD"/>
    <s v="Samsung"/>
    <n v="10500"/>
    <n v="13650"/>
    <n v="4"/>
    <n v="42000"/>
    <n v="54600"/>
    <s v="Aadil Khan"/>
    <n v="8450"/>
  </r>
  <r>
    <s v="141323"/>
    <s v="MH"/>
    <s v="Firdoush Jabee"/>
    <s v="29/03/2021"/>
    <s v="Processing"/>
    <s v="Intel i5 12th gen."/>
    <s v="CPU"/>
    <s v="Intel"/>
    <n v="8500"/>
    <n v="11050"/>
    <n v="4"/>
    <n v="34000"/>
    <n v="44200"/>
    <s v="Advika Joshi"/>
    <n v="33150"/>
  </r>
  <r>
    <s v="141324"/>
    <s v="MH"/>
    <s v="Jay Prakash Kumar"/>
    <s v="29/03/2021"/>
    <s v="Delivered"/>
    <s v="2GB Graphic Card"/>
    <s v="Graphic Card"/>
    <s v="Nvidia"/>
    <n v="7000"/>
    <n v="9100"/>
    <n v="2"/>
    <n v="14000"/>
    <n v="18200"/>
    <s v="Ajay Sharma"/>
    <n v="18200"/>
  </r>
  <r>
    <s v="141325"/>
    <s v="MH"/>
    <s v="Ashish Pandey"/>
    <s v="29/03/2021"/>
    <s v="Shipped"/>
    <s v="61 GB DDR4 Ram"/>
    <s v="RAM"/>
    <s v="Hynix"/>
    <n v="1680"/>
    <n v="2184"/>
    <n v="3"/>
    <n v="5040"/>
    <n v="6552"/>
    <s v="Roshan Kumar"/>
    <n v="25545"/>
  </r>
  <r>
    <s v="141326"/>
    <s v="MH"/>
    <s v="Ajay Sharma"/>
    <s v="29/03/2021"/>
    <s v="Order"/>
    <s v="Micro ATX motherboard"/>
    <s v="MotherBoard"/>
    <s v="MSI"/>
    <n v="6540"/>
    <n v="8502"/>
    <n v="2"/>
    <n v="13080"/>
    <n v="17004"/>
    <s v="Aarvi Gupta"/>
    <n v="39780"/>
  </r>
  <r>
    <s v="141327"/>
    <s v="MH"/>
    <s v="Moinuddin Saifi"/>
    <s v="29/03/2021"/>
    <s v="Processing"/>
    <s v="Gaming Box Cabinet"/>
    <s v="Cabinet"/>
    <s v="Asus"/>
    <n v="2680"/>
    <n v="3484"/>
    <n v="2"/>
    <n v="5360"/>
    <n v="6968"/>
    <s v="Vijay Singh"/>
    <n v="2990"/>
  </r>
  <r>
    <s v="141328"/>
    <s v="MH"/>
    <s v="Ramkrishna Das Adhikary"/>
    <s v="29/03/2021"/>
    <s v="Delivered"/>
    <s v="17&quot; LCD Display"/>
    <s v="Monitor"/>
    <s v="Samsung"/>
    <n v="8250"/>
    <n v="10725"/>
    <n v="4"/>
    <n v="33000"/>
    <n v="42900"/>
    <s v="Aadil Khan"/>
    <n v="9750"/>
  </r>
  <r>
    <s v="141329"/>
    <s v="MH"/>
    <s v="Ranjeet Mandal"/>
    <s v="29/03/2021"/>
    <s v="Shipped"/>
    <s v="65 GB DDR4 RAM"/>
    <s v="RAM"/>
    <s v="Samsung"/>
    <n v="2650"/>
    <n v="3445"/>
    <n v="2"/>
    <n v="5300"/>
    <n v="6890"/>
    <s v="Advika Joshi"/>
    <n v="25545"/>
  </r>
  <r>
    <s v="141330"/>
    <s v="MH"/>
    <s v="Ashwini Adsare"/>
    <s v="29/03/2021"/>
    <s v="Order"/>
    <s v="26&quot; LCD Display"/>
    <s v="Monitor"/>
    <s v="Acer"/>
    <n v="12550"/>
    <n v="16315"/>
    <n v="2"/>
    <n v="25100"/>
    <n v="32630"/>
    <s v="Ajay Sharma"/>
    <n v="9750"/>
  </r>
  <r>
    <s v="141331"/>
    <s v="MH"/>
    <s v="Rajesh Variya"/>
    <s v="29/03/2021"/>
    <s v="Processing"/>
    <s v="I7 - intel 12th Generation"/>
    <s v="CPU"/>
    <s v="Intel"/>
    <n v="14500"/>
    <n v="18850"/>
    <n v="4"/>
    <n v="58000"/>
    <n v="75400"/>
    <s v="Roshan Kumar"/>
    <n v="33150"/>
  </r>
  <r>
    <s v="141332"/>
    <s v="MH"/>
    <s v="Amit Singh"/>
    <s v="29/03/2021"/>
    <s v="Delivered"/>
    <s v="USB Keyboard"/>
    <s v="Keyboard"/>
    <s v="Dell"/>
    <n v="800"/>
    <n v="1040"/>
    <n v="4"/>
    <n v="3200"/>
    <n v="4160"/>
    <s v="Aarvi Gupta"/>
    <n v="3315"/>
  </r>
  <r>
    <s v="141333"/>
    <s v="MH"/>
    <s v="Vinod Mehta"/>
    <s v="29/03/2021"/>
    <s v="Shipped"/>
    <s v="Wireless Mouse"/>
    <s v="Mouse"/>
    <s v="Samsung"/>
    <n v="600"/>
    <n v="780"/>
    <n v="2"/>
    <n v="1200"/>
    <n v="1560"/>
    <s v="Vijay Singh"/>
    <n v="1690"/>
  </r>
  <r>
    <s v="141334"/>
    <s v="MH"/>
    <s v="Jignesh Mhatre"/>
    <s v="29/03/2021"/>
    <s v="Order"/>
    <s v="21&quot; LCD Display"/>
    <s v="Monitor"/>
    <s v="Dell"/>
    <n v="10500"/>
    <n v="13650"/>
    <n v="4"/>
    <n v="42000"/>
    <n v="54600"/>
    <s v="Aadil Khan"/>
    <n v="9750"/>
  </r>
  <r>
    <s v="141335"/>
    <s v="MH"/>
    <s v="Rahul Kashyap"/>
    <s v="29/03/2021"/>
    <s v="Processing"/>
    <s v="59 TB HDD"/>
    <s v="HDD"/>
    <s v="Western Digital"/>
    <n v="6500"/>
    <n v="8450"/>
    <n v="4"/>
    <n v="26000"/>
    <n v="33800"/>
    <s v="Advika Joshi"/>
    <n v="39000"/>
  </r>
  <r>
    <s v="141336"/>
    <s v="MH"/>
    <s v="Mohammed Abdul Kaleem"/>
    <s v="29/03/2021"/>
    <s v="Delivered"/>
    <s v="314 GB SSD"/>
    <s v="SSD"/>
    <s v="Samsung"/>
    <n v="4500"/>
    <n v="5850"/>
    <n v="4"/>
    <n v="18000"/>
    <n v="23400"/>
    <s v="Ajay Sharma"/>
    <n v="8450"/>
  </r>
  <r>
    <s v="141337"/>
    <s v="MH"/>
    <s v="Chandrakant Kasbe"/>
    <s v="29/03/2021"/>
    <s v="Shipped"/>
    <s v="Intel i3 11th gen."/>
    <s v="CPU"/>
    <s v="Intel"/>
    <n v="8500"/>
    <n v="11050"/>
    <n v="1"/>
    <n v="8500"/>
    <n v="11050"/>
    <s v="Roshan Kumar"/>
    <n v="33150"/>
  </r>
  <r>
    <s v="141338"/>
    <s v="MH"/>
    <s v="Rohan Kale"/>
    <s v="29/03/2021"/>
    <s v="Order"/>
    <s v="4GB Graphic card"/>
    <s v="Graphic Card"/>
    <s v="Nvidia"/>
    <n v="12500"/>
    <n v="16250"/>
    <n v="2"/>
    <n v="25000"/>
    <n v="32500"/>
    <s v="Aarvi Gupta"/>
    <n v="18200"/>
  </r>
  <r>
    <s v="141339"/>
    <s v="MH"/>
    <s v="Aniruddha Kekapure"/>
    <s v="29/03/2021"/>
    <s v="Processing"/>
    <s v="66 GB DDR4 RAM"/>
    <s v="Computer Case"/>
    <s v="Hynix"/>
    <n v="3500"/>
    <n v="4550"/>
    <n v="4"/>
    <n v="14000"/>
    <n v="18200"/>
    <s v="Vijay Singh"/>
    <n v="13650"/>
  </r>
  <r>
    <s v="141340"/>
    <s v="MH"/>
    <s v="Aslam Raza"/>
    <s v="29/03/2021"/>
    <s v="Delivered"/>
    <s v="BTX motherboard"/>
    <s v="Mouse"/>
    <s v="Gigabyte"/>
    <n v="4500"/>
    <n v="5850"/>
    <n v="4"/>
    <n v="18000"/>
    <n v="23400"/>
    <s v="Aadil Khan"/>
    <n v="1690"/>
  </r>
  <r>
    <s v="141341"/>
    <s v="MH"/>
    <s v="Roshan Zameer"/>
    <s v="29/03/2021"/>
    <s v="Shipped"/>
    <s v="61 Fans Cabinet"/>
    <s v="Cabinet"/>
    <s v="Asus"/>
    <n v="2100"/>
    <n v="2730"/>
    <n v="2"/>
    <n v="4200"/>
    <n v="5460"/>
    <s v="Advika Joshi"/>
    <n v="2990"/>
  </r>
  <r>
    <s v="141342"/>
    <s v="MH"/>
    <s v="Rakesh Kumar Sharma"/>
    <s v="29/03/2021"/>
    <s v="Order"/>
    <s v="Wireless Keyboard"/>
    <s v="Keyboard"/>
    <s v="Dell"/>
    <n v="1150"/>
    <n v="1495"/>
    <n v="2"/>
    <n v="2300"/>
    <n v="2990"/>
    <s v="Ajay Sharma"/>
    <n v="3315"/>
  </r>
  <r>
    <s v="141343"/>
    <s v="MH"/>
    <s v="Shivanand Sahani"/>
    <s v="29/03/2021"/>
    <s v="Processing"/>
    <s v="USB Mouse"/>
    <s v="Mouse"/>
    <s v="Samsung"/>
    <n v="350"/>
    <n v="455"/>
    <n v="3"/>
    <n v="1050"/>
    <n v="1365"/>
    <s v="Roshan Kumar"/>
    <n v="1690"/>
  </r>
  <r>
    <s v="141344"/>
    <s v="MH"/>
    <s v="Kunal Patra"/>
    <s v="29/03/2021"/>
    <s v="Delivered"/>
    <s v="19&quot; LED Display"/>
    <s v="Monitor"/>
    <s v="Dell"/>
    <n v="9500"/>
    <n v="12350"/>
    <n v="4"/>
    <n v="38000"/>
    <n v="49400"/>
    <s v="Aarvi Gupta"/>
    <n v="9750"/>
  </r>
  <r>
    <s v="141345"/>
    <s v="MH"/>
    <s v="Bijendra"/>
    <s v="29/03/2021"/>
    <s v="Shipped"/>
    <s v="60 TB HDD"/>
    <s v="HDD"/>
    <s v="Western Digital"/>
    <n v="10000"/>
    <n v="13000"/>
    <n v="3"/>
    <n v="30000"/>
    <n v="39000"/>
    <s v="Vijay Singh"/>
    <n v="39000"/>
  </r>
  <r>
    <s v="141346"/>
    <s v="MH"/>
    <s v="Kranti Bheke"/>
    <s v="29/03/2021"/>
    <s v="Order"/>
    <s v="570 GB M.2"/>
    <s v="SSD"/>
    <s v="Samsung"/>
    <n v="6500"/>
    <n v="8450"/>
    <n v="3"/>
    <n v="19500"/>
    <n v="25350"/>
    <s v="Aadil Khan"/>
    <n v="8450"/>
  </r>
  <r>
    <s v="141347"/>
    <s v="MH"/>
    <s v="Jagdeep"/>
    <s v="29/03/2021"/>
    <s v="Processing"/>
    <s v="RYZEN 3rd gen. 3558"/>
    <s v="CPU"/>
    <s v="Intel"/>
    <n v="8500"/>
    <n v="11050"/>
    <n v="1"/>
    <n v="8500"/>
    <n v="11050"/>
    <s v="Advika Joshi"/>
    <n v="33150"/>
  </r>
  <r>
    <s v="141348"/>
    <s v="MH"/>
    <s v="Adhir Samal"/>
    <s v="29/03/2021"/>
    <s v="Delivered"/>
    <s v="2GB Graphic Card"/>
    <s v="Graphic Card"/>
    <s v="Nvidia"/>
    <n v="7000"/>
    <n v="9100"/>
    <n v="1"/>
    <n v="7000"/>
    <n v="9100"/>
    <s v="Ajay Sharma"/>
    <n v="18200"/>
  </r>
  <r>
    <s v="141349"/>
    <s v="MH"/>
    <s v="Dannana Jhammi"/>
    <s v="29/03/2021"/>
    <s v="Shipped"/>
    <s v="74 GB DDR4 RAM"/>
    <s v="Computer Case"/>
    <s v="Hynix"/>
    <n v="6550"/>
    <n v="8515"/>
    <n v="1"/>
    <n v="6550"/>
    <n v="8515"/>
    <s v="Roshan Kumar"/>
    <n v="13650"/>
  </r>
  <r>
    <s v="141350"/>
    <s v="MH"/>
    <s v="Vipin Kumar"/>
    <s v="29/03/2021"/>
    <s v="Order"/>
    <s v="Standard ATX motherboard"/>
    <s v="Mouse"/>
    <s v="Gigabyte"/>
    <n v="7650"/>
    <n v="9945"/>
    <n v="2"/>
    <n v="15300"/>
    <n v="19890"/>
    <s v="Aarvi Gupta"/>
    <n v="1690"/>
  </r>
  <r>
    <s v="141351"/>
    <s v="MH"/>
    <s v="Ranjeet Kumar"/>
    <s v="29/03/2021"/>
    <s v="Processing"/>
    <s v="Compact with 1 Fan"/>
    <s v="Cabinet"/>
    <s v="Asus"/>
    <n v="1150"/>
    <n v="1495"/>
    <n v="2"/>
    <n v="2300"/>
    <n v="2990"/>
    <s v="Vijay Singh"/>
    <n v="2990"/>
  </r>
  <r>
    <s v="141352"/>
    <s v="MH"/>
    <s v="Sajal Singhal"/>
    <s v="29/03/2021"/>
    <s v="Delivered"/>
    <s v="USB Backlight Keyboard"/>
    <s v="Keyboard"/>
    <s v="Dell"/>
    <n v="850"/>
    <n v="1105"/>
    <n v="2"/>
    <n v="1700"/>
    <n v="2210"/>
    <s v="Aadil Khan"/>
    <n v="3315"/>
  </r>
  <r>
    <s v="141353"/>
    <s v="MH"/>
    <s v="Akhilesh Kumar"/>
    <s v="29/03/2021"/>
    <s v="Shipped"/>
    <s v="Ergonomic Mouse"/>
    <s v="Mouse"/>
    <s v="Samsung"/>
    <n v="650"/>
    <n v="845"/>
    <n v="1"/>
    <n v="650"/>
    <n v="845"/>
    <s v="Advika Joshi"/>
    <n v="1690"/>
  </r>
  <r>
    <s v="141354"/>
    <s v="MH"/>
    <s v="Suvankar Chakraborty"/>
    <s v="29/03/2021"/>
    <s v="Order"/>
    <s v="15&quot; LCD Dsipaly"/>
    <s v="Monitor"/>
    <s v="Dell"/>
    <n v="7500"/>
    <n v="9750"/>
    <n v="2"/>
    <n v="15000"/>
    <n v="19500"/>
    <s v="Ajay Sharma"/>
    <n v="9750"/>
  </r>
  <r>
    <s v="141355"/>
    <s v="MH"/>
    <s v="Suvankar Adhikary"/>
    <s v="29/03/2021"/>
    <s v="Processing"/>
    <s v="60 TB HDD"/>
    <s v="HDD"/>
    <s v="Seagate"/>
    <n v="10000"/>
    <n v="13000"/>
    <n v="3"/>
    <n v="30000"/>
    <n v="39000"/>
    <s v="Roshan Kumar"/>
    <n v="39000"/>
  </r>
  <r>
    <s v="141356"/>
    <s v="MH"/>
    <s v="Rahul Kumar Prajapati"/>
    <s v="29/03/2021"/>
    <s v="Delivered"/>
    <s v="59 TB SSD"/>
    <s v="SSD"/>
    <s v="Samsung"/>
    <n v="10500"/>
    <n v="13650"/>
    <n v="2"/>
    <n v="21000"/>
    <n v="27300"/>
    <s v="Aarvi Gupta"/>
    <n v="8450"/>
  </r>
  <r>
    <s v="141357"/>
    <s v="MH"/>
    <s v="Sagar Jeur"/>
    <s v="29/03/2021"/>
    <s v="Shipped"/>
    <s v="Intel i5 12th gen."/>
    <s v="CPU"/>
    <s v="Intel"/>
    <n v="8500"/>
    <n v="11050"/>
    <n v="4"/>
    <n v="34000"/>
    <n v="44200"/>
    <s v="Vijay Singh"/>
    <n v="33150"/>
  </r>
  <r>
    <s v="141358"/>
    <s v="MH"/>
    <s v="Rhushikesh Mane"/>
    <s v="29/03/2021"/>
    <s v="Order"/>
    <s v="2GB Graphic Card"/>
    <s v="Graphic Card"/>
    <s v="Nvidia"/>
    <n v="7000"/>
    <n v="9100"/>
    <n v="3"/>
    <n v="21000"/>
    <n v="27300"/>
    <s v="Aadil Khan"/>
    <n v="18200"/>
  </r>
  <r>
    <s v="141359"/>
    <s v="MH"/>
    <s v="Ashish Kumar"/>
    <s v="29/03/2021"/>
    <s v="Processing"/>
    <s v="62 GB DDR4 Ram"/>
    <s v="Computer Case"/>
    <s v="Hynix"/>
    <n v="1680"/>
    <n v="2184"/>
    <n v="3"/>
    <n v="5040"/>
    <n v="6552"/>
    <s v="Advika Joshi"/>
    <n v="13650"/>
  </r>
  <r>
    <s v="141360"/>
    <s v="MH"/>
    <s v="Javed Akhter"/>
    <s v="29/03/2021"/>
    <s v="Delivered"/>
    <s v="Micro ATX motherboard"/>
    <s v="Mouse"/>
    <s v="MSI"/>
    <n v="6540"/>
    <n v="8502"/>
    <n v="3"/>
    <n v="19620"/>
    <n v="25506"/>
    <s v="Ajay Sharma"/>
    <n v="1690"/>
  </r>
  <r>
    <s v="141361"/>
    <s v="MH"/>
    <s v="Haridas Balraj"/>
    <s v="29/03/2021"/>
    <s v="Shipped"/>
    <s v="Gaming Box Cabinet"/>
    <s v="Cabinet"/>
    <s v="Asus"/>
    <n v="2680"/>
    <n v="3484"/>
    <n v="4"/>
    <n v="10720"/>
    <n v="13936"/>
    <s v="Roshan Kumar"/>
    <n v="2990"/>
  </r>
  <r>
    <s v="141362"/>
    <s v="MH"/>
    <s v="Kundan Kumar"/>
    <s v="29/03/2021"/>
    <s v="Order"/>
    <s v="17&quot; LCD Display"/>
    <s v="Monitor"/>
    <s v="Samsung"/>
    <n v="8250"/>
    <n v="10725"/>
    <n v="1"/>
    <n v="8250"/>
    <n v="10725"/>
    <s v="Aarvi Gupta"/>
    <n v="9750"/>
  </r>
  <r>
    <s v="141363"/>
    <s v="MH"/>
    <s v="Atif Siddiqui"/>
    <s v="29/03/2021"/>
    <s v="Processing"/>
    <s v="66 GB DDR4 RAM"/>
    <s v="RAM"/>
    <s v="Samsung"/>
    <n v="2650"/>
    <n v="3445"/>
    <n v="2"/>
    <n v="5300"/>
    <n v="6890"/>
    <s v="Vijay Singh"/>
    <n v="25545"/>
  </r>
  <r>
    <s v="141364"/>
    <s v="MH"/>
    <s v="Aditya Agarwal"/>
    <s v="29/03/2021"/>
    <s v="Delivered"/>
    <s v="26&quot; LCD Display"/>
    <s v="Monitor"/>
    <s v="Acer"/>
    <n v="12550"/>
    <n v="16315"/>
    <n v="3"/>
    <n v="37650"/>
    <n v="48945"/>
    <s v="Aadil Khan"/>
    <n v="9750"/>
  </r>
  <r>
    <s v="141365"/>
    <s v="MH"/>
    <s v="Firdoush Jabee"/>
    <s v="29/03/2021"/>
    <s v="Shipped"/>
    <s v="I7 - intel 12th Generation"/>
    <s v="CPU"/>
    <s v="Intel"/>
    <n v="14500"/>
    <n v="18850"/>
    <n v="3"/>
    <n v="43500"/>
    <n v="56550"/>
    <s v="Advika Joshi"/>
    <n v="33150"/>
  </r>
  <r>
    <s v="141366"/>
    <s v="MH"/>
    <s v="Jay Prakash Kumar"/>
    <s v="29/03/2021"/>
    <s v="Order"/>
    <s v="USB Keyboard"/>
    <s v="Keyboard"/>
    <s v="Dell"/>
    <n v="800"/>
    <n v="1040"/>
    <n v="2"/>
    <n v="1600"/>
    <n v="2080"/>
    <s v="Ajay Sharma"/>
    <n v="3315"/>
  </r>
  <r>
    <s v="141367"/>
    <s v="MH"/>
    <s v="Ashish Pandey"/>
    <s v="29/03/2021"/>
    <s v="Processing"/>
    <s v="Wireless Mouse"/>
    <s v="Mouse"/>
    <s v="Samsung"/>
    <n v="600"/>
    <n v="780"/>
    <n v="3"/>
    <n v="1800"/>
    <n v="2340"/>
    <s v="Roshan Kumar"/>
    <n v="1690"/>
  </r>
  <r>
    <s v="141368"/>
    <s v="MH"/>
    <s v="Ajay Sharma"/>
    <s v="29/03/2021"/>
    <s v="Delivered"/>
    <s v="21&quot; LCD Display"/>
    <s v="Monitor"/>
    <s v="Dell"/>
    <n v="10500"/>
    <n v="13650"/>
    <n v="3"/>
    <n v="31500"/>
    <n v="40950"/>
    <s v="Aarvi Gupta"/>
    <n v="9750"/>
  </r>
  <r>
    <s v="141369"/>
    <s v="MH"/>
    <s v="Moinuddin Saifi"/>
    <s v="29/03/2021"/>
    <s v="Shipped"/>
    <s v="60 TB HDD"/>
    <s v="HDD"/>
    <s v="Western Digital"/>
    <n v="6500"/>
    <n v="8450"/>
    <n v="4"/>
    <n v="26000"/>
    <n v="33800"/>
    <s v="Vijay Singh"/>
    <n v="39000"/>
  </r>
  <r>
    <s v="141370"/>
    <s v="MH"/>
    <s v="Ramkrishna Das Adhikary"/>
    <s v="29/03/2021"/>
    <s v="Order"/>
    <s v="315 GB SSD"/>
    <s v="SSD"/>
    <s v="Samsung"/>
    <n v="4500"/>
    <n v="5850"/>
    <n v="4"/>
    <n v="18000"/>
    <n v="23400"/>
    <s v="Aadil Khan"/>
    <n v="8450"/>
  </r>
  <r>
    <s v="141371"/>
    <s v="MH"/>
    <s v="Ranjeet Mandal"/>
    <s v="29/03/2021"/>
    <s v="Processing"/>
    <s v="Intel i3 11th gen."/>
    <s v="CPU"/>
    <s v="Intel"/>
    <n v="8500"/>
    <n v="11050"/>
    <n v="3"/>
    <n v="25500"/>
    <n v="33150"/>
    <s v="Advika Joshi"/>
    <n v="33150"/>
  </r>
  <r>
    <s v="141372"/>
    <s v="MH"/>
    <s v="Ashwini Adsare"/>
    <s v="29/03/2021"/>
    <s v="Delivered"/>
    <s v="4GB Graphic card"/>
    <s v="Graphic Card"/>
    <s v="Nvidia"/>
    <n v="12500"/>
    <n v="16250"/>
    <n v="4"/>
    <n v="50000"/>
    <n v="65000"/>
    <s v="Ajay Sharma"/>
    <n v="18200"/>
  </r>
  <r>
    <s v="141373"/>
    <s v="MH"/>
    <s v="Rajesh Variya"/>
    <s v="30/03/2021"/>
    <s v="Shipped"/>
    <s v="67 GB DDR4 RAM"/>
    <s v="NIC"/>
    <s v="Hynix"/>
    <n v="3500"/>
    <n v="4550"/>
    <n v="1"/>
    <n v="3500"/>
    <n v="4550"/>
    <s v="Roshan Kumar"/>
    <n v="9100"/>
  </r>
  <r>
    <s v="141374"/>
    <s v="MH"/>
    <s v="Amit Singh"/>
    <s v="30/03/2021"/>
    <s v="Order"/>
    <s v="BTX motherboard"/>
    <s v="Printer"/>
    <s v="Gigabyte"/>
    <n v="4500"/>
    <n v="5850"/>
    <n v="1"/>
    <n v="4500"/>
    <n v="5850"/>
    <s v="Aarvi Gupta"/>
    <n v="11700"/>
  </r>
  <r>
    <s v="141375"/>
    <s v="MH"/>
    <s v="Vinod Mehta"/>
    <s v="30/03/2021"/>
    <s v="Processing"/>
    <s v="62 Fans Cabinet"/>
    <s v="Cabinet"/>
    <s v="Asus"/>
    <n v="2100"/>
    <n v="2730"/>
    <n v="4"/>
    <n v="8400"/>
    <n v="10920"/>
    <s v="Vijay Singh"/>
    <n v="2990"/>
  </r>
  <r>
    <s v="141376"/>
    <s v="MH"/>
    <s v="Jignesh Mhatre"/>
    <s v="30/03/2021"/>
    <s v="Delivered"/>
    <s v="Wireless Keyboard"/>
    <s v="Keyboard"/>
    <s v="Dell"/>
    <n v="1150"/>
    <n v="1495"/>
    <n v="2"/>
    <n v="2300"/>
    <n v="2990"/>
    <s v="Aadil Khan"/>
    <n v="3315"/>
  </r>
  <r>
    <s v="141377"/>
    <s v="MH"/>
    <s v="Rahul Kashyap"/>
    <s v="30/03/2021"/>
    <s v="Shipped"/>
    <s v="USB Mouse"/>
    <s v="Mouse"/>
    <s v="Samsung"/>
    <n v="350"/>
    <n v="455"/>
    <n v="1"/>
    <n v="350"/>
    <n v="455"/>
    <s v="Advika Joshi"/>
    <n v="1690"/>
  </r>
  <r>
    <s v="141378"/>
    <s v="MH"/>
    <s v="Mohammed Abdul Kaleem"/>
    <s v="30/03/2021"/>
    <s v="Order"/>
    <s v="19&quot; LED Display"/>
    <s v="Monitor"/>
    <s v="Dell"/>
    <n v="9500"/>
    <n v="12350"/>
    <n v="1"/>
    <n v="9500"/>
    <n v="12350"/>
    <s v="Ajay Sharma"/>
    <n v="9750"/>
  </r>
  <r>
    <s v="141379"/>
    <s v="MH"/>
    <s v="Chandrakant Kasbe"/>
    <s v="30/03/2021"/>
    <s v="Processing"/>
    <s v="61 TB HDD"/>
    <s v="HDD"/>
    <s v="Western Digital"/>
    <n v="10000"/>
    <n v="13000"/>
    <n v="2"/>
    <n v="20000"/>
    <n v="26000"/>
    <s v="Roshan Kumar"/>
    <n v="39000"/>
  </r>
  <r>
    <s v="141380"/>
    <s v="MH"/>
    <s v="Rohan Kale"/>
    <s v="30/03/2021"/>
    <s v="Delivered"/>
    <s v="571 GB M.2"/>
    <s v="SSD"/>
    <s v="Samsung"/>
    <n v="6500"/>
    <n v="8450"/>
    <n v="3"/>
    <n v="19500"/>
    <n v="25350"/>
    <s v="Aarvi Gupta"/>
    <n v="8450"/>
  </r>
  <r>
    <s v="141381"/>
    <s v="MH"/>
    <s v="Aniruddha Kekapure"/>
    <s v="30/03/2021"/>
    <s v="Shipped"/>
    <s v="RYZEN 3rd gen. 3559"/>
    <s v="CPU"/>
    <s v="Intel"/>
    <n v="8500"/>
    <n v="11050"/>
    <n v="2"/>
    <n v="17000"/>
    <n v="22100"/>
    <s v="Vijay Singh"/>
    <n v="33150"/>
  </r>
  <r>
    <s v="141382"/>
    <s v="MH"/>
    <s v="Aslam Raza"/>
    <s v="30/03/2021"/>
    <s v="Order"/>
    <s v="2GB Graphic Card"/>
    <s v="Graphic Card"/>
    <s v="Nvidia"/>
    <n v="7000"/>
    <n v="9100"/>
    <n v="1"/>
    <n v="7000"/>
    <n v="9100"/>
    <s v="Aadil Khan"/>
    <n v="18200"/>
  </r>
  <r>
    <s v="141383"/>
    <s v="MH"/>
    <s v="Roshan Zameer"/>
    <s v="30/03/2021"/>
    <s v="Processing"/>
    <s v="75 GB DDR4 RAM"/>
    <s v="NIC"/>
    <s v="Hynix"/>
    <n v="6550"/>
    <n v="8515"/>
    <n v="4"/>
    <n v="26200"/>
    <n v="34060"/>
    <s v="Advika Joshi"/>
    <n v="9100"/>
  </r>
  <r>
    <s v="141384"/>
    <s v="MH"/>
    <s v="Rakesh Kumar Sharma"/>
    <s v="30/03/2021"/>
    <s v="Delivered"/>
    <s v="Standard ATX motherboard"/>
    <s v="Printer"/>
    <s v="Gigabyte"/>
    <n v="7650"/>
    <n v="9945"/>
    <n v="4"/>
    <n v="30600"/>
    <n v="39780"/>
    <s v="Ajay Sharma"/>
    <n v="11700"/>
  </r>
  <r>
    <s v="141385"/>
    <s v="MH"/>
    <s v="Shivanand Sahani"/>
    <s v="30/03/2021"/>
    <s v="Shipped"/>
    <s v="Compact with 1 Fan"/>
    <s v="Cabinet"/>
    <s v="Asus"/>
    <n v="1150"/>
    <n v="1495"/>
    <n v="3"/>
    <n v="3450"/>
    <n v="4485"/>
    <s v="Roshan Kumar"/>
    <n v="2990"/>
  </r>
  <r>
    <s v="141386"/>
    <s v="MH"/>
    <s v="Kunal Patra"/>
    <s v="30/03/2021"/>
    <s v="Order"/>
    <s v="USB Backlight Keyboard"/>
    <s v="Keyboard"/>
    <s v="Dell"/>
    <n v="850"/>
    <n v="1105"/>
    <n v="2"/>
    <n v="1700"/>
    <n v="2210"/>
    <s v="Aarvi Gupta"/>
    <n v="3315"/>
  </r>
  <r>
    <s v="141387"/>
    <s v="MH"/>
    <s v="Bijendra"/>
    <s v="30/03/2021"/>
    <s v="Processing"/>
    <s v="Ergonomic Mouse"/>
    <s v="Mouse"/>
    <s v="Samsung"/>
    <n v="650"/>
    <n v="845"/>
    <n v="1"/>
    <n v="650"/>
    <n v="845"/>
    <s v="Vijay Singh"/>
    <n v="1690"/>
  </r>
  <r>
    <s v="141388"/>
    <s v="MH"/>
    <s v="Kranti Bheke"/>
    <s v="30/03/2021"/>
    <s v="Delivered"/>
    <s v="15&quot; LCD Dsipaly"/>
    <s v="Monitor"/>
    <s v="Dell"/>
    <n v="7500"/>
    <n v="9750"/>
    <n v="3"/>
    <n v="22500"/>
    <n v="29250"/>
    <s v="Aadil Khan"/>
    <n v="9750"/>
  </r>
  <r>
    <s v="141389"/>
    <s v="MH"/>
    <s v="Jagdeep"/>
    <s v="30/03/2021"/>
    <s v="Shipped"/>
    <s v="61 TB HDD"/>
    <s v="HDD"/>
    <s v="Seagate"/>
    <n v="10000"/>
    <n v="13000"/>
    <n v="2"/>
    <n v="20000"/>
    <n v="26000"/>
    <s v="Advika Joshi"/>
    <n v="39000"/>
  </r>
  <r>
    <s v="141390"/>
    <s v="MH"/>
    <s v="Adhir Samal"/>
    <s v="30/03/2021"/>
    <s v="Order"/>
    <s v="60 TB SSD"/>
    <s v="SSD"/>
    <s v="Samsung"/>
    <n v="10500"/>
    <n v="13650"/>
    <n v="2"/>
    <n v="21000"/>
    <n v="27300"/>
    <s v="Ajay Sharma"/>
    <n v="8450"/>
  </r>
  <r>
    <s v="141391"/>
    <s v="MH"/>
    <s v="Dannana Jhammi"/>
    <s v="30/03/2021"/>
    <s v="Processing"/>
    <s v="Intel i5 12th gen."/>
    <s v="CPU"/>
    <s v="Intel"/>
    <n v="8500"/>
    <n v="11050"/>
    <n v="2"/>
    <n v="17000"/>
    <n v="22100"/>
    <s v="Roshan Kumar"/>
    <n v="33150"/>
  </r>
  <r>
    <s v="141392"/>
    <s v="MH"/>
    <s v="Vipin Kumar"/>
    <s v="30/03/2021"/>
    <s v="Delivered"/>
    <s v="2GB Graphic Card"/>
    <s v="Graphic Card"/>
    <s v="Nvidia"/>
    <n v="7000"/>
    <n v="9100"/>
    <n v="1"/>
    <n v="7000"/>
    <n v="9100"/>
    <s v="Aarvi Gupta"/>
    <n v="18200"/>
  </r>
  <r>
    <s v="141393"/>
    <s v="MH"/>
    <s v="Ranjeet Kumar"/>
    <s v="30/03/2021"/>
    <s v="Shipped"/>
    <s v="63 GB DDR4 Ram"/>
    <s v="NIC"/>
    <s v="Hynix"/>
    <n v="1680"/>
    <n v="2184"/>
    <n v="2"/>
    <n v="3360"/>
    <n v="4368"/>
    <s v="Vijay Singh"/>
    <n v="9100"/>
  </r>
  <r>
    <s v="141394"/>
    <s v="MH"/>
    <s v="Sajal Singhal"/>
    <s v="30/03/2021"/>
    <s v="Order"/>
    <s v="Micro ATX motherboard"/>
    <s v="Printer"/>
    <s v="MSI"/>
    <n v="6540"/>
    <n v="8502"/>
    <n v="4"/>
    <n v="26160"/>
    <n v="34008"/>
    <s v="Aadil Khan"/>
    <n v="11700"/>
  </r>
  <r>
    <s v="141395"/>
    <s v="MH"/>
    <s v="Akhilesh Kumar"/>
    <s v="30/03/2021"/>
    <s v="Processing"/>
    <s v="Gaming Box Cabinet"/>
    <s v="Cabinet"/>
    <s v="Asus"/>
    <n v="2680"/>
    <n v="3484"/>
    <n v="1"/>
    <n v="2680"/>
    <n v="3484"/>
    <s v="Advika Joshi"/>
    <n v="2990"/>
  </r>
  <r>
    <s v="141396"/>
    <s v="MH"/>
    <s v="Suvankar Chakraborty"/>
    <s v="30/03/2021"/>
    <s v="Delivered"/>
    <s v="17&quot; LCD Display"/>
    <s v="Monitor"/>
    <s v="Samsung"/>
    <n v="8250"/>
    <n v="10725"/>
    <n v="2"/>
    <n v="16500"/>
    <n v="21450"/>
    <s v="Ajay Sharma"/>
    <n v="9750"/>
  </r>
  <r>
    <s v="141397"/>
    <s v="MH"/>
    <s v="Suvankar Adhikary"/>
    <s v="30/03/2021"/>
    <s v="Shipped"/>
    <s v="67 GB DDR4 RAM"/>
    <s v="RAM"/>
    <s v="Samsung"/>
    <n v="2650"/>
    <n v="3445"/>
    <n v="1"/>
    <n v="2650"/>
    <n v="3445"/>
    <s v="Roshan Kumar"/>
    <n v="25545"/>
  </r>
  <r>
    <s v="141398"/>
    <s v="MH"/>
    <s v="Rahul Kumar Prajapati"/>
    <s v="30/03/2021"/>
    <s v="Order"/>
    <s v="26&quot; LCD Display"/>
    <s v="Monitor"/>
    <s v="Acer"/>
    <n v="12550"/>
    <n v="16315"/>
    <n v="3"/>
    <n v="37650"/>
    <n v="48945"/>
    <s v="Aarvi Gupta"/>
    <n v="9750"/>
  </r>
  <r>
    <s v="141399"/>
    <s v="MH"/>
    <s v="Sagar Jeur"/>
    <s v="30/03/2021"/>
    <s v="Processing"/>
    <s v="I7 - intel 12th Generation"/>
    <s v="CPU"/>
    <s v="Intel"/>
    <n v="14500"/>
    <n v="18850"/>
    <n v="4"/>
    <n v="58000"/>
    <n v="75400"/>
    <s v="Vijay Singh"/>
    <n v="33150"/>
  </r>
  <r>
    <s v="141400"/>
    <s v="MH"/>
    <s v="Rhushikesh Mane"/>
    <s v="30/03/2021"/>
    <s v="Delivered"/>
    <s v="USB Keyboard"/>
    <s v="Keyboard"/>
    <s v="Dell"/>
    <n v="800"/>
    <n v="1040"/>
    <n v="1"/>
    <n v="800"/>
    <n v="1040"/>
    <s v="Aadil Khan"/>
    <n v="3315"/>
  </r>
  <r>
    <s v="141401"/>
    <s v="MH"/>
    <s v="Ashish Kumar"/>
    <s v="30/03/2021"/>
    <s v="Shipped"/>
    <s v="Wireless Mouse"/>
    <s v="Mouse"/>
    <s v="Samsung"/>
    <n v="600"/>
    <n v="780"/>
    <n v="2"/>
    <n v="1200"/>
    <n v="1560"/>
    <s v="Advika Joshi"/>
    <n v="1690"/>
  </r>
  <r>
    <s v="141402"/>
    <s v="MH"/>
    <s v="Javed Akhter"/>
    <s v="30/03/2021"/>
    <s v="Order"/>
    <s v="21&quot; LCD Display"/>
    <s v="Monitor"/>
    <s v="Dell"/>
    <n v="10500"/>
    <n v="13650"/>
    <n v="1"/>
    <n v="10500"/>
    <n v="13650"/>
    <s v="Ajay Sharma"/>
    <n v="9750"/>
  </r>
  <r>
    <s v="141403"/>
    <s v="MH"/>
    <s v="Haridas Balraj"/>
    <s v="30/03/2021"/>
    <s v="Processing"/>
    <s v="61 TB HDD"/>
    <s v="HDD"/>
    <s v="Western Digital"/>
    <n v="6500"/>
    <n v="8450"/>
    <n v="3"/>
    <n v="19500"/>
    <n v="25350"/>
    <s v="Roshan Kumar"/>
    <n v="39000"/>
  </r>
  <r>
    <s v="141404"/>
    <s v="MH"/>
    <s v="Kundan Kumar"/>
    <s v="30/03/2021"/>
    <s v="Delivered"/>
    <s v="316 GB SSD"/>
    <s v="SSD"/>
    <s v="Samsung"/>
    <n v="4500"/>
    <n v="5850"/>
    <n v="3"/>
    <n v="13500"/>
    <n v="17550"/>
    <s v="Aarvi Gupta"/>
    <n v="8450"/>
  </r>
  <r>
    <s v="141405"/>
    <s v="MH"/>
    <s v="Atif Siddiqui"/>
    <s v="30/03/2021"/>
    <s v="Shipped"/>
    <s v="Intel i3 11th gen."/>
    <s v="CPU"/>
    <s v="Intel"/>
    <n v="8500"/>
    <n v="11050"/>
    <n v="2"/>
    <n v="17000"/>
    <n v="22100"/>
    <s v="Vijay Singh"/>
    <n v="33150"/>
  </r>
  <r>
    <s v="141406"/>
    <s v="MH"/>
    <s v="Aditya Agarwal"/>
    <s v="30/03/2021"/>
    <s v="Order"/>
    <s v="4GB Graphic card"/>
    <s v="Graphic Card"/>
    <s v="Nvidia"/>
    <n v="12500"/>
    <n v="16250"/>
    <n v="1"/>
    <n v="12500"/>
    <n v="16250"/>
    <s v="Aadil Khan"/>
    <n v="18200"/>
  </r>
  <r>
    <s v="141407"/>
    <s v="MH"/>
    <s v="Firdoush Jabee"/>
    <s v="30/03/2021"/>
    <s v="Processing"/>
    <s v="68 GB DDR4 RAM"/>
    <s v="RAM"/>
    <s v="Hynix"/>
    <n v="3500"/>
    <n v="4550"/>
    <n v="1"/>
    <n v="3500"/>
    <n v="4550"/>
    <s v="Advika Joshi"/>
    <n v="25545"/>
  </r>
  <r>
    <s v="141408"/>
    <s v="MH"/>
    <s v="Jay Prakash Kumar"/>
    <s v="30/03/2021"/>
    <s v="Delivered"/>
    <s v="BTX motherboard"/>
    <s v="MotherBoard"/>
    <s v="Gigabyte"/>
    <n v="4500"/>
    <n v="5850"/>
    <n v="3"/>
    <n v="13500"/>
    <n v="17550"/>
    <s v="Ajay Sharma"/>
    <n v="39780"/>
  </r>
  <r>
    <s v="141409"/>
    <s v="MH"/>
    <s v="Ashish Pandey"/>
    <s v="30/03/2021"/>
    <s v="Shipped"/>
    <s v="63 Fans Cabinet"/>
    <s v="Cabinet"/>
    <s v="Asus"/>
    <n v="2100"/>
    <n v="2730"/>
    <n v="2"/>
    <n v="4200"/>
    <n v="5460"/>
    <s v="Roshan Kumar"/>
    <n v="2990"/>
  </r>
  <r>
    <s v="141410"/>
    <s v="MH"/>
    <s v="Ajay Sharma"/>
    <s v="30/03/2021"/>
    <s v="Order"/>
    <s v="Wireless Keyboard"/>
    <s v="Keyboard"/>
    <s v="Dell"/>
    <n v="1150"/>
    <n v="1495"/>
    <n v="3"/>
    <n v="3450"/>
    <n v="4485"/>
    <s v="Aarvi Gupta"/>
    <n v="3315"/>
  </r>
  <r>
    <s v="141411"/>
    <s v="MH"/>
    <s v="Moinuddin Saifi"/>
    <s v="30/03/2021"/>
    <s v="Processing"/>
    <s v="USB Mouse"/>
    <s v="Mouse"/>
    <s v="Samsung"/>
    <n v="350"/>
    <n v="455"/>
    <n v="4"/>
    <n v="1400"/>
    <n v="1820"/>
    <s v="Vijay Singh"/>
    <n v="1690"/>
  </r>
  <r>
    <s v="141412"/>
    <s v="MH"/>
    <s v="Ramkrishna Das Adhikary"/>
    <s v="30/03/2021"/>
    <s v="Delivered"/>
    <s v="19&quot; LED Display"/>
    <s v="Monitor"/>
    <s v="Dell"/>
    <n v="9500"/>
    <n v="12350"/>
    <n v="4"/>
    <n v="38000"/>
    <n v="49400"/>
    <s v="Aadil Khan"/>
    <n v="9750"/>
  </r>
  <r>
    <s v="141413"/>
    <s v="MH"/>
    <s v="Ranjeet Mandal"/>
    <s v="30/03/2021"/>
    <s v="Shipped"/>
    <s v="62 TB HDD"/>
    <s v="HDD"/>
    <s v="Western Digital"/>
    <n v="10000"/>
    <n v="13000"/>
    <n v="2"/>
    <n v="20000"/>
    <n v="26000"/>
    <s v="Advika Joshi"/>
    <n v="39000"/>
  </r>
  <r>
    <s v="141414"/>
    <s v="MH"/>
    <s v="Ashwini Adsare"/>
    <s v="30/03/2021"/>
    <s v="Order"/>
    <s v="572 GB M.2"/>
    <s v="SSD"/>
    <s v="Samsung"/>
    <n v="6500"/>
    <n v="8450"/>
    <n v="3"/>
    <n v="19500"/>
    <n v="25350"/>
    <s v="Ajay Sharma"/>
    <n v="8450"/>
  </r>
  <r>
    <s v="141415"/>
    <s v="MH"/>
    <s v="Rajesh Variya"/>
    <s v="30/03/2021"/>
    <s v="Processing"/>
    <s v="RYZEN 3rd gen. 3560"/>
    <s v="CPU"/>
    <s v="Intel"/>
    <n v="8500"/>
    <n v="11050"/>
    <n v="2"/>
    <n v="17000"/>
    <n v="22100"/>
    <s v="Roshan Kumar"/>
    <n v="33150"/>
  </r>
  <r>
    <s v="141416"/>
    <s v="MH"/>
    <s v="Amit Singh"/>
    <s v="30/03/2021"/>
    <s v="Delivered"/>
    <s v="2GB Graphic Card"/>
    <s v="Graphic Card"/>
    <s v="Nvidia"/>
    <n v="7000"/>
    <n v="9100"/>
    <n v="2"/>
    <n v="14000"/>
    <n v="18200"/>
    <s v="Aarvi Gupta"/>
    <n v="18200"/>
  </r>
  <r>
    <s v="141417"/>
    <s v="MH"/>
    <s v="Vinod Mehta"/>
    <s v="30/03/2021"/>
    <s v="Shipped"/>
    <s v="76 GB DDR4 RAM"/>
    <s v="RAM"/>
    <s v="Hynix"/>
    <n v="6550"/>
    <n v="8515"/>
    <n v="2"/>
    <n v="13100"/>
    <n v="17030"/>
    <s v="Vijay Singh"/>
    <n v="25545"/>
  </r>
  <r>
    <s v="141418"/>
    <s v="MH"/>
    <s v="Jignesh Mhatre"/>
    <s v="30/03/2021"/>
    <s v="Order"/>
    <s v="Standard ATX motherboard"/>
    <s v="MotherBoard"/>
    <s v="Gigabyte"/>
    <n v="7650"/>
    <n v="9945"/>
    <n v="1"/>
    <n v="7650"/>
    <n v="9945"/>
    <s v="Aadil Khan"/>
    <n v="39780"/>
  </r>
  <r>
    <s v="141419"/>
    <s v="MH"/>
    <s v="Rahul Kashyap"/>
    <s v="30/03/2021"/>
    <s v="Processing"/>
    <s v="Compact with 1 Fan"/>
    <s v="Cabinet"/>
    <s v="Asus"/>
    <n v="1150"/>
    <n v="1495"/>
    <n v="2"/>
    <n v="2300"/>
    <n v="2990"/>
    <s v="Advika Joshi"/>
    <n v="2990"/>
  </r>
  <r>
    <s v="141420"/>
    <s v="MH"/>
    <s v="Mohammed Abdul Kaleem"/>
    <s v="30/03/2021"/>
    <s v="Delivered"/>
    <s v="USB Backlight Keyboard"/>
    <s v="Keyboard"/>
    <s v="Dell"/>
    <n v="850"/>
    <n v="1105"/>
    <n v="4"/>
    <n v="3400"/>
    <n v="4420"/>
    <s v="Ajay Sharma"/>
    <n v="3315"/>
  </r>
  <r>
    <s v="141421"/>
    <s v="MH"/>
    <s v="Chandrakant Kasbe"/>
    <s v="30/03/2021"/>
    <s v="Shipped"/>
    <s v="Ergonomic Mouse"/>
    <s v="Mouse"/>
    <s v="Samsung"/>
    <n v="650"/>
    <n v="845"/>
    <n v="2"/>
    <n v="1300"/>
    <n v="1690"/>
    <s v="Roshan Kumar"/>
    <n v="1690"/>
  </r>
  <r>
    <s v="141422"/>
    <s v="MH"/>
    <s v="Rohan Kale"/>
    <s v="30/03/2021"/>
    <s v="Order"/>
    <s v="15&quot; LCD Dsipaly"/>
    <s v="Monitor"/>
    <s v="Dell"/>
    <n v="7500"/>
    <n v="9750"/>
    <n v="1"/>
    <n v="7500"/>
    <n v="9750"/>
    <s v="Aarvi Gupta"/>
    <n v="9750"/>
  </r>
  <r>
    <s v="141423"/>
    <s v="MH"/>
    <s v="Aniruddha Kekapure"/>
    <s v="30/03/2021"/>
    <s v="Processing"/>
    <s v="62 TB HDD"/>
    <s v="HDD"/>
    <s v="Seagate"/>
    <n v="10000"/>
    <n v="13000"/>
    <n v="2"/>
    <n v="20000"/>
    <n v="26000"/>
    <s v="Vijay Singh"/>
    <n v="39000"/>
  </r>
  <r>
    <s v="141424"/>
    <s v="MH"/>
    <s v="Aslam Raza"/>
    <s v="30/03/2021"/>
    <s v="Delivered"/>
    <s v="61 TB SSD"/>
    <s v="SSD"/>
    <s v="Samsung"/>
    <n v="10500"/>
    <n v="13650"/>
    <n v="1"/>
    <n v="10500"/>
    <n v="13650"/>
    <s v="Aadil Khan"/>
    <n v="8450"/>
  </r>
  <r>
    <s v="141425"/>
    <s v="MH"/>
    <s v="Roshan Zameer"/>
    <s v="30/03/2021"/>
    <s v="Shipped"/>
    <s v="Intel i5 12th gen."/>
    <s v="CPU"/>
    <s v="Intel"/>
    <n v="8500"/>
    <n v="11050"/>
    <n v="3"/>
    <n v="25500"/>
    <n v="33150"/>
    <s v="Advika Joshi"/>
    <n v="33150"/>
  </r>
  <r>
    <s v="141426"/>
    <s v="MH"/>
    <s v="Rakesh Kumar Sharma"/>
    <s v="30/03/2021"/>
    <s v="Order"/>
    <s v="2GB Graphic Card"/>
    <s v="Graphic Card"/>
    <s v="Nvidia"/>
    <n v="7000"/>
    <n v="9100"/>
    <n v="1"/>
    <n v="7000"/>
    <n v="9100"/>
    <s v="Ajay Sharma"/>
    <n v="18200"/>
  </r>
  <r>
    <s v="141427"/>
    <s v="MH"/>
    <s v="Shivanand Sahani"/>
    <s v="30/03/2021"/>
    <s v="Processing"/>
    <s v="64 GB DDR4 Ram"/>
    <s v="RAM"/>
    <s v="Hynix"/>
    <n v="1680"/>
    <n v="2184"/>
    <n v="1"/>
    <n v="1680"/>
    <n v="2184"/>
    <s v="Roshan Kumar"/>
    <n v="25545"/>
  </r>
  <r>
    <s v="141428"/>
    <s v="MH"/>
    <s v="Kunal Patra"/>
    <s v="30/03/2021"/>
    <s v="Delivered"/>
    <s v="Micro ATX motherboard"/>
    <s v="MotherBoard"/>
    <s v="MSI"/>
    <n v="6540"/>
    <n v="8502"/>
    <n v="3"/>
    <n v="19620"/>
    <n v="25506"/>
    <s v="Aarvi Gupta"/>
    <n v="39780"/>
  </r>
  <r>
    <s v="141429"/>
    <s v="MH"/>
    <s v="Bijendra"/>
    <s v="30/03/2021"/>
    <s v="Shipped"/>
    <s v="Gaming Box Cabinet"/>
    <s v="Cabinet"/>
    <s v="Asus"/>
    <n v="2680"/>
    <n v="3484"/>
    <n v="4"/>
    <n v="10720"/>
    <n v="13936"/>
    <s v="Vijay Singh"/>
    <n v="2990"/>
  </r>
  <r>
    <s v="141430"/>
    <s v="MH"/>
    <s v="Kranti Bheke"/>
    <s v="30/03/2021"/>
    <s v="Order"/>
    <s v="17&quot; LCD Display"/>
    <s v="Monitor"/>
    <s v="Samsung"/>
    <n v="8250"/>
    <n v="10725"/>
    <n v="4"/>
    <n v="33000"/>
    <n v="42900"/>
    <s v="Aadil Khan"/>
    <n v="9750"/>
  </r>
  <r>
    <s v="141431"/>
    <s v="MH"/>
    <s v="Jagdeep"/>
    <s v="30/03/2021"/>
    <s v="Processing"/>
    <s v="68 GB DDR4 RAM"/>
    <s v="RAM"/>
    <s v="Samsung"/>
    <n v="2650"/>
    <n v="3445"/>
    <n v="2"/>
    <n v="5300"/>
    <n v="6890"/>
    <s v="Advika Joshi"/>
    <n v="25545"/>
  </r>
  <r>
    <s v="141432"/>
    <s v="MH"/>
    <s v="Adhir Samal"/>
    <s v="30/03/2021"/>
    <s v="Delivered"/>
    <s v="26&quot; LCD Display"/>
    <s v="Monitor"/>
    <s v="Acer"/>
    <n v="12550"/>
    <n v="16315"/>
    <n v="3"/>
    <n v="37650"/>
    <n v="48945"/>
    <s v="Ajay Sharma"/>
    <n v="9750"/>
  </r>
  <r>
    <s v="141433"/>
    <s v="MH"/>
    <s v="Dannana Jhammi"/>
    <s v="30/03/2021"/>
    <s v="Shipped"/>
    <s v="I7 - intel 12th Generation"/>
    <s v="CPU"/>
    <s v="Intel"/>
    <n v="14500"/>
    <n v="18850"/>
    <n v="1"/>
    <n v="14500"/>
    <n v="18850"/>
    <s v="Roshan Kumar"/>
    <n v="33150"/>
  </r>
  <r>
    <s v="141434"/>
    <s v="MH"/>
    <s v="Vipin Kumar"/>
    <s v="30/03/2021"/>
    <s v="Order"/>
    <s v="USB Keyboard"/>
    <s v="Keyboard"/>
    <s v="Dell"/>
    <n v="800"/>
    <n v="1040"/>
    <n v="3"/>
    <n v="2400"/>
    <n v="3120"/>
    <s v="Aarvi Gupta"/>
    <n v="3315"/>
  </r>
  <r>
    <s v="141435"/>
    <s v="MH"/>
    <s v="Ranjeet Kumar"/>
    <s v="30/03/2021"/>
    <s v="Processing"/>
    <s v="Wireless Mouse"/>
    <s v="Mouse"/>
    <s v="Samsung"/>
    <n v="600"/>
    <n v="780"/>
    <n v="4"/>
    <n v="2400"/>
    <n v="3120"/>
    <s v="Vijay Singh"/>
    <n v="1690"/>
  </r>
  <r>
    <s v="141436"/>
    <s v="MH"/>
    <s v="Sajal Singhal"/>
    <s v="30/03/2021"/>
    <s v="Delivered"/>
    <s v="21&quot; LCD Display"/>
    <s v="Monitor"/>
    <s v="Dell"/>
    <n v="10500"/>
    <n v="13650"/>
    <n v="2"/>
    <n v="21000"/>
    <n v="27300"/>
    <s v="Aadil Khan"/>
    <n v="9750"/>
  </r>
  <r>
    <s v="141437"/>
    <s v="MH"/>
    <s v="Akhilesh Kumar"/>
    <s v="30/03/2021"/>
    <s v="Shipped"/>
    <s v="62 TB HDD"/>
    <s v="HDD"/>
    <s v="Western Digital"/>
    <n v="6500"/>
    <n v="8450"/>
    <n v="2"/>
    <n v="13000"/>
    <n v="16900"/>
    <s v="Advika Joshi"/>
    <n v="39000"/>
  </r>
  <r>
    <s v="141438"/>
    <s v="MH"/>
    <s v="Suvankar Chakraborty"/>
    <s v="30/03/2021"/>
    <s v="Order"/>
    <s v="317 GB SSD"/>
    <s v="SSD"/>
    <s v="Samsung"/>
    <n v="4500"/>
    <n v="5850"/>
    <n v="1"/>
    <n v="4500"/>
    <n v="5850"/>
    <s v="Ajay Sharma"/>
    <n v="8450"/>
  </r>
  <r>
    <s v="141439"/>
    <s v="MH"/>
    <s v="Suvankar Adhikary"/>
    <s v="30/03/2021"/>
    <s v="Processing"/>
    <s v="Intel i3 11th gen."/>
    <s v="CPU"/>
    <s v="Intel"/>
    <n v="8500"/>
    <n v="11050"/>
    <n v="4"/>
    <n v="34000"/>
    <n v="44200"/>
    <s v="Roshan Kumar"/>
    <n v="33150"/>
  </r>
  <r>
    <s v="141440"/>
    <s v="MH"/>
    <s v="Rahul Kumar Prajapati"/>
    <s v="30/03/2021"/>
    <s v="Delivered"/>
    <s v="4GB Graphic card"/>
    <s v="Graphic Card"/>
    <s v="Nvidia"/>
    <n v="12500"/>
    <n v="16250"/>
    <n v="4"/>
    <n v="50000"/>
    <n v="65000"/>
    <s v="Aarvi Gupta"/>
    <n v="18200"/>
  </r>
  <r>
    <s v="141441"/>
    <s v="MH"/>
    <s v="Sagar Jeur"/>
    <s v="30/03/2021"/>
    <s v="Shipped"/>
    <s v="69 GB DDR4 RAM"/>
    <s v="Computer Case"/>
    <s v="Hynix"/>
    <n v="3500"/>
    <n v="4550"/>
    <n v="2"/>
    <n v="7000"/>
    <n v="9100"/>
    <s v="Vijay Singh"/>
    <n v="13650"/>
  </r>
  <r>
    <s v="141442"/>
    <s v="MH"/>
    <s v="Rhushikesh Mane"/>
    <s v="30/03/2021"/>
    <s v="Order"/>
    <s v="BTX motherboard"/>
    <s v="Mouse"/>
    <s v="Gigabyte"/>
    <n v="4500"/>
    <n v="5850"/>
    <n v="3"/>
    <n v="13500"/>
    <n v="17550"/>
    <s v="Aadil Khan"/>
    <n v="1690"/>
  </r>
  <r>
    <s v="141443"/>
    <s v="MH"/>
    <s v="Ashish Kumar"/>
    <s v="30/03/2021"/>
    <s v="Processing"/>
    <s v="64 Fans Cabinet"/>
    <s v="Cabinet"/>
    <s v="Asus"/>
    <n v="2100"/>
    <n v="2730"/>
    <n v="4"/>
    <n v="8400"/>
    <n v="10920"/>
    <s v="Advika Joshi"/>
    <n v="2990"/>
  </r>
  <r>
    <s v="141444"/>
    <s v="MH"/>
    <s v="Javed Akhter"/>
    <s v="30/03/2021"/>
    <s v="Delivered"/>
    <s v="Wireless Keyboard"/>
    <s v="Keyboard"/>
    <s v="Dell"/>
    <n v="1150"/>
    <n v="1495"/>
    <n v="3"/>
    <n v="3450"/>
    <n v="4485"/>
    <s v="Ajay Sharma"/>
    <n v="3315"/>
  </r>
  <r>
    <s v="141445"/>
    <s v="MH"/>
    <s v="Haridas Balraj"/>
    <s v="30/03/2021"/>
    <s v="Shipped"/>
    <s v="USB Mouse"/>
    <s v="Mouse"/>
    <s v="Samsung"/>
    <n v="350"/>
    <n v="455"/>
    <n v="1"/>
    <n v="350"/>
    <n v="455"/>
    <s v="Roshan Kumar"/>
    <n v="1690"/>
  </r>
  <r>
    <s v="141446"/>
    <s v="MH"/>
    <s v="Kundan Kumar"/>
    <s v="30/03/2021"/>
    <s v="Order"/>
    <s v="19&quot; LED Display"/>
    <s v="Monitor"/>
    <s v="Dell"/>
    <n v="9500"/>
    <n v="12350"/>
    <n v="2"/>
    <n v="19000"/>
    <n v="24700"/>
    <s v="Aarvi Gupta"/>
    <n v="9750"/>
  </r>
  <r>
    <s v="141447"/>
    <s v="MH"/>
    <s v="Atif Siddiqui"/>
    <s v="30/03/2021"/>
    <s v="Processing"/>
    <s v="63 TB HDD"/>
    <s v="HDD"/>
    <s v="Western Digital"/>
    <n v="10000"/>
    <n v="13000"/>
    <n v="2"/>
    <n v="20000"/>
    <n v="26000"/>
    <s v="Vijay Singh"/>
    <n v="39000"/>
  </r>
  <r>
    <s v="141448"/>
    <s v="MH"/>
    <s v="Aditya Agarwal"/>
    <s v="30/03/2021"/>
    <s v="Delivered"/>
    <s v="573 GB M.2"/>
    <s v="SSD"/>
    <s v="Samsung"/>
    <n v="6500"/>
    <n v="8450"/>
    <n v="4"/>
    <n v="26000"/>
    <n v="33800"/>
    <s v="Aadil Khan"/>
    <n v="8450"/>
  </r>
  <r>
    <s v="141449"/>
    <s v="MH"/>
    <s v="Firdoush Jabee"/>
    <s v="30/03/2021"/>
    <s v="Shipped"/>
    <s v="RYZEN 3rd gen. 3561"/>
    <s v="CPU"/>
    <s v="Intel"/>
    <n v="8500"/>
    <n v="11050"/>
    <n v="3"/>
    <n v="25500"/>
    <n v="33150"/>
    <s v="Advika Joshi"/>
    <n v="33150"/>
  </r>
  <r>
    <s v="141450"/>
    <s v="MH"/>
    <s v="Jay Prakash Kumar"/>
    <s v="30/03/2021"/>
    <s v="Order"/>
    <s v="2GB Graphic Card"/>
    <s v="Graphic Card"/>
    <s v="Nvidia"/>
    <n v="7000"/>
    <n v="9100"/>
    <n v="4"/>
    <n v="28000"/>
    <n v="36400"/>
    <s v="Ajay Sharma"/>
    <n v="18200"/>
  </r>
  <r>
    <s v="141451"/>
    <s v="MH"/>
    <s v="Ashish Pandey"/>
    <s v="30/03/2021"/>
    <s v="Processing"/>
    <s v="77 GB DDR4 RAM"/>
    <s v="Computer Case"/>
    <s v="Hynix"/>
    <n v="6550"/>
    <n v="8515"/>
    <n v="2"/>
    <n v="13100"/>
    <n v="17030"/>
    <s v="Roshan Kumar"/>
    <n v="13650"/>
  </r>
  <r>
    <s v="141452"/>
    <s v="MH"/>
    <s v="Ajay Sharma"/>
    <s v="30/03/2021"/>
    <s v="Delivered"/>
    <s v="Standard ATX motherboard"/>
    <s v="Mouse"/>
    <s v="Gigabyte"/>
    <n v="7650"/>
    <n v="9945"/>
    <n v="3"/>
    <n v="22950"/>
    <n v="29835"/>
    <s v="Aarvi Gupta"/>
    <n v="1690"/>
  </r>
  <r>
    <s v="141453"/>
    <s v="MH"/>
    <s v="Moinuddin Saifi"/>
    <s v="30/03/2021"/>
    <s v="Shipped"/>
    <s v="Compact with 1 Fan"/>
    <s v="Cabinet"/>
    <s v="Asus"/>
    <n v="1150"/>
    <n v="1495"/>
    <n v="4"/>
    <n v="4600"/>
    <n v="5980"/>
    <s v="Vijay Singh"/>
    <n v="2990"/>
  </r>
  <r>
    <s v="141454"/>
    <s v="MH"/>
    <s v="Ramkrishna Das Adhikary"/>
    <s v="30/03/2021"/>
    <s v="Order"/>
    <s v="USB Backlight Keyboard"/>
    <s v="Keyboard"/>
    <s v="Dell"/>
    <n v="850"/>
    <n v="1105"/>
    <n v="2"/>
    <n v="1700"/>
    <n v="2210"/>
    <s v="Aadil Khan"/>
    <n v="3315"/>
  </r>
  <r>
    <s v="141455"/>
    <s v="MH"/>
    <s v="Ranjeet Mandal"/>
    <s v="30/03/2021"/>
    <s v="Processing"/>
    <s v="Ergonomic Mouse"/>
    <s v="Mouse"/>
    <s v="Samsung"/>
    <n v="650"/>
    <n v="845"/>
    <n v="4"/>
    <n v="2600"/>
    <n v="3380"/>
    <s v="Advika Joshi"/>
    <n v="1690"/>
  </r>
  <r>
    <s v="141456"/>
    <s v="MH"/>
    <s v="Ashwini Adsare"/>
    <s v="30/03/2021"/>
    <s v="Delivered"/>
    <s v="15&quot; LCD Dsipaly"/>
    <s v="Monitor"/>
    <s v="Dell"/>
    <n v="7500"/>
    <n v="9750"/>
    <n v="1"/>
    <n v="7500"/>
    <n v="9750"/>
    <s v="Ajay Sharma"/>
    <n v="9750"/>
  </r>
  <r>
    <s v="141457"/>
    <s v="MH"/>
    <s v="Rajesh Variya"/>
    <s v="30/03/2021"/>
    <s v="Shipped"/>
    <s v="63 TB HDD"/>
    <s v="HDD"/>
    <s v="Seagate"/>
    <n v="10000"/>
    <n v="13000"/>
    <n v="4"/>
    <n v="40000"/>
    <n v="52000"/>
    <s v="Roshan Kumar"/>
    <n v="39000"/>
  </r>
  <r>
    <s v="141458"/>
    <s v="MH"/>
    <s v="Amit Singh"/>
    <s v="30/03/2021"/>
    <s v="Order"/>
    <s v="62 TB SSD"/>
    <s v="SSD"/>
    <s v="Samsung"/>
    <n v="10500"/>
    <n v="13650"/>
    <n v="4"/>
    <n v="42000"/>
    <n v="54600"/>
    <s v="Aarvi Gupta"/>
    <n v="8450"/>
  </r>
  <r>
    <s v="141459"/>
    <s v="MH"/>
    <s v="Vinod Mehta"/>
    <s v="30/03/2021"/>
    <s v="Processing"/>
    <s v="Intel i5 12th gen."/>
    <s v="CPU"/>
    <s v="Intel"/>
    <n v="8500"/>
    <n v="11050"/>
    <n v="1"/>
    <n v="8500"/>
    <n v="11050"/>
    <s v="Vijay Singh"/>
    <n v="33150"/>
  </r>
  <r>
    <s v="141460"/>
    <s v="MH"/>
    <s v="Jignesh Mhatre"/>
    <s v="30/03/2021"/>
    <s v="Delivered"/>
    <s v="2GB Graphic Card"/>
    <s v="Graphic Card"/>
    <s v="Nvidia"/>
    <n v="7000"/>
    <n v="9100"/>
    <n v="1"/>
    <n v="7000"/>
    <n v="9100"/>
    <s v="Aadil Khan"/>
    <n v="18200"/>
  </r>
  <r>
    <s v="141461"/>
    <s v="MH"/>
    <s v="Rahul Kashyap"/>
    <s v="30/03/2021"/>
    <s v="Shipped"/>
    <s v="65 GB DDR4 Ram"/>
    <s v="Computer Case"/>
    <s v="Hynix"/>
    <n v="1680"/>
    <n v="2184"/>
    <n v="4"/>
    <n v="6720"/>
    <n v="8736"/>
    <s v="Advika Joshi"/>
    <n v="13650"/>
  </r>
  <r>
    <s v="141462"/>
    <s v="MH"/>
    <s v="Mohammed Abdul Kaleem"/>
    <s v="30/03/2021"/>
    <s v="Order"/>
    <s v="Micro ATX motherboard"/>
    <s v="Mouse"/>
    <s v="MSI"/>
    <n v="6540"/>
    <n v="8502"/>
    <n v="4"/>
    <n v="26160"/>
    <n v="34008"/>
    <s v="Ajay Sharma"/>
    <n v="1690"/>
  </r>
  <r>
    <s v="141463"/>
    <s v="MH"/>
    <s v="Chandrakant Kasbe"/>
    <s v="30/03/2021"/>
    <s v="Processing"/>
    <s v="Gaming Box Cabinet"/>
    <s v="Cabinet"/>
    <s v="Asus"/>
    <n v="2680"/>
    <n v="3484"/>
    <n v="3"/>
    <n v="8040"/>
    <n v="10452"/>
    <s v="Roshan Kumar"/>
    <n v="2990"/>
  </r>
  <r>
    <s v="141464"/>
    <s v="MH"/>
    <s v="Rohan Kale"/>
    <s v="30/03/2021"/>
    <s v="Delivered"/>
    <s v="17&quot; LCD Display"/>
    <s v="Monitor"/>
    <s v="Samsung"/>
    <n v="8250"/>
    <n v="10725"/>
    <n v="1"/>
    <n v="8250"/>
    <n v="10725"/>
    <s v="Aarvi Gupta"/>
    <n v="9750"/>
  </r>
  <r>
    <s v="141465"/>
    <s v="MH"/>
    <s v="Aniruddha Kekapure"/>
    <s v="30/03/2021"/>
    <s v="Shipped"/>
    <s v="69 GB DDR4 RAM"/>
    <s v="RAM"/>
    <s v="Samsung"/>
    <n v="2650"/>
    <n v="3445"/>
    <n v="4"/>
    <n v="10600"/>
    <n v="13780"/>
    <s v="Vijay Singh"/>
    <n v="25545"/>
  </r>
  <r>
    <s v="141466"/>
    <s v="MH"/>
    <s v="Aslam Raza"/>
    <s v="30/03/2021"/>
    <s v="Order"/>
    <s v="26&quot; LCD Display"/>
    <s v="Monitor"/>
    <s v="Acer"/>
    <n v="12550"/>
    <n v="16315"/>
    <n v="4"/>
    <n v="50200"/>
    <n v="65260"/>
    <s v="Aadil Khan"/>
    <n v="9750"/>
  </r>
  <r>
    <s v="141467"/>
    <s v="MH"/>
    <s v="Roshan Zameer"/>
    <s v="30/03/2021"/>
    <s v="Processing"/>
    <s v="I7 - intel 12th Generation"/>
    <s v="CPU"/>
    <s v="Intel"/>
    <n v="14500"/>
    <n v="18850"/>
    <n v="3"/>
    <n v="43500"/>
    <n v="56550"/>
    <s v="Advika Joshi"/>
    <n v="33150"/>
  </r>
  <r>
    <s v="141468"/>
    <s v="MH"/>
    <s v="Rakesh Kumar Sharma"/>
    <s v="30/03/2021"/>
    <s v="Delivered"/>
    <s v="USB Keyboard"/>
    <s v="Keyboard"/>
    <s v="Dell"/>
    <n v="800"/>
    <n v="1040"/>
    <n v="1"/>
    <n v="800"/>
    <n v="1040"/>
    <s v="Ajay Sharma"/>
    <n v="3315"/>
  </r>
  <r>
    <s v="141469"/>
    <s v="MH"/>
    <s v="Shivanand Sahani"/>
    <s v="30/03/2021"/>
    <s v="Shipped"/>
    <s v="Wireless Mouse"/>
    <s v="Mouse"/>
    <s v="Samsung"/>
    <n v="600"/>
    <n v="780"/>
    <n v="1"/>
    <n v="600"/>
    <n v="780"/>
    <s v="Roshan Kumar"/>
    <n v="1690"/>
  </r>
  <r>
    <s v="141470"/>
    <s v="MH"/>
    <s v="Kunal Patra"/>
    <s v="30/03/2021"/>
    <s v="Order"/>
    <s v="21&quot; LCD Display"/>
    <s v="Monitor"/>
    <s v="Dell"/>
    <n v="10500"/>
    <n v="13650"/>
    <n v="3"/>
    <n v="31500"/>
    <n v="40950"/>
    <s v="Aarvi Gupta"/>
    <n v="9750"/>
  </r>
  <r>
    <s v="141471"/>
    <s v="MH"/>
    <s v="Bijendra"/>
    <s v="30/03/2021"/>
    <s v="Processing"/>
    <s v="63 TB HDD"/>
    <s v="HDD"/>
    <s v="Western Digital"/>
    <n v="6500"/>
    <n v="8450"/>
    <n v="1"/>
    <n v="6500"/>
    <n v="8450"/>
    <s v="Vijay Singh"/>
    <n v="39000"/>
  </r>
  <r>
    <s v="141472"/>
    <s v="MH"/>
    <s v="Kranti Bheke"/>
    <s v="30/03/2021"/>
    <s v="Delivered"/>
    <s v="318 GB SSD"/>
    <s v="SSD"/>
    <s v="Samsung"/>
    <n v="4500"/>
    <n v="5850"/>
    <n v="4"/>
    <n v="18000"/>
    <n v="23400"/>
    <s v="Aadil Khan"/>
    <n v="8450"/>
  </r>
  <r>
    <s v="141473"/>
    <s v="MH"/>
    <s v="Jagdeep"/>
    <s v="30/03/2021"/>
    <s v="Shipped"/>
    <s v="Intel i3 11th gen."/>
    <s v="CPU"/>
    <s v="Intel"/>
    <n v="8500"/>
    <n v="11050"/>
    <n v="2"/>
    <n v="17000"/>
    <n v="22100"/>
    <s v="Advika Joshi"/>
    <n v="33150"/>
  </r>
  <r>
    <s v="141474"/>
    <s v="MH"/>
    <s v="Adhir Samal"/>
    <s v="30/03/2021"/>
    <s v="Order"/>
    <s v="4GB Graphic card"/>
    <s v="Graphic Card"/>
    <s v="Nvidia"/>
    <n v="12500"/>
    <n v="16250"/>
    <n v="4"/>
    <n v="50000"/>
    <n v="65000"/>
    <s v="Ajay Sharma"/>
    <n v="18200"/>
  </r>
  <r>
    <s v="141475"/>
    <s v="MH"/>
    <s v="Dannana Jhammi"/>
    <s v="30/03/2021"/>
    <s v="Processing"/>
    <s v="70 GB DDR4 RAM"/>
    <s v="NIC"/>
    <s v="Hynix"/>
    <n v="3500"/>
    <n v="4550"/>
    <n v="4"/>
    <n v="14000"/>
    <n v="18200"/>
    <s v="Roshan Kumar"/>
    <n v="9100"/>
  </r>
  <r>
    <s v="141476"/>
    <s v="MH"/>
    <s v="Vipin Kumar"/>
    <s v="30/03/2021"/>
    <s v="Delivered"/>
    <s v="BTX motherboard"/>
    <s v="Printer"/>
    <s v="Gigabyte"/>
    <n v="4500"/>
    <n v="5850"/>
    <n v="4"/>
    <n v="18000"/>
    <n v="23400"/>
    <s v="Aarvi Gupta"/>
    <n v="11700"/>
  </r>
  <r>
    <s v="141477"/>
    <s v="MH"/>
    <s v="Ranjeet Kumar"/>
    <s v="30/03/2021"/>
    <s v="Shipped"/>
    <s v="65 Fans Cabinet"/>
    <s v="Cabinet"/>
    <s v="Asus"/>
    <n v="2100"/>
    <n v="2730"/>
    <n v="4"/>
    <n v="8400"/>
    <n v="10920"/>
    <s v="Vijay Singh"/>
    <n v="2990"/>
  </r>
  <r>
    <s v="141478"/>
    <s v="MH"/>
    <s v="Sajal Singhal"/>
    <s v="30/03/2021"/>
    <s v="Order"/>
    <s v="Wireless Keyboard"/>
    <s v="Keyboard"/>
    <s v="Dell"/>
    <n v="1150"/>
    <n v="1495"/>
    <n v="2"/>
    <n v="2300"/>
    <n v="2990"/>
    <s v="Aadil Khan"/>
    <n v="3315"/>
  </r>
  <r>
    <s v="141479"/>
    <s v="MH"/>
    <s v="Akhilesh Kumar"/>
    <s v="30/03/2021"/>
    <s v="Processing"/>
    <s v="USB Mouse"/>
    <s v="Mouse"/>
    <s v="Samsung"/>
    <n v="350"/>
    <n v="455"/>
    <n v="2"/>
    <n v="700"/>
    <n v="910"/>
    <s v="Advika Joshi"/>
    <n v="1690"/>
  </r>
  <r>
    <s v="141480"/>
    <s v="MH"/>
    <s v="Suvankar Chakraborty"/>
    <s v="30/03/2021"/>
    <s v="Delivered"/>
    <s v="19&quot; LED Display"/>
    <s v="Monitor"/>
    <s v="Dell"/>
    <n v="9500"/>
    <n v="12350"/>
    <n v="2"/>
    <n v="19000"/>
    <n v="24700"/>
    <s v="Ajay Sharma"/>
    <n v="9750"/>
  </r>
  <r>
    <s v="141481"/>
    <s v="MH"/>
    <s v="Suvankar Adhikary"/>
    <s v="30/03/2021"/>
    <s v="Shipped"/>
    <s v="64 TB HDD"/>
    <s v="HDD"/>
    <s v="Western Digital"/>
    <n v="10000"/>
    <n v="13000"/>
    <n v="4"/>
    <n v="40000"/>
    <n v="52000"/>
    <s v="Roshan Kumar"/>
    <n v="39000"/>
  </r>
  <r>
    <s v="141482"/>
    <s v="MH"/>
    <s v="Rahul Kumar Prajapati"/>
    <s v="30/03/2021"/>
    <s v="Order"/>
    <s v="574 GB M.2"/>
    <s v="SSD"/>
    <s v="Samsung"/>
    <n v="6500"/>
    <n v="8450"/>
    <n v="3"/>
    <n v="19500"/>
    <n v="25350"/>
    <s v="Aarvi Gupta"/>
    <n v="8450"/>
  </r>
  <r>
    <s v="141483"/>
    <s v="MH"/>
    <s v="Sagar Jeur"/>
    <s v="30/03/2021"/>
    <s v="Processing"/>
    <s v="RYZEN 3rd gen. 3562"/>
    <s v="CPU"/>
    <s v="Intel"/>
    <n v="8500"/>
    <n v="11050"/>
    <n v="1"/>
    <n v="8500"/>
    <n v="11050"/>
    <s v="Vijay Singh"/>
    <n v="33150"/>
  </r>
  <r>
    <s v="141484"/>
    <s v="MH"/>
    <s v="Rhushikesh Mane"/>
    <s v="30/03/2021"/>
    <s v="Delivered"/>
    <s v="2GB Graphic Card"/>
    <s v="Graphic Card"/>
    <s v="Nvidia"/>
    <n v="7000"/>
    <n v="9100"/>
    <n v="1"/>
    <n v="7000"/>
    <n v="9100"/>
    <s v="Aadil Khan"/>
    <n v="18200"/>
  </r>
  <r>
    <s v="141485"/>
    <s v="MH"/>
    <s v="Ashish Kumar"/>
    <s v="30/03/2021"/>
    <s v="Shipped"/>
    <s v="78 GB DDR4 RAM"/>
    <s v="NIC"/>
    <s v="Hynix"/>
    <n v="6550"/>
    <n v="8515"/>
    <n v="2"/>
    <n v="13100"/>
    <n v="17030"/>
    <s v="Advika Joshi"/>
    <n v="9100"/>
  </r>
  <r>
    <s v="141486"/>
    <s v="MH"/>
    <s v="Javed Akhter"/>
    <s v="30/03/2021"/>
    <s v="Order"/>
    <s v="Standard ATX motherboard"/>
    <s v="Printer"/>
    <s v="Gigabyte"/>
    <n v="7650"/>
    <n v="9945"/>
    <n v="2"/>
    <n v="15300"/>
    <n v="19890"/>
    <s v="Ajay Sharma"/>
    <n v="11700"/>
  </r>
  <r>
    <s v="141487"/>
    <s v="MH"/>
    <s v="Haridas Balraj"/>
    <s v="30/03/2021"/>
    <s v="Processing"/>
    <s v="Compact with 1 Fan"/>
    <s v="Cabinet"/>
    <s v="Asus"/>
    <n v="1150"/>
    <n v="1495"/>
    <n v="4"/>
    <n v="4600"/>
    <n v="5980"/>
    <s v="Roshan Kumar"/>
    <n v="2990"/>
  </r>
  <r>
    <s v="141488"/>
    <s v="MH"/>
    <s v="Kundan Kumar"/>
    <s v="30/03/2021"/>
    <s v="Delivered"/>
    <s v="USB Backlight Keyboard"/>
    <s v="Keyboard"/>
    <s v="Dell"/>
    <n v="850"/>
    <n v="1105"/>
    <n v="2"/>
    <n v="1700"/>
    <n v="2210"/>
    <s v="Aarvi Gupta"/>
    <n v="3315"/>
  </r>
  <r>
    <s v="141489"/>
    <s v="MH"/>
    <s v="Atif Siddiqui"/>
    <s v="30/03/2021"/>
    <s v="Shipped"/>
    <s v="Ergonomic Mouse"/>
    <s v="Mouse"/>
    <s v="Samsung"/>
    <n v="650"/>
    <n v="845"/>
    <n v="2"/>
    <n v="1300"/>
    <n v="1690"/>
    <s v="Vijay Singh"/>
    <n v="1690"/>
  </r>
  <r>
    <s v="141490"/>
    <s v="MH"/>
    <s v="Aditya Agarwal"/>
    <s v="30/03/2021"/>
    <s v="Order"/>
    <s v="15&quot; LCD Dsipaly"/>
    <s v="Monitor"/>
    <s v="Dell"/>
    <n v="7500"/>
    <n v="9750"/>
    <n v="3"/>
    <n v="22500"/>
    <n v="29250"/>
    <s v="Aadil Khan"/>
    <n v="9750"/>
  </r>
  <r>
    <s v="141491"/>
    <s v="MH"/>
    <s v="Firdoush Jabee"/>
    <s v="30/03/2021"/>
    <s v="Processing"/>
    <s v="64 TB HDD"/>
    <s v="HDD"/>
    <s v="Seagate"/>
    <n v="10000"/>
    <n v="13000"/>
    <n v="4"/>
    <n v="40000"/>
    <n v="52000"/>
    <s v="Advika Joshi"/>
    <n v="39000"/>
  </r>
  <r>
    <s v="141492"/>
    <s v="MH"/>
    <s v="Jay Prakash Kumar"/>
    <s v="30/03/2021"/>
    <s v="Delivered"/>
    <s v="63 TB SSD"/>
    <s v="SSD"/>
    <s v="Samsung"/>
    <n v="10500"/>
    <n v="13650"/>
    <n v="2"/>
    <n v="21000"/>
    <n v="27300"/>
    <s v="Ajay Sharma"/>
    <n v="8450"/>
  </r>
  <r>
    <s v="141493"/>
    <s v="MH"/>
    <s v="Ashish Pandey"/>
    <s v="30/03/2021"/>
    <s v="Shipped"/>
    <s v="Intel i5 12th gen."/>
    <s v="CPU"/>
    <s v="Intel"/>
    <n v="8500"/>
    <n v="11050"/>
    <n v="4"/>
    <n v="34000"/>
    <n v="44200"/>
    <s v="Roshan Kumar"/>
    <n v="33150"/>
  </r>
  <r>
    <s v="141494"/>
    <s v="MH"/>
    <s v="Ajay Sharma"/>
    <s v="30/03/2021"/>
    <s v="Order"/>
    <s v="2GB Graphic Card"/>
    <s v="Graphic Card"/>
    <s v="Nvidia"/>
    <n v="7000"/>
    <n v="9100"/>
    <n v="4"/>
    <n v="28000"/>
    <n v="36400"/>
    <s v="Aarvi Gupta"/>
    <n v="18200"/>
  </r>
  <r>
    <s v="141495"/>
    <s v="MH"/>
    <s v="Moinuddin Saifi"/>
    <s v="30/03/2021"/>
    <s v="Processing"/>
    <s v="66 GB DDR4 Ram"/>
    <s v="NIC"/>
    <s v="Hynix"/>
    <n v="1680"/>
    <n v="2184"/>
    <n v="2"/>
    <n v="3360"/>
    <n v="4368"/>
    <s v="Vijay Singh"/>
    <n v="9100"/>
  </r>
  <r>
    <s v="141496"/>
    <s v="MH"/>
    <s v="Ramkrishna Das Adhikary"/>
    <s v="30/03/2021"/>
    <s v="Delivered"/>
    <s v="Micro ATX motherboard"/>
    <s v="Printer"/>
    <s v="MSI"/>
    <n v="6540"/>
    <n v="8502"/>
    <n v="3"/>
    <n v="19620"/>
    <n v="25506"/>
    <s v="Aadil Khan"/>
    <n v="11700"/>
  </r>
  <r>
    <s v="141497"/>
    <s v="MH"/>
    <s v="Ranjeet Mandal"/>
    <s v="30/03/2021"/>
    <s v="Shipped"/>
    <s v="Gaming Box Cabinet"/>
    <s v="Cabinet"/>
    <s v="Asus"/>
    <n v="2680"/>
    <n v="3484"/>
    <n v="2"/>
    <n v="5360"/>
    <n v="6968"/>
    <s v="Advika Joshi"/>
    <n v="2990"/>
  </r>
  <r>
    <s v="141498"/>
    <s v="MH"/>
    <s v="Ashwini Adsare"/>
    <s v="30/03/2021"/>
    <s v="Order"/>
    <s v="17&quot; LCD Display"/>
    <s v="Monitor"/>
    <s v="Samsung"/>
    <n v="8250"/>
    <n v="10725"/>
    <n v="1"/>
    <n v="8250"/>
    <n v="10725"/>
    <s v="Ajay Sharma"/>
    <n v="9750"/>
  </r>
  <r>
    <s v="141499"/>
    <s v="MH"/>
    <s v="Rajesh Variya"/>
    <s v="30/03/2021"/>
    <s v="Processing"/>
    <s v="70 GB DDR4 RAM"/>
    <s v="RAM"/>
    <s v="Samsung"/>
    <n v="2650"/>
    <n v="3445"/>
    <n v="4"/>
    <n v="10600"/>
    <n v="13780"/>
    <s v="Roshan Kumar"/>
    <n v="25545"/>
  </r>
  <r>
    <s v="141500"/>
    <s v="MH"/>
    <s v="Amit Singh"/>
    <s v="30/03/2021"/>
    <s v="Delivered"/>
    <s v="26&quot; LCD Display"/>
    <s v="Monitor"/>
    <s v="Acer"/>
    <n v="12550"/>
    <n v="16315"/>
    <n v="2"/>
    <n v="25100"/>
    <n v="32630"/>
    <s v="Aarvi Gupta"/>
    <n v="9750"/>
  </r>
  <r>
    <s v="141501"/>
    <s v="MH"/>
    <s v="Vinod Mehta"/>
    <s v="30/03/2021"/>
    <s v="Shipped"/>
    <s v="I7 - intel 12th Generation"/>
    <s v="CPU"/>
    <s v="Intel"/>
    <n v="14500"/>
    <n v="18850"/>
    <n v="4"/>
    <n v="58000"/>
    <n v="75400"/>
    <s v="Vijay Singh"/>
    <n v="33150"/>
  </r>
  <r>
    <s v="141502"/>
    <s v="MH"/>
    <s v="Jignesh Mhatre"/>
    <s v="30/03/2021"/>
    <s v="Order"/>
    <s v="USB Keyboard"/>
    <s v="Keyboard"/>
    <s v="Dell"/>
    <n v="800"/>
    <n v="1040"/>
    <n v="1"/>
    <n v="800"/>
    <n v="1040"/>
    <s v="Aadil Khan"/>
    <n v="3315"/>
  </r>
  <r>
    <s v="141503"/>
    <s v="MH"/>
    <s v="Rahul Kashyap"/>
    <s v="30/03/2021"/>
    <s v="Processing"/>
    <s v="Wireless Mouse"/>
    <s v="Mouse"/>
    <s v="Samsung"/>
    <n v="600"/>
    <n v="780"/>
    <n v="1"/>
    <n v="600"/>
    <n v="780"/>
    <s v="Advika Joshi"/>
    <n v="1690"/>
  </r>
  <r>
    <s v="141504"/>
    <s v="MH"/>
    <s v="Mohammed Abdul Kaleem"/>
    <s v="30/03/2021"/>
    <s v="Delivered"/>
    <s v="21&quot; LCD Display"/>
    <s v="Monitor"/>
    <s v="Dell"/>
    <n v="10500"/>
    <n v="13650"/>
    <n v="1"/>
    <n v="10500"/>
    <n v="13650"/>
    <s v="Ajay Sharma"/>
    <n v="9750"/>
  </r>
  <r>
    <s v="141505"/>
    <s v="MH"/>
    <s v="Chandrakant Kasbe"/>
    <s v="30/03/2021"/>
    <s v="Shipped"/>
    <s v="64 TB HDD"/>
    <s v="HDD"/>
    <s v="Western Digital"/>
    <n v="6500"/>
    <n v="8450"/>
    <n v="2"/>
    <n v="13000"/>
    <n v="16900"/>
    <s v="Roshan Kumar"/>
    <n v="39000"/>
  </r>
  <r>
    <s v="141506"/>
    <s v="MH"/>
    <s v="Rohan Kale"/>
    <s v="30/03/2021"/>
    <s v="Order"/>
    <s v="319 GB SSD"/>
    <s v="SSD"/>
    <s v="Samsung"/>
    <n v="4500"/>
    <n v="5850"/>
    <n v="2"/>
    <n v="9000"/>
    <n v="11700"/>
    <s v="Aarvi Gupta"/>
    <n v="8450"/>
  </r>
  <r>
    <s v="141507"/>
    <s v="MH"/>
    <s v="Aniruddha Kekapure"/>
    <s v="30/03/2021"/>
    <s v="Processing"/>
    <s v="Intel i3 11th gen."/>
    <s v="CPU"/>
    <s v="Intel"/>
    <n v="8500"/>
    <n v="11050"/>
    <n v="2"/>
    <n v="17000"/>
    <n v="22100"/>
    <s v="Vijay Singh"/>
    <n v="33150"/>
  </r>
  <r>
    <s v="141508"/>
    <s v="MH"/>
    <s v="Aslam Raza"/>
    <s v="30/03/2021"/>
    <s v="Delivered"/>
    <s v="4GB Graphic card"/>
    <s v="Graphic Card"/>
    <s v="Nvidia"/>
    <n v="12500"/>
    <n v="16250"/>
    <n v="3"/>
    <n v="37500"/>
    <n v="48750"/>
    <s v="Aadil Khan"/>
    <n v="18200"/>
  </r>
  <r>
    <s v="141509"/>
    <s v="MH"/>
    <s v="Roshan Zameer"/>
    <s v="30/03/2021"/>
    <s v="Shipped"/>
    <s v="71 GB DDR4 RAM"/>
    <s v="RAM"/>
    <s v="Hynix"/>
    <n v="3500"/>
    <n v="4550"/>
    <n v="1"/>
    <n v="3500"/>
    <n v="4550"/>
    <s v="Advika Joshi"/>
    <n v="25545"/>
  </r>
  <r>
    <s v="141510"/>
    <s v="MH"/>
    <s v="Rakesh Kumar Sharma"/>
    <s v="30/03/2021"/>
    <s v="Order"/>
    <s v="BTX motherboard"/>
    <s v="MotherBoard"/>
    <s v="Gigabyte"/>
    <n v="4500"/>
    <n v="5850"/>
    <n v="1"/>
    <n v="4500"/>
    <n v="5850"/>
    <s v="Ajay Sharma"/>
    <n v="39780"/>
  </r>
  <r>
    <s v="141511"/>
    <s v="MH"/>
    <s v="Shivanand Sahani"/>
    <s v="30/03/2021"/>
    <s v="Processing"/>
    <s v="66 Fans Cabinet"/>
    <s v="Cabinet"/>
    <s v="Asus"/>
    <n v="2100"/>
    <n v="2730"/>
    <n v="2"/>
    <n v="4200"/>
    <n v="5460"/>
    <s v="Roshan Kumar"/>
    <n v="2990"/>
  </r>
  <r>
    <s v="141512"/>
    <s v="MH"/>
    <s v="Kunal Patra"/>
    <s v="31/03/2021"/>
    <s v="Delivered"/>
    <s v="Wireless Keyboard"/>
    <s v="Keyboard"/>
    <s v="Dell"/>
    <n v="1150"/>
    <n v="1495"/>
    <n v="3"/>
    <n v="3450"/>
    <n v="4485"/>
    <s v="Aarvi Gupta"/>
    <n v="3315"/>
  </r>
  <r>
    <s v="141513"/>
    <s v="MH"/>
    <s v="Bijendra"/>
    <s v="31/03/2021"/>
    <s v="Shipped"/>
    <s v="USB Mouse"/>
    <s v="Mouse"/>
    <s v="Samsung"/>
    <n v="350"/>
    <n v="455"/>
    <n v="4"/>
    <n v="1400"/>
    <n v="1820"/>
    <s v="Vijay Singh"/>
    <n v="1690"/>
  </r>
  <r>
    <s v="141514"/>
    <s v="MH"/>
    <s v="Kranti Bheke"/>
    <s v="31/03/2021"/>
    <s v="Order"/>
    <s v="19&quot; LED Display"/>
    <s v="Monitor"/>
    <s v="Dell"/>
    <n v="9500"/>
    <n v="12350"/>
    <n v="3"/>
    <n v="28500"/>
    <n v="37050"/>
    <s v="Aadil Khan"/>
    <n v="9750"/>
  </r>
  <r>
    <s v="141515"/>
    <s v="MH"/>
    <s v="Jagdeep"/>
    <s v="31/03/2021"/>
    <s v="Processing"/>
    <s v="65 TB HDD"/>
    <s v="HDD"/>
    <s v="Western Digital"/>
    <n v="10000"/>
    <n v="13000"/>
    <n v="2"/>
    <n v="20000"/>
    <n v="26000"/>
    <s v="Advika Joshi"/>
    <n v="39000"/>
  </r>
  <r>
    <s v="141516"/>
    <s v="MH"/>
    <s v="Adhir Samal"/>
    <s v="31/03/2021"/>
    <s v="Delivered"/>
    <s v="575 GB M.2"/>
    <s v="SSD"/>
    <s v="Samsung"/>
    <n v="6500"/>
    <n v="8450"/>
    <n v="1"/>
    <n v="6500"/>
    <n v="8450"/>
    <s v="Ajay Sharma"/>
    <n v="8450"/>
  </r>
  <r>
    <s v="141517"/>
    <s v="MH"/>
    <s v="Dannana Jhammi"/>
    <s v="31/03/2021"/>
    <s v="Shipped"/>
    <s v="RYZEN 3rd gen. 3563"/>
    <s v="CPU"/>
    <s v="Intel"/>
    <n v="8500"/>
    <n v="11050"/>
    <n v="1"/>
    <n v="8500"/>
    <n v="11050"/>
    <s v="Roshan Kumar"/>
    <n v="33150"/>
  </r>
  <r>
    <s v="141518"/>
    <s v="MH"/>
    <s v="Vipin Kumar"/>
    <s v="31/03/2021"/>
    <s v="Order"/>
    <s v="2GB Graphic Card"/>
    <s v="Graphic Card"/>
    <s v="Nvidia"/>
    <n v="7000"/>
    <n v="9100"/>
    <n v="3"/>
    <n v="21000"/>
    <n v="27300"/>
    <s v="Aarvi Gupta"/>
    <n v="18200"/>
  </r>
  <r>
    <s v="141519"/>
    <s v="MH"/>
    <s v="Ranjeet Kumar"/>
    <s v="31/03/2021"/>
    <s v="Processing"/>
    <s v="79 GB DDR4 RAM"/>
    <s v="RAM"/>
    <s v="Hynix"/>
    <n v="6550"/>
    <n v="8515"/>
    <n v="4"/>
    <n v="26200"/>
    <n v="34060"/>
    <s v="Vijay Singh"/>
    <n v="25545"/>
  </r>
  <r>
    <s v="141520"/>
    <s v="MH"/>
    <s v="Sajal Singhal"/>
    <s v="31/03/2021"/>
    <s v="Delivered"/>
    <s v="Standard ATX motherboard"/>
    <s v="MotherBoard"/>
    <s v="Gigabyte"/>
    <n v="7650"/>
    <n v="9945"/>
    <n v="4"/>
    <n v="30600"/>
    <n v="39780"/>
    <s v="Aadil Khan"/>
    <n v="39780"/>
  </r>
  <r>
    <s v="141521"/>
    <s v="MH"/>
    <s v="Akhilesh Kumar"/>
    <s v="31/03/2021"/>
    <s v="Shipped"/>
    <s v="Compact with 1 Fan"/>
    <s v="Cabinet"/>
    <s v="Asus"/>
    <n v="1150"/>
    <n v="1495"/>
    <n v="3"/>
    <n v="3450"/>
    <n v="4485"/>
    <s v="Advika Joshi"/>
    <n v="2990"/>
  </r>
  <r>
    <s v="141522"/>
    <s v="MH"/>
    <s v="Suvankar Chakraborty"/>
    <s v="31/03/2021"/>
    <s v="Order"/>
    <s v="USB Backlight Keyboard"/>
    <s v="Keyboard"/>
    <s v="Dell"/>
    <n v="850"/>
    <n v="1105"/>
    <n v="2"/>
    <n v="1700"/>
    <n v="2210"/>
    <s v="Ajay Sharma"/>
    <n v="3315"/>
  </r>
  <r>
    <s v="141523"/>
    <s v="MH"/>
    <s v="Suvankar Adhikary"/>
    <s v="31/03/2021"/>
    <s v="Processing"/>
    <s v="Ergonomic Mouse"/>
    <s v="Mouse"/>
    <s v="Samsung"/>
    <n v="650"/>
    <n v="845"/>
    <n v="4"/>
    <n v="2600"/>
    <n v="3380"/>
    <s v="Roshan Kumar"/>
    <n v="1690"/>
  </r>
  <r>
    <s v="141524"/>
    <s v="MH"/>
    <s v="Rahul Kumar Prajapati"/>
    <s v="31/03/2021"/>
    <s v="Delivered"/>
    <s v="15&quot; LCD Dsipaly"/>
    <s v="Monitor"/>
    <s v="Dell"/>
    <n v="7500"/>
    <n v="9750"/>
    <n v="4"/>
    <n v="30000"/>
    <n v="39000"/>
    <s v="Aarvi Gupta"/>
    <n v="9750"/>
  </r>
  <r>
    <s v="141525"/>
    <s v="MH"/>
    <s v="Sagar Jeur"/>
    <s v="31/03/2021"/>
    <s v="Shipped"/>
    <s v="65 TB HDD"/>
    <s v="HDD"/>
    <s v="Seagate"/>
    <n v="10000"/>
    <n v="13000"/>
    <n v="1"/>
    <n v="10000"/>
    <n v="13000"/>
    <s v="Vijay Singh"/>
    <n v="39000"/>
  </r>
  <r>
    <s v="141526"/>
    <s v="MH"/>
    <s v="Rhushikesh Mane"/>
    <s v="31/03/2021"/>
    <s v="Order"/>
    <s v="64 TB SSD"/>
    <s v="SSD"/>
    <s v="Samsung"/>
    <n v="10500"/>
    <n v="13650"/>
    <n v="1"/>
    <n v="10500"/>
    <n v="13650"/>
    <s v="Aadil Khan"/>
    <n v="8450"/>
  </r>
  <r>
    <s v="141527"/>
    <s v="MH"/>
    <s v="Ashish Kumar"/>
    <s v="31/03/2021"/>
    <s v="Processing"/>
    <s v="Intel i5 12th gen."/>
    <s v="CPU"/>
    <s v="Intel"/>
    <n v="8500"/>
    <n v="11050"/>
    <n v="2"/>
    <n v="17000"/>
    <n v="22100"/>
    <s v="Advika Joshi"/>
    <n v="33150"/>
  </r>
  <r>
    <s v="141528"/>
    <s v="MH"/>
    <s v="Javed Akhter"/>
    <s v="31/03/2021"/>
    <s v="Delivered"/>
    <s v="2GB Graphic Card"/>
    <s v="Graphic Card"/>
    <s v="Nvidia"/>
    <n v="7000"/>
    <n v="9100"/>
    <n v="2"/>
    <n v="14000"/>
    <n v="18200"/>
    <s v="Ajay Sharma"/>
    <n v="18200"/>
  </r>
  <r>
    <s v="141529"/>
    <s v="MH"/>
    <s v="Haridas Balraj"/>
    <s v="31/03/2021"/>
    <s v="Shipped"/>
    <s v="67 GB DDR4 Ram"/>
    <s v="RAM"/>
    <s v="Hynix"/>
    <n v="1680"/>
    <n v="2184"/>
    <n v="3"/>
    <n v="5040"/>
    <n v="6552"/>
    <s v="Roshan Kumar"/>
    <n v="25545"/>
  </r>
  <r>
    <s v="141530"/>
    <s v="MH"/>
    <s v="Kundan Kumar"/>
    <s v="31/03/2021"/>
    <s v="Order"/>
    <s v="Micro ATX motherboard"/>
    <s v="MotherBoard"/>
    <s v="MSI"/>
    <n v="6540"/>
    <n v="8502"/>
    <n v="1"/>
    <n v="6540"/>
    <n v="8502"/>
    <s v="Aarvi Gupta"/>
    <n v="39780"/>
  </r>
  <r>
    <s v="141531"/>
    <s v="MH"/>
    <s v="Atif Siddiqui"/>
    <s v="31/03/2021"/>
    <s v="Processing"/>
    <s v="Gaming Box Cabinet"/>
    <s v="Cabinet"/>
    <s v="Asus"/>
    <n v="2680"/>
    <n v="3484"/>
    <n v="2"/>
    <n v="5360"/>
    <n v="6968"/>
    <s v="Vijay Singh"/>
    <n v="2990"/>
  </r>
  <r>
    <s v="141532"/>
    <s v="MH"/>
    <s v="Aditya Agarwal"/>
    <s v="31/03/2021"/>
    <s v="Delivered"/>
    <s v="17&quot; LCD Display"/>
    <s v="Monitor"/>
    <s v="Samsung"/>
    <n v="8250"/>
    <n v="10725"/>
    <n v="3"/>
    <n v="24750"/>
    <n v="32175"/>
    <s v="Aadil Khan"/>
    <n v="9750"/>
  </r>
  <r>
    <s v="141533"/>
    <s v="MH"/>
    <s v="Firdoush Jabee"/>
    <s v="31/03/2021"/>
    <s v="Shipped"/>
    <s v="71 GB DDR4 RAM"/>
    <s v="RAM"/>
    <s v="Samsung"/>
    <n v="2650"/>
    <n v="3445"/>
    <n v="3"/>
    <n v="7950"/>
    <n v="10335"/>
    <s v="Advika Joshi"/>
    <n v="25545"/>
  </r>
  <r>
    <s v="141534"/>
    <s v="MH"/>
    <s v="Jay Prakash Kumar"/>
    <s v="31/03/2021"/>
    <s v="Order"/>
    <s v="26&quot; LCD Display"/>
    <s v="Monitor"/>
    <s v="Acer"/>
    <n v="12550"/>
    <n v="16315"/>
    <n v="4"/>
    <n v="50200"/>
    <n v="65260"/>
    <s v="Ajay Sharma"/>
    <n v="9750"/>
  </r>
  <r>
    <s v="141535"/>
    <s v="MH"/>
    <s v="Ashish Pandey"/>
    <s v="31/03/2021"/>
    <s v="Processing"/>
    <s v="I7 - intel 12th Generation"/>
    <s v="CPU"/>
    <s v="Intel"/>
    <n v="14500"/>
    <n v="18850"/>
    <n v="2"/>
    <n v="29000"/>
    <n v="37700"/>
    <s v="Roshan Kumar"/>
    <n v="33150"/>
  </r>
  <r>
    <s v="141536"/>
    <s v="MH"/>
    <s v="Ajay Sharma"/>
    <s v="31/03/2021"/>
    <s v="Delivered"/>
    <s v="USB Keyboard"/>
    <s v="Keyboard"/>
    <s v="Dell"/>
    <n v="800"/>
    <n v="1040"/>
    <n v="4"/>
    <n v="3200"/>
    <n v="4160"/>
    <s v="Aarvi Gupta"/>
    <n v="3315"/>
  </r>
  <r>
    <s v="141537"/>
    <s v="MH"/>
    <s v="Moinuddin Saifi"/>
    <s v="31/03/2021"/>
    <s v="Shipped"/>
    <s v="Wireless Mouse"/>
    <s v="Mouse"/>
    <s v="Samsung"/>
    <n v="600"/>
    <n v="780"/>
    <n v="1"/>
    <n v="600"/>
    <n v="780"/>
    <s v="Vijay Singh"/>
    <n v="1690"/>
  </r>
  <r>
    <s v="141538"/>
    <s v="MH"/>
    <s v="Ramkrishna Das Adhikary"/>
    <s v="31/03/2021"/>
    <s v="Order"/>
    <s v="21&quot; LCD Display"/>
    <s v="Monitor"/>
    <s v="Dell"/>
    <n v="10500"/>
    <n v="13650"/>
    <n v="2"/>
    <n v="21000"/>
    <n v="27300"/>
    <s v="Aadil Khan"/>
    <n v="9750"/>
  </r>
  <r>
    <s v="141539"/>
    <s v="MH"/>
    <s v="Ranjeet Mandal"/>
    <s v="31/03/2021"/>
    <s v="Processing"/>
    <s v="65 TB HDD"/>
    <s v="HDD"/>
    <s v="Western Digital"/>
    <n v="6500"/>
    <n v="8450"/>
    <n v="4"/>
    <n v="26000"/>
    <n v="33800"/>
    <s v="Advika Joshi"/>
    <n v="39000"/>
  </r>
  <r>
    <s v="141540"/>
    <s v="MH"/>
    <s v="Ashwini Adsare"/>
    <s v="31/03/2021"/>
    <s v="Delivered"/>
    <s v="320 GB SSD"/>
    <s v="SSD"/>
    <s v="Samsung"/>
    <n v="4500"/>
    <n v="5850"/>
    <n v="1"/>
    <n v="4500"/>
    <n v="5850"/>
    <s v="Ajay Sharma"/>
    <n v="8450"/>
  </r>
  <r>
    <s v="141541"/>
    <s v="MH"/>
    <s v="Rajesh Variya"/>
    <s v="31/03/2021"/>
    <s v="Shipped"/>
    <s v="Intel i3 11th gen."/>
    <s v="CPU"/>
    <s v="Intel"/>
    <n v="8500"/>
    <n v="11050"/>
    <n v="1"/>
    <n v="8500"/>
    <n v="11050"/>
    <s v="Roshan Kumar"/>
    <n v="33150"/>
  </r>
  <r>
    <s v="141542"/>
    <s v="MH"/>
    <s v="Amit Singh"/>
    <s v="31/03/2021"/>
    <s v="Order"/>
    <s v="4GB Graphic card"/>
    <s v="Graphic Card"/>
    <s v="Nvidia"/>
    <n v="12500"/>
    <n v="16250"/>
    <n v="1"/>
    <n v="12500"/>
    <n v="16250"/>
    <s v="Aarvi Gupta"/>
    <n v="18200"/>
  </r>
  <r>
    <s v="141543"/>
    <s v="MH"/>
    <s v="Vinod Mehta"/>
    <s v="31/03/2021"/>
    <s v="Processing"/>
    <s v="72 GB DDR4 RAM"/>
    <s v="Computer Case"/>
    <s v="Hynix"/>
    <n v="3500"/>
    <n v="4550"/>
    <n v="4"/>
    <n v="14000"/>
    <n v="18200"/>
    <s v="Vijay Singh"/>
    <n v="13650"/>
  </r>
  <r>
    <s v="141544"/>
    <s v="MH"/>
    <s v="Jignesh Mhatre"/>
    <s v="31/03/2021"/>
    <s v="Delivered"/>
    <s v="BTX motherboard"/>
    <s v="Mouse"/>
    <s v="Gigabyte"/>
    <n v="4500"/>
    <n v="5850"/>
    <n v="1"/>
    <n v="4500"/>
    <n v="5850"/>
    <s v="Aadil Khan"/>
    <n v="1690"/>
  </r>
  <r>
    <s v="141545"/>
    <s v="MH"/>
    <s v="Rahul Kashyap"/>
    <s v="31/03/2021"/>
    <s v="Shipped"/>
    <s v="67 Fans Cabinet"/>
    <s v="Cabinet"/>
    <s v="Asus"/>
    <n v="2100"/>
    <n v="2730"/>
    <n v="4"/>
    <n v="8400"/>
    <n v="10920"/>
    <s v="Advika Joshi"/>
    <n v="2990"/>
  </r>
  <r>
    <s v="141546"/>
    <s v="TN"/>
    <s v="Mohammed Abdul Kaleem"/>
    <s v="31/03/2021"/>
    <s v="Order"/>
    <s v="Wireless Keyboard"/>
    <s v="Keyboard"/>
    <s v="Dell"/>
    <n v="1150"/>
    <n v="1495"/>
    <n v="1"/>
    <n v="1150"/>
    <n v="1495"/>
    <s v="Ajay Sharma"/>
    <n v="3315"/>
  </r>
  <r>
    <s v="141547"/>
    <s v="TR"/>
    <s v="Chandrakant Kasbe"/>
    <s v="31/03/2021"/>
    <s v="Processing"/>
    <s v="USB Mouse"/>
    <s v="Mouse"/>
    <s v="Samsung"/>
    <n v="350"/>
    <n v="455"/>
    <n v="4"/>
    <n v="1400"/>
    <n v="1820"/>
    <s v="Roshan Kumar"/>
    <n v="1690"/>
  </r>
  <r>
    <s v="141548"/>
    <s v="AN"/>
    <s v="Rohan Kale"/>
    <s v="31/03/2021"/>
    <s v="Delivered"/>
    <s v="19&quot; LED Display"/>
    <s v="Monitor"/>
    <s v="Dell"/>
    <n v="9500"/>
    <n v="12350"/>
    <n v="4"/>
    <n v="38000"/>
    <n v="49400"/>
    <s v="Aarvi Gupta"/>
    <n v="9750"/>
  </r>
  <r>
    <s v="141549"/>
    <s v="CH"/>
    <s v="Aniruddha Kekapure"/>
    <s v="31/03/2021"/>
    <s v="Shipped"/>
    <s v="66 TB HDD"/>
    <s v="HDD"/>
    <s v="Western Digital"/>
    <n v="10000"/>
    <n v="13000"/>
    <n v="3"/>
    <n v="30000"/>
    <n v="39000"/>
    <s v="Vijay Singh"/>
    <n v="39000"/>
  </r>
  <r>
    <s v="141550"/>
    <s v="DH"/>
    <s v="Aslam Raza"/>
    <s v="31/03/2021"/>
    <s v="Order"/>
    <s v="576 GB M.2"/>
    <s v="SSD"/>
    <s v="Samsung"/>
    <n v="6500"/>
    <n v="8450"/>
    <n v="3"/>
    <n v="19500"/>
    <n v="25350"/>
    <s v="Aadil Khan"/>
    <n v="8450"/>
  </r>
  <r>
    <s v="141551"/>
    <s v="DD"/>
    <s v="Roshan Zameer"/>
    <s v="31/03/2021"/>
    <s v="Processing"/>
    <s v="RYZEN 3rd gen. 3564"/>
    <s v="CPU"/>
    <s v="Intel"/>
    <n v="8500"/>
    <n v="11050"/>
    <n v="4"/>
    <n v="34000"/>
    <n v="44200"/>
    <s v="Advika Joshi"/>
    <n v="33150"/>
  </r>
  <r>
    <s v="141552"/>
    <s v="DL"/>
    <s v="Rakesh Kumar Sharma"/>
    <s v="31/03/2021"/>
    <s v="Delivered"/>
    <s v="2GB Graphic Card"/>
    <s v="Graphic Card"/>
    <s v="Nvidia"/>
    <n v="7000"/>
    <n v="9100"/>
    <n v="2"/>
    <n v="14000"/>
    <n v="18200"/>
    <s v="Ajay Sharma"/>
    <n v="18200"/>
  </r>
  <r>
    <s v="141553"/>
    <s v="LD"/>
    <s v="Shivanand Sahani"/>
    <s v="31/03/2021"/>
    <s v="Shipped"/>
    <s v="80 GB DDR4 RAM"/>
    <s v="Computer Case"/>
    <s v="Hynix"/>
    <n v="6550"/>
    <n v="8515"/>
    <n v="2"/>
    <n v="13100"/>
    <n v="17030"/>
    <s v="Roshan Kumar"/>
    <n v="13650"/>
  </r>
  <r>
    <s v="141554"/>
    <s v="PY"/>
    <s v="Kunal Patra"/>
    <s v="31/03/2021"/>
    <s v="Order"/>
    <s v="Standard ATX motherboard"/>
    <s v="Mouse"/>
    <s v="Gigabyte"/>
    <n v="7650"/>
    <n v="9945"/>
    <n v="2"/>
    <n v="15300"/>
    <n v="19890"/>
    <s v="Aarvi Gupta"/>
    <n v="1690"/>
  </r>
  <r>
    <s v="141555"/>
    <s v="AP"/>
    <s v="Bijendra"/>
    <s v="31/03/2021"/>
    <s v="Processing"/>
    <s v="Compact with 1 Fan"/>
    <s v="Cabinet"/>
    <s v="Asus"/>
    <n v="1150"/>
    <n v="1495"/>
    <n v="3"/>
    <n v="3450"/>
    <n v="4485"/>
    <s v="Vijay Singh"/>
    <n v="2990"/>
  </r>
  <r>
    <s v="141556"/>
    <s v="AR"/>
    <s v="Kranti Bheke"/>
    <s v="31/03/2021"/>
    <s v="Delivered"/>
    <s v="USB Backlight Keyboard"/>
    <s v="Keyboard"/>
    <s v="Dell"/>
    <n v="850"/>
    <n v="1105"/>
    <n v="4"/>
    <n v="3400"/>
    <n v="4420"/>
    <s v="Aadil Khan"/>
    <n v="3315"/>
  </r>
  <r>
    <s v="141557"/>
    <s v="AS"/>
    <s v="Jagdeep"/>
    <s v="31/03/2021"/>
    <s v="Shipped"/>
    <s v="Ergonomic Mouse"/>
    <s v="Mouse"/>
    <s v="Samsung"/>
    <n v="650"/>
    <n v="845"/>
    <n v="3"/>
    <n v="1950"/>
    <n v="2535"/>
    <s v="Advika Joshi"/>
    <n v="1690"/>
  </r>
  <r>
    <s v="141558"/>
    <s v="BR"/>
    <s v="Adhir Samal"/>
    <s v="31/03/2021"/>
    <s v="Order"/>
    <s v="15&quot; LCD Dsipaly"/>
    <s v="Monitor"/>
    <s v="Dell"/>
    <n v="7500"/>
    <n v="9750"/>
    <n v="4"/>
    <n v="30000"/>
    <n v="39000"/>
    <s v="Ajay Sharma"/>
    <n v="9750"/>
  </r>
  <r>
    <s v="141559"/>
    <s v="CG"/>
    <s v="Dannana Jhammi"/>
    <s v="31/03/2021"/>
    <s v="Processing"/>
    <s v="66 TB HDD"/>
    <s v="HDD"/>
    <s v="Seagate"/>
    <n v="10000"/>
    <n v="13000"/>
    <n v="2"/>
    <n v="20000"/>
    <n v="26000"/>
    <s v="Roshan Kumar"/>
    <n v="39000"/>
  </r>
  <r>
    <s v="141560"/>
    <s v="GA"/>
    <s v="Vipin Kumar"/>
    <s v="31/03/2021"/>
    <s v="Delivered"/>
    <s v="65 TB SSD"/>
    <s v="SSD"/>
    <s v="Samsung"/>
    <n v="10500"/>
    <n v="13650"/>
    <n v="2"/>
    <n v="21000"/>
    <n v="27300"/>
    <s v="Aarvi Gupta"/>
    <n v="8450"/>
  </r>
  <r>
    <s v="141561"/>
    <s v="GJ"/>
    <s v="Ranjeet Kumar"/>
    <s v="31/03/2021"/>
    <s v="Shipped"/>
    <s v="Intel i5 12th gen."/>
    <s v="CPU"/>
    <s v="Intel"/>
    <n v="8500"/>
    <n v="11050"/>
    <n v="3"/>
    <n v="25500"/>
    <n v="33150"/>
    <s v="Vijay Singh"/>
    <n v="33150"/>
  </r>
  <r>
    <s v="141562"/>
    <s v="HR"/>
    <s v="Sajal Singhal"/>
    <s v="31/03/2021"/>
    <s v="Order"/>
    <s v="2GB Graphic Card"/>
    <s v="Graphic Card"/>
    <s v="Nvidia"/>
    <n v="7000"/>
    <n v="9100"/>
    <n v="3"/>
    <n v="21000"/>
    <n v="27300"/>
    <s v="Aadil Khan"/>
    <n v="18200"/>
  </r>
  <r>
    <s v="141563"/>
    <s v="HP"/>
    <s v="Akhilesh Kumar"/>
    <s v="31/03/2021"/>
    <s v="Processing"/>
    <s v="68 GB DDR4 Ram"/>
    <s v="Computer Case"/>
    <s v="Hynix"/>
    <n v="1680"/>
    <n v="2184"/>
    <n v="4"/>
    <n v="6720"/>
    <n v="8736"/>
    <s v="Advika Joshi"/>
    <n v="13650"/>
  </r>
  <r>
    <s v="141564"/>
    <s v="JK"/>
    <s v="Suvankar Chakraborty"/>
    <s v="31/03/2021"/>
    <s v="Delivered"/>
    <s v="Micro ATX motherboard"/>
    <s v="Mouse"/>
    <s v="MSI"/>
    <n v="6540"/>
    <n v="8502"/>
    <n v="3"/>
    <n v="19620"/>
    <n v="25506"/>
    <s v="Ajay Sharma"/>
    <n v="1690"/>
  </r>
  <r>
    <s v="141565"/>
    <s v="JH"/>
    <s v="Suvankar Adhikary"/>
    <s v="31/03/2021"/>
    <s v="Shipped"/>
    <s v="Gaming Box Cabinet"/>
    <s v="Cabinet"/>
    <s v="Asus"/>
    <n v="2680"/>
    <n v="3484"/>
    <n v="1"/>
    <n v="2680"/>
    <n v="3484"/>
    <s v="Roshan Kumar"/>
    <n v="2990"/>
  </r>
  <r>
    <s v="141566"/>
    <s v="KA"/>
    <s v="Rahul Kumar Prajapati"/>
    <s v="31/03/2021"/>
    <s v="Order"/>
    <s v="17&quot; LCD Display"/>
    <s v="Monitor"/>
    <s v="Samsung"/>
    <n v="8250"/>
    <n v="10725"/>
    <n v="2"/>
    <n v="16500"/>
    <n v="21450"/>
    <s v="Aarvi Gupta"/>
    <n v="9750"/>
  </r>
  <r>
    <s v="141567"/>
    <s v="KL"/>
    <s v="Sagar Jeur"/>
    <s v="31/03/2021"/>
    <s v="Processing"/>
    <s v="72 GB DDR4 RAM"/>
    <s v="RAM"/>
    <s v="Samsung"/>
    <n v="2650"/>
    <n v="3445"/>
    <n v="4"/>
    <n v="10600"/>
    <n v="13780"/>
    <s v="Vijay Singh"/>
    <n v="25545"/>
  </r>
  <r>
    <s v="141568"/>
    <s v="MP"/>
    <s v="Rhushikesh Mane"/>
    <s v="31/03/2021"/>
    <s v="Delivered"/>
    <s v="26&quot; LCD Display"/>
    <s v="Monitor"/>
    <s v="Acer"/>
    <n v="12550"/>
    <n v="16315"/>
    <n v="2"/>
    <n v="25100"/>
    <n v="32630"/>
    <s v="Aadil Khan"/>
    <n v="9750"/>
  </r>
  <r>
    <s v="141569"/>
    <s v="MH"/>
    <s v="Ashish Kumar"/>
    <s v="31/03/2021"/>
    <s v="Shipped"/>
    <s v="I7 - intel 12th Generation"/>
    <s v="CPU"/>
    <s v="Intel"/>
    <n v="14500"/>
    <n v="18850"/>
    <n v="1"/>
    <n v="14500"/>
    <n v="18850"/>
    <s v="Advika Joshi"/>
    <n v="33150"/>
  </r>
  <r>
    <s v="141570"/>
    <s v="MN"/>
    <s v="Javed Akhter"/>
    <s v="31/03/2021"/>
    <s v="Order"/>
    <s v="USB Keyboard"/>
    <s v="Keyboard"/>
    <s v="Dell"/>
    <n v="800"/>
    <n v="1040"/>
    <n v="4"/>
    <n v="3200"/>
    <n v="4160"/>
    <s v="Ajay Sharma"/>
    <n v="3315"/>
  </r>
  <r>
    <s v="141571"/>
    <s v="ML"/>
    <s v="Haridas Balraj"/>
    <s v="31/03/2021"/>
    <s v="Processing"/>
    <s v="Wireless Mouse"/>
    <s v="Mouse"/>
    <s v="Samsung"/>
    <n v="600"/>
    <n v="780"/>
    <n v="3"/>
    <n v="1800"/>
    <n v="2340"/>
    <s v="Roshan Kumar"/>
    <n v="1690"/>
  </r>
  <r>
    <s v="141572"/>
    <s v="MZ"/>
    <s v="Kundan Kumar"/>
    <s v="31/03/2021"/>
    <s v="Delivered"/>
    <s v="21&quot; LCD Display"/>
    <s v="Monitor"/>
    <s v="Dell"/>
    <n v="10500"/>
    <n v="13650"/>
    <n v="2"/>
    <n v="21000"/>
    <n v="27300"/>
    <s v="Aarvi Gupta"/>
    <n v="9750"/>
  </r>
  <r>
    <s v="141573"/>
    <s v="NL"/>
    <s v="Atif Siddiqui"/>
    <s v="31/03/2021"/>
    <s v="Shipped"/>
    <s v="66 TB HDD"/>
    <s v="HDD"/>
    <s v="Western Digital"/>
    <n v="6500"/>
    <n v="8450"/>
    <n v="1"/>
    <n v="6500"/>
    <n v="8450"/>
    <s v="Vijay Singh"/>
    <n v="39000"/>
  </r>
  <r>
    <s v="141574"/>
    <s v="OR"/>
    <s v="Aditya Agarwal"/>
    <s v="31/03/2021"/>
    <s v="Order"/>
    <s v="321 GB SSD"/>
    <s v="SSD"/>
    <s v="Samsung"/>
    <n v="4500"/>
    <n v="5850"/>
    <n v="3"/>
    <n v="13500"/>
    <n v="17550"/>
    <s v="Aadil Khan"/>
    <n v="8450"/>
  </r>
  <r>
    <s v="141575"/>
    <s v="PB"/>
    <s v="Firdoush Jabee"/>
    <s v="31/03/2021"/>
    <s v="Processing"/>
    <s v="Intel i3 11th gen."/>
    <s v="CPU"/>
    <s v="Intel"/>
    <n v="8500"/>
    <n v="11050"/>
    <n v="1"/>
    <n v="8500"/>
    <n v="11050"/>
    <s v="Advika Joshi"/>
    <n v="33150"/>
  </r>
  <r>
    <s v="141576"/>
    <s v="RJ"/>
    <s v="Jay Prakash Kumar"/>
    <s v="01/04/2021"/>
    <s v="Delivered"/>
    <s v="4GB Graphic card"/>
    <s v="Graphic Card"/>
    <s v="Nvidia"/>
    <n v="12500"/>
    <n v="16250"/>
    <n v="1"/>
    <n v="12500"/>
    <n v="16250"/>
    <s v="Ajay Sharma"/>
    <n v="18200"/>
  </r>
  <r>
    <s v="141577"/>
    <s v="SK"/>
    <s v="Ashish Pandey"/>
    <s v="02/04/2021"/>
    <s v="Shipped"/>
    <s v="73 GB DDR4 RAM"/>
    <s v="NIC"/>
    <s v="Hynix"/>
    <n v="3500"/>
    <n v="4550"/>
    <n v="1"/>
    <n v="3500"/>
    <n v="4550"/>
    <s v="Roshan Kumar"/>
    <n v="9100"/>
  </r>
  <r>
    <s v="141578"/>
    <s v="TN"/>
    <s v="Ajay Sharma"/>
    <s v="03/04/2021"/>
    <s v="Order"/>
    <s v="BTX motherboard"/>
    <s v="Printer"/>
    <s v="Gigabyte"/>
    <n v="4500"/>
    <n v="5850"/>
    <n v="2"/>
    <n v="9000"/>
    <n v="11700"/>
    <s v="Aarvi Gupta"/>
    <n v="11700"/>
  </r>
  <r>
    <s v="141579"/>
    <s v="MH"/>
    <s v="Moinuddin Saifi"/>
    <s v="03/04/2021"/>
    <s v="Processing"/>
    <s v="68 Fans Cabinet"/>
    <s v="Cabinet"/>
    <s v="Asus"/>
    <n v="2100"/>
    <n v="2730"/>
    <n v="1"/>
    <n v="2100"/>
    <n v="2730"/>
    <s v="Vijay Singh"/>
    <n v="2990"/>
  </r>
  <r>
    <s v="141580"/>
    <s v="MH"/>
    <s v="Ramkrishna Das Adhikary"/>
    <s v="03/04/2021"/>
    <s v="Delivered"/>
    <s v="Wireless Keyboard"/>
    <s v="Keyboard"/>
    <s v="Dell"/>
    <n v="1150"/>
    <n v="1495"/>
    <n v="4"/>
    <n v="4600"/>
    <n v="5980"/>
    <s v="Aadil Khan"/>
    <n v="3315"/>
  </r>
  <r>
    <s v="141581"/>
    <s v="MH"/>
    <s v="Ranjeet Mandal"/>
    <s v="03/04/2021"/>
    <s v="Shipped"/>
    <s v="USB Mouse"/>
    <s v="Mouse"/>
    <s v="Samsung"/>
    <n v="350"/>
    <n v="455"/>
    <n v="1"/>
    <n v="350"/>
    <n v="455"/>
    <s v="Advika Joshi"/>
    <n v="1690"/>
  </r>
  <r>
    <s v="141582"/>
    <s v="MH"/>
    <s v="Ashwini Adsare"/>
    <s v="03/04/2021"/>
    <s v="Order"/>
    <s v="19&quot; LED Display"/>
    <s v="Monitor"/>
    <s v="Dell"/>
    <n v="9500"/>
    <n v="12350"/>
    <n v="4"/>
    <n v="38000"/>
    <n v="49400"/>
    <s v="Ajay Sharma"/>
    <n v="9750"/>
  </r>
  <r>
    <s v="141583"/>
    <s v="MH"/>
    <s v="Rajesh Variya"/>
    <s v="03/04/2021"/>
    <s v="Processing"/>
    <s v="67 TB HDD"/>
    <s v="HDD"/>
    <s v="Western Digital"/>
    <n v="10000"/>
    <n v="13000"/>
    <n v="4"/>
    <n v="40000"/>
    <n v="52000"/>
    <s v="Roshan Kumar"/>
    <n v="39000"/>
  </r>
  <r>
    <s v="141584"/>
    <s v="MH"/>
    <s v="Amit Singh"/>
    <s v="03/04/2021"/>
    <s v="Delivered"/>
    <s v="577 GB M.2"/>
    <s v="SSD"/>
    <s v="Samsung"/>
    <n v="6500"/>
    <n v="8450"/>
    <n v="3"/>
    <n v="19500"/>
    <n v="25350"/>
    <s v="Aarvi Gupta"/>
    <n v="8450"/>
  </r>
  <r>
    <s v="141585"/>
    <s v="MH"/>
    <s v="Vinod Mehta"/>
    <s v="03/04/2021"/>
    <s v="Shipped"/>
    <s v="RYZEN 3rd gen. 3565"/>
    <s v="CPU"/>
    <s v="Intel"/>
    <n v="8500"/>
    <n v="11050"/>
    <n v="4"/>
    <n v="34000"/>
    <n v="44200"/>
    <s v="Vijay Singh"/>
    <n v="33150"/>
  </r>
  <r>
    <s v="141586"/>
    <s v="MH"/>
    <s v="Jignesh Mhatre"/>
    <s v="03/04/2021"/>
    <s v="Order"/>
    <s v="2GB Graphic Card"/>
    <s v="Graphic Card"/>
    <s v="Nvidia"/>
    <n v="7000"/>
    <n v="9100"/>
    <n v="3"/>
    <n v="21000"/>
    <n v="27300"/>
    <s v="Aadil Khan"/>
    <n v="18200"/>
  </r>
  <r>
    <s v="141587"/>
    <s v="MH"/>
    <s v="Rahul Kashyap"/>
    <s v="03/04/2021"/>
    <s v="Processing"/>
    <s v="81 GB DDR4 RAM"/>
    <s v="NIC"/>
    <s v="Hynix"/>
    <n v="6550"/>
    <n v="8515"/>
    <n v="3"/>
    <n v="19650"/>
    <n v="25545"/>
    <s v="Advika Joshi"/>
    <n v="9100"/>
  </r>
  <r>
    <s v="141588"/>
    <s v="MH"/>
    <s v="Mohammed Abdul Kaleem"/>
    <s v="03/04/2021"/>
    <s v="Delivered"/>
    <s v="Standard ATX motherboard"/>
    <s v="Printer"/>
    <s v="Gigabyte"/>
    <n v="7650"/>
    <n v="9945"/>
    <n v="1"/>
    <n v="7650"/>
    <n v="9945"/>
    <s v="Ajay Sharma"/>
    <n v="11700"/>
  </r>
  <r>
    <s v="141589"/>
    <s v="MH"/>
    <s v="Chandrakant Kasbe"/>
    <s v="03/04/2021"/>
    <s v="Shipped"/>
    <s v="Compact with 1 Fan"/>
    <s v="Cabinet"/>
    <s v="Asus"/>
    <n v="1150"/>
    <n v="1495"/>
    <n v="2"/>
    <n v="2300"/>
    <n v="2990"/>
    <s v="Roshan Kumar"/>
    <n v="2990"/>
  </r>
  <r>
    <s v="141590"/>
    <s v="MH"/>
    <s v="Rohan Kale"/>
    <s v="03/04/2021"/>
    <s v="Order"/>
    <s v="USB Backlight Keyboard"/>
    <s v="Keyboard"/>
    <s v="Dell"/>
    <n v="850"/>
    <n v="1105"/>
    <n v="4"/>
    <n v="3400"/>
    <n v="4420"/>
    <s v="Aarvi Gupta"/>
    <n v="3315"/>
  </r>
  <r>
    <s v="141591"/>
    <s v="MH"/>
    <s v="Aniruddha Kekapure"/>
    <s v="03/04/2021"/>
    <s v="Processing"/>
    <s v="Ergonomic Mouse"/>
    <s v="Mouse"/>
    <s v="Samsung"/>
    <n v="650"/>
    <n v="845"/>
    <n v="4"/>
    <n v="2600"/>
    <n v="3380"/>
    <s v="Vijay Singh"/>
    <n v="1690"/>
  </r>
  <r>
    <s v="141592"/>
    <s v="MH"/>
    <s v="Aslam Raza"/>
    <s v="03/04/2021"/>
    <s v="Delivered"/>
    <s v="15&quot; LCD Dsipaly"/>
    <s v="Monitor"/>
    <s v="Dell"/>
    <n v="7500"/>
    <n v="9750"/>
    <n v="3"/>
    <n v="22500"/>
    <n v="29250"/>
    <s v="Aadil Khan"/>
    <n v="9750"/>
  </r>
  <r>
    <s v="141593"/>
    <s v="MH"/>
    <s v="Roshan Zameer"/>
    <s v="03/04/2021"/>
    <s v="Shipped"/>
    <s v="67 TB HDD"/>
    <s v="HDD"/>
    <s v="Seagate"/>
    <n v="10000"/>
    <n v="13000"/>
    <n v="2"/>
    <n v="20000"/>
    <n v="26000"/>
    <s v="Advika Joshi"/>
    <n v="39000"/>
  </r>
  <r>
    <s v="141594"/>
    <s v="MH"/>
    <s v="Rakesh Kumar Sharma"/>
    <s v="03/04/2021"/>
    <s v="Order"/>
    <s v="66 TB SSD"/>
    <s v="SSD"/>
    <s v="Samsung"/>
    <n v="10500"/>
    <n v="13650"/>
    <n v="4"/>
    <n v="42000"/>
    <n v="54600"/>
    <s v="Ajay Sharma"/>
    <n v="8450"/>
  </r>
  <r>
    <s v="141595"/>
    <s v="MH"/>
    <s v="Shivanand Sahani"/>
    <s v="03/04/2021"/>
    <s v="Processing"/>
    <s v="Intel i5 12th gen."/>
    <s v="CPU"/>
    <s v="Intel"/>
    <n v="8500"/>
    <n v="11050"/>
    <n v="3"/>
    <n v="25500"/>
    <n v="33150"/>
    <s v="Roshan Kumar"/>
    <n v="33150"/>
  </r>
  <r>
    <s v="141596"/>
    <s v="MH"/>
    <s v="Kunal Patra"/>
    <s v="03/04/2021"/>
    <s v="Delivered"/>
    <s v="2GB Graphic Card"/>
    <s v="Graphic Card"/>
    <s v="Nvidia"/>
    <n v="7000"/>
    <n v="9100"/>
    <n v="1"/>
    <n v="7000"/>
    <n v="9100"/>
    <s v="Aarvi Gupta"/>
    <n v="18200"/>
  </r>
  <r>
    <s v="141597"/>
    <s v="MH"/>
    <s v="Bijendra"/>
    <s v="03/04/2021"/>
    <s v="Shipped"/>
    <s v="69 GB DDR4 Ram"/>
    <s v="NIC"/>
    <s v="Hynix"/>
    <n v="1680"/>
    <n v="2184"/>
    <n v="1"/>
    <n v="1680"/>
    <n v="2184"/>
    <s v="Vijay Singh"/>
    <n v="9100"/>
  </r>
  <r>
    <s v="141598"/>
    <s v="MH"/>
    <s v="Kranti Bheke"/>
    <s v="03/04/2021"/>
    <s v="Order"/>
    <s v="Micro ATX motherboard"/>
    <s v="Printer"/>
    <s v="MSI"/>
    <n v="6540"/>
    <n v="8502"/>
    <n v="2"/>
    <n v="13080"/>
    <n v="17004"/>
    <s v="Aadil Khan"/>
    <n v="11700"/>
  </r>
  <r>
    <s v="141599"/>
    <s v="MH"/>
    <s v="Jagdeep"/>
    <s v="03/04/2021"/>
    <s v="Processing"/>
    <s v="Gaming Box Cabinet"/>
    <s v="Cabinet"/>
    <s v="Asus"/>
    <n v="2680"/>
    <n v="3484"/>
    <n v="1"/>
    <n v="2680"/>
    <n v="3484"/>
    <s v="Advika Joshi"/>
    <n v="2990"/>
  </r>
  <r>
    <s v="141600"/>
    <s v="MH"/>
    <s v="Adhir Samal"/>
    <s v="03/04/2021"/>
    <s v="Delivered"/>
    <s v="17&quot; LCD Display"/>
    <s v="Monitor"/>
    <s v="Samsung"/>
    <n v="8250"/>
    <n v="10725"/>
    <n v="3"/>
    <n v="24750"/>
    <n v="32175"/>
    <s v="Ajay Sharma"/>
    <n v="9750"/>
  </r>
  <r>
    <s v="141601"/>
    <s v="MH"/>
    <s v="Dannana Jhammi"/>
    <s v="03/04/2021"/>
    <s v="Shipped"/>
    <s v="73 GB DDR4 RAM"/>
    <s v="RAM"/>
    <s v="Samsung"/>
    <n v="2650"/>
    <n v="3445"/>
    <n v="4"/>
    <n v="10600"/>
    <n v="13780"/>
    <s v="Roshan Kumar"/>
    <n v="25545"/>
  </r>
  <r>
    <s v="141602"/>
    <s v="MH"/>
    <s v="Vipin Kumar"/>
    <s v="03/04/2021"/>
    <s v="Order"/>
    <s v="26&quot; LCD Display"/>
    <s v="Monitor"/>
    <s v="Acer"/>
    <n v="12550"/>
    <n v="16315"/>
    <n v="3"/>
    <n v="37650"/>
    <n v="48945"/>
    <s v="Aarvi Gupta"/>
    <n v="9750"/>
  </r>
  <r>
    <s v="141603"/>
    <s v="MH"/>
    <s v="Ranjeet Kumar"/>
    <s v="03/04/2021"/>
    <s v="Processing"/>
    <s v="I7 - intel 12th Generation"/>
    <s v="CPU"/>
    <s v="Intel"/>
    <n v="14500"/>
    <n v="18850"/>
    <n v="1"/>
    <n v="14500"/>
    <n v="18850"/>
    <s v="Vijay Singh"/>
    <n v="33150"/>
  </r>
  <r>
    <s v="141604"/>
    <s v="MH"/>
    <s v="Sajal Singhal"/>
    <s v="03/04/2021"/>
    <s v="Delivered"/>
    <s v="USB Keyboard"/>
    <s v="Keyboard"/>
    <s v="Dell"/>
    <n v="800"/>
    <n v="1040"/>
    <n v="4"/>
    <n v="3200"/>
    <n v="4160"/>
    <s v="Aadil Khan"/>
    <n v="3315"/>
  </r>
  <r>
    <s v="141605"/>
    <s v="MH"/>
    <s v="Akhilesh Kumar"/>
    <s v="03/04/2021"/>
    <s v="Shipped"/>
    <s v="Wireless Mouse"/>
    <s v="Mouse"/>
    <s v="Samsung"/>
    <n v="600"/>
    <n v="780"/>
    <n v="2"/>
    <n v="1200"/>
    <n v="1560"/>
    <s v="Advika Joshi"/>
    <n v="1690"/>
  </r>
  <r>
    <s v="141606"/>
    <s v="MH"/>
    <s v="Suvankar Chakraborty"/>
    <s v="03/04/2021"/>
    <s v="Order"/>
    <s v="21&quot; LCD Display"/>
    <s v="Monitor"/>
    <s v="Dell"/>
    <n v="10500"/>
    <n v="13650"/>
    <n v="4"/>
    <n v="42000"/>
    <n v="54600"/>
    <s v="Ajay Sharma"/>
    <n v="9750"/>
  </r>
  <r>
    <s v="141607"/>
    <s v="MH"/>
    <s v="Suvankar Adhikary"/>
    <s v="03/04/2021"/>
    <s v="Processing"/>
    <s v="67 TB HDD"/>
    <s v="HDD"/>
    <s v="Western Digital"/>
    <n v="6500"/>
    <n v="8450"/>
    <n v="4"/>
    <n v="26000"/>
    <n v="33800"/>
    <s v="Roshan Kumar"/>
    <n v="39000"/>
  </r>
  <r>
    <s v="141608"/>
    <s v="MH"/>
    <s v="Rahul Kumar Prajapati"/>
    <s v="03/04/2021"/>
    <s v="Delivered"/>
    <s v="322 GB SSD"/>
    <s v="SSD"/>
    <s v="Samsung"/>
    <n v="4500"/>
    <n v="5850"/>
    <n v="2"/>
    <n v="9000"/>
    <n v="11700"/>
    <s v="Aarvi Gupta"/>
    <n v="8450"/>
  </r>
  <r>
    <s v="141609"/>
    <s v="MH"/>
    <s v="Sagar Jeur"/>
    <s v="03/04/2021"/>
    <s v="Shipped"/>
    <s v="Intel i3 11th gen."/>
    <s v="CPU"/>
    <s v="Intel"/>
    <n v="8500"/>
    <n v="11050"/>
    <n v="3"/>
    <n v="25500"/>
    <n v="33150"/>
    <s v="Vijay Singh"/>
    <n v="33150"/>
  </r>
  <r>
    <s v="141610"/>
    <s v="MH"/>
    <s v="Rhushikesh Mane"/>
    <s v="03/04/2021"/>
    <s v="Order"/>
    <s v="4GB Graphic card"/>
    <s v="Graphic Card"/>
    <s v="Nvidia"/>
    <n v="12500"/>
    <n v="16250"/>
    <n v="1"/>
    <n v="12500"/>
    <n v="16250"/>
    <s v="Aadil Khan"/>
    <n v="18200"/>
  </r>
  <r>
    <s v="141611"/>
    <s v="MH"/>
    <s v="Ashish Kumar"/>
    <s v="03/04/2021"/>
    <s v="Processing"/>
    <s v="74 GB DDR4 RAM"/>
    <s v="RAM"/>
    <s v="Hynix"/>
    <n v="3500"/>
    <n v="4550"/>
    <n v="1"/>
    <n v="3500"/>
    <n v="4550"/>
    <s v="Advika Joshi"/>
    <n v="25545"/>
  </r>
  <r>
    <s v="141612"/>
    <s v="MH"/>
    <s v="Javed Akhter"/>
    <s v="03/04/2021"/>
    <s v="Delivered"/>
    <s v="BTX motherboard"/>
    <s v="MotherBoard"/>
    <s v="Gigabyte"/>
    <n v="4500"/>
    <n v="5850"/>
    <n v="3"/>
    <n v="13500"/>
    <n v="17550"/>
    <s v="Ajay Sharma"/>
    <n v="39780"/>
  </r>
  <r>
    <s v="141613"/>
    <s v="MH"/>
    <s v="Haridas Balraj"/>
    <s v="03/04/2021"/>
    <s v="Shipped"/>
    <s v="69 Fans Cabinet"/>
    <s v="Cabinet"/>
    <s v="Asus"/>
    <n v="2100"/>
    <n v="2730"/>
    <n v="3"/>
    <n v="6300"/>
    <n v="8190"/>
    <s v="Roshan Kumar"/>
    <n v="2990"/>
  </r>
  <r>
    <s v="141614"/>
    <s v="MH"/>
    <s v="Kundan Kumar"/>
    <s v="03/04/2021"/>
    <s v="Order"/>
    <s v="Wireless Keyboard"/>
    <s v="Keyboard"/>
    <s v="Dell"/>
    <n v="1150"/>
    <n v="1495"/>
    <n v="1"/>
    <n v="1150"/>
    <n v="1495"/>
    <s v="Aarvi Gupta"/>
    <n v="3315"/>
  </r>
  <r>
    <s v="141615"/>
    <s v="MH"/>
    <s v="Atif Siddiqui"/>
    <s v="03/04/2021"/>
    <s v="Processing"/>
    <s v="USB Mouse"/>
    <s v="Mouse"/>
    <s v="Samsung"/>
    <n v="350"/>
    <n v="455"/>
    <n v="2"/>
    <n v="700"/>
    <n v="910"/>
    <s v="Vijay Singh"/>
    <n v="1690"/>
  </r>
  <r>
    <s v="141616"/>
    <s v="MH"/>
    <s v="Aditya Agarwal"/>
    <s v="03/04/2021"/>
    <s v="Delivered"/>
    <s v="19&quot; LED Display"/>
    <s v="Monitor"/>
    <s v="Dell"/>
    <n v="9500"/>
    <n v="12350"/>
    <n v="1"/>
    <n v="9500"/>
    <n v="12350"/>
    <s v="Aadil Khan"/>
    <n v="9750"/>
  </r>
  <r>
    <s v="141617"/>
    <s v="MH"/>
    <s v="Firdoush Jabee"/>
    <s v="03/04/2021"/>
    <s v="Shipped"/>
    <s v="68 TB HDD"/>
    <s v="HDD"/>
    <s v="Western Digital"/>
    <n v="10000"/>
    <n v="13000"/>
    <n v="1"/>
    <n v="10000"/>
    <n v="13000"/>
    <s v="Advika Joshi"/>
    <n v="39000"/>
  </r>
  <r>
    <s v="141618"/>
    <s v="MH"/>
    <s v="Jay Prakash Kumar"/>
    <s v="03/04/2021"/>
    <s v="Order"/>
    <s v="578 GB M.2"/>
    <s v="SSD"/>
    <s v="Samsung"/>
    <n v="6500"/>
    <n v="8450"/>
    <n v="3"/>
    <n v="19500"/>
    <n v="25350"/>
    <s v="Ajay Sharma"/>
    <n v="8450"/>
  </r>
  <r>
    <s v="141619"/>
    <s v="MH"/>
    <s v="Ashish Pandey"/>
    <s v="03/04/2021"/>
    <s v="Processing"/>
    <s v="RYZEN 3rd gen. 3566"/>
    <s v="CPU"/>
    <s v="Intel"/>
    <n v="8500"/>
    <n v="11050"/>
    <n v="1"/>
    <n v="8500"/>
    <n v="11050"/>
    <s v="Roshan Kumar"/>
    <n v="33150"/>
  </r>
  <r>
    <s v="141620"/>
    <s v="MH"/>
    <s v="Ajay Sharma"/>
    <s v="03/04/2021"/>
    <s v="Delivered"/>
    <s v="2GB Graphic Card"/>
    <s v="Graphic Card"/>
    <s v="Nvidia"/>
    <n v="7000"/>
    <n v="9100"/>
    <n v="2"/>
    <n v="14000"/>
    <n v="18200"/>
    <s v="Aarvi Gupta"/>
    <n v="18200"/>
  </r>
  <r>
    <s v="141621"/>
    <s v="MH"/>
    <s v="Moinuddin Saifi"/>
    <s v="03/04/2021"/>
    <s v="Shipped"/>
    <s v="82 GB DDR4 RAM"/>
    <s v="RAM"/>
    <s v="Hynix"/>
    <n v="6550"/>
    <n v="8515"/>
    <n v="1"/>
    <n v="6550"/>
    <n v="8515"/>
    <s v="Vijay Singh"/>
    <n v="25545"/>
  </r>
  <r>
    <s v="141622"/>
    <s v="MH"/>
    <s v="Ramkrishna Das Adhikary"/>
    <s v="03/04/2021"/>
    <s v="Order"/>
    <s v="Standard ATX motherboard"/>
    <s v="MotherBoard"/>
    <s v="Gigabyte"/>
    <n v="7650"/>
    <n v="9945"/>
    <n v="2"/>
    <n v="15300"/>
    <n v="19890"/>
    <s v="Aadil Khan"/>
    <n v="39780"/>
  </r>
  <r>
    <s v="141623"/>
    <s v="MH"/>
    <s v="Ranjeet Mandal"/>
    <s v="03/04/2021"/>
    <s v="Processing"/>
    <s v="Compact with 1 Fan"/>
    <s v="Cabinet"/>
    <s v="Asus"/>
    <n v="1150"/>
    <n v="1495"/>
    <n v="1"/>
    <n v="1150"/>
    <n v="1495"/>
    <s v="Advika Joshi"/>
    <n v="2990"/>
  </r>
  <r>
    <s v="141624"/>
    <s v="MH"/>
    <s v="Ashwini Adsare"/>
    <s v="03/04/2021"/>
    <s v="Delivered"/>
    <s v="USB Backlight Keyboard"/>
    <s v="Keyboard"/>
    <s v="Dell"/>
    <n v="850"/>
    <n v="1105"/>
    <n v="1"/>
    <n v="850"/>
    <n v="1105"/>
    <s v="Ajay Sharma"/>
    <n v="3315"/>
  </r>
  <r>
    <s v="141625"/>
    <s v="MH"/>
    <s v="Rajesh Variya"/>
    <s v="03/04/2021"/>
    <s v="Shipped"/>
    <s v="Ergonomic Mouse"/>
    <s v="Mouse"/>
    <s v="Samsung"/>
    <n v="650"/>
    <n v="845"/>
    <n v="2"/>
    <n v="1300"/>
    <n v="1690"/>
    <s v="Roshan Kumar"/>
    <n v="1690"/>
  </r>
  <r>
    <s v="141626"/>
    <s v="MH"/>
    <s v="Amit Singh"/>
    <s v="03/04/2021"/>
    <s v="Order"/>
    <s v="15&quot; LCD Dsipaly"/>
    <s v="Monitor"/>
    <s v="Dell"/>
    <n v="7500"/>
    <n v="9750"/>
    <n v="1"/>
    <n v="7500"/>
    <n v="9750"/>
    <s v="Aarvi Gupta"/>
    <n v="9750"/>
  </r>
  <r>
    <s v="141627"/>
    <s v="MH"/>
    <s v="Vinod Mehta"/>
    <s v="03/04/2021"/>
    <s v="Processing"/>
    <s v="68 TB HDD"/>
    <s v="HDD"/>
    <s v="Seagate"/>
    <n v="10000"/>
    <n v="13000"/>
    <n v="1"/>
    <n v="10000"/>
    <n v="13000"/>
    <s v="Vijay Singh"/>
    <n v="39000"/>
  </r>
  <r>
    <s v="141628"/>
    <s v="MH"/>
    <s v="Jignesh Mhatre"/>
    <s v="03/04/2021"/>
    <s v="Delivered"/>
    <s v="67 TB SSD"/>
    <s v="SSD"/>
    <s v="Samsung"/>
    <n v="10500"/>
    <n v="13650"/>
    <n v="4"/>
    <n v="42000"/>
    <n v="54600"/>
    <s v="Aadil Khan"/>
    <n v="8450"/>
  </r>
  <r>
    <s v="141629"/>
    <s v="MH"/>
    <s v="Rahul Kashyap"/>
    <s v="03/04/2021"/>
    <s v="Shipped"/>
    <s v="Intel i5 12th gen."/>
    <s v="CPU"/>
    <s v="Intel"/>
    <n v="8500"/>
    <n v="11050"/>
    <n v="1"/>
    <n v="8500"/>
    <n v="11050"/>
    <s v="Advika Joshi"/>
    <n v="33150"/>
  </r>
  <r>
    <s v="141630"/>
    <s v="MH"/>
    <s v="Mohammed Abdul Kaleem"/>
    <s v="03/04/2021"/>
    <s v="Order"/>
    <s v="2GB Graphic Card"/>
    <s v="Graphic Card"/>
    <s v="Nvidia"/>
    <n v="7000"/>
    <n v="9100"/>
    <n v="1"/>
    <n v="7000"/>
    <n v="9100"/>
    <s v="Ajay Sharma"/>
    <n v="18200"/>
  </r>
  <r>
    <s v="141631"/>
    <s v="MH"/>
    <s v="Chandrakant Kasbe"/>
    <s v="03/04/2021"/>
    <s v="Processing"/>
    <s v="70 GB DDR4 Ram"/>
    <s v="RAM"/>
    <s v="Hynix"/>
    <n v="1680"/>
    <n v="2184"/>
    <n v="1"/>
    <n v="1680"/>
    <n v="2184"/>
    <s v="Roshan Kumar"/>
    <n v="25545"/>
  </r>
  <r>
    <s v="141632"/>
    <s v="MH"/>
    <s v="Rohan Kale"/>
    <s v="03/04/2021"/>
    <s v="Delivered"/>
    <s v="Micro ATX motherboard"/>
    <s v="MotherBoard"/>
    <s v="MSI"/>
    <n v="6540"/>
    <n v="8502"/>
    <n v="2"/>
    <n v="13080"/>
    <n v="17004"/>
    <s v="Aarvi Gupta"/>
    <n v="39780"/>
  </r>
  <r>
    <s v="141633"/>
    <s v="MH"/>
    <s v="Aniruddha Kekapure"/>
    <s v="03/04/2021"/>
    <s v="Shipped"/>
    <s v="Gaming Box Cabinet"/>
    <s v="Cabinet"/>
    <s v="Asus"/>
    <n v="2680"/>
    <n v="3484"/>
    <n v="4"/>
    <n v="10720"/>
    <n v="13936"/>
    <s v="Vijay Singh"/>
    <n v="2990"/>
  </r>
  <r>
    <s v="141634"/>
    <s v="MH"/>
    <s v="Aslam Raza"/>
    <s v="03/04/2021"/>
    <s v="Order"/>
    <s v="17&quot; LCD Display"/>
    <s v="Monitor"/>
    <s v="Samsung"/>
    <n v="8250"/>
    <n v="10725"/>
    <n v="1"/>
    <n v="8250"/>
    <n v="10725"/>
    <s v="Aadil Khan"/>
    <n v="9750"/>
  </r>
  <r>
    <s v="141635"/>
    <s v="MH"/>
    <s v="Roshan Zameer"/>
    <s v="03/04/2021"/>
    <s v="Processing"/>
    <s v="74 GB DDR4 RAM"/>
    <s v="RAM"/>
    <s v="Samsung"/>
    <n v="2650"/>
    <n v="3445"/>
    <n v="4"/>
    <n v="10600"/>
    <n v="13780"/>
    <s v="Advika Joshi"/>
    <n v="25545"/>
  </r>
  <r>
    <s v="141636"/>
    <s v="MH"/>
    <s v="Rakesh Kumar Sharma"/>
    <s v="03/04/2021"/>
    <s v="Delivered"/>
    <s v="26&quot; LCD Display"/>
    <s v="Monitor"/>
    <s v="Acer"/>
    <n v="12550"/>
    <n v="16315"/>
    <n v="2"/>
    <n v="25100"/>
    <n v="32630"/>
    <s v="Ajay Sharma"/>
    <n v="9750"/>
  </r>
  <r>
    <s v="141637"/>
    <s v="MH"/>
    <s v="Shivanand Sahani"/>
    <s v="03/04/2021"/>
    <s v="Shipped"/>
    <s v="I7 - intel 12th Generation"/>
    <s v="CPU"/>
    <s v="Intel"/>
    <n v="14500"/>
    <n v="18850"/>
    <n v="3"/>
    <n v="43500"/>
    <n v="56550"/>
    <s v="Ajay Sharma"/>
    <n v="33150"/>
  </r>
  <r>
    <s v="141638"/>
    <s v="MH"/>
    <s v="Kunal Patra"/>
    <s v="03/04/2021"/>
    <s v="Order"/>
    <s v="USB Keyboard"/>
    <s v="Keyboard"/>
    <s v="Dell"/>
    <n v="800"/>
    <n v="1040"/>
    <n v="3"/>
    <n v="2400"/>
    <n v="3120"/>
    <s v="Roshan Kumar"/>
    <n v="3315"/>
  </r>
  <r>
    <s v="141639"/>
    <s v="MH"/>
    <s v="Bijendra"/>
    <s v="03/04/2021"/>
    <s v="Processing"/>
    <s v="Wireless Mouse"/>
    <s v="Mouse"/>
    <s v="Samsung"/>
    <n v="600"/>
    <n v="780"/>
    <n v="2"/>
    <n v="1200"/>
    <n v="1560"/>
    <s v="Aarvi Gupta"/>
    <n v="1690"/>
  </r>
  <r>
    <s v="141640"/>
    <s v="MH"/>
    <s v="Kranti Bheke"/>
    <s v="03/04/2021"/>
    <s v="Delivered"/>
    <s v="21&quot; LCD Display"/>
    <s v="Monitor"/>
    <s v="Dell"/>
    <n v="10500"/>
    <n v="13650"/>
    <n v="4"/>
    <n v="42000"/>
    <n v="54600"/>
    <s v="Vijay Singh"/>
    <n v="9750"/>
  </r>
  <r>
    <s v="141641"/>
    <s v="MH"/>
    <s v="Jagdeep"/>
    <s v="03/04/2021"/>
    <s v="Shipped"/>
    <s v="68 TB HDD"/>
    <s v="HDD"/>
    <s v="Western Digital"/>
    <n v="6500"/>
    <n v="8450"/>
    <n v="2"/>
    <n v="13000"/>
    <n v="16900"/>
    <s v="Aadil Khan"/>
    <n v="39000"/>
  </r>
  <r>
    <s v="141642"/>
    <s v="MH"/>
    <s v="Adhir Samal"/>
    <s v="03/04/2021"/>
    <s v="Order"/>
    <s v="323 GB SSD"/>
    <s v="SSD"/>
    <s v="Samsung"/>
    <n v="4500"/>
    <n v="5850"/>
    <n v="3"/>
    <n v="13500"/>
    <n v="17550"/>
    <s v="Advika Joshi"/>
    <n v="8450"/>
  </r>
  <r>
    <s v="141643"/>
    <s v="MH"/>
    <s v="Dannana Jhammi"/>
    <s v="03/04/2021"/>
    <s v="Processing"/>
    <s v="Intel i3 11th gen."/>
    <s v="CPU"/>
    <s v="Intel"/>
    <n v="8500"/>
    <n v="11050"/>
    <n v="3"/>
    <n v="25500"/>
    <n v="33150"/>
    <s v="Ajay Sharma"/>
    <n v="33150"/>
  </r>
  <r>
    <s v="141644"/>
    <s v="MH"/>
    <s v="Vipin Kumar"/>
    <s v="03/04/2021"/>
    <s v="Delivered"/>
    <s v="4GB Graphic card"/>
    <s v="Graphic Card"/>
    <s v="Nvidia"/>
    <n v="12500"/>
    <n v="16250"/>
    <n v="4"/>
    <n v="50000"/>
    <n v="65000"/>
    <s v="Roshan Kumar"/>
    <n v="18200"/>
  </r>
  <r>
    <s v="141645"/>
    <s v="MH"/>
    <s v="Ranjeet Kumar"/>
    <s v="03/04/2021"/>
    <s v="Shipped"/>
    <s v="75 GB DDR4 RAM"/>
    <s v="Computer Case"/>
    <s v="Hynix"/>
    <n v="3500"/>
    <n v="4550"/>
    <n v="1"/>
    <n v="3500"/>
    <n v="4550"/>
    <s v="Aarvi Gupta"/>
    <n v="13650"/>
  </r>
  <r>
    <s v="141646"/>
    <s v="MH"/>
    <s v="Sajal Singhal"/>
    <s v="03/04/2021"/>
    <s v="Order"/>
    <s v="BTX motherboard"/>
    <s v="Mouse"/>
    <s v="Gigabyte"/>
    <n v="4500"/>
    <n v="5850"/>
    <n v="1"/>
    <n v="4500"/>
    <n v="5850"/>
    <s v="Vijay Singh"/>
    <n v="1690"/>
  </r>
  <r>
    <s v="141647"/>
    <s v="MH"/>
    <s v="Akhilesh Kumar"/>
    <s v="03/04/2021"/>
    <s v="Processing"/>
    <s v="70 Fans Cabinet"/>
    <s v="Cabinet"/>
    <s v="Asus"/>
    <n v="2100"/>
    <n v="2730"/>
    <n v="4"/>
    <n v="8400"/>
    <n v="10920"/>
    <s v="Aadil Khan"/>
    <n v="2990"/>
  </r>
  <r>
    <s v="141648"/>
    <s v="MH"/>
    <s v="Suvankar Chakraborty"/>
    <s v="03/04/2021"/>
    <s v="Delivered"/>
    <s v="Wireless Keyboard"/>
    <s v="Keyboard"/>
    <s v="Dell"/>
    <n v="1150"/>
    <n v="1495"/>
    <n v="1"/>
    <n v="1150"/>
    <n v="1495"/>
    <s v="Advika Joshi"/>
    <n v="3315"/>
  </r>
  <r>
    <s v="141649"/>
    <s v="MH"/>
    <s v="Suvankar Adhikary"/>
    <s v="03/04/2021"/>
    <s v="Shipped"/>
    <s v="USB Mouse"/>
    <s v="Mouse"/>
    <s v="Samsung"/>
    <n v="350"/>
    <n v="455"/>
    <n v="4"/>
    <n v="1400"/>
    <n v="1820"/>
    <s v="Ajay Sharma"/>
    <n v="1690"/>
  </r>
  <r>
    <s v="141650"/>
    <s v="MH"/>
    <s v="Rahul Kumar Prajapati"/>
    <s v="03/04/2021"/>
    <s v="Order"/>
    <s v="19&quot; LED Display"/>
    <s v="Monitor"/>
    <s v="Dell"/>
    <n v="9500"/>
    <n v="12350"/>
    <n v="1"/>
    <n v="9500"/>
    <n v="12350"/>
    <s v="Roshan Kumar"/>
    <n v="9750"/>
  </r>
  <r>
    <s v="141651"/>
    <s v="MH"/>
    <s v="Sagar Jeur"/>
    <s v="03/04/2021"/>
    <s v="Processing"/>
    <s v="69 TB HDD"/>
    <s v="HDD"/>
    <s v="Western Digital"/>
    <n v="10000"/>
    <n v="13000"/>
    <n v="3"/>
    <n v="30000"/>
    <n v="39000"/>
    <s v="Aarvi Gupta"/>
    <n v="39000"/>
  </r>
  <r>
    <s v="141652"/>
    <s v="MH"/>
    <s v="Rhushikesh Mane"/>
    <s v="03/04/2021"/>
    <s v="Delivered"/>
    <s v="579 GB M.2"/>
    <s v="SSD"/>
    <s v="Samsung"/>
    <n v="6500"/>
    <n v="8450"/>
    <n v="3"/>
    <n v="19500"/>
    <n v="25350"/>
    <s v="Vijay Singh"/>
    <n v="8450"/>
  </r>
  <r>
    <s v="141653"/>
    <s v="MH"/>
    <s v="Ashish Kumar"/>
    <s v="03/04/2021"/>
    <s v="Shipped"/>
    <s v="RYZEN 3rd gen. 3567"/>
    <s v="CPU"/>
    <s v="Intel"/>
    <n v="8500"/>
    <n v="11050"/>
    <n v="2"/>
    <n v="17000"/>
    <n v="22100"/>
    <s v="Aadil Khan"/>
    <n v="33150"/>
  </r>
  <r>
    <s v="141654"/>
    <s v="MH"/>
    <s v="Javed Akhter"/>
    <s v="03/04/2021"/>
    <s v="Order"/>
    <s v="2GB Graphic Card"/>
    <s v="Graphic Card"/>
    <s v="Nvidia"/>
    <n v="7000"/>
    <n v="9100"/>
    <n v="1"/>
    <n v="7000"/>
    <n v="9100"/>
    <s v="Advika Joshi"/>
    <n v="18200"/>
  </r>
  <r>
    <s v="141655"/>
    <s v="MH"/>
    <s v="Haridas Balraj"/>
    <s v="03/04/2021"/>
    <s v="Processing"/>
    <s v="83 GB DDR4 RAM"/>
    <s v="Computer Case"/>
    <s v="Hynix"/>
    <n v="6550"/>
    <n v="8515"/>
    <n v="3"/>
    <n v="19650"/>
    <n v="25545"/>
    <s v="Ajay Sharma"/>
    <n v="13650"/>
  </r>
  <r>
    <s v="141656"/>
    <s v="MH"/>
    <s v="Kundan Kumar"/>
    <s v="03/04/2021"/>
    <s v="Delivered"/>
    <s v="Standard ATX motherboard"/>
    <s v="Mouse"/>
    <s v="Gigabyte"/>
    <n v="7650"/>
    <n v="9945"/>
    <n v="1"/>
    <n v="7650"/>
    <n v="9945"/>
    <s v="Roshan Kumar"/>
    <n v="1690"/>
  </r>
  <r>
    <s v="141657"/>
    <s v="MH"/>
    <s v="Atif Siddiqui"/>
    <s v="03/04/2021"/>
    <s v="Shipped"/>
    <s v="Compact with 1 Fan"/>
    <s v="Cabinet"/>
    <s v="Asus"/>
    <n v="1150"/>
    <n v="1495"/>
    <n v="4"/>
    <n v="4600"/>
    <n v="5980"/>
    <s v="Aarvi Gupta"/>
    <n v="2990"/>
  </r>
  <r>
    <s v="141658"/>
    <s v="MH"/>
    <s v="Aditya Agarwal"/>
    <s v="03/04/2021"/>
    <s v="Order"/>
    <s v="USB Backlight Keyboard"/>
    <s v="Keyboard"/>
    <s v="Dell"/>
    <n v="850"/>
    <n v="1105"/>
    <n v="1"/>
    <n v="850"/>
    <n v="1105"/>
    <s v="Vijay Singh"/>
    <n v="3315"/>
  </r>
  <r>
    <s v="141659"/>
    <s v="MH"/>
    <s v="Firdoush Jabee"/>
    <s v="03/04/2021"/>
    <s v="Processing"/>
    <s v="Ergonomic Mouse"/>
    <s v="Mouse"/>
    <s v="Samsung"/>
    <n v="650"/>
    <n v="845"/>
    <n v="3"/>
    <n v="1950"/>
    <n v="2535"/>
    <s v="Aadil Khan"/>
    <n v="1690"/>
  </r>
  <r>
    <s v="141660"/>
    <s v="MH"/>
    <s v="Jay Prakash Kumar"/>
    <s v="03/04/2021"/>
    <s v="Delivered"/>
    <s v="15&quot; LCD Dsipaly"/>
    <s v="Monitor"/>
    <s v="Dell"/>
    <n v="7500"/>
    <n v="9750"/>
    <n v="2"/>
    <n v="15000"/>
    <n v="19500"/>
    <s v="Advika Joshi"/>
    <n v="9750"/>
  </r>
  <r>
    <s v="141661"/>
    <s v="MH"/>
    <s v="Ashish Pandey"/>
    <s v="03/04/2021"/>
    <s v="Shipped"/>
    <s v="69 TB HDD"/>
    <s v="HDD"/>
    <s v="Seagate"/>
    <n v="10000"/>
    <n v="13000"/>
    <n v="2"/>
    <n v="20000"/>
    <n v="26000"/>
    <s v="Ajay Sharma"/>
    <n v="39000"/>
  </r>
  <r>
    <s v="141662"/>
    <s v="MH"/>
    <s v="Ajay Sharma"/>
    <s v="03/04/2021"/>
    <s v="Order"/>
    <s v="68 TB SSD"/>
    <s v="SSD"/>
    <s v="Samsung"/>
    <n v="10500"/>
    <n v="13650"/>
    <n v="1"/>
    <n v="10500"/>
    <n v="13650"/>
    <s v="Roshan Kumar"/>
    <n v="8450"/>
  </r>
  <r>
    <s v="141663"/>
    <s v="MH"/>
    <s v="Moinuddin Saifi"/>
    <s v="03/04/2021"/>
    <s v="Processing"/>
    <s v="Intel i5 12th gen."/>
    <s v="CPU"/>
    <s v="Intel"/>
    <n v="8500"/>
    <n v="11050"/>
    <n v="2"/>
    <n v="17000"/>
    <n v="22100"/>
    <s v="Aarvi Gupta"/>
    <n v="33150"/>
  </r>
  <r>
    <s v="141664"/>
    <s v="MH"/>
    <s v="Ramkrishna Das Adhikary"/>
    <s v="03/04/2021"/>
    <s v="Delivered"/>
    <s v="2GB Graphic Card"/>
    <s v="Graphic Card"/>
    <s v="Nvidia"/>
    <n v="7000"/>
    <n v="9100"/>
    <n v="3"/>
    <n v="21000"/>
    <n v="27300"/>
    <s v="Vijay Singh"/>
    <n v="18200"/>
  </r>
  <r>
    <s v="141665"/>
    <s v="MH"/>
    <s v="Ranjeet Mandal"/>
    <s v="03/04/2021"/>
    <s v="Shipped"/>
    <s v="71 GB DDR4 Ram"/>
    <s v="Computer Case"/>
    <s v="Hynix"/>
    <n v="1680"/>
    <n v="2184"/>
    <n v="3"/>
    <n v="5040"/>
    <n v="6552"/>
    <s v="Aadil Khan"/>
    <n v="13650"/>
  </r>
  <r>
    <s v="141666"/>
    <s v="MH"/>
    <s v="Ashwini Adsare"/>
    <s v="03/04/2021"/>
    <s v="Order"/>
    <s v="Micro ATX motherboard"/>
    <s v="Mouse"/>
    <s v="MSI"/>
    <n v="6540"/>
    <n v="8502"/>
    <n v="1"/>
    <n v="6540"/>
    <n v="8502"/>
    <s v="Advika Joshi"/>
    <n v="1690"/>
  </r>
  <r>
    <s v="141667"/>
    <s v="MH"/>
    <s v="Rajesh Variya"/>
    <s v="03/04/2021"/>
    <s v="Processing"/>
    <s v="Gaming Box Cabinet"/>
    <s v="Cabinet"/>
    <s v="Asus"/>
    <n v="2680"/>
    <n v="3484"/>
    <n v="2"/>
    <n v="5360"/>
    <n v="6968"/>
    <s v="Ajay Sharma"/>
    <n v="2990"/>
  </r>
  <r>
    <s v="141668"/>
    <s v="MH"/>
    <s v="Amit Singh"/>
    <s v="03/04/2021"/>
    <s v="Delivered"/>
    <s v="17&quot; LCD Display"/>
    <s v="Monitor"/>
    <s v="Samsung"/>
    <n v="8250"/>
    <n v="10725"/>
    <n v="1"/>
    <n v="8250"/>
    <n v="10725"/>
    <s v="Roshan Kumar"/>
    <n v="9750"/>
  </r>
  <r>
    <s v="141669"/>
    <s v="MH"/>
    <s v="Vinod Mehta"/>
    <s v="03/04/2021"/>
    <s v="Shipped"/>
    <s v="75 GB DDR4 RAM"/>
    <s v="RAM"/>
    <s v="Samsung"/>
    <n v="2650"/>
    <n v="3445"/>
    <n v="3"/>
    <n v="7950"/>
    <n v="10335"/>
    <s v="Aarvi Gupta"/>
    <n v="25545"/>
  </r>
  <r>
    <s v="141670"/>
    <s v="MH"/>
    <s v="Jignesh Mhatre"/>
    <s v="03/04/2021"/>
    <s v="Order"/>
    <s v="26&quot; LCD Display"/>
    <s v="Monitor"/>
    <s v="Acer"/>
    <n v="12550"/>
    <n v="16315"/>
    <n v="4"/>
    <n v="50200"/>
    <n v="65260"/>
    <s v="Vijay Singh"/>
    <n v="9750"/>
  </r>
  <r>
    <s v="141671"/>
    <s v="MH"/>
    <s v="Rahul Kashyap"/>
    <s v="03/04/2021"/>
    <s v="Processing"/>
    <s v="I7 - intel 12th Generation"/>
    <s v="CPU"/>
    <s v="Intel"/>
    <n v="14500"/>
    <n v="18850"/>
    <n v="2"/>
    <n v="29000"/>
    <n v="37700"/>
    <s v="Aadil Khan"/>
    <n v="33150"/>
  </r>
  <r>
    <s v="141672"/>
    <s v="MH"/>
    <s v="Mohammed Abdul Kaleem"/>
    <s v="03/04/2021"/>
    <s v="Delivered"/>
    <s v="USB Keyboard"/>
    <s v="Keyboard"/>
    <s v="Dell"/>
    <n v="800"/>
    <n v="1040"/>
    <n v="4"/>
    <n v="3200"/>
    <n v="4160"/>
    <s v="Advika Joshi"/>
    <n v="3315"/>
  </r>
  <r>
    <s v="141673"/>
    <s v="MH"/>
    <s v="Chandrakant Kasbe"/>
    <s v="03/04/2021"/>
    <s v="Shipped"/>
    <s v="Wireless Mouse"/>
    <s v="Mouse"/>
    <s v="Samsung"/>
    <n v="600"/>
    <n v="780"/>
    <n v="2"/>
    <n v="1200"/>
    <n v="1560"/>
    <s v="Ajay Sharma"/>
    <n v="1690"/>
  </r>
  <r>
    <s v="141674"/>
    <s v="MH"/>
    <s v="Rohan Kale"/>
    <s v="03/04/2021"/>
    <s v="Order"/>
    <s v="21&quot; LCD Display"/>
    <s v="Monitor"/>
    <s v="Dell"/>
    <n v="10500"/>
    <n v="13650"/>
    <n v="1"/>
    <n v="10500"/>
    <n v="13650"/>
    <s v="Roshan Kumar"/>
    <n v="9750"/>
  </r>
  <r>
    <s v="141675"/>
    <s v="MH"/>
    <s v="Aniruddha Kekapure"/>
    <s v="03/04/2021"/>
    <s v="Processing"/>
    <s v="69 TB HDD"/>
    <s v="HDD"/>
    <s v="Western Digital"/>
    <n v="6500"/>
    <n v="8450"/>
    <n v="2"/>
    <n v="13000"/>
    <n v="16900"/>
    <s v="Aarvi Gupta"/>
    <n v="39000"/>
  </r>
  <r>
    <s v="141676"/>
    <s v="MH"/>
    <s v="Aslam Raza"/>
    <s v="03/04/2021"/>
    <s v="Delivered"/>
    <s v="324 GB SSD"/>
    <s v="SSD"/>
    <s v="Samsung"/>
    <n v="4500"/>
    <n v="5850"/>
    <n v="1"/>
    <n v="4500"/>
    <n v="5850"/>
    <s v="Vijay Singh"/>
    <n v="8450"/>
  </r>
  <r>
    <s v="141677"/>
    <s v="MH"/>
    <s v="Roshan Zameer"/>
    <s v="03/04/2021"/>
    <s v="Shipped"/>
    <s v="Intel i3 11th gen."/>
    <s v="CPU"/>
    <s v="Intel"/>
    <n v="8500"/>
    <n v="11050"/>
    <n v="4"/>
    <n v="34000"/>
    <n v="44200"/>
    <s v="Aadil Khan"/>
    <n v="33150"/>
  </r>
  <r>
    <s v="141678"/>
    <s v="MH"/>
    <s v="Rakesh Kumar Sharma"/>
    <s v="03/04/2021"/>
    <s v="Order"/>
    <s v="4GB Graphic card"/>
    <s v="Graphic Card"/>
    <s v="Nvidia"/>
    <n v="12500"/>
    <n v="16250"/>
    <n v="1"/>
    <n v="12500"/>
    <n v="16250"/>
    <s v="Advika Joshi"/>
    <n v="18200"/>
  </r>
  <r>
    <s v="141679"/>
    <s v="MH"/>
    <s v="Shivanand Sahani"/>
    <s v="03/04/2021"/>
    <s v="Processing"/>
    <s v="76 GB DDR4 RAM"/>
    <s v="NIC"/>
    <s v="Hynix"/>
    <n v="3500"/>
    <n v="4550"/>
    <n v="4"/>
    <n v="14000"/>
    <n v="18200"/>
    <s v="Ajay Sharma"/>
    <n v="9100"/>
  </r>
  <r>
    <s v="141680"/>
    <s v="MH"/>
    <s v="Kunal Patra"/>
    <s v="03/04/2021"/>
    <s v="Delivered"/>
    <s v="BTX motherboard"/>
    <s v="Printer"/>
    <s v="Gigabyte"/>
    <n v="4500"/>
    <n v="5850"/>
    <n v="3"/>
    <n v="13500"/>
    <n v="17550"/>
    <s v="Roshan Kumar"/>
    <n v="11700"/>
  </r>
  <r>
    <s v="141681"/>
    <s v="MH"/>
    <s v="Bijendra"/>
    <s v="03/04/2021"/>
    <s v="Shipped"/>
    <s v="71 Fans Cabinet"/>
    <s v="Cabinet"/>
    <s v="Asus"/>
    <n v="2100"/>
    <n v="2730"/>
    <n v="3"/>
    <n v="6300"/>
    <n v="8190"/>
    <s v="Aarvi Gupta"/>
    <n v="2990"/>
  </r>
  <r>
    <s v="141682"/>
    <s v="MH"/>
    <s v="Kranti Bheke"/>
    <s v="03/04/2021"/>
    <s v="Order"/>
    <s v="Wireless Keyboard"/>
    <s v="Keyboard"/>
    <s v="Dell"/>
    <n v="1150"/>
    <n v="1495"/>
    <n v="4"/>
    <n v="4600"/>
    <n v="5980"/>
    <s v="Vijay Singh"/>
    <n v="3315"/>
  </r>
  <r>
    <s v="141683"/>
    <s v="MH"/>
    <s v="Jagdeep"/>
    <s v="03/04/2021"/>
    <s v="Processing"/>
    <s v="USB Mouse"/>
    <s v="Mouse"/>
    <s v="Samsung"/>
    <n v="350"/>
    <n v="455"/>
    <n v="2"/>
    <n v="700"/>
    <n v="910"/>
    <s v="Aadil Khan"/>
    <n v="1690"/>
  </r>
  <r>
    <s v="141684"/>
    <s v="MH"/>
    <s v="Adhir Samal"/>
    <s v="03/04/2021"/>
    <s v="Delivered"/>
    <s v="19&quot; LED Display"/>
    <s v="Monitor"/>
    <s v="Dell"/>
    <n v="9500"/>
    <n v="12350"/>
    <n v="2"/>
    <n v="19000"/>
    <n v="24700"/>
    <s v="Advika Joshi"/>
    <n v="9750"/>
  </r>
  <r>
    <s v="141685"/>
    <s v="MH"/>
    <s v="Dannana Jhammi"/>
    <s v="03/04/2021"/>
    <s v="Shipped"/>
    <s v="70 TB HDD"/>
    <s v="HDD"/>
    <s v="Western Digital"/>
    <n v="10000"/>
    <n v="13000"/>
    <n v="1"/>
    <n v="10000"/>
    <n v="13000"/>
    <s v="Ajay Sharma"/>
    <n v="39000"/>
  </r>
  <r>
    <s v="141686"/>
    <s v="MH"/>
    <s v="Vipin Kumar"/>
    <s v="03/04/2021"/>
    <s v="Order"/>
    <s v="580 GB M.2"/>
    <s v="SSD"/>
    <s v="Samsung"/>
    <n v="6500"/>
    <n v="8450"/>
    <n v="1"/>
    <n v="6500"/>
    <n v="8450"/>
    <s v="Roshan Kumar"/>
    <n v="8450"/>
  </r>
  <r>
    <s v="141687"/>
    <s v="MH"/>
    <s v="Ranjeet Kumar"/>
    <s v="03/04/2021"/>
    <s v="Processing"/>
    <s v="RYZEN 3rd gen. 3568"/>
    <s v="CPU"/>
    <s v="Intel"/>
    <n v="8500"/>
    <n v="11050"/>
    <n v="2"/>
    <n v="17000"/>
    <n v="22100"/>
    <s v="Aarvi Gupta"/>
    <n v="33150"/>
  </r>
  <r>
    <s v="141688"/>
    <s v="MH"/>
    <s v="Sajal Singhal"/>
    <s v="03/04/2021"/>
    <s v="Delivered"/>
    <s v="2GB Graphic Card"/>
    <s v="Graphic Card"/>
    <s v="Nvidia"/>
    <n v="7000"/>
    <n v="9100"/>
    <n v="4"/>
    <n v="28000"/>
    <n v="36400"/>
    <s v="Vijay Singh"/>
    <n v="18200"/>
  </r>
  <r>
    <s v="141689"/>
    <s v="MH"/>
    <s v="Akhilesh Kumar"/>
    <s v="03/04/2021"/>
    <s v="Shipped"/>
    <s v="84 GB DDR4 RAM"/>
    <s v="NIC"/>
    <s v="Hynix"/>
    <n v="6550"/>
    <n v="8515"/>
    <n v="3"/>
    <n v="19650"/>
    <n v="25545"/>
    <s v="Aadil Khan"/>
    <n v="9100"/>
  </r>
  <r>
    <s v="141690"/>
    <s v="MH"/>
    <s v="Suvankar Chakraborty"/>
    <s v="03/04/2021"/>
    <s v="Order"/>
    <s v="Standard ATX motherboard"/>
    <s v="Printer"/>
    <s v="Gigabyte"/>
    <n v="7650"/>
    <n v="9945"/>
    <n v="3"/>
    <n v="22950"/>
    <n v="29835"/>
    <s v="Advika Joshi"/>
    <n v="11700"/>
  </r>
  <r>
    <s v="141691"/>
    <s v="MH"/>
    <s v="Suvankar Adhikary"/>
    <s v="03/04/2021"/>
    <s v="Processing"/>
    <s v="Compact with 1 Fan"/>
    <s v="Cabinet"/>
    <s v="Asus"/>
    <n v="1150"/>
    <n v="1495"/>
    <n v="4"/>
    <n v="4600"/>
    <n v="5980"/>
    <s v="Ajay Sharma"/>
    <n v="2990"/>
  </r>
  <r>
    <s v="141692"/>
    <s v="MH"/>
    <s v="Rahul Kumar Prajapati"/>
    <s v="03/04/2021"/>
    <s v="Delivered"/>
    <s v="USB Backlight Keyboard"/>
    <s v="Keyboard"/>
    <s v="Dell"/>
    <n v="850"/>
    <n v="1105"/>
    <n v="1"/>
    <n v="850"/>
    <n v="1105"/>
    <s v="Roshan Kumar"/>
    <n v="3315"/>
  </r>
  <r>
    <s v="141693"/>
    <s v="MH"/>
    <s v="Sagar Jeur"/>
    <s v="03/04/2021"/>
    <s v="Shipped"/>
    <s v="Ergonomic Mouse"/>
    <s v="Mouse"/>
    <s v="Samsung"/>
    <n v="650"/>
    <n v="845"/>
    <n v="1"/>
    <n v="650"/>
    <n v="845"/>
    <s v="Aarvi Gupta"/>
    <n v="1690"/>
  </r>
  <r>
    <s v="141694"/>
    <s v="MH"/>
    <s v="Rhushikesh Mane"/>
    <s v="03/04/2021"/>
    <s v="Order"/>
    <s v="15&quot; LCD Dsipaly"/>
    <s v="Monitor"/>
    <s v="Dell"/>
    <n v="7500"/>
    <n v="9750"/>
    <n v="4"/>
    <n v="30000"/>
    <n v="39000"/>
    <s v="Vijay Singh"/>
    <n v="9750"/>
  </r>
  <r>
    <s v="141695"/>
    <s v="MH"/>
    <s v="Ashish Kumar"/>
    <s v="03/04/2021"/>
    <s v="Processing"/>
    <s v="70 TB HDD"/>
    <s v="HDD"/>
    <s v="Seagate"/>
    <n v="10000"/>
    <n v="13000"/>
    <n v="2"/>
    <n v="20000"/>
    <n v="26000"/>
    <s v="Aadil Khan"/>
    <n v="39000"/>
  </r>
  <r>
    <s v="141696"/>
    <s v="MH"/>
    <s v="Javed Akhter"/>
    <s v="03/04/2021"/>
    <s v="Delivered"/>
    <s v="69 TB SSD"/>
    <s v="SSD"/>
    <s v="Samsung"/>
    <n v="10500"/>
    <n v="13650"/>
    <n v="3"/>
    <n v="31500"/>
    <n v="40950"/>
    <s v="Advika Joshi"/>
    <n v="8450"/>
  </r>
  <r>
    <s v="141697"/>
    <s v="MH"/>
    <s v="Haridas Balraj"/>
    <s v="03/04/2021"/>
    <s v="Shipped"/>
    <s v="Intel i5 12th gen."/>
    <s v="CPU"/>
    <s v="Intel"/>
    <n v="8500"/>
    <n v="11050"/>
    <n v="2"/>
    <n v="17000"/>
    <n v="22100"/>
    <s v="Ajay Sharma"/>
    <n v="33150"/>
  </r>
  <r>
    <s v="141698"/>
    <s v="MH"/>
    <s v="Kundan Kumar"/>
    <s v="03/04/2021"/>
    <s v="Order"/>
    <s v="2GB Graphic Card"/>
    <s v="Graphic Card"/>
    <s v="Nvidia"/>
    <n v="7000"/>
    <n v="9100"/>
    <n v="1"/>
    <n v="7000"/>
    <n v="9100"/>
    <s v="Roshan Kumar"/>
    <n v="18200"/>
  </r>
  <r>
    <s v="141699"/>
    <s v="MH"/>
    <s v="Atif Siddiqui"/>
    <s v="03/04/2021"/>
    <s v="Processing"/>
    <s v="72 GB DDR4 Ram"/>
    <s v="NIC"/>
    <s v="Hynix"/>
    <n v="1680"/>
    <n v="2184"/>
    <n v="4"/>
    <n v="6720"/>
    <n v="8736"/>
    <s v="Aarvi Gupta"/>
    <n v="9100"/>
  </r>
  <r>
    <s v="141700"/>
    <s v="MH"/>
    <s v="Aditya Agarwal"/>
    <s v="03/04/2021"/>
    <s v="Delivered"/>
    <s v="Micro ATX motherboard"/>
    <s v="Printer"/>
    <s v="MSI"/>
    <n v="6540"/>
    <n v="8502"/>
    <n v="1"/>
    <n v="6540"/>
    <n v="8502"/>
    <s v="Vijay Singh"/>
    <n v="11700"/>
  </r>
  <r>
    <s v="141701"/>
    <s v="MH"/>
    <s v="Firdoush Jabee"/>
    <s v="03/04/2021"/>
    <s v="Shipped"/>
    <s v="Gaming Box Cabinet"/>
    <s v="Cabinet"/>
    <s v="Asus"/>
    <n v="2680"/>
    <n v="3484"/>
    <n v="4"/>
    <n v="10720"/>
    <n v="13936"/>
    <s v="Aadil Khan"/>
    <n v="2990"/>
  </r>
  <r>
    <s v="141702"/>
    <s v="MH"/>
    <s v="Jay Prakash Kumar"/>
    <s v="03/04/2021"/>
    <s v="Order"/>
    <s v="17&quot; LCD Display"/>
    <s v="Monitor"/>
    <s v="Samsung"/>
    <n v="8250"/>
    <n v="10725"/>
    <n v="4"/>
    <n v="33000"/>
    <n v="42900"/>
    <s v="Advika Joshi"/>
    <n v="9750"/>
  </r>
  <r>
    <s v="141703"/>
    <s v="MH"/>
    <s v="Ashish Pandey"/>
    <s v="03/04/2021"/>
    <s v="Processing"/>
    <s v="76 GB DDR4 RAM"/>
    <s v="RAM"/>
    <s v="Samsung"/>
    <n v="2650"/>
    <n v="3445"/>
    <n v="1"/>
    <n v="2650"/>
    <n v="3445"/>
    <s v="Ajay Sharma"/>
    <n v="25545"/>
  </r>
  <r>
    <s v="141704"/>
    <s v="MH"/>
    <s v="Ajay Sharma"/>
    <s v="03/04/2021"/>
    <s v="Delivered"/>
    <s v="26&quot; LCD Display"/>
    <s v="Monitor"/>
    <s v="Acer"/>
    <n v="12550"/>
    <n v="16315"/>
    <n v="3"/>
    <n v="37650"/>
    <n v="48945"/>
    <s v="Roshan Kumar"/>
    <n v="9750"/>
  </r>
  <r>
    <s v="141705"/>
    <s v="MH"/>
    <s v="Moinuddin Saifi"/>
    <s v="03/04/2021"/>
    <s v="Shipped"/>
    <s v="I7 - intel 12th Generation"/>
    <s v="CPU"/>
    <s v="Intel"/>
    <n v="14500"/>
    <n v="18850"/>
    <n v="1"/>
    <n v="14500"/>
    <n v="18850"/>
    <s v="Aarvi Gupta"/>
    <n v="33150"/>
  </r>
  <r>
    <s v="141706"/>
    <s v="MH"/>
    <s v="Ramkrishna Das Adhikary"/>
    <s v="03/04/2021"/>
    <s v="Order"/>
    <s v="USB Keyboard"/>
    <s v="Keyboard"/>
    <s v="Dell"/>
    <n v="800"/>
    <n v="1040"/>
    <n v="4"/>
    <n v="3200"/>
    <n v="4160"/>
    <s v="Vijay Singh"/>
    <n v="3315"/>
  </r>
  <r>
    <s v="141707"/>
    <s v="MH"/>
    <s v="Ranjeet Mandal"/>
    <s v="03/04/2021"/>
    <s v="Processing"/>
    <s v="Wireless Mouse"/>
    <s v="Mouse"/>
    <s v="Samsung"/>
    <n v="600"/>
    <n v="780"/>
    <n v="2"/>
    <n v="1200"/>
    <n v="1560"/>
    <s v="Aadil Khan"/>
    <n v="1690"/>
  </r>
  <r>
    <s v="141708"/>
    <s v="MH"/>
    <s v="Ashwini Adsare"/>
    <s v="03/04/2021"/>
    <s v="Delivered"/>
    <s v="21&quot; LCD Display"/>
    <s v="Monitor"/>
    <s v="Dell"/>
    <n v="10500"/>
    <n v="13650"/>
    <n v="1"/>
    <n v="10500"/>
    <n v="13650"/>
    <s v="Advika Joshi"/>
    <n v="9750"/>
  </r>
  <r>
    <s v="141709"/>
    <s v="MH"/>
    <s v="Rajesh Variya"/>
    <s v="03/04/2021"/>
    <s v="Shipped"/>
    <s v="70 TB HDD"/>
    <s v="HDD"/>
    <s v="Western Digital"/>
    <n v="6500"/>
    <n v="8450"/>
    <n v="2"/>
    <n v="13000"/>
    <n v="16900"/>
    <s v="Ajay Sharma"/>
    <n v="39000"/>
  </r>
  <r>
    <s v="141710"/>
    <s v="MH"/>
    <s v="Amit Singh"/>
    <s v="03/04/2021"/>
    <s v="Order"/>
    <s v="325 GB SSD"/>
    <s v="SSD"/>
    <s v="Samsung"/>
    <n v="4500"/>
    <n v="5850"/>
    <n v="3"/>
    <n v="13500"/>
    <n v="17550"/>
    <s v="Roshan Kumar"/>
    <n v="8450"/>
  </r>
  <r>
    <s v="141711"/>
    <s v="MH"/>
    <s v="Vinod Mehta"/>
    <s v="03/04/2021"/>
    <s v="Processing"/>
    <s v="Intel i3 11th gen."/>
    <s v="CPU"/>
    <s v="Intel"/>
    <n v="8500"/>
    <n v="11050"/>
    <n v="4"/>
    <n v="34000"/>
    <n v="44200"/>
    <s v="Aarvi Gupta"/>
    <n v="33150"/>
  </r>
  <r>
    <s v="141712"/>
    <s v="MH"/>
    <s v="Jignesh Mhatre"/>
    <s v="03/04/2021"/>
    <s v="Delivered"/>
    <s v="4GB Graphic card"/>
    <s v="Graphic Card"/>
    <s v="Nvidia"/>
    <n v="12500"/>
    <n v="16250"/>
    <n v="4"/>
    <n v="50000"/>
    <n v="65000"/>
    <s v="Vijay Singh"/>
    <n v="18200"/>
  </r>
  <r>
    <s v="141713"/>
    <s v="MH"/>
    <s v="Rahul Kashyap"/>
    <s v="03/04/2021"/>
    <s v="Shipped"/>
    <s v="77 GB DDR4 RAM"/>
    <s v="RAM"/>
    <s v="Hynix"/>
    <n v="3500"/>
    <n v="4550"/>
    <n v="4"/>
    <n v="14000"/>
    <n v="18200"/>
    <s v="Aadil Khan"/>
    <n v="25545"/>
  </r>
  <r>
    <s v="141714"/>
    <s v="MH"/>
    <s v="Mohammed Abdul Kaleem"/>
    <s v="03/04/2021"/>
    <s v="Order"/>
    <s v="BTX motherboard"/>
    <s v="MotherBoard"/>
    <s v="Gigabyte"/>
    <n v="4500"/>
    <n v="5850"/>
    <n v="2"/>
    <n v="9000"/>
    <n v="11700"/>
    <s v="Advika Joshi"/>
    <n v="39780"/>
  </r>
  <r>
    <s v="141715"/>
    <s v="MH"/>
    <s v="Chandrakant Kasbe"/>
    <s v="03/04/2021"/>
    <s v="Processing"/>
    <s v="72 Fans Cabinet"/>
    <s v="Cabinet"/>
    <s v="Asus"/>
    <n v="2100"/>
    <n v="2730"/>
    <n v="3"/>
    <n v="6300"/>
    <n v="8190"/>
    <s v="Ajay Sharma"/>
    <n v="2990"/>
  </r>
  <r>
    <s v="141716"/>
    <s v="MH"/>
    <s v="Rohan Kale"/>
    <s v="03/04/2021"/>
    <s v="Delivered"/>
    <s v="Wireless Keyboard"/>
    <s v="Keyboard"/>
    <s v="Dell"/>
    <n v="1150"/>
    <n v="1495"/>
    <n v="2"/>
    <n v="2300"/>
    <n v="2990"/>
    <s v="Roshan Kumar"/>
    <n v="3315"/>
  </r>
  <r>
    <s v="141717"/>
    <s v="MH"/>
    <s v="Aniruddha Kekapure"/>
    <s v="03/04/2021"/>
    <s v="Shipped"/>
    <s v="USB Mouse"/>
    <s v="Mouse"/>
    <s v="Samsung"/>
    <n v="350"/>
    <n v="455"/>
    <n v="1"/>
    <n v="350"/>
    <n v="455"/>
    <s v="Aarvi Gupta"/>
    <n v="1690"/>
  </r>
  <r>
    <s v="141718"/>
    <s v="MH"/>
    <s v="Aslam Raza"/>
    <s v="03/04/2021"/>
    <s v="Order"/>
    <s v="19&quot; LED Display"/>
    <s v="Monitor"/>
    <s v="Dell"/>
    <n v="9500"/>
    <n v="12350"/>
    <n v="4"/>
    <n v="38000"/>
    <n v="49400"/>
    <s v="Vijay Singh"/>
    <n v="9750"/>
  </r>
  <r>
    <s v="141719"/>
    <s v="MH"/>
    <s v="Roshan Zameer"/>
    <s v="03/04/2021"/>
    <s v="Processing"/>
    <s v="71 TB HDD"/>
    <s v="HDD"/>
    <s v="Western Digital"/>
    <n v="10000"/>
    <n v="13000"/>
    <n v="2"/>
    <n v="20000"/>
    <n v="26000"/>
    <s v="Aadil Khan"/>
    <n v="39000"/>
  </r>
  <r>
    <s v="141720"/>
    <s v="MH"/>
    <s v="Rakesh Kumar Sharma"/>
    <s v="03/04/2021"/>
    <s v="Delivered"/>
    <s v="581 GB M.2"/>
    <s v="SSD"/>
    <s v="Samsung"/>
    <n v="6500"/>
    <n v="8450"/>
    <n v="2"/>
    <n v="13000"/>
    <n v="16900"/>
    <s v="Advika Joshi"/>
    <n v="8450"/>
  </r>
  <r>
    <s v="141721"/>
    <s v="MH"/>
    <s v="Shivanand Sahani"/>
    <s v="03/04/2021"/>
    <s v="Shipped"/>
    <s v="RYZEN 3rd gen. 3569"/>
    <s v="CPU"/>
    <s v="Intel"/>
    <n v="8500"/>
    <n v="11050"/>
    <n v="2"/>
    <n v="17000"/>
    <n v="22100"/>
    <s v="Ajay Sharma"/>
    <n v="33150"/>
  </r>
  <r>
    <s v="141722"/>
    <s v="MH"/>
    <s v="Kunal Patra"/>
    <s v="03/04/2021"/>
    <s v="Order"/>
    <s v="2GB Graphic Card"/>
    <s v="Graphic Card"/>
    <s v="Nvidia"/>
    <n v="7000"/>
    <n v="9100"/>
    <n v="2"/>
    <n v="14000"/>
    <n v="18200"/>
    <s v="Roshan Kumar"/>
    <n v="18200"/>
  </r>
  <r>
    <s v="141723"/>
    <s v="MH"/>
    <s v="Bijendra"/>
    <s v="03/04/2021"/>
    <s v="Processing"/>
    <s v="85 GB DDR4 RAM"/>
    <s v="RAM"/>
    <s v="Hynix"/>
    <n v="6550"/>
    <n v="8515"/>
    <n v="1"/>
    <n v="6550"/>
    <n v="8515"/>
    <s v="Aarvi Gupta"/>
    <n v="25545"/>
  </r>
  <r>
    <s v="141724"/>
    <s v="MH"/>
    <s v="Kranti Bheke"/>
    <s v="03/04/2021"/>
    <s v="Delivered"/>
    <s v="Standard ATX motherboard"/>
    <s v="MotherBoard"/>
    <s v="Gigabyte"/>
    <n v="7650"/>
    <n v="9945"/>
    <n v="1"/>
    <n v="7650"/>
    <n v="9945"/>
    <s v="Vijay Singh"/>
    <n v="39780"/>
  </r>
  <r>
    <s v="141725"/>
    <s v="MH"/>
    <s v="Jagdeep"/>
    <s v="03/04/2021"/>
    <s v="Shipped"/>
    <s v="Compact with 1 Fan"/>
    <s v="Cabinet"/>
    <s v="Asus"/>
    <n v="1150"/>
    <n v="1495"/>
    <n v="3"/>
    <n v="3450"/>
    <n v="4485"/>
    <s v="Aadil Khan"/>
    <n v="2990"/>
  </r>
  <r>
    <s v="141726"/>
    <s v="MH"/>
    <s v="Adhir Samal"/>
    <s v="03/04/2021"/>
    <s v="Order"/>
    <s v="USB Backlight Keyboard"/>
    <s v="Keyboard"/>
    <s v="Dell"/>
    <n v="850"/>
    <n v="1105"/>
    <n v="1"/>
    <n v="850"/>
    <n v="1105"/>
    <s v="Advika Joshi"/>
    <n v="3315"/>
  </r>
  <r>
    <s v="141727"/>
    <s v="MH"/>
    <s v="Dannana Jhammi"/>
    <s v="03/04/2021"/>
    <s v="Processing"/>
    <s v="Ergonomic Mouse"/>
    <s v="Mouse"/>
    <s v="Samsung"/>
    <n v="650"/>
    <n v="845"/>
    <n v="2"/>
    <n v="1300"/>
    <n v="1690"/>
    <s v="Ajay Sharma"/>
    <n v="1690"/>
  </r>
  <r>
    <s v="141728"/>
    <s v="MH"/>
    <s v="Vipin Kumar"/>
    <s v="03/04/2021"/>
    <s v="Delivered"/>
    <s v="15&quot; LCD Dsipaly"/>
    <s v="Monitor"/>
    <s v="Dell"/>
    <n v="7500"/>
    <n v="9750"/>
    <n v="1"/>
    <n v="7500"/>
    <n v="9750"/>
    <s v="Roshan Kumar"/>
    <n v="9750"/>
  </r>
  <r>
    <s v="141729"/>
    <s v="MH"/>
    <s v="Ranjeet Kumar"/>
    <s v="03/04/2021"/>
    <s v="Shipped"/>
    <s v="71 TB HDD"/>
    <s v="HDD"/>
    <s v="Seagate"/>
    <n v="10000"/>
    <n v="13000"/>
    <n v="1"/>
    <n v="10000"/>
    <n v="13000"/>
    <s v="Aarvi Gupta"/>
    <n v="39000"/>
  </r>
  <r>
    <s v="141730"/>
    <s v="MH"/>
    <s v="Sajal Singhal"/>
    <s v="03/04/2021"/>
    <s v="Order"/>
    <s v="70 TB SSD"/>
    <s v="SSD"/>
    <s v="Samsung"/>
    <n v="10500"/>
    <n v="13650"/>
    <n v="1"/>
    <n v="10500"/>
    <n v="13650"/>
    <s v="Vijay Singh"/>
    <n v="8450"/>
  </r>
  <r>
    <s v="141731"/>
    <s v="MH"/>
    <s v="Akhilesh Kumar"/>
    <s v="03/04/2021"/>
    <s v="Processing"/>
    <s v="Intel i5 12th gen."/>
    <s v="CPU"/>
    <s v="Intel"/>
    <n v="8500"/>
    <n v="11050"/>
    <n v="1"/>
    <n v="8500"/>
    <n v="11050"/>
    <s v="Aadil Khan"/>
    <n v="33150"/>
  </r>
  <r>
    <s v="141732"/>
    <s v="MH"/>
    <s v="Suvankar Chakraborty"/>
    <s v="03/04/2021"/>
    <s v="Delivered"/>
    <s v="2GB Graphic Card"/>
    <s v="Graphic Card"/>
    <s v="Nvidia"/>
    <n v="7000"/>
    <n v="9100"/>
    <n v="3"/>
    <n v="21000"/>
    <n v="27300"/>
    <s v="Advika Joshi"/>
    <n v="18200"/>
  </r>
  <r>
    <s v="141733"/>
    <s v="MH"/>
    <s v="Suvankar Adhikary"/>
    <s v="03/04/2021"/>
    <s v="Shipped"/>
    <s v="73 GB DDR4 Ram"/>
    <s v="RAM"/>
    <s v="Hynix"/>
    <n v="1680"/>
    <n v="2184"/>
    <n v="3"/>
    <n v="5040"/>
    <n v="6552"/>
    <s v="Ajay Sharma"/>
    <n v="25545"/>
  </r>
  <r>
    <s v="141734"/>
    <s v="MH"/>
    <s v="Rahul Kumar Prajapati"/>
    <s v="03/04/2021"/>
    <s v="Order"/>
    <s v="Micro ATX motherboard"/>
    <s v="MotherBoard"/>
    <s v="MSI"/>
    <n v="6540"/>
    <n v="8502"/>
    <n v="3"/>
    <n v="19620"/>
    <n v="25506"/>
    <s v="Roshan Kumar"/>
    <n v="39780"/>
  </r>
  <r>
    <s v="141735"/>
    <s v="MH"/>
    <s v="Sagar Jeur"/>
    <s v="03/04/2021"/>
    <s v="Processing"/>
    <s v="Gaming Box Cabinet"/>
    <s v="Cabinet"/>
    <s v="Asus"/>
    <n v="2680"/>
    <n v="3484"/>
    <n v="3"/>
    <n v="8040"/>
    <n v="10452"/>
    <s v="Aarvi Gupta"/>
    <n v="2990"/>
  </r>
  <r>
    <s v="141736"/>
    <s v="MH"/>
    <s v="Rhushikesh Mane"/>
    <s v="03/04/2021"/>
    <s v="Delivered"/>
    <s v="17&quot; LCD Display"/>
    <s v="Monitor"/>
    <s v="Samsung"/>
    <n v="8250"/>
    <n v="10725"/>
    <n v="2"/>
    <n v="16500"/>
    <n v="21450"/>
    <s v="Vijay Singh"/>
    <n v="9750"/>
  </r>
  <r>
    <s v="141737"/>
    <s v="MH"/>
    <s v="Ashish Kumar"/>
    <s v="03/04/2021"/>
    <s v="Shipped"/>
    <s v="77 GB DDR4 RAM"/>
    <s v="RAM"/>
    <s v="Samsung"/>
    <n v="2650"/>
    <n v="3445"/>
    <n v="4"/>
    <n v="10600"/>
    <n v="13780"/>
    <s v="Aadil Khan"/>
    <n v="25545"/>
  </r>
  <r>
    <s v="141738"/>
    <s v="MH"/>
    <s v="Javed Akhter"/>
    <s v="03/04/2021"/>
    <s v="Order"/>
    <s v="26&quot; LCD Display"/>
    <s v="Monitor"/>
    <s v="Acer"/>
    <n v="12550"/>
    <n v="16315"/>
    <n v="1"/>
    <n v="12550"/>
    <n v="16315"/>
    <s v="Advika Joshi"/>
    <n v="9750"/>
  </r>
  <r>
    <s v="141739"/>
    <s v="MH"/>
    <s v="Haridas Balraj"/>
    <s v="03/04/2021"/>
    <s v="Processing"/>
    <s v="I7 - intel 12th Generation"/>
    <s v="CPU"/>
    <s v="Intel"/>
    <n v="14500"/>
    <n v="18850"/>
    <n v="3"/>
    <n v="43500"/>
    <n v="56550"/>
    <s v="Ajay Sharma"/>
    <n v="33150"/>
  </r>
  <r>
    <s v="141740"/>
    <s v="MH"/>
    <s v="Kundan Kumar"/>
    <s v="03/04/2021"/>
    <s v="Delivered"/>
    <s v="USB Keyboard"/>
    <s v="Keyboard"/>
    <s v="Dell"/>
    <n v="800"/>
    <n v="1040"/>
    <n v="4"/>
    <n v="3200"/>
    <n v="4160"/>
    <s v="Roshan Kumar"/>
    <n v="3315"/>
  </r>
  <r>
    <s v="141741"/>
    <s v="MH"/>
    <s v="Atif Siddiqui"/>
    <s v="03/04/2021"/>
    <s v="Shipped"/>
    <s v="Wireless Mouse"/>
    <s v="Mouse"/>
    <s v="Samsung"/>
    <n v="600"/>
    <n v="780"/>
    <n v="2"/>
    <n v="1200"/>
    <n v="1560"/>
    <s v="Aarvi Gupta"/>
    <n v="1690"/>
  </r>
  <r>
    <s v="141742"/>
    <s v="MH"/>
    <s v="Aditya Agarwal"/>
    <s v="03/04/2021"/>
    <s v="Order"/>
    <s v="21&quot; LCD Display"/>
    <s v="Monitor"/>
    <s v="Dell"/>
    <n v="10500"/>
    <n v="13650"/>
    <n v="2"/>
    <n v="21000"/>
    <n v="27300"/>
    <s v="Vijay Singh"/>
    <n v="9750"/>
  </r>
  <r>
    <s v="141743"/>
    <s v="MH"/>
    <s v="Firdoush Jabee"/>
    <s v="03/04/2021"/>
    <s v="Processing"/>
    <s v="71 TB HDD"/>
    <s v="HDD"/>
    <s v="Western Digital"/>
    <n v="6500"/>
    <n v="8450"/>
    <n v="2"/>
    <n v="13000"/>
    <n v="16900"/>
    <s v="Aadil Khan"/>
    <n v="39000"/>
  </r>
  <r>
    <s v="141744"/>
    <s v="MH"/>
    <s v="Jay Prakash Kumar"/>
    <s v="03/04/2021"/>
    <s v="Delivered"/>
    <s v="326 GB SSD"/>
    <s v="SSD"/>
    <s v="Samsung"/>
    <n v="4500"/>
    <n v="5850"/>
    <n v="4"/>
    <n v="18000"/>
    <n v="23400"/>
    <s v="Advika Joshi"/>
    <n v="8450"/>
  </r>
  <r>
    <s v="141745"/>
    <s v="MH"/>
    <s v="Ashish Pandey"/>
    <s v="03/04/2021"/>
    <s v="Shipped"/>
    <s v="Intel i3 11th gen."/>
    <s v="CPU"/>
    <s v="Intel"/>
    <n v="8500"/>
    <n v="11050"/>
    <n v="3"/>
    <n v="25500"/>
    <n v="33150"/>
    <s v="Ajay Sharma"/>
    <n v="33150"/>
  </r>
  <r>
    <s v="141746"/>
    <s v="MH"/>
    <s v="Ajay Sharma"/>
    <s v="03/04/2021"/>
    <s v="Order"/>
    <s v="4GB Graphic card"/>
    <s v="Graphic Card"/>
    <s v="Nvidia"/>
    <n v="12500"/>
    <n v="16250"/>
    <n v="2"/>
    <n v="25000"/>
    <n v="32500"/>
    <s v="Roshan Kumar"/>
    <n v="18200"/>
  </r>
  <r>
    <s v="141747"/>
    <s v="MH"/>
    <s v="Moinuddin Saifi"/>
    <s v="03/04/2021"/>
    <s v="Processing"/>
    <s v="78 GB DDR4 RAM"/>
    <s v="Computer Case"/>
    <s v="Hynix"/>
    <n v="3500"/>
    <n v="4550"/>
    <n v="2"/>
    <n v="7000"/>
    <n v="9100"/>
    <s v="Aarvi Gupta"/>
    <n v="13650"/>
  </r>
  <r>
    <s v="141748"/>
    <s v="MH"/>
    <s v="Ramkrishna Das Adhikary"/>
    <s v="03/04/2021"/>
    <s v="Delivered"/>
    <s v="BTX motherboard"/>
    <s v="Mouse"/>
    <s v="Gigabyte"/>
    <n v="4500"/>
    <n v="5850"/>
    <n v="4"/>
    <n v="18000"/>
    <n v="23400"/>
    <s v="Vijay Singh"/>
    <n v="1690"/>
  </r>
  <r>
    <s v="141749"/>
    <s v="MH"/>
    <s v="Ranjeet Mandal"/>
    <s v="03/04/2021"/>
    <s v="Shipped"/>
    <s v="73 Fans Cabinet"/>
    <s v="Cabinet"/>
    <s v="Asus"/>
    <n v="2100"/>
    <n v="2730"/>
    <n v="1"/>
    <n v="2100"/>
    <n v="2730"/>
    <s v="Aadil Khan"/>
    <n v="2990"/>
  </r>
  <r>
    <s v="141750"/>
    <s v="MH"/>
    <s v="Ashwini Adsare"/>
    <s v="03/04/2021"/>
    <s v="Order"/>
    <s v="Wireless Keyboard"/>
    <s v="Keyboard"/>
    <s v="Dell"/>
    <n v="1150"/>
    <n v="1495"/>
    <n v="2"/>
    <n v="2300"/>
    <n v="2990"/>
    <s v="Advika Joshi"/>
    <n v="3315"/>
  </r>
  <r>
    <s v="141751"/>
    <s v="MH"/>
    <s v="Rajesh Variya"/>
    <s v="03/04/2021"/>
    <s v="Processing"/>
    <s v="USB Mouse"/>
    <s v="Mouse"/>
    <s v="Samsung"/>
    <n v="350"/>
    <n v="455"/>
    <n v="2"/>
    <n v="700"/>
    <n v="910"/>
    <s v="Ajay Sharma"/>
    <n v="1690"/>
  </r>
  <r>
    <s v="141752"/>
    <s v="MH"/>
    <s v="Amit Singh"/>
    <s v="03/04/2021"/>
    <s v="Delivered"/>
    <s v="19&quot; LED Display"/>
    <s v="Monitor"/>
    <s v="Dell"/>
    <n v="9500"/>
    <n v="12350"/>
    <n v="2"/>
    <n v="19000"/>
    <n v="24700"/>
    <s v="Roshan Kumar"/>
    <n v="9750"/>
  </r>
  <r>
    <s v="141753"/>
    <s v="MH"/>
    <s v="Vinod Mehta"/>
    <s v="03/04/2021"/>
    <s v="Shipped"/>
    <s v="72 TB HDD"/>
    <s v="HDD"/>
    <s v="Western Digital"/>
    <n v="10000"/>
    <n v="13000"/>
    <n v="4"/>
    <n v="40000"/>
    <n v="52000"/>
    <s v="Aarvi Gupta"/>
    <n v="39000"/>
  </r>
  <r>
    <s v="141754"/>
    <s v="MH"/>
    <s v="Jignesh Mhatre"/>
    <s v="03/04/2021"/>
    <s v="Order"/>
    <s v="582 GB M.2"/>
    <s v="SSD"/>
    <s v="Samsung"/>
    <n v="6500"/>
    <n v="8450"/>
    <n v="1"/>
    <n v="6500"/>
    <n v="8450"/>
    <s v="Vijay Singh"/>
    <n v="8450"/>
  </r>
  <r>
    <s v="141755"/>
    <s v="MH"/>
    <s v="Rahul Kashyap"/>
    <s v="03/04/2021"/>
    <s v="Processing"/>
    <s v="RYZEN 3rd gen. 3570"/>
    <s v="CPU"/>
    <s v="Intel"/>
    <n v="8500"/>
    <n v="11050"/>
    <n v="2"/>
    <n v="17000"/>
    <n v="22100"/>
    <s v="Aadil Khan"/>
    <n v="33150"/>
  </r>
  <r>
    <s v="141756"/>
    <s v="MH"/>
    <s v="Mohammed Abdul Kaleem"/>
    <s v="03/04/2021"/>
    <s v="Delivered"/>
    <s v="2GB Graphic Card"/>
    <s v="Graphic Card"/>
    <s v="Nvidia"/>
    <n v="7000"/>
    <n v="9100"/>
    <n v="4"/>
    <n v="28000"/>
    <n v="36400"/>
    <s v="Advika Joshi"/>
    <n v="18200"/>
  </r>
  <r>
    <s v="141757"/>
    <s v="MH"/>
    <s v="Chandrakant Kasbe"/>
    <s v="03/04/2021"/>
    <s v="Shipped"/>
    <s v="86 GB DDR4 RAM"/>
    <s v="Computer Case"/>
    <s v="Hynix"/>
    <n v="6550"/>
    <n v="8515"/>
    <n v="3"/>
    <n v="19650"/>
    <n v="25545"/>
    <s v="Ajay Sharma"/>
    <n v="13650"/>
  </r>
  <r>
    <s v="141758"/>
    <s v="MH"/>
    <s v="Rohan Kale"/>
    <s v="03/04/2021"/>
    <s v="Order"/>
    <s v="Standard ATX motherboard"/>
    <s v="Mouse"/>
    <s v="Gigabyte"/>
    <n v="7650"/>
    <n v="9945"/>
    <n v="1"/>
    <n v="7650"/>
    <n v="9945"/>
    <s v="Roshan Kumar"/>
    <n v="1690"/>
  </r>
  <r>
    <s v="141759"/>
    <s v="MH"/>
    <s v="Aniruddha Kekapure"/>
    <s v="04/04/2021"/>
    <s v="Processing"/>
    <s v="Compact with 1 Fan"/>
    <s v="Cabinet"/>
    <s v="Asus"/>
    <n v="1150"/>
    <n v="1495"/>
    <n v="4"/>
    <n v="4600"/>
    <n v="5980"/>
    <s v="Aarvi Gupta"/>
    <n v="2990"/>
  </r>
  <r>
    <s v="141760"/>
    <s v="MH"/>
    <s v="Aslam Raza"/>
    <s v="05/04/2021"/>
    <s v="Delivered"/>
    <s v="USB Backlight Keyboard"/>
    <s v="Keyboard"/>
    <s v="Dell"/>
    <n v="850"/>
    <n v="1105"/>
    <n v="1"/>
    <n v="850"/>
    <n v="1105"/>
    <s v="Vijay Singh"/>
    <n v="3315"/>
  </r>
  <r>
    <s v="141761"/>
    <s v="MH"/>
    <s v="Roshan Zameer"/>
    <s v="06/04/2021"/>
    <s v="Shipped"/>
    <s v="Ergonomic Mouse"/>
    <s v="Mouse"/>
    <s v="Samsung"/>
    <n v="650"/>
    <n v="845"/>
    <n v="2"/>
    <n v="1300"/>
    <n v="1690"/>
    <s v="Aadil Khan"/>
    <n v="1690"/>
  </r>
  <r>
    <s v="141762"/>
    <s v="MH"/>
    <s v="Rakesh Kumar Sharma"/>
    <s v="07/04/2021"/>
    <s v="Order"/>
    <s v="15&quot; LCD Dsipaly"/>
    <s v="Monitor"/>
    <s v="Dell"/>
    <n v="7500"/>
    <n v="9750"/>
    <n v="4"/>
    <n v="30000"/>
    <n v="39000"/>
    <s v="Advika Joshi"/>
    <n v="9750"/>
  </r>
  <r>
    <s v="141763"/>
    <s v="MH"/>
    <s v="Shivanand Sahani"/>
    <s v="08/04/2021"/>
    <s v="Processing"/>
    <s v="72 TB HDD"/>
    <s v="HDD"/>
    <s v="Seagate"/>
    <n v="10000"/>
    <n v="13000"/>
    <n v="4"/>
    <n v="40000"/>
    <n v="52000"/>
    <s v="Ajay Sharma"/>
    <n v="39000"/>
  </r>
  <r>
    <s v="141764"/>
    <s v="MH"/>
    <s v="Kunal Patra"/>
    <s v="09/04/2021"/>
    <s v="Delivered"/>
    <s v="71 TB SSD"/>
    <s v="SSD"/>
    <s v="Samsung"/>
    <n v="10500"/>
    <n v="13650"/>
    <n v="3"/>
    <n v="31500"/>
    <n v="40950"/>
    <s v="Roshan Kumar"/>
    <n v="8450"/>
  </r>
  <r>
    <s v="141765"/>
    <s v="MH"/>
    <s v="Bijendra"/>
    <s v="10/04/2021"/>
    <s v="Shipped"/>
    <s v="Intel i5 12th gen."/>
    <s v="CPU"/>
    <s v="Intel"/>
    <n v="8500"/>
    <n v="11050"/>
    <n v="1"/>
    <n v="8500"/>
    <n v="11050"/>
    <s v="Aarvi Gupta"/>
    <n v="33150"/>
  </r>
  <r>
    <s v="141766"/>
    <s v="MH"/>
    <s v="Kranti Bheke"/>
    <s v="10/04/2021"/>
    <s v="Order"/>
    <s v="2GB Graphic Card"/>
    <s v="Graphic Card"/>
    <s v="Nvidia"/>
    <n v="7000"/>
    <n v="9100"/>
    <n v="2"/>
    <n v="14000"/>
    <n v="18200"/>
    <s v="Vijay Singh"/>
    <n v="18200"/>
  </r>
  <r>
    <s v="141767"/>
    <s v="MH"/>
    <s v="Jagdeep"/>
    <s v="10/04/2021"/>
    <s v="Processing"/>
    <s v="74 GB DDR4 Ram"/>
    <s v="Computer Case"/>
    <s v="Hynix"/>
    <n v="1680"/>
    <n v="2184"/>
    <n v="2"/>
    <n v="3360"/>
    <n v="4368"/>
    <s v="Aadil Khan"/>
    <n v="13650"/>
  </r>
  <r>
    <s v="141768"/>
    <s v="MH"/>
    <s v="Adhir Samal"/>
    <s v="10/04/2021"/>
    <s v="Delivered"/>
    <s v="Micro ATX motherboard"/>
    <s v="Mouse"/>
    <s v="MSI"/>
    <n v="6540"/>
    <n v="8502"/>
    <n v="4"/>
    <n v="26160"/>
    <n v="34008"/>
    <s v="Advika Joshi"/>
    <n v="1690"/>
  </r>
  <r>
    <s v="141769"/>
    <s v="MH"/>
    <s v="Dannana Jhammi"/>
    <s v="10/04/2021"/>
    <s v="Shipped"/>
    <s v="Gaming Box Cabinet"/>
    <s v="Cabinet"/>
    <s v="Asus"/>
    <n v="2680"/>
    <n v="3484"/>
    <n v="1"/>
    <n v="2680"/>
    <n v="3484"/>
    <s v="Ajay Sharma"/>
    <n v="2990"/>
  </r>
  <r>
    <s v="141770"/>
    <s v="MH"/>
    <s v="Vipin Kumar"/>
    <s v="10/04/2021"/>
    <s v="Order"/>
    <s v="17&quot; LCD Display"/>
    <s v="Monitor"/>
    <s v="Samsung"/>
    <n v="8250"/>
    <n v="10725"/>
    <n v="4"/>
    <n v="33000"/>
    <n v="42900"/>
    <s v="Roshan Kumar"/>
    <n v="9750"/>
  </r>
  <r>
    <s v="141771"/>
    <s v="MH"/>
    <s v="Ranjeet Kumar"/>
    <s v="10/04/2021"/>
    <s v="Processing"/>
    <s v="78 GB DDR4 RAM"/>
    <s v="RAM"/>
    <s v="Samsung"/>
    <n v="2650"/>
    <n v="3445"/>
    <n v="2"/>
    <n v="5300"/>
    <n v="6890"/>
    <s v="Aarvi Gupta"/>
    <n v="25545"/>
  </r>
  <r>
    <s v="141772"/>
    <s v="MH"/>
    <s v="Sajal Singhal"/>
    <s v="10/04/2021"/>
    <s v="Delivered"/>
    <s v="26&quot; LCD Display"/>
    <s v="Monitor"/>
    <s v="Acer"/>
    <n v="12550"/>
    <n v="16315"/>
    <n v="4"/>
    <n v="50200"/>
    <n v="65260"/>
    <s v="Vijay Singh"/>
    <n v="9750"/>
  </r>
  <r>
    <s v="141773"/>
    <s v="MH"/>
    <s v="Akhilesh Kumar"/>
    <s v="10/04/2021"/>
    <s v="Shipped"/>
    <s v="I7 - intel 12th Generation"/>
    <s v="CPU"/>
    <s v="Intel"/>
    <n v="14500"/>
    <n v="18850"/>
    <n v="2"/>
    <n v="29000"/>
    <n v="37700"/>
    <s v="Aadil Khan"/>
    <n v="33150"/>
  </r>
  <r>
    <s v="141774"/>
    <s v="MH"/>
    <s v="Suvankar Chakraborty"/>
    <s v="10/04/2021"/>
    <s v="Order"/>
    <s v="USB Keyboard"/>
    <s v="Keyboard"/>
    <s v="Dell"/>
    <n v="800"/>
    <n v="1040"/>
    <n v="2"/>
    <n v="1600"/>
    <n v="2080"/>
    <s v="Advika Joshi"/>
    <n v="3315"/>
  </r>
  <r>
    <s v="141775"/>
    <s v="MH"/>
    <s v="Suvankar Adhikary"/>
    <s v="10/04/2021"/>
    <s v="Processing"/>
    <s v="Wireless Mouse"/>
    <s v="Mouse"/>
    <s v="Samsung"/>
    <n v="600"/>
    <n v="780"/>
    <n v="4"/>
    <n v="2400"/>
    <n v="3120"/>
    <s v="Ajay Sharma"/>
    <n v="1690"/>
  </r>
  <r>
    <s v="141776"/>
    <s v="MH"/>
    <s v="Rahul Kumar Prajapati"/>
    <s v="10/04/2021"/>
    <s v="Delivered"/>
    <s v="21&quot; LCD Display"/>
    <s v="Monitor"/>
    <s v="Dell"/>
    <n v="10500"/>
    <n v="13650"/>
    <n v="2"/>
    <n v="21000"/>
    <n v="27300"/>
    <s v="Roshan Kumar"/>
    <n v="9750"/>
  </r>
  <r>
    <s v="141777"/>
    <s v="MH"/>
    <s v="Sagar Jeur"/>
    <s v="10/04/2021"/>
    <s v="Shipped"/>
    <s v="72 TB HDD"/>
    <s v="HDD"/>
    <s v="Western Digital"/>
    <n v="6500"/>
    <n v="8450"/>
    <n v="2"/>
    <n v="13000"/>
    <n v="16900"/>
    <s v="Aarvi Gupta"/>
    <n v="39000"/>
  </r>
  <r>
    <s v="141778"/>
    <s v="MH"/>
    <s v="Rhushikesh Mane"/>
    <s v="10/04/2021"/>
    <s v="Order"/>
    <s v="327 GB SSD"/>
    <s v="SSD"/>
    <s v="Samsung"/>
    <n v="4500"/>
    <n v="5850"/>
    <n v="4"/>
    <n v="18000"/>
    <n v="23400"/>
    <s v="Vijay Singh"/>
    <n v="8450"/>
  </r>
  <r>
    <s v="141779"/>
    <s v="MH"/>
    <s v="Ashish Kumar"/>
    <s v="10/04/2021"/>
    <s v="Processing"/>
    <s v="Intel i3 11th gen."/>
    <s v="CPU"/>
    <s v="Intel"/>
    <n v="8500"/>
    <n v="11050"/>
    <n v="4"/>
    <n v="34000"/>
    <n v="44200"/>
    <s v="Aadil Khan"/>
    <n v="33150"/>
  </r>
  <r>
    <s v="141780"/>
    <s v="MH"/>
    <s v="Javed Akhter"/>
    <s v="10/04/2021"/>
    <s v="Delivered"/>
    <s v="4GB Graphic card"/>
    <s v="Graphic Card"/>
    <s v="Nvidia"/>
    <n v="12500"/>
    <n v="16250"/>
    <n v="2"/>
    <n v="25000"/>
    <n v="32500"/>
    <s v="Advika Joshi"/>
    <n v="18200"/>
  </r>
  <r>
    <s v="141781"/>
    <s v="MH"/>
    <s v="Haridas Balraj"/>
    <s v="10/04/2021"/>
    <s v="Shipped"/>
    <s v="79 GB DDR4 RAM"/>
    <s v="NIC"/>
    <s v="Hynix"/>
    <n v="3500"/>
    <n v="4550"/>
    <n v="3"/>
    <n v="10500"/>
    <n v="13650"/>
    <s v="Ajay Sharma"/>
    <n v="9100"/>
  </r>
  <r>
    <s v="141782"/>
    <s v="MH"/>
    <s v="Kundan Kumar"/>
    <s v="10/04/2021"/>
    <s v="Order"/>
    <s v="BTX motherboard"/>
    <s v="Printer"/>
    <s v="Gigabyte"/>
    <n v="4500"/>
    <n v="5850"/>
    <n v="2"/>
    <n v="9000"/>
    <n v="11700"/>
    <s v="Roshan Kumar"/>
    <n v="11700"/>
  </r>
  <r>
    <s v="141783"/>
    <s v="MH"/>
    <s v="Atif Siddiqui"/>
    <s v="10/04/2021"/>
    <s v="Processing"/>
    <s v="74 Fans Cabinet"/>
    <s v="Cabinet"/>
    <s v="Asus"/>
    <n v="2100"/>
    <n v="2730"/>
    <n v="1"/>
    <n v="2100"/>
    <n v="2730"/>
    <s v="Aarvi Gupta"/>
    <n v="2990"/>
  </r>
  <r>
    <s v="141784"/>
    <s v="MH"/>
    <s v="Aditya Agarwal"/>
    <s v="10/04/2021"/>
    <s v="Delivered"/>
    <s v="Wireless Keyboard"/>
    <s v="Keyboard"/>
    <s v="Dell"/>
    <n v="1150"/>
    <n v="1495"/>
    <n v="4"/>
    <n v="4600"/>
    <n v="5980"/>
    <s v="Vijay Singh"/>
    <n v="3315"/>
  </r>
  <r>
    <s v="141785"/>
    <s v="MH"/>
    <s v="Firdoush Jabee"/>
    <s v="10/04/2021"/>
    <s v="Shipped"/>
    <s v="USB Mouse"/>
    <s v="Mouse"/>
    <s v="Samsung"/>
    <n v="350"/>
    <n v="455"/>
    <n v="1"/>
    <n v="350"/>
    <n v="455"/>
    <s v="Aadil Khan"/>
    <n v="1690"/>
  </r>
  <r>
    <s v="141786"/>
    <s v="MH"/>
    <s v="Jay Prakash Kumar"/>
    <s v="10/04/2021"/>
    <s v="Order"/>
    <s v="19&quot; LED Display"/>
    <s v="Monitor"/>
    <s v="Dell"/>
    <n v="9500"/>
    <n v="12350"/>
    <n v="1"/>
    <n v="9500"/>
    <n v="12350"/>
    <s v="Advika Joshi"/>
    <n v="9750"/>
  </r>
  <r>
    <s v="141787"/>
    <s v="MH"/>
    <s v="Ashish Pandey"/>
    <s v="10/04/2021"/>
    <s v="Processing"/>
    <s v="73 TB HDD"/>
    <s v="HDD"/>
    <s v="Western Digital"/>
    <n v="10000"/>
    <n v="13000"/>
    <n v="1"/>
    <n v="10000"/>
    <n v="13000"/>
    <s v="Ajay Sharma"/>
    <n v="39000"/>
  </r>
  <r>
    <s v="141788"/>
    <s v="MH"/>
    <s v="Ajay Sharma"/>
    <s v="10/04/2021"/>
    <s v="Delivered"/>
    <s v="583 GB M.2"/>
    <s v="SSD"/>
    <s v="Samsung"/>
    <n v="6500"/>
    <n v="8450"/>
    <n v="1"/>
    <n v="6500"/>
    <n v="8450"/>
    <s v="Roshan Kumar"/>
    <n v="8450"/>
  </r>
  <r>
    <s v="141789"/>
    <s v="MH"/>
    <s v="Moinuddin Saifi"/>
    <s v="10/04/2021"/>
    <s v="Shipped"/>
    <s v="RYZEN 3rd gen. 3571"/>
    <s v="CPU"/>
    <s v="Intel"/>
    <n v="8500"/>
    <n v="11050"/>
    <n v="1"/>
    <n v="8500"/>
    <n v="11050"/>
    <s v="Aarvi Gupta"/>
    <n v="33150"/>
  </r>
  <r>
    <s v="141790"/>
    <s v="MH"/>
    <s v="Ramkrishna Das Adhikary"/>
    <s v="10/04/2021"/>
    <s v="Order"/>
    <s v="2GB Graphic Card"/>
    <s v="Graphic Card"/>
    <s v="Nvidia"/>
    <n v="7000"/>
    <n v="9100"/>
    <n v="4"/>
    <n v="28000"/>
    <n v="36400"/>
    <s v="Vijay Singh"/>
    <n v="18200"/>
  </r>
  <r>
    <s v="141791"/>
    <s v="MH"/>
    <s v="Ranjeet Mandal"/>
    <s v="10/04/2021"/>
    <s v="Processing"/>
    <s v="87 GB DDR4 RAM"/>
    <s v="NIC"/>
    <s v="Hynix"/>
    <n v="6550"/>
    <n v="8515"/>
    <n v="2"/>
    <n v="13100"/>
    <n v="17030"/>
    <s v="Aadil Khan"/>
    <n v="9100"/>
  </r>
  <r>
    <s v="141792"/>
    <s v="MH"/>
    <s v="Ashwini Adsare"/>
    <s v="10/04/2021"/>
    <s v="Delivered"/>
    <s v="Standard ATX motherboard"/>
    <s v="Printer"/>
    <s v="Gigabyte"/>
    <n v="7650"/>
    <n v="9945"/>
    <n v="1"/>
    <n v="7650"/>
    <n v="9945"/>
    <s v="Advika Joshi"/>
    <n v="11700"/>
  </r>
  <r>
    <s v="141793"/>
    <s v="MH"/>
    <s v="Rajesh Variya"/>
    <s v="11/04/2021"/>
    <s v="Shipped"/>
    <s v="Compact with 1 Fan"/>
    <s v="Cabinet"/>
    <s v="Asus"/>
    <n v="1150"/>
    <n v="1495"/>
    <n v="1"/>
    <n v="1150"/>
    <n v="1495"/>
    <s v="Ajay Sharma"/>
    <n v="2990"/>
  </r>
  <r>
    <s v="141794"/>
    <s v="MH"/>
    <s v="Amit Singh"/>
    <s v="12/04/2021"/>
    <s v="Order"/>
    <s v="USB Backlight Keyboard"/>
    <s v="Keyboard"/>
    <s v="Dell"/>
    <n v="850"/>
    <n v="1105"/>
    <n v="3"/>
    <n v="2550"/>
    <n v="3315"/>
    <s v="Roshan Kumar"/>
    <n v="3315"/>
  </r>
  <r>
    <s v="141795"/>
    <s v="MH"/>
    <s v="Vinod Mehta"/>
    <s v="13/04/2021"/>
    <s v="Processing"/>
    <s v="Ergonomic Mouse"/>
    <s v="Mouse"/>
    <s v="Samsung"/>
    <n v="650"/>
    <n v="845"/>
    <n v="3"/>
    <n v="1950"/>
    <n v="2535"/>
    <s v="Aarvi Gupta"/>
    <n v="1690"/>
  </r>
  <r>
    <s v="141796"/>
    <s v="MH"/>
    <s v="Jignesh Mhatre"/>
    <s v="14/04/2021"/>
    <s v="Delivered"/>
    <s v="15&quot; LCD Dsipaly"/>
    <s v="Monitor"/>
    <s v="Dell"/>
    <n v="7500"/>
    <n v="9750"/>
    <n v="1"/>
    <n v="7500"/>
    <n v="9750"/>
    <s v="Vijay Singh"/>
    <n v="9750"/>
  </r>
  <r>
    <s v="141797"/>
    <s v="MH"/>
    <s v="Rahul Kashyap"/>
    <s v="15/04/2021"/>
    <s v="Shipped"/>
    <s v="73 TB HDD"/>
    <s v="HDD"/>
    <s v="Seagate"/>
    <n v="10000"/>
    <n v="13000"/>
    <n v="1"/>
    <n v="10000"/>
    <n v="13000"/>
    <s v="Aadil Khan"/>
    <n v="39000"/>
  </r>
  <r>
    <s v="141798"/>
    <s v="MH"/>
    <s v="Mohammed Abdul Kaleem"/>
    <s v="16/04/2021"/>
    <s v="Order"/>
    <s v="72 TB SSD"/>
    <s v="SSD"/>
    <s v="Samsung"/>
    <n v="10500"/>
    <n v="13650"/>
    <n v="4"/>
    <n v="42000"/>
    <n v="54600"/>
    <s v="Advika Joshi"/>
    <n v="8450"/>
  </r>
  <r>
    <s v="141799"/>
    <s v="MH"/>
    <s v="Chandrakant Kasbe"/>
    <s v="16/04/2021"/>
    <s v="Processing"/>
    <s v="Intel i5 12th gen."/>
    <s v="CPU"/>
    <s v="Intel"/>
    <n v="8500"/>
    <n v="11050"/>
    <n v="2"/>
    <n v="17000"/>
    <n v="22100"/>
    <s v="Ajay Sharma"/>
    <n v="33150"/>
  </r>
  <r>
    <s v="141800"/>
    <s v="MH"/>
    <s v="Rohan Kale"/>
    <s v="16/04/2021"/>
    <s v="Delivered"/>
    <s v="2GB Graphic Card"/>
    <s v="Graphic Card"/>
    <s v="Nvidia"/>
    <n v="7000"/>
    <n v="9100"/>
    <n v="1"/>
    <n v="7000"/>
    <n v="9100"/>
    <s v="Roshan Kumar"/>
    <n v="18200"/>
  </r>
  <r>
    <s v="141801"/>
    <s v="MH"/>
    <s v="Aniruddha Kekapure"/>
    <s v="16/04/2021"/>
    <s v="Shipped"/>
    <s v="75 GB DDR4 Ram"/>
    <s v="NIC"/>
    <s v="Hynix"/>
    <n v="1680"/>
    <n v="2184"/>
    <n v="4"/>
    <n v="6720"/>
    <n v="8736"/>
    <s v="Aarvi Gupta"/>
    <n v="9100"/>
  </r>
  <r>
    <s v="141802"/>
    <s v="MH"/>
    <s v="Aslam Raza"/>
    <s v="16/04/2021"/>
    <s v="Order"/>
    <s v="Micro ATX motherboard"/>
    <s v="Printer"/>
    <s v="MSI"/>
    <n v="6540"/>
    <n v="8502"/>
    <n v="2"/>
    <n v="13080"/>
    <n v="17004"/>
    <s v="Vijay Singh"/>
    <n v="11700"/>
  </r>
  <r>
    <s v="141803"/>
    <s v="MH"/>
    <s v="Roshan Zameer"/>
    <s v="16/04/2021"/>
    <s v="Processing"/>
    <s v="Gaming Box Cabinet"/>
    <s v="Cabinet"/>
    <s v="Asus"/>
    <n v="2680"/>
    <n v="3484"/>
    <n v="2"/>
    <n v="5360"/>
    <n v="6968"/>
    <s v="Aadil Khan"/>
    <n v="2990"/>
  </r>
  <r>
    <s v="141804"/>
    <s v="MH"/>
    <s v="Rakesh Kumar Sharma"/>
    <s v="16/04/2021"/>
    <s v="Delivered"/>
    <s v="17&quot; LCD Display"/>
    <s v="Monitor"/>
    <s v="Samsung"/>
    <n v="8250"/>
    <n v="10725"/>
    <n v="2"/>
    <n v="16500"/>
    <n v="21450"/>
    <s v="Advika Joshi"/>
    <n v="9750"/>
  </r>
  <r>
    <s v="141805"/>
    <s v="MH"/>
    <s v="Shivanand Sahani"/>
    <s v="16/04/2021"/>
    <s v="Shipped"/>
    <s v="79 GB DDR4 RAM"/>
    <s v="RAM"/>
    <s v="Samsung"/>
    <n v="2650"/>
    <n v="3445"/>
    <n v="4"/>
    <n v="10600"/>
    <n v="13780"/>
    <s v="Ajay Sharma"/>
    <n v="25545"/>
  </r>
  <r>
    <s v="141806"/>
    <s v="MH"/>
    <s v="Kunal Patra"/>
    <s v="16/04/2021"/>
    <s v="Order"/>
    <s v="26&quot; LCD Display"/>
    <s v="Monitor"/>
    <s v="Acer"/>
    <n v="12550"/>
    <n v="16315"/>
    <n v="1"/>
    <n v="12550"/>
    <n v="16315"/>
    <s v="Roshan Kumar"/>
    <n v="9750"/>
  </r>
  <r>
    <s v="141807"/>
    <s v="MH"/>
    <s v="Bijendra"/>
    <s v="16/04/2021"/>
    <s v="Processing"/>
    <s v="I7 - intel 12th Generation"/>
    <s v="CPU"/>
    <s v="Intel"/>
    <n v="14500"/>
    <n v="18850"/>
    <n v="4"/>
    <n v="58000"/>
    <n v="75400"/>
    <s v="Aarvi Gupta"/>
    <n v="33150"/>
  </r>
  <r>
    <s v="141808"/>
    <s v="MH"/>
    <s v="Kranti Bheke"/>
    <s v="16/04/2021"/>
    <s v="Delivered"/>
    <s v="USB Keyboard"/>
    <s v="Keyboard"/>
    <s v="Dell"/>
    <n v="800"/>
    <n v="1040"/>
    <n v="1"/>
    <n v="800"/>
    <n v="1040"/>
    <s v="Vijay Singh"/>
    <n v="3315"/>
  </r>
  <r>
    <s v="141809"/>
    <s v="MH"/>
    <s v="Jagdeep"/>
    <s v="16/04/2021"/>
    <s v="Shipped"/>
    <s v="Wireless Mouse"/>
    <s v="Mouse"/>
    <s v="Samsung"/>
    <n v="600"/>
    <n v="780"/>
    <n v="2"/>
    <n v="1200"/>
    <n v="1560"/>
    <s v="Aadil Khan"/>
    <n v="1690"/>
  </r>
  <r>
    <s v="141810"/>
    <s v="MH"/>
    <s v="Adhir Samal"/>
    <s v="16/04/2021"/>
    <s v="Order"/>
    <s v="21&quot; LCD Display"/>
    <s v="Monitor"/>
    <s v="Dell"/>
    <n v="10500"/>
    <n v="13650"/>
    <n v="4"/>
    <n v="42000"/>
    <n v="54600"/>
    <s v="Advika Joshi"/>
    <n v="9750"/>
  </r>
  <r>
    <s v="141811"/>
    <s v="MH"/>
    <s v="Dannana Jhammi"/>
    <s v="16/04/2021"/>
    <s v="Processing"/>
    <s v="73 TB HDD"/>
    <s v="HDD"/>
    <s v="Western Digital"/>
    <n v="6500"/>
    <n v="8450"/>
    <n v="4"/>
    <n v="26000"/>
    <n v="33800"/>
    <s v="Ajay Sharma"/>
    <n v="39000"/>
  </r>
  <r>
    <s v="141812"/>
    <s v="MH"/>
    <s v="Vipin Kumar"/>
    <s v="16/04/2021"/>
    <s v="Delivered"/>
    <s v="328 GB SSD"/>
    <s v="SSD"/>
    <s v="Samsung"/>
    <n v="4500"/>
    <n v="5850"/>
    <n v="3"/>
    <n v="13500"/>
    <n v="17550"/>
    <s v="Roshan Kumar"/>
    <n v="8450"/>
  </r>
  <r>
    <s v="141813"/>
    <s v="MH"/>
    <s v="Ranjeet Kumar"/>
    <s v="16/04/2021"/>
    <s v="Shipped"/>
    <s v="Intel i3 11th gen."/>
    <s v="CPU"/>
    <s v="Intel"/>
    <n v="8500"/>
    <n v="11050"/>
    <n v="1"/>
    <n v="8500"/>
    <n v="11050"/>
    <s v="Aarvi Gupta"/>
    <n v="33150"/>
  </r>
  <r>
    <s v="141814"/>
    <s v="MH"/>
    <s v="Sajal Singhal"/>
    <s v="16/04/2021"/>
    <s v="Order"/>
    <s v="4GB Graphic card"/>
    <s v="Graphic Card"/>
    <s v="Nvidia"/>
    <n v="12500"/>
    <n v="16250"/>
    <n v="2"/>
    <n v="25000"/>
    <n v="32500"/>
    <s v="Vijay Singh"/>
    <n v="18200"/>
  </r>
  <r>
    <s v="141815"/>
    <s v="AR"/>
    <s v="Akhilesh Kumar"/>
    <s v="16/04/2021"/>
    <s v="Processing"/>
    <s v="80 GB DDR4 RAM"/>
    <s v="RAM"/>
    <s v="Hynix"/>
    <n v="3500"/>
    <n v="4550"/>
    <n v="1"/>
    <n v="3500"/>
    <n v="4550"/>
    <s v="Aadil Khan"/>
    <n v="25545"/>
  </r>
  <r>
    <s v="141816"/>
    <s v="AS"/>
    <s v="Suvankar Chakraborty"/>
    <s v="16/04/2021"/>
    <s v="Delivered"/>
    <s v="BTX motherboard"/>
    <s v="MotherBoard"/>
    <s v="Gigabyte"/>
    <n v="4500"/>
    <n v="5850"/>
    <n v="1"/>
    <n v="4500"/>
    <n v="5850"/>
    <s v="Advika Joshi"/>
    <n v="39780"/>
  </r>
  <r>
    <s v="141817"/>
    <s v="BR"/>
    <s v="Suvankar Adhikary"/>
    <s v="16/04/2021"/>
    <s v="Shipped"/>
    <s v="75 Fans Cabinet"/>
    <s v="Cabinet"/>
    <s v="Asus"/>
    <n v="2100"/>
    <n v="2730"/>
    <n v="2"/>
    <n v="4200"/>
    <n v="5460"/>
    <s v="Ajay Sharma"/>
    <n v="2990"/>
  </r>
  <r>
    <s v="141818"/>
    <s v="CG"/>
    <s v="Rahul Kumar Prajapati"/>
    <s v="16/04/2021"/>
    <s v="Order"/>
    <s v="Wireless Keyboard"/>
    <s v="Keyboard"/>
    <s v="Dell"/>
    <n v="1150"/>
    <n v="1495"/>
    <n v="4"/>
    <n v="4600"/>
    <n v="5980"/>
    <s v="Roshan Kumar"/>
    <n v="3315"/>
  </r>
  <r>
    <s v="141819"/>
    <s v="GA"/>
    <s v="Sagar Jeur"/>
    <s v="16/04/2021"/>
    <s v="Processing"/>
    <s v="USB Mouse"/>
    <s v="Mouse"/>
    <s v="Samsung"/>
    <n v="350"/>
    <n v="455"/>
    <n v="3"/>
    <n v="1050"/>
    <n v="1365"/>
    <s v="Aarvi Gupta"/>
    <n v="1690"/>
  </r>
  <r>
    <s v="141820"/>
    <s v="GJ"/>
    <s v="Rhushikesh Mane"/>
    <s v="16/04/2021"/>
    <s v="Delivered"/>
    <s v="19&quot; LED Display"/>
    <s v="Monitor"/>
    <s v="Dell"/>
    <n v="9500"/>
    <n v="12350"/>
    <n v="2"/>
    <n v="19000"/>
    <n v="24700"/>
    <s v="Vijay Singh"/>
    <n v="9750"/>
  </r>
  <r>
    <s v="141821"/>
    <s v="HR"/>
    <s v="Ashish Kumar"/>
    <s v="16/04/2021"/>
    <s v="Shipped"/>
    <s v="74 TB HDD"/>
    <s v="HDD"/>
    <s v="Western Digital"/>
    <n v="10000"/>
    <n v="13000"/>
    <n v="4"/>
    <n v="40000"/>
    <n v="52000"/>
    <s v="Aadil Khan"/>
    <n v="39000"/>
  </r>
  <r>
    <s v="141822"/>
    <s v="HP"/>
    <s v="Javed Akhter"/>
    <s v="16/04/2021"/>
    <s v="Order"/>
    <s v="584 GB M.2"/>
    <s v="SSD"/>
    <s v="Samsung"/>
    <n v="6500"/>
    <n v="8450"/>
    <n v="3"/>
    <n v="19500"/>
    <n v="25350"/>
    <s v="Advika Joshi"/>
    <n v="8450"/>
  </r>
  <r>
    <s v="141823"/>
    <s v="JK"/>
    <s v="Haridas Balraj"/>
    <s v="16/04/2021"/>
    <s v="Processing"/>
    <s v="RYZEN 3rd gen. 3572"/>
    <s v="CPU"/>
    <s v="Intel"/>
    <n v="8500"/>
    <n v="11050"/>
    <n v="2"/>
    <n v="17000"/>
    <n v="22100"/>
    <s v="Ajay Sharma"/>
    <n v="33150"/>
  </r>
  <r>
    <s v="141824"/>
    <s v="JH"/>
    <s v="Kundan Kumar"/>
    <s v="16/04/2021"/>
    <s v="Delivered"/>
    <s v="2GB Graphic Card"/>
    <s v="Graphic Card"/>
    <s v="Nvidia"/>
    <n v="7000"/>
    <n v="9100"/>
    <n v="3"/>
    <n v="21000"/>
    <n v="27300"/>
    <s v="Roshan Kumar"/>
    <n v="18200"/>
  </r>
  <r>
    <s v="141825"/>
    <s v="KA"/>
    <s v="Atif Siddiqui"/>
    <s v="16/04/2021"/>
    <s v="Shipped"/>
    <s v="88 GB DDR4 RAM"/>
    <s v="RAM"/>
    <s v="Hynix"/>
    <n v="6550"/>
    <n v="8515"/>
    <n v="4"/>
    <n v="26200"/>
    <n v="34060"/>
    <s v="Aarvi Gupta"/>
    <n v="25545"/>
  </r>
  <r>
    <s v="141826"/>
    <s v="KL"/>
    <s v="Aditya Agarwal"/>
    <s v="16/04/2021"/>
    <s v="Order"/>
    <s v="Standard ATX motherboard"/>
    <s v="MotherBoard"/>
    <s v="Gigabyte"/>
    <n v="7650"/>
    <n v="9945"/>
    <n v="2"/>
    <n v="15300"/>
    <n v="19890"/>
    <s v="Vijay Singh"/>
    <n v="39780"/>
  </r>
  <r>
    <s v="141827"/>
    <s v="MP"/>
    <s v="Firdoush Jabee"/>
    <s v="16/04/2021"/>
    <s v="Processing"/>
    <s v="Compact with 1 Fan"/>
    <s v="Cabinet"/>
    <s v="Asus"/>
    <n v="1150"/>
    <n v="1495"/>
    <n v="3"/>
    <n v="3450"/>
    <n v="4485"/>
    <s v="Aadil Khan"/>
    <n v="2990"/>
  </r>
  <r>
    <s v="141828"/>
    <s v="MH"/>
    <s v="Jay Prakash Kumar"/>
    <s v="16/04/2021"/>
    <s v="Delivered"/>
    <s v="USB Backlight Keyboard"/>
    <s v="Keyboard"/>
    <s v="Dell"/>
    <n v="850"/>
    <n v="1105"/>
    <n v="3"/>
    <n v="2550"/>
    <n v="3315"/>
    <s v="Advika Joshi"/>
    <n v="3315"/>
  </r>
  <r>
    <s v="141829"/>
    <s v="MN"/>
    <s v="Ashish Pandey"/>
    <s v="16/04/2021"/>
    <s v="Shipped"/>
    <s v="Ergonomic Mouse"/>
    <s v="Mouse"/>
    <s v="Samsung"/>
    <n v="650"/>
    <n v="845"/>
    <n v="4"/>
    <n v="2600"/>
    <n v="3380"/>
    <s v="Ajay Sharma"/>
    <n v="1690"/>
  </r>
  <r>
    <s v="141830"/>
    <s v="ML"/>
    <s v="Ajay Sharma"/>
    <s v="16/04/2021"/>
    <s v="Order"/>
    <s v="15&quot; LCD Dsipaly"/>
    <s v="Monitor"/>
    <s v="Dell"/>
    <n v="7500"/>
    <n v="9750"/>
    <n v="2"/>
    <n v="15000"/>
    <n v="19500"/>
    <s v="Roshan Kumar"/>
    <n v="9750"/>
  </r>
  <r>
    <s v="141831"/>
    <s v="MZ"/>
    <s v="Moinuddin Saifi"/>
    <s v="16/04/2021"/>
    <s v="Processing"/>
    <s v="74 TB HDD"/>
    <s v="HDD"/>
    <s v="Seagate"/>
    <n v="10000"/>
    <n v="13000"/>
    <n v="4"/>
    <n v="40000"/>
    <n v="52000"/>
    <s v="Aarvi Gupta"/>
    <n v="39000"/>
  </r>
  <r>
    <s v="141832"/>
    <s v="NL"/>
    <s v="Ramkrishna Das Adhikary"/>
    <s v="16/04/2021"/>
    <s v="Delivered"/>
    <s v="73 TB SSD"/>
    <s v="SSD"/>
    <s v="Samsung"/>
    <n v="10500"/>
    <n v="13650"/>
    <n v="2"/>
    <n v="21000"/>
    <n v="27300"/>
    <s v="Vijay Singh"/>
    <n v="8450"/>
  </r>
  <r>
    <s v="141833"/>
    <s v="OR"/>
    <s v="Ranjeet Mandal"/>
    <s v="16/04/2021"/>
    <s v="Shipped"/>
    <s v="Intel i5 12th gen."/>
    <s v="CPU"/>
    <s v="Intel"/>
    <n v="8500"/>
    <n v="11050"/>
    <n v="3"/>
    <n v="25500"/>
    <n v="33150"/>
    <s v="Aadil Khan"/>
    <n v="33150"/>
  </r>
  <r>
    <s v="141834"/>
    <s v="PB"/>
    <s v="Ashwini Adsare"/>
    <s v="16/04/2021"/>
    <s v="Order"/>
    <s v="2GB Graphic Card"/>
    <s v="Graphic Card"/>
    <s v="Nvidia"/>
    <n v="7000"/>
    <n v="9100"/>
    <n v="2"/>
    <n v="14000"/>
    <n v="18200"/>
    <s v="Advika Joshi"/>
    <n v="18200"/>
  </r>
  <r>
    <s v="141835"/>
    <s v="RJ"/>
    <s v="Rajesh Variya"/>
    <s v="16/04/2021"/>
    <s v="Processing"/>
    <s v="76 GB DDR4 Ram"/>
    <s v="RAM"/>
    <s v="Hynix"/>
    <n v="1680"/>
    <n v="2184"/>
    <n v="2"/>
    <n v="3360"/>
    <n v="4368"/>
    <s v="Ajay Sharma"/>
    <n v="25545"/>
  </r>
  <r>
    <s v="141836"/>
    <s v="SK"/>
    <s v="Amit Singh"/>
    <s v="16/04/2021"/>
    <s v="Delivered"/>
    <s v="Micro ATX motherboard"/>
    <s v="MotherBoard"/>
    <s v="MSI"/>
    <n v="6540"/>
    <n v="8502"/>
    <n v="3"/>
    <n v="19620"/>
    <n v="25506"/>
    <s v="Roshan Kumar"/>
    <n v="39780"/>
  </r>
  <r>
    <s v="141837"/>
    <s v="TN"/>
    <s v="Vinod Mehta"/>
    <s v="16/04/2021"/>
    <s v="Shipped"/>
    <s v="Gaming Box Cabinet"/>
    <s v="Cabinet"/>
    <s v="Asus"/>
    <n v="2680"/>
    <n v="3484"/>
    <n v="2"/>
    <n v="5360"/>
    <n v="6968"/>
    <s v="Aarvi Gupta"/>
    <n v="2990"/>
  </r>
  <r>
    <s v="141838"/>
    <s v="TR"/>
    <s v="Jignesh Mhatre"/>
    <s v="16/04/2021"/>
    <s v="Order"/>
    <s v="17&quot; LCD Display"/>
    <s v="Monitor"/>
    <s v="Samsung"/>
    <n v="8250"/>
    <n v="10725"/>
    <n v="2"/>
    <n v="16500"/>
    <n v="21450"/>
    <s v="Vijay Singh"/>
    <n v="9750"/>
  </r>
  <r>
    <s v="141839"/>
    <s v="UK"/>
    <s v="Rahul Kashyap"/>
    <s v="16/04/2021"/>
    <s v="Processing"/>
    <s v="80 GB DDR4 RAM"/>
    <s v="RAM"/>
    <s v="Samsung"/>
    <n v="2650"/>
    <n v="3445"/>
    <n v="4"/>
    <n v="10600"/>
    <n v="13780"/>
    <s v="Aadil Khan"/>
    <n v="25545"/>
  </r>
  <r>
    <s v="141840"/>
    <s v="UP"/>
    <s v="Mohammed Abdul Kaleem"/>
    <s v="16/04/2021"/>
    <s v="Delivered"/>
    <s v="26&quot; LCD Display"/>
    <s v="Monitor"/>
    <s v="Acer"/>
    <n v="12550"/>
    <n v="16315"/>
    <n v="4"/>
    <n v="50200"/>
    <n v="65260"/>
    <s v="Advika Joshi"/>
    <n v="9750"/>
  </r>
  <r>
    <s v="141841"/>
    <s v="UP"/>
    <s v="Chandrakant Kasbe"/>
    <s v="16/04/2021"/>
    <s v="Shipped"/>
    <s v="I7 - intel 12th Generation"/>
    <s v="CPU"/>
    <s v="Intel"/>
    <n v="14500"/>
    <n v="18850"/>
    <n v="3"/>
    <n v="43500"/>
    <n v="56550"/>
    <s v="Ajay Sharma"/>
    <n v="33150"/>
  </r>
  <r>
    <s v="141842"/>
    <s v="UP"/>
    <s v="Rohan Kale"/>
    <s v="16/04/2021"/>
    <s v="Order"/>
    <s v="USB Keyboard"/>
    <s v="Keyboard"/>
    <s v="Dell"/>
    <n v="800"/>
    <n v="1040"/>
    <n v="3"/>
    <n v="2400"/>
    <n v="3120"/>
    <s v="Roshan Kumar"/>
    <n v="3315"/>
  </r>
  <r>
    <s v="141843"/>
    <s v="UP"/>
    <s v="Aniruddha Kekapure"/>
    <s v="16/04/2021"/>
    <s v="Processing"/>
    <s v="Wireless Mouse"/>
    <s v="Mouse"/>
    <s v="Samsung"/>
    <n v="600"/>
    <n v="780"/>
    <n v="1"/>
    <n v="600"/>
    <n v="780"/>
    <s v="Aarvi Gupta"/>
    <n v="1690"/>
  </r>
  <r>
    <s v="141844"/>
    <s v="UP"/>
    <s v="Aslam Raza"/>
    <s v="16/04/2021"/>
    <s v="Delivered"/>
    <s v="21&quot; LCD Display"/>
    <s v="Monitor"/>
    <s v="Dell"/>
    <n v="10500"/>
    <n v="13650"/>
    <n v="1"/>
    <n v="10500"/>
    <n v="13650"/>
    <s v="Vijay Singh"/>
    <n v="9750"/>
  </r>
  <r>
    <s v="141845"/>
    <s v="UP"/>
    <s v="Roshan Zameer"/>
    <s v="16/04/2021"/>
    <s v="Shipped"/>
    <s v="74 TB HDD"/>
    <s v="HDD"/>
    <s v="Western Digital"/>
    <n v="6500"/>
    <n v="8450"/>
    <n v="4"/>
    <n v="26000"/>
    <n v="33800"/>
    <s v="Aadil Khan"/>
    <n v="39000"/>
  </r>
  <r>
    <s v="141846"/>
    <s v="UP"/>
    <s v="Rakesh Kumar Sharma"/>
    <s v="16/04/2021"/>
    <s v="Order"/>
    <s v="329 GB SSD"/>
    <s v="SSD"/>
    <s v="Samsung"/>
    <n v="4500"/>
    <n v="5850"/>
    <n v="2"/>
    <n v="9000"/>
    <n v="11700"/>
    <s v="Advika Joshi"/>
    <n v="8450"/>
  </r>
  <r>
    <s v="141847"/>
    <s v="UP"/>
    <s v="Shivanand Sahani"/>
    <s v="17/04/2021"/>
    <s v="Processing"/>
    <s v="Intel i3 11th gen."/>
    <s v="CPU"/>
    <s v="Intel"/>
    <n v="8500"/>
    <n v="11050"/>
    <n v="2"/>
    <n v="17000"/>
    <n v="22100"/>
    <s v="Ajay Sharma"/>
    <n v="33150"/>
  </r>
  <r>
    <s v="141848"/>
    <s v="UP"/>
    <s v="Kunal Patra"/>
    <s v="17/04/2021"/>
    <s v="Delivered"/>
    <s v="4GB Graphic card"/>
    <s v="Graphic Card"/>
    <s v="Nvidia"/>
    <n v="12500"/>
    <n v="16250"/>
    <n v="4"/>
    <n v="50000"/>
    <n v="65000"/>
    <s v="Roshan Kumar"/>
    <n v="18200"/>
  </r>
  <r>
    <s v="141849"/>
    <s v="UP"/>
    <s v="Bijendra"/>
    <s v="17/04/2021"/>
    <s v="Shipped"/>
    <s v="81 GB DDR4 RAM"/>
    <s v="Computer Case"/>
    <s v="Hynix"/>
    <n v="3500"/>
    <n v="4550"/>
    <n v="1"/>
    <n v="3500"/>
    <n v="4550"/>
    <s v="Aarvi Gupta"/>
    <n v="13650"/>
  </r>
  <r>
    <s v="141850"/>
    <s v="PY"/>
    <s v="Kranti Bheke"/>
    <s v="17/04/2021"/>
    <s v="Order"/>
    <s v="BTX motherboard"/>
    <s v="Mouse"/>
    <s v="Gigabyte"/>
    <n v="4500"/>
    <n v="5850"/>
    <n v="1"/>
    <n v="4500"/>
    <n v="5850"/>
    <s v="Vijay Singh"/>
    <n v="1690"/>
  </r>
  <r>
    <s v="141851"/>
    <s v="AP"/>
    <s v="Jagdeep"/>
    <s v="17/04/2021"/>
    <s v="Processing"/>
    <s v="76 Fans Cabinet"/>
    <s v="Cabinet"/>
    <s v="Asus"/>
    <n v="2100"/>
    <n v="2730"/>
    <n v="2"/>
    <n v="4200"/>
    <n v="5460"/>
    <s v="Aadil Khan"/>
    <n v="2990"/>
  </r>
  <r>
    <s v="141852"/>
    <s v="AR"/>
    <s v="Adhir Samal"/>
    <s v="17/04/2021"/>
    <s v="Delivered"/>
    <s v="Wireless Keyboard"/>
    <s v="Keyboard"/>
    <s v="Dell"/>
    <n v="1150"/>
    <n v="1495"/>
    <n v="1"/>
    <n v="1150"/>
    <n v="1495"/>
    <s v="Advika Joshi"/>
    <n v="3315"/>
  </r>
  <r>
    <s v="141853"/>
    <s v="UP"/>
    <s v="Dannana Jhammi"/>
    <s v="17/04/2021"/>
    <s v="Shipped"/>
    <s v="USB Mouse"/>
    <s v="Mouse"/>
    <s v="Samsung"/>
    <n v="350"/>
    <n v="455"/>
    <n v="1"/>
    <n v="350"/>
    <n v="455"/>
    <s v="Ajay Sharma"/>
    <n v="1690"/>
  </r>
  <r>
    <s v="141854"/>
    <s v="UP"/>
    <s v="Vipin Kumar"/>
    <s v="17/04/2021"/>
    <s v="Order"/>
    <s v="19&quot; LED Display"/>
    <s v="Monitor"/>
    <s v="Dell"/>
    <n v="9500"/>
    <n v="12350"/>
    <n v="1"/>
    <n v="9500"/>
    <n v="12350"/>
    <s v="Roshan Kumar"/>
    <n v="9750"/>
  </r>
  <r>
    <s v="141855"/>
    <s v="UP"/>
    <s v="Ranjeet Kumar"/>
    <s v="17/04/2021"/>
    <s v="Processing"/>
    <s v="75 TB HDD"/>
    <s v="HDD"/>
    <s v="Western Digital"/>
    <n v="10000"/>
    <n v="13000"/>
    <n v="1"/>
    <n v="10000"/>
    <n v="13000"/>
    <s v="Aarvi Gupta"/>
    <n v="39000"/>
  </r>
  <r>
    <s v="141856"/>
    <s v="UP"/>
    <s v="Sajal Singhal"/>
    <s v="17/04/2021"/>
    <s v="Delivered"/>
    <s v="585 GB M.2"/>
    <s v="SSD"/>
    <s v="Samsung"/>
    <n v="6500"/>
    <n v="8450"/>
    <n v="4"/>
    <n v="26000"/>
    <n v="33800"/>
    <s v="Vijay Singh"/>
    <n v="8450"/>
  </r>
  <r>
    <s v="141857"/>
    <s v="UP"/>
    <s v="Akhilesh Kumar"/>
    <s v="17/04/2021"/>
    <s v="Shipped"/>
    <s v="RYZEN 3rd gen. 3573"/>
    <s v="CPU"/>
    <s v="Intel"/>
    <n v="8500"/>
    <n v="11050"/>
    <n v="4"/>
    <n v="34000"/>
    <n v="44200"/>
    <s v="Aadil Khan"/>
    <n v="33150"/>
  </r>
  <r>
    <s v="141858"/>
    <s v="UP"/>
    <s v="Suvankar Chakraborty"/>
    <s v="18/04/2021"/>
    <s v="Order"/>
    <s v="2GB Graphic Card"/>
    <s v="Graphic Card"/>
    <s v="Nvidia"/>
    <n v="7000"/>
    <n v="9100"/>
    <n v="3"/>
    <n v="21000"/>
    <n v="27300"/>
    <s v="Advika Joshi"/>
    <n v="18200"/>
  </r>
  <r>
    <s v="141859"/>
    <s v="UP"/>
    <s v="Suvankar Adhikary"/>
    <s v="18/04/2021"/>
    <s v="Processing"/>
    <s v="89 GB DDR4 RAM"/>
    <s v="Computer Case"/>
    <s v="Hynix"/>
    <n v="6550"/>
    <n v="8515"/>
    <n v="3"/>
    <n v="19650"/>
    <n v="25545"/>
    <s v="Ajay Sharma"/>
    <n v="13650"/>
  </r>
  <r>
    <s v="141860"/>
    <s v="UP"/>
    <s v="Rahul Kumar Prajapati"/>
    <s v="18/04/2021"/>
    <s v="Delivered"/>
    <s v="Standard ATX motherboard"/>
    <s v="Mouse"/>
    <s v="Gigabyte"/>
    <n v="7650"/>
    <n v="9945"/>
    <n v="2"/>
    <n v="15300"/>
    <n v="19890"/>
    <s v="Roshan Kumar"/>
    <n v="1690"/>
  </r>
  <r>
    <s v="141861"/>
    <s v="UP"/>
    <s v="Sagar Jeur"/>
    <s v="18/04/2021"/>
    <s v="Shipped"/>
    <s v="Compact with 1 Fan"/>
    <s v="Cabinet"/>
    <s v="Asus"/>
    <n v="1150"/>
    <n v="1495"/>
    <n v="2"/>
    <n v="2300"/>
    <n v="2990"/>
    <s v="Aarvi Gupta"/>
    <n v="2990"/>
  </r>
  <r>
    <s v="141862"/>
    <s v="UP"/>
    <s v="Rhushikesh Mane"/>
    <s v="18/04/2021"/>
    <s v="Order"/>
    <s v="USB Backlight Keyboard"/>
    <s v="Keyboard"/>
    <s v="Dell"/>
    <n v="850"/>
    <n v="1105"/>
    <n v="3"/>
    <n v="2550"/>
    <n v="3315"/>
    <s v="Vijay Singh"/>
    <n v="3315"/>
  </r>
  <r>
    <s v="141863"/>
    <s v="KL"/>
    <s v="Ashish Kumar"/>
    <s v="18/04/2021"/>
    <s v="Processing"/>
    <s v="Ergonomic Mouse"/>
    <s v="Mouse"/>
    <s v="Samsung"/>
    <n v="650"/>
    <n v="845"/>
    <n v="2"/>
    <n v="1300"/>
    <n v="1690"/>
    <s v="Aadil Khan"/>
    <n v="1690"/>
  </r>
  <r>
    <s v="141864"/>
    <s v="MP"/>
    <s v="Javed Akhter"/>
    <s v="18/04/2021"/>
    <s v="Delivered"/>
    <s v="15&quot; LCD Dsipaly"/>
    <s v="Monitor"/>
    <s v="Dell"/>
    <n v="7500"/>
    <n v="9750"/>
    <n v="2"/>
    <n v="15000"/>
    <n v="19500"/>
    <s v="Advika Joshi"/>
    <n v="9750"/>
  </r>
  <r>
    <s v="141865"/>
    <s v="MH"/>
    <s v="Haridas Balraj"/>
    <s v="18/04/2021"/>
    <s v="Shipped"/>
    <s v="75 TB HDD"/>
    <s v="HDD"/>
    <s v="Seagate"/>
    <n v="10000"/>
    <n v="13000"/>
    <n v="3"/>
    <n v="30000"/>
    <n v="39000"/>
    <s v="Ajay Sharma"/>
    <n v="39000"/>
  </r>
  <r>
    <s v="141866"/>
    <s v="MN"/>
    <s v="Kundan Kumar"/>
    <s v="18/04/2021"/>
    <s v="Order"/>
    <s v="74 TB SSD"/>
    <s v="SSD"/>
    <s v="Samsung"/>
    <n v="10500"/>
    <n v="13650"/>
    <n v="4"/>
    <n v="42000"/>
    <n v="54600"/>
    <s v="Roshan Kumar"/>
    <n v="8450"/>
  </r>
  <r>
    <s v="141867"/>
    <s v="ML"/>
    <s v="Atif Siddiqui"/>
    <s v="18/04/2021"/>
    <s v="Processing"/>
    <s v="Intel i5 12th gen."/>
    <s v="CPU"/>
    <s v="Intel"/>
    <n v="8500"/>
    <n v="11050"/>
    <n v="1"/>
    <n v="8500"/>
    <n v="11050"/>
    <s v="Aarvi Gupta"/>
    <n v="33150"/>
  </r>
  <r>
    <s v="141868"/>
    <s v="MZ"/>
    <s v="Aditya Agarwal"/>
    <s v="18/04/2021"/>
    <s v="Delivered"/>
    <s v="2GB Graphic Card"/>
    <s v="Graphic Card"/>
    <s v="Nvidia"/>
    <n v="7000"/>
    <n v="9100"/>
    <n v="3"/>
    <n v="21000"/>
    <n v="27300"/>
    <s v="Vijay Singh"/>
    <n v="18200"/>
  </r>
  <r>
    <s v="141869"/>
    <s v="NL"/>
    <s v="Firdoush Jabee"/>
    <s v="18/04/2021"/>
    <s v="Shipped"/>
    <s v="77 GB DDR4 Ram"/>
    <s v="Computer Case"/>
    <s v="Hynix"/>
    <n v="1680"/>
    <n v="2184"/>
    <n v="4"/>
    <n v="6720"/>
    <n v="8736"/>
    <s v="Aadil Khan"/>
    <n v="13650"/>
  </r>
  <r>
    <s v="141870"/>
    <s v="OR"/>
    <s v="Jay Prakash Kumar"/>
    <s v="18/04/2021"/>
    <s v="Order"/>
    <s v="Micro ATX motherboard"/>
    <s v="Mouse"/>
    <s v="MSI"/>
    <n v="6540"/>
    <n v="8502"/>
    <n v="4"/>
    <n v="26160"/>
    <n v="34008"/>
    <s v="Advika Joshi"/>
    <n v="1690"/>
  </r>
  <r>
    <s v="141871"/>
    <s v="PB"/>
    <s v="Ashish Pandey"/>
    <s v="18/04/2021"/>
    <s v="Processing"/>
    <s v="Gaming Box Cabinet"/>
    <s v="Cabinet"/>
    <s v="Asus"/>
    <n v="2680"/>
    <n v="3484"/>
    <n v="2"/>
    <n v="5360"/>
    <n v="6968"/>
    <s v="Ajay Sharma"/>
    <n v="2990"/>
  </r>
  <r>
    <s v="141872"/>
    <s v="RJ"/>
    <s v="Ajay Sharma"/>
    <s v="18/04/2021"/>
    <s v="Delivered"/>
    <s v="17&quot; LCD Display"/>
    <s v="Monitor"/>
    <s v="Samsung"/>
    <n v="8250"/>
    <n v="10725"/>
    <n v="3"/>
    <n v="24750"/>
    <n v="32175"/>
    <s v="Roshan Kumar"/>
    <n v="9750"/>
  </r>
  <r>
    <s v="141873"/>
    <s v="SK"/>
    <s v="Moinuddin Saifi"/>
    <s v="18/04/2021"/>
    <s v="Shipped"/>
    <s v="81 GB DDR4 RAM"/>
    <s v="RAM"/>
    <s v="Samsung"/>
    <n v="2650"/>
    <n v="3445"/>
    <n v="3"/>
    <n v="7950"/>
    <n v="10335"/>
    <s v="Aarvi Gupta"/>
    <n v="25545"/>
  </r>
  <r>
    <s v="141874"/>
    <s v="TN"/>
    <s v="Ramkrishna Das Adhikary"/>
    <s v="18/04/2021"/>
    <s v="Order"/>
    <s v="26&quot; LCD Display"/>
    <s v="Monitor"/>
    <s v="Acer"/>
    <n v="12550"/>
    <n v="16315"/>
    <n v="1"/>
    <n v="12550"/>
    <n v="16315"/>
    <s v="Vijay Singh"/>
    <n v="9750"/>
  </r>
  <r>
    <s v="141875"/>
    <s v="TR"/>
    <s v="Ranjeet Mandal"/>
    <s v="18/04/2021"/>
    <s v="Processing"/>
    <s v="I7 - intel 12th Generation"/>
    <s v="CPU"/>
    <s v="Intel"/>
    <n v="14500"/>
    <n v="18850"/>
    <n v="3"/>
    <n v="43500"/>
    <n v="56550"/>
    <s v="Aadil Khan"/>
    <n v="33150"/>
  </r>
  <r>
    <s v="141876"/>
    <s v="UK"/>
    <s v="Ashwini Adsare"/>
    <s v="18/04/2021"/>
    <s v="Delivered"/>
    <s v="USB Keyboard"/>
    <s v="Keyboard"/>
    <s v="Dell"/>
    <n v="800"/>
    <n v="1040"/>
    <n v="4"/>
    <n v="3200"/>
    <n v="4160"/>
    <s v="Advika Joshi"/>
    <n v="3315"/>
  </r>
  <r>
    <s v="141877"/>
    <s v="UP"/>
    <s v="Rajesh Variya"/>
    <s v="18/04/2021"/>
    <s v="Shipped"/>
    <s v="Wireless Mouse"/>
    <s v="Mouse"/>
    <s v="Samsung"/>
    <n v="600"/>
    <n v="780"/>
    <n v="3"/>
    <n v="1800"/>
    <n v="2340"/>
    <s v="Ajay Sharma"/>
    <n v="1690"/>
  </r>
  <r>
    <s v="141878"/>
    <s v="WB"/>
    <s v="Amit Singh"/>
    <s v="18/04/2021"/>
    <s v="Order"/>
    <s v="21&quot; LCD Display"/>
    <s v="Monitor"/>
    <s v="Dell"/>
    <n v="10500"/>
    <n v="13650"/>
    <n v="1"/>
    <n v="10500"/>
    <n v="13650"/>
    <s v="Roshan Kumar"/>
    <n v="9750"/>
  </r>
  <r>
    <s v="141879"/>
    <s v="TN"/>
    <s v="Vinod Mehta"/>
    <s v="18/04/2021"/>
    <s v="Processing"/>
    <s v="75 TB HDD"/>
    <s v="HDD"/>
    <s v="Western Digital"/>
    <n v="6500"/>
    <n v="8450"/>
    <n v="3"/>
    <n v="19500"/>
    <n v="25350"/>
    <s v="Aarvi Gupta"/>
    <n v="39000"/>
  </r>
  <r>
    <s v="141880"/>
    <s v="TR"/>
    <s v="Jignesh Mhatre"/>
    <s v="18/04/2021"/>
    <s v="Delivered"/>
    <s v="330 GB SSD"/>
    <s v="SSD"/>
    <s v="Samsung"/>
    <n v="4500"/>
    <n v="5850"/>
    <n v="1"/>
    <n v="4500"/>
    <n v="5850"/>
    <s v="Vijay Singh"/>
    <n v="8450"/>
  </r>
  <r>
    <s v="141881"/>
    <s v="AN"/>
    <s v="Rahul Kashyap"/>
    <s v="19/04/2021"/>
    <s v="Shipped"/>
    <s v="Intel i3 11th gen."/>
    <s v="CPU"/>
    <s v="Intel"/>
    <n v="8500"/>
    <n v="11050"/>
    <n v="4"/>
    <n v="34000"/>
    <n v="44200"/>
    <s v="Aadil Khan"/>
    <n v="33150"/>
  </r>
  <r>
    <s v="141882"/>
    <s v="CH"/>
    <s v="Mohammed Abdul Kaleem"/>
    <s v="20/04/2021"/>
    <s v="Order"/>
    <s v="4GB Graphic card"/>
    <s v="Graphic Card"/>
    <s v="Nvidia"/>
    <n v="12500"/>
    <n v="16250"/>
    <n v="3"/>
    <n v="37500"/>
    <n v="48750"/>
    <s v="Advika Joshi"/>
    <n v="18200"/>
  </r>
  <r>
    <s v="141883"/>
    <s v="DH"/>
    <s v="Chandrakant Kasbe"/>
    <s v="21/04/2021"/>
    <s v="Processing"/>
    <s v="82 GB DDR4 RAM"/>
    <s v="NIC"/>
    <s v="Hynix"/>
    <n v="3500"/>
    <n v="4550"/>
    <n v="3"/>
    <n v="10500"/>
    <n v="13650"/>
    <s v="Ajay Sharma"/>
    <n v="9100"/>
  </r>
  <r>
    <s v="141884"/>
    <s v="DD"/>
    <s v="Rohan Kale"/>
    <s v="22/04/2021"/>
    <s v="Delivered"/>
    <s v="BTX motherboard"/>
    <s v="Printer"/>
    <s v="Gigabyte"/>
    <n v="4500"/>
    <n v="5850"/>
    <n v="3"/>
    <n v="13500"/>
    <n v="17550"/>
    <s v="Roshan Kumar"/>
    <n v="11700"/>
  </r>
  <r>
    <s v="141885"/>
    <s v="DL"/>
    <s v="Aniruddha Kekapure"/>
    <s v="23/04/2021"/>
    <s v="Shipped"/>
    <s v="77 Fans Cabinet"/>
    <s v="Cabinet"/>
    <s v="Asus"/>
    <n v="2100"/>
    <n v="2730"/>
    <n v="3"/>
    <n v="6300"/>
    <n v="8190"/>
    <s v="Aarvi Gupta"/>
    <n v="2990"/>
  </r>
  <r>
    <s v="141886"/>
    <s v="LD"/>
    <s v="Aslam Raza"/>
    <s v="24/04/2021"/>
    <s v="Order"/>
    <s v="Wireless Keyboard"/>
    <s v="Keyboard"/>
    <s v="Dell"/>
    <n v="1150"/>
    <n v="1495"/>
    <n v="4"/>
    <n v="4600"/>
    <n v="5980"/>
    <s v="Vijay Singh"/>
    <n v="3315"/>
  </r>
  <r>
    <s v="141887"/>
    <s v="PY"/>
    <s v="Roshan Zameer"/>
    <s v="25/04/2021"/>
    <s v="Processing"/>
    <s v="USB Mouse"/>
    <s v="Mouse"/>
    <s v="Samsung"/>
    <n v="350"/>
    <n v="455"/>
    <n v="1"/>
    <n v="350"/>
    <n v="455"/>
    <s v="Aadil Khan"/>
    <n v="1690"/>
  </r>
  <r>
    <s v="141888"/>
    <s v="AP"/>
    <s v="Rakesh Kumar Sharma"/>
    <s v="26/04/2021"/>
    <s v="Delivered"/>
    <s v="19&quot; LED Display"/>
    <s v="Monitor"/>
    <s v="Dell"/>
    <n v="9500"/>
    <n v="12350"/>
    <n v="4"/>
    <n v="38000"/>
    <n v="49400"/>
    <s v="Advika Joshi"/>
    <n v="9750"/>
  </r>
  <r>
    <s v="141889"/>
    <s v="AR"/>
    <s v="Shivanand Sahani"/>
    <s v="26/04/2021"/>
    <s v="Shipped"/>
    <s v="76 TB HDD"/>
    <s v="HDD"/>
    <s v="Western Digital"/>
    <n v="10000"/>
    <n v="13000"/>
    <n v="1"/>
    <n v="10000"/>
    <n v="13000"/>
    <s v="Ajay Sharma"/>
    <n v="39000"/>
  </r>
  <r>
    <s v="141890"/>
    <s v="AS"/>
    <s v="Kunal Patra"/>
    <s v="26/04/2021"/>
    <s v="Order"/>
    <s v="586 GB M.2"/>
    <s v="SSD"/>
    <s v="Samsung"/>
    <n v="6500"/>
    <n v="8450"/>
    <n v="4"/>
    <n v="26000"/>
    <n v="33800"/>
    <s v="Roshan Kumar"/>
    <n v="8450"/>
  </r>
  <r>
    <s v="141891"/>
    <s v="BR"/>
    <s v="Bijendra"/>
    <s v="26/04/2021"/>
    <s v="Processing"/>
    <s v="RYZEN 3rd gen. 3574"/>
    <s v="CPU"/>
    <s v="Intel"/>
    <n v="8500"/>
    <n v="11050"/>
    <n v="2"/>
    <n v="17000"/>
    <n v="22100"/>
    <s v="Aarvi Gupta"/>
    <n v="33150"/>
  </r>
  <r>
    <s v="141892"/>
    <s v="CG"/>
    <s v="Kranti Bheke"/>
    <s v="26/04/2021"/>
    <s v="Delivered"/>
    <s v="2GB Graphic Card"/>
    <s v="Graphic Card"/>
    <s v="Nvidia"/>
    <n v="7000"/>
    <n v="9100"/>
    <n v="3"/>
    <n v="21000"/>
    <n v="27300"/>
    <s v="Vijay Singh"/>
    <n v="18200"/>
  </r>
  <r>
    <s v="141893"/>
    <s v="GA"/>
    <s v="Jagdeep"/>
    <s v="26/04/2021"/>
    <s v="Shipped"/>
    <s v="90 GB DDR4 RAM"/>
    <s v="NIC"/>
    <s v="Hynix"/>
    <n v="6550"/>
    <n v="8515"/>
    <n v="3"/>
    <n v="19650"/>
    <n v="25545"/>
    <s v="Aadil Khan"/>
    <n v="9100"/>
  </r>
  <r>
    <s v="141894"/>
    <s v="GJ"/>
    <s v="Adhir Samal"/>
    <s v="26/04/2021"/>
    <s v="Order"/>
    <s v="Standard ATX motherboard"/>
    <s v="Printer"/>
    <s v="Gigabyte"/>
    <n v="7650"/>
    <n v="9945"/>
    <n v="3"/>
    <n v="22950"/>
    <n v="29835"/>
    <s v="Advika Joshi"/>
    <n v="11700"/>
  </r>
  <r>
    <s v="141895"/>
    <s v="UP"/>
    <s v="Dannana Jhammi"/>
    <s v="26/04/2021"/>
    <s v="Processing"/>
    <s v="Compact with 1 Fan"/>
    <s v="Cabinet"/>
    <s v="Asus"/>
    <n v="1150"/>
    <n v="1495"/>
    <n v="4"/>
    <n v="4600"/>
    <n v="5980"/>
    <s v="Ajay Sharma"/>
    <n v="2990"/>
  </r>
  <r>
    <s v="141896"/>
    <s v="UP"/>
    <s v="Vipin Kumar"/>
    <s v="26/04/2021"/>
    <s v="Delivered"/>
    <s v="USB Backlight Keyboard"/>
    <s v="Keyboard"/>
    <s v="Dell"/>
    <n v="850"/>
    <n v="1105"/>
    <n v="4"/>
    <n v="3400"/>
    <n v="4420"/>
    <s v="Roshan Kumar"/>
    <n v="3315"/>
  </r>
  <r>
    <s v="141897"/>
    <s v="UP"/>
    <s v="Ranjeet Kumar"/>
    <s v="26/04/2021"/>
    <s v="Shipped"/>
    <s v="Ergonomic Mouse"/>
    <s v="Mouse"/>
    <s v="Samsung"/>
    <n v="650"/>
    <n v="845"/>
    <n v="2"/>
    <n v="1300"/>
    <n v="1690"/>
    <s v="Aarvi Gupta"/>
    <n v="1690"/>
  </r>
  <r>
    <s v="141898"/>
    <s v="UP"/>
    <s v="Sajal Singhal"/>
    <s v="26/04/2021"/>
    <s v="Order"/>
    <s v="15&quot; LCD Dsipaly"/>
    <s v="Monitor"/>
    <s v="Dell"/>
    <n v="7500"/>
    <n v="9750"/>
    <n v="1"/>
    <n v="7500"/>
    <n v="9750"/>
    <s v="Vijay Singh"/>
    <n v="9750"/>
  </r>
  <r>
    <s v="141899"/>
    <s v="UP"/>
    <s v="Akhilesh Kumar"/>
    <s v="26/04/2021"/>
    <s v="Processing"/>
    <s v="76 TB HDD"/>
    <s v="HDD"/>
    <s v="Seagate"/>
    <n v="10000"/>
    <n v="13000"/>
    <n v="4"/>
    <n v="40000"/>
    <n v="52000"/>
    <s v="Aadil Khan"/>
    <n v="39000"/>
  </r>
  <r>
    <s v="141900"/>
    <s v="UP"/>
    <s v="Suvankar Chakraborty"/>
    <s v="26/04/2021"/>
    <s v="Delivered"/>
    <s v="75 TB SSD"/>
    <s v="SSD"/>
    <s v="Samsung"/>
    <n v="10500"/>
    <n v="13650"/>
    <n v="2"/>
    <n v="21000"/>
    <n v="27300"/>
    <s v="Advika Joshi"/>
    <n v="8450"/>
  </r>
  <r>
    <s v="141901"/>
    <s v="UP"/>
    <s v="Suvankar Adhikary"/>
    <s v="26/04/2021"/>
    <s v="Shipped"/>
    <s v="Intel i5 12th gen."/>
    <s v="CPU"/>
    <s v="Intel"/>
    <n v="8500"/>
    <n v="11050"/>
    <n v="1"/>
    <n v="8500"/>
    <n v="11050"/>
    <s v="Ajay Sharma"/>
    <n v="33150"/>
  </r>
  <r>
    <s v="141902"/>
    <s v="UP"/>
    <s v="Rahul Kumar Prajapati"/>
    <s v="26/04/2021"/>
    <s v="Order"/>
    <s v="2GB Graphic Card"/>
    <s v="Graphic Card"/>
    <s v="Nvidia"/>
    <n v="7000"/>
    <n v="9100"/>
    <n v="4"/>
    <n v="28000"/>
    <n v="36400"/>
    <s v="Roshan Kumar"/>
    <n v="18200"/>
  </r>
  <r>
    <s v="141903"/>
    <s v="UP"/>
    <s v="Sagar Jeur"/>
    <s v="26/04/2021"/>
    <s v="Processing"/>
    <s v="78 GB DDR4 Ram"/>
    <s v="NIC"/>
    <s v="Hynix"/>
    <n v="1680"/>
    <n v="2184"/>
    <n v="4"/>
    <n v="6720"/>
    <n v="8736"/>
    <s v="Aarvi Gupta"/>
    <n v="9100"/>
  </r>
  <r>
    <s v="141904"/>
    <s v="UP"/>
    <s v="Rhushikesh Mane"/>
    <s v="26/04/2021"/>
    <s v="Delivered"/>
    <s v="Micro ATX motherboard"/>
    <s v="Printer"/>
    <s v="MSI"/>
    <n v="6540"/>
    <n v="8502"/>
    <n v="1"/>
    <n v="6540"/>
    <n v="8502"/>
    <s v="Vijay Singh"/>
    <n v="11700"/>
  </r>
  <r>
    <s v="141905"/>
    <s v="MZ"/>
    <s v="Ashish Kumar"/>
    <s v="26/04/2021"/>
    <s v="Shipped"/>
    <s v="Gaming Box Cabinet"/>
    <s v="Cabinet"/>
    <s v="Asus"/>
    <n v="2680"/>
    <n v="3484"/>
    <n v="4"/>
    <n v="10720"/>
    <n v="13936"/>
    <s v="Aadil Khan"/>
    <n v="2990"/>
  </r>
  <r>
    <s v="141906"/>
    <s v="NL"/>
    <s v="Javed Akhter"/>
    <s v="26/04/2021"/>
    <s v="Order"/>
    <s v="17&quot; LCD Display"/>
    <s v="Monitor"/>
    <s v="Samsung"/>
    <n v="8250"/>
    <n v="10725"/>
    <n v="4"/>
    <n v="33000"/>
    <n v="42900"/>
    <s v="Advika Joshi"/>
    <n v="9750"/>
  </r>
  <r>
    <s v="141907"/>
    <s v="UP"/>
    <s v="Haridas Balraj"/>
    <s v="26/04/2021"/>
    <s v="Processing"/>
    <s v="82 GB DDR4 RAM"/>
    <s v="RAM"/>
    <s v="Samsung"/>
    <n v="2650"/>
    <n v="3445"/>
    <n v="3"/>
    <n v="7950"/>
    <n v="10335"/>
    <s v="Ajay Sharma"/>
    <n v="25545"/>
  </r>
  <r>
    <s v="141908"/>
    <s v="UP"/>
    <s v="Kundan Kumar"/>
    <s v="27/04/2021"/>
    <s v="Delivered"/>
    <s v="26&quot; LCD Display"/>
    <s v="Monitor"/>
    <s v="Acer"/>
    <n v="12550"/>
    <n v="16315"/>
    <n v="2"/>
    <n v="25100"/>
    <n v="32630"/>
    <s v="Roshan Kumar"/>
    <n v="9750"/>
  </r>
  <r>
    <s v="141909"/>
    <s v="UP"/>
    <s v="Atif Siddiqui"/>
    <s v="27/04/2021"/>
    <s v="Shipped"/>
    <s v="I7 - intel 12th Generation"/>
    <s v="CPU"/>
    <s v="Intel"/>
    <n v="14500"/>
    <n v="18850"/>
    <n v="3"/>
    <n v="43500"/>
    <n v="56550"/>
    <s v="Aarvi Gupta"/>
    <n v="33150"/>
  </r>
  <r>
    <s v="141910"/>
    <s v="UP"/>
    <s v="Aditya Agarwal"/>
    <s v="27/04/2021"/>
    <s v="Order"/>
    <s v="USB Keyboard"/>
    <s v="Keyboard"/>
    <s v="Dell"/>
    <n v="800"/>
    <n v="1040"/>
    <n v="3"/>
    <n v="2400"/>
    <n v="3120"/>
    <s v="Vijay Singh"/>
    <n v="3315"/>
  </r>
  <r>
    <s v="141911"/>
    <s v="UP"/>
    <s v="Firdoush Jabee"/>
    <s v="27/04/2021"/>
    <s v="Processing"/>
    <s v="Wireless Mouse"/>
    <s v="Mouse"/>
    <s v="Samsung"/>
    <n v="600"/>
    <n v="780"/>
    <n v="4"/>
    <n v="2400"/>
    <n v="3120"/>
    <s v="Aadil Khan"/>
    <n v="1690"/>
  </r>
  <r>
    <s v="141912"/>
    <s v="UP"/>
    <s v="Jay Prakash Kumar"/>
    <s v="27/04/2021"/>
    <s v="Delivered"/>
    <s v="21&quot; LCD Display"/>
    <s v="Monitor"/>
    <s v="Dell"/>
    <n v="10500"/>
    <n v="13650"/>
    <n v="3"/>
    <n v="31500"/>
    <n v="40950"/>
    <s v="Advika Joshi"/>
    <n v="9750"/>
  </r>
  <r>
    <s v="141913"/>
    <s v="UP"/>
    <s v="Ashish Pandey"/>
    <s v="27/04/2021"/>
    <s v="Shipped"/>
    <s v="76 TB HDD"/>
    <s v="HDD"/>
    <s v="Western Digital"/>
    <n v="6500"/>
    <n v="8450"/>
    <n v="2"/>
    <n v="13000"/>
    <n v="16900"/>
    <s v="Ajay Sharma"/>
    <n v="39000"/>
  </r>
  <r>
    <s v="141914"/>
    <s v="UP"/>
    <s v="Ajay Sharma"/>
    <s v="27/04/2021"/>
    <s v="Order"/>
    <s v="331 GB SSD"/>
    <s v="SSD"/>
    <s v="Samsung"/>
    <n v="4500"/>
    <n v="5850"/>
    <n v="3"/>
    <n v="13500"/>
    <n v="17550"/>
    <s v="Roshan Kumar"/>
    <n v="8450"/>
  </r>
  <r>
    <s v="141915"/>
    <s v="UP"/>
    <s v="Moinuddin Saifi"/>
    <s v="27/04/2021"/>
    <s v="Processing"/>
    <s v="Intel i3 11th gen."/>
    <s v="CPU"/>
    <s v="Intel"/>
    <n v="8500"/>
    <n v="11050"/>
    <n v="2"/>
    <n v="17000"/>
    <n v="22100"/>
    <s v="Aarvi Gupta"/>
    <n v="33150"/>
  </r>
  <r>
    <s v="141916"/>
    <s v="UP"/>
    <s v="Ramkrishna Das Adhikary"/>
    <s v="27/04/2021"/>
    <s v="Delivered"/>
    <s v="4GB Graphic card"/>
    <s v="Graphic Card"/>
    <s v="Nvidia"/>
    <n v="12500"/>
    <n v="16250"/>
    <n v="3"/>
    <n v="37500"/>
    <n v="48750"/>
    <s v="Vijay Singh"/>
    <n v="18200"/>
  </r>
  <r>
    <s v="141917"/>
    <s v="TR"/>
    <s v="Ranjeet Mandal"/>
    <s v="27/04/2021"/>
    <s v="Shipped"/>
    <s v="83 GB DDR4 RAM"/>
    <s v="RAM"/>
    <s v="Hynix"/>
    <n v="3500"/>
    <n v="4550"/>
    <n v="1"/>
    <n v="3500"/>
    <n v="4550"/>
    <s v="Aadil Khan"/>
    <n v="25545"/>
  </r>
  <r>
    <s v="141918"/>
    <s v="AN"/>
    <s v="Ashwini Adsare"/>
    <s v="27/04/2021"/>
    <s v="Order"/>
    <s v="BTX motherboard"/>
    <s v="MotherBoard"/>
    <s v="Gigabyte"/>
    <n v="4500"/>
    <n v="5850"/>
    <n v="4"/>
    <n v="18000"/>
    <n v="23400"/>
    <s v="Advika Joshi"/>
    <n v="39780"/>
  </r>
  <r>
    <s v="141919"/>
    <s v="CH"/>
    <s v="Rajesh Variya"/>
    <s v="27/04/2021"/>
    <s v="Processing"/>
    <s v="78 Fans Cabinet"/>
    <s v="Cabinet"/>
    <s v="Asus"/>
    <n v="2100"/>
    <n v="2730"/>
    <n v="1"/>
    <n v="2100"/>
    <n v="2730"/>
    <s v="Ajay Sharma"/>
    <n v="2990"/>
  </r>
  <r>
    <s v="141920"/>
    <s v="DH"/>
    <s v="Amit Singh"/>
    <s v="27/04/2021"/>
    <s v="Delivered"/>
    <s v="Wireless Keyboard"/>
    <s v="Keyboard"/>
    <s v="Dell"/>
    <n v="1150"/>
    <n v="1495"/>
    <n v="4"/>
    <n v="4600"/>
    <n v="5980"/>
    <s v="Roshan Kumar"/>
    <n v="3315"/>
  </r>
  <r>
    <s v="141921"/>
    <s v="DD"/>
    <s v="Vinod Mehta"/>
    <s v="27/04/2021"/>
    <s v="Shipped"/>
    <s v="USB Mouse"/>
    <s v="Mouse"/>
    <s v="Samsung"/>
    <n v="350"/>
    <n v="455"/>
    <n v="3"/>
    <n v="1050"/>
    <n v="1365"/>
    <s v="Aarvi Gupta"/>
    <n v="1690"/>
  </r>
  <r>
    <s v="141922"/>
    <s v="DL"/>
    <s v="Jignesh Mhatre"/>
    <s v="27/04/2021"/>
    <s v="Order"/>
    <s v="19&quot; LED Display"/>
    <s v="Monitor"/>
    <s v="Dell"/>
    <n v="9500"/>
    <n v="12350"/>
    <n v="3"/>
    <n v="28500"/>
    <n v="37050"/>
    <s v="Vijay Singh"/>
    <n v="9750"/>
  </r>
  <r>
    <s v="141923"/>
    <s v="LD"/>
    <s v="Rahul Kashyap"/>
    <s v="27/04/2021"/>
    <s v="Processing"/>
    <s v="77 TB HDD"/>
    <s v="HDD"/>
    <s v="Western Digital"/>
    <n v="10000"/>
    <n v="13000"/>
    <n v="3"/>
    <n v="30000"/>
    <n v="39000"/>
    <s v="Aadil Khan"/>
    <n v="39000"/>
  </r>
  <r>
    <s v="141924"/>
    <s v="PY"/>
    <s v="Mohammed Abdul Kaleem"/>
    <s v="27/04/2021"/>
    <s v="Delivered"/>
    <s v="587 GB M.2"/>
    <s v="SSD"/>
    <s v="Samsung"/>
    <n v="6500"/>
    <n v="8450"/>
    <n v="2"/>
    <n v="13000"/>
    <n v="16900"/>
    <s v="Advika Joshi"/>
    <n v="8450"/>
  </r>
  <r>
    <s v="141925"/>
    <s v="AP"/>
    <s v="Chandrakant Kasbe"/>
    <s v="28/04/2021"/>
    <s v="Shipped"/>
    <s v="RYZEN 3rd gen. 3575"/>
    <s v="CPU"/>
    <s v="Intel"/>
    <n v="8500"/>
    <n v="11050"/>
    <n v="1"/>
    <n v="8500"/>
    <n v="11050"/>
    <s v="Ajay Sharma"/>
    <n v="33150"/>
  </r>
  <r>
    <s v="141926"/>
    <s v="UP"/>
    <s v="Rohan Kale"/>
    <s v="29/04/2021"/>
    <s v="Order"/>
    <s v="2GB Graphic Card"/>
    <s v="Graphic Card"/>
    <s v="Nvidia"/>
    <n v="7000"/>
    <n v="9100"/>
    <n v="3"/>
    <n v="21000"/>
    <n v="27300"/>
    <s v="Roshan Kumar"/>
    <n v="18200"/>
  </r>
  <r>
    <s v="141927"/>
    <s v="UP"/>
    <s v="Aniruddha Kekapure"/>
    <s v="30/04/2021"/>
    <s v="Processing"/>
    <s v="91 GB DDR4 RAM"/>
    <s v="RAM"/>
    <s v="Hynix"/>
    <n v="6550"/>
    <n v="8515"/>
    <n v="1"/>
    <n v="6550"/>
    <n v="8515"/>
    <s v="Aarvi Gupta"/>
    <n v="25545"/>
  </r>
  <r>
    <s v="141928"/>
    <s v="UP"/>
    <s v="Aslam Raza"/>
    <s v="30/04/2021"/>
    <s v="Delivered"/>
    <s v="Standard ATX motherboard"/>
    <s v="MotherBoard"/>
    <s v="Gigabyte"/>
    <n v="7650"/>
    <n v="9945"/>
    <n v="3"/>
    <n v="22950"/>
    <n v="29835"/>
    <s v="Vijay Singh"/>
    <n v="39780"/>
  </r>
  <r>
    <s v="141929"/>
    <s v="UP"/>
    <s v="Roshan Zameer"/>
    <s v="30/04/2021"/>
    <s v="Shipped"/>
    <s v="Compact with 1 Fan"/>
    <s v="Cabinet"/>
    <s v="Asus"/>
    <n v="1150"/>
    <n v="1495"/>
    <n v="1"/>
    <n v="1150"/>
    <n v="1495"/>
    <s v="Aadil Khan"/>
    <n v="2990"/>
  </r>
  <r>
    <s v="141930"/>
    <s v="UP"/>
    <s v="Rakesh Kumar Sharma"/>
    <s v="30/04/2021"/>
    <s v="Order"/>
    <s v="USB Backlight Keyboard"/>
    <s v="Keyboard"/>
    <s v="Dell"/>
    <n v="850"/>
    <n v="1105"/>
    <n v="4"/>
    <n v="3400"/>
    <n v="4420"/>
    <s v="Advika Joshi"/>
    <n v="3315"/>
  </r>
  <r>
    <s v="141931"/>
    <s v="UP"/>
    <s v="Shivanand Sahani"/>
    <s v="30/04/2021"/>
    <s v="Processing"/>
    <s v="Ergonomic Mouse"/>
    <s v="Mouse"/>
    <s v="Samsung"/>
    <n v="650"/>
    <n v="845"/>
    <n v="1"/>
    <n v="650"/>
    <n v="845"/>
    <s v="Ajay Sharma"/>
    <n v="1690"/>
  </r>
  <r>
    <s v="141932"/>
    <s v="UP"/>
    <s v="Kunal Patra"/>
    <s v="30/04/2021"/>
    <s v="Delivered"/>
    <s v="15&quot; LCD Dsipaly"/>
    <s v="Monitor"/>
    <s v="Dell"/>
    <n v="7500"/>
    <n v="9750"/>
    <n v="1"/>
    <n v="7500"/>
    <n v="9750"/>
    <s v="Roshan Kumar"/>
    <n v="9750"/>
  </r>
  <r>
    <s v="141933"/>
    <s v="UP"/>
    <s v="Bijendra"/>
    <s v="30/04/2021"/>
    <s v="Shipped"/>
    <s v="77 TB HDD"/>
    <s v="HDD"/>
    <s v="Seagate"/>
    <n v="10000"/>
    <n v="13000"/>
    <n v="3"/>
    <n v="30000"/>
    <n v="39000"/>
    <s v="Aarvi Gupta"/>
    <n v="39000"/>
  </r>
  <r>
    <s v="141934"/>
    <s v="UP"/>
    <s v="Kranti Bheke"/>
    <s v="30/04/2021"/>
    <s v="Order"/>
    <s v="76 TB SSD"/>
    <s v="SSD"/>
    <s v="Samsung"/>
    <n v="10500"/>
    <n v="13650"/>
    <n v="1"/>
    <n v="10500"/>
    <n v="13650"/>
    <s v="Vijay Singh"/>
    <n v="8450"/>
  </r>
  <r>
    <s v="141935"/>
    <s v="UP"/>
    <s v="Jagdeep"/>
    <s v="30/04/2021"/>
    <s v="Processing"/>
    <s v="Intel i5 12th gen."/>
    <s v="CPU"/>
    <s v="Intel"/>
    <n v="8500"/>
    <n v="11050"/>
    <n v="1"/>
    <n v="8500"/>
    <n v="11050"/>
    <s v="Aadil Khan"/>
    <n v="33150"/>
  </r>
  <r>
    <s v="141936"/>
    <s v="KA"/>
    <s v="Adhir Samal"/>
    <s v="30/04/2021"/>
    <s v="Delivered"/>
    <s v="2GB Graphic Card"/>
    <s v="Graphic Card"/>
    <s v="Nvidia"/>
    <n v="7000"/>
    <n v="9100"/>
    <n v="4"/>
    <n v="28000"/>
    <n v="36400"/>
    <s v="Advika Joshi"/>
    <n v="18200"/>
  </r>
  <r>
    <s v="141937"/>
    <s v="KL"/>
    <s v="Dannana Jhammi"/>
    <s v="30/04/2021"/>
    <s v="Shipped"/>
    <s v="79 GB DDR4 Ram"/>
    <s v="RAM"/>
    <s v="Hynix"/>
    <n v="1680"/>
    <n v="2184"/>
    <n v="2"/>
    <n v="3360"/>
    <n v="4368"/>
    <s v="Ajay Sharma"/>
    <n v="25545"/>
  </r>
  <r>
    <s v="141938"/>
    <s v="MP"/>
    <s v="Vipin Kumar"/>
    <s v="30/04/2021"/>
    <s v="Order"/>
    <s v="Micro ATX motherboard"/>
    <s v="MotherBoard"/>
    <s v="MSI"/>
    <n v="6540"/>
    <n v="8502"/>
    <n v="4"/>
    <n v="26160"/>
    <n v="34008"/>
    <s v="Roshan Kumar"/>
    <n v="39780"/>
  </r>
  <r>
    <s v="141939"/>
    <s v="MH"/>
    <s v="Ranjeet Kumar"/>
    <s v="30/04/2021"/>
    <s v="Processing"/>
    <s v="Gaming Box Cabinet"/>
    <s v="Cabinet"/>
    <s v="Asus"/>
    <n v="2680"/>
    <n v="3484"/>
    <n v="4"/>
    <n v="10720"/>
    <n v="13936"/>
    <s v="Aarvi Gupta"/>
    <n v="2990"/>
  </r>
  <r>
    <s v="141940"/>
    <s v="MN"/>
    <s v="Sajal Singhal"/>
    <s v="30/04/2021"/>
    <s v="Delivered"/>
    <s v="17&quot; LCD Display"/>
    <s v="Monitor"/>
    <s v="Samsung"/>
    <n v="8250"/>
    <n v="10725"/>
    <n v="2"/>
    <n v="16500"/>
    <n v="21450"/>
    <s v="Vijay Singh"/>
    <n v="9750"/>
  </r>
  <r>
    <s v="141941"/>
    <s v="ML"/>
    <s v="Akhilesh Kumar"/>
    <s v="30/04/2021"/>
    <s v="Shipped"/>
    <s v="83 GB DDR4 RAM"/>
    <s v="RAM"/>
    <s v="Samsung"/>
    <n v="2650"/>
    <n v="3445"/>
    <n v="4"/>
    <n v="10600"/>
    <n v="13780"/>
    <s v="Aadil Khan"/>
    <n v="25545"/>
  </r>
  <r>
    <s v="141942"/>
    <s v="MZ"/>
    <s v="Suvankar Chakraborty"/>
    <s v="30/04/2021"/>
    <s v="Order"/>
    <s v="26&quot; LCD Display"/>
    <s v="Monitor"/>
    <s v="Acer"/>
    <n v="12550"/>
    <n v="16315"/>
    <n v="4"/>
    <n v="50200"/>
    <n v="65260"/>
    <s v="Advika Joshi"/>
    <n v="9750"/>
  </r>
  <r>
    <s v="141943"/>
    <s v="NL"/>
    <s v="Suvankar Adhikary"/>
    <s v="30/04/2021"/>
    <s v="Processing"/>
    <s v="I7 - intel 12th Generation"/>
    <s v="CPU"/>
    <s v="Intel"/>
    <n v="14500"/>
    <n v="18850"/>
    <n v="2"/>
    <n v="29000"/>
    <n v="37700"/>
    <s v="Ajay Sharma"/>
    <n v="33150"/>
  </r>
  <r>
    <s v="141944"/>
    <s v="OR"/>
    <s v="Rahul Kumar Prajapati"/>
    <s v="30/04/2021"/>
    <s v="Delivered"/>
    <s v="USB Keyboard"/>
    <s v="Keyboard"/>
    <s v="Dell"/>
    <n v="800"/>
    <n v="1040"/>
    <n v="1"/>
    <n v="800"/>
    <n v="1040"/>
    <s v="Roshan Kumar"/>
    <n v="3315"/>
  </r>
  <r>
    <s v="141945"/>
    <s v="PB"/>
    <s v="Sagar Jeur"/>
    <s v="30/04/2021"/>
    <s v="Shipped"/>
    <s v="Wireless Mouse"/>
    <s v="Mouse"/>
    <s v="Samsung"/>
    <n v="600"/>
    <n v="780"/>
    <n v="1"/>
    <n v="600"/>
    <n v="780"/>
    <s v="Aarvi Gupta"/>
    <n v="1690"/>
  </r>
  <r>
    <s v="141946"/>
    <s v="RJ"/>
    <s v="Rhushikesh Mane"/>
    <s v="30/04/2021"/>
    <s v="Order"/>
    <s v="21&quot; LCD Display"/>
    <s v="Monitor"/>
    <s v="Dell"/>
    <n v="10500"/>
    <n v="13650"/>
    <n v="2"/>
    <n v="21000"/>
    <n v="27300"/>
    <s v="Vijay Singh"/>
    <n v="9750"/>
  </r>
  <r>
    <s v="141947"/>
    <s v="SK"/>
    <s v="Ashish Kumar"/>
    <s v="30/04/2021"/>
    <s v="Processing"/>
    <s v="77 TB HDD"/>
    <s v="HDD"/>
    <s v="Western Digital"/>
    <n v="6500"/>
    <n v="8450"/>
    <n v="4"/>
    <n v="26000"/>
    <n v="33800"/>
    <s v="Aadil Khan"/>
    <n v="39000"/>
  </r>
  <r>
    <s v="141948"/>
    <s v="UP"/>
    <s v="Javed Akhter"/>
    <s v="30/04/2021"/>
    <s v="Delivered"/>
    <s v="332 GB SSD"/>
    <s v="SSD"/>
    <s v="Samsung"/>
    <n v="4500"/>
    <n v="5850"/>
    <n v="1"/>
    <n v="4500"/>
    <n v="5850"/>
    <s v="Advika Joshi"/>
    <n v="8450"/>
  </r>
  <r>
    <s v="141949"/>
    <s v="UP"/>
    <s v="Haridas Balraj"/>
    <s v="30/04/2021"/>
    <s v="Shipped"/>
    <s v="Intel i3 11th gen."/>
    <s v="CPU"/>
    <s v="Intel"/>
    <n v="8500"/>
    <n v="11050"/>
    <n v="3"/>
    <n v="25500"/>
    <n v="33150"/>
    <s v="Ajay Sharma"/>
    <n v="33150"/>
  </r>
  <r>
    <s v="141950"/>
    <s v="UP"/>
    <s v="Kundan Kumar"/>
    <s v="30/04/2021"/>
    <s v="Order"/>
    <s v="4GB Graphic card"/>
    <s v="Graphic Card"/>
    <s v="Nvidia"/>
    <n v="12500"/>
    <n v="16250"/>
    <n v="4"/>
    <n v="50000"/>
    <n v="65000"/>
    <s v="Roshan Kumar"/>
    <n v="18200"/>
  </r>
  <r>
    <s v="141951"/>
    <s v="UP"/>
    <s v="Atif Siddiqui"/>
    <s v="30/04/2021"/>
    <s v="Processing"/>
    <s v="84 GB DDR4 RAM"/>
    <s v="Computer Case"/>
    <s v="Hynix"/>
    <n v="3500"/>
    <n v="4550"/>
    <n v="1"/>
    <n v="3500"/>
    <n v="4550"/>
    <s v="Aarvi Gupta"/>
    <n v="13650"/>
  </r>
  <r>
    <s v="141952"/>
    <s v="UP"/>
    <s v="Aditya Agarwal"/>
    <s v="30/04/2021"/>
    <s v="Delivered"/>
    <s v="BTX motherboard"/>
    <s v="Mouse"/>
    <s v="Gigabyte"/>
    <n v="4500"/>
    <n v="5850"/>
    <n v="1"/>
    <n v="4500"/>
    <n v="5850"/>
    <s v="Vijay Singh"/>
    <n v="1690"/>
  </r>
  <r>
    <s v="141953"/>
    <s v="UP"/>
    <s v="Firdoush Jabee"/>
    <s v="30/04/2021"/>
    <s v="Shipped"/>
    <s v="79 Fans Cabinet"/>
    <s v="Cabinet"/>
    <s v="Asus"/>
    <n v="2100"/>
    <n v="2730"/>
    <n v="1"/>
    <n v="2100"/>
    <n v="2730"/>
    <s v="Aadil Khan"/>
    <n v="2990"/>
  </r>
  <r>
    <s v="141954"/>
    <s v="UP"/>
    <s v="Jay Prakash Kumar"/>
    <s v="30/04/2021"/>
    <s v="Order"/>
    <s v="Wireless Keyboard"/>
    <s v="Keyboard"/>
    <s v="Dell"/>
    <n v="1150"/>
    <n v="1495"/>
    <n v="3"/>
    <n v="3450"/>
    <n v="4485"/>
    <s v="Advika Joshi"/>
    <n v="3315"/>
  </r>
  <r>
    <s v="141955"/>
    <s v="UP"/>
    <s v="Ashish Pandey"/>
    <s v="30/04/2021"/>
    <s v="Processing"/>
    <s v="USB Mouse"/>
    <s v="Mouse"/>
    <s v="Samsung"/>
    <n v="350"/>
    <n v="455"/>
    <n v="2"/>
    <n v="700"/>
    <n v="910"/>
    <s v="Ajay Sharma"/>
    <n v="1690"/>
  </r>
  <r>
    <s v="141956"/>
    <s v="UP"/>
    <s v="Ajay Sharma"/>
    <s v="30/04/2021"/>
    <s v="Delivered"/>
    <s v="19&quot; LED Display"/>
    <s v="Monitor"/>
    <s v="Dell"/>
    <n v="9500"/>
    <n v="12350"/>
    <n v="2"/>
    <n v="19000"/>
    <n v="24700"/>
    <s v="Roshan Kumar"/>
    <n v="9750"/>
  </r>
  <r>
    <s v="141957"/>
    <s v="UP"/>
    <s v="Moinuddin Saifi"/>
    <s v="30/04/2021"/>
    <s v="Shipped"/>
    <s v="78 TB HDD"/>
    <s v="HDD"/>
    <s v="Western Digital"/>
    <n v="10000"/>
    <n v="13000"/>
    <n v="1"/>
    <n v="10000"/>
    <n v="13000"/>
    <s v="Aarvi Gupta"/>
    <n v="39000"/>
  </r>
  <r>
    <s v="141958"/>
    <s v="DD"/>
    <s v="Ramkrishna Das Adhikary"/>
    <s v="30/04/2021"/>
    <s v="Order"/>
    <s v="588 GB M.2"/>
    <s v="SSD"/>
    <s v="Samsung"/>
    <n v="6500"/>
    <n v="8450"/>
    <n v="1"/>
    <n v="6500"/>
    <n v="8450"/>
    <s v="Vijay Singh"/>
    <n v="8450"/>
  </r>
  <r>
    <s v="141959"/>
    <s v="DL"/>
    <s v="Ranjeet Mandal"/>
    <s v="30/04/2021"/>
    <s v="Processing"/>
    <s v="RYZEN 3rd gen. 3576"/>
    <s v="CPU"/>
    <s v="Intel"/>
    <n v="8500"/>
    <n v="11050"/>
    <n v="2"/>
    <n v="17000"/>
    <n v="22100"/>
    <s v="Aadil Khan"/>
    <n v="33150"/>
  </r>
  <r>
    <s v="141960"/>
    <s v="LD"/>
    <s v="Ashwini Adsare"/>
    <s v="30/04/2021"/>
    <s v="Delivered"/>
    <s v="2GB Graphic Card"/>
    <s v="Graphic Card"/>
    <s v="Nvidia"/>
    <n v="7000"/>
    <n v="9100"/>
    <n v="2"/>
    <n v="14000"/>
    <n v="18200"/>
    <s v="Advika Joshi"/>
    <n v="18200"/>
  </r>
  <r>
    <s v="141961"/>
    <s v="PY"/>
    <s v="Rajesh Variya"/>
    <s v="30/04/2021"/>
    <s v="Shipped"/>
    <s v="92 GB DDR4 RAM"/>
    <s v="Computer Case"/>
    <s v="Hynix"/>
    <n v="6550"/>
    <n v="8515"/>
    <n v="3"/>
    <n v="19650"/>
    <n v="25545"/>
    <s v="Ajay Sharma"/>
    <n v="13650"/>
  </r>
  <r>
    <s v="141962"/>
    <s v="AP"/>
    <s v="Amit Singh"/>
    <s v="30/04/2021"/>
    <s v="Order"/>
    <s v="Standard ATX motherboard"/>
    <s v="Mouse"/>
    <s v="Gigabyte"/>
    <n v="7650"/>
    <n v="9945"/>
    <n v="2"/>
    <n v="15300"/>
    <n v="19890"/>
    <s v="Roshan Kumar"/>
    <n v="1690"/>
  </r>
  <r>
    <s v="141963"/>
    <s v="AR"/>
    <s v="Vinod Mehta"/>
    <s v="01/05/2021"/>
    <s v="Processing"/>
    <s v="Compact with 1 Fan"/>
    <s v="Cabinet"/>
    <s v="Asus"/>
    <n v="1150"/>
    <n v="1495"/>
    <n v="2"/>
    <n v="2300"/>
    <n v="2990"/>
    <s v="Aarvi Gupta"/>
    <n v="2990"/>
  </r>
  <r>
    <s v="141964"/>
    <s v="AS"/>
    <s v="Jignesh Mhatre"/>
    <s v="02/05/2021"/>
    <s v="Delivered"/>
    <s v="USB Backlight Keyboard"/>
    <s v="Keyboard"/>
    <s v="Dell"/>
    <n v="850"/>
    <n v="1105"/>
    <n v="3"/>
    <n v="2550"/>
    <n v="3315"/>
    <s v="Vijay Singh"/>
    <n v="3315"/>
  </r>
  <r>
    <s v="141965"/>
    <s v="BR"/>
    <s v="Rahul Kashyap"/>
    <s v="03/05/2021"/>
    <s v="Shipped"/>
    <s v="Ergonomic Mouse"/>
    <s v="Mouse"/>
    <s v="Samsung"/>
    <n v="650"/>
    <n v="845"/>
    <n v="4"/>
    <n v="2600"/>
    <n v="3380"/>
    <s v="Aadil Khan"/>
    <n v="1690"/>
  </r>
  <r>
    <s v="141966"/>
    <s v="CG"/>
    <s v="Mohammed Abdul Kaleem"/>
    <s v="04/05/2021"/>
    <s v="Order"/>
    <s v="15&quot; LCD Dsipaly"/>
    <s v="Monitor"/>
    <s v="Dell"/>
    <n v="7500"/>
    <n v="9750"/>
    <n v="3"/>
    <n v="22500"/>
    <n v="29250"/>
    <s v="Advika Joshi"/>
    <n v="9750"/>
  </r>
  <r>
    <s v="141967"/>
    <s v="GA"/>
    <s v="Chandrakant Kasbe"/>
    <s v="05/05/2021"/>
    <s v="Processing"/>
    <s v="78 TB HDD"/>
    <s v="HDD"/>
    <s v="Seagate"/>
    <n v="10000"/>
    <n v="13000"/>
    <n v="4"/>
    <n v="40000"/>
    <n v="52000"/>
    <s v="Ajay Sharma"/>
    <n v="39000"/>
  </r>
  <r>
    <s v="141968"/>
    <s v="GJ"/>
    <s v="Rohan Kale"/>
    <s v="05/05/2021"/>
    <s v="Delivered"/>
    <s v="77 TB SSD"/>
    <s v="SSD"/>
    <s v="Samsung"/>
    <n v="10500"/>
    <n v="13650"/>
    <n v="4"/>
    <n v="42000"/>
    <n v="54600"/>
    <s v="Roshan Kumar"/>
    <n v="8450"/>
  </r>
  <r>
    <s v="141969"/>
    <s v="UP"/>
    <s v="Aniruddha Kekapure"/>
    <s v="05/05/2021"/>
    <s v="Shipped"/>
    <s v="Intel i5 12th gen."/>
    <s v="CPU"/>
    <s v="Intel"/>
    <n v="8500"/>
    <n v="11050"/>
    <n v="3"/>
    <n v="25500"/>
    <n v="33150"/>
    <s v="Aarvi Gupta"/>
    <n v="33150"/>
  </r>
  <r>
    <s v="141970"/>
    <s v="UP"/>
    <s v="Aslam Raza"/>
    <s v="05/05/2021"/>
    <s v="Order"/>
    <s v="2GB Graphic Card"/>
    <s v="Graphic Card"/>
    <s v="Nvidia"/>
    <n v="7000"/>
    <n v="9100"/>
    <n v="2"/>
    <n v="14000"/>
    <n v="18200"/>
    <s v="Vijay Singh"/>
    <n v="18200"/>
  </r>
  <r>
    <s v="141971"/>
    <s v="UP"/>
    <s v="Roshan Zameer"/>
    <s v="05/05/2021"/>
    <s v="Processing"/>
    <s v="80 GB DDR4 Ram"/>
    <s v="Computer Case"/>
    <s v="Hynix"/>
    <n v="1680"/>
    <n v="2184"/>
    <n v="1"/>
    <n v="1680"/>
    <n v="2184"/>
    <s v="Aadil Khan"/>
    <n v="13650"/>
  </r>
  <r>
    <s v="141972"/>
    <s v="UP"/>
    <s v="Rakesh Kumar Sharma"/>
    <s v="05/05/2021"/>
    <s v="Delivered"/>
    <s v="Micro ATX motherboard"/>
    <s v="Mouse"/>
    <s v="MSI"/>
    <n v="6540"/>
    <n v="8502"/>
    <n v="1"/>
    <n v="6540"/>
    <n v="8502"/>
    <s v="Advika Joshi"/>
    <n v="1690"/>
  </r>
  <r>
    <s v="141973"/>
    <s v="UP"/>
    <s v="Shivanand Sahani"/>
    <s v="05/05/2021"/>
    <s v="Shipped"/>
    <s v="Gaming Box Cabinet"/>
    <s v="Cabinet"/>
    <s v="Asus"/>
    <n v="2680"/>
    <n v="3484"/>
    <n v="4"/>
    <n v="10720"/>
    <n v="13936"/>
    <s v="Ajay Sharma"/>
    <n v="2990"/>
  </r>
  <r>
    <s v="141974"/>
    <s v="UP"/>
    <s v="Kunal Patra"/>
    <s v="05/05/2021"/>
    <s v="Order"/>
    <s v="17&quot; LCD Display"/>
    <s v="Monitor"/>
    <s v="Samsung"/>
    <n v="8250"/>
    <n v="10725"/>
    <n v="1"/>
    <n v="8250"/>
    <n v="10725"/>
    <s v="Roshan Kumar"/>
    <n v="9750"/>
  </r>
  <r>
    <s v="141975"/>
    <s v="UP"/>
    <s v="Bijendra"/>
    <s v="05/05/2021"/>
    <s v="Processing"/>
    <s v="84 GB DDR4 RAM"/>
    <s v="RAM"/>
    <s v="Samsung"/>
    <n v="2650"/>
    <n v="3445"/>
    <n v="3"/>
    <n v="7950"/>
    <n v="10335"/>
    <s v="Aarvi Gupta"/>
    <n v="25545"/>
  </r>
  <r>
    <s v="141976"/>
    <s v="UP"/>
    <s v="Kranti Bheke"/>
    <s v="06/05/2021"/>
    <s v="Delivered"/>
    <s v="26&quot; LCD Display"/>
    <s v="Monitor"/>
    <s v="Acer"/>
    <n v="12550"/>
    <n v="16315"/>
    <n v="2"/>
    <n v="25100"/>
    <n v="32630"/>
    <s v="Vijay Singh"/>
    <n v="9750"/>
  </r>
  <r>
    <s v="141977"/>
    <s v="UP"/>
    <s v="Jagdeep"/>
    <s v="07/05/2021"/>
    <s v="Shipped"/>
    <s v="I7 - intel 12th Generation"/>
    <s v="CPU"/>
    <s v="Intel"/>
    <n v="14500"/>
    <n v="18850"/>
    <n v="3"/>
    <n v="43500"/>
    <n v="56550"/>
    <s v="Aadil Khan"/>
    <n v="33150"/>
  </r>
  <r>
    <s v="141978"/>
    <s v="UP"/>
    <s v="Adhir Samal"/>
    <s v="08/05/2021"/>
    <s v="Order"/>
    <s v="USB Keyboard"/>
    <s v="Keyboard"/>
    <s v="Dell"/>
    <n v="800"/>
    <n v="1040"/>
    <n v="3"/>
    <n v="2400"/>
    <n v="3120"/>
    <s v="Advika Joshi"/>
    <n v="3315"/>
  </r>
  <r>
    <s v="141979"/>
    <s v="MZ"/>
    <s v="Dannana Jhammi"/>
    <s v="09/05/2021"/>
    <s v="Processing"/>
    <s v="Wireless Mouse"/>
    <s v="Mouse"/>
    <s v="Samsung"/>
    <n v="600"/>
    <n v="780"/>
    <n v="1"/>
    <n v="600"/>
    <n v="780"/>
    <s v="Ajay Sharma"/>
    <n v="1690"/>
  </r>
  <r>
    <s v="141980"/>
    <s v="NL"/>
    <s v="Vipin Kumar"/>
    <s v="09/05/2021"/>
    <s v="Delivered"/>
    <s v="21&quot; LCD Display"/>
    <s v="Monitor"/>
    <s v="Dell"/>
    <n v="10500"/>
    <n v="13650"/>
    <n v="1"/>
    <n v="10500"/>
    <n v="13650"/>
    <s v="Roshan Kumar"/>
    <n v="9750"/>
  </r>
  <r>
    <s v="141981"/>
    <s v="OR"/>
    <s v="Ranjeet Kumar"/>
    <s v="09/05/2021"/>
    <s v="Shipped"/>
    <s v="78 TB HDD"/>
    <s v="HDD"/>
    <s v="Western Digital"/>
    <n v="6500"/>
    <n v="8450"/>
    <n v="1"/>
    <n v="6500"/>
    <n v="8450"/>
    <s v="Aarvi Gupta"/>
    <n v="39000"/>
  </r>
  <r>
    <s v="141982"/>
    <s v="PB"/>
    <s v="Sajal Singhal"/>
    <s v="09/05/2021"/>
    <s v="Order"/>
    <s v="333 GB SSD"/>
    <s v="SSD"/>
    <s v="Samsung"/>
    <n v="4500"/>
    <n v="5850"/>
    <n v="3"/>
    <n v="13500"/>
    <n v="17550"/>
    <s v="Vijay Singh"/>
    <n v="8450"/>
  </r>
  <r>
    <s v="141983"/>
    <s v="RJ"/>
    <s v="Akhilesh Kumar"/>
    <s v="09/05/2021"/>
    <s v="Processing"/>
    <s v="Intel i3 11th gen."/>
    <s v="CPU"/>
    <s v="Intel"/>
    <n v="8500"/>
    <n v="11050"/>
    <n v="2"/>
    <n v="17000"/>
    <n v="22100"/>
    <s v="Aadil Khan"/>
    <n v="33150"/>
  </r>
  <r>
    <s v="141984"/>
    <s v="SK"/>
    <s v="Suvankar Chakraborty"/>
    <s v="09/05/2021"/>
    <s v="Delivered"/>
    <s v="4GB Graphic card"/>
    <s v="Graphic Card"/>
    <s v="Nvidia"/>
    <n v="12500"/>
    <n v="16250"/>
    <n v="1"/>
    <n v="12500"/>
    <n v="16250"/>
    <s v="Advika Joshi"/>
    <n v="18200"/>
  </r>
  <r>
    <s v="141985"/>
    <s v="TN"/>
    <s v="Suvankar Adhikary"/>
    <s v="09/05/2021"/>
    <s v="Shipped"/>
    <s v="85 GB DDR4 RAM"/>
    <s v="NIC"/>
    <s v="Hynix"/>
    <n v="3500"/>
    <n v="4550"/>
    <n v="2"/>
    <n v="7000"/>
    <n v="9100"/>
    <s v="Ajay Sharma"/>
    <n v="9100"/>
  </r>
  <r>
    <s v="141986"/>
    <s v="TR"/>
    <s v="Rahul Kumar Prajapati"/>
    <s v="09/05/2021"/>
    <s v="Order"/>
    <s v="BTX motherboard"/>
    <s v="Printer"/>
    <s v="Gigabyte"/>
    <n v="4500"/>
    <n v="5850"/>
    <n v="4"/>
    <n v="18000"/>
    <n v="23400"/>
    <s v="Roshan Kumar"/>
    <n v="11700"/>
  </r>
  <r>
    <s v="141987"/>
    <s v="UK"/>
    <s v="Sagar Jeur"/>
    <s v="09/05/2021"/>
    <s v="Processing"/>
    <s v="80 Fans Cabinet"/>
    <s v="Cabinet"/>
    <s v="Asus"/>
    <n v="2100"/>
    <n v="2730"/>
    <n v="3"/>
    <n v="6300"/>
    <n v="8190"/>
    <s v="Aarvi Gupta"/>
    <n v="2990"/>
  </r>
  <r>
    <s v="141988"/>
    <s v="UP"/>
    <s v="Rhushikesh Mane"/>
    <s v="09/05/2021"/>
    <s v="Delivered"/>
    <s v="Wireless Keyboard"/>
    <s v="Keyboard"/>
    <s v="Dell"/>
    <n v="1150"/>
    <n v="1495"/>
    <n v="4"/>
    <n v="4600"/>
    <n v="5980"/>
    <s v="Vijay Singh"/>
    <n v="3315"/>
  </r>
  <r>
    <s v="141989"/>
    <s v="WB"/>
    <s v="Ashish Kumar"/>
    <s v="09/05/2021"/>
    <s v="Shipped"/>
    <s v="USB Mouse"/>
    <s v="Mouse"/>
    <s v="Samsung"/>
    <n v="350"/>
    <n v="455"/>
    <n v="2"/>
    <n v="700"/>
    <n v="910"/>
    <s v="Aadil Khan"/>
    <n v="1690"/>
  </r>
  <r>
    <s v="141990"/>
    <s v="TN"/>
    <s v="Javed Akhter"/>
    <s v="09/05/2021"/>
    <s v="Order"/>
    <s v="19&quot; LED Display"/>
    <s v="Monitor"/>
    <s v="Dell"/>
    <n v="9500"/>
    <n v="12350"/>
    <n v="1"/>
    <n v="9500"/>
    <n v="12350"/>
    <s v="Advika Joshi"/>
    <n v="9750"/>
  </r>
  <r>
    <s v="141991"/>
    <s v="TR"/>
    <s v="Haridas Balraj"/>
    <s v="09/05/2021"/>
    <s v="Processing"/>
    <s v="79 TB HDD"/>
    <s v="HDD"/>
    <s v="Western Digital"/>
    <n v="10000"/>
    <n v="13000"/>
    <n v="4"/>
    <n v="40000"/>
    <n v="52000"/>
    <s v="Ajay Sharma"/>
    <n v="39000"/>
  </r>
  <r>
    <s v="141992"/>
    <s v="MH"/>
    <s v="Kundan Kumar"/>
    <s v="09/05/2021"/>
    <s v="Delivered"/>
    <s v="589 GB M.2"/>
    <s v="SSD"/>
    <s v="Samsung"/>
    <n v="6500"/>
    <n v="8450"/>
    <n v="4"/>
    <n v="26000"/>
    <n v="33800"/>
    <s v="Roshan Kumar"/>
    <n v="8450"/>
  </r>
  <r>
    <s v="141993"/>
    <s v="CH"/>
    <s v="Atif Siddiqui"/>
    <s v="09/05/2021"/>
    <s v="Shipped"/>
    <s v="RYZEN 3rd gen. 3577"/>
    <s v="CPU"/>
    <s v="Intel"/>
    <n v="8500"/>
    <n v="11050"/>
    <n v="2"/>
    <n v="17000"/>
    <n v="22100"/>
    <s v="Aarvi Gupta"/>
    <n v="33150"/>
  </r>
  <r>
    <s v="141994"/>
    <s v="DH"/>
    <s v="Aditya Agarwal"/>
    <s v="09/05/2021"/>
    <s v="Order"/>
    <s v="2GB Graphic Card"/>
    <s v="Graphic Card"/>
    <s v="Nvidia"/>
    <n v="7000"/>
    <n v="9100"/>
    <n v="1"/>
    <n v="7000"/>
    <n v="9100"/>
    <s v="Vijay Singh"/>
    <n v="18200"/>
  </r>
  <r>
    <s v="141995"/>
    <s v="DD"/>
    <s v="Firdoush Jabee"/>
    <s v="09/05/2021"/>
    <s v="Processing"/>
    <s v="93 GB DDR4 RAM"/>
    <s v="NIC"/>
    <s v="Hynix"/>
    <n v="6550"/>
    <n v="8515"/>
    <n v="1"/>
    <n v="6550"/>
    <n v="8515"/>
    <s v="Aadil Khan"/>
    <n v="9100"/>
  </r>
  <r>
    <s v="141996"/>
    <s v="DL"/>
    <s v="Jay Prakash Kumar"/>
    <s v="09/05/2021"/>
    <s v="Delivered"/>
    <s v="Standard ATX motherboard"/>
    <s v="Printer"/>
    <s v="Gigabyte"/>
    <n v="7650"/>
    <n v="9945"/>
    <n v="1"/>
    <n v="7650"/>
    <n v="9945"/>
    <s v="Advika Joshi"/>
    <n v="11700"/>
  </r>
  <r>
    <s v="141997"/>
    <s v="LD"/>
    <s v="Ashish Pandey"/>
    <s v="09/05/2021"/>
    <s v="Shipped"/>
    <s v="Compact with 1 Fan"/>
    <s v="Cabinet"/>
    <s v="Asus"/>
    <n v="1150"/>
    <n v="1495"/>
    <n v="4"/>
    <n v="4600"/>
    <n v="5980"/>
    <s v="Ajay Sharma"/>
    <n v="2990"/>
  </r>
  <r>
    <s v="141998"/>
    <s v="PY"/>
    <s v="Ajay Sharma"/>
    <s v="09/05/2021"/>
    <s v="Order"/>
    <s v="USB Backlight Keyboard"/>
    <s v="Keyboard"/>
    <s v="Dell"/>
    <n v="850"/>
    <n v="1105"/>
    <n v="1"/>
    <n v="850"/>
    <n v="1105"/>
    <s v="Roshan Kumar"/>
    <n v="3315"/>
  </r>
  <r>
    <s v="141999"/>
    <s v="AP"/>
    <s v="Moinuddin Saifi"/>
    <s v="09/05/2021"/>
    <s v="Processing"/>
    <s v="Ergonomic Mouse"/>
    <s v="Mouse"/>
    <s v="Samsung"/>
    <n v="650"/>
    <n v="845"/>
    <n v="4"/>
    <n v="2600"/>
    <n v="3380"/>
    <s v="Aarvi Gupta"/>
    <n v="1690"/>
  </r>
  <r>
    <s v="142000"/>
    <s v="AR"/>
    <s v="Ramkrishna Das Adhikary"/>
    <s v="09/05/2021"/>
    <s v="Delivered"/>
    <s v="15&quot; LCD Dsipaly"/>
    <s v="Monitor"/>
    <s v="Dell"/>
    <n v="7500"/>
    <n v="9750"/>
    <n v="3"/>
    <n v="22500"/>
    <n v="29250"/>
    <s v="Vijay Singh"/>
    <n v="9750"/>
  </r>
  <r>
    <s v="142001"/>
    <s v="AS"/>
    <s v="Ranjeet Mandal"/>
    <s v="09/05/2021"/>
    <s v="Shipped"/>
    <s v="79 TB HDD"/>
    <s v="HDD"/>
    <s v="Seagate"/>
    <n v="10000"/>
    <n v="13000"/>
    <n v="4"/>
    <n v="40000"/>
    <n v="52000"/>
    <s v="Aadil Khan"/>
    <n v="39000"/>
  </r>
  <r>
    <s v="142002"/>
    <s v="BR"/>
    <s v="Ashwini Adsare"/>
    <s v="09/05/2021"/>
    <s v="Order"/>
    <s v="78 TB SSD"/>
    <s v="SSD"/>
    <s v="Samsung"/>
    <n v="10500"/>
    <n v="13650"/>
    <n v="2"/>
    <n v="21000"/>
    <n v="27300"/>
    <s v="Advika Joshi"/>
    <n v="8450"/>
  </r>
  <r>
    <s v="142003"/>
    <s v="CG"/>
    <s v="Rajesh Variya"/>
    <s v="09/05/2021"/>
    <s v="Processing"/>
    <s v="Intel i5 12th gen."/>
    <s v="CPU"/>
    <s v="Intel"/>
    <n v="8500"/>
    <n v="11050"/>
    <n v="4"/>
    <n v="34000"/>
    <n v="44200"/>
    <s v="Ajay Sharma"/>
    <n v="33150"/>
  </r>
  <r>
    <s v="142004"/>
    <s v="GA"/>
    <s v="Amit Singh"/>
    <s v="09/05/2021"/>
    <s v="Delivered"/>
    <s v="2GB Graphic Card"/>
    <s v="Graphic Card"/>
    <s v="Nvidia"/>
    <n v="7000"/>
    <n v="9100"/>
    <n v="2"/>
    <n v="14000"/>
    <n v="18200"/>
    <s v="Roshan Kumar"/>
    <n v="18200"/>
  </r>
  <r>
    <s v="142005"/>
    <s v="GJ"/>
    <s v="Vinod Mehta"/>
    <s v="09/05/2021"/>
    <s v="Shipped"/>
    <s v="81 GB DDR4 Ram"/>
    <s v="NIC"/>
    <s v="Hynix"/>
    <n v="1680"/>
    <n v="2184"/>
    <n v="1"/>
    <n v="1680"/>
    <n v="2184"/>
    <s v="Aarvi Gupta"/>
    <n v="9100"/>
  </r>
  <r>
    <s v="142006"/>
    <s v="HR"/>
    <s v="Jignesh Mhatre"/>
    <s v="09/05/2021"/>
    <s v="Order"/>
    <s v="Micro ATX motherboard"/>
    <s v="Printer"/>
    <s v="MSI"/>
    <n v="6540"/>
    <n v="8502"/>
    <n v="3"/>
    <n v="19620"/>
    <n v="25506"/>
    <s v="Vijay Singh"/>
    <n v="11700"/>
  </r>
  <r>
    <s v="142007"/>
    <s v="HP"/>
    <s v="Rahul Kashyap"/>
    <s v="09/05/2021"/>
    <s v="Processing"/>
    <s v="Gaming Box Cabinet"/>
    <s v="Cabinet"/>
    <s v="Asus"/>
    <n v="2680"/>
    <n v="3484"/>
    <n v="4"/>
    <n v="10720"/>
    <n v="13936"/>
    <s v="Aadil Khan"/>
    <n v="2990"/>
  </r>
  <r>
    <s v="142008"/>
    <s v="JK"/>
    <s v="Mohammed Abdul Kaleem"/>
    <s v="09/05/2021"/>
    <s v="Delivered"/>
    <s v="17&quot; LCD Display"/>
    <s v="Monitor"/>
    <s v="Samsung"/>
    <n v="8250"/>
    <n v="10725"/>
    <n v="1"/>
    <n v="8250"/>
    <n v="10725"/>
    <s v="Advika Joshi"/>
    <n v="9750"/>
  </r>
  <r>
    <s v="142009"/>
    <s v="JH"/>
    <s v="Chandrakant Kasbe"/>
    <s v="09/05/2021"/>
    <s v="Shipped"/>
    <s v="85 GB DDR4 RAM"/>
    <s v="RAM"/>
    <s v="Samsung"/>
    <n v="2650"/>
    <n v="3445"/>
    <n v="4"/>
    <n v="10600"/>
    <n v="13780"/>
    <s v="Ajay Sharma"/>
    <n v="25545"/>
  </r>
  <r>
    <s v="142010"/>
    <s v="KA"/>
    <s v="Rohan Kale"/>
    <s v="09/05/2021"/>
    <s v="Order"/>
    <s v="26&quot; LCD Display"/>
    <s v="Monitor"/>
    <s v="Acer"/>
    <n v="12550"/>
    <n v="16315"/>
    <n v="3"/>
    <n v="37650"/>
    <n v="48945"/>
    <s v="Ajay Sharma"/>
    <n v="9750"/>
  </r>
  <r>
    <s v="142011"/>
    <s v="KL"/>
    <s v="Aniruddha Kekapure"/>
    <s v="09/05/2021"/>
    <s v="Processing"/>
    <s v="I7 - intel 12th Generation"/>
    <s v="CPU"/>
    <s v="Intel"/>
    <n v="14500"/>
    <n v="18850"/>
    <n v="3"/>
    <n v="43500"/>
    <n v="56550"/>
    <s v="Roshan Kumar"/>
    <n v="33150"/>
  </r>
  <r>
    <s v="142012"/>
    <s v="MP"/>
    <s v="Aslam Raza"/>
    <s v="09/05/2021"/>
    <s v="Delivered"/>
    <s v="USB Keyboard"/>
    <s v="Keyboard"/>
    <s v="Dell"/>
    <n v="800"/>
    <n v="1040"/>
    <n v="2"/>
    <n v="1600"/>
    <n v="2080"/>
    <s v="Aarvi Gupta"/>
    <n v="3315"/>
  </r>
  <r>
    <s v="142013"/>
    <s v="MH"/>
    <s v="Roshan Zameer"/>
    <s v="09/05/2021"/>
    <s v="Shipped"/>
    <s v="Wireless Mouse"/>
    <s v="Mouse"/>
    <s v="Samsung"/>
    <n v="600"/>
    <n v="780"/>
    <n v="3"/>
    <n v="1800"/>
    <n v="2340"/>
    <s v="Vijay Singh"/>
    <n v="1690"/>
  </r>
  <r>
    <s v="142014"/>
    <s v="MN"/>
    <s v="Rakesh Kumar Sharma"/>
    <s v="09/05/2021"/>
    <s v="Order"/>
    <s v="21&quot; LCD Display"/>
    <s v="Monitor"/>
    <s v="Dell"/>
    <n v="10500"/>
    <n v="13650"/>
    <n v="3"/>
    <n v="31500"/>
    <n v="40950"/>
    <s v="Aadil Khan"/>
    <n v="9750"/>
  </r>
  <r>
    <s v="142015"/>
    <s v="ML"/>
    <s v="Shivanand Sahani"/>
    <s v="09/05/2021"/>
    <s v="Processing"/>
    <s v="79 TB HDD"/>
    <s v="HDD"/>
    <s v="Western Digital"/>
    <n v="6500"/>
    <n v="8450"/>
    <n v="1"/>
    <n v="6500"/>
    <n v="8450"/>
    <s v="Advika Joshi"/>
    <n v="39000"/>
  </r>
  <r>
    <s v="142016"/>
    <s v="MZ"/>
    <s v="Kunal Patra"/>
    <s v="09/05/2021"/>
    <s v="Delivered"/>
    <s v="334 GB SSD"/>
    <s v="SSD"/>
    <s v="Samsung"/>
    <n v="4500"/>
    <n v="5850"/>
    <n v="2"/>
    <n v="9000"/>
    <n v="11700"/>
    <s v="Ajay Sharma"/>
    <n v="8450"/>
  </r>
  <r>
    <s v="142017"/>
    <s v="NL"/>
    <s v="Bijendra"/>
    <s v="10/05/2021"/>
    <s v="Shipped"/>
    <s v="Intel i3 11th gen."/>
    <s v="CPU"/>
    <s v="Intel"/>
    <n v="8500"/>
    <n v="11050"/>
    <n v="1"/>
    <n v="8500"/>
    <n v="11050"/>
    <s v="Roshan Kumar"/>
    <n v="33150"/>
  </r>
  <r>
    <s v="142018"/>
    <s v="OR"/>
    <s v="Kranti Bheke"/>
    <s v="10/05/2021"/>
    <s v="Order"/>
    <s v="4GB Graphic card"/>
    <s v="Graphic Card"/>
    <s v="Nvidia"/>
    <n v="12500"/>
    <n v="16250"/>
    <n v="3"/>
    <n v="37500"/>
    <n v="48750"/>
    <s v="Aarvi Gupta"/>
    <n v="18200"/>
  </r>
  <r>
    <s v="142019"/>
    <s v="PB"/>
    <s v="Jagdeep"/>
    <s v="10/05/2021"/>
    <s v="Processing"/>
    <s v="86 GB DDR4 RAM"/>
    <s v="RAM"/>
    <s v="Hynix"/>
    <n v="3500"/>
    <n v="4550"/>
    <n v="2"/>
    <n v="7000"/>
    <n v="9100"/>
    <s v="Vijay Singh"/>
    <n v="25545"/>
  </r>
  <r>
    <s v="142020"/>
    <s v="RJ"/>
    <s v="Adhir Samal"/>
    <s v="10/05/2021"/>
    <s v="Delivered"/>
    <s v="BTX motherboard"/>
    <s v="MotherBoard"/>
    <s v="Gigabyte"/>
    <n v="4500"/>
    <n v="5850"/>
    <n v="1"/>
    <n v="4500"/>
    <n v="5850"/>
    <s v="Aadil Khan"/>
    <n v="39780"/>
  </r>
  <r>
    <s v="142021"/>
    <s v="SK"/>
    <s v="Dannana Jhammi"/>
    <s v="10/05/2021"/>
    <s v="Shipped"/>
    <s v="81 Fans Cabinet"/>
    <s v="Cabinet"/>
    <s v="Asus"/>
    <n v="2100"/>
    <n v="2730"/>
    <n v="1"/>
    <n v="2100"/>
    <n v="2730"/>
    <s v="Advika Joshi"/>
    <n v="2990"/>
  </r>
  <r>
    <s v="142022"/>
    <s v="TN"/>
    <s v="Vipin Kumar"/>
    <s v="10/05/2021"/>
    <s v="Order"/>
    <s v="Wireless Keyboard"/>
    <s v="Keyboard"/>
    <s v="Dell"/>
    <n v="1150"/>
    <n v="1495"/>
    <n v="2"/>
    <n v="2300"/>
    <n v="2990"/>
    <s v="Ajay Sharma"/>
    <n v="3315"/>
  </r>
  <r>
    <s v="142023"/>
    <s v="TR"/>
    <s v="Ranjeet Kumar"/>
    <s v="10/05/2021"/>
    <s v="Processing"/>
    <s v="USB Mouse"/>
    <s v="Mouse"/>
    <s v="Samsung"/>
    <n v="350"/>
    <n v="455"/>
    <n v="3"/>
    <n v="1050"/>
    <n v="1365"/>
    <s v="Roshan Kumar"/>
    <n v="1690"/>
  </r>
  <r>
    <s v="142024"/>
    <s v="UK"/>
    <s v="Sajal Singhal"/>
    <s v="10/05/2021"/>
    <s v="Delivered"/>
    <s v="19&quot; LED Display"/>
    <s v="Monitor"/>
    <s v="Dell"/>
    <n v="9500"/>
    <n v="12350"/>
    <n v="1"/>
    <n v="9500"/>
    <n v="12350"/>
    <s v="Aarvi Gupta"/>
    <n v="9750"/>
  </r>
  <r>
    <s v="142025"/>
    <s v="UP"/>
    <s v="Akhilesh Kumar"/>
    <s v="10/05/2021"/>
    <s v="Shipped"/>
    <s v="80 TB HDD"/>
    <s v="HDD"/>
    <s v="Western Digital"/>
    <n v="10000"/>
    <n v="13000"/>
    <n v="3"/>
    <n v="30000"/>
    <n v="39000"/>
    <s v="Vijay Singh"/>
    <n v="39000"/>
  </r>
  <r>
    <s v="142026"/>
    <s v="WB"/>
    <s v="Suvankar Chakraborty"/>
    <s v="10/05/2021"/>
    <s v="Order"/>
    <s v="590 GB M.2"/>
    <s v="SSD"/>
    <s v="Samsung"/>
    <n v="6500"/>
    <n v="8450"/>
    <n v="1"/>
    <n v="6500"/>
    <n v="8450"/>
    <s v="Aadil Khan"/>
    <n v="8450"/>
  </r>
  <r>
    <s v="142027"/>
    <s v="TN"/>
    <s v="Suvankar Adhikary"/>
    <s v="10/05/2021"/>
    <s v="Processing"/>
    <s v="RYZEN 3rd gen. 3578"/>
    <s v="CPU"/>
    <s v="Intel"/>
    <n v="8500"/>
    <n v="11050"/>
    <n v="1"/>
    <n v="8500"/>
    <n v="11050"/>
    <s v="Advika Joshi"/>
    <n v="33150"/>
  </r>
  <r>
    <s v="142028"/>
    <s v="TR"/>
    <s v="Rahul Kumar Prajapati"/>
    <s v="10/05/2021"/>
    <s v="Delivered"/>
    <s v="2GB Graphic Card"/>
    <s v="Graphic Card"/>
    <s v="Nvidia"/>
    <n v="7000"/>
    <n v="9100"/>
    <n v="2"/>
    <n v="14000"/>
    <n v="18200"/>
    <s v="Ajay Sharma"/>
    <n v="18200"/>
  </r>
  <r>
    <s v="142029"/>
    <s v="MH"/>
    <s v="Sagar Jeur"/>
    <s v="10/05/2021"/>
    <s v="Shipped"/>
    <s v="94 GB DDR4 RAM"/>
    <s v="RAM"/>
    <s v="Hynix"/>
    <n v="6550"/>
    <n v="8515"/>
    <n v="1"/>
    <n v="6550"/>
    <n v="8515"/>
    <s v="Roshan Kumar"/>
    <n v="25545"/>
  </r>
  <r>
    <s v="142030"/>
    <s v="CH"/>
    <s v="Rhushikesh Mane"/>
    <s v="10/05/2021"/>
    <s v="Order"/>
    <s v="Standard ATX motherboard"/>
    <s v="MotherBoard"/>
    <s v="Gigabyte"/>
    <n v="7650"/>
    <n v="9945"/>
    <n v="3"/>
    <n v="22950"/>
    <n v="29835"/>
    <s v="Aarvi Gupta"/>
    <n v="39780"/>
  </r>
  <r>
    <s v="142031"/>
    <s v="DH"/>
    <s v="Ashish Kumar"/>
    <s v="10/05/2021"/>
    <s v="Processing"/>
    <s v="Compact with 1 Fan"/>
    <s v="Cabinet"/>
    <s v="Asus"/>
    <n v="1150"/>
    <n v="1495"/>
    <n v="2"/>
    <n v="2300"/>
    <n v="2990"/>
    <s v="Vijay Singh"/>
    <n v="2990"/>
  </r>
  <r>
    <s v="142032"/>
    <s v="DD"/>
    <s v="Javed Akhter"/>
    <s v="10/05/2021"/>
    <s v="Delivered"/>
    <s v="USB Backlight Keyboard"/>
    <s v="Keyboard"/>
    <s v="Dell"/>
    <n v="850"/>
    <n v="1105"/>
    <n v="2"/>
    <n v="1700"/>
    <n v="2210"/>
    <s v="Aadil Khan"/>
    <n v="3315"/>
  </r>
  <r>
    <s v="142033"/>
    <s v="DL"/>
    <s v="Haridas Balraj"/>
    <s v="10/05/2021"/>
    <s v="Shipped"/>
    <s v="Ergonomic Mouse"/>
    <s v="Mouse"/>
    <s v="Samsung"/>
    <n v="650"/>
    <n v="845"/>
    <n v="2"/>
    <n v="1300"/>
    <n v="1690"/>
    <s v="Advika Joshi"/>
    <n v="1690"/>
  </r>
  <r>
    <s v="142034"/>
    <s v="LD"/>
    <s v="Kundan Kumar"/>
    <s v="10/05/2021"/>
    <s v="Order"/>
    <s v="15&quot; LCD Dsipaly"/>
    <s v="Monitor"/>
    <s v="Dell"/>
    <n v="7500"/>
    <n v="9750"/>
    <n v="3"/>
    <n v="22500"/>
    <n v="29250"/>
    <s v="Ajay Sharma"/>
    <n v="9750"/>
  </r>
  <r>
    <s v="142035"/>
    <s v="PY"/>
    <s v="Atif Siddiqui"/>
    <s v="10/05/2021"/>
    <s v="Processing"/>
    <s v="80 TB HDD"/>
    <s v="HDD"/>
    <s v="Seagate"/>
    <n v="10000"/>
    <n v="13000"/>
    <n v="1"/>
    <n v="10000"/>
    <n v="13000"/>
    <s v="Roshan Kumar"/>
    <n v="39000"/>
  </r>
  <r>
    <s v="142036"/>
    <s v="AP"/>
    <s v="Aditya Agarwal"/>
    <s v="10/05/2021"/>
    <s v="Delivered"/>
    <s v="79 TB SSD"/>
    <s v="SSD"/>
    <s v="Samsung"/>
    <n v="10500"/>
    <n v="13650"/>
    <n v="3"/>
    <n v="31500"/>
    <n v="40950"/>
    <s v="Aarvi Gupta"/>
    <n v="8450"/>
  </r>
  <r>
    <s v="142037"/>
    <s v="AR"/>
    <s v="Firdoush Jabee"/>
    <s v="10/05/2021"/>
    <s v="Shipped"/>
    <s v="Intel i5 12th gen."/>
    <s v="CPU"/>
    <s v="Intel"/>
    <n v="8500"/>
    <n v="11050"/>
    <n v="4"/>
    <n v="34000"/>
    <n v="44200"/>
    <s v="Vijay Singh"/>
    <n v="33150"/>
  </r>
  <r>
    <s v="142038"/>
    <s v="AS"/>
    <s v="Jay Prakash Kumar"/>
    <s v="10/05/2021"/>
    <s v="Order"/>
    <s v="2GB Graphic Card"/>
    <s v="Graphic Card"/>
    <s v="Nvidia"/>
    <n v="7000"/>
    <n v="9100"/>
    <n v="3"/>
    <n v="21000"/>
    <n v="27300"/>
    <s v="Aadil Khan"/>
    <n v="18200"/>
  </r>
  <r>
    <s v="142039"/>
    <s v="BR"/>
    <s v="Ashish Pandey"/>
    <s v="10/05/2021"/>
    <s v="Processing"/>
    <s v="82 GB DDR4 Ram"/>
    <s v="RAM"/>
    <s v="Hynix"/>
    <n v="1680"/>
    <n v="2184"/>
    <n v="2"/>
    <n v="3360"/>
    <n v="4368"/>
    <s v="Advika Joshi"/>
    <n v="25545"/>
  </r>
  <r>
    <s v="142040"/>
    <s v="CG"/>
    <s v="Ajay Sharma"/>
    <s v="10/05/2021"/>
    <s v="Delivered"/>
    <s v="Micro ATX motherboard"/>
    <s v="MotherBoard"/>
    <s v="MSI"/>
    <n v="6540"/>
    <n v="8502"/>
    <n v="3"/>
    <n v="19620"/>
    <n v="25506"/>
    <s v="Ajay Sharma"/>
    <n v="39780"/>
  </r>
  <r>
    <s v="142041"/>
    <s v="GA"/>
    <s v="Moinuddin Saifi"/>
    <s v="10/05/2021"/>
    <s v="Shipped"/>
    <s v="Gaming Box Cabinet"/>
    <s v="Cabinet"/>
    <s v="Asus"/>
    <n v="2680"/>
    <n v="3484"/>
    <n v="3"/>
    <n v="8040"/>
    <n v="10452"/>
    <s v="Roshan Kumar"/>
    <n v="2990"/>
  </r>
  <r>
    <s v="142042"/>
    <s v="GJ"/>
    <s v="Ramkrishna Das Adhikary"/>
    <s v="10/05/2021"/>
    <s v="Order"/>
    <s v="17&quot; LCD Display"/>
    <s v="Monitor"/>
    <s v="Samsung"/>
    <n v="8250"/>
    <n v="10725"/>
    <n v="2"/>
    <n v="16500"/>
    <n v="21450"/>
    <s v="Aarvi Gupta"/>
    <n v="9750"/>
  </r>
  <r>
    <s v="142043"/>
    <s v="HR"/>
    <s v="Ranjeet Mandal"/>
    <s v="10/05/2021"/>
    <s v="Processing"/>
    <s v="86 GB DDR4 RAM"/>
    <s v="RAM"/>
    <s v="Samsung"/>
    <n v="2650"/>
    <n v="3445"/>
    <n v="4"/>
    <n v="10600"/>
    <n v="13780"/>
    <s v="Vijay Singh"/>
    <n v="25545"/>
  </r>
  <r>
    <s v="142044"/>
    <s v="HP"/>
    <s v="Ashwini Adsare"/>
    <s v="10/05/2021"/>
    <s v="Delivered"/>
    <s v="26&quot; LCD Display"/>
    <s v="Monitor"/>
    <s v="Acer"/>
    <n v="12550"/>
    <n v="16315"/>
    <n v="4"/>
    <n v="50200"/>
    <n v="65260"/>
    <s v="Aadil Khan"/>
    <n v="9750"/>
  </r>
  <r>
    <s v="142045"/>
    <s v="JK"/>
    <s v="Rajesh Variya"/>
    <s v="10/05/2021"/>
    <s v="Shipped"/>
    <s v="I7 - intel 12th Generation"/>
    <s v="CPU"/>
    <s v="Intel"/>
    <n v="14500"/>
    <n v="18850"/>
    <n v="4"/>
    <n v="58000"/>
    <n v="75400"/>
    <s v="Advika Joshi"/>
    <n v="33150"/>
  </r>
  <r>
    <s v="142046"/>
    <s v="JH"/>
    <s v="Amit Singh"/>
    <s v="10/05/2021"/>
    <s v="Order"/>
    <s v="USB Keyboard"/>
    <s v="Keyboard"/>
    <s v="Dell"/>
    <n v="800"/>
    <n v="1040"/>
    <n v="4"/>
    <n v="3200"/>
    <n v="4160"/>
    <s v="Ajay Sharma"/>
    <n v="3315"/>
  </r>
  <r>
    <s v="142047"/>
    <s v="KA"/>
    <s v="Vinod Mehta"/>
    <s v="10/05/2021"/>
    <s v="Processing"/>
    <s v="Wireless Mouse"/>
    <s v="Mouse"/>
    <s v="Samsung"/>
    <n v="600"/>
    <n v="780"/>
    <n v="4"/>
    <n v="2400"/>
    <n v="3120"/>
    <s v="Roshan Kumar"/>
    <n v="1690"/>
  </r>
  <r>
    <s v="142048"/>
    <s v="KL"/>
    <s v="Jignesh Mhatre"/>
    <s v="11/05/2021"/>
    <s v="Delivered"/>
    <s v="21&quot; LCD Display"/>
    <s v="Monitor"/>
    <s v="Dell"/>
    <n v="10500"/>
    <n v="13650"/>
    <n v="2"/>
    <n v="21000"/>
    <n v="27300"/>
    <s v="Aarvi Gupta"/>
    <n v="9750"/>
  </r>
  <r>
    <s v="142049"/>
    <s v="MP"/>
    <s v="Rahul Kashyap"/>
    <s v="11/05/2021"/>
    <s v="Shipped"/>
    <s v="80 TB HDD"/>
    <s v="HDD"/>
    <s v="Western Digital"/>
    <n v="6500"/>
    <n v="8450"/>
    <n v="2"/>
    <n v="13000"/>
    <n v="16900"/>
    <s v="Vijay Singh"/>
    <n v="39000"/>
  </r>
  <r>
    <s v="142050"/>
    <s v="MH"/>
    <s v="Mohammed Abdul Kaleem"/>
    <s v="11/05/2021"/>
    <s v="Order"/>
    <s v="335 GB SSD"/>
    <s v="SSD"/>
    <s v="Samsung"/>
    <n v="4500"/>
    <n v="5850"/>
    <n v="2"/>
    <n v="9000"/>
    <n v="11700"/>
    <s v="Aadil Khan"/>
    <n v="8450"/>
  </r>
  <r>
    <s v="142051"/>
    <s v="MN"/>
    <s v="Chandrakant Kasbe"/>
    <s v="11/05/2021"/>
    <s v="Processing"/>
    <s v="Intel i3 11th gen."/>
    <s v="CPU"/>
    <s v="Intel"/>
    <n v="8500"/>
    <n v="11050"/>
    <n v="2"/>
    <n v="17000"/>
    <n v="22100"/>
    <s v="Advika Joshi"/>
    <n v="33150"/>
  </r>
  <r>
    <s v="142052"/>
    <s v="ML"/>
    <s v="Rohan Kale"/>
    <s v="11/05/2021"/>
    <s v="Delivered"/>
    <s v="4GB Graphic card"/>
    <s v="Graphic Card"/>
    <s v="Nvidia"/>
    <n v="12500"/>
    <n v="16250"/>
    <n v="2"/>
    <n v="25000"/>
    <n v="32500"/>
    <s v="Ajay Sharma"/>
    <n v="18200"/>
  </r>
  <r>
    <s v="142053"/>
    <s v="MZ"/>
    <s v="Aniruddha Kekapure"/>
    <s v="11/05/2021"/>
    <s v="Shipped"/>
    <s v="87 GB DDR4 RAM"/>
    <s v="Computer Case"/>
    <s v="Hynix"/>
    <n v="3500"/>
    <n v="4550"/>
    <n v="3"/>
    <n v="10500"/>
    <n v="13650"/>
    <s v="Roshan Kumar"/>
    <n v="13650"/>
  </r>
  <r>
    <s v="142054"/>
    <s v="NL"/>
    <s v="Aslam Raza"/>
    <s v="11/05/2021"/>
    <s v="Order"/>
    <s v="BTX motherboard"/>
    <s v="Mouse"/>
    <s v="Gigabyte"/>
    <n v="4500"/>
    <n v="5850"/>
    <n v="3"/>
    <n v="13500"/>
    <n v="17550"/>
    <s v="Aarvi Gupta"/>
    <n v="1690"/>
  </r>
  <r>
    <s v="142055"/>
    <s v="OR"/>
    <s v="Roshan Zameer"/>
    <s v="11/05/2021"/>
    <s v="Processing"/>
    <s v="82 Fans Cabinet"/>
    <s v="Cabinet"/>
    <s v="Asus"/>
    <n v="2100"/>
    <n v="2730"/>
    <n v="4"/>
    <n v="8400"/>
    <n v="10920"/>
    <s v="Vijay Singh"/>
    <n v="2990"/>
  </r>
  <r>
    <s v="142056"/>
    <s v="PB"/>
    <s v="Rakesh Kumar Sharma"/>
    <s v="11/05/2021"/>
    <s v="Delivered"/>
    <s v="Wireless Keyboard"/>
    <s v="Keyboard"/>
    <s v="Dell"/>
    <n v="1150"/>
    <n v="1495"/>
    <n v="3"/>
    <n v="3450"/>
    <n v="4485"/>
    <s v="Aadil Khan"/>
    <n v="3315"/>
  </r>
  <r>
    <s v="142057"/>
    <s v="RJ"/>
    <s v="Shivanand Sahani"/>
    <s v="11/05/2021"/>
    <s v="Shipped"/>
    <s v="USB Mouse"/>
    <s v="Mouse"/>
    <s v="Samsung"/>
    <n v="350"/>
    <n v="455"/>
    <n v="4"/>
    <n v="1400"/>
    <n v="1820"/>
    <s v="Advika Joshi"/>
    <n v="1690"/>
  </r>
  <r>
    <s v="142058"/>
    <s v="SK"/>
    <s v="Kunal Patra"/>
    <s v="11/05/2021"/>
    <s v="Order"/>
    <s v="19&quot; LED Display"/>
    <s v="Monitor"/>
    <s v="Dell"/>
    <n v="9500"/>
    <n v="12350"/>
    <n v="3"/>
    <n v="28500"/>
    <n v="37050"/>
    <s v="Ajay Sharma"/>
    <n v="9750"/>
  </r>
  <r>
    <s v="142059"/>
    <s v="TN"/>
    <s v="Bijendra"/>
    <s v="11/05/2021"/>
    <s v="Processing"/>
    <s v="81 TB HDD"/>
    <s v="HDD"/>
    <s v="Western Digital"/>
    <n v="10000"/>
    <n v="13000"/>
    <n v="3"/>
    <n v="30000"/>
    <n v="39000"/>
    <s v="Roshan Kumar"/>
    <n v="39000"/>
  </r>
  <r>
    <s v="142060"/>
    <s v="TR"/>
    <s v="Kranti Bheke"/>
    <s v="11/05/2021"/>
    <s v="Delivered"/>
    <s v="591 GB M.2"/>
    <s v="SSD"/>
    <s v="Samsung"/>
    <n v="6500"/>
    <n v="8450"/>
    <n v="3"/>
    <n v="19500"/>
    <n v="25350"/>
    <s v="Aarvi Gupta"/>
    <n v="8450"/>
  </r>
  <r>
    <s v="142061"/>
    <s v="UK"/>
    <s v="Jagdeep"/>
    <s v="11/05/2021"/>
    <s v="Shipped"/>
    <s v="RYZEN 3rd gen. 3579"/>
    <s v="CPU"/>
    <s v="Intel"/>
    <n v="8500"/>
    <n v="11050"/>
    <n v="4"/>
    <n v="34000"/>
    <n v="44200"/>
    <s v="Vijay Singh"/>
    <n v="33150"/>
  </r>
  <r>
    <s v="142062"/>
    <s v="UP"/>
    <s v="Adhir Samal"/>
    <s v="11/05/2021"/>
    <s v="Order"/>
    <s v="2GB Graphic Card"/>
    <s v="Graphic Card"/>
    <s v="Nvidia"/>
    <n v="7000"/>
    <n v="9100"/>
    <n v="4"/>
    <n v="28000"/>
    <n v="36400"/>
    <s v="Aadil Khan"/>
    <n v="18200"/>
  </r>
  <r>
    <s v="142063"/>
    <s v="WB"/>
    <s v="Dannana Jhammi"/>
    <s v="11/05/2021"/>
    <s v="Processing"/>
    <s v="95 GB DDR4 RAM"/>
    <s v="Computer Case"/>
    <s v="Hynix"/>
    <n v="6550"/>
    <n v="8515"/>
    <n v="1"/>
    <n v="6550"/>
    <n v="8515"/>
    <s v="Advika Joshi"/>
    <n v="13650"/>
  </r>
  <r>
    <s v="142064"/>
    <s v="TN"/>
    <s v="Vipin Kumar"/>
    <s v="11/05/2021"/>
    <s v="Delivered"/>
    <s v="Standard ATX motherboard"/>
    <s v="Mouse"/>
    <s v="Gigabyte"/>
    <n v="7650"/>
    <n v="9945"/>
    <n v="3"/>
    <n v="22950"/>
    <n v="29835"/>
    <s v="Ajay Sharma"/>
    <n v="1690"/>
  </r>
  <r>
    <s v="142065"/>
    <s v="TR"/>
    <s v="Ranjeet Kumar"/>
    <s v="11/05/2021"/>
    <s v="Shipped"/>
    <s v="Compact with 1 Fan"/>
    <s v="Cabinet"/>
    <s v="Asus"/>
    <n v="1150"/>
    <n v="1495"/>
    <n v="4"/>
    <n v="4600"/>
    <n v="5980"/>
    <s v="Roshan Kumar"/>
    <n v="2990"/>
  </r>
  <r>
    <s v="142066"/>
    <s v="MH"/>
    <s v="Sajal Singhal"/>
    <s v="11/05/2021"/>
    <s v="Order"/>
    <s v="USB Backlight Keyboard"/>
    <s v="Keyboard"/>
    <s v="Dell"/>
    <n v="850"/>
    <n v="1105"/>
    <n v="4"/>
    <n v="3400"/>
    <n v="4420"/>
    <s v="Aarvi Gupta"/>
    <n v="3315"/>
  </r>
  <r>
    <s v="142067"/>
    <s v="CH"/>
    <s v="Akhilesh Kumar"/>
    <s v="11/05/2021"/>
    <s v="Processing"/>
    <s v="Ergonomic Mouse"/>
    <s v="Mouse"/>
    <s v="Samsung"/>
    <n v="650"/>
    <n v="845"/>
    <n v="1"/>
    <n v="650"/>
    <n v="845"/>
    <s v="Vijay Singh"/>
    <n v="1690"/>
  </r>
  <r>
    <s v="142068"/>
    <s v="DH"/>
    <s v="Suvankar Chakraborty"/>
    <s v="11/05/2021"/>
    <s v="Delivered"/>
    <s v="15&quot; LCD Dsipaly"/>
    <s v="Monitor"/>
    <s v="Dell"/>
    <n v="7500"/>
    <n v="9750"/>
    <n v="1"/>
    <n v="7500"/>
    <n v="9750"/>
    <s v="Aadil Khan"/>
    <n v="9750"/>
  </r>
  <r>
    <s v="142069"/>
    <s v="DD"/>
    <s v="Suvankar Adhikary"/>
    <s v="11/05/2021"/>
    <s v="Shipped"/>
    <s v="81 TB HDD"/>
    <s v="HDD"/>
    <s v="Seagate"/>
    <n v="10000"/>
    <n v="13000"/>
    <n v="1"/>
    <n v="10000"/>
    <n v="13000"/>
    <s v="Advika Joshi"/>
    <n v="39000"/>
  </r>
  <r>
    <s v="142070"/>
    <s v="DL"/>
    <s v="Rahul Kumar Prajapati"/>
    <s v="11/05/2021"/>
    <s v="Order"/>
    <s v="80 TB SSD"/>
    <s v="SSD"/>
    <s v="Samsung"/>
    <n v="10500"/>
    <n v="13650"/>
    <n v="3"/>
    <n v="31500"/>
    <n v="40950"/>
    <s v="Ajay Sharma"/>
    <n v="8450"/>
  </r>
  <r>
    <s v="142071"/>
    <s v="LD"/>
    <s v="Sagar Jeur"/>
    <s v="11/05/2021"/>
    <s v="Processing"/>
    <s v="Intel i5 12th gen."/>
    <s v="CPU"/>
    <s v="Intel"/>
    <n v="8500"/>
    <n v="11050"/>
    <n v="4"/>
    <n v="34000"/>
    <n v="44200"/>
    <s v="Roshan Kumar"/>
    <n v="33150"/>
  </r>
  <r>
    <s v="142072"/>
    <s v="PY"/>
    <s v="Rhushikesh Mane"/>
    <s v="11/05/2021"/>
    <s v="Delivered"/>
    <s v="2GB Graphic Card"/>
    <s v="Graphic Card"/>
    <s v="Nvidia"/>
    <n v="7000"/>
    <n v="9100"/>
    <n v="2"/>
    <n v="14000"/>
    <n v="18200"/>
    <s v="Aarvi Gupta"/>
    <n v="18200"/>
  </r>
  <r>
    <s v="142073"/>
    <s v="AP"/>
    <s v="Ashish Kumar"/>
    <s v="11/05/2021"/>
    <s v="Shipped"/>
    <s v="83 GB DDR4 Ram"/>
    <s v="Computer Case"/>
    <s v="Hynix"/>
    <n v="1680"/>
    <n v="2184"/>
    <n v="2"/>
    <n v="3360"/>
    <n v="4368"/>
    <s v="Vijay Singh"/>
    <n v="13650"/>
  </r>
  <r>
    <s v="142074"/>
    <s v="AR"/>
    <s v="Javed Akhter"/>
    <s v="11/05/2021"/>
    <s v="Order"/>
    <s v="Micro ATX motherboard"/>
    <s v="Mouse"/>
    <s v="MSI"/>
    <n v="6540"/>
    <n v="8502"/>
    <n v="1"/>
    <n v="6540"/>
    <n v="8502"/>
    <s v="Aadil Khan"/>
    <n v="1690"/>
  </r>
  <r>
    <s v="142075"/>
    <s v="AS"/>
    <s v="Haridas Balraj"/>
    <s v="11/05/2021"/>
    <s v="Processing"/>
    <s v="Gaming Box Cabinet"/>
    <s v="Cabinet"/>
    <s v="Asus"/>
    <n v="2680"/>
    <n v="3484"/>
    <n v="4"/>
    <n v="10720"/>
    <n v="13936"/>
    <s v="Advika Joshi"/>
    <n v="2990"/>
  </r>
  <r>
    <s v="142076"/>
    <s v="BR"/>
    <s v="Kundan Kumar"/>
    <s v="11/05/2021"/>
    <s v="Delivered"/>
    <s v="17&quot; LCD Display"/>
    <s v="Monitor"/>
    <s v="Samsung"/>
    <n v="8250"/>
    <n v="10725"/>
    <n v="3"/>
    <n v="24750"/>
    <n v="32175"/>
    <s v="Ajay Sharma"/>
    <n v="9750"/>
  </r>
  <r>
    <s v="142077"/>
    <s v="CG"/>
    <s v="Atif Siddiqui"/>
    <s v="11/05/2021"/>
    <s v="Shipped"/>
    <s v="87 GB DDR4 RAM"/>
    <s v="RAM"/>
    <s v="Samsung"/>
    <n v="2650"/>
    <n v="3445"/>
    <n v="3"/>
    <n v="7950"/>
    <n v="10335"/>
    <s v="Roshan Kumar"/>
    <n v="25545"/>
  </r>
  <r>
    <s v="142078"/>
    <s v="GA"/>
    <s v="Aditya Agarwal"/>
    <s v="11/05/2021"/>
    <s v="Order"/>
    <s v="26&quot; LCD Display"/>
    <s v="Monitor"/>
    <s v="Acer"/>
    <n v="12550"/>
    <n v="16315"/>
    <n v="2"/>
    <n v="25100"/>
    <n v="32630"/>
    <s v="Aarvi Gupta"/>
    <n v="9750"/>
  </r>
  <r>
    <s v="142079"/>
    <s v="GJ"/>
    <s v="Firdoush Jabee"/>
    <s v="11/05/2021"/>
    <s v="Processing"/>
    <s v="I7 - intel 12th Generation"/>
    <s v="CPU"/>
    <s v="Intel"/>
    <n v="14500"/>
    <n v="18850"/>
    <n v="4"/>
    <n v="58000"/>
    <n v="75400"/>
    <s v="Vijay Singh"/>
    <n v="33150"/>
  </r>
  <r>
    <s v="142080"/>
    <s v="HR"/>
    <s v="Jay Prakash Kumar"/>
    <s v="11/05/2021"/>
    <s v="Delivered"/>
    <s v="USB Keyboard"/>
    <s v="Keyboard"/>
    <s v="Dell"/>
    <n v="800"/>
    <n v="1040"/>
    <n v="1"/>
    <n v="800"/>
    <n v="1040"/>
    <s v="Aadil Khan"/>
    <n v="3315"/>
  </r>
  <r>
    <s v="142081"/>
    <s v="HP"/>
    <s v="Ashish Pandey"/>
    <s v="11/05/2021"/>
    <s v="Shipped"/>
    <s v="Wireless Mouse"/>
    <s v="Mouse"/>
    <s v="Samsung"/>
    <n v="600"/>
    <n v="780"/>
    <n v="4"/>
    <n v="2400"/>
    <n v="3120"/>
    <s v="Advika Joshi"/>
    <n v="1690"/>
  </r>
  <r>
    <s v="142082"/>
    <s v="JK"/>
    <s v="Ajay Sharma"/>
    <s v="11/05/2021"/>
    <s v="Order"/>
    <s v="21&quot; LCD Display"/>
    <s v="Monitor"/>
    <s v="Dell"/>
    <n v="10500"/>
    <n v="13650"/>
    <n v="3"/>
    <n v="31500"/>
    <n v="40950"/>
    <s v="Ajay Sharma"/>
    <n v="9750"/>
  </r>
  <r>
    <s v="142083"/>
    <s v="JH"/>
    <s v="Moinuddin Saifi"/>
    <s v="11/05/2021"/>
    <s v="Processing"/>
    <s v="81 TB HDD"/>
    <s v="HDD"/>
    <s v="Western Digital"/>
    <n v="6500"/>
    <n v="8450"/>
    <n v="4"/>
    <n v="26000"/>
    <n v="33800"/>
    <s v="Roshan Kumar"/>
    <n v="39000"/>
  </r>
  <r>
    <s v="142084"/>
    <s v="KA"/>
    <s v="Ramkrishna Das Adhikary"/>
    <s v="11/05/2021"/>
    <s v="Delivered"/>
    <s v="336 GB SSD"/>
    <s v="SSD"/>
    <s v="Samsung"/>
    <n v="4500"/>
    <n v="5850"/>
    <n v="1"/>
    <n v="4500"/>
    <n v="5850"/>
    <s v="Aarvi Gupta"/>
    <n v="8450"/>
  </r>
  <r>
    <s v="142085"/>
    <s v="KL"/>
    <s v="Ranjeet Mandal"/>
    <s v="11/05/2021"/>
    <s v="Shipped"/>
    <s v="Intel i3 11th gen."/>
    <s v="CPU"/>
    <s v="Intel"/>
    <n v="8500"/>
    <n v="11050"/>
    <n v="4"/>
    <n v="34000"/>
    <n v="44200"/>
    <s v="Vijay Singh"/>
    <n v="33150"/>
  </r>
  <r>
    <s v="142086"/>
    <s v="MP"/>
    <s v="Ashwini Adsare"/>
    <s v="11/05/2021"/>
    <s v="Order"/>
    <s v="4GB Graphic card"/>
    <s v="Graphic Card"/>
    <s v="Nvidia"/>
    <n v="12500"/>
    <n v="16250"/>
    <n v="4"/>
    <n v="50000"/>
    <n v="65000"/>
    <s v="Aadil Khan"/>
    <n v="18200"/>
  </r>
  <r>
    <s v="142087"/>
    <s v="MH"/>
    <s v="Rajesh Variya"/>
    <s v="11/05/2021"/>
    <s v="Processing"/>
    <s v="88 GB DDR4 RAM"/>
    <s v="NIC"/>
    <s v="Hynix"/>
    <n v="3500"/>
    <n v="4550"/>
    <n v="3"/>
    <n v="10500"/>
    <n v="13650"/>
    <s v="Advika Joshi"/>
    <n v="9100"/>
  </r>
  <r>
    <s v="142088"/>
    <s v="MN"/>
    <s v="Amit Singh"/>
    <s v="11/05/2021"/>
    <s v="Delivered"/>
    <s v="BTX motherboard"/>
    <s v="Printer"/>
    <s v="Gigabyte"/>
    <n v="4500"/>
    <n v="5850"/>
    <n v="4"/>
    <n v="18000"/>
    <n v="23400"/>
    <s v="Ajay Sharma"/>
    <n v="11700"/>
  </r>
  <r>
    <s v="142089"/>
    <s v="ML"/>
    <s v="Vinod Mehta"/>
    <s v="11/05/2021"/>
    <s v="Shipped"/>
    <s v="83 Fans Cabinet"/>
    <s v="Cabinet"/>
    <s v="Asus"/>
    <n v="2100"/>
    <n v="2730"/>
    <n v="4"/>
    <n v="8400"/>
    <n v="10920"/>
    <s v="Roshan Kumar"/>
    <n v="2990"/>
  </r>
  <r>
    <s v="142090"/>
    <s v="MZ"/>
    <s v="Jignesh Mhatre"/>
    <s v="11/05/2021"/>
    <s v="Order"/>
    <s v="Wireless Keyboard"/>
    <s v="Keyboard"/>
    <s v="Dell"/>
    <n v="1150"/>
    <n v="1495"/>
    <n v="2"/>
    <n v="2300"/>
    <n v="2990"/>
    <s v="Aarvi Gupta"/>
    <n v="3315"/>
  </r>
  <r>
    <s v="142091"/>
    <s v="NL"/>
    <s v="Rahul Kashyap"/>
    <s v="11/05/2021"/>
    <s v="Processing"/>
    <s v="USB Mouse"/>
    <s v="Mouse"/>
    <s v="Samsung"/>
    <n v="350"/>
    <n v="455"/>
    <n v="2"/>
    <n v="700"/>
    <n v="910"/>
    <s v="Vijay Singh"/>
    <n v="1690"/>
  </r>
  <r>
    <s v="142092"/>
    <s v="OR"/>
    <s v="Mohammed Abdul Kaleem"/>
    <s v="11/05/2021"/>
    <s v="Delivered"/>
    <s v="19&quot; LED Display"/>
    <s v="Monitor"/>
    <s v="Dell"/>
    <n v="9500"/>
    <n v="12350"/>
    <n v="3"/>
    <n v="28500"/>
    <n v="37050"/>
    <s v="Aadil Khan"/>
    <n v="9750"/>
  </r>
  <r>
    <s v="142093"/>
    <s v="PB"/>
    <s v="Chandrakant Kasbe"/>
    <s v="11/05/2021"/>
    <s v="Shipped"/>
    <s v="82 TB HDD"/>
    <s v="HDD"/>
    <s v="Western Digital"/>
    <n v="10000"/>
    <n v="13000"/>
    <n v="4"/>
    <n v="40000"/>
    <n v="52000"/>
    <s v="Advika Joshi"/>
    <n v="39000"/>
  </r>
  <r>
    <s v="142094"/>
    <s v="RJ"/>
    <s v="Rohan Kale"/>
    <s v="11/05/2021"/>
    <s v="Order"/>
    <s v="592 GB M.2"/>
    <s v="SSD"/>
    <s v="Samsung"/>
    <n v="6500"/>
    <n v="8450"/>
    <n v="4"/>
    <n v="26000"/>
    <n v="33800"/>
    <s v="Ajay Sharma"/>
    <n v="8450"/>
  </r>
  <r>
    <s v="142095"/>
    <s v="SK"/>
    <s v="Aniruddha Kekapure"/>
    <s v="11/05/2021"/>
    <s v="Processing"/>
    <s v="RYZEN 3rd gen. 3580"/>
    <s v="CPU"/>
    <s v="Intel"/>
    <n v="8500"/>
    <n v="11050"/>
    <n v="3"/>
    <n v="25500"/>
    <n v="33150"/>
    <s v="Roshan Kumar"/>
    <n v="33150"/>
  </r>
  <r>
    <s v="142096"/>
    <s v="TN"/>
    <s v="Aslam Raza"/>
    <s v="12/05/2021"/>
    <s v="Delivered"/>
    <s v="2GB Graphic Card"/>
    <s v="Graphic Card"/>
    <s v="Nvidia"/>
    <n v="7000"/>
    <n v="9100"/>
    <n v="1"/>
    <n v="7000"/>
    <n v="9100"/>
    <s v="Aarvi Gupta"/>
    <n v="18200"/>
  </r>
  <r>
    <s v="142097"/>
    <s v="TR"/>
    <s v="Roshan Zameer"/>
    <s v="13/05/2021"/>
    <s v="Shipped"/>
    <s v="96 GB DDR4 RAM"/>
    <s v="NIC"/>
    <s v="Hynix"/>
    <n v="6550"/>
    <n v="8515"/>
    <n v="1"/>
    <n v="6550"/>
    <n v="8515"/>
    <s v="Vijay Singh"/>
    <n v="9100"/>
  </r>
  <r>
    <s v="142098"/>
    <s v="UK"/>
    <s v="Rakesh Kumar Sharma"/>
    <s v="14/05/2021"/>
    <s v="Order"/>
    <s v="Standard ATX motherboard"/>
    <s v="Printer"/>
    <s v="Gigabyte"/>
    <n v="7650"/>
    <n v="9945"/>
    <n v="2"/>
    <n v="15300"/>
    <n v="19890"/>
    <s v="Aadil Khan"/>
    <n v="11700"/>
  </r>
  <r>
    <s v="142099"/>
    <s v="UP"/>
    <s v="Shivanand Sahani"/>
    <s v="15/05/2021"/>
    <s v="Processing"/>
    <s v="Compact with 1 Fan"/>
    <s v="Cabinet"/>
    <s v="Asus"/>
    <n v="1150"/>
    <n v="1495"/>
    <n v="4"/>
    <n v="4600"/>
    <n v="5980"/>
    <s v="Advika Joshi"/>
    <n v="2990"/>
  </r>
  <r>
    <s v="142100"/>
    <s v="WB"/>
    <s v="Kunal Patra"/>
    <s v="16/05/2021"/>
    <s v="Delivered"/>
    <s v="USB Backlight Keyboard"/>
    <s v="Keyboard"/>
    <s v="Dell"/>
    <n v="850"/>
    <n v="1105"/>
    <n v="1"/>
    <n v="850"/>
    <n v="1105"/>
    <s v="Ajay Sharma"/>
    <n v="3315"/>
  </r>
  <r>
    <s v="142101"/>
    <s v="TN"/>
    <s v="Bijendra"/>
    <s v="17/05/2021"/>
    <s v="Shipped"/>
    <s v="Ergonomic Mouse"/>
    <s v="Mouse"/>
    <s v="Samsung"/>
    <n v="650"/>
    <n v="845"/>
    <n v="4"/>
    <n v="2600"/>
    <n v="3380"/>
    <s v="Roshan Kumar"/>
    <n v="1690"/>
  </r>
  <r>
    <s v="142102"/>
    <s v="TR"/>
    <s v="Kranti Bheke"/>
    <s v="18/05/2021"/>
    <s v="Order"/>
    <s v="15&quot; LCD Dsipaly"/>
    <s v="Monitor"/>
    <s v="Dell"/>
    <n v="7500"/>
    <n v="9750"/>
    <n v="1"/>
    <n v="7500"/>
    <n v="9750"/>
    <s v="Aarvi Gupta"/>
    <n v="9750"/>
  </r>
  <r>
    <s v="142103"/>
    <s v="MH"/>
    <s v="Jagdeep"/>
    <s v="19/05/2021"/>
    <s v="Processing"/>
    <s v="82 TB HDD"/>
    <s v="HDD"/>
    <s v="Seagate"/>
    <n v="10000"/>
    <n v="13000"/>
    <n v="3"/>
    <n v="30000"/>
    <n v="39000"/>
    <s v="Vijay Singh"/>
    <n v="39000"/>
  </r>
  <r>
    <s v="142104"/>
    <s v="CH"/>
    <s v="Adhir Samal"/>
    <s v="19/05/2021"/>
    <s v="Delivered"/>
    <s v="81 TB SSD"/>
    <s v="SSD"/>
    <s v="Samsung"/>
    <n v="10500"/>
    <n v="13650"/>
    <n v="1"/>
    <n v="10500"/>
    <n v="13650"/>
    <s v="Aadil Khan"/>
    <n v="8450"/>
  </r>
  <r>
    <s v="142105"/>
    <s v="DH"/>
    <s v="Dannana Jhammi"/>
    <s v="19/05/2021"/>
    <s v="Shipped"/>
    <s v="Intel i5 12th gen."/>
    <s v="CPU"/>
    <s v="Intel"/>
    <n v="8500"/>
    <n v="11050"/>
    <n v="4"/>
    <n v="34000"/>
    <n v="44200"/>
    <s v="Advika Joshi"/>
    <n v="33150"/>
  </r>
  <r>
    <s v="142106"/>
    <s v="DD"/>
    <s v="Vipin Kumar"/>
    <s v="19/05/2021"/>
    <s v="Order"/>
    <s v="2GB Graphic Card"/>
    <s v="Graphic Card"/>
    <s v="Nvidia"/>
    <n v="7000"/>
    <n v="9100"/>
    <n v="2"/>
    <n v="14000"/>
    <n v="18200"/>
    <s v="Ajay Sharma"/>
    <n v="18200"/>
  </r>
  <r>
    <s v="142107"/>
    <s v="DL"/>
    <s v="Ranjeet Kumar"/>
    <s v="19/05/2021"/>
    <s v="Processing"/>
    <s v="84 GB DDR4 Ram"/>
    <s v="NIC"/>
    <s v="Hynix"/>
    <n v="1680"/>
    <n v="2184"/>
    <n v="3"/>
    <n v="5040"/>
    <n v="6552"/>
    <s v="Roshan Kumar"/>
    <n v="9100"/>
  </r>
  <r>
    <s v="142108"/>
    <s v="LD"/>
    <s v="Sajal Singhal"/>
    <s v="19/05/2021"/>
    <s v="Delivered"/>
    <s v="Micro ATX motherboard"/>
    <s v="Printer"/>
    <s v="MSI"/>
    <n v="6540"/>
    <n v="8502"/>
    <n v="2"/>
    <n v="13080"/>
    <n v="17004"/>
    <s v="Aarvi Gupta"/>
    <n v="11700"/>
  </r>
  <r>
    <s v="142109"/>
    <s v="PY"/>
    <s v="Akhilesh Kumar"/>
    <s v="19/05/2021"/>
    <s v="Shipped"/>
    <s v="Gaming Box Cabinet"/>
    <s v="Cabinet"/>
    <s v="Asus"/>
    <n v="2680"/>
    <n v="3484"/>
    <n v="4"/>
    <n v="10720"/>
    <n v="13936"/>
    <s v="Vijay Singh"/>
    <n v="2990"/>
  </r>
  <r>
    <s v="142110"/>
    <s v="AP"/>
    <s v="Suvankar Chakraborty"/>
    <s v="19/05/2021"/>
    <s v="Order"/>
    <s v="17&quot; LCD Display"/>
    <s v="Monitor"/>
    <s v="Samsung"/>
    <n v="8250"/>
    <n v="10725"/>
    <n v="3"/>
    <n v="24750"/>
    <n v="32175"/>
    <s v="Aadil Khan"/>
    <n v="9750"/>
  </r>
  <r>
    <s v="142111"/>
    <s v="AR"/>
    <s v="Suvankar Adhikary"/>
    <s v="19/05/2021"/>
    <s v="Processing"/>
    <s v="88 GB DDR4 RAM"/>
    <s v="RAM"/>
    <s v="Samsung"/>
    <n v="2650"/>
    <n v="3445"/>
    <n v="2"/>
    <n v="5300"/>
    <n v="6890"/>
    <s v="Advika Joshi"/>
    <n v="25545"/>
  </r>
  <r>
    <s v="142112"/>
    <s v="AS"/>
    <s v="Rahul Kumar Prajapati"/>
    <s v="19/05/2021"/>
    <s v="Delivered"/>
    <s v="26&quot; LCD Display"/>
    <s v="Monitor"/>
    <s v="Acer"/>
    <n v="12550"/>
    <n v="16315"/>
    <n v="1"/>
    <n v="12550"/>
    <n v="16315"/>
    <s v="Ajay Sharma"/>
    <n v="9750"/>
  </r>
  <r>
    <s v="142113"/>
    <s v="BR"/>
    <s v="Sagar Jeur"/>
    <s v="19/05/2021"/>
    <s v="Shipped"/>
    <s v="I7 - intel 12th Generation"/>
    <s v="CPU"/>
    <s v="Intel"/>
    <n v="14500"/>
    <n v="18850"/>
    <n v="3"/>
    <n v="43500"/>
    <n v="56550"/>
    <s v="Roshan Kumar"/>
    <n v="33150"/>
  </r>
  <r>
    <s v="142114"/>
    <s v="CG"/>
    <s v="Rhushikesh Mane"/>
    <s v="19/05/2021"/>
    <s v="Order"/>
    <s v="USB Keyboard"/>
    <s v="Keyboard"/>
    <s v="Dell"/>
    <n v="800"/>
    <n v="1040"/>
    <n v="3"/>
    <n v="2400"/>
    <n v="3120"/>
    <s v="Aarvi Gupta"/>
    <n v="3315"/>
  </r>
  <r>
    <s v="142115"/>
    <s v="GA"/>
    <s v="Ashish Kumar"/>
    <s v="19/05/2021"/>
    <s v="Processing"/>
    <s v="Wireless Mouse"/>
    <s v="Mouse"/>
    <s v="Samsung"/>
    <n v="600"/>
    <n v="780"/>
    <n v="1"/>
    <n v="600"/>
    <n v="780"/>
    <s v="Vijay Singh"/>
    <n v="1690"/>
  </r>
  <r>
    <s v="142116"/>
    <s v="GJ"/>
    <s v="Javed Akhter"/>
    <s v="19/05/2021"/>
    <s v="Delivered"/>
    <s v="21&quot; LCD Display"/>
    <s v="Monitor"/>
    <s v="Dell"/>
    <n v="10500"/>
    <n v="13650"/>
    <n v="3"/>
    <n v="31500"/>
    <n v="40950"/>
    <s v="Aadil Khan"/>
    <n v="9750"/>
  </r>
  <r>
    <s v="142117"/>
    <s v="HR"/>
    <s v="Haridas Balraj"/>
    <s v="19/05/2021"/>
    <s v="Shipped"/>
    <s v="82 TB HDD"/>
    <s v="HDD"/>
    <s v="Western Digital"/>
    <n v="6500"/>
    <n v="8450"/>
    <n v="4"/>
    <n v="26000"/>
    <n v="33800"/>
    <s v="Advika Joshi"/>
    <n v="39000"/>
  </r>
  <r>
    <s v="142118"/>
    <s v="HP"/>
    <s v="Kundan Kumar"/>
    <s v="19/05/2021"/>
    <s v="Order"/>
    <s v="337 GB SSD"/>
    <s v="SSD"/>
    <s v="Samsung"/>
    <n v="4500"/>
    <n v="5850"/>
    <n v="3"/>
    <n v="13500"/>
    <n v="17550"/>
    <s v="Ajay Sharma"/>
    <n v="8450"/>
  </r>
  <r>
    <s v="142119"/>
    <s v="JK"/>
    <s v="Atif Siddiqui"/>
    <s v="19/05/2021"/>
    <s v="Processing"/>
    <s v="Intel i3 11th gen."/>
    <s v="CPU"/>
    <s v="Intel"/>
    <n v="8500"/>
    <n v="11050"/>
    <n v="3"/>
    <n v="25500"/>
    <n v="33150"/>
    <s v="Roshan Kumar"/>
    <n v="33150"/>
  </r>
  <r>
    <s v="142120"/>
    <s v="JH"/>
    <s v="Aditya Agarwal"/>
    <s v="19/05/2021"/>
    <s v="Delivered"/>
    <s v="4GB Graphic card"/>
    <s v="Graphic Card"/>
    <s v="Nvidia"/>
    <n v="12500"/>
    <n v="16250"/>
    <n v="1"/>
    <n v="12500"/>
    <n v="16250"/>
    <s v="Aarvi Gupta"/>
    <n v="18200"/>
  </r>
  <r>
    <s v="142121"/>
    <s v="KA"/>
    <s v="Firdoush Jabee"/>
    <s v="19/05/2021"/>
    <s v="Shipped"/>
    <s v="89 GB DDR4 RAM"/>
    <s v="RAM"/>
    <s v="Hynix"/>
    <n v="3500"/>
    <n v="4550"/>
    <n v="1"/>
    <n v="3500"/>
    <n v="4550"/>
    <s v="Vijay Singh"/>
    <n v="25545"/>
  </r>
  <r>
    <s v="142122"/>
    <s v="KL"/>
    <s v="Jay Prakash Kumar"/>
    <s v="19/05/2021"/>
    <s v="Order"/>
    <s v="BTX motherboard"/>
    <s v="MotherBoard"/>
    <s v="Gigabyte"/>
    <n v="4500"/>
    <n v="5850"/>
    <n v="2"/>
    <n v="9000"/>
    <n v="11700"/>
    <s v="Aadil Khan"/>
    <n v="39780"/>
  </r>
  <r>
    <s v="142123"/>
    <s v="MP"/>
    <s v="Ashish Pandey"/>
    <s v="19/05/2021"/>
    <s v="Processing"/>
    <s v="84 Fans Cabinet"/>
    <s v="Cabinet"/>
    <s v="Asus"/>
    <n v="2100"/>
    <n v="2730"/>
    <n v="1"/>
    <n v="2100"/>
    <n v="2730"/>
    <s v="Advika Joshi"/>
    <n v="2990"/>
  </r>
  <r>
    <s v="142124"/>
    <s v="MH"/>
    <s v="Ajay Sharma"/>
    <s v="19/05/2021"/>
    <s v="Delivered"/>
    <s v="Wireless Keyboard"/>
    <s v="Keyboard"/>
    <s v="Dell"/>
    <n v="1150"/>
    <n v="1495"/>
    <n v="3"/>
    <n v="3450"/>
    <n v="4485"/>
    <s v="Ajay Sharma"/>
    <n v="3315"/>
  </r>
  <r>
    <s v="142125"/>
    <s v="MN"/>
    <s v="Moinuddin Saifi"/>
    <s v="19/05/2021"/>
    <s v="Shipped"/>
    <s v="USB Mouse"/>
    <s v="Mouse"/>
    <s v="Samsung"/>
    <n v="350"/>
    <n v="455"/>
    <n v="3"/>
    <n v="1050"/>
    <n v="1365"/>
    <s v="Roshan Kumar"/>
    <n v="1690"/>
  </r>
  <r>
    <s v="142126"/>
    <s v="ML"/>
    <s v="Ramkrishna Das Adhikary"/>
    <s v="19/05/2021"/>
    <s v="Order"/>
    <s v="19&quot; LED Display"/>
    <s v="Monitor"/>
    <s v="Dell"/>
    <n v="9500"/>
    <n v="12350"/>
    <n v="2"/>
    <n v="19000"/>
    <n v="24700"/>
    <s v="Aarvi Gupta"/>
    <n v="9750"/>
  </r>
  <r>
    <s v="142127"/>
    <s v="MZ"/>
    <s v="Ranjeet Mandal"/>
    <s v="19/05/2021"/>
    <s v="Processing"/>
    <s v="83 TB HDD"/>
    <s v="HDD"/>
    <s v="Western Digital"/>
    <n v="10000"/>
    <n v="13000"/>
    <n v="3"/>
    <n v="30000"/>
    <n v="39000"/>
    <s v="Vijay Singh"/>
    <n v="39000"/>
  </r>
  <r>
    <s v="142128"/>
    <s v="NL"/>
    <s v="Ashwini Adsare"/>
    <s v="19/05/2021"/>
    <s v="Delivered"/>
    <s v="593 GB M.2"/>
    <s v="SSD"/>
    <s v="Samsung"/>
    <n v="6500"/>
    <n v="8450"/>
    <n v="1"/>
    <n v="6500"/>
    <n v="8450"/>
    <s v="Aadil Khan"/>
    <n v="8450"/>
  </r>
  <r>
    <s v="142129"/>
    <s v="OR"/>
    <s v="Rajesh Variya"/>
    <s v="19/05/2021"/>
    <s v="Shipped"/>
    <s v="RYZEN 3rd gen. 3581"/>
    <s v="CPU"/>
    <s v="Intel"/>
    <n v="8500"/>
    <n v="11050"/>
    <n v="3"/>
    <n v="25500"/>
    <n v="33150"/>
    <s v="Advika Joshi"/>
    <n v="33150"/>
  </r>
  <r>
    <s v="142130"/>
    <s v="PB"/>
    <s v="Amit Singh"/>
    <s v="19/05/2021"/>
    <s v="Order"/>
    <s v="2GB Graphic Card"/>
    <s v="Graphic Card"/>
    <s v="Nvidia"/>
    <n v="7000"/>
    <n v="9100"/>
    <n v="3"/>
    <n v="21000"/>
    <n v="27300"/>
    <s v="Ajay Sharma"/>
    <n v="18200"/>
  </r>
  <r>
    <s v="142131"/>
    <s v="RJ"/>
    <s v="Vinod Mehta"/>
    <s v="19/05/2021"/>
    <s v="Processing"/>
    <s v="97 GB DDR4 RAM"/>
    <s v="RAM"/>
    <s v="Hynix"/>
    <n v="6550"/>
    <n v="8515"/>
    <n v="3"/>
    <n v="19650"/>
    <n v="25545"/>
    <s v="Roshan Kumar"/>
    <n v="25545"/>
  </r>
  <r>
    <s v="142132"/>
    <s v="SK"/>
    <s v="Jignesh Mhatre"/>
    <s v="19/05/2021"/>
    <s v="Delivered"/>
    <s v="Standard ATX motherboard"/>
    <s v="MotherBoard"/>
    <s v="Gigabyte"/>
    <n v="7650"/>
    <n v="9945"/>
    <n v="4"/>
    <n v="30600"/>
    <n v="39780"/>
    <s v="Aarvi Gupta"/>
    <n v="39780"/>
  </r>
  <r>
    <s v="142133"/>
    <s v="TN"/>
    <s v="Rahul Kashyap"/>
    <s v="19/05/2021"/>
    <s v="Shipped"/>
    <s v="Compact with 1 Fan"/>
    <s v="Cabinet"/>
    <s v="Asus"/>
    <n v="1150"/>
    <n v="1495"/>
    <n v="2"/>
    <n v="2300"/>
    <n v="2990"/>
    <s v="Vijay Singh"/>
    <n v="2990"/>
  </r>
  <r>
    <s v="142134"/>
    <s v="TR"/>
    <s v="Mohammed Abdul Kaleem"/>
    <s v="19/05/2021"/>
    <s v="Order"/>
    <s v="USB Backlight Keyboard"/>
    <s v="Keyboard"/>
    <s v="Dell"/>
    <n v="850"/>
    <n v="1105"/>
    <n v="1"/>
    <n v="850"/>
    <n v="1105"/>
    <s v="Aadil Khan"/>
    <n v="3315"/>
  </r>
  <r>
    <s v="142135"/>
    <s v="UK"/>
    <s v="Chandrakant Kasbe"/>
    <s v="19/05/2021"/>
    <s v="Processing"/>
    <s v="Ergonomic Mouse"/>
    <s v="Mouse"/>
    <s v="Samsung"/>
    <n v="650"/>
    <n v="845"/>
    <n v="2"/>
    <n v="1300"/>
    <n v="1690"/>
    <s v="Advika Joshi"/>
    <n v="1690"/>
  </r>
  <r>
    <s v="142136"/>
    <s v="UP"/>
    <s v="Rohan Kale"/>
    <s v="19/05/2021"/>
    <s v="Delivered"/>
    <s v="15&quot; LCD Dsipaly"/>
    <s v="Monitor"/>
    <s v="Dell"/>
    <n v="7500"/>
    <n v="9750"/>
    <n v="1"/>
    <n v="7500"/>
    <n v="9750"/>
    <s v="Ajay Sharma"/>
    <n v="9750"/>
  </r>
  <r>
    <s v="142137"/>
    <s v="WB"/>
    <s v="Aniruddha Kekapure"/>
    <s v="19/05/2021"/>
    <s v="Shipped"/>
    <s v="83 TB HDD"/>
    <s v="HDD"/>
    <s v="Seagate"/>
    <n v="10000"/>
    <n v="13000"/>
    <n v="4"/>
    <n v="40000"/>
    <n v="52000"/>
    <s v="Roshan Kumar"/>
    <n v="39000"/>
  </r>
  <r>
    <s v="142138"/>
    <s v="TN"/>
    <s v="Aslam Raza"/>
    <s v="19/05/2021"/>
    <s v="Order"/>
    <s v="82 TB SSD"/>
    <s v="SSD"/>
    <s v="Samsung"/>
    <n v="10500"/>
    <n v="13650"/>
    <n v="4"/>
    <n v="42000"/>
    <n v="54600"/>
    <s v="Aarvi Gupta"/>
    <n v="8450"/>
  </r>
  <r>
    <s v="142139"/>
    <s v="TR"/>
    <s v="Roshan Zameer"/>
    <s v="19/05/2021"/>
    <s v="Processing"/>
    <s v="Intel i5 12th gen."/>
    <s v="CPU"/>
    <s v="Intel"/>
    <n v="8500"/>
    <n v="11050"/>
    <n v="4"/>
    <n v="34000"/>
    <n v="44200"/>
    <s v="Vijay Singh"/>
    <n v="33150"/>
  </r>
  <r>
    <s v="142140"/>
    <s v="MH"/>
    <s v="Rakesh Kumar Sharma"/>
    <s v="19/05/2021"/>
    <s v="Delivered"/>
    <s v="2GB Graphic Card"/>
    <s v="Graphic Card"/>
    <s v="Nvidia"/>
    <n v="7000"/>
    <n v="9100"/>
    <n v="1"/>
    <n v="7000"/>
    <n v="9100"/>
    <s v="Aadil Khan"/>
    <n v="18200"/>
  </r>
  <r>
    <s v="142141"/>
    <s v="CH"/>
    <s v="Shivanand Sahani"/>
    <s v="20/05/2021"/>
    <s v="Shipped"/>
    <s v="85 GB DDR4 Ram"/>
    <s v="RAM"/>
    <s v="Hynix"/>
    <n v="1680"/>
    <n v="2184"/>
    <n v="4"/>
    <n v="6720"/>
    <n v="8736"/>
    <s v="Advika Joshi"/>
    <n v="25545"/>
  </r>
  <r>
    <s v="142142"/>
    <s v="DH"/>
    <s v="Kunal Patra"/>
    <s v="21/05/2021"/>
    <s v="Order"/>
    <s v="Micro ATX motherboard"/>
    <s v="MotherBoard"/>
    <s v="MSI"/>
    <n v="6540"/>
    <n v="8502"/>
    <n v="1"/>
    <n v="6540"/>
    <n v="8502"/>
    <s v="Ajay Sharma"/>
    <n v="39780"/>
  </r>
  <r>
    <s v="142143"/>
    <s v="DD"/>
    <s v="Bijendra"/>
    <s v="22/05/2021"/>
    <s v="Processing"/>
    <s v="Gaming Box Cabinet"/>
    <s v="Cabinet"/>
    <s v="Asus"/>
    <n v="2680"/>
    <n v="3484"/>
    <n v="1"/>
    <n v="2680"/>
    <n v="3484"/>
    <s v="Roshan Kumar"/>
    <n v="2990"/>
  </r>
  <r>
    <s v="142144"/>
    <s v="DL"/>
    <s v="Kranti Bheke"/>
    <s v="23/05/2021"/>
    <s v="Delivered"/>
    <s v="17&quot; LCD Display"/>
    <s v="Monitor"/>
    <s v="Samsung"/>
    <n v="8250"/>
    <n v="10725"/>
    <n v="4"/>
    <n v="33000"/>
    <n v="42900"/>
    <s v="Aarvi Gupta"/>
    <n v="9750"/>
  </r>
  <r>
    <s v="142145"/>
    <s v="LD"/>
    <s v="Jagdeep"/>
    <s v="24/05/2021"/>
    <s v="Shipped"/>
    <s v="89 GB DDR4 RAM"/>
    <s v="RAM"/>
    <s v="Samsung"/>
    <n v="2650"/>
    <n v="3445"/>
    <n v="2"/>
    <n v="5300"/>
    <n v="6890"/>
    <s v="Vijay Singh"/>
    <n v="25545"/>
  </r>
  <r>
    <s v="142146"/>
    <s v="PY"/>
    <s v="Adhir Samal"/>
    <s v="24/05/2021"/>
    <s v="Order"/>
    <s v="26&quot; LCD Display"/>
    <s v="Monitor"/>
    <s v="Acer"/>
    <n v="12550"/>
    <n v="16315"/>
    <n v="3"/>
    <n v="37650"/>
    <n v="48945"/>
    <s v="Aadil Khan"/>
    <n v="9750"/>
  </r>
  <r>
    <s v="142147"/>
    <s v="AP"/>
    <s v="Dannana Jhammi"/>
    <s v="24/05/2021"/>
    <s v="Processing"/>
    <s v="I7 - intel 12th Generation"/>
    <s v="CPU"/>
    <s v="Intel"/>
    <n v="14500"/>
    <n v="18850"/>
    <n v="3"/>
    <n v="43500"/>
    <n v="56550"/>
    <s v="Advika Joshi"/>
    <n v="33150"/>
  </r>
  <r>
    <s v="142148"/>
    <s v="AR"/>
    <s v="Vipin Kumar"/>
    <s v="24/05/2021"/>
    <s v="Delivered"/>
    <s v="USB Keyboard"/>
    <s v="Keyboard"/>
    <s v="Dell"/>
    <n v="800"/>
    <n v="1040"/>
    <n v="3"/>
    <n v="2400"/>
    <n v="3120"/>
    <s v="Ajay Sharma"/>
    <n v="3315"/>
  </r>
  <r>
    <s v="142149"/>
    <s v="AS"/>
    <s v="Ranjeet Kumar"/>
    <s v="24/05/2021"/>
    <s v="Shipped"/>
    <s v="Wireless Mouse"/>
    <s v="Mouse"/>
    <s v="Samsung"/>
    <n v="600"/>
    <n v="780"/>
    <n v="3"/>
    <n v="1800"/>
    <n v="2340"/>
    <s v="Roshan Kumar"/>
    <n v="1690"/>
  </r>
  <r>
    <s v="142150"/>
    <s v="BR"/>
    <s v="Sajal Singhal"/>
    <s v="24/05/2021"/>
    <s v="Order"/>
    <s v="21&quot; LCD Display"/>
    <s v="Monitor"/>
    <s v="Dell"/>
    <n v="10500"/>
    <n v="13650"/>
    <n v="1"/>
    <n v="10500"/>
    <n v="13650"/>
    <s v="Aarvi Gupta"/>
    <n v="9750"/>
  </r>
  <r>
    <s v="142151"/>
    <s v="CG"/>
    <s v="Akhilesh Kumar"/>
    <s v="24/05/2021"/>
    <s v="Processing"/>
    <s v="83 TB HDD"/>
    <s v="HDD"/>
    <s v="Western Digital"/>
    <n v="6500"/>
    <n v="8450"/>
    <n v="3"/>
    <n v="19500"/>
    <n v="25350"/>
    <s v="Vijay Singh"/>
    <n v="39000"/>
  </r>
  <r>
    <s v="142152"/>
    <s v="GA"/>
    <s v="Suvankar Chakraborty"/>
    <s v="24/05/2021"/>
    <s v="Delivered"/>
    <s v="338 GB SSD"/>
    <s v="SSD"/>
    <s v="Samsung"/>
    <n v="4500"/>
    <n v="5850"/>
    <n v="4"/>
    <n v="18000"/>
    <n v="23400"/>
    <s v="Aadil Khan"/>
    <n v="8450"/>
  </r>
  <r>
    <s v="142153"/>
    <s v="GJ"/>
    <s v="Suvankar Adhikary"/>
    <s v="24/05/2021"/>
    <s v="Shipped"/>
    <s v="Intel i3 11th gen."/>
    <s v="CPU"/>
    <s v="Intel"/>
    <n v="8500"/>
    <n v="11050"/>
    <n v="4"/>
    <n v="34000"/>
    <n v="44200"/>
    <s v="Advika Joshi"/>
    <n v="33150"/>
  </r>
  <r>
    <s v="142154"/>
    <s v="HR"/>
    <s v="Rahul Kumar Prajapati"/>
    <s v="24/05/2021"/>
    <s v="Order"/>
    <s v="4GB Graphic card"/>
    <s v="Graphic Card"/>
    <s v="Nvidia"/>
    <n v="12500"/>
    <n v="16250"/>
    <n v="3"/>
    <n v="37500"/>
    <n v="48750"/>
    <s v="Ajay Sharma"/>
    <n v="18200"/>
  </r>
  <r>
    <s v="142155"/>
    <s v="HP"/>
    <s v="Sagar Jeur"/>
    <s v="24/05/2021"/>
    <s v="Processing"/>
    <s v="90 GB DDR4 RAM"/>
    <s v="Computer Case"/>
    <s v="Hynix"/>
    <n v="3500"/>
    <n v="4550"/>
    <n v="4"/>
    <n v="14000"/>
    <n v="18200"/>
    <s v="Roshan Kumar"/>
    <n v="13650"/>
  </r>
  <r>
    <s v="142156"/>
    <s v="JK"/>
    <s v="Rhushikesh Mane"/>
    <s v="24/05/2021"/>
    <s v="Delivered"/>
    <s v="BTX motherboard"/>
    <s v="Mouse"/>
    <s v="Gigabyte"/>
    <n v="4500"/>
    <n v="5850"/>
    <n v="2"/>
    <n v="9000"/>
    <n v="11700"/>
    <s v="Aarvi Gupta"/>
    <n v="1690"/>
  </r>
  <r>
    <s v="142157"/>
    <s v="JH"/>
    <s v="Ashish Kumar"/>
    <s v="24/05/2021"/>
    <s v="Shipped"/>
    <s v="85 Fans Cabinet"/>
    <s v="Cabinet"/>
    <s v="Asus"/>
    <n v="2100"/>
    <n v="2730"/>
    <n v="1"/>
    <n v="2100"/>
    <n v="2730"/>
    <s v="Vijay Singh"/>
    <n v="2990"/>
  </r>
  <r>
    <s v="142158"/>
    <s v="KA"/>
    <s v="Javed Akhter"/>
    <s v="24/05/2021"/>
    <s v="Order"/>
    <s v="Wireless Keyboard"/>
    <s v="Keyboard"/>
    <s v="Dell"/>
    <n v="1150"/>
    <n v="1495"/>
    <n v="1"/>
    <n v="1150"/>
    <n v="1495"/>
    <s v="Aadil Khan"/>
    <n v="3315"/>
  </r>
  <r>
    <s v="142159"/>
    <s v="KL"/>
    <s v="Haridas Balraj"/>
    <s v="25/05/2021"/>
    <s v="Processing"/>
    <s v="USB Mouse"/>
    <s v="Mouse"/>
    <s v="Samsung"/>
    <n v="350"/>
    <n v="455"/>
    <n v="3"/>
    <n v="1050"/>
    <n v="1365"/>
    <s v="Advika Joshi"/>
    <n v="1690"/>
  </r>
  <r>
    <s v="142160"/>
    <s v="MP"/>
    <s v="Kundan Kumar"/>
    <s v="26/05/2021"/>
    <s v="Delivered"/>
    <s v="19&quot; LED Display"/>
    <s v="Monitor"/>
    <s v="Dell"/>
    <n v="9500"/>
    <n v="12350"/>
    <n v="2"/>
    <n v="19000"/>
    <n v="24700"/>
    <s v="Ajay Sharma"/>
    <n v="9750"/>
  </r>
  <r>
    <s v="142161"/>
    <s v="MH"/>
    <s v="Atif Siddiqui"/>
    <s v="27/05/2021"/>
    <s v="Shipped"/>
    <s v="84 TB HDD"/>
    <s v="HDD"/>
    <s v="Western Digital"/>
    <n v="10000"/>
    <n v="13000"/>
    <n v="2"/>
    <n v="20000"/>
    <n v="26000"/>
    <s v="Roshan Kumar"/>
    <n v="39000"/>
  </r>
  <r>
    <s v="142162"/>
    <s v="MN"/>
    <s v="Aditya Agarwal"/>
    <s v="27/05/2021"/>
    <s v="Order"/>
    <s v="594 GB M.2"/>
    <s v="SSD"/>
    <s v="Samsung"/>
    <n v="6500"/>
    <n v="8450"/>
    <n v="4"/>
    <n v="26000"/>
    <n v="33800"/>
    <s v="Aarvi Gupta"/>
    <n v="8450"/>
  </r>
  <r>
    <s v="142163"/>
    <s v="ML"/>
    <s v="Firdoush Jabee"/>
    <s v="27/05/2021"/>
    <s v="Processing"/>
    <s v="RYZEN 3rd gen. 3582"/>
    <s v="CPU"/>
    <s v="Intel"/>
    <n v="8500"/>
    <n v="11050"/>
    <n v="2"/>
    <n v="17000"/>
    <n v="22100"/>
    <s v="Vijay Singh"/>
    <n v="33150"/>
  </r>
  <r>
    <s v="142164"/>
    <s v="MZ"/>
    <s v="Jay Prakash Kumar"/>
    <s v="27/05/2021"/>
    <s v="Delivered"/>
    <s v="2GB Graphic Card"/>
    <s v="Graphic Card"/>
    <s v="Nvidia"/>
    <n v="7000"/>
    <n v="9100"/>
    <n v="3"/>
    <n v="21000"/>
    <n v="27300"/>
    <s v="Aadil Khan"/>
    <n v="18200"/>
  </r>
  <r>
    <s v="142165"/>
    <s v="NL"/>
    <s v="Ashish Pandey"/>
    <s v="27/05/2021"/>
    <s v="Shipped"/>
    <s v="98 GB DDR4 RAM"/>
    <s v="Computer Case"/>
    <s v="Hynix"/>
    <n v="6550"/>
    <n v="8515"/>
    <n v="4"/>
    <n v="26200"/>
    <n v="34060"/>
    <s v="Advika Joshi"/>
    <n v="13650"/>
  </r>
  <r>
    <s v="142166"/>
    <s v="OR"/>
    <s v="Ajay Sharma"/>
    <s v="27/05/2021"/>
    <s v="Order"/>
    <s v="Standard ATX motherboard"/>
    <s v="Mouse"/>
    <s v="Gigabyte"/>
    <n v="7650"/>
    <n v="9945"/>
    <n v="1"/>
    <n v="7650"/>
    <n v="9945"/>
    <s v="Ajay Sharma"/>
    <n v="1690"/>
  </r>
  <r>
    <s v="142167"/>
    <s v="PB"/>
    <s v="Moinuddin Saifi"/>
    <s v="27/05/2021"/>
    <s v="Processing"/>
    <s v="Compact with 1 Fan"/>
    <s v="Cabinet"/>
    <s v="Asus"/>
    <n v="1150"/>
    <n v="1495"/>
    <n v="4"/>
    <n v="4600"/>
    <n v="5980"/>
    <s v="Roshan Kumar"/>
    <n v="2990"/>
  </r>
  <r>
    <s v="142168"/>
    <s v="RJ"/>
    <s v="Ramkrishna Das Adhikary"/>
    <s v="27/05/2021"/>
    <s v="Delivered"/>
    <s v="USB Backlight Keyboard"/>
    <s v="Keyboard"/>
    <s v="Dell"/>
    <n v="850"/>
    <n v="1105"/>
    <n v="4"/>
    <n v="3400"/>
    <n v="4420"/>
    <s v="Aarvi Gupta"/>
    <n v="3315"/>
  </r>
  <r>
    <s v="142169"/>
    <s v="SK"/>
    <s v="Ranjeet Mandal"/>
    <s v="27/05/2021"/>
    <s v="Shipped"/>
    <s v="Ergonomic Mouse"/>
    <s v="Mouse"/>
    <s v="Samsung"/>
    <n v="650"/>
    <n v="845"/>
    <n v="2"/>
    <n v="1300"/>
    <n v="1690"/>
    <s v="Vijay Singh"/>
    <n v="1690"/>
  </r>
  <r>
    <s v="142170"/>
    <s v="TN"/>
    <s v="Ashwini Adsare"/>
    <s v="27/05/2021"/>
    <s v="Order"/>
    <s v="15&quot; LCD Dsipaly"/>
    <s v="Monitor"/>
    <s v="Dell"/>
    <n v="7500"/>
    <n v="9750"/>
    <n v="4"/>
    <n v="30000"/>
    <n v="39000"/>
    <s v="Aadil Khan"/>
    <n v="9750"/>
  </r>
  <r>
    <s v="142171"/>
    <s v="TR"/>
    <s v="Rajesh Variya"/>
    <s v="28/05/2021"/>
    <s v="Processing"/>
    <s v="84 TB HDD"/>
    <s v="HDD"/>
    <s v="Seagate"/>
    <n v="10000"/>
    <n v="13000"/>
    <n v="2"/>
    <n v="20000"/>
    <n v="26000"/>
    <s v="Advika Joshi"/>
    <n v="39000"/>
  </r>
  <r>
    <s v="142172"/>
    <s v="UK"/>
    <s v="Amit Singh"/>
    <s v="29/05/2021"/>
    <s v="Delivered"/>
    <s v="83 TB SSD"/>
    <s v="SSD"/>
    <s v="Samsung"/>
    <n v="10500"/>
    <n v="13650"/>
    <n v="3"/>
    <n v="31500"/>
    <n v="40950"/>
    <s v="Ajay Sharma"/>
    <n v="8450"/>
  </r>
  <r>
    <s v="142173"/>
    <s v="UP"/>
    <s v="Vinod Mehta"/>
    <s v="30/05/2021"/>
    <s v="Shipped"/>
    <s v="Intel i5 12th gen."/>
    <s v="CPU"/>
    <s v="Intel"/>
    <n v="8500"/>
    <n v="11050"/>
    <n v="1"/>
    <n v="8500"/>
    <n v="11050"/>
    <s v="Roshan Kumar"/>
    <n v="33150"/>
  </r>
  <r>
    <s v="142174"/>
    <s v="WB"/>
    <s v="Jignesh Mhatre"/>
    <s v="31/05/2021"/>
    <s v="Order"/>
    <s v="2GB Graphic Card"/>
    <s v="Graphic Card"/>
    <s v="Nvidia"/>
    <n v="7000"/>
    <n v="9100"/>
    <n v="1"/>
    <n v="7000"/>
    <n v="9100"/>
    <s v="Aarvi Gupta"/>
    <n v="18200"/>
  </r>
  <r>
    <s v="142175"/>
    <s v="TN"/>
    <s v="Rahul Kashyap"/>
    <s v="01/06/2021"/>
    <s v="Processing"/>
    <s v="86 GB DDR4 Ram"/>
    <s v="Computer Case"/>
    <s v="Hynix"/>
    <n v="1680"/>
    <n v="2184"/>
    <n v="2"/>
    <n v="3360"/>
    <n v="4368"/>
    <s v="Vijay Singh"/>
    <n v="13650"/>
  </r>
  <r>
    <s v="142176"/>
    <s v="TR"/>
    <s v="Mohammed Abdul Kaleem"/>
    <s v="02/06/2021"/>
    <s v="Delivered"/>
    <s v="Micro ATX motherboard"/>
    <s v="Mouse"/>
    <s v="MSI"/>
    <n v="6540"/>
    <n v="8502"/>
    <n v="1"/>
    <n v="6540"/>
    <n v="8502"/>
    <s v="Aadil Khan"/>
    <n v="1690"/>
  </r>
  <r>
    <s v="142177"/>
    <s v="MH"/>
    <s v="Chandrakant Kasbe"/>
    <s v="03/06/2021"/>
    <s v="Shipped"/>
    <s v="Gaming Box Cabinet"/>
    <s v="Cabinet"/>
    <s v="Asus"/>
    <n v="2680"/>
    <n v="3484"/>
    <n v="1"/>
    <n v="2680"/>
    <n v="3484"/>
    <s v="Advika Joshi"/>
    <n v="2990"/>
  </r>
  <r>
    <s v="142178"/>
    <s v="CH"/>
    <s v="Rohan Kale"/>
    <s v="04/06/2021"/>
    <s v="Order"/>
    <s v="17&quot; LCD Display"/>
    <s v="Monitor"/>
    <s v="Samsung"/>
    <n v="8250"/>
    <n v="10725"/>
    <n v="1"/>
    <n v="8250"/>
    <n v="10725"/>
    <s v="Ajay Sharma"/>
    <n v="9750"/>
  </r>
  <r>
    <s v="142179"/>
    <s v="DH"/>
    <s v="Aniruddha Kekapure"/>
    <s v="05/06/2021"/>
    <s v="Processing"/>
    <s v="90 GB DDR4 RAM"/>
    <s v="RAM"/>
    <s v="Samsung"/>
    <n v="2650"/>
    <n v="3445"/>
    <n v="2"/>
    <n v="5300"/>
    <n v="6890"/>
    <s v="Roshan Kumar"/>
    <n v="25545"/>
  </r>
  <r>
    <s v="142180"/>
    <s v="DD"/>
    <s v="Aslam Raza"/>
    <s v="06/06/2021"/>
    <s v="Delivered"/>
    <s v="26&quot; LCD Display"/>
    <s v="Monitor"/>
    <s v="Acer"/>
    <n v="12550"/>
    <n v="16315"/>
    <n v="3"/>
    <n v="37650"/>
    <n v="48945"/>
    <s v="Aarvi Gupta"/>
    <n v="9750"/>
  </r>
  <r>
    <s v="142181"/>
    <s v="DL"/>
    <s v="Roshan Zameer"/>
    <s v="07/06/2021"/>
    <s v="Shipped"/>
    <s v="I7 - intel 12th Generation"/>
    <s v="CPU"/>
    <s v="Intel"/>
    <n v="14500"/>
    <n v="18850"/>
    <n v="1"/>
    <n v="14500"/>
    <n v="18850"/>
    <s v="Vijay Singh"/>
    <n v="33150"/>
  </r>
  <r>
    <s v="142182"/>
    <s v="LD"/>
    <s v="Rakesh Kumar Sharma"/>
    <s v="08/06/2021"/>
    <s v="Order"/>
    <s v="USB Keyboard"/>
    <s v="Keyboard"/>
    <s v="Dell"/>
    <n v="800"/>
    <n v="1040"/>
    <n v="2"/>
    <n v="1600"/>
    <n v="2080"/>
    <s v="Aadil Khan"/>
    <n v="3315"/>
  </r>
  <r>
    <s v="142183"/>
    <s v="PY"/>
    <s v="Shivanand Sahani"/>
    <s v="09/06/2021"/>
    <s v="Processing"/>
    <s v="Wireless Mouse"/>
    <s v="Mouse"/>
    <s v="Samsung"/>
    <n v="600"/>
    <n v="780"/>
    <n v="2"/>
    <n v="1200"/>
    <n v="1560"/>
    <s v="Advika Joshi"/>
    <n v="1690"/>
  </r>
  <r>
    <s v="142184"/>
    <s v="AP"/>
    <s v="Kunal Patra"/>
    <s v="10/06/2021"/>
    <s v="Delivered"/>
    <s v="21&quot; LCD Display"/>
    <s v="Monitor"/>
    <s v="Dell"/>
    <n v="10500"/>
    <n v="13650"/>
    <n v="2"/>
    <n v="21000"/>
    <n v="27300"/>
    <s v="Ajay Sharma"/>
    <n v="9750"/>
  </r>
  <r>
    <s v="142185"/>
    <s v="AR"/>
    <s v="Bijendra"/>
    <s v="11/06/2021"/>
    <s v="Shipped"/>
    <s v="84 TB HDD"/>
    <s v="HDD"/>
    <s v="Western Digital"/>
    <n v="6500"/>
    <n v="8450"/>
    <n v="2"/>
    <n v="13000"/>
    <n v="16900"/>
    <s v="Roshan Kumar"/>
    <n v="39000"/>
  </r>
  <r>
    <s v="142186"/>
    <s v="AS"/>
    <s v="Kranti Bheke"/>
    <s v="12/06/2021"/>
    <s v="Order"/>
    <s v="339 GB SSD"/>
    <s v="SSD"/>
    <s v="Samsung"/>
    <n v="4500"/>
    <n v="5850"/>
    <n v="2"/>
    <n v="9000"/>
    <n v="11700"/>
    <s v="Aarvi Gupta"/>
    <n v="8450"/>
  </r>
  <r>
    <s v="142187"/>
    <s v="BR"/>
    <s v="Jagdeep"/>
    <s v="13/06/2021"/>
    <s v="Processing"/>
    <s v="Intel i3 11th gen."/>
    <s v="CPU"/>
    <s v="Intel"/>
    <n v="8500"/>
    <n v="11050"/>
    <n v="2"/>
    <n v="17000"/>
    <n v="22100"/>
    <s v="Vijay Singh"/>
    <n v="33150"/>
  </r>
  <r>
    <s v="142188"/>
    <s v="CG"/>
    <s v="Adhir Samal"/>
    <s v="14/06/2021"/>
    <s v="Delivered"/>
    <s v="4GB Graphic card"/>
    <s v="Graphic Card"/>
    <s v="Nvidia"/>
    <n v="12500"/>
    <n v="16250"/>
    <n v="2"/>
    <n v="25000"/>
    <n v="32500"/>
    <s v="Aadil Khan"/>
    <n v="18200"/>
  </r>
  <r>
    <s v="142189"/>
    <s v="GA"/>
    <s v="Dannana Jhammi"/>
    <s v="15/06/2021"/>
    <s v="Shipped"/>
    <s v="91 GB DDR4 RAM"/>
    <s v="NIC"/>
    <s v="Hynix"/>
    <n v="3500"/>
    <n v="4550"/>
    <n v="1"/>
    <n v="3500"/>
    <n v="4550"/>
    <s v="Advika Joshi"/>
    <n v="9100"/>
  </r>
  <r>
    <s v="142190"/>
    <s v="GJ"/>
    <s v="Vipin Kumar"/>
    <s v="16/06/2021"/>
    <s v="Order"/>
    <s v="BTX motherboard"/>
    <s v="Printer"/>
    <s v="Gigabyte"/>
    <n v="4500"/>
    <n v="5850"/>
    <n v="3"/>
    <n v="13500"/>
    <n v="17550"/>
    <s v="Ajay Sharma"/>
    <n v="11700"/>
  </r>
  <r>
    <s v="142191"/>
    <s v="HR"/>
    <s v="Ranjeet Kumar"/>
    <s v="17/06/2021"/>
    <s v="Processing"/>
    <s v="86 Fans Cabinet"/>
    <s v="Cabinet"/>
    <s v="Asus"/>
    <n v="2100"/>
    <n v="2730"/>
    <n v="4"/>
    <n v="8400"/>
    <n v="10920"/>
    <s v="Roshan Kumar"/>
    <n v="2990"/>
  </r>
  <r>
    <s v="142192"/>
    <s v="HP"/>
    <s v="Sajal Singhal"/>
    <s v="18/06/2021"/>
    <s v="Delivered"/>
    <s v="Wireless Keyboard"/>
    <s v="Keyboard"/>
    <s v="Dell"/>
    <n v="1150"/>
    <n v="1495"/>
    <n v="1"/>
    <n v="1150"/>
    <n v="1495"/>
    <s v="Aarvi Gupta"/>
    <n v="3315"/>
  </r>
  <r>
    <s v="142193"/>
    <s v="JK"/>
    <s v="Akhilesh Kumar"/>
    <s v="19/06/2021"/>
    <s v="Shipped"/>
    <s v="USB Mouse"/>
    <s v="Mouse"/>
    <s v="Samsung"/>
    <n v="350"/>
    <n v="455"/>
    <n v="3"/>
    <n v="1050"/>
    <n v="1365"/>
    <s v="Vijay Singh"/>
    <n v="1690"/>
  </r>
  <r>
    <s v="142194"/>
    <s v="JH"/>
    <s v="Suvankar Chakraborty"/>
    <s v="20/06/2021"/>
    <s v="Order"/>
    <s v="19&quot; LED Display"/>
    <s v="Monitor"/>
    <s v="Dell"/>
    <n v="9500"/>
    <n v="12350"/>
    <n v="3"/>
    <n v="28500"/>
    <n v="37050"/>
    <s v="Aadil Khan"/>
    <n v="9750"/>
  </r>
  <r>
    <s v="142195"/>
    <s v="KA"/>
    <s v="Suvankar Adhikary"/>
    <s v="20/06/2021"/>
    <s v="Processing"/>
    <s v="85 TB HDD"/>
    <s v="HDD"/>
    <s v="Western Digital"/>
    <n v="10000"/>
    <n v="13000"/>
    <n v="2"/>
    <n v="20000"/>
    <n v="26000"/>
    <s v="Advika Joshi"/>
    <n v="39000"/>
  </r>
  <r>
    <s v="142196"/>
    <s v="KL"/>
    <s v="Rahul Kumar Prajapati"/>
    <s v="20/06/2021"/>
    <s v="Delivered"/>
    <s v="595 GB M.2"/>
    <s v="SSD"/>
    <s v="Samsung"/>
    <n v="6500"/>
    <n v="8450"/>
    <n v="2"/>
    <n v="13000"/>
    <n v="16900"/>
    <s v="Ajay Sharma"/>
    <n v="8450"/>
  </r>
  <r>
    <s v="142197"/>
    <s v="MP"/>
    <s v="Sagar Jeur"/>
    <s v="20/06/2021"/>
    <s v="Shipped"/>
    <s v="RYZEN 3rd gen. 3583"/>
    <s v="CPU"/>
    <s v="Intel"/>
    <n v="8500"/>
    <n v="11050"/>
    <n v="4"/>
    <n v="34000"/>
    <n v="44200"/>
    <s v="Roshan Kumar"/>
    <n v="33150"/>
  </r>
  <r>
    <s v="142198"/>
    <s v="MH"/>
    <s v="Rhushikesh Mane"/>
    <s v="20/06/2021"/>
    <s v="Order"/>
    <s v="2GB Graphic Card"/>
    <s v="Graphic Card"/>
    <s v="Nvidia"/>
    <n v="7000"/>
    <n v="9100"/>
    <n v="4"/>
    <n v="28000"/>
    <n v="36400"/>
    <s v="Aarvi Gupta"/>
    <n v="18200"/>
  </r>
  <r>
    <s v="142199"/>
    <s v="MN"/>
    <s v="Ashish Kumar"/>
    <s v="20/06/2021"/>
    <s v="Processing"/>
    <s v="99 GB DDR4 RAM"/>
    <s v="NIC"/>
    <s v="Hynix"/>
    <n v="6550"/>
    <n v="8515"/>
    <n v="2"/>
    <n v="13100"/>
    <n v="17030"/>
    <s v="Vijay Singh"/>
    <n v="9100"/>
  </r>
  <r>
    <s v="142200"/>
    <s v="ML"/>
    <s v="Javed Akhter"/>
    <s v="20/06/2021"/>
    <s v="Delivered"/>
    <s v="Standard ATX motherboard"/>
    <s v="Printer"/>
    <s v="Gigabyte"/>
    <n v="7650"/>
    <n v="9945"/>
    <n v="4"/>
    <n v="30600"/>
    <n v="39780"/>
    <s v="Aadil Khan"/>
    <n v="11700"/>
  </r>
  <r>
    <s v="142201"/>
    <s v="MZ"/>
    <s v="Haridas Balraj"/>
    <s v="21/06/2021"/>
    <s v="Shipped"/>
    <s v="Compact with 1 Fan"/>
    <s v="Cabinet"/>
    <s v="Asus"/>
    <n v="1150"/>
    <n v="1495"/>
    <n v="3"/>
    <n v="3450"/>
    <n v="4485"/>
    <s v="Advika Joshi"/>
    <n v="2990"/>
  </r>
  <r>
    <s v="142202"/>
    <s v="NL"/>
    <s v="Kundan Kumar"/>
    <s v="22/06/2021"/>
    <s v="Order"/>
    <s v="USB Backlight Keyboard"/>
    <s v="Keyboard"/>
    <s v="Dell"/>
    <n v="850"/>
    <n v="1105"/>
    <n v="4"/>
    <n v="3400"/>
    <n v="4420"/>
    <s v="Ajay Sharma"/>
    <n v="3315"/>
  </r>
  <r>
    <s v="142203"/>
    <s v="OR"/>
    <s v="Atif Siddiqui"/>
    <s v="23/06/2021"/>
    <s v="Processing"/>
    <s v="Ergonomic Mouse"/>
    <s v="Mouse"/>
    <s v="Samsung"/>
    <n v="650"/>
    <n v="845"/>
    <n v="3"/>
    <n v="1950"/>
    <n v="2535"/>
    <s v="Roshan Kumar"/>
    <n v="1690"/>
  </r>
  <r>
    <s v="142204"/>
    <s v="PB"/>
    <s v="Aditya Agarwal"/>
    <s v="24/06/2021"/>
    <s v="Delivered"/>
    <s v="15&quot; LCD Dsipaly"/>
    <s v="Monitor"/>
    <s v="Dell"/>
    <n v="7500"/>
    <n v="9750"/>
    <n v="1"/>
    <n v="7500"/>
    <n v="9750"/>
    <s v="Aarvi Gupta"/>
    <n v="9750"/>
  </r>
  <r>
    <s v="142205"/>
    <s v="RJ"/>
    <s v="Firdoush Jabee"/>
    <s v="25/06/2021"/>
    <s v="Shipped"/>
    <s v="85 TB HDD"/>
    <s v="HDD"/>
    <s v="Seagate"/>
    <n v="10000"/>
    <n v="13000"/>
    <n v="2"/>
    <n v="20000"/>
    <n v="26000"/>
    <s v="Vijay Singh"/>
    <n v="39000"/>
  </r>
  <r>
    <s v="142206"/>
    <s v="SK"/>
    <s v="Jay Prakash Kumar"/>
    <s v="26/06/2021"/>
    <s v="Order"/>
    <s v="84 TB SSD"/>
    <s v="SSD"/>
    <s v="Samsung"/>
    <n v="10500"/>
    <n v="13650"/>
    <n v="2"/>
    <n v="21000"/>
    <n v="27300"/>
    <s v="Aadil Khan"/>
    <n v="8450"/>
  </r>
  <r>
    <s v="142207"/>
    <s v="TN"/>
    <s v="Ashish Pandey"/>
    <s v="26/06/2021"/>
    <s v="Processing"/>
    <s v="Intel i5 12th gen."/>
    <s v="CPU"/>
    <s v="Intel"/>
    <n v="8500"/>
    <n v="11050"/>
    <n v="3"/>
    <n v="25500"/>
    <n v="33150"/>
    <s v="Advika Joshi"/>
    <n v="33150"/>
  </r>
  <r>
    <s v="142208"/>
    <s v="TR"/>
    <s v="Ajay Sharma"/>
    <s v="26/06/2021"/>
    <s v="Delivered"/>
    <s v="2GB Graphic Card"/>
    <s v="Graphic Card"/>
    <s v="Nvidia"/>
    <n v="7000"/>
    <n v="9100"/>
    <n v="2"/>
    <n v="14000"/>
    <n v="18200"/>
    <s v="Ajay Sharma"/>
    <n v="18200"/>
  </r>
  <r>
    <s v="142209"/>
    <s v="UK"/>
    <s v="Moinuddin Saifi"/>
    <s v="26/06/2021"/>
    <s v="Shipped"/>
    <s v="87 GB DDR4 Ram"/>
    <s v="NIC"/>
    <s v="Hynix"/>
    <n v="1680"/>
    <n v="2184"/>
    <n v="2"/>
    <n v="3360"/>
    <n v="4368"/>
    <s v="Roshan Kumar"/>
    <n v="9100"/>
  </r>
  <r>
    <s v="142210"/>
    <s v="UP"/>
    <s v="Ramkrishna Das Adhikary"/>
    <s v="26/06/2021"/>
    <s v="Order"/>
    <s v="Micro ATX motherboard"/>
    <s v="Printer"/>
    <s v="MSI"/>
    <n v="6540"/>
    <n v="8502"/>
    <n v="3"/>
    <n v="19620"/>
    <n v="25506"/>
    <s v="Aarvi Gupta"/>
    <n v="11700"/>
  </r>
  <r>
    <s v="142211"/>
    <s v="WB"/>
    <s v="Ranjeet Mandal"/>
    <s v="26/06/2021"/>
    <s v="Processing"/>
    <s v="Gaming Box Cabinet"/>
    <s v="Cabinet"/>
    <s v="Asus"/>
    <n v="2680"/>
    <n v="3484"/>
    <n v="2"/>
    <n v="5360"/>
    <n v="6968"/>
    <s v="Vijay Singh"/>
    <n v="2990"/>
  </r>
  <r>
    <s v="142212"/>
    <s v="TN"/>
    <s v="Ashwini Adsare"/>
    <s v="26/06/2021"/>
    <s v="Delivered"/>
    <s v="17&quot; LCD Display"/>
    <s v="Monitor"/>
    <s v="Samsung"/>
    <n v="8250"/>
    <n v="10725"/>
    <n v="3"/>
    <n v="24750"/>
    <n v="32175"/>
    <s v="Aadil Khan"/>
    <n v="9750"/>
  </r>
  <r>
    <s v="142213"/>
    <s v="TR"/>
    <s v="Rajesh Variya"/>
    <s v="26/06/2021"/>
    <s v="Shipped"/>
    <s v="91 GB DDR4 RAM"/>
    <s v="RAM"/>
    <s v="Samsung"/>
    <n v="2650"/>
    <n v="3445"/>
    <n v="3"/>
    <n v="7950"/>
    <n v="10335"/>
    <s v="Advika Joshi"/>
    <n v="25545"/>
  </r>
  <r>
    <s v="142214"/>
    <s v="MH"/>
    <s v="Amit Singh"/>
    <s v="26/06/2021"/>
    <s v="Order"/>
    <s v="26&quot; LCD Display"/>
    <s v="Monitor"/>
    <s v="Acer"/>
    <n v="12550"/>
    <n v="16315"/>
    <n v="2"/>
    <n v="25100"/>
    <n v="32630"/>
    <s v="Ajay Sharma"/>
    <n v="9750"/>
  </r>
  <r>
    <s v="142215"/>
    <s v="CH"/>
    <s v="Vinod Mehta"/>
    <s v="26/06/2021"/>
    <s v="Processing"/>
    <s v="I7 - intel 12th Generation"/>
    <s v="CPU"/>
    <s v="Intel"/>
    <n v="14500"/>
    <n v="18850"/>
    <n v="4"/>
    <n v="58000"/>
    <n v="75400"/>
    <s v="Roshan Kumar"/>
    <n v="33150"/>
  </r>
  <r>
    <s v="142216"/>
    <s v="DH"/>
    <s v="Jignesh Mhatre"/>
    <s v="26/06/2021"/>
    <s v="Delivered"/>
    <s v="USB Keyboard"/>
    <s v="Keyboard"/>
    <s v="Dell"/>
    <n v="800"/>
    <n v="1040"/>
    <n v="3"/>
    <n v="2400"/>
    <n v="3120"/>
    <s v="Aarvi Gupta"/>
    <n v="3315"/>
  </r>
  <r>
    <s v="142217"/>
    <s v="DD"/>
    <s v="Rahul Kashyap"/>
    <s v="26/06/2021"/>
    <s v="Shipped"/>
    <s v="Wireless Mouse"/>
    <s v="Mouse"/>
    <s v="Samsung"/>
    <n v="600"/>
    <n v="780"/>
    <n v="4"/>
    <n v="2400"/>
    <n v="3120"/>
    <s v="Vijay Singh"/>
    <n v="1690"/>
  </r>
  <r>
    <s v="142218"/>
    <s v="DL"/>
    <s v="Mohammed Abdul Kaleem"/>
    <s v="26/06/2021"/>
    <s v="Order"/>
    <s v="21&quot; LCD Display"/>
    <s v="Monitor"/>
    <s v="Dell"/>
    <n v="10500"/>
    <n v="13650"/>
    <n v="4"/>
    <n v="42000"/>
    <n v="54600"/>
    <s v="Aadil Khan"/>
    <n v="9750"/>
  </r>
  <r>
    <s v="142219"/>
    <s v="LD"/>
    <s v="Chandrakant Kasbe"/>
    <s v="26/06/2021"/>
    <s v="Processing"/>
    <s v="85 TB HDD"/>
    <s v="HDD"/>
    <s v="Western Digital"/>
    <n v="6500"/>
    <n v="8450"/>
    <n v="4"/>
    <n v="26000"/>
    <n v="33800"/>
    <s v="Advika Joshi"/>
    <n v="39000"/>
  </r>
  <r>
    <s v="142220"/>
    <s v="PY"/>
    <s v="Rohan Kale"/>
    <s v="26/06/2021"/>
    <s v="Delivered"/>
    <s v="340 GB SSD"/>
    <s v="SSD"/>
    <s v="Samsung"/>
    <n v="4500"/>
    <n v="5850"/>
    <n v="1"/>
    <n v="4500"/>
    <n v="5850"/>
    <s v="Ajay Sharma"/>
    <n v="8450"/>
  </r>
  <r>
    <s v="142221"/>
    <s v="AP"/>
    <s v="Aniruddha Kekapure"/>
    <s v="27/06/2021"/>
    <s v="Shipped"/>
    <s v="Intel i3 11th gen."/>
    <s v="CPU"/>
    <s v="Intel"/>
    <n v="8500"/>
    <n v="11050"/>
    <n v="3"/>
    <n v="25500"/>
    <n v="33150"/>
    <s v="Roshan Kumar"/>
    <n v="33150"/>
  </r>
  <r>
    <s v="142222"/>
    <s v="AR"/>
    <s v="Aslam Raza"/>
    <s v="27/06/2021"/>
    <s v="Order"/>
    <s v="4GB Graphic card"/>
    <s v="Graphic Card"/>
    <s v="Nvidia"/>
    <n v="12500"/>
    <n v="16250"/>
    <n v="1"/>
    <n v="12500"/>
    <n v="16250"/>
    <s v="Aarvi Gupta"/>
    <n v="18200"/>
  </r>
  <r>
    <s v="142223"/>
    <s v="AS"/>
    <s v="Roshan Zameer"/>
    <s v="27/06/2021"/>
    <s v="Processing"/>
    <s v="92 GB DDR4 RAM"/>
    <s v="RAM"/>
    <s v="Hynix"/>
    <n v="3500"/>
    <n v="4550"/>
    <n v="1"/>
    <n v="3500"/>
    <n v="4550"/>
    <s v="Vijay Singh"/>
    <n v="25545"/>
  </r>
  <r>
    <s v="142224"/>
    <s v="BR"/>
    <s v="Rakesh Kumar Sharma"/>
    <s v="27/06/2021"/>
    <s v="Delivered"/>
    <s v="BTX motherboard"/>
    <s v="MotherBoard"/>
    <s v="Gigabyte"/>
    <n v="4500"/>
    <n v="5850"/>
    <n v="2"/>
    <n v="9000"/>
    <n v="11700"/>
    <s v="Aadil Khan"/>
    <n v="39780"/>
  </r>
  <r>
    <s v="142225"/>
    <s v="CG"/>
    <s v="Shivanand Sahani"/>
    <s v="27/06/2021"/>
    <s v="Shipped"/>
    <s v="87 Fans Cabinet"/>
    <s v="Cabinet"/>
    <s v="Asus"/>
    <n v="2100"/>
    <n v="2730"/>
    <n v="3"/>
    <n v="6300"/>
    <n v="8190"/>
    <s v="Advika Joshi"/>
    <n v="2990"/>
  </r>
  <r>
    <s v="142226"/>
    <s v="GA"/>
    <s v="Kunal Patra"/>
    <s v="27/06/2021"/>
    <s v="Order"/>
    <s v="Wireless Keyboard"/>
    <s v="Keyboard"/>
    <s v="Dell"/>
    <n v="1150"/>
    <n v="1495"/>
    <n v="2"/>
    <n v="2300"/>
    <n v="2990"/>
    <s v="Ajay Sharma"/>
    <n v="3315"/>
  </r>
  <r>
    <s v="142227"/>
    <s v="GJ"/>
    <s v="Bijendra"/>
    <s v="27/06/2021"/>
    <s v="Processing"/>
    <s v="USB Mouse"/>
    <s v="Mouse"/>
    <s v="Samsung"/>
    <n v="350"/>
    <n v="455"/>
    <n v="2"/>
    <n v="700"/>
    <n v="910"/>
    <s v="Roshan Kumar"/>
    <n v="1690"/>
  </r>
  <r>
    <s v="142228"/>
    <s v="HR"/>
    <s v="Kranti Bheke"/>
    <s v="27/06/2021"/>
    <s v="Delivered"/>
    <s v="19&quot; LED Display"/>
    <s v="Monitor"/>
    <s v="Dell"/>
    <n v="9500"/>
    <n v="12350"/>
    <n v="2"/>
    <n v="19000"/>
    <n v="24700"/>
    <s v="Aarvi Gupta"/>
    <n v="9750"/>
  </r>
  <r>
    <s v="142229"/>
    <s v="HP"/>
    <s v="Jagdeep"/>
    <s v="27/06/2021"/>
    <s v="Shipped"/>
    <s v="86 TB HDD"/>
    <s v="HDD"/>
    <s v="Western Digital"/>
    <n v="10000"/>
    <n v="13000"/>
    <n v="2"/>
    <n v="20000"/>
    <n v="26000"/>
    <s v="Vijay Singh"/>
    <n v="39000"/>
  </r>
  <r>
    <s v="142230"/>
    <s v="JK"/>
    <s v="Adhir Samal"/>
    <s v="27/06/2021"/>
    <s v="Order"/>
    <s v="596 GB M.2"/>
    <s v="SSD"/>
    <s v="Samsung"/>
    <n v="6500"/>
    <n v="8450"/>
    <n v="1"/>
    <n v="6500"/>
    <n v="8450"/>
    <s v="Aadil Khan"/>
    <n v="8450"/>
  </r>
  <r>
    <s v="142231"/>
    <s v="JH"/>
    <s v="Dannana Jhammi"/>
    <s v="28/06/2021"/>
    <s v="Processing"/>
    <s v="RYZEN 3rd gen. 3584"/>
    <s v="CPU"/>
    <s v="Intel"/>
    <n v="8500"/>
    <n v="11050"/>
    <n v="3"/>
    <n v="25500"/>
    <n v="33150"/>
    <s v="Advika Joshi"/>
    <n v="33150"/>
  </r>
  <r>
    <s v="142232"/>
    <s v="KA"/>
    <s v="Vipin Kumar"/>
    <s v="29/06/2021"/>
    <s v="Delivered"/>
    <s v="2GB Graphic Card"/>
    <s v="Graphic Card"/>
    <s v="Nvidia"/>
    <n v="7000"/>
    <n v="9100"/>
    <n v="3"/>
    <n v="21000"/>
    <n v="27300"/>
    <s v="Ajay Sharma"/>
    <n v="18200"/>
  </r>
  <r>
    <s v="142233"/>
    <s v="KL"/>
    <s v="Ranjeet Kumar"/>
    <s v="30/06/2021"/>
    <s v="Shipped"/>
    <s v="100 GB DDR4 RAM"/>
    <s v="RAM"/>
    <s v="Hynix"/>
    <n v="6550"/>
    <n v="8515"/>
    <n v="2"/>
    <n v="13100"/>
    <n v="17030"/>
    <s v="Roshan Kumar"/>
    <n v="25545"/>
  </r>
  <r>
    <s v="142234"/>
    <s v="MP"/>
    <s v="Sajal Singhal"/>
    <s v="01/07/2021"/>
    <s v="Order"/>
    <s v="Standard ATX motherboard"/>
    <s v="MotherBoard"/>
    <s v="Gigabyte"/>
    <n v="7650"/>
    <n v="9945"/>
    <n v="2"/>
    <n v="15300"/>
    <n v="19890"/>
    <s v="Aarvi Gupta"/>
    <n v="39780"/>
  </r>
  <r>
    <s v="142235"/>
    <s v="MH"/>
    <s v="Akhilesh Kumar"/>
    <s v="02/07/2021"/>
    <s v="Processing"/>
    <s v="Compact with 1 Fan"/>
    <s v="Cabinet"/>
    <s v="Asus"/>
    <n v="1150"/>
    <n v="1495"/>
    <n v="1"/>
    <n v="1150"/>
    <n v="1495"/>
    <s v="Vijay Singh"/>
    <n v="2990"/>
  </r>
  <r>
    <s v="142236"/>
    <s v="MN"/>
    <s v="Suvankar Chakraborty"/>
    <s v="03/07/2021"/>
    <s v="Delivered"/>
    <s v="USB Backlight Keyboard"/>
    <s v="Keyboard"/>
    <s v="Dell"/>
    <n v="850"/>
    <n v="1105"/>
    <n v="2"/>
    <n v="1700"/>
    <n v="2210"/>
    <s v="Aadil Khan"/>
    <n v="3315"/>
  </r>
  <r>
    <s v="142237"/>
    <s v="ML"/>
    <s v="Suvankar Adhikary"/>
    <s v="04/07/2021"/>
    <s v="Shipped"/>
    <s v="Ergonomic Mouse"/>
    <s v="Mouse"/>
    <s v="Samsung"/>
    <n v="650"/>
    <n v="845"/>
    <n v="4"/>
    <n v="2600"/>
    <n v="3380"/>
    <s v="Advika Joshi"/>
    <n v="1690"/>
  </r>
  <r>
    <s v="142238"/>
    <s v="MZ"/>
    <s v="Rahul Kumar Prajapati"/>
    <s v="05/07/2021"/>
    <s v="Order"/>
    <s v="15&quot; LCD Dsipaly"/>
    <s v="Monitor"/>
    <s v="Dell"/>
    <n v="7500"/>
    <n v="9750"/>
    <n v="2"/>
    <n v="15000"/>
    <n v="19500"/>
    <s v="Ajay Sharma"/>
    <n v="9750"/>
  </r>
  <r>
    <s v="142239"/>
    <s v="NL"/>
    <s v="Sagar Jeur"/>
    <s v="06/07/2021"/>
    <s v="Processing"/>
    <s v="86 TB HDD"/>
    <s v="HDD"/>
    <s v="Seagate"/>
    <n v="10000"/>
    <n v="13000"/>
    <n v="1"/>
    <n v="10000"/>
    <n v="13000"/>
    <s v="Roshan Kumar"/>
    <n v="39000"/>
  </r>
  <r>
    <s v="142240"/>
    <s v="OR"/>
    <s v="Rhushikesh Mane"/>
    <s v="07/07/2021"/>
    <s v="Delivered"/>
    <s v="85 TB SSD"/>
    <s v="SSD"/>
    <s v="Samsung"/>
    <n v="10500"/>
    <n v="13650"/>
    <n v="3"/>
    <n v="31500"/>
    <n v="40950"/>
    <s v="Aarvi Gupta"/>
    <n v="8450"/>
  </r>
  <r>
    <s v="142241"/>
    <s v="PB"/>
    <s v="Ashish Kumar"/>
    <s v="07/07/2021"/>
    <s v="Shipped"/>
    <s v="Intel i5 12th gen."/>
    <s v="CPU"/>
    <s v="Intel"/>
    <n v="8500"/>
    <n v="11050"/>
    <n v="2"/>
    <n v="17000"/>
    <n v="22100"/>
    <s v="Vijay Singh"/>
    <n v="33150"/>
  </r>
  <r>
    <s v="142242"/>
    <s v="RJ"/>
    <s v="Javed Akhter"/>
    <s v="07/07/2021"/>
    <s v="Order"/>
    <s v="2GB Graphic Card"/>
    <s v="Graphic Card"/>
    <s v="Nvidia"/>
    <n v="7000"/>
    <n v="9100"/>
    <n v="4"/>
    <n v="28000"/>
    <n v="36400"/>
    <s v="Aadil Khan"/>
    <n v="18200"/>
  </r>
  <r>
    <s v="142243"/>
    <s v="SK"/>
    <s v="Haridas Balraj"/>
    <s v="07/07/2021"/>
    <s v="Processing"/>
    <s v="88 GB DDR4 Ram"/>
    <s v="RAM"/>
    <s v="Hynix"/>
    <n v="1680"/>
    <n v="2184"/>
    <n v="2"/>
    <n v="3360"/>
    <n v="4368"/>
    <s v="Advika Joshi"/>
    <n v="25545"/>
  </r>
  <r>
    <s v="142244"/>
    <s v="TN"/>
    <s v="Kundan Kumar"/>
    <s v="07/07/2021"/>
    <s v="Delivered"/>
    <s v="Micro ATX motherboard"/>
    <s v="MotherBoard"/>
    <s v="MSI"/>
    <n v="6540"/>
    <n v="8502"/>
    <n v="1"/>
    <n v="6540"/>
    <n v="8502"/>
    <s v="Ajay Sharma"/>
    <n v="39780"/>
  </r>
  <r>
    <s v="142245"/>
    <s v="TR"/>
    <s v="Atif Siddiqui"/>
    <s v="07/07/2021"/>
    <s v="Shipped"/>
    <s v="Gaming Box Cabinet"/>
    <s v="Cabinet"/>
    <s v="Asus"/>
    <n v="2680"/>
    <n v="3484"/>
    <n v="4"/>
    <n v="10720"/>
    <n v="13936"/>
    <s v="Roshan Kumar"/>
    <n v="2990"/>
  </r>
  <r>
    <s v="142246"/>
    <s v="UK"/>
    <s v="Aditya Agarwal"/>
    <s v="07/07/2021"/>
    <s v="Order"/>
    <s v="17&quot; LCD Display"/>
    <s v="Monitor"/>
    <s v="Samsung"/>
    <n v="8250"/>
    <n v="10725"/>
    <n v="1"/>
    <n v="8250"/>
    <n v="10725"/>
    <s v="Aarvi Gupta"/>
    <n v="9750"/>
  </r>
  <r>
    <s v="142247"/>
    <s v="UP"/>
    <s v="Firdoush Jabee"/>
    <s v="07/07/2021"/>
    <s v="Processing"/>
    <s v="92 GB DDR4 RAM"/>
    <s v="RAM"/>
    <s v="Samsung"/>
    <n v="2650"/>
    <n v="3445"/>
    <n v="2"/>
    <n v="5300"/>
    <n v="6890"/>
    <s v="Vijay Singh"/>
    <n v="25545"/>
  </r>
  <r>
    <s v="142248"/>
    <s v="WB"/>
    <s v="Jay Prakash Kumar"/>
    <s v="07/07/2021"/>
    <s v="Delivered"/>
    <s v="26&quot; LCD Display"/>
    <s v="Monitor"/>
    <s v="Acer"/>
    <n v="12550"/>
    <n v="16315"/>
    <n v="4"/>
    <n v="50200"/>
    <n v="65260"/>
    <s v="Aadil Khan"/>
    <n v="9750"/>
  </r>
  <r>
    <s v="142249"/>
    <s v="TN"/>
    <s v="Ashish Pandey"/>
    <s v="07/07/2021"/>
    <s v="Shipped"/>
    <s v="I7 - intel 12th Generation"/>
    <s v="CPU"/>
    <s v="Intel"/>
    <n v="14500"/>
    <n v="18850"/>
    <n v="2"/>
    <n v="29000"/>
    <n v="37700"/>
    <s v="Advika Joshi"/>
    <n v="33150"/>
  </r>
  <r>
    <s v="142250"/>
    <s v="TR"/>
    <s v="Ajay Sharma"/>
    <s v="07/07/2021"/>
    <s v="Order"/>
    <s v="USB Keyboard"/>
    <s v="Keyboard"/>
    <s v="Dell"/>
    <n v="800"/>
    <n v="1040"/>
    <n v="3"/>
    <n v="2400"/>
    <n v="3120"/>
    <s v="Ajay Sharma"/>
    <n v="3315"/>
  </r>
  <r>
    <s v="142251"/>
    <s v="MH"/>
    <s v="Moinuddin Saifi"/>
    <s v="07/07/2021"/>
    <s v="Processing"/>
    <s v="Wireless Mouse"/>
    <s v="Mouse"/>
    <s v="Samsung"/>
    <n v="600"/>
    <n v="780"/>
    <n v="1"/>
    <n v="600"/>
    <n v="780"/>
    <s v="Roshan Kumar"/>
    <n v="1690"/>
  </r>
  <r>
    <s v="142252"/>
    <s v="CH"/>
    <s v="Ramkrishna Das Adhikary"/>
    <s v="08/07/2021"/>
    <s v="Delivered"/>
    <s v="21&quot; LCD Display"/>
    <s v="Monitor"/>
    <s v="Dell"/>
    <n v="10500"/>
    <n v="13650"/>
    <n v="1"/>
    <n v="10500"/>
    <n v="13650"/>
    <s v="Aarvi Gupta"/>
    <n v="9750"/>
  </r>
  <r>
    <s v="142253"/>
    <s v="DH"/>
    <s v="Ranjeet Mandal"/>
    <s v="09/07/2021"/>
    <s v="Shipped"/>
    <s v="86 TB HDD"/>
    <s v="HDD"/>
    <s v="Western Digital"/>
    <n v="6500"/>
    <n v="8450"/>
    <n v="4"/>
    <n v="26000"/>
    <n v="33800"/>
    <s v="Vijay Singh"/>
    <n v="39000"/>
  </r>
  <r>
    <s v="142254"/>
    <s v="DD"/>
    <s v="Ashwini Adsare"/>
    <s v="10/07/2021"/>
    <s v="Order"/>
    <s v="341 GB SSD"/>
    <s v="SSD"/>
    <s v="Samsung"/>
    <n v="4500"/>
    <n v="5850"/>
    <n v="4"/>
    <n v="18000"/>
    <n v="23400"/>
    <s v="Aadil Khan"/>
    <n v="8450"/>
  </r>
  <r>
    <s v="142255"/>
    <s v="DL"/>
    <s v="Rajesh Variya"/>
    <s v="11/07/2021"/>
    <s v="Processing"/>
    <s v="Intel i3 11th gen."/>
    <s v="CPU"/>
    <s v="Intel"/>
    <n v="8500"/>
    <n v="11050"/>
    <n v="2"/>
    <n v="17000"/>
    <n v="22100"/>
    <s v="Advika Joshi"/>
    <n v="33150"/>
  </r>
  <r>
    <s v="142256"/>
    <s v="LD"/>
    <s v="Amit Singh"/>
    <s v="12/07/2021"/>
    <s v="Delivered"/>
    <s v="4GB Graphic card"/>
    <s v="Graphic Card"/>
    <s v="Nvidia"/>
    <n v="12500"/>
    <n v="16250"/>
    <n v="4"/>
    <n v="50000"/>
    <n v="65000"/>
    <s v="Ajay Sharma"/>
    <n v="18200"/>
  </r>
  <r>
    <s v="142257"/>
    <s v="PY"/>
    <s v="Vinod Mehta"/>
    <s v="13/07/2021"/>
    <s v="Shipped"/>
    <s v="93 GB DDR4 RAM"/>
    <s v="Computer Case"/>
    <s v="Hynix"/>
    <n v="3500"/>
    <n v="4550"/>
    <n v="2"/>
    <n v="7000"/>
    <n v="9100"/>
    <s v="Roshan Kumar"/>
    <n v="13650"/>
  </r>
  <r>
    <s v="142258"/>
    <s v="AP"/>
    <s v="Jignesh Mhatre"/>
    <s v="14/07/2021"/>
    <s v="Order"/>
    <s v="BTX motherboard"/>
    <s v="Mouse"/>
    <s v="Gigabyte"/>
    <n v="4500"/>
    <n v="5850"/>
    <n v="1"/>
    <n v="4500"/>
    <n v="5850"/>
    <s v="Aarvi Gupta"/>
    <n v="1690"/>
  </r>
  <r>
    <s v="142259"/>
    <s v="AR"/>
    <s v="Rahul Kashyap"/>
    <s v="15/07/2021"/>
    <s v="Processing"/>
    <s v="88 Fans Cabinet"/>
    <s v="Cabinet"/>
    <s v="Asus"/>
    <n v="2100"/>
    <n v="2730"/>
    <n v="2"/>
    <n v="4200"/>
    <n v="5460"/>
    <s v="Vijay Singh"/>
    <n v="2990"/>
  </r>
  <r>
    <s v="142260"/>
    <s v="AS"/>
    <s v="Mohammed Abdul Kaleem"/>
    <s v="16/07/2021"/>
    <s v="Delivered"/>
    <s v="Wireless Keyboard"/>
    <s v="Keyboard"/>
    <s v="Dell"/>
    <n v="1150"/>
    <n v="1495"/>
    <n v="3"/>
    <n v="3450"/>
    <n v="4485"/>
    <s v="Aadil Khan"/>
    <n v="3315"/>
  </r>
  <r>
    <s v="142261"/>
    <s v="BR"/>
    <s v="Chandrakant Kasbe"/>
    <s v="17/07/2021"/>
    <s v="Shipped"/>
    <s v="USB Mouse"/>
    <s v="Mouse"/>
    <s v="Samsung"/>
    <n v="350"/>
    <n v="455"/>
    <n v="3"/>
    <n v="1050"/>
    <n v="1365"/>
    <s v="Advika Joshi"/>
    <n v="1690"/>
  </r>
  <r>
    <s v="142262"/>
    <s v="CG"/>
    <s v="Rohan Kale"/>
    <s v="18/07/2021"/>
    <s v="Order"/>
    <s v="19&quot; LED Display"/>
    <s v="Monitor"/>
    <s v="Dell"/>
    <n v="9500"/>
    <n v="12350"/>
    <n v="4"/>
    <n v="38000"/>
    <n v="49400"/>
    <s v="Ajay Sharma"/>
    <n v="9750"/>
  </r>
  <r>
    <s v="142263"/>
    <s v="GA"/>
    <s v="Aniruddha Kekapure"/>
    <s v="19/07/2021"/>
    <s v="Processing"/>
    <s v="87 TB HDD"/>
    <s v="HDD"/>
    <s v="Western Digital"/>
    <n v="10000"/>
    <n v="13000"/>
    <n v="1"/>
    <n v="10000"/>
    <n v="13000"/>
    <s v="Roshan Kumar"/>
    <n v="39000"/>
  </r>
  <r>
    <s v="142264"/>
    <s v="GJ"/>
    <s v="Aslam Raza"/>
    <s v="20/07/2021"/>
    <s v="Delivered"/>
    <s v="597 GB M.2"/>
    <s v="SSD"/>
    <s v="Samsung"/>
    <n v="6500"/>
    <n v="8450"/>
    <n v="3"/>
    <n v="19500"/>
    <n v="25350"/>
    <s v="Aarvi Gupta"/>
    <n v="8450"/>
  </r>
  <r>
    <s v="142265"/>
    <s v="HR"/>
    <s v="Roshan Zameer"/>
    <s v="21/07/2021"/>
    <s v="Shipped"/>
    <s v="RYZEN 3rd gen. 3585"/>
    <s v="CPU"/>
    <s v="Intel"/>
    <n v="8500"/>
    <n v="11050"/>
    <n v="2"/>
    <n v="17000"/>
    <n v="22100"/>
    <s v="Vijay Singh"/>
    <n v="33150"/>
  </r>
  <r>
    <s v="142266"/>
    <s v="HP"/>
    <s v="Rakesh Kumar Sharma"/>
    <s v="22/07/2021"/>
    <s v="Order"/>
    <s v="2GB Graphic Card"/>
    <s v="Graphic Card"/>
    <s v="Nvidia"/>
    <n v="7000"/>
    <n v="9100"/>
    <n v="3"/>
    <n v="21000"/>
    <n v="27300"/>
    <s v="Aadil Khan"/>
    <n v="18200"/>
  </r>
  <r>
    <s v="142267"/>
    <s v="JK"/>
    <s v="Shivanand Sahani"/>
    <s v="22/07/2021"/>
    <s v="Processing"/>
    <s v="101 GB DDR4 RAM"/>
    <s v="Computer Case"/>
    <s v="Hynix"/>
    <n v="6550"/>
    <n v="8515"/>
    <n v="2"/>
    <n v="13100"/>
    <n v="17030"/>
    <s v="Advika Joshi"/>
    <n v="13650"/>
  </r>
  <r>
    <s v="142268"/>
    <s v="JH"/>
    <s v="Kunal Patra"/>
    <s v="22/07/2021"/>
    <s v="Delivered"/>
    <s v="Standard ATX motherboard"/>
    <s v="Mouse"/>
    <s v="Gigabyte"/>
    <n v="7650"/>
    <n v="9945"/>
    <n v="2"/>
    <n v="15300"/>
    <n v="19890"/>
    <s v="Ajay Sharma"/>
    <n v="1690"/>
  </r>
  <r>
    <s v="142269"/>
    <s v="KA"/>
    <s v="Bijendra"/>
    <s v="22/07/2021"/>
    <s v="Shipped"/>
    <s v="Compact with 1 Fan"/>
    <s v="Cabinet"/>
    <s v="Asus"/>
    <n v="1150"/>
    <n v="1495"/>
    <n v="3"/>
    <n v="3450"/>
    <n v="4485"/>
    <s v="Roshan Kumar"/>
    <n v="2990"/>
  </r>
  <r>
    <s v="142270"/>
    <s v="KL"/>
    <s v="Kranti Bheke"/>
    <s v="22/07/2021"/>
    <s v="Order"/>
    <s v="USB Backlight Keyboard"/>
    <s v="Keyboard"/>
    <s v="Dell"/>
    <n v="850"/>
    <n v="1105"/>
    <n v="2"/>
    <n v="1700"/>
    <n v="2210"/>
    <s v="Aarvi Gupta"/>
    <n v="3315"/>
  </r>
  <r>
    <s v="142271"/>
    <s v="MP"/>
    <s v="Jagdeep"/>
    <s v="23/07/2021"/>
    <s v="Processing"/>
    <s v="Ergonomic Mouse"/>
    <s v="Mouse"/>
    <s v="Samsung"/>
    <n v="650"/>
    <n v="845"/>
    <n v="2"/>
    <n v="1300"/>
    <n v="1690"/>
    <s v="Vijay Singh"/>
    <n v="1690"/>
  </r>
  <r>
    <s v="142272"/>
    <s v="MH"/>
    <s v="Adhir Samal"/>
    <s v="24/07/2021"/>
    <s v="Delivered"/>
    <s v="15&quot; LCD Dsipaly"/>
    <s v="Monitor"/>
    <s v="Dell"/>
    <n v="7500"/>
    <n v="9750"/>
    <n v="4"/>
    <n v="30000"/>
    <n v="39000"/>
    <s v="Aadil Khan"/>
    <n v="9750"/>
  </r>
  <r>
    <s v="142273"/>
    <s v="MN"/>
    <s v="Dannana Jhammi"/>
    <s v="25/07/2021"/>
    <s v="Shipped"/>
    <s v="87 TB HDD"/>
    <s v="HDD"/>
    <s v="Seagate"/>
    <n v="10000"/>
    <n v="13000"/>
    <n v="3"/>
    <n v="30000"/>
    <n v="39000"/>
    <s v="Advika Joshi"/>
    <n v="39000"/>
  </r>
  <r>
    <s v="142274"/>
    <s v="ML"/>
    <s v="Vipin Kumar"/>
    <s v="26/07/2021"/>
    <s v="Order"/>
    <s v="86 TB SSD"/>
    <s v="SSD"/>
    <s v="Samsung"/>
    <n v="10500"/>
    <n v="13650"/>
    <n v="2"/>
    <n v="21000"/>
    <n v="27300"/>
    <s v="Ajay Sharma"/>
    <n v="8450"/>
  </r>
  <r>
    <s v="142275"/>
    <s v="MZ"/>
    <s v="Ranjeet Kumar"/>
    <s v="27/07/2021"/>
    <s v="Processing"/>
    <s v="Intel i5 12th gen."/>
    <s v="CPU"/>
    <s v="Intel"/>
    <n v="8500"/>
    <n v="11050"/>
    <n v="4"/>
    <n v="34000"/>
    <n v="44200"/>
    <s v="Roshan Kumar"/>
    <n v="33150"/>
  </r>
  <r>
    <s v="142276"/>
    <s v="NL"/>
    <s v="Sajal Singhal"/>
    <s v="28/07/2021"/>
    <s v="Delivered"/>
    <s v="2GB Graphic Card"/>
    <s v="Graphic Card"/>
    <s v="Nvidia"/>
    <n v="7000"/>
    <n v="9100"/>
    <n v="3"/>
    <n v="21000"/>
    <n v="27300"/>
    <s v="Aarvi Gupta"/>
    <n v="18200"/>
  </r>
  <r>
    <s v="142277"/>
    <s v="OR"/>
    <s v="Akhilesh Kumar"/>
    <s v="29/07/2021"/>
    <s v="Shipped"/>
    <s v="89 GB DDR4 Ram"/>
    <s v="Computer Case"/>
    <s v="Hynix"/>
    <n v="1680"/>
    <n v="2184"/>
    <n v="3"/>
    <n v="5040"/>
    <n v="6552"/>
    <s v="Vijay Singh"/>
    <n v="13650"/>
  </r>
  <r>
    <s v="142278"/>
    <s v="PB"/>
    <s v="Suvankar Chakraborty"/>
    <s v="30/07/2021"/>
    <s v="Order"/>
    <s v="Micro ATX motherboard"/>
    <s v="Mouse"/>
    <s v="MSI"/>
    <n v="6540"/>
    <n v="8502"/>
    <n v="3"/>
    <n v="19620"/>
    <n v="25506"/>
    <s v="Aadil Khan"/>
    <n v="1690"/>
  </r>
  <r>
    <s v="142279"/>
    <s v="RJ"/>
    <s v="Suvankar Adhikary"/>
    <s v="31/07/2021"/>
    <s v="Processing"/>
    <s v="Gaming Box Cabinet"/>
    <s v="Cabinet"/>
    <s v="Asus"/>
    <n v="2680"/>
    <n v="3484"/>
    <n v="4"/>
    <n v="10720"/>
    <n v="13936"/>
    <s v="Advika Joshi"/>
    <n v="2990"/>
  </r>
  <r>
    <s v="142280"/>
    <s v="SK"/>
    <s v="Rahul Kumar Prajapati"/>
    <s v="01/08/2021"/>
    <s v="Delivered"/>
    <s v="17&quot; LCD Display"/>
    <s v="Monitor"/>
    <s v="Samsung"/>
    <n v="8250"/>
    <n v="10725"/>
    <n v="3"/>
    <n v="24750"/>
    <n v="32175"/>
    <s v="Ajay Sharma"/>
    <n v="9750"/>
  </r>
  <r>
    <s v="142281"/>
    <s v="TN"/>
    <s v="Sagar Jeur"/>
    <s v="02/08/2021"/>
    <s v="Shipped"/>
    <s v="93 GB DDR4 RAM"/>
    <s v="RAM"/>
    <s v="Samsung"/>
    <n v="2650"/>
    <n v="3445"/>
    <n v="2"/>
    <n v="5300"/>
    <n v="6890"/>
    <s v="Roshan Kumar"/>
    <n v="25545"/>
  </r>
  <r>
    <s v="142282"/>
    <s v="TR"/>
    <s v="Rhushikesh Mane"/>
    <s v="03/08/2021"/>
    <s v="Order"/>
    <s v="26&quot; LCD Display"/>
    <s v="Monitor"/>
    <s v="Acer"/>
    <n v="12550"/>
    <n v="16315"/>
    <n v="4"/>
    <n v="50200"/>
    <n v="65260"/>
    <s v="Aarvi Gupta"/>
    <n v="9750"/>
  </r>
  <r>
    <s v="142283"/>
    <s v="UK"/>
    <s v="Ashish Kumar"/>
    <s v="04/08/2021"/>
    <s v="Processing"/>
    <s v="I7 - intel 12th Generation"/>
    <s v="CPU"/>
    <s v="Intel"/>
    <n v="14500"/>
    <n v="18850"/>
    <n v="3"/>
    <n v="43500"/>
    <n v="56550"/>
    <s v="Vijay Singh"/>
    <n v="33150"/>
  </r>
  <r>
    <s v="142284"/>
    <s v="UP"/>
    <s v="Javed Akhter"/>
    <s v="05/08/2021"/>
    <s v="Delivered"/>
    <s v="USB Keyboard"/>
    <s v="Keyboard"/>
    <s v="Dell"/>
    <n v="800"/>
    <n v="1040"/>
    <n v="1"/>
    <n v="800"/>
    <n v="1040"/>
    <s v="Aadil Khan"/>
    <n v="3315"/>
  </r>
  <r>
    <s v="142285"/>
    <s v="WB"/>
    <s v="Haridas Balraj"/>
    <s v="06/08/2021"/>
    <s v="Shipped"/>
    <s v="Wireless Mouse"/>
    <s v="Mouse"/>
    <s v="Samsung"/>
    <n v="600"/>
    <n v="780"/>
    <n v="3"/>
    <n v="1800"/>
    <n v="2340"/>
    <s v="Advika Joshi"/>
    <n v="1690"/>
  </r>
  <r>
    <s v="142286"/>
    <s v="TN"/>
    <s v="Kundan Kumar"/>
    <s v="07/08/2021"/>
    <s v="Order"/>
    <s v="21&quot; LCD Display"/>
    <s v="Monitor"/>
    <s v="Dell"/>
    <n v="10500"/>
    <n v="13650"/>
    <n v="2"/>
    <n v="21000"/>
    <n v="27300"/>
    <s v="Ajay Sharma"/>
    <n v="9750"/>
  </r>
  <r>
    <s v="142287"/>
    <s v="TR"/>
    <s v="Atif Siddiqui"/>
    <s v="08/08/2021"/>
    <s v="Processing"/>
    <s v="87 TB HDD"/>
    <s v="HDD"/>
    <s v="Western Digital"/>
    <n v="6500"/>
    <n v="8450"/>
    <n v="2"/>
    <n v="13000"/>
    <n v="16900"/>
    <s v="Roshan Kumar"/>
    <n v="39000"/>
  </r>
  <r>
    <s v="142288"/>
    <s v="MH"/>
    <s v="Aditya Agarwal"/>
    <s v="09/08/2021"/>
    <s v="Delivered"/>
    <s v="342 GB SSD"/>
    <s v="SSD"/>
    <s v="Samsung"/>
    <n v="4500"/>
    <n v="5850"/>
    <n v="3"/>
    <n v="13500"/>
    <n v="17550"/>
    <s v="Aarvi Gupta"/>
    <n v="8450"/>
  </r>
  <r>
    <s v="142289"/>
    <s v="CH"/>
    <s v="Firdoush Jabee"/>
    <s v="10/08/2021"/>
    <s v="Shipped"/>
    <s v="Intel i3 11th gen."/>
    <s v="CPU"/>
    <s v="Intel"/>
    <n v="8500"/>
    <n v="11050"/>
    <n v="3"/>
    <n v="25500"/>
    <n v="33150"/>
    <s v="Vijay Singh"/>
    <n v="33150"/>
  </r>
  <r>
    <s v="142290"/>
    <s v="DH"/>
    <s v="Jay Prakash Kumar"/>
    <s v="11/08/2021"/>
    <s v="Order"/>
    <s v="4GB Graphic card"/>
    <s v="Graphic Card"/>
    <s v="Nvidia"/>
    <n v="12500"/>
    <n v="16250"/>
    <n v="1"/>
    <n v="12500"/>
    <n v="16250"/>
    <s v="Aadil Khan"/>
    <n v="18200"/>
  </r>
  <r>
    <s v="142291"/>
    <s v="DD"/>
    <s v="Ashish Pandey"/>
    <s v="12/08/2021"/>
    <s v="Processing"/>
    <s v="94 GB DDR4 RAM"/>
    <s v="NIC"/>
    <s v="Hynix"/>
    <n v="3500"/>
    <n v="4550"/>
    <n v="1"/>
    <n v="3500"/>
    <n v="4550"/>
    <s v="Advika Joshi"/>
    <n v="9100"/>
  </r>
  <r>
    <s v="142292"/>
    <s v="DL"/>
    <s v="Ajay Sharma"/>
    <s v="13/08/2021"/>
    <s v="Delivered"/>
    <s v="BTX motherboard"/>
    <s v="Printer"/>
    <s v="Gigabyte"/>
    <n v="4500"/>
    <n v="5850"/>
    <n v="4"/>
    <n v="18000"/>
    <n v="23400"/>
    <s v="Ajay Sharma"/>
    <n v="11700"/>
  </r>
  <r>
    <s v="142293"/>
    <s v="LD"/>
    <s v="Moinuddin Saifi"/>
    <s v="14/08/2021"/>
    <s v="Shipped"/>
    <s v="89 Fans Cabinet"/>
    <s v="Cabinet"/>
    <s v="Asus"/>
    <n v="2100"/>
    <n v="2730"/>
    <n v="4"/>
    <n v="8400"/>
    <n v="10920"/>
    <s v="Roshan Kumar"/>
    <n v="2990"/>
  </r>
  <r>
    <s v="142294"/>
    <s v="PY"/>
    <s v="Ramkrishna Das Adhikary"/>
    <s v="15/08/2021"/>
    <s v="Order"/>
    <s v="Wireless Keyboard"/>
    <s v="Keyboard"/>
    <s v="Dell"/>
    <n v="1150"/>
    <n v="1495"/>
    <n v="4"/>
    <n v="4600"/>
    <n v="5980"/>
    <s v="Aarvi Gupta"/>
    <n v="3315"/>
  </r>
  <r>
    <s v="142295"/>
    <s v="AP"/>
    <s v="Ranjeet Mandal"/>
    <s v="16/08/2021"/>
    <s v="Processing"/>
    <s v="USB Mouse"/>
    <s v="Mouse"/>
    <s v="Samsung"/>
    <n v="350"/>
    <n v="455"/>
    <n v="2"/>
    <n v="700"/>
    <n v="910"/>
    <s v="Vijay Singh"/>
    <n v="1690"/>
  </r>
  <r>
    <s v="142296"/>
    <s v="AR"/>
    <s v="Ashwini Adsare"/>
    <s v="17/08/2021"/>
    <s v="Delivered"/>
    <s v="19&quot; LED Display"/>
    <s v="Monitor"/>
    <s v="Dell"/>
    <n v="9500"/>
    <n v="12350"/>
    <n v="4"/>
    <n v="38000"/>
    <n v="49400"/>
    <s v="Aadil Khan"/>
    <n v="9750"/>
  </r>
  <r>
    <s v="142297"/>
    <s v="AS"/>
    <s v="Rajesh Variya"/>
    <s v="18/08/2021"/>
    <s v="Shipped"/>
    <s v="88 TB HDD"/>
    <s v="HDD"/>
    <s v="Western Digital"/>
    <n v="10000"/>
    <n v="13000"/>
    <n v="2"/>
    <n v="20000"/>
    <n v="26000"/>
    <s v="Advika Joshi"/>
    <n v="39000"/>
  </r>
  <r>
    <s v="142298"/>
    <s v="BR"/>
    <s v="Amit Singh"/>
    <s v="19/08/2021"/>
    <s v="Order"/>
    <s v="598 GB M.2"/>
    <s v="SSD"/>
    <s v="Samsung"/>
    <n v="6500"/>
    <n v="8450"/>
    <n v="1"/>
    <n v="6500"/>
    <n v="8450"/>
    <s v="Ajay Sharma"/>
    <n v="8450"/>
  </r>
  <r>
    <s v="142299"/>
    <s v="CG"/>
    <s v="Vinod Mehta"/>
    <s v="20/08/2021"/>
    <s v="Processing"/>
    <s v="RYZEN 3rd gen. 3586"/>
    <s v="CPU"/>
    <s v="Intel"/>
    <n v="8500"/>
    <n v="11050"/>
    <n v="4"/>
    <n v="34000"/>
    <n v="44200"/>
    <s v="Roshan Kumar"/>
    <n v="33150"/>
  </r>
  <r>
    <s v="142300"/>
    <s v="GA"/>
    <s v="Jignesh Mhatre"/>
    <s v="21/08/2021"/>
    <s v="Delivered"/>
    <s v="2GB Graphic Card"/>
    <s v="Graphic Card"/>
    <s v="Nvidia"/>
    <n v="7000"/>
    <n v="9100"/>
    <n v="2"/>
    <n v="14000"/>
    <n v="18200"/>
    <s v="Aarvi Gupta"/>
    <n v="18200"/>
  </r>
  <r>
    <s v="142301"/>
    <s v="GJ"/>
    <s v="Rahul Kashyap"/>
    <s v="22/08/2021"/>
    <s v="Shipped"/>
    <s v="102 GB DDR4 RAM"/>
    <s v="NIC"/>
    <s v="Hynix"/>
    <n v="6550"/>
    <n v="8515"/>
    <n v="2"/>
    <n v="13100"/>
    <n v="17030"/>
    <s v="Vijay Singh"/>
    <n v="9100"/>
  </r>
  <r>
    <s v="142302"/>
    <s v="HR"/>
    <s v="Mohammed Abdul Kaleem"/>
    <s v="23/08/2021"/>
    <s v="Order"/>
    <s v="Standard ATX motherboard"/>
    <s v="Printer"/>
    <s v="Gigabyte"/>
    <n v="7650"/>
    <n v="9945"/>
    <n v="3"/>
    <n v="22950"/>
    <n v="29835"/>
    <s v="Aadil Khan"/>
    <n v="11700"/>
  </r>
  <r>
    <s v="142303"/>
    <s v="HP"/>
    <s v="Chandrakant Kasbe"/>
    <s v="24/08/2021"/>
    <s v="Processing"/>
    <s v="Compact with 1 Fan"/>
    <s v="Cabinet"/>
    <s v="Asus"/>
    <n v="1150"/>
    <n v="1495"/>
    <n v="4"/>
    <n v="4600"/>
    <n v="5980"/>
    <s v="Advika Joshi"/>
    <n v="2990"/>
  </r>
  <r>
    <s v="142304"/>
    <s v="JK"/>
    <s v="Rohan Kale"/>
    <s v="25/08/2021"/>
    <s v="Delivered"/>
    <s v="USB Backlight Keyboard"/>
    <s v="Keyboard"/>
    <s v="Dell"/>
    <n v="850"/>
    <n v="1105"/>
    <n v="3"/>
    <n v="2550"/>
    <n v="3315"/>
    <s v="Ajay Sharma"/>
    <n v="3315"/>
  </r>
  <r>
    <s v="142305"/>
    <s v="JH"/>
    <s v="Aniruddha Kekapure"/>
    <s v="26/08/2021"/>
    <s v="Shipped"/>
    <s v="Ergonomic Mouse"/>
    <s v="Mouse"/>
    <s v="Samsung"/>
    <n v="650"/>
    <n v="845"/>
    <n v="1"/>
    <n v="650"/>
    <n v="845"/>
    <s v="Roshan Kumar"/>
    <n v="1690"/>
  </r>
  <r>
    <s v="142306"/>
    <s v="KA"/>
    <s v="Aslam Raza"/>
    <s v="27/08/2021"/>
    <s v="Order"/>
    <s v="15&quot; LCD Dsipaly"/>
    <s v="Monitor"/>
    <s v="Dell"/>
    <n v="7500"/>
    <n v="9750"/>
    <n v="3"/>
    <n v="22500"/>
    <n v="29250"/>
    <s v="Aarvi Gupta"/>
    <n v="9750"/>
  </r>
  <r>
    <s v="142307"/>
    <s v="KL"/>
    <s v="Roshan Zameer"/>
    <s v="28/08/2021"/>
    <s v="Processing"/>
    <s v="88 TB HDD"/>
    <s v="HDD"/>
    <s v="Seagate"/>
    <n v="10000"/>
    <n v="13000"/>
    <n v="2"/>
    <n v="20000"/>
    <n v="26000"/>
    <s v="Vijay Singh"/>
    <n v="39000"/>
  </r>
  <r>
    <s v="142308"/>
    <s v="MP"/>
    <s v="Rakesh Kumar Sharma"/>
    <s v="29/08/2021"/>
    <s v="Delivered"/>
    <s v="87 TB SSD"/>
    <s v="SSD"/>
    <s v="Samsung"/>
    <n v="10500"/>
    <n v="13650"/>
    <n v="4"/>
    <n v="42000"/>
    <n v="54600"/>
    <s v="Aadil Khan"/>
    <n v="8450"/>
  </r>
  <r>
    <s v="142309"/>
    <s v="MH"/>
    <s v="Shivanand Sahani"/>
    <s v="30/08/2021"/>
    <s v="Shipped"/>
    <s v="Intel i5 12th gen."/>
    <s v="CPU"/>
    <s v="Intel"/>
    <n v="8500"/>
    <n v="11050"/>
    <n v="2"/>
    <n v="17000"/>
    <n v="22100"/>
    <s v="Advika Joshi"/>
    <n v="33150"/>
  </r>
  <r>
    <s v="142310"/>
    <s v="MN"/>
    <s v="Kunal Patra"/>
    <s v="31/08/2021"/>
    <s v="Order"/>
    <s v="2GB Graphic Card"/>
    <s v="Graphic Card"/>
    <s v="Nvidia"/>
    <n v="7000"/>
    <n v="9100"/>
    <n v="1"/>
    <n v="7000"/>
    <n v="9100"/>
    <s v="Ajay Sharma"/>
    <n v="18200"/>
  </r>
  <r>
    <s v="142311"/>
    <s v="ML"/>
    <s v="Bijendra"/>
    <s v="01/09/2021"/>
    <s v="Processing"/>
    <s v="90 GB DDR4 Ram"/>
    <s v="NIC"/>
    <s v="Hynix"/>
    <n v="1680"/>
    <n v="2184"/>
    <n v="4"/>
    <n v="6720"/>
    <n v="8736"/>
    <s v="Roshan Kumar"/>
    <n v="9100"/>
  </r>
  <r>
    <s v="142312"/>
    <s v="MZ"/>
    <s v="Kranti Bheke"/>
    <s v="02/09/2021"/>
    <s v="Delivered"/>
    <s v="Micro ATX motherboard"/>
    <s v="Printer"/>
    <s v="MSI"/>
    <n v="6540"/>
    <n v="8502"/>
    <n v="4"/>
    <n v="26160"/>
    <n v="34008"/>
    <s v="Aarvi Gupta"/>
    <n v="11700"/>
  </r>
  <r>
    <s v="142313"/>
    <s v="NL"/>
    <s v="Jagdeep"/>
    <s v="03/09/2021"/>
    <s v="Shipped"/>
    <s v="Gaming Box Cabinet"/>
    <s v="Cabinet"/>
    <s v="Asus"/>
    <n v="2680"/>
    <n v="3484"/>
    <n v="1"/>
    <n v="2680"/>
    <n v="3484"/>
    <s v="Vijay Singh"/>
    <n v="2990"/>
  </r>
  <r>
    <s v="142314"/>
    <s v="OR"/>
    <s v="Adhir Samal"/>
    <s v="04/09/2021"/>
    <s v="Order"/>
    <s v="17&quot; LCD Display"/>
    <s v="Monitor"/>
    <s v="Samsung"/>
    <n v="8250"/>
    <n v="10725"/>
    <n v="1"/>
    <n v="8250"/>
    <n v="10725"/>
    <s v="Aadil Khan"/>
    <n v="9750"/>
  </r>
  <r>
    <s v="142315"/>
    <s v="PB"/>
    <s v="Dannana Jhammi"/>
    <s v="05/09/2021"/>
    <s v="Processing"/>
    <s v="94 GB DDR4 RAM"/>
    <s v="RAM"/>
    <s v="Samsung"/>
    <n v="2650"/>
    <n v="3445"/>
    <n v="4"/>
    <n v="10600"/>
    <n v="13780"/>
    <s v="Advika Joshi"/>
    <n v="25545"/>
  </r>
  <r>
    <s v="142316"/>
    <s v="RJ"/>
    <s v="Vipin Kumar"/>
    <s v="06/09/2021"/>
    <s v="Delivered"/>
    <s v="26&quot; LCD Display"/>
    <s v="Monitor"/>
    <s v="Acer"/>
    <n v="12550"/>
    <n v="16315"/>
    <n v="4"/>
    <n v="50200"/>
    <n v="65260"/>
    <s v="Ajay Sharma"/>
    <n v="9750"/>
  </r>
  <r>
    <s v="142317"/>
    <s v="SK"/>
    <s v="Ranjeet Kumar"/>
    <s v="07/09/2021"/>
    <s v="Shipped"/>
    <s v="I7 - intel 12th Generation"/>
    <s v="CPU"/>
    <s v="Intel"/>
    <n v="14500"/>
    <n v="18850"/>
    <n v="3"/>
    <n v="43500"/>
    <n v="56550"/>
    <s v="Roshan Kumar"/>
    <n v="33150"/>
  </r>
  <r>
    <s v="142318"/>
    <s v="TN"/>
    <s v="Sajal Singhal"/>
    <s v="07/09/2021"/>
    <s v="Order"/>
    <s v="USB Keyboard"/>
    <s v="Keyboard"/>
    <s v="Dell"/>
    <n v="800"/>
    <n v="1040"/>
    <n v="1"/>
    <n v="800"/>
    <n v="1040"/>
    <s v="Aarvi Gupta"/>
    <n v="3315"/>
  </r>
  <r>
    <s v="142319"/>
    <s v="TR"/>
    <s v="Akhilesh Kumar"/>
    <s v="07/09/2021"/>
    <s v="Processing"/>
    <s v="Wireless Mouse"/>
    <s v="Mouse"/>
    <s v="Samsung"/>
    <n v="600"/>
    <n v="780"/>
    <n v="1"/>
    <n v="600"/>
    <n v="780"/>
    <s v="Vijay Singh"/>
    <n v="1690"/>
  </r>
  <r>
    <s v="142320"/>
    <s v="UK"/>
    <s v="Suvankar Chakraborty"/>
    <s v="07/09/2021"/>
    <s v="Delivered"/>
    <s v="21&quot; LCD Display"/>
    <s v="Monitor"/>
    <s v="Dell"/>
    <n v="10500"/>
    <n v="13650"/>
    <n v="4"/>
    <n v="42000"/>
    <n v="54600"/>
    <s v="Aadil Khan"/>
    <n v="9750"/>
  </r>
  <r>
    <s v="142321"/>
    <s v="UP"/>
    <s v="Suvankar Adhikary"/>
    <s v="07/09/2021"/>
    <s v="Shipped"/>
    <s v="88 TB HDD"/>
    <s v="HDD"/>
    <s v="Western Digital"/>
    <n v="6500"/>
    <n v="8450"/>
    <n v="1"/>
    <n v="6500"/>
    <n v="8450"/>
    <s v="Advika Joshi"/>
    <n v="39000"/>
  </r>
  <r>
    <s v="142322"/>
    <s v="WB"/>
    <s v="Rahul Kumar Prajapati"/>
    <s v="07/09/2021"/>
    <s v="Order"/>
    <s v="343 GB SSD"/>
    <s v="SSD"/>
    <s v="Samsung"/>
    <n v="4500"/>
    <n v="5850"/>
    <n v="4"/>
    <n v="18000"/>
    <n v="23400"/>
    <s v="Ajay Sharma"/>
    <n v="8450"/>
  </r>
  <r>
    <s v="142323"/>
    <s v="TN"/>
    <s v="Sagar Jeur"/>
    <s v="07/09/2021"/>
    <s v="Processing"/>
    <s v="Intel i3 11th gen."/>
    <s v="CPU"/>
    <s v="Intel"/>
    <n v="8500"/>
    <n v="11050"/>
    <n v="1"/>
    <n v="8500"/>
    <n v="11050"/>
    <s v="Roshan Kumar"/>
    <n v="33150"/>
  </r>
  <r>
    <s v="142324"/>
    <s v="TR"/>
    <s v="Rhushikesh Mane"/>
    <s v="07/09/2021"/>
    <s v="Delivered"/>
    <s v="4GB Graphic card"/>
    <s v="Graphic Card"/>
    <s v="Nvidia"/>
    <n v="12500"/>
    <n v="16250"/>
    <n v="1"/>
    <n v="12500"/>
    <n v="16250"/>
    <s v="Aarvi Gupta"/>
    <n v="18200"/>
  </r>
  <r>
    <s v="142325"/>
    <s v="MH"/>
    <s v="Ashish Kumar"/>
    <s v="07/09/2021"/>
    <s v="Shipped"/>
    <s v="95 GB DDR4 RAM"/>
    <s v="RAM"/>
    <s v="Hynix"/>
    <n v="3500"/>
    <n v="4550"/>
    <n v="2"/>
    <n v="7000"/>
    <n v="9100"/>
    <s v="Vijay Singh"/>
    <n v="25545"/>
  </r>
  <r>
    <s v="142326"/>
    <s v="CH"/>
    <s v="Javed Akhter"/>
    <s v="07/09/2021"/>
    <s v="Order"/>
    <s v="BTX motherboard"/>
    <s v="MotherBoard"/>
    <s v="Gigabyte"/>
    <n v="4500"/>
    <n v="5850"/>
    <n v="4"/>
    <n v="18000"/>
    <n v="23400"/>
    <s v="Aadil Khan"/>
    <n v="39780"/>
  </r>
  <r>
    <s v="142327"/>
    <s v="DH"/>
    <s v="Haridas Balraj"/>
    <s v="07/09/2021"/>
    <s v="Processing"/>
    <s v="90 Fans Cabinet"/>
    <s v="Cabinet"/>
    <s v="Asus"/>
    <n v="2100"/>
    <n v="2730"/>
    <n v="2"/>
    <n v="4200"/>
    <n v="5460"/>
    <s v="Advika Joshi"/>
    <n v="2990"/>
  </r>
  <r>
    <s v="142328"/>
    <s v="DD"/>
    <s v="Kundan Kumar"/>
    <s v="07/09/2021"/>
    <s v="Delivered"/>
    <s v="Wireless Keyboard"/>
    <s v="Keyboard"/>
    <s v="Dell"/>
    <n v="1150"/>
    <n v="1495"/>
    <n v="1"/>
    <n v="1150"/>
    <n v="1495"/>
    <s v="Ajay Sharma"/>
    <n v="3315"/>
  </r>
  <r>
    <s v="142329"/>
    <s v="DL"/>
    <s v="Atif Siddiqui"/>
    <s v="07/09/2021"/>
    <s v="Shipped"/>
    <s v="USB Mouse"/>
    <s v="Mouse"/>
    <s v="Samsung"/>
    <n v="350"/>
    <n v="455"/>
    <n v="1"/>
    <n v="350"/>
    <n v="455"/>
    <s v="Roshan Kumar"/>
    <n v="1690"/>
  </r>
  <r>
    <s v="142330"/>
    <s v="LD"/>
    <s v="Aditya Agarwal"/>
    <s v="07/09/2021"/>
    <s v="Order"/>
    <s v="19&quot; LED Display"/>
    <s v="Monitor"/>
    <s v="Dell"/>
    <n v="9500"/>
    <n v="12350"/>
    <n v="4"/>
    <n v="38000"/>
    <n v="49400"/>
    <s v="Aarvi Gupta"/>
    <n v="9750"/>
  </r>
  <r>
    <s v="142331"/>
    <s v="PY"/>
    <s v="Firdoush Jabee"/>
    <s v="07/09/2021"/>
    <s v="Processing"/>
    <s v="89 TB HDD"/>
    <s v="HDD"/>
    <s v="Western Digital"/>
    <n v="10000"/>
    <n v="13000"/>
    <n v="3"/>
    <n v="30000"/>
    <n v="39000"/>
    <s v="Vijay Singh"/>
    <n v="39000"/>
  </r>
  <r>
    <s v="142332"/>
    <s v="AP"/>
    <s v="Jay Prakash Kumar"/>
    <s v="07/09/2021"/>
    <s v="Delivered"/>
    <s v="599 GB M.2"/>
    <s v="SSD"/>
    <s v="Samsung"/>
    <n v="6500"/>
    <n v="8450"/>
    <n v="1"/>
    <n v="6500"/>
    <n v="8450"/>
    <s v="Aadil Khan"/>
    <n v="8450"/>
  </r>
  <r>
    <s v="142333"/>
    <s v="AR"/>
    <s v="Ashish Pandey"/>
    <s v="07/09/2021"/>
    <s v="Shipped"/>
    <s v="RYZEN 3rd gen. 3587"/>
    <s v="CPU"/>
    <s v="Intel"/>
    <n v="8500"/>
    <n v="11050"/>
    <n v="3"/>
    <n v="25500"/>
    <n v="33150"/>
    <s v="Advika Joshi"/>
    <n v="33150"/>
  </r>
  <r>
    <s v="142334"/>
    <s v="AS"/>
    <s v="Ajay Sharma"/>
    <s v="07/09/2021"/>
    <s v="Order"/>
    <s v="2GB Graphic Card"/>
    <s v="Graphic Card"/>
    <s v="Nvidia"/>
    <n v="7000"/>
    <n v="9100"/>
    <n v="4"/>
    <n v="28000"/>
    <n v="36400"/>
    <s v="Ajay Sharma"/>
    <n v="18200"/>
  </r>
  <r>
    <s v="142335"/>
    <s v="BR"/>
    <s v="Moinuddin Saifi"/>
    <s v="07/09/2021"/>
    <s v="Processing"/>
    <s v="103 GB DDR4 RAM"/>
    <s v="RAM"/>
    <s v="Hynix"/>
    <n v="6550"/>
    <n v="8515"/>
    <n v="4"/>
    <n v="26200"/>
    <n v="34060"/>
    <s v="Roshan Kumar"/>
    <n v="25545"/>
  </r>
  <r>
    <s v="142336"/>
    <s v="CG"/>
    <s v="Ramkrishna Das Adhikary"/>
    <s v="07/09/2021"/>
    <s v="Delivered"/>
    <s v="Standard ATX motherboard"/>
    <s v="MotherBoard"/>
    <s v="Gigabyte"/>
    <n v="7650"/>
    <n v="9945"/>
    <n v="2"/>
    <n v="15300"/>
    <n v="19890"/>
    <s v="Aarvi Gupta"/>
    <n v="39780"/>
  </r>
  <r>
    <s v="142337"/>
    <s v="GA"/>
    <s v="Ranjeet Mandal"/>
    <s v="07/09/2021"/>
    <s v="Shipped"/>
    <s v="Compact with 1 Fan"/>
    <s v="Cabinet"/>
    <s v="Asus"/>
    <n v="1150"/>
    <n v="1495"/>
    <n v="1"/>
    <n v="1150"/>
    <n v="1495"/>
    <s v="Vijay Singh"/>
    <n v="2990"/>
  </r>
  <r>
    <s v="142338"/>
    <s v="GJ"/>
    <s v="Ashwini Adsare"/>
    <s v="07/09/2021"/>
    <s v="Order"/>
    <s v="USB Backlight Keyboard"/>
    <s v="Keyboard"/>
    <s v="Dell"/>
    <n v="850"/>
    <n v="1105"/>
    <n v="4"/>
    <n v="3400"/>
    <n v="4420"/>
    <s v="Aadil Khan"/>
    <n v="3315"/>
  </r>
  <r>
    <s v="142339"/>
    <s v="HR"/>
    <s v="Rajesh Variya"/>
    <s v="07/09/2021"/>
    <s v="Processing"/>
    <s v="Ergonomic Mouse"/>
    <s v="Mouse"/>
    <s v="Samsung"/>
    <n v="650"/>
    <n v="845"/>
    <n v="2"/>
    <n v="1300"/>
    <n v="1690"/>
    <s v="Advika Joshi"/>
    <n v="1690"/>
  </r>
  <r>
    <s v="142340"/>
    <s v="HP"/>
    <s v="Amit Singh"/>
    <s v="07/09/2021"/>
    <s v="Delivered"/>
    <s v="15&quot; LCD Dsipaly"/>
    <s v="Monitor"/>
    <s v="Dell"/>
    <n v="7500"/>
    <n v="9750"/>
    <n v="3"/>
    <n v="22500"/>
    <n v="29250"/>
    <s v="Ajay Sharma"/>
    <n v="9750"/>
  </r>
  <r>
    <s v="142341"/>
    <s v="JK"/>
    <s v="Vinod Mehta"/>
    <s v="07/09/2021"/>
    <s v="Shipped"/>
    <s v="89 TB HDD"/>
    <s v="HDD"/>
    <s v="Seagate"/>
    <n v="10000"/>
    <n v="13000"/>
    <n v="2"/>
    <n v="20000"/>
    <n v="26000"/>
    <s v="Roshan Kumar"/>
    <n v="39000"/>
  </r>
  <r>
    <s v="142342"/>
    <s v="JH"/>
    <s v="Jignesh Mhatre"/>
    <s v="07/09/2021"/>
    <s v="Order"/>
    <s v="88 TB SSD"/>
    <s v="SSD"/>
    <s v="Samsung"/>
    <n v="10500"/>
    <n v="13650"/>
    <n v="2"/>
    <n v="21000"/>
    <n v="27300"/>
    <s v="Aarvi Gupta"/>
    <n v="8450"/>
  </r>
  <r>
    <s v="142343"/>
    <s v="KA"/>
    <s v="Rahul Kashyap"/>
    <s v="07/09/2021"/>
    <s v="Processing"/>
    <s v="Intel i5 12th gen."/>
    <s v="CPU"/>
    <s v="Intel"/>
    <n v="8500"/>
    <n v="11050"/>
    <n v="2"/>
    <n v="17000"/>
    <n v="22100"/>
    <s v="Vijay Singh"/>
    <n v="33150"/>
  </r>
  <r>
    <s v="142344"/>
    <s v="KL"/>
    <s v="Mohammed Abdul Kaleem"/>
    <s v="07/09/2021"/>
    <s v="Delivered"/>
    <s v="2GB Graphic Card"/>
    <s v="Graphic Card"/>
    <s v="Nvidia"/>
    <n v="7000"/>
    <n v="9100"/>
    <n v="1"/>
    <n v="7000"/>
    <n v="9100"/>
    <s v="Aadil Khan"/>
    <n v="18200"/>
  </r>
  <r>
    <s v="142345"/>
    <s v="MP"/>
    <s v="Chandrakant Kasbe"/>
    <s v="07/09/2021"/>
    <s v="Shipped"/>
    <s v="91 GB DDR4 Ram"/>
    <s v="RAM"/>
    <s v="Hynix"/>
    <n v="1680"/>
    <n v="2184"/>
    <n v="4"/>
    <n v="6720"/>
    <n v="8736"/>
    <s v="Advika Joshi"/>
    <n v="25545"/>
  </r>
  <r>
    <s v="142346"/>
    <s v="MH"/>
    <s v="Rohan Kale"/>
    <s v="07/09/2021"/>
    <s v="Order"/>
    <s v="Micro ATX motherboard"/>
    <s v="MotherBoard"/>
    <s v="MSI"/>
    <n v="6540"/>
    <n v="8502"/>
    <n v="3"/>
    <n v="19620"/>
    <n v="25506"/>
    <s v="Ajay Sharma"/>
    <n v="39780"/>
  </r>
  <r>
    <s v="142347"/>
    <s v="MN"/>
    <s v="Aniruddha Kekapure"/>
    <s v="07/09/2021"/>
    <s v="Processing"/>
    <s v="Gaming Box Cabinet"/>
    <s v="Cabinet"/>
    <s v="Asus"/>
    <n v="2680"/>
    <n v="3484"/>
    <n v="3"/>
    <n v="8040"/>
    <n v="10452"/>
    <s v="Roshan Kumar"/>
    <n v="2990"/>
  </r>
  <r>
    <s v="142348"/>
    <s v="ML"/>
    <s v="Aslam Raza"/>
    <s v="07/09/2021"/>
    <s v="Delivered"/>
    <s v="17&quot; LCD Display"/>
    <s v="Monitor"/>
    <s v="Samsung"/>
    <n v="8250"/>
    <n v="10725"/>
    <n v="1"/>
    <n v="8250"/>
    <n v="10725"/>
    <s v="Aarvi Gupta"/>
    <n v="9750"/>
  </r>
  <r>
    <s v="142349"/>
    <s v="MZ"/>
    <s v="Roshan Zameer"/>
    <s v="07/09/2021"/>
    <s v="Shipped"/>
    <s v="95 GB DDR4 RAM"/>
    <s v="RAM"/>
    <s v="Samsung"/>
    <n v="2650"/>
    <n v="3445"/>
    <n v="2"/>
    <n v="5300"/>
    <n v="6890"/>
    <s v="Vijay Singh"/>
    <n v="25545"/>
  </r>
  <r>
    <s v="142350"/>
    <s v="NL"/>
    <s v="Rakesh Kumar Sharma"/>
    <s v="07/09/2021"/>
    <s v="Order"/>
    <s v="26&quot; LCD Display"/>
    <s v="Monitor"/>
    <s v="Acer"/>
    <n v="12550"/>
    <n v="16315"/>
    <n v="3"/>
    <n v="37650"/>
    <n v="48945"/>
    <s v="Aadil Khan"/>
    <n v="9750"/>
  </r>
  <r>
    <s v="142351"/>
    <s v="OR"/>
    <s v="Shivanand Sahani"/>
    <s v="07/09/2021"/>
    <s v="Processing"/>
    <s v="I7 - intel 12th Generation"/>
    <s v="CPU"/>
    <s v="Intel"/>
    <n v="14500"/>
    <n v="18850"/>
    <n v="3"/>
    <n v="43500"/>
    <n v="56550"/>
    <s v="Advika Joshi"/>
    <n v="33150"/>
  </r>
  <r>
    <s v="142352"/>
    <s v="PB"/>
    <s v="Kunal Patra"/>
    <s v="07/09/2021"/>
    <s v="Delivered"/>
    <s v="USB Keyboard"/>
    <s v="Keyboard"/>
    <s v="Dell"/>
    <n v="800"/>
    <n v="1040"/>
    <n v="1"/>
    <n v="800"/>
    <n v="1040"/>
    <s v="Ajay Sharma"/>
    <n v="3315"/>
  </r>
  <r>
    <s v="142353"/>
    <s v="RJ"/>
    <s v="Bijendra"/>
    <s v="07/09/2021"/>
    <s v="Shipped"/>
    <s v="Wireless Mouse"/>
    <s v="Mouse"/>
    <s v="Samsung"/>
    <n v="600"/>
    <n v="780"/>
    <n v="2"/>
    <n v="1200"/>
    <n v="1560"/>
    <s v="Roshan Kumar"/>
    <n v="1690"/>
  </r>
  <r>
    <s v="142354"/>
    <s v="SK"/>
    <s v="Kranti Bheke"/>
    <s v="07/09/2021"/>
    <s v="Order"/>
    <s v="21&quot; LCD Display"/>
    <s v="Monitor"/>
    <s v="Dell"/>
    <n v="10500"/>
    <n v="13650"/>
    <n v="1"/>
    <n v="10500"/>
    <n v="13650"/>
    <s v="Aarvi Gupta"/>
    <n v="9750"/>
  </r>
  <r>
    <s v="142355"/>
    <s v="TN"/>
    <s v="Jagdeep"/>
    <s v="07/09/2021"/>
    <s v="Processing"/>
    <s v="89 TB HDD"/>
    <s v="HDD"/>
    <s v="Western Digital"/>
    <n v="6500"/>
    <n v="8450"/>
    <n v="4"/>
    <n v="26000"/>
    <n v="33800"/>
    <s v="Vijay Singh"/>
    <n v="39000"/>
  </r>
  <r>
    <s v="142356"/>
    <s v="TR"/>
    <s v="Adhir Samal"/>
    <s v="07/09/2021"/>
    <s v="Delivered"/>
    <s v="344 GB SSD"/>
    <s v="SSD"/>
    <s v="Samsung"/>
    <n v="4500"/>
    <n v="5850"/>
    <n v="3"/>
    <n v="13500"/>
    <n v="17550"/>
    <s v="Aadil Khan"/>
    <n v="8450"/>
  </r>
  <r>
    <s v="142357"/>
    <s v="UK"/>
    <s v="Dannana Jhammi"/>
    <s v="07/09/2021"/>
    <s v="Shipped"/>
    <s v="Intel i3 11th gen."/>
    <s v="CPU"/>
    <s v="Intel"/>
    <n v="8500"/>
    <n v="11050"/>
    <n v="2"/>
    <n v="17000"/>
    <n v="22100"/>
    <s v="Advika Joshi"/>
    <n v="33150"/>
  </r>
  <r>
    <s v="142358"/>
    <s v="UP"/>
    <s v="Vipin Kumar"/>
    <s v="07/09/2021"/>
    <s v="Order"/>
    <s v="4GB Graphic card"/>
    <s v="Graphic Card"/>
    <s v="Nvidia"/>
    <n v="12500"/>
    <n v="16250"/>
    <n v="2"/>
    <n v="25000"/>
    <n v="32500"/>
    <s v="Ajay Sharma"/>
    <n v="18200"/>
  </r>
  <r>
    <s v="142359"/>
    <s v="WB"/>
    <s v="Ranjeet Kumar"/>
    <s v="07/09/2021"/>
    <s v="Processing"/>
    <s v="96 GB DDR4 RAM"/>
    <s v="Computer Case"/>
    <s v="Hynix"/>
    <n v="3500"/>
    <n v="4550"/>
    <n v="4"/>
    <n v="14000"/>
    <n v="18200"/>
    <s v="Roshan Kumar"/>
    <n v="13650"/>
  </r>
  <r>
    <s v="142360"/>
    <s v="TN"/>
    <s v="Sajal Singhal"/>
    <s v="07/09/2021"/>
    <s v="Delivered"/>
    <s v="BTX motherboard"/>
    <s v="Mouse"/>
    <s v="Gigabyte"/>
    <n v="4500"/>
    <n v="5850"/>
    <n v="3"/>
    <n v="13500"/>
    <n v="17550"/>
    <s v="Aarvi Gupta"/>
    <n v="1690"/>
  </r>
  <r>
    <s v="142361"/>
    <s v="TR"/>
    <s v="Akhilesh Kumar"/>
    <s v="07/09/2021"/>
    <s v="Shipped"/>
    <s v="91 Fans Cabinet"/>
    <s v="Cabinet"/>
    <s v="Asus"/>
    <n v="2100"/>
    <n v="2730"/>
    <n v="1"/>
    <n v="2100"/>
    <n v="2730"/>
    <s v="Vijay Singh"/>
    <n v="2990"/>
  </r>
  <r>
    <s v="142362"/>
    <s v="MH"/>
    <s v="Suvankar Chakraborty"/>
    <s v="07/09/2021"/>
    <s v="Order"/>
    <s v="Wireless Keyboard"/>
    <s v="Keyboard"/>
    <s v="Dell"/>
    <n v="1150"/>
    <n v="1495"/>
    <n v="1"/>
    <n v="1150"/>
    <n v="1495"/>
    <s v="Aadil Khan"/>
    <n v="3315"/>
  </r>
  <r>
    <s v="142363"/>
    <s v="CH"/>
    <s v="Suvankar Adhikary"/>
    <s v="07/09/2021"/>
    <s v="Processing"/>
    <s v="USB Mouse"/>
    <s v="Mouse"/>
    <s v="Samsung"/>
    <n v="350"/>
    <n v="455"/>
    <n v="2"/>
    <n v="700"/>
    <n v="910"/>
    <s v="Advika Joshi"/>
    <n v="1690"/>
  </r>
  <r>
    <s v="142364"/>
    <s v="DH"/>
    <s v="Rahul Kumar Prajapati"/>
    <s v="07/09/2021"/>
    <s v="Delivered"/>
    <s v="19&quot; LED Display"/>
    <s v="Monitor"/>
    <s v="Dell"/>
    <n v="9500"/>
    <n v="12350"/>
    <n v="3"/>
    <n v="28500"/>
    <n v="37050"/>
    <s v="Ajay Sharma"/>
    <n v="9750"/>
  </r>
  <r>
    <s v="142365"/>
    <s v="DD"/>
    <s v="Sagar Jeur"/>
    <s v="07/09/2021"/>
    <s v="Shipped"/>
    <s v="90 TB HDD"/>
    <s v="HDD"/>
    <s v="Western Digital"/>
    <n v="10000"/>
    <n v="13000"/>
    <n v="4"/>
    <n v="40000"/>
    <n v="52000"/>
    <s v="Roshan Kumar"/>
    <n v="39000"/>
  </r>
  <r>
    <s v="142366"/>
    <s v="DL"/>
    <s v="Rhushikesh Mane"/>
    <s v="07/09/2021"/>
    <s v="Order"/>
    <s v="600 GB M.2"/>
    <s v="SSD"/>
    <s v="Samsung"/>
    <n v="6500"/>
    <n v="8450"/>
    <n v="3"/>
    <n v="19500"/>
    <n v="25350"/>
    <s v="Aarvi Gupta"/>
    <n v="8450"/>
  </r>
  <r>
    <s v="142367"/>
    <s v="LD"/>
    <s v="Ashish Kumar"/>
    <s v="07/09/2021"/>
    <s v="Processing"/>
    <s v="RYZEN 3rd gen. 3588"/>
    <s v="CPU"/>
    <s v="Intel"/>
    <n v="8500"/>
    <n v="11050"/>
    <n v="2"/>
    <n v="17000"/>
    <n v="22100"/>
    <s v="Vijay Singh"/>
    <n v="33150"/>
  </r>
  <r>
    <s v="142368"/>
    <s v="PY"/>
    <s v="Javed Akhter"/>
    <s v="07/09/2021"/>
    <s v="Delivered"/>
    <s v="2GB Graphic Card"/>
    <s v="Graphic Card"/>
    <s v="Nvidia"/>
    <n v="7000"/>
    <n v="9100"/>
    <n v="3"/>
    <n v="21000"/>
    <n v="27300"/>
    <s v="Aadil Khan"/>
    <n v="18200"/>
  </r>
  <r>
    <s v="142369"/>
    <s v="AP"/>
    <s v="Haridas Balraj"/>
    <s v="07/09/2021"/>
    <s v="Shipped"/>
    <s v="104 GB DDR4 RAM"/>
    <s v="Computer Case"/>
    <s v="Hynix"/>
    <n v="6550"/>
    <n v="8515"/>
    <n v="2"/>
    <n v="13100"/>
    <n v="17030"/>
    <s v="Advika Joshi"/>
    <n v="13650"/>
  </r>
  <r>
    <s v="142370"/>
    <s v="AR"/>
    <s v="Kundan Kumar"/>
    <s v="07/09/2021"/>
    <s v="Order"/>
    <s v="Standard ATX motherboard"/>
    <s v="Mouse"/>
    <s v="Gigabyte"/>
    <n v="7650"/>
    <n v="9945"/>
    <n v="2"/>
    <n v="15300"/>
    <n v="19890"/>
    <s v="Ajay Sharma"/>
    <n v="1690"/>
  </r>
  <r>
    <s v="142371"/>
    <s v="AS"/>
    <s v="Atif Siddiqui"/>
    <s v="07/09/2021"/>
    <s v="Processing"/>
    <s v="Compact with 1 Fan"/>
    <s v="Cabinet"/>
    <s v="Asus"/>
    <n v="1150"/>
    <n v="1495"/>
    <n v="1"/>
    <n v="1150"/>
    <n v="1495"/>
    <s v="Roshan Kumar"/>
    <n v="2990"/>
  </r>
  <r>
    <s v="142372"/>
    <s v="BR"/>
    <s v="Aditya Agarwal"/>
    <s v="07/09/2021"/>
    <s v="Delivered"/>
    <s v="USB Backlight Keyboard"/>
    <s v="Keyboard"/>
    <s v="Dell"/>
    <n v="850"/>
    <n v="1105"/>
    <n v="2"/>
    <n v="1700"/>
    <n v="2210"/>
    <s v="Aarvi Gupta"/>
    <n v="3315"/>
  </r>
  <r>
    <s v="142373"/>
    <s v="CG"/>
    <s v="Firdoush Jabee"/>
    <s v="07/09/2021"/>
    <s v="Shipped"/>
    <s v="Ergonomic Mouse"/>
    <s v="Mouse"/>
    <s v="Samsung"/>
    <n v="650"/>
    <n v="845"/>
    <n v="2"/>
    <n v="1300"/>
    <n v="1690"/>
    <s v="Vijay Singh"/>
    <n v="1690"/>
  </r>
  <r>
    <s v="142374"/>
    <s v="GA"/>
    <s v="Jay Prakash Kumar"/>
    <s v="07/09/2021"/>
    <s v="Order"/>
    <s v="15&quot; LCD Dsipaly"/>
    <s v="Monitor"/>
    <s v="Dell"/>
    <n v="7500"/>
    <n v="9750"/>
    <n v="1"/>
    <n v="7500"/>
    <n v="9750"/>
    <s v="Aadil Khan"/>
    <n v="9750"/>
  </r>
  <r>
    <s v="142375"/>
    <s v="GJ"/>
    <s v="Ashish Pandey"/>
    <s v="07/09/2021"/>
    <s v="Processing"/>
    <s v="90 TB HDD"/>
    <s v="HDD"/>
    <s v="Seagate"/>
    <n v="10000"/>
    <n v="13000"/>
    <n v="1"/>
    <n v="10000"/>
    <n v="13000"/>
    <s v="Advika Joshi"/>
    <n v="39000"/>
  </r>
  <r>
    <s v="142376"/>
    <s v="HR"/>
    <s v="Ajay Sharma"/>
    <s v="07/09/2021"/>
    <s v="Delivered"/>
    <s v="89 TB SSD"/>
    <s v="SSD"/>
    <s v="Samsung"/>
    <n v="10500"/>
    <n v="13650"/>
    <n v="1"/>
    <n v="10500"/>
    <n v="13650"/>
    <s v="Ajay Sharma"/>
    <n v="8450"/>
  </r>
  <r>
    <s v="142377"/>
    <s v="HP"/>
    <s v="Moinuddin Saifi"/>
    <s v="07/09/2021"/>
    <s v="Shipped"/>
    <s v="Intel i5 12th gen."/>
    <s v="CPU"/>
    <s v="Intel"/>
    <n v="8500"/>
    <n v="11050"/>
    <n v="3"/>
    <n v="25500"/>
    <n v="33150"/>
    <s v="Roshan Kumar"/>
    <n v="33150"/>
  </r>
  <r>
    <s v="142378"/>
    <s v="JK"/>
    <s v="Ramkrishna Das Adhikary"/>
    <s v="07/09/2021"/>
    <s v="Order"/>
    <s v="2GB Graphic Card"/>
    <s v="Graphic Card"/>
    <s v="Nvidia"/>
    <n v="7000"/>
    <n v="9100"/>
    <n v="3"/>
    <n v="21000"/>
    <n v="27300"/>
    <s v="Aarvi Gupta"/>
    <n v="18200"/>
  </r>
  <r>
    <s v="142379"/>
    <s v="JH"/>
    <s v="Ranjeet Mandal"/>
    <s v="07/09/2021"/>
    <s v="Processing"/>
    <s v="92 GB DDR4 Ram"/>
    <s v="Computer Case"/>
    <s v="Hynix"/>
    <n v="1680"/>
    <n v="2184"/>
    <n v="1"/>
    <n v="1680"/>
    <n v="2184"/>
    <s v="Vijay Singh"/>
    <n v="13650"/>
  </r>
  <r>
    <s v="142380"/>
    <s v="KA"/>
    <s v="Ashwini Adsare"/>
    <s v="07/09/2021"/>
    <s v="Delivered"/>
    <s v="Micro ATX motherboard"/>
    <s v="Mouse"/>
    <s v="MSI"/>
    <n v="6540"/>
    <n v="8502"/>
    <n v="4"/>
    <n v="26160"/>
    <n v="34008"/>
    <s v="Aadil Khan"/>
    <n v="1690"/>
  </r>
  <r>
    <s v="142381"/>
    <s v="KL"/>
    <s v="Rajesh Variya"/>
    <s v="07/09/2021"/>
    <s v="Shipped"/>
    <s v="Gaming Box Cabinet"/>
    <s v="Cabinet"/>
    <s v="Asus"/>
    <n v="2680"/>
    <n v="3484"/>
    <n v="3"/>
    <n v="8040"/>
    <n v="10452"/>
    <s v="Advika Joshi"/>
    <n v="2990"/>
  </r>
  <r>
    <s v="142382"/>
    <s v="MP"/>
    <s v="Amit Singh"/>
    <s v="07/09/2021"/>
    <s v="Order"/>
    <s v="17&quot; LCD Display"/>
    <s v="Monitor"/>
    <s v="Samsung"/>
    <n v="8250"/>
    <n v="10725"/>
    <n v="2"/>
    <n v="16500"/>
    <n v="21450"/>
    <s v="Ajay Sharma"/>
    <n v="9750"/>
  </r>
  <r>
    <s v="142383"/>
    <s v="MH"/>
    <s v="Vinod Mehta"/>
    <s v="07/09/2021"/>
    <s v="Processing"/>
    <s v="96 GB DDR4 RAM"/>
    <s v="RAM"/>
    <s v="Samsung"/>
    <n v="2650"/>
    <n v="3445"/>
    <n v="1"/>
    <n v="2650"/>
    <n v="3445"/>
    <s v="Ajay Sharma"/>
    <n v="25545"/>
  </r>
  <r>
    <s v="142384"/>
    <s v="MN"/>
    <s v="Jignesh Mhatre"/>
    <s v="07/09/2021"/>
    <s v="Delivered"/>
    <s v="26&quot; LCD Display"/>
    <s v="Monitor"/>
    <s v="Acer"/>
    <n v="12550"/>
    <n v="16315"/>
    <n v="4"/>
    <n v="50200"/>
    <n v="65260"/>
    <s v="Roshan Kumar"/>
    <n v="9750"/>
  </r>
  <r>
    <s v="142385"/>
    <s v="ML"/>
    <s v="Rahul Kashyap"/>
    <s v="07/09/2021"/>
    <s v="Shipped"/>
    <s v="I7 - intel 12th Generation"/>
    <s v="CPU"/>
    <s v="Intel"/>
    <n v="14500"/>
    <n v="18850"/>
    <n v="4"/>
    <n v="58000"/>
    <n v="75400"/>
    <s v="Aarvi Gupta"/>
    <n v="33150"/>
  </r>
  <r>
    <s v="142386"/>
    <s v="MZ"/>
    <s v="Mohammed Abdul Kaleem"/>
    <s v="07/09/2021"/>
    <s v="Order"/>
    <s v="USB Keyboard"/>
    <s v="Keyboard"/>
    <s v="Dell"/>
    <n v="800"/>
    <n v="1040"/>
    <n v="2"/>
    <n v="1600"/>
    <n v="2080"/>
    <s v="Vijay Singh"/>
    <n v="3315"/>
  </r>
  <r>
    <s v="142387"/>
    <s v="NL"/>
    <s v="Chandrakant Kasbe"/>
    <s v="07/09/2021"/>
    <s v="Processing"/>
    <s v="Wireless Mouse"/>
    <s v="Mouse"/>
    <s v="Samsung"/>
    <n v="600"/>
    <n v="780"/>
    <n v="4"/>
    <n v="2400"/>
    <n v="3120"/>
    <s v="Aadil Khan"/>
    <n v="1690"/>
  </r>
  <r>
    <s v="142388"/>
    <s v="OR"/>
    <s v="Rohan Kale"/>
    <s v="07/09/2021"/>
    <s v="Delivered"/>
    <s v="21&quot; LCD Display"/>
    <s v="Monitor"/>
    <s v="Dell"/>
    <n v="10500"/>
    <n v="13650"/>
    <n v="1"/>
    <n v="10500"/>
    <n v="13650"/>
    <s v="Advika Joshi"/>
    <n v="9750"/>
  </r>
  <r>
    <s v="142389"/>
    <s v="PB"/>
    <s v="Aniruddha Kekapure"/>
    <s v="07/09/2021"/>
    <s v="Shipped"/>
    <s v="90 TB HDD"/>
    <s v="HDD"/>
    <s v="Western Digital"/>
    <n v="6500"/>
    <n v="8450"/>
    <n v="1"/>
    <n v="6500"/>
    <n v="8450"/>
    <s v="Ajay Sharma"/>
    <n v="39000"/>
  </r>
  <r>
    <s v="142390"/>
    <s v="RJ"/>
    <s v="Aslam Raza"/>
    <s v="07/09/2021"/>
    <s v="Order"/>
    <s v="345 GB SSD"/>
    <s v="SSD"/>
    <s v="Samsung"/>
    <n v="4500"/>
    <n v="5850"/>
    <n v="2"/>
    <n v="9000"/>
    <n v="11700"/>
    <s v="Roshan Kumar"/>
    <n v="8450"/>
  </r>
  <r>
    <s v="142391"/>
    <s v="SK"/>
    <s v="Roshan Zameer"/>
    <s v="07/09/2021"/>
    <s v="Processing"/>
    <s v="Intel i3 11th gen."/>
    <s v="CPU"/>
    <s v="Intel"/>
    <n v="8500"/>
    <n v="11050"/>
    <n v="4"/>
    <n v="34000"/>
    <n v="44200"/>
    <s v="Aarvi Gupta"/>
    <n v="33150"/>
  </r>
  <r>
    <s v="142392"/>
    <s v="TN"/>
    <s v="Rakesh Kumar Sharma"/>
    <s v="07/09/2021"/>
    <s v="Delivered"/>
    <s v="4GB Graphic card"/>
    <s v="Graphic Card"/>
    <s v="Nvidia"/>
    <n v="12500"/>
    <n v="16250"/>
    <n v="4"/>
    <n v="50000"/>
    <n v="65000"/>
    <s v="Vijay Singh"/>
    <n v="18200"/>
  </r>
  <r>
    <s v="142393"/>
    <s v="TR"/>
    <s v="Shivanand Sahani"/>
    <s v="07/09/2021"/>
    <s v="Shipped"/>
    <s v="97 GB DDR4 RAM"/>
    <s v="NIC"/>
    <s v="Hynix"/>
    <n v="3500"/>
    <n v="4550"/>
    <n v="3"/>
    <n v="10500"/>
    <n v="13650"/>
    <s v="Aadil Khan"/>
    <n v="9100"/>
  </r>
  <r>
    <s v="142394"/>
    <s v="UK"/>
    <s v="Kunal Patra"/>
    <s v="07/09/2021"/>
    <s v="Order"/>
    <s v="BTX motherboard"/>
    <s v="Printer"/>
    <s v="Gigabyte"/>
    <n v="4500"/>
    <n v="5850"/>
    <n v="1"/>
    <n v="4500"/>
    <n v="5850"/>
    <s v="Advika Joshi"/>
    <n v="11700"/>
  </r>
  <r>
    <s v="142395"/>
    <s v="UP"/>
    <s v="Bijendra"/>
    <s v="07/09/2021"/>
    <s v="Processing"/>
    <s v="92 Fans Cabinet"/>
    <s v="Cabinet"/>
    <s v="Asus"/>
    <n v="2100"/>
    <n v="2730"/>
    <n v="3"/>
    <n v="6300"/>
    <n v="8190"/>
    <s v="Ajay Sharma"/>
    <n v="2990"/>
  </r>
  <r>
    <s v="142396"/>
    <s v="WB"/>
    <s v="Kranti Bheke"/>
    <s v="07/09/2021"/>
    <s v="Delivered"/>
    <s v="Wireless Keyboard"/>
    <s v="Keyboard"/>
    <s v="Dell"/>
    <n v="1150"/>
    <n v="1495"/>
    <n v="3"/>
    <n v="3450"/>
    <n v="4485"/>
    <s v="Roshan Kumar"/>
    <n v="3315"/>
  </r>
  <r>
    <s v="142397"/>
    <s v="TN"/>
    <s v="Jagdeep"/>
    <s v="07/09/2021"/>
    <s v="Shipped"/>
    <s v="USB Mouse"/>
    <s v="Mouse"/>
    <s v="Samsung"/>
    <n v="350"/>
    <n v="455"/>
    <n v="2"/>
    <n v="700"/>
    <n v="910"/>
    <s v="Aarvi Gupta"/>
    <n v="1690"/>
  </r>
  <r>
    <s v="142398"/>
    <s v="TR"/>
    <s v="Adhir Samal"/>
    <s v="07/09/2021"/>
    <s v="Order"/>
    <s v="19&quot; LED Display"/>
    <s v="Monitor"/>
    <s v="Dell"/>
    <n v="9500"/>
    <n v="12350"/>
    <n v="2"/>
    <n v="19000"/>
    <n v="24700"/>
    <s v="Vijay Singh"/>
    <n v="9750"/>
  </r>
  <r>
    <s v="142399"/>
    <s v="MH"/>
    <s v="Dannana Jhammi"/>
    <s v="07/09/2021"/>
    <s v="Processing"/>
    <s v="91 TB HDD"/>
    <s v="HDD"/>
    <s v="Western Digital"/>
    <n v="10000"/>
    <n v="13000"/>
    <n v="1"/>
    <n v="10000"/>
    <n v="13000"/>
    <s v="Aadil Khan"/>
    <n v="39000"/>
  </r>
  <r>
    <s v="142400"/>
    <s v="CH"/>
    <s v="Vipin Kumar"/>
    <s v="07/09/2021"/>
    <s v="Delivered"/>
    <s v="601 GB M.2"/>
    <s v="SSD"/>
    <s v="Samsung"/>
    <n v="6500"/>
    <n v="8450"/>
    <n v="3"/>
    <n v="19500"/>
    <n v="25350"/>
    <s v="Advika Joshi"/>
    <n v="8450"/>
  </r>
  <r>
    <s v="142401"/>
    <s v="DH"/>
    <s v="Ranjeet Kumar"/>
    <s v="07/09/2021"/>
    <s v="Shipped"/>
    <s v="RYZEN 3rd gen. 3589"/>
    <s v="CPU"/>
    <s v="Intel"/>
    <n v="8500"/>
    <n v="11050"/>
    <n v="4"/>
    <n v="34000"/>
    <n v="44200"/>
    <s v="Ajay Sharma"/>
    <n v="33150"/>
  </r>
  <r>
    <s v="142402"/>
    <s v="DD"/>
    <s v="Sajal Singhal"/>
    <s v="07/09/2021"/>
    <s v="Order"/>
    <s v="2GB Graphic Card"/>
    <s v="Graphic Card"/>
    <s v="Nvidia"/>
    <n v="7000"/>
    <n v="9100"/>
    <n v="4"/>
    <n v="28000"/>
    <n v="36400"/>
    <s v="Roshan Kumar"/>
    <n v="18200"/>
  </r>
  <r>
    <s v="142403"/>
    <s v="DL"/>
    <s v="Akhilesh Kumar"/>
    <s v="07/09/2021"/>
    <s v="Processing"/>
    <s v="105 GB DDR4 RAM"/>
    <s v="NIC"/>
    <s v="Hynix"/>
    <n v="6550"/>
    <n v="8515"/>
    <n v="1"/>
    <n v="6550"/>
    <n v="8515"/>
    <s v="Aarvi Gupta"/>
    <n v="9100"/>
  </r>
  <r>
    <s v="142404"/>
    <s v="LD"/>
    <s v="Suvankar Chakraborty"/>
    <s v="07/09/2021"/>
    <s v="Delivered"/>
    <s v="Standard ATX motherboard"/>
    <s v="Printer"/>
    <s v="Gigabyte"/>
    <n v="7650"/>
    <n v="9945"/>
    <n v="3"/>
    <n v="22950"/>
    <n v="29835"/>
    <s v="Vijay Singh"/>
    <n v="11700"/>
  </r>
  <r>
    <s v="142405"/>
    <s v="PY"/>
    <s v="Suvankar Adhikary"/>
    <s v="07/09/2021"/>
    <s v="Shipped"/>
    <s v="Compact with 1 Fan"/>
    <s v="Cabinet"/>
    <s v="Asus"/>
    <n v="1150"/>
    <n v="1495"/>
    <n v="4"/>
    <n v="4600"/>
    <n v="5980"/>
    <s v="Aadil Khan"/>
    <n v="2990"/>
  </r>
  <r>
    <s v="142406"/>
    <s v="AP"/>
    <s v="Rahul Kumar Prajapati"/>
    <s v="07/09/2021"/>
    <s v="Order"/>
    <s v="USB Backlight Keyboard"/>
    <s v="Keyboard"/>
    <s v="Dell"/>
    <n v="850"/>
    <n v="1105"/>
    <n v="1"/>
    <n v="850"/>
    <n v="1105"/>
    <s v="Advika Joshi"/>
    <n v="3315"/>
  </r>
  <r>
    <s v="142407"/>
    <s v="AR"/>
    <s v="Sagar Jeur"/>
    <s v="07/09/2021"/>
    <s v="Processing"/>
    <s v="Ergonomic Mouse"/>
    <s v="Mouse"/>
    <s v="Samsung"/>
    <n v="650"/>
    <n v="845"/>
    <n v="3"/>
    <n v="1950"/>
    <n v="2535"/>
    <s v="Ajay Sharma"/>
    <n v="1690"/>
  </r>
  <r>
    <s v="142408"/>
    <s v="AS"/>
    <s v="Rhushikesh Mane"/>
    <s v="07/09/2021"/>
    <s v="Delivered"/>
    <s v="15&quot; LCD Dsipaly"/>
    <s v="Monitor"/>
    <s v="Dell"/>
    <n v="7500"/>
    <n v="9750"/>
    <n v="3"/>
    <n v="22500"/>
    <n v="29250"/>
    <s v="Roshan Kumar"/>
    <n v="9750"/>
  </r>
  <r>
    <s v="142409"/>
    <s v="BR"/>
    <s v="Ashish Kumar"/>
    <s v="07/09/2021"/>
    <s v="Shipped"/>
    <s v="91 TB HDD"/>
    <s v="HDD"/>
    <s v="Seagate"/>
    <n v="10000"/>
    <n v="13000"/>
    <n v="2"/>
    <n v="20000"/>
    <n v="26000"/>
    <s v="Aarvi Gupta"/>
    <n v="39000"/>
  </r>
  <r>
    <s v="142410"/>
    <s v="CG"/>
    <s v="Javed Akhter"/>
    <s v="07/09/2021"/>
    <s v="Order"/>
    <s v="90 TB SSD"/>
    <s v="SSD"/>
    <s v="Samsung"/>
    <n v="10500"/>
    <n v="13650"/>
    <n v="3"/>
    <n v="31500"/>
    <n v="40950"/>
    <s v="Vijay Singh"/>
    <n v="8450"/>
  </r>
  <r>
    <s v="142411"/>
    <s v="GA"/>
    <s v="Haridas Balraj"/>
    <s v="07/09/2021"/>
    <s v="Processing"/>
    <s v="Intel i5 12th gen."/>
    <s v="CPU"/>
    <s v="Intel"/>
    <n v="8500"/>
    <n v="11050"/>
    <n v="1"/>
    <n v="8500"/>
    <n v="11050"/>
    <s v="Aadil Khan"/>
    <n v="33150"/>
  </r>
  <r>
    <s v="142412"/>
    <s v="GJ"/>
    <s v="Kundan Kumar"/>
    <s v="07/09/2021"/>
    <s v="Delivered"/>
    <s v="2GB Graphic Card"/>
    <s v="Graphic Card"/>
    <s v="Nvidia"/>
    <n v="7000"/>
    <n v="9100"/>
    <n v="4"/>
    <n v="28000"/>
    <n v="36400"/>
    <s v="Advika Joshi"/>
    <n v="18200"/>
  </r>
  <r>
    <s v="142413"/>
    <s v="HR"/>
    <s v="Atif Siddiqui"/>
    <s v="08/09/2021"/>
    <s v="Shipped"/>
    <s v="93 GB DDR4 Ram"/>
    <s v="NIC"/>
    <s v="Hynix"/>
    <n v="1680"/>
    <n v="2184"/>
    <n v="4"/>
    <n v="6720"/>
    <n v="8736"/>
    <s v="Ajay Sharma"/>
    <n v="9100"/>
  </r>
  <r>
    <s v="142414"/>
    <s v="HP"/>
    <s v="Aditya Agarwal"/>
    <s v="09/09/2021"/>
    <s v="Order"/>
    <s v="Micro ATX motherboard"/>
    <s v="Printer"/>
    <s v="MSI"/>
    <n v="6540"/>
    <n v="8502"/>
    <n v="4"/>
    <n v="26160"/>
    <n v="34008"/>
    <s v="Roshan Kumar"/>
    <n v="11700"/>
  </r>
  <r>
    <s v="142415"/>
    <s v="JK"/>
    <s v="Firdoush Jabee"/>
    <s v="10/09/2021"/>
    <s v="Processing"/>
    <s v="Gaming Box Cabinet"/>
    <s v="Cabinet"/>
    <s v="Asus"/>
    <n v="2680"/>
    <n v="3484"/>
    <n v="1"/>
    <n v="2680"/>
    <n v="3484"/>
    <s v="Aarvi Gupta"/>
    <n v="2990"/>
  </r>
  <r>
    <s v="142416"/>
    <s v="JH"/>
    <s v="Jay Prakash Kumar"/>
    <s v="10/09/2021"/>
    <s v="Delivered"/>
    <s v="17&quot; LCD Display"/>
    <s v="Monitor"/>
    <s v="Samsung"/>
    <n v="8250"/>
    <n v="10725"/>
    <n v="1"/>
    <n v="8250"/>
    <n v="10725"/>
    <s v="Vijay Singh"/>
    <n v="9750"/>
  </r>
  <r>
    <s v="142417"/>
    <s v="KA"/>
    <s v="Ashish Pandey"/>
    <s v="10/09/2021"/>
    <s v="Shipped"/>
    <s v="97 GB DDR4 RAM"/>
    <s v="RAM"/>
    <s v="Samsung"/>
    <n v="2650"/>
    <n v="3445"/>
    <n v="1"/>
    <n v="2650"/>
    <n v="3445"/>
    <s v="Aadil Khan"/>
    <n v="25545"/>
  </r>
  <r>
    <s v="142418"/>
    <s v="KL"/>
    <s v="Ajay Sharma"/>
    <s v="10/09/2021"/>
    <s v="Order"/>
    <s v="26&quot; LCD Display"/>
    <s v="Monitor"/>
    <s v="Acer"/>
    <n v="12550"/>
    <n v="16315"/>
    <n v="2"/>
    <n v="25100"/>
    <n v="32630"/>
    <s v="Advika Joshi"/>
    <n v="9750"/>
  </r>
  <r>
    <s v="142419"/>
    <s v="MP"/>
    <s v="Moinuddin Saifi"/>
    <s v="10/09/2021"/>
    <s v="Processing"/>
    <s v="I7 - intel 12th Generation"/>
    <s v="CPU"/>
    <s v="Intel"/>
    <n v="14500"/>
    <n v="18850"/>
    <n v="3"/>
    <n v="43500"/>
    <n v="56550"/>
    <s v="Ajay Sharma"/>
    <n v="33150"/>
  </r>
  <r>
    <s v="142420"/>
    <s v="MH"/>
    <s v="Ramkrishna Das Adhikary"/>
    <s v="10/09/2021"/>
    <s v="Delivered"/>
    <s v="USB Keyboard"/>
    <s v="Keyboard"/>
    <s v="Dell"/>
    <n v="800"/>
    <n v="1040"/>
    <n v="2"/>
    <n v="1600"/>
    <n v="2080"/>
    <s v="Roshan Kumar"/>
    <n v="3315"/>
  </r>
  <r>
    <s v="142421"/>
    <s v="MN"/>
    <s v="Ranjeet Mandal"/>
    <s v="10/09/2021"/>
    <s v="Shipped"/>
    <s v="Wireless Mouse"/>
    <s v="Mouse"/>
    <s v="Samsung"/>
    <n v="600"/>
    <n v="780"/>
    <n v="3"/>
    <n v="1800"/>
    <n v="2340"/>
    <s v="Aarvi Gupta"/>
    <n v="1690"/>
  </r>
  <r>
    <s v="142422"/>
    <s v="ML"/>
    <s v="Ashwini Adsare"/>
    <s v="10/09/2021"/>
    <s v="Order"/>
    <s v="21&quot; LCD Display"/>
    <s v="Monitor"/>
    <s v="Dell"/>
    <n v="10500"/>
    <n v="13650"/>
    <n v="3"/>
    <n v="31500"/>
    <n v="40950"/>
    <s v="Vijay Singh"/>
    <n v="9750"/>
  </r>
  <r>
    <s v="142423"/>
    <s v="MZ"/>
    <s v="Rajesh Variya"/>
    <s v="10/09/2021"/>
    <s v="Processing"/>
    <s v="91 TB HDD"/>
    <s v="HDD"/>
    <s v="Western Digital"/>
    <n v="6500"/>
    <n v="8450"/>
    <n v="4"/>
    <n v="26000"/>
    <n v="33800"/>
    <s v="Aadil Khan"/>
    <n v="39000"/>
  </r>
  <r>
    <s v="142424"/>
    <s v="NL"/>
    <s v="Amit Singh"/>
    <s v="10/09/2021"/>
    <s v="Delivered"/>
    <s v="346 GB SSD"/>
    <s v="SSD"/>
    <s v="Samsung"/>
    <n v="4500"/>
    <n v="5850"/>
    <n v="4"/>
    <n v="18000"/>
    <n v="23400"/>
    <s v="Advika Joshi"/>
    <n v="8450"/>
  </r>
  <r>
    <s v="142425"/>
    <s v="OR"/>
    <s v="Vinod Mehta"/>
    <s v="10/09/2021"/>
    <s v="Shipped"/>
    <s v="Intel i3 11th gen."/>
    <s v="CPU"/>
    <s v="Intel"/>
    <n v="8500"/>
    <n v="11050"/>
    <n v="1"/>
    <n v="8500"/>
    <n v="11050"/>
    <s v="Ajay Sharma"/>
    <n v="33150"/>
  </r>
  <r>
    <s v="142426"/>
    <s v="PB"/>
    <s v="Jignesh Mhatre"/>
    <s v="10/09/2021"/>
    <s v="Order"/>
    <s v="4GB Graphic card"/>
    <s v="Graphic Card"/>
    <s v="Nvidia"/>
    <n v="12500"/>
    <n v="16250"/>
    <n v="2"/>
    <n v="25000"/>
    <n v="32500"/>
    <s v="Roshan Kumar"/>
    <n v="18200"/>
  </r>
  <r>
    <s v="142427"/>
    <s v="RJ"/>
    <s v="Rahul Kashyap"/>
    <s v="10/09/2021"/>
    <s v="Processing"/>
    <s v="98 GB DDR4 RAM"/>
    <s v="RAM"/>
    <s v="Hynix"/>
    <n v="3500"/>
    <n v="4550"/>
    <n v="1"/>
    <n v="3500"/>
    <n v="4550"/>
    <s v="Aarvi Gupta"/>
    <n v="25545"/>
  </r>
  <r>
    <s v="142428"/>
    <s v="SK"/>
    <s v="Mohammed Abdul Kaleem"/>
    <s v="10/09/2021"/>
    <s v="Delivered"/>
    <s v="BTX motherboard"/>
    <s v="MotherBoard"/>
    <s v="Gigabyte"/>
    <n v="4500"/>
    <n v="5850"/>
    <n v="4"/>
    <n v="18000"/>
    <n v="23400"/>
    <s v="Vijay Singh"/>
    <n v="39780"/>
  </r>
  <r>
    <s v="142429"/>
    <s v="TN"/>
    <s v="Chandrakant Kasbe"/>
    <s v="10/09/2021"/>
    <s v="Shipped"/>
    <s v="93 Fans Cabinet"/>
    <s v="Cabinet"/>
    <s v="Asus"/>
    <n v="2100"/>
    <n v="2730"/>
    <n v="4"/>
    <n v="8400"/>
    <n v="10920"/>
    <s v="Aadil Khan"/>
    <n v="2990"/>
  </r>
  <r>
    <s v="142430"/>
    <s v="TR"/>
    <s v="Rohan Kale"/>
    <s v="10/09/2021"/>
    <s v="Order"/>
    <s v="Wireless Keyboard"/>
    <s v="Keyboard"/>
    <s v="Dell"/>
    <n v="1150"/>
    <n v="1495"/>
    <n v="1"/>
    <n v="1150"/>
    <n v="1495"/>
    <s v="Advika Joshi"/>
    <n v="3315"/>
  </r>
  <r>
    <s v="142431"/>
    <s v="UK"/>
    <s v="Aniruddha Kekapure"/>
    <s v="10/09/2021"/>
    <s v="Processing"/>
    <s v="USB Mouse"/>
    <s v="Mouse"/>
    <s v="Samsung"/>
    <n v="350"/>
    <n v="455"/>
    <n v="3"/>
    <n v="1050"/>
    <n v="1365"/>
    <s v="Ajay Sharma"/>
    <n v="1690"/>
  </r>
  <r>
    <s v="142432"/>
    <s v="UP"/>
    <s v="Aslam Raza"/>
    <s v="10/09/2021"/>
    <s v="Delivered"/>
    <s v="19&quot; LED Display"/>
    <s v="Monitor"/>
    <s v="Dell"/>
    <n v="9500"/>
    <n v="12350"/>
    <n v="3"/>
    <n v="28500"/>
    <n v="37050"/>
    <s v="Roshan Kumar"/>
    <n v="9750"/>
  </r>
  <r>
    <s v="142433"/>
    <s v="WB"/>
    <s v="Roshan Zameer"/>
    <s v="10/09/2021"/>
    <s v="Shipped"/>
    <s v="92 TB HDD"/>
    <s v="HDD"/>
    <s v="Western Digital"/>
    <n v="10000"/>
    <n v="13000"/>
    <n v="1"/>
    <n v="10000"/>
    <n v="13000"/>
    <s v="Aarvi Gupta"/>
    <n v="39000"/>
  </r>
  <r>
    <s v="142434"/>
    <s v="TN"/>
    <s v="Rakesh Kumar Sharma"/>
    <s v="10/09/2021"/>
    <s v="Order"/>
    <s v="602 GB M.2"/>
    <s v="SSD"/>
    <s v="Samsung"/>
    <n v="6500"/>
    <n v="8450"/>
    <n v="2"/>
    <n v="13000"/>
    <n v="16900"/>
    <s v="Vijay Singh"/>
    <n v="8450"/>
  </r>
  <r>
    <s v="142435"/>
    <s v="TR"/>
    <s v="Shivanand Sahani"/>
    <s v="10/09/2021"/>
    <s v="Processing"/>
    <s v="RYZEN 3rd gen. 3590"/>
    <s v="CPU"/>
    <s v="Intel"/>
    <n v="8500"/>
    <n v="11050"/>
    <n v="3"/>
    <n v="25500"/>
    <n v="33150"/>
    <s v="Aadil Khan"/>
    <n v="33150"/>
  </r>
  <r>
    <s v="142436"/>
    <s v="MH"/>
    <s v="Kunal Patra"/>
    <s v="10/09/2021"/>
    <s v="Delivered"/>
    <s v="2GB Graphic Card"/>
    <s v="Graphic Card"/>
    <s v="Nvidia"/>
    <n v="7000"/>
    <n v="9100"/>
    <n v="1"/>
    <n v="7000"/>
    <n v="9100"/>
    <s v="Advika Joshi"/>
    <n v="18200"/>
  </r>
  <r>
    <s v="142437"/>
    <s v="CH"/>
    <s v="Bijendra"/>
    <s v="10/09/2021"/>
    <s v="Shipped"/>
    <s v="106 GB DDR4 RAM"/>
    <s v="RAM"/>
    <s v="Hynix"/>
    <n v="6550"/>
    <n v="8515"/>
    <n v="3"/>
    <n v="19650"/>
    <n v="25545"/>
    <s v="Ajay Sharma"/>
    <n v="25545"/>
  </r>
  <r>
    <s v="142438"/>
    <s v="DH"/>
    <s v="Kranti Bheke"/>
    <s v="10/09/2021"/>
    <s v="Order"/>
    <s v="Standard ATX motherboard"/>
    <s v="MotherBoard"/>
    <s v="Gigabyte"/>
    <n v="7650"/>
    <n v="9945"/>
    <n v="3"/>
    <n v="22950"/>
    <n v="29835"/>
    <s v="Roshan Kumar"/>
    <n v="39780"/>
  </r>
  <r>
    <s v="142439"/>
    <s v="DD"/>
    <s v="Jagdeep"/>
    <s v="10/09/2021"/>
    <s v="Processing"/>
    <s v="Compact with 1 Fan"/>
    <s v="Cabinet"/>
    <s v="Asus"/>
    <n v="1150"/>
    <n v="1495"/>
    <n v="4"/>
    <n v="4600"/>
    <n v="5980"/>
    <s v="Aarvi Gupta"/>
    <n v="2990"/>
  </r>
  <r>
    <s v="142440"/>
    <s v="DL"/>
    <s v="Adhir Samal"/>
    <s v="10/09/2021"/>
    <s v="Delivered"/>
    <s v="USB Backlight Keyboard"/>
    <s v="Keyboard"/>
    <s v="Dell"/>
    <n v="850"/>
    <n v="1105"/>
    <n v="2"/>
    <n v="1700"/>
    <n v="2210"/>
    <s v="Vijay Singh"/>
    <n v="3315"/>
  </r>
  <r>
    <s v="142441"/>
    <s v="LD"/>
    <s v="Dannana Jhammi"/>
    <s v="10/09/2021"/>
    <s v="Shipped"/>
    <s v="Ergonomic Mouse"/>
    <s v="Mouse"/>
    <s v="Samsung"/>
    <n v="650"/>
    <n v="845"/>
    <n v="2"/>
    <n v="1300"/>
    <n v="1690"/>
    <s v="Aadil Khan"/>
    <n v="1690"/>
  </r>
  <r>
    <s v="142442"/>
    <s v="PY"/>
    <s v="Vipin Kumar"/>
    <s v="10/09/2021"/>
    <s v="Order"/>
    <s v="15&quot; LCD Dsipaly"/>
    <s v="Monitor"/>
    <s v="Dell"/>
    <n v="7500"/>
    <n v="9750"/>
    <n v="2"/>
    <n v="15000"/>
    <n v="19500"/>
    <s v="Advika Joshi"/>
    <n v="9750"/>
  </r>
  <r>
    <s v="142443"/>
    <s v="AP"/>
    <s v="Ranjeet Kumar"/>
    <s v="10/09/2021"/>
    <s v="Processing"/>
    <s v="92 TB HDD"/>
    <s v="HDD"/>
    <s v="Seagate"/>
    <n v="10000"/>
    <n v="13000"/>
    <n v="1"/>
    <n v="10000"/>
    <n v="13000"/>
    <s v="Ajay Sharma"/>
    <n v="39000"/>
  </r>
  <r>
    <s v="142444"/>
    <s v="AR"/>
    <s v="Sajal Singhal"/>
    <s v="10/09/2021"/>
    <s v="Delivered"/>
    <s v="91 TB SSD"/>
    <s v="SSD"/>
    <s v="Samsung"/>
    <n v="10500"/>
    <n v="13650"/>
    <n v="1"/>
    <n v="10500"/>
    <n v="13650"/>
    <s v="Roshan Kumar"/>
    <n v="8450"/>
  </r>
  <r>
    <s v="142445"/>
    <s v="AS"/>
    <s v="Akhilesh Kumar"/>
    <s v="10/09/2021"/>
    <s v="Shipped"/>
    <s v="Intel i5 12th gen."/>
    <s v="CPU"/>
    <s v="Intel"/>
    <n v="8500"/>
    <n v="11050"/>
    <n v="2"/>
    <n v="17000"/>
    <n v="22100"/>
    <s v="Aarvi Gupta"/>
    <n v="33150"/>
  </r>
  <r>
    <s v="142446"/>
    <s v="BR"/>
    <s v="Suvankar Chakraborty"/>
    <s v="10/09/2021"/>
    <s v="Order"/>
    <s v="2GB Graphic Card"/>
    <s v="Graphic Card"/>
    <s v="Nvidia"/>
    <n v="7000"/>
    <n v="9100"/>
    <n v="4"/>
    <n v="28000"/>
    <n v="36400"/>
    <s v="Vijay Singh"/>
    <n v="18200"/>
  </r>
  <r>
    <s v="142447"/>
    <s v="CG"/>
    <s v="Suvankar Adhikary"/>
    <s v="10/09/2021"/>
    <s v="Processing"/>
    <s v="94 GB DDR4 Ram"/>
    <s v="RAM"/>
    <s v="Hynix"/>
    <n v="1680"/>
    <n v="2184"/>
    <n v="4"/>
    <n v="6720"/>
    <n v="8736"/>
    <s v="Aadil Khan"/>
    <n v="25545"/>
  </r>
  <r>
    <s v="142448"/>
    <s v="GA"/>
    <s v="Rahul Kumar Prajapati"/>
    <s v="10/09/2021"/>
    <s v="Delivered"/>
    <s v="Micro ATX motherboard"/>
    <s v="MotherBoard"/>
    <s v="MSI"/>
    <n v="6540"/>
    <n v="8502"/>
    <n v="3"/>
    <n v="19620"/>
    <n v="25506"/>
    <s v="Advika Joshi"/>
    <n v="39780"/>
  </r>
  <r>
    <s v="142449"/>
    <s v="GJ"/>
    <s v="Sagar Jeur"/>
    <s v="10/09/2021"/>
    <s v="Shipped"/>
    <s v="Gaming Box Cabinet"/>
    <s v="Cabinet"/>
    <s v="Asus"/>
    <n v="2680"/>
    <n v="3484"/>
    <n v="4"/>
    <n v="10720"/>
    <n v="13936"/>
    <s v="Ajay Sharma"/>
    <n v="2990"/>
  </r>
  <r>
    <s v="142450"/>
    <s v="HR"/>
    <s v="Rhushikesh Mane"/>
    <s v="10/09/2021"/>
    <s v="Order"/>
    <s v="17&quot; LCD Display"/>
    <s v="Monitor"/>
    <s v="Samsung"/>
    <n v="8250"/>
    <n v="10725"/>
    <n v="2"/>
    <n v="16500"/>
    <n v="21450"/>
    <s v="Roshan Kumar"/>
    <n v="9750"/>
  </r>
  <r>
    <s v="142451"/>
    <s v="HP"/>
    <s v="Ashish Kumar"/>
    <s v="10/09/2021"/>
    <s v="Processing"/>
    <s v="98 GB DDR4 RAM"/>
    <s v="RAM"/>
    <s v="Samsung"/>
    <n v="2650"/>
    <n v="3445"/>
    <n v="3"/>
    <n v="7950"/>
    <n v="10335"/>
    <s v="Aarvi Gupta"/>
    <n v="25545"/>
  </r>
  <r>
    <s v="142452"/>
    <s v="JK"/>
    <s v="Javed Akhter"/>
    <s v="10/09/2021"/>
    <s v="Delivered"/>
    <s v="26&quot; LCD Display"/>
    <s v="Monitor"/>
    <s v="Acer"/>
    <n v="12550"/>
    <n v="16315"/>
    <n v="4"/>
    <n v="50200"/>
    <n v="65260"/>
    <s v="Vijay Singh"/>
    <n v="9750"/>
  </r>
  <r>
    <s v="142453"/>
    <s v="JH"/>
    <s v="Haridas Balraj"/>
    <s v="10/09/2021"/>
    <s v="Shipped"/>
    <s v="I7 - intel 12th Generation"/>
    <s v="CPU"/>
    <s v="Intel"/>
    <n v="14500"/>
    <n v="18850"/>
    <n v="1"/>
    <n v="14500"/>
    <n v="18850"/>
    <s v="Aadil Khan"/>
    <n v="33150"/>
  </r>
  <r>
    <s v="142454"/>
    <s v="KA"/>
    <s v="Kundan Kumar"/>
    <s v="10/09/2021"/>
    <s v="Order"/>
    <s v="USB Keyboard"/>
    <s v="Keyboard"/>
    <s v="Dell"/>
    <n v="800"/>
    <n v="1040"/>
    <n v="3"/>
    <n v="2400"/>
    <n v="3120"/>
    <s v="Advika Joshi"/>
    <n v="3315"/>
  </r>
  <r>
    <s v="142455"/>
    <s v="KL"/>
    <s v="Atif Siddiqui"/>
    <s v="11/09/2021"/>
    <s v="Processing"/>
    <s v="Wireless Mouse"/>
    <s v="Mouse"/>
    <s v="Samsung"/>
    <n v="600"/>
    <n v="780"/>
    <n v="2"/>
    <n v="1200"/>
    <n v="1560"/>
    <s v="Ajay Sharma"/>
    <n v="1690"/>
  </r>
  <r>
    <s v="142456"/>
    <s v="MP"/>
    <s v="Aditya Agarwal"/>
    <s v="12/09/2021"/>
    <s v="Delivered"/>
    <s v="21&quot; LCD Display"/>
    <s v="Monitor"/>
    <s v="Dell"/>
    <n v="10500"/>
    <n v="13650"/>
    <n v="2"/>
    <n v="21000"/>
    <n v="27300"/>
    <s v="Roshan Kumar"/>
    <n v="9750"/>
  </r>
  <r>
    <s v="142457"/>
    <s v="MH"/>
    <s v="Firdoush Jabee"/>
    <s v="13/09/2021"/>
    <s v="Shipped"/>
    <s v="92 TB HDD"/>
    <s v="HDD"/>
    <s v="Western Digital"/>
    <n v="6500"/>
    <n v="8450"/>
    <n v="2"/>
    <n v="13000"/>
    <n v="16900"/>
    <s v="Aarvi Gupta"/>
    <n v="39000"/>
  </r>
  <r>
    <s v="142458"/>
    <s v="MN"/>
    <s v="Jay Prakash Kumar"/>
    <s v="14/09/2021"/>
    <s v="Order"/>
    <s v="347 GB SSD"/>
    <s v="SSD"/>
    <s v="Samsung"/>
    <n v="4500"/>
    <n v="5850"/>
    <n v="1"/>
    <n v="4500"/>
    <n v="5850"/>
    <s v="Vijay Singh"/>
    <n v="8450"/>
  </r>
  <r>
    <s v="142459"/>
    <s v="ML"/>
    <s v="Ashish Pandey"/>
    <s v="15/09/2021"/>
    <s v="Processing"/>
    <s v="Intel i3 11th gen."/>
    <s v="CPU"/>
    <s v="Intel"/>
    <n v="8500"/>
    <n v="11050"/>
    <n v="2"/>
    <n v="17000"/>
    <n v="22100"/>
    <s v="Aadil Khan"/>
    <n v="33150"/>
  </r>
  <r>
    <s v="142460"/>
    <s v="MZ"/>
    <s v="Ajay Sharma"/>
    <s v="16/09/2021"/>
    <s v="Delivered"/>
    <s v="4GB Graphic card"/>
    <s v="Graphic Card"/>
    <s v="Nvidia"/>
    <n v="12500"/>
    <n v="16250"/>
    <n v="4"/>
    <n v="50000"/>
    <n v="65000"/>
    <s v="Advika Joshi"/>
    <n v="18200"/>
  </r>
  <r>
    <s v="142461"/>
    <s v="NL"/>
    <s v="Moinuddin Saifi"/>
    <s v="17/09/2021"/>
    <s v="Shipped"/>
    <s v="99 GB DDR4 RAM"/>
    <s v="Computer Case"/>
    <s v="Hynix"/>
    <n v="3500"/>
    <n v="4550"/>
    <n v="4"/>
    <n v="14000"/>
    <n v="18200"/>
    <s v="Ajay Sharma"/>
    <n v="13650"/>
  </r>
  <r>
    <s v="142462"/>
    <s v="OR"/>
    <s v="Ramkrishna Das Adhikary"/>
    <s v="18/09/2021"/>
    <s v="Order"/>
    <s v="BTX motherboard"/>
    <s v="Mouse"/>
    <s v="Gigabyte"/>
    <n v="4500"/>
    <n v="5850"/>
    <n v="2"/>
    <n v="9000"/>
    <n v="11700"/>
    <s v="Roshan Kumar"/>
    <n v="1690"/>
  </r>
  <r>
    <s v="142463"/>
    <s v="PB"/>
    <s v="Ranjeet Mandal"/>
    <s v="19/09/2021"/>
    <s v="Processing"/>
    <s v="94 Fans Cabinet"/>
    <s v="Cabinet"/>
    <s v="Asus"/>
    <n v="2100"/>
    <n v="2730"/>
    <n v="2"/>
    <n v="4200"/>
    <n v="5460"/>
    <s v="Aarvi Gupta"/>
    <n v="2990"/>
  </r>
  <r>
    <s v="142464"/>
    <s v="RJ"/>
    <s v="Ashwini Adsare"/>
    <s v="20/09/2021"/>
    <s v="Delivered"/>
    <s v="Wireless Keyboard"/>
    <s v="Keyboard"/>
    <s v="Dell"/>
    <n v="1150"/>
    <n v="1495"/>
    <n v="1"/>
    <n v="1150"/>
    <n v="1495"/>
    <s v="Vijay Singh"/>
    <n v="3315"/>
  </r>
  <r>
    <s v="142465"/>
    <s v="SK"/>
    <s v="Rajesh Variya"/>
    <s v="21/09/2021"/>
    <s v="Shipped"/>
    <s v="USB Mouse"/>
    <s v="Mouse"/>
    <s v="Samsung"/>
    <n v="350"/>
    <n v="455"/>
    <n v="4"/>
    <n v="1400"/>
    <n v="1820"/>
    <s v="Aadil Khan"/>
    <n v="1690"/>
  </r>
  <r>
    <s v="142466"/>
    <s v="TN"/>
    <s v="Amit Singh"/>
    <s v="22/09/2021"/>
    <s v="Order"/>
    <s v="19&quot; LED Display"/>
    <s v="Monitor"/>
    <s v="Dell"/>
    <n v="9500"/>
    <n v="12350"/>
    <n v="2"/>
    <n v="19000"/>
    <n v="24700"/>
    <s v="Advika Joshi"/>
    <n v="9750"/>
  </r>
  <r>
    <s v="142467"/>
    <s v="TR"/>
    <s v="Vinod Mehta"/>
    <s v="23/09/2021"/>
    <s v="Processing"/>
    <s v="93 TB HDD"/>
    <s v="HDD"/>
    <s v="Western Digital"/>
    <n v="10000"/>
    <n v="13000"/>
    <n v="4"/>
    <n v="40000"/>
    <n v="52000"/>
    <s v="Ajay Sharma"/>
    <n v="39000"/>
  </r>
  <r>
    <s v="142468"/>
    <s v="UK"/>
    <s v="Jignesh Mhatre"/>
    <s v="24/09/2021"/>
    <s v="Delivered"/>
    <s v="603 GB M.2"/>
    <s v="SSD"/>
    <s v="Samsung"/>
    <n v="6500"/>
    <n v="8450"/>
    <n v="4"/>
    <n v="26000"/>
    <n v="33800"/>
    <s v="Roshan Kumar"/>
    <n v="8450"/>
  </r>
  <r>
    <s v="142469"/>
    <s v="UP"/>
    <s v="Rahul Kashyap"/>
    <s v="25/09/2021"/>
    <s v="Shipped"/>
    <s v="RYZEN 3rd gen. 3591"/>
    <s v="CPU"/>
    <s v="Intel"/>
    <n v="8500"/>
    <n v="11050"/>
    <n v="2"/>
    <n v="17000"/>
    <n v="22100"/>
    <s v="Aarvi Gupta"/>
    <n v="33150"/>
  </r>
  <r>
    <s v="142470"/>
    <s v="WB"/>
    <s v="Mohammed Abdul Kaleem"/>
    <s v="26/09/2021"/>
    <s v="Order"/>
    <s v="2GB Graphic Card"/>
    <s v="Graphic Card"/>
    <s v="Nvidia"/>
    <n v="7000"/>
    <n v="9100"/>
    <n v="2"/>
    <n v="14000"/>
    <n v="18200"/>
    <s v="Vijay Singh"/>
    <n v="18200"/>
  </r>
  <r>
    <s v="142471"/>
    <s v="TN"/>
    <s v="Chandrakant Kasbe"/>
    <s v="27/09/2021"/>
    <s v="Processing"/>
    <s v="107 GB DDR4 RAM"/>
    <s v="Computer Case"/>
    <s v="Hynix"/>
    <n v="6550"/>
    <n v="8515"/>
    <n v="1"/>
    <n v="6550"/>
    <n v="8515"/>
    <s v="Aadil Khan"/>
    <n v="13650"/>
  </r>
  <r>
    <s v="142472"/>
    <s v="TR"/>
    <s v="Rohan Kale"/>
    <s v="28/09/2021"/>
    <s v="Delivered"/>
    <s v="Standard ATX motherboard"/>
    <s v="Mouse"/>
    <s v="Gigabyte"/>
    <n v="7650"/>
    <n v="9945"/>
    <n v="3"/>
    <n v="22950"/>
    <n v="29835"/>
    <s v="Advika Joshi"/>
    <n v="1690"/>
  </r>
  <r>
    <s v="142473"/>
    <s v="MH"/>
    <s v="Aniruddha Kekapure"/>
    <s v="29/09/2021"/>
    <s v="Shipped"/>
    <s v="Compact with 1 Fan"/>
    <s v="Cabinet"/>
    <s v="Asus"/>
    <n v="1150"/>
    <n v="1495"/>
    <n v="1"/>
    <n v="1150"/>
    <n v="1495"/>
    <s v="Ajay Sharma"/>
    <n v="2990"/>
  </r>
  <r>
    <s v="142474"/>
    <s v="CH"/>
    <s v="Aslam Raza"/>
    <s v="30/09/2021"/>
    <s v="Order"/>
    <s v="USB Backlight Keyboard"/>
    <s v="Keyboard"/>
    <s v="Dell"/>
    <n v="850"/>
    <n v="1105"/>
    <n v="3"/>
    <n v="2550"/>
    <n v="3315"/>
    <s v="Roshan Kumar"/>
    <n v="3315"/>
  </r>
  <r>
    <s v="142475"/>
    <s v="DH"/>
    <s v="Roshan Zameer"/>
    <s v="01/10/2021"/>
    <s v="Processing"/>
    <s v="Ergonomic Mouse"/>
    <s v="Mouse"/>
    <s v="Samsung"/>
    <n v="650"/>
    <n v="845"/>
    <n v="2"/>
    <n v="1300"/>
    <n v="1690"/>
    <s v="Aarvi Gupta"/>
    <n v="1690"/>
  </r>
  <r>
    <s v="142476"/>
    <s v="DD"/>
    <s v="Rakesh Kumar Sharma"/>
    <s v="02/10/2021"/>
    <s v="Delivered"/>
    <s v="15&quot; LCD Dsipaly"/>
    <s v="Monitor"/>
    <s v="Dell"/>
    <n v="7500"/>
    <n v="9750"/>
    <n v="3"/>
    <n v="22500"/>
    <n v="29250"/>
    <s v="Vijay Singh"/>
    <n v="9750"/>
  </r>
  <r>
    <s v="142477"/>
    <s v="DL"/>
    <s v="Shivanand Sahani"/>
    <s v="03/10/2021"/>
    <s v="Shipped"/>
    <s v="93 TB HDD"/>
    <s v="HDD"/>
    <s v="Seagate"/>
    <n v="10000"/>
    <n v="13000"/>
    <n v="3"/>
    <n v="30000"/>
    <n v="39000"/>
    <s v="Aadil Khan"/>
    <n v="39000"/>
  </r>
  <r>
    <s v="142478"/>
    <s v="LD"/>
    <s v="Kunal Patra"/>
    <s v="04/10/2021"/>
    <s v="Order"/>
    <s v="92 TB SSD"/>
    <s v="SSD"/>
    <s v="Samsung"/>
    <n v="10500"/>
    <n v="13650"/>
    <n v="4"/>
    <n v="42000"/>
    <n v="54600"/>
    <s v="Advika Joshi"/>
    <n v="8450"/>
  </r>
  <r>
    <s v="142479"/>
    <s v="PY"/>
    <s v="Bijendra"/>
    <s v="05/10/2021"/>
    <s v="Processing"/>
    <s v="Intel i5 12th gen."/>
    <s v="CPU"/>
    <s v="Intel"/>
    <n v="8500"/>
    <n v="11050"/>
    <n v="4"/>
    <n v="34000"/>
    <n v="44200"/>
    <s v="Ajay Sharma"/>
    <n v="33150"/>
  </r>
  <r>
    <s v="142480"/>
    <s v="AP"/>
    <s v="Kranti Bheke"/>
    <s v="06/10/2021"/>
    <s v="Delivered"/>
    <s v="2GB Graphic Card"/>
    <s v="Graphic Card"/>
    <s v="Nvidia"/>
    <n v="7000"/>
    <n v="9100"/>
    <n v="3"/>
    <n v="21000"/>
    <n v="27300"/>
    <s v="Roshan Kumar"/>
    <n v="18200"/>
  </r>
  <r>
    <s v="142481"/>
    <s v="AR"/>
    <s v="Jagdeep"/>
    <s v="07/10/2021"/>
    <s v="Shipped"/>
    <s v="95 GB DDR4 Ram"/>
    <s v="Computer Case"/>
    <s v="Hynix"/>
    <n v="1680"/>
    <n v="2184"/>
    <n v="1"/>
    <n v="1680"/>
    <n v="2184"/>
    <s v="Aarvi Gupta"/>
    <n v="13650"/>
  </r>
  <r>
    <s v="142482"/>
    <s v="AS"/>
    <s v="Adhir Samal"/>
    <s v="08/10/2021"/>
    <s v="Order"/>
    <s v="Micro ATX motherboard"/>
    <s v="Mouse"/>
    <s v="MSI"/>
    <n v="6540"/>
    <n v="8502"/>
    <n v="3"/>
    <n v="19620"/>
    <n v="25506"/>
    <s v="Vijay Singh"/>
    <n v="1690"/>
  </r>
  <r>
    <s v="142483"/>
    <s v="BR"/>
    <s v="Dannana Jhammi"/>
    <s v="09/10/2021"/>
    <s v="Processing"/>
    <s v="Gaming Box Cabinet"/>
    <s v="Cabinet"/>
    <s v="Asus"/>
    <n v="2680"/>
    <n v="3484"/>
    <n v="1"/>
    <n v="2680"/>
    <n v="3484"/>
    <s v="Aadil Khan"/>
    <n v="2990"/>
  </r>
  <r>
    <s v="142484"/>
    <s v="CG"/>
    <s v="Vipin Kumar"/>
    <s v="10/10/2021"/>
    <s v="Delivered"/>
    <s v="17&quot; LCD Display"/>
    <s v="Monitor"/>
    <s v="Samsung"/>
    <n v="8250"/>
    <n v="10725"/>
    <n v="2"/>
    <n v="16500"/>
    <n v="21450"/>
    <s v="Advika Joshi"/>
    <n v="9750"/>
  </r>
  <r>
    <s v="142485"/>
    <s v="GA"/>
    <s v="Ranjeet Kumar"/>
    <s v="11/10/2021"/>
    <s v="Shipped"/>
    <s v="99 GB DDR4 RAM"/>
    <s v="RAM"/>
    <s v="Samsung"/>
    <n v="2650"/>
    <n v="3445"/>
    <n v="2"/>
    <n v="5300"/>
    <n v="6890"/>
    <s v="Ajay Sharma"/>
    <n v="25545"/>
  </r>
  <r>
    <s v="142486"/>
    <s v="GJ"/>
    <s v="Sajal Singhal"/>
    <s v="12/10/2021"/>
    <s v="Order"/>
    <s v="26&quot; LCD Display"/>
    <s v="Monitor"/>
    <s v="Acer"/>
    <n v="12550"/>
    <n v="16315"/>
    <n v="2"/>
    <n v="25100"/>
    <n v="32630"/>
    <s v="Roshan Kumar"/>
    <n v="9750"/>
  </r>
  <r>
    <s v="142487"/>
    <s v="HR"/>
    <s v="Akhilesh Kumar"/>
    <s v="13/10/2021"/>
    <s v="Processing"/>
    <s v="I7 - intel 12th Generation"/>
    <s v="CPU"/>
    <s v="Intel"/>
    <n v="14500"/>
    <n v="18850"/>
    <n v="1"/>
    <n v="14500"/>
    <n v="18850"/>
    <s v="Aarvi Gupta"/>
    <n v="33150"/>
  </r>
  <r>
    <s v="142488"/>
    <s v="HP"/>
    <s v="Suvankar Chakraborty"/>
    <s v="14/10/2021"/>
    <s v="Delivered"/>
    <s v="USB Keyboard"/>
    <s v="Keyboard"/>
    <s v="Dell"/>
    <n v="800"/>
    <n v="1040"/>
    <n v="1"/>
    <n v="800"/>
    <n v="1040"/>
    <s v="Vijay Singh"/>
    <n v="3315"/>
  </r>
  <r>
    <s v="142489"/>
    <s v="JK"/>
    <s v="Suvankar Adhikary"/>
    <s v="15/10/2021"/>
    <s v="Shipped"/>
    <s v="Wireless Mouse"/>
    <s v="Mouse"/>
    <s v="Samsung"/>
    <n v="600"/>
    <n v="780"/>
    <n v="2"/>
    <n v="1200"/>
    <n v="1560"/>
    <s v="Aadil Khan"/>
    <n v="1690"/>
  </r>
  <r>
    <s v="142490"/>
    <s v="JH"/>
    <s v="Rahul Kumar Prajapati"/>
    <s v="16/10/2021"/>
    <s v="Order"/>
    <s v="21&quot; LCD Display"/>
    <s v="Monitor"/>
    <s v="Dell"/>
    <n v="10500"/>
    <n v="13650"/>
    <n v="4"/>
    <n v="42000"/>
    <n v="54600"/>
    <s v="Advika Joshi"/>
    <n v="9750"/>
  </r>
  <r>
    <s v="142491"/>
    <s v="KA"/>
    <s v="Sagar Jeur"/>
    <s v="17/10/2021"/>
    <s v="Processing"/>
    <s v="93 TB HDD"/>
    <s v="HDD"/>
    <s v="Western Digital"/>
    <n v="6500"/>
    <n v="8450"/>
    <n v="3"/>
    <n v="19500"/>
    <n v="25350"/>
    <s v="Ajay Sharma"/>
    <n v="39000"/>
  </r>
  <r>
    <s v="142492"/>
    <s v="KL"/>
    <s v="Rhushikesh Mane"/>
    <s v="18/10/2021"/>
    <s v="Delivered"/>
    <s v="348 GB SSD"/>
    <s v="SSD"/>
    <s v="Samsung"/>
    <n v="4500"/>
    <n v="5850"/>
    <n v="2"/>
    <n v="9000"/>
    <n v="11700"/>
    <s v="Roshan Kumar"/>
    <n v="8450"/>
  </r>
  <r>
    <s v="142493"/>
    <s v="MP"/>
    <s v="Ashish Kumar"/>
    <s v="19/10/2021"/>
    <s v="Shipped"/>
    <s v="Intel i3 11th gen."/>
    <s v="CPU"/>
    <s v="Intel"/>
    <n v="8500"/>
    <n v="11050"/>
    <n v="3"/>
    <n v="25500"/>
    <n v="33150"/>
    <s v="Aarvi Gupta"/>
    <n v="33150"/>
  </r>
  <r>
    <s v="142494"/>
    <s v="MH"/>
    <s v="Javed Akhter"/>
    <s v="20/10/2021"/>
    <s v="Order"/>
    <s v="4GB Graphic card"/>
    <s v="Graphic Card"/>
    <s v="Nvidia"/>
    <n v="12500"/>
    <n v="16250"/>
    <n v="2"/>
    <n v="25000"/>
    <n v="32500"/>
    <s v="Vijay Singh"/>
    <n v="18200"/>
  </r>
  <r>
    <s v="142495"/>
    <s v="MN"/>
    <s v="Haridas Balraj"/>
    <s v="21/10/2021"/>
    <s v="Processing"/>
    <s v="100 GB DDR4 RAM"/>
    <s v="NIC"/>
    <s v="Hynix"/>
    <n v="3500"/>
    <n v="4550"/>
    <n v="1"/>
    <n v="3500"/>
    <n v="4550"/>
    <s v="Aadil Khan"/>
    <n v="9100"/>
  </r>
  <r>
    <s v="142496"/>
    <s v="ML"/>
    <s v="Kundan Kumar"/>
    <s v="22/10/2021"/>
    <s v="Delivered"/>
    <s v="BTX motherboard"/>
    <s v="Printer"/>
    <s v="Gigabyte"/>
    <n v="4500"/>
    <n v="5850"/>
    <n v="1"/>
    <n v="4500"/>
    <n v="5850"/>
    <s v="Advika Joshi"/>
    <n v="11700"/>
  </r>
  <r>
    <s v="142497"/>
    <s v="MZ"/>
    <s v="Atif Siddiqui"/>
    <s v="23/10/2021"/>
    <s v="Shipped"/>
    <s v="95 Fans Cabinet"/>
    <s v="Cabinet"/>
    <s v="Asus"/>
    <n v="2100"/>
    <n v="2730"/>
    <n v="4"/>
    <n v="8400"/>
    <n v="10920"/>
    <s v="Ajay Sharma"/>
    <n v="2990"/>
  </r>
  <r>
    <s v="142498"/>
    <s v="NL"/>
    <s v="Aditya Agarwal"/>
    <s v="24/10/2021"/>
    <s v="Order"/>
    <s v="Wireless Keyboard"/>
    <s v="Keyboard"/>
    <s v="Dell"/>
    <n v="1150"/>
    <n v="1495"/>
    <n v="3"/>
    <n v="3450"/>
    <n v="4485"/>
    <s v="Roshan Kumar"/>
    <n v="3315"/>
  </r>
  <r>
    <s v="142499"/>
    <s v="OR"/>
    <s v="Firdoush Jabee"/>
    <s v="25/10/2021"/>
    <s v="Processing"/>
    <s v="USB Mouse"/>
    <s v="Mouse"/>
    <s v="Samsung"/>
    <n v="350"/>
    <n v="455"/>
    <n v="1"/>
    <n v="350"/>
    <n v="455"/>
    <s v="Aarvi Gupta"/>
    <n v="1690"/>
  </r>
  <r>
    <s v="142500"/>
    <s v="PB"/>
    <s v="Jay Prakash Kumar"/>
    <s v="25/10/2021"/>
    <s v="Delivered"/>
    <s v="19&quot; LED Display"/>
    <s v="Monitor"/>
    <s v="Dell"/>
    <n v="9500"/>
    <n v="12350"/>
    <n v="3"/>
    <n v="28500"/>
    <n v="37050"/>
    <s v="Vijay Singh"/>
    <n v="9750"/>
  </r>
  <r>
    <s v="142501"/>
    <s v="RJ"/>
    <s v="Ashish Pandey"/>
    <s v="25/10/2021"/>
    <s v="Shipped"/>
    <s v="94 TB HDD"/>
    <s v="HDD"/>
    <s v="Western Digital"/>
    <n v="10000"/>
    <n v="13000"/>
    <n v="4"/>
    <n v="40000"/>
    <n v="52000"/>
    <s v="Aadil Khan"/>
    <n v="39000"/>
  </r>
  <r>
    <s v="142502"/>
    <s v="SK"/>
    <s v="Ajay Sharma"/>
    <s v="25/10/2021"/>
    <s v="Order"/>
    <s v="604 GB M.2"/>
    <s v="SSD"/>
    <s v="Samsung"/>
    <n v="6500"/>
    <n v="8450"/>
    <n v="1"/>
    <n v="6500"/>
    <n v="8450"/>
    <s v="Advika Joshi"/>
    <n v="8450"/>
  </r>
  <r>
    <s v="142503"/>
    <s v="TN"/>
    <s v="Moinuddin Saifi"/>
    <s v="25/10/2021"/>
    <s v="Processing"/>
    <s v="RYZEN 3rd gen. 3592"/>
    <s v="CPU"/>
    <s v="Intel"/>
    <n v="8500"/>
    <n v="11050"/>
    <n v="1"/>
    <n v="8500"/>
    <n v="11050"/>
    <s v="Ajay Sharma"/>
    <n v="33150"/>
  </r>
  <r>
    <s v="142504"/>
    <s v="TR"/>
    <s v="Ramkrishna Das Adhikary"/>
    <s v="25/10/2021"/>
    <s v="Delivered"/>
    <s v="2GB Graphic Card"/>
    <s v="Graphic Card"/>
    <s v="Nvidia"/>
    <n v="7000"/>
    <n v="9100"/>
    <n v="3"/>
    <n v="21000"/>
    <n v="27300"/>
    <s v="Roshan Kumar"/>
    <n v="18200"/>
  </r>
  <r>
    <s v="142505"/>
    <s v="UK"/>
    <s v="Ranjeet Mandal"/>
    <s v="25/10/2021"/>
    <s v="Shipped"/>
    <s v="108 GB DDR4 RAM"/>
    <s v="NIC"/>
    <s v="Hynix"/>
    <n v="6550"/>
    <n v="8515"/>
    <n v="2"/>
    <n v="13100"/>
    <n v="17030"/>
    <s v="Aarvi Gupta"/>
    <n v="9100"/>
  </r>
  <r>
    <s v="142506"/>
    <s v="UP"/>
    <s v="Ashwini Adsare"/>
    <s v="25/10/2021"/>
    <s v="Order"/>
    <s v="Standard ATX motherboard"/>
    <s v="Printer"/>
    <s v="Gigabyte"/>
    <n v="7650"/>
    <n v="9945"/>
    <n v="3"/>
    <n v="22950"/>
    <n v="29835"/>
    <s v="Vijay Singh"/>
    <n v="11700"/>
  </r>
  <r>
    <s v="142507"/>
    <s v="WB"/>
    <s v="Rajesh Variya"/>
    <s v="26/10/2021"/>
    <s v="Processing"/>
    <s v="Compact with 1 Fan"/>
    <s v="Cabinet"/>
    <s v="Asus"/>
    <n v="1150"/>
    <n v="1495"/>
    <n v="3"/>
    <n v="3450"/>
    <n v="4485"/>
    <s v="Aadil Khan"/>
    <n v="2990"/>
  </r>
  <r>
    <s v="142508"/>
    <s v="TN"/>
    <s v="Amit Singh"/>
    <s v="27/10/2021"/>
    <s v="Delivered"/>
    <s v="USB Backlight Keyboard"/>
    <s v="Keyboard"/>
    <s v="Dell"/>
    <n v="850"/>
    <n v="1105"/>
    <n v="2"/>
    <n v="1700"/>
    <n v="2210"/>
    <s v="Advika Joshi"/>
    <n v="3315"/>
  </r>
  <r>
    <s v="142509"/>
    <s v="TR"/>
    <s v="Vinod Mehta"/>
    <s v="28/10/2021"/>
    <s v="Shipped"/>
    <s v="Ergonomic Mouse"/>
    <s v="Mouse"/>
    <s v="Samsung"/>
    <n v="650"/>
    <n v="845"/>
    <n v="1"/>
    <n v="650"/>
    <n v="845"/>
    <s v="Ajay Sharma"/>
    <n v="1690"/>
  </r>
  <r>
    <s v="142510"/>
    <s v="MH"/>
    <s v="Jignesh Mhatre"/>
    <s v="29/10/2021"/>
    <s v="Order"/>
    <s v="15&quot; LCD Dsipaly"/>
    <s v="Monitor"/>
    <s v="Dell"/>
    <n v="7500"/>
    <n v="9750"/>
    <n v="2"/>
    <n v="15000"/>
    <n v="19500"/>
    <s v="Roshan Kumar"/>
    <n v="9750"/>
  </r>
  <r>
    <s v="142511"/>
    <s v="CH"/>
    <s v="Rahul Kashyap"/>
    <s v="30/10/2021"/>
    <s v="Processing"/>
    <s v="94 TB HDD"/>
    <s v="HDD"/>
    <s v="Seagate"/>
    <n v="10000"/>
    <n v="13000"/>
    <n v="4"/>
    <n v="40000"/>
    <n v="52000"/>
    <s v="Aarvi Gupta"/>
    <n v="39000"/>
  </r>
  <r>
    <s v="142512"/>
    <s v="DH"/>
    <s v="Mohammed Abdul Kaleem"/>
    <s v="31/10/2021"/>
    <s v="Delivered"/>
    <s v="93 TB SSD"/>
    <s v="SSD"/>
    <s v="Samsung"/>
    <n v="10500"/>
    <n v="13650"/>
    <n v="1"/>
    <n v="10500"/>
    <n v="13650"/>
    <s v="Vijay Singh"/>
    <n v="8450"/>
  </r>
  <r>
    <s v="142513"/>
    <s v="DD"/>
    <s v="Chandrakant Kasbe"/>
    <s v="01/11/2021"/>
    <s v="Shipped"/>
    <s v="Intel i5 12th gen."/>
    <s v="CPU"/>
    <s v="Intel"/>
    <n v="8500"/>
    <n v="11050"/>
    <n v="2"/>
    <n v="17000"/>
    <n v="22100"/>
    <s v="Aadil Khan"/>
    <n v="33150"/>
  </r>
  <r>
    <s v="142514"/>
    <s v="DL"/>
    <s v="Rohan Kale"/>
    <s v="02/11/2021"/>
    <s v="Order"/>
    <s v="2GB Graphic Card"/>
    <s v="Graphic Card"/>
    <s v="Nvidia"/>
    <n v="7000"/>
    <n v="9100"/>
    <n v="4"/>
    <n v="28000"/>
    <n v="36400"/>
    <s v="Advika Joshi"/>
    <n v="18200"/>
  </r>
  <r>
    <s v="142515"/>
    <s v="LD"/>
    <s v="Aniruddha Kekapure"/>
    <s v="03/11/2021"/>
    <s v="Processing"/>
    <s v="96 GB DDR4 Ram"/>
    <s v="NIC"/>
    <s v="Hynix"/>
    <n v="1680"/>
    <n v="2184"/>
    <n v="1"/>
    <n v="1680"/>
    <n v="2184"/>
    <s v="Ajay Sharma"/>
    <n v="9100"/>
  </r>
  <r>
    <s v="142516"/>
    <s v="PY"/>
    <s v="Aslam Raza"/>
    <s v="04/11/2021"/>
    <s v="Delivered"/>
    <s v="Micro ATX motherboard"/>
    <s v="Printer"/>
    <s v="MSI"/>
    <n v="6540"/>
    <n v="8502"/>
    <n v="4"/>
    <n v="26160"/>
    <n v="34008"/>
    <s v="Roshan Kumar"/>
    <n v="11700"/>
  </r>
  <r>
    <s v="142517"/>
    <s v="AP"/>
    <s v="Roshan Zameer"/>
    <s v="05/11/2021"/>
    <s v="Shipped"/>
    <s v="Gaming Box Cabinet"/>
    <s v="Cabinet"/>
    <s v="Asus"/>
    <n v="2680"/>
    <n v="3484"/>
    <n v="2"/>
    <n v="5360"/>
    <n v="6968"/>
    <s v="Aarvi Gupta"/>
    <n v="2990"/>
  </r>
  <r>
    <s v="142518"/>
    <s v="AR"/>
    <s v="Rakesh Kumar Sharma"/>
    <s v="05/11/2021"/>
    <s v="Order"/>
    <s v="17&quot; LCD Display"/>
    <s v="Monitor"/>
    <s v="Samsung"/>
    <n v="8250"/>
    <n v="10725"/>
    <n v="2"/>
    <n v="16500"/>
    <n v="21450"/>
    <s v="Vijay Singh"/>
    <n v="9750"/>
  </r>
  <r>
    <s v="142519"/>
    <s v="AS"/>
    <s v="Shivanand Sahani"/>
    <s v="05/11/2021"/>
    <s v="Processing"/>
    <s v="100 GB DDR4 RAM"/>
    <s v="RAM"/>
    <s v="Samsung"/>
    <n v="2650"/>
    <n v="3445"/>
    <n v="1"/>
    <n v="2650"/>
    <n v="3445"/>
    <s v="Aadil Khan"/>
    <n v="25545"/>
  </r>
  <r>
    <s v="142520"/>
    <s v="BR"/>
    <s v="Kunal Patra"/>
    <s v="05/11/2021"/>
    <s v="Delivered"/>
    <s v="26&quot; LCD Display"/>
    <s v="Monitor"/>
    <s v="Acer"/>
    <n v="12550"/>
    <n v="16315"/>
    <n v="3"/>
    <n v="37650"/>
    <n v="48945"/>
    <s v="Advika Joshi"/>
    <n v="9750"/>
  </r>
  <r>
    <s v="142521"/>
    <s v="CG"/>
    <s v="Bijendra"/>
    <s v="05/11/2021"/>
    <s v="Shipped"/>
    <s v="I7 - intel 12th Generation"/>
    <s v="CPU"/>
    <s v="Intel"/>
    <n v="14500"/>
    <n v="18850"/>
    <n v="1"/>
    <n v="14500"/>
    <n v="18850"/>
    <s v="Ajay Sharma"/>
    <n v="33150"/>
  </r>
  <r>
    <s v="142522"/>
    <s v="GA"/>
    <s v="Kranti Bheke"/>
    <s v="05/11/2021"/>
    <s v="Order"/>
    <s v="USB Keyboard"/>
    <s v="Keyboard"/>
    <s v="Dell"/>
    <n v="800"/>
    <n v="1040"/>
    <n v="3"/>
    <n v="2400"/>
    <n v="3120"/>
    <s v="Roshan Kumar"/>
    <n v="3315"/>
  </r>
  <r>
    <s v="142523"/>
    <s v="GJ"/>
    <s v="Jagdeep"/>
    <s v="05/11/2021"/>
    <s v="Processing"/>
    <s v="Wireless Mouse"/>
    <s v="Mouse"/>
    <s v="Samsung"/>
    <n v="600"/>
    <n v="780"/>
    <n v="4"/>
    <n v="2400"/>
    <n v="3120"/>
    <s v="Aarvi Gupta"/>
    <n v="1690"/>
  </r>
  <r>
    <s v="142524"/>
    <s v="HR"/>
    <s v="Adhir Samal"/>
    <s v="05/11/2021"/>
    <s v="Delivered"/>
    <s v="21&quot; LCD Display"/>
    <s v="Monitor"/>
    <s v="Dell"/>
    <n v="10500"/>
    <n v="13650"/>
    <n v="1"/>
    <n v="10500"/>
    <n v="13650"/>
    <s v="Vijay Singh"/>
    <n v="9750"/>
  </r>
  <r>
    <s v="142525"/>
    <s v="HP"/>
    <s v="Dannana Jhammi"/>
    <s v="05/11/2021"/>
    <s v="Shipped"/>
    <s v="94 TB HDD"/>
    <s v="HDD"/>
    <s v="Western Digital"/>
    <n v="6500"/>
    <n v="8450"/>
    <n v="4"/>
    <n v="26000"/>
    <n v="33800"/>
    <s v="Aadil Khan"/>
    <n v="39000"/>
  </r>
  <r>
    <s v="142526"/>
    <s v="JK"/>
    <s v="Vipin Kumar"/>
    <s v="05/11/2021"/>
    <s v="Order"/>
    <s v="349 GB SSD"/>
    <s v="SSD"/>
    <s v="Samsung"/>
    <n v="4500"/>
    <n v="5850"/>
    <n v="2"/>
    <n v="9000"/>
    <n v="11700"/>
    <s v="Advika Joshi"/>
    <n v="8450"/>
  </r>
  <r>
    <s v="142527"/>
    <s v="JH"/>
    <s v="Ranjeet Kumar"/>
    <s v="05/11/2021"/>
    <s v="Processing"/>
    <s v="Intel i3 11th gen."/>
    <s v="CPU"/>
    <s v="Intel"/>
    <n v="8500"/>
    <n v="11050"/>
    <n v="2"/>
    <n v="17000"/>
    <n v="22100"/>
    <s v="Ajay Sharma"/>
    <n v="33150"/>
  </r>
  <r>
    <s v="142528"/>
    <s v="KA"/>
    <s v="Sajal Singhal"/>
    <s v="05/11/2021"/>
    <s v="Delivered"/>
    <s v="4GB Graphic card"/>
    <s v="Graphic Card"/>
    <s v="Nvidia"/>
    <n v="12500"/>
    <n v="16250"/>
    <n v="1"/>
    <n v="12500"/>
    <n v="16250"/>
    <s v="Roshan Kumar"/>
    <n v="18200"/>
  </r>
  <r>
    <s v="142529"/>
    <s v="KL"/>
    <s v="Akhilesh Kumar"/>
    <s v="05/11/2021"/>
    <s v="Shipped"/>
    <s v="101 GB DDR4 RAM"/>
    <s v="RAM"/>
    <s v="Hynix"/>
    <n v="3500"/>
    <n v="4550"/>
    <n v="3"/>
    <n v="10500"/>
    <n v="13650"/>
    <s v="Aarvi Gupta"/>
    <n v="25545"/>
  </r>
  <r>
    <s v="142530"/>
    <s v="MP"/>
    <s v="Suvankar Chakraborty"/>
    <s v="05/11/2021"/>
    <s v="Order"/>
    <s v="BTX motherboard"/>
    <s v="MotherBoard"/>
    <s v="Gigabyte"/>
    <n v="4500"/>
    <n v="5850"/>
    <n v="3"/>
    <n v="13500"/>
    <n v="17550"/>
    <s v="Vijay Singh"/>
    <n v="39780"/>
  </r>
  <r>
    <s v="142531"/>
    <s v="MH"/>
    <s v="Suvankar Adhikary"/>
    <s v="05/11/2021"/>
    <s v="Processing"/>
    <s v="96 Fans Cabinet"/>
    <s v="Cabinet"/>
    <s v="Asus"/>
    <n v="2100"/>
    <n v="2730"/>
    <n v="4"/>
    <n v="8400"/>
    <n v="10920"/>
    <s v="Aadil Khan"/>
    <n v="2990"/>
  </r>
  <r>
    <s v="142532"/>
    <s v="MN"/>
    <s v="Rahul Kumar Prajapati"/>
    <s v="05/11/2021"/>
    <s v="Delivered"/>
    <s v="Wireless Keyboard"/>
    <s v="Keyboard"/>
    <s v="Dell"/>
    <n v="1150"/>
    <n v="1495"/>
    <n v="4"/>
    <n v="4600"/>
    <n v="5980"/>
    <s v="Advika Joshi"/>
    <n v="3315"/>
  </r>
  <r>
    <s v="142533"/>
    <s v="ML"/>
    <s v="Sagar Jeur"/>
    <s v="05/11/2021"/>
    <s v="Shipped"/>
    <s v="USB Mouse"/>
    <s v="Mouse"/>
    <s v="Samsung"/>
    <n v="350"/>
    <n v="455"/>
    <n v="2"/>
    <n v="700"/>
    <n v="910"/>
    <s v="Ajay Sharma"/>
    <n v="1690"/>
  </r>
  <r>
    <s v="142534"/>
    <s v="MZ"/>
    <s v="Rhushikesh Mane"/>
    <s v="05/11/2021"/>
    <s v="Order"/>
    <s v="19&quot; LED Display"/>
    <s v="Monitor"/>
    <s v="Dell"/>
    <n v="9500"/>
    <n v="12350"/>
    <n v="2"/>
    <n v="19000"/>
    <n v="24700"/>
    <s v="Roshan Kumar"/>
    <n v="9750"/>
  </r>
  <r>
    <s v="142535"/>
    <s v="NL"/>
    <s v="Ashish Kumar"/>
    <s v="05/11/2021"/>
    <s v="Processing"/>
    <s v="95 TB HDD"/>
    <s v="HDD"/>
    <s v="Western Digital"/>
    <n v="10000"/>
    <n v="13000"/>
    <n v="2"/>
    <n v="20000"/>
    <n v="26000"/>
    <s v="Aarvi Gupta"/>
    <n v="39000"/>
  </r>
  <r>
    <s v="142536"/>
    <s v="OR"/>
    <s v="Javed Akhter"/>
    <s v="05/11/2021"/>
    <s v="Delivered"/>
    <s v="605 GB M.2"/>
    <s v="SSD"/>
    <s v="Samsung"/>
    <n v="6500"/>
    <n v="8450"/>
    <n v="3"/>
    <n v="19500"/>
    <n v="25350"/>
    <s v="Vijay Singh"/>
    <n v="8450"/>
  </r>
  <r>
    <s v="142537"/>
    <s v="PB"/>
    <s v="Haridas Balraj"/>
    <s v="05/11/2021"/>
    <s v="Shipped"/>
    <s v="RYZEN 3rd gen. 3593"/>
    <s v="CPU"/>
    <s v="Intel"/>
    <n v="8500"/>
    <n v="11050"/>
    <n v="2"/>
    <n v="17000"/>
    <n v="22100"/>
    <s v="Aadil Khan"/>
    <n v="33150"/>
  </r>
  <r>
    <s v="142538"/>
    <s v="RJ"/>
    <s v="Kundan Kumar"/>
    <s v="05/11/2021"/>
    <s v="Order"/>
    <s v="2GB Graphic Card"/>
    <s v="Graphic Card"/>
    <s v="Nvidia"/>
    <n v="7000"/>
    <n v="9100"/>
    <n v="4"/>
    <n v="28000"/>
    <n v="36400"/>
    <s v="Advika Joshi"/>
    <n v="18200"/>
  </r>
  <r>
    <s v="142539"/>
    <s v="SK"/>
    <s v="Atif Siddiqui"/>
    <s v="05/11/2021"/>
    <s v="Processing"/>
    <s v="109 GB DDR4 RAM"/>
    <s v="RAM"/>
    <s v="Hynix"/>
    <n v="6550"/>
    <n v="8515"/>
    <n v="3"/>
    <n v="19650"/>
    <n v="25545"/>
    <s v="Ajay Sharma"/>
    <n v="25545"/>
  </r>
  <r>
    <s v="142540"/>
    <s v="TN"/>
    <s v="Aditya Agarwal"/>
    <s v="05/11/2021"/>
    <s v="Delivered"/>
    <s v="Standard ATX motherboard"/>
    <s v="MotherBoard"/>
    <s v="Gigabyte"/>
    <n v="7650"/>
    <n v="9945"/>
    <n v="2"/>
    <n v="15300"/>
    <n v="19890"/>
    <s v="Roshan Kumar"/>
    <n v="39780"/>
  </r>
  <r>
    <s v="142541"/>
    <s v="TR"/>
    <s v="Firdoush Jabee"/>
    <s v="05/11/2021"/>
    <s v="Shipped"/>
    <s v="Compact with 1 Fan"/>
    <s v="Cabinet"/>
    <s v="Asus"/>
    <n v="1150"/>
    <n v="1495"/>
    <n v="1"/>
    <n v="1150"/>
    <n v="1495"/>
    <s v="Aarvi Gupta"/>
    <n v="2990"/>
  </r>
  <r>
    <s v="142542"/>
    <s v="UK"/>
    <s v="Jay Prakash Kumar"/>
    <s v="05/11/2021"/>
    <s v="Order"/>
    <s v="USB Backlight Keyboard"/>
    <s v="Keyboard"/>
    <s v="Dell"/>
    <n v="850"/>
    <n v="1105"/>
    <n v="2"/>
    <n v="1700"/>
    <n v="2210"/>
    <s v="Vijay Singh"/>
    <n v="3315"/>
  </r>
  <r>
    <s v="142543"/>
    <s v="UP"/>
    <s v="Ashish Pandey"/>
    <s v="05/11/2021"/>
    <s v="Processing"/>
    <s v="Ergonomic Mouse"/>
    <s v="Mouse"/>
    <s v="Samsung"/>
    <n v="650"/>
    <n v="845"/>
    <n v="2"/>
    <n v="1300"/>
    <n v="1690"/>
    <s v="Aadil Khan"/>
    <n v="1690"/>
  </r>
  <r>
    <s v="142544"/>
    <s v="WB"/>
    <s v="Ajay Sharma"/>
    <s v="05/11/2021"/>
    <s v="Delivered"/>
    <s v="15&quot; LCD Dsipaly"/>
    <s v="Monitor"/>
    <s v="Dell"/>
    <n v="7500"/>
    <n v="9750"/>
    <n v="2"/>
    <n v="15000"/>
    <n v="19500"/>
    <s v="Advika Joshi"/>
    <n v="9750"/>
  </r>
  <r>
    <s v="142545"/>
    <s v="TN"/>
    <s v="Moinuddin Saifi"/>
    <s v="05/11/2021"/>
    <s v="Shipped"/>
    <s v="95 TB HDD"/>
    <s v="HDD"/>
    <s v="Seagate"/>
    <n v="10000"/>
    <n v="13000"/>
    <n v="2"/>
    <n v="20000"/>
    <n v="26000"/>
    <s v="Ajay Sharma"/>
    <n v="39000"/>
  </r>
  <r>
    <s v="142546"/>
    <s v="TR"/>
    <s v="Ramkrishna Das Adhikary"/>
    <s v="05/11/2021"/>
    <s v="Order"/>
    <s v="94 TB SSD"/>
    <s v="SSD"/>
    <s v="Samsung"/>
    <n v="10500"/>
    <n v="13650"/>
    <n v="1"/>
    <n v="10500"/>
    <n v="13650"/>
    <s v="Roshan Kumar"/>
    <n v="8450"/>
  </r>
  <r>
    <s v="142547"/>
    <s v="MH"/>
    <s v="Ranjeet Mandal"/>
    <s v="05/11/2021"/>
    <s v="Processing"/>
    <s v="Intel i5 12th gen."/>
    <s v="CPU"/>
    <s v="Intel"/>
    <n v="8500"/>
    <n v="11050"/>
    <n v="1"/>
    <n v="8500"/>
    <n v="11050"/>
    <s v="Aarvi Gupta"/>
    <n v="33150"/>
  </r>
  <r>
    <s v="142548"/>
    <s v="CH"/>
    <s v="Ashwini Adsare"/>
    <s v="06/11/2021"/>
    <s v="Delivered"/>
    <s v="2GB Graphic Card"/>
    <s v="Graphic Card"/>
    <s v="Nvidia"/>
    <n v="7000"/>
    <n v="9100"/>
    <n v="4"/>
    <n v="28000"/>
    <n v="36400"/>
    <s v="Vijay Singh"/>
    <n v="18200"/>
  </r>
  <r>
    <s v="142549"/>
    <s v="DH"/>
    <s v="Rajesh Variya"/>
    <s v="07/11/2021"/>
    <s v="Shipped"/>
    <s v="97 GB DDR4 Ram"/>
    <s v="RAM"/>
    <s v="Hynix"/>
    <n v="1680"/>
    <n v="2184"/>
    <n v="1"/>
    <n v="1680"/>
    <n v="2184"/>
    <s v="Aadil Khan"/>
    <n v="25545"/>
  </r>
  <r>
    <s v="142550"/>
    <s v="DD"/>
    <s v="Amit Singh"/>
    <s v="08/11/2021"/>
    <s v="Order"/>
    <s v="Micro ATX motherboard"/>
    <s v="MotherBoard"/>
    <s v="MSI"/>
    <n v="6540"/>
    <n v="8502"/>
    <n v="3"/>
    <n v="19620"/>
    <n v="25506"/>
    <s v="Advika Joshi"/>
    <n v="39780"/>
  </r>
  <r>
    <s v="142551"/>
    <s v="DL"/>
    <s v="Vinod Mehta"/>
    <s v="09/11/2021"/>
    <s v="Processing"/>
    <s v="Gaming Box Cabinet"/>
    <s v="Cabinet"/>
    <s v="Asus"/>
    <n v="2680"/>
    <n v="3484"/>
    <n v="3"/>
    <n v="8040"/>
    <n v="10452"/>
    <s v="Ajay Sharma"/>
    <n v="2990"/>
  </r>
  <r>
    <s v="142552"/>
    <s v="LD"/>
    <s v="Jignesh Mhatre"/>
    <s v="10/11/2021"/>
    <s v="Delivered"/>
    <s v="17&quot; LCD Display"/>
    <s v="Monitor"/>
    <s v="Samsung"/>
    <n v="8250"/>
    <n v="10725"/>
    <n v="2"/>
    <n v="16500"/>
    <n v="21450"/>
    <s v="Roshan Kumar"/>
    <n v="9750"/>
  </r>
  <r>
    <s v="142553"/>
    <s v="PY"/>
    <s v="Rahul Kashyap"/>
    <s v="11/11/2021"/>
    <s v="Shipped"/>
    <s v="101 GB DDR4 RAM"/>
    <s v="RAM"/>
    <s v="Samsung"/>
    <n v="2650"/>
    <n v="3445"/>
    <n v="1"/>
    <n v="2650"/>
    <n v="3445"/>
    <s v="Aarvi Gupta"/>
    <n v="25545"/>
  </r>
  <r>
    <s v="142554"/>
    <s v="AP"/>
    <s v="Mohammed Abdul Kaleem"/>
    <s v="12/11/2021"/>
    <s v="Order"/>
    <s v="26&quot; LCD Display"/>
    <s v="Monitor"/>
    <s v="Acer"/>
    <n v="12550"/>
    <n v="16315"/>
    <n v="1"/>
    <n v="12550"/>
    <n v="16315"/>
    <s v="Vijay Singh"/>
    <n v="9750"/>
  </r>
  <r>
    <s v="142555"/>
    <s v="AR"/>
    <s v="Chandrakant Kasbe"/>
    <s v="13/11/2021"/>
    <s v="Processing"/>
    <s v="I7 - intel 12th Generation"/>
    <s v="CPU"/>
    <s v="Intel"/>
    <n v="14500"/>
    <n v="18850"/>
    <n v="2"/>
    <n v="29000"/>
    <n v="37700"/>
    <s v="Aadil Khan"/>
    <n v="33150"/>
  </r>
  <r>
    <s v="142556"/>
    <s v="AS"/>
    <s v="Rohan Kale"/>
    <s v="14/11/2021"/>
    <s v="Delivered"/>
    <s v="USB Keyboard"/>
    <s v="Keyboard"/>
    <s v="Dell"/>
    <n v="800"/>
    <n v="1040"/>
    <n v="2"/>
    <n v="1600"/>
    <n v="2080"/>
    <s v="Advika Joshi"/>
    <n v="3315"/>
  </r>
  <r>
    <s v="142557"/>
    <s v="BR"/>
    <s v="Aniruddha Kekapure"/>
    <s v="15/11/2021"/>
    <s v="Shipped"/>
    <s v="Wireless Mouse"/>
    <s v="Mouse"/>
    <s v="Samsung"/>
    <n v="600"/>
    <n v="780"/>
    <n v="3"/>
    <n v="1800"/>
    <n v="2340"/>
    <s v="Ajay Sharma"/>
    <n v="1690"/>
  </r>
  <r>
    <s v="142558"/>
    <s v="CG"/>
    <s v="Aslam Raza"/>
    <s v="16/11/2021"/>
    <s v="Order"/>
    <s v="21&quot; LCD Display"/>
    <s v="Monitor"/>
    <s v="Dell"/>
    <n v="10500"/>
    <n v="13650"/>
    <n v="4"/>
    <n v="42000"/>
    <n v="54600"/>
    <s v="Roshan Kumar"/>
    <n v="9750"/>
  </r>
  <r>
    <s v="142559"/>
    <s v="GA"/>
    <s v="Roshan Zameer"/>
    <s v="17/11/2021"/>
    <s v="Processing"/>
    <s v="95 TB HDD"/>
    <s v="HDD"/>
    <s v="Western Digital"/>
    <n v="6500"/>
    <n v="8450"/>
    <n v="3"/>
    <n v="19500"/>
    <n v="25350"/>
    <s v="Aarvi Gupta"/>
    <n v="39000"/>
  </r>
  <r>
    <s v="142560"/>
    <s v="GJ"/>
    <s v="Rakesh Kumar Sharma"/>
    <s v="18/11/2021"/>
    <s v="Delivered"/>
    <s v="350 GB SSD"/>
    <s v="SSD"/>
    <s v="Samsung"/>
    <n v="4500"/>
    <n v="5850"/>
    <n v="1"/>
    <n v="4500"/>
    <n v="5850"/>
    <s v="Vijay Singh"/>
    <n v="8450"/>
  </r>
  <r>
    <s v="142561"/>
    <s v="HR"/>
    <s v="Shivanand Sahani"/>
    <s v="19/11/2021"/>
    <s v="Shipped"/>
    <s v="Intel i3 11th gen."/>
    <s v="CPU"/>
    <s v="Intel"/>
    <n v="8500"/>
    <n v="11050"/>
    <n v="2"/>
    <n v="17000"/>
    <n v="22100"/>
    <s v="Aadil Khan"/>
    <n v="33150"/>
  </r>
  <r>
    <s v="142562"/>
    <s v="HP"/>
    <s v="Kunal Patra"/>
    <s v="20/11/2021"/>
    <s v="Order"/>
    <s v="4GB Graphic card"/>
    <s v="Graphic Card"/>
    <s v="Nvidia"/>
    <n v="12500"/>
    <n v="16250"/>
    <n v="1"/>
    <n v="12500"/>
    <n v="16250"/>
    <s v="Advika Joshi"/>
    <n v="18200"/>
  </r>
  <r>
    <s v="142563"/>
    <s v="JK"/>
    <s v="Bijendra"/>
    <s v="21/11/2021"/>
    <s v="Processing"/>
    <s v="102 GB DDR4 RAM"/>
    <s v="Computer Case"/>
    <s v="Hynix"/>
    <n v="3500"/>
    <n v="4550"/>
    <n v="1"/>
    <n v="3500"/>
    <n v="4550"/>
    <s v="Ajay Sharma"/>
    <n v="13650"/>
  </r>
  <r>
    <s v="142564"/>
    <s v="JH"/>
    <s v="Kranti Bheke"/>
    <s v="22/11/2021"/>
    <s v="Delivered"/>
    <s v="BTX motherboard"/>
    <s v="Mouse"/>
    <s v="Gigabyte"/>
    <n v="4500"/>
    <n v="5850"/>
    <n v="2"/>
    <n v="9000"/>
    <n v="11700"/>
    <s v="Roshan Kumar"/>
    <n v="1690"/>
  </r>
  <r>
    <s v="142565"/>
    <s v="KA"/>
    <s v="Jagdeep"/>
    <s v="22/11/2021"/>
    <s v="Shipped"/>
    <s v="97 Fans Cabinet"/>
    <s v="Cabinet"/>
    <s v="Asus"/>
    <n v="2100"/>
    <n v="2730"/>
    <n v="3"/>
    <n v="6300"/>
    <n v="8190"/>
    <s v="Aarvi Gupta"/>
    <n v="2990"/>
  </r>
  <r>
    <s v="142566"/>
    <s v="KL"/>
    <s v="Adhir Samal"/>
    <s v="22/11/2021"/>
    <s v="Order"/>
    <s v="Wireless Keyboard"/>
    <s v="Keyboard"/>
    <s v="Dell"/>
    <n v="1150"/>
    <n v="1495"/>
    <n v="4"/>
    <n v="4600"/>
    <n v="5980"/>
    <s v="Vijay Singh"/>
    <n v="3315"/>
  </r>
  <r>
    <s v="142567"/>
    <s v="MP"/>
    <s v="Dannana Jhammi"/>
    <s v="22/11/2021"/>
    <s v="Processing"/>
    <s v="USB Mouse"/>
    <s v="Mouse"/>
    <s v="Samsung"/>
    <n v="350"/>
    <n v="455"/>
    <n v="1"/>
    <n v="350"/>
    <n v="455"/>
    <s v="Aadil Khan"/>
    <n v="1690"/>
  </r>
  <r>
    <s v="142568"/>
    <s v="MH"/>
    <s v="Vipin Kumar"/>
    <s v="22/11/2021"/>
    <s v="Delivered"/>
    <s v="19&quot; LED Display"/>
    <s v="Monitor"/>
    <s v="Dell"/>
    <n v="9500"/>
    <n v="12350"/>
    <n v="3"/>
    <n v="28500"/>
    <n v="37050"/>
    <s v="Advika Joshi"/>
    <n v="9750"/>
  </r>
  <r>
    <s v="142569"/>
    <s v="MN"/>
    <s v="Ranjeet Kumar"/>
    <s v="22/11/2021"/>
    <s v="Shipped"/>
    <s v="96 TB HDD"/>
    <s v="HDD"/>
    <s v="Western Digital"/>
    <n v="10000"/>
    <n v="13000"/>
    <n v="2"/>
    <n v="20000"/>
    <n v="26000"/>
    <s v="Ajay Sharma"/>
    <n v="39000"/>
  </r>
  <r>
    <s v="142570"/>
    <s v="ML"/>
    <s v="Sajal Singhal"/>
    <s v="22/11/2021"/>
    <s v="Order"/>
    <s v="606 GB M.2"/>
    <s v="SSD"/>
    <s v="Samsung"/>
    <n v="6500"/>
    <n v="8450"/>
    <n v="2"/>
    <n v="13000"/>
    <n v="16900"/>
    <s v="Roshan Kumar"/>
    <n v="8450"/>
  </r>
  <r>
    <s v="142571"/>
    <s v="MZ"/>
    <s v="Akhilesh Kumar"/>
    <s v="22/11/2021"/>
    <s v="Processing"/>
    <s v="RYZEN 3rd gen. 3594"/>
    <s v="CPU"/>
    <s v="Intel"/>
    <n v="8500"/>
    <n v="11050"/>
    <n v="3"/>
    <n v="25500"/>
    <n v="33150"/>
    <s v="Aarvi Gupta"/>
    <n v="33150"/>
  </r>
  <r>
    <s v="142572"/>
    <s v="NL"/>
    <s v="Suvankar Chakraborty"/>
    <s v="22/11/2021"/>
    <s v="Delivered"/>
    <s v="2GB Graphic Card"/>
    <s v="Graphic Card"/>
    <s v="Nvidia"/>
    <n v="7000"/>
    <n v="9100"/>
    <n v="1"/>
    <n v="7000"/>
    <n v="9100"/>
    <s v="Vijay Singh"/>
    <n v="18200"/>
  </r>
  <r>
    <s v="142573"/>
    <s v="OR"/>
    <s v="Suvankar Adhikary"/>
    <s v="22/11/2021"/>
    <s v="Shipped"/>
    <s v="110 GB DDR4 RAM"/>
    <s v="Computer Case"/>
    <s v="Hynix"/>
    <n v="6550"/>
    <n v="8515"/>
    <n v="4"/>
    <n v="26200"/>
    <n v="34060"/>
    <s v="Aadil Khan"/>
    <n v="13650"/>
  </r>
  <r>
    <s v="142574"/>
    <s v="PB"/>
    <s v="Rahul Kumar Prajapati"/>
    <s v="22/11/2021"/>
    <s v="Order"/>
    <s v="Standard ATX motherboard"/>
    <s v="Mouse"/>
    <s v="Gigabyte"/>
    <n v="7650"/>
    <n v="9945"/>
    <n v="1"/>
    <n v="7650"/>
    <n v="9945"/>
    <s v="Advika Joshi"/>
    <n v="1690"/>
  </r>
  <r>
    <s v="142575"/>
    <s v="RJ"/>
    <s v="Sagar Jeur"/>
    <s v="22/11/2021"/>
    <s v="Processing"/>
    <s v="Compact with 1 Fan"/>
    <s v="Cabinet"/>
    <s v="Asus"/>
    <n v="1150"/>
    <n v="1495"/>
    <n v="2"/>
    <n v="2300"/>
    <n v="2990"/>
    <s v="Ajay Sharma"/>
    <n v="2990"/>
  </r>
  <r>
    <s v="142576"/>
    <s v="SK"/>
    <s v="Rhushikesh Mane"/>
    <s v="22/11/2021"/>
    <s v="Delivered"/>
    <s v="USB Backlight Keyboard"/>
    <s v="Keyboard"/>
    <s v="Dell"/>
    <n v="850"/>
    <n v="1105"/>
    <n v="3"/>
    <n v="2550"/>
    <n v="3315"/>
    <s v="Roshan Kumar"/>
    <n v="3315"/>
  </r>
  <r>
    <s v="142577"/>
    <s v="TN"/>
    <s v="Ashish Kumar"/>
    <s v="22/11/2021"/>
    <s v="Shipped"/>
    <s v="Ergonomic Mouse"/>
    <s v="Mouse"/>
    <s v="Samsung"/>
    <n v="650"/>
    <n v="845"/>
    <n v="4"/>
    <n v="2600"/>
    <n v="3380"/>
    <s v="Aarvi Gupta"/>
    <n v="1690"/>
  </r>
  <r>
    <s v="142578"/>
    <s v="TR"/>
    <s v="Javed Akhter"/>
    <s v="22/11/2021"/>
    <s v="Order"/>
    <s v="15&quot; LCD Dsipaly"/>
    <s v="Monitor"/>
    <s v="Dell"/>
    <n v="7500"/>
    <n v="9750"/>
    <n v="2"/>
    <n v="15000"/>
    <n v="19500"/>
    <s v="Vijay Singh"/>
    <n v="9750"/>
  </r>
  <r>
    <s v="142579"/>
    <s v="UK"/>
    <s v="Haridas Balraj"/>
    <s v="22/11/2021"/>
    <s v="Processing"/>
    <s v="96 TB HDD"/>
    <s v="HDD"/>
    <s v="Seagate"/>
    <n v="10000"/>
    <n v="13000"/>
    <n v="2"/>
    <n v="20000"/>
    <n v="26000"/>
    <s v="Aadil Khan"/>
    <n v="39000"/>
  </r>
  <r>
    <s v="142580"/>
    <s v="UP"/>
    <s v="Kundan Kumar"/>
    <s v="22/11/2021"/>
    <s v="Delivered"/>
    <s v="95 TB SSD"/>
    <s v="SSD"/>
    <s v="Samsung"/>
    <n v="10500"/>
    <n v="13650"/>
    <n v="1"/>
    <n v="10500"/>
    <n v="13650"/>
    <s v="Advika Joshi"/>
    <n v="8450"/>
  </r>
  <r>
    <s v="142581"/>
    <s v="WB"/>
    <s v="Atif Siddiqui"/>
    <s v="22/11/2021"/>
    <s v="Shipped"/>
    <s v="Intel i5 12th gen."/>
    <s v="CPU"/>
    <s v="Intel"/>
    <n v="8500"/>
    <n v="11050"/>
    <n v="4"/>
    <n v="34000"/>
    <n v="44200"/>
    <s v="Ajay Sharma"/>
    <n v="33150"/>
  </r>
  <r>
    <s v="142582"/>
    <s v="TN"/>
    <s v="Aditya Agarwal"/>
    <s v="22/11/2021"/>
    <s v="Order"/>
    <s v="2GB Graphic Card"/>
    <s v="Graphic Card"/>
    <s v="Nvidia"/>
    <n v="7000"/>
    <n v="9100"/>
    <n v="4"/>
    <n v="28000"/>
    <n v="36400"/>
    <s v="Roshan Kumar"/>
    <n v="18200"/>
  </r>
  <r>
    <s v="142583"/>
    <s v="TR"/>
    <s v="Firdoush Jabee"/>
    <s v="23/11/2021"/>
    <s v="Processing"/>
    <s v="98 GB DDR4 Ram"/>
    <s v="Computer Case"/>
    <s v="Hynix"/>
    <n v="1680"/>
    <n v="2184"/>
    <n v="1"/>
    <n v="1680"/>
    <n v="2184"/>
    <s v="Aarvi Gupta"/>
    <n v="13650"/>
  </r>
  <r>
    <s v="142584"/>
    <s v="MH"/>
    <s v="Jay Prakash Kumar"/>
    <s v="24/11/2021"/>
    <s v="Delivered"/>
    <s v="Micro ATX motherboard"/>
    <s v="Mouse"/>
    <s v="MSI"/>
    <n v="6540"/>
    <n v="8502"/>
    <n v="1"/>
    <n v="6540"/>
    <n v="8502"/>
    <s v="Vijay Singh"/>
    <n v="1690"/>
  </r>
  <r>
    <s v="142585"/>
    <s v="CH"/>
    <s v="Ashish Pandey"/>
    <s v="25/11/2021"/>
    <s v="Shipped"/>
    <s v="Gaming Box Cabinet"/>
    <s v="Cabinet"/>
    <s v="Asus"/>
    <n v="2680"/>
    <n v="3484"/>
    <n v="1"/>
    <n v="2680"/>
    <n v="3484"/>
    <s v="Aadil Khan"/>
    <n v="2990"/>
  </r>
  <r>
    <s v="142586"/>
    <s v="DH"/>
    <s v="Ajay Sharma"/>
    <s v="26/11/2021"/>
    <s v="Order"/>
    <s v="17&quot; LCD Display"/>
    <s v="Monitor"/>
    <s v="Samsung"/>
    <n v="8250"/>
    <n v="10725"/>
    <n v="3"/>
    <n v="24750"/>
    <n v="32175"/>
    <s v="Advika Joshi"/>
    <n v="9750"/>
  </r>
  <r>
    <s v="142587"/>
    <s v="DD"/>
    <s v="Moinuddin Saifi"/>
    <s v="27/11/2021"/>
    <s v="Processing"/>
    <s v="102 GB DDR4 RAM"/>
    <s v="RAM"/>
    <s v="Samsung"/>
    <n v="2650"/>
    <n v="3445"/>
    <n v="1"/>
    <n v="2650"/>
    <n v="3445"/>
    <s v="Ajay Sharma"/>
    <n v="25545"/>
  </r>
  <r>
    <s v="142588"/>
    <s v="DL"/>
    <s v="Ramkrishna Das Adhikary"/>
    <s v="28/11/2021"/>
    <s v="Delivered"/>
    <s v="26&quot; LCD Display"/>
    <s v="Monitor"/>
    <s v="Acer"/>
    <n v="12550"/>
    <n v="16315"/>
    <n v="4"/>
    <n v="50200"/>
    <n v="65260"/>
    <s v="Roshan Kumar"/>
    <n v="9750"/>
  </r>
  <r>
    <s v="142589"/>
    <s v="LD"/>
    <s v="Ranjeet Mandal"/>
    <s v="29/11/2021"/>
    <s v="Shipped"/>
    <s v="I7 - intel 12th Generation"/>
    <s v="CPU"/>
    <s v="Intel"/>
    <n v="14500"/>
    <n v="18850"/>
    <n v="2"/>
    <n v="29000"/>
    <n v="37700"/>
    <s v="Aarvi Gupta"/>
    <n v="33150"/>
  </r>
  <r>
    <s v="142590"/>
    <s v="PY"/>
    <s v="Ashwini Adsare"/>
    <s v="30/11/2021"/>
    <s v="Order"/>
    <s v="USB Keyboard"/>
    <s v="Keyboard"/>
    <s v="Dell"/>
    <n v="800"/>
    <n v="1040"/>
    <n v="3"/>
    <n v="2400"/>
    <n v="3120"/>
    <s v="Vijay Singh"/>
    <n v="3315"/>
  </r>
  <r>
    <s v="142591"/>
    <s v="AP"/>
    <s v="Rajesh Variya"/>
    <s v="01/12/2021"/>
    <s v="Processing"/>
    <s v="Wireless Mouse"/>
    <s v="Mouse"/>
    <s v="Samsung"/>
    <n v="600"/>
    <n v="780"/>
    <n v="3"/>
    <n v="1800"/>
    <n v="2340"/>
    <s v="Aadil Khan"/>
    <n v="1690"/>
  </r>
  <r>
    <s v="142592"/>
    <s v="AR"/>
    <s v="Amit Singh"/>
    <s v="02/12/2021"/>
    <s v="Delivered"/>
    <s v="21&quot; LCD Display"/>
    <s v="Monitor"/>
    <s v="Dell"/>
    <n v="10500"/>
    <n v="13650"/>
    <n v="4"/>
    <n v="42000"/>
    <n v="54600"/>
    <s v="Advika Joshi"/>
    <n v="9750"/>
  </r>
  <r>
    <s v="142593"/>
    <s v="AS"/>
    <s v="Vinod Mehta"/>
    <s v="03/12/2021"/>
    <s v="Shipped"/>
    <s v="96 TB HDD"/>
    <s v="HDD"/>
    <s v="Western Digital"/>
    <n v="6500"/>
    <n v="8450"/>
    <n v="4"/>
    <n v="26000"/>
    <n v="33800"/>
    <s v="Ajay Sharma"/>
    <n v="39000"/>
  </r>
  <r>
    <s v="142594"/>
    <s v="BR"/>
    <s v="Jignesh Mhatre"/>
    <s v="04/12/2021"/>
    <s v="Order"/>
    <s v="351 GB SSD"/>
    <s v="SSD"/>
    <s v="Samsung"/>
    <n v="4500"/>
    <n v="5850"/>
    <n v="1"/>
    <n v="4500"/>
    <n v="5850"/>
    <s v="Roshan Kumar"/>
    <n v="8450"/>
  </r>
  <r>
    <s v="142595"/>
    <s v="CG"/>
    <s v="Rahul Kashyap"/>
    <s v="05/12/2021"/>
    <s v="Processing"/>
    <s v="Intel i3 11th gen."/>
    <s v="CPU"/>
    <s v="Intel"/>
    <n v="8500"/>
    <n v="11050"/>
    <n v="1"/>
    <n v="8500"/>
    <n v="11050"/>
    <s v="Aarvi Gupta"/>
    <n v="33150"/>
  </r>
  <r>
    <s v="142596"/>
    <s v="GA"/>
    <s v="Mohammed Abdul Kaleem"/>
    <s v="06/12/2021"/>
    <s v="Delivered"/>
    <s v="4GB Graphic card"/>
    <s v="Graphic Card"/>
    <s v="Nvidia"/>
    <n v="12500"/>
    <n v="16250"/>
    <n v="3"/>
    <n v="37500"/>
    <n v="48750"/>
    <s v="Vijay Singh"/>
    <n v="18200"/>
  </r>
  <r>
    <s v="142597"/>
    <s v="GJ"/>
    <s v="Chandrakant Kasbe"/>
    <s v="07/12/2021"/>
    <s v="Shipped"/>
    <s v="103 GB DDR4 RAM"/>
    <s v="NIC"/>
    <s v="Hynix"/>
    <n v="3500"/>
    <n v="4550"/>
    <n v="2"/>
    <n v="7000"/>
    <n v="9100"/>
    <s v="Aadil Khan"/>
    <n v="9100"/>
  </r>
  <r>
    <s v="142598"/>
    <s v="HR"/>
    <s v="Rohan Kale"/>
    <s v="08/12/2021"/>
    <s v="Order"/>
    <s v="BTX motherboard"/>
    <s v="Printer"/>
    <s v="Gigabyte"/>
    <n v="4500"/>
    <n v="5850"/>
    <n v="1"/>
    <n v="4500"/>
    <n v="5850"/>
    <s v="Advika Joshi"/>
    <n v="11700"/>
  </r>
  <r>
    <s v="142599"/>
    <s v="HP"/>
    <s v="Aniruddha Kekapure"/>
    <s v="09/12/2021"/>
    <s v="Processing"/>
    <s v="98 Fans Cabinet"/>
    <s v="Cabinet"/>
    <s v="Asus"/>
    <n v="2100"/>
    <n v="2730"/>
    <n v="3"/>
    <n v="6300"/>
    <n v="8190"/>
    <s v="Ajay Sharma"/>
    <n v="2990"/>
  </r>
  <r>
    <s v="142600"/>
    <s v="JK"/>
    <s v="Aslam Raza"/>
    <s v="10/12/2021"/>
    <s v="Delivered"/>
    <s v="Wireless Keyboard"/>
    <s v="Keyboard"/>
    <s v="Dell"/>
    <n v="1150"/>
    <n v="1495"/>
    <n v="4"/>
    <n v="4600"/>
    <n v="5980"/>
    <s v="Roshan Kumar"/>
    <n v="3315"/>
  </r>
  <r>
    <s v="142601"/>
    <s v="JH"/>
    <s v="Roshan Zameer"/>
    <s v="10/12/2021"/>
    <s v="Shipped"/>
    <s v="USB Mouse"/>
    <s v="Mouse"/>
    <s v="Samsung"/>
    <n v="350"/>
    <n v="455"/>
    <n v="3"/>
    <n v="1050"/>
    <n v="1365"/>
    <s v="Aarvi Gupta"/>
    <n v="1690"/>
  </r>
  <r>
    <s v="142602"/>
    <s v="KA"/>
    <s v="Rakesh Kumar Sharma"/>
    <s v="10/12/2021"/>
    <s v="Order"/>
    <s v="19&quot; LED Display"/>
    <s v="Monitor"/>
    <s v="Dell"/>
    <n v="9500"/>
    <n v="12350"/>
    <n v="2"/>
    <n v="19000"/>
    <n v="24700"/>
    <s v="Vijay Singh"/>
    <n v="9750"/>
  </r>
  <r>
    <s v="142603"/>
    <s v="KL"/>
    <s v="Shivanand Sahani"/>
    <s v="10/12/2021"/>
    <s v="Processing"/>
    <s v="97 TB HDD"/>
    <s v="HDD"/>
    <s v="Western Digital"/>
    <n v="10000"/>
    <n v="13000"/>
    <n v="4"/>
    <n v="40000"/>
    <n v="52000"/>
    <s v="Aadil Khan"/>
    <n v="39000"/>
  </r>
  <r>
    <s v="142604"/>
    <s v="MP"/>
    <s v="Kunal Patra"/>
    <s v="10/12/2021"/>
    <s v="Delivered"/>
    <s v="607 GB M.2"/>
    <s v="SSD"/>
    <s v="Samsung"/>
    <n v="6500"/>
    <n v="8450"/>
    <n v="4"/>
    <n v="26000"/>
    <n v="33800"/>
    <s v="Advika Joshi"/>
    <n v="8450"/>
  </r>
  <r>
    <s v="142605"/>
    <s v="MH"/>
    <s v="Bijendra"/>
    <s v="10/12/2021"/>
    <s v="Shipped"/>
    <s v="RYZEN 3rd gen. 3595"/>
    <s v="CPU"/>
    <s v="Intel"/>
    <n v="8500"/>
    <n v="11050"/>
    <n v="1"/>
    <n v="8500"/>
    <n v="11050"/>
    <s v="Ajay Sharma"/>
    <n v="33150"/>
  </r>
  <r>
    <s v="142606"/>
    <s v="MN"/>
    <s v="Kranti Bheke"/>
    <s v="10/12/2021"/>
    <s v="Order"/>
    <s v="2GB Graphic Card"/>
    <s v="Graphic Card"/>
    <s v="Nvidia"/>
    <n v="7000"/>
    <n v="9100"/>
    <n v="2"/>
    <n v="14000"/>
    <n v="18200"/>
    <s v="Roshan Kumar"/>
    <n v="18200"/>
  </r>
  <r>
    <s v="142607"/>
    <s v="ML"/>
    <s v="Jagdeep"/>
    <s v="11/12/2021"/>
    <s v="Processing"/>
    <s v="111 GB DDR4 RAM"/>
    <s v="NIC"/>
    <s v="Hynix"/>
    <n v="6550"/>
    <n v="8515"/>
    <n v="1"/>
    <n v="6550"/>
    <n v="8515"/>
    <s v="Aarvi Gupta"/>
    <n v="9100"/>
  </r>
  <r>
    <s v="142608"/>
    <s v="MZ"/>
    <s v="Adhir Samal"/>
    <s v="12/12/2021"/>
    <s v="Delivered"/>
    <s v="Standard ATX motherboard"/>
    <s v="Printer"/>
    <s v="Gigabyte"/>
    <n v="7650"/>
    <n v="9945"/>
    <n v="1"/>
    <n v="7650"/>
    <n v="9945"/>
    <s v="Vijay Singh"/>
    <n v="11700"/>
  </r>
  <r>
    <s v="142609"/>
    <s v="NL"/>
    <s v="Dannana Jhammi"/>
    <s v="13/12/2021"/>
    <s v="Shipped"/>
    <s v="Compact with 1 Fan"/>
    <s v="Cabinet"/>
    <s v="Asus"/>
    <n v="1150"/>
    <n v="1495"/>
    <n v="2"/>
    <n v="2300"/>
    <n v="2990"/>
    <s v="Aadil Khan"/>
    <n v="2990"/>
  </r>
  <r>
    <s v="142610"/>
    <s v="OR"/>
    <s v="Vipin Kumar"/>
    <s v="14/12/2021"/>
    <s v="Order"/>
    <s v="USB Backlight Keyboard"/>
    <s v="Keyboard"/>
    <s v="Dell"/>
    <n v="850"/>
    <n v="1105"/>
    <n v="4"/>
    <n v="3400"/>
    <n v="4420"/>
    <s v="Advika Joshi"/>
    <n v="3315"/>
  </r>
  <r>
    <s v="142611"/>
    <s v="PB"/>
    <s v="Ranjeet Kumar"/>
    <s v="15/12/2021"/>
    <s v="Processing"/>
    <s v="Ergonomic Mouse"/>
    <s v="Mouse"/>
    <s v="Samsung"/>
    <n v="650"/>
    <n v="845"/>
    <n v="1"/>
    <n v="650"/>
    <n v="845"/>
    <s v="Ajay Sharma"/>
    <n v="1690"/>
  </r>
  <r>
    <s v="142612"/>
    <s v="RJ"/>
    <s v="Sajal Singhal"/>
    <s v="16/12/2021"/>
    <s v="Delivered"/>
    <s v="15&quot; LCD Dsipaly"/>
    <s v="Monitor"/>
    <s v="Dell"/>
    <n v="7500"/>
    <n v="9750"/>
    <n v="2"/>
    <n v="15000"/>
    <n v="19500"/>
    <s v="Roshan Kumar"/>
    <n v="9750"/>
  </r>
  <r>
    <s v="142613"/>
    <s v="SK"/>
    <s v="Akhilesh Kumar"/>
    <s v="17/12/2021"/>
    <s v="Shipped"/>
    <s v="97 TB HDD"/>
    <s v="HDD"/>
    <s v="Seagate"/>
    <n v="10000"/>
    <n v="13000"/>
    <n v="1"/>
    <n v="10000"/>
    <n v="13000"/>
    <s v="Aarvi Gupta"/>
    <n v="39000"/>
  </r>
  <r>
    <s v="142614"/>
    <s v="TN"/>
    <s v="Suvankar Chakraborty"/>
    <s v="17/12/2021"/>
    <s v="Order"/>
    <s v="96 TB SSD"/>
    <s v="SSD"/>
    <s v="Samsung"/>
    <n v="10500"/>
    <n v="13650"/>
    <n v="3"/>
    <n v="31500"/>
    <n v="40950"/>
    <s v="Vijay Singh"/>
    <n v="8450"/>
  </r>
  <r>
    <s v="142615"/>
    <s v="TR"/>
    <s v="Suvankar Adhikary"/>
    <s v="17/12/2021"/>
    <s v="Processing"/>
    <s v="Intel i5 12th gen."/>
    <s v="CPU"/>
    <s v="Intel"/>
    <n v="8500"/>
    <n v="11050"/>
    <n v="2"/>
    <n v="17000"/>
    <n v="22100"/>
    <s v="Aadil Khan"/>
    <n v="33150"/>
  </r>
  <r>
    <s v="142616"/>
    <s v="UK"/>
    <s v="Rahul Kumar Prajapati"/>
    <s v="17/12/2021"/>
    <s v="Delivered"/>
    <s v="2GB Graphic Card"/>
    <s v="Graphic Card"/>
    <s v="Nvidia"/>
    <n v="7000"/>
    <n v="9100"/>
    <n v="2"/>
    <n v="14000"/>
    <n v="18200"/>
    <s v="Advika Joshi"/>
    <n v="18200"/>
  </r>
  <r>
    <s v="142617"/>
    <s v="UP"/>
    <s v="Sagar Jeur"/>
    <s v="17/12/2021"/>
    <s v="Shipped"/>
    <s v="99 GB DDR4 Ram"/>
    <s v="NIC"/>
    <s v="Hynix"/>
    <n v="1680"/>
    <n v="2184"/>
    <n v="3"/>
    <n v="5040"/>
    <n v="6552"/>
    <s v="Ajay Sharma"/>
    <n v="9100"/>
  </r>
  <r>
    <s v="142618"/>
    <s v="WB"/>
    <s v="Rhushikesh Mane"/>
    <s v="17/12/2021"/>
    <s v="Order"/>
    <s v="Micro ATX motherboard"/>
    <s v="Printer"/>
    <s v="MSI"/>
    <n v="6540"/>
    <n v="8502"/>
    <n v="1"/>
    <n v="6540"/>
    <n v="8502"/>
    <s v="Roshan Kumar"/>
    <n v="11700"/>
  </r>
  <r>
    <s v="142619"/>
    <s v="TN"/>
    <s v="Ashish Kumar"/>
    <s v="17/12/2021"/>
    <s v="Processing"/>
    <s v="Gaming Box Cabinet"/>
    <s v="Cabinet"/>
    <s v="Asus"/>
    <n v="2680"/>
    <n v="3484"/>
    <n v="3"/>
    <n v="8040"/>
    <n v="10452"/>
    <s v="Aarvi Gupta"/>
    <n v="2990"/>
  </r>
  <r>
    <s v="142620"/>
    <s v="TR"/>
    <s v="Javed Akhter"/>
    <s v="17/12/2021"/>
    <s v="Delivered"/>
    <s v="17&quot; LCD Display"/>
    <s v="Monitor"/>
    <s v="Samsung"/>
    <n v="8250"/>
    <n v="10725"/>
    <n v="2"/>
    <n v="16500"/>
    <n v="21450"/>
    <s v="Vijay Singh"/>
    <n v="9750"/>
  </r>
  <r>
    <s v="142621"/>
    <s v="MH"/>
    <s v="Haridas Balraj"/>
    <s v="17/12/2021"/>
    <s v="Shipped"/>
    <s v="103 GB DDR4 RAM"/>
    <s v="RAM"/>
    <s v="Samsung"/>
    <n v="2650"/>
    <n v="3445"/>
    <n v="3"/>
    <n v="7950"/>
    <n v="10335"/>
    <s v="Aadil Khan"/>
    <n v="25545"/>
  </r>
  <r>
    <s v="142622"/>
    <s v="CH"/>
    <s v="Kundan Kumar"/>
    <s v="17/12/2021"/>
    <s v="Order"/>
    <s v="26&quot; LCD Display"/>
    <s v="Monitor"/>
    <s v="Acer"/>
    <n v="12550"/>
    <n v="16315"/>
    <n v="1"/>
    <n v="12550"/>
    <n v="16315"/>
    <s v="Advika Joshi"/>
    <n v="9750"/>
  </r>
  <r>
    <s v="142623"/>
    <s v="DH"/>
    <s v="Atif Siddiqui"/>
    <s v="17/12/2021"/>
    <s v="Processing"/>
    <s v="I7 - intel 12th Generation"/>
    <s v="CPU"/>
    <s v="Intel"/>
    <n v="14500"/>
    <n v="18850"/>
    <n v="3"/>
    <n v="43500"/>
    <n v="56550"/>
    <s v="Ajay Sharma"/>
    <n v="33150"/>
  </r>
  <r>
    <s v="142624"/>
    <s v="DD"/>
    <s v="Aditya Agarwal"/>
    <s v="17/12/2021"/>
    <s v="Delivered"/>
    <s v="USB Keyboard"/>
    <s v="Keyboard"/>
    <s v="Dell"/>
    <n v="800"/>
    <n v="1040"/>
    <n v="3"/>
    <n v="2400"/>
    <n v="3120"/>
    <s v="Roshan Kumar"/>
    <n v="3315"/>
  </r>
  <r>
    <s v="142625"/>
    <s v="DL"/>
    <s v="Firdoush Jabee"/>
    <s v="17/12/2021"/>
    <s v="Shipped"/>
    <s v="Wireless Mouse"/>
    <s v="Mouse"/>
    <s v="Samsung"/>
    <n v="600"/>
    <n v="780"/>
    <n v="3"/>
    <n v="1800"/>
    <n v="2340"/>
    <s v="Aarvi Gupta"/>
    <n v="1690"/>
  </r>
  <r>
    <s v="142626"/>
    <s v="LD"/>
    <s v="Jay Prakash Kumar"/>
    <s v="18/12/2021"/>
    <s v="Order"/>
    <s v="21&quot; LCD Display"/>
    <s v="Monitor"/>
    <s v="Dell"/>
    <n v="10500"/>
    <n v="13650"/>
    <n v="2"/>
    <n v="21000"/>
    <n v="27300"/>
    <s v="Vijay Singh"/>
    <n v="9750"/>
  </r>
  <r>
    <s v="142627"/>
    <s v="PY"/>
    <s v="Ashish Pandey"/>
    <s v="19/12/2021"/>
    <s v="Processing"/>
    <s v="97 TB HDD"/>
    <s v="HDD"/>
    <s v="Western Digital"/>
    <n v="6500"/>
    <n v="8450"/>
    <n v="3"/>
    <n v="19500"/>
    <n v="25350"/>
    <s v="Aadil Khan"/>
    <n v="39000"/>
  </r>
  <r>
    <s v="142628"/>
    <s v="AP"/>
    <s v="Ajay Sharma"/>
    <s v="20/12/2021"/>
    <s v="Delivered"/>
    <s v="352 GB SSD"/>
    <s v="SSD"/>
    <s v="Samsung"/>
    <n v="4500"/>
    <n v="5850"/>
    <n v="3"/>
    <n v="13500"/>
    <n v="17550"/>
    <s v="Advika Joshi"/>
    <n v="8450"/>
  </r>
  <r>
    <s v="142629"/>
    <s v="AR"/>
    <s v="Moinuddin Saifi"/>
    <s v="21/12/2021"/>
    <s v="Shipped"/>
    <s v="Intel i3 11th gen."/>
    <s v="CPU"/>
    <s v="Intel"/>
    <n v="8500"/>
    <n v="11050"/>
    <n v="3"/>
    <n v="25500"/>
    <n v="33150"/>
    <s v="Ajay Sharma"/>
    <n v="33150"/>
  </r>
  <r>
    <s v="142630"/>
    <s v="AS"/>
    <s v="Ramkrishna Das Adhikary"/>
    <s v="22/12/2021"/>
    <s v="Order"/>
    <s v="4GB Graphic card"/>
    <s v="Graphic Card"/>
    <s v="Nvidia"/>
    <n v="12500"/>
    <n v="16250"/>
    <n v="2"/>
    <n v="25000"/>
    <n v="32500"/>
    <s v="Roshan Kumar"/>
    <n v="18200"/>
  </r>
  <r>
    <s v="142631"/>
    <s v="BR"/>
    <s v="Ranjeet Mandal"/>
    <s v="22/12/2021"/>
    <s v="Processing"/>
    <s v="104 GB DDR4 RAM"/>
    <s v="RAM"/>
    <s v="Hynix"/>
    <n v="3500"/>
    <n v="4550"/>
    <n v="1"/>
    <n v="3500"/>
    <n v="4550"/>
    <s v="Aarvi Gupta"/>
    <n v="25545"/>
  </r>
  <r>
    <s v="142632"/>
    <s v="CG"/>
    <s v="Ashwini Adsare"/>
    <s v="22/12/2021"/>
    <s v="Delivered"/>
    <s v="BTX motherboard"/>
    <s v="MotherBoard"/>
    <s v="Gigabyte"/>
    <n v="4500"/>
    <n v="5850"/>
    <n v="2"/>
    <n v="9000"/>
    <n v="11700"/>
    <s v="Vijay Singh"/>
    <n v="39780"/>
  </r>
  <r>
    <s v="142633"/>
    <s v="GA"/>
    <s v="Rajesh Variya"/>
    <s v="22/12/2021"/>
    <s v="Shipped"/>
    <s v="99 Fans Cabinet"/>
    <s v="Cabinet"/>
    <s v="Asus"/>
    <n v="2100"/>
    <n v="2730"/>
    <n v="1"/>
    <n v="2100"/>
    <n v="2730"/>
    <s v="Aadil Khan"/>
    <n v="2990"/>
  </r>
  <r>
    <s v="142634"/>
    <s v="GJ"/>
    <s v="Amit Singh"/>
    <s v="22/12/2021"/>
    <s v="Order"/>
    <s v="Wireless Keyboard"/>
    <s v="Keyboard"/>
    <s v="Dell"/>
    <n v="1150"/>
    <n v="1495"/>
    <n v="3"/>
    <n v="3450"/>
    <n v="4485"/>
    <s v="Advika Joshi"/>
    <n v="3315"/>
  </r>
  <r>
    <s v="142635"/>
    <s v="HR"/>
    <s v="Vinod Mehta"/>
    <s v="22/12/2021"/>
    <s v="Processing"/>
    <s v="USB Mouse"/>
    <s v="Mouse"/>
    <s v="Samsung"/>
    <n v="350"/>
    <n v="455"/>
    <n v="2"/>
    <n v="700"/>
    <n v="910"/>
    <s v="Ajay Sharma"/>
    <n v="1690"/>
  </r>
  <r>
    <s v="142636"/>
    <s v="HP"/>
    <s v="Jignesh Mhatre"/>
    <s v="22/12/2021"/>
    <s v="Delivered"/>
    <s v="19&quot; LED Display"/>
    <s v="Monitor"/>
    <s v="Dell"/>
    <n v="9500"/>
    <n v="12350"/>
    <n v="4"/>
    <n v="38000"/>
    <n v="49400"/>
    <s v="Roshan Kumar"/>
    <n v="9750"/>
  </r>
  <r>
    <s v="142637"/>
    <s v="JK"/>
    <s v="Rahul Kashyap"/>
    <s v="22/12/2021"/>
    <s v="Shipped"/>
    <s v="98 TB HDD"/>
    <s v="HDD"/>
    <s v="Western Digital"/>
    <n v="10000"/>
    <n v="13000"/>
    <n v="4"/>
    <n v="40000"/>
    <n v="52000"/>
    <s v="Aarvi Gupta"/>
    <n v="39000"/>
  </r>
  <r>
    <s v="142638"/>
    <s v="JH"/>
    <s v="Mohammed Abdul Kaleem"/>
    <s v="22/12/2021"/>
    <s v="Order"/>
    <s v="608 GB M.2"/>
    <s v="SSD"/>
    <s v="Samsung"/>
    <n v="6500"/>
    <n v="8450"/>
    <n v="1"/>
    <n v="6500"/>
    <n v="8450"/>
    <s v="Vijay Singh"/>
    <n v="8450"/>
  </r>
  <r>
    <s v="142639"/>
    <s v="KA"/>
    <s v="Chandrakant Kasbe"/>
    <s v="22/12/2021"/>
    <s v="Processing"/>
    <s v="RYZEN 3rd gen. 3596"/>
    <s v="CPU"/>
    <s v="Intel"/>
    <n v="8500"/>
    <n v="11050"/>
    <n v="4"/>
    <n v="34000"/>
    <n v="44200"/>
    <s v="Aadil Khan"/>
    <n v="33150"/>
  </r>
  <r>
    <s v="142640"/>
    <s v="KL"/>
    <s v="Rohan Kale"/>
    <s v="22/12/2021"/>
    <s v="Delivered"/>
    <s v="2GB Graphic Card"/>
    <s v="Graphic Card"/>
    <s v="Nvidia"/>
    <n v="7000"/>
    <n v="9100"/>
    <n v="1"/>
    <n v="7000"/>
    <n v="9100"/>
    <s v="Advika Joshi"/>
    <n v="18200"/>
  </r>
  <r>
    <s v="142641"/>
    <s v="MP"/>
    <s v="Aniruddha Kekapure"/>
    <s v="22/12/2021"/>
    <s v="Shipped"/>
    <s v="112 GB DDR4 RAM"/>
    <s v="RAM"/>
    <s v="Hynix"/>
    <n v="6550"/>
    <n v="8515"/>
    <n v="4"/>
    <n v="26200"/>
    <n v="34060"/>
    <s v="Ajay Sharma"/>
    <n v="25545"/>
  </r>
  <r>
    <s v="142642"/>
    <s v="MH"/>
    <s v="Aslam Raza"/>
    <s v="22/12/2021"/>
    <s v="Order"/>
    <s v="Standard ATX motherboard"/>
    <s v="MotherBoard"/>
    <s v="Gigabyte"/>
    <n v="7650"/>
    <n v="9945"/>
    <n v="4"/>
    <n v="30600"/>
    <n v="39780"/>
    <s v="Roshan Kumar"/>
    <n v="39780"/>
  </r>
  <r>
    <s v="142643"/>
    <s v="MN"/>
    <s v="Roshan Zameer"/>
    <s v="22/12/2021"/>
    <s v="Processing"/>
    <s v="Compact with 1 Fan"/>
    <s v="Cabinet"/>
    <s v="Asus"/>
    <n v="1150"/>
    <n v="1495"/>
    <n v="1"/>
    <n v="1150"/>
    <n v="1495"/>
    <s v="Aarvi Gupta"/>
    <n v="2990"/>
  </r>
  <r>
    <s v="142644"/>
    <s v="ML"/>
    <s v="Rakesh Kumar Sharma"/>
    <s v="22/12/2021"/>
    <s v="Delivered"/>
    <s v="USB Backlight Keyboard"/>
    <s v="Keyboard"/>
    <s v="Dell"/>
    <n v="850"/>
    <n v="1105"/>
    <n v="1"/>
    <n v="850"/>
    <n v="1105"/>
    <s v="Vijay Singh"/>
    <n v="3315"/>
  </r>
  <r>
    <s v="142645"/>
    <s v="MZ"/>
    <s v="Shivanand Sahani"/>
    <s v="22/12/2021"/>
    <s v="Shipped"/>
    <s v="Ergonomic Mouse"/>
    <s v="Mouse"/>
    <s v="Samsung"/>
    <n v="650"/>
    <n v="845"/>
    <n v="4"/>
    <n v="2600"/>
    <n v="3380"/>
    <s v="Aadil Khan"/>
    <n v="1690"/>
  </r>
  <r>
    <s v="142646"/>
    <s v="NL"/>
    <s v="Kunal Patra"/>
    <s v="22/12/2021"/>
    <s v="Order"/>
    <s v="15&quot; LCD Dsipaly"/>
    <s v="Monitor"/>
    <s v="Dell"/>
    <n v="7500"/>
    <n v="9750"/>
    <n v="2"/>
    <n v="15000"/>
    <n v="19500"/>
    <s v="Advika Joshi"/>
    <n v="9750"/>
  </r>
  <r>
    <s v="142647"/>
    <s v="OR"/>
    <s v="Bijendra"/>
    <s v="22/12/2021"/>
    <s v="Processing"/>
    <s v="98 TB HDD"/>
    <s v="HDD"/>
    <s v="Seagate"/>
    <n v="10000"/>
    <n v="13000"/>
    <n v="3"/>
    <n v="30000"/>
    <n v="39000"/>
    <s v="Ajay Sharma"/>
    <n v="39000"/>
  </r>
  <r>
    <s v="142648"/>
    <s v="PB"/>
    <s v="Kranti Bheke"/>
    <s v="22/12/2021"/>
    <s v="Delivered"/>
    <s v="97 TB SSD"/>
    <s v="SSD"/>
    <s v="Samsung"/>
    <n v="10500"/>
    <n v="13650"/>
    <n v="2"/>
    <n v="21000"/>
    <n v="27300"/>
    <s v="Roshan Kumar"/>
    <n v="8450"/>
  </r>
  <r>
    <s v="142649"/>
    <s v="RJ"/>
    <s v="Jagdeep"/>
    <s v="22/12/2021"/>
    <s v="Shipped"/>
    <s v="Intel i5 12th gen."/>
    <s v="CPU"/>
    <s v="Intel"/>
    <n v="8500"/>
    <n v="11050"/>
    <n v="1"/>
    <n v="8500"/>
    <n v="11050"/>
    <s v="Aarvi Gupta"/>
    <n v="33150"/>
  </r>
  <r>
    <s v="142650"/>
    <s v="SK"/>
    <s v="Adhir Samal"/>
    <s v="23/12/2021"/>
    <s v="Order"/>
    <s v="2GB Graphic Card"/>
    <s v="Graphic Card"/>
    <s v="Nvidia"/>
    <n v="7000"/>
    <n v="9100"/>
    <n v="2"/>
    <n v="14000"/>
    <n v="18200"/>
    <s v="Vijay Singh"/>
    <n v="18200"/>
  </r>
  <r>
    <s v="142651"/>
    <s v="TN"/>
    <s v="Dannana Jhammi"/>
    <s v="24/12/2021"/>
    <s v="Processing"/>
    <s v="100 GB DDR4 Ram"/>
    <s v="RAM"/>
    <s v="Hynix"/>
    <n v="1680"/>
    <n v="2184"/>
    <n v="4"/>
    <n v="6720"/>
    <n v="8736"/>
    <s v="Aadil Khan"/>
    <n v="25545"/>
  </r>
  <r>
    <s v="142652"/>
    <s v="TR"/>
    <s v="Vipin Kumar"/>
    <s v="25/12/2021"/>
    <s v="Delivered"/>
    <s v="Micro ATX motherboard"/>
    <s v="MotherBoard"/>
    <s v="MSI"/>
    <n v="6540"/>
    <n v="8502"/>
    <n v="4"/>
    <n v="26160"/>
    <n v="34008"/>
    <s v="Advika Joshi"/>
    <n v="39780"/>
  </r>
  <r>
    <s v="142653"/>
    <s v="UK"/>
    <s v="Ranjeet Kumar"/>
    <s v="26/12/2021"/>
    <s v="Shipped"/>
    <s v="Gaming Box Cabinet"/>
    <s v="Cabinet"/>
    <s v="Asus"/>
    <n v="2680"/>
    <n v="3484"/>
    <n v="4"/>
    <n v="10720"/>
    <n v="13936"/>
    <s v="Ajay Sharma"/>
    <n v="2990"/>
  </r>
  <r>
    <s v="142654"/>
    <s v="UP"/>
    <s v="Sajal Singhal"/>
    <s v="27/12/2021"/>
    <s v="Order"/>
    <s v="17&quot; LCD Display"/>
    <s v="Monitor"/>
    <s v="Samsung"/>
    <n v="8250"/>
    <n v="10725"/>
    <n v="2"/>
    <n v="16500"/>
    <n v="21450"/>
    <s v="Roshan Kumar"/>
    <n v="9750"/>
  </r>
  <r>
    <s v="142655"/>
    <s v="WB"/>
    <s v="Akhilesh Kumar"/>
    <s v="27/12/2021"/>
    <s v="Processing"/>
    <s v="104 GB DDR4 RAM"/>
    <s v="RAM"/>
    <s v="Samsung"/>
    <n v="2650"/>
    <n v="3445"/>
    <n v="3"/>
    <n v="7950"/>
    <n v="10335"/>
    <s v="Aarvi Gupta"/>
    <n v="25545"/>
  </r>
  <r>
    <s v="142656"/>
    <s v="TN"/>
    <s v="Suvankar Chakraborty"/>
    <s v="27/12/2021"/>
    <s v="Delivered"/>
    <s v="26&quot; LCD Display"/>
    <s v="Monitor"/>
    <s v="Acer"/>
    <n v="12550"/>
    <n v="16315"/>
    <n v="1"/>
    <n v="12550"/>
    <n v="16315"/>
    <s v="Vijay Singh"/>
    <n v="9750"/>
  </r>
  <r>
    <s v="142657"/>
    <s v="TR"/>
    <s v="Suvankar Adhikary"/>
    <s v="27/12/2021"/>
    <s v="Shipped"/>
    <s v="I7 - intel 12th Generation"/>
    <s v="CPU"/>
    <s v="Intel"/>
    <n v="14500"/>
    <n v="18850"/>
    <n v="3"/>
    <n v="43500"/>
    <n v="56550"/>
    <s v="Aadil Khan"/>
    <n v="33150"/>
  </r>
  <r>
    <s v="142658"/>
    <s v="MH"/>
    <s v="Rahul Kumar Prajapati"/>
    <s v="27/12/2021"/>
    <s v="Order"/>
    <s v="USB Keyboard"/>
    <s v="Keyboard"/>
    <s v="Dell"/>
    <n v="800"/>
    <n v="1040"/>
    <n v="2"/>
    <n v="1600"/>
    <n v="2080"/>
    <s v="Advika Joshi"/>
    <n v="3315"/>
  </r>
  <r>
    <s v="142659"/>
    <s v="CH"/>
    <s v="Sagar Jeur"/>
    <s v="27/12/2021"/>
    <s v="Processing"/>
    <s v="Wireless Mouse"/>
    <s v="Mouse"/>
    <s v="Samsung"/>
    <n v="600"/>
    <n v="780"/>
    <n v="4"/>
    <n v="2400"/>
    <n v="3120"/>
    <s v="Ajay Sharma"/>
    <n v="1690"/>
  </r>
  <r>
    <s v="142660"/>
    <s v="DH"/>
    <s v="Rhushikesh Mane"/>
    <s v="27/12/2021"/>
    <s v="Delivered"/>
    <s v="21&quot; LCD Display"/>
    <s v="Monitor"/>
    <s v="Dell"/>
    <n v="10500"/>
    <n v="13650"/>
    <n v="4"/>
    <n v="42000"/>
    <n v="54600"/>
    <s v="Roshan Kumar"/>
    <n v="9750"/>
  </r>
  <r>
    <s v="142661"/>
    <s v="DD"/>
    <s v="Ashish Kumar"/>
    <s v="27/12/2021"/>
    <s v="Shipped"/>
    <s v="98 TB HDD"/>
    <s v="HDD"/>
    <s v="Western Digital"/>
    <n v="6500"/>
    <n v="8450"/>
    <n v="1"/>
    <n v="6500"/>
    <n v="8450"/>
    <s v="Aarvi Gupta"/>
    <n v="39000"/>
  </r>
  <r>
    <s v="142662"/>
    <s v="DL"/>
    <s v="Javed Akhter"/>
    <s v="27/12/2021"/>
    <s v="Order"/>
    <s v="353 GB SSD"/>
    <s v="SSD"/>
    <s v="Samsung"/>
    <n v="4500"/>
    <n v="5850"/>
    <n v="3"/>
    <n v="13500"/>
    <n v="17550"/>
    <s v="Vijay Singh"/>
    <n v="8450"/>
  </r>
  <r>
    <s v="142663"/>
    <s v="LD"/>
    <s v="Haridas Balraj"/>
    <s v="27/12/2021"/>
    <s v="Processing"/>
    <s v="Intel i3 11th gen."/>
    <s v="CPU"/>
    <s v="Intel"/>
    <n v="8500"/>
    <n v="11050"/>
    <n v="1"/>
    <n v="8500"/>
    <n v="11050"/>
    <s v="Aadil Khan"/>
    <n v="33150"/>
  </r>
  <r>
    <s v="142664"/>
    <s v="PY"/>
    <s v="Kundan Kumar"/>
    <s v="27/12/2021"/>
    <s v="Delivered"/>
    <s v="4GB Graphic card"/>
    <s v="Graphic Card"/>
    <s v="Nvidia"/>
    <n v="12500"/>
    <n v="16250"/>
    <n v="3"/>
    <n v="37500"/>
    <n v="48750"/>
    <s v="Advika Joshi"/>
    <n v="18200"/>
  </r>
  <r>
    <s v="142665"/>
    <s v="AP"/>
    <s v="Atif Siddiqui"/>
    <s v="27/12/2021"/>
    <s v="Shipped"/>
    <s v="105 GB DDR4 RAM"/>
    <s v="Computer Case"/>
    <s v="Hynix"/>
    <n v="3500"/>
    <n v="4550"/>
    <n v="1"/>
    <n v="3500"/>
    <n v="4550"/>
    <s v="Ajay Sharma"/>
    <n v="13650"/>
  </r>
  <r>
    <s v="142666"/>
    <s v="AR"/>
    <s v="Aditya Agarwal"/>
    <s v="27/12/2021"/>
    <s v="Order"/>
    <s v="BTX motherboard"/>
    <s v="Mouse"/>
    <s v="Gigabyte"/>
    <n v="4500"/>
    <n v="5850"/>
    <n v="2"/>
    <n v="9000"/>
    <n v="11700"/>
    <s v="Roshan Kumar"/>
    <n v="1690"/>
  </r>
  <r>
    <s v="142667"/>
    <s v="AS"/>
    <s v="Firdoush Jabee"/>
    <s v="27/12/2021"/>
    <s v="Processing"/>
    <s v="100 Fans Cabinet"/>
    <s v="Cabinet"/>
    <s v="Asus"/>
    <n v="2100"/>
    <n v="2730"/>
    <n v="4"/>
    <n v="8400"/>
    <n v="10920"/>
    <s v="Aarvi Gupta"/>
    <n v="2990"/>
  </r>
  <r>
    <s v="142668"/>
    <s v="BR"/>
    <s v="Jay Prakash Kumar"/>
    <s v="27/12/2021"/>
    <s v="Delivered"/>
    <s v="Wireless Keyboard"/>
    <s v="Keyboard"/>
    <s v="Dell"/>
    <n v="1150"/>
    <n v="1495"/>
    <n v="3"/>
    <n v="3450"/>
    <n v="4485"/>
    <s v="Vijay Singh"/>
    <n v="3315"/>
  </r>
  <r>
    <s v="142669"/>
    <s v="CG"/>
    <s v="Ashish Pandey"/>
    <s v="27/12/2021"/>
    <s v="Shipped"/>
    <s v="USB Mouse"/>
    <s v="Mouse"/>
    <s v="Samsung"/>
    <n v="350"/>
    <n v="455"/>
    <n v="4"/>
    <n v="1400"/>
    <n v="1820"/>
    <s v="Aadil Khan"/>
    <n v="1690"/>
  </r>
  <r>
    <s v="142670"/>
    <s v="GA"/>
    <s v="Ajay Sharma"/>
    <s v="27/12/2021"/>
    <s v="Order"/>
    <s v="19&quot; LED Display"/>
    <s v="Monitor"/>
    <s v="Dell"/>
    <n v="9500"/>
    <n v="12350"/>
    <n v="1"/>
    <n v="9500"/>
    <n v="12350"/>
    <s v="Advika Joshi"/>
    <n v="9750"/>
  </r>
  <r>
    <s v="142671"/>
    <s v="GJ"/>
    <s v="Moinuddin Saifi"/>
    <s v="27/12/2021"/>
    <s v="Processing"/>
    <s v="99 TB HDD"/>
    <s v="HDD"/>
    <s v="Western Digital"/>
    <n v="10000"/>
    <n v="13000"/>
    <n v="4"/>
    <n v="40000"/>
    <n v="52000"/>
    <s v="Ajay Sharma"/>
    <n v="39000"/>
  </r>
  <r>
    <s v="142672"/>
    <s v="HR"/>
    <s v="Ramkrishna Das Adhikary"/>
    <s v="27/12/2021"/>
    <s v="Delivered"/>
    <s v="609 GB M.2"/>
    <s v="SSD"/>
    <s v="Samsung"/>
    <n v="6500"/>
    <n v="8450"/>
    <n v="1"/>
    <n v="6500"/>
    <n v="8450"/>
    <s v="Roshan Kumar"/>
    <n v="8450"/>
  </r>
  <r>
    <s v="142673"/>
    <s v="HP"/>
    <s v="Ranjeet Mandal"/>
    <s v="27/12/2021"/>
    <s v="Shipped"/>
    <s v="RYZEN 3rd gen. 3597"/>
    <s v="CPU"/>
    <s v="Intel"/>
    <n v="8500"/>
    <n v="11050"/>
    <n v="1"/>
    <n v="8500"/>
    <n v="11050"/>
    <s v="Aarvi Gupta"/>
    <n v="33150"/>
  </r>
  <r>
    <s v="142674"/>
    <s v="JK"/>
    <s v="Ashwini Adsare"/>
    <s v="27/12/2021"/>
    <s v="Order"/>
    <s v="2GB Graphic Card"/>
    <s v="Graphic Card"/>
    <s v="Nvidia"/>
    <n v="7000"/>
    <n v="9100"/>
    <n v="1"/>
    <n v="7000"/>
    <n v="9100"/>
    <s v="Vijay Singh"/>
    <n v="18200"/>
  </r>
  <r>
    <s v="142675"/>
    <s v="JH"/>
    <s v="Rajesh Variya"/>
    <s v="27/12/2021"/>
    <s v="Processing"/>
    <s v="113 GB DDR4 RAM"/>
    <s v="Computer Case"/>
    <s v="Hynix"/>
    <n v="6550"/>
    <n v="8515"/>
    <n v="3"/>
    <n v="19650"/>
    <n v="25545"/>
    <s v="Aadil Khan"/>
    <n v="13650"/>
  </r>
  <r>
    <s v="142676"/>
    <s v="KA"/>
    <s v="Amit Singh"/>
    <s v="28/12/2021"/>
    <s v="Delivered"/>
    <s v="Standard ATX motherboard"/>
    <s v="Mouse"/>
    <s v="Gigabyte"/>
    <n v="7650"/>
    <n v="9945"/>
    <n v="4"/>
    <n v="30600"/>
    <n v="39780"/>
    <s v="Advika Joshi"/>
    <n v="1690"/>
  </r>
  <r>
    <s v="142677"/>
    <s v="KL"/>
    <s v="Vinod Mehta"/>
    <s v="29/12/2021"/>
    <s v="Shipped"/>
    <s v="Compact with 1 Fan"/>
    <s v="Cabinet"/>
    <s v="Asus"/>
    <n v="1150"/>
    <n v="1495"/>
    <n v="4"/>
    <n v="4600"/>
    <n v="5980"/>
    <s v="Ajay Sharma"/>
    <n v="2990"/>
  </r>
  <r>
    <s v="142678"/>
    <s v="MP"/>
    <s v="Jignesh Mhatre"/>
    <s v="30/12/2021"/>
    <s v="Order"/>
    <s v="USB Backlight Keyboard"/>
    <s v="Keyboard"/>
    <s v="Dell"/>
    <n v="850"/>
    <n v="1105"/>
    <n v="1"/>
    <n v="850"/>
    <n v="1105"/>
    <s v="Roshan Kumar"/>
    <n v="3315"/>
  </r>
  <r>
    <s v="142679"/>
    <s v="MH"/>
    <s v="Rahul Kashyap"/>
    <s v="31/12/2021"/>
    <s v="Processing"/>
    <s v="Ergonomic Mouse"/>
    <s v="Mouse"/>
    <s v="Samsung"/>
    <n v="650"/>
    <n v="845"/>
    <n v="2"/>
    <n v="1300"/>
    <n v="1690"/>
    <s v="Aarvi Gupta"/>
    <n v="1690"/>
  </r>
  <r>
    <s v="142680"/>
    <s v="MN"/>
    <s v="Mohammed Abdul Kaleem"/>
    <s v="31/12/2021"/>
    <s v="Delivered"/>
    <s v="15&quot; LCD Dsipaly"/>
    <s v="Monitor"/>
    <s v="Dell"/>
    <n v="7500"/>
    <n v="9750"/>
    <n v="3"/>
    <n v="22500"/>
    <n v="29250"/>
    <s v="Vijay Singh"/>
    <n v="9750"/>
  </r>
  <r>
    <s v="142681"/>
    <s v="ML"/>
    <s v="Chandrakant Kasbe"/>
    <s v="31/12/2021"/>
    <s v="Shipped"/>
    <s v="99 TB HDD"/>
    <s v="HDD"/>
    <s v="Seagate"/>
    <n v="10000"/>
    <n v="13000"/>
    <n v="1"/>
    <n v="10000"/>
    <n v="13000"/>
    <s v="Aadil Khan"/>
    <n v="39000"/>
  </r>
  <r>
    <s v="142682"/>
    <s v="MZ"/>
    <s v="Rohan Kale"/>
    <s v="31/12/2021"/>
    <s v="Order"/>
    <s v="98 TB SSD"/>
    <s v="SSD"/>
    <s v="Samsung"/>
    <n v="10500"/>
    <n v="13650"/>
    <n v="2"/>
    <n v="21000"/>
    <n v="27300"/>
    <s v="Advika Joshi"/>
    <n v="8450"/>
  </r>
  <r>
    <s v="142683"/>
    <s v="NL"/>
    <s v="Aniruddha Kekapure"/>
    <s v="31/12/2021"/>
    <s v="Processing"/>
    <s v="Intel i5 12th gen."/>
    <s v="CPU"/>
    <s v="Intel"/>
    <n v="8500"/>
    <n v="11050"/>
    <n v="1"/>
    <n v="8500"/>
    <n v="11050"/>
    <s v="Ajay Sharma"/>
    <n v="33150"/>
  </r>
  <r>
    <s v="142684"/>
    <s v="OR"/>
    <s v="Aslam Raza"/>
    <s v="31/12/2021"/>
    <s v="Delivered"/>
    <s v="2GB Graphic Card"/>
    <s v="Graphic Card"/>
    <s v="Nvidia"/>
    <n v="7000"/>
    <n v="9100"/>
    <n v="1"/>
    <n v="7000"/>
    <n v="9100"/>
    <s v="Roshan Kumar"/>
    <n v="18200"/>
  </r>
  <r>
    <s v="142685"/>
    <s v="PB"/>
    <s v="Roshan Zameer"/>
    <s v="31/12/2021"/>
    <s v="Shipped"/>
    <s v="101 GB DDR4 Ram"/>
    <s v="Computer Case"/>
    <s v="Hynix"/>
    <n v="1680"/>
    <n v="2184"/>
    <n v="2"/>
    <n v="3360"/>
    <n v="4368"/>
    <s v="Aarvi Gupta"/>
    <n v="13650"/>
  </r>
  <r>
    <s v="142686"/>
    <s v="RJ"/>
    <s v="Rakesh Kumar Sharma"/>
    <s v="31/12/2021"/>
    <s v="Order"/>
    <s v="Micro ATX motherboard"/>
    <s v="Mouse"/>
    <s v="MSI"/>
    <n v="6540"/>
    <n v="8502"/>
    <n v="4"/>
    <n v="26160"/>
    <n v="34008"/>
    <s v="Vijay Singh"/>
    <n v="1690"/>
  </r>
  <r>
    <s v="142687"/>
    <s v="SK"/>
    <s v="Shivanand Sahani"/>
    <s v="31/12/2021"/>
    <s v="Processing"/>
    <s v="Gaming Box Cabinet"/>
    <s v="Cabinet"/>
    <s v="Asus"/>
    <n v="2680"/>
    <n v="3484"/>
    <n v="4"/>
    <n v="10720"/>
    <n v="13936"/>
    <s v="Aadil Khan"/>
    <n v="2990"/>
  </r>
  <r>
    <s v="142688"/>
    <s v="TN"/>
    <s v="Kunal Patra"/>
    <s v="31/12/2021"/>
    <s v="Delivered"/>
    <s v="17&quot; LCD Display"/>
    <s v="Monitor"/>
    <s v="Samsung"/>
    <n v="8250"/>
    <n v="10725"/>
    <n v="4"/>
    <n v="33000"/>
    <n v="42900"/>
    <s v="Advika Joshi"/>
    <n v="9750"/>
  </r>
  <r>
    <s v="142689"/>
    <s v="TR"/>
    <s v="Bijendra"/>
    <s v="31/12/2021"/>
    <s v="Shipped"/>
    <s v="105 GB DDR4 RAM"/>
    <s v="RAM"/>
    <s v="Samsung"/>
    <n v="2650"/>
    <n v="3445"/>
    <n v="1"/>
    <n v="2650"/>
    <n v="3445"/>
    <s v="Ajay Sharma"/>
    <n v="25545"/>
  </r>
  <r>
    <s v="142690"/>
    <s v="UK"/>
    <s v="Kranti Bheke"/>
    <s v="31/12/2021"/>
    <s v="Order"/>
    <s v="26&quot; LCD Display"/>
    <s v="Monitor"/>
    <s v="Acer"/>
    <n v="12550"/>
    <n v="16315"/>
    <n v="4"/>
    <n v="50200"/>
    <n v="65260"/>
    <s v="Roshan Kumar"/>
    <n v="9750"/>
  </r>
  <r>
    <s v="142691"/>
    <s v="UP"/>
    <s v="Jagdeep"/>
    <s v="31/12/2021"/>
    <s v="Processing"/>
    <s v="I7 - intel 12th Generation"/>
    <s v="CPU"/>
    <s v="Intel"/>
    <n v="14500"/>
    <n v="18850"/>
    <n v="2"/>
    <n v="29000"/>
    <n v="37700"/>
    <s v="Aarvi Gupta"/>
    <n v="33150"/>
  </r>
  <r>
    <s v="142692"/>
    <s v="WB"/>
    <s v="Adhir Samal"/>
    <s v="31/12/2021"/>
    <s v="Delivered"/>
    <s v="USB Keyboard"/>
    <s v="Keyboard"/>
    <s v="Dell"/>
    <n v="800"/>
    <n v="1040"/>
    <n v="2"/>
    <n v="1600"/>
    <n v="2080"/>
    <s v="Vijay Singh"/>
    <n v="3315"/>
  </r>
  <r>
    <s v="142693"/>
    <s v="TN"/>
    <s v="Dannana Jhammi"/>
    <s v="31/12/2021"/>
    <s v="Shipped"/>
    <s v="Wireless Mouse"/>
    <s v="Mouse"/>
    <s v="Samsung"/>
    <n v="600"/>
    <n v="780"/>
    <n v="4"/>
    <n v="2400"/>
    <n v="3120"/>
    <s v="Aadil Khan"/>
    <n v="1690"/>
  </r>
  <r>
    <s v="142694"/>
    <s v="TR"/>
    <s v="Vipin Kumar"/>
    <s v="31/12/2021"/>
    <s v="Order"/>
    <s v="21&quot; LCD Display"/>
    <s v="Monitor"/>
    <s v="Dell"/>
    <n v="10500"/>
    <n v="13650"/>
    <n v="2"/>
    <n v="21000"/>
    <n v="27300"/>
    <s v="Advika Joshi"/>
    <n v="9750"/>
  </r>
  <r>
    <s v="142695"/>
    <s v="MH"/>
    <s v="Ranjeet Kumar"/>
    <s v="31/12/2021"/>
    <s v="Processing"/>
    <s v="99 TB HDD"/>
    <s v="HDD"/>
    <s v="Western Digital"/>
    <n v="6500"/>
    <n v="8450"/>
    <n v="4"/>
    <n v="26000"/>
    <n v="33800"/>
    <s v="Ajay Sharma"/>
    <n v="39000"/>
  </r>
  <r>
    <s v="142696"/>
    <s v="CH"/>
    <s v="Sajal Singhal"/>
    <s v="31/12/2021"/>
    <s v="Delivered"/>
    <s v="354 GB SSD"/>
    <s v="SSD"/>
    <s v="Samsung"/>
    <n v="4500"/>
    <n v="5850"/>
    <n v="4"/>
    <n v="18000"/>
    <n v="23400"/>
    <s v="Roshan Kumar"/>
    <n v="8450"/>
  </r>
  <r>
    <s v="142697"/>
    <s v="DH"/>
    <s v="Akhilesh Kumar"/>
    <s v="31/12/2021"/>
    <s v="Shipped"/>
    <s v="Intel i3 11th gen."/>
    <s v="CPU"/>
    <s v="Intel"/>
    <n v="8500"/>
    <n v="11050"/>
    <n v="3"/>
    <n v="25500"/>
    <n v="33150"/>
    <s v="Aarvi Gupta"/>
    <n v="33150"/>
  </r>
  <r>
    <s v="142698"/>
    <s v="DD"/>
    <s v="Suvankar Chakraborty"/>
    <s v="31/12/2021"/>
    <s v="Order"/>
    <s v="4GB Graphic card"/>
    <s v="Graphic Card"/>
    <s v="Nvidia"/>
    <n v="12500"/>
    <n v="16250"/>
    <n v="1"/>
    <n v="12500"/>
    <n v="16250"/>
    <s v="Vijay Singh"/>
    <n v="18200"/>
  </r>
  <r>
    <s v="142699"/>
    <s v="DL"/>
    <s v="Suvankar Adhikary"/>
    <s v="31/12/2021"/>
    <s v="Processing"/>
    <s v="106 GB DDR4 RAM"/>
    <s v="NIC"/>
    <s v="Hynix"/>
    <n v="3500"/>
    <n v="4550"/>
    <n v="3"/>
    <n v="10500"/>
    <n v="13650"/>
    <s v="Aadil Khan"/>
    <n v="9100"/>
  </r>
  <r>
    <s v="142700"/>
    <s v="LD"/>
    <s v="Rahul Kumar Prajapati"/>
    <s v="31/12/2021"/>
    <s v="Delivered"/>
    <s v="BTX motherboard"/>
    <s v="Printer"/>
    <s v="Gigabyte"/>
    <n v="4500"/>
    <n v="5850"/>
    <n v="4"/>
    <n v="18000"/>
    <n v="23400"/>
    <s v="Advika Joshi"/>
    <n v="11700"/>
  </r>
  <r>
    <s v="142701"/>
    <s v="PY"/>
    <s v="Sagar Jeur"/>
    <s v="31/12/2021"/>
    <s v="Shipped"/>
    <s v="101 Fans Cabinet"/>
    <s v="Cabinet"/>
    <s v="Asus"/>
    <n v="2100"/>
    <n v="2730"/>
    <n v="3"/>
    <n v="6300"/>
    <n v="8190"/>
    <s v="Ajay Sharma"/>
    <n v="2990"/>
  </r>
  <r>
    <s v="142702"/>
    <s v="AP"/>
    <s v="Rhushikesh Mane"/>
    <s v="31/12/2021"/>
    <s v="Order"/>
    <s v="Wireless Keyboard"/>
    <s v="Keyboard"/>
    <s v="Dell"/>
    <n v="1150"/>
    <n v="1495"/>
    <n v="4"/>
    <n v="4600"/>
    <n v="5980"/>
    <s v="Roshan Kumar"/>
    <n v="3315"/>
  </r>
  <r>
    <s v="142703"/>
    <s v="AR"/>
    <s v="Ashish Kumar"/>
    <s v="31/12/2021"/>
    <s v="Processing"/>
    <s v="USB Mouse"/>
    <s v="Mouse"/>
    <s v="Samsung"/>
    <n v="350"/>
    <n v="455"/>
    <n v="4"/>
    <n v="1400"/>
    <n v="1820"/>
    <s v="Aarvi Gupta"/>
    <n v="1690"/>
  </r>
  <r>
    <s v="142704"/>
    <s v="AS"/>
    <s v="Javed Akhter"/>
    <s v="31/12/2021"/>
    <s v="Delivered"/>
    <s v="19&quot; LED Display"/>
    <s v="Monitor"/>
    <s v="Dell"/>
    <n v="9500"/>
    <n v="12350"/>
    <n v="2"/>
    <n v="19000"/>
    <n v="24700"/>
    <s v="Vijay Singh"/>
    <n v="9750"/>
  </r>
  <r>
    <s v="142705"/>
    <s v="BR"/>
    <s v="Haridas Balraj"/>
    <s v="31/12/2021"/>
    <s v="Shipped"/>
    <s v="100 TB HDD"/>
    <s v="HDD"/>
    <s v="Western Digital"/>
    <n v="10000"/>
    <n v="13000"/>
    <n v="2"/>
    <n v="20000"/>
    <n v="26000"/>
    <s v="Aadil Khan"/>
    <n v="39000"/>
  </r>
  <r>
    <s v="142706"/>
    <s v="CG"/>
    <s v="Kundan Kumar"/>
    <s v="31/12/2021"/>
    <s v="Order"/>
    <s v="610 GB M.2"/>
    <s v="SSD"/>
    <s v="Samsung"/>
    <n v="6500"/>
    <n v="8450"/>
    <n v="1"/>
    <n v="6500"/>
    <n v="8450"/>
    <s v="Advika Joshi"/>
    <n v="8450"/>
  </r>
  <r>
    <s v="142707"/>
    <s v="GA"/>
    <s v="Atif Siddiqui"/>
    <s v="31/12/2021"/>
    <s v="Processing"/>
    <s v="RYZEN 3rd gen. 3598"/>
    <s v="CPU"/>
    <s v="Intel"/>
    <n v="8500"/>
    <n v="11050"/>
    <n v="3"/>
    <n v="25500"/>
    <n v="33150"/>
    <s v="Ajay Sharma"/>
    <n v="33150"/>
  </r>
  <r>
    <s v="142708"/>
    <s v="GJ"/>
    <s v="Aditya Agarwal"/>
    <s v="31/12/2021"/>
    <s v="Delivered"/>
    <s v="2GB Graphic Card"/>
    <s v="Graphic Card"/>
    <s v="Nvidia"/>
    <n v="7000"/>
    <n v="9100"/>
    <n v="2"/>
    <n v="14000"/>
    <n v="18200"/>
    <s v="Roshan Kumar"/>
    <n v="18200"/>
  </r>
  <r>
    <s v="142709"/>
    <s v="HR"/>
    <s v="Firdoush Jabee"/>
    <s v="31/12/2021"/>
    <s v="Shipped"/>
    <s v="114 GB DDR4 RAM"/>
    <s v="NIC"/>
    <s v="Hynix"/>
    <n v="6550"/>
    <n v="8515"/>
    <n v="2"/>
    <n v="13100"/>
    <n v="17030"/>
    <s v="Aarvi Gupta"/>
    <n v="9100"/>
  </r>
  <r>
    <s v="142710"/>
    <s v="HP"/>
    <s v="Jay Prakash Kumar"/>
    <s v="31/12/2021"/>
    <s v="Order"/>
    <s v="Standard ATX motherboard"/>
    <s v="Printer"/>
    <s v="Gigabyte"/>
    <n v="7650"/>
    <n v="9945"/>
    <n v="1"/>
    <n v="7650"/>
    <n v="9945"/>
    <s v="Vijay Singh"/>
    <n v="11700"/>
  </r>
  <r>
    <s v="142711"/>
    <s v="JK"/>
    <s v="Ashish Pandey"/>
    <s v="31/12/2021"/>
    <s v="Processing"/>
    <s v="Compact with 1 Fan"/>
    <s v="Cabinet"/>
    <s v="Asus"/>
    <n v="1150"/>
    <n v="1495"/>
    <n v="1"/>
    <n v="1150"/>
    <n v="1495"/>
    <s v="Aadil Khan"/>
    <n v="2990"/>
  </r>
  <r>
    <s v="142712"/>
    <s v="JH"/>
    <s v="Ajay Sharma"/>
    <s v="31/12/2021"/>
    <s v="Delivered"/>
    <s v="USB Backlight Keyboard"/>
    <s v="Keyboard"/>
    <s v="Dell"/>
    <n v="850"/>
    <n v="1105"/>
    <n v="2"/>
    <n v="1700"/>
    <n v="2210"/>
    <s v="Advika Joshi"/>
    <n v="3315"/>
  </r>
  <r>
    <s v="142713"/>
    <s v="KA"/>
    <s v="Moinuddin Saifi"/>
    <s v="31/12/2021"/>
    <s v="Shipped"/>
    <s v="Ergonomic Mouse"/>
    <s v="Mouse"/>
    <s v="Samsung"/>
    <n v="650"/>
    <n v="845"/>
    <n v="1"/>
    <n v="650"/>
    <n v="845"/>
    <s v="Ajay Sharma"/>
    <n v="1690"/>
  </r>
  <r>
    <s v="142714"/>
    <s v="KL"/>
    <s v="Ramkrishna Das Adhikary"/>
    <s v="31/12/2021"/>
    <s v="Order"/>
    <s v="15&quot; LCD Dsipaly"/>
    <s v="Monitor"/>
    <s v="Dell"/>
    <n v="7500"/>
    <n v="9750"/>
    <n v="1"/>
    <n v="7500"/>
    <n v="9750"/>
    <s v="Roshan Kumar"/>
    <n v="9750"/>
  </r>
  <r>
    <s v="142715"/>
    <s v="MP"/>
    <s v="Ranjeet Mandal"/>
    <s v="31/12/2021"/>
    <s v="Processing"/>
    <s v="100 TB HDD"/>
    <s v="HDD"/>
    <s v="Seagate"/>
    <n v="10000"/>
    <n v="13000"/>
    <n v="4"/>
    <n v="40000"/>
    <n v="52000"/>
    <s v="Aarvi Gupta"/>
    <n v="39000"/>
  </r>
  <r>
    <s v="142716"/>
    <s v="MH"/>
    <s v="Ashwini Adsare"/>
    <s v="31/12/2021"/>
    <s v="Delivered"/>
    <s v="99 TB SSD"/>
    <s v="SSD"/>
    <s v="Samsung"/>
    <n v="10500"/>
    <n v="13650"/>
    <n v="1"/>
    <n v="10500"/>
    <n v="13650"/>
    <s v="Vijay Singh"/>
    <n v="8450"/>
  </r>
  <r>
    <s v="142717"/>
    <s v="MN"/>
    <s v="Rajesh Variya"/>
    <s v="31/12/2021"/>
    <s v="Shipped"/>
    <s v="Intel i5 12th gen."/>
    <s v="CPU"/>
    <s v="Intel"/>
    <n v="8500"/>
    <n v="11050"/>
    <n v="1"/>
    <n v="8500"/>
    <n v="11050"/>
    <s v="Aadil Khan"/>
    <n v="33150"/>
  </r>
  <r>
    <s v="142718"/>
    <s v="ML"/>
    <s v="Amit Singh"/>
    <s v="31/12/2021"/>
    <s v="Order"/>
    <s v="2GB Graphic Card"/>
    <s v="Graphic Card"/>
    <s v="Nvidia"/>
    <n v="7000"/>
    <n v="9100"/>
    <n v="4"/>
    <n v="28000"/>
    <n v="36400"/>
    <s v="Advika Joshi"/>
    <n v="18200"/>
  </r>
  <r>
    <s v="142719"/>
    <s v="MZ"/>
    <s v="Vinod Mehta"/>
    <s v="31/12/2021"/>
    <s v="Processing"/>
    <s v="102 GB DDR4 Ram"/>
    <s v="NIC"/>
    <s v="Hynix"/>
    <n v="1680"/>
    <n v="2184"/>
    <n v="2"/>
    <n v="3360"/>
    <n v="4368"/>
    <s v="Ajay Sharma"/>
    <n v="9100"/>
  </r>
  <r>
    <s v="142720"/>
    <s v="NL"/>
    <s v="Jignesh Mhatre"/>
    <s v="31/12/2021"/>
    <s v="Delivered"/>
    <s v="Micro ATX motherboard"/>
    <s v="Printer"/>
    <s v="MSI"/>
    <n v="6540"/>
    <n v="8502"/>
    <n v="2"/>
    <n v="13080"/>
    <n v="17004"/>
    <s v="Roshan Kumar"/>
    <n v="11700"/>
  </r>
  <r>
    <s v="142721"/>
    <s v="OR"/>
    <s v="Rahul Kashyap"/>
    <s v="31/12/2021"/>
    <s v="Shipped"/>
    <s v="Gaming Box Cabinet"/>
    <s v="Cabinet"/>
    <s v="Asus"/>
    <n v="2680"/>
    <n v="3484"/>
    <n v="4"/>
    <n v="10720"/>
    <n v="13936"/>
    <s v="Aarvi Gupta"/>
    <n v="2990"/>
  </r>
  <r>
    <s v="142722"/>
    <s v="PB"/>
    <s v="Mohammed Abdul Kaleem"/>
    <s v="31/12/2021"/>
    <s v="Order"/>
    <s v="17&quot; LCD Display"/>
    <s v="Monitor"/>
    <s v="Samsung"/>
    <n v="8250"/>
    <n v="10725"/>
    <n v="4"/>
    <n v="33000"/>
    <n v="42900"/>
    <s v="Vijay Singh"/>
    <n v="9750"/>
  </r>
  <r>
    <s v="142723"/>
    <s v="RJ"/>
    <s v="Chandrakant Kasbe"/>
    <s v="31/12/2021"/>
    <s v="Processing"/>
    <s v="106 GB DDR4 RAM"/>
    <s v="RAM"/>
    <s v="Samsung"/>
    <n v="2650"/>
    <n v="3445"/>
    <n v="1"/>
    <n v="2650"/>
    <n v="3445"/>
    <s v="Aadil Khan"/>
    <n v="25545"/>
  </r>
  <r>
    <s v="142724"/>
    <s v="SK"/>
    <s v="Rohan Kale"/>
    <s v="31/12/2021"/>
    <s v="Delivered"/>
    <s v="26&quot; LCD Display"/>
    <s v="Monitor"/>
    <s v="Acer"/>
    <n v="12550"/>
    <n v="16315"/>
    <n v="3"/>
    <n v="37650"/>
    <n v="48945"/>
    <s v="Advika Joshi"/>
    <n v="9750"/>
  </r>
  <r>
    <s v="142725"/>
    <s v="TN"/>
    <s v="Aniruddha Kekapure"/>
    <s v="31/12/2021"/>
    <s v="Shipped"/>
    <s v="I7 - intel 12th Generation"/>
    <s v="CPU"/>
    <s v="Intel"/>
    <n v="14500"/>
    <n v="18850"/>
    <n v="2"/>
    <n v="29000"/>
    <n v="37700"/>
    <s v="Ajay Sharma"/>
    <n v="33150"/>
  </r>
  <r>
    <s v="142726"/>
    <s v="TR"/>
    <s v="Aslam Raza"/>
    <s v="31/12/2021"/>
    <s v="Order"/>
    <s v="USB Keyboard"/>
    <s v="Keyboard"/>
    <s v="Dell"/>
    <n v="800"/>
    <n v="1040"/>
    <n v="1"/>
    <n v="800"/>
    <n v="1040"/>
    <s v="Roshan Kumar"/>
    <n v="3315"/>
  </r>
  <r>
    <s v="142727"/>
    <s v="UK"/>
    <s v="Roshan Zameer"/>
    <s v="31/12/2021"/>
    <s v="Processing"/>
    <s v="Wireless Mouse"/>
    <s v="Mouse"/>
    <s v="Samsung"/>
    <n v="600"/>
    <n v="780"/>
    <n v="3"/>
    <n v="1800"/>
    <n v="2340"/>
    <s v="Aarvi Gupta"/>
    <n v="1690"/>
  </r>
  <r>
    <s v="142728"/>
    <s v="UP"/>
    <s v="Rakesh Kumar Sharma"/>
    <s v="31/12/2021"/>
    <s v="Delivered"/>
    <s v="21&quot; LCD Display"/>
    <s v="Monitor"/>
    <s v="Dell"/>
    <n v="10500"/>
    <n v="13650"/>
    <n v="3"/>
    <n v="31500"/>
    <n v="40950"/>
    <s v="Vijay Singh"/>
    <n v="9750"/>
  </r>
  <r>
    <s v="142729"/>
    <s v="WB"/>
    <s v="Shivanand Sahani"/>
    <s v="31/12/2021"/>
    <s v="Shipped"/>
    <s v="100 TB HDD"/>
    <s v="HDD"/>
    <s v="Western Digital"/>
    <n v="6500"/>
    <n v="8450"/>
    <n v="4"/>
    <n v="26000"/>
    <n v="33800"/>
    <s v="Aadil Khan"/>
    <n v="39000"/>
  </r>
  <r>
    <s v="142730"/>
    <s v="TN"/>
    <s v="Kunal Patra"/>
    <s v="31/12/2021"/>
    <s v="Order"/>
    <s v="355 GB SSD"/>
    <s v="SSD"/>
    <s v="Samsung"/>
    <n v="4500"/>
    <n v="5850"/>
    <n v="1"/>
    <n v="4500"/>
    <n v="5850"/>
    <s v="Advika Joshi"/>
    <n v="8450"/>
  </r>
  <r>
    <s v="142731"/>
    <s v="TR"/>
    <s v="Bijendra"/>
    <s v="31/12/2021"/>
    <s v="Processing"/>
    <s v="Intel i3 11th gen."/>
    <s v="CPU"/>
    <s v="Intel"/>
    <n v="8500"/>
    <n v="11050"/>
    <n v="2"/>
    <n v="17000"/>
    <n v="22100"/>
    <s v="Ajay Sharma"/>
    <n v="33150"/>
  </r>
  <r>
    <s v="142732"/>
    <s v="MH"/>
    <s v="Kranti Bheke"/>
    <s v="31/12/2021"/>
    <s v="Delivered"/>
    <s v="4GB Graphic card"/>
    <s v="Graphic Card"/>
    <s v="Nvidia"/>
    <n v="12500"/>
    <n v="16250"/>
    <n v="3"/>
    <n v="37500"/>
    <n v="48750"/>
    <s v="Roshan Kumar"/>
    <n v="18200"/>
  </r>
  <r>
    <s v="142733"/>
    <s v="CH"/>
    <s v="Jagdeep"/>
    <s v="31/12/2021"/>
    <s v="Shipped"/>
    <s v="107 GB DDR4 RAM"/>
    <s v="RAM"/>
    <s v="Hynix"/>
    <n v="3500"/>
    <n v="4550"/>
    <n v="1"/>
    <n v="3500"/>
    <n v="4550"/>
    <s v="Aarvi Gupta"/>
    <n v="25545"/>
  </r>
  <r>
    <s v="142734"/>
    <s v="DH"/>
    <s v="Adhir Samal"/>
    <s v="31/12/2021"/>
    <s v="Order"/>
    <s v="BTX motherboard"/>
    <s v="MotherBoard"/>
    <s v="Gigabyte"/>
    <n v="4500"/>
    <n v="5850"/>
    <n v="3"/>
    <n v="13500"/>
    <n v="17550"/>
    <s v="Vijay Singh"/>
    <n v="39780"/>
  </r>
  <r>
    <s v="142735"/>
    <s v="DD"/>
    <s v="Dannana Jhammi"/>
    <s v="31/12/2021"/>
    <s v="Processing"/>
    <s v="102 Fans Cabinet"/>
    <s v="Cabinet"/>
    <s v="Asus"/>
    <n v="2100"/>
    <n v="2730"/>
    <n v="2"/>
    <n v="4200"/>
    <n v="5460"/>
    <s v="Aadil Khan"/>
    <n v="2990"/>
  </r>
  <r>
    <s v="142736"/>
    <s v="DL"/>
    <s v="Vipin Kumar"/>
    <s v="31/12/2021"/>
    <s v="Delivered"/>
    <s v="Wireless Keyboard"/>
    <s v="Keyboard"/>
    <s v="Dell"/>
    <n v="1150"/>
    <n v="1495"/>
    <n v="2"/>
    <n v="2300"/>
    <n v="2990"/>
    <s v="Advika Joshi"/>
    <n v="3315"/>
  </r>
  <r>
    <s v="142737"/>
    <s v="LD"/>
    <s v="Ranjeet Kumar"/>
    <s v="01/01/2022"/>
    <s v="Shipped"/>
    <s v="USB Mouse"/>
    <s v="Mouse"/>
    <s v="Samsung"/>
    <n v="350"/>
    <n v="455"/>
    <n v="4"/>
    <n v="1400"/>
    <n v="1820"/>
    <s v="Ajay Sharma"/>
    <n v="1690"/>
  </r>
  <r>
    <s v="142738"/>
    <s v="PY"/>
    <s v="Sajal Singhal"/>
    <s v="01/01/2022"/>
    <s v="Order"/>
    <s v="19&quot; LED Display"/>
    <s v="Monitor"/>
    <s v="Dell"/>
    <n v="9500"/>
    <n v="12350"/>
    <n v="3"/>
    <n v="28500"/>
    <n v="37050"/>
    <s v="Roshan Kumar"/>
    <n v="9750"/>
  </r>
  <r>
    <s v="142739"/>
    <s v="AP"/>
    <s v="Akhilesh Kumar"/>
    <s v="01/01/2022"/>
    <s v="Processing"/>
    <s v="101 TB HDD"/>
    <s v="HDD"/>
    <s v="Western Digital"/>
    <n v="10000"/>
    <n v="13000"/>
    <n v="3"/>
    <n v="30000"/>
    <n v="39000"/>
    <s v="Aarvi Gupta"/>
    <n v="39000"/>
  </r>
  <r>
    <s v="142740"/>
    <s v="AR"/>
    <s v="Suvankar Chakraborty"/>
    <s v="01/01/2022"/>
    <s v="Delivered"/>
    <s v="611 GB M.2"/>
    <s v="SSD"/>
    <s v="Samsung"/>
    <n v="6500"/>
    <n v="8450"/>
    <n v="1"/>
    <n v="6500"/>
    <n v="8450"/>
    <s v="Vijay Singh"/>
    <n v="8450"/>
  </r>
  <r>
    <s v="142741"/>
    <s v="AS"/>
    <s v="Suvankar Adhikary"/>
    <s v="01/01/2022"/>
    <s v="Shipped"/>
    <s v="RYZEN 3rd gen. 3599"/>
    <s v="CPU"/>
    <s v="Intel"/>
    <n v="8500"/>
    <n v="11050"/>
    <n v="1"/>
    <n v="8500"/>
    <n v="11050"/>
    <s v="Aadil Khan"/>
    <n v="33150"/>
  </r>
  <r>
    <s v="142742"/>
    <s v="BR"/>
    <s v="Rahul Kumar Prajapati"/>
    <s v="01/01/2022"/>
    <s v="Order"/>
    <s v="2GB Graphic Card"/>
    <s v="Graphic Card"/>
    <s v="Nvidia"/>
    <n v="7000"/>
    <n v="9100"/>
    <n v="3"/>
    <n v="21000"/>
    <n v="27300"/>
    <s v="Advika Joshi"/>
    <n v="18200"/>
  </r>
  <r>
    <s v="142743"/>
    <s v="CG"/>
    <s v="Sagar Jeur"/>
    <s v="01/01/2022"/>
    <s v="Processing"/>
    <s v="115 GB DDR4 RAM"/>
    <s v="RAM"/>
    <s v="Hynix"/>
    <n v="6550"/>
    <n v="8515"/>
    <n v="1"/>
    <n v="6550"/>
    <n v="8515"/>
    <s v="Ajay Sharma"/>
    <n v="25545"/>
  </r>
  <r>
    <s v="142744"/>
    <s v="GA"/>
    <s v="Rhushikesh Mane"/>
    <s v="01/01/2022"/>
    <s v="Delivered"/>
    <s v="Standard ATX motherboard"/>
    <s v="MotherBoard"/>
    <s v="Gigabyte"/>
    <n v="7650"/>
    <n v="9945"/>
    <n v="3"/>
    <n v="22950"/>
    <n v="29835"/>
    <s v="Roshan Kumar"/>
    <n v="39780"/>
  </r>
  <r>
    <s v="142745"/>
    <s v="GJ"/>
    <s v="Ashish Kumar"/>
    <s v="01/01/2022"/>
    <s v="Shipped"/>
    <s v="Compact with 1 Fan"/>
    <s v="Cabinet"/>
    <s v="Asus"/>
    <n v="1150"/>
    <n v="1495"/>
    <n v="2"/>
    <n v="2300"/>
    <n v="2990"/>
    <s v="Aarvi Gupta"/>
    <n v="2990"/>
  </r>
  <r>
    <s v="142746"/>
    <s v="HR"/>
    <s v="Javed Akhter"/>
    <s v="01/01/2022"/>
    <s v="Order"/>
    <s v="USB Backlight Keyboard"/>
    <s v="Keyboard"/>
    <s v="Dell"/>
    <n v="850"/>
    <n v="1105"/>
    <n v="4"/>
    <n v="3400"/>
    <n v="4420"/>
    <s v="Vijay Singh"/>
    <n v="3315"/>
  </r>
  <r>
    <s v="142747"/>
    <s v="HP"/>
    <s v="Haridas Balraj"/>
    <s v="01/01/2022"/>
    <s v="Processing"/>
    <s v="Ergonomic Mouse"/>
    <s v="Mouse"/>
    <s v="Samsung"/>
    <n v="650"/>
    <n v="845"/>
    <n v="1"/>
    <n v="650"/>
    <n v="845"/>
    <s v="Aadil Khan"/>
    <n v="1690"/>
  </r>
  <r>
    <s v="142748"/>
    <s v="JK"/>
    <s v="Kundan Kumar"/>
    <s v="01/01/2022"/>
    <s v="Delivered"/>
    <s v="15&quot; LCD Dsipaly"/>
    <s v="Monitor"/>
    <s v="Dell"/>
    <n v="7500"/>
    <n v="9750"/>
    <n v="3"/>
    <n v="22500"/>
    <n v="29250"/>
    <s v="Advika Joshi"/>
    <n v="9750"/>
  </r>
  <r>
    <s v="142749"/>
    <s v="JH"/>
    <s v="Atif Siddiqui"/>
    <s v="01/01/2022"/>
    <s v="Shipped"/>
    <s v="101 TB HDD"/>
    <s v="HDD"/>
    <s v="Seagate"/>
    <n v="10000"/>
    <n v="13000"/>
    <n v="1"/>
    <n v="10000"/>
    <n v="13000"/>
    <s v="Ajay Sharma"/>
    <n v="39000"/>
  </r>
  <r>
    <s v="142750"/>
    <s v="KA"/>
    <s v="Aditya Agarwal"/>
    <s v="01/01/2022"/>
    <s v="Order"/>
    <s v="100 TB SSD"/>
    <s v="SSD"/>
    <s v="Samsung"/>
    <n v="10500"/>
    <n v="13650"/>
    <n v="1"/>
    <n v="10500"/>
    <n v="13650"/>
    <s v="Roshan Kumar"/>
    <n v="8450"/>
  </r>
  <r>
    <s v="142751"/>
    <s v="KL"/>
    <s v="Firdoush Jabee"/>
    <s v="01/01/2022"/>
    <s v="Processing"/>
    <s v="Intel i5 12th gen."/>
    <s v="CPU"/>
    <s v="Intel"/>
    <n v="8500"/>
    <n v="11050"/>
    <n v="3"/>
    <n v="25500"/>
    <n v="33150"/>
    <s v="Aarvi Gupta"/>
    <n v="33150"/>
  </r>
  <r>
    <s v="142752"/>
    <s v="MP"/>
    <s v="Jay Prakash Kumar"/>
    <s v="01/01/2022"/>
    <s v="Delivered"/>
    <s v="2GB Graphic Card"/>
    <s v="Graphic Card"/>
    <s v="Nvidia"/>
    <n v="7000"/>
    <n v="9100"/>
    <n v="3"/>
    <n v="21000"/>
    <n v="27300"/>
    <s v="Vijay Singh"/>
    <n v="18200"/>
  </r>
  <r>
    <s v="142753"/>
    <s v="MH"/>
    <s v="Ashish Pandey"/>
    <s v="01/01/2022"/>
    <s v="Shipped"/>
    <s v="103 GB DDR4 Ram"/>
    <s v="RAM"/>
    <s v="Hynix"/>
    <n v="1680"/>
    <n v="2184"/>
    <n v="2"/>
    <n v="3360"/>
    <n v="4368"/>
    <s v="Aadil Khan"/>
    <n v="25545"/>
  </r>
  <r>
    <s v="142754"/>
    <s v="MN"/>
    <s v="Ajay Sharma"/>
    <s v="01/01/2022"/>
    <s v="Order"/>
    <s v="Micro ATX motherboard"/>
    <s v="MotherBoard"/>
    <s v="MSI"/>
    <n v="6540"/>
    <n v="8502"/>
    <n v="2"/>
    <n v="13080"/>
    <n v="17004"/>
    <s v="Advika Joshi"/>
    <n v="39780"/>
  </r>
  <r>
    <s v="142755"/>
    <s v="ML"/>
    <s v="Moinuddin Saifi"/>
    <s v="02/01/2022"/>
    <s v="Processing"/>
    <s v="Gaming Box Cabinet"/>
    <s v="Cabinet"/>
    <s v="Asus"/>
    <n v="2680"/>
    <n v="3484"/>
    <n v="4"/>
    <n v="10720"/>
    <n v="13936"/>
    <s v="Ajay Sharma"/>
    <n v="2990"/>
  </r>
  <r>
    <s v="142756"/>
    <s v="MZ"/>
    <s v="Ramkrishna Das Adhikary"/>
    <s v="03/01/2022"/>
    <s v="Delivered"/>
    <s v="17&quot; LCD Display"/>
    <s v="Monitor"/>
    <s v="Samsung"/>
    <n v="8250"/>
    <n v="10725"/>
    <n v="3"/>
    <n v="24750"/>
    <n v="32175"/>
    <s v="Ajay Sharma"/>
    <n v="9750"/>
  </r>
  <r>
    <s v="142757"/>
    <s v="NL"/>
    <s v="Ranjeet Mandal"/>
    <s v="04/01/2022"/>
    <s v="Shipped"/>
    <s v="107 GB DDR4 RAM"/>
    <s v="RAM"/>
    <s v="Samsung"/>
    <n v="2650"/>
    <n v="3445"/>
    <n v="1"/>
    <n v="2650"/>
    <n v="3445"/>
    <s v="Roshan Kumar"/>
    <n v="25545"/>
  </r>
  <r>
    <s v="142758"/>
    <s v="OR"/>
    <s v="Ashwini Adsare"/>
    <s v="05/01/2022"/>
    <s v="Order"/>
    <s v="26&quot; LCD Display"/>
    <s v="Monitor"/>
    <s v="Acer"/>
    <n v="12550"/>
    <n v="16315"/>
    <n v="3"/>
    <n v="37650"/>
    <n v="48945"/>
    <s v="Aarvi Gupta"/>
    <n v="9750"/>
  </r>
  <r>
    <s v="142759"/>
    <s v="PB"/>
    <s v="Rajesh Variya"/>
    <s v="06/01/2022"/>
    <s v="Processing"/>
    <s v="I7 - intel 12th Generation"/>
    <s v="CPU"/>
    <s v="Intel"/>
    <n v="14500"/>
    <n v="18850"/>
    <n v="3"/>
    <n v="43500"/>
    <n v="56550"/>
    <s v="Vijay Singh"/>
    <n v="33150"/>
  </r>
  <r>
    <s v="142760"/>
    <s v="RJ"/>
    <s v="Amit Singh"/>
    <s v="07/01/2022"/>
    <s v="Delivered"/>
    <s v="USB Keyboard"/>
    <s v="Keyboard"/>
    <s v="Dell"/>
    <n v="800"/>
    <n v="1040"/>
    <n v="2"/>
    <n v="1600"/>
    <n v="2080"/>
    <s v="Aadil Khan"/>
    <n v="3315"/>
  </r>
  <r>
    <s v="142761"/>
    <s v="SK"/>
    <s v="Vinod Mehta"/>
    <s v="08/01/2022"/>
    <s v="Shipped"/>
    <s v="Wireless Mouse"/>
    <s v="Mouse"/>
    <s v="Samsung"/>
    <n v="600"/>
    <n v="780"/>
    <n v="3"/>
    <n v="1800"/>
    <n v="2340"/>
    <s v="Advika Joshi"/>
    <n v="1690"/>
  </r>
  <r>
    <s v="142762"/>
    <s v="TN"/>
    <s v="Jignesh Mhatre"/>
    <s v="09/01/2022"/>
    <s v="Order"/>
    <s v="21&quot; LCD Display"/>
    <s v="Monitor"/>
    <s v="Dell"/>
    <n v="10500"/>
    <n v="13650"/>
    <n v="2"/>
    <n v="21000"/>
    <n v="27300"/>
    <s v="Ajay Sharma"/>
    <n v="9750"/>
  </r>
  <r>
    <s v="142763"/>
    <s v="TR"/>
    <s v="Rahul Kashyap"/>
    <s v="10/01/2022"/>
    <s v="Processing"/>
    <s v="101 TB HDD"/>
    <s v="HDD"/>
    <s v="Western Digital"/>
    <n v="6500"/>
    <n v="8450"/>
    <n v="4"/>
    <n v="26000"/>
    <n v="33800"/>
    <s v="Roshan Kumar"/>
    <n v="39000"/>
  </r>
  <r>
    <s v="142764"/>
    <s v="UK"/>
    <s v="Mohammed Abdul Kaleem"/>
    <s v="11/01/2022"/>
    <s v="Delivered"/>
    <s v="356 GB SSD"/>
    <s v="SSD"/>
    <s v="Samsung"/>
    <n v="4500"/>
    <n v="5850"/>
    <n v="4"/>
    <n v="18000"/>
    <n v="23400"/>
    <s v="Aarvi Gupta"/>
    <n v="8450"/>
  </r>
  <r>
    <s v="142765"/>
    <s v="UP"/>
    <s v="Chandrakant Kasbe"/>
    <s v="12/01/2022"/>
    <s v="Shipped"/>
    <s v="Intel i3 11th gen."/>
    <s v="CPU"/>
    <s v="Intel"/>
    <n v="8500"/>
    <n v="11050"/>
    <n v="2"/>
    <n v="17000"/>
    <n v="22100"/>
    <s v="Vijay Singh"/>
    <n v="33150"/>
  </r>
  <r>
    <s v="142766"/>
    <s v="WB"/>
    <s v="Rohan Kale"/>
    <s v="12/01/2022"/>
    <s v="Order"/>
    <s v="4GB Graphic card"/>
    <s v="Graphic Card"/>
    <s v="Nvidia"/>
    <n v="12500"/>
    <n v="16250"/>
    <n v="2"/>
    <n v="25000"/>
    <n v="32500"/>
    <s v="Aadil Khan"/>
    <n v="18200"/>
  </r>
  <r>
    <s v="142767"/>
    <s v="TN"/>
    <s v="Aniruddha Kekapure"/>
    <s v="12/01/2022"/>
    <s v="Processing"/>
    <s v="108 GB DDR4 RAM"/>
    <s v="Computer Case"/>
    <s v="Hynix"/>
    <n v="3500"/>
    <n v="4550"/>
    <n v="2"/>
    <n v="7000"/>
    <n v="9100"/>
    <s v="Advika Joshi"/>
    <n v="13650"/>
  </r>
  <r>
    <s v="142768"/>
    <s v="TR"/>
    <s v="Aslam Raza"/>
    <s v="12/01/2022"/>
    <s v="Delivered"/>
    <s v="BTX motherboard"/>
    <s v="Mouse"/>
    <s v="Gigabyte"/>
    <n v="4500"/>
    <n v="5850"/>
    <n v="4"/>
    <n v="18000"/>
    <n v="23400"/>
    <s v="Ajay Sharma"/>
    <n v="1690"/>
  </r>
  <r>
    <s v="142769"/>
    <s v="MH"/>
    <s v="Roshan Zameer"/>
    <s v="13/01/2022"/>
    <s v="Shipped"/>
    <s v="103 Fans Cabinet"/>
    <s v="Cabinet"/>
    <s v="Asus"/>
    <n v="2100"/>
    <n v="2730"/>
    <n v="1"/>
    <n v="2100"/>
    <n v="2730"/>
    <s v="Roshan Kumar"/>
    <n v="2990"/>
  </r>
  <r>
    <s v="142770"/>
    <s v="CH"/>
    <s v="Rakesh Kumar Sharma"/>
    <s v="14/01/2022"/>
    <s v="Order"/>
    <s v="Wireless Keyboard"/>
    <s v="Keyboard"/>
    <s v="Dell"/>
    <n v="1150"/>
    <n v="1495"/>
    <n v="3"/>
    <n v="3450"/>
    <n v="4485"/>
    <s v="Aarvi Gupta"/>
    <n v="3315"/>
  </r>
  <r>
    <s v="142771"/>
    <s v="DH"/>
    <s v="Shivanand Sahani"/>
    <s v="15/01/2022"/>
    <s v="Processing"/>
    <s v="USB Mouse"/>
    <s v="Mouse"/>
    <s v="Samsung"/>
    <n v="350"/>
    <n v="455"/>
    <n v="2"/>
    <n v="700"/>
    <n v="910"/>
    <s v="Vijay Singh"/>
    <n v="1690"/>
  </r>
  <r>
    <s v="142772"/>
    <s v="DD"/>
    <s v="Kunal Patra"/>
    <s v="16/01/2022"/>
    <s v="Delivered"/>
    <s v="19&quot; LED Display"/>
    <s v="Monitor"/>
    <s v="Dell"/>
    <n v="9500"/>
    <n v="12350"/>
    <n v="2"/>
    <n v="19000"/>
    <n v="24700"/>
    <s v="Aadil Khan"/>
    <n v="9750"/>
  </r>
  <r>
    <s v="142773"/>
    <s v="DL"/>
    <s v="Bijendra"/>
    <s v="17/01/2022"/>
    <s v="Shipped"/>
    <s v="102 TB HDD"/>
    <s v="HDD"/>
    <s v="Western Digital"/>
    <n v="10000"/>
    <n v="13000"/>
    <n v="1"/>
    <n v="10000"/>
    <n v="13000"/>
    <s v="Advika Joshi"/>
    <n v="39000"/>
  </r>
  <r>
    <s v="142774"/>
    <s v="LD"/>
    <s v="Kranti Bheke"/>
    <s v="18/01/2022"/>
    <s v="Order"/>
    <s v="612 GB M.2"/>
    <s v="SSD"/>
    <s v="Samsung"/>
    <n v="6500"/>
    <n v="8450"/>
    <n v="2"/>
    <n v="13000"/>
    <n v="16900"/>
    <s v="Ajay Sharma"/>
    <n v="8450"/>
  </r>
  <r>
    <s v="142775"/>
    <s v="PY"/>
    <s v="Jagdeep"/>
    <s v="19/01/2022"/>
    <s v="Processing"/>
    <s v="RYZEN 3rd gen. 3600"/>
    <s v="CPU"/>
    <s v="Intel"/>
    <n v="8500"/>
    <n v="11050"/>
    <n v="1"/>
    <n v="8500"/>
    <n v="11050"/>
    <s v="Roshan Kumar"/>
    <n v="33150"/>
  </r>
  <r>
    <s v="142776"/>
    <s v="AP"/>
    <s v="Adhir Samal"/>
    <s v="20/01/2022"/>
    <s v="Delivered"/>
    <s v="2GB Graphic Card"/>
    <s v="Graphic Card"/>
    <s v="Nvidia"/>
    <n v="7000"/>
    <n v="9100"/>
    <n v="1"/>
    <n v="7000"/>
    <n v="9100"/>
    <s v="Aarvi Gupta"/>
    <n v="18200"/>
  </r>
  <r>
    <s v="142777"/>
    <s v="AR"/>
    <s v="Dannana Jhammi"/>
    <s v="21/01/2022"/>
    <s v="Shipped"/>
    <s v="116 GB DDR4 RAM"/>
    <s v="Computer Case"/>
    <s v="Hynix"/>
    <n v="6550"/>
    <n v="8515"/>
    <n v="1"/>
    <n v="6550"/>
    <n v="8515"/>
    <s v="Vijay Singh"/>
    <n v="13650"/>
  </r>
  <r>
    <s v="142778"/>
    <s v="AS"/>
    <s v="Vipin Kumar"/>
    <s v="22/01/2022"/>
    <s v="Order"/>
    <s v="Standard ATX motherboard"/>
    <s v="Mouse"/>
    <s v="Gigabyte"/>
    <n v="7650"/>
    <n v="9945"/>
    <n v="2"/>
    <n v="15300"/>
    <n v="19890"/>
    <s v="Aadil Khan"/>
    <n v="1690"/>
  </r>
  <r>
    <s v="142779"/>
    <s v="BR"/>
    <s v="Ranjeet Kumar"/>
    <s v="23/01/2022"/>
    <s v="Processing"/>
    <s v="Compact with 1 Fan"/>
    <s v="Cabinet"/>
    <s v="Asus"/>
    <n v="1150"/>
    <n v="1495"/>
    <n v="1"/>
    <n v="1150"/>
    <n v="1495"/>
    <s v="Advika Joshi"/>
    <n v="2990"/>
  </r>
  <r>
    <s v="142780"/>
    <s v="CG"/>
    <s v="Sajal Singhal"/>
    <s v="24/01/2022"/>
    <s v="Delivered"/>
    <s v="USB Backlight Keyboard"/>
    <s v="Keyboard"/>
    <s v="Dell"/>
    <n v="850"/>
    <n v="1105"/>
    <n v="2"/>
    <n v="1700"/>
    <n v="2210"/>
    <s v="Ajay Sharma"/>
    <n v="3315"/>
  </r>
  <r>
    <s v="142781"/>
    <s v="GA"/>
    <s v="Akhilesh Kumar"/>
    <s v="25/01/2022"/>
    <s v="Shipped"/>
    <s v="Ergonomic Mouse"/>
    <s v="Mouse"/>
    <s v="Samsung"/>
    <n v="650"/>
    <n v="845"/>
    <n v="2"/>
    <n v="1300"/>
    <n v="1690"/>
    <s v="Roshan Kumar"/>
    <n v="1690"/>
  </r>
  <r>
    <s v="142782"/>
    <s v="GJ"/>
    <s v="Suvankar Chakraborty"/>
    <s v="26/01/2022"/>
    <s v="Order"/>
    <s v="15&quot; LCD Dsipaly"/>
    <s v="Monitor"/>
    <s v="Dell"/>
    <n v="7500"/>
    <n v="9750"/>
    <n v="3"/>
    <n v="22500"/>
    <n v="29250"/>
    <s v="Aarvi Gupta"/>
    <n v="9750"/>
  </r>
  <r>
    <s v="142783"/>
    <s v="HR"/>
    <s v="Suvankar Adhikary"/>
    <s v="27/01/2022"/>
    <s v="Processing"/>
    <s v="102 TB HDD"/>
    <s v="HDD"/>
    <s v="Seagate"/>
    <n v="10000"/>
    <n v="13000"/>
    <n v="2"/>
    <n v="20000"/>
    <n v="26000"/>
    <s v="Vijay Singh"/>
    <n v="39000"/>
  </r>
  <r>
    <s v="142784"/>
    <s v="HP"/>
    <s v="Rahul Kumar Prajapati"/>
    <s v="28/01/2022"/>
    <s v="Delivered"/>
    <s v="101 TB SSD"/>
    <s v="SSD"/>
    <s v="Samsung"/>
    <n v="10500"/>
    <n v="13650"/>
    <n v="4"/>
    <n v="42000"/>
    <n v="54600"/>
    <s v="Aadil Khan"/>
    <n v="8450"/>
  </r>
  <r>
    <s v="142785"/>
    <s v="JK"/>
    <s v="Sagar Jeur"/>
    <s v="29/01/2022"/>
    <s v="Shipped"/>
    <s v="Intel i5 12th gen."/>
    <s v="CPU"/>
    <s v="Intel"/>
    <n v="8500"/>
    <n v="11050"/>
    <n v="3"/>
    <n v="25500"/>
    <n v="33150"/>
    <s v="Advika Joshi"/>
    <n v="33150"/>
  </r>
  <r>
    <s v="142786"/>
    <s v="JH"/>
    <s v="Rhushikesh Mane"/>
    <s v="30/01/2022"/>
    <s v="Order"/>
    <s v="2GB Graphic Card"/>
    <s v="Graphic Card"/>
    <s v="Nvidia"/>
    <n v="7000"/>
    <n v="9100"/>
    <n v="3"/>
    <n v="21000"/>
    <n v="27300"/>
    <s v="Ajay Sharma"/>
    <n v="18200"/>
  </r>
  <r>
    <s v="142787"/>
    <s v="KA"/>
    <s v="Ashish Kumar"/>
    <s v="31/01/2022"/>
    <s v="Processing"/>
    <s v="104 GB DDR4 Ram"/>
    <s v="Computer Case"/>
    <s v="Hynix"/>
    <n v="1680"/>
    <n v="2184"/>
    <n v="2"/>
    <n v="3360"/>
    <n v="4368"/>
    <s v="Roshan Kumar"/>
    <n v="13650"/>
  </r>
  <r>
    <s v="142788"/>
    <s v="KL"/>
    <s v="Javed Akhter"/>
    <s v="01/02/2022"/>
    <s v="Delivered"/>
    <s v="Micro ATX motherboard"/>
    <s v="Mouse"/>
    <s v="MSI"/>
    <n v="6540"/>
    <n v="8502"/>
    <n v="1"/>
    <n v="6540"/>
    <n v="8502"/>
    <s v="Aarvi Gupta"/>
    <n v="1690"/>
  </r>
  <r>
    <s v="142789"/>
    <s v="MP"/>
    <s v="Haridas Balraj"/>
    <s v="01/02/2022"/>
    <s v="Shipped"/>
    <s v="Gaming Box Cabinet"/>
    <s v="Cabinet"/>
    <s v="Asus"/>
    <n v="2680"/>
    <n v="3484"/>
    <n v="4"/>
    <n v="10720"/>
    <n v="13936"/>
    <s v="Vijay Singh"/>
    <n v="2990"/>
  </r>
  <r>
    <s v="142790"/>
    <s v="MH"/>
    <s v="Kundan Kumar"/>
    <s v="02/02/2022"/>
    <s v="Order"/>
    <s v="17&quot; LCD Display"/>
    <s v="Monitor"/>
    <s v="Samsung"/>
    <n v="8250"/>
    <n v="10725"/>
    <n v="2"/>
    <n v="16500"/>
    <n v="21450"/>
    <s v="Aadil Khan"/>
    <n v="9750"/>
  </r>
  <r>
    <s v="142791"/>
    <s v="MN"/>
    <s v="Atif Siddiqui"/>
    <s v="03/02/2022"/>
    <s v="Processing"/>
    <s v="108 GB DDR4 RAM"/>
    <s v="RAM"/>
    <s v="Samsung"/>
    <n v="2650"/>
    <n v="3445"/>
    <n v="1"/>
    <n v="2650"/>
    <n v="3445"/>
    <s v="Advika Joshi"/>
    <n v="25545"/>
  </r>
  <r>
    <s v="142792"/>
    <s v="ML"/>
    <s v="Aditya Agarwal"/>
    <s v="03/02/2022"/>
    <s v="Delivered"/>
    <s v="26&quot; LCD Display"/>
    <s v="Monitor"/>
    <s v="Acer"/>
    <n v="12550"/>
    <n v="16315"/>
    <n v="2"/>
    <n v="25100"/>
    <n v="32630"/>
    <s v="Ajay Sharma"/>
    <n v="9750"/>
  </r>
  <r>
    <s v="142793"/>
    <s v="MZ"/>
    <s v="Firdoush Jabee"/>
    <s v="03/02/2022"/>
    <s v="Shipped"/>
    <s v="I7 - intel 12th Generation"/>
    <s v="CPU"/>
    <s v="Intel"/>
    <n v="14500"/>
    <n v="18850"/>
    <n v="2"/>
    <n v="29000"/>
    <n v="37700"/>
    <s v="Roshan Kumar"/>
    <n v="33150"/>
  </r>
  <r>
    <s v="142794"/>
    <s v="NL"/>
    <s v="Jay Prakash Kumar"/>
    <s v="04/02/2022"/>
    <s v="Order"/>
    <s v="USB Keyboard"/>
    <s v="Keyboard"/>
    <s v="Dell"/>
    <n v="800"/>
    <n v="1040"/>
    <n v="2"/>
    <n v="1600"/>
    <n v="2080"/>
    <s v="Aarvi Gupta"/>
    <n v="3315"/>
  </r>
  <r>
    <s v="142795"/>
    <s v="OR"/>
    <s v="Ashish Pandey"/>
    <s v="05/02/2022"/>
    <s v="Processing"/>
    <s v="Wireless Mouse"/>
    <s v="Mouse"/>
    <s v="Samsung"/>
    <n v="600"/>
    <n v="780"/>
    <n v="2"/>
    <n v="1200"/>
    <n v="1560"/>
    <s v="Vijay Singh"/>
    <n v="1690"/>
  </r>
  <r>
    <s v="142796"/>
    <s v="PB"/>
    <s v="Ajay Sharma"/>
    <s v="06/02/2022"/>
    <s v="Delivered"/>
    <s v="21&quot; LCD Display"/>
    <s v="Monitor"/>
    <s v="Dell"/>
    <n v="10500"/>
    <n v="13650"/>
    <n v="2"/>
    <n v="21000"/>
    <n v="27300"/>
    <s v="Aadil Khan"/>
    <n v="9750"/>
  </r>
  <r>
    <s v="142797"/>
    <s v="RJ"/>
    <s v="Moinuddin Saifi"/>
    <s v="07/02/2022"/>
    <s v="Shipped"/>
    <s v="102 TB HDD"/>
    <s v="HDD"/>
    <s v="Western Digital"/>
    <n v="6500"/>
    <n v="8450"/>
    <n v="2"/>
    <n v="13000"/>
    <n v="16900"/>
    <s v="Advika Joshi"/>
    <n v="39000"/>
  </r>
  <r>
    <s v="142798"/>
    <s v="SK"/>
    <s v="Ramkrishna Das Adhikary"/>
    <s v="08/02/2022"/>
    <s v="Order"/>
    <s v="357 GB SSD"/>
    <s v="SSD"/>
    <s v="Samsung"/>
    <n v="4500"/>
    <n v="5850"/>
    <n v="2"/>
    <n v="9000"/>
    <n v="11700"/>
    <s v="Ajay Sharma"/>
    <n v="8450"/>
  </r>
  <r>
    <s v="142799"/>
    <s v="TN"/>
    <s v="Ranjeet Mandal"/>
    <s v="09/02/2022"/>
    <s v="Processing"/>
    <s v="Intel i3 11th gen."/>
    <s v="CPU"/>
    <s v="Intel"/>
    <n v="8500"/>
    <n v="11050"/>
    <n v="1"/>
    <n v="8500"/>
    <n v="11050"/>
    <s v="Roshan Kumar"/>
    <n v="33150"/>
  </r>
  <r>
    <s v="142800"/>
    <s v="TR"/>
    <s v="Ashwini Adsare"/>
    <s v="10/02/2022"/>
    <s v="Delivered"/>
    <s v="4GB Graphic card"/>
    <s v="Graphic Card"/>
    <s v="Nvidia"/>
    <n v="12500"/>
    <n v="16250"/>
    <n v="2"/>
    <n v="25000"/>
    <n v="32500"/>
    <s v="Aarvi Gupta"/>
    <n v="18200"/>
  </r>
  <r>
    <s v="142801"/>
    <s v="UK"/>
    <s v="Rajesh Variya"/>
    <s v="11/02/2022"/>
    <s v="Shipped"/>
    <s v="109 GB DDR4 RAM"/>
    <s v="NIC"/>
    <s v="Hynix"/>
    <n v="3500"/>
    <n v="4550"/>
    <n v="2"/>
    <n v="7000"/>
    <n v="9100"/>
    <s v="Vijay Singh"/>
    <n v="9100"/>
  </r>
  <r>
    <s v="142802"/>
    <s v="UP"/>
    <s v="Amit Singh"/>
    <s v="12/02/2022"/>
    <s v="Order"/>
    <s v="BTX motherboard"/>
    <s v="Printer"/>
    <s v="Gigabyte"/>
    <n v="4500"/>
    <n v="5850"/>
    <n v="2"/>
    <n v="9000"/>
    <n v="11700"/>
    <s v="Aadil Khan"/>
    <n v="11700"/>
  </r>
  <r>
    <s v="142803"/>
    <s v="WB"/>
    <s v="Vinod Mehta"/>
    <s v="13/02/2022"/>
    <s v="Processing"/>
    <s v="104 Fans Cabinet"/>
    <s v="Cabinet"/>
    <s v="Asus"/>
    <n v="2100"/>
    <n v="2730"/>
    <n v="3"/>
    <n v="6300"/>
    <n v="8190"/>
    <s v="Advika Joshi"/>
    <n v="2990"/>
  </r>
  <r>
    <s v="142804"/>
    <s v="TN"/>
    <s v="Jignesh Mhatre"/>
    <s v="14/02/2022"/>
    <s v="Delivered"/>
    <s v="Wireless Keyboard"/>
    <s v="Keyboard"/>
    <s v="Dell"/>
    <n v="1150"/>
    <n v="1495"/>
    <n v="1"/>
    <n v="1150"/>
    <n v="1495"/>
    <s v="Ajay Sharma"/>
    <n v="3315"/>
  </r>
  <r>
    <s v="142805"/>
    <s v="TR"/>
    <s v="Rahul Kashyap"/>
    <s v="15/02/2022"/>
    <s v="Shipped"/>
    <s v="USB Mouse"/>
    <s v="Mouse"/>
    <s v="Samsung"/>
    <n v="350"/>
    <n v="455"/>
    <n v="3"/>
    <n v="1050"/>
    <n v="1365"/>
    <s v="Roshan Kumar"/>
    <n v="1690"/>
  </r>
  <r>
    <s v="142806"/>
    <s v="MH"/>
    <s v="Mohammed Abdul Kaleem"/>
    <s v="16/02/2022"/>
    <s v="Order"/>
    <s v="19&quot; LED Display"/>
    <s v="Monitor"/>
    <s v="Dell"/>
    <n v="9500"/>
    <n v="12350"/>
    <n v="3"/>
    <n v="28500"/>
    <n v="37050"/>
    <s v="Aarvi Gupta"/>
    <n v="9750"/>
  </r>
  <r>
    <s v="142807"/>
    <s v="CH"/>
    <s v="Chandrakant Kasbe"/>
    <s v="17/02/2022"/>
    <s v="Processing"/>
    <s v="103 TB HDD"/>
    <s v="HDD"/>
    <s v="Western Digital"/>
    <n v="10000"/>
    <n v="13000"/>
    <n v="3"/>
    <n v="30000"/>
    <n v="39000"/>
    <s v="Vijay Singh"/>
    <n v="39000"/>
  </r>
  <r>
    <s v="142808"/>
    <s v="DH"/>
    <s v="Rohan Kale"/>
    <s v="18/02/2022"/>
    <s v="Delivered"/>
    <s v="613 GB M.2"/>
    <s v="SSD"/>
    <s v="Samsung"/>
    <n v="6500"/>
    <n v="8450"/>
    <n v="4"/>
    <n v="26000"/>
    <n v="33800"/>
    <s v="Aadil Khan"/>
    <n v="8450"/>
  </r>
  <r>
    <s v="142809"/>
    <s v="DD"/>
    <s v="Aniruddha Kekapure"/>
    <s v="19/02/2022"/>
    <s v="Shipped"/>
    <s v="RYZEN 3rd gen. 3601"/>
    <s v="CPU"/>
    <s v="Intel"/>
    <n v="8500"/>
    <n v="11050"/>
    <n v="4"/>
    <n v="34000"/>
    <n v="44200"/>
    <s v="Advika Joshi"/>
    <n v="33150"/>
  </r>
  <r>
    <s v="142810"/>
    <s v="DL"/>
    <s v="Aslam Raza"/>
    <s v="19/02/2022"/>
    <s v="Order"/>
    <s v="2GB Graphic Card"/>
    <s v="Graphic Card"/>
    <s v="Nvidia"/>
    <n v="7000"/>
    <n v="9100"/>
    <n v="1"/>
    <n v="7000"/>
    <n v="9100"/>
    <s v="Ajay Sharma"/>
    <n v="18200"/>
  </r>
  <r>
    <s v="142811"/>
    <s v="LD"/>
    <s v="Roshan Zameer"/>
    <s v="19/02/2022"/>
    <s v="Processing"/>
    <s v="117 GB DDR4 RAM"/>
    <s v="NIC"/>
    <s v="Hynix"/>
    <n v="6550"/>
    <n v="8515"/>
    <n v="4"/>
    <n v="26200"/>
    <n v="34060"/>
    <s v="Roshan Kumar"/>
    <n v="9100"/>
  </r>
  <r>
    <s v="142812"/>
    <s v="PY"/>
    <s v="Rakesh Kumar Sharma"/>
    <s v="19/02/2022"/>
    <s v="Delivered"/>
    <s v="Standard ATX motherboard"/>
    <s v="Printer"/>
    <s v="Gigabyte"/>
    <n v="7650"/>
    <n v="9945"/>
    <n v="4"/>
    <n v="30600"/>
    <n v="39780"/>
    <s v="Aarvi Gupta"/>
    <n v="11700"/>
  </r>
  <r>
    <s v="142813"/>
    <s v="AP"/>
    <s v="Shivanand Sahani"/>
    <s v="20/02/2022"/>
    <s v="Shipped"/>
    <s v="Compact with 1 Fan"/>
    <s v="Cabinet"/>
    <s v="Asus"/>
    <n v="1150"/>
    <n v="1495"/>
    <n v="4"/>
    <n v="4600"/>
    <n v="5980"/>
    <s v="Vijay Singh"/>
    <n v="2990"/>
  </r>
  <r>
    <s v="142814"/>
    <s v="AR"/>
    <s v="Kunal Patra"/>
    <s v="21/02/2022"/>
    <s v="Order"/>
    <s v="USB Backlight Keyboard"/>
    <s v="Keyboard"/>
    <s v="Dell"/>
    <n v="850"/>
    <n v="1105"/>
    <n v="2"/>
    <n v="1700"/>
    <n v="2210"/>
    <s v="Aadil Khan"/>
    <n v="3315"/>
  </r>
  <r>
    <s v="142815"/>
    <s v="AS"/>
    <s v="Bijendra"/>
    <s v="22/02/2022"/>
    <s v="Processing"/>
    <s v="Ergonomic Mouse"/>
    <s v="Mouse"/>
    <s v="Samsung"/>
    <n v="650"/>
    <n v="845"/>
    <n v="1"/>
    <n v="650"/>
    <n v="845"/>
    <s v="Advika Joshi"/>
    <n v="1690"/>
  </r>
  <r>
    <s v="142816"/>
    <s v="BR"/>
    <s v="Kranti Bheke"/>
    <s v="23/02/2022"/>
    <s v="Delivered"/>
    <s v="15&quot; LCD Dsipaly"/>
    <s v="Monitor"/>
    <s v="Dell"/>
    <n v="7500"/>
    <n v="9750"/>
    <n v="1"/>
    <n v="7500"/>
    <n v="9750"/>
    <s v="Ajay Sharma"/>
    <n v="9750"/>
  </r>
  <r>
    <s v="142817"/>
    <s v="CG"/>
    <s v="Jagdeep"/>
    <s v="24/02/2022"/>
    <s v="Shipped"/>
    <s v="103 TB HDD"/>
    <s v="HDD"/>
    <s v="Seagate"/>
    <n v="10000"/>
    <n v="13000"/>
    <n v="4"/>
    <n v="40000"/>
    <n v="52000"/>
    <s v="Roshan Kumar"/>
    <n v="39000"/>
  </r>
  <r>
    <s v="142818"/>
    <s v="GA"/>
    <s v="Adhir Samal"/>
    <s v="25/02/2022"/>
    <s v="Order"/>
    <s v="102 TB SSD"/>
    <s v="SSD"/>
    <s v="Samsung"/>
    <n v="10500"/>
    <n v="13650"/>
    <n v="4"/>
    <n v="42000"/>
    <n v="54600"/>
    <s v="Aarvi Gupta"/>
    <n v="8450"/>
  </r>
  <r>
    <s v="142819"/>
    <s v="GJ"/>
    <s v="Dannana Jhammi"/>
    <s v="26/02/2022"/>
    <s v="Processing"/>
    <s v="Intel i5 12th gen."/>
    <s v="CPU"/>
    <s v="Intel"/>
    <n v="8500"/>
    <n v="11050"/>
    <n v="1"/>
    <n v="8500"/>
    <n v="11050"/>
    <s v="Vijay Singh"/>
    <n v="33150"/>
  </r>
  <r>
    <s v="142820"/>
    <s v="HR"/>
    <s v="Vipin Kumar"/>
    <s v="27/02/2022"/>
    <s v="Delivered"/>
    <s v="2GB Graphic Card"/>
    <s v="Graphic Card"/>
    <s v="Nvidia"/>
    <n v="7000"/>
    <n v="9100"/>
    <n v="3"/>
    <n v="21000"/>
    <n v="27300"/>
    <s v="Aadil Khan"/>
    <n v="18200"/>
  </r>
  <r>
    <s v="142821"/>
    <s v="HP"/>
    <s v="Ranjeet Kumar"/>
    <s v="28/02/2022"/>
    <s v="Shipped"/>
    <s v="105 GB DDR4 Ram"/>
    <s v="NIC"/>
    <s v="Hynix"/>
    <n v="1680"/>
    <n v="2184"/>
    <n v="2"/>
    <n v="3360"/>
    <n v="4368"/>
    <s v="Advika Joshi"/>
    <n v="9100"/>
  </r>
  <r>
    <s v="142822"/>
    <s v="JK"/>
    <s v="Sajal Singhal"/>
    <s v="01/03/2022"/>
    <s v="Order"/>
    <s v="Micro ATX motherboard"/>
    <s v="Printer"/>
    <s v="MSI"/>
    <n v="6540"/>
    <n v="8502"/>
    <n v="4"/>
    <n v="26160"/>
    <n v="34008"/>
    <s v="Ajay Sharma"/>
    <n v="11700"/>
  </r>
  <r>
    <s v="142823"/>
    <s v="JH"/>
    <s v="Akhilesh Kumar"/>
    <s v="02/03/2022"/>
    <s v="Processing"/>
    <s v="Gaming Box Cabinet"/>
    <s v="Cabinet"/>
    <s v="Asus"/>
    <n v="2680"/>
    <n v="3484"/>
    <n v="2"/>
    <n v="5360"/>
    <n v="6968"/>
    <s v="Roshan Kumar"/>
    <n v="2990"/>
  </r>
  <r>
    <s v="142824"/>
    <s v="KA"/>
    <s v="Suvankar Chakraborty"/>
    <s v="03/03/2022"/>
    <s v="Delivered"/>
    <s v="17&quot; LCD Display"/>
    <s v="Monitor"/>
    <s v="Samsung"/>
    <n v="8250"/>
    <n v="10725"/>
    <n v="1"/>
    <n v="8250"/>
    <n v="10725"/>
    <s v="Aarvi Gupta"/>
    <n v="9750"/>
  </r>
  <r>
    <s v="142825"/>
    <s v="KL"/>
    <s v="Suvankar Adhikary"/>
    <s v="04/03/2022"/>
    <s v="Shipped"/>
    <s v="109 GB DDR4 RAM"/>
    <s v="RAM"/>
    <s v="Samsung"/>
    <n v="2650"/>
    <n v="3445"/>
    <n v="3"/>
    <n v="7950"/>
    <n v="10335"/>
    <s v="Vijay Singh"/>
    <n v="25545"/>
  </r>
  <r>
    <s v="142826"/>
    <s v="MP"/>
    <s v="Rahul Kumar Prajapati"/>
    <s v="05/03/2022"/>
    <s v="Order"/>
    <s v="26&quot; LCD Display"/>
    <s v="Monitor"/>
    <s v="Acer"/>
    <n v="12550"/>
    <n v="16315"/>
    <n v="4"/>
    <n v="50200"/>
    <n v="65260"/>
    <s v="Aadil Khan"/>
    <n v="9750"/>
  </r>
  <r>
    <s v="142827"/>
    <s v="MH"/>
    <s v="Sagar Jeur"/>
    <s v="05/03/2022"/>
    <s v="Processing"/>
    <s v="I7 - intel 12th Generation"/>
    <s v="CPU"/>
    <s v="Intel"/>
    <n v="14500"/>
    <n v="18850"/>
    <n v="1"/>
    <n v="14500"/>
    <n v="18850"/>
    <s v="Advika Joshi"/>
    <n v="33150"/>
  </r>
  <r>
    <s v="142828"/>
    <s v="MN"/>
    <s v="Rhushikesh Mane"/>
    <s v="06/03/2022"/>
    <s v="Delivered"/>
    <s v="USB Keyboard"/>
    <s v="Keyboard"/>
    <s v="Dell"/>
    <n v="800"/>
    <n v="1040"/>
    <n v="3"/>
    <n v="2400"/>
    <n v="3120"/>
    <s v="Ajay Sharma"/>
    <n v="3315"/>
  </r>
  <r>
    <s v="142829"/>
    <s v="ML"/>
    <s v="Ashish Kumar"/>
    <s v="07/03/2022"/>
    <s v="Shipped"/>
    <s v="Wireless Mouse"/>
    <s v="Mouse"/>
    <s v="Samsung"/>
    <n v="600"/>
    <n v="780"/>
    <n v="1"/>
    <n v="600"/>
    <n v="780"/>
    <s v="Roshan Kumar"/>
    <n v="1690"/>
  </r>
  <r>
    <s v="142830"/>
    <s v="MZ"/>
    <s v="Javed Akhter"/>
    <s v="07/03/2022"/>
    <s v="Order"/>
    <s v="21&quot; LCD Display"/>
    <s v="Monitor"/>
    <s v="Dell"/>
    <n v="10500"/>
    <n v="13650"/>
    <n v="1"/>
    <n v="10500"/>
    <n v="13650"/>
    <s v="Aarvi Gupta"/>
    <n v="9750"/>
  </r>
  <r>
    <s v="142831"/>
    <s v="NL"/>
    <s v="Haridas Balraj"/>
    <s v="07/03/2022"/>
    <s v="Processing"/>
    <s v="103 TB HDD"/>
    <s v="HDD"/>
    <s v="Western Digital"/>
    <n v="6500"/>
    <n v="8450"/>
    <n v="1"/>
    <n v="6500"/>
    <n v="8450"/>
    <s v="Vijay Singh"/>
    <n v="39000"/>
  </r>
  <r>
    <s v="142832"/>
    <s v="OR"/>
    <s v="Kundan Kumar"/>
    <s v="07/03/2022"/>
    <s v="Delivered"/>
    <s v="358 GB SSD"/>
    <s v="SSD"/>
    <s v="Samsung"/>
    <n v="4500"/>
    <n v="5850"/>
    <n v="4"/>
    <n v="18000"/>
    <n v="23400"/>
    <s v="Aadil Khan"/>
    <n v="8450"/>
  </r>
  <r>
    <s v="142833"/>
    <s v="PB"/>
    <s v="Atif Siddiqui"/>
    <s v="07/03/2022"/>
    <s v="Shipped"/>
    <s v="Intel i3 11th gen."/>
    <s v="CPU"/>
    <s v="Intel"/>
    <n v="8500"/>
    <n v="11050"/>
    <n v="2"/>
    <n v="17000"/>
    <n v="22100"/>
    <s v="Advika Joshi"/>
    <n v="33150"/>
  </r>
  <r>
    <s v="142834"/>
    <s v="RJ"/>
    <s v="Aditya Agarwal"/>
    <s v="07/03/2022"/>
    <s v="Order"/>
    <s v="4GB Graphic card"/>
    <s v="Graphic Card"/>
    <s v="Nvidia"/>
    <n v="12500"/>
    <n v="16250"/>
    <n v="4"/>
    <n v="50000"/>
    <n v="65000"/>
    <s v="Ajay Sharma"/>
    <n v="18200"/>
  </r>
  <r>
    <s v="142835"/>
    <s v="SK"/>
    <s v="Firdoush Jabee"/>
    <s v="07/03/2022"/>
    <s v="Processing"/>
    <s v="110 GB DDR4 RAM"/>
    <s v="RAM"/>
    <s v="Hynix"/>
    <n v="3500"/>
    <n v="4550"/>
    <n v="1"/>
    <n v="3500"/>
    <n v="4550"/>
    <s v="Roshan Kumar"/>
    <n v="25545"/>
  </r>
  <r>
    <s v="142836"/>
    <s v="TN"/>
    <s v="Jay Prakash Kumar"/>
    <s v="08/03/2022"/>
    <s v="Delivered"/>
    <s v="BTX motherboard"/>
    <s v="MotherBoard"/>
    <s v="Gigabyte"/>
    <n v="4500"/>
    <n v="5850"/>
    <n v="1"/>
    <n v="4500"/>
    <n v="5850"/>
    <s v="Aarvi Gupta"/>
    <n v="39780"/>
  </r>
  <r>
    <s v="142837"/>
    <s v="TR"/>
    <s v="Ashish Pandey"/>
    <s v="09/03/2022"/>
    <s v="Shipped"/>
    <s v="105 Fans Cabinet"/>
    <s v="Cabinet"/>
    <s v="Asus"/>
    <n v="2100"/>
    <n v="2730"/>
    <n v="4"/>
    <n v="8400"/>
    <n v="10920"/>
    <s v="Vijay Singh"/>
    <n v="2990"/>
  </r>
  <r>
    <s v="142838"/>
    <s v="UK"/>
    <s v="Ajay Sharma"/>
    <s v="10/03/2022"/>
    <s v="Order"/>
    <s v="Wireless Keyboard"/>
    <s v="Keyboard"/>
    <s v="Dell"/>
    <n v="1150"/>
    <n v="1495"/>
    <n v="2"/>
    <n v="2300"/>
    <n v="2990"/>
    <s v="Aadil Khan"/>
    <n v="3315"/>
  </r>
  <r>
    <s v="142839"/>
    <s v="UP"/>
    <s v="Moinuddin Saifi"/>
    <s v="10/03/2022"/>
    <s v="Processing"/>
    <s v="USB Mouse"/>
    <s v="Mouse"/>
    <s v="Samsung"/>
    <n v="350"/>
    <n v="455"/>
    <n v="4"/>
    <n v="1400"/>
    <n v="1820"/>
    <s v="Advika Joshi"/>
    <n v="1690"/>
  </r>
  <r>
    <s v="142840"/>
    <s v="WB"/>
    <s v="Ramkrishna Das Adhikary"/>
    <s v="10/03/2022"/>
    <s v="Delivered"/>
    <s v="19&quot; LED Display"/>
    <s v="Monitor"/>
    <s v="Dell"/>
    <n v="9500"/>
    <n v="12350"/>
    <n v="4"/>
    <n v="38000"/>
    <n v="49400"/>
    <s v="Ajay Sharma"/>
    <n v="9750"/>
  </r>
  <r>
    <s v="142841"/>
    <s v="TN"/>
    <s v="Ranjeet Mandal"/>
    <s v="10/03/2022"/>
    <s v="Shipped"/>
    <s v="104 TB HDD"/>
    <s v="HDD"/>
    <s v="Western Digital"/>
    <n v="10000"/>
    <n v="13000"/>
    <n v="3"/>
    <n v="30000"/>
    <n v="39000"/>
    <s v="Roshan Kumar"/>
    <n v="39000"/>
  </r>
  <r>
    <s v="142842"/>
    <s v="TR"/>
    <s v="Ashwini Adsare"/>
    <s v="10/03/2022"/>
    <s v="Order"/>
    <s v="614 GB M.2"/>
    <s v="SSD"/>
    <s v="Samsung"/>
    <n v="6500"/>
    <n v="8450"/>
    <n v="1"/>
    <n v="6500"/>
    <n v="8450"/>
    <s v="Aarvi Gupta"/>
    <n v="8450"/>
  </r>
  <r>
    <s v="142843"/>
    <s v="MH"/>
    <s v="Rajesh Variya"/>
    <s v="10/03/2022"/>
    <s v="Processing"/>
    <s v="RYZEN 3rd gen. 3602"/>
    <s v="CPU"/>
    <s v="Intel"/>
    <n v="8500"/>
    <n v="11050"/>
    <n v="2"/>
    <n v="17000"/>
    <n v="22100"/>
    <s v="Vijay Singh"/>
    <n v="33150"/>
  </r>
  <r>
    <s v="142844"/>
    <s v="CH"/>
    <s v="Amit Singh"/>
    <s v="10/03/2022"/>
    <s v="Delivered"/>
    <s v="2GB Graphic Card"/>
    <s v="Graphic Card"/>
    <s v="Nvidia"/>
    <n v="7000"/>
    <n v="9100"/>
    <n v="4"/>
    <n v="28000"/>
    <n v="36400"/>
    <s v="Aadil Khan"/>
    <n v="18200"/>
  </r>
  <r>
    <s v="142845"/>
    <s v="DH"/>
    <s v="Vinod Mehta"/>
    <s v="10/03/2022"/>
    <s v="Shipped"/>
    <s v="118 GB DDR4 RAM"/>
    <s v="RAM"/>
    <s v="Hynix"/>
    <n v="6550"/>
    <n v="8515"/>
    <n v="4"/>
    <n v="26200"/>
    <n v="34060"/>
    <s v="Advika Joshi"/>
    <n v="25545"/>
  </r>
  <r>
    <s v="142846"/>
    <s v="DD"/>
    <s v="Jignesh Mhatre"/>
    <s v="10/03/2022"/>
    <s v="Order"/>
    <s v="Standard ATX motherboard"/>
    <s v="MotherBoard"/>
    <s v="Gigabyte"/>
    <n v="7650"/>
    <n v="9945"/>
    <n v="3"/>
    <n v="22950"/>
    <n v="29835"/>
    <s v="Ajay Sharma"/>
    <n v="39780"/>
  </r>
  <r>
    <s v="142847"/>
    <s v="DL"/>
    <s v="Rahul Kashyap"/>
    <s v="10/03/2022"/>
    <s v="Processing"/>
    <s v="Compact with 1 Fan"/>
    <s v="Cabinet"/>
    <s v="Asus"/>
    <n v="1150"/>
    <n v="1495"/>
    <n v="2"/>
    <n v="2300"/>
    <n v="2990"/>
    <s v="Roshan Kumar"/>
    <n v="2990"/>
  </r>
  <r>
    <s v="142848"/>
    <s v="LD"/>
    <s v="Mohammed Abdul Kaleem"/>
    <s v="10/03/2022"/>
    <s v="Delivered"/>
    <s v="USB Backlight Keyboard"/>
    <s v="Keyboard"/>
    <s v="Dell"/>
    <n v="850"/>
    <n v="1105"/>
    <n v="2"/>
    <n v="1700"/>
    <n v="2210"/>
    <s v="Aarvi Gupta"/>
    <n v="3315"/>
  </r>
  <r>
    <s v="142849"/>
    <s v="PY"/>
    <s v="Chandrakant Kasbe"/>
    <s v="11/03/2022"/>
    <s v="Shipped"/>
    <s v="Ergonomic Mouse"/>
    <s v="Mouse"/>
    <s v="Samsung"/>
    <n v="650"/>
    <n v="845"/>
    <n v="2"/>
    <n v="1300"/>
    <n v="1690"/>
    <s v="Vijay Singh"/>
    <n v="1690"/>
  </r>
  <r>
    <s v="142850"/>
    <s v="AP"/>
    <s v="Rohan Kale"/>
    <s v="12/03/2022"/>
    <s v="Order"/>
    <s v="15&quot; LCD Dsipaly"/>
    <s v="Monitor"/>
    <s v="Dell"/>
    <n v="7500"/>
    <n v="9750"/>
    <n v="1"/>
    <n v="7500"/>
    <n v="9750"/>
    <s v="Aadil Khan"/>
    <n v="9750"/>
  </r>
  <r>
    <s v="142851"/>
    <s v="AR"/>
    <s v="Aniruddha Kekapure"/>
    <s v="13/03/2022"/>
    <s v="Processing"/>
    <s v="104 TB HDD"/>
    <s v="HDD"/>
    <s v="Seagate"/>
    <n v="10000"/>
    <n v="13000"/>
    <n v="3"/>
    <n v="30000"/>
    <n v="39000"/>
    <s v="Advika Joshi"/>
    <n v="39000"/>
  </r>
  <r>
    <s v="142852"/>
    <s v="AS"/>
    <s v="Aslam Raza"/>
    <s v="14/03/2022"/>
    <s v="Delivered"/>
    <s v="103 TB SSD"/>
    <s v="SSD"/>
    <s v="Samsung"/>
    <n v="10500"/>
    <n v="13650"/>
    <n v="3"/>
    <n v="31500"/>
    <n v="40950"/>
    <s v="Ajay Sharma"/>
    <n v="8450"/>
  </r>
  <r>
    <s v="142853"/>
    <s v="BR"/>
    <s v="Roshan Zameer"/>
    <s v="15/03/2022"/>
    <s v="Shipped"/>
    <s v="Intel i5 12th gen."/>
    <s v="CPU"/>
    <s v="Intel"/>
    <n v="8500"/>
    <n v="11050"/>
    <n v="4"/>
    <n v="34000"/>
    <n v="44200"/>
    <s v="Roshan Kumar"/>
    <n v="33150"/>
  </r>
  <r>
    <s v="142854"/>
    <s v="CG"/>
    <s v="Rakesh Kumar Sharma"/>
    <s v="16/03/2022"/>
    <s v="Order"/>
    <s v="2GB Graphic Card"/>
    <s v="Graphic Card"/>
    <s v="Nvidia"/>
    <n v="7000"/>
    <n v="9100"/>
    <n v="4"/>
    <n v="28000"/>
    <n v="36400"/>
    <s v="Aarvi Gupta"/>
    <n v="18200"/>
  </r>
  <r>
    <s v="142855"/>
    <s v="GA"/>
    <s v="Shivanand Sahani"/>
    <s v="17/03/2022"/>
    <s v="Processing"/>
    <s v="106 GB DDR4 Ram"/>
    <s v="RAM"/>
    <s v="Hynix"/>
    <n v="1680"/>
    <n v="2184"/>
    <n v="2"/>
    <n v="3360"/>
    <n v="4368"/>
    <s v="Vijay Singh"/>
    <n v="25545"/>
  </r>
  <r>
    <s v="142856"/>
    <s v="GJ"/>
    <s v="Kunal Patra"/>
    <s v="18/03/2022"/>
    <s v="Delivered"/>
    <s v="Micro ATX motherboard"/>
    <s v="MotherBoard"/>
    <s v="MSI"/>
    <n v="6540"/>
    <n v="8502"/>
    <n v="4"/>
    <n v="26160"/>
    <n v="34008"/>
    <s v="Aadil Khan"/>
    <n v="39780"/>
  </r>
  <r>
    <s v="142857"/>
    <s v="HR"/>
    <s v="Bijendra"/>
    <s v="18/03/2022"/>
    <s v="Shipped"/>
    <s v="Gaming Box Cabinet"/>
    <s v="Cabinet"/>
    <s v="Asus"/>
    <n v="2680"/>
    <n v="3484"/>
    <n v="2"/>
    <n v="5360"/>
    <n v="6968"/>
    <s v="Advika Joshi"/>
    <n v="2990"/>
  </r>
  <r>
    <s v="142858"/>
    <s v="HP"/>
    <s v="Kranti Bheke"/>
    <s v="18/03/2022"/>
    <s v="Order"/>
    <s v="17&quot; LCD Display"/>
    <s v="Monitor"/>
    <s v="Samsung"/>
    <n v="8250"/>
    <n v="10725"/>
    <n v="3"/>
    <n v="24750"/>
    <n v="32175"/>
    <s v="Ajay Sharma"/>
    <n v="9750"/>
  </r>
  <r>
    <s v="142859"/>
    <s v="JK"/>
    <s v="Jagdeep"/>
    <s v="18/03/2022"/>
    <s v="Processing"/>
    <s v="110 GB DDR4 RAM"/>
    <s v="RAM"/>
    <s v="Samsung"/>
    <n v="2650"/>
    <n v="3445"/>
    <n v="4"/>
    <n v="10600"/>
    <n v="13780"/>
    <s v="Roshan Kumar"/>
    <n v="25545"/>
  </r>
  <r>
    <s v="142860"/>
    <s v="JH"/>
    <s v="Adhir Samal"/>
    <s v="18/03/2022"/>
    <s v="Delivered"/>
    <s v="26&quot; LCD Display"/>
    <s v="Monitor"/>
    <s v="Acer"/>
    <n v="12550"/>
    <n v="16315"/>
    <n v="4"/>
    <n v="50200"/>
    <n v="65260"/>
    <s v="Aarvi Gupta"/>
    <n v="9750"/>
  </r>
  <r>
    <s v="142861"/>
    <s v="KA"/>
    <s v="Dannana Jhammi"/>
    <s v="18/03/2022"/>
    <s v="Shipped"/>
    <s v="I7 - intel 12th Generation"/>
    <s v="CPU"/>
    <s v="Intel"/>
    <n v="14500"/>
    <n v="18850"/>
    <n v="2"/>
    <n v="29000"/>
    <n v="37700"/>
    <s v="Vijay Singh"/>
    <n v="33150"/>
  </r>
  <r>
    <s v="142862"/>
    <s v="KL"/>
    <s v="Vipin Kumar"/>
    <s v="18/03/2022"/>
    <s v="Order"/>
    <s v="USB Keyboard"/>
    <s v="Keyboard"/>
    <s v="Dell"/>
    <n v="800"/>
    <n v="1040"/>
    <n v="2"/>
    <n v="1600"/>
    <n v="2080"/>
    <s v="Aadil Khan"/>
    <n v="3315"/>
  </r>
  <r>
    <s v="142863"/>
    <s v="MP"/>
    <s v="Ranjeet Kumar"/>
    <s v="19/03/2022"/>
    <s v="Processing"/>
    <s v="Wireless Mouse"/>
    <s v="Mouse"/>
    <s v="Samsung"/>
    <n v="600"/>
    <n v="780"/>
    <n v="4"/>
    <n v="2400"/>
    <n v="3120"/>
    <s v="Advika Joshi"/>
    <n v="1690"/>
  </r>
  <r>
    <s v="142864"/>
    <s v="MH"/>
    <s v="Sajal Singhal"/>
    <s v="19/03/2022"/>
    <s v="Delivered"/>
    <s v="21&quot; LCD Display"/>
    <s v="Monitor"/>
    <s v="Dell"/>
    <n v="10500"/>
    <n v="13650"/>
    <n v="2"/>
    <n v="21000"/>
    <n v="27300"/>
    <s v="Ajay Sharma"/>
    <n v="9750"/>
  </r>
  <r>
    <s v="142865"/>
    <s v="MN"/>
    <s v="Akhilesh Kumar"/>
    <s v="19/03/2022"/>
    <s v="Shipped"/>
    <s v="104 TB HDD"/>
    <s v="HDD"/>
    <s v="Western Digital"/>
    <n v="6500"/>
    <n v="8450"/>
    <n v="2"/>
    <n v="13000"/>
    <n v="16900"/>
    <s v="Roshan Kumar"/>
    <n v="39000"/>
  </r>
  <r>
    <s v="142866"/>
    <s v="ML"/>
    <s v="Suvankar Chakraborty"/>
    <s v="19/03/2022"/>
    <s v="Order"/>
    <s v="359 GB SSD"/>
    <s v="SSD"/>
    <s v="Samsung"/>
    <n v="4500"/>
    <n v="5850"/>
    <n v="3"/>
    <n v="13500"/>
    <n v="17550"/>
    <s v="Aarvi Gupta"/>
    <n v="8450"/>
  </r>
  <r>
    <s v="142867"/>
    <s v="MZ"/>
    <s v="Suvankar Adhikary"/>
    <s v="19/03/2022"/>
    <s v="Processing"/>
    <s v="Intel i3 11th gen."/>
    <s v="CPU"/>
    <s v="Intel"/>
    <n v="8500"/>
    <n v="11050"/>
    <n v="3"/>
    <n v="25500"/>
    <n v="33150"/>
    <s v="Vijay Singh"/>
    <n v="33150"/>
  </r>
  <r>
    <s v="142868"/>
    <s v="NL"/>
    <s v="Rahul Kumar Prajapati"/>
    <s v="19/03/2022"/>
    <s v="Delivered"/>
    <s v="4GB Graphic card"/>
    <s v="Graphic Card"/>
    <s v="Nvidia"/>
    <n v="12500"/>
    <n v="16250"/>
    <n v="3"/>
    <n v="37500"/>
    <n v="48750"/>
    <s v="Aadil Khan"/>
    <n v="18200"/>
  </r>
  <r>
    <s v="142869"/>
    <s v="OR"/>
    <s v="Sagar Jeur"/>
    <s v="19/03/2022"/>
    <s v="Shipped"/>
    <s v="111 GB DDR4 RAM"/>
    <s v="Computer Case"/>
    <s v="Hynix"/>
    <n v="3500"/>
    <n v="4550"/>
    <n v="2"/>
    <n v="7000"/>
    <n v="9100"/>
    <s v="Advika Joshi"/>
    <n v="13650"/>
  </r>
  <r>
    <s v="142870"/>
    <s v="PB"/>
    <s v="Rhushikesh Mane"/>
    <s v="20/03/2022"/>
    <s v="Order"/>
    <s v="BTX motherboard"/>
    <s v="Mouse"/>
    <s v="Gigabyte"/>
    <n v="4500"/>
    <n v="5850"/>
    <n v="3"/>
    <n v="13500"/>
    <n v="17550"/>
    <s v="Ajay Sharma"/>
    <n v="1690"/>
  </r>
  <r>
    <s v="142871"/>
    <s v="RJ"/>
    <s v="Ashish Kumar"/>
    <s v="21/03/2022"/>
    <s v="Processing"/>
    <s v="106 Fans Cabinet"/>
    <s v="Cabinet"/>
    <s v="Asus"/>
    <n v="2100"/>
    <n v="2730"/>
    <n v="2"/>
    <n v="4200"/>
    <n v="5460"/>
    <s v="Roshan Kumar"/>
    <n v="2990"/>
  </r>
  <r>
    <s v="142872"/>
    <s v="SK"/>
    <s v="Javed Akhter"/>
    <s v="22/03/2022"/>
    <s v="Delivered"/>
    <s v="Wireless Keyboard"/>
    <s v="Keyboard"/>
    <s v="Dell"/>
    <n v="1150"/>
    <n v="1495"/>
    <n v="1"/>
    <n v="1150"/>
    <n v="1495"/>
    <s v="Aarvi Gupta"/>
    <n v="3315"/>
  </r>
  <r>
    <s v="142873"/>
    <s v="TN"/>
    <s v="Haridas Balraj"/>
    <s v="23/03/2022"/>
    <s v="Shipped"/>
    <s v="USB Mouse"/>
    <s v="Mouse"/>
    <s v="Samsung"/>
    <n v="350"/>
    <n v="455"/>
    <n v="2"/>
    <n v="700"/>
    <n v="910"/>
    <s v="Vijay Singh"/>
    <n v="1690"/>
  </r>
  <r>
    <s v="142874"/>
    <s v="TR"/>
    <s v="Kundan Kumar"/>
    <s v="24/03/2022"/>
    <s v="Order"/>
    <s v="19&quot; LED Display"/>
    <s v="Monitor"/>
    <s v="Dell"/>
    <n v="9500"/>
    <n v="12350"/>
    <n v="2"/>
    <n v="19000"/>
    <n v="24700"/>
    <s v="Aadil Khan"/>
    <n v="9750"/>
  </r>
  <r>
    <s v="142875"/>
    <s v="UK"/>
    <s v="Atif Siddiqui"/>
    <s v="24/03/2022"/>
    <s v="Processing"/>
    <s v="105 TB HDD"/>
    <s v="HDD"/>
    <s v="Western Digital"/>
    <n v="10000"/>
    <n v="13000"/>
    <n v="4"/>
    <n v="40000"/>
    <n v="52000"/>
    <s v="Advika Joshi"/>
    <n v="39000"/>
  </r>
  <r>
    <s v="142876"/>
    <s v="UP"/>
    <s v="Aditya Agarwal"/>
    <s v="24/03/2022"/>
    <s v="Delivered"/>
    <s v="615 GB M.2"/>
    <s v="SSD"/>
    <s v="Samsung"/>
    <n v="6500"/>
    <n v="8450"/>
    <n v="3"/>
    <n v="19500"/>
    <n v="25350"/>
    <s v="Ajay Sharma"/>
    <n v="8450"/>
  </r>
  <r>
    <s v="142877"/>
    <s v="WB"/>
    <s v="Firdoush Jabee"/>
    <s v="24/03/2022"/>
    <s v="Shipped"/>
    <s v="RYZEN 3rd gen. 3603"/>
    <s v="CPU"/>
    <s v="Intel"/>
    <n v="8500"/>
    <n v="11050"/>
    <n v="4"/>
    <n v="34000"/>
    <n v="44200"/>
    <s v="Roshan Kumar"/>
    <n v="33150"/>
  </r>
  <r>
    <s v="142878"/>
    <s v="TN"/>
    <s v="Jay Prakash Kumar"/>
    <s v="24/03/2022"/>
    <s v="Order"/>
    <s v="2GB Graphic Card"/>
    <s v="Graphic Card"/>
    <s v="Nvidia"/>
    <n v="7000"/>
    <n v="9100"/>
    <n v="4"/>
    <n v="28000"/>
    <n v="36400"/>
    <s v="Aarvi Gupta"/>
    <n v="18200"/>
  </r>
  <r>
    <s v="142879"/>
    <s v="TR"/>
    <s v="Ashish Pandey"/>
    <s v="24/03/2022"/>
    <s v="Processing"/>
    <s v="119 GB DDR4 RAM"/>
    <s v="Computer Case"/>
    <s v="Hynix"/>
    <n v="6550"/>
    <n v="8515"/>
    <n v="1"/>
    <n v="6550"/>
    <n v="8515"/>
    <s v="Vijay Singh"/>
    <n v="13650"/>
  </r>
  <r>
    <s v="142880"/>
    <s v="MH"/>
    <s v="Ajay Sharma"/>
    <s v="24/03/2022"/>
    <s v="Delivered"/>
    <s v="Standard ATX motherboard"/>
    <s v="Mouse"/>
    <s v="Gigabyte"/>
    <n v="7650"/>
    <n v="9945"/>
    <n v="2"/>
    <n v="15300"/>
    <n v="19890"/>
    <s v="Aadil Khan"/>
    <n v="1690"/>
  </r>
  <r>
    <s v="142881"/>
    <s v="CH"/>
    <s v="Moinuddin Saifi"/>
    <s v="24/03/2022"/>
    <s v="Shipped"/>
    <s v="Compact with 1 Fan"/>
    <s v="Cabinet"/>
    <s v="Asus"/>
    <n v="1150"/>
    <n v="1495"/>
    <n v="1"/>
    <n v="1150"/>
    <n v="1495"/>
    <s v="Advika Joshi"/>
    <n v="2990"/>
  </r>
  <r>
    <s v="142882"/>
    <s v="DH"/>
    <s v="Ramkrishna Das Adhikary"/>
    <s v="24/03/2022"/>
    <s v="Order"/>
    <s v="USB Backlight Keyboard"/>
    <s v="Keyboard"/>
    <s v="Dell"/>
    <n v="850"/>
    <n v="1105"/>
    <n v="3"/>
    <n v="2550"/>
    <n v="3315"/>
    <s v="Ajay Sharma"/>
    <n v="3315"/>
  </r>
  <r>
    <s v="142883"/>
    <s v="DD"/>
    <s v="Ranjeet Mandal"/>
    <s v="25/03/2022"/>
    <s v="Processing"/>
    <s v="Ergonomic Mouse"/>
    <s v="Mouse"/>
    <s v="Samsung"/>
    <n v="650"/>
    <n v="845"/>
    <n v="3"/>
    <n v="1950"/>
    <n v="2535"/>
    <s v="Roshan Kumar"/>
    <n v="1690"/>
  </r>
  <r>
    <s v="142884"/>
    <s v="DL"/>
    <s v="Ashwini Adsare"/>
    <s v="25/03/2022"/>
    <s v="Delivered"/>
    <s v="15&quot; LCD Dsipaly"/>
    <s v="Monitor"/>
    <s v="Dell"/>
    <n v="7500"/>
    <n v="9750"/>
    <n v="3"/>
    <n v="22500"/>
    <n v="29250"/>
    <s v="Aarvi Gupta"/>
    <n v="9750"/>
  </r>
  <r>
    <s v="142885"/>
    <s v="LD"/>
    <s v="Rajesh Variya"/>
    <s v="25/03/2022"/>
    <s v="Shipped"/>
    <s v="105 TB HDD"/>
    <s v="HDD"/>
    <s v="Seagate"/>
    <n v="10000"/>
    <n v="13000"/>
    <n v="1"/>
    <n v="10000"/>
    <n v="13000"/>
    <s v="Vijay Singh"/>
    <n v="39000"/>
  </r>
  <r>
    <s v="142886"/>
    <s v="PY"/>
    <s v="Amit Singh"/>
    <s v="25/03/2022"/>
    <s v="Order"/>
    <s v="104 TB SSD"/>
    <s v="SSD"/>
    <s v="Samsung"/>
    <n v="10500"/>
    <n v="13650"/>
    <n v="4"/>
    <n v="42000"/>
    <n v="54600"/>
    <s v="Aadil Khan"/>
    <n v="8450"/>
  </r>
  <r>
    <s v="142887"/>
    <s v="AP"/>
    <s v="Vinod Mehta"/>
    <s v="25/03/2022"/>
    <s v="Processing"/>
    <s v="Intel i5 12th gen."/>
    <s v="CPU"/>
    <s v="Intel"/>
    <n v="8500"/>
    <n v="11050"/>
    <n v="1"/>
    <n v="8500"/>
    <n v="11050"/>
    <s v="Advika Joshi"/>
    <n v="33150"/>
  </r>
  <r>
    <s v="142888"/>
    <s v="AR"/>
    <s v="Jignesh Mhatre"/>
    <s v="25/03/2022"/>
    <s v="Delivered"/>
    <s v="2GB Graphic Card"/>
    <s v="Graphic Card"/>
    <s v="Nvidia"/>
    <n v="7000"/>
    <n v="9100"/>
    <n v="1"/>
    <n v="7000"/>
    <n v="9100"/>
    <s v="Ajay Sharma"/>
    <n v="18200"/>
  </r>
  <r>
    <s v="142889"/>
    <s v="AS"/>
    <s v="Rahul Kashyap"/>
    <s v="25/03/2022"/>
    <s v="Shipped"/>
    <s v="107 GB DDR4 Ram"/>
    <s v="Computer Case"/>
    <s v="Hynix"/>
    <n v="1680"/>
    <n v="2184"/>
    <n v="3"/>
    <n v="5040"/>
    <n v="6552"/>
    <s v="Roshan Kumar"/>
    <n v="13650"/>
  </r>
  <r>
    <s v="142890"/>
    <s v="BR"/>
    <s v="Mohammed Abdul Kaleem"/>
    <s v="25/03/2022"/>
    <s v="Order"/>
    <s v="Micro ATX motherboard"/>
    <s v="Mouse"/>
    <s v="MSI"/>
    <n v="6540"/>
    <n v="8502"/>
    <n v="2"/>
    <n v="13080"/>
    <n v="17004"/>
    <s v="Aarvi Gupta"/>
    <n v="1690"/>
  </r>
  <r>
    <s v="142891"/>
    <s v="CG"/>
    <s v="Chandrakant Kasbe"/>
    <s v="25/03/2022"/>
    <s v="Processing"/>
    <s v="Gaming Box Cabinet"/>
    <s v="Cabinet"/>
    <s v="Asus"/>
    <n v="2680"/>
    <n v="3484"/>
    <n v="2"/>
    <n v="5360"/>
    <n v="6968"/>
    <s v="Vijay Singh"/>
    <n v="2990"/>
  </r>
  <r>
    <s v="142892"/>
    <s v="GA"/>
    <s v="Rohan Kale"/>
    <s v="26/03/2022"/>
    <s v="Delivered"/>
    <s v="17&quot; LCD Display"/>
    <s v="Monitor"/>
    <s v="Samsung"/>
    <n v="8250"/>
    <n v="10725"/>
    <n v="1"/>
    <n v="8250"/>
    <n v="10725"/>
    <s v="Aadil Khan"/>
    <n v="9750"/>
  </r>
  <r>
    <s v="142893"/>
    <s v="GJ"/>
    <s v="Aniruddha Kekapure"/>
    <s v="26/03/2022"/>
    <s v="Shipped"/>
    <s v="111 GB DDR4 RAM"/>
    <s v="RAM"/>
    <s v="Samsung"/>
    <n v="2650"/>
    <n v="3445"/>
    <n v="4"/>
    <n v="10600"/>
    <n v="13780"/>
    <s v="Advika Joshi"/>
    <n v="25545"/>
  </r>
  <r>
    <s v="142894"/>
    <s v="HR"/>
    <s v="Aslam Raza"/>
    <s v="26/03/2022"/>
    <s v="Order"/>
    <s v="26&quot; LCD Display"/>
    <s v="Monitor"/>
    <s v="Acer"/>
    <n v="12550"/>
    <n v="16315"/>
    <n v="1"/>
    <n v="12550"/>
    <n v="16315"/>
    <s v="Ajay Sharma"/>
    <n v="9750"/>
  </r>
  <r>
    <s v="142895"/>
    <s v="HP"/>
    <s v="Roshan Zameer"/>
    <s v="26/03/2022"/>
    <s v="Processing"/>
    <s v="I7 - intel 12th Generation"/>
    <s v="CPU"/>
    <s v="Intel"/>
    <n v="14500"/>
    <n v="18850"/>
    <n v="4"/>
    <n v="58000"/>
    <n v="75400"/>
    <s v="Roshan Kumar"/>
    <n v="33150"/>
  </r>
  <r>
    <s v="142896"/>
    <s v="JK"/>
    <s v="Rakesh Kumar Sharma"/>
    <s v="26/03/2022"/>
    <s v="Delivered"/>
    <s v="USB Keyboard"/>
    <s v="Keyboard"/>
    <s v="Dell"/>
    <n v="800"/>
    <n v="1040"/>
    <n v="2"/>
    <n v="1600"/>
    <n v="2080"/>
    <s v="Aarvi Gupta"/>
    <n v="3315"/>
  </r>
  <r>
    <s v="142897"/>
    <s v="JH"/>
    <s v="Shivanand Sahani"/>
    <s v="26/03/2022"/>
    <s v="Shipped"/>
    <s v="Wireless Mouse"/>
    <s v="Mouse"/>
    <s v="Samsung"/>
    <n v="600"/>
    <n v="780"/>
    <n v="4"/>
    <n v="2400"/>
    <n v="3120"/>
    <s v="Vijay Singh"/>
    <n v="1690"/>
  </r>
  <r>
    <s v="142898"/>
    <s v="KA"/>
    <s v="Kunal Patra"/>
    <s v="26/03/2022"/>
    <s v="Order"/>
    <s v="21&quot; LCD Display"/>
    <s v="Monitor"/>
    <s v="Dell"/>
    <n v="10500"/>
    <n v="13650"/>
    <n v="1"/>
    <n v="10500"/>
    <n v="13650"/>
    <s v="Aadil Khan"/>
    <n v="9750"/>
  </r>
  <r>
    <s v="142899"/>
    <s v="KL"/>
    <s v="Bijendra"/>
    <s v="26/03/2022"/>
    <s v="Processing"/>
    <s v="105 TB HDD"/>
    <s v="HDD"/>
    <s v="Western Digital"/>
    <n v="6500"/>
    <n v="8450"/>
    <n v="4"/>
    <n v="26000"/>
    <n v="33800"/>
    <s v="Advika Joshi"/>
    <n v="39000"/>
  </r>
  <r>
    <s v="142900"/>
    <s v="MP"/>
    <s v="Kranti Bheke"/>
    <s v="26/03/2022"/>
    <s v="Delivered"/>
    <s v="360 GB SSD"/>
    <s v="SSD"/>
    <s v="Samsung"/>
    <n v="4500"/>
    <n v="5850"/>
    <n v="2"/>
    <n v="9000"/>
    <n v="11700"/>
    <s v="Ajay Sharma"/>
    <n v="8450"/>
  </r>
  <r>
    <s v="142901"/>
    <s v="MH"/>
    <s v="Jagdeep"/>
    <s v="26/03/2022"/>
    <s v="Shipped"/>
    <s v="Intel i3 11th gen."/>
    <s v="CPU"/>
    <s v="Intel"/>
    <n v="8500"/>
    <n v="11050"/>
    <n v="2"/>
    <n v="17000"/>
    <n v="22100"/>
    <s v="Roshan Kumar"/>
    <n v="33150"/>
  </r>
  <r>
    <s v="142902"/>
    <s v="MN"/>
    <s v="Adhir Samal"/>
    <s v="26/03/2022"/>
    <s v="Order"/>
    <s v="4GB Graphic card"/>
    <s v="Graphic Card"/>
    <s v="Nvidia"/>
    <n v="12500"/>
    <n v="16250"/>
    <n v="3"/>
    <n v="37500"/>
    <n v="48750"/>
    <s v="Aarvi Gupta"/>
    <n v="18200"/>
  </r>
  <r>
    <s v="142903"/>
    <s v="ML"/>
    <s v="Dannana Jhammi"/>
    <s v="26/03/2022"/>
    <s v="Processing"/>
    <s v="112 GB DDR4 RAM"/>
    <s v="NIC"/>
    <s v="Hynix"/>
    <n v="3500"/>
    <n v="4550"/>
    <n v="4"/>
    <n v="14000"/>
    <n v="18200"/>
    <s v="Vijay Singh"/>
    <n v="9100"/>
  </r>
  <r>
    <s v="142904"/>
    <s v="MZ"/>
    <s v="Vipin Kumar"/>
    <s v="26/03/2022"/>
    <s v="Delivered"/>
    <s v="BTX motherboard"/>
    <s v="Printer"/>
    <s v="Gigabyte"/>
    <n v="4500"/>
    <n v="5850"/>
    <n v="4"/>
    <n v="18000"/>
    <n v="23400"/>
    <s v="Aadil Khan"/>
    <n v="11700"/>
  </r>
  <r>
    <s v="142905"/>
    <s v="NL"/>
    <s v="Ranjeet Kumar"/>
    <s v="26/03/2022"/>
    <s v="Shipped"/>
    <s v="107 Fans Cabinet"/>
    <s v="Cabinet"/>
    <s v="Asus"/>
    <n v="2100"/>
    <n v="2730"/>
    <n v="2"/>
    <n v="4200"/>
    <n v="5460"/>
    <s v="Advika Joshi"/>
    <n v="2990"/>
  </r>
  <r>
    <s v="142906"/>
    <s v="OR"/>
    <s v="Sajal Singhal"/>
    <s v="26/03/2022"/>
    <s v="Order"/>
    <s v="Wireless Keyboard"/>
    <s v="Keyboard"/>
    <s v="Dell"/>
    <n v="1150"/>
    <n v="1495"/>
    <n v="3"/>
    <n v="3450"/>
    <n v="4485"/>
    <s v="Ajay Sharma"/>
    <n v="3315"/>
  </r>
  <r>
    <s v="142907"/>
    <s v="PB"/>
    <s v="Akhilesh Kumar"/>
    <s v="27/03/2022"/>
    <s v="Processing"/>
    <s v="USB Mouse"/>
    <s v="Mouse"/>
    <s v="Samsung"/>
    <n v="350"/>
    <n v="455"/>
    <n v="4"/>
    <n v="1400"/>
    <n v="1820"/>
    <s v="Roshan Kumar"/>
    <n v="1690"/>
  </r>
  <r>
    <s v="142908"/>
    <s v="RJ"/>
    <s v="Suvankar Chakraborty"/>
    <s v="27/03/2022"/>
    <s v="Delivered"/>
    <s v="19&quot; LED Display"/>
    <s v="Monitor"/>
    <s v="Dell"/>
    <n v="9500"/>
    <n v="12350"/>
    <n v="1"/>
    <n v="9500"/>
    <n v="12350"/>
    <s v="Aarvi Gupta"/>
    <n v="9750"/>
  </r>
  <r>
    <s v="142909"/>
    <s v="SK"/>
    <s v="Suvankar Adhikary"/>
    <s v="27/03/2022"/>
    <s v="Shipped"/>
    <s v="106 TB HDD"/>
    <s v="HDD"/>
    <s v="Western Digital"/>
    <n v="10000"/>
    <n v="13000"/>
    <n v="4"/>
    <n v="40000"/>
    <n v="52000"/>
    <s v="Vijay Singh"/>
    <n v="39000"/>
  </r>
  <r>
    <s v="142910"/>
    <s v="TN"/>
    <s v="Rahul Kumar Prajapati"/>
    <s v="27/03/2022"/>
    <s v="Order"/>
    <s v="616 GB M.2"/>
    <s v="SSD"/>
    <s v="Samsung"/>
    <n v="6500"/>
    <n v="8450"/>
    <n v="4"/>
    <n v="26000"/>
    <n v="33800"/>
    <s v="Aadil Khan"/>
    <n v="8450"/>
  </r>
  <r>
    <s v="142911"/>
    <s v="TR"/>
    <s v="Sagar Jeur"/>
    <s v="27/03/2022"/>
    <s v="Processing"/>
    <s v="RYZEN 3rd gen. 3604"/>
    <s v="CPU"/>
    <s v="Intel"/>
    <n v="8500"/>
    <n v="11050"/>
    <n v="4"/>
    <n v="34000"/>
    <n v="44200"/>
    <s v="Advika Joshi"/>
    <n v="33150"/>
  </r>
  <r>
    <s v="142912"/>
    <s v="UK"/>
    <s v="Rhushikesh Mane"/>
    <s v="27/03/2022"/>
    <s v="Delivered"/>
    <s v="2GB Graphic Card"/>
    <s v="Graphic Card"/>
    <s v="Nvidia"/>
    <n v="7000"/>
    <n v="9100"/>
    <n v="4"/>
    <n v="28000"/>
    <n v="36400"/>
    <s v="Ajay Sharma"/>
    <n v="18200"/>
  </r>
  <r>
    <s v="142913"/>
    <s v="UP"/>
    <s v="Ashish Kumar"/>
    <s v="27/03/2022"/>
    <s v="Shipped"/>
    <s v="120 GB DDR4 RAM"/>
    <s v="NIC"/>
    <s v="Hynix"/>
    <n v="6550"/>
    <n v="8515"/>
    <n v="4"/>
    <n v="26200"/>
    <n v="34060"/>
    <s v="Roshan Kumar"/>
    <n v="9100"/>
  </r>
  <r>
    <s v="142914"/>
    <s v="WB"/>
    <s v="Javed Akhter"/>
    <s v="27/03/2022"/>
    <s v="Order"/>
    <s v="Standard ATX motherboard"/>
    <s v="Printer"/>
    <s v="Gigabyte"/>
    <n v="7650"/>
    <n v="9945"/>
    <n v="2"/>
    <n v="15300"/>
    <n v="19890"/>
    <s v="Aarvi Gupta"/>
    <n v="11700"/>
  </r>
  <r>
    <s v="142915"/>
    <s v="TN"/>
    <s v="Haridas Balraj"/>
    <s v="27/03/2022"/>
    <s v="Processing"/>
    <s v="Compact with 1 Fan"/>
    <s v="Cabinet"/>
    <s v="Asus"/>
    <n v="1150"/>
    <n v="1495"/>
    <n v="1"/>
    <n v="1150"/>
    <n v="1495"/>
    <s v="Vijay Singh"/>
    <n v="2990"/>
  </r>
  <r>
    <s v="142916"/>
    <s v="TR"/>
    <s v="Kundan Kumar"/>
    <s v="27/03/2022"/>
    <s v="Delivered"/>
    <s v="USB Backlight Keyboard"/>
    <s v="Keyboard"/>
    <s v="Dell"/>
    <n v="850"/>
    <n v="1105"/>
    <n v="3"/>
    <n v="2550"/>
    <n v="3315"/>
    <s v="Aadil Khan"/>
    <n v="3315"/>
  </r>
  <r>
    <s v="142917"/>
    <s v="MH"/>
    <s v="Atif Siddiqui"/>
    <s v="27/03/2022"/>
    <s v="Shipped"/>
    <s v="Ergonomic Mouse"/>
    <s v="Mouse"/>
    <s v="Samsung"/>
    <n v="650"/>
    <n v="845"/>
    <n v="4"/>
    <n v="2600"/>
    <n v="3380"/>
    <s v="Advika Joshi"/>
    <n v="1690"/>
  </r>
  <r>
    <s v="142918"/>
    <s v="CH"/>
    <s v="Aditya Agarwal"/>
    <s v="27/03/2022"/>
    <s v="Order"/>
    <s v="15&quot; LCD Dsipaly"/>
    <s v="Monitor"/>
    <s v="Dell"/>
    <n v="7500"/>
    <n v="9750"/>
    <n v="3"/>
    <n v="22500"/>
    <n v="29250"/>
    <s v="Ajay Sharma"/>
    <n v="9750"/>
  </r>
  <r>
    <s v="142919"/>
    <s v="DH"/>
    <s v="Firdoush Jabee"/>
    <s v="27/03/2022"/>
    <s v="Processing"/>
    <s v="106 TB HDD"/>
    <s v="HDD"/>
    <s v="Seagate"/>
    <n v="10000"/>
    <n v="13000"/>
    <n v="4"/>
    <n v="40000"/>
    <n v="52000"/>
    <s v="Roshan Kumar"/>
    <n v="39000"/>
  </r>
  <r>
    <s v="142920"/>
    <s v="DD"/>
    <s v="Jay Prakash Kumar"/>
    <s v="27/03/2022"/>
    <s v="Delivered"/>
    <s v="105 TB SSD"/>
    <s v="SSD"/>
    <s v="Samsung"/>
    <n v="10500"/>
    <n v="13650"/>
    <n v="3"/>
    <n v="31500"/>
    <n v="40950"/>
    <s v="Aarvi Gupta"/>
    <n v="8450"/>
  </r>
  <r>
    <s v="142921"/>
    <s v="DL"/>
    <s v="Ashish Pandey"/>
    <s v="27/03/2022"/>
    <s v="Shipped"/>
    <s v="Intel i5 12th gen."/>
    <s v="CPU"/>
    <s v="Intel"/>
    <n v="8500"/>
    <n v="11050"/>
    <n v="3"/>
    <n v="25500"/>
    <n v="33150"/>
    <s v="Vijay Singh"/>
    <n v="33150"/>
  </r>
  <r>
    <s v="142922"/>
    <s v="LD"/>
    <s v="Ajay Sharma"/>
    <s v="27/03/2022"/>
    <s v="Order"/>
    <s v="2GB Graphic Card"/>
    <s v="Graphic Card"/>
    <s v="Nvidia"/>
    <n v="7000"/>
    <n v="9100"/>
    <n v="3"/>
    <n v="21000"/>
    <n v="27300"/>
    <s v="Aadil Khan"/>
    <n v="18200"/>
  </r>
  <r>
    <s v="142923"/>
    <s v="PY"/>
    <s v="Moinuddin Saifi"/>
    <s v="27/03/2022"/>
    <s v="Processing"/>
    <s v="108 GB DDR4 Ram"/>
    <s v="NIC"/>
    <s v="Hynix"/>
    <n v="1680"/>
    <n v="2184"/>
    <n v="1"/>
    <n v="1680"/>
    <n v="2184"/>
    <s v="Advika Joshi"/>
    <n v="9100"/>
  </r>
  <r>
    <s v="142924"/>
    <s v="AP"/>
    <s v="Ramkrishna Das Adhikary"/>
    <s v="27/03/2022"/>
    <s v="Delivered"/>
    <s v="Micro ATX motherboard"/>
    <s v="Printer"/>
    <s v="MSI"/>
    <n v="6540"/>
    <n v="8502"/>
    <n v="4"/>
    <n v="26160"/>
    <n v="34008"/>
    <s v="Ajay Sharma"/>
    <n v="11700"/>
  </r>
  <r>
    <s v="142925"/>
    <s v="AR"/>
    <s v="Ranjeet Mandal"/>
    <s v="27/03/2022"/>
    <s v="Shipped"/>
    <s v="Gaming Box Cabinet"/>
    <s v="Cabinet"/>
    <s v="Asus"/>
    <n v="2680"/>
    <n v="3484"/>
    <n v="2"/>
    <n v="5360"/>
    <n v="6968"/>
    <s v="Roshan Kumar"/>
    <n v="2990"/>
  </r>
  <r>
    <s v="142926"/>
    <s v="AS"/>
    <s v="Ashwini Adsare"/>
    <s v="27/03/2022"/>
    <s v="Order"/>
    <s v="17&quot; LCD Display"/>
    <s v="Monitor"/>
    <s v="Samsung"/>
    <n v="8250"/>
    <n v="10725"/>
    <n v="3"/>
    <n v="24750"/>
    <n v="32175"/>
    <s v="Aarvi Gupta"/>
    <n v="9750"/>
  </r>
  <r>
    <s v="142927"/>
    <s v="BR"/>
    <s v="Rajesh Variya"/>
    <s v="27/03/2022"/>
    <s v="Processing"/>
    <s v="112 GB DDR4 RAM"/>
    <s v="RAM"/>
    <s v="Samsung"/>
    <n v="2650"/>
    <n v="3445"/>
    <n v="4"/>
    <n v="10600"/>
    <n v="13780"/>
    <s v="Vijay Singh"/>
    <n v="25545"/>
  </r>
  <r>
    <s v="142928"/>
    <s v="CG"/>
    <s v="Amit Singh"/>
    <s v="27/03/2022"/>
    <s v="Delivered"/>
    <s v="26&quot; LCD Display"/>
    <s v="Monitor"/>
    <s v="Acer"/>
    <n v="12550"/>
    <n v="16315"/>
    <n v="3"/>
    <n v="37650"/>
    <n v="48945"/>
    <s v="Aadil Khan"/>
    <n v="9750"/>
  </r>
  <r>
    <s v="142929"/>
    <s v="GA"/>
    <s v="Vinod Mehta"/>
    <s v="27/03/2022"/>
    <s v="Shipped"/>
    <s v="I7 - intel 12th Generation"/>
    <s v="CPU"/>
    <s v="Intel"/>
    <n v="14500"/>
    <n v="18850"/>
    <n v="3"/>
    <n v="43500"/>
    <n v="56550"/>
    <s v="Advika Joshi"/>
    <n v="33150"/>
  </r>
  <r>
    <s v="142930"/>
    <s v="GJ"/>
    <s v="Jignesh Mhatre"/>
    <s v="27/03/2022"/>
    <s v="Order"/>
    <s v="USB Keyboard"/>
    <s v="Keyboard"/>
    <s v="Dell"/>
    <n v="800"/>
    <n v="1040"/>
    <n v="3"/>
    <n v="2400"/>
    <n v="3120"/>
    <s v="Ajay Sharma"/>
    <n v="3315"/>
  </r>
  <r>
    <s v="142931"/>
    <s v="HR"/>
    <s v="Rahul Kashyap"/>
    <s v="27/03/2022"/>
    <s v="Processing"/>
    <s v="Wireless Mouse"/>
    <s v="Mouse"/>
    <s v="Samsung"/>
    <n v="600"/>
    <n v="780"/>
    <n v="1"/>
    <n v="600"/>
    <n v="780"/>
    <s v="Roshan Kumar"/>
    <n v="1690"/>
  </r>
  <r>
    <s v="142932"/>
    <s v="HP"/>
    <s v="Mohammed Abdul Kaleem"/>
    <s v="27/03/2022"/>
    <s v="Delivered"/>
    <s v="21&quot; LCD Display"/>
    <s v="Monitor"/>
    <s v="Dell"/>
    <n v="10500"/>
    <n v="13650"/>
    <n v="3"/>
    <n v="31500"/>
    <n v="40950"/>
    <s v="Aarvi Gupta"/>
    <n v="9750"/>
  </r>
  <r>
    <s v="142933"/>
    <s v="JK"/>
    <s v="Chandrakant Kasbe"/>
    <s v="27/03/2022"/>
    <s v="Shipped"/>
    <s v="106 TB HDD"/>
    <s v="HDD"/>
    <s v="Western Digital"/>
    <n v="6500"/>
    <n v="8450"/>
    <n v="2"/>
    <n v="13000"/>
    <n v="16900"/>
    <s v="Vijay Singh"/>
    <n v="39000"/>
  </r>
  <r>
    <s v="142934"/>
    <s v="JH"/>
    <s v="Rohan Kale"/>
    <s v="27/03/2022"/>
    <s v="Order"/>
    <s v="361 GB SSD"/>
    <s v="SSD"/>
    <s v="Samsung"/>
    <n v="4500"/>
    <n v="5850"/>
    <n v="2"/>
    <n v="9000"/>
    <n v="11700"/>
    <s v="Aadil Khan"/>
    <n v="8450"/>
  </r>
  <r>
    <s v="142935"/>
    <s v="KA"/>
    <s v="Aniruddha Kekapure"/>
    <s v="27/03/2022"/>
    <s v="Processing"/>
    <s v="Intel i3 11th gen."/>
    <s v="CPU"/>
    <s v="Intel"/>
    <n v="8500"/>
    <n v="11050"/>
    <n v="3"/>
    <n v="25500"/>
    <n v="33150"/>
    <s v="Advika Joshi"/>
    <n v="33150"/>
  </r>
  <r>
    <s v="142936"/>
    <s v="KL"/>
    <s v="Aslam Raza"/>
    <s v="27/03/2022"/>
    <s v="Delivered"/>
    <s v="4GB Graphic card"/>
    <s v="Graphic Card"/>
    <s v="Nvidia"/>
    <n v="12500"/>
    <n v="16250"/>
    <n v="1"/>
    <n v="12500"/>
    <n v="16250"/>
    <s v="Ajay Sharma"/>
    <n v="18200"/>
  </r>
  <r>
    <s v="142937"/>
    <s v="MP"/>
    <s v="Roshan Zameer"/>
    <s v="27/03/2022"/>
    <s v="Shipped"/>
    <s v="113 GB DDR4 RAM"/>
    <s v="RAM"/>
    <s v="Hynix"/>
    <n v="3500"/>
    <n v="4550"/>
    <n v="1"/>
    <n v="3500"/>
    <n v="4550"/>
    <s v="Roshan Kumar"/>
    <n v="25545"/>
  </r>
  <r>
    <s v="142938"/>
    <s v="MH"/>
    <s v="Rakesh Kumar Sharma"/>
    <s v="27/03/2022"/>
    <s v="Order"/>
    <s v="BTX motherboard"/>
    <s v="MotherBoard"/>
    <s v="Gigabyte"/>
    <n v="4500"/>
    <n v="5850"/>
    <n v="3"/>
    <n v="13500"/>
    <n v="17550"/>
    <s v="Aarvi Gupta"/>
    <n v="39780"/>
  </r>
  <r>
    <s v="142939"/>
    <s v="MN"/>
    <s v="Shivanand Sahani"/>
    <s v="28/03/2022"/>
    <s v="Processing"/>
    <s v="108 Fans Cabinet"/>
    <s v="Cabinet"/>
    <s v="Asus"/>
    <n v="2100"/>
    <n v="2730"/>
    <n v="1"/>
    <n v="2100"/>
    <n v="2730"/>
    <s v="Vijay Singh"/>
    <n v="2990"/>
  </r>
  <r>
    <s v="142940"/>
    <s v="ML"/>
    <s v="Kunal Patra"/>
    <s v="28/03/2022"/>
    <s v="Delivered"/>
    <s v="Wireless Keyboard"/>
    <s v="Keyboard"/>
    <s v="Dell"/>
    <n v="1150"/>
    <n v="1495"/>
    <n v="1"/>
    <n v="1150"/>
    <n v="1495"/>
    <s v="Aadil Khan"/>
    <n v="3315"/>
  </r>
  <r>
    <s v="142941"/>
    <s v="MZ"/>
    <s v="Bijendra"/>
    <s v="28/03/2022"/>
    <s v="Shipped"/>
    <s v="USB Mouse"/>
    <s v="Mouse"/>
    <s v="Samsung"/>
    <n v="350"/>
    <n v="455"/>
    <n v="2"/>
    <n v="700"/>
    <n v="910"/>
    <s v="Advika Joshi"/>
    <n v="1690"/>
  </r>
  <r>
    <s v="142942"/>
    <s v="NL"/>
    <s v="Kranti Bheke"/>
    <s v="28/03/2022"/>
    <s v="Order"/>
    <s v="19&quot; LED Display"/>
    <s v="Monitor"/>
    <s v="Dell"/>
    <n v="9500"/>
    <n v="12350"/>
    <n v="1"/>
    <n v="9500"/>
    <n v="12350"/>
    <s v="Ajay Sharma"/>
    <n v="9750"/>
  </r>
  <r>
    <s v="142943"/>
    <s v="OR"/>
    <s v="Jagdeep"/>
    <s v="28/03/2022"/>
    <s v="Processing"/>
    <s v="107 TB HDD"/>
    <s v="HDD"/>
    <s v="Western Digital"/>
    <n v="10000"/>
    <n v="13000"/>
    <n v="4"/>
    <n v="40000"/>
    <n v="52000"/>
    <s v="Roshan Kumar"/>
    <n v="39000"/>
  </r>
  <r>
    <s v="142944"/>
    <s v="PB"/>
    <s v="Adhir Samal"/>
    <s v="28/03/2022"/>
    <s v="Delivered"/>
    <s v="617 GB M.2"/>
    <s v="SSD"/>
    <s v="Samsung"/>
    <n v="6500"/>
    <n v="8450"/>
    <n v="4"/>
    <n v="26000"/>
    <n v="33800"/>
    <s v="Aarvi Gupta"/>
    <n v="8450"/>
  </r>
  <r>
    <s v="142945"/>
    <s v="RJ"/>
    <s v="Dannana Jhammi"/>
    <s v="28/03/2022"/>
    <s v="Shipped"/>
    <s v="RYZEN 3rd gen. 3605"/>
    <s v="CPU"/>
    <s v="Intel"/>
    <n v="8500"/>
    <n v="11050"/>
    <n v="3"/>
    <n v="25500"/>
    <n v="33150"/>
    <s v="Vijay Singh"/>
    <n v="33150"/>
  </r>
  <r>
    <s v="142946"/>
    <s v="SK"/>
    <s v="Vipin Kumar"/>
    <s v="28/03/2022"/>
    <s v="Order"/>
    <s v="2GB Graphic Card"/>
    <s v="Graphic Card"/>
    <s v="Nvidia"/>
    <n v="7000"/>
    <n v="9100"/>
    <n v="3"/>
    <n v="21000"/>
    <n v="27300"/>
    <s v="Aadil Khan"/>
    <n v="18200"/>
  </r>
  <r>
    <s v="142947"/>
    <s v="TN"/>
    <s v="Ranjeet Kumar"/>
    <s v="28/03/2022"/>
    <s v="Processing"/>
    <s v="121 GB DDR4 RAM"/>
    <s v="RAM"/>
    <s v="Hynix"/>
    <n v="6550"/>
    <n v="8515"/>
    <n v="1"/>
    <n v="6550"/>
    <n v="8515"/>
    <s v="Advika Joshi"/>
    <n v="25545"/>
  </r>
  <r>
    <s v="142948"/>
    <s v="TR"/>
    <s v="Sajal Singhal"/>
    <s v="28/03/2022"/>
    <s v="Delivered"/>
    <s v="Standard ATX motherboard"/>
    <s v="MotherBoard"/>
    <s v="Gigabyte"/>
    <n v="7650"/>
    <n v="9945"/>
    <n v="3"/>
    <n v="22950"/>
    <n v="29835"/>
    <s v="Ajay Sharma"/>
    <n v="39780"/>
  </r>
  <r>
    <s v="142949"/>
    <s v="UK"/>
    <s v="Akhilesh Kumar"/>
    <s v="28/03/2022"/>
    <s v="Shipped"/>
    <s v="Compact with 1 Fan"/>
    <s v="Cabinet"/>
    <s v="Asus"/>
    <n v="1150"/>
    <n v="1495"/>
    <n v="2"/>
    <n v="2300"/>
    <n v="2990"/>
    <s v="Roshan Kumar"/>
    <n v="2990"/>
  </r>
  <r>
    <s v="142950"/>
    <s v="UP"/>
    <s v="Suvankar Chakraborty"/>
    <s v="28/03/2022"/>
    <s v="Order"/>
    <s v="USB Backlight Keyboard"/>
    <s v="Keyboard"/>
    <s v="Dell"/>
    <n v="850"/>
    <n v="1105"/>
    <n v="4"/>
    <n v="3400"/>
    <n v="4420"/>
    <s v="Aarvi Gupta"/>
    <n v="3315"/>
  </r>
  <r>
    <s v="142951"/>
    <s v="WB"/>
    <s v="Suvankar Adhikary"/>
    <s v="28/03/2022"/>
    <s v="Processing"/>
    <s v="Ergonomic Mouse"/>
    <s v="Mouse"/>
    <s v="Samsung"/>
    <n v="650"/>
    <n v="845"/>
    <n v="4"/>
    <n v="2600"/>
    <n v="3380"/>
    <s v="Vijay Singh"/>
    <n v="1690"/>
  </r>
  <r>
    <s v="142952"/>
    <s v="TN"/>
    <s v="Rahul Kumar Prajapati"/>
    <s v="28/03/2022"/>
    <s v="Delivered"/>
    <s v="15&quot; LCD Dsipaly"/>
    <s v="Monitor"/>
    <s v="Dell"/>
    <n v="7500"/>
    <n v="9750"/>
    <n v="2"/>
    <n v="15000"/>
    <n v="19500"/>
    <s v="Aadil Khan"/>
    <n v="9750"/>
  </r>
  <r>
    <s v="142953"/>
    <s v="TR"/>
    <s v="Sagar Jeur"/>
    <s v="28/03/2022"/>
    <s v="Shipped"/>
    <s v="107 TB HDD"/>
    <s v="HDD"/>
    <s v="Seagate"/>
    <n v="10000"/>
    <n v="13000"/>
    <n v="2"/>
    <n v="20000"/>
    <n v="26000"/>
    <s v="Advika Joshi"/>
    <n v="39000"/>
  </r>
  <r>
    <s v="142954"/>
    <s v="MH"/>
    <s v="Rhushikesh Mane"/>
    <s v="28/03/2022"/>
    <s v="Order"/>
    <s v="106 TB SSD"/>
    <s v="SSD"/>
    <s v="Samsung"/>
    <n v="10500"/>
    <n v="13650"/>
    <n v="2"/>
    <n v="21000"/>
    <n v="27300"/>
    <s v="Ajay Sharma"/>
    <n v="8450"/>
  </r>
  <r>
    <s v="142955"/>
    <s v="CH"/>
    <s v="Ashish Kumar"/>
    <s v="28/03/2022"/>
    <s v="Processing"/>
    <s v="Intel i5 12th gen."/>
    <s v="CPU"/>
    <s v="Intel"/>
    <n v="8500"/>
    <n v="11050"/>
    <n v="4"/>
    <n v="34000"/>
    <n v="44200"/>
    <s v="Roshan Kumar"/>
    <n v="33150"/>
  </r>
  <r>
    <s v="142956"/>
    <s v="DH"/>
    <s v="Javed Akhter"/>
    <s v="28/03/2022"/>
    <s v="Delivered"/>
    <s v="2GB Graphic Card"/>
    <s v="Graphic Card"/>
    <s v="Nvidia"/>
    <n v="7000"/>
    <n v="9100"/>
    <n v="2"/>
    <n v="14000"/>
    <n v="18200"/>
    <s v="Aarvi Gupta"/>
    <n v="18200"/>
  </r>
  <r>
    <s v="142957"/>
    <s v="DD"/>
    <s v="Haridas Balraj"/>
    <s v="28/03/2022"/>
    <s v="Shipped"/>
    <s v="109 GB DDR4 Ram"/>
    <s v="RAM"/>
    <s v="Hynix"/>
    <n v="1680"/>
    <n v="2184"/>
    <n v="3"/>
    <n v="5040"/>
    <n v="6552"/>
    <s v="Vijay Singh"/>
    <n v="25545"/>
  </r>
  <r>
    <s v="142958"/>
    <s v="DL"/>
    <s v="Kundan Kumar"/>
    <s v="28/03/2022"/>
    <s v="Order"/>
    <s v="Micro ATX motherboard"/>
    <s v="MotherBoard"/>
    <s v="MSI"/>
    <n v="6540"/>
    <n v="8502"/>
    <n v="2"/>
    <n v="13080"/>
    <n v="17004"/>
    <s v="Aadil Khan"/>
    <n v="39780"/>
  </r>
  <r>
    <s v="142959"/>
    <s v="LD"/>
    <s v="Atif Siddiqui"/>
    <s v="28/03/2022"/>
    <s v="Processing"/>
    <s v="Gaming Box Cabinet"/>
    <s v="Cabinet"/>
    <s v="Asus"/>
    <n v="2680"/>
    <n v="3484"/>
    <n v="3"/>
    <n v="8040"/>
    <n v="10452"/>
    <s v="Advika Joshi"/>
    <n v="2990"/>
  </r>
  <r>
    <s v="142960"/>
    <s v="PY"/>
    <s v="Aditya Agarwal"/>
    <s v="28/03/2022"/>
    <s v="Delivered"/>
    <s v="17&quot; LCD Display"/>
    <s v="Monitor"/>
    <s v="Samsung"/>
    <n v="8250"/>
    <n v="10725"/>
    <n v="2"/>
    <n v="16500"/>
    <n v="21450"/>
    <s v="Ajay Sharma"/>
    <n v="9750"/>
  </r>
  <r>
    <s v="142961"/>
    <s v="AP"/>
    <s v="Firdoush Jabee"/>
    <s v="28/03/2022"/>
    <s v="Shipped"/>
    <s v="113 GB DDR4 RAM"/>
    <s v="RAM"/>
    <s v="Samsung"/>
    <n v="2650"/>
    <n v="3445"/>
    <n v="3"/>
    <n v="7950"/>
    <n v="10335"/>
    <s v="Roshan Kumar"/>
    <n v="25545"/>
  </r>
  <r>
    <s v="142962"/>
    <s v="AR"/>
    <s v="Jay Prakash Kumar"/>
    <s v="28/03/2022"/>
    <s v="Order"/>
    <s v="26&quot; LCD Display"/>
    <s v="Monitor"/>
    <s v="Acer"/>
    <n v="12550"/>
    <n v="16315"/>
    <n v="4"/>
    <n v="50200"/>
    <n v="65260"/>
    <s v="Aarvi Gupta"/>
    <n v="9750"/>
  </r>
  <r>
    <s v="142963"/>
    <s v="AS"/>
    <s v="Ashish Pandey"/>
    <s v="28/03/2022"/>
    <s v="Processing"/>
    <s v="I7 - intel 12th Generation"/>
    <s v="CPU"/>
    <s v="Intel"/>
    <n v="14500"/>
    <n v="18850"/>
    <n v="3"/>
    <n v="43500"/>
    <n v="56550"/>
    <s v="Vijay Singh"/>
    <n v="33150"/>
  </r>
  <r>
    <s v="142964"/>
    <s v="BR"/>
    <s v="Ajay Sharma"/>
    <s v="28/03/2022"/>
    <s v="Delivered"/>
    <s v="USB Keyboard"/>
    <s v="Keyboard"/>
    <s v="Dell"/>
    <n v="800"/>
    <n v="1040"/>
    <n v="3"/>
    <n v="2400"/>
    <n v="3120"/>
    <s v="Aadil Khan"/>
    <n v="3315"/>
  </r>
  <r>
    <s v="142965"/>
    <s v="CG"/>
    <s v="Moinuddin Saifi"/>
    <s v="28/03/2022"/>
    <s v="Shipped"/>
    <s v="Wireless Mouse"/>
    <s v="Mouse"/>
    <s v="Samsung"/>
    <n v="600"/>
    <n v="780"/>
    <n v="2"/>
    <n v="1200"/>
    <n v="1560"/>
    <s v="Advika Joshi"/>
    <n v="1690"/>
  </r>
  <r>
    <s v="142966"/>
    <s v="GA"/>
    <s v="Ramkrishna Das Adhikary"/>
    <s v="28/03/2022"/>
    <s v="Order"/>
    <s v="21&quot; LCD Display"/>
    <s v="Monitor"/>
    <s v="Dell"/>
    <n v="10500"/>
    <n v="13650"/>
    <n v="2"/>
    <n v="21000"/>
    <n v="27300"/>
    <s v="Ajay Sharma"/>
    <n v="9750"/>
  </r>
  <r>
    <s v="142967"/>
    <s v="GJ"/>
    <s v="Ranjeet Mandal"/>
    <s v="28/03/2022"/>
    <s v="Processing"/>
    <s v="107 TB HDD"/>
    <s v="HDD"/>
    <s v="Western Digital"/>
    <n v="6500"/>
    <n v="8450"/>
    <n v="1"/>
    <n v="6500"/>
    <n v="8450"/>
    <s v="Roshan Kumar"/>
    <n v="39000"/>
  </r>
  <r>
    <s v="142968"/>
    <s v="HR"/>
    <s v="Ashwini Adsare"/>
    <s v="28/03/2022"/>
    <s v="Delivered"/>
    <s v="362 GB SSD"/>
    <s v="SSD"/>
    <s v="Samsung"/>
    <n v="4500"/>
    <n v="5850"/>
    <n v="2"/>
    <n v="9000"/>
    <n v="11700"/>
    <s v="Aarvi Gupta"/>
    <n v="8450"/>
  </r>
  <r>
    <s v="142969"/>
    <s v="HP"/>
    <s v="Rajesh Variya"/>
    <s v="28/03/2022"/>
    <s v="Shipped"/>
    <s v="Intel i3 11th gen."/>
    <s v="CPU"/>
    <s v="Intel"/>
    <n v="8500"/>
    <n v="11050"/>
    <n v="2"/>
    <n v="17000"/>
    <n v="22100"/>
    <s v="Vijay Singh"/>
    <n v="33150"/>
  </r>
  <r>
    <s v="142970"/>
    <s v="JK"/>
    <s v="Amit Singh"/>
    <s v="28/03/2022"/>
    <s v="Order"/>
    <s v="4GB Graphic card"/>
    <s v="Graphic Card"/>
    <s v="Nvidia"/>
    <n v="12500"/>
    <n v="16250"/>
    <n v="4"/>
    <n v="50000"/>
    <n v="65000"/>
    <s v="Aadil Khan"/>
    <n v="18200"/>
  </r>
  <r>
    <s v="142971"/>
    <s v="JH"/>
    <s v="Vinod Mehta"/>
    <s v="28/03/2022"/>
    <s v="Processing"/>
    <s v="114 GB DDR4 RAM"/>
    <s v="Computer Case"/>
    <s v="Hynix"/>
    <n v="3500"/>
    <n v="4550"/>
    <n v="2"/>
    <n v="7000"/>
    <n v="9100"/>
    <s v="Advika Joshi"/>
    <n v="13650"/>
  </r>
  <r>
    <s v="142972"/>
    <s v="KA"/>
    <s v="Jignesh Mhatre"/>
    <s v="28/03/2022"/>
    <s v="Delivered"/>
    <s v="BTX motherboard"/>
    <s v="Mouse"/>
    <s v="Gigabyte"/>
    <n v="4500"/>
    <n v="5850"/>
    <n v="4"/>
    <n v="18000"/>
    <n v="23400"/>
    <s v="Ajay Sharma"/>
    <n v="1690"/>
  </r>
  <r>
    <s v="142973"/>
    <s v="KL"/>
    <s v="Rahul Kashyap"/>
    <s v="28/03/2022"/>
    <s v="Shipped"/>
    <s v="109 Fans Cabinet"/>
    <s v="Cabinet"/>
    <s v="Asus"/>
    <n v="2100"/>
    <n v="2730"/>
    <n v="1"/>
    <n v="2100"/>
    <n v="2730"/>
    <s v="Roshan Kumar"/>
    <n v="2990"/>
  </r>
  <r>
    <s v="142974"/>
    <s v="MP"/>
    <s v="Mohammed Abdul Kaleem"/>
    <s v="28/03/2022"/>
    <s v="Order"/>
    <s v="Wireless Keyboard"/>
    <s v="Keyboard"/>
    <s v="Dell"/>
    <n v="1150"/>
    <n v="1495"/>
    <n v="4"/>
    <n v="4600"/>
    <n v="5980"/>
    <s v="Aarvi Gupta"/>
    <n v="3315"/>
  </r>
  <r>
    <s v="142975"/>
    <s v="MH"/>
    <s v="Chandrakant Kasbe"/>
    <s v="28/03/2022"/>
    <s v="Processing"/>
    <s v="USB Mouse"/>
    <s v="Mouse"/>
    <s v="Samsung"/>
    <n v="350"/>
    <n v="455"/>
    <n v="4"/>
    <n v="1400"/>
    <n v="1820"/>
    <s v="Vijay Singh"/>
    <n v="1690"/>
  </r>
  <r>
    <s v="142976"/>
    <s v="MN"/>
    <s v="Rohan Kale"/>
    <s v="28/03/2022"/>
    <s v="Delivered"/>
    <s v="19&quot; LED Display"/>
    <s v="Monitor"/>
    <s v="Dell"/>
    <n v="9500"/>
    <n v="12350"/>
    <n v="2"/>
    <n v="19000"/>
    <n v="24700"/>
    <s v="Aadil Khan"/>
    <n v="9750"/>
  </r>
  <r>
    <s v="142977"/>
    <s v="ML"/>
    <s v="Aniruddha Kekapure"/>
    <s v="29/03/2022"/>
    <s v="Shipped"/>
    <s v="108 TB HDD"/>
    <s v="HDD"/>
    <s v="Western Digital"/>
    <n v="10000"/>
    <n v="13000"/>
    <n v="4"/>
    <n v="40000"/>
    <n v="52000"/>
    <s v="Advika Joshi"/>
    <n v="39000"/>
  </r>
  <r>
    <s v="142978"/>
    <s v="MZ"/>
    <s v="Aslam Raza"/>
    <s v="29/03/2022"/>
    <s v="Order"/>
    <s v="618 GB M.2"/>
    <s v="SSD"/>
    <s v="Samsung"/>
    <n v="6500"/>
    <n v="8450"/>
    <n v="3"/>
    <n v="19500"/>
    <n v="25350"/>
    <s v="Ajay Sharma"/>
    <n v="8450"/>
  </r>
  <r>
    <s v="142979"/>
    <s v="NL"/>
    <s v="Roshan Zameer"/>
    <s v="29/03/2022"/>
    <s v="Processing"/>
    <s v="RYZEN 3rd gen. 3606"/>
    <s v="CPU"/>
    <s v="Intel"/>
    <n v="8500"/>
    <n v="11050"/>
    <n v="1"/>
    <n v="8500"/>
    <n v="11050"/>
    <s v="Roshan Kumar"/>
    <n v="33150"/>
  </r>
  <r>
    <s v="142980"/>
    <s v="OR"/>
    <s v="Rakesh Kumar Sharma"/>
    <s v="29/03/2022"/>
    <s v="Delivered"/>
    <s v="2GB Graphic Card"/>
    <s v="Graphic Card"/>
    <s v="Nvidia"/>
    <n v="7000"/>
    <n v="9100"/>
    <n v="2"/>
    <n v="14000"/>
    <n v="18200"/>
    <s v="Aarvi Gupta"/>
    <n v="18200"/>
  </r>
  <r>
    <s v="142981"/>
    <s v="PB"/>
    <s v="Shivanand Sahani"/>
    <s v="29/03/2022"/>
    <s v="Shipped"/>
    <s v="122 GB DDR4 RAM"/>
    <s v="Computer Case"/>
    <s v="Hynix"/>
    <n v="6550"/>
    <n v="8515"/>
    <n v="2"/>
    <n v="13100"/>
    <n v="17030"/>
    <s v="Vijay Singh"/>
    <n v="13650"/>
  </r>
  <r>
    <s v="142982"/>
    <s v="RJ"/>
    <s v="Kunal Patra"/>
    <s v="29/03/2022"/>
    <s v="Order"/>
    <s v="Standard ATX motherboard"/>
    <s v="Mouse"/>
    <s v="Gigabyte"/>
    <n v="7650"/>
    <n v="9945"/>
    <n v="3"/>
    <n v="22950"/>
    <n v="29835"/>
    <s v="Aadil Khan"/>
    <n v="1690"/>
  </r>
  <r>
    <s v="142983"/>
    <s v="SK"/>
    <s v="Bijendra"/>
    <s v="29/03/2022"/>
    <s v="Processing"/>
    <s v="Compact with 1 Fan"/>
    <s v="Cabinet"/>
    <s v="Asus"/>
    <n v="1150"/>
    <n v="1495"/>
    <n v="1"/>
    <n v="1150"/>
    <n v="1495"/>
    <s v="Advika Joshi"/>
    <n v="2990"/>
  </r>
  <r>
    <s v="142984"/>
    <s v="TN"/>
    <s v="Kranti Bheke"/>
    <s v="29/03/2022"/>
    <s v="Delivered"/>
    <s v="USB Backlight Keyboard"/>
    <s v="Keyboard"/>
    <s v="Dell"/>
    <n v="850"/>
    <n v="1105"/>
    <n v="3"/>
    <n v="2550"/>
    <n v="3315"/>
    <s v="Ajay Sharma"/>
    <n v="3315"/>
  </r>
  <r>
    <s v="142985"/>
    <s v="TR"/>
    <s v="Jagdeep"/>
    <s v="29/03/2022"/>
    <s v="Shipped"/>
    <s v="Ergonomic Mouse"/>
    <s v="Mouse"/>
    <s v="Samsung"/>
    <n v="650"/>
    <n v="845"/>
    <n v="1"/>
    <n v="650"/>
    <n v="845"/>
    <s v="Roshan Kumar"/>
    <n v="1690"/>
  </r>
  <r>
    <s v="142986"/>
    <s v="UK"/>
    <s v="Adhir Samal"/>
    <s v="29/03/2022"/>
    <s v="Order"/>
    <s v="15&quot; LCD Dsipaly"/>
    <s v="Monitor"/>
    <s v="Dell"/>
    <n v="7500"/>
    <n v="9750"/>
    <n v="2"/>
    <n v="15000"/>
    <n v="19500"/>
    <s v="Aarvi Gupta"/>
    <n v="9750"/>
  </r>
  <r>
    <s v="142987"/>
    <s v="UP"/>
    <s v="Dannana Jhammi"/>
    <s v="29/03/2022"/>
    <s v="Processing"/>
    <s v="108 TB HDD"/>
    <s v="HDD"/>
    <s v="Seagate"/>
    <n v="10000"/>
    <n v="13000"/>
    <n v="4"/>
    <n v="40000"/>
    <n v="52000"/>
    <s v="Vijay Singh"/>
    <n v="39000"/>
  </r>
  <r>
    <s v="142988"/>
    <s v="WB"/>
    <s v="Vipin Kumar"/>
    <s v="29/03/2022"/>
    <s v="Delivered"/>
    <s v="107 TB SSD"/>
    <s v="SSD"/>
    <s v="Samsung"/>
    <n v="10500"/>
    <n v="13650"/>
    <n v="2"/>
    <n v="21000"/>
    <n v="27300"/>
    <s v="Aadil Khan"/>
    <n v="8450"/>
  </r>
  <r>
    <s v="142989"/>
    <s v="TN"/>
    <s v="Ranjeet Kumar"/>
    <s v="29/03/2022"/>
    <s v="Shipped"/>
    <s v="Intel i5 12th gen."/>
    <s v="CPU"/>
    <s v="Intel"/>
    <n v="8500"/>
    <n v="11050"/>
    <n v="2"/>
    <n v="17000"/>
    <n v="22100"/>
    <s v="Advika Joshi"/>
    <n v="33150"/>
  </r>
  <r>
    <s v="142990"/>
    <s v="TR"/>
    <s v="Sajal Singhal"/>
    <s v="29/03/2022"/>
    <s v="Order"/>
    <s v="2GB Graphic Card"/>
    <s v="Graphic Card"/>
    <s v="Nvidia"/>
    <n v="7000"/>
    <n v="9100"/>
    <n v="4"/>
    <n v="28000"/>
    <n v="36400"/>
    <s v="Ajay Sharma"/>
    <n v="18200"/>
  </r>
  <r>
    <s v="142991"/>
    <s v="MH"/>
    <s v="Akhilesh Kumar"/>
    <s v="29/03/2022"/>
    <s v="Processing"/>
    <s v="110 GB DDR4 Ram"/>
    <s v="Computer Case"/>
    <s v="Hynix"/>
    <n v="1680"/>
    <n v="2184"/>
    <n v="4"/>
    <n v="6720"/>
    <n v="8736"/>
    <s v="Roshan Kumar"/>
    <n v="13650"/>
  </r>
  <r>
    <s v="142992"/>
    <s v="CH"/>
    <s v="Suvankar Chakraborty"/>
    <s v="29/03/2022"/>
    <s v="Delivered"/>
    <s v="Micro ATX motherboard"/>
    <s v="Mouse"/>
    <s v="MSI"/>
    <n v="6540"/>
    <n v="8502"/>
    <n v="2"/>
    <n v="13080"/>
    <n v="17004"/>
    <s v="Aarvi Gupta"/>
    <n v="1690"/>
  </r>
  <r>
    <s v="142993"/>
    <s v="DH"/>
    <s v="Suvankar Adhikary"/>
    <s v="29/03/2022"/>
    <s v="Shipped"/>
    <s v="Gaming Box Cabinet"/>
    <s v="Cabinet"/>
    <s v="Asus"/>
    <n v="2680"/>
    <n v="3484"/>
    <n v="1"/>
    <n v="2680"/>
    <n v="3484"/>
    <s v="Vijay Singh"/>
    <n v="2990"/>
  </r>
  <r>
    <s v="142994"/>
    <s v="DD"/>
    <s v="Rahul Kumar Prajapati"/>
    <s v="29/03/2022"/>
    <s v="Order"/>
    <s v="17&quot; LCD Display"/>
    <s v="Monitor"/>
    <s v="Samsung"/>
    <n v="8250"/>
    <n v="10725"/>
    <n v="4"/>
    <n v="33000"/>
    <n v="42900"/>
    <s v="Aadil Khan"/>
    <n v="9750"/>
  </r>
  <r>
    <s v="142995"/>
    <s v="DL"/>
    <s v="Sagar Jeur"/>
    <s v="29/03/2022"/>
    <s v="Processing"/>
    <s v="114 GB DDR4 RAM"/>
    <s v="RAM"/>
    <s v="Samsung"/>
    <n v="2650"/>
    <n v="3445"/>
    <n v="1"/>
    <n v="2650"/>
    <n v="3445"/>
    <s v="Advika Joshi"/>
    <n v="25545"/>
  </r>
  <r>
    <s v="142996"/>
    <s v="LD"/>
    <s v="Rhushikesh Mane"/>
    <s v="29/03/2022"/>
    <s v="Delivered"/>
    <s v="26&quot; LCD Display"/>
    <s v="Monitor"/>
    <s v="Acer"/>
    <n v="12550"/>
    <n v="16315"/>
    <n v="2"/>
    <n v="25100"/>
    <n v="32630"/>
    <s v="Ajay Sharma"/>
    <n v="9750"/>
  </r>
  <r>
    <s v="142997"/>
    <s v="PY"/>
    <s v="Ashish Kumar"/>
    <s v="29/03/2022"/>
    <s v="Shipped"/>
    <s v="I7 - intel 12th Generation"/>
    <s v="CPU"/>
    <s v="Intel"/>
    <n v="14500"/>
    <n v="18850"/>
    <n v="1"/>
    <n v="14500"/>
    <n v="18850"/>
    <s v="Roshan Kumar"/>
    <n v="33150"/>
  </r>
  <r>
    <s v="142998"/>
    <s v="AP"/>
    <s v="Javed Akhter"/>
    <s v="29/03/2022"/>
    <s v="Order"/>
    <s v="USB Keyboard"/>
    <s v="Keyboard"/>
    <s v="Dell"/>
    <n v="800"/>
    <n v="1040"/>
    <n v="3"/>
    <n v="2400"/>
    <n v="3120"/>
    <s v="Aarvi Gupta"/>
    <n v="3315"/>
  </r>
  <r>
    <s v="142999"/>
    <s v="AR"/>
    <s v="Haridas Balraj"/>
    <s v="29/03/2022"/>
    <s v="Processing"/>
    <s v="Wireless Mouse"/>
    <s v="Mouse"/>
    <s v="Samsung"/>
    <n v="600"/>
    <n v="780"/>
    <n v="4"/>
    <n v="2400"/>
    <n v="3120"/>
    <s v="Vijay Singh"/>
    <n v="1690"/>
  </r>
  <r>
    <s v="143000"/>
    <s v="AS"/>
    <s v="Kundan Kumar"/>
    <s v="29/03/2022"/>
    <s v="Delivered"/>
    <s v="21&quot; LCD Display"/>
    <s v="Monitor"/>
    <s v="Dell"/>
    <n v="10500"/>
    <n v="13650"/>
    <n v="1"/>
    <n v="10500"/>
    <n v="13650"/>
    <s v="Aadil Khan"/>
    <n v="9750"/>
  </r>
  <r>
    <s v="143001"/>
    <s v="BR"/>
    <s v="Atif Siddiqui"/>
    <s v="29/03/2022"/>
    <s v="Shipped"/>
    <s v="108 TB HDD"/>
    <s v="HDD"/>
    <s v="Western Digital"/>
    <n v="6500"/>
    <n v="8450"/>
    <n v="2"/>
    <n v="13000"/>
    <n v="16900"/>
    <s v="Advika Joshi"/>
    <n v="39000"/>
  </r>
  <r>
    <s v="143002"/>
    <s v="CG"/>
    <s v="Aditya Agarwal"/>
    <s v="29/03/2022"/>
    <s v="Order"/>
    <s v="363 GB SSD"/>
    <s v="SSD"/>
    <s v="Samsung"/>
    <n v="4500"/>
    <n v="5850"/>
    <n v="2"/>
    <n v="9000"/>
    <n v="11700"/>
    <s v="Ajay Sharma"/>
    <n v="8450"/>
  </r>
  <r>
    <s v="143003"/>
    <s v="GA"/>
    <s v="Firdoush Jabee"/>
    <s v="29/03/2022"/>
    <s v="Processing"/>
    <s v="Intel i3 11th gen."/>
    <s v="CPU"/>
    <s v="Intel"/>
    <n v="8500"/>
    <n v="11050"/>
    <n v="3"/>
    <n v="25500"/>
    <n v="33150"/>
    <s v="Roshan Kumar"/>
    <n v="33150"/>
  </r>
  <r>
    <s v="143004"/>
    <s v="GJ"/>
    <s v="Jay Prakash Kumar"/>
    <s v="29/03/2022"/>
    <s v="Delivered"/>
    <s v="4GB Graphic card"/>
    <s v="Graphic Card"/>
    <s v="Nvidia"/>
    <n v="12500"/>
    <n v="16250"/>
    <n v="3"/>
    <n v="37500"/>
    <n v="48750"/>
    <s v="Aarvi Gupta"/>
    <n v="18200"/>
  </r>
  <r>
    <s v="143005"/>
    <s v="HR"/>
    <s v="Ashish Pandey"/>
    <s v="29/03/2022"/>
    <s v="Shipped"/>
    <s v="115 GB DDR4 RAM"/>
    <s v="NIC"/>
    <s v="Hynix"/>
    <n v="3500"/>
    <n v="4550"/>
    <n v="4"/>
    <n v="14000"/>
    <n v="18200"/>
    <s v="Vijay Singh"/>
    <n v="9100"/>
  </r>
  <r>
    <s v="143006"/>
    <s v="HP"/>
    <s v="Ajay Sharma"/>
    <s v="29/03/2022"/>
    <s v="Order"/>
    <s v="BTX motherboard"/>
    <s v="Printer"/>
    <s v="Gigabyte"/>
    <n v="4500"/>
    <n v="5850"/>
    <n v="1"/>
    <n v="4500"/>
    <n v="5850"/>
    <s v="Aadil Khan"/>
    <n v="11700"/>
  </r>
  <r>
    <s v="143007"/>
    <s v="JK"/>
    <s v="Moinuddin Saifi"/>
    <s v="29/03/2022"/>
    <s v="Processing"/>
    <s v="110 Fans Cabinet"/>
    <s v="Cabinet"/>
    <s v="Asus"/>
    <n v="2100"/>
    <n v="2730"/>
    <n v="1"/>
    <n v="2100"/>
    <n v="2730"/>
    <s v="Advika Joshi"/>
    <n v="2990"/>
  </r>
  <r>
    <s v="143008"/>
    <s v="JH"/>
    <s v="Ramkrishna Das Adhikary"/>
    <s v="29/03/2022"/>
    <s v="Delivered"/>
    <s v="Wireless Keyboard"/>
    <s v="Keyboard"/>
    <s v="Dell"/>
    <n v="1150"/>
    <n v="1495"/>
    <n v="3"/>
    <n v="3450"/>
    <n v="4485"/>
    <s v="Ajay Sharma"/>
    <n v="3315"/>
  </r>
  <r>
    <s v="143009"/>
    <s v="KA"/>
    <s v="Ranjeet Mandal"/>
    <s v="29/03/2022"/>
    <s v="Shipped"/>
    <s v="USB Mouse"/>
    <s v="Mouse"/>
    <s v="Samsung"/>
    <n v="350"/>
    <n v="455"/>
    <n v="2"/>
    <n v="700"/>
    <n v="910"/>
    <s v="Roshan Kumar"/>
    <n v="1690"/>
  </r>
  <r>
    <s v="143010"/>
    <s v="KL"/>
    <s v="Ashwini Adsare"/>
    <s v="29/03/2022"/>
    <s v="Order"/>
    <s v="19&quot; LED Display"/>
    <s v="Monitor"/>
    <s v="Dell"/>
    <n v="9500"/>
    <n v="12350"/>
    <n v="1"/>
    <n v="9500"/>
    <n v="12350"/>
    <s v="Aarvi Gupta"/>
    <n v="9750"/>
  </r>
  <r>
    <s v="143011"/>
    <s v="MP"/>
    <s v="Rajesh Variya"/>
    <s v="29/03/2022"/>
    <s v="Processing"/>
    <s v="109 TB HDD"/>
    <s v="HDD"/>
    <s v="Western Digital"/>
    <n v="10000"/>
    <n v="13000"/>
    <n v="2"/>
    <n v="20000"/>
    <n v="26000"/>
    <s v="Vijay Singh"/>
    <n v="39000"/>
  </r>
  <r>
    <s v="143012"/>
    <s v="MH"/>
    <s v="Amit Singh"/>
    <s v="29/03/2022"/>
    <s v="Delivered"/>
    <s v="619 GB M.2"/>
    <s v="SSD"/>
    <s v="Samsung"/>
    <n v="6500"/>
    <n v="8450"/>
    <n v="2"/>
    <n v="13000"/>
    <n v="16900"/>
    <s v="Aadil Khan"/>
    <n v="8450"/>
  </r>
  <r>
    <s v="143013"/>
    <s v="MN"/>
    <s v="Vinod Mehta"/>
    <s v="29/03/2022"/>
    <s v="Shipped"/>
    <s v="RYZEN 3rd gen. 3607"/>
    <s v="CPU"/>
    <s v="Intel"/>
    <n v="8500"/>
    <n v="11050"/>
    <n v="1"/>
    <n v="8500"/>
    <n v="11050"/>
    <s v="Advika Joshi"/>
    <n v="33150"/>
  </r>
  <r>
    <s v="143014"/>
    <s v="ML"/>
    <s v="Jignesh Mhatre"/>
    <s v="29/03/2022"/>
    <s v="Order"/>
    <s v="2GB Graphic Card"/>
    <s v="Graphic Card"/>
    <s v="Nvidia"/>
    <n v="7000"/>
    <n v="9100"/>
    <n v="1"/>
    <n v="7000"/>
    <n v="9100"/>
    <s v="Ajay Sharma"/>
    <n v="18200"/>
  </r>
  <r>
    <s v="143015"/>
    <s v="MZ"/>
    <s v="Rahul Kashyap"/>
    <s v="29/03/2022"/>
    <s v="Processing"/>
    <s v="123 GB DDR4 RAM"/>
    <s v="NIC"/>
    <s v="Hynix"/>
    <n v="6550"/>
    <n v="8515"/>
    <n v="4"/>
    <n v="26200"/>
    <n v="34060"/>
    <s v="Roshan Kumar"/>
    <n v="9100"/>
  </r>
  <r>
    <s v="143016"/>
    <s v="NL"/>
    <s v="Mohammed Abdul Kaleem"/>
    <s v="29/03/2022"/>
    <s v="Delivered"/>
    <s v="Standard ATX motherboard"/>
    <s v="Printer"/>
    <s v="Gigabyte"/>
    <n v="7650"/>
    <n v="9945"/>
    <n v="2"/>
    <n v="15300"/>
    <n v="19890"/>
    <s v="Aarvi Gupta"/>
    <n v="11700"/>
  </r>
  <r>
    <s v="143017"/>
    <s v="OR"/>
    <s v="Chandrakant Kasbe"/>
    <s v="29/03/2022"/>
    <s v="Shipped"/>
    <s v="Compact with 1 Fan"/>
    <s v="Cabinet"/>
    <s v="Asus"/>
    <n v="1150"/>
    <n v="1495"/>
    <n v="4"/>
    <n v="4600"/>
    <n v="5980"/>
    <s v="Vijay Singh"/>
    <n v="2990"/>
  </r>
  <r>
    <s v="143018"/>
    <s v="PB"/>
    <s v="Rohan Kale"/>
    <s v="29/03/2022"/>
    <s v="Order"/>
    <s v="USB Backlight Keyboard"/>
    <s v="Keyboard"/>
    <s v="Dell"/>
    <n v="850"/>
    <n v="1105"/>
    <n v="1"/>
    <n v="850"/>
    <n v="1105"/>
    <s v="Aadil Khan"/>
    <n v="3315"/>
  </r>
  <r>
    <s v="143019"/>
    <s v="RJ"/>
    <s v="Aniruddha Kekapure"/>
    <s v="29/03/2022"/>
    <s v="Processing"/>
    <s v="Ergonomic Mouse"/>
    <s v="Mouse"/>
    <s v="Samsung"/>
    <n v="650"/>
    <n v="845"/>
    <n v="3"/>
    <n v="1950"/>
    <n v="2535"/>
    <s v="Advika Joshi"/>
    <n v="1690"/>
  </r>
  <r>
    <s v="143020"/>
    <s v="SK"/>
    <s v="Aslam Raza"/>
    <s v="29/03/2022"/>
    <s v="Delivered"/>
    <s v="15&quot; LCD Dsipaly"/>
    <s v="Monitor"/>
    <s v="Dell"/>
    <n v="7500"/>
    <n v="9750"/>
    <n v="1"/>
    <n v="7500"/>
    <n v="9750"/>
    <s v="Ajay Sharma"/>
    <n v="9750"/>
  </r>
  <r>
    <s v="143021"/>
    <s v="TN"/>
    <s v="Roshan Zameer"/>
    <s v="29/03/2022"/>
    <s v="Shipped"/>
    <s v="109 TB HDD"/>
    <s v="HDD"/>
    <s v="Seagate"/>
    <n v="10000"/>
    <n v="13000"/>
    <n v="3"/>
    <n v="30000"/>
    <n v="39000"/>
    <s v="Roshan Kumar"/>
    <n v="39000"/>
  </r>
  <r>
    <s v="143022"/>
    <s v="TR"/>
    <s v="Rakesh Kumar Sharma"/>
    <s v="29/03/2022"/>
    <s v="Order"/>
    <s v="108 TB SSD"/>
    <s v="SSD"/>
    <s v="Samsung"/>
    <n v="10500"/>
    <n v="13650"/>
    <n v="1"/>
    <n v="10500"/>
    <n v="13650"/>
    <s v="Aarvi Gupta"/>
    <n v="8450"/>
  </r>
  <r>
    <s v="143023"/>
    <s v="UK"/>
    <s v="Shivanand Sahani"/>
    <s v="29/03/2022"/>
    <s v="Processing"/>
    <s v="Intel i5 12th gen."/>
    <s v="CPU"/>
    <s v="Intel"/>
    <n v="8500"/>
    <n v="11050"/>
    <n v="4"/>
    <n v="34000"/>
    <n v="44200"/>
    <s v="Vijay Singh"/>
    <n v="33150"/>
  </r>
  <r>
    <s v="143024"/>
    <s v="UP"/>
    <s v="Kunal Patra"/>
    <s v="29/03/2022"/>
    <s v="Delivered"/>
    <s v="2GB Graphic Card"/>
    <s v="Graphic Card"/>
    <s v="Nvidia"/>
    <n v="7000"/>
    <n v="9100"/>
    <n v="3"/>
    <n v="21000"/>
    <n v="27300"/>
    <s v="Aadil Khan"/>
    <n v="18200"/>
  </r>
  <r>
    <s v="143025"/>
    <s v="WB"/>
    <s v="Bijendra"/>
    <s v="29/03/2022"/>
    <s v="Shipped"/>
    <s v="111 GB DDR4 Ram"/>
    <s v="NIC"/>
    <s v="Hynix"/>
    <n v="1680"/>
    <n v="2184"/>
    <n v="2"/>
    <n v="3360"/>
    <n v="4368"/>
    <s v="Advika Joshi"/>
    <n v="9100"/>
  </r>
  <r>
    <s v="143026"/>
    <s v="TN"/>
    <s v="Kranti Bheke"/>
    <s v="29/03/2022"/>
    <s v="Order"/>
    <s v="Micro ATX motherboard"/>
    <s v="Printer"/>
    <s v="MSI"/>
    <n v="6540"/>
    <n v="8502"/>
    <n v="4"/>
    <n v="26160"/>
    <n v="34008"/>
    <s v="Ajay Sharma"/>
    <n v="11700"/>
  </r>
  <r>
    <s v="143027"/>
    <s v="TR"/>
    <s v="Jagdeep"/>
    <s v="29/03/2022"/>
    <s v="Processing"/>
    <s v="Gaming Box Cabinet"/>
    <s v="Cabinet"/>
    <s v="Asus"/>
    <n v="2680"/>
    <n v="3484"/>
    <n v="4"/>
    <n v="10720"/>
    <n v="13936"/>
    <s v="Roshan Kumar"/>
    <n v="2990"/>
  </r>
  <r>
    <s v="143028"/>
    <s v="MH"/>
    <s v="Adhir Samal"/>
    <s v="29/03/2022"/>
    <s v="Delivered"/>
    <s v="17&quot; LCD Display"/>
    <s v="Monitor"/>
    <s v="Samsung"/>
    <n v="8250"/>
    <n v="10725"/>
    <n v="4"/>
    <n v="33000"/>
    <n v="42900"/>
    <s v="Aarvi Gupta"/>
    <n v="9750"/>
  </r>
  <r>
    <s v="143029"/>
    <s v="CH"/>
    <s v="Dannana Jhammi"/>
    <s v="29/03/2022"/>
    <s v="Shipped"/>
    <s v="115 GB DDR4 RAM"/>
    <s v="RAM"/>
    <s v="Samsung"/>
    <n v="2650"/>
    <n v="3445"/>
    <n v="4"/>
    <n v="10600"/>
    <n v="13780"/>
    <s v="Vijay Singh"/>
    <n v="25545"/>
  </r>
  <r>
    <s v="143030"/>
    <s v="DH"/>
    <s v="Vipin Kumar"/>
    <s v="29/03/2022"/>
    <s v="Order"/>
    <s v="26&quot; LCD Display"/>
    <s v="Monitor"/>
    <s v="Acer"/>
    <n v="12550"/>
    <n v="16315"/>
    <n v="3"/>
    <n v="37650"/>
    <n v="48945"/>
    <s v="Aadil Khan"/>
    <n v="9750"/>
  </r>
  <r>
    <s v="143031"/>
    <s v="DD"/>
    <s v="Ranjeet Kumar"/>
    <s v="29/03/2022"/>
    <s v="Processing"/>
    <s v="I7 - intel 12th Generation"/>
    <s v="CPU"/>
    <s v="Intel"/>
    <n v="14500"/>
    <n v="18850"/>
    <n v="3"/>
    <n v="43500"/>
    <n v="56550"/>
    <s v="Advika Joshi"/>
    <n v="33150"/>
  </r>
  <r>
    <s v="143032"/>
    <s v="DL"/>
    <s v="Sajal Singhal"/>
    <s v="29/03/2022"/>
    <s v="Delivered"/>
    <s v="USB Keyboard"/>
    <s v="Keyboard"/>
    <s v="Dell"/>
    <n v="800"/>
    <n v="1040"/>
    <n v="1"/>
    <n v="800"/>
    <n v="1040"/>
    <s v="Ajay Sharma"/>
    <n v="3315"/>
  </r>
  <r>
    <s v="143033"/>
    <s v="LD"/>
    <s v="Akhilesh Kumar"/>
    <s v="29/03/2022"/>
    <s v="Shipped"/>
    <s v="Wireless Mouse"/>
    <s v="Mouse"/>
    <s v="Samsung"/>
    <n v="600"/>
    <n v="780"/>
    <n v="4"/>
    <n v="2400"/>
    <n v="3120"/>
    <s v="Roshan Kumar"/>
    <n v="1690"/>
  </r>
  <r>
    <s v="143034"/>
    <s v="PY"/>
    <s v="Suvankar Chakraborty"/>
    <s v="29/03/2022"/>
    <s v="Order"/>
    <s v="21&quot; LCD Display"/>
    <s v="Monitor"/>
    <s v="Dell"/>
    <n v="10500"/>
    <n v="13650"/>
    <n v="3"/>
    <n v="31500"/>
    <n v="40950"/>
    <s v="Aarvi Gupta"/>
    <n v="9750"/>
  </r>
  <r>
    <s v="143035"/>
    <s v="AP"/>
    <s v="Suvankar Adhikary"/>
    <s v="29/03/2022"/>
    <s v="Processing"/>
    <s v="109 TB HDD"/>
    <s v="HDD"/>
    <s v="Western Digital"/>
    <n v="6500"/>
    <n v="8450"/>
    <n v="3"/>
    <n v="19500"/>
    <n v="25350"/>
    <s v="Vijay Singh"/>
    <n v="39000"/>
  </r>
  <r>
    <s v="143036"/>
    <s v="AR"/>
    <s v="Rahul Kumar Prajapati"/>
    <s v="29/03/2022"/>
    <s v="Delivered"/>
    <s v="364 GB SSD"/>
    <s v="SSD"/>
    <s v="Samsung"/>
    <n v="4500"/>
    <n v="5850"/>
    <n v="3"/>
    <n v="13500"/>
    <n v="17550"/>
    <s v="Aadil Khan"/>
    <n v="8450"/>
  </r>
  <r>
    <s v="143037"/>
    <s v="AS"/>
    <s v="Sagar Jeur"/>
    <s v="29/03/2022"/>
    <s v="Shipped"/>
    <s v="Intel i3 11th gen."/>
    <s v="CPU"/>
    <s v="Intel"/>
    <n v="8500"/>
    <n v="11050"/>
    <n v="4"/>
    <n v="34000"/>
    <n v="44200"/>
    <s v="Advika Joshi"/>
    <n v="33150"/>
  </r>
  <r>
    <s v="143038"/>
    <s v="BR"/>
    <s v="Rhushikesh Mane"/>
    <s v="29/03/2022"/>
    <s v="Order"/>
    <s v="4GB Graphic card"/>
    <s v="Graphic Card"/>
    <s v="Nvidia"/>
    <n v="12500"/>
    <n v="16250"/>
    <n v="2"/>
    <n v="25000"/>
    <n v="32500"/>
    <s v="Ajay Sharma"/>
    <n v="18200"/>
  </r>
  <r>
    <s v="143039"/>
    <s v="CG"/>
    <s v="Ashish Kumar"/>
    <s v="29/03/2022"/>
    <s v="Processing"/>
    <s v="116 GB DDR4 RAM"/>
    <s v="RAM"/>
    <s v="Hynix"/>
    <n v="3500"/>
    <n v="4550"/>
    <n v="3"/>
    <n v="10500"/>
    <n v="13650"/>
    <s v="Roshan Kumar"/>
    <n v="25545"/>
  </r>
  <r>
    <s v="143040"/>
    <s v="GA"/>
    <s v="Javed Akhter"/>
    <s v="29/03/2022"/>
    <s v="Delivered"/>
    <s v="BTX motherboard"/>
    <s v="MotherBoard"/>
    <s v="Gigabyte"/>
    <n v="4500"/>
    <n v="5850"/>
    <n v="1"/>
    <n v="4500"/>
    <n v="5850"/>
    <s v="Aarvi Gupta"/>
    <n v="39780"/>
  </r>
  <r>
    <s v="143041"/>
    <s v="GJ"/>
    <s v="Haridas Balraj"/>
    <s v="29/03/2022"/>
    <s v="Shipped"/>
    <s v="111 Fans Cabinet"/>
    <s v="Cabinet"/>
    <s v="Asus"/>
    <n v="2100"/>
    <n v="2730"/>
    <n v="1"/>
    <n v="2100"/>
    <n v="2730"/>
    <s v="Vijay Singh"/>
    <n v="2990"/>
  </r>
  <r>
    <s v="143042"/>
    <s v="HR"/>
    <s v="Kundan Kumar"/>
    <s v="29/03/2022"/>
    <s v="Order"/>
    <s v="Wireless Keyboard"/>
    <s v="Keyboard"/>
    <s v="Dell"/>
    <n v="1150"/>
    <n v="1495"/>
    <n v="3"/>
    <n v="3450"/>
    <n v="4485"/>
    <s v="Aadil Khan"/>
    <n v="3315"/>
  </r>
  <r>
    <s v="143043"/>
    <s v="HP"/>
    <s v="Atif Siddiqui"/>
    <s v="29/03/2022"/>
    <s v="Processing"/>
    <s v="USB Mouse"/>
    <s v="Mouse"/>
    <s v="Samsung"/>
    <n v="350"/>
    <n v="455"/>
    <n v="3"/>
    <n v="1050"/>
    <n v="1365"/>
    <s v="Advika Joshi"/>
    <n v="1690"/>
  </r>
  <r>
    <s v="143044"/>
    <s v="JK"/>
    <s v="Aditya Agarwal"/>
    <s v="29/03/2022"/>
    <s v="Delivered"/>
    <s v="19&quot; LED Display"/>
    <s v="Monitor"/>
    <s v="Dell"/>
    <n v="9500"/>
    <n v="12350"/>
    <n v="2"/>
    <n v="19000"/>
    <n v="24700"/>
    <s v="Ajay Sharma"/>
    <n v="9750"/>
  </r>
  <r>
    <s v="143045"/>
    <s v="JH"/>
    <s v="Firdoush Jabee"/>
    <s v="29/03/2022"/>
    <s v="Shipped"/>
    <s v="110 TB HDD"/>
    <s v="HDD"/>
    <s v="Western Digital"/>
    <n v="10000"/>
    <n v="13000"/>
    <n v="3"/>
    <n v="30000"/>
    <n v="39000"/>
    <s v="Roshan Kumar"/>
    <n v="39000"/>
  </r>
  <r>
    <s v="143046"/>
    <s v="KA"/>
    <s v="Jay Prakash Kumar"/>
    <s v="29/03/2022"/>
    <s v="Order"/>
    <s v="620 GB M.2"/>
    <s v="SSD"/>
    <s v="Samsung"/>
    <n v="6500"/>
    <n v="8450"/>
    <n v="3"/>
    <n v="19500"/>
    <n v="25350"/>
    <s v="Aarvi Gupta"/>
    <n v="8450"/>
  </r>
  <r>
    <s v="143047"/>
    <s v="KL"/>
    <s v="Ashish Pandey"/>
    <s v="29/03/2022"/>
    <s v="Processing"/>
    <s v="RYZEN 3rd gen. 3608"/>
    <s v="CPU"/>
    <s v="Intel"/>
    <n v="8500"/>
    <n v="11050"/>
    <n v="2"/>
    <n v="17000"/>
    <n v="22100"/>
    <s v="Vijay Singh"/>
    <n v="33150"/>
  </r>
  <r>
    <s v="143048"/>
    <s v="MP"/>
    <s v="Ajay Sharma"/>
    <s v="29/03/2022"/>
    <s v="Delivered"/>
    <s v="2GB Graphic Card"/>
    <s v="Graphic Card"/>
    <s v="Nvidia"/>
    <n v="7000"/>
    <n v="9100"/>
    <n v="1"/>
    <n v="7000"/>
    <n v="9100"/>
    <s v="Aadil Khan"/>
    <n v="18200"/>
  </r>
  <r>
    <s v="143049"/>
    <s v="MH"/>
    <s v="Moinuddin Saifi"/>
    <s v="29/03/2022"/>
    <s v="Shipped"/>
    <s v="124 GB DDR4 RAM"/>
    <s v="RAM"/>
    <s v="Hynix"/>
    <n v="6550"/>
    <n v="8515"/>
    <n v="2"/>
    <n v="13100"/>
    <n v="17030"/>
    <s v="Advika Joshi"/>
    <n v="25545"/>
  </r>
  <r>
    <s v="143050"/>
    <s v="MN"/>
    <s v="Ramkrishna Das Adhikary"/>
    <s v="29/03/2022"/>
    <s v="Order"/>
    <s v="Standard ATX motherboard"/>
    <s v="MotherBoard"/>
    <s v="Gigabyte"/>
    <n v="7650"/>
    <n v="9945"/>
    <n v="1"/>
    <n v="7650"/>
    <n v="9945"/>
    <s v="Ajay Sharma"/>
    <n v="39780"/>
  </r>
  <r>
    <s v="143051"/>
    <s v="ML"/>
    <s v="Ranjeet Mandal"/>
    <s v="29/03/2022"/>
    <s v="Processing"/>
    <s v="Compact with 1 Fan"/>
    <s v="Cabinet"/>
    <s v="Asus"/>
    <n v="1150"/>
    <n v="1495"/>
    <n v="4"/>
    <n v="4600"/>
    <n v="5980"/>
    <s v="Roshan Kumar"/>
    <n v="2990"/>
  </r>
  <r>
    <s v="143052"/>
    <s v="MZ"/>
    <s v="Ashwini Adsare"/>
    <s v="29/03/2022"/>
    <s v="Delivered"/>
    <s v="USB Backlight Keyboard"/>
    <s v="Keyboard"/>
    <s v="Dell"/>
    <n v="850"/>
    <n v="1105"/>
    <n v="4"/>
    <n v="3400"/>
    <n v="4420"/>
    <s v="Aarvi Gupta"/>
    <n v="3315"/>
  </r>
  <r>
    <s v="143053"/>
    <s v="NL"/>
    <s v="Rajesh Variya"/>
    <s v="29/03/2022"/>
    <s v="Shipped"/>
    <s v="Ergonomic Mouse"/>
    <s v="Mouse"/>
    <s v="Samsung"/>
    <n v="650"/>
    <n v="845"/>
    <n v="4"/>
    <n v="2600"/>
    <n v="3380"/>
    <s v="Vijay Singh"/>
    <n v="1690"/>
  </r>
  <r>
    <s v="143054"/>
    <s v="OR"/>
    <s v="Amit Singh"/>
    <s v="29/03/2022"/>
    <s v="Order"/>
    <s v="15&quot; LCD Dsipaly"/>
    <s v="Monitor"/>
    <s v="Dell"/>
    <n v="7500"/>
    <n v="9750"/>
    <n v="2"/>
    <n v="15000"/>
    <n v="19500"/>
    <s v="Aadil Khan"/>
    <n v="9750"/>
  </r>
  <r>
    <s v="143055"/>
    <s v="PB"/>
    <s v="Vinod Mehta"/>
    <s v="29/03/2022"/>
    <s v="Processing"/>
    <s v="110 TB HDD"/>
    <s v="HDD"/>
    <s v="Seagate"/>
    <n v="10000"/>
    <n v="13000"/>
    <n v="4"/>
    <n v="40000"/>
    <n v="52000"/>
    <s v="Advika Joshi"/>
    <n v="39000"/>
  </r>
  <r>
    <s v="143056"/>
    <s v="RJ"/>
    <s v="Jignesh Mhatre"/>
    <s v="29/03/2022"/>
    <s v="Delivered"/>
    <s v="109 TB SSD"/>
    <s v="SSD"/>
    <s v="Samsung"/>
    <n v="10500"/>
    <n v="13650"/>
    <n v="1"/>
    <n v="10500"/>
    <n v="13650"/>
    <s v="Ajay Sharma"/>
    <n v="8450"/>
  </r>
  <r>
    <s v="143057"/>
    <s v="SK"/>
    <s v="Rahul Kashyap"/>
    <s v="29/03/2022"/>
    <s v="Shipped"/>
    <s v="Intel i5 12th gen."/>
    <s v="CPU"/>
    <s v="Intel"/>
    <n v="8500"/>
    <n v="11050"/>
    <n v="2"/>
    <n v="17000"/>
    <n v="22100"/>
    <s v="Roshan Kumar"/>
    <n v="33150"/>
  </r>
  <r>
    <s v="143058"/>
    <s v="TN"/>
    <s v="Mohammed Abdul Kaleem"/>
    <s v="29/03/2022"/>
    <s v="Order"/>
    <s v="2GB Graphic Card"/>
    <s v="Graphic Card"/>
    <s v="Nvidia"/>
    <n v="7000"/>
    <n v="9100"/>
    <n v="1"/>
    <n v="7000"/>
    <n v="9100"/>
    <s v="Aarvi Gupta"/>
    <n v="18200"/>
  </r>
  <r>
    <s v="143059"/>
    <s v="TR"/>
    <s v="Chandrakant Kasbe"/>
    <s v="29/03/2022"/>
    <s v="Processing"/>
    <s v="112 GB DDR4 Ram"/>
    <s v="RAM"/>
    <s v="Hynix"/>
    <n v="1680"/>
    <n v="2184"/>
    <n v="4"/>
    <n v="6720"/>
    <n v="8736"/>
    <s v="Vijay Singh"/>
    <n v="25545"/>
  </r>
  <r>
    <s v="143060"/>
    <s v="UK"/>
    <s v="Rohan Kale"/>
    <s v="29/03/2022"/>
    <s v="Delivered"/>
    <s v="Micro ATX motherboard"/>
    <s v="MotherBoard"/>
    <s v="MSI"/>
    <n v="6540"/>
    <n v="8502"/>
    <n v="1"/>
    <n v="6540"/>
    <n v="8502"/>
    <s v="Aadil Khan"/>
    <n v="39780"/>
  </r>
  <r>
    <s v="143061"/>
    <s v="UP"/>
    <s v="Aniruddha Kekapure"/>
    <s v="29/03/2022"/>
    <s v="Shipped"/>
    <s v="Gaming Box Cabinet"/>
    <s v="Cabinet"/>
    <s v="Asus"/>
    <n v="2680"/>
    <n v="3484"/>
    <n v="4"/>
    <n v="10720"/>
    <n v="13936"/>
    <s v="Advika Joshi"/>
    <n v="2990"/>
  </r>
  <r>
    <s v="143062"/>
    <s v="WB"/>
    <s v="Aslam Raza"/>
    <s v="29/03/2022"/>
    <s v="Order"/>
    <s v="17&quot; LCD Display"/>
    <s v="Monitor"/>
    <s v="Samsung"/>
    <n v="8250"/>
    <n v="10725"/>
    <n v="1"/>
    <n v="8250"/>
    <n v="10725"/>
    <s v="Ajay Sharma"/>
    <n v="9750"/>
  </r>
  <r>
    <s v="143063"/>
    <s v="TN"/>
    <s v="Roshan Zameer"/>
    <s v="29/03/2022"/>
    <s v="Processing"/>
    <s v="116 GB DDR4 RAM"/>
    <s v="RAM"/>
    <s v="Samsung"/>
    <n v="2650"/>
    <n v="3445"/>
    <n v="4"/>
    <n v="10600"/>
    <n v="13780"/>
    <s v="Roshan Kumar"/>
    <n v="25545"/>
  </r>
  <r>
    <s v="143064"/>
    <s v="TR"/>
    <s v="Rakesh Kumar Sharma"/>
    <s v="29/03/2022"/>
    <s v="Delivered"/>
    <s v="26&quot; LCD Display"/>
    <s v="Monitor"/>
    <s v="Acer"/>
    <n v="12550"/>
    <n v="16315"/>
    <n v="4"/>
    <n v="50200"/>
    <n v="65260"/>
    <s v="Aarvi Gupta"/>
    <n v="9750"/>
  </r>
  <r>
    <s v="143065"/>
    <s v="MH"/>
    <s v="Shivanand Sahani"/>
    <s v="29/03/2022"/>
    <s v="Shipped"/>
    <s v="I7 - intel 12th Generation"/>
    <s v="CPU"/>
    <s v="Intel"/>
    <n v="14500"/>
    <n v="18850"/>
    <n v="2"/>
    <n v="29000"/>
    <n v="37700"/>
    <s v="Vijay Singh"/>
    <n v="33150"/>
  </r>
  <r>
    <s v="143066"/>
    <s v="CH"/>
    <s v="Kunal Patra"/>
    <s v="29/03/2022"/>
    <s v="Order"/>
    <s v="USB Keyboard"/>
    <s v="Keyboard"/>
    <s v="Dell"/>
    <n v="800"/>
    <n v="1040"/>
    <n v="2"/>
    <n v="1600"/>
    <n v="2080"/>
    <s v="Aadil Khan"/>
    <n v="3315"/>
  </r>
  <r>
    <s v="143067"/>
    <s v="DH"/>
    <s v="Bijendra"/>
    <s v="29/03/2022"/>
    <s v="Processing"/>
    <s v="Wireless Mouse"/>
    <s v="Mouse"/>
    <s v="Samsung"/>
    <n v="600"/>
    <n v="780"/>
    <n v="4"/>
    <n v="2400"/>
    <n v="3120"/>
    <s v="Advika Joshi"/>
    <n v="1690"/>
  </r>
  <r>
    <s v="143068"/>
    <s v="DD"/>
    <s v="Kranti Bheke"/>
    <s v="29/03/2022"/>
    <s v="Delivered"/>
    <s v="21&quot; LCD Display"/>
    <s v="Monitor"/>
    <s v="Dell"/>
    <n v="10500"/>
    <n v="13650"/>
    <n v="1"/>
    <n v="10500"/>
    <n v="13650"/>
    <s v="Ajay Sharma"/>
    <n v="9750"/>
  </r>
  <r>
    <s v="143069"/>
    <s v="DL"/>
    <s v="Jagdeep"/>
    <s v="29/03/2022"/>
    <s v="Shipped"/>
    <s v="110 TB HDD"/>
    <s v="HDD"/>
    <s v="Western Digital"/>
    <n v="6500"/>
    <n v="8450"/>
    <n v="3"/>
    <n v="19500"/>
    <n v="25350"/>
    <s v="Roshan Kumar"/>
    <n v="39000"/>
  </r>
  <r>
    <s v="143070"/>
    <s v="LD"/>
    <s v="Adhir Samal"/>
    <s v="29/03/2022"/>
    <s v="Order"/>
    <s v="365 GB SSD"/>
    <s v="SSD"/>
    <s v="Samsung"/>
    <n v="4500"/>
    <n v="5850"/>
    <n v="3"/>
    <n v="13500"/>
    <n v="17550"/>
    <s v="Aarvi Gupta"/>
    <n v="8450"/>
  </r>
  <r>
    <s v="143071"/>
    <s v="PY"/>
    <s v="Dannana Jhammi"/>
    <s v="29/03/2022"/>
    <s v="Processing"/>
    <s v="Intel i3 11th gen."/>
    <s v="CPU"/>
    <s v="Intel"/>
    <n v="8500"/>
    <n v="11050"/>
    <n v="1"/>
    <n v="8500"/>
    <n v="11050"/>
    <s v="Vijay Singh"/>
    <n v="33150"/>
  </r>
  <r>
    <s v="143072"/>
    <s v="AP"/>
    <s v="Vipin Kumar"/>
    <s v="29/03/2022"/>
    <s v="Delivered"/>
    <s v="4GB Graphic card"/>
    <s v="Graphic Card"/>
    <s v="Nvidia"/>
    <n v="12500"/>
    <n v="16250"/>
    <n v="1"/>
    <n v="12500"/>
    <n v="16250"/>
    <s v="Aadil Khan"/>
    <n v="18200"/>
  </r>
  <r>
    <s v="143073"/>
    <s v="AR"/>
    <s v="Ranjeet Kumar"/>
    <s v="29/03/2022"/>
    <s v="Shipped"/>
    <s v="117 GB DDR4 RAM"/>
    <s v="Computer Case"/>
    <s v="Hynix"/>
    <n v="3500"/>
    <n v="4550"/>
    <n v="2"/>
    <n v="7000"/>
    <n v="9100"/>
    <s v="Advika Joshi"/>
    <n v="13650"/>
  </r>
  <r>
    <s v="143074"/>
    <s v="AS"/>
    <s v="Sajal Singhal"/>
    <s v="29/03/2022"/>
    <s v="Order"/>
    <s v="BTX motherboard"/>
    <s v="Mouse"/>
    <s v="Gigabyte"/>
    <n v="4500"/>
    <n v="5850"/>
    <n v="2"/>
    <n v="9000"/>
    <n v="11700"/>
    <s v="Ajay Sharma"/>
    <n v="1690"/>
  </r>
  <r>
    <s v="143075"/>
    <s v="BR"/>
    <s v="Akhilesh Kumar"/>
    <s v="29/03/2022"/>
    <s v="Processing"/>
    <s v="112 Fans Cabinet"/>
    <s v="Cabinet"/>
    <s v="Asus"/>
    <n v="2100"/>
    <n v="2730"/>
    <n v="3"/>
    <n v="6300"/>
    <n v="8190"/>
    <s v="Roshan Kumar"/>
    <n v="2990"/>
  </r>
  <r>
    <s v="143076"/>
    <s v="CG"/>
    <s v="Suvankar Chakraborty"/>
    <s v="29/03/2022"/>
    <s v="Delivered"/>
    <s v="Wireless Keyboard"/>
    <s v="Keyboard"/>
    <s v="Dell"/>
    <n v="1150"/>
    <n v="1495"/>
    <n v="1"/>
    <n v="1150"/>
    <n v="1495"/>
    <s v="Aarvi Gupta"/>
    <n v="3315"/>
  </r>
  <r>
    <s v="143077"/>
    <s v="GA"/>
    <s v="Suvankar Adhikary"/>
    <s v="29/03/2022"/>
    <s v="Shipped"/>
    <s v="USB Mouse"/>
    <s v="Mouse"/>
    <s v="Samsung"/>
    <n v="350"/>
    <n v="455"/>
    <n v="3"/>
    <n v="1050"/>
    <n v="1365"/>
    <s v="Vijay Singh"/>
    <n v="1690"/>
  </r>
  <r>
    <s v="143078"/>
    <s v="GJ"/>
    <s v="Rahul Kumar Prajapati"/>
    <s v="29/03/2022"/>
    <s v="Order"/>
    <s v="19&quot; LED Display"/>
    <s v="Monitor"/>
    <s v="Dell"/>
    <n v="9500"/>
    <n v="12350"/>
    <n v="2"/>
    <n v="19000"/>
    <n v="24700"/>
    <s v="Aadil Khan"/>
    <n v="9750"/>
  </r>
  <r>
    <s v="143079"/>
    <s v="HR"/>
    <s v="Sagar Jeur"/>
    <s v="29/03/2022"/>
    <s v="Processing"/>
    <s v="111 TB HDD"/>
    <s v="HDD"/>
    <s v="Western Digital"/>
    <n v="10000"/>
    <n v="13000"/>
    <n v="2"/>
    <n v="20000"/>
    <n v="26000"/>
    <s v="Advika Joshi"/>
    <n v="39000"/>
  </r>
  <r>
    <s v="143080"/>
    <s v="HP"/>
    <s v="Rhushikesh Mane"/>
    <s v="29/03/2022"/>
    <s v="Delivered"/>
    <s v="621 GB M.2"/>
    <s v="SSD"/>
    <s v="Samsung"/>
    <n v="6500"/>
    <n v="8450"/>
    <n v="4"/>
    <n v="26000"/>
    <n v="33800"/>
    <s v="Ajay Sharma"/>
    <n v="8450"/>
  </r>
  <r>
    <s v="143081"/>
    <s v="JK"/>
    <s v="Ashish Kumar"/>
    <s v="29/03/2022"/>
    <s v="Shipped"/>
    <s v="RYZEN 3rd gen. 3609"/>
    <s v="CPU"/>
    <s v="Intel"/>
    <n v="8500"/>
    <n v="11050"/>
    <n v="1"/>
    <n v="8500"/>
    <n v="11050"/>
    <s v="Roshan Kumar"/>
    <n v="33150"/>
  </r>
  <r>
    <s v="143082"/>
    <s v="JH"/>
    <s v="Javed Akhter"/>
    <s v="29/03/2022"/>
    <s v="Order"/>
    <s v="2GB Graphic Card"/>
    <s v="Graphic Card"/>
    <s v="Nvidia"/>
    <n v="7000"/>
    <n v="9100"/>
    <n v="4"/>
    <n v="28000"/>
    <n v="36400"/>
    <s v="Aarvi Gupta"/>
    <n v="18200"/>
  </r>
  <r>
    <s v="143083"/>
    <s v="KA"/>
    <s v="Haridas Balraj"/>
    <s v="29/03/2022"/>
    <s v="Processing"/>
    <s v="125 GB DDR4 RAM"/>
    <s v="Computer Case"/>
    <s v="Hynix"/>
    <n v="6550"/>
    <n v="8515"/>
    <n v="2"/>
    <n v="13100"/>
    <n v="17030"/>
    <s v="Vijay Singh"/>
    <n v="13650"/>
  </r>
  <r>
    <s v="143084"/>
    <s v="KL"/>
    <s v="Kundan Kumar"/>
    <s v="29/03/2022"/>
    <s v="Delivered"/>
    <s v="Standard ATX motherboard"/>
    <s v="Mouse"/>
    <s v="Gigabyte"/>
    <n v="7650"/>
    <n v="9945"/>
    <n v="3"/>
    <n v="22950"/>
    <n v="29835"/>
    <s v="Aadil Khan"/>
    <n v="1690"/>
  </r>
  <r>
    <s v="143085"/>
    <s v="MP"/>
    <s v="Atif Siddiqui"/>
    <s v="29/03/2022"/>
    <s v="Shipped"/>
    <s v="Compact with 1 Fan"/>
    <s v="Cabinet"/>
    <s v="Asus"/>
    <n v="1150"/>
    <n v="1495"/>
    <n v="1"/>
    <n v="1150"/>
    <n v="1495"/>
    <s v="Advika Joshi"/>
    <n v="2990"/>
  </r>
  <r>
    <s v="143086"/>
    <s v="MH"/>
    <s v="Aditya Agarwal"/>
    <s v="29/03/2022"/>
    <s v="Order"/>
    <s v="USB Backlight Keyboard"/>
    <s v="Keyboard"/>
    <s v="Dell"/>
    <n v="850"/>
    <n v="1105"/>
    <n v="4"/>
    <n v="3400"/>
    <n v="4420"/>
    <s v="Ajay Sharma"/>
    <n v="3315"/>
  </r>
  <r>
    <s v="143087"/>
    <s v="MN"/>
    <s v="Firdoush Jabee"/>
    <s v="29/03/2022"/>
    <s v="Processing"/>
    <s v="Ergonomic Mouse"/>
    <s v="Mouse"/>
    <s v="Samsung"/>
    <n v="650"/>
    <n v="845"/>
    <n v="2"/>
    <n v="1300"/>
    <n v="1690"/>
    <s v="Roshan Kumar"/>
    <n v="1690"/>
  </r>
  <r>
    <s v="143088"/>
    <s v="ML"/>
    <s v="Jay Prakash Kumar"/>
    <s v="29/03/2022"/>
    <s v="Delivered"/>
    <s v="15&quot; LCD Dsipaly"/>
    <s v="Monitor"/>
    <s v="Dell"/>
    <n v="7500"/>
    <n v="9750"/>
    <n v="2"/>
    <n v="15000"/>
    <n v="19500"/>
    <s v="Aarvi Gupta"/>
    <n v="9750"/>
  </r>
  <r>
    <s v="143089"/>
    <s v="MZ"/>
    <s v="Ashish Pandey"/>
    <s v="29/03/2022"/>
    <s v="Shipped"/>
    <s v="111 TB HDD"/>
    <s v="HDD"/>
    <s v="Seagate"/>
    <n v="10000"/>
    <n v="13000"/>
    <n v="4"/>
    <n v="40000"/>
    <n v="52000"/>
    <s v="Vijay Singh"/>
    <n v="39000"/>
  </r>
  <r>
    <s v="143090"/>
    <s v="NL"/>
    <s v="Ajay Sharma"/>
    <s v="30/03/2022"/>
    <s v="Order"/>
    <s v="110 TB SSD"/>
    <s v="SSD"/>
    <s v="Samsung"/>
    <n v="10500"/>
    <n v="13650"/>
    <n v="2"/>
    <n v="21000"/>
    <n v="27300"/>
    <s v="Aadil Khan"/>
    <n v="8450"/>
  </r>
  <r>
    <s v="143091"/>
    <s v="OR"/>
    <s v="Moinuddin Saifi"/>
    <s v="30/03/2022"/>
    <s v="Processing"/>
    <s v="Intel i5 12th gen."/>
    <s v="CPU"/>
    <s v="Intel"/>
    <n v="8500"/>
    <n v="11050"/>
    <n v="4"/>
    <n v="34000"/>
    <n v="44200"/>
    <s v="Advika Joshi"/>
    <n v="33150"/>
  </r>
  <r>
    <s v="143092"/>
    <s v="PB"/>
    <s v="Ramkrishna Das Adhikary"/>
    <s v="30/03/2022"/>
    <s v="Delivered"/>
    <s v="2GB Graphic Card"/>
    <s v="Graphic Card"/>
    <s v="Nvidia"/>
    <n v="7000"/>
    <n v="9100"/>
    <n v="3"/>
    <n v="21000"/>
    <n v="27300"/>
    <s v="Ajay Sharma"/>
    <n v="18200"/>
  </r>
  <r>
    <s v="143093"/>
    <s v="RJ"/>
    <s v="Ranjeet Mandal"/>
    <s v="30/03/2022"/>
    <s v="Shipped"/>
    <s v="113 GB DDR4 Ram"/>
    <s v="Computer Case"/>
    <s v="Hynix"/>
    <n v="1680"/>
    <n v="2184"/>
    <n v="2"/>
    <n v="3360"/>
    <n v="4368"/>
    <s v="Roshan Kumar"/>
    <n v="13650"/>
  </r>
  <r>
    <s v="143094"/>
    <s v="SK"/>
    <s v="Ashwini Adsare"/>
    <s v="30/03/2022"/>
    <s v="Order"/>
    <s v="Micro ATX motherboard"/>
    <s v="Mouse"/>
    <s v="MSI"/>
    <n v="6540"/>
    <n v="8502"/>
    <n v="1"/>
    <n v="6540"/>
    <n v="8502"/>
    <s v="Aarvi Gupta"/>
    <n v="1690"/>
  </r>
  <r>
    <s v="143095"/>
    <s v="TN"/>
    <s v="Rajesh Variya"/>
    <s v="30/03/2022"/>
    <s v="Processing"/>
    <s v="Gaming Box Cabinet"/>
    <s v="Cabinet"/>
    <s v="Asus"/>
    <n v="2680"/>
    <n v="3484"/>
    <n v="4"/>
    <n v="10720"/>
    <n v="13936"/>
    <s v="Vijay Singh"/>
    <n v="2990"/>
  </r>
  <r>
    <s v="143096"/>
    <s v="TR"/>
    <s v="Amit Singh"/>
    <s v="30/03/2022"/>
    <s v="Delivered"/>
    <s v="17&quot; LCD Display"/>
    <s v="Monitor"/>
    <s v="Samsung"/>
    <n v="8250"/>
    <n v="10725"/>
    <n v="1"/>
    <n v="8250"/>
    <n v="10725"/>
    <s v="Aadil Khan"/>
    <n v="9750"/>
  </r>
  <r>
    <s v="143097"/>
    <s v="UK"/>
    <s v="Vinod Mehta"/>
    <s v="30/03/2022"/>
    <s v="Shipped"/>
    <s v="117 GB DDR4 RAM"/>
    <s v="RAM"/>
    <s v="Samsung"/>
    <n v="2650"/>
    <n v="3445"/>
    <n v="2"/>
    <n v="5300"/>
    <n v="6890"/>
    <s v="Advika Joshi"/>
    <n v="25545"/>
  </r>
  <r>
    <s v="143098"/>
    <s v="UP"/>
    <s v="Jignesh Mhatre"/>
    <s v="30/03/2022"/>
    <s v="Order"/>
    <s v="26&quot; LCD Display"/>
    <s v="Monitor"/>
    <s v="Acer"/>
    <n v="12550"/>
    <n v="16315"/>
    <n v="2"/>
    <n v="25100"/>
    <n v="32630"/>
    <s v="Ajay Sharma"/>
    <n v="9750"/>
  </r>
  <r>
    <s v="143099"/>
    <s v="WB"/>
    <s v="Rahul Kashyap"/>
    <s v="30/03/2022"/>
    <s v="Processing"/>
    <s v="I7 - intel 12th Generation"/>
    <s v="CPU"/>
    <s v="Intel"/>
    <n v="14500"/>
    <n v="18850"/>
    <n v="3"/>
    <n v="43500"/>
    <n v="56550"/>
    <s v="Roshan Kumar"/>
    <n v="33150"/>
  </r>
  <r>
    <s v="143100"/>
    <s v="TN"/>
    <s v="Mohammed Abdul Kaleem"/>
    <s v="30/03/2022"/>
    <s v="Delivered"/>
    <s v="USB Keyboard"/>
    <s v="Keyboard"/>
    <s v="Dell"/>
    <n v="800"/>
    <n v="1040"/>
    <n v="1"/>
    <n v="800"/>
    <n v="1040"/>
    <s v="Aarvi Gupta"/>
    <n v="3315"/>
  </r>
  <r>
    <s v="143101"/>
    <s v="TR"/>
    <s v="Chandrakant Kasbe"/>
    <s v="30/03/2022"/>
    <s v="Shipped"/>
    <s v="Wireless Mouse"/>
    <s v="Mouse"/>
    <s v="Samsung"/>
    <n v="600"/>
    <n v="780"/>
    <n v="3"/>
    <n v="1800"/>
    <n v="2340"/>
    <s v="Vijay Singh"/>
    <n v="1690"/>
  </r>
  <r>
    <s v="143102"/>
    <s v="MH"/>
    <s v="Rohan Kale"/>
    <s v="30/03/2022"/>
    <s v="Order"/>
    <s v="21&quot; LCD Display"/>
    <s v="Monitor"/>
    <s v="Dell"/>
    <n v="10500"/>
    <n v="13650"/>
    <n v="1"/>
    <n v="10500"/>
    <n v="13650"/>
    <s v="Aadil Khan"/>
    <n v="9750"/>
  </r>
  <r>
    <s v="143103"/>
    <s v="CH"/>
    <s v="Aniruddha Kekapure"/>
    <s v="30/03/2022"/>
    <s v="Processing"/>
    <s v="111 TB HDD"/>
    <s v="HDD"/>
    <s v="Western Digital"/>
    <n v="6500"/>
    <n v="8450"/>
    <n v="3"/>
    <n v="19500"/>
    <n v="25350"/>
    <s v="Advika Joshi"/>
    <n v="39000"/>
  </r>
  <r>
    <s v="143104"/>
    <s v="DH"/>
    <s v="Aslam Raza"/>
    <s v="30/03/2022"/>
    <s v="Delivered"/>
    <s v="366 GB SSD"/>
    <s v="SSD"/>
    <s v="Samsung"/>
    <n v="4500"/>
    <n v="5850"/>
    <n v="3"/>
    <n v="13500"/>
    <n v="17550"/>
    <s v="Ajay Sharma"/>
    <n v="8450"/>
  </r>
  <r>
    <s v="143105"/>
    <s v="DD"/>
    <s v="Roshan Zameer"/>
    <s v="30/03/2022"/>
    <s v="Shipped"/>
    <s v="Intel i3 11th gen."/>
    <s v="CPU"/>
    <s v="Intel"/>
    <n v="8500"/>
    <n v="11050"/>
    <n v="2"/>
    <n v="17000"/>
    <n v="22100"/>
    <s v="Roshan Kumar"/>
    <n v="33150"/>
  </r>
  <r>
    <s v="143106"/>
    <s v="DL"/>
    <s v="Rakesh Kumar Sharma"/>
    <s v="30/03/2022"/>
    <s v="Order"/>
    <s v="4GB Graphic card"/>
    <s v="Graphic Card"/>
    <s v="Nvidia"/>
    <n v="12500"/>
    <n v="16250"/>
    <n v="4"/>
    <n v="50000"/>
    <n v="65000"/>
    <s v="Aarvi Gupta"/>
    <n v="18200"/>
  </r>
  <r>
    <s v="143107"/>
    <s v="LD"/>
    <s v="Shivanand Sahani"/>
    <s v="30/03/2022"/>
    <s v="Processing"/>
    <s v="118 GB DDR4 RAM"/>
    <s v="NIC"/>
    <s v="Hynix"/>
    <n v="3500"/>
    <n v="4550"/>
    <n v="3"/>
    <n v="10500"/>
    <n v="13650"/>
    <s v="Vijay Singh"/>
    <n v="9100"/>
  </r>
  <r>
    <s v="143108"/>
    <s v="PY"/>
    <s v="Kunal Patra"/>
    <s v="30/03/2022"/>
    <s v="Delivered"/>
    <s v="BTX motherboard"/>
    <s v="Printer"/>
    <s v="Gigabyte"/>
    <n v="4500"/>
    <n v="5850"/>
    <n v="1"/>
    <n v="4500"/>
    <n v="5850"/>
    <s v="Aadil Khan"/>
    <n v="11700"/>
  </r>
  <r>
    <s v="143109"/>
    <s v="AP"/>
    <s v="Bijendra"/>
    <s v="30/03/2022"/>
    <s v="Shipped"/>
    <s v="113 Fans Cabinet"/>
    <s v="Cabinet"/>
    <s v="Asus"/>
    <n v="2100"/>
    <n v="2730"/>
    <n v="3"/>
    <n v="6300"/>
    <n v="8190"/>
    <s v="Advika Joshi"/>
    <n v="2990"/>
  </r>
  <r>
    <s v="143110"/>
    <s v="AR"/>
    <s v="Kranti Bheke"/>
    <s v="30/03/2022"/>
    <s v="Order"/>
    <s v="Wireless Keyboard"/>
    <s v="Keyboard"/>
    <s v="Dell"/>
    <n v="1150"/>
    <n v="1495"/>
    <n v="3"/>
    <n v="3450"/>
    <n v="4485"/>
    <s v="Ajay Sharma"/>
    <n v="3315"/>
  </r>
  <r>
    <s v="143111"/>
    <s v="AS"/>
    <s v="Jagdeep"/>
    <s v="30/03/2022"/>
    <s v="Processing"/>
    <s v="USB Mouse"/>
    <s v="Mouse"/>
    <s v="Samsung"/>
    <n v="350"/>
    <n v="455"/>
    <n v="1"/>
    <n v="350"/>
    <n v="455"/>
    <s v="Roshan Kumar"/>
    <n v="1690"/>
  </r>
  <r>
    <s v="143112"/>
    <s v="BR"/>
    <s v="Adhir Samal"/>
    <s v="30/03/2022"/>
    <s v="Delivered"/>
    <s v="19&quot; LED Display"/>
    <s v="Monitor"/>
    <s v="Dell"/>
    <n v="9500"/>
    <n v="12350"/>
    <n v="1"/>
    <n v="9500"/>
    <n v="12350"/>
    <s v="Aarvi Gupta"/>
    <n v="9750"/>
  </r>
  <r>
    <s v="143113"/>
    <s v="CG"/>
    <s v="Dannana Jhammi"/>
    <s v="30/03/2022"/>
    <s v="Shipped"/>
    <s v="112 TB HDD"/>
    <s v="HDD"/>
    <s v="Western Digital"/>
    <n v="10000"/>
    <n v="13000"/>
    <n v="3"/>
    <n v="30000"/>
    <n v="39000"/>
    <s v="Vijay Singh"/>
    <n v="39000"/>
  </r>
  <r>
    <s v="143114"/>
    <s v="GA"/>
    <s v="Vipin Kumar"/>
    <s v="30/03/2022"/>
    <s v="Order"/>
    <s v="622 GB M.2"/>
    <s v="SSD"/>
    <s v="Samsung"/>
    <n v="6500"/>
    <n v="8450"/>
    <n v="3"/>
    <n v="19500"/>
    <n v="25350"/>
    <s v="Aadil Khan"/>
    <n v="8450"/>
  </r>
  <r>
    <s v="143115"/>
    <s v="GJ"/>
    <s v="Ranjeet Kumar"/>
    <s v="30/03/2022"/>
    <s v="Processing"/>
    <s v="RYZEN 3rd gen. 3610"/>
    <s v="CPU"/>
    <s v="Intel"/>
    <n v="8500"/>
    <n v="11050"/>
    <n v="1"/>
    <n v="8500"/>
    <n v="11050"/>
    <s v="Advika Joshi"/>
    <n v="33150"/>
  </r>
  <r>
    <s v="143116"/>
    <s v="HR"/>
    <s v="Sajal Singhal"/>
    <s v="30/03/2022"/>
    <s v="Delivered"/>
    <s v="2GB Graphic Card"/>
    <s v="Graphic Card"/>
    <s v="Nvidia"/>
    <n v="7000"/>
    <n v="9100"/>
    <n v="4"/>
    <n v="28000"/>
    <n v="36400"/>
    <s v="Ajay Sharma"/>
    <n v="18200"/>
  </r>
  <r>
    <s v="143117"/>
    <s v="HP"/>
    <s v="Akhilesh Kumar"/>
    <s v="30/03/2022"/>
    <s v="Shipped"/>
    <s v="126 GB DDR4 RAM"/>
    <s v="NIC"/>
    <s v="Hynix"/>
    <n v="6550"/>
    <n v="8515"/>
    <n v="1"/>
    <n v="6550"/>
    <n v="8515"/>
    <s v="Roshan Kumar"/>
    <n v="9100"/>
  </r>
  <r>
    <s v="143118"/>
    <s v="JK"/>
    <s v="Suvankar Chakraborty"/>
    <s v="30/03/2022"/>
    <s v="Order"/>
    <s v="Standard ATX motherboard"/>
    <s v="Printer"/>
    <s v="Gigabyte"/>
    <n v="7650"/>
    <n v="9945"/>
    <n v="2"/>
    <n v="15300"/>
    <n v="19890"/>
    <s v="Aarvi Gupta"/>
    <n v="11700"/>
  </r>
  <r>
    <s v="143119"/>
    <s v="JH"/>
    <s v="Suvankar Adhikary"/>
    <s v="30/03/2022"/>
    <s v="Processing"/>
    <s v="Compact with 1 Fan"/>
    <s v="Cabinet"/>
    <s v="Asus"/>
    <n v="1150"/>
    <n v="1495"/>
    <n v="4"/>
    <n v="4600"/>
    <n v="5980"/>
    <s v="Vijay Singh"/>
    <n v="2990"/>
  </r>
  <r>
    <s v="143120"/>
    <s v="KA"/>
    <s v="Rahul Kumar Prajapati"/>
    <s v="30/03/2022"/>
    <s v="Delivered"/>
    <s v="USB Backlight Keyboard"/>
    <s v="Keyboard"/>
    <s v="Dell"/>
    <n v="850"/>
    <n v="1105"/>
    <n v="4"/>
    <n v="3400"/>
    <n v="4420"/>
    <s v="Aadil Khan"/>
    <n v="3315"/>
  </r>
  <r>
    <s v="143121"/>
    <s v="KL"/>
    <s v="Sagar Jeur"/>
    <s v="30/03/2022"/>
    <s v="Shipped"/>
    <s v="Ergonomic Mouse"/>
    <s v="Mouse"/>
    <s v="Samsung"/>
    <n v="650"/>
    <n v="845"/>
    <n v="2"/>
    <n v="1300"/>
    <n v="1690"/>
    <s v="Advika Joshi"/>
    <n v="1690"/>
  </r>
  <r>
    <s v="143122"/>
    <s v="MP"/>
    <s v="Rhushikesh Mane"/>
    <s v="30/03/2022"/>
    <s v="Order"/>
    <s v="15&quot; LCD Dsipaly"/>
    <s v="Monitor"/>
    <s v="Dell"/>
    <n v="7500"/>
    <n v="9750"/>
    <n v="3"/>
    <n v="22500"/>
    <n v="29250"/>
    <s v="Ajay Sharma"/>
    <n v="9750"/>
  </r>
  <r>
    <s v="143123"/>
    <s v="MH"/>
    <s v="Ashish Kumar"/>
    <s v="30/03/2022"/>
    <s v="Processing"/>
    <s v="112 TB HDD"/>
    <s v="HDD"/>
    <s v="Seagate"/>
    <n v="10000"/>
    <n v="13000"/>
    <n v="1"/>
    <n v="10000"/>
    <n v="13000"/>
    <s v="Roshan Kumar"/>
    <n v="39000"/>
  </r>
  <r>
    <s v="143124"/>
    <s v="MN"/>
    <s v="Javed Akhter"/>
    <s v="30/03/2022"/>
    <s v="Delivered"/>
    <s v="111 TB SSD"/>
    <s v="SSD"/>
    <s v="Samsung"/>
    <n v="10500"/>
    <n v="13650"/>
    <n v="1"/>
    <n v="10500"/>
    <n v="13650"/>
    <s v="Aarvi Gupta"/>
    <n v="8450"/>
  </r>
  <r>
    <s v="143125"/>
    <s v="ML"/>
    <s v="Haridas Balraj"/>
    <s v="30/03/2022"/>
    <s v="Shipped"/>
    <s v="Intel i5 12th gen."/>
    <s v="CPU"/>
    <s v="Intel"/>
    <n v="8500"/>
    <n v="11050"/>
    <n v="3"/>
    <n v="25500"/>
    <n v="33150"/>
    <s v="Vijay Singh"/>
    <n v="33150"/>
  </r>
  <r>
    <s v="143126"/>
    <s v="MZ"/>
    <s v="Kundan Kumar"/>
    <s v="30/03/2022"/>
    <s v="Order"/>
    <s v="2GB Graphic Card"/>
    <s v="Graphic Card"/>
    <s v="Nvidia"/>
    <n v="7000"/>
    <n v="9100"/>
    <n v="4"/>
    <n v="28000"/>
    <n v="36400"/>
    <s v="Aadil Khan"/>
    <n v="18200"/>
  </r>
  <r>
    <s v="143127"/>
    <s v="NL"/>
    <s v="Atif Siddiqui"/>
    <s v="30/03/2022"/>
    <s v="Processing"/>
    <s v="114 GB DDR4 Ram"/>
    <s v="NIC"/>
    <s v="Hynix"/>
    <n v="1680"/>
    <n v="2184"/>
    <n v="4"/>
    <n v="6720"/>
    <n v="8736"/>
    <s v="Advika Joshi"/>
    <n v="9100"/>
  </r>
  <r>
    <s v="143128"/>
    <s v="OR"/>
    <s v="Aditya Agarwal"/>
    <s v="30/03/2022"/>
    <s v="Delivered"/>
    <s v="Micro ATX motherboard"/>
    <s v="Printer"/>
    <s v="MSI"/>
    <n v="6540"/>
    <n v="8502"/>
    <n v="1"/>
    <n v="6540"/>
    <n v="8502"/>
    <s v="Ajay Sharma"/>
    <n v="11700"/>
  </r>
  <r>
    <s v="143129"/>
    <s v="PB"/>
    <s v="Firdoush Jabee"/>
    <s v="30/03/2022"/>
    <s v="Shipped"/>
    <s v="Gaming Box Cabinet"/>
    <s v="Cabinet"/>
    <s v="Asus"/>
    <n v="2680"/>
    <n v="3484"/>
    <n v="2"/>
    <n v="5360"/>
    <n v="6968"/>
    <s v="Ajay Sharma"/>
    <n v="2990"/>
  </r>
  <r>
    <s v="143130"/>
    <s v="RJ"/>
    <s v="Jay Prakash Kumar"/>
    <s v="30/03/2022"/>
    <s v="Order"/>
    <s v="17&quot; LCD Display"/>
    <s v="Monitor"/>
    <s v="Samsung"/>
    <n v="8250"/>
    <n v="10725"/>
    <n v="4"/>
    <n v="33000"/>
    <n v="42900"/>
    <s v="Roshan Kumar"/>
    <n v="9750"/>
  </r>
  <r>
    <s v="143131"/>
    <s v="SK"/>
    <s v="Ashish Pandey"/>
    <s v="30/03/2022"/>
    <s v="Processing"/>
    <s v="118 GB DDR4 RAM"/>
    <s v="RAM"/>
    <s v="Samsung"/>
    <n v="2650"/>
    <n v="3445"/>
    <n v="2"/>
    <n v="5300"/>
    <n v="6890"/>
    <s v="Aarvi Gupta"/>
    <n v="25545"/>
  </r>
  <r>
    <s v="143132"/>
    <s v="TN"/>
    <s v="Ajay Sharma"/>
    <s v="30/03/2022"/>
    <s v="Delivered"/>
    <s v="26&quot; LCD Display"/>
    <s v="Monitor"/>
    <s v="Acer"/>
    <n v="12550"/>
    <n v="16315"/>
    <n v="1"/>
    <n v="12550"/>
    <n v="16315"/>
    <s v="Vijay Singh"/>
    <n v="9750"/>
  </r>
  <r>
    <s v="143133"/>
    <s v="TR"/>
    <s v="Moinuddin Saifi"/>
    <s v="30/03/2022"/>
    <s v="Shipped"/>
    <s v="I7 - intel 12th Generation"/>
    <s v="CPU"/>
    <s v="Intel"/>
    <n v="14500"/>
    <n v="18850"/>
    <n v="4"/>
    <n v="58000"/>
    <n v="75400"/>
    <s v="Aadil Khan"/>
    <n v="33150"/>
  </r>
  <r>
    <s v="143134"/>
    <s v="UK"/>
    <s v="Ramkrishna Das Adhikary"/>
    <s v="30/03/2022"/>
    <s v="Order"/>
    <s v="USB Keyboard"/>
    <s v="Keyboard"/>
    <s v="Dell"/>
    <n v="800"/>
    <n v="1040"/>
    <n v="3"/>
    <n v="2400"/>
    <n v="3120"/>
    <s v="Advika Joshi"/>
    <n v="3315"/>
  </r>
  <r>
    <s v="143135"/>
    <s v="UP"/>
    <s v="Ranjeet Mandal"/>
    <s v="30/03/2022"/>
    <s v="Processing"/>
    <s v="Wireless Mouse"/>
    <s v="Mouse"/>
    <s v="Samsung"/>
    <n v="600"/>
    <n v="780"/>
    <n v="1"/>
    <n v="600"/>
    <n v="780"/>
    <s v="Ajay Sharma"/>
    <n v="1690"/>
  </r>
  <r>
    <s v="143136"/>
    <s v="WB"/>
    <s v="Ashwini Adsare"/>
    <s v="30/03/2022"/>
    <s v="Delivered"/>
    <s v="21&quot; LCD Display"/>
    <s v="Monitor"/>
    <s v="Dell"/>
    <n v="10500"/>
    <n v="13650"/>
    <n v="3"/>
    <n v="31500"/>
    <n v="40950"/>
    <s v="Roshan Kumar"/>
    <n v="9750"/>
  </r>
  <r>
    <s v="143137"/>
    <s v="TN"/>
    <s v="Rajesh Variya"/>
    <s v="30/03/2022"/>
    <s v="Shipped"/>
    <s v="112 TB HDD"/>
    <s v="HDD"/>
    <s v="Western Digital"/>
    <n v="6500"/>
    <n v="8450"/>
    <n v="3"/>
    <n v="19500"/>
    <n v="25350"/>
    <s v="Aarvi Gupta"/>
    <n v="39000"/>
  </r>
  <r>
    <s v="143138"/>
    <s v="TR"/>
    <s v="Amit Singh"/>
    <s v="30/03/2022"/>
    <s v="Order"/>
    <s v="367 GB SSD"/>
    <s v="SSD"/>
    <s v="Samsung"/>
    <n v="4500"/>
    <n v="5850"/>
    <n v="4"/>
    <n v="18000"/>
    <n v="23400"/>
    <s v="Aarvi Gupta"/>
    <n v="8450"/>
  </r>
  <r>
    <s v="143139"/>
    <s v="MH"/>
    <s v="Vinod Mehta"/>
    <s v="30/03/2022"/>
    <s v="Processing"/>
    <s v="Intel i3 11th gen."/>
    <s v="CPU"/>
    <s v="Intel"/>
    <n v="8500"/>
    <n v="11050"/>
    <n v="3"/>
    <n v="25500"/>
    <n v="33150"/>
    <s v="Aarvi Gupta"/>
    <n v="33150"/>
  </r>
  <r>
    <s v="143140"/>
    <s v="CH"/>
    <s v="Jignesh Mhatre"/>
    <s v="30/03/2022"/>
    <s v="Delivered"/>
    <s v="4GB Graphic card"/>
    <s v="Graphic Card"/>
    <s v="Nvidia"/>
    <n v="12500"/>
    <n v="16250"/>
    <n v="4"/>
    <n v="50000"/>
    <n v="65000"/>
    <s v="Aarvi Gupta"/>
    <n v="18200"/>
  </r>
  <r>
    <s v="143141"/>
    <s v="DH"/>
    <s v="Rahul Kashyap"/>
    <s v="30/03/2022"/>
    <s v="Shipped"/>
    <s v="119 GB DDR4 RAM"/>
    <s v="RAM"/>
    <s v="Hynix"/>
    <n v="3500"/>
    <n v="4550"/>
    <n v="1"/>
    <n v="3500"/>
    <n v="4550"/>
    <s v="Aarvi Gupta"/>
    <n v="25545"/>
  </r>
  <r>
    <s v="143142"/>
    <s v="DD"/>
    <s v="Mohammed Abdul Kaleem"/>
    <s v="30/03/2022"/>
    <s v="Order"/>
    <s v="BTX motherboard"/>
    <s v="MotherBoard"/>
    <s v="Gigabyte"/>
    <n v="4500"/>
    <n v="5850"/>
    <n v="1"/>
    <n v="4500"/>
    <n v="5850"/>
    <s v="Aarvi Gupta"/>
    <n v="39780"/>
  </r>
  <r>
    <s v="143143"/>
    <s v="DL"/>
    <s v="Chandrakant Kasbe"/>
    <s v="30/03/2022"/>
    <s v="Processing"/>
    <s v="114 Fans Cabinet"/>
    <s v="Cabinet"/>
    <s v="Asus"/>
    <n v="2100"/>
    <n v="2730"/>
    <n v="4"/>
    <n v="8400"/>
    <n v="10920"/>
    <s v="Aarvi Gupta"/>
    <n v="2990"/>
  </r>
  <r>
    <s v="143144"/>
    <s v="LD"/>
    <s v="Rohan Kale"/>
    <s v="30/03/2022"/>
    <s v="Delivered"/>
    <s v="Wireless Keyboard"/>
    <s v="Keyboard"/>
    <s v="Dell"/>
    <n v="1150"/>
    <n v="1495"/>
    <n v="4"/>
    <n v="4600"/>
    <n v="5980"/>
    <s v="Aarvi Gupta"/>
    <n v="3315"/>
  </r>
  <r>
    <s v="143145"/>
    <s v="PY"/>
    <s v="Aniruddha Kekapure"/>
    <s v="30/03/2022"/>
    <s v="Shipped"/>
    <s v="USB Mouse"/>
    <s v="Mouse"/>
    <s v="Samsung"/>
    <n v="350"/>
    <n v="455"/>
    <n v="4"/>
    <n v="1400"/>
    <n v="1820"/>
    <s v="Aarvi Gupta"/>
    <n v="1690"/>
  </r>
  <r>
    <s v="143146"/>
    <s v="AP"/>
    <s v="Aslam Raza"/>
    <s v="30/03/2022"/>
    <s v="Order"/>
    <s v="19&quot; LED Display"/>
    <s v="Monitor"/>
    <s v="Dell"/>
    <n v="9500"/>
    <n v="12350"/>
    <n v="1"/>
    <n v="9500"/>
    <n v="12350"/>
    <s v="Aarvi Gupta"/>
    <n v="9750"/>
  </r>
  <r>
    <s v="143147"/>
    <s v="AR"/>
    <s v="Roshan Zameer"/>
    <s v="30/03/2022"/>
    <s v="Processing"/>
    <s v="113 TB HDD"/>
    <s v="HDD"/>
    <s v="Western Digital"/>
    <n v="10000"/>
    <n v="13000"/>
    <n v="4"/>
    <n v="40000"/>
    <n v="52000"/>
    <s v="Ajay Sharma"/>
    <n v="39000"/>
  </r>
  <r>
    <s v="143148"/>
    <s v="AS"/>
    <s v="Rakesh Kumar Sharma"/>
    <s v="30/03/2022"/>
    <s v="Delivered"/>
    <s v="623 GB M.2"/>
    <s v="SSD"/>
    <s v="Samsung"/>
    <n v="6500"/>
    <n v="8450"/>
    <n v="2"/>
    <n v="13000"/>
    <n v="16900"/>
    <s v="Roshan Kumar"/>
    <n v="8450"/>
  </r>
  <r>
    <s v="143149"/>
    <s v="BR"/>
    <s v="Shivanand Sahani"/>
    <s v="30/03/2022"/>
    <s v="Shipped"/>
    <s v="RYZEN 3rd gen. 3611"/>
    <s v="CPU"/>
    <s v="Intel"/>
    <n v="8500"/>
    <n v="11050"/>
    <n v="2"/>
    <n v="17000"/>
    <n v="22100"/>
    <s v="Aarvi Gupta"/>
    <n v="33150"/>
  </r>
  <r>
    <s v="143150"/>
    <s v="CG"/>
    <s v="Kunal Patra"/>
    <s v="30/03/2022"/>
    <s v="Order"/>
    <s v="2GB Graphic Card"/>
    <s v="Graphic Card"/>
    <s v="Nvidia"/>
    <n v="7000"/>
    <n v="9100"/>
    <n v="1"/>
    <n v="7000"/>
    <n v="9100"/>
    <s v="Vijay Singh"/>
    <n v="18200"/>
  </r>
  <r>
    <s v="143151"/>
    <s v="GA"/>
    <s v="Bijendra"/>
    <s v="30/03/2022"/>
    <s v="Processing"/>
    <s v="127 GB DDR4 RAM"/>
    <s v="RAM"/>
    <s v="Hynix"/>
    <n v="6550"/>
    <n v="8515"/>
    <n v="4"/>
    <n v="26200"/>
    <n v="34060"/>
    <s v="Aadil Khan"/>
    <n v="25545"/>
  </r>
  <r>
    <s v="143152"/>
    <s v="GJ"/>
    <s v="Kranti Bheke"/>
    <s v="30/03/2022"/>
    <s v="Delivered"/>
    <s v="Standard ATX motherboard"/>
    <s v="MotherBoard"/>
    <s v="Gigabyte"/>
    <n v="7650"/>
    <n v="9945"/>
    <n v="4"/>
    <n v="30600"/>
    <n v="39780"/>
    <s v="Advika Joshi"/>
    <n v="39780"/>
  </r>
  <r>
    <s v="143153"/>
    <s v="HR"/>
    <s v="Jagdeep"/>
    <s v="30/03/2022"/>
    <s v="Shipped"/>
    <s v="Compact with 1 Fan"/>
    <s v="Cabinet"/>
    <s v="Asus"/>
    <n v="1150"/>
    <n v="1495"/>
    <n v="4"/>
    <n v="4600"/>
    <n v="5980"/>
    <s v="Ajay Sharma"/>
    <n v="2990"/>
  </r>
  <r>
    <s v="143154"/>
    <s v="HP"/>
    <s v="Adhir Samal"/>
    <s v="30/03/2022"/>
    <s v="Order"/>
    <s v="USB Backlight Keyboard"/>
    <s v="Keyboard"/>
    <s v="Dell"/>
    <n v="850"/>
    <n v="1105"/>
    <n v="2"/>
    <n v="1700"/>
    <n v="2210"/>
    <s v="Roshan Kumar"/>
    <n v="3315"/>
  </r>
  <r>
    <s v="143155"/>
    <s v="JK"/>
    <s v="Dannana Jhammi"/>
    <s v="30/03/2022"/>
    <s v="Processing"/>
    <s v="Ergonomic Mouse"/>
    <s v="Mouse"/>
    <s v="Samsung"/>
    <n v="650"/>
    <n v="845"/>
    <n v="1"/>
    <n v="650"/>
    <n v="845"/>
    <s v="Aarvi Gupta"/>
    <n v="1690"/>
  </r>
  <r>
    <s v="143156"/>
    <s v="JH"/>
    <s v="Vipin Kumar"/>
    <s v="30/03/2022"/>
    <s v="Delivered"/>
    <s v="15&quot; LCD Dsipaly"/>
    <s v="Monitor"/>
    <s v="Dell"/>
    <n v="7500"/>
    <n v="9750"/>
    <n v="1"/>
    <n v="7500"/>
    <n v="9750"/>
    <s v="Vijay Singh"/>
    <n v="9750"/>
  </r>
  <r>
    <s v="143157"/>
    <s v="KA"/>
    <s v="Ranjeet Kumar"/>
    <s v="30/03/2022"/>
    <s v="Shipped"/>
    <s v="113 TB HDD"/>
    <s v="HDD"/>
    <s v="Seagate"/>
    <n v="10000"/>
    <n v="13000"/>
    <n v="2"/>
    <n v="20000"/>
    <n v="26000"/>
    <s v="Aadil Khan"/>
    <n v="39000"/>
  </r>
  <r>
    <s v="143158"/>
    <s v="KL"/>
    <s v="Sajal Singhal"/>
    <s v="30/03/2022"/>
    <s v="Order"/>
    <s v="112 TB SSD"/>
    <s v="SSD"/>
    <s v="Samsung"/>
    <n v="10500"/>
    <n v="13650"/>
    <n v="3"/>
    <n v="31500"/>
    <n v="40950"/>
    <s v="Advika Joshi"/>
    <n v="8450"/>
  </r>
  <r>
    <s v="143159"/>
    <s v="MP"/>
    <s v="Akhilesh Kumar"/>
    <s v="30/03/2022"/>
    <s v="Processing"/>
    <s v="Intel i5 12th gen."/>
    <s v="CPU"/>
    <s v="Intel"/>
    <n v="8500"/>
    <n v="11050"/>
    <n v="4"/>
    <n v="34000"/>
    <n v="44200"/>
    <s v="Ajay Sharma"/>
    <n v="33150"/>
  </r>
  <r>
    <s v="143160"/>
    <s v="MH"/>
    <s v="Suvankar Chakraborty"/>
    <s v="30/03/2022"/>
    <s v="Delivered"/>
    <s v="2GB Graphic Card"/>
    <s v="Graphic Card"/>
    <s v="Nvidia"/>
    <n v="7000"/>
    <n v="9100"/>
    <n v="4"/>
    <n v="28000"/>
    <n v="36400"/>
    <s v="Roshan Kumar"/>
    <n v="18200"/>
  </r>
  <r>
    <s v="143161"/>
    <s v="MN"/>
    <s v="Suvankar Adhikary"/>
    <s v="30/03/2022"/>
    <s v="Shipped"/>
    <s v="115 GB DDR4 Ram"/>
    <s v="RAM"/>
    <s v="Hynix"/>
    <n v="1680"/>
    <n v="2184"/>
    <n v="2"/>
    <n v="3360"/>
    <n v="4368"/>
    <s v="Aarvi Gupta"/>
    <n v="25545"/>
  </r>
  <r>
    <s v="143162"/>
    <s v="ML"/>
    <s v="Rahul Kumar Prajapati"/>
    <s v="30/03/2022"/>
    <s v="Order"/>
    <s v="Micro ATX motherboard"/>
    <s v="MotherBoard"/>
    <s v="MSI"/>
    <n v="6540"/>
    <n v="8502"/>
    <n v="4"/>
    <n v="26160"/>
    <n v="34008"/>
    <s v="Aarvi Gupta"/>
    <n v="39780"/>
  </r>
  <r>
    <s v="143163"/>
    <s v="MZ"/>
    <s v="Sagar Jeur"/>
    <s v="30/03/2022"/>
    <s v="Processing"/>
    <s v="Gaming Box Cabinet"/>
    <s v="Cabinet"/>
    <s v="Asus"/>
    <n v="2680"/>
    <n v="3484"/>
    <n v="4"/>
    <n v="10720"/>
    <n v="13936"/>
    <s v="Aarvi Gupta"/>
    <n v="2990"/>
  </r>
  <r>
    <s v="143164"/>
    <s v="NL"/>
    <s v="Rhushikesh Mane"/>
    <s v="30/03/2022"/>
    <s v="Delivered"/>
    <s v="17&quot; LCD Display"/>
    <s v="Monitor"/>
    <s v="Samsung"/>
    <n v="8250"/>
    <n v="10725"/>
    <n v="2"/>
    <n v="16500"/>
    <n v="21450"/>
    <s v="Aarvi Gupta"/>
    <n v="9750"/>
  </r>
  <r>
    <s v="143165"/>
    <s v="OR"/>
    <s v="Ashish Kumar"/>
    <s v="30/03/2022"/>
    <s v="Shipped"/>
    <s v="119 GB DDR4 RAM"/>
    <s v="RAM"/>
    <s v="Samsung"/>
    <n v="2650"/>
    <n v="3445"/>
    <n v="3"/>
    <n v="7950"/>
    <n v="10335"/>
    <s v="Aarvi Gupta"/>
    <n v="25545"/>
  </r>
  <r>
    <s v="143166"/>
    <s v="PB"/>
    <s v="Javed Akhter"/>
    <s v="30/03/2022"/>
    <s v="Order"/>
    <s v="26&quot; LCD Display"/>
    <s v="Monitor"/>
    <s v="Acer"/>
    <n v="12550"/>
    <n v="16315"/>
    <n v="4"/>
    <n v="50200"/>
    <n v="65260"/>
    <s v="Aarvi Gupta"/>
    <n v="9750"/>
  </r>
  <r>
    <s v="143167"/>
    <s v="RJ"/>
    <s v="Haridas Balraj"/>
    <s v="30/03/2022"/>
    <s v="Processing"/>
    <s v="I7 - intel 12th Generation"/>
    <s v="CPU"/>
    <s v="Intel"/>
    <n v="14500"/>
    <n v="18850"/>
    <n v="1"/>
    <n v="14500"/>
    <n v="18850"/>
    <s v="Aarvi Gupta"/>
    <n v="33150"/>
  </r>
  <r>
    <s v="143168"/>
    <s v="SK"/>
    <s v="Kundan Kumar"/>
    <s v="30/03/2022"/>
    <s v="Delivered"/>
    <s v="USB Keyboard"/>
    <s v="Keyboard"/>
    <s v="Dell"/>
    <n v="800"/>
    <n v="1040"/>
    <n v="3"/>
    <n v="2400"/>
    <n v="3120"/>
    <s v="Aarvi Gupta"/>
    <n v="3315"/>
  </r>
  <r>
    <s v="143169"/>
    <s v="TN"/>
    <s v="Atif Siddiqui"/>
    <s v="30/03/2022"/>
    <s v="Shipped"/>
    <s v="Wireless Mouse"/>
    <s v="Mouse"/>
    <s v="Samsung"/>
    <n v="600"/>
    <n v="780"/>
    <n v="3"/>
    <n v="1800"/>
    <n v="2340"/>
    <s v="Aarvi Gupta"/>
    <n v="1690"/>
  </r>
  <r>
    <s v="143170"/>
    <s v="TR"/>
    <s v="Aditya Agarwal"/>
    <s v="30/03/2022"/>
    <s v="Order"/>
    <s v="21&quot; LCD Display"/>
    <s v="Monitor"/>
    <s v="Dell"/>
    <n v="10500"/>
    <n v="13650"/>
    <n v="1"/>
    <n v="10500"/>
    <n v="13650"/>
    <s v="Aarvi Gupta"/>
    <n v="9750"/>
  </r>
  <r>
    <s v="143171"/>
    <s v="UK"/>
    <s v="Firdoush Jabee"/>
    <s v="30/03/2022"/>
    <s v="Processing"/>
    <s v="113 TB HDD"/>
    <s v="HDD"/>
    <s v="Western Digital"/>
    <n v="6500"/>
    <n v="8450"/>
    <n v="2"/>
    <n v="13000"/>
    <n v="16900"/>
    <s v="Ajay Sharma"/>
    <n v="39000"/>
  </r>
  <r>
    <s v="143172"/>
    <s v="UP"/>
    <s v="Jay Prakash Kumar"/>
    <s v="30/03/2022"/>
    <s v="Delivered"/>
    <s v="368 GB SSD"/>
    <s v="SSD"/>
    <s v="Samsung"/>
    <n v="4500"/>
    <n v="5850"/>
    <n v="2"/>
    <n v="9000"/>
    <n v="11700"/>
    <s v="Roshan Kumar"/>
    <n v="8450"/>
  </r>
  <r>
    <s v="143173"/>
    <s v="WB"/>
    <s v="Ashish Pandey"/>
    <s v="30/03/2022"/>
    <s v="Shipped"/>
    <s v="Intel i3 11th gen."/>
    <s v="CPU"/>
    <s v="Intel"/>
    <n v="8500"/>
    <n v="11050"/>
    <n v="1"/>
    <n v="8500"/>
    <n v="11050"/>
    <s v="Aarvi Gupta"/>
    <n v="33150"/>
  </r>
  <r>
    <s v="143174"/>
    <s v="TN"/>
    <s v="Ajay Sharma"/>
    <s v="30/03/2022"/>
    <s v="Order"/>
    <s v="4GB Graphic card"/>
    <s v="Graphic Card"/>
    <s v="Nvidia"/>
    <n v="12500"/>
    <n v="16250"/>
    <n v="2"/>
    <n v="25000"/>
    <n v="32500"/>
    <s v="Vijay Singh"/>
    <n v="18200"/>
  </r>
  <r>
    <s v="143175"/>
    <s v="TR"/>
    <s v="Moinuddin Saifi"/>
    <s v="30/03/2022"/>
    <s v="Processing"/>
    <s v="120 GB DDR4 RAM"/>
    <s v="Computer Case"/>
    <s v="Hynix"/>
    <n v="3500"/>
    <n v="4550"/>
    <n v="4"/>
    <n v="14000"/>
    <n v="18200"/>
    <s v="Aadil Khan"/>
    <n v="13650"/>
  </r>
  <r>
    <s v="143176"/>
    <s v="MH"/>
    <s v="Ramkrishna Das Adhikary"/>
    <s v="30/03/2022"/>
    <s v="Delivered"/>
    <s v="BTX motherboard"/>
    <s v="Mouse"/>
    <s v="Gigabyte"/>
    <n v="4500"/>
    <n v="5850"/>
    <n v="2"/>
    <n v="9000"/>
    <n v="11700"/>
    <s v="Advika Joshi"/>
    <n v="1690"/>
  </r>
  <r>
    <s v="143177"/>
    <s v="CH"/>
    <s v="Ranjeet Mandal"/>
    <s v="30/03/2022"/>
    <s v="Shipped"/>
    <s v="115 Fans Cabinet"/>
    <s v="Cabinet"/>
    <s v="Asus"/>
    <n v="2100"/>
    <n v="2730"/>
    <n v="1"/>
    <n v="2100"/>
    <n v="2730"/>
    <s v="Ajay Sharma"/>
    <n v="2990"/>
  </r>
  <r>
    <s v="143178"/>
    <s v="DH"/>
    <s v="Ashwini Adsare"/>
    <s v="30/03/2022"/>
    <s v="Order"/>
    <s v="Wireless Keyboard"/>
    <s v="Keyboard"/>
    <s v="Dell"/>
    <n v="1150"/>
    <n v="1495"/>
    <n v="1"/>
    <n v="1150"/>
    <n v="1495"/>
    <s v="Roshan Kumar"/>
    <n v="3315"/>
  </r>
  <r>
    <s v="143179"/>
    <s v="DD"/>
    <s v="Rajesh Variya"/>
    <s v="30/03/2022"/>
    <s v="Processing"/>
    <s v="USB Mouse"/>
    <s v="Mouse"/>
    <s v="Samsung"/>
    <n v="350"/>
    <n v="455"/>
    <n v="1"/>
    <n v="350"/>
    <n v="455"/>
    <s v="Aarvi Gupta"/>
    <n v="1690"/>
  </r>
  <r>
    <s v="143180"/>
    <s v="DL"/>
    <s v="Amit Singh"/>
    <s v="30/03/2022"/>
    <s v="Delivered"/>
    <s v="19&quot; LED Display"/>
    <s v="Monitor"/>
    <s v="Dell"/>
    <n v="9500"/>
    <n v="12350"/>
    <n v="3"/>
    <n v="28500"/>
    <n v="37050"/>
    <s v="Vijay Singh"/>
    <n v="9750"/>
  </r>
  <r>
    <s v="143181"/>
    <s v="LD"/>
    <s v="Vinod Mehta"/>
    <s v="30/03/2022"/>
    <s v="Shipped"/>
    <s v="114 TB HDD"/>
    <s v="HDD"/>
    <s v="Western Digital"/>
    <n v="10000"/>
    <n v="13000"/>
    <n v="3"/>
    <n v="30000"/>
    <n v="39000"/>
    <s v="Aarvi Gupta"/>
    <n v="39000"/>
  </r>
  <r>
    <s v="143182"/>
    <s v="PY"/>
    <s v="Jignesh Mhatre"/>
    <s v="30/03/2022"/>
    <s v="Order"/>
    <s v="624 GB M.2"/>
    <s v="SSD"/>
    <s v="Samsung"/>
    <n v="6500"/>
    <n v="8450"/>
    <n v="4"/>
    <n v="26000"/>
    <n v="33800"/>
    <s v="Aarvi Gupta"/>
    <n v="8450"/>
  </r>
  <r>
    <s v="143183"/>
    <s v="AP"/>
    <s v="Rahul Kashyap"/>
    <s v="30/03/2022"/>
    <s v="Processing"/>
    <s v="RYZEN 3rd gen. 3612"/>
    <s v="CPU"/>
    <s v="Intel"/>
    <n v="8500"/>
    <n v="11050"/>
    <n v="2"/>
    <n v="17000"/>
    <n v="22100"/>
    <s v="Aarvi Gupta"/>
    <n v="33150"/>
  </r>
  <r>
    <s v="143184"/>
    <s v="AR"/>
    <s v="Mohammed Abdul Kaleem"/>
    <s v="30/03/2022"/>
    <s v="Delivered"/>
    <s v="2GB Graphic Card"/>
    <s v="Graphic Card"/>
    <s v="Nvidia"/>
    <n v="7000"/>
    <n v="9100"/>
    <n v="4"/>
    <n v="28000"/>
    <n v="36400"/>
    <s v="Aarvi Gupta"/>
    <n v="18200"/>
  </r>
  <r>
    <s v="143185"/>
    <s v="AS"/>
    <s v="Chandrakant Kasbe"/>
    <s v="30/03/2022"/>
    <s v="Shipped"/>
    <s v="128 GB DDR4 RAM"/>
    <s v="Computer Case"/>
    <s v="Hynix"/>
    <n v="6550"/>
    <n v="8515"/>
    <n v="4"/>
    <n v="26200"/>
    <n v="34060"/>
    <s v="Aarvi Gupta"/>
    <n v="13650"/>
  </r>
  <r>
    <s v="143186"/>
    <s v="BR"/>
    <s v="Rohan Kale"/>
    <s v="30/03/2022"/>
    <s v="Order"/>
    <s v="Standard ATX motherboard"/>
    <s v="Mouse"/>
    <s v="Gigabyte"/>
    <n v="7650"/>
    <n v="9945"/>
    <n v="1"/>
    <n v="7650"/>
    <n v="9945"/>
    <s v="Aarvi Gupta"/>
    <n v="1690"/>
  </r>
  <r>
    <s v="143187"/>
    <s v="CG"/>
    <s v="Aniruddha Kekapure"/>
    <s v="30/03/2022"/>
    <s v="Processing"/>
    <s v="Compact with 1 Fan"/>
    <s v="Cabinet"/>
    <s v="Asus"/>
    <n v="1150"/>
    <n v="1495"/>
    <n v="2"/>
    <n v="2300"/>
    <n v="2990"/>
    <s v="Aarvi Gupta"/>
    <n v="2990"/>
  </r>
  <r>
    <s v="143188"/>
    <s v="GA"/>
    <s v="Aslam Raza"/>
    <s v="30/03/2022"/>
    <s v="Delivered"/>
    <s v="USB Backlight Keyboard"/>
    <s v="Keyboard"/>
    <s v="Dell"/>
    <n v="850"/>
    <n v="1105"/>
    <n v="4"/>
    <n v="3400"/>
    <n v="4420"/>
    <s v="Aarvi Gupta"/>
    <n v="3315"/>
  </r>
  <r>
    <s v="143189"/>
    <s v="GJ"/>
    <s v="Roshan Zameer"/>
    <s v="30/03/2022"/>
    <s v="Shipped"/>
    <s v="Ergonomic Mouse"/>
    <s v="Mouse"/>
    <s v="Samsung"/>
    <n v="650"/>
    <n v="845"/>
    <n v="4"/>
    <n v="2600"/>
    <n v="3380"/>
    <s v="Aarvi Gupta"/>
    <n v="1690"/>
  </r>
  <r>
    <s v="143190"/>
    <s v="HR"/>
    <s v="Rakesh Kumar Sharma"/>
    <s v="30/03/2022"/>
    <s v="Order"/>
    <s v="15&quot; LCD Dsipaly"/>
    <s v="Monitor"/>
    <s v="Dell"/>
    <n v="7500"/>
    <n v="9750"/>
    <n v="3"/>
    <n v="22500"/>
    <n v="29250"/>
    <s v="Aarvi Gupta"/>
    <n v="9750"/>
  </r>
  <r>
    <s v="143191"/>
    <s v="HP"/>
    <s v="Shivanand Sahani"/>
    <s v="30/03/2022"/>
    <s v="Processing"/>
    <s v="114 TB HDD"/>
    <s v="HDD"/>
    <s v="Seagate"/>
    <n v="10000"/>
    <n v="13000"/>
    <n v="4"/>
    <n v="40000"/>
    <n v="52000"/>
    <s v="Aarvi Gupta"/>
    <n v="39000"/>
  </r>
  <r>
    <s v="143192"/>
    <s v="JK"/>
    <s v="Kunal Patra"/>
    <s v="30/03/2022"/>
    <s v="Delivered"/>
    <s v="113 TB SSD"/>
    <s v="SSD"/>
    <s v="Samsung"/>
    <n v="10500"/>
    <n v="13650"/>
    <n v="4"/>
    <n v="42000"/>
    <n v="54600"/>
    <s v="Vijay Singh"/>
    <n v="8450"/>
  </r>
  <r>
    <s v="143193"/>
    <s v="JH"/>
    <s v="Bijendra"/>
    <s v="30/03/2022"/>
    <s v="Shipped"/>
    <s v="Intel i5 12th gen."/>
    <s v="CPU"/>
    <s v="Intel"/>
    <n v="8500"/>
    <n v="11050"/>
    <n v="4"/>
    <n v="34000"/>
    <n v="44200"/>
    <s v="Aadil Khan"/>
    <n v="33150"/>
  </r>
  <r>
    <s v="143194"/>
    <s v="KA"/>
    <s v="Kranti Bheke"/>
    <s v="30/03/2022"/>
    <s v="Order"/>
    <s v="2GB Graphic Card"/>
    <s v="Graphic Card"/>
    <s v="Nvidia"/>
    <n v="7000"/>
    <n v="9100"/>
    <n v="3"/>
    <n v="21000"/>
    <n v="27300"/>
    <s v="Advika Joshi"/>
    <n v="18200"/>
  </r>
  <r>
    <s v="143195"/>
    <s v="KL"/>
    <s v="Jagdeep"/>
    <s v="30/03/2022"/>
    <s v="Processing"/>
    <s v="116 GB DDR4 Ram"/>
    <s v="Computer Case"/>
    <s v="Hynix"/>
    <n v="1680"/>
    <n v="2184"/>
    <n v="1"/>
    <n v="1680"/>
    <n v="2184"/>
    <s v="Ajay Sharma"/>
    <n v="13650"/>
  </r>
  <r>
    <s v="143196"/>
    <s v="MP"/>
    <s v="Adhir Samal"/>
    <s v="30/03/2022"/>
    <s v="Delivered"/>
    <s v="Micro ATX motherboard"/>
    <s v="Mouse"/>
    <s v="MSI"/>
    <n v="6540"/>
    <n v="8502"/>
    <n v="1"/>
    <n v="6540"/>
    <n v="8502"/>
    <s v="Roshan Kumar"/>
    <n v="1690"/>
  </r>
  <r>
    <s v="143197"/>
    <s v="MH"/>
    <s v="Dannana Jhammi"/>
    <s v="30/03/2022"/>
    <s v="Shipped"/>
    <s v="Gaming Box Cabinet"/>
    <s v="Cabinet"/>
    <s v="Asus"/>
    <n v="2680"/>
    <n v="3484"/>
    <n v="3"/>
    <n v="8040"/>
    <n v="10452"/>
    <s v="Aarvi Gupta"/>
    <n v="2990"/>
  </r>
  <r>
    <s v="143198"/>
    <s v="MN"/>
    <s v="Vipin Kumar"/>
    <s v="30/03/2022"/>
    <s v="Order"/>
    <s v="17&quot; LCD Display"/>
    <s v="Monitor"/>
    <s v="Samsung"/>
    <n v="8250"/>
    <n v="10725"/>
    <n v="1"/>
    <n v="8250"/>
    <n v="10725"/>
    <s v="Vijay Singh"/>
    <n v="9750"/>
  </r>
  <r>
    <s v="143199"/>
    <s v="ML"/>
    <s v="Ranjeet Kumar"/>
    <s v="30/03/2022"/>
    <s v="Processing"/>
    <s v="120 GB DDR4 RAM"/>
    <s v="RAM"/>
    <s v="Samsung"/>
    <n v="2650"/>
    <n v="3445"/>
    <n v="1"/>
    <n v="2650"/>
    <n v="3445"/>
    <s v="Aadil Khan"/>
    <n v="25545"/>
  </r>
  <r>
    <s v="143200"/>
    <s v="MZ"/>
    <s v="Sajal Singhal"/>
    <s v="30/03/2022"/>
    <s v="Delivered"/>
    <s v="26&quot; LCD Display"/>
    <s v="Monitor"/>
    <s v="Acer"/>
    <n v="12550"/>
    <n v="16315"/>
    <n v="4"/>
    <n v="50200"/>
    <n v="65260"/>
    <s v="Aarvi Gupta"/>
    <n v="9750"/>
  </r>
  <r>
    <s v="143201"/>
    <s v="NL"/>
    <s v="Akhilesh Kumar"/>
    <s v="30/03/2022"/>
    <s v="Shipped"/>
    <s v="I7 - intel 12th Generation"/>
    <s v="CPU"/>
    <s v="Intel"/>
    <n v="14500"/>
    <n v="18850"/>
    <n v="2"/>
    <n v="29000"/>
    <n v="37700"/>
    <s v="Aarvi Gupta"/>
    <n v="33150"/>
  </r>
  <r>
    <s v="143202"/>
    <s v="OR"/>
    <s v="Suvankar Chakraborty"/>
    <s v="30/03/2022"/>
    <s v="Order"/>
    <s v="USB Keyboard"/>
    <s v="Keyboard"/>
    <s v="Dell"/>
    <n v="800"/>
    <n v="1040"/>
    <n v="2"/>
    <n v="1600"/>
    <n v="2080"/>
    <s v="Aarvi Gupta"/>
    <n v="3315"/>
  </r>
  <r>
    <s v="143203"/>
    <s v="PB"/>
    <s v="Suvankar Adhikary"/>
    <s v="30/03/2022"/>
    <s v="Processing"/>
    <s v="Wireless Mouse"/>
    <s v="Mouse"/>
    <s v="Samsung"/>
    <n v="600"/>
    <n v="780"/>
    <n v="1"/>
    <n v="600"/>
    <n v="780"/>
    <s v="Aarvi Gupta"/>
    <n v="1690"/>
  </r>
  <r>
    <s v="143204"/>
    <s v="RJ"/>
    <s v="Rahul Kumar Prajapati"/>
    <s v="30/03/2022"/>
    <s v="Delivered"/>
    <s v="21&quot; LCD Display"/>
    <s v="Monitor"/>
    <s v="Dell"/>
    <n v="10500"/>
    <n v="13650"/>
    <n v="2"/>
    <n v="21000"/>
    <n v="27300"/>
    <s v="Aarvi Gupta"/>
    <n v="9750"/>
  </r>
  <r>
    <s v="143205"/>
    <s v="SK"/>
    <s v="Sagar Jeur"/>
    <s v="30/03/2022"/>
    <s v="Shipped"/>
    <s v="114 TB HDD"/>
    <s v="HDD"/>
    <s v="Western Digital"/>
    <n v="6500"/>
    <n v="8450"/>
    <n v="4"/>
    <n v="26000"/>
    <n v="33800"/>
    <s v="Aarvi Gupta"/>
    <n v="39000"/>
  </r>
  <r>
    <s v="143206"/>
    <s v="TN"/>
    <s v="Rhushikesh Mane"/>
    <s v="30/03/2022"/>
    <s v="Order"/>
    <s v="369 GB SSD"/>
    <s v="SSD"/>
    <s v="Samsung"/>
    <n v="4500"/>
    <n v="5850"/>
    <n v="2"/>
    <n v="9000"/>
    <n v="11700"/>
    <s v="Aarvi Gupta"/>
    <n v="8450"/>
  </r>
  <r>
    <s v="143207"/>
    <s v="TR"/>
    <s v="Ashish Kumar"/>
    <s v="30/03/2022"/>
    <s v="Processing"/>
    <s v="Intel i3 11th gen."/>
    <s v="CPU"/>
    <s v="Intel"/>
    <n v="8500"/>
    <n v="11050"/>
    <n v="3"/>
    <n v="25500"/>
    <n v="33150"/>
    <s v="Aarvi Gupta"/>
    <n v="33150"/>
  </r>
  <r>
    <s v="143208"/>
    <s v="UK"/>
    <s v="Javed Akhter"/>
    <s v="30/03/2022"/>
    <s v="Delivered"/>
    <s v="4GB Graphic card"/>
    <s v="Graphic Card"/>
    <s v="Nvidia"/>
    <n v="12500"/>
    <n v="16250"/>
    <n v="2"/>
    <n v="25000"/>
    <n v="32500"/>
    <s v="Aarvi Gupta"/>
    <n v="18200"/>
  </r>
  <r>
    <s v="143209"/>
    <s v="UP"/>
    <s v="Haridas Balraj"/>
    <s v="30/03/2022"/>
    <s v="Shipped"/>
    <s v="121 GB DDR4 RAM"/>
    <s v="NIC"/>
    <s v="Hynix"/>
    <n v="3500"/>
    <n v="4550"/>
    <n v="1"/>
    <n v="3500"/>
    <n v="4550"/>
    <s v="Aarvi Gupta"/>
    <n v="9100"/>
  </r>
  <r>
    <s v="143210"/>
    <s v="WB"/>
    <s v="Kundan Kumar"/>
    <s v="30/03/2022"/>
    <s v="Order"/>
    <s v="BTX motherboard"/>
    <s v="Printer"/>
    <s v="Gigabyte"/>
    <n v="4500"/>
    <n v="5850"/>
    <n v="3"/>
    <n v="13500"/>
    <n v="17550"/>
    <s v="Vijay Singh"/>
    <n v="11700"/>
  </r>
  <r>
    <s v="143211"/>
    <s v="TN"/>
    <s v="Atif Siddiqui"/>
    <s v="30/03/2022"/>
    <s v="Processing"/>
    <s v="116 Fans Cabinet"/>
    <s v="Cabinet"/>
    <s v="Asus"/>
    <n v="2100"/>
    <n v="2730"/>
    <n v="4"/>
    <n v="8400"/>
    <n v="10920"/>
    <s v="Aadil Khan"/>
    <n v="2990"/>
  </r>
  <r>
    <s v="143212"/>
    <s v="TR"/>
    <s v="Aditya Agarwal"/>
    <s v="30/03/2022"/>
    <s v="Delivered"/>
    <s v="Wireless Keyboard"/>
    <s v="Keyboard"/>
    <s v="Dell"/>
    <n v="1150"/>
    <n v="1495"/>
    <n v="1"/>
    <n v="1150"/>
    <n v="1495"/>
    <s v="Advika Joshi"/>
    <n v="3315"/>
  </r>
  <r>
    <s v="143213"/>
    <s v="MH"/>
    <s v="Firdoush Jabee"/>
    <s v="30/03/2022"/>
    <s v="Shipped"/>
    <s v="USB Mouse"/>
    <s v="Mouse"/>
    <s v="Samsung"/>
    <n v="350"/>
    <n v="455"/>
    <n v="3"/>
    <n v="1050"/>
    <n v="1365"/>
    <s v="Ajay Sharma"/>
    <n v="1690"/>
  </r>
  <r>
    <s v="143214"/>
    <s v="CH"/>
    <s v="Jay Prakash Kumar"/>
    <s v="30/03/2022"/>
    <s v="Order"/>
    <s v="19&quot; LED Display"/>
    <s v="Monitor"/>
    <s v="Dell"/>
    <n v="9500"/>
    <n v="12350"/>
    <n v="4"/>
    <n v="38000"/>
    <n v="49400"/>
    <s v="Roshan Kumar"/>
    <n v="9750"/>
  </r>
  <r>
    <s v="143215"/>
    <s v="DH"/>
    <s v="Ashish Pandey"/>
    <s v="30/03/2022"/>
    <s v="Processing"/>
    <s v="115 TB HDD"/>
    <s v="HDD"/>
    <s v="Western Digital"/>
    <n v="10000"/>
    <n v="13000"/>
    <n v="3"/>
    <n v="30000"/>
    <n v="39000"/>
    <s v="Aarvi Gupta"/>
    <n v="39000"/>
  </r>
  <r>
    <s v="143216"/>
    <s v="DD"/>
    <s v="Ajay Sharma"/>
    <s v="30/03/2022"/>
    <s v="Delivered"/>
    <s v="625 GB M.2"/>
    <s v="SSD"/>
    <s v="Samsung"/>
    <n v="6500"/>
    <n v="8450"/>
    <n v="2"/>
    <n v="13000"/>
    <n v="16900"/>
    <s v="Vijay Singh"/>
    <n v="8450"/>
  </r>
  <r>
    <s v="143217"/>
    <s v="DL"/>
    <s v="Moinuddin Saifi"/>
    <s v="30/03/2022"/>
    <s v="Shipped"/>
    <s v="RYZEN 3rd gen. 3613"/>
    <s v="CPU"/>
    <s v="Intel"/>
    <n v="8500"/>
    <n v="11050"/>
    <n v="1"/>
    <n v="8500"/>
    <n v="11050"/>
    <s v="Aadil Khan"/>
    <n v="33150"/>
  </r>
  <r>
    <s v="143218"/>
    <s v="LD"/>
    <s v="Ramkrishna Das Adhikary"/>
    <s v="30/03/2022"/>
    <s v="Order"/>
    <s v="2GB Graphic Card"/>
    <s v="Graphic Card"/>
    <s v="Nvidia"/>
    <n v="7000"/>
    <n v="9100"/>
    <n v="4"/>
    <n v="28000"/>
    <n v="36400"/>
    <s v="Advika Joshi"/>
    <n v="18200"/>
  </r>
  <r>
    <s v="143219"/>
    <s v="PY"/>
    <s v="Ranjeet Mandal"/>
    <s v="30/03/2022"/>
    <s v="Processing"/>
    <s v="129 GB DDR4 RAM"/>
    <s v="NIC"/>
    <s v="Hynix"/>
    <n v="6550"/>
    <n v="8515"/>
    <n v="2"/>
    <n v="13100"/>
    <n v="17030"/>
    <s v="Ajay Sharma"/>
    <n v="9100"/>
  </r>
  <r>
    <s v="143220"/>
    <s v="AP"/>
    <s v="Ashwini Adsare"/>
    <s v="30/03/2022"/>
    <s v="Delivered"/>
    <s v="Standard ATX motherboard"/>
    <s v="Printer"/>
    <s v="Gigabyte"/>
    <n v="7650"/>
    <n v="9945"/>
    <n v="2"/>
    <n v="15300"/>
    <n v="19890"/>
    <s v="Aarvi Gupta"/>
    <n v="11700"/>
  </r>
  <r>
    <s v="143221"/>
    <s v="AR"/>
    <s v="Rajesh Variya"/>
    <s v="30/03/2022"/>
    <s v="Shipped"/>
    <s v="Compact with 1 Fan"/>
    <s v="Cabinet"/>
    <s v="Asus"/>
    <n v="1150"/>
    <n v="1495"/>
    <n v="2"/>
    <n v="2300"/>
    <n v="2990"/>
    <s v="Aarvi Gupta"/>
    <n v="2990"/>
  </r>
  <r>
    <s v="143222"/>
    <s v="AS"/>
    <s v="Amit Singh"/>
    <s v="30/03/2022"/>
    <s v="Order"/>
    <s v="USB Backlight Keyboard"/>
    <s v="Keyboard"/>
    <s v="Dell"/>
    <n v="850"/>
    <n v="1105"/>
    <n v="1"/>
    <n v="850"/>
    <n v="1105"/>
    <s v="Aarvi Gupta"/>
    <n v="3315"/>
  </r>
  <r>
    <s v="143223"/>
    <s v="BR"/>
    <s v="Vinod Mehta"/>
    <s v="30/03/2022"/>
    <s v="Processing"/>
    <s v="Ergonomic Mouse"/>
    <s v="Mouse"/>
    <s v="Samsung"/>
    <n v="650"/>
    <n v="845"/>
    <n v="1"/>
    <n v="650"/>
    <n v="845"/>
    <s v="Aarvi Gupta"/>
    <n v="1690"/>
  </r>
  <r>
    <s v="143224"/>
    <s v="CG"/>
    <s v="Jignesh Mhatre"/>
    <s v="30/03/2022"/>
    <s v="Delivered"/>
    <s v="15&quot; LCD Dsipaly"/>
    <s v="Monitor"/>
    <s v="Dell"/>
    <n v="7500"/>
    <n v="9750"/>
    <n v="3"/>
    <n v="22500"/>
    <n v="29250"/>
    <s v="Aarvi Gupta"/>
    <n v="9750"/>
  </r>
  <r>
    <s v="143225"/>
    <s v="GA"/>
    <s v="Rahul Kashyap"/>
    <s v="30/03/2022"/>
    <s v="Shipped"/>
    <s v="115 TB HDD"/>
    <s v="HDD"/>
    <s v="Seagate"/>
    <n v="10000"/>
    <n v="13000"/>
    <n v="1"/>
    <n v="10000"/>
    <n v="13000"/>
    <s v="Aarvi Gupta"/>
    <n v="39000"/>
  </r>
  <r>
    <s v="143226"/>
    <s v="GJ"/>
    <s v="Mohammed Abdul Kaleem"/>
    <s v="30/03/2022"/>
    <s v="Order"/>
    <s v="114 TB SSD"/>
    <s v="SSD"/>
    <s v="Samsung"/>
    <n v="10500"/>
    <n v="13650"/>
    <n v="4"/>
    <n v="42000"/>
    <n v="54600"/>
    <s v="Aarvi Gupta"/>
    <n v="8450"/>
  </r>
  <r>
    <s v="143227"/>
    <s v="HR"/>
    <s v="Chandrakant Kasbe"/>
    <s v="30/03/2022"/>
    <s v="Processing"/>
    <s v="Intel i5 12th gen."/>
    <s v="CPU"/>
    <s v="Intel"/>
    <n v="8500"/>
    <n v="11050"/>
    <n v="3"/>
    <n v="25500"/>
    <n v="33150"/>
    <s v="Aarvi Gupta"/>
    <n v="33150"/>
  </r>
  <r>
    <s v="143228"/>
    <s v="HP"/>
    <s v="Rohan Kale"/>
    <s v="30/03/2022"/>
    <s v="Delivered"/>
    <s v="2GB Graphic Card"/>
    <s v="Graphic Card"/>
    <s v="Nvidia"/>
    <n v="7000"/>
    <n v="9100"/>
    <n v="2"/>
    <n v="14000"/>
    <n v="18200"/>
    <s v="Aarvi Gupta"/>
    <n v="18200"/>
  </r>
  <r>
    <s v="143229"/>
    <s v="JK"/>
    <s v="Aniruddha Kekapure"/>
    <s v="31/03/2022"/>
    <s v="Shipped"/>
    <s v="117 GB DDR4 Ram"/>
    <s v="NIC"/>
    <s v="Hynix"/>
    <n v="1680"/>
    <n v="2184"/>
    <n v="3"/>
    <n v="5040"/>
    <n v="6552"/>
    <s v="Aarvi Gupta"/>
    <n v="9100"/>
  </r>
  <r>
    <s v="143230"/>
    <s v="JH"/>
    <s v="Aslam Raza"/>
    <s v="31/03/2022"/>
    <s v="Order"/>
    <s v="Micro ATX motherboard"/>
    <s v="Printer"/>
    <s v="MSI"/>
    <n v="6540"/>
    <n v="8502"/>
    <n v="1"/>
    <n v="6540"/>
    <n v="8502"/>
    <s v="Advika Joshi"/>
    <n v="11700"/>
  </r>
  <r>
    <s v="143231"/>
    <s v="KA"/>
    <s v="Roshan Zameer"/>
    <s v="31/03/2022"/>
    <s v="Processing"/>
    <s v="Gaming Box Cabinet"/>
    <s v="Cabinet"/>
    <s v="Asus"/>
    <n v="2680"/>
    <n v="3484"/>
    <n v="4"/>
    <n v="10720"/>
    <n v="13936"/>
    <s v="Ajay Sharma"/>
    <n v="2990"/>
  </r>
  <r>
    <s v="143232"/>
    <s v="KL"/>
    <s v="Rakesh Kumar Sharma"/>
    <s v="31/03/2022"/>
    <s v="Delivered"/>
    <s v="17&quot; LCD Display"/>
    <s v="Monitor"/>
    <s v="Samsung"/>
    <n v="8250"/>
    <n v="10725"/>
    <n v="4"/>
    <n v="33000"/>
    <n v="42900"/>
    <s v="Roshan Kumar"/>
    <n v="9750"/>
  </r>
  <r>
    <s v="143233"/>
    <s v="MP"/>
    <s v="Shivanand Sahani"/>
    <s v="31/03/2022"/>
    <s v="Shipped"/>
    <s v="121 GB DDR4 RAM"/>
    <s v="RAM"/>
    <s v="Samsung"/>
    <n v="2650"/>
    <n v="3445"/>
    <n v="2"/>
    <n v="5300"/>
    <n v="6890"/>
    <s v="Aarvi Gupta"/>
    <n v="25545"/>
  </r>
  <r>
    <s v="143234"/>
    <s v="MH"/>
    <s v="Kunal Patra"/>
    <s v="31/03/2022"/>
    <s v="Order"/>
    <s v="26&quot; LCD Display"/>
    <s v="Monitor"/>
    <s v="Acer"/>
    <n v="12550"/>
    <n v="16315"/>
    <n v="1"/>
    <n v="12550"/>
    <n v="16315"/>
    <s v="Vijay Singh"/>
    <n v="9750"/>
  </r>
  <r>
    <s v="143235"/>
    <s v="MN"/>
    <s v="Bijendra"/>
    <s v="31/03/2022"/>
    <s v="Processing"/>
    <s v="I7 - intel 12th Generation"/>
    <s v="CPU"/>
    <s v="Intel"/>
    <n v="14500"/>
    <n v="18850"/>
    <n v="1"/>
    <n v="14500"/>
    <n v="18850"/>
    <s v="Aadil Khan"/>
    <n v="33150"/>
  </r>
  <r>
    <s v="143236"/>
    <s v="ML"/>
    <s v="Kranti Bheke"/>
    <s v="31/03/2022"/>
    <s v="Delivered"/>
    <s v="USB Keyboard"/>
    <s v="Keyboard"/>
    <s v="Dell"/>
    <n v="800"/>
    <n v="1040"/>
    <n v="3"/>
    <n v="2400"/>
    <n v="3120"/>
    <s v="Advika Joshi"/>
    <n v="3315"/>
  </r>
  <r>
    <s v="143237"/>
    <s v="MZ"/>
    <s v="Jagdeep"/>
    <s v="31/03/2022"/>
    <s v="Shipped"/>
    <s v="Wireless Mouse"/>
    <s v="Mouse"/>
    <s v="Samsung"/>
    <n v="600"/>
    <n v="780"/>
    <n v="3"/>
    <n v="1800"/>
    <n v="2340"/>
    <s v="Ajay Sharma"/>
    <n v="1690"/>
  </r>
  <r>
    <s v="143238"/>
    <s v="NL"/>
    <s v="Adhir Samal"/>
    <s v="31/03/2022"/>
    <s v="Order"/>
    <s v="21&quot; LCD Display"/>
    <s v="Monitor"/>
    <s v="Dell"/>
    <n v="10500"/>
    <n v="13650"/>
    <n v="2"/>
    <n v="21000"/>
    <n v="27300"/>
    <s v="Roshan Kumar"/>
    <n v="9750"/>
  </r>
  <r>
    <s v="143239"/>
    <s v="OR"/>
    <s v="Dannana Jhammi"/>
    <s v="31/03/2022"/>
    <s v="Processing"/>
    <s v="115 TB HDD"/>
    <s v="HDD"/>
    <s v="Western Digital"/>
    <n v="6500"/>
    <n v="8450"/>
    <n v="1"/>
    <n v="6500"/>
    <n v="8450"/>
    <s v="Aarvi Gupta"/>
    <n v="39000"/>
  </r>
  <r>
    <s v="143240"/>
    <s v="PB"/>
    <s v="Vipin Kumar"/>
    <s v="31/03/2022"/>
    <s v="Delivered"/>
    <s v="370 GB SSD"/>
    <s v="SSD"/>
    <s v="Samsung"/>
    <n v="4500"/>
    <n v="5850"/>
    <n v="3"/>
    <n v="13500"/>
    <n v="17550"/>
    <s v="Vijay Singh"/>
    <n v="8450"/>
  </r>
  <r>
    <s v="143241"/>
    <s v="RJ"/>
    <s v="Ranjeet Kumar"/>
    <s v="31/03/2022"/>
    <s v="Shipped"/>
    <s v="Intel i3 11th gen."/>
    <s v="CPU"/>
    <s v="Intel"/>
    <n v="8500"/>
    <n v="11050"/>
    <n v="2"/>
    <n v="17000"/>
    <n v="22100"/>
    <s v="Aarvi Gupta"/>
    <n v="33150"/>
  </r>
  <r>
    <s v="143242"/>
    <s v="SK"/>
    <s v="Sajal Singhal"/>
    <s v="31/03/2022"/>
    <s v="Order"/>
    <s v="4GB Graphic card"/>
    <s v="Graphic Card"/>
    <s v="Nvidia"/>
    <n v="12500"/>
    <n v="16250"/>
    <n v="2"/>
    <n v="25000"/>
    <n v="32500"/>
    <s v="Aarvi Gupta"/>
    <n v="18200"/>
  </r>
  <r>
    <s v="143243"/>
    <s v="TN"/>
    <s v="Akhilesh Kumar"/>
    <s v="31/03/2022"/>
    <s v="Processing"/>
    <s v="122 GB DDR4 RAM"/>
    <s v="RAM"/>
    <s v="Hynix"/>
    <n v="3500"/>
    <n v="4550"/>
    <n v="1"/>
    <n v="3500"/>
    <n v="4550"/>
    <s v="Aarvi Gupta"/>
    <n v="25545"/>
  </r>
  <r>
    <s v="143244"/>
    <s v="TR"/>
    <s v="Suvankar Chakraborty"/>
    <s v="31/03/2022"/>
    <s v="Delivered"/>
    <s v="BTX motherboard"/>
    <s v="MotherBoard"/>
    <s v="Gigabyte"/>
    <n v="4500"/>
    <n v="5850"/>
    <n v="1"/>
    <n v="4500"/>
    <n v="5850"/>
    <s v="Aarvi Gupta"/>
    <n v="39780"/>
  </r>
  <r>
    <s v="143245"/>
    <s v="UK"/>
    <s v="Suvankar Adhikary"/>
    <s v="31/03/2022"/>
    <s v="Shipped"/>
    <s v="117 Fans Cabinet"/>
    <s v="Cabinet"/>
    <s v="Asus"/>
    <n v="2100"/>
    <n v="2730"/>
    <n v="1"/>
    <n v="2100"/>
    <n v="2730"/>
    <s v="Aarvi Gupta"/>
    <n v="2990"/>
  </r>
  <r>
    <s v="143246"/>
    <s v="UP"/>
    <s v="Rahul Kumar Prajapati"/>
    <s v="31/03/2022"/>
    <s v="Order"/>
    <s v="Wireless Keyboard"/>
    <s v="Keyboard"/>
    <s v="Dell"/>
    <n v="1150"/>
    <n v="1495"/>
    <n v="4"/>
    <n v="4600"/>
    <n v="5980"/>
    <s v="Aarvi Gupta"/>
    <n v="3315"/>
  </r>
  <r>
    <s v="143247"/>
    <s v="WB"/>
    <s v="Sagar Jeur"/>
    <s v="31/03/2022"/>
    <s v="Processing"/>
    <s v="USB Mouse"/>
    <s v="Mouse"/>
    <s v="Samsung"/>
    <n v="350"/>
    <n v="455"/>
    <n v="2"/>
    <n v="700"/>
    <n v="910"/>
    <s v="Aarvi Gupta"/>
    <n v="1690"/>
  </r>
  <r>
    <s v="143248"/>
    <s v="TN"/>
    <s v="Rhushikesh Mane"/>
    <s v="31/03/2022"/>
    <s v="Delivered"/>
    <s v="19&quot; LED Display"/>
    <s v="Monitor"/>
    <s v="Dell"/>
    <n v="9500"/>
    <n v="12350"/>
    <n v="4"/>
    <n v="38000"/>
    <n v="49400"/>
    <s v="Aarvi Gupta"/>
    <n v="9750"/>
  </r>
  <r>
    <s v="143249"/>
    <s v="TR"/>
    <s v="Ashish Kumar"/>
    <s v="31/03/2022"/>
    <s v="Shipped"/>
    <s v="116 TB HDD"/>
    <s v="HDD"/>
    <s v="Western Digital"/>
    <n v="10000"/>
    <n v="13000"/>
    <n v="4"/>
    <n v="40000"/>
    <n v="52000"/>
    <s v="Aarvi Gupta"/>
    <n v="39000"/>
  </r>
  <r>
    <s v="143250"/>
    <s v="MH"/>
    <s v="Javed Akhter"/>
    <s v="31/03/2022"/>
    <s v="Order"/>
    <s v="626 GB M.2"/>
    <s v="SSD"/>
    <s v="Samsung"/>
    <n v="6500"/>
    <n v="8450"/>
    <n v="3"/>
    <n v="19500"/>
    <n v="25350"/>
    <s v="Aarvi Gupta"/>
    <n v="8450"/>
  </r>
  <r>
    <s v="143251"/>
    <s v="CH"/>
    <s v="Haridas Balraj"/>
    <s v="31/03/2022"/>
    <s v="Processing"/>
    <s v="RYZEN 3rd gen. 3614"/>
    <s v="CPU"/>
    <s v="Intel"/>
    <n v="8500"/>
    <n v="11050"/>
    <n v="3"/>
    <n v="25500"/>
    <n v="33150"/>
    <s v="Aarvi Gupta"/>
    <n v="33150"/>
  </r>
  <r>
    <s v="143252"/>
    <s v="DH"/>
    <s v="Kundan Kumar"/>
    <s v="31/03/2022"/>
    <s v="Delivered"/>
    <s v="2GB Graphic Card"/>
    <s v="Graphic Card"/>
    <s v="Nvidia"/>
    <n v="7000"/>
    <n v="9100"/>
    <n v="4"/>
    <n v="28000"/>
    <n v="36400"/>
    <s v="Vijay Singh"/>
    <n v="18200"/>
  </r>
  <r>
    <s v="143253"/>
    <s v="DD"/>
    <s v="Atif Siddiqui"/>
    <s v="31/03/2022"/>
    <s v="Shipped"/>
    <s v="130 GB DDR4 RAM"/>
    <s v="RAM"/>
    <s v="Hynix"/>
    <n v="6550"/>
    <n v="8515"/>
    <n v="4"/>
    <n v="26200"/>
    <n v="34060"/>
    <s v="Aadil Khan"/>
    <n v="25545"/>
  </r>
  <r>
    <s v="143254"/>
    <s v="DL"/>
    <s v="Aditya Agarwal"/>
    <s v="31/03/2022"/>
    <s v="Order"/>
    <s v="Standard ATX motherboard"/>
    <s v="MotherBoard"/>
    <s v="Gigabyte"/>
    <n v="7650"/>
    <n v="9945"/>
    <n v="4"/>
    <n v="30600"/>
    <n v="39780"/>
    <s v="Advika Joshi"/>
    <n v="39780"/>
  </r>
  <r>
    <s v="143255"/>
    <s v="LD"/>
    <s v="Firdoush Jabee"/>
    <s v="31/03/2022"/>
    <s v="Processing"/>
    <s v="Compact with 1 Fan"/>
    <s v="Cabinet"/>
    <s v="Asus"/>
    <n v="1150"/>
    <n v="1495"/>
    <n v="4"/>
    <n v="4600"/>
    <n v="5980"/>
    <s v="Ajay Sharma"/>
    <n v="2990"/>
  </r>
  <r>
    <s v="143256"/>
    <s v="PY"/>
    <s v="Jay Prakash Kumar"/>
    <s v="31/03/2022"/>
    <s v="Delivered"/>
    <s v="USB Backlight Keyboard"/>
    <s v="Keyboard"/>
    <s v="Dell"/>
    <n v="850"/>
    <n v="1105"/>
    <n v="2"/>
    <n v="1700"/>
    <n v="2210"/>
    <s v="Roshan Kumar"/>
    <n v="3315"/>
  </r>
  <r>
    <s v="143257"/>
    <s v="AP"/>
    <s v="Ashish Pandey"/>
    <s v="31/03/2022"/>
    <s v="Shipped"/>
    <s v="Ergonomic Mouse"/>
    <s v="Mouse"/>
    <s v="Samsung"/>
    <n v="650"/>
    <n v="845"/>
    <n v="1"/>
    <n v="650"/>
    <n v="845"/>
    <s v="Aarvi Gupta"/>
    <n v="1690"/>
  </r>
  <r>
    <s v="143258"/>
    <s v="AR"/>
    <s v="Ajay Sharma"/>
    <s v="31/03/2022"/>
    <s v="Order"/>
    <s v="15&quot; LCD Dsipaly"/>
    <s v="Monitor"/>
    <s v="Dell"/>
    <n v="7500"/>
    <n v="9750"/>
    <n v="2"/>
    <n v="15000"/>
    <n v="19500"/>
    <s v="Vijay Singh"/>
    <n v="9750"/>
  </r>
  <r>
    <s v="143259"/>
    <s v="AS"/>
    <s v="Moinuddin Saifi"/>
    <s v="31/03/2022"/>
    <s v="Processing"/>
    <s v="116 TB HDD"/>
    <s v="HDD"/>
    <s v="Seagate"/>
    <n v="10000"/>
    <n v="13000"/>
    <n v="3"/>
    <n v="30000"/>
    <n v="39000"/>
    <s v="Aadil Khan"/>
    <n v="39000"/>
  </r>
  <r>
    <s v="143260"/>
    <s v="BR"/>
    <s v="Ramkrishna Das Adhikary"/>
    <s v="31/03/2022"/>
    <s v="Delivered"/>
    <s v="115 TB SSD"/>
    <s v="SSD"/>
    <s v="Samsung"/>
    <n v="10500"/>
    <n v="13650"/>
    <n v="3"/>
    <n v="31500"/>
    <n v="40950"/>
    <s v="Advika Joshi"/>
    <n v="8450"/>
  </r>
  <r>
    <s v="143261"/>
    <s v="CG"/>
    <s v="Ranjeet Mandal"/>
    <s v="31/03/2022"/>
    <s v="Shipped"/>
    <s v="Intel i5 12th gen."/>
    <s v="CPU"/>
    <s v="Intel"/>
    <n v="8500"/>
    <n v="11050"/>
    <n v="2"/>
    <n v="17000"/>
    <n v="22100"/>
    <s v="Aarvi Gupta"/>
    <n v="33150"/>
  </r>
  <r>
    <s v="143262"/>
    <s v="GA"/>
    <s v="Ashwini Adsare"/>
    <s v="31/03/2022"/>
    <s v="Order"/>
    <s v="2GB Graphic Card"/>
    <s v="Graphic Card"/>
    <s v="Nvidia"/>
    <n v="7000"/>
    <n v="9100"/>
    <n v="1"/>
    <n v="7000"/>
    <n v="9100"/>
    <s v="Aarvi Gupta"/>
    <n v="18200"/>
  </r>
  <r>
    <s v="143263"/>
    <s v="GJ"/>
    <s v="Rajesh Variya"/>
    <s v="31/03/2022"/>
    <s v="Processing"/>
    <s v="118 GB DDR4 Ram"/>
    <s v="RAM"/>
    <s v="Hynix"/>
    <n v="1680"/>
    <n v="2184"/>
    <n v="3"/>
    <n v="5040"/>
    <n v="6552"/>
    <s v="Aarvi Gupta"/>
    <n v="25545"/>
  </r>
  <r>
    <s v="143264"/>
    <s v="HR"/>
    <s v="Amit Singh"/>
    <s v="31/03/2022"/>
    <s v="Delivered"/>
    <s v="Micro ATX motherboard"/>
    <s v="MotherBoard"/>
    <s v="MSI"/>
    <n v="6540"/>
    <n v="8502"/>
    <n v="3"/>
    <n v="19620"/>
    <n v="25506"/>
    <s v="Aarvi Gupta"/>
    <n v="39780"/>
  </r>
  <r>
    <s v="143265"/>
    <s v="HP"/>
    <s v="Vinod Mehta"/>
    <s v="31/03/2022"/>
    <s v="Shipped"/>
    <s v="Gaming Box Cabinet"/>
    <s v="Cabinet"/>
    <s v="Asus"/>
    <n v="2680"/>
    <n v="3484"/>
    <n v="2"/>
    <n v="5360"/>
    <n v="6968"/>
    <s v="Aarvi Gupta"/>
    <n v="2990"/>
  </r>
  <r>
    <s v="143266"/>
    <s v="JK"/>
    <s v="Jignesh Mhatre"/>
    <s v="31/03/2022"/>
    <s v="Order"/>
    <s v="17&quot; LCD Display"/>
    <s v="Monitor"/>
    <s v="Samsung"/>
    <n v="8250"/>
    <n v="10725"/>
    <n v="2"/>
    <n v="16500"/>
    <n v="21450"/>
    <s v="Aarvi Gupta"/>
    <n v="9750"/>
  </r>
  <r>
    <s v="143267"/>
    <s v="JH"/>
    <s v="Rahul Kashyap"/>
    <s v="31/03/2022"/>
    <s v="Processing"/>
    <s v="122 GB DDR4 RAM"/>
    <s v="RAM"/>
    <s v="Samsung"/>
    <n v="2650"/>
    <n v="3445"/>
    <n v="3"/>
    <n v="7950"/>
    <n v="10335"/>
    <s v="Aarvi Gupta"/>
    <n v="25545"/>
  </r>
  <r>
    <s v="143268"/>
    <s v="KA"/>
    <s v="Mohammed Abdul Kaleem"/>
    <s v="31/03/2022"/>
    <s v="Delivered"/>
    <s v="26&quot; LCD Display"/>
    <s v="Monitor"/>
    <s v="Acer"/>
    <n v="12550"/>
    <n v="16315"/>
    <n v="3"/>
    <n v="37650"/>
    <n v="48945"/>
    <s v="Aarvi Gupta"/>
    <n v="9750"/>
  </r>
  <r>
    <s v="143269"/>
    <s v="KL"/>
    <s v="Chandrakant Kasbe"/>
    <s v="31/03/2022"/>
    <s v="Shipped"/>
    <s v="I7 - intel 12th Generation"/>
    <s v="CPU"/>
    <s v="Intel"/>
    <n v="14500"/>
    <n v="18850"/>
    <n v="1"/>
    <n v="14500"/>
    <n v="18850"/>
    <s v="Aarvi Gupta"/>
    <n v="33150"/>
  </r>
  <r>
    <s v="143270"/>
    <s v="MP"/>
    <s v="Rohan Kale"/>
    <s v="31/03/2022"/>
    <s v="Order"/>
    <s v="USB Keyboard"/>
    <s v="Keyboard"/>
    <s v="Dell"/>
    <n v="800"/>
    <n v="1040"/>
    <n v="4"/>
    <n v="3200"/>
    <n v="4160"/>
    <s v="Aarvi Gupta"/>
    <n v="3315"/>
  </r>
  <r>
    <s v="143271"/>
    <s v="MH"/>
    <s v="Aniruddha Kekapure"/>
    <s v="31/03/2022"/>
    <s v="Processing"/>
    <s v="Wireless Mouse"/>
    <s v="Mouse"/>
    <s v="Samsung"/>
    <n v="600"/>
    <n v="780"/>
    <n v="1"/>
    <n v="600"/>
    <n v="780"/>
    <s v="Aadil Khan"/>
    <n v="1690"/>
  </r>
  <r>
    <s v="143272"/>
    <s v="MN"/>
    <s v="Aslam Raza"/>
    <s v="31/03/2022"/>
    <s v="Delivered"/>
    <s v="21&quot; LCD Display"/>
    <s v="Monitor"/>
    <s v="Dell"/>
    <n v="10500"/>
    <n v="13650"/>
    <n v="4"/>
    <n v="42000"/>
    <n v="54600"/>
    <s v="Advika Joshi"/>
    <n v="9750"/>
  </r>
  <r>
    <s v="143273"/>
    <s v="ML"/>
    <s v="Roshan Zameer"/>
    <s v="31/03/2022"/>
    <s v="Shipped"/>
    <s v="116 TB HDD"/>
    <s v="HDD"/>
    <s v="Western Digital"/>
    <n v="6500"/>
    <n v="8450"/>
    <n v="4"/>
    <n v="26000"/>
    <n v="33800"/>
    <s v="Ajay Sharma"/>
    <n v="39000"/>
  </r>
  <r>
    <s v="143274"/>
    <s v="MZ"/>
    <s v="Rakesh Kumar Sharma"/>
    <s v="31/03/2022"/>
    <s v="Order"/>
    <s v="371 GB SSD"/>
    <s v="SSD"/>
    <s v="Samsung"/>
    <n v="4500"/>
    <n v="5850"/>
    <n v="1"/>
    <n v="4500"/>
    <n v="5850"/>
    <s v="Roshan Kumar"/>
    <n v="8450"/>
  </r>
  <r>
    <s v="143275"/>
    <s v="NL"/>
    <s v="Shivanand Sahani"/>
    <s v="31/03/2022"/>
    <s v="Processing"/>
    <s v="Intel i3 11th gen."/>
    <s v="CPU"/>
    <s v="Intel"/>
    <n v="8500"/>
    <n v="11050"/>
    <n v="1"/>
    <n v="8500"/>
    <n v="11050"/>
    <s v="Aarvi Gupta"/>
    <n v="33150"/>
  </r>
  <r>
    <s v="143276"/>
    <s v="OR"/>
    <s v="Kunal Patra"/>
    <s v="31/03/2022"/>
    <s v="Delivered"/>
    <s v="4GB Graphic card"/>
    <s v="Graphic Card"/>
    <s v="Nvidia"/>
    <n v="12500"/>
    <n v="16250"/>
    <n v="2"/>
    <n v="25000"/>
    <n v="32500"/>
    <s v="Vijay Singh"/>
    <n v="18200"/>
  </r>
  <r>
    <s v="143277"/>
    <s v="PB"/>
    <s v="Bijendra"/>
    <s v="31/03/2022"/>
    <s v="Shipped"/>
    <s v="123 GB DDR4 RAM"/>
    <s v="Computer Case"/>
    <s v="Hynix"/>
    <n v="3500"/>
    <n v="4550"/>
    <n v="3"/>
    <n v="10500"/>
    <n v="13650"/>
    <s v="Aadil Khan"/>
    <n v="13650"/>
  </r>
  <r>
    <s v="143278"/>
    <s v="RJ"/>
    <s v="Kranti Bheke"/>
    <s v="31/03/2022"/>
    <s v="Order"/>
    <s v="BTX motherboard"/>
    <s v="Mouse"/>
    <s v="Gigabyte"/>
    <n v="4500"/>
    <n v="5850"/>
    <n v="3"/>
    <n v="13500"/>
    <n v="17550"/>
    <s v="Advika Joshi"/>
    <n v="1690"/>
  </r>
  <r>
    <s v="143279"/>
    <s v="SK"/>
    <s v="Jagdeep"/>
    <s v="31/03/2022"/>
    <s v="Processing"/>
    <s v="118 Fans Cabinet"/>
    <s v="Cabinet"/>
    <s v="Asus"/>
    <n v="2100"/>
    <n v="2730"/>
    <n v="2"/>
    <n v="4200"/>
    <n v="5460"/>
    <s v="Ajay Sharma"/>
    <n v="2990"/>
  </r>
  <r>
    <s v="143280"/>
    <s v="TN"/>
    <s v="Adhir Samal"/>
    <s v="31/03/2022"/>
    <s v="Delivered"/>
    <s v="Wireless Keyboard"/>
    <s v="Keyboard"/>
    <s v="Dell"/>
    <n v="1150"/>
    <n v="1495"/>
    <n v="4"/>
    <n v="4600"/>
    <n v="5980"/>
    <s v="Roshan Kumar"/>
    <n v="3315"/>
  </r>
  <r>
    <s v="143281"/>
    <s v="TR"/>
    <s v="Dannana Jhammi"/>
    <s v="31/03/2022"/>
    <s v="Shipped"/>
    <s v="USB Mouse"/>
    <s v="Mouse"/>
    <s v="Samsung"/>
    <n v="350"/>
    <n v="455"/>
    <n v="3"/>
    <n v="1050"/>
    <n v="1365"/>
    <s v="Aarvi Gupta"/>
    <n v="1690"/>
  </r>
  <r>
    <s v="143282"/>
    <s v="UK"/>
    <s v="Vipin Kumar"/>
    <s v="31/03/2022"/>
    <s v="Order"/>
    <s v="19&quot; LED Display"/>
    <s v="Monitor"/>
    <s v="Dell"/>
    <n v="9500"/>
    <n v="12350"/>
    <n v="2"/>
    <n v="19000"/>
    <n v="24700"/>
    <s v="Vijay Singh"/>
    <n v="9750"/>
  </r>
  <r>
    <s v="143283"/>
    <s v="UP"/>
    <s v="Ranjeet Kumar"/>
    <s v="31/03/2022"/>
    <s v="Processing"/>
    <s v="117 TB HDD"/>
    <s v="HDD"/>
    <s v="Western Digital"/>
    <n v="10000"/>
    <n v="13000"/>
    <n v="1"/>
    <n v="10000"/>
    <n v="13000"/>
    <s v="Aarvi Gupta"/>
    <n v="39000"/>
  </r>
  <r>
    <s v="143284"/>
    <s v="WB"/>
    <s v="Sajal Singhal"/>
    <s v="31/03/2022"/>
    <s v="Delivered"/>
    <s v="627 GB M.2"/>
    <s v="SSD"/>
    <s v="Samsung"/>
    <n v="6500"/>
    <n v="8450"/>
    <n v="1"/>
    <n v="6500"/>
    <n v="8450"/>
    <s v="Aarvi Gupta"/>
    <n v="8450"/>
  </r>
  <r>
    <s v="143285"/>
    <s v="TN"/>
    <s v="Akhilesh Kumar"/>
    <s v="31/03/2022"/>
    <s v="Shipped"/>
    <s v="RYZEN 3rd gen. 3615"/>
    <s v="CPU"/>
    <s v="Intel"/>
    <n v="8500"/>
    <n v="11050"/>
    <n v="1"/>
    <n v="8500"/>
    <n v="11050"/>
    <s v="Aarvi Gupta"/>
    <n v="33150"/>
  </r>
  <r>
    <s v="143286"/>
    <s v="TR"/>
    <s v="Suvankar Chakraborty"/>
    <s v="31/03/2022"/>
    <s v="Order"/>
    <s v="2GB Graphic Card"/>
    <s v="Graphic Card"/>
    <s v="Nvidia"/>
    <n v="7000"/>
    <n v="9100"/>
    <n v="2"/>
    <n v="14000"/>
    <n v="18200"/>
    <s v="Aarvi Gupta"/>
    <n v="18200"/>
  </r>
  <r>
    <s v="143287"/>
    <s v="MH"/>
    <s v="Suvankar Adhikary"/>
    <s v="31/03/2022"/>
    <s v="Processing"/>
    <s v="131 GB DDR4 RAM"/>
    <s v="Computer Case"/>
    <s v="Hynix"/>
    <n v="6550"/>
    <n v="8515"/>
    <n v="2"/>
    <n v="13100"/>
    <n v="17030"/>
    <s v="Aarvi Gupta"/>
    <n v="13650"/>
  </r>
  <r>
    <s v="143288"/>
    <s v="CH"/>
    <s v="Rahul Kumar Prajapati"/>
    <s v="31/03/2022"/>
    <s v="Delivered"/>
    <s v="Standard ATX motherboard"/>
    <s v="Mouse"/>
    <s v="Gigabyte"/>
    <n v="7650"/>
    <n v="9945"/>
    <n v="3"/>
    <n v="22950"/>
    <n v="29835"/>
    <s v="Aarvi Gupta"/>
    <n v="1690"/>
  </r>
  <r>
    <s v="143289"/>
    <s v="DH"/>
    <s v="Sagar Jeur"/>
    <s v="31/03/2022"/>
    <s v="Shipped"/>
    <s v="Compact with 1 Fan"/>
    <s v="Cabinet"/>
    <s v="Asus"/>
    <n v="1150"/>
    <n v="1495"/>
    <n v="4"/>
    <n v="4600"/>
    <n v="5980"/>
    <s v="Aarvi Gupta"/>
    <n v="2990"/>
  </r>
  <r>
    <s v="143290"/>
    <s v="DD"/>
    <s v="Rhushikesh Mane"/>
    <s v="31/03/2022"/>
    <s v="Order"/>
    <s v="USB Backlight Keyboard"/>
    <s v="Keyboard"/>
    <s v="Dell"/>
    <n v="850"/>
    <n v="1105"/>
    <n v="4"/>
    <n v="3400"/>
    <n v="4420"/>
    <s v="Aarvi Gupta"/>
    <n v="3315"/>
  </r>
  <r>
    <s v="143291"/>
    <s v="DL"/>
    <s v="Ashish Kumar"/>
    <s v="31/03/2022"/>
    <s v="Processing"/>
    <s v="Ergonomic Mouse"/>
    <s v="Mouse"/>
    <s v="Samsung"/>
    <n v="650"/>
    <n v="845"/>
    <n v="2"/>
    <n v="1300"/>
    <n v="1690"/>
    <s v="Aarvi Gupta"/>
    <n v="1690"/>
  </r>
  <r>
    <s v="143292"/>
    <s v="LD"/>
    <s v="Javed Akhter"/>
    <s v="31/03/2022"/>
    <s v="Delivered"/>
    <s v="15&quot; LCD Dsipaly"/>
    <s v="Monitor"/>
    <s v="Dell"/>
    <n v="7500"/>
    <n v="9750"/>
    <n v="2"/>
    <n v="15000"/>
    <n v="19500"/>
    <s v="Aarvi Gupta"/>
    <n v="9750"/>
  </r>
  <r>
    <s v="143293"/>
    <s v="PY"/>
    <s v="Haridas Balraj"/>
    <s v="01/04/2022"/>
    <s v="Shipped"/>
    <s v="117 TB HDD"/>
    <s v="HDD"/>
    <s v="Seagate"/>
    <n v="10000"/>
    <n v="13000"/>
    <n v="3"/>
    <n v="30000"/>
    <n v="39000"/>
    <s v="Aarvi Gupta"/>
    <n v="39000"/>
  </r>
  <r>
    <s v="143294"/>
    <s v="AP"/>
    <s v="Kundan Kumar"/>
    <s v="02/04/2022"/>
    <s v="Order"/>
    <s v="116 TB SSD"/>
    <s v="SSD"/>
    <s v="Samsung"/>
    <n v="10500"/>
    <n v="13650"/>
    <n v="3"/>
    <n v="31500"/>
    <n v="40950"/>
    <s v="Vijay Singh"/>
    <n v="8450"/>
  </r>
  <r>
    <s v="143295"/>
    <s v="AR"/>
    <s v="Atif Siddiqui"/>
    <s v="03/04/2022"/>
    <s v="Processing"/>
    <s v="Intel i5 12th gen."/>
    <s v="CPU"/>
    <s v="Intel"/>
    <n v="8500"/>
    <n v="11050"/>
    <n v="1"/>
    <n v="8500"/>
    <n v="11050"/>
    <s v="Aadil Khan"/>
    <n v="33150"/>
  </r>
  <r>
    <s v="143296"/>
    <s v="AS"/>
    <s v="Aditya Agarwal"/>
    <s v="03/04/2022"/>
    <s v="Delivered"/>
    <s v="2GB Graphic Card"/>
    <s v="Graphic Card"/>
    <s v="Nvidia"/>
    <n v="7000"/>
    <n v="9100"/>
    <n v="1"/>
    <n v="7000"/>
    <n v="9100"/>
    <s v="Advika Joshi"/>
    <n v="18200"/>
  </r>
  <r>
    <s v="143297"/>
    <s v="BR"/>
    <s v="Firdoush Jabee"/>
    <s v="03/04/2022"/>
    <s v="Shipped"/>
    <s v="119 GB DDR4 Ram"/>
    <s v="Computer Case"/>
    <s v="Hynix"/>
    <n v="1680"/>
    <n v="2184"/>
    <n v="4"/>
    <n v="6720"/>
    <n v="8736"/>
    <s v="Ajay Sharma"/>
    <n v="13650"/>
  </r>
  <r>
    <s v="143298"/>
    <s v="CG"/>
    <s v="Jay Prakash Kumar"/>
    <s v="03/04/2022"/>
    <s v="Order"/>
    <s v="Micro ATX motherboard"/>
    <s v="Mouse"/>
    <s v="MSI"/>
    <n v="6540"/>
    <n v="8502"/>
    <n v="2"/>
    <n v="13080"/>
    <n v="17004"/>
    <s v="Roshan Kumar"/>
    <n v="1690"/>
  </r>
  <r>
    <s v="143299"/>
    <s v="GA"/>
    <s v="Ashish Pandey"/>
    <s v="03/04/2022"/>
    <s v="Processing"/>
    <s v="Gaming Box Cabinet"/>
    <s v="Cabinet"/>
    <s v="Asus"/>
    <n v="2680"/>
    <n v="3484"/>
    <n v="3"/>
    <n v="8040"/>
    <n v="10452"/>
    <s v="Aarvi Gupta"/>
    <n v="2990"/>
  </r>
  <r>
    <s v="143300"/>
    <s v="GJ"/>
    <s v="Ajay Sharma"/>
    <s v="03/04/2022"/>
    <s v="Delivered"/>
    <s v="17&quot; LCD Display"/>
    <s v="Monitor"/>
    <s v="Samsung"/>
    <n v="8250"/>
    <n v="10725"/>
    <n v="4"/>
    <n v="33000"/>
    <n v="42900"/>
    <s v="Vijay Singh"/>
    <n v="9750"/>
  </r>
  <r>
    <s v="143301"/>
    <s v="HR"/>
    <s v="Moinuddin Saifi"/>
    <s v="03/04/2022"/>
    <s v="Shipped"/>
    <s v="123 GB DDR4 RAM"/>
    <s v="RAM"/>
    <s v="Samsung"/>
    <n v="2650"/>
    <n v="3445"/>
    <n v="1"/>
    <n v="2650"/>
    <n v="3445"/>
    <s v="Aadil Khan"/>
    <n v="25545"/>
  </r>
  <r>
    <s v="143302"/>
    <s v="HP"/>
    <s v="Ramkrishna Das Adhikary"/>
    <s v="03/04/2022"/>
    <s v="Order"/>
    <s v="26&quot; LCD Display"/>
    <s v="Monitor"/>
    <s v="Acer"/>
    <n v="12550"/>
    <n v="16315"/>
    <n v="2"/>
    <n v="25100"/>
    <n v="32630"/>
    <s v="Advika Joshi"/>
    <n v="9750"/>
  </r>
  <r>
    <s v="143303"/>
    <s v="JK"/>
    <s v="Ranjeet Mandal"/>
    <s v="03/04/2022"/>
    <s v="Processing"/>
    <s v="I7 - intel 12th Generation"/>
    <s v="CPU"/>
    <s v="Intel"/>
    <n v="14500"/>
    <n v="18850"/>
    <n v="1"/>
    <n v="14500"/>
    <n v="18850"/>
    <s v="Ajay Sharma"/>
    <n v="33150"/>
  </r>
  <r>
    <s v="143304"/>
    <s v="JH"/>
    <s v="Ashwini Adsare"/>
    <s v="03/04/2022"/>
    <s v="Delivered"/>
    <s v="USB Keyboard"/>
    <s v="Keyboard"/>
    <s v="Dell"/>
    <n v="800"/>
    <n v="1040"/>
    <n v="2"/>
    <n v="1600"/>
    <n v="2080"/>
    <s v="Roshan Kumar"/>
    <n v="3315"/>
  </r>
  <r>
    <s v="143305"/>
    <s v="KA"/>
    <s v="Rajesh Variya"/>
    <s v="03/04/2022"/>
    <s v="Shipped"/>
    <s v="Wireless Mouse"/>
    <s v="Mouse"/>
    <s v="Samsung"/>
    <n v="600"/>
    <n v="780"/>
    <n v="3"/>
    <n v="1800"/>
    <n v="2340"/>
    <s v="Aarvi Gupta"/>
    <n v="1690"/>
  </r>
  <r>
    <s v="143306"/>
    <s v="KL"/>
    <s v="Amit Singh"/>
    <s v="03/04/2022"/>
    <s v="Order"/>
    <s v="21&quot; LCD Display"/>
    <s v="Monitor"/>
    <s v="Dell"/>
    <n v="10500"/>
    <n v="13650"/>
    <n v="1"/>
    <n v="10500"/>
    <n v="13650"/>
    <s v="Aarvi Gupta"/>
    <n v="9750"/>
  </r>
  <r>
    <s v="143307"/>
    <s v="MP"/>
    <s v="Vinod Mehta"/>
    <s v="03/04/2022"/>
    <s v="Processing"/>
    <s v="117 TB HDD"/>
    <s v="HDD"/>
    <s v="Western Digital"/>
    <n v="6500"/>
    <n v="8450"/>
    <n v="3"/>
    <n v="19500"/>
    <n v="25350"/>
    <s v="Aarvi Gupta"/>
    <n v="39000"/>
  </r>
  <r>
    <s v="143308"/>
    <s v="MH"/>
    <s v="Jignesh Mhatre"/>
    <s v="03/04/2022"/>
    <s v="Delivered"/>
    <s v="372 GB SSD"/>
    <s v="SSD"/>
    <s v="Samsung"/>
    <n v="4500"/>
    <n v="5850"/>
    <n v="2"/>
    <n v="9000"/>
    <n v="11700"/>
    <s v="Aarvi Gupta"/>
    <n v="8450"/>
  </r>
  <r>
    <s v="143309"/>
    <s v="MN"/>
    <s v="Rahul Kashyap"/>
    <s v="03/04/2022"/>
    <s v="Shipped"/>
    <s v="Intel i3 11th gen."/>
    <s v="CPU"/>
    <s v="Intel"/>
    <n v="8500"/>
    <n v="11050"/>
    <n v="2"/>
    <n v="17000"/>
    <n v="22100"/>
    <s v="Aarvi Gupta"/>
    <n v="33150"/>
  </r>
  <r>
    <s v="143310"/>
    <s v="ML"/>
    <s v="Mohammed Abdul Kaleem"/>
    <s v="03/04/2022"/>
    <s v="Order"/>
    <s v="4GB Graphic card"/>
    <s v="Graphic Card"/>
    <s v="Nvidia"/>
    <n v="12500"/>
    <n v="16250"/>
    <n v="3"/>
    <n v="37500"/>
    <n v="48750"/>
    <s v="Aarvi Gupta"/>
    <n v="18200"/>
  </r>
  <r>
    <s v="143311"/>
    <s v="MZ"/>
    <s v="Chandrakant Kasbe"/>
    <s v="03/04/2022"/>
    <s v="Processing"/>
    <s v="124 GB DDR4 RAM"/>
    <s v="NIC"/>
    <s v="Hynix"/>
    <n v="3500"/>
    <n v="4550"/>
    <n v="2"/>
    <n v="7000"/>
    <n v="9100"/>
    <s v="Aarvi Gupta"/>
    <n v="9100"/>
  </r>
  <r>
    <s v="143312"/>
    <s v="NL"/>
    <s v="Rohan Kale"/>
    <s v="03/04/2022"/>
    <s v="Delivered"/>
    <s v="BTX motherboard"/>
    <s v="Printer"/>
    <s v="Gigabyte"/>
    <n v="4500"/>
    <n v="5850"/>
    <n v="1"/>
    <n v="4500"/>
    <n v="5850"/>
    <s v="Aarvi Gupta"/>
    <n v="11700"/>
  </r>
  <r>
    <s v="143313"/>
    <s v="OR"/>
    <s v="Aniruddha Kekapure"/>
    <s v="03/04/2022"/>
    <s v="Shipped"/>
    <s v="119 Fans Cabinet"/>
    <s v="Cabinet"/>
    <s v="Asus"/>
    <n v="2100"/>
    <n v="2730"/>
    <n v="3"/>
    <n v="6300"/>
    <n v="8190"/>
    <s v="Aarvi Gupta"/>
    <n v="2990"/>
  </r>
  <r>
    <s v="143314"/>
    <s v="PB"/>
    <s v="Aslam Raza"/>
    <s v="03/04/2022"/>
    <s v="Order"/>
    <s v="Wireless Keyboard"/>
    <s v="Keyboard"/>
    <s v="Dell"/>
    <n v="1150"/>
    <n v="1495"/>
    <n v="2"/>
    <n v="2300"/>
    <n v="2990"/>
    <s v="Aarvi Gupta"/>
    <n v="3315"/>
  </r>
  <r>
    <s v="143315"/>
    <s v="RJ"/>
    <s v="Roshan Zameer"/>
    <s v="03/04/2022"/>
    <s v="Processing"/>
    <s v="USB Mouse"/>
    <s v="Mouse"/>
    <s v="Samsung"/>
    <n v="350"/>
    <n v="455"/>
    <n v="3"/>
    <n v="1050"/>
    <n v="1365"/>
    <s v="Ajay Sharma"/>
    <n v="1690"/>
  </r>
  <r>
    <s v="143316"/>
    <s v="SK"/>
    <s v="Rakesh Kumar Sharma"/>
    <s v="03/04/2022"/>
    <s v="Delivered"/>
    <s v="19&quot; LED Display"/>
    <s v="Monitor"/>
    <s v="Dell"/>
    <n v="9500"/>
    <n v="12350"/>
    <n v="3"/>
    <n v="28500"/>
    <n v="37050"/>
    <s v="Roshan Kumar"/>
    <n v="9750"/>
  </r>
  <r>
    <s v="143317"/>
    <s v="TN"/>
    <s v="Shivanand Sahani"/>
    <s v="03/04/2022"/>
    <s v="Shipped"/>
    <s v="118 TB HDD"/>
    <s v="HDD"/>
    <s v="Western Digital"/>
    <n v="10000"/>
    <n v="13000"/>
    <n v="3"/>
    <n v="30000"/>
    <n v="39000"/>
    <s v="Aarvi Gupta"/>
    <n v="39000"/>
  </r>
  <r>
    <s v="143318"/>
    <s v="TR"/>
    <s v="Kunal Patra"/>
    <s v="03/04/2022"/>
    <s v="Order"/>
    <s v="628 GB M.2"/>
    <s v="SSD"/>
    <s v="Samsung"/>
    <n v="6500"/>
    <n v="8450"/>
    <n v="3"/>
    <n v="19500"/>
    <n v="25350"/>
    <s v="Vijay Singh"/>
    <n v="8450"/>
  </r>
  <r>
    <s v="143319"/>
    <s v="UK"/>
    <s v="Bijendra"/>
    <s v="03/04/2022"/>
    <s v="Processing"/>
    <s v="RYZEN 3rd gen. 3616"/>
    <s v="CPU"/>
    <s v="Intel"/>
    <n v="8500"/>
    <n v="11050"/>
    <n v="1"/>
    <n v="8500"/>
    <n v="11050"/>
    <s v="Aadil Khan"/>
    <n v="33150"/>
  </r>
  <r>
    <s v="143320"/>
    <s v="UP"/>
    <s v="Kranti Bheke"/>
    <s v="03/04/2022"/>
    <s v="Delivered"/>
    <s v="2GB Graphic Card"/>
    <s v="Graphic Card"/>
    <s v="Nvidia"/>
    <n v="7000"/>
    <n v="9100"/>
    <n v="3"/>
    <n v="21000"/>
    <n v="27300"/>
    <s v="Advika Joshi"/>
    <n v="18200"/>
  </r>
  <r>
    <s v="143321"/>
    <s v="WB"/>
    <s v="Jagdeep"/>
    <s v="03/04/2022"/>
    <s v="Shipped"/>
    <s v="132 GB DDR4 RAM"/>
    <s v="NIC"/>
    <s v="Hynix"/>
    <n v="6550"/>
    <n v="8515"/>
    <n v="1"/>
    <n v="6550"/>
    <n v="8515"/>
    <s v="Ajay Sharma"/>
    <n v="9100"/>
  </r>
  <r>
    <s v="143322"/>
    <s v="TN"/>
    <s v="Adhir Samal"/>
    <s v="03/04/2022"/>
    <s v="Order"/>
    <s v="Standard ATX motherboard"/>
    <s v="Printer"/>
    <s v="Gigabyte"/>
    <n v="7650"/>
    <n v="9945"/>
    <n v="1"/>
    <n v="7650"/>
    <n v="9945"/>
    <s v="Roshan Kumar"/>
    <n v="11700"/>
  </r>
  <r>
    <s v="143323"/>
    <s v="TR"/>
    <s v="Dannana Jhammi"/>
    <s v="03/04/2022"/>
    <s v="Processing"/>
    <s v="Compact with 1 Fan"/>
    <s v="Cabinet"/>
    <s v="Asus"/>
    <n v="1150"/>
    <n v="1495"/>
    <n v="1"/>
    <n v="1150"/>
    <n v="1495"/>
    <s v="Aarvi Gupta"/>
    <n v="2990"/>
  </r>
  <r>
    <s v="143324"/>
    <s v="MH"/>
    <s v="Vipin Kumar"/>
    <s v="03/04/2022"/>
    <s v="Delivered"/>
    <s v="USB Backlight Keyboard"/>
    <s v="Keyboard"/>
    <s v="Dell"/>
    <n v="850"/>
    <n v="1105"/>
    <n v="3"/>
    <n v="2550"/>
    <n v="3315"/>
    <s v="Aarvi Gupta"/>
    <n v="3315"/>
  </r>
  <r>
    <s v="143325"/>
    <s v="CH"/>
    <s v="Ranjeet Kumar"/>
    <s v="03/04/2022"/>
    <s v="Shipped"/>
    <s v="Ergonomic Mouse"/>
    <s v="Mouse"/>
    <s v="Samsung"/>
    <n v="650"/>
    <n v="845"/>
    <n v="3"/>
    <n v="1950"/>
    <n v="2535"/>
    <s v="Aarvi Gupta"/>
    <n v="1690"/>
  </r>
  <r>
    <s v="143326"/>
    <s v="DH"/>
    <s v="Sajal Singhal"/>
    <s v="03/04/2022"/>
    <s v="Order"/>
    <s v="15&quot; LCD Dsipaly"/>
    <s v="Monitor"/>
    <s v="Dell"/>
    <n v="7500"/>
    <n v="9750"/>
    <n v="2"/>
    <n v="15000"/>
    <n v="19500"/>
    <s v="Aarvi Gupta"/>
    <n v="9750"/>
  </r>
  <r>
    <s v="143327"/>
    <s v="DD"/>
    <s v="Akhilesh Kumar"/>
    <s v="03/04/2022"/>
    <s v="Processing"/>
    <s v="118 TB HDD"/>
    <s v="HDD"/>
    <s v="Seagate"/>
    <n v="10000"/>
    <n v="13000"/>
    <n v="4"/>
    <n v="40000"/>
    <n v="52000"/>
    <s v="Aarvi Gupta"/>
    <n v="39000"/>
  </r>
  <r>
    <s v="143328"/>
    <s v="DL"/>
    <s v="Suvankar Chakraborty"/>
    <s v="03/04/2022"/>
    <s v="Delivered"/>
    <s v="117 TB SSD"/>
    <s v="SSD"/>
    <s v="Samsung"/>
    <n v="10500"/>
    <n v="13650"/>
    <n v="2"/>
    <n v="21000"/>
    <n v="27300"/>
    <s v="Aarvi Gupta"/>
    <n v="8450"/>
  </r>
  <r>
    <s v="143329"/>
    <s v="LD"/>
    <s v="Suvankar Adhikary"/>
    <s v="03/04/2022"/>
    <s v="Shipped"/>
    <s v="Intel i5 12th gen."/>
    <s v="CPU"/>
    <s v="Intel"/>
    <n v="8500"/>
    <n v="11050"/>
    <n v="3"/>
    <n v="25500"/>
    <n v="33150"/>
    <s v="Aarvi Gupta"/>
    <n v="33150"/>
  </r>
  <r>
    <s v="143330"/>
    <s v="PY"/>
    <s v="Rahul Kumar Prajapati"/>
    <s v="03/04/2022"/>
    <s v="Order"/>
    <s v="2GB Graphic Card"/>
    <s v="Graphic Card"/>
    <s v="Nvidia"/>
    <n v="7000"/>
    <n v="9100"/>
    <n v="2"/>
    <n v="14000"/>
    <n v="18200"/>
    <s v="Aarvi Gupta"/>
    <n v="18200"/>
  </r>
  <r>
    <s v="143331"/>
    <s v="AP"/>
    <s v="Sagar Jeur"/>
    <s v="03/04/2022"/>
    <s v="Processing"/>
    <s v="120 GB DDR4 Ram"/>
    <s v="NIC"/>
    <s v="Hynix"/>
    <n v="1680"/>
    <n v="2184"/>
    <n v="4"/>
    <n v="6720"/>
    <n v="8736"/>
    <s v="Aarvi Gupta"/>
    <n v="9100"/>
  </r>
  <r>
    <s v="143332"/>
    <s v="AR"/>
    <s v="Rhushikesh Mane"/>
    <s v="03/04/2022"/>
    <s v="Delivered"/>
    <s v="Micro ATX motherboard"/>
    <s v="Printer"/>
    <s v="MSI"/>
    <n v="6540"/>
    <n v="8502"/>
    <n v="2"/>
    <n v="13080"/>
    <n v="17004"/>
    <s v="Aarvi Gupta"/>
    <n v="11700"/>
  </r>
  <r>
    <s v="143333"/>
    <s v="AS"/>
    <s v="Ashish Kumar"/>
    <s v="03/04/2022"/>
    <s v="Shipped"/>
    <s v="Gaming Box Cabinet"/>
    <s v="Cabinet"/>
    <s v="Asus"/>
    <n v="2680"/>
    <n v="3484"/>
    <n v="3"/>
    <n v="8040"/>
    <n v="10452"/>
    <s v="Ajay Sharma"/>
    <n v="2990"/>
  </r>
  <r>
    <s v="143334"/>
    <s v="BR"/>
    <s v="Javed Akhter"/>
    <s v="03/04/2022"/>
    <s v="Order"/>
    <s v="17&quot; LCD Display"/>
    <s v="Monitor"/>
    <s v="Samsung"/>
    <n v="8250"/>
    <n v="10725"/>
    <n v="3"/>
    <n v="24750"/>
    <n v="32175"/>
    <s v="Roshan Kumar"/>
    <n v="9750"/>
  </r>
  <r>
    <s v="143335"/>
    <s v="CG"/>
    <s v="Haridas Balraj"/>
    <s v="03/04/2022"/>
    <s v="Processing"/>
    <s v="124 GB DDR4 RAM"/>
    <s v="RAM"/>
    <s v="Samsung"/>
    <n v="2650"/>
    <n v="3445"/>
    <n v="1"/>
    <n v="2650"/>
    <n v="3445"/>
    <s v="Aarvi Gupta"/>
    <n v="25545"/>
  </r>
  <r>
    <s v="143336"/>
    <s v="GA"/>
    <s v="Kundan Kumar"/>
    <s v="03/04/2022"/>
    <s v="Delivered"/>
    <s v="26&quot; LCD Display"/>
    <s v="Monitor"/>
    <s v="Acer"/>
    <n v="12550"/>
    <n v="16315"/>
    <n v="4"/>
    <n v="50200"/>
    <n v="65260"/>
    <s v="Vijay Singh"/>
    <n v="9750"/>
  </r>
  <r>
    <s v="143337"/>
    <s v="GJ"/>
    <s v="Atif Siddiqui"/>
    <s v="03/04/2022"/>
    <s v="Shipped"/>
    <s v="I7 - intel 12th Generation"/>
    <s v="CPU"/>
    <s v="Intel"/>
    <n v="14500"/>
    <n v="18850"/>
    <n v="2"/>
    <n v="29000"/>
    <n v="37700"/>
    <s v="Aadil Khan"/>
    <n v="33150"/>
  </r>
  <r>
    <s v="143338"/>
    <s v="HR"/>
    <s v="Aditya Agarwal"/>
    <s v="03/04/2022"/>
    <s v="Order"/>
    <s v="USB Keyboard"/>
    <s v="Keyboard"/>
    <s v="Dell"/>
    <n v="800"/>
    <n v="1040"/>
    <n v="4"/>
    <n v="3200"/>
    <n v="4160"/>
    <s v="Advika Joshi"/>
    <n v="3315"/>
  </r>
  <r>
    <s v="143339"/>
    <s v="HP"/>
    <s v="Firdoush Jabee"/>
    <s v="03/04/2022"/>
    <s v="Processing"/>
    <s v="Wireless Mouse"/>
    <s v="Mouse"/>
    <s v="Samsung"/>
    <n v="600"/>
    <n v="780"/>
    <n v="4"/>
    <n v="2400"/>
    <n v="3120"/>
    <s v="Ajay Sharma"/>
    <n v="1690"/>
  </r>
  <r>
    <s v="143340"/>
    <s v="JK"/>
    <s v="Jay Prakash Kumar"/>
    <s v="03/04/2022"/>
    <s v="Delivered"/>
    <s v="21&quot; LCD Display"/>
    <s v="Monitor"/>
    <s v="Dell"/>
    <n v="10500"/>
    <n v="13650"/>
    <n v="4"/>
    <n v="42000"/>
    <n v="54600"/>
    <s v="Roshan Kumar"/>
    <n v="9750"/>
  </r>
  <r>
    <s v="143341"/>
    <s v="JH"/>
    <s v="Ashish Pandey"/>
    <s v="03/04/2022"/>
    <s v="Shipped"/>
    <s v="118 TB HDD"/>
    <s v="HDD"/>
    <s v="Western Digital"/>
    <n v="6500"/>
    <n v="8450"/>
    <n v="4"/>
    <n v="26000"/>
    <n v="33800"/>
    <s v="Aarvi Gupta"/>
    <n v="39000"/>
  </r>
  <r>
    <s v="143342"/>
    <s v="KA"/>
    <s v="Ajay Sharma"/>
    <s v="03/04/2022"/>
    <s v="Order"/>
    <s v="373 GB SSD"/>
    <s v="SSD"/>
    <s v="Samsung"/>
    <n v="4500"/>
    <n v="5850"/>
    <n v="3"/>
    <n v="13500"/>
    <n v="17550"/>
    <s v="Vijay Singh"/>
    <n v="8450"/>
  </r>
  <r>
    <s v="143343"/>
    <s v="KL"/>
    <s v="Moinuddin Saifi"/>
    <s v="03/04/2022"/>
    <s v="Processing"/>
    <s v="Intel i3 11th gen."/>
    <s v="CPU"/>
    <s v="Intel"/>
    <n v="8500"/>
    <n v="11050"/>
    <n v="4"/>
    <n v="34000"/>
    <n v="44200"/>
    <s v="Aadil Khan"/>
    <n v="33150"/>
  </r>
  <r>
    <s v="143344"/>
    <s v="MP"/>
    <s v="Ramkrishna Das Adhikary"/>
    <s v="03/04/2022"/>
    <s v="Delivered"/>
    <s v="4GB Graphic card"/>
    <s v="Graphic Card"/>
    <s v="Nvidia"/>
    <n v="12500"/>
    <n v="16250"/>
    <n v="3"/>
    <n v="37500"/>
    <n v="48750"/>
    <s v="Aarvi Gupta"/>
    <n v="18200"/>
  </r>
  <r>
    <s v="143345"/>
    <s v="MH"/>
    <s v="Ranjeet Mandal"/>
    <s v="03/04/2022"/>
    <s v="Shipped"/>
    <s v="125 GB DDR4 RAM"/>
    <s v="RAM"/>
    <s v="Hynix"/>
    <n v="3500"/>
    <n v="4550"/>
    <n v="3"/>
    <n v="10500"/>
    <n v="13650"/>
    <s v="Aarvi Gupta"/>
    <n v="25545"/>
  </r>
  <r>
    <s v="143346"/>
    <s v="MN"/>
    <s v="Ashwini Adsare"/>
    <s v="03/04/2022"/>
    <s v="Order"/>
    <s v="BTX motherboard"/>
    <s v="MotherBoard"/>
    <s v="Gigabyte"/>
    <n v="4500"/>
    <n v="5850"/>
    <n v="3"/>
    <n v="13500"/>
    <n v="17550"/>
    <s v="Aarvi Gupta"/>
    <n v="39780"/>
  </r>
  <r>
    <s v="143347"/>
    <s v="ML"/>
    <s v="Rajesh Variya"/>
    <s v="03/04/2022"/>
    <s v="Processing"/>
    <s v="120 Fans Cabinet"/>
    <s v="Cabinet"/>
    <s v="Asus"/>
    <n v="2100"/>
    <n v="2730"/>
    <n v="4"/>
    <n v="8400"/>
    <n v="10920"/>
    <s v="Aarvi Gupta"/>
    <n v="2990"/>
  </r>
  <r>
    <s v="143348"/>
    <s v="MZ"/>
    <s v="Amit Singh"/>
    <s v="03/04/2022"/>
    <s v="Delivered"/>
    <s v="Wireless Keyboard"/>
    <s v="Keyboard"/>
    <s v="Dell"/>
    <n v="1150"/>
    <n v="1495"/>
    <n v="2"/>
    <n v="2300"/>
    <n v="2990"/>
    <s v="Aarvi Gupta"/>
    <n v="3315"/>
  </r>
  <r>
    <s v="143349"/>
    <s v="NL"/>
    <s v="Vinod Mehta"/>
    <s v="03/04/2022"/>
    <s v="Shipped"/>
    <s v="USB Mouse"/>
    <s v="Mouse"/>
    <s v="Samsung"/>
    <n v="350"/>
    <n v="455"/>
    <n v="1"/>
    <n v="350"/>
    <n v="455"/>
    <s v="Aarvi Gupta"/>
    <n v="1690"/>
  </r>
  <r>
    <s v="143350"/>
    <s v="OR"/>
    <s v="Jignesh Mhatre"/>
    <s v="03/04/2022"/>
    <s v="Order"/>
    <s v="19&quot; LED Display"/>
    <s v="Monitor"/>
    <s v="Dell"/>
    <n v="9500"/>
    <n v="12350"/>
    <n v="4"/>
    <n v="38000"/>
    <n v="49400"/>
    <s v="Aarvi Gupta"/>
    <n v="9750"/>
  </r>
  <r>
    <s v="143351"/>
    <s v="PB"/>
    <s v="Rahul Kashyap"/>
    <s v="03/04/2022"/>
    <s v="Processing"/>
    <s v="119 TB HDD"/>
    <s v="HDD"/>
    <s v="Western Digital"/>
    <n v="10000"/>
    <n v="13000"/>
    <n v="4"/>
    <n v="40000"/>
    <n v="52000"/>
    <s v="Aarvi Gupta"/>
    <n v="39000"/>
  </r>
  <r>
    <s v="143352"/>
    <s v="RJ"/>
    <s v="Mohammed Abdul Kaleem"/>
    <s v="03/04/2022"/>
    <s v="Delivered"/>
    <s v="629 GB M.2"/>
    <s v="SSD"/>
    <s v="Samsung"/>
    <n v="6500"/>
    <n v="8450"/>
    <n v="3"/>
    <n v="19500"/>
    <n v="25350"/>
    <s v="Aarvi Gupta"/>
    <n v="8450"/>
  </r>
  <r>
    <s v="143353"/>
    <s v="SK"/>
    <s v="Chandrakant Kasbe"/>
    <s v="03/04/2022"/>
    <s v="Shipped"/>
    <s v="RYZEN 3rd gen. 3617"/>
    <s v="CPU"/>
    <s v="Intel"/>
    <n v="8500"/>
    <n v="11050"/>
    <n v="1"/>
    <n v="8500"/>
    <n v="11050"/>
    <s v="Aarvi Gupta"/>
    <n v="33150"/>
  </r>
  <r>
    <s v="143354"/>
    <s v="TN"/>
    <s v="Rohan Kale"/>
    <s v="03/04/2022"/>
    <s v="Order"/>
    <s v="2GB Graphic Card"/>
    <s v="Graphic Card"/>
    <s v="Nvidia"/>
    <n v="7000"/>
    <n v="9100"/>
    <n v="2"/>
    <n v="14000"/>
    <n v="18200"/>
    <s v="Vijay Singh"/>
    <n v="18200"/>
  </r>
  <r>
    <s v="143355"/>
    <s v="TR"/>
    <s v="Aniruddha Kekapure"/>
    <s v="03/04/2022"/>
    <s v="Processing"/>
    <s v="133 GB DDR4 RAM"/>
    <s v="RAM"/>
    <s v="Hynix"/>
    <n v="6550"/>
    <n v="8515"/>
    <n v="4"/>
    <n v="26200"/>
    <n v="34060"/>
    <s v="Aadil Khan"/>
    <n v="25545"/>
  </r>
  <r>
    <s v="143356"/>
    <s v="UK"/>
    <s v="Aslam Raza"/>
    <s v="03/04/2022"/>
    <s v="Delivered"/>
    <s v="Standard ATX motherboard"/>
    <s v="MotherBoard"/>
    <s v="Gigabyte"/>
    <n v="7650"/>
    <n v="9945"/>
    <n v="3"/>
    <n v="22950"/>
    <n v="29835"/>
    <s v="Advika Joshi"/>
    <n v="39780"/>
  </r>
  <r>
    <s v="143357"/>
    <s v="UP"/>
    <s v="Roshan Zameer"/>
    <s v="03/04/2022"/>
    <s v="Shipped"/>
    <s v="Compact with 1 Fan"/>
    <s v="Cabinet"/>
    <s v="Asus"/>
    <n v="1150"/>
    <n v="1495"/>
    <n v="4"/>
    <n v="4600"/>
    <n v="5980"/>
    <s v="Ajay Sharma"/>
    <n v="2990"/>
  </r>
  <r>
    <s v="143358"/>
    <s v="WB"/>
    <s v="Rakesh Kumar Sharma"/>
    <s v="03/04/2022"/>
    <s v="Order"/>
    <s v="USB Backlight Keyboard"/>
    <s v="Keyboard"/>
    <s v="Dell"/>
    <n v="850"/>
    <n v="1105"/>
    <n v="3"/>
    <n v="2550"/>
    <n v="3315"/>
    <s v="Roshan Kumar"/>
    <n v="3315"/>
  </r>
  <r>
    <s v="143359"/>
    <s v="TN"/>
    <s v="Shivanand Sahani"/>
    <s v="03/04/2022"/>
    <s v="Processing"/>
    <s v="Ergonomic Mouse"/>
    <s v="Mouse"/>
    <s v="Samsung"/>
    <n v="650"/>
    <n v="845"/>
    <n v="4"/>
    <n v="2600"/>
    <n v="3380"/>
    <s v="Aarvi Gupta"/>
    <n v="1690"/>
  </r>
  <r>
    <s v="143360"/>
    <s v="TR"/>
    <s v="Kunal Patra"/>
    <s v="03/04/2022"/>
    <s v="Delivered"/>
    <s v="15&quot; LCD Dsipaly"/>
    <s v="Monitor"/>
    <s v="Dell"/>
    <n v="7500"/>
    <n v="9750"/>
    <n v="4"/>
    <n v="30000"/>
    <n v="39000"/>
    <s v="Vijay Singh"/>
    <n v="9750"/>
  </r>
  <r>
    <s v="143361"/>
    <s v="MH"/>
    <s v="Bijendra"/>
    <s v="03/04/2022"/>
    <s v="Shipped"/>
    <s v="119 TB HDD"/>
    <s v="HDD"/>
    <s v="Seagate"/>
    <n v="10000"/>
    <n v="13000"/>
    <n v="4"/>
    <n v="40000"/>
    <n v="52000"/>
    <s v="Aadil Khan"/>
    <n v="39000"/>
  </r>
  <r>
    <s v="143362"/>
    <s v="CH"/>
    <s v="Kranti Bheke"/>
    <s v="03/04/2022"/>
    <s v="Order"/>
    <s v="118 TB SSD"/>
    <s v="SSD"/>
    <s v="Samsung"/>
    <n v="10500"/>
    <n v="13650"/>
    <n v="4"/>
    <n v="42000"/>
    <n v="54600"/>
    <s v="Advika Joshi"/>
    <n v="8450"/>
  </r>
  <r>
    <s v="143363"/>
    <s v="DH"/>
    <s v="Jagdeep"/>
    <s v="03/04/2022"/>
    <s v="Processing"/>
    <s v="Intel i5 12th gen."/>
    <s v="CPU"/>
    <s v="Intel"/>
    <n v="8500"/>
    <n v="11050"/>
    <n v="1"/>
    <n v="8500"/>
    <n v="11050"/>
    <s v="Ajay Sharma"/>
    <n v="33150"/>
  </r>
  <r>
    <s v="143364"/>
    <s v="DD"/>
    <s v="Adhir Samal"/>
    <s v="03/04/2022"/>
    <s v="Delivered"/>
    <s v="2GB Graphic Card"/>
    <s v="Graphic Card"/>
    <s v="Nvidia"/>
    <n v="7000"/>
    <n v="9100"/>
    <n v="3"/>
    <n v="21000"/>
    <n v="27300"/>
    <s v="Roshan Kumar"/>
    <n v="18200"/>
  </r>
  <r>
    <s v="143365"/>
    <s v="DL"/>
    <s v="Dannana Jhammi"/>
    <s v="03/04/2022"/>
    <s v="Shipped"/>
    <s v="121 GB DDR4 Ram"/>
    <s v="RAM"/>
    <s v="Hynix"/>
    <n v="1680"/>
    <n v="2184"/>
    <n v="2"/>
    <n v="3360"/>
    <n v="4368"/>
    <s v="Aarvi Gupta"/>
    <n v="25545"/>
  </r>
  <r>
    <s v="143366"/>
    <s v="LD"/>
    <s v="Vipin Kumar"/>
    <s v="03/04/2022"/>
    <s v="Order"/>
    <s v="Micro ATX motherboard"/>
    <s v="MotherBoard"/>
    <s v="MSI"/>
    <n v="6540"/>
    <n v="8502"/>
    <n v="3"/>
    <n v="19620"/>
    <n v="25506"/>
    <s v="Vijay Singh"/>
    <n v="39780"/>
  </r>
  <r>
    <s v="143367"/>
    <s v="PY"/>
    <s v="Ranjeet Kumar"/>
    <s v="03/04/2022"/>
    <s v="Processing"/>
    <s v="Gaming Box Cabinet"/>
    <s v="Cabinet"/>
    <s v="Asus"/>
    <n v="2680"/>
    <n v="3484"/>
    <n v="2"/>
    <n v="5360"/>
    <n v="6968"/>
    <s v="Aadil Khan"/>
    <n v="2990"/>
  </r>
  <r>
    <s v="143368"/>
    <s v="AP"/>
    <s v="Sajal Singhal"/>
    <s v="03/04/2022"/>
    <s v="Delivered"/>
    <s v="17&quot; LCD Display"/>
    <s v="Monitor"/>
    <s v="Samsung"/>
    <n v="8250"/>
    <n v="10725"/>
    <n v="2"/>
    <n v="16500"/>
    <n v="21450"/>
    <s v="Advika Joshi"/>
    <n v="9750"/>
  </r>
  <r>
    <s v="143369"/>
    <s v="AR"/>
    <s v="Akhilesh Kumar"/>
    <s v="03/04/2022"/>
    <s v="Shipped"/>
    <s v="125 GB DDR4 RAM"/>
    <s v="RAM"/>
    <s v="Samsung"/>
    <n v="2650"/>
    <n v="3445"/>
    <n v="3"/>
    <n v="7950"/>
    <n v="10335"/>
    <s v="Ajay Sharma"/>
    <n v="25545"/>
  </r>
  <r>
    <s v="143370"/>
    <s v="AS"/>
    <s v="Suvankar Chakraborty"/>
    <s v="03/04/2022"/>
    <s v="Order"/>
    <s v="26&quot; LCD Display"/>
    <s v="Monitor"/>
    <s v="Acer"/>
    <n v="12550"/>
    <n v="16315"/>
    <n v="4"/>
    <n v="50200"/>
    <n v="65260"/>
    <s v="Roshan Kumar"/>
    <n v="9750"/>
  </r>
  <r>
    <s v="143371"/>
    <s v="BR"/>
    <s v="Suvankar Adhikary"/>
    <s v="03/04/2022"/>
    <s v="Processing"/>
    <s v="I7 - intel 12th Generation"/>
    <s v="CPU"/>
    <s v="Intel"/>
    <n v="14500"/>
    <n v="18850"/>
    <n v="4"/>
    <n v="58000"/>
    <n v="75400"/>
    <s v="Aarvi Gupta"/>
    <n v="33150"/>
  </r>
  <r>
    <s v="143372"/>
    <s v="CG"/>
    <s v="Rahul Kumar Prajapati"/>
    <s v="03/04/2022"/>
    <s v="Delivered"/>
    <s v="USB Keyboard"/>
    <s v="Keyboard"/>
    <s v="Dell"/>
    <n v="800"/>
    <n v="1040"/>
    <n v="2"/>
    <n v="1600"/>
    <n v="2080"/>
    <s v="Vijay Singh"/>
    <n v="3315"/>
  </r>
  <r>
    <s v="143373"/>
    <s v="GA"/>
    <s v="Sagar Jeur"/>
    <s v="03/04/2022"/>
    <s v="Shipped"/>
    <s v="Wireless Mouse"/>
    <s v="Mouse"/>
    <s v="Samsung"/>
    <n v="600"/>
    <n v="780"/>
    <n v="3"/>
    <n v="1800"/>
    <n v="2340"/>
    <s v="Aadil Khan"/>
    <n v="1690"/>
  </r>
  <r>
    <s v="143374"/>
    <s v="GJ"/>
    <s v="Rhushikesh Mane"/>
    <s v="03/04/2022"/>
    <s v="Order"/>
    <s v="21&quot; LCD Display"/>
    <s v="Monitor"/>
    <s v="Dell"/>
    <n v="10500"/>
    <n v="13650"/>
    <n v="1"/>
    <n v="10500"/>
    <n v="13650"/>
    <s v="Advika Joshi"/>
    <n v="9750"/>
  </r>
  <r>
    <s v="143375"/>
    <s v="HR"/>
    <s v="Ashish Kumar"/>
    <s v="03/04/2022"/>
    <s v="Processing"/>
    <s v="119 TB HDD"/>
    <s v="HDD"/>
    <s v="Western Digital"/>
    <n v="6500"/>
    <n v="8450"/>
    <n v="2"/>
    <n v="13000"/>
    <n v="16900"/>
    <s v="Ajay Sharma"/>
    <n v="39000"/>
  </r>
  <r>
    <s v="143376"/>
    <s v="HP"/>
    <s v="Javed Akhter"/>
    <s v="03/04/2022"/>
    <s v="Delivered"/>
    <s v="374 GB SSD"/>
    <s v="SSD"/>
    <s v="Samsung"/>
    <n v="4500"/>
    <n v="5850"/>
    <n v="3"/>
    <n v="13500"/>
    <n v="17550"/>
    <s v="Roshan Kumar"/>
    <n v="8450"/>
  </r>
  <r>
    <s v="143377"/>
    <s v="JK"/>
    <s v="Haridas Balraj"/>
    <s v="03/04/2022"/>
    <s v="Shipped"/>
    <s v="Intel i3 11th gen."/>
    <s v="CPU"/>
    <s v="Intel"/>
    <n v="8500"/>
    <n v="11050"/>
    <n v="4"/>
    <n v="34000"/>
    <n v="44200"/>
    <s v="Aarvi Gupta"/>
    <n v="33150"/>
  </r>
  <r>
    <s v="143378"/>
    <s v="JH"/>
    <s v="Kundan Kumar"/>
    <s v="03/04/2022"/>
    <s v="Order"/>
    <s v="4GB Graphic card"/>
    <s v="Graphic Card"/>
    <s v="Nvidia"/>
    <n v="12500"/>
    <n v="16250"/>
    <n v="3"/>
    <n v="37500"/>
    <n v="48750"/>
    <s v="Aarvi Gupta"/>
    <n v="18200"/>
  </r>
  <r>
    <s v="143379"/>
    <s v="KA"/>
    <s v="Atif Siddiqui"/>
    <s v="03/04/2022"/>
    <s v="Processing"/>
    <s v="126 GB DDR4 RAM"/>
    <s v="Computer Case"/>
    <s v="Hynix"/>
    <n v="3500"/>
    <n v="4550"/>
    <n v="4"/>
    <n v="14000"/>
    <n v="18200"/>
    <s v="Aarvi Gupta"/>
    <n v="13650"/>
  </r>
  <r>
    <s v="143380"/>
    <s v="KL"/>
    <s v="Aditya Agarwal"/>
    <s v="03/04/2022"/>
    <s v="Delivered"/>
    <s v="BTX motherboard"/>
    <s v="Mouse"/>
    <s v="Gigabyte"/>
    <n v="4500"/>
    <n v="5850"/>
    <n v="1"/>
    <n v="4500"/>
    <n v="5850"/>
    <s v="Aarvi Gupta"/>
    <n v="1690"/>
  </r>
  <r>
    <s v="143381"/>
    <s v="MP"/>
    <s v="Firdoush Jabee"/>
    <s v="03/04/2022"/>
    <s v="Shipped"/>
    <s v="121 Fans Cabinet"/>
    <s v="Cabinet"/>
    <s v="Asus"/>
    <n v="2100"/>
    <n v="2730"/>
    <n v="1"/>
    <n v="2100"/>
    <n v="2730"/>
    <s v="Aarvi Gupta"/>
    <n v="2990"/>
  </r>
  <r>
    <s v="143382"/>
    <s v="MH"/>
    <s v="Jay Prakash Kumar"/>
    <s v="03/04/2022"/>
    <s v="Order"/>
    <s v="Wireless Keyboard"/>
    <s v="Keyboard"/>
    <s v="Dell"/>
    <n v="1150"/>
    <n v="1495"/>
    <n v="1"/>
    <n v="1150"/>
    <n v="1495"/>
    <s v="Aarvi Gupta"/>
    <n v="3315"/>
  </r>
  <r>
    <s v="143383"/>
    <s v="MN"/>
    <s v="Ashish Pandey"/>
    <s v="03/04/2022"/>
    <s v="Processing"/>
    <s v="USB Mouse"/>
    <s v="Mouse"/>
    <s v="Samsung"/>
    <n v="350"/>
    <n v="455"/>
    <n v="4"/>
    <n v="1400"/>
    <n v="1820"/>
    <s v="Aarvi Gupta"/>
    <n v="1690"/>
  </r>
  <r>
    <s v="143384"/>
    <s v="ML"/>
    <s v="Ajay Sharma"/>
    <s v="03/04/2022"/>
    <s v="Delivered"/>
    <s v="19&quot; LED Display"/>
    <s v="Monitor"/>
    <s v="Dell"/>
    <n v="9500"/>
    <n v="12350"/>
    <n v="3"/>
    <n v="28500"/>
    <n v="37050"/>
    <s v="Aarvi Gupta"/>
    <n v="9750"/>
  </r>
  <r>
    <s v="143385"/>
    <s v="MZ"/>
    <s v="Moinuddin Saifi"/>
    <s v="03/04/2022"/>
    <s v="Shipped"/>
    <s v="120 TB HDD"/>
    <s v="HDD"/>
    <s v="Western Digital"/>
    <n v="10000"/>
    <n v="13000"/>
    <n v="2"/>
    <n v="20000"/>
    <n v="26000"/>
    <s v="Aarvi Gupta"/>
    <n v="39000"/>
  </r>
  <r>
    <s v="143386"/>
    <s v="NL"/>
    <s v="Ramkrishna Das Adhikary"/>
    <s v="03/04/2022"/>
    <s v="Order"/>
    <s v="630 GB M.2"/>
    <s v="SSD"/>
    <s v="Samsung"/>
    <n v="6500"/>
    <n v="8450"/>
    <n v="2"/>
    <n v="13000"/>
    <n v="16900"/>
    <s v="Aarvi Gupta"/>
    <n v="8450"/>
  </r>
  <r>
    <s v="143387"/>
    <s v="OR"/>
    <s v="Ranjeet Mandal"/>
    <s v="03/04/2022"/>
    <s v="Processing"/>
    <s v="RYZEN 3rd gen. 3618"/>
    <s v="CPU"/>
    <s v="Intel"/>
    <n v="8500"/>
    <n v="11050"/>
    <n v="1"/>
    <n v="8500"/>
    <n v="11050"/>
    <s v="Aarvi Gupta"/>
    <n v="33150"/>
  </r>
  <r>
    <s v="143388"/>
    <s v="PB"/>
    <s v="Ashwini Adsare"/>
    <s v="03/04/2022"/>
    <s v="Delivered"/>
    <s v="2GB Graphic Card"/>
    <s v="Graphic Card"/>
    <s v="Nvidia"/>
    <n v="7000"/>
    <n v="9100"/>
    <n v="3"/>
    <n v="21000"/>
    <n v="27300"/>
    <s v="Roshan Kumar"/>
    <n v="18200"/>
  </r>
  <r>
    <s v="143389"/>
    <s v="RJ"/>
    <s v="Rajesh Variya"/>
    <s v="03/04/2022"/>
    <s v="Shipped"/>
    <s v="134 GB DDR4 RAM"/>
    <s v="Computer Case"/>
    <s v="Hynix"/>
    <n v="6550"/>
    <n v="8515"/>
    <n v="4"/>
    <n v="26200"/>
    <n v="34060"/>
    <s v="Aarvi Gupta"/>
    <n v="13650"/>
  </r>
  <r>
    <s v="143390"/>
    <s v="SK"/>
    <s v="Amit Singh"/>
    <s v="03/04/2022"/>
    <s v="Order"/>
    <s v="Standard ATX motherboard"/>
    <s v="Mouse"/>
    <s v="Gigabyte"/>
    <n v="7650"/>
    <n v="9945"/>
    <n v="1"/>
    <n v="7650"/>
    <n v="9945"/>
    <s v="Vijay Singh"/>
    <n v="1690"/>
  </r>
  <r>
    <s v="143391"/>
    <s v="TN"/>
    <s v="Vinod Mehta"/>
    <s v="03/04/2022"/>
    <s v="Processing"/>
    <s v="Compact with 1 Fan"/>
    <s v="Cabinet"/>
    <s v="Asus"/>
    <n v="1150"/>
    <n v="1495"/>
    <n v="3"/>
    <n v="3450"/>
    <n v="4485"/>
    <s v="Aadil Khan"/>
    <n v="2990"/>
  </r>
  <r>
    <s v="143392"/>
    <s v="TR"/>
    <s v="Jignesh Mhatre"/>
    <s v="03/04/2022"/>
    <s v="Delivered"/>
    <s v="USB Backlight Keyboard"/>
    <s v="Keyboard"/>
    <s v="Dell"/>
    <n v="850"/>
    <n v="1105"/>
    <n v="4"/>
    <n v="3400"/>
    <n v="4420"/>
    <s v="Advika Joshi"/>
    <n v="3315"/>
  </r>
  <r>
    <s v="143393"/>
    <s v="UK"/>
    <s v="Rahul Kashyap"/>
    <s v="03/04/2022"/>
    <s v="Shipped"/>
    <s v="Ergonomic Mouse"/>
    <s v="Mouse"/>
    <s v="Samsung"/>
    <n v="650"/>
    <n v="845"/>
    <n v="1"/>
    <n v="650"/>
    <n v="845"/>
    <s v="Ajay Sharma"/>
    <n v="1690"/>
  </r>
  <r>
    <s v="143394"/>
    <s v="UP"/>
    <s v="Mohammed Abdul Kaleem"/>
    <s v="03/04/2022"/>
    <s v="Order"/>
    <s v="15&quot; LCD Dsipaly"/>
    <s v="Monitor"/>
    <s v="Dell"/>
    <n v="7500"/>
    <n v="9750"/>
    <n v="4"/>
    <n v="30000"/>
    <n v="39000"/>
    <s v="Roshan Kumar"/>
    <n v="9750"/>
  </r>
  <r>
    <s v="143395"/>
    <s v="WB"/>
    <s v="Chandrakant Kasbe"/>
    <s v="03/04/2022"/>
    <s v="Processing"/>
    <s v="120 TB HDD"/>
    <s v="HDD"/>
    <s v="Seagate"/>
    <n v="10000"/>
    <n v="13000"/>
    <n v="3"/>
    <n v="30000"/>
    <n v="39000"/>
    <s v="Aarvi Gupta"/>
    <n v="39000"/>
  </r>
  <r>
    <s v="143396"/>
    <s v="TN"/>
    <s v="Rohan Kale"/>
    <s v="03/04/2022"/>
    <s v="Delivered"/>
    <s v="119 TB SSD"/>
    <s v="SSD"/>
    <s v="Samsung"/>
    <n v="10500"/>
    <n v="13650"/>
    <n v="2"/>
    <n v="21000"/>
    <n v="27300"/>
    <s v="Aarvi Gupta"/>
    <n v="8450"/>
  </r>
  <r>
    <s v="143397"/>
    <s v="TR"/>
    <s v="Aniruddha Kekapure"/>
    <s v="03/04/2022"/>
    <s v="Shipped"/>
    <s v="Intel i5 12th gen."/>
    <s v="CPU"/>
    <s v="Intel"/>
    <n v="8500"/>
    <n v="11050"/>
    <n v="4"/>
    <n v="34000"/>
    <n v="44200"/>
    <s v="Aarvi Gupta"/>
    <n v="33150"/>
  </r>
  <r>
    <s v="143398"/>
    <s v="MH"/>
    <s v="Aslam Raza"/>
    <s v="03/04/2022"/>
    <s v="Order"/>
    <s v="2GB Graphic Card"/>
    <s v="Graphic Card"/>
    <s v="Nvidia"/>
    <n v="7000"/>
    <n v="9100"/>
    <n v="4"/>
    <n v="28000"/>
    <n v="36400"/>
    <s v="Aarvi Gupta"/>
    <n v="18200"/>
  </r>
  <r>
    <s v="143399"/>
    <s v="CH"/>
    <s v="Roshan Zameer"/>
    <s v="03/04/2022"/>
    <s v="Processing"/>
    <s v="122 GB DDR4 Ram"/>
    <s v="Computer Case"/>
    <s v="Hynix"/>
    <n v="1680"/>
    <n v="2184"/>
    <n v="3"/>
    <n v="5040"/>
    <n v="6552"/>
    <s v="Aarvi Gupta"/>
    <n v="13650"/>
  </r>
  <r>
    <s v="143400"/>
    <s v="DH"/>
    <s v="Rakesh Kumar Sharma"/>
    <s v="03/04/2022"/>
    <s v="Delivered"/>
    <s v="Micro ATX motherboard"/>
    <s v="Mouse"/>
    <s v="MSI"/>
    <n v="6540"/>
    <n v="8502"/>
    <n v="1"/>
    <n v="6540"/>
    <n v="8502"/>
    <s v="Aarvi Gupta"/>
    <n v="1690"/>
  </r>
  <r>
    <s v="143401"/>
    <s v="DD"/>
    <s v="Shivanand Sahani"/>
    <s v="03/04/2022"/>
    <s v="Shipped"/>
    <s v="Gaming Box Cabinet"/>
    <s v="Cabinet"/>
    <s v="Asus"/>
    <n v="2680"/>
    <n v="3484"/>
    <n v="3"/>
    <n v="8040"/>
    <n v="10452"/>
    <s v="Aarvi Gupta"/>
    <n v="2990"/>
  </r>
  <r>
    <s v="143402"/>
    <s v="DL"/>
    <s v="Kunal Patra"/>
    <s v="03/04/2022"/>
    <s v="Order"/>
    <s v="17&quot; LCD Display"/>
    <s v="Monitor"/>
    <s v="Samsung"/>
    <n v="8250"/>
    <n v="10725"/>
    <n v="1"/>
    <n v="8250"/>
    <n v="10725"/>
    <s v="Aarvi Gupta"/>
    <n v="9750"/>
  </r>
  <r>
    <s v="143403"/>
    <s v="LD"/>
    <s v="Bijendra"/>
    <s v="03/04/2022"/>
    <s v="Processing"/>
    <s v="126 GB DDR4 RAM"/>
    <s v="RAM"/>
    <s v="Samsung"/>
    <n v="2650"/>
    <n v="3445"/>
    <n v="3"/>
    <n v="7950"/>
    <n v="10335"/>
    <s v="Aarvi Gupta"/>
    <n v="25545"/>
  </r>
  <r>
    <s v="143404"/>
    <s v="PY"/>
    <s v="Kranti Bheke"/>
    <s v="03/04/2022"/>
    <s v="Delivered"/>
    <s v="26&quot; LCD Display"/>
    <s v="Monitor"/>
    <s v="Acer"/>
    <n v="12550"/>
    <n v="16315"/>
    <n v="3"/>
    <n v="37650"/>
    <n v="48945"/>
    <s v="Aarvi Gupta"/>
    <n v="9750"/>
  </r>
  <r>
    <s v="143405"/>
    <s v="AP"/>
    <s v="Jagdeep"/>
    <s v="03/04/2022"/>
    <s v="Shipped"/>
    <s v="I7 - intel 12th Generation"/>
    <s v="CPU"/>
    <s v="Intel"/>
    <n v="14500"/>
    <n v="18850"/>
    <n v="2"/>
    <n v="29000"/>
    <n v="37700"/>
    <s v="Aarvi Gupta"/>
    <n v="33150"/>
  </r>
  <r>
    <s v="143406"/>
    <s v="AR"/>
    <s v="Adhir Samal"/>
    <s v="03/04/2022"/>
    <s v="Order"/>
    <s v="USB Keyboard"/>
    <s v="Keyboard"/>
    <s v="Dell"/>
    <n v="800"/>
    <n v="1040"/>
    <n v="2"/>
    <n v="1600"/>
    <n v="2080"/>
    <s v="Roshan Kumar"/>
    <n v="3315"/>
  </r>
  <r>
    <s v="143407"/>
    <s v="AS"/>
    <s v="Dannana Jhammi"/>
    <s v="03/04/2022"/>
    <s v="Processing"/>
    <s v="Wireless Mouse"/>
    <s v="Mouse"/>
    <s v="Samsung"/>
    <n v="600"/>
    <n v="780"/>
    <n v="2"/>
    <n v="1200"/>
    <n v="1560"/>
    <s v="Aarvi Gupta"/>
    <n v="1690"/>
  </r>
  <r>
    <s v="143408"/>
    <s v="BR"/>
    <s v="Vipin Kumar"/>
    <s v="03/04/2022"/>
    <s v="Delivered"/>
    <s v="21&quot; LCD Display"/>
    <s v="Monitor"/>
    <s v="Dell"/>
    <n v="10500"/>
    <n v="13650"/>
    <n v="4"/>
    <n v="42000"/>
    <n v="54600"/>
    <s v="Vijay Singh"/>
    <n v="9750"/>
  </r>
  <r>
    <s v="143409"/>
    <s v="CG"/>
    <s v="Ranjeet Kumar"/>
    <s v="03/04/2022"/>
    <s v="Shipped"/>
    <s v="120 TB HDD"/>
    <s v="HDD"/>
    <s v="Western Digital"/>
    <n v="6500"/>
    <n v="8450"/>
    <n v="3"/>
    <n v="19500"/>
    <n v="25350"/>
    <s v="Aadil Khan"/>
    <n v="39000"/>
  </r>
  <r>
    <s v="143410"/>
    <s v="GA"/>
    <s v="Sajal Singhal"/>
    <s v="03/04/2022"/>
    <s v="Order"/>
    <s v="375 GB SSD"/>
    <s v="SSD"/>
    <s v="Samsung"/>
    <n v="4500"/>
    <n v="5850"/>
    <n v="4"/>
    <n v="18000"/>
    <n v="23400"/>
    <s v="Advika Joshi"/>
    <n v="8450"/>
  </r>
  <r>
    <s v="143411"/>
    <s v="GJ"/>
    <s v="Akhilesh Kumar"/>
    <s v="03/04/2022"/>
    <s v="Processing"/>
    <s v="Intel i3 11th gen."/>
    <s v="CPU"/>
    <s v="Intel"/>
    <n v="8500"/>
    <n v="11050"/>
    <n v="2"/>
    <n v="17000"/>
    <n v="22100"/>
    <s v="Ajay Sharma"/>
    <n v="33150"/>
  </r>
  <r>
    <s v="143412"/>
    <s v="HR"/>
    <s v="Suvankar Chakraborty"/>
    <s v="03/04/2022"/>
    <s v="Delivered"/>
    <s v="4GB Graphic card"/>
    <s v="Graphic Card"/>
    <s v="Nvidia"/>
    <n v="12500"/>
    <n v="16250"/>
    <n v="1"/>
    <n v="12500"/>
    <n v="16250"/>
    <s v="Roshan Kumar"/>
    <n v="18200"/>
  </r>
  <r>
    <s v="143413"/>
    <s v="HP"/>
    <s v="Suvankar Adhikary"/>
    <s v="03/04/2022"/>
    <s v="Shipped"/>
    <s v="127 GB DDR4 RAM"/>
    <s v="NIC"/>
    <s v="Hynix"/>
    <n v="3500"/>
    <n v="4550"/>
    <n v="4"/>
    <n v="14000"/>
    <n v="18200"/>
    <s v="Aarvi Gupta"/>
    <n v="9100"/>
  </r>
  <r>
    <s v="143414"/>
    <s v="JK"/>
    <s v="Rahul Kumar Prajapati"/>
    <s v="03/04/2022"/>
    <s v="Order"/>
    <s v="BTX motherboard"/>
    <s v="Printer"/>
    <s v="Gigabyte"/>
    <n v="4500"/>
    <n v="5850"/>
    <n v="3"/>
    <n v="13500"/>
    <n v="17550"/>
    <s v="Vijay Singh"/>
    <n v="11700"/>
  </r>
  <r>
    <s v="143415"/>
    <s v="JH"/>
    <s v="Sagar Jeur"/>
    <s v="03/04/2022"/>
    <s v="Processing"/>
    <s v="122 Fans Cabinet"/>
    <s v="Cabinet"/>
    <s v="Asus"/>
    <n v="2100"/>
    <n v="2730"/>
    <n v="1"/>
    <n v="2100"/>
    <n v="2730"/>
    <s v="Aadil Khan"/>
    <n v="2990"/>
  </r>
  <r>
    <s v="143416"/>
    <s v="KA"/>
    <s v="Rhushikesh Mane"/>
    <s v="03/04/2022"/>
    <s v="Delivered"/>
    <s v="Wireless Keyboard"/>
    <s v="Keyboard"/>
    <s v="Dell"/>
    <n v="1150"/>
    <n v="1495"/>
    <n v="2"/>
    <n v="2300"/>
    <n v="2990"/>
    <s v="Advika Joshi"/>
    <n v="3315"/>
  </r>
  <r>
    <s v="143417"/>
    <s v="KL"/>
    <s v="Ashish Kumar"/>
    <s v="03/04/2022"/>
    <s v="Shipped"/>
    <s v="USB Mouse"/>
    <s v="Mouse"/>
    <s v="Samsung"/>
    <n v="350"/>
    <n v="455"/>
    <n v="2"/>
    <n v="700"/>
    <n v="910"/>
    <s v="Ajay Sharma"/>
    <n v="1690"/>
  </r>
  <r>
    <s v="143418"/>
    <s v="MP"/>
    <s v="Javed Akhter"/>
    <s v="03/04/2022"/>
    <s v="Order"/>
    <s v="19&quot; LED Display"/>
    <s v="Monitor"/>
    <s v="Dell"/>
    <n v="9500"/>
    <n v="12350"/>
    <n v="4"/>
    <n v="38000"/>
    <n v="49400"/>
    <s v="Roshan Kumar"/>
    <n v="9750"/>
  </r>
  <r>
    <s v="143419"/>
    <s v="MH"/>
    <s v="Haridas Balraj"/>
    <s v="03/04/2022"/>
    <s v="Processing"/>
    <s v="121 TB HDD"/>
    <s v="HDD"/>
    <s v="Western Digital"/>
    <n v="10000"/>
    <n v="13000"/>
    <n v="3"/>
    <n v="30000"/>
    <n v="39000"/>
    <s v="Aarvi Gupta"/>
    <n v="39000"/>
  </r>
  <r>
    <s v="143420"/>
    <s v="MN"/>
    <s v="Kundan Kumar"/>
    <s v="03/04/2022"/>
    <s v="Delivered"/>
    <s v="631 GB M.2"/>
    <s v="SSD"/>
    <s v="Samsung"/>
    <n v="6500"/>
    <n v="8450"/>
    <n v="2"/>
    <n v="13000"/>
    <n v="16900"/>
    <s v="Aarvi Gupta"/>
    <n v="8450"/>
  </r>
  <r>
    <s v="143421"/>
    <s v="ML"/>
    <s v="Atif Siddiqui"/>
    <s v="03/04/2022"/>
    <s v="Shipped"/>
    <s v="RYZEN 3rd gen. 3619"/>
    <s v="CPU"/>
    <s v="Intel"/>
    <n v="8500"/>
    <n v="11050"/>
    <n v="1"/>
    <n v="8500"/>
    <n v="11050"/>
    <s v="Aarvi Gupta"/>
    <n v="33150"/>
  </r>
  <r>
    <s v="143422"/>
    <s v="MZ"/>
    <s v="Aditya Agarwal"/>
    <s v="03/04/2022"/>
    <s v="Order"/>
    <s v="2GB Graphic Card"/>
    <s v="Graphic Card"/>
    <s v="Nvidia"/>
    <n v="7000"/>
    <n v="9100"/>
    <n v="1"/>
    <n v="7000"/>
    <n v="9100"/>
    <s v="Aarvi Gupta"/>
    <n v="18200"/>
  </r>
  <r>
    <s v="143423"/>
    <s v="NL"/>
    <s v="Firdoush Jabee"/>
    <s v="03/04/2022"/>
    <s v="Processing"/>
    <s v="135 GB DDR4 RAM"/>
    <s v="NIC"/>
    <s v="Hynix"/>
    <n v="6550"/>
    <n v="8515"/>
    <n v="3"/>
    <n v="19650"/>
    <n v="25545"/>
    <s v="Aarvi Gupta"/>
    <n v="9100"/>
  </r>
  <r>
    <s v="143424"/>
    <s v="OR"/>
    <s v="Jay Prakash Kumar"/>
    <s v="03/04/2022"/>
    <s v="Delivered"/>
    <s v="Standard ATX motherboard"/>
    <s v="Printer"/>
    <s v="Gigabyte"/>
    <n v="7650"/>
    <n v="9945"/>
    <n v="2"/>
    <n v="15300"/>
    <n v="19890"/>
    <s v="Aarvi Gupta"/>
    <n v="11700"/>
  </r>
  <r>
    <s v="143425"/>
    <s v="PB"/>
    <s v="Ashish Pandey"/>
    <s v="03/04/2022"/>
    <s v="Shipped"/>
    <s v="Compact with 1 Fan"/>
    <s v="Cabinet"/>
    <s v="Asus"/>
    <n v="1150"/>
    <n v="1495"/>
    <n v="1"/>
    <n v="1150"/>
    <n v="1495"/>
    <s v="Aarvi Gupta"/>
    <n v="2990"/>
  </r>
  <r>
    <s v="143426"/>
    <s v="RJ"/>
    <s v="Ajay Sharma"/>
    <s v="03/04/2022"/>
    <s v="Order"/>
    <s v="USB Backlight Keyboard"/>
    <s v="Keyboard"/>
    <s v="Dell"/>
    <n v="850"/>
    <n v="1105"/>
    <n v="2"/>
    <n v="1700"/>
    <n v="2210"/>
    <s v="Aarvi Gupta"/>
    <n v="3315"/>
  </r>
  <r>
    <s v="143427"/>
    <s v="SK"/>
    <s v="Moinuddin Saifi"/>
    <s v="03/04/2022"/>
    <s v="Processing"/>
    <s v="Ergonomic Mouse"/>
    <s v="Mouse"/>
    <s v="Samsung"/>
    <n v="650"/>
    <n v="845"/>
    <n v="1"/>
    <n v="650"/>
    <n v="845"/>
    <s v="Aarvi Gupta"/>
    <n v="1690"/>
  </r>
  <r>
    <s v="143428"/>
    <s v="TN"/>
    <s v="Ramkrishna Das Adhikary"/>
    <s v="03/04/2022"/>
    <s v="Delivered"/>
    <s v="15&quot; LCD Dsipaly"/>
    <s v="Monitor"/>
    <s v="Dell"/>
    <n v="7500"/>
    <n v="9750"/>
    <n v="2"/>
    <n v="15000"/>
    <n v="19500"/>
    <s v="Aarvi Gupta"/>
    <n v="9750"/>
  </r>
  <r>
    <s v="143429"/>
    <s v="TR"/>
    <s v="Ranjeet Mandal"/>
    <s v="03/04/2022"/>
    <s v="Shipped"/>
    <s v="121 TB HDD"/>
    <s v="HDD"/>
    <s v="Seagate"/>
    <n v="10000"/>
    <n v="13000"/>
    <n v="2"/>
    <n v="20000"/>
    <n v="26000"/>
    <s v="Aarvi Gupta"/>
    <n v="39000"/>
  </r>
  <r>
    <s v="143430"/>
    <s v="UK"/>
    <s v="Ashwini Adsare"/>
    <s v="03/04/2022"/>
    <s v="Order"/>
    <s v="120 TB SSD"/>
    <s v="SSD"/>
    <s v="Samsung"/>
    <n v="10500"/>
    <n v="13650"/>
    <n v="3"/>
    <n v="31500"/>
    <n v="40950"/>
    <s v="Roshan Kumar"/>
    <n v="8450"/>
  </r>
  <r>
    <s v="143431"/>
    <s v="UP"/>
    <s v="Rajesh Variya"/>
    <s v="03/04/2022"/>
    <s v="Processing"/>
    <s v="Intel i5 12th gen."/>
    <s v="CPU"/>
    <s v="Intel"/>
    <n v="8500"/>
    <n v="11050"/>
    <n v="2"/>
    <n v="17000"/>
    <n v="22100"/>
    <s v="Aarvi Gupta"/>
    <n v="33150"/>
  </r>
  <r>
    <s v="143432"/>
    <s v="WB"/>
    <s v="Amit Singh"/>
    <s v="03/04/2022"/>
    <s v="Delivered"/>
    <s v="2GB Graphic Card"/>
    <s v="Graphic Card"/>
    <s v="Nvidia"/>
    <n v="7000"/>
    <n v="9100"/>
    <n v="3"/>
    <n v="21000"/>
    <n v="27300"/>
    <s v="Vijay Singh"/>
    <n v="18200"/>
  </r>
  <r>
    <s v="143433"/>
    <s v="TN"/>
    <s v="Vinod Mehta"/>
    <s v="03/04/2022"/>
    <s v="Shipped"/>
    <s v="123 GB DDR4 Ram"/>
    <s v="NIC"/>
    <s v="Hynix"/>
    <n v="1680"/>
    <n v="2184"/>
    <n v="1"/>
    <n v="1680"/>
    <n v="2184"/>
    <s v="Aadil Khan"/>
    <n v="9100"/>
  </r>
  <r>
    <s v="143434"/>
    <s v="TR"/>
    <s v="Jignesh Mhatre"/>
    <s v="03/04/2022"/>
    <s v="Order"/>
    <s v="Micro ATX motherboard"/>
    <s v="Printer"/>
    <s v="MSI"/>
    <n v="6540"/>
    <n v="8502"/>
    <n v="2"/>
    <n v="13080"/>
    <n v="17004"/>
    <s v="Advika Joshi"/>
    <n v="11700"/>
  </r>
  <r>
    <s v="143435"/>
    <s v="MH"/>
    <s v="Rahul Kashyap"/>
    <s v="03/04/2022"/>
    <s v="Processing"/>
    <s v="Gaming Box Cabinet"/>
    <s v="Cabinet"/>
    <s v="Asus"/>
    <n v="2680"/>
    <n v="3484"/>
    <n v="2"/>
    <n v="5360"/>
    <n v="6968"/>
    <s v="Ajay Sharma"/>
    <n v="2990"/>
  </r>
  <r>
    <s v="143436"/>
    <s v="CH"/>
    <s v="Mohammed Abdul Kaleem"/>
    <s v="03/04/2022"/>
    <s v="Delivered"/>
    <s v="17&quot; LCD Display"/>
    <s v="Monitor"/>
    <s v="Samsung"/>
    <n v="8250"/>
    <n v="10725"/>
    <n v="2"/>
    <n v="16500"/>
    <n v="21450"/>
    <s v="Roshan Kumar"/>
    <n v="9750"/>
  </r>
  <r>
    <s v="143437"/>
    <s v="DH"/>
    <s v="Chandrakant Kasbe"/>
    <s v="03/04/2022"/>
    <s v="Shipped"/>
    <s v="127 GB DDR4 RAM"/>
    <s v="RAM"/>
    <s v="Samsung"/>
    <n v="2650"/>
    <n v="3445"/>
    <n v="3"/>
    <n v="7950"/>
    <n v="10335"/>
    <s v="Aarvi Gupta"/>
    <n v="25545"/>
  </r>
  <r>
    <s v="143438"/>
    <s v="DD"/>
    <s v="Rohan Kale"/>
    <s v="03/04/2022"/>
    <s v="Order"/>
    <s v="26&quot; LCD Display"/>
    <s v="Monitor"/>
    <s v="Acer"/>
    <n v="12550"/>
    <n v="16315"/>
    <n v="2"/>
    <n v="25100"/>
    <n v="32630"/>
    <s v="Aarvi Gupta"/>
    <n v="9750"/>
  </r>
  <r>
    <s v="143439"/>
    <s v="DL"/>
    <s v="Aniruddha Kekapure"/>
    <s v="03/04/2022"/>
    <s v="Processing"/>
    <s v="I7 - intel 12th Generation"/>
    <s v="CPU"/>
    <s v="Intel"/>
    <n v="14500"/>
    <n v="18850"/>
    <n v="1"/>
    <n v="14500"/>
    <n v="18850"/>
    <s v="Aarvi Gupta"/>
    <n v="33150"/>
  </r>
  <r>
    <s v="143440"/>
    <s v="LD"/>
    <s v="Aslam Raza"/>
    <s v="03/04/2022"/>
    <s v="Delivered"/>
    <s v="USB Keyboard"/>
    <s v="Keyboard"/>
    <s v="Dell"/>
    <n v="800"/>
    <n v="1040"/>
    <n v="2"/>
    <n v="1600"/>
    <n v="2080"/>
    <s v="Aarvi Gupta"/>
    <n v="3315"/>
  </r>
  <r>
    <s v="143441"/>
    <s v="PY"/>
    <s v="Roshan Zameer"/>
    <s v="03/04/2022"/>
    <s v="Shipped"/>
    <s v="Wireless Mouse"/>
    <s v="Mouse"/>
    <s v="Samsung"/>
    <n v="600"/>
    <n v="780"/>
    <n v="1"/>
    <n v="600"/>
    <n v="780"/>
    <s v="Aarvi Gupta"/>
    <n v="1690"/>
  </r>
  <r>
    <s v="143442"/>
    <s v="AP"/>
    <s v="Rakesh Kumar Sharma"/>
    <s v="03/04/2022"/>
    <s v="Order"/>
    <s v="21&quot; LCD Display"/>
    <s v="Monitor"/>
    <s v="Dell"/>
    <n v="10500"/>
    <n v="13650"/>
    <n v="4"/>
    <n v="42000"/>
    <n v="54600"/>
    <s v="Aarvi Gupta"/>
    <n v="9750"/>
  </r>
  <r>
    <s v="143443"/>
    <s v="AR"/>
    <s v="Shivanand Sahani"/>
    <s v="03/04/2022"/>
    <s v="Processing"/>
    <s v="121 TB HDD"/>
    <s v="HDD"/>
    <s v="Western Digital"/>
    <n v="6500"/>
    <n v="8450"/>
    <n v="3"/>
    <n v="19500"/>
    <n v="25350"/>
    <s v="Aarvi Gupta"/>
    <n v="39000"/>
  </r>
  <r>
    <s v="143444"/>
    <s v="AS"/>
    <s v="Kunal Patra"/>
    <s v="03/04/2022"/>
    <s v="Delivered"/>
    <s v="376 GB SSD"/>
    <s v="SSD"/>
    <s v="Samsung"/>
    <n v="4500"/>
    <n v="5850"/>
    <n v="3"/>
    <n v="13500"/>
    <n v="17550"/>
    <s v="Aarvi Gupta"/>
    <n v="8450"/>
  </r>
  <r>
    <s v="143445"/>
    <s v="BR"/>
    <s v="Bijendra"/>
    <s v="03/04/2022"/>
    <s v="Shipped"/>
    <s v="Intel i3 11th gen."/>
    <s v="CPU"/>
    <s v="Intel"/>
    <n v="8500"/>
    <n v="11050"/>
    <n v="2"/>
    <n v="17000"/>
    <n v="22100"/>
    <s v="Aarvi Gupta"/>
    <n v="33150"/>
  </r>
  <r>
    <s v="143446"/>
    <s v="CG"/>
    <s v="Kranti Bheke"/>
    <s v="03/04/2022"/>
    <s v="Order"/>
    <s v="4GB Graphic card"/>
    <s v="Graphic Card"/>
    <s v="Nvidia"/>
    <n v="12500"/>
    <n v="16250"/>
    <n v="2"/>
    <n v="25000"/>
    <n v="32500"/>
    <s v="Aarvi Gupta"/>
    <n v="18200"/>
  </r>
  <r>
    <s v="143447"/>
    <s v="GA"/>
    <s v="Jagdeep"/>
    <s v="03/04/2022"/>
    <s v="Processing"/>
    <s v="128 GB DDR4 RAM"/>
    <s v="RAM"/>
    <s v="Hynix"/>
    <n v="3500"/>
    <n v="4550"/>
    <n v="4"/>
    <n v="14000"/>
    <n v="18200"/>
    <s v="Aarvi Gupta"/>
    <n v="25545"/>
  </r>
  <r>
    <s v="143448"/>
    <s v="GJ"/>
    <s v="Adhir Samal"/>
    <s v="03/04/2022"/>
    <s v="Delivered"/>
    <s v="BTX motherboard"/>
    <s v="MotherBoard"/>
    <s v="Gigabyte"/>
    <n v="4500"/>
    <n v="5850"/>
    <n v="3"/>
    <n v="13500"/>
    <n v="17550"/>
    <s v="Roshan Kumar"/>
    <n v="39780"/>
  </r>
  <r>
    <s v="143449"/>
    <s v="HR"/>
    <s v="Dannana Jhammi"/>
    <s v="03/04/2022"/>
    <s v="Shipped"/>
    <s v="123 Fans Cabinet"/>
    <s v="Cabinet"/>
    <s v="Asus"/>
    <n v="2100"/>
    <n v="2730"/>
    <n v="1"/>
    <n v="2100"/>
    <n v="2730"/>
    <s v="Aarvi Gupta"/>
    <n v="2990"/>
  </r>
  <r>
    <s v="143450"/>
    <s v="HP"/>
    <s v="Vipin Kumar"/>
    <s v="03/04/2022"/>
    <s v="Order"/>
    <s v="Wireless Keyboard"/>
    <s v="Keyboard"/>
    <s v="Dell"/>
    <n v="1150"/>
    <n v="1495"/>
    <n v="4"/>
    <n v="4600"/>
    <n v="5980"/>
    <s v="Vijay Singh"/>
    <n v="3315"/>
  </r>
  <r>
    <s v="143451"/>
    <s v="JK"/>
    <s v="Ranjeet Kumar"/>
    <s v="03/04/2022"/>
    <s v="Processing"/>
    <s v="USB Mouse"/>
    <s v="Mouse"/>
    <s v="Samsung"/>
    <n v="350"/>
    <n v="455"/>
    <n v="4"/>
    <n v="1400"/>
    <n v="1820"/>
    <s v="Aadil Khan"/>
    <n v="1690"/>
  </r>
  <r>
    <s v="143452"/>
    <s v="JH"/>
    <s v="Sajal Singhal"/>
    <s v="03/04/2022"/>
    <s v="Delivered"/>
    <s v="19&quot; LED Display"/>
    <s v="Monitor"/>
    <s v="Dell"/>
    <n v="9500"/>
    <n v="12350"/>
    <n v="2"/>
    <n v="19000"/>
    <n v="24700"/>
    <s v="Advika Joshi"/>
    <n v="9750"/>
  </r>
  <r>
    <s v="143453"/>
    <s v="KA"/>
    <s v="Akhilesh Kumar"/>
    <s v="03/04/2022"/>
    <s v="Shipped"/>
    <s v="122 TB HDD"/>
    <s v="HDD"/>
    <s v="Western Digital"/>
    <n v="10000"/>
    <n v="13000"/>
    <n v="3"/>
    <n v="30000"/>
    <n v="39000"/>
    <s v="Ajay Sharma"/>
    <n v="39000"/>
  </r>
  <r>
    <s v="143454"/>
    <s v="KL"/>
    <s v="Suvankar Chakraborty"/>
    <s v="03/04/2022"/>
    <s v="Order"/>
    <s v="632 GB M.2"/>
    <s v="SSD"/>
    <s v="Samsung"/>
    <n v="6500"/>
    <n v="8450"/>
    <n v="2"/>
    <n v="13000"/>
    <n v="16900"/>
    <s v="Roshan Kumar"/>
    <n v="8450"/>
  </r>
  <r>
    <s v="143455"/>
    <s v="MP"/>
    <s v="Suvankar Adhikary"/>
    <s v="03/04/2022"/>
    <s v="Processing"/>
    <s v="RYZEN 3rd gen. 3620"/>
    <s v="CPU"/>
    <s v="Intel"/>
    <n v="8500"/>
    <n v="11050"/>
    <n v="1"/>
    <n v="8500"/>
    <n v="11050"/>
    <s v="Aarvi Gupta"/>
    <n v="33150"/>
  </r>
  <r>
    <s v="143456"/>
    <s v="MH"/>
    <s v="Rahul Kumar Prajapati"/>
    <s v="03/04/2022"/>
    <s v="Delivered"/>
    <s v="2GB Graphic Card"/>
    <s v="Graphic Card"/>
    <s v="Nvidia"/>
    <n v="7000"/>
    <n v="9100"/>
    <n v="3"/>
    <n v="21000"/>
    <n v="27300"/>
    <s v="Vijay Singh"/>
    <n v="18200"/>
  </r>
  <r>
    <s v="143457"/>
    <s v="MN"/>
    <s v="Sagar Jeur"/>
    <s v="03/04/2022"/>
    <s v="Shipped"/>
    <s v="136 GB DDR4 RAM"/>
    <s v="RAM"/>
    <s v="Hynix"/>
    <n v="6550"/>
    <n v="8515"/>
    <n v="3"/>
    <n v="19650"/>
    <n v="25545"/>
    <s v="Aadil Khan"/>
    <n v="25545"/>
  </r>
  <r>
    <s v="143458"/>
    <s v="ML"/>
    <s v="Rhushikesh Mane"/>
    <s v="03/04/2022"/>
    <s v="Order"/>
    <s v="Standard ATX motherboard"/>
    <s v="MotherBoard"/>
    <s v="Gigabyte"/>
    <n v="7650"/>
    <n v="9945"/>
    <n v="1"/>
    <n v="7650"/>
    <n v="9945"/>
    <s v="Aarvi Gupta"/>
    <n v="39780"/>
  </r>
  <r>
    <s v="143459"/>
    <s v="MZ"/>
    <s v="Ashish Kumar"/>
    <s v="03/04/2022"/>
    <s v="Processing"/>
    <s v="Compact with 1 Fan"/>
    <s v="Cabinet"/>
    <s v="Asus"/>
    <n v="1150"/>
    <n v="1495"/>
    <n v="4"/>
    <n v="4600"/>
    <n v="5980"/>
    <s v="Aarvi Gupta"/>
    <n v="2990"/>
  </r>
  <r>
    <s v="143460"/>
    <s v="NL"/>
    <s v="Javed Akhter"/>
    <s v="03/04/2022"/>
    <s v="Delivered"/>
    <s v="USB Backlight Keyboard"/>
    <s v="Keyboard"/>
    <s v="Dell"/>
    <n v="850"/>
    <n v="1105"/>
    <n v="2"/>
    <n v="1700"/>
    <n v="2210"/>
    <s v="Aarvi Gupta"/>
    <n v="3315"/>
  </r>
  <r>
    <s v="143461"/>
    <s v="OR"/>
    <s v="Haridas Balraj"/>
    <s v="03/04/2022"/>
    <s v="Shipped"/>
    <s v="Ergonomic Mouse"/>
    <s v="Mouse"/>
    <s v="Samsung"/>
    <n v="650"/>
    <n v="845"/>
    <n v="1"/>
    <n v="650"/>
    <n v="845"/>
    <s v="Aarvi Gupta"/>
    <n v="1690"/>
  </r>
  <r>
    <s v="143462"/>
    <s v="PB"/>
    <s v="Kundan Kumar"/>
    <s v="03/04/2022"/>
    <s v="Order"/>
    <s v="15&quot; LCD Dsipaly"/>
    <s v="Monitor"/>
    <s v="Dell"/>
    <n v="7500"/>
    <n v="9750"/>
    <n v="2"/>
    <n v="15000"/>
    <n v="19500"/>
    <s v="Aarvi Gupta"/>
    <n v="9750"/>
  </r>
  <r>
    <s v="143463"/>
    <s v="RJ"/>
    <s v="Atif Siddiqui"/>
    <s v="03/04/2022"/>
    <s v="Processing"/>
    <s v="122 TB HDD"/>
    <s v="HDD"/>
    <s v="Seagate"/>
    <n v="10000"/>
    <n v="13000"/>
    <n v="2"/>
    <n v="20000"/>
    <n v="26000"/>
    <s v="Aarvi Gupta"/>
    <n v="39000"/>
  </r>
  <r>
    <s v="143464"/>
    <s v="SK"/>
    <s v="Aditya Agarwal"/>
    <s v="03/04/2022"/>
    <s v="Delivered"/>
    <s v="121 TB SSD"/>
    <s v="SSD"/>
    <s v="Samsung"/>
    <n v="10500"/>
    <n v="13650"/>
    <n v="1"/>
    <n v="10500"/>
    <n v="13650"/>
    <s v="Aarvi Gupta"/>
    <n v="8450"/>
  </r>
  <r>
    <s v="143465"/>
    <s v="TN"/>
    <s v="Firdoush Jabee"/>
    <s v="03/04/2022"/>
    <s v="Shipped"/>
    <s v="Intel i5 12th gen."/>
    <s v="CPU"/>
    <s v="Intel"/>
    <n v="8500"/>
    <n v="11050"/>
    <n v="2"/>
    <n v="17000"/>
    <n v="22100"/>
    <s v="Aarvi Gupta"/>
    <n v="33150"/>
  </r>
  <r>
    <s v="143466"/>
    <s v="TR"/>
    <s v="Jay Prakash Kumar"/>
    <s v="03/04/2022"/>
    <s v="Order"/>
    <s v="2GB Graphic Card"/>
    <s v="Graphic Card"/>
    <s v="Nvidia"/>
    <n v="7000"/>
    <n v="9100"/>
    <n v="1"/>
    <n v="7000"/>
    <n v="9100"/>
    <s v="Aarvi Gupta"/>
    <n v="18200"/>
  </r>
  <r>
    <s v="143467"/>
    <s v="UK"/>
    <s v="Ashish Pandey"/>
    <s v="03/04/2022"/>
    <s v="Processing"/>
    <s v="124 GB DDR4 Ram"/>
    <s v="RAM"/>
    <s v="Hynix"/>
    <n v="1680"/>
    <n v="2184"/>
    <n v="3"/>
    <n v="5040"/>
    <n v="6552"/>
    <s v="Aarvi Gupta"/>
    <n v="25545"/>
  </r>
  <r>
    <s v="143468"/>
    <s v="UP"/>
    <s v="Ajay Sharma"/>
    <s v="03/04/2022"/>
    <s v="Delivered"/>
    <s v="Micro ATX motherboard"/>
    <s v="MotherBoard"/>
    <s v="MSI"/>
    <n v="6540"/>
    <n v="8502"/>
    <n v="1"/>
    <n v="6540"/>
    <n v="8502"/>
    <s v="Vijay Singh"/>
    <n v="39780"/>
  </r>
  <r>
    <s v="143469"/>
    <s v="WB"/>
    <s v="Moinuddin Saifi"/>
    <s v="03/04/2022"/>
    <s v="Shipped"/>
    <s v="Gaming Box Cabinet"/>
    <s v="Cabinet"/>
    <s v="Asus"/>
    <n v="2680"/>
    <n v="3484"/>
    <n v="4"/>
    <n v="10720"/>
    <n v="13936"/>
    <s v="Aadil Khan"/>
    <n v="2990"/>
  </r>
  <r>
    <s v="143470"/>
    <s v="TN"/>
    <s v="Ramkrishna Das Adhikary"/>
    <s v="03/04/2022"/>
    <s v="Order"/>
    <s v="17&quot; LCD Display"/>
    <s v="Monitor"/>
    <s v="Samsung"/>
    <n v="8250"/>
    <n v="10725"/>
    <n v="3"/>
    <n v="24750"/>
    <n v="32175"/>
    <s v="Advika Joshi"/>
    <n v="9750"/>
  </r>
  <r>
    <s v="143471"/>
    <s v="TR"/>
    <s v="Ranjeet Mandal"/>
    <s v="03/04/2022"/>
    <s v="Processing"/>
    <s v="128 GB DDR4 RAM"/>
    <s v="RAM"/>
    <s v="Samsung"/>
    <n v="2650"/>
    <n v="3445"/>
    <n v="4"/>
    <n v="10600"/>
    <n v="13780"/>
    <s v="Ajay Sharma"/>
    <n v="25545"/>
  </r>
  <r>
    <s v="143472"/>
    <s v="MH"/>
    <s v="Ashwini Adsare"/>
    <s v="03/04/2022"/>
    <s v="Delivered"/>
    <s v="26&quot; LCD Display"/>
    <s v="Monitor"/>
    <s v="Acer"/>
    <n v="12550"/>
    <n v="16315"/>
    <n v="4"/>
    <n v="50200"/>
    <n v="65260"/>
    <s v="Roshan Kumar"/>
    <n v="9750"/>
  </r>
  <r>
    <s v="143473"/>
    <s v="CH"/>
    <s v="Rajesh Variya"/>
    <s v="03/04/2022"/>
    <s v="Shipped"/>
    <s v="I7 - intel 12th Generation"/>
    <s v="CPU"/>
    <s v="Intel"/>
    <n v="14500"/>
    <n v="18850"/>
    <n v="4"/>
    <n v="58000"/>
    <n v="75400"/>
    <s v="Aarvi Gupta"/>
    <n v="33150"/>
  </r>
  <r>
    <s v="143474"/>
    <s v="DH"/>
    <s v="Amit Singh"/>
    <s v="03/04/2022"/>
    <s v="Order"/>
    <s v="USB Keyboard"/>
    <s v="Keyboard"/>
    <s v="Dell"/>
    <n v="800"/>
    <n v="1040"/>
    <n v="4"/>
    <n v="3200"/>
    <n v="4160"/>
    <s v="Vijay Singh"/>
    <n v="3315"/>
  </r>
  <r>
    <s v="143475"/>
    <s v="DD"/>
    <s v="Vinod Mehta"/>
    <s v="03/04/2022"/>
    <s v="Processing"/>
    <s v="Wireless Mouse"/>
    <s v="Mouse"/>
    <s v="Samsung"/>
    <n v="600"/>
    <n v="780"/>
    <n v="2"/>
    <n v="1200"/>
    <n v="1560"/>
    <s v="Aadil Khan"/>
    <n v="1690"/>
  </r>
  <r>
    <s v="143476"/>
    <s v="DL"/>
    <s v="Jignesh Mhatre"/>
    <s v="04/04/2022"/>
    <s v="Delivered"/>
    <s v="21&quot; LCD Display"/>
    <s v="Monitor"/>
    <s v="Dell"/>
    <n v="10500"/>
    <n v="13650"/>
    <n v="2"/>
    <n v="21000"/>
    <n v="27300"/>
    <s v="Advika Joshi"/>
    <n v="9750"/>
  </r>
  <r>
    <s v="143477"/>
    <s v="LD"/>
    <s v="Rahul Kashyap"/>
    <s v="05/04/2022"/>
    <s v="Shipped"/>
    <s v="122 TB HDD"/>
    <s v="HDD"/>
    <s v="Western Digital"/>
    <n v="6500"/>
    <n v="8450"/>
    <n v="2"/>
    <n v="13000"/>
    <n v="16900"/>
    <s v="Aarvi Gupta"/>
    <n v="39000"/>
  </r>
  <r>
    <s v="143478"/>
    <s v="PY"/>
    <s v="Mohammed Abdul Kaleem"/>
    <s v="06/04/2022"/>
    <s v="Order"/>
    <s v="377 GB SSD"/>
    <s v="SSD"/>
    <s v="Samsung"/>
    <n v="4500"/>
    <n v="5850"/>
    <n v="3"/>
    <n v="13500"/>
    <n v="17550"/>
    <s v="Aarvi Gupta"/>
    <n v="8450"/>
  </r>
  <r>
    <s v="143479"/>
    <s v="AP"/>
    <s v="Chandrakant Kasbe"/>
    <s v="07/04/2022"/>
    <s v="Processing"/>
    <s v="Intel i3 11th gen."/>
    <s v="CPU"/>
    <s v="Intel"/>
    <n v="8500"/>
    <n v="11050"/>
    <n v="1"/>
    <n v="8500"/>
    <n v="11050"/>
    <s v="Aarvi Gupta"/>
    <n v="33150"/>
  </r>
  <r>
    <s v="143480"/>
    <s v="AR"/>
    <s v="Rohan Kale"/>
    <s v="08/04/2022"/>
    <s v="Delivered"/>
    <s v="4GB Graphic card"/>
    <s v="Graphic Card"/>
    <s v="Nvidia"/>
    <n v="12500"/>
    <n v="16250"/>
    <n v="3"/>
    <n v="37500"/>
    <n v="48750"/>
    <s v="Aarvi Gupta"/>
    <n v="18200"/>
  </r>
  <r>
    <s v="143481"/>
    <s v="AS"/>
    <s v="Aniruddha Kekapure"/>
    <s v="09/04/2022"/>
    <s v="Shipped"/>
    <s v="129 GB DDR4 RAM"/>
    <s v="Computer Case"/>
    <s v="Hynix"/>
    <n v="3500"/>
    <n v="4550"/>
    <n v="3"/>
    <n v="10500"/>
    <n v="13650"/>
    <s v="Aarvi Gupta"/>
    <n v="13650"/>
  </r>
  <r>
    <s v="143482"/>
    <s v="BR"/>
    <s v="Aslam Raza"/>
    <s v="10/04/2022"/>
    <s v="Order"/>
    <s v="BTX motherboard"/>
    <s v="Mouse"/>
    <s v="Gigabyte"/>
    <n v="4500"/>
    <n v="5850"/>
    <n v="1"/>
    <n v="4500"/>
    <n v="5850"/>
    <s v="Aarvi Gupta"/>
    <n v="1690"/>
  </r>
  <r>
    <s v="143483"/>
    <s v="CG"/>
    <s v="Roshan Zameer"/>
    <s v="10/04/2022"/>
    <s v="Processing"/>
    <s v="124 Fans Cabinet"/>
    <s v="Cabinet"/>
    <s v="Asus"/>
    <n v="2100"/>
    <n v="2730"/>
    <n v="2"/>
    <n v="4200"/>
    <n v="5460"/>
    <s v="Aarvi Gupta"/>
    <n v="2990"/>
  </r>
  <r>
    <s v="143484"/>
    <s v="GA"/>
    <s v="Rakesh Kumar Sharma"/>
    <s v="10/04/2022"/>
    <s v="Delivered"/>
    <s v="Wireless Keyboard"/>
    <s v="Keyboard"/>
    <s v="Dell"/>
    <n v="1150"/>
    <n v="1495"/>
    <n v="2"/>
    <n v="2300"/>
    <n v="2990"/>
    <s v="Aarvi Gupta"/>
    <n v="3315"/>
  </r>
  <r>
    <s v="143485"/>
    <s v="GJ"/>
    <s v="Shivanand Sahani"/>
    <s v="10/04/2022"/>
    <s v="Shipped"/>
    <s v="USB Mouse"/>
    <s v="Mouse"/>
    <s v="Samsung"/>
    <n v="350"/>
    <n v="455"/>
    <n v="3"/>
    <n v="1050"/>
    <n v="1365"/>
    <s v="Aarvi Gupta"/>
    <n v="1690"/>
  </r>
  <r>
    <s v="143486"/>
    <s v="HR"/>
    <s v="Kunal Patra"/>
    <s v="10/04/2022"/>
    <s v="Order"/>
    <s v="19&quot; LED Display"/>
    <s v="Monitor"/>
    <s v="Dell"/>
    <n v="9500"/>
    <n v="12350"/>
    <n v="1"/>
    <n v="9500"/>
    <n v="12350"/>
    <s v="Aarvi Gupta"/>
    <n v="9750"/>
  </r>
  <r>
    <s v="143487"/>
    <s v="HP"/>
    <s v="Bijendra"/>
    <s v="10/04/2022"/>
    <s v="Processing"/>
    <s v="123 TB HDD"/>
    <s v="HDD"/>
    <s v="Western Digital"/>
    <n v="10000"/>
    <n v="13000"/>
    <n v="3"/>
    <n v="30000"/>
    <n v="39000"/>
    <s v="Aadil Khan"/>
    <n v="39000"/>
  </r>
  <r>
    <s v="143488"/>
    <s v="JK"/>
    <s v="Kranti Bheke"/>
    <s v="10/04/2022"/>
    <s v="Delivered"/>
    <s v="633 GB M.2"/>
    <s v="SSD"/>
    <s v="Samsung"/>
    <n v="6500"/>
    <n v="8450"/>
    <n v="1"/>
    <n v="6500"/>
    <n v="8450"/>
    <s v="Advika Joshi"/>
    <n v="8450"/>
  </r>
  <r>
    <s v="143489"/>
    <s v="JH"/>
    <s v="Jagdeep"/>
    <s v="10/04/2022"/>
    <s v="Shipped"/>
    <s v="RYZEN 3rd gen. 3621"/>
    <s v="CPU"/>
    <s v="Intel"/>
    <n v="8500"/>
    <n v="11050"/>
    <n v="3"/>
    <n v="25500"/>
    <n v="33150"/>
    <s v="Ajay Sharma"/>
    <n v="33150"/>
  </r>
  <r>
    <s v="143490"/>
    <s v="KA"/>
    <s v="Adhir Samal"/>
    <s v="10/04/2022"/>
    <s v="Order"/>
    <s v="2GB Graphic Card"/>
    <s v="Graphic Card"/>
    <s v="Nvidia"/>
    <n v="7000"/>
    <n v="9100"/>
    <n v="2"/>
    <n v="14000"/>
    <n v="18200"/>
    <s v="Roshan Kumar"/>
    <n v="18200"/>
  </r>
  <r>
    <s v="143491"/>
    <s v="KL"/>
    <s v="Dannana Jhammi"/>
    <s v="10/04/2022"/>
    <s v="Processing"/>
    <s v="137 GB DDR4 RAM"/>
    <s v="Computer Case"/>
    <s v="Hynix"/>
    <n v="6550"/>
    <n v="8515"/>
    <n v="3"/>
    <n v="19650"/>
    <n v="25545"/>
    <s v="Aarvi Gupta"/>
    <n v="13650"/>
  </r>
  <r>
    <s v="143492"/>
    <s v="MP"/>
    <s v="Vipin Kumar"/>
    <s v="10/04/2022"/>
    <s v="Delivered"/>
    <s v="Standard ATX motherboard"/>
    <s v="Mouse"/>
    <s v="Gigabyte"/>
    <n v="7650"/>
    <n v="9945"/>
    <n v="4"/>
    <n v="30600"/>
    <n v="39780"/>
    <s v="Vijay Singh"/>
    <n v="1690"/>
  </r>
  <r>
    <s v="143493"/>
    <s v="MH"/>
    <s v="Ranjeet Kumar"/>
    <s v="10/04/2022"/>
    <s v="Shipped"/>
    <s v="Compact with 1 Fan"/>
    <s v="Cabinet"/>
    <s v="Asus"/>
    <n v="1150"/>
    <n v="1495"/>
    <n v="4"/>
    <n v="4600"/>
    <n v="5980"/>
    <s v="Aadil Khan"/>
    <n v="2990"/>
  </r>
  <r>
    <s v="143494"/>
    <s v="MN"/>
    <s v="Sajal Singhal"/>
    <s v="10/04/2022"/>
    <s v="Order"/>
    <s v="USB Backlight Keyboard"/>
    <s v="Keyboard"/>
    <s v="Dell"/>
    <n v="850"/>
    <n v="1105"/>
    <n v="3"/>
    <n v="2550"/>
    <n v="3315"/>
    <s v="Advika Joshi"/>
    <n v="3315"/>
  </r>
  <r>
    <s v="143495"/>
    <s v="ML"/>
    <s v="Akhilesh Kumar"/>
    <s v="10/04/2022"/>
    <s v="Processing"/>
    <s v="Ergonomic Mouse"/>
    <s v="Mouse"/>
    <s v="Samsung"/>
    <n v="650"/>
    <n v="845"/>
    <n v="1"/>
    <n v="650"/>
    <n v="845"/>
    <s v="Ajay Sharma"/>
    <n v="1690"/>
  </r>
  <r>
    <s v="143496"/>
    <s v="MZ"/>
    <s v="Suvankar Chakraborty"/>
    <s v="10/04/2022"/>
    <s v="Delivered"/>
    <s v="15&quot; LCD Dsipaly"/>
    <s v="Monitor"/>
    <s v="Dell"/>
    <n v="7500"/>
    <n v="9750"/>
    <n v="1"/>
    <n v="7500"/>
    <n v="9750"/>
    <s v="Ajay Sharma"/>
    <n v="9750"/>
  </r>
  <r>
    <s v="143497"/>
    <s v="NL"/>
    <s v="Suvankar Adhikary"/>
    <s v="10/04/2022"/>
    <s v="Shipped"/>
    <s v="123 TB HDD"/>
    <s v="HDD"/>
    <s v="Seagate"/>
    <n v="10000"/>
    <n v="13000"/>
    <n v="2"/>
    <n v="20000"/>
    <n v="26000"/>
    <s v="Ajay Sharma"/>
    <n v="39000"/>
  </r>
  <r>
    <s v="143498"/>
    <s v="OR"/>
    <s v="Rahul Kumar Prajapati"/>
    <s v="10/04/2022"/>
    <s v="Order"/>
    <s v="122 TB SSD"/>
    <s v="SSD"/>
    <s v="Samsung"/>
    <n v="10500"/>
    <n v="13650"/>
    <n v="3"/>
    <n v="31500"/>
    <n v="40950"/>
    <s v="Ajay Sharma"/>
    <n v="8450"/>
  </r>
  <r>
    <s v="143499"/>
    <s v="PB"/>
    <s v="Sagar Jeur"/>
    <s v="10/04/2022"/>
    <s v="Processing"/>
    <s v="Intel i5 12th gen."/>
    <s v="CPU"/>
    <s v="Intel"/>
    <n v="8500"/>
    <n v="11050"/>
    <n v="1"/>
    <n v="8500"/>
    <n v="11050"/>
    <s v="Ajay Sharma"/>
    <n v="33150"/>
  </r>
  <r>
    <s v="143500"/>
    <s v="RJ"/>
    <s v="Rhushikesh Mane"/>
    <s v="10/04/2022"/>
    <s v="Delivered"/>
    <s v="2GB Graphic Card"/>
    <s v="Graphic Card"/>
    <s v="Nvidia"/>
    <n v="7000"/>
    <n v="9100"/>
    <n v="4"/>
    <n v="28000"/>
    <n v="36400"/>
    <s v="Ajay Sharma"/>
    <n v="18200"/>
  </r>
  <r>
    <s v="143501"/>
    <s v="SK"/>
    <s v="Ashish Kumar"/>
    <s v="10/04/2022"/>
    <s v="Shipped"/>
    <s v="125 GB DDR4 Ram"/>
    <s v="Computer Case"/>
    <s v="Hynix"/>
    <n v="1680"/>
    <n v="2184"/>
    <n v="4"/>
    <n v="6720"/>
    <n v="8736"/>
    <s v="Ajay Sharma"/>
    <n v="13650"/>
  </r>
  <r>
    <s v="143502"/>
    <s v="TN"/>
    <s v="Javed Akhter"/>
    <s v="10/04/2022"/>
    <s v="Order"/>
    <s v="Micro ATX motherboard"/>
    <s v="Mouse"/>
    <s v="MSI"/>
    <n v="6540"/>
    <n v="8502"/>
    <n v="3"/>
    <n v="19620"/>
    <n v="25506"/>
    <s v="Ajay Sharma"/>
    <n v="1690"/>
  </r>
  <r>
    <s v="143503"/>
    <s v="TR"/>
    <s v="Haridas Balraj"/>
    <s v="10/04/2022"/>
    <s v="Processing"/>
    <s v="Gaming Box Cabinet"/>
    <s v="Cabinet"/>
    <s v="Asus"/>
    <n v="2680"/>
    <n v="3484"/>
    <n v="3"/>
    <n v="8040"/>
    <n v="10452"/>
    <s v="Ajay Sharma"/>
    <n v="2990"/>
  </r>
  <r>
    <s v="143504"/>
    <s v="UK"/>
    <s v="Kundan Kumar"/>
    <s v="10/04/2022"/>
    <s v="Delivered"/>
    <s v="17&quot; LCD Display"/>
    <s v="Monitor"/>
    <s v="Samsung"/>
    <n v="8250"/>
    <n v="10725"/>
    <n v="1"/>
    <n v="8250"/>
    <n v="10725"/>
    <s v="Ajay Sharma"/>
    <n v="9750"/>
  </r>
  <r>
    <s v="143505"/>
    <s v="UP"/>
    <s v="Atif Siddiqui"/>
    <s v="10/04/2022"/>
    <s v="Shipped"/>
    <s v="129 GB DDR4 RAM"/>
    <s v="RAM"/>
    <s v="Samsung"/>
    <n v="2650"/>
    <n v="3445"/>
    <n v="1"/>
    <n v="2650"/>
    <n v="3445"/>
    <s v="Ajay Sharma"/>
    <n v="25545"/>
  </r>
  <r>
    <s v="143506"/>
    <s v="WB"/>
    <s v="Aditya Agarwal"/>
    <s v="10/04/2022"/>
    <s v="Order"/>
    <s v="26&quot; LCD Display"/>
    <s v="Monitor"/>
    <s v="Acer"/>
    <n v="12550"/>
    <n v="16315"/>
    <n v="3"/>
    <n v="37650"/>
    <n v="48945"/>
    <s v="Ajay Sharma"/>
    <n v="9750"/>
  </r>
  <r>
    <s v="143507"/>
    <s v="TN"/>
    <s v="Firdoush Jabee"/>
    <s v="10/04/2022"/>
    <s v="Processing"/>
    <s v="I7 - intel 12th Generation"/>
    <s v="CPU"/>
    <s v="Intel"/>
    <n v="14500"/>
    <n v="18850"/>
    <n v="1"/>
    <n v="14500"/>
    <n v="18850"/>
    <s v="Ajay Sharma"/>
    <n v="33150"/>
  </r>
  <r>
    <s v="143508"/>
    <s v="TR"/>
    <s v="Jay Prakash Kumar"/>
    <s v="10/04/2022"/>
    <s v="Delivered"/>
    <s v="USB Keyboard"/>
    <s v="Keyboard"/>
    <s v="Dell"/>
    <n v="800"/>
    <n v="1040"/>
    <n v="3"/>
    <n v="2400"/>
    <n v="3120"/>
    <s v="Ajay Sharma"/>
    <n v="3315"/>
  </r>
  <r>
    <s v="143509"/>
    <s v="MH"/>
    <s v="Ashish Pandey"/>
    <s v="10/04/2022"/>
    <s v="Shipped"/>
    <s v="Wireless Mouse"/>
    <s v="Mouse"/>
    <s v="Samsung"/>
    <n v="600"/>
    <n v="780"/>
    <n v="1"/>
    <n v="600"/>
    <n v="780"/>
    <s v="Ajay Sharma"/>
    <n v="1690"/>
  </r>
  <r>
    <s v="143510"/>
    <s v="CH"/>
    <s v="Ajay Sharma"/>
    <s v="11/04/2022"/>
    <s v="Order"/>
    <s v="21&quot; LCD Display"/>
    <s v="Monitor"/>
    <s v="Dell"/>
    <n v="10500"/>
    <n v="13650"/>
    <n v="1"/>
    <n v="10500"/>
    <n v="13650"/>
    <s v="Ajay Sharma"/>
    <n v="9750"/>
  </r>
  <r>
    <s v="143511"/>
    <s v="DH"/>
    <s v="Moinuddin Saifi"/>
    <s v="12/04/2022"/>
    <s v="Processing"/>
    <s v="123 TB HDD"/>
    <s v="HDD"/>
    <s v="Western Digital"/>
    <n v="6500"/>
    <n v="8450"/>
    <n v="2"/>
    <n v="13000"/>
    <n v="16900"/>
    <s v="Ajay Sharma"/>
    <n v="39000"/>
  </r>
  <r>
    <s v="143512"/>
    <s v="DD"/>
    <s v="Ramkrishna Das Adhikary"/>
    <s v="13/04/2022"/>
    <s v="Delivered"/>
    <s v="378 GB SSD"/>
    <s v="SSD"/>
    <s v="Samsung"/>
    <n v="4500"/>
    <n v="5850"/>
    <n v="2"/>
    <n v="9000"/>
    <n v="11700"/>
    <s v="Ajay Sharma"/>
    <n v="8450"/>
  </r>
  <r>
    <s v="143513"/>
    <s v="DL"/>
    <s v="Ranjeet Mandal"/>
    <s v="14/04/2022"/>
    <s v="Shipped"/>
    <s v="Intel i3 11th gen."/>
    <s v="CPU"/>
    <s v="Intel"/>
    <n v="8500"/>
    <n v="11050"/>
    <n v="2"/>
    <n v="17000"/>
    <n v="22100"/>
    <s v="Ajay Sharma"/>
    <n v="33150"/>
  </r>
  <r>
    <s v="143514"/>
    <s v="LD"/>
    <s v="Ashwini Adsare"/>
    <s v="15/04/2022"/>
    <s v="Order"/>
    <s v="4GB Graphic card"/>
    <s v="Graphic Card"/>
    <s v="Nvidia"/>
    <n v="12500"/>
    <n v="16250"/>
    <n v="4"/>
    <n v="50000"/>
    <n v="65000"/>
    <s v="Ajay Sharma"/>
    <n v="18200"/>
  </r>
  <r>
    <s v="143515"/>
    <s v="PY"/>
    <s v="Rajesh Variya"/>
    <s v="16/04/2022"/>
    <s v="Processing"/>
    <s v="130 GB DDR4 RAM"/>
    <s v="NIC"/>
    <s v="Hynix"/>
    <n v="3500"/>
    <n v="4550"/>
    <n v="3"/>
    <n v="10500"/>
    <n v="13650"/>
    <s v="Roshan Kumar"/>
    <n v="9100"/>
  </r>
  <r>
    <s v="143516"/>
    <s v="AP"/>
    <s v="Amit Singh"/>
    <s v="16/04/2022"/>
    <s v="Delivered"/>
    <s v="BTX motherboard"/>
    <s v="Printer"/>
    <s v="Gigabyte"/>
    <n v="4500"/>
    <n v="5850"/>
    <n v="2"/>
    <n v="9000"/>
    <n v="11700"/>
    <s v="Aarvi Gupta"/>
    <n v="11700"/>
  </r>
  <r>
    <s v="143517"/>
    <s v="AR"/>
    <s v="Vinod Mehta"/>
    <s v="16/04/2022"/>
    <s v="Shipped"/>
    <s v="125 Fans Cabinet"/>
    <s v="Cabinet"/>
    <s v="Asus"/>
    <n v="2100"/>
    <n v="2730"/>
    <n v="1"/>
    <n v="2100"/>
    <n v="2730"/>
    <s v="Vijay Singh"/>
    <n v="2990"/>
  </r>
  <r>
    <s v="143518"/>
    <s v="AS"/>
    <s v="Jignesh Mhatre"/>
    <s v="16/04/2022"/>
    <s v="Order"/>
    <s v="Wireless Keyboard"/>
    <s v="Keyboard"/>
    <s v="Dell"/>
    <n v="1150"/>
    <n v="1495"/>
    <n v="4"/>
    <n v="4600"/>
    <n v="5980"/>
    <s v="Aadil Khan"/>
    <n v="3315"/>
  </r>
  <r>
    <s v="143519"/>
    <s v="BR"/>
    <s v="Rahul Kashyap"/>
    <s v="16/04/2022"/>
    <s v="Processing"/>
    <s v="USB Mouse"/>
    <s v="Mouse"/>
    <s v="Samsung"/>
    <n v="350"/>
    <n v="455"/>
    <n v="3"/>
    <n v="1050"/>
    <n v="1365"/>
    <s v="Advika Joshi"/>
    <n v="1690"/>
  </r>
  <r>
    <s v="143520"/>
    <s v="CG"/>
    <s v="Mohammed Abdul Kaleem"/>
    <s v="16/04/2022"/>
    <s v="Delivered"/>
    <s v="19&quot; LED Display"/>
    <s v="Monitor"/>
    <s v="Dell"/>
    <n v="9500"/>
    <n v="12350"/>
    <n v="1"/>
    <n v="9500"/>
    <n v="12350"/>
    <s v="Ajay Sharma"/>
    <n v="9750"/>
  </r>
  <r>
    <s v="143521"/>
    <s v="GA"/>
    <s v="Chandrakant Kasbe"/>
    <s v="16/04/2022"/>
    <s v="Shipped"/>
    <s v="124 TB HDD"/>
    <s v="HDD"/>
    <s v="Western Digital"/>
    <n v="10000"/>
    <n v="13000"/>
    <n v="3"/>
    <n v="30000"/>
    <n v="39000"/>
    <s v="Roshan Kumar"/>
    <n v="39000"/>
  </r>
  <r>
    <s v="143522"/>
    <s v="GJ"/>
    <s v="Rohan Kale"/>
    <s v="16/04/2022"/>
    <s v="Order"/>
    <s v="634 GB M.2"/>
    <s v="SSD"/>
    <s v="Samsung"/>
    <n v="6500"/>
    <n v="8450"/>
    <n v="2"/>
    <n v="13000"/>
    <n v="16900"/>
    <s v="Aarvi Gupta"/>
    <n v="8450"/>
  </r>
  <r>
    <s v="143523"/>
    <s v="HR"/>
    <s v="Aniruddha Kekapure"/>
    <s v="16/04/2022"/>
    <s v="Processing"/>
    <s v="RYZEN 3rd gen. 3622"/>
    <s v="CPU"/>
    <s v="Intel"/>
    <n v="8500"/>
    <n v="11050"/>
    <n v="2"/>
    <n v="17000"/>
    <n v="22100"/>
    <s v="Vijay Singh"/>
    <n v="33150"/>
  </r>
  <r>
    <s v="143524"/>
    <s v="HP"/>
    <s v="Aslam Raza"/>
    <s v="16/04/2022"/>
    <s v="Delivered"/>
    <s v="2GB Graphic Card"/>
    <s v="Graphic Card"/>
    <s v="Nvidia"/>
    <n v="7000"/>
    <n v="9100"/>
    <n v="3"/>
    <n v="21000"/>
    <n v="27300"/>
    <s v="Aadil Khan"/>
    <n v="18200"/>
  </r>
  <r>
    <s v="143525"/>
    <s v="JK"/>
    <s v="Roshan Zameer"/>
    <s v="16/04/2022"/>
    <s v="Shipped"/>
    <s v="138 GB DDR4 RAM"/>
    <s v="NIC"/>
    <s v="Hynix"/>
    <n v="6550"/>
    <n v="8515"/>
    <n v="1"/>
    <n v="6550"/>
    <n v="8515"/>
    <s v="Advika Joshi"/>
    <n v="9100"/>
  </r>
  <r>
    <s v="143526"/>
    <s v="JH"/>
    <s v="Rakesh Kumar Sharma"/>
    <s v="16/04/2022"/>
    <s v="Order"/>
    <s v="Standard ATX motherboard"/>
    <s v="Printer"/>
    <s v="Gigabyte"/>
    <n v="7650"/>
    <n v="9945"/>
    <n v="1"/>
    <n v="7650"/>
    <n v="9945"/>
    <s v="Ajay Sharma"/>
    <n v="11700"/>
  </r>
  <r>
    <s v="143527"/>
    <s v="KA"/>
    <s v="Shivanand Sahani"/>
    <s v="16/04/2022"/>
    <s v="Processing"/>
    <s v="Compact with 1 Fan"/>
    <s v="Cabinet"/>
    <s v="Asus"/>
    <n v="1150"/>
    <n v="1495"/>
    <n v="2"/>
    <n v="2300"/>
    <n v="2990"/>
    <s v="Roshan Kumar"/>
    <n v="2990"/>
  </r>
  <r>
    <s v="143528"/>
    <s v="KL"/>
    <s v="Kunal Patra"/>
    <s v="16/04/2022"/>
    <s v="Delivered"/>
    <s v="USB Backlight Keyboard"/>
    <s v="Keyboard"/>
    <s v="Dell"/>
    <n v="850"/>
    <n v="1105"/>
    <n v="1"/>
    <n v="850"/>
    <n v="1105"/>
    <s v="Aarvi Gupta"/>
    <n v="3315"/>
  </r>
  <r>
    <s v="143529"/>
    <s v="MP"/>
    <s v="Bijendra"/>
    <s v="16/04/2022"/>
    <s v="Shipped"/>
    <s v="Ergonomic Mouse"/>
    <s v="Mouse"/>
    <s v="Samsung"/>
    <n v="650"/>
    <n v="845"/>
    <n v="3"/>
    <n v="1950"/>
    <n v="2535"/>
    <s v="Vijay Singh"/>
    <n v="1690"/>
  </r>
  <r>
    <s v="143530"/>
    <s v="MH"/>
    <s v="Kranti Bheke"/>
    <s v="16/04/2022"/>
    <s v="Order"/>
    <s v="15&quot; LCD Dsipaly"/>
    <s v="Monitor"/>
    <s v="Dell"/>
    <n v="7500"/>
    <n v="9750"/>
    <n v="4"/>
    <n v="30000"/>
    <n v="39000"/>
    <s v="Aadil Khan"/>
    <n v="9750"/>
  </r>
  <r>
    <s v="143531"/>
    <s v="MN"/>
    <s v="Jagdeep"/>
    <s v="16/04/2022"/>
    <s v="Processing"/>
    <s v="124 TB HDD"/>
    <s v="HDD"/>
    <s v="Seagate"/>
    <n v="10000"/>
    <n v="13000"/>
    <n v="1"/>
    <n v="10000"/>
    <n v="13000"/>
    <s v="Advika Joshi"/>
    <n v="39000"/>
  </r>
  <r>
    <s v="143532"/>
    <s v="ML"/>
    <s v="Adhir Samal"/>
    <s v="16/04/2022"/>
    <s v="Delivered"/>
    <s v="123 TB SSD"/>
    <s v="SSD"/>
    <s v="Samsung"/>
    <n v="10500"/>
    <n v="13650"/>
    <n v="4"/>
    <n v="42000"/>
    <n v="54600"/>
    <s v="Ajay Sharma"/>
    <n v="8450"/>
  </r>
  <r>
    <s v="143533"/>
    <s v="MZ"/>
    <s v="Dannana Jhammi"/>
    <s v="16/04/2022"/>
    <s v="Shipped"/>
    <s v="Intel i5 12th gen."/>
    <s v="CPU"/>
    <s v="Intel"/>
    <n v="8500"/>
    <n v="11050"/>
    <n v="4"/>
    <n v="34000"/>
    <n v="44200"/>
    <s v="Roshan Kumar"/>
    <n v="33150"/>
  </r>
  <r>
    <s v="143534"/>
    <s v="NL"/>
    <s v="Vipin Kumar"/>
    <s v="16/04/2022"/>
    <s v="Order"/>
    <s v="2GB Graphic Card"/>
    <s v="Graphic Card"/>
    <s v="Nvidia"/>
    <n v="7000"/>
    <n v="9100"/>
    <n v="3"/>
    <n v="21000"/>
    <n v="27300"/>
    <s v="Aarvi Gupta"/>
    <n v="18200"/>
  </r>
  <r>
    <s v="143535"/>
    <s v="OR"/>
    <s v="Ranjeet Kumar"/>
    <s v="16/04/2022"/>
    <s v="Processing"/>
    <s v="126 GB DDR4 Ram"/>
    <s v="NIC"/>
    <s v="Hynix"/>
    <n v="1680"/>
    <n v="2184"/>
    <n v="2"/>
    <n v="3360"/>
    <n v="4368"/>
    <s v="Vijay Singh"/>
    <n v="9100"/>
  </r>
  <r>
    <s v="143536"/>
    <s v="PB"/>
    <s v="Sajal Singhal"/>
    <s v="16/04/2022"/>
    <s v="Delivered"/>
    <s v="Micro ATX motherboard"/>
    <s v="Printer"/>
    <s v="MSI"/>
    <n v="6540"/>
    <n v="8502"/>
    <n v="2"/>
    <n v="13080"/>
    <n v="17004"/>
    <s v="Aadil Khan"/>
    <n v="11700"/>
  </r>
  <r>
    <s v="143537"/>
    <s v="RJ"/>
    <s v="Akhilesh Kumar"/>
    <s v="16/04/2022"/>
    <s v="Shipped"/>
    <s v="Gaming Box Cabinet"/>
    <s v="Cabinet"/>
    <s v="Asus"/>
    <n v="2680"/>
    <n v="3484"/>
    <n v="2"/>
    <n v="5360"/>
    <n v="6968"/>
    <s v="Advika Joshi"/>
    <n v="2990"/>
  </r>
  <r>
    <s v="143538"/>
    <s v="SK"/>
    <s v="Suvankar Chakraborty"/>
    <s v="16/04/2022"/>
    <s v="Order"/>
    <s v="17&quot; LCD Display"/>
    <s v="Monitor"/>
    <s v="Samsung"/>
    <n v="8250"/>
    <n v="10725"/>
    <n v="1"/>
    <n v="8250"/>
    <n v="10725"/>
    <s v="Ajay Sharma"/>
    <n v="9750"/>
  </r>
  <r>
    <s v="143539"/>
    <s v="TN"/>
    <s v="Suvankar Adhikary"/>
    <s v="16/04/2022"/>
    <s v="Processing"/>
    <s v="130 GB DDR4 RAM"/>
    <s v="RAM"/>
    <s v="Samsung"/>
    <n v="2650"/>
    <n v="3445"/>
    <n v="2"/>
    <n v="5300"/>
    <n v="6890"/>
    <s v="Roshan Kumar"/>
    <n v="25545"/>
  </r>
  <r>
    <s v="143540"/>
    <s v="TR"/>
    <s v="Rahul Kumar Prajapati"/>
    <s v="16/04/2022"/>
    <s v="Delivered"/>
    <s v="26&quot; LCD Display"/>
    <s v="Monitor"/>
    <s v="Acer"/>
    <n v="12550"/>
    <n v="16315"/>
    <n v="4"/>
    <n v="50200"/>
    <n v="65260"/>
    <s v="Aarvi Gupta"/>
    <n v="9750"/>
  </r>
  <r>
    <s v="143541"/>
    <s v="UK"/>
    <s v="Sagar Jeur"/>
    <s v="16/04/2022"/>
    <s v="Shipped"/>
    <s v="I7 - intel 12th Generation"/>
    <s v="CPU"/>
    <s v="Intel"/>
    <n v="14500"/>
    <n v="18850"/>
    <n v="4"/>
    <n v="58000"/>
    <n v="75400"/>
    <s v="Vijay Singh"/>
    <n v="33150"/>
  </r>
  <r>
    <s v="143542"/>
    <s v="UP"/>
    <s v="Rhushikesh Mane"/>
    <s v="16/04/2022"/>
    <s v="Order"/>
    <s v="USB Keyboard"/>
    <s v="Keyboard"/>
    <s v="Dell"/>
    <n v="800"/>
    <n v="1040"/>
    <n v="1"/>
    <n v="800"/>
    <n v="1040"/>
    <s v="Aadil Khan"/>
    <n v="3315"/>
  </r>
  <r>
    <s v="143543"/>
    <s v="WB"/>
    <s v="Ashish Kumar"/>
    <s v="16/04/2022"/>
    <s v="Processing"/>
    <s v="Wireless Mouse"/>
    <s v="Mouse"/>
    <s v="Samsung"/>
    <n v="600"/>
    <n v="780"/>
    <n v="4"/>
    <n v="2400"/>
    <n v="3120"/>
    <s v="Advika Joshi"/>
    <n v="1690"/>
  </r>
  <r>
    <s v="143544"/>
    <s v="TN"/>
    <s v="Javed Akhter"/>
    <s v="16/04/2022"/>
    <s v="Delivered"/>
    <s v="21&quot; LCD Display"/>
    <s v="Monitor"/>
    <s v="Dell"/>
    <n v="10500"/>
    <n v="13650"/>
    <n v="1"/>
    <n v="10500"/>
    <n v="13650"/>
    <s v="Ajay Sharma"/>
    <n v="9750"/>
  </r>
  <r>
    <s v="143545"/>
    <s v="TR"/>
    <s v="Haridas Balraj"/>
    <s v="16/04/2022"/>
    <s v="Shipped"/>
    <s v="124 TB HDD"/>
    <s v="HDD"/>
    <s v="Western Digital"/>
    <n v="6500"/>
    <n v="8450"/>
    <n v="2"/>
    <n v="13000"/>
    <n v="16900"/>
    <s v="Roshan Kumar"/>
    <n v="39000"/>
  </r>
  <r>
    <s v="143546"/>
    <s v="MH"/>
    <s v="Kundan Kumar"/>
    <s v="16/04/2022"/>
    <s v="Order"/>
    <s v="379 GB SSD"/>
    <s v="SSD"/>
    <s v="Samsung"/>
    <n v="4500"/>
    <n v="5850"/>
    <n v="2"/>
    <n v="9000"/>
    <n v="11700"/>
    <s v="Aarvi Gupta"/>
    <n v="8450"/>
  </r>
  <r>
    <s v="143547"/>
    <s v="CH"/>
    <s v="Atif Siddiqui"/>
    <s v="16/04/2022"/>
    <s v="Processing"/>
    <s v="Intel i3 11th gen."/>
    <s v="CPU"/>
    <s v="Intel"/>
    <n v="8500"/>
    <n v="11050"/>
    <n v="4"/>
    <n v="34000"/>
    <n v="44200"/>
    <s v="Vijay Singh"/>
    <n v="33150"/>
  </r>
  <r>
    <s v="143548"/>
    <s v="DH"/>
    <s v="Aditya Agarwal"/>
    <s v="16/04/2022"/>
    <s v="Delivered"/>
    <s v="4GB Graphic card"/>
    <s v="Graphic Card"/>
    <s v="Nvidia"/>
    <n v="12500"/>
    <n v="16250"/>
    <n v="4"/>
    <n v="50000"/>
    <n v="65000"/>
    <s v="Aadil Khan"/>
    <n v="18200"/>
  </r>
  <r>
    <s v="143549"/>
    <s v="DD"/>
    <s v="Firdoush Jabee"/>
    <s v="16/04/2022"/>
    <s v="Shipped"/>
    <s v="131 GB DDR4 RAM"/>
    <s v="RAM"/>
    <s v="Hynix"/>
    <n v="3500"/>
    <n v="4550"/>
    <n v="1"/>
    <n v="3500"/>
    <n v="4550"/>
    <s v="Advika Joshi"/>
    <n v="25545"/>
  </r>
  <r>
    <s v="143550"/>
    <s v="DL"/>
    <s v="Jay Prakash Kumar"/>
    <s v="16/04/2022"/>
    <s v="Order"/>
    <s v="BTX motherboard"/>
    <s v="MotherBoard"/>
    <s v="Gigabyte"/>
    <n v="4500"/>
    <n v="5850"/>
    <n v="4"/>
    <n v="18000"/>
    <n v="23400"/>
    <s v="Ajay Sharma"/>
    <n v="39780"/>
  </r>
  <r>
    <s v="143551"/>
    <s v="LD"/>
    <s v="Ashish Pandey"/>
    <s v="16/04/2022"/>
    <s v="Processing"/>
    <s v="126 Fans Cabinet"/>
    <s v="Cabinet"/>
    <s v="Asus"/>
    <n v="2100"/>
    <n v="2730"/>
    <n v="2"/>
    <n v="4200"/>
    <n v="5460"/>
    <s v="Roshan Kumar"/>
    <n v="2990"/>
  </r>
  <r>
    <s v="143552"/>
    <s v="PY"/>
    <s v="Ajay Sharma"/>
    <s v="16/04/2022"/>
    <s v="Delivered"/>
    <s v="Wireless Keyboard"/>
    <s v="Keyboard"/>
    <s v="Dell"/>
    <n v="1150"/>
    <n v="1495"/>
    <n v="2"/>
    <n v="2300"/>
    <n v="2990"/>
    <s v="Aarvi Gupta"/>
    <n v="3315"/>
  </r>
  <r>
    <s v="143553"/>
    <s v="AP"/>
    <s v="Moinuddin Saifi"/>
    <s v="16/04/2022"/>
    <s v="Shipped"/>
    <s v="USB Mouse"/>
    <s v="Mouse"/>
    <s v="Samsung"/>
    <n v="350"/>
    <n v="455"/>
    <n v="4"/>
    <n v="1400"/>
    <n v="1820"/>
    <s v="Vijay Singh"/>
    <n v="1690"/>
  </r>
  <r>
    <s v="143554"/>
    <s v="AR"/>
    <s v="Ramkrishna Das Adhikary"/>
    <s v="16/04/2022"/>
    <s v="Order"/>
    <s v="19&quot; LED Display"/>
    <s v="Monitor"/>
    <s v="Dell"/>
    <n v="9500"/>
    <n v="12350"/>
    <n v="1"/>
    <n v="9500"/>
    <n v="12350"/>
    <s v="Aadil Khan"/>
    <n v="9750"/>
  </r>
  <r>
    <s v="143555"/>
    <s v="AS"/>
    <s v="Ranjeet Mandal"/>
    <s v="16/04/2022"/>
    <s v="Processing"/>
    <s v="125 TB HDD"/>
    <s v="HDD"/>
    <s v="Western Digital"/>
    <n v="10000"/>
    <n v="13000"/>
    <n v="3"/>
    <n v="30000"/>
    <n v="39000"/>
    <s v="Advika Joshi"/>
    <n v="39000"/>
  </r>
  <r>
    <s v="143556"/>
    <s v="BR"/>
    <s v="Ashwini Adsare"/>
    <s v="16/04/2022"/>
    <s v="Delivered"/>
    <s v="635 GB M.2"/>
    <s v="SSD"/>
    <s v="Samsung"/>
    <n v="6500"/>
    <n v="8450"/>
    <n v="1"/>
    <n v="6500"/>
    <n v="8450"/>
    <s v="Ajay Sharma"/>
    <n v="8450"/>
  </r>
  <r>
    <s v="143557"/>
    <s v="CG"/>
    <s v="Rajesh Variya"/>
    <s v="16/04/2022"/>
    <s v="Shipped"/>
    <s v="RYZEN 3rd gen. 3623"/>
    <s v="CPU"/>
    <s v="Intel"/>
    <n v="8500"/>
    <n v="11050"/>
    <n v="3"/>
    <n v="25500"/>
    <n v="33150"/>
    <s v="Roshan Kumar"/>
    <n v="33150"/>
  </r>
  <r>
    <s v="143558"/>
    <s v="GA"/>
    <s v="Amit Singh"/>
    <s v="16/04/2022"/>
    <s v="Order"/>
    <s v="2GB Graphic Card"/>
    <s v="Graphic Card"/>
    <s v="Nvidia"/>
    <n v="7000"/>
    <n v="9100"/>
    <n v="4"/>
    <n v="28000"/>
    <n v="36400"/>
    <s v="Aarvi Gupta"/>
    <n v="18200"/>
  </r>
  <r>
    <s v="143559"/>
    <s v="GJ"/>
    <s v="Vinod Mehta"/>
    <s v="16/04/2022"/>
    <s v="Processing"/>
    <s v="139 GB DDR4 RAM"/>
    <s v="RAM"/>
    <s v="Hynix"/>
    <n v="6550"/>
    <n v="8515"/>
    <n v="1"/>
    <n v="6550"/>
    <n v="8515"/>
    <s v="Vijay Singh"/>
    <n v="25545"/>
  </r>
  <r>
    <s v="143560"/>
    <s v="HR"/>
    <s v="Jignesh Mhatre"/>
    <s v="16/04/2022"/>
    <s v="Delivered"/>
    <s v="Standard ATX motherboard"/>
    <s v="MotherBoard"/>
    <s v="Gigabyte"/>
    <n v="7650"/>
    <n v="9945"/>
    <n v="4"/>
    <n v="30600"/>
    <n v="39780"/>
    <s v="Aadil Khan"/>
    <n v="39780"/>
  </r>
  <r>
    <s v="143561"/>
    <s v="HP"/>
    <s v="Rahul Kashyap"/>
    <s v="16/04/2022"/>
    <s v="Shipped"/>
    <s v="Compact with 1 Fan"/>
    <s v="Cabinet"/>
    <s v="Asus"/>
    <n v="1150"/>
    <n v="1495"/>
    <n v="4"/>
    <n v="4600"/>
    <n v="5980"/>
    <s v="Advika Joshi"/>
    <n v="2990"/>
  </r>
  <r>
    <s v="143562"/>
    <s v="JK"/>
    <s v="Mohammed Abdul Kaleem"/>
    <s v="16/04/2022"/>
    <s v="Order"/>
    <s v="USB Backlight Keyboard"/>
    <s v="Keyboard"/>
    <s v="Dell"/>
    <n v="850"/>
    <n v="1105"/>
    <n v="4"/>
    <n v="3400"/>
    <n v="4420"/>
    <s v="Ajay Sharma"/>
    <n v="3315"/>
  </r>
  <r>
    <s v="143563"/>
    <s v="JH"/>
    <s v="Chandrakant Kasbe"/>
    <s v="16/04/2022"/>
    <s v="Processing"/>
    <s v="Ergonomic Mouse"/>
    <s v="Mouse"/>
    <s v="Samsung"/>
    <n v="650"/>
    <n v="845"/>
    <n v="4"/>
    <n v="2600"/>
    <n v="3380"/>
    <s v="Roshan Kumar"/>
    <n v="1690"/>
  </r>
  <r>
    <s v="143564"/>
    <s v="KA"/>
    <s v="Rohan Kale"/>
    <s v="17/04/2022"/>
    <s v="Delivered"/>
    <s v="15&quot; LCD Dsipaly"/>
    <s v="Monitor"/>
    <s v="Dell"/>
    <n v="7500"/>
    <n v="9750"/>
    <n v="4"/>
    <n v="30000"/>
    <n v="39000"/>
    <s v="Aarvi Gupta"/>
    <n v="9750"/>
  </r>
  <r>
    <s v="143565"/>
    <s v="KL"/>
    <s v="Aniruddha Kekapure"/>
    <s v="17/04/2022"/>
    <s v="Shipped"/>
    <s v="125 TB HDD"/>
    <s v="HDD"/>
    <s v="Seagate"/>
    <n v="10000"/>
    <n v="13000"/>
    <n v="4"/>
    <n v="40000"/>
    <n v="52000"/>
    <s v="Vijay Singh"/>
    <n v="39000"/>
  </r>
  <r>
    <s v="143566"/>
    <s v="MP"/>
    <s v="Aslam Raza"/>
    <s v="17/04/2022"/>
    <s v="Order"/>
    <s v="124 TB SSD"/>
    <s v="SSD"/>
    <s v="Samsung"/>
    <n v="10500"/>
    <n v="13650"/>
    <n v="4"/>
    <n v="42000"/>
    <n v="54600"/>
    <s v="Aadil Khan"/>
    <n v="8450"/>
  </r>
  <r>
    <s v="143567"/>
    <s v="MH"/>
    <s v="Roshan Zameer"/>
    <s v="17/04/2022"/>
    <s v="Processing"/>
    <s v="Intel i5 12th gen."/>
    <s v="CPU"/>
    <s v="Intel"/>
    <n v="8500"/>
    <n v="11050"/>
    <n v="2"/>
    <n v="17000"/>
    <n v="22100"/>
    <s v="Advika Joshi"/>
    <n v="33150"/>
  </r>
  <r>
    <s v="143568"/>
    <s v="MN"/>
    <s v="Rakesh Kumar Sharma"/>
    <s v="17/04/2022"/>
    <s v="Delivered"/>
    <s v="2GB Graphic Card"/>
    <s v="Graphic Card"/>
    <s v="Nvidia"/>
    <n v="7000"/>
    <n v="9100"/>
    <n v="3"/>
    <n v="21000"/>
    <n v="27300"/>
    <s v="Ajay Sharma"/>
    <n v="18200"/>
  </r>
  <r>
    <s v="143569"/>
    <s v="ML"/>
    <s v="Shivanand Sahani"/>
    <s v="17/04/2022"/>
    <s v="Shipped"/>
    <s v="127 GB DDR4 Ram"/>
    <s v="RAM"/>
    <s v="Hynix"/>
    <n v="1680"/>
    <n v="2184"/>
    <n v="3"/>
    <n v="5040"/>
    <n v="6552"/>
    <s v="Roshan Kumar"/>
    <n v="25545"/>
  </r>
  <r>
    <s v="143570"/>
    <s v="MZ"/>
    <s v="Kunal Patra"/>
    <s v="17/04/2022"/>
    <s v="Order"/>
    <s v="Micro ATX motherboard"/>
    <s v="MotherBoard"/>
    <s v="MSI"/>
    <n v="6540"/>
    <n v="8502"/>
    <n v="1"/>
    <n v="6540"/>
    <n v="8502"/>
    <s v="Aarvi Gupta"/>
    <n v="39780"/>
  </r>
  <r>
    <s v="143571"/>
    <s v="NL"/>
    <s v="Bijendra"/>
    <s v="17/04/2022"/>
    <s v="Processing"/>
    <s v="Gaming Box Cabinet"/>
    <s v="Cabinet"/>
    <s v="Asus"/>
    <n v="2680"/>
    <n v="3484"/>
    <n v="2"/>
    <n v="5360"/>
    <n v="6968"/>
    <s v="Ajay Sharma"/>
    <n v="2990"/>
  </r>
  <r>
    <s v="143572"/>
    <s v="OR"/>
    <s v="Kranti Bheke"/>
    <s v="17/04/2022"/>
    <s v="Delivered"/>
    <s v="17&quot; LCD Display"/>
    <s v="Monitor"/>
    <s v="Samsung"/>
    <n v="8250"/>
    <n v="10725"/>
    <n v="1"/>
    <n v="8250"/>
    <n v="10725"/>
    <s v="Ajay Sharma"/>
    <n v="9750"/>
  </r>
  <r>
    <s v="143573"/>
    <s v="PB"/>
    <s v="Jagdeep"/>
    <s v="17/04/2022"/>
    <s v="Shipped"/>
    <s v="131 GB DDR4 RAM"/>
    <s v="RAM"/>
    <s v="Samsung"/>
    <n v="2650"/>
    <n v="3445"/>
    <n v="4"/>
    <n v="10600"/>
    <n v="13780"/>
    <s v="Ajay Sharma"/>
    <n v="25545"/>
  </r>
  <r>
    <s v="143574"/>
    <s v="RJ"/>
    <s v="Adhir Samal"/>
    <s v="17/04/2022"/>
    <s v="Order"/>
    <s v="26&quot; LCD Display"/>
    <s v="Monitor"/>
    <s v="Acer"/>
    <n v="12550"/>
    <n v="16315"/>
    <n v="1"/>
    <n v="12550"/>
    <n v="16315"/>
    <s v="Ajay Sharma"/>
    <n v="9750"/>
  </r>
  <r>
    <s v="143575"/>
    <s v="SK"/>
    <s v="Dannana Jhammi"/>
    <s v="18/04/2022"/>
    <s v="Processing"/>
    <s v="I7 - intel 12th Generation"/>
    <s v="CPU"/>
    <s v="Intel"/>
    <n v="14500"/>
    <n v="18850"/>
    <n v="4"/>
    <n v="58000"/>
    <n v="75400"/>
    <s v="Ajay Sharma"/>
    <n v="33150"/>
  </r>
  <r>
    <s v="143576"/>
    <s v="TN"/>
    <s v="Vipin Kumar"/>
    <s v="18/04/2022"/>
    <s v="Delivered"/>
    <s v="USB Keyboard"/>
    <s v="Keyboard"/>
    <s v="Dell"/>
    <n v="800"/>
    <n v="1040"/>
    <n v="4"/>
    <n v="3200"/>
    <n v="4160"/>
    <s v="Ajay Sharma"/>
    <n v="3315"/>
  </r>
  <r>
    <s v="143577"/>
    <s v="TR"/>
    <s v="Ranjeet Kumar"/>
    <s v="18/04/2022"/>
    <s v="Shipped"/>
    <s v="Wireless Mouse"/>
    <s v="Mouse"/>
    <s v="Samsung"/>
    <n v="600"/>
    <n v="780"/>
    <n v="1"/>
    <n v="600"/>
    <n v="780"/>
    <s v="Ajay Sharma"/>
    <n v="1690"/>
  </r>
  <r>
    <s v="143578"/>
    <s v="UK"/>
    <s v="Sajal Singhal"/>
    <s v="18/04/2022"/>
    <s v="Order"/>
    <s v="21&quot; LCD Display"/>
    <s v="Monitor"/>
    <s v="Dell"/>
    <n v="10500"/>
    <n v="13650"/>
    <n v="1"/>
    <n v="10500"/>
    <n v="13650"/>
    <s v="Ajay Sharma"/>
    <n v="9750"/>
  </r>
  <r>
    <s v="143579"/>
    <s v="UP"/>
    <s v="Akhilesh Kumar"/>
    <s v="18/04/2022"/>
    <s v="Processing"/>
    <s v="125 TB HDD"/>
    <s v="HDD"/>
    <s v="Western Digital"/>
    <n v="6500"/>
    <n v="8450"/>
    <n v="1"/>
    <n v="6500"/>
    <n v="8450"/>
    <s v="Ajay Sharma"/>
    <n v="39000"/>
  </r>
  <r>
    <s v="143580"/>
    <s v="WB"/>
    <s v="Suvankar Chakraborty"/>
    <s v="18/04/2022"/>
    <s v="Delivered"/>
    <s v="380 GB SSD"/>
    <s v="SSD"/>
    <s v="Samsung"/>
    <n v="4500"/>
    <n v="5850"/>
    <n v="2"/>
    <n v="9000"/>
    <n v="11700"/>
    <s v="Ajay Sharma"/>
    <n v="8450"/>
  </r>
  <r>
    <s v="143581"/>
    <s v="TN"/>
    <s v="Suvankar Adhikary"/>
    <s v="18/04/2022"/>
    <s v="Shipped"/>
    <s v="Intel i3 11th gen."/>
    <s v="CPU"/>
    <s v="Intel"/>
    <n v="8500"/>
    <n v="11050"/>
    <n v="1"/>
    <n v="8500"/>
    <n v="11050"/>
    <s v="Ajay Sharma"/>
    <n v="33150"/>
  </r>
  <r>
    <s v="143582"/>
    <s v="TR"/>
    <s v="Rahul Kumar Prajapati"/>
    <s v="18/04/2022"/>
    <s v="Order"/>
    <s v="4GB Graphic card"/>
    <s v="Graphic Card"/>
    <s v="Nvidia"/>
    <n v="12500"/>
    <n v="16250"/>
    <n v="2"/>
    <n v="25000"/>
    <n v="32500"/>
    <s v="Ajay Sharma"/>
    <n v="18200"/>
  </r>
  <r>
    <s v="143583"/>
    <s v="MH"/>
    <s v="Sagar Jeur"/>
    <s v="18/04/2022"/>
    <s v="Processing"/>
    <s v="132 GB DDR4 RAM"/>
    <s v="Computer Case"/>
    <s v="Hynix"/>
    <n v="3500"/>
    <n v="4550"/>
    <n v="1"/>
    <n v="3500"/>
    <n v="4550"/>
    <s v="Ajay Sharma"/>
    <n v="13650"/>
  </r>
  <r>
    <s v="143584"/>
    <s v="CH"/>
    <s v="Rhushikesh Mane"/>
    <s v="18/04/2022"/>
    <s v="Delivered"/>
    <s v="BTX motherboard"/>
    <s v="Mouse"/>
    <s v="Gigabyte"/>
    <n v="4500"/>
    <n v="5850"/>
    <n v="1"/>
    <n v="4500"/>
    <n v="5850"/>
    <s v="Ajay Sharma"/>
    <n v="1690"/>
  </r>
  <r>
    <s v="143585"/>
    <s v="DH"/>
    <s v="Ashish Kumar"/>
    <s v="18/04/2022"/>
    <s v="Shipped"/>
    <s v="127 Fans Cabinet"/>
    <s v="Cabinet"/>
    <s v="Asus"/>
    <n v="2100"/>
    <n v="2730"/>
    <n v="2"/>
    <n v="4200"/>
    <n v="5460"/>
    <s v="Ajay Sharma"/>
    <n v="2990"/>
  </r>
  <r>
    <s v="143586"/>
    <s v="DD"/>
    <s v="Javed Akhter"/>
    <s v="18/04/2022"/>
    <s v="Order"/>
    <s v="Wireless Keyboard"/>
    <s v="Keyboard"/>
    <s v="Dell"/>
    <n v="1150"/>
    <n v="1495"/>
    <n v="2"/>
    <n v="2300"/>
    <n v="2990"/>
    <s v="Ajay Sharma"/>
    <n v="3315"/>
  </r>
  <r>
    <s v="143587"/>
    <s v="DL"/>
    <s v="Haridas Balraj"/>
    <s v="18/04/2022"/>
    <s v="Processing"/>
    <s v="USB Mouse"/>
    <s v="Mouse"/>
    <s v="Samsung"/>
    <n v="350"/>
    <n v="455"/>
    <n v="1"/>
    <n v="350"/>
    <n v="455"/>
    <s v="Ajay Sharma"/>
    <n v="1690"/>
  </r>
  <r>
    <s v="143588"/>
    <s v="LD"/>
    <s v="Kundan Kumar"/>
    <s v="18/04/2022"/>
    <s v="Delivered"/>
    <s v="19&quot; LED Display"/>
    <s v="Monitor"/>
    <s v="Dell"/>
    <n v="9500"/>
    <n v="12350"/>
    <n v="1"/>
    <n v="9500"/>
    <n v="12350"/>
    <s v="Ajay Sharma"/>
    <n v="9750"/>
  </r>
  <r>
    <s v="143589"/>
    <s v="PY"/>
    <s v="Atif Siddiqui"/>
    <s v="18/04/2022"/>
    <s v="Shipped"/>
    <s v="126 TB HDD"/>
    <s v="HDD"/>
    <s v="Western Digital"/>
    <n v="10000"/>
    <n v="13000"/>
    <n v="3"/>
    <n v="30000"/>
    <n v="39000"/>
    <s v="Ajay Sharma"/>
    <n v="39000"/>
  </r>
  <r>
    <s v="143590"/>
    <s v="AP"/>
    <s v="Aditya Agarwal"/>
    <s v="18/04/2022"/>
    <s v="Order"/>
    <s v="636 GB M.2"/>
    <s v="SSD"/>
    <s v="Samsung"/>
    <n v="6500"/>
    <n v="8450"/>
    <n v="2"/>
    <n v="13000"/>
    <n v="16900"/>
    <s v="Ajay Sharma"/>
    <n v="8450"/>
  </r>
  <r>
    <s v="143591"/>
    <s v="AR"/>
    <s v="Firdoush Jabee"/>
    <s v="18/04/2022"/>
    <s v="Processing"/>
    <s v="RYZEN 3rd gen. 3624"/>
    <s v="CPU"/>
    <s v="Intel"/>
    <n v="8500"/>
    <n v="11050"/>
    <n v="1"/>
    <n v="8500"/>
    <n v="11050"/>
    <s v="Advika Joshi"/>
    <n v="33150"/>
  </r>
  <r>
    <s v="143592"/>
    <s v="AS"/>
    <s v="Jay Prakash Kumar"/>
    <s v="18/04/2022"/>
    <s v="Delivered"/>
    <s v="2GB Graphic Card"/>
    <s v="Graphic Card"/>
    <s v="Nvidia"/>
    <n v="7000"/>
    <n v="9100"/>
    <n v="4"/>
    <n v="28000"/>
    <n v="36400"/>
    <s v="Ajay Sharma"/>
    <n v="18200"/>
  </r>
  <r>
    <s v="143593"/>
    <s v="BR"/>
    <s v="Ashish Pandey"/>
    <s v="18/04/2022"/>
    <s v="Shipped"/>
    <s v="140 GB DDR4 RAM"/>
    <s v="Computer Case"/>
    <s v="Hynix"/>
    <n v="6550"/>
    <n v="8515"/>
    <n v="3"/>
    <n v="19650"/>
    <n v="25545"/>
    <s v="Roshan Kumar"/>
    <n v="13650"/>
  </r>
  <r>
    <s v="143594"/>
    <s v="CG"/>
    <s v="Ajay Sharma"/>
    <s v="18/04/2022"/>
    <s v="Order"/>
    <s v="Standard ATX motherboard"/>
    <s v="Mouse"/>
    <s v="Gigabyte"/>
    <n v="7650"/>
    <n v="9945"/>
    <n v="2"/>
    <n v="15300"/>
    <n v="19890"/>
    <s v="Aarvi Gupta"/>
    <n v="1690"/>
  </r>
  <r>
    <s v="143595"/>
    <s v="GA"/>
    <s v="Moinuddin Saifi"/>
    <s v="18/04/2022"/>
    <s v="Processing"/>
    <s v="Compact with 1 Fan"/>
    <s v="Cabinet"/>
    <s v="Asus"/>
    <n v="1150"/>
    <n v="1495"/>
    <n v="2"/>
    <n v="2300"/>
    <n v="2990"/>
    <s v="Vijay Singh"/>
    <n v="2990"/>
  </r>
  <r>
    <s v="143596"/>
    <s v="GJ"/>
    <s v="Ramkrishna Das Adhikary"/>
    <s v="18/04/2022"/>
    <s v="Delivered"/>
    <s v="USB Backlight Keyboard"/>
    <s v="Keyboard"/>
    <s v="Dell"/>
    <n v="850"/>
    <n v="1105"/>
    <n v="2"/>
    <n v="1700"/>
    <n v="2210"/>
    <s v="Aadil Khan"/>
    <n v="3315"/>
  </r>
  <r>
    <s v="143597"/>
    <s v="HR"/>
    <s v="Ranjeet Mandal"/>
    <s v="18/04/2022"/>
    <s v="Shipped"/>
    <s v="Ergonomic Mouse"/>
    <s v="Mouse"/>
    <s v="Samsung"/>
    <n v="650"/>
    <n v="845"/>
    <n v="3"/>
    <n v="1950"/>
    <n v="2535"/>
    <s v="Advika Joshi"/>
    <n v="1690"/>
  </r>
  <r>
    <s v="143598"/>
    <s v="HP"/>
    <s v="Ashwini Adsare"/>
    <s v="19/04/2022"/>
    <s v="Order"/>
    <s v="15&quot; LCD Dsipaly"/>
    <s v="Monitor"/>
    <s v="Dell"/>
    <n v="7500"/>
    <n v="9750"/>
    <n v="2"/>
    <n v="15000"/>
    <n v="19500"/>
    <s v="Ajay Sharma"/>
    <n v="9750"/>
  </r>
  <r>
    <s v="143599"/>
    <s v="JK"/>
    <s v="Rajesh Variya"/>
    <s v="20/04/2022"/>
    <s v="Processing"/>
    <s v="126 TB HDD"/>
    <s v="HDD"/>
    <s v="Seagate"/>
    <n v="10000"/>
    <n v="13000"/>
    <n v="2"/>
    <n v="20000"/>
    <n v="26000"/>
    <s v="Roshan Kumar"/>
    <n v="39000"/>
  </r>
  <r>
    <s v="143600"/>
    <s v="JH"/>
    <s v="Amit Singh"/>
    <s v="21/04/2022"/>
    <s v="Delivered"/>
    <s v="125 TB SSD"/>
    <s v="SSD"/>
    <s v="Samsung"/>
    <n v="10500"/>
    <n v="13650"/>
    <n v="3"/>
    <n v="31500"/>
    <n v="40950"/>
    <s v="Aarvi Gupta"/>
    <n v="8450"/>
  </r>
  <r>
    <s v="143601"/>
    <s v="KA"/>
    <s v="Vinod Mehta"/>
    <s v="22/04/2022"/>
    <s v="Shipped"/>
    <s v="Intel i5 12th gen."/>
    <s v="CPU"/>
    <s v="Intel"/>
    <n v="8500"/>
    <n v="11050"/>
    <n v="4"/>
    <n v="34000"/>
    <n v="44200"/>
    <s v="Vijay Singh"/>
    <n v="33150"/>
  </r>
  <r>
    <s v="143602"/>
    <s v="KL"/>
    <s v="Jignesh Mhatre"/>
    <s v="23/04/2022"/>
    <s v="Order"/>
    <s v="2GB Graphic Card"/>
    <s v="Graphic Card"/>
    <s v="Nvidia"/>
    <n v="7000"/>
    <n v="9100"/>
    <n v="2"/>
    <n v="14000"/>
    <n v="18200"/>
    <s v="Aadil Khan"/>
    <n v="18200"/>
  </r>
  <r>
    <s v="143603"/>
    <s v="MP"/>
    <s v="Rahul Kashyap"/>
    <s v="24/04/2022"/>
    <s v="Processing"/>
    <s v="128 GB DDR4 Ram"/>
    <s v="Computer Case"/>
    <s v="Hynix"/>
    <n v="1680"/>
    <n v="2184"/>
    <n v="1"/>
    <n v="1680"/>
    <n v="2184"/>
    <s v="Advika Joshi"/>
    <n v="13650"/>
  </r>
  <r>
    <s v="143604"/>
    <s v="MH"/>
    <s v="Mohammed Abdul Kaleem"/>
    <s v="25/04/2022"/>
    <s v="Delivered"/>
    <s v="Micro ATX motherboard"/>
    <s v="Mouse"/>
    <s v="MSI"/>
    <n v="6540"/>
    <n v="8502"/>
    <n v="1"/>
    <n v="6540"/>
    <n v="8502"/>
    <s v="Ajay Sharma"/>
    <n v="1690"/>
  </r>
  <r>
    <s v="143605"/>
    <s v="MN"/>
    <s v="Chandrakant Kasbe"/>
    <s v="26/04/2022"/>
    <s v="Shipped"/>
    <s v="Gaming Box Cabinet"/>
    <s v="Cabinet"/>
    <s v="Asus"/>
    <n v="2680"/>
    <n v="3484"/>
    <n v="3"/>
    <n v="8040"/>
    <n v="10452"/>
    <s v="Roshan Kumar"/>
    <n v="2990"/>
  </r>
  <r>
    <s v="143606"/>
    <s v="ML"/>
    <s v="Rohan Kale"/>
    <s v="26/04/2022"/>
    <s v="Order"/>
    <s v="17&quot; LCD Display"/>
    <s v="Monitor"/>
    <s v="Samsung"/>
    <n v="8250"/>
    <n v="10725"/>
    <n v="2"/>
    <n v="16500"/>
    <n v="21450"/>
    <s v="Aarvi Gupta"/>
    <n v="9750"/>
  </r>
  <r>
    <s v="143607"/>
    <s v="MZ"/>
    <s v="Aniruddha Kekapure"/>
    <s v="26/04/2022"/>
    <s v="Processing"/>
    <s v="132 GB DDR4 RAM"/>
    <s v="RAM"/>
    <s v="Samsung"/>
    <n v="2650"/>
    <n v="3445"/>
    <n v="2"/>
    <n v="5300"/>
    <n v="6890"/>
    <s v="Vijay Singh"/>
    <n v="25545"/>
  </r>
  <r>
    <s v="143608"/>
    <s v="NL"/>
    <s v="Aslam Raza"/>
    <s v="26/04/2022"/>
    <s v="Delivered"/>
    <s v="26&quot; LCD Display"/>
    <s v="Monitor"/>
    <s v="Acer"/>
    <n v="12550"/>
    <n v="16315"/>
    <n v="1"/>
    <n v="12550"/>
    <n v="16315"/>
    <s v="Aadil Khan"/>
    <n v="9750"/>
  </r>
  <r>
    <s v="143609"/>
    <s v="OR"/>
    <s v="Roshan Zameer"/>
    <s v="26/04/2022"/>
    <s v="Shipped"/>
    <s v="I7 - intel 12th Generation"/>
    <s v="CPU"/>
    <s v="Intel"/>
    <n v="14500"/>
    <n v="18850"/>
    <n v="1"/>
    <n v="14500"/>
    <n v="18850"/>
    <s v="Advika Joshi"/>
    <n v="33150"/>
  </r>
  <r>
    <s v="143610"/>
    <s v="PB"/>
    <s v="Rakesh Kumar Sharma"/>
    <s v="26/04/2022"/>
    <s v="Order"/>
    <s v="USB Keyboard"/>
    <s v="Keyboard"/>
    <s v="Dell"/>
    <n v="800"/>
    <n v="1040"/>
    <n v="1"/>
    <n v="800"/>
    <n v="1040"/>
    <s v="Ajay Sharma"/>
    <n v="3315"/>
  </r>
  <r>
    <s v="143611"/>
    <s v="RJ"/>
    <s v="Shivanand Sahani"/>
    <s v="26/04/2022"/>
    <s v="Processing"/>
    <s v="Wireless Mouse"/>
    <s v="Mouse"/>
    <s v="Samsung"/>
    <n v="600"/>
    <n v="780"/>
    <n v="2"/>
    <n v="1200"/>
    <n v="1560"/>
    <s v="Roshan Kumar"/>
    <n v="1690"/>
  </r>
  <r>
    <s v="143612"/>
    <s v="SK"/>
    <s v="Kunal Patra"/>
    <s v="26/04/2022"/>
    <s v="Delivered"/>
    <s v="21&quot; LCD Display"/>
    <s v="Monitor"/>
    <s v="Dell"/>
    <n v="10500"/>
    <n v="13650"/>
    <n v="2"/>
    <n v="21000"/>
    <n v="27300"/>
    <s v="Aarvi Gupta"/>
    <n v="9750"/>
  </r>
  <r>
    <s v="143613"/>
    <s v="TN"/>
    <s v="Bijendra"/>
    <s v="26/04/2022"/>
    <s v="Shipped"/>
    <s v="126 TB HDD"/>
    <s v="HDD"/>
    <s v="Western Digital"/>
    <n v="6500"/>
    <n v="8450"/>
    <n v="2"/>
    <n v="13000"/>
    <n v="16900"/>
    <s v="Vijay Singh"/>
    <n v="39000"/>
  </r>
  <r>
    <s v="143614"/>
    <s v="TR"/>
    <s v="Kranti Bheke"/>
    <s v="26/04/2022"/>
    <s v="Order"/>
    <s v="381 GB SSD"/>
    <s v="SSD"/>
    <s v="Samsung"/>
    <n v="4500"/>
    <n v="5850"/>
    <n v="1"/>
    <n v="4500"/>
    <n v="5850"/>
    <s v="Aadil Khan"/>
    <n v="8450"/>
  </r>
  <r>
    <s v="143615"/>
    <s v="UK"/>
    <s v="Jagdeep"/>
    <s v="26/04/2022"/>
    <s v="Processing"/>
    <s v="Intel i3 11th gen."/>
    <s v="CPU"/>
    <s v="Intel"/>
    <n v="8500"/>
    <n v="11050"/>
    <n v="1"/>
    <n v="8500"/>
    <n v="11050"/>
    <s v="Advika Joshi"/>
    <n v="33150"/>
  </r>
  <r>
    <s v="143616"/>
    <s v="UP"/>
    <s v="Adhir Samal"/>
    <s v="26/04/2022"/>
    <s v="Delivered"/>
    <s v="4GB Graphic card"/>
    <s v="Graphic Card"/>
    <s v="Nvidia"/>
    <n v="12500"/>
    <n v="16250"/>
    <n v="1"/>
    <n v="12500"/>
    <n v="16250"/>
    <s v="Ajay Sharma"/>
    <n v="18200"/>
  </r>
  <r>
    <s v="143617"/>
    <s v="WB"/>
    <s v="Dannana Jhammi"/>
    <s v="26/04/2022"/>
    <s v="Shipped"/>
    <s v="133 GB DDR4 RAM"/>
    <s v="NIC"/>
    <s v="Hynix"/>
    <n v="3500"/>
    <n v="4550"/>
    <n v="3"/>
    <n v="10500"/>
    <n v="13650"/>
    <s v="Roshan Kumar"/>
    <n v="9100"/>
  </r>
  <r>
    <s v="143618"/>
    <s v="TN"/>
    <s v="Vipin Kumar"/>
    <s v="26/04/2022"/>
    <s v="Order"/>
    <s v="BTX motherboard"/>
    <s v="Printer"/>
    <s v="Gigabyte"/>
    <n v="4500"/>
    <n v="5850"/>
    <n v="1"/>
    <n v="4500"/>
    <n v="5850"/>
    <s v="Aarvi Gupta"/>
    <n v="11700"/>
  </r>
  <r>
    <s v="143619"/>
    <s v="TR"/>
    <s v="Ranjeet Kumar"/>
    <s v="26/04/2022"/>
    <s v="Processing"/>
    <s v="128 Fans Cabinet"/>
    <s v="Cabinet"/>
    <s v="Asus"/>
    <n v="2100"/>
    <n v="2730"/>
    <n v="4"/>
    <n v="8400"/>
    <n v="10920"/>
    <s v="Vijay Singh"/>
    <n v="2990"/>
  </r>
  <r>
    <s v="143620"/>
    <s v="MH"/>
    <s v="Sajal Singhal"/>
    <s v="26/04/2022"/>
    <s v="Delivered"/>
    <s v="Wireless Keyboard"/>
    <s v="Keyboard"/>
    <s v="Dell"/>
    <n v="1150"/>
    <n v="1495"/>
    <n v="3"/>
    <n v="3450"/>
    <n v="4485"/>
    <s v="Aadil Khan"/>
    <n v="3315"/>
  </r>
  <r>
    <s v="143621"/>
    <s v="CH"/>
    <s v="Akhilesh Kumar"/>
    <s v="26/04/2022"/>
    <s v="Shipped"/>
    <s v="USB Mouse"/>
    <s v="Mouse"/>
    <s v="Samsung"/>
    <n v="350"/>
    <n v="455"/>
    <n v="4"/>
    <n v="1400"/>
    <n v="1820"/>
    <s v="Advika Joshi"/>
    <n v="1690"/>
  </r>
  <r>
    <s v="143622"/>
    <s v="DH"/>
    <s v="Suvankar Chakraborty"/>
    <s v="26/04/2022"/>
    <s v="Order"/>
    <s v="19&quot; LED Display"/>
    <s v="Monitor"/>
    <s v="Dell"/>
    <n v="9500"/>
    <n v="12350"/>
    <n v="4"/>
    <n v="38000"/>
    <n v="49400"/>
    <s v="Ajay Sharma"/>
    <n v="9750"/>
  </r>
  <r>
    <s v="143623"/>
    <s v="DD"/>
    <s v="Suvankar Adhikary"/>
    <s v="26/04/2022"/>
    <s v="Processing"/>
    <s v="127 TB HDD"/>
    <s v="HDD"/>
    <s v="Western Digital"/>
    <n v="10000"/>
    <n v="13000"/>
    <n v="2"/>
    <n v="20000"/>
    <n v="26000"/>
    <s v="Roshan Kumar"/>
    <n v="39000"/>
  </r>
  <r>
    <s v="143624"/>
    <s v="DL"/>
    <s v="Rahul Kumar Prajapati"/>
    <s v="26/04/2022"/>
    <s v="Delivered"/>
    <s v="637 GB M.2"/>
    <s v="SSD"/>
    <s v="Samsung"/>
    <n v="6500"/>
    <n v="8450"/>
    <n v="4"/>
    <n v="26000"/>
    <n v="33800"/>
    <s v="Aarvi Gupta"/>
    <n v="8450"/>
  </r>
  <r>
    <s v="143625"/>
    <s v="LD"/>
    <s v="Sagar Jeur"/>
    <s v="27/04/2022"/>
    <s v="Shipped"/>
    <s v="RYZEN 3rd gen. 3625"/>
    <s v="CPU"/>
    <s v="Intel"/>
    <n v="8500"/>
    <n v="11050"/>
    <n v="2"/>
    <n v="17000"/>
    <n v="22100"/>
    <s v="Vijay Singh"/>
    <n v="33150"/>
  </r>
  <r>
    <s v="143626"/>
    <s v="PY"/>
    <s v="Rhushikesh Mane"/>
    <s v="27/04/2022"/>
    <s v="Order"/>
    <s v="2GB Graphic Card"/>
    <s v="Graphic Card"/>
    <s v="Nvidia"/>
    <n v="7000"/>
    <n v="9100"/>
    <n v="4"/>
    <n v="28000"/>
    <n v="36400"/>
    <s v="Ajay Sharma"/>
    <n v="18200"/>
  </r>
  <r>
    <s v="143627"/>
    <s v="AP"/>
    <s v="Ashish Kumar"/>
    <s v="27/04/2022"/>
    <s v="Processing"/>
    <s v="141 GB DDR4 RAM"/>
    <s v="NIC"/>
    <s v="Hynix"/>
    <n v="6550"/>
    <n v="8515"/>
    <n v="4"/>
    <n v="26200"/>
    <n v="34060"/>
    <s v="Ajay Sharma"/>
    <n v="9100"/>
  </r>
  <r>
    <s v="143628"/>
    <s v="AR"/>
    <s v="Javed Akhter"/>
    <s v="27/04/2022"/>
    <s v="Delivered"/>
    <s v="Standard ATX motherboard"/>
    <s v="Printer"/>
    <s v="Gigabyte"/>
    <n v="7650"/>
    <n v="9945"/>
    <n v="3"/>
    <n v="22950"/>
    <n v="29835"/>
    <s v="Ajay Sharma"/>
    <n v="11700"/>
  </r>
  <r>
    <s v="143629"/>
    <s v="AS"/>
    <s v="Haridas Balraj"/>
    <s v="27/04/2022"/>
    <s v="Shipped"/>
    <s v="Compact with 1 Fan"/>
    <s v="Cabinet"/>
    <s v="Asus"/>
    <n v="1150"/>
    <n v="1495"/>
    <n v="2"/>
    <n v="2300"/>
    <n v="2990"/>
    <s v="Ajay Sharma"/>
    <n v="2990"/>
  </r>
  <r>
    <s v="143630"/>
    <s v="BR"/>
    <s v="Kundan Kumar"/>
    <s v="27/04/2022"/>
    <s v="Order"/>
    <s v="USB Backlight Keyboard"/>
    <s v="Keyboard"/>
    <s v="Dell"/>
    <n v="850"/>
    <n v="1105"/>
    <n v="4"/>
    <n v="3400"/>
    <n v="4420"/>
    <s v="Ajay Sharma"/>
    <n v="3315"/>
  </r>
  <r>
    <s v="143631"/>
    <s v="CG"/>
    <s v="Atif Siddiqui"/>
    <s v="27/04/2022"/>
    <s v="Processing"/>
    <s v="Ergonomic Mouse"/>
    <s v="Mouse"/>
    <s v="Samsung"/>
    <n v="650"/>
    <n v="845"/>
    <n v="2"/>
    <n v="1300"/>
    <n v="1690"/>
    <s v="Ajay Sharma"/>
    <n v="1690"/>
  </r>
  <r>
    <s v="143632"/>
    <s v="GA"/>
    <s v="Aditya Agarwal"/>
    <s v="27/04/2022"/>
    <s v="Delivered"/>
    <s v="15&quot; LCD Dsipaly"/>
    <s v="Monitor"/>
    <s v="Dell"/>
    <n v="7500"/>
    <n v="9750"/>
    <n v="2"/>
    <n v="15000"/>
    <n v="19500"/>
    <s v="Ajay Sharma"/>
    <n v="9750"/>
  </r>
  <r>
    <s v="143633"/>
    <s v="GJ"/>
    <s v="Firdoush Jabee"/>
    <s v="27/04/2022"/>
    <s v="Shipped"/>
    <s v="127 TB HDD"/>
    <s v="HDD"/>
    <s v="Seagate"/>
    <n v="10000"/>
    <n v="13000"/>
    <n v="4"/>
    <n v="40000"/>
    <n v="52000"/>
    <s v="Ajay Sharma"/>
    <n v="39000"/>
  </r>
  <r>
    <s v="143634"/>
    <s v="HR"/>
    <s v="Jay Prakash Kumar"/>
    <s v="27/04/2022"/>
    <s v="Order"/>
    <s v="126 TB SSD"/>
    <s v="SSD"/>
    <s v="Samsung"/>
    <n v="10500"/>
    <n v="13650"/>
    <n v="4"/>
    <n v="42000"/>
    <n v="54600"/>
    <s v="Ajay Sharma"/>
    <n v="8450"/>
  </r>
  <r>
    <s v="143635"/>
    <s v="HP"/>
    <s v="Ashish Pandey"/>
    <s v="27/04/2022"/>
    <s v="Processing"/>
    <s v="Intel i5 12th gen."/>
    <s v="CPU"/>
    <s v="Intel"/>
    <n v="8500"/>
    <n v="11050"/>
    <n v="2"/>
    <n v="17000"/>
    <n v="22100"/>
    <s v="Ajay Sharma"/>
    <n v="33150"/>
  </r>
  <r>
    <s v="143636"/>
    <s v="JK"/>
    <s v="Ajay Sharma"/>
    <s v="27/04/2022"/>
    <s v="Delivered"/>
    <s v="2GB Graphic Card"/>
    <s v="Graphic Card"/>
    <s v="Nvidia"/>
    <n v="7000"/>
    <n v="9100"/>
    <n v="2"/>
    <n v="14000"/>
    <n v="18200"/>
    <s v="Ajay Sharma"/>
    <n v="18200"/>
  </r>
  <r>
    <s v="143637"/>
    <s v="JH"/>
    <s v="Moinuddin Saifi"/>
    <s v="27/04/2022"/>
    <s v="Shipped"/>
    <s v="129 GB DDR4 Ram"/>
    <s v="NIC"/>
    <s v="Hynix"/>
    <n v="1680"/>
    <n v="2184"/>
    <n v="4"/>
    <n v="6720"/>
    <n v="8736"/>
    <s v="Ajay Sharma"/>
    <n v="9100"/>
  </r>
  <r>
    <s v="143638"/>
    <s v="KA"/>
    <s v="Ramkrishna Das Adhikary"/>
    <s v="27/04/2022"/>
    <s v="Order"/>
    <s v="Micro ATX motherboard"/>
    <s v="Printer"/>
    <s v="MSI"/>
    <n v="6540"/>
    <n v="8502"/>
    <n v="2"/>
    <n v="13080"/>
    <n v="17004"/>
    <s v="Ajay Sharma"/>
    <n v="11700"/>
  </r>
  <r>
    <s v="143639"/>
    <s v="KL"/>
    <s v="Ranjeet Mandal"/>
    <s v="27/04/2022"/>
    <s v="Processing"/>
    <s v="Gaming Box Cabinet"/>
    <s v="Cabinet"/>
    <s v="Asus"/>
    <n v="2680"/>
    <n v="3484"/>
    <n v="1"/>
    <n v="2680"/>
    <n v="3484"/>
    <s v="Ajay Sharma"/>
    <n v="2990"/>
  </r>
  <r>
    <s v="143640"/>
    <s v="MP"/>
    <s v="Ashwini Adsare"/>
    <s v="27/04/2022"/>
    <s v="Delivered"/>
    <s v="17&quot; LCD Display"/>
    <s v="Monitor"/>
    <s v="Samsung"/>
    <n v="8250"/>
    <n v="10725"/>
    <n v="3"/>
    <n v="24750"/>
    <n v="32175"/>
    <s v="Ajay Sharma"/>
    <n v="9750"/>
  </r>
  <r>
    <s v="143641"/>
    <s v="MH"/>
    <s v="Rajesh Variya"/>
    <s v="27/04/2022"/>
    <s v="Shipped"/>
    <s v="133 GB DDR4 RAM"/>
    <s v="RAM"/>
    <s v="Samsung"/>
    <n v="2650"/>
    <n v="3445"/>
    <n v="1"/>
    <n v="2650"/>
    <n v="3445"/>
    <s v="Ajay Sharma"/>
    <n v="25545"/>
  </r>
  <r>
    <s v="143642"/>
    <s v="MN"/>
    <s v="Amit Singh"/>
    <s v="28/04/2022"/>
    <s v="Order"/>
    <s v="26&quot; LCD Display"/>
    <s v="Monitor"/>
    <s v="Acer"/>
    <n v="12550"/>
    <n v="16315"/>
    <n v="3"/>
    <n v="37650"/>
    <n v="48945"/>
    <s v="Ajay Sharma"/>
    <n v="9750"/>
  </r>
  <r>
    <s v="143643"/>
    <s v="ML"/>
    <s v="Vinod Mehta"/>
    <s v="29/04/2022"/>
    <s v="Processing"/>
    <s v="I7 - intel 12th Generation"/>
    <s v="CPU"/>
    <s v="Intel"/>
    <n v="14500"/>
    <n v="18850"/>
    <n v="2"/>
    <n v="29000"/>
    <n v="37700"/>
    <s v="Ajay Sharma"/>
    <n v="33150"/>
  </r>
  <r>
    <s v="143644"/>
    <s v="MZ"/>
    <s v="Jignesh Mhatre"/>
    <s v="30/04/2022"/>
    <s v="Delivered"/>
    <s v="USB Keyboard"/>
    <s v="Keyboard"/>
    <s v="Dell"/>
    <n v="800"/>
    <n v="1040"/>
    <n v="3"/>
    <n v="2400"/>
    <n v="3120"/>
    <s v="Ajay Sharma"/>
    <n v="3315"/>
  </r>
  <r>
    <s v="143645"/>
    <s v="NL"/>
    <s v="Rahul Kashyap"/>
    <s v="30/04/2022"/>
    <s v="Shipped"/>
    <s v="Wireless Mouse"/>
    <s v="Mouse"/>
    <s v="Samsung"/>
    <n v="600"/>
    <n v="780"/>
    <n v="2"/>
    <n v="1200"/>
    <n v="1560"/>
    <s v="Ajay Sharma"/>
    <n v="1690"/>
  </r>
  <r>
    <s v="143646"/>
    <s v="OR"/>
    <s v="Mohammed Abdul Kaleem"/>
    <s v="30/04/2022"/>
    <s v="Order"/>
    <s v="21&quot; LCD Display"/>
    <s v="Monitor"/>
    <s v="Dell"/>
    <n v="10500"/>
    <n v="13650"/>
    <n v="4"/>
    <n v="42000"/>
    <n v="54600"/>
    <s v="Ajay Sharma"/>
    <n v="9750"/>
  </r>
  <r>
    <s v="143647"/>
    <s v="PB"/>
    <s v="Chandrakant Kasbe"/>
    <s v="30/04/2022"/>
    <s v="Processing"/>
    <s v="127 TB HDD"/>
    <s v="HDD"/>
    <s v="Western Digital"/>
    <n v="6500"/>
    <n v="8450"/>
    <n v="1"/>
    <n v="6500"/>
    <n v="8450"/>
    <s v="Roshan Kumar"/>
    <n v="39000"/>
  </r>
  <r>
    <s v="143648"/>
    <s v="RJ"/>
    <s v="Rohan Kale"/>
    <s v="30/04/2022"/>
    <s v="Delivered"/>
    <s v="382 GB SSD"/>
    <s v="SSD"/>
    <s v="Samsung"/>
    <n v="4500"/>
    <n v="5850"/>
    <n v="4"/>
    <n v="18000"/>
    <n v="23400"/>
    <s v="Aarvi Gupta"/>
    <n v="8450"/>
  </r>
  <r>
    <s v="143649"/>
    <s v="SK"/>
    <s v="Aniruddha Kekapure"/>
    <s v="30/04/2022"/>
    <s v="Shipped"/>
    <s v="Intel i3 11th gen."/>
    <s v="CPU"/>
    <s v="Intel"/>
    <n v="8500"/>
    <n v="11050"/>
    <n v="4"/>
    <n v="34000"/>
    <n v="44200"/>
    <s v="Vijay Singh"/>
    <n v="33150"/>
  </r>
  <r>
    <s v="143650"/>
    <s v="TN"/>
    <s v="Aslam Raza"/>
    <s v="30/04/2022"/>
    <s v="Order"/>
    <s v="4GB Graphic card"/>
    <s v="Graphic Card"/>
    <s v="Nvidia"/>
    <n v="12500"/>
    <n v="16250"/>
    <n v="3"/>
    <n v="37500"/>
    <n v="48750"/>
    <s v="Aadil Khan"/>
    <n v="18200"/>
  </r>
  <r>
    <s v="143651"/>
    <s v="TR"/>
    <s v="Roshan Zameer"/>
    <s v="30/04/2022"/>
    <s v="Processing"/>
    <s v="134 GB DDR4 RAM"/>
    <s v="RAM"/>
    <s v="Hynix"/>
    <n v="3500"/>
    <n v="4550"/>
    <n v="3"/>
    <n v="10500"/>
    <n v="13650"/>
    <s v="Advika Joshi"/>
    <n v="25545"/>
  </r>
  <r>
    <s v="143652"/>
    <s v="UK"/>
    <s v="Rakesh Kumar Sharma"/>
    <s v="30/04/2022"/>
    <s v="Delivered"/>
    <s v="BTX motherboard"/>
    <s v="MotherBoard"/>
    <s v="Gigabyte"/>
    <n v="4500"/>
    <n v="5850"/>
    <n v="2"/>
    <n v="9000"/>
    <n v="11700"/>
    <s v="Ajay Sharma"/>
    <n v="39780"/>
  </r>
  <r>
    <s v="143653"/>
    <s v="UP"/>
    <s v="Shivanand Sahani"/>
    <s v="30/04/2022"/>
    <s v="Shipped"/>
    <s v="129 Fans Cabinet"/>
    <s v="Cabinet"/>
    <s v="Asus"/>
    <n v="2100"/>
    <n v="2730"/>
    <n v="2"/>
    <n v="4200"/>
    <n v="5460"/>
    <s v="Roshan Kumar"/>
    <n v="2990"/>
  </r>
  <r>
    <s v="143654"/>
    <s v="WB"/>
    <s v="Kunal Patra"/>
    <s v="30/04/2022"/>
    <s v="Order"/>
    <s v="Wireless Keyboard"/>
    <s v="Keyboard"/>
    <s v="Dell"/>
    <n v="1150"/>
    <n v="1495"/>
    <n v="1"/>
    <n v="1150"/>
    <n v="1495"/>
    <s v="Aarvi Gupta"/>
    <n v="3315"/>
  </r>
  <r>
    <s v="143655"/>
    <s v="TN"/>
    <s v="Bijendra"/>
    <s v="30/04/2022"/>
    <s v="Processing"/>
    <s v="USB Mouse"/>
    <s v="Mouse"/>
    <s v="Samsung"/>
    <n v="350"/>
    <n v="455"/>
    <n v="1"/>
    <n v="350"/>
    <n v="455"/>
    <s v="Vijay Singh"/>
    <n v="1690"/>
  </r>
  <r>
    <s v="143656"/>
    <s v="TR"/>
    <s v="Kranti Bheke"/>
    <s v="30/04/2022"/>
    <s v="Delivered"/>
    <s v="19&quot; LED Display"/>
    <s v="Monitor"/>
    <s v="Dell"/>
    <n v="9500"/>
    <n v="12350"/>
    <n v="4"/>
    <n v="38000"/>
    <n v="49400"/>
    <s v="Aadil Khan"/>
    <n v="9750"/>
  </r>
  <r>
    <s v="143657"/>
    <s v="MH"/>
    <s v="Jagdeep"/>
    <s v="30/04/2022"/>
    <s v="Shipped"/>
    <s v="128 TB HDD"/>
    <s v="HDD"/>
    <s v="Western Digital"/>
    <n v="10000"/>
    <n v="13000"/>
    <n v="1"/>
    <n v="10000"/>
    <n v="13000"/>
    <s v="Advika Joshi"/>
    <n v="39000"/>
  </r>
  <r>
    <s v="143658"/>
    <s v="CH"/>
    <s v="Adhir Samal"/>
    <s v="30/04/2022"/>
    <s v="Order"/>
    <s v="638 GB M.2"/>
    <s v="SSD"/>
    <s v="Samsung"/>
    <n v="6500"/>
    <n v="8450"/>
    <n v="2"/>
    <n v="13000"/>
    <n v="16900"/>
    <s v="Ajay Sharma"/>
    <n v="8450"/>
  </r>
  <r>
    <s v="143659"/>
    <s v="DH"/>
    <s v="Dannana Jhammi"/>
    <s v="30/04/2022"/>
    <s v="Processing"/>
    <s v="RYZEN 3rd gen. 3626"/>
    <s v="CPU"/>
    <s v="Intel"/>
    <n v="8500"/>
    <n v="11050"/>
    <n v="4"/>
    <n v="34000"/>
    <n v="44200"/>
    <s v="Roshan Kumar"/>
    <n v="33150"/>
  </r>
  <r>
    <s v="143660"/>
    <s v="DD"/>
    <s v="Vipin Kumar"/>
    <s v="30/04/2022"/>
    <s v="Delivered"/>
    <s v="2GB Graphic Card"/>
    <s v="Graphic Card"/>
    <s v="Nvidia"/>
    <n v="7000"/>
    <n v="9100"/>
    <n v="3"/>
    <n v="21000"/>
    <n v="27300"/>
    <s v="Aarvi Gupta"/>
    <n v="18200"/>
  </r>
  <r>
    <s v="143661"/>
    <s v="DL"/>
    <s v="Ranjeet Kumar"/>
    <s v="30/04/2022"/>
    <s v="Shipped"/>
    <s v="142 GB DDR4 RAM"/>
    <s v="RAM"/>
    <s v="Hynix"/>
    <n v="6550"/>
    <n v="8515"/>
    <n v="2"/>
    <n v="13100"/>
    <n v="17030"/>
    <s v="Vijay Singh"/>
    <n v="25545"/>
  </r>
  <r>
    <s v="143662"/>
    <s v="LD"/>
    <s v="Sajal Singhal"/>
    <s v="30/04/2022"/>
    <s v="Order"/>
    <s v="Standard ATX motherboard"/>
    <s v="MotherBoard"/>
    <s v="Gigabyte"/>
    <n v="7650"/>
    <n v="9945"/>
    <n v="1"/>
    <n v="7650"/>
    <n v="9945"/>
    <s v="Aadil Khan"/>
    <n v="39780"/>
  </r>
  <r>
    <s v="143663"/>
    <s v="PY"/>
    <s v="Akhilesh Kumar"/>
    <s v="30/04/2022"/>
    <s v="Processing"/>
    <s v="Compact with 1 Fan"/>
    <s v="Cabinet"/>
    <s v="Asus"/>
    <n v="1150"/>
    <n v="1495"/>
    <n v="4"/>
    <n v="4600"/>
    <n v="5980"/>
    <s v="Advika Joshi"/>
    <n v="2990"/>
  </r>
  <r>
    <s v="143664"/>
    <s v="AP"/>
    <s v="Suvankar Chakraborty"/>
    <s v="30/04/2022"/>
    <s v="Delivered"/>
    <s v="USB Backlight Keyboard"/>
    <s v="Keyboard"/>
    <s v="Dell"/>
    <n v="850"/>
    <n v="1105"/>
    <n v="2"/>
    <n v="1700"/>
    <n v="2210"/>
    <s v="Ajay Sharma"/>
    <n v="3315"/>
  </r>
  <r>
    <s v="143665"/>
    <s v="AR"/>
    <s v="Suvankar Adhikary"/>
    <s v="30/04/2022"/>
    <s v="Shipped"/>
    <s v="Ergonomic Mouse"/>
    <s v="Mouse"/>
    <s v="Samsung"/>
    <n v="650"/>
    <n v="845"/>
    <n v="1"/>
    <n v="650"/>
    <n v="845"/>
    <s v="Roshan Kumar"/>
    <n v="1690"/>
  </r>
  <r>
    <s v="143666"/>
    <s v="AS"/>
    <s v="Rahul Kumar Prajapati"/>
    <s v="30/04/2022"/>
    <s v="Order"/>
    <s v="15&quot; LCD Dsipaly"/>
    <s v="Monitor"/>
    <s v="Dell"/>
    <n v="7500"/>
    <n v="9750"/>
    <n v="2"/>
    <n v="15000"/>
    <n v="19500"/>
    <s v="Aarvi Gupta"/>
    <n v="9750"/>
  </r>
  <r>
    <s v="143667"/>
    <s v="BR"/>
    <s v="Sagar Jeur"/>
    <s v="30/04/2022"/>
    <s v="Processing"/>
    <s v="128 TB HDD"/>
    <s v="HDD"/>
    <s v="Seagate"/>
    <n v="10000"/>
    <n v="13000"/>
    <n v="2"/>
    <n v="20000"/>
    <n v="26000"/>
    <s v="Vijay Singh"/>
    <n v="39000"/>
  </r>
  <r>
    <s v="143668"/>
    <s v="CG"/>
    <s v="Rhushikesh Mane"/>
    <s v="30/04/2022"/>
    <s v="Delivered"/>
    <s v="127 TB SSD"/>
    <s v="SSD"/>
    <s v="Samsung"/>
    <n v="10500"/>
    <n v="13650"/>
    <n v="2"/>
    <n v="21000"/>
    <n v="27300"/>
    <s v="Aadil Khan"/>
    <n v="8450"/>
  </r>
  <r>
    <s v="143669"/>
    <s v="GA"/>
    <s v="Ashish Kumar"/>
    <s v="30/04/2022"/>
    <s v="Shipped"/>
    <s v="Intel i5 12th gen."/>
    <s v="CPU"/>
    <s v="Intel"/>
    <n v="8500"/>
    <n v="11050"/>
    <n v="2"/>
    <n v="17000"/>
    <n v="22100"/>
    <s v="Advika Joshi"/>
    <n v="33150"/>
  </r>
  <r>
    <s v="143670"/>
    <s v="GJ"/>
    <s v="Javed Akhter"/>
    <s v="30/04/2022"/>
    <s v="Order"/>
    <s v="2GB Graphic Card"/>
    <s v="Graphic Card"/>
    <s v="Nvidia"/>
    <n v="7000"/>
    <n v="9100"/>
    <n v="1"/>
    <n v="7000"/>
    <n v="9100"/>
    <s v="Ajay Sharma"/>
    <n v="18200"/>
  </r>
  <r>
    <s v="143671"/>
    <s v="HR"/>
    <s v="Haridas Balraj"/>
    <s v="30/04/2022"/>
    <s v="Processing"/>
    <s v="130 GB DDR4 Ram"/>
    <s v="RAM"/>
    <s v="Hynix"/>
    <n v="1680"/>
    <n v="2184"/>
    <n v="3"/>
    <n v="5040"/>
    <n v="6552"/>
    <s v="Roshan Kumar"/>
    <n v="25545"/>
  </r>
  <r>
    <s v="143672"/>
    <s v="HP"/>
    <s v="Kundan Kumar"/>
    <s v="30/04/2022"/>
    <s v="Delivered"/>
    <s v="Micro ATX motherboard"/>
    <s v="MotherBoard"/>
    <s v="MSI"/>
    <n v="6540"/>
    <n v="8502"/>
    <n v="4"/>
    <n v="26160"/>
    <n v="34008"/>
    <s v="Aarvi Gupta"/>
    <n v="39780"/>
  </r>
  <r>
    <s v="143673"/>
    <s v="JK"/>
    <s v="Atif Siddiqui"/>
    <s v="30/04/2022"/>
    <s v="Shipped"/>
    <s v="Gaming Box Cabinet"/>
    <s v="Cabinet"/>
    <s v="Asus"/>
    <n v="2680"/>
    <n v="3484"/>
    <n v="3"/>
    <n v="8040"/>
    <n v="10452"/>
    <s v="Vijay Singh"/>
    <n v="2990"/>
  </r>
  <r>
    <s v="143674"/>
    <s v="JH"/>
    <s v="Aditya Agarwal"/>
    <s v="30/04/2022"/>
    <s v="Order"/>
    <s v="17&quot; LCD Display"/>
    <s v="Monitor"/>
    <s v="Samsung"/>
    <n v="8250"/>
    <n v="10725"/>
    <n v="3"/>
    <n v="24750"/>
    <n v="32175"/>
    <s v="Aadil Khan"/>
    <n v="9750"/>
  </r>
  <r>
    <s v="143675"/>
    <s v="KA"/>
    <s v="Firdoush Jabee"/>
    <s v="30/04/2022"/>
    <s v="Processing"/>
    <s v="134 GB DDR4 RAM"/>
    <s v="RAM"/>
    <s v="Samsung"/>
    <n v="2650"/>
    <n v="3445"/>
    <n v="4"/>
    <n v="10600"/>
    <n v="13780"/>
    <s v="Advika Joshi"/>
    <n v="25545"/>
  </r>
  <r>
    <s v="143676"/>
    <s v="KL"/>
    <s v="Jay Prakash Kumar"/>
    <s v="30/04/2022"/>
    <s v="Delivered"/>
    <s v="26&quot; LCD Display"/>
    <s v="Monitor"/>
    <s v="Acer"/>
    <n v="12550"/>
    <n v="16315"/>
    <n v="4"/>
    <n v="50200"/>
    <n v="65260"/>
    <s v="Ajay Sharma"/>
    <n v="9750"/>
  </r>
  <r>
    <s v="143677"/>
    <s v="MP"/>
    <s v="Ashish Pandey"/>
    <s v="30/04/2022"/>
    <s v="Shipped"/>
    <s v="I7 - intel 12th Generation"/>
    <s v="CPU"/>
    <s v="Intel"/>
    <n v="14500"/>
    <n v="18850"/>
    <n v="4"/>
    <n v="58000"/>
    <n v="75400"/>
    <s v="Roshan Kumar"/>
    <n v="33150"/>
  </r>
  <r>
    <s v="143678"/>
    <s v="MH"/>
    <s v="Ajay Sharma"/>
    <s v="30/04/2022"/>
    <s v="Order"/>
    <s v="USB Keyboard"/>
    <s v="Keyboard"/>
    <s v="Dell"/>
    <n v="800"/>
    <n v="1040"/>
    <n v="4"/>
    <n v="3200"/>
    <n v="4160"/>
    <s v="Aarvi Gupta"/>
    <n v="3315"/>
  </r>
  <r>
    <s v="143679"/>
    <s v="MN"/>
    <s v="Moinuddin Saifi"/>
    <s v="30/04/2022"/>
    <s v="Processing"/>
    <s v="Wireless Mouse"/>
    <s v="Mouse"/>
    <s v="Samsung"/>
    <n v="600"/>
    <n v="780"/>
    <n v="4"/>
    <n v="2400"/>
    <n v="3120"/>
    <s v="Vijay Singh"/>
    <n v="1690"/>
  </r>
  <r>
    <s v="143680"/>
    <s v="ML"/>
    <s v="Ramkrishna Das Adhikary"/>
    <s v="01/05/2022"/>
    <s v="Delivered"/>
    <s v="21&quot; LCD Display"/>
    <s v="Monitor"/>
    <s v="Dell"/>
    <n v="10500"/>
    <n v="13650"/>
    <n v="4"/>
    <n v="42000"/>
    <n v="54600"/>
    <s v="Aadil Khan"/>
    <n v="9750"/>
  </r>
  <r>
    <s v="143681"/>
    <s v="MZ"/>
    <s v="Ranjeet Mandal"/>
    <s v="02/05/2022"/>
    <s v="Shipped"/>
    <s v="128 TB HDD"/>
    <s v="HDD"/>
    <s v="Western Digital"/>
    <n v="6500"/>
    <n v="8450"/>
    <n v="1"/>
    <n v="6500"/>
    <n v="8450"/>
    <s v="Advika Joshi"/>
    <n v="39000"/>
  </r>
  <r>
    <s v="143682"/>
    <s v="NL"/>
    <s v="Ashwini Adsare"/>
    <s v="03/05/2022"/>
    <s v="Order"/>
    <s v="383 GB SSD"/>
    <s v="SSD"/>
    <s v="Samsung"/>
    <n v="4500"/>
    <n v="5850"/>
    <n v="2"/>
    <n v="9000"/>
    <n v="11700"/>
    <s v="Ajay Sharma"/>
    <n v="8450"/>
  </r>
  <r>
    <s v="143683"/>
    <s v="OR"/>
    <s v="Rajesh Variya"/>
    <s v="04/05/2022"/>
    <s v="Processing"/>
    <s v="Intel i3 11th gen."/>
    <s v="CPU"/>
    <s v="Intel"/>
    <n v="8500"/>
    <n v="11050"/>
    <n v="1"/>
    <n v="8500"/>
    <n v="11050"/>
    <s v="Roshan Kumar"/>
    <n v="33150"/>
  </r>
  <r>
    <s v="143684"/>
    <s v="PB"/>
    <s v="Amit Singh"/>
    <s v="05/05/2022"/>
    <s v="Delivered"/>
    <s v="4GB Graphic card"/>
    <s v="Graphic Card"/>
    <s v="Nvidia"/>
    <n v="12500"/>
    <n v="16250"/>
    <n v="1"/>
    <n v="12500"/>
    <n v="16250"/>
    <s v="Ajay Sharma"/>
    <n v="18200"/>
  </r>
  <r>
    <s v="143685"/>
    <s v="RJ"/>
    <s v="Vinod Mehta"/>
    <s v="05/05/2022"/>
    <s v="Shipped"/>
    <s v="135 GB DDR4 RAM"/>
    <s v="Computer Case"/>
    <s v="Hynix"/>
    <n v="3500"/>
    <n v="4550"/>
    <n v="4"/>
    <n v="14000"/>
    <n v="18200"/>
    <s v="Ajay Sharma"/>
    <n v="13650"/>
  </r>
  <r>
    <s v="143686"/>
    <s v="SK"/>
    <s v="Jignesh Mhatre"/>
    <s v="05/05/2022"/>
    <s v="Order"/>
    <s v="BTX motherboard"/>
    <s v="Mouse"/>
    <s v="Gigabyte"/>
    <n v="4500"/>
    <n v="5850"/>
    <n v="4"/>
    <n v="18000"/>
    <n v="23400"/>
    <s v="Ajay Sharma"/>
    <n v="1690"/>
  </r>
  <r>
    <s v="143687"/>
    <s v="TN"/>
    <s v="Rahul Kashyap"/>
    <s v="05/05/2022"/>
    <s v="Processing"/>
    <s v="130 Fans Cabinet"/>
    <s v="Cabinet"/>
    <s v="Asus"/>
    <n v="2100"/>
    <n v="2730"/>
    <n v="3"/>
    <n v="6300"/>
    <n v="8190"/>
    <s v="Ajay Sharma"/>
    <n v="2990"/>
  </r>
  <r>
    <s v="143688"/>
    <s v="TR"/>
    <s v="Mohammed Abdul Kaleem"/>
    <s v="05/05/2022"/>
    <s v="Delivered"/>
    <s v="Wireless Keyboard"/>
    <s v="Keyboard"/>
    <s v="Dell"/>
    <n v="1150"/>
    <n v="1495"/>
    <n v="2"/>
    <n v="2300"/>
    <n v="2990"/>
    <s v="Ajay Sharma"/>
    <n v="3315"/>
  </r>
  <r>
    <s v="143689"/>
    <s v="UK"/>
    <s v="Chandrakant Kasbe"/>
    <s v="05/05/2022"/>
    <s v="Shipped"/>
    <s v="USB Mouse"/>
    <s v="Mouse"/>
    <s v="Samsung"/>
    <n v="350"/>
    <n v="455"/>
    <n v="3"/>
    <n v="1050"/>
    <n v="1365"/>
    <s v="Ajay Sharma"/>
    <n v="1690"/>
  </r>
  <r>
    <s v="143690"/>
    <s v="UP"/>
    <s v="Rohan Kale"/>
    <s v="05/05/2022"/>
    <s v="Order"/>
    <s v="19&quot; LED Display"/>
    <s v="Monitor"/>
    <s v="Dell"/>
    <n v="9500"/>
    <n v="12350"/>
    <n v="4"/>
    <n v="38000"/>
    <n v="49400"/>
    <s v="Ajay Sharma"/>
    <n v="9750"/>
  </r>
  <r>
    <s v="143691"/>
    <s v="WB"/>
    <s v="Aniruddha Kekapure"/>
    <s v="05/05/2022"/>
    <s v="Processing"/>
    <s v="129 TB HDD"/>
    <s v="HDD"/>
    <s v="Western Digital"/>
    <n v="10000"/>
    <n v="13000"/>
    <n v="1"/>
    <n v="10000"/>
    <n v="13000"/>
    <s v="Ajay Sharma"/>
    <n v="39000"/>
  </r>
  <r>
    <s v="143692"/>
    <s v="TN"/>
    <s v="Aslam Raza"/>
    <s v="05/05/2022"/>
    <s v="Delivered"/>
    <s v="639 GB M.2"/>
    <s v="SSD"/>
    <s v="Samsung"/>
    <n v="6500"/>
    <n v="8450"/>
    <n v="4"/>
    <n v="26000"/>
    <n v="33800"/>
    <s v="Ajay Sharma"/>
    <n v="8450"/>
  </r>
  <r>
    <s v="143693"/>
    <s v="TR"/>
    <s v="Roshan Zameer"/>
    <s v="06/05/2022"/>
    <s v="Shipped"/>
    <s v="RYZEN 3rd gen. 3627"/>
    <s v="CPU"/>
    <s v="Intel"/>
    <n v="8500"/>
    <n v="11050"/>
    <n v="1"/>
    <n v="8500"/>
    <n v="11050"/>
    <s v="Ajay Sharma"/>
    <n v="33150"/>
  </r>
  <r>
    <s v="143694"/>
    <s v="MH"/>
    <s v="Rakesh Kumar Sharma"/>
    <s v="07/05/2022"/>
    <s v="Order"/>
    <s v="2GB Graphic Card"/>
    <s v="Graphic Card"/>
    <s v="Nvidia"/>
    <n v="7000"/>
    <n v="9100"/>
    <n v="2"/>
    <n v="14000"/>
    <n v="18200"/>
    <s v="Ajay Sharma"/>
    <n v="18200"/>
  </r>
  <r>
    <s v="143695"/>
    <s v="CH"/>
    <s v="Shivanand Sahani"/>
    <s v="08/05/2022"/>
    <s v="Processing"/>
    <s v="143 GB DDR4 RAM"/>
    <s v="Computer Case"/>
    <s v="Hynix"/>
    <n v="6550"/>
    <n v="8515"/>
    <n v="4"/>
    <n v="26200"/>
    <n v="34060"/>
    <s v="Ajay Sharma"/>
    <n v="13650"/>
  </r>
  <r>
    <s v="143696"/>
    <s v="DH"/>
    <s v="Kunal Patra"/>
    <s v="09/05/2022"/>
    <s v="Delivered"/>
    <s v="Standard ATX motherboard"/>
    <s v="Mouse"/>
    <s v="Gigabyte"/>
    <n v="7650"/>
    <n v="9945"/>
    <n v="4"/>
    <n v="30600"/>
    <n v="39780"/>
    <s v="Ajay Sharma"/>
    <n v="1690"/>
  </r>
  <r>
    <s v="143697"/>
    <s v="DD"/>
    <s v="Bijendra"/>
    <s v="09/05/2022"/>
    <s v="Shipped"/>
    <s v="Compact with 1 Fan"/>
    <s v="Cabinet"/>
    <s v="Asus"/>
    <n v="1150"/>
    <n v="1495"/>
    <n v="3"/>
    <n v="3450"/>
    <n v="4485"/>
    <s v="Ajay Sharma"/>
    <n v="2990"/>
  </r>
  <r>
    <s v="143698"/>
    <s v="DL"/>
    <s v="Kranti Bheke"/>
    <s v="09/05/2022"/>
    <s v="Order"/>
    <s v="USB Backlight Keyboard"/>
    <s v="Keyboard"/>
    <s v="Dell"/>
    <n v="850"/>
    <n v="1105"/>
    <n v="3"/>
    <n v="2550"/>
    <n v="3315"/>
    <s v="Ajay Sharma"/>
    <n v="3315"/>
  </r>
  <r>
    <s v="143699"/>
    <s v="LD"/>
    <s v="Jagdeep"/>
    <s v="09/05/2022"/>
    <s v="Processing"/>
    <s v="Ergonomic Mouse"/>
    <s v="Mouse"/>
    <s v="Samsung"/>
    <n v="650"/>
    <n v="845"/>
    <n v="3"/>
    <n v="1950"/>
    <n v="2535"/>
    <s v="Ajay Sharma"/>
    <n v="1690"/>
  </r>
  <r>
    <s v="143700"/>
    <s v="PY"/>
    <s v="Adhir Samal"/>
    <s v="09/05/2022"/>
    <s v="Delivered"/>
    <s v="15&quot; LCD Dsipaly"/>
    <s v="Monitor"/>
    <s v="Dell"/>
    <n v="7500"/>
    <n v="9750"/>
    <n v="3"/>
    <n v="22500"/>
    <n v="29250"/>
    <s v="Ajay Sharma"/>
    <n v="9750"/>
  </r>
  <r>
    <s v="143701"/>
    <s v="AP"/>
    <s v="Dannana Jhammi"/>
    <s v="09/05/2022"/>
    <s v="Shipped"/>
    <s v="129 TB HDD"/>
    <s v="HDD"/>
    <s v="Seagate"/>
    <n v="10000"/>
    <n v="13000"/>
    <n v="1"/>
    <n v="10000"/>
    <n v="13000"/>
    <s v="Ajay Sharma"/>
    <n v="39000"/>
  </r>
  <r>
    <s v="143702"/>
    <s v="AR"/>
    <s v="Vipin Kumar"/>
    <s v="09/05/2022"/>
    <s v="Order"/>
    <s v="128 TB SSD"/>
    <s v="SSD"/>
    <s v="Samsung"/>
    <n v="10500"/>
    <n v="13650"/>
    <n v="1"/>
    <n v="10500"/>
    <n v="13650"/>
    <s v="Ajay Sharma"/>
    <n v="8450"/>
  </r>
  <r>
    <s v="143703"/>
    <s v="AS"/>
    <s v="Ranjeet Kumar"/>
    <s v="09/05/2022"/>
    <s v="Processing"/>
    <s v="Intel i5 12th gen."/>
    <s v="CPU"/>
    <s v="Intel"/>
    <n v="8500"/>
    <n v="11050"/>
    <n v="1"/>
    <n v="8500"/>
    <n v="11050"/>
    <s v="Ajay Sharma"/>
    <n v="33150"/>
  </r>
  <r>
    <s v="143704"/>
    <s v="BR"/>
    <s v="Sajal Singhal"/>
    <s v="09/05/2022"/>
    <s v="Delivered"/>
    <s v="2GB Graphic Card"/>
    <s v="Graphic Card"/>
    <s v="Nvidia"/>
    <n v="7000"/>
    <n v="9100"/>
    <n v="4"/>
    <n v="28000"/>
    <n v="36400"/>
    <s v="Aadil Khan"/>
    <n v="18200"/>
  </r>
  <r>
    <s v="143705"/>
    <s v="CG"/>
    <s v="Akhilesh Kumar"/>
    <s v="09/05/2022"/>
    <s v="Shipped"/>
    <s v="131 GB DDR4 Ram"/>
    <s v="Computer Case"/>
    <s v="Hynix"/>
    <n v="1680"/>
    <n v="2184"/>
    <n v="4"/>
    <n v="6720"/>
    <n v="8736"/>
    <s v="Advika Joshi"/>
    <n v="13650"/>
  </r>
  <r>
    <s v="143706"/>
    <s v="GA"/>
    <s v="Suvankar Chakraborty"/>
    <s v="09/05/2022"/>
    <s v="Order"/>
    <s v="Micro ATX motherboard"/>
    <s v="Mouse"/>
    <s v="MSI"/>
    <n v="6540"/>
    <n v="8502"/>
    <n v="4"/>
    <n v="26160"/>
    <n v="34008"/>
    <s v="Ajay Sharma"/>
    <n v="1690"/>
  </r>
  <r>
    <s v="143707"/>
    <s v="GJ"/>
    <s v="Suvankar Adhikary"/>
    <s v="09/05/2022"/>
    <s v="Processing"/>
    <s v="Gaming Box Cabinet"/>
    <s v="Cabinet"/>
    <s v="Asus"/>
    <n v="2680"/>
    <n v="3484"/>
    <n v="3"/>
    <n v="8040"/>
    <n v="10452"/>
    <s v="Roshan Kumar"/>
    <n v="2990"/>
  </r>
  <r>
    <s v="143708"/>
    <s v="HR"/>
    <s v="Rahul Kumar Prajapati"/>
    <s v="09/05/2022"/>
    <s v="Delivered"/>
    <s v="17&quot; LCD Display"/>
    <s v="Monitor"/>
    <s v="Samsung"/>
    <n v="8250"/>
    <n v="10725"/>
    <n v="2"/>
    <n v="16500"/>
    <n v="21450"/>
    <s v="Aarvi Gupta"/>
    <n v="9750"/>
  </r>
  <r>
    <s v="143709"/>
    <s v="HP"/>
    <s v="Sagar Jeur"/>
    <s v="09/05/2022"/>
    <s v="Shipped"/>
    <s v="135 GB DDR4 RAM"/>
    <s v="RAM"/>
    <s v="Samsung"/>
    <n v="2650"/>
    <n v="3445"/>
    <n v="2"/>
    <n v="5300"/>
    <n v="6890"/>
    <s v="Vijay Singh"/>
    <n v="25545"/>
  </r>
  <r>
    <s v="143710"/>
    <s v="JK"/>
    <s v="Rhushikesh Mane"/>
    <s v="09/05/2022"/>
    <s v="Order"/>
    <s v="26&quot; LCD Display"/>
    <s v="Monitor"/>
    <s v="Acer"/>
    <n v="12550"/>
    <n v="16315"/>
    <n v="1"/>
    <n v="12550"/>
    <n v="16315"/>
    <s v="Aadil Khan"/>
    <n v="9750"/>
  </r>
  <r>
    <s v="143711"/>
    <s v="JH"/>
    <s v="Ashish Kumar"/>
    <s v="09/05/2022"/>
    <s v="Processing"/>
    <s v="I7 - intel 12th Generation"/>
    <s v="CPU"/>
    <s v="Intel"/>
    <n v="14500"/>
    <n v="18850"/>
    <n v="2"/>
    <n v="29000"/>
    <n v="37700"/>
    <s v="Advika Joshi"/>
    <n v="33150"/>
  </r>
  <r>
    <s v="143712"/>
    <s v="KA"/>
    <s v="Javed Akhter"/>
    <s v="09/05/2022"/>
    <s v="Delivered"/>
    <s v="USB Keyboard"/>
    <s v="Keyboard"/>
    <s v="Dell"/>
    <n v="800"/>
    <n v="1040"/>
    <n v="1"/>
    <n v="800"/>
    <n v="1040"/>
    <s v="Ajay Sharma"/>
    <n v="3315"/>
  </r>
  <r>
    <s v="143713"/>
    <s v="KL"/>
    <s v="Haridas Balraj"/>
    <s v="09/05/2022"/>
    <s v="Shipped"/>
    <s v="Wireless Mouse"/>
    <s v="Mouse"/>
    <s v="Samsung"/>
    <n v="600"/>
    <n v="780"/>
    <n v="3"/>
    <n v="1800"/>
    <n v="2340"/>
    <s v="Roshan Kumar"/>
    <n v="1690"/>
  </r>
  <r>
    <s v="143714"/>
    <s v="MP"/>
    <s v="Kundan Kumar"/>
    <s v="09/05/2022"/>
    <s v="Order"/>
    <s v="21&quot; LCD Display"/>
    <s v="Monitor"/>
    <s v="Dell"/>
    <n v="10500"/>
    <n v="13650"/>
    <n v="2"/>
    <n v="21000"/>
    <n v="27300"/>
    <s v="Aarvi Gupta"/>
    <n v="9750"/>
  </r>
  <r>
    <s v="143715"/>
    <s v="MH"/>
    <s v="Atif Siddiqui"/>
    <s v="09/05/2022"/>
    <s v="Processing"/>
    <s v="129 TB HDD"/>
    <s v="HDD"/>
    <s v="Western Digital"/>
    <n v="6500"/>
    <n v="8450"/>
    <n v="4"/>
    <n v="26000"/>
    <n v="33800"/>
    <s v="Vijay Singh"/>
    <n v="39000"/>
  </r>
  <r>
    <s v="143716"/>
    <s v="MN"/>
    <s v="Aditya Agarwal"/>
    <s v="09/05/2022"/>
    <s v="Delivered"/>
    <s v="384 GB SSD"/>
    <s v="SSD"/>
    <s v="Samsung"/>
    <n v="4500"/>
    <n v="5850"/>
    <n v="1"/>
    <n v="4500"/>
    <n v="5850"/>
    <s v="Aadil Khan"/>
    <n v="8450"/>
  </r>
  <r>
    <s v="143717"/>
    <s v="ML"/>
    <s v="Firdoush Jabee"/>
    <s v="09/05/2022"/>
    <s v="Shipped"/>
    <s v="Intel i3 11th gen."/>
    <s v="CPU"/>
    <s v="Intel"/>
    <n v="8500"/>
    <n v="11050"/>
    <n v="4"/>
    <n v="34000"/>
    <n v="44200"/>
    <s v="Advika Joshi"/>
    <n v="33150"/>
  </r>
  <r>
    <s v="143718"/>
    <s v="MZ"/>
    <s v="Jay Prakash Kumar"/>
    <s v="09/05/2022"/>
    <s v="Order"/>
    <s v="4GB Graphic card"/>
    <s v="Graphic Card"/>
    <s v="Nvidia"/>
    <n v="12500"/>
    <n v="16250"/>
    <n v="2"/>
    <n v="25000"/>
    <n v="32500"/>
    <s v="Ajay Sharma"/>
    <n v="18200"/>
  </r>
  <r>
    <s v="143719"/>
    <s v="NL"/>
    <s v="Ashish Pandey"/>
    <s v="09/05/2022"/>
    <s v="Processing"/>
    <s v="136 GB DDR4 RAM"/>
    <s v="NIC"/>
    <s v="Hynix"/>
    <n v="3500"/>
    <n v="4550"/>
    <n v="1"/>
    <n v="3500"/>
    <n v="4550"/>
    <s v="Roshan Kumar"/>
    <n v="9100"/>
  </r>
  <r>
    <s v="143720"/>
    <s v="OR"/>
    <s v="Ajay Sharma"/>
    <s v="09/05/2022"/>
    <s v="Delivered"/>
    <s v="BTX motherboard"/>
    <s v="Printer"/>
    <s v="Gigabyte"/>
    <n v="4500"/>
    <n v="5850"/>
    <n v="2"/>
    <n v="9000"/>
    <n v="11700"/>
    <s v="Aarvi Gupta"/>
    <n v="11700"/>
  </r>
  <r>
    <s v="143721"/>
    <s v="PB"/>
    <s v="Moinuddin Saifi"/>
    <s v="09/05/2022"/>
    <s v="Shipped"/>
    <s v="131 Fans Cabinet"/>
    <s v="Cabinet"/>
    <s v="Asus"/>
    <n v="2100"/>
    <n v="2730"/>
    <n v="1"/>
    <n v="2100"/>
    <n v="2730"/>
    <s v="Vijay Singh"/>
    <n v="2990"/>
  </r>
  <r>
    <s v="143722"/>
    <s v="RJ"/>
    <s v="Ramkrishna Das Adhikary"/>
    <s v="09/05/2022"/>
    <s v="Order"/>
    <s v="Wireless Keyboard"/>
    <s v="Keyboard"/>
    <s v="Dell"/>
    <n v="1150"/>
    <n v="1495"/>
    <n v="3"/>
    <n v="3450"/>
    <n v="4485"/>
    <s v="Aadil Khan"/>
    <n v="3315"/>
  </r>
  <r>
    <s v="143723"/>
    <s v="SK"/>
    <s v="Ranjeet Mandal"/>
    <s v="09/05/2022"/>
    <s v="Processing"/>
    <s v="USB Mouse"/>
    <s v="Mouse"/>
    <s v="Samsung"/>
    <n v="350"/>
    <n v="455"/>
    <n v="2"/>
    <n v="700"/>
    <n v="910"/>
    <s v="Advika Joshi"/>
    <n v="1690"/>
  </r>
  <r>
    <s v="143724"/>
    <s v="TN"/>
    <s v="Ashwini Adsare"/>
    <s v="09/05/2022"/>
    <s v="Delivered"/>
    <s v="19&quot; LED Display"/>
    <s v="Monitor"/>
    <s v="Dell"/>
    <n v="9500"/>
    <n v="12350"/>
    <n v="3"/>
    <n v="28500"/>
    <n v="37050"/>
    <s v="Ajay Sharma"/>
    <n v="9750"/>
  </r>
  <r>
    <s v="143725"/>
    <s v="TR"/>
    <s v="Rajesh Variya"/>
    <s v="09/05/2022"/>
    <s v="Shipped"/>
    <s v="130 TB HDD"/>
    <s v="HDD"/>
    <s v="Western Digital"/>
    <n v="10000"/>
    <n v="13000"/>
    <n v="2"/>
    <n v="20000"/>
    <n v="26000"/>
    <s v="Roshan Kumar"/>
    <n v="39000"/>
  </r>
  <r>
    <s v="143726"/>
    <s v="UK"/>
    <s v="Amit Singh"/>
    <s v="09/05/2022"/>
    <s v="Order"/>
    <s v="640 GB M.2"/>
    <s v="SSD"/>
    <s v="Samsung"/>
    <n v="6500"/>
    <n v="8450"/>
    <n v="2"/>
    <n v="13000"/>
    <n v="16900"/>
    <s v="Aarvi Gupta"/>
    <n v="8450"/>
  </r>
  <r>
    <s v="143727"/>
    <s v="UP"/>
    <s v="Vinod Mehta"/>
    <s v="09/05/2022"/>
    <s v="Processing"/>
    <s v="RYZEN 3rd gen. 3628"/>
    <s v="CPU"/>
    <s v="Intel"/>
    <n v="8500"/>
    <n v="11050"/>
    <n v="2"/>
    <n v="17000"/>
    <n v="22100"/>
    <s v="Vijay Singh"/>
    <n v="33150"/>
  </r>
  <r>
    <s v="143728"/>
    <s v="WB"/>
    <s v="Jignesh Mhatre"/>
    <s v="09/05/2022"/>
    <s v="Delivered"/>
    <s v="2GB Graphic Card"/>
    <s v="Graphic Card"/>
    <s v="Nvidia"/>
    <n v="7000"/>
    <n v="9100"/>
    <n v="2"/>
    <n v="14000"/>
    <n v="18200"/>
    <s v="Aadil Khan"/>
    <n v="18200"/>
  </r>
  <r>
    <s v="143729"/>
    <s v="TN"/>
    <s v="Rahul Kashyap"/>
    <s v="09/05/2022"/>
    <s v="Shipped"/>
    <s v="144 GB DDR4 RAM"/>
    <s v="NIC"/>
    <s v="Hynix"/>
    <n v="6550"/>
    <n v="8515"/>
    <n v="1"/>
    <n v="6550"/>
    <n v="8515"/>
    <s v="Advika Joshi"/>
    <n v="9100"/>
  </r>
  <r>
    <s v="143730"/>
    <s v="TR"/>
    <s v="Mohammed Abdul Kaleem"/>
    <s v="09/05/2022"/>
    <s v="Order"/>
    <s v="Standard ATX motherboard"/>
    <s v="Printer"/>
    <s v="Gigabyte"/>
    <n v="7650"/>
    <n v="9945"/>
    <n v="1"/>
    <n v="7650"/>
    <n v="9945"/>
    <s v="Ajay Sharma"/>
    <n v="11700"/>
  </r>
  <r>
    <s v="143731"/>
    <s v="MH"/>
    <s v="Chandrakant Kasbe"/>
    <s v="09/05/2022"/>
    <s v="Processing"/>
    <s v="Compact with 1 Fan"/>
    <s v="Cabinet"/>
    <s v="Asus"/>
    <n v="1150"/>
    <n v="1495"/>
    <n v="1"/>
    <n v="1150"/>
    <n v="1495"/>
    <s v="Roshan Kumar"/>
    <n v="2990"/>
  </r>
  <r>
    <s v="143732"/>
    <s v="CH"/>
    <s v="Rohan Kale"/>
    <s v="09/05/2022"/>
    <s v="Delivered"/>
    <s v="USB Backlight Keyboard"/>
    <s v="Keyboard"/>
    <s v="Dell"/>
    <n v="850"/>
    <n v="1105"/>
    <n v="1"/>
    <n v="850"/>
    <n v="1105"/>
    <s v="Ajay Sharma"/>
    <n v="3315"/>
  </r>
  <r>
    <s v="143733"/>
    <s v="DH"/>
    <s v="Aniruddha Kekapure"/>
    <s v="09/05/2022"/>
    <s v="Shipped"/>
    <s v="Ergonomic Mouse"/>
    <s v="Mouse"/>
    <s v="Samsung"/>
    <n v="650"/>
    <n v="845"/>
    <n v="1"/>
    <n v="650"/>
    <n v="845"/>
    <s v="Ajay Sharma"/>
    <n v="1690"/>
  </r>
  <r>
    <s v="143734"/>
    <s v="DD"/>
    <s v="Aslam Raza"/>
    <s v="10/05/2022"/>
    <s v="Order"/>
    <s v="15&quot; LCD Dsipaly"/>
    <s v="Monitor"/>
    <s v="Dell"/>
    <n v="7500"/>
    <n v="9750"/>
    <n v="1"/>
    <n v="7500"/>
    <n v="9750"/>
    <s v="Ajay Sharma"/>
    <n v="9750"/>
  </r>
  <r>
    <s v="143735"/>
    <s v="DL"/>
    <s v="Roshan Zameer"/>
    <s v="10/05/2022"/>
    <s v="Processing"/>
    <s v="130 TB HDD"/>
    <s v="HDD"/>
    <s v="Seagate"/>
    <n v="10000"/>
    <n v="13000"/>
    <n v="1"/>
    <n v="10000"/>
    <n v="13000"/>
    <s v="Ajay Sharma"/>
    <n v="39000"/>
  </r>
  <r>
    <s v="143736"/>
    <s v="LD"/>
    <s v="Rakesh Kumar Sharma"/>
    <s v="10/05/2022"/>
    <s v="Delivered"/>
    <s v="129 TB SSD"/>
    <s v="SSD"/>
    <s v="Samsung"/>
    <n v="10500"/>
    <n v="13650"/>
    <n v="4"/>
    <n v="42000"/>
    <n v="54600"/>
    <s v="Ajay Sharma"/>
    <n v="8450"/>
  </r>
  <r>
    <s v="143737"/>
    <s v="PY"/>
    <s v="Shivanand Sahani"/>
    <s v="10/05/2022"/>
    <s v="Shipped"/>
    <s v="Intel i5 12th gen."/>
    <s v="CPU"/>
    <s v="Intel"/>
    <n v="8500"/>
    <n v="11050"/>
    <n v="3"/>
    <n v="25500"/>
    <n v="33150"/>
    <s v="Ajay Sharma"/>
    <n v="33150"/>
  </r>
  <r>
    <s v="143738"/>
    <s v="AP"/>
    <s v="Kunal Patra"/>
    <s v="10/05/2022"/>
    <s v="Order"/>
    <s v="2GB Graphic Card"/>
    <s v="Graphic Card"/>
    <s v="Nvidia"/>
    <n v="7000"/>
    <n v="9100"/>
    <n v="1"/>
    <n v="7000"/>
    <n v="9100"/>
    <s v="Ajay Sharma"/>
    <n v="18200"/>
  </r>
  <r>
    <s v="143739"/>
    <s v="AR"/>
    <s v="Bijendra"/>
    <s v="10/05/2022"/>
    <s v="Processing"/>
    <s v="132 GB DDR4 Ram"/>
    <s v="NIC"/>
    <s v="Hynix"/>
    <n v="1680"/>
    <n v="2184"/>
    <n v="2"/>
    <n v="3360"/>
    <n v="4368"/>
    <s v="Ajay Sharma"/>
    <n v="9100"/>
  </r>
  <r>
    <s v="143740"/>
    <s v="AS"/>
    <s v="Kranti Bheke"/>
    <s v="10/05/2022"/>
    <s v="Delivered"/>
    <s v="Micro ATX motherboard"/>
    <s v="Printer"/>
    <s v="MSI"/>
    <n v="6540"/>
    <n v="8502"/>
    <n v="3"/>
    <n v="19620"/>
    <n v="25506"/>
    <s v="Ajay Sharma"/>
    <n v="11700"/>
  </r>
  <r>
    <s v="143741"/>
    <s v="BR"/>
    <s v="Jagdeep"/>
    <s v="10/05/2022"/>
    <s v="Shipped"/>
    <s v="Gaming Box Cabinet"/>
    <s v="Cabinet"/>
    <s v="Asus"/>
    <n v="2680"/>
    <n v="3484"/>
    <n v="2"/>
    <n v="5360"/>
    <n v="6968"/>
    <s v="Ajay Sharma"/>
    <n v="2990"/>
  </r>
  <r>
    <s v="143742"/>
    <s v="CG"/>
    <s v="Adhir Samal"/>
    <s v="10/05/2022"/>
    <s v="Order"/>
    <s v="17&quot; LCD Display"/>
    <s v="Monitor"/>
    <s v="Samsung"/>
    <n v="8250"/>
    <n v="10725"/>
    <n v="3"/>
    <n v="24750"/>
    <n v="32175"/>
    <s v="Ajay Sharma"/>
    <n v="9750"/>
  </r>
  <r>
    <s v="143743"/>
    <s v="GA"/>
    <s v="Dannana Jhammi"/>
    <s v="10/05/2022"/>
    <s v="Processing"/>
    <s v="136 GB DDR4 RAM"/>
    <s v="RAM"/>
    <s v="Samsung"/>
    <n v="2650"/>
    <n v="3445"/>
    <n v="1"/>
    <n v="2650"/>
    <n v="3445"/>
    <s v="Ajay Sharma"/>
    <n v="25545"/>
  </r>
  <r>
    <s v="143744"/>
    <s v="GJ"/>
    <s v="Vipin Kumar"/>
    <s v="10/05/2022"/>
    <s v="Delivered"/>
    <s v="26&quot; LCD Display"/>
    <s v="Monitor"/>
    <s v="Acer"/>
    <n v="12550"/>
    <n v="16315"/>
    <n v="2"/>
    <n v="25100"/>
    <n v="32630"/>
    <s v="Ajay Sharma"/>
    <n v="9750"/>
  </r>
  <r>
    <s v="143745"/>
    <s v="HR"/>
    <s v="Ranjeet Kumar"/>
    <s v="10/05/2022"/>
    <s v="Shipped"/>
    <s v="I7 - intel 12th Generation"/>
    <s v="CPU"/>
    <s v="Intel"/>
    <n v="14500"/>
    <n v="18850"/>
    <n v="1"/>
    <n v="14500"/>
    <n v="18850"/>
    <s v="Ajay Sharma"/>
    <n v="33150"/>
  </r>
  <r>
    <s v="143746"/>
    <s v="HP"/>
    <s v="Sajal Singhal"/>
    <s v="10/05/2022"/>
    <s v="Order"/>
    <s v="USB Keyboard"/>
    <s v="Keyboard"/>
    <s v="Dell"/>
    <n v="800"/>
    <n v="1040"/>
    <n v="1"/>
    <n v="800"/>
    <n v="1040"/>
    <s v="Ajay Sharma"/>
    <n v="3315"/>
  </r>
  <r>
    <s v="143747"/>
    <s v="JK"/>
    <s v="Akhilesh Kumar"/>
    <s v="10/05/2022"/>
    <s v="Processing"/>
    <s v="Wireless Mouse"/>
    <s v="Mouse"/>
    <s v="Samsung"/>
    <n v="600"/>
    <n v="780"/>
    <n v="1"/>
    <n v="600"/>
    <n v="780"/>
    <s v="Ajay Sharma"/>
    <n v="1690"/>
  </r>
  <r>
    <s v="143748"/>
    <s v="JH"/>
    <s v="Suvankar Chakraborty"/>
    <s v="10/05/2022"/>
    <s v="Delivered"/>
    <s v="21&quot; LCD Display"/>
    <s v="Monitor"/>
    <s v="Dell"/>
    <n v="10500"/>
    <n v="13650"/>
    <n v="2"/>
    <n v="21000"/>
    <n v="27300"/>
    <s v="Ajay Sharma"/>
    <n v="9750"/>
  </r>
  <r>
    <s v="143749"/>
    <s v="KA"/>
    <s v="Suvankar Adhikary"/>
    <s v="10/05/2022"/>
    <s v="Shipped"/>
    <s v="130 TB HDD"/>
    <s v="HDD"/>
    <s v="Western Digital"/>
    <n v="6500"/>
    <n v="8450"/>
    <n v="1"/>
    <n v="6500"/>
    <n v="8450"/>
    <s v="Ajay Sharma"/>
    <n v="39000"/>
  </r>
  <r>
    <s v="143750"/>
    <s v="KL"/>
    <s v="Rahul Kumar Prajapati"/>
    <s v="10/05/2022"/>
    <s v="Order"/>
    <s v="385 GB SSD"/>
    <s v="SSD"/>
    <s v="Samsung"/>
    <n v="4500"/>
    <n v="5850"/>
    <n v="3"/>
    <n v="13500"/>
    <n v="17550"/>
    <s v="Ajay Sharma"/>
    <n v="8450"/>
  </r>
  <r>
    <s v="143751"/>
    <s v="MP"/>
    <s v="Sagar Jeur"/>
    <s v="10/05/2022"/>
    <s v="Processing"/>
    <s v="Intel i3 11th gen."/>
    <s v="CPU"/>
    <s v="Intel"/>
    <n v="8500"/>
    <n v="11050"/>
    <n v="4"/>
    <n v="34000"/>
    <n v="44200"/>
    <s v="Ajay Sharma"/>
    <n v="33150"/>
  </r>
  <r>
    <s v="143752"/>
    <s v="MH"/>
    <s v="Rhushikesh Mane"/>
    <s v="10/05/2022"/>
    <s v="Delivered"/>
    <s v="4GB Graphic card"/>
    <s v="Graphic Card"/>
    <s v="Nvidia"/>
    <n v="12500"/>
    <n v="16250"/>
    <n v="1"/>
    <n v="12500"/>
    <n v="16250"/>
    <s v="Aadil Khan"/>
    <n v="18200"/>
  </r>
  <r>
    <s v="143753"/>
    <s v="MN"/>
    <s v="Ashish Kumar"/>
    <s v="10/05/2022"/>
    <s v="Shipped"/>
    <s v="137 GB DDR4 RAM"/>
    <s v="RAM"/>
    <s v="Hynix"/>
    <n v="3500"/>
    <n v="4550"/>
    <n v="4"/>
    <n v="14000"/>
    <n v="18200"/>
    <s v="Advika Joshi"/>
    <n v="25545"/>
  </r>
  <r>
    <s v="143754"/>
    <s v="ML"/>
    <s v="Javed Akhter"/>
    <s v="10/05/2022"/>
    <s v="Order"/>
    <s v="BTX motherboard"/>
    <s v="MotherBoard"/>
    <s v="Gigabyte"/>
    <n v="4500"/>
    <n v="5850"/>
    <n v="3"/>
    <n v="13500"/>
    <n v="17550"/>
    <s v="Ajay Sharma"/>
    <n v="39780"/>
  </r>
  <r>
    <s v="143755"/>
    <s v="MZ"/>
    <s v="Haridas Balraj"/>
    <s v="10/05/2022"/>
    <s v="Processing"/>
    <s v="132 Fans Cabinet"/>
    <s v="Cabinet"/>
    <s v="Asus"/>
    <n v="2100"/>
    <n v="2730"/>
    <n v="2"/>
    <n v="4200"/>
    <n v="5460"/>
    <s v="Roshan Kumar"/>
    <n v="2990"/>
  </r>
  <r>
    <s v="143756"/>
    <s v="NL"/>
    <s v="Kundan Kumar"/>
    <s v="10/05/2022"/>
    <s v="Delivered"/>
    <s v="Wireless Keyboard"/>
    <s v="Keyboard"/>
    <s v="Dell"/>
    <n v="1150"/>
    <n v="1495"/>
    <n v="4"/>
    <n v="4600"/>
    <n v="5980"/>
    <s v="Aarvi Gupta"/>
    <n v="3315"/>
  </r>
  <r>
    <s v="143757"/>
    <s v="OR"/>
    <s v="Atif Siddiqui"/>
    <s v="10/05/2022"/>
    <s v="Shipped"/>
    <s v="USB Mouse"/>
    <s v="Mouse"/>
    <s v="Samsung"/>
    <n v="350"/>
    <n v="455"/>
    <n v="1"/>
    <n v="350"/>
    <n v="455"/>
    <s v="Vijay Singh"/>
    <n v="1690"/>
  </r>
  <r>
    <s v="143758"/>
    <s v="PB"/>
    <s v="Aditya Agarwal"/>
    <s v="10/05/2022"/>
    <s v="Order"/>
    <s v="19&quot; LED Display"/>
    <s v="Monitor"/>
    <s v="Dell"/>
    <n v="9500"/>
    <n v="12350"/>
    <n v="3"/>
    <n v="28500"/>
    <n v="37050"/>
    <s v="Aadil Khan"/>
    <n v="9750"/>
  </r>
  <r>
    <s v="143759"/>
    <s v="RJ"/>
    <s v="Firdoush Jabee"/>
    <s v="10/05/2022"/>
    <s v="Processing"/>
    <s v="131 TB HDD"/>
    <s v="HDD"/>
    <s v="Western Digital"/>
    <n v="10000"/>
    <n v="13000"/>
    <n v="4"/>
    <n v="40000"/>
    <n v="52000"/>
    <s v="Advika Joshi"/>
    <n v="39000"/>
  </r>
  <r>
    <s v="143760"/>
    <s v="SK"/>
    <s v="Jay Prakash Kumar"/>
    <s v="10/05/2022"/>
    <s v="Delivered"/>
    <s v="641 GB M.2"/>
    <s v="SSD"/>
    <s v="Samsung"/>
    <n v="6500"/>
    <n v="8450"/>
    <n v="1"/>
    <n v="6500"/>
    <n v="8450"/>
    <s v="Ajay Sharma"/>
    <n v="8450"/>
  </r>
  <r>
    <s v="143761"/>
    <s v="TN"/>
    <s v="Ashish Pandey"/>
    <s v="10/05/2022"/>
    <s v="Shipped"/>
    <s v="RYZEN 3rd gen. 3629"/>
    <s v="CPU"/>
    <s v="Intel"/>
    <n v="8500"/>
    <n v="11050"/>
    <n v="1"/>
    <n v="8500"/>
    <n v="11050"/>
    <s v="Roshan Kumar"/>
    <n v="33150"/>
  </r>
  <r>
    <s v="143762"/>
    <s v="TR"/>
    <s v="Ajay Sharma"/>
    <s v="10/05/2022"/>
    <s v="Order"/>
    <s v="2GB Graphic Card"/>
    <s v="Graphic Card"/>
    <s v="Nvidia"/>
    <n v="7000"/>
    <n v="9100"/>
    <n v="4"/>
    <n v="28000"/>
    <n v="36400"/>
    <s v="Aarvi Gupta"/>
    <n v="18200"/>
  </r>
  <r>
    <s v="143763"/>
    <s v="UK"/>
    <s v="Moinuddin Saifi"/>
    <s v="10/05/2022"/>
    <s v="Processing"/>
    <s v="145 GB DDR4 RAM"/>
    <s v="RAM"/>
    <s v="Hynix"/>
    <n v="6550"/>
    <n v="8515"/>
    <n v="2"/>
    <n v="13100"/>
    <n v="17030"/>
    <s v="Vijay Singh"/>
    <n v="25545"/>
  </r>
  <r>
    <s v="143764"/>
    <s v="UP"/>
    <s v="Ramkrishna Das Adhikary"/>
    <s v="10/05/2022"/>
    <s v="Delivered"/>
    <s v="Standard ATX motherboard"/>
    <s v="MotherBoard"/>
    <s v="Gigabyte"/>
    <n v="7650"/>
    <n v="9945"/>
    <n v="4"/>
    <n v="30600"/>
    <n v="39780"/>
    <s v="Aadil Khan"/>
    <n v="39780"/>
  </r>
  <r>
    <s v="143765"/>
    <s v="WB"/>
    <s v="Ranjeet Mandal"/>
    <s v="11/05/2022"/>
    <s v="Shipped"/>
    <s v="Compact with 1 Fan"/>
    <s v="Cabinet"/>
    <s v="Asus"/>
    <n v="1150"/>
    <n v="1495"/>
    <n v="3"/>
    <n v="3450"/>
    <n v="4485"/>
    <s v="Advika Joshi"/>
    <n v="2990"/>
  </r>
  <r>
    <s v="143766"/>
    <s v="TN"/>
    <s v="Ashwini Adsare"/>
    <s v="11/05/2022"/>
    <s v="Order"/>
    <s v="USB Backlight Keyboard"/>
    <s v="Keyboard"/>
    <s v="Dell"/>
    <n v="850"/>
    <n v="1105"/>
    <n v="3"/>
    <n v="2550"/>
    <n v="3315"/>
    <s v="Ajay Sharma"/>
    <n v="3315"/>
  </r>
  <r>
    <s v="143767"/>
    <s v="TR"/>
    <s v="Rajesh Variya"/>
    <s v="11/05/2022"/>
    <s v="Processing"/>
    <s v="Ergonomic Mouse"/>
    <s v="Mouse"/>
    <s v="Samsung"/>
    <n v="650"/>
    <n v="845"/>
    <n v="1"/>
    <n v="650"/>
    <n v="845"/>
    <s v="Roshan Kumar"/>
    <n v="1690"/>
  </r>
  <r>
    <s v="143768"/>
    <s v="MH"/>
    <s v="Amit Singh"/>
    <s v="11/05/2022"/>
    <s v="Delivered"/>
    <s v="15&quot; LCD Dsipaly"/>
    <s v="Monitor"/>
    <s v="Dell"/>
    <n v="7500"/>
    <n v="9750"/>
    <n v="2"/>
    <n v="15000"/>
    <n v="19500"/>
    <s v="Aarvi Gupta"/>
    <n v="9750"/>
  </r>
  <r>
    <s v="143769"/>
    <s v="CH"/>
    <s v="Vinod Mehta"/>
    <s v="11/05/2022"/>
    <s v="Shipped"/>
    <s v="131 TB HDD"/>
    <s v="HDD"/>
    <s v="Seagate"/>
    <n v="10000"/>
    <n v="13000"/>
    <n v="3"/>
    <n v="30000"/>
    <n v="39000"/>
    <s v="Vijay Singh"/>
    <n v="39000"/>
  </r>
  <r>
    <s v="143770"/>
    <s v="DH"/>
    <s v="Jignesh Mhatre"/>
    <s v="11/05/2022"/>
    <s v="Order"/>
    <s v="130 TB SSD"/>
    <s v="SSD"/>
    <s v="Samsung"/>
    <n v="10500"/>
    <n v="13650"/>
    <n v="1"/>
    <n v="10500"/>
    <n v="13650"/>
    <s v="Aadil Khan"/>
    <n v="8450"/>
  </r>
  <r>
    <s v="143771"/>
    <s v="DD"/>
    <s v="Rahul Kashyap"/>
    <s v="11/05/2022"/>
    <s v="Processing"/>
    <s v="Intel i5 12th gen."/>
    <s v="CPU"/>
    <s v="Intel"/>
    <n v="8500"/>
    <n v="11050"/>
    <n v="1"/>
    <n v="8500"/>
    <n v="11050"/>
    <s v="Advika Joshi"/>
    <n v="33150"/>
  </r>
  <r>
    <s v="143772"/>
    <s v="DL"/>
    <s v="Mohammed Abdul Kaleem"/>
    <s v="11/05/2022"/>
    <s v="Delivered"/>
    <s v="2GB Graphic Card"/>
    <s v="Graphic Card"/>
    <s v="Nvidia"/>
    <n v="7000"/>
    <n v="9100"/>
    <n v="3"/>
    <n v="21000"/>
    <n v="27300"/>
    <s v="Ajay Sharma"/>
    <n v="18200"/>
  </r>
  <r>
    <s v="143773"/>
    <s v="LD"/>
    <s v="Chandrakant Kasbe"/>
    <s v="11/05/2022"/>
    <s v="Shipped"/>
    <s v="133 GB DDR4 Ram"/>
    <s v="RAM"/>
    <s v="Hynix"/>
    <n v="1680"/>
    <n v="2184"/>
    <n v="3"/>
    <n v="5040"/>
    <n v="6552"/>
    <s v="Roshan Kumar"/>
    <n v="25545"/>
  </r>
  <r>
    <s v="143774"/>
    <s v="PY"/>
    <s v="Rohan Kale"/>
    <s v="11/05/2022"/>
    <s v="Order"/>
    <s v="Micro ATX motherboard"/>
    <s v="MotherBoard"/>
    <s v="MSI"/>
    <n v="6540"/>
    <n v="8502"/>
    <n v="1"/>
    <n v="6540"/>
    <n v="8502"/>
    <s v="Aarvi Gupta"/>
    <n v="39780"/>
  </r>
  <r>
    <s v="143775"/>
    <s v="AP"/>
    <s v="Aniruddha Kekapure"/>
    <s v="11/05/2022"/>
    <s v="Processing"/>
    <s v="Gaming Box Cabinet"/>
    <s v="Cabinet"/>
    <s v="Asus"/>
    <n v="2680"/>
    <n v="3484"/>
    <n v="2"/>
    <n v="5360"/>
    <n v="6968"/>
    <s v="Vijay Singh"/>
    <n v="2990"/>
  </r>
  <r>
    <s v="143776"/>
    <s v="AR"/>
    <s v="Aslam Raza"/>
    <s v="11/05/2022"/>
    <s v="Delivered"/>
    <s v="17&quot; LCD Display"/>
    <s v="Monitor"/>
    <s v="Samsung"/>
    <n v="8250"/>
    <n v="10725"/>
    <n v="4"/>
    <n v="33000"/>
    <n v="42900"/>
    <s v="Aadil Khan"/>
    <n v="9750"/>
  </r>
  <r>
    <s v="143777"/>
    <s v="AS"/>
    <s v="Roshan Zameer"/>
    <s v="11/05/2022"/>
    <s v="Shipped"/>
    <s v="137 GB DDR4 RAM"/>
    <s v="RAM"/>
    <s v="Samsung"/>
    <n v="2650"/>
    <n v="3445"/>
    <n v="3"/>
    <n v="7950"/>
    <n v="10335"/>
    <s v="Advika Joshi"/>
    <n v="25545"/>
  </r>
  <r>
    <s v="143778"/>
    <s v="BR"/>
    <s v="Rakesh Kumar Sharma"/>
    <s v="11/05/2022"/>
    <s v="Order"/>
    <s v="26&quot; LCD Display"/>
    <s v="Monitor"/>
    <s v="Acer"/>
    <n v="12550"/>
    <n v="16315"/>
    <n v="1"/>
    <n v="12550"/>
    <n v="16315"/>
    <s v="Ajay Sharma"/>
    <n v="9750"/>
  </r>
  <r>
    <s v="143779"/>
    <s v="CG"/>
    <s v="Shivanand Sahani"/>
    <s v="11/05/2022"/>
    <s v="Processing"/>
    <s v="I7 - intel 12th Generation"/>
    <s v="CPU"/>
    <s v="Intel"/>
    <n v="14500"/>
    <n v="18850"/>
    <n v="1"/>
    <n v="14500"/>
    <n v="18850"/>
    <s v="Roshan Kumar"/>
    <n v="33150"/>
  </r>
  <r>
    <s v="143780"/>
    <s v="GA"/>
    <s v="Kunal Patra"/>
    <s v="11/05/2022"/>
    <s v="Delivered"/>
    <s v="USB Keyboard"/>
    <s v="Keyboard"/>
    <s v="Dell"/>
    <n v="800"/>
    <n v="1040"/>
    <n v="2"/>
    <n v="1600"/>
    <n v="2080"/>
    <s v="Aarvi Gupta"/>
    <n v="3315"/>
  </r>
  <r>
    <s v="143781"/>
    <s v="GJ"/>
    <s v="Bijendra"/>
    <s v="11/05/2022"/>
    <s v="Shipped"/>
    <s v="Wireless Mouse"/>
    <s v="Mouse"/>
    <s v="Samsung"/>
    <n v="600"/>
    <n v="780"/>
    <n v="3"/>
    <n v="1800"/>
    <n v="2340"/>
    <s v="Vijay Singh"/>
    <n v="1690"/>
  </r>
  <r>
    <s v="143782"/>
    <s v="HR"/>
    <s v="Kranti Bheke"/>
    <s v="11/05/2022"/>
    <s v="Order"/>
    <s v="21&quot; LCD Display"/>
    <s v="Monitor"/>
    <s v="Dell"/>
    <n v="10500"/>
    <n v="13650"/>
    <n v="1"/>
    <n v="10500"/>
    <n v="13650"/>
    <s v="Aadil Khan"/>
    <n v="9750"/>
  </r>
  <r>
    <s v="143783"/>
    <s v="HP"/>
    <s v="Jagdeep"/>
    <s v="11/05/2022"/>
    <s v="Processing"/>
    <s v="131 TB HDD"/>
    <s v="HDD"/>
    <s v="Western Digital"/>
    <n v="6500"/>
    <n v="8450"/>
    <n v="1"/>
    <n v="6500"/>
    <n v="8450"/>
    <s v="Ajay Sharma"/>
    <n v="39000"/>
  </r>
  <r>
    <s v="143784"/>
    <s v="JK"/>
    <s v="Adhir Samal"/>
    <s v="11/05/2022"/>
    <s v="Delivered"/>
    <s v="386 GB SSD"/>
    <s v="SSD"/>
    <s v="Samsung"/>
    <n v="4500"/>
    <n v="5850"/>
    <n v="3"/>
    <n v="13500"/>
    <n v="17550"/>
    <s v="Ajay Sharma"/>
    <n v="8450"/>
  </r>
  <r>
    <s v="143785"/>
    <s v="JH"/>
    <s v="Dannana Jhammi"/>
    <s v="11/05/2022"/>
    <s v="Shipped"/>
    <s v="Intel i3 11th gen."/>
    <s v="CPU"/>
    <s v="Intel"/>
    <n v="8500"/>
    <n v="11050"/>
    <n v="2"/>
    <n v="17000"/>
    <n v="22100"/>
    <s v="Ajay Sharma"/>
    <n v="33150"/>
  </r>
  <r>
    <s v="143786"/>
    <s v="KA"/>
    <s v="Vipin Kumar"/>
    <s v="11/05/2022"/>
    <s v="Order"/>
    <s v="4GB Graphic card"/>
    <s v="Graphic Card"/>
    <s v="Nvidia"/>
    <n v="12500"/>
    <n v="16250"/>
    <n v="1"/>
    <n v="12500"/>
    <n v="16250"/>
    <s v="Ajay Sharma"/>
    <n v="18200"/>
  </r>
  <r>
    <s v="143787"/>
    <s v="KL"/>
    <s v="Ranjeet Kumar"/>
    <s v="11/05/2022"/>
    <s v="Processing"/>
    <s v="138 GB DDR4 RAM"/>
    <s v="Computer Case"/>
    <s v="Hynix"/>
    <n v="3500"/>
    <n v="4550"/>
    <n v="4"/>
    <n v="14000"/>
    <n v="18200"/>
    <s v="Ajay Sharma"/>
    <n v="13650"/>
  </r>
  <r>
    <s v="143788"/>
    <s v="MP"/>
    <s v="Sajal Singhal"/>
    <s v="11/05/2022"/>
    <s v="Delivered"/>
    <s v="BTX motherboard"/>
    <s v="Mouse"/>
    <s v="Gigabyte"/>
    <n v="4500"/>
    <n v="5850"/>
    <n v="2"/>
    <n v="9000"/>
    <n v="11700"/>
    <s v="Ajay Sharma"/>
    <n v="1690"/>
  </r>
  <r>
    <s v="143789"/>
    <s v="MH"/>
    <s v="Akhilesh Kumar"/>
    <s v="11/05/2022"/>
    <s v="Shipped"/>
    <s v="133 Fans Cabinet"/>
    <s v="Cabinet"/>
    <s v="Asus"/>
    <n v="2100"/>
    <n v="2730"/>
    <n v="1"/>
    <n v="2100"/>
    <n v="2730"/>
    <s v="Ajay Sharma"/>
    <n v="2990"/>
  </r>
  <r>
    <s v="143790"/>
    <s v="MN"/>
    <s v="Suvankar Chakraborty"/>
    <s v="11/05/2022"/>
    <s v="Order"/>
    <s v="Wireless Keyboard"/>
    <s v="Keyboard"/>
    <s v="Dell"/>
    <n v="1150"/>
    <n v="1495"/>
    <n v="2"/>
    <n v="2300"/>
    <n v="2990"/>
    <s v="Ajay Sharma"/>
    <n v="3315"/>
  </r>
  <r>
    <s v="143791"/>
    <s v="ML"/>
    <s v="Suvankar Adhikary"/>
    <s v="11/05/2022"/>
    <s v="Processing"/>
    <s v="USB Mouse"/>
    <s v="Mouse"/>
    <s v="Samsung"/>
    <n v="350"/>
    <n v="455"/>
    <n v="3"/>
    <n v="1050"/>
    <n v="1365"/>
    <s v="Ajay Sharma"/>
    <n v="1690"/>
  </r>
  <r>
    <s v="143792"/>
    <s v="MZ"/>
    <s v="Rahul Kumar Prajapati"/>
    <s v="11/05/2022"/>
    <s v="Delivered"/>
    <s v="19&quot; LED Display"/>
    <s v="Monitor"/>
    <s v="Dell"/>
    <n v="9500"/>
    <n v="12350"/>
    <n v="3"/>
    <n v="28500"/>
    <n v="37050"/>
    <s v="Ajay Sharma"/>
    <n v="9750"/>
  </r>
  <r>
    <s v="143793"/>
    <s v="NL"/>
    <s v="Sagar Jeur"/>
    <s v="11/05/2022"/>
    <s v="Shipped"/>
    <s v="132 TB HDD"/>
    <s v="HDD"/>
    <s v="Western Digital"/>
    <n v="10000"/>
    <n v="13000"/>
    <n v="3"/>
    <n v="30000"/>
    <n v="39000"/>
    <s v="Ajay Sharma"/>
    <n v="39000"/>
  </r>
  <r>
    <s v="143794"/>
    <s v="OR"/>
    <s v="Rhushikesh Mane"/>
    <s v="11/05/2022"/>
    <s v="Order"/>
    <s v="642 GB M.2"/>
    <s v="SSD"/>
    <s v="Samsung"/>
    <n v="6500"/>
    <n v="8450"/>
    <n v="2"/>
    <n v="13000"/>
    <n v="16900"/>
    <s v="Ajay Sharma"/>
    <n v="8450"/>
  </r>
  <r>
    <s v="143795"/>
    <s v="PB"/>
    <s v="Ashish Kumar"/>
    <s v="11/05/2022"/>
    <s v="Processing"/>
    <s v="RYZEN 3rd gen. 3630"/>
    <s v="CPU"/>
    <s v="Intel"/>
    <n v="8500"/>
    <n v="11050"/>
    <n v="3"/>
    <n v="25500"/>
    <n v="33150"/>
    <s v="Ajay Sharma"/>
    <n v="33150"/>
  </r>
  <r>
    <s v="143796"/>
    <s v="RJ"/>
    <s v="Javed Akhter"/>
    <s v="11/05/2022"/>
    <s v="Delivered"/>
    <s v="2GB Graphic Card"/>
    <s v="Graphic Card"/>
    <s v="Nvidia"/>
    <n v="7000"/>
    <n v="9100"/>
    <n v="4"/>
    <n v="28000"/>
    <n v="36400"/>
    <s v="Ajay Sharma"/>
    <n v="18200"/>
  </r>
  <r>
    <s v="143797"/>
    <s v="SK"/>
    <s v="Haridas Balraj"/>
    <s v="11/05/2022"/>
    <s v="Shipped"/>
    <s v="146 GB DDR4 RAM"/>
    <s v="Computer Case"/>
    <s v="Hynix"/>
    <n v="6550"/>
    <n v="8515"/>
    <n v="4"/>
    <n v="26200"/>
    <n v="34060"/>
    <s v="Ajay Sharma"/>
    <n v="13650"/>
  </r>
  <r>
    <s v="143798"/>
    <s v="TN"/>
    <s v="Kundan Kumar"/>
    <s v="11/05/2022"/>
    <s v="Order"/>
    <s v="Standard ATX motherboard"/>
    <s v="Mouse"/>
    <s v="Gigabyte"/>
    <n v="7650"/>
    <n v="9945"/>
    <n v="4"/>
    <n v="30600"/>
    <n v="39780"/>
    <s v="Ajay Sharma"/>
    <n v="1690"/>
  </r>
  <r>
    <s v="143799"/>
    <s v="TR"/>
    <s v="Atif Siddiqui"/>
    <s v="11/05/2022"/>
    <s v="Processing"/>
    <s v="Compact with 1 Fan"/>
    <s v="Cabinet"/>
    <s v="Asus"/>
    <n v="1150"/>
    <n v="1495"/>
    <n v="4"/>
    <n v="4600"/>
    <n v="5980"/>
    <s v="Ajay Sharma"/>
    <n v="2990"/>
  </r>
  <r>
    <s v="143800"/>
    <s v="UK"/>
    <s v="Aditya Agarwal"/>
    <s v="11/05/2022"/>
    <s v="Delivered"/>
    <s v="USB Backlight Keyboard"/>
    <s v="Keyboard"/>
    <s v="Dell"/>
    <n v="850"/>
    <n v="1105"/>
    <n v="3"/>
    <n v="2550"/>
    <n v="3315"/>
    <s v="Ajay Sharma"/>
    <n v="3315"/>
  </r>
  <r>
    <s v="143801"/>
    <s v="UP"/>
    <s v="Firdoush Jabee"/>
    <s v="11/05/2022"/>
    <s v="Shipped"/>
    <s v="Ergonomic Mouse"/>
    <s v="Mouse"/>
    <s v="Samsung"/>
    <n v="650"/>
    <n v="845"/>
    <n v="1"/>
    <n v="650"/>
    <n v="845"/>
    <s v="Ajay Sharma"/>
    <n v="1690"/>
  </r>
  <r>
    <s v="143802"/>
    <s v="WB"/>
    <s v="Jay Prakash Kumar"/>
    <s v="11/05/2022"/>
    <s v="Order"/>
    <s v="15&quot; LCD Dsipaly"/>
    <s v="Monitor"/>
    <s v="Dell"/>
    <n v="7500"/>
    <n v="9750"/>
    <n v="1"/>
    <n v="7500"/>
    <n v="9750"/>
    <s v="Ajay Sharma"/>
    <n v="9750"/>
  </r>
  <r>
    <s v="143803"/>
    <s v="TN"/>
    <s v="Ashish Pandey"/>
    <s v="11/05/2022"/>
    <s v="Processing"/>
    <s v="132 TB HDD"/>
    <s v="HDD"/>
    <s v="Seagate"/>
    <n v="10000"/>
    <n v="13000"/>
    <n v="1"/>
    <n v="10000"/>
    <n v="13000"/>
    <s v="Roshan Kumar"/>
    <n v="39000"/>
  </r>
  <r>
    <s v="143804"/>
    <s v="TR"/>
    <s v="Ajay Sharma"/>
    <s v="11/05/2022"/>
    <s v="Delivered"/>
    <s v="131 TB SSD"/>
    <s v="SSD"/>
    <s v="Samsung"/>
    <n v="10500"/>
    <n v="13650"/>
    <n v="1"/>
    <n v="10500"/>
    <n v="13650"/>
    <s v="Aarvi Gupta"/>
    <n v="8450"/>
  </r>
  <r>
    <s v="143805"/>
    <s v="MH"/>
    <s v="Moinuddin Saifi"/>
    <s v="11/05/2022"/>
    <s v="Shipped"/>
    <s v="Intel i5 12th gen."/>
    <s v="CPU"/>
    <s v="Intel"/>
    <n v="8500"/>
    <n v="11050"/>
    <n v="2"/>
    <n v="17000"/>
    <n v="22100"/>
    <s v="Vijay Singh"/>
    <n v="33150"/>
  </r>
  <r>
    <s v="143806"/>
    <s v="CH"/>
    <s v="Ramkrishna Das Adhikary"/>
    <s v="11/05/2022"/>
    <s v="Order"/>
    <s v="2GB Graphic Card"/>
    <s v="Graphic Card"/>
    <s v="Nvidia"/>
    <n v="7000"/>
    <n v="9100"/>
    <n v="4"/>
    <n v="28000"/>
    <n v="36400"/>
    <s v="Aadil Khan"/>
    <n v="18200"/>
  </r>
  <r>
    <s v="143807"/>
    <s v="DH"/>
    <s v="Ranjeet Mandal"/>
    <s v="11/05/2022"/>
    <s v="Processing"/>
    <s v="134 GB DDR4 Ram"/>
    <s v="Computer Case"/>
    <s v="Hynix"/>
    <n v="1680"/>
    <n v="2184"/>
    <n v="4"/>
    <n v="6720"/>
    <n v="8736"/>
    <s v="Advika Joshi"/>
    <n v="13650"/>
  </r>
  <r>
    <s v="143808"/>
    <s v="DD"/>
    <s v="Ashwini Adsare"/>
    <s v="11/05/2022"/>
    <s v="Delivered"/>
    <s v="Micro ATX motherboard"/>
    <s v="Mouse"/>
    <s v="MSI"/>
    <n v="6540"/>
    <n v="8502"/>
    <n v="3"/>
    <n v="19620"/>
    <n v="25506"/>
    <s v="Ajay Sharma"/>
    <n v="1690"/>
  </r>
  <r>
    <s v="143809"/>
    <s v="DL"/>
    <s v="Rajesh Variya"/>
    <s v="11/05/2022"/>
    <s v="Shipped"/>
    <s v="Gaming Box Cabinet"/>
    <s v="Cabinet"/>
    <s v="Asus"/>
    <n v="2680"/>
    <n v="3484"/>
    <n v="4"/>
    <n v="10720"/>
    <n v="13936"/>
    <s v="Roshan Kumar"/>
    <n v="2990"/>
  </r>
  <r>
    <s v="143810"/>
    <s v="LD"/>
    <s v="Amit Singh"/>
    <s v="11/05/2022"/>
    <s v="Order"/>
    <s v="17&quot; LCD Display"/>
    <s v="Monitor"/>
    <s v="Samsung"/>
    <n v="8250"/>
    <n v="10725"/>
    <n v="2"/>
    <n v="16500"/>
    <n v="21450"/>
    <s v="Aarvi Gupta"/>
    <n v="9750"/>
  </r>
  <r>
    <s v="143811"/>
    <s v="PY"/>
    <s v="Vinod Mehta"/>
    <s v="11/05/2022"/>
    <s v="Processing"/>
    <s v="138 GB DDR4 RAM"/>
    <s v="RAM"/>
    <s v="Samsung"/>
    <n v="2650"/>
    <n v="3445"/>
    <n v="2"/>
    <n v="5300"/>
    <n v="6890"/>
    <s v="Vijay Singh"/>
    <n v="25545"/>
  </r>
  <r>
    <s v="143812"/>
    <s v="AP"/>
    <s v="Jignesh Mhatre"/>
    <s v="11/05/2022"/>
    <s v="Delivered"/>
    <s v="26&quot; LCD Display"/>
    <s v="Monitor"/>
    <s v="Acer"/>
    <n v="12550"/>
    <n v="16315"/>
    <n v="2"/>
    <n v="25100"/>
    <n v="32630"/>
    <s v="Aadil Khan"/>
    <n v="9750"/>
  </r>
  <r>
    <s v="143813"/>
    <s v="AR"/>
    <s v="Rahul Kashyap"/>
    <s v="12/05/2022"/>
    <s v="Shipped"/>
    <s v="I7 - intel 12th Generation"/>
    <s v="CPU"/>
    <s v="Intel"/>
    <n v="14500"/>
    <n v="18850"/>
    <n v="2"/>
    <n v="29000"/>
    <n v="37700"/>
    <s v="Advika Joshi"/>
    <n v="33150"/>
  </r>
  <r>
    <s v="143814"/>
    <s v="AS"/>
    <s v="Mohammed Abdul Kaleem"/>
    <s v="13/05/2022"/>
    <s v="Order"/>
    <s v="USB Keyboard"/>
    <s v="Keyboard"/>
    <s v="Dell"/>
    <n v="800"/>
    <n v="1040"/>
    <n v="2"/>
    <n v="1600"/>
    <n v="2080"/>
    <s v="Ajay Sharma"/>
    <n v="3315"/>
  </r>
  <r>
    <s v="143815"/>
    <s v="BR"/>
    <s v="Chandrakant Kasbe"/>
    <s v="14/05/2022"/>
    <s v="Processing"/>
    <s v="Wireless Mouse"/>
    <s v="Mouse"/>
    <s v="Samsung"/>
    <n v="600"/>
    <n v="780"/>
    <n v="4"/>
    <n v="2400"/>
    <n v="3120"/>
    <s v="Roshan Kumar"/>
    <n v="1690"/>
  </r>
  <r>
    <s v="143816"/>
    <s v="CG"/>
    <s v="Rohan Kale"/>
    <s v="15/05/2022"/>
    <s v="Delivered"/>
    <s v="21&quot; LCD Display"/>
    <s v="Monitor"/>
    <s v="Dell"/>
    <n v="10500"/>
    <n v="13650"/>
    <n v="1"/>
    <n v="10500"/>
    <n v="13650"/>
    <s v="Aarvi Gupta"/>
    <n v="9750"/>
  </r>
  <r>
    <s v="143817"/>
    <s v="GA"/>
    <s v="Aniruddha Kekapure"/>
    <s v="16/05/2022"/>
    <s v="Shipped"/>
    <s v="132 TB HDD"/>
    <s v="HDD"/>
    <s v="Western Digital"/>
    <n v="6500"/>
    <n v="8450"/>
    <n v="2"/>
    <n v="13000"/>
    <n v="16900"/>
    <s v="Vijay Singh"/>
    <n v="39000"/>
  </r>
  <r>
    <s v="143818"/>
    <s v="GJ"/>
    <s v="Aslam Raza"/>
    <s v="17/05/2022"/>
    <s v="Order"/>
    <s v="387 GB SSD"/>
    <s v="SSD"/>
    <s v="Samsung"/>
    <n v="4500"/>
    <n v="5850"/>
    <n v="4"/>
    <n v="18000"/>
    <n v="23400"/>
    <s v="Aadil Khan"/>
    <n v="8450"/>
  </r>
  <r>
    <s v="143819"/>
    <s v="HR"/>
    <s v="Roshan Zameer"/>
    <s v="18/05/2022"/>
    <s v="Processing"/>
    <s v="Intel i3 11th gen."/>
    <s v="CPU"/>
    <s v="Intel"/>
    <n v="8500"/>
    <n v="11050"/>
    <n v="2"/>
    <n v="17000"/>
    <n v="22100"/>
    <s v="Advika Joshi"/>
    <n v="33150"/>
  </r>
  <r>
    <s v="143820"/>
    <s v="HP"/>
    <s v="Rakesh Kumar Sharma"/>
    <s v="19/05/2022"/>
    <s v="Delivered"/>
    <s v="4GB Graphic card"/>
    <s v="Graphic Card"/>
    <s v="Nvidia"/>
    <n v="12500"/>
    <n v="16250"/>
    <n v="2"/>
    <n v="25000"/>
    <n v="32500"/>
    <s v="Ajay Sharma"/>
    <n v="18200"/>
  </r>
  <r>
    <s v="143821"/>
    <s v="JK"/>
    <s v="Shivanand Sahani"/>
    <s v="19/05/2022"/>
    <s v="Shipped"/>
    <s v="139 GB DDR4 RAM"/>
    <s v="NIC"/>
    <s v="Hynix"/>
    <n v="3500"/>
    <n v="4550"/>
    <n v="4"/>
    <n v="14000"/>
    <n v="18200"/>
    <s v="Roshan Kumar"/>
    <n v="9100"/>
  </r>
  <r>
    <s v="143822"/>
    <s v="JH"/>
    <s v="Kunal Patra"/>
    <s v="19/05/2022"/>
    <s v="Order"/>
    <s v="BTX motherboard"/>
    <s v="Printer"/>
    <s v="Gigabyte"/>
    <n v="4500"/>
    <n v="5850"/>
    <n v="4"/>
    <n v="18000"/>
    <n v="23400"/>
    <s v="Aarvi Gupta"/>
    <n v="11700"/>
  </r>
  <r>
    <s v="143823"/>
    <s v="KA"/>
    <s v="Bijendra"/>
    <s v="19/05/2022"/>
    <s v="Processing"/>
    <s v="134 Fans Cabinet"/>
    <s v="Cabinet"/>
    <s v="Asus"/>
    <n v="2100"/>
    <n v="2730"/>
    <n v="2"/>
    <n v="4200"/>
    <n v="5460"/>
    <s v="Vijay Singh"/>
    <n v="2990"/>
  </r>
  <r>
    <s v="143824"/>
    <s v="KL"/>
    <s v="Kranti Bheke"/>
    <s v="19/05/2022"/>
    <s v="Delivered"/>
    <s v="Wireless Keyboard"/>
    <s v="Keyboard"/>
    <s v="Dell"/>
    <n v="1150"/>
    <n v="1495"/>
    <n v="2"/>
    <n v="2300"/>
    <n v="2990"/>
    <s v="Aadil Khan"/>
    <n v="3315"/>
  </r>
  <r>
    <s v="143825"/>
    <s v="MP"/>
    <s v="Jagdeep"/>
    <s v="19/05/2022"/>
    <s v="Shipped"/>
    <s v="USB Mouse"/>
    <s v="Mouse"/>
    <s v="Samsung"/>
    <n v="350"/>
    <n v="455"/>
    <n v="2"/>
    <n v="700"/>
    <n v="910"/>
    <s v="Advika Joshi"/>
    <n v="1690"/>
  </r>
  <r>
    <s v="143826"/>
    <s v="MH"/>
    <s v="Adhir Samal"/>
    <s v="19/05/2022"/>
    <s v="Order"/>
    <s v="19&quot; LED Display"/>
    <s v="Monitor"/>
    <s v="Dell"/>
    <n v="9500"/>
    <n v="12350"/>
    <n v="3"/>
    <n v="28500"/>
    <n v="37050"/>
    <s v="Ajay Sharma"/>
    <n v="9750"/>
  </r>
  <r>
    <s v="143827"/>
    <s v="MN"/>
    <s v="Dannana Jhammi"/>
    <s v="19/05/2022"/>
    <s v="Processing"/>
    <s v="133 TB HDD"/>
    <s v="HDD"/>
    <s v="Western Digital"/>
    <n v="10000"/>
    <n v="13000"/>
    <n v="3"/>
    <n v="30000"/>
    <n v="39000"/>
    <s v="Roshan Kumar"/>
    <n v="39000"/>
  </r>
  <r>
    <s v="143828"/>
    <s v="ML"/>
    <s v="Vipin Kumar"/>
    <s v="19/05/2022"/>
    <s v="Delivered"/>
    <s v="643 GB M.2"/>
    <s v="SSD"/>
    <s v="Samsung"/>
    <n v="6500"/>
    <n v="8450"/>
    <n v="3"/>
    <n v="19500"/>
    <n v="25350"/>
    <s v="Aarvi Gupta"/>
    <n v="8450"/>
  </r>
  <r>
    <s v="143829"/>
    <s v="MZ"/>
    <s v="Ranjeet Kumar"/>
    <s v="19/05/2022"/>
    <s v="Shipped"/>
    <s v="RYZEN 3rd gen. 3631"/>
    <s v="CPU"/>
    <s v="Intel"/>
    <n v="8500"/>
    <n v="11050"/>
    <n v="3"/>
    <n v="25500"/>
    <n v="33150"/>
    <s v="Vijay Singh"/>
    <n v="33150"/>
  </r>
  <r>
    <s v="143830"/>
    <s v="NL"/>
    <s v="Sajal Singhal"/>
    <s v="19/05/2022"/>
    <s v="Order"/>
    <s v="2GB Graphic Card"/>
    <s v="Graphic Card"/>
    <s v="Nvidia"/>
    <n v="7000"/>
    <n v="9100"/>
    <n v="3"/>
    <n v="21000"/>
    <n v="27300"/>
    <s v="Aadil Khan"/>
    <n v="18200"/>
  </r>
  <r>
    <s v="143831"/>
    <s v="OR"/>
    <s v="Akhilesh Kumar"/>
    <s v="19/05/2022"/>
    <s v="Processing"/>
    <s v="147 GB DDR4 RAM"/>
    <s v="NIC"/>
    <s v="Hynix"/>
    <n v="6550"/>
    <n v="8515"/>
    <n v="1"/>
    <n v="6550"/>
    <n v="8515"/>
    <s v="Ajay Sharma"/>
    <n v="9100"/>
  </r>
  <r>
    <s v="143832"/>
    <s v="PB"/>
    <s v="Suvankar Chakraborty"/>
    <s v="19/05/2022"/>
    <s v="Delivered"/>
    <s v="Standard ATX motherboard"/>
    <s v="Printer"/>
    <s v="Gigabyte"/>
    <n v="7650"/>
    <n v="9945"/>
    <n v="3"/>
    <n v="22950"/>
    <n v="29835"/>
    <s v="Ajay Sharma"/>
    <n v="11700"/>
  </r>
  <r>
    <s v="143833"/>
    <s v="RJ"/>
    <s v="Suvankar Adhikary"/>
    <s v="19/05/2022"/>
    <s v="Shipped"/>
    <s v="Compact with 1 Fan"/>
    <s v="Cabinet"/>
    <s v="Asus"/>
    <n v="1150"/>
    <n v="1495"/>
    <n v="2"/>
    <n v="2300"/>
    <n v="2990"/>
    <s v="Ajay Sharma"/>
    <n v="2990"/>
  </r>
  <r>
    <s v="143834"/>
    <s v="SK"/>
    <s v="Rahul Kumar Prajapati"/>
    <s v="19/05/2022"/>
    <s v="Order"/>
    <s v="USB Backlight Keyboard"/>
    <s v="Keyboard"/>
    <s v="Dell"/>
    <n v="850"/>
    <n v="1105"/>
    <n v="2"/>
    <n v="1700"/>
    <n v="2210"/>
    <s v="Ajay Sharma"/>
    <n v="3315"/>
  </r>
  <r>
    <s v="143835"/>
    <s v="TN"/>
    <s v="Sagar Jeur"/>
    <s v="19/05/2022"/>
    <s v="Processing"/>
    <s v="Ergonomic Mouse"/>
    <s v="Mouse"/>
    <s v="Samsung"/>
    <n v="650"/>
    <n v="845"/>
    <n v="2"/>
    <n v="1300"/>
    <n v="1690"/>
    <s v="Ajay Sharma"/>
    <n v="1690"/>
  </r>
  <r>
    <s v="143836"/>
    <s v="TR"/>
    <s v="Rhushikesh Mane"/>
    <s v="19/05/2022"/>
    <s v="Delivered"/>
    <s v="15&quot; LCD Dsipaly"/>
    <s v="Monitor"/>
    <s v="Dell"/>
    <n v="7500"/>
    <n v="9750"/>
    <n v="2"/>
    <n v="15000"/>
    <n v="19500"/>
    <s v="Ajay Sharma"/>
    <n v="9750"/>
  </r>
  <r>
    <s v="143837"/>
    <s v="UK"/>
    <s v="Ashish Kumar"/>
    <s v="19/05/2022"/>
    <s v="Shipped"/>
    <s v="133 TB HDD"/>
    <s v="HDD"/>
    <s v="Seagate"/>
    <n v="10000"/>
    <n v="13000"/>
    <n v="1"/>
    <n v="10000"/>
    <n v="13000"/>
    <s v="Ajay Sharma"/>
    <n v="39000"/>
  </r>
  <r>
    <s v="143838"/>
    <s v="UP"/>
    <s v="Javed Akhter"/>
    <s v="19/05/2022"/>
    <s v="Order"/>
    <s v="132 TB SSD"/>
    <s v="SSD"/>
    <s v="Samsung"/>
    <n v="10500"/>
    <n v="13650"/>
    <n v="1"/>
    <n v="10500"/>
    <n v="13650"/>
    <s v="Ajay Sharma"/>
    <n v="8450"/>
  </r>
  <r>
    <s v="143839"/>
    <s v="WB"/>
    <s v="Haridas Balraj"/>
    <s v="19/05/2022"/>
    <s v="Processing"/>
    <s v="Intel i5 12th gen."/>
    <s v="CPU"/>
    <s v="Intel"/>
    <n v="8500"/>
    <n v="11050"/>
    <n v="1"/>
    <n v="8500"/>
    <n v="11050"/>
    <s v="Ajay Sharma"/>
    <n v="33150"/>
  </r>
  <r>
    <s v="143840"/>
    <s v="TN"/>
    <s v="Kundan Kumar"/>
    <s v="19/05/2022"/>
    <s v="Delivered"/>
    <s v="2GB Graphic Card"/>
    <s v="Graphic Card"/>
    <s v="Nvidia"/>
    <n v="7000"/>
    <n v="9100"/>
    <n v="3"/>
    <n v="21000"/>
    <n v="27300"/>
    <s v="Ajay Sharma"/>
    <n v="18200"/>
  </r>
  <r>
    <s v="143841"/>
    <s v="TR"/>
    <s v="Atif Siddiqui"/>
    <s v="19/05/2022"/>
    <s v="Shipped"/>
    <s v="135 GB DDR4 Ram"/>
    <s v="NIC"/>
    <s v="Hynix"/>
    <n v="1680"/>
    <n v="2184"/>
    <n v="1"/>
    <n v="1680"/>
    <n v="2184"/>
    <s v="Ajay Sharma"/>
    <n v="9100"/>
  </r>
  <r>
    <s v="143842"/>
    <s v="MH"/>
    <s v="Aditya Agarwal"/>
    <s v="19/05/2022"/>
    <s v="Order"/>
    <s v="Micro ATX motherboard"/>
    <s v="Printer"/>
    <s v="MSI"/>
    <n v="6540"/>
    <n v="8502"/>
    <n v="1"/>
    <n v="6540"/>
    <n v="8502"/>
    <s v="Ajay Sharma"/>
    <n v="11700"/>
  </r>
  <r>
    <s v="143843"/>
    <s v="CH"/>
    <s v="Firdoush Jabee"/>
    <s v="19/05/2022"/>
    <s v="Processing"/>
    <s v="Gaming Box Cabinet"/>
    <s v="Cabinet"/>
    <s v="Asus"/>
    <n v="2680"/>
    <n v="3484"/>
    <n v="1"/>
    <n v="2680"/>
    <n v="3484"/>
    <s v="Ajay Sharma"/>
    <n v="2990"/>
  </r>
  <r>
    <s v="143844"/>
    <s v="DH"/>
    <s v="Jay Prakash Kumar"/>
    <s v="19/05/2022"/>
    <s v="Delivered"/>
    <s v="17&quot; LCD Display"/>
    <s v="Monitor"/>
    <s v="Samsung"/>
    <n v="8250"/>
    <n v="10725"/>
    <n v="2"/>
    <n v="16500"/>
    <n v="21450"/>
    <s v="Ajay Sharma"/>
    <n v="9750"/>
  </r>
  <r>
    <s v="143845"/>
    <s v="DD"/>
    <s v="Ashish Pandey"/>
    <s v="19/05/2022"/>
    <s v="Shipped"/>
    <s v="139 GB DDR4 RAM"/>
    <s v="RAM"/>
    <s v="Samsung"/>
    <n v="2650"/>
    <n v="3445"/>
    <n v="3"/>
    <n v="7950"/>
    <n v="10335"/>
    <s v="Ajay Sharma"/>
    <n v="25545"/>
  </r>
  <r>
    <s v="143846"/>
    <s v="DL"/>
    <s v="Ajay Sharma"/>
    <s v="19/05/2022"/>
    <s v="Order"/>
    <s v="26&quot; LCD Display"/>
    <s v="Monitor"/>
    <s v="Acer"/>
    <n v="12550"/>
    <n v="16315"/>
    <n v="2"/>
    <n v="25100"/>
    <n v="32630"/>
    <s v="Ajay Sharma"/>
    <n v="9750"/>
  </r>
  <r>
    <s v="143847"/>
    <s v="LD"/>
    <s v="Moinuddin Saifi"/>
    <s v="19/05/2022"/>
    <s v="Processing"/>
    <s v="I7 - intel 12th Generation"/>
    <s v="CPU"/>
    <s v="Intel"/>
    <n v="14500"/>
    <n v="18850"/>
    <n v="1"/>
    <n v="14500"/>
    <n v="18850"/>
    <s v="Ajay Sharma"/>
    <n v="33150"/>
  </r>
  <r>
    <s v="143848"/>
    <s v="PY"/>
    <s v="Ramkrishna Das Adhikary"/>
    <s v="19/05/2022"/>
    <s v="Delivered"/>
    <s v="USB Keyboard"/>
    <s v="Keyboard"/>
    <s v="Dell"/>
    <n v="800"/>
    <n v="1040"/>
    <n v="3"/>
    <n v="2400"/>
    <n v="3120"/>
    <s v="Ajay Sharma"/>
    <n v="3315"/>
  </r>
  <r>
    <s v="143849"/>
    <s v="AP"/>
    <s v="Ranjeet Mandal"/>
    <s v="19/05/2022"/>
    <s v="Shipped"/>
    <s v="Wireless Mouse"/>
    <s v="Mouse"/>
    <s v="Samsung"/>
    <n v="600"/>
    <n v="780"/>
    <n v="2"/>
    <n v="1200"/>
    <n v="1560"/>
    <s v="Ajay Sharma"/>
    <n v="1690"/>
  </r>
  <r>
    <s v="143850"/>
    <s v="AR"/>
    <s v="Ashwini Adsare"/>
    <s v="19/05/2022"/>
    <s v="Order"/>
    <s v="21&quot; LCD Display"/>
    <s v="Monitor"/>
    <s v="Dell"/>
    <n v="10500"/>
    <n v="13650"/>
    <n v="4"/>
    <n v="42000"/>
    <n v="54600"/>
    <s v="Ajay Sharma"/>
    <n v="9750"/>
  </r>
  <r>
    <s v="143851"/>
    <s v="AS"/>
    <s v="Rajesh Variya"/>
    <s v="19/05/2022"/>
    <s v="Processing"/>
    <s v="133 TB HDD"/>
    <s v="HDD"/>
    <s v="Western Digital"/>
    <n v="6500"/>
    <n v="8450"/>
    <n v="1"/>
    <n v="6500"/>
    <n v="8450"/>
    <s v="Roshan Kumar"/>
    <n v="39000"/>
  </r>
  <r>
    <s v="143852"/>
    <s v="BR"/>
    <s v="Amit Singh"/>
    <s v="19/05/2022"/>
    <s v="Delivered"/>
    <s v="388 GB SSD"/>
    <s v="SSD"/>
    <s v="Samsung"/>
    <n v="4500"/>
    <n v="5850"/>
    <n v="4"/>
    <n v="18000"/>
    <n v="23400"/>
    <s v="Aarvi Gupta"/>
    <n v="8450"/>
  </r>
  <r>
    <s v="143853"/>
    <s v="CG"/>
    <s v="Vinod Mehta"/>
    <s v="19/05/2022"/>
    <s v="Shipped"/>
    <s v="Intel i3 11th gen."/>
    <s v="CPU"/>
    <s v="Intel"/>
    <n v="8500"/>
    <n v="11050"/>
    <n v="3"/>
    <n v="25500"/>
    <n v="33150"/>
    <s v="Vijay Singh"/>
    <n v="33150"/>
  </r>
  <r>
    <s v="143854"/>
    <s v="GA"/>
    <s v="Jignesh Mhatre"/>
    <s v="19/05/2022"/>
    <s v="Order"/>
    <s v="4GB Graphic card"/>
    <s v="Graphic Card"/>
    <s v="Nvidia"/>
    <n v="12500"/>
    <n v="16250"/>
    <n v="2"/>
    <n v="25000"/>
    <n v="32500"/>
    <s v="Aadil Khan"/>
    <n v="18200"/>
  </r>
  <r>
    <s v="143855"/>
    <s v="GJ"/>
    <s v="Rahul Kashyap"/>
    <s v="19/05/2022"/>
    <s v="Processing"/>
    <s v="140 GB DDR4 RAM"/>
    <s v="RAM"/>
    <s v="Hynix"/>
    <n v="3500"/>
    <n v="4550"/>
    <n v="1"/>
    <n v="3500"/>
    <n v="4550"/>
    <s v="Advika Joshi"/>
    <n v="25545"/>
  </r>
  <r>
    <s v="143856"/>
    <s v="HR"/>
    <s v="Mohammed Abdul Kaleem"/>
    <s v="19/05/2022"/>
    <s v="Delivered"/>
    <s v="BTX motherboard"/>
    <s v="MotherBoard"/>
    <s v="Gigabyte"/>
    <n v="4500"/>
    <n v="5850"/>
    <n v="1"/>
    <n v="4500"/>
    <n v="5850"/>
    <s v="Ajay Sharma"/>
    <n v="39780"/>
  </r>
  <r>
    <s v="143857"/>
    <s v="HP"/>
    <s v="Chandrakant Kasbe"/>
    <s v="19/05/2022"/>
    <s v="Shipped"/>
    <s v="135 Fans Cabinet"/>
    <s v="Cabinet"/>
    <s v="Asus"/>
    <n v="2100"/>
    <n v="2730"/>
    <n v="1"/>
    <n v="2100"/>
    <n v="2730"/>
    <s v="Roshan Kumar"/>
    <n v="2990"/>
  </r>
  <r>
    <s v="143858"/>
    <s v="JK"/>
    <s v="Rohan Kale"/>
    <s v="20/05/2022"/>
    <s v="Order"/>
    <s v="Wireless Keyboard"/>
    <s v="Keyboard"/>
    <s v="Dell"/>
    <n v="1150"/>
    <n v="1495"/>
    <n v="4"/>
    <n v="4600"/>
    <n v="5980"/>
    <s v="Aarvi Gupta"/>
    <n v="3315"/>
  </r>
  <r>
    <s v="143859"/>
    <s v="JH"/>
    <s v="Aniruddha Kekapure"/>
    <s v="21/05/2022"/>
    <s v="Processing"/>
    <s v="USB Mouse"/>
    <s v="Mouse"/>
    <s v="Samsung"/>
    <n v="350"/>
    <n v="455"/>
    <n v="3"/>
    <n v="1050"/>
    <n v="1365"/>
    <s v="Vijay Singh"/>
    <n v="1690"/>
  </r>
  <r>
    <s v="143860"/>
    <s v="KA"/>
    <s v="Aslam Raza"/>
    <s v="22/05/2022"/>
    <s v="Delivered"/>
    <s v="19&quot; LED Display"/>
    <s v="Monitor"/>
    <s v="Dell"/>
    <n v="9500"/>
    <n v="12350"/>
    <n v="3"/>
    <n v="28500"/>
    <n v="37050"/>
    <s v="Aadil Khan"/>
    <n v="9750"/>
  </r>
  <r>
    <s v="143861"/>
    <s v="KL"/>
    <s v="Roshan Zameer"/>
    <s v="23/05/2022"/>
    <s v="Shipped"/>
    <s v="134 TB HDD"/>
    <s v="HDD"/>
    <s v="Western Digital"/>
    <n v="10000"/>
    <n v="13000"/>
    <n v="1"/>
    <n v="10000"/>
    <n v="13000"/>
    <s v="Advika Joshi"/>
    <n v="39000"/>
  </r>
  <r>
    <s v="143862"/>
    <s v="MP"/>
    <s v="Rakesh Kumar Sharma"/>
    <s v="24/05/2022"/>
    <s v="Order"/>
    <s v="644 GB M.2"/>
    <s v="SSD"/>
    <s v="Samsung"/>
    <n v="6500"/>
    <n v="8450"/>
    <n v="1"/>
    <n v="6500"/>
    <n v="8450"/>
    <s v="Ajay Sharma"/>
    <n v="8450"/>
  </r>
  <r>
    <s v="143863"/>
    <s v="MH"/>
    <s v="Shivanand Sahani"/>
    <s v="24/05/2022"/>
    <s v="Processing"/>
    <s v="RYZEN 3rd gen. 3632"/>
    <s v="CPU"/>
    <s v="Intel"/>
    <n v="8500"/>
    <n v="11050"/>
    <n v="2"/>
    <n v="17000"/>
    <n v="22100"/>
    <s v="Roshan Kumar"/>
    <n v="33150"/>
  </r>
  <r>
    <s v="143864"/>
    <s v="MN"/>
    <s v="Kunal Patra"/>
    <s v="24/05/2022"/>
    <s v="Delivered"/>
    <s v="2GB Graphic Card"/>
    <s v="Graphic Card"/>
    <s v="Nvidia"/>
    <n v="7000"/>
    <n v="9100"/>
    <n v="4"/>
    <n v="28000"/>
    <n v="36400"/>
    <s v="Aarvi Gupta"/>
    <n v="18200"/>
  </r>
  <r>
    <s v="143865"/>
    <s v="ML"/>
    <s v="Bijendra"/>
    <s v="24/05/2022"/>
    <s v="Shipped"/>
    <s v="148 GB DDR4 RAM"/>
    <s v="RAM"/>
    <s v="Hynix"/>
    <n v="6550"/>
    <n v="8515"/>
    <n v="4"/>
    <n v="26200"/>
    <n v="34060"/>
    <s v="Vijay Singh"/>
    <n v="25545"/>
  </r>
  <r>
    <s v="143866"/>
    <s v="MZ"/>
    <s v="Kranti Bheke"/>
    <s v="24/05/2022"/>
    <s v="Order"/>
    <s v="Standard ATX motherboard"/>
    <s v="MotherBoard"/>
    <s v="Gigabyte"/>
    <n v="7650"/>
    <n v="9945"/>
    <n v="4"/>
    <n v="30600"/>
    <n v="39780"/>
    <s v="Aadil Khan"/>
    <n v="39780"/>
  </r>
  <r>
    <s v="143867"/>
    <s v="NL"/>
    <s v="Jagdeep"/>
    <s v="24/05/2022"/>
    <s v="Processing"/>
    <s v="Compact with 1 Fan"/>
    <s v="Cabinet"/>
    <s v="Asus"/>
    <n v="1150"/>
    <n v="1495"/>
    <n v="2"/>
    <n v="2300"/>
    <n v="2990"/>
    <s v="Advika Joshi"/>
    <n v="2990"/>
  </r>
  <r>
    <s v="143868"/>
    <s v="OR"/>
    <s v="Adhir Samal"/>
    <s v="24/05/2022"/>
    <s v="Delivered"/>
    <s v="USB Backlight Keyboard"/>
    <s v="Keyboard"/>
    <s v="Dell"/>
    <n v="850"/>
    <n v="1105"/>
    <n v="1"/>
    <n v="850"/>
    <n v="1105"/>
    <s v="Ajay Sharma"/>
    <n v="3315"/>
  </r>
  <r>
    <s v="143869"/>
    <s v="PB"/>
    <s v="Dannana Jhammi"/>
    <s v="24/05/2022"/>
    <s v="Shipped"/>
    <s v="Ergonomic Mouse"/>
    <s v="Mouse"/>
    <s v="Samsung"/>
    <n v="650"/>
    <n v="845"/>
    <n v="3"/>
    <n v="1950"/>
    <n v="2535"/>
    <s v="Roshan Kumar"/>
    <n v="1690"/>
  </r>
  <r>
    <s v="143870"/>
    <s v="RJ"/>
    <s v="Vipin Kumar"/>
    <s v="24/05/2022"/>
    <s v="Order"/>
    <s v="15&quot; LCD Dsipaly"/>
    <s v="Monitor"/>
    <s v="Dell"/>
    <n v="7500"/>
    <n v="9750"/>
    <n v="2"/>
    <n v="15000"/>
    <n v="19500"/>
    <s v="Aarvi Gupta"/>
    <n v="9750"/>
  </r>
  <r>
    <s v="143871"/>
    <s v="SK"/>
    <s v="Ranjeet Kumar"/>
    <s v="24/05/2022"/>
    <s v="Processing"/>
    <s v="134 TB HDD"/>
    <s v="HDD"/>
    <s v="Seagate"/>
    <n v="10000"/>
    <n v="13000"/>
    <n v="3"/>
    <n v="30000"/>
    <n v="39000"/>
    <s v="Vijay Singh"/>
    <n v="39000"/>
  </r>
  <r>
    <s v="143872"/>
    <s v="TN"/>
    <s v="Sajal Singhal"/>
    <s v="24/05/2022"/>
    <s v="Delivered"/>
    <s v="133 TB SSD"/>
    <s v="SSD"/>
    <s v="Samsung"/>
    <n v="10500"/>
    <n v="13650"/>
    <n v="3"/>
    <n v="31500"/>
    <n v="40950"/>
    <s v="Aadil Khan"/>
    <n v="8450"/>
  </r>
  <r>
    <s v="143873"/>
    <s v="TR"/>
    <s v="Akhilesh Kumar"/>
    <s v="24/05/2022"/>
    <s v="Shipped"/>
    <s v="Intel i5 12th gen."/>
    <s v="CPU"/>
    <s v="Intel"/>
    <n v="8500"/>
    <n v="11050"/>
    <n v="3"/>
    <n v="25500"/>
    <n v="33150"/>
    <s v="Advika Joshi"/>
    <n v="33150"/>
  </r>
  <r>
    <s v="143874"/>
    <s v="UK"/>
    <s v="Suvankar Chakraborty"/>
    <s v="24/05/2022"/>
    <s v="Order"/>
    <s v="2GB Graphic Card"/>
    <s v="Graphic Card"/>
    <s v="Nvidia"/>
    <n v="7000"/>
    <n v="9100"/>
    <n v="2"/>
    <n v="14000"/>
    <n v="18200"/>
    <s v="Ajay Sharma"/>
    <n v="18200"/>
  </r>
  <r>
    <s v="143875"/>
    <s v="UP"/>
    <s v="Suvankar Adhikary"/>
    <s v="24/05/2022"/>
    <s v="Processing"/>
    <s v="136 GB DDR4 Ram"/>
    <s v="RAM"/>
    <s v="Hynix"/>
    <n v="1680"/>
    <n v="2184"/>
    <n v="3"/>
    <n v="5040"/>
    <n v="6552"/>
    <s v="Ajay Sharma"/>
    <n v="25545"/>
  </r>
  <r>
    <s v="143876"/>
    <s v="WB"/>
    <s v="Rahul Kumar Prajapati"/>
    <s v="25/05/2022"/>
    <s v="Delivered"/>
    <s v="Micro ATX motherboard"/>
    <s v="MotherBoard"/>
    <s v="MSI"/>
    <n v="6540"/>
    <n v="8502"/>
    <n v="4"/>
    <n v="26160"/>
    <n v="34008"/>
    <s v="Roshan Kumar"/>
    <n v="39780"/>
  </r>
  <r>
    <s v="143877"/>
    <s v="TN"/>
    <s v="Sagar Jeur"/>
    <s v="26/05/2022"/>
    <s v="Shipped"/>
    <s v="Gaming Box Cabinet"/>
    <s v="Cabinet"/>
    <s v="Asus"/>
    <n v="2680"/>
    <n v="3484"/>
    <n v="2"/>
    <n v="5360"/>
    <n v="6968"/>
    <s v="Aarvi Gupta"/>
    <n v="2990"/>
  </r>
  <r>
    <s v="143878"/>
    <s v="TR"/>
    <s v="Rhushikesh Mane"/>
    <s v="27/05/2022"/>
    <s v="Order"/>
    <s v="17&quot; LCD Display"/>
    <s v="Monitor"/>
    <s v="Samsung"/>
    <n v="8250"/>
    <n v="10725"/>
    <n v="1"/>
    <n v="8250"/>
    <n v="10725"/>
    <s v="Vijay Singh"/>
    <n v="9750"/>
  </r>
  <r>
    <s v="143879"/>
    <s v="MH"/>
    <s v="Ashish Kumar"/>
    <s v="27/05/2022"/>
    <s v="Processing"/>
    <s v="140 GB DDR4 RAM"/>
    <s v="RAM"/>
    <s v="Samsung"/>
    <n v="2650"/>
    <n v="3445"/>
    <n v="3"/>
    <n v="7950"/>
    <n v="10335"/>
    <s v="Aadil Khan"/>
    <n v="25545"/>
  </r>
  <r>
    <s v="143880"/>
    <s v="CH"/>
    <s v="Javed Akhter"/>
    <s v="27/05/2022"/>
    <s v="Delivered"/>
    <s v="26&quot; LCD Display"/>
    <s v="Monitor"/>
    <s v="Acer"/>
    <n v="12550"/>
    <n v="16315"/>
    <n v="4"/>
    <n v="50200"/>
    <n v="65260"/>
    <s v="Advika Joshi"/>
    <n v="9750"/>
  </r>
  <r>
    <s v="143881"/>
    <s v="DH"/>
    <s v="Haridas Balraj"/>
    <s v="27/05/2022"/>
    <s v="Shipped"/>
    <s v="I7 - intel 12th Generation"/>
    <s v="CPU"/>
    <s v="Intel"/>
    <n v="14500"/>
    <n v="18850"/>
    <n v="2"/>
    <n v="29000"/>
    <n v="37700"/>
    <s v="Ajay Sharma"/>
    <n v="33150"/>
  </r>
  <r>
    <s v="143882"/>
    <s v="DD"/>
    <s v="Kundan Kumar"/>
    <s v="27/05/2022"/>
    <s v="Order"/>
    <s v="USB Keyboard"/>
    <s v="Keyboard"/>
    <s v="Dell"/>
    <n v="800"/>
    <n v="1040"/>
    <n v="1"/>
    <n v="800"/>
    <n v="1040"/>
    <s v="Roshan Kumar"/>
    <n v="3315"/>
  </r>
  <r>
    <s v="143883"/>
    <s v="DL"/>
    <s v="Atif Siddiqui"/>
    <s v="27/05/2022"/>
    <s v="Processing"/>
    <s v="Wireless Mouse"/>
    <s v="Mouse"/>
    <s v="Samsung"/>
    <n v="600"/>
    <n v="780"/>
    <n v="2"/>
    <n v="1200"/>
    <n v="1560"/>
    <s v="Aarvi Gupta"/>
    <n v="1690"/>
  </r>
  <r>
    <s v="143884"/>
    <s v="LD"/>
    <s v="Aditya Agarwal"/>
    <s v="27/05/2022"/>
    <s v="Delivered"/>
    <s v="21&quot; LCD Display"/>
    <s v="Monitor"/>
    <s v="Dell"/>
    <n v="10500"/>
    <n v="13650"/>
    <n v="3"/>
    <n v="31500"/>
    <n v="40950"/>
    <s v="Vijay Singh"/>
    <n v="9750"/>
  </r>
  <r>
    <s v="143885"/>
    <s v="PY"/>
    <s v="Firdoush Jabee"/>
    <s v="27/05/2022"/>
    <s v="Shipped"/>
    <s v="134 TB HDD"/>
    <s v="HDD"/>
    <s v="Western Digital"/>
    <n v="6500"/>
    <n v="8450"/>
    <n v="2"/>
    <n v="13000"/>
    <n v="16900"/>
    <s v="Aadil Khan"/>
    <n v="39000"/>
  </r>
  <r>
    <s v="143886"/>
    <s v="AP"/>
    <s v="Jay Prakash Kumar"/>
    <s v="27/05/2022"/>
    <s v="Order"/>
    <s v="389 GB SSD"/>
    <s v="SSD"/>
    <s v="Samsung"/>
    <n v="4500"/>
    <n v="5850"/>
    <n v="2"/>
    <n v="9000"/>
    <n v="11700"/>
    <s v="Advika Joshi"/>
    <n v="8450"/>
  </r>
  <r>
    <s v="143887"/>
    <s v="AR"/>
    <s v="Ashish Pandey"/>
    <s v="27/05/2022"/>
    <s v="Processing"/>
    <s v="Intel i3 11th gen."/>
    <s v="CPU"/>
    <s v="Intel"/>
    <n v="8500"/>
    <n v="11050"/>
    <n v="3"/>
    <n v="25500"/>
    <n v="33150"/>
    <s v="Ajay Sharma"/>
    <n v="33150"/>
  </r>
  <r>
    <s v="143888"/>
    <s v="AS"/>
    <s v="Ajay Sharma"/>
    <s v="28/05/2022"/>
    <s v="Delivered"/>
    <s v="4GB Graphic card"/>
    <s v="Graphic Card"/>
    <s v="Nvidia"/>
    <n v="12500"/>
    <n v="16250"/>
    <n v="2"/>
    <n v="25000"/>
    <n v="32500"/>
    <s v="Roshan Kumar"/>
    <n v="18200"/>
  </r>
  <r>
    <s v="143889"/>
    <s v="BR"/>
    <s v="Moinuddin Saifi"/>
    <s v="29/05/2022"/>
    <s v="Shipped"/>
    <s v="141 GB DDR4 RAM"/>
    <s v="Computer Case"/>
    <s v="Hynix"/>
    <n v="3500"/>
    <n v="4550"/>
    <n v="3"/>
    <n v="10500"/>
    <n v="13650"/>
    <s v="Aarvi Gupta"/>
    <n v="13650"/>
  </r>
  <r>
    <s v="143890"/>
    <s v="CG"/>
    <s v="Ramkrishna Das Adhikary"/>
    <s v="30/05/2022"/>
    <s v="Order"/>
    <s v="BTX motherboard"/>
    <s v="Mouse"/>
    <s v="Gigabyte"/>
    <n v="4500"/>
    <n v="5850"/>
    <n v="2"/>
    <n v="9000"/>
    <n v="11700"/>
    <s v="Vijay Singh"/>
    <n v="1690"/>
  </r>
  <r>
    <s v="143891"/>
    <s v="GA"/>
    <s v="Ranjeet Mandal"/>
    <s v="31/05/2022"/>
    <s v="Processing"/>
    <s v="136 Fans Cabinet"/>
    <s v="Cabinet"/>
    <s v="Asus"/>
    <n v="2100"/>
    <n v="2730"/>
    <n v="2"/>
    <n v="4200"/>
    <n v="5460"/>
    <s v="Aadil Khan"/>
    <n v="2990"/>
  </r>
  <r>
    <s v="143892"/>
    <s v="GJ"/>
    <s v="Ashwini Adsare"/>
    <s v="01/06/2022"/>
    <s v="Delivered"/>
    <s v="Wireless Keyboard"/>
    <s v="Keyboard"/>
    <s v="Dell"/>
    <n v="1150"/>
    <n v="1495"/>
    <n v="1"/>
    <n v="1150"/>
    <n v="1495"/>
    <s v="Advika Joshi"/>
    <n v="3315"/>
  </r>
  <r>
    <s v="143893"/>
    <s v="HR"/>
    <s v="Rajesh Variya"/>
    <s v="02/06/2022"/>
    <s v="Shipped"/>
    <s v="USB Mouse"/>
    <s v="Mouse"/>
    <s v="Samsung"/>
    <n v="350"/>
    <n v="455"/>
    <n v="3"/>
    <n v="1050"/>
    <n v="1365"/>
    <s v="Ajay Sharma"/>
    <n v="1690"/>
  </r>
  <r>
    <s v="143894"/>
    <s v="HP"/>
    <s v="Amit Singh"/>
    <s v="03/06/2022"/>
    <s v="Order"/>
    <s v="19&quot; LED Display"/>
    <s v="Monitor"/>
    <s v="Dell"/>
    <n v="9500"/>
    <n v="12350"/>
    <n v="2"/>
    <n v="19000"/>
    <n v="24700"/>
    <s v="Roshan Kumar"/>
    <n v="9750"/>
  </r>
  <r>
    <s v="143895"/>
    <s v="JK"/>
    <s v="Vinod Mehta"/>
    <s v="04/06/2022"/>
    <s v="Processing"/>
    <s v="135 TB HDD"/>
    <s v="HDD"/>
    <s v="Western Digital"/>
    <n v="10000"/>
    <n v="13000"/>
    <n v="4"/>
    <n v="40000"/>
    <n v="52000"/>
    <s v="Aarvi Gupta"/>
    <n v="39000"/>
  </r>
  <r>
    <s v="143896"/>
    <s v="JH"/>
    <s v="Jignesh Mhatre"/>
    <s v="05/06/2022"/>
    <s v="Delivered"/>
    <s v="645 GB M.2"/>
    <s v="SSD"/>
    <s v="Samsung"/>
    <n v="6500"/>
    <n v="8450"/>
    <n v="1"/>
    <n v="6500"/>
    <n v="8450"/>
    <s v="Vijay Singh"/>
    <n v="8450"/>
  </r>
  <r>
    <s v="143897"/>
    <s v="KA"/>
    <s v="Rahul Kashyap"/>
    <s v="06/06/2022"/>
    <s v="Shipped"/>
    <s v="RYZEN 3rd gen. 3633"/>
    <s v="CPU"/>
    <s v="Intel"/>
    <n v="8500"/>
    <n v="11050"/>
    <n v="1"/>
    <n v="8500"/>
    <n v="11050"/>
    <s v="Aadil Khan"/>
    <n v="33150"/>
  </r>
  <r>
    <s v="143898"/>
    <s v="KL"/>
    <s v="Mohammed Abdul Kaleem"/>
    <s v="07/06/2022"/>
    <s v="Order"/>
    <s v="2GB Graphic Card"/>
    <s v="Graphic Card"/>
    <s v="Nvidia"/>
    <n v="7000"/>
    <n v="9100"/>
    <n v="3"/>
    <n v="21000"/>
    <n v="27300"/>
    <s v="Advika Joshi"/>
    <n v="18200"/>
  </r>
  <r>
    <s v="143899"/>
    <s v="MP"/>
    <s v="Chandrakant Kasbe"/>
    <s v="08/06/2022"/>
    <s v="Processing"/>
    <s v="149 GB DDR4 RAM"/>
    <s v="Computer Case"/>
    <s v="Hynix"/>
    <n v="6550"/>
    <n v="8515"/>
    <n v="2"/>
    <n v="13100"/>
    <n v="17030"/>
    <s v="Ajay Sharma"/>
    <n v="13650"/>
  </r>
  <r>
    <s v="143900"/>
    <s v="MH"/>
    <s v="Rohan Kale"/>
    <s v="09/06/2022"/>
    <s v="Delivered"/>
    <s v="Standard ATX motherboard"/>
    <s v="Mouse"/>
    <s v="Gigabyte"/>
    <n v="7650"/>
    <n v="9945"/>
    <n v="3"/>
    <n v="22950"/>
    <n v="29835"/>
    <s v="Roshan Kumar"/>
    <n v="1690"/>
  </r>
  <r>
    <s v="143901"/>
    <s v="MN"/>
    <s v="Aniruddha Kekapure"/>
    <s v="10/06/2022"/>
    <s v="Shipped"/>
    <s v="Compact with 1 Fan"/>
    <s v="Cabinet"/>
    <s v="Asus"/>
    <n v="1150"/>
    <n v="1495"/>
    <n v="1"/>
    <n v="1150"/>
    <n v="1495"/>
    <s v="Aarvi Gupta"/>
    <n v="2990"/>
  </r>
  <r>
    <s v="143902"/>
    <s v="ML"/>
    <s v="Aslam Raza"/>
    <s v="11/06/2022"/>
    <s v="Order"/>
    <s v="USB Backlight Keyboard"/>
    <s v="Keyboard"/>
    <s v="Dell"/>
    <n v="850"/>
    <n v="1105"/>
    <n v="2"/>
    <n v="1700"/>
    <n v="2210"/>
    <s v="Vijay Singh"/>
    <n v="3315"/>
  </r>
  <r>
    <s v="143903"/>
    <s v="MZ"/>
    <s v="Roshan Zameer"/>
    <s v="12/06/2022"/>
    <s v="Processing"/>
    <s v="Ergonomic Mouse"/>
    <s v="Mouse"/>
    <s v="Samsung"/>
    <n v="650"/>
    <n v="845"/>
    <n v="4"/>
    <n v="2600"/>
    <n v="3380"/>
    <s v="Aadil Khan"/>
    <n v="1690"/>
  </r>
  <r>
    <s v="143904"/>
    <s v="NL"/>
    <s v="Rakesh Kumar Sharma"/>
    <s v="13/06/2022"/>
    <s v="Delivered"/>
    <s v="15&quot; LCD Dsipaly"/>
    <s v="Monitor"/>
    <s v="Dell"/>
    <n v="7500"/>
    <n v="9750"/>
    <n v="2"/>
    <n v="15000"/>
    <n v="19500"/>
    <s v="Advika Joshi"/>
    <n v="9750"/>
  </r>
  <r>
    <s v="143905"/>
    <s v="OR"/>
    <s v="Shivanand Sahani"/>
    <s v="14/06/2022"/>
    <s v="Shipped"/>
    <s v="135 TB HDD"/>
    <s v="HDD"/>
    <s v="Seagate"/>
    <n v="10000"/>
    <n v="13000"/>
    <n v="1"/>
    <n v="10000"/>
    <n v="13000"/>
    <s v="Ajay Sharma"/>
    <n v="39000"/>
  </r>
  <r>
    <s v="143906"/>
    <s v="PB"/>
    <s v="Kunal Patra"/>
    <s v="15/06/2022"/>
    <s v="Order"/>
    <s v="134 TB SSD"/>
    <s v="SSD"/>
    <s v="Samsung"/>
    <n v="10500"/>
    <n v="13650"/>
    <n v="1"/>
    <n v="10500"/>
    <n v="13650"/>
    <s v="Roshan Kumar"/>
    <n v="8450"/>
  </r>
  <r>
    <s v="143907"/>
    <s v="RJ"/>
    <s v="Bijendra"/>
    <s v="16/06/2022"/>
    <s v="Processing"/>
    <s v="Intel i5 12th gen."/>
    <s v="CPU"/>
    <s v="Intel"/>
    <n v="8500"/>
    <n v="11050"/>
    <n v="1"/>
    <n v="8500"/>
    <n v="11050"/>
    <s v="Aarvi Gupta"/>
    <n v="33150"/>
  </r>
  <r>
    <s v="143908"/>
    <s v="SK"/>
    <s v="Kranti Bheke"/>
    <s v="17/06/2022"/>
    <s v="Delivered"/>
    <s v="2GB Graphic Card"/>
    <s v="Graphic Card"/>
    <s v="Nvidia"/>
    <n v="7000"/>
    <n v="9100"/>
    <n v="2"/>
    <n v="14000"/>
    <n v="18200"/>
    <s v="Vijay Singh"/>
    <n v="18200"/>
  </r>
  <r>
    <s v="143909"/>
    <s v="TN"/>
    <s v="Jagdeep"/>
    <s v="18/06/2022"/>
    <s v="Shipped"/>
    <s v="137 GB DDR4 Ram"/>
    <s v="Computer Case"/>
    <s v="Hynix"/>
    <n v="1680"/>
    <n v="2184"/>
    <n v="1"/>
    <n v="1680"/>
    <n v="2184"/>
    <s v="Aadil Khan"/>
    <n v="13650"/>
  </r>
  <r>
    <s v="143910"/>
    <s v="TR"/>
    <s v="Adhir Samal"/>
    <s v="19/06/2022"/>
    <s v="Order"/>
    <s v="Micro ATX motherboard"/>
    <s v="Mouse"/>
    <s v="MSI"/>
    <n v="6540"/>
    <n v="8502"/>
    <n v="1"/>
    <n v="6540"/>
    <n v="8502"/>
    <s v="Advika Joshi"/>
    <n v="1690"/>
  </r>
  <r>
    <s v="143911"/>
    <s v="UK"/>
    <s v="Dannana Jhammi"/>
    <s v="20/06/2022"/>
    <s v="Processing"/>
    <s v="Gaming Box Cabinet"/>
    <s v="Cabinet"/>
    <s v="Asus"/>
    <n v="2680"/>
    <n v="3484"/>
    <n v="1"/>
    <n v="2680"/>
    <n v="3484"/>
    <s v="Ajay Sharma"/>
    <n v="2990"/>
  </r>
  <r>
    <s v="143912"/>
    <s v="UP"/>
    <s v="Vipin Kumar"/>
    <s v="20/06/2022"/>
    <s v="Delivered"/>
    <s v="17&quot; LCD Display"/>
    <s v="Monitor"/>
    <s v="Samsung"/>
    <n v="8250"/>
    <n v="10725"/>
    <n v="1"/>
    <n v="8250"/>
    <n v="10725"/>
    <s v="Roshan Kumar"/>
    <n v="9750"/>
  </r>
  <r>
    <s v="143913"/>
    <s v="WB"/>
    <s v="Ranjeet Kumar"/>
    <s v="20/06/2022"/>
    <s v="Shipped"/>
    <s v="141 GB DDR4 RAM"/>
    <s v="RAM"/>
    <s v="Samsung"/>
    <n v="2650"/>
    <n v="3445"/>
    <n v="2"/>
    <n v="5300"/>
    <n v="6890"/>
    <s v="Aarvi Gupta"/>
    <n v="25545"/>
  </r>
  <r>
    <s v="143914"/>
    <s v="TN"/>
    <s v="Sajal Singhal"/>
    <s v="20/06/2022"/>
    <s v="Order"/>
    <s v="26&quot; LCD Display"/>
    <s v="Monitor"/>
    <s v="Acer"/>
    <n v="12550"/>
    <n v="16315"/>
    <n v="4"/>
    <n v="50200"/>
    <n v="65260"/>
    <s v="Vijay Singh"/>
    <n v="9750"/>
  </r>
  <r>
    <s v="143915"/>
    <s v="TR"/>
    <s v="Akhilesh Kumar"/>
    <s v="20/06/2022"/>
    <s v="Processing"/>
    <s v="I7 - intel 12th Generation"/>
    <s v="CPU"/>
    <s v="Intel"/>
    <n v="14500"/>
    <n v="18850"/>
    <n v="4"/>
    <n v="58000"/>
    <n v="75400"/>
    <s v="Aadil Khan"/>
    <n v="33150"/>
  </r>
  <r>
    <s v="143916"/>
    <s v="MH"/>
    <s v="Suvankar Chakraborty"/>
    <s v="20/06/2022"/>
    <s v="Delivered"/>
    <s v="USB Keyboard"/>
    <s v="Keyboard"/>
    <s v="Dell"/>
    <n v="800"/>
    <n v="1040"/>
    <n v="1"/>
    <n v="800"/>
    <n v="1040"/>
    <s v="Advika Joshi"/>
    <n v="3315"/>
  </r>
  <r>
    <s v="143917"/>
    <s v="CH"/>
    <s v="Suvankar Adhikary"/>
    <s v="20/06/2022"/>
    <s v="Shipped"/>
    <s v="Wireless Mouse"/>
    <s v="Mouse"/>
    <s v="Samsung"/>
    <n v="600"/>
    <n v="780"/>
    <n v="1"/>
    <n v="600"/>
    <n v="780"/>
    <s v="Ajay Sharma"/>
    <n v="1690"/>
  </r>
  <r>
    <s v="143918"/>
    <s v="DH"/>
    <s v="Rahul Kumar Prajapati"/>
    <s v="21/06/2022"/>
    <s v="Order"/>
    <s v="21&quot; LCD Display"/>
    <s v="Monitor"/>
    <s v="Dell"/>
    <n v="10500"/>
    <n v="13650"/>
    <n v="2"/>
    <n v="21000"/>
    <n v="27300"/>
    <s v="Roshan Kumar"/>
    <n v="9750"/>
  </r>
  <r>
    <s v="143919"/>
    <s v="DD"/>
    <s v="Sagar Jeur"/>
    <s v="22/06/2022"/>
    <s v="Processing"/>
    <s v="135 TB HDD"/>
    <s v="HDD"/>
    <s v="Western Digital"/>
    <n v="6500"/>
    <n v="8450"/>
    <n v="4"/>
    <n v="26000"/>
    <n v="33800"/>
    <s v="Aarvi Gupta"/>
    <n v="39000"/>
  </r>
  <r>
    <s v="143920"/>
    <s v="DL"/>
    <s v="Rhushikesh Mane"/>
    <s v="23/06/2022"/>
    <s v="Delivered"/>
    <s v="390 GB SSD"/>
    <s v="SSD"/>
    <s v="Samsung"/>
    <n v="4500"/>
    <n v="5850"/>
    <n v="4"/>
    <n v="18000"/>
    <n v="23400"/>
    <s v="Vijay Singh"/>
    <n v="8450"/>
  </r>
  <r>
    <s v="143921"/>
    <s v="LD"/>
    <s v="Ashish Kumar"/>
    <s v="24/06/2022"/>
    <s v="Shipped"/>
    <s v="Intel i3 11th gen."/>
    <s v="CPU"/>
    <s v="Intel"/>
    <n v="8500"/>
    <n v="11050"/>
    <n v="2"/>
    <n v="17000"/>
    <n v="22100"/>
    <s v="Aadil Khan"/>
    <n v="33150"/>
  </r>
  <r>
    <s v="143922"/>
    <s v="PY"/>
    <s v="Javed Akhter"/>
    <s v="25/06/2022"/>
    <s v="Order"/>
    <s v="4GB Graphic card"/>
    <s v="Graphic Card"/>
    <s v="Nvidia"/>
    <n v="12500"/>
    <n v="16250"/>
    <n v="1"/>
    <n v="12500"/>
    <n v="16250"/>
    <s v="Advika Joshi"/>
    <n v="18200"/>
  </r>
  <r>
    <s v="143923"/>
    <s v="AP"/>
    <s v="Haridas Balraj"/>
    <s v="26/06/2022"/>
    <s v="Processing"/>
    <s v="142 GB DDR4 RAM"/>
    <s v="NIC"/>
    <s v="Hynix"/>
    <n v="3500"/>
    <n v="4550"/>
    <n v="1"/>
    <n v="3500"/>
    <n v="4550"/>
    <s v="Ajay Sharma"/>
    <n v="9100"/>
  </r>
  <r>
    <s v="143924"/>
    <s v="AR"/>
    <s v="Kundan Kumar"/>
    <s v="26/06/2022"/>
    <s v="Delivered"/>
    <s v="BTX motherboard"/>
    <s v="Printer"/>
    <s v="Gigabyte"/>
    <n v="4500"/>
    <n v="5850"/>
    <n v="2"/>
    <n v="9000"/>
    <n v="11700"/>
    <s v="Roshan Kumar"/>
    <n v="11700"/>
  </r>
  <r>
    <s v="143925"/>
    <s v="AS"/>
    <s v="Atif Siddiqui"/>
    <s v="26/06/2022"/>
    <s v="Shipped"/>
    <s v="137 Fans Cabinet"/>
    <s v="Cabinet"/>
    <s v="Asus"/>
    <n v="2100"/>
    <n v="2730"/>
    <n v="2"/>
    <n v="4200"/>
    <n v="5460"/>
    <s v="Aarvi Gupta"/>
    <n v="2990"/>
  </r>
  <r>
    <s v="143926"/>
    <s v="BR"/>
    <s v="Aditya Agarwal"/>
    <s v="26/06/2022"/>
    <s v="Order"/>
    <s v="Wireless Keyboard"/>
    <s v="Keyboard"/>
    <s v="Dell"/>
    <n v="1150"/>
    <n v="1495"/>
    <n v="4"/>
    <n v="4600"/>
    <n v="5980"/>
    <s v="Vijay Singh"/>
    <n v="3315"/>
  </r>
  <r>
    <s v="143927"/>
    <s v="CG"/>
    <s v="Firdoush Jabee"/>
    <s v="26/06/2022"/>
    <s v="Processing"/>
    <s v="USB Mouse"/>
    <s v="Mouse"/>
    <s v="Samsung"/>
    <n v="350"/>
    <n v="455"/>
    <n v="1"/>
    <n v="350"/>
    <n v="455"/>
    <s v="Aadil Khan"/>
    <n v="1690"/>
  </r>
  <r>
    <s v="143928"/>
    <s v="GA"/>
    <s v="Jay Prakash Kumar"/>
    <s v="26/06/2022"/>
    <s v="Delivered"/>
    <s v="19&quot; LED Display"/>
    <s v="Monitor"/>
    <s v="Dell"/>
    <n v="9500"/>
    <n v="12350"/>
    <n v="2"/>
    <n v="19000"/>
    <n v="24700"/>
    <s v="Advika Joshi"/>
    <n v="9750"/>
  </r>
  <r>
    <s v="143929"/>
    <s v="GJ"/>
    <s v="Ashish Pandey"/>
    <s v="26/06/2022"/>
    <s v="Shipped"/>
    <s v="136 TB HDD"/>
    <s v="HDD"/>
    <s v="Western Digital"/>
    <n v="10000"/>
    <n v="13000"/>
    <n v="4"/>
    <n v="40000"/>
    <n v="52000"/>
    <s v="Ajay Sharma"/>
    <n v="39000"/>
  </r>
  <r>
    <s v="143930"/>
    <s v="HR"/>
    <s v="Ajay Sharma"/>
    <s v="26/06/2022"/>
    <s v="Order"/>
    <s v="646 GB M.2"/>
    <s v="SSD"/>
    <s v="Samsung"/>
    <n v="6500"/>
    <n v="8450"/>
    <n v="1"/>
    <n v="6500"/>
    <n v="8450"/>
    <s v="Roshan Kumar"/>
    <n v="8450"/>
  </r>
  <r>
    <s v="143931"/>
    <s v="HP"/>
    <s v="Moinuddin Saifi"/>
    <s v="26/06/2022"/>
    <s v="Processing"/>
    <s v="RYZEN 3rd gen. 3634"/>
    <s v="CPU"/>
    <s v="Intel"/>
    <n v="8500"/>
    <n v="11050"/>
    <n v="4"/>
    <n v="34000"/>
    <n v="44200"/>
    <s v="Aarvi Gupta"/>
    <n v="33150"/>
  </r>
  <r>
    <s v="143932"/>
    <s v="JK"/>
    <s v="Ramkrishna Das Adhikary"/>
    <s v="26/06/2022"/>
    <s v="Delivered"/>
    <s v="2GB Graphic Card"/>
    <s v="Graphic Card"/>
    <s v="Nvidia"/>
    <n v="7000"/>
    <n v="9100"/>
    <n v="4"/>
    <n v="28000"/>
    <n v="36400"/>
    <s v="Vijay Singh"/>
    <n v="18200"/>
  </r>
  <r>
    <s v="143933"/>
    <s v="JH"/>
    <s v="Ranjeet Mandal"/>
    <s v="26/06/2022"/>
    <s v="Shipped"/>
    <s v="150 GB DDR4 RAM"/>
    <s v="NIC"/>
    <s v="Hynix"/>
    <n v="6550"/>
    <n v="8515"/>
    <n v="4"/>
    <n v="26200"/>
    <n v="34060"/>
    <s v="Aadil Khan"/>
    <n v="9100"/>
  </r>
  <r>
    <s v="143934"/>
    <s v="KA"/>
    <s v="Ashwini Adsare"/>
    <s v="26/06/2022"/>
    <s v="Order"/>
    <s v="Standard ATX motherboard"/>
    <s v="Printer"/>
    <s v="Gigabyte"/>
    <n v="7650"/>
    <n v="9945"/>
    <n v="1"/>
    <n v="7650"/>
    <n v="9945"/>
    <s v="Advika Joshi"/>
    <n v="11700"/>
  </r>
  <r>
    <s v="143935"/>
    <s v="KL"/>
    <s v="Rajesh Variya"/>
    <s v="26/06/2022"/>
    <s v="Processing"/>
    <s v="Compact with 1 Fan"/>
    <s v="Cabinet"/>
    <s v="Asus"/>
    <n v="1150"/>
    <n v="1495"/>
    <n v="1"/>
    <n v="1150"/>
    <n v="1495"/>
    <s v="Ajay Sharma"/>
    <n v="2990"/>
  </r>
  <r>
    <s v="143936"/>
    <s v="MP"/>
    <s v="Amit Singh"/>
    <s v="26/06/2022"/>
    <s v="Delivered"/>
    <s v="USB Backlight Keyboard"/>
    <s v="Keyboard"/>
    <s v="Dell"/>
    <n v="850"/>
    <n v="1105"/>
    <n v="2"/>
    <n v="1700"/>
    <n v="2210"/>
    <s v="Roshan Kumar"/>
    <n v="3315"/>
  </r>
  <r>
    <s v="143937"/>
    <s v="MH"/>
    <s v="Vinod Mehta"/>
    <s v="26/06/2022"/>
    <s v="Shipped"/>
    <s v="Ergonomic Mouse"/>
    <s v="Mouse"/>
    <s v="Samsung"/>
    <n v="650"/>
    <n v="845"/>
    <n v="3"/>
    <n v="1950"/>
    <n v="2535"/>
    <s v="Aarvi Gupta"/>
    <n v="1690"/>
  </r>
  <r>
    <s v="143938"/>
    <s v="MN"/>
    <s v="Jignesh Mhatre"/>
    <s v="27/06/2022"/>
    <s v="Order"/>
    <s v="15&quot; LCD Dsipaly"/>
    <s v="Monitor"/>
    <s v="Dell"/>
    <n v="7500"/>
    <n v="9750"/>
    <n v="4"/>
    <n v="30000"/>
    <n v="39000"/>
    <s v="Vijay Singh"/>
    <n v="9750"/>
  </r>
  <r>
    <s v="143939"/>
    <s v="ML"/>
    <s v="Rahul Kashyap"/>
    <s v="27/06/2022"/>
    <s v="Processing"/>
    <s v="136 TB HDD"/>
    <s v="HDD"/>
    <s v="Seagate"/>
    <n v="10000"/>
    <n v="13000"/>
    <n v="4"/>
    <n v="40000"/>
    <n v="52000"/>
    <s v="Aadil Khan"/>
    <n v="39000"/>
  </r>
  <r>
    <s v="143940"/>
    <s v="MZ"/>
    <s v="Mohammed Abdul Kaleem"/>
    <s v="27/06/2022"/>
    <s v="Delivered"/>
    <s v="135 TB SSD"/>
    <s v="SSD"/>
    <s v="Samsung"/>
    <n v="10500"/>
    <n v="13650"/>
    <n v="3"/>
    <n v="31500"/>
    <n v="40950"/>
    <s v="Advika Joshi"/>
    <n v="8450"/>
  </r>
  <r>
    <s v="143941"/>
    <s v="NL"/>
    <s v="Chandrakant Kasbe"/>
    <s v="27/06/2022"/>
    <s v="Shipped"/>
    <s v="Intel i5 12th gen."/>
    <s v="CPU"/>
    <s v="Intel"/>
    <n v="8500"/>
    <n v="11050"/>
    <n v="1"/>
    <n v="8500"/>
    <n v="11050"/>
    <s v="Ajay Sharma"/>
    <n v="33150"/>
  </r>
  <r>
    <s v="143942"/>
    <s v="OR"/>
    <s v="Rohan Kale"/>
    <s v="27/06/2022"/>
    <s v="Order"/>
    <s v="2GB Graphic Card"/>
    <s v="Graphic Card"/>
    <s v="Nvidia"/>
    <n v="7000"/>
    <n v="9100"/>
    <n v="1"/>
    <n v="7000"/>
    <n v="9100"/>
    <s v="Roshan Kumar"/>
    <n v="18200"/>
  </r>
  <r>
    <s v="143943"/>
    <s v="PB"/>
    <s v="Aniruddha Kekapure"/>
    <s v="27/06/2022"/>
    <s v="Processing"/>
    <s v="138 GB DDR4 Ram"/>
    <s v="NIC"/>
    <s v="Hynix"/>
    <n v="1680"/>
    <n v="2184"/>
    <n v="3"/>
    <n v="5040"/>
    <n v="6552"/>
    <s v="Aarvi Gupta"/>
    <n v="9100"/>
  </r>
  <r>
    <s v="143944"/>
    <s v="RJ"/>
    <s v="Aslam Raza"/>
    <s v="27/06/2022"/>
    <s v="Delivered"/>
    <s v="Micro ATX motherboard"/>
    <s v="Printer"/>
    <s v="MSI"/>
    <n v="6540"/>
    <n v="8502"/>
    <n v="2"/>
    <n v="13080"/>
    <n v="17004"/>
    <s v="Vijay Singh"/>
    <n v="11700"/>
  </r>
  <r>
    <s v="143945"/>
    <s v="SK"/>
    <s v="Roshan Zameer"/>
    <s v="27/06/2022"/>
    <s v="Shipped"/>
    <s v="Gaming Box Cabinet"/>
    <s v="Cabinet"/>
    <s v="Asus"/>
    <n v="2680"/>
    <n v="3484"/>
    <n v="2"/>
    <n v="5360"/>
    <n v="6968"/>
    <s v="Aadil Khan"/>
    <n v="2990"/>
  </r>
  <r>
    <s v="143946"/>
    <s v="TN"/>
    <s v="Rakesh Kumar Sharma"/>
    <s v="27/06/2022"/>
    <s v="Order"/>
    <s v="17&quot; LCD Display"/>
    <s v="Monitor"/>
    <s v="Samsung"/>
    <n v="8250"/>
    <n v="10725"/>
    <n v="4"/>
    <n v="33000"/>
    <n v="42900"/>
    <s v="Advika Joshi"/>
    <n v="9750"/>
  </r>
  <r>
    <s v="143947"/>
    <s v="TR"/>
    <s v="Shivanand Sahani"/>
    <s v="27/06/2022"/>
    <s v="Processing"/>
    <s v="142 GB DDR4 RAM"/>
    <s v="RAM"/>
    <s v="Samsung"/>
    <n v="2650"/>
    <n v="3445"/>
    <n v="1"/>
    <n v="2650"/>
    <n v="3445"/>
    <s v="Ajay Sharma"/>
    <n v="25545"/>
  </r>
  <r>
    <s v="143948"/>
    <s v="UK"/>
    <s v="Kunal Patra"/>
    <s v="28/06/2022"/>
    <s v="Delivered"/>
    <s v="26&quot; LCD Display"/>
    <s v="Monitor"/>
    <s v="Acer"/>
    <n v="12550"/>
    <n v="16315"/>
    <n v="3"/>
    <n v="37650"/>
    <n v="48945"/>
    <s v="Roshan Kumar"/>
    <n v="9750"/>
  </r>
  <r>
    <s v="143949"/>
    <s v="UP"/>
    <s v="Bijendra"/>
    <s v="29/06/2022"/>
    <s v="Shipped"/>
    <s v="I7 - intel 12th Generation"/>
    <s v="CPU"/>
    <s v="Intel"/>
    <n v="14500"/>
    <n v="18850"/>
    <n v="4"/>
    <n v="58000"/>
    <n v="75400"/>
    <s v="Aarvi Gupta"/>
    <n v="33150"/>
  </r>
  <r>
    <s v="143950"/>
    <s v="WB"/>
    <s v="Kranti Bheke"/>
    <s v="30/06/2022"/>
    <s v="Order"/>
    <s v="USB Keyboard"/>
    <s v="Keyboard"/>
    <s v="Dell"/>
    <n v="800"/>
    <n v="1040"/>
    <n v="4"/>
    <n v="3200"/>
    <n v="4160"/>
    <s v="Vijay Singh"/>
    <n v="3315"/>
  </r>
  <r>
    <s v="143951"/>
    <s v="TN"/>
    <s v="Jagdeep"/>
    <s v="01/07/2022"/>
    <s v="Processing"/>
    <s v="Wireless Mouse"/>
    <s v="Mouse"/>
    <s v="Samsung"/>
    <n v="600"/>
    <n v="780"/>
    <n v="3"/>
    <n v="1800"/>
    <n v="2340"/>
    <s v="Aadil Khan"/>
    <n v="1690"/>
  </r>
  <r>
    <s v="143952"/>
    <s v="TR"/>
    <s v="Adhir Samal"/>
    <s v="02/07/2022"/>
    <s v="Delivered"/>
    <s v="21&quot; LCD Display"/>
    <s v="Monitor"/>
    <s v="Dell"/>
    <n v="10500"/>
    <n v="13650"/>
    <n v="3"/>
    <n v="31500"/>
    <n v="40950"/>
    <s v="Advika Joshi"/>
    <n v="9750"/>
  </r>
  <r>
    <s v="143953"/>
    <s v="MH"/>
    <s v="Dannana Jhammi"/>
    <s v="03/07/2022"/>
    <s v="Shipped"/>
    <s v="136 TB HDD"/>
    <s v="HDD"/>
    <s v="Western Digital"/>
    <n v="6500"/>
    <n v="8450"/>
    <n v="2"/>
    <n v="13000"/>
    <n v="16900"/>
    <s v="Ajay Sharma"/>
    <n v="39000"/>
  </r>
  <r>
    <s v="143954"/>
    <s v="CH"/>
    <s v="Vipin Kumar"/>
    <s v="04/07/2022"/>
    <s v="Order"/>
    <s v="391 GB SSD"/>
    <s v="SSD"/>
    <s v="Samsung"/>
    <n v="4500"/>
    <n v="5850"/>
    <n v="4"/>
    <n v="18000"/>
    <n v="23400"/>
    <s v="Roshan Kumar"/>
    <n v="8450"/>
  </r>
  <r>
    <s v="143955"/>
    <s v="DH"/>
    <s v="Ranjeet Kumar"/>
    <s v="05/07/2022"/>
    <s v="Processing"/>
    <s v="Intel i3 11th gen."/>
    <s v="CPU"/>
    <s v="Intel"/>
    <n v="8500"/>
    <n v="11050"/>
    <n v="4"/>
    <n v="34000"/>
    <n v="44200"/>
    <s v="Aarvi Gupta"/>
    <n v="33150"/>
  </r>
  <r>
    <s v="143956"/>
    <s v="DD"/>
    <s v="Sajal Singhal"/>
    <s v="06/07/2022"/>
    <s v="Delivered"/>
    <s v="4GB Graphic card"/>
    <s v="Graphic Card"/>
    <s v="Nvidia"/>
    <n v="12500"/>
    <n v="16250"/>
    <n v="1"/>
    <n v="12500"/>
    <n v="16250"/>
    <s v="Vijay Singh"/>
    <n v="18200"/>
  </r>
  <r>
    <s v="143957"/>
    <s v="DL"/>
    <s v="Akhilesh Kumar"/>
    <s v="07/07/2022"/>
    <s v="Shipped"/>
    <s v="143 GB DDR4 RAM"/>
    <s v="RAM"/>
    <s v="Hynix"/>
    <n v="3500"/>
    <n v="4550"/>
    <n v="2"/>
    <n v="7000"/>
    <n v="9100"/>
    <s v="Aadil Khan"/>
    <n v="25545"/>
  </r>
  <r>
    <s v="143958"/>
    <s v="LD"/>
    <s v="Suvankar Chakraborty"/>
    <s v="07/07/2022"/>
    <s v="Order"/>
    <s v="BTX motherboard"/>
    <s v="MotherBoard"/>
    <s v="Gigabyte"/>
    <n v="4500"/>
    <n v="5850"/>
    <n v="1"/>
    <n v="4500"/>
    <n v="5850"/>
    <s v="Advika Joshi"/>
    <n v="39780"/>
  </r>
  <r>
    <s v="143959"/>
    <s v="PY"/>
    <s v="Suvankar Adhikary"/>
    <s v="07/07/2022"/>
    <s v="Processing"/>
    <s v="138 Fans Cabinet"/>
    <s v="Cabinet"/>
    <s v="Asus"/>
    <n v="2100"/>
    <n v="2730"/>
    <n v="4"/>
    <n v="8400"/>
    <n v="10920"/>
    <s v="Ajay Sharma"/>
    <n v="2990"/>
  </r>
  <r>
    <s v="143960"/>
    <s v="AP"/>
    <s v="Rahul Kumar Prajapati"/>
    <s v="07/07/2022"/>
    <s v="Delivered"/>
    <s v="Wireless Keyboard"/>
    <s v="Keyboard"/>
    <s v="Dell"/>
    <n v="1150"/>
    <n v="1495"/>
    <n v="3"/>
    <n v="3450"/>
    <n v="4485"/>
    <s v="Roshan Kumar"/>
    <n v="3315"/>
  </r>
  <r>
    <s v="143961"/>
    <s v="AR"/>
    <s v="Sagar Jeur"/>
    <s v="07/07/2022"/>
    <s v="Shipped"/>
    <s v="USB Mouse"/>
    <s v="Mouse"/>
    <s v="Samsung"/>
    <n v="350"/>
    <n v="455"/>
    <n v="3"/>
    <n v="1050"/>
    <n v="1365"/>
    <s v="Aarvi Gupta"/>
    <n v="1690"/>
  </r>
  <r>
    <s v="143962"/>
    <s v="AS"/>
    <s v="Rhushikesh Mane"/>
    <s v="07/07/2022"/>
    <s v="Order"/>
    <s v="19&quot; LED Display"/>
    <s v="Monitor"/>
    <s v="Dell"/>
    <n v="9500"/>
    <n v="12350"/>
    <n v="2"/>
    <n v="19000"/>
    <n v="24700"/>
    <s v="Vijay Singh"/>
    <n v="9750"/>
  </r>
  <r>
    <s v="143963"/>
    <s v="BR"/>
    <s v="Ashish Kumar"/>
    <s v="07/07/2022"/>
    <s v="Processing"/>
    <s v="137 TB HDD"/>
    <s v="HDD"/>
    <s v="Western Digital"/>
    <n v="10000"/>
    <n v="13000"/>
    <n v="3"/>
    <n v="30000"/>
    <n v="39000"/>
    <s v="Aadil Khan"/>
    <n v="39000"/>
  </r>
  <r>
    <s v="143964"/>
    <s v="CG"/>
    <s v="Javed Akhter"/>
    <s v="07/07/2022"/>
    <s v="Delivered"/>
    <s v="647 GB M.2"/>
    <s v="SSD"/>
    <s v="Samsung"/>
    <n v="6500"/>
    <n v="8450"/>
    <n v="2"/>
    <n v="13000"/>
    <n v="16900"/>
    <s v="Advika Joshi"/>
    <n v="8450"/>
  </r>
  <r>
    <s v="143965"/>
    <s v="GA"/>
    <s v="Haridas Balraj"/>
    <s v="07/07/2022"/>
    <s v="Shipped"/>
    <s v="RYZEN 3rd gen. 3635"/>
    <s v="CPU"/>
    <s v="Intel"/>
    <n v="8500"/>
    <n v="11050"/>
    <n v="4"/>
    <n v="34000"/>
    <n v="44200"/>
    <s v="Ajay Sharma"/>
    <n v="33150"/>
  </r>
  <r>
    <s v="143966"/>
    <s v="GJ"/>
    <s v="Kundan Kumar"/>
    <s v="07/07/2022"/>
    <s v="Order"/>
    <s v="2GB Graphic Card"/>
    <s v="Graphic Card"/>
    <s v="Nvidia"/>
    <n v="7000"/>
    <n v="9100"/>
    <n v="2"/>
    <n v="14000"/>
    <n v="18200"/>
    <s v="Roshan Kumar"/>
    <n v="18200"/>
  </r>
  <r>
    <s v="143967"/>
    <s v="HR"/>
    <s v="Atif Siddiqui"/>
    <s v="07/07/2022"/>
    <s v="Processing"/>
    <s v="151 GB DDR4 RAM"/>
    <s v="RAM"/>
    <s v="Hynix"/>
    <n v="6550"/>
    <n v="8515"/>
    <n v="4"/>
    <n v="26200"/>
    <n v="34060"/>
    <s v="Aarvi Gupta"/>
    <n v="25545"/>
  </r>
  <r>
    <s v="143968"/>
    <s v="HP"/>
    <s v="Aditya Agarwal"/>
    <s v="07/07/2022"/>
    <s v="Delivered"/>
    <s v="Standard ATX motherboard"/>
    <s v="MotherBoard"/>
    <s v="Gigabyte"/>
    <n v="7650"/>
    <n v="9945"/>
    <n v="4"/>
    <n v="30600"/>
    <n v="39780"/>
    <s v="Vijay Singh"/>
    <n v="39780"/>
  </r>
  <r>
    <s v="143969"/>
    <s v="JK"/>
    <s v="Firdoush Jabee"/>
    <s v="08/07/2022"/>
    <s v="Shipped"/>
    <s v="Compact with 1 Fan"/>
    <s v="Cabinet"/>
    <s v="Asus"/>
    <n v="1150"/>
    <n v="1495"/>
    <n v="2"/>
    <n v="2300"/>
    <n v="2990"/>
    <s v="Aadil Khan"/>
    <n v="2990"/>
  </r>
  <r>
    <s v="143970"/>
    <s v="JH"/>
    <s v="Jay Prakash Kumar"/>
    <s v="09/07/2022"/>
    <s v="Order"/>
    <s v="USB Backlight Keyboard"/>
    <s v="Keyboard"/>
    <s v="Dell"/>
    <n v="850"/>
    <n v="1105"/>
    <n v="4"/>
    <n v="3400"/>
    <n v="4420"/>
    <s v="Advika Joshi"/>
    <n v="3315"/>
  </r>
  <r>
    <s v="143971"/>
    <s v="KA"/>
    <s v="Ashish Pandey"/>
    <s v="10/07/2022"/>
    <s v="Processing"/>
    <s v="Ergonomic Mouse"/>
    <s v="Mouse"/>
    <s v="Samsung"/>
    <n v="650"/>
    <n v="845"/>
    <n v="2"/>
    <n v="1300"/>
    <n v="1690"/>
    <s v="Ajay Sharma"/>
    <n v="1690"/>
  </r>
  <r>
    <s v="143972"/>
    <s v="KL"/>
    <s v="Ajay Sharma"/>
    <s v="11/07/2022"/>
    <s v="Delivered"/>
    <s v="15&quot; LCD Dsipaly"/>
    <s v="Monitor"/>
    <s v="Dell"/>
    <n v="7500"/>
    <n v="9750"/>
    <n v="1"/>
    <n v="7500"/>
    <n v="9750"/>
    <s v="Roshan Kumar"/>
    <n v="9750"/>
  </r>
  <r>
    <s v="143973"/>
    <s v="MP"/>
    <s v="Moinuddin Saifi"/>
    <s v="12/07/2022"/>
    <s v="Shipped"/>
    <s v="137 TB HDD"/>
    <s v="HDD"/>
    <s v="Seagate"/>
    <n v="10000"/>
    <n v="13000"/>
    <n v="3"/>
    <n v="30000"/>
    <n v="39000"/>
    <s v="Aarvi Gupta"/>
    <n v="39000"/>
  </r>
  <r>
    <s v="143974"/>
    <s v="MH"/>
    <s v="Ramkrishna Das Adhikary"/>
    <s v="13/07/2022"/>
    <s v="Order"/>
    <s v="136 TB SSD"/>
    <s v="SSD"/>
    <s v="Samsung"/>
    <n v="10500"/>
    <n v="13650"/>
    <n v="1"/>
    <n v="10500"/>
    <n v="13650"/>
    <s v="Vijay Singh"/>
    <n v="8450"/>
  </r>
  <r>
    <s v="143975"/>
    <s v="MN"/>
    <s v="Ranjeet Mandal"/>
    <s v="14/07/2022"/>
    <s v="Processing"/>
    <s v="Intel i5 12th gen."/>
    <s v="CPU"/>
    <s v="Intel"/>
    <n v="8500"/>
    <n v="11050"/>
    <n v="2"/>
    <n v="17000"/>
    <n v="22100"/>
    <s v="Aadil Khan"/>
    <n v="33150"/>
  </r>
  <r>
    <s v="143976"/>
    <s v="ML"/>
    <s v="Ashwini Adsare"/>
    <s v="15/07/2022"/>
    <s v="Delivered"/>
    <s v="2GB Graphic Card"/>
    <s v="Graphic Card"/>
    <s v="Nvidia"/>
    <n v="7000"/>
    <n v="9100"/>
    <n v="4"/>
    <n v="28000"/>
    <n v="36400"/>
    <s v="Advika Joshi"/>
    <n v="18200"/>
  </r>
  <r>
    <s v="143977"/>
    <s v="MZ"/>
    <s v="Rajesh Variya"/>
    <s v="16/07/2022"/>
    <s v="Shipped"/>
    <s v="139 GB DDR4 Ram"/>
    <s v="RAM"/>
    <s v="Hynix"/>
    <n v="1680"/>
    <n v="2184"/>
    <n v="4"/>
    <n v="6720"/>
    <n v="8736"/>
    <s v="Ajay Sharma"/>
    <n v="25545"/>
  </r>
  <r>
    <s v="143978"/>
    <s v="NL"/>
    <s v="Amit Singh"/>
    <s v="17/07/2022"/>
    <s v="Order"/>
    <s v="Micro ATX motherboard"/>
    <s v="MotherBoard"/>
    <s v="MSI"/>
    <n v="6540"/>
    <n v="8502"/>
    <n v="3"/>
    <n v="19620"/>
    <n v="25506"/>
    <s v="Roshan Kumar"/>
    <n v="39780"/>
  </r>
  <r>
    <s v="143979"/>
    <s v="OR"/>
    <s v="Vinod Mehta"/>
    <s v="18/07/2022"/>
    <s v="Processing"/>
    <s v="Gaming Box Cabinet"/>
    <s v="Cabinet"/>
    <s v="Asus"/>
    <n v="2680"/>
    <n v="3484"/>
    <n v="2"/>
    <n v="5360"/>
    <n v="6968"/>
    <s v="Aarvi Gupta"/>
    <n v="2990"/>
  </r>
  <r>
    <s v="143980"/>
    <s v="PB"/>
    <s v="Jignesh Mhatre"/>
    <s v="19/07/2022"/>
    <s v="Delivered"/>
    <s v="17&quot; LCD Display"/>
    <s v="Monitor"/>
    <s v="Samsung"/>
    <n v="8250"/>
    <n v="10725"/>
    <n v="2"/>
    <n v="16500"/>
    <n v="21450"/>
    <s v="Vijay Singh"/>
    <n v="9750"/>
  </r>
  <r>
    <s v="143981"/>
    <s v="RJ"/>
    <s v="Rahul Kashyap"/>
    <s v="20/07/2022"/>
    <s v="Shipped"/>
    <s v="143 GB DDR4 RAM"/>
    <s v="RAM"/>
    <s v="Samsung"/>
    <n v="2650"/>
    <n v="3445"/>
    <n v="2"/>
    <n v="5300"/>
    <n v="6890"/>
    <s v="Aadil Khan"/>
    <n v="25545"/>
  </r>
  <r>
    <s v="143982"/>
    <s v="SK"/>
    <s v="Mohammed Abdul Kaleem"/>
    <s v="21/07/2022"/>
    <s v="Order"/>
    <s v="26&quot; LCD Display"/>
    <s v="Monitor"/>
    <s v="Acer"/>
    <n v="12550"/>
    <n v="16315"/>
    <n v="1"/>
    <n v="12550"/>
    <n v="16315"/>
    <s v="Advika Joshi"/>
    <n v="9750"/>
  </r>
  <r>
    <s v="143983"/>
    <s v="TN"/>
    <s v="Chandrakant Kasbe"/>
    <s v="22/07/2022"/>
    <s v="Processing"/>
    <s v="I7 - intel 12th Generation"/>
    <s v="CPU"/>
    <s v="Intel"/>
    <n v="14500"/>
    <n v="18850"/>
    <n v="1"/>
    <n v="14500"/>
    <n v="18850"/>
    <s v="Ajay Sharma"/>
    <n v="33150"/>
  </r>
  <r>
    <s v="143984"/>
    <s v="TR"/>
    <s v="Rohan Kale"/>
    <s v="22/07/2022"/>
    <s v="Delivered"/>
    <s v="USB Keyboard"/>
    <s v="Keyboard"/>
    <s v="Dell"/>
    <n v="800"/>
    <n v="1040"/>
    <n v="1"/>
    <n v="800"/>
    <n v="1040"/>
    <s v="Roshan Kumar"/>
    <n v="3315"/>
  </r>
  <r>
    <s v="143985"/>
    <s v="UK"/>
    <s v="Aniruddha Kekapure"/>
    <s v="22/07/2022"/>
    <s v="Shipped"/>
    <s v="Wireless Mouse"/>
    <s v="Mouse"/>
    <s v="Samsung"/>
    <n v="600"/>
    <n v="780"/>
    <n v="1"/>
    <n v="600"/>
    <n v="780"/>
    <s v="Aarvi Gupta"/>
    <n v="1690"/>
  </r>
  <r>
    <s v="143986"/>
    <s v="UP"/>
    <s v="Aslam Raza"/>
    <s v="22/07/2022"/>
    <s v="Order"/>
    <s v="21&quot; LCD Display"/>
    <s v="Monitor"/>
    <s v="Dell"/>
    <n v="10500"/>
    <n v="13650"/>
    <n v="4"/>
    <n v="42000"/>
    <n v="54600"/>
    <s v="Vijay Singh"/>
    <n v="9750"/>
  </r>
  <r>
    <s v="143987"/>
    <s v="WB"/>
    <s v="Roshan Zameer"/>
    <s v="22/07/2022"/>
    <s v="Processing"/>
    <s v="137 TB HDD"/>
    <s v="HDD"/>
    <s v="Western Digital"/>
    <n v="6500"/>
    <n v="8450"/>
    <n v="2"/>
    <n v="13000"/>
    <n v="16900"/>
    <s v="Aadil Khan"/>
    <n v="39000"/>
  </r>
  <r>
    <s v="143988"/>
    <s v="TN"/>
    <s v="Rakesh Kumar Sharma"/>
    <s v="23/07/2022"/>
    <s v="Delivered"/>
    <s v="392 GB SSD"/>
    <s v="SSD"/>
    <s v="Samsung"/>
    <n v="4500"/>
    <n v="5850"/>
    <n v="1"/>
    <n v="4500"/>
    <n v="5850"/>
    <s v="Advika Joshi"/>
    <n v="8450"/>
  </r>
  <r>
    <s v="143989"/>
    <s v="TR"/>
    <s v="Shivanand Sahani"/>
    <s v="24/07/2022"/>
    <s v="Shipped"/>
    <s v="Intel i3 11th gen."/>
    <s v="CPU"/>
    <s v="Intel"/>
    <n v="8500"/>
    <n v="11050"/>
    <n v="1"/>
    <n v="8500"/>
    <n v="11050"/>
    <s v="Ajay Sharma"/>
    <n v="33150"/>
  </r>
  <r>
    <s v="143990"/>
    <s v="MH"/>
    <s v="Kunal Patra"/>
    <s v="25/07/2022"/>
    <s v="Order"/>
    <s v="4GB Graphic card"/>
    <s v="Graphic Card"/>
    <s v="Nvidia"/>
    <n v="12500"/>
    <n v="16250"/>
    <n v="4"/>
    <n v="50000"/>
    <n v="65000"/>
    <s v="Roshan Kumar"/>
    <n v="18200"/>
  </r>
  <r>
    <s v="143991"/>
    <s v="CH"/>
    <s v="Bijendra"/>
    <s v="26/07/2022"/>
    <s v="Processing"/>
    <s v="144 GB DDR4 RAM"/>
    <s v="Computer Case"/>
    <s v="Hynix"/>
    <n v="3500"/>
    <n v="4550"/>
    <n v="2"/>
    <n v="7000"/>
    <n v="9100"/>
    <s v="Aarvi Gupta"/>
    <n v="13650"/>
  </r>
  <r>
    <s v="143992"/>
    <s v="DH"/>
    <s v="Kranti Bheke"/>
    <s v="27/07/2022"/>
    <s v="Delivered"/>
    <s v="BTX motherboard"/>
    <s v="Mouse"/>
    <s v="Gigabyte"/>
    <n v="4500"/>
    <n v="5850"/>
    <n v="2"/>
    <n v="9000"/>
    <n v="11700"/>
    <s v="Vijay Singh"/>
    <n v="1690"/>
  </r>
  <r>
    <s v="143993"/>
    <s v="DD"/>
    <s v="Jagdeep"/>
    <s v="28/07/2022"/>
    <s v="Shipped"/>
    <s v="139 Fans Cabinet"/>
    <s v="Cabinet"/>
    <s v="Asus"/>
    <n v="2100"/>
    <n v="2730"/>
    <n v="4"/>
    <n v="8400"/>
    <n v="10920"/>
    <s v="Aadil Khan"/>
    <n v="2990"/>
  </r>
  <r>
    <s v="143994"/>
    <s v="DL"/>
    <s v="Adhir Samal"/>
    <s v="29/07/2022"/>
    <s v="Order"/>
    <s v="Wireless Keyboard"/>
    <s v="Keyboard"/>
    <s v="Dell"/>
    <n v="1150"/>
    <n v="1495"/>
    <n v="1"/>
    <n v="1150"/>
    <n v="1495"/>
    <s v="Advika Joshi"/>
    <n v="3315"/>
  </r>
  <r>
    <s v="143995"/>
    <s v="LD"/>
    <s v="Dannana Jhammi"/>
    <s v="30/07/2022"/>
    <s v="Processing"/>
    <s v="USB Mouse"/>
    <s v="Mouse"/>
    <s v="Samsung"/>
    <n v="350"/>
    <n v="455"/>
    <n v="4"/>
    <n v="1400"/>
    <n v="1820"/>
    <s v="Ajay Sharma"/>
    <n v="1690"/>
  </r>
  <r>
    <s v="143996"/>
    <s v="PY"/>
    <s v="Vipin Kumar"/>
    <s v="31/07/2022"/>
    <s v="Delivered"/>
    <s v="19&quot; LED Display"/>
    <s v="Monitor"/>
    <s v="Dell"/>
    <n v="9500"/>
    <n v="12350"/>
    <n v="4"/>
    <n v="38000"/>
    <n v="49400"/>
    <s v="Roshan Kumar"/>
    <n v="9750"/>
  </r>
  <r>
    <s v="143997"/>
    <s v="AP"/>
    <s v="Ranjeet Kumar"/>
    <s v="01/08/2022"/>
    <s v="Shipped"/>
    <s v="138 TB HDD"/>
    <s v="HDD"/>
    <s v="Western Digital"/>
    <n v="10000"/>
    <n v="13000"/>
    <n v="1"/>
    <n v="10000"/>
    <n v="13000"/>
    <s v="Aarvi Gupta"/>
    <n v="39000"/>
  </r>
  <r>
    <s v="143998"/>
    <s v="AR"/>
    <s v="Sajal Singhal"/>
    <s v="02/08/2022"/>
    <s v="Order"/>
    <s v="648 GB M.2"/>
    <s v="SSD"/>
    <s v="Samsung"/>
    <n v="6500"/>
    <n v="8450"/>
    <n v="2"/>
    <n v="13000"/>
    <n v="16900"/>
    <s v="Vijay Singh"/>
    <n v="8450"/>
  </r>
  <r>
    <s v="143999"/>
    <s v="AS"/>
    <s v="Akhilesh Kumar"/>
    <s v="03/08/2022"/>
    <s v="Processing"/>
    <s v="RYZEN 3rd gen. 3636"/>
    <s v="CPU"/>
    <s v="Intel"/>
    <n v="8500"/>
    <n v="11050"/>
    <n v="1"/>
    <n v="8500"/>
    <n v="11050"/>
    <s v="Aadil Khan"/>
    <n v="33150"/>
  </r>
  <r>
    <s v="144000"/>
    <s v="BR"/>
    <s v="Suvankar Chakraborty"/>
    <s v="04/08/2022"/>
    <s v="Delivered"/>
    <s v="2GB Graphic Card"/>
    <s v="Graphic Card"/>
    <s v="Nvidia"/>
    <n v="7000"/>
    <n v="9100"/>
    <n v="1"/>
    <n v="7000"/>
    <n v="9100"/>
    <s v="Advika Joshi"/>
    <n v="18200"/>
  </r>
  <r>
    <s v="144001"/>
    <s v="CG"/>
    <s v="Suvankar Adhikary"/>
    <s v="05/08/2022"/>
    <s v="Shipped"/>
    <s v="152 GB DDR4 RAM"/>
    <s v="Computer Case"/>
    <s v="Hynix"/>
    <n v="6550"/>
    <n v="8515"/>
    <n v="3"/>
    <n v="19650"/>
    <n v="25545"/>
    <s v="Ajay Sharma"/>
    <n v="13650"/>
  </r>
  <r>
    <s v="144002"/>
    <s v="GA"/>
    <s v="Rahul Kumar Prajapati"/>
    <s v="06/08/2022"/>
    <s v="Order"/>
    <s v="Standard ATX motherboard"/>
    <s v="Mouse"/>
    <s v="Gigabyte"/>
    <n v="7650"/>
    <n v="9945"/>
    <n v="4"/>
    <n v="30600"/>
    <n v="39780"/>
    <s v="Roshan Kumar"/>
    <n v="1690"/>
  </r>
  <r>
    <s v="144003"/>
    <s v="GJ"/>
    <s v="Sagar Jeur"/>
    <s v="07/08/2022"/>
    <s v="Processing"/>
    <s v="Compact with 1 Fan"/>
    <s v="Cabinet"/>
    <s v="Asus"/>
    <n v="1150"/>
    <n v="1495"/>
    <n v="1"/>
    <n v="1150"/>
    <n v="1495"/>
    <s v="Aarvi Gupta"/>
    <n v="2990"/>
  </r>
  <r>
    <s v="144004"/>
    <s v="HR"/>
    <s v="Rhushikesh Mane"/>
    <s v="08/08/2022"/>
    <s v="Delivered"/>
    <s v="USB Backlight Keyboard"/>
    <s v="Keyboard"/>
    <s v="Dell"/>
    <n v="850"/>
    <n v="1105"/>
    <n v="4"/>
    <n v="3400"/>
    <n v="4420"/>
    <s v="Vijay Singh"/>
    <n v="3315"/>
  </r>
  <r>
    <s v="144005"/>
    <s v="HP"/>
    <s v="Ashish Kumar"/>
    <s v="09/08/2022"/>
    <s v="Shipped"/>
    <s v="Ergonomic Mouse"/>
    <s v="Mouse"/>
    <s v="Samsung"/>
    <n v="650"/>
    <n v="845"/>
    <n v="1"/>
    <n v="650"/>
    <n v="845"/>
    <s v="Aadil Khan"/>
    <n v="1690"/>
  </r>
  <r>
    <s v="144006"/>
    <s v="JK"/>
    <s v="Javed Akhter"/>
    <s v="10/08/2022"/>
    <s v="Order"/>
    <s v="15&quot; LCD Dsipaly"/>
    <s v="Monitor"/>
    <s v="Dell"/>
    <n v="7500"/>
    <n v="9750"/>
    <n v="1"/>
    <n v="7500"/>
    <n v="9750"/>
    <s v="Advika Joshi"/>
    <n v="9750"/>
  </r>
  <r>
    <s v="144007"/>
    <s v="JH"/>
    <s v="Haridas Balraj"/>
    <s v="11/08/2022"/>
    <s v="Processing"/>
    <s v="138 TB HDD"/>
    <s v="HDD"/>
    <s v="Seagate"/>
    <n v="10000"/>
    <n v="13000"/>
    <n v="1"/>
    <n v="10000"/>
    <n v="13000"/>
    <s v="Ajay Sharma"/>
    <n v="39000"/>
  </r>
  <r>
    <s v="144008"/>
    <s v="KA"/>
    <s v="Kundan Kumar"/>
    <s v="12/08/2022"/>
    <s v="Delivered"/>
    <s v="137 TB SSD"/>
    <s v="SSD"/>
    <s v="Samsung"/>
    <n v="10500"/>
    <n v="13650"/>
    <n v="1"/>
    <n v="10500"/>
    <n v="13650"/>
    <s v="Roshan Kumar"/>
    <n v="8450"/>
  </r>
  <r>
    <s v="144009"/>
    <s v="KL"/>
    <s v="Atif Siddiqui"/>
    <s v="13/08/2022"/>
    <s v="Shipped"/>
    <s v="Intel i5 12th gen."/>
    <s v="CPU"/>
    <s v="Intel"/>
    <n v="8500"/>
    <n v="11050"/>
    <n v="1"/>
    <n v="8500"/>
    <n v="11050"/>
    <s v="Aarvi Gupta"/>
    <n v="33150"/>
  </r>
  <r>
    <s v="144010"/>
    <s v="MP"/>
    <s v="Aditya Agarwal"/>
    <s v="14/08/2022"/>
    <s v="Order"/>
    <s v="2GB Graphic Card"/>
    <s v="Graphic Card"/>
    <s v="Nvidia"/>
    <n v="7000"/>
    <n v="9100"/>
    <n v="4"/>
    <n v="28000"/>
    <n v="36400"/>
    <s v="Vijay Singh"/>
    <n v="18200"/>
  </r>
  <r>
    <s v="144011"/>
    <s v="MH"/>
    <s v="Firdoush Jabee"/>
    <s v="15/08/2022"/>
    <s v="Processing"/>
    <s v="140 GB DDR4 Ram"/>
    <s v="Computer Case"/>
    <s v="Hynix"/>
    <n v="1680"/>
    <n v="2184"/>
    <n v="3"/>
    <n v="5040"/>
    <n v="6552"/>
    <s v="Aadil Khan"/>
    <n v="13650"/>
  </r>
  <r>
    <s v="144012"/>
    <s v="MN"/>
    <s v="Jay Prakash Kumar"/>
    <s v="16/08/2022"/>
    <s v="Delivered"/>
    <s v="Micro ATX motherboard"/>
    <s v="Mouse"/>
    <s v="MSI"/>
    <n v="6540"/>
    <n v="8502"/>
    <n v="3"/>
    <n v="19620"/>
    <n v="25506"/>
    <s v="Advika Joshi"/>
    <n v="1690"/>
  </r>
  <r>
    <s v="144013"/>
    <s v="ML"/>
    <s v="Ashish Pandey"/>
    <s v="17/08/2022"/>
    <s v="Shipped"/>
    <s v="Gaming Box Cabinet"/>
    <s v="Cabinet"/>
    <s v="Asus"/>
    <n v="2680"/>
    <n v="3484"/>
    <n v="1"/>
    <n v="2680"/>
    <n v="3484"/>
    <s v="Ajay Sharma"/>
    <n v="2990"/>
  </r>
  <r>
    <s v="144014"/>
    <s v="MZ"/>
    <s v="Ajay Sharma"/>
    <s v="18/08/2022"/>
    <s v="Order"/>
    <s v="17&quot; LCD Display"/>
    <s v="Monitor"/>
    <s v="Samsung"/>
    <n v="8250"/>
    <n v="10725"/>
    <n v="2"/>
    <n v="16500"/>
    <n v="21450"/>
    <s v="Roshan Kumar"/>
    <n v="9750"/>
  </r>
  <r>
    <s v="144015"/>
    <s v="NL"/>
    <s v="Moinuddin Saifi"/>
    <s v="19/08/2022"/>
    <s v="Processing"/>
    <s v="144 GB DDR4 RAM"/>
    <s v="RAM"/>
    <s v="Samsung"/>
    <n v="2650"/>
    <n v="3445"/>
    <n v="1"/>
    <n v="2650"/>
    <n v="3445"/>
    <s v="Aarvi Gupta"/>
    <n v="25545"/>
  </r>
  <r>
    <s v="144016"/>
    <s v="OR"/>
    <s v="Ramkrishna Das Adhikary"/>
    <s v="20/08/2022"/>
    <s v="Delivered"/>
    <s v="26&quot; LCD Display"/>
    <s v="Monitor"/>
    <s v="Acer"/>
    <n v="12550"/>
    <n v="16315"/>
    <n v="3"/>
    <n v="37650"/>
    <n v="48945"/>
    <s v="Vijay Singh"/>
    <n v="9750"/>
  </r>
  <r>
    <s v="144017"/>
    <s v="PB"/>
    <s v="Ranjeet Mandal"/>
    <s v="21/08/2022"/>
    <s v="Shipped"/>
    <s v="I7 - intel 12th Generation"/>
    <s v="CPU"/>
    <s v="Intel"/>
    <n v="14500"/>
    <n v="18850"/>
    <n v="2"/>
    <n v="29000"/>
    <n v="37700"/>
    <s v="Aadil Khan"/>
    <n v="33150"/>
  </r>
  <r>
    <s v="144018"/>
    <s v="RJ"/>
    <s v="Ashwini Adsare"/>
    <s v="22/08/2022"/>
    <s v="Order"/>
    <s v="USB Keyboard"/>
    <s v="Keyboard"/>
    <s v="Dell"/>
    <n v="800"/>
    <n v="1040"/>
    <n v="1"/>
    <n v="800"/>
    <n v="1040"/>
    <s v="Advika Joshi"/>
    <n v="3315"/>
  </r>
  <r>
    <s v="144019"/>
    <s v="SK"/>
    <s v="Rajesh Variya"/>
    <s v="23/08/2022"/>
    <s v="Processing"/>
    <s v="Wireless Mouse"/>
    <s v="Mouse"/>
    <s v="Samsung"/>
    <n v="600"/>
    <n v="780"/>
    <n v="2"/>
    <n v="1200"/>
    <n v="1560"/>
    <s v="Ajay Sharma"/>
    <n v="1690"/>
  </r>
  <r>
    <s v="144020"/>
    <s v="TN"/>
    <s v="Amit Singh"/>
    <s v="24/08/2022"/>
    <s v="Delivered"/>
    <s v="21&quot; LCD Display"/>
    <s v="Monitor"/>
    <s v="Dell"/>
    <n v="10500"/>
    <n v="13650"/>
    <n v="3"/>
    <n v="31500"/>
    <n v="40950"/>
    <s v="Roshan Kumar"/>
    <n v="9750"/>
  </r>
  <r>
    <s v="144021"/>
    <s v="TR"/>
    <s v="Vinod Mehta"/>
    <s v="25/08/2022"/>
    <s v="Shipped"/>
    <s v="138 TB HDD"/>
    <s v="HDD"/>
    <s v="Western Digital"/>
    <n v="6500"/>
    <n v="8450"/>
    <n v="3"/>
    <n v="19500"/>
    <n v="25350"/>
    <s v="Aarvi Gupta"/>
    <n v="39000"/>
  </r>
  <r>
    <s v="144022"/>
    <s v="UK"/>
    <s v="Jignesh Mhatre"/>
    <s v="26/08/2022"/>
    <s v="Order"/>
    <s v="393 GB SSD"/>
    <s v="SSD"/>
    <s v="Samsung"/>
    <n v="4500"/>
    <n v="5850"/>
    <n v="1"/>
    <n v="4500"/>
    <n v="5850"/>
    <s v="Vijay Singh"/>
    <n v="8450"/>
  </r>
  <r>
    <s v="144023"/>
    <s v="UP"/>
    <s v="Rahul Kashyap"/>
    <s v="27/08/2022"/>
    <s v="Processing"/>
    <s v="Intel i3 11th gen."/>
    <s v="CPU"/>
    <s v="Intel"/>
    <n v="8500"/>
    <n v="11050"/>
    <n v="2"/>
    <n v="17000"/>
    <n v="22100"/>
    <s v="Aadil Khan"/>
    <n v="33150"/>
  </r>
  <r>
    <s v="144024"/>
    <s v="WB"/>
    <s v="Mohammed Abdul Kaleem"/>
    <s v="28/08/2022"/>
    <s v="Delivered"/>
    <s v="4GB Graphic card"/>
    <s v="Graphic Card"/>
    <s v="Nvidia"/>
    <n v="12500"/>
    <n v="16250"/>
    <n v="1"/>
    <n v="12500"/>
    <n v="16250"/>
    <s v="Advika Joshi"/>
    <n v="18200"/>
  </r>
  <r>
    <s v="144025"/>
    <s v="TN"/>
    <s v="Chandrakant Kasbe"/>
    <s v="29/08/2022"/>
    <s v="Shipped"/>
    <s v="145 GB DDR4 RAM"/>
    <s v="NIC"/>
    <s v="Hynix"/>
    <n v="3500"/>
    <n v="4550"/>
    <n v="4"/>
    <n v="14000"/>
    <n v="18200"/>
    <s v="Ajay Sharma"/>
    <n v="9100"/>
  </r>
  <r>
    <s v="144026"/>
    <s v="TR"/>
    <s v="Rohan Kale"/>
    <s v="30/08/2022"/>
    <s v="Order"/>
    <s v="BTX motherboard"/>
    <s v="Printer"/>
    <s v="Gigabyte"/>
    <n v="4500"/>
    <n v="5850"/>
    <n v="4"/>
    <n v="18000"/>
    <n v="23400"/>
    <s v="Roshan Kumar"/>
    <n v="11700"/>
  </r>
  <r>
    <s v="144027"/>
    <s v="MH"/>
    <s v="Aniruddha Kekapure"/>
    <s v="31/08/2022"/>
    <s v="Processing"/>
    <s v="140 Fans Cabinet"/>
    <s v="Cabinet"/>
    <s v="Asus"/>
    <n v="2100"/>
    <n v="2730"/>
    <n v="2"/>
    <n v="4200"/>
    <n v="5460"/>
    <s v="Aarvi Gupta"/>
    <n v="2990"/>
  </r>
  <r>
    <s v="144028"/>
    <s v="CH"/>
    <s v="Aslam Raza"/>
    <s v="01/09/2022"/>
    <s v="Delivered"/>
    <s v="Wireless Keyboard"/>
    <s v="Keyboard"/>
    <s v="Dell"/>
    <n v="1150"/>
    <n v="1495"/>
    <n v="1"/>
    <n v="1150"/>
    <n v="1495"/>
    <s v="Vijay Singh"/>
    <n v="3315"/>
  </r>
  <r>
    <s v="144029"/>
    <s v="DH"/>
    <s v="Roshan Zameer"/>
    <s v="02/09/2022"/>
    <s v="Shipped"/>
    <s v="USB Mouse"/>
    <s v="Mouse"/>
    <s v="Samsung"/>
    <n v="350"/>
    <n v="455"/>
    <n v="2"/>
    <n v="700"/>
    <n v="910"/>
    <s v="Aadil Khan"/>
    <n v="1690"/>
  </r>
  <r>
    <s v="144030"/>
    <s v="DD"/>
    <s v="Rakesh Kumar Sharma"/>
    <s v="03/09/2022"/>
    <s v="Order"/>
    <s v="19&quot; LED Display"/>
    <s v="Monitor"/>
    <s v="Dell"/>
    <n v="9500"/>
    <n v="12350"/>
    <n v="1"/>
    <n v="9500"/>
    <n v="12350"/>
    <s v="Advika Joshi"/>
    <n v="9750"/>
  </r>
  <r>
    <s v="144031"/>
    <s v="DL"/>
    <s v="Shivanand Sahani"/>
    <s v="04/09/2022"/>
    <s v="Processing"/>
    <s v="139 TB HDD"/>
    <s v="HDD"/>
    <s v="Western Digital"/>
    <n v="10000"/>
    <n v="13000"/>
    <n v="2"/>
    <n v="20000"/>
    <n v="26000"/>
    <s v="Ajay Sharma"/>
    <n v="39000"/>
  </r>
  <r>
    <s v="144032"/>
    <s v="LD"/>
    <s v="Kunal Patra"/>
    <s v="05/09/2022"/>
    <s v="Delivered"/>
    <s v="649 GB M.2"/>
    <s v="SSD"/>
    <s v="Samsung"/>
    <n v="6500"/>
    <n v="8450"/>
    <n v="4"/>
    <n v="26000"/>
    <n v="33800"/>
    <s v="Roshan Kumar"/>
    <n v="8450"/>
  </r>
  <r>
    <s v="144033"/>
    <s v="PY"/>
    <s v="Bijendra"/>
    <s v="06/09/2022"/>
    <s v="Shipped"/>
    <s v="RYZEN 3rd gen. 3637"/>
    <s v="CPU"/>
    <s v="Intel"/>
    <n v="8500"/>
    <n v="11050"/>
    <n v="2"/>
    <n v="17000"/>
    <n v="22100"/>
    <s v="Aarvi Gupta"/>
    <n v="33150"/>
  </r>
  <r>
    <s v="144034"/>
    <s v="AP"/>
    <s v="Kranti Bheke"/>
    <s v="07/09/2022"/>
    <s v="Order"/>
    <s v="2GB Graphic Card"/>
    <s v="Graphic Card"/>
    <s v="Nvidia"/>
    <n v="7000"/>
    <n v="9100"/>
    <n v="2"/>
    <n v="14000"/>
    <n v="18200"/>
    <s v="Vijay Singh"/>
    <n v="18200"/>
  </r>
  <r>
    <s v="144035"/>
    <s v="AR"/>
    <s v="Jagdeep"/>
    <s v="07/09/2022"/>
    <s v="Processing"/>
    <s v="153 GB DDR4 RAM"/>
    <s v="NIC"/>
    <s v="Hynix"/>
    <n v="6550"/>
    <n v="8515"/>
    <n v="1"/>
    <n v="6550"/>
    <n v="8515"/>
    <s v="Aadil Khan"/>
    <n v="9100"/>
  </r>
  <r>
    <s v="144036"/>
    <s v="AS"/>
    <s v="Adhir Samal"/>
    <s v="07/09/2022"/>
    <s v="Delivered"/>
    <s v="Standard ATX motherboard"/>
    <s v="Printer"/>
    <s v="Gigabyte"/>
    <n v="7650"/>
    <n v="9945"/>
    <n v="3"/>
    <n v="22950"/>
    <n v="29835"/>
    <s v="Advika Joshi"/>
    <n v="11700"/>
  </r>
  <r>
    <s v="144037"/>
    <s v="BR"/>
    <s v="Dannana Jhammi"/>
    <s v="07/09/2022"/>
    <s v="Shipped"/>
    <s v="Compact with 1 Fan"/>
    <s v="Cabinet"/>
    <s v="Asus"/>
    <n v="1150"/>
    <n v="1495"/>
    <n v="3"/>
    <n v="3450"/>
    <n v="4485"/>
    <s v="Ajay Sharma"/>
    <n v="2990"/>
  </r>
  <r>
    <s v="144038"/>
    <s v="CG"/>
    <s v="Vipin Kumar"/>
    <s v="07/09/2022"/>
    <s v="Order"/>
    <s v="USB Backlight Keyboard"/>
    <s v="Keyboard"/>
    <s v="Dell"/>
    <n v="850"/>
    <n v="1105"/>
    <n v="2"/>
    <n v="1700"/>
    <n v="2210"/>
    <s v="Roshan Kumar"/>
    <n v="3315"/>
  </r>
  <r>
    <s v="144039"/>
    <s v="GA"/>
    <s v="Ranjeet Kumar"/>
    <s v="07/09/2022"/>
    <s v="Processing"/>
    <s v="Ergonomic Mouse"/>
    <s v="Mouse"/>
    <s v="Samsung"/>
    <n v="650"/>
    <n v="845"/>
    <n v="4"/>
    <n v="2600"/>
    <n v="3380"/>
    <s v="Aarvi Gupta"/>
    <n v="1690"/>
  </r>
  <r>
    <s v="144040"/>
    <s v="GJ"/>
    <s v="Sajal Singhal"/>
    <s v="07/09/2022"/>
    <s v="Delivered"/>
    <s v="15&quot; LCD Dsipaly"/>
    <s v="Monitor"/>
    <s v="Dell"/>
    <n v="7500"/>
    <n v="9750"/>
    <n v="4"/>
    <n v="30000"/>
    <n v="39000"/>
    <s v="Vijay Singh"/>
    <n v="9750"/>
  </r>
  <r>
    <s v="144041"/>
    <s v="HR"/>
    <s v="Akhilesh Kumar"/>
    <s v="07/09/2022"/>
    <s v="Shipped"/>
    <s v="139 TB HDD"/>
    <s v="HDD"/>
    <s v="Seagate"/>
    <n v="10000"/>
    <n v="13000"/>
    <n v="3"/>
    <n v="30000"/>
    <n v="39000"/>
    <s v="Aadil Khan"/>
    <n v="39000"/>
  </r>
  <r>
    <s v="144042"/>
    <s v="HP"/>
    <s v="Suvankar Chakraborty"/>
    <s v="07/09/2022"/>
    <s v="Order"/>
    <s v="138 TB SSD"/>
    <s v="SSD"/>
    <s v="Samsung"/>
    <n v="10500"/>
    <n v="13650"/>
    <n v="4"/>
    <n v="42000"/>
    <n v="54600"/>
    <s v="Advika Joshi"/>
    <n v="8450"/>
  </r>
  <r>
    <s v="144043"/>
    <s v="JK"/>
    <s v="Suvankar Adhikary"/>
    <s v="07/09/2022"/>
    <s v="Processing"/>
    <s v="Intel i5 12th gen."/>
    <s v="CPU"/>
    <s v="Intel"/>
    <n v="8500"/>
    <n v="11050"/>
    <n v="4"/>
    <n v="34000"/>
    <n v="44200"/>
    <s v="Ajay Sharma"/>
    <n v="33150"/>
  </r>
  <r>
    <s v="144044"/>
    <s v="JH"/>
    <s v="Rahul Kumar Prajapati"/>
    <s v="07/09/2022"/>
    <s v="Delivered"/>
    <s v="2GB Graphic Card"/>
    <s v="Graphic Card"/>
    <s v="Nvidia"/>
    <n v="7000"/>
    <n v="9100"/>
    <n v="2"/>
    <n v="14000"/>
    <n v="18200"/>
    <s v="Roshan Kumar"/>
    <n v="18200"/>
  </r>
  <r>
    <s v="144045"/>
    <s v="KA"/>
    <s v="Sagar Jeur"/>
    <s v="07/09/2022"/>
    <s v="Shipped"/>
    <s v="141 GB DDR4 Ram"/>
    <s v="NIC"/>
    <s v="Hynix"/>
    <n v="1680"/>
    <n v="2184"/>
    <n v="3"/>
    <n v="5040"/>
    <n v="6552"/>
    <s v="Aarvi Gupta"/>
    <n v="9100"/>
  </r>
  <r>
    <s v="144046"/>
    <s v="KL"/>
    <s v="Rhushikesh Mane"/>
    <s v="07/09/2022"/>
    <s v="Order"/>
    <s v="Micro ATX motherboard"/>
    <s v="Printer"/>
    <s v="MSI"/>
    <n v="6540"/>
    <n v="8502"/>
    <n v="3"/>
    <n v="19620"/>
    <n v="25506"/>
    <s v="Vijay Singh"/>
    <n v="11700"/>
  </r>
  <r>
    <s v="144047"/>
    <s v="MP"/>
    <s v="Ashish Kumar"/>
    <s v="07/09/2022"/>
    <s v="Processing"/>
    <s v="Gaming Box Cabinet"/>
    <s v="Cabinet"/>
    <s v="Asus"/>
    <n v="2680"/>
    <n v="3484"/>
    <n v="1"/>
    <n v="2680"/>
    <n v="3484"/>
    <s v="Aadil Khan"/>
    <n v="2990"/>
  </r>
  <r>
    <s v="144048"/>
    <s v="MH"/>
    <s v="Javed Akhter"/>
    <s v="07/09/2022"/>
    <s v="Delivered"/>
    <s v="17&quot; LCD Display"/>
    <s v="Monitor"/>
    <s v="Samsung"/>
    <n v="8250"/>
    <n v="10725"/>
    <n v="3"/>
    <n v="24750"/>
    <n v="32175"/>
    <s v="Advika Joshi"/>
    <n v="9750"/>
  </r>
  <r>
    <s v="144049"/>
    <s v="MN"/>
    <s v="Haridas Balraj"/>
    <s v="07/09/2022"/>
    <s v="Shipped"/>
    <s v="145 GB DDR4 RAM"/>
    <s v="RAM"/>
    <s v="Samsung"/>
    <n v="2650"/>
    <n v="3445"/>
    <n v="1"/>
    <n v="2650"/>
    <n v="3445"/>
    <s v="Ajay Sharma"/>
    <n v="25545"/>
  </r>
  <r>
    <s v="144050"/>
    <s v="ML"/>
    <s v="Kundan Kumar"/>
    <s v="07/09/2022"/>
    <s v="Order"/>
    <s v="26&quot; LCD Display"/>
    <s v="Monitor"/>
    <s v="Acer"/>
    <n v="12550"/>
    <n v="16315"/>
    <n v="3"/>
    <n v="37650"/>
    <n v="48945"/>
    <s v="Roshan Kumar"/>
    <n v="9750"/>
  </r>
  <r>
    <s v="144051"/>
    <s v="MZ"/>
    <s v="Atif Siddiqui"/>
    <s v="07/09/2022"/>
    <s v="Processing"/>
    <s v="I7 - intel 12th Generation"/>
    <s v="CPU"/>
    <s v="Intel"/>
    <n v="14500"/>
    <n v="18850"/>
    <n v="3"/>
    <n v="43500"/>
    <n v="56550"/>
    <s v="Aarvi Gupta"/>
    <n v="33150"/>
  </r>
  <r>
    <s v="144052"/>
    <s v="NL"/>
    <s v="Aditya Agarwal"/>
    <s v="07/09/2022"/>
    <s v="Delivered"/>
    <s v="USB Keyboard"/>
    <s v="Keyboard"/>
    <s v="Dell"/>
    <n v="800"/>
    <n v="1040"/>
    <n v="2"/>
    <n v="1600"/>
    <n v="2080"/>
    <s v="Vijay Singh"/>
    <n v="3315"/>
  </r>
  <r>
    <s v="144053"/>
    <s v="OR"/>
    <s v="Firdoush Jabee"/>
    <s v="07/09/2022"/>
    <s v="Shipped"/>
    <s v="Wireless Mouse"/>
    <s v="Mouse"/>
    <s v="Samsung"/>
    <n v="600"/>
    <n v="780"/>
    <n v="2"/>
    <n v="1200"/>
    <n v="1560"/>
    <s v="Aadil Khan"/>
    <n v="1690"/>
  </r>
  <r>
    <s v="144054"/>
    <s v="PB"/>
    <s v="Jay Prakash Kumar"/>
    <s v="07/09/2022"/>
    <s v="Order"/>
    <s v="21&quot; LCD Display"/>
    <s v="Monitor"/>
    <s v="Dell"/>
    <n v="10500"/>
    <n v="13650"/>
    <n v="1"/>
    <n v="10500"/>
    <n v="13650"/>
    <s v="Advika Joshi"/>
    <n v="9750"/>
  </r>
  <r>
    <s v="144055"/>
    <s v="RJ"/>
    <s v="Ashish Pandey"/>
    <s v="07/09/2022"/>
    <s v="Processing"/>
    <s v="139 TB HDD"/>
    <s v="HDD"/>
    <s v="Western Digital"/>
    <n v="6500"/>
    <n v="8450"/>
    <n v="1"/>
    <n v="6500"/>
    <n v="8450"/>
    <s v="Ajay Sharma"/>
    <n v="39000"/>
  </r>
  <r>
    <s v="144056"/>
    <s v="SK"/>
    <s v="Ajay Sharma"/>
    <s v="07/09/2022"/>
    <s v="Delivered"/>
    <s v="394 GB SSD"/>
    <s v="SSD"/>
    <s v="Samsung"/>
    <n v="4500"/>
    <n v="5850"/>
    <n v="1"/>
    <n v="4500"/>
    <n v="5850"/>
    <s v="Roshan Kumar"/>
    <n v="8450"/>
  </r>
  <r>
    <s v="144057"/>
    <s v="TN"/>
    <s v="Moinuddin Saifi"/>
    <s v="07/09/2022"/>
    <s v="Shipped"/>
    <s v="Intel i3 11th gen."/>
    <s v="CPU"/>
    <s v="Intel"/>
    <n v="8500"/>
    <n v="11050"/>
    <n v="2"/>
    <n v="17000"/>
    <n v="22100"/>
    <s v="Aarvi Gupta"/>
    <n v="33150"/>
  </r>
  <r>
    <s v="144058"/>
    <s v="TR"/>
    <s v="Ramkrishna Das Adhikary"/>
    <s v="07/09/2022"/>
    <s v="Order"/>
    <s v="4GB Graphic card"/>
    <s v="Graphic Card"/>
    <s v="Nvidia"/>
    <n v="12500"/>
    <n v="16250"/>
    <n v="1"/>
    <n v="12500"/>
    <n v="16250"/>
    <s v="Vijay Singh"/>
    <n v="18200"/>
  </r>
  <r>
    <s v="144059"/>
    <s v="UK"/>
    <s v="Ranjeet Mandal"/>
    <s v="07/09/2022"/>
    <s v="Processing"/>
    <s v="146 GB DDR4 RAM"/>
    <s v="RAM"/>
    <s v="Hynix"/>
    <n v="3500"/>
    <n v="4550"/>
    <n v="3"/>
    <n v="10500"/>
    <n v="13650"/>
    <s v="Aadil Khan"/>
    <n v="25545"/>
  </r>
  <r>
    <s v="144060"/>
    <s v="UP"/>
    <s v="Ashwini Adsare"/>
    <s v="07/09/2022"/>
    <s v="Delivered"/>
    <s v="BTX motherboard"/>
    <s v="MotherBoard"/>
    <s v="Gigabyte"/>
    <n v="4500"/>
    <n v="5850"/>
    <n v="3"/>
    <n v="13500"/>
    <n v="17550"/>
    <s v="Advika Joshi"/>
    <n v="39780"/>
  </r>
  <r>
    <s v="144061"/>
    <s v="WB"/>
    <s v="Rajesh Variya"/>
    <s v="07/09/2022"/>
    <s v="Shipped"/>
    <s v="141 Fans Cabinet"/>
    <s v="Cabinet"/>
    <s v="Asus"/>
    <n v="2100"/>
    <n v="2730"/>
    <n v="1"/>
    <n v="2100"/>
    <n v="2730"/>
    <s v="Ajay Sharma"/>
    <n v="2990"/>
  </r>
  <r>
    <s v="144062"/>
    <s v="TN"/>
    <s v="Amit Singh"/>
    <s v="07/09/2022"/>
    <s v="Order"/>
    <s v="Wireless Keyboard"/>
    <s v="Keyboard"/>
    <s v="Dell"/>
    <n v="1150"/>
    <n v="1495"/>
    <n v="4"/>
    <n v="4600"/>
    <n v="5980"/>
    <s v="Roshan Kumar"/>
    <n v="3315"/>
  </r>
  <r>
    <s v="144063"/>
    <s v="TR"/>
    <s v="Vinod Mehta"/>
    <s v="07/09/2022"/>
    <s v="Processing"/>
    <s v="USB Mouse"/>
    <s v="Mouse"/>
    <s v="Samsung"/>
    <n v="350"/>
    <n v="455"/>
    <n v="3"/>
    <n v="1050"/>
    <n v="1365"/>
    <s v="Aarvi Gupta"/>
    <n v="1690"/>
  </r>
  <r>
    <s v="144064"/>
    <s v="MH"/>
    <s v="Jignesh Mhatre"/>
    <s v="07/09/2022"/>
    <s v="Delivered"/>
    <s v="19&quot; LED Display"/>
    <s v="Monitor"/>
    <s v="Dell"/>
    <n v="9500"/>
    <n v="12350"/>
    <n v="1"/>
    <n v="9500"/>
    <n v="12350"/>
    <s v="Vijay Singh"/>
    <n v="9750"/>
  </r>
  <r>
    <s v="144065"/>
    <s v="CH"/>
    <s v="Rahul Kashyap"/>
    <s v="07/09/2022"/>
    <s v="Shipped"/>
    <s v="140 TB HDD"/>
    <s v="HDD"/>
    <s v="Western Digital"/>
    <n v="10000"/>
    <n v="13000"/>
    <n v="1"/>
    <n v="10000"/>
    <n v="13000"/>
    <s v="Aadil Khan"/>
    <n v="39000"/>
  </r>
  <r>
    <s v="144066"/>
    <s v="DH"/>
    <s v="Mohammed Abdul Kaleem"/>
    <s v="07/09/2022"/>
    <s v="Order"/>
    <s v="650 GB M.2"/>
    <s v="SSD"/>
    <s v="Samsung"/>
    <n v="6500"/>
    <n v="8450"/>
    <n v="3"/>
    <n v="19500"/>
    <n v="25350"/>
    <s v="Advika Joshi"/>
    <n v="8450"/>
  </r>
  <r>
    <s v="144067"/>
    <s v="DD"/>
    <s v="Chandrakant Kasbe"/>
    <s v="07/09/2022"/>
    <s v="Processing"/>
    <s v="RYZEN 3rd gen. 3638"/>
    <s v="CPU"/>
    <s v="Intel"/>
    <n v="8500"/>
    <n v="11050"/>
    <n v="2"/>
    <n v="17000"/>
    <n v="22100"/>
    <s v="Ajay Sharma"/>
    <n v="33150"/>
  </r>
  <r>
    <s v="144068"/>
    <s v="DL"/>
    <s v="Rohan Kale"/>
    <s v="07/09/2022"/>
    <s v="Delivered"/>
    <s v="2GB Graphic Card"/>
    <s v="Graphic Card"/>
    <s v="Nvidia"/>
    <n v="7000"/>
    <n v="9100"/>
    <n v="1"/>
    <n v="7000"/>
    <n v="9100"/>
    <s v="Roshan Kumar"/>
    <n v="18200"/>
  </r>
  <r>
    <s v="144069"/>
    <s v="LD"/>
    <s v="Aniruddha Kekapure"/>
    <s v="07/09/2022"/>
    <s v="Shipped"/>
    <s v="154 GB DDR4 RAM"/>
    <s v="RAM"/>
    <s v="Hynix"/>
    <n v="6550"/>
    <n v="8515"/>
    <n v="3"/>
    <n v="19650"/>
    <n v="25545"/>
    <s v="Aarvi Gupta"/>
    <n v="25545"/>
  </r>
  <r>
    <s v="144070"/>
    <s v="PY"/>
    <s v="Aslam Raza"/>
    <s v="07/09/2022"/>
    <s v="Order"/>
    <s v="Standard ATX motherboard"/>
    <s v="MotherBoard"/>
    <s v="Gigabyte"/>
    <n v="7650"/>
    <n v="9945"/>
    <n v="4"/>
    <n v="30600"/>
    <n v="39780"/>
    <s v="Vijay Singh"/>
    <n v="39780"/>
  </r>
  <r>
    <s v="144071"/>
    <s v="AP"/>
    <s v="Roshan Zameer"/>
    <s v="07/09/2022"/>
    <s v="Processing"/>
    <s v="Compact with 1 Fan"/>
    <s v="Cabinet"/>
    <s v="Asus"/>
    <n v="1150"/>
    <n v="1495"/>
    <n v="2"/>
    <n v="2300"/>
    <n v="2990"/>
    <s v="Aadil Khan"/>
    <n v="2990"/>
  </r>
  <r>
    <s v="144072"/>
    <s v="AR"/>
    <s v="Rakesh Kumar Sharma"/>
    <s v="07/09/2022"/>
    <s v="Delivered"/>
    <s v="USB Backlight Keyboard"/>
    <s v="Keyboard"/>
    <s v="Dell"/>
    <n v="850"/>
    <n v="1105"/>
    <n v="2"/>
    <n v="1700"/>
    <n v="2210"/>
    <s v="Advika Joshi"/>
    <n v="3315"/>
  </r>
  <r>
    <s v="144073"/>
    <s v="AS"/>
    <s v="Shivanand Sahani"/>
    <s v="07/09/2022"/>
    <s v="Shipped"/>
    <s v="Ergonomic Mouse"/>
    <s v="Mouse"/>
    <s v="Samsung"/>
    <n v="650"/>
    <n v="845"/>
    <n v="3"/>
    <n v="1950"/>
    <n v="2535"/>
    <s v="Ajay Sharma"/>
    <n v="1690"/>
  </r>
  <r>
    <s v="144074"/>
    <s v="BR"/>
    <s v="Kunal Patra"/>
    <s v="07/09/2022"/>
    <s v="Order"/>
    <s v="15&quot; LCD Dsipaly"/>
    <s v="Monitor"/>
    <s v="Dell"/>
    <n v="7500"/>
    <n v="9750"/>
    <n v="4"/>
    <n v="30000"/>
    <n v="39000"/>
    <s v="Roshan Kumar"/>
    <n v="9750"/>
  </r>
  <r>
    <s v="144075"/>
    <s v="CG"/>
    <s v="Bijendra"/>
    <s v="07/09/2022"/>
    <s v="Processing"/>
    <s v="140 TB HDD"/>
    <s v="HDD"/>
    <s v="Seagate"/>
    <n v="10000"/>
    <n v="13000"/>
    <n v="3"/>
    <n v="30000"/>
    <n v="39000"/>
    <s v="Aarvi Gupta"/>
    <n v="39000"/>
  </r>
  <r>
    <s v="144076"/>
    <s v="GA"/>
    <s v="Kranti Bheke"/>
    <s v="07/09/2022"/>
    <s v="Delivered"/>
    <s v="139 TB SSD"/>
    <s v="SSD"/>
    <s v="Samsung"/>
    <n v="10500"/>
    <n v="13650"/>
    <n v="1"/>
    <n v="10500"/>
    <n v="13650"/>
    <s v="Vijay Singh"/>
    <n v="8450"/>
  </r>
  <r>
    <s v="144077"/>
    <s v="GJ"/>
    <s v="Jagdeep"/>
    <s v="07/09/2022"/>
    <s v="Shipped"/>
    <s v="Intel i5 12th gen."/>
    <s v="CPU"/>
    <s v="Intel"/>
    <n v="8500"/>
    <n v="11050"/>
    <n v="2"/>
    <n v="17000"/>
    <n v="22100"/>
    <s v="Aadil Khan"/>
    <n v="33150"/>
  </r>
  <r>
    <s v="144078"/>
    <s v="HR"/>
    <s v="Adhir Samal"/>
    <s v="07/09/2022"/>
    <s v="Order"/>
    <s v="2GB Graphic Card"/>
    <s v="Graphic Card"/>
    <s v="Nvidia"/>
    <n v="7000"/>
    <n v="9100"/>
    <n v="1"/>
    <n v="7000"/>
    <n v="9100"/>
    <s v="Advika Joshi"/>
    <n v="18200"/>
  </r>
  <r>
    <s v="144079"/>
    <s v="HP"/>
    <s v="Dannana Jhammi"/>
    <s v="07/09/2022"/>
    <s v="Processing"/>
    <s v="142 GB DDR4 Ram"/>
    <s v="RAM"/>
    <s v="Hynix"/>
    <n v="1680"/>
    <n v="2184"/>
    <n v="4"/>
    <n v="6720"/>
    <n v="8736"/>
    <s v="Ajay Sharma"/>
    <n v="25545"/>
  </r>
  <r>
    <s v="144080"/>
    <s v="JK"/>
    <s v="Vipin Kumar"/>
    <s v="07/09/2022"/>
    <s v="Delivered"/>
    <s v="Micro ATX motherboard"/>
    <s v="MotherBoard"/>
    <s v="MSI"/>
    <n v="6540"/>
    <n v="8502"/>
    <n v="4"/>
    <n v="26160"/>
    <n v="34008"/>
    <s v="Roshan Kumar"/>
    <n v="39780"/>
  </r>
  <r>
    <s v="144081"/>
    <s v="JH"/>
    <s v="Ranjeet Kumar"/>
    <s v="07/09/2022"/>
    <s v="Shipped"/>
    <s v="Gaming Box Cabinet"/>
    <s v="Cabinet"/>
    <s v="Asus"/>
    <n v="2680"/>
    <n v="3484"/>
    <n v="2"/>
    <n v="5360"/>
    <n v="6968"/>
    <s v="Aarvi Gupta"/>
    <n v="2990"/>
  </r>
  <r>
    <s v="144082"/>
    <s v="KA"/>
    <s v="Sajal Singhal"/>
    <s v="07/09/2022"/>
    <s v="Order"/>
    <s v="17&quot; LCD Display"/>
    <s v="Monitor"/>
    <s v="Samsung"/>
    <n v="8250"/>
    <n v="10725"/>
    <n v="4"/>
    <n v="33000"/>
    <n v="42900"/>
    <s v="Vijay Singh"/>
    <n v="9750"/>
  </r>
  <r>
    <s v="144083"/>
    <s v="KL"/>
    <s v="Akhilesh Kumar"/>
    <s v="07/09/2022"/>
    <s v="Processing"/>
    <s v="146 GB DDR4 RAM"/>
    <s v="RAM"/>
    <s v="Samsung"/>
    <n v="2650"/>
    <n v="3445"/>
    <n v="1"/>
    <n v="2650"/>
    <n v="3445"/>
    <s v="Aadil Khan"/>
    <n v="25545"/>
  </r>
  <r>
    <s v="144084"/>
    <s v="MP"/>
    <s v="Suvankar Chakraborty"/>
    <s v="07/09/2022"/>
    <s v="Delivered"/>
    <s v="26&quot; LCD Display"/>
    <s v="Monitor"/>
    <s v="Acer"/>
    <n v="12550"/>
    <n v="16315"/>
    <n v="1"/>
    <n v="12550"/>
    <n v="16315"/>
    <s v="Advika Joshi"/>
    <n v="9750"/>
  </r>
  <r>
    <s v="144085"/>
    <s v="MH"/>
    <s v="Suvankar Adhikary"/>
    <s v="07/09/2022"/>
    <s v="Shipped"/>
    <s v="I7 - intel 12th Generation"/>
    <s v="CPU"/>
    <s v="Intel"/>
    <n v="14500"/>
    <n v="18850"/>
    <n v="2"/>
    <n v="29000"/>
    <n v="37700"/>
    <s v="Ajay Sharma"/>
    <n v="33150"/>
  </r>
  <r>
    <s v="144086"/>
    <s v="MN"/>
    <s v="Rahul Kumar Prajapati"/>
    <s v="07/09/2022"/>
    <s v="Order"/>
    <s v="USB Keyboard"/>
    <s v="Keyboard"/>
    <s v="Dell"/>
    <n v="800"/>
    <n v="1040"/>
    <n v="4"/>
    <n v="3200"/>
    <n v="4160"/>
    <s v="Roshan Kumar"/>
    <n v="3315"/>
  </r>
  <r>
    <s v="144087"/>
    <s v="ML"/>
    <s v="Sagar Jeur"/>
    <s v="07/09/2022"/>
    <s v="Processing"/>
    <s v="Wireless Mouse"/>
    <s v="Mouse"/>
    <s v="Samsung"/>
    <n v="600"/>
    <n v="780"/>
    <n v="2"/>
    <n v="1200"/>
    <n v="1560"/>
    <s v="Aarvi Gupta"/>
    <n v="1690"/>
  </r>
  <r>
    <s v="144088"/>
    <s v="MZ"/>
    <s v="Rhushikesh Mane"/>
    <s v="07/09/2022"/>
    <s v="Delivered"/>
    <s v="21&quot; LCD Display"/>
    <s v="Monitor"/>
    <s v="Dell"/>
    <n v="10500"/>
    <n v="13650"/>
    <n v="2"/>
    <n v="21000"/>
    <n v="27300"/>
    <s v="Vijay Singh"/>
    <n v="9750"/>
  </r>
  <r>
    <s v="144089"/>
    <s v="NL"/>
    <s v="Ashish Kumar"/>
    <s v="07/09/2022"/>
    <s v="Shipped"/>
    <s v="140 TB HDD"/>
    <s v="HDD"/>
    <s v="Western Digital"/>
    <n v="6500"/>
    <n v="8450"/>
    <n v="1"/>
    <n v="6500"/>
    <n v="8450"/>
    <s v="Aadil Khan"/>
    <n v="39000"/>
  </r>
  <r>
    <s v="144090"/>
    <s v="OR"/>
    <s v="Javed Akhter"/>
    <s v="07/09/2022"/>
    <s v="Order"/>
    <s v="395 GB SSD"/>
    <s v="SSD"/>
    <s v="Samsung"/>
    <n v="4500"/>
    <n v="5850"/>
    <n v="3"/>
    <n v="13500"/>
    <n v="17550"/>
    <s v="Advika Joshi"/>
    <n v="8450"/>
  </r>
  <r>
    <s v="144091"/>
    <s v="PB"/>
    <s v="Haridas Balraj"/>
    <s v="07/09/2022"/>
    <s v="Processing"/>
    <s v="Intel i3 11th gen."/>
    <s v="CPU"/>
    <s v="Intel"/>
    <n v="8500"/>
    <n v="11050"/>
    <n v="2"/>
    <n v="17000"/>
    <n v="22100"/>
    <s v="Ajay Sharma"/>
    <n v="33150"/>
  </r>
  <r>
    <s v="144092"/>
    <s v="RJ"/>
    <s v="Kundan Kumar"/>
    <s v="07/09/2022"/>
    <s v="Delivered"/>
    <s v="4GB Graphic card"/>
    <s v="Graphic Card"/>
    <s v="Nvidia"/>
    <n v="12500"/>
    <n v="16250"/>
    <n v="3"/>
    <n v="37500"/>
    <n v="48750"/>
    <s v="Roshan Kumar"/>
    <n v="18200"/>
  </r>
  <r>
    <s v="144093"/>
    <s v="SK"/>
    <s v="Atif Siddiqui"/>
    <s v="07/09/2022"/>
    <s v="Shipped"/>
    <s v="147 GB DDR4 RAM"/>
    <s v="Computer Case"/>
    <s v="Hynix"/>
    <n v="3500"/>
    <n v="4550"/>
    <n v="3"/>
    <n v="10500"/>
    <n v="13650"/>
    <s v="Aarvi Gupta"/>
    <n v="13650"/>
  </r>
  <r>
    <s v="144094"/>
    <s v="TN"/>
    <s v="Aditya Agarwal"/>
    <s v="07/09/2022"/>
    <s v="Order"/>
    <s v="BTX motherboard"/>
    <s v="Mouse"/>
    <s v="Gigabyte"/>
    <n v="4500"/>
    <n v="5850"/>
    <n v="3"/>
    <n v="13500"/>
    <n v="17550"/>
    <s v="Vijay Singh"/>
    <n v="1690"/>
  </r>
  <r>
    <s v="144095"/>
    <s v="TR"/>
    <s v="Firdoush Jabee"/>
    <s v="07/09/2022"/>
    <s v="Processing"/>
    <s v="142 Fans Cabinet"/>
    <s v="Cabinet"/>
    <s v="Asus"/>
    <n v="2100"/>
    <n v="2730"/>
    <n v="2"/>
    <n v="4200"/>
    <n v="5460"/>
    <s v="Aadil Khan"/>
    <n v="2990"/>
  </r>
  <r>
    <s v="144096"/>
    <s v="UK"/>
    <s v="Jay Prakash Kumar"/>
    <s v="07/09/2022"/>
    <s v="Delivered"/>
    <s v="Wireless Keyboard"/>
    <s v="Keyboard"/>
    <s v="Dell"/>
    <n v="1150"/>
    <n v="1495"/>
    <n v="2"/>
    <n v="2300"/>
    <n v="2990"/>
    <s v="Advika Joshi"/>
    <n v="3315"/>
  </r>
  <r>
    <s v="144097"/>
    <s v="UP"/>
    <s v="Ashish Pandey"/>
    <s v="07/09/2022"/>
    <s v="Shipped"/>
    <s v="USB Mouse"/>
    <s v="Mouse"/>
    <s v="Samsung"/>
    <n v="350"/>
    <n v="455"/>
    <n v="2"/>
    <n v="700"/>
    <n v="910"/>
    <s v="Ajay Sharma"/>
    <n v="1690"/>
  </r>
  <r>
    <s v="144098"/>
    <s v="WB"/>
    <s v="Ajay Sharma"/>
    <s v="07/09/2022"/>
    <s v="Order"/>
    <s v="19&quot; LED Display"/>
    <s v="Monitor"/>
    <s v="Dell"/>
    <n v="9500"/>
    <n v="12350"/>
    <n v="4"/>
    <n v="38000"/>
    <n v="49400"/>
    <s v="Roshan Kumar"/>
    <n v="9750"/>
  </r>
  <r>
    <s v="144099"/>
    <s v="TN"/>
    <s v="Moinuddin Saifi"/>
    <s v="07/09/2022"/>
    <s v="Processing"/>
    <s v="141 TB HDD"/>
    <s v="HDD"/>
    <s v="Western Digital"/>
    <n v="10000"/>
    <n v="13000"/>
    <n v="1"/>
    <n v="10000"/>
    <n v="13000"/>
    <s v="Aarvi Gupta"/>
    <n v="39000"/>
  </r>
  <r>
    <s v="144100"/>
    <s v="TR"/>
    <s v="Ramkrishna Das Adhikary"/>
    <s v="07/09/2022"/>
    <s v="Delivered"/>
    <s v="651 GB M.2"/>
    <s v="SSD"/>
    <s v="Samsung"/>
    <n v="6500"/>
    <n v="8450"/>
    <n v="1"/>
    <n v="6500"/>
    <n v="8450"/>
    <s v="Vijay Singh"/>
    <n v="8450"/>
  </r>
  <r>
    <s v="144101"/>
    <s v="MH"/>
    <s v="Ranjeet Mandal"/>
    <s v="07/09/2022"/>
    <s v="Shipped"/>
    <s v="RYZEN 3rd gen. 3639"/>
    <s v="CPU"/>
    <s v="Intel"/>
    <n v="8500"/>
    <n v="11050"/>
    <n v="4"/>
    <n v="34000"/>
    <n v="44200"/>
    <s v="Aadil Khan"/>
    <n v="33150"/>
  </r>
  <r>
    <s v="144102"/>
    <s v="CH"/>
    <s v="Ashwini Adsare"/>
    <s v="07/09/2022"/>
    <s v="Order"/>
    <s v="2GB Graphic Card"/>
    <s v="Graphic Card"/>
    <s v="Nvidia"/>
    <n v="7000"/>
    <n v="9100"/>
    <n v="1"/>
    <n v="7000"/>
    <n v="9100"/>
    <s v="Advika Joshi"/>
    <n v="18200"/>
  </r>
  <r>
    <s v="144103"/>
    <s v="DH"/>
    <s v="Rajesh Variya"/>
    <s v="07/09/2022"/>
    <s v="Processing"/>
    <s v="155 GB DDR4 RAM"/>
    <s v="Computer Case"/>
    <s v="Hynix"/>
    <n v="6550"/>
    <n v="8515"/>
    <n v="2"/>
    <n v="13100"/>
    <n v="17030"/>
    <s v="Ajay Sharma"/>
    <n v="13650"/>
  </r>
  <r>
    <s v="144104"/>
    <s v="DD"/>
    <s v="Amit Singh"/>
    <s v="07/09/2022"/>
    <s v="Delivered"/>
    <s v="Standard ATX motherboard"/>
    <s v="Mouse"/>
    <s v="Gigabyte"/>
    <n v="7650"/>
    <n v="9945"/>
    <n v="4"/>
    <n v="30600"/>
    <n v="39780"/>
    <s v="Roshan Kumar"/>
    <n v="1690"/>
  </r>
  <r>
    <s v="144105"/>
    <s v="DL"/>
    <s v="Vinod Mehta"/>
    <s v="07/09/2022"/>
    <s v="Shipped"/>
    <s v="Compact with 1 Fan"/>
    <s v="Cabinet"/>
    <s v="Asus"/>
    <n v="1150"/>
    <n v="1495"/>
    <n v="3"/>
    <n v="3450"/>
    <n v="4485"/>
    <s v="Aarvi Gupta"/>
    <n v="2990"/>
  </r>
  <r>
    <s v="144106"/>
    <s v="LD"/>
    <s v="Jignesh Mhatre"/>
    <s v="07/09/2022"/>
    <s v="Order"/>
    <s v="USB Backlight Keyboard"/>
    <s v="Keyboard"/>
    <s v="Dell"/>
    <n v="850"/>
    <n v="1105"/>
    <n v="1"/>
    <n v="850"/>
    <n v="1105"/>
    <s v="Vijay Singh"/>
    <n v="3315"/>
  </r>
  <r>
    <s v="144107"/>
    <s v="PY"/>
    <s v="Rahul Kashyap"/>
    <s v="07/09/2022"/>
    <s v="Processing"/>
    <s v="Ergonomic Mouse"/>
    <s v="Mouse"/>
    <s v="Samsung"/>
    <n v="650"/>
    <n v="845"/>
    <n v="4"/>
    <n v="2600"/>
    <n v="3380"/>
    <s v="Aadil Khan"/>
    <n v="1690"/>
  </r>
  <r>
    <s v="144108"/>
    <s v="AP"/>
    <s v="Mohammed Abdul Kaleem"/>
    <s v="07/09/2022"/>
    <s v="Delivered"/>
    <s v="15&quot; LCD Dsipaly"/>
    <s v="Monitor"/>
    <s v="Dell"/>
    <n v="7500"/>
    <n v="9750"/>
    <n v="2"/>
    <n v="15000"/>
    <n v="19500"/>
    <s v="Advika Joshi"/>
    <n v="9750"/>
  </r>
  <r>
    <s v="144109"/>
    <s v="AR"/>
    <s v="Chandrakant Kasbe"/>
    <s v="07/09/2022"/>
    <s v="Shipped"/>
    <s v="141 TB HDD"/>
    <s v="HDD"/>
    <s v="Seagate"/>
    <n v="10000"/>
    <n v="13000"/>
    <n v="4"/>
    <n v="40000"/>
    <n v="52000"/>
    <s v="Ajay Sharma"/>
    <n v="39000"/>
  </r>
  <r>
    <s v="144110"/>
    <s v="AS"/>
    <s v="Rohan Kale"/>
    <s v="07/09/2022"/>
    <s v="Order"/>
    <s v="140 TB SSD"/>
    <s v="SSD"/>
    <s v="Samsung"/>
    <n v="10500"/>
    <n v="13650"/>
    <n v="3"/>
    <n v="31500"/>
    <n v="40950"/>
    <s v="Roshan Kumar"/>
    <n v="8450"/>
  </r>
  <r>
    <s v="144111"/>
    <s v="BR"/>
    <s v="Aniruddha Kekapure"/>
    <s v="07/09/2022"/>
    <s v="Processing"/>
    <s v="Intel i5 12th gen."/>
    <s v="CPU"/>
    <s v="Intel"/>
    <n v="8500"/>
    <n v="11050"/>
    <n v="3"/>
    <n v="25500"/>
    <n v="33150"/>
    <s v="Aarvi Gupta"/>
    <n v="33150"/>
  </r>
  <r>
    <s v="144112"/>
    <s v="CG"/>
    <s v="Aslam Raza"/>
    <s v="07/09/2022"/>
    <s v="Delivered"/>
    <s v="2GB Graphic Card"/>
    <s v="Graphic Card"/>
    <s v="Nvidia"/>
    <n v="7000"/>
    <n v="9100"/>
    <n v="2"/>
    <n v="14000"/>
    <n v="18200"/>
    <s v="Vijay Singh"/>
    <n v="18200"/>
  </r>
  <r>
    <s v="144113"/>
    <s v="GA"/>
    <s v="Roshan Zameer"/>
    <s v="07/09/2022"/>
    <s v="Shipped"/>
    <s v="143 GB DDR4 Ram"/>
    <s v="Computer Case"/>
    <s v="Hynix"/>
    <n v="1680"/>
    <n v="2184"/>
    <n v="1"/>
    <n v="1680"/>
    <n v="2184"/>
    <s v="Aadil Khan"/>
    <n v="13650"/>
  </r>
  <r>
    <s v="144114"/>
    <s v="GJ"/>
    <s v="Rakesh Kumar Sharma"/>
    <s v="07/09/2022"/>
    <s v="Order"/>
    <s v="Micro ATX motherboard"/>
    <s v="Mouse"/>
    <s v="MSI"/>
    <n v="6540"/>
    <n v="8502"/>
    <n v="1"/>
    <n v="6540"/>
    <n v="8502"/>
    <s v="Advika Joshi"/>
    <n v="1690"/>
  </r>
  <r>
    <s v="144115"/>
    <s v="HR"/>
    <s v="Shivanand Sahani"/>
    <s v="07/09/2022"/>
    <s v="Processing"/>
    <s v="Gaming Box Cabinet"/>
    <s v="Cabinet"/>
    <s v="Asus"/>
    <n v="2680"/>
    <n v="3484"/>
    <n v="2"/>
    <n v="5360"/>
    <n v="6968"/>
    <s v="Ajay Sharma"/>
    <n v="2990"/>
  </r>
  <r>
    <s v="144116"/>
    <s v="HP"/>
    <s v="Kunal Patra"/>
    <s v="07/09/2022"/>
    <s v="Delivered"/>
    <s v="17&quot; LCD Display"/>
    <s v="Monitor"/>
    <s v="Samsung"/>
    <n v="8250"/>
    <n v="10725"/>
    <n v="2"/>
    <n v="16500"/>
    <n v="21450"/>
    <s v="Roshan Kumar"/>
    <n v="9750"/>
  </r>
  <r>
    <s v="144117"/>
    <s v="JK"/>
    <s v="Bijendra"/>
    <s v="07/09/2022"/>
    <s v="Shipped"/>
    <s v="147 GB DDR4 RAM"/>
    <s v="RAM"/>
    <s v="Samsung"/>
    <n v="2650"/>
    <n v="3445"/>
    <n v="4"/>
    <n v="10600"/>
    <n v="13780"/>
    <s v="Aarvi Gupta"/>
    <n v="25545"/>
  </r>
  <r>
    <s v="144118"/>
    <s v="JH"/>
    <s v="Kranti Bheke"/>
    <s v="07/09/2022"/>
    <s v="Order"/>
    <s v="26&quot; LCD Display"/>
    <s v="Monitor"/>
    <s v="Acer"/>
    <n v="12550"/>
    <n v="16315"/>
    <n v="1"/>
    <n v="12550"/>
    <n v="16315"/>
    <s v="Vijay Singh"/>
    <n v="9750"/>
  </r>
  <r>
    <s v="144119"/>
    <s v="KA"/>
    <s v="Jagdeep"/>
    <s v="07/09/2022"/>
    <s v="Processing"/>
    <s v="I7 - intel 12th Generation"/>
    <s v="CPU"/>
    <s v="Intel"/>
    <n v="14500"/>
    <n v="18850"/>
    <n v="2"/>
    <n v="29000"/>
    <n v="37700"/>
    <s v="Aadil Khan"/>
    <n v="33150"/>
  </r>
  <r>
    <s v="144120"/>
    <s v="KL"/>
    <s v="Adhir Samal"/>
    <s v="07/09/2022"/>
    <s v="Delivered"/>
    <s v="USB Keyboard"/>
    <s v="Keyboard"/>
    <s v="Dell"/>
    <n v="800"/>
    <n v="1040"/>
    <n v="3"/>
    <n v="2400"/>
    <n v="3120"/>
    <s v="Advika Joshi"/>
    <n v="3315"/>
  </r>
  <r>
    <s v="144121"/>
    <s v="MP"/>
    <s v="Dannana Jhammi"/>
    <s v="07/09/2022"/>
    <s v="Shipped"/>
    <s v="Wireless Mouse"/>
    <s v="Mouse"/>
    <s v="Samsung"/>
    <n v="600"/>
    <n v="780"/>
    <n v="4"/>
    <n v="2400"/>
    <n v="3120"/>
    <s v="Ajay Sharma"/>
    <n v="1690"/>
  </r>
  <r>
    <s v="144122"/>
    <s v="MH"/>
    <s v="Vipin Kumar"/>
    <s v="07/09/2022"/>
    <s v="Order"/>
    <s v="21&quot; LCD Display"/>
    <s v="Monitor"/>
    <s v="Dell"/>
    <n v="10500"/>
    <n v="13650"/>
    <n v="1"/>
    <n v="10500"/>
    <n v="13650"/>
    <s v="Roshan Kumar"/>
    <n v="9750"/>
  </r>
  <r>
    <s v="144123"/>
    <s v="MN"/>
    <s v="Ranjeet Kumar"/>
    <s v="07/09/2022"/>
    <s v="Processing"/>
    <s v="141 TB HDD"/>
    <s v="HDD"/>
    <s v="Western Digital"/>
    <n v="6500"/>
    <n v="8450"/>
    <n v="2"/>
    <n v="13000"/>
    <n v="16900"/>
    <s v="Aarvi Gupta"/>
    <n v="39000"/>
  </r>
  <r>
    <s v="144124"/>
    <s v="ML"/>
    <s v="Sajal Singhal"/>
    <s v="07/09/2022"/>
    <s v="Delivered"/>
    <s v="396 GB SSD"/>
    <s v="SSD"/>
    <s v="Samsung"/>
    <n v="4500"/>
    <n v="5850"/>
    <n v="3"/>
    <n v="13500"/>
    <n v="17550"/>
    <s v="Vijay Singh"/>
    <n v="8450"/>
  </r>
  <r>
    <s v="144125"/>
    <s v="MZ"/>
    <s v="Akhilesh Kumar"/>
    <s v="07/09/2022"/>
    <s v="Shipped"/>
    <s v="Intel i3 11th gen."/>
    <s v="CPU"/>
    <s v="Intel"/>
    <n v="8500"/>
    <n v="11050"/>
    <n v="1"/>
    <n v="8500"/>
    <n v="11050"/>
    <s v="Aadil Khan"/>
    <n v="33150"/>
  </r>
  <r>
    <s v="144126"/>
    <s v="NL"/>
    <s v="Suvankar Chakraborty"/>
    <s v="07/09/2022"/>
    <s v="Order"/>
    <s v="4GB Graphic card"/>
    <s v="Graphic Card"/>
    <s v="Nvidia"/>
    <n v="12500"/>
    <n v="16250"/>
    <n v="2"/>
    <n v="25000"/>
    <n v="32500"/>
    <s v="Advika Joshi"/>
    <n v="18200"/>
  </r>
  <r>
    <s v="144127"/>
    <s v="OR"/>
    <s v="Suvankar Adhikary"/>
    <s v="07/09/2022"/>
    <s v="Processing"/>
    <s v="148 GB DDR4 RAM"/>
    <s v="NIC"/>
    <s v="Hynix"/>
    <n v="3500"/>
    <n v="4550"/>
    <n v="1"/>
    <n v="3500"/>
    <n v="4550"/>
    <s v="Ajay Sharma"/>
    <n v="9100"/>
  </r>
  <r>
    <s v="144128"/>
    <s v="PB"/>
    <s v="Rahul Kumar Prajapati"/>
    <s v="07/09/2022"/>
    <s v="Delivered"/>
    <s v="BTX motherboard"/>
    <s v="Printer"/>
    <s v="Gigabyte"/>
    <n v="4500"/>
    <n v="5850"/>
    <n v="4"/>
    <n v="18000"/>
    <n v="23400"/>
    <s v="Roshan Kumar"/>
    <n v="11700"/>
  </r>
  <r>
    <s v="144129"/>
    <s v="RJ"/>
    <s v="Sagar Jeur"/>
    <s v="07/09/2022"/>
    <s v="Shipped"/>
    <s v="143 Fans Cabinet"/>
    <s v="Cabinet"/>
    <s v="Asus"/>
    <n v="2100"/>
    <n v="2730"/>
    <n v="4"/>
    <n v="8400"/>
    <n v="10920"/>
    <s v="Aarvi Gupta"/>
    <n v="2990"/>
  </r>
  <r>
    <s v="144130"/>
    <s v="SK"/>
    <s v="Rhushikesh Mane"/>
    <s v="08/09/2022"/>
    <s v="Order"/>
    <s v="Wireless Keyboard"/>
    <s v="Keyboard"/>
    <s v="Dell"/>
    <n v="1150"/>
    <n v="1495"/>
    <n v="4"/>
    <n v="4600"/>
    <n v="5980"/>
    <s v="Vijay Singh"/>
    <n v="3315"/>
  </r>
  <r>
    <s v="144131"/>
    <s v="TN"/>
    <s v="Ashish Kumar"/>
    <s v="09/09/2022"/>
    <s v="Processing"/>
    <s v="USB Mouse"/>
    <s v="Mouse"/>
    <s v="Samsung"/>
    <n v="350"/>
    <n v="455"/>
    <n v="4"/>
    <n v="1400"/>
    <n v="1820"/>
    <s v="Aadil Khan"/>
    <n v="1690"/>
  </r>
  <r>
    <s v="144132"/>
    <s v="TR"/>
    <s v="Javed Akhter"/>
    <s v="10/09/2022"/>
    <s v="Delivered"/>
    <s v="19&quot; LED Display"/>
    <s v="Monitor"/>
    <s v="Dell"/>
    <n v="9500"/>
    <n v="12350"/>
    <n v="4"/>
    <n v="38000"/>
    <n v="49400"/>
    <s v="Advika Joshi"/>
    <n v="9750"/>
  </r>
  <r>
    <s v="144133"/>
    <s v="UK"/>
    <s v="Haridas Balraj"/>
    <s v="10/09/2022"/>
    <s v="Shipped"/>
    <s v="142 TB HDD"/>
    <s v="HDD"/>
    <s v="Western Digital"/>
    <n v="10000"/>
    <n v="13000"/>
    <n v="4"/>
    <n v="40000"/>
    <n v="52000"/>
    <s v="Ajay Sharma"/>
    <n v="39000"/>
  </r>
  <r>
    <s v="144134"/>
    <s v="UP"/>
    <s v="Kundan Kumar"/>
    <s v="10/09/2022"/>
    <s v="Order"/>
    <s v="652 GB M.2"/>
    <s v="SSD"/>
    <s v="Samsung"/>
    <n v="6500"/>
    <n v="8450"/>
    <n v="2"/>
    <n v="13000"/>
    <n v="16900"/>
    <s v="Roshan Kumar"/>
    <n v="8450"/>
  </r>
  <r>
    <s v="144135"/>
    <s v="WB"/>
    <s v="Atif Siddiqui"/>
    <s v="10/09/2022"/>
    <s v="Processing"/>
    <s v="RYZEN 3rd gen. 3640"/>
    <s v="CPU"/>
    <s v="Intel"/>
    <n v="8500"/>
    <n v="11050"/>
    <n v="1"/>
    <n v="8500"/>
    <n v="11050"/>
    <s v="Aarvi Gupta"/>
    <n v="33150"/>
  </r>
  <r>
    <s v="144136"/>
    <s v="TN"/>
    <s v="Aditya Agarwal"/>
    <s v="10/09/2022"/>
    <s v="Delivered"/>
    <s v="2GB Graphic Card"/>
    <s v="Graphic Card"/>
    <s v="Nvidia"/>
    <n v="7000"/>
    <n v="9100"/>
    <n v="2"/>
    <n v="14000"/>
    <n v="18200"/>
    <s v="Vijay Singh"/>
    <n v="18200"/>
  </r>
  <r>
    <s v="144137"/>
    <s v="TR"/>
    <s v="Firdoush Jabee"/>
    <s v="10/09/2022"/>
    <s v="Shipped"/>
    <s v="156 GB DDR4 RAM"/>
    <s v="NIC"/>
    <s v="Hynix"/>
    <n v="6550"/>
    <n v="8515"/>
    <n v="1"/>
    <n v="6550"/>
    <n v="8515"/>
    <s v="Aadil Khan"/>
    <n v="9100"/>
  </r>
  <r>
    <s v="144138"/>
    <s v="MH"/>
    <s v="Jay Prakash Kumar"/>
    <s v="10/09/2022"/>
    <s v="Order"/>
    <s v="Standard ATX motherboard"/>
    <s v="Printer"/>
    <s v="Gigabyte"/>
    <n v="7650"/>
    <n v="9945"/>
    <n v="1"/>
    <n v="7650"/>
    <n v="9945"/>
    <s v="Advika Joshi"/>
    <n v="11700"/>
  </r>
  <r>
    <s v="144139"/>
    <s v="CH"/>
    <s v="Ashish Pandey"/>
    <s v="10/09/2022"/>
    <s v="Processing"/>
    <s v="Compact with 1 Fan"/>
    <s v="Cabinet"/>
    <s v="Asus"/>
    <n v="1150"/>
    <n v="1495"/>
    <n v="1"/>
    <n v="1150"/>
    <n v="1495"/>
    <s v="Ajay Sharma"/>
    <n v="2990"/>
  </r>
  <r>
    <s v="144140"/>
    <s v="DH"/>
    <s v="Ajay Sharma"/>
    <s v="10/09/2022"/>
    <s v="Delivered"/>
    <s v="USB Backlight Keyboard"/>
    <s v="Keyboard"/>
    <s v="Dell"/>
    <n v="850"/>
    <n v="1105"/>
    <n v="4"/>
    <n v="3400"/>
    <n v="4420"/>
    <s v="Roshan Kumar"/>
    <n v="3315"/>
  </r>
  <r>
    <s v="144141"/>
    <s v="DD"/>
    <s v="Moinuddin Saifi"/>
    <s v="10/09/2022"/>
    <s v="Shipped"/>
    <s v="Ergonomic Mouse"/>
    <s v="Mouse"/>
    <s v="Samsung"/>
    <n v="650"/>
    <n v="845"/>
    <n v="4"/>
    <n v="2600"/>
    <n v="3380"/>
    <s v="Aarvi Gupta"/>
    <n v="1690"/>
  </r>
  <r>
    <s v="144142"/>
    <s v="DL"/>
    <s v="Ramkrishna Das Adhikary"/>
    <s v="10/09/2022"/>
    <s v="Order"/>
    <s v="15&quot; LCD Dsipaly"/>
    <s v="Monitor"/>
    <s v="Dell"/>
    <n v="7500"/>
    <n v="9750"/>
    <n v="3"/>
    <n v="22500"/>
    <n v="29250"/>
    <s v="Vijay Singh"/>
    <n v="9750"/>
  </r>
  <r>
    <s v="144143"/>
    <s v="LD"/>
    <s v="Ranjeet Mandal"/>
    <s v="10/09/2022"/>
    <s v="Processing"/>
    <s v="142 TB HDD"/>
    <s v="HDD"/>
    <s v="Seagate"/>
    <n v="10000"/>
    <n v="13000"/>
    <n v="4"/>
    <n v="40000"/>
    <n v="52000"/>
    <s v="Aadil Khan"/>
    <n v="39000"/>
  </r>
  <r>
    <s v="144144"/>
    <s v="PY"/>
    <s v="Ashwini Adsare"/>
    <s v="10/09/2022"/>
    <s v="Delivered"/>
    <s v="141 TB SSD"/>
    <s v="SSD"/>
    <s v="Samsung"/>
    <n v="10500"/>
    <n v="13650"/>
    <n v="4"/>
    <n v="42000"/>
    <n v="54600"/>
    <s v="Advika Joshi"/>
    <n v="8450"/>
  </r>
  <r>
    <s v="144145"/>
    <s v="AP"/>
    <s v="Rajesh Variya"/>
    <s v="10/09/2022"/>
    <s v="Shipped"/>
    <s v="Intel i5 12th gen."/>
    <s v="CPU"/>
    <s v="Intel"/>
    <n v="8500"/>
    <n v="11050"/>
    <n v="2"/>
    <n v="17000"/>
    <n v="22100"/>
    <s v="Ajay Sharma"/>
    <n v="33150"/>
  </r>
  <r>
    <s v="144146"/>
    <s v="AR"/>
    <s v="Amit Singh"/>
    <s v="10/09/2022"/>
    <s v="Order"/>
    <s v="2GB Graphic Card"/>
    <s v="Graphic Card"/>
    <s v="Nvidia"/>
    <n v="7000"/>
    <n v="9100"/>
    <n v="4"/>
    <n v="28000"/>
    <n v="36400"/>
    <s v="Roshan Kumar"/>
    <n v="18200"/>
  </r>
  <r>
    <s v="144147"/>
    <s v="AS"/>
    <s v="Vinod Mehta"/>
    <s v="10/09/2022"/>
    <s v="Processing"/>
    <s v="144 GB DDR4 Ram"/>
    <s v="NIC"/>
    <s v="Hynix"/>
    <n v="1680"/>
    <n v="2184"/>
    <n v="2"/>
    <n v="3360"/>
    <n v="4368"/>
    <s v="Aarvi Gupta"/>
    <n v="9100"/>
  </r>
  <r>
    <s v="144148"/>
    <s v="BR"/>
    <s v="Jignesh Mhatre"/>
    <s v="10/09/2022"/>
    <s v="Delivered"/>
    <s v="Micro ATX motherboard"/>
    <s v="Printer"/>
    <s v="MSI"/>
    <n v="6540"/>
    <n v="8502"/>
    <n v="3"/>
    <n v="19620"/>
    <n v="25506"/>
    <s v="Vijay Singh"/>
    <n v="11700"/>
  </r>
  <r>
    <s v="144149"/>
    <s v="CG"/>
    <s v="Rahul Kashyap"/>
    <s v="10/09/2022"/>
    <s v="Shipped"/>
    <s v="Gaming Box Cabinet"/>
    <s v="Cabinet"/>
    <s v="Asus"/>
    <n v="2680"/>
    <n v="3484"/>
    <n v="3"/>
    <n v="8040"/>
    <n v="10452"/>
    <s v="Aadil Khan"/>
    <n v="2990"/>
  </r>
  <r>
    <s v="144150"/>
    <s v="GA"/>
    <s v="Mohammed Abdul Kaleem"/>
    <s v="10/09/2022"/>
    <s v="Order"/>
    <s v="17&quot; LCD Display"/>
    <s v="Monitor"/>
    <s v="Samsung"/>
    <n v="8250"/>
    <n v="10725"/>
    <n v="1"/>
    <n v="8250"/>
    <n v="10725"/>
    <s v="Advika Joshi"/>
    <n v="9750"/>
  </r>
  <r>
    <s v="144151"/>
    <s v="GJ"/>
    <s v="Chandrakant Kasbe"/>
    <s v="10/09/2022"/>
    <s v="Processing"/>
    <s v="148 GB DDR4 RAM"/>
    <s v="RAM"/>
    <s v="Samsung"/>
    <n v="2650"/>
    <n v="3445"/>
    <n v="2"/>
    <n v="5300"/>
    <n v="6890"/>
    <s v="Ajay Sharma"/>
    <n v="25545"/>
  </r>
  <r>
    <s v="144152"/>
    <s v="HR"/>
    <s v="Rohan Kale"/>
    <s v="10/09/2022"/>
    <s v="Delivered"/>
    <s v="26&quot; LCD Display"/>
    <s v="Monitor"/>
    <s v="Acer"/>
    <n v="12550"/>
    <n v="16315"/>
    <n v="1"/>
    <n v="12550"/>
    <n v="16315"/>
    <s v="Roshan Kumar"/>
    <n v="9750"/>
  </r>
  <r>
    <s v="144153"/>
    <s v="HP"/>
    <s v="Aniruddha Kekapure"/>
    <s v="10/09/2022"/>
    <s v="Shipped"/>
    <s v="I7 - intel 12th Generation"/>
    <s v="CPU"/>
    <s v="Intel"/>
    <n v="14500"/>
    <n v="18850"/>
    <n v="1"/>
    <n v="14500"/>
    <n v="18850"/>
    <s v="Aarvi Gupta"/>
    <n v="33150"/>
  </r>
  <r>
    <s v="144154"/>
    <s v="JK"/>
    <s v="Aslam Raza"/>
    <s v="10/09/2022"/>
    <s v="Order"/>
    <s v="USB Keyboard"/>
    <s v="Keyboard"/>
    <s v="Dell"/>
    <n v="800"/>
    <n v="1040"/>
    <n v="1"/>
    <n v="800"/>
    <n v="1040"/>
    <s v="Vijay Singh"/>
    <n v="3315"/>
  </r>
  <r>
    <s v="144155"/>
    <s v="JH"/>
    <s v="Roshan Zameer"/>
    <s v="10/09/2022"/>
    <s v="Processing"/>
    <s v="Wireless Mouse"/>
    <s v="Mouse"/>
    <s v="Samsung"/>
    <n v="600"/>
    <n v="780"/>
    <n v="3"/>
    <n v="1800"/>
    <n v="2340"/>
    <s v="Aadil Khan"/>
    <n v="1690"/>
  </r>
  <r>
    <s v="144156"/>
    <s v="KA"/>
    <s v="Rakesh Kumar Sharma"/>
    <s v="10/09/2022"/>
    <s v="Delivered"/>
    <s v="21&quot; LCD Display"/>
    <s v="Monitor"/>
    <s v="Dell"/>
    <n v="10500"/>
    <n v="13650"/>
    <n v="3"/>
    <n v="31500"/>
    <n v="40950"/>
    <s v="Advika Joshi"/>
    <n v="9750"/>
  </r>
  <r>
    <s v="144157"/>
    <s v="KL"/>
    <s v="Shivanand Sahani"/>
    <s v="10/09/2022"/>
    <s v="Shipped"/>
    <s v="142 TB HDD"/>
    <s v="HDD"/>
    <s v="Western Digital"/>
    <n v="6500"/>
    <n v="8450"/>
    <n v="2"/>
    <n v="13000"/>
    <n v="16900"/>
    <s v="Ajay Sharma"/>
    <n v="39000"/>
  </r>
  <r>
    <s v="144158"/>
    <s v="MP"/>
    <s v="Kunal Patra"/>
    <s v="10/09/2022"/>
    <s v="Order"/>
    <s v="397 GB SSD"/>
    <s v="SSD"/>
    <s v="Samsung"/>
    <n v="4500"/>
    <n v="5850"/>
    <n v="3"/>
    <n v="13500"/>
    <n v="17550"/>
    <s v="Roshan Kumar"/>
    <n v="8450"/>
  </r>
  <r>
    <s v="144159"/>
    <s v="MH"/>
    <s v="Bijendra"/>
    <s v="10/09/2022"/>
    <s v="Processing"/>
    <s v="Intel i3 11th gen."/>
    <s v="CPU"/>
    <s v="Intel"/>
    <n v="8500"/>
    <n v="11050"/>
    <n v="4"/>
    <n v="34000"/>
    <n v="44200"/>
    <s v="Aarvi Gupta"/>
    <n v="33150"/>
  </r>
  <r>
    <s v="144160"/>
    <s v="MN"/>
    <s v="Kranti Bheke"/>
    <s v="10/09/2022"/>
    <s v="Delivered"/>
    <s v="4GB Graphic card"/>
    <s v="Graphic Card"/>
    <s v="Nvidia"/>
    <n v="12500"/>
    <n v="16250"/>
    <n v="4"/>
    <n v="50000"/>
    <n v="65000"/>
    <s v="Vijay Singh"/>
    <n v="18200"/>
  </r>
  <r>
    <s v="144161"/>
    <s v="ML"/>
    <s v="Jagdeep"/>
    <s v="10/09/2022"/>
    <s v="Shipped"/>
    <s v="149 GB DDR4 RAM"/>
    <s v="RAM"/>
    <s v="Hynix"/>
    <n v="3500"/>
    <n v="4550"/>
    <n v="2"/>
    <n v="7000"/>
    <n v="9100"/>
    <s v="Aadil Khan"/>
    <n v="25545"/>
  </r>
  <r>
    <s v="144162"/>
    <s v="MZ"/>
    <s v="Adhir Samal"/>
    <s v="10/09/2022"/>
    <s v="Order"/>
    <s v="BTX motherboard"/>
    <s v="MotherBoard"/>
    <s v="Gigabyte"/>
    <n v="4500"/>
    <n v="5850"/>
    <n v="2"/>
    <n v="9000"/>
    <n v="11700"/>
    <s v="Advika Joshi"/>
    <n v="39780"/>
  </r>
  <r>
    <s v="144163"/>
    <s v="NL"/>
    <s v="Dannana Jhammi"/>
    <s v="10/09/2022"/>
    <s v="Processing"/>
    <s v="144 Fans Cabinet"/>
    <s v="Cabinet"/>
    <s v="Asus"/>
    <n v="2100"/>
    <n v="2730"/>
    <n v="2"/>
    <n v="4200"/>
    <n v="5460"/>
    <s v="Ajay Sharma"/>
    <n v="2990"/>
  </r>
  <r>
    <s v="144164"/>
    <s v="OR"/>
    <s v="Vipin Kumar"/>
    <s v="10/09/2022"/>
    <s v="Delivered"/>
    <s v="Wireless Keyboard"/>
    <s v="Keyboard"/>
    <s v="Dell"/>
    <n v="1150"/>
    <n v="1495"/>
    <n v="1"/>
    <n v="1150"/>
    <n v="1495"/>
    <s v="Roshan Kumar"/>
    <n v="3315"/>
  </r>
  <r>
    <s v="144165"/>
    <s v="PB"/>
    <s v="Ranjeet Kumar"/>
    <s v="10/09/2022"/>
    <s v="Shipped"/>
    <s v="USB Mouse"/>
    <s v="Mouse"/>
    <s v="Samsung"/>
    <n v="350"/>
    <n v="455"/>
    <n v="2"/>
    <n v="700"/>
    <n v="910"/>
    <s v="Aarvi Gupta"/>
    <n v="1690"/>
  </r>
  <r>
    <s v="144166"/>
    <s v="RJ"/>
    <s v="Sajal Singhal"/>
    <s v="10/09/2022"/>
    <s v="Order"/>
    <s v="19&quot; LED Display"/>
    <s v="Monitor"/>
    <s v="Dell"/>
    <n v="9500"/>
    <n v="12350"/>
    <n v="3"/>
    <n v="28500"/>
    <n v="37050"/>
    <s v="Vijay Singh"/>
    <n v="9750"/>
  </r>
  <r>
    <s v="144167"/>
    <s v="SK"/>
    <s v="Akhilesh Kumar"/>
    <s v="10/09/2022"/>
    <s v="Processing"/>
    <s v="143 TB HDD"/>
    <s v="HDD"/>
    <s v="Western Digital"/>
    <n v="10000"/>
    <n v="13000"/>
    <n v="3"/>
    <n v="30000"/>
    <n v="39000"/>
    <s v="Aadil Khan"/>
    <n v="39000"/>
  </r>
  <r>
    <s v="144168"/>
    <s v="TN"/>
    <s v="Suvankar Chakraborty"/>
    <s v="10/09/2022"/>
    <s v="Delivered"/>
    <s v="653 GB M.2"/>
    <s v="SSD"/>
    <s v="Samsung"/>
    <n v="6500"/>
    <n v="8450"/>
    <n v="2"/>
    <n v="13000"/>
    <n v="16900"/>
    <s v="Advika Joshi"/>
    <n v="8450"/>
  </r>
  <r>
    <s v="144169"/>
    <s v="TR"/>
    <s v="Suvankar Adhikary"/>
    <s v="10/09/2022"/>
    <s v="Shipped"/>
    <s v="RYZEN 3rd gen. 3641"/>
    <s v="CPU"/>
    <s v="Intel"/>
    <n v="8500"/>
    <n v="11050"/>
    <n v="3"/>
    <n v="25500"/>
    <n v="33150"/>
    <s v="Ajay Sharma"/>
    <n v="33150"/>
  </r>
  <r>
    <s v="144170"/>
    <s v="UK"/>
    <s v="Rahul Kumar Prajapati"/>
    <s v="10/09/2022"/>
    <s v="Order"/>
    <s v="2GB Graphic Card"/>
    <s v="Graphic Card"/>
    <s v="Nvidia"/>
    <n v="7000"/>
    <n v="9100"/>
    <n v="3"/>
    <n v="21000"/>
    <n v="27300"/>
    <s v="Roshan Kumar"/>
    <n v="18200"/>
  </r>
  <r>
    <s v="144171"/>
    <s v="UP"/>
    <s v="Sagar Jeur"/>
    <s v="10/09/2022"/>
    <s v="Processing"/>
    <s v="157 GB DDR4 RAM"/>
    <s v="RAM"/>
    <s v="Hynix"/>
    <n v="6550"/>
    <n v="8515"/>
    <n v="1"/>
    <n v="6550"/>
    <n v="8515"/>
    <s v="Aarvi Gupta"/>
    <n v="25545"/>
  </r>
  <r>
    <s v="144172"/>
    <s v="WB"/>
    <s v="Rhushikesh Mane"/>
    <s v="11/09/2022"/>
    <s v="Delivered"/>
    <s v="Standard ATX motherboard"/>
    <s v="MotherBoard"/>
    <s v="Gigabyte"/>
    <n v="7650"/>
    <n v="9945"/>
    <n v="4"/>
    <n v="30600"/>
    <n v="39780"/>
    <s v="Vijay Singh"/>
    <n v="39780"/>
  </r>
  <r>
    <s v="144173"/>
    <s v="TN"/>
    <s v="Ashish Kumar"/>
    <s v="12/09/2022"/>
    <s v="Shipped"/>
    <s v="Compact with 1 Fan"/>
    <s v="Cabinet"/>
    <s v="Asus"/>
    <n v="1150"/>
    <n v="1495"/>
    <n v="1"/>
    <n v="1150"/>
    <n v="1495"/>
    <s v="Aadil Khan"/>
    <n v="2990"/>
  </r>
  <r>
    <s v="144174"/>
    <s v="TR"/>
    <s v="Javed Akhter"/>
    <s v="13/09/2022"/>
    <s v="Order"/>
    <s v="USB Backlight Keyboard"/>
    <s v="Keyboard"/>
    <s v="Dell"/>
    <n v="850"/>
    <n v="1105"/>
    <n v="3"/>
    <n v="2550"/>
    <n v="3315"/>
    <s v="Advika Joshi"/>
    <n v="3315"/>
  </r>
  <r>
    <s v="144175"/>
    <s v="MH"/>
    <s v="Haridas Balraj"/>
    <s v="14/09/2022"/>
    <s v="Processing"/>
    <s v="Ergonomic Mouse"/>
    <s v="Mouse"/>
    <s v="Samsung"/>
    <n v="650"/>
    <n v="845"/>
    <n v="1"/>
    <n v="650"/>
    <n v="845"/>
    <s v="Ajay Sharma"/>
    <n v="1690"/>
  </r>
  <r>
    <s v="144176"/>
    <s v="CH"/>
    <s v="Kundan Kumar"/>
    <s v="15/09/2022"/>
    <s v="Delivered"/>
    <s v="15&quot; LCD Dsipaly"/>
    <s v="Monitor"/>
    <s v="Dell"/>
    <n v="7500"/>
    <n v="9750"/>
    <n v="4"/>
    <n v="30000"/>
    <n v="39000"/>
    <s v="Roshan Kumar"/>
    <n v="9750"/>
  </r>
  <r>
    <s v="144177"/>
    <s v="DH"/>
    <s v="Atif Siddiqui"/>
    <s v="16/09/2022"/>
    <s v="Shipped"/>
    <s v="143 TB HDD"/>
    <s v="HDD"/>
    <s v="Seagate"/>
    <n v="10000"/>
    <n v="13000"/>
    <n v="1"/>
    <n v="10000"/>
    <n v="13000"/>
    <s v="Aarvi Gupta"/>
    <n v="39000"/>
  </r>
  <r>
    <s v="144178"/>
    <s v="DD"/>
    <s v="Aditya Agarwal"/>
    <s v="17/09/2022"/>
    <s v="Order"/>
    <s v="142 TB SSD"/>
    <s v="SSD"/>
    <s v="Samsung"/>
    <n v="10500"/>
    <n v="13650"/>
    <n v="4"/>
    <n v="42000"/>
    <n v="54600"/>
    <s v="Vijay Singh"/>
    <n v="8450"/>
  </r>
  <r>
    <s v="144179"/>
    <s v="DL"/>
    <s v="Firdoush Jabee"/>
    <s v="18/09/2022"/>
    <s v="Processing"/>
    <s v="Intel i5 12th gen."/>
    <s v="CPU"/>
    <s v="Intel"/>
    <n v="8500"/>
    <n v="11050"/>
    <n v="3"/>
    <n v="25500"/>
    <n v="33150"/>
    <s v="Aadil Khan"/>
    <n v="33150"/>
  </r>
  <r>
    <s v="144180"/>
    <s v="LD"/>
    <s v="Jay Prakash Kumar"/>
    <s v="19/09/2022"/>
    <s v="Delivered"/>
    <s v="2GB Graphic Card"/>
    <s v="Graphic Card"/>
    <s v="Nvidia"/>
    <n v="7000"/>
    <n v="9100"/>
    <n v="2"/>
    <n v="14000"/>
    <n v="18200"/>
    <s v="Advika Joshi"/>
    <n v="18200"/>
  </r>
  <r>
    <s v="144181"/>
    <s v="PY"/>
    <s v="Ashish Pandey"/>
    <s v="20/09/2022"/>
    <s v="Shipped"/>
    <s v="145 GB DDR4 Ram"/>
    <s v="RAM"/>
    <s v="Hynix"/>
    <n v="1680"/>
    <n v="2184"/>
    <n v="4"/>
    <n v="6720"/>
    <n v="8736"/>
    <s v="Ajay Sharma"/>
    <n v="25545"/>
  </r>
  <r>
    <s v="144182"/>
    <s v="AP"/>
    <s v="Ajay Sharma"/>
    <s v="21/09/2022"/>
    <s v="Order"/>
    <s v="Micro ATX motherboard"/>
    <s v="MotherBoard"/>
    <s v="MSI"/>
    <n v="6540"/>
    <n v="8502"/>
    <n v="1"/>
    <n v="6540"/>
    <n v="8502"/>
    <s v="Roshan Kumar"/>
    <n v="39780"/>
  </r>
  <r>
    <s v="144183"/>
    <s v="AR"/>
    <s v="Moinuddin Saifi"/>
    <s v="22/09/2022"/>
    <s v="Processing"/>
    <s v="Gaming Box Cabinet"/>
    <s v="Cabinet"/>
    <s v="Asus"/>
    <n v="2680"/>
    <n v="3484"/>
    <n v="2"/>
    <n v="5360"/>
    <n v="6968"/>
    <s v="Aarvi Gupta"/>
    <n v="2990"/>
  </r>
  <r>
    <s v="144184"/>
    <s v="AS"/>
    <s v="Ramkrishna Das Adhikary"/>
    <s v="23/09/2022"/>
    <s v="Delivered"/>
    <s v="17&quot; LCD Display"/>
    <s v="Monitor"/>
    <s v="Samsung"/>
    <n v="8250"/>
    <n v="10725"/>
    <n v="4"/>
    <n v="33000"/>
    <n v="42900"/>
    <s v="Vijay Singh"/>
    <n v="9750"/>
  </r>
  <r>
    <s v="144185"/>
    <s v="BR"/>
    <s v="Ranjeet Mandal"/>
    <s v="24/09/2022"/>
    <s v="Shipped"/>
    <s v="149 GB DDR4 RAM"/>
    <s v="RAM"/>
    <s v="Samsung"/>
    <n v="2650"/>
    <n v="3445"/>
    <n v="1"/>
    <n v="2650"/>
    <n v="3445"/>
    <s v="Aadil Khan"/>
    <n v="25545"/>
  </r>
  <r>
    <s v="144186"/>
    <s v="CG"/>
    <s v="Ashwini Adsare"/>
    <s v="25/09/2022"/>
    <s v="Order"/>
    <s v="26&quot; LCD Display"/>
    <s v="Monitor"/>
    <s v="Acer"/>
    <n v="12550"/>
    <n v="16315"/>
    <n v="4"/>
    <n v="50200"/>
    <n v="65260"/>
    <s v="Advika Joshi"/>
    <n v="9750"/>
  </r>
  <r>
    <s v="144187"/>
    <s v="GA"/>
    <s v="Rajesh Variya"/>
    <s v="26/09/2022"/>
    <s v="Processing"/>
    <s v="I7 - intel 12th Generation"/>
    <s v="CPU"/>
    <s v="Intel"/>
    <n v="14500"/>
    <n v="18850"/>
    <n v="2"/>
    <n v="29000"/>
    <n v="37700"/>
    <s v="Ajay Sharma"/>
    <n v="33150"/>
  </r>
  <r>
    <s v="144188"/>
    <s v="GJ"/>
    <s v="Amit Singh"/>
    <s v="27/09/2022"/>
    <s v="Delivered"/>
    <s v="USB Keyboard"/>
    <s v="Keyboard"/>
    <s v="Dell"/>
    <n v="800"/>
    <n v="1040"/>
    <n v="2"/>
    <n v="1600"/>
    <n v="2080"/>
    <s v="Roshan Kumar"/>
    <n v="3315"/>
  </r>
  <r>
    <s v="144189"/>
    <s v="HR"/>
    <s v="Vinod Mehta"/>
    <s v="28/09/2022"/>
    <s v="Shipped"/>
    <s v="Wireless Mouse"/>
    <s v="Mouse"/>
    <s v="Samsung"/>
    <n v="600"/>
    <n v="780"/>
    <n v="3"/>
    <n v="1800"/>
    <n v="2340"/>
    <s v="Aarvi Gupta"/>
    <n v="1690"/>
  </r>
  <r>
    <s v="144190"/>
    <s v="HP"/>
    <s v="Jignesh Mhatre"/>
    <s v="29/09/2022"/>
    <s v="Order"/>
    <s v="21&quot; LCD Display"/>
    <s v="Monitor"/>
    <s v="Dell"/>
    <n v="10500"/>
    <n v="13650"/>
    <n v="4"/>
    <n v="42000"/>
    <n v="54600"/>
    <s v="Vijay Singh"/>
    <n v="9750"/>
  </r>
  <r>
    <s v="144191"/>
    <s v="JK"/>
    <s v="Rahul Kashyap"/>
    <s v="30/09/2022"/>
    <s v="Processing"/>
    <s v="143 TB HDD"/>
    <s v="HDD"/>
    <s v="Western Digital"/>
    <n v="6500"/>
    <n v="8450"/>
    <n v="2"/>
    <n v="13000"/>
    <n v="16900"/>
    <s v="Aadil Khan"/>
    <n v="39000"/>
  </r>
  <r>
    <s v="144192"/>
    <s v="JH"/>
    <s v="Mohammed Abdul Kaleem"/>
    <s v="01/10/2022"/>
    <s v="Delivered"/>
    <s v="398 GB SSD"/>
    <s v="SSD"/>
    <s v="Samsung"/>
    <n v="4500"/>
    <n v="5850"/>
    <n v="2"/>
    <n v="9000"/>
    <n v="11700"/>
    <s v="Advika Joshi"/>
    <n v="8450"/>
  </r>
  <r>
    <s v="144193"/>
    <s v="KA"/>
    <s v="Chandrakant Kasbe"/>
    <s v="02/10/2022"/>
    <s v="Shipped"/>
    <s v="Intel i3 11th gen."/>
    <s v="CPU"/>
    <s v="Intel"/>
    <n v="8500"/>
    <n v="11050"/>
    <n v="1"/>
    <n v="8500"/>
    <n v="11050"/>
    <s v="Ajay Sharma"/>
    <n v="33150"/>
  </r>
  <r>
    <s v="144194"/>
    <s v="KL"/>
    <s v="Rohan Kale"/>
    <s v="03/10/2022"/>
    <s v="Order"/>
    <s v="4GB Graphic card"/>
    <s v="Graphic Card"/>
    <s v="Nvidia"/>
    <n v="12500"/>
    <n v="16250"/>
    <n v="4"/>
    <n v="50000"/>
    <n v="65000"/>
    <s v="Roshan Kumar"/>
    <n v="18200"/>
  </r>
  <r>
    <s v="144195"/>
    <s v="MP"/>
    <s v="Aniruddha Kekapure"/>
    <s v="04/10/2022"/>
    <s v="Processing"/>
    <s v="150 GB DDR4 RAM"/>
    <s v="Computer Case"/>
    <s v="Hynix"/>
    <n v="3500"/>
    <n v="4550"/>
    <n v="4"/>
    <n v="14000"/>
    <n v="18200"/>
    <s v="Aarvi Gupta"/>
    <n v="13650"/>
  </r>
  <r>
    <s v="144196"/>
    <s v="MH"/>
    <s v="Aslam Raza"/>
    <s v="05/10/2022"/>
    <s v="Delivered"/>
    <s v="BTX motherboard"/>
    <s v="Mouse"/>
    <s v="Gigabyte"/>
    <n v="4500"/>
    <n v="5850"/>
    <n v="3"/>
    <n v="13500"/>
    <n v="17550"/>
    <s v="Vijay Singh"/>
    <n v="1690"/>
  </r>
  <r>
    <s v="144197"/>
    <s v="MN"/>
    <s v="Roshan Zameer"/>
    <s v="06/10/2022"/>
    <s v="Shipped"/>
    <s v="145 Fans Cabinet"/>
    <s v="Cabinet"/>
    <s v="Asus"/>
    <n v="2100"/>
    <n v="2730"/>
    <n v="4"/>
    <n v="8400"/>
    <n v="10920"/>
    <s v="Aadil Khan"/>
    <n v="2990"/>
  </r>
  <r>
    <s v="144198"/>
    <s v="ML"/>
    <s v="Rakesh Kumar Sharma"/>
    <s v="07/10/2022"/>
    <s v="Order"/>
    <s v="Wireless Keyboard"/>
    <s v="Keyboard"/>
    <s v="Dell"/>
    <n v="1150"/>
    <n v="1495"/>
    <n v="2"/>
    <n v="2300"/>
    <n v="2990"/>
    <s v="Advika Joshi"/>
    <n v="3315"/>
  </r>
  <r>
    <s v="144199"/>
    <s v="MZ"/>
    <s v="Shivanand Sahani"/>
    <s v="08/10/2022"/>
    <s v="Processing"/>
    <s v="USB Mouse"/>
    <s v="Mouse"/>
    <s v="Samsung"/>
    <n v="350"/>
    <n v="455"/>
    <n v="4"/>
    <n v="1400"/>
    <n v="1820"/>
    <s v="Ajay Sharma"/>
    <n v="1690"/>
  </r>
  <r>
    <s v="144200"/>
    <s v="NL"/>
    <s v="Kunal Patra"/>
    <s v="09/10/2022"/>
    <s v="Delivered"/>
    <s v="19&quot; LED Display"/>
    <s v="Monitor"/>
    <s v="Dell"/>
    <n v="9500"/>
    <n v="12350"/>
    <n v="2"/>
    <n v="19000"/>
    <n v="24700"/>
    <s v="Roshan Kumar"/>
    <n v="9750"/>
  </r>
  <r>
    <s v="144201"/>
    <s v="OR"/>
    <s v="Bijendra"/>
    <s v="10/10/2022"/>
    <s v="Shipped"/>
    <s v="144 TB HDD"/>
    <s v="HDD"/>
    <s v="Western Digital"/>
    <n v="10000"/>
    <n v="13000"/>
    <n v="1"/>
    <n v="10000"/>
    <n v="13000"/>
    <s v="Aarvi Gupta"/>
    <n v="39000"/>
  </r>
  <r>
    <s v="144202"/>
    <s v="PB"/>
    <s v="Kranti Bheke"/>
    <s v="11/10/2022"/>
    <s v="Order"/>
    <s v="654 GB M.2"/>
    <s v="SSD"/>
    <s v="Samsung"/>
    <n v="6500"/>
    <n v="8450"/>
    <n v="1"/>
    <n v="6500"/>
    <n v="8450"/>
    <s v="Vijay Singh"/>
    <n v="8450"/>
  </r>
  <r>
    <s v="144203"/>
    <s v="RJ"/>
    <s v="Jagdeep"/>
    <s v="12/10/2022"/>
    <s v="Processing"/>
    <s v="RYZEN 3rd gen. 3642"/>
    <s v="CPU"/>
    <s v="Intel"/>
    <n v="8500"/>
    <n v="11050"/>
    <n v="1"/>
    <n v="8500"/>
    <n v="11050"/>
    <s v="Aadil Khan"/>
    <n v="33150"/>
  </r>
  <r>
    <s v="144204"/>
    <s v="SK"/>
    <s v="Adhir Samal"/>
    <s v="13/10/2022"/>
    <s v="Delivered"/>
    <s v="2GB Graphic Card"/>
    <s v="Graphic Card"/>
    <s v="Nvidia"/>
    <n v="7000"/>
    <n v="9100"/>
    <n v="3"/>
    <n v="21000"/>
    <n v="27300"/>
    <s v="Advika Joshi"/>
    <n v="18200"/>
  </r>
  <r>
    <s v="144205"/>
    <s v="TN"/>
    <s v="Dannana Jhammi"/>
    <s v="14/10/2022"/>
    <s v="Shipped"/>
    <s v="158 GB DDR4 RAM"/>
    <s v="Computer Case"/>
    <s v="Hynix"/>
    <n v="6550"/>
    <n v="8515"/>
    <n v="1"/>
    <n v="6550"/>
    <n v="8515"/>
    <s v="Ajay Sharma"/>
    <n v="13650"/>
  </r>
  <r>
    <s v="144206"/>
    <s v="TR"/>
    <s v="Vipin Kumar"/>
    <s v="15/10/2022"/>
    <s v="Order"/>
    <s v="Standard ATX motherboard"/>
    <s v="Mouse"/>
    <s v="Gigabyte"/>
    <n v="7650"/>
    <n v="9945"/>
    <n v="1"/>
    <n v="7650"/>
    <n v="9945"/>
    <s v="Roshan Kumar"/>
    <n v="1690"/>
  </r>
  <r>
    <s v="144207"/>
    <s v="UK"/>
    <s v="Ranjeet Kumar"/>
    <s v="16/10/2022"/>
    <s v="Processing"/>
    <s v="Compact with 1 Fan"/>
    <s v="Cabinet"/>
    <s v="Asus"/>
    <n v="1150"/>
    <n v="1495"/>
    <n v="2"/>
    <n v="2300"/>
    <n v="2990"/>
    <s v="Aarvi Gupta"/>
    <n v="2990"/>
  </r>
  <r>
    <s v="144208"/>
    <s v="UP"/>
    <s v="Sajal Singhal"/>
    <s v="17/10/2022"/>
    <s v="Delivered"/>
    <s v="USB Backlight Keyboard"/>
    <s v="Keyboard"/>
    <s v="Dell"/>
    <n v="850"/>
    <n v="1105"/>
    <n v="1"/>
    <n v="850"/>
    <n v="1105"/>
    <s v="Vijay Singh"/>
    <n v="3315"/>
  </r>
  <r>
    <s v="144209"/>
    <s v="WB"/>
    <s v="Akhilesh Kumar"/>
    <s v="18/10/2022"/>
    <s v="Shipped"/>
    <s v="Ergonomic Mouse"/>
    <s v="Mouse"/>
    <s v="Samsung"/>
    <n v="650"/>
    <n v="845"/>
    <n v="3"/>
    <n v="1950"/>
    <n v="2535"/>
    <s v="Aadil Khan"/>
    <n v="1690"/>
  </r>
  <r>
    <s v="144210"/>
    <s v="TN"/>
    <s v="Suvankar Chakraborty"/>
    <s v="19/10/2022"/>
    <s v="Order"/>
    <s v="15&quot; LCD Dsipaly"/>
    <s v="Monitor"/>
    <s v="Dell"/>
    <n v="7500"/>
    <n v="9750"/>
    <n v="4"/>
    <n v="30000"/>
    <n v="39000"/>
    <s v="Advika Joshi"/>
    <n v="9750"/>
  </r>
  <r>
    <s v="144211"/>
    <s v="TR"/>
    <s v="Suvankar Adhikary"/>
    <s v="20/10/2022"/>
    <s v="Processing"/>
    <s v="144 TB HDD"/>
    <s v="HDD"/>
    <s v="Seagate"/>
    <n v="10000"/>
    <n v="13000"/>
    <n v="4"/>
    <n v="40000"/>
    <n v="52000"/>
    <s v="Ajay Sharma"/>
    <n v="39000"/>
  </r>
  <r>
    <s v="144212"/>
    <s v="MH"/>
    <s v="Rahul Kumar Prajapati"/>
    <s v="21/10/2022"/>
    <s v="Delivered"/>
    <s v="143 TB SSD"/>
    <s v="SSD"/>
    <s v="Samsung"/>
    <n v="10500"/>
    <n v="13650"/>
    <n v="4"/>
    <n v="42000"/>
    <n v="54600"/>
    <s v="Roshan Kumar"/>
    <n v="8450"/>
  </r>
  <r>
    <s v="144213"/>
    <s v="CH"/>
    <s v="Sagar Jeur"/>
    <s v="22/10/2022"/>
    <s v="Shipped"/>
    <s v="Intel i5 12th gen."/>
    <s v="CPU"/>
    <s v="Intel"/>
    <n v="8500"/>
    <n v="11050"/>
    <n v="2"/>
    <n v="17000"/>
    <n v="22100"/>
    <s v="Aarvi Gupta"/>
    <n v="33150"/>
  </r>
  <r>
    <s v="144214"/>
    <s v="DH"/>
    <s v="Rhushikesh Mane"/>
    <s v="23/10/2022"/>
    <s v="Order"/>
    <s v="2GB Graphic Card"/>
    <s v="Graphic Card"/>
    <s v="Nvidia"/>
    <n v="7000"/>
    <n v="9100"/>
    <n v="3"/>
    <n v="21000"/>
    <n v="27300"/>
    <s v="Vijay Singh"/>
    <n v="18200"/>
  </r>
  <r>
    <s v="144215"/>
    <s v="DD"/>
    <s v="Ashish Kumar"/>
    <s v="24/10/2022"/>
    <s v="Processing"/>
    <s v="146 GB DDR4 Ram"/>
    <s v="Computer Case"/>
    <s v="Hynix"/>
    <n v="1680"/>
    <n v="2184"/>
    <n v="3"/>
    <n v="5040"/>
    <n v="6552"/>
    <s v="Aadil Khan"/>
    <n v="13650"/>
  </r>
  <r>
    <s v="144216"/>
    <s v="DL"/>
    <s v="Javed Akhter"/>
    <s v="25/10/2022"/>
    <s v="Delivered"/>
    <s v="Micro ATX motherboard"/>
    <s v="Mouse"/>
    <s v="MSI"/>
    <n v="6540"/>
    <n v="8502"/>
    <n v="3"/>
    <n v="19620"/>
    <n v="25506"/>
    <s v="Advika Joshi"/>
    <n v="1690"/>
  </r>
  <r>
    <s v="144217"/>
    <s v="LD"/>
    <s v="Haridas Balraj"/>
    <s v="25/10/2022"/>
    <s v="Shipped"/>
    <s v="Gaming Box Cabinet"/>
    <s v="Cabinet"/>
    <s v="Asus"/>
    <n v="2680"/>
    <n v="3484"/>
    <n v="3"/>
    <n v="8040"/>
    <n v="10452"/>
    <s v="Ajay Sharma"/>
    <n v="2990"/>
  </r>
  <r>
    <s v="144218"/>
    <s v="PY"/>
    <s v="Kundan Kumar"/>
    <s v="25/10/2022"/>
    <s v="Order"/>
    <s v="17&quot; LCD Display"/>
    <s v="Monitor"/>
    <s v="Samsung"/>
    <n v="8250"/>
    <n v="10725"/>
    <n v="2"/>
    <n v="16500"/>
    <n v="21450"/>
    <s v="Roshan Kumar"/>
    <n v="9750"/>
  </r>
  <r>
    <s v="144219"/>
    <s v="AP"/>
    <s v="Atif Siddiqui"/>
    <s v="25/10/2022"/>
    <s v="Processing"/>
    <s v="150 GB DDR4 RAM"/>
    <s v="RAM"/>
    <s v="Samsung"/>
    <n v="2650"/>
    <n v="3445"/>
    <n v="2"/>
    <n v="5300"/>
    <n v="6890"/>
    <s v="Aarvi Gupta"/>
    <n v="25545"/>
  </r>
  <r>
    <s v="144220"/>
    <s v="AR"/>
    <s v="Aditya Agarwal"/>
    <s v="25/10/2022"/>
    <s v="Delivered"/>
    <s v="26&quot; LCD Display"/>
    <s v="Monitor"/>
    <s v="Acer"/>
    <n v="12550"/>
    <n v="16315"/>
    <n v="4"/>
    <n v="50200"/>
    <n v="65260"/>
    <s v="Vijay Singh"/>
    <n v="9750"/>
  </r>
  <r>
    <s v="144221"/>
    <s v="AS"/>
    <s v="Firdoush Jabee"/>
    <s v="25/10/2022"/>
    <s v="Shipped"/>
    <s v="I7 - intel 12th Generation"/>
    <s v="CPU"/>
    <s v="Intel"/>
    <n v="14500"/>
    <n v="18850"/>
    <n v="1"/>
    <n v="14500"/>
    <n v="18850"/>
    <s v="Aadil Khan"/>
    <n v="33150"/>
  </r>
  <r>
    <s v="144222"/>
    <s v="BR"/>
    <s v="Jay Prakash Kumar"/>
    <s v="25/10/2022"/>
    <s v="Order"/>
    <s v="USB Keyboard"/>
    <s v="Keyboard"/>
    <s v="Dell"/>
    <n v="800"/>
    <n v="1040"/>
    <n v="3"/>
    <n v="2400"/>
    <n v="3120"/>
    <s v="Advika Joshi"/>
    <n v="3315"/>
  </r>
  <r>
    <s v="144223"/>
    <s v="CG"/>
    <s v="Ashish Pandey"/>
    <s v="25/10/2022"/>
    <s v="Processing"/>
    <s v="Wireless Mouse"/>
    <s v="Mouse"/>
    <s v="Samsung"/>
    <n v="600"/>
    <n v="780"/>
    <n v="4"/>
    <n v="2400"/>
    <n v="3120"/>
    <s v="Ajay Sharma"/>
    <n v="1690"/>
  </r>
  <r>
    <s v="144224"/>
    <s v="GA"/>
    <s v="Ajay Sharma"/>
    <s v="26/10/2022"/>
    <s v="Delivered"/>
    <s v="21&quot; LCD Display"/>
    <s v="Monitor"/>
    <s v="Dell"/>
    <n v="10500"/>
    <n v="13650"/>
    <n v="1"/>
    <n v="10500"/>
    <n v="13650"/>
    <s v="Roshan Kumar"/>
    <n v="9750"/>
  </r>
  <r>
    <s v="144225"/>
    <s v="GJ"/>
    <s v="Moinuddin Saifi"/>
    <s v="27/10/2022"/>
    <s v="Shipped"/>
    <s v="144 TB HDD"/>
    <s v="HDD"/>
    <s v="Western Digital"/>
    <n v="6500"/>
    <n v="8450"/>
    <n v="2"/>
    <n v="13000"/>
    <n v="16900"/>
    <s v="Aarvi Gupta"/>
    <n v="39000"/>
  </r>
  <r>
    <s v="144226"/>
    <s v="HR"/>
    <s v="Ramkrishna Das Adhikary"/>
    <s v="28/10/2022"/>
    <s v="Order"/>
    <s v="399 GB SSD"/>
    <s v="SSD"/>
    <s v="Samsung"/>
    <n v="4500"/>
    <n v="5850"/>
    <n v="3"/>
    <n v="13500"/>
    <n v="17550"/>
    <s v="Vijay Singh"/>
    <n v="8450"/>
  </r>
  <r>
    <s v="144227"/>
    <s v="HP"/>
    <s v="Ranjeet Mandal"/>
    <s v="29/10/2022"/>
    <s v="Processing"/>
    <s v="Intel i3 11th gen."/>
    <s v="CPU"/>
    <s v="Intel"/>
    <n v="8500"/>
    <n v="11050"/>
    <n v="3"/>
    <n v="25500"/>
    <n v="33150"/>
    <s v="Aadil Khan"/>
    <n v="33150"/>
  </r>
  <r>
    <s v="144228"/>
    <s v="JK"/>
    <s v="Ashwini Adsare"/>
    <s v="30/10/2022"/>
    <s v="Delivered"/>
    <s v="4GB Graphic card"/>
    <s v="Graphic Card"/>
    <s v="Nvidia"/>
    <n v="12500"/>
    <n v="16250"/>
    <n v="3"/>
    <n v="37500"/>
    <n v="48750"/>
    <s v="Advika Joshi"/>
    <n v="18200"/>
  </r>
  <r>
    <s v="144229"/>
    <s v="JH"/>
    <s v="Rajesh Variya"/>
    <s v="31/10/2022"/>
    <s v="Shipped"/>
    <s v="151 GB DDR4 RAM"/>
    <s v="NIC"/>
    <s v="Hynix"/>
    <n v="3500"/>
    <n v="4550"/>
    <n v="3"/>
    <n v="10500"/>
    <n v="13650"/>
    <s v="Ajay Sharma"/>
    <n v="9100"/>
  </r>
  <r>
    <s v="144230"/>
    <s v="KA"/>
    <s v="Amit Singh"/>
    <s v="01/11/2022"/>
    <s v="Order"/>
    <s v="BTX motherboard"/>
    <s v="Printer"/>
    <s v="Gigabyte"/>
    <n v="4500"/>
    <n v="5850"/>
    <n v="2"/>
    <n v="9000"/>
    <n v="11700"/>
    <s v="Roshan Kumar"/>
    <n v="11700"/>
  </r>
  <r>
    <s v="144231"/>
    <s v="KL"/>
    <s v="Vinod Mehta"/>
    <s v="02/11/2022"/>
    <s v="Processing"/>
    <s v="146 Fans Cabinet"/>
    <s v="Cabinet"/>
    <s v="Asus"/>
    <n v="2100"/>
    <n v="2730"/>
    <n v="4"/>
    <n v="8400"/>
    <n v="10920"/>
    <s v="Aarvi Gupta"/>
    <n v="2990"/>
  </r>
  <r>
    <s v="144232"/>
    <s v="MP"/>
    <s v="Jignesh Mhatre"/>
    <s v="03/11/2022"/>
    <s v="Delivered"/>
    <s v="Wireless Keyboard"/>
    <s v="Keyboard"/>
    <s v="Dell"/>
    <n v="1150"/>
    <n v="1495"/>
    <n v="3"/>
    <n v="3450"/>
    <n v="4485"/>
    <s v="Vijay Singh"/>
    <n v="3315"/>
  </r>
  <r>
    <s v="144233"/>
    <s v="MH"/>
    <s v="Rahul Kashyap"/>
    <s v="04/11/2022"/>
    <s v="Shipped"/>
    <s v="USB Mouse"/>
    <s v="Mouse"/>
    <s v="Samsung"/>
    <n v="350"/>
    <n v="455"/>
    <n v="3"/>
    <n v="1050"/>
    <n v="1365"/>
    <s v="Aadil Khan"/>
    <n v="1690"/>
  </r>
  <r>
    <s v="144234"/>
    <s v="MN"/>
    <s v="Mohammed Abdul Kaleem"/>
    <s v="05/11/2022"/>
    <s v="Order"/>
    <s v="19&quot; LED Display"/>
    <s v="Monitor"/>
    <s v="Dell"/>
    <n v="9500"/>
    <n v="12350"/>
    <n v="2"/>
    <n v="19000"/>
    <n v="24700"/>
    <s v="Advika Joshi"/>
    <n v="9750"/>
  </r>
  <r>
    <s v="144235"/>
    <s v="ML"/>
    <s v="Chandrakant Kasbe"/>
    <s v="05/11/2022"/>
    <s v="Processing"/>
    <s v="145 TB HDD"/>
    <s v="HDD"/>
    <s v="Western Digital"/>
    <n v="10000"/>
    <n v="13000"/>
    <n v="2"/>
    <n v="20000"/>
    <n v="26000"/>
    <s v="Ajay Sharma"/>
    <n v="39000"/>
  </r>
  <r>
    <s v="144236"/>
    <s v="MZ"/>
    <s v="Rohan Kale"/>
    <s v="05/11/2022"/>
    <s v="Delivered"/>
    <s v="655 GB M.2"/>
    <s v="SSD"/>
    <s v="Samsung"/>
    <n v="6500"/>
    <n v="8450"/>
    <n v="2"/>
    <n v="13000"/>
    <n v="16900"/>
    <s v="Roshan Kumar"/>
    <n v="8450"/>
  </r>
  <r>
    <s v="144237"/>
    <s v="NL"/>
    <s v="Aniruddha Kekapure"/>
    <s v="05/11/2022"/>
    <s v="Shipped"/>
    <s v="RYZEN 3rd gen. 3643"/>
    <s v="CPU"/>
    <s v="Intel"/>
    <n v="8500"/>
    <n v="11050"/>
    <n v="4"/>
    <n v="34000"/>
    <n v="44200"/>
    <s v="Aarvi Gupta"/>
    <n v="33150"/>
  </r>
  <r>
    <s v="144238"/>
    <s v="OR"/>
    <s v="Aslam Raza"/>
    <s v="05/11/2022"/>
    <s v="Order"/>
    <s v="2GB Graphic Card"/>
    <s v="Graphic Card"/>
    <s v="Nvidia"/>
    <n v="7000"/>
    <n v="9100"/>
    <n v="4"/>
    <n v="28000"/>
    <n v="36400"/>
    <s v="Vijay Singh"/>
    <n v="18200"/>
  </r>
  <r>
    <s v="144239"/>
    <s v="PB"/>
    <s v="Roshan Zameer"/>
    <s v="05/11/2022"/>
    <s v="Processing"/>
    <s v="159 GB DDR4 RAM"/>
    <s v="NIC"/>
    <s v="Hynix"/>
    <n v="6550"/>
    <n v="8515"/>
    <n v="3"/>
    <n v="19650"/>
    <n v="25545"/>
    <s v="Aadil Khan"/>
    <n v="9100"/>
  </r>
  <r>
    <s v="144240"/>
    <s v="RJ"/>
    <s v="Rakesh Kumar Sharma"/>
    <s v="05/11/2022"/>
    <s v="Delivered"/>
    <s v="Standard ATX motherboard"/>
    <s v="Printer"/>
    <s v="Gigabyte"/>
    <n v="7650"/>
    <n v="9945"/>
    <n v="1"/>
    <n v="7650"/>
    <n v="9945"/>
    <s v="Advika Joshi"/>
    <n v="11700"/>
  </r>
  <r>
    <s v="144241"/>
    <s v="SK"/>
    <s v="Shivanand Sahani"/>
    <s v="05/11/2022"/>
    <s v="Shipped"/>
    <s v="Compact with 1 Fan"/>
    <s v="Cabinet"/>
    <s v="Asus"/>
    <n v="1150"/>
    <n v="1495"/>
    <n v="3"/>
    <n v="3450"/>
    <n v="4485"/>
    <s v="Ajay Sharma"/>
    <n v="2990"/>
  </r>
  <r>
    <s v="144242"/>
    <s v="TN"/>
    <s v="Kunal Patra"/>
    <s v="05/11/2022"/>
    <s v="Order"/>
    <s v="USB Backlight Keyboard"/>
    <s v="Keyboard"/>
    <s v="Dell"/>
    <n v="850"/>
    <n v="1105"/>
    <n v="3"/>
    <n v="2550"/>
    <n v="3315"/>
    <s v="Roshan Kumar"/>
    <n v="3315"/>
  </r>
  <r>
    <s v="144243"/>
    <s v="TR"/>
    <s v="Bijendra"/>
    <s v="05/11/2022"/>
    <s v="Processing"/>
    <s v="Ergonomic Mouse"/>
    <s v="Mouse"/>
    <s v="Samsung"/>
    <n v="650"/>
    <n v="845"/>
    <n v="3"/>
    <n v="1950"/>
    <n v="2535"/>
    <s v="Aarvi Gupta"/>
    <n v="1690"/>
  </r>
  <r>
    <s v="144244"/>
    <s v="UK"/>
    <s v="Kranti Bheke"/>
    <s v="05/11/2022"/>
    <s v="Delivered"/>
    <s v="15&quot; LCD Dsipaly"/>
    <s v="Monitor"/>
    <s v="Dell"/>
    <n v="7500"/>
    <n v="9750"/>
    <n v="1"/>
    <n v="7500"/>
    <n v="9750"/>
    <s v="Vijay Singh"/>
    <n v="9750"/>
  </r>
  <r>
    <s v="144245"/>
    <s v="UP"/>
    <s v="Jagdeep"/>
    <s v="05/11/2022"/>
    <s v="Shipped"/>
    <s v="145 TB HDD"/>
    <s v="HDD"/>
    <s v="Seagate"/>
    <n v="10000"/>
    <n v="13000"/>
    <n v="2"/>
    <n v="20000"/>
    <n v="26000"/>
    <s v="Aadil Khan"/>
    <n v="39000"/>
  </r>
  <r>
    <s v="144246"/>
    <s v="WB"/>
    <s v="Adhir Samal"/>
    <s v="05/11/2022"/>
    <s v="Order"/>
    <s v="144 TB SSD"/>
    <s v="SSD"/>
    <s v="Samsung"/>
    <n v="10500"/>
    <n v="13650"/>
    <n v="2"/>
    <n v="21000"/>
    <n v="27300"/>
    <s v="Advika Joshi"/>
    <n v="8450"/>
  </r>
  <r>
    <s v="144247"/>
    <s v="TN"/>
    <s v="Dannana Jhammi"/>
    <s v="05/11/2022"/>
    <s v="Processing"/>
    <s v="Intel i5 12th gen."/>
    <s v="CPU"/>
    <s v="Intel"/>
    <n v="8500"/>
    <n v="11050"/>
    <n v="2"/>
    <n v="17000"/>
    <n v="22100"/>
    <s v="Ajay Sharma"/>
    <n v="33150"/>
  </r>
  <r>
    <s v="144248"/>
    <s v="TR"/>
    <s v="Vipin Kumar"/>
    <s v="05/11/2022"/>
    <s v="Delivered"/>
    <s v="2GB Graphic Card"/>
    <s v="Graphic Card"/>
    <s v="Nvidia"/>
    <n v="7000"/>
    <n v="9100"/>
    <n v="4"/>
    <n v="28000"/>
    <n v="36400"/>
    <s v="Ajay Sharma"/>
    <n v="18200"/>
  </r>
  <r>
    <s v="144249"/>
    <s v="MH"/>
    <s v="Ranjeet Kumar"/>
    <s v="05/11/2022"/>
    <s v="Shipped"/>
    <s v="147 GB DDR4 Ram"/>
    <s v="NIC"/>
    <s v="Hynix"/>
    <n v="1680"/>
    <n v="2184"/>
    <n v="4"/>
    <n v="6720"/>
    <n v="8736"/>
    <s v="Roshan Kumar"/>
    <n v="9100"/>
  </r>
  <r>
    <s v="144250"/>
    <s v="CH"/>
    <s v="Sajal Singhal"/>
    <s v="05/11/2022"/>
    <s v="Order"/>
    <s v="Micro ATX motherboard"/>
    <s v="Printer"/>
    <s v="MSI"/>
    <n v="6540"/>
    <n v="8502"/>
    <n v="3"/>
    <n v="19620"/>
    <n v="25506"/>
    <s v="Aarvi Gupta"/>
    <n v="11700"/>
  </r>
  <r>
    <s v="144251"/>
    <s v="DH"/>
    <s v="Akhilesh Kumar"/>
    <s v="05/11/2022"/>
    <s v="Processing"/>
    <s v="Gaming Box Cabinet"/>
    <s v="Cabinet"/>
    <s v="Asus"/>
    <n v="2680"/>
    <n v="3484"/>
    <n v="1"/>
    <n v="2680"/>
    <n v="3484"/>
    <s v="Vijay Singh"/>
    <n v="2990"/>
  </r>
  <r>
    <s v="144252"/>
    <s v="DD"/>
    <s v="Suvankar Chakraborty"/>
    <s v="05/11/2022"/>
    <s v="Delivered"/>
    <s v="17&quot; LCD Display"/>
    <s v="Monitor"/>
    <s v="Samsung"/>
    <n v="8250"/>
    <n v="10725"/>
    <n v="1"/>
    <n v="8250"/>
    <n v="10725"/>
    <s v="Aadil Khan"/>
    <n v="9750"/>
  </r>
  <r>
    <s v="144253"/>
    <s v="DL"/>
    <s v="Suvankar Adhikary"/>
    <s v="05/11/2022"/>
    <s v="Shipped"/>
    <s v="151 GB DDR4 RAM"/>
    <s v="RAM"/>
    <s v="Samsung"/>
    <n v="2650"/>
    <n v="3445"/>
    <n v="2"/>
    <n v="5300"/>
    <n v="6890"/>
    <s v="Advika Joshi"/>
    <n v="25545"/>
  </r>
  <r>
    <s v="144254"/>
    <s v="LD"/>
    <s v="Rahul Kumar Prajapati"/>
    <s v="05/11/2022"/>
    <s v="Order"/>
    <s v="26&quot; LCD Display"/>
    <s v="Monitor"/>
    <s v="Acer"/>
    <n v="12550"/>
    <n v="16315"/>
    <n v="3"/>
    <n v="37650"/>
    <n v="48945"/>
    <s v="Ajay Sharma"/>
    <n v="9750"/>
  </r>
  <r>
    <s v="144255"/>
    <s v="PY"/>
    <s v="Sagar Jeur"/>
    <s v="05/11/2022"/>
    <s v="Processing"/>
    <s v="I7 - intel 12th Generation"/>
    <s v="CPU"/>
    <s v="Intel"/>
    <n v="14500"/>
    <n v="18850"/>
    <n v="3"/>
    <n v="43500"/>
    <n v="56550"/>
    <s v="Roshan Kumar"/>
    <n v="33150"/>
  </r>
  <r>
    <s v="144256"/>
    <s v="AP"/>
    <s v="Rhushikesh Mane"/>
    <s v="05/11/2022"/>
    <s v="Delivered"/>
    <s v="USB Keyboard"/>
    <s v="Keyboard"/>
    <s v="Dell"/>
    <n v="800"/>
    <n v="1040"/>
    <n v="4"/>
    <n v="3200"/>
    <n v="4160"/>
    <s v="Aarvi Gupta"/>
    <n v="3315"/>
  </r>
  <r>
    <s v="144257"/>
    <s v="AR"/>
    <s v="Ashish Kumar"/>
    <s v="05/11/2022"/>
    <s v="Shipped"/>
    <s v="Wireless Mouse"/>
    <s v="Mouse"/>
    <s v="Samsung"/>
    <n v="600"/>
    <n v="780"/>
    <n v="2"/>
    <n v="1200"/>
    <n v="1560"/>
    <s v="Vijay Singh"/>
    <n v="1690"/>
  </r>
  <r>
    <s v="144258"/>
    <s v="AS"/>
    <s v="Javed Akhter"/>
    <s v="05/11/2022"/>
    <s v="Order"/>
    <s v="21&quot; LCD Display"/>
    <s v="Monitor"/>
    <s v="Dell"/>
    <n v="10500"/>
    <n v="13650"/>
    <n v="2"/>
    <n v="21000"/>
    <n v="27300"/>
    <s v="Aadil Khan"/>
    <n v="9750"/>
  </r>
  <r>
    <s v="144259"/>
    <s v="BR"/>
    <s v="Haridas Balraj"/>
    <s v="05/11/2022"/>
    <s v="Processing"/>
    <s v="145 TB HDD"/>
    <s v="HDD"/>
    <s v="Western Digital"/>
    <n v="6500"/>
    <n v="8450"/>
    <n v="2"/>
    <n v="13000"/>
    <n v="16900"/>
    <s v="Advika Joshi"/>
    <n v="39000"/>
  </r>
  <r>
    <s v="144260"/>
    <s v="CG"/>
    <s v="Kundan Kumar"/>
    <s v="05/11/2022"/>
    <s v="Delivered"/>
    <s v="400 GB SSD"/>
    <s v="SSD"/>
    <s v="Samsung"/>
    <n v="4500"/>
    <n v="5850"/>
    <n v="2"/>
    <n v="9000"/>
    <n v="11700"/>
    <s v="Ajay Sharma"/>
    <n v="8450"/>
  </r>
  <r>
    <s v="144261"/>
    <s v="GA"/>
    <s v="Atif Siddiqui"/>
    <s v="05/11/2022"/>
    <s v="Shipped"/>
    <s v="Intel i3 11th gen."/>
    <s v="CPU"/>
    <s v="Intel"/>
    <n v="8500"/>
    <n v="11050"/>
    <n v="1"/>
    <n v="8500"/>
    <n v="11050"/>
    <s v="Roshan Kumar"/>
    <n v="33150"/>
  </r>
  <r>
    <s v="144262"/>
    <s v="GJ"/>
    <s v="Aditya Agarwal"/>
    <s v="05/11/2022"/>
    <s v="Order"/>
    <s v="4GB Graphic card"/>
    <s v="Graphic Card"/>
    <s v="Nvidia"/>
    <n v="12500"/>
    <n v="16250"/>
    <n v="2"/>
    <n v="25000"/>
    <n v="32500"/>
    <s v="Aarvi Gupta"/>
    <n v="18200"/>
  </r>
  <r>
    <s v="144263"/>
    <s v="HR"/>
    <s v="Firdoush Jabee"/>
    <s v="05/11/2022"/>
    <s v="Processing"/>
    <s v="152 GB DDR4 RAM"/>
    <s v="RAM"/>
    <s v="Hynix"/>
    <n v="3500"/>
    <n v="4550"/>
    <n v="2"/>
    <n v="7000"/>
    <n v="9100"/>
    <s v="Vijay Singh"/>
    <n v="25545"/>
  </r>
  <r>
    <s v="144264"/>
    <s v="HP"/>
    <s v="Jay Prakash Kumar"/>
    <s v="05/11/2022"/>
    <s v="Delivered"/>
    <s v="BTX motherboard"/>
    <s v="MotherBoard"/>
    <s v="Gigabyte"/>
    <n v="4500"/>
    <n v="5850"/>
    <n v="3"/>
    <n v="13500"/>
    <n v="17550"/>
    <s v="Aadil Khan"/>
    <n v="39780"/>
  </r>
  <r>
    <s v="144265"/>
    <s v="JK"/>
    <s v="Ashish Pandey"/>
    <s v="06/11/2022"/>
    <s v="Shipped"/>
    <s v="147 Fans Cabinet"/>
    <s v="Cabinet"/>
    <s v="Asus"/>
    <n v="2100"/>
    <n v="2730"/>
    <n v="3"/>
    <n v="6300"/>
    <n v="8190"/>
    <s v="Advika Joshi"/>
    <n v="2990"/>
  </r>
  <r>
    <s v="144266"/>
    <s v="JH"/>
    <s v="Ajay Sharma"/>
    <s v="07/11/2022"/>
    <s v="Order"/>
    <s v="Wireless Keyboard"/>
    <s v="Keyboard"/>
    <s v="Dell"/>
    <n v="1150"/>
    <n v="1495"/>
    <n v="2"/>
    <n v="2300"/>
    <n v="2990"/>
    <s v="Ajay Sharma"/>
    <n v="3315"/>
  </r>
  <r>
    <s v="144267"/>
    <s v="KA"/>
    <s v="Moinuddin Saifi"/>
    <s v="08/11/2022"/>
    <s v="Processing"/>
    <s v="USB Mouse"/>
    <s v="Mouse"/>
    <s v="Samsung"/>
    <n v="350"/>
    <n v="455"/>
    <n v="1"/>
    <n v="350"/>
    <n v="455"/>
    <s v="Roshan Kumar"/>
    <n v="1690"/>
  </r>
  <r>
    <s v="144268"/>
    <s v="KL"/>
    <s v="Ramkrishna Das Adhikary"/>
    <s v="09/11/2022"/>
    <s v="Delivered"/>
    <s v="19&quot; LED Display"/>
    <s v="Monitor"/>
    <s v="Dell"/>
    <n v="9500"/>
    <n v="12350"/>
    <n v="1"/>
    <n v="9500"/>
    <n v="12350"/>
    <s v="Aarvi Gupta"/>
    <n v="9750"/>
  </r>
  <r>
    <s v="144269"/>
    <s v="MP"/>
    <s v="Ranjeet Mandal"/>
    <s v="10/11/2022"/>
    <s v="Shipped"/>
    <s v="146 TB HDD"/>
    <s v="HDD"/>
    <s v="Western Digital"/>
    <n v="10000"/>
    <n v="13000"/>
    <n v="3"/>
    <n v="30000"/>
    <n v="39000"/>
    <s v="Vijay Singh"/>
    <n v="39000"/>
  </r>
  <r>
    <s v="144270"/>
    <s v="MH"/>
    <s v="Ashwini Adsare"/>
    <s v="11/11/2022"/>
    <s v="Order"/>
    <s v="656 GB M.2"/>
    <s v="SSD"/>
    <s v="Samsung"/>
    <n v="6500"/>
    <n v="8450"/>
    <n v="4"/>
    <n v="26000"/>
    <n v="33800"/>
    <s v="Aadil Khan"/>
    <n v="8450"/>
  </r>
  <r>
    <s v="144271"/>
    <s v="MN"/>
    <s v="Rajesh Variya"/>
    <s v="12/11/2022"/>
    <s v="Processing"/>
    <s v="RYZEN 3rd gen. 3644"/>
    <s v="CPU"/>
    <s v="Intel"/>
    <n v="8500"/>
    <n v="11050"/>
    <n v="2"/>
    <n v="17000"/>
    <n v="22100"/>
    <s v="Advika Joshi"/>
    <n v="33150"/>
  </r>
  <r>
    <s v="144272"/>
    <s v="ML"/>
    <s v="Amit Singh"/>
    <s v="13/11/2022"/>
    <s v="Delivered"/>
    <s v="2GB Graphic Card"/>
    <s v="Graphic Card"/>
    <s v="Nvidia"/>
    <n v="7000"/>
    <n v="9100"/>
    <n v="3"/>
    <n v="21000"/>
    <n v="27300"/>
    <s v="Ajay Sharma"/>
    <n v="18200"/>
  </r>
  <r>
    <s v="144273"/>
    <s v="MZ"/>
    <s v="Vinod Mehta"/>
    <s v="14/11/2022"/>
    <s v="Shipped"/>
    <s v="160 GB DDR4 RAM"/>
    <s v="RAM"/>
    <s v="Hynix"/>
    <n v="6550"/>
    <n v="8515"/>
    <n v="3"/>
    <n v="19650"/>
    <n v="25545"/>
    <s v="Roshan Kumar"/>
    <n v="25545"/>
  </r>
  <r>
    <s v="144274"/>
    <s v="NL"/>
    <s v="Jignesh Mhatre"/>
    <s v="15/11/2022"/>
    <s v="Order"/>
    <s v="Standard ATX motherboard"/>
    <s v="MotherBoard"/>
    <s v="Gigabyte"/>
    <n v="7650"/>
    <n v="9945"/>
    <n v="2"/>
    <n v="15300"/>
    <n v="19890"/>
    <s v="Aarvi Gupta"/>
    <n v="39780"/>
  </r>
  <r>
    <s v="144275"/>
    <s v="OR"/>
    <s v="Rahul Kashyap"/>
    <s v="16/11/2022"/>
    <s v="Processing"/>
    <s v="Compact with 1 Fan"/>
    <s v="Cabinet"/>
    <s v="Asus"/>
    <n v="1150"/>
    <n v="1495"/>
    <n v="4"/>
    <n v="4600"/>
    <n v="5980"/>
    <s v="Vijay Singh"/>
    <n v="2990"/>
  </r>
  <r>
    <s v="144276"/>
    <s v="PB"/>
    <s v="Mohammed Abdul Kaleem"/>
    <s v="17/11/2022"/>
    <s v="Delivered"/>
    <s v="USB Backlight Keyboard"/>
    <s v="Keyboard"/>
    <s v="Dell"/>
    <n v="850"/>
    <n v="1105"/>
    <n v="3"/>
    <n v="2550"/>
    <n v="3315"/>
    <s v="Aadil Khan"/>
    <n v="3315"/>
  </r>
  <r>
    <s v="144277"/>
    <s v="RJ"/>
    <s v="Chandrakant Kasbe"/>
    <s v="18/11/2022"/>
    <s v="Shipped"/>
    <s v="Ergonomic Mouse"/>
    <s v="Mouse"/>
    <s v="Samsung"/>
    <n v="650"/>
    <n v="845"/>
    <n v="1"/>
    <n v="650"/>
    <n v="845"/>
    <s v="Advika Joshi"/>
    <n v="1690"/>
  </r>
  <r>
    <s v="144278"/>
    <s v="SK"/>
    <s v="Rohan Kale"/>
    <s v="19/11/2022"/>
    <s v="Order"/>
    <s v="15&quot; LCD Dsipaly"/>
    <s v="Monitor"/>
    <s v="Dell"/>
    <n v="7500"/>
    <n v="9750"/>
    <n v="2"/>
    <n v="15000"/>
    <n v="19500"/>
    <s v="Ajay Sharma"/>
    <n v="9750"/>
  </r>
  <r>
    <s v="144279"/>
    <s v="TN"/>
    <s v="Aniruddha Kekapure"/>
    <s v="20/11/2022"/>
    <s v="Processing"/>
    <s v="146 TB HDD"/>
    <s v="HDD"/>
    <s v="Seagate"/>
    <n v="10000"/>
    <n v="13000"/>
    <n v="3"/>
    <n v="30000"/>
    <n v="39000"/>
    <s v="Roshan Kumar"/>
    <n v="39000"/>
  </r>
  <r>
    <s v="144280"/>
    <s v="TR"/>
    <s v="Aslam Raza"/>
    <s v="21/11/2022"/>
    <s v="Delivered"/>
    <s v="145 TB SSD"/>
    <s v="SSD"/>
    <s v="Samsung"/>
    <n v="10500"/>
    <n v="13650"/>
    <n v="4"/>
    <n v="42000"/>
    <n v="54600"/>
    <s v="Aarvi Gupta"/>
    <n v="8450"/>
  </r>
  <r>
    <s v="144281"/>
    <s v="UK"/>
    <s v="Roshan Zameer"/>
    <s v="22/11/2022"/>
    <s v="Shipped"/>
    <s v="Intel i5 12th gen."/>
    <s v="CPU"/>
    <s v="Intel"/>
    <n v="8500"/>
    <n v="11050"/>
    <n v="1"/>
    <n v="8500"/>
    <n v="11050"/>
    <s v="Vijay Singh"/>
    <n v="33150"/>
  </r>
  <r>
    <s v="144282"/>
    <s v="UP"/>
    <s v="Rakesh Kumar Sharma"/>
    <s v="22/11/2022"/>
    <s v="Order"/>
    <s v="2GB Graphic Card"/>
    <s v="Graphic Card"/>
    <s v="Nvidia"/>
    <n v="7000"/>
    <n v="9100"/>
    <n v="4"/>
    <n v="28000"/>
    <n v="36400"/>
    <s v="Aadil Khan"/>
    <n v="18200"/>
  </r>
  <r>
    <s v="144283"/>
    <s v="WB"/>
    <s v="Shivanand Sahani"/>
    <s v="22/11/2022"/>
    <s v="Processing"/>
    <s v="148 GB DDR4 Ram"/>
    <s v="RAM"/>
    <s v="Hynix"/>
    <n v="1680"/>
    <n v="2184"/>
    <n v="3"/>
    <n v="5040"/>
    <n v="6552"/>
    <s v="Advika Joshi"/>
    <n v="25545"/>
  </r>
  <r>
    <s v="144284"/>
    <s v="TN"/>
    <s v="Kunal Patra"/>
    <s v="22/11/2022"/>
    <s v="Delivered"/>
    <s v="Micro ATX motherboard"/>
    <s v="MotherBoard"/>
    <s v="MSI"/>
    <n v="6540"/>
    <n v="8502"/>
    <n v="3"/>
    <n v="19620"/>
    <n v="25506"/>
    <s v="Ajay Sharma"/>
    <n v="39780"/>
  </r>
  <r>
    <s v="144285"/>
    <s v="TR"/>
    <s v="Bijendra"/>
    <s v="22/11/2022"/>
    <s v="Shipped"/>
    <s v="Gaming Box Cabinet"/>
    <s v="Cabinet"/>
    <s v="Asus"/>
    <n v="2680"/>
    <n v="3484"/>
    <n v="3"/>
    <n v="8040"/>
    <n v="10452"/>
    <s v="Roshan Kumar"/>
    <n v="2990"/>
  </r>
  <r>
    <s v="144286"/>
    <s v="MH"/>
    <s v="Kranti Bheke"/>
    <s v="22/11/2022"/>
    <s v="Order"/>
    <s v="17&quot; LCD Display"/>
    <s v="Monitor"/>
    <s v="Samsung"/>
    <n v="8250"/>
    <n v="10725"/>
    <n v="2"/>
    <n v="16500"/>
    <n v="21450"/>
    <s v="Aarvi Gupta"/>
    <n v="9750"/>
  </r>
  <r>
    <s v="144287"/>
    <s v="CH"/>
    <s v="Jagdeep"/>
    <s v="22/11/2022"/>
    <s v="Processing"/>
    <s v="152 GB DDR4 RAM"/>
    <s v="RAM"/>
    <s v="Samsung"/>
    <n v="2650"/>
    <n v="3445"/>
    <n v="1"/>
    <n v="2650"/>
    <n v="3445"/>
    <s v="Vijay Singh"/>
    <n v="25545"/>
  </r>
  <r>
    <s v="144288"/>
    <s v="DH"/>
    <s v="Adhir Samal"/>
    <s v="22/11/2022"/>
    <s v="Delivered"/>
    <s v="26&quot; LCD Display"/>
    <s v="Monitor"/>
    <s v="Acer"/>
    <n v="12550"/>
    <n v="16315"/>
    <n v="1"/>
    <n v="12550"/>
    <n v="16315"/>
    <s v="Aadil Khan"/>
    <n v="9750"/>
  </r>
  <r>
    <s v="144289"/>
    <s v="DD"/>
    <s v="Dannana Jhammi"/>
    <s v="22/11/2022"/>
    <s v="Shipped"/>
    <s v="I7 - intel 12th Generation"/>
    <s v="CPU"/>
    <s v="Intel"/>
    <n v="14500"/>
    <n v="18850"/>
    <n v="4"/>
    <n v="58000"/>
    <n v="75400"/>
    <s v="Advika Joshi"/>
    <n v="33150"/>
  </r>
  <r>
    <s v="144290"/>
    <s v="DL"/>
    <s v="Vipin Kumar"/>
    <s v="22/11/2022"/>
    <s v="Order"/>
    <s v="USB Keyboard"/>
    <s v="Keyboard"/>
    <s v="Dell"/>
    <n v="800"/>
    <n v="1040"/>
    <n v="3"/>
    <n v="2400"/>
    <n v="3120"/>
    <s v="Ajay Sharma"/>
    <n v="3315"/>
  </r>
  <r>
    <s v="144291"/>
    <s v="LD"/>
    <s v="Ranjeet Kumar"/>
    <s v="22/11/2022"/>
    <s v="Processing"/>
    <s v="Wireless Mouse"/>
    <s v="Mouse"/>
    <s v="Samsung"/>
    <n v="600"/>
    <n v="780"/>
    <n v="3"/>
    <n v="1800"/>
    <n v="2340"/>
    <s v="Roshan Kumar"/>
    <n v="1690"/>
  </r>
  <r>
    <s v="144292"/>
    <s v="PY"/>
    <s v="Sajal Singhal"/>
    <s v="22/11/2022"/>
    <s v="Delivered"/>
    <s v="21&quot; LCD Display"/>
    <s v="Monitor"/>
    <s v="Dell"/>
    <n v="10500"/>
    <n v="13650"/>
    <n v="4"/>
    <n v="42000"/>
    <n v="54600"/>
    <s v="Aarvi Gupta"/>
    <n v="9750"/>
  </r>
  <r>
    <s v="144293"/>
    <s v="AP"/>
    <s v="Akhilesh Kumar"/>
    <s v="22/11/2022"/>
    <s v="Shipped"/>
    <s v="146 TB HDD"/>
    <s v="HDD"/>
    <s v="Western Digital"/>
    <n v="6500"/>
    <n v="8450"/>
    <n v="1"/>
    <n v="6500"/>
    <n v="8450"/>
    <s v="Vijay Singh"/>
    <n v="39000"/>
  </r>
  <r>
    <s v="144294"/>
    <s v="AR"/>
    <s v="Suvankar Chakraborty"/>
    <s v="22/11/2022"/>
    <s v="Order"/>
    <s v="401 GB SSD"/>
    <s v="SSD"/>
    <s v="Samsung"/>
    <n v="4500"/>
    <n v="5850"/>
    <n v="1"/>
    <n v="4500"/>
    <n v="5850"/>
    <s v="Aadil Khan"/>
    <n v="8450"/>
  </r>
  <r>
    <s v="144295"/>
    <s v="AS"/>
    <s v="Suvankar Adhikary"/>
    <s v="22/11/2022"/>
    <s v="Processing"/>
    <s v="Intel i3 11th gen."/>
    <s v="CPU"/>
    <s v="Intel"/>
    <n v="8500"/>
    <n v="11050"/>
    <n v="2"/>
    <n v="17000"/>
    <n v="22100"/>
    <s v="Advika Joshi"/>
    <n v="33150"/>
  </r>
  <r>
    <s v="144296"/>
    <s v="BR"/>
    <s v="Rahul Kumar Prajapati"/>
    <s v="22/11/2022"/>
    <s v="Delivered"/>
    <s v="4GB Graphic card"/>
    <s v="Graphic Card"/>
    <s v="Nvidia"/>
    <n v="12500"/>
    <n v="16250"/>
    <n v="2"/>
    <n v="25000"/>
    <n v="32500"/>
    <s v="Ajay Sharma"/>
    <n v="18200"/>
  </r>
  <r>
    <s v="144297"/>
    <s v="CG"/>
    <s v="Sagar Jeur"/>
    <s v="22/11/2022"/>
    <s v="Shipped"/>
    <s v="153 GB DDR4 RAM"/>
    <s v="Computer Case"/>
    <s v="Hynix"/>
    <n v="3500"/>
    <n v="4550"/>
    <n v="1"/>
    <n v="3500"/>
    <n v="4550"/>
    <s v="Roshan Kumar"/>
    <n v="13650"/>
  </r>
  <r>
    <s v="144298"/>
    <s v="GA"/>
    <s v="Rhushikesh Mane"/>
    <s v="22/11/2022"/>
    <s v="Order"/>
    <s v="BTX motherboard"/>
    <s v="Mouse"/>
    <s v="Gigabyte"/>
    <n v="4500"/>
    <n v="5850"/>
    <n v="4"/>
    <n v="18000"/>
    <n v="23400"/>
    <s v="Aarvi Gupta"/>
    <n v="1690"/>
  </r>
  <r>
    <s v="144299"/>
    <s v="GJ"/>
    <s v="Ashish Kumar"/>
    <s v="22/11/2022"/>
    <s v="Processing"/>
    <s v="148 Fans Cabinet"/>
    <s v="Cabinet"/>
    <s v="Asus"/>
    <n v="2100"/>
    <n v="2730"/>
    <n v="3"/>
    <n v="6300"/>
    <n v="8190"/>
    <s v="Vijay Singh"/>
    <n v="2990"/>
  </r>
  <r>
    <s v="144300"/>
    <s v="HR"/>
    <s v="Javed Akhter"/>
    <s v="23/11/2022"/>
    <s v="Delivered"/>
    <s v="Wireless Keyboard"/>
    <s v="Keyboard"/>
    <s v="Dell"/>
    <n v="1150"/>
    <n v="1495"/>
    <n v="2"/>
    <n v="2300"/>
    <n v="2990"/>
    <s v="Aadil Khan"/>
    <n v="3315"/>
  </r>
  <r>
    <s v="144301"/>
    <s v="HP"/>
    <s v="Haridas Balraj"/>
    <s v="24/11/2022"/>
    <s v="Shipped"/>
    <s v="USB Mouse"/>
    <s v="Mouse"/>
    <s v="Samsung"/>
    <n v="350"/>
    <n v="455"/>
    <n v="2"/>
    <n v="700"/>
    <n v="910"/>
    <s v="Advika Joshi"/>
    <n v="1690"/>
  </r>
  <r>
    <s v="144302"/>
    <s v="JK"/>
    <s v="Kundan Kumar"/>
    <s v="25/11/2022"/>
    <s v="Order"/>
    <s v="19&quot; LED Display"/>
    <s v="Monitor"/>
    <s v="Dell"/>
    <n v="9500"/>
    <n v="12350"/>
    <n v="2"/>
    <n v="19000"/>
    <n v="24700"/>
    <s v="Ajay Sharma"/>
    <n v="9750"/>
  </r>
  <r>
    <s v="144303"/>
    <s v="JH"/>
    <s v="Atif Siddiqui"/>
    <s v="26/11/2022"/>
    <s v="Processing"/>
    <s v="147 TB HDD"/>
    <s v="HDD"/>
    <s v="Western Digital"/>
    <n v="10000"/>
    <n v="13000"/>
    <n v="4"/>
    <n v="40000"/>
    <n v="52000"/>
    <s v="Roshan Kumar"/>
    <n v="39000"/>
  </r>
  <r>
    <s v="144304"/>
    <s v="KA"/>
    <s v="Aditya Agarwal"/>
    <s v="27/11/2022"/>
    <s v="Delivered"/>
    <s v="657 GB M.2"/>
    <s v="SSD"/>
    <s v="Samsung"/>
    <n v="6500"/>
    <n v="8450"/>
    <n v="4"/>
    <n v="26000"/>
    <n v="33800"/>
    <s v="Aarvi Gupta"/>
    <n v="8450"/>
  </r>
  <r>
    <s v="144305"/>
    <s v="KL"/>
    <s v="Firdoush Jabee"/>
    <s v="28/11/2022"/>
    <s v="Shipped"/>
    <s v="RYZEN 3rd gen. 3645"/>
    <s v="CPU"/>
    <s v="Intel"/>
    <n v="8500"/>
    <n v="11050"/>
    <n v="3"/>
    <n v="25500"/>
    <n v="33150"/>
    <s v="Vijay Singh"/>
    <n v="33150"/>
  </r>
  <r>
    <s v="144306"/>
    <s v="MP"/>
    <s v="Jay Prakash Kumar"/>
    <s v="29/11/2022"/>
    <s v="Order"/>
    <s v="2GB Graphic Card"/>
    <s v="Graphic Card"/>
    <s v="Nvidia"/>
    <n v="7000"/>
    <n v="9100"/>
    <n v="3"/>
    <n v="21000"/>
    <n v="27300"/>
    <s v="Aadil Khan"/>
    <n v="18200"/>
  </r>
  <r>
    <s v="144307"/>
    <s v="MH"/>
    <s v="Ashish Pandey"/>
    <s v="30/11/2022"/>
    <s v="Processing"/>
    <s v="161 GB DDR4 RAM"/>
    <s v="Computer Case"/>
    <s v="Hynix"/>
    <n v="6550"/>
    <n v="8515"/>
    <n v="1"/>
    <n v="6550"/>
    <n v="8515"/>
    <s v="Advika Joshi"/>
    <n v="13650"/>
  </r>
  <r>
    <s v="144308"/>
    <s v="MN"/>
    <s v="Ajay Sharma"/>
    <s v="01/12/2022"/>
    <s v="Delivered"/>
    <s v="Standard ATX motherboard"/>
    <s v="Mouse"/>
    <s v="Gigabyte"/>
    <n v="7650"/>
    <n v="9945"/>
    <n v="4"/>
    <n v="30600"/>
    <n v="39780"/>
    <s v="Ajay Sharma"/>
    <n v="1690"/>
  </r>
  <r>
    <s v="144309"/>
    <s v="ML"/>
    <s v="Moinuddin Saifi"/>
    <s v="02/12/2022"/>
    <s v="Shipped"/>
    <s v="Compact with 1 Fan"/>
    <s v="Cabinet"/>
    <s v="Asus"/>
    <n v="1150"/>
    <n v="1495"/>
    <n v="2"/>
    <n v="2300"/>
    <n v="2990"/>
    <s v="Roshan Kumar"/>
    <n v="2990"/>
  </r>
  <r>
    <s v="144310"/>
    <s v="MZ"/>
    <s v="Ramkrishna Das Adhikary"/>
    <s v="03/12/2022"/>
    <s v="Order"/>
    <s v="USB Backlight Keyboard"/>
    <s v="Keyboard"/>
    <s v="Dell"/>
    <n v="850"/>
    <n v="1105"/>
    <n v="4"/>
    <n v="3400"/>
    <n v="4420"/>
    <s v="Aarvi Gupta"/>
    <n v="3315"/>
  </r>
  <r>
    <s v="144311"/>
    <s v="NL"/>
    <s v="Ranjeet Mandal"/>
    <s v="04/12/2022"/>
    <s v="Processing"/>
    <s v="Ergonomic Mouse"/>
    <s v="Mouse"/>
    <s v="Samsung"/>
    <n v="650"/>
    <n v="845"/>
    <n v="2"/>
    <n v="1300"/>
    <n v="1690"/>
    <s v="Vijay Singh"/>
    <n v="1690"/>
  </r>
  <r>
    <s v="144312"/>
    <s v="OR"/>
    <s v="Ashwini Adsare"/>
    <s v="05/12/2022"/>
    <s v="Delivered"/>
    <s v="15&quot; LCD Dsipaly"/>
    <s v="Monitor"/>
    <s v="Dell"/>
    <n v="7500"/>
    <n v="9750"/>
    <n v="3"/>
    <n v="22500"/>
    <n v="29250"/>
    <s v="Aadil Khan"/>
    <n v="9750"/>
  </r>
  <r>
    <s v="144313"/>
    <s v="PB"/>
    <s v="Rajesh Variya"/>
    <s v="06/12/2022"/>
    <s v="Shipped"/>
    <s v="147 TB HDD"/>
    <s v="HDD"/>
    <s v="Seagate"/>
    <n v="10000"/>
    <n v="13000"/>
    <n v="1"/>
    <n v="10000"/>
    <n v="13000"/>
    <s v="Advika Joshi"/>
    <n v="39000"/>
  </r>
  <r>
    <s v="144314"/>
    <s v="RJ"/>
    <s v="Amit Singh"/>
    <s v="07/12/2022"/>
    <s v="Order"/>
    <s v="146 TB SSD"/>
    <s v="SSD"/>
    <s v="Samsung"/>
    <n v="10500"/>
    <n v="13650"/>
    <n v="1"/>
    <n v="10500"/>
    <n v="13650"/>
    <s v="Ajay Sharma"/>
    <n v="8450"/>
  </r>
  <r>
    <s v="144315"/>
    <s v="SK"/>
    <s v="Vinod Mehta"/>
    <s v="08/12/2022"/>
    <s v="Processing"/>
    <s v="Intel i5 12th gen."/>
    <s v="CPU"/>
    <s v="Intel"/>
    <n v="8500"/>
    <n v="11050"/>
    <n v="2"/>
    <n v="17000"/>
    <n v="22100"/>
    <s v="Roshan Kumar"/>
    <n v="33150"/>
  </r>
  <r>
    <s v="144316"/>
    <s v="TN"/>
    <s v="Jignesh Mhatre"/>
    <s v="09/12/2022"/>
    <s v="Delivered"/>
    <s v="2GB Graphic Card"/>
    <s v="Graphic Card"/>
    <s v="Nvidia"/>
    <n v="7000"/>
    <n v="9100"/>
    <n v="4"/>
    <n v="28000"/>
    <n v="36400"/>
    <s v="Aarvi Gupta"/>
    <n v="18200"/>
  </r>
  <r>
    <s v="144317"/>
    <s v="TR"/>
    <s v="Rahul Kashyap"/>
    <s v="10/12/2022"/>
    <s v="Shipped"/>
    <s v="149 GB DDR4 Ram"/>
    <s v="Computer Case"/>
    <s v="Hynix"/>
    <n v="1680"/>
    <n v="2184"/>
    <n v="2"/>
    <n v="3360"/>
    <n v="4368"/>
    <s v="Vijay Singh"/>
    <n v="13650"/>
  </r>
  <r>
    <s v="144318"/>
    <s v="UK"/>
    <s v="Mohammed Abdul Kaleem"/>
    <s v="10/12/2022"/>
    <s v="Order"/>
    <s v="Micro ATX motherboard"/>
    <s v="Mouse"/>
    <s v="MSI"/>
    <n v="6540"/>
    <n v="8502"/>
    <n v="2"/>
    <n v="13080"/>
    <n v="17004"/>
    <s v="Aadil Khan"/>
    <n v="1690"/>
  </r>
  <r>
    <s v="144319"/>
    <s v="UP"/>
    <s v="Chandrakant Kasbe"/>
    <s v="10/12/2022"/>
    <s v="Processing"/>
    <s v="Gaming Box Cabinet"/>
    <s v="Cabinet"/>
    <s v="Asus"/>
    <n v="2680"/>
    <n v="3484"/>
    <n v="3"/>
    <n v="8040"/>
    <n v="10452"/>
    <s v="Advika Joshi"/>
    <n v="2990"/>
  </r>
  <r>
    <s v="144320"/>
    <s v="WB"/>
    <s v="Rohan Kale"/>
    <s v="10/12/2022"/>
    <s v="Delivered"/>
    <s v="17&quot; LCD Display"/>
    <s v="Monitor"/>
    <s v="Samsung"/>
    <n v="8250"/>
    <n v="10725"/>
    <n v="2"/>
    <n v="16500"/>
    <n v="21450"/>
    <s v="Ajay Sharma"/>
    <n v="9750"/>
  </r>
  <r>
    <s v="144321"/>
    <s v="TN"/>
    <s v="Aniruddha Kekapure"/>
    <s v="10/12/2022"/>
    <s v="Shipped"/>
    <s v="153 GB DDR4 RAM"/>
    <s v="RAM"/>
    <s v="Samsung"/>
    <n v="2650"/>
    <n v="3445"/>
    <n v="3"/>
    <n v="7950"/>
    <n v="10335"/>
    <s v="Roshan Kumar"/>
    <n v="25545"/>
  </r>
  <r>
    <s v="144322"/>
    <s v="TR"/>
    <s v="Aslam Raza"/>
    <s v="10/12/2022"/>
    <s v="Order"/>
    <s v="26&quot; LCD Display"/>
    <s v="Monitor"/>
    <s v="Acer"/>
    <n v="12550"/>
    <n v="16315"/>
    <n v="3"/>
    <n v="37650"/>
    <n v="48945"/>
    <s v="Aarvi Gupta"/>
    <n v="9750"/>
  </r>
  <r>
    <s v="144323"/>
    <s v="MH"/>
    <s v="Roshan Zameer"/>
    <s v="10/12/2022"/>
    <s v="Processing"/>
    <s v="I7 - intel 12th Generation"/>
    <s v="CPU"/>
    <s v="Intel"/>
    <n v="14500"/>
    <n v="18850"/>
    <n v="1"/>
    <n v="14500"/>
    <n v="18850"/>
    <s v="Vijay Singh"/>
    <n v="33150"/>
  </r>
  <r>
    <s v="144324"/>
    <s v="CH"/>
    <s v="Rakesh Kumar Sharma"/>
    <s v="11/12/2022"/>
    <s v="Delivered"/>
    <s v="USB Keyboard"/>
    <s v="Keyboard"/>
    <s v="Dell"/>
    <n v="800"/>
    <n v="1040"/>
    <n v="2"/>
    <n v="1600"/>
    <n v="2080"/>
    <s v="Aadil Khan"/>
    <n v="3315"/>
  </r>
  <r>
    <s v="144325"/>
    <s v="DH"/>
    <s v="Shivanand Sahani"/>
    <s v="12/12/2022"/>
    <s v="Shipped"/>
    <s v="Wireless Mouse"/>
    <s v="Mouse"/>
    <s v="Samsung"/>
    <n v="600"/>
    <n v="780"/>
    <n v="3"/>
    <n v="1800"/>
    <n v="2340"/>
    <s v="Advika Joshi"/>
    <n v="1690"/>
  </r>
  <r>
    <s v="144326"/>
    <s v="DD"/>
    <s v="Kunal Patra"/>
    <s v="13/12/2022"/>
    <s v="Order"/>
    <s v="21&quot; LCD Display"/>
    <s v="Monitor"/>
    <s v="Dell"/>
    <n v="10500"/>
    <n v="13650"/>
    <n v="2"/>
    <n v="21000"/>
    <n v="27300"/>
    <s v="Ajay Sharma"/>
    <n v="9750"/>
  </r>
  <r>
    <s v="144327"/>
    <s v="DL"/>
    <s v="Bijendra"/>
    <s v="14/12/2022"/>
    <s v="Processing"/>
    <s v="147 TB HDD"/>
    <s v="HDD"/>
    <s v="Western Digital"/>
    <n v="6500"/>
    <n v="8450"/>
    <n v="3"/>
    <n v="19500"/>
    <n v="25350"/>
    <s v="Roshan Kumar"/>
    <n v="39000"/>
  </r>
  <r>
    <s v="144328"/>
    <s v="LD"/>
    <s v="Kranti Bheke"/>
    <s v="15/12/2022"/>
    <s v="Delivered"/>
    <s v="402 GB SSD"/>
    <s v="SSD"/>
    <s v="Samsung"/>
    <n v="4500"/>
    <n v="5850"/>
    <n v="1"/>
    <n v="4500"/>
    <n v="5850"/>
    <s v="Aarvi Gupta"/>
    <n v="8450"/>
  </r>
  <r>
    <s v="144329"/>
    <s v="PY"/>
    <s v="Jagdeep"/>
    <s v="16/12/2022"/>
    <s v="Shipped"/>
    <s v="Intel i3 11th gen."/>
    <s v="CPU"/>
    <s v="Intel"/>
    <n v="8500"/>
    <n v="11050"/>
    <n v="4"/>
    <n v="34000"/>
    <n v="44200"/>
    <s v="Vijay Singh"/>
    <n v="33150"/>
  </r>
  <r>
    <s v="144330"/>
    <s v="AP"/>
    <s v="Adhir Samal"/>
    <s v="17/12/2022"/>
    <s v="Order"/>
    <s v="4GB Graphic card"/>
    <s v="Graphic Card"/>
    <s v="Nvidia"/>
    <n v="12500"/>
    <n v="16250"/>
    <n v="2"/>
    <n v="25000"/>
    <n v="32500"/>
    <s v="Aadil Khan"/>
    <n v="18200"/>
  </r>
  <r>
    <s v="144331"/>
    <s v="AR"/>
    <s v="Dannana Jhammi"/>
    <s v="17/12/2022"/>
    <s v="Processing"/>
    <s v="154 GB DDR4 RAM"/>
    <s v="NIC"/>
    <s v="Hynix"/>
    <n v="3500"/>
    <n v="4550"/>
    <n v="2"/>
    <n v="7000"/>
    <n v="9100"/>
    <s v="Advika Joshi"/>
    <n v="9100"/>
  </r>
  <r>
    <s v="144332"/>
    <s v="AS"/>
    <s v="Vipin Kumar"/>
    <s v="17/12/2022"/>
    <s v="Delivered"/>
    <s v="BTX motherboard"/>
    <s v="Printer"/>
    <s v="Gigabyte"/>
    <n v="4500"/>
    <n v="5850"/>
    <n v="2"/>
    <n v="9000"/>
    <n v="11700"/>
    <s v="Ajay Sharma"/>
    <n v="11700"/>
  </r>
  <r>
    <s v="144333"/>
    <s v="BR"/>
    <s v="Ranjeet Kumar"/>
    <s v="17/12/2022"/>
    <s v="Shipped"/>
    <s v="149 Fans Cabinet"/>
    <s v="Cabinet"/>
    <s v="Asus"/>
    <n v="2100"/>
    <n v="2730"/>
    <n v="3"/>
    <n v="6300"/>
    <n v="8190"/>
    <s v="Roshan Kumar"/>
    <n v="2990"/>
  </r>
  <r>
    <s v="144334"/>
    <s v="CG"/>
    <s v="Sajal Singhal"/>
    <s v="17/12/2022"/>
    <s v="Order"/>
    <s v="Wireless Keyboard"/>
    <s v="Keyboard"/>
    <s v="Dell"/>
    <n v="1150"/>
    <n v="1495"/>
    <n v="4"/>
    <n v="4600"/>
    <n v="5980"/>
    <s v="Aarvi Gupta"/>
    <n v="3315"/>
  </r>
  <r>
    <s v="144335"/>
    <s v="GA"/>
    <s v="Akhilesh Kumar"/>
    <s v="17/12/2022"/>
    <s v="Processing"/>
    <s v="USB Mouse"/>
    <s v="Mouse"/>
    <s v="Samsung"/>
    <n v="350"/>
    <n v="455"/>
    <n v="1"/>
    <n v="350"/>
    <n v="455"/>
    <s v="Vijay Singh"/>
    <n v="1690"/>
  </r>
  <r>
    <s v="144336"/>
    <s v="GJ"/>
    <s v="Suvankar Chakraborty"/>
    <s v="17/12/2022"/>
    <s v="Delivered"/>
    <s v="19&quot; LED Display"/>
    <s v="Monitor"/>
    <s v="Dell"/>
    <n v="9500"/>
    <n v="12350"/>
    <n v="1"/>
    <n v="9500"/>
    <n v="12350"/>
    <s v="Aadil Khan"/>
    <n v="9750"/>
  </r>
  <r>
    <s v="144337"/>
    <s v="HR"/>
    <s v="Suvankar Adhikary"/>
    <s v="17/12/2022"/>
    <s v="Shipped"/>
    <s v="148 TB HDD"/>
    <s v="HDD"/>
    <s v="Western Digital"/>
    <n v="10000"/>
    <n v="13000"/>
    <n v="2"/>
    <n v="20000"/>
    <n v="26000"/>
    <s v="Advika Joshi"/>
    <n v="39000"/>
  </r>
  <r>
    <s v="144338"/>
    <s v="HP"/>
    <s v="Rahul Kumar Prajapati"/>
    <s v="17/12/2022"/>
    <s v="Order"/>
    <s v="658 GB M.2"/>
    <s v="SSD"/>
    <s v="Samsung"/>
    <n v="6500"/>
    <n v="8450"/>
    <n v="3"/>
    <n v="19500"/>
    <n v="25350"/>
    <s v="Ajay Sharma"/>
    <n v="8450"/>
  </r>
  <r>
    <s v="144339"/>
    <s v="JK"/>
    <s v="Sagar Jeur"/>
    <s v="17/12/2022"/>
    <s v="Processing"/>
    <s v="RYZEN 3rd gen. 3646"/>
    <s v="CPU"/>
    <s v="Intel"/>
    <n v="8500"/>
    <n v="11050"/>
    <n v="4"/>
    <n v="34000"/>
    <n v="44200"/>
    <s v="Roshan Kumar"/>
    <n v="33150"/>
  </r>
  <r>
    <s v="144340"/>
    <s v="JH"/>
    <s v="Rhushikesh Mane"/>
    <s v="17/12/2022"/>
    <s v="Delivered"/>
    <s v="2GB Graphic Card"/>
    <s v="Graphic Card"/>
    <s v="Nvidia"/>
    <n v="7000"/>
    <n v="9100"/>
    <n v="4"/>
    <n v="28000"/>
    <n v="36400"/>
    <s v="Aarvi Gupta"/>
    <n v="18200"/>
  </r>
  <r>
    <s v="144341"/>
    <s v="KA"/>
    <s v="Ashish Kumar"/>
    <s v="17/12/2022"/>
    <s v="Shipped"/>
    <s v="162 GB DDR4 RAM"/>
    <s v="NIC"/>
    <s v="Hynix"/>
    <n v="6550"/>
    <n v="8515"/>
    <n v="3"/>
    <n v="19650"/>
    <n v="25545"/>
    <s v="Vijay Singh"/>
    <n v="9100"/>
  </r>
  <r>
    <s v="144342"/>
    <s v="KL"/>
    <s v="Javed Akhter"/>
    <s v="17/12/2022"/>
    <s v="Order"/>
    <s v="Standard ATX motherboard"/>
    <s v="Printer"/>
    <s v="Gigabyte"/>
    <n v="7650"/>
    <n v="9945"/>
    <n v="1"/>
    <n v="7650"/>
    <n v="9945"/>
    <s v="Aadil Khan"/>
    <n v="11700"/>
  </r>
  <r>
    <s v="144343"/>
    <s v="MP"/>
    <s v="Haridas Balraj"/>
    <s v="18/12/2022"/>
    <s v="Processing"/>
    <s v="Compact with 1 Fan"/>
    <s v="Cabinet"/>
    <s v="Asus"/>
    <n v="1150"/>
    <n v="1495"/>
    <n v="2"/>
    <n v="2300"/>
    <n v="2990"/>
    <s v="Advika Joshi"/>
    <n v="2990"/>
  </r>
  <r>
    <s v="144344"/>
    <s v="MH"/>
    <s v="Kundan Kumar"/>
    <s v="19/12/2022"/>
    <s v="Delivered"/>
    <s v="USB Backlight Keyboard"/>
    <s v="Keyboard"/>
    <s v="Dell"/>
    <n v="850"/>
    <n v="1105"/>
    <n v="3"/>
    <n v="2550"/>
    <n v="3315"/>
    <s v="Ajay Sharma"/>
    <n v="3315"/>
  </r>
  <r>
    <s v="144345"/>
    <s v="MN"/>
    <s v="Atif Siddiqui"/>
    <s v="20/12/2022"/>
    <s v="Shipped"/>
    <s v="Ergonomic Mouse"/>
    <s v="Mouse"/>
    <s v="Samsung"/>
    <n v="650"/>
    <n v="845"/>
    <n v="3"/>
    <n v="1950"/>
    <n v="2535"/>
    <s v="Roshan Kumar"/>
    <n v="1690"/>
  </r>
  <r>
    <s v="144346"/>
    <s v="ML"/>
    <s v="Aditya Agarwal"/>
    <s v="21/12/2022"/>
    <s v="Order"/>
    <s v="15&quot; LCD Dsipaly"/>
    <s v="Monitor"/>
    <s v="Dell"/>
    <n v="7500"/>
    <n v="9750"/>
    <n v="1"/>
    <n v="7500"/>
    <n v="9750"/>
    <s v="Aarvi Gupta"/>
    <n v="9750"/>
  </r>
  <r>
    <s v="144347"/>
    <s v="MZ"/>
    <s v="Firdoush Jabee"/>
    <s v="22/12/2022"/>
    <s v="Processing"/>
    <s v="148 TB HDD"/>
    <s v="HDD"/>
    <s v="Seagate"/>
    <n v="10000"/>
    <n v="13000"/>
    <n v="3"/>
    <n v="30000"/>
    <n v="39000"/>
    <s v="Vijay Singh"/>
    <n v="39000"/>
  </r>
  <r>
    <s v="144348"/>
    <s v="NL"/>
    <s v="Jay Prakash Kumar"/>
    <s v="22/12/2022"/>
    <s v="Delivered"/>
    <s v="147 TB SSD"/>
    <s v="SSD"/>
    <s v="Samsung"/>
    <n v="10500"/>
    <n v="13650"/>
    <n v="1"/>
    <n v="10500"/>
    <n v="13650"/>
    <s v="Aadil Khan"/>
    <n v="8450"/>
  </r>
  <r>
    <s v="144349"/>
    <s v="OR"/>
    <s v="Ashish Pandey"/>
    <s v="22/12/2022"/>
    <s v="Shipped"/>
    <s v="Intel i5 12th gen."/>
    <s v="CPU"/>
    <s v="Intel"/>
    <n v="8500"/>
    <n v="11050"/>
    <n v="3"/>
    <n v="25500"/>
    <n v="33150"/>
    <s v="Advika Joshi"/>
    <n v="33150"/>
  </r>
  <r>
    <s v="144350"/>
    <s v="PB"/>
    <s v="Ajay Sharma"/>
    <s v="22/12/2022"/>
    <s v="Order"/>
    <s v="2GB Graphic Card"/>
    <s v="Graphic Card"/>
    <s v="Nvidia"/>
    <n v="7000"/>
    <n v="9100"/>
    <n v="4"/>
    <n v="28000"/>
    <n v="36400"/>
    <s v="Ajay Sharma"/>
    <n v="18200"/>
  </r>
  <r>
    <s v="144351"/>
    <s v="RJ"/>
    <s v="Moinuddin Saifi"/>
    <s v="22/12/2022"/>
    <s v="Processing"/>
    <s v="150 GB DDR4 Ram"/>
    <s v="NIC"/>
    <s v="Hynix"/>
    <n v="1680"/>
    <n v="2184"/>
    <n v="2"/>
    <n v="3360"/>
    <n v="4368"/>
    <s v="Roshan Kumar"/>
    <n v="9100"/>
  </r>
  <r>
    <s v="144352"/>
    <s v="SK"/>
    <s v="Ramkrishna Das Adhikary"/>
    <s v="22/12/2022"/>
    <s v="Delivered"/>
    <s v="Micro ATX motherboard"/>
    <s v="Printer"/>
    <s v="MSI"/>
    <n v="6540"/>
    <n v="8502"/>
    <n v="1"/>
    <n v="6540"/>
    <n v="8502"/>
    <s v="Aarvi Gupta"/>
    <n v="11700"/>
  </r>
  <r>
    <s v="144353"/>
    <s v="TN"/>
    <s v="Ranjeet Mandal"/>
    <s v="22/12/2022"/>
    <s v="Shipped"/>
    <s v="Gaming Box Cabinet"/>
    <s v="Cabinet"/>
    <s v="Asus"/>
    <n v="2680"/>
    <n v="3484"/>
    <n v="2"/>
    <n v="5360"/>
    <n v="6968"/>
    <s v="Vijay Singh"/>
    <n v="2990"/>
  </r>
  <r>
    <s v="144354"/>
    <s v="TR"/>
    <s v="Ashwini Adsare"/>
    <s v="22/12/2022"/>
    <s v="Order"/>
    <s v="17&quot; LCD Display"/>
    <s v="Monitor"/>
    <s v="Samsung"/>
    <n v="8250"/>
    <n v="10725"/>
    <n v="3"/>
    <n v="24750"/>
    <n v="32175"/>
    <s v="Aadil Khan"/>
    <n v="9750"/>
  </r>
  <r>
    <s v="144355"/>
    <s v="UK"/>
    <s v="Rajesh Variya"/>
    <s v="22/12/2022"/>
    <s v="Processing"/>
    <s v="154 GB DDR4 RAM"/>
    <s v="RAM"/>
    <s v="Samsung"/>
    <n v="2650"/>
    <n v="3445"/>
    <n v="4"/>
    <n v="10600"/>
    <n v="13780"/>
    <s v="Advika Joshi"/>
    <n v="25545"/>
  </r>
  <r>
    <s v="144356"/>
    <s v="UP"/>
    <s v="Amit Singh"/>
    <s v="22/12/2022"/>
    <s v="Delivered"/>
    <s v="26&quot; LCD Display"/>
    <s v="Monitor"/>
    <s v="Acer"/>
    <n v="12550"/>
    <n v="16315"/>
    <n v="1"/>
    <n v="12550"/>
    <n v="16315"/>
    <s v="Ajay Sharma"/>
    <n v="9750"/>
  </r>
  <r>
    <s v="144357"/>
    <s v="WB"/>
    <s v="Vinod Mehta"/>
    <s v="22/12/2022"/>
    <s v="Shipped"/>
    <s v="I7 - intel 12th Generation"/>
    <s v="CPU"/>
    <s v="Intel"/>
    <n v="14500"/>
    <n v="18850"/>
    <n v="4"/>
    <n v="58000"/>
    <n v="75400"/>
    <s v="Roshan Kumar"/>
    <n v="33150"/>
  </r>
  <r>
    <s v="144358"/>
    <s v="TN"/>
    <s v="Jignesh Mhatre"/>
    <s v="22/12/2022"/>
    <s v="Order"/>
    <s v="USB Keyboard"/>
    <s v="Keyboard"/>
    <s v="Dell"/>
    <n v="800"/>
    <n v="1040"/>
    <n v="1"/>
    <n v="800"/>
    <n v="1040"/>
    <s v="Aarvi Gupta"/>
    <n v="3315"/>
  </r>
  <r>
    <s v="144359"/>
    <s v="TR"/>
    <s v="Rahul Kashyap"/>
    <s v="22/12/2022"/>
    <s v="Processing"/>
    <s v="Wireless Mouse"/>
    <s v="Mouse"/>
    <s v="Samsung"/>
    <n v="600"/>
    <n v="780"/>
    <n v="1"/>
    <n v="600"/>
    <n v="780"/>
    <s v="Vijay Singh"/>
    <n v="1690"/>
  </r>
  <r>
    <s v="144360"/>
    <s v="MH"/>
    <s v="Mohammed Abdul Kaleem"/>
    <s v="22/12/2022"/>
    <s v="Delivered"/>
    <s v="21&quot; LCD Display"/>
    <s v="Monitor"/>
    <s v="Dell"/>
    <n v="10500"/>
    <n v="13650"/>
    <n v="3"/>
    <n v="31500"/>
    <n v="40950"/>
    <s v="Aadil Khan"/>
    <n v="9750"/>
  </r>
  <r>
    <s v="144361"/>
    <s v="CH"/>
    <s v="Chandrakant Kasbe"/>
    <s v="22/12/2022"/>
    <s v="Shipped"/>
    <s v="148 TB HDD"/>
    <s v="HDD"/>
    <s v="Western Digital"/>
    <n v="6500"/>
    <n v="8450"/>
    <n v="4"/>
    <n v="26000"/>
    <n v="33800"/>
    <s v="Advika Joshi"/>
    <n v="39000"/>
  </r>
  <r>
    <s v="144362"/>
    <s v="DH"/>
    <s v="Rohan Kale"/>
    <s v="22/12/2022"/>
    <s v="Order"/>
    <s v="403 GB SSD"/>
    <s v="SSD"/>
    <s v="Samsung"/>
    <n v="4500"/>
    <n v="5850"/>
    <n v="1"/>
    <n v="4500"/>
    <n v="5850"/>
    <s v="Ajay Sharma"/>
    <n v="8450"/>
  </r>
  <r>
    <s v="144363"/>
    <s v="DD"/>
    <s v="Aniruddha Kekapure"/>
    <s v="22/12/2022"/>
    <s v="Processing"/>
    <s v="Intel i3 11th gen."/>
    <s v="CPU"/>
    <s v="Intel"/>
    <n v="8500"/>
    <n v="11050"/>
    <n v="2"/>
    <n v="17000"/>
    <n v="22100"/>
    <s v="Roshan Kumar"/>
    <n v="33150"/>
  </r>
  <r>
    <s v="144364"/>
    <s v="DL"/>
    <s v="Aslam Raza"/>
    <s v="22/12/2022"/>
    <s v="Delivered"/>
    <s v="4GB Graphic card"/>
    <s v="Graphic Card"/>
    <s v="Nvidia"/>
    <n v="12500"/>
    <n v="16250"/>
    <n v="3"/>
    <n v="37500"/>
    <n v="48750"/>
    <s v="Aarvi Gupta"/>
    <n v="18200"/>
  </r>
  <r>
    <s v="144365"/>
    <s v="LD"/>
    <s v="Roshan Zameer"/>
    <s v="22/12/2022"/>
    <s v="Shipped"/>
    <s v="155 GB DDR4 RAM"/>
    <s v="RAM"/>
    <s v="Hynix"/>
    <n v="3500"/>
    <n v="4550"/>
    <n v="3"/>
    <n v="10500"/>
    <n v="13650"/>
    <s v="Vijay Singh"/>
    <n v="25545"/>
  </r>
  <r>
    <s v="144366"/>
    <s v="PY"/>
    <s v="Rakesh Kumar Sharma"/>
    <s v="22/12/2022"/>
    <s v="Order"/>
    <s v="BTX motherboard"/>
    <s v="MotherBoard"/>
    <s v="Gigabyte"/>
    <n v="4500"/>
    <n v="5850"/>
    <n v="3"/>
    <n v="13500"/>
    <n v="17550"/>
    <s v="Aadil Khan"/>
    <n v="39780"/>
  </r>
  <r>
    <s v="144367"/>
    <s v="AP"/>
    <s v="Shivanand Sahani"/>
    <s v="23/12/2022"/>
    <s v="Processing"/>
    <s v="150 Fans Cabinet"/>
    <s v="Cabinet"/>
    <s v="Asus"/>
    <n v="2100"/>
    <n v="2730"/>
    <n v="4"/>
    <n v="8400"/>
    <n v="10920"/>
    <s v="Advika Joshi"/>
    <n v="2990"/>
  </r>
  <r>
    <s v="144368"/>
    <s v="AR"/>
    <s v="Kunal Patra"/>
    <s v="24/12/2022"/>
    <s v="Delivered"/>
    <s v="Wireless Keyboard"/>
    <s v="Keyboard"/>
    <s v="Dell"/>
    <n v="1150"/>
    <n v="1495"/>
    <n v="1"/>
    <n v="1150"/>
    <n v="1495"/>
    <s v="Ajay Sharma"/>
    <n v="3315"/>
  </r>
  <r>
    <s v="144369"/>
    <s v="AS"/>
    <s v="Bijendra"/>
    <s v="25/12/2022"/>
    <s v="Shipped"/>
    <s v="USB Mouse"/>
    <s v="Mouse"/>
    <s v="Samsung"/>
    <n v="350"/>
    <n v="455"/>
    <n v="2"/>
    <n v="700"/>
    <n v="910"/>
    <s v="Roshan Kumar"/>
    <n v="1690"/>
  </r>
  <r>
    <s v="144370"/>
    <s v="BR"/>
    <s v="Kranti Bheke"/>
    <s v="26/12/2022"/>
    <s v="Order"/>
    <s v="19&quot; LED Display"/>
    <s v="Monitor"/>
    <s v="Dell"/>
    <n v="9500"/>
    <n v="12350"/>
    <n v="3"/>
    <n v="28500"/>
    <n v="37050"/>
    <s v="Aarvi Gupta"/>
    <n v="9750"/>
  </r>
  <r>
    <s v="144371"/>
    <s v="CG"/>
    <s v="Jagdeep"/>
    <s v="27/12/2022"/>
    <s v="Processing"/>
    <s v="149 TB HDD"/>
    <s v="HDD"/>
    <s v="Western Digital"/>
    <n v="10000"/>
    <n v="13000"/>
    <n v="3"/>
    <n v="30000"/>
    <n v="39000"/>
    <s v="Vijay Singh"/>
    <n v="39000"/>
  </r>
  <r>
    <s v="144372"/>
    <s v="GA"/>
    <s v="Adhir Samal"/>
    <s v="27/12/2022"/>
    <s v="Delivered"/>
    <s v="659 GB M.2"/>
    <s v="SSD"/>
    <s v="Samsung"/>
    <n v="6500"/>
    <n v="8450"/>
    <n v="3"/>
    <n v="19500"/>
    <n v="25350"/>
    <s v="Aadil Khan"/>
    <n v="8450"/>
  </r>
  <r>
    <s v="144373"/>
    <s v="GJ"/>
    <s v="Dannana Jhammi"/>
    <s v="27/12/2022"/>
    <s v="Shipped"/>
    <s v="RYZEN 3rd gen. 3647"/>
    <s v="CPU"/>
    <s v="Intel"/>
    <n v="8500"/>
    <n v="11050"/>
    <n v="1"/>
    <n v="8500"/>
    <n v="11050"/>
    <s v="Advika Joshi"/>
    <n v="33150"/>
  </r>
  <r>
    <s v="144374"/>
    <s v="HR"/>
    <s v="Vipin Kumar"/>
    <s v="27/12/2022"/>
    <s v="Order"/>
    <s v="2GB Graphic Card"/>
    <s v="Graphic Card"/>
    <s v="Nvidia"/>
    <n v="7000"/>
    <n v="9100"/>
    <n v="4"/>
    <n v="28000"/>
    <n v="36400"/>
    <s v="Ajay Sharma"/>
    <n v="18200"/>
  </r>
  <r>
    <s v="144375"/>
    <s v="HP"/>
    <s v="Ranjeet Kumar"/>
    <s v="27/12/2022"/>
    <s v="Processing"/>
    <s v="163 GB DDR4 RAM"/>
    <s v="RAM"/>
    <s v="Hynix"/>
    <n v="6550"/>
    <n v="8515"/>
    <n v="4"/>
    <n v="26200"/>
    <n v="34060"/>
    <s v="Roshan Kumar"/>
    <n v="25545"/>
  </r>
  <r>
    <s v="144376"/>
    <s v="JK"/>
    <s v="Sajal Singhal"/>
    <s v="27/12/2022"/>
    <s v="Delivered"/>
    <s v="Standard ATX motherboard"/>
    <s v="MotherBoard"/>
    <s v="Gigabyte"/>
    <n v="7650"/>
    <n v="9945"/>
    <n v="2"/>
    <n v="15300"/>
    <n v="19890"/>
    <s v="Aarvi Gupta"/>
    <n v="39780"/>
  </r>
  <r>
    <s v="144377"/>
    <s v="JH"/>
    <s v="Akhilesh Kumar"/>
    <s v="27/12/2022"/>
    <s v="Shipped"/>
    <s v="Compact with 1 Fan"/>
    <s v="Cabinet"/>
    <s v="Asus"/>
    <n v="1150"/>
    <n v="1495"/>
    <n v="4"/>
    <n v="4600"/>
    <n v="5980"/>
    <s v="Vijay Singh"/>
    <n v="2990"/>
  </r>
  <r>
    <s v="144378"/>
    <s v="KA"/>
    <s v="Suvankar Chakraborty"/>
    <s v="27/12/2022"/>
    <s v="Order"/>
    <s v="USB Backlight Keyboard"/>
    <s v="Keyboard"/>
    <s v="Dell"/>
    <n v="850"/>
    <n v="1105"/>
    <n v="4"/>
    <n v="3400"/>
    <n v="4420"/>
    <s v="Aadil Khan"/>
    <n v="3315"/>
  </r>
  <r>
    <s v="144379"/>
    <s v="KL"/>
    <s v="Suvankar Adhikary"/>
    <s v="27/12/2022"/>
    <s v="Processing"/>
    <s v="Ergonomic Mouse"/>
    <s v="Mouse"/>
    <s v="Samsung"/>
    <n v="650"/>
    <n v="845"/>
    <n v="1"/>
    <n v="650"/>
    <n v="845"/>
    <s v="Advika Joshi"/>
    <n v="1690"/>
  </r>
  <r>
    <s v="144380"/>
    <s v="MP"/>
    <s v="Rahul Kumar Prajapati"/>
    <s v="27/12/2022"/>
    <s v="Delivered"/>
    <s v="15&quot; LCD Dsipaly"/>
    <s v="Monitor"/>
    <s v="Dell"/>
    <n v="7500"/>
    <n v="9750"/>
    <n v="3"/>
    <n v="22500"/>
    <n v="29250"/>
    <s v="Ajay Sharma"/>
    <n v="9750"/>
  </r>
  <r>
    <s v="144381"/>
    <s v="MH"/>
    <s v="Sagar Jeur"/>
    <s v="27/12/2022"/>
    <s v="Shipped"/>
    <s v="149 TB HDD"/>
    <s v="HDD"/>
    <s v="Seagate"/>
    <n v="10000"/>
    <n v="13000"/>
    <n v="3"/>
    <n v="30000"/>
    <n v="39000"/>
    <s v="Roshan Kumar"/>
    <n v="39000"/>
  </r>
  <r>
    <s v="144382"/>
    <s v="MN"/>
    <s v="Rhushikesh Mane"/>
    <s v="27/12/2022"/>
    <s v="Order"/>
    <s v="148 TB SSD"/>
    <s v="SSD"/>
    <s v="Samsung"/>
    <n v="10500"/>
    <n v="13650"/>
    <n v="1"/>
    <n v="10500"/>
    <n v="13650"/>
    <s v="Aarvi Gupta"/>
    <n v="8450"/>
  </r>
  <r>
    <s v="144383"/>
    <s v="ML"/>
    <s v="Ashish Kumar"/>
    <s v="27/12/2022"/>
    <s v="Processing"/>
    <s v="Intel i5 12th gen."/>
    <s v="CPU"/>
    <s v="Intel"/>
    <n v="8500"/>
    <n v="11050"/>
    <n v="2"/>
    <n v="17000"/>
    <n v="22100"/>
    <s v="Vijay Singh"/>
    <n v="33150"/>
  </r>
  <r>
    <s v="144384"/>
    <s v="MZ"/>
    <s v="Javed Akhter"/>
    <s v="27/12/2022"/>
    <s v="Delivered"/>
    <s v="2GB Graphic Card"/>
    <s v="Graphic Card"/>
    <s v="Nvidia"/>
    <n v="7000"/>
    <n v="9100"/>
    <n v="1"/>
    <n v="7000"/>
    <n v="9100"/>
    <s v="Aadil Khan"/>
    <n v="18200"/>
  </r>
  <r>
    <s v="144385"/>
    <s v="NL"/>
    <s v="Haridas Balraj"/>
    <s v="27/12/2022"/>
    <s v="Shipped"/>
    <s v="151 GB DDR4 Ram"/>
    <s v="RAM"/>
    <s v="Hynix"/>
    <n v="1680"/>
    <n v="2184"/>
    <n v="2"/>
    <n v="3360"/>
    <n v="4368"/>
    <s v="Advika Joshi"/>
    <n v="25545"/>
  </r>
  <r>
    <s v="144386"/>
    <s v="OR"/>
    <s v="Kundan Kumar"/>
    <s v="27/12/2022"/>
    <s v="Order"/>
    <s v="Micro ATX motherboard"/>
    <s v="MotherBoard"/>
    <s v="MSI"/>
    <n v="6540"/>
    <n v="8502"/>
    <n v="4"/>
    <n v="26160"/>
    <n v="34008"/>
    <s v="Ajay Sharma"/>
    <n v="39780"/>
  </r>
  <r>
    <s v="144387"/>
    <s v="PB"/>
    <s v="Atif Siddiqui"/>
    <s v="27/12/2022"/>
    <s v="Processing"/>
    <s v="Gaming Box Cabinet"/>
    <s v="Cabinet"/>
    <s v="Asus"/>
    <n v="2680"/>
    <n v="3484"/>
    <n v="4"/>
    <n v="10720"/>
    <n v="13936"/>
    <s v="Roshan Kumar"/>
    <n v="2990"/>
  </r>
  <r>
    <s v="144388"/>
    <s v="RJ"/>
    <s v="Aditya Agarwal"/>
    <s v="27/12/2022"/>
    <s v="Delivered"/>
    <s v="17&quot; LCD Display"/>
    <s v="Monitor"/>
    <s v="Samsung"/>
    <n v="8250"/>
    <n v="10725"/>
    <n v="2"/>
    <n v="16500"/>
    <n v="21450"/>
    <s v="Aarvi Gupta"/>
    <n v="9750"/>
  </r>
  <r>
    <s v="144389"/>
    <s v="SK"/>
    <s v="Firdoush Jabee"/>
    <s v="27/12/2022"/>
    <s v="Shipped"/>
    <s v="155 GB DDR4 RAM"/>
    <s v="RAM"/>
    <s v="Samsung"/>
    <n v="2650"/>
    <n v="3445"/>
    <n v="3"/>
    <n v="7950"/>
    <n v="10335"/>
    <s v="Vijay Singh"/>
    <n v="25545"/>
  </r>
  <r>
    <s v="144390"/>
    <s v="TN"/>
    <s v="Jay Prakash Kumar"/>
    <s v="27/12/2022"/>
    <s v="Order"/>
    <s v="26&quot; LCD Display"/>
    <s v="Monitor"/>
    <s v="Acer"/>
    <n v="12550"/>
    <n v="16315"/>
    <n v="3"/>
    <n v="37650"/>
    <n v="48945"/>
    <s v="Aadil Khan"/>
    <n v="9750"/>
  </r>
  <r>
    <s v="144391"/>
    <s v="TR"/>
    <s v="Ashish Pandey"/>
    <s v="27/12/2022"/>
    <s v="Processing"/>
    <s v="I7 - intel 12th Generation"/>
    <s v="CPU"/>
    <s v="Intel"/>
    <n v="14500"/>
    <n v="18850"/>
    <n v="2"/>
    <n v="29000"/>
    <n v="37700"/>
    <s v="Advika Joshi"/>
    <n v="33150"/>
  </r>
  <r>
    <s v="144392"/>
    <s v="UK"/>
    <s v="Ajay Sharma"/>
    <s v="27/12/2022"/>
    <s v="Delivered"/>
    <s v="USB Keyboard"/>
    <s v="Keyboard"/>
    <s v="Dell"/>
    <n v="800"/>
    <n v="1040"/>
    <n v="3"/>
    <n v="2400"/>
    <n v="3120"/>
    <s v="Ajay Sharma"/>
    <n v="3315"/>
  </r>
  <r>
    <s v="144393"/>
    <s v="UP"/>
    <s v="Moinuddin Saifi"/>
    <s v="28/12/2022"/>
    <s v="Shipped"/>
    <s v="Wireless Mouse"/>
    <s v="Mouse"/>
    <s v="Samsung"/>
    <n v="600"/>
    <n v="780"/>
    <n v="3"/>
    <n v="1800"/>
    <n v="2340"/>
    <s v="Roshan Kumar"/>
    <n v="1690"/>
  </r>
  <r>
    <s v="144394"/>
    <s v="WB"/>
    <s v="Ramkrishna Das Adhikary"/>
    <s v="29/12/2022"/>
    <s v="Order"/>
    <s v="21&quot; LCD Display"/>
    <s v="Monitor"/>
    <s v="Dell"/>
    <n v="10500"/>
    <n v="13650"/>
    <n v="2"/>
    <n v="21000"/>
    <n v="27300"/>
    <s v="Aarvi Gupta"/>
    <n v="9750"/>
  </r>
  <r>
    <s v="144395"/>
    <s v="TN"/>
    <s v="Ranjeet Mandal"/>
    <s v="30/12/2022"/>
    <s v="Processing"/>
    <s v="149 TB HDD"/>
    <s v="HDD"/>
    <s v="Western Digital"/>
    <n v="6500"/>
    <n v="8450"/>
    <n v="4"/>
    <n v="26000"/>
    <n v="33800"/>
    <s v="Vijay Singh"/>
    <n v="39000"/>
  </r>
  <r>
    <s v="144396"/>
    <s v="TR"/>
    <s v="Ashwini Adsare"/>
    <s v="31/12/2022"/>
    <s v="Delivered"/>
    <s v="404 GB SSD"/>
    <s v="SSD"/>
    <s v="Samsung"/>
    <n v="4500"/>
    <n v="5850"/>
    <n v="3"/>
    <n v="13500"/>
    <n v="17550"/>
    <s v="Aadil Khan"/>
    <n v="8450"/>
  </r>
  <r>
    <s v="144397"/>
    <s v="MH"/>
    <s v="Rajesh Variya"/>
    <s v="31/12/2022"/>
    <s v="Shipped"/>
    <s v="Intel i3 11th gen."/>
    <s v="CPU"/>
    <s v="Intel"/>
    <n v="8500"/>
    <n v="11050"/>
    <n v="4"/>
    <n v="34000"/>
    <n v="44200"/>
    <s v="Advika Joshi"/>
    <n v="33150"/>
  </r>
  <r>
    <s v="144398"/>
    <s v="CH"/>
    <s v="Amit Singh"/>
    <s v="31/12/2022"/>
    <s v="Order"/>
    <s v="4GB Graphic card"/>
    <s v="Graphic Card"/>
    <s v="Nvidia"/>
    <n v="12500"/>
    <n v="16250"/>
    <n v="1"/>
    <n v="12500"/>
    <n v="16250"/>
    <s v="Ajay Sharma"/>
    <n v="18200"/>
  </r>
  <r>
    <s v="144399"/>
    <s v="DH"/>
    <s v="Vinod Mehta"/>
    <s v="31/12/2022"/>
    <s v="Processing"/>
    <s v="156 GB DDR4 RAM"/>
    <s v="Computer Case"/>
    <s v="Hynix"/>
    <n v="3500"/>
    <n v="4550"/>
    <n v="2"/>
    <n v="7000"/>
    <n v="9100"/>
    <s v="Roshan Kumar"/>
    <n v="13650"/>
  </r>
  <r>
    <s v="144400"/>
    <s v="DD"/>
    <s v="Jignesh Mhatre"/>
    <s v="31/12/2022"/>
    <s v="Delivered"/>
    <s v="BTX motherboard"/>
    <s v="Mouse"/>
    <s v="Gigabyte"/>
    <n v="4500"/>
    <n v="5850"/>
    <n v="1"/>
    <n v="4500"/>
    <n v="5850"/>
    <s v="Aarvi Gupta"/>
    <n v="1690"/>
  </r>
  <r>
    <s v="144401"/>
    <s v="DL"/>
    <s v="Rahul Kashyap"/>
    <s v="31/12/2022"/>
    <s v="Shipped"/>
    <s v="151 Fans Cabinet"/>
    <s v="Cabinet"/>
    <s v="Asus"/>
    <n v="2100"/>
    <n v="2730"/>
    <n v="4"/>
    <n v="8400"/>
    <n v="10920"/>
    <s v="Vijay Singh"/>
    <n v="2990"/>
  </r>
  <r>
    <s v="144402"/>
    <s v="LD"/>
    <s v="Mohammed Abdul Kaleem"/>
    <s v="31/12/2022"/>
    <s v="Order"/>
    <s v="Wireless Keyboard"/>
    <s v="Keyboard"/>
    <s v="Dell"/>
    <n v="1150"/>
    <n v="1495"/>
    <n v="4"/>
    <n v="4600"/>
    <n v="5980"/>
    <s v="Aadil Khan"/>
    <n v="3315"/>
  </r>
  <r>
    <s v="144403"/>
    <s v="PY"/>
    <s v="Chandrakant Kasbe"/>
    <s v="31/12/2022"/>
    <s v="Processing"/>
    <s v="USB Mouse"/>
    <s v="Mouse"/>
    <s v="Samsung"/>
    <n v="350"/>
    <n v="455"/>
    <n v="4"/>
    <n v="1400"/>
    <n v="1820"/>
    <s v="Advika Joshi"/>
    <n v="1690"/>
  </r>
  <r>
    <s v="144404"/>
    <s v="AP"/>
    <s v="Rohan Kale"/>
    <s v="31/12/2022"/>
    <s v="Delivered"/>
    <s v="19&quot; LED Display"/>
    <s v="Monitor"/>
    <s v="Dell"/>
    <n v="9500"/>
    <n v="12350"/>
    <n v="4"/>
    <n v="38000"/>
    <n v="49400"/>
    <s v="Ajay Sharma"/>
    <n v="9750"/>
  </r>
  <r>
    <s v="144405"/>
    <s v="AR"/>
    <s v="Aniruddha Kekapure"/>
    <s v="31/12/2022"/>
    <s v="Shipped"/>
    <s v="150 TB HDD"/>
    <s v="HDD"/>
    <s v="Western Digital"/>
    <n v="10000"/>
    <n v="13000"/>
    <n v="4"/>
    <n v="40000"/>
    <n v="52000"/>
    <s v="Roshan Kumar"/>
    <n v="39000"/>
  </r>
  <r>
    <s v="144406"/>
    <s v="AS"/>
    <s v="Aslam Raza"/>
    <s v="31/12/2022"/>
    <s v="Order"/>
    <s v="660 GB M.2"/>
    <s v="SSD"/>
    <s v="Samsung"/>
    <n v="6500"/>
    <n v="8450"/>
    <n v="1"/>
    <n v="6500"/>
    <n v="8450"/>
    <s v="Aarvi Gupta"/>
    <n v="8450"/>
  </r>
  <r>
    <s v="144407"/>
    <s v="BR"/>
    <s v="Roshan Zameer"/>
    <s v="31/12/2022"/>
    <s v="Processing"/>
    <s v="RYZEN 3rd gen. 3648"/>
    <s v="CPU"/>
    <s v="Intel"/>
    <n v="8500"/>
    <n v="11050"/>
    <n v="1"/>
    <n v="8500"/>
    <n v="11050"/>
    <s v="Vijay Singh"/>
    <n v="33150"/>
  </r>
  <r>
    <s v="144408"/>
    <s v="CG"/>
    <s v="Rakesh Kumar Sharma"/>
    <s v="31/12/2022"/>
    <s v="Delivered"/>
    <s v="2GB Graphic Card"/>
    <s v="Graphic Card"/>
    <s v="Nvidia"/>
    <n v="7000"/>
    <n v="9100"/>
    <n v="4"/>
    <n v="28000"/>
    <n v="36400"/>
    <s v="Aadil Khan"/>
    <n v="18200"/>
  </r>
  <r>
    <s v="144409"/>
    <s v="GA"/>
    <s v="Shivanand Sahani"/>
    <s v="31/12/2022"/>
    <s v="Shipped"/>
    <s v="164 GB DDR4 RAM"/>
    <s v="Computer Case"/>
    <s v="Hynix"/>
    <n v="6550"/>
    <n v="8515"/>
    <n v="2"/>
    <n v="13100"/>
    <n v="17030"/>
    <s v="Advika Joshi"/>
    <n v="13650"/>
  </r>
  <r>
    <s v="144410"/>
    <s v="GJ"/>
    <s v="Kunal Patra"/>
    <s v="31/12/2022"/>
    <s v="Order"/>
    <s v="Standard ATX motherboard"/>
    <s v="Mouse"/>
    <s v="Gigabyte"/>
    <n v="7650"/>
    <n v="9945"/>
    <n v="2"/>
    <n v="15300"/>
    <n v="19890"/>
    <s v="Ajay Sharma"/>
    <n v="1690"/>
  </r>
  <r>
    <s v="144411"/>
    <s v="HR"/>
    <s v="Bijendra"/>
    <s v="31/12/2022"/>
    <s v="Processing"/>
    <s v="Compact with 1 Fan"/>
    <s v="Cabinet"/>
    <s v="Asus"/>
    <n v="1150"/>
    <n v="1495"/>
    <n v="4"/>
    <n v="4600"/>
    <n v="5980"/>
    <s v="Roshan Kumar"/>
    <n v="2990"/>
  </r>
  <r>
    <s v="144412"/>
    <s v="HP"/>
    <s v="Kranti Bheke"/>
    <s v="31/12/2022"/>
    <s v="Delivered"/>
    <s v="USB Backlight Keyboard"/>
    <s v="Keyboard"/>
    <s v="Dell"/>
    <n v="850"/>
    <n v="1105"/>
    <n v="3"/>
    <n v="2550"/>
    <n v="3315"/>
    <s v="Aarvi Gupta"/>
    <n v="3315"/>
  </r>
  <r>
    <s v="144413"/>
    <s v="JK"/>
    <s v="Jagdeep"/>
    <s v="31/12/2022"/>
    <s v="Shipped"/>
    <s v="Ergonomic Mouse"/>
    <s v="Mouse"/>
    <s v="Samsung"/>
    <n v="650"/>
    <n v="845"/>
    <n v="1"/>
    <n v="650"/>
    <n v="845"/>
    <s v="Vijay Singh"/>
    <n v="1690"/>
  </r>
  <r>
    <s v="144414"/>
    <s v="JH"/>
    <s v="Adhir Samal"/>
    <s v="31/12/2022"/>
    <s v="Order"/>
    <s v="15&quot; LCD Dsipaly"/>
    <s v="Monitor"/>
    <s v="Dell"/>
    <n v="7500"/>
    <n v="9750"/>
    <n v="2"/>
    <n v="15000"/>
    <n v="19500"/>
    <s v="Aadil Khan"/>
    <n v="9750"/>
  </r>
  <r>
    <s v="144415"/>
    <s v="KA"/>
    <s v="Dannana Jhammi"/>
    <s v="31/12/2022"/>
    <s v="Processing"/>
    <s v="150 TB HDD"/>
    <s v="HDD"/>
    <s v="Seagate"/>
    <n v="10000"/>
    <n v="13000"/>
    <n v="2"/>
    <n v="20000"/>
    <n v="26000"/>
    <s v="Advika Joshi"/>
    <n v="39000"/>
  </r>
  <r>
    <s v="144416"/>
    <s v="KL"/>
    <s v="Vipin Kumar"/>
    <s v="31/12/2022"/>
    <s v="Delivered"/>
    <s v="149 TB SSD"/>
    <s v="SSD"/>
    <s v="Samsung"/>
    <n v="10500"/>
    <n v="13650"/>
    <n v="3"/>
    <n v="31500"/>
    <n v="40950"/>
    <s v="Ajay Sharma"/>
    <n v="8450"/>
  </r>
  <r>
    <s v="144417"/>
    <s v="MP"/>
    <s v="Ranjeet Kumar"/>
    <s v="31/12/2022"/>
    <s v="Shipped"/>
    <s v="Intel i5 12th gen."/>
    <s v="CPU"/>
    <s v="Intel"/>
    <n v="8500"/>
    <n v="11050"/>
    <n v="2"/>
    <n v="17000"/>
    <n v="22100"/>
    <s v="Roshan Kumar"/>
    <n v="33150"/>
  </r>
  <r>
    <s v="144418"/>
    <s v="MH"/>
    <s v="Sajal Singhal"/>
    <s v="31/12/2022"/>
    <s v="Order"/>
    <s v="2GB Graphic Card"/>
    <s v="Graphic Card"/>
    <s v="Nvidia"/>
    <n v="7000"/>
    <n v="9100"/>
    <n v="4"/>
    <n v="28000"/>
    <n v="36400"/>
    <s v="Aarvi Gupta"/>
    <n v="18200"/>
  </r>
  <r>
    <s v="144419"/>
    <s v="MN"/>
    <s v="Akhilesh Kumar"/>
    <s v="31/12/2022"/>
    <s v="Processing"/>
    <s v="152 GB DDR4 Ram"/>
    <s v="Computer Case"/>
    <s v="Hynix"/>
    <n v="1680"/>
    <n v="2184"/>
    <n v="2"/>
    <n v="3360"/>
    <n v="4368"/>
    <s v="Vijay Singh"/>
    <n v="13650"/>
  </r>
  <r>
    <s v="144420"/>
    <s v="ML"/>
    <s v="Suvankar Chakraborty"/>
    <s v="31/12/2022"/>
    <s v="Delivered"/>
    <s v="Micro ATX motherboard"/>
    <s v="Mouse"/>
    <s v="MSI"/>
    <n v="6540"/>
    <n v="8502"/>
    <n v="3"/>
    <n v="19620"/>
    <n v="25506"/>
    <s v="Aadil Khan"/>
    <n v="1690"/>
  </r>
  <r>
    <s v="144421"/>
    <s v="MZ"/>
    <s v="Suvankar Adhikary"/>
    <s v="31/12/2022"/>
    <s v="Shipped"/>
    <s v="Gaming Box Cabinet"/>
    <s v="Cabinet"/>
    <s v="Asus"/>
    <n v="2680"/>
    <n v="3484"/>
    <n v="4"/>
    <n v="10720"/>
    <n v="13936"/>
    <s v="Advika Joshi"/>
    <n v="2990"/>
  </r>
  <r>
    <s v="144422"/>
    <s v="NL"/>
    <s v="Rahul Kumar Prajapati"/>
    <s v="31/12/2022"/>
    <s v="Order"/>
    <s v="17&quot; LCD Display"/>
    <s v="Monitor"/>
    <s v="Samsung"/>
    <n v="8250"/>
    <n v="10725"/>
    <n v="2"/>
    <n v="16500"/>
    <n v="21450"/>
    <s v="Ajay Sharma"/>
    <n v="9750"/>
  </r>
  <r>
    <s v="144423"/>
    <s v="OR"/>
    <s v="Sagar Jeur"/>
    <s v="31/12/2022"/>
    <s v="Processing"/>
    <s v="156 GB DDR4 RAM"/>
    <s v="RAM"/>
    <s v="Samsung"/>
    <n v="2650"/>
    <n v="3445"/>
    <n v="3"/>
    <n v="7950"/>
    <n v="10335"/>
    <s v="Roshan Kumar"/>
    <n v="25545"/>
  </r>
  <r>
    <s v="144424"/>
    <s v="PB"/>
    <s v="Rhushikesh Mane"/>
    <s v="31/12/2022"/>
    <s v="Delivered"/>
    <s v="26&quot; LCD Display"/>
    <s v="Monitor"/>
    <s v="Acer"/>
    <n v="12550"/>
    <n v="16315"/>
    <n v="1"/>
    <n v="12550"/>
    <n v="16315"/>
    <s v="Aarvi Gupta"/>
    <n v="9750"/>
  </r>
  <r>
    <s v="144425"/>
    <s v="RJ"/>
    <s v="Ashish Kumar"/>
    <s v="31/12/2022"/>
    <s v="Shipped"/>
    <s v="I7 - intel 12th Generation"/>
    <s v="CPU"/>
    <s v="Intel"/>
    <n v="14500"/>
    <n v="18850"/>
    <n v="2"/>
    <n v="29000"/>
    <n v="37700"/>
    <s v="Vijay Singh"/>
    <n v="33150"/>
  </r>
  <r>
    <s v="144426"/>
    <s v="SK"/>
    <s v="Javed Akhter"/>
    <s v="31/12/2022"/>
    <s v="Order"/>
    <s v="USB Keyboard"/>
    <s v="Keyboard"/>
    <s v="Dell"/>
    <n v="800"/>
    <n v="1040"/>
    <n v="4"/>
    <n v="3200"/>
    <n v="4160"/>
    <s v="Aadil Khan"/>
    <n v="3315"/>
  </r>
  <r>
    <s v="144427"/>
    <s v="TN"/>
    <s v="Haridas Balraj"/>
    <s v="31/12/2022"/>
    <s v="Processing"/>
    <s v="Wireless Mouse"/>
    <s v="Mouse"/>
    <s v="Samsung"/>
    <n v="600"/>
    <n v="780"/>
    <n v="3"/>
    <n v="1800"/>
    <n v="2340"/>
    <s v="Advika Joshi"/>
    <n v="1690"/>
  </r>
  <r>
    <s v="144428"/>
    <s v="TR"/>
    <s v="Kundan Kumar"/>
    <s v="31/12/2022"/>
    <s v="Delivered"/>
    <s v="21&quot; LCD Display"/>
    <s v="Monitor"/>
    <s v="Dell"/>
    <n v="10500"/>
    <n v="13650"/>
    <n v="2"/>
    <n v="21000"/>
    <n v="27300"/>
    <s v="Ajay Sharma"/>
    <n v="9750"/>
  </r>
  <r>
    <s v="144429"/>
    <s v="UK"/>
    <s v="Atif Siddiqui"/>
    <s v="31/12/2022"/>
    <s v="Shipped"/>
    <s v="150 TB HDD"/>
    <s v="HDD"/>
    <s v="Western Digital"/>
    <n v="6500"/>
    <n v="8450"/>
    <n v="2"/>
    <n v="13000"/>
    <n v="16900"/>
    <s v="Roshan Kumar"/>
    <n v="39000"/>
  </r>
  <r>
    <s v="144430"/>
    <s v="UP"/>
    <s v="Aditya Agarwal"/>
    <s v="31/12/2022"/>
    <s v="Order"/>
    <s v="405 GB SSD"/>
    <s v="SSD"/>
    <s v="Samsung"/>
    <n v="4500"/>
    <n v="5850"/>
    <n v="1"/>
    <n v="4500"/>
    <n v="5850"/>
    <s v="Aarvi Gupta"/>
    <n v="8450"/>
  </r>
  <r>
    <s v="144431"/>
    <s v="WB"/>
    <s v="Firdoush Jabee"/>
    <s v="31/12/2022"/>
    <s v="Processing"/>
    <s v="Intel i3 11th gen."/>
    <s v="CPU"/>
    <s v="Intel"/>
    <n v="8500"/>
    <n v="11050"/>
    <n v="2"/>
    <n v="17000"/>
    <n v="22100"/>
    <s v="Vijay Singh"/>
    <n v="33150"/>
  </r>
  <r>
    <s v="144432"/>
    <s v="TN"/>
    <s v="Jay Prakash Kumar"/>
    <s v="31/12/2022"/>
    <s v="Delivered"/>
    <s v="4GB Graphic card"/>
    <s v="Graphic Card"/>
    <s v="Nvidia"/>
    <n v="12500"/>
    <n v="16250"/>
    <n v="2"/>
    <n v="25000"/>
    <n v="32500"/>
    <s v="Aadil Khan"/>
    <n v="18200"/>
  </r>
  <r>
    <s v="144433"/>
    <s v="TR"/>
    <s v="Ashish Pandey"/>
    <s v="31/12/2022"/>
    <s v="Shipped"/>
    <s v="157 GB DDR4 RAM"/>
    <s v="NIC"/>
    <s v="Hynix"/>
    <n v="3500"/>
    <n v="4550"/>
    <n v="1"/>
    <n v="3500"/>
    <n v="4550"/>
    <s v="Advika Joshi"/>
    <n v="9100"/>
  </r>
  <r>
    <s v="144434"/>
    <s v="MH"/>
    <s v="Ajay Sharma"/>
    <s v="31/12/2022"/>
    <s v="Order"/>
    <s v="BTX motherboard"/>
    <s v="Printer"/>
    <s v="Gigabyte"/>
    <n v="4500"/>
    <n v="5850"/>
    <n v="2"/>
    <n v="9000"/>
    <n v="11700"/>
    <s v="Ajay Sharma"/>
    <n v="11700"/>
  </r>
  <r>
    <s v="144435"/>
    <s v="CH"/>
    <s v="Moinuddin Saifi"/>
    <s v="31/12/2022"/>
    <s v="Processing"/>
    <s v="152 Fans Cabinet"/>
    <s v="Cabinet"/>
    <s v="Asus"/>
    <n v="2100"/>
    <n v="2730"/>
    <n v="3"/>
    <n v="6300"/>
    <n v="8190"/>
    <s v="Roshan Kumar"/>
    <n v="2990"/>
  </r>
  <r>
    <s v="144436"/>
    <s v="DH"/>
    <s v="Ramkrishna Das Adhikary"/>
    <s v="31/12/2022"/>
    <s v="Delivered"/>
    <s v="Wireless Keyboard"/>
    <s v="Keyboard"/>
    <s v="Dell"/>
    <n v="1150"/>
    <n v="1495"/>
    <n v="1"/>
    <n v="1150"/>
    <n v="1495"/>
    <s v="Aarvi Gupta"/>
    <n v="3315"/>
  </r>
  <r>
    <s v="144437"/>
    <s v="DD"/>
    <s v="Ranjeet Mandal"/>
    <s v="31/12/2022"/>
    <s v="Shipped"/>
    <s v="USB Mouse"/>
    <s v="Mouse"/>
    <s v="Samsung"/>
    <n v="350"/>
    <n v="455"/>
    <n v="1"/>
    <n v="350"/>
    <n v="455"/>
    <s v="Vijay Singh"/>
    <n v="1690"/>
  </r>
  <r>
    <s v="144438"/>
    <s v="DL"/>
    <s v="Ashwini Adsare"/>
    <s v="31/12/2022"/>
    <s v="Order"/>
    <s v="19&quot; LED Display"/>
    <s v="Monitor"/>
    <s v="Dell"/>
    <n v="9500"/>
    <n v="12350"/>
    <n v="2"/>
    <n v="19000"/>
    <n v="24700"/>
    <s v="Aadil Khan"/>
    <n v="9750"/>
  </r>
  <r>
    <s v="144439"/>
    <s v="LD"/>
    <s v="Rajesh Variya"/>
    <s v="31/12/2022"/>
    <s v="Processing"/>
    <s v="151 TB HDD"/>
    <s v="HDD"/>
    <s v="Western Digital"/>
    <n v="10000"/>
    <n v="13000"/>
    <n v="2"/>
    <n v="20000"/>
    <n v="26000"/>
    <s v="Advika Joshi"/>
    <n v="39000"/>
  </r>
  <r>
    <s v="144440"/>
    <s v="PY"/>
    <s v="Amit Singh"/>
    <s v="31/12/2022"/>
    <s v="Delivered"/>
    <s v="661 GB M.2"/>
    <s v="SSD"/>
    <s v="Samsung"/>
    <n v="6500"/>
    <n v="8450"/>
    <n v="2"/>
    <n v="13000"/>
    <n v="16900"/>
    <s v="Ajay Sharma"/>
    <n v="8450"/>
  </r>
  <r>
    <s v="144441"/>
    <s v="AP"/>
    <s v="Vinod Mehta"/>
    <s v="31/12/2022"/>
    <s v="Shipped"/>
    <s v="RYZEN 3rd gen. 3649"/>
    <s v="CPU"/>
    <s v="Intel"/>
    <n v="8500"/>
    <n v="11050"/>
    <n v="3"/>
    <n v="25500"/>
    <n v="33150"/>
    <s v="Roshan Kumar"/>
    <n v="33150"/>
  </r>
  <r>
    <s v="144442"/>
    <s v="AR"/>
    <s v="Jignesh Mhatre"/>
    <s v="31/12/2022"/>
    <s v="Order"/>
    <s v="2GB Graphic Card"/>
    <s v="Graphic Card"/>
    <s v="Nvidia"/>
    <n v="7000"/>
    <n v="9100"/>
    <n v="4"/>
    <n v="28000"/>
    <n v="36400"/>
    <s v="Aarvi Gupta"/>
    <n v="18200"/>
  </r>
  <r>
    <s v="144443"/>
    <s v="AS"/>
    <s v="Rahul Kashyap"/>
    <s v="31/12/2022"/>
    <s v="Processing"/>
    <s v="165 GB DDR4 RAM"/>
    <s v="NIC"/>
    <s v="Hynix"/>
    <n v="6550"/>
    <n v="8515"/>
    <n v="2"/>
    <n v="13100"/>
    <n v="17030"/>
    <s v="Vijay Singh"/>
    <n v="9100"/>
  </r>
  <r>
    <s v="144444"/>
    <s v="BR"/>
    <s v="Mohammed Abdul Kaleem"/>
    <s v="31/12/2022"/>
    <s v="Delivered"/>
    <s v="Standard ATX motherboard"/>
    <s v="Printer"/>
    <s v="Gigabyte"/>
    <n v="7650"/>
    <n v="9945"/>
    <n v="2"/>
    <n v="15300"/>
    <n v="19890"/>
    <s v="Aadil Khan"/>
    <n v="11700"/>
  </r>
  <r>
    <s v="144445"/>
    <s v="CG"/>
    <s v="Chandrakant Kasbe"/>
    <s v="31/12/2022"/>
    <s v="Shipped"/>
    <s v="Compact with 1 Fan"/>
    <s v="Cabinet"/>
    <s v="Asus"/>
    <n v="1150"/>
    <n v="1495"/>
    <n v="2"/>
    <n v="2300"/>
    <n v="2990"/>
    <s v="Advika Joshi"/>
    <n v="2990"/>
  </r>
  <r>
    <s v="144446"/>
    <s v="GA"/>
    <s v="Rohan Kale"/>
    <s v="31/12/2022"/>
    <s v="Order"/>
    <s v="USB Backlight Keyboard"/>
    <s v="Keyboard"/>
    <s v="Dell"/>
    <n v="850"/>
    <n v="1105"/>
    <n v="2"/>
    <n v="1700"/>
    <n v="2210"/>
    <s v="Ajay Sharma"/>
    <n v="3315"/>
  </r>
  <r>
    <s v="144447"/>
    <s v="GJ"/>
    <s v="Aniruddha Kekapure"/>
    <s v="31/12/2022"/>
    <s v="Processing"/>
    <s v="Ergonomic Mouse"/>
    <s v="Mouse"/>
    <s v="Samsung"/>
    <n v="650"/>
    <n v="845"/>
    <n v="4"/>
    <n v="2600"/>
    <n v="3380"/>
    <s v="Roshan Kumar"/>
    <n v="1690"/>
  </r>
  <r>
    <s v="144448"/>
    <s v="HR"/>
    <s v="Aslam Raza"/>
    <s v="31/12/2022"/>
    <s v="Delivered"/>
    <s v="15&quot; LCD Dsipaly"/>
    <s v="Monitor"/>
    <s v="Dell"/>
    <n v="7500"/>
    <n v="9750"/>
    <n v="1"/>
    <n v="7500"/>
    <n v="9750"/>
    <s v="Aarvi Gupta"/>
    <n v="9750"/>
  </r>
  <r>
    <s v="144449"/>
    <s v="HP"/>
    <s v="Roshan Zameer"/>
    <s v="31/12/2022"/>
    <s v="Shipped"/>
    <s v="151 TB HDD"/>
    <s v="HDD"/>
    <s v="Seagate"/>
    <n v="10000"/>
    <n v="13000"/>
    <n v="1"/>
    <n v="10000"/>
    <n v="13000"/>
    <s v="Vijay Singh"/>
    <n v="39000"/>
  </r>
  <r>
    <s v="144450"/>
    <s v="JK"/>
    <s v="Rakesh Kumar Sharma"/>
    <s v="31/12/2022"/>
    <s v="Order"/>
    <s v="150 TB SSD"/>
    <s v="SSD"/>
    <s v="Samsung"/>
    <n v="10500"/>
    <n v="13650"/>
    <n v="4"/>
    <n v="42000"/>
    <n v="54600"/>
    <s v="Aadil Khan"/>
    <n v="8450"/>
  </r>
  <r>
    <s v="144451"/>
    <s v="JH"/>
    <s v="Shivanand Sahani"/>
    <s v="31/12/2022"/>
    <s v="Processing"/>
    <s v="Intel i5 12th gen."/>
    <s v="CPU"/>
    <s v="Intel"/>
    <n v="8500"/>
    <n v="11050"/>
    <n v="1"/>
    <n v="8500"/>
    <n v="11050"/>
    <s v="Advika Joshi"/>
    <n v="33150"/>
  </r>
  <r>
    <s v="144452"/>
    <s v="KA"/>
    <s v="Kunal Patra"/>
    <s v="31/12/2022"/>
    <s v="Delivered"/>
    <s v="2GB Graphic Card"/>
    <s v="Graphic Card"/>
    <s v="Nvidia"/>
    <n v="7000"/>
    <n v="9100"/>
    <n v="2"/>
    <n v="14000"/>
    <n v="18200"/>
    <s v="Ajay Sharma"/>
    <n v="18200"/>
  </r>
  <r>
    <s v="144453"/>
    <s v="KL"/>
    <s v="Bijendra"/>
    <s v="31/12/2022"/>
    <s v="Shipped"/>
    <s v="153 GB DDR4 Ram"/>
    <s v="NIC"/>
    <s v="Hynix"/>
    <n v="1680"/>
    <n v="2184"/>
    <n v="4"/>
    <n v="6720"/>
    <n v="8736"/>
    <s v="Roshan Kumar"/>
    <n v="9100"/>
  </r>
  <r>
    <s v="144454"/>
    <s v="MP"/>
    <s v="Kranti Bheke"/>
    <s v="31/12/2022"/>
    <s v="Order"/>
    <s v="Micro ATX motherboard"/>
    <s v="Printer"/>
    <s v="MSI"/>
    <n v="6540"/>
    <n v="8502"/>
    <n v="4"/>
    <n v="26160"/>
    <n v="34008"/>
    <s v="Aarvi Gupta"/>
    <n v="11700"/>
  </r>
  <r>
    <s v="144455"/>
    <s v="MH"/>
    <s v="Jagdeep"/>
    <s v="31/12/2022"/>
    <s v="Processing"/>
    <s v="Gaming Box Cabinet"/>
    <s v="Cabinet"/>
    <s v="Asus"/>
    <n v="2680"/>
    <n v="3484"/>
    <n v="2"/>
    <n v="5360"/>
    <n v="6968"/>
    <s v="Vijay Singh"/>
    <n v="2990"/>
  </r>
  <r>
    <s v="144456"/>
    <s v="MN"/>
    <s v="Adhir Samal"/>
    <s v="31/12/2022"/>
    <s v="Delivered"/>
    <s v="17&quot; LCD Display"/>
    <s v="Monitor"/>
    <s v="Samsung"/>
    <n v="8250"/>
    <n v="10725"/>
    <n v="4"/>
    <n v="33000"/>
    <n v="42900"/>
    <s v="Aadil Khan"/>
    <n v="9750"/>
  </r>
  <r>
    <s v="144457"/>
    <s v="ML"/>
    <s v="Dannana Jhammi"/>
    <s v="31/12/2022"/>
    <s v="Shipped"/>
    <s v="157 GB DDR4 RAM"/>
    <s v="RAM"/>
    <s v="Samsung"/>
    <n v="2650"/>
    <n v="3445"/>
    <n v="2"/>
    <n v="5300"/>
    <n v="6890"/>
    <s v="Advika Joshi"/>
    <n v="25545"/>
  </r>
  <r>
    <s v="144458"/>
    <s v="MZ"/>
    <s v="Vipin Kumar"/>
    <s v="31/12/2022"/>
    <s v="Order"/>
    <s v="26&quot; LCD Display"/>
    <s v="Monitor"/>
    <s v="Acer"/>
    <n v="12550"/>
    <n v="16315"/>
    <n v="2"/>
    <n v="25100"/>
    <n v="32630"/>
    <s v="Ajay Sharma"/>
    <n v="9750"/>
  </r>
  <r>
    <s v="144459"/>
    <s v="NL"/>
    <s v="Ranjeet Kumar"/>
    <s v="31/12/2022"/>
    <s v="Processing"/>
    <s v="I7 - intel 12th Generation"/>
    <s v="CPU"/>
    <s v="Intel"/>
    <n v="14500"/>
    <n v="18850"/>
    <n v="2"/>
    <n v="29000"/>
    <n v="37700"/>
    <s v="Roshan Kumar"/>
    <n v="33150"/>
  </r>
  <r>
    <s v="144460"/>
    <s v="OR"/>
    <s v="Sajal Singhal"/>
    <s v="31/12/2022"/>
    <s v="Delivered"/>
    <s v="USB Keyboard"/>
    <s v="Keyboard"/>
    <s v="Dell"/>
    <n v="800"/>
    <n v="1040"/>
    <n v="1"/>
    <n v="800"/>
    <n v="1040"/>
    <s v="Aarvi Gupta"/>
    <n v="3315"/>
  </r>
  <r>
    <s v="144461"/>
    <s v="PB"/>
    <s v="Akhilesh Kumar"/>
    <s v="31/12/2022"/>
    <s v="Shipped"/>
    <s v="Wireless Mouse"/>
    <s v="Mouse"/>
    <s v="Samsung"/>
    <n v="600"/>
    <n v="780"/>
    <n v="2"/>
    <n v="1200"/>
    <n v="1560"/>
    <s v="Vijay Singh"/>
    <n v="1690"/>
  </r>
  <r>
    <s v="144462"/>
    <s v="RJ"/>
    <s v="Suvankar Chakraborty"/>
    <s v="31/12/2022"/>
    <s v="Order"/>
    <s v="21&quot; LCD Display"/>
    <s v="Monitor"/>
    <s v="Dell"/>
    <n v="10500"/>
    <n v="13650"/>
    <n v="4"/>
    <n v="42000"/>
    <n v="54600"/>
    <s v="Aadil Khan"/>
    <n v="9750"/>
  </r>
  <r>
    <s v="144463"/>
    <s v="SK"/>
    <s v="Suvankar Adhikary"/>
    <s v="31/12/2022"/>
    <s v="Processing"/>
    <s v="151 TB HDD"/>
    <s v="HDD"/>
    <s v="Western Digital"/>
    <n v="6500"/>
    <n v="8450"/>
    <n v="1"/>
    <n v="6500"/>
    <n v="8450"/>
    <s v="Advika Joshi"/>
    <n v="39000"/>
  </r>
  <r>
    <s v="144464"/>
    <s v="TN"/>
    <s v="Rahul Kumar Prajapati"/>
    <s v="31/12/2022"/>
    <s v="Delivered"/>
    <s v="406 GB SSD"/>
    <s v="SSD"/>
    <s v="Samsung"/>
    <n v="4500"/>
    <n v="5850"/>
    <n v="1"/>
    <n v="4500"/>
    <n v="5850"/>
    <s v="Ajay Sharma"/>
    <n v="8450"/>
  </r>
  <r>
    <s v="144465"/>
    <s v="TR"/>
    <s v="Sagar Jeur"/>
    <s v="31/12/2022"/>
    <s v="Shipped"/>
    <s v="Intel i3 11th gen."/>
    <s v="CPU"/>
    <s v="Intel"/>
    <n v="8500"/>
    <n v="11050"/>
    <n v="4"/>
    <n v="34000"/>
    <n v="44200"/>
    <s v="Roshan Kumar"/>
    <n v="33150"/>
  </r>
  <r>
    <s v="144466"/>
    <s v="UK"/>
    <s v="Rhushikesh Mane"/>
    <s v="31/12/2022"/>
    <s v="Order"/>
    <s v="4GB Graphic card"/>
    <s v="Graphic Card"/>
    <s v="Nvidia"/>
    <n v="12500"/>
    <n v="16250"/>
    <n v="2"/>
    <n v="25000"/>
    <n v="32500"/>
    <s v="Aarvi Gupta"/>
    <n v="18200"/>
  </r>
  <r>
    <s v="144467"/>
    <s v="UP"/>
    <s v="Ashish Kumar"/>
    <s v="31/12/2022"/>
    <s v="Processing"/>
    <s v="158 GB DDR4 RAM"/>
    <s v="RAM"/>
    <s v="Hynix"/>
    <n v="3500"/>
    <n v="4550"/>
    <n v="2"/>
    <n v="7000"/>
    <n v="9100"/>
    <s v="Vijay Singh"/>
    <n v="25545"/>
  </r>
  <r>
    <s v="144468"/>
    <s v="WB"/>
    <s v="Javed Akhter"/>
    <s v="31/12/2022"/>
    <s v="Delivered"/>
    <s v="BTX motherboard"/>
    <s v="MotherBoard"/>
    <s v="Gigabyte"/>
    <n v="4500"/>
    <n v="5850"/>
    <n v="3"/>
    <n v="13500"/>
    <n v="17550"/>
    <s v="Aadil Khan"/>
    <n v="39780"/>
  </r>
  <r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518D6-8FF5-4BAD-8BF5-15828931D6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22" firstHeaderRow="1" firstDataRow="1" firstDataCol="1"/>
  <pivotFields count="15">
    <pivotField showAll="0"/>
    <pivotField axis="axisRow" showAll="0">
      <items count="36">
        <item x="21"/>
        <item x="0"/>
        <item x="23"/>
        <item x="1"/>
        <item x="2"/>
        <item x="3"/>
        <item x="22"/>
        <item x="29"/>
        <item x="28"/>
        <item x="30"/>
        <item x="24"/>
        <item x="25"/>
        <item x="34"/>
        <item x="33"/>
        <item x="5"/>
        <item x="4"/>
        <item x="6"/>
        <item x="7"/>
        <item x="31"/>
        <item x="27"/>
        <item x="9"/>
        <item x="8"/>
        <item x="26"/>
        <item x="10"/>
        <item x="11"/>
        <item x="12"/>
        <item x="13"/>
        <item x="32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9"/>
        <item x="5"/>
        <item x="6"/>
        <item x="4"/>
        <item x="3"/>
        <item x="1"/>
        <item x="8"/>
        <item x="2"/>
        <item x="0"/>
        <item x="7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7"/>
  </rowFields>
  <rowItems count="419">
    <i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Total_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EA1B4-3810-4D4A-B0A9-D039D9E97E2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:E38" firstHeaderRow="1" firstDataRow="1" firstDataCol="0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68C237-28CB-46D6-A5F7-12B8562C8E9D}" autoFormatId="16" applyNumberFormats="0" applyBorderFormats="0" applyFontFormats="0" applyPatternFormats="0" applyAlignmentFormats="0" applyWidthHeightFormats="0">
  <queryTableRefresh nextId="23" unboundColumnsRight="6">
    <queryTableFields count="20">
      <queryTableField id="1" name="Order_Number" tableColumnId="1"/>
      <queryTableField id="2" name="State_Code" tableColumnId="2"/>
      <queryTableField id="3" name="Customer_Name" tableColumnId="3"/>
      <queryTableField id="4" name="Order_Date" tableColumnId="4"/>
      <queryTableField id="5" name="Status" tableColumnId="5"/>
      <queryTableField id="6" name="Product" tableColumnId="6"/>
      <queryTableField id="7" name="Category" tableColumnId="7"/>
      <queryTableField id="8" name="Brand" tableColumnId="8"/>
      <queryTableField id="9" name="Cost" tableColumnId="9"/>
      <queryTableField id="10" name="Sales" tableColumnId="10"/>
      <queryTableField id="11" name="Quantity" tableColumnId="11"/>
      <queryTableField id="12" name="Total_Cost" tableColumnId="12"/>
      <queryTableField id="13" name="Total_Sales" tableColumnId="13"/>
      <queryTableField id="14" name="Assigned Supervisor" tableColumnId="14"/>
      <queryTableField id="15" dataBound="0" tableColumnId="15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A4CFF-90FE-41B4-A4D4-B200FE87BC72}" name="Online_eCommerce" displayName="Online_eCommerce" ref="A1:T5096" tableType="queryTable" totalsRowShown="0">
  <autoFilter ref="A1:T5096" xr:uid="{AA0A4CFF-90FE-41B4-A4D4-B200FE87BC72}">
    <filterColumn colId="4">
      <filters>
        <filter val="Order"/>
      </filters>
    </filterColumn>
  </autoFilter>
  <tableColumns count="20">
    <tableColumn id="1" xr3:uid="{65266FBB-CA07-436A-ADB9-E65FD2555460}" uniqueName="1" name="Order_Number" queryTableFieldId="1" dataDxfId="15"/>
    <tableColumn id="2" xr3:uid="{7E3267EA-1190-4F49-AA3B-DD45AC2CC21C}" uniqueName="2" name="State_Code" queryTableFieldId="2" dataDxfId="14"/>
    <tableColumn id="3" xr3:uid="{0DEF843D-26FF-456A-B7D8-90EE4E4DEE36}" uniqueName="3" name="Customer_Name" queryTableFieldId="3" dataDxfId="13"/>
    <tableColumn id="4" xr3:uid="{5A91CF18-1C8B-4E63-B15A-AAA35A83BE10}" uniqueName="4" name="Order_Date" queryTableFieldId="4" dataDxfId="12"/>
    <tableColumn id="5" xr3:uid="{3586F7A0-8438-4BC7-B08B-647742AC05A7}" uniqueName="5" name="Status" queryTableFieldId="5" dataDxfId="11"/>
    <tableColumn id="6" xr3:uid="{C873A07C-4A9D-4A05-A195-B4AE7177BFFF}" uniqueName="6" name="Product" queryTableFieldId="6" dataDxfId="10"/>
    <tableColumn id="7" xr3:uid="{4989524A-984F-4D1A-948E-3501FF67E4B9}" uniqueName="7" name="Category" queryTableFieldId="7" dataDxfId="9"/>
    <tableColumn id="8" xr3:uid="{625C8FD5-BC85-445A-8C5B-FD0F405CE313}" uniqueName="8" name="Brand" queryTableFieldId="8" dataDxfId="8"/>
    <tableColumn id="9" xr3:uid="{A7D9A403-0D38-4E6A-B615-D068DCD122A7}" uniqueName="9" name="Cost" queryTableFieldId="9"/>
    <tableColumn id="10" xr3:uid="{89BA0E10-3BF2-454B-AB55-4B8D4063D3A6}" uniqueName="10" name="Sales" queryTableFieldId="10"/>
    <tableColumn id="11" xr3:uid="{6CBE7EE5-BCE9-4D1F-AA9E-EB77FFC423E8}" uniqueName="11" name="Quantity" queryTableFieldId="11"/>
    <tableColumn id="12" xr3:uid="{337A9985-FBD1-4C7D-B305-D131920581EB}" uniqueName="12" name="Total_Cost" queryTableFieldId="12"/>
    <tableColumn id="13" xr3:uid="{157C0F38-8B79-40B9-9DBA-EEAA71D7FEA8}" uniqueName="13" name="Total_Sales" queryTableFieldId="13"/>
    <tableColumn id="14" xr3:uid="{CAB2CEC8-C4F5-41CB-B677-6FE1A66BAF25}" uniqueName="14" name="Assigned Supervisor" queryTableFieldId="14" dataDxfId="7"/>
    <tableColumn id="15" xr3:uid="{BBF37D1C-0E95-46FA-8C1D-14F407E84127}" uniqueName="15" name="vkooup" queryTableFieldId="15" dataDxfId="6">
      <calculatedColumnFormula>VLOOKUP(G2,G:M,7,FALSE)</calculatedColumnFormula>
    </tableColumn>
    <tableColumn id="17" xr3:uid="{81F34CCD-659F-4042-856E-F9641A290FDD}" uniqueName="17" name="sum if function " queryTableFieldId="17" dataDxfId="5">
      <calculatedColumnFormula>SUMIFS(M:M,C:C,C2)</calculatedColumnFormula>
    </tableColumn>
    <tableColumn id="18" xr3:uid="{689E23D3-6226-44B8-BC0A-A509845BEECB}" uniqueName="18" name="status deleivered " queryTableFieldId="18" dataDxfId="4">
      <calculatedColumnFormula>SUMIFS(M:M,E:E,Online_eCommerce[[#This Row],[Status]])</calculatedColumnFormula>
    </tableColumn>
    <tableColumn id="19" xr3:uid="{B57440A8-7253-4760-98B5-3941F7B52654}" uniqueName="19" name="sum if s" queryTableFieldId="19" dataDxfId="3">
      <calculatedColumnFormula>SUMIFS(L:L,H:H,Online_eCommerce[[#This Row],[Brand]])</calculatedColumnFormula>
    </tableColumn>
    <tableColumn id="20" xr3:uid="{744C6A9C-45D9-4058-A1B4-206505D1AEA7}" uniqueName="20" name="sumif" queryTableFieldId="20" dataDxfId="2">
      <calculatedColumnFormula>SUMIF(H:H,Online_eCommerce[[#This Row],[Brand]],M:M)</calculatedColumnFormula>
    </tableColumn>
    <tableColumn id="21" xr3:uid="{BD8D34E4-E18A-46FD-92A1-BE545DFFC099}" uniqueName="21" name="sumif " queryTableFieldId="21" dataDxfId="1">
      <calculatedColumnFormula>SUMIF(N:N,Online_eCommerce[[#This Row],[Assigned Supervisor]],L:L)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0A5C-35EB-478B-BD11-987ABB45EA8B}">
  <dimension ref="A3:E422"/>
  <sheetViews>
    <sheetView workbookViewId="0">
      <selection activeCell="D21" sqref="D21"/>
    </sheetView>
  </sheetViews>
  <sheetFormatPr defaultRowHeight="14.4" x14ac:dyDescent="0.3"/>
  <cols>
    <col min="1" max="1" width="17.5546875" bestFit="1" customWidth="1"/>
    <col min="2" max="2" width="17" bestFit="1" customWidth="1"/>
  </cols>
  <sheetData>
    <row r="3" spans="1:2" x14ac:dyDescent="0.3">
      <c r="A3" s="10" t="s">
        <v>7555</v>
      </c>
      <c r="B3" t="s">
        <v>7557</v>
      </c>
    </row>
    <row r="4" spans="1:2" x14ac:dyDescent="0.3">
      <c r="A4" s="11" t="s">
        <v>171</v>
      </c>
      <c r="B4">
        <v>494832</v>
      </c>
    </row>
    <row r="5" spans="1:2" x14ac:dyDescent="0.3">
      <c r="A5" s="12" t="s">
        <v>55</v>
      </c>
      <c r="B5">
        <v>19422</v>
      </c>
    </row>
    <row r="6" spans="1:2" x14ac:dyDescent="0.3">
      <c r="A6" s="12" t="s">
        <v>61</v>
      </c>
      <c r="B6">
        <v>135395</v>
      </c>
    </row>
    <row r="7" spans="1:2" x14ac:dyDescent="0.3">
      <c r="A7" s="12" t="s">
        <v>49</v>
      </c>
      <c r="B7">
        <v>29250</v>
      </c>
    </row>
    <row r="8" spans="1:2" x14ac:dyDescent="0.3">
      <c r="A8" s="12" t="s">
        <v>41</v>
      </c>
      <c r="B8">
        <v>26130</v>
      </c>
    </row>
    <row r="9" spans="1:2" x14ac:dyDescent="0.3">
      <c r="A9" s="12" t="s">
        <v>27</v>
      </c>
      <c r="B9">
        <v>107250</v>
      </c>
    </row>
    <row r="10" spans="1:2" x14ac:dyDescent="0.3">
      <c r="A10" s="12" t="s">
        <v>34</v>
      </c>
      <c r="B10">
        <v>36400</v>
      </c>
    </row>
    <row r="11" spans="1:2" x14ac:dyDescent="0.3">
      <c r="A11" s="12" t="s">
        <v>21</v>
      </c>
      <c r="B11">
        <v>37635</v>
      </c>
    </row>
    <row r="12" spans="1:2" x14ac:dyDescent="0.3">
      <c r="A12" s="12" t="s">
        <v>78</v>
      </c>
      <c r="B12">
        <v>65000</v>
      </c>
    </row>
    <row r="13" spans="1:2" x14ac:dyDescent="0.3">
      <c r="A13" s="12" t="s">
        <v>142</v>
      </c>
      <c r="B13">
        <v>38350</v>
      </c>
    </row>
    <row r="14" spans="1:2" x14ac:dyDescent="0.3">
      <c r="A14" s="11" t="s">
        <v>15</v>
      </c>
      <c r="B14">
        <v>1576952</v>
      </c>
    </row>
    <row r="15" spans="1:2" x14ac:dyDescent="0.3">
      <c r="A15" s="12" t="s">
        <v>122</v>
      </c>
      <c r="B15">
        <v>97890</v>
      </c>
    </row>
    <row r="16" spans="1:2" x14ac:dyDescent="0.3">
      <c r="A16" s="12" t="s">
        <v>55</v>
      </c>
      <c r="B16">
        <v>62413</v>
      </c>
    </row>
    <row r="17" spans="1:5" x14ac:dyDescent="0.3">
      <c r="A17" s="12" t="s">
        <v>61</v>
      </c>
      <c r="B17">
        <v>258115</v>
      </c>
    </row>
    <row r="18" spans="1:5" x14ac:dyDescent="0.3">
      <c r="A18" s="12" t="s">
        <v>49</v>
      </c>
      <c r="B18">
        <v>57330</v>
      </c>
    </row>
    <row r="19" spans="1:5" x14ac:dyDescent="0.3">
      <c r="A19" s="12" t="s">
        <v>41</v>
      </c>
      <c r="B19">
        <v>107354</v>
      </c>
    </row>
    <row r="20" spans="1:5" x14ac:dyDescent="0.3">
      <c r="A20" s="12" t="s">
        <v>27</v>
      </c>
      <c r="B20">
        <v>327600</v>
      </c>
    </row>
    <row r="21" spans="1:5" x14ac:dyDescent="0.3">
      <c r="A21" s="12" t="s">
        <v>102</v>
      </c>
      <c r="B21">
        <v>42510</v>
      </c>
      <c r="C21" s="1"/>
      <c r="D21" s="2"/>
      <c r="E21" s="3"/>
    </row>
    <row r="22" spans="1:5" x14ac:dyDescent="0.3">
      <c r="A22" s="12" t="s">
        <v>34</v>
      </c>
      <c r="B22">
        <v>177450</v>
      </c>
      <c r="C22" s="4"/>
      <c r="D22" s="5"/>
      <c r="E22" s="6"/>
    </row>
    <row r="23" spans="1:5" x14ac:dyDescent="0.3">
      <c r="A23" s="12" t="s">
        <v>21</v>
      </c>
      <c r="B23">
        <v>334490</v>
      </c>
      <c r="C23" s="4"/>
      <c r="D23" s="5"/>
      <c r="E23" s="6"/>
    </row>
    <row r="24" spans="1:5" x14ac:dyDescent="0.3">
      <c r="A24" s="12" t="s">
        <v>78</v>
      </c>
      <c r="B24">
        <v>26000</v>
      </c>
      <c r="C24" s="4"/>
      <c r="D24" s="5"/>
      <c r="E24" s="6"/>
    </row>
    <row r="25" spans="1:5" x14ac:dyDescent="0.3">
      <c r="A25" s="12" t="s">
        <v>142</v>
      </c>
      <c r="B25">
        <v>85800</v>
      </c>
      <c r="C25" s="4"/>
      <c r="D25" s="5"/>
      <c r="E25" s="6"/>
    </row>
    <row r="26" spans="1:5" x14ac:dyDescent="0.3">
      <c r="A26" s="11" t="s">
        <v>202</v>
      </c>
      <c r="B26">
        <v>1711879</v>
      </c>
      <c r="C26" s="4"/>
      <c r="D26" s="5"/>
      <c r="E26" s="6"/>
    </row>
    <row r="27" spans="1:5" x14ac:dyDescent="0.3">
      <c r="A27" s="12" t="s">
        <v>122</v>
      </c>
      <c r="B27">
        <v>130520</v>
      </c>
      <c r="C27" s="4"/>
      <c r="D27" s="5"/>
      <c r="E27" s="6"/>
    </row>
    <row r="28" spans="1:5" x14ac:dyDescent="0.3">
      <c r="A28" s="12" t="s">
        <v>55</v>
      </c>
      <c r="B28">
        <v>28106</v>
      </c>
      <c r="C28" s="4"/>
      <c r="D28" s="5"/>
      <c r="E28" s="6"/>
    </row>
    <row r="29" spans="1:5" x14ac:dyDescent="0.3">
      <c r="A29" s="12" t="s">
        <v>61</v>
      </c>
      <c r="B29">
        <v>285935</v>
      </c>
      <c r="C29" s="4"/>
      <c r="D29" s="5"/>
      <c r="E29" s="6"/>
    </row>
    <row r="30" spans="1:5" x14ac:dyDescent="0.3">
      <c r="A30" s="12" t="s">
        <v>49</v>
      </c>
      <c r="B30">
        <v>132795</v>
      </c>
      <c r="C30" s="4"/>
      <c r="D30" s="5"/>
      <c r="E30" s="6"/>
    </row>
    <row r="31" spans="1:5" x14ac:dyDescent="0.3">
      <c r="A31" s="12" t="s">
        <v>41</v>
      </c>
      <c r="B31">
        <v>59982</v>
      </c>
      <c r="C31" s="4"/>
      <c r="D31" s="5"/>
      <c r="E31" s="6"/>
    </row>
    <row r="32" spans="1:5" x14ac:dyDescent="0.3">
      <c r="A32" s="12" t="s">
        <v>27</v>
      </c>
      <c r="B32">
        <v>375050</v>
      </c>
      <c r="C32" s="4"/>
      <c r="D32" s="5"/>
      <c r="E32" s="6"/>
    </row>
    <row r="33" spans="1:5" x14ac:dyDescent="0.3">
      <c r="A33" s="12" t="s">
        <v>102</v>
      </c>
      <c r="B33">
        <v>25506</v>
      </c>
      <c r="C33" s="4"/>
      <c r="D33" s="5"/>
      <c r="E33" s="6"/>
    </row>
    <row r="34" spans="1:5" x14ac:dyDescent="0.3">
      <c r="A34" s="12" t="s">
        <v>34</v>
      </c>
      <c r="B34">
        <v>183300</v>
      </c>
      <c r="C34" s="4"/>
      <c r="D34" s="5"/>
      <c r="E34" s="6"/>
    </row>
    <row r="35" spans="1:5" x14ac:dyDescent="0.3">
      <c r="A35" s="12" t="s">
        <v>21</v>
      </c>
      <c r="B35">
        <v>206635</v>
      </c>
      <c r="C35" s="4"/>
      <c r="D35" s="5"/>
      <c r="E35" s="6"/>
    </row>
    <row r="36" spans="1:5" x14ac:dyDescent="0.3">
      <c r="A36" s="12" t="s">
        <v>78</v>
      </c>
      <c r="B36">
        <v>91000</v>
      </c>
      <c r="C36" s="4"/>
      <c r="D36" s="5"/>
      <c r="E36" s="6"/>
    </row>
    <row r="37" spans="1:5" x14ac:dyDescent="0.3">
      <c r="A37" s="12" t="s">
        <v>142</v>
      </c>
      <c r="B37">
        <v>193050</v>
      </c>
      <c r="C37" s="4"/>
      <c r="D37" s="5"/>
      <c r="E37" s="6"/>
    </row>
    <row r="38" spans="1:5" x14ac:dyDescent="0.3">
      <c r="A38" s="11" t="s">
        <v>30</v>
      </c>
      <c r="B38">
        <v>1665365</v>
      </c>
      <c r="C38" s="7"/>
      <c r="D38" s="8"/>
      <c r="E38" s="9"/>
    </row>
    <row r="39" spans="1:5" x14ac:dyDescent="0.3">
      <c r="A39" s="12" t="s">
        <v>122</v>
      </c>
      <c r="B39">
        <v>163150</v>
      </c>
    </row>
    <row r="40" spans="1:5" x14ac:dyDescent="0.3">
      <c r="A40" s="12" t="s">
        <v>55</v>
      </c>
      <c r="B40">
        <v>52728</v>
      </c>
    </row>
    <row r="41" spans="1:5" x14ac:dyDescent="0.3">
      <c r="A41" s="12" t="s">
        <v>61</v>
      </c>
      <c r="B41">
        <v>200265</v>
      </c>
    </row>
    <row r="42" spans="1:5" x14ac:dyDescent="0.3">
      <c r="A42" s="12" t="s">
        <v>49</v>
      </c>
      <c r="B42">
        <v>102375</v>
      </c>
    </row>
    <row r="43" spans="1:5" x14ac:dyDescent="0.3">
      <c r="A43" s="12" t="s">
        <v>41</v>
      </c>
      <c r="B43">
        <v>80210</v>
      </c>
    </row>
    <row r="44" spans="1:5" x14ac:dyDescent="0.3">
      <c r="A44" s="12" t="s">
        <v>27</v>
      </c>
      <c r="B44">
        <v>272350</v>
      </c>
    </row>
    <row r="45" spans="1:5" x14ac:dyDescent="0.3">
      <c r="A45" s="12" t="s">
        <v>102</v>
      </c>
      <c r="B45">
        <v>51012</v>
      </c>
    </row>
    <row r="46" spans="1:5" x14ac:dyDescent="0.3">
      <c r="A46" s="12" t="s">
        <v>34</v>
      </c>
      <c r="B46">
        <v>201500</v>
      </c>
    </row>
    <row r="47" spans="1:5" x14ac:dyDescent="0.3">
      <c r="A47" s="12" t="s">
        <v>21</v>
      </c>
      <c r="B47">
        <v>278525</v>
      </c>
    </row>
    <row r="48" spans="1:5" x14ac:dyDescent="0.3">
      <c r="A48" s="12" t="s">
        <v>78</v>
      </c>
      <c r="B48">
        <v>104000</v>
      </c>
    </row>
    <row r="49" spans="1:2" x14ac:dyDescent="0.3">
      <c r="A49" s="12" t="s">
        <v>142</v>
      </c>
      <c r="B49">
        <v>159250</v>
      </c>
    </row>
    <row r="50" spans="1:2" x14ac:dyDescent="0.3">
      <c r="A50" s="11" t="s">
        <v>37</v>
      </c>
      <c r="B50">
        <v>4862221</v>
      </c>
    </row>
    <row r="51" spans="1:2" x14ac:dyDescent="0.3">
      <c r="A51" s="12" t="s">
        <v>122</v>
      </c>
      <c r="B51">
        <v>326300</v>
      </c>
    </row>
    <row r="52" spans="1:2" x14ac:dyDescent="0.3">
      <c r="A52" s="12" t="s">
        <v>55</v>
      </c>
      <c r="B52">
        <v>133757</v>
      </c>
    </row>
    <row r="53" spans="1:2" x14ac:dyDescent="0.3">
      <c r="A53" s="12" t="s">
        <v>61</v>
      </c>
      <c r="B53">
        <v>838435</v>
      </c>
    </row>
    <row r="54" spans="1:2" x14ac:dyDescent="0.3">
      <c r="A54" s="12" t="s">
        <v>49</v>
      </c>
      <c r="B54">
        <v>193635</v>
      </c>
    </row>
    <row r="55" spans="1:2" x14ac:dyDescent="0.3">
      <c r="A55" s="12" t="s">
        <v>41</v>
      </c>
      <c r="B55">
        <v>270543</v>
      </c>
    </row>
    <row r="56" spans="1:2" x14ac:dyDescent="0.3">
      <c r="A56" s="12" t="s">
        <v>27</v>
      </c>
      <c r="B56">
        <v>986050</v>
      </c>
    </row>
    <row r="57" spans="1:2" x14ac:dyDescent="0.3">
      <c r="A57" s="12" t="s">
        <v>102</v>
      </c>
      <c r="B57">
        <v>153036</v>
      </c>
    </row>
    <row r="58" spans="1:2" x14ac:dyDescent="0.3">
      <c r="A58" s="12" t="s">
        <v>34</v>
      </c>
      <c r="B58">
        <v>507650</v>
      </c>
    </row>
    <row r="59" spans="1:2" x14ac:dyDescent="0.3">
      <c r="A59" s="12" t="s">
        <v>21</v>
      </c>
      <c r="B59">
        <v>815165</v>
      </c>
    </row>
    <row r="60" spans="1:2" x14ac:dyDescent="0.3">
      <c r="A60" s="12" t="s">
        <v>78</v>
      </c>
      <c r="B60">
        <v>234000</v>
      </c>
    </row>
    <row r="61" spans="1:2" x14ac:dyDescent="0.3">
      <c r="A61" s="12" t="s">
        <v>142</v>
      </c>
      <c r="B61">
        <v>403650</v>
      </c>
    </row>
    <row r="62" spans="1:2" x14ac:dyDescent="0.3">
      <c r="A62" s="11" t="s">
        <v>44</v>
      </c>
      <c r="B62">
        <v>1681290</v>
      </c>
    </row>
    <row r="63" spans="1:2" x14ac:dyDescent="0.3">
      <c r="A63" s="12" t="s">
        <v>122</v>
      </c>
      <c r="B63">
        <v>114205</v>
      </c>
    </row>
    <row r="64" spans="1:2" x14ac:dyDescent="0.3">
      <c r="A64" s="12" t="s">
        <v>55</v>
      </c>
      <c r="B64">
        <v>40040</v>
      </c>
    </row>
    <row r="65" spans="1:2" x14ac:dyDescent="0.3">
      <c r="A65" s="12" t="s">
        <v>61</v>
      </c>
      <c r="B65">
        <v>242450</v>
      </c>
    </row>
    <row r="66" spans="1:2" x14ac:dyDescent="0.3">
      <c r="A66" s="12" t="s">
        <v>49</v>
      </c>
      <c r="B66">
        <v>132795</v>
      </c>
    </row>
    <row r="67" spans="1:2" x14ac:dyDescent="0.3">
      <c r="A67" s="12" t="s">
        <v>41</v>
      </c>
      <c r="B67">
        <v>74100</v>
      </c>
    </row>
    <row r="68" spans="1:2" x14ac:dyDescent="0.3">
      <c r="A68" s="12" t="s">
        <v>27</v>
      </c>
      <c r="B68">
        <v>269750</v>
      </c>
    </row>
    <row r="69" spans="1:2" x14ac:dyDescent="0.3">
      <c r="A69" s="12" t="s">
        <v>102</v>
      </c>
      <c r="B69">
        <v>42510</v>
      </c>
    </row>
    <row r="70" spans="1:2" x14ac:dyDescent="0.3">
      <c r="A70" s="12" t="s">
        <v>34</v>
      </c>
      <c r="B70">
        <v>241150</v>
      </c>
    </row>
    <row r="71" spans="1:2" x14ac:dyDescent="0.3">
      <c r="A71" s="12" t="s">
        <v>21</v>
      </c>
      <c r="B71">
        <v>244790</v>
      </c>
    </row>
    <row r="72" spans="1:2" x14ac:dyDescent="0.3">
      <c r="A72" s="12" t="s">
        <v>78</v>
      </c>
      <c r="B72">
        <v>117000</v>
      </c>
    </row>
    <row r="73" spans="1:2" x14ac:dyDescent="0.3">
      <c r="A73" s="12" t="s">
        <v>142</v>
      </c>
      <c r="B73">
        <v>162500</v>
      </c>
    </row>
    <row r="74" spans="1:2" x14ac:dyDescent="0.3">
      <c r="A74" s="11" t="s">
        <v>176</v>
      </c>
      <c r="B74">
        <v>1958697</v>
      </c>
    </row>
    <row r="75" spans="1:2" x14ac:dyDescent="0.3">
      <c r="A75" s="12" t="s">
        <v>122</v>
      </c>
      <c r="B75">
        <v>81575</v>
      </c>
    </row>
    <row r="76" spans="1:2" x14ac:dyDescent="0.3">
      <c r="A76" s="12" t="s">
        <v>55</v>
      </c>
      <c r="B76">
        <v>26338</v>
      </c>
    </row>
    <row r="77" spans="1:2" x14ac:dyDescent="0.3">
      <c r="A77" s="12" t="s">
        <v>61</v>
      </c>
      <c r="B77">
        <v>213915</v>
      </c>
    </row>
    <row r="78" spans="1:2" x14ac:dyDescent="0.3">
      <c r="A78" s="12" t="s">
        <v>49</v>
      </c>
      <c r="B78">
        <v>120510</v>
      </c>
    </row>
    <row r="79" spans="1:2" x14ac:dyDescent="0.3">
      <c r="A79" s="12" t="s">
        <v>41</v>
      </c>
      <c r="B79">
        <v>122824</v>
      </c>
    </row>
    <row r="80" spans="1:2" x14ac:dyDescent="0.3">
      <c r="A80" s="12" t="s">
        <v>27</v>
      </c>
      <c r="B80">
        <v>427050</v>
      </c>
    </row>
    <row r="81" spans="1:2" x14ac:dyDescent="0.3">
      <c r="A81" s="12" t="s">
        <v>102</v>
      </c>
      <c r="B81">
        <v>42510</v>
      </c>
    </row>
    <row r="82" spans="1:2" x14ac:dyDescent="0.3">
      <c r="A82" s="12" t="s">
        <v>34</v>
      </c>
      <c r="B82">
        <v>284700</v>
      </c>
    </row>
    <row r="83" spans="1:2" x14ac:dyDescent="0.3">
      <c r="A83" s="12" t="s">
        <v>21</v>
      </c>
      <c r="B83">
        <v>346125</v>
      </c>
    </row>
    <row r="84" spans="1:2" x14ac:dyDescent="0.3">
      <c r="A84" s="12" t="s">
        <v>78</v>
      </c>
      <c r="B84">
        <v>130000</v>
      </c>
    </row>
    <row r="85" spans="1:2" x14ac:dyDescent="0.3">
      <c r="A85" s="12" t="s">
        <v>142</v>
      </c>
      <c r="B85">
        <v>163150</v>
      </c>
    </row>
    <row r="86" spans="1:2" x14ac:dyDescent="0.3">
      <c r="A86" s="11" t="s">
        <v>280</v>
      </c>
      <c r="B86">
        <v>1676324</v>
      </c>
    </row>
    <row r="87" spans="1:2" x14ac:dyDescent="0.3">
      <c r="A87" s="12" t="s">
        <v>122</v>
      </c>
      <c r="B87">
        <v>114205</v>
      </c>
    </row>
    <row r="88" spans="1:2" x14ac:dyDescent="0.3">
      <c r="A88" s="12" t="s">
        <v>55</v>
      </c>
      <c r="B88">
        <v>47749</v>
      </c>
    </row>
    <row r="89" spans="1:2" x14ac:dyDescent="0.3">
      <c r="A89" s="12" t="s">
        <v>61</v>
      </c>
      <c r="B89">
        <v>203775</v>
      </c>
    </row>
    <row r="90" spans="1:2" x14ac:dyDescent="0.3">
      <c r="A90" s="12" t="s">
        <v>49</v>
      </c>
      <c r="B90">
        <v>98865</v>
      </c>
    </row>
    <row r="91" spans="1:2" x14ac:dyDescent="0.3">
      <c r="A91" s="12" t="s">
        <v>41</v>
      </c>
      <c r="B91">
        <v>98839</v>
      </c>
    </row>
    <row r="92" spans="1:2" x14ac:dyDescent="0.3">
      <c r="A92" s="12" t="s">
        <v>27</v>
      </c>
      <c r="B92">
        <v>341900</v>
      </c>
    </row>
    <row r="93" spans="1:2" x14ac:dyDescent="0.3">
      <c r="A93" s="12" t="s">
        <v>102</v>
      </c>
      <c r="B93">
        <v>68016</v>
      </c>
    </row>
    <row r="94" spans="1:2" x14ac:dyDescent="0.3">
      <c r="A94" s="12" t="s">
        <v>34</v>
      </c>
      <c r="B94">
        <v>214500</v>
      </c>
    </row>
    <row r="95" spans="1:2" x14ac:dyDescent="0.3">
      <c r="A95" s="12" t="s">
        <v>21</v>
      </c>
      <c r="B95">
        <v>277225</v>
      </c>
    </row>
    <row r="96" spans="1:2" x14ac:dyDescent="0.3">
      <c r="A96" s="12" t="s">
        <v>78</v>
      </c>
      <c r="B96">
        <v>65000</v>
      </c>
    </row>
    <row r="97" spans="1:2" x14ac:dyDescent="0.3">
      <c r="A97" s="12" t="s">
        <v>142</v>
      </c>
      <c r="B97">
        <v>146250</v>
      </c>
    </row>
    <row r="98" spans="1:2" x14ac:dyDescent="0.3">
      <c r="A98" s="11" t="s">
        <v>276</v>
      </c>
      <c r="B98">
        <v>1717079</v>
      </c>
    </row>
    <row r="99" spans="1:2" x14ac:dyDescent="0.3">
      <c r="A99" s="12" t="s">
        <v>122</v>
      </c>
      <c r="B99">
        <v>65260</v>
      </c>
    </row>
    <row r="100" spans="1:2" x14ac:dyDescent="0.3">
      <c r="A100" s="12" t="s">
        <v>55</v>
      </c>
      <c r="B100">
        <v>48958</v>
      </c>
    </row>
    <row r="101" spans="1:2" x14ac:dyDescent="0.3">
      <c r="A101" s="12" t="s">
        <v>61</v>
      </c>
      <c r="B101">
        <v>238420</v>
      </c>
    </row>
    <row r="102" spans="1:2" x14ac:dyDescent="0.3">
      <c r="A102" s="12" t="s">
        <v>49</v>
      </c>
      <c r="B102">
        <v>116415</v>
      </c>
    </row>
    <row r="103" spans="1:2" x14ac:dyDescent="0.3">
      <c r="A103" s="12" t="s">
        <v>41</v>
      </c>
      <c r="B103">
        <v>100594</v>
      </c>
    </row>
    <row r="104" spans="1:2" x14ac:dyDescent="0.3">
      <c r="A104" s="12" t="s">
        <v>27</v>
      </c>
      <c r="B104">
        <v>436800</v>
      </c>
    </row>
    <row r="105" spans="1:2" x14ac:dyDescent="0.3">
      <c r="A105" s="12" t="s">
        <v>102</v>
      </c>
      <c r="B105">
        <v>51012</v>
      </c>
    </row>
    <row r="106" spans="1:2" x14ac:dyDescent="0.3">
      <c r="A106" s="12" t="s">
        <v>34</v>
      </c>
      <c r="B106">
        <v>224900</v>
      </c>
    </row>
    <row r="107" spans="1:2" x14ac:dyDescent="0.3">
      <c r="A107" s="12" t="s">
        <v>21</v>
      </c>
      <c r="B107">
        <v>267020</v>
      </c>
    </row>
    <row r="108" spans="1:2" x14ac:dyDescent="0.3">
      <c r="A108" s="12" t="s">
        <v>78</v>
      </c>
      <c r="B108">
        <v>78000</v>
      </c>
    </row>
    <row r="109" spans="1:2" x14ac:dyDescent="0.3">
      <c r="A109" s="12" t="s">
        <v>142</v>
      </c>
      <c r="B109">
        <v>89700</v>
      </c>
    </row>
    <row r="110" spans="1:2" x14ac:dyDescent="0.3">
      <c r="A110" s="11" t="s">
        <v>283</v>
      </c>
      <c r="B110">
        <v>5061953</v>
      </c>
    </row>
    <row r="111" spans="1:2" x14ac:dyDescent="0.3">
      <c r="A111" s="12" t="s">
        <v>122</v>
      </c>
      <c r="B111">
        <v>342615</v>
      </c>
    </row>
    <row r="112" spans="1:2" x14ac:dyDescent="0.3">
      <c r="A112" s="12" t="s">
        <v>55</v>
      </c>
      <c r="B112">
        <v>164593</v>
      </c>
    </row>
    <row r="113" spans="1:2" x14ac:dyDescent="0.3">
      <c r="A113" s="12" t="s">
        <v>61</v>
      </c>
      <c r="B113">
        <v>785460</v>
      </c>
    </row>
    <row r="114" spans="1:2" x14ac:dyDescent="0.3">
      <c r="A114" s="12" t="s">
        <v>49</v>
      </c>
      <c r="B114">
        <v>375570</v>
      </c>
    </row>
    <row r="115" spans="1:2" x14ac:dyDescent="0.3">
      <c r="A115" s="12" t="s">
        <v>41</v>
      </c>
      <c r="B115">
        <v>288379</v>
      </c>
    </row>
    <row r="116" spans="1:2" x14ac:dyDescent="0.3">
      <c r="A116" s="12" t="s">
        <v>27</v>
      </c>
      <c r="B116">
        <v>939250</v>
      </c>
    </row>
    <row r="117" spans="1:2" x14ac:dyDescent="0.3">
      <c r="A117" s="12" t="s">
        <v>102</v>
      </c>
      <c r="B117">
        <v>110526</v>
      </c>
    </row>
    <row r="118" spans="1:2" x14ac:dyDescent="0.3">
      <c r="A118" s="12" t="s">
        <v>34</v>
      </c>
      <c r="B118">
        <v>661700</v>
      </c>
    </row>
    <row r="119" spans="1:2" x14ac:dyDescent="0.3">
      <c r="A119" s="12" t="s">
        <v>21</v>
      </c>
      <c r="B119">
        <v>791960</v>
      </c>
    </row>
    <row r="120" spans="1:2" x14ac:dyDescent="0.3">
      <c r="A120" s="12" t="s">
        <v>78</v>
      </c>
      <c r="B120">
        <v>247000</v>
      </c>
    </row>
    <row r="121" spans="1:2" x14ac:dyDescent="0.3">
      <c r="A121" s="12" t="s">
        <v>142</v>
      </c>
      <c r="B121">
        <v>354900</v>
      </c>
    </row>
    <row r="122" spans="1:2" x14ac:dyDescent="0.3">
      <c r="A122" s="11" t="s">
        <v>213</v>
      </c>
      <c r="B122">
        <v>1566175</v>
      </c>
    </row>
    <row r="123" spans="1:2" x14ac:dyDescent="0.3">
      <c r="A123" s="12" t="s">
        <v>122</v>
      </c>
      <c r="B123">
        <v>97890</v>
      </c>
    </row>
    <row r="124" spans="1:2" x14ac:dyDescent="0.3">
      <c r="A124" s="12" t="s">
        <v>55</v>
      </c>
      <c r="B124">
        <v>36569</v>
      </c>
    </row>
    <row r="125" spans="1:2" x14ac:dyDescent="0.3">
      <c r="A125" s="12" t="s">
        <v>61</v>
      </c>
      <c r="B125">
        <v>195260</v>
      </c>
    </row>
    <row r="126" spans="1:2" x14ac:dyDescent="0.3">
      <c r="A126" s="12" t="s">
        <v>49</v>
      </c>
      <c r="B126">
        <v>98865</v>
      </c>
    </row>
    <row r="127" spans="1:2" x14ac:dyDescent="0.3">
      <c r="A127" s="12" t="s">
        <v>41</v>
      </c>
      <c r="B127">
        <v>115037</v>
      </c>
    </row>
    <row r="128" spans="1:2" x14ac:dyDescent="0.3">
      <c r="A128" s="12" t="s">
        <v>27</v>
      </c>
      <c r="B128">
        <v>282100</v>
      </c>
    </row>
    <row r="129" spans="1:2" x14ac:dyDescent="0.3">
      <c r="A129" s="12" t="s">
        <v>102</v>
      </c>
      <c r="B129">
        <v>102024</v>
      </c>
    </row>
    <row r="130" spans="1:2" x14ac:dyDescent="0.3">
      <c r="A130" s="12" t="s">
        <v>34</v>
      </c>
      <c r="B130">
        <v>199550</v>
      </c>
    </row>
    <row r="131" spans="1:2" x14ac:dyDescent="0.3">
      <c r="A131" s="12" t="s">
        <v>21</v>
      </c>
      <c r="B131">
        <v>262730</v>
      </c>
    </row>
    <row r="132" spans="1:2" x14ac:dyDescent="0.3">
      <c r="A132" s="12" t="s">
        <v>78</v>
      </c>
      <c r="B132">
        <v>65000</v>
      </c>
    </row>
    <row r="133" spans="1:2" x14ac:dyDescent="0.3">
      <c r="A133" s="12" t="s">
        <v>142</v>
      </c>
      <c r="B133">
        <v>111150</v>
      </c>
    </row>
    <row r="134" spans="1:2" x14ac:dyDescent="0.3">
      <c r="A134" s="11" t="s">
        <v>215</v>
      </c>
      <c r="B134">
        <v>9137726</v>
      </c>
    </row>
    <row r="135" spans="1:2" x14ac:dyDescent="0.3">
      <c r="A135" s="12" t="s">
        <v>122</v>
      </c>
      <c r="B135">
        <v>522080</v>
      </c>
    </row>
    <row r="136" spans="1:2" x14ac:dyDescent="0.3">
      <c r="A136" s="12" t="s">
        <v>55</v>
      </c>
      <c r="B136">
        <v>282516</v>
      </c>
    </row>
    <row r="137" spans="1:2" x14ac:dyDescent="0.3">
      <c r="A137" s="12" t="s">
        <v>61</v>
      </c>
      <c r="B137">
        <v>1228825</v>
      </c>
    </row>
    <row r="138" spans="1:2" x14ac:dyDescent="0.3">
      <c r="A138" s="12" t="s">
        <v>49</v>
      </c>
      <c r="B138">
        <v>570960</v>
      </c>
    </row>
    <row r="139" spans="1:2" x14ac:dyDescent="0.3">
      <c r="A139" s="12" t="s">
        <v>41</v>
      </c>
      <c r="B139">
        <v>516100</v>
      </c>
    </row>
    <row r="140" spans="1:2" x14ac:dyDescent="0.3">
      <c r="A140" s="12" t="s">
        <v>27</v>
      </c>
      <c r="B140">
        <v>1795300</v>
      </c>
    </row>
    <row r="141" spans="1:2" x14ac:dyDescent="0.3">
      <c r="A141" s="12" t="s">
        <v>102</v>
      </c>
      <c r="B141">
        <v>297570</v>
      </c>
    </row>
    <row r="142" spans="1:2" x14ac:dyDescent="0.3">
      <c r="A142" s="12" t="s">
        <v>34</v>
      </c>
      <c r="B142">
        <v>1257100</v>
      </c>
    </row>
    <row r="143" spans="1:2" x14ac:dyDescent="0.3">
      <c r="A143" s="12" t="s">
        <v>21</v>
      </c>
      <c r="B143">
        <v>1577225</v>
      </c>
    </row>
    <row r="144" spans="1:2" x14ac:dyDescent="0.3">
      <c r="A144" s="12" t="s">
        <v>78</v>
      </c>
      <c r="B144">
        <v>416000</v>
      </c>
    </row>
    <row r="145" spans="1:2" x14ac:dyDescent="0.3">
      <c r="A145" s="12" t="s">
        <v>142</v>
      </c>
      <c r="B145">
        <v>674050</v>
      </c>
    </row>
    <row r="146" spans="1:2" x14ac:dyDescent="0.3">
      <c r="A146" s="11" t="s">
        <v>528</v>
      </c>
      <c r="B146">
        <v>1603667</v>
      </c>
    </row>
    <row r="147" spans="1:2" x14ac:dyDescent="0.3">
      <c r="A147" s="12" t="s">
        <v>122</v>
      </c>
      <c r="B147">
        <v>97890</v>
      </c>
    </row>
    <row r="148" spans="1:2" x14ac:dyDescent="0.3">
      <c r="A148" s="12" t="s">
        <v>55</v>
      </c>
      <c r="B148">
        <v>49764</v>
      </c>
    </row>
    <row r="149" spans="1:2" x14ac:dyDescent="0.3">
      <c r="A149" s="12" t="s">
        <v>61</v>
      </c>
      <c r="B149">
        <v>250315</v>
      </c>
    </row>
    <row r="150" spans="1:2" x14ac:dyDescent="0.3">
      <c r="A150" s="12" t="s">
        <v>49</v>
      </c>
      <c r="B150">
        <v>73125</v>
      </c>
    </row>
    <row r="151" spans="1:2" x14ac:dyDescent="0.3">
      <c r="A151" s="12" t="s">
        <v>41</v>
      </c>
      <c r="B151">
        <v>146562</v>
      </c>
    </row>
    <row r="152" spans="1:2" x14ac:dyDescent="0.3">
      <c r="A152" s="12" t="s">
        <v>27</v>
      </c>
      <c r="B152">
        <v>260000</v>
      </c>
    </row>
    <row r="153" spans="1:2" x14ac:dyDescent="0.3">
      <c r="A153" s="12" t="s">
        <v>102</v>
      </c>
      <c r="B153">
        <v>68016</v>
      </c>
    </row>
    <row r="154" spans="1:2" x14ac:dyDescent="0.3">
      <c r="A154" s="12" t="s">
        <v>34</v>
      </c>
      <c r="B154">
        <v>163150</v>
      </c>
    </row>
    <row r="155" spans="1:2" x14ac:dyDescent="0.3">
      <c r="A155" s="12" t="s">
        <v>21</v>
      </c>
      <c r="B155">
        <v>322595</v>
      </c>
    </row>
    <row r="156" spans="1:2" x14ac:dyDescent="0.3">
      <c r="A156" s="12" t="s">
        <v>78</v>
      </c>
      <c r="B156">
        <v>65000</v>
      </c>
    </row>
    <row r="157" spans="1:2" x14ac:dyDescent="0.3">
      <c r="A157" s="12" t="s">
        <v>142</v>
      </c>
      <c r="B157">
        <v>107250</v>
      </c>
    </row>
    <row r="158" spans="1:2" x14ac:dyDescent="0.3">
      <c r="A158" s="11" t="s">
        <v>306</v>
      </c>
      <c r="B158">
        <v>1439191</v>
      </c>
    </row>
    <row r="159" spans="1:2" x14ac:dyDescent="0.3">
      <c r="A159" s="12" t="s">
        <v>122</v>
      </c>
      <c r="B159">
        <v>48945</v>
      </c>
    </row>
    <row r="160" spans="1:2" x14ac:dyDescent="0.3">
      <c r="A160" s="12" t="s">
        <v>55</v>
      </c>
      <c r="B160">
        <v>59683</v>
      </c>
    </row>
    <row r="161" spans="1:2" x14ac:dyDescent="0.3">
      <c r="A161" s="12" t="s">
        <v>61</v>
      </c>
      <c r="B161">
        <v>124865</v>
      </c>
    </row>
    <row r="162" spans="1:2" x14ac:dyDescent="0.3">
      <c r="A162" s="12" t="s">
        <v>49</v>
      </c>
      <c r="B162">
        <v>121095</v>
      </c>
    </row>
    <row r="163" spans="1:2" x14ac:dyDescent="0.3">
      <c r="A163" s="12" t="s">
        <v>41</v>
      </c>
      <c r="B163">
        <v>102414</v>
      </c>
    </row>
    <row r="164" spans="1:2" x14ac:dyDescent="0.3">
      <c r="A164" s="12" t="s">
        <v>27</v>
      </c>
      <c r="B164">
        <v>170300</v>
      </c>
    </row>
    <row r="165" spans="1:2" x14ac:dyDescent="0.3">
      <c r="A165" s="12" t="s">
        <v>102</v>
      </c>
      <c r="B165">
        <v>59514</v>
      </c>
    </row>
    <row r="166" spans="1:2" x14ac:dyDescent="0.3">
      <c r="A166" s="12" t="s">
        <v>34</v>
      </c>
      <c r="B166">
        <v>277550</v>
      </c>
    </row>
    <row r="167" spans="1:2" x14ac:dyDescent="0.3">
      <c r="A167" s="12" t="s">
        <v>21</v>
      </c>
      <c r="B167">
        <v>238225</v>
      </c>
    </row>
    <row r="168" spans="1:2" x14ac:dyDescent="0.3">
      <c r="A168" s="12" t="s">
        <v>78</v>
      </c>
      <c r="B168">
        <v>65000</v>
      </c>
    </row>
    <row r="169" spans="1:2" x14ac:dyDescent="0.3">
      <c r="A169" s="12" t="s">
        <v>142</v>
      </c>
      <c r="B169">
        <v>171600</v>
      </c>
    </row>
    <row r="170" spans="1:2" x14ac:dyDescent="0.3">
      <c r="A170" s="11" t="s">
        <v>80</v>
      </c>
      <c r="B170">
        <v>1680003</v>
      </c>
    </row>
    <row r="171" spans="1:2" x14ac:dyDescent="0.3">
      <c r="A171" s="12" t="s">
        <v>122</v>
      </c>
      <c r="B171">
        <v>81575</v>
      </c>
    </row>
    <row r="172" spans="1:2" x14ac:dyDescent="0.3">
      <c r="A172" s="12" t="s">
        <v>55</v>
      </c>
      <c r="B172">
        <v>51753</v>
      </c>
    </row>
    <row r="173" spans="1:2" x14ac:dyDescent="0.3">
      <c r="A173" s="12" t="s">
        <v>61</v>
      </c>
      <c r="B173">
        <v>262145</v>
      </c>
    </row>
    <row r="174" spans="1:2" x14ac:dyDescent="0.3">
      <c r="A174" s="12" t="s">
        <v>49</v>
      </c>
      <c r="B174">
        <v>76635</v>
      </c>
    </row>
    <row r="175" spans="1:2" x14ac:dyDescent="0.3">
      <c r="A175" s="12" t="s">
        <v>41</v>
      </c>
      <c r="B175">
        <v>93275</v>
      </c>
    </row>
    <row r="176" spans="1:2" x14ac:dyDescent="0.3">
      <c r="A176" s="12" t="s">
        <v>27</v>
      </c>
      <c r="B176">
        <v>348400</v>
      </c>
    </row>
    <row r="177" spans="1:2" x14ac:dyDescent="0.3">
      <c r="A177" s="12" t="s">
        <v>102</v>
      </c>
      <c r="B177">
        <v>42510</v>
      </c>
    </row>
    <row r="178" spans="1:2" x14ac:dyDescent="0.3">
      <c r="A178" s="12" t="s">
        <v>34</v>
      </c>
      <c r="B178">
        <v>259350</v>
      </c>
    </row>
    <row r="179" spans="1:2" x14ac:dyDescent="0.3">
      <c r="A179" s="12" t="s">
        <v>21</v>
      </c>
      <c r="B179">
        <v>245960</v>
      </c>
    </row>
    <row r="180" spans="1:2" x14ac:dyDescent="0.3">
      <c r="A180" s="12" t="s">
        <v>78</v>
      </c>
      <c r="B180">
        <v>26000</v>
      </c>
    </row>
    <row r="181" spans="1:2" x14ac:dyDescent="0.3">
      <c r="A181" s="12" t="s">
        <v>142</v>
      </c>
      <c r="B181">
        <v>192400</v>
      </c>
    </row>
    <row r="182" spans="1:2" x14ac:dyDescent="0.3">
      <c r="A182" s="11" t="s">
        <v>73</v>
      </c>
      <c r="B182">
        <v>1774526</v>
      </c>
    </row>
    <row r="183" spans="1:2" x14ac:dyDescent="0.3">
      <c r="A183" s="12" t="s">
        <v>122</v>
      </c>
      <c r="B183">
        <v>130520</v>
      </c>
    </row>
    <row r="184" spans="1:2" x14ac:dyDescent="0.3">
      <c r="A184" s="12" t="s">
        <v>55</v>
      </c>
      <c r="B184">
        <v>29341</v>
      </c>
    </row>
    <row r="185" spans="1:2" x14ac:dyDescent="0.3">
      <c r="A185" s="12" t="s">
        <v>61</v>
      </c>
      <c r="B185">
        <v>221520</v>
      </c>
    </row>
    <row r="186" spans="1:2" x14ac:dyDescent="0.3">
      <c r="A186" s="12" t="s">
        <v>49</v>
      </c>
      <c r="B186">
        <v>120510</v>
      </c>
    </row>
    <row r="187" spans="1:2" x14ac:dyDescent="0.3">
      <c r="A187" s="12" t="s">
        <v>41</v>
      </c>
      <c r="B187">
        <v>72865</v>
      </c>
    </row>
    <row r="188" spans="1:2" x14ac:dyDescent="0.3">
      <c r="A188" s="12" t="s">
        <v>27</v>
      </c>
      <c r="B188">
        <v>370500</v>
      </c>
    </row>
    <row r="189" spans="1:2" x14ac:dyDescent="0.3">
      <c r="A189" s="12" t="s">
        <v>102</v>
      </c>
      <c r="B189">
        <v>127530</v>
      </c>
    </row>
    <row r="190" spans="1:2" x14ac:dyDescent="0.3">
      <c r="A190" s="12" t="s">
        <v>34</v>
      </c>
      <c r="B190">
        <v>204750</v>
      </c>
    </row>
    <row r="191" spans="1:2" x14ac:dyDescent="0.3">
      <c r="A191" s="12" t="s">
        <v>21</v>
      </c>
      <c r="B191">
        <v>242190</v>
      </c>
    </row>
    <row r="192" spans="1:2" x14ac:dyDescent="0.3">
      <c r="A192" s="12" t="s">
        <v>78</v>
      </c>
      <c r="B192">
        <v>117000</v>
      </c>
    </row>
    <row r="193" spans="1:2" x14ac:dyDescent="0.3">
      <c r="A193" s="12" t="s">
        <v>142</v>
      </c>
      <c r="B193">
        <v>137800</v>
      </c>
    </row>
    <row r="194" spans="1:2" x14ac:dyDescent="0.3">
      <c r="A194" s="11" t="s">
        <v>85</v>
      </c>
      <c r="B194">
        <v>1586442</v>
      </c>
    </row>
    <row r="195" spans="1:2" x14ac:dyDescent="0.3">
      <c r="A195" s="12" t="s">
        <v>122</v>
      </c>
      <c r="B195">
        <v>97890</v>
      </c>
    </row>
    <row r="196" spans="1:2" x14ac:dyDescent="0.3">
      <c r="A196" s="12" t="s">
        <v>55</v>
      </c>
      <c r="B196">
        <v>44005</v>
      </c>
    </row>
    <row r="197" spans="1:2" x14ac:dyDescent="0.3">
      <c r="A197" s="12" t="s">
        <v>61</v>
      </c>
      <c r="B197">
        <v>219895</v>
      </c>
    </row>
    <row r="198" spans="1:2" x14ac:dyDescent="0.3">
      <c r="A198" s="12" t="s">
        <v>49</v>
      </c>
      <c r="B198">
        <v>84825</v>
      </c>
    </row>
    <row r="199" spans="1:2" x14ac:dyDescent="0.3">
      <c r="A199" s="12" t="s">
        <v>41</v>
      </c>
      <c r="B199">
        <v>114855</v>
      </c>
    </row>
    <row r="200" spans="1:2" x14ac:dyDescent="0.3">
      <c r="A200" s="12" t="s">
        <v>27</v>
      </c>
      <c r="B200">
        <v>318500</v>
      </c>
    </row>
    <row r="201" spans="1:2" x14ac:dyDescent="0.3">
      <c r="A201" s="12" t="s">
        <v>102</v>
      </c>
      <c r="B201">
        <v>51012</v>
      </c>
    </row>
    <row r="202" spans="1:2" x14ac:dyDescent="0.3">
      <c r="A202" s="12" t="s">
        <v>34</v>
      </c>
      <c r="B202">
        <v>219700</v>
      </c>
    </row>
    <row r="203" spans="1:2" x14ac:dyDescent="0.3">
      <c r="A203" s="12" t="s">
        <v>21</v>
      </c>
      <c r="B203">
        <v>250510</v>
      </c>
    </row>
    <row r="204" spans="1:2" x14ac:dyDescent="0.3">
      <c r="A204" s="12" t="s">
        <v>78</v>
      </c>
      <c r="B204">
        <v>65000</v>
      </c>
    </row>
    <row r="205" spans="1:2" x14ac:dyDescent="0.3">
      <c r="A205" s="12" t="s">
        <v>142</v>
      </c>
      <c r="B205">
        <v>120250</v>
      </c>
    </row>
    <row r="206" spans="1:2" x14ac:dyDescent="0.3">
      <c r="A206" s="11" t="s">
        <v>90</v>
      </c>
      <c r="B206">
        <v>1488617</v>
      </c>
    </row>
    <row r="207" spans="1:2" x14ac:dyDescent="0.3">
      <c r="A207" s="12" t="s">
        <v>122</v>
      </c>
      <c r="B207">
        <v>97890</v>
      </c>
    </row>
    <row r="208" spans="1:2" x14ac:dyDescent="0.3">
      <c r="A208" s="12" t="s">
        <v>55</v>
      </c>
      <c r="B208">
        <v>38545</v>
      </c>
    </row>
    <row r="209" spans="1:2" x14ac:dyDescent="0.3">
      <c r="A209" s="12" t="s">
        <v>61</v>
      </c>
      <c r="B209">
        <v>108615</v>
      </c>
    </row>
    <row r="210" spans="1:2" x14ac:dyDescent="0.3">
      <c r="A210" s="12" t="s">
        <v>49</v>
      </c>
      <c r="B210">
        <v>83070</v>
      </c>
    </row>
    <row r="211" spans="1:2" x14ac:dyDescent="0.3">
      <c r="A211" s="12" t="s">
        <v>41</v>
      </c>
      <c r="B211">
        <v>109915</v>
      </c>
    </row>
    <row r="212" spans="1:2" x14ac:dyDescent="0.3">
      <c r="A212" s="12" t="s">
        <v>27</v>
      </c>
      <c r="B212">
        <v>296400</v>
      </c>
    </row>
    <row r="213" spans="1:2" x14ac:dyDescent="0.3">
      <c r="A213" s="12" t="s">
        <v>102</v>
      </c>
      <c r="B213">
        <v>51012</v>
      </c>
    </row>
    <row r="214" spans="1:2" x14ac:dyDescent="0.3">
      <c r="A214" s="12" t="s">
        <v>34</v>
      </c>
      <c r="B214">
        <v>199550</v>
      </c>
    </row>
    <row r="215" spans="1:2" x14ac:dyDescent="0.3">
      <c r="A215" s="12" t="s">
        <v>21</v>
      </c>
      <c r="B215">
        <v>283920</v>
      </c>
    </row>
    <row r="216" spans="1:2" x14ac:dyDescent="0.3">
      <c r="A216" s="12" t="s">
        <v>78</v>
      </c>
      <c r="B216">
        <v>104000</v>
      </c>
    </row>
    <row r="217" spans="1:2" x14ac:dyDescent="0.3">
      <c r="A217" s="12" t="s">
        <v>142</v>
      </c>
      <c r="B217">
        <v>115700</v>
      </c>
    </row>
    <row r="218" spans="1:2" x14ac:dyDescent="0.3">
      <c r="A218" s="11" t="s">
        <v>287</v>
      </c>
      <c r="B218">
        <v>1780298</v>
      </c>
    </row>
    <row r="219" spans="1:2" x14ac:dyDescent="0.3">
      <c r="A219" s="12" t="s">
        <v>122</v>
      </c>
      <c r="B219">
        <v>81575</v>
      </c>
    </row>
    <row r="220" spans="1:2" x14ac:dyDescent="0.3">
      <c r="A220" s="12" t="s">
        <v>55</v>
      </c>
      <c r="B220">
        <v>66144</v>
      </c>
    </row>
    <row r="221" spans="1:2" x14ac:dyDescent="0.3">
      <c r="A221" s="12" t="s">
        <v>61</v>
      </c>
      <c r="B221">
        <v>248820</v>
      </c>
    </row>
    <row r="222" spans="1:2" x14ac:dyDescent="0.3">
      <c r="A222" s="12" t="s">
        <v>49</v>
      </c>
      <c r="B222">
        <v>98865</v>
      </c>
    </row>
    <row r="223" spans="1:2" x14ac:dyDescent="0.3">
      <c r="A223" s="12" t="s">
        <v>41</v>
      </c>
      <c r="B223">
        <v>114855</v>
      </c>
    </row>
    <row r="224" spans="1:2" x14ac:dyDescent="0.3">
      <c r="A224" s="12" t="s">
        <v>27</v>
      </c>
      <c r="B224">
        <v>255450</v>
      </c>
    </row>
    <row r="225" spans="1:2" x14ac:dyDescent="0.3">
      <c r="A225" s="12" t="s">
        <v>102</v>
      </c>
      <c r="B225">
        <v>102024</v>
      </c>
    </row>
    <row r="226" spans="1:2" x14ac:dyDescent="0.3">
      <c r="A226" s="12" t="s">
        <v>34</v>
      </c>
      <c r="B226">
        <v>257400</v>
      </c>
    </row>
    <row r="227" spans="1:2" x14ac:dyDescent="0.3">
      <c r="A227" s="12" t="s">
        <v>21</v>
      </c>
      <c r="B227">
        <v>335465</v>
      </c>
    </row>
    <row r="228" spans="1:2" x14ac:dyDescent="0.3">
      <c r="A228" s="12" t="s">
        <v>78</v>
      </c>
      <c r="B228">
        <v>65000</v>
      </c>
    </row>
    <row r="229" spans="1:2" x14ac:dyDescent="0.3">
      <c r="A229" s="12" t="s">
        <v>142</v>
      </c>
      <c r="B229">
        <v>154700</v>
      </c>
    </row>
    <row r="230" spans="1:2" x14ac:dyDescent="0.3">
      <c r="A230" s="11" t="s">
        <v>235</v>
      </c>
      <c r="B230">
        <v>17621084</v>
      </c>
    </row>
    <row r="231" spans="1:2" x14ac:dyDescent="0.3">
      <c r="A231" s="12" t="s">
        <v>122</v>
      </c>
      <c r="B231">
        <v>1158365</v>
      </c>
    </row>
    <row r="232" spans="1:2" x14ac:dyDescent="0.3">
      <c r="A232" s="12" t="s">
        <v>55</v>
      </c>
      <c r="B232">
        <v>530166</v>
      </c>
    </row>
    <row r="233" spans="1:2" x14ac:dyDescent="0.3">
      <c r="A233" s="12" t="s">
        <v>61</v>
      </c>
      <c r="B233">
        <v>2567760</v>
      </c>
    </row>
    <row r="234" spans="1:2" x14ac:dyDescent="0.3">
      <c r="A234" s="12" t="s">
        <v>49</v>
      </c>
      <c r="B234">
        <v>940680</v>
      </c>
    </row>
    <row r="235" spans="1:2" x14ac:dyDescent="0.3">
      <c r="A235" s="12" t="s">
        <v>41</v>
      </c>
      <c r="B235">
        <v>931775</v>
      </c>
    </row>
    <row r="236" spans="1:2" x14ac:dyDescent="0.3">
      <c r="A236" s="12" t="s">
        <v>27</v>
      </c>
      <c r="B236">
        <v>3260400</v>
      </c>
    </row>
    <row r="237" spans="1:2" x14ac:dyDescent="0.3">
      <c r="A237" s="12" t="s">
        <v>102</v>
      </c>
      <c r="B237">
        <v>544128</v>
      </c>
    </row>
    <row r="238" spans="1:2" x14ac:dyDescent="0.3">
      <c r="A238" s="12" t="s">
        <v>34</v>
      </c>
      <c r="B238">
        <v>2380300</v>
      </c>
    </row>
    <row r="239" spans="1:2" x14ac:dyDescent="0.3">
      <c r="A239" s="12" t="s">
        <v>21</v>
      </c>
      <c r="B239">
        <v>2991560</v>
      </c>
    </row>
    <row r="240" spans="1:2" x14ac:dyDescent="0.3">
      <c r="A240" s="12" t="s">
        <v>78</v>
      </c>
      <c r="B240">
        <v>845000</v>
      </c>
    </row>
    <row r="241" spans="1:2" x14ac:dyDescent="0.3">
      <c r="A241" s="12" t="s">
        <v>142</v>
      </c>
      <c r="B241">
        <v>1470950</v>
      </c>
    </row>
    <row r="242" spans="1:2" x14ac:dyDescent="0.3">
      <c r="A242" s="11" t="s">
        <v>109</v>
      </c>
      <c r="B242">
        <v>1719848</v>
      </c>
    </row>
    <row r="243" spans="1:2" x14ac:dyDescent="0.3">
      <c r="A243" s="12" t="s">
        <v>122</v>
      </c>
      <c r="B243">
        <v>81575</v>
      </c>
    </row>
    <row r="244" spans="1:2" x14ac:dyDescent="0.3">
      <c r="A244" s="12" t="s">
        <v>55</v>
      </c>
      <c r="B244">
        <v>56420</v>
      </c>
    </row>
    <row r="245" spans="1:2" x14ac:dyDescent="0.3">
      <c r="A245" s="12" t="s">
        <v>61</v>
      </c>
      <c r="B245">
        <v>268710</v>
      </c>
    </row>
    <row r="246" spans="1:2" x14ac:dyDescent="0.3">
      <c r="A246" s="12" t="s">
        <v>49</v>
      </c>
      <c r="B246">
        <v>90675</v>
      </c>
    </row>
    <row r="247" spans="1:2" x14ac:dyDescent="0.3">
      <c r="A247" s="12" t="s">
        <v>41</v>
      </c>
      <c r="B247">
        <v>93899</v>
      </c>
    </row>
    <row r="248" spans="1:2" x14ac:dyDescent="0.3">
      <c r="A248" s="12" t="s">
        <v>27</v>
      </c>
      <c r="B248">
        <v>379600</v>
      </c>
    </row>
    <row r="249" spans="1:2" x14ac:dyDescent="0.3">
      <c r="A249" s="12" t="s">
        <v>102</v>
      </c>
      <c r="B249">
        <v>59514</v>
      </c>
    </row>
    <row r="250" spans="1:2" x14ac:dyDescent="0.3">
      <c r="A250" s="12" t="s">
        <v>34</v>
      </c>
      <c r="B250">
        <v>222950</v>
      </c>
    </row>
    <row r="251" spans="1:2" x14ac:dyDescent="0.3">
      <c r="A251" s="12" t="s">
        <v>21</v>
      </c>
      <c r="B251">
        <v>281255</v>
      </c>
    </row>
    <row r="252" spans="1:2" x14ac:dyDescent="0.3">
      <c r="A252" s="12" t="s">
        <v>78</v>
      </c>
      <c r="B252">
        <v>65000</v>
      </c>
    </row>
    <row r="253" spans="1:2" x14ac:dyDescent="0.3">
      <c r="A253" s="12" t="s">
        <v>142</v>
      </c>
      <c r="B253">
        <v>120250</v>
      </c>
    </row>
    <row r="254" spans="1:2" x14ac:dyDescent="0.3">
      <c r="A254" s="11" t="s">
        <v>104</v>
      </c>
      <c r="B254">
        <v>1515852</v>
      </c>
    </row>
    <row r="255" spans="1:2" x14ac:dyDescent="0.3">
      <c r="A255" s="12" t="s">
        <v>122</v>
      </c>
      <c r="B255">
        <v>163150</v>
      </c>
    </row>
    <row r="256" spans="1:2" x14ac:dyDescent="0.3">
      <c r="A256" s="12" t="s">
        <v>55</v>
      </c>
      <c r="B256">
        <v>47996</v>
      </c>
    </row>
    <row r="257" spans="1:2" x14ac:dyDescent="0.3">
      <c r="A257" s="12" t="s">
        <v>61</v>
      </c>
      <c r="B257">
        <v>246610</v>
      </c>
    </row>
    <row r="258" spans="1:2" x14ac:dyDescent="0.3">
      <c r="A258" s="12" t="s">
        <v>49</v>
      </c>
      <c r="B258">
        <v>108225</v>
      </c>
    </row>
    <row r="259" spans="1:2" x14ac:dyDescent="0.3">
      <c r="A259" s="12" t="s">
        <v>41</v>
      </c>
      <c r="B259">
        <v>87711</v>
      </c>
    </row>
    <row r="260" spans="1:2" x14ac:dyDescent="0.3">
      <c r="A260" s="12" t="s">
        <v>27</v>
      </c>
      <c r="B260">
        <v>167050</v>
      </c>
    </row>
    <row r="261" spans="1:2" x14ac:dyDescent="0.3">
      <c r="A261" s="12" t="s">
        <v>102</v>
      </c>
      <c r="B261">
        <v>42510</v>
      </c>
    </row>
    <row r="262" spans="1:2" x14ac:dyDescent="0.3">
      <c r="A262" s="12" t="s">
        <v>34</v>
      </c>
      <c r="B262">
        <v>241150</v>
      </c>
    </row>
    <row r="263" spans="1:2" x14ac:dyDescent="0.3">
      <c r="A263" s="12" t="s">
        <v>21</v>
      </c>
      <c r="B263">
        <v>260650</v>
      </c>
    </row>
    <row r="264" spans="1:2" x14ac:dyDescent="0.3">
      <c r="A264" s="12" t="s">
        <v>78</v>
      </c>
      <c r="B264">
        <v>52000</v>
      </c>
    </row>
    <row r="265" spans="1:2" x14ac:dyDescent="0.3">
      <c r="A265" s="12" t="s">
        <v>142</v>
      </c>
      <c r="B265">
        <v>98800</v>
      </c>
    </row>
    <row r="266" spans="1:2" x14ac:dyDescent="0.3">
      <c r="A266" s="11" t="s">
        <v>232</v>
      </c>
      <c r="B266">
        <v>1885910</v>
      </c>
    </row>
    <row r="267" spans="1:2" x14ac:dyDescent="0.3">
      <c r="A267" s="12" t="s">
        <v>122</v>
      </c>
      <c r="B267">
        <v>163150</v>
      </c>
    </row>
    <row r="268" spans="1:2" x14ac:dyDescent="0.3">
      <c r="A268" s="12" t="s">
        <v>55</v>
      </c>
      <c r="B268">
        <v>34580</v>
      </c>
    </row>
    <row r="269" spans="1:2" x14ac:dyDescent="0.3">
      <c r="A269" s="12" t="s">
        <v>61</v>
      </c>
      <c r="B269">
        <v>277420</v>
      </c>
    </row>
    <row r="270" spans="1:2" x14ac:dyDescent="0.3">
      <c r="A270" s="12" t="s">
        <v>49</v>
      </c>
      <c r="B270">
        <v>112320</v>
      </c>
    </row>
    <row r="271" spans="1:2" x14ac:dyDescent="0.3">
      <c r="A271" s="12" t="s">
        <v>41</v>
      </c>
      <c r="B271">
        <v>91312</v>
      </c>
    </row>
    <row r="272" spans="1:2" x14ac:dyDescent="0.3">
      <c r="A272" s="12" t="s">
        <v>27</v>
      </c>
      <c r="B272">
        <v>393900</v>
      </c>
    </row>
    <row r="273" spans="1:2" x14ac:dyDescent="0.3">
      <c r="A273" s="12" t="s">
        <v>102</v>
      </c>
      <c r="B273">
        <v>76518</v>
      </c>
    </row>
    <row r="274" spans="1:2" x14ac:dyDescent="0.3">
      <c r="A274" s="12" t="s">
        <v>34</v>
      </c>
      <c r="B274">
        <v>246350</v>
      </c>
    </row>
    <row r="275" spans="1:2" x14ac:dyDescent="0.3">
      <c r="A275" s="12" t="s">
        <v>21</v>
      </c>
      <c r="B275">
        <v>292110</v>
      </c>
    </row>
    <row r="276" spans="1:2" x14ac:dyDescent="0.3">
      <c r="A276" s="12" t="s">
        <v>78</v>
      </c>
      <c r="B276">
        <v>91000</v>
      </c>
    </row>
    <row r="277" spans="1:2" x14ac:dyDescent="0.3">
      <c r="A277" s="12" t="s">
        <v>142</v>
      </c>
      <c r="B277">
        <v>107250</v>
      </c>
    </row>
    <row r="278" spans="1:2" x14ac:dyDescent="0.3">
      <c r="A278" s="11" t="s">
        <v>114</v>
      </c>
      <c r="B278">
        <v>1874418</v>
      </c>
    </row>
    <row r="279" spans="1:2" x14ac:dyDescent="0.3">
      <c r="A279" s="12" t="s">
        <v>122</v>
      </c>
      <c r="B279">
        <v>163150</v>
      </c>
    </row>
    <row r="280" spans="1:2" x14ac:dyDescent="0.3">
      <c r="A280" s="12" t="s">
        <v>55</v>
      </c>
      <c r="B280">
        <v>79573</v>
      </c>
    </row>
    <row r="281" spans="1:2" x14ac:dyDescent="0.3">
      <c r="A281" s="12" t="s">
        <v>61</v>
      </c>
      <c r="B281">
        <v>223925</v>
      </c>
    </row>
    <row r="282" spans="1:2" x14ac:dyDescent="0.3">
      <c r="A282" s="12" t="s">
        <v>49</v>
      </c>
      <c r="B282">
        <v>84825</v>
      </c>
    </row>
    <row r="283" spans="1:2" x14ac:dyDescent="0.3">
      <c r="A283" s="12" t="s">
        <v>41</v>
      </c>
      <c r="B283">
        <v>104559</v>
      </c>
    </row>
    <row r="284" spans="1:2" x14ac:dyDescent="0.3">
      <c r="A284" s="12" t="s">
        <v>27</v>
      </c>
      <c r="B284">
        <v>293150</v>
      </c>
    </row>
    <row r="285" spans="1:2" x14ac:dyDescent="0.3">
      <c r="A285" s="12" t="s">
        <v>102</v>
      </c>
      <c r="B285">
        <v>68016</v>
      </c>
    </row>
    <row r="286" spans="1:2" x14ac:dyDescent="0.3">
      <c r="A286" s="12" t="s">
        <v>34</v>
      </c>
      <c r="B286">
        <v>243100</v>
      </c>
    </row>
    <row r="287" spans="1:2" x14ac:dyDescent="0.3">
      <c r="A287" s="12" t="s">
        <v>21</v>
      </c>
      <c r="B287">
        <v>234520</v>
      </c>
    </row>
    <row r="288" spans="1:2" x14ac:dyDescent="0.3">
      <c r="A288" s="12" t="s">
        <v>78</v>
      </c>
      <c r="B288">
        <v>195000</v>
      </c>
    </row>
    <row r="289" spans="1:2" x14ac:dyDescent="0.3">
      <c r="A289" s="12" t="s">
        <v>142</v>
      </c>
      <c r="B289">
        <v>184600</v>
      </c>
    </row>
    <row r="290" spans="1:2" x14ac:dyDescent="0.3">
      <c r="A290" s="11" t="s">
        <v>119</v>
      </c>
      <c r="B290">
        <v>1534390</v>
      </c>
    </row>
    <row r="291" spans="1:2" x14ac:dyDescent="0.3">
      <c r="A291" s="12" t="s">
        <v>122</v>
      </c>
      <c r="B291">
        <v>163150</v>
      </c>
    </row>
    <row r="292" spans="1:2" x14ac:dyDescent="0.3">
      <c r="A292" s="12" t="s">
        <v>55</v>
      </c>
      <c r="B292">
        <v>34320</v>
      </c>
    </row>
    <row r="293" spans="1:2" x14ac:dyDescent="0.3">
      <c r="A293" s="12" t="s">
        <v>61</v>
      </c>
      <c r="B293">
        <v>192855</v>
      </c>
    </row>
    <row r="294" spans="1:2" x14ac:dyDescent="0.3">
      <c r="A294" s="12" t="s">
        <v>49</v>
      </c>
      <c r="B294">
        <v>86580</v>
      </c>
    </row>
    <row r="295" spans="1:2" x14ac:dyDescent="0.3">
      <c r="A295" s="12" t="s">
        <v>41</v>
      </c>
      <c r="B295">
        <v>112710</v>
      </c>
    </row>
    <row r="296" spans="1:2" x14ac:dyDescent="0.3">
      <c r="A296" s="12" t="s">
        <v>27</v>
      </c>
      <c r="B296">
        <v>256750</v>
      </c>
    </row>
    <row r="297" spans="1:2" x14ac:dyDescent="0.3">
      <c r="A297" s="12" t="s">
        <v>102</v>
      </c>
      <c r="B297">
        <v>42510</v>
      </c>
    </row>
    <row r="298" spans="1:2" x14ac:dyDescent="0.3">
      <c r="A298" s="12" t="s">
        <v>34</v>
      </c>
      <c r="B298">
        <v>172250</v>
      </c>
    </row>
    <row r="299" spans="1:2" x14ac:dyDescent="0.3">
      <c r="A299" s="12" t="s">
        <v>21</v>
      </c>
      <c r="B299">
        <v>317915</v>
      </c>
    </row>
    <row r="300" spans="1:2" x14ac:dyDescent="0.3">
      <c r="A300" s="12" t="s">
        <v>78</v>
      </c>
      <c r="B300">
        <v>39000</v>
      </c>
    </row>
    <row r="301" spans="1:2" x14ac:dyDescent="0.3">
      <c r="A301" s="12" t="s">
        <v>142</v>
      </c>
      <c r="B301">
        <v>116350</v>
      </c>
    </row>
    <row r="302" spans="1:2" x14ac:dyDescent="0.3">
      <c r="A302" s="11" t="s">
        <v>124</v>
      </c>
      <c r="B302">
        <v>1811498</v>
      </c>
    </row>
    <row r="303" spans="1:2" x14ac:dyDescent="0.3">
      <c r="A303" s="12" t="s">
        <v>122</v>
      </c>
      <c r="B303">
        <v>97890</v>
      </c>
    </row>
    <row r="304" spans="1:2" x14ac:dyDescent="0.3">
      <c r="A304" s="12" t="s">
        <v>55</v>
      </c>
      <c r="B304">
        <v>60164</v>
      </c>
    </row>
    <row r="305" spans="1:2" x14ac:dyDescent="0.3">
      <c r="A305" s="12" t="s">
        <v>61</v>
      </c>
      <c r="B305">
        <v>309465</v>
      </c>
    </row>
    <row r="306" spans="1:2" x14ac:dyDescent="0.3">
      <c r="A306" s="12" t="s">
        <v>49</v>
      </c>
      <c r="B306">
        <v>63180</v>
      </c>
    </row>
    <row r="307" spans="1:2" x14ac:dyDescent="0.3">
      <c r="A307" s="12" t="s">
        <v>41</v>
      </c>
      <c r="B307">
        <v>67145</v>
      </c>
    </row>
    <row r="308" spans="1:2" x14ac:dyDescent="0.3">
      <c r="A308" s="12" t="s">
        <v>27</v>
      </c>
      <c r="B308">
        <v>409500</v>
      </c>
    </row>
    <row r="309" spans="1:2" x14ac:dyDescent="0.3">
      <c r="A309" s="12" t="s">
        <v>102</v>
      </c>
      <c r="B309">
        <v>102024</v>
      </c>
    </row>
    <row r="310" spans="1:2" x14ac:dyDescent="0.3">
      <c r="A310" s="12" t="s">
        <v>34</v>
      </c>
      <c r="B310">
        <v>255450</v>
      </c>
    </row>
    <row r="311" spans="1:2" x14ac:dyDescent="0.3">
      <c r="A311" s="12" t="s">
        <v>21</v>
      </c>
      <c r="B311">
        <v>295880</v>
      </c>
    </row>
    <row r="312" spans="1:2" x14ac:dyDescent="0.3">
      <c r="A312" s="12" t="s">
        <v>78</v>
      </c>
      <c r="B312">
        <v>52000</v>
      </c>
    </row>
    <row r="313" spans="1:2" x14ac:dyDescent="0.3">
      <c r="A313" s="12" t="s">
        <v>142</v>
      </c>
      <c r="B313">
        <v>98800</v>
      </c>
    </row>
    <row r="314" spans="1:2" x14ac:dyDescent="0.3">
      <c r="A314" s="11" t="s">
        <v>128</v>
      </c>
      <c r="B314">
        <v>1632722</v>
      </c>
    </row>
    <row r="315" spans="1:2" x14ac:dyDescent="0.3">
      <c r="A315" s="12" t="s">
        <v>122</v>
      </c>
      <c r="B315">
        <v>81575</v>
      </c>
    </row>
    <row r="316" spans="1:2" x14ac:dyDescent="0.3">
      <c r="A316" s="12" t="s">
        <v>55</v>
      </c>
      <c r="B316">
        <v>58474</v>
      </c>
    </row>
    <row r="317" spans="1:2" x14ac:dyDescent="0.3">
      <c r="A317" s="12" t="s">
        <v>61</v>
      </c>
      <c r="B317">
        <v>165880</v>
      </c>
    </row>
    <row r="318" spans="1:2" x14ac:dyDescent="0.3">
      <c r="A318" s="12" t="s">
        <v>49</v>
      </c>
      <c r="B318">
        <v>80730</v>
      </c>
    </row>
    <row r="319" spans="1:2" x14ac:dyDescent="0.3">
      <c r="A319" s="12" t="s">
        <v>41</v>
      </c>
      <c r="B319">
        <v>94263</v>
      </c>
    </row>
    <row r="320" spans="1:2" x14ac:dyDescent="0.3">
      <c r="A320" s="12" t="s">
        <v>27</v>
      </c>
      <c r="B320">
        <v>271050</v>
      </c>
    </row>
    <row r="321" spans="1:2" x14ac:dyDescent="0.3">
      <c r="A321" s="12" t="s">
        <v>102</v>
      </c>
      <c r="B321">
        <v>42510</v>
      </c>
    </row>
    <row r="322" spans="1:2" x14ac:dyDescent="0.3">
      <c r="A322" s="12" t="s">
        <v>34</v>
      </c>
      <c r="B322">
        <v>297700</v>
      </c>
    </row>
    <row r="323" spans="1:2" x14ac:dyDescent="0.3">
      <c r="A323" s="12" t="s">
        <v>21</v>
      </c>
      <c r="B323">
        <v>246740</v>
      </c>
    </row>
    <row r="324" spans="1:2" x14ac:dyDescent="0.3">
      <c r="A324" s="12" t="s">
        <v>78</v>
      </c>
      <c r="B324">
        <v>65000</v>
      </c>
    </row>
    <row r="325" spans="1:2" x14ac:dyDescent="0.3">
      <c r="A325" s="12" t="s">
        <v>142</v>
      </c>
      <c r="B325">
        <v>228800</v>
      </c>
    </row>
    <row r="326" spans="1:2" x14ac:dyDescent="0.3">
      <c r="A326" s="11" t="s">
        <v>290</v>
      </c>
      <c r="B326">
        <v>1763229</v>
      </c>
    </row>
    <row r="327" spans="1:2" x14ac:dyDescent="0.3">
      <c r="A327" s="12" t="s">
        <v>122</v>
      </c>
      <c r="B327">
        <v>163150</v>
      </c>
    </row>
    <row r="328" spans="1:2" x14ac:dyDescent="0.3">
      <c r="A328" s="12" t="s">
        <v>55</v>
      </c>
      <c r="B328">
        <v>68900</v>
      </c>
    </row>
    <row r="329" spans="1:2" x14ac:dyDescent="0.3">
      <c r="A329" s="12" t="s">
        <v>61</v>
      </c>
      <c r="B329">
        <v>254475</v>
      </c>
    </row>
    <row r="330" spans="1:2" x14ac:dyDescent="0.3">
      <c r="A330" s="12" t="s">
        <v>49</v>
      </c>
      <c r="B330">
        <v>128700</v>
      </c>
    </row>
    <row r="331" spans="1:2" x14ac:dyDescent="0.3">
      <c r="A331" s="12" t="s">
        <v>41</v>
      </c>
      <c r="B331">
        <v>80613</v>
      </c>
    </row>
    <row r="332" spans="1:2" x14ac:dyDescent="0.3">
      <c r="A332" s="12" t="s">
        <v>27</v>
      </c>
      <c r="B332">
        <v>296400</v>
      </c>
    </row>
    <row r="333" spans="1:2" x14ac:dyDescent="0.3">
      <c r="A333" s="12" t="s">
        <v>102</v>
      </c>
      <c r="B333">
        <v>68016</v>
      </c>
    </row>
    <row r="334" spans="1:2" x14ac:dyDescent="0.3">
      <c r="A334" s="12" t="s">
        <v>34</v>
      </c>
      <c r="B334">
        <v>174200</v>
      </c>
    </row>
    <row r="335" spans="1:2" x14ac:dyDescent="0.3">
      <c r="A335" s="12" t="s">
        <v>21</v>
      </c>
      <c r="B335">
        <v>278525</v>
      </c>
    </row>
    <row r="336" spans="1:2" x14ac:dyDescent="0.3">
      <c r="A336" s="12" t="s">
        <v>78</v>
      </c>
      <c r="B336">
        <v>78000</v>
      </c>
    </row>
    <row r="337" spans="1:2" x14ac:dyDescent="0.3">
      <c r="A337" s="12" t="s">
        <v>142</v>
      </c>
      <c r="B337">
        <v>172250</v>
      </c>
    </row>
    <row r="338" spans="1:2" x14ac:dyDescent="0.3">
      <c r="A338" s="11" t="s">
        <v>131</v>
      </c>
      <c r="B338">
        <v>1758978</v>
      </c>
    </row>
    <row r="339" spans="1:2" x14ac:dyDescent="0.3">
      <c r="A339" s="12" t="s">
        <v>122</v>
      </c>
      <c r="B339">
        <v>146835</v>
      </c>
    </row>
    <row r="340" spans="1:2" x14ac:dyDescent="0.3">
      <c r="A340" s="12" t="s">
        <v>55</v>
      </c>
      <c r="B340">
        <v>43264</v>
      </c>
    </row>
    <row r="341" spans="1:2" x14ac:dyDescent="0.3">
      <c r="A341" s="12" t="s">
        <v>61</v>
      </c>
      <c r="B341">
        <v>266045</v>
      </c>
    </row>
    <row r="342" spans="1:2" x14ac:dyDescent="0.3">
      <c r="A342" s="12" t="s">
        <v>49</v>
      </c>
      <c r="B342">
        <v>69030</v>
      </c>
    </row>
    <row r="343" spans="1:2" x14ac:dyDescent="0.3">
      <c r="A343" s="12" t="s">
        <v>41</v>
      </c>
      <c r="B343">
        <v>123591</v>
      </c>
    </row>
    <row r="344" spans="1:2" x14ac:dyDescent="0.3">
      <c r="A344" s="12" t="s">
        <v>27</v>
      </c>
      <c r="B344">
        <v>189150</v>
      </c>
    </row>
    <row r="345" spans="1:2" x14ac:dyDescent="0.3">
      <c r="A345" s="12" t="s">
        <v>102</v>
      </c>
      <c r="B345">
        <v>76518</v>
      </c>
    </row>
    <row r="346" spans="1:2" x14ac:dyDescent="0.3">
      <c r="A346" s="12" t="s">
        <v>34</v>
      </c>
      <c r="B346">
        <v>330200</v>
      </c>
    </row>
    <row r="347" spans="1:2" x14ac:dyDescent="0.3">
      <c r="A347" s="12" t="s">
        <v>21</v>
      </c>
      <c r="B347">
        <v>332995</v>
      </c>
    </row>
    <row r="348" spans="1:2" x14ac:dyDescent="0.3">
      <c r="A348" s="12" t="s">
        <v>78</v>
      </c>
      <c r="B348">
        <v>52000</v>
      </c>
    </row>
    <row r="349" spans="1:2" x14ac:dyDescent="0.3">
      <c r="A349" s="12" t="s">
        <v>142</v>
      </c>
      <c r="B349">
        <v>129350</v>
      </c>
    </row>
    <row r="350" spans="1:2" x14ac:dyDescent="0.3">
      <c r="A350" s="11" t="s">
        <v>135</v>
      </c>
      <c r="B350">
        <v>1800539</v>
      </c>
    </row>
    <row r="351" spans="1:2" x14ac:dyDescent="0.3">
      <c r="A351" s="12" t="s">
        <v>122</v>
      </c>
      <c r="B351">
        <v>65260</v>
      </c>
    </row>
    <row r="352" spans="1:2" x14ac:dyDescent="0.3">
      <c r="A352" s="12" t="s">
        <v>55</v>
      </c>
      <c r="B352">
        <v>49478</v>
      </c>
    </row>
    <row r="353" spans="1:2" x14ac:dyDescent="0.3">
      <c r="A353" s="12" t="s">
        <v>61</v>
      </c>
      <c r="B353">
        <v>272480</v>
      </c>
    </row>
    <row r="354" spans="1:2" x14ac:dyDescent="0.3">
      <c r="A354" s="12" t="s">
        <v>49</v>
      </c>
      <c r="B354">
        <v>179595</v>
      </c>
    </row>
    <row r="355" spans="1:2" x14ac:dyDescent="0.3">
      <c r="A355" s="12" t="s">
        <v>41</v>
      </c>
      <c r="B355">
        <v>155064</v>
      </c>
    </row>
    <row r="356" spans="1:2" x14ac:dyDescent="0.3">
      <c r="A356" s="12" t="s">
        <v>27</v>
      </c>
      <c r="B356">
        <v>456950</v>
      </c>
    </row>
    <row r="357" spans="1:2" x14ac:dyDescent="0.3">
      <c r="A357" s="12" t="s">
        <v>102</v>
      </c>
      <c r="B357">
        <v>51012</v>
      </c>
    </row>
    <row r="358" spans="1:2" x14ac:dyDescent="0.3">
      <c r="A358" s="12" t="s">
        <v>34</v>
      </c>
      <c r="B358">
        <v>156000</v>
      </c>
    </row>
    <row r="359" spans="1:2" x14ac:dyDescent="0.3">
      <c r="A359" s="12" t="s">
        <v>21</v>
      </c>
      <c r="B359">
        <v>169650</v>
      </c>
    </row>
    <row r="360" spans="1:2" x14ac:dyDescent="0.3">
      <c r="A360" s="12" t="s">
        <v>78</v>
      </c>
      <c r="B360">
        <v>52000</v>
      </c>
    </row>
    <row r="361" spans="1:2" x14ac:dyDescent="0.3">
      <c r="A361" s="12" t="s">
        <v>142</v>
      </c>
      <c r="B361">
        <v>193050</v>
      </c>
    </row>
    <row r="362" spans="1:2" x14ac:dyDescent="0.3">
      <c r="A362" s="11" t="s">
        <v>139</v>
      </c>
      <c r="B362">
        <v>3428763</v>
      </c>
    </row>
    <row r="363" spans="1:2" x14ac:dyDescent="0.3">
      <c r="A363" s="12" t="s">
        <v>122</v>
      </c>
      <c r="B363">
        <v>228410</v>
      </c>
    </row>
    <row r="364" spans="1:2" x14ac:dyDescent="0.3">
      <c r="A364" s="12" t="s">
        <v>55</v>
      </c>
      <c r="B364">
        <v>134758</v>
      </c>
    </row>
    <row r="365" spans="1:2" x14ac:dyDescent="0.3">
      <c r="A365" s="12" t="s">
        <v>61</v>
      </c>
      <c r="B365">
        <v>485810</v>
      </c>
    </row>
    <row r="366" spans="1:2" x14ac:dyDescent="0.3">
      <c r="A366" s="12" t="s">
        <v>49</v>
      </c>
      <c r="B366">
        <v>276120</v>
      </c>
    </row>
    <row r="367" spans="1:2" x14ac:dyDescent="0.3">
      <c r="A367" s="12" t="s">
        <v>41</v>
      </c>
      <c r="B367">
        <v>175058</v>
      </c>
    </row>
    <row r="368" spans="1:2" x14ac:dyDescent="0.3">
      <c r="A368" s="12" t="s">
        <v>27</v>
      </c>
      <c r="B368">
        <v>356200</v>
      </c>
    </row>
    <row r="369" spans="1:2" x14ac:dyDescent="0.3">
      <c r="A369" s="12" t="s">
        <v>102</v>
      </c>
      <c r="B369">
        <v>93522</v>
      </c>
    </row>
    <row r="370" spans="1:2" x14ac:dyDescent="0.3">
      <c r="A370" s="12" t="s">
        <v>34</v>
      </c>
      <c r="B370">
        <v>556400</v>
      </c>
    </row>
    <row r="371" spans="1:2" x14ac:dyDescent="0.3">
      <c r="A371" s="12" t="s">
        <v>21</v>
      </c>
      <c r="B371">
        <v>629135</v>
      </c>
    </row>
    <row r="372" spans="1:2" x14ac:dyDescent="0.3">
      <c r="A372" s="12" t="s">
        <v>78</v>
      </c>
      <c r="B372">
        <v>156000</v>
      </c>
    </row>
    <row r="373" spans="1:2" x14ac:dyDescent="0.3">
      <c r="A373" s="12" t="s">
        <v>142</v>
      </c>
      <c r="B373">
        <v>337350</v>
      </c>
    </row>
    <row r="374" spans="1:2" x14ac:dyDescent="0.3">
      <c r="A374" s="11" t="s">
        <v>144</v>
      </c>
      <c r="B374">
        <v>3660657</v>
      </c>
    </row>
    <row r="375" spans="1:2" x14ac:dyDescent="0.3">
      <c r="A375" s="12" t="s">
        <v>122</v>
      </c>
      <c r="B375">
        <v>277355</v>
      </c>
    </row>
    <row r="376" spans="1:2" x14ac:dyDescent="0.3">
      <c r="A376" s="12" t="s">
        <v>55</v>
      </c>
      <c r="B376">
        <v>133042</v>
      </c>
    </row>
    <row r="377" spans="1:2" x14ac:dyDescent="0.3">
      <c r="A377" s="12" t="s">
        <v>61</v>
      </c>
      <c r="B377">
        <v>469495</v>
      </c>
    </row>
    <row r="378" spans="1:2" x14ac:dyDescent="0.3">
      <c r="A378" s="12" t="s">
        <v>49</v>
      </c>
      <c r="B378">
        <v>252720</v>
      </c>
    </row>
    <row r="379" spans="1:2" x14ac:dyDescent="0.3">
      <c r="A379" s="12" t="s">
        <v>41</v>
      </c>
      <c r="B379">
        <v>172471</v>
      </c>
    </row>
    <row r="380" spans="1:2" x14ac:dyDescent="0.3">
      <c r="A380" s="12" t="s">
        <v>27</v>
      </c>
      <c r="B380">
        <v>795600</v>
      </c>
    </row>
    <row r="381" spans="1:2" x14ac:dyDescent="0.3">
      <c r="A381" s="12" t="s">
        <v>102</v>
      </c>
      <c r="B381">
        <v>102024</v>
      </c>
    </row>
    <row r="382" spans="1:2" x14ac:dyDescent="0.3">
      <c r="A382" s="12" t="s">
        <v>34</v>
      </c>
      <c r="B382">
        <v>391950</v>
      </c>
    </row>
    <row r="383" spans="1:2" x14ac:dyDescent="0.3">
      <c r="A383" s="12" t="s">
        <v>21</v>
      </c>
      <c r="B383">
        <v>544050</v>
      </c>
    </row>
    <row r="384" spans="1:2" x14ac:dyDescent="0.3">
      <c r="A384" s="12" t="s">
        <v>78</v>
      </c>
      <c r="B384">
        <v>182000</v>
      </c>
    </row>
    <row r="385" spans="1:2" x14ac:dyDescent="0.3">
      <c r="A385" s="12" t="s">
        <v>142</v>
      </c>
      <c r="B385">
        <v>339950</v>
      </c>
    </row>
    <row r="386" spans="1:2" x14ac:dyDescent="0.3">
      <c r="A386" s="11" t="s">
        <v>149</v>
      </c>
      <c r="B386">
        <v>1718899</v>
      </c>
    </row>
    <row r="387" spans="1:2" x14ac:dyDescent="0.3">
      <c r="A387" s="12" t="s">
        <v>122</v>
      </c>
      <c r="B387">
        <v>179465</v>
      </c>
    </row>
    <row r="388" spans="1:2" x14ac:dyDescent="0.3">
      <c r="A388" s="12" t="s">
        <v>55</v>
      </c>
      <c r="B388">
        <v>39780</v>
      </c>
    </row>
    <row r="389" spans="1:2" x14ac:dyDescent="0.3">
      <c r="A389" s="12" t="s">
        <v>61</v>
      </c>
      <c r="B389">
        <v>238355</v>
      </c>
    </row>
    <row r="390" spans="1:2" x14ac:dyDescent="0.3">
      <c r="A390" s="12" t="s">
        <v>49</v>
      </c>
      <c r="B390">
        <v>107055</v>
      </c>
    </row>
    <row r="391" spans="1:2" x14ac:dyDescent="0.3">
      <c r="A391" s="12" t="s">
        <v>41</v>
      </c>
      <c r="B391">
        <v>67730</v>
      </c>
    </row>
    <row r="392" spans="1:2" x14ac:dyDescent="0.3">
      <c r="A392" s="12" t="s">
        <v>27</v>
      </c>
      <c r="B392">
        <v>352950</v>
      </c>
    </row>
    <row r="393" spans="1:2" x14ac:dyDescent="0.3">
      <c r="A393" s="12" t="s">
        <v>102</v>
      </c>
      <c r="B393">
        <v>59514</v>
      </c>
    </row>
    <row r="394" spans="1:2" x14ac:dyDescent="0.3">
      <c r="A394" s="12" t="s">
        <v>34</v>
      </c>
      <c r="B394">
        <v>192400</v>
      </c>
    </row>
    <row r="395" spans="1:2" x14ac:dyDescent="0.3">
      <c r="A395" s="12" t="s">
        <v>21</v>
      </c>
      <c r="B395">
        <v>304850</v>
      </c>
    </row>
    <row r="396" spans="1:2" x14ac:dyDescent="0.3">
      <c r="A396" s="12" t="s">
        <v>78</v>
      </c>
      <c r="B396">
        <v>39000</v>
      </c>
    </row>
    <row r="397" spans="1:2" x14ac:dyDescent="0.3">
      <c r="A397" s="12" t="s">
        <v>142</v>
      </c>
      <c r="B397">
        <v>137800</v>
      </c>
    </row>
    <row r="398" spans="1:2" x14ac:dyDescent="0.3">
      <c r="A398" s="11" t="s">
        <v>154</v>
      </c>
      <c r="B398">
        <v>9264645</v>
      </c>
    </row>
    <row r="399" spans="1:2" x14ac:dyDescent="0.3">
      <c r="A399" s="12" t="s">
        <v>122</v>
      </c>
      <c r="B399">
        <v>619970</v>
      </c>
    </row>
    <row r="400" spans="1:2" x14ac:dyDescent="0.3">
      <c r="A400" s="12" t="s">
        <v>55</v>
      </c>
      <c r="B400">
        <v>253461</v>
      </c>
    </row>
    <row r="401" spans="1:2" x14ac:dyDescent="0.3">
      <c r="A401" s="12" t="s">
        <v>61</v>
      </c>
      <c r="B401">
        <v>1411865</v>
      </c>
    </row>
    <row r="402" spans="1:2" x14ac:dyDescent="0.3">
      <c r="A402" s="12" t="s">
        <v>49</v>
      </c>
      <c r="B402">
        <v>486720</v>
      </c>
    </row>
    <row r="403" spans="1:2" x14ac:dyDescent="0.3">
      <c r="A403" s="12" t="s">
        <v>41</v>
      </c>
      <c r="B403">
        <v>448591</v>
      </c>
    </row>
    <row r="404" spans="1:2" x14ac:dyDescent="0.3">
      <c r="A404" s="12" t="s">
        <v>27</v>
      </c>
      <c r="B404">
        <v>1906450</v>
      </c>
    </row>
    <row r="405" spans="1:2" x14ac:dyDescent="0.3">
      <c r="A405" s="12" t="s">
        <v>102</v>
      </c>
      <c r="B405">
        <v>246558</v>
      </c>
    </row>
    <row r="406" spans="1:2" x14ac:dyDescent="0.3">
      <c r="A406" s="12" t="s">
        <v>34</v>
      </c>
      <c r="B406">
        <v>1287000</v>
      </c>
    </row>
    <row r="407" spans="1:2" x14ac:dyDescent="0.3">
      <c r="A407" s="12" t="s">
        <v>21</v>
      </c>
      <c r="B407">
        <v>1414530</v>
      </c>
    </row>
    <row r="408" spans="1:2" x14ac:dyDescent="0.3">
      <c r="A408" s="12" t="s">
        <v>78</v>
      </c>
      <c r="B408">
        <v>533000</v>
      </c>
    </row>
    <row r="409" spans="1:2" x14ac:dyDescent="0.3">
      <c r="A409" s="12" t="s">
        <v>142</v>
      </c>
      <c r="B409">
        <v>656500</v>
      </c>
    </row>
    <row r="410" spans="1:2" x14ac:dyDescent="0.3">
      <c r="A410" s="11" t="s">
        <v>159</v>
      </c>
      <c r="B410">
        <v>1843374</v>
      </c>
    </row>
    <row r="411" spans="1:2" x14ac:dyDescent="0.3">
      <c r="A411" s="12" t="s">
        <v>122</v>
      </c>
      <c r="B411">
        <v>114205</v>
      </c>
    </row>
    <row r="412" spans="1:2" x14ac:dyDescent="0.3">
      <c r="A412" s="12" t="s">
        <v>55</v>
      </c>
      <c r="B412">
        <v>40794</v>
      </c>
    </row>
    <row r="413" spans="1:2" x14ac:dyDescent="0.3">
      <c r="A413" s="12" t="s">
        <v>61</v>
      </c>
      <c r="B413">
        <v>321620</v>
      </c>
    </row>
    <row r="414" spans="1:2" x14ac:dyDescent="0.3">
      <c r="A414" s="12" t="s">
        <v>49</v>
      </c>
      <c r="B414">
        <v>132210</v>
      </c>
    </row>
    <row r="415" spans="1:2" x14ac:dyDescent="0.3">
      <c r="A415" s="12" t="s">
        <v>41</v>
      </c>
      <c r="B415">
        <v>117195</v>
      </c>
    </row>
    <row r="416" spans="1:2" x14ac:dyDescent="0.3">
      <c r="A416" s="12" t="s">
        <v>27</v>
      </c>
      <c r="B416">
        <v>395200</v>
      </c>
    </row>
    <row r="417" spans="1:2" x14ac:dyDescent="0.3">
      <c r="A417" s="12" t="s">
        <v>102</v>
      </c>
      <c r="B417">
        <v>42510</v>
      </c>
    </row>
    <row r="418" spans="1:2" x14ac:dyDescent="0.3">
      <c r="A418" s="12" t="s">
        <v>34</v>
      </c>
      <c r="B418">
        <v>194350</v>
      </c>
    </row>
    <row r="419" spans="1:2" x14ac:dyDescent="0.3">
      <c r="A419" s="12" t="s">
        <v>21</v>
      </c>
      <c r="B419">
        <v>213590</v>
      </c>
    </row>
    <row r="420" spans="1:2" x14ac:dyDescent="0.3">
      <c r="A420" s="12" t="s">
        <v>78</v>
      </c>
      <c r="B420">
        <v>195000</v>
      </c>
    </row>
    <row r="421" spans="1:2" x14ac:dyDescent="0.3">
      <c r="A421" s="12" t="s">
        <v>142</v>
      </c>
      <c r="B421">
        <v>76700</v>
      </c>
    </row>
    <row r="422" spans="1:2" x14ac:dyDescent="0.3">
      <c r="A422" s="11" t="s">
        <v>7556</v>
      </c>
      <c r="B422">
        <v>99298043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6B38-4493-473E-B42D-CB33A0B676C8}">
  <dimension ref="A1:T5096"/>
  <sheetViews>
    <sheetView tabSelected="1" topLeftCell="I1" workbookViewId="0">
      <selection activeCell="S7" sqref="S7"/>
    </sheetView>
  </sheetViews>
  <sheetFormatPr defaultRowHeight="14.4" x14ac:dyDescent="0.3"/>
  <cols>
    <col min="1" max="1" width="16" bestFit="1" customWidth="1"/>
    <col min="2" max="2" width="12.88671875" bestFit="1" customWidth="1"/>
    <col min="3" max="3" width="22.6640625" bestFit="1" customWidth="1"/>
    <col min="4" max="4" width="12.88671875" bestFit="1" customWidth="1"/>
    <col min="5" max="5" width="9.5546875" bestFit="1" customWidth="1"/>
    <col min="6" max="6" width="23.33203125" bestFit="1" customWidth="1"/>
    <col min="7" max="8" width="13.5546875" bestFit="1" customWidth="1"/>
    <col min="9" max="9" width="6.88671875" bestFit="1" customWidth="1"/>
    <col min="10" max="10" width="7.44140625" bestFit="1" customWidth="1"/>
    <col min="11" max="11" width="10.5546875" bestFit="1" customWidth="1"/>
    <col min="12" max="12" width="12.109375" bestFit="1" customWidth="1"/>
    <col min="13" max="13" width="12.6640625" bestFit="1" customWidth="1"/>
    <col min="14" max="14" width="20.21875" bestFit="1" customWidth="1"/>
    <col min="16" max="16" width="16.109375" customWidth="1"/>
    <col min="17" max="17" width="14.44140625" customWidth="1"/>
    <col min="18" max="18" width="16" customWidth="1"/>
    <col min="19" max="19" width="14" customWidth="1"/>
    <col min="20" max="20" width="13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7554</v>
      </c>
      <c r="P1" t="s">
        <v>7558</v>
      </c>
      <c r="Q1" t="s">
        <v>7559</v>
      </c>
      <c r="R1" t="s">
        <v>7560</v>
      </c>
      <c r="S1" t="s">
        <v>7561</v>
      </c>
      <c r="T1" t="s">
        <v>7562</v>
      </c>
    </row>
    <row r="2" spans="1:20" hidden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22</v>
      </c>
      <c r="O2">
        <f t="shared" ref="O2:O65" si="0">VLOOKUP(G2,G:M,7,FALSE)</f>
        <v>8450</v>
      </c>
      <c r="P2" s="13">
        <f t="shared" ref="P2:P65" si="1">SUMIFS(M:M,C:C,C2)</f>
        <v>2751814</v>
      </c>
      <c r="Q2" s="13">
        <f>SUMIFS(M:M,E:E,Online_eCommerce[[#This Row],[Status]])</f>
        <v>28340455</v>
      </c>
      <c r="R2" s="13">
        <f>SUMIFS(L:L,H:H,Online_eCommerce[[#This Row],[Brand]])</f>
        <v>12435650</v>
      </c>
      <c r="S2" s="13">
        <f>SUMIF(H:H,Online_eCommerce[[#This Row],[Brand]],M:M)</f>
        <v>16166345</v>
      </c>
      <c r="T2" s="13">
        <f>SUMIF(N:N,Online_eCommerce[[#This Row],[Assigned Supervisor]],L:L)</f>
        <v>13693220</v>
      </c>
    </row>
    <row r="3" spans="1:20" hidden="1" x14ac:dyDescent="0.3">
      <c r="A3" t="s">
        <v>23</v>
      </c>
      <c r="B3" t="s">
        <v>15</v>
      </c>
      <c r="C3" t="s">
        <v>24</v>
      </c>
      <c r="D3" t="s">
        <v>17</v>
      </c>
      <c r="E3" t="s">
        <v>18</v>
      </c>
      <c r="F3" t="s">
        <v>25</v>
      </c>
      <c r="G3" t="s">
        <v>26</v>
      </c>
      <c r="H3" t="s">
        <v>27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28</v>
      </c>
      <c r="O3">
        <f t="shared" si="0"/>
        <v>33150</v>
      </c>
      <c r="P3" s="13">
        <f t="shared" si="1"/>
        <v>2009540</v>
      </c>
      <c r="Q3" s="13">
        <f>SUMIFS(M:M,E:E,Online_eCommerce[[#This Row],[Status]])</f>
        <v>28340455</v>
      </c>
      <c r="R3" s="13">
        <f>SUMIFS(L:L,H:H,Online_eCommerce[[#This Row],[Brand]])</f>
        <v>14431000</v>
      </c>
      <c r="S3" s="13">
        <f>SUMIF(H:H,Online_eCommerce[[#This Row],[Brand]],M:M)</f>
        <v>18760300</v>
      </c>
      <c r="T3" s="13">
        <f>SUMIF(N:N,Online_eCommerce[[#This Row],[Assigned Supervisor]],L:L)</f>
        <v>12220830</v>
      </c>
    </row>
    <row r="4" spans="1:20" hidden="1" x14ac:dyDescent="0.3">
      <c r="A4" t="s">
        <v>29</v>
      </c>
      <c r="B4" t="s">
        <v>30</v>
      </c>
      <c r="C4" t="s">
        <v>31</v>
      </c>
      <c r="D4" t="s">
        <v>17</v>
      </c>
      <c r="E4" t="s">
        <v>18</v>
      </c>
      <c r="F4" t="s">
        <v>32</v>
      </c>
      <c r="G4" t="s">
        <v>33</v>
      </c>
      <c r="H4" t="s">
        <v>34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35</v>
      </c>
      <c r="O4">
        <f t="shared" si="0"/>
        <v>18200</v>
      </c>
      <c r="P4" s="13">
        <f t="shared" si="1"/>
        <v>2865746</v>
      </c>
      <c r="Q4" s="13">
        <f>SUMIFS(M:M,E:E,Online_eCommerce[[#This Row],[Status]])</f>
        <v>28340455</v>
      </c>
      <c r="R4" s="13">
        <f>SUMIFS(L:L,H:H,Online_eCommerce[[#This Row],[Brand]])</f>
        <v>10087000</v>
      </c>
      <c r="S4" s="13">
        <f>SUMIF(H:H,Online_eCommerce[[#This Row],[Brand]],M:M)</f>
        <v>13113100</v>
      </c>
      <c r="T4" s="13">
        <f>SUMIF(N:N,Online_eCommerce[[#This Row],[Assigned Supervisor]],L:L)</f>
        <v>14373360</v>
      </c>
    </row>
    <row r="5" spans="1:20" hidden="1" x14ac:dyDescent="0.3">
      <c r="A5" t="s">
        <v>36</v>
      </c>
      <c r="B5" t="s">
        <v>37</v>
      </c>
      <c r="C5" t="s">
        <v>38</v>
      </c>
      <c r="D5" t="s">
        <v>17</v>
      </c>
      <c r="E5" t="s">
        <v>18</v>
      </c>
      <c r="F5" t="s">
        <v>39</v>
      </c>
      <c r="G5" t="s">
        <v>40</v>
      </c>
      <c r="H5" t="s">
        <v>41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42</v>
      </c>
      <c r="O5">
        <f t="shared" si="0"/>
        <v>25545</v>
      </c>
      <c r="P5" s="13">
        <f t="shared" si="1"/>
        <v>1933997</v>
      </c>
      <c r="Q5" s="13">
        <f>SUMIFS(M:M,E:E,Online_eCommerce[[#This Row],[Status]])</f>
        <v>28340455</v>
      </c>
      <c r="R5" s="13">
        <f>SUMIFS(L:L,H:H,Online_eCommerce[[#This Row],[Brand]])</f>
        <v>4260400</v>
      </c>
      <c r="S5" s="13">
        <f>SUMIF(H:H,Online_eCommerce[[#This Row],[Brand]],M:M)</f>
        <v>5538520</v>
      </c>
      <c r="T5" s="13">
        <f>SUMIF(N:N,Online_eCommerce[[#This Row],[Assigned Supervisor]],L:L)</f>
        <v>12261500</v>
      </c>
    </row>
    <row r="6" spans="1:20" x14ac:dyDescent="0.3">
      <c r="A6" t="s">
        <v>43</v>
      </c>
      <c r="B6" t="s">
        <v>44</v>
      </c>
      <c r="C6" t="s">
        <v>45</v>
      </c>
      <c r="D6" t="s">
        <v>17</v>
      </c>
      <c r="E6" t="s">
        <v>46</v>
      </c>
      <c r="F6" t="s">
        <v>47</v>
      </c>
      <c r="G6" t="s">
        <v>48</v>
      </c>
      <c r="H6" t="s">
        <v>49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50</v>
      </c>
      <c r="O6">
        <f t="shared" si="0"/>
        <v>39780</v>
      </c>
      <c r="P6" s="13">
        <f t="shared" si="1"/>
        <v>2842554</v>
      </c>
      <c r="Q6" s="13">
        <f>SUMIFS(M:M,E:E,Online_eCommerce[[#This Row],[Status]])</f>
        <v>28620410</v>
      </c>
      <c r="R6" s="13">
        <f>SUMIFS(L:L,H:H,Online_eCommerce[[#This Row],[Brand]])</f>
        <v>4528350</v>
      </c>
      <c r="S6" s="13">
        <f>SUMIF(H:H,Online_eCommerce[[#This Row],[Brand]],M:M)</f>
        <v>5886855</v>
      </c>
      <c r="T6" s="13">
        <f>SUMIF(N:N,Online_eCommerce[[#This Row],[Assigned Supervisor]],L:L)</f>
        <v>12100590</v>
      </c>
    </row>
    <row r="7" spans="1:20" x14ac:dyDescent="0.3">
      <c r="A7" t="s">
        <v>51</v>
      </c>
      <c r="B7" t="s">
        <v>44</v>
      </c>
      <c r="C7" t="s">
        <v>52</v>
      </c>
      <c r="D7" t="s">
        <v>17</v>
      </c>
      <c r="E7" t="s">
        <v>46</v>
      </c>
      <c r="F7" t="s">
        <v>53</v>
      </c>
      <c r="G7" t="s">
        <v>54</v>
      </c>
      <c r="H7" t="s">
        <v>55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56</v>
      </c>
      <c r="O7">
        <f t="shared" si="0"/>
        <v>2990</v>
      </c>
      <c r="P7" s="13">
        <f t="shared" si="1"/>
        <v>1955044</v>
      </c>
      <c r="Q7" s="13">
        <f>SUMIFS(M:M,E:E,Online_eCommerce[[#This Row],[Status]])</f>
        <v>28620410</v>
      </c>
      <c r="R7" s="13">
        <f>SUMIFS(L:L,H:H,Online_eCommerce[[#This Row],[Brand]])</f>
        <v>2267380</v>
      </c>
      <c r="S7" s="13">
        <f>SUMIF(H:H,Online_eCommerce[[#This Row],[Brand]],M:M)</f>
        <v>2947594</v>
      </c>
      <c r="T7" s="13">
        <f>SUMIF(N:N,Online_eCommerce[[#This Row],[Assigned Supervisor]],L:L)</f>
        <v>11733610</v>
      </c>
    </row>
    <row r="8" spans="1:20" x14ac:dyDescent="0.3">
      <c r="A8" t="s">
        <v>57</v>
      </c>
      <c r="B8" t="s">
        <v>44</v>
      </c>
      <c r="C8" t="s">
        <v>58</v>
      </c>
      <c r="D8" t="s">
        <v>17</v>
      </c>
      <c r="E8" t="s">
        <v>46</v>
      </c>
      <c r="F8" t="s">
        <v>59</v>
      </c>
      <c r="G8" t="s">
        <v>60</v>
      </c>
      <c r="H8" t="s">
        <v>61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22</v>
      </c>
      <c r="O8">
        <f t="shared" si="0"/>
        <v>3315</v>
      </c>
      <c r="P8" s="13">
        <f t="shared" si="1"/>
        <v>2629211</v>
      </c>
      <c r="Q8" s="13">
        <f>SUMIFS(M:M,E:E,Online_eCommerce[[#This Row],[Status]])</f>
        <v>28620410</v>
      </c>
      <c r="R8" s="13">
        <f>SUMIFS(L:L,H:H,Online_eCommerce[[#This Row],[Brand]])</f>
        <v>10950150</v>
      </c>
      <c r="S8" s="13">
        <f>SUMIF(H:H,Online_eCommerce[[#This Row],[Brand]],M:M)</f>
        <v>14235195</v>
      </c>
      <c r="T8" s="13">
        <f>SUMIF(N:N,Online_eCommerce[[#This Row],[Assigned Supervisor]],L:L)</f>
        <v>13693220</v>
      </c>
    </row>
    <row r="9" spans="1:20" x14ac:dyDescent="0.3">
      <c r="A9" t="s">
        <v>62</v>
      </c>
      <c r="B9" t="s">
        <v>44</v>
      </c>
      <c r="C9" t="s">
        <v>63</v>
      </c>
      <c r="D9" t="s">
        <v>64</v>
      </c>
      <c r="E9" t="s">
        <v>46</v>
      </c>
      <c r="F9" t="s">
        <v>65</v>
      </c>
      <c r="G9" t="s">
        <v>66</v>
      </c>
      <c r="H9" t="s">
        <v>21</v>
      </c>
      <c r="I9">
        <v>650</v>
      </c>
      <c r="J9">
        <v>845</v>
      </c>
      <c r="K9">
        <v>2</v>
      </c>
      <c r="L9">
        <v>1300</v>
      </c>
      <c r="M9">
        <v>1690</v>
      </c>
      <c r="N9" t="s">
        <v>22</v>
      </c>
      <c r="O9">
        <f t="shared" si="0"/>
        <v>1690</v>
      </c>
      <c r="P9" s="13">
        <f t="shared" si="1"/>
        <v>2016131</v>
      </c>
      <c r="Q9" s="13">
        <f>SUMIFS(M:M,E:E,Online_eCommerce[[#This Row],[Status]])</f>
        <v>28620410</v>
      </c>
      <c r="R9" s="13">
        <f>SUMIFS(L:L,H:H,Online_eCommerce[[#This Row],[Brand]])</f>
        <v>12435650</v>
      </c>
      <c r="S9" s="13">
        <f>SUMIF(H:H,Online_eCommerce[[#This Row],[Brand]],M:M)</f>
        <v>16166345</v>
      </c>
      <c r="T9" s="13">
        <f>SUMIF(N:N,Online_eCommerce[[#This Row],[Assigned Supervisor]],L:L)</f>
        <v>13693220</v>
      </c>
    </row>
    <row r="10" spans="1:20" x14ac:dyDescent="0.3">
      <c r="A10" t="s">
        <v>67</v>
      </c>
      <c r="B10" t="s">
        <v>44</v>
      </c>
      <c r="C10" t="s">
        <v>68</v>
      </c>
      <c r="D10" t="s">
        <v>69</v>
      </c>
      <c r="E10" t="s">
        <v>46</v>
      </c>
      <c r="F10" t="s">
        <v>70</v>
      </c>
      <c r="G10" t="s">
        <v>71</v>
      </c>
      <c r="H10" t="s">
        <v>61</v>
      </c>
      <c r="I10">
        <v>7500</v>
      </c>
      <c r="J10">
        <v>9750</v>
      </c>
      <c r="K10">
        <v>1</v>
      </c>
      <c r="L10">
        <v>7500</v>
      </c>
      <c r="M10">
        <v>9750</v>
      </c>
      <c r="N10" t="s">
        <v>28</v>
      </c>
      <c r="O10">
        <f t="shared" si="0"/>
        <v>9750</v>
      </c>
      <c r="P10" s="13">
        <f t="shared" si="1"/>
        <v>2974621</v>
      </c>
      <c r="Q10" s="13">
        <f>SUMIFS(M:M,E:E,Online_eCommerce[[#This Row],[Status]])</f>
        <v>28620410</v>
      </c>
      <c r="R10" s="13">
        <f>SUMIFS(L:L,H:H,Online_eCommerce[[#This Row],[Brand]])</f>
        <v>10950150</v>
      </c>
      <c r="S10" s="13">
        <f>SUMIF(H:H,Online_eCommerce[[#This Row],[Brand]],M:M)</f>
        <v>14235195</v>
      </c>
      <c r="T10" s="13">
        <f>SUMIF(N:N,Online_eCommerce[[#This Row],[Assigned Supervisor]],L:L)</f>
        <v>12220830</v>
      </c>
    </row>
    <row r="11" spans="1:20" x14ac:dyDescent="0.3">
      <c r="A11" t="s">
        <v>72</v>
      </c>
      <c r="B11" t="s">
        <v>73</v>
      </c>
      <c r="C11" t="s">
        <v>74</v>
      </c>
      <c r="D11" t="s">
        <v>75</v>
      </c>
      <c r="E11" t="s">
        <v>46</v>
      </c>
      <c r="F11" t="s">
        <v>76</v>
      </c>
      <c r="G11" t="s">
        <v>77</v>
      </c>
      <c r="H11" t="s">
        <v>78</v>
      </c>
      <c r="I11">
        <v>10000</v>
      </c>
      <c r="J11">
        <v>13000</v>
      </c>
      <c r="K11">
        <v>3</v>
      </c>
      <c r="L11">
        <v>30000</v>
      </c>
      <c r="M11">
        <v>39000</v>
      </c>
      <c r="N11" t="s">
        <v>35</v>
      </c>
      <c r="O11">
        <f t="shared" si="0"/>
        <v>39000</v>
      </c>
      <c r="P11" s="13">
        <f t="shared" si="1"/>
        <v>2144701</v>
      </c>
      <c r="Q11" s="13">
        <f>SUMIFS(M:M,E:E,Online_eCommerce[[#This Row],[Status]])</f>
        <v>28620410</v>
      </c>
      <c r="R11" s="13">
        <f>SUMIFS(L:L,H:H,Online_eCommerce[[#This Row],[Brand]])</f>
        <v>3720000</v>
      </c>
      <c r="S11" s="13">
        <f>SUMIF(H:H,Online_eCommerce[[#This Row],[Brand]],M:M)</f>
        <v>4836000</v>
      </c>
      <c r="T11" s="13">
        <f>SUMIF(N:N,Online_eCommerce[[#This Row],[Assigned Supervisor]],L:L)</f>
        <v>14373360</v>
      </c>
    </row>
    <row r="12" spans="1:20" x14ac:dyDescent="0.3">
      <c r="A12" t="s">
        <v>79</v>
      </c>
      <c r="B12" t="s">
        <v>80</v>
      </c>
      <c r="C12" t="s">
        <v>81</v>
      </c>
      <c r="D12" t="s">
        <v>82</v>
      </c>
      <c r="E12" t="s">
        <v>46</v>
      </c>
      <c r="F12" t="s">
        <v>83</v>
      </c>
      <c r="G12" t="s">
        <v>20</v>
      </c>
      <c r="H12" t="s">
        <v>21</v>
      </c>
      <c r="I12">
        <v>10500</v>
      </c>
      <c r="J12">
        <v>13650</v>
      </c>
      <c r="K12">
        <v>1</v>
      </c>
      <c r="L12">
        <v>10500</v>
      </c>
      <c r="M12">
        <v>13650</v>
      </c>
      <c r="N12" t="s">
        <v>50</v>
      </c>
      <c r="O12">
        <f t="shared" si="0"/>
        <v>8450</v>
      </c>
      <c r="P12" s="13">
        <f t="shared" si="1"/>
        <v>2595632</v>
      </c>
      <c r="Q12" s="13">
        <f>SUMIFS(M:M,E:E,Online_eCommerce[[#This Row],[Status]])</f>
        <v>28620410</v>
      </c>
      <c r="R12" s="13">
        <f>SUMIFS(L:L,H:H,Online_eCommerce[[#This Row],[Brand]])</f>
        <v>12435650</v>
      </c>
      <c r="S12" s="13">
        <f>SUMIF(H:H,Online_eCommerce[[#This Row],[Brand]],M:M)</f>
        <v>16166345</v>
      </c>
      <c r="T12" s="13">
        <f>SUMIF(N:N,Online_eCommerce[[#This Row],[Assigned Supervisor]],L:L)</f>
        <v>12100590</v>
      </c>
    </row>
    <row r="13" spans="1:20" x14ac:dyDescent="0.3">
      <c r="A13" t="s">
        <v>84</v>
      </c>
      <c r="B13" t="s">
        <v>85</v>
      </c>
      <c r="C13" t="s">
        <v>86</v>
      </c>
      <c r="D13" t="s">
        <v>87</v>
      </c>
      <c r="E13" t="s">
        <v>46</v>
      </c>
      <c r="F13" t="s">
        <v>88</v>
      </c>
      <c r="G13" t="s">
        <v>26</v>
      </c>
      <c r="H13" t="s">
        <v>27</v>
      </c>
      <c r="I13">
        <v>8500</v>
      </c>
      <c r="J13">
        <v>11050</v>
      </c>
      <c r="K13">
        <v>4</v>
      </c>
      <c r="L13">
        <v>34000</v>
      </c>
      <c r="M13">
        <v>44200</v>
      </c>
      <c r="N13" t="s">
        <v>56</v>
      </c>
      <c r="O13">
        <f t="shared" si="0"/>
        <v>33150</v>
      </c>
      <c r="P13" s="13">
        <f t="shared" si="1"/>
        <v>1941225</v>
      </c>
      <c r="Q13" s="13">
        <f>SUMIFS(M:M,E:E,Online_eCommerce[[#This Row],[Status]])</f>
        <v>28620410</v>
      </c>
      <c r="R13" s="13">
        <f>SUMIFS(L:L,H:H,Online_eCommerce[[#This Row],[Brand]])</f>
        <v>14431000</v>
      </c>
      <c r="S13" s="13">
        <f>SUMIF(H:H,Online_eCommerce[[#This Row],[Brand]],M:M)</f>
        <v>18760300</v>
      </c>
      <c r="T13" s="13">
        <f>SUMIF(N:N,Online_eCommerce[[#This Row],[Assigned Supervisor]],L:L)</f>
        <v>11733610</v>
      </c>
    </row>
    <row r="14" spans="1:20" x14ac:dyDescent="0.3">
      <c r="A14" t="s">
        <v>89</v>
      </c>
      <c r="B14" t="s">
        <v>90</v>
      </c>
      <c r="C14" t="s">
        <v>91</v>
      </c>
      <c r="D14" t="s">
        <v>92</v>
      </c>
      <c r="E14" t="s">
        <v>46</v>
      </c>
      <c r="F14" t="s">
        <v>32</v>
      </c>
      <c r="G14" t="s">
        <v>33</v>
      </c>
      <c r="H14" t="s">
        <v>34</v>
      </c>
      <c r="I14">
        <v>7000</v>
      </c>
      <c r="J14">
        <v>9100</v>
      </c>
      <c r="K14">
        <v>2</v>
      </c>
      <c r="L14">
        <v>14000</v>
      </c>
      <c r="M14">
        <v>18200</v>
      </c>
      <c r="N14" t="s">
        <v>22</v>
      </c>
      <c r="O14">
        <f t="shared" si="0"/>
        <v>18200</v>
      </c>
      <c r="P14" s="13">
        <f t="shared" si="1"/>
        <v>2731963</v>
      </c>
      <c r="Q14" s="13">
        <f>SUMIFS(M:M,E:E,Online_eCommerce[[#This Row],[Status]])</f>
        <v>28620410</v>
      </c>
      <c r="R14" s="13">
        <f>SUMIFS(L:L,H:H,Online_eCommerce[[#This Row],[Brand]])</f>
        <v>10087000</v>
      </c>
      <c r="S14" s="13">
        <f>SUMIF(H:H,Online_eCommerce[[#This Row],[Brand]],M:M)</f>
        <v>13113100</v>
      </c>
      <c r="T14" s="13">
        <f>SUMIF(N:N,Online_eCommerce[[#This Row],[Assigned Supervisor]],L:L)</f>
        <v>13693220</v>
      </c>
    </row>
    <row r="15" spans="1:20" hidden="1" x14ac:dyDescent="0.3">
      <c r="A15" t="s">
        <v>93</v>
      </c>
      <c r="B15" t="s">
        <v>90</v>
      </c>
      <c r="C15" t="s">
        <v>94</v>
      </c>
      <c r="D15" t="s">
        <v>95</v>
      </c>
      <c r="E15" t="s">
        <v>96</v>
      </c>
      <c r="F15" t="s">
        <v>97</v>
      </c>
      <c r="G15" t="s">
        <v>40</v>
      </c>
      <c r="H15" t="s">
        <v>41</v>
      </c>
      <c r="I15">
        <v>1680</v>
      </c>
      <c r="J15">
        <v>2184</v>
      </c>
      <c r="K15">
        <v>1</v>
      </c>
      <c r="L15">
        <v>1680</v>
      </c>
      <c r="M15">
        <v>2184</v>
      </c>
      <c r="N15" t="s">
        <v>22</v>
      </c>
      <c r="O15">
        <f t="shared" si="0"/>
        <v>25545</v>
      </c>
      <c r="P15" s="13">
        <f t="shared" si="1"/>
        <v>1868256</v>
      </c>
      <c r="Q15" s="13">
        <f>SUMIFS(M:M,E:E,Online_eCommerce[[#This Row],[Status]])</f>
        <v>21233992</v>
      </c>
      <c r="R15" s="13">
        <f>SUMIFS(L:L,H:H,Online_eCommerce[[#This Row],[Brand]])</f>
        <v>4260400</v>
      </c>
      <c r="S15" s="13">
        <f>SUMIF(H:H,Online_eCommerce[[#This Row],[Brand]],M:M)</f>
        <v>5538520</v>
      </c>
      <c r="T15" s="13">
        <f>SUMIF(N:N,Online_eCommerce[[#This Row],[Assigned Supervisor]],L:L)</f>
        <v>13693220</v>
      </c>
    </row>
    <row r="16" spans="1:20" hidden="1" x14ac:dyDescent="0.3">
      <c r="A16" t="s">
        <v>98</v>
      </c>
      <c r="B16" t="s">
        <v>90</v>
      </c>
      <c r="C16" t="s">
        <v>99</v>
      </c>
      <c r="D16" t="s">
        <v>100</v>
      </c>
      <c r="E16" t="s">
        <v>96</v>
      </c>
      <c r="F16" t="s">
        <v>101</v>
      </c>
      <c r="G16" t="s">
        <v>48</v>
      </c>
      <c r="H16" t="s">
        <v>102</v>
      </c>
      <c r="I16">
        <v>6540</v>
      </c>
      <c r="J16">
        <v>8502</v>
      </c>
      <c r="K16">
        <v>2</v>
      </c>
      <c r="L16">
        <v>13080</v>
      </c>
      <c r="M16">
        <v>17004</v>
      </c>
      <c r="N16" t="s">
        <v>28</v>
      </c>
      <c r="O16">
        <f t="shared" si="0"/>
        <v>39780</v>
      </c>
      <c r="P16" s="13">
        <f t="shared" si="1"/>
        <v>2651233</v>
      </c>
      <c r="Q16" s="13">
        <f>SUMIFS(M:M,E:E,Online_eCommerce[[#This Row],[Status]])</f>
        <v>21233992</v>
      </c>
      <c r="R16" s="13">
        <f>SUMIFS(L:L,H:H,Online_eCommerce[[#This Row],[Brand]])</f>
        <v>2465580</v>
      </c>
      <c r="S16" s="13">
        <f>SUMIF(H:H,Online_eCommerce[[#This Row],[Brand]],M:M)</f>
        <v>3205254</v>
      </c>
      <c r="T16" s="13">
        <f>SUMIF(N:N,Online_eCommerce[[#This Row],[Assigned Supervisor]],L:L)</f>
        <v>12220830</v>
      </c>
    </row>
    <row r="17" spans="1:20" hidden="1" x14ac:dyDescent="0.3">
      <c r="A17" t="s">
        <v>103</v>
      </c>
      <c r="B17" t="s">
        <v>104</v>
      </c>
      <c r="C17" t="s">
        <v>105</v>
      </c>
      <c r="D17" t="s">
        <v>106</v>
      </c>
      <c r="E17" t="s">
        <v>96</v>
      </c>
      <c r="F17" t="s">
        <v>107</v>
      </c>
      <c r="G17" t="s">
        <v>54</v>
      </c>
      <c r="H17" t="s">
        <v>55</v>
      </c>
      <c r="I17">
        <v>2680</v>
      </c>
      <c r="J17">
        <v>3484</v>
      </c>
      <c r="K17">
        <v>1</v>
      </c>
      <c r="L17">
        <v>2680</v>
      </c>
      <c r="M17">
        <v>3484</v>
      </c>
      <c r="N17" t="s">
        <v>35</v>
      </c>
      <c r="O17">
        <f t="shared" si="0"/>
        <v>2990</v>
      </c>
      <c r="P17" s="13">
        <f t="shared" si="1"/>
        <v>1866852</v>
      </c>
      <c r="Q17" s="13">
        <f>SUMIFS(M:M,E:E,Online_eCommerce[[#This Row],[Status]])</f>
        <v>21233992</v>
      </c>
      <c r="R17" s="13">
        <f>SUMIFS(L:L,H:H,Online_eCommerce[[#This Row],[Brand]])</f>
        <v>2267380</v>
      </c>
      <c r="S17" s="13">
        <f>SUMIF(H:H,Online_eCommerce[[#This Row],[Brand]],M:M)</f>
        <v>2947594</v>
      </c>
      <c r="T17" s="13">
        <f>SUMIF(N:N,Online_eCommerce[[#This Row],[Assigned Supervisor]],L:L)</f>
        <v>14373360</v>
      </c>
    </row>
    <row r="18" spans="1:20" hidden="1" x14ac:dyDescent="0.3">
      <c r="A18" t="s">
        <v>108</v>
      </c>
      <c r="B18" t="s">
        <v>109</v>
      </c>
      <c r="C18" t="s">
        <v>110</v>
      </c>
      <c r="D18" t="s">
        <v>111</v>
      </c>
      <c r="E18" t="s">
        <v>96</v>
      </c>
      <c r="F18" t="s">
        <v>112</v>
      </c>
      <c r="G18" t="s">
        <v>71</v>
      </c>
      <c r="H18" t="s">
        <v>21</v>
      </c>
      <c r="I18">
        <v>8250</v>
      </c>
      <c r="J18">
        <v>10725</v>
      </c>
      <c r="K18">
        <v>2</v>
      </c>
      <c r="L18">
        <v>16500</v>
      </c>
      <c r="M18">
        <v>21450</v>
      </c>
      <c r="N18" t="s">
        <v>42</v>
      </c>
      <c r="O18">
        <f t="shared" si="0"/>
        <v>9750</v>
      </c>
      <c r="P18" s="13">
        <f t="shared" si="1"/>
        <v>2598635</v>
      </c>
      <c r="Q18" s="13">
        <f>SUMIFS(M:M,E:E,Online_eCommerce[[#This Row],[Status]])</f>
        <v>21233992</v>
      </c>
      <c r="R18" s="13">
        <f>SUMIFS(L:L,H:H,Online_eCommerce[[#This Row],[Brand]])</f>
        <v>12435650</v>
      </c>
      <c r="S18" s="13">
        <f>SUMIF(H:H,Online_eCommerce[[#This Row],[Brand]],M:M)</f>
        <v>16166345</v>
      </c>
      <c r="T18" s="13">
        <f>SUMIF(N:N,Online_eCommerce[[#This Row],[Assigned Supervisor]],L:L)</f>
        <v>12261500</v>
      </c>
    </row>
    <row r="19" spans="1:20" hidden="1" x14ac:dyDescent="0.3">
      <c r="A19" t="s">
        <v>113</v>
      </c>
      <c r="B19" t="s">
        <v>114</v>
      </c>
      <c r="C19" t="s">
        <v>115</v>
      </c>
      <c r="D19" t="s">
        <v>116</v>
      </c>
      <c r="E19" t="s">
        <v>96</v>
      </c>
      <c r="F19" t="s">
        <v>117</v>
      </c>
      <c r="G19" t="s">
        <v>40</v>
      </c>
      <c r="H19" t="s">
        <v>21</v>
      </c>
      <c r="I19">
        <v>2650</v>
      </c>
      <c r="J19">
        <v>3445</v>
      </c>
      <c r="K19">
        <v>4</v>
      </c>
      <c r="L19">
        <v>10600</v>
      </c>
      <c r="M19">
        <v>13780</v>
      </c>
      <c r="N19" t="s">
        <v>50</v>
      </c>
      <c r="O19">
        <f t="shared" si="0"/>
        <v>25545</v>
      </c>
      <c r="P19" s="13">
        <f t="shared" si="1"/>
        <v>2050178</v>
      </c>
      <c r="Q19" s="13">
        <f>SUMIFS(M:M,E:E,Online_eCommerce[[#This Row],[Status]])</f>
        <v>21233992</v>
      </c>
      <c r="R19" s="13">
        <f>SUMIFS(L:L,H:H,Online_eCommerce[[#This Row],[Brand]])</f>
        <v>12435650</v>
      </c>
      <c r="S19" s="13">
        <f>SUMIF(H:H,Online_eCommerce[[#This Row],[Brand]],M:M)</f>
        <v>16166345</v>
      </c>
      <c r="T19" s="13">
        <f>SUMIF(N:N,Online_eCommerce[[#This Row],[Assigned Supervisor]],L:L)</f>
        <v>12100590</v>
      </c>
    </row>
    <row r="20" spans="1:20" hidden="1" x14ac:dyDescent="0.3">
      <c r="A20" t="s">
        <v>118</v>
      </c>
      <c r="B20" t="s">
        <v>119</v>
      </c>
      <c r="C20" t="s">
        <v>120</v>
      </c>
      <c r="D20" t="s">
        <v>116</v>
      </c>
      <c r="E20" t="s">
        <v>96</v>
      </c>
      <c r="F20" t="s">
        <v>121</v>
      </c>
      <c r="G20" t="s">
        <v>71</v>
      </c>
      <c r="H20" t="s">
        <v>122</v>
      </c>
      <c r="I20">
        <v>12550</v>
      </c>
      <c r="J20">
        <v>16315</v>
      </c>
      <c r="K20">
        <v>2</v>
      </c>
      <c r="L20">
        <v>25100</v>
      </c>
      <c r="M20">
        <v>32630</v>
      </c>
      <c r="N20" t="s">
        <v>56</v>
      </c>
      <c r="O20">
        <f t="shared" si="0"/>
        <v>9750</v>
      </c>
      <c r="P20" s="13">
        <f t="shared" si="1"/>
        <v>2734212</v>
      </c>
      <c r="Q20" s="13">
        <f>SUMIFS(M:M,E:E,Online_eCommerce[[#This Row],[Status]])</f>
        <v>21233992</v>
      </c>
      <c r="R20" s="13">
        <f>SUMIFS(L:L,H:H,Online_eCommerce[[#This Row],[Brand]])</f>
        <v>5045100</v>
      </c>
      <c r="S20" s="13">
        <f>SUMIF(H:H,Online_eCommerce[[#This Row],[Brand]],M:M)</f>
        <v>6558630</v>
      </c>
      <c r="T20" s="13">
        <f>SUMIF(N:N,Online_eCommerce[[#This Row],[Assigned Supervisor]],L:L)</f>
        <v>11733610</v>
      </c>
    </row>
    <row r="21" spans="1:20" hidden="1" x14ac:dyDescent="0.3">
      <c r="A21" t="s">
        <v>123</v>
      </c>
      <c r="B21" t="s">
        <v>124</v>
      </c>
      <c r="C21" t="s">
        <v>125</v>
      </c>
      <c r="D21" t="s">
        <v>116</v>
      </c>
      <c r="E21" t="s">
        <v>96</v>
      </c>
      <c r="F21" t="s">
        <v>126</v>
      </c>
      <c r="G21" t="s">
        <v>26</v>
      </c>
      <c r="H21" t="s">
        <v>27</v>
      </c>
      <c r="I21">
        <v>14500</v>
      </c>
      <c r="J21">
        <v>18850</v>
      </c>
      <c r="K21">
        <v>2</v>
      </c>
      <c r="L21">
        <v>29000</v>
      </c>
      <c r="M21">
        <v>37700</v>
      </c>
      <c r="N21" t="s">
        <v>22</v>
      </c>
      <c r="O21">
        <f t="shared" si="0"/>
        <v>33150</v>
      </c>
      <c r="P21" s="13">
        <f t="shared" si="1"/>
        <v>2091154</v>
      </c>
      <c r="Q21" s="13">
        <f>SUMIFS(M:M,E:E,Online_eCommerce[[#This Row],[Status]])</f>
        <v>21233992</v>
      </c>
      <c r="R21" s="13">
        <f>SUMIFS(L:L,H:H,Online_eCommerce[[#This Row],[Brand]])</f>
        <v>14431000</v>
      </c>
      <c r="S21" s="13">
        <f>SUMIF(H:H,Online_eCommerce[[#This Row],[Brand]],M:M)</f>
        <v>18760300</v>
      </c>
      <c r="T21" s="13">
        <f>SUMIF(N:N,Online_eCommerce[[#This Row],[Assigned Supervisor]],L:L)</f>
        <v>13693220</v>
      </c>
    </row>
    <row r="22" spans="1:20" hidden="1" x14ac:dyDescent="0.3">
      <c r="A22" t="s">
        <v>127</v>
      </c>
      <c r="B22" t="s">
        <v>128</v>
      </c>
      <c r="C22" t="s">
        <v>22</v>
      </c>
      <c r="D22" t="s">
        <v>116</v>
      </c>
      <c r="E22" t="s">
        <v>96</v>
      </c>
      <c r="F22" t="s">
        <v>129</v>
      </c>
      <c r="G22" t="s">
        <v>60</v>
      </c>
      <c r="H22" t="s">
        <v>61</v>
      </c>
      <c r="I22">
        <v>800</v>
      </c>
      <c r="J22">
        <v>1040</v>
      </c>
      <c r="K22">
        <v>1</v>
      </c>
      <c r="L22">
        <v>800</v>
      </c>
      <c r="M22">
        <v>1040</v>
      </c>
      <c r="N22" t="s">
        <v>28</v>
      </c>
      <c r="O22">
        <f t="shared" si="0"/>
        <v>3315</v>
      </c>
      <c r="P22" s="13">
        <f t="shared" si="1"/>
        <v>2551588</v>
      </c>
      <c r="Q22" s="13">
        <f>SUMIFS(M:M,E:E,Online_eCommerce[[#This Row],[Status]])</f>
        <v>21233992</v>
      </c>
      <c r="R22" s="13">
        <f>SUMIFS(L:L,H:H,Online_eCommerce[[#This Row],[Brand]])</f>
        <v>10950150</v>
      </c>
      <c r="S22" s="13">
        <f>SUMIF(H:H,Online_eCommerce[[#This Row],[Brand]],M:M)</f>
        <v>14235195</v>
      </c>
      <c r="T22" s="13">
        <f>SUMIF(N:N,Online_eCommerce[[#This Row],[Assigned Supervisor]],L:L)</f>
        <v>12220830</v>
      </c>
    </row>
    <row r="23" spans="1:20" hidden="1" x14ac:dyDescent="0.3">
      <c r="A23" t="s">
        <v>130</v>
      </c>
      <c r="B23" t="s">
        <v>131</v>
      </c>
      <c r="C23" t="s">
        <v>132</v>
      </c>
      <c r="D23" t="s">
        <v>116</v>
      </c>
      <c r="E23" t="s">
        <v>96</v>
      </c>
      <c r="F23" t="s">
        <v>133</v>
      </c>
      <c r="G23" t="s">
        <v>66</v>
      </c>
      <c r="H23" t="s">
        <v>21</v>
      </c>
      <c r="I23">
        <v>600</v>
      </c>
      <c r="J23">
        <v>780</v>
      </c>
      <c r="K23">
        <v>3</v>
      </c>
      <c r="L23">
        <v>1800</v>
      </c>
      <c r="M23">
        <v>2340</v>
      </c>
      <c r="N23" t="s">
        <v>35</v>
      </c>
      <c r="O23">
        <f t="shared" si="0"/>
        <v>1690</v>
      </c>
      <c r="P23" s="13">
        <f t="shared" si="1"/>
        <v>1989065</v>
      </c>
      <c r="Q23" s="13">
        <f>SUMIFS(M:M,E:E,Online_eCommerce[[#This Row],[Status]])</f>
        <v>21233992</v>
      </c>
      <c r="R23" s="13">
        <f>SUMIFS(L:L,H:H,Online_eCommerce[[#This Row],[Brand]])</f>
        <v>12435650</v>
      </c>
      <c r="S23" s="13">
        <f>SUMIF(H:H,Online_eCommerce[[#This Row],[Brand]],M:M)</f>
        <v>16166345</v>
      </c>
      <c r="T23" s="13">
        <f>SUMIF(N:N,Online_eCommerce[[#This Row],[Assigned Supervisor]],L:L)</f>
        <v>14373360</v>
      </c>
    </row>
    <row r="24" spans="1:20" hidden="1" x14ac:dyDescent="0.3">
      <c r="A24" t="s">
        <v>134</v>
      </c>
      <c r="B24" t="s">
        <v>135</v>
      </c>
      <c r="C24" t="s">
        <v>136</v>
      </c>
      <c r="D24" t="s">
        <v>116</v>
      </c>
      <c r="E24" t="s">
        <v>96</v>
      </c>
      <c r="F24" t="s">
        <v>137</v>
      </c>
      <c r="G24" t="s">
        <v>71</v>
      </c>
      <c r="H24" t="s">
        <v>61</v>
      </c>
      <c r="I24">
        <v>10500</v>
      </c>
      <c r="J24">
        <v>13650</v>
      </c>
      <c r="K24">
        <v>4</v>
      </c>
      <c r="L24">
        <v>42000</v>
      </c>
      <c r="M24">
        <v>54600</v>
      </c>
      <c r="N24" t="s">
        <v>42</v>
      </c>
      <c r="O24">
        <f t="shared" si="0"/>
        <v>9750</v>
      </c>
      <c r="P24" s="13">
        <f t="shared" si="1"/>
        <v>2775162</v>
      </c>
      <c r="Q24" s="13">
        <f>SUMIFS(M:M,E:E,Online_eCommerce[[#This Row],[Status]])</f>
        <v>21233992</v>
      </c>
      <c r="R24" s="13">
        <f>SUMIFS(L:L,H:H,Online_eCommerce[[#This Row],[Brand]])</f>
        <v>10950150</v>
      </c>
      <c r="S24" s="13">
        <f>SUMIF(H:H,Online_eCommerce[[#This Row],[Brand]],M:M)</f>
        <v>14235195</v>
      </c>
      <c r="T24" s="13">
        <f>SUMIF(N:N,Online_eCommerce[[#This Row],[Assigned Supervisor]],L:L)</f>
        <v>12261500</v>
      </c>
    </row>
    <row r="25" spans="1:20" hidden="1" x14ac:dyDescent="0.3">
      <c r="A25" t="s">
        <v>138</v>
      </c>
      <c r="B25" t="s">
        <v>139</v>
      </c>
      <c r="C25" t="s">
        <v>140</v>
      </c>
      <c r="D25" t="s">
        <v>141</v>
      </c>
      <c r="E25" t="s">
        <v>96</v>
      </c>
      <c r="F25" t="s">
        <v>76</v>
      </c>
      <c r="G25" t="s">
        <v>77</v>
      </c>
      <c r="H25" t="s">
        <v>142</v>
      </c>
      <c r="I25">
        <v>6500</v>
      </c>
      <c r="J25">
        <v>8450</v>
      </c>
      <c r="K25">
        <v>1</v>
      </c>
      <c r="L25">
        <v>6500</v>
      </c>
      <c r="M25">
        <v>8450</v>
      </c>
      <c r="N25" t="s">
        <v>50</v>
      </c>
      <c r="O25">
        <f t="shared" si="0"/>
        <v>39000</v>
      </c>
      <c r="P25" s="13">
        <f t="shared" si="1"/>
        <v>2058264</v>
      </c>
      <c r="Q25" s="13">
        <f>SUMIFS(M:M,E:E,Online_eCommerce[[#This Row],[Status]])</f>
        <v>21233992</v>
      </c>
      <c r="R25" s="13">
        <f>SUMIFS(L:L,H:H,Online_eCommerce[[#This Row],[Brand]])</f>
        <v>6192500</v>
      </c>
      <c r="S25" s="13">
        <f>SUMIF(H:H,Online_eCommerce[[#This Row],[Brand]],M:M)</f>
        <v>8050250</v>
      </c>
      <c r="T25" s="13">
        <f>SUMIF(N:N,Online_eCommerce[[#This Row],[Assigned Supervisor]],L:L)</f>
        <v>12100590</v>
      </c>
    </row>
    <row r="26" spans="1:20" hidden="1" x14ac:dyDescent="0.3">
      <c r="A26" t="s">
        <v>143</v>
      </c>
      <c r="B26" t="s">
        <v>144</v>
      </c>
      <c r="C26" t="s">
        <v>145</v>
      </c>
      <c r="D26" t="s">
        <v>146</v>
      </c>
      <c r="E26" t="s">
        <v>96</v>
      </c>
      <c r="F26" t="s">
        <v>147</v>
      </c>
      <c r="G26" t="s">
        <v>20</v>
      </c>
      <c r="H26" t="s">
        <v>21</v>
      </c>
      <c r="I26">
        <v>4500</v>
      </c>
      <c r="J26">
        <v>5850</v>
      </c>
      <c r="K26">
        <v>4</v>
      </c>
      <c r="L26">
        <v>18000</v>
      </c>
      <c r="M26">
        <v>23400</v>
      </c>
      <c r="N26" t="s">
        <v>22</v>
      </c>
      <c r="O26">
        <f t="shared" si="0"/>
        <v>8450</v>
      </c>
      <c r="P26" s="13">
        <f t="shared" si="1"/>
        <v>2757859</v>
      </c>
      <c r="Q26" s="13">
        <f>SUMIFS(M:M,E:E,Online_eCommerce[[#This Row],[Status]])</f>
        <v>21233992</v>
      </c>
      <c r="R26" s="13">
        <f>SUMIFS(L:L,H:H,Online_eCommerce[[#This Row],[Brand]])</f>
        <v>12435650</v>
      </c>
      <c r="S26" s="13">
        <f>SUMIF(H:H,Online_eCommerce[[#This Row],[Brand]],M:M)</f>
        <v>16166345</v>
      </c>
      <c r="T26" s="13">
        <f>SUMIF(N:N,Online_eCommerce[[#This Row],[Assigned Supervisor]],L:L)</f>
        <v>13693220</v>
      </c>
    </row>
    <row r="27" spans="1:20" hidden="1" x14ac:dyDescent="0.3">
      <c r="A27" t="s">
        <v>148</v>
      </c>
      <c r="B27" t="s">
        <v>149</v>
      </c>
      <c r="C27" t="s">
        <v>150</v>
      </c>
      <c r="D27" t="s">
        <v>151</v>
      </c>
      <c r="E27" t="s">
        <v>96</v>
      </c>
      <c r="F27" t="s">
        <v>152</v>
      </c>
      <c r="G27" t="s">
        <v>26</v>
      </c>
      <c r="H27" t="s">
        <v>27</v>
      </c>
      <c r="I27">
        <v>8500</v>
      </c>
      <c r="J27">
        <v>11050</v>
      </c>
      <c r="K27">
        <v>2</v>
      </c>
      <c r="L27">
        <v>17000</v>
      </c>
      <c r="M27">
        <v>22100</v>
      </c>
      <c r="N27" t="s">
        <v>28</v>
      </c>
      <c r="O27">
        <f t="shared" si="0"/>
        <v>33150</v>
      </c>
      <c r="P27" s="13">
        <f t="shared" si="1"/>
        <v>2154984</v>
      </c>
      <c r="Q27" s="13">
        <f>SUMIFS(M:M,E:E,Online_eCommerce[[#This Row],[Status]])</f>
        <v>21233992</v>
      </c>
      <c r="R27" s="13">
        <f>SUMIFS(L:L,H:H,Online_eCommerce[[#This Row],[Brand]])</f>
        <v>14431000</v>
      </c>
      <c r="S27" s="13">
        <f>SUMIF(H:H,Online_eCommerce[[#This Row],[Brand]],M:M)</f>
        <v>18760300</v>
      </c>
      <c r="T27" s="13">
        <f>SUMIF(N:N,Online_eCommerce[[#This Row],[Assigned Supervisor]],L:L)</f>
        <v>12220830</v>
      </c>
    </row>
    <row r="28" spans="1:20" hidden="1" x14ac:dyDescent="0.3">
      <c r="A28" t="s">
        <v>153</v>
      </c>
      <c r="B28" t="s">
        <v>154</v>
      </c>
      <c r="C28" t="s">
        <v>155</v>
      </c>
      <c r="D28" t="s">
        <v>156</v>
      </c>
      <c r="E28" t="s">
        <v>96</v>
      </c>
      <c r="F28" t="s">
        <v>157</v>
      </c>
      <c r="G28" t="s">
        <v>33</v>
      </c>
      <c r="H28" t="s">
        <v>34</v>
      </c>
      <c r="I28">
        <v>12500</v>
      </c>
      <c r="J28">
        <v>16250</v>
      </c>
      <c r="K28">
        <v>2</v>
      </c>
      <c r="L28">
        <v>25000</v>
      </c>
      <c r="M28">
        <v>32500</v>
      </c>
      <c r="N28" t="s">
        <v>35</v>
      </c>
      <c r="O28">
        <f t="shared" si="0"/>
        <v>18200</v>
      </c>
      <c r="P28" s="13">
        <f t="shared" si="1"/>
        <v>2753348</v>
      </c>
      <c r="Q28" s="13">
        <f>SUMIFS(M:M,E:E,Online_eCommerce[[#This Row],[Status]])</f>
        <v>21233992</v>
      </c>
      <c r="R28" s="13">
        <f>SUMIFS(L:L,H:H,Online_eCommerce[[#This Row],[Brand]])</f>
        <v>10087000</v>
      </c>
      <c r="S28" s="13">
        <f>SUMIF(H:H,Online_eCommerce[[#This Row],[Brand]],M:M)</f>
        <v>13113100</v>
      </c>
      <c r="T28" s="13">
        <f>SUMIF(N:N,Online_eCommerce[[#This Row],[Assigned Supervisor]],L:L)</f>
        <v>14373360</v>
      </c>
    </row>
    <row r="29" spans="1:20" hidden="1" x14ac:dyDescent="0.3">
      <c r="A29" t="s">
        <v>158</v>
      </c>
      <c r="B29" t="s">
        <v>159</v>
      </c>
      <c r="C29" t="s">
        <v>160</v>
      </c>
      <c r="D29" t="s">
        <v>156</v>
      </c>
      <c r="E29" t="s">
        <v>161</v>
      </c>
      <c r="F29" t="s">
        <v>162</v>
      </c>
      <c r="G29" t="s">
        <v>163</v>
      </c>
      <c r="H29" t="s">
        <v>41</v>
      </c>
      <c r="I29">
        <v>3500</v>
      </c>
      <c r="J29">
        <v>4550</v>
      </c>
      <c r="K29">
        <v>3</v>
      </c>
      <c r="L29">
        <v>10500</v>
      </c>
      <c r="M29">
        <v>13650</v>
      </c>
      <c r="N29" t="s">
        <v>42</v>
      </c>
      <c r="O29">
        <f t="shared" si="0"/>
        <v>13650</v>
      </c>
      <c r="P29" s="13">
        <f t="shared" si="1"/>
        <v>2303483</v>
      </c>
      <c r="Q29" s="13">
        <f>SUMIFS(M:M,E:E,Online_eCommerce[[#This Row],[Status]])</f>
        <v>21103186</v>
      </c>
      <c r="R29" s="13">
        <f>SUMIFS(L:L,H:H,Online_eCommerce[[#This Row],[Brand]])</f>
        <v>4260400</v>
      </c>
      <c r="S29" s="13">
        <f>SUMIF(H:H,Online_eCommerce[[#This Row],[Brand]],M:M)</f>
        <v>5538520</v>
      </c>
      <c r="T29" s="13">
        <f>SUMIF(N:N,Online_eCommerce[[#This Row],[Assigned Supervisor]],L:L)</f>
        <v>12261500</v>
      </c>
    </row>
    <row r="30" spans="1:20" x14ac:dyDescent="0.3">
      <c r="A30" t="s">
        <v>164</v>
      </c>
      <c r="B30" t="s">
        <v>139</v>
      </c>
      <c r="C30" t="s">
        <v>165</v>
      </c>
      <c r="D30" t="s">
        <v>156</v>
      </c>
      <c r="E30" t="s">
        <v>46</v>
      </c>
      <c r="F30" t="s">
        <v>166</v>
      </c>
      <c r="G30" t="s">
        <v>66</v>
      </c>
      <c r="H30" t="s">
        <v>49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50</v>
      </c>
      <c r="O30">
        <f t="shared" si="0"/>
        <v>1690</v>
      </c>
      <c r="P30" s="13">
        <f t="shared" si="1"/>
        <v>2674087</v>
      </c>
      <c r="Q30" s="13">
        <f>SUMIFS(M:M,E:E,Online_eCommerce[[#This Row],[Status]])</f>
        <v>28620410</v>
      </c>
      <c r="R30" s="13">
        <f>SUMIFS(L:L,H:H,Online_eCommerce[[#This Row],[Brand]])</f>
        <v>4528350</v>
      </c>
      <c r="S30" s="13">
        <f>SUMIF(H:H,Online_eCommerce[[#This Row],[Brand]],M:M)</f>
        <v>5886855</v>
      </c>
      <c r="T30" s="13">
        <f>SUMIF(N:N,Online_eCommerce[[#This Row],[Assigned Supervisor]],L:L)</f>
        <v>12100590</v>
      </c>
    </row>
    <row r="31" spans="1:20" x14ac:dyDescent="0.3">
      <c r="A31" t="s">
        <v>167</v>
      </c>
      <c r="B31" t="s">
        <v>144</v>
      </c>
      <c r="C31" t="s">
        <v>168</v>
      </c>
      <c r="D31" t="s">
        <v>156</v>
      </c>
      <c r="E31" t="s">
        <v>46</v>
      </c>
      <c r="F31" t="s">
        <v>169</v>
      </c>
      <c r="G31" t="s">
        <v>54</v>
      </c>
      <c r="H31" t="s">
        <v>55</v>
      </c>
      <c r="I31">
        <v>2100</v>
      </c>
      <c r="J31">
        <v>2730</v>
      </c>
      <c r="K31">
        <v>3</v>
      </c>
      <c r="L31">
        <v>6300</v>
      </c>
      <c r="M31">
        <v>8190</v>
      </c>
      <c r="N31" t="s">
        <v>56</v>
      </c>
      <c r="O31">
        <f t="shared" si="0"/>
        <v>2990</v>
      </c>
      <c r="P31" s="13">
        <f t="shared" si="1"/>
        <v>1937780</v>
      </c>
      <c r="Q31" s="13">
        <f>SUMIFS(M:M,E:E,Online_eCommerce[[#This Row],[Status]])</f>
        <v>28620410</v>
      </c>
      <c r="R31" s="13">
        <f>SUMIFS(L:L,H:H,Online_eCommerce[[#This Row],[Brand]])</f>
        <v>2267380</v>
      </c>
      <c r="S31" s="13">
        <f>SUMIF(H:H,Online_eCommerce[[#This Row],[Brand]],M:M)</f>
        <v>2947594</v>
      </c>
      <c r="T31" s="13">
        <f>SUMIF(N:N,Online_eCommerce[[#This Row],[Assigned Supervisor]],L:L)</f>
        <v>11733610</v>
      </c>
    </row>
    <row r="32" spans="1:20" x14ac:dyDescent="0.3">
      <c r="A32" t="s">
        <v>170</v>
      </c>
      <c r="B32" t="s">
        <v>171</v>
      </c>
      <c r="C32" t="s">
        <v>172</v>
      </c>
      <c r="D32" t="s">
        <v>173</v>
      </c>
      <c r="E32" t="s">
        <v>46</v>
      </c>
      <c r="F32" t="s">
        <v>174</v>
      </c>
      <c r="G32" t="s">
        <v>60</v>
      </c>
      <c r="H32" t="s">
        <v>61</v>
      </c>
      <c r="I32">
        <v>1150</v>
      </c>
      <c r="J32">
        <v>1495</v>
      </c>
      <c r="K32">
        <v>3</v>
      </c>
      <c r="L32">
        <v>3450</v>
      </c>
      <c r="M32">
        <v>4485</v>
      </c>
      <c r="N32" t="s">
        <v>22</v>
      </c>
      <c r="O32">
        <f t="shared" si="0"/>
        <v>3315</v>
      </c>
      <c r="P32" s="13">
        <f t="shared" si="1"/>
        <v>2640274</v>
      </c>
      <c r="Q32" s="13">
        <f>SUMIFS(M:M,E:E,Online_eCommerce[[#This Row],[Status]])</f>
        <v>28620410</v>
      </c>
      <c r="R32" s="13">
        <f>SUMIFS(L:L,H:H,Online_eCommerce[[#This Row],[Brand]])</f>
        <v>10950150</v>
      </c>
      <c r="S32" s="13">
        <f>SUMIF(H:H,Online_eCommerce[[#This Row],[Brand]],M:M)</f>
        <v>14235195</v>
      </c>
      <c r="T32" s="13">
        <f>SUMIF(N:N,Online_eCommerce[[#This Row],[Assigned Supervisor]],L:L)</f>
        <v>13693220</v>
      </c>
    </row>
    <row r="33" spans="1:20" x14ac:dyDescent="0.3">
      <c r="A33" t="s">
        <v>175</v>
      </c>
      <c r="B33" t="s">
        <v>176</v>
      </c>
      <c r="C33" t="s">
        <v>177</v>
      </c>
      <c r="D33" t="s">
        <v>178</v>
      </c>
      <c r="E33" t="s">
        <v>46</v>
      </c>
      <c r="F33" t="s">
        <v>179</v>
      </c>
      <c r="G33" t="s">
        <v>66</v>
      </c>
      <c r="H33" t="s">
        <v>21</v>
      </c>
      <c r="I33">
        <v>350</v>
      </c>
      <c r="J33">
        <v>455</v>
      </c>
      <c r="K33">
        <v>1</v>
      </c>
      <c r="L33">
        <v>350</v>
      </c>
      <c r="M33">
        <v>455</v>
      </c>
      <c r="N33" t="s">
        <v>28</v>
      </c>
      <c r="O33">
        <f t="shared" si="0"/>
        <v>1690</v>
      </c>
      <c r="P33" s="13">
        <f t="shared" si="1"/>
        <v>1863810</v>
      </c>
      <c r="Q33" s="13">
        <f>SUMIFS(M:M,E:E,Online_eCommerce[[#This Row],[Status]])</f>
        <v>28620410</v>
      </c>
      <c r="R33" s="13">
        <f>SUMIFS(L:L,H:H,Online_eCommerce[[#This Row],[Brand]])</f>
        <v>12435650</v>
      </c>
      <c r="S33" s="13">
        <f>SUMIF(H:H,Online_eCommerce[[#This Row],[Brand]],M:M)</f>
        <v>16166345</v>
      </c>
      <c r="T33" s="13">
        <f>SUMIF(N:N,Online_eCommerce[[#This Row],[Assigned Supervisor]],L:L)</f>
        <v>12220830</v>
      </c>
    </row>
    <row r="34" spans="1:20" x14ac:dyDescent="0.3">
      <c r="A34" t="s">
        <v>180</v>
      </c>
      <c r="B34" t="s">
        <v>176</v>
      </c>
      <c r="C34" t="s">
        <v>181</v>
      </c>
      <c r="D34" t="s">
        <v>182</v>
      </c>
      <c r="E34" t="s">
        <v>46</v>
      </c>
      <c r="F34" t="s">
        <v>183</v>
      </c>
      <c r="G34" t="s">
        <v>71</v>
      </c>
      <c r="H34" t="s">
        <v>61</v>
      </c>
      <c r="I34">
        <v>9500</v>
      </c>
      <c r="J34">
        <v>12350</v>
      </c>
      <c r="K34">
        <v>3</v>
      </c>
      <c r="L34">
        <v>28500</v>
      </c>
      <c r="M34">
        <v>37050</v>
      </c>
      <c r="N34" t="s">
        <v>35</v>
      </c>
      <c r="O34">
        <f t="shared" si="0"/>
        <v>9750</v>
      </c>
      <c r="P34" s="13">
        <f t="shared" si="1"/>
        <v>2577458</v>
      </c>
      <c r="Q34" s="13">
        <f>SUMIFS(M:M,E:E,Online_eCommerce[[#This Row],[Status]])</f>
        <v>28620410</v>
      </c>
      <c r="R34" s="13">
        <f>SUMIFS(L:L,H:H,Online_eCommerce[[#This Row],[Brand]])</f>
        <v>10950150</v>
      </c>
      <c r="S34" s="13">
        <f>SUMIF(H:H,Online_eCommerce[[#This Row],[Brand]],M:M)</f>
        <v>14235195</v>
      </c>
      <c r="T34" s="13">
        <f>SUMIF(N:N,Online_eCommerce[[#This Row],[Assigned Supervisor]],L:L)</f>
        <v>14373360</v>
      </c>
    </row>
    <row r="35" spans="1:20" hidden="1" x14ac:dyDescent="0.3">
      <c r="A35" t="s">
        <v>184</v>
      </c>
      <c r="B35" t="s">
        <v>176</v>
      </c>
      <c r="C35" t="s">
        <v>185</v>
      </c>
      <c r="D35" t="s">
        <v>186</v>
      </c>
      <c r="E35" t="s">
        <v>96</v>
      </c>
      <c r="F35" t="s">
        <v>187</v>
      </c>
      <c r="G35" t="s">
        <v>77</v>
      </c>
      <c r="H35" t="s">
        <v>142</v>
      </c>
      <c r="I35">
        <v>10000</v>
      </c>
      <c r="J35">
        <v>13000</v>
      </c>
      <c r="K35">
        <v>1</v>
      </c>
      <c r="L35">
        <v>10000</v>
      </c>
      <c r="M35">
        <v>13000</v>
      </c>
      <c r="N35" t="s">
        <v>42</v>
      </c>
      <c r="O35">
        <f t="shared" si="0"/>
        <v>39000</v>
      </c>
      <c r="P35" s="13">
        <f t="shared" si="1"/>
        <v>2091596</v>
      </c>
      <c r="Q35" s="13">
        <f>SUMIFS(M:M,E:E,Online_eCommerce[[#This Row],[Status]])</f>
        <v>21233992</v>
      </c>
      <c r="R35" s="13">
        <f>SUMIFS(L:L,H:H,Online_eCommerce[[#This Row],[Brand]])</f>
        <v>6192500</v>
      </c>
      <c r="S35" s="13">
        <f>SUMIF(H:H,Online_eCommerce[[#This Row],[Brand]],M:M)</f>
        <v>8050250</v>
      </c>
      <c r="T35" s="13">
        <f>SUMIF(N:N,Online_eCommerce[[#This Row],[Assigned Supervisor]],L:L)</f>
        <v>12261500</v>
      </c>
    </row>
    <row r="36" spans="1:20" hidden="1" x14ac:dyDescent="0.3">
      <c r="A36" t="s">
        <v>188</v>
      </c>
      <c r="B36" t="s">
        <v>176</v>
      </c>
      <c r="C36" t="s">
        <v>189</v>
      </c>
      <c r="D36" t="s">
        <v>190</v>
      </c>
      <c r="E36" t="s">
        <v>18</v>
      </c>
      <c r="F36" t="s">
        <v>191</v>
      </c>
      <c r="G36" t="s">
        <v>20</v>
      </c>
      <c r="H36" t="s">
        <v>21</v>
      </c>
      <c r="I36">
        <v>6500</v>
      </c>
      <c r="J36">
        <v>8450</v>
      </c>
      <c r="K36">
        <v>3</v>
      </c>
      <c r="L36">
        <v>19500</v>
      </c>
      <c r="M36">
        <v>25350</v>
      </c>
      <c r="N36" t="s">
        <v>50</v>
      </c>
      <c r="O36">
        <f t="shared" si="0"/>
        <v>8450</v>
      </c>
      <c r="P36" s="13">
        <f t="shared" si="1"/>
        <v>2740777</v>
      </c>
      <c r="Q36" s="13">
        <f>SUMIFS(M:M,E:E,Online_eCommerce[[#This Row],[Status]])</f>
        <v>28340455</v>
      </c>
      <c r="R36" s="13">
        <f>SUMIFS(L:L,H:H,Online_eCommerce[[#This Row],[Brand]])</f>
        <v>12435650</v>
      </c>
      <c r="S36" s="13">
        <f>SUMIF(H:H,Online_eCommerce[[#This Row],[Brand]],M:M)</f>
        <v>16166345</v>
      </c>
      <c r="T36" s="13">
        <f>SUMIF(N:N,Online_eCommerce[[#This Row],[Assigned Supervisor]],L:L)</f>
        <v>12100590</v>
      </c>
    </row>
    <row r="37" spans="1:20" hidden="1" x14ac:dyDescent="0.3">
      <c r="A37" t="s">
        <v>192</v>
      </c>
      <c r="B37" t="s">
        <v>176</v>
      </c>
      <c r="C37" t="s">
        <v>193</v>
      </c>
      <c r="D37" t="s">
        <v>194</v>
      </c>
      <c r="E37" t="s">
        <v>161</v>
      </c>
      <c r="F37" t="s">
        <v>195</v>
      </c>
      <c r="G37" t="s">
        <v>26</v>
      </c>
      <c r="H37" t="s">
        <v>27</v>
      </c>
      <c r="I37">
        <v>8500</v>
      </c>
      <c r="J37">
        <v>11050</v>
      </c>
      <c r="K37">
        <v>4</v>
      </c>
      <c r="L37">
        <v>34000</v>
      </c>
      <c r="M37">
        <v>44200</v>
      </c>
      <c r="N37" t="s">
        <v>56</v>
      </c>
      <c r="O37">
        <f t="shared" si="0"/>
        <v>33150</v>
      </c>
      <c r="P37" s="13">
        <f t="shared" si="1"/>
        <v>2074774</v>
      </c>
      <c r="Q37" s="13">
        <f>SUMIFS(M:M,E:E,Online_eCommerce[[#This Row],[Status]])</f>
        <v>21103186</v>
      </c>
      <c r="R37" s="13">
        <f>SUMIFS(L:L,H:H,Online_eCommerce[[#This Row],[Brand]])</f>
        <v>14431000</v>
      </c>
      <c r="S37" s="13">
        <f>SUMIF(H:H,Online_eCommerce[[#This Row],[Brand]],M:M)</f>
        <v>18760300</v>
      </c>
      <c r="T37" s="13">
        <f>SUMIF(N:N,Online_eCommerce[[#This Row],[Assigned Supervisor]],L:L)</f>
        <v>11733610</v>
      </c>
    </row>
    <row r="38" spans="1:20" hidden="1" x14ac:dyDescent="0.3">
      <c r="A38" t="s">
        <v>196</v>
      </c>
      <c r="B38" t="s">
        <v>176</v>
      </c>
      <c r="C38" t="s">
        <v>197</v>
      </c>
      <c r="D38" t="s">
        <v>194</v>
      </c>
      <c r="E38" t="s">
        <v>161</v>
      </c>
      <c r="F38" t="s">
        <v>32</v>
      </c>
      <c r="G38" t="s">
        <v>33</v>
      </c>
      <c r="H38" t="s">
        <v>34</v>
      </c>
      <c r="I38">
        <v>7000</v>
      </c>
      <c r="J38">
        <v>9100</v>
      </c>
      <c r="K38">
        <v>3</v>
      </c>
      <c r="L38">
        <v>21000</v>
      </c>
      <c r="M38">
        <v>27300</v>
      </c>
      <c r="N38" t="s">
        <v>22</v>
      </c>
      <c r="O38">
        <f t="shared" si="0"/>
        <v>18200</v>
      </c>
      <c r="P38" s="13">
        <f t="shared" si="1"/>
        <v>2829840</v>
      </c>
      <c r="Q38" s="13">
        <f>SUMIFS(M:M,E:E,Online_eCommerce[[#This Row],[Status]])</f>
        <v>21103186</v>
      </c>
      <c r="R38" s="13">
        <f>SUMIFS(L:L,H:H,Online_eCommerce[[#This Row],[Brand]])</f>
        <v>10087000</v>
      </c>
      <c r="S38" s="13">
        <f>SUMIF(H:H,Online_eCommerce[[#This Row],[Brand]],M:M)</f>
        <v>13113100</v>
      </c>
      <c r="T38" s="13">
        <f>SUMIF(N:N,Online_eCommerce[[#This Row],[Assigned Supervisor]],L:L)</f>
        <v>13693220</v>
      </c>
    </row>
    <row r="39" spans="1:20" hidden="1" x14ac:dyDescent="0.3">
      <c r="A39" t="s">
        <v>198</v>
      </c>
      <c r="B39" t="s">
        <v>176</v>
      </c>
      <c r="C39" t="s">
        <v>199</v>
      </c>
      <c r="D39" t="s">
        <v>194</v>
      </c>
      <c r="E39" t="s">
        <v>161</v>
      </c>
      <c r="F39" t="s">
        <v>200</v>
      </c>
      <c r="G39" t="s">
        <v>163</v>
      </c>
      <c r="H39" t="s">
        <v>41</v>
      </c>
      <c r="I39">
        <v>6550</v>
      </c>
      <c r="J39">
        <v>8515</v>
      </c>
      <c r="K39">
        <v>3</v>
      </c>
      <c r="L39">
        <v>19650</v>
      </c>
      <c r="M39">
        <v>25545</v>
      </c>
      <c r="N39" t="s">
        <v>28</v>
      </c>
      <c r="O39">
        <f t="shared" si="0"/>
        <v>13650</v>
      </c>
      <c r="P39" s="13">
        <f t="shared" si="1"/>
        <v>1947361</v>
      </c>
      <c r="Q39" s="13">
        <f>SUMIFS(M:M,E:E,Online_eCommerce[[#This Row],[Status]])</f>
        <v>21103186</v>
      </c>
      <c r="R39" s="13">
        <f>SUMIFS(L:L,H:H,Online_eCommerce[[#This Row],[Brand]])</f>
        <v>4260400</v>
      </c>
      <c r="S39" s="13">
        <f>SUMIF(H:H,Online_eCommerce[[#This Row],[Brand]],M:M)</f>
        <v>5538520</v>
      </c>
      <c r="T39" s="13">
        <f>SUMIF(N:N,Online_eCommerce[[#This Row],[Assigned Supervisor]],L:L)</f>
        <v>12220830</v>
      </c>
    </row>
    <row r="40" spans="1:20" hidden="1" x14ac:dyDescent="0.3">
      <c r="A40" t="s">
        <v>201</v>
      </c>
      <c r="B40" t="s">
        <v>202</v>
      </c>
      <c r="C40" t="s">
        <v>203</v>
      </c>
      <c r="D40" t="s">
        <v>194</v>
      </c>
      <c r="E40" t="s">
        <v>161</v>
      </c>
      <c r="F40" t="s">
        <v>47</v>
      </c>
      <c r="G40" t="s">
        <v>66</v>
      </c>
      <c r="H40" t="s">
        <v>49</v>
      </c>
      <c r="I40">
        <v>7650</v>
      </c>
      <c r="J40">
        <v>9945</v>
      </c>
      <c r="K40">
        <v>3</v>
      </c>
      <c r="L40">
        <v>22950</v>
      </c>
      <c r="M40">
        <v>29835</v>
      </c>
      <c r="N40" t="s">
        <v>35</v>
      </c>
      <c r="O40">
        <f t="shared" si="0"/>
        <v>1690</v>
      </c>
      <c r="P40" s="13">
        <f t="shared" si="1"/>
        <v>2559635</v>
      </c>
      <c r="Q40" s="13">
        <f>SUMIFS(M:M,E:E,Online_eCommerce[[#This Row],[Status]])</f>
        <v>21103186</v>
      </c>
      <c r="R40" s="13">
        <f>SUMIFS(L:L,H:H,Online_eCommerce[[#This Row],[Brand]])</f>
        <v>4528350</v>
      </c>
      <c r="S40" s="13">
        <f>SUMIF(H:H,Online_eCommerce[[#This Row],[Brand]],M:M)</f>
        <v>5886855</v>
      </c>
      <c r="T40" s="13">
        <f>SUMIF(N:N,Online_eCommerce[[#This Row],[Assigned Supervisor]],L:L)</f>
        <v>14373360</v>
      </c>
    </row>
    <row r="41" spans="1:20" hidden="1" x14ac:dyDescent="0.3">
      <c r="A41" t="s">
        <v>204</v>
      </c>
      <c r="B41" t="s">
        <v>30</v>
      </c>
      <c r="C41" t="s">
        <v>205</v>
      </c>
      <c r="D41" t="s">
        <v>206</v>
      </c>
      <c r="E41" t="s">
        <v>161</v>
      </c>
      <c r="F41" t="s">
        <v>53</v>
      </c>
      <c r="G41" t="s">
        <v>54</v>
      </c>
      <c r="H41" t="s">
        <v>55</v>
      </c>
      <c r="I41">
        <v>1150</v>
      </c>
      <c r="J41">
        <v>1495</v>
      </c>
      <c r="K41">
        <v>1</v>
      </c>
      <c r="L41">
        <v>1150</v>
      </c>
      <c r="M41">
        <v>1495</v>
      </c>
      <c r="N41" t="s">
        <v>42</v>
      </c>
      <c r="O41">
        <f t="shared" si="0"/>
        <v>2990</v>
      </c>
      <c r="P41" s="13">
        <f t="shared" si="1"/>
        <v>1983254</v>
      </c>
      <c r="Q41" s="13">
        <f>SUMIFS(M:M,E:E,Online_eCommerce[[#This Row],[Status]])</f>
        <v>21103186</v>
      </c>
      <c r="R41" s="13">
        <f>SUMIFS(L:L,H:H,Online_eCommerce[[#This Row],[Brand]])</f>
        <v>2267380</v>
      </c>
      <c r="S41" s="13">
        <f>SUMIF(H:H,Online_eCommerce[[#This Row],[Brand]],M:M)</f>
        <v>2947594</v>
      </c>
      <c r="T41" s="13">
        <f>SUMIF(N:N,Online_eCommerce[[#This Row],[Assigned Supervisor]],L:L)</f>
        <v>12261500</v>
      </c>
    </row>
    <row r="42" spans="1:20" hidden="1" x14ac:dyDescent="0.3">
      <c r="A42" t="s">
        <v>207</v>
      </c>
      <c r="B42" t="s">
        <v>37</v>
      </c>
      <c r="C42" t="s">
        <v>208</v>
      </c>
      <c r="D42" t="s">
        <v>209</v>
      </c>
      <c r="E42" t="s">
        <v>161</v>
      </c>
      <c r="F42" t="s">
        <v>59</v>
      </c>
      <c r="G42" t="s">
        <v>60</v>
      </c>
      <c r="H42" t="s">
        <v>61</v>
      </c>
      <c r="I42">
        <v>850</v>
      </c>
      <c r="J42">
        <v>1105</v>
      </c>
      <c r="K42">
        <v>1</v>
      </c>
      <c r="L42">
        <v>850</v>
      </c>
      <c r="M42">
        <v>1105</v>
      </c>
      <c r="N42" t="s">
        <v>50</v>
      </c>
      <c r="O42">
        <f t="shared" si="0"/>
        <v>3315</v>
      </c>
      <c r="P42" s="13">
        <f t="shared" si="1"/>
        <v>2746575</v>
      </c>
      <c r="Q42" s="13">
        <f>SUMIFS(M:M,E:E,Online_eCommerce[[#This Row],[Status]])</f>
        <v>21103186</v>
      </c>
      <c r="R42" s="13">
        <f>SUMIFS(L:L,H:H,Online_eCommerce[[#This Row],[Brand]])</f>
        <v>10950150</v>
      </c>
      <c r="S42" s="13">
        <f>SUMIF(H:H,Online_eCommerce[[#This Row],[Brand]],M:M)</f>
        <v>14235195</v>
      </c>
      <c r="T42" s="13">
        <f>SUMIF(N:N,Online_eCommerce[[#This Row],[Assigned Supervisor]],L:L)</f>
        <v>12100590</v>
      </c>
    </row>
    <row r="43" spans="1:20" hidden="1" x14ac:dyDescent="0.3">
      <c r="A43" t="s">
        <v>210</v>
      </c>
      <c r="B43" t="s">
        <v>44</v>
      </c>
      <c r="C43" t="s">
        <v>211</v>
      </c>
      <c r="D43" t="s">
        <v>209</v>
      </c>
      <c r="E43" t="s">
        <v>161</v>
      </c>
      <c r="F43" t="s">
        <v>65</v>
      </c>
      <c r="G43" t="s">
        <v>66</v>
      </c>
      <c r="H43" t="s">
        <v>21</v>
      </c>
      <c r="I43">
        <v>650</v>
      </c>
      <c r="J43">
        <v>845</v>
      </c>
      <c r="K43">
        <v>2</v>
      </c>
      <c r="L43">
        <v>1300</v>
      </c>
      <c r="M43">
        <v>1690</v>
      </c>
      <c r="N43" t="s">
        <v>22</v>
      </c>
      <c r="O43">
        <f t="shared" si="0"/>
        <v>1690</v>
      </c>
      <c r="P43" s="13">
        <f t="shared" si="1"/>
        <v>1809847</v>
      </c>
      <c r="Q43" s="13">
        <f>SUMIFS(M:M,E:E,Online_eCommerce[[#This Row],[Status]])</f>
        <v>21103186</v>
      </c>
      <c r="R43" s="13">
        <f>SUMIFS(L:L,H:H,Online_eCommerce[[#This Row],[Brand]])</f>
        <v>12435650</v>
      </c>
      <c r="S43" s="13">
        <f>SUMIF(H:H,Online_eCommerce[[#This Row],[Brand]],M:M)</f>
        <v>16166345</v>
      </c>
      <c r="T43" s="13">
        <f>SUMIF(N:N,Online_eCommerce[[#This Row],[Assigned Supervisor]],L:L)</f>
        <v>13693220</v>
      </c>
    </row>
    <row r="44" spans="1:20" hidden="1" x14ac:dyDescent="0.3">
      <c r="A44" t="s">
        <v>212</v>
      </c>
      <c r="B44" t="s">
        <v>213</v>
      </c>
      <c r="C44" t="s">
        <v>16</v>
      </c>
      <c r="D44" t="s">
        <v>209</v>
      </c>
      <c r="E44" t="s">
        <v>161</v>
      </c>
      <c r="F44" t="s">
        <v>70</v>
      </c>
      <c r="G44" t="s">
        <v>71</v>
      </c>
      <c r="H44" t="s">
        <v>61</v>
      </c>
      <c r="I44">
        <v>7500</v>
      </c>
      <c r="J44">
        <v>9750</v>
      </c>
      <c r="K44">
        <v>1</v>
      </c>
      <c r="L44">
        <v>7500</v>
      </c>
      <c r="M44">
        <v>9750</v>
      </c>
      <c r="N44" t="s">
        <v>28</v>
      </c>
      <c r="O44">
        <f t="shared" si="0"/>
        <v>9750</v>
      </c>
      <c r="P44" s="13">
        <f t="shared" si="1"/>
        <v>2751814</v>
      </c>
      <c r="Q44" s="13">
        <f>SUMIFS(M:M,E:E,Online_eCommerce[[#This Row],[Status]])</f>
        <v>21103186</v>
      </c>
      <c r="R44" s="13">
        <f>SUMIFS(L:L,H:H,Online_eCommerce[[#This Row],[Brand]])</f>
        <v>10950150</v>
      </c>
      <c r="S44" s="13">
        <f>SUMIF(H:H,Online_eCommerce[[#This Row],[Brand]],M:M)</f>
        <v>14235195</v>
      </c>
      <c r="T44" s="13">
        <f>SUMIF(N:N,Online_eCommerce[[#This Row],[Assigned Supervisor]],L:L)</f>
        <v>12220830</v>
      </c>
    </row>
    <row r="45" spans="1:20" hidden="1" x14ac:dyDescent="0.3">
      <c r="A45" t="s">
        <v>214</v>
      </c>
      <c r="B45" t="s">
        <v>215</v>
      </c>
      <c r="C45" t="s">
        <v>24</v>
      </c>
      <c r="D45" t="s">
        <v>216</v>
      </c>
      <c r="E45" t="s">
        <v>161</v>
      </c>
      <c r="F45" t="s">
        <v>187</v>
      </c>
      <c r="G45" t="s">
        <v>77</v>
      </c>
      <c r="H45" t="s">
        <v>78</v>
      </c>
      <c r="I45">
        <v>10000</v>
      </c>
      <c r="J45">
        <v>13000</v>
      </c>
      <c r="K45">
        <v>3</v>
      </c>
      <c r="L45">
        <v>30000</v>
      </c>
      <c r="M45">
        <v>39000</v>
      </c>
      <c r="N45" t="s">
        <v>35</v>
      </c>
      <c r="O45">
        <f t="shared" si="0"/>
        <v>39000</v>
      </c>
      <c r="P45" s="13">
        <f t="shared" si="1"/>
        <v>2009540</v>
      </c>
      <c r="Q45" s="13">
        <f>SUMIFS(M:M,E:E,Online_eCommerce[[#This Row],[Status]])</f>
        <v>21103186</v>
      </c>
      <c r="R45" s="13">
        <f>SUMIFS(L:L,H:H,Online_eCommerce[[#This Row],[Brand]])</f>
        <v>3720000</v>
      </c>
      <c r="S45" s="13">
        <f>SUMIF(H:H,Online_eCommerce[[#This Row],[Brand]],M:M)</f>
        <v>4836000</v>
      </c>
      <c r="T45" s="13">
        <f>SUMIF(N:N,Online_eCommerce[[#This Row],[Assigned Supervisor]],L:L)</f>
        <v>14373360</v>
      </c>
    </row>
    <row r="46" spans="1:20" hidden="1" x14ac:dyDescent="0.3">
      <c r="A46" t="s">
        <v>217</v>
      </c>
      <c r="B46" t="s">
        <v>215</v>
      </c>
      <c r="C46" t="s">
        <v>31</v>
      </c>
      <c r="D46" t="s">
        <v>218</v>
      </c>
      <c r="E46" t="s">
        <v>161</v>
      </c>
      <c r="F46" t="s">
        <v>219</v>
      </c>
      <c r="G46" t="s">
        <v>20</v>
      </c>
      <c r="H46" t="s">
        <v>21</v>
      </c>
      <c r="I46">
        <v>10500</v>
      </c>
      <c r="J46">
        <v>13650</v>
      </c>
      <c r="K46">
        <v>2</v>
      </c>
      <c r="L46">
        <v>21000</v>
      </c>
      <c r="M46">
        <v>27300</v>
      </c>
      <c r="N46" t="s">
        <v>42</v>
      </c>
      <c r="O46">
        <f t="shared" si="0"/>
        <v>8450</v>
      </c>
      <c r="P46" s="13">
        <f t="shared" si="1"/>
        <v>2865746</v>
      </c>
      <c r="Q46" s="13">
        <f>SUMIFS(M:M,E:E,Online_eCommerce[[#This Row],[Status]])</f>
        <v>21103186</v>
      </c>
      <c r="R46" s="13">
        <f>SUMIFS(L:L,H:H,Online_eCommerce[[#This Row],[Brand]])</f>
        <v>12435650</v>
      </c>
      <c r="S46" s="13">
        <f>SUMIF(H:H,Online_eCommerce[[#This Row],[Brand]],M:M)</f>
        <v>16166345</v>
      </c>
      <c r="T46" s="13">
        <f>SUMIF(N:N,Online_eCommerce[[#This Row],[Assigned Supervisor]],L:L)</f>
        <v>12261500</v>
      </c>
    </row>
    <row r="47" spans="1:20" hidden="1" x14ac:dyDescent="0.3">
      <c r="A47" t="s">
        <v>220</v>
      </c>
      <c r="B47" t="s">
        <v>215</v>
      </c>
      <c r="C47" t="s">
        <v>38</v>
      </c>
      <c r="D47" t="s">
        <v>221</v>
      </c>
      <c r="E47" t="s">
        <v>96</v>
      </c>
      <c r="F47" t="s">
        <v>88</v>
      </c>
      <c r="G47" t="s">
        <v>26</v>
      </c>
      <c r="H47" t="s">
        <v>27</v>
      </c>
      <c r="I47">
        <v>8500</v>
      </c>
      <c r="J47">
        <v>11050</v>
      </c>
      <c r="K47">
        <v>4</v>
      </c>
      <c r="L47">
        <v>34000</v>
      </c>
      <c r="M47">
        <v>44200</v>
      </c>
      <c r="N47" t="s">
        <v>50</v>
      </c>
      <c r="O47">
        <f t="shared" si="0"/>
        <v>33150</v>
      </c>
      <c r="P47" s="13">
        <f t="shared" si="1"/>
        <v>1933997</v>
      </c>
      <c r="Q47" s="13">
        <f>SUMIFS(M:M,E:E,Online_eCommerce[[#This Row],[Status]])</f>
        <v>21233992</v>
      </c>
      <c r="R47" s="13">
        <f>SUMIFS(L:L,H:H,Online_eCommerce[[#This Row],[Brand]])</f>
        <v>14431000</v>
      </c>
      <c r="S47" s="13">
        <f>SUMIF(H:H,Online_eCommerce[[#This Row],[Brand]],M:M)</f>
        <v>18760300</v>
      </c>
      <c r="T47" s="13">
        <f>SUMIF(N:N,Online_eCommerce[[#This Row],[Assigned Supervisor]],L:L)</f>
        <v>12100590</v>
      </c>
    </row>
    <row r="48" spans="1:20" hidden="1" x14ac:dyDescent="0.3">
      <c r="A48" t="s">
        <v>222</v>
      </c>
      <c r="B48" t="s">
        <v>215</v>
      </c>
      <c r="C48" t="s">
        <v>45</v>
      </c>
      <c r="D48" t="s">
        <v>223</v>
      </c>
      <c r="E48" t="s">
        <v>18</v>
      </c>
      <c r="F48" t="s">
        <v>32</v>
      </c>
      <c r="G48" t="s">
        <v>33</v>
      </c>
      <c r="H48" t="s">
        <v>34</v>
      </c>
      <c r="I48">
        <v>7000</v>
      </c>
      <c r="J48">
        <v>9100</v>
      </c>
      <c r="K48">
        <v>4</v>
      </c>
      <c r="L48">
        <v>28000</v>
      </c>
      <c r="M48">
        <v>36400</v>
      </c>
      <c r="N48" t="s">
        <v>56</v>
      </c>
      <c r="O48">
        <f t="shared" si="0"/>
        <v>18200</v>
      </c>
      <c r="P48" s="13">
        <f t="shared" si="1"/>
        <v>2842554</v>
      </c>
      <c r="Q48" s="13">
        <f>SUMIFS(M:M,E:E,Online_eCommerce[[#This Row],[Status]])</f>
        <v>28340455</v>
      </c>
      <c r="R48" s="13">
        <f>SUMIFS(L:L,H:H,Online_eCommerce[[#This Row],[Brand]])</f>
        <v>10087000</v>
      </c>
      <c r="S48" s="13">
        <f>SUMIF(H:H,Online_eCommerce[[#This Row],[Brand]],M:M)</f>
        <v>13113100</v>
      </c>
      <c r="T48" s="13">
        <f>SUMIF(N:N,Online_eCommerce[[#This Row],[Assigned Supervisor]],L:L)</f>
        <v>11733610</v>
      </c>
    </row>
    <row r="49" spans="1:20" hidden="1" x14ac:dyDescent="0.3">
      <c r="A49" t="s">
        <v>224</v>
      </c>
      <c r="B49" t="s">
        <v>215</v>
      </c>
      <c r="C49" t="s">
        <v>52</v>
      </c>
      <c r="D49" t="s">
        <v>225</v>
      </c>
      <c r="E49" t="s">
        <v>161</v>
      </c>
      <c r="F49" t="s">
        <v>226</v>
      </c>
      <c r="G49" t="s">
        <v>163</v>
      </c>
      <c r="H49" t="s">
        <v>41</v>
      </c>
      <c r="I49">
        <v>1680</v>
      </c>
      <c r="J49">
        <v>2184</v>
      </c>
      <c r="K49">
        <v>2</v>
      </c>
      <c r="L49">
        <v>3360</v>
      </c>
      <c r="M49">
        <v>4368</v>
      </c>
      <c r="N49" t="s">
        <v>22</v>
      </c>
      <c r="O49">
        <f t="shared" si="0"/>
        <v>13650</v>
      </c>
      <c r="P49" s="13">
        <f t="shared" si="1"/>
        <v>1955044</v>
      </c>
      <c r="Q49" s="13">
        <f>SUMIFS(M:M,E:E,Online_eCommerce[[#This Row],[Status]])</f>
        <v>21103186</v>
      </c>
      <c r="R49" s="13">
        <f>SUMIFS(L:L,H:H,Online_eCommerce[[#This Row],[Brand]])</f>
        <v>4260400</v>
      </c>
      <c r="S49" s="13">
        <f>SUMIF(H:H,Online_eCommerce[[#This Row],[Brand]],M:M)</f>
        <v>5538520</v>
      </c>
      <c r="T49" s="13">
        <f>SUMIF(N:N,Online_eCommerce[[#This Row],[Assigned Supervisor]],L:L)</f>
        <v>13693220</v>
      </c>
    </row>
    <row r="50" spans="1:20" x14ac:dyDescent="0.3">
      <c r="A50" t="s">
        <v>227</v>
      </c>
      <c r="B50" t="s">
        <v>215</v>
      </c>
      <c r="C50" t="s">
        <v>58</v>
      </c>
      <c r="D50" t="s">
        <v>228</v>
      </c>
      <c r="E50" t="s">
        <v>46</v>
      </c>
      <c r="F50" t="s">
        <v>101</v>
      </c>
      <c r="G50" t="s">
        <v>66</v>
      </c>
      <c r="H50" t="s">
        <v>102</v>
      </c>
      <c r="I50">
        <v>6540</v>
      </c>
      <c r="J50">
        <v>8502</v>
      </c>
      <c r="K50">
        <v>1</v>
      </c>
      <c r="L50">
        <v>6540</v>
      </c>
      <c r="M50">
        <v>8502</v>
      </c>
      <c r="N50" t="s">
        <v>28</v>
      </c>
      <c r="O50">
        <f t="shared" si="0"/>
        <v>1690</v>
      </c>
      <c r="P50" s="13">
        <f t="shared" si="1"/>
        <v>2629211</v>
      </c>
      <c r="Q50" s="13">
        <f>SUMIFS(M:M,E:E,Online_eCommerce[[#This Row],[Status]])</f>
        <v>28620410</v>
      </c>
      <c r="R50" s="13">
        <f>SUMIFS(L:L,H:H,Online_eCommerce[[#This Row],[Brand]])</f>
        <v>2465580</v>
      </c>
      <c r="S50" s="13">
        <f>SUMIF(H:H,Online_eCommerce[[#This Row],[Brand]],M:M)</f>
        <v>3205254</v>
      </c>
      <c r="T50" s="13">
        <f>SUMIF(N:N,Online_eCommerce[[#This Row],[Assigned Supervisor]],L:L)</f>
        <v>12220830</v>
      </c>
    </row>
    <row r="51" spans="1:20" hidden="1" x14ac:dyDescent="0.3">
      <c r="A51" t="s">
        <v>229</v>
      </c>
      <c r="B51" t="s">
        <v>90</v>
      </c>
      <c r="C51" t="s">
        <v>63</v>
      </c>
      <c r="D51" t="s">
        <v>230</v>
      </c>
      <c r="E51" t="s">
        <v>96</v>
      </c>
      <c r="F51" t="s">
        <v>107</v>
      </c>
      <c r="G51" t="s">
        <v>54</v>
      </c>
      <c r="H51" t="s">
        <v>55</v>
      </c>
      <c r="I51">
        <v>2680</v>
      </c>
      <c r="J51">
        <v>3484</v>
      </c>
      <c r="K51">
        <v>1</v>
      </c>
      <c r="L51">
        <v>2680</v>
      </c>
      <c r="M51">
        <v>3484</v>
      </c>
      <c r="N51" t="s">
        <v>35</v>
      </c>
      <c r="O51">
        <f t="shared" si="0"/>
        <v>2990</v>
      </c>
      <c r="P51" s="13">
        <f t="shared" si="1"/>
        <v>2016131</v>
      </c>
      <c r="Q51" s="13">
        <f>SUMIFS(M:M,E:E,Online_eCommerce[[#This Row],[Status]])</f>
        <v>21233992</v>
      </c>
      <c r="R51" s="13">
        <f>SUMIFS(L:L,H:H,Online_eCommerce[[#This Row],[Brand]])</f>
        <v>2267380</v>
      </c>
      <c r="S51" s="13">
        <f>SUMIF(H:H,Online_eCommerce[[#This Row],[Brand]],M:M)</f>
        <v>2947594</v>
      </c>
      <c r="T51" s="13">
        <f>SUMIF(N:N,Online_eCommerce[[#This Row],[Assigned Supervisor]],L:L)</f>
        <v>14373360</v>
      </c>
    </row>
    <row r="52" spans="1:20" hidden="1" x14ac:dyDescent="0.3">
      <c r="A52" t="s">
        <v>231</v>
      </c>
      <c r="B52" t="s">
        <v>232</v>
      </c>
      <c r="C52" t="s">
        <v>68</v>
      </c>
      <c r="D52" t="s">
        <v>233</v>
      </c>
      <c r="E52" t="s">
        <v>18</v>
      </c>
      <c r="F52" t="s">
        <v>112</v>
      </c>
      <c r="G52" t="s">
        <v>71</v>
      </c>
      <c r="H52" t="s">
        <v>21</v>
      </c>
      <c r="I52">
        <v>8250</v>
      </c>
      <c r="J52">
        <v>10725</v>
      </c>
      <c r="K52">
        <v>1</v>
      </c>
      <c r="L52">
        <v>8250</v>
      </c>
      <c r="M52">
        <v>10725</v>
      </c>
      <c r="N52" t="s">
        <v>42</v>
      </c>
      <c r="O52">
        <f t="shared" si="0"/>
        <v>9750</v>
      </c>
      <c r="P52" s="13">
        <f t="shared" si="1"/>
        <v>2974621</v>
      </c>
      <c r="Q52" s="13">
        <f>SUMIFS(M:M,E:E,Online_eCommerce[[#This Row],[Status]])</f>
        <v>28340455</v>
      </c>
      <c r="R52" s="13">
        <f>SUMIFS(L:L,H:H,Online_eCommerce[[#This Row],[Brand]])</f>
        <v>12435650</v>
      </c>
      <c r="S52" s="13">
        <f>SUMIF(H:H,Online_eCommerce[[#This Row],[Brand]],M:M)</f>
        <v>16166345</v>
      </c>
      <c r="T52" s="13">
        <f>SUMIF(N:N,Online_eCommerce[[#This Row],[Assigned Supervisor]],L:L)</f>
        <v>12261500</v>
      </c>
    </row>
    <row r="53" spans="1:20" hidden="1" x14ac:dyDescent="0.3">
      <c r="A53" t="s">
        <v>234</v>
      </c>
      <c r="B53" t="s">
        <v>235</v>
      </c>
      <c r="C53" t="s">
        <v>74</v>
      </c>
      <c r="D53" t="s">
        <v>236</v>
      </c>
      <c r="E53" t="s">
        <v>161</v>
      </c>
      <c r="F53" t="s">
        <v>162</v>
      </c>
      <c r="G53" t="s">
        <v>40</v>
      </c>
      <c r="H53" t="s">
        <v>21</v>
      </c>
      <c r="I53">
        <v>2650</v>
      </c>
      <c r="J53">
        <v>3445</v>
      </c>
      <c r="K53">
        <v>3</v>
      </c>
      <c r="L53">
        <v>7950</v>
      </c>
      <c r="M53">
        <v>10335</v>
      </c>
      <c r="N53" t="s">
        <v>50</v>
      </c>
      <c r="O53">
        <f t="shared" si="0"/>
        <v>25545</v>
      </c>
      <c r="P53" s="13">
        <f t="shared" si="1"/>
        <v>2144701</v>
      </c>
      <c r="Q53" s="13">
        <f>SUMIFS(M:M,E:E,Online_eCommerce[[#This Row],[Status]])</f>
        <v>21103186</v>
      </c>
      <c r="R53" s="13">
        <f>SUMIFS(L:L,H:H,Online_eCommerce[[#This Row],[Brand]])</f>
        <v>12435650</v>
      </c>
      <c r="S53" s="13">
        <f>SUMIF(H:H,Online_eCommerce[[#This Row],[Brand]],M:M)</f>
        <v>16166345</v>
      </c>
      <c r="T53" s="13">
        <f>SUMIF(N:N,Online_eCommerce[[#This Row],[Assigned Supervisor]],L:L)</f>
        <v>12100590</v>
      </c>
    </row>
    <row r="54" spans="1:20" x14ac:dyDescent="0.3">
      <c r="A54" t="s">
        <v>237</v>
      </c>
      <c r="B54" t="s">
        <v>104</v>
      </c>
      <c r="C54" t="s">
        <v>81</v>
      </c>
      <c r="D54" t="s">
        <v>238</v>
      </c>
      <c r="E54" t="s">
        <v>46</v>
      </c>
      <c r="F54" t="s">
        <v>121</v>
      </c>
      <c r="G54" t="s">
        <v>71</v>
      </c>
      <c r="H54" t="s">
        <v>122</v>
      </c>
      <c r="I54">
        <v>12550</v>
      </c>
      <c r="J54">
        <v>16315</v>
      </c>
      <c r="K54">
        <v>3</v>
      </c>
      <c r="L54">
        <v>37650</v>
      </c>
      <c r="M54">
        <v>48945</v>
      </c>
      <c r="N54" t="s">
        <v>56</v>
      </c>
      <c r="O54">
        <f t="shared" si="0"/>
        <v>9750</v>
      </c>
      <c r="P54" s="13">
        <f t="shared" si="1"/>
        <v>2595632</v>
      </c>
      <c r="Q54" s="13">
        <f>SUMIFS(M:M,E:E,Online_eCommerce[[#This Row],[Status]])</f>
        <v>28620410</v>
      </c>
      <c r="R54" s="13">
        <f>SUMIFS(L:L,H:H,Online_eCommerce[[#This Row],[Brand]])</f>
        <v>5045100</v>
      </c>
      <c r="S54" s="13">
        <f>SUMIF(H:H,Online_eCommerce[[#This Row],[Brand]],M:M)</f>
        <v>6558630</v>
      </c>
      <c r="T54" s="13">
        <f>SUMIF(N:N,Online_eCommerce[[#This Row],[Assigned Supervisor]],L:L)</f>
        <v>11733610</v>
      </c>
    </row>
    <row r="55" spans="1:20" hidden="1" x14ac:dyDescent="0.3">
      <c r="A55" t="s">
        <v>239</v>
      </c>
      <c r="B55" t="s">
        <v>109</v>
      </c>
      <c r="C55" t="s">
        <v>86</v>
      </c>
      <c r="D55" t="s">
        <v>240</v>
      </c>
      <c r="E55" t="s">
        <v>96</v>
      </c>
      <c r="F55" t="s">
        <v>126</v>
      </c>
      <c r="G55" t="s">
        <v>26</v>
      </c>
      <c r="H55" t="s">
        <v>27</v>
      </c>
      <c r="I55">
        <v>14500</v>
      </c>
      <c r="J55">
        <v>18850</v>
      </c>
      <c r="K55">
        <v>3</v>
      </c>
      <c r="L55">
        <v>43500</v>
      </c>
      <c r="M55">
        <v>56550</v>
      </c>
      <c r="N55" t="s">
        <v>22</v>
      </c>
      <c r="O55">
        <f t="shared" si="0"/>
        <v>33150</v>
      </c>
      <c r="P55" s="13">
        <f t="shared" si="1"/>
        <v>1941225</v>
      </c>
      <c r="Q55" s="13">
        <f>SUMIFS(M:M,E:E,Online_eCommerce[[#This Row],[Status]])</f>
        <v>21233992</v>
      </c>
      <c r="R55" s="13">
        <f>SUMIFS(L:L,H:H,Online_eCommerce[[#This Row],[Brand]])</f>
        <v>14431000</v>
      </c>
      <c r="S55" s="13">
        <f>SUMIF(H:H,Online_eCommerce[[#This Row],[Brand]],M:M)</f>
        <v>18760300</v>
      </c>
      <c r="T55" s="13">
        <f>SUMIF(N:N,Online_eCommerce[[#This Row],[Assigned Supervisor]],L:L)</f>
        <v>13693220</v>
      </c>
    </row>
    <row r="56" spans="1:20" hidden="1" x14ac:dyDescent="0.3">
      <c r="A56" t="s">
        <v>241</v>
      </c>
      <c r="B56" t="s">
        <v>114</v>
      </c>
      <c r="C56" t="s">
        <v>91</v>
      </c>
      <c r="D56" t="s">
        <v>242</v>
      </c>
      <c r="E56" t="s">
        <v>18</v>
      </c>
      <c r="F56" t="s">
        <v>129</v>
      </c>
      <c r="G56" t="s">
        <v>60</v>
      </c>
      <c r="H56" t="s">
        <v>61</v>
      </c>
      <c r="I56">
        <v>800</v>
      </c>
      <c r="J56">
        <v>1040</v>
      </c>
      <c r="K56">
        <v>3</v>
      </c>
      <c r="L56">
        <v>2400</v>
      </c>
      <c r="M56">
        <v>3120</v>
      </c>
      <c r="N56" t="s">
        <v>28</v>
      </c>
      <c r="O56">
        <f t="shared" si="0"/>
        <v>3315</v>
      </c>
      <c r="P56" s="13">
        <f t="shared" si="1"/>
        <v>2731963</v>
      </c>
      <c r="Q56" s="13">
        <f>SUMIFS(M:M,E:E,Online_eCommerce[[#This Row],[Status]])</f>
        <v>28340455</v>
      </c>
      <c r="R56" s="13">
        <f>SUMIFS(L:L,H:H,Online_eCommerce[[#This Row],[Brand]])</f>
        <v>10950150</v>
      </c>
      <c r="S56" s="13">
        <f>SUMIF(H:H,Online_eCommerce[[#This Row],[Brand]],M:M)</f>
        <v>14235195</v>
      </c>
      <c r="T56" s="13">
        <f>SUMIF(N:N,Online_eCommerce[[#This Row],[Assigned Supervisor]],L:L)</f>
        <v>12220830</v>
      </c>
    </row>
    <row r="57" spans="1:20" hidden="1" x14ac:dyDescent="0.3">
      <c r="A57" t="s">
        <v>243</v>
      </c>
      <c r="B57" t="s">
        <v>119</v>
      </c>
      <c r="C57" t="s">
        <v>94</v>
      </c>
      <c r="D57" t="s">
        <v>244</v>
      </c>
      <c r="E57" t="s">
        <v>161</v>
      </c>
      <c r="F57" t="s">
        <v>133</v>
      </c>
      <c r="G57" t="s">
        <v>66</v>
      </c>
      <c r="H57" t="s">
        <v>21</v>
      </c>
      <c r="I57">
        <v>600</v>
      </c>
      <c r="J57">
        <v>780</v>
      </c>
      <c r="K57">
        <v>3</v>
      </c>
      <c r="L57">
        <v>1800</v>
      </c>
      <c r="M57">
        <v>2340</v>
      </c>
      <c r="N57" t="s">
        <v>35</v>
      </c>
      <c r="O57">
        <f t="shared" si="0"/>
        <v>1690</v>
      </c>
      <c r="P57" s="13">
        <f t="shared" si="1"/>
        <v>1868256</v>
      </c>
      <c r="Q57" s="13">
        <f>SUMIFS(M:M,E:E,Online_eCommerce[[#This Row],[Status]])</f>
        <v>21103186</v>
      </c>
      <c r="R57" s="13">
        <f>SUMIFS(L:L,H:H,Online_eCommerce[[#This Row],[Brand]])</f>
        <v>12435650</v>
      </c>
      <c r="S57" s="13">
        <f>SUMIF(H:H,Online_eCommerce[[#This Row],[Brand]],M:M)</f>
        <v>16166345</v>
      </c>
      <c r="T57" s="13">
        <f>SUMIF(N:N,Online_eCommerce[[#This Row],[Assigned Supervisor]],L:L)</f>
        <v>14373360</v>
      </c>
    </row>
    <row r="58" spans="1:20" x14ac:dyDescent="0.3">
      <c r="A58" t="s">
        <v>245</v>
      </c>
      <c r="B58" t="s">
        <v>124</v>
      </c>
      <c r="C58" t="s">
        <v>99</v>
      </c>
      <c r="D58" t="s">
        <v>246</v>
      </c>
      <c r="E58" t="s">
        <v>46</v>
      </c>
      <c r="F58" t="s">
        <v>137</v>
      </c>
      <c r="G58" t="s">
        <v>71</v>
      </c>
      <c r="H58" t="s">
        <v>61</v>
      </c>
      <c r="I58">
        <v>10500</v>
      </c>
      <c r="J58">
        <v>13650</v>
      </c>
      <c r="K58">
        <v>3</v>
      </c>
      <c r="L58">
        <v>31500</v>
      </c>
      <c r="M58">
        <v>40950</v>
      </c>
      <c r="N58" t="s">
        <v>42</v>
      </c>
      <c r="O58">
        <f t="shared" si="0"/>
        <v>9750</v>
      </c>
      <c r="P58" s="13">
        <f t="shared" si="1"/>
        <v>2651233</v>
      </c>
      <c r="Q58" s="13">
        <f>SUMIFS(M:M,E:E,Online_eCommerce[[#This Row],[Status]])</f>
        <v>28620410</v>
      </c>
      <c r="R58" s="13">
        <f>SUMIFS(L:L,H:H,Online_eCommerce[[#This Row],[Brand]])</f>
        <v>10950150</v>
      </c>
      <c r="S58" s="13">
        <f>SUMIF(H:H,Online_eCommerce[[#This Row],[Brand]],M:M)</f>
        <v>14235195</v>
      </c>
      <c r="T58" s="13">
        <f>SUMIF(N:N,Online_eCommerce[[#This Row],[Assigned Supervisor]],L:L)</f>
        <v>12261500</v>
      </c>
    </row>
    <row r="59" spans="1:20" hidden="1" x14ac:dyDescent="0.3">
      <c r="A59" t="s">
        <v>247</v>
      </c>
      <c r="B59" t="s">
        <v>128</v>
      </c>
      <c r="C59" t="s">
        <v>105</v>
      </c>
      <c r="D59" t="s">
        <v>248</v>
      </c>
      <c r="E59" t="s">
        <v>96</v>
      </c>
      <c r="F59" t="s">
        <v>187</v>
      </c>
      <c r="G59" t="s">
        <v>77</v>
      </c>
      <c r="H59" t="s">
        <v>142</v>
      </c>
      <c r="I59">
        <v>6500</v>
      </c>
      <c r="J59">
        <v>8450</v>
      </c>
      <c r="K59">
        <v>2</v>
      </c>
      <c r="L59">
        <v>13000</v>
      </c>
      <c r="M59">
        <v>16900</v>
      </c>
      <c r="N59" t="s">
        <v>50</v>
      </c>
      <c r="O59">
        <f t="shared" si="0"/>
        <v>39000</v>
      </c>
      <c r="P59" s="13">
        <f t="shared" si="1"/>
        <v>1866852</v>
      </c>
      <c r="Q59" s="13">
        <f>SUMIFS(M:M,E:E,Online_eCommerce[[#This Row],[Status]])</f>
        <v>21233992</v>
      </c>
      <c r="R59" s="13">
        <f>SUMIFS(L:L,H:H,Online_eCommerce[[#This Row],[Brand]])</f>
        <v>6192500</v>
      </c>
      <c r="S59" s="13">
        <f>SUMIF(H:H,Online_eCommerce[[#This Row],[Brand]],M:M)</f>
        <v>8050250</v>
      </c>
      <c r="T59" s="13">
        <f>SUMIF(N:N,Online_eCommerce[[#This Row],[Assigned Supervisor]],L:L)</f>
        <v>12100590</v>
      </c>
    </row>
    <row r="60" spans="1:20" hidden="1" x14ac:dyDescent="0.3">
      <c r="A60" t="s">
        <v>249</v>
      </c>
      <c r="B60" t="s">
        <v>131</v>
      </c>
      <c r="C60" t="s">
        <v>110</v>
      </c>
      <c r="D60" t="s">
        <v>250</v>
      </c>
      <c r="E60" t="s">
        <v>18</v>
      </c>
      <c r="F60" t="s">
        <v>251</v>
      </c>
      <c r="G60" t="s">
        <v>20</v>
      </c>
      <c r="H60" t="s">
        <v>21</v>
      </c>
      <c r="I60">
        <v>4500</v>
      </c>
      <c r="J60">
        <v>5850</v>
      </c>
      <c r="K60">
        <v>2</v>
      </c>
      <c r="L60">
        <v>9000</v>
      </c>
      <c r="M60">
        <v>11700</v>
      </c>
      <c r="N60" t="s">
        <v>56</v>
      </c>
      <c r="O60">
        <f t="shared" si="0"/>
        <v>8450</v>
      </c>
      <c r="P60" s="13">
        <f t="shared" si="1"/>
        <v>2598635</v>
      </c>
      <c r="Q60" s="13">
        <f>SUMIFS(M:M,E:E,Online_eCommerce[[#This Row],[Status]])</f>
        <v>28340455</v>
      </c>
      <c r="R60" s="13">
        <f>SUMIFS(L:L,H:H,Online_eCommerce[[#This Row],[Brand]])</f>
        <v>12435650</v>
      </c>
      <c r="S60" s="13">
        <f>SUMIF(H:H,Online_eCommerce[[#This Row],[Brand]],M:M)</f>
        <v>16166345</v>
      </c>
      <c r="T60" s="13">
        <f>SUMIF(N:N,Online_eCommerce[[#This Row],[Assigned Supervisor]],L:L)</f>
        <v>11733610</v>
      </c>
    </row>
    <row r="61" spans="1:20" hidden="1" x14ac:dyDescent="0.3">
      <c r="A61" t="s">
        <v>252</v>
      </c>
      <c r="B61" t="s">
        <v>135</v>
      </c>
      <c r="C61" t="s">
        <v>115</v>
      </c>
      <c r="D61" t="s">
        <v>250</v>
      </c>
      <c r="E61" t="s">
        <v>161</v>
      </c>
      <c r="F61" t="s">
        <v>152</v>
      </c>
      <c r="G61" t="s">
        <v>26</v>
      </c>
      <c r="H61" t="s">
        <v>27</v>
      </c>
      <c r="I61">
        <v>8500</v>
      </c>
      <c r="J61">
        <v>11050</v>
      </c>
      <c r="K61">
        <v>2</v>
      </c>
      <c r="L61">
        <v>17000</v>
      </c>
      <c r="M61">
        <v>22100</v>
      </c>
      <c r="N61" t="s">
        <v>22</v>
      </c>
      <c r="O61">
        <f t="shared" si="0"/>
        <v>33150</v>
      </c>
      <c r="P61" s="13">
        <f t="shared" si="1"/>
        <v>2050178</v>
      </c>
      <c r="Q61" s="13">
        <f>SUMIFS(M:M,E:E,Online_eCommerce[[#This Row],[Status]])</f>
        <v>21103186</v>
      </c>
      <c r="R61" s="13">
        <f>SUMIFS(L:L,H:H,Online_eCommerce[[#This Row],[Brand]])</f>
        <v>14431000</v>
      </c>
      <c r="S61" s="13">
        <f>SUMIF(H:H,Online_eCommerce[[#This Row],[Brand]],M:M)</f>
        <v>18760300</v>
      </c>
      <c r="T61" s="13">
        <f>SUMIF(N:N,Online_eCommerce[[#This Row],[Assigned Supervisor]],L:L)</f>
        <v>13693220</v>
      </c>
    </row>
    <row r="62" spans="1:20" x14ac:dyDescent="0.3">
      <c r="A62" t="s">
        <v>253</v>
      </c>
      <c r="B62" t="s">
        <v>139</v>
      </c>
      <c r="C62" t="s">
        <v>120</v>
      </c>
      <c r="D62" t="s">
        <v>250</v>
      </c>
      <c r="E62" t="s">
        <v>46</v>
      </c>
      <c r="F62" t="s">
        <v>157</v>
      </c>
      <c r="G62" t="s">
        <v>33</v>
      </c>
      <c r="H62" t="s">
        <v>34</v>
      </c>
      <c r="I62">
        <v>12500</v>
      </c>
      <c r="J62">
        <v>16250</v>
      </c>
      <c r="K62">
        <v>4</v>
      </c>
      <c r="L62">
        <v>50000</v>
      </c>
      <c r="M62">
        <v>65000</v>
      </c>
      <c r="N62" t="s">
        <v>28</v>
      </c>
      <c r="O62">
        <f t="shared" si="0"/>
        <v>18200</v>
      </c>
      <c r="P62" s="13">
        <f t="shared" si="1"/>
        <v>2734212</v>
      </c>
      <c r="Q62" s="13">
        <f>SUMIFS(M:M,E:E,Online_eCommerce[[#This Row],[Status]])</f>
        <v>28620410</v>
      </c>
      <c r="R62" s="13">
        <f>SUMIFS(L:L,H:H,Online_eCommerce[[#This Row],[Brand]])</f>
        <v>10087000</v>
      </c>
      <c r="S62" s="13">
        <f>SUMIF(H:H,Online_eCommerce[[#This Row],[Brand]],M:M)</f>
        <v>13113100</v>
      </c>
      <c r="T62" s="13">
        <f>SUMIF(N:N,Online_eCommerce[[#This Row],[Assigned Supervisor]],L:L)</f>
        <v>12220830</v>
      </c>
    </row>
    <row r="63" spans="1:20" hidden="1" x14ac:dyDescent="0.3">
      <c r="A63" t="s">
        <v>254</v>
      </c>
      <c r="B63" t="s">
        <v>139</v>
      </c>
      <c r="C63" t="s">
        <v>125</v>
      </c>
      <c r="D63" t="s">
        <v>250</v>
      </c>
      <c r="E63" t="s">
        <v>96</v>
      </c>
      <c r="F63" t="s">
        <v>255</v>
      </c>
      <c r="G63" t="s">
        <v>256</v>
      </c>
      <c r="H63" t="s">
        <v>41</v>
      </c>
      <c r="I63">
        <v>3500</v>
      </c>
      <c r="J63">
        <v>4550</v>
      </c>
      <c r="K63">
        <v>2</v>
      </c>
      <c r="L63">
        <v>7000</v>
      </c>
      <c r="M63">
        <v>9100</v>
      </c>
      <c r="N63" t="s">
        <v>35</v>
      </c>
      <c r="O63">
        <f t="shared" si="0"/>
        <v>9100</v>
      </c>
      <c r="P63" s="13">
        <f t="shared" si="1"/>
        <v>2091154</v>
      </c>
      <c r="Q63" s="13">
        <f>SUMIFS(M:M,E:E,Online_eCommerce[[#This Row],[Status]])</f>
        <v>21233992</v>
      </c>
      <c r="R63" s="13">
        <f>SUMIFS(L:L,H:H,Online_eCommerce[[#This Row],[Brand]])</f>
        <v>4260400</v>
      </c>
      <c r="S63" s="13">
        <f>SUMIF(H:H,Online_eCommerce[[#This Row],[Brand]],M:M)</f>
        <v>5538520</v>
      </c>
      <c r="T63" s="13">
        <f>SUMIF(N:N,Online_eCommerce[[#This Row],[Assigned Supervisor]],L:L)</f>
        <v>14373360</v>
      </c>
    </row>
    <row r="64" spans="1:20" hidden="1" x14ac:dyDescent="0.3">
      <c r="A64" t="s">
        <v>257</v>
      </c>
      <c r="B64" t="s">
        <v>139</v>
      </c>
      <c r="C64" t="s">
        <v>22</v>
      </c>
      <c r="D64" t="s">
        <v>258</v>
      </c>
      <c r="E64" t="s">
        <v>18</v>
      </c>
      <c r="F64" t="s">
        <v>166</v>
      </c>
      <c r="G64" t="s">
        <v>259</v>
      </c>
      <c r="H64" t="s">
        <v>49</v>
      </c>
      <c r="I64">
        <v>4500</v>
      </c>
      <c r="J64">
        <v>5850</v>
      </c>
      <c r="K64">
        <v>2</v>
      </c>
      <c r="L64">
        <v>9000</v>
      </c>
      <c r="M64">
        <v>11700</v>
      </c>
      <c r="N64" t="s">
        <v>42</v>
      </c>
      <c r="O64">
        <f t="shared" si="0"/>
        <v>11700</v>
      </c>
      <c r="P64" s="13">
        <f t="shared" si="1"/>
        <v>2551588</v>
      </c>
      <c r="Q64" s="13">
        <f>SUMIFS(M:M,E:E,Online_eCommerce[[#This Row],[Status]])</f>
        <v>28340455</v>
      </c>
      <c r="R64" s="13">
        <f>SUMIFS(L:L,H:H,Online_eCommerce[[#This Row],[Brand]])</f>
        <v>4528350</v>
      </c>
      <c r="S64" s="13">
        <f>SUMIF(H:H,Online_eCommerce[[#This Row],[Brand]],M:M)</f>
        <v>5886855</v>
      </c>
      <c r="T64" s="13">
        <f>SUMIF(N:N,Online_eCommerce[[#This Row],[Assigned Supervisor]],L:L)</f>
        <v>12261500</v>
      </c>
    </row>
    <row r="65" spans="1:20" hidden="1" x14ac:dyDescent="0.3">
      <c r="A65" t="s">
        <v>260</v>
      </c>
      <c r="B65" t="s">
        <v>139</v>
      </c>
      <c r="C65" t="s">
        <v>132</v>
      </c>
      <c r="D65" t="s">
        <v>261</v>
      </c>
      <c r="E65" t="s">
        <v>161</v>
      </c>
      <c r="F65" t="s">
        <v>262</v>
      </c>
      <c r="G65" t="s">
        <v>54</v>
      </c>
      <c r="H65" t="s">
        <v>55</v>
      </c>
      <c r="I65">
        <v>2100</v>
      </c>
      <c r="J65">
        <v>2730</v>
      </c>
      <c r="K65">
        <v>3</v>
      </c>
      <c r="L65">
        <v>6300</v>
      </c>
      <c r="M65">
        <v>8190</v>
      </c>
      <c r="N65" t="s">
        <v>50</v>
      </c>
      <c r="O65">
        <f t="shared" si="0"/>
        <v>2990</v>
      </c>
      <c r="P65" s="13">
        <f t="shared" si="1"/>
        <v>1989065</v>
      </c>
      <c r="Q65" s="13">
        <f>SUMIFS(M:M,E:E,Online_eCommerce[[#This Row],[Status]])</f>
        <v>21103186</v>
      </c>
      <c r="R65" s="13">
        <f>SUMIFS(L:L,H:H,Online_eCommerce[[#This Row],[Brand]])</f>
        <v>2267380</v>
      </c>
      <c r="S65" s="13">
        <f>SUMIF(H:H,Online_eCommerce[[#This Row],[Brand]],M:M)</f>
        <v>2947594</v>
      </c>
      <c r="T65" s="13">
        <f>SUMIF(N:N,Online_eCommerce[[#This Row],[Assigned Supervisor]],L:L)</f>
        <v>12100590</v>
      </c>
    </row>
    <row r="66" spans="1:20" x14ac:dyDescent="0.3">
      <c r="A66" t="s">
        <v>263</v>
      </c>
      <c r="B66" t="s">
        <v>159</v>
      </c>
      <c r="C66" t="s">
        <v>136</v>
      </c>
      <c r="D66" t="s">
        <v>264</v>
      </c>
      <c r="E66" t="s">
        <v>46</v>
      </c>
      <c r="F66" t="s">
        <v>174</v>
      </c>
      <c r="G66" t="s">
        <v>60</v>
      </c>
      <c r="H66" t="s">
        <v>61</v>
      </c>
      <c r="I66">
        <v>1150</v>
      </c>
      <c r="J66">
        <v>1495</v>
      </c>
      <c r="K66">
        <v>1</v>
      </c>
      <c r="L66">
        <v>1150</v>
      </c>
      <c r="M66">
        <v>1495</v>
      </c>
      <c r="N66" t="s">
        <v>56</v>
      </c>
      <c r="O66">
        <f t="shared" ref="O66:O129" si="2">VLOOKUP(G66,G:M,7,FALSE)</f>
        <v>3315</v>
      </c>
      <c r="P66" s="13">
        <f t="shared" ref="P66:P129" si="3">SUMIFS(M:M,C:C,C66)</f>
        <v>2775162</v>
      </c>
      <c r="Q66" s="13">
        <f>SUMIFS(M:M,E:E,Online_eCommerce[[#This Row],[Status]])</f>
        <v>28620410</v>
      </c>
      <c r="R66" s="13">
        <f>SUMIFS(L:L,H:H,Online_eCommerce[[#This Row],[Brand]])</f>
        <v>10950150</v>
      </c>
      <c r="S66" s="13">
        <f>SUMIF(H:H,Online_eCommerce[[#This Row],[Brand]],M:M)</f>
        <v>14235195</v>
      </c>
      <c r="T66" s="13">
        <f>SUMIF(N:N,Online_eCommerce[[#This Row],[Assigned Supervisor]],L:L)</f>
        <v>11733610</v>
      </c>
    </row>
    <row r="67" spans="1:20" hidden="1" x14ac:dyDescent="0.3">
      <c r="A67" t="s">
        <v>265</v>
      </c>
      <c r="B67" t="s">
        <v>139</v>
      </c>
      <c r="C67" t="s">
        <v>140</v>
      </c>
      <c r="D67" t="s">
        <v>266</v>
      </c>
      <c r="E67" t="s">
        <v>96</v>
      </c>
      <c r="F67" t="s">
        <v>179</v>
      </c>
      <c r="G67" t="s">
        <v>66</v>
      </c>
      <c r="H67" t="s">
        <v>21</v>
      </c>
      <c r="I67">
        <v>350</v>
      </c>
      <c r="J67">
        <v>455</v>
      </c>
      <c r="K67">
        <v>1</v>
      </c>
      <c r="L67">
        <v>350</v>
      </c>
      <c r="M67">
        <v>455</v>
      </c>
      <c r="N67" t="s">
        <v>22</v>
      </c>
      <c r="O67">
        <f t="shared" si="2"/>
        <v>1690</v>
      </c>
      <c r="P67" s="13">
        <f t="shared" si="3"/>
        <v>2058264</v>
      </c>
      <c r="Q67" s="13">
        <f>SUMIFS(M:M,E:E,Online_eCommerce[[#This Row],[Status]])</f>
        <v>21233992</v>
      </c>
      <c r="R67" s="13">
        <f>SUMIFS(L:L,H:H,Online_eCommerce[[#This Row],[Brand]])</f>
        <v>12435650</v>
      </c>
      <c r="S67" s="13">
        <f>SUMIF(H:H,Online_eCommerce[[#This Row],[Brand]],M:M)</f>
        <v>16166345</v>
      </c>
      <c r="T67" s="13">
        <f>SUMIF(N:N,Online_eCommerce[[#This Row],[Assigned Supervisor]],L:L)</f>
        <v>13693220</v>
      </c>
    </row>
    <row r="68" spans="1:20" hidden="1" x14ac:dyDescent="0.3">
      <c r="A68" t="s">
        <v>267</v>
      </c>
      <c r="B68" t="s">
        <v>144</v>
      </c>
      <c r="C68" t="s">
        <v>145</v>
      </c>
      <c r="D68" t="s">
        <v>268</v>
      </c>
      <c r="E68" t="s">
        <v>18</v>
      </c>
      <c r="F68" t="s">
        <v>183</v>
      </c>
      <c r="G68" t="s">
        <v>71</v>
      </c>
      <c r="H68" t="s">
        <v>61</v>
      </c>
      <c r="I68">
        <v>9500</v>
      </c>
      <c r="J68">
        <v>12350</v>
      </c>
      <c r="K68">
        <v>1</v>
      </c>
      <c r="L68">
        <v>9500</v>
      </c>
      <c r="M68">
        <v>12350</v>
      </c>
      <c r="N68" t="s">
        <v>28</v>
      </c>
      <c r="O68">
        <f t="shared" si="2"/>
        <v>9750</v>
      </c>
      <c r="P68" s="13">
        <f t="shared" si="3"/>
        <v>2757859</v>
      </c>
      <c r="Q68" s="13">
        <f>SUMIFS(M:M,E:E,Online_eCommerce[[#This Row],[Status]])</f>
        <v>28340455</v>
      </c>
      <c r="R68" s="13">
        <f>SUMIFS(L:L,H:H,Online_eCommerce[[#This Row],[Brand]])</f>
        <v>10950150</v>
      </c>
      <c r="S68" s="13">
        <f>SUMIF(H:H,Online_eCommerce[[#This Row],[Brand]],M:M)</f>
        <v>14235195</v>
      </c>
      <c r="T68" s="13">
        <f>SUMIF(N:N,Online_eCommerce[[#This Row],[Assigned Supervisor]],L:L)</f>
        <v>12220830</v>
      </c>
    </row>
    <row r="69" spans="1:20" hidden="1" x14ac:dyDescent="0.3">
      <c r="A69" t="s">
        <v>269</v>
      </c>
      <c r="B69" t="s">
        <v>171</v>
      </c>
      <c r="C69" t="s">
        <v>150</v>
      </c>
      <c r="D69" t="s">
        <v>270</v>
      </c>
      <c r="E69" t="s">
        <v>161</v>
      </c>
      <c r="F69" t="s">
        <v>271</v>
      </c>
      <c r="G69" t="s">
        <v>77</v>
      </c>
      <c r="H69" t="s">
        <v>142</v>
      </c>
      <c r="I69">
        <v>10000</v>
      </c>
      <c r="J69">
        <v>13000</v>
      </c>
      <c r="K69">
        <v>1</v>
      </c>
      <c r="L69">
        <v>10000</v>
      </c>
      <c r="M69">
        <v>13000</v>
      </c>
      <c r="N69" t="s">
        <v>35</v>
      </c>
      <c r="O69">
        <f t="shared" si="2"/>
        <v>39000</v>
      </c>
      <c r="P69" s="13">
        <f t="shared" si="3"/>
        <v>2154984</v>
      </c>
      <c r="Q69" s="13">
        <f>SUMIFS(M:M,E:E,Online_eCommerce[[#This Row],[Status]])</f>
        <v>21103186</v>
      </c>
      <c r="R69" s="13">
        <f>SUMIFS(L:L,H:H,Online_eCommerce[[#This Row],[Brand]])</f>
        <v>6192500</v>
      </c>
      <c r="S69" s="13">
        <f>SUMIF(H:H,Online_eCommerce[[#This Row],[Brand]],M:M)</f>
        <v>8050250</v>
      </c>
      <c r="T69" s="13">
        <f>SUMIF(N:N,Online_eCommerce[[#This Row],[Assigned Supervisor]],L:L)</f>
        <v>14373360</v>
      </c>
    </row>
    <row r="70" spans="1:20" x14ac:dyDescent="0.3">
      <c r="A70" t="s">
        <v>272</v>
      </c>
      <c r="B70" t="s">
        <v>176</v>
      </c>
      <c r="C70" t="s">
        <v>155</v>
      </c>
      <c r="D70" t="s">
        <v>273</v>
      </c>
      <c r="E70" t="s">
        <v>46</v>
      </c>
      <c r="F70" t="s">
        <v>274</v>
      </c>
      <c r="G70" t="s">
        <v>20</v>
      </c>
      <c r="H70" t="s">
        <v>21</v>
      </c>
      <c r="I70">
        <v>6500</v>
      </c>
      <c r="J70">
        <v>8450</v>
      </c>
      <c r="K70">
        <v>3</v>
      </c>
      <c r="L70">
        <v>19500</v>
      </c>
      <c r="M70">
        <v>25350</v>
      </c>
      <c r="N70" t="s">
        <v>42</v>
      </c>
      <c r="O70">
        <f t="shared" si="2"/>
        <v>8450</v>
      </c>
      <c r="P70" s="13">
        <f t="shared" si="3"/>
        <v>2753348</v>
      </c>
      <c r="Q70" s="13">
        <f>SUMIFS(M:M,E:E,Online_eCommerce[[#This Row],[Status]])</f>
        <v>28620410</v>
      </c>
      <c r="R70" s="13">
        <f>SUMIFS(L:L,H:H,Online_eCommerce[[#This Row],[Brand]])</f>
        <v>12435650</v>
      </c>
      <c r="S70" s="13">
        <f>SUMIF(H:H,Online_eCommerce[[#This Row],[Brand]],M:M)</f>
        <v>16166345</v>
      </c>
      <c r="T70" s="13">
        <f>SUMIF(N:N,Online_eCommerce[[#This Row],[Assigned Supervisor]],L:L)</f>
        <v>12261500</v>
      </c>
    </row>
    <row r="71" spans="1:20" hidden="1" x14ac:dyDescent="0.3">
      <c r="A71" t="s">
        <v>275</v>
      </c>
      <c r="B71" t="s">
        <v>276</v>
      </c>
      <c r="C71" t="s">
        <v>160</v>
      </c>
      <c r="D71" t="s">
        <v>277</v>
      </c>
      <c r="E71" t="s">
        <v>96</v>
      </c>
      <c r="F71" t="s">
        <v>278</v>
      </c>
      <c r="G71" t="s">
        <v>26</v>
      </c>
      <c r="H71" t="s">
        <v>27</v>
      </c>
      <c r="I71">
        <v>8500</v>
      </c>
      <c r="J71">
        <v>11050</v>
      </c>
      <c r="K71">
        <v>3</v>
      </c>
      <c r="L71">
        <v>25500</v>
      </c>
      <c r="M71">
        <v>33150</v>
      </c>
      <c r="N71" t="s">
        <v>50</v>
      </c>
      <c r="O71">
        <f t="shared" si="2"/>
        <v>33150</v>
      </c>
      <c r="P71" s="13">
        <f t="shared" si="3"/>
        <v>2303483</v>
      </c>
      <c r="Q71" s="13">
        <f>SUMIFS(M:M,E:E,Online_eCommerce[[#This Row],[Status]])</f>
        <v>21233992</v>
      </c>
      <c r="R71" s="13">
        <f>SUMIFS(L:L,H:H,Online_eCommerce[[#This Row],[Brand]])</f>
        <v>14431000</v>
      </c>
      <c r="S71" s="13">
        <f>SUMIF(H:H,Online_eCommerce[[#This Row],[Brand]],M:M)</f>
        <v>18760300</v>
      </c>
      <c r="T71" s="13">
        <f>SUMIF(N:N,Online_eCommerce[[#This Row],[Assigned Supervisor]],L:L)</f>
        <v>12100590</v>
      </c>
    </row>
    <row r="72" spans="1:20" hidden="1" x14ac:dyDescent="0.3">
      <c r="A72" t="s">
        <v>279</v>
      </c>
      <c r="B72" t="s">
        <v>280</v>
      </c>
      <c r="C72" t="s">
        <v>165</v>
      </c>
      <c r="D72" t="s">
        <v>281</v>
      </c>
      <c r="E72" t="s">
        <v>18</v>
      </c>
      <c r="F72" t="s">
        <v>32</v>
      </c>
      <c r="G72" t="s">
        <v>33</v>
      </c>
      <c r="H72" t="s">
        <v>34</v>
      </c>
      <c r="I72">
        <v>7000</v>
      </c>
      <c r="J72">
        <v>9100</v>
      </c>
      <c r="K72">
        <v>1</v>
      </c>
      <c r="L72">
        <v>7000</v>
      </c>
      <c r="M72">
        <v>9100</v>
      </c>
      <c r="N72" t="s">
        <v>56</v>
      </c>
      <c r="O72">
        <f t="shared" si="2"/>
        <v>18200</v>
      </c>
      <c r="P72" s="13">
        <f t="shared" si="3"/>
        <v>2674087</v>
      </c>
      <c r="Q72" s="13">
        <f>SUMIFS(M:M,E:E,Online_eCommerce[[#This Row],[Status]])</f>
        <v>28340455</v>
      </c>
      <c r="R72" s="13">
        <f>SUMIFS(L:L,H:H,Online_eCommerce[[#This Row],[Brand]])</f>
        <v>10087000</v>
      </c>
      <c r="S72" s="13">
        <f>SUMIF(H:H,Online_eCommerce[[#This Row],[Brand]],M:M)</f>
        <v>13113100</v>
      </c>
      <c r="T72" s="13">
        <f>SUMIF(N:N,Online_eCommerce[[#This Row],[Assigned Supervisor]],L:L)</f>
        <v>11733610</v>
      </c>
    </row>
    <row r="73" spans="1:20" hidden="1" x14ac:dyDescent="0.3">
      <c r="A73" t="s">
        <v>282</v>
      </c>
      <c r="B73" t="s">
        <v>283</v>
      </c>
      <c r="C73" t="s">
        <v>168</v>
      </c>
      <c r="D73" t="s">
        <v>284</v>
      </c>
      <c r="E73" t="s">
        <v>161</v>
      </c>
      <c r="F73" t="s">
        <v>285</v>
      </c>
      <c r="G73" t="s">
        <v>256</v>
      </c>
      <c r="H73" t="s">
        <v>41</v>
      </c>
      <c r="I73">
        <v>6550</v>
      </c>
      <c r="J73">
        <v>8515</v>
      </c>
      <c r="K73">
        <v>2</v>
      </c>
      <c r="L73">
        <v>13100</v>
      </c>
      <c r="M73">
        <v>17030</v>
      </c>
      <c r="N73" t="s">
        <v>22</v>
      </c>
      <c r="O73">
        <f t="shared" si="2"/>
        <v>9100</v>
      </c>
      <c r="P73" s="13">
        <f t="shared" si="3"/>
        <v>1937780</v>
      </c>
      <c r="Q73" s="13">
        <f>SUMIFS(M:M,E:E,Online_eCommerce[[#This Row],[Status]])</f>
        <v>21103186</v>
      </c>
      <c r="R73" s="13">
        <f>SUMIFS(L:L,H:H,Online_eCommerce[[#This Row],[Brand]])</f>
        <v>4260400</v>
      </c>
      <c r="S73" s="13">
        <f>SUMIF(H:H,Online_eCommerce[[#This Row],[Brand]],M:M)</f>
        <v>5538520</v>
      </c>
      <c r="T73" s="13">
        <f>SUMIF(N:N,Online_eCommerce[[#This Row],[Assigned Supervisor]],L:L)</f>
        <v>13693220</v>
      </c>
    </row>
    <row r="74" spans="1:20" x14ac:dyDescent="0.3">
      <c r="A74" t="s">
        <v>286</v>
      </c>
      <c r="B74" t="s">
        <v>287</v>
      </c>
      <c r="C74" t="s">
        <v>172</v>
      </c>
      <c r="D74" t="s">
        <v>288</v>
      </c>
      <c r="E74" t="s">
        <v>46</v>
      </c>
      <c r="F74" t="s">
        <v>47</v>
      </c>
      <c r="G74" t="s">
        <v>259</v>
      </c>
      <c r="H74" t="s">
        <v>49</v>
      </c>
      <c r="I74">
        <v>7650</v>
      </c>
      <c r="J74">
        <v>9945</v>
      </c>
      <c r="K74">
        <v>3</v>
      </c>
      <c r="L74">
        <v>22950</v>
      </c>
      <c r="M74">
        <v>29835</v>
      </c>
      <c r="N74" t="s">
        <v>28</v>
      </c>
      <c r="O74">
        <f t="shared" si="2"/>
        <v>11700</v>
      </c>
      <c r="P74" s="13">
        <f t="shared" si="3"/>
        <v>2640274</v>
      </c>
      <c r="Q74" s="13">
        <f>SUMIFS(M:M,E:E,Online_eCommerce[[#This Row],[Status]])</f>
        <v>28620410</v>
      </c>
      <c r="R74" s="13">
        <f>SUMIFS(L:L,H:H,Online_eCommerce[[#This Row],[Brand]])</f>
        <v>4528350</v>
      </c>
      <c r="S74" s="13">
        <f>SUMIF(H:H,Online_eCommerce[[#This Row],[Brand]],M:M)</f>
        <v>5886855</v>
      </c>
      <c r="T74" s="13">
        <f>SUMIF(N:N,Online_eCommerce[[#This Row],[Assigned Supervisor]],L:L)</f>
        <v>12220830</v>
      </c>
    </row>
    <row r="75" spans="1:20" hidden="1" x14ac:dyDescent="0.3">
      <c r="A75" t="s">
        <v>289</v>
      </c>
      <c r="B75" t="s">
        <v>290</v>
      </c>
      <c r="C75" t="s">
        <v>177</v>
      </c>
      <c r="D75" t="s">
        <v>291</v>
      </c>
      <c r="E75" t="s">
        <v>96</v>
      </c>
      <c r="F75" t="s">
        <v>53</v>
      </c>
      <c r="G75" t="s">
        <v>54</v>
      </c>
      <c r="H75" t="s">
        <v>55</v>
      </c>
      <c r="I75">
        <v>1150</v>
      </c>
      <c r="J75">
        <v>1495</v>
      </c>
      <c r="K75">
        <v>2</v>
      </c>
      <c r="L75">
        <v>2300</v>
      </c>
      <c r="M75">
        <v>2990</v>
      </c>
      <c r="N75" t="s">
        <v>35</v>
      </c>
      <c r="O75">
        <f t="shared" si="2"/>
        <v>2990</v>
      </c>
      <c r="P75" s="13">
        <f t="shared" si="3"/>
        <v>1863810</v>
      </c>
      <c r="Q75" s="13">
        <f>SUMIFS(M:M,E:E,Online_eCommerce[[#This Row],[Status]])</f>
        <v>21233992</v>
      </c>
      <c r="R75" s="13">
        <f>SUMIFS(L:L,H:H,Online_eCommerce[[#This Row],[Brand]])</f>
        <v>2267380</v>
      </c>
      <c r="S75" s="13">
        <f>SUMIF(H:H,Online_eCommerce[[#This Row],[Brand]],M:M)</f>
        <v>2947594</v>
      </c>
      <c r="T75" s="13">
        <f>SUMIF(N:N,Online_eCommerce[[#This Row],[Assigned Supervisor]],L:L)</f>
        <v>14373360</v>
      </c>
    </row>
    <row r="76" spans="1:20" hidden="1" x14ac:dyDescent="0.3">
      <c r="A76" t="s">
        <v>292</v>
      </c>
      <c r="B76" t="s">
        <v>15</v>
      </c>
      <c r="C76" t="s">
        <v>181</v>
      </c>
      <c r="D76" t="s">
        <v>293</v>
      </c>
      <c r="E76" t="s">
        <v>18</v>
      </c>
      <c r="F76" t="s">
        <v>59</v>
      </c>
      <c r="G76" t="s">
        <v>60</v>
      </c>
      <c r="H76" t="s">
        <v>61</v>
      </c>
      <c r="I76">
        <v>850</v>
      </c>
      <c r="J76">
        <v>1105</v>
      </c>
      <c r="K76">
        <v>1</v>
      </c>
      <c r="L76">
        <v>850</v>
      </c>
      <c r="M76">
        <v>1105</v>
      </c>
      <c r="N76" t="s">
        <v>42</v>
      </c>
      <c r="O76">
        <f t="shared" si="2"/>
        <v>3315</v>
      </c>
      <c r="P76" s="13">
        <f t="shared" si="3"/>
        <v>2577458</v>
      </c>
      <c r="Q76" s="13">
        <f>SUMIFS(M:M,E:E,Online_eCommerce[[#This Row],[Status]])</f>
        <v>28340455</v>
      </c>
      <c r="R76" s="13">
        <f>SUMIFS(L:L,H:H,Online_eCommerce[[#This Row],[Brand]])</f>
        <v>10950150</v>
      </c>
      <c r="S76" s="13">
        <f>SUMIF(H:H,Online_eCommerce[[#This Row],[Brand]],M:M)</f>
        <v>14235195</v>
      </c>
      <c r="T76" s="13">
        <f>SUMIF(N:N,Online_eCommerce[[#This Row],[Assigned Supervisor]],L:L)</f>
        <v>12261500</v>
      </c>
    </row>
    <row r="77" spans="1:20" hidden="1" x14ac:dyDescent="0.3">
      <c r="A77" t="s">
        <v>294</v>
      </c>
      <c r="B77" t="s">
        <v>202</v>
      </c>
      <c r="C77" t="s">
        <v>185</v>
      </c>
      <c r="D77" t="s">
        <v>295</v>
      </c>
      <c r="E77" t="s">
        <v>161</v>
      </c>
      <c r="F77" t="s">
        <v>65</v>
      </c>
      <c r="G77" t="s">
        <v>66</v>
      </c>
      <c r="H77" t="s">
        <v>21</v>
      </c>
      <c r="I77">
        <v>650</v>
      </c>
      <c r="J77">
        <v>845</v>
      </c>
      <c r="K77">
        <v>3</v>
      </c>
      <c r="L77">
        <v>1950</v>
      </c>
      <c r="M77">
        <v>2535</v>
      </c>
      <c r="N77" t="s">
        <v>50</v>
      </c>
      <c r="O77">
        <f t="shared" si="2"/>
        <v>1690</v>
      </c>
      <c r="P77" s="13">
        <f t="shared" si="3"/>
        <v>2091596</v>
      </c>
      <c r="Q77" s="13">
        <f>SUMIFS(M:M,E:E,Online_eCommerce[[#This Row],[Status]])</f>
        <v>21103186</v>
      </c>
      <c r="R77" s="13">
        <f>SUMIFS(L:L,H:H,Online_eCommerce[[#This Row],[Brand]])</f>
        <v>12435650</v>
      </c>
      <c r="S77" s="13">
        <f>SUMIF(H:H,Online_eCommerce[[#This Row],[Brand]],M:M)</f>
        <v>16166345</v>
      </c>
      <c r="T77" s="13">
        <f>SUMIF(N:N,Online_eCommerce[[#This Row],[Assigned Supervisor]],L:L)</f>
        <v>12100590</v>
      </c>
    </row>
    <row r="78" spans="1:20" x14ac:dyDescent="0.3">
      <c r="A78" t="s">
        <v>296</v>
      </c>
      <c r="B78" t="s">
        <v>30</v>
      </c>
      <c r="C78" t="s">
        <v>189</v>
      </c>
      <c r="D78" t="s">
        <v>297</v>
      </c>
      <c r="E78" t="s">
        <v>46</v>
      </c>
      <c r="F78" t="s">
        <v>70</v>
      </c>
      <c r="G78" t="s">
        <v>71</v>
      </c>
      <c r="H78" t="s">
        <v>61</v>
      </c>
      <c r="I78">
        <v>7500</v>
      </c>
      <c r="J78">
        <v>9750</v>
      </c>
      <c r="K78">
        <v>4</v>
      </c>
      <c r="L78">
        <v>30000</v>
      </c>
      <c r="M78">
        <v>39000</v>
      </c>
      <c r="N78" t="s">
        <v>56</v>
      </c>
      <c r="O78">
        <f t="shared" si="2"/>
        <v>9750</v>
      </c>
      <c r="P78" s="13">
        <f t="shared" si="3"/>
        <v>2740777</v>
      </c>
      <c r="Q78" s="13">
        <f>SUMIFS(M:M,E:E,Online_eCommerce[[#This Row],[Status]])</f>
        <v>28620410</v>
      </c>
      <c r="R78" s="13">
        <f>SUMIFS(L:L,H:H,Online_eCommerce[[#This Row],[Brand]])</f>
        <v>10950150</v>
      </c>
      <c r="S78" s="13">
        <f>SUMIF(H:H,Online_eCommerce[[#This Row],[Brand]],M:M)</f>
        <v>14235195</v>
      </c>
      <c r="T78" s="13">
        <f>SUMIF(N:N,Online_eCommerce[[#This Row],[Assigned Supervisor]],L:L)</f>
        <v>11733610</v>
      </c>
    </row>
    <row r="79" spans="1:20" hidden="1" x14ac:dyDescent="0.3">
      <c r="A79" t="s">
        <v>298</v>
      </c>
      <c r="B79" t="s">
        <v>37</v>
      </c>
      <c r="C79" t="s">
        <v>193</v>
      </c>
      <c r="D79" t="s">
        <v>299</v>
      </c>
      <c r="E79" t="s">
        <v>96</v>
      </c>
      <c r="F79" t="s">
        <v>271</v>
      </c>
      <c r="G79" t="s">
        <v>77</v>
      </c>
      <c r="H79" t="s">
        <v>78</v>
      </c>
      <c r="I79">
        <v>10000</v>
      </c>
      <c r="J79">
        <v>13000</v>
      </c>
      <c r="K79">
        <v>2</v>
      </c>
      <c r="L79">
        <v>20000</v>
      </c>
      <c r="M79">
        <v>26000</v>
      </c>
      <c r="N79" t="s">
        <v>28</v>
      </c>
      <c r="O79">
        <f t="shared" si="2"/>
        <v>39000</v>
      </c>
      <c r="P79" s="13">
        <f t="shared" si="3"/>
        <v>2074774</v>
      </c>
      <c r="Q79" s="13">
        <f>SUMIFS(M:M,E:E,Online_eCommerce[[#This Row],[Status]])</f>
        <v>21233992</v>
      </c>
      <c r="R79" s="13">
        <f>SUMIFS(L:L,H:H,Online_eCommerce[[#This Row],[Brand]])</f>
        <v>3720000</v>
      </c>
      <c r="S79" s="13">
        <f>SUMIF(H:H,Online_eCommerce[[#This Row],[Brand]],M:M)</f>
        <v>4836000</v>
      </c>
      <c r="T79" s="13">
        <f>SUMIF(N:N,Online_eCommerce[[#This Row],[Assigned Supervisor]],L:L)</f>
        <v>12220830</v>
      </c>
    </row>
    <row r="80" spans="1:20" hidden="1" x14ac:dyDescent="0.3">
      <c r="A80" t="s">
        <v>300</v>
      </c>
      <c r="B80" t="s">
        <v>44</v>
      </c>
      <c r="C80" t="s">
        <v>197</v>
      </c>
      <c r="D80" t="s">
        <v>301</v>
      </c>
      <c r="E80" t="s">
        <v>18</v>
      </c>
      <c r="F80" t="s">
        <v>302</v>
      </c>
      <c r="G80" t="s">
        <v>20</v>
      </c>
      <c r="H80" t="s">
        <v>21</v>
      </c>
      <c r="I80">
        <v>10500</v>
      </c>
      <c r="J80">
        <v>13650</v>
      </c>
      <c r="K80">
        <v>3</v>
      </c>
      <c r="L80">
        <v>31500</v>
      </c>
      <c r="M80">
        <v>40950</v>
      </c>
      <c r="N80" t="s">
        <v>35</v>
      </c>
      <c r="O80">
        <f t="shared" si="2"/>
        <v>8450</v>
      </c>
      <c r="P80" s="13">
        <f t="shared" si="3"/>
        <v>2829840</v>
      </c>
      <c r="Q80" s="13">
        <f>SUMIFS(M:M,E:E,Online_eCommerce[[#This Row],[Status]])</f>
        <v>28340455</v>
      </c>
      <c r="R80" s="13">
        <f>SUMIFS(L:L,H:H,Online_eCommerce[[#This Row],[Brand]])</f>
        <v>12435650</v>
      </c>
      <c r="S80" s="13">
        <f>SUMIF(H:H,Online_eCommerce[[#This Row],[Brand]],M:M)</f>
        <v>16166345</v>
      </c>
      <c r="T80" s="13">
        <f>SUMIF(N:N,Online_eCommerce[[#This Row],[Assigned Supervisor]],L:L)</f>
        <v>14373360</v>
      </c>
    </row>
    <row r="81" spans="1:20" hidden="1" x14ac:dyDescent="0.3">
      <c r="A81" t="s">
        <v>303</v>
      </c>
      <c r="B81" t="s">
        <v>213</v>
      </c>
      <c r="C81" t="s">
        <v>199</v>
      </c>
      <c r="D81" t="s">
        <v>301</v>
      </c>
      <c r="E81" t="s">
        <v>161</v>
      </c>
      <c r="F81" t="s">
        <v>88</v>
      </c>
      <c r="G81" t="s">
        <v>26</v>
      </c>
      <c r="H81" t="s">
        <v>27</v>
      </c>
      <c r="I81">
        <v>8500</v>
      </c>
      <c r="J81">
        <v>11050</v>
      </c>
      <c r="K81">
        <v>3</v>
      </c>
      <c r="L81">
        <v>25500</v>
      </c>
      <c r="M81">
        <v>33150</v>
      </c>
      <c r="N81" t="s">
        <v>42</v>
      </c>
      <c r="O81">
        <f t="shared" si="2"/>
        <v>33150</v>
      </c>
      <c r="P81" s="13">
        <f t="shared" si="3"/>
        <v>1947361</v>
      </c>
      <c r="Q81" s="13">
        <f>SUMIFS(M:M,E:E,Online_eCommerce[[#This Row],[Status]])</f>
        <v>21103186</v>
      </c>
      <c r="R81" s="13">
        <f>SUMIFS(L:L,H:H,Online_eCommerce[[#This Row],[Brand]])</f>
        <v>14431000</v>
      </c>
      <c r="S81" s="13">
        <f>SUMIF(H:H,Online_eCommerce[[#This Row],[Brand]],M:M)</f>
        <v>18760300</v>
      </c>
      <c r="T81" s="13">
        <f>SUMIF(N:N,Online_eCommerce[[#This Row],[Assigned Supervisor]],L:L)</f>
        <v>12261500</v>
      </c>
    </row>
    <row r="82" spans="1:20" x14ac:dyDescent="0.3">
      <c r="A82" t="s">
        <v>304</v>
      </c>
      <c r="B82" t="s">
        <v>215</v>
      </c>
      <c r="C82" t="s">
        <v>203</v>
      </c>
      <c r="D82" t="s">
        <v>301</v>
      </c>
      <c r="E82" t="s">
        <v>46</v>
      </c>
      <c r="F82" t="s">
        <v>32</v>
      </c>
      <c r="G82" t="s">
        <v>33</v>
      </c>
      <c r="H82" t="s">
        <v>34</v>
      </c>
      <c r="I82">
        <v>7000</v>
      </c>
      <c r="J82">
        <v>9100</v>
      </c>
      <c r="K82">
        <v>2</v>
      </c>
      <c r="L82">
        <v>14000</v>
      </c>
      <c r="M82">
        <v>18200</v>
      </c>
      <c r="N82" t="s">
        <v>50</v>
      </c>
      <c r="O82">
        <f t="shared" si="2"/>
        <v>18200</v>
      </c>
      <c r="P82" s="13">
        <f t="shared" si="3"/>
        <v>2559635</v>
      </c>
      <c r="Q82" s="13">
        <f>SUMIFS(M:M,E:E,Online_eCommerce[[#This Row],[Status]])</f>
        <v>28620410</v>
      </c>
      <c r="R82" s="13">
        <f>SUMIFS(L:L,H:H,Online_eCommerce[[#This Row],[Brand]])</f>
        <v>10087000</v>
      </c>
      <c r="S82" s="13">
        <f>SUMIF(H:H,Online_eCommerce[[#This Row],[Brand]],M:M)</f>
        <v>13113100</v>
      </c>
      <c r="T82" s="13">
        <f>SUMIF(N:N,Online_eCommerce[[#This Row],[Assigned Supervisor]],L:L)</f>
        <v>12100590</v>
      </c>
    </row>
    <row r="83" spans="1:20" hidden="1" x14ac:dyDescent="0.3">
      <c r="A83" t="s">
        <v>305</v>
      </c>
      <c r="B83" t="s">
        <v>306</v>
      </c>
      <c r="C83" t="s">
        <v>205</v>
      </c>
      <c r="D83" t="s">
        <v>301</v>
      </c>
      <c r="E83" t="s">
        <v>96</v>
      </c>
      <c r="F83" t="s">
        <v>307</v>
      </c>
      <c r="G83" t="s">
        <v>256</v>
      </c>
      <c r="H83" t="s">
        <v>41</v>
      </c>
      <c r="I83">
        <v>1680</v>
      </c>
      <c r="J83">
        <v>2184</v>
      </c>
      <c r="K83">
        <v>4</v>
      </c>
      <c r="L83">
        <v>6720</v>
      </c>
      <c r="M83">
        <v>8736</v>
      </c>
      <c r="N83" t="s">
        <v>56</v>
      </c>
      <c r="O83">
        <f t="shared" si="2"/>
        <v>9100</v>
      </c>
      <c r="P83" s="13">
        <f t="shared" si="3"/>
        <v>1983254</v>
      </c>
      <c r="Q83" s="13">
        <f>SUMIFS(M:M,E:E,Online_eCommerce[[#This Row],[Status]])</f>
        <v>21233992</v>
      </c>
      <c r="R83" s="13">
        <f>SUMIFS(L:L,H:H,Online_eCommerce[[#This Row],[Brand]])</f>
        <v>4260400</v>
      </c>
      <c r="S83" s="13">
        <f>SUMIF(H:H,Online_eCommerce[[#This Row],[Brand]],M:M)</f>
        <v>5538520</v>
      </c>
      <c r="T83" s="13">
        <f>SUMIF(N:N,Online_eCommerce[[#This Row],[Assigned Supervisor]],L:L)</f>
        <v>11733610</v>
      </c>
    </row>
    <row r="84" spans="1:20" hidden="1" x14ac:dyDescent="0.3">
      <c r="A84" t="s">
        <v>308</v>
      </c>
      <c r="B84" t="s">
        <v>306</v>
      </c>
      <c r="C84" t="s">
        <v>208</v>
      </c>
      <c r="D84" t="s">
        <v>301</v>
      </c>
      <c r="E84" t="s">
        <v>18</v>
      </c>
      <c r="F84" t="s">
        <v>101</v>
      </c>
      <c r="G84" t="s">
        <v>259</v>
      </c>
      <c r="H84" t="s">
        <v>102</v>
      </c>
      <c r="I84">
        <v>6540</v>
      </c>
      <c r="J84">
        <v>8502</v>
      </c>
      <c r="K84">
        <v>1</v>
      </c>
      <c r="L84">
        <v>6540</v>
      </c>
      <c r="M84">
        <v>8502</v>
      </c>
      <c r="N84" t="s">
        <v>22</v>
      </c>
      <c r="O84">
        <f t="shared" si="2"/>
        <v>11700</v>
      </c>
      <c r="P84" s="13">
        <f t="shared" si="3"/>
        <v>2746575</v>
      </c>
      <c r="Q84" s="13">
        <f>SUMIFS(M:M,E:E,Online_eCommerce[[#This Row],[Status]])</f>
        <v>28340455</v>
      </c>
      <c r="R84" s="13">
        <f>SUMIFS(L:L,H:H,Online_eCommerce[[#This Row],[Brand]])</f>
        <v>2465580</v>
      </c>
      <c r="S84" s="13">
        <f>SUMIF(H:H,Online_eCommerce[[#This Row],[Brand]],M:M)</f>
        <v>3205254</v>
      </c>
      <c r="T84" s="13">
        <f>SUMIF(N:N,Online_eCommerce[[#This Row],[Assigned Supervisor]],L:L)</f>
        <v>13693220</v>
      </c>
    </row>
    <row r="85" spans="1:20" hidden="1" x14ac:dyDescent="0.3">
      <c r="A85" t="s">
        <v>309</v>
      </c>
      <c r="B85" t="s">
        <v>306</v>
      </c>
      <c r="C85" t="s">
        <v>211</v>
      </c>
      <c r="D85" t="s">
        <v>301</v>
      </c>
      <c r="E85" t="s">
        <v>161</v>
      </c>
      <c r="F85" t="s">
        <v>107</v>
      </c>
      <c r="G85" t="s">
        <v>54</v>
      </c>
      <c r="H85" t="s">
        <v>55</v>
      </c>
      <c r="I85">
        <v>2680</v>
      </c>
      <c r="J85">
        <v>3484</v>
      </c>
      <c r="K85">
        <v>3</v>
      </c>
      <c r="L85">
        <v>8040</v>
      </c>
      <c r="M85">
        <v>10452</v>
      </c>
      <c r="N85" t="s">
        <v>28</v>
      </c>
      <c r="O85">
        <f t="shared" si="2"/>
        <v>2990</v>
      </c>
      <c r="P85" s="13">
        <f t="shared" si="3"/>
        <v>1809847</v>
      </c>
      <c r="Q85" s="13">
        <f>SUMIFS(M:M,E:E,Online_eCommerce[[#This Row],[Status]])</f>
        <v>21103186</v>
      </c>
      <c r="R85" s="13">
        <f>SUMIFS(L:L,H:H,Online_eCommerce[[#This Row],[Brand]])</f>
        <v>2267380</v>
      </c>
      <c r="S85" s="13">
        <f>SUMIF(H:H,Online_eCommerce[[#This Row],[Brand]],M:M)</f>
        <v>2947594</v>
      </c>
      <c r="T85" s="13">
        <f>SUMIF(N:N,Online_eCommerce[[#This Row],[Assigned Supervisor]],L:L)</f>
        <v>12220830</v>
      </c>
    </row>
    <row r="86" spans="1:20" x14ac:dyDescent="0.3">
      <c r="A86" t="s">
        <v>310</v>
      </c>
      <c r="B86" t="s">
        <v>306</v>
      </c>
      <c r="C86" t="s">
        <v>16</v>
      </c>
      <c r="D86" t="s">
        <v>301</v>
      </c>
      <c r="E86" t="s">
        <v>46</v>
      </c>
      <c r="F86" t="s">
        <v>112</v>
      </c>
      <c r="G86" t="s">
        <v>71</v>
      </c>
      <c r="H86" t="s">
        <v>21</v>
      </c>
      <c r="I86">
        <v>8250</v>
      </c>
      <c r="J86">
        <v>10725</v>
      </c>
      <c r="K86">
        <v>2</v>
      </c>
      <c r="L86">
        <v>16500</v>
      </c>
      <c r="M86">
        <v>21450</v>
      </c>
      <c r="N86" t="s">
        <v>35</v>
      </c>
      <c r="O86">
        <f t="shared" si="2"/>
        <v>9750</v>
      </c>
      <c r="P86" s="13">
        <f t="shared" si="3"/>
        <v>2751814</v>
      </c>
      <c r="Q86" s="13">
        <f>SUMIFS(M:M,E:E,Online_eCommerce[[#This Row],[Status]])</f>
        <v>28620410</v>
      </c>
      <c r="R86" s="13">
        <f>SUMIFS(L:L,H:H,Online_eCommerce[[#This Row],[Brand]])</f>
        <v>12435650</v>
      </c>
      <c r="S86" s="13">
        <f>SUMIF(H:H,Online_eCommerce[[#This Row],[Brand]],M:M)</f>
        <v>16166345</v>
      </c>
      <c r="T86" s="13">
        <f>SUMIF(N:N,Online_eCommerce[[#This Row],[Assigned Supervisor]],L:L)</f>
        <v>14373360</v>
      </c>
    </row>
    <row r="87" spans="1:20" hidden="1" x14ac:dyDescent="0.3">
      <c r="A87" t="s">
        <v>311</v>
      </c>
      <c r="B87" t="s">
        <v>306</v>
      </c>
      <c r="C87" t="s">
        <v>24</v>
      </c>
      <c r="D87" t="s">
        <v>312</v>
      </c>
      <c r="E87" t="s">
        <v>96</v>
      </c>
      <c r="F87" t="s">
        <v>255</v>
      </c>
      <c r="G87" t="s">
        <v>40</v>
      </c>
      <c r="H87" t="s">
        <v>21</v>
      </c>
      <c r="I87">
        <v>2650</v>
      </c>
      <c r="J87">
        <v>3445</v>
      </c>
      <c r="K87">
        <v>3</v>
      </c>
      <c r="L87">
        <v>7950</v>
      </c>
      <c r="M87">
        <v>10335</v>
      </c>
      <c r="N87" t="s">
        <v>42</v>
      </c>
      <c r="O87">
        <f t="shared" si="2"/>
        <v>25545</v>
      </c>
      <c r="P87" s="13">
        <f t="shared" si="3"/>
        <v>2009540</v>
      </c>
      <c r="Q87" s="13">
        <f>SUMIFS(M:M,E:E,Online_eCommerce[[#This Row],[Status]])</f>
        <v>21233992</v>
      </c>
      <c r="R87" s="13">
        <f>SUMIFS(L:L,H:H,Online_eCommerce[[#This Row],[Brand]])</f>
        <v>12435650</v>
      </c>
      <c r="S87" s="13">
        <f>SUMIF(H:H,Online_eCommerce[[#This Row],[Brand]],M:M)</f>
        <v>16166345</v>
      </c>
      <c r="T87" s="13">
        <f>SUMIF(N:N,Online_eCommerce[[#This Row],[Assigned Supervisor]],L:L)</f>
        <v>12261500</v>
      </c>
    </row>
    <row r="88" spans="1:20" hidden="1" x14ac:dyDescent="0.3">
      <c r="A88" t="s">
        <v>313</v>
      </c>
      <c r="B88" t="s">
        <v>306</v>
      </c>
      <c r="C88" t="s">
        <v>31</v>
      </c>
      <c r="D88" t="s">
        <v>314</v>
      </c>
      <c r="E88" t="s">
        <v>18</v>
      </c>
      <c r="F88" t="s">
        <v>121</v>
      </c>
      <c r="G88" t="s">
        <v>71</v>
      </c>
      <c r="H88" t="s">
        <v>122</v>
      </c>
      <c r="I88">
        <v>12550</v>
      </c>
      <c r="J88">
        <v>16315</v>
      </c>
      <c r="K88">
        <v>1</v>
      </c>
      <c r="L88">
        <v>12550</v>
      </c>
      <c r="M88">
        <v>16315</v>
      </c>
      <c r="N88" t="s">
        <v>50</v>
      </c>
      <c r="O88">
        <f t="shared" si="2"/>
        <v>9750</v>
      </c>
      <c r="P88" s="13">
        <f t="shared" si="3"/>
        <v>2865746</v>
      </c>
      <c r="Q88" s="13">
        <f>SUMIFS(M:M,E:E,Online_eCommerce[[#This Row],[Status]])</f>
        <v>28340455</v>
      </c>
      <c r="R88" s="13">
        <f>SUMIFS(L:L,H:H,Online_eCommerce[[#This Row],[Brand]])</f>
        <v>5045100</v>
      </c>
      <c r="S88" s="13">
        <f>SUMIF(H:H,Online_eCommerce[[#This Row],[Brand]],M:M)</f>
        <v>6558630</v>
      </c>
      <c r="T88" s="13">
        <f>SUMIF(N:N,Online_eCommerce[[#This Row],[Assigned Supervisor]],L:L)</f>
        <v>12100590</v>
      </c>
    </row>
    <row r="89" spans="1:20" hidden="1" x14ac:dyDescent="0.3">
      <c r="A89" t="s">
        <v>315</v>
      </c>
      <c r="B89" t="s">
        <v>232</v>
      </c>
      <c r="C89" t="s">
        <v>38</v>
      </c>
      <c r="D89" t="s">
        <v>316</v>
      </c>
      <c r="E89" t="s">
        <v>161</v>
      </c>
      <c r="F89" t="s">
        <v>126</v>
      </c>
      <c r="G89" t="s">
        <v>26</v>
      </c>
      <c r="H89" t="s">
        <v>27</v>
      </c>
      <c r="I89">
        <v>14500</v>
      </c>
      <c r="J89">
        <v>18850</v>
      </c>
      <c r="K89">
        <v>1</v>
      </c>
      <c r="L89">
        <v>14500</v>
      </c>
      <c r="M89">
        <v>18850</v>
      </c>
      <c r="N89" t="s">
        <v>56</v>
      </c>
      <c r="O89">
        <f t="shared" si="2"/>
        <v>33150</v>
      </c>
      <c r="P89" s="13">
        <f t="shared" si="3"/>
        <v>1933997</v>
      </c>
      <c r="Q89" s="13">
        <f>SUMIFS(M:M,E:E,Online_eCommerce[[#This Row],[Status]])</f>
        <v>21103186</v>
      </c>
      <c r="R89" s="13">
        <f>SUMIFS(L:L,H:H,Online_eCommerce[[#This Row],[Brand]])</f>
        <v>14431000</v>
      </c>
      <c r="S89" s="13">
        <f>SUMIF(H:H,Online_eCommerce[[#This Row],[Brand]],M:M)</f>
        <v>18760300</v>
      </c>
      <c r="T89" s="13">
        <f>SUMIF(N:N,Online_eCommerce[[#This Row],[Assigned Supervisor]],L:L)</f>
        <v>11733610</v>
      </c>
    </row>
    <row r="90" spans="1:20" x14ac:dyDescent="0.3">
      <c r="A90" t="s">
        <v>317</v>
      </c>
      <c r="B90" t="s">
        <v>235</v>
      </c>
      <c r="C90" t="s">
        <v>45</v>
      </c>
      <c r="D90" t="s">
        <v>318</v>
      </c>
      <c r="E90" t="s">
        <v>46</v>
      </c>
      <c r="F90" t="s">
        <v>129</v>
      </c>
      <c r="G90" t="s">
        <v>60</v>
      </c>
      <c r="H90" t="s">
        <v>61</v>
      </c>
      <c r="I90">
        <v>800</v>
      </c>
      <c r="J90">
        <v>1040</v>
      </c>
      <c r="K90">
        <v>2</v>
      </c>
      <c r="L90">
        <v>1600</v>
      </c>
      <c r="M90">
        <v>2080</v>
      </c>
      <c r="N90" t="s">
        <v>22</v>
      </c>
      <c r="O90">
        <f t="shared" si="2"/>
        <v>3315</v>
      </c>
      <c r="P90" s="13">
        <f t="shared" si="3"/>
        <v>2842554</v>
      </c>
      <c r="Q90" s="13">
        <f>SUMIFS(M:M,E:E,Online_eCommerce[[#This Row],[Status]])</f>
        <v>28620410</v>
      </c>
      <c r="R90" s="13">
        <f>SUMIFS(L:L,H:H,Online_eCommerce[[#This Row],[Brand]])</f>
        <v>10950150</v>
      </c>
      <c r="S90" s="13">
        <f>SUMIF(H:H,Online_eCommerce[[#This Row],[Brand]],M:M)</f>
        <v>14235195</v>
      </c>
      <c r="T90" s="13">
        <f>SUMIF(N:N,Online_eCommerce[[#This Row],[Assigned Supervisor]],L:L)</f>
        <v>13693220</v>
      </c>
    </row>
    <row r="91" spans="1:20" hidden="1" x14ac:dyDescent="0.3">
      <c r="A91" t="s">
        <v>319</v>
      </c>
      <c r="B91" t="s">
        <v>104</v>
      </c>
      <c r="C91" t="s">
        <v>52</v>
      </c>
      <c r="D91" t="s">
        <v>320</v>
      </c>
      <c r="E91" t="s">
        <v>96</v>
      </c>
      <c r="F91" t="s">
        <v>133</v>
      </c>
      <c r="G91" t="s">
        <v>66</v>
      </c>
      <c r="H91" t="s">
        <v>21</v>
      </c>
      <c r="I91">
        <v>600</v>
      </c>
      <c r="J91">
        <v>780</v>
      </c>
      <c r="K91">
        <v>1</v>
      </c>
      <c r="L91">
        <v>600</v>
      </c>
      <c r="M91">
        <v>780</v>
      </c>
      <c r="N91" t="s">
        <v>28</v>
      </c>
      <c r="O91">
        <f t="shared" si="2"/>
        <v>1690</v>
      </c>
      <c r="P91" s="13">
        <f t="shared" si="3"/>
        <v>1955044</v>
      </c>
      <c r="Q91" s="13">
        <f>SUMIFS(M:M,E:E,Online_eCommerce[[#This Row],[Status]])</f>
        <v>21233992</v>
      </c>
      <c r="R91" s="13">
        <f>SUMIFS(L:L,H:H,Online_eCommerce[[#This Row],[Brand]])</f>
        <v>12435650</v>
      </c>
      <c r="S91" s="13">
        <f>SUMIF(H:H,Online_eCommerce[[#This Row],[Brand]],M:M)</f>
        <v>16166345</v>
      </c>
      <c r="T91" s="13">
        <f>SUMIF(N:N,Online_eCommerce[[#This Row],[Assigned Supervisor]],L:L)</f>
        <v>12220830</v>
      </c>
    </row>
    <row r="92" spans="1:20" hidden="1" x14ac:dyDescent="0.3">
      <c r="A92" t="s">
        <v>321</v>
      </c>
      <c r="B92" t="s">
        <v>109</v>
      </c>
      <c r="C92" t="s">
        <v>58</v>
      </c>
      <c r="D92" t="s">
        <v>322</v>
      </c>
      <c r="E92" t="s">
        <v>18</v>
      </c>
      <c r="F92" t="s">
        <v>137</v>
      </c>
      <c r="G92" t="s">
        <v>71</v>
      </c>
      <c r="H92" t="s">
        <v>61</v>
      </c>
      <c r="I92">
        <v>10500</v>
      </c>
      <c r="J92">
        <v>13650</v>
      </c>
      <c r="K92">
        <v>1</v>
      </c>
      <c r="L92">
        <v>10500</v>
      </c>
      <c r="M92">
        <v>13650</v>
      </c>
      <c r="N92" t="s">
        <v>35</v>
      </c>
      <c r="O92">
        <f t="shared" si="2"/>
        <v>9750</v>
      </c>
      <c r="P92" s="13">
        <f t="shared" si="3"/>
        <v>2629211</v>
      </c>
      <c r="Q92" s="13">
        <f>SUMIFS(M:M,E:E,Online_eCommerce[[#This Row],[Status]])</f>
        <v>28340455</v>
      </c>
      <c r="R92" s="13">
        <f>SUMIFS(L:L,H:H,Online_eCommerce[[#This Row],[Brand]])</f>
        <v>10950150</v>
      </c>
      <c r="S92" s="13">
        <f>SUMIF(H:H,Online_eCommerce[[#This Row],[Brand]],M:M)</f>
        <v>14235195</v>
      </c>
      <c r="T92" s="13">
        <f>SUMIF(N:N,Online_eCommerce[[#This Row],[Assigned Supervisor]],L:L)</f>
        <v>14373360</v>
      </c>
    </row>
    <row r="93" spans="1:20" hidden="1" x14ac:dyDescent="0.3">
      <c r="A93" t="s">
        <v>323</v>
      </c>
      <c r="B93" t="s">
        <v>114</v>
      </c>
      <c r="C93" t="s">
        <v>63</v>
      </c>
      <c r="D93" t="s">
        <v>324</v>
      </c>
      <c r="E93" t="s">
        <v>161</v>
      </c>
      <c r="F93" t="s">
        <v>271</v>
      </c>
      <c r="G93" t="s">
        <v>77</v>
      </c>
      <c r="H93" t="s">
        <v>142</v>
      </c>
      <c r="I93">
        <v>6500</v>
      </c>
      <c r="J93">
        <v>8450</v>
      </c>
      <c r="K93">
        <v>3</v>
      </c>
      <c r="L93">
        <v>19500</v>
      </c>
      <c r="M93">
        <v>25350</v>
      </c>
      <c r="N93" t="s">
        <v>42</v>
      </c>
      <c r="O93">
        <f t="shared" si="2"/>
        <v>39000</v>
      </c>
      <c r="P93" s="13">
        <f t="shared" si="3"/>
        <v>2016131</v>
      </c>
      <c r="Q93" s="13">
        <f>SUMIFS(M:M,E:E,Online_eCommerce[[#This Row],[Status]])</f>
        <v>21103186</v>
      </c>
      <c r="R93" s="13">
        <f>SUMIFS(L:L,H:H,Online_eCommerce[[#This Row],[Brand]])</f>
        <v>6192500</v>
      </c>
      <c r="S93" s="13">
        <f>SUMIF(H:H,Online_eCommerce[[#This Row],[Brand]],M:M)</f>
        <v>8050250</v>
      </c>
      <c r="T93" s="13">
        <f>SUMIF(N:N,Online_eCommerce[[#This Row],[Assigned Supervisor]],L:L)</f>
        <v>12261500</v>
      </c>
    </row>
    <row r="94" spans="1:20" x14ac:dyDescent="0.3">
      <c r="A94" t="s">
        <v>325</v>
      </c>
      <c r="B94" t="s">
        <v>119</v>
      </c>
      <c r="C94" t="s">
        <v>68</v>
      </c>
      <c r="D94" t="s">
        <v>326</v>
      </c>
      <c r="E94" t="s">
        <v>46</v>
      </c>
      <c r="F94" t="s">
        <v>327</v>
      </c>
      <c r="G94" t="s">
        <v>20</v>
      </c>
      <c r="H94" t="s">
        <v>21</v>
      </c>
      <c r="I94">
        <v>4500</v>
      </c>
      <c r="J94">
        <v>5850</v>
      </c>
      <c r="K94">
        <v>2</v>
      </c>
      <c r="L94">
        <v>9000</v>
      </c>
      <c r="M94">
        <v>11700</v>
      </c>
      <c r="N94" t="s">
        <v>50</v>
      </c>
      <c r="O94">
        <f t="shared" si="2"/>
        <v>8450</v>
      </c>
      <c r="P94" s="13">
        <f t="shared" si="3"/>
        <v>2974621</v>
      </c>
      <c r="Q94" s="13">
        <f>SUMIFS(M:M,E:E,Online_eCommerce[[#This Row],[Status]])</f>
        <v>28620410</v>
      </c>
      <c r="R94" s="13">
        <f>SUMIFS(L:L,H:H,Online_eCommerce[[#This Row],[Brand]])</f>
        <v>12435650</v>
      </c>
      <c r="S94" s="13">
        <f>SUMIF(H:H,Online_eCommerce[[#This Row],[Brand]],M:M)</f>
        <v>16166345</v>
      </c>
      <c r="T94" s="13">
        <f>SUMIF(N:N,Online_eCommerce[[#This Row],[Assigned Supervisor]],L:L)</f>
        <v>12100590</v>
      </c>
    </row>
    <row r="95" spans="1:20" hidden="1" x14ac:dyDescent="0.3">
      <c r="A95" t="s">
        <v>328</v>
      </c>
      <c r="B95" t="s">
        <v>124</v>
      </c>
      <c r="C95" t="s">
        <v>74</v>
      </c>
      <c r="D95" t="s">
        <v>329</v>
      </c>
      <c r="E95" t="s">
        <v>96</v>
      </c>
      <c r="F95" t="s">
        <v>152</v>
      </c>
      <c r="G95" t="s">
        <v>26</v>
      </c>
      <c r="H95" t="s">
        <v>27</v>
      </c>
      <c r="I95">
        <v>8500</v>
      </c>
      <c r="J95">
        <v>11050</v>
      </c>
      <c r="K95">
        <v>1</v>
      </c>
      <c r="L95">
        <v>8500</v>
      </c>
      <c r="M95">
        <v>11050</v>
      </c>
      <c r="N95" t="s">
        <v>56</v>
      </c>
      <c r="O95">
        <f t="shared" si="2"/>
        <v>33150</v>
      </c>
      <c r="P95" s="13">
        <f t="shared" si="3"/>
        <v>2144701</v>
      </c>
      <c r="Q95" s="13">
        <f>SUMIFS(M:M,E:E,Online_eCommerce[[#This Row],[Status]])</f>
        <v>21233992</v>
      </c>
      <c r="R95" s="13">
        <f>SUMIFS(L:L,H:H,Online_eCommerce[[#This Row],[Brand]])</f>
        <v>14431000</v>
      </c>
      <c r="S95" s="13">
        <f>SUMIF(H:H,Online_eCommerce[[#This Row],[Brand]],M:M)</f>
        <v>18760300</v>
      </c>
      <c r="T95" s="13">
        <f>SUMIF(N:N,Online_eCommerce[[#This Row],[Assigned Supervisor]],L:L)</f>
        <v>11733610</v>
      </c>
    </row>
    <row r="96" spans="1:20" hidden="1" x14ac:dyDescent="0.3">
      <c r="A96" t="s">
        <v>330</v>
      </c>
      <c r="B96" t="s">
        <v>128</v>
      </c>
      <c r="C96" t="s">
        <v>81</v>
      </c>
      <c r="D96" t="s">
        <v>329</v>
      </c>
      <c r="E96" t="s">
        <v>18</v>
      </c>
      <c r="F96" t="s">
        <v>157</v>
      </c>
      <c r="G96" t="s">
        <v>33</v>
      </c>
      <c r="H96" t="s">
        <v>34</v>
      </c>
      <c r="I96">
        <v>12500</v>
      </c>
      <c r="J96">
        <v>16250</v>
      </c>
      <c r="K96">
        <v>3</v>
      </c>
      <c r="L96">
        <v>37500</v>
      </c>
      <c r="M96">
        <v>48750</v>
      </c>
      <c r="N96" t="s">
        <v>22</v>
      </c>
      <c r="O96">
        <f t="shared" si="2"/>
        <v>18200</v>
      </c>
      <c r="P96" s="13">
        <f t="shared" si="3"/>
        <v>2595632</v>
      </c>
      <c r="Q96" s="13">
        <f>SUMIFS(M:M,E:E,Online_eCommerce[[#This Row],[Status]])</f>
        <v>28340455</v>
      </c>
      <c r="R96" s="13">
        <f>SUMIFS(L:L,H:H,Online_eCommerce[[#This Row],[Brand]])</f>
        <v>10087000</v>
      </c>
      <c r="S96" s="13">
        <f>SUMIF(H:H,Online_eCommerce[[#This Row],[Brand]],M:M)</f>
        <v>13113100</v>
      </c>
      <c r="T96" s="13">
        <f>SUMIF(N:N,Online_eCommerce[[#This Row],[Assigned Supervisor]],L:L)</f>
        <v>13693220</v>
      </c>
    </row>
    <row r="97" spans="1:20" hidden="1" x14ac:dyDescent="0.3">
      <c r="A97" t="s">
        <v>331</v>
      </c>
      <c r="B97" t="s">
        <v>131</v>
      </c>
      <c r="C97" t="s">
        <v>86</v>
      </c>
      <c r="D97" t="s">
        <v>329</v>
      </c>
      <c r="E97" t="s">
        <v>161</v>
      </c>
      <c r="F97" t="s">
        <v>332</v>
      </c>
      <c r="G97" t="s">
        <v>40</v>
      </c>
      <c r="H97" t="s">
        <v>41</v>
      </c>
      <c r="I97">
        <v>3500</v>
      </c>
      <c r="J97">
        <v>4550</v>
      </c>
      <c r="K97">
        <v>1</v>
      </c>
      <c r="L97">
        <v>3500</v>
      </c>
      <c r="M97">
        <v>4550</v>
      </c>
      <c r="N97" t="s">
        <v>28</v>
      </c>
      <c r="O97">
        <f t="shared" si="2"/>
        <v>25545</v>
      </c>
      <c r="P97" s="13">
        <f t="shared" si="3"/>
        <v>1941225</v>
      </c>
      <c r="Q97" s="13">
        <f>SUMIFS(M:M,E:E,Online_eCommerce[[#This Row],[Status]])</f>
        <v>21103186</v>
      </c>
      <c r="R97" s="13">
        <f>SUMIFS(L:L,H:H,Online_eCommerce[[#This Row],[Brand]])</f>
        <v>4260400</v>
      </c>
      <c r="S97" s="13">
        <f>SUMIF(H:H,Online_eCommerce[[#This Row],[Brand]],M:M)</f>
        <v>5538520</v>
      </c>
      <c r="T97" s="13">
        <f>SUMIF(N:N,Online_eCommerce[[#This Row],[Assigned Supervisor]],L:L)</f>
        <v>12220830</v>
      </c>
    </row>
    <row r="98" spans="1:20" x14ac:dyDescent="0.3">
      <c r="A98" t="s">
        <v>333</v>
      </c>
      <c r="B98" t="s">
        <v>135</v>
      </c>
      <c r="C98" t="s">
        <v>91</v>
      </c>
      <c r="D98" t="s">
        <v>329</v>
      </c>
      <c r="E98" t="s">
        <v>46</v>
      </c>
      <c r="F98" t="s">
        <v>166</v>
      </c>
      <c r="G98" t="s">
        <v>334</v>
      </c>
      <c r="H98" t="s">
        <v>49</v>
      </c>
      <c r="I98">
        <v>4500</v>
      </c>
      <c r="J98">
        <v>5850</v>
      </c>
      <c r="K98">
        <v>4</v>
      </c>
      <c r="L98">
        <v>18000</v>
      </c>
      <c r="M98">
        <v>23400</v>
      </c>
      <c r="N98" t="s">
        <v>35</v>
      </c>
      <c r="O98">
        <f t="shared" si="2"/>
        <v>39780</v>
      </c>
      <c r="P98" s="13">
        <f t="shared" si="3"/>
        <v>2731963</v>
      </c>
      <c r="Q98" s="13">
        <f>SUMIFS(M:M,E:E,Online_eCommerce[[#This Row],[Status]])</f>
        <v>28620410</v>
      </c>
      <c r="R98" s="13">
        <f>SUMIFS(L:L,H:H,Online_eCommerce[[#This Row],[Brand]])</f>
        <v>4528350</v>
      </c>
      <c r="S98" s="13">
        <f>SUMIF(H:H,Online_eCommerce[[#This Row],[Brand]],M:M)</f>
        <v>5886855</v>
      </c>
      <c r="T98" s="13">
        <f>SUMIF(N:N,Online_eCommerce[[#This Row],[Assigned Supervisor]],L:L)</f>
        <v>14373360</v>
      </c>
    </row>
    <row r="99" spans="1:20" hidden="1" x14ac:dyDescent="0.3">
      <c r="A99" t="s">
        <v>335</v>
      </c>
      <c r="B99" t="s">
        <v>139</v>
      </c>
      <c r="C99" t="s">
        <v>94</v>
      </c>
      <c r="D99" t="s">
        <v>329</v>
      </c>
      <c r="E99" t="s">
        <v>96</v>
      </c>
      <c r="F99" t="s">
        <v>336</v>
      </c>
      <c r="G99" t="s">
        <v>54</v>
      </c>
      <c r="H99" t="s">
        <v>55</v>
      </c>
      <c r="I99">
        <v>2100</v>
      </c>
      <c r="J99">
        <v>2730</v>
      </c>
      <c r="K99">
        <v>3</v>
      </c>
      <c r="L99">
        <v>6300</v>
      </c>
      <c r="M99">
        <v>8190</v>
      </c>
      <c r="N99" t="s">
        <v>42</v>
      </c>
      <c r="O99">
        <f t="shared" si="2"/>
        <v>2990</v>
      </c>
      <c r="P99" s="13">
        <f t="shared" si="3"/>
        <v>1868256</v>
      </c>
      <c r="Q99" s="13">
        <f>SUMIFS(M:M,E:E,Online_eCommerce[[#This Row],[Status]])</f>
        <v>21233992</v>
      </c>
      <c r="R99" s="13">
        <f>SUMIFS(L:L,H:H,Online_eCommerce[[#This Row],[Brand]])</f>
        <v>2267380</v>
      </c>
      <c r="S99" s="13">
        <f>SUMIF(H:H,Online_eCommerce[[#This Row],[Brand]],M:M)</f>
        <v>2947594</v>
      </c>
      <c r="T99" s="13">
        <f>SUMIF(N:N,Online_eCommerce[[#This Row],[Assigned Supervisor]],L:L)</f>
        <v>12261500</v>
      </c>
    </row>
    <row r="100" spans="1:20" hidden="1" x14ac:dyDescent="0.3">
      <c r="A100" t="s">
        <v>337</v>
      </c>
      <c r="B100" t="s">
        <v>144</v>
      </c>
      <c r="C100" t="s">
        <v>99</v>
      </c>
      <c r="D100" t="s">
        <v>329</v>
      </c>
      <c r="E100" t="s">
        <v>18</v>
      </c>
      <c r="F100" t="s">
        <v>174</v>
      </c>
      <c r="G100" t="s">
        <v>60</v>
      </c>
      <c r="H100" t="s">
        <v>61</v>
      </c>
      <c r="I100">
        <v>1150</v>
      </c>
      <c r="J100">
        <v>1495</v>
      </c>
      <c r="K100">
        <v>4</v>
      </c>
      <c r="L100">
        <v>4600</v>
      </c>
      <c r="M100">
        <v>5980</v>
      </c>
      <c r="N100" t="s">
        <v>50</v>
      </c>
      <c r="O100">
        <f t="shared" si="2"/>
        <v>3315</v>
      </c>
      <c r="P100" s="13">
        <f t="shared" si="3"/>
        <v>2651233</v>
      </c>
      <c r="Q100" s="13">
        <f>SUMIFS(M:M,E:E,Online_eCommerce[[#This Row],[Status]])</f>
        <v>28340455</v>
      </c>
      <c r="R100" s="13">
        <f>SUMIFS(L:L,H:H,Online_eCommerce[[#This Row],[Brand]])</f>
        <v>10950150</v>
      </c>
      <c r="S100" s="13">
        <f>SUMIF(H:H,Online_eCommerce[[#This Row],[Brand]],M:M)</f>
        <v>14235195</v>
      </c>
      <c r="T100" s="13">
        <f>SUMIF(N:N,Online_eCommerce[[#This Row],[Assigned Supervisor]],L:L)</f>
        <v>12100590</v>
      </c>
    </row>
    <row r="101" spans="1:20" hidden="1" x14ac:dyDescent="0.3">
      <c r="A101" t="s">
        <v>338</v>
      </c>
      <c r="B101" t="s">
        <v>149</v>
      </c>
      <c r="C101" t="s">
        <v>105</v>
      </c>
      <c r="D101" t="s">
        <v>329</v>
      </c>
      <c r="E101" t="s">
        <v>161</v>
      </c>
      <c r="F101" t="s">
        <v>179</v>
      </c>
      <c r="G101" t="s">
        <v>66</v>
      </c>
      <c r="H101" t="s">
        <v>21</v>
      </c>
      <c r="I101">
        <v>350</v>
      </c>
      <c r="J101">
        <v>455</v>
      </c>
      <c r="K101">
        <v>3</v>
      </c>
      <c r="L101">
        <v>1050</v>
      </c>
      <c r="M101">
        <v>1365</v>
      </c>
      <c r="N101" t="s">
        <v>56</v>
      </c>
      <c r="O101">
        <f t="shared" si="2"/>
        <v>1690</v>
      </c>
      <c r="P101" s="13">
        <f t="shared" si="3"/>
        <v>1866852</v>
      </c>
      <c r="Q101" s="13">
        <f>SUMIFS(M:M,E:E,Online_eCommerce[[#This Row],[Status]])</f>
        <v>21103186</v>
      </c>
      <c r="R101" s="13">
        <f>SUMIFS(L:L,H:H,Online_eCommerce[[#This Row],[Brand]])</f>
        <v>12435650</v>
      </c>
      <c r="S101" s="13">
        <f>SUMIF(H:H,Online_eCommerce[[#This Row],[Brand]],M:M)</f>
        <v>16166345</v>
      </c>
      <c r="T101" s="13">
        <f>SUMIF(N:N,Online_eCommerce[[#This Row],[Assigned Supervisor]],L:L)</f>
        <v>11733610</v>
      </c>
    </row>
    <row r="102" spans="1:20" x14ac:dyDescent="0.3">
      <c r="A102" t="s">
        <v>339</v>
      </c>
      <c r="B102" t="s">
        <v>154</v>
      </c>
      <c r="C102" t="s">
        <v>110</v>
      </c>
      <c r="D102" t="s">
        <v>329</v>
      </c>
      <c r="E102" t="s">
        <v>46</v>
      </c>
      <c r="F102" t="s">
        <v>183</v>
      </c>
      <c r="G102" t="s">
        <v>71</v>
      </c>
      <c r="H102" t="s">
        <v>61</v>
      </c>
      <c r="I102">
        <v>9500</v>
      </c>
      <c r="J102">
        <v>12350</v>
      </c>
      <c r="K102">
        <v>3</v>
      </c>
      <c r="L102">
        <v>28500</v>
      </c>
      <c r="M102">
        <v>37050</v>
      </c>
      <c r="N102" t="s">
        <v>22</v>
      </c>
      <c r="O102">
        <f t="shared" si="2"/>
        <v>9750</v>
      </c>
      <c r="P102" s="13">
        <f t="shared" si="3"/>
        <v>2598635</v>
      </c>
      <c r="Q102" s="13">
        <f>SUMIFS(M:M,E:E,Online_eCommerce[[#This Row],[Status]])</f>
        <v>28620410</v>
      </c>
      <c r="R102" s="13">
        <f>SUMIFS(L:L,H:H,Online_eCommerce[[#This Row],[Brand]])</f>
        <v>10950150</v>
      </c>
      <c r="S102" s="13">
        <f>SUMIF(H:H,Online_eCommerce[[#This Row],[Brand]],M:M)</f>
        <v>14235195</v>
      </c>
      <c r="T102" s="13">
        <f>SUMIF(N:N,Online_eCommerce[[#This Row],[Assigned Supervisor]],L:L)</f>
        <v>13693220</v>
      </c>
    </row>
    <row r="103" spans="1:20" hidden="1" x14ac:dyDescent="0.3">
      <c r="A103" t="s">
        <v>340</v>
      </c>
      <c r="B103" t="s">
        <v>154</v>
      </c>
      <c r="C103" t="s">
        <v>115</v>
      </c>
      <c r="D103" t="s">
        <v>329</v>
      </c>
      <c r="E103" t="s">
        <v>96</v>
      </c>
      <c r="F103" t="s">
        <v>341</v>
      </c>
      <c r="G103" t="s">
        <v>77</v>
      </c>
      <c r="H103" t="s">
        <v>142</v>
      </c>
      <c r="I103">
        <v>10000</v>
      </c>
      <c r="J103">
        <v>13000</v>
      </c>
      <c r="K103">
        <v>1</v>
      </c>
      <c r="L103">
        <v>10000</v>
      </c>
      <c r="M103">
        <v>13000</v>
      </c>
      <c r="N103" t="s">
        <v>28</v>
      </c>
      <c r="O103">
        <f t="shared" si="2"/>
        <v>39000</v>
      </c>
      <c r="P103" s="13">
        <f t="shared" si="3"/>
        <v>2050178</v>
      </c>
      <c r="Q103" s="13">
        <f>SUMIFS(M:M,E:E,Online_eCommerce[[#This Row],[Status]])</f>
        <v>21233992</v>
      </c>
      <c r="R103" s="13">
        <f>SUMIFS(L:L,H:H,Online_eCommerce[[#This Row],[Brand]])</f>
        <v>6192500</v>
      </c>
      <c r="S103" s="13">
        <f>SUMIF(H:H,Online_eCommerce[[#This Row],[Brand]],M:M)</f>
        <v>8050250</v>
      </c>
      <c r="T103" s="13">
        <f>SUMIF(N:N,Online_eCommerce[[#This Row],[Assigned Supervisor]],L:L)</f>
        <v>12220830</v>
      </c>
    </row>
    <row r="104" spans="1:20" hidden="1" x14ac:dyDescent="0.3">
      <c r="A104" t="s">
        <v>342</v>
      </c>
      <c r="B104" t="s">
        <v>154</v>
      </c>
      <c r="C104" t="s">
        <v>120</v>
      </c>
      <c r="D104" t="s">
        <v>329</v>
      </c>
      <c r="E104" t="s">
        <v>18</v>
      </c>
      <c r="F104" t="s">
        <v>343</v>
      </c>
      <c r="G104" t="s">
        <v>20</v>
      </c>
      <c r="H104" t="s">
        <v>21</v>
      </c>
      <c r="I104">
        <v>6500</v>
      </c>
      <c r="J104">
        <v>8450</v>
      </c>
      <c r="K104">
        <v>2</v>
      </c>
      <c r="L104">
        <v>13000</v>
      </c>
      <c r="M104">
        <v>16900</v>
      </c>
      <c r="N104" t="s">
        <v>35</v>
      </c>
      <c r="O104">
        <f t="shared" si="2"/>
        <v>8450</v>
      </c>
      <c r="P104" s="13">
        <f t="shared" si="3"/>
        <v>2734212</v>
      </c>
      <c r="Q104" s="13">
        <f>SUMIFS(M:M,E:E,Online_eCommerce[[#This Row],[Status]])</f>
        <v>28340455</v>
      </c>
      <c r="R104" s="13">
        <f>SUMIFS(L:L,H:H,Online_eCommerce[[#This Row],[Brand]])</f>
        <v>12435650</v>
      </c>
      <c r="S104" s="13">
        <f>SUMIF(H:H,Online_eCommerce[[#This Row],[Brand]],M:M)</f>
        <v>16166345</v>
      </c>
      <c r="T104" s="13">
        <f>SUMIF(N:N,Online_eCommerce[[#This Row],[Assigned Supervisor]],L:L)</f>
        <v>14373360</v>
      </c>
    </row>
    <row r="105" spans="1:20" hidden="1" x14ac:dyDescent="0.3">
      <c r="A105" t="s">
        <v>344</v>
      </c>
      <c r="B105" t="s">
        <v>154</v>
      </c>
      <c r="C105" t="s">
        <v>125</v>
      </c>
      <c r="D105" t="s">
        <v>345</v>
      </c>
      <c r="E105" t="s">
        <v>161</v>
      </c>
      <c r="F105" t="s">
        <v>346</v>
      </c>
      <c r="G105" t="s">
        <v>26</v>
      </c>
      <c r="H105" t="s">
        <v>27</v>
      </c>
      <c r="I105">
        <v>8500</v>
      </c>
      <c r="J105">
        <v>11050</v>
      </c>
      <c r="K105">
        <v>1</v>
      </c>
      <c r="L105">
        <v>8500</v>
      </c>
      <c r="M105">
        <v>11050</v>
      </c>
      <c r="N105" t="s">
        <v>42</v>
      </c>
      <c r="O105">
        <f t="shared" si="2"/>
        <v>33150</v>
      </c>
      <c r="P105" s="13">
        <f t="shared" si="3"/>
        <v>2091154</v>
      </c>
      <c r="Q105" s="13">
        <f>SUMIFS(M:M,E:E,Online_eCommerce[[#This Row],[Status]])</f>
        <v>21103186</v>
      </c>
      <c r="R105" s="13">
        <f>SUMIFS(L:L,H:H,Online_eCommerce[[#This Row],[Brand]])</f>
        <v>14431000</v>
      </c>
      <c r="S105" s="13">
        <f>SUMIF(H:H,Online_eCommerce[[#This Row],[Brand]],M:M)</f>
        <v>18760300</v>
      </c>
      <c r="T105" s="13">
        <f>SUMIF(N:N,Online_eCommerce[[#This Row],[Assigned Supervisor]],L:L)</f>
        <v>12261500</v>
      </c>
    </row>
    <row r="106" spans="1:20" x14ac:dyDescent="0.3">
      <c r="A106" t="s">
        <v>347</v>
      </c>
      <c r="B106" t="s">
        <v>154</v>
      </c>
      <c r="C106" t="s">
        <v>22</v>
      </c>
      <c r="D106" t="s">
        <v>348</v>
      </c>
      <c r="E106" t="s">
        <v>46</v>
      </c>
      <c r="F106" t="s">
        <v>32</v>
      </c>
      <c r="G106" t="s">
        <v>33</v>
      </c>
      <c r="H106" t="s">
        <v>34</v>
      </c>
      <c r="I106">
        <v>7000</v>
      </c>
      <c r="J106">
        <v>9100</v>
      </c>
      <c r="K106">
        <v>3</v>
      </c>
      <c r="L106">
        <v>21000</v>
      </c>
      <c r="M106">
        <v>27300</v>
      </c>
      <c r="N106" t="s">
        <v>50</v>
      </c>
      <c r="O106">
        <f t="shared" si="2"/>
        <v>18200</v>
      </c>
      <c r="P106" s="13">
        <f t="shared" si="3"/>
        <v>2551588</v>
      </c>
      <c r="Q106" s="13">
        <f>SUMIFS(M:M,E:E,Online_eCommerce[[#This Row],[Status]])</f>
        <v>28620410</v>
      </c>
      <c r="R106" s="13">
        <f>SUMIFS(L:L,H:H,Online_eCommerce[[#This Row],[Brand]])</f>
        <v>10087000</v>
      </c>
      <c r="S106" s="13">
        <f>SUMIF(H:H,Online_eCommerce[[#This Row],[Brand]],M:M)</f>
        <v>13113100</v>
      </c>
      <c r="T106" s="13">
        <f>SUMIF(N:N,Online_eCommerce[[#This Row],[Assigned Supervisor]],L:L)</f>
        <v>12100590</v>
      </c>
    </row>
    <row r="107" spans="1:20" hidden="1" x14ac:dyDescent="0.3">
      <c r="A107" t="s">
        <v>349</v>
      </c>
      <c r="B107" t="s">
        <v>154</v>
      </c>
      <c r="C107" t="s">
        <v>132</v>
      </c>
      <c r="D107" t="s">
        <v>348</v>
      </c>
      <c r="E107" t="s">
        <v>96</v>
      </c>
      <c r="F107" t="s">
        <v>350</v>
      </c>
      <c r="G107" t="s">
        <v>40</v>
      </c>
      <c r="H107" t="s">
        <v>41</v>
      </c>
      <c r="I107">
        <v>6550</v>
      </c>
      <c r="J107">
        <v>8515</v>
      </c>
      <c r="K107">
        <v>2</v>
      </c>
      <c r="L107">
        <v>13100</v>
      </c>
      <c r="M107">
        <v>17030</v>
      </c>
      <c r="N107" t="s">
        <v>56</v>
      </c>
      <c r="O107">
        <f t="shared" si="2"/>
        <v>25545</v>
      </c>
      <c r="P107" s="13">
        <f t="shared" si="3"/>
        <v>1989065</v>
      </c>
      <c r="Q107" s="13">
        <f>SUMIFS(M:M,E:E,Online_eCommerce[[#This Row],[Status]])</f>
        <v>21233992</v>
      </c>
      <c r="R107" s="13">
        <f>SUMIFS(L:L,H:H,Online_eCommerce[[#This Row],[Brand]])</f>
        <v>4260400</v>
      </c>
      <c r="S107" s="13">
        <f>SUMIF(H:H,Online_eCommerce[[#This Row],[Brand]],M:M)</f>
        <v>5538520</v>
      </c>
      <c r="T107" s="13">
        <f>SUMIF(N:N,Online_eCommerce[[#This Row],[Assigned Supervisor]],L:L)</f>
        <v>11733610</v>
      </c>
    </row>
    <row r="108" spans="1:20" hidden="1" x14ac:dyDescent="0.3">
      <c r="A108" t="s">
        <v>351</v>
      </c>
      <c r="B108" t="s">
        <v>154</v>
      </c>
      <c r="C108" t="s">
        <v>136</v>
      </c>
      <c r="D108" t="s">
        <v>348</v>
      </c>
      <c r="E108" t="s">
        <v>18</v>
      </c>
      <c r="F108" t="s">
        <v>47</v>
      </c>
      <c r="G108" t="s">
        <v>334</v>
      </c>
      <c r="H108" t="s">
        <v>49</v>
      </c>
      <c r="I108">
        <v>7650</v>
      </c>
      <c r="J108">
        <v>9945</v>
      </c>
      <c r="K108">
        <v>4</v>
      </c>
      <c r="L108">
        <v>30600</v>
      </c>
      <c r="M108">
        <v>39780</v>
      </c>
      <c r="N108" t="s">
        <v>22</v>
      </c>
      <c r="O108">
        <f t="shared" si="2"/>
        <v>39780</v>
      </c>
      <c r="P108" s="13">
        <f t="shared" si="3"/>
        <v>2775162</v>
      </c>
      <c r="Q108" s="13">
        <f>SUMIFS(M:M,E:E,Online_eCommerce[[#This Row],[Status]])</f>
        <v>28340455</v>
      </c>
      <c r="R108" s="13">
        <f>SUMIFS(L:L,H:H,Online_eCommerce[[#This Row],[Brand]])</f>
        <v>4528350</v>
      </c>
      <c r="S108" s="13">
        <f>SUMIF(H:H,Online_eCommerce[[#This Row],[Brand]],M:M)</f>
        <v>5886855</v>
      </c>
      <c r="T108" s="13">
        <f>SUMIF(N:N,Online_eCommerce[[#This Row],[Assigned Supervisor]],L:L)</f>
        <v>13693220</v>
      </c>
    </row>
    <row r="109" spans="1:20" hidden="1" x14ac:dyDescent="0.3">
      <c r="A109" t="s">
        <v>352</v>
      </c>
      <c r="B109" t="s">
        <v>154</v>
      </c>
      <c r="C109" t="s">
        <v>140</v>
      </c>
      <c r="D109" t="s">
        <v>348</v>
      </c>
      <c r="E109" t="s">
        <v>161</v>
      </c>
      <c r="F109" t="s">
        <v>53</v>
      </c>
      <c r="G109" t="s">
        <v>54</v>
      </c>
      <c r="H109" t="s">
        <v>55</v>
      </c>
      <c r="I109">
        <v>1150</v>
      </c>
      <c r="J109">
        <v>1495</v>
      </c>
      <c r="K109">
        <v>2</v>
      </c>
      <c r="L109">
        <v>2300</v>
      </c>
      <c r="M109">
        <v>2990</v>
      </c>
      <c r="N109" t="s">
        <v>28</v>
      </c>
      <c r="O109">
        <f t="shared" si="2"/>
        <v>2990</v>
      </c>
      <c r="P109" s="13">
        <f t="shared" si="3"/>
        <v>2058264</v>
      </c>
      <c r="Q109" s="13">
        <f>SUMIFS(M:M,E:E,Online_eCommerce[[#This Row],[Status]])</f>
        <v>21103186</v>
      </c>
      <c r="R109" s="13">
        <f>SUMIFS(L:L,H:H,Online_eCommerce[[#This Row],[Brand]])</f>
        <v>2267380</v>
      </c>
      <c r="S109" s="13">
        <f>SUMIF(H:H,Online_eCommerce[[#This Row],[Brand]],M:M)</f>
        <v>2947594</v>
      </c>
      <c r="T109" s="13">
        <f>SUMIF(N:N,Online_eCommerce[[#This Row],[Assigned Supervisor]],L:L)</f>
        <v>12220830</v>
      </c>
    </row>
    <row r="110" spans="1:20" x14ac:dyDescent="0.3">
      <c r="A110" t="s">
        <v>353</v>
      </c>
      <c r="B110" t="s">
        <v>154</v>
      </c>
      <c r="C110" t="s">
        <v>354</v>
      </c>
      <c r="D110" t="s">
        <v>348</v>
      </c>
      <c r="E110" t="s">
        <v>46</v>
      </c>
      <c r="F110" t="s">
        <v>59</v>
      </c>
      <c r="G110" t="s">
        <v>60</v>
      </c>
      <c r="H110" t="s">
        <v>61</v>
      </c>
      <c r="I110">
        <v>850</v>
      </c>
      <c r="J110">
        <v>1105</v>
      </c>
      <c r="K110">
        <v>4</v>
      </c>
      <c r="L110">
        <v>3400</v>
      </c>
      <c r="M110">
        <v>4420</v>
      </c>
      <c r="N110" t="s">
        <v>35</v>
      </c>
      <c r="O110">
        <f t="shared" si="2"/>
        <v>3315</v>
      </c>
      <c r="P110" s="13">
        <f t="shared" si="3"/>
        <v>4420</v>
      </c>
      <c r="Q110" s="13">
        <f>SUMIFS(M:M,E:E,Online_eCommerce[[#This Row],[Status]])</f>
        <v>28620410</v>
      </c>
      <c r="R110" s="13">
        <f>SUMIFS(L:L,H:H,Online_eCommerce[[#This Row],[Brand]])</f>
        <v>10950150</v>
      </c>
      <c r="S110" s="13">
        <f>SUMIF(H:H,Online_eCommerce[[#This Row],[Brand]],M:M)</f>
        <v>14235195</v>
      </c>
      <c r="T110" s="13">
        <f>SUMIF(N:N,Online_eCommerce[[#This Row],[Assigned Supervisor]],L:L)</f>
        <v>14373360</v>
      </c>
    </row>
    <row r="111" spans="1:20" hidden="1" x14ac:dyDescent="0.3">
      <c r="A111" t="s">
        <v>355</v>
      </c>
      <c r="B111" t="s">
        <v>154</v>
      </c>
      <c r="C111" t="s">
        <v>356</v>
      </c>
      <c r="D111" t="s">
        <v>348</v>
      </c>
      <c r="E111" t="s">
        <v>96</v>
      </c>
      <c r="F111" t="s">
        <v>65</v>
      </c>
      <c r="G111" t="s">
        <v>66</v>
      </c>
      <c r="H111" t="s">
        <v>21</v>
      </c>
      <c r="I111">
        <v>650</v>
      </c>
      <c r="J111">
        <v>845</v>
      </c>
      <c r="K111">
        <v>4</v>
      </c>
      <c r="L111">
        <v>2600</v>
      </c>
      <c r="M111">
        <v>3380</v>
      </c>
      <c r="N111" t="s">
        <v>42</v>
      </c>
      <c r="O111">
        <f t="shared" si="2"/>
        <v>1690</v>
      </c>
      <c r="P111" s="13">
        <f t="shared" si="3"/>
        <v>3380</v>
      </c>
      <c r="Q111" s="13">
        <f>SUMIFS(M:M,E:E,Online_eCommerce[[#This Row],[Status]])</f>
        <v>21233992</v>
      </c>
      <c r="R111" s="13">
        <f>SUMIFS(L:L,H:H,Online_eCommerce[[#This Row],[Brand]])</f>
        <v>12435650</v>
      </c>
      <c r="S111" s="13">
        <f>SUMIF(H:H,Online_eCommerce[[#This Row],[Brand]],M:M)</f>
        <v>16166345</v>
      </c>
      <c r="T111" s="13">
        <f>SUMIF(N:N,Online_eCommerce[[#This Row],[Assigned Supervisor]],L:L)</f>
        <v>12261500</v>
      </c>
    </row>
    <row r="112" spans="1:20" hidden="1" x14ac:dyDescent="0.3">
      <c r="A112" t="s">
        <v>357</v>
      </c>
      <c r="B112" t="s">
        <v>154</v>
      </c>
      <c r="C112" t="s">
        <v>358</v>
      </c>
      <c r="D112" t="s">
        <v>348</v>
      </c>
      <c r="E112" t="s">
        <v>18</v>
      </c>
      <c r="F112" t="s">
        <v>70</v>
      </c>
      <c r="G112" t="s">
        <v>71</v>
      </c>
      <c r="H112" t="s">
        <v>61</v>
      </c>
      <c r="I112">
        <v>7500</v>
      </c>
      <c r="J112">
        <v>9750</v>
      </c>
      <c r="K112">
        <v>1</v>
      </c>
      <c r="L112">
        <v>7500</v>
      </c>
      <c r="M112">
        <v>9750</v>
      </c>
      <c r="N112" t="s">
        <v>50</v>
      </c>
      <c r="O112">
        <f t="shared" si="2"/>
        <v>9750</v>
      </c>
      <c r="P112" s="13">
        <f t="shared" si="3"/>
        <v>9750</v>
      </c>
      <c r="Q112" s="13">
        <f>SUMIFS(M:M,E:E,Online_eCommerce[[#This Row],[Status]])</f>
        <v>28340455</v>
      </c>
      <c r="R112" s="13">
        <f>SUMIFS(L:L,H:H,Online_eCommerce[[#This Row],[Brand]])</f>
        <v>10950150</v>
      </c>
      <c r="S112" s="13">
        <f>SUMIF(H:H,Online_eCommerce[[#This Row],[Brand]],M:M)</f>
        <v>14235195</v>
      </c>
      <c r="T112" s="13">
        <f>SUMIF(N:N,Online_eCommerce[[#This Row],[Assigned Supervisor]],L:L)</f>
        <v>12100590</v>
      </c>
    </row>
    <row r="113" spans="1:20" hidden="1" x14ac:dyDescent="0.3">
      <c r="A113" t="s">
        <v>359</v>
      </c>
      <c r="B113" t="s">
        <v>154</v>
      </c>
      <c r="C113" t="s">
        <v>160</v>
      </c>
      <c r="D113" t="s">
        <v>348</v>
      </c>
      <c r="E113" t="s">
        <v>161</v>
      </c>
      <c r="F113" t="s">
        <v>341</v>
      </c>
      <c r="G113" t="s">
        <v>77</v>
      </c>
      <c r="H113" t="s">
        <v>78</v>
      </c>
      <c r="I113">
        <v>10000</v>
      </c>
      <c r="J113">
        <v>13000</v>
      </c>
      <c r="K113">
        <v>2</v>
      </c>
      <c r="L113">
        <v>20000</v>
      </c>
      <c r="M113">
        <v>26000</v>
      </c>
      <c r="N113" t="s">
        <v>56</v>
      </c>
      <c r="O113">
        <f t="shared" si="2"/>
        <v>39000</v>
      </c>
      <c r="P113" s="13">
        <f t="shared" si="3"/>
        <v>2303483</v>
      </c>
      <c r="Q113" s="13">
        <f>SUMIFS(M:M,E:E,Online_eCommerce[[#This Row],[Status]])</f>
        <v>21103186</v>
      </c>
      <c r="R113" s="13">
        <f>SUMIFS(L:L,H:H,Online_eCommerce[[#This Row],[Brand]])</f>
        <v>3720000</v>
      </c>
      <c r="S113" s="13">
        <f>SUMIF(H:H,Online_eCommerce[[#This Row],[Brand]],M:M)</f>
        <v>4836000</v>
      </c>
      <c r="T113" s="13">
        <f>SUMIF(N:N,Online_eCommerce[[#This Row],[Assigned Supervisor]],L:L)</f>
        <v>11733610</v>
      </c>
    </row>
    <row r="114" spans="1:20" x14ac:dyDescent="0.3">
      <c r="A114" t="s">
        <v>360</v>
      </c>
      <c r="B114" t="s">
        <v>154</v>
      </c>
      <c r="C114" t="s">
        <v>165</v>
      </c>
      <c r="D114" t="s">
        <v>361</v>
      </c>
      <c r="E114" t="s">
        <v>46</v>
      </c>
      <c r="F114" t="s">
        <v>362</v>
      </c>
      <c r="G114" t="s">
        <v>20</v>
      </c>
      <c r="H114" t="s">
        <v>21</v>
      </c>
      <c r="I114">
        <v>10500</v>
      </c>
      <c r="J114">
        <v>13650</v>
      </c>
      <c r="K114">
        <v>3</v>
      </c>
      <c r="L114">
        <v>31500</v>
      </c>
      <c r="M114">
        <v>40950</v>
      </c>
      <c r="N114" t="s">
        <v>22</v>
      </c>
      <c r="O114">
        <f t="shared" si="2"/>
        <v>8450</v>
      </c>
      <c r="P114" s="13">
        <f t="shared" si="3"/>
        <v>2674087</v>
      </c>
      <c r="Q114" s="13">
        <f>SUMIFS(M:M,E:E,Online_eCommerce[[#This Row],[Status]])</f>
        <v>28620410</v>
      </c>
      <c r="R114" s="13">
        <f>SUMIFS(L:L,H:H,Online_eCommerce[[#This Row],[Brand]])</f>
        <v>12435650</v>
      </c>
      <c r="S114" s="13">
        <f>SUMIF(H:H,Online_eCommerce[[#This Row],[Brand]],M:M)</f>
        <v>16166345</v>
      </c>
      <c r="T114" s="13">
        <f>SUMIF(N:N,Online_eCommerce[[#This Row],[Assigned Supervisor]],L:L)</f>
        <v>13693220</v>
      </c>
    </row>
    <row r="115" spans="1:20" hidden="1" x14ac:dyDescent="0.3">
      <c r="A115" t="s">
        <v>363</v>
      </c>
      <c r="B115" t="s">
        <v>154</v>
      </c>
      <c r="C115" t="s">
        <v>364</v>
      </c>
      <c r="D115" t="s">
        <v>361</v>
      </c>
      <c r="E115" t="s">
        <v>96</v>
      </c>
      <c r="F115" t="s">
        <v>88</v>
      </c>
      <c r="G115" t="s">
        <v>26</v>
      </c>
      <c r="H115" t="s">
        <v>27</v>
      </c>
      <c r="I115">
        <v>8500</v>
      </c>
      <c r="J115">
        <v>11050</v>
      </c>
      <c r="K115">
        <v>4</v>
      </c>
      <c r="L115">
        <v>34000</v>
      </c>
      <c r="M115">
        <v>44200</v>
      </c>
      <c r="N115" t="s">
        <v>28</v>
      </c>
      <c r="O115">
        <f t="shared" si="2"/>
        <v>33150</v>
      </c>
      <c r="P115" s="13">
        <f t="shared" si="3"/>
        <v>44200</v>
      </c>
      <c r="Q115" s="13">
        <f>SUMIFS(M:M,E:E,Online_eCommerce[[#This Row],[Status]])</f>
        <v>21233992</v>
      </c>
      <c r="R115" s="13">
        <f>SUMIFS(L:L,H:H,Online_eCommerce[[#This Row],[Brand]])</f>
        <v>14431000</v>
      </c>
      <c r="S115" s="13">
        <f>SUMIF(H:H,Online_eCommerce[[#This Row],[Brand]],M:M)</f>
        <v>18760300</v>
      </c>
      <c r="T115" s="13">
        <f>SUMIF(N:N,Online_eCommerce[[#This Row],[Assigned Supervisor]],L:L)</f>
        <v>12220830</v>
      </c>
    </row>
    <row r="116" spans="1:20" hidden="1" x14ac:dyDescent="0.3">
      <c r="A116" t="s">
        <v>365</v>
      </c>
      <c r="B116" t="s">
        <v>37</v>
      </c>
      <c r="C116" t="s">
        <v>366</v>
      </c>
      <c r="D116" t="s">
        <v>361</v>
      </c>
      <c r="E116" t="s">
        <v>18</v>
      </c>
      <c r="F116" t="s">
        <v>32</v>
      </c>
      <c r="G116" t="s">
        <v>33</v>
      </c>
      <c r="H116" t="s">
        <v>34</v>
      </c>
      <c r="I116">
        <v>7000</v>
      </c>
      <c r="J116">
        <v>9100</v>
      </c>
      <c r="K116">
        <v>1</v>
      </c>
      <c r="L116">
        <v>7000</v>
      </c>
      <c r="M116">
        <v>9100</v>
      </c>
      <c r="N116" t="s">
        <v>35</v>
      </c>
      <c r="O116">
        <f t="shared" si="2"/>
        <v>18200</v>
      </c>
      <c r="P116" s="13">
        <f t="shared" si="3"/>
        <v>9100</v>
      </c>
      <c r="Q116" s="13">
        <f>SUMIFS(M:M,E:E,Online_eCommerce[[#This Row],[Status]])</f>
        <v>28340455</v>
      </c>
      <c r="R116" s="13">
        <f>SUMIFS(L:L,H:H,Online_eCommerce[[#This Row],[Brand]])</f>
        <v>10087000</v>
      </c>
      <c r="S116" s="13">
        <f>SUMIF(H:H,Online_eCommerce[[#This Row],[Brand]],M:M)</f>
        <v>13113100</v>
      </c>
      <c r="T116" s="13">
        <f>SUMIF(N:N,Online_eCommerce[[#This Row],[Assigned Supervisor]],L:L)</f>
        <v>14373360</v>
      </c>
    </row>
    <row r="117" spans="1:20" hidden="1" x14ac:dyDescent="0.3">
      <c r="A117" t="s">
        <v>367</v>
      </c>
      <c r="B117" t="s">
        <v>44</v>
      </c>
      <c r="C117" t="s">
        <v>368</v>
      </c>
      <c r="D117" t="s">
        <v>361</v>
      </c>
      <c r="E117" t="s">
        <v>161</v>
      </c>
      <c r="F117" t="s">
        <v>369</v>
      </c>
      <c r="G117" t="s">
        <v>40</v>
      </c>
      <c r="H117" t="s">
        <v>41</v>
      </c>
      <c r="I117">
        <v>1680</v>
      </c>
      <c r="J117">
        <v>2184</v>
      </c>
      <c r="K117">
        <v>2</v>
      </c>
      <c r="L117">
        <v>3360</v>
      </c>
      <c r="M117">
        <v>4368</v>
      </c>
      <c r="N117" t="s">
        <v>42</v>
      </c>
      <c r="O117">
        <f t="shared" si="2"/>
        <v>25545</v>
      </c>
      <c r="P117" s="13">
        <f t="shared" si="3"/>
        <v>4368</v>
      </c>
      <c r="Q117" s="13">
        <f>SUMIFS(M:M,E:E,Online_eCommerce[[#This Row],[Status]])</f>
        <v>21103186</v>
      </c>
      <c r="R117" s="13">
        <f>SUMIFS(L:L,H:H,Online_eCommerce[[#This Row],[Brand]])</f>
        <v>4260400</v>
      </c>
      <c r="S117" s="13">
        <f>SUMIF(H:H,Online_eCommerce[[#This Row],[Brand]],M:M)</f>
        <v>5538520</v>
      </c>
      <c r="T117" s="13">
        <f>SUMIF(N:N,Online_eCommerce[[#This Row],[Assigned Supervisor]],L:L)</f>
        <v>12261500</v>
      </c>
    </row>
    <row r="118" spans="1:20" x14ac:dyDescent="0.3">
      <c r="A118" t="s">
        <v>370</v>
      </c>
      <c r="B118" t="s">
        <v>213</v>
      </c>
      <c r="C118" t="s">
        <v>181</v>
      </c>
      <c r="D118" t="s">
        <v>361</v>
      </c>
      <c r="E118" t="s">
        <v>46</v>
      </c>
      <c r="F118" t="s">
        <v>101</v>
      </c>
      <c r="G118" t="s">
        <v>334</v>
      </c>
      <c r="H118" t="s">
        <v>102</v>
      </c>
      <c r="I118">
        <v>6540</v>
      </c>
      <c r="J118">
        <v>8502</v>
      </c>
      <c r="K118">
        <v>2</v>
      </c>
      <c r="L118">
        <v>13080</v>
      </c>
      <c r="M118">
        <v>17004</v>
      </c>
      <c r="N118" t="s">
        <v>50</v>
      </c>
      <c r="O118">
        <f t="shared" si="2"/>
        <v>39780</v>
      </c>
      <c r="P118" s="13">
        <f t="shared" si="3"/>
        <v>2577458</v>
      </c>
      <c r="Q118" s="13">
        <f>SUMIFS(M:M,E:E,Online_eCommerce[[#This Row],[Status]])</f>
        <v>28620410</v>
      </c>
      <c r="R118" s="13">
        <f>SUMIFS(L:L,H:H,Online_eCommerce[[#This Row],[Brand]])</f>
        <v>2465580</v>
      </c>
      <c r="S118" s="13">
        <f>SUMIF(H:H,Online_eCommerce[[#This Row],[Brand]],M:M)</f>
        <v>3205254</v>
      </c>
      <c r="T118" s="13">
        <f>SUMIF(N:N,Online_eCommerce[[#This Row],[Assigned Supervisor]],L:L)</f>
        <v>12100590</v>
      </c>
    </row>
    <row r="119" spans="1:20" hidden="1" x14ac:dyDescent="0.3">
      <c r="A119" t="s">
        <v>371</v>
      </c>
      <c r="B119" t="s">
        <v>215</v>
      </c>
      <c r="C119" t="s">
        <v>185</v>
      </c>
      <c r="D119" t="s">
        <v>361</v>
      </c>
      <c r="E119" t="s">
        <v>96</v>
      </c>
      <c r="F119" t="s">
        <v>107</v>
      </c>
      <c r="G119" t="s">
        <v>54</v>
      </c>
      <c r="H119" t="s">
        <v>55</v>
      </c>
      <c r="I119">
        <v>2680</v>
      </c>
      <c r="J119">
        <v>3484</v>
      </c>
      <c r="K119">
        <v>1</v>
      </c>
      <c r="L119">
        <v>2680</v>
      </c>
      <c r="M119">
        <v>3484</v>
      </c>
      <c r="N119" t="s">
        <v>56</v>
      </c>
      <c r="O119">
        <f t="shared" si="2"/>
        <v>2990</v>
      </c>
      <c r="P119" s="13">
        <f t="shared" si="3"/>
        <v>2091596</v>
      </c>
      <c r="Q119" s="13">
        <f>SUMIFS(M:M,E:E,Online_eCommerce[[#This Row],[Status]])</f>
        <v>21233992</v>
      </c>
      <c r="R119" s="13">
        <f>SUMIFS(L:L,H:H,Online_eCommerce[[#This Row],[Brand]])</f>
        <v>2267380</v>
      </c>
      <c r="S119" s="13">
        <f>SUMIF(H:H,Online_eCommerce[[#This Row],[Brand]],M:M)</f>
        <v>2947594</v>
      </c>
      <c r="T119" s="13">
        <f>SUMIF(N:N,Online_eCommerce[[#This Row],[Assigned Supervisor]],L:L)</f>
        <v>11733610</v>
      </c>
    </row>
    <row r="120" spans="1:20" hidden="1" x14ac:dyDescent="0.3">
      <c r="A120" t="s">
        <v>372</v>
      </c>
      <c r="B120" t="s">
        <v>215</v>
      </c>
      <c r="C120" t="s">
        <v>373</v>
      </c>
      <c r="D120" t="s">
        <v>361</v>
      </c>
      <c r="E120" t="s">
        <v>18</v>
      </c>
      <c r="F120" t="s">
        <v>112</v>
      </c>
      <c r="G120" t="s">
        <v>71</v>
      </c>
      <c r="H120" t="s">
        <v>21</v>
      </c>
      <c r="I120">
        <v>8250</v>
      </c>
      <c r="J120">
        <v>10725</v>
      </c>
      <c r="K120">
        <v>1</v>
      </c>
      <c r="L120">
        <v>8250</v>
      </c>
      <c r="M120">
        <v>10725</v>
      </c>
      <c r="N120" t="s">
        <v>22</v>
      </c>
      <c r="O120">
        <f t="shared" si="2"/>
        <v>9750</v>
      </c>
      <c r="P120" s="13">
        <f t="shared" si="3"/>
        <v>10725</v>
      </c>
      <c r="Q120" s="13">
        <f>SUMIFS(M:M,E:E,Online_eCommerce[[#This Row],[Status]])</f>
        <v>28340455</v>
      </c>
      <c r="R120" s="13">
        <f>SUMIFS(L:L,H:H,Online_eCommerce[[#This Row],[Brand]])</f>
        <v>12435650</v>
      </c>
      <c r="S120" s="13">
        <f>SUMIF(H:H,Online_eCommerce[[#This Row],[Brand]],M:M)</f>
        <v>16166345</v>
      </c>
      <c r="T120" s="13">
        <f>SUMIF(N:N,Online_eCommerce[[#This Row],[Assigned Supervisor]],L:L)</f>
        <v>13693220</v>
      </c>
    </row>
    <row r="121" spans="1:20" hidden="1" x14ac:dyDescent="0.3">
      <c r="A121" t="s">
        <v>374</v>
      </c>
      <c r="B121" t="s">
        <v>215</v>
      </c>
      <c r="C121" t="s">
        <v>193</v>
      </c>
      <c r="D121" t="s">
        <v>375</v>
      </c>
      <c r="E121" t="s">
        <v>161</v>
      </c>
      <c r="F121" t="s">
        <v>332</v>
      </c>
      <c r="G121" t="s">
        <v>40</v>
      </c>
      <c r="H121" t="s">
        <v>21</v>
      </c>
      <c r="I121">
        <v>2650</v>
      </c>
      <c r="J121">
        <v>3445</v>
      </c>
      <c r="K121">
        <v>3</v>
      </c>
      <c r="L121">
        <v>7950</v>
      </c>
      <c r="M121">
        <v>10335</v>
      </c>
      <c r="N121" t="s">
        <v>28</v>
      </c>
      <c r="O121">
        <f t="shared" si="2"/>
        <v>25545</v>
      </c>
      <c r="P121" s="13">
        <f t="shared" si="3"/>
        <v>2074774</v>
      </c>
      <c r="Q121" s="13">
        <f>SUMIFS(M:M,E:E,Online_eCommerce[[#This Row],[Status]])</f>
        <v>21103186</v>
      </c>
      <c r="R121" s="13">
        <f>SUMIFS(L:L,H:H,Online_eCommerce[[#This Row],[Brand]])</f>
        <v>12435650</v>
      </c>
      <c r="S121" s="13">
        <f>SUMIF(H:H,Online_eCommerce[[#This Row],[Brand]],M:M)</f>
        <v>16166345</v>
      </c>
      <c r="T121" s="13">
        <f>SUMIF(N:N,Online_eCommerce[[#This Row],[Assigned Supervisor]],L:L)</f>
        <v>12220830</v>
      </c>
    </row>
    <row r="122" spans="1:20" x14ac:dyDescent="0.3">
      <c r="A122" t="s">
        <v>376</v>
      </c>
      <c r="B122" t="s">
        <v>215</v>
      </c>
      <c r="C122" t="s">
        <v>377</v>
      </c>
      <c r="D122" t="s">
        <v>378</v>
      </c>
      <c r="E122" t="s">
        <v>46</v>
      </c>
      <c r="F122" t="s">
        <v>121</v>
      </c>
      <c r="G122" t="s">
        <v>71</v>
      </c>
      <c r="H122" t="s">
        <v>122</v>
      </c>
      <c r="I122">
        <v>12550</v>
      </c>
      <c r="J122">
        <v>16315</v>
      </c>
      <c r="K122">
        <v>4</v>
      </c>
      <c r="L122">
        <v>50200</v>
      </c>
      <c r="M122">
        <v>65260</v>
      </c>
      <c r="N122" t="s">
        <v>35</v>
      </c>
      <c r="O122">
        <f t="shared" si="2"/>
        <v>9750</v>
      </c>
      <c r="P122" s="13">
        <f t="shared" si="3"/>
        <v>65260</v>
      </c>
      <c r="Q122" s="13">
        <f>SUMIFS(M:M,E:E,Online_eCommerce[[#This Row],[Status]])</f>
        <v>28620410</v>
      </c>
      <c r="R122" s="13">
        <f>SUMIFS(L:L,H:H,Online_eCommerce[[#This Row],[Brand]])</f>
        <v>5045100</v>
      </c>
      <c r="S122" s="13">
        <f>SUMIF(H:H,Online_eCommerce[[#This Row],[Brand]],M:M)</f>
        <v>6558630</v>
      </c>
      <c r="T122" s="13">
        <f>SUMIF(N:N,Online_eCommerce[[#This Row],[Assigned Supervisor]],L:L)</f>
        <v>14373360</v>
      </c>
    </row>
    <row r="123" spans="1:20" hidden="1" x14ac:dyDescent="0.3">
      <c r="A123" t="s">
        <v>379</v>
      </c>
      <c r="B123" t="s">
        <v>215</v>
      </c>
      <c r="C123" t="s">
        <v>199</v>
      </c>
      <c r="D123" t="s">
        <v>380</v>
      </c>
      <c r="E123" t="s">
        <v>96</v>
      </c>
      <c r="F123" t="s">
        <v>126</v>
      </c>
      <c r="G123" t="s">
        <v>26</v>
      </c>
      <c r="H123" t="s">
        <v>27</v>
      </c>
      <c r="I123">
        <v>14500</v>
      </c>
      <c r="J123">
        <v>18850</v>
      </c>
      <c r="K123">
        <v>1</v>
      </c>
      <c r="L123">
        <v>14500</v>
      </c>
      <c r="M123">
        <v>18850</v>
      </c>
      <c r="N123" t="s">
        <v>50</v>
      </c>
      <c r="O123">
        <f t="shared" si="2"/>
        <v>33150</v>
      </c>
      <c r="P123" s="13">
        <f t="shared" si="3"/>
        <v>1947361</v>
      </c>
      <c r="Q123" s="13">
        <f>SUMIFS(M:M,E:E,Online_eCommerce[[#This Row],[Status]])</f>
        <v>21233992</v>
      </c>
      <c r="R123" s="13">
        <f>SUMIFS(L:L,H:H,Online_eCommerce[[#This Row],[Brand]])</f>
        <v>14431000</v>
      </c>
      <c r="S123" s="13">
        <f>SUMIF(H:H,Online_eCommerce[[#This Row],[Brand]],M:M)</f>
        <v>18760300</v>
      </c>
      <c r="T123" s="13">
        <f>SUMIF(N:N,Online_eCommerce[[#This Row],[Assigned Supervisor]],L:L)</f>
        <v>12100590</v>
      </c>
    </row>
    <row r="124" spans="1:20" hidden="1" x14ac:dyDescent="0.3">
      <c r="A124" t="s">
        <v>381</v>
      </c>
      <c r="B124" t="s">
        <v>215</v>
      </c>
      <c r="C124" t="s">
        <v>382</v>
      </c>
      <c r="D124" t="s">
        <v>383</v>
      </c>
      <c r="E124" t="s">
        <v>18</v>
      </c>
      <c r="F124" t="s">
        <v>129</v>
      </c>
      <c r="G124" t="s">
        <v>60</v>
      </c>
      <c r="H124" t="s">
        <v>61</v>
      </c>
      <c r="I124">
        <v>800</v>
      </c>
      <c r="J124">
        <v>1040</v>
      </c>
      <c r="K124">
        <v>2</v>
      </c>
      <c r="L124">
        <v>1600</v>
      </c>
      <c r="M124">
        <v>2080</v>
      </c>
      <c r="N124" t="s">
        <v>56</v>
      </c>
      <c r="O124">
        <f t="shared" si="2"/>
        <v>3315</v>
      </c>
      <c r="P124" s="13">
        <f t="shared" si="3"/>
        <v>2080</v>
      </c>
      <c r="Q124" s="13">
        <f>SUMIFS(M:M,E:E,Online_eCommerce[[#This Row],[Status]])</f>
        <v>28340455</v>
      </c>
      <c r="R124" s="13">
        <f>SUMIFS(L:L,H:H,Online_eCommerce[[#This Row],[Brand]])</f>
        <v>10950150</v>
      </c>
      <c r="S124" s="13">
        <f>SUMIF(H:H,Online_eCommerce[[#This Row],[Brand]],M:M)</f>
        <v>14235195</v>
      </c>
      <c r="T124" s="13">
        <f>SUMIF(N:N,Online_eCommerce[[#This Row],[Assigned Supervisor]],L:L)</f>
        <v>11733610</v>
      </c>
    </row>
    <row r="125" spans="1:20" hidden="1" x14ac:dyDescent="0.3">
      <c r="A125" t="s">
        <v>384</v>
      </c>
      <c r="B125" t="s">
        <v>215</v>
      </c>
      <c r="C125" t="s">
        <v>205</v>
      </c>
      <c r="D125" t="s">
        <v>385</v>
      </c>
      <c r="E125" t="s">
        <v>161</v>
      </c>
      <c r="F125" t="s">
        <v>133</v>
      </c>
      <c r="G125" t="s">
        <v>66</v>
      </c>
      <c r="H125" t="s">
        <v>21</v>
      </c>
      <c r="I125">
        <v>600</v>
      </c>
      <c r="J125">
        <v>780</v>
      </c>
      <c r="K125">
        <v>3</v>
      </c>
      <c r="L125">
        <v>1800</v>
      </c>
      <c r="M125">
        <v>2340</v>
      </c>
      <c r="N125" t="s">
        <v>22</v>
      </c>
      <c r="O125">
        <f t="shared" si="2"/>
        <v>1690</v>
      </c>
      <c r="P125" s="13">
        <f t="shared" si="3"/>
        <v>1983254</v>
      </c>
      <c r="Q125" s="13">
        <f>SUMIFS(M:M,E:E,Online_eCommerce[[#This Row],[Status]])</f>
        <v>21103186</v>
      </c>
      <c r="R125" s="13">
        <f>SUMIFS(L:L,H:H,Online_eCommerce[[#This Row],[Brand]])</f>
        <v>12435650</v>
      </c>
      <c r="S125" s="13">
        <f>SUMIF(H:H,Online_eCommerce[[#This Row],[Brand]],M:M)</f>
        <v>16166345</v>
      </c>
      <c r="T125" s="13">
        <f>SUMIF(N:N,Online_eCommerce[[#This Row],[Assigned Supervisor]],L:L)</f>
        <v>13693220</v>
      </c>
    </row>
    <row r="126" spans="1:20" x14ac:dyDescent="0.3">
      <c r="A126" t="s">
        <v>386</v>
      </c>
      <c r="B126" t="s">
        <v>232</v>
      </c>
      <c r="C126" t="s">
        <v>208</v>
      </c>
      <c r="D126" t="s">
        <v>385</v>
      </c>
      <c r="E126" t="s">
        <v>46</v>
      </c>
      <c r="F126" t="s">
        <v>137</v>
      </c>
      <c r="G126" t="s">
        <v>71</v>
      </c>
      <c r="H126" t="s">
        <v>61</v>
      </c>
      <c r="I126">
        <v>10500</v>
      </c>
      <c r="J126">
        <v>13650</v>
      </c>
      <c r="K126">
        <v>1</v>
      </c>
      <c r="L126">
        <v>10500</v>
      </c>
      <c r="M126">
        <v>13650</v>
      </c>
      <c r="N126" t="s">
        <v>28</v>
      </c>
      <c r="O126">
        <f t="shared" si="2"/>
        <v>9750</v>
      </c>
      <c r="P126" s="13">
        <f t="shared" si="3"/>
        <v>2746575</v>
      </c>
      <c r="Q126" s="13">
        <f>SUMIFS(M:M,E:E,Online_eCommerce[[#This Row],[Status]])</f>
        <v>28620410</v>
      </c>
      <c r="R126" s="13">
        <f>SUMIFS(L:L,H:H,Online_eCommerce[[#This Row],[Brand]])</f>
        <v>10950150</v>
      </c>
      <c r="S126" s="13">
        <f>SUMIF(H:H,Online_eCommerce[[#This Row],[Brand]],M:M)</f>
        <v>14235195</v>
      </c>
      <c r="T126" s="13">
        <f>SUMIF(N:N,Online_eCommerce[[#This Row],[Assigned Supervisor]],L:L)</f>
        <v>12220830</v>
      </c>
    </row>
    <row r="127" spans="1:20" hidden="1" x14ac:dyDescent="0.3">
      <c r="A127" t="s">
        <v>387</v>
      </c>
      <c r="B127" t="s">
        <v>235</v>
      </c>
      <c r="C127" t="s">
        <v>388</v>
      </c>
      <c r="D127" t="s">
        <v>385</v>
      </c>
      <c r="E127" t="s">
        <v>96</v>
      </c>
      <c r="F127" t="s">
        <v>341</v>
      </c>
      <c r="G127" t="s">
        <v>77</v>
      </c>
      <c r="H127" t="s">
        <v>142</v>
      </c>
      <c r="I127">
        <v>6500</v>
      </c>
      <c r="J127">
        <v>8450</v>
      </c>
      <c r="K127">
        <v>1</v>
      </c>
      <c r="L127">
        <v>6500</v>
      </c>
      <c r="M127">
        <v>8450</v>
      </c>
      <c r="N127" t="s">
        <v>35</v>
      </c>
      <c r="O127">
        <f t="shared" si="2"/>
        <v>39000</v>
      </c>
      <c r="P127" s="13">
        <f t="shared" si="3"/>
        <v>8450</v>
      </c>
      <c r="Q127" s="13">
        <f>SUMIFS(M:M,E:E,Online_eCommerce[[#This Row],[Status]])</f>
        <v>21233992</v>
      </c>
      <c r="R127" s="13">
        <f>SUMIFS(L:L,H:H,Online_eCommerce[[#This Row],[Brand]])</f>
        <v>6192500</v>
      </c>
      <c r="S127" s="13">
        <f>SUMIF(H:H,Online_eCommerce[[#This Row],[Brand]],M:M)</f>
        <v>8050250</v>
      </c>
      <c r="T127" s="13">
        <f>SUMIF(N:N,Online_eCommerce[[#This Row],[Assigned Supervisor]],L:L)</f>
        <v>14373360</v>
      </c>
    </row>
    <row r="128" spans="1:20" hidden="1" x14ac:dyDescent="0.3">
      <c r="A128" t="s">
        <v>389</v>
      </c>
      <c r="B128" t="s">
        <v>235</v>
      </c>
      <c r="C128" t="s">
        <v>16</v>
      </c>
      <c r="D128" t="s">
        <v>385</v>
      </c>
      <c r="E128" t="s">
        <v>18</v>
      </c>
      <c r="F128" t="s">
        <v>390</v>
      </c>
      <c r="G128" t="s">
        <v>20</v>
      </c>
      <c r="H128" t="s">
        <v>21</v>
      </c>
      <c r="I128">
        <v>4500</v>
      </c>
      <c r="J128">
        <v>5850</v>
      </c>
      <c r="K128">
        <v>1</v>
      </c>
      <c r="L128">
        <v>4500</v>
      </c>
      <c r="M128">
        <v>5850</v>
      </c>
      <c r="N128" t="s">
        <v>42</v>
      </c>
      <c r="O128">
        <f t="shared" si="2"/>
        <v>8450</v>
      </c>
      <c r="P128" s="13">
        <f t="shared" si="3"/>
        <v>2751814</v>
      </c>
      <c r="Q128" s="13">
        <f>SUMIFS(M:M,E:E,Online_eCommerce[[#This Row],[Status]])</f>
        <v>28340455</v>
      </c>
      <c r="R128" s="13">
        <f>SUMIFS(L:L,H:H,Online_eCommerce[[#This Row],[Brand]])</f>
        <v>12435650</v>
      </c>
      <c r="S128" s="13">
        <f>SUMIF(H:H,Online_eCommerce[[#This Row],[Brand]],M:M)</f>
        <v>16166345</v>
      </c>
      <c r="T128" s="13">
        <f>SUMIF(N:N,Online_eCommerce[[#This Row],[Assigned Supervisor]],L:L)</f>
        <v>12261500</v>
      </c>
    </row>
    <row r="129" spans="1:20" hidden="1" x14ac:dyDescent="0.3">
      <c r="A129" t="s">
        <v>391</v>
      </c>
      <c r="B129" t="s">
        <v>235</v>
      </c>
      <c r="C129" t="s">
        <v>24</v>
      </c>
      <c r="D129" t="s">
        <v>385</v>
      </c>
      <c r="E129" t="s">
        <v>161</v>
      </c>
      <c r="F129" t="s">
        <v>152</v>
      </c>
      <c r="G129" t="s">
        <v>26</v>
      </c>
      <c r="H129" t="s">
        <v>27</v>
      </c>
      <c r="I129">
        <v>8500</v>
      </c>
      <c r="J129">
        <v>11050</v>
      </c>
      <c r="K129">
        <v>4</v>
      </c>
      <c r="L129">
        <v>34000</v>
      </c>
      <c r="M129">
        <v>44200</v>
      </c>
      <c r="N129" t="s">
        <v>50</v>
      </c>
      <c r="O129">
        <f t="shared" si="2"/>
        <v>33150</v>
      </c>
      <c r="P129" s="13">
        <f t="shared" si="3"/>
        <v>2009540</v>
      </c>
      <c r="Q129" s="13">
        <f>SUMIFS(M:M,E:E,Online_eCommerce[[#This Row],[Status]])</f>
        <v>21103186</v>
      </c>
      <c r="R129" s="13">
        <f>SUMIFS(L:L,H:H,Online_eCommerce[[#This Row],[Brand]])</f>
        <v>14431000</v>
      </c>
      <c r="S129" s="13">
        <f>SUMIF(H:H,Online_eCommerce[[#This Row],[Brand]],M:M)</f>
        <v>18760300</v>
      </c>
      <c r="T129" s="13">
        <f>SUMIF(N:N,Online_eCommerce[[#This Row],[Assigned Supervisor]],L:L)</f>
        <v>12100590</v>
      </c>
    </row>
    <row r="130" spans="1:20" x14ac:dyDescent="0.3">
      <c r="A130" t="s">
        <v>392</v>
      </c>
      <c r="B130" t="s">
        <v>235</v>
      </c>
      <c r="C130" t="s">
        <v>31</v>
      </c>
      <c r="D130" t="s">
        <v>385</v>
      </c>
      <c r="E130" t="s">
        <v>46</v>
      </c>
      <c r="F130" t="s">
        <v>157</v>
      </c>
      <c r="G130" t="s">
        <v>33</v>
      </c>
      <c r="H130" t="s">
        <v>34</v>
      </c>
      <c r="I130">
        <v>12500</v>
      </c>
      <c r="J130">
        <v>16250</v>
      </c>
      <c r="K130">
        <v>4</v>
      </c>
      <c r="L130">
        <v>50000</v>
      </c>
      <c r="M130">
        <v>65000</v>
      </c>
      <c r="N130" t="s">
        <v>56</v>
      </c>
      <c r="O130">
        <f t="shared" ref="O130:O193" si="4">VLOOKUP(G130,G:M,7,FALSE)</f>
        <v>18200</v>
      </c>
      <c r="P130" s="13">
        <f t="shared" ref="P130:P193" si="5">SUMIFS(M:M,C:C,C130)</f>
        <v>2865746</v>
      </c>
      <c r="Q130" s="13">
        <f>SUMIFS(M:M,E:E,Online_eCommerce[[#This Row],[Status]])</f>
        <v>28620410</v>
      </c>
      <c r="R130" s="13">
        <f>SUMIFS(L:L,H:H,Online_eCommerce[[#This Row],[Brand]])</f>
        <v>10087000</v>
      </c>
      <c r="S130" s="13">
        <f>SUMIF(H:H,Online_eCommerce[[#This Row],[Brand]],M:M)</f>
        <v>13113100</v>
      </c>
      <c r="T130" s="13">
        <f>SUMIF(N:N,Online_eCommerce[[#This Row],[Assigned Supervisor]],L:L)</f>
        <v>11733610</v>
      </c>
    </row>
    <row r="131" spans="1:20" hidden="1" x14ac:dyDescent="0.3">
      <c r="A131" t="s">
        <v>393</v>
      </c>
      <c r="B131" t="s">
        <v>235</v>
      </c>
      <c r="C131" t="s">
        <v>394</v>
      </c>
      <c r="D131" t="s">
        <v>385</v>
      </c>
      <c r="E131" t="s">
        <v>96</v>
      </c>
      <c r="F131" t="s">
        <v>395</v>
      </c>
      <c r="G131" t="s">
        <v>163</v>
      </c>
      <c r="H131" t="s">
        <v>41</v>
      </c>
      <c r="I131">
        <v>3500</v>
      </c>
      <c r="J131">
        <v>4550</v>
      </c>
      <c r="K131">
        <v>3</v>
      </c>
      <c r="L131">
        <v>10500</v>
      </c>
      <c r="M131">
        <v>13650</v>
      </c>
      <c r="N131" t="s">
        <v>22</v>
      </c>
      <c r="O131">
        <f t="shared" si="4"/>
        <v>13650</v>
      </c>
      <c r="P131" s="13">
        <f t="shared" si="5"/>
        <v>13650</v>
      </c>
      <c r="Q131" s="13">
        <f>SUMIFS(M:M,E:E,Online_eCommerce[[#This Row],[Status]])</f>
        <v>21233992</v>
      </c>
      <c r="R131" s="13">
        <f>SUMIFS(L:L,H:H,Online_eCommerce[[#This Row],[Brand]])</f>
        <v>4260400</v>
      </c>
      <c r="S131" s="13">
        <f>SUMIF(H:H,Online_eCommerce[[#This Row],[Brand]],M:M)</f>
        <v>5538520</v>
      </c>
      <c r="T131" s="13">
        <f>SUMIF(N:N,Online_eCommerce[[#This Row],[Assigned Supervisor]],L:L)</f>
        <v>13693220</v>
      </c>
    </row>
    <row r="132" spans="1:20" hidden="1" x14ac:dyDescent="0.3">
      <c r="A132" t="s">
        <v>396</v>
      </c>
      <c r="B132" t="s">
        <v>235</v>
      </c>
      <c r="C132" t="s">
        <v>45</v>
      </c>
      <c r="D132" t="s">
        <v>385</v>
      </c>
      <c r="E132" t="s">
        <v>18</v>
      </c>
      <c r="F132" t="s">
        <v>166</v>
      </c>
      <c r="G132" t="s">
        <v>66</v>
      </c>
      <c r="H132" t="s">
        <v>49</v>
      </c>
      <c r="I132">
        <v>4500</v>
      </c>
      <c r="J132">
        <v>5850</v>
      </c>
      <c r="K132">
        <v>4</v>
      </c>
      <c r="L132">
        <v>18000</v>
      </c>
      <c r="M132">
        <v>23400</v>
      </c>
      <c r="N132" t="s">
        <v>28</v>
      </c>
      <c r="O132">
        <f t="shared" si="4"/>
        <v>1690</v>
      </c>
      <c r="P132" s="13">
        <f t="shared" si="5"/>
        <v>2842554</v>
      </c>
      <c r="Q132" s="13">
        <f>SUMIFS(M:M,E:E,Online_eCommerce[[#This Row],[Status]])</f>
        <v>28340455</v>
      </c>
      <c r="R132" s="13">
        <f>SUMIFS(L:L,H:H,Online_eCommerce[[#This Row],[Brand]])</f>
        <v>4528350</v>
      </c>
      <c r="S132" s="13">
        <f>SUMIF(H:H,Online_eCommerce[[#This Row],[Brand]],M:M)</f>
        <v>5886855</v>
      </c>
      <c r="T132" s="13">
        <f>SUMIF(N:N,Online_eCommerce[[#This Row],[Assigned Supervisor]],L:L)</f>
        <v>12220830</v>
      </c>
    </row>
    <row r="133" spans="1:20" hidden="1" x14ac:dyDescent="0.3">
      <c r="A133" t="s">
        <v>397</v>
      </c>
      <c r="B133" t="s">
        <v>235</v>
      </c>
      <c r="C133" t="s">
        <v>52</v>
      </c>
      <c r="D133" t="s">
        <v>385</v>
      </c>
      <c r="E133" t="s">
        <v>161</v>
      </c>
      <c r="F133" t="s">
        <v>398</v>
      </c>
      <c r="G133" t="s">
        <v>54</v>
      </c>
      <c r="H133" t="s">
        <v>55</v>
      </c>
      <c r="I133">
        <v>2100</v>
      </c>
      <c r="J133">
        <v>2730</v>
      </c>
      <c r="K133">
        <v>3</v>
      </c>
      <c r="L133">
        <v>6300</v>
      </c>
      <c r="M133">
        <v>8190</v>
      </c>
      <c r="N133" t="s">
        <v>35</v>
      </c>
      <c r="O133">
        <f t="shared" si="4"/>
        <v>2990</v>
      </c>
      <c r="P133" s="13">
        <f t="shared" si="5"/>
        <v>1955044</v>
      </c>
      <c r="Q133" s="13">
        <f>SUMIFS(M:M,E:E,Online_eCommerce[[#This Row],[Status]])</f>
        <v>21103186</v>
      </c>
      <c r="R133" s="13">
        <f>SUMIFS(L:L,H:H,Online_eCommerce[[#This Row],[Brand]])</f>
        <v>2267380</v>
      </c>
      <c r="S133" s="13">
        <f>SUMIF(H:H,Online_eCommerce[[#This Row],[Brand]],M:M)</f>
        <v>2947594</v>
      </c>
      <c r="T133" s="13">
        <f>SUMIF(N:N,Online_eCommerce[[#This Row],[Assigned Supervisor]],L:L)</f>
        <v>14373360</v>
      </c>
    </row>
    <row r="134" spans="1:20" x14ac:dyDescent="0.3">
      <c r="A134" t="s">
        <v>399</v>
      </c>
      <c r="B134" t="s">
        <v>235</v>
      </c>
      <c r="C134" t="s">
        <v>58</v>
      </c>
      <c r="D134" t="s">
        <v>400</v>
      </c>
      <c r="E134" t="s">
        <v>46</v>
      </c>
      <c r="F134" t="s">
        <v>174</v>
      </c>
      <c r="G134" t="s">
        <v>60</v>
      </c>
      <c r="H134" t="s">
        <v>61</v>
      </c>
      <c r="I134">
        <v>1150</v>
      </c>
      <c r="J134">
        <v>1495</v>
      </c>
      <c r="K134">
        <v>2</v>
      </c>
      <c r="L134">
        <v>2300</v>
      </c>
      <c r="M134">
        <v>2990</v>
      </c>
      <c r="N134" t="s">
        <v>42</v>
      </c>
      <c r="O134">
        <f t="shared" si="4"/>
        <v>3315</v>
      </c>
      <c r="P134" s="13">
        <f t="shared" si="5"/>
        <v>2629211</v>
      </c>
      <c r="Q134" s="13">
        <f>SUMIFS(M:M,E:E,Online_eCommerce[[#This Row],[Status]])</f>
        <v>28620410</v>
      </c>
      <c r="R134" s="13">
        <f>SUMIFS(L:L,H:H,Online_eCommerce[[#This Row],[Brand]])</f>
        <v>10950150</v>
      </c>
      <c r="S134" s="13">
        <f>SUMIF(H:H,Online_eCommerce[[#This Row],[Brand]],M:M)</f>
        <v>14235195</v>
      </c>
      <c r="T134" s="13">
        <f>SUMIF(N:N,Online_eCommerce[[#This Row],[Assigned Supervisor]],L:L)</f>
        <v>12261500</v>
      </c>
    </row>
    <row r="135" spans="1:20" hidden="1" x14ac:dyDescent="0.3">
      <c r="A135" t="s">
        <v>401</v>
      </c>
      <c r="B135" t="s">
        <v>235</v>
      </c>
      <c r="C135" t="s">
        <v>63</v>
      </c>
      <c r="D135" t="s">
        <v>400</v>
      </c>
      <c r="E135" t="s">
        <v>96</v>
      </c>
      <c r="F135" t="s">
        <v>179</v>
      </c>
      <c r="G135" t="s">
        <v>66</v>
      </c>
      <c r="H135" t="s">
        <v>21</v>
      </c>
      <c r="I135">
        <v>350</v>
      </c>
      <c r="J135">
        <v>455</v>
      </c>
      <c r="K135">
        <v>3</v>
      </c>
      <c r="L135">
        <v>1050</v>
      </c>
      <c r="M135">
        <v>1365</v>
      </c>
      <c r="N135" t="s">
        <v>50</v>
      </c>
      <c r="O135">
        <f t="shared" si="4"/>
        <v>1690</v>
      </c>
      <c r="P135" s="13">
        <f t="shared" si="5"/>
        <v>2016131</v>
      </c>
      <c r="Q135" s="13">
        <f>SUMIFS(M:M,E:E,Online_eCommerce[[#This Row],[Status]])</f>
        <v>21233992</v>
      </c>
      <c r="R135" s="13">
        <f>SUMIFS(L:L,H:H,Online_eCommerce[[#This Row],[Brand]])</f>
        <v>12435650</v>
      </c>
      <c r="S135" s="13">
        <f>SUMIF(H:H,Online_eCommerce[[#This Row],[Brand]],M:M)</f>
        <v>16166345</v>
      </c>
      <c r="T135" s="13">
        <f>SUMIF(N:N,Online_eCommerce[[#This Row],[Assigned Supervisor]],L:L)</f>
        <v>12100590</v>
      </c>
    </row>
    <row r="136" spans="1:20" hidden="1" x14ac:dyDescent="0.3">
      <c r="A136" t="s">
        <v>402</v>
      </c>
      <c r="B136" t="s">
        <v>235</v>
      </c>
      <c r="C136" t="s">
        <v>68</v>
      </c>
      <c r="D136" t="s">
        <v>400</v>
      </c>
      <c r="E136" t="s">
        <v>18</v>
      </c>
      <c r="F136" t="s">
        <v>183</v>
      </c>
      <c r="G136" t="s">
        <v>71</v>
      </c>
      <c r="H136" t="s">
        <v>61</v>
      </c>
      <c r="I136">
        <v>9500</v>
      </c>
      <c r="J136">
        <v>12350</v>
      </c>
      <c r="K136">
        <v>4</v>
      </c>
      <c r="L136">
        <v>38000</v>
      </c>
      <c r="M136">
        <v>49400</v>
      </c>
      <c r="N136" t="s">
        <v>56</v>
      </c>
      <c r="O136">
        <f t="shared" si="4"/>
        <v>9750</v>
      </c>
      <c r="P136" s="13">
        <f t="shared" si="5"/>
        <v>2974621</v>
      </c>
      <c r="Q136" s="13">
        <f>SUMIFS(M:M,E:E,Online_eCommerce[[#This Row],[Status]])</f>
        <v>28340455</v>
      </c>
      <c r="R136" s="13">
        <f>SUMIFS(L:L,H:H,Online_eCommerce[[#This Row],[Brand]])</f>
        <v>10950150</v>
      </c>
      <c r="S136" s="13">
        <f>SUMIF(H:H,Online_eCommerce[[#This Row],[Brand]],M:M)</f>
        <v>14235195</v>
      </c>
      <c r="T136" s="13">
        <f>SUMIF(N:N,Online_eCommerce[[#This Row],[Assigned Supervisor]],L:L)</f>
        <v>11733610</v>
      </c>
    </row>
    <row r="137" spans="1:20" hidden="1" x14ac:dyDescent="0.3">
      <c r="A137" t="s">
        <v>403</v>
      </c>
      <c r="B137" t="s">
        <v>235</v>
      </c>
      <c r="C137" t="s">
        <v>74</v>
      </c>
      <c r="D137" t="s">
        <v>400</v>
      </c>
      <c r="E137" t="s">
        <v>161</v>
      </c>
      <c r="F137" t="s">
        <v>404</v>
      </c>
      <c r="G137" t="s">
        <v>77</v>
      </c>
      <c r="H137" t="s">
        <v>142</v>
      </c>
      <c r="I137">
        <v>10000</v>
      </c>
      <c r="J137">
        <v>13000</v>
      </c>
      <c r="K137">
        <v>4</v>
      </c>
      <c r="L137">
        <v>40000</v>
      </c>
      <c r="M137">
        <v>52000</v>
      </c>
      <c r="N137" t="s">
        <v>22</v>
      </c>
      <c r="O137">
        <f t="shared" si="4"/>
        <v>39000</v>
      </c>
      <c r="P137" s="13">
        <f t="shared" si="5"/>
        <v>2144701</v>
      </c>
      <c r="Q137" s="13">
        <f>SUMIFS(M:M,E:E,Online_eCommerce[[#This Row],[Status]])</f>
        <v>21103186</v>
      </c>
      <c r="R137" s="13">
        <f>SUMIFS(L:L,H:H,Online_eCommerce[[#This Row],[Brand]])</f>
        <v>6192500</v>
      </c>
      <c r="S137" s="13">
        <f>SUMIF(H:H,Online_eCommerce[[#This Row],[Brand]],M:M)</f>
        <v>8050250</v>
      </c>
      <c r="T137" s="13">
        <f>SUMIF(N:N,Online_eCommerce[[#This Row],[Assigned Supervisor]],L:L)</f>
        <v>13693220</v>
      </c>
    </row>
    <row r="138" spans="1:20" x14ac:dyDescent="0.3">
      <c r="A138" t="s">
        <v>405</v>
      </c>
      <c r="B138" t="s">
        <v>235</v>
      </c>
      <c r="C138" t="s">
        <v>81</v>
      </c>
      <c r="D138" t="s">
        <v>400</v>
      </c>
      <c r="E138" t="s">
        <v>46</v>
      </c>
      <c r="F138" t="s">
        <v>406</v>
      </c>
      <c r="G138" t="s">
        <v>20</v>
      </c>
      <c r="H138" t="s">
        <v>21</v>
      </c>
      <c r="I138">
        <v>6500</v>
      </c>
      <c r="J138">
        <v>8450</v>
      </c>
      <c r="K138">
        <v>1</v>
      </c>
      <c r="L138">
        <v>6500</v>
      </c>
      <c r="M138">
        <v>8450</v>
      </c>
      <c r="N138" t="s">
        <v>28</v>
      </c>
      <c r="O138">
        <f t="shared" si="4"/>
        <v>8450</v>
      </c>
      <c r="P138" s="13">
        <f t="shared" si="5"/>
        <v>2595632</v>
      </c>
      <c r="Q138" s="13">
        <f>SUMIFS(M:M,E:E,Online_eCommerce[[#This Row],[Status]])</f>
        <v>28620410</v>
      </c>
      <c r="R138" s="13">
        <f>SUMIFS(L:L,H:H,Online_eCommerce[[#This Row],[Brand]])</f>
        <v>12435650</v>
      </c>
      <c r="S138" s="13">
        <f>SUMIF(H:H,Online_eCommerce[[#This Row],[Brand]],M:M)</f>
        <v>16166345</v>
      </c>
      <c r="T138" s="13">
        <f>SUMIF(N:N,Online_eCommerce[[#This Row],[Assigned Supervisor]],L:L)</f>
        <v>12220830</v>
      </c>
    </row>
    <row r="139" spans="1:20" hidden="1" x14ac:dyDescent="0.3">
      <c r="A139" t="s">
        <v>407</v>
      </c>
      <c r="B139" t="s">
        <v>235</v>
      </c>
      <c r="C139" t="s">
        <v>408</v>
      </c>
      <c r="D139" t="s">
        <v>400</v>
      </c>
      <c r="E139" t="s">
        <v>96</v>
      </c>
      <c r="F139" t="s">
        <v>409</v>
      </c>
      <c r="G139" t="s">
        <v>26</v>
      </c>
      <c r="H139" t="s">
        <v>27</v>
      </c>
      <c r="I139">
        <v>8500</v>
      </c>
      <c r="J139">
        <v>11050</v>
      </c>
      <c r="K139">
        <v>3</v>
      </c>
      <c r="L139">
        <v>25500</v>
      </c>
      <c r="M139">
        <v>33150</v>
      </c>
      <c r="N139" t="s">
        <v>35</v>
      </c>
      <c r="O139">
        <f t="shared" si="4"/>
        <v>33150</v>
      </c>
      <c r="P139" s="13">
        <f t="shared" si="5"/>
        <v>33150</v>
      </c>
      <c r="Q139" s="13">
        <f>SUMIFS(M:M,E:E,Online_eCommerce[[#This Row],[Status]])</f>
        <v>21233992</v>
      </c>
      <c r="R139" s="13">
        <f>SUMIFS(L:L,H:H,Online_eCommerce[[#This Row],[Brand]])</f>
        <v>14431000</v>
      </c>
      <c r="S139" s="13">
        <f>SUMIF(H:H,Online_eCommerce[[#This Row],[Brand]],M:M)</f>
        <v>18760300</v>
      </c>
      <c r="T139" s="13">
        <f>SUMIF(N:N,Online_eCommerce[[#This Row],[Assigned Supervisor]],L:L)</f>
        <v>14373360</v>
      </c>
    </row>
    <row r="140" spans="1:20" hidden="1" x14ac:dyDescent="0.3">
      <c r="A140" t="s">
        <v>410</v>
      </c>
      <c r="B140" t="s">
        <v>235</v>
      </c>
      <c r="C140" t="s">
        <v>91</v>
      </c>
      <c r="D140" t="s">
        <v>400</v>
      </c>
      <c r="E140" t="s">
        <v>18</v>
      </c>
      <c r="F140" t="s">
        <v>32</v>
      </c>
      <c r="G140" t="s">
        <v>33</v>
      </c>
      <c r="H140" t="s">
        <v>34</v>
      </c>
      <c r="I140">
        <v>7000</v>
      </c>
      <c r="J140">
        <v>9100</v>
      </c>
      <c r="K140">
        <v>3</v>
      </c>
      <c r="L140">
        <v>21000</v>
      </c>
      <c r="M140">
        <v>27300</v>
      </c>
      <c r="N140" t="s">
        <v>42</v>
      </c>
      <c r="O140">
        <f t="shared" si="4"/>
        <v>18200</v>
      </c>
      <c r="P140" s="13">
        <f t="shared" si="5"/>
        <v>2731963</v>
      </c>
      <c r="Q140" s="13">
        <f>SUMIFS(M:M,E:E,Online_eCommerce[[#This Row],[Status]])</f>
        <v>28340455</v>
      </c>
      <c r="R140" s="13">
        <f>SUMIFS(L:L,H:H,Online_eCommerce[[#This Row],[Brand]])</f>
        <v>10087000</v>
      </c>
      <c r="S140" s="13">
        <f>SUMIF(H:H,Online_eCommerce[[#This Row],[Brand]],M:M)</f>
        <v>13113100</v>
      </c>
      <c r="T140" s="13">
        <f>SUMIF(N:N,Online_eCommerce[[#This Row],[Assigned Supervisor]],L:L)</f>
        <v>12261500</v>
      </c>
    </row>
    <row r="141" spans="1:20" hidden="1" x14ac:dyDescent="0.3">
      <c r="A141" t="s">
        <v>411</v>
      </c>
      <c r="B141" t="s">
        <v>139</v>
      </c>
      <c r="C141" t="s">
        <v>94</v>
      </c>
      <c r="D141" t="s">
        <v>400</v>
      </c>
      <c r="E141" t="s">
        <v>161</v>
      </c>
      <c r="F141" t="s">
        <v>412</v>
      </c>
      <c r="G141" t="s">
        <v>163</v>
      </c>
      <c r="H141" t="s">
        <v>41</v>
      </c>
      <c r="I141">
        <v>6550</v>
      </c>
      <c r="J141">
        <v>8515</v>
      </c>
      <c r="K141">
        <v>3</v>
      </c>
      <c r="L141">
        <v>19650</v>
      </c>
      <c r="M141">
        <v>25545</v>
      </c>
      <c r="N141" t="s">
        <v>50</v>
      </c>
      <c r="O141">
        <f t="shared" si="4"/>
        <v>13650</v>
      </c>
      <c r="P141" s="13">
        <f t="shared" si="5"/>
        <v>1868256</v>
      </c>
      <c r="Q141" s="13">
        <f>SUMIFS(M:M,E:E,Online_eCommerce[[#This Row],[Status]])</f>
        <v>21103186</v>
      </c>
      <c r="R141" s="13">
        <f>SUMIFS(L:L,H:H,Online_eCommerce[[#This Row],[Brand]])</f>
        <v>4260400</v>
      </c>
      <c r="S141" s="13">
        <f>SUMIF(H:H,Online_eCommerce[[#This Row],[Brand]],M:M)</f>
        <v>5538520</v>
      </c>
      <c r="T141" s="13">
        <f>SUMIF(N:N,Online_eCommerce[[#This Row],[Assigned Supervisor]],L:L)</f>
        <v>12100590</v>
      </c>
    </row>
    <row r="142" spans="1:20" x14ac:dyDescent="0.3">
      <c r="A142" t="s">
        <v>413</v>
      </c>
      <c r="B142" t="s">
        <v>144</v>
      </c>
      <c r="C142" t="s">
        <v>99</v>
      </c>
      <c r="D142" t="s">
        <v>400</v>
      </c>
      <c r="E142" t="s">
        <v>46</v>
      </c>
      <c r="F142" t="s">
        <v>47</v>
      </c>
      <c r="G142" t="s">
        <v>66</v>
      </c>
      <c r="H142" t="s">
        <v>49</v>
      </c>
      <c r="I142">
        <v>7650</v>
      </c>
      <c r="J142">
        <v>9945</v>
      </c>
      <c r="K142">
        <v>4</v>
      </c>
      <c r="L142">
        <v>30600</v>
      </c>
      <c r="M142">
        <v>39780</v>
      </c>
      <c r="N142" t="s">
        <v>56</v>
      </c>
      <c r="O142">
        <f t="shared" si="4"/>
        <v>1690</v>
      </c>
      <c r="P142" s="13">
        <f t="shared" si="5"/>
        <v>2651233</v>
      </c>
      <c r="Q142" s="13">
        <f>SUMIFS(M:M,E:E,Online_eCommerce[[#This Row],[Status]])</f>
        <v>28620410</v>
      </c>
      <c r="R142" s="13">
        <f>SUMIFS(L:L,H:H,Online_eCommerce[[#This Row],[Brand]])</f>
        <v>4528350</v>
      </c>
      <c r="S142" s="13">
        <f>SUMIF(H:H,Online_eCommerce[[#This Row],[Brand]],M:M)</f>
        <v>5886855</v>
      </c>
      <c r="T142" s="13">
        <f>SUMIF(N:N,Online_eCommerce[[#This Row],[Assigned Supervisor]],L:L)</f>
        <v>11733610</v>
      </c>
    </row>
    <row r="143" spans="1:20" hidden="1" x14ac:dyDescent="0.3">
      <c r="A143" t="s">
        <v>414</v>
      </c>
      <c r="B143" t="s">
        <v>171</v>
      </c>
      <c r="C143" t="s">
        <v>415</v>
      </c>
      <c r="D143" t="s">
        <v>416</v>
      </c>
      <c r="E143" t="s">
        <v>96</v>
      </c>
      <c r="F143" t="s">
        <v>53</v>
      </c>
      <c r="G143" t="s">
        <v>54</v>
      </c>
      <c r="H143" t="s">
        <v>55</v>
      </c>
      <c r="I143">
        <v>1150</v>
      </c>
      <c r="J143">
        <v>1495</v>
      </c>
      <c r="K143">
        <v>2</v>
      </c>
      <c r="L143">
        <v>2300</v>
      </c>
      <c r="M143">
        <v>2990</v>
      </c>
      <c r="N143" t="s">
        <v>22</v>
      </c>
      <c r="O143">
        <f t="shared" si="4"/>
        <v>2990</v>
      </c>
      <c r="P143" s="13">
        <f t="shared" si="5"/>
        <v>2990</v>
      </c>
      <c r="Q143" s="13">
        <f>SUMIFS(M:M,E:E,Online_eCommerce[[#This Row],[Status]])</f>
        <v>21233992</v>
      </c>
      <c r="R143" s="13">
        <f>SUMIFS(L:L,H:H,Online_eCommerce[[#This Row],[Brand]])</f>
        <v>2267380</v>
      </c>
      <c r="S143" s="13">
        <f>SUMIF(H:H,Online_eCommerce[[#This Row],[Brand]],M:M)</f>
        <v>2947594</v>
      </c>
      <c r="T143" s="13">
        <f>SUMIF(N:N,Online_eCommerce[[#This Row],[Assigned Supervisor]],L:L)</f>
        <v>13693220</v>
      </c>
    </row>
    <row r="144" spans="1:20" hidden="1" x14ac:dyDescent="0.3">
      <c r="A144" t="s">
        <v>417</v>
      </c>
      <c r="B144" t="s">
        <v>176</v>
      </c>
      <c r="C144" t="s">
        <v>110</v>
      </c>
      <c r="D144" t="s">
        <v>416</v>
      </c>
      <c r="E144" t="s">
        <v>18</v>
      </c>
      <c r="F144" t="s">
        <v>59</v>
      </c>
      <c r="G144" t="s">
        <v>60</v>
      </c>
      <c r="H144" t="s">
        <v>61</v>
      </c>
      <c r="I144">
        <v>850</v>
      </c>
      <c r="J144">
        <v>1105</v>
      </c>
      <c r="K144">
        <v>2</v>
      </c>
      <c r="L144">
        <v>1700</v>
      </c>
      <c r="M144">
        <v>2210</v>
      </c>
      <c r="N144" t="s">
        <v>50</v>
      </c>
      <c r="O144">
        <f t="shared" si="4"/>
        <v>3315</v>
      </c>
      <c r="P144" s="13">
        <f t="shared" si="5"/>
        <v>2598635</v>
      </c>
      <c r="Q144" s="13">
        <f>SUMIFS(M:M,E:E,Online_eCommerce[[#This Row],[Status]])</f>
        <v>28340455</v>
      </c>
      <c r="R144" s="13">
        <f>SUMIFS(L:L,H:H,Online_eCommerce[[#This Row],[Brand]])</f>
        <v>10950150</v>
      </c>
      <c r="S144" s="13">
        <f>SUMIF(H:H,Online_eCommerce[[#This Row],[Brand]],M:M)</f>
        <v>14235195</v>
      </c>
      <c r="T144" s="13">
        <f>SUMIF(N:N,Online_eCommerce[[#This Row],[Assigned Supervisor]],L:L)</f>
        <v>12100590</v>
      </c>
    </row>
    <row r="145" spans="1:20" hidden="1" x14ac:dyDescent="0.3">
      <c r="A145" t="s">
        <v>418</v>
      </c>
      <c r="B145" t="s">
        <v>276</v>
      </c>
      <c r="C145" t="s">
        <v>115</v>
      </c>
      <c r="D145" t="s">
        <v>416</v>
      </c>
      <c r="E145" t="s">
        <v>161</v>
      </c>
      <c r="F145" t="s">
        <v>65</v>
      </c>
      <c r="G145" t="s">
        <v>66</v>
      </c>
      <c r="H145" t="s">
        <v>21</v>
      </c>
      <c r="I145">
        <v>650</v>
      </c>
      <c r="J145">
        <v>845</v>
      </c>
      <c r="K145">
        <v>1</v>
      </c>
      <c r="L145">
        <v>650</v>
      </c>
      <c r="M145">
        <v>845</v>
      </c>
      <c r="N145" t="s">
        <v>56</v>
      </c>
      <c r="O145">
        <f t="shared" si="4"/>
        <v>1690</v>
      </c>
      <c r="P145" s="13">
        <f t="shared" si="5"/>
        <v>2050178</v>
      </c>
      <c r="Q145" s="13">
        <f>SUMIFS(M:M,E:E,Online_eCommerce[[#This Row],[Status]])</f>
        <v>21103186</v>
      </c>
      <c r="R145" s="13">
        <f>SUMIFS(L:L,H:H,Online_eCommerce[[#This Row],[Brand]])</f>
        <v>12435650</v>
      </c>
      <c r="S145" s="13">
        <f>SUMIF(H:H,Online_eCommerce[[#This Row],[Brand]],M:M)</f>
        <v>16166345</v>
      </c>
      <c r="T145" s="13">
        <f>SUMIF(N:N,Online_eCommerce[[#This Row],[Assigned Supervisor]],L:L)</f>
        <v>11733610</v>
      </c>
    </row>
    <row r="146" spans="1:20" x14ac:dyDescent="0.3">
      <c r="A146" t="s">
        <v>419</v>
      </c>
      <c r="B146" t="s">
        <v>280</v>
      </c>
      <c r="C146" t="s">
        <v>120</v>
      </c>
      <c r="D146" t="s">
        <v>416</v>
      </c>
      <c r="E146" t="s">
        <v>46</v>
      </c>
      <c r="F146" t="s">
        <v>70</v>
      </c>
      <c r="G146" t="s">
        <v>71</v>
      </c>
      <c r="H146" t="s">
        <v>61</v>
      </c>
      <c r="I146">
        <v>7500</v>
      </c>
      <c r="J146">
        <v>9750</v>
      </c>
      <c r="K146">
        <v>2</v>
      </c>
      <c r="L146">
        <v>15000</v>
      </c>
      <c r="M146">
        <v>19500</v>
      </c>
      <c r="N146" t="s">
        <v>22</v>
      </c>
      <c r="O146">
        <f t="shared" si="4"/>
        <v>9750</v>
      </c>
      <c r="P146" s="13">
        <f t="shared" si="5"/>
        <v>2734212</v>
      </c>
      <c r="Q146" s="13">
        <f>SUMIFS(M:M,E:E,Online_eCommerce[[#This Row],[Status]])</f>
        <v>28620410</v>
      </c>
      <c r="R146" s="13">
        <f>SUMIFS(L:L,H:H,Online_eCommerce[[#This Row],[Brand]])</f>
        <v>10950150</v>
      </c>
      <c r="S146" s="13">
        <f>SUMIF(H:H,Online_eCommerce[[#This Row],[Brand]],M:M)</f>
        <v>14235195</v>
      </c>
      <c r="T146" s="13">
        <f>SUMIF(N:N,Online_eCommerce[[#This Row],[Assigned Supervisor]],L:L)</f>
        <v>13693220</v>
      </c>
    </row>
    <row r="147" spans="1:20" hidden="1" x14ac:dyDescent="0.3">
      <c r="A147" t="s">
        <v>420</v>
      </c>
      <c r="B147" t="s">
        <v>283</v>
      </c>
      <c r="C147" t="s">
        <v>421</v>
      </c>
      <c r="D147" t="s">
        <v>416</v>
      </c>
      <c r="E147" t="s">
        <v>96</v>
      </c>
      <c r="F147" t="s">
        <v>404</v>
      </c>
      <c r="G147" t="s">
        <v>77</v>
      </c>
      <c r="H147" t="s">
        <v>78</v>
      </c>
      <c r="I147">
        <v>10000</v>
      </c>
      <c r="J147">
        <v>13000</v>
      </c>
      <c r="K147">
        <v>1</v>
      </c>
      <c r="L147">
        <v>10000</v>
      </c>
      <c r="M147">
        <v>13000</v>
      </c>
      <c r="N147" t="s">
        <v>28</v>
      </c>
      <c r="O147">
        <f t="shared" si="4"/>
        <v>39000</v>
      </c>
      <c r="P147" s="13">
        <f t="shared" si="5"/>
        <v>13000</v>
      </c>
      <c r="Q147" s="13">
        <f>SUMIFS(M:M,E:E,Online_eCommerce[[#This Row],[Status]])</f>
        <v>21233992</v>
      </c>
      <c r="R147" s="13">
        <f>SUMIFS(L:L,H:H,Online_eCommerce[[#This Row],[Brand]])</f>
        <v>3720000</v>
      </c>
      <c r="S147" s="13">
        <f>SUMIF(H:H,Online_eCommerce[[#This Row],[Brand]],M:M)</f>
        <v>4836000</v>
      </c>
      <c r="T147" s="13">
        <f>SUMIF(N:N,Online_eCommerce[[#This Row],[Assigned Supervisor]],L:L)</f>
        <v>12220830</v>
      </c>
    </row>
    <row r="148" spans="1:20" hidden="1" x14ac:dyDescent="0.3">
      <c r="A148" t="s">
        <v>422</v>
      </c>
      <c r="B148" t="s">
        <v>287</v>
      </c>
      <c r="C148" t="s">
        <v>22</v>
      </c>
      <c r="D148" t="s">
        <v>416</v>
      </c>
      <c r="E148" t="s">
        <v>18</v>
      </c>
      <c r="F148" t="s">
        <v>423</v>
      </c>
      <c r="G148" t="s">
        <v>20</v>
      </c>
      <c r="H148" t="s">
        <v>21</v>
      </c>
      <c r="I148">
        <v>10500</v>
      </c>
      <c r="J148">
        <v>13650</v>
      </c>
      <c r="K148">
        <v>2</v>
      </c>
      <c r="L148">
        <v>21000</v>
      </c>
      <c r="M148">
        <v>27300</v>
      </c>
      <c r="N148" t="s">
        <v>35</v>
      </c>
      <c r="O148">
        <f t="shared" si="4"/>
        <v>8450</v>
      </c>
      <c r="P148" s="13">
        <f t="shared" si="5"/>
        <v>2551588</v>
      </c>
      <c r="Q148" s="13">
        <f>SUMIFS(M:M,E:E,Online_eCommerce[[#This Row],[Status]])</f>
        <v>28340455</v>
      </c>
      <c r="R148" s="13">
        <f>SUMIFS(L:L,H:H,Online_eCommerce[[#This Row],[Brand]])</f>
        <v>12435650</v>
      </c>
      <c r="S148" s="13">
        <f>SUMIF(H:H,Online_eCommerce[[#This Row],[Brand]],M:M)</f>
        <v>16166345</v>
      </c>
      <c r="T148" s="13">
        <f>SUMIF(N:N,Online_eCommerce[[#This Row],[Assigned Supervisor]],L:L)</f>
        <v>14373360</v>
      </c>
    </row>
    <row r="149" spans="1:20" hidden="1" x14ac:dyDescent="0.3">
      <c r="A149" t="s">
        <v>424</v>
      </c>
      <c r="B149" t="s">
        <v>290</v>
      </c>
      <c r="C149" t="s">
        <v>132</v>
      </c>
      <c r="D149" t="s">
        <v>416</v>
      </c>
      <c r="E149" t="s">
        <v>161</v>
      </c>
      <c r="F149" t="s">
        <v>88</v>
      </c>
      <c r="G149" t="s">
        <v>26</v>
      </c>
      <c r="H149" t="s">
        <v>27</v>
      </c>
      <c r="I149">
        <v>8500</v>
      </c>
      <c r="J149">
        <v>11050</v>
      </c>
      <c r="K149">
        <v>1</v>
      </c>
      <c r="L149">
        <v>8500</v>
      </c>
      <c r="M149">
        <v>11050</v>
      </c>
      <c r="N149" t="s">
        <v>42</v>
      </c>
      <c r="O149">
        <f t="shared" si="4"/>
        <v>33150</v>
      </c>
      <c r="P149" s="13">
        <f t="shared" si="5"/>
        <v>1989065</v>
      </c>
      <c r="Q149" s="13">
        <f>SUMIFS(M:M,E:E,Online_eCommerce[[#This Row],[Status]])</f>
        <v>21103186</v>
      </c>
      <c r="R149" s="13">
        <f>SUMIFS(L:L,H:H,Online_eCommerce[[#This Row],[Brand]])</f>
        <v>14431000</v>
      </c>
      <c r="S149" s="13">
        <f>SUMIF(H:H,Online_eCommerce[[#This Row],[Brand]],M:M)</f>
        <v>18760300</v>
      </c>
      <c r="T149" s="13">
        <f>SUMIF(N:N,Online_eCommerce[[#This Row],[Assigned Supervisor]],L:L)</f>
        <v>12261500</v>
      </c>
    </row>
    <row r="150" spans="1:20" x14ac:dyDescent="0.3">
      <c r="A150" t="s">
        <v>425</v>
      </c>
      <c r="B150" t="s">
        <v>124</v>
      </c>
      <c r="C150" t="s">
        <v>136</v>
      </c>
      <c r="D150" t="s">
        <v>416</v>
      </c>
      <c r="E150" t="s">
        <v>46</v>
      </c>
      <c r="F150" t="s">
        <v>32</v>
      </c>
      <c r="G150" t="s">
        <v>33</v>
      </c>
      <c r="H150" t="s">
        <v>34</v>
      </c>
      <c r="I150">
        <v>7000</v>
      </c>
      <c r="J150">
        <v>9100</v>
      </c>
      <c r="K150">
        <v>4</v>
      </c>
      <c r="L150">
        <v>28000</v>
      </c>
      <c r="M150">
        <v>36400</v>
      </c>
      <c r="N150" t="s">
        <v>50</v>
      </c>
      <c r="O150">
        <f t="shared" si="4"/>
        <v>18200</v>
      </c>
      <c r="P150" s="13">
        <f t="shared" si="5"/>
        <v>2775162</v>
      </c>
      <c r="Q150" s="13">
        <f>SUMIFS(M:M,E:E,Online_eCommerce[[#This Row],[Status]])</f>
        <v>28620410</v>
      </c>
      <c r="R150" s="13">
        <f>SUMIFS(L:L,H:H,Online_eCommerce[[#This Row],[Brand]])</f>
        <v>10087000</v>
      </c>
      <c r="S150" s="13">
        <f>SUMIF(H:H,Online_eCommerce[[#This Row],[Brand]],M:M)</f>
        <v>13113100</v>
      </c>
      <c r="T150" s="13">
        <f>SUMIF(N:N,Online_eCommerce[[#This Row],[Assigned Supervisor]],L:L)</f>
        <v>12100590</v>
      </c>
    </row>
    <row r="151" spans="1:20" hidden="1" x14ac:dyDescent="0.3">
      <c r="A151" t="s">
        <v>426</v>
      </c>
      <c r="B151" t="s">
        <v>128</v>
      </c>
      <c r="C151" t="s">
        <v>140</v>
      </c>
      <c r="D151" t="s">
        <v>416</v>
      </c>
      <c r="E151" t="s">
        <v>96</v>
      </c>
      <c r="F151" t="s">
        <v>427</v>
      </c>
      <c r="G151" t="s">
        <v>163</v>
      </c>
      <c r="H151" t="s">
        <v>41</v>
      </c>
      <c r="I151">
        <v>1680</v>
      </c>
      <c r="J151">
        <v>2184</v>
      </c>
      <c r="K151">
        <v>2</v>
      </c>
      <c r="L151">
        <v>3360</v>
      </c>
      <c r="M151">
        <v>4368</v>
      </c>
      <c r="N151" t="s">
        <v>56</v>
      </c>
      <c r="O151">
        <f t="shared" si="4"/>
        <v>13650</v>
      </c>
      <c r="P151" s="13">
        <f t="shared" si="5"/>
        <v>2058264</v>
      </c>
      <c r="Q151" s="13">
        <f>SUMIFS(M:M,E:E,Online_eCommerce[[#This Row],[Status]])</f>
        <v>21233992</v>
      </c>
      <c r="R151" s="13">
        <f>SUMIFS(L:L,H:H,Online_eCommerce[[#This Row],[Brand]])</f>
        <v>4260400</v>
      </c>
      <c r="S151" s="13">
        <f>SUMIF(H:H,Online_eCommerce[[#This Row],[Brand]],M:M)</f>
        <v>5538520</v>
      </c>
      <c r="T151" s="13">
        <f>SUMIF(N:N,Online_eCommerce[[#This Row],[Assigned Supervisor]],L:L)</f>
        <v>11733610</v>
      </c>
    </row>
    <row r="152" spans="1:20" hidden="1" x14ac:dyDescent="0.3">
      <c r="A152" t="s">
        <v>428</v>
      </c>
      <c r="B152" t="s">
        <v>131</v>
      </c>
      <c r="C152" t="s">
        <v>145</v>
      </c>
      <c r="D152" t="s">
        <v>416</v>
      </c>
      <c r="E152" t="s">
        <v>18</v>
      </c>
      <c r="F152" t="s">
        <v>101</v>
      </c>
      <c r="G152" t="s">
        <v>66</v>
      </c>
      <c r="H152" t="s">
        <v>102</v>
      </c>
      <c r="I152">
        <v>6540</v>
      </c>
      <c r="J152">
        <v>8502</v>
      </c>
      <c r="K152">
        <v>3</v>
      </c>
      <c r="L152">
        <v>19620</v>
      </c>
      <c r="M152">
        <v>25506</v>
      </c>
      <c r="N152" t="s">
        <v>22</v>
      </c>
      <c r="O152">
        <f t="shared" si="4"/>
        <v>1690</v>
      </c>
      <c r="P152" s="13">
        <f t="shared" si="5"/>
        <v>2757859</v>
      </c>
      <c r="Q152" s="13">
        <f>SUMIFS(M:M,E:E,Online_eCommerce[[#This Row],[Status]])</f>
        <v>28340455</v>
      </c>
      <c r="R152" s="13">
        <f>SUMIFS(L:L,H:H,Online_eCommerce[[#This Row],[Brand]])</f>
        <v>2465580</v>
      </c>
      <c r="S152" s="13">
        <f>SUMIF(H:H,Online_eCommerce[[#This Row],[Brand]],M:M)</f>
        <v>3205254</v>
      </c>
      <c r="T152" s="13">
        <f>SUMIF(N:N,Online_eCommerce[[#This Row],[Assigned Supervisor]],L:L)</f>
        <v>13693220</v>
      </c>
    </row>
    <row r="153" spans="1:20" hidden="1" x14ac:dyDescent="0.3">
      <c r="A153" t="s">
        <v>429</v>
      </c>
      <c r="B153" t="s">
        <v>135</v>
      </c>
      <c r="C153" t="s">
        <v>150</v>
      </c>
      <c r="D153" t="s">
        <v>416</v>
      </c>
      <c r="E153" t="s">
        <v>161</v>
      </c>
      <c r="F153" t="s">
        <v>107</v>
      </c>
      <c r="G153" t="s">
        <v>54</v>
      </c>
      <c r="H153" t="s">
        <v>55</v>
      </c>
      <c r="I153">
        <v>2680</v>
      </c>
      <c r="J153">
        <v>3484</v>
      </c>
      <c r="K153">
        <v>1</v>
      </c>
      <c r="L153">
        <v>2680</v>
      </c>
      <c r="M153">
        <v>3484</v>
      </c>
      <c r="N153" t="s">
        <v>28</v>
      </c>
      <c r="O153">
        <f t="shared" si="4"/>
        <v>2990</v>
      </c>
      <c r="P153" s="13">
        <f t="shared" si="5"/>
        <v>2154984</v>
      </c>
      <c r="Q153" s="13">
        <f>SUMIFS(M:M,E:E,Online_eCommerce[[#This Row],[Status]])</f>
        <v>21103186</v>
      </c>
      <c r="R153" s="13">
        <f>SUMIFS(L:L,H:H,Online_eCommerce[[#This Row],[Brand]])</f>
        <v>2267380</v>
      </c>
      <c r="S153" s="13">
        <f>SUMIF(H:H,Online_eCommerce[[#This Row],[Brand]],M:M)</f>
        <v>2947594</v>
      </c>
      <c r="T153" s="13">
        <f>SUMIF(N:N,Online_eCommerce[[#This Row],[Assigned Supervisor]],L:L)</f>
        <v>12220830</v>
      </c>
    </row>
    <row r="154" spans="1:20" x14ac:dyDescent="0.3">
      <c r="A154" t="s">
        <v>430</v>
      </c>
      <c r="B154" t="s">
        <v>139</v>
      </c>
      <c r="C154" t="s">
        <v>155</v>
      </c>
      <c r="D154" t="s">
        <v>416</v>
      </c>
      <c r="E154" t="s">
        <v>46</v>
      </c>
      <c r="F154" t="s">
        <v>112</v>
      </c>
      <c r="G154" t="s">
        <v>71</v>
      </c>
      <c r="H154" t="s">
        <v>21</v>
      </c>
      <c r="I154">
        <v>8250</v>
      </c>
      <c r="J154">
        <v>10725</v>
      </c>
      <c r="K154">
        <v>4</v>
      </c>
      <c r="L154">
        <v>33000</v>
      </c>
      <c r="M154">
        <v>42900</v>
      </c>
      <c r="N154" t="s">
        <v>35</v>
      </c>
      <c r="O154">
        <f t="shared" si="4"/>
        <v>9750</v>
      </c>
      <c r="P154" s="13">
        <f t="shared" si="5"/>
        <v>2753348</v>
      </c>
      <c r="Q154" s="13">
        <f>SUMIFS(M:M,E:E,Online_eCommerce[[#This Row],[Status]])</f>
        <v>28620410</v>
      </c>
      <c r="R154" s="13">
        <f>SUMIFS(L:L,H:H,Online_eCommerce[[#This Row],[Brand]])</f>
        <v>12435650</v>
      </c>
      <c r="S154" s="13">
        <f>SUMIF(H:H,Online_eCommerce[[#This Row],[Brand]],M:M)</f>
        <v>16166345</v>
      </c>
      <c r="T154" s="13">
        <f>SUMIF(N:N,Online_eCommerce[[#This Row],[Assigned Supervisor]],L:L)</f>
        <v>14373360</v>
      </c>
    </row>
    <row r="155" spans="1:20" hidden="1" x14ac:dyDescent="0.3">
      <c r="A155" t="s">
        <v>431</v>
      </c>
      <c r="B155" t="s">
        <v>144</v>
      </c>
      <c r="C155" t="s">
        <v>160</v>
      </c>
      <c r="D155" t="s">
        <v>416</v>
      </c>
      <c r="E155" t="s">
        <v>96</v>
      </c>
      <c r="F155" t="s">
        <v>395</v>
      </c>
      <c r="G155" t="s">
        <v>40</v>
      </c>
      <c r="H155" t="s">
        <v>21</v>
      </c>
      <c r="I155">
        <v>2650</v>
      </c>
      <c r="J155">
        <v>3445</v>
      </c>
      <c r="K155">
        <v>4</v>
      </c>
      <c r="L155">
        <v>10600</v>
      </c>
      <c r="M155">
        <v>13780</v>
      </c>
      <c r="N155" t="s">
        <v>42</v>
      </c>
      <c r="O155">
        <f t="shared" si="4"/>
        <v>25545</v>
      </c>
      <c r="P155" s="13">
        <f t="shared" si="5"/>
        <v>2303483</v>
      </c>
      <c r="Q155" s="13">
        <f>SUMIFS(M:M,E:E,Online_eCommerce[[#This Row],[Status]])</f>
        <v>21233992</v>
      </c>
      <c r="R155" s="13">
        <f>SUMIFS(L:L,H:H,Online_eCommerce[[#This Row],[Brand]])</f>
        <v>12435650</v>
      </c>
      <c r="S155" s="13">
        <f>SUMIF(H:H,Online_eCommerce[[#This Row],[Brand]],M:M)</f>
        <v>16166345</v>
      </c>
      <c r="T155" s="13">
        <f>SUMIF(N:N,Online_eCommerce[[#This Row],[Assigned Supervisor]],L:L)</f>
        <v>12261500</v>
      </c>
    </row>
    <row r="156" spans="1:20" hidden="1" x14ac:dyDescent="0.3">
      <c r="A156" t="s">
        <v>432</v>
      </c>
      <c r="B156" t="s">
        <v>149</v>
      </c>
      <c r="C156" t="s">
        <v>165</v>
      </c>
      <c r="D156" t="s">
        <v>416</v>
      </c>
      <c r="E156" t="s">
        <v>18</v>
      </c>
      <c r="F156" t="s">
        <v>121</v>
      </c>
      <c r="G156" t="s">
        <v>71</v>
      </c>
      <c r="H156" t="s">
        <v>122</v>
      </c>
      <c r="I156">
        <v>12550</v>
      </c>
      <c r="J156">
        <v>16315</v>
      </c>
      <c r="K156">
        <v>4</v>
      </c>
      <c r="L156">
        <v>50200</v>
      </c>
      <c r="M156">
        <v>65260</v>
      </c>
      <c r="N156" t="s">
        <v>50</v>
      </c>
      <c r="O156">
        <f t="shared" si="4"/>
        <v>9750</v>
      </c>
      <c r="P156" s="13">
        <f t="shared" si="5"/>
        <v>2674087</v>
      </c>
      <c r="Q156" s="13">
        <f>SUMIFS(M:M,E:E,Online_eCommerce[[#This Row],[Status]])</f>
        <v>28340455</v>
      </c>
      <c r="R156" s="13">
        <f>SUMIFS(L:L,H:H,Online_eCommerce[[#This Row],[Brand]])</f>
        <v>5045100</v>
      </c>
      <c r="S156" s="13">
        <f>SUMIF(H:H,Online_eCommerce[[#This Row],[Brand]],M:M)</f>
        <v>6558630</v>
      </c>
      <c r="T156" s="13">
        <f>SUMIF(N:N,Online_eCommerce[[#This Row],[Assigned Supervisor]],L:L)</f>
        <v>12100590</v>
      </c>
    </row>
    <row r="157" spans="1:20" hidden="1" x14ac:dyDescent="0.3">
      <c r="A157" t="s">
        <v>433</v>
      </c>
      <c r="B157" t="s">
        <v>154</v>
      </c>
      <c r="C157" t="s">
        <v>168</v>
      </c>
      <c r="D157" t="s">
        <v>416</v>
      </c>
      <c r="E157" t="s">
        <v>161</v>
      </c>
      <c r="F157" t="s">
        <v>126</v>
      </c>
      <c r="G157" t="s">
        <v>26</v>
      </c>
      <c r="H157" t="s">
        <v>27</v>
      </c>
      <c r="I157">
        <v>14500</v>
      </c>
      <c r="J157">
        <v>18850</v>
      </c>
      <c r="K157">
        <v>1</v>
      </c>
      <c r="L157">
        <v>14500</v>
      </c>
      <c r="M157">
        <v>18850</v>
      </c>
      <c r="N157" t="s">
        <v>56</v>
      </c>
      <c r="O157">
        <f t="shared" si="4"/>
        <v>33150</v>
      </c>
      <c r="P157" s="13">
        <f t="shared" si="5"/>
        <v>1937780</v>
      </c>
      <c r="Q157" s="13">
        <f>SUMIFS(M:M,E:E,Online_eCommerce[[#This Row],[Status]])</f>
        <v>21103186</v>
      </c>
      <c r="R157" s="13">
        <f>SUMIFS(L:L,H:H,Online_eCommerce[[#This Row],[Brand]])</f>
        <v>14431000</v>
      </c>
      <c r="S157" s="13">
        <f>SUMIF(H:H,Online_eCommerce[[#This Row],[Brand]],M:M)</f>
        <v>18760300</v>
      </c>
      <c r="T157" s="13">
        <f>SUMIF(N:N,Online_eCommerce[[#This Row],[Assigned Supervisor]],L:L)</f>
        <v>11733610</v>
      </c>
    </row>
    <row r="158" spans="1:20" x14ac:dyDescent="0.3">
      <c r="A158" t="s">
        <v>434</v>
      </c>
      <c r="B158" t="s">
        <v>159</v>
      </c>
      <c r="C158" t="s">
        <v>172</v>
      </c>
      <c r="D158" t="s">
        <v>435</v>
      </c>
      <c r="E158" t="s">
        <v>46</v>
      </c>
      <c r="F158" t="s">
        <v>129</v>
      </c>
      <c r="G158" t="s">
        <v>60</v>
      </c>
      <c r="H158" t="s">
        <v>61</v>
      </c>
      <c r="I158">
        <v>800</v>
      </c>
      <c r="J158">
        <v>1040</v>
      </c>
      <c r="K158">
        <v>4</v>
      </c>
      <c r="L158">
        <v>3200</v>
      </c>
      <c r="M158">
        <v>4160</v>
      </c>
      <c r="N158" t="s">
        <v>22</v>
      </c>
      <c r="O158">
        <f t="shared" si="4"/>
        <v>3315</v>
      </c>
      <c r="P158" s="13">
        <f t="shared" si="5"/>
        <v>2640274</v>
      </c>
      <c r="Q158" s="13">
        <f>SUMIFS(M:M,E:E,Online_eCommerce[[#This Row],[Status]])</f>
        <v>28620410</v>
      </c>
      <c r="R158" s="13">
        <f>SUMIFS(L:L,H:H,Online_eCommerce[[#This Row],[Brand]])</f>
        <v>10950150</v>
      </c>
      <c r="S158" s="13">
        <f>SUMIF(H:H,Online_eCommerce[[#This Row],[Brand]],M:M)</f>
        <v>14235195</v>
      </c>
      <c r="T158" s="13">
        <f>SUMIF(N:N,Online_eCommerce[[#This Row],[Assigned Supervisor]],L:L)</f>
        <v>13693220</v>
      </c>
    </row>
    <row r="159" spans="1:20" hidden="1" x14ac:dyDescent="0.3">
      <c r="A159" t="s">
        <v>436</v>
      </c>
      <c r="B159" t="s">
        <v>139</v>
      </c>
      <c r="C159" t="s">
        <v>177</v>
      </c>
      <c r="D159" t="s">
        <v>435</v>
      </c>
      <c r="E159" t="s">
        <v>96</v>
      </c>
      <c r="F159" t="s">
        <v>133</v>
      </c>
      <c r="G159" t="s">
        <v>66</v>
      </c>
      <c r="H159" t="s">
        <v>21</v>
      </c>
      <c r="I159">
        <v>600</v>
      </c>
      <c r="J159">
        <v>780</v>
      </c>
      <c r="K159">
        <v>2</v>
      </c>
      <c r="L159">
        <v>1200</v>
      </c>
      <c r="M159">
        <v>1560</v>
      </c>
      <c r="N159" t="s">
        <v>28</v>
      </c>
      <c r="O159">
        <f t="shared" si="4"/>
        <v>1690</v>
      </c>
      <c r="P159" s="13">
        <f t="shared" si="5"/>
        <v>1863810</v>
      </c>
      <c r="Q159" s="13">
        <f>SUMIFS(M:M,E:E,Online_eCommerce[[#This Row],[Status]])</f>
        <v>21233992</v>
      </c>
      <c r="R159" s="13">
        <f>SUMIFS(L:L,H:H,Online_eCommerce[[#This Row],[Brand]])</f>
        <v>12435650</v>
      </c>
      <c r="S159" s="13">
        <f>SUMIF(H:H,Online_eCommerce[[#This Row],[Brand]],M:M)</f>
        <v>16166345</v>
      </c>
      <c r="T159" s="13">
        <f>SUMIF(N:N,Online_eCommerce[[#This Row],[Assigned Supervisor]],L:L)</f>
        <v>12220830</v>
      </c>
    </row>
    <row r="160" spans="1:20" hidden="1" x14ac:dyDescent="0.3">
      <c r="A160" t="s">
        <v>437</v>
      </c>
      <c r="B160" t="s">
        <v>144</v>
      </c>
      <c r="C160" t="s">
        <v>181</v>
      </c>
      <c r="D160" t="s">
        <v>435</v>
      </c>
      <c r="E160" t="s">
        <v>18</v>
      </c>
      <c r="F160" t="s">
        <v>137</v>
      </c>
      <c r="G160" t="s">
        <v>71</v>
      </c>
      <c r="H160" t="s">
        <v>61</v>
      </c>
      <c r="I160">
        <v>10500</v>
      </c>
      <c r="J160">
        <v>13650</v>
      </c>
      <c r="K160">
        <v>1</v>
      </c>
      <c r="L160">
        <v>10500</v>
      </c>
      <c r="M160">
        <v>13650</v>
      </c>
      <c r="N160" t="s">
        <v>35</v>
      </c>
      <c r="O160">
        <f t="shared" si="4"/>
        <v>9750</v>
      </c>
      <c r="P160" s="13">
        <f t="shared" si="5"/>
        <v>2577458</v>
      </c>
      <c r="Q160" s="13">
        <f>SUMIFS(M:M,E:E,Online_eCommerce[[#This Row],[Status]])</f>
        <v>28340455</v>
      </c>
      <c r="R160" s="13">
        <f>SUMIFS(L:L,H:H,Online_eCommerce[[#This Row],[Brand]])</f>
        <v>10950150</v>
      </c>
      <c r="S160" s="13">
        <f>SUMIF(H:H,Online_eCommerce[[#This Row],[Brand]],M:M)</f>
        <v>14235195</v>
      </c>
      <c r="T160" s="13">
        <f>SUMIF(N:N,Online_eCommerce[[#This Row],[Assigned Supervisor]],L:L)</f>
        <v>14373360</v>
      </c>
    </row>
    <row r="161" spans="1:20" hidden="1" x14ac:dyDescent="0.3">
      <c r="A161" t="s">
        <v>438</v>
      </c>
      <c r="B161" t="s">
        <v>171</v>
      </c>
      <c r="C161" t="s">
        <v>185</v>
      </c>
      <c r="D161" t="s">
        <v>435</v>
      </c>
      <c r="E161" t="s">
        <v>161</v>
      </c>
      <c r="F161" t="s">
        <v>404</v>
      </c>
      <c r="G161" t="s">
        <v>77</v>
      </c>
      <c r="H161" t="s">
        <v>142</v>
      </c>
      <c r="I161">
        <v>6500</v>
      </c>
      <c r="J161">
        <v>8450</v>
      </c>
      <c r="K161">
        <v>3</v>
      </c>
      <c r="L161">
        <v>19500</v>
      </c>
      <c r="M161">
        <v>25350</v>
      </c>
      <c r="N161" t="s">
        <v>42</v>
      </c>
      <c r="O161">
        <f t="shared" si="4"/>
        <v>39000</v>
      </c>
      <c r="P161" s="13">
        <f t="shared" si="5"/>
        <v>2091596</v>
      </c>
      <c r="Q161" s="13">
        <f>SUMIFS(M:M,E:E,Online_eCommerce[[#This Row],[Status]])</f>
        <v>21103186</v>
      </c>
      <c r="R161" s="13">
        <f>SUMIFS(L:L,H:H,Online_eCommerce[[#This Row],[Brand]])</f>
        <v>6192500</v>
      </c>
      <c r="S161" s="13">
        <f>SUMIF(H:H,Online_eCommerce[[#This Row],[Brand]],M:M)</f>
        <v>8050250</v>
      </c>
      <c r="T161" s="13">
        <f>SUMIF(N:N,Online_eCommerce[[#This Row],[Assigned Supervisor]],L:L)</f>
        <v>12261500</v>
      </c>
    </row>
    <row r="162" spans="1:20" x14ac:dyDescent="0.3">
      <c r="A162" t="s">
        <v>439</v>
      </c>
      <c r="B162" t="s">
        <v>176</v>
      </c>
      <c r="C162" t="s">
        <v>189</v>
      </c>
      <c r="D162" t="s">
        <v>435</v>
      </c>
      <c r="E162" t="s">
        <v>46</v>
      </c>
      <c r="F162" t="s">
        <v>440</v>
      </c>
      <c r="G162" t="s">
        <v>20</v>
      </c>
      <c r="H162" t="s">
        <v>21</v>
      </c>
      <c r="I162">
        <v>4500</v>
      </c>
      <c r="J162">
        <v>5850</v>
      </c>
      <c r="K162">
        <v>1</v>
      </c>
      <c r="L162">
        <v>4500</v>
      </c>
      <c r="M162">
        <v>5850</v>
      </c>
      <c r="N162" t="s">
        <v>50</v>
      </c>
      <c r="O162">
        <f t="shared" si="4"/>
        <v>8450</v>
      </c>
      <c r="P162" s="13">
        <f t="shared" si="5"/>
        <v>2740777</v>
      </c>
      <c r="Q162" s="13">
        <f>SUMIFS(M:M,E:E,Online_eCommerce[[#This Row],[Status]])</f>
        <v>28620410</v>
      </c>
      <c r="R162" s="13">
        <f>SUMIFS(L:L,H:H,Online_eCommerce[[#This Row],[Brand]])</f>
        <v>12435650</v>
      </c>
      <c r="S162" s="13">
        <f>SUMIF(H:H,Online_eCommerce[[#This Row],[Brand]],M:M)</f>
        <v>16166345</v>
      </c>
      <c r="T162" s="13">
        <f>SUMIF(N:N,Online_eCommerce[[#This Row],[Assigned Supervisor]],L:L)</f>
        <v>12100590</v>
      </c>
    </row>
    <row r="163" spans="1:20" hidden="1" x14ac:dyDescent="0.3">
      <c r="A163" t="s">
        <v>441</v>
      </c>
      <c r="B163" t="s">
        <v>276</v>
      </c>
      <c r="C163" t="s">
        <v>193</v>
      </c>
      <c r="D163" t="s">
        <v>435</v>
      </c>
      <c r="E163" t="s">
        <v>96</v>
      </c>
      <c r="F163" t="s">
        <v>152</v>
      </c>
      <c r="G163" t="s">
        <v>26</v>
      </c>
      <c r="H163" t="s">
        <v>27</v>
      </c>
      <c r="I163">
        <v>8500</v>
      </c>
      <c r="J163">
        <v>11050</v>
      </c>
      <c r="K163">
        <v>4</v>
      </c>
      <c r="L163">
        <v>34000</v>
      </c>
      <c r="M163">
        <v>44200</v>
      </c>
      <c r="N163" t="s">
        <v>56</v>
      </c>
      <c r="O163">
        <f t="shared" si="4"/>
        <v>33150</v>
      </c>
      <c r="P163" s="13">
        <f t="shared" si="5"/>
        <v>2074774</v>
      </c>
      <c r="Q163" s="13">
        <f>SUMIFS(M:M,E:E,Online_eCommerce[[#This Row],[Status]])</f>
        <v>21233992</v>
      </c>
      <c r="R163" s="13">
        <f>SUMIFS(L:L,H:H,Online_eCommerce[[#This Row],[Brand]])</f>
        <v>14431000</v>
      </c>
      <c r="S163" s="13">
        <f>SUMIF(H:H,Online_eCommerce[[#This Row],[Brand]],M:M)</f>
        <v>18760300</v>
      </c>
      <c r="T163" s="13">
        <f>SUMIF(N:N,Online_eCommerce[[#This Row],[Assigned Supervisor]],L:L)</f>
        <v>11733610</v>
      </c>
    </row>
    <row r="164" spans="1:20" hidden="1" x14ac:dyDescent="0.3">
      <c r="A164" t="s">
        <v>442</v>
      </c>
      <c r="B164" t="s">
        <v>276</v>
      </c>
      <c r="C164" t="s">
        <v>197</v>
      </c>
      <c r="D164" t="s">
        <v>435</v>
      </c>
      <c r="E164" t="s">
        <v>18</v>
      </c>
      <c r="F164" t="s">
        <v>157</v>
      </c>
      <c r="G164" t="s">
        <v>33</v>
      </c>
      <c r="H164" t="s">
        <v>34</v>
      </c>
      <c r="I164">
        <v>12500</v>
      </c>
      <c r="J164">
        <v>16250</v>
      </c>
      <c r="K164">
        <v>1</v>
      </c>
      <c r="L164">
        <v>12500</v>
      </c>
      <c r="M164">
        <v>16250</v>
      </c>
      <c r="N164" t="s">
        <v>22</v>
      </c>
      <c r="O164">
        <f t="shared" si="4"/>
        <v>18200</v>
      </c>
      <c r="P164" s="13">
        <f t="shared" si="5"/>
        <v>2829840</v>
      </c>
      <c r="Q164" s="13">
        <f>SUMIFS(M:M,E:E,Online_eCommerce[[#This Row],[Status]])</f>
        <v>28340455</v>
      </c>
      <c r="R164" s="13">
        <f>SUMIFS(L:L,H:H,Online_eCommerce[[#This Row],[Brand]])</f>
        <v>10087000</v>
      </c>
      <c r="S164" s="13">
        <f>SUMIF(H:H,Online_eCommerce[[#This Row],[Brand]],M:M)</f>
        <v>13113100</v>
      </c>
      <c r="T164" s="13">
        <f>SUMIF(N:N,Online_eCommerce[[#This Row],[Assigned Supervisor]],L:L)</f>
        <v>13693220</v>
      </c>
    </row>
    <row r="165" spans="1:20" hidden="1" x14ac:dyDescent="0.3">
      <c r="A165" t="s">
        <v>443</v>
      </c>
      <c r="B165" t="s">
        <v>276</v>
      </c>
      <c r="C165" t="s">
        <v>199</v>
      </c>
      <c r="D165" t="s">
        <v>435</v>
      </c>
      <c r="E165" t="s">
        <v>161</v>
      </c>
      <c r="F165" t="s">
        <v>444</v>
      </c>
      <c r="G165" t="s">
        <v>256</v>
      </c>
      <c r="H165" t="s">
        <v>41</v>
      </c>
      <c r="I165">
        <v>3500</v>
      </c>
      <c r="J165">
        <v>4550</v>
      </c>
      <c r="K165">
        <v>2</v>
      </c>
      <c r="L165">
        <v>7000</v>
      </c>
      <c r="M165">
        <v>9100</v>
      </c>
      <c r="N165" t="s">
        <v>28</v>
      </c>
      <c r="O165">
        <f t="shared" si="4"/>
        <v>9100</v>
      </c>
      <c r="P165" s="13">
        <f t="shared" si="5"/>
        <v>1947361</v>
      </c>
      <c r="Q165" s="13">
        <f>SUMIFS(M:M,E:E,Online_eCommerce[[#This Row],[Status]])</f>
        <v>21103186</v>
      </c>
      <c r="R165" s="13">
        <f>SUMIFS(L:L,H:H,Online_eCommerce[[#This Row],[Brand]])</f>
        <v>4260400</v>
      </c>
      <c r="S165" s="13">
        <f>SUMIF(H:H,Online_eCommerce[[#This Row],[Brand]],M:M)</f>
        <v>5538520</v>
      </c>
      <c r="T165" s="13">
        <f>SUMIF(N:N,Online_eCommerce[[#This Row],[Assigned Supervisor]],L:L)</f>
        <v>12220830</v>
      </c>
    </row>
    <row r="166" spans="1:20" x14ac:dyDescent="0.3">
      <c r="A166" t="s">
        <v>445</v>
      </c>
      <c r="B166" t="s">
        <v>276</v>
      </c>
      <c r="C166" t="s">
        <v>203</v>
      </c>
      <c r="D166" t="s">
        <v>435</v>
      </c>
      <c r="E166" t="s">
        <v>46</v>
      </c>
      <c r="F166" t="s">
        <v>166</v>
      </c>
      <c r="G166" t="s">
        <v>259</v>
      </c>
      <c r="H166" t="s">
        <v>49</v>
      </c>
      <c r="I166">
        <v>4500</v>
      </c>
      <c r="J166">
        <v>5850</v>
      </c>
      <c r="K166">
        <v>3</v>
      </c>
      <c r="L166">
        <v>13500</v>
      </c>
      <c r="M166">
        <v>17550</v>
      </c>
      <c r="N166" t="s">
        <v>35</v>
      </c>
      <c r="O166">
        <f t="shared" si="4"/>
        <v>11700</v>
      </c>
      <c r="P166" s="13">
        <f t="shared" si="5"/>
        <v>2559635</v>
      </c>
      <c r="Q166" s="13">
        <f>SUMIFS(M:M,E:E,Online_eCommerce[[#This Row],[Status]])</f>
        <v>28620410</v>
      </c>
      <c r="R166" s="13">
        <f>SUMIFS(L:L,H:H,Online_eCommerce[[#This Row],[Brand]])</f>
        <v>4528350</v>
      </c>
      <c r="S166" s="13">
        <f>SUMIF(H:H,Online_eCommerce[[#This Row],[Brand]],M:M)</f>
        <v>5886855</v>
      </c>
      <c r="T166" s="13">
        <f>SUMIF(N:N,Online_eCommerce[[#This Row],[Assigned Supervisor]],L:L)</f>
        <v>14373360</v>
      </c>
    </row>
    <row r="167" spans="1:20" hidden="1" x14ac:dyDescent="0.3">
      <c r="A167" t="s">
        <v>446</v>
      </c>
      <c r="B167" t="s">
        <v>276</v>
      </c>
      <c r="C167" t="s">
        <v>205</v>
      </c>
      <c r="D167" t="s">
        <v>435</v>
      </c>
      <c r="E167" t="s">
        <v>96</v>
      </c>
      <c r="F167" t="s">
        <v>447</v>
      </c>
      <c r="G167" t="s">
        <v>54</v>
      </c>
      <c r="H167" t="s">
        <v>55</v>
      </c>
      <c r="I167">
        <v>2100</v>
      </c>
      <c r="J167">
        <v>2730</v>
      </c>
      <c r="K167">
        <v>4</v>
      </c>
      <c r="L167">
        <v>8400</v>
      </c>
      <c r="M167">
        <v>10920</v>
      </c>
      <c r="N167" t="s">
        <v>42</v>
      </c>
      <c r="O167">
        <f t="shared" si="4"/>
        <v>2990</v>
      </c>
      <c r="P167" s="13">
        <f t="shared" si="5"/>
        <v>1983254</v>
      </c>
      <c r="Q167" s="13">
        <f>SUMIFS(M:M,E:E,Online_eCommerce[[#This Row],[Status]])</f>
        <v>21233992</v>
      </c>
      <c r="R167" s="13">
        <f>SUMIFS(L:L,H:H,Online_eCommerce[[#This Row],[Brand]])</f>
        <v>2267380</v>
      </c>
      <c r="S167" s="13">
        <f>SUMIF(H:H,Online_eCommerce[[#This Row],[Brand]],M:M)</f>
        <v>2947594</v>
      </c>
      <c r="T167" s="13">
        <f>SUMIF(N:N,Online_eCommerce[[#This Row],[Assigned Supervisor]],L:L)</f>
        <v>12261500</v>
      </c>
    </row>
    <row r="168" spans="1:20" hidden="1" x14ac:dyDescent="0.3">
      <c r="A168" t="s">
        <v>448</v>
      </c>
      <c r="B168" t="s">
        <v>276</v>
      </c>
      <c r="C168" t="s">
        <v>208</v>
      </c>
      <c r="D168" t="s">
        <v>435</v>
      </c>
      <c r="E168" t="s">
        <v>18</v>
      </c>
      <c r="F168" t="s">
        <v>174</v>
      </c>
      <c r="G168" t="s">
        <v>60</v>
      </c>
      <c r="H168" t="s">
        <v>61</v>
      </c>
      <c r="I168">
        <v>1150</v>
      </c>
      <c r="J168">
        <v>1495</v>
      </c>
      <c r="K168">
        <v>3</v>
      </c>
      <c r="L168">
        <v>3450</v>
      </c>
      <c r="M168">
        <v>4485</v>
      </c>
      <c r="N168" t="s">
        <v>50</v>
      </c>
      <c r="O168">
        <f t="shared" si="4"/>
        <v>3315</v>
      </c>
      <c r="P168" s="13">
        <f t="shared" si="5"/>
        <v>2746575</v>
      </c>
      <c r="Q168" s="13">
        <f>SUMIFS(M:M,E:E,Online_eCommerce[[#This Row],[Status]])</f>
        <v>28340455</v>
      </c>
      <c r="R168" s="13">
        <f>SUMIFS(L:L,H:H,Online_eCommerce[[#This Row],[Brand]])</f>
        <v>10950150</v>
      </c>
      <c r="S168" s="13">
        <f>SUMIF(H:H,Online_eCommerce[[#This Row],[Brand]],M:M)</f>
        <v>14235195</v>
      </c>
      <c r="T168" s="13">
        <f>SUMIF(N:N,Online_eCommerce[[#This Row],[Assigned Supervisor]],L:L)</f>
        <v>12100590</v>
      </c>
    </row>
    <row r="169" spans="1:20" hidden="1" x14ac:dyDescent="0.3">
      <c r="A169" t="s">
        <v>449</v>
      </c>
      <c r="B169" t="s">
        <v>128</v>
      </c>
      <c r="C169" t="s">
        <v>211</v>
      </c>
      <c r="D169" t="s">
        <v>435</v>
      </c>
      <c r="E169" t="s">
        <v>161</v>
      </c>
      <c r="F169" t="s">
        <v>179</v>
      </c>
      <c r="G169" t="s">
        <v>66</v>
      </c>
      <c r="H169" t="s">
        <v>21</v>
      </c>
      <c r="I169">
        <v>350</v>
      </c>
      <c r="J169">
        <v>455</v>
      </c>
      <c r="K169">
        <v>4</v>
      </c>
      <c r="L169">
        <v>1400</v>
      </c>
      <c r="M169">
        <v>1820</v>
      </c>
      <c r="N169" t="s">
        <v>56</v>
      </c>
      <c r="O169">
        <f t="shared" si="4"/>
        <v>1690</v>
      </c>
      <c r="P169" s="13">
        <f t="shared" si="5"/>
        <v>1809847</v>
      </c>
      <c r="Q169" s="13">
        <f>SUMIFS(M:M,E:E,Online_eCommerce[[#This Row],[Status]])</f>
        <v>21103186</v>
      </c>
      <c r="R169" s="13">
        <f>SUMIFS(L:L,H:H,Online_eCommerce[[#This Row],[Brand]])</f>
        <v>12435650</v>
      </c>
      <c r="S169" s="13">
        <f>SUMIF(H:H,Online_eCommerce[[#This Row],[Brand]],M:M)</f>
        <v>16166345</v>
      </c>
      <c r="T169" s="13">
        <f>SUMIF(N:N,Online_eCommerce[[#This Row],[Assigned Supervisor]],L:L)</f>
        <v>11733610</v>
      </c>
    </row>
    <row r="170" spans="1:20" x14ac:dyDescent="0.3">
      <c r="A170" t="s">
        <v>450</v>
      </c>
      <c r="B170" t="s">
        <v>131</v>
      </c>
      <c r="C170" t="s">
        <v>16</v>
      </c>
      <c r="D170" t="s">
        <v>435</v>
      </c>
      <c r="E170" t="s">
        <v>46</v>
      </c>
      <c r="F170" t="s">
        <v>183</v>
      </c>
      <c r="G170" t="s">
        <v>71</v>
      </c>
      <c r="H170" t="s">
        <v>61</v>
      </c>
      <c r="I170">
        <v>9500</v>
      </c>
      <c r="J170">
        <v>12350</v>
      </c>
      <c r="K170">
        <v>4</v>
      </c>
      <c r="L170">
        <v>38000</v>
      </c>
      <c r="M170">
        <v>49400</v>
      </c>
      <c r="N170" t="s">
        <v>22</v>
      </c>
      <c r="O170">
        <f t="shared" si="4"/>
        <v>9750</v>
      </c>
      <c r="P170" s="13">
        <f t="shared" si="5"/>
        <v>2751814</v>
      </c>
      <c r="Q170" s="13">
        <f>SUMIFS(M:M,E:E,Online_eCommerce[[#This Row],[Status]])</f>
        <v>28620410</v>
      </c>
      <c r="R170" s="13">
        <f>SUMIFS(L:L,H:H,Online_eCommerce[[#This Row],[Brand]])</f>
        <v>10950150</v>
      </c>
      <c r="S170" s="13">
        <f>SUMIF(H:H,Online_eCommerce[[#This Row],[Brand]],M:M)</f>
        <v>14235195</v>
      </c>
      <c r="T170" s="13">
        <f>SUMIF(N:N,Online_eCommerce[[#This Row],[Assigned Supervisor]],L:L)</f>
        <v>13693220</v>
      </c>
    </row>
    <row r="171" spans="1:20" hidden="1" x14ac:dyDescent="0.3">
      <c r="A171" t="s">
        <v>451</v>
      </c>
      <c r="B171" t="s">
        <v>135</v>
      </c>
      <c r="C171" t="s">
        <v>24</v>
      </c>
      <c r="D171" t="s">
        <v>435</v>
      </c>
      <c r="E171" t="s">
        <v>96</v>
      </c>
      <c r="F171" t="s">
        <v>452</v>
      </c>
      <c r="G171" t="s">
        <v>77</v>
      </c>
      <c r="H171" t="s">
        <v>142</v>
      </c>
      <c r="I171">
        <v>10000</v>
      </c>
      <c r="J171">
        <v>13000</v>
      </c>
      <c r="K171">
        <v>2</v>
      </c>
      <c r="L171">
        <v>20000</v>
      </c>
      <c r="M171">
        <v>26000</v>
      </c>
      <c r="N171" t="s">
        <v>28</v>
      </c>
      <c r="O171">
        <f t="shared" si="4"/>
        <v>39000</v>
      </c>
      <c r="P171" s="13">
        <f t="shared" si="5"/>
        <v>2009540</v>
      </c>
      <c r="Q171" s="13">
        <f>SUMIFS(M:M,E:E,Online_eCommerce[[#This Row],[Status]])</f>
        <v>21233992</v>
      </c>
      <c r="R171" s="13">
        <f>SUMIFS(L:L,H:H,Online_eCommerce[[#This Row],[Brand]])</f>
        <v>6192500</v>
      </c>
      <c r="S171" s="13">
        <f>SUMIF(H:H,Online_eCommerce[[#This Row],[Brand]],M:M)</f>
        <v>8050250</v>
      </c>
      <c r="T171" s="13">
        <f>SUMIF(N:N,Online_eCommerce[[#This Row],[Assigned Supervisor]],L:L)</f>
        <v>12220830</v>
      </c>
    </row>
    <row r="172" spans="1:20" hidden="1" x14ac:dyDescent="0.3">
      <c r="A172" t="s">
        <v>453</v>
      </c>
      <c r="B172" t="s">
        <v>139</v>
      </c>
      <c r="C172" t="s">
        <v>31</v>
      </c>
      <c r="D172" t="s">
        <v>435</v>
      </c>
      <c r="E172" t="s">
        <v>18</v>
      </c>
      <c r="F172" t="s">
        <v>454</v>
      </c>
      <c r="G172" t="s">
        <v>20</v>
      </c>
      <c r="H172" t="s">
        <v>21</v>
      </c>
      <c r="I172">
        <v>6500</v>
      </c>
      <c r="J172">
        <v>8450</v>
      </c>
      <c r="K172">
        <v>4</v>
      </c>
      <c r="L172">
        <v>26000</v>
      </c>
      <c r="M172">
        <v>33800</v>
      </c>
      <c r="N172" t="s">
        <v>35</v>
      </c>
      <c r="O172">
        <f t="shared" si="4"/>
        <v>8450</v>
      </c>
      <c r="P172" s="13">
        <f t="shared" si="5"/>
        <v>2865746</v>
      </c>
      <c r="Q172" s="13">
        <f>SUMIFS(M:M,E:E,Online_eCommerce[[#This Row],[Status]])</f>
        <v>28340455</v>
      </c>
      <c r="R172" s="13">
        <f>SUMIFS(L:L,H:H,Online_eCommerce[[#This Row],[Brand]])</f>
        <v>12435650</v>
      </c>
      <c r="S172" s="13">
        <f>SUMIF(H:H,Online_eCommerce[[#This Row],[Brand]],M:M)</f>
        <v>16166345</v>
      </c>
      <c r="T172" s="13">
        <f>SUMIF(N:N,Online_eCommerce[[#This Row],[Assigned Supervisor]],L:L)</f>
        <v>14373360</v>
      </c>
    </row>
    <row r="173" spans="1:20" hidden="1" x14ac:dyDescent="0.3">
      <c r="A173" t="s">
        <v>455</v>
      </c>
      <c r="B173" t="s">
        <v>144</v>
      </c>
      <c r="C173" t="s">
        <v>38</v>
      </c>
      <c r="D173" t="s">
        <v>435</v>
      </c>
      <c r="E173" t="s">
        <v>161</v>
      </c>
      <c r="F173" t="s">
        <v>456</v>
      </c>
      <c r="G173" t="s">
        <v>26</v>
      </c>
      <c r="H173" t="s">
        <v>27</v>
      </c>
      <c r="I173">
        <v>8500</v>
      </c>
      <c r="J173">
        <v>11050</v>
      </c>
      <c r="K173">
        <v>2</v>
      </c>
      <c r="L173">
        <v>17000</v>
      </c>
      <c r="M173">
        <v>22100</v>
      </c>
      <c r="N173" t="s">
        <v>42</v>
      </c>
      <c r="O173">
        <f t="shared" si="4"/>
        <v>33150</v>
      </c>
      <c r="P173" s="13">
        <f t="shared" si="5"/>
        <v>1933997</v>
      </c>
      <c r="Q173" s="13">
        <f>SUMIFS(M:M,E:E,Online_eCommerce[[#This Row],[Status]])</f>
        <v>21103186</v>
      </c>
      <c r="R173" s="13">
        <f>SUMIFS(L:L,H:H,Online_eCommerce[[#This Row],[Brand]])</f>
        <v>14431000</v>
      </c>
      <c r="S173" s="13">
        <f>SUMIF(H:H,Online_eCommerce[[#This Row],[Brand]],M:M)</f>
        <v>18760300</v>
      </c>
      <c r="T173" s="13">
        <f>SUMIF(N:N,Online_eCommerce[[#This Row],[Assigned Supervisor]],L:L)</f>
        <v>12261500</v>
      </c>
    </row>
    <row r="174" spans="1:20" x14ac:dyDescent="0.3">
      <c r="A174" t="s">
        <v>457</v>
      </c>
      <c r="B174" t="s">
        <v>149</v>
      </c>
      <c r="C174" t="s">
        <v>45</v>
      </c>
      <c r="D174" t="s">
        <v>435</v>
      </c>
      <c r="E174" t="s">
        <v>46</v>
      </c>
      <c r="F174" t="s">
        <v>32</v>
      </c>
      <c r="G174" t="s">
        <v>33</v>
      </c>
      <c r="H174" t="s">
        <v>34</v>
      </c>
      <c r="I174">
        <v>7000</v>
      </c>
      <c r="J174">
        <v>9100</v>
      </c>
      <c r="K174">
        <v>3</v>
      </c>
      <c r="L174">
        <v>21000</v>
      </c>
      <c r="M174">
        <v>27300</v>
      </c>
      <c r="N174" t="s">
        <v>50</v>
      </c>
      <c r="O174">
        <f t="shared" si="4"/>
        <v>18200</v>
      </c>
      <c r="P174" s="13">
        <f t="shared" si="5"/>
        <v>2842554</v>
      </c>
      <c r="Q174" s="13">
        <f>SUMIFS(M:M,E:E,Online_eCommerce[[#This Row],[Status]])</f>
        <v>28620410</v>
      </c>
      <c r="R174" s="13">
        <f>SUMIFS(L:L,H:H,Online_eCommerce[[#This Row],[Brand]])</f>
        <v>10087000</v>
      </c>
      <c r="S174" s="13">
        <f>SUMIF(H:H,Online_eCommerce[[#This Row],[Brand]],M:M)</f>
        <v>13113100</v>
      </c>
      <c r="T174" s="13">
        <f>SUMIF(N:N,Online_eCommerce[[#This Row],[Assigned Supervisor]],L:L)</f>
        <v>12100590</v>
      </c>
    </row>
    <row r="175" spans="1:20" hidden="1" x14ac:dyDescent="0.3">
      <c r="A175" t="s">
        <v>458</v>
      </c>
      <c r="B175" t="s">
        <v>154</v>
      </c>
      <c r="C175" t="s">
        <v>52</v>
      </c>
      <c r="D175" t="s">
        <v>435</v>
      </c>
      <c r="E175" t="s">
        <v>96</v>
      </c>
      <c r="F175" t="s">
        <v>459</v>
      </c>
      <c r="G175" t="s">
        <v>256</v>
      </c>
      <c r="H175" t="s">
        <v>41</v>
      </c>
      <c r="I175">
        <v>6550</v>
      </c>
      <c r="J175">
        <v>8515</v>
      </c>
      <c r="K175">
        <v>2</v>
      </c>
      <c r="L175">
        <v>13100</v>
      </c>
      <c r="M175">
        <v>17030</v>
      </c>
      <c r="N175" t="s">
        <v>56</v>
      </c>
      <c r="O175">
        <f t="shared" si="4"/>
        <v>9100</v>
      </c>
      <c r="P175" s="13">
        <f t="shared" si="5"/>
        <v>1955044</v>
      </c>
      <c r="Q175" s="13">
        <f>SUMIFS(M:M,E:E,Online_eCommerce[[#This Row],[Status]])</f>
        <v>21233992</v>
      </c>
      <c r="R175" s="13">
        <f>SUMIFS(L:L,H:H,Online_eCommerce[[#This Row],[Brand]])</f>
        <v>4260400</v>
      </c>
      <c r="S175" s="13">
        <f>SUMIF(H:H,Online_eCommerce[[#This Row],[Brand]],M:M)</f>
        <v>5538520</v>
      </c>
      <c r="T175" s="13">
        <f>SUMIF(N:N,Online_eCommerce[[#This Row],[Assigned Supervisor]],L:L)</f>
        <v>11733610</v>
      </c>
    </row>
    <row r="176" spans="1:20" hidden="1" x14ac:dyDescent="0.3">
      <c r="A176" t="s">
        <v>460</v>
      </c>
      <c r="B176" t="s">
        <v>159</v>
      </c>
      <c r="C176" t="s">
        <v>58</v>
      </c>
      <c r="D176" t="s">
        <v>435</v>
      </c>
      <c r="E176" t="s">
        <v>18</v>
      </c>
      <c r="F176" t="s">
        <v>47</v>
      </c>
      <c r="G176" t="s">
        <v>259</v>
      </c>
      <c r="H176" t="s">
        <v>49</v>
      </c>
      <c r="I176">
        <v>7650</v>
      </c>
      <c r="J176">
        <v>9945</v>
      </c>
      <c r="K176">
        <v>2</v>
      </c>
      <c r="L176">
        <v>15300</v>
      </c>
      <c r="M176">
        <v>19890</v>
      </c>
      <c r="N176" t="s">
        <v>22</v>
      </c>
      <c r="O176">
        <f t="shared" si="4"/>
        <v>11700</v>
      </c>
      <c r="P176" s="13">
        <f t="shared" si="5"/>
        <v>2629211</v>
      </c>
      <c r="Q176" s="13">
        <f>SUMIFS(M:M,E:E,Online_eCommerce[[#This Row],[Status]])</f>
        <v>28340455</v>
      </c>
      <c r="R176" s="13">
        <f>SUMIFS(L:L,H:H,Online_eCommerce[[#This Row],[Brand]])</f>
        <v>4528350</v>
      </c>
      <c r="S176" s="13">
        <f>SUMIF(H:H,Online_eCommerce[[#This Row],[Brand]],M:M)</f>
        <v>5886855</v>
      </c>
      <c r="T176" s="13">
        <f>SUMIF(N:N,Online_eCommerce[[#This Row],[Assigned Supervisor]],L:L)</f>
        <v>13693220</v>
      </c>
    </row>
    <row r="177" spans="1:20" hidden="1" x14ac:dyDescent="0.3">
      <c r="A177" t="s">
        <v>461</v>
      </c>
      <c r="B177" t="s">
        <v>139</v>
      </c>
      <c r="C177" t="s">
        <v>63</v>
      </c>
      <c r="D177" t="s">
        <v>435</v>
      </c>
      <c r="E177" t="s">
        <v>161</v>
      </c>
      <c r="F177" t="s">
        <v>53</v>
      </c>
      <c r="G177" t="s">
        <v>54</v>
      </c>
      <c r="H177" t="s">
        <v>55</v>
      </c>
      <c r="I177">
        <v>1150</v>
      </c>
      <c r="J177">
        <v>1495</v>
      </c>
      <c r="K177">
        <v>3</v>
      </c>
      <c r="L177">
        <v>3450</v>
      </c>
      <c r="M177">
        <v>4485</v>
      </c>
      <c r="N177" t="s">
        <v>35</v>
      </c>
      <c r="O177">
        <f t="shared" si="4"/>
        <v>2990</v>
      </c>
      <c r="P177" s="13">
        <f t="shared" si="5"/>
        <v>2016131</v>
      </c>
      <c r="Q177" s="13">
        <f>SUMIFS(M:M,E:E,Online_eCommerce[[#This Row],[Status]])</f>
        <v>21103186</v>
      </c>
      <c r="R177" s="13">
        <f>SUMIFS(L:L,H:H,Online_eCommerce[[#This Row],[Brand]])</f>
        <v>2267380</v>
      </c>
      <c r="S177" s="13">
        <f>SUMIF(H:H,Online_eCommerce[[#This Row],[Brand]],M:M)</f>
        <v>2947594</v>
      </c>
      <c r="T177" s="13">
        <f>SUMIF(N:N,Online_eCommerce[[#This Row],[Assigned Supervisor]],L:L)</f>
        <v>14373360</v>
      </c>
    </row>
    <row r="178" spans="1:20" x14ac:dyDescent="0.3">
      <c r="A178" t="s">
        <v>462</v>
      </c>
      <c r="B178" t="s">
        <v>144</v>
      </c>
      <c r="C178" t="s">
        <v>68</v>
      </c>
      <c r="D178" t="s">
        <v>435</v>
      </c>
      <c r="E178" t="s">
        <v>46</v>
      </c>
      <c r="F178" t="s">
        <v>59</v>
      </c>
      <c r="G178" t="s">
        <v>60</v>
      </c>
      <c r="H178" t="s">
        <v>61</v>
      </c>
      <c r="I178">
        <v>850</v>
      </c>
      <c r="J178">
        <v>1105</v>
      </c>
      <c r="K178">
        <v>1</v>
      </c>
      <c r="L178">
        <v>850</v>
      </c>
      <c r="M178">
        <v>1105</v>
      </c>
      <c r="N178" t="s">
        <v>42</v>
      </c>
      <c r="O178">
        <f t="shared" si="4"/>
        <v>3315</v>
      </c>
      <c r="P178" s="13">
        <f t="shared" si="5"/>
        <v>2974621</v>
      </c>
      <c r="Q178" s="13">
        <f>SUMIFS(M:M,E:E,Online_eCommerce[[#This Row],[Status]])</f>
        <v>28620410</v>
      </c>
      <c r="R178" s="13">
        <f>SUMIFS(L:L,H:H,Online_eCommerce[[#This Row],[Brand]])</f>
        <v>10950150</v>
      </c>
      <c r="S178" s="13">
        <f>SUMIF(H:H,Online_eCommerce[[#This Row],[Brand]],M:M)</f>
        <v>14235195</v>
      </c>
      <c r="T178" s="13">
        <f>SUMIF(N:N,Online_eCommerce[[#This Row],[Assigned Supervisor]],L:L)</f>
        <v>12261500</v>
      </c>
    </row>
    <row r="179" spans="1:20" hidden="1" x14ac:dyDescent="0.3">
      <c r="A179" t="s">
        <v>463</v>
      </c>
      <c r="B179" t="s">
        <v>171</v>
      </c>
      <c r="C179" t="s">
        <v>74</v>
      </c>
      <c r="D179" t="s">
        <v>435</v>
      </c>
      <c r="E179" t="s">
        <v>96</v>
      </c>
      <c r="F179" t="s">
        <v>65</v>
      </c>
      <c r="G179" t="s">
        <v>66</v>
      </c>
      <c r="H179" t="s">
        <v>21</v>
      </c>
      <c r="I179">
        <v>650</v>
      </c>
      <c r="J179">
        <v>845</v>
      </c>
      <c r="K179">
        <v>4</v>
      </c>
      <c r="L179">
        <v>2600</v>
      </c>
      <c r="M179">
        <v>3380</v>
      </c>
      <c r="N179" t="s">
        <v>50</v>
      </c>
      <c r="O179">
        <f t="shared" si="4"/>
        <v>1690</v>
      </c>
      <c r="P179" s="13">
        <f t="shared" si="5"/>
        <v>2144701</v>
      </c>
      <c r="Q179" s="13">
        <f>SUMIFS(M:M,E:E,Online_eCommerce[[#This Row],[Status]])</f>
        <v>21233992</v>
      </c>
      <c r="R179" s="13">
        <f>SUMIFS(L:L,H:H,Online_eCommerce[[#This Row],[Brand]])</f>
        <v>12435650</v>
      </c>
      <c r="S179" s="13">
        <f>SUMIF(H:H,Online_eCommerce[[#This Row],[Brand]],M:M)</f>
        <v>16166345</v>
      </c>
      <c r="T179" s="13">
        <f>SUMIF(N:N,Online_eCommerce[[#This Row],[Assigned Supervisor]],L:L)</f>
        <v>12100590</v>
      </c>
    </row>
    <row r="180" spans="1:20" hidden="1" x14ac:dyDescent="0.3">
      <c r="A180" t="s">
        <v>464</v>
      </c>
      <c r="B180" t="s">
        <v>176</v>
      </c>
      <c r="C180" t="s">
        <v>81</v>
      </c>
      <c r="D180" t="s">
        <v>435</v>
      </c>
      <c r="E180" t="s">
        <v>18</v>
      </c>
      <c r="F180" t="s">
        <v>70</v>
      </c>
      <c r="G180" t="s">
        <v>71</v>
      </c>
      <c r="H180" t="s">
        <v>61</v>
      </c>
      <c r="I180">
        <v>7500</v>
      </c>
      <c r="J180">
        <v>9750</v>
      </c>
      <c r="K180">
        <v>1</v>
      </c>
      <c r="L180">
        <v>7500</v>
      </c>
      <c r="M180">
        <v>9750</v>
      </c>
      <c r="N180" t="s">
        <v>56</v>
      </c>
      <c r="O180">
        <f t="shared" si="4"/>
        <v>9750</v>
      </c>
      <c r="P180" s="13">
        <f t="shared" si="5"/>
        <v>2595632</v>
      </c>
      <c r="Q180" s="13">
        <f>SUMIFS(M:M,E:E,Online_eCommerce[[#This Row],[Status]])</f>
        <v>28340455</v>
      </c>
      <c r="R180" s="13">
        <f>SUMIFS(L:L,H:H,Online_eCommerce[[#This Row],[Brand]])</f>
        <v>10950150</v>
      </c>
      <c r="S180" s="13">
        <f>SUMIF(H:H,Online_eCommerce[[#This Row],[Brand]],M:M)</f>
        <v>14235195</v>
      </c>
      <c r="T180" s="13">
        <f>SUMIF(N:N,Online_eCommerce[[#This Row],[Assigned Supervisor]],L:L)</f>
        <v>11733610</v>
      </c>
    </row>
    <row r="181" spans="1:20" hidden="1" x14ac:dyDescent="0.3">
      <c r="A181" t="s">
        <v>465</v>
      </c>
      <c r="B181" t="s">
        <v>276</v>
      </c>
      <c r="C181" t="s">
        <v>86</v>
      </c>
      <c r="D181" t="s">
        <v>435</v>
      </c>
      <c r="E181" t="s">
        <v>161</v>
      </c>
      <c r="F181" t="s">
        <v>452</v>
      </c>
      <c r="G181" t="s">
        <v>77</v>
      </c>
      <c r="H181" t="s">
        <v>78</v>
      </c>
      <c r="I181">
        <v>10000</v>
      </c>
      <c r="J181">
        <v>13000</v>
      </c>
      <c r="K181">
        <v>1</v>
      </c>
      <c r="L181">
        <v>10000</v>
      </c>
      <c r="M181">
        <v>13000</v>
      </c>
      <c r="N181" t="s">
        <v>22</v>
      </c>
      <c r="O181">
        <f t="shared" si="4"/>
        <v>39000</v>
      </c>
      <c r="P181" s="13">
        <f t="shared" si="5"/>
        <v>1941225</v>
      </c>
      <c r="Q181" s="13">
        <f>SUMIFS(M:M,E:E,Online_eCommerce[[#This Row],[Status]])</f>
        <v>21103186</v>
      </c>
      <c r="R181" s="13">
        <f>SUMIFS(L:L,H:H,Online_eCommerce[[#This Row],[Brand]])</f>
        <v>3720000</v>
      </c>
      <c r="S181" s="13">
        <f>SUMIF(H:H,Online_eCommerce[[#This Row],[Brand]],M:M)</f>
        <v>4836000</v>
      </c>
      <c r="T181" s="13">
        <f>SUMIF(N:N,Online_eCommerce[[#This Row],[Assigned Supervisor]],L:L)</f>
        <v>13693220</v>
      </c>
    </row>
    <row r="182" spans="1:20" x14ac:dyDescent="0.3">
      <c r="A182" t="s">
        <v>466</v>
      </c>
      <c r="B182" t="s">
        <v>280</v>
      </c>
      <c r="C182" t="s">
        <v>91</v>
      </c>
      <c r="D182" t="s">
        <v>435</v>
      </c>
      <c r="E182" t="s">
        <v>46</v>
      </c>
      <c r="F182" t="s">
        <v>467</v>
      </c>
      <c r="G182" t="s">
        <v>20</v>
      </c>
      <c r="H182" t="s">
        <v>21</v>
      </c>
      <c r="I182">
        <v>10500</v>
      </c>
      <c r="J182">
        <v>13650</v>
      </c>
      <c r="K182">
        <v>3</v>
      </c>
      <c r="L182">
        <v>31500</v>
      </c>
      <c r="M182">
        <v>40950</v>
      </c>
      <c r="N182" t="s">
        <v>28</v>
      </c>
      <c r="O182">
        <f t="shared" si="4"/>
        <v>8450</v>
      </c>
      <c r="P182" s="13">
        <f t="shared" si="5"/>
        <v>2731963</v>
      </c>
      <c r="Q182" s="13">
        <f>SUMIFS(M:M,E:E,Online_eCommerce[[#This Row],[Status]])</f>
        <v>28620410</v>
      </c>
      <c r="R182" s="13">
        <f>SUMIFS(L:L,H:H,Online_eCommerce[[#This Row],[Brand]])</f>
        <v>12435650</v>
      </c>
      <c r="S182" s="13">
        <f>SUMIF(H:H,Online_eCommerce[[#This Row],[Brand]],M:M)</f>
        <v>16166345</v>
      </c>
      <c r="T182" s="13">
        <f>SUMIF(N:N,Online_eCommerce[[#This Row],[Assigned Supervisor]],L:L)</f>
        <v>12220830</v>
      </c>
    </row>
    <row r="183" spans="1:20" hidden="1" x14ac:dyDescent="0.3">
      <c r="A183" t="s">
        <v>468</v>
      </c>
      <c r="B183" t="s">
        <v>283</v>
      </c>
      <c r="C183" t="s">
        <v>94</v>
      </c>
      <c r="D183" t="s">
        <v>435</v>
      </c>
      <c r="E183" t="s">
        <v>96</v>
      </c>
      <c r="F183" t="s">
        <v>88</v>
      </c>
      <c r="G183" t="s">
        <v>26</v>
      </c>
      <c r="H183" t="s">
        <v>27</v>
      </c>
      <c r="I183">
        <v>8500</v>
      </c>
      <c r="J183">
        <v>11050</v>
      </c>
      <c r="K183">
        <v>1</v>
      </c>
      <c r="L183">
        <v>8500</v>
      </c>
      <c r="M183">
        <v>11050</v>
      </c>
      <c r="N183" t="s">
        <v>35</v>
      </c>
      <c r="O183">
        <f t="shared" si="4"/>
        <v>33150</v>
      </c>
      <c r="P183" s="13">
        <f t="shared" si="5"/>
        <v>1868256</v>
      </c>
      <c r="Q183" s="13">
        <f>SUMIFS(M:M,E:E,Online_eCommerce[[#This Row],[Status]])</f>
        <v>21233992</v>
      </c>
      <c r="R183" s="13">
        <f>SUMIFS(L:L,H:H,Online_eCommerce[[#This Row],[Brand]])</f>
        <v>14431000</v>
      </c>
      <c r="S183" s="13">
        <f>SUMIF(H:H,Online_eCommerce[[#This Row],[Brand]],M:M)</f>
        <v>18760300</v>
      </c>
      <c r="T183" s="13">
        <f>SUMIF(N:N,Online_eCommerce[[#This Row],[Assigned Supervisor]],L:L)</f>
        <v>14373360</v>
      </c>
    </row>
    <row r="184" spans="1:20" hidden="1" x14ac:dyDescent="0.3">
      <c r="A184" t="s">
        <v>469</v>
      </c>
      <c r="B184" t="s">
        <v>287</v>
      </c>
      <c r="C184" t="s">
        <v>99</v>
      </c>
      <c r="D184" t="s">
        <v>435</v>
      </c>
      <c r="E184" t="s">
        <v>18</v>
      </c>
      <c r="F184" t="s">
        <v>32</v>
      </c>
      <c r="G184" t="s">
        <v>33</v>
      </c>
      <c r="H184" t="s">
        <v>34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42</v>
      </c>
      <c r="O184">
        <f t="shared" si="4"/>
        <v>18200</v>
      </c>
      <c r="P184" s="13">
        <f t="shared" si="5"/>
        <v>2651233</v>
      </c>
      <c r="Q184" s="13">
        <f>SUMIFS(M:M,E:E,Online_eCommerce[[#This Row],[Status]])</f>
        <v>28340455</v>
      </c>
      <c r="R184" s="13">
        <f>SUMIFS(L:L,H:H,Online_eCommerce[[#This Row],[Brand]])</f>
        <v>10087000</v>
      </c>
      <c r="S184" s="13">
        <f>SUMIF(H:H,Online_eCommerce[[#This Row],[Brand]],M:M)</f>
        <v>13113100</v>
      </c>
      <c r="T184" s="13">
        <f>SUMIF(N:N,Online_eCommerce[[#This Row],[Assigned Supervisor]],L:L)</f>
        <v>12261500</v>
      </c>
    </row>
    <row r="185" spans="1:20" hidden="1" x14ac:dyDescent="0.3">
      <c r="A185" t="s">
        <v>470</v>
      </c>
      <c r="B185" t="s">
        <v>290</v>
      </c>
      <c r="C185" t="s">
        <v>105</v>
      </c>
      <c r="D185" t="s">
        <v>435</v>
      </c>
      <c r="E185" t="s">
        <v>161</v>
      </c>
      <c r="F185" t="s">
        <v>471</v>
      </c>
      <c r="G185" t="s">
        <v>256</v>
      </c>
      <c r="H185" t="s">
        <v>41</v>
      </c>
      <c r="I185">
        <v>1680</v>
      </c>
      <c r="J185">
        <v>2184</v>
      </c>
      <c r="K185">
        <v>2</v>
      </c>
      <c r="L185">
        <v>3360</v>
      </c>
      <c r="M185">
        <v>4368</v>
      </c>
      <c r="N185" t="s">
        <v>50</v>
      </c>
      <c r="O185">
        <f t="shared" si="4"/>
        <v>9100</v>
      </c>
      <c r="P185" s="13">
        <f t="shared" si="5"/>
        <v>1866852</v>
      </c>
      <c r="Q185" s="13">
        <f>SUMIFS(M:M,E:E,Online_eCommerce[[#This Row],[Status]])</f>
        <v>21103186</v>
      </c>
      <c r="R185" s="13">
        <f>SUMIFS(L:L,H:H,Online_eCommerce[[#This Row],[Brand]])</f>
        <v>4260400</v>
      </c>
      <c r="S185" s="13">
        <f>SUMIF(H:H,Online_eCommerce[[#This Row],[Brand]],M:M)</f>
        <v>5538520</v>
      </c>
      <c r="T185" s="13">
        <f>SUMIF(N:N,Online_eCommerce[[#This Row],[Assigned Supervisor]],L:L)</f>
        <v>12100590</v>
      </c>
    </row>
    <row r="186" spans="1:20" x14ac:dyDescent="0.3">
      <c r="A186" t="s">
        <v>472</v>
      </c>
      <c r="B186" t="s">
        <v>124</v>
      </c>
      <c r="C186" t="s">
        <v>110</v>
      </c>
      <c r="D186" t="s">
        <v>435</v>
      </c>
      <c r="E186" t="s">
        <v>46</v>
      </c>
      <c r="F186" t="s">
        <v>101</v>
      </c>
      <c r="G186" t="s">
        <v>259</v>
      </c>
      <c r="H186" t="s">
        <v>102</v>
      </c>
      <c r="I186">
        <v>6540</v>
      </c>
      <c r="J186">
        <v>8502</v>
      </c>
      <c r="K186">
        <v>3</v>
      </c>
      <c r="L186">
        <v>19620</v>
      </c>
      <c r="M186">
        <v>25506</v>
      </c>
      <c r="N186" t="s">
        <v>56</v>
      </c>
      <c r="O186">
        <f t="shared" si="4"/>
        <v>11700</v>
      </c>
      <c r="P186" s="13">
        <f t="shared" si="5"/>
        <v>2598635</v>
      </c>
      <c r="Q186" s="13">
        <f>SUMIFS(M:M,E:E,Online_eCommerce[[#This Row],[Status]])</f>
        <v>28620410</v>
      </c>
      <c r="R186" s="13">
        <f>SUMIFS(L:L,H:H,Online_eCommerce[[#This Row],[Brand]])</f>
        <v>2465580</v>
      </c>
      <c r="S186" s="13">
        <f>SUMIF(H:H,Online_eCommerce[[#This Row],[Brand]],M:M)</f>
        <v>3205254</v>
      </c>
      <c r="T186" s="13">
        <f>SUMIF(N:N,Online_eCommerce[[#This Row],[Assigned Supervisor]],L:L)</f>
        <v>11733610</v>
      </c>
    </row>
    <row r="187" spans="1:20" hidden="1" x14ac:dyDescent="0.3">
      <c r="A187" t="s">
        <v>473</v>
      </c>
      <c r="B187" t="s">
        <v>128</v>
      </c>
      <c r="C187" t="s">
        <v>115</v>
      </c>
      <c r="D187" t="s">
        <v>435</v>
      </c>
      <c r="E187" t="s">
        <v>96</v>
      </c>
      <c r="F187" t="s">
        <v>107</v>
      </c>
      <c r="G187" t="s">
        <v>54</v>
      </c>
      <c r="H187" t="s">
        <v>55</v>
      </c>
      <c r="I187">
        <v>2680</v>
      </c>
      <c r="J187">
        <v>3484</v>
      </c>
      <c r="K187">
        <v>3</v>
      </c>
      <c r="L187">
        <v>8040</v>
      </c>
      <c r="M187">
        <v>10452</v>
      </c>
      <c r="N187" t="s">
        <v>22</v>
      </c>
      <c r="O187">
        <f t="shared" si="4"/>
        <v>2990</v>
      </c>
      <c r="P187" s="13">
        <f t="shared" si="5"/>
        <v>2050178</v>
      </c>
      <c r="Q187" s="13">
        <f>SUMIFS(M:M,E:E,Online_eCommerce[[#This Row],[Status]])</f>
        <v>21233992</v>
      </c>
      <c r="R187" s="13">
        <f>SUMIFS(L:L,H:H,Online_eCommerce[[#This Row],[Brand]])</f>
        <v>2267380</v>
      </c>
      <c r="S187" s="13">
        <f>SUMIF(H:H,Online_eCommerce[[#This Row],[Brand]],M:M)</f>
        <v>2947594</v>
      </c>
      <c r="T187" s="13">
        <f>SUMIF(N:N,Online_eCommerce[[#This Row],[Assigned Supervisor]],L:L)</f>
        <v>13693220</v>
      </c>
    </row>
    <row r="188" spans="1:20" hidden="1" x14ac:dyDescent="0.3">
      <c r="A188" t="s">
        <v>474</v>
      </c>
      <c r="B188" t="s">
        <v>131</v>
      </c>
      <c r="C188" t="s">
        <v>120</v>
      </c>
      <c r="D188" t="s">
        <v>435</v>
      </c>
      <c r="E188" t="s">
        <v>18</v>
      </c>
      <c r="F188" t="s">
        <v>112</v>
      </c>
      <c r="G188" t="s">
        <v>71</v>
      </c>
      <c r="H188" t="s">
        <v>21</v>
      </c>
      <c r="I188">
        <v>8250</v>
      </c>
      <c r="J188">
        <v>10725</v>
      </c>
      <c r="K188">
        <v>4</v>
      </c>
      <c r="L188">
        <v>33000</v>
      </c>
      <c r="M188">
        <v>42900</v>
      </c>
      <c r="N188" t="s">
        <v>35</v>
      </c>
      <c r="O188">
        <f t="shared" si="4"/>
        <v>9750</v>
      </c>
      <c r="P188" s="13">
        <f t="shared" si="5"/>
        <v>2734212</v>
      </c>
      <c r="Q188" s="13">
        <f>SUMIFS(M:M,E:E,Online_eCommerce[[#This Row],[Status]])</f>
        <v>28340455</v>
      </c>
      <c r="R188" s="13">
        <f>SUMIFS(L:L,H:H,Online_eCommerce[[#This Row],[Brand]])</f>
        <v>12435650</v>
      </c>
      <c r="S188" s="13">
        <f>SUMIF(H:H,Online_eCommerce[[#This Row],[Brand]],M:M)</f>
        <v>16166345</v>
      </c>
      <c r="T188" s="13">
        <f>SUMIF(N:N,Online_eCommerce[[#This Row],[Assigned Supervisor]],L:L)</f>
        <v>14373360</v>
      </c>
    </row>
    <row r="189" spans="1:20" hidden="1" x14ac:dyDescent="0.3">
      <c r="A189" t="s">
        <v>475</v>
      </c>
      <c r="B189" t="s">
        <v>135</v>
      </c>
      <c r="C189" t="s">
        <v>125</v>
      </c>
      <c r="D189" t="s">
        <v>435</v>
      </c>
      <c r="E189" t="s">
        <v>161</v>
      </c>
      <c r="F189" t="s">
        <v>444</v>
      </c>
      <c r="G189" t="s">
        <v>40</v>
      </c>
      <c r="H189" t="s">
        <v>21</v>
      </c>
      <c r="I189">
        <v>2650</v>
      </c>
      <c r="J189">
        <v>3445</v>
      </c>
      <c r="K189">
        <v>4</v>
      </c>
      <c r="L189">
        <v>10600</v>
      </c>
      <c r="M189">
        <v>13780</v>
      </c>
      <c r="N189" t="s">
        <v>42</v>
      </c>
      <c r="O189">
        <f t="shared" si="4"/>
        <v>25545</v>
      </c>
      <c r="P189" s="13">
        <f t="shared" si="5"/>
        <v>2091154</v>
      </c>
      <c r="Q189" s="13">
        <f>SUMIFS(M:M,E:E,Online_eCommerce[[#This Row],[Status]])</f>
        <v>21103186</v>
      </c>
      <c r="R189" s="13">
        <f>SUMIFS(L:L,H:H,Online_eCommerce[[#This Row],[Brand]])</f>
        <v>12435650</v>
      </c>
      <c r="S189" s="13">
        <f>SUMIF(H:H,Online_eCommerce[[#This Row],[Brand]],M:M)</f>
        <v>16166345</v>
      </c>
      <c r="T189" s="13">
        <f>SUMIF(N:N,Online_eCommerce[[#This Row],[Assigned Supervisor]],L:L)</f>
        <v>12261500</v>
      </c>
    </row>
    <row r="190" spans="1:20" x14ac:dyDescent="0.3">
      <c r="A190" t="s">
        <v>476</v>
      </c>
      <c r="B190" t="s">
        <v>139</v>
      </c>
      <c r="C190" t="s">
        <v>22</v>
      </c>
      <c r="D190" t="s">
        <v>477</v>
      </c>
      <c r="E190" t="s">
        <v>46</v>
      </c>
      <c r="F190" t="s">
        <v>121</v>
      </c>
      <c r="G190" t="s">
        <v>71</v>
      </c>
      <c r="H190" t="s">
        <v>122</v>
      </c>
      <c r="I190">
        <v>12550</v>
      </c>
      <c r="J190">
        <v>16315</v>
      </c>
      <c r="K190">
        <v>4</v>
      </c>
      <c r="L190">
        <v>50200</v>
      </c>
      <c r="M190">
        <v>65260</v>
      </c>
      <c r="N190" t="s">
        <v>50</v>
      </c>
      <c r="O190">
        <f t="shared" si="4"/>
        <v>9750</v>
      </c>
      <c r="P190" s="13">
        <f t="shared" si="5"/>
        <v>2551588</v>
      </c>
      <c r="Q190" s="13">
        <f>SUMIFS(M:M,E:E,Online_eCommerce[[#This Row],[Status]])</f>
        <v>28620410</v>
      </c>
      <c r="R190" s="13">
        <f>SUMIFS(L:L,H:H,Online_eCommerce[[#This Row],[Brand]])</f>
        <v>5045100</v>
      </c>
      <c r="S190" s="13">
        <f>SUMIF(H:H,Online_eCommerce[[#This Row],[Brand]],M:M)</f>
        <v>6558630</v>
      </c>
      <c r="T190" s="13">
        <f>SUMIF(N:N,Online_eCommerce[[#This Row],[Assigned Supervisor]],L:L)</f>
        <v>12100590</v>
      </c>
    </row>
    <row r="191" spans="1:20" hidden="1" x14ac:dyDescent="0.3">
      <c r="A191" t="s">
        <v>478</v>
      </c>
      <c r="B191" t="s">
        <v>144</v>
      </c>
      <c r="C191" t="s">
        <v>132</v>
      </c>
      <c r="D191" t="s">
        <v>477</v>
      </c>
      <c r="E191" t="s">
        <v>96</v>
      </c>
      <c r="F191" t="s">
        <v>126</v>
      </c>
      <c r="G191" t="s">
        <v>26</v>
      </c>
      <c r="H191" t="s">
        <v>27</v>
      </c>
      <c r="I191">
        <v>14500</v>
      </c>
      <c r="J191">
        <v>18850</v>
      </c>
      <c r="K191">
        <v>1</v>
      </c>
      <c r="L191">
        <v>14500</v>
      </c>
      <c r="M191">
        <v>18850</v>
      </c>
      <c r="N191" t="s">
        <v>56</v>
      </c>
      <c r="O191">
        <f t="shared" si="4"/>
        <v>33150</v>
      </c>
      <c r="P191" s="13">
        <f t="shared" si="5"/>
        <v>1989065</v>
      </c>
      <c r="Q191" s="13">
        <f>SUMIFS(M:M,E:E,Online_eCommerce[[#This Row],[Status]])</f>
        <v>21233992</v>
      </c>
      <c r="R191" s="13">
        <f>SUMIFS(L:L,H:H,Online_eCommerce[[#This Row],[Brand]])</f>
        <v>14431000</v>
      </c>
      <c r="S191" s="13">
        <f>SUMIF(H:H,Online_eCommerce[[#This Row],[Brand]],M:M)</f>
        <v>18760300</v>
      </c>
      <c r="T191" s="13">
        <f>SUMIF(N:N,Online_eCommerce[[#This Row],[Assigned Supervisor]],L:L)</f>
        <v>11733610</v>
      </c>
    </row>
    <row r="192" spans="1:20" hidden="1" x14ac:dyDescent="0.3">
      <c r="A192" t="s">
        <v>479</v>
      </c>
      <c r="B192" t="s">
        <v>149</v>
      </c>
      <c r="C192" t="s">
        <v>136</v>
      </c>
      <c r="D192" t="s">
        <v>477</v>
      </c>
      <c r="E192" t="s">
        <v>18</v>
      </c>
      <c r="F192" t="s">
        <v>129</v>
      </c>
      <c r="G192" t="s">
        <v>60</v>
      </c>
      <c r="H192" t="s">
        <v>61</v>
      </c>
      <c r="I192">
        <v>800</v>
      </c>
      <c r="J192">
        <v>1040</v>
      </c>
      <c r="K192">
        <v>4</v>
      </c>
      <c r="L192">
        <v>3200</v>
      </c>
      <c r="M192">
        <v>4160</v>
      </c>
      <c r="N192" t="s">
        <v>22</v>
      </c>
      <c r="O192">
        <f t="shared" si="4"/>
        <v>3315</v>
      </c>
      <c r="P192" s="13">
        <f t="shared" si="5"/>
        <v>2775162</v>
      </c>
      <c r="Q192" s="13">
        <f>SUMIFS(M:M,E:E,Online_eCommerce[[#This Row],[Status]])</f>
        <v>28340455</v>
      </c>
      <c r="R192" s="13">
        <f>SUMIFS(L:L,H:H,Online_eCommerce[[#This Row],[Brand]])</f>
        <v>10950150</v>
      </c>
      <c r="S192" s="13">
        <f>SUMIF(H:H,Online_eCommerce[[#This Row],[Brand]],M:M)</f>
        <v>14235195</v>
      </c>
      <c r="T192" s="13">
        <f>SUMIF(N:N,Online_eCommerce[[#This Row],[Assigned Supervisor]],L:L)</f>
        <v>13693220</v>
      </c>
    </row>
    <row r="193" spans="1:20" hidden="1" x14ac:dyDescent="0.3">
      <c r="A193" t="s">
        <v>480</v>
      </c>
      <c r="B193" t="s">
        <v>154</v>
      </c>
      <c r="C193" t="s">
        <v>140</v>
      </c>
      <c r="D193" t="s">
        <v>477</v>
      </c>
      <c r="E193" t="s">
        <v>161</v>
      </c>
      <c r="F193" t="s">
        <v>133</v>
      </c>
      <c r="G193" t="s">
        <v>66</v>
      </c>
      <c r="H193" t="s">
        <v>21</v>
      </c>
      <c r="I193">
        <v>600</v>
      </c>
      <c r="J193">
        <v>780</v>
      </c>
      <c r="K193">
        <v>2</v>
      </c>
      <c r="L193">
        <v>1200</v>
      </c>
      <c r="M193">
        <v>1560</v>
      </c>
      <c r="N193" t="s">
        <v>28</v>
      </c>
      <c r="O193">
        <f t="shared" si="4"/>
        <v>1690</v>
      </c>
      <c r="P193" s="13">
        <f t="shared" si="5"/>
        <v>2058264</v>
      </c>
      <c r="Q193" s="13">
        <f>SUMIFS(M:M,E:E,Online_eCommerce[[#This Row],[Status]])</f>
        <v>21103186</v>
      </c>
      <c r="R193" s="13">
        <f>SUMIFS(L:L,H:H,Online_eCommerce[[#This Row],[Brand]])</f>
        <v>12435650</v>
      </c>
      <c r="S193" s="13">
        <f>SUMIF(H:H,Online_eCommerce[[#This Row],[Brand]],M:M)</f>
        <v>16166345</v>
      </c>
      <c r="T193" s="13">
        <f>SUMIF(N:N,Online_eCommerce[[#This Row],[Assigned Supervisor]],L:L)</f>
        <v>12220830</v>
      </c>
    </row>
    <row r="194" spans="1:20" x14ac:dyDescent="0.3">
      <c r="A194" t="s">
        <v>481</v>
      </c>
      <c r="B194" t="s">
        <v>154</v>
      </c>
      <c r="C194" t="s">
        <v>145</v>
      </c>
      <c r="D194" t="s">
        <v>477</v>
      </c>
      <c r="E194" t="s">
        <v>46</v>
      </c>
      <c r="F194" t="s">
        <v>137</v>
      </c>
      <c r="G194" t="s">
        <v>71</v>
      </c>
      <c r="H194" t="s">
        <v>61</v>
      </c>
      <c r="I194">
        <v>10500</v>
      </c>
      <c r="J194">
        <v>13650</v>
      </c>
      <c r="K194">
        <v>1</v>
      </c>
      <c r="L194">
        <v>10500</v>
      </c>
      <c r="M194">
        <v>13650</v>
      </c>
      <c r="N194" t="s">
        <v>35</v>
      </c>
      <c r="O194">
        <f t="shared" ref="O194:O257" si="6">VLOOKUP(G194,G:M,7,FALSE)</f>
        <v>9750</v>
      </c>
      <c r="P194" s="13">
        <f t="shared" ref="P194:P257" si="7">SUMIFS(M:M,C:C,C194)</f>
        <v>2757859</v>
      </c>
      <c r="Q194" s="13">
        <f>SUMIFS(M:M,E:E,Online_eCommerce[[#This Row],[Status]])</f>
        <v>28620410</v>
      </c>
      <c r="R194" s="13">
        <f>SUMIFS(L:L,H:H,Online_eCommerce[[#This Row],[Brand]])</f>
        <v>10950150</v>
      </c>
      <c r="S194" s="13">
        <f>SUMIF(H:H,Online_eCommerce[[#This Row],[Brand]],M:M)</f>
        <v>14235195</v>
      </c>
      <c r="T194" s="13">
        <f>SUMIF(N:N,Online_eCommerce[[#This Row],[Assigned Supervisor]],L:L)</f>
        <v>14373360</v>
      </c>
    </row>
    <row r="195" spans="1:20" hidden="1" x14ac:dyDescent="0.3">
      <c r="A195" t="s">
        <v>482</v>
      </c>
      <c r="B195" t="s">
        <v>154</v>
      </c>
      <c r="C195" t="s">
        <v>150</v>
      </c>
      <c r="D195" t="s">
        <v>477</v>
      </c>
      <c r="E195" t="s">
        <v>96</v>
      </c>
      <c r="F195" t="s">
        <v>452</v>
      </c>
      <c r="G195" t="s">
        <v>77</v>
      </c>
      <c r="H195" t="s">
        <v>142</v>
      </c>
      <c r="I195">
        <v>6500</v>
      </c>
      <c r="J195">
        <v>8450</v>
      </c>
      <c r="K195">
        <v>4</v>
      </c>
      <c r="L195">
        <v>26000</v>
      </c>
      <c r="M195">
        <v>33800</v>
      </c>
      <c r="N195" t="s">
        <v>42</v>
      </c>
      <c r="O195">
        <f t="shared" si="6"/>
        <v>39000</v>
      </c>
      <c r="P195" s="13">
        <f t="shared" si="7"/>
        <v>2154984</v>
      </c>
      <c r="Q195" s="13">
        <f>SUMIFS(M:M,E:E,Online_eCommerce[[#This Row],[Status]])</f>
        <v>21233992</v>
      </c>
      <c r="R195" s="13">
        <f>SUMIFS(L:L,H:H,Online_eCommerce[[#This Row],[Brand]])</f>
        <v>6192500</v>
      </c>
      <c r="S195" s="13">
        <f>SUMIF(H:H,Online_eCommerce[[#This Row],[Brand]],M:M)</f>
        <v>8050250</v>
      </c>
      <c r="T195" s="13">
        <f>SUMIF(N:N,Online_eCommerce[[#This Row],[Assigned Supervisor]],L:L)</f>
        <v>12261500</v>
      </c>
    </row>
    <row r="196" spans="1:20" hidden="1" x14ac:dyDescent="0.3">
      <c r="A196" t="s">
        <v>483</v>
      </c>
      <c r="B196" t="s">
        <v>154</v>
      </c>
      <c r="C196" t="s">
        <v>155</v>
      </c>
      <c r="D196" t="s">
        <v>477</v>
      </c>
      <c r="E196" t="s">
        <v>18</v>
      </c>
      <c r="F196" t="s">
        <v>484</v>
      </c>
      <c r="G196" t="s">
        <v>20</v>
      </c>
      <c r="H196" t="s">
        <v>21</v>
      </c>
      <c r="I196">
        <v>4500</v>
      </c>
      <c r="J196">
        <v>5850</v>
      </c>
      <c r="K196">
        <v>2</v>
      </c>
      <c r="L196">
        <v>9000</v>
      </c>
      <c r="M196">
        <v>11700</v>
      </c>
      <c r="N196" t="s">
        <v>50</v>
      </c>
      <c r="O196">
        <f t="shared" si="6"/>
        <v>8450</v>
      </c>
      <c r="P196" s="13">
        <f t="shared" si="7"/>
        <v>2753348</v>
      </c>
      <c r="Q196" s="13">
        <f>SUMIFS(M:M,E:E,Online_eCommerce[[#This Row],[Status]])</f>
        <v>28340455</v>
      </c>
      <c r="R196" s="13">
        <f>SUMIFS(L:L,H:H,Online_eCommerce[[#This Row],[Brand]])</f>
        <v>12435650</v>
      </c>
      <c r="S196" s="13">
        <f>SUMIF(H:H,Online_eCommerce[[#This Row],[Brand]],M:M)</f>
        <v>16166345</v>
      </c>
      <c r="T196" s="13">
        <f>SUMIF(N:N,Online_eCommerce[[#This Row],[Assigned Supervisor]],L:L)</f>
        <v>12100590</v>
      </c>
    </row>
    <row r="197" spans="1:20" hidden="1" x14ac:dyDescent="0.3">
      <c r="A197" t="s">
        <v>485</v>
      </c>
      <c r="B197" t="s">
        <v>154</v>
      </c>
      <c r="C197" t="s">
        <v>160</v>
      </c>
      <c r="D197" t="s">
        <v>477</v>
      </c>
      <c r="E197" t="s">
        <v>161</v>
      </c>
      <c r="F197" t="s">
        <v>152</v>
      </c>
      <c r="G197" t="s">
        <v>26</v>
      </c>
      <c r="H197" t="s">
        <v>27</v>
      </c>
      <c r="I197">
        <v>8500</v>
      </c>
      <c r="J197">
        <v>11050</v>
      </c>
      <c r="K197">
        <v>3</v>
      </c>
      <c r="L197">
        <v>25500</v>
      </c>
      <c r="M197">
        <v>33150</v>
      </c>
      <c r="N197" t="s">
        <v>56</v>
      </c>
      <c r="O197">
        <f t="shared" si="6"/>
        <v>33150</v>
      </c>
      <c r="P197" s="13">
        <f t="shared" si="7"/>
        <v>2303483</v>
      </c>
      <c r="Q197" s="13">
        <f>SUMIFS(M:M,E:E,Online_eCommerce[[#This Row],[Status]])</f>
        <v>21103186</v>
      </c>
      <c r="R197" s="13">
        <f>SUMIFS(L:L,H:H,Online_eCommerce[[#This Row],[Brand]])</f>
        <v>14431000</v>
      </c>
      <c r="S197" s="13">
        <f>SUMIF(H:H,Online_eCommerce[[#This Row],[Brand]],M:M)</f>
        <v>18760300</v>
      </c>
      <c r="T197" s="13">
        <f>SUMIF(N:N,Online_eCommerce[[#This Row],[Assigned Supervisor]],L:L)</f>
        <v>11733610</v>
      </c>
    </row>
    <row r="198" spans="1:20" x14ac:dyDescent="0.3">
      <c r="A198" t="s">
        <v>486</v>
      </c>
      <c r="B198" t="s">
        <v>154</v>
      </c>
      <c r="C198" t="s">
        <v>165</v>
      </c>
      <c r="D198" t="s">
        <v>477</v>
      </c>
      <c r="E198" t="s">
        <v>46</v>
      </c>
      <c r="F198" t="s">
        <v>157</v>
      </c>
      <c r="G198" t="s">
        <v>33</v>
      </c>
      <c r="H198" t="s">
        <v>34</v>
      </c>
      <c r="I198">
        <v>12500</v>
      </c>
      <c r="J198">
        <v>16250</v>
      </c>
      <c r="K198">
        <v>2</v>
      </c>
      <c r="L198">
        <v>25000</v>
      </c>
      <c r="M198">
        <v>32500</v>
      </c>
      <c r="N198" t="s">
        <v>22</v>
      </c>
      <c r="O198">
        <f t="shared" si="6"/>
        <v>18200</v>
      </c>
      <c r="P198" s="13">
        <f t="shared" si="7"/>
        <v>2674087</v>
      </c>
      <c r="Q198" s="13">
        <f>SUMIFS(M:M,E:E,Online_eCommerce[[#This Row],[Status]])</f>
        <v>28620410</v>
      </c>
      <c r="R198" s="13">
        <f>SUMIFS(L:L,H:H,Online_eCommerce[[#This Row],[Brand]])</f>
        <v>10087000</v>
      </c>
      <c r="S198" s="13">
        <f>SUMIF(H:H,Online_eCommerce[[#This Row],[Brand]],M:M)</f>
        <v>13113100</v>
      </c>
      <c r="T198" s="13">
        <f>SUMIF(N:N,Online_eCommerce[[#This Row],[Assigned Supervisor]],L:L)</f>
        <v>13693220</v>
      </c>
    </row>
    <row r="199" spans="1:20" hidden="1" x14ac:dyDescent="0.3">
      <c r="A199" t="s">
        <v>487</v>
      </c>
      <c r="B199" t="s">
        <v>154</v>
      </c>
      <c r="C199" t="s">
        <v>168</v>
      </c>
      <c r="D199" t="s">
        <v>477</v>
      </c>
      <c r="E199" t="s">
        <v>96</v>
      </c>
      <c r="F199" t="s">
        <v>488</v>
      </c>
      <c r="G199" t="s">
        <v>40</v>
      </c>
      <c r="H199" t="s">
        <v>41</v>
      </c>
      <c r="I199">
        <v>3500</v>
      </c>
      <c r="J199">
        <v>4550</v>
      </c>
      <c r="K199">
        <v>4</v>
      </c>
      <c r="L199">
        <v>14000</v>
      </c>
      <c r="M199">
        <v>18200</v>
      </c>
      <c r="N199" t="s">
        <v>28</v>
      </c>
      <c r="O199">
        <f t="shared" si="6"/>
        <v>25545</v>
      </c>
      <c r="P199" s="13">
        <f t="shared" si="7"/>
        <v>1937780</v>
      </c>
      <c r="Q199" s="13">
        <f>SUMIFS(M:M,E:E,Online_eCommerce[[#This Row],[Status]])</f>
        <v>21233992</v>
      </c>
      <c r="R199" s="13">
        <f>SUMIFS(L:L,H:H,Online_eCommerce[[#This Row],[Brand]])</f>
        <v>4260400</v>
      </c>
      <c r="S199" s="13">
        <f>SUMIF(H:H,Online_eCommerce[[#This Row],[Brand]],M:M)</f>
        <v>5538520</v>
      </c>
      <c r="T199" s="13">
        <f>SUMIF(N:N,Online_eCommerce[[#This Row],[Assigned Supervisor]],L:L)</f>
        <v>12220830</v>
      </c>
    </row>
    <row r="200" spans="1:20" hidden="1" x14ac:dyDescent="0.3">
      <c r="A200" t="s">
        <v>489</v>
      </c>
      <c r="B200" t="s">
        <v>154</v>
      </c>
      <c r="C200" t="s">
        <v>172</v>
      </c>
      <c r="D200" t="s">
        <v>477</v>
      </c>
      <c r="E200" t="s">
        <v>18</v>
      </c>
      <c r="F200" t="s">
        <v>166</v>
      </c>
      <c r="G200" t="s">
        <v>334</v>
      </c>
      <c r="H200" t="s">
        <v>49</v>
      </c>
      <c r="I200">
        <v>4500</v>
      </c>
      <c r="J200">
        <v>5850</v>
      </c>
      <c r="K200">
        <v>2</v>
      </c>
      <c r="L200">
        <v>9000</v>
      </c>
      <c r="M200">
        <v>11700</v>
      </c>
      <c r="N200" t="s">
        <v>35</v>
      </c>
      <c r="O200">
        <f t="shared" si="6"/>
        <v>39780</v>
      </c>
      <c r="P200" s="13">
        <f t="shared" si="7"/>
        <v>2640274</v>
      </c>
      <c r="Q200" s="13">
        <f>SUMIFS(M:M,E:E,Online_eCommerce[[#This Row],[Status]])</f>
        <v>28340455</v>
      </c>
      <c r="R200" s="13">
        <f>SUMIFS(L:L,H:H,Online_eCommerce[[#This Row],[Brand]])</f>
        <v>4528350</v>
      </c>
      <c r="S200" s="13">
        <f>SUMIF(H:H,Online_eCommerce[[#This Row],[Brand]],M:M)</f>
        <v>5886855</v>
      </c>
      <c r="T200" s="13">
        <f>SUMIF(N:N,Online_eCommerce[[#This Row],[Assigned Supervisor]],L:L)</f>
        <v>14373360</v>
      </c>
    </row>
    <row r="201" spans="1:20" hidden="1" x14ac:dyDescent="0.3">
      <c r="A201" t="s">
        <v>490</v>
      </c>
      <c r="B201" t="s">
        <v>154</v>
      </c>
      <c r="C201" t="s">
        <v>177</v>
      </c>
      <c r="D201" t="s">
        <v>477</v>
      </c>
      <c r="E201" t="s">
        <v>161</v>
      </c>
      <c r="F201" t="s">
        <v>491</v>
      </c>
      <c r="G201" t="s">
        <v>54</v>
      </c>
      <c r="H201" t="s">
        <v>55</v>
      </c>
      <c r="I201">
        <v>2100</v>
      </c>
      <c r="J201">
        <v>2730</v>
      </c>
      <c r="K201">
        <v>1</v>
      </c>
      <c r="L201">
        <v>2100</v>
      </c>
      <c r="M201">
        <v>2730</v>
      </c>
      <c r="N201" t="s">
        <v>42</v>
      </c>
      <c r="O201">
        <f t="shared" si="6"/>
        <v>2990</v>
      </c>
      <c r="P201" s="13">
        <f t="shared" si="7"/>
        <v>1863810</v>
      </c>
      <c r="Q201" s="13">
        <f>SUMIFS(M:M,E:E,Online_eCommerce[[#This Row],[Status]])</f>
        <v>21103186</v>
      </c>
      <c r="R201" s="13">
        <f>SUMIFS(L:L,H:H,Online_eCommerce[[#This Row],[Brand]])</f>
        <v>2267380</v>
      </c>
      <c r="S201" s="13">
        <f>SUMIF(H:H,Online_eCommerce[[#This Row],[Brand]],M:M)</f>
        <v>2947594</v>
      </c>
      <c r="T201" s="13">
        <f>SUMIF(N:N,Online_eCommerce[[#This Row],[Assigned Supervisor]],L:L)</f>
        <v>12261500</v>
      </c>
    </row>
    <row r="202" spans="1:20" x14ac:dyDescent="0.3">
      <c r="A202" t="s">
        <v>492</v>
      </c>
      <c r="B202" t="s">
        <v>287</v>
      </c>
      <c r="C202" t="s">
        <v>181</v>
      </c>
      <c r="D202" t="s">
        <v>477</v>
      </c>
      <c r="E202" t="s">
        <v>46</v>
      </c>
      <c r="F202" t="s">
        <v>174</v>
      </c>
      <c r="G202" t="s">
        <v>60</v>
      </c>
      <c r="H202" t="s">
        <v>61</v>
      </c>
      <c r="I202">
        <v>1150</v>
      </c>
      <c r="J202">
        <v>1495</v>
      </c>
      <c r="K202">
        <v>1</v>
      </c>
      <c r="L202">
        <v>1150</v>
      </c>
      <c r="M202">
        <v>1495</v>
      </c>
      <c r="N202" t="s">
        <v>50</v>
      </c>
      <c r="O202">
        <f t="shared" si="6"/>
        <v>3315</v>
      </c>
      <c r="P202" s="13">
        <f t="shared" si="7"/>
        <v>2577458</v>
      </c>
      <c r="Q202" s="13">
        <f>SUMIFS(M:M,E:E,Online_eCommerce[[#This Row],[Status]])</f>
        <v>28620410</v>
      </c>
      <c r="R202" s="13">
        <f>SUMIFS(L:L,H:H,Online_eCommerce[[#This Row],[Brand]])</f>
        <v>10950150</v>
      </c>
      <c r="S202" s="13">
        <f>SUMIF(H:H,Online_eCommerce[[#This Row],[Brand]],M:M)</f>
        <v>14235195</v>
      </c>
      <c r="T202" s="13">
        <f>SUMIF(N:N,Online_eCommerce[[#This Row],[Assigned Supervisor]],L:L)</f>
        <v>12100590</v>
      </c>
    </row>
    <row r="203" spans="1:20" hidden="1" x14ac:dyDescent="0.3">
      <c r="A203" t="s">
        <v>493</v>
      </c>
      <c r="B203" t="s">
        <v>290</v>
      </c>
      <c r="C203" t="s">
        <v>185</v>
      </c>
      <c r="D203" t="s">
        <v>477</v>
      </c>
      <c r="E203" t="s">
        <v>96</v>
      </c>
      <c r="F203" t="s">
        <v>179</v>
      </c>
      <c r="G203" t="s">
        <v>66</v>
      </c>
      <c r="H203" t="s">
        <v>21</v>
      </c>
      <c r="I203">
        <v>350</v>
      </c>
      <c r="J203">
        <v>455</v>
      </c>
      <c r="K203">
        <v>2</v>
      </c>
      <c r="L203">
        <v>700</v>
      </c>
      <c r="M203">
        <v>910</v>
      </c>
      <c r="N203" t="s">
        <v>56</v>
      </c>
      <c r="O203">
        <f t="shared" si="6"/>
        <v>1690</v>
      </c>
      <c r="P203" s="13">
        <f t="shared" si="7"/>
        <v>2091596</v>
      </c>
      <c r="Q203" s="13">
        <f>SUMIFS(M:M,E:E,Online_eCommerce[[#This Row],[Status]])</f>
        <v>21233992</v>
      </c>
      <c r="R203" s="13">
        <f>SUMIFS(L:L,H:H,Online_eCommerce[[#This Row],[Brand]])</f>
        <v>12435650</v>
      </c>
      <c r="S203" s="13">
        <f>SUMIF(H:H,Online_eCommerce[[#This Row],[Brand]],M:M)</f>
        <v>16166345</v>
      </c>
      <c r="T203" s="13">
        <f>SUMIF(N:N,Online_eCommerce[[#This Row],[Assigned Supervisor]],L:L)</f>
        <v>11733610</v>
      </c>
    </row>
    <row r="204" spans="1:20" hidden="1" x14ac:dyDescent="0.3">
      <c r="A204" t="s">
        <v>494</v>
      </c>
      <c r="B204" t="s">
        <v>124</v>
      </c>
      <c r="C204" t="s">
        <v>189</v>
      </c>
      <c r="D204" t="s">
        <v>477</v>
      </c>
      <c r="E204" t="s">
        <v>18</v>
      </c>
      <c r="F204" t="s">
        <v>183</v>
      </c>
      <c r="G204" t="s">
        <v>71</v>
      </c>
      <c r="H204" t="s">
        <v>61</v>
      </c>
      <c r="I204">
        <v>9500</v>
      </c>
      <c r="J204">
        <v>12350</v>
      </c>
      <c r="K204">
        <v>2</v>
      </c>
      <c r="L204">
        <v>19000</v>
      </c>
      <c r="M204">
        <v>24700</v>
      </c>
      <c r="N204" t="s">
        <v>22</v>
      </c>
      <c r="O204">
        <f t="shared" si="6"/>
        <v>9750</v>
      </c>
      <c r="P204" s="13">
        <f t="shared" si="7"/>
        <v>2740777</v>
      </c>
      <c r="Q204" s="13">
        <f>SUMIFS(M:M,E:E,Online_eCommerce[[#This Row],[Status]])</f>
        <v>28340455</v>
      </c>
      <c r="R204" s="13">
        <f>SUMIFS(L:L,H:H,Online_eCommerce[[#This Row],[Brand]])</f>
        <v>10950150</v>
      </c>
      <c r="S204" s="13">
        <f>SUMIF(H:H,Online_eCommerce[[#This Row],[Brand]],M:M)</f>
        <v>14235195</v>
      </c>
      <c r="T204" s="13">
        <f>SUMIF(N:N,Online_eCommerce[[#This Row],[Assigned Supervisor]],L:L)</f>
        <v>13693220</v>
      </c>
    </row>
    <row r="205" spans="1:20" hidden="1" x14ac:dyDescent="0.3">
      <c r="A205" t="s">
        <v>495</v>
      </c>
      <c r="B205" t="s">
        <v>128</v>
      </c>
      <c r="C205" t="s">
        <v>193</v>
      </c>
      <c r="D205" t="s">
        <v>477</v>
      </c>
      <c r="E205" t="s">
        <v>161</v>
      </c>
      <c r="F205" t="s">
        <v>496</v>
      </c>
      <c r="G205" t="s">
        <v>77</v>
      </c>
      <c r="H205" t="s">
        <v>142</v>
      </c>
      <c r="I205">
        <v>10000</v>
      </c>
      <c r="J205">
        <v>13000</v>
      </c>
      <c r="K205">
        <v>4</v>
      </c>
      <c r="L205">
        <v>40000</v>
      </c>
      <c r="M205">
        <v>52000</v>
      </c>
      <c r="N205" t="s">
        <v>28</v>
      </c>
      <c r="O205">
        <f t="shared" si="6"/>
        <v>39000</v>
      </c>
      <c r="P205" s="13">
        <f t="shared" si="7"/>
        <v>2074774</v>
      </c>
      <c r="Q205" s="13">
        <f>SUMIFS(M:M,E:E,Online_eCommerce[[#This Row],[Status]])</f>
        <v>21103186</v>
      </c>
      <c r="R205" s="13">
        <f>SUMIFS(L:L,H:H,Online_eCommerce[[#This Row],[Brand]])</f>
        <v>6192500</v>
      </c>
      <c r="S205" s="13">
        <f>SUMIF(H:H,Online_eCommerce[[#This Row],[Brand]],M:M)</f>
        <v>8050250</v>
      </c>
      <c r="T205" s="13">
        <f>SUMIF(N:N,Online_eCommerce[[#This Row],[Assigned Supervisor]],L:L)</f>
        <v>12220830</v>
      </c>
    </row>
    <row r="206" spans="1:20" x14ac:dyDescent="0.3">
      <c r="A206" t="s">
        <v>497</v>
      </c>
      <c r="B206" t="s">
        <v>131</v>
      </c>
      <c r="C206" t="s">
        <v>197</v>
      </c>
      <c r="D206" t="s">
        <v>477</v>
      </c>
      <c r="E206" t="s">
        <v>46</v>
      </c>
      <c r="F206" t="s">
        <v>498</v>
      </c>
      <c r="G206" t="s">
        <v>20</v>
      </c>
      <c r="H206" t="s">
        <v>21</v>
      </c>
      <c r="I206">
        <v>6500</v>
      </c>
      <c r="J206">
        <v>8450</v>
      </c>
      <c r="K206">
        <v>3</v>
      </c>
      <c r="L206">
        <v>19500</v>
      </c>
      <c r="M206">
        <v>25350</v>
      </c>
      <c r="N206" t="s">
        <v>35</v>
      </c>
      <c r="O206">
        <f t="shared" si="6"/>
        <v>8450</v>
      </c>
      <c r="P206" s="13">
        <f t="shared" si="7"/>
        <v>2829840</v>
      </c>
      <c r="Q206" s="13">
        <f>SUMIFS(M:M,E:E,Online_eCommerce[[#This Row],[Status]])</f>
        <v>28620410</v>
      </c>
      <c r="R206" s="13">
        <f>SUMIFS(L:L,H:H,Online_eCommerce[[#This Row],[Brand]])</f>
        <v>12435650</v>
      </c>
      <c r="S206" s="13">
        <f>SUMIF(H:H,Online_eCommerce[[#This Row],[Brand]],M:M)</f>
        <v>16166345</v>
      </c>
      <c r="T206" s="13">
        <f>SUMIF(N:N,Online_eCommerce[[#This Row],[Assigned Supervisor]],L:L)</f>
        <v>14373360</v>
      </c>
    </row>
    <row r="207" spans="1:20" hidden="1" x14ac:dyDescent="0.3">
      <c r="A207" t="s">
        <v>499</v>
      </c>
      <c r="B207" t="s">
        <v>135</v>
      </c>
      <c r="C207" t="s">
        <v>199</v>
      </c>
      <c r="D207" t="s">
        <v>477</v>
      </c>
      <c r="E207" t="s">
        <v>96</v>
      </c>
      <c r="F207" t="s">
        <v>500</v>
      </c>
      <c r="G207" t="s">
        <v>26</v>
      </c>
      <c r="H207" t="s">
        <v>27</v>
      </c>
      <c r="I207">
        <v>8500</v>
      </c>
      <c r="J207">
        <v>11050</v>
      </c>
      <c r="K207">
        <v>4</v>
      </c>
      <c r="L207">
        <v>34000</v>
      </c>
      <c r="M207">
        <v>44200</v>
      </c>
      <c r="N207" t="s">
        <v>42</v>
      </c>
      <c r="O207">
        <f t="shared" si="6"/>
        <v>33150</v>
      </c>
      <c r="P207" s="13">
        <f t="shared" si="7"/>
        <v>1947361</v>
      </c>
      <c r="Q207" s="13">
        <f>SUMIFS(M:M,E:E,Online_eCommerce[[#This Row],[Status]])</f>
        <v>21233992</v>
      </c>
      <c r="R207" s="13">
        <f>SUMIFS(L:L,H:H,Online_eCommerce[[#This Row],[Brand]])</f>
        <v>14431000</v>
      </c>
      <c r="S207" s="13">
        <f>SUMIF(H:H,Online_eCommerce[[#This Row],[Brand]],M:M)</f>
        <v>18760300</v>
      </c>
      <c r="T207" s="13">
        <f>SUMIF(N:N,Online_eCommerce[[#This Row],[Assigned Supervisor]],L:L)</f>
        <v>12261500</v>
      </c>
    </row>
    <row r="208" spans="1:20" hidden="1" x14ac:dyDescent="0.3">
      <c r="A208" t="s">
        <v>501</v>
      </c>
      <c r="B208" t="s">
        <v>139</v>
      </c>
      <c r="C208" t="s">
        <v>203</v>
      </c>
      <c r="D208" t="s">
        <v>477</v>
      </c>
      <c r="E208" t="s">
        <v>18</v>
      </c>
      <c r="F208" t="s">
        <v>32</v>
      </c>
      <c r="G208" t="s">
        <v>33</v>
      </c>
      <c r="H208" t="s">
        <v>34</v>
      </c>
      <c r="I208">
        <v>7000</v>
      </c>
      <c r="J208">
        <v>9100</v>
      </c>
      <c r="K208">
        <v>4</v>
      </c>
      <c r="L208">
        <v>28000</v>
      </c>
      <c r="M208">
        <v>36400</v>
      </c>
      <c r="N208" t="s">
        <v>50</v>
      </c>
      <c r="O208">
        <f t="shared" si="6"/>
        <v>18200</v>
      </c>
      <c r="P208" s="13">
        <f t="shared" si="7"/>
        <v>2559635</v>
      </c>
      <c r="Q208" s="13">
        <f>SUMIFS(M:M,E:E,Online_eCommerce[[#This Row],[Status]])</f>
        <v>28340455</v>
      </c>
      <c r="R208" s="13">
        <f>SUMIFS(L:L,H:H,Online_eCommerce[[#This Row],[Brand]])</f>
        <v>10087000</v>
      </c>
      <c r="S208" s="13">
        <f>SUMIF(H:H,Online_eCommerce[[#This Row],[Brand]],M:M)</f>
        <v>13113100</v>
      </c>
      <c r="T208" s="13">
        <f>SUMIF(N:N,Online_eCommerce[[#This Row],[Assigned Supervisor]],L:L)</f>
        <v>12100590</v>
      </c>
    </row>
    <row r="209" spans="1:20" hidden="1" x14ac:dyDescent="0.3">
      <c r="A209" t="s">
        <v>502</v>
      </c>
      <c r="B209" t="s">
        <v>144</v>
      </c>
      <c r="C209" t="s">
        <v>205</v>
      </c>
      <c r="D209" t="s">
        <v>477</v>
      </c>
      <c r="E209" t="s">
        <v>161</v>
      </c>
      <c r="F209" t="s">
        <v>503</v>
      </c>
      <c r="G209" t="s">
        <v>40</v>
      </c>
      <c r="H209" t="s">
        <v>41</v>
      </c>
      <c r="I209">
        <v>6550</v>
      </c>
      <c r="J209">
        <v>8515</v>
      </c>
      <c r="K209">
        <v>1</v>
      </c>
      <c r="L209">
        <v>6550</v>
      </c>
      <c r="M209">
        <v>8515</v>
      </c>
      <c r="N209" t="s">
        <v>56</v>
      </c>
      <c r="O209">
        <f t="shared" si="6"/>
        <v>25545</v>
      </c>
      <c r="P209" s="13">
        <f t="shared" si="7"/>
        <v>1983254</v>
      </c>
      <c r="Q209" s="13">
        <f>SUMIFS(M:M,E:E,Online_eCommerce[[#This Row],[Status]])</f>
        <v>21103186</v>
      </c>
      <c r="R209" s="13">
        <f>SUMIFS(L:L,H:H,Online_eCommerce[[#This Row],[Brand]])</f>
        <v>4260400</v>
      </c>
      <c r="S209" s="13">
        <f>SUMIF(H:H,Online_eCommerce[[#This Row],[Brand]],M:M)</f>
        <v>5538520</v>
      </c>
      <c r="T209" s="13">
        <f>SUMIF(N:N,Online_eCommerce[[#This Row],[Assigned Supervisor]],L:L)</f>
        <v>11733610</v>
      </c>
    </row>
    <row r="210" spans="1:20" x14ac:dyDescent="0.3">
      <c r="A210" t="s">
        <v>504</v>
      </c>
      <c r="B210" t="s">
        <v>149</v>
      </c>
      <c r="C210" t="s">
        <v>208</v>
      </c>
      <c r="D210" t="s">
        <v>477</v>
      </c>
      <c r="E210" t="s">
        <v>46</v>
      </c>
      <c r="F210" t="s">
        <v>47</v>
      </c>
      <c r="G210" t="s">
        <v>334</v>
      </c>
      <c r="H210" t="s">
        <v>49</v>
      </c>
      <c r="I210">
        <v>7650</v>
      </c>
      <c r="J210">
        <v>9945</v>
      </c>
      <c r="K210">
        <v>1</v>
      </c>
      <c r="L210">
        <v>7650</v>
      </c>
      <c r="M210">
        <v>9945</v>
      </c>
      <c r="N210" t="s">
        <v>22</v>
      </c>
      <c r="O210">
        <f t="shared" si="6"/>
        <v>39780</v>
      </c>
      <c r="P210" s="13">
        <f t="shared" si="7"/>
        <v>2746575</v>
      </c>
      <c r="Q210" s="13">
        <f>SUMIFS(M:M,E:E,Online_eCommerce[[#This Row],[Status]])</f>
        <v>28620410</v>
      </c>
      <c r="R210" s="13">
        <f>SUMIFS(L:L,H:H,Online_eCommerce[[#This Row],[Brand]])</f>
        <v>4528350</v>
      </c>
      <c r="S210" s="13">
        <f>SUMIF(H:H,Online_eCommerce[[#This Row],[Brand]],M:M)</f>
        <v>5886855</v>
      </c>
      <c r="T210" s="13">
        <f>SUMIF(N:N,Online_eCommerce[[#This Row],[Assigned Supervisor]],L:L)</f>
        <v>13693220</v>
      </c>
    </row>
    <row r="211" spans="1:20" hidden="1" x14ac:dyDescent="0.3">
      <c r="A211" t="s">
        <v>505</v>
      </c>
      <c r="B211" t="s">
        <v>154</v>
      </c>
      <c r="C211" t="s">
        <v>211</v>
      </c>
      <c r="D211" t="s">
        <v>477</v>
      </c>
      <c r="E211" t="s">
        <v>96</v>
      </c>
      <c r="F211" t="s">
        <v>53</v>
      </c>
      <c r="G211" t="s">
        <v>54</v>
      </c>
      <c r="H211" t="s">
        <v>55</v>
      </c>
      <c r="I211">
        <v>1150</v>
      </c>
      <c r="J211">
        <v>1495</v>
      </c>
      <c r="K211">
        <v>1</v>
      </c>
      <c r="L211">
        <v>1150</v>
      </c>
      <c r="M211">
        <v>1495</v>
      </c>
      <c r="N211" t="s">
        <v>28</v>
      </c>
      <c r="O211">
        <f t="shared" si="6"/>
        <v>2990</v>
      </c>
      <c r="P211" s="13">
        <f t="shared" si="7"/>
        <v>1809847</v>
      </c>
      <c r="Q211" s="13">
        <f>SUMIFS(M:M,E:E,Online_eCommerce[[#This Row],[Status]])</f>
        <v>21233992</v>
      </c>
      <c r="R211" s="13">
        <f>SUMIFS(L:L,H:H,Online_eCommerce[[#This Row],[Brand]])</f>
        <v>2267380</v>
      </c>
      <c r="S211" s="13">
        <f>SUMIF(H:H,Online_eCommerce[[#This Row],[Brand]],M:M)</f>
        <v>2947594</v>
      </c>
      <c r="T211" s="13">
        <f>SUMIF(N:N,Online_eCommerce[[#This Row],[Assigned Supervisor]],L:L)</f>
        <v>12220830</v>
      </c>
    </row>
    <row r="212" spans="1:20" hidden="1" x14ac:dyDescent="0.3">
      <c r="A212" t="s">
        <v>506</v>
      </c>
      <c r="B212" t="s">
        <v>159</v>
      </c>
      <c r="C212" t="s">
        <v>16</v>
      </c>
      <c r="D212" t="s">
        <v>477</v>
      </c>
      <c r="E212" t="s">
        <v>18</v>
      </c>
      <c r="F212" t="s">
        <v>59</v>
      </c>
      <c r="G212" t="s">
        <v>60</v>
      </c>
      <c r="H212" t="s">
        <v>61</v>
      </c>
      <c r="I212">
        <v>850</v>
      </c>
      <c r="J212">
        <v>1105</v>
      </c>
      <c r="K212">
        <v>4</v>
      </c>
      <c r="L212">
        <v>3400</v>
      </c>
      <c r="M212">
        <v>4420</v>
      </c>
      <c r="N212" t="s">
        <v>35</v>
      </c>
      <c r="O212">
        <f t="shared" si="6"/>
        <v>3315</v>
      </c>
      <c r="P212" s="13">
        <f t="shared" si="7"/>
        <v>2751814</v>
      </c>
      <c r="Q212" s="13">
        <f>SUMIFS(M:M,E:E,Online_eCommerce[[#This Row],[Status]])</f>
        <v>28340455</v>
      </c>
      <c r="R212" s="13">
        <f>SUMIFS(L:L,H:H,Online_eCommerce[[#This Row],[Brand]])</f>
        <v>10950150</v>
      </c>
      <c r="S212" s="13">
        <f>SUMIF(H:H,Online_eCommerce[[#This Row],[Brand]],M:M)</f>
        <v>14235195</v>
      </c>
      <c r="T212" s="13">
        <f>SUMIF(N:N,Online_eCommerce[[#This Row],[Assigned Supervisor]],L:L)</f>
        <v>14373360</v>
      </c>
    </row>
    <row r="213" spans="1:20" hidden="1" x14ac:dyDescent="0.3">
      <c r="A213" t="s">
        <v>507</v>
      </c>
      <c r="B213" t="s">
        <v>139</v>
      </c>
      <c r="C213" t="s">
        <v>24</v>
      </c>
      <c r="D213" t="s">
        <v>477</v>
      </c>
      <c r="E213" t="s">
        <v>161</v>
      </c>
      <c r="F213" t="s">
        <v>65</v>
      </c>
      <c r="G213" t="s">
        <v>66</v>
      </c>
      <c r="H213" t="s">
        <v>21</v>
      </c>
      <c r="I213">
        <v>650</v>
      </c>
      <c r="J213">
        <v>845</v>
      </c>
      <c r="K213">
        <v>1</v>
      </c>
      <c r="L213">
        <v>650</v>
      </c>
      <c r="M213">
        <v>845</v>
      </c>
      <c r="N213" t="s">
        <v>42</v>
      </c>
      <c r="O213">
        <f t="shared" si="6"/>
        <v>1690</v>
      </c>
      <c r="P213" s="13">
        <f t="shared" si="7"/>
        <v>2009540</v>
      </c>
      <c r="Q213" s="13">
        <f>SUMIFS(M:M,E:E,Online_eCommerce[[#This Row],[Status]])</f>
        <v>21103186</v>
      </c>
      <c r="R213" s="13">
        <f>SUMIFS(L:L,H:H,Online_eCommerce[[#This Row],[Brand]])</f>
        <v>12435650</v>
      </c>
      <c r="S213" s="13">
        <f>SUMIF(H:H,Online_eCommerce[[#This Row],[Brand]],M:M)</f>
        <v>16166345</v>
      </c>
      <c r="T213" s="13">
        <f>SUMIF(N:N,Online_eCommerce[[#This Row],[Assigned Supervisor]],L:L)</f>
        <v>12261500</v>
      </c>
    </row>
    <row r="214" spans="1:20" x14ac:dyDescent="0.3">
      <c r="A214" t="s">
        <v>508</v>
      </c>
      <c r="B214" t="s">
        <v>144</v>
      </c>
      <c r="C214" t="s">
        <v>31</v>
      </c>
      <c r="D214" t="s">
        <v>477</v>
      </c>
      <c r="E214" t="s">
        <v>46</v>
      </c>
      <c r="F214" t="s">
        <v>70</v>
      </c>
      <c r="G214" t="s">
        <v>71</v>
      </c>
      <c r="H214" t="s">
        <v>61</v>
      </c>
      <c r="I214">
        <v>7500</v>
      </c>
      <c r="J214">
        <v>9750</v>
      </c>
      <c r="K214">
        <v>3</v>
      </c>
      <c r="L214">
        <v>22500</v>
      </c>
      <c r="M214">
        <v>29250</v>
      </c>
      <c r="N214" t="s">
        <v>50</v>
      </c>
      <c r="O214">
        <f t="shared" si="6"/>
        <v>9750</v>
      </c>
      <c r="P214" s="13">
        <f t="shared" si="7"/>
        <v>2865746</v>
      </c>
      <c r="Q214" s="13">
        <f>SUMIFS(M:M,E:E,Online_eCommerce[[#This Row],[Status]])</f>
        <v>28620410</v>
      </c>
      <c r="R214" s="13">
        <f>SUMIFS(L:L,H:H,Online_eCommerce[[#This Row],[Brand]])</f>
        <v>10950150</v>
      </c>
      <c r="S214" s="13">
        <f>SUMIF(H:H,Online_eCommerce[[#This Row],[Brand]],M:M)</f>
        <v>14235195</v>
      </c>
      <c r="T214" s="13">
        <f>SUMIF(N:N,Online_eCommerce[[#This Row],[Assigned Supervisor]],L:L)</f>
        <v>12100590</v>
      </c>
    </row>
    <row r="215" spans="1:20" hidden="1" x14ac:dyDescent="0.3">
      <c r="A215" t="s">
        <v>509</v>
      </c>
      <c r="B215" t="s">
        <v>171</v>
      </c>
      <c r="C215" t="s">
        <v>38</v>
      </c>
      <c r="D215" t="s">
        <v>477</v>
      </c>
      <c r="E215" t="s">
        <v>96</v>
      </c>
      <c r="F215" t="s">
        <v>496</v>
      </c>
      <c r="G215" t="s">
        <v>77</v>
      </c>
      <c r="H215" t="s">
        <v>78</v>
      </c>
      <c r="I215">
        <v>10000</v>
      </c>
      <c r="J215">
        <v>13000</v>
      </c>
      <c r="K215">
        <v>1</v>
      </c>
      <c r="L215">
        <v>10000</v>
      </c>
      <c r="M215">
        <v>13000</v>
      </c>
      <c r="N215" t="s">
        <v>56</v>
      </c>
      <c r="O215">
        <f t="shared" si="6"/>
        <v>39000</v>
      </c>
      <c r="P215" s="13">
        <f t="shared" si="7"/>
        <v>1933997</v>
      </c>
      <c r="Q215" s="13">
        <f>SUMIFS(M:M,E:E,Online_eCommerce[[#This Row],[Status]])</f>
        <v>21233992</v>
      </c>
      <c r="R215" s="13">
        <f>SUMIFS(L:L,H:H,Online_eCommerce[[#This Row],[Brand]])</f>
        <v>3720000</v>
      </c>
      <c r="S215" s="13">
        <f>SUMIF(H:H,Online_eCommerce[[#This Row],[Brand]],M:M)</f>
        <v>4836000</v>
      </c>
      <c r="T215" s="13">
        <f>SUMIF(N:N,Online_eCommerce[[#This Row],[Assigned Supervisor]],L:L)</f>
        <v>11733610</v>
      </c>
    </row>
    <row r="216" spans="1:20" hidden="1" x14ac:dyDescent="0.3">
      <c r="A216" t="s">
        <v>510</v>
      </c>
      <c r="B216" t="s">
        <v>176</v>
      </c>
      <c r="C216" t="s">
        <v>45</v>
      </c>
      <c r="D216" t="s">
        <v>477</v>
      </c>
      <c r="E216" t="s">
        <v>18</v>
      </c>
      <c r="F216" t="s">
        <v>511</v>
      </c>
      <c r="G216" t="s">
        <v>20</v>
      </c>
      <c r="H216" t="s">
        <v>21</v>
      </c>
      <c r="I216">
        <v>10500</v>
      </c>
      <c r="J216">
        <v>13650</v>
      </c>
      <c r="K216">
        <v>1</v>
      </c>
      <c r="L216">
        <v>10500</v>
      </c>
      <c r="M216">
        <v>13650</v>
      </c>
      <c r="N216" t="s">
        <v>22</v>
      </c>
      <c r="O216">
        <f t="shared" si="6"/>
        <v>8450</v>
      </c>
      <c r="P216" s="13">
        <f t="shared" si="7"/>
        <v>2842554</v>
      </c>
      <c r="Q216" s="13">
        <f>SUMIFS(M:M,E:E,Online_eCommerce[[#This Row],[Status]])</f>
        <v>28340455</v>
      </c>
      <c r="R216" s="13">
        <f>SUMIFS(L:L,H:H,Online_eCommerce[[#This Row],[Brand]])</f>
        <v>12435650</v>
      </c>
      <c r="S216" s="13">
        <f>SUMIF(H:H,Online_eCommerce[[#This Row],[Brand]],M:M)</f>
        <v>16166345</v>
      </c>
      <c r="T216" s="13">
        <f>SUMIF(N:N,Online_eCommerce[[#This Row],[Assigned Supervisor]],L:L)</f>
        <v>13693220</v>
      </c>
    </row>
    <row r="217" spans="1:20" hidden="1" x14ac:dyDescent="0.3">
      <c r="A217" t="s">
        <v>512</v>
      </c>
      <c r="B217" t="s">
        <v>276</v>
      </c>
      <c r="C217" t="s">
        <v>52</v>
      </c>
      <c r="D217" t="s">
        <v>477</v>
      </c>
      <c r="E217" t="s">
        <v>161</v>
      </c>
      <c r="F217" t="s">
        <v>88</v>
      </c>
      <c r="G217" t="s">
        <v>26</v>
      </c>
      <c r="H217" t="s">
        <v>27</v>
      </c>
      <c r="I217">
        <v>8500</v>
      </c>
      <c r="J217">
        <v>11050</v>
      </c>
      <c r="K217">
        <v>2</v>
      </c>
      <c r="L217">
        <v>17000</v>
      </c>
      <c r="M217">
        <v>22100</v>
      </c>
      <c r="N217" t="s">
        <v>28</v>
      </c>
      <c r="O217">
        <f t="shared" si="6"/>
        <v>33150</v>
      </c>
      <c r="P217" s="13">
        <f t="shared" si="7"/>
        <v>1955044</v>
      </c>
      <c r="Q217" s="13">
        <f>SUMIFS(M:M,E:E,Online_eCommerce[[#This Row],[Status]])</f>
        <v>21103186</v>
      </c>
      <c r="R217" s="13">
        <f>SUMIFS(L:L,H:H,Online_eCommerce[[#This Row],[Brand]])</f>
        <v>14431000</v>
      </c>
      <c r="S217" s="13">
        <f>SUMIF(H:H,Online_eCommerce[[#This Row],[Brand]],M:M)</f>
        <v>18760300</v>
      </c>
      <c r="T217" s="13">
        <f>SUMIF(N:N,Online_eCommerce[[#This Row],[Assigned Supervisor]],L:L)</f>
        <v>12220830</v>
      </c>
    </row>
    <row r="218" spans="1:20" x14ac:dyDescent="0.3">
      <c r="A218" t="s">
        <v>513</v>
      </c>
      <c r="B218" t="s">
        <v>280</v>
      </c>
      <c r="C218" t="s">
        <v>58</v>
      </c>
      <c r="D218" t="s">
        <v>477</v>
      </c>
      <c r="E218" t="s">
        <v>46</v>
      </c>
      <c r="F218" t="s">
        <v>32</v>
      </c>
      <c r="G218" t="s">
        <v>33</v>
      </c>
      <c r="H218" t="s">
        <v>34</v>
      </c>
      <c r="I218">
        <v>7000</v>
      </c>
      <c r="J218">
        <v>9100</v>
      </c>
      <c r="K218">
        <v>4</v>
      </c>
      <c r="L218">
        <v>28000</v>
      </c>
      <c r="M218">
        <v>36400</v>
      </c>
      <c r="N218" t="s">
        <v>35</v>
      </c>
      <c r="O218">
        <f t="shared" si="6"/>
        <v>18200</v>
      </c>
      <c r="P218" s="13">
        <f t="shared" si="7"/>
        <v>2629211</v>
      </c>
      <c r="Q218" s="13">
        <f>SUMIFS(M:M,E:E,Online_eCommerce[[#This Row],[Status]])</f>
        <v>28620410</v>
      </c>
      <c r="R218" s="13">
        <f>SUMIFS(L:L,H:H,Online_eCommerce[[#This Row],[Brand]])</f>
        <v>10087000</v>
      </c>
      <c r="S218" s="13">
        <f>SUMIF(H:H,Online_eCommerce[[#This Row],[Brand]],M:M)</f>
        <v>13113100</v>
      </c>
      <c r="T218" s="13">
        <f>SUMIF(N:N,Online_eCommerce[[#This Row],[Assigned Supervisor]],L:L)</f>
        <v>14373360</v>
      </c>
    </row>
    <row r="219" spans="1:20" hidden="1" x14ac:dyDescent="0.3">
      <c r="A219" t="s">
        <v>514</v>
      </c>
      <c r="B219" t="s">
        <v>283</v>
      </c>
      <c r="C219" t="s">
        <v>63</v>
      </c>
      <c r="D219" t="s">
        <v>477</v>
      </c>
      <c r="E219" t="s">
        <v>96</v>
      </c>
      <c r="F219" t="s">
        <v>515</v>
      </c>
      <c r="G219" t="s">
        <v>40</v>
      </c>
      <c r="H219" t="s">
        <v>41</v>
      </c>
      <c r="I219">
        <v>1680</v>
      </c>
      <c r="J219">
        <v>2184</v>
      </c>
      <c r="K219">
        <v>1</v>
      </c>
      <c r="L219">
        <v>1680</v>
      </c>
      <c r="M219">
        <v>2184</v>
      </c>
      <c r="N219" t="s">
        <v>42</v>
      </c>
      <c r="O219">
        <f t="shared" si="6"/>
        <v>25545</v>
      </c>
      <c r="P219" s="13">
        <f t="shared" si="7"/>
        <v>2016131</v>
      </c>
      <c r="Q219" s="13">
        <f>SUMIFS(M:M,E:E,Online_eCommerce[[#This Row],[Status]])</f>
        <v>21233992</v>
      </c>
      <c r="R219" s="13">
        <f>SUMIFS(L:L,H:H,Online_eCommerce[[#This Row],[Brand]])</f>
        <v>4260400</v>
      </c>
      <c r="S219" s="13">
        <f>SUMIF(H:H,Online_eCommerce[[#This Row],[Brand]],M:M)</f>
        <v>5538520</v>
      </c>
      <c r="T219" s="13">
        <f>SUMIF(N:N,Online_eCommerce[[#This Row],[Assigned Supervisor]],L:L)</f>
        <v>12261500</v>
      </c>
    </row>
    <row r="220" spans="1:20" hidden="1" x14ac:dyDescent="0.3">
      <c r="A220" t="s">
        <v>516</v>
      </c>
      <c r="B220" t="s">
        <v>287</v>
      </c>
      <c r="C220" t="s">
        <v>68</v>
      </c>
      <c r="D220" t="s">
        <v>477</v>
      </c>
      <c r="E220" t="s">
        <v>18</v>
      </c>
      <c r="F220" t="s">
        <v>101</v>
      </c>
      <c r="G220" t="s">
        <v>334</v>
      </c>
      <c r="H220" t="s">
        <v>102</v>
      </c>
      <c r="I220">
        <v>6540</v>
      </c>
      <c r="J220">
        <v>8502</v>
      </c>
      <c r="K220">
        <v>3</v>
      </c>
      <c r="L220">
        <v>19620</v>
      </c>
      <c r="M220">
        <v>25506</v>
      </c>
      <c r="N220" t="s">
        <v>50</v>
      </c>
      <c r="O220">
        <f t="shared" si="6"/>
        <v>39780</v>
      </c>
      <c r="P220" s="13">
        <f t="shared" si="7"/>
        <v>2974621</v>
      </c>
      <c r="Q220" s="13">
        <f>SUMIFS(M:M,E:E,Online_eCommerce[[#This Row],[Status]])</f>
        <v>28340455</v>
      </c>
      <c r="R220" s="13">
        <f>SUMIFS(L:L,H:H,Online_eCommerce[[#This Row],[Brand]])</f>
        <v>2465580</v>
      </c>
      <c r="S220" s="13">
        <f>SUMIF(H:H,Online_eCommerce[[#This Row],[Brand]],M:M)</f>
        <v>3205254</v>
      </c>
      <c r="T220" s="13">
        <f>SUMIF(N:N,Online_eCommerce[[#This Row],[Assigned Supervisor]],L:L)</f>
        <v>12100590</v>
      </c>
    </row>
    <row r="221" spans="1:20" hidden="1" x14ac:dyDescent="0.3">
      <c r="A221" t="s">
        <v>517</v>
      </c>
      <c r="B221" t="s">
        <v>290</v>
      </c>
      <c r="C221" t="s">
        <v>74</v>
      </c>
      <c r="D221" t="s">
        <v>477</v>
      </c>
      <c r="E221" t="s">
        <v>161</v>
      </c>
      <c r="F221" t="s">
        <v>107</v>
      </c>
      <c r="G221" t="s">
        <v>54</v>
      </c>
      <c r="H221" t="s">
        <v>55</v>
      </c>
      <c r="I221">
        <v>2680</v>
      </c>
      <c r="J221">
        <v>3484</v>
      </c>
      <c r="K221">
        <v>3</v>
      </c>
      <c r="L221">
        <v>8040</v>
      </c>
      <c r="M221">
        <v>10452</v>
      </c>
      <c r="N221" t="s">
        <v>56</v>
      </c>
      <c r="O221">
        <f t="shared" si="6"/>
        <v>2990</v>
      </c>
      <c r="P221" s="13">
        <f t="shared" si="7"/>
        <v>2144701</v>
      </c>
      <c r="Q221" s="13">
        <f>SUMIFS(M:M,E:E,Online_eCommerce[[#This Row],[Status]])</f>
        <v>21103186</v>
      </c>
      <c r="R221" s="13">
        <f>SUMIFS(L:L,H:H,Online_eCommerce[[#This Row],[Brand]])</f>
        <v>2267380</v>
      </c>
      <c r="S221" s="13">
        <f>SUMIF(H:H,Online_eCommerce[[#This Row],[Brand]],M:M)</f>
        <v>2947594</v>
      </c>
      <c r="T221" s="13">
        <f>SUMIF(N:N,Online_eCommerce[[#This Row],[Assigned Supervisor]],L:L)</f>
        <v>11733610</v>
      </c>
    </row>
    <row r="222" spans="1:20" x14ac:dyDescent="0.3">
      <c r="A222" t="s">
        <v>518</v>
      </c>
      <c r="B222" t="s">
        <v>15</v>
      </c>
      <c r="C222" t="s">
        <v>81</v>
      </c>
      <c r="D222" t="s">
        <v>477</v>
      </c>
      <c r="E222" t="s">
        <v>46</v>
      </c>
      <c r="F222" t="s">
        <v>112</v>
      </c>
      <c r="G222" t="s">
        <v>71</v>
      </c>
      <c r="H222" t="s">
        <v>21</v>
      </c>
      <c r="I222">
        <v>8250</v>
      </c>
      <c r="J222">
        <v>10725</v>
      </c>
      <c r="K222">
        <v>1</v>
      </c>
      <c r="L222">
        <v>8250</v>
      </c>
      <c r="M222">
        <v>10725</v>
      </c>
      <c r="N222" t="s">
        <v>22</v>
      </c>
      <c r="O222">
        <f t="shared" si="6"/>
        <v>9750</v>
      </c>
      <c r="P222" s="13">
        <f t="shared" si="7"/>
        <v>2595632</v>
      </c>
      <c r="Q222" s="13">
        <f>SUMIFS(M:M,E:E,Online_eCommerce[[#This Row],[Status]])</f>
        <v>28620410</v>
      </c>
      <c r="R222" s="13">
        <f>SUMIFS(L:L,H:H,Online_eCommerce[[#This Row],[Brand]])</f>
        <v>12435650</v>
      </c>
      <c r="S222" s="13">
        <f>SUMIF(H:H,Online_eCommerce[[#This Row],[Brand]],M:M)</f>
        <v>16166345</v>
      </c>
      <c r="T222" s="13">
        <f>SUMIF(N:N,Online_eCommerce[[#This Row],[Assigned Supervisor]],L:L)</f>
        <v>13693220</v>
      </c>
    </row>
    <row r="223" spans="1:20" hidden="1" x14ac:dyDescent="0.3">
      <c r="A223" t="s">
        <v>519</v>
      </c>
      <c r="B223" t="s">
        <v>202</v>
      </c>
      <c r="C223" t="s">
        <v>86</v>
      </c>
      <c r="D223" t="s">
        <v>477</v>
      </c>
      <c r="E223" t="s">
        <v>96</v>
      </c>
      <c r="F223" t="s">
        <v>488</v>
      </c>
      <c r="G223" t="s">
        <v>40</v>
      </c>
      <c r="H223" t="s">
        <v>21</v>
      </c>
      <c r="I223">
        <v>2650</v>
      </c>
      <c r="J223">
        <v>3445</v>
      </c>
      <c r="K223">
        <v>3</v>
      </c>
      <c r="L223">
        <v>7950</v>
      </c>
      <c r="M223">
        <v>10335</v>
      </c>
      <c r="N223" t="s">
        <v>28</v>
      </c>
      <c r="O223">
        <f t="shared" si="6"/>
        <v>25545</v>
      </c>
      <c r="P223" s="13">
        <f t="shared" si="7"/>
        <v>1941225</v>
      </c>
      <c r="Q223" s="13">
        <f>SUMIFS(M:M,E:E,Online_eCommerce[[#This Row],[Status]])</f>
        <v>21233992</v>
      </c>
      <c r="R223" s="13">
        <f>SUMIFS(L:L,H:H,Online_eCommerce[[#This Row],[Brand]])</f>
        <v>12435650</v>
      </c>
      <c r="S223" s="13">
        <f>SUMIF(H:H,Online_eCommerce[[#This Row],[Brand]],M:M)</f>
        <v>16166345</v>
      </c>
      <c r="T223" s="13">
        <f>SUMIF(N:N,Online_eCommerce[[#This Row],[Assigned Supervisor]],L:L)</f>
        <v>12220830</v>
      </c>
    </row>
    <row r="224" spans="1:20" hidden="1" x14ac:dyDescent="0.3">
      <c r="A224" t="s">
        <v>520</v>
      </c>
      <c r="B224" t="s">
        <v>30</v>
      </c>
      <c r="C224" t="s">
        <v>91</v>
      </c>
      <c r="D224" t="s">
        <v>477</v>
      </c>
      <c r="E224" t="s">
        <v>18</v>
      </c>
      <c r="F224" t="s">
        <v>121</v>
      </c>
      <c r="G224" t="s">
        <v>71</v>
      </c>
      <c r="H224" t="s">
        <v>122</v>
      </c>
      <c r="I224">
        <v>12550</v>
      </c>
      <c r="J224">
        <v>16315</v>
      </c>
      <c r="K224">
        <v>4</v>
      </c>
      <c r="L224">
        <v>50200</v>
      </c>
      <c r="M224">
        <v>65260</v>
      </c>
      <c r="N224" t="s">
        <v>35</v>
      </c>
      <c r="O224">
        <f t="shared" si="6"/>
        <v>9750</v>
      </c>
      <c r="P224" s="13">
        <f t="shared" si="7"/>
        <v>2731963</v>
      </c>
      <c r="Q224" s="13">
        <f>SUMIFS(M:M,E:E,Online_eCommerce[[#This Row],[Status]])</f>
        <v>28340455</v>
      </c>
      <c r="R224" s="13">
        <f>SUMIFS(L:L,H:H,Online_eCommerce[[#This Row],[Brand]])</f>
        <v>5045100</v>
      </c>
      <c r="S224" s="13">
        <f>SUMIF(H:H,Online_eCommerce[[#This Row],[Brand]],M:M)</f>
        <v>6558630</v>
      </c>
      <c r="T224" s="13">
        <f>SUMIF(N:N,Online_eCommerce[[#This Row],[Assigned Supervisor]],L:L)</f>
        <v>14373360</v>
      </c>
    </row>
    <row r="225" spans="1:20" hidden="1" x14ac:dyDescent="0.3">
      <c r="A225" t="s">
        <v>521</v>
      </c>
      <c r="B225" t="s">
        <v>37</v>
      </c>
      <c r="C225" t="s">
        <v>94</v>
      </c>
      <c r="D225" t="s">
        <v>477</v>
      </c>
      <c r="E225" t="s">
        <v>161</v>
      </c>
      <c r="F225" t="s">
        <v>126</v>
      </c>
      <c r="G225" t="s">
        <v>26</v>
      </c>
      <c r="H225" t="s">
        <v>27</v>
      </c>
      <c r="I225">
        <v>14500</v>
      </c>
      <c r="J225">
        <v>18850</v>
      </c>
      <c r="K225">
        <v>1</v>
      </c>
      <c r="L225">
        <v>14500</v>
      </c>
      <c r="M225">
        <v>18850</v>
      </c>
      <c r="N225" t="s">
        <v>42</v>
      </c>
      <c r="O225">
        <f t="shared" si="6"/>
        <v>33150</v>
      </c>
      <c r="P225" s="13">
        <f t="shared" si="7"/>
        <v>1868256</v>
      </c>
      <c r="Q225" s="13">
        <f>SUMIFS(M:M,E:E,Online_eCommerce[[#This Row],[Status]])</f>
        <v>21103186</v>
      </c>
      <c r="R225" s="13">
        <f>SUMIFS(L:L,H:H,Online_eCommerce[[#This Row],[Brand]])</f>
        <v>14431000</v>
      </c>
      <c r="S225" s="13">
        <f>SUMIF(H:H,Online_eCommerce[[#This Row],[Brand]],M:M)</f>
        <v>18760300</v>
      </c>
      <c r="T225" s="13">
        <f>SUMIF(N:N,Online_eCommerce[[#This Row],[Assigned Supervisor]],L:L)</f>
        <v>12261500</v>
      </c>
    </row>
    <row r="226" spans="1:20" x14ac:dyDescent="0.3">
      <c r="A226" t="s">
        <v>522</v>
      </c>
      <c r="B226" t="s">
        <v>44</v>
      </c>
      <c r="C226" t="s">
        <v>99</v>
      </c>
      <c r="D226" t="s">
        <v>477</v>
      </c>
      <c r="E226" t="s">
        <v>46</v>
      </c>
      <c r="F226" t="s">
        <v>129</v>
      </c>
      <c r="G226" t="s">
        <v>60</v>
      </c>
      <c r="H226" t="s">
        <v>61</v>
      </c>
      <c r="I226">
        <v>800</v>
      </c>
      <c r="J226">
        <v>1040</v>
      </c>
      <c r="K226">
        <v>4</v>
      </c>
      <c r="L226">
        <v>3200</v>
      </c>
      <c r="M226">
        <v>4160</v>
      </c>
      <c r="N226" t="s">
        <v>50</v>
      </c>
      <c r="O226">
        <f t="shared" si="6"/>
        <v>3315</v>
      </c>
      <c r="P226" s="13">
        <f t="shared" si="7"/>
        <v>2651233</v>
      </c>
      <c r="Q226" s="13">
        <f>SUMIFS(M:M,E:E,Online_eCommerce[[#This Row],[Status]])</f>
        <v>28620410</v>
      </c>
      <c r="R226" s="13">
        <f>SUMIFS(L:L,H:H,Online_eCommerce[[#This Row],[Brand]])</f>
        <v>10950150</v>
      </c>
      <c r="S226" s="13">
        <f>SUMIF(H:H,Online_eCommerce[[#This Row],[Brand]],M:M)</f>
        <v>14235195</v>
      </c>
      <c r="T226" s="13">
        <f>SUMIF(N:N,Online_eCommerce[[#This Row],[Assigned Supervisor]],L:L)</f>
        <v>12100590</v>
      </c>
    </row>
    <row r="227" spans="1:20" hidden="1" x14ac:dyDescent="0.3">
      <c r="A227" t="s">
        <v>523</v>
      </c>
      <c r="B227" t="s">
        <v>213</v>
      </c>
      <c r="C227" t="s">
        <v>105</v>
      </c>
      <c r="D227" t="s">
        <v>477</v>
      </c>
      <c r="E227" t="s">
        <v>96</v>
      </c>
      <c r="F227" t="s">
        <v>133</v>
      </c>
      <c r="G227" t="s">
        <v>66</v>
      </c>
      <c r="H227" t="s">
        <v>21</v>
      </c>
      <c r="I227">
        <v>600</v>
      </c>
      <c r="J227">
        <v>780</v>
      </c>
      <c r="K227">
        <v>4</v>
      </c>
      <c r="L227">
        <v>2400</v>
      </c>
      <c r="M227">
        <v>3120</v>
      </c>
      <c r="N227" t="s">
        <v>56</v>
      </c>
      <c r="O227">
        <f t="shared" si="6"/>
        <v>1690</v>
      </c>
      <c r="P227" s="13">
        <f t="shared" si="7"/>
        <v>1866852</v>
      </c>
      <c r="Q227" s="13">
        <f>SUMIFS(M:M,E:E,Online_eCommerce[[#This Row],[Status]])</f>
        <v>21233992</v>
      </c>
      <c r="R227" s="13">
        <f>SUMIFS(L:L,H:H,Online_eCommerce[[#This Row],[Brand]])</f>
        <v>12435650</v>
      </c>
      <c r="S227" s="13">
        <f>SUMIF(H:H,Online_eCommerce[[#This Row],[Brand]],M:M)</f>
        <v>16166345</v>
      </c>
      <c r="T227" s="13">
        <f>SUMIF(N:N,Online_eCommerce[[#This Row],[Assigned Supervisor]],L:L)</f>
        <v>11733610</v>
      </c>
    </row>
    <row r="228" spans="1:20" hidden="1" x14ac:dyDescent="0.3">
      <c r="A228" t="s">
        <v>524</v>
      </c>
      <c r="B228" t="s">
        <v>215</v>
      </c>
      <c r="C228" t="s">
        <v>110</v>
      </c>
      <c r="D228" t="s">
        <v>525</v>
      </c>
      <c r="E228" t="s">
        <v>18</v>
      </c>
      <c r="F228" t="s">
        <v>137</v>
      </c>
      <c r="G228" t="s">
        <v>71</v>
      </c>
      <c r="H228" t="s">
        <v>61</v>
      </c>
      <c r="I228">
        <v>10500</v>
      </c>
      <c r="J228">
        <v>13650</v>
      </c>
      <c r="K228">
        <v>3</v>
      </c>
      <c r="L228">
        <v>31500</v>
      </c>
      <c r="M228">
        <v>40950</v>
      </c>
      <c r="N228" t="s">
        <v>22</v>
      </c>
      <c r="O228">
        <f t="shared" si="6"/>
        <v>9750</v>
      </c>
      <c r="P228" s="13">
        <f t="shared" si="7"/>
        <v>2598635</v>
      </c>
      <c r="Q228" s="13">
        <f>SUMIFS(M:M,E:E,Online_eCommerce[[#This Row],[Status]])</f>
        <v>28340455</v>
      </c>
      <c r="R228" s="13">
        <f>SUMIFS(L:L,H:H,Online_eCommerce[[#This Row],[Brand]])</f>
        <v>10950150</v>
      </c>
      <c r="S228" s="13">
        <f>SUMIF(H:H,Online_eCommerce[[#This Row],[Brand]],M:M)</f>
        <v>14235195</v>
      </c>
      <c r="T228" s="13">
        <f>SUMIF(N:N,Online_eCommerce[[#This Row],[Assigned Supervisor]],L:L)</f>
        <v>13693220</v>
      </c>
    </row>
    <row r="229" spans="1:20" hidden="1" x14ac:dyDescent="0.3">
      <c r="A229" t="s">
        <v>526</v>
      </c>
      <c r="B229" t="s">
        <v>306</v>
      </c>
      <c r="C229" t="s">
        <v>115</v>
      </c>
      <c r="D229" t="s">
        <v>525</v>
      </c>
      <c r="E229" t="s">
        <v>161</v>
      </c>
      <c r="F229" t="s">
        <v>496</v>
      </c>
      <c r="G229" t="s">
        <v>77</v>
      </c>
      <c r="H229" t="s">
        <v>142</v>
      </c>
      <c r="I229">
        <v>6500</v>
      </c>
      <c r="J229">
        <v>8450</v>
      </c>
      <c r="K229">
        <v>2</v>
      </c>
      <c r="L229">
        <v>13000</v>
      </c>
      <c r="M229">
        <v>16900</v>
      </c>
      <c r="N229" t="s">
        <v>28</v>
      </c>
      <c r="O229">
        <f t="shared" si="6"/>
        <v>39000</v>
      </c>
      <c r="P229" s="13">
        <f t="shared" si="7"/>
        <v>2050178</v>
      </c>
      <c r="Q229" s="13">
        <f>SUMIFS(M:M,E:E,Online_eCommerce[[#This Row],[Status]])</f>
        <v>21103186</v>
      </c>
      <c r="R229" s="13">
        <f>SUMIFS(L:L,H:H,Online_eCommerce[[#This Row],[Brand]])</f>
        <v>6192500</v>
      </c>
      <c r="S229" s="13">
        <f>SUMIF(H:H,Online_eCommerce[[#This Row],[Brand]],M:M)</f>
        <v>8050250</v>
      </c>
      <c r="T229" s="13">
        <f>SUMIF(N:N,Online_eCommerce[[#This Row],[Assigned Supervisor]],L:L)</f>
        <v>12220830</v>
      </c>
    </row>
    <row r="230" spans="1:20" x14ac:dyDescent="0.3">
      <c r="A230" t="s">
        <v>527</v>
      </c>
      <c r="B230" t="s">
        <v>528</v>
      </c>
      <c r="C230" t="s">
        <v>120</v>
      </c>
      <c r="D230" t="s">
        <v>525</v>
      </c>
      <c r="E230" t="s">
        <v>46</v>
      </c>
      <c r="F230" t="s">
        <v>529</v>
      </c>
      <c r="G230" t="s">
        <v>20</v>
      </c>
      <c r="H230" t="s">
        <v>21</v>
      </c>
      <c r="I230">
        <v>4500</v>
      </c>
      <c r="J230">
        <v>5850</v>
      </c>
      <c r="K230">
        <v>1</v>
      </c>
      <c r="L230">
        <v>4500</v>
      </c>
      <c r="M230">
        <v>5850</v>
      </c>
      <c r="N230" t="s">
        <v>35</v>
      </c>
      <c r="O230">
        <f t="shared" si="6"/>
        <v>8450</v>
      </c>
      <c r="P230" s="13">
        <f t="shared" si="7"/>
        <v>2734212</v>
      </c>
      <c r="Q230" s="13">
        <f>SUMIFS(M:M,E:E,Online_eCommerce[[#This Row],[Status]])</f>
        <v>28620410</v>
      </c>
      <c r="R230" s="13">
        <f>SUMIFS(L:L,H:H,Online_eCommerce[[#This Row],[Brand]])</f>
        <v>12435650</v>
      </c>
      <c r="S230" s="13">
        <f>SUMIF(H:H,Online_eCommerce[[#This Row],[Brand]],M:M)</f>
        <v>16166345</v>
      </c>
      <c r="T230" s="13">
        <f>SUMIF(N:N,Online_eCommerce[[#This Row],[Assigned Supervisor]],L:L)</f>
        <v>14373360</v>
      </c>
    </row>
    <row r="231" spans="1:20" hidden="1" x14ac:dyDescent="0.3">
      <c r="A231" t="s">
        <v>530</v>
      </c>
      <c r="B231" t="s">
        <v>73</v>
      </c>
      <c r="C231" t="s">
        <v>125</v>
      </c>
      <c r="D231" t="s">
        <v>525</v>
      </c>
      <c r="E231" t="s">
        <v>96</v>
      </c>
      <c r="F231" t="s">
        <v>152</v>
      </c>
      <c r="G231" t="s">
        <v>26</v>
      </c>
      <c r="H231" t="s">
        <v>27</v>
      </c>
      <c r="I231">
        <v>8500</v>
      </c>
      <c r="J231">
        <v>11050</v>
      </c>
      <c r="K231">
        <v>4</v>
      </c>
      <c r="L231">
        <v>34000</v>
      </c>
      <c r="M231">
        <v>44200</v>
      </c>
      <c r="N231" t="s">
        <v>42</v>
      </c>
      <c r="O231">
        <f t="shared" si="6"/>
        <v>33150</v>
      </c>
      <c r="P231" s="13">
        <f t="shared" si="7"/>
        <v>2091154</v>
      </c>
      <c r="Q231" s="13">
        <f>SUMIFS(M:M,E:E,Online_eCommerce[[#This Row],[Status]])</f>
        <v>21233992</v>
      </c>
      <c r="R231" s="13">
        <f>SUMIFS(L:L,H:H,Online_eCommerce[[#This Row],[Brand]])</f>
        <v>14431000</v>
      </c>
      <c r="S231" s="13">
        <f>SUMIF(H:H,Online_eCommerce[[#This Row],[Brand]],M:M)</f>
        <v>18760300</v>
      </c>
      <c r="T231" s="13">
        <f>SUMIF(N:N,Online_eCommerce[[#This Row],[Assigned Supervisor]],L:L)</f>
        <v>12261500</v>
      </c>
    </row>
    <row r="232" spans="1:20" hidden="1" x14ac:dyDescent="0.3">
      <c r="A232" t="s">
        <v>531</v>
      </c>
      <c r="B232" t="s">
        <v>80</v>
      </c>
      <c r="C232" t="s">
        <v>22</v>
      </c>
      <c r="D232" t="s">
        <v>525</v>
      </c>
      <c r="E232" t="s">
        <v>18</v>
      </c>
      <c r="F232" t="s">
        <v>157</v>
      </c>
      <c r="G232" t="s">
        <v>33</v>
      </c>
      <c r="H232" t="s">
        <v>34</v>
      </c>
      <c r="I232">
        <v>12500</v>
      </c>
      <c r="J232">
        <v>16250</v>
      </c>
      <c r="K232">
        <v>3</v>
      </c>
      <c r="L232">
        <v>37500</v>
      </c>
      <c r="M232">
        <v>48750</v>
      </c>
      <c r="N232" t="s">
        <v>50</v>
      </c>
      <c r="O232">
        <f t="shared" si="6"/>
        <v>18200</v>
      </c>
      <c r="P232" s="13">
        <f t="shared" si="7"/>
        <v>2551588</v>
      </c>
      <c r="Q232" s="13">
        <f>SUMIFS(M:M,E:E,Online_eCommerce[[#This Row],[Status]])</f>
        <v>28340455</v>
      </c>
      <c r="R232" s="13">
        <f>SUMIFS(L:L,H:H,Online_eCommerce[[#This Row],[Brand]])</f>
        <v>10087000</v>
      </c>
      <c r="S232" s="13">
        <f>SUMIF(H:H,Online_eCommerce[[#This Row],[Brand]],M:M)</f>
        <v>13113100</v>
      </c>
      <c r="T232" s="13">
        <f>SUMIF(N:N,Online_eCommerce[[#This Row],[Assigned Supervisor]],L:L)</f>
        <v>12100590</v>
      </c>
    </row>
    <row r="233" spans="1:20" hidden="1" x14ac:dyDescent="0.3">
      <c r="A233" t="s">
        <v>532</v>
      </c>
      <c r="B233" t="s">
        <v>85</v>
      </c>
      <c r="C233" t="s">
        <v>132</v>
      </c>
      <c r="D233" t="s">
        <v>525</v>
      </c>
      <c r="E233" t="s">
        <v>161</v>
      </c>
      <c r="F233" t="s">
        <v>533</v>
      </c>
      <c r="G233" t="s">
        <v>163</v>
      </c>
      <c r="H233" t="s">
        <v>41</v>
      </c>
      <c r="I233">
        <v>3500</v>
      </c>
      <c r="J233">
        <v>4550</v>
      </c>
      <c r="K233">
        <v>1</v>
      </c>
      <c r="L233">
        <v>3500</v>
      </c>
      <c r="M233">
        <v>4550</v>
      </c>
      <c r="N233" t="s">
        <v>56</v>
      </c>
      <c r="O233">
        <f t="shared" si="6"/>
        <v>13650</v>
      </c>
      <c r="P233" s="13">
        <f t="shared" si="7"/>
        <v>1989065</v>
      </c>
      <c r="Q233" s="13">
        <f>SUMIFS(M:M,E:E,Online_eCommerce[[#This Row],[Status]])</f>
        <v>21103186</v>
      </c>
      <c r="R233" s="13">
        <f>SUMIFS(L:L,H:H,Online_eCommerce[[#This Row],[Brand]])</f>
        <v>4260400</v>
      </c>
      <c r="S233" s="13">
        <f>SUMIF(H:H,Online_eCommerce[[#This Row],[Brand]],M:M)</f>
        <v>5538520</v>
      </c>
      <c r="T233" s="13">
        <f>SUMIF(N:N,Online_eCommerce[[#This Row],[Assigned Supervisor]],L:L)</f>
        <v>11733610</v>
      </c>
    </row>
    <row r="234" spans="1:20" x14ac:dyDescent="0.3">
      <c r="A234" t="s">
        <v>534</v>
      </c>
      <c r="B234" t="s">
        <v>90</v>
      </c>
      <c r="C234" t="s">
        <v>136</v>
      </c>
      <c r="D234" t="s">
        <v>525</v>
      </c>
      <c r="E234" t="s">
        <v>46</v>
      </c>
      <c r="F234" t="s">
        <v>166</v>
      </c>
      <c r="G234" t="s">
        <v>66</v>
      </c>
      <c r="H234" t="s">
        <v>49</v>
      </c>
      <c r="I234">
        <v>4500</v>
      </c>
      <c r="J234">
        <v>5850</v>
      </c>
      <c r="K234">
        <v>1</v>
      </c>
      <c r="L234">
        <v>4500</v>
      </c>
      <c r="M234">
        <v>5850</v>
      </c>
      <c r="N234" t="s">
        <v>42</v>
      </c>
      <c r="O234">
        <f t="shared" si="6"/>
        <v>1690</v>
      </c>
      <c r="P234" s="13">
        <f t="shared" si="7"/>
        <v>2775162</v>
      </c>
      <c r="Q234" s="13">
        <f>SUMIFS(M:M,E:E,Online_eCommerce[[#This Row],[Status]])</f>
        <v>28620410</v>
      </c>
      <c r="R234" s="13">
        <f>SUMIFS(L:L,H:H,Online_eCommerce[[#This Row],[Brand]])</f>
        <v>4528350</v>
      </c>
      <c r="S234" s="13">
        <f>SUMIF(H:H,Online_eCommerce[[#This Row],[Brand]],M:M)</f>
        <v>5886855</v>
      </c>
      <c r="T234" s="13">
        <f>SUMIF(N:N,Online_eCommerce[[#This Row],[Assigned Supervisor]],L:L)</f>
        <v>12261500</v>
      </c>
    </row>
    <row r="235" spans="1:20" hidden="1" x14ac:dyDescent="0.3">
      <c r="A235" t="s">
        <v>535</v>
      </c>
      <c r="B235" t="s">
        <v>232</v>
      </c>
      <c r="C235" t="s">
        <v>140</v>
      </c>
      <c r="D235" t="s">
        <v>525</v>
      </c>
      <c r="E235" t="s">
        <v>96</v>
      </c>
      <c r="F235" t="s">
        <v>536</v>
      </c>
      <c r="G235" t="s">
        <v>54</v>
      </c>
      <c r="H235" t="s">
        <v>55</v>
      </c>
      <c r="I235">
        <v>2100</v>
      </c>
      <c r="J235">
        <v>2730</v>
      </c>
      <c r="K235">
        <v>1</v>
      </c>
      <c r="L235">
        <v>2100</v>
      </c>
      <c r="M235">
        <v>2730</v>
      </c>
      <c r="N235" t="s">
        <v>50</v>
      </c>
      <c r="O235">
        <f t="shared" si="6"/>
        <v>2990</v>
      </c>
      <c r="P235" s="13">
        <f t="shared" si="7"/>
        <v>2058264</v>
      </c>
      <c r="Q235" s="13">
        <f>SUMIFS(M:M,E:E,Online_eCommerce[[#This Row],[Status]])</f>
        <v>21233992</v>
      </c>
      <c r="R235" s="13">
        <f>SUMIFS(L:L,H:H,Online_eCommerce[[#This Row],[Brand]])</f>
        <v>2267380</v>
      </c>
      <c r="S235" s="13">
        <f>SUMIF(H:H,Online_eCommerce[[#This Row],[Brand]],M:M)</f>
        <v>2947594</v>
      </c>
      <c r="T235" s="13">
        <f>SUMIF(N:N,Online_eCommerce[[#This Row],[Assigned Supervisor]],L:L)</f>
        <v>12100590</v>
      </c>
    </row>
    <row r="236" spans="1:20" hidden="1" x14ac:dyDescent="0.3">
      <c r="A236" t="s">
        <v>537</v>
      </c>
      <c r="B236" t="s">
        <v>235</v>
      </c>
      <c r="C236" t="s">
        <v>145</v>
      </c>
      <c r="D236" t="s">
        <v>525</v>
      </c>
      <c r="E236" t="s">
        <v>18</v>
      </c>
      <c r="F236" t="s">
        <v>174</v>
      </c>
      <c r="G236" t="s">
        <v>60</v>
      </c>
      <c r="H236" t="s">
        <v>61</v>
      </c>
      <c r="I236">
        <v>1150</v>
      </c>
      <c r="J236">
        <v>1495</v>
      </c>
      <c r="K236">
        <v>2</v>
      </c>
      <c r="L236">
        <v>2300</v>
      </c>
      <c r="M236">
        <v>2990</v>
      </c>
      <c r="N236" t="s">
        <v>56</v>
      </c>
      <c r="O236">
        <f t="shared" si="6"/>
        <v>3315</v>
      </c>
      <c r="P236" s="13">
        <f t="shared" si="7"/>
        <v>2757859</v>
      </c>
      <c r="Q236" s="13">
        <f>SUMIFS(M:M,E:E,Online_eCommerce[[#This Row],[Status]])</f>
        <v>28340455</v>
      </c>
      <c r="R236" s="13">
        <f>SUMIFS(L:L,H:H,Online_eCommerce[[#This Row],[Brand]])</f>
        <v>10950150</v>
      </c>
      <c r="S236" s="13">
        <f>SUMIF(H:H,Online_eCommerce[[#This Row],[Brand]],M:M)</f>
        <v>14235195</v>
      </c>
      <c r="T236" s="13">
        <f>SUMIF(N:N,Online_eCommerce[[#This Row],[Assigned Supervisor]],L:L)</f>
        <v>11733610</v>
      </c>
    </row>
    <row r="237" spans="1:20" hidden="1" x14ac:dyDescent="0.3">
      <c r="A237" t="s">
        <v>538</v>
      </c>
      <c r="B237" t="s">
        <v>104</v>
      </c>
      <c r="C237" t="s">
        <v>150</v>
      </c>
      <c r="D237" t="s">
        <v>525</v>
      </c>
      <c r="E237" t="s">
        <v>161</v>
      </c>
      <c r="F237" t="s">
        <v>179</v>
      </c>
      <c r="G237" t="s">
        <v>66</v>
      </c>
      <c r="H237" t="s">
        <v>21</v>
      </c>
      <c r="I237">
        <v>350</v>
      </c>
      <c r="J237">
        <v>455</v>
      </c>
      <c r="K237">
        <v>1</v>
      </c>
      <c r="L237">
        <v>350</v>
      </c>
      <c r="M237">
        <v>455</v>
      </c>
      <c r="N237" t="s">
        <v>22</v>
      </c>
      <c r="O237">
        <f t="shared" si="6"/>
        <v>1690</v>
      </c>
      <c r="P237" s="13">
        <f t="shared" si="7"/>
        <v>2154984</v>
      </c>
      <c r="Q237" s="13">
        <f>SUMIFS(M:M,E:E,Online_eCommerce[[#This Row],[Status]])</f>
        <v>21103186</v>
      </c>
      <c r="R237" s="13">
        <f>SUMIFS(L:L,H:H,Online_eCommerce[[#This Row],[Brand]])</f>
        <v>12435650</v>
      </c>
      <c r="S237" s="13">
        <f>SUMIF(H:H,Online_eCommerce[[#This Row],[Brand]],M:M)</f>
        <v>16166345</v>
      </c>
      <c r="T237" s="13">
        <f>SUMIF(N:N,Online_eCommerce[[#This Row],[Assigned Supervisor]],L:L)</f>
        <v>13693220</v>
      </c>
    </row>
    <row r="238" spans="1:20" x14ac:dyDescent="0.3">
      <c r="A238" t="s">
        <v>539</v>
      </c>
      <c r="B238" t="s">
        <v>109</v>
      </c>
      <c r="C238" t="s">
        <v>155</v>
      </c>
      <c r="D238" t="s">
        <v>525</v>
      </c>
      <c r="E238" t="s">
        <v>46</v>
      </c>
      <c r="F238" t="s">
        <v>183</v>
      </c>
      <c r="G238" t="s">
        <v>71</v>
      </c>
      <c r="H238" t="s">
        <v>61</v>
      </c>
      <c r="I238">
        <v>9500</v>
      </c>
      <c r="J238">
        <v>12350</v>
      </c>
      <c r="K238">
        <v>3</v>
      </c>
      <c r="L238">
        <v>28500</v>
      </c>
      <c r="M238">
        <v>37050</v>
      </c>
      <c r="N238" t="s">
        <v>28</v>
      </c>
      <c r="O238">
        <f t="shared" si="6"/>
        <v>9750</v>
      </c>
      <c r="P238" s="13">
        <f t="shared" si="7"/>
        <v>2753348</v>
      </c>
      <c r="Q238" s="13">
        <f>SUMIFS(M:M,E:E,Online_eCommerce[[#This Row],[Status]])</f>
        <v>28620410</v>
      </c>
      <c r="R238" s="13">
        <f>SUMIFS(L:L,H:H,Online_eCommerce[[#This Row],[Brand]])</f>
        <v>10950150</v>
      </c>
      <c r="S238" s="13">
        <f>SUMIF(H:H,Online_eCommerce[[#This Row],[Brand]],M:M)</f>
        <v>14235195</v>
      </c>
      <c r="T238" s="13">
        <f>SUMIF(N:N,Online_eCommerce[[#This Row],[Assigned Supervisor]],L:L)</f>
        <v>12220830</v>
      </c>
    </row>
    <row r="239" spans="1:20" hidden="1" x14ac:dyDescent="0.3">
      <c r="A239" t="s">
        <v>540</v>
      </c>
      <c r="B239" t="s">
        <v>114</v>
      </c>
      <c r="C239" t="s">
        <v>160</v>
      </c>
      <c r="D239" t="s">
        <v>525</v>
      </c>
      <c r="E239" t="s">
        <v>96</v>
      </c>
      <c r="F239" t="s">
        <v>541</v>
      </c>
      <c r="G239" t="s">
        <v>77</v>
      </c>
      <c r="H239" t="s">
        <v>142</v>
      </c>
      <c r="I239">
        <v>10000</v>
      </c>
      <c r="J239">
        <v>13000</v>
      </c>
      <c r="K239">
        <v>4</v>
      </c>
      <c r="L239">
        <v>40000</v>
      </c>
      <c r="M239">
        <v>52000</v>
      </c>
      <c r="N239" t="s">
        <v>35</v>
      </c>
      <c r="O239">
        <f t="shared" si="6"/>
        <v>39000</v>
      </c>
      <c r="P239" s="13">
        <f t="shared" si="7"/>
        <v>2303483</v>
      </c>
      <c r="Q239" s="13">
        <f>SUMIFS(M:M,E:E,Online_eCommerce[[#This Row],[Status]])</f>
        <v>21233992</v>
      </c>
      <c r="R239" s="13">
        <f>SUMIFS(L:L,H:H,Online_eCommerce[[#This Row],[Brand]])</f>
        <v>6192500</v>
      </c>
      <c r="S239" s="13">
        <f>SUMIF(H:H,Online_eCommerce[[#This Row],[Brand]],M:M)</f>
        <v>8050250</v>
      </c>
      <c r="T239" s="13">
        <f>SUMIF(N:N,Online_eCommerce[[#This Row],[Assigned Supervisor]],L:L)</f>
        <v>14373360</v>
      </c>
    </row>
    <row r="240" spans="1:20" hidden="1" x14ac:dyDescent="0.3">
      <c r="A240" t="s">
        <v>542</v>
      </c>
      <c r="B240" t="s">
        <v>119</v>
      </c>
      <c r="C240" t="s">
        <v>165</v>
      </c>
      <c r="D240" t="s">
        <v>525</v>
      </c>
      <c r="E240" t="s">
        <v>18</v>
      </c>
      <c r="F240" t="s">
        <v>543</v>
      </c>
      <c r="G240" t="s">
        <v>20</v>
      </c>
      <c r="H240" t="s">
        <v>21</v>
      </c>
      <c r="I240">
        <v>6500</v>
      </c>
      <c r="J240">
        <v>8450</v>
      </c>
      <c r="K240">
        <v>3</v>
      </c>
      <c r="L240">
        <v>19500</v>
      </c>
      <c r="M240">
        <v>25350</v>
      </c>
      <c r="N240" t="s">
        <v>42</v>
      </c>
      <c r="O240">
        <f t="shared" si="6"/>
        <v>8450</v>
      </c>
      <c r="P240" s="13">
        <f t="shared" si="7"/>
        <v>2674087</v>
      </c>
      <c r="Q240" s="13">
        <f>SUMIFS(M:M,E:E,Online_eCommerce[[#This Row],[Status]])</f>
        <v>28340455</v>
      </c>
      <c r="R240" s="13">
        <f>SUMIFS(L:L,H:H,Online_eCommerce[[#This Row],[Brand]])</f>
        <v>12435650</v>
      </c>
      <c r="S240" s="13">
        <f>SUMIF(H:H,Online_eCommerce[[#This Row],[Brand]],M:M)</f>
        <v>16166345</v>
      </c>
      <c r="T240" s="13">
        <f>SUMIF(N:N,Online_eCommerce[[#This Row],[Assigned Supervisor]],L:L)</f>
        <v>12261500</v>
      </c>
    </row>
    <row r="241" spans="1:20" hidden="1" x14ac:dyDescent="0.3">
      <c r="A241" t="s">
        <v>544</v>
      </c>
      <c r="B241" t="s">
        <v>124</v>
      </c>
      <c r="C241" t="s">
        <v>168</v>
      </c>
      <c r="D241" t="s">
        <v>525</v>
      </c>
      <c r="E241" t="s">
        <v>161</v>
      </c>
      <c r="F241" t="s">
        <v>545</v>
      </c>
      <c r="G241" t="s">
        <v>26</v>
      </c>
      <c r="H241" t="s">
        <v>27</v>
      </c>
      <c r="I241">
        <v>8500</v>
      </c>
      <c r="J241">
        <v>11050</v>
      </c>
      <c r="K241">
        <v>1</v>
      </c>
      <c r="L241">
        <v>8500</v>
      </c>
      <c r="M241">
        <v>11050</v>
      </c>
      <c r="N241" t="s">
        <v>50</v>
      </c>
      <c r="O241">
        <f t="shared" si="6"/>
        <v>33150</v>
      </c>
      <c r="P241" s="13">
        <f t="shared" si="7"/>
        <v>1937780</v>
      </c>
      <c r="Q241" s="13">
        <f>SUMIFS(M:M,E:E,Online_eCommerce[[#This Row],[Status]])</f>
        <v>21103186</v>
      </c>
      <c r="R241" s="13">
        <f>SUMIFS(L:L,H:H,Online_eCommerce[[#This Row],[Brand]])</f>
        <v>14431000</v>
      </c>
      <c r="S241" s="13">
        <f>SUMIF(H:H,Online_eCommerce[[#This Row],[Brand]],M:M)</f>
        <v>18760300</v>
      </c>
      <c r="T241" s="13">
        <f>SUMIF(N:N,Online_eCommerce[[#This Row],[Assigned Supervisor]],L:L)</f>
        <v>12100590</v>
      </c>
    </row>
    <row r="242" spans="1:20" x14ac:dyDescent="0.3">
      <c r="A242" t="s">
        <v>546</v>
      </c>
      <c r="B242" t="s">
        <v>128</v>
      </c>
      <c r="C242" t="s">
        <v>172</v>
      </c>
      <c r="D242" t="s">
        <v>525</v>
      </c>
      <c r="E242" t="s">
        <v>46</v>
      </c>
      <c r="F242" t="s">
        <v>32</v>
      </c>
      <c r="G242" t="s">
        <v>33</v>
      </c>
      <c r="H242" t="s">
        <v>34</v>
      </c>
      <c r="I242">
        <v>7000</v>
      </c>
      <c r="J242">
        <v>9100</v>
      </c>
      <c r="K242">
        <v>2</v>
      </c>
      <c r="L242">
        <v>14000</v>
      </c>
      <c r="M242">
        <v>18200</v>
      </c>
      <c r="N242" t="s">
        <v>56</v>
      </c>
      <c r="O242">
        <f t="shared" si="6"/>
        <v>18200</v>
      </c>
      <c r="P242" s="13">
        <f t="shared" si="7"/>
        <v>2640274</v>
      </c>
      <c r="Q242" s="13">
        <f>SUMIFS(M:M,E:E,Online_eCommerce[[#This Row],[Status]])</f>
        <v>28620410</v>
      </c>
      <c r="R242" s="13">
        <f>SUMIFS(L:L,H:H,Online_eCommerce[[#This Row],[Brand]])</f>
        <v>10087000</v>
      </c>
      <c r="S242" s="13">
        <f>SUMIF(H:H,Online_eCommerce[[#This Row],[Brand]],M:M)</f>
        <v>13113100</v>
      </c>
      <c r="T242" s="13">
        <f>SUMIF(N:N,Online_eCommerce[[#This Row],[Assigned Supervisor]],L:L)</f>
        <v>11733610</v>
      </c>
    </row>
    <row r="243" spans="1:20" hidden="1" x14ac:dyDescent="0.3">
      <c r="A243" t="s">
        <v>547</v>
      </c>
      <c r="B243" t="s">
        <v>131</v>
      </c>
      <c r="C243" t="s">
        <v>177</v>
      </c>
      <c r="D243" t="s">
        <v>525</v>
      </c>
      <c r="E243" t="s">
        <v>96</v>
      </c>
      <c r="F243" t="s">
        <v>548</v>
      </c>
      <c r="G243" t="s">
        <v>163</v>
      </c>
      <c r="H243" t="s">
        <v>41</v>
      </c>
      <c r="I243">
        <v>6550</v>
      </c>
      <c r="J243">
        <v>8515</v>
      </c>
      <c r="K243">
        <v>1</v>
      </c>
      <c r="L243">
        <v>6550</v>
      </c>
      <c r="M243">
        <v>8515</v>
      </c>
      <c r="N243" t="s">
        <v>22</v>
      </c>
      <c r="O243">
        <f t="shared" si="6"/>
        <v>13650</v>
      </c>
      <c r="P243" s="13">
        <f t="shared" si="7"/>
        <v>1863810</v>
      </c>
      <c r="Q243" s="13">
        <f>SUMIFS(M:M,E:E,Online_eCommerce[[#This Row],[Status]])</f>
        <v>21233992</v>
      </c>
      <c r="R243" s="13">
        <f>SUMIFS(L:L,H:H,Online_eCommerce[[#This Row],[Brand]])</f>
        <v>4260400</v>
      </c>
      <c r="S243" s="13">
        <f>SUMIF(H:H,Online_eCommerce[[#This Row],[Brand]],M:M)</f>
        <v>5538520</v>
      </c>
      <c r="T243" s="13">
        <f>SUMIF(N:N,Online_eCommerce[[#This Row],[Assigned Supervisor]],L:L)</f>
        <v>13693220</v>
      </c>
    </row>
    <row r="244" spans="1:20" hidden="1" x14ac:dyDescent="0.3">
      <c r="A244" t="s">
        <v>549</v>
      </c>
      <c r="B244" t="s">
        <v>135</v>
      </c>
      <c r="C244" t="s">
        <v>181</v>
      </c>
      <c r="D244" t="s">
        <v>525</v>
      </c>
      <c r="E244" t="s">
        <v>18</v>
      </c>
      <c r="F244" t="s">
        <v>47</v>
      </c>
      <c r="G244" t="s">
        <v>66</v>
      </c>
      <c r="H244" t="s">
        <v>49</v>
      </c>
      <c r="I244">
        <v>7650</v>
      </c>
      <c r="J244">
        <v>9945</v>
      </c>
      <c r="K244">
        <v>4</v>
      </c>
      <c r="L244">
        <v>30600</v>
      </c>
      <c r="M244">
        <v>39780</v>
      </c>
      <c r="N244" t="s">
        <v>28</v>
      </c>
      <c r="O244">
        <f t="shared" si="6"/>
        <v>1690</v>
      </c>
      <c r="P244" s="13">
        <f t="shared" si="7"/>
        <v>2577458</v>
      </c>
      <c r="Q244" s="13">
        <f>SUMIFS(M:M,E:E,Online_eCommerce[[#This Row],[Status]])</f>
        <v>28340455</v>
      </c>
      <c r="R244" s="13">
        <f>SUMIFS(L:L,H:H,Online_eCommerce[[#This Row],[Brand]])</f>
        <v>4528350</v>
      </c>
      <c r="S244" s="13">
        <f>SUMIF(H:H,Online_eCommerce[[#This Row],[Brand]],M:M)</f>
        <v>5886855</v>
      </c>
      <c r="T244" s="13">
        <f>SUMIF(N:N,Online_eCommerce[[#This Row],[Assigned Supervisor]],L:L)</f>
        <v>12220830</v>
      </c>
    </row>
    <row r="245" spans="1:20" hidden="1" x14ac:dyDescent="0.3">
      <c r="A245" t="s">
        <v>550</v>
      </c>
      <c r="B245" t="s">
        <v>139</v>
      </c>
      <c r="C245" t="s">
        <v>185</v>
      </c>
      <c r="D245" t="s">
        <v>525</v>
      </c>
      <c r="E245" t="s">
        <v>161</v>
      </c>
      <c r="F245" t="s">
        <v>53</v>
      </c>
      <c r="G245" t="s">
        <v>54</v>
      </c>
      <c r="H245" t="s">
        <v>55</v>
      </c>
      <c r="I245">
        <v>1150</v>
      </c>
      <c r="J245">
        <v>1495</v>
      </c>
      <c r="K245">
        <v>3</v>
      </c>
      <c r="L245">
        <v>3450</v>
      </c>
      <c r="M245">
        <v>4485</v>
      </c>
      <c r="N245" t="s">
        <v>35</v>
      </c>
      <c r="O245">
        <f t="shared" si="6"/>
        <v>2990</v>
      </c>
      <c r="P245" s="13">
        <f t="shared" si="7"/>
        <v>2091596</v>
      </c>
      <c r="Q245" s="13">
        <f>SUMIFS(M:M,E:E,Online_eCommerce[[#This Row],[Status]])</f>
        <v>21103186</v>
      </c>
      <c r="R245" s="13">
        <f>SUMIFS(L:L,H:H,Online_eCommerce[[#This Row],[Brand]])</f>
        <v>2267380</v>
      </c>
      <c r="S245" s="13">
        <f>SUMIF(H:H,Online_eCommerce[[#This Row],[Brand]],M:M)</f>
        <v>2947594</v>
      </c>
      <c r="T245" s="13">
        <f>SUMIF(N:N,Online_eCommerce[[#This Row],[Assigned Supervisor]],L:L)</f>
        <v>14373360</v>
      </c>
    </row>
    <row r="246" spans="1:20" x14ac:dyDescent="0.3">
      <c r="A246" t="s">
        <v>551</v>
      </c>
      <c r="B246" t="s">
        <v>144</v>
      </c>
      <c r="C246" t="s">
        <v>189</v>
      </c>
      <c r="D246" t="s">
        <v>525</v>
      </c>
      <c r="E246" t="s">
        <v>46</v>
      </c>
      <c r="F246" t="s">
        <v>59</v>
      </c>
      <c r="G246" t="s">
        <v>60</v>
      </c>
      <c r="H246" t="s">
        <v>61</v>
      </c>
      <c r="I246">
        <v>850</v>
      </c>
      <c r="J246">
        <v>1105</v>
      </c>
      <c r="K246">
        <v>1</v>
      </c>
      <c r="L246">
        <v>850</v>
      </c>
      <c r="M246">
        <v>1105</v>
      </c>
      <c r="N246" t="s">
        <v>42</v>
      </c>
      <c r="O246">
        <f t="shared" si="6"/>
        <v>3315</v>
      </c>
      <c r="P246" s="13">
        <f t="shared" si="7"/>
        <v>2740777</v>
      </c>
      <c r="Q246" s="13">
        <f>SUMIFS(M:M,E:E,Online_eCommerce[[#This Row],[Status]])</f>
        <v>28620410</v>
      </c>
      <c r="R246" s="13">
        <f>SUMIFS(L:L,H:H,Online_eCommerce[[#This Row],[Brand]])</f>
        <v>10950150</v>
      </c>
      <c r="S246" s="13">
        <f>SUMIF(H:H,Online_eCommerce[[#This Row],[Brand]],M:M)</f>
        <v>14235195</v>
      </c>
      <c r="T246" s="13">
        <f>SUMIF(N:N,Online_eCommerce[[#This Row],[Assigned Supervisor]],L:L)</f>
        <v>12261500</v>
      </c>
    </row>
    <row r="247" spans="1:20" hidden="1" x14ac:dyDescent="0.3">
      <c r="A247" t="s">
        <v>552</v>
      </c>
      <c r="B247" t="s">
        <v>149</v>
      </c>
      <c r="C247" t="s">
        <v>193</v>
      </c>
      <c r="D247" t="s">
        <v>525</v>
      </c>
      <c r="E247" t="s">
        <v>96</v>
      </c>
      <c r="F247" t="s">
        <v>65</v>
      </c>
      <c r="G247" t="s">
        <v>66</v>
      </c>
      <c r="H247" t="s">
        <v>21</v>
      </c>
      <c r="I247">
        <v>650</v>
      </c>
      <c r="J247">
        <v>845</v>
      </c>
      <c r="K247">
        <v>3</v>
      </c>
      <c r="L247">
        <v>1950</v>
      </c>
      <c r="M247">
        <v>2535</v>
      </c>
      <c r="N247" t="s">
        <v>50</v>
      </c>
      <c r="O247">
        <f t="shared" si="6"/>
        <v>1690</v>
      </c>
      <c r="P247" s="13">
        <f t="shared" si="7"/>
        <v>2074774</v>
      </c>
      <c r="Q247" s="13">
        <f>SUMIFS(M:M,E:E,Online_eCommerce[[#This Row],[Status]])</f>
        <v>21233992</v>
      </c>
      <c r="R247" s="13">
        <f>SUMIFS(L:L,H:H,Online_eCommerce[[#This Row],[Brand]])</f>
        <v>12435650</v>
      </c>
      <c r="S247" s="13">
        <f>SUMIF(H:H,Online_eCommerce[[#This Row],[Brand]],M:M)</f>
        <v>16166345</v>
      </c>
      <c r="T247" s="13">
        <f>SUMIF(N:N,Online_eCommerce[[#This Row],[Assigned Supervisor]],L:L)</f>
        <v>12100590</v>
      </c>
    </row>
    <row r="248" spans="1:20" hidden="1" x14ac:dyDescent="0.3">
      <c r="A248" t="s">
        <v>553</v>
      </c>
      <c r="B248" t="s">
        <v>154</v>
      </c>
      <c r="C248" t="s">
        <v>197</v>
      </c>
      <c r="D248" t="s">
        <v>525</v>
      </c>
      <c r="E248" t="s">
        <v>18</v>
      </c>
      <c r="F248" t="s">
        <v>70</v>
      </c>
      <c r="G248" t="s">
        <v>71</v>
      </c>
      <c r="H248" t="s">
        <v>61</v>
      </c>
      <c r="I248">
        <v>7500</v>
      </c>
      <c r="J248">
        <v>9750</v>
      </c>
      <c r="K248">
        <v>1</v>
      </c>
      <c r="L248">
        <v>7500</v>
      </c>
      <c r="M248">
        <v>9750</v>
      </c>
      <c r="N248" t="s">
        <v>56</v>
      </c>
      <c r="O248">
        <f t="shared" si="6"/>
        <v>9750</v>
      </c>
      <c r="P248" s="13">
        <f t="shared" si="7"/>
        <v>2829840</v>
      </c>
      <c r="Q248" s="13">
        <f>SUMIFS(M:M,E:E,Online_eCommerce[[#This Row],[Status]])</f>
        <v>28340455</v>
      </c>
      <c r="R248" s="13">
        <f>SUMIFS(L:L,H:H,Online_eCommerce[[#This Row],[Brand]])</f>
        <v>10950150</v>
      </c>
      <c r="S248" s="13">
        <f>SUMIF(H:H,Online_eCommerce[[#This Row],[Brand]],M:M)</f>
        <v>14235195</v>
      </c>
      <c r="T248" s="13">
        <f>SUMIF(N:N,Online_eCommerce[[#This Row],[Assigned Supervisor]],L:L)</f>
        <v>11733610</v>
      </c>
    </row>
    <row r="249" spans="1:20" hidden="1" x14ac:dyDescent="0.3">
      <c r="A249" t="s">
        <v>554</v>
      </c>
      <c r="B249" t="s">
        <v>159</v>
      </c>
      <c r="C249" t="s">
        <v>199</v>
      </c>
      <c r="D249" t="s">
        <v>525</v>
      </c>
      <c r="E249" t="s">
        <v>161</v>
      </c>
      <c r="F249" t="s">
        <v>541</v>
      </c>
      <c r="G249" t="s">
        <v>77</v>
      </c>
      <c r="H249" t="s">
        <v>78</v>
      </c>
      <c r="I249">
        <v>10000</v>
      </c>
      <c r="J249">
        <v>13000</v>
      </c>
      <c r="K249">
        <v>4</v>
      </c>
      <c r="L249">
        <v>40000</v>
      </c>
      <c r="M249">
        <v>52000</v>
      </c>
      <c r="N249" t="s">
        <v>22</v>
      </c>
      <c r="O249">
        <f t="shared" si="6"/>
        <v>39000</v>
      </c>
      <c r="P249" s="13">
        <f t="shared" si="7"/>
        <v>1947361</v>
      </c>
      <c r="Q249" s="13">
        <f>SUMIFS(M:M,E:E,Online_eCommerce[[#This Row],[Status]])</f>
        <v>21103186</v>
      </c>
      <c r="R249" s="13">
        <f>SUMIFS(L:L,H:H,Online_eCommerce[[#This Row],[Brand]])</f>
        <v>3720000</v>
      </c>
      <c r="S249" s="13">
        <f>SUMIF(H:H,Online_eCommerce[[#This Row],[Brand]],M:M)</f>
        <v>4836000</v>
      </c>
      <c r="T249" s="13">
        <f>SUMIF(N:N,Online_eCommerce[[#This Row],[Assigned Supervisor]],L:L)</f>
        <v>13693220</v>
      </c>
    </row>
    <row r="250" spans="1:20" x14ac:dyDescent="0.3">
      <c r="A250" t="s">
        <v>555</v>
      </c>
      <c r="B250" t="s">
        <v>139</v>
      </c>
      <c r="C250" t="s">
        <v>203</v>
      </c>
      <c r="D250" t="s">
        <v>525</v>
      </c>
      <c r="E250" t="s">
        <v>46</v>
      </c>
      <c r="F250" t="s">
        <v>556</v>
      </c>
      <c r="G250" t="s">
        <v>20</v>
      </c>
      <c r="H250" t="s">
        <v>21</v>
      </c>
      <c r="I250">
        <v>10500</v>
      </c>
      <c r="J250">
        <v>13650</v>
      </c>
      <c r="K250">
        <v>1</v>
      </c>
      <c r="L250">
        <v>10500</v>
      </c>
      <c r="M250">
        <v>13650</v>
      </c>
      <c r="N250" t="s">
        <v>28</v>
      </c>
      <c r="O250">
        <f t="shared" si="6"/>
        <v>8450</v>
      </c>
      <c r="P250" s="13">
        <f t="shared" si="7"/>
        <v>2559635</v>
      </c>
      <c r="Q250" s="13">
        <f>SUMIFS(M:M,E:E,Online_eCommerce[[#This Row],[Status]])</f>
        <v>28620410</v>
      </c>
      <c r="R250" s="13">
        <f>SUMIFS(L:L,H:H,Online_eCommerce[[#This Row],[Brand]])</f>
        <v>12435650</v>
      </c>
      <c r="S250" s="13">
        <f>SUMIF(H:H,Online_eCommerce[[#This Row],[Brand]],M:M)</f>
        <v>16166345</v>
      </c>
      <c r="T250" s="13">
        <f>SUMIF(N:N,Online_eCommerce[[#This Row],[Assigned Supervisor]],L:L)</f>
        <v>12220830</v>
      </c>
    </row>
    <row r="251" spans="1:20" hidden="1" x14ac:dyDescent="0.3">
      <c r="A251" t="s">
        <v>557</v>
      </c>
      <c r="B251" t="s">
        <v>144</v>
      </c>
      <c r="C251" t="s">
        <v>205</v>
      </c>
      <c r="D251" t="s">
        <v>525</v>
      </c>
      <c r="E251" t="s">
        <v>96</v>
      </c>
      <c r="F251" t="s">
        <v>88</v>
      </c>
      <c r="G251" t="s">
        <v>26</v>
      </c>
      <c r="H251" t="s">
        <v>27</v>
      </c>
      <c r="I251">
        <v>8500</v>
      </c>
      <c r="J251">
        <v>11050</v>
      </c>
      <c r="K251">
        <v>4</v>
      </c>
      <c r="L251">
        <v>34000</v>
      </c>
      <c r="M251">
        <v>44200</v>
      </c>
      <c r="N251" t="s">
        <v>35</v>
      </c>
      <c r="O251">
        <f t="shared" si="6"/>
        <v>33150</v>
      </c>
      <c r="P251" s="13">
        <f t="shared" si="7"/>
        <v>1983254</v>
      </c>
      <c r="Q251" s="13">
        <f>SUMIFS(M:M,E:E,Online_eCommerce[[#This Row],[Status]])</f>
        <v>21233992</v>
      </c>
      <c r="R251" s="13">
        <f>SUMIFS(L:L,H:H,Online_eCommerce[[#This Row],[Brand]])</f>
        <v>14431000</v>
      </c>
      <c r="S251" s="13">
        <f>SUMIF(H:H,Online_eCommerce[[#This Row],[Brand]],M:M)</f>
        <v>18760300</v>
      </c>
      <c r="T251" s="13">
        <f>SUMIF(N:N,Online_eCommerce[[#This Row],[Assigned Supervisor]],L:L)</f>
        <v>14373360</v>
      </c>
    </row>
    <row r="252" spans="1:20" hidden="1" x14ac:dyDescent="0.3">
      <c r="A252" t="s">
        <v>558</v>
      </c>
      <c r="B252" t="s">
        <v>144</v>
      </c>
      <c r="C252" t="s">
        <v>208</v>
      </c>
      <c r="D252" t="s">
        <v>525</v>
      </c>
      <c r="E252" t="s">
        <v>18</v>
      </c>
      <c r="F252" t="s">
        <v>32</v>
      </c>
      <c r="G252" t="s">
        <v>33</v>
      </c>
      <c r="H252" t="s">
        <v>34</v>
      </c>
      <c r="I252">
        <v>7000</v>
      </c>
      <c r="J252">
        <v>9100</v>
      </c>
      <c r="K252">
        <v>4</v>
      </c>
      <c r="L252">
        <v>28000</v>
      </c>
      <c r="M252">
        <v>36400</v>
      </c>
      <c r="N252" t="s">
        <v>42</v>
      </c>
      <c r="O252">
        <f t="shared" si="6"/>
        <v>18200</v>
      </c>
      <c r="P252" s="13">
        <f t="shared" si="7"/>
        <v>2746575</v>
      </c>
      <c r="Q252" s="13">
        <f>SUMIFS(M:M,E:E,Online_eCommerce[[#This Row],[Status]])</f>
        <v>28340455</v>
      </c>
      <c r="R252" s="13">
        <f>SUMIFS(L:L,H:H,Online_eCommerce[[#This Row],[Brand]])</f>
        <v>10087000</v>
      </c>
      <c r="S252" s="13">
        <f>SUMIF(H:H,Online_eCommerce[[#This Row],[Brand]],M:M)</f>
        <v>13113100</v>
      </c>
      <c r="T252" s="13">
        <f>SUMIF(N:N,Online_eCommerce[[#This Row],[Assigned Supervisor]],L:L)</f>
        <v>12261500</v>
      </c>
    </row>
    <row r="253" spans="1:20" hidden="1" x14ac:dyDescent="0.3">
      <c r="A253" t="s">
        <v>559</v>
      </c>
      <c r="B253" t="s">
        <v>144</v>
      </c>
      <c r="C253" t="s">
        <v>211</v>
      </c>
      <c r="D253" t="s">
        <v>525</v>
      </c>
      <c r="E253" t="s">
        <v>161</v>
      </c>
      <c r="F253" t="s">
        <v>560</v>
      </c>
      <c r="G253" t="s">
        <v>163</v>
      </c>
      <c r="H253" t="s">
        <v>41</v>
      </c>
      <c r="I253">
        <v>1680</v>
      </c>
      <c r="J253">
        <v>2184</v>
      </c>
      <c r="K253">
        <v>1</v>
      </c>
      <c r="L253">
        <v>1680</v>
      </c>
      <c r="M253">
        <v>2184</v>
      </c>
      <c r="N253" t="s">
        <v>50</v>
      </c>
      <c r="O253">
        <f t="shared" si="6"/>
        <v>13650</v>
      </c>
      <c r="P253" s="13">
        <f t="shared" si="7"/>
        <v>1809847</v>
      </c>
      <c r="Q253" s="13">
        <f>SUMIFS(M:M,E:E,Online_eCommerce[[#This Row],[Status]])</f>
        <v>21103186</v>
      </c>
      <c r="R253" s="13">
        <f>SUMIFS(L:L,H:H,Online_eCommerce[[#This Row],[Brand]])</f>
        <v>4260400</v>
      </c>
      <c r="S253" s="13">
        <f>SUMIF(H:H,Online_eCommerce[[#This Row],[Brand]],M:M)</f>
        <v>5538520</v>
      </c>
      <c r="T253" s="13">
        <f>SUMIF(N:N,Online_eCommerce[[#This Row],[Assigned Supervisor]],L:L)</f>
        <v>12100590</v>
      </c>
    </row>
    <row r="254" spans="1:20" x14ac:dyDescent="0.3">
      <c r="A254" t="s">
        <v>561</v>
      </c>
      <c r="B254" t="s">
        <v>144</v>
      </c>
      <c r="C254" t="s">
        <v>16</v>
      </c>
      <c r="D254" t="s">
        <v>525</v>
      </c>
      <c r="E254" t="s">
        <v>46</v>
      </c>
      <c r="F254" t="s">
        <v>101</v>
      </c>
      <c r="G254" t="s">
        <v>66</v>
      </c>
      <c r="H254" t="s">
        <v>102</v>
      </c>
      <c r="I254">
        <v>6540</v>
      </c>
      <c r="J254">
        <v>8502</v>
      </c>
      <c r="K254">
        <v>1</v>
      </c>
      <c r="L254">
        <v>6540</v>
      </c>
      <c r="M254">
        <v>8502</v>
      </c>
      <c r="N254" t="s">
        <v>56</v>
      </c>
      <c r="O254">
        <f t="shared" si="6"/>
        <v>1690</v>
      </c>
      <c r="P254" s="13">
        <f t="shared" si="7"/>
        <v>2751814</v>
      </c>
      <c r="Q254" s="13">
        <f>SUMIFS(M:M,E:E,Online_eCommerce[[#This Row],[Status]])</f>
        <v>28620410</v>
      </c>
      <c r="R254" s="13">
        <f>SUMIFS(L:L,H:H,Online_eCommerce[[#This Row],[Brand]])</f>
        <v>2465580</v>
      </c>
      <c r="S254" s="13">
        <f>SUMIF(H:H,Online_eCommerce[[#This Row],[Brand]],M:M)</f>
        <v>3205254</v>
      </c>
      <c r="T254" s="13">
        <f>SUMIF(N:N,Online_eCommerce[[#This Row],[Assigned Supervisor]],L:L)</f>
        <v>11733610</v>
      </c>
    </row>
    <row r="255" spans="1:20" hidden="1" x14ac:dyDescent="0.3">
      <c r="A255" t="s">
        <v>562</v>
      </c>
      <c r="B255" t="s">
        <v>144</v>
      </c>
      <c r="C255" t="s">
        <v>24</v>
      </c>
      <c r="D255" t="s">
        <v>525</v>
      </c>
      <c r="E255" t="s">
        <v>96</v>
      </c>
      <c r="F255" t="s">
        <v>107</v>
      </c>
      <c r="G255" t="s">
        <v>54</v>
      </c>
      <c r="H255" t="s">
        <v>55</v>
      </c>
      <c r="I255">
        <v>2680</v>
      </c>
      <c r="J255">
        <v>3484</v>
      </c>
      <c r="K255">
        <v>4</v>
      </c>
      <c r="L255">
        <v>10720</v>
      </c>
      <c r="M255">
        <v>13936</v>
      </c>
      <c r="N255" t="s">
        <v>22</v>
      </c>
      <c r="O255">
        <f t="shared" si="6"/>
        <v>2990</v>
      </c>
      <c r="P255" s="13">
        <f t="shared" si="7"/>
        <v>2009540</v>
      </c>
      <c r="Q255" s="13">
        <f>SUMIFS(M:M,E:E,Online_eCommerce[[#This Row],[Status]])</f>
        <v>21233992</v>
      </c>
      <c r="R255" s="13">
        <f>SUMIFS(L:L,H:H,Online_eCommerce[[#This Row],[Brand]])</f>
        <v>2267380</v>
      </c>
      <c r="S255" s="13">
        <f>SUMIF(H:H,Online_eCommerce[[#This Row],[Brand]],M:M)</f>
        <v>2947594</v>
      </c>
      <c r="T255" s="13">
        <f>SUMIF(N:N,Online_eCommerce[[#This Row],[Assigned Supervisor]],L:L)</f>
        <v>13693220</v>
      </c>
    </row>
    <row r="256" spans="1:20" hidden="1" x14ac:dyDescent="0.3">
      <c r="A256" t="s">
        <v>563</v>
      </c>
      <c r="B256" t="s">
        <v>144</v>
      </c>
      <c r="C256" t="s">
        <v>31</v>
      </c>
      <c r="D256" t="s">
        <v>525</v>
      </c>
      <c r="E256" t="s">
        <v>18</v>
      </c>
      <c r="F256" t="s">
        <v>112</v>
      </c>
      <c r="G256" t="s">
        <v>71</v>
      </c>
      <c r="H256" t="s">
        <v>21</v>
      </c>
      <c r="I256">
        <v>8250</v>
      </c>
      <c r="J256">
        <v>10725</v>
      </c>
      <c r="K256">
        <v>4</v>
      </c>
      <c r="L256">
        <v>33000</v>
      </c>
      <c r="M256">
        <v>42900</v>
      </c>
      <c r="N256" t="s">
        <v>28</v>
      </c>
      <c r="O256">
        <f t="shared" si="6"/>
        <v>9750</v>
      </c>
      <c r="P256" s="13">
        <f t="shared" si="7"/>
        <v>2865746</v>
      </c>
      <c r="Q256" s="13">
        <f>SUMIFS(M:M,E:E,Online_eCommerce[[#This Row],[Status]])</f>
        <v>28340455</v>
      </c>
      <c r="R256" s="13">
        <f>SUMIFS(L:L,H:H,Online_eCommerce[[#This Row],[Brand]])</f>
        <v>12435650</v>
      </c>
      <c r="S256" s="13">
        <f>SUMIF(H:H,Online_eCommerce[[#This Row],[Brand]],M:M)</f>
        <v>16166345</v>
      </c>
      <c r="T256" s="13">
        <f>SUMIF(N:N,Online_eCommerce[[#This Row],[Assigned Supervisor]],L:L)</f>
        <v>12220830</v>
      </c>
    </row>
    <row r="257" spans="1:20" hidden="1" x14ac:dyDescent="0.3">
      <c r="A257" t="s">
        <v>564</v>
      </c>
      <c r="B257" t="s">
        <v>287</v>
      </c>
      <c r="C257" t="s">
        <v>38</v>
      </c>
      <c r="D257" t="s">
        <v>525</v>
      </c>
      <c r="E257" t="s">
        <v>161</v>
      </c>
      <c r="F257" t="s">
        <v>533</v>
      </c>
      <c r="G257" t="s">
        <v>40</v>
      </c>
      <c r="H257" t="s">
        <v>21</v>
      </c>
      <c r="I257">
        <v>2650</v>
      </c>
      <c r="J257">
        <v>3445</v>
      </c>
      <c r="K257">
        <v>4</v>
      </c>
      <c r="L257">
        <v>10600</v>
      </c>
      <c r="M257">
        <v>13780</v>
      </c>
      <c r="N257" t="s">
        <v>35</v>
      </c>
      <c r="O257">
        <f t="shared" si="6"/>
        <v>25545</v>
      </c>
      <c r="P257" s="13">
        <f t="shared" si="7"/>
        <v>1933997</v>
      </c>
      <c r="Q257" s="13">
        <f>SUMIFS(M:M,E:E,Online_eCommerce[[#This Row],[Status]])</f>
        <v>21103186</v>
      </c>
      <c r="R257" s="13">
        <f>SUMIFS(L:L,H:H,Online_eCommerce[[#This Row],[Brand]])</f>
        <v>12435650</v>
      </c>
      <c r="S257" s="13">
        <f>SUMIF(H:H,Online_eCommerce[[#This Row],[Brand]],M:M)</f>
        <v>16166345</v>
      </c>
      <c r="T257" s="13">
        <f>SUMIF(N:N,Online_eCommerce[[#This Row],[Assigned Supervisor]],L:L)</f>
        <v>14373360</v>
      </c>
    </row>
    <row r="258" spans="1:20" x14ac:dyDescent="0.3">
      <c r="A258" t="s">
        <v>565</v>
      </c>
      <c r="B258" t="s">
        <v>290</v>
      </c>
      <c r="C258" t="s">
        <v>45</v>
      </c>
      <c r="D258" t="s">
        <v>525</v>
      </c>
      <c r="E258" t="s">
        <v>46</v>
      </c>
      <c r="F258" t="s">
        <v>121</v>
      </c>
      <c r="G258" t="s">
        <v>71</v>
      </c>
      <c r="H258" t="s">
        <v>122</v>
      </c>
      <c r="I258">
        <v>12550</v>
      </c>
      <c r="J258">
        <v>16315</v>
      </c>
      <c r="K258">
        <v>1</v>
      </c>
      <c r="L258">
        <v>12550</v>
      </c>
      <c r="M258">
        <v>16315</v>
      </c>
      <c r="N258" t="s">
        <v>42</v>
      </c>
      <c r="O258">
        <f t="shared" ref="O258:O321" si="8">VLOOKUP(G258,G:M,7,FALSE)</f>
        <v>9750</v>
      </c>
      <c r="P258" s="13">
        <f t="shared" ref="P258:P321" si="9">SUMIFS(M:M,C:C,C258)</f>
        <v>2842554</v>
      </c>
      <c r="Q258" s="13">
        <f>SUMIFS(M:M,E:E,Online_eCommerce[[#This Row],[Status]])</f>
        <v>28620410</v>
      </c>
      <c r="R258" s="13">
        <f>SUMIFS(L:L,H:H,Online_eCommerce[[#This Row],[Brand]])</f>
        <v>5045100</v>
      </c>
      <c r="S258" s="13">
        <f>SUMIF(H:H,Online_eCommerce[[#This Row],[Brand]],M:M)</f>
        <v>6558630</v>
      </c>
      <c r="T258" s="13">
        <f>SUMIF(N:N,Online_eCommerce[[#This Row],[Assigned Supervisor]],L:L)</f>
        <v>12261500</v>
      </c>
    </row>
    <row r="259" spans="1:20" hidden="1" x14ac:dyDescent="0.3">
      <c r="A259" t="s">
        <v>566</v>
      </c>
      <c r="B259" t="s">
        <v>15</v>
      </c>
      <c r="C259" t="s">
        <v>52</v>
      </c>
      <c r="D259" t="s">
        <v>525</v>
      </c>
      <c r="E259" t="s">
        <v>96</v>
      </c>
      <c r="F259" t="s">
        <v>126</v>
      </c>
      <c r="G259" t="s">
        <v>26</v>
      </c>
      <c r="H259" t="s">
        <v>27</v>
      </c>
      <c r="I259">
        <v>14500</v>
      </c>
      <c r="J259">
        <v>18850</v>
      </c>
      <c r="K259">
        <v>1</v>
      </c>
      <c r="L259">
        <v>14500</v>
      </c>
      <c r="M259">
        <v>18850</v>
      </c>
      <c r="N259" t="s">
        <v>50</v>
      </c>
      <c r="O259">
        <f t="shared" si="8"/>
        <v>33150</v>
      </c>
      <c r="P259" s="13">
        <f t="shared" si="9"/>
        <v>1955044</v>
      </c>
      <c r="Q259" s="13">
        <f>SUMIFS(M:M,E:E,Online_eCommerce[[#This Row],[Status]])</f>
        <v>21233992</v>
      </c>
      <c r="R259" s="13">
        <f>SUMIFS(L:L,H:H,Online_eCommerce[[#This Row],[Brand]])</f>
        <v>14431000</v>
      </c>
      <c r="S259" s="13">
        <f>SUMIF(H:H,Online_eCommerce[[#This Row],[Brand]],M:M)</f>
        <v>18760300</v>
      </c>
      <c r="T259" s="13">
        <f>SUMIF(N:N,Online_eCommerce[[#This Row],[Assigned Supervisor]],L:L)</f>
        <v>12100590</v>
      </c>
    </row>
    <row r="260" spans="1:20" hidden="1" x14ac:dyDescent="0.3">
      <c r="A260" t="s">
        <v>567</v>
      </c>
      <c r="B260" t="s">
        <v>202</v>
      </c>
      <c r="C260" t="s">
        <v>58</v>
      </c>
      <c r="D260" t="s">
        <v>525</v>
      </c>
      <c r="E260" t="s">
        <v>18</v>
      </c>
      <c r="F260" t="s">
        <v>129</v>
      </c>
      <c r="G260" t="s">
        <v>60</v>
      </c>
      <c r="H260" t="s">
        <v>61</v>
      </c>
      <c r="I260">
        <v>800</v>
      </c>
      <c r="J260">
        <v>1040</v>
      </c>
      <c r="K260">
        <v>2</v>
      </c>
      <c r="L260">
        <v>1600</v>
      </c>
      <c r="M260">
        <v>2080</v>
      </c>
      <c r="N260" t="s">
        <v>56</v>
      </c>
      <c r="O260">
        <f t="shared" si="8"/>
        <v>3315</v>
      </c>
      <c r="P260" s="13">
        <f t="shared" si="9"/>
        <v>2629211</v>
      </c>
      <c r="Q260" s="13">
        <f>SUMIFS(M:M,E:E,Online_eCommerce[[#This Row],[Status]])</f>
        <v>28340455</v>
      </c>
      <c r="R260" s="13">
        <f>SUMIFS(L:L,H:H,Online_eCommerce[[#This Row],[Brand]])</f>
        <v>10950150</v>
      </c>
      <c r="S260" s="13">
        <f>SUMIF(H:H,Online_eCommerce[[#This Row],[Brand]],M:M)</f>
        <v>14235195</v>
      </c>
      <c r="T260" s="13">
        <f>SUMIF(N:N,Online_eCommerce[[#This Row],[Assigned Supervisor]],L:L)</f>
        <v>11733610</v>
      </c>
    </row>
    <row r="261" spans="1:20" hidden="1" x14ac:dyDescent="0.3">
      <c r="A261" t="s">
        <v>568</v>
      </c>
      <c r="B261" t="s">
        <v>30</v>
      </c>
      <c r="C261" t="s">
        <v>63</v>
      </c>
      <c r="D261" t="s">
        <v>525</v>
      </c>
      <c r="E261" t="s">
        <v>161</v>
      </c>
      <c r="F261" t="s">
        <v>133</v>
      </c>
      <c r="G261" t="s">
        <v>66</v>
      </c>
      <c r="H261" t="s">
        <v>21</v>
      </c>
      <c r="I261">
        <v>600</v>
      </c>
      <c r="J261">
        <v>780</v>
      </c>
      <c r="K261">
        <v>1</v>
      </c>
      <c r="L261">
        <v>600</v>
      </c>
      <c r="M261">
        <v>780</v>
      </c>
      <c r="N261" t="s">
        <v>22</v>
      </c>
      <c r="O261">
        <f t="shared" si="8"/>
        <v>1690</v>
      </c>
      <c r="P261" s="13">
        <f t="shared" si="9"/>
        <v>2016131</v>
      </c>
      <c r="Q261" s="13">
        <f>SUMIFS(M:M,E:E,Online_eCommerce[[#This Row],[Status]])</f>
        <v>21103186</v>
      </c>
      <c r="R261" s="13">
        <f>SUMIFS(L:L,H:H,Online_eCommerce[[#This Row],[Brand]])</f>
        <v>12435650</v>
      </c>
      <c r="S261" s="13">
        <f>SUMIF(H:H,Online_eCommerce[[#This Row],[Brand]],M:M)</f>
        <v>16166345</v>
      </c>
      <c r="T261" s="13">
        <f>SUMIF(N:N,Online_eCommerce[[#This Row],[Assigned Supervisor]],L:L)</f>
        <v>13693220</v>
      </c>
    </row>
    <row r="262" spans="1:20" x14ac:dyDescent="0.3">
      <c r="A262" t="s">
        <v>569</v>
      </c>
      <c r="B262" t="s">
        <v>37</v>
      </c>
      <c r="C262" t="s">
        <v>68</v>
      </c>
      <c r="D262" t="s">
        <v>525</v>
      </c>
      <c r="E262" t="s">
        <v>46</v>
      </c>
      <c r="F262" t="s">
        <v>137</v>
      </c>
      <c r="G262" t="s">
        <v>71</v>
      </c>
      <c r="H262" t="s">
        <v>61</v>
      </c>
      <c r="I262">
        <v>10500</v>
      </c>
      <c r="J262">
        <v>13650</v>
      </c>
      <c r="K262">
        <v>2</v>
      </c>
      <c r="L262">
        <v>21000</v>
      </c>
      <c r="M262">
        <v>27300</v>
      </c>
      <c r="N262" t="s">
        <v>28</v>
      </c>
      <c r="O262">
        <f t="shared" si="8"/>
        <v>9750</v>
      </c>
      <c r="P262" s="13">
        <f t="shared" si="9"/>
        <v>2974621</v>
      </c>
      <c r="Q262" s="13">
        <f>SUMIFS(M:M,E:E,Online_eCommerce[[#This Row],[Status]])</f>
        <v>28620410</v>
      </c>
      <c r="R262" s="13">
        <f>SUMIFS(L:L,H:H,Online_eCommerce[[#This Row],[Brand]])</f>
        <v>10950150</v>
      </c>
      <c r="S262" s="13">
        <f>SUMIF(H:H,Online_eCommerce[[#This Row],[Brand]],M:M)</f>
        <v>14235195</v>
      </c>
      <c r="T262" s="13">
        <f>SUMIF(N:N,Online_eCommerce[[#This Row],[Assigned Supervisor]],L:L)</f>
        <v>12220830</v>
      </c>
    </row>
    <row r="263" spans="1:20" hidden="1" x14ac:dyDescent="0.3">
      <c r="A263" t="s">
        <v>570</v>
      </c>
      <c r="B263" t="s">
        <v>44</v>
      </c>
      <c r="C263" t="s">
        <v>74</v>
      </c>
      <c r="D263" t="s">
        <v>525</v>
      </c>
      <c r="E263" t="s">
        <v>96</v>
      </c>
      <c r="F263" t="s">
        <v>541</v>
      </c>
      <c r="G263" t="s">
        <v>77</v>
      </c>
      <c r="H263" t="s">
        <v>142</v>
      </c>
      <c r="I263">
        <v>6500</v>
      </c>
      <c r="J263">
        <v>8450</v>
      </c>
      <c r="K263">
        <v>1</v>
      </c>
      <c r="L263">
        <v>6500</v>
      </c>
      <c r="M263">
        <v>8450</v>
      </c>
      <c r="N263" t="s">
        <v>35</v>
      </c>
      <c r="O263">
        <f t="shared" si="8"/>
        <v>39000</v>
      </c>
      <c r="P263" s="13">
        <f t="shared" si="9"/>
        <v>2144701</v>
      </c>
      <c r="Q263" s="13">
        <f>SUMIFS(M:M,E:E,Online_eCommerce[[#This Row],[Status]])</f>
        <v>21233992</v>
      </c>
      <c r="R263" s="13">
        <f>SUMIFS(L:L,H:H,Online_eCommerce[[#This Row],[Brand]])</f>
        <v>6192500</v>
      </c>
      <c r="S263" s="13">
        <f>SUMIF(H:H,Online_eCommerce[[#This Row],[Brand]],M:M)</f>
        <v>8050250</v>
      </c>
      <c r="T263" s="13">
        <f>SUMIF(N:N,Online_eCommerce[[#This Row],[Assigned Supervisor]],L:L)</f>
        <v>14373360</v>
      </c>
    </row>
    <row r="264" spans="1:20" hidden="1" x14ac:dyDescent="0.3">
      <c r="A264" t="s">
        <v>571</v>
      </c>
      <c r="B264" t="s">
        <v>213</v>
      </c>
      <c r="C264" t="s">
        <v>81</v>
      </c>
      <c r="D264" t="s">
        <v>525</v>
      </c>
      <c r="E264" t="s">
        <v>18</v>
      </c>
      <c r="F264" t="s">
        <v>572</v>
      </c>
      <c r="G264" t="s">
        <v>20</v>
      </c>
      <c r="H264" t="s">
        <v>21</v>
      </c>
      <c r="I264">
        <v>4500</v>
      </c>
      <c r="J264">
        <v>5850</v>
      </c>
      <c r="K264">
        <v>1</v>
      </c>
      <c r="L264">
        <v>4500</v>
      </c>
      <c r="M264">
        <v>5850</v>
      </c>
      <c r="N264" t="s">
        <v>42</v>
      </c>
      <c r="O264">
        <f t="shared" si="8"/>
        <v>8450</v>
      </c>
      <c r="P264" s="13">
        <f t="shared" si="9"/>
        <v>2595632</v>
      </c>
      <c r="Q264" s="13">
        <f>SUMIFS(M:M,E:E,Online_eCommerce[[#This Row],[Status]])</f>
        <v>28340455</v>
      </c>
      <c r="R264" s="13">
        <f>SUMIFS(L:L,H:H,Online_eCommerce[[#This Row],[Brand]])</f>
        <v>12435650</v>
      </c>
      <c r="S264" s="13">
        <f>SUMIF(H:H,Online_eCommerce[[#This Row],[Brand]],M:M)</f>
        <v>16166345</v>
      </c>
      <c r="T264" s="13">
        <f>SUMIF(N:N,Online_eCommerce[[#This Row],[Assigned Supervisor]],L:L)</f>
        <v>12261500</v>
      </c>
    </row>
    <row r="265" spans="1:20" hidden="1" x14ac:dyDescent="0.3">
      <c r="A265" t="s">
        <v>573</v>
      </c>
      <c r="B265" t="s">
        <v>215</v>
      </c>
      <c r="C265" t="s">
        <v>86</v>
      </c>
      <c r="D265" t="s">
        <v>525</v>
      </c>
      <c r="E265" t="s">
        <v>161</v>
      </c>
      <c r="F265" t="s">
        <v>152</v>
      </c>
      <c r="G265" t="s">
        <v>26</v>
      </c>
      <c r="H265" t="s">
        <v>27</v>
      </c>
      <c r="I265">
        <v>8500</v>
      </c>
      <c r="J265">
        <v>11050</v>
      </c>
      <c r="K265">
        <v>3</v>
      </c>
      <c r="L265">
        <v>25500</v>
      </c>
      <c r="M265">
        <v>33150</v>
      </c>
      <c r="N265" t="s">
        <v>50</v>
      </c>
      <c r="O265">
        <f t="shared" si="8"/>
        <v>33150</v>
      </c>
      <c r="P265" s="13">
        <f t="shared" si="9"/>
        <v>1941225</v>
      </c>
      <c r="Q265" s="13">
        <f>SUMIFS(M:M,E:E,Online_eCommerce[[#This Row],[Status]])</f>
        <v>21103186</v>
      </c>
      <c r="R265" s="13">
        <f>SUMIFS(L:L,H:H,Online_eCommerce[[#This Row],[Brand]])</f>
        <v>14431000</v>
      </c>
      <c r="S265" s="13">
        <f>SUMIF(H:H,Online_eCommerce[[#This Row],[Brand]],M:M)</f>
        <v>18760300</v>
      </c>
      <c r="T265" s="13">
        <f>SUMIF(N:N,Online_eCommerce[[#This Row],[Assigned Supervisor]],L:L)</f>
        <v>12100590</v>
      </c>
    </row>
    <row r="266" spans="1:20" x14ac:dyDescent="0.3">
      <c r="A266" t="s">
        <v>574</v>
      </c>
      <c r="B266" t="s">
        <v>306</v>
      </c>
      <c r="C266" t="s">
        <v>91</v>
      </c>
      <c r="D266" t="s">
        <v>525</v>
      </c>
      <c r="E266" t="s">
        <v>46</v>
      </c>
      <c r="F266" t="s">
        <v>157</v>
      </c>
      <c r="G266" t="s">
        <v>33</v>
      </c>
      <c r="H266" t="s">
        <v>34</v>
      </c>
      <c r="I266">
        <v>12500</v>
      </c>
      <c r="J266">
        <v>16250</v>
      </c>
      <c r="K266">
        <v>3</v>
      </c>
      <c r="L266">
        <v>37500</v>
      </c>
      <c r="M266">
        <v>48750</v>
      </c>
      <c r="N266" t="s">
        <v>56</v>
      </c>
      <c r="O266">
        <f t="shared" si="8"/>
        <v>18200</v>
      </c>
      <c r="P266" s="13">
        <f t="shared" si="9"/>
        <v>2731963</v>
      </c>
      <c r="Q266" s="13">
        <f>SUMIFS(M:M,E:E,Online_eCommerce[[#This Row],[Status]])</f>
        <v>28620410</v>
      </c>
      <c r="R266" s="13">
        <f>SUMIFS(L:L,H:H,Online_eCommerce[[#This Row],[Brand]])</f>
        <v>10087000</v>
      </c>
      <c r="S266" s="13">
        <f>SUMIF(H:H,Online_eCommerce[[#This Row],[Brand]],M:M)</f>
        <v>13113100</v>
      </c>
      <c r="T266" s="13">
        <f>SUMIF(N:N,Online_eCommerce[[#This Row],[Assigned Supervisor]],L:L)</f>
        <v>11733610</v>
      </c>
    </row>
    <row r="267" spans="1:20" hidden="1" x14ac:dyDescent="0.3">
      <c r="A267" t="s">
        <v>575</v>
      </c>
      <c r="B267" t="s">
        <v>528</v>
      </c>
      <c r="C267" t="s">
        <v>94</v>
      </c>
      <c r="D267" t="s">
        <v>525</v>
      </c>
      <c r="E267" t="s">
        <v>96</v>
      </c>
      <c r="F267" t="s">
        <v>39</v>
      </c>
      <c r="G267" t="s">
        <v>256</v>
      </c>
      <c r="H267" t="s">
        <v>41</v>
      </c>
      <c r="I267">
        <v>3500</v>
      </c>
      <c r="J267">
        <v>4550</v>
      </c>
      <c r="K267">
        <v>3</v>
      </c>
      <c r="L267">
        <v>10500</v>
      </c>
      <c r="M267">
        <v>13650</v>
      </c>
      <c r="N267" t="s">
        <v>22</v>
      </c>
      <c r="O267">
        <f t="shared" si="8"/>
        <v>9100</v>
      </c>
      <c r="P267" s="13">
        <f t="shared" si="9"/>
        <v>1868256</v>
      </c>
      <c r="Q267" s="13">
        <f>SUMIFS(M:M,E:E,Online_eCommerce[[#This Row],[Status]])</f>
        <v>21233992</v>
      </c>
      <c r="R267" s="13">
        <f>SUMIFS(L:L,H:H,Online_eCommerce[[#This Row],[Brand]])</f>
        <v>4260400</v>
      </c>
      <c r="S267" s="13">
        <f>SUMIF(H:H,Online_eCommerce[[#This Row],[Brand]],M:M)</f>
        <v>5538520</v>
      </c>
      <c r="T267" s="13">
        <f>SUMIF(N:N,Online_eCommerce[[#This Row],[Assigned Supervisor]],L:L)</f>
        <v>13693220</v>
      </c>
    </row>
    <row r="268" spans="1:20" hidden="1" x14ac:dyDescent="0.3">
      <c r="A268" t="s">
        <v>576</v>
      </c>
      <c r="B268" t="s">
        <v>73</v>
      </c>
      <c r="C268" t="s">
        <v>99</v>
      </c>
      <c r="D268" t="s">
        <v>525</v>
      </c>
      <c r="E268" t="s">
        <v>18</v>
      </c>
      <c r="F268" t="s">
        <v>166</v>
      </c>
      <c r="G268" t="s">
        <v>259</v>
      </c>
      <c r="H268" t="s">
        <v>49</v>
      </c>
      <c r="I268">
        <v>4500</v>
      </c>
      <c r="J268">
        <v>5850</v>
      </c>
      <c r="K268">
        <v>2</v>
      </c>
      <c r="L268">
        <v>9000</v>
      </c>
      <c r="M268">
        <v>11700</v>
      </c>
      <c r="N268" t="s">
        <v>28</v>
      </c>
      <c r="O268">
        <f t="shared" si="8"/>
        <v>11700</v>
      </c>
      <c r="P268" s="13">
        <f t="shared" si="9"/>
        <v>2651233</v>
      </c>
      <c r="Q268" s="13">
        <f>SUMIFS(M:M,E:E,Online_eCommerce[[#This Row],[Status]])</f>
        <v>28340455</v>
      </c>
      <c r="R268" s="13">
        <f>SUMIFS(L:L,H:H,Online_eCommerce[[#This Row],[Brand]])</f>
        <v>4528350</v>
      </c>
      <c r="S268" s="13">
        <f>SUMIF(H:H,Online_eCommerce[[#This Row],[Brand]],M:M)</f>
        <v>5886855</v>
      </c>
      <c r="T268" s="13">
        <f>SUMIF(N:N,Online_eCommerce[[#This Row],[Assigned Supervisor]],L:L)</f>
        <v>12220830</v>
      </c>
    </row>
    <row r="269" spans="1:20" hidden="1" x14ac:dyDescent="0.3">
      <c r="A269" t="s">
        <v>577</v>
      </c>
      <c r="B269" t="s">
        <v>80</v>
      </c>
      <c r="C269" t="s">
        <v>105</v>
      </c>
      <c r="D269" t="s">
        <v>525</v>
      </c>
      <c r="E269" t="s">
        <v>161</v>
      </c>
      <c r="F269" t="s">
        <v>578</v>
      </c>
      <c r="G269" t="s">
        <v>54</v>
      </c>
      <c r="H269" t="s">
        <v>55</v>
      </c>
      <c r="I269">
        <v>2100</v>
      </c>
      <c r="J269">
        <v>2730</v>
      </c>
      <c r="K269">
        <v>2</v>
      </c>
      <c r="L269">
        <v>4200</v>
      </c>
      <c r="M269">
        <v>5460</v>
      </c>
      <c r="N269" t="s">
        <v>35</v>
      </c>
      <c r="O269">
        <f t="shared" si="8"/>
        <v>2990</v>
      </c>
      <c r="P269" s="13">
        <f t="shared" si="9"/>
        <v>1866852</v>
      </c>
      <c r="Q269" s="13">
        <f>SUMIFS(M:M,E:E,Online_eCommerce[[#This Row],[Status]])</f>
        <v>21103186</v>
      </c>
      <c r="R269" s="13">
        <f>SUMIFS(L:L,H:H,Online_eCommerce[[#This Row],[Brand]])</f>
        <v>2267380</v>
      </c>
      <c r="S269" s="13">
        <f>SUMIF(H:H,Online_eCommerce[[#This Row],[Brand]],M:M)</f>
        <v>2947594</v>
      </c>
      <c r="T269" s="13">
        <f>SUMIF(N:N,Online_eCommerce[[#This Row],[Assigned Supervisor]],L:L)</f>
        <v>14373360</v>
      </c>
    </row>
    <row r="270" spans="1:20" x14ac:dyDescent="0.3">
      <c r="A270" t="s">
        <v>579</v>
      </c>
      <c r="B270" t="s">
        <v>85</v>
      </c>
      <c r="C270" t="s">
        <v>110</v>
      </c>
      <c r="D270" t="s">
        <v>525</v>
      </c>
      <c r="E270" t="s">
        <v>46</v>
      </c>
      <c r="F270" t="s">
        <v>174</v>
      </c>
      <c r="G270" t="s">
        <v>60</v>
      </c>
      <c r="H270" t="s">
        <v>61</v>
      </c>
      <c r="I270">
        <v>1150</v>
      </c>
      <c r="J270">
        <v>1495</v>
      </c>
      <c r="K270">
        <v>4</v>
      </c>
      <c r="L270">
        <v>4600</v>
      </c>
      <c r="M270">
        <v>5980</v>
      </c>
      <c r="N270" t="s">
        <v>42</v>
      </c>
      <c r="O270">
        <f t="shared" si="8"/>
        <v>3315</v>
      </c>
      <c r="P270" s="13">
        <f t="shared" si="9"/>
        <v>2598635</v>
      </c>
      <c r="Q270" s="13">
        <f>SUMIFS(M:M,E:E,Online_eCommerce[[#This Row],[Status]])</f>
        <v>28620410</v>
      </c>
      <c r="R270" s="13">
        <f>SUMIFS(L:L,H:H,Online_eCommerce[[#This Row],[Brand]])</f>
        <v>10950150</v>
      </c>
      <c r="S270" s="13">
        <f>SUMIF(H:H,Online_eCommerce[[#This Row],[Brand]],M:M)</f>
        <v>14235195</v>
      </c>
      <c r="T270" s="13">
        <f>SUMIF(N:N,Online_eCommerce[[#This Row],[Assigned Supervisor]],L:L)</f>
        <v>12261500</v>
      </c>
    </row>
    <row r="271" spans="1:20" hidden="1" x14ac:dyDescent="0.3">
      <c r="A271" t="s">
        <v>580</v>
      </c>
      <c r="B271" t="s">
        <v>90</v>
      </c>
      <c r="C271" t="s">
        <v>115</v>
      </c>
      <c r="D271" t="s">
        <v>525</v>
      </c>
      <c r="E271" t="s">
        <v>96</v>
      </c>
      <c r="F271" t="s">
        <v>179</v>
      </c>
      <c r="G271" t="s">
        <v>66</v>
      </c>
      <c r="H271" t="s">
        <v>21</v>
      </c>
      <c r="I271">
        <v>350</v>
      </c>
      <c r="J271">
        <v>455</v>
      </c>
      <c r="K271">
        <v>3</v>
      </c>
      <c r="L271">
        <v>1050</v>
      </c>
      <c r="M271">
        <v>1365</v>
      </c>
      <c r="N271" t="s">
        <v>50</v>
      </c>
      <c r="O271">
        <f t="shared" si="8"/>
        <v>1690</v>
      </c>
      <c r="P271" s="13">
        <f t="shared" si="9"/>
        <v>2050178</v>
      </c>
      <c r="Q271" s="13">
        <f>SUMIFS(M:M,E:E,Online_eCommerce[[#This Row],[Status]])</f>
        <v>21233992</v>
      </c>
      <c r="R271" s="13">
        <f>SUMIFS(L:L,H:H,Online_eCommerce[[#This Row],[Brand]])</f>
        <v>12435650</v>
      </c>
      <c r="S271" s="13">
        <f>SUMIF(H:H,Online_eCommerce[[#This Row],[Brand]],M:M)</f>
        <v>16166345</v>
      </c>
      <c r="T271" s="13">
        <f>SUMIF(N:N,Online_eCommerce[[#This Row],[Assigned Supervisor]],L:L)</f>
        <v>12100590</v>
      </c>
    </row>
    <row r="272" spans="1:20" hidden="1" x14ac:dyDescent="0.3">
      <c r="A272" t="s">
        <v>581</v>
      </c>
      <c r="B272" t="s">
        <v>232</v>
      </c>
      <c r="C272" t="s">
        <v>120</v>
      </c>
      <c r="D272" t="s">
        <v>525</v>
      </c>
      <c r="E272" t="s">
        <v>18</v>
      </c>
      <c r="F272" t="s">
        <v>183</v>
      </c>
      <c r="G272" t="s">
        <v>71</v>
      </c>
      <c r="H272" t="s">
        <v>61</v>
      </c>
      <c r="I272">
        <v>9500</v>
      </c>
      <c r="J272">
        <v>12350</v>
      </c>
      <c r="K272">
        <v>3</v>
      </c>
      <c r="L272">
        <v>28500</v>
      </c>
      <c r="M272">
        <v>37050</v>
      </c>
      <c r="N272" t="s">
        <v>56</v>
      </c>
      <c r="O272">
        <f t="shared" si="8"/>
        <v>9750</v>
      </c>
      <c r="P272" s="13">
        <f t="shared" si="9"/>
        <v>2734212</v>
      </c>
      <c r="Q272" s="13">
        <f>SUMIFS(M:M,E:E,Online_eCommerce[[#This Row],[Status]])</f>
        <v>28340455</v>
      </c>
      <c r="R272" s="13">
        <f>SUMIFS(L:L,H:H,Online_eCommerce[[#This Row],[Brand]])</f>
        <v>10950150</v>
      </c>
      <c r="S272" s="13">
        <f>SUMIF(H:H,Online_eCommerce[[#This Row],[Brand]],M:M)</f>
        <v>14235195</v>
      </c>
      <c r="T272" s="13">
        <f>SUMIF(N:N,Online_eCommerce[[#This Row],[Assigned Supervisor]],L:L)</f>
        <v>11733610</v>
      </c>
    </row>
    <row r="273" spans="1:20" hidden="1" x14ac:dyDescent="0.3">
      <c r="A273" t="s">
        <v>582</v>
      </c>
      <c r="B273" t="s">
        <v>235</v>
      </c>
      <c r="C273" t="s">
        <v>125</v>
      </c>
      <c r="D273" t="s">
        <v>525</v>
      </c>
      <c r="E273" t="s">
        <v>161</v>
      </c>
      <c r="F273" t="s">
        <v>583</v>
      </c>
      <c r="G273" t="s">
        <v>77</v>
      </c>
      <c r="H273" t="s">
        <v>142</v>
      </c>
      <c r="I273">
        <v>10000</v>
      </c>
      <c r="J273">
        <v>13000</v>
      </c>
      <c r="K273">
        <v>4</v>
      </c>
      <c r="L273">
        <v>40000</v>
      </c>
      <c r="M273">
        <v>52000</v>
      </c>
      <c r="N273" t="s">
        <v>22</v>
      </c>
      <c r="O273">
        <f t="shared" si="8"/>
        <v>39000</v>
      </c>
      <c r="P273" s="13">
        <f t="shared" si="9"/>
        <v>2091154</v>
      </c>
      <c r="Q273" s="13">
        <f>SUMIFS(M:M,E:E,Online_eCommerce[[#This Row],[Status]])</f>
        <v>21103186</v>
      </c>
      <c r="R273" s="13">
        <f>SUMIFS(L:L,H:H,Online_eCommerce[[#This Row],[Brand]])</f>
        <v>6192500</v>
      </c>
      <c r="S273" s="13">
        <f>SUMIF(H:H,Online_eCommerce[[#This Row],[Brand]],M:M)</f>
        <v>8050250</v>
      </c>
      <c r="T273" s="13">
        <f>SUMIF(N:N,Online_eCommerce[[#This Row],[Assigned Supervisor]],L:L)</f>
        <v>13693220</v>
      </c>
    </row>
    <row r="274" spans="1:20" x14ac:dyDescent="0.3">
      <c r="A274" t="s">
        <v>584</v>
      </c>
      <c r="B274" t="s">
        <v>104</v>
      </c>
      <c r="C274" t="s">
        <v>22</v>
      </c>
      <c r="D274" t="s">
        <v>525</v>
      </c>
      <c r="E274" t="s">
        <v>46</v>
      </c>
      <c r="F274" t="s">
        <v>585</v>
      </c>
      <c r="G274" t="s">
        <v>20</v>
      </c>
      <c r="H274" t="s">
        <v>21</v>
      </c>
      <c r="I274">
        <v>6500</v>
      </c>
      <c r="J274">
        <v>8450</v>
      </c>
      <c r="K274">
        <v>2</v>
      </c>
      <c r="L274">
        <v>13000</v>
      </c>
      <c r="M274">
        <v>16900</v>
      </c>
      <c r="N274" t="s">
        <v>28</v>
      </c>
      <c r="O274">
        <f t="shared" si="8"/>
        <v>8450</v>
      </c>
      <c r="P274" s="13">
        <f t="shared" si="9"/>
        <v>2551588</v>
      </c>
      <c r="Q274" s="13">
        <f>SUMIFS(M:M,E:E,Online_eCommerce[[#This Row],[Status]])</f>
        <v>28620410</v>
      </c>
      <c r="R274" s="13">
        <f>SUMIFS(L:L,H:H,Online_eCommerce[[#This Row],[Brand]])</f>
        <v>12435650</v>
      </c>
      <c r="S274" s="13">
        <f>SUMIF(H:H,Online_eCommerce[[#This Row],[Brand]],M:M)</f>
        <v>16166345</v>
      </c>
      <c r="T274" s="13">
        <f>SUMIF(N:N,Online_eCommerce[[#This Row],[Assigned Supervisor]],L:L)</f>
        <v>12220830</v>
      </c>
    </row>
    <row r="275" spans="1:20" hidden="1" x14ac:dyDescent="0.3">
      <c r="A275" t="s">
        <v>586</v>
      </c>
      <c r="B275" t="s">
        <v>109</v>
      </c>
      <c r="C275" t="s">
        <v>132</v>
      </c>
      <c r="D275" t="s">
        <v>525</v>
      </c>
      <c r="E275" t="s">
        <v>96</v>
      </c>
      <c r="F275" t="s">
        <v>587</v>
      </c>
      <c r="G275" t="s">
        <v>26</v>
      </c>
      <c r="H275" t="s">
        <v>27</v>
      </c>
      <c r="I275">
        <v>8500</v>
      </c>
      <c r="J275">
        <v>11050</v>
      </c>
      <c r="K275">
        <v>4</v>
      </c>
      <c r="L275">
        <v>34000</v>
      </c>
      <c r="M275">
        <v>44200</v>
      </c>
      <c r="N275" t="s">
        <v>35</v>
      </c>
      <c r="O275">
        <f t="shared" si="8"/>
        <v>33150</v>
      </c>
      <c r="P275" s="13">
        <f t="shared" si="9"/>
        <v>1989065</v>
      </c>
      <c r="Q275" s="13">
        <f>SUMIFS(M:M,E:E,Online_eCommerce[[#This Row],[Status]])</f>
        <v>21233992</v>
      </c>
      <c r="R275" s="13">
        <f>SUMIFS(L:L,H:H,Online_eCommerce[[#This Row],[Brand]])</f>
        <v>14431000</v>
      </c>
      <c r="S275" s="13">
        <f>SUMIF(H:H,Online_eCommerce[[#This Row],[Brand]],M:M)</f>
        <v>18760300</v>
      </c>
      <c r="T275" s="13">
        <f>SUMIF(N:N,Online_eCommerce[[#This Row],[Assigned Supervisor]],L:L)</f>
        <v>14373360</v>
      </c>
    </row>
    <row r="276" spans="1:20" hidden="1" x14ac:dyDescent="0.3">
      <c r="A276" t="s">
        <v>588</v>
      </c>
      <c r="B276" t="s">
        <v>114</v>
      </c>
      <c r="C276" t="s">
        <v>136</v>
      </c>
      <c r="D276" t="s">
        <v>525</v>
      </c>
      <c r="E276" t="s">
        <v>18</v>
      </c>
      <c r="F276" t="s">
        <v>32</v>
      </c>
      <c r="G276" t="s">
        <v>33</v>
      </c>
      <c r="H276" t="s">
        <v>34</v>
      </c>
      <c r="I276">
        <v>7000</v>
      </c>
      <c r="J276">
        <v>9100</v>
      </c>
      <c r="K276">
        <v>4</v>
      </c>
      <c r="L276">
        <v>28000</v>
      </c>
      <c r="M276">
        <v>36400</v>
      </c>
      <c r="N276" t="s">
        <v>42</v>
      </c>
      <c r="O276">
        <f t="shared" si="8"/>
        <v>18200</v>
      </c>
      <c r="P276" s="13">
        <f t="shared" si="9"/>
        <v>2775162</v>
      </c>
      <c r="Q276" s="13">
        <f>SUMIFS(M:M,E:E,Online_eCommerce[[#This Row],[Status]])</f>
        <v>28340455</v>
      </c>
      <c r="R276" s="13">
        <f>SUMIFS(L:L,H:H,Online_eCommerce[[#This Row],[Brand]])</f>
        <v>10087000</v>
      </c>
      <c r="S276" s="13">
        <f>SUMIF(H:H,Online_eCommerce[[#This Row],[Brand]],M:M)</f>
        <v>13113100</v>
      </c>
      <c r="T276" s="13">
        <f>SUMIF(N:N,Online_eCommerce[[#This Row],[Assigned Supervisor]],L:L)</f>
        <v>12261500</v>
      </c>
    </row>
    <row r="277" spans="1:20" hidden="1" x14ac:dyDescent="0.3">
      <c r="A277" t="s">
        <v>589</v>
      </c>
      <c r="B277" t="s">
        <v>119</v>
      </c>
      <c r="C277" t="s">
        <v>140</v>
      </c>
      <c r="D277" t="s">
        <v>525</v>
      </c>
      <c r="E277" t="s">
        <v>161</v>
      </c>
      <c r="F277" t="s">
        <v>590</v>
      </c>
      <c r="G277" t="s">
        <v>256</v>
      </c>
      <c r="H277" t="s">
        <v>41</v>
      </c>
      <c r="I277">
        <v>6550</v>
      </c>
      <c r="J277">
        <v>8515</v>
      </c>
      <c r="K277">
        <v>1</v>
      </c>
      <c r="L277">
        <v>6550</v>
      </c>
      <c r="M277">
        <v>8515</v>
      </c>
      <c r="N277" t="s">
        <v>50</v>
      </c>
      <c r="O277">
        <f t="shared" si="8"/>
        <v>9100</v>
      </c>
      <c r="P277" s="13">
        <f t="shared" si="9"/>
        <v>2058264</v>
      </c>
      <c r="Q277" s="13">
        <f>SUMIFS(M:M,E:E,Online_eCommerce[[#This Row],[Status]])</f>
        <v>21103186</v>
      </c>
      <c r="R277" s="13">
        <f>SUMIFS(L:L,H:H,Online_eCommerce[[#This Row],[Brand]])</f>
        <v>4260400</v>
      </c>
      <c r="S277" s="13">
        <f>SUMIF(H:H,Online_eCommerce[[#This Row],[Brand]],M:M)</f>
        <v>5538520</v>
      </c>
      <c r="T277" s="13">
        <f>SUMIF(N:N,Online_eCommerce[[#This Row],[Assigned Supervisor]],L:L)</f>
        <v>12100590</v>
      </c>
    </row>
    <row r="278" spans="1:20" x14ac:dyDescent="0.3">
      <c r="A278" t="s">
        <v>591</v>
      </c>
      <c r="B278" t="s">
        <v>124</v>
      </c>
      <c r="C278" t="s">
        <v>145</v>
      </c>
      <c r="D278" t="s">
        <v>525</v>
      </c>
      <c r="E278" t="s">
        <v>46</v>
      </c>
      <c r="F278" t="s">
        <v>47</v>
      </c>
      <c r="G278" t="s">
        <v>259</v>
      </c>
      <c r="H278" t="s">
        <v>49</v>
      </c>
      <c r="I278">
        <v>7650</v>
      </c>
      <c r="J278">
        <v>9945</v>
      </c>
      <c r="K278">
        <v>1</v>
      </c>
      <c r="L278">
        <v>7650</v>
      </c>
      <c r="M278">
        <v>9945</v>
      </c>
      <c r="N278" t="s">
        <v>56</v>
      </c>
      <c r="O278">
        <f t="shared" si="8"/>
        <v>11700</v>
      </c>
      <c r="P278" s="13">
        <f t="shared" si="9"/>
        <v>2757859</v>
      </c>
      <c r="Q278" s="13">
        <f>SUMIFS(M:M,E:E,Online_eCommerce[[#This Row],[Status]])</f>
        <v>28620410</v>
      </c>
      <c r="R278" s="13">
        <f>SUMIFS(L:L,H:H,Online_eCommerce[[#This Row],[Brand]])</f>
        <v>4528350</v>
      </c>
      <c r="S278" s="13">
        <f>SUMIF(H:H,Online_eCommerce[[#This Row],[Brand]],M:M)</f>
        <v>5886855</v>
      </c>
      <c r="T278" s="13">
        <f>SUMIF(N:N,Online_eCommerce[[#This Row],[Assigned Supervisor]],L:L)</f>
        <v>11733610</v>
      </c>
    </row>
    <row r="279" spans="1:20" hidden="1" x14ac:dyDescent="0.3">
      <c r="A279" t="s">
        <v>592</v>
      </c>
      <c r="B279" t="s">
        <v>128</v>
      </c>
      <c r="C279" t="s">
        <v>150</v>
      </c>
      <c r="D279" t="s">
        <v>525</v>
      </c>
      <c r="E279" t="s">
        <v>96</v>
      </c>
      <c r="F279" t="s">
        <v>53</v>
      </c>
      <c r="G279" t="s">
        <v>54</v>
      </c>
      <c r="H279" t="s">
        <v>55</v>
      </c>
      <c r="I279">
        <v>1150</v>
      </c>
      <c r="J279">
        <v>1495</v>
      </c>
      <c r="K279">
        <v>3</v>
      </c>
      <c r="L279">
        <v>3450</v>
      </c>
      <c r="M279">
        <v>4485</v>
      </c>
      <c r="N279" t="s">
        <v>22</v>
      </c>
      <c r="O279">
        <f t="shared" si="8"/>
        <v>2990</v>
      </c>
      <c r="P279" s="13">
        <f t="shared" si="9"/>
        <v>2154984</v>
      </c>
      <c r="Q279" s="13">
        <f>SUMIFS(M:M,E:E,Online_eCommerce[[#This Row],[Status]])</f>
        <v>21233992</v>
      </c>
      <c r="R279" s="13">
        <f>SUMIFS(L:L,H:H,Online_eCommerce[[#This Row],[Brand]])</f>
        <v>2267380</v>
      </c>
      <c r="S279" s="13">
        <f>SUMIF(H:H,Online_eCommerce[[#This Row],[Brand]],M:M)</f>
        <v>2947594</v>
      </c>
      <c r="T279" s="13">
        <f>SUMIF(N:N,Online_eCommerce[[#This Row],[Assigned Supervisor]],L:L)</f>
        <v>13693220</v>
      </c>
    </row>
    <row r="280" spans="1:20" hidden="1" x14ac:dyDescent="0.3">
      <c r="A280" t="s">
        <v>593</v>
      </c>
      <c r="B280" t="s">
        <v>131</v>
      </c>
      <c r="C280" t="s">
        <v>155</v>
      </c>
      <c r="D280" t="s">
        <v>525</v>
      </c>
      <c r="E280" t="s">
        <v>18</v>
      </c>
      <c r="F280" t="s">
        <v>59</v>
      </c>
      <c r="G280" t="s">
        <v>60</v>
      </c>
      <c r="H280" t="s">
        <v>61</v>
      </c>
      <c r="I280">
        <v>850</v>
      </c>
      <c r="J280">
        <v>1105</v>
      </c>
      <c r="K280">
        <v>3</v>
      </c>
      <c r="L280">
        <v>2550</v>
      </c>
      <c r="M280">
        <v>3315</v>
      </c>
      <c r="N280" t="s">
        <v>28</v>
      </c>
      <c r="O280">
        <f t="shared" si="8"/>
        <v>3315</v>
      </c>
      <c r="P280" s="13">
        <f t="shared" si="9"/>
        <v>2753348</v>
      </c>
      <c r="Q280" s="13">
        <f>SUMIFS(M:M,E:E,Online_eCommerce[[#This Row],[Status]])</f>
        <v>28340455</v>
      </c>
      <c r="R280" s="13">
        <f>SUMIFS(L:L,H:H,Online_eCommerce[[#This Row],[Brand]])</f>
        <v>10950150</v>
      </c>
      <c r="S280" s="13">
        <f>SUMIF(H:H,Online_eCommerce[[#This Row],[Brand]],M:M)</f>
        <v>14235195</v>
      </c>
      <c r="T280" s="13">
        <f>SUMIF(N:N,Online_eCommerce[[#This Row],[Assigned Supervisor]],L:L)</f>
        <v>12220830</v>
      </c>
    </row>
    <row r="281" spans="1:20" hidden="1" x14ac:dyDescent="0.3">
      <c r="A281" t="s">
        <v>594</v>
      </c>
      <c r="B281" t="s">
        <v>135</v>
      </c>
      <c r="C281" t="s">
        <v>160</v>
      </c>
      <c r="D281" t="s">
        <v>525</v>
      </c>
      <c r="E281" t="s">
        <v>161</v>
      </c>
      <c r="F281" t="s">
        <v>65</v>
      </c>
      <c r="G281" t="s">
        <v>66</v>
      </c>
      <c r="H281" t="s">
        <v>21</v>
      </c>
      <c r="I281">
        <v>650</v>
      </c>
      <c r="J281">
        <v>845</v>
      </c>
      <c r="K281">
        <v>1</v>
      </c>
      <c r="L281">
        <v>650</v>
      </c>
      <c r="M281">
        <v>845</v>
      </c>
      <c r="N281" t="s">
        <v>35</v>
      </c>
      <c r="O281">
        <f t="shared" si="8"/>
        <v>1690</v>
      </c>
      <c r="P281" s="13">
        <f t="shared" si="9"/>
        <v>2303483</v>
      </c>
      <c r="Q281" s="13">
        <f>SUMIFS(M:M,E:E,Online_eCommerce[[#This Row],[Status]])</f>
        <v>21103186</v>
      </c>
      <c r="R281" s="13">
        <f>SUMIFS(L:L,H:H,Online_eCommerce[[#This Row],[Brand]])</f>
        <v>12435650</v>
      </c>
      <c r="S281" s="13">
        <f>SUMIF(H:H,Online_eCommerce[[#This Row],[Brand]],M:M)</f>
        <v>16166345</v>
      </c>
      <c r="T281" s="13">
        <f>SUMIF(N:N,Online_eCommerce[[#This Row],[Assigned Supervisor]],L:L)</f>
        <v>14373360</v>
      </c>
    </row>
    <row r="282" spans="1:20" x14ac:dyDescent="0.3">
      <c r="A282" t="s">
        <v>595</v>
      </c>
      <c r="B282" t="s">
        <v>139</v>
      </c>
      <c r="C282" t="s">
        <v>165</v>
      </c>
      <c r="D282" t="s">
        <v>525</v>
      </c>
      <c r="E282" t="s">
        <v>46</v>
      </c>
      <c r="F282" t="s">
        <v>70</v>
      </c>
      <c r="G282" t="s">
        <v>71</v>
      </c>
      <c r="H282" t="s">
        <v>61</v>
      </c>
      <c r="I282">
        <v>7500</v>
      </c>
      <c r="J282">
        <v>9750</v>
      </c>
      <c r="K282">
        <v>3</v>
      </c>
      <c r="L282">
        <v>22500</v>
      </c>
      <c r="M282">
        <v>29250</v>
      </c>
      <c r="N282" t="s">
        <v>42</v>
      </c>
      <c r="O282">
        <f t="shared" si="8"/>
        <v>9750</v>
      </c>
      <c r="P282" s="13">
        <f t="shared" si="9"/>
        <v>2674087</v>
      </c>
      <c r="Q282" s="13">
        <f>SUMIFS(M:M,E:E,Online_eCommerce[[#This Row],[Status]])</f>
        <v>28620410</v>
      </c>
      <c r="R282" s="13">
        <f>SUMIFS(L:L,H:H,Online_eCommerce[[#This Row],[Brand]])</f>
        <v>10950150</v>
      </c>
      <c r="S282" s="13">
        <f>SUMIF(H:H,Online_eCommerce[[#This Row],[Brand]],M:M)</f>
        <v>14235195</v>
      </c>
      <c r="T282" s="13">
        <f>SUMIF(N:N,Online_eCommerce[[#This Row],[Assigned Supervisor]],L:L)</f>
        <v>12261500</v>
      </c>
    </row>
    <row r="283" spans="1:20" hidden="1" x14ac:dyDescent="0.3">
      <c r="A283" t="s">
        <v>596</v>
      </c>
      <c r="B283" t="s">
        <v>144</v>
      </c>
      <c r="C283" t="s">
        <v>168</v>
      </c>
      <c r="D283" t="s">
        <v>525</v>
      </c>
      <c r="E283" t="s">
        <v>96</v>
      </c>
      <c r="F283" t="s">
        <v>583</v>
      </c>
      <c r="G283" t="s">
        <v>77</v>
      </c>
      <c r="H283" t="s">
        <v>78</v>
      </c>
      <c r="I283">
        <v>10000</v>
      </c>
      <c r="J283">
        <v>13000</v>
      </c>
      <c r="K283">
        <v>4</v>
      </c>
      <c r="L283">
        <v>40000</v>
      </c>
      <c r="M283">
        <v>52000</v>
      </c>
      <c r="N283" t="s">
        <v>50</v>
      </c>
      <c r="O283">
        <f t="shared" si="8"/>
        <v>39000</v>
      </c>
      <c r="P283" s="13">
        <f t="shared" si="9"/>
        <v>1937780</v>
      </c>
      <c r="Q283" s="13">
        <f>SUMIFS(M:M,E:E,Online_eCommerce[[#This Row],[Status]])</f>
        <v>21233992</v>
      </c>
      <c r="R283" s="13">
        <f>SUMIFS(L:L,H:H,Online_eCommerce[[#This Row],[Brand]])</f>
        <v>3720000</v>
      </c>
      <c r="S283" s="13">
        <f>SUMIF(H:H,Online_eCommerce[[#This Row],[Brand]],M:M)</f>
        <v>4836000</v>
      </c>
      <c r="T283" s="13">
        <f>SUMIF(N:N,Online_eCommerce[[#This Row],[Assigned Supervisor]],L:L)</f>
        <v>12100590</v>
      </c>
    </row>
    <row r="284" spans="1:20" hidden="1" x14ac:dyDescent="0.3">
      <c r="A284" t="s">
        <v>597</v>
      </c>
      <c r="B284" t="s">
        <v>149</v>
      </c>
      <c r="C284" t="s">
        <v>172</v>
      </c>
      <c r="D284" t="s">
        <v>525</v>
      </c>
      <c r="E284" t="s">
        <v>18</v>
      </c>
      <c r="F284" t="s">
        <v>598</v>
      </c>
      <c r="G284" t="s">
        <v>20</v>
      </c>
      <c r="H284" t="s">
        <v>21</v>
      </c>
      <c r="I284">
        <v>10500</v>
      </c>
      <c r="J284">
        <v>13650</v>
      </c>
      <c r="K284">
        <v>2</v>
      </c>
      <c r="L284">
        <v>21000</v>
      </c>
      <c r="M284">
        <v>27300</v>
      </c>
      <c r="N284" t="s">
        <v>56</v>
      </c>
      <c r="O284">
        <f t="shared" si="8"/>
        <v>8450</v>
      </c>
      <c r="P284" s="13">
        <f t="shared" si="9"/>
        <v>2640274</v>
      </c>
      <c r="Q284" s="13">
        <f>SUMIFS(M:M,E:E,Online_eCommerce[[#This Row],[Status]])</f>
        <v>28340455</v>
      </c>
      <c r="R284" s="13">
        <f>SUMIFS(L:L,H:H,Online_eCommerce[[#This Row],[Brand]])</f>
        <v>12435650</v>
      </c>
      <c r="S284" s="13">
        <f>SUMIF(H:H,Online_eCommerce[[#This Row],[Brand]],M:M)</f>
        <v>16166345</v>
      </c>
      <c r="T284" s="13">
        <f>SUMIF(N:N,Online_eCommerce[[#This Row],[Assigned Supervisor]],L:L)</f>
        <v>11733610</v>
      </c>
    </row>
    <row r="285" spans="1:20" hidden="1" x14ac:dyDescent="0.3">
      <c r="A285" t="s">
        <v>599</v>
      </c>
      <c r="B285" t="s">
        <v>154</v>
      </c>
      <c r="C285" t="s">
        <v>177</v>
      </c>
      <c r="D285" t="s">
        <v>525</v>
      </c>
      <c r="E285" t="s">
        <v>161</v>
      </c>
      <c r="F285" t="s">
        <v>88</v>
      </c>
      <c r="G285" t="s">
        <v>26</v>
      </c>
      <c r="H285" t="s">
        <v>27</v>
      </c>
      <c r="I285">
        <v>8500</v>
      </c>
      <c r="J285">
        <v>11050</v>
      </c>
      <c r="K285">
        <v>3</v>
      </c>
      <c r="L285">
        <v>25500</v>
      </c>
      <c r="M285">
        <v>33150</v>
      </c>
      <c r="N285" t="s">
        <v>22</v>
      </c>
      <c r="O285">
        <f t="shared" si="8"/>
        <v>33150</v>
      </c>
      <c r="P285" s="13">
        <f t="shared" si="9"/>
        <v>1863810</v>
      </c>
      <c r="Q285" s="13">
        <f>SUMIFS(M:M,E:E,Online_eCommerce[[#This Row],[Status]])</f>
        <v>21103186</v>
      </c>
      <c r="R285" s="13">
        <f>SUMIFS(L:L,H:H,Online_eCommerce[[#This Row],[Brand]])</f>
        <v>14431000</v>
      </c>
      <c r="S285" s="13">
        <f>SUMIF(H:H,Online_eCommerce[[#This Row],[Brand]],M:M)</f>
        <v>18760300</v>
      </c>
      <c r="T285" s="13">
        <f>SUMIF(N:N,Online_eCommerce[[#This Row],[Assigned Supervisor]],L:L)</f>
        <v>13693220</v>
      </c>
    </row>
    <row r="286" spans="1:20" x14ac:dyDescent="0.3">
      <c r="A286" t="s">
        <v>600</v>
      </c>
      <c r="B286" t="s">
        <v>159</v>
      </c>
      <c r="C286" t="s">
        <v>181</v>
      </c>
      <c r="D286" t="s">
        <v>525</v>
      </c>
      <c r="E286" t="s">
        <v>46</v>
      </c>
      <c r="F286" t="s">
        <v>32</v>
      </c>
      <c r="G286" t="s">
        <v>33</v>
      </c>
      <c r="H286" t="s">
        <v>34</v>
      </c>
      <c r="I286">
        <v>7000</v>
      </c>
      <c r="J286">
        <v>9100</v>
      </c>
      <c r="K286">
        <v>4</v>
      </c>
      <c r="L286">
        <v>28000</v>
      </c>
      <c r="M286">
        <v>36400</v>
      </c>
      <c r="N286" t="s">
        <v>28</v>
      </c>
      <c r="O286">
        <f t="shared" si="8"/>
        <v>18200</v>
      </c>
      <c r="P286" s="13">
        <f t="shared" si="9"/>
        <v>2577458</v>
      </c>
      <c r="Q286" s="13">
        <f>SUMIFS(M:M,E:E,Online_eCommerce[[#This Row],[Status]])</f>
        <v>28620410</v>
      </c>
      <c r="R286" s="13">
        <f>SUMIFS(L:L,H:H,Online_eCommerce[[#This Row],[Brand]])</f>
        <v>10087000</v>
      </c>
      <c r="S286" s="13">
        <f>SUMIF(H:H,Online_eCommerce[[#This Row],[Brand]],M:M)</f>
        <v>13113100</v>
      </c>
      <c r="T286" s="13">
        <f>SUMIF(N:N,Online_eCommerce[[#This Row],[Assigned Supervisor]],L:L)</f>
        <v>12220830</v>
      </c>
    </row>
    <row r="287" spans="1:20" hidden="1" x14ac:dyDescent="0.3">
      <c r="A287" t="s">
        <v>601</v>
      </c>
      <c r="B287" t="s">
        <v>139</v>
      </c>
      <c r="C287" t="s">
        <v>185</v>
      </c>
      <c r="D287" t="s">
        <v>525</v>
      </c>
      <c r="E287" t="s">
        <v>96</v>
      </c>
      <c r="F287" t="s">
        <v>602</v>
      </c>
      <c r="G287" t="s">
        <v>256</v>
      </c>
      <c r="H287" t="s">
        <v>41</v>
      </c>
      <c r="I287">
        <v>1680</v>
      </c>
      <c r="J287">
        <v>2184</v>
      </c>
      <c r="K287">
        <v>4</v>
      </c>
      <c r="L287">
        <v>6720</v>
      </c>
      <c r="M287">
        <v>8736</v>
      </c>
      <c r="N287" t="s">
        <v>35</v>
      </c>
      <c r="O287">
        <f t="shared" si="8"/>
        <v>9100</v>
      </c>
      <c r="P287" s="13">
        <f t="shared" si="9"/>
        <v>2091596</v>
      </c>
      <c r="Q287" s="13">
        <f>SUMIFS(M:M,E:E,Online_eCommerce[[#This Row],[Status]])</f>
        <v>21233992</v>
      </c>
      <c r="R287" s="13">
        <f>SUMIFS(L:L,H:H,Online_eCommerce[[#This Row],[Brand]])</f>
        <v>4260400</v>
      </c>
      <c r="S287" s="13">
        <f>SUMIF(H:H,Online_eCommerce[[#This Row],[Brand]],M:M)</f>
        <v>5538520</v>
      </c>
      <c r="T287" s="13">
        <f>SUMIF(N:N,Online_eCommerce[[#This Row],[Assigned Supervisor]],L:L)</f>
        <v>14373360</v>
      </c>
    </row>
    <row r="288" spans="1:20" hidden="1" x14ac:dyDescent="0.3">
      <c r="A288" t="s">
        <v>603</v>
      </c>
      <c r="B288" t="s">
        <v>144</v>
      </c>
      <c r="C288" t="s">
        <v>189</v>
      </c>
      <c r="D288" t="s">
        <v>525</v>
      </c>
      <c r="E288" t="s">
        <v>18</v>
      </c>
      <c r="F288" t="s">
        <v>101</v>
      </c>
      <c r="G288" t="s">
        <v>259</v>
      </c>
      <c r="H288" t="s">
        <v>102</v>
      </c>
      <c r="I288">
        <v>6540</v>
      </c>
      <c r="J288">
        <v>8502</v>
      </c>
      <c r="K288">
        <v>3</v>
      </c>
      <c r="L288">
        <v>19620</v>
      </c>
      <c r="M288">
        <v>25506</v>
      </c>
      <c r="N288" t="s">
        <v>42</v>
      </c>
      <c r="O288">
        <f t="shared" si="8"/>
        <v>11700</v>
      </c>
      <c r="P288" s="13">
        <f t="shared" si="9"/>
        <v>2740777</v>
      </c>
      <c r="Q288" s="13">
        <f>SUMIFS(M:M,E:E,Online_eCommerce[[#This Row],[Status]])</f>
        <v>28340455</v>
      </c>
      <c r="R288" s="13">
        <f>SUMIFS(L:L,H:H,Online_eCommerce[[#This Row],[Brand]])</f>
        <v>2465580</v>
      </c>
      <c r="S288" s="13">
        <f>SUMIF(H:H,Online_eCommerce[[#This Row],[Brand]],M:M)</f>
        <v>3205254</v>
      </c>
      <c r="T288" s="13">
        <f>SUMIF(N:N,Online_eCommerce[[#This Row],[Assigned Supervisor]],L:L)</f>
        <v>12261500</v>
      </c>
    </row>
    <row r="289" spans="1:20" hidden="1" x14ac:dyDescent="0.3">
      <c r="A289" t="s">
        <v>604</v>
      </c>
      <c r="B289" t="s">
        <v>171</v>
      </c>
      <c r="C289" t="s">
        <v>193</v>
      </c>
      <c r="D289" t="s">
        <v>525</v>
      </c>
      <c r="E289" t="s">
        <v>161</v>
      </c>
      <c r="F289" t="s">
        <v>107</v>
      </c>
      <c r="G289" t="s">
        <v>54</v>
      </c>
      <c r="H289" t="s">
        <v>55</v>
      </c>
      <c r="I289">
        <v>2680</v>
      </c>
      <c r="J289">
        <v>3484</v>
      </c>
      <c r="K289">
        <v>3</v>
      </c>
      <c r="L289">
        <v>8040</v>
      </c>
      <c r="M289">
        <v>10452</v>
      </c>
      <c r="N289" t="s">
        <v>50</v>
      </c>
      <c r="O289">
        <f t="shared" si="8"/>
        <v>2990</v>
      </c>
      <c r="P289" s="13">
        <f t="shared" si="9"/>
        <v>2074774</v>
      </c>
      <c r="Q289" s="13">
        <f>SUMIFS(M:M,E:E,Online_eCommerce[[#This Row],[Status]])</f>
        <v>21103186</v>
      </c>
      <c r="R289" s="13">
        <f>SUMIFS(L:L,H:H,Online_eCommerce[[#This Row],[Brand]])</f>
        <v>2267380</v>
      </c>
      <c r="S289" s="13">
        <f>SUMIF(H:H,Online_eCommerce[[#This Row],[Brand]],M:M)</f>
        <v>2947594</v>
      </c>
      <c r="T289" s="13">
        <f>SUMIF(N:N,Online_eCommerce[[#This Row],[Assigned Supervisor]],L:L)</f>
        <v>12100590</v>
      </c>
    </row>
    <row r="290" spans="1:20" x14ac:dyDescent="0.3">
      <c r="A290" t="s">
        <v>605</v>
      </c>
      <c r="B290" t="s">
        <v>176</v>
      </c>
      <c r="C290" t="s">
        <v>197</v>
      </c>
      <c r="D290" t="s">
        <v>525</v>
      </c>
      <c r="E290" t="s">
        <v>46</v>
      </c>
      <c r="F290" t="s">
        <v>112</v>
      </c>
      <c r="G290" t="s">
        <v>71</v>
      </c>
      <c r="H290" t="s">
        <v>21</v>
      </c>
      <c r="I290">
        <v>8250</v>
      </c>
      <c r="J290">
        <v>10725</v>
      </c>
      <c r="K290">
        <v>4</v>
      </c>
      <c r="L290">
        <v>33000</v>
      </c>
      <c r="M290">
        <v>42900</v>
      </c>
      <c r="N290" t="s">
        <v>56</v>
      </c>
      <c r="O290">
        <f t="shared" si="8"/>
        <v>9750</v>
      </c>
      <c r="P290" s="13">
        <f t="shared" si="9"/>
        <v>2829840</v>
      </c>
      <c r="Q290" s="13">
        <f>SUMIFS(M:M,E:E,Online_eCommerce[[#This Row],[Status]])</f>
        <v>28620410</v>
      </c>
      <c r="R290" s="13">
        <f>SUMIFS(L:L,H:H,Online_eCommerce[[#This Row],[Brand]])</f>
        <v>12435650</v>
      </c>
      <c r="S290" s="13">
        <f>SUMIF(H:H,Online_eCommerce[[#This Row],[Brand]],M:M)</f>
        <v>16166345</v>
      </c>
      <c r="T290" s="13">
        <f>SUMIF(N:N,Online_eCommerce[[#This Row],[Assigned Supervisor]],L:L)</f>
        <v>11733610</v>
      </c>
    </row>
    <row r="291" spans="1:20" hidden="1" x14ac:dyDescent="0.3">
      <c r="A291" t="s">
        <v>606</v>
      </c>
      <c r="B291" t="s">
        <v>276</v>
      </c>
      <c r="C291" t="s">
        <v>199</v>
      </c>
      <c r="D291" t="s">
        <v>525</v>
      </c>
      <c r="E291" t="s">
        <v>96</v>
      </c>
      <c r="F291" t="s">
        <v>39</v>
      </c>
      <c r="G291" t="s">
        <v>40</v>
      </c>
      <c r="H291" t="s">
        <v>21</v>
      </c>
      <c r="I291">
        <v>2650</v>
      </c>
      <c r="J291">
        <v>3445</v>
      </c>
      <c r="K291">
        <v>2</v>
      </c>
      <c r="L291">
        <v>5300</v>
      </c>
      <c r="M291">
        <v>6890</v>
      </c>
      <c r="N291" t="s">
        <v>22</v>
      </c>
      <c r="O291">
        <f t="shared" si="8"/>
        <v>25545</v>
      </c>
      <c r="P291" s="13">
        <f t="shared" si="9"/>
        <v>1947361</v>
      </c>
      <c r="Q291" s="13">
        <f>SUMIFS(M:M,E:E,Online_eCommerce[[#This Row],[Status]])</f>
        <v>21233992</v>
      </c>
      <c r="R291" s="13">
        <f>SUMIFS(L:L,H:H,Online_eCommerce[[#This Row],[Brand]])</f>
        <v>12435650</v>
      </c>
      <c r="S291" s="13">
        <f>SUMIF(H:H,Online_eCommerce[[#This Row],[Brand]],M:M)</f>
        <v>16166345</v>
      </c>
      <c r="T291" s="13">
        <f>SUMIF(N:N,Online_eCommerce[[#This Row],[Assigned Supervisor]],L:L)</f>
        <v>13693220</v>
      </c>
    </row>
    <row r="292" spans="1:20" hidden="1" x14ac:dyDescent="0.3">
      <c r="A292" t="s">
        <v>607</v>
      </c>
      <c r="B292" t="s">
        <v>280</v>
      </c>
      <c r="C292" t="s">
        <v>203</v>
      </c>
      <c r="D292" t="s">
        <v>525</v>
      </c>
      <c r="E292" t="s">
        <v>18</v>
      </c>
      <c r="F292" t="s">
        <v>121</v>
      </c>
      <c r="G292" t="s">
        <v>71</v>
      </c>
      <c r="H292" t="s">
        <v>122</v>
      </c>
      <c r="I292">
        <v>12550</v>
      </c>
      <c r="J292">
        <v>16315</v>
      </c>
      <c r="K292">
        <v>2</v>
      </c>
      <c r="L292">
        <v>25100</v>
      </c>
      <c r="M292">
        <v>32630</v>
      </c>
      <c r="N292" t="s">
        <v>28</v>
      </c>
      <c r="O292">
        <f t="shared" si="8"/>
        <v>9750</v>
      </c>
      <c r="P292" s="13">
        <f t="shared" si="9"/>
        <v>2559635</v>
      </c>
      <c r="Q292" s="13">
        <f>SUMIFS(M:M,E:E,Online_eCommerce[[#This Row],[Status]])</f>
        <v>28340455</v>
      </c>
      <c r="R292" s="13">
        <f>SUMIFS(L:L,H:H,Online_eCommerce[[#This Row],[Brand]])</f>
        <v>5045100</v>
      </c>
      <c r="S292" s="13">
        <f>SUMIF(H:H,Online_eCommerce[[#This Row],[Brand]],M:M)</f>
        <v>6558630</v>
      </c>
      <c r="T292" s="13">
        <f>SUMIF(N:N,Online_eCommerce[[#This Row],[Assigned Supervisor]],L:L)</f>
        <v>12220830</v>
      </c>
    </row>
    <row r="293" spans="1:20" hidden="1" x14ac:dyDescent="0.3">
      <c r="A293" t="s">
        <v>608</v>
      </c>
      <c r="B293" t="s">
        <v>283</v>
      </c>
      <c r="C293" t="s">
        <v>205</v>
      </c>
      <c r="D293" t="s">
        <v>525</v>
      </c>
      <c r="E293" t="s">
        <v>161</v>
      </c>
      <c r="F293" t="s">
        <v>126</v>
      </c>
      <c r="G293" t="s">
        <v>26</v>
      </c>
      <c r="H293" t="s">
        <v>27</v>
      </c>
      <c r="I293">
        <v>14500</v>
      </c>
      <c r="J293">
        <v>18850</v>
      </c>
      <c r="K293">
        <v>2</v>
      </c>
      <c r="L293">
        <v>29000</v>
      </c>
      <c r="M293">
        <v>37700</v>
      </c>
      <c r="N293" t="s">
        <v>35</v>
      </c>
      <c r="O293">
        <f t="shared" si="8"/>
        <v>33150</v>
      </c>
      <c r="P293" s="13">
        <f t="shared" si="9"/>
        <v>1983254</v>
      </c>
      <c r="Q293" s="13">
        <f>SUMIFS(M:M,E:E,Online_eCommerce[[#This Row],[Status]])</f>
        <v>21103186</v>
      </c>
      <c r="R293" s="13">
        <f>SUMIFS(L:L,H:H,Online_eCommerce[[#This Row],[Brand]])</f>
        <v>14431000</v>
      </c>
      <c r="S293" s="13">
        <f>SUMIF(H:H,Online_eCommerce[[#This Row],[Brand]],M:M)</f>
        <v>18760300</v>
      </c>
      <c r="T293" s="13">
        <f>SUMIF(N:N,Online_eCommerce[[#This Row],[Assigned Supervisor]],L:L)</f>
        <v>14373360</v>
      </c>
    </row>
    <row r="294" spans="1:20" x14ac:dyDescent="0.3">
      <c r="A294" t="s">
        <v>609</v>
      </c>
      <c r="B294" t="s">
        <v>287</v>
      </c>
      <c r="C294" t="s">
        <v>208</v>
      </c>
      <c r="D294" t="s">
        <v>525</v>
      </c>
      <c r="E294" t="s">
        <v>46</v>
      </c>
      <c r="F294" t="s">
        <v>129</v>
      </c>
      <c r="G294" t="s">
        <v>60</v>
      </c>
      <c r="H294" t="s">
        <v>61</v>
      </c>
      <c r="I294">
        <v>800</v>
      </c>
      <c r="J294">
        <v>1040</v>
      </c>
      <c r="K294">
        <v>4</v>
      </c>
      <c r="L294">
        <v>3200</v>
      </c>
      <c r="M294">
        <v>4160</v>
      </c>
      <c r="N294" t="s">
        <v>42</v>
      </c>
      <c r="O294">
        <f t="shared" si="8"/>
        <v>3315</v>
      </c>
      <c r="P294" s="13">
        <f t="shared" si="9"/>
        <v>2746575</v>
      </c>
      <c r="Q294" s="13">
        <f>SUMIFS(M:M,E:E,Online_eCommerce[[#This Row],[Status]])</f>
        <v>28620410</v>
      </c>
      <c r="R294" s="13">
        <f>SUMIFS(L:L,H:H,Online_eCommerce[[#This Row],[Brand]])</f>
        <v>10950150</v>
      </c>
      <c r="S294" s="13">
        <f>SUMIF(H:H,Online_eCommerce[[#This Row],[Brand]],M:M)</f>
        <v>14235195</v>
      </c>
      <c r="T294" s="13">
        <f>SUMIF(N:N,Online_eCommerce[[#This Row],[Assigned Supervisor]],L:L)</f>
        <v>12261500</v>
      </c>
    </row>
    <row r="295" spans="1:20" hidden="1" x14ac:dyDescent="0.3">
      <c r="A295" t="s">
        <v>610</v>
      </c>
      <c r="B295" t="s">
        <v>290</v>
      </c>
      <c r="C295" t="s">
        <v>211</v>
      </c>
      <c r="D295" t="s">
        <v>525</v>
      </c>
      <c r="E295" t="s">
        <v>96</v>
      </c>
      <c r="F295" t="s">
        <v>133</v>
      </c>
      <c r="G295" t="s">
        <v>66</v>
      </c>
      <c r="H295" t="s">
        <v>21</v>
      </c>
      <c r="I295">
        <v>600</v>
      </c>
      <c r="J295">
        <v>780</v>
      </c>
      <c r="K295">
        <v>3</v>
      </c>
      <c r="L295">
        <v>1800</v>
      </c>
      <c r="M295">
        <v>2340</v>
      </c>
      <c r="N295" t="s">
        <v>50</v>
      </c>
      <c r="O295">
        <f t="shared" si="8"/>
        <v>1690</v>
      </c>
      <c r="P295" s="13">
        <f t="shared" si="9"/>
        <v>1809847</v>
      </c>
      <c r="Q295" s="13">
        <f>SUMIFS(M:M,E:E,Online_eCommerce[[#This Row],[Status]])</f>
        <v>21233992</v>
      </c>
      <c r="R295" s="13">
        <f>SUMIFS(L:L,H:H,Online_eCommerce[[#This Row],[Brand]])</f>
        <v>12435650</v>
      </c>
      <c r="S295" s="13">
        <f>SUMIF(H:H,Online_eCommerce[[#This Row],[Brand]],M:M)</f>
        <v>16166345</v>
      </c>
      <c r="T295" s="13">
        <f>SUMIF(N:N,Online_eCommerce[[#This Row],[Assigned Supervisor]],L:L)</f>
        <v>12100590</v>
      </c>
    </row>
    <row r="296" spans="1:20" hidden="1" x14ac:dyDescent="0.3">
      <c r="A296" t="s">
        <v>611</v>
      </c>
      <c r="B296" t="s">
        <v>15</v>
      </c>
      <c r="C296" t="s">
        <v>16</v>
      </c>
      <c r="D296" t="s">
        <v>525</v>
      </c>
      <c r="E296" t="s">
        <v>18</v>
      </c>
      <c r="F296" t="s">
        <v>137</v>
      </c>
      <c r="G296" t="s">
        <v>71</v>
      </c>
      <c r="H296" t="s">
        <v>61</v>
      </c>
      <c r="I296">
        <v>10500</v>
      </c>
      <c r="J296">
        <v>13650</v>
      </c>
      <c r="K296">
        <v>1</v>
      </c>
      <c r="L296">
        <v>10500</v>
      </c>
      <c r="M296">
        <v>13650</v>
      </c>
      <c r="N296" t="s">
        <v>56</v>
      </c>
      <c r="O296">
        <f t="shared" si="8"/>
        <v>9750</v>
      </c>
      <c r="P296" s="13">
        <f t="shared" si="9"/>
        <v>2751814</v>
      </c>
      <c r="Q296" s="13">
        <f>SUMIFS(M:M,E:E,Online_eCommerce[[#This Row],[Status]])</f>
        <v>28340455</v>
      </c>
      <c r="R296" s="13">
        <f>SUMIFS(L:L,H:H,Online_eCommerce[[#This Row],[Brand]])</f>
        <v>10950150</v>
      </c>
      <c r="S296" s="13">
        <f>SUMIF(H:H,Online_eCommerce[[#This Row],[Brand]],M:M)</f>
        <v>14235195</v>
      </c>
      <c r="T296" s="13">
        <f>SUMIF(N:N,Online_eCommerce[[#This Row],[Assigned Supervisor]],L:L)</f>
        <v>11733610</v>
      </c>
    </row>
    <row r="297" spans="1:20" hidden="1" x14ac:dyDescent="0.3">
      <c r="A297" t="s">
        <v>612</v>
      </c>
      <c r="B297" t="s">
        <v>202</v>
      </c>
      <c r="C297" t="s">
        <v>24</v>
      </c>
      <c r="D297" t="s">
        <v>525</v>
      </c>
      <c r="E297" t="s">
        <v>161</v>
      </c>
      <c r="F297" t="s">
        <v>583</v>
      </c>
      <c r="G297" t="s">
        <v>77</v>
      </c>
      <c r="H297" t="s">
        <v>142</v>
      </c>
      <c r="I297">
        <v>6500</v>
      </c>
      <c r="J297">
        <v>8450</v>
      </c>
      <c r="K297">
        <v>4</v>
      </c>
      <c r="L297">
        <v>26000</v>
      </c>
      <c r="M297">
        <v>33800</v>
      </c>
      <c r="N297" t="s">
        <v>22</v>
      </c>
      <c r="O297">
        <f t="shared" si="8"/>
        <v>39000</v>
      </c>
      <c r="P297" s="13">
        <f t="shared" si="9"/>
        <v>2009540</v>
      </c>
      <c r="Q297" s="13">
        <f>SUMIFS(M:M,E:E,Online_eCommerce[[#This Row],[Status]])</f>
        <v>21103186</v>
      </c>
      <c r="R297" s="13">
        <f>SUMIFS(L:L,H:H,Online_eCommerce[[#This Row],[Brand]])</f>
        <v>6192500</v>
      </c>
      <c r="S297" s="13">
        <f>SUMIF(H:H,Online_eCommerce[[#This Row],[Brand]],M:M)</f>
        <v>8050250</v>
      </c>
      <c r="T297" s="13">
        <f>SUMIF(N:N,Online_eCommerce[[#This Row],[Assigned Supervisor]],L:L)</f>
        <v>13693220</v>
      </c>
    </row>
    <row r="298" spans="1:20" x14ac:dyDescent="0.3">
      <c r="A298" t="s">
        <v>613</v>
      </c>
      <c r="B298" t="s">
        <v>30</v>
      </c>
      <c r="C298" t="s">
        <v>31</v>
      </c>
      <c r="D298" t="s">
        <v>525</v>
      </c>
      <c r="E298" t="s">
        <v>46</v>
      </c>
      <c r="F298" t="s">
        <v>614</v>
      </c>
      <c r="G298" t="s">
        <v>20</v>
      </c>
      <c r="H298" t="s">
        <v>21</v>
      </c>
      <c r="I298">
        <v>4500</v>
      </c>
      <c r="J298">
        <v>5850</v>
      </c>
      <c r="K298">
        <v>1</v>
      </c>
      <c r="L298">
        <v>4500</v>
      </c>
      <c r="M298">
        <v>5850</v>
      </c>
      <c r="N298" t="s">
        <v>28</v>
      </c>
      <c r="O298">
        <f t="shared" si="8"/>
        <v>8450</v>
      </c>
      <c r="P298" s="13">
        <f t="shared" si="9"/>
        <v>2865746</v>
      </c>
      <c r="Q298" s="13">
        <f>SUMIFS(M:M,E:E,Online_eCommerce[[#This Row],[Status]])</f>
        <v>28620410</v>
      </c>
      <c r="R298" s="13">
        <f>SUMIFS(L:L,H:H,Online_eCommerce[[#This Row],[Brand]])</f>
        <v>12435650</v>
      </c>
      <c r="S298" s="13">
        <f>SUMIF(H:H,Online_eCommerce[[#This Row],[Brand]],M:M)</f>
        <v>16166345</v>
      </c>
      <c r="T298" s="13">
        <f>SUMIF(N:N,Online_eCommerce[[#This Row],[Assigned Supervisor]],L:L)</f>
        <v>12220830</v>
      </c>
    </row>
    <row r="299" spans="1:20" hidden="1" x14ac:dyDescent="0.3">
      <c r="A299" t="s">
        <v>615</v>
      </c>
      <c r="B299" t="s">
        <v>37</v>
      </c>
      <c r="C299" t="s">
        <v>38</v>
      </c>
      <c r="D299" t="s">
        <v>525</v>
      </c>
      <c r="E299" t="s">
        <v>96</v>
      </c>
      <c r="F299" t="s">
        <v>152</v>
      </c>
      <c r="G299" t="s">
        <v>26</v>
      </c>
      <c r="H299" t="s">
        <v>27</v>
      </c>
      <c r="I299">
        <v>8500</v>
      </c>
      <c r="J299">
        <v>11050</v>
      </c>
      <c r="K299">
        <v>2</v>
      </c>
      <c r="L299">
        <v>17000</v>
      </c>
      <c r="M299">
        <v>22100</v>
      </c>
      <c r="N299" t="s">
        <v>35</v>
      </c>
      <c r="O299">
        <f t="shared" si="8"/>
        <v>33150</v>
      </c>
      <c r="P299" s="13">
        <f t="shared" si="9"/>
        <v>1933997</v>
      </c>
      <c r="Q299" s="13">
        <f>SUMIFS(M:M,E:E,Online_eCommerce[[#This Row],[Status]])</f>
        <v>21233992</v>
      </c>
      <c r="R299" s="13">
        <f>SUMIFS(L:L,H:H,Online_eCommerce[[#This Row],[Brand]])</f>
        <v>14431000</v>
      </c>
      <c r="S299" s="13">
        <f>SUMIF(H:H,Online_eCommerce[[#This Row],[Brand]],M:M)</f>
        <v>18760300</v>
      </c>
      <c r="T299" s="13">
        <f>SUMIF(N:N,Online_eCommerce[[#This Row],[Assigned Supervisor]],L:L)</f>
        <v>14373360</v>
      </c>
    </row>
    <row r="300" spans="1:20" hidden="1" x14ac:dyDescent="0.3">
      <c r="A300" t="s">
        <v>616</v>
      </c>
      <c r="B300" t="s">
        <v>44</v>
      </c>
      <c r="C300" t="s">
        <v>45</v>
      </c>
      <c r="D300" t="s">
        <v>525</v>
      </c>
      <c r="E300" t="s">
        <v>18</v>
      </c>
      <c r="F300" t="s">
        <v>157</v>
      </c>
      <c r="G300" t="s">
        <v>33</v>
      </c>
      <c r="H300" t="s">
        <v>34</v>
      </c>
      <c r="I300">
        <v>12500</v>
      </c>
      <c r="J300">
        <v>16250</v>
      </c>
      <c r="K300">
        <v>3</v>
      </c>
      <c r="L300">
        <v>37500</v>
      </c>
      <c r="M300">
        <v>48750</v>
      </c>
      <c r="N300" t="s">
        <v>42</v>
      </c>
      <c r="O300">
        <f t="shared" si="8"/>
        <v>18200</v>
      </c>
      <c r="P300" s="13">
        <f t="shared" si="9"/>
        <v>2842554</v>
      </c>
      <c r="Q300" s="13">
        <f>SUMIFS(M:M,E:E,Online_eCommerce[[#This Row],[Status]])</f>
        <v>28340455</v>
      </c>
      <c r="R300" s="13">
        <f>SUMIFS(L:L,H:H,Online_eCommerce[[#This Row],[Brand]])</f>
        <v>10087000</v>
      </c>
      <c r="S300" s="13">
        <f>SUMIF(H:H,Online_eCommerce[[#This Row],[Brand]],M:M)</f>
        <v>13113100</v>
      </c>
      <c r="T300" s="13">
        <f>SUMIF(N:N,Online_eCommerce[[#This Row],[Assigned Supervisor]],L:L)</f>
        <v>12261500</v>
      </c>
    </row>
    <row r="301" spans="1:20" hidden="1" x14ac:dyDescent="0.3">
      <c r="A301" t="s">
        <v>617</v>
      </c>
      <c r="B301" t="s">
        <v>213</v>
      </c>
      <c r="C301" t="s">
        <v>52</v>
      </c>
      <c r="D301" t="s">
        <v>525</v>
      </c>
      <c r="E301" t="s">
        <v>161</v>
      </c>
      <c r="F301" t="s">
        <v>200</v>
      </c>
      <c r="G301" t="s">
        <v>40</v>
      </c>
      <c r="H301" t="s">
        <v>41</v>
      </c>
      <c r="I301">
        <v>3500</v>
      </c>
      <c r="J301">
        <v>4550</v>
      </c>
      <c r="K301">
        <v>2</v>
      </c>
      <c r="L301">
        <v>7000</v>
      </c>
      <c r="M301">
        <v>9100</v>
      </c>
      <c r="N301" t="s">
        <v>50</v>
      </c>
      <c r="O301">
        <f t="shared" si="8"/>
        <v>25545</v>
      </c>
      <c r="P301" s="13">
        <f t="shared" si="9"/>
        <v>1955044</v>
      </c>
      <c r="Q301" s="13">
        <f>SUMIFS(M:M,E:E,Online_eCommerce[[#This Row],[Status]])</f>
        <v>21103186</v>
      </c>
      <c r="R301" s="13">
        <f>SUMIFS(L:L,H:H,Online_eCommerce[[#This Row],[Brand]])</f>
        <v>4260400</v>
      </c>
      <c r="S301" s="13">
        <f>SUMIF(H:H,Online_eCommerce[[#This Row],[Brand]],M:M)</f>
        <v>5538520</v>
      </c>
      <c r="T301" s="13">
        <f>SUMIF(N:N,Online_eCommerce[[#This Row],[Assigned Supervisor]],L:L)</f>
        <v>12100590</v>
      </c>
    </row>
    <row r="302" spans="1:20" x14ac:dyDescent="0.3">
      <c r="A302" t="s">
        <v>618</v>
      </c>
      <c r="B302" t="s">
        <v>215</v>
      </c>
      <c r="C302" t="s">
        <v>58</v>
      </c>
      <c r="D302" t="s">
        <v>525</v>
      </c>
      <c r="E302" t="s">
        <v>46</v>
      </c>
      <c r="F302" t="s">
        <v>166</v>
      </c>
      <c r="G302" t="s">
        <v>334</v>
      </c>
      <c r="H302" t="s">
        <v>49</v>
      </c>
      <c r="I302">
        <v>4500</v>
      </c>
      <c r="J302">
        <v>5850</v>
      </c>
      <c r="K302">
        <v>3</v>
      </c>
      <c r="L302">
        <v>13500</v>
      </c>
      <c r="M302">
        <v>17550</v>
      </c>
      <c r="N302" t="s">
        <v>56</v>
      </c>
      <c r="O302">
        <f t="shared" si="8"/>
        <v>39780</v>
      </c>
      <c r="P302" s="13">
        <f t="shared" si="9"/>
        <v>2629211</v>
      </c>
      <c r="Q302" s="13">
        <f>SUMIFS(M:M,E:E,Online_eCommerce[[#This Row],[Status]])</f>
        <v>28620410</v>
      </c>
      <c r="R302" s="13">
        <f>SUMIFS(L:L,H:H,Online_eCommerce[[#This Row],[Brand]])</f>
        <v>4528350</v>
      </c>
      <c r="S302" s="13">
        <f>SUMIF(H:H,Online_eCommerce[[#This Row],[Brand]],M:M)</f>
        <v>5886855</v>
      </c>
      <c r="T302" s="13">
        <f>SUMIF(N:N,Online_eCommerce[[#This Row],[Assigned Supervisor]],L:L)</f>
        <v>11733610</v>
      </c>
    </row>
    <row r="303" spans="1:20" hidden="1" x14ac:dyDescent="0.3">
      <c r="A303" t="s">
        <v>619</v>
      </c>
      <c r="B303" t="s">
        <v>306</v>
      </c>
      <c r="C303" t="s">
        <v>63</v>
      </c>
      <c r="D303" t="s">
        <v>525</v>
      </c>
      <c r="E303" t="s">
        <v>96</v>
      </c>
      <c r="F303" t="s">
        <v>620</v>
      </c>
      <c r="G303" t="s">
        <v>54</v>
      </c>
      <c r="H303" t="s">
        <v>55</v>
      </c>
      <c r="I303">
        <v>2100</v>
      </c>
      <c r="J303">
        <v>2730</v>
      </c>
      <c r="K303">
        <v>3</v>
      </c>
      <c r="L303">
        <v>6300</v>
      </c>
      <c r="M303">
        <v>8190</v>
      </c>
      <c r="N303" t="s">
        <v>22</v>
      </c>
      <c r="O303">
        <f t="shared" si="8"/>
        <v>2990</v>
      </c>
      <c r="P303" s="13">
        <f t="shared" si="9"/>
        <v>2016131</v>
      </c>
      <c r="Q303" s="13">
        <f>SUMIFS(M:M,E:E,Online_eCommerce[[#This Row],[Status]])</f>
        <v>21233992</v>
      </c>
      <c r="R303" s="13">
        <f>SUMIFS(L:L,H:H,Online_eCommerce[[#This Row],[Brand]])</f>
        <v>2267380</v>
      </c>
      <c r="S303" s="13">
        <f>SUMIF(H:H,Online_eCommerce[[#This Row],[Brand]],M:M)</f>
        <v>2947594</v>
      </c>
      <c r="T303" s="13">
        <f>SUMIF(N:N,Online_eCommerce[[#This Row],[Assigned Supervisor]],L:L)</f>
        <v>13693220</v>
      </c>
    </row>
    <row r="304" spans="1:20" hidden="1" x14ac:dyDescent="0.3">
      <c r="A304" t="s">
        <v>621</v>
      </c>
      <c r="B304" t="s">
        <v>528</v>
      </c>
      <c r="C304" t="s">
        <v>68</v>
      </c>
      <c r="D304" t="s">
        <v>525</v>
      </c>
      <c r="E304" t="s">
        <v>18</v>
      </c>
      <c r="F304" t="s">
        <v>174</v>
      </c>
      <c r="G304" t="s">
        <v>60</v>
      </c>
      <c r="H304" t="s">
        <v>61</v>
      </c>
      <c r="I304">
        <v>1150</v>
      </c>
      <c r="J304">
        <v>1495</v>
      </c>
      <c r="K304">
        <v>4</v>
      </c>
      <c r="L304">
        <v>4600</v>
      </c>
      <c r="M304">
        <v>5980</v>
      </c>
      <c r="N304" t="s">
        <v>28</v>
      </c>
      <c r="O304">
        <f t="shared" si="8"/>
        <v>3315</v>
      </c>
      <c r="P304" s="13">
        <f t="shared" si="9"/>
        <v>2974621</v>
      </c>
      <c r="Q304" s="13">
        <f>SUMIFS(M:M,E:E,Online_eCommerce[[#This Row],[Status]])</f>
        <v>28340455</v>
      </c>
      <c r="R304" s="13">
        <f>SUMIFS(L:L,H:H,Online_eCommerce[[#This Row],[Brand]])</f>
        <v>10950150</v>
      </c>
      <c r="S304" s="13">
        <f>SUMIF(H:H,Online_eCommerce[[#This Row],[Brand]],M:M)</f>
        <v>14235195</v>
      </c>
      <c r="T304" s="13">
        <f>SUMIF(N:N,Online_eCommerce[[#This Row],[Assigned Supervisor]],L:L)</f>
        <v>12220830</v>
      </c>
    </row>
    <row r="305" spans="1:20" hidden="1" x14ac:dyDescent="0.3">
      <c r="A305" t="s">
        <v>622</v>
      </c>
      <c r="B305" t="s">
        <v>73</v>
      </c>
      <c r="C305" t="s">
        <v>74</v>
      </c>
      <c r="D305" t="s">
        <v>525</v>
      </c>
      <c r="E305" t="s">
        <v>161</v>
      </c>
      <c r="F305" t="s">
        <v>179</v>
      </c>
      <c r="G305" t="s">
        <v>66</v>
      </c>
      <c r="H305" t="s">
        <v>21</v>
      </c>
      <c r="I305">
        <v>350</v>
      </c>
      <c r="J305">
        <v>455</v>
      </c>
      <c r="K305">
        <v>3</v>
      </c>
      <c r="L305">
        <v>1050</v>
      </c>
      <c r="M305">
        <v>1365</v>
      </c>
      <c r="N305" t="s">
        <v>35</v>
      </c>
      <c r="O305">
        <f t="shared" si="8"/>
        <v>1690</v>
      </c>
      <c r="P305" s="13">
        <f t="shared" si="9"/>
        <v>2144701</v>
      </c>
      <c r="Q305" s="13">
        <f>SUMIFS(M:M,E:E,Online_eCommerce[[#This Row],[Status]])</f>
        <v>21103186</v>
      </c>
      <c r="R305" s="13">
        <f>SUMIFS(L:L,H:H,Online_eCommerce[[#This Row],[Brand]])</f>
        <v>12435650</v>
      </c>
      <c r="S305" s="13">
        <f>SUMIF(H:H,Online_eCommerce[[#This Row],[Brand]],M:M)</f>
        <v>16166345</v>
      </c>
      <c r="T305" s="13">
        <f>SUMIF(N:N,Online_eCommerce[[#This Row],[Assigned Supervisor]],L:L)</f>
        <v>14373360</v>
      </c>
    </row>
    <row r="306" spans="1:20" x14ac:dyDescent="0.3">
      <c r="A306" t="s">
        <v>623</v>
      </c>
      <c r="B306" t="s">
        <v>80</v>
      </c>
      <c r="C306" t="s">
        <v>81</v>
      </c>
      <c r="D306" t="s">
        <v>525</v>
      </c>
      <c r="E306" t="s">
        <v>46</v>
      </c>
      <c r="F306" t="s">
        <v>183</v>
      </c>
      <c r="G306" t="s">
        <v>71</v>
      </c>
      <c r="H306" t="s">
        <v>61</v>
      </c>
      <c r="I306">
        <v>9500</v>
      </c>
      <c r="J306">
        <v>12350</v>
      </c>
      <c r="K306">
        <v>1</v>
      </c>
      <c r="L306">
        <v>9500</v>
      </c>
      <c r="M306">
        <v>12350</v>
      </c>
      <c r="N306" t="s">
        <v>42</v>
      </c>
      <c r="O306">
        <f t="shared" si="8"/>
        <v>9750</v>
      </c>
      <c r="P306" s="13">
        <f t="shared" si="9"/>
        <v>2595632</v>
      </c>
      <c r="Q306" s="13">
        <f>SUMIFS(M:M,E:E,Online_eCommerce[[#This Row],[Status]])</f>
        <v>28620410</v>
      </c>
      <c r="R306" s="13">
        <f>SUMIFS(L:L,H:H,Online_eCommerce[[#This Row],[Brand]])</f>
        <v>10950150</v>
      </c>
      <c r="S306" s="13">
        <f>SUMIF(H:H,Online_eCommerce[[#This Row],[Brand]],M:M)</f>
        <v>14235195</v>
      </c>
      <c r="T306" s="13">
        <f>SUMIF(N:N,Online_eCommerce[[#This Row],[Assigned Supervisor]],L:L)</f>
        <v>12261500</v>
      </c>
    </row>
    <row r="307" spans="1:20" hidden="1" x14ac:dyDescent="0.3">
      <c r="A307" t="s">
        <v>624</v>
      </c>
      <c r="B307" t="s">
        <v>85</v>
      </c>
      <c r="C307" t="s">
        <v>86</v>
      </c>
      <c r="D307" t="s">
        <v>525</v>
      </c>
      <c r="E307" t="s">
        <v>96</v>
      </c>
      <c r="F307" t="s">
        <v>625</v>
      </c>
      <c r="G307" t="s">
        <v>77</v>
      </c>
      <c r="H307" t="s">
        <v>142</v>
      </c>
      <c r="I307">
        <v>10000</v>
      </c>
      <c r="J307">
        <v>13000</v>
      </c>
      <c r="K307">
        <v>1</v>
      </c>
      <c r="L307">
        <v>10000</v>
      </c>
      <c r="M307">
        <v>13000</v>
      </c>
      <c r="N307" t="s">
        <v>50</v>
      </c>
      <c r="O307">
        <f t="shared" si="8"/>
        <v>39000</v>
      </c>
      <c r="P307" s="13">
        <f t="shared" si="9"/>
        <v>1941225</v>
      </c>
      <c r="Q307" s="13">
        <f>SUMIFS(M:M,E:E,Online_eCommerce[[#This Row],[Status]])</f>
        <v>21233992</v>
      </c>
      <c r="R307" s="13">
        <f>SUMIFS(L:L,H:H,Online_eCommerce[[#This Row],[Brand]])</f>
        <v>6192500</v>
      </c>
      <c r="S307" s="13">
        <f>SUMIF(H:H,Online_eCommerce[[#This Row],[Brand]],M:M)</f>
        <v>8050250</v>
      </c>
      <c r="T307" s="13">
        <f>SUMIF(N:N,Online_eCommerce[[#This Row],[Assigned Supervisor]],L:L)</f>
        <v>12100590</v>
      </c>
    </row>
    <row r="308" spans="1:20" hidden="1" x14ac:dyDescent="0.3">
      <c r="A308" t="s">
        <v>626</v>
      </c>
      <c r="B308" t="s">
        <v>90</v>
      </c>
      <c r="C308" t="s">
        <v>91</v>
      </c>
      <c r="D308" t="s">
        <v>525</v>
      </c>
      <c r="E308" t="s">
        <v>18</v>
      </c>
      <c r="F308" t="s">
        <v>627</v>
      </c>
      <c r="G308" t="s">
        <v>20</v>
      </c>
      <c r="H308" t="s">
        <v>21</v>
      </c>
      <c r="I308">
        <v>6500</v>
      </c>
      <c r="J308">
        <v>8450</v>
      </c>
      <c r="K308">
        <v>1</v>
      </c>
      <c r="L308">
        <v>6500</v>
      </c>
      <c r="M308">
        <v>8450</v>
      </c>
      <c r="N308" t="s">
        <v>56</v>
      </c>
      <c r="O308">
        <f t="shared" si="8"/>
        <v>8450</v>
      </c>
      <c r="P308" s="13">
        <f t="shared" si="9"/>
        <v>2731963</v>
      </c>
      <c r="Q308" s="13">
        <f>SUMIFS(M:M,E:E,Online_eCommerce[[#This Row],[Status]])</f>
        <v>28340455</v>
      </c>
      <c r="R308" s="13">
        <f>SUMIFS(L:L,H:H,Online_eCommerce[[#This Row],[Brand]])</f>
        <v>12435650</v>
      </c>
      <c r="S308" s="13">
        <f>SUMIF(H:H,Online_eCommerce[[#This Row],[Brand]],M:M)</f>
        <v>16166345</v>
      </c>
      <c r="T308" s="13">
        <f>SUMIF(N:N,Online_eCommerce[[#This Row],[Assigned Supervisor]],L:L)</f>
        <v>11733610</v>
      </c>
    </row>
    <row r="309" spans="1:20" hidden="1" x14ac:dyDescent="0.3">
      <c r="A309" t="s">
        <v>628</v>
      </c>
      <c r="B309" t="s">
        <v>232</v>
      </c>
      <c r="C309" t="s">
        <v>94</v>
      </c>
      <c r="D309" t="s">
        <v>525</v>
      </c>
      <c r="E309" t="s">
        <v>161</v>
      </c>
      <c r="F309" t="s">
        <v>629</v>
      </c>
      <c r="G309" t="s">
        <v>26</v>
      </c>
      <c r="H309" t="s">
        <v>27</v>
      </c>
      <c r="I309">
        <v>8500</v>
      </c>
      <c r="J309">
        <v>11050</v>
      </c>
      <c r="K309">
        <v>2</v>
      </c>
      <c r="L309">
        <v>17000</v>
      </c>
      <c r="M309">
        <v>22100</v>
      </c>
      <c r="N309" t="s">
        <v>22</v>
      </c>
      <c r="O309">
        <f t="shared" si="8"/>
        <v>33150</v>
      </c>
      <c r="P309" s="13">
        <f t="shared" si="9"/>
        <v>1868256</v>
      </c>
      <c r="Q309" s="13">
        <f>SUMIFS(M:M,E:E,Online_eCommerce[[#This Row],[Status]])</f>
        <v>21103186</v>
      </c>
      <c r="R309" s="13">
        <f>SUMIFS(L:L,H:H,Online_eCommerce[[#This Row],[Brand]])</f>
        <v>14431000</v>
      </c>
      <c r="S309" s="13">
        <f>SUMIF(H:H,Online_eCommerce[[#This Row],[Brand]],M:M)</f>
        <v>18760300</v>
      </c>
      <c r="T309" s="13">
        <f>SUMIF(N:N,Online_eCommerce[[#This Row],[Assigned Supervisor]],L:L)</f>
        <v>13693220</v>
      </c>
    </row>
    <row r="310" spans="1:20" x14ac:dyDescent="0.3">
      <c r="A310" t="s">
        <v>630</v>
      </c>
      <c r="B310" t="s">
        <v>235</v>
      </c>
      <c r="C310" t="s">
        <v>99</v>
      </c>
      <c r="D310" t="s">
        <v>525</v>
      </c>
      <c r="E310" t="s">
        <v>46</v>
      </c>
      <c r="F310" t="s">
        <v>32</v>
      </c>
      <c r="G310" t="s">
        <v>33</v>
      </c>
      <c r="H310" t="s">
        <v>34</v>
      </c>
      <c r="I310">
        <v>7000</v>
      </c>
      <c r="J310">
        <v>9100</v>
      </c>
      <c r="K310">
        <v>4</v>
      </c>
      <c r="L310">
        <v>28000</v>
      </c>
      <c r="M310">
        <v>36400</v>
      </c>
      <c r="N310" t="s">
        <v>28</v>
      </c>
      <c r="O310">
        <f t="shared" si="8"/>
        <v>18200</v>
      </c>
      <c r="P310" s="13">
        <f t="shared" si="9"/>
        <v>2651233</v>
      </c>
      <c r="Q310" s="13">
        <f>SUMIFS(M:M,E:E,Online_eCommerce[[#This Row],[Status]])</f>
        <v>28620410</v>
      </c>
      <c r="R310" s="13">
        <f>SUMIFS(L:L,H:H,Online_eCommerce[[#This Row],[Brand]])</f>
        <v>10087000</v>
      </c>
      <c r="S310" s="13">
        <f>SUMIF(H:H,Online_eCommerce[[#This Row],[Brand]],M:M)</f>
        <v>13113100</v>
      </c>
      <c r="T310" s="13">
        <f>SUMIF(N:N,Online_eCommerce[[#This Row],[Assigned Supervisor]],L:L)</f>
        <v>12220830</v>
      </c>
    </row>
    <row r="311" spans="1:20" hidden="1" x14ac:dyDescent="0.3">
      <c r="A311" t="s">
        <v>631</v>
      </c>
      <c r="B311" t="s">
        <v>235</v>
      </c>
      <c r="C311" t="s">
        <v>105</v>
      </c>
      <c r="D311" t="s">
        <v>525</v>
      </c>
      <c r="E311" t="s">
        <v>96</v>
      </c>
      <c r="F311" t="s">
        <v>632</v>
      </c>
      <c r="G311" t="s">
        <v>40</v>
      </c>
      <c r="H311" t="s">
        <v>41</v>
      </c>
      <c r="I311">
        <v>6550</v>
      </c>
      <c r="J311">
        <v>8515</v>
      </c>
      <c r="K311">
        <v>1</v>
      </c>
      <c r="L311">
        <v>6550</v>
      </c>
      <c r="M311">
        <v>8515</v>
      </c>
      <c r="N311" t="s">
        <v>35</v>
      </c>
      <c r="O311">
        <f t="shared" si="8"/>
        <v>25545</v>
      </c>
      <c r="P311" s="13">
        <f t="shared" si="9"/>
        <v>1866852</v>
      </c>
      <c r="Q311" s="13">
        <f>SUMIFS(M:M,E:E,Online_eCommerce[[#This Row],[Status]])</f>
        <v>21233992</v>
      </c>
      <c r="R311" s="13">
        <f>SUMIFS(L:L,H:H,Online_eCommerce[[#This Row],[Brand]])</f>
        <v>4260400</v>
      </c>
      <c r="S311" s="13">
        <f>SUMIF(H:H,Online_eCommerce[[#This Row],[Brand]],M:M)</f>
        <v>5538520</v>
      </c>
      <c r="T311" s="13">
        <f>SUMIF(N:N,Online_eCommerce[[#This Row],[Assigned Supervisor]],L:L)</f>
        <v>14373360</v>
      </c>
    </row>
    <row r="312" spans="1:20" hidden="1" x14ac:dyDescent="0.3">
      <c r="A312" t="s">
        <v>633</v>
      </c>
      <c r="B312" t="s">
        <v>235</v>
      </c>
      <c r="C312" t="s">
        <v>110</v>
      </c>
      <c r="D312" t="s">
        <v>525</v>
      </c>
      <c r="E312" t="s">
        <v>18</v>
      </c>
      <c r="F312" t="s">
        <v>47</v>
      </c>
      <c r="G312" t="s">
        <v>334</v>
      </c>
      <c r="H312" t="s">
        <v>49</v>
      </c>
      <c r="I312">
        <v>7650</v>
      </c>
      <c r="J312">
        <v>9945</v>
      </c>
      <c r="K312">
        <v>1</v>
      </c>
      <c r="L312">
        <v>7650</v>
      </c>
      <c r="M312">
        <v>9945</v>
      </c>
      <c r="N312" t="s">
        <v>42</v>
      </c>
      <c r="O312">
        <f t="shared" si="8"/>
        <v>39780</v>
      </c>
      <c r="P312" s="13">
        <f t="shared" si="9"/>
        <v>2598635</v>
      </c>
      <c r="Q312" s="13">
        <f>SUMIFS(M:M,E:E,Online_eCommerce[[#This Row],[Status]])</f>
        <v>28340455</v>
      </c>
      <c r="R312" s="13">
        <f>SUMIFS(L:L,H:H,Online_eCommerce[[#This Row],[Brand]])</f>
        <v>4528350</v>
      </c>
      <c r="S312" s="13">
        <f>SUMIF(H:H,Online_eCommerce[[#This Row],[Brand]],M:M)</f>
        <v>5886855</v>
      </c>
      <c r="T312" s="13">
        <f>SUMIF(N:N,Online_eCommerce[[#This Row],[Assigned Supervisor]],L:L)</f>
        <v>12261500</v>
      </c>
    </row>
    <row r="313" spans="1:20" hidden="1" x14ac:dyDescent="0.3">
      <c r="A313" t="s">
        <v>634</v>
      </c>
      <c r="B313" t="s">
        <v>235</v>
      </c>
      <c r="C313" t="s">
        <v>115</v>
      </c>
      <c r="D313" t="s">
        <v>525</v>
      </c>
      <c r="E313" t="s">
        <v>161</v>
      </c>
      <c r="F313" t="s">
        <v>53</v>
      </c>
      <c r="G313" t="s">
        <v>54</v>
      </c>
      <c r="H313" t="s">
        <v>55</v>
      </c>
      <c r="I313">
        <v>1150</v>
      </c>
      <c r="J313">
        <v>1495</v>
      </c>
      <c r="K313">
        <v>1</v>
      </c>
      <c r="L313">
        <v>1150</v>
      </c>
      <c r="M313">
        <v>1495</v>
      </c>
      <c r="N313" t="s">
        <v>50</v>
      </c>
      <c r="O313">
        <f t="shared" si="8"/>
        <v>2990</v>
      </c>
      <c r="P313" s="13">
        <f t="shared" si="9"/>
        <v>2050178</v>
      </c>
      <c r="Q313" s="13">
        <f>SUMIFS(M:M,E:E,Online_eCommerce[[#This Row],[Status]])</f>
        <v>21103186</v>
      </c>
      <c r="R313" s="13">
        <f>SUMIFS(L:L,H:H,Online_eCommerce[[#This Row],[Brand]])</f>
        <v>2267380</v>
      </c>
      <c r="S313" s="13">
        <f>SUMIF(H:H,Online_eCommerce[[#This Row],[Brand]],M:M)</f>
        <v>2947594</v>
      </c>
      <c r="T313" s="13">
        <f>SUMIF(N:N,Online_eCommerce[[#This Row],[Assigned Supervisor]],L:L)</f>
        <v>12100590</v>
      </c>
    </row>
    <row r="314" spans="1:20" x14ac:dyDescent="0.3">
      <c r="A314" t="s">
        <v>635</v>
      </c>
      <c r="B314" t="s">
        <v>235</v>
      </c>
      <c r="C314" t="s">
        <v>120</v>
      </c>
      <c r="D314" t="s">
        <v>525</v>
      </c>
      <c r="E314" t="s">
        <v>46</v>
      </c>
      <c r="F314" t="s">
        <v>59</v>
      </c>
      <c r="G314" t="s">
        <v>60</v>
      </c>
      <c r="H314" t="s">
        <v>61</v>
      </c>
      <c r="I314">
        <v>850</v>
      </c>
      <c r="J314">
        <v>1105</v>
      </c>
      <c r="K314">
        <v>2</v>
      </c>
      <c r="L314">
        <v>1700</v>
      </c>
      <c r="M314">
        <v>2210</v>
      </c>
      <c r="N314" t="s">
        <v>56</v>
      </c>
      <c r="O314">
        <f t="shared" si="8"/>
        <v>3315</v>
      </c>
      <c r="P314" s="13">
        <f t="shared" si="9"/>
        <v>2734212</v>
      </c>
      <c r="Q314" s="13">
        <f>SUMIFS(M:M,E:E,Online_eCommerce[[#This Row],[Status]])</f>
        <v>28620410</v>
      </c>
      <c r="R314" s="13">
        <f>SUMIFS(L:L,H:H,Online_eCommerce[[#This Row],[Brand]])</f>
        <v>10950150</v>
      </c>
      <c r="S314" s="13">
        <f>SUMIF(H:H,Online_eCommerce[[#This Row],[Brand]],M:M)</f>
        <v>14235195</v>
      </c>
      <c r="T314" s="13">
        <f>SUMIF(N:N,Online_eCommerce[[#This Row],[Assigned Supervisor]],L:L)</f>
        <v>11733610</v>
      </c>
    </row>
    <row r="315" spans="1:20" hidden="1" x14ac:dyDescent="0.3">
      <c r="A315" t="s">
        <v>636</v>
      </c>
      <c r="B315" t="s">
        <v>235</v>
      </c>
      <c r="C315" t="s">
        <v>125</v>
      </c>
      <c r="D315" t="s">
        <v>525</v>
      </c>
      <c r="E315" t="s">
        <v>96</v>
      </c>
      <c r="F315" t="s">
        <v>65</v>
      </c>
      <c r="G315" t="s">
        <v>66</v>
      </c>
      <c r="H315" t="s">
        <v>21</v>
      </c>
      <c r="I315">
        <v>650</v>
      </c>
      <c r="J315">
        <v>845</v>
      </c>
      <c r="K315">
        <v>3</v>
      </c>
      <c r="L315">
        <v>1950</v>
      </c>
      <c r="M315">
        <v>2535</v>
      </c>
      <c r="N315" t="s">
        <v>22</v>
      </c>
      <c r="O315">
        <f t="shared" si="8"/>
        <v>1690</v>
      </c>
      <c r="P315" s="13">
        <f t="shared" si="9"/>
        <v>2091154</v>
      </c>
      <c r="Q315" s="13">
        <f>SUMIFS(M:M,E:E,Online_eCommerce[[#This Row],[Status]])</f>
        <v>21233992</v>
      </c>
      <c r="R315" s="13">
        <f>SUMIFS(L:L,H:H,Online_eCommerce[[#This Row],[Brand]])</f>
        <v>12435650</v>
      </c>
      <c r="S315" s="13">
        <f>SUMIF(H:H,Online_eCommerce[[#This Row],[Brand]],M:M)</f>
        <v>16166345</v>
      </c>
      <c r="T315" s="13">
        <f>SUMIF(N:N,Online_eCommerce[[#This Row],[Assigned Supervisor]],L:L)</f>
        <v>13693220</v>
      </c>
    </row>
    <row r="316" spans="1:20" hidden="1" x14ac:dyDescent="0.3">
      <c r="A316" t="s">
        <v>637</v>
      </c>
      <c r="B316" t="s">
        <v>235</v>
      </c>
      <c r="C316" t="s">
        <v>22</v>
      </c>
      <c r="D316" t="s">
        <v>525</v>
      </c>
      <c r="E316" t="s">
        <v>18</v>
      </c>
      <c r="F316" t="s">
        <v>70</v>
      </c>
      <c r="G316" t="s">
        <v>71</v>
      </c>
      <c r="H316" t="s">
        <v>61</v>
      </c>
      <c r="I316">
        <v>7500</v>
      </c>
      <c r="J316">
        <v>9750</v>
      </c>
      <c r="K316">
        <v>4</v>
      </c>
      <c r="L316">
        <v>30000</v>
      </c>
      <c r="M316">
        <v>39000</v>
      </c>
      <c r="N316" t="s">
        <v>28</v>
      </c>
      <c r="O316">
        <f t="shared" si="8"/>
        <v>9750</v>
      </c>
      <c r="P316" s="13">
        <f t="shared" si="9"/>
        <v>2551588</v>
      </c>
      <c r="Q316" s="13">
        <f>SUMIFS(M:M,E:E,Online_eCommerce[[#This Row],[Status]])</f>
        <v>28340455</v>
      </c>
      <c r="R316" s="13">
        <f>SUMIFS(L:L,H:H,Online_eCommerce[[#This Row],[Brand]])</f>
        <v>10950150</v>
      </c>
      <c r="S316" s="13">
        <f>SUMIF(H:H,Online_eCommerce[[#This Row],[Brand]],M:M)</f>
        <v>14235195</v>
      </c>
      <c r="T316" s="13">
        <f>SUMIF(N:N,Online_eCommerce[[#This Row],[Assigned Supervisor]],L:L)</f>
        <v>12220830</v>
      </c>
    </row>
    <row r="317" spans="1:20" hidden="1" x14ac:dyDescent="0.3">
      <c r="A317" t="s">
        <v>638</v>
      </c>
      <c r="B317" t="s">
        <v>235</v>
      </c>
      <c r="C317" t="s">
        <v>132</v>
      </c>
      <c r="D317" t="s">
        <v>525</v>
      </c>
      <c r="E317" t="s">
        <v>161</v>
      </c>
      <c r="F317" t="s">
        <v>625</v>
      </c>
      <c r="G317" t="s">
        <v>77</v>
      </c>
      <c r="H317" t="s">
        <v>78</v>
      </c>
      <c r="I317">
        <v>10000</v>
      </c>
      <c r="J317">
        <v>13000</v>
      </c>
      <c r="K317">
        <v>2</v>
      </c>
      <c r="L317">
        <v>20000</v>
      </c>
      <c r="M317">
        <v>26000</v>
      </c>
      <c r="N317" t="s">
        <v>35</v>
      </c>
      <c r="O317">
        <f t="shared" si="8"/>
        <v>39000</v>
      </c>
      <c r="P317" s="13">
        <f t="shared" si="9"/>
        <v>1989065</v>
      </c>
      <c r="Q317" s="13">
        <f>SUMIFS(M:M,E:E,Online_eCommerce[[#This Row],[Status]])</f>
        <v>21103186</v>
      </c>
      <c r="R317" s="13">
        <f>SUMIFS(L:L,H:H,Online_eCommerce[[#This Row],[Brand]])</f>
        <v>3720000</v>
      </c>
      <c r="S317" s="13">
        <f>SUMIF(H:H,Online_eCommerce[[#This Row],[Brand]],M:M)</f>
        <v>4836000</v>
      </c>
      <c r="T317" s="13">
        <f>SUMIF(N:N,Online_eCommerce[[#This Row],[Assigned Supervisor]],L:L)</f>
        <v>14373360</v>
      </c>
    </row>
    <row r="318" spans="1:20" x14ac:dyDescent="0.3">
      <c r="A318" t="s">
        <v>639</v>
      </c>
      <c r="B318" t="s">
        <v>235</v>
      </c>
      <c r="C318" t="s">
        <v>136</v>
      </c>
      <c r="D318" t="s">
        <v>525</v>
      </c>
      <c r="E318" t="s">
        <v>46</v>
      </c>
      <c r="F318" t="s">
        <v>640</v>
      </c>
      <c r="G318" t="s">
        <v>20</v>
      </c>
      <c r="H318" t="s">
        <v>21</v>
      </c>
      <c r="I318">
        <v>10500</v>
      </c>
      <c r="J318">
        <v>13650</v>
      </c>
      <c r="K318">
        <v>4</v>
      </c>
      <c r="L318">
        <v>42000</v>
      </c>
      <c r="M318">
        <v>54600</v>
      </c>
      <c r="N318" t="s">
        <v>42</v>
      </c>
      <c r="O318">
        <f t="shared" si="8"/>
        <v>8450</v>
      </c>
      <c r="P318" s="13">
        <f t="shared" si="9"/>
        <v>2775162</v>
      </c>
      <c r="Q318" s="13">
        <f>SUMIFS(M:M,E:E,Online_eCommerce[[#This Row],[Status]])</f>
        <v>28620410</v>
      </c>
      <c r="R318" s="13">
        <f>SUMIFS(L:L,H:H,Online_eCommerce[[#This Row],[Brand]])</f>
        <v>12435650</v>
      </c>
      <c r="S318" s="13">
        <f>SUMIF(H:H,Online_eCommerce[[#This Row],[Brand]],M:M)</f>
        <v>16166345</v>
      </c>
      <c r="T318" s="13">
        <f>SUMIF(N:N,Online_eCommerce[[#This Row],[Assigned Supervisor]],L:L)</f>
        <v>12261500</v>
      </c>
    </row>
    <row r="319" spans="1:20" hidden="1" x14ac:dyDescent="0.3">
      <c r="A319" t="s">
        <v>641</v>
      </c>
      <c r="B319" t="s">
        <v>235</v>
      </c>
      <c r="C319" t="s">
        <v>140</v>
      </c>
      <c r="D319" t="s">
        <v>525</v>
      </c>
      <c r="E319" t="s">
        <v>96</v>
      </c>
      <c r="F319" t="s">
        <v>88</v>
      </c>
      <c r="G319" t="s">
        <v>26</v>
      </c>
      <c r="H319" t="s">
        <v>27</v>
      </c>
      <c r="I319">
        <v>8500</v>
      </c>
      <c r="J319">
        <v>11050</v>
      </c>
      <c r="K319">
        <v>4</v>
      </c>
      <c r="L319">
        <v>34000</v>
      </c>
      <c r="M319">
        <v>44200</v>
      </c>
      <c r="N319" t="s">
        <v>50</v>
      </c>
      <c r="O319">
        <f t="shared" si="8"/>
        <v>33150</v>
      </c>
      <c r="P319" s="13">
        <f t="shared" si="9"/>
        <v>2058264</v>
      </c>
      <c r="Q319" s="13">
        <f>SUMIFS(M:M,E:E,Online_eCommerce[[#This Row],[Status]])</f>
        <v>21233992</v>
      </c>
      <c r="R319" s="13">
        <f>SUMIFS(L:L,H:H,Online_eCommerce[[#This Row],[Brand]])</f>
        <v>14431000</v>
      </c>
      <c r="S319" s="13">
        <f>SUMIF(H:H,Online_eCommerce[[#This Row],[Brand]],M:M)</f>
        <v>18760300</v>
      </c>
      <c r="T319" s="13">
        <f>SUMIF(N:N,Online_eCommerce[[#This Row],[Assigned Supervisor]],L:L)</f>
        <v>12100590</v>
      </c>
    </row>
    <row r="320" spans="1:20" hidden="1" x14ac:dyDescent="0.3">
      <c r="A320" t="s">
        <v>642</v>
      </c>
      <c r="B320" t="s">
        <v>235</v>
      </c>
      <c r="C320" t="s">
        <v>145</v>
      </c>
      <c r="D320" t="s">
        <v>525</v>
      </c>
      <c r="E320" t="s">
        <v>18</v>
      </c>
      <c r="F320" t="s">
        <v>32</v>
      </c>
      <c r="G320" t="s">
        <v>33</v>
      </c>
      <c r="H320" t="s">
        <v>34</v>
      </c>
      <c r="I320">
        <v>7000</v>
      </c>
      <c r="J320">
        <v>9100</v>
      </c>
      <c r="K320">
        <v>3</v>
      </c>
      <c r="L320">
        <v>21000</v>
      </c>
      <c r="M320">
        <v>27300</v>
      </c>
      <c r="N320" t="s">
        <v>56</v>
      </c>
      <c r="O320">
        <f t="shared" si="8"/>
        <v>18200</v>
      </c>
      <c r="P320" s="13">
        <f t="shared" si="9"/>
        <v>2757859</v>
      </c>
      <c r="Q320" s="13">
        <f>SUMIFS(M:M,E:E,Online_eCommerce[[#This Row],[Status]])</f>
        <v>28340455</v>
      </c>
      <c r="R320" s="13">
        <f>SUMIFS(L:L,H:H,Online_eCommerce[[#This Row],[Brand]])</f>
        <v>10087000</v>
      </c>
      <c r="S320" s="13">
        <f>SUMIF(H:H,Online_eCommerce[[#This Row],[Brand]],M:M)</f>
        <v>13113100</v>
      </c>
      <c r="T320" s="13">
        <f>SUMIF(N:N,Online_eCommerce[[#This Row],[Assigned Supervisor]],L:L)</f>
        <v>11733610</v>
      </c>
    </row>
    <row r="321" spans="1:20" hidden="1" x14ac:dyDescent="0.3">
      <c r="A321" t="s">
        <v>643</v>
      </c>
      <c r="B321" t="s">
        <v>235</v>
      </c>
      <c r="C321" t="s">
        <v>150</v>
      </c>
      <c r="D321" t="s">
        <v>525</v>
      </c>
      <c r="E321" t="s">
        <v>161</v>
      </c>
      <c r="F321" t="s">
        <v>644</v>
      </c>
      <c r="G321" t="s">
        <v>40</v>
      </c>
      <c r="H321" t="s">
        <v>41</v>
      </c>
      <c r="I321">
        <v>1680</v>
      </c>
      <c r="J321">
        <v>2184</v>
      </c>
      <c r="K321">
        <v>4</v>
      </c>
      <c r="L321">
        <v>6720</v>
      </c>
      <c r="M321">
        <v>8736</v>
      </c>
      <c r="N321" t="s">
        <v>22</v>
      </c>
      <c r="O321">
        <f t="shared" si="8"/>
        <v>25545</v>
      </c>
      <c r="P321" s="13">
        <f t="shared" si="9"/>
        <v>2154984</v>
      </c>
      <c r="Q321" s="13">
        <f>SUMIFS(M:M,E:E,Online_eCommerce[[#This Row],[Status]])</f>
        <v>21103186</v>
      </c>
      <c r="R321" s="13">
        <f>SUMIFS(L:L,H:H,Online_eCommerce[[#This Row],[Brand]])</f>
        <v>4260400</v>
      </c>
      <c r="S321" s="13">
        <f>SUMIF(H:H,Online_eCommerce[[#This Row],[Brand]],M:M)</f>
        <v>5538520</v>
      </c>
      <c r="T321" s="13">
        <f>SUMIF(N:N,Online_eCommerce[[#This Row],[Assigned Supervisor]],L:L)</f>
        <v>13693220</v>
      </c>
    </row>
    <row r="322" spans="1:20" x14ac:dyDescent="0.3">
      <c r="A322" t="s">
        <v>645</v>
      </c>
      <c r="B322" t="s">
        <v>235</v>
      </c>
      <c r="C322" t="s">
        <v>155</v>
      </c>
      <c r="D322" t="s">
        <v>525</v>
      </c>
      <c r="E322" t="s">
        <v>46</v>
      </c>
      <c r="F322" t="s">
        <v>101</v>
      </c>
      <c r="G322" t="s">
        <v>334</v>
      </c>
      <c r="H322" t="s">
        <v>102</v>
      </c>
      <c r="I322">
        <v>6540</v>
      </c>
      <c r="J322">
        <v>8502</v>
      </c>
      <c r="K322">
        <v>1</v>
      </c>
      <c r="L322">
        <v>6540</v>
      </c>
      <c r="M322">
        <v>8502</v>
      </c>
      <c r="N322" t="s">
        <v>28</v>
      </c>
      <c r="O322">
        <f t="shared" ref="O322:O385" si="10">VLOOKUP(G322,G:M,7,FALSE)</f>
        <v>39780</v>
      </c>
      <c r="P322" s="13">
        <f t="shared" ref="P322:P385" si="11">SUMIFS(M:M,C:C,C322)</f>
        <v>2753348</v>
      </c>
      <c r="Q322" s="13">
        <f>SUMIFS(M:M,E:E,Online_eCommerce[[#This Row],[Status]])</f>
        <v>28620410</v>
      </c>
      <c r="R322" s="13">
        <f>SUMIFS(L:L,H:H,Online_eCommerce[[#This Row],[Brand]])</f>
        <v>2465580</v>
      </c>
      <c r="S322" s="13">
        <f>SUMIF(H:H,Online_eCommerce[[#This Row],[Brand]],M:M)</f>
        <v>3205254</v>
      </c>
      <c r="T322" s="13">
        <f>SUMIF(N:N,Online_eCommerce[[#This Row],[Assigned Supervisor]],L:L)</f>
        <v>12220830</v>
      </c>
    </row>
    <row r="323" spans="1:20" hidden="1" x14ac:dyDescent="0.3">
      <c r="A323" t="s">
        <v>646</v>
      </c>
      <c r="B323" t="s">
        <v>235</v>
      </c>
      <c r="C323" t="s">
        <v>160</v>
      </c>
      <c r="D323" t="s">
        <v>525</v>
      </c>
      <c r="E323" t="s">
        <v>96</v>
      </c>
      <c r="F323" t="s">
        <v>107</v>
      </c>
      <c r="G323" t="s">
        <v>54</v>
      </c>
      <c r="H323" t="s">
        <v>55</v>
      </c>
      <c r="I323">
        <v>2680</v>
      </c>
      <c r="J323">
        <v>3484</v>
      </c>
      <c r="K323">
        <v>4</v>
      </c>
      <c r="L323">
        <v>10720</v>
      </c>
      <c r="M323">
        <v>13936</v>
      </c>
      <c r="N323" t="s">
        <v>35</v>
      </c>
      <c r="O323">
        <f t="shared" si="10"/>
        <v>2990</v>
      </c>
      <c r="P323" s="13">
        <f t="shared" si="11"/>
        <v>2303483</v>
      </c>
      <c r="Q323" s="13">
        <f>SUMIFS(M:M,E:E,Online_eCommerce[[#This Row],[Status]])</f>
        <v>21233992</v>
      </c>
      <c r="R323" s="13">
        <f>SUMIFS(L:L,H:H,Online_eCommerce[[#This Row],[Brand]])</f>
        <v>2267380</v>
      </c>
      <c r="S323" s="13">
        <f>SUMIF(H:H,Online_eCommerce[[#This Row],[Brand]],M:M)</f>
        <v>2947594</v>
      </c>
      <c r="T323" s="13">
        <f>SUMIF(N:N,Online_eCommerce[[#This Row],[Assigned Supervisor]],L:L)</f>
        <v>14373360</v>
      </c>
    </row>
    <row r="324" spans="1:20" hidden="1" x14ac:dyDescent="0.3">
      <c r="A324" t="s">
        <v>647</v>
      </c>
      <c r="B324" t="s">
        <v>235</v>
      </c>
      <c r="C324" t="s">
        <v>165</v>
      </c>
      <c r="D324" t="s">
        <v>525</v>
      </c>
      <c r="E324" t="s">
        <v>18</v>
      </c>
      <c r="F324" t="s">
        <v>112</v>
      </c>
      <c r="G324" t="s">
        <v>71</v>
      </c>
      <c r="H324" t="s">
        <v>21</v>
      </c>
      <c r="I324">
        <v>8250</v>
      </c>
      <c r="J324">
        <v>10725</v>
      </c>
      <c r="K324">
        <v>4</v>
      </c>
      <c r="L324">
        <v>33000</v>
      </c>
      <c r="M324">
        <v>42900</v>
      </c>
      <c r="N324" t="s">
        <v>42</v>
      </c>
      <c r="O324">
        <f t="shared" si="10"/>
        <v>9750</v>
      </c>
      <c r="P324" s="13">
        <f t="shared" si="11"/>
        <v>2674087</v>
      </c>
      <c r="Q324" s="13">
        <f>SUMIFS(M:M,E:E,Online_eCommerce[[#This Row],[Status]])</f>
        <v>28340455</v>
      </c>
      <c r="R324" s="13">
        <f>SUMIFS(L:L,H:H,Online_eCommerce[[#This Row],[Brand]])</f>
        <v>12435650</v>
      </c>
      <c r="S324" s="13">
        <f>SUMIF(H:H,Online_eCommerce[[#This Row],[Brand]],M:M)</f>
        <v>16166345</v>
      </c>
      <c r="T324" s="13">
        <f>SUMIF(N:N,Online_eCommerce[[#This Row],[Assigned Supervisor]],L:L)</f>
        <v>12261500</v>
      </c>
    </row>
    <row r="325" spans="1:20" hidden="1" x14ac:dyDescent="0.3">
      <c r="A325" t="s">
        <v>648</v>
      </c>
      <c r="B325" t="s">
        <v>235</v>
      </c>
      <c r="C325" t="s">
        <v>168</v>
      </c>
      <c r="D325" t="s">
        <v>525</v>
      </c>
      <c r="E325" t="s">
        <v>161</v>
      </c>
      <c r="F325" t="s">
        <v>200</v>
      </c>
      <c r="G325" t="s">
        <v>40</v>
      </c>
      <c r="H325" t="s">
        <v>21</v>
      </c>
      <c r="I325">
        <v>2650</v>
      </c>
      <c r="J325">
        <v>3445</v>
      </c>
      <c r="K325">
        <v>4</v>
      </c>
      <c r="L325">
        <v>10600</v>
      </c>
      <c r="M325">
        <v>13780</v>
      </c>
      <c r="N325" t="s">
        <v>50</v>
      </c>
      <c r="O325">
        <f t="shared" si="10"/>
        <v>25545</v>
      </c>
      <c r="P325" s="13">
        <f t="shared" si="11"/>
        <v>1937780</v>
      </c>
      <c r="Q325" s="13">
        <f>SUMIFS(M:M,E:E,Online_eCommerce[[#This Row],[Status]])</f>
        <v>21103186</v>
      </c>
      <c r="R325" s="13">
        <f>SUMIFS(L:L,H:H,Online_eCommerce[[#This Row],[Brand]])</f>
        <v>12435650</v>
      </c>
      <c r="S325" s="13">
        <f>SUMIF(H:H,Online_eCommerce[[#This Row],[Brand]],M:M)</f>
        <v>16166345</v>
      </c>
      <c r="T325" s="13">
        <f>SUMIF(N:N,Online_eCommerce[[#This Row],[Assigned Supervisor]],L:L)</f>
        <v>12100590</v>
      </c>
    </row>
    <row r="326" spans="1:20" x14ac:dyDescent="0.3">
      <c r="A326" t="s">
        <v>649</v>
      </c>
      <c r="B326" t="s">
        <v>235</v>
      </c>
      <c r="C326" t="s">
        <v>172</v>
      </c>
      <c r="D326" t="s">
        <v>525</v>
      </c>
      <c r="E326" t="s">
        <v>46</v>
      </c>
      <c r="F326" t="s">
        <v>121</v>
      </c>
      <c r="G326" t="s">
        <v>71</v>
      </c>
      <c r="H326" t="s">
        <v>122</v>
      </c>
      <c r="I326">
        <v>12550</v>
      </c>
      <c r="J326">
        <v>16315</v>
      </c>
      <c r="K326">
        <v>4</v>
      </c>
      <c r="L326">
        <v>50200</v>
      </c>
      <c r="M326">
        <v>65260</v>
      </c>
      <c r="N326" t="s">
        <v>56</v>
      </c>
      <c r="O326">
        <f t="shared" si="10"/>
        <v>9750</v>
      </c>
      <c r="P326" s="13">
        <f t="shared" si="11"/>
        <v>2640274</v>
      </c>
      <c r="Q326" s="13">
        <f>SUMIFS(M:M,E:E,Online_eCommerce[[#This Row],[Status]])</f>
        <v>28620410</v>
      </c>
      <c r="R326" s="13">
        <f>SUMIFS(L:L,H:H,Online_eCommerce[[#This Row],[Brand]])</f>
        <v>5045100</v>
      </c>
      <c r="S326" s="13">
        <f>SUMIF(H:H,Online_eCommerce[[#This Row],[Brand]],M:M)</f>
        <v>6558630</v>
      </c>
      <c r="T326" s="13">
        <f>SUMIF(N:N,Online_eCommerce[[#This Row],[Assigned Supervisor]],L:L)</f>
        <v>11733610</v>
      </c>
    </row>
    <row r="327" spans="1:20" hidden="1" x14ac:dyDescent="0.3">
      <c r="A327" t="s">
        <v>650</v>
      </c>
      <c r="B327" t="s">
        <v>235</v>
      </c>
      <c r="C327" t="s">
        <v>177</v>
      </c>
      <c r="D327" t="s">
        <v>525</v>
      </c>
      <c r="E327" t="s">
        <v>96</v>
      </c>
      <c r="F327" t="s">
        <v>126</v>
      </c>
      <c r="G327" t="s">
        <v>26</v>
      </c>
      <c r="H327" t="s">
        <v>27</v>
      </c>
      <c r="I327">
        <v>14500</v>
      </c>
      <c r="J327">
        <v>18850</v>
      </c>
      <c r="K327">
        <v>2</v>
      </c>
      <c r="L327">
        <v>29000</v>
      </c>
      <c r="M327">
        <v>37700</v>
      </c>
      <c r="N327" t="s">
        <v>22</v>
      </c>
      <c r="O327">
        <f t="shared" si="10"/>
        <v>33150</v>
      </c>
      <c r="P327" s="13">
        <f t="shared" si="11"/>
        <v>1863810</v>
      </c>
      <c r="Q327" s="13">
        <f>SUMIFS(M:M,E:E,Online_eCommerce[[#This Row],[Status]])</f>
        <v>21233992</v>
      </c>
      <c r="R327" s="13">
        <f>SUMIFS(L:L,H:H,Online_eCommerce[[#This Row],[Brand]])</f>
        <v>14431000</v>
      </c>
      <c r="S327" s="13">
        <f>SUMIF(H:H,Online_eCommerce[[#This Row],[Brand]],M:M)</f>
        <v>18760300</v>
      </c>
      <c r="T327" s="13">
        <f>SUMIF(N:N,Online_eCommerce[[#This Row],[Assigned Supervisor]],L:L)</f>
        <v>13693220</v>
      </c>
    </row>
    <row r="328" spans="1:20" hidden="1" x14ac:dyDescent="0.3">
      <c r="A328" t="s">
        <v>651</v>
      </c>
      <c r="B328" t="s">
        <v>235</v>
      </c>
      <c r="C328" t="s">
        <v>181</v>
      </c>
      <c r="D328" t="s">
        <v>525</v>
      </c>
      <c r="E328" t="s">
        <v>18</v>
      </c>
      <c r="F328" t="s">
        <v>129</v>
      </c>
      <c r="G328" t="s">
        <v>60</v>
      </c>
      <c r="H328" t="s">
        <v>61</v>
      </c>
      <c r="I328">
        <v>800</v>
      </c>
      <c r="J328">
        <v>1040</v>
      </c>
      <c r="K328">
        <v>2</v>
      </c>
      <c r="L328">
        <v>1600</v>
      </c>
      <c r="M328">
        <v>2080</v>
      </c>
      <c r="N328" t="s">
        <v>28</v>
      </c>
      <c r="O328">
        <f t="shared" si="10"/>
        <v>3315</v>
      </c>
      <c r="P328" s="13">
        <f t="shared" si="11"/>
        <v>2577458</v>
      </c>
      <c r="Q328" s="13">
        <f>SUMIFS(M:M,E:E,Online_eCommerce[[#This Row],[Status]])</f>
        <v>28340455</v>
      </c>
      <c r="R328" s="13">
        <f>SUMIFS(L:L,H:H,Online_eCommerce[[#This Row],[Brand]])</f>
        <v>10950150</v>
      </c>
      <c r="S328" s="13">
        <f>SUMIF(H:H,Online_eCommerce[[#This Row],[Brand]],M:M)</f>
        <v>14235195</v>
      </c>
      <c r="T328" s="13">
        <f>SUMIF(N:N,Online_eCommerce[[#This Row],[Assigned Supervisor]],L:L)</f>
        <v>12220830</v>
      </c>
    </row>
    <row r="329" spans="1:20" hidden="1" x14ac:dyDescent="0.3">
      <c r="A329" t="s">
        <v>652</v>
      </c>
      <c r="B329" t="s">
        <v>235</v>
      </c>
      <c r="C329" t="s">
        <v>185</v>
      </c>
      <c r="D329" t="s">
        <v>525</v>
      </c>
      <c r="E329" t="s">
        <v>161</v>
      </c>
      <c r="F329" t="s">
        <v>133</v>
      </c>
      <c r="G329" t="s">
        <v>66</v>
      </c>
      <c r="H329" t="s">
        <v>21</v>
      </c>
      <c r="I329">
        <v>600</v>
      </c>
      <c r="J329">
        <v>780</v>
      </c>
      <c r="K329">
        <v>4</v>
      </c>
      <c r="L329">
        <v>2400</v>
      </c>
      <c r="M329">
        <v>3120</v>
      </c>
      <c r="N329" t="s">
        <v>35</v>
      </c>
      <c r="O329">
        <f t="shared" si="10"/>
        <v>1690</v>
      </c>
      <c r="P329" s="13">
        <f t="shared" si="11"/>
        <v>2091596</v>
      </c>
      <c r="Q329" s="13">
        <f>SUMIFS(M:M,E:E,Online_eCommerce[[#This Row],[Status]])</f>
        <v>21103186</v>
      </c>
      <c r="R329" s="13">
        <f>SUMIFS(L:L,H:H,Online_eCommerce[[#This Row],[Brand]])</f>
        <v>12435650</v>
      </c>
      <c r="S329" s="13">
        <f>SUMIF(H:H,Online_eCommerce[[#This Row],[Brand]],M:M)</f>
        <v>16166345</v>
      </c>
      <c r="T329" s="13">
        <f>SUMIF(N:N,Online_eCommerce[[#This Row],[Assigned Supervisor]],L:L)</f>
        <v>14373360</v>
      </c>
    </row>
    <row r="330" spans="1:20" x14ac:dyDescent="0.3">
      <c r="A330" t="s">
        <v>653</v>
      </c>
      <c r="B330" t="s">
        <v>235</v>
      </c>
      <c r="C330" t="s">
        <v>189</v>
      </c>
      <c r="D330" t="s">
        <v>525</v>
      </c>
      <c r="E330" t="s">
        <v>46</v>
      </c>
      <c r="F330" t="s">
        <v>137</v>
      </c>
      <c r="G330" t="s">
        <v>71</v>
      </c>
      <c r="H330" t="s">
        <v>61</v>
      </c>
      <c r="I330">
        <v>10500</v>
      </c>
      <c r="J330">
        <v>13650</v>
      </c>
      <c r="K330">
        <v>2</v>
      </c>
      <c r="L330">
        <v>21000</v>
      </c>
      <c r="M330">
        <v>27300</v>
      </c>
      <c r="N330" t="s">
        <v>42</v>
      </c>
      <c r="O330">
        <f t="shared" si="10"/>
        <v>9750</v>
      </c>
      <c r="P330" s="13">
        <f t="shared" si="11"/>
        <v>2740777</v>
      </c>
      <c r="Q330" s="13">
        <f>SUMIFS(M:M,E:E,Online_eCommerce[[#This Row],[Status]])</f>
        <v>28620410</v>
      </c>
      <c r="R330" s="13">
        <f>SUMIFS(L:L,H:H,Online_eCommerce[[#This Row],[Brand]])</f>
        <v>10950150</v>
      </c>
      <c r="S330" s="13">
        <f>SUMIF(H:H,Online_eCommerce[[#This Row],[Brand]],M:M)</f>
        <v>14235195</v>
      </c>
      <c r="T330" s="13">
        <f>SUMIF(N:N,Online_eCommerce[[#This Row],[Assigned Supervisor]],L:L)</f>
        <v>12261500</v>
      </c>
    </row>
    <row r="331" spans="1:20" hidden="1" x14ac:dyDescent="0.3">
      <c r="A331" t="s">
        <v>654</v>
      </c>
      <c r="B331" t="s">
        <v>235</v>
      </c>
      <c r="C331" t="s">
        <v>193</v>
      </c>
      <c r="D331" t="s">
        <v>525</v>
      </c>
      <c r="E331" t="s">
        <v>96</v>
      </c>
      <c r="F331" t="s">
        <v>625</v>
      </c>
      <c r="G331" t="s">
        <v>77</v>
      </c>
      <c r="H331" t="s">
        <v>142</v>
      </c>
      <c r="I331">
        <v>6500</v>
      </c>
      <c r="J331">
        <v>8450</v>
      </c>
      <c r="K331">
        <v>3</v>
      </c>
      <c r="L331">
        <v>19500</v>
      </c>
      <c r="M331">
        <v>25350</v>
      </c>
      <c r="N331" t="s">
        <v>50</v>
      </c>
      <c r="O331">
        <f t="shared" si="10"/>
        <v>39000</v>
      </c>
      <c r="P331" s="13">
        <f t="shared" si="11"/>
        <v>2074774</v>
      </c>
      <c r="Q331" s="13">
        <f>SUMIFS(M:M,E:E,Online_eCommerce[[#This Row],[Status]])</f>
        <v>21233992</v>
      </c>
      <c r="R331" s="13">
        <f>SUMIFS(L:L,H:H,Online_eCommerce[[#This Row],[Brand]])</f>
        <v>6192500</v>
      </c>
      <c r="S331" s="13">
        <f>SUMIF(H:H,Online_eCommerce[[#This Row],[Brand]],M:M)</f>
        <v>8050250</v>
      </c>
      <c r="T331" s="13">
        <f>SUMIF(N:N,Online_eCommerce[[#This Row],[Assigned Supervisor]],L:L)</f>
        <v>12100590</v>
      </c>
    </row>
    <row r="332" spans="1:20" hidden="1" x14ac:dyDescent="0.3">
      <c r="A332" t="s">
        <v>655</v>
      </c>
      <c r="B332" t="s">
        <v>235</v>
      </c>
      <c r="C332" t="s">
        <v>197</v>
      </c>
      <c r="D332" t="s">
        <v>525</v>
      </c>
      <c r="E332" t="s">
        <v>18</v>
      </c>
      <c r="F332" t="s">
        <v>656</v>
      </c>
      <c r="G332" t="s">
        <v>20</v>
      </c>
      <c r="H332" t="s">
        <v>21</v>
      </c>
      <c r="I332">
        <v>4500</v>
      </c>
      <c r="J332">
        <v>5850</v>
      </c>
      <c r="K332">
        <v>3</v>
      </c>
      <c r="L332">
        <v>13500</v>
      </c>
      <c r="M332">
        <v>17550</v>
      </c>
      <c r="N332" t="s">
        <v>56</v>
      </c>
      <c r="O332">
        <f t="shared" si="10"/>
        <v>8450</v>
      </c>
      <c r="P332" s="13">
        <f t="shared" si="11"/>
        <v>2829840</v>
      </c>
      <c r="Q332" s="13">
        <f>SUMIFS(M:M,E:E,Online_eCommerce[[#This Row],[Status]])</f>
        <v>28340455</v>
      </c>
      <c r="R332" s="13">
        <f>SUMIFS(L:L,H:H,Online_eCommerce[[#This Row],[Brand]])</f>
        <v>12435650</v>
      </c>
      <c r="S332" s="13">
        <f>SUMIF(H:H,Online_eCommerce[[#This Row],[Brand]],M:M)</f>
        <v>16166345</v>
      </c>
      <c r="T332" s="13">
        <f>SUMIF(N:N,Online_eCommerce[[#This Row],[Assigned Supervisor]],L:L)</f>
        <v>11733610</v>
      </c>
    </row>
    <row r="333" spans="1:20" hidden="1" x14ac:dyDescent="0.3">
      <c r="A333" t="s">
        <v>657</v>
      </c>
      <c r="B333" t="s">
        <v>235</v>
      </c>
      <c r="C333" t="s">
        <v>199</v>
      </c>
      <c r="D333" t="s">
        <v>525</v>
      </c>
      <c r="E333" t="s">
        <v>161</v>
      </c>
      <c r="F333" t="s">
        <v>152</v>
      </c>
      <c r="G333" t="s">
        <v>26</v>
      </c>
      <c r="H333" t="s">
        <v>27</v>
      </c>
      <c r="I333">
        <v>8500</v>
      </c>
      <c r="J333">
        <v>11050</v>
      </c>
      <c r="K333">
        <v>3</v>
      </c>
      <c r="L333">
        <v>25500</v>
      </c>
      <c r="M333">
        <v>33150</v>
      </c>
      <c r="N333" t="s">
        <v>22</v>
      </c>
      <c r="O333">
        <f t="shared" si="10"/>
        <v>33150</v>
      </c>
      <c r="P333" s="13">
        <f t="shared" si="11"/>
        <v>1947361</v>
      </c>
      <c r="Q333" s="13">
        <f>SUMIFS(M:M,E:E,Online_eCommerce[[#This Row],[Status]])</f>
        <v>21103186</v>
      </c>
      <c r="R333" s="13">
        <f>SUMIFS(L:L,H:H,Online_eCommerce[[#This Row],[Brand]])</f>
        <v>14431000</v>
      </c>
      <c r="S333" s="13">
        <f>SUMIF(H:H,Online_eCommerce[[#This Row],[Brand]],M:M)</f>
        <v>18760300</v>
      </c>
      <c r="T333" s="13">
        <f>SUMIF(N:N,Online_eCommerce[[#This Row],[Assigned Supervisor]],L:L)</f>
        <v>13693220</v>
      </c>
    </row>
    <row r="334" spans="1:20" x14ac:dyDescent="0.3">
      <c r="A334" t="s">
        <v>658</v>
      </c>
      <c r="B334" t="s">
        <v>235</v>
      </c>
      <c r="C334" t="s">
        <v>203</v>
      </c>
      <c r="D334" t="s">
        <v>525</v>
      </c>
      <c r="E334" t="s">
        <v>46</v>
      </c>
      <c r="F334" t="s">
        <v>157</v>
      </c>
      <c r="G334" t="s">
        <v>33</v>
      </c>
      <c r="H334" t="s">
        <v>34</v>
      </c>
      <c r="I334">
        <v>12500</v>
      </c>
      <c r="J334">
        <v>16250</v>
      </c>
      <c r="K334">
        <v>1</v>
      </c>
      <c r="L334">
        <v>12500</v>
      </c>
      <c r="M334">
        <v>16250</v>
      </c>
      <c r="N334" t="s">
        <v>28</v>
      </c>
      <c r="O334">
        <f t="shared" si="10"/>
        <v>18200</v>
      </c>
      <c r="P334" s="13">
        <f t="shared" si="11"/>
        <v>2559635</v>
      </c>
      <c r="Q334" s="13">
        <f>SUMIFS(M:M,E:E,Online_eCommerce[[#This Row],[Status]])</f>
        <v>28620410</v>
      </c>
      <c r="R334" s="13">
        <f>SUMIFS(L:L,H:H,Online_eCommerce[[#This Row],[Brand]])</f>
        <v>10087000</v>
      </c>
      <c r="S334" s="13">
        <f>SUMIF(H:H,Online_eCommerce[[#This Row],[Brand]],M:M)</f>
        <v>13113100</v>
      </c>
      <c r="T334" s="13">
        <f>SUMIF(N:N,Online_eCommerce[[#This Row],[Assigned Supervisor]],L:L)</f>
        <v>12220830</v>
      </c>
    </row>
    <row r="335" spans="1:20" hidden="1" x14ac:dyDescent="0.3">
      <c r="A335" t="s">
        <v>659</v>
      </c>
      <c r="B335" t="s">
        <v>235</v>
      </c>
      <c r="C335" t="s">
        <v>205</v>
      </c>
      <c r="D335" t="s">
        <v>525</v>
      </c>
      <c r="E335" t="s">
        <v>96</v>
      </c>
      <c r="F335" t="s">
        <v>285</v>
      </c>
      <c r="G335" t="s">
        <v>163</v>
      </c>
      <c r="H335" t="s">
        <v>41</v>
      </c>
      <c r="I335">
        <v>3500</v>
      </c>
      <c r="J335">
        <v>4550</v>
      </c>
      <c r="K335">
        <v>4</v>
      </c>
      <c r="L335">
        <v>14000</v>
      </c>
      <c r="M335">
        <v>18200</v>
      </c>
      <c r="N335" t="s">
        <v>35</v>
      </c>
      <c r="O335">
        <f t="shared" si="10"/>
        <v>13650</v>
      </c>
      <c r="P335" s="13">
        <f t="shared" si="11"/>
        <v>1983254</v>
      </c>
      <c r="Q335" s="13">
        <f>SUMIFS(M:M,E:E,Online_eCommerce[[#This Row],[Status]])</f>
        <v>21233992</v>
      </c>
      <c r="R335" s="13">
        <f>SUMIFS(L:L,H:H,Online_eCommerce[[#This Row],[Brand]])</f>
        <v>4260400</v>
      </c>
      <c r="S335" s="13">
        <f>SUMIF(H:H,Online_eCommerce[[#This Row],[Brand]],M:M)</f>
        <v>5538520</v>
      </c>
      <c r="T335" s="13">
        <f>SUMIF(N:N,Online_eCommerce[[#This Row],[Assigned Supervisor]],L:L)</f>
        <v>14373360</v>
      </c>
    </row>
    <row r="336" spans="1:20" hidden="1" x14ac:dyDescent="0.3">
      <c r="A336" t="s">
        <v>660</v>
      </c>
      <c r="B336" t="s">
        <v>235</v>
      </c>
      <c r="C336" t="s">
        <v>208</v>
      </c>
      <c r="D336" t="s">
        <v>525</v>
      </c>
      <c r="E336" t="s">
        <v>18</v>
      </c>
      <c r="F336" t="s">
        <v>166</v>
      </c>
      <c r="G336" t="s">
        <v>66</v>
      </c>
      <c r="H336" t="s">
        <v>49</v>
      </c>
      <c r="I336">
        <v>4500</v>
      </c>
      <c r="J336">
        <v>5850</v>
      </c>
      <c r="K336">
        <v>4</v>
      </c>
      <c r="L336">
        <v>18000</v>
      </c>
      <c r="M336">
        <v>23400</v>
      </c>
      <c r="N336" t="s">
        <v>42</v>
      </c>
      <c r="O336">
        <f t="shared" si="10"/>
        <v>1690</v>
      </c>
      <c r="P336" s="13">
        <f t="shared" si="11"/>
        <v>2746575</v>
      </c>
      <c r="Q336" s="13">
        <f>SUMIFS(M:M,E:E,Online_eCommerce[[#This Row],[Status]])</f>
        <v>28340455</v>
      </c>
      <c r="R336" s="13">
        <f>SUMIFS(L:L,H:H,Online_eCommerce[[#This Row],[Brand]])</f>
        <v>4528350</v>
      </c>
      <c r="S336" s="13">
        <f>SUMIF(H:H,Online_eCommerce[[#This Row],[Brand]],M:M)</f>
        <v>5886855</v>
      </c>
      <c r="T336" s="13">
        <f>SUMIF(N:N,Online_eCommerce[[#This Row],[Assigned Supervisor]],L:L)</f>
        <v>12261500</v>
      </c>
    </row>
    <row r="337" spans="1:20" hidden="1" x14ac:dyDescent="0.3">
      <c r="A337" t="s">
        <v>661</v>
      </c>
      <c r="B337" t="s">
        <v>235</v>
      </c>
      <c r="C337" t="s">
        <v>211</v>
      </c>
      <c r="D337" t="s">
        <v>525</v>
      </c>
      <c r="E337" t="s">
        <v>161</v>
      </c>
      <c r="F337" t="s">
        <v>662</v>
      </c>
      <c r="G337" t="s">
        <v>54</v>
      </c>
      <c r="H337" t="s">
        <v>55</v>
      </c>
      <c r="I337">
        <v>2100</v>
      </c>
      <c r="J337">
        <v>2730</v>
      </c>
      <c r="K337">
        <v>2</v>
      </c>
      <c r="L337">
        <v>4200</v>
      </c>
      <c r="M337">
        <v>5460</v>
      </c>
      <c r="N337" t="s">
        <v>50</v>
      </c>
      <c r="O337">
        <f t="shared" si="10"/>
        <v>2990</v>
      </c>
      <c r="P337" s="13">
        <f t="shared" si="11"/>
        <v>1809847</v>
      </c>
      <c r="Q337" s="13">
        <f>SUMIFS(M:M,E:E,Online_eCommerce[[#This Row],[Status]])</f>
        <v>21103186</v>
      </c>
      <c r="R337" s="13">
        <f>SUMIFS(L:L,H:H,Online_eCommerce[[#This Row],[Brand]])</f>
        <v>2267380</v>
      </c>
      <c r="S337" s="13">
        <f>SUMIF(H:H,Online_eCommerce[[#This Row],[Brand]],M:M)</f>
        <v>2947594</v>
      </c>
      <c r="T337" s="13">
        <f>SUMIF(N:N,Online_eCommerce[[#This Row],[Assigned Supervisor]],L:L)</f>
        <v>12100590</v>
      </c>
    </row>
    <row r="338" spans="1:20" x14ac:dyDescent="0.3">
      <c r="A338" t="s">
        <v>663</v>
      </c>
      <c r="B338" t="s">
        <v>235</v>
      </c>
      <c r="C338" t="s">
        <v>16</v>
      </c>
      <c r="D338" t="s">
        <v>525</v>
      </c>
      <c r="E338" t="s">
        <v>46</v>
      </c>
      <c r="F338" t="s">
        <v>174</v>
      </c>
      <c r="G338" t="s">
        <v>60</v>
      </c>
      <c r="H338" t="s">
        <v>61</v>
      </c>
      <c r="I338">
        <v>1150</v>
      </c>
      <c r="J338">
        <v>1495</v>
      </c>
      <c r="K338">
        <v>4</v>
      </c>
      <c r="L338">
        <v>4600</v>
      </c>
      <c r="M338">
        <v>5980</v>
      </c>
      <c r="N338" t="s">
        <v>56</v>
      </c>
      <c r="O338">
        <f t="shared" si="10"/>
        <v>3315</v>
      </c>
      <c r="P338" s="13">
        <f t="shared" si="11"/>
        <v>2751814</v>
      </c>
      <c r="Q338" s="13">
        <f>SUMIFS(M:M,E:E,Online_eCommerce[[#This Row],[Status]])</f>
        <v>28620410</v>
      </c>
      <c r="R338" s="13">
        <f>SUMIFS(L:L,H:H,Online_eCommerce[[#This Row],[Brand]])</f>
        <v>10950150</v>
      </c>
      <c r="S338" s="13">
        <f>SUMIF(H:H,Online_eCommerce[[#This Row],[Brand]],M:M)</f>
        <v>14235195</v>
      </c>
      <c r="T338" s="13">
        <f>SUMIF(N:N,Online_eCommerce[[#This Row],[Assigned Supervisor]],L:L)</f>
        <v>11733610</v>
      </c>
    </row>
    <row r="339" spans="1:20" hidden="1" x14ac:dyDescent="0.3">
      <c r="A339" t="s">
        <v>664</v>
      </c>
      <c r="B339" t="s">
        <v>235</v>
      </c>
      <c r="C339" t="s">
        <v>24</v>
      </c>
      <c r="D339" t="s">
        <v>525</v>
      </c>
      <c r="E339" t="s">
        <v>96</v>
      </c>
      <c r="F339" t="s">
        <v>179</v>
      </c>
      <c r="G339" t="s">
        <v>66</v>
      </c>
      <c r="H339" t="s">
        <v>21</v>
      </c>
      <c r="I339">
        <v>350</v>
      </c>
      <c r="J339">
        <v>455</v>
      </c>
      <c r="K339">
        <v>1</v>
      </c>
      <c r="L339">
        <v>350</v>
      </c>
      <c r="M339">
        <v>455</v>
      </c>
      <c r="N339" t="s">
        <v>22</v>
      </c>
      <c r="O339">
        <f t="shared" si="10"/>
        <v>1690</v>
      </c>
      <c r="P339" s="13">
        <f t="shared" si="11"/>
        <v>2009540</v>
      </c>
      <c r="Q339" s="13">
        <f>SUMIFS(M:M,E:E,Online_eCommerce[[#This Row],[Status]])</f>
        <v>21233992</v>
      </c>
      <c r="R339" s="13">
        <f>SUMIFS(L:L,H:H,Online_eCommerce[[#This Row],[Brand]])</f>
        <v>12435650</v>
      </c>
      <c r="S339" s="13">
        <f>SUMIF(H:H,Online_eCommerce[[#This Row],[Brand]],M:M)</f>
        <v>16166345</v>
      </c>
      <c r="T339" s="13">
        <f>SUMIF(N:N,Online_eCommerce[[#This Row],[Assigned Supervisor]],L:L)</f>
        <v>13693220</v>
      </c>
    </row>
    <row r="340" spans="1:20" hidden="1" x14ac:dyDescent="0.3">
      <c r="A340" t="s">
        <v>665</v>
      </c>
      <c r="B340" t="s">
        <v>235</v>
      </c>
      <c r="C340" t="s">
        <v>31</v>
      </c>
      <c r="D340" t="s">
        <v>525</v>
      </c>
      <c r="E340" t="s">
        <v>18</v>
      </c>
      <c r="F340" t="s">
        <v>183</v>
      </c>
      <c r="G340" t="s">
        <v>71</v>
      </c>
      <c r="H340" t="s">
        <v>61</v>
      </c>
      <c r="I340">
        <v>9500</v>
      </c>
      <c r="J340">
        <v>12350</v>
      </c>
      <c r="K340">
        <v>2</v>
      </c>
      <c r="L340">
        <v>19000</v>
      </c>
      <c r="M340">
        <v>24700</v>
      </c>
      <c r="N340" t="s">
        <v>28</v>
      </c>
      <c r="O340">
        <f t="shared" si="10"/>
        <v>9750</v>
      </c>
      <c r="P340" s="13">
        <f t="shared" si="11"/>
        <v>2865746</v>
      </c>
      <c r="Q340" s="13">
        <f>SUMIFS(M:M,E:E,Online_eCommerce[[#This Row],[Status]])</f>
        <v>28340455</v>
      </c>
      <c r="R340" s="13">
        <f>SUMIFS(L:L,H:H,Online_eCommerce[[#This Row],[Brand]])</f>
        <v>10950150</v>
      </c>
      <c r="S340" s="13">
        <f>SUMIF(H:H,Online_eCommerce[[#This Row],[Brand]],M:M)</f>
        <v>14235195</v>
      </c>
      <c r="T340" s="13">
        <f>SUMIF(N:N,Online_eCommerce[[#This Row],[Assigned Supervisor]],L:L)</f>
        <v>12220830</v>
      </c>
    </row>
    <row r="341" spans="1:20" hidden="1" x14ac:dyDescent="0.3">
      <c r="A341" t="s">
        <v>666</v>
      </c>
      <c r="B341" t="s">
        <v>235</v>
      </c>
      <c r="C341" t="s">
        <v>38</v>
      </c>
      <c r="D341" t="s">
        <v>667</v>
      </c>
      <c r="E341" t="s">
        <v>161</v>
      </c>
      <c r="F341" t="s">
        <v>668</v>
      </c>
      <c r="G341" t="s">
        <v>77</v>
      </c>
      <c r="H341" t="s">
        <v>142</v>
      </c>
      <c r="I341">
        <v>10000</v>
      </c>
      <c r="J341">
        <v>13000</v>
      </c>
      <c r="K341">
        <v>4</v>
      </c>
      <c r="L341">
        <v>40000</v>
      </c>
      <c r="M341">
        <v>52000</v>
      </c>
      <c r="N341" t="s">
        <v>35</v>
      </c>
      <c r="O341">
        <f t="shared" si="10"/>
        <v>39000</v>
      </c>
      <c r="P341" s="13">
        <f t="shared" si="11"/>
        <v>1933997</v>
      </c>
      <c r="Q341" s="13">
        <f>SUMIFS(M:M,E:E,Online_eCommerce[[#This Row],[Status]])</f>
        <v>21103186</v>
      </c>
      <c r="R341" s="13">
        <f>SUMIFS(L:L,H:H,Online_eCommerce[[#This Row],[Brand]])</f>
        <v>6192500</v>
      </c>
      <c r="S341" s="13">
        <f>SUMIF(H:H,Online_eCommerce[[#This Row],[Brand]],M:M)</f>
        <v>8050250</v>
      </c>
      <c r="T341" s="13">
        <f>SUMIF(N:N,Online_eCommerce[[#This Row],[Assigned Supervisor]],L:L)</f>
        <v>14373360</v>
      </c>
    </row>
    <row r="342" spans="1:20" x14ac:dyDescent="0.3">
      <c r="A342" t="s">
        <v>669</v>
      </c>
      <c r="B342" t="s">
        <v>235</v>
      </c>
      <c r="C342" t="s">
        <v>45</v>
      </c>
      <c r="D342" t="s">
        <v>667</v>
      </c>
      <c r="E342" t="s">
        <v>46</v>
      </c>
      <c r="F342" t="s">
        <v>670</v>
      </c>
      <c r="G342" t="s">
        <v>20</v>
      </c>
      <c r="H342" t="s">
        <v>21</v>
      </c>
      <c r="I342">
        <v>6500</v>
      </c>
      <c r="J342">
        <v>8450</v>
      </c>
      <c r="K342">
        <v>3</v>
      </c>
      <c r="L342">
        <v>19500</v>
      </c>
      <c r="M342">
        <v>25350</v>
      </c>
      <c r="N342" t="s">
        <v>42</v>
      </c>
      <c r="O342">
        <f t="shared" si="10"/>
        <v>8450</v>
      </c>
      <c r="P342" s="13">
        <f t="shared" si="11"/>
        <v>2842554</v>
      </c>
      <c r="Q342" s="13">
        <f>SUMIFS(M:M,E:E,Online_eCommerce[[#This Row],[Status]])</f>
        <v>28620410</v>
      </c>
      <c r="R342" s="13">
        <f>SUMIFS(L:L,H:H,Online_eCommerce[[#This Row],[Brand]])</f>
        <v>12435650</v>
      </c>
      <c r="S342" s="13">
        <f>SUMIF(H:H,Online_eCommerce[[#This Row],[Brand]],M:M)</f>
        <v>16166345</v>
      </c>
      <c r="T342" s="13">
        <f>SUMIF(N:N,Online_eCommerce[[#This Row],[Assigned Supervisor]],L:L)</f>
        <v>12261500</v>
      </c>
    </row>
    <row r="343" spans="1:20" hidden="1" x14ac:dyDescent="0.3">
      <c r="A343" t="s">
        <v>671</v>
      </c>
      <c r="B343" t="s">
        <v>235</v>
      </c>
      <c r="C343" t="s">
        <v>52</v>
      </c>
      <c r="D343" t="s">
        <v>667</v>
      </c>
      <c r="E343" t="s">
        <v>96</v>
      </c>
      <c r="F343" t="s">
        <v>672</v>
      </c>
      <c r="G343" t="s">
        <v>26</v>
      </c>
      <c r="H343" t="s">
        <v>27</v>
      </c>
      <c r="I343">
        <v>8500</v>
      </c>
      <c r="J343">
        <v>11050</v>
      </c>
      <c r="K343">
        <v>1</v>
      </c>
      <c r="L343">
        <v>8500</v>
      </c>
      <c r="M343">
        <v>11050</v>
      </c>
      <c r="N343" t="s">
        <v>50</v>
      </c>
      <c r="O343">
        <f t="shared" si="10"/>
        <v>33150</v>
      </c>
      <c r="P343" s="13">
        <f t="shared" si="11"/>
        <v>1955044</v>
      </c>
      <c r="Q343" s="13">
        <f>SUMIFS(M:M,E:E,Online_eCommerce[[#This Row],[Status]])</f>
        <v>21233992</v>
      </c>
      <c r="R343" s="13">
        <f>SUMIFS(L:L,H:H,Online_eCommerce[[#This Row],[Brand]])</f>
        <v>14431000</v>
      </c>
      <c r="S343" s="13">
        <f>SUMIF(H:H,Online_eCommerce[[#This Row],[Brand]],M:M)</f>
        <v>18760300</v>
      </c>
      <c r="T343" s="13">
        <f>SUMIF(N:N,Online_eCommerce[[#This Row],[Assigned Supervisor]],L:L)</f>
        <v>12100590</v>
      </c>
    </row>
    <row r="344" spans="1:20" hidden="1" x14ac:dyDescent="0.3">
      <c r="A344" t="s">
        <v>673</v>
      </c>
      <c r="B344" t="s">
        <v>235</v>
      </c>
      <c r="C344" t="s">
        <v>58</v>
      </c>
      <c r="D344" t="s">
        <v>667</v>
      </c>
      <c r="E344" t="s">
        <v>18</v>
      </c>
      <c r="F344" t="s">
        <v>32</v>
      </c>
      <c r="G344" t="s">
        <v>33</v>
      </c>
      <c r="H344" t="s">
        <v>34</v>
      </c>
      <c r="I344">
        <v>7000</v>
      </c>
      <c r="J344">
        <v>9100</v>
      </c>
      <c r="K344">
        <v>4</v>
      </c>
      <c r="L344">
        <v>28000</v>
      </c>
      <c r="M344">
        <v>36400</v>
      </c>
      <c r="N344" t="s">
        <v>56</v>
      </c>
      <c r="O344">
        <f t="shared" si="10"/>
        <v>18200</v>
      </c>
      <c r="P344" s="13">
        <f t="shared" si="11"/>
        <v>2629211</v>
      </c>
      <c r="Q344" s="13">
        <f>SUMIFS(M:M,E:E,Online_eCommerce[[#This Row],[Status]])</f>
        <v>28340455</v>
      </c>
      <c r="R344" s="13">
        <f>SUMIFS(L:L,H:H,Online_eCommerce[[#This Row],[Brand]])</f>
        <v>10087000</v>
      </c>
      <c r="S344" s="13">
        <f>SUMIF(H:H,Online_eCommerce[[#This Row],[Brand]],M:M)</f>
        <v>13113100</v>
      </c>
      <c r="T344" s="13">
        <f>SUMIF(N:N,Online_eCommerce[[#This Row],[Assigned Supervisor]],L:L)</f>
        <v>11733610</v>
      </c>
    </row>
    <row r="345" spans="1:20" hidden="1" x14ac:dyDescent="0.3">
      <c r="A345" t="s">
        <v>674</v>
      </c>
      <c r="B345" t="s">
        <v>235</v>
      </c>
      <c r="C345" t="s">
        <v>63</v>
      </c>
      <c r="D345" t="s">
        <v>667</v>
      </c>
      <c r="E345" t="s">
        <v>161</v>
      </c>
      <c r="F345" t="s">
        <v>675</v>
      </c>
      <c r="G345" t="s">
        <v>163</v>
      </c>
      <c r="H345" t="s">
        <v>41</v>
      </c>
      <c r="I345">
        <v>6550</v>
      </c>
      <c r="J345">
        <v>8515</v>
      </c>
      <c r="K345">
        <v>2</v>
      </c>
      <c r="L345">
        <v>13100</v>
      </c>
      <c r="M345">
        <v>17030</v>
      </c>
      <c r="N345" t="s">
        <v>22</v>
      </c>
      <c r="O345">
        <f t="shared" si="10"/>
        <v>13650</v>
      </c>
      <c r="P345" s="13">
        <f t="shared" si="11"/>
        <v>2016131</v>
      </c>
      <c r="Q345" s="13">
        <f>SUMIFS(M:M,E:E,Online_eCommerce[[#This Row],[Status]])</f>
        <v>21103186</v>
      </c>
      <c r="R345" s="13">
        <f>SUMIFS(L:L,H:H,Online_eCommerce[[#This Row],[Brand]])</f>
        <v>4260400</v>
      </c>
      <c r="S345" s="13">
        <f>SUMIF(H:H,Online_eCommerce[[#This Row],[Brand]],M:M)</f>
        <v>5538520</v>
      </c>
      <c r="T345" s="13">
        <f>SUMIF(N:N,Online_eCommerce[[#This Row],[Assigned Supervisor]],L:L)</f>
        <v>13693220</v>
      </c>
    </row>
    <row r="346" spans="1:20" x14ac:dyDescent="0.3">
      <c r="A346" t="s">
        <v>676</v>
      </c>
      <c r="B346" t="s">
        <v>235</v>
      </c>
      <c r="C346" t="s">
        <v>68</v>
      </c>
      <c r="D346" t="s">
        <v>667</v>
      </c>
      <c r="E346" t="s">
        <v>46</v>
      </c>
      <c r="F346" t="s">
        <v>47</v>
      </c>
      <c r="G346" t="s">
        <v>66</v>
      </c>
      <c r="H346" t="s">
        <v>49</v>
      </c>
      <c r="I346">
        <v>7650</v>
      </c>
      <c r="J346">
        <v>9945</v>
      </c>
      <c r="K346">
        <v>2</v>
      </c>
      <c r="L346">
        <v>15300</v>
      </c>
      <c r="M346">
        <v>19890</v>
      </c>
      <c r="N346" t="s">
        <v>28</v>
      </c>
      <c r="O346">
        <f t="shared" si="10"/>
        <v>1690</v>
      </c>
      <c r="P346" s="13">
        <f t="shared" si="11"/>
        <v>2974621</v>
      </c>
      <c r="Q346" s="13">
        <f>SUMIFS(M:M,E:E,Online_eCommerce[[#This Row],[Status]])</f>
        <v>28620410</v>
      </c>
      <c r="R346" s="13">
        <f>SUMIFS(L:L,H:H,Online_eCommerce[[#This Row],[Brand]])</f>
        <v>4528350</v>
      </c>
      <c r="S346" s="13">
        <f>SUMIF(H:H,Online_eCommerce[[#This Row],[Brand]],M:M)</f>
        <v>5886855</v>
      </c>
      <c r="T346" s="13">
        <f>SUMIF(N:N,Online_eCommerce[[#This Row],[Assigned Supervisor]],L:L)</f>
        <v>12220830</v>
      </c>
    </row>
    <row r="347" spans="1:20" hidden="1" x14ac:dyDescent="0.3">
      <c r="A347" t="s">
        <v>677</v>
      </c>
      <c r="B347" t="s">
        <v>235</v>
      </c>
      <c r="C347" t="s">
        <v>74</v>
      </c>
      <c r="D347" t="s">
        <v>667</v>
      </c>
      <c r="E347" t="s">
        <v>96</v>
      </c>
      <c r="F347" t="s">
        <v>53</v>
      </c>
      <c r="G347" t="s">
        <v>54</v>
      </c>
      <c r="H347" t="s">
        <v>55</v>
      </c>
      <c r="I347">
        <v>1150</v>
      </c>
      <c r="J347">
        <v>1495</v>
      </c>
      <c r="K347">
        <v>4</v>
      </c>
      <c r="L347">
        <v>4600</v>
      </c>
      <c r="M347">
        <v>5980</v>
      </c>
      <c r="N347" t="s">
        <v>35</v>
      </c>
      <c r="O347">
        <f t="shared" si="10"/>
        <v>2990</v>
      </c>
      <c r="P347" s="13">
        <f t="shared" si="11"/>
        <v>2144701</v>
      </c>
      <c r="Q347" s="13">
        <f>SUMIFS(M:M,E:E,Online_eCommerce[[#This Row],[Status]])</f>
        <v>21233992</v>
      </c>
      <c r="R347" s="13">
        <f>SUMIFS(L:L,H:H,Online_eCommerce[[#This Row],[Brand]])</f>
        <v>2267380</v>
      </c>
      <c r="S347" s="13">
        <f>SUMIF(H:H,Online_eCommerce[[#This Row],[Brand]],M:M)</f>
        <v>2947594</v>
      </c>
      <c r="T347" s="13">
        <f>SUMIF(N:N,Online_eCommerce[[#This Row],[Assigned Supervisor]],L:L)</f>
        <v>14373360</v>
      </c>
    </row>
    <row r="348" spans="1:20" hidden="1" x14ac:dyDescent="0.3">
      <c r="A348" t="s">
        <v>678</v>
      </c>
      <c r="B348" t="s">
        <v>235</v>
      </c>
      <c r="C348" t="s">
        <v>81</v>
      </c>
      <c r="D348" t="s">
        <v>667</v>
      </c>
      <c r="E348" t="s">
        <v>18</v>
      </c>
      <c r="F348" t="s">
        <v>59</v>
      </c>
      <c r="G348" t="s">
        <v>60</v>
      </c>
      <c r="H348" t="s">
        <v>61</v>
      </c>
      <c r="I348">
        <v>850</v>
      </c>
      <c r="J348">
        <v>1105</v>
      </c>
      <c r="K348">
        <v>4</v>
      </c>
      <c r="L348">
        <v>3400</v>
      </c>
      <c r="M348">
        <v>4420</v>
      </c>
      <c r="N348" t="s">
        <v>42</v>
      </c>
      <c r="O348">
        <f t="shared" si="10"/>
        <v>3315</v>
      </c>
      <c r="P348" s="13">
        <f t="shared" si="11"/>
        <v>2595632</v>
      </c>
      <c r="Q348" s="13">
        <f>SUMIFS(M:M,E:E,Online_eCommerce[[#This Row],[Status]])</f>
        <v>28340455</v>
      </c>
      <c r="R348" s="13">
        <f>SUMIFS(L:L,H:H,Online_eCommerce[[#This Row],[Brand]])</f>
        <v>10950150</v>
      </c>
      <c r="S348" s="13">
        <f>SUMIF(H:H,Online_eCommerce[[#This Row],[Brand]],M:M)</f>
        <v>14235195</v>
      </c>
      <c r="T348" s="13">
        <f>SUMIF(N:N,Online_eCommerce[[#This Row],[Assigned Supervisor]],L:L)</f>
        <v>12261500</v>
      </c>
    </row>
    <row r="349" spans="1:20" hidden="1" x14ac:dyDescent="0.3">
      <c r="A349" t="s">
        <v>679</v>
      </c>
      <c r="B349" t="s">
        <v>235</v>
      </c>
      <c r="C349" t="s">
        <v>86</v>
      </c>
      <c r="D349" t="s">
        <v>667</v>
      </c>
      <c r="E349" t="s">
        <v>161</v>
      </c>
      <c r="F349" t="s">
        <v>65</v>
      </c>
      <c r="G349" t="s">
        <v>66</v>
      </c>
      <c r="H349" t="s">
        <v>21</v>
      </c>
      <c r="I349">
        <v>650</v>
      </c>
      <c r="J349">
        <v>845</v>
      </c>
      <c r="K349">
        <v>1</v>
      </c>
      <c r="L349">
        <v>650</v>
      </c>
      <c r="M349">
        <v>845</v>
      </c>
      <c r="N349" t="s">
        <v>50</v>
      </c>
      <c r="O349">
        <f t="shared" si="10"/>
        <v>1690</v>
      </c>
      <c r="P349" s="13">
        <f t="shared" si="11"/>
        <v>1941225</v>
      </c>
      <c r="Q349" s="13">
        <f>SUMIFS(M:M,E:E,Online_eCommerce[[#This Row],[Status]])</f>
        <v>21103186</v>
      </c>
      <c r="R349" s="13">
        <f>SUMIFS(L:L,H:H,Online_eCommerce[[#This Row],[Brand]])</f>
        <v>12435650</v>
      </c>
      <c r="S349" s="13">
        <f>SUMIF(H:H,Online_eCommerce[[#This Row],[Brand]],M:M)</f>
        <v>16166345</v>
      </c>
      <c r="T349" s="13">
        <f>SUMIF(N:N,Online_eCommerce[[#This Row],[Assigned Supervisor]],L:L)</f>
        <v>12100590</v>
      </c>
    </row>
    <row r="350" spans="1:20" x14ac:dyDescent="0.3">
      <c r="A350" t="s">
        <v>680</v>
      </c>
      <c r="B350" t="s">
        <v>235</v>
      </c>
      <c r="C350" t="s">
        <v>91</v>
      </c>
      <c r="D350" t="s">
        <v>667</v>
      </c>
      <c r="E350" t="s">
        <v>46</v>
      </c>
      <c r="F350" t="s">
        <v>70</v>
      </c>
      <c r="G350" t="s">
        <v>71</v>
      </c>
      <c r="H350" t="s">
        <v>61</v>
      </c>
      <c r="I350">
        <v>7500</v>
      </c>
      <c r="J350">
        <v>9750</v>
      </c>
      <c r="K350">
        <v>2</v>
      </c>
      <c r="L350">
        <v>15000</v>
      </c>
      <c r="M350">
        <v>19500</v>
      </c>
      <c r="N350" t="s">
        <v>56</v>
      </c>
      <c r="O350">
        <f t="shared" si="10"/>
        <v>9750</v>
      </c>
      <c r="P350" s="13">
        <f t="shared" si="11"/>
        <v>2731963</v>
      </c>
      <c r="Q350" s="13">
        <f>SUMIFS(M:M,E:E,Online_eCommerce[[#This Row],[Status]])</f>
        <v>28620410</v>
      </c>
      <c r="R350" s="13">
        <f>SUMIFS(L:L,H:H,Online_eCommerce[[#This Row],[Brand]])</f>
        <v>10950150</v>
      </c>
      <c r="S350" s="13">
        <f>SUMIF(H:H,Online_eCommerce[[#This Row],[Brand]],M:M)</f>
        <v>14235195</v>
      </c>
      <c r="T350" s="13">
        <f>SUMIF(N:N,Online_eCommerce[[#This Row],[Assigned Supervisor]],L:L)</f>
        <v>11733610</v>
      </c>
    </row>
    <row r="351" spans="1:20" hidden="1" x14ac:dyDescent="0.3">
      <c r="A351" t="s">
        <v>681</v>
      </c>
      <c r="B351" t="s">
        <v>235</v>
      </c>
      <c r="C351" t="s">
        <v>94</v>
      </c>
      <c r="D351" t="s">
        <v>667</v>
      </c>
      <c r="E351" t="s">
        <v>96</v>
      </c>
      <c r="F351" t="s">
        <v>668</v>
      </c>
      <c r="G351" t="s">
        <v>77</v>
      </c>
      <c r="H351" t="s">
        <v>78</v>
      </c>
      <c r="I351">
        <v>10000</v>
      </c>
      <c r="J351">
        <v>13000</v>
      </c>
      <c r="K351">
        <v>2</v>
      </c>
      <c r="L351">
        <v>20000</v>
      </c>
      <c r="M351">
        <v>26000</v>
      </c>
      <c r="N351" t="s">
        <v>22</v>
      </c>
      <c r="O351">
        <f t="shared" si="10"/>
        <v>39000</v>
      </c>
      <c r="P351" s="13">
        <f t="shared" si="11"/>
        <v>1868256</v>
      </c>
      <c r="Q351" s="13">
        <f>SUMIFS(M:M,E:E,Online_eCommerce[[#This Row],[Status]])</f>
        <v>21233992</v>
      </c>
      <c r="R351" s="13">
        <f>SUMIFS(L:L,H:H,Online_eCommerce[[#This Row],[Brand]])</f>
        <v>3720000</v>
      </c>
      <c r="S351" s="13">
        <f>SUMIF(H:H,Online_eCommerce[[#This Row],[Brand]],M:M)</f>
        <v>4836000</v>
      </c>
      <c r="T351" s="13">
        <f>SUMIF(N:N,Online_eCommerce[[#This Row],[Assigned Supervisor]],L:L)</f>
        <v>13693220</v>
      </c>
    </row>
    <row r="352" spans="1:20" hidden="1" x14ac:dyDescent="0.3">
      <c r="A352" t="s">
        <v>682</v>
      </c>
      <c r="B352" t="s">
        <v>235</v>
      </c>
      <c r="C352" t="s">
        <v>99</v>
      </c>
      <c r="D352" t="s">
        <v>667</v>
      </c>
      <c r="E352" t="s">
        <v>18</v>
      </c>
      <c r="F352" t="s">
        <v>683</v>
      </c>
      <c r="G352" t="s">
        <v>20</v>
      </c>
      <c r="H352" t="s">
        <v>21</v>
      </c>
      <c r="I352">
        <v>10500</v>
      </c>
      <c r="J352">
        <v>13650</v>
      </c>
      <c r="K352">
        <v>4</v>
      </c>
      <c r="L352">
        <v>42000</v>
      </c>
      <c r="M352">
        <v>54600</v>
      </c>
      <c r="N352" t="s">
        <v>28</v>
      </c>
      <c r="O352">
        <f t="shared" si="10"/>
        <v>8450</v>
      </c>
      <c r="P352" s="13">
        <f t="shared" si="11"/>
        <v>2651233</v>
      </c>
      <c r="Q352" s="13">
        <f>SUMIFS(M:M,E:E,Online_eCommerce[[#This Row],[Status]])</f>
        <v>28340455</v>
      </c>
      <c r="R352" s="13">
        <f>SUMIFS(L:L,H:H,Online_eCommerce[[#This Row],[Brand]])</f>
        <v>12435650</v>
      </c>
      <c r="S352" s="13">
        <f>SUMIF(H:H,Online_eCommerce[[#This Row],[Brand]],M:M)</f>
        <v>16166345</v>
      </c>
      <c r="T352" s="13">
        <f>SUMIF(N:N,Online_eCommerce[[#This Row],[Assigned Supervisor]],L:L)</f>
        <v>12220830</v>
      </c>
    </row>
    <row r="353" spans="1:20" hidden="1" x14ac:dyDescent="0.3">
      <c r="A353" t="s">
        <v>684</v>
      </c>
      <c r="B353" t="s">
        <v>235</v>
      </c>
      <c r="C353" t="s">
        <v>105</v>
      </c>
      <c r="D353" t="s">
        <v>667</v>
      </c>
      <c r="E353" t="s">
        <v>161</v>
      </c>
      <c r="F353" t="s">
        <v>88</v>
      </c>
      <c r="G353" t="s">
        <v>26</v>
      </c>
      <c r="H353" t="s">
        <v>27</v>
      </c>
      <c r="I353">
        <v>8500</v>
      </c>
      <c r="J353">
        <v>11050</v>
      </c>
      <c r="K353">
        <v>3</v>
      </c>
      <c r="L353">
        <v>25500</v>
      </c>
      <c r="M353">
        <v>33150</v>
      </c>
      <c r="N353" t="s">
        <v>35</v>
      </c>
      <c r="O353">
        <f t="shared" si="10"/>
        <v>33150</v>
      </c>
      <c r="P353" s="13">
        <f t="shared" si="11"/>
        <v>1866852</v>
      </c>
      <c r="Q353" s="13">
        <f>SUMIFS(M:M,E:E,Online_eCommerce[[#This Row],[Status]])</f>
        <v>21103186</v>
      </c>
      <c r="R353" s="13">
        <f>SUMIFS(L:L,H:H,Online_eCommerce[[#This Row],[Brand]])</f>
        <v>14431000</v>
      </c>
      <c r="S353" s="13">
        <f>SUMIF(H:H,Online_eCommerce[[#This Row],[Brand]],M:M)</f>
        <v>18760300</v>
      </c>
      <c r="T353" s="13">
        <f>SUMIF(N:N,Online_eCommerce[[#This Row],[Assigned Supervisor]],L:L)</f>
        <v>14373360</v>
      </c>
    </row>
    <row r="354" spans="1:20" x14ac:dyDescent="0.3">
      <c r="A354" t="s">
        <v>685</v>
      </c>
      <c r="B354" t="s">
        <v>235</v>
      </c>
      <c r="C354" t="s">
        <v>110</v>
      </c>
      <c r="D354" t="s">
        <v>667</v>
      </c>
      <c r="E354" t="s">
        <v>46</v>
      </c>
      <c r="F354" t="s">
        <v>32</v>
      </c>
      <c r="G354" t="s">
        <v>33</v>
      </c>
      <c r="H354" t="s">
        <v>34</v>
      </c>
      <c r="I354">
        <v>7000</v>
      </c>
      <c r="J354">
        <v>9100</v>
      </c>
      <c r="K354">
        <v>4</v>
      </c>
      <c r="L354">
        <v>28000</v>
      </c>
      <c r="M354">
        <v>36400</v>
      </c>
      <c r="N354" t="s">
        <v>42</v>
      </c>
      <c r="O354">
        <f t="shared" si="10"/>
        <v>18200</v>
      </c>
      <c r="P354" s="13">
        <f t="shared" si="11"/>
        <v>2598635</v>
      </c>
      <c r="Q354" s="13">
        <f>SUMIFS(M:M,E:E,Online_eCommerce[[#This Row],[Status]])</f>
        <v>28620410</v>
      </c>
      <c r="R354" s="13">
        <f>SUMIFS(L:L,H:H,Online_eCommerce[[#This Row],[Brand]])</f>
        <v>10087000</v>
      </c>
      <c r="S354" s="13">
        <f>SUMIF(H:H,Online_eCommerce[[#This Row],[Brand]],M:M)</f>
        <v>13113100</v>
      </c>
      <c r="T354" s="13">
        <f>SUMIF(N:N,Online_eCommerce[[#This Row],[Assigned Supervisor]],L:L)</f>
        <v>12261500</v>
      </c>
    </row>
    <row r="355" spans="1:20" hidden="1" x14ac:dyDescent="0.3">
      <c r="A355" t="s">
        <v>686</v>
      </c>
      <c r="B355" t="s">
        <v>235</v>
      </c>
      <c r="C355" t="s">
        <v>115</v>
      </c>
      <c r="D355" t="s">
        <v>667</v>
      </c>
      <c r="E355" t="s">
        <v>96</v>
      </c>
      <c r="F355" t="s">
        <v>687</v>
      </c>
      <c r="G355" t="s">
        <v>163</v>
      </c>
      <c r="H355" t="s">
        <v>41</v>
      </c>
      <c r="I355">
        <v>1680</v>
      </c>
      <c r="J355">
        <v>2184</v>
      </c>
      <c r="K355">
        <v>4</v>
      </c>
      <c r="L355">
        <v>6720</v>
      </c>
      <c r="M355">
        <v>8736</v>
      </c>
      <c r="N355" t="s">
        <v>50</v>
      </c>
      <c r="O355">
        <f t="shared" si="10"/>
        <v>13650</v>
      </c>
      <c r="P355" s="13">
        <f t="shared" si="11"/>
        <v>2050178</v>
      </c>
      <c r="Q355" s="13">
        <f>SUMIFS(M:M,E:E,Online_eCommerce[[#This Row],[Status]])</f>
        <v>21233992</v>
      </c>
      <c r="R355" s="13">
        <f>SUMIFS(L:L,H:H,Online_eCommerce[[#This Row],[Brand]])</f>
        <v>4260400</v>
      </c>
      <c r="S355" s="13">
        <f>SUMIF(H:H,Online_eCommerce[[#This Row],[Brand]],M:M)</f>
        <v>5538520</v>
      </c>
      <c r="T355" s="13">
        <f>SUMIF(N:N,Online_eCommerce[[#This Row],[Assigned Supervisor]],L:L)</f>
        <v>12100590</v>
      </c>
    </row>
    <row r="356" spans="1:20" hidden="1" x14ac:dyDescent="0.3">
      <c r="A356" t="s">
        <v>688</v>
      </c>
      <c r="B356" t="s">
        <v>235</v>
      </c>
      <c r="C356" t="s">
        <v>120</v>
      </c>
      <c r="D356" t="s">
        <v>667</v>
      </c>
      <c r="E356" t="s">
        <v>18</v>
      </c>
      <c r="F356" t="s">
        <v>101</v>
      </c>
      <c r="G356" t="s">
        <v>66</v>
      </c>
      <c r="H356" t="s">
        <v>102</v>
      </c>
      <c r="I356">
        <v>6540</v>
      </c>
      <c r="J356">
        <v>8502</v>
      </c>
      <c r="K356">
        <v>3</v>
      </c>
      <c r="L356">
        <v>19620</v>
      </c>
      <c r="M356">
        <v>25506</v>
      </c>
      <c r="N356" t="s">
        <v>56</v>
      </c>
      <c r="O356">
        <f t="shared" si="10"/>
        <v>1690</v>
      </c>
      <c r="P356" s="13">
        <f t="shared" si="11"/>
        <v>2734212</v>
      </c>
      <c r="Q356" s="13">
        <f>SUMIFS(M:M,E:E,Online_eCommerce[[#This Row],[Status]])</f>
        <v>28340455</v>
      </c>
      <c r="R356" s="13">
        <f>SUMIFS(L:L,H:H,Online_eCommerce[[#This Row],[Brand]])</f>
        <v>2465580</v>
      </c>
      <c r="S356" s="13">
        <f>SUMIF(H:H,Online_eCommerce[[#This Row],[Brand]],M:M)</f>
        <v>3205254</v>
      </c>
      <c r="T356" s="13">
        <f>SUMIF(N:N,Online_eCommerce[[#This Row],[Assigned Supervisor]],L:L)</f>
        <v>11733610</v>
      </c>
    </row>
    <row r="357" spans="1:20" hidden="1" x14ac:dyDescent="0.3">
      <c r="A357" t="s">
        <v>689</v>
      </c>
      <c r="B357" t="s">
        <v>235</v>
      </c>
      <c r="C357" t="s">
        <v>125</v>
      </c>
      <c r="D357" t="s">
        <v>667</v>
      </c>
      <c r="E357" t="s">
        <v>161</v>
      </c>
      <c r="F357" t="s">
        <v>107</v>
      </c>
      <c r="G357" t="s">
        <v>54</v>
      </c>
      <c r="H357" t="s">
        <v>55</v>
      </c>
      <c r="I357">
        <v>2680</v>
      </c>
      <c r="J357">
        <v>3484</v>
      </c>
      <c r="K357">
        <v>1</v>
      </c>
      <c r="L357">
        <v>2680</v>
      </c>
      <c r="M357">
        <v>3484</v>
      </c>
      <c r="N357" t="s">
        <v>22</v>
      </c>
      <c r="O357">
        <f t="shared" si="10"/>
        <v>2990</v>
      </c>
      <c r="P357" s="13">
        <f t="shared" si="11"/>
        <v>2091154</v>
      </c>
      <c r="Q357" s="13">
        <f>SUMIFS(M:M,E:E,Online_eCommerce[[#This Row],[Status]])</f>
        <v>21103186</v>
      </c>
      <c r="R357" s="13">
        <f>SUMIFS(L:L,H:H,Online_eCommerce[[#This Row],[Brand]])</f>
        <v>2267380</v>
      </c>
      <c r="S357" s="13">
        <f>SUMIF(H:H,Online_eCommerce[[#This Row],[Brand]],M:M)</f>
        <v>2947594</v>
      </c>
      <c r="T357" s="13">
        <f>SUMIF(N:N,Online_eCommerce[[#This Row],[Assigned Supervisor]],L:L)</f>
        <v>13693220</v>
      </c>
    </row>
    <row r="358" spans="1:20" x14ac:dyDescent="0.3">
      <c r="A358" t="s">
        <v>690</v>
      </c>
      <c r="B358" t="s">
        <v>235</v>
      </c>
      <c r="C358" t="s">
        <v>22</v>
      </c>
      <c r="D358" t="s">
        <v>667</v>
      </c>
      <c r="E358" t="s">
        <v>46</v>
      </c>
      <c r="F358" t="s">
        <v>112</v>
      </c>
      <c r="G358" t="s">
        <v>71</v>
      </c>
      <c r="H358" t="s">
        <v>21</v>
      </c>
      <c r="I358">
        <v>8250</v>
      </c>
      <c r="J358">
        <v>10725</v>
      </c>
      <c r="K358">
        <v>3</v>
      </c>
      <c r="L358">
        <v>24750</v>
      </c>
      <c r="M358">
        <v>32175</v>
      </c>
      <c r="N358" t="s">
        <v>28</v>
      </c>
      <c r="O358">
        <f t="shared" si="10"/>
        <v>9750</v>
      </c>
      <c r="P358" s="13">
        <f t="shared" si="11"/>
        <v>2551588</v>
      </c>
      <c r="Q358" s="13">
        <f>SUMIFS(M:M,E:E,Online_eCommerce[[#This Row],[Status]])</f>
        <v>28620410</v>
      </c>
      <c r="R358" s="13">
        <f>SUMIFS(L:L,H:H,Online_eCommerce[[#This Row],[Brand]])</f>
        <v>12435650</v>
      </c>
      <c r="S358" s="13">
        <f>SUMIF(H:H,Online_eCommerce[[#This Row],[Brand]],M:M)</f>
        <v>16166345</v>
      </c>
      <c r="T358" s="13">
        <f>SUMIF(N:N,Online_eCommerce[[#This Row],[Assigned Supervisor]],L:L)</f>
        <v>12220830</v>
      </c>
    </row>
    <row r="359" spans="1:20" hidden="1" x14ac:dyDescent="0.3">
      <c r="A359" t="s">
        <v>691</v>
      </c>
      <c r="B359" t="s">
        <v>235</v>
      </c>
      <c r="C359" t="s">
        <v>132</v>
      </c>
      <c r="D359" t="s">
        <v>667</v>
      </c>
      <c r="E359" t="s">
        <v>96</v>
      </c>
      <c r="F359" t="s">
        <v>285</v>
      </c>
      <c r="G359" t="s">
        <v>40</v>
      </c>
      <c r="H359" t="s">
        <v>21</v>
      </c>
      <c r="I359">
        <v>2650</v>
      </c>
      <c r="J359">
        <v>3445</v>
      </c>
      <c r="K359">
        <v>1</v>
      </c>
      <c r="L359">
        <v>2650</v>
      </c>
      <c r="M359">
        <v>3445</v>
      </c>
      <c r="N359" t="s">
        <v>35</v>
      </c>
      <c r="O359">
        <f t="shared" si="10"/>
        <v>25545</v>
      </c>
      <c r="P359" s="13">
        <f t="shared" si="11"/>
        <v>1989065</v>
      </c>
      <c r="Q359" s="13">
        <f>SUMIFS(M:M,E:E,Online_eCommerce[[#This Row],[Status]])</f>
        <v>21233992</v>
      </c>
      <c r="R359" s="13">
        <f>SUMIFS(L:L,H:H,Online_eCommerce[[#This Row],[Brand]])</f>
        <v>12435650</v>
      </c>
      <c r="S359" s="13">
        <f>SUMIF(H:H,Online_eCommerce[[#This Row],[Brand]],M:M)</f>
        <v>16166345</v>
      </c>
      <c r="T359" s="13">
        <f>SUMIF(N:N,Online_eCommerce[[#This Row],[Assigned Supervisor]],L:L)</f>
        <v>14373360</v>
      </c>
    </row>
    <row r="360" spans="1:20" hidden="1" x14ac:dyDescent="0.3">
      <c r="A360" t="s">
        <v>692</v>
      </c>
      <c r="B360" t="s">
        <v>235</v>
      </c>
      <c r="C360" t="s">
        <v>136</v>
      </c>
      <c r="D360" t="s">
        <v>667</v>
      </c>
      <c r="E360" t="s">
        <v>18</v>
      </c>
      <c r="F360" t="s">
        <v>121</v>
      </c>
      <c r="G360" t="s">
        <v>71</v>
      </c>
      <c r="H360" t="s">
        <v>122</v>
      </c>
      <c r="I360">
        <v>12550</v>
      </c>
      <c r="J360">
        <v>16315</v>
      </c>
      <c r="K360">
        <v>3</v>
      </c>
      <c r="L360">
        <v>37650</v>
      </c>
      <c r="M360">
        <v>48945</v>
      </c>
      <c r="N360" t="s">
        <v>42</v>
      </c>
      <c r="O360">
        <f t="shared" si="10"/>
        <v>9750</v>
      </c>
      <c r="P360" s="13">
        <f t="shared" si="11"/>
        <v>2775162</v>
      </c>
      <c r="Q360" s="13">
        <f>SUMIFS(M:M,E:E,Online_eCommerce[[#This Row],[Status]])</f>
        <v>28340455</v>
      </c>
      <c r="R360" s="13">
        <f>SUMIFS(L:L,H:H,Online_eCommerce[[#This Row],[Brand]])</f>
        <v>5045100</v>
      </c>
      <c r="S360" s="13">
        <f>SUMIF(H:H,Online_eCommerce[[#This Row],[Brand]],M:M)</f>
        <v>6558630</v>
      </c>
      <c r="T360" s="13">
        <f>SUMIF(N:N,Online_eCommerce[[#This Row],[Assigned Supervisor]],L:L)</f>
        <v>12261500</v>
      </c>
    </row>
    <row r="361" spans="1:20" hidden="1" x14ac:dyDescent="0.3">
      <c r="A361" t="s">
        <v>693</v>
      </c>
      <c r="B361" t="s">
        <v>235</v>
      </c>
      <c r="C361" t="s">
        <v>140</v>
      </c>
      <c r="D361" t="s">
        <v>667</v>
      </c>
      <c r="E361" t="s">
        <v>161</v>
      </c>
      <c r="F361" t="s">
        <v>126</v>
      </c>
      <c r="G361" t="s">
        <v>26</v>
      </c>
      <c r="H361" t="s">
        <v>27</v>
      </c>
      <c r="I361">
        <v>14500</v>
      </c>
      <c r="J361">
        <v>18850</v>
      </c>
      <c r="K361">
        <v>2</v>
      </c>
      <c r="L361">
        <v>29000</v>
      </c>
      <c r="M361">
        <v>37700</v>
      </c>
      <c r="N361" t="s">
        <v>50</v>
      </c>
      <c r="O361">
        <f t="shared" si="10"/>
        <v>33150</v>
      </c>
      <c r="P361" s="13">
        <f t="shared" si="11"/>
        <v>2058264</v>
      </c>
      <c r="Q361" s="13">
        <f>SUMIFS(M:M,E:E,Online_eCommerce[[#This Row],[Status]])</f>
        <v>21103186</v>
      </c>
      <c r="R361" s="13">
        <f>SUMIFS(L:L,H:H,Online_eCommerce[[#This Row],[Brand]])</f>
        <v>14431000</v>
      </c>
      <c r="S361" s="13">
        <f>SUMIF(H:H,Online_eCommerce[[#This Row],[Brand]],M:M)</f>
        <v>18760300</v>
      </c>
      <c r="T361" s="13">
        <f>SUMIF(N:N,Online_eCommerce[[#This Row],[Assigned Supervisor]],L:L)</f>
        <v>12100590</v>
      </c>
    </row>
    <row r="362" spans="1:20" x14ac:dyDescent="0.3">
      <c r="A362" t="s">
        <v>694</v>
      </c>
      <c r="B362" t="s">
        <v>235</v>
      </c>
      <c r="C362" t="s">
        <v>145</v>
      </c>
      <c r="D362" t="s">
        <v>667</v>
      </c>
      <c r="E362" t="s">
        <v>46</v>
      </c>
      <c r="F362" t="s">
        <v>129</v>
      </c>
      <c r="G362" t="s">
        <v>60</v>
      </c>
      <c r="H362" t="s">
        <v>61</v>
      </c>
      <c r="I362">
        <v>800</v>
      </c>
      <c r="J362">
        <v>1040</v>
      </c>
      <c r="K362">
        <v>3</v>
      </c>
      <c r="L362">
        <v>2400</v>
      </c>
      <c r="M362">
        <v>3120</v>
      </c>
      <c r="N362" t="s">
        <v>56</v>
      </c>
      <c r="O362">
        <f t="shared" si="10"/>
        <v>3315</v>
      </c>
      <c r="P362" s="13">
        <f t="shared" si="11"/>
        <v>2757859</v>
      </c>
      <c r="Q362" s="13">
        <f>SUMIFS(M:M,E:E,Online_eCommerce[[#This Row],[Status]])</f>
        <v>28620410</v>
      </c>
      <c r="R362" s="13">
        <f>SUMIFS(L:L,H:H,Online_eCommerce[[#This Row],[Brand]])</f>
        <v>10950150</v>
      </c>
      <c r="S362" s="13">
        <f>SUMIF(H:H,Online_eCommerce[[#This Row],[Brand]],M:M)</f>
        <v>14235195</v>
      </c>
      <c r="T362" s="13">
        <f>SUMIF(N:N,Online_eCommerce[[#This Row],[Assigned Supervisor]],L:L)</f>
        <v>11733610</v>
      </c>
    </row>
    <row r="363" spans="1:20" hidden="1" x14ac:dyDescent="0.3">
      <c r="A363" t="s">
        <v>695</v>
      </c>
      <c r="B363" t="s">
        <v>235</v>
      </c>
      <c r="C363" t="s">
        <v>150</v>
      </c>
      <c r="D363" t="s">
        <v>667</v>
      </c>
      <c r="E363" t="s">
        <v>96</v>
      </c>
      <c r="F363" t="s">
        <v>133</v>
      </c>
      <c r="G363" t="s">
        <v>66</v>
      </c>
      <c r="H363" t="s">
        <v>21</v>
      </c>
      <c r="I363">
        <v>600</v>
      </c>
      <c r="J363">
        <v>780</v>
      </c>
      <c r="K363">
        <v>4</v>
      </c>
      <c r="L363">
        <v>2400</v>
      </c>
      <c r="M363">
        <v>3120</v>
      </c>
      <c r="N363" t="s">
        <v>22</v>
      </c>
      <c r="O363">
        <f t="shared" si="10"/>
        <v>1690</v>
      </c>
      <c r="P363" s="13">
        <f t="shared" si="11"/>
        <v>2154984</v>
      </c>
      <c r="Q363" s="13">
        <f>SUMIFS(M:M,E:E,Online_eCommerce[[#This Row],[Status]])</f>
        <v>21233992</v>
      </c>
      <c r="R363" s="13">
        <f>SUMIFS(L:L,H:H,Online_eCommerce[[#This Row],[Brand]])</f>
        <v>12435650</v>
      </c>
      <c r="S363" s="13">
        <f>SUMIF(H:H,Online_eCommerce[[#This Row],[Brand]],M:M)</f>
        <v>16166345</v>
      </c>
      <c r="T363" s="13">
        <f>SUMIF(N:N,Online_eCommerce[[#This Row],[Assigned Supervisor]],L:L)</f>
        <v>13693220</v>
      </c>
    </row>
    <row r="364" spans="1:20" hidden="1" x14ac:dyDescent="0.3">
      <c r="A364" t="s">
        <v>696</v>
      </c>
      <c r="B364" t="s">
        <v>235</v>
      </c>
      <c r="C364" t="s">
        <v>155</v>
      </c>
      <c r="D364" t="s">
        <v>667</v>
      </c>
      <c r="E364" t="s">
        <v>18</v>
      </c>
      <c r="F364" t="s">
        <v>137</v>
      </c>
      <c r="G364" t="s">
        <v>71</v>
      </c>
      <c r="H364" t="s">
        <v>61</v>
      </c>
      <c r="I364">
        <v>10500</v>
      </c>
      <c r="J364">
        <v>13650</v>
      </c>
      <c r="K364">
        <v>1</v>
      </c>
      <c r="L364">
        <v>10500</v>
      </c>
      <c r="M364">
        <v>13650</v>
      </c>
      <c r="N364" t="s">
        <v>28</v>
      </c>
      <c r="O364">
        <f t="shared" si="10"/>
        <v>9750</v>
      </c>
      <c r="P364" s="13">
        <f t="shared" si="11"/>
        <v>2753348</v>
      </c>
      <c r="Q364" s="13">
        <f>SUMIFS(M:M,E:E,Online_eCommerce[[#This Row],[Status]])</f>
        <v>28340455</v>
      </c>
      <c r="R364" s="13">
        <f>SUMIFS(L:L,H:H,Online_eCommerce[[#This Row],[Brand]])</f>
        <v>10950150</v>
      </c>
      <c r="S364" s="13">
        <f>SUMIF(H:H,Online_eCommerce[[#This Row],[Brand]],M:M)</f>
        <v>14235195</v>
      </c>
      <c r="T364" s="13">
        <f>SUMIF(N:N,Online_eCommerce[[#This Row],[Assigned Supervisor]],L:L)</f>
        <v>12220830</v>
      </c>
    </row>
    <row r="365" spans="1:20" hidden="1" x14ac:dyDescent="0.3">
      <c r="A365" t="s">
        <v>697</v>
      </c>
      <c r="B365" t="s">
        <v>235</v>
      </c>
      <c r="C365" t="s">
        <v>160</v>
      </c>
      <c r="D365" t="s">
        <v>667</v>
      </c>
      <c r="E365" t="s">
        <v>161</v>
      </c>
      <c r="F365" t="s">
        <v>668</v>
      </c>
      <c r="G365" t="s">
        <v>77</v>
      </c>
      <c r="H365" t="s">
        <v>142</v>
      </c>
      <c r="I365">
        <v>6500</v>
      </c>
      <c r="J365">
        <v>8450</v>
      </c>
      <c r="K365">
        <v>3</v>
      </c>
      <c r="L365">
        <v>19500</v>
      </c>
      <c r="M365">
        <v>25350</v>
      </c>
      <c r="N365" t="s">
        <v>35</v>
      </c>
      <c r="O365">
        <f t="shared" si="10"/>
        <v>39000</v>
      </c>
      <c r="P365" s="13">
        <f t="shared" si="11"/>
        <v>2303483</v>
      </c>
      <c r="Q365" s="13">
        <f>SUMIFS(M:M,E:E,Online_eCommerce[[#This Row],[Status]])</f>
        <v>21103186</v>
      </c>
      <c r="R365" s="13">
        <f>SUMIFS(L:L,H:H,Online_eCommerce[[#This Row],[Brand]])</f>
        <v>6192500</v>
      </c>
      <c r="S365" s="13">
        <f>SUMIF(H:H,Online_eCommerce[[#This Row],[Brand]],M:M)</f>
        <v>8050250</v>
      </c>
      <c r="T365" s="13">
        <f>SUMIF(N:N,Online_eCommerce[[#This Row],[Assigned Supervisor]],L:L)</f>
        <v>14373360</v>
      </c>
    </row>
    <row r="366" spans="1:20" x14ac:dyDescent="0.3">
      <c r="A366" t="s">
        <v>698</v>
      </c>
      <c r="B366" t="s">
        <v>235</v>
      </c>
      <c r="C366" t="s">
        <v>165</v>
      </c>
      <c r="D366" t="s">
        <v>667</v>
      </c>
      <c r="E366" t="s">
        <v>46</v>
      </c>
      <c r="F366" t="s">
        <v>699</v>
      </c>
      <c r="G366" t="s">
        <v>20</v>
      </c>
      <c r="H366" t="s">
        <v>21</v>
      </c>
      <c r="I366">
        <v>4500</v>
      </c>
      <c r="J366">
        <v>5850</v>
      </c>
      <c r="K366">
        <v>3</v>
      </c>
      <c r="L366">
        <v>13500</v>
      </c>
      <c r="M366">
        <v>17550</v>
      </c>
      <c r="N366" t="s">
        <v>42</v>
      </c>
      <c r="O366">
        <f t="shared" si="10"/>
        <v>8450</v>
      </c>
      <c r="P366" s="13">
        <f t="shared" si="11"/>
        <v>2674087</v>
      </c>
      <c r="Q366" s="13">
        <f>SUMIFS(M:M,E:E,Online_eCommerce[[#This Row],[Status]])</f>
        <v>28620410</v>
      </c>
      <c r="R366" s="13">
        <f>SUMIFS(L:L,H:H,Online_eCommerce[[#This Row],[Brand]])</f>
        <v>12435650</v>
      </c>
      <c r="S366" s="13">
        <f>SUMIF(H:H,Online_eCommerce[[#This Row],[Brand]],M:M)</f>
        <v>16166345</v>
      </c>
      <c r="T366" s="13">
        <f>SUMIF(N:N,Online_eCommerce[[#This Row],[Assigned Supervisor]],L:L)</f>
        <v>12261500</v>
      </c>
    </row>
    <row r="367" spans="1:20" hidden="1" x14ac:dyDescent="0.3">
      <c r="A367" t="s">
        <v>700</v>
      </c>
      <c r="B367" t="s">
        <v>235</v>
      </c>
      <c r="C367" t="s">
        <v>168</v>
      </c>
      <c r="D367" t="s">
        <v>667</v>
      </c>
      <c r="E367" t="s">
        <v>96</v>
      </c>
      <c r="F367" t="s">
        <v>152</v>
      </c>
      <c r="G367" t="s">
        <v>26</v>
      </c>
      <c r="H367" t="s">
        <v>27</v>
      </c>
      <c r="I367">
        <v>8500</v>
      </c>
      <c r="J367">
        <v>11050</v>
      </c>
      <c r="K367">
        <v>3</v>
      </c>
      <c r="L367">
        <v>25500</v>
      </c>
      <c r="M367">
        <v>33150</v>
      </c>
      <c r="N367" t="s">
        <v>50</v>
      </c>
      <c r="O367">
        <f t="shared" si="10"/>
        <v>33150</v>
      </c>
      <c r="P367" s="13">
        <f t="shared" si="11"/>
        <v>1937780</v>
      </c>
      <c r="Q367" s="13">
        <f>SUMIFS(M:M,E:E,Online_eCommerce[[#This Row],[Status]])</f>
        <v>21233992</v>
      </c>
      <c r="R367" s="13">
        <f>SUMIFS(L:L,H:H,Online_eCommerce[[#This Row],[Brand]])</f>
        <v>14431000</v>
      </c>
      <c r="S367" s="13">
        <f>SUMIF(H:H,Online_eCommerce[[#This Row],[Brand]],M:M)</f>
        <v>18760300</v>
      </c>
      <c r="T367" s="13">
        <f>SUMIF(N:N,Online_eCommerce[[#This Row],[Assigned Supervisor]],L:L)</f>
        <v>12100590</v>
      </c>
    </row>
    <row r="368" spans="1:20" hidden="1" x14ac:dyDescent="0.3">
      <c r="A368" t="s">
        <v>701</v>
      </c>
      <c r="B368" t="s">
        <v>235</v>
      </c>
      <c r="C368" t="s">
        <v>172</v>
      </c>
      <c r="D368" t="s">
        <v>667</v>
      </c>
      <c r="E368" t="s">
        <v>18</v>
      </c>
      <c r="F368" t="s">
        <v>157</v>
      </c>
      <c r="G368" t="s">
        <v>33</v>
      </c>
      <c r="H368" t="s">
        <v>34</v>
      </c>
      <c r="I368">
        <v>12500</v>
      </c>
      <c r="J368">
        <v>16250</v>
      </c>
      <c r="K368">
        <v>3</v>
      </c>
      <c r="L368">
        <v>37500</v>
      </c>
      <c r="M368">
        <v>48750</v>
      </c>
      <c r="N368" t="s">
        <v>56</v>
      </c>
      <c r="O368">
        <f t="shared" si="10"/>
        <v>18200</v>
      </c>
      <c r="P368" s="13">
        <f t="shared" si="11"/>
        <v>2640274</v>
      </c>
      <c r="Q368" s="13">
        <f>SUMIFS(M:M,E:E,Online_eCommerce[[#This Row],[Status]])</f>
        <v>28340455</v>
      </c>
      <c r="R368" s="13">
        <f>SUMIFS(L:L,H:H,Online_eCommerce[[#This Row],[Brand]])</f>
        <v>10087000</v>
      </c>
      <c r="S368" s="13">
        <f>SUMIF(H:H,Online_eCommerce[[#This Row],[Brand]],M:M)</f>
        <v>13113100</v>
      </c>
      <c r="T368" s="13">
        <f>SUMIF(N:N,Online_eCommerce[[#This Row],[Assigned Supervisor]],L:L)</f>
        <v>11733610</v>
      </c>
    </row>
    <row r="369" spans="1:20" hidden="1" x14ac:dyDescent="0.3">
      <c r="A369" t="s">
        <v>702</v>
      </c>
      <c r="B369" t="s">
        <v>235</v>
      </c>
      <c r="C369" t="s">
        <v>177</v>
      </c>
      <c r="D369" t="s">
        <v>667</v>
      </c>
      <c r="E369" t="s">
        <v>161</v>
      </c>
      <c r="F369" t="s">
        <v>350</v>
      </c>
      <c r="G369" t="s">
        <v>256</v>
      </c>
      <c r="H369" t="s">
        <v>41</v>
      </c>
      <c r="I369">
        <v>3500</v>
      </c>
      <c r="J369">
        <v>4550</v>
      </c>
      <c r="K369">
        <v>2</v>
      </c>
      <c r="L369">
        <v>7000</v>
      </c>
      <c r="M369">
        <v>9100</v>
      </c>
      <c r="N369" t="s">
        <v>22</v>
      </c>
      <c r="O369">
        <f t="shared" si="10"/>
        <v>9100</v>
      </c>
      <c r="P369" s="13">
        <f t="shared" si="11"/>
        <v>1863810</v>
      </c>
      <c r="Q369" s="13">
        <f>SUMIFS(M:M,E:E,Online_eCommerce[[#This Row],[Status]])</f>
        <v>21103186</v>
      </c>
      <c r="R369" s="13">
        <f>SUMIFS(L:L,H:H,Online_eCommerce[[#This Row],[Brand]])</f>
        <v>4260400</v>
      </c>
      <c r="S369" s="13">
        <f>SUMIF(H:H,Online_eCommerce[[#This Row],[Brand]],M:M)</f>
        <v>5538520</v>
      </c>
      <c r="T369" s="13">
        <f>SUMIF(N:N,Online_eCommerce[[#This Row],[Assigned Supervisor]],L:L)</f>
        <v>13693220</v>
      </c>
    </row>
    <row r="370" spans="1:20" x14ac:dyDescent="0.3">
      <c r="A370" t="s">
        <v>703</v>
      </c>
      <c r="B370" t="s">
        <v>235</v>
      </c>
      <c r="C370" t="s">
        <v>181</v>
      </c>
      <c r="D370" t="s">
        <v>667</v>
      </c>
      <c r="E370" t="s">
        <v>46</v>
      </c>
      <c r="F370" t="s">
        <v>166</v>
      </c>
      <c r="G370" t="s">
        <v>259</v>
      </c>
      <c r="H370" t="s">
        <v>49</v>
      </c>
      <c r="I370">
        <v>4500</v>
      </c>
      <c r="J370">
        <v>5850</v>
      </c>
      <c r="K370">
        <v>3</v>
      </c>
      <c r="L370">
        <v>13500</v>
      </c>
      <c r="M370">
        <v>17550</v>
      </c>
      <c r="N370" t="s">
        <v>28</v>
      </c>
      <c r="O370">
        <f t="shared" si="10"/>
        <v>11700</v>
      </c>
      <c r="P370" s="13">
        <f t="shared" si="11"/>
        <v>2577458</v>
      </c>
      <c r="Q370" s="13">
        <f>SUMIFS(M:M,E:E,Online_eCommerce[[#This Row],[Status]])</f>
        <v>28620410</v>
      </c>
      <c r="R370" s="13">
        <f>SUMIFS(L:L,H:H,Online_eCommerce[[#This Row],[Brand]])</f>
        <v>4528350</v>
      </c>
      <c r="S370" s="13">
        <f>SUMIF(H:H,Online_eCommerce[[#This Row],[Brand]],M:M)</f>
        <v>5886855</v>
      </c>
      <c r="T370" s="13">
        <f>SUMIF(N:N,Online_eCommerce[[#This Row],[Assigned Supervisor]],L:L)</f>
        <v>12220830</v>
      </c>
    </row>
    <row r="371" spans="1:20" hidden="1" x14ac:dyDescent="0.3">
      <c r="A371" t="s">
        <v>704</v>
      </c>
      <c r="B371" t="s">
        <v>235</v>
      </c>
      <c r="C371" t="s">
        <v>185</v>
      </c>
      <c r="D371" t="s">
        <v>667</v>
      </c>
      <c r="E371" t="s">
        <v>96</v>
      </c>
      <c r="F371" t="s">
        <v>705</v>
      </c>
      <c r="G371" t="s">
        <v>54</v>
      </c>
      <c r="H371" t="s">
        <v>55</v>
      </c>
      <c r="I371">
        <v>2100</v>
      </c>
      <c r="J371">
        <v>2730</v>
      </c>
      <c r="K371">
        <v>3</v>
      </c>
      <c r="L371">
        <v>6300</v>
      </c>
      <c r="M371">
        <v>8190</v>
      </c>
      <c r="N371" t="s">
        <v>35</v>
      </c>
      <c r="O371">
        <f t="shared" si="10"/>
        <v>2990</v>
      </c>
      <c r="P371" s="13">
        <f t="shared" si="11"/>
        <v>2091596</v>
      </c>
      <c r="Q371" s="13">
        <f>SUMIFS(M:M,E:E,Online_eCommerce[[#This Row],[Status]])</f>
        <v>21233992</v>
      </c>
      <c r="R371" s="13">
        <f>SUMIFS(L:L,H:H,Online_eCommerce[[#This Row],[Brand]])</f>
        <v>2267380</v>
      </c>
      <c r="S371" s="13">
        <f>SUMIF(H:H,Online_eCommerce[[#This Row],[Brand]],M:M)</f>
        <v>2947594</v>
      </c>
      <c r="T371" s="13">
        <f>SUMIF(N:N,Online_eCommerce[[#This Row],[Assigned Supervisor]],L:L)</f>
        <v>14373360</v>
      </c>
    </row>
    <row r="372" spans="1:20" hidden="1" x14ac:dyDescent="0.3">
      <c r="A372" t="s">
        <v>706</v>
      </c>
      <c r="B372" t="s">
        <v>235</v>
      </c>
      <c r="C372" t="s">
        <v>189</v>
      </c>
      <c r="D372" t="s">
        <v>667</v>
      </c>
      <c r="E372" t="s">
        <v>18</v>
      </c>
      <c r="F372" t="s">
        <v>174</v>
      </c>
      <c r="G372" t="s">
        <v>60</v>
      </c>
      <c r="H372" t="s">
        <v>61</v>
      </c>
      <c r="I372">
        <v>1150</v>
      </c>
      <c r="J372">
        <v>1495</v>
      </c>
      <c r="K372">
        <v>4</v>
      </c>
      <c r="L372">
        <v>4600</v>
      </c>
      <c r="M372">
        <v>5980</v>
      </c>
      <c r="N372" t="s">
        <v>42</v>
      </c>
      <c r="O372">
        <f t="shared" si="10"/>
        <v>3315</v>
      </c>
      <c r="P372" s="13">
        <f t="shared" si="11"/>
        <v>2740777</v>
      </c>
      <c r="Q372" s="13">
        <f>SUMIFS(M:M,E:E,Online_eCommerce[[#This Row],[Status]])</f>
        <v>28340455</v>
      </c>
      <c r="R372" s="13">
        <f>SUMIFS(L:L,H:H,Online_eCommerce[[#This Row],[Brand]])</f>
        <v>10950150</v>
      </c>
      <c r="S372" s="13">
        <f>SUMIF(H:H,Online_eCommerce[[#This Row],[Brand]],M:M)</f>
        <v>14235195</v>
      </c>
      <c r="T372" s="13">
        <f>SUMIF(N:N,Online_eCommerce[[#This Row],[Assigned Supervisor]],L:L)</f>
        <v>12261500</v>
      </c>
    </row>
    <row r="373" spans="1:20" hidden="1" x14ac:dyDescent="0.3">
      <c r="A373" t="s">
        <v>707</v>
      </c>
      <c r="B373" t="s">
        <v>235</v>
      </c>
      <c r="C373" t="s">
        <v>193</v>
      </c>
      <c r="D373" t="s">
        <v>667</v>
      </c>
      <c r="E373" t="s">
        <v>161</v>
      </c>
      <c r="F373" t="s">
        <v>179</v>
      </c>
      <c r="G373" t="s">
        <v>66</v>
      </c>
      <c r="H373" t="s">
        <v>21</v>
      </c>
      <c r="I373">
        <v>350</v>
      </c>
      <c r="J373">
        <v>455</v>
      </c>
      <c r="K373">
        <v>3</v>
      </c>
      <c r="L373">
        <v>1050</v>
      </c>
      <c r="M373">
        <v>1365</v>
      </c>
      <c r="N373" t="s">
        <v>50</v>
      </c>
      <c r="O373">
        <f t="shared" si="10"/>
        <v>1690</v>
      </c>
      <c r="P373" s="13">
        <f t="shared" si="11"/>
        <v>2074774</v>
      </c>
      <c r="Q373" s="13">
        <f>SUMIFS(M:M,E:E,Online_eCommerce[[#This Row],[Status]])</f>
        <v>21103186</v>
      </c>
      <c r="R373" s="13">
        <f>SUMIFS(L:L,H:H,Online_eCommerce[[#This Row],[Brand]])</f>
        <v>12435650</v>
      </c>
      <c r="S373" s="13">
        <f>SUMIF(H:H,Online_eCommerce[[#This Row],[Brand]],M:M)</f>
        <v>16166345</v>
      </c>
      <c r="T373" s="13">
        <f>SUMIF(N:N,Online_eCommerce[[#This Row],[Assigned Supervisor]],L:L)</f>
        <v>12100590</v>
      </c>
    </row>
    <row r="374" spans="1:20" x14ac:dyDescent="0.3">
      <c r="A374" t="s">
        <v>708</v>
      </c>
      <c r="B374" t="s">
        <v>235</v>
      </c>
      <c r="C374" t="s">
        <v>197</v>
      </c>
      <c r="D374" t="s">
        <v>667</v>
      </c>
      <c r="E374" t="s">
        <v>46</v>
      </c>
      <c r="F374" t="s">
        <v>183</v>
      </c>
      <c r="G374" t="s">
        <v>71</v>
      </c>
      <c r="H374" t="s">
        <v>61</v>
      </c>
      <c r="I374">
        <v>9500</v>
      </c>
      <c r="J374">
        <v>12350</v>
      </c>
      <c r="K374">
        <v>4</v>
      </c>
      <c r="L374">
        <v>38000</v>
      </c>
      <c r="M374">
        <v>49400</v>
      </c>
      <c r="N374" t="s">
        <v>56</v>
      </c>
      <c r="O374">
        <f t="shared" si="10"/>
        <v>9750</v>
      </c>
      <c r="P374" s="13">
        <f t="shared" si="11"/>
        <v>2829840</v>
      </c>
      <c r="Q374" s="13">
        <f>SUMIFS(M:M,E:E,Online_eCommerce[[#This Row],[Status]])</f>
        <v>28620410</v>
      </c>
      <c r="R374" s="13">
        <f>SUMIFS(L:L,H:H,Online_eCommerce[[#This Row],[Brand]])</f>
        <v>10950150</v>
      </c>
      <c r="S374" s="13">
        <f>SUMIF(H:H,Online_eCommerce[[#This Row],[Brand]],M:M)</f>
        <v>14235195</v>
      </c>
      <c r="T374" s="13">
        <f>SUMIF(N:N,Online_eCommerce[[#This Row],[Assigned Supervisor]],L:L)</f>
        <v>11733610</v>
      </c>
    </row>
    <row r="375" spans="1:20" hidden="1" x14ac:dyDescent="0.3">
      <c r="A375" t="s">
        <v>709</v>
      </c>
      <c r="B375" t="s">
        <v>235</v>
      </c>
      <c r="C375" t="s">
        <v>199</v>
      </c>
      <c r="D375" t="s">
        <v>667</v>
      </c>
      <c r="E375" t="s">
        <v>96</v>
      </c>
      <c r="F375" t="s">
        <v>710</v>
      </c>
      <c r="G375" t="s">
        <v>77</v>
      </c>
      <c r="H375" t="s">
        <v>142</v>
      </c>
      <c r="I375">
        <v>10000</v>
      </c>
      <c r="J375">
        <v>13000</v>
      </c>
      <c r="K375">
        <v>1</v>
      </c>
      <c r="L375">
        <v>10000</v>
      </c>
      <c r="M375">
        <v>13000</v>
      </c>
      <c r="N375" t="s">
        <v>22</v>
      </c>
      <c r="O375">
        <f t="shared" si="10"/>
        <v>39000</v>
      </c>
      <c r="P375" s="13">
        <f t="shared" si="11"/>
        <v>1947361</v>
      </c>
      <c r="Q375" s="13">
        <f>SUMIFS(M:M,E:E,Online_eCommerce[[#This Row],[Status]])</f>
        <v>21233992</v>
      </c>
      <c r="R375" s="13">
        <f>SUMIFS(L:L,H:H,Online_eCommerce[[#This Row],[Brand]])</f>
        <v>6192500</v>
      </c>
      <c r="S375" s="13">
        <f>SUMIF(H:H,Online_eCommerce[[#This Row],[Brand]],M:M)</f>
        <v>8050250</v>
      </c>
      <c r="T375" s="13">
        <f>SUMIF(N:N,Online_eCommerce[[#This Row],[Assigned Supervisor]],L:L)</f>
        <v>13693220</v>
      </c>
    </row>
    <row r="376" spans="1:20" hidden="1" x14ac:dyDescent="0.3">
      <c r="A376" t="s">
        <v>711</v>
      </c>
      <c r="B376" t="s">
        <v>235</v>
      </c>
      <c r="C376" t="s">
        <v>203</v>
      </c>
      <c r="D376" t="s">
        <v>667</v>
      </c>
      <c r="E376" t="s">
        <v>18</v>
      </c>
      <c r="F376" t="s">
        <v>712</v>
      </c>
      <c r="G376" t="s">
        <v>20</v>
      </c>
      <c r="H376" t="s">
        <v>21</v>
      </c>
      <c r="I376">
        <v>6500</v>
      </c>
      <c r="J376">
        <v>8450</v>
      </c>
      <c r="K376">
        <v>4</v>
      </c>
      <c r="L376">
        <v>26000</v>
      </c>
      <c r="M376">
        <v>33800</v>
      </c>
      <c r="N376" t="s">
        <v>28</v>
      </c>
      <c r="O376">
        <f t="shared" si="10"/>
        <v>8450</v>
      </c>
      <c r="P376" s="13">
        <f t="shared" si="11"/>
        <v>2559635</v>
      </c>
      <c r="Q376" s="13">
        <f>SUMIFS(M:M,E:E,Online_eCommerce[[#This Row],[Status]])</f>
        <v>28340455</v>
      </c>
      <c r="R376" s="13">
        <f>SUMIFS(L:L,H:H,Online_eCommerce[[#This Row],[Brand]])</f>
        <v>12435650</v>
      </c>
      <c r="S376" s="13">
        <f>SUMIF(H:H,Online_eCommerce[[#This Row],[Brand]],M:M)</f>
        <v>16166345</v>
      </c>
      <c r="T376" s="13">
        <f>SUMIF(N:N,Online_eCommerce[[#This Row],[Assigned Supervisor]],L:L)</f>
        <v>12220830</v>
      </c>
    </row>
    <row r="377" spans="1:20" hidden="1" x14ac:dyDescent="0.3">
      <c r="A377" t="s">
        <v>713</v>
      </c>
      <c r="B377" t="s">
        <v>235</v>
      </c>
      <c r="C377" t="s">
        <v>205</v>
      </c>
      <c r="D377" t="s">
        <v>667</v>
      </c>
      <c r="E377" t="s">
        <v>161</v>
      </c>
      <c r="F377" t="s">
        <v>714</v>
      </c>
      <c r="G377" t="s">
        <v>26</v>
      </c>
      <c r="H377" t="s">
        <v>27</v>
      </c>
      <c r="I377">
        <v>8500</v>
      </c>
      <c r="J377">
        <v>11050</v>
      </c>
      <c r="K377">
        <v>2</v>
      </c>
      <c r="L377">
        <v>17000</v>
      </c>
      <c r="M377">
        <v>22100</v>
      </c>
      <c r="N377" t="s">
        <v>35</v>
      </c>
      <c r="O377">
        <f t="shared" si="10"/>
        <v>33150</v>
      </c>
      <c r="P377" s="13">
        <f t="shared" si="11"/>
        <v>1983254</v>
      </c>
      <c r="Q377" s="13">
        <f>SUMIFS(M:M,E:E,Online_eCommerce[[#This Row],[Status]])</f>
        <v>21103186</v>
      </c>
      <c r="R377" s="13">
        <f>SUMIFS(L:L,H:H,Online_eCommerce[[#This Row],[Brand]])</f>
        <v>14431000</v>
      </c>
      <c r="S377" s="13">
        <f>SUMIF(H:H,Online_eCommerce[[#This Row],[Brand]],M:M)</f>
        <v>18760300</v>
      </c>
      <c r="T377" s="13">
        <f>SUMIF(N:N,Online_eCommerce[[#This Row],[Assigned Supervisor]],L:L)</f>
        <v>14373360</v>
      </c>
    </row>
    <row r="378" spans="1:20" x14ac:dyDescent="0.3">
      <c r="A378" t="s">
        <v>715</v>
      </c>
      <c r="B378" t="s">
        <v>235</v>
      </c>
      <c r="C378" t="s">
        <v>208</v>
      </c>
      <c r="D378" t="s">
        <v>667</v>
      </c>
      <c r="E378" t="s">
        <v>46</v>
      </c>
      <c r="F378" t="s">
        <v>32</v>
      </c>
      <c r="G378" t="s">
        <v>33</v>
      </c>
      <c r="H378" t="s">
        <v>34</v>
      </c>
      <c r="I378">
        <v>7000</v>
      </c>
      <c r="J378">
        <v>9100</v>
      </c>
      <c r="K378">
        <v>1</v>
      </c>
      <c r="L378">
        <v>7000</v>
      </c>
      <c r="M378">
        <v>9100</v>
      </c>
      <c r="N378" t="s">
        <v>42</v>
      </c>
      <c r="O378">
        <f t="shared" si="10"/>
        <v>18200</v>
      </c>
      <c r="P378" s="13">
        <f t="shared" si="11"/>
        <v>2746575</v>
      </c>
      <c r="Q378" s="13">
        <f>SUMIFS(M:M,E:E,Online_eCommerce[[#This Row],[Status]])</f>
        <v>28620410</v>
      </c>
      <c r="R378" s="13">
        <f>SUMIFS(L:L,H:H,Online_eCommerce[[#This Row],[Brand]])</f>
        <v>10087000</v>
      </c>
      <c r="S378" s="13">
        <f>SUMIF(H:H,Online_eCommerce[[#This Row],[Brand]],M:M)</f>
        <v>13113100</v>
      </c>
      <c r="T378" s="13">
        <f>SUMIF(N:N,Online_eCommerce[[#This Row],[Assigned Supervisor]],L:L)</f>
        <v>12261500</v>
      </c>
    </row>
    <row r="379" spans="1:20" hidden="1" x14ac:dyDescent="0.3">
      <c r="A379" t="s">
        <v>716</v>
      </c>
      <c r="B379" t="s">
        <v>235</v>
      </c>
      <c r="C379" t="s">
        <v>211</v>
      </c>
      <c r="D379" t="s">
        <v>667</v>
      </c>
      <c r="E379" t="s">
        <v>96</v>
      </c>
      <c r="F379" t="s">
        <v>717</v>
      </c>
      <c r="G379" t="s">
        <v>256</v>
      </c>
      <c r="H379" t="s">
        <v>41</v>
      </c>
      <c r="I379">
        <v>6550</v>
      </c>
      <c r="J379">
        <v>8515</v>
      </c>
      <c r="K379">
        <v>3</v>
      </c>
      <c r="L379">
        <v>19650</v>
      </c>
      <c r="M379">
        <v>25545</v>
      </c>
      <c r="N379" t="s">
        <v>50</v>
      </c>
      <c r="O379">
        <f t="shared" si="10"/>
        <v>9100</v>
      </c>
      <c r="P379" s="13">
        <f t="shared" si="11"/>
        <v>1809847</v>
      </c>
      <c r="Q379" s="13">
        <f>SUMIFS(M:M,E:E,Online_eCommerce[[#This Row],[Status]])</f>
        <v>21233992</v>
      </c>
      <c r="R379" s="13">
        <f>SUMIFS(L:L,H:H,Online_eCommerce[[#This Row],[Brand]])</f>
        <v>4260400</v>
      </c>
      <c r="S379" s="13">
        <f>SUMIF(H:H,Online_eCommerce[[#This Row],[Brand]],M:M)</f>
        <v>5538520</v>
      </c>
      <c r="T379" s="13">
        <f>SUMIF(N:N,Online_eCommerce[[#This Row],[Assigned Supervisor]],L:L)</f>
        <v>12100590</v>
      </c>
    </row>
    <row r="380" spans="1:20" hidden="1" x14ac:dyDescent="0.3">
      <c r="A380" t="s">
        <v>718</v>
      </c>
      <c r="B380" t="s">
        <v>235</v>
      </c>
      <c r="C380" t="s">
        <v>16</v>
      </c>
      <c r="D380" t="s">
        <v>667</v>
      </c>
      <c r="E380" t="s">
        <v>18</v>
      </c>
      <c r="F380" t="s">
        <v>47</v>
      </c>
      <c r="G380" t="s">
        <v>259</v>
      </c>
      <c r="H380" t="s">
        <v>49</v>
      </c>
      <c r="I380">
        <v>7650</v>
      </c>
      <c r="J380">
        <v>9945</v>
      </c>
      <c r="K380">
        <v>1</v>
      </c>
      <c r="L380">
        <v>7650</v>
      </c>
      <c r="M380">
        <v>9945</v>
      </c>
      <c r="N380" t="s">
        <v>56</v>
      </c>
      <c r="O380">
        <f t="shared" si="10"/>
        <v>11700</v>
      </c>
      <c r="P380" s="13">
        <f t="shared" si="11"/>
        <v>2751814</v>
      </c>
      <c r="Q380" s="13">
        <f>SUMIFS(M:M,E:E,Online_eCommerce[[#This Row],[Status]])</f>
        <v>28340455</v>
      </c>
      <c r="R380" s="13">
        <f>SUMIFS(L:L,H:H,Online_eCommerce[[#This Row],[Brand]])</f>
        <v>4528350</v>
      </c>
      <c r="S380" s="13">
        <f>SUMIF(H:H,Online_eCommerce[[#This Row],[Brand]],M:M)</f>
        <v>5886855</v>
      </c>
      <c r="T380" s="13">
        <f>SUMIF(N:N,Online_eCommerce[[#This Row],[Assigned Supervisor]],L:L)</f>
        <v>11733610</v>
      </c>
    </row>
    <row r="381" spans="1:20" hidden="1" x14ac:dyDescent="0.3">
      <c r="A381" t="s">
        <v>719</v>
      </c>
      <c r="B381" t="s">
        <v>235</v>
      </c>
      <c r="C381" t="s">
        <v>24</v>
      </c>
      <c r="D381" t="s">
        <v>667</v>
      </c>
      <c r="E381" t="s">
        <v>161</v>
      </c>
      <c r="F381" t="s">
        <v>53</v>
      </c>
      <c r="G381" t="s">
        <v>54</v>
      </c>
      <c r="H381" t="s">
        <v>55</v>
      </c>
      <c r="I381">
        <v>1150</v>
      </c>
      <c r="J381">
        <v>1495</v>
      </c>
      <c r="K381">
        <v>3</v>
      </c>
      <c r="L381">
        <v>3450</v>
      </c>
      <c r="M381">
        <v>4485</v>
      </c>
      <c r="N381" t="s">
        <v>22</v>
      </c>
      <c r="O381">
        <f t="shared" si="10"/>
        <v>2990</v>
      </c>
      <c r="P381" s="13">
        <f t="shared" si="11"/>
        <v>2009540</v>
      </c>
      <c r="Q381" s="13">
        <f>SUMIFS(M:M,E:E,Online_eCommerce[[#This Row],[Status]])</f>
        <v>21103186</v>
      </c>
      <c r="R381" s="13">
        <f>SUMIFS(L:L,H:H,Online_eCommerce[[#This Row],[Brand]])</f>
        <v>2267380</v>
      </c>
      <c r="S381" s="13">
        <f>SUMIF(H:H,Online_eCommerce[[#This Row],[Brand]],M:M)</f>
        <v>2947594</v>
      </c>
      <c r="T381" s="13">
        <f>SUMIF(N:N,Online_eCommerce[[#This Row],[Assigned Supervisor]],L:L)</f>
        <v>13693220</v>
      </c>
    </row>
    <row r="382" spans="1:20" x14ac:dyDescent="0.3">
      <c r="A382" t="s">
        <v>720</v>
      </c>
      <c r="B382" t="s">
        <v>235</v>
      </c>
      <c r="C382" t="s">
        <v>31</v>
      </c>
      <c r="D382" t="s">
        <v>667</v>
      </c>
      <c r="E382" t="s">
        <v>46</v>
      </c>
      <c r="F382" t="s">
        <v>59</v>
      </c>
      <c r="G382" t="s">
        <v>60</v>
      </c>
      <c r="H382" t="s">
        <v>61</v>
      </c>
      <c r="I382">
        <v>850</v>
      </c>
      <c r="J382">
        <v>1105</v>
      </c>
      <c r="K382">
        <v>4</v>
      </c>
      <c r="L382">
        <v>3400</v>
      </c>
      <c r="M382">
        <v>4420</v>
      </c>
      <c r="N382" t="s">
        <v>28</v>
      </c>
      <c r="O382">
        <f t="shared" si="10"/>
        <v>3315</v>
      </c>
      <c r="P382" s="13">
        <f t="shared" si="11"/>
        <v>2865746</v>
      </c>
      <c r="Q382" s="13">
        <f>SUMIFS(M:M,E:E,Online_eCommerce[[#This Row],[Status]])</f>
        <v>28620410</v>
      </c>
      <c r="R382" s="13">
        <f>SUMIFS(L:L,H:H,Online_eCommerce[[#This Row],[Brand]])</f>
        <v>10950150</v>
      </c>
      <c r="S382" s="13">
        <f>SUMIF(H:H,Online_eCommerce[[#This Row],[Brand]],M:M)</f>
        <v>14235195</v>
      </c>
      <c r="T382" s="13">
        <f>SUMIF(N:N,Online_eCommerce[[#This Row],[Assigned Supervisor]],L:L)</f>
        <v>12220830</v>
      </c>
    </row>
    <row r="383" spans="1:20" hidden="1" x14ac:dyDescent="0.3">
      <c r="A383" t="s">
        <v>721</v>
      </c>
      <c r="B383" t="s">
        <v>235</v>
      </c>
      <c r="C383" t="s">
        <v>38</v>
      </c>
      <c r="D383" t="s">
        <v>667</v>
      </c>
      <c r="E383" t="s">
        <v>96</v>
      </c>
      <c r="F383" t="s">
        <v>65</v>
      </c>
      <c r="G383" t="s">
        <v>66</v>
      </c>
      <c r="H383" t="s">
        <v>21</v>
      </c>
      <c r="I383">
        <v>650</v>
      </c>
      <c r="J383">
        <v>845</v>
      </c>
      <c r="K383">
        <v>4</v>
      </c>
      <c r="L383">
        <v>2600</v>
      </c>
      <c r="M383">
        <v>3380</v>
      </c>
      <c r="N383" t="s">
        <v>35</v>
      </c>
      <c r="O383">
        <f t="shared" si="10"/>
        <v>1690</v>
      </c>
      <c r="P383" s="13">
        <f t="shared" si="11"/>
        <v>1933997</v>
      </c>
      <c r="Q383" s="13">
        <f>SUMIFS(M:M,E:E,Online_eCommerce[[#This Row],[Status]])</f>
        <v>21233992</v>
      </c>
      <c r="R383" s="13">
        <f>SUMIFS(L:L,H:H,Online_eCommerce[[#This Row],[Brand]])</f>
        <v>12435650</v>
      </c>
      <c r="S383" s="13">
        <f>SUMIF(H:H,Online_eCommerce[[#This Row],[Brand]],M:M)</f>
        <v>16166345</v>
      </c>
      <c r="T383" s="13">
        <f>SUMIF(N:N,Online_eCommerce[[#This Row],[Assigned Supervisor]],L:L)</f>
        <v>14373360</v>
      </c>
    </row>
    <row r="384" spans="1:20" hidden="1" x14ac:dyDescent="0.3">
      <c r="A384" t="s">
        <v>722</v>
      </c>
      <c r="B384" t="s">
        <v>235</v>
      </c>
      <c r="C384" t="s">
        <v>45</v>
      </c>
      <c r="D384" t="s">
        <v>667</v>
      </c>
      <c r="E384" t="s">
        <v>18</v>
      </c>
      <c r="F384" t="s">
        <v>70</v>
      </c>
      <c r="G384" t="s">
        <v>71</v>
      </c>
      <c r="H384" t="s">
        <v>61</v>
      </c>
      <c r="I384">
        <v>7500</v>
      </c>
      <c r="J384">
        <v>9750</v>
      </c>
      <c r="K384">
        <v>2</v>
      </c>
      <c r="L384">
        <v>15000</v>
      </c>
      <c r="M384">
        <v>19500</v>
      </c>
      <c r="N384" t="s">
        <v>42</v>
      </c>
      <c r="O384">
        <f t="shared" si="10"/>
        <v>9750</v>
      </c>
      <c r="P384" s="13">
        <f t="shared" si="11"/>
        <v>2842554</v>
      </c>
      <c r="Q384" s="13">
        <f>SUMIFS(M:M,E:E,Online_eCommerce[[#This Row],[Status]])</f>
        <v>28340455</v>
      </c>
      <c r="R384" s="13">
        <f>SUMIFS(L:L,H:H,Online_eCommerce[[#This Row],[Brand]])</f>
        <v>10950150</v>
      </c>
      <c r="S384" s="13">
        <f>SUMIF(H:H,Online_eCommerce[[#This Row],[Brand]],M:M)</f>
        <v>14235195</v>
      </c>
      <c r="T384" s="13">
        <f>SUMIF(N:N,Online_eCommerce[[#This Row],[Assigned Supervisor]],L:L)</f>
        <v>12261500</v>
      </c>
    </row>
    <row r="385" spans="1:20" hidden="1" x14ac:dyDescent="0.3">
      <c r="A385" t="s">
        <v>723</v>
      </c>
      <c r="B385" t="s">
        <v>235</v>
      </c>
      <c r="C385" t="s">
        <v>52</v>
      </c>
      <c r="D385" t="s">
        <v>667</v>
      </c>
      <c r="E385" t="s">
        <v>161</v>
      </c>
      <c r="F385" t="s">
        <v>710</v>
      </c>
      <c r="G385" t="s">
        <v>77</v>
      </c>
      <c r="H385" t="s">
        <v>78</v>
      </c>
      <c r="I385">
        <v>10000</v>
      </c>
      <c r="J385">
        <v>13000</v>
      </c>
      <c r="K385">
        <v>1</v>
      </c>
      <c r="L385">
        <v>10000</v>
      </c>
      <c r="M385">
        <v>13000</v>
      </c>
      <c r="N385" t="s">
        <v>50</v>
      </c>
      <c r="O385">
        <f t="shared" si="10"/>
        <v>39000</v>
      </c>
      <c r="P385" s="13">
        <f t="shared" si="11"/>
        <v>1955044</v>
      </c>
      <c r="Q385" s="13">
        <f>SUMIFS(M:M,E:E,Online_eCommerce[[#This Row],[Status]])</f>
        <v>21103186</v>
      </c>
      <c r="R385" s="13">
        <f>SUMIFS(L:L,H:H,Online_eCommerce[[#This Row],[Brand]])</f>
        <v>3720000</v>
      </c>
      <c r="S385" s="13">
        <f>SUMIF(H:H,Online_eCommerce[[#This Row],[Brand]],M:M)</f>
        <v>4836000</v>
      </c>
      <c r="T385" s="13">
        <f>SUMIF(N:N,Online_eCommerce[[#This Row],[Assigned Supervisor]],L:L)</f>
        <v>12100590</v>
      </c>
    </row>
    <row r="386" spans="1:20" x14ac:dyDescent="0.3">
      <c r="A386" t="s">
        <v>724</v>
      </c>
      <c r="B386" t="s">
        <v>235</v>
      </c>
      <c r="C386" t="s">
        <v>58</v>
      </c>
      <c r="D386" t="s">
        <v>667</v>
      </c>
      <c r="E386" t="s">
        <v>46</v>
      </c>
      <c r="F386" t="s">
        <v>725</v>
      </c>
      <c r="G386" t="s">
        <v>20</v>
      </c>
      <c r="H386" t="s">
        <v>21</v>
      </c>
      <c r="I386">
        <v>10500</v>
      </c>
      <c r="J386">
        <v>13650</v>
      </c>
      <c r="K386">
        <v>1</v>
      </c>
      <c r="L386">
        <v>10500</v>
      </c>
      <c r="M386">
        <v>13650</v>
      </c>
      <c r="N386" t="s">
        <v>56</v>
      </c>
      <c r="O386">
        <f t="shared" ref="O386:O449" si="12">VLOOKUP(G386,G:M,7,FALSE)</f>
        <v>8450</v>
      </c>
      <c r="P386" s="13">
        <f t="shared" ref="P386:P449" si="13">SUMIFS(M:M,C:C,C386)</f>
        <v>2629211</v>
      </c>
      <c r="Q386" s="13">
        <f>SUMIFS(M:M,E:E,Online_eCommerce[[#This Row],[Status]])</f>
        <v>28620410</v>
      </c>
      <c r="R386" s="13">
        <f>SUMIFS(L:L,H:H,Online_eCommerce[[#This Row],[Brand]])</f>
        <v>12435650</v>
      </c>
      <c r="S386" s="13">
        <f>SUMIF(H:H,Online_eCommerce[[#This Row],[Brand]],M:M)</f>
        <v>16166345</v>
      </c>
      <c r="T386" s="13">
        <f>SUMIF(N:N,Online_eCommerce[[#This Row],[Assigned Supervisor]],L:L)</f>
        <v>11733610</v>
      </c>
    </row>
    <row r="387" spans="1:20" hidden="1" x14ac:dyDescent="0.3">
      <c r="A387" t="s">
        <v>726</v>
      </c>
      <c r="B387" t="s">
        <v>235</v>
      </c>
      <c r="C387" t="s">
        <v>63</v>
      </c>
      <c r="D387" t="s">
        <v>667</v>
      </c>
      <c r="E387" t="s">
        <v>96</v>
      </c>
      <c r="F387" t="s">
        <v>88</v>
      </c>
      <c r="G387" t="s">
        <v>26</v>
      </c>
      <c r="H387" t="s">
        <v>27</v>
      </c>
      <c r="I387">
        <v>8500</v>
      </c>
      <c r="J387">
        <v>11050</v>
      </c>
      <c r="K387">
        <v>4</v>
      </c>
      <c r="L387">
        <v>34000</v>
      </c>
      <c r="M387">
        <v>44200</v>
      </c>
      <c r="N387" t="s">
        <v>22</v>
      </c>
      <c r="O387">
        <f t="shared" si="12"/>
        <v>33150</v>
      </c>
      <c r="P387" s="13">
        <f t="shared" si="13"/>
        <v>2016131</v>
      </c>
      <c r="Q387" s="13">
        <f>SUMIFS(M:M,E:E,Online_eCommerce[[#This Row],[Status]])</f>
        <v>21233992</v>
      </c>
      <c r="R387" s="13">
        <f>SUMIFS(L:L,H:H,Online_eCommerce[[#This Row],[Brand]])</f>
        <v>14431000</v>
      </c>
      <c r="S387" s="13">
        <f>SUMIF(H:H,Online_eCommerce[[#This Row],[Brand]],M:M)</f>
        <v>18760300</v>
      </c>
      <c r="T387" s="13">
        <f>SUMIF(N:N,Online_eCommerce[[#This Row],[Assigned Supervisor]],L:L)</f>
        <v>13693220</v>
      </c>
    </row>
    <row r="388" spans="1:20" hidden="1" x14ac:dyDescent="0.3">
      <c r="A388" t="s">
        <v>727</v>
      </c>
      <c r="B388" t="s">
        <v>235</v>
      </c>
      <c r="C388" t="s">
        <v>68</v>
      </c>
      <c r="D388" t="s">
        <v>667</v>
      </c>
      <c r="E388" t="s">
        <v>18</v>
      </c>
      <c r="F388" t="s">
        <v>32</v>
      </c>
      <c r="G388" t="s">
        <v>33</v>
      </c>
      <c r="H388" t="s">
        <v>34</v>
      </c>
      <c r="I388">
        <v>7000</v>
      </c>
      <c r="J388">
        <v>9100</v>
      </c>
      <c r="K388">
        <v>2</v>
      </c>
      <c r="L388">
        <v>14000</v>
      </c>
      <c r="M388">
        <v>18200</v>
      </c>
      <c r="N388" t="s">
        <v>28</v>
      </c>
      <c r="O388">
        <f t="shared" si="12"/>
        <v>18200</v>
      </c>
      <c r="P388" s="13">
        <f t="shared" si="13"/>
        <v>2974621</v>
      </c>
      <c r="Q388" s="13">
        <f>SUMIFS(M:M,E:E,Online_eCommerce[[#This Row],[Status]])</f>
        <v>28340455</v>
      </c>
      <c r="R388" s="13">
        <f>SUMIFS(L:L,H:H,Online_eCommerce[[#This Row],[Brand]])</f>
        <v>10087000</v>
      </c>
      <c r="S388" s="13">
        <f>SUMIF(H:H,Online_eCommerce[[#This Row],[Brand]],M:M)</f>
        <v>13113100</v>
      </c>
      <c r="T388" s="13">
        <f>SUMIF(N:N,Online_eCommerce[[#This Row],[Assigned Supervisor]],L:L)</f>
        <v>12220830</v>
      </c>
    </row>
    <row r="389" spans="1:20" hidden="1" x14ac:dyDescent="0.3">
      <c r="A389" t="s">
        <v>728</v>
      </c>
      <c r="B389" t="s">
        <v>235</v>
      </c>
      <c r="C389" t="s">
        <v>74</v>
      </c>
      <c r="D389" t="s">
        <v>667</v>
      </c>
      <c r="E389" t="s">
        <v>161</v>
      </c>
      <c r="F389" t="s">
        <v>729</v>
      </c>
      <c r="G389" t="s">
        <v>256</v>
      </c>
      <c r="H389" t="s">
        <v>41</v>
      </c>
      <c r="I389">
        <v>1680</v>
      </c>
      <c r="J389">
        <v>2184</v>
      </c>
      <c r="K389">
        <v>1</v>
      </c>
      <c r="L389">
        <v>1680</v>
      </c>
      <c r="M389">
        <v>2184</v>
      </c>
      <c r="N389" t="s">
        <v>35</v>
      </c>
      <c r="O389">
        <f t="shared" si="12"/>
        <v>9100</v>
      </c>
      <c r="P389" s="13">
        <f t="shared" si="13"/>
        <v>2144701</v>
      </c>
      <c r="Q389" s="13">
        <f>SUMIFS(M:M,E:E,Online_eCommerce[[#This Row],[Status]])</f>
        <v>21103186</v>
      </c>
      <c r="R389" s="13">
        <f>SUMIFS(L:L,H:H,Online_eCommerce[[#This Row],[Brand]])</f>
        <v>4260400</v>
      </c>
      <c r="S389" s="13">
        <f>SUMIF(H:H,Online_eCommerce[[#This Row],[Brand]],M:M)</f>
        <v>5538520</v>
      </c>
      <c r="T389" s="13">
        <f>SUMIF(N:N,Online_eCommerce[[#This Row],[Assigned Supervisor]],L:L)</f>
        <v>14373360</v>
      </c>
    </row>
    <row r="390" spans="1:20" x14ac:dyDescent="0.3">
      <c r="A390" t="s">
        <v>730</v>
      </c>
      <c r="B390" t="s">
        <v>235</v>
      </c>
      <c r="C390" t="s">
        <v>81</v>
      </c>
      <c r="D390" t="s">
        <v>667</v>
      </c>
      <c r="E390" t="s">
        <v>46</v>
      </c>
      <c r="F390" t="s">
        <v>101</v>
      </c>
      <c r="G390" t="s">
        <v>259</v>
      </c>
      <c r="H390" t="s">
        <v>102</v>
      </c>
      <c r="I390">
        <v>6540</v>
      </c>
      <c r="J390">
        <v>8502</v>
      </c>
      <c r="K390">
        <v>3</v>
      </c>
      <c r="L390">
        <v>19620</v>
      </c>
      <c r="M390">
        <v>25506</v>
      </c>
      <c r="N390" t="s">
        <v>42</v>
      </c>
      <c r="O390">
        <f t="shared" si="12"/>
        <v>11700</v>
      </c>
      <c r="P390" s="13">
        <f t="shared" si="13"/>
        <v>2595632</v>
      </c>
      <c r="Q390" s="13">
        <f>SUMIFS(M:M,E:E,Online_eCommerce[[#This Row],[Status]])</f>
        <v>28620410</v>
      </c>
      <c r="R390" s="13">
        <f>SUMIFS(L:L,H:H,Online_eCommerce[[#This Row],[Brand]])</f>
        <v>2465580</v>
      </c>
      <c r="S390" s="13">
        <f>SUMIF(H:H,Online_eCommerce[[#This Row],[Brand]],M:M)</f>
        <v>3205254</v>
      </c>
      <c r="T390" s="13">
        <f>SUMIF(N:N,Online_eCommerce[[#This Row],[Assigned Supervisor]],L:L)</f>
        <v>12261500</v>
      </c>
    </row>
    <row r="391" spans="1:20" hidden="1" x14ac:dyDescent="0.3">
      <c r="A391" t="s">
        <v>731</v>
      </c>
      <c r="B391" t="s">
        <v>235</v>
      </c>
      <c r="C391" t="s">
        <v>86</v>
      </c>
      <c r="D391" t="s">
        <v>667</v>
      </c>
      <c r="E391" t="s">
        <v>96</v>
      </c>
      <c r="F391" t="s">
        <v>107</v>
      </c>
      <c r="G391" t="s">
        <v>54</v>
      </c>
      <c r="H391" t="s">
        <v>55</v>
      </c>
      <c r="I391">
        <v>2680</v>
      </c>
      <c r="J391">
        <v>3484</v>
      </c>
      <c r="K391">
        <v>1</v>
      </c>
      <c r="L391">
        <v>2680</v>
      </c>
      <c r="M391">
        <v>3484</v>
      </c>
      <c r="N391" t="s">
        <v>50</v>
      </c>
      <c r="O391">
        <f t="shared" si="12"/>
        <v>2990</v>
      </c>
      <c r="P391" s="13">
        <f t="shared" si="13"/>
        <v>1941225</v>
      </c>
      <c r="Q391" s="13">
        <f>SUMIFS(M:M,E:E,Online_eCommerce[[#This Row],[Status]])</f>
        <v>21233992</v>
      </c>
      <c r="R391" s="13">
        <f>SUMIFS(L:L,H:H,Online_eCommerce[[#This Row],[Brand]])</f>
        <v>2267380</v>
      </c>
      <c r="S391" s="13">
        <f>SUMIF(H:H,Online_eCommerce[[#This Row],[Brand]],M:M)</f>
        <v>2947594</v>
      </c>
      <c r="T391" s="13">
        <f>SUMIF(N:N,Online_eCommerce[[#This Row],[Assigned Supervisor]],L:L)</f>
        <v>12100590</v>
      </c>
    </row>
    <row r="392" spans="1:20" hidden="1" x14ac:dyDescent="0.3">
      <c r="A392" t="s">
        <v>732</v>
      </c>
      <c r="B392" t="s">
        <v>235</v>
      </c>
      <c r="C392" t="s">
        <v>91</v>
      </c>
      <c r="D392" t="s">
        <v>667</v>
      </c>
      <c r="E392" t="s">
        <v>18</v>
      </c>
      <c r="F392" t="s">
        <v>112</v>
      </c>
      <c r="G392" t="s">
        <v>71</v>
      </c>
      <c r="H392" t="s">
        <v>21</v>
      </c>
      <c r="I392">
        <v>8250</v>
      </c>
      <c r="J392">
        <v>10725</v>
      </c>
      <c r="K392">
        <v>4</v>
      </c>
      <c r="L392">
        <v>33000</v>
      </c>
      <c r="M392">
        <v>42900</v>
      </c>
      <c r="N392" t="s">
        <v>56</v>
      </c>
      <c r="O392">
        <f t="shared" si="12"/>
        <v>9750</v>
      </c>
      <c r="P392" s="13">
        <f t="shared" si="13"/>
        <v>2731963</v>
      </c>
      <c r="Q392" s="13">
        <f>SUMIFS(M:M,E:E,Online_eCommerce[[#This Row],[Status]])</f>
        <v>28340455</v>
      </c>
      <c r="R392" s="13">
        <f>SUMIFS(L:L,H:H,Online_eCommerce[[#This Row],[Brand]])</f>
        <v>12435650</v>
      </c>
      <c r="S392" s="13">
        <f>SUMIF(H:H,Online_eCommerce[[#This Row],[Brand]],M:M)</f>
        <v>16166345</v>
      </c>
      <c r="T392" s="13">
        <f>SUMIF(N:N,Online_eCommerce[[#This Row],[Assigned Supervisor]],L:L)</f>
        <v>11733610</v>
      </c>
    </row>
    <row r="393" spans="1:20" hidden="1" x14ac:dyDescent="0.3">
      <c r="A393" t="s">
        <v>733</v>
      </c>
      <c r="B393" t="s">
        <v>235</v>
      </c>
      <c r="C393" t="s">
        <v>94</v>
      </c>
      <c r="D393" t="s">
        <v>667</v>
      </c>
      <c r="E393" t="s">
        <v>161</v>
      </c>
      <c r="F393" t="s">
        <v>350</v>
      </c>
      <c r="G393" t="s">
        <v>40</v>
      </c>
      <c r="H393" t="s">
        <v>21</v>
      </c>
      <c r="I393">
        <v>2650</v>
      </c>
      <c r="J393">
        <v>3445</v>
      </c>
      <c r="K393">
        <v>3</v>
      </c>
      <c r="L393">
        <v>7950</v>
      </c>
      <c r="M393">
        <v>10335</v>
      </c>
      <c r="N393" t="s">
        <v>22</v>
      </c>
      <c r="O393">
        <f t="shared" si="12"/>
        <v>25545</v>
      </c>
      <c r="P393" s="13">
        <f t="shared" si="13"/>
        <v>1868256</v>
      </c>
      <c r="Q393" s="13">
        <f>SUMIFS(M:M,E:E,Online_eCommerce[[#This Row],[Status]])</f>
        <v>21103186</v>
      </c>
      <c r="R393" s="13">
        <f>SUMIFS(L:L,H:H,Online_eCommerce[[#This Row],[Brand]])</f>
        <v>12435650</v>
      </c>
      <c r="S393" s="13">
        <f>SUMIF(H:H,Online_eCommerce[[#This Row],[Brand]],M:M)</f>
        <v>16166345</v>
      </c>
      <c r="T393" s="13">
        <f>SUMIF(N:N,Online_eCommerce[[#This Row],[Assigned Supervisor]],L:L)</f>
        <v>13693220</v>
      </c>
    </row>
    <row r="394" spans="1:20" x14ac:dyDescent="0.3">
      <c r="A394" t="s">
        <v>734</v>
      </c>
      <c r="B394" t="s">
        <v>235</v>
      </c>
      <c r="C394" t="s">
        <v>99</v>
      </c>
      <c r="D394" t="s">
        <v>667</v>
      </c>
      <c r="E394" t="s">
        <v>46</v>
      </c>
      <c r="F394" t="s">
        <v>121</v>
      </c>
      <c r="G394" t="s">
        <v>71</v>
      </c>
      <c r="H394" t="s">
        <v>122</v>
      </c>
      <c r="I394">
        <v>12550</v>
      </c>
      <c r="J394">
        <v>16315</v>
      </c>
      <c r="K394">
        <v>1</v>
      </c>
      <c r="L394">
        <v>12550</v>
      </c>
      <c r="M394">
        <v>16315</v>
      </c>
      <c r="N394" t="s">
        <v>28</v>
      </c>
      <c r="O394">
        <f t="shared" si="12"/>
        <v>9750</v>
      </c>
      <c r="P394" s="13">
        <f t="shared" si="13"/>
        <v>2651233</v>
      </c>
      <c r="Q394" s="13">
        <f>SUMIFS(M:M,E:E,Online_eCommerce[[#This Row],[Status]])</f>
        <v>28620410</v>
      </c>
      <c r="R394" s="13">
        <f>SUMIFS(L:L,H:H,Online_eCommerce[[#This Row],[Brand]])</f>
        <v>5045100</v>
      </c>
      <c r="S394" s="13">
        <f>SUMIF(H:H,Online_eCommerce[[#This Row],[Brand]],M:M)</f>
        <v>6558630</v>
      </c>
      <c r="T394" s="13">
        <f>SUMIF(N:N,Online_eCommerce[[#This Row],[Assigned Supervisor]],L:L)</f>
        <v>12220830</v>
      </c>
    </row>
    <row r="395" spans="1:20" hidden="1" x14ac:dyDescent="0.3">
      <c r="A395" t="s">
        <v>735</v>
      </c>
      <c r="B395" t="s">
        <v>235</v>
      </c>
      <c r="C395" t="s">
        <v>105</v>
      </c>
      <c r="D395" t="s">
        <v>667</v>
      </c>
      <c r="E395" t="s">
        <v>96</v>
      </c>
      <c r="F395" t="s">
        <v>126</v>
      </c>
      <c r="G395" t="s">
        <v>26</v>
      </c>
      <c r="H395" t="s">
        <v>27</v>
      </c>
      <c r="I395">
        <v>14500</v>
      </c>
      <c r="J395">
        <v>18850</v>
      </c>
      <c r="K395">
        <v>1</v>
      </c>
      <c r="L395">
        <v>14500</v>
      </c>
      <c r="M395">
        <v>18850</v>
      </c>
      <c r="N395" t="s">
        <v>35</v>
      </c>
      <c r="O395">
        <f t="shared" si="12"/>
        <v>33150</v>
      </c>
      <c r="P395" s="13">
        <f t="shared" si="13"/>
        <v>1866852</v>
      </c>
      <c r="Q395" s="13">
        <f>SUMIFS(M:M,E:E,Online_eCommerce[[#This Row],[Status]])</f>
        <v>21233992</v>
      </c>
      <c r="R395" s="13">
        <f>SUMIFS(L:L,H:H,Online_eCommerce[[#This Row],[Brand]])</f>
        <v>14431000</v>
      </c>
      <c r="S395" s="13">
        <f>SUMIF(H:H,Online_eCommerce[[#This Row],[Brand]],M:M)</f>
        <v>18760300</v>
      </c>
      <c r="T395" s="13">
        <f>SUMIF(N:N,Online_eCommerce[[#This Row],[Assigned Supervisor]],L:L)</f>
        <v>14373360</v>
      </c>
    </row>
    <row r="396" spans="1:20" hidden="1" x14ac:dyDescent="0.3">
      <c r="A396" t="s">
        <v>736</v>
      </c>
      <c r="B396" t="s">
        <v>235</v>
      </c>
      <c r="C396" t="s">
        <v>110</v>
      </c>
      <c r="D396" t="s">
        <v>667</v>
      </c>
      <c r="E396" t="s">
        <v>18</v>
      </c>
      <c r="F396" t="s">
        <v>129</v>
      </c>
      <c r="G396" t="s">
        <v>60</v>
      </c>
      <c r="H396" t="s">
        <v>61</v>
      </c>
      <c r="I396">
        <v>800</v>
      </c>
      <c r="J396">
        <v>1040</v>
      </c>
      <c r="K396">
        <v>1</v>
      </c>
      <c r="L396">
        <v>800</v>
      </c>
      <c r="M396">
        <v>1040</v>
      </c>
      <c r="N396" t="s">
        <v>42</v>
      </c>
      <c r="O396">
        <f t="shared" si="12"/>
        <v>3315</v>
      </c>
      <c r="P396" s="13">
        <f t="shared" si="13"/>
        <v>2598635</v>
      </c>
      <c r="Q396" s="13">
        <f>SUMIFS(M:M,E:E,Online_eCommerce[[#This Row],[Status]])</f>
        <v>28340455</v>
      </c>
      <c r="R396" s="13">
        <f>SUMIFS(L:L,H:H,Online_eCommerce[[#This Row],[Brand]])</f>
        <v>10950150</v>
      </c>
      <c r="S396" s="13">
        <f>SUMIF(H:H,Online_eCommerce[[#This Row],[Brand]],M:M)</f>
        <v>14235195</v>
      </c>
      <c r="T396" s="13">
        <f>SUMIF(N:N,Online_eCommerce[[#This Row],[Assigned Supervisor]],L:L)</f>
        <v>12261500</v>
      </c>
    </row>
    <row r="397" spans="1:20" hidden="1" x14ac:dyDescent="0.3">
      <c r="A397" t="s">
        <v>737</v>
      </c>
      <c r="B397" t="s">
        <v>235</v>
      </c>
      <c r="C397" t="s">
        <v>115</v>
      </c>
      <c r="D397" t="s">
        <v>667</v>
      </c>
      <c r="E397" t="s">
        <v>161</v>
      </c>
      <c r="F397" t="s">
        <v>133</v>
      </c>
      <c r="G397" t="s">
        <v>66</v>
      </c>
      <c r="H397" t="s">
        <v>21</v>
      </c>
      <c r="I397">
        <v>600</v>
      </c>
      <c r="J397">
        <v>780</v>
      </c>
      <c r="K397">
        <v>1</v>
      </c>
      <c r="L397">
        <v>600</v>
      </c>
      <c r="M397">
        <v>780</v>
      </c>
      <c r="N397" t="s">
        <v>50</v>
      </c>
      <c r="O397">
        <f t="shared" si="12"/>
        <v>1690</v>
      </c>
      <c r="P397" s="13">
        <f t="shared" si="13"/>
        <v>2050178</v>
      </c>
      <c r="Q397" s="13">
        <f>SUMIFS(M:M,E:E,Online_eCommerce[[#This Row],[Status]])</f>
        <v>21103186</v>
      </c>
      <c r="R397" s="13">
        <f>SUMIFS(L:L,H:H,Online_eCommerce[[#This Row],[Brand]])</f>
        <v>12435650</v>
      </c>
      <c r="S397" s="13">
        <f>SUMIF(H:H,Online_eCommerce[[#This Row],[Brand]],M:M)</f>
        <v>16166345</v>
      </c>
      <c r="T397" s="13">
        <f>SUMIF(N:N,Online_eCommerce[[#This Row],[Assigned Supervisor]],L:L)</f>
        <v>12100590</v>
      </c>
    </row>
    <row r="398" spans="1:20" x14ac:dyDescent="0.3">
      <c r="A398" t="s">
        <v>738</v>
      </c>
      <c r="B398" t="s">
        <v>235</v>
      </c>
      <c r="C398" t="s">
        <v>120</v>
      </c>
      <c r="D398" t="s">
        <v>667</v>
      </c>
      <c r="E398" t="s">
        <v>46</v>
      </c>
      <c r="F398" t="s">
        <v>137</v>
      </c>
      <c r="G398" t="s">
        <v>71</v>
      </c>
      <c r="H398" t="s">
        <v>61</v>
      </c>
      <c r="I398">
        <v>10500</v>
      </c>
      <c r="J398">
        <v>13650</v>
      </c>
      <c r="K398">
        <v>1</v>
      </c>
      <c r="L398">
        <v>10500</v>
      </c>
      <c r="M398">
        <v>13650</v>
      </c>
      <c r="N398" t="s">
        <v>56</v>
      </c>
      <c r="O398">
        <f t="shared" si="12"/>
        <v>9750</v>
      </c>
      <c r="P398" s="13">
        <f t="shared" si="13"/>
        <v>2734212</v>
      </c>
      <c r="Q398" s="13">
        <f>SUMIFS(M:M,E:E,Online_eCommerce[[#This Row],[Status]])</f>
        <v>28620410</v>
      </c>
      <c r="R398" s="13">
        <f>SUMIFS(L:L,H:H,Online_eCommerce[[#This Row],[Brand]])</f>
        <v>10950150</v>
      </c>
      <c r="S398" s="13">
        <f>SUMIF(H:H,Online_eCommerce[[#This Row],[Brand]],M:M)</f>
        <v>14235195</v>
      </c>
      <c r="T398" s="13">
        <f>SUMIF(N:N,Online_eCommerce[[#This Row],[Assigned Supervisor]],L:L)</f>
        <v>11733610</v>
      </c>
    </row>
    <row r="399" spans="1:20" hidden="1" x14ac:dyDescent="0.3">
      <c r="A399" t="s">
        <v>739</v>
      </c>
      <c r="B399" t="s">
        <v>235</v>
      </c>
      <c r="C399" t="s">
        <v>125</v>
      </c>
      <c r="D399" t="s">
        <v>667</v>
      </c>
      <c r="E399" t="s">
        <v>96</v>
      </c>
      <c r="F399" t="s">
        <v>710</v>
      </c>
      <c r="G399" t="s">
        <v>77</v>
      </c>
      <c r="H399" t="s">
        <v>142</v>
      </c>
      <c r="I399">
        <v>6500</v>
      </c>
      <c r="J399">
        <v>8450</v>
      </c>
      <c r="K399">
        <v>3</v>
      </c>
      <c r="L399">
        <v>19500</v>
      </c>
      <c r="M399">
        <v>25350</v>
      </c>
      <c r="N399" t="s">
        <v>22</v>
      </c>
      <c r="O399">
        <f t="shared" si="12"/>
        <v>39000</v>
      </c>
      <c r="P399" s="13">
        <f t="shared" si="13"/>
        <v>2091154</v>
      </c>
      <c r="Q399" s="13">
        <f>SUMIFS(M:M,E:E,Online_eCommerce[[#This Row],[Status]])</f>
        <v>21233992</v>
      </c>
      <c r="R399" s="13">
        <f>SUMIFS(L:L,H:H,Online_eCommerce[[#This Row],[Brand]])</f>
        <v>6192500</v>
      </c>
      <c r="S399" s="13">
        <f>SUMIF(H:H,Online_eCommerce[[#This Row],[Brand]],M:M)</f>
        <v>8050250</v>
      </c>
      <c r="T399" s="13">
        <f>SUMIF(N:N,Online_eCommerce[[#This Row],[Assigned Supervisor]],L:L)</f>
        <v>13693220</v>
      </c>
    </row>
    <row r="400" spans="1:20" hidden="1" x14ac:dyDescent="0.3">
      <c r="A400" t="s">
        <v>740</v>
      </c>
      <c r="B400" t="s">
        <v>235</v>
      </c>
      <c r="C400" t="s">
        <v>22</v>
      </c>
      <c r="D400" t="s">
        <v>667</v>
      </c>
      <c r="E400" t="s">
        <v>18</v>
      </c>
      <c r="F400" t="s">
        <v>741</v>
      </c>
      <c r="G400" t="s">
        <v>20</v>
      </c>
      <c r="H400" t="s">
        <v>21</v>
      </c>
      <c r="I400">
        <v>4500</v>
      </c>
      <c r="J400">
        <v>5850</v>
      </c>
      <c r="K400">
        <v>4</v>
      </c>
      <c r="L400">
        <v>18000</v>
      </c>
      <c r="M400">
        <v>23400</v>
      </c>
      <c r="N400" t="s">
        <v>22</v>
      </c>
      <c r="O400">
        <f t="shared" si="12"/>
        <v>8450</v>
      </c>
      <c r="P400" s="13">
        <f t="shared" si="13"/>
        <v>2551588</v>
      </c>
      <c r="Q400" s="13">
        <f>SUMIFS(M:M,E:E,Online_eCommerce[[#This Row],[Status]])</f>
        <v>28340455</v>
      </c>
      <c r="R400" s="13">
        <f>SUMIFS(L:L,H:H,Online_eCommerce[[#This Row],[Brand]])</f>
        <v>12435650</v>
      </c>
      <c r="S400" s="13">
        <f>SUMIF(H:H,Online_eCommerce[[#This Row],[Brand]],M:M)</f>
        <v>16166345</v>
      </c>
      <c r="T400" s="13">
        <f>SUMIF(N:N,Online_eCommerce[[#This Row],[Assigned Supervisor]],L:L)</f>
        <v>13693220</v>
      </c>
    </row>
    <row r="401" spans="1:20" hidden="1" x14ac:dyDescent="0.3">
      <c r="A401" t="s">
        <v>742</v>
      </c>
      <c r="B401" t="s">
        <v>235</v>
      </c>
      <c r="C401" t="s">
        <v>132</v>
      </c>
      <c r="D401" t="s">
        <v>667</v>
      </c>
      <c r="E401" t="s">
        <v>161</v>
      </c>
      <c r="F401" t="s">
        <v>152</v>
      </c>
      <c r="G401" t="s">
        <v>26</v>
      </c>
      <c r="H401" t="s">
        <v>27</v>
      </c>
      <c r="I401">
        <v>8500</v>
      </c>
      <c r="J401">
        <v>11050</v>
      </c>
      <c r="K401">
        <v>1</v>
      </c>
      <c r="L401">
        <v>8500</v>
      </c>
      <c r="M401">
        <v>11050</v>
      </c>
      <c r="N401" t="s">
        <v>28</v>
      </c>
      <c r="O401">
        <f t="shared" si="12"/>
        <v>33150</v>
      </c>
      <c r="P401" s="13">
        <f t="shared" si="13"/>
        <v>1989065</v>
      </c>
      <c r="Q401" s="13">
        <f>SUMIFS(M:M,E:E,Online_eCommerce[[#This Row],[Status]])</f>
        <v>21103186</v>
      </c>
      <c r="R401" s="13">
        <f>SUMIFS(L:L,H:H,Online_eCommerce[[#This Row],[Brand]])</f>
        <v>14431000</v>
      </c>
      <c r="S401" s="13">
        <f>SUMIF(H:H,Online_eCommerce[[#This Row],[Brand]],M:M)</f>
        <v>18760300</v>
      </c>
      <c r="T401" s="13">
        <f>SUMIF(N:N,Online_eCommerce[[#This Row],[Assigned Supervisor]],L:L)</f>
        <v>12220830</v>
      </c>
    </row>
    <row r="402" spans="1:20" x14ac:dyDescent="0.3">
      <c r="A402" t="s">
        <v>743</v>
      </c>
      <c r="B402" t="s">
        <v>235</v>
      </c>
      <c r="C402" t="s">
        <v>136</v>
      </c>
      <c r="D402" t="s">
        <v>667</v>
      </c>
      <c r="E402" t="s">
        <v>46</v>
      </c>
      <c r="F402" t="s">
        <v>157</v>
      </c>
      <c r="G402" t="s">
        <v>33</v>
      </c>
      <c r="H402" t="s">
        <v>34</v>
      </c>
      <c r="I402">
        <v>12500</v>
      </c>
      <c r="J402">
        <v>16250</v>
      </c>
      <c r="K402">
        <v>4</v>
      </c>
      <c r="L402">
        <v>50000</v>
      </c>
      <c r="M402">
        <v>65000</v>
      </c>
      <c r="N402" t="s">
        <v>35</v>
      </c>
      <c r="O402">
        <f t="shared" si="12"/>
        <v>18200</v>
      </c>
      <c r="P402" s="13">
        <f t="shared" si="13"/>
        <v>2775162</v>
      </c>
      <c r="Q402" s="13">
        <f>SUMIFS(M:M,E:E,Online_eCommerce[[#This Row],[Status]])</f>
        <v>28620410</v>
      </c>
      <c r="R402" s="13">
        <f>SUMIFS(L:L,H:H,Online_eCommerce[[#This Row],[Brand]])</f>
        <v>10087000</v>
      </c>
      <c r="S402" s="13">
        <f>SUMIF(H:H,Online_eCommerce[[#This Row],[Brand]],M:M)</f>
        <v>13113100</v>
      </c>
      <c r="T402" s="13">
        <f>SUMIF(N:N,Online_eCommerce[[#This Row],[Assigned Supervisor]],L:L)</f>
        <v>14373360</v>
      </c>
    </row>
    <row r="403" spans="1:20" hidden="1" x14ac:dyDescent="0.3">
      <c r="A403" t="s">
        <v>744</v>
      </c>
      <c r="B403" t="s">
        <v>235</v>
      </c>
      <c r="C403" t="s">
        <v>140</v>
      </c>
      <c r="D403" t="s">
        <v>667</v>
      </c>
      <c r="E403" t="s">
        <v>96</v>
      </c>
      <c r="F403" t="s">
        <v>412</v>
      </c>
      <c r="G403" t="s">
        <v>40</v>
      </c>
      <c r="H403" t="s">
        <v>41</v>
      </c>
      <c r="I403">
        <v>3500</v>
      </c>
      <c r="J403">
        <v>4550</v>
      </c>
      <c r="K403">
        <v>3</v>
      </c>
      <c r="L403">
        <v>10500</v>
      </c>
      <c r="M403">
        <v>13650</v>
      </c>
      <c r="N403" t="s">
        <v>42</v>
      </c>
      <c r="O403">
        <f t="shared" si="12"/>
        <v>25545</v>
      </c>
      <c r="P403" s="13">
        <f t="shared" si="13"/>
        <v>2058264</v>
      </c>
      <c r="Q403" s="13">
        <f>SUMIFS(M:M,E:E,Online_eCommerce[[#This Row],[Status]])</f>
        <v>21233992</v>
      </c>
      <c r="R403" s="13">
        <f>SUMIFS(L:L,H:H,Online_eCommerce[[#This Row],[Brand]])</f>
        <v>4260400</v>
      </c>
      <c r="S403" s="13">
        <f>SUMIF(H:H,Online_eCommerce[[#This Row],[Brand]],M:M)</f>
        <v>5538520</v>
      </c>
      <c r="T403" s="13">
        <f>SUMIF(N:N,Online_eCommerce[[#This Row],[Assigned Supervisor]],L:L)</f>
        <v>12261500</v>
      </c>
    </row>
    <row r="404" spans="1:20" hidden="1" x14ac:dyDescent="0.3">
      <c r="A404" t="s">
        <v>745</v>
      </c>
      <c r="B404" t="s">
        <v>235</v>
      </c>
      <c r="C404" t="s">
        <v>145</v>
      </c>
      <c r="D404" t="s">
        <v>667</v>
      </c>
      <c r="E404" t="s">
        <v>18</v>
      </c>
      <c r="F404" t="s">
        <v>166</v>
      </c>
      <c r="G404" t="s">
        <v>334</v>
      </c>
      <c r="H404" t="s">
        <v>49</v>
      </c>
      <c r="I404">
        <v>4500</v>
      </c>
      <c r="J404">
        <v>5850</v>
      </c>
      <c r="K404">
        <v>1</v>
      </c>
      <c r="L404">
        <v>4500</v>
      </c>
      <c r="M404">
        <v>5850</v>
      </c>
      <c r="N404" t="s">
        <v>50</v>
      </c>
      <c r="O404">
        <f t="shared" si="12"/>
        <v>39780</v>
      </c>
      <c r="P404" s="13">
        <f t="shared" si="13"/>
        <v>2757859</v>
      </c>
      <c r="Q404" s="13">
        <f>SUMIFS(M:M,E:E,Online_eCommerce[[#This Row],[Status]])</f>
        <v>28340455</v>
      </c>
      <c r="R404" s="13">
        <f>SUMIFS(L:L,H:H,Online_eCommerce[[#This Row],[Brand]])</f>
        <v>4528350</v>
      </c>
      <c r="S404" s="13">
        <f>SUMIF(H:H,Online_eCommerce[[#This Row],[Brand]],M:M)</f>
        <v>5886855</v>
      </c>
      <c r="T404" s="13">
        <f>SUMIF(N:N,Online_eCommerce[[#This Row],[Assigned Supervisor]],L:L)</f>
        <v>12100590</v>
      </c>
    </row>
    <row r="405" spans="1:20" hidden="1" x14ac:dyDescent="0.3">
      <c r="A405" t="s">
        <v>746</v>
      </c>
      <c r="B405" t="s">
        <v>235</v>
      </c>
      <c r="C405" t="s">
        <v>150</v>
      </c>
      <c r="D405" t="s">
        <v>667</v>
      </c>
      <c r="E405" t="s">
        <v>161</v>
      </c>
      <c r="F405" t="s">
        <v>747</v>
      </c>
      <c r="G405" t="s">
        <v>54</v>
      </c>
      <c r="H405" t="s">
        <v>55</v>
      </c>
      <c r="I405">
        <v>2100</v>
      </c>
      <c r="J405">
        <v>2730</v>
      </c>
      <c r="K405">
        <v>1</v>
      </c>
      <c r="L405">
        <v>2100</v>
      </c>
      <c r="M405">
        <v>2730</v>
      </c>
      <c r="N405" t="s">
        <v>56</v>
      </c>
      <c r="O405">
        <f t="shared" si="12"/>
        <v>2990</v>
      </c>
      <c r="P405" s="13">
        <f t="shared" si="13"/>
        <v>2154984</v>
      </c>
      <c r="Q405" s="13">
        <f>SUMIFS(M:M,E:E,Online_eCommerce[[#This Row],[Status]])</f>
        <v>21103186</v>
      </c>
      <c r="R405" s="13">
        <f>SUMIFS(L:L,H:H,Online_eCommerce[[#This Row],[Brand]])</f>
        <v>2267380</v>
      </c>
      <c r="S405" s="13">
        <f>SUMIF(H:H,Online_eCommerce[[#This Row],[Brand]],M:M)</f>
        <v>2947594</v>
      </c>
      <c r="T405" s="13">
        <f>SUMIF(N:N,Online_eCommerce[[#This Row],[Assigned Supervisor]],L:L)</f>
        <v>11733610</v>
      </c>
    </row>
    <row r="406" spans="1:20" x14ac:dyDescent="0.3">
      <c r="A406" t="s">
        <v>748</v>
      </c>
      <c r="B406" t="s">
        <v>235</v>
      </c>
      <c r="C406" t="s">
        <v>155</v>
      </c>
      <c r="D406" t="s">
        <v>667</v>
      </c>
      <c r="E406" t="s">
        <v>46</v>
      </c>
      <c r="F406" t="s">
        <v>174</v>
      </c>
      <c r="G406" t="s">
        <v>60</v>
      </c>
      <c r="H406" t="s">
        <v>61</v>
      </c>
      <c r="I406">
        <v>1150</v>
      </c>
      <c r="J406">
        <v>1495</v>
      </c>
      <c r="K406">
        <v>3</v>
      </c>
      <c r="L406">
        <v>3450</v>
      </c>
      <c r="M406">
        <v>4485</v>
      </c>
      <c r="N406" t="s">
        <v>22</v>
      </c>
      <c r="O406">
        <f t="shared" si="12"/>
        <v>3315</v>
      </c>
      <c r="P406" s="13">
        <f t="shared" si="13"/>
        <v>2753348</v>
      </c>
      <c r="Q406" s="13">
        <f>SUMIFS(M:M,E:E,Online_eCommerce[[#This Row],[Status]])</f>
        <v>28620410</v>
      </c>
      <c r="R406" s="13">
        <f>SUMIFS(L:L,H:H,Online_eCommerce[[#This Row],[Brand]])</f>
        <v>10950150</v>
      </c>
      <c r="S406" s="13">
        <f>SUMIF(H:H,Online_eCommerce[[#This Row],[Brand]],M:M)</f>
        <v>14235195</v>
      </c>
      <c r="T406" s="13">
        <f>SUMIF(N:N,Online_eCommerce[[#This Row],[Assigned Supervisor]],L:L)</f>
        <v>13693220</v>
      </c>
    </row>
    <row r="407" spans="1:20" hidden="1" x14ac:dyDescent="0.3">
      <c r="A407" t="s">
        <v>749</v>
      </c>
      <c r="B407" t="s">
        <v>235</v>
      </c>
      <c r="C407" t="s">
        <v>160</v>
      </c>
      <c r="D407" t="s">
        <v>667</v>
      </c>
      <c r="E407" t="s">
        <v>96</v>
      </c>
      <c r="F407" t="s">
        <v>179</v>
      </c>
      <c r="G407" t="s">
        <v>66</v>
      </c>
      <c r="H407" t="s">
        <v>21</v>
      </c>
      <c r="I407">
        <v>350</v>
      </c>
      <c r="J407">
        <v>455</v>
      </c>
      <c r="K407">
        <v>1</v>
      </c>
      <c r="L407">
        <v>350</v>
      </c>
      <c r="M407">
        <v>455</v>
      </c>
      <c r="N407" t="s">
        <v>28</v>
      </c>
      <c r="O407">
        <f t="shared" si="12"/>
        <v>1690</v>
      </c>
      <c r="P407" s="13">
        <f t="shared" si="13"/>
        <v>2303483</v>
      </c>
      <c r="Q407" s="13">
        <f>SUMIFS(M:M,E:E,Online_eCommerce[[#This Row],[Status]])</f>
        <v>21233992</v>
      </c>
      <c r="R407" s="13">
        <f>SUMIFS(L:L,H:H,Online_eCommerce[[#This Row],[Brand]])</f>
        <v>12435650</v>
      </c>
      <c r="S407" s="13">
        <f>SUMIF(H:H,Online_eCommerce[[#This Row],[Brand]],M:M)</f>
        <v>16166345</v>
      </c>
      <c r="T407" s="13">
        <f>SUMIF(N:N,Online_eCommerce[[#This Row],[Assigned Supervisor]],L:L)</f>
        <v>12220830</v>
      </c>
    </row>
    <row r="408" spans="1:20" hidden="1" x14ac:dyDescent="0.3">
      <c r="A408" t="s">
        <v>750</v>
      </c>
      <c r="B408" t="s">
        <v>235</v>
      </c>
      <c r="C408" t="s">
        <v>165</v>
      </c>
      <c r="D408" t="s">
        <v>667</v>
      </c>
      <c r="E408" t="s">
        <v>18</v>
      </c>
      <c r="F408" t="s">
        <v>183</v>
      </c>
      <c r="G408" t="s">
        <v>71</v>
      </c>
      <c r="H408" t="s">
        <v>61</v>
      </c>
      <c r="I408">
        <v>9500</v>
      </c>
      <c r="J408">
        <v>12350</v>
      </c>
      <c r="K408">
        <v>1</v>
      </c>
      <c r="L408">
        <v>9500</v>
      </c>
      <c r="M408">
        <v>12350</v>
      </c>
      <c r="N408" t="s">
        <v>35</v>
      </c>
      <c r="O408">
        <f t="shared" si="12"/>
        <v>9750</v>
      </c>
      <c r="P408" s="13">
        <f t="shared" si="13"/>
        <v>2674087</v>
      </c>
      <c r="Q408" s="13">
        <f>SUMIFS(M:M,E:E,Online_eCommerce[[#This Row],[Status]])</f>
        <v>28340455</v>
      </c>
      <c r="R408" s="13">
        <f>SUMIFS(L:L,H:H,Online_eCommerce[[#This Row],[Brand]])</f>
        <v>10950150</v>
      </c>
      <c r="S408" s="13">
        <f>SUMIF(H:H,Online_eCommerce[[#This Row],[Brand]],M:M)</f>
        <v>14235195</v>
      </c>
      <c r="T408" s="13">
        <f>SUMIF(N:N,Online_eCommerce[[#This Row],[Assigned Supervisor]],L:L)</f>
        <v>14373360</v>
      </c>
    </row>
    <row r="409" spans="1:20" hidden="1" x14ac:dyDescent="0.3">
      <c r="A409" t="s">
        <v>751</v>
      </c>
      <c r="B409" t="s">
        <v>235</v>
      </c>
      <c r="C409" t="s">
        <v>168</v>
      </c>
      <c r="D409" t="s">
        <v>667</v>
      </c>
      <c r="E409" t="s">
        <v>161</v>
      </c>
      <c r="F409" t="s">
        <v>752</v>
      </c>
      <c r="G409" t="s">
        <v>77</v>
      </c>
      <c r="H409" t="s">
        <v>142</v>
      </c>
      <c r="I409">
        <v>10000</v>
      </c>
      <c r="J409">
        <v>13000</v>
      </c>
      <c r="K409">
        <v>2</v>
      </c>
      <c r="L409">
        <v>20000</v>
      </c>
      <c r="M409">
        <v>26000</v>
      </c>
      <c r="N409" t="s">
        <v>42</v>
      </c>
      <c r="O409">
        <f t="shared" si="12"/>
        <v>39000</v>
      </c>
      <c r="P409" s="13">
        <f t="shared" si="13"/>
        <v>1937780</v>
      </c>
      <c r="Q409" s="13">
        <f>SUMIFS(M:M,E:E,Online_eCommerce[[#This Row],[Status]])</f>
        <v>21103186</v>
      </c>
      <c r="R409" s="13">
        <f>SUMIFS(L:L,H:H,Online_eCommerce[[#This Row],[Brand]])</f>
        <v>6192500</v>
      </c>
      <c r="S409" s="13">
        <f>SUMIF(H:H,Online_eCommerce[[#This Row],[Brand]],M:M)</f>
        <v>8050250</v>
      </c>
      <c r="T409" s="13">
        <f>SUMIF(N:N,Online_eCommerce[[#This Row],[Assigned Supervisor]],L:L)</f>
        <v>12261500</v>
      </c>
    </row>
    <row r="410" spans="1:20" x14ac:dyDescent="0.3">
      <c r="A410" t="s">
        <v>753</v>
      </c>
      <c r="B410" t="s">
        <v>235</v>
      </c>
      <c r="C410" t="s">
        <v>172</v>
      </c>
      <c r="D410" t="s">
        <v>667</v>
      </c>
      <c r="E410" t="s">
        <v>46</v>
      </c>
      <c r="F410" t="s">
        <v>754</v>
      </c>
      <c r="G410" t="s">
        <v>20</v>
      </c>
      <c r="H410" t="s">
        <v>21</v>
      </c>
      <c r="I410">
        <v>6500</v>
      </c>
      <c r="J410">
        <v>8450</v>
      </c>
      <c r="K410">
        <v>1</v>
      </c>
      <c r="L410">
        <v>6500</v>
      </c>
      <c r="M410">
        <v>8450</v>
      </c>
      <c r="N410" t="s">
        <v>50</v>
      </c>
      <c r="O410">
        <f t="shared" si="12"/>
        <v>8450</v>
      </c>
      <c r="P410" s="13">
        <f t="shared" si="13"/>
        <v>2640274</v>
      </c>
      <c r="Q410" s="13">
        <f>SUMIFS(M:M,E:E,Online_eCommerce[[#This Row],[Status]])</f>
        <v>28620410</v>
      </c>
      <c r="R410" s="13">
        <f>SUMIFS(L:L,H:H,Online_eCommerce[[#This Row],[Brand]])</f>
        <v>12435650</v>
      </c>
      <c r="S410" s="13">
        <f>SUMIF(H:H,Online_eCommerce[[#This Row],[Brand]],M:M)</f>
        <v>16166345</v>
      </c>
      <c r="T410" s="13">
        <f>SUMIF(N:N,Online_eCommerce[[#This Row],[Assigned Supervisor]],L:L)</f>
        <v>12100590</v>
      </c>
    </row>
    <row r="411" spans="1:20" hidden="1" x14ac:dyDescent="0.3">
      <c r="A411" t="s">
        <v>755</v>
      </c>
      <c r="B411" t="s">
        <v>235</v>
      </c>
      <c r="C411" t="s">
        <v>177</v>
      </c>
      <c r="D411" t="s">
        <v>667</v>
      </c>
      <c r="E411" t="s">
        <v>96</v>
      </c>
      <c r="F411" t="s">
        <v>756</v>
      </c>
      <c r="G411" t="s">
        <v>26</v>
      </c>
      <c r="H411" t="s">
        <v>27</v>
      </c>
      <c r="I411">
        <v>8500</v>
      </c>
      <c r="J411">
        <v>11050</v>
      </c>
      <c r="K411">
        <v>1</v>
      </c>
      <c r="L411">
        <v>8500</v>
      </c>
      <c r="M411">
        <v>11050</v>
      </c>
      <c r="N411" t="s">
        <v>56</v>
      </c>
      <c r="O411">
        <f t="shared" si="12"/>
        <v>33150</v>
      </c>
      <c r="P411" s="13">
        <f t="shared" si="13"/>
        <v>1863810</v>
      </c>
      <c r="Q411" s="13">
        <f>SUMIFS(M:M,E:E,Online_eCommerce[[#This Row],[Status]])</f>
        <v>21233992</v>
      </c>
      <c r="R411" s="13">
        <f>SUMIFS(L:L,H:H,Online_eCommerce[[#This Row],[Brand]])</f>
        <v>14431000</v>
      </c>
      <c r="S411" s="13">
        <f>SUMIF(H:H,Online_eCommerce[[#This Row],[Brand]],M:M)</f>
        <v>18760300</v>
      </c>
      <c r="T411" s="13">
        <f>SUMIF(N:N,Online_eCommerce[[#This Row],[Assigned Supervisor]],L:L)</f>
        <v>11733610</v>
      </c>
    </row>
    <row r="412" spans="1:20" hidden="1" x14ac:dyDescent="0.3">
      <c r="A412" t="s">
        <v>757</v>
      </c>
      <c r="B412" t="s">
        <v>235</v>
      </c>
      <c r="C412" t="s">
        <v>181</v>
      </c>
      <c r="D412" t="s">
        <v>667</v>
      </c>
      <c r="E412" t="s">
        <v>18</v>
      </c>
      <c r="F412" t="s">
        <v>32</v>
      </c>
      <c r="G412" t="s">
        <v>33</v>
      </c>
      <c r="H412" t="s">
        <v>34</v>
      </c>
      <c r="I412">
        <v>7000</v>
      </c>
      <c r="J412">
        <v>9100</v>
      </c>
      <c r="K412">
        <v>3</v>
      </c>
      <c r="L412">
        <v>21000</v>
      </c>
      <c r="M412">
        <v>27300</v>
      </c>
      <c r="N412" t="s">
        <v>22</v>
      </c>
      <c r="O412">
        <f t="shared" si="12"/>
        <v>18200</v>
      </c>
      <c r="P412" s="13">
        <f t="shared" si="13"/>
        <v>2577458</v>
      </c>
      <c r="Q412" s="13">
        <f>SUMIFS(M:M,E:E,Online_eCommerce[[#This Row],[Status]])</f>
        <v>28340455</v>
      </c>
      <c r="R412" s="13">
        <f>SUMIFS(L:L,H:H,Online_eCommerce[[#This Row],[Brand]])</f>
        <v>10087000</v>
      </c>
      <c r="S412" s="13">
        <f>SUMIF(H:H,Online_eCommerce[[#This Row],[Brand]],M:M)</f>
        <v>13113100</v>
      </c>
      <c r="T412" s="13">
        <f>SUMIF(N:N,Online_eCommerce[[#This Row],[Assigned Supervisor]],L:L)</f>
        <v>13693220</v>
      </c>
    </row>
    <row r="413" spans="1:20" hidden="1" x14ac:dyDescent="0.3">
      <c r="A413" t="s">
        <v>758</v>
      </c>
      <c r="B413" t="s">
        <v>235</v>
      </c>
      <c r="C413" t="s">
        <v>185</v>
      </c>
      <c r="D413" t="s">
        <v>667</v>
      </c>
      <c r="E413" t="s">
        <v>161</v>
      </c>
      <c r="F413" t="s">
        <v>759</v>
      </c>
      <c r="G413" t="s">
        <v>40</v>
      </c>
      <c r="H413" t="s">
        <v>41</v>
      </c>
      <c r="I413">
        <v>6550</v>
      </c>
      <c r="J413">
        <v>8515</v>
      </c>
      <c r="K413">
        <v>3</v>
      </c>
      <c r="L413">
        <v>19650</v>
      </c>
      <c r="M413">
        <v>25545</v>
      </c>
      <c r="N413" t="s">
        <v>28</v>
      </c>
      <c r="O413">
        <f t="shared" si="12"/>
        <v>25545</v>
      </c>
      <c r="P413" s="13">
        <f t="shared" si="13"/>
        <v>2091596</v>
      </c>
      <c r="Q413" s="13">
        <f>SUMIFS(M:M,E:E,Online_eCommerce[[#This Row],[Status]])</f>
        <v>21103186</v>
      </c>
      <c r="R413" s="13">
        <f>SUMIFS(L:L,H:H,Online_eCommerce[[#This Row],[Brand]])</f>
        <v>4260400</v>
      </c>
      <c r="S413" s="13">
        <f>SUMIF(H:H,Online_eCommerce[[#This Row],[Brand]],M:M)</f>
        <v>5538520</v>
      </c>
      <c r="T413" s="13">
        <f>SUMIF(N:N,Online_eCommerce[[#This Row],[Assigned Supervisor]],L:L)</f>
        <v>12220830</v>
      </c>
    </row>
    <row r="414" spans="1:20" x14ac:dyDescent="0.3">
      <c r="A414" t="s">
        <v>760</v>
      </c>
      <c r="B414" t="s">
        <v>235</v>
      </c>
      <c r="C414" t="s">
        <v>189</v>
      </c>
      <c r="D414" t="s">
        <v>667</v>
      </c>
      <c r="E414" t="s">
        <v>46</v>
      </c>
      <c r="F414" t="s">
        <v>47</v>
      </c>
      <c r="G414" t="s">
        <v>334</v>
      </c>
      <c r="H414" t="s">
        <v>49</v>
      </c>
      <c r="I414">
        <v>7650</v>
      </c>
      <c r="J414">
        <v>9945</v>
      </c>
      <c r="K414">
        <v>3</v>
      </c>
      <c r="L414">
        <v>22950</v>
      </c>
      <c r="M414">
        <v>29835</v>
      </c>
      <c r="N414" t="s">
        <v>35</v>
      </c>
      <c r="O414">
        <f t="shared" si="12"/>
        <v>39780</v>
      </c>
      <c r="P414" s="13">
        <f t="shared" si="13"/>
        <v>2740777</v>
      </c>
      <c r="Q414" s="13">
        <f>SUMIFS(M:M,E:E,Online_eCommerce[[#This Row],[Status]])</f>
        <v>28620410</v>
      </c>
      <c r="R414" s="13">
        <f>SUMIFS(L:L,H:H,Online_eCommerce[[#This Row],[Brand]])</f>
        <v>4528350</v>
      </c>
      <c r="S414" s="13">
        <f>SUMIF(H:H,Online_eCommerce[[#This Row],[Brand]],M:M)</f>
        <v>5886855</v>
      </c>
      <c r="T414" s="13">
        <f>SUMIF(N:N,Online_eCommerce[[#This Row],[Assigned Supervisor]],L:L)</f>
        <v>14373360</v>
      </c>
    </row>
    <row r="415" spans="1:20" hidden="1" x14ac:dyDescent="0.3">
      <c r="A415" t="s">
        <v>761</v>
      </c>
      <c r="B415" t="s">
        <v>235</v>
      </c>
      <c r="C415" t="s">
        <v>193</v>
      </c>
      <c r="D415" t="s">
        <v>667</v>
      </c>
      <c r="E415" t="s">
        <v>96</v>
      </c>
      <c r="F415" t="s">
        <v>53</v>
      </c>
      <c r="G415" t="s">
        <v>54</v>
      </c>
      <c r="H415" t="s">
        <v>55</v>
      </c>
      <c r="I415">
        <v>1150</v>
      </c>
      <c r="J415">
        <v>1495</v>
      </c>
      <c r="K415">
        <v>4</v>
      </c>
      <c r="L415">
        <v>4600</v>
      </c>
      <c r="M415">
        <v>5980</v>
      </c>
      <c r="N415" t="s">
        <v>42</v>
      </c>
      <c r="O415">
        <f t="shared" si="12"/>
        <v>2990</v>
      </c>
      <c r="P415" s="13">
        <f t="shared" si="13"/>
        <v>2074774</v>
      </c>
      <c r="Q415" s="13">
        <f>SUMIFS(M:M,E:E,Online_eCommerce[[#This Row],[Status]])</f>
        <v>21233992</v>
      </c>
      <c r="R415" s="13">
        <f>SUMIFS(L:L,H:H,Online_eCommerce[[#This Row],[Brand]])</f>
        <v>2267380</v>
      </c>
      <c r="S415" s="13">
        <f>SUMIF(H:H,Online_eCommerce[[#This Row],[Brand]],M:M)</f>
        <v>2947594</v>
      </c>
      <c r="T415" s="13">
        <f>SUMIF(N:N,Online_eCommerce[[#This Row],[Assigned Supervisor]],L:L)</f>
        <v>12261500</v>
      </c>
    </row>
    <row r="416" spans="1:20" hidden="1" x14ac:dyDescent="0.3">
      <c r="A416" t="s">
        <v>762</v>
      </c>
      <c r="B416" t="s">
        <v>235</v>
      </c>
      <c r="C416" t="s">
        <v>197</v>
      </c>
      <c r="D416" t="s">
        <v>667</v>
      </c>
      <c r="E416" t="s">
        <v>18</v>
      </c>
      <c r="F416" t="s">
        <v>59</v>
      </c>
      <c r="G416" t="s">
        <v>60</v>
      </c>
      <c r="H416" t="s">
        <v>61</v>
      </c>
      <c r="I416">
        <v>850</v>
      </c>
      <c r="J416">
        <v>1105</v>
      </c>
      <c r="K416">
        <v>3</v>
      </c>
      <c r="L416">
        <v>2550</v>
      </c>
      <c r="M416">
        <v>3315</v>
      </c>
      <c r="N416" t="s">
        <v>50</v>
      </c>
      <c r="O416">
        <f t="shared" si="12"/>
        <v>3315</v>
      </c>
      <c r="P416" s="13">
        <f t="shared" si="13"/>
        <v>2829840</v>
      </c>
      <c r="Q416" s="13">
        <f>SUMIFS(M:M,E:E,Online_eCommerce[[#This Row],[Status]])</f>
        <v>28340455</v>
      </c>
      <c r="R416" s="13">
        <f>SUMIFS(L:L,H:H,Online_eCommerce[[#This Row],[Brand]])</f>
        <v>10950150</v>
      </c>
      <c r="S416" s="13">
        <f>SUMIF(H:H,Online_eCommerce[[#This Row],[Brand]],M:M)</f>
        <v>14235195</v>
      </c>
      <c r="T416" s="13">
        <f>SUMIF(N:N,Online_eCommerce[[#This Row],[Assigned Supervisor]],L:L)</f>
        <v>12100590</v>
      </c>
    </row>
    <row r="417" spans="1:20" hidden="1" x14ac:dyDescent="0.3">
      <c r="A417" t="s">
        <v>763</v>
      </c>
      <c r="B417" t="s">
        <v>235</v>
      </c>
      <c r="C417" t="s">
        <v>199</v>
      </c>
      <c r="D417" t="s">
        <v>667</v>
      </c>
      <c r="E417" t="s">
        <v>161</v>
      </c>
      <c r="F417" t="s">
        <v>65</v>
      </c>
      <c r="G417" t="s">
        <v>66</v>
      </c>
      <c r="H417" t="s">
        <v>21</v>
      </c>
      <c r="I417">
        <v>650</v>
      </c>
      <c r="J417">
        <v>845</v>
      </c>
      <c r="K417">
        <v>4</v>
      </c>
      <c r="L417">
        <v>2600</v>
      </c>
      <c r="M417">
        <v>3380</v>
      </c>
      <c r="N417" t="s">
        <v>56</v>
      </c>
      <c r="O417">
        <f t="shared" si="12"/>
        <v>1690</v>
      </c>
      <c r="P417" s="13">
        <f t="shared" si="13"/>
        <v>1947361</v>
      </c>
      <c r="Q417" s="13">
        <f>SUMIFS(M:M,E:E,Online_eCommerce[[#This Row],[Status]])</f>
        <v>21103186</v>
      </c>
      <c r="R417" s="13">
        <f>SUMIFS(L:L,H:H,Online_eCommerce[[#This Row],[Brand]])</f>
        <v>12435650</v>
      </c>
      <c r="S417" s="13">
        <f>SUMIF(H:H,Online_eCommerce[[#This Row],[Brand]],M:M)</f>
        <v>16166345</v>
      </c>
      <c r="T417" s="13">
        <f>SUMIF(N:N,Online_eCommerce[[#This Row],[Assigned Supervisor]],L:L)</f>
        <v>11733610</v>
      </c>
    </row>
    <row r="418" spans="1:20" x14ac:dyDescent="0.3">
      <c r="A418" t="s">
        <v>764</v>
      </c>
      <c r="B418" t="s">
        <v>235</v>
      </c>
      <c r="C418" t="s">
        <v>203</v>
      </c>
      <c r="D418" t="s">
        <v>667</v>
      </c>
      <c r="E418" t="s">
        <v>46</v>
      </c>
      <c r="F418" t="s">
        <v>70</v>
      </c>
      <c r="G418" t="s">
        <v>71</v>
      </c>
      <c r="H418" t="s">
        <v>61</v>
      </c>
      <c r="I418">
        <v>7500</v>
      </c>
      <c r="J418">
        <v>9750</v>
      </c>
      <c r="K418">
        <v>1</v>
      </c>
      <c r="L418">
        <v>7500</v>
      </c>
      <c r="M418">
        <v>9750</v>
      </c>
      <c r="N418" t="s">
        <v>22</v>
      </c>
      <c r="O418">
        <f t="shared" si="12"/>
        <v>9750</v>
      </c>
      <c r="P418" s="13">
        <f t="shared" si="13"/>
        <v>2559635</v>
      </c>
      <c r="Q418" s="13">
        <f>SUMIFS(M:M,E:E,Online_eCommerce[[#This Row],[Status]])</f>
        <v>28620410</v>
      </c>
      <c r="R418" s="13">
        <f>SUMIFS(L:L,H:H,Online_eCommerce[[#This Row],[Brand]])</f>
        <v>10950150</v>
      </c>
      <c r="S418" s="13">
        <f>SUMIF(H:H,Online_eCommerce[[#This Row],[Brand]],M:M)</f>
        <v>14235195</v>
      </c>
      <c r="T418" s="13">
        <f>SUMIF(N:N,Online_eCommerce[[#This Row],[Assigned Supervisor]],L:L)</f>
        <v>13693220</v>
      </c>
    </row>
    <row r="419" spans="1:20" hidden="1" x14ac:dyDescent="0.3">
      <c r="A419" t="s">
        <v>765</v>
      </c>
      <c r="B419" t="s">
        <v>235</v>
      </c>
      <c r="C419" t="s">
        <v>205</v>
      </c>
      <c r="D419" t="s">
        <v>667</v>
      </c>
      <c r="E419" t="s">
        <v>96</v>
      </c>
      <c r="F419" t="s">
        <v>752</v>
      </c>
      <c r="G419" t="s">
        <v>77</v>
      </c>
      <c r="H419" t="s">
        <v>78</v>
      </c>
      <c r="I419">
        <v>10000</v>
      </c>
      <c r="J419">
        <v>13000</v>
      </c>
      <c r="K419">
        <v>4</v>
      </c>
      <c r="L419">
        <v>40000</v>
      </c>
      <c r="M419">
        <v>52000</v>
      </c>
      <c r="N419" t="s">
        <v>28</v>
      </c>
      <c r="O419">
        <f t="shared" si="12"/>
        <v>39000</v>
      </c>
      <c r="P419" s="13">
        <f t="shared" si="13"/>
        <v>1983254</v>
      </c>
      <c r="Q419" s="13">
        <f>SUMIFS(M:M,E:E,Online_eCommerce[[#This Row],[Status]])</f>
        <v>21233992</v>
      </c>
      <c r="R419" s="13">
        <f>SUMIFS(L:L,H:H,Online_eCommerce[[#This Row],[Brand]])</f>
        <v>3720000</v>
      </c>
      <c r="S419" s="13">
        <f>SUMIF(H:H,Online_eCommerce[[#This Row],[Brand]],M:M)</f>
        <v>4836000</v>
      </c>
      <c r="T419" s="13">
        <f>SUMIF(N:N,Online_eCommerce[[#This Row],[Assigned Supervisor]],L:L)</f>
        <v>12220830</v>
      </c>
    </row>
    <row r="420" spans="1:20" hidden="1" x14ac:dyDescent="0.3">
      <c r="A420" t="s">
        <v>766</v>
      </c>
      <c r="B420" t="s">
        <v>235</v>
      </c>
      <c r="C420" t="s">
        <v>208</v>
      </c>
      <c r="D420" t="s">
        <v>667</v>
      </c>
      <c r="E420" t="s">
        <v>18</v>
      </c>
      <c r="F420" t="s">
        <v>767</v>
      </c>
      <c r="G420" t="s">
        <v>20</v>
      </c>
      <c r="H420" t="s">
        <v>21</v>
      </c>
      <c r="I420">
        <v>10500</v>
      </c>
      <c r="J420">
        <v>13650</v>
      </c>
      <c r="K420">
        <v>3</v>
      </c>
      <c r="L420">
        <v>31500</v>
      </c>
      <c r="M420">
        <v>40950</v>
      </c>
      <c r="N420" t="s">
        <v>35</v>
      </c>
      <c r="O420">
        <f t="shared" si="12"/>
        <v>8450</v>
      </c>
      <c r="P420" s="13">
        <f t="shared" si="13"/>
        <v>2746575</v>
      </c>
      <c r="Q420" s="13">
        <f>SUMIFS(M:M,E:E,Online_eCommerce[[#This Row],[Status]])</f>
        <v>28340455</v>
      </c>
      <c r="R420" s="13">
        <f>SUMIFS(L:L,H:H,Online_eCommerce[[#This Row],[Brand]])</f>
        <v>12435650</v>
      </c>
      <c r="S420" s="13">
        <f>SUMIF(H:H,Online_eCommerce[[#This Row],[Brand]],M:M)</f>
        <v>16166345</v>
      </c>
      <c r="T420" s="13">
        <f>SUMIF(N:N,Online_eCommerce[[#This Row],[Assigned Supervisor]],L:L)</f>
        <v>14373360</v>
      </c>
    </row>
    <row r="421" spans="1:20" hidden="1" x14ac:dyDescent="0.3">
      <c r="A421" t="s">
        <v>768</v>
      </c>
      <c r="B421" t="s">
        <v>235</v>
      </c>
      <c r="C421" t="s">
        <v>211</v>
      </c>
      <c r="D421" t="s">
        <v>667</v>
      </c>
      <c r="E421" t="s">
        <v>161</v>
      </c>
      <c r="F421" t="s">
        <v>88</v>
      </c>
      <c r="G421" t="s">
        <v>26</v>
      </c>
      <c r="H421" t="s">
        <v>27</v>
      </c>
      <c r="I421">
        <v>8500</v>
      </c>
      <c r="J421">
        <v>11050</v>
      </c>
      <c r="K421">
        <v>3</v>
      </c>
      <c r="L421">
        <v>25500</v>
      </c>
      <c r="M421">
        <v>33150</v>
      </c>
      <c r="N421" t="s">
        <v>42</v>
      </c>
      <c r="O421">
        <f t="shared" si="12"/>
        <v>33150</v>
      </c>
      <c r="P421" s="13">
        <f t="shared" si="13"/>
        <v>1809847</v>
      </c>
      <c r="Q421" s="13">
        <f>SUMIFS(M:M,E:E,Online_eCommerce[[#This Row],[Status]])</f>
        <v>21103186</v>
      </c>
      <c r="R421" s="13">
        <f>SUMIFS(L:L,H:H,Online_eCommerce[[#This Row],[Brand]])</f>
        <v>14431000</v>
      </c>
      <c r="S421" s="13">
        <f>SUMIF(H:H,Online_eCommerce[[#This Row],[Brand]],M:M)</f>
        <v>18760300</v>
      </c>
      <c r="T421" s="13">
        <f>SUMIF(N:N,Online_eCommerce[[#This Row],[Assigned Supervisor]],L:L)</f>
        <v>12261500</v>
      </c>
    </row>
    <row r="422" spans="1:20" x14ac:dyDescent="0.3">
      <c r="A422" t="s">
        <v>769</v>
      </c>
      <c r="B422" t="s">
        <v>235</v>
      </c>
      <c r="C422" t="s">
        <v>16</v>
      </c>
      <c r="D422" t="s">
        <v>667</v>
      </c>
      <c r="E422" t="s">
        <v>46</v>
      </c>
      <c r="F422" t="s">
        <v>32</v>
      </c>
      <c r="G422" t="s">
        <v>33</v>
      </c>
      <c r="H422" t="s">
        <v>34</v>
      </c>
      <c r="I422">
        <v>7000</v>
      </c>
      <c r="J422">
        <v>9100</v>
      </c>
      <c r="K422">
        <v>4</v>
      </c>
      <c r="L422">
        <v>28000</v>
      </c>
      <c r="M422">
        <v>36400</v>
      </c>
      <c r="N422" t="s">
        <v>50</v>
      </c>
      <c r="O422">
        <f t="shared" si="12"/>
        <v>18200</v>
      </c>
      <c r="P422" s="13">
        <f t="shared" si="13"/>
        <v>2751814</v>
      </c>
      <c r="Q422" s="13">
        <f>SUMIFS(M:M,E:E,Online_eCommerce[[#This Row],[Status]])</f>
        <v>28620410</v>
      </c>
      <c r="R422" s="13">
        <f>SUMIFS(L:L,H:H,Online_eCommerce[[#This Row],[Brand]])</f>
        <v>10087000</v>
      </c>
      <c r="S422" s="13">
        <f>SUMIF(H:H,Online_eCommerce[[#This Row],[Brand]],M:M)</f>
        <v>13113100</v>
      </c>
      <c r="T422" s="13">
        <f>SUMIF(N:N,Online_eCommerce[[#This Row],[Assigned Supervisor]],L:L)</f>
        <v>12100590</v>
      </c>
    </row>
    <row r="423" spans="1:20" hidden="1" x14ac:dyDescent="0.3">
      <c r="A423" t="s">
        <v>770</v>
      </c>
      <c r="B423" t="s">
        <v>235</v>
      </c>
      <c r="C423" t="s">
        <v>24</v>
      </c>
      <c r="D423" t="s">
        <v>667</v>
      </c>
      <c r="E423" t="s">
        <v>96</v>
      </c>
      <c r="F423" t="s">
        <v>771</v>
      </c>
      <c r="G423" t="s">
        <v>40</v>
      </c>
      <c r="H423" t="s">
        <v>41</v>
      </c>
      <c r="I423">
        <v>1680</v>
      </c>
      <c r="J423">
        <v>2184</v>
      </c>
      <c r="K423">
        <v>1</v>
      </c>
      <c r="L423">
        <v>1680</v>
      </c>
      <c r="M423">
        <v>2184</v>
      </c>
      <c r="N423" t="s">
        <v>56</v>
      </c>
      <c r="O423">
        <f t="shared" si="12"/>
        <v>25545</v>
      </c>
      <c r="P423" s="13">
        <f t="shared" si="13"/>
        <v>2009540</v>
      </c>
      <c r="Q423" s="13">
        <f>SUMIFS(M:M,E:E,Online_eCommerce[[#This Row],[Status]])</f>
        <v>21233992</v>
      </c>
      <c r="R423" s="13">
        <f>SUMIFS(L:L,H:H,Online_eCommerce[[#This Row],[Brand]])</f>
        <v>4260400</v>
      </c>
      <c r="S423" s="13">
        <f>SUMIF(H:H,Online_eCommerce[[#This Row],[Brand]],M:M)</f>
        <v>5538520</v>
      </c>
      <c r="T423" s="13">
        <f>SUMIF(N:N,Online_eCommerce[[#This Row],[Assigned Supervisor]],L:L)</f>
        <v>11733610</v>
      </c>
    </row>
    <row r="424" spans="1:20" hidden="1" x14ac:dyDescent="0.3">
      <c r="A424" t="s">
        <v>772</v>
      </c>
      <c r="B424" t="s">
        <v>235</v>
      </c>
      <c r="C424" t="s">
        <v>31</v>
      </c>
      <c r="D424" t="s">
        <v>667</v>
      </c>
      <c r="E424" t="s">
        <v>18</v>
      </c>
      <c r="F424" t="s">
        <v>101</v>
      </c>
      <c r="G424" t="s">
        <v>334</v>
      </c>
      <c r="H424" t="s">
        <v>102</v>
      </c>
      <c r="I424">
        <v>6540</v>
      </c>
      <c r="J424">
        <v>8502</v>
      </c>
      <c r="K424">
        <v>4</v>
      </c>
      <c r="L424">
        <v>26160</v>
      </c>
      <c r="M424">
        <v>34008</v>
      </c>
      <c r="N424" t="s">
        <v>22</v>
      </c>
      <c r="O424">
        <f t="shared" si="12"/>
        <v>39780</v>
      </c>
      <c r="P424" s="13">
        <f t="shared" si="13"/>
        <v>2865746</v>
      </c>
      <c r="Q424" s="13">
        <f>SUMIFS(M:M,E:E,Online_eCommerce[[#This Row],[Status]])</f>
        <v>28340455</v>
      </c>
      <c r="R424" s="13">
        <f>SUMIFS(L:L,H:H,Online_eCommerce[[#This Row],[Brand]])</f>
        <v>2465580</v>
      </c>
      <c r="S424" s="13">
        <f>SUMIF(H:H,Online_eCommerce[[#This Row],[Brand]],M:M)</f>
        <v>3205254</v>
      </c>
      <c r="T424" s="13">
        <f>SUMIF(N:N,Online_eCommerce[[#This Row],[Assigned Supervisor]],L:L)</f>
        <v>13693220</v>
      </c>
    </row>
    <row r="425" spans="1:20" hidden="1" x14ac:dyDescent="0.3">
      <c r="A425" t="s">
        <v>773</v>
      </c>
      <c r="B425" t="s">
        <v>235</v>
      </c>
      <c r="C425" t="s">
        <v>38</v>
      </c>
      <c r="D425" t="s">
        <v>667</v>
      </c>
      <c r="E425" t="s">
        <v>161</v>
      </c>
      <c r="F425" t="s">
        <v>107</v>
      </c>
      <c r="G425" t="s">
        <v>54</v>
      </c>
      <c r="H425" t="s">
        <v>55</v>
      </c>
      <c r="I425">
        <v>2680</v>
      </c>
      <c r="J425">
        <v>3484</v>
      </c>
      <c r="K425">
        <v>4</v>
      </c>
      <c r="L425">
        <v>10720</v>
      </c>
      <c r="M425">
        <v>13936</v>
      </c>
      <c r="N425" t="s">
        <v>28</v>
      </c>
      <c r="O425">
        <f t="shared" si="12"/>
        <v>2990</v>
      </c>
      <c r="P425" s="13">
        <f t="shared" si="13"/>
        <v>1933997</v>
      </c>
      <c r="Q425" s="13">
        <f>SUMIFS(M:M,E:E,Online_eCommerce[[#This Row],[Status]])</f>
        <v>21103186</v>
      </c>
      <c r="R425" s="13">
        <f>SUMIFS(L:L,H:H,Online_eCommerce[[#This Row],[Brand]])</f>
        <v>2267380</v>
      </c>
      <c r="S425" s="13">
        <f>SUMIF(H:H,Online_eCommerce[[#This Row],[Brand]],M:M)</f>
        <v>2947594</v>
      </c>
      <c r="T425" s="13">
        <f>SUMIF(N:N,Online_eCommerce[[#This Row],[Assigned Supervisor]],L:L)</f>
        <v>12220830</v>
      </c>
    </row>
    <row r="426" spans="1:20" x14ac:dyDescent="0.3">
      <c r="A426" t="s">
        <v>774</v>
      </c>
      <c r="B426" t="s">
        <v>235</v>
      </c>
      <c r="C426" t="s">
        <v>45</v>
      </c>
      <c r="D426" t="s">
        <v>667</v>
      </c>
      <c r="E426" t="s">
        <v>46</v>
      </c>
      <c r="F426" t="s">
        <v>112</v>
      </c>
      <c r="G426" t="s">
        <v>71</v>
      </c>
      <c r="H426" t="s">
        <v>21</v>
      </c>
      <c r="I426">
        <v>8250</v>
      </c>
      <c r="J426">
        <v>10725</v>
      </c>
      <c r="K426">
        <v>2</v>
      </c>
      <c r="L426">
        <v>16500</v>
      </c>
      <c r="M426">
        <v>21450</v>
      </c>
      <c r="N426" t="s">
        <v>35</v>
      </c>
      <c r="O426">
        <f t="shared" si="12"/>
        <v>9750</v>
      </c>
      <c r="P426" s="13">
        <f t="shared" si="13"/>
        <v>2842554</v>
      </c>
      <c r="Q426" s="13">
        <f>SUMIFS(M:M,E:E,Online_eCommerce[[#This Row],[Status]])</f>
        <v>28620410</v>
      </c>
      <c r="R426" s="13">
        <f>SUMIFS(L:L,H:H,Online_eCommerce[[#This Row],[Brand]])</f>
        <v>12435650</v>
      </c>
      <c r="S426" s="13">
        <f>SUMIF(H:H,Online_eCommerce[[#This Row],[Brand]],M:M)</f>
        <v>16166345</v>
      </c>
      <c r="T426" s="13">
        <f>SUMIF(N:N,Online_eCommerce[[#This Row],[Assigned Supervisor]],L:L)</f>
        <v>14373360</v>
      </c>
    </row>
    <row r="427" spans="1:20" hidden="1" x14ac:dyDescent="0.3">
      <c r="A427" t="s">
        <v>775</v>
      </c>
      <c r="B427" t="s">
        <v>235</v>
      </c>
      <c r="C427" t="s">
        <v>52</v>
      </c>
      <c r="D427" t="s">
        <v>667</v>
      </c>
      <c r="E427" t="s">
        <v>96</v>
      </c>
      <c r="F427" t="s">
        <v>412</v>
      </c>
      <c r="G427" t="s">
        <v>40</v>
      </c>
      <c r="H427" t="s">
        <v>21</v>
      </c>
      <c r="I427">
        <v>2650</v>
      </c>
      <c r="J427">
        <v>3445</v>
      </c>
      <c r="K427">
        <v>3</v>
      </c>
      <c r="L427">
        <v>7950</v>
      </c>
      <c r="M427">
        <v>10335</v>
      </c>
      <c r="N427" t="s">
        <v>42</v>
      </c>
      <c r="O427">
        <f t="shared" si="12"/>
        <v>25545</v>
      </c>
      <c r="P427" s="13">
        <f t="shared" si="13"/>
        <v>1955044</v>
      </c>
      <c r="Q427" s="13">
        <f>SUMIFS(M:M,E:E,Online_eCommerce[[#This Row],[Status]])</f>
        <v>21233992</v>
      </c>
      <c r="R427" s="13">
        <f>SUMIFS(L:L,H:H,Online_eCommerce[[#This Row],[Brand]])</f>
        <v>12435650</v>
      </c>
      <c r="S427" s="13">
        <f>SUMIF(H:H,Online_eCommerce[[#This Row],[Brand]],M:M)</f>
        <v>16166345</v>
      </c>
      <c r="T427" s="13">
        <f>SUMIF(N:N,Online_eCommerce[[#This Row],[Assigned Supervisor]],L:L)</f>
        <v>12261500</v>
      </c>
    </row>
    <row r="428" spans="1:20" hidden="1" x14ac:dyDescent="0.3">
      <c r="A428" t="s">
        <v>776</v>
      </c>
      <c r="B428" t="s">
        <v>235</v>
      </c>
      <c r="C428" t="s">
        <v>58</v>
      </c>
      <c r="D428" t="s">
        <v>667</v>
      </c>
      <c r="E428" t="s">
        <v>18</v>
      </c>
      <c r="F428" t="s">
        <v>121</v>
      </c>
      <c r="G428" t="s">
        <v>71</v>
      </c>
      <c r="H428" t="s">
        <v>122</v>
      </c>
      <c r="I428">
        <v>12550</v>
      </c>
      <c r="J428">
        <v>16315</v>
      </c>
      <c r="K428">
        <v>4</v>
      </c>
      <c r="L428">
        <v>50200</v>
      </c>
      <c r="M428">
        <v>65260</v>
      </c>
      <c r="N428" t="s">
        <v>50</v>
      </c>
      <c r="O428">
        <f t="shared" si="12"/>
        <v>9750</v>
      </c>
      <c r="P428" s="13">
        <f t="shared" si="13"/>
        <v>2629211</v>
      </c>
      <c r="Q428" s="13">
        <f>SUMIFS(M:M,E:E,Online_eCommerce[[#This Row],[Status]])</f>
        <v>28340455</v>
      </c>
      <c r="R428" s="13">
        <f>SUMIFS(L:L,H:H,Online_eCommerce[[#This Row],[Brand]])</f>
        <v>5045100</v>
      </c>
      <c r="S428" s="13">
        <f>SUMIF(H:H,Online_eCommerce[[#This Row],[Brand]],M:M)</f>
        <v>6558630</v>
      </c>
      <c r="T428" s="13">
        <f>SUMIF(N:N,Online_eCommerce[[#This Row],[Assigned Supervisor]],L:L)</f>
        <v>12100590</v>
      </c>
    </row>
    <row r="429" spans="1:20" hidden="1" x14ac:dyDescent="0.3">
      <c r="A429" t="s">
        <v>777</v>
      </c>
      <c r="B429" t="s">
        <v>235</v>
      </c>
      <c r="C429" t="s">
        <v>63</v>
      </c>
      <c r="D429" t="s">
        <v>667</v>
      </c>
      <c r="E429" t="s">
        <v>161</v>
      </c>
      <c r="F429" t="s">
        <v>126</v>
      </c>
      <c r="G429" t="s">
        <v>26</v>
      </c>
      <c r="H429" t="s">
        <v>27</v>
      </c>
      <c r="I429">
        <v>14500</v>
      </c>
      <c r="J429">
        <v>18850</v>
      </c>
      <c r="K429">
        <v>3</v>
      </c>
      <c r="L429">
        <v>43500</v>
      </c>
      <c r="M429">
        <v>56550</v>
      </c>
      <c r="N429" t="s">
        <v>56</v>
      </c>
      <c r="O429">
        <f t="shared" si="12"/>
        <v>33150</v>
      </c>
      <c r="P429" s="13">
        <f t="shared" si="13"/>
        <v>2016131</v>
      </c>
      <c r="Q429" s="13">
        <f>SUMIFS(M:M,E:E,Online_eCommerce[[#This Row],[Status]])</f>
        <v>21103186</v>
      </c>
      <c r="R429" s="13">
        <f>SUMIFS(L:L,H:H,Online_eCommerce[[#This Row],[Brand]])</f>
        <v>14431000</v>
      </c>
      <c r="S429" s="13">
        <f>SUMIF(H:H,Online_eCommerce[[#This Row],[Brand]],M:M)</f>
        <v>18760300</v>
      </c>
      <c r="T429" s="13">
        <f>SUMIF(N:N,Online_eCommerce[[#This Row],[Assigned Supervisor]],L:L)</f>
        <v>11733610</v>
      </c>
    </row>
    <row r="430" spans="1:20" x14ac:dyDescent="0.3">
      <c r="A430" t="s">
        <v>778</v>
      </c>
      <c r="B430" t="s">
        <v>235</v>
      </c>
      <c r="C430" t="s">
        <v>68</v>
      </c>
      <c r="D430" t="s">
        <v>667</v>
      </c>
      <c r="E430" t="s">
        <v>46</v>
      </c>
      <c r="F430" t="s">
        <v>129</v>
      </c>
      <c r="G430" t="s">
        <v>60</v>
      </c>
      <c r="H430" t="s">
        <v>61</v>
      </c>
      <c r="I430">
        <v>800</v>
      </c>
      <c r="J430">
        <v>1040</v>
      </c>
      <c r="K430">
        <v>1</v>
      </c>
      <c r="L430">
        <v>800</v>
      </c>
      <c r="M430">
        <v>1040</v>
      </c>
      <c r="N430" t="s">
        <v>22</v>
      </c>
      <c r="O430">
        <f t="shared" si="12"/>
        <v>3315</v>
      </c>
      <c r="P430" s="13">
        <f t="shared" si="13"/>
        <v>2974621</v>
      </c>
      <c r="Q430" s="13">
        <f>SUMIFS(M:M,E:E,Online_eCommerce[[#This Row],[Status]])</f>
        <v>28620410</v>
      </c>
      <c r="R430" s="13">
        <f>SUMIFS(L:L,H:H,Online_eCommerce[[#This Row],[Brand]])</f>
        <v>10950150</v>
      </c>
      <c r="S430" s="13">
        <f>SUMIF(H:H,Online_eCommerce[[#This Row],[Brand]],M:M)</f>
        <v>14235195</v>
      </c>
      <c r="T430" s="13">
        <f>SUMIF(N:N,Online_eCommerce[[#This Row],[Assigned Supervisor]],L:L)</f>
        <v>13693220</v>
      </c>
    </row>
    <row r="431" spans="1:20" hidden="1" x14ac:dyDescent="0.3">
      <c r="A431" t="s">
        <v>779</v>
      </c>
      <c r="B431" t="s">
        <v>235</v>
      </c>
      <c r="C431" t="s">
        <v>74</v>
      </c>
      <c r="D431" t="s">
        <v>667</v>
      </c>
      <c r="E431" t="s">
        <v>96</v>
      </c>
      <c r="F431" t="s">
        <v>133</v>
      </c>
      <c r="G431" t="s">
        <v>66</v>
      </c>
      <c r="H431" t="s">
        <v>21</v>
      </c>
      <c r="I431">
        <v>600</v>
      </c>
      <c r="J431">
        <v>780</v>
      </c>
      <c r="K431">
        <v>4</v>
      </c>
      <c r="L431">
        <v>2400</v>
      </c>
      <c r="M431">
        <v>3120</v>
      </c>
      <c r="N431" t="s">
        <v>28</v>
      </c>
      <c r="O431">
        <f t="shared" si="12"/>
        <v>1690</v>
      </c>
      <c r="P431" s="13">
        <f t="shared" si="13"/>
        <v>2144701</v>
      </c>
      <c r="Q431" s="13">
        <f>SUMIFS(M:M,E:E,Online_eCommerce[[#This Row],[Status]])</f>
        <v>21233992</v>
      </c>
      <c r="R431" s="13">
        <f>SUMIFS(L:L,H:H,Online_eCommerce[[#This Row],[Brand]])</f>
        <v>12435650</v>
      </c>
      <c r="S431" s="13">
        <f>SUMIF(H:H,Online_eCommerce[[#This Row],[Brand]],M:M)</f>
        <v>16166345</v>
      </c>
      <c r="T431" s="13">
        <f>SUMIF(N:N,Online_eCommerce[[#This Row],[Assigned Supervisor]],L:L)</f>
        <v>12220830</v>
      </c>
    </row>
    <row r="432" spans="1:20" hidden="1" x14ac:dyDescent="0.3">
      <c r="A432" t="s">
        <v>780</v>
      </c>
      <c r="B432" t="s">
        <v>235</v>
      </c>
      <c r="C432" t="s">
        <v>81</v>
      </c>
      <c r="D432" t="s">
        <v>667</v>
      </c>
      <c r="E432" t="s">
        <v>18</v>
      </c>
      <c r="F432" t="s">
        <v>137</v>
      </c>
      <c r="G432" t="s">
        <v>71</v>
      </c>
      <c r="H432" t="s">
        <v>61</v>
      </c>
      <c r="I432">
        <v>10500</v>
      </c>
      <c r="J432">
        <v>13650</v>
      </c>
      <c r="K432">
        <v>2</v>
      </c>
      <c r="L432">
        <v>21000</v>
      </c>
      <c r="M432">
        <v>27300</v>
      </c>
      <c r="N432" t="s">
        <v>35</v>
      </c>
      <c r="O432">
        <f t="shared" si="12"/>
        <v>9750</v>
      </c>
      <c r="P432" s="13">
        <f t="shared" si="13"/>
        <v>2595632</v>
      </c>
      <c r="Q432" s="13">
        <f>SUMIFS(M:M,E:E,Online_eCommerce[[#This Row],[Status]])</f>
        <v>28340455</v>
      </c>
      <c r="R432" s="13">
        <f>SUMIFS(L:L,H:H,Online_eCommerce[[#This Row],[Brand]])</f>
        <v>10950150</v>
      </c>
      <c r="S432" s="13">
        <f>SUMIF(H:H,Online_eCommerce[[#This Row],[Brand]],M:M)</f>
        <v>14235195</v>
      </c>
      <c r="T432" s="13">
        <f>SUMIF(N:N,Online_eCommerce[[#This Row],[Assigned Supervisor]],L:L)</f>
        <v>14373360</v>
      </c>
    </row>
    <row r="433" spans="1:20" hidden="1" x14ac:dyDescent="0.3">
      <c r="A433" t="s">
        <v>781</v>
      </c>
      <c r="B433" t="s">
        <v>235</v>
      </c>
      <c r="C433" t="s">
        <v>86</v>
      </c>
      <c r="D433" t="s">
        <v>667</v>
      </c>
      <c r="E433" t="s">
        <v>161</v>
      </c>
      <c r="F433" t="s">
        <v>752</v>
      </c>
      <c r="G433" t="s">
        <v>77</v>
      </c>
      <c r="H433" t="s">
        <v>142</v>
      </c>
      <c r="I433">
        <v>6500</v>
      </c>
      <c r="J433">
        <v>8450</v>
      </c>
      <c r="K433">
        <v>2</v>
      </c>
      <c r="L433">
        <v>13000</v>
      </c>
      <c r="M433">
        <v>16900</v>
      </c>
      <c r="N433" t="s">
        <v>42</v>
      </c>
      <c r="O433">
        <f t="shared" si="12"/>
        <v>39000</v>
      </c>
      <c r="P433" s="13">
        <f t="shared" si="13"/>
        <v>1941225</v>
      </c>
      <c r="Q433" s="13">
        <f>SUMIFS(M:M,E:E,Online_eCommerce[[#This Row],[Status]])</f>
        <v>21103186</v>
      </c>
      <c r="R433" s="13">
        <f>SUMIFS(L:L,H:H,Online_eCommerce[[#This Row],[Brand]])</f>
        <v>6192500</v>
      </c>
      <c r="S433" s="13">
        <f>SUMIF(H:H,Online_eCommerce[[#This Row],[Brand]],M:M)</f>
        <v>8050250</v>
      </c>
      <c r="T433" s="13">
        <f>SUMIF(N:N,Online_eCommerce[[#This Row],[Assigned Supervisor]],L:L)</f>
        <v>12261500</v>
      </c>
    </row>
    <row r="434" spans="1:20" x14ac:dyDescent="0.3">
      <c r="A434" t="s">
        <v>782</v>
      </c>
      <c r="B434" t="s">
        <v>235</v>
      </c>
      <c r="C434" t="s">
        <v>91</v>
      </c>
      <c r="D434" t="s">
        <v>667</v>
      </c>
      <c r="E434" t="s">
        <v>46</v>
      </c>
      <c r="F434" t="s">
        <v>783</v>
      </c>
      <c r="G434" t="s">
        <v>20</v>
      </c>
      <c r="H434" t="s">
        <v>21</v>
      </c>
      <c r="I434">
        <v>4500</v>
      </c>
      <c r="J434">
        <v>5850</v>
      </c>
      <c r="K434">
        <v>1</v>
      </c>
      <c r="L434">
        <v>4500</v>
      </c>
      <c r="M434">
        <v>5850</v>
      </c>
      <c r="N434" t="s">
        <v>50</v>
      </c>
      <c r="O434">
        <f t="shared" si="12"/>
        <v>8450</v>
      </c>
      <c r="P434" s="13">
        <f t="shared" si="13"/>
        <v>2731963</v>
      </c>
      <c r="Q434" s="13">
        <f>SUMIFS(M:M,E:E,Online_eCommerce[[#This Row],[Status]])</f>
        <v>28620410</v>
      </c>
      <c r="R434" s="13">
        <f>SUMIFS(L:L,H:H,Online_eCommerce[[#This Row],[Brand]])</f>
        <v>12435650</v>
      </c>
      <c r="S434" s="13">
        <f>SUMIF(H:H,Online_eCommerce[[#This Row],[Brand]],M:M)</f>
        <v>16166345</v>
      </c>
      <c r="T434" s="13">
        <f>SUMIF(N:N,Online_eCommerce[[#This Row],[Assigned Supervisor]],L:L)</f>
        <v>12100590</v>
      </c>
    </row>
    <row r="435" spans="1:20" hidden="1" x14ac:dyDescent="0.3">
      <c r="A435" t="s">
        <v>784</v>
      </c>
      <c r="B435" t="s">
        <v>235</v>
      </c>
      <c r="C435" t="s">
        <v>94</v>
      </c>
      <c r="D435" t="s">
        <v>667</v>
      </c>
      <c r="E435" t="s">
        <v>96</v>
      </c>
      <c r="F435" t="s">
        <v>152</v>
      </c>
      <c r="G435" t="s">
        <v>26</v>
      </c>
      <c r="H435" t="s">
        <v>27</v>
      </c>
      <c r="I435">
        <v>8500</v>
      </c>
      <c r="J435">
        <v>11050</v>
      </c>
      <c r="K435">
        <v>2</v>
      </c>
      <c r="L435">
        <v>17000</v>
      </c>
      <c r="M435">
        <v>22100</v>
      </c>
      <c r="N435" t="s">
        <v>56</v>
      </c>
      <c r="O435">
        <f t="shared" si="12"/>
        <v>33150</v>
      </c>
      <c r="P435" s="13">
        <f t="shared" si="13"/>
        <v>1868256</v>
      </c>
      <c r="Q435" s="13">
        <f>SUMIFS(M:M,E:E,Online_eCommerce[[#This Row],[Status]])</f>
        <v>21233992</v>
      </c>
      <c r="R435" s="13">
        <f>SUMIFS(L:L,H:H,Online_eCommerce[[#This Row],[Brand]])</f>
        <v>14431000</v>
      </c>
      <c r="S435" s="13">
        <f>SUMIF(H:H,Online_eCommerce[[#This Row],[Brand]],M:M)</f>
        <v>18760300</v>
      </c>
      <c r="T435" s="13">
        <f>SUMIF(N:N,Online_eCommerce[[#This Row],[Assigned Supervisor]],L:L)</f>
        <v>11733610</v>
      </c>
    </row>
    <row r="436" spans="1:20" hidden="1" x14ac:dyDescent="0.3">
      <c r="A436" t="s">
        <v>785</v>
      </c>
      <c r="B436" t="s">
        <v>235</v>
      </c>
      <c r="C436" t="s">
        <v>99</v>
      </c>
      <c r="D436" t="s">
        <v>667</v>
      </c>
      <c r="E436" t="s">
        <v>18</v>
      </c>
      <c r="F436" t="s">
        <v>157</v>
      </c>
      <c r="G436" t="s">
        <v>33</v>
      </c>
      <c r="H436" t="s">
        <v>34</v>
      </c>
      <c r="I436">
        <v>12500</v>
      </c>
      <c r="J436">
        <v>16250</v>
      </c>
      <c r="K436">
        <v>2</v>
      </c>
      <c r="L436">
        <v>25000</v>
      </c>
      <c r="M436">
        <v>32500</v>
      </c>
      <c r="N436" t="s">
        <v>22</v>
      </c>
      <c r="O436">
        <f t="shared" si="12"/>
        <v>18200</v>
      </c>
      <c r="P436" s="13">
        <f t="shared" si="13"/>
        <v>2651233</v>
      </c>
      <c r="Q436" s="13">
        <f>SUMIFS(M:M,E:E,Online_eCommerce[[#This Row],[Status]])</f>
        <v>28340455</v>
      </c>
      <c r="R436" s="13">
        <f>SUMIFS(L:L,H:H,Online_eCommerce[[#This Row],[Brand]])</f>
        <v>10087000</v>
      </c>
      <c r="S436" s="13">
        <f>SUMIF(H:H,Online_eCommerce[[#This Row],[Brand]],M:M)</f>
        <v>13113100</v>
      </c>
      <c r="T436" s="13">
        <f>SUMIF(N:N,Online_eCommerce[[#This Row],[Assigned Supervisor]],L:L)</f>
        <v>13693220</v>
      </c>
    </row>
    <row r="437" spans="1:20" hidden="1" x14ac:dyDescent="0.3">
      <c r="A437" t="s">
        <v>786</v>
      </c>
      <c r="B437" t="s">
        <v>235</v>
      </c>
      <c r="C437" t="s">
        <v>105</v>
      </c>
      <c r="D437" t="s">
        <v>667</v>
      </c>
      <c r="E437" t="s">
        <v>161</v>
      </c>
      <c r="F437" t="s">
        <v>459</v>
      </c>
      <c r="G437" t="s">
        <v>163</v>
      </c>
      <c r="H437" t="s">
        <v>41</v>
      </c>
      <c r="I437">
        <v>3500</v>
      </c>
      <c r="J437">
        <v>4550</v>
      </c>
      <c r="K437">
        <v>4</v>
      </c>
      <c r="L437">
        <v>14000</v>
      </c>
      <c r="M437">
        <v>18200</v>
      </c>
      <c r="N437" t="s">
        <v>28</v>
      </c>
      <c r="O437">
        <f t="shared" si="12"/>
        <v>13650</v>
      </c>
      <c r="P437" s="13">
        <f t="shared" si="13"/>
        <v>1866852</v>
      </c>
      <c r="Q437" s="13">
        <f>SUMIFS(M:M,E:E,Online_eCommerce[[#This Row],[Status]])</f>
        <v>21103186</v>
      </c>
      <c r="R437" s="13">
        <f>SUMIFS(L:L,H:H,Online_eCommerce[[#This Row],[Brand]])</f>
        <v>4260400</v>
      </c>
      <c r="S437" s="13">
        <f>SUMIF(H:H,Online_eCommerce[[#This Row],[Brand]],M:M)</f>
        <v>5538520</v>
      </c>
      <c r="T437" s="13">
        <f>SUMIF(N:N,Online_eCommerce[[#This Row],[Assigned Supervisor]],L:L)</f>
        <v>12220830</v>
      </c>
    </row>
    <row r="438" spans="1:20" x14ac:dyDescent="0.3">
      <c r="A438" t="s">
        <v>787</v>
      </c>
      <c r="B438" t="s">
        <v>235</v>
      </c>
      <c r="C438" t="s">
        <v>110</v>
      </c>
      <c r="D438" t="s">
        <v>667</v>
      </c>
      <c r="E438" t="s">
        <v>46</v>
      </c>
      <c r="F438" t="s">
        <v>166</v>
      </c>
      <c r="G438" t="s">
        <v>66</v>
      </c>
      <c r="H438" t="s">
        <v>49</v>
      </c>
      <c r="I438">
        <v>4500</v>
      </c>
      <c r="J438">
        <v>5850</v>
      </c>
      <c r="K438">
        <v>2</v>
      </c>
      <c r="L438">
        <v>9000</v>
      </c>
      <c r="M438">
        <v>11700</v>
      </c>
      <c r="N438" t="s">
        <v>35</v>
      </c>
      <c r="O438">
        <f t="shared" si="12"/>
        <v>1690</v>
      </c>
      <c r="P438" s="13">
        <f t="shared" si="13"/>
        <v>2598635</v>
      </c>
      <c r="Q438" s="13">
        <f>SUMIFS(M:M,E:E,Online_eCommerce[[#This Row],[Status]])</f>
        <v>28620410</v>
      </c>
      <c r="R438" s="13">
        <f>SUMIFS(L:L,H:H,Online_eCommerce[[#This Row],[Brand]])</f>
        <v>4528350</v>
      </c>
      <c r="S438" s="13">
        <f>SUMIF(H:H,Online_eCommerce[[#This Row],[Brand]],M:M)</f>
        <v>5886855</v>
      </c>
      <c r="T438" s="13">
        <f>SUMIF(N:N,Online_eCommerce[[#This Row],[Assigned Supervisor]],L:L)</f>
        <v>14373360</v>
      </c>
    </row>
    <row r="439" spans="1:20" hidden="1" x14ac:dyDescent="0.3">
      <c r="A439" t="s">
        <v>788</v>
      </c>
      <c r="B439" t="s">
        <v>235</v>
      </c>
      <c r="C439" t="s">
        <v>115</v>
      </c>
      <c r="D439" t="s">
        <v>667</v>
      </c>
      <c r="E439" t="s">
        <v>96</v>
      </c>
      <c r="F439" t="s">
        <v>789</v>
      </c>
      <c r="G439" t="s">
        <v>54</v>
      </c>
      <c r="H439" t="s">
        <v>55</v>
      </c>
      <c r="I439">
        <v>2100</v>
      </c>
      <c r="J439">
        <v>2730</v>
      </c>
      <c r="K439">
        <v>3</v>
      </c>
      <c r="L439">
        <v>6300</v>
      </c>
      <c r="M439">
        <v>8190</v>
      </c>
      <c r="N439" t="s">
        <v>42</v>
      </c>
      <c r="O439">
        <f t="shared" si="12"/>
        <v>2990</v>
      </c>
      <c r="P439" s="13">
        <f t="shared" si="13"/>
        <v>2050178</v>
      </c>
      <c r="Q439" s="13">
        <f>SUMIFS(M:M,E:E,Online_eCommerce[[#This Row],[Status]])</f>
        <v>21233992</v>
      </c>
      <c r="R439" s="13">
        <f>SUMIFS(L:L,H:H,Online_eCommerce[[#This Row],[Brand]])</f>
        <v>2267380</v>
      </c>
      <c r="S439" s="13">
        <f>SUMIF(H:H,Online_eCommerce[[#This Row],[Brand]],M:M)</f>
        <v>2947594</v>
      </c>
      <c r="T439" s="13">
        <f>SUMIF(N:N,Online_eCommerce[[#This Row],[Assigned Supervisor]],L:L)</f>
        <v>12261500</v>
      </c>
    </row>
    <row r="440" spans="1:20" hidden="1" x14ac:dyDescent="0.3">
      <c r="A440" t="s">
        <v>790</v>
      </c>
      <c r="B440" t="s">
        <v>235</v>
      </c>
      <c r="C440" t="s">
        <v>120</v>
      </c>
      <c r="D440" t="s">
        <v>667</v>
      </c>
      <c r="E440" t="s">
        <v>18</v>
      </c>
      <c r="F440" t="s">
        <v>174</v>
      </c>
      <c r="G440" t="s">
        <v>60</v>
      </c>
      <c r="H440" t="s">
        <v>61</v>
      </c>
      <c r="I440">
        <v>1150</v>
      </c>
      <c r="J440">
        <v>1495</v>
      </c>
      <c r="K440">
        <v>3</v>
      </c>
      <c r="L440">
        <v>3450</v>
      </c>
      <c r="M440">
        <v>4485</v>
      </c>
      <c r="N440" t="s">
        <v>50</v>
      </c>
      <c r="O440">
        <f t="shared" si="12"/>
        <v>3315</v>
      </c>
      <c r="P440" s="13">
        <f t="shared" si="13"/>
        <v>2734212</v>
      </c>
      <c r="Q440" s="13">
        <f>SUMIFS(M:M,E:E,Online_eCommerce[[#This Row],[Status]])</f>
        <v>28340455</v>
      </c>
      <c r="R440" s="13">
        <f>SUMIFS(L:L,H:H,Online_eCommerce[[#This Row],[Brand]])</f>
        <v>10950150</v>
      </c>
      <c r="S440" s="13">
        <f>SUMIF(H:H,Online_eCommerce[[#This Row],[Brand]],M:M)</f>
        <v>14235195</v>
      </c>
      <c r="T440" s="13">
        <f>SUMIF(N:N,Online_eCommerce[[#This Row],[Assigned Supervisor]],L:L)</f>
        <v>12100590</v>
      </c>
    </row>
    <row r="441" spans="1:20" hidden="1" x14ac:dyDescent="0.3">
      <c r="A441" t="s">
        <v>791</v>
      </c>
      <c r="B441" t="s">
        <v>235</v>
      </c>
      <c r="C441" t="s">
        <v>125</v>
      </c>
      <c r="D441" t="s">
        <v>667</v>
      </c>
      <c r="E441" t="s">
        <v>161</v>
      </c>
      <c r="F441" t="s">
        <v>179</v>
      </c>
      <c r="G441" t="s">
        <v>66</v>
      </c>
      <c r="H441" t="s">
        <v>21</v>
      </c>
      <c r="I441">
        <v>350</v>
      </c>
      <c r="J441">
        <v>455</v>
      </c>
      <c r="K441">
        <v>1</v>
      </c>
      <c r="L441">
        <v>350</v>
      </c>
      <c r="M441">
        <v>455</v>
      </c>
      <c r="N441" t="s">
        <v>56</v>
      </c>
      <c r="O441">
        <f t="shared" si="12"/>
        <v>1690</v>
      </c>
      <c r="P441" s="13">
        <f t="shared" si="13"/>
        <v>2091154</v>
      </c>
      <c r="Q441" s="13">
        <f>SUMIFS(M:M,E:E,Online_eCommerce[[#This Row],[Status]])</f>
        <v>21103186</v>
      </c>
      <c r="R441" s="13">
        <f>SUMIFS(L:L,H:H,Online_eCommerce[[#This Row],[Brand]])</f>
        <v>12435650</v>
      </c>
      <c r="S441" s="13">
        <f>SUMIF(H:H,Online_eCommerce[[#This Row],[Brand]],M:M)</f>
        <v>16166345</v>
      </c>
      <c r="T441" s="13">
        <f>SUMIF(N:N,Online_eCommerce[[#This Row],[Assigned Supervisor]],L:L)</f>
        <v>11733610</v>
      </c>
    </row>
    <row r="442" spans="1:20" x14ac:dyDescent="0.3">
      <c r="A442" t="s">
        <v>792</v>
      </c>
      <c r="B442" t="s">
        <v>235</v>
      </c>
      <c r="C442" t="s">
        <v>22</v>
      </c>
      <c r="D442" t="s">
        <v>667</v>
      </c>
      <c r="E442" t="s">
        <v>46</v>
      </c>
      <c r="F442" t="s">
        <v>183</v>
      </c>
      <c r="G442" t="s">
        <v>71</v>
      </c>
      <c r="H442" t="s">
        <v>61</v>
      </c>
      <c r="I442">
        <v>9500</v>
      </c>
      <c r="J442">
        <v>12350</v>
      </c>
      <c r="K442">
        <v>3</v>
      </c>
      <c r="L442">
        <v>28500</v>
      </c>
      <c r="M442">
        <v>37050</v>
      </c>
      <c r="N442" t="s">
        <v>22</v>
      </c>
      <c r="O442">
        <f t="shared" si="12"/>
        <v>9750</v>
      </c>
      <c r="P442" s="13">
        <f t="shared" si="13"/>
        <v>2551588</v>
      </c>
      <c r="Q442" s="13">
        <f>SUMIFS(M:M,E:E,Online_eCommerce[[#This Row],[Status]])</f>
        <v>28620410</v>
      </c>
      <c r="R442" s="13">
        <f>SUMIFS(L:L,H:H,Online_eCommerce[[#This Row],[Brand]])</f>
        <v>10950150</v>
      </c>
      <c r="S442" s="13">
        <f>SUMIF(H:H,Online_eCommerce[[#This Row],[Brand]],M:M)</f>
        <v>14235195</v>
      </c>
      <c r="T442" s="13">
        <f>SUMIF(N:N,Online_eCommerce[[#This Row],[Assigned Supervisor]],L:L)</f>
        <v>13693220</v>
      </c>
    </row>
    <row r="443" spans="1:20" hidden="1" x14ac:dyDescent="0.3">
      <c r="A443" t="s">
        <v>793</v>
      </c>
      <c r="B443" t="s">
        <v>290</v>
      </c>
      <c r="C443" t="s">
        <v>132</v>
      </c>
      <c r="D443" t="s">
        <v>667</v>
      </c>
      <c r="E443" t="s">
        <v>96</v>
      </c>
      <c r="F443" t="s">
        <v>794</v>
      </c>
      <c r="G443" t="s">
        <v>77</v>
      </c>
      <c r="H443" t="s">
        <v>142</v>
      </c>
      <c r="I443">
        <v>10000</v>
      </c>
      <c r="J443">
        <v>13000</v>
      </c>
      <c r="K443">
        <v>4</v>
      </c>
      <c r="L443">
        <v>40000</v>
      </c>
      <c r="M443">
        <v>52000</v>
      </c>
      <c r="N443" t="s">
        <v>28</v>
      </c>
      <c r="O443">
        <f t="shared" si="12"/>
        <v>39000</v>
      </c>
      <c r="P443" s="13">
        <f t="shared" si="13"/>
        <v>1989065</v>
      </c>
      <c r="Q443" s="13">
        <f>SUMIFS(M:M,E:E,Online_eCommerce[[#This Row],[Status]])</f>
        <v>21233992</v>
      </c>
      <c r="R443" s="13">
        <f>SUMIFS(L:L,H:H,Online_eCommerce[[#This Row],[Brand]])</f>
        <v>6192500</v>
      </c>
      <c r="S443" s="13">
        <f>SUMIF(H:H,Online_eCommerce[[#This Row],[Brand]],M:M)</f>
        <v>8050250</v>
      </c>
      <c r="T443" s="13">
        <f>SUMIF(N:N,Online_eCommerce[[#This Row],[Assigned Supervisor]],L:L)</f>
        <v>12220830</v>
      </c>
    </row>
    <row r="444" spans="1:20" hidden="1" x14ac:dyDescent="0.3">
      <c r="A444" t="s">
        <v>795</v>
      </c>
      <c r="B444" t="s">
        <v>15</v>
      </c>
      <c r="C444" t="s">
        <v>136</v>
      </c>
      <c r="D444" t="s">
        <v>667</v>
      </c>
      <c r="E444" t="s">
        <v>18</v>
      </c>
      <c r="F444" t="s">
        <v>796</v>
      </c>
      <c r="G444" t="s">
        <v>20</v>
      </c>
      <c r="H444" t="s">
        <v>21</v>
      </c>
      <c r="I444">
        <v>6500</v>
      </c>
      <c r="J444">
        <v>8450</v>
      </c>
      <c r="K444">
        <v>4</v>
      </c>
      <c r="L444">
        <v>26000</v>
      </c>
      <c r="M444">
        <v>33800</v>
      </c>
      <c r="N444" t="s">
        <v>35</v>
      </c>
      <c r="O444">
        <f t="shared" si="12"/>
        <v>8450</v>
      </c>
      <c r="P444" s="13">
        <f t="shared" si="13"/>
        <v>2775162</v>
      </c>
      <c r="Q444" s="13">
        <f>SUMIFS(M:M,E:E,Online_eCommerce[[#This Row],[Status]])</f>
        <v>28340455</v>
      </c>
      <c r="R444" s="13">
        <f>SUMIFS(L:L,H:H,Online_eCommerce[[#This Row],[Brand]])</f>
        <v>12435650</v>
      </c>
      <c r="S444" s="13">
        <f>SUMIF(H:H,Online_eCommerce[[#This Row],[Brand]],M:M)</f>
        <v>16166345</v>
      </c>
      <c r="T444" s="13">
        <f>SUMIF(N:N,Online_eCommerce[[#This Row],[Assigned Supervisor]],L:L)</f>
        <v>14373360</v>
      </c>
    </row>
    <row r="445" spans="1:20" hidden="1" x14ac:dyDescent="0.3">
      <c r="A445" t="s">
        <v>797</v>
      </c>
      <c r="B445" t="s">
        <v>202</v>
      </c>
      <c r="C445" t="s">
        <v>140</v>
      </c>
      <c r="D445" t="s">
        <v>667</v>
      </c>
      <c r="E445" t="s">
        <v>161</v>
      </c>
      <c r="F445" t="s">
        <v>798</v>
      </c>
      <c r="G445" t="s">
        <v>26</v>
      </c>
      <c r="H445" t="s">
        <v>27</v>
      </c>
      <c r="I445">
        <v>8500</v>
      </c>
      <c r="J445">
        <v>11050</v>
      </c>
      <c r="K445">
        <v>3</v>
      </c>
      <c r="L445">
        <v>25500</v>
      </c>
      <c r="M445">
        <v>33150</v>
      </c>
      <c r="N445" t="s">
        <v>42</v>
      </c>
      <c r="O445">
        <f t="shared" si="12"/>
        <v>33150</v>
      </c>
      <c r="P445" s="13">
        <f t="shared" si="13"/>
        <v>2058264</v>
      </c>
      <c r="Q445" s="13">
        <f>SUMIFS(M:M,E:E,Online_eCommerce[[#This Row],[Status]])</f>
        <v>21103186</v>
      </c>
      <c r="R445" s="13">
        <f>SUMIFS(L:L,H:H,Online_eCommerce[[#This Row],[Brand]])</f>
        <v>14431000</v>
      </c>
      <c r="S445" s="13">
        <f>SUMIF(H:H,Online_eCommerce[[#This Row],[Brand]],M:M)</f>
        <v>18760300</v>
      </c>
      <c r="T445" s="13">
        <f>SUMIF(N:N,Online_eCommerce[[#This Row],[Assigned Supervisor]],L:L)</f>
        <v>12261500</v>
      </c>
    </row>
    <row r="446" spans="1:20" x14ac:dyDescent="0.3">
      <c r="A446" t="s">
        <v>799</v>
      </c>
      <c r="B446" t="s">
        <v>30</v>
      </c>
      <c r="C446" t="s">
        <v>145</v>
      </c>
      <c r="D446" t="s">
        <v>667</v>
      </c>
      <c r="E446" t="s">
        <v>46</v>
      </c>
      <c r="F446" t="s">
        <v>32</v>
      </c>
      <c r="G446" t="s">
        <v>33</v>
      </c>
      <c r="H446" t="s">
        <v>34</v>
      </c>
      <c r="I446">
        <v>7000</v>
      </c>
      <c r="J446">
        <v>9100</v>
      </c>
      <c r="K446">
        <v>1</v>
      </c>
      <c r="L446">
        <v>7000</v>
      </c>
      <c r="M446">
        <v>9100</v>
      </c>
      <c r="N446" t="s">
        <v>50</v>
      </c>
      <c r="O446">
        <f t="shared" si="12"/>
        <v>18200</v>
      </c>
      <c r="P446" s="13">
        <f t="shared" si="13"/>
        <v>2757859</v>
      </c>
      <c r="Q446" s="13">
        <f>SUMIFS(M:M,E:E,Online_eCommerce[[#This Row],[Status]])</f>
        <v>28620410</v>
      </c>
      <c r="R446" s="13">
        <f>SUMIFS(L:L,H:H,Online_eCommerce[[#This Row],[Brand]])</f>
        <v>10087000</v>
      </c>
      <c r="S446" s="13">
        <f>SUMIF(H:H,Online_eCommerce[[#This Row],[Brand]],M:M)</f>
        <v>13113100</v>
      </c>
      <c r="T446" s="13">
        <f>SUMIF(N:N,Online_eCommerce[[#This Row],[Assigned Supervisor]],L:L)</f>
        <v>12100590</v>
      </c>
    </row>
    <row r="447" spans="1:20" hidden="1" x14ac:dyDescent="0.3">
      <c r="A447" t="s">
        <v>800</v>
      </c>
      <c r="B447" t="s">
        <v>37</v>
      </c>
      <c r="C447" t="s">
        <v>150</v>
      </c>
      <c r="D447" t="s">
        <v>667</v>
      </c>
      <c r="E447" t="s">
        <v>96</v>
      </c>
      <c r="F447" t="s">
        <v>801</v>
      </c>
      <c r="G447" t="s">
        <v>163</v>
      </c>
      <c r="H447" t="s">
        <v>41</v>
      </c>
      <c r="I447">
        <v>6550</v>
      </c>
      <c r="J447">
        <v>8515</v>
      </c>
      <c r="K447">
        <v>4</v>
      </c>
      <c r="L447">
        <v>26200</v>
      </c>
      <c r="M447">
        <v>34060</v>
      </c>
      <c r="N447" t="s">
        <v>56</v>
      </c>
      <c r="O447">
        <f t="shared" si="12"/>
        <v>13650</v>
      </c>
      <c r="P447" s="13">
        <f t="shared" si="13"/>
        <v>2154984</v>
      </c>
      <c r="Q447" s="13">
        <f>SUMIFS(M:M,E:E,Online_eCommerce[[#This Row],[Status]])</f>
        <v>21233992</v>
      </c>
      <c r="R447" s="13">
        <f>SUMIFS(L:L,H:H,Online_eCommerce[[#This Row],[Brand]])</f>
        <v>4260400</v>
      </c>
      <c r="S447" s="13">
        <f>SUMIF(H:H,Online_eCommerce[[#This Row],[Brand]],M:M)</f>
        <v>5538520</v>
      </c>
      <c r="T447" s="13">
        <f>SUMIF(N:N,Online_eCommerce[[#This Row],[Assigned Supervisor]],L:L)</f>
        <v>11733610</v>
      </c>
    </row>
    <row r="448" spans="1:20" hidden="1" x14ac:dyDescent="0.3">
      <c r="A448" t="s">
        <v>802</v>
      </c>
      <c r="B448" t="s">
        <v>44</v>
      </c>
      <c r="C448" t="s">
        <v>155</v>
      </c>
      <c r="D448" t="s">
        <v>667</v>
      </c>
      <c r="E448" t="s">
        <v>18</v>
      </c>
      <c r="F448" t="s">
        <v>47</v>
      </c>
      <c r="G448" t="s">
        <v>66</v>
      </c>
      <c r="H448" t="s">
        <v>49</v>
      </c>
      <c r="I448">
        <v>7650</v>
      </c>
      <c r="J448">
        <v>9945</v>
      </c>
      <c r="K448">
        <v>3</v>
      </c>
      <c r="L448">
        <v>22950</v>
      </c>
      <c r="M448">
        <v>29835</v>
      </c>
      <c r="N448" t="s">
        <v>22</v>
      </c>
      <c r="O448">
        <f t="shared" si="12"/>
        <v>1690</v>
      </c>
      <c r="P448" s="13">
        <f t="shared" si="13"/>
        <v>2753348</v>
      </c>
      <c r="Q448" s="13">
        <f>SUMIFS(M:M,E:E,Online_eCommerce[[#This Row],[Status]])</f>
        <v>28340455</v>
      </c>
      <c r="R448" s="13">
        <f>SUMIFS(L:L,H:H,Online_eCommerce[[#This Row],[Brand]])</f>
        <v>4528350</v>
      </c>
      <c r="S448" s="13">
        <f>SUMIF(H:H,Online_eCommerce[[#This Row],[Brand]],M:M)</f>
        <v>5886855</v>
      </c>
      <c r="T448" s="13">
        <f>SUMIF(N:N,Online_eCommerce[[#This Row],[Assigned Supervisor]],L:L)</f>
        <v>13693220</v>
      </c>
    </row>
    <row r="449" spans="1:20" hidden="1" x14ac:dyDescent="0.3">
      <c r="A449" t="s">
        <v>803</v>
      </c>
      <c r="B449" t="s">
        <v>213</v>
      </c>
      <c r="C449" t="s">
        <v>160</v>
      </c>
      <c r="D449" t="s">
        <v>667</v>
      </c>
      <c r="E449" t="s">
        <v>161</v>
      </c>
      <c r="F449" t="s">
        <v>53</v>
      </c>
      <c r="G449" t="s">
        <v>54</v>
      </c>
      <c r="H449" t="s">
        <v>55</v>
      </c>
      <c r="I449">
        <v>1150</v>
      </c>
      <c r="J449">
        <v>1495</v>
      </c>
      <c r="K449">
        <v>2</v>
      </c>
      <c r="L449">
        <v>2300</v>
      </c>
      <c r="M449">
        <v>2990</v>
      </c>
      <c r="N449" t="s">
        <v>28</v>
      </c>
      <c r="O449">
        <f t="shared" si="12"/>
        <v>2990</v>
      </c>
      <c r="P449" s="13">
        <f t="shared" si="13"/>
        <v>2303483</v>
      </c>
      <c r="Q449" s="13">
        <f>SUMIFS(M:M,E:E,Online_eCommerce[[#This Row],[Status]])</f>
        <v>21103186</v>
      </c>
      <c r="R449" s="13">
        <f>SUMIFS(L:L,H:H,Online_eCommerce[[#This Row],[Brand]])</f>
        <v>2267380</v>
      </c>
      <c r="S449" s="13">
        <f>SUMIF(H:H,Online_eCommerce[[#This Row],[Brand]],M:M)</f>
        <v>2947594</v>
      </c>
      <c r="T449" s="13">
        <f>SUMIF(N:N,Online_eCommerce[[#This Row],[Assigned Supervisor]],L:L)</f>
        <v>12220830</v>
      </c>
    </row>
    <row r="450" spans="1:20" x14ac:dyDescent="0.3">
      <c r="A450" t="s">
        <v>804</v>
      </c>
      <c r="B450" t="s">
        <v>215</v>
      </c>
      <c r="C450" t="s">
        <v>165</v>
      </c>
      <c r="D450" t="s">
        <v>667</v>
      </c>
      <c r="E450" t="s">
        <v>46</v>
      </c>
      <c r="F450" t="s">
        <v>59</v>
      </c>
      <c r="G450" t="s">
        <v>60</v>
      </c>
      <c r="H450" t="s">
        <v>61</v>
      </c>
      <c r="I450">
        <v>850</v>
      </c>
      <c r="J450">
        <v>1105</v>
      </c>
      <c r="K450">
        <v>2</v>
      </c>
      <c r="L450">
        <v>1700</v>
      </c>
      <c r="M450">
        <v>2210</v>
      </c>
      <c r="N450" t="s">
        <v>35</v>
      </c>
      <c r="O450">
        <f t="shared" ref="O450:O513" si="14">VLOOKUP(G450,G:M,7,FALSE)</f>
        <v>3315</v>
      </c>
      <c r="P450" s="13">
        <f t="shared" ref="P450:P513" si="15">SUMIFS(M:M,C:C,C450)</f>
        <v>2674087</v>
      </c>
      <c r="Q450" s="13">
        <f>SUMIFS(M:M,E:E,Online_eCommerce[[#This Row],[Status]])</f>
        <v>28620410</v>
      </c>
      <c r="R450" s="13">
        <f>SUMIFS(L:L,H:H,Online_eCommerce[[#This Row],[Brand]])</f>
        <v>10950150</v>
      </c>
      <c r="S450" s="13">
        <f>SUMIF(H:H,Online_eCommerce[[#This Row],[Brand]],M:M)</f>
        <v>14235195</v>
      </c>
      <c r="T450" s="13">
        <f>SUMIF(N:N,Online_eCommerce[[#This Row],[Assigned Supervisor]],L:L)</f>
        <v>14373360</v>
      </c>
    </row>
    <row r="451" spans="1:20" hidden="1" x14ac:dyDescent="0.3">
      <c r="A451" t="s">
        <v>805</v>
      </c>
      <c r="B451" t="s">
        <v>306</v>
      </c>
      <c r="C451" t="s">
        <v>168</v>
      </c>
      <c r="D451" t="s">
        <v>667</v>
      </c>
      <c r="E451" t="s">
        <v>96</v>
      </c>
      <c r="F451" t="s">
        <v>65</v>
      </c>
      <c r="G451" t="s">
        <v>66</v>
      </c>
      <c r="H451" t="s">
        <v>21</v>
      </c>
      <c r="I451">
        <v>650</v>
      </c>
      <c r="J451">
        <v>845</v>
      </c>
      <c r="K451">
        <v>1</v>
      </c>
      <c r="L451">
        <v>650</v>
      </c>
      <c r="M451">
        <v>845</v>
      </c>
      <c r="N451" t="s">
        <v>42</v>
      </c>
      <c r="O451">
        <f t="shared" si="14"/>
        <v>1690</v>
      </c>
      <c r="P451" s="13">
        <f t="shared" si="15"/>
        <v>1937780</v>
      </c>
      <c r="Q451" s="13">
        <f>SUMIFS(M:M,E:E,Online_eCommerce[[#This Row],[Status]])</f>
        <v>21233992</v>
      </c>
      <c r="R451" s="13">
        <f>SUMIFS(L:L,H:H,Online_eCommerce[[#This Row],[Brand]])</f>
        <v>12435650</v>
      </c>
      <c r="S451" s="13">
        <f>SUMIF(H:H,Online_eCommerce[[#This Row],[Brand]],M:M)</f>
        <v>16166345</v>
      </c>
      <c r="T451" s="13">
        <f>SUMIF(N:N,Online_eCommerce[[#This Row],[Assigned Supervisor]],L:L)</f>
        <v>12261500</v>
      </c>
    </row>
    <row r="452" spans="1:20" hidden="1" x14ac:dyDescent="0.3">
      <c r="A452" t="s">
        <v>806</v>
      </c>
      <c r="B452" t="s">
        <v>528</v>
      </c>
      <c r="C452" t="s">
        <v>172</v>
      </c>
      <c r="D452" t="s">
        <v>667</v>
      </c>
      <c r="E452" t="s">
        <v>18</v>
      </c>
      <c r="F452" t="s">
        <v>70</v>
      </c>
      <c r="G452" t="s">
        <v>71</v>
      </c>
      <c r="H452" t="s">
        <v>61</v>
      </c>
      <c r="I452">
        <v>7500</v>
      </c>
      <c r="J452">
        <v>9750</v>
      </c>
      <c r="K452">
        <v>1</v>
      </c>
      <c r="L452">
        <v>7500</v>
      </c>
      <c r="M452">
        <v>9750</v>
      </c>
      <c r="N452" t="s">
        <v>50</v>
      </c>
      <c r="O452">
        <f t="shared" si="14"/>
        <v>9750</v>
      </c>
      <c r="P452" s="13">
        <f t="shared" si="15"/>
        <v>2640274</v>
      </c>
      <c r="Q452" s="13">
        <f>SUMIFS(M:M,E:E,Online_eCommerce[[#This Row],[Status]])</f>
        <v>28340455</v>
      </c>
      <c r="R452" s="13">
        <f>SUMIFS(L:L,H:H,Online_eCommerce[[#This Row],[Brand]])</f>
        <v>10950150</v>
      </c>
      <c r="S452" s="13">
        <f>SUMIF(H:H,Online_eCommerce[[#This Row],[Brand]],M:M)</f>
        <v>14235195</v>
      </c>
      <c r="T452" s="13">
        <f>SUMIF(N:N,Online_eCommerce[[#This Row],[Assigned Supervisor]],L:L)</f>
        <v>12100590</v>
      </c>
    </row>
    <row r="453" spans="1:20" hidden="1" x14ac:dyDescent="0.3">
      <c r="A453" t="s">
        <v>807</v>
      </c>
      <c r="B453" t="s">
        <v>73</v>
      </c>
      <c r="C453" t="s">
        <v>177</v>
      </c>
      <c r="D453" t="s">
        <v>667</v>
      </c>
      <c r="E453" t="s">
        <v>161</v>
      </c>
      <c r="F453" t="s">
        <v>794</v>
      </c>
      <c r="G453" t="s">
        <v>77</v>
      </c>
      <c r="H453" t="s">
        <v>78</v>
      </c>
      <c r="I453">
        <v>10000</v>
      </c>
      <c r="J453">
        <v>13000</v>
      </c>
      <c r="K453">
        <v>2</v>
      </c>
      <c r="L453">
        <v>20000</v>
      </c>
      <c r="M453">
        <v>26000</v>
      </c>
      <c r="N453" t="s">
        <v>56</v>
      </c>
      <c r="O453">
        <f t="shared" si="14"/>
        <v>39000</v>
      </c>
      <c r="P453" s="13">
        <f t="shared" si="15"/>
        <v>1863810</v>
      </c>
      <c r="Q453" s="13">
        <f>SUMIFS(M:M,E:E,Online_eCommerce[[#This Row],[Status]])</f>
        <v>21103186</v>
      </c>
      <c r="R453" s="13">
        <f>SUMIFS(L:L,H:H,Online_eCommerce[[#This Row],[Brand]])</f>
        <v>3720000</v>
      </c>
      <c r="S453" s="13">
        <f>SUMIF(H:H,Online_eCommerce[[#This Row],[Brand]],M:M)</f>
        <v>4836000</v>
      </c>
      <c r="T453" s="13">
        <f>SUMIF(N:N,Online_eCommerce[[#This Row],[Assigned Supervisor]],L:L)</f>
        <v>11733610</v>
      </c>
    </row>
    <row r="454" spans="1:20" x14ac:dyDescent="0.3">
      <c r="A454" t="s">
        <v>808</v>
      </c>
      <c r="B454" t="s">
        <v>80</v>
      </c>
      <c r="C454" t="s">
        <v>181</v>
      </c>
      <c r="D454" t="s">
        <v>667</v>
      </c>
      <c r="E454" t="s">
        <v>46</v>
      </c>
      <c r="F454" t="s">
        <v>809</v>
      </c>
      <c r="G454" t="s">
        <v>20</v>
      </c>
      <c r="H454" t="s">
        <v>21</v>
      </c>
      <c r="I454">
        <v>10500</v>
      </c>
      <c r="J454">
        <v>13650</v>
      </c>
      <c r="K454">
        <v>3</v>
      </c>
      <c r="L454">
        <v>31500</v>
      </c>
      <c r="M454">
        <v>40950</v>
      </c>
      <c r="N454" t="s">
        <v>22</v>
      </c>
      <c r="O454">
        <f t="shared" si="14"/>
        <v>8450</v>
      </c>
      <c r="P454" s="13">
        <f t="shared" si="15"/>
        <v>2577458</v>
      </c>
      <c r="Q454" s="13">
        <f>SUMIFS(M:M,E:E,Online_eCommerce[[#This Row],[Status]])</f>
        <v>28620410</v>
      </c>
      <c r="R454" s="13">
        <f>SUMIFS(L:L,H:H,Online_eCommerce[[#This Row],[Brand]])</f>
        <v>12435650</v>
      </c>
      <c r="S454" s="13">
        <f>SUMIF(H:H,Online_eCommerce[[#This Row],[Brand]],M:M)</f>
        <v>16166345</v>
      </c>
      <c r="T454" s="13">
        <f>SUMIF(N:N,Online_eCommerce[[#This Row],[Assigned Supervisor]],L:L)</f>
        <v>13693220</v>
      </c>
    </row>
    <row r="455" spans="1:20" hidden="1" x14ac:dyDescent="0.3">
      <c r="A455" t="s">
        <v>810</v>
      </c>
      <c r="B455" t="s">
        <v>85</v>
      </c>
      <c r="C455" t="s">
        <v>185</v>
      </c>
      <c r="D455" t="s">
        <v>667</v>
      </c>
      <c r="E455" t="s">
        <v>96</v>
      </c>
      <c r="F455" t="s">
        <v>88</v>
      </c>
      <c r="G455" t="s">
        <v>26</v>
      </c>
      <c r="H455" t="s">
        <v>27</v>
      </c>
      <c r="I455">
        <v>8500</v>
      </c>
      <c r="J455">
        <v>11050</v>
      </c>
      <c r="K455">
        <v>3</v>
      </c>
      <c r="L455">
        <v>25500</v>
      </c>
      <c r="M455">
        <v>33150</v>
      </c>
      <c r="N455" t="s">
        <v>28</v>
      </c>
      <c r="O455">
        <f t="shared" si="14"/>
        <v>33150</v>
      </c>
      <c r="P455" s="13">
        <f t="shared" si="15"/>
        <v>2091596</v>
      </c>
      <c r="Q455" s="13">
        <f>SUMIFS(M:M,E:E,Online_eCommerce[[#This Row],[Status]])</f>
        <v>21233992</v>
      </c>
      <c r="R455" s="13">
        <f>SUMIFS(L:L,H:H,Online_eCommerce[[#This Row],[Brand]])</f>
        <v>14431000</v>
      </c>
      <c r="S455" s="13">
        <f>SUMIF(H:H,Online_eCommerce[[#This Row],[Brand]],M:M)</f>
        <v>18760300</v>
      </c>
      <c r="T455" s="13">
        <f>SUMIF(N:N,Online_eCommerce[[#This Row],[Assigned Supervisor]],L:L)</f>
        <v>12220830</v>
      </c>
    </row>
    <row r="456" spans="1:20" hidden="1" x14ac:dyDescent="0.3">
      <c r="A456" t="s">
        <v>811</v>
      </c>
      <c r="B456" t="s">
        <v>90</v>
      </c>
      <c r="C456" t="s">
        <v>189</v>
      </c>
      <c r="D456" t="s">
        <v>667</v>
      </c>
      <c r="E456" t="s">
        <v>18</v>
      </c>
      <c r="F456" t="s">
        <v>32</v>
      </c>
      <c r="G456" t="s">
        <v>33</v>
      </c>
      <c r="H456" t="s">
        <v>34</v>
      </c>
      <c r="I456">
        <v>7000</v>
      </c>
      <c r="J456">
        <v>9100</v>
      </c>
      <c r="K456">
        <v>4</v>
      </c>
      <c r="L456">
        <v>28000</v>
      </c>
      <c r="M456">
        <v>36400</v>
      </c>
      <c r="N456" t="s">
        <v>35</v>
      </c>
      <c r="O456">
        <f t="shared" si="14"/>
        <v>18200</v>
      </c>
      <c r="P456" s="13">
        <f t="shared" si="15"/>
        <v>2740777</v>
      </c>
      <c r="Q456" s="13">
        <f>SUMIFS(M:M,E:E,Online_eCommerce[[#This Row],[Status]])</f>
        <v>28340455</v>
      </c>
      <c r="R456" s="13">
        <f>SUMIFS(L:L,H:H,Online_eCommerce[[#This Row],[Brand]])</f>
        <v>10087000</v>
      </c>
      <c r="S456" s="13">
        <f>SUMIF(H:H,Online_eCommerce[[#This Row],[Brand]],M:M)</f>
        <v>13113100</v>
      </c>
      <c r="T456" s="13">
        <f>SUMIF(N:N,Online_eCommerce[[#This Row],[Assigned Supervisor]],L:L)</f>
        <v>14373360</v>
      </c>
    </row>
    <row r="457" spans="1:20" hidden="1" x14ac:dyDescent="0.3">
      <c r="A457" t="s">
        <v>812</v>
      </c>
      <c r="B457" t="s">
        <v>232</v>
      </c>
      <c r="C457" t="s">
        <v>193</v>
      </c>
      <c r="D457" t="s">
        <v>667</v>
      </c>
      <c r="E457" t="s">
        <v>161</v>
      </c>
      <c r="F457" t="s">
        <v>813</v>
      </c>
      <c r="G457" t="s">
        <v>163</v>
      </c>
      <c r="H457" t="s">
        <v>41</v>
      </c>
      <c r="I457">
        <v>1680</v>
      </c>
      <c r="J457">
        <v>2184</v>
      </c>
      <c r="K457">
        <v>3</v>
      </c>
      <c r="L457">
        <v>5040</v>
      </c>
      <c r="M457">
        <v>6552</v>
      </c>
      <c r="N457" t="s">
        <v>42</v>
      </c>
      <c r="O457">
        <f t="shared" si="14"/>
        <v>13650</v>
      </c>
      <c r="P457" s="13">
        <f t="shared" si="15"/>
        <v>2074774</v>
      </c>
      <c r="Q457" s="13">
        <f>SUMIFS(M:M,E:E,Online_eCommerce[[#This Row],[Status]])</f>
        <v>21103186</v>
      </c>
      <c r="R457" s="13">
        <f>SUMIFS(L:L,H:H,Online_eCommerce[[#This Row],[Brand]])</f>
        <v>4260400</v>
      </c>
      <c r="S457" s="13">
        <f>SUMIF(H:H,Online_eCommerce[[#This Row],[Brand]],M:M)</f>
        <v>5538520</v>
      </c>
      <c r="T457" s="13">
        <f>SUMIF(N:N,Online_eCommerce[[#This Row],[Assigned Supervisor]],L:L)</f>
        <v>12261500</v>
      </c>
    </row>
    <row r="458" spans="1:20" x14ac:dyDescent="0.3">
      <c r="A458" t="s">
        <v>814</v>
      </c>
      <c r="B458" t="s">
        <v>235</v>
      </c>
      <c r="C458" t="s">
        <v>197</v>
      </c>
      <c r="D458" t="s">
        <v>667</v>
      </c>
      <c r="E458" t="s">
        <v>46</v>
      </c>
      <c r="F458" t="s">
        <v>101</v>
      </c>
      <c r="G458" t="s">
        <v>66</v>
      </c>
      <c r="H458" t="s">
        <v>102</v>
      </c>
      <c r="I458">
        <v>6540</v>
      </c>
      <c r="J458">
        <v>8502</v>
      </c>
      <c r="K458">
        <v>1</v>
      </c>
      <c r="L458">
        <v>6540</v>
      </c>
      <c r="M458">
        <v>8502</v>
      </c>
      <c r="N458" t="s">
        <v>50</v>
      </c>
      <c r="O458">
        <f t="shared" si="14"/>
        <v>1690</v>
      </c>
      <c r="P458" s="13">
        <f t="shared" si="15"/>
        <v>2829840</v>
      </c>
      <c r="Q458" s="13">
        <f>SUMIFS(M:M,E:E,Online_eCommerce[[#This Row],[Status]])</f>
        <v>28620410</v>
      </c>
      <c r="R458" s="13">
        <f>SUMIFS(L:L,H:H,Online_eCommerce[[#This Row],[Brand]])</f>
        <v>2465580</v>
      </c>
      <c r="S458" s="13">
        <f>SUMIF(H:H,Online_eCommerce[[#This Row],[Brand]],M:M)</f>
        <v>3205254</v>
      </c>
      <c r="T458" s="13">
        <f>SUMIF(N:N,Online_eCommerce[[#This Row],[Assigned Supervisor]],L:L)</f>
        <v>12100590</v>
      </c>
    </row>
    <row r="459" spans="1:20" hidden="1" x14ac:dyDescent="0.3">
      <c r="A459" t="s">
        <v>815</v>
      </c>
      <c r="B459" t="s">
        <v>104</v>
      </c>
      <c r="C459" t="s">
        <v>199</v>
      </c>
      <c r="D459" t="s">
        <v>667</v>
      </c>
      <c r="E459" t="s">
        <v>96</v>
      </c>
      <c r="F459" t="s">
        <v>107</v>
      </c>
      <c r="G459" t="s">
        <v>54</v>
      </c>
      <c r="H459" t="s">
        <v>55</v>
      </c>
      <c r="I459">
        <v>2680</v>
      </c>
      <c r="J459">
        <v>3484</v>
      </c>
      <c r="K459">
        <v>2</v>
      </c>
      <c r="L459">
        <v>5360</v>
      </c>
      <c r="M459">
        <v>6968</v>
      </c>
      <c r="N459" t="s">
        <v>56</v>
      </c>
      <c r="O459">
        <f t="shared" si="14"/>
        <v>2990</v>
      </c>
      <c r="P459" s="13">
        <f t="shared" si="15"/>
        <v>1947361</v>
      </c>
      <c r="Q459" s="13">
        <f>SUMIFS(M:M,E:E,Online_eCommerce[[#This Row],[Status]])</f>
        <v>21233992</v>
      </c>
      <c r="R459" s="13">
        <f>SUMIFS(L:L,H:H,Online_eCommerce[[#This Row],[Brand]])</f>
        <v>2267380</v>
      </c>
      <c r="S459" s="13">
        <f>SUMIF(H:H,Online_eCommerce[[#This Row],[Brand]],M:M)</f>
        <v>2947594</v>
      </c>
      <c r="T459" s="13">
        <f>SUMIF(N:N,Online_eCommerce[[#This Row],[Assigned Supervisor]],L:L)</f>
        <v>11733610</v>
      </c>
    </row>
    <row r="460" spans="1:20" hidden="1" x14ac:dyDescent="0.3">
      <c r="A460" t="s">
        <v>816</v>
      </c>
      <c r="B460" t="s">
        <v>109</v>
      </c>
      <c r="C460" t="s">
        <v>203</v>
      </c>
      <c r="D460" t="s">
        <v>667</v>
      </c>
      <c r="E460" t="s">
        <v>18</v>
      </c>
      <c r="F460" t="s">
        <v>112</v>
      </c>
      <c r="G460" t="s">
        <v>71</v>
      </c>
      <c r="H460" t="s">
        <v>21</v>
      </c>
      <c r="I460">
        <v>8250</v>
      </c>
      <c r="J460">
        <v>10725</v>
      </c>
      <c r="K460">
        <v>3</v>
      </c>
      <c r="L460">
        <v>24750</v>
      </c>
      <c r="M460">
        <v>32175</v>
      </c>
      <c r="N460" t="s">
        <v>22</v>
      </c>
      <c r="O460">
        <f t="shared" si="14"/>
        <v>9750</v>
      </c>
      <c r="P460" s="13">
        <f t="shared" si="15"/>
        <v>2559635</v>
      </c>
      <c r="Q460" s="13">
        <f>SUMIFS(M:M,E:E,Online_eCommerce[[#This Row],[Status]])</f>
        <v>28340455</v>
      </c>
      <c r="R460" s="13">
        <f>SUMIFS(L:L,H:H,Online_eCommerce[[#This Row],[Brand]])</f>
        <v>12435650</v>
      </c>
      <c r="S460" s="13">
        <f>SUMIF(H:H,Online_eCommerce[[#This Row],[Brand]],M:M)</f>
        <v>16166345</v>
      </c>
      <c r="T460" s="13">
        <f>SUMIF(N:N,Online_eCommerce[[#This Row],[Assigned Supervisor]],L:L)</f>
        <v>13693220</v>
      </c>
    </row>
    <row r="461" spans="1:20" hidden="1" x14ac:dyDescent="0.3">
      <c r="A461" t="s">
        <v>817</v>
      </c>
      <c r="B461" t="s">
        <v>114</v>
      </c>
      <c r="C461" t="s">
        <v>205</v>
      </c>
      <c r="D461" t="s">
        <v>667</v>
      </c>
      <c r="E461" t="s">
        <v>161</v>
      </c>
      <c r="F461" t="s">
        <v>459</v>
      </c>
      <c r="G461" t="s">
        <v>40</v>
      </c>
      <c r="H461" t="s">
        <v>21</v>
      </c>
      <c r="I461">
        <v>2650</v>
      </c>
      <c r="J461">
        <v>3445</v>
      </c>
      <c r="K461">
        <v>3</v>
      </c>
      <c r="L461">
        <v>7950</v>
      </c>
      <c r="M461">
        <v>10335</v>
      </c>
      <c r="N461" t="s">
        <v>28</v>
      </c>
      <c r="O461">
        <f t="shared" si="14"/>
        <v>25545</v>
      </c>
      <c r="P461" s="13">
        <f t="shared" si="15"/>
        <v>1983254</v>
      </c>
      <c r="Q461" s="13">
        <f>SUMIFS(M:M,E:E,Online_eCommerce[[#This Row],[Status]])</f>
        <v>21103186</v>
      </c>
      <c r="R461" s="13">
        <f>SUMIFS(L:L,H:H,Online_eCommerce[[#This Row],[Brand]])</f>
        <v>12435650</v>
      </c>
      <c r="S461" s="13">
        <f>SUMIF(H:H,Online_eCommerce[[#This Row],[Brand]],M:M)</f>
        <v>16166345</v>
      </c>
      <c r="T461" s="13">
        <f>SUMIF(N:N,Online_eCommerce[[#This Row],[Assigned Supervisor]],L:L)</f>
        <v>12220830</v>
      </c>
    </row>
    <row r="462" spans="1:20" x14ac:dyDescent="0.3">
      <c r="A462" t="s">
        <v>818</v>
      </c>
      <c r="B462" t="s">
        <v>119</v>
      </c>
      <c r="C462" t="s">
        <v>208</v>
      </c>
      <c r="D462" t="s">
        <v>667</v>
      </c>
      <c r="E462" t="s">
        <v>46</v>
      </c>
      <c r="F462" t="s">
        <v>121</v>
      </c>
      <c r="G462" t="s">
        <v>71</v>
      </c>
      <c r="H462" t="s">
        <v>122</v>
      </c>
      <c r="I462">
        <v>12550</v>
      </c>
      <c r="J462">
        <v>16315</v>
      </c>
      <c r="K462">
        <v>4</v>
      </c>
      <c r="L462">
        <v>50200</v>
      </c>
      <c r="M462">
        <v>65260</v>
      </c>
      <c r="N462" t="s">
        <v>35</v>
      </c>
      <c r="O462">
        <f t="shared" si="14"/>
        <v>9750</v>
      </c>
      <c r="P462" s="13">
        <f t="shared" si="15"/>
        <v>2746575</v>
      </c>
      <c r="Q462" s="13">
        <f>SUMIFS(M:M,E:E,Online_eCommerce[[#This Row],[Status]])</f>
        <v>28620410</v>
      </c>
      <c r="R462" s="13">
        <f>SUMIFS(L:L,H:H,Online_eCommerce[[#This Row],[Brand]])</f>
        <v>5045100</v>
      </c>
      <c r="S462" s="13">
        <f>SUMIF(H:H,Online_eCommerce[[#This Row],[Brand]],M:M)</f>
        <v>6558630</v>
      </c>
      <c r="T462" s="13">
        <f>SUMIF(N:N,Online_eCommerce[[#This Row],[Assigned Supervisor]],L:L)</f>
        <v>14373360</v>
      </c>
    </row>
    <row r="463" spans="1:20" hidden="1" x14ac:dyDescent="0.3">
      <c r="A463" t="s">
        <v>819</v>
      </c>
      <c r="B463" t="s">
        <v>124</v>
      </c>
      <c r="C463" t="s">
        <v>211</v>
      </c>
      <c r="D463" t="s">
        <v>667</v>
      </c>
      <c r="E463" t="s">
        <v>96</v>
      </c>
      <c r="F463" t="s">
        <v>126</v>
      </c>
      <c r="G463" t="s">
        <v>26</v>
      </c>
      <c r="H463" t="s">
        <v>27</v>
      </c>
      <c r="I463">
        <v>14500</v>
      </c>
      <c r="J463">
        <v>18850</v>
      </c>
      <c r="K463">
        <v>4</v>
      </c>
      <c r="L463">
        <v>58000</v>
      </c>
      <c r="M463">
        <v>75400</v>
      </c>
      <c r="N463" t="s">
        <v>42</v>
      </c>
      <c r="O463">
        <f t="shared" si="14"/>
        <v>33150</v>
      </c>
      <c r="P463" s="13">
        <f t="shared" si="15"/>
        <v>1809847</v>
      </c>
      <c r="Q463" s="13">
        <f>SUMIFS(M:M,E:E,Online_eCommerce[[#This Row],[Status]])</f>
        <v>21233992</v>
      </c>
      <c r="R463" s="13">
        <f>SUMIFS(L:L,H:H,Online_eCommerce[[#This Row],[Brand]])</f>
        <v>14431000</v>
      </c>
      <c r="S463" s="13">
        <f>SUMIF(H:H,Online_eCommerce[[#This Row],[Brand]],M:M)</f>
        <v>18760300</v>
      </c>
      <c r="T463" s="13">
        <f>SUMIF(N:N,Online_eCommerce[[#This Row],[Assigned Supervisor]],L:L)</f>
        <v>12261500</v>
      </c>
    </row>
    <row r="464" spans="1:20" hidden="1" x14ac:dyDescent="0.3">
      <c r="A464" t="s">
        <v>820</v>
      </c>
      <c r="B464" t="s">
        <v>128</v>
      </c>
      <c r="C464" t="s">
        <v>16</v>
      </c>
      <c r="D464" t="s">
        <v>667</v>
      </c>
      <c r="E464" t="s">
        <v>18</v>
      </c>
      <c r="F464" t="s">
        <v>129</v>
      </c>
      <c r="G464" t="s">
        <v>60</v>
      </c>
      <c r="H464" t="s">
        <v>61</v>
      </c>
      <c r="I464">
        <v>800</v>
      </c>
      <c r="J464">
        <v>1040</v>
      </c>
      <c r="K464">
        <v>2</v>
      </c>
      <c r="L464">
        <v>1600</v>
      </c>
      <c r="M464">
        <v>2080</v>
      </c>
      <c r="N464" t="s">
        <v>50</v>
      </c>
      <c r="O464">
        <f t="shared" si="14"/>
        <v>3315</v>
      </c>
      <c r="P464" s="13">
        <f t="shared" si="15"/>
        <v>2751814</v>
      </c>
      <c r="Q464" s="13">
        <f>SUMIFS(M:M,E:E,Online_eCommerce[[#This Row],[Status]])</f>
        <v>28340455</v>
      </c>
      <c r="R464" s="13">
        <f>SUMIFS(L:L,H:H,Online_eCommerce[[#This Row],[Brand]])</f>
        <v>10950150</v>
      </c>
      <c r="S464" s="13">
        <f>SUMIF(H:H,Online_eCommerce[[#This Row],[Brand]],M:M)</f>
        <v>14235195</v>
      </c>
      <c r="T464" s="13">
        <f>SUMIF(N:N,Online_eCommerce[[#This Row],[Assigned Supervisor]],L:L)</f>
        <v>12100590</v>
      </c>
    </row>
    <row r="465" spans="1:20" hidden="1" x14ac:dyDescent="0.3">
      <c r="A465" t="s">
        <v>821</v>
      </c>
      <c r="B465" t="s">
        <v>131</v>
      </c>
      <c r="C465" t="s">
        <v>24</v>
      </c>
      <c r="D465" t="s">
        <v>667</v>
      </c>
      <c r="E465" t="s">
        <v>161</v>
      </c>
      <c r="F465" t="s">
        <v>133</v>
      </c>
      <c r="G465" t="s">
        <v>66</v>
      </c>
      <c r="H465" t="s">
        <v>21</v>
      </c>
      <c r="I465">
        <v>600</v>
      </c>
      <c r="J465">
        <v>780</v>
      </c>
      <c r="K465">
        <v>3</v>
      </c>
      <c r="L465">
        <v>1800</v>
      </c>
      <c r="M465">
        <v>2340</v>
      </c>
      <c r="N465" t="s">
        <v>56</v>
      </c>
      <c r="O465">
        <f t="shared" si="14"/>
        <v>1690</v>
      </c>
      <c r="P465" s="13">
        <f t="shared" si="15"/>
        <v>2009540</v>
      </c>
      <c r="Q465" s="13">
        <f>SUMIFS(M:M,E:E,Online_eCommerce[[#This Row],[Status]])</f>
        <v>21103186</v>
      </c>
      <c r="R465" s="13">
        <f>SUMIFS(L:L,H:H,Online_eCommerce[[#This Row],[Brand]])</f>
        <v>12435650</v>
      </c>
      <c r="S465" s="13">
        <f>SUMIF(H:H,Online_eCommerce[[#This Row],[Brand]],M:M)</f>
        <v>16166345</v>
      </c>
      <c r="T465" s="13">
        <f>SUMIF(N:N,Online_eCommerce[[#This Row],[Assigned Supervisor]],L:L)</f>
        <v>11733610</v>
      </c>
    </row>
    <row r="466" spans="1:20" x14ac:dyDescent="0.3">
      <c r="A466" t="s">
        <v>822</v>
      </c>
      <c r="B466" t="s">
        <v>135</v>
      </c>
      <c r="C466" t="s">
        <v>31</v>
      </c>
      <c r="D466" t="s">
        <v>667</v>
      </c>
      <c r="E466" t="s">
        <v>46</v>
      </c>
      <c r="F466" t="s">
        <v>137</v>
      </c>
      <c r="G466" t="s">
        <v>71</v>
      </c>
      <c r="H466" t="s">
        <v>61</v>
      </c>
      <c r="I466">
        <v>10500</v>
      </c>
      <c r="J466">
        <v>13650</v>
      </c>
      <c r="K466">
        <v>3</v>
      </c>
      <c r="L466">
        <v>31500</v>
      </c>
      <c r="M466">
        <v>40950</v>
      </c>
      <c r="N466" t="s">
        <v>22</v>
      </c>
      <c r="O466">
        <f t="shared" si="14"/>
        <v>9750</v>
      </c>
      <c r="P466" s="13">
        <f t="shared" si="15"/>
        <v>2865746</v>
      </c>
      <c r="Q466" s="13">
        <f>SUMIFS(M:M,E:E,Online_eCommerce[[#This Row],[Status]])</f>
        <v>28620410</v>
      </c>
      <c r="R466" s="13">
        <f>SUMIFS(L:L,H:H,Online_eCommerce[[#This Row],[Brand]])</f>
        <v>10950150</v>
      </c>
      <c r="S466" s="13">
        <f>SUMIF(H:H,Online_eCommerce[[#This Row],[Brand]],M:M)</f>
        <v>14235195</v>
      </c>
      <c r="T466" s="13">
        <f>SUMIF(N:N,Online_eCommerce[[#This Row],[Assigned Supervisor]],L:L)</f>
        <v>13693220</v>
      </c>
    </row>
    <row r="467" spans="1:20" hidden="1" x14ac:dyDescent="0.3">
      <c r="A467" t="s">
        <v>823</v>
      </c>
      <c r="B467" t="s">
        <v>139</v>
      </c>
      <c r="C467" t="s">
        <v>38</v>
      </c>
      <c r="D467" t="s">
        <v>667</v>
      </c>
      <c r="E467" t="s">
        <v>96</v>
      </c>
      <c r="F467" t="s">
        <v>794</v>
      </c>
      <c r="G467" t="s">
        <v>77</v>
      </c>
      <c r="H467" t="s">
        <v>142</v>
      </c>
      <c r="I467">
        <v>6500</v>
      </c>
      <c r="J467">
        <v>8450</v>
      </c>
      <c r="K467">
        <v>2</v>
      </c>
      <c r="L467">
        <v>13000</v>
      </c>
      <c r="M467">
        <v>16900</v>
      </c>
      <c r="N467" t="s">
        <v>28</v>
      </c>
      <c r="O467">
        <f t="shared" si="14"/>
        <v>39000</v>
      </c>
      <c r="P467" s="13">
        <f t="shared" si="15"/>
        <v>1933997</v>
      </c>
      <c r="Q467" s="13">
        <f>SUMIFS(M:M,E:E,Online_eCommerce[[#This Row],[Status]])</f>
        <v>21233992</v>
      </c>
      <c r="R467" s="13">
        <f>SUMIFS(L:L,H:H,Online_eCommerce[[#This Row],[Brand]])</f>
        <v>6192500</v>
      </c>
      <c r="S467" s="13">
        <f>SUMIF(H:H,Online_eCommerce[[#This Row],[Brand]],M:M)</f>
        <v>8050250</v>
      </c>
      <c r="T467" s="13">
        <f>SUMIF(N:N,Online_eCommerce[[#This Row],[Assigned Supervisor]],L:L)</f>
        <v>12220830</v>
      </c>
    </row>
    <row r="468" spans="1:20" hidden="1" x14ac:dyDescent="0.3">
      <c r="A468" t="s">
        <v>824</v>
      </c>
      <c r="B468" t="s">
        <v>144</v>
      </c>
      <c r="C468" t="s">
        <v>45</v>
      </c>
      <c r="D468" t="s">
        <v>667</v>
      </c>
      <c r="E468" t="s">
        <v>18</v>
      </c>
      <c r="F468" t="s">
        <v>825</v>
      </c>
      <c r="G468" t="s">
        <v>20</v>
      </c>
      <c r="H468" t="s">
        <v>21</v>
      </c>
      <c r="I468">
        <v>4500</v>
      </c>
      <c r="J468">
        <v>5850</v>
      </c>
      <c r="K468">
        <v>3</v>
      </c>
      <c r="L468">
        <v>13500</v>
      </c>
      <c r="M468">
        <v>17550</v>
      </c>
      <c r="N468" t="s">
        <v>35</v>
      </c>
      <c r="O468">
        <f t="shared" si="14"/>
        <v>8450</v>
      </c>
      <c r="P468" s="13">
        <f t="shared" si="15"/>
        <v>2842554</v>
      </c>
      <c r="Q468" s="13">
        <f>SUMIFS(M:M,E:E,Online_eCommerce[[#This Row],[Status]])</f>
        <v>28340455</v>
      </c>
      <c r="R468" s="13">
        <f>SUMIFS(L:L,H:H,Online_eCommerce[[#This Row],[Brand]])</f>
        <v>12435650</v>
      </c>
      <c r="S468" s="13">
        <f>SUMIF(H:H,Online_eCommerce[[#This Row],[Brand]],M:M)</f>
        <v>16166345</v>
      </c>
      <c r="T468" s="13">
        <f>SUMIF(N:N,Online_eCommerce[[#This Row],[Assigned Supervisor]],L:L)</f>
        <v>14373360</v>
      </c>
    </row>
    <row r="469" spans="1:20" hidden="1" x14ac:dyDescent="0.3">
      <c r="A469" t="s">
        <v>826</v>
      </c>
      <c r="B469" t="s">
        <v>149</v>
      </c>
      <c r="C469" t="s">
        <v>52</v>
      </c>
      <c r="D469" t="s">
        <v>667</v>
      </c>
      <c r="E469" t="s">
        <v>161</v>
      </c>
      <c r="F469" t="s">
        <v>152</v>
      </c>
      <c r="G469" t="s">
        <v>26</v>
      </c>
      <c r="H469" t="s">
        <v>27</v>
      </c>
      <c r="I469">
        <v>8500</v>
      </c>
      <c r="J469">
        <v>11050</v>
      </c>
      <c r="K469">
        <v>4</v>
      </c>
      <c r="L469">
        <v>34000</v>
      </c>
      <c r="M469">
        <v>44200</v>
      </c>
      <c r="N469" t="s">
        <v>42</v>
      </c>
      <c r="O469">
        <f t="shared" si="14"/>
        <v>33150</v>
      </c>
      <c r="P469" s="13">
        <f t="shared" si="15"/>
        <v>1955044</v>
      </c>
      <c r="Q469" s="13">
        <f>SUMIFS(M:M,E:E,Online_eCommerce[[#This Row],[Status]])</f>
        <v>21103186</v>
      </c>
      <c r="R469" s="13">
        <f>SUMIFS(L:L,H:H,Online_eCommerce[[#This Row],[Brand]])</f>
        <v>14431000</v>
      </c>
      <c r="S469" s="13">
        <f>SUMIF(H:H,Online_eCommerce[[#This Row],[Brand]],M:M)</f>
        <v>18760300</v>
      </c>
      <c r="T469" s="13">
        <f>SUMIF(N:N,Online_eCommerce[[#This Row],[Assigned Supervisor]],L:L)</f>
        <v>12261500</v>
      </c>
    </row>
    <row r="470" spans="1:20" x14ac:dyDescent="0.3">
      <c r="A470" t="s">
        <v>827</v>
      </c>
      <c r="B470" t="s">
        <v>154</v>
      </c>
      <c r="C470" t="s">
        <v>58</v>
      </c>
      <c r="D470" t="s">
        <v>667</v>
      </c>
      <c r="E470" t="s">
        <v>46</v>
      </c>
      <c r="F470" t="s">
        <v>157</v>
      </c>
      <c r="G470" t="s">
        <v>33</v>
      </c>
      <c r="H470" t="s">
        <v>34</v>
      </c>
      <c r="I470">
        <v>12500</v>
      </c>
      <c r="J470">
        <v>16250</v>
      </c>
      <c r="K470">
        <v>1</v>
      </c>
      <c r="L470">
        <v>12500</v>
      </c>
      <c r="M470">
        <v>16250</v>
      </c>
      <c r="N470" t="s">
        <v>50</v>
      </c>
      <c r="O470">
        <f t="shared" si="14"/>
        <v>18200</v>
      </c>
      <c r="P470" s="13">
        <f t="shared" si="15"/>
        <v>2629211</v>
      </c>
      <c r="Q470" s="13">
        <f>SUMIFS(M:M,E:E,Online_eCommerce[[#This Row],[Status]])</f>
        <v>28620410</v>
      </c>
      <c r="R470" s="13">
        <f>SUMIFS(L:L,H:H,Online_eCommerce[[#This Row],[Brand]])</f>
        <v>10087000</v>
      </c>
      <c r="S470" s="13">
        <f>SUMIF(H:H,Online_eCommerce[[#This Row],[Brand]],M:M)</f>
        <v>13113100</v>
      </c>
      <c r="T470" s="13">
        <f>SUMIF(N:N,Online_eCommerce[[#This Row],[Assigned Supervisor]],L:L)</f>
        <v>12100590</v>
      </c>
    </row>
    <row r="471" spans="1:20" hidden="1" x14ac:dyDescent="0.3">
      <c r="A471" t="s">
        <v>828</v>
      </c>
      <c r="B471" t="s">
        <v>159</v>
      </c>
      <c r="C471" t="s">
        <v>63</v>
      </c>
      <c r="D471" t="s">
        <v>667</v>
      </c>
      <c r="E471" t="s">
        <v>96</v>
      </c>
      <c r="F471" t="s">
        <v>503</v>
      </c>
      <c r="G471" t="s">
        <v>256</v>
      </c>
      <c r="H471" t="s">
        <v>41</v>
      </c>
      <c r="I471">
        <v>3500</v>
      </c>
      <c r="J471">
        <v>4550</v>
      </c>
      <c r="K471">
        <v>4</v>
      </c>
      <c r="L471">
        <v>14000</v>
      </c>
      <c r="M471">
        <v>18200</v>
      </c>
      <c r="N471" t="s">
        <v>56</v>
      </c>
      <c r="O471">
        <f t="shared" si="14"/>
        <v>9100</v>
      </c>
      <c r="P471" s="13">
        <f t="shared" si="15"/>
        <v>2016131</v>
      </c>
      <c r="Q471" s="13">
        <f>SUMIFS(M:M,E:E,Online_eCommerce[[#This Row],[Status]])</f>
        <v>21233992</v>
      </c>
      <c r="R471" s="13">
        <f>SUMIFS(L:L,H:H,Online_eCommerce[[#This Row],[Brand]])</f>
        <v>4260400</v>
      </c>
      <c r="S471" s="13">
        <f>SUMIF(H:H,Online_eCommerce[[#This Row],[Brand]],M:M)</f>
        <v>5538520</v>
      </c>
      <c r="T471" s="13">
        <f>SUMIF(N:N,Online_eCommerce[[#This Row],[Assigned Supervisor]],L:L)</f>
        <v>11733610</v>
      </c>
    </row>
    <row r="472" spans="1:20" hidden="1" x14ac:dyDescent="0.3">
      <c r="A472" t="s">
        <v>829</v>
      </c>
      <c r="B472" t="s">
        <v>139</v>
      </c>
      <c r="C472" t="s">
        <v>68</v>
      </c>
      <c r="D472" t="s">
        <v>667</v>
      </c>
      <c r="E472" t="s">
        <v>18</v>
      </c>
      <c r="F472" t="s">
        <v>166</v>
      </c>
      <c r="G472" t="s">
        <v>259</v>
      </c>
      <c r="H472" t="s">
        <v>49</v>
      </c>
      <c r="I472">
        <v>4500</v>
      </c>
      <c r="J472">
        <v>5850</v>
      </c>
      <c r="K472">
        <v>4</v>
      </c>
      <c r="L472">
        <v>18000</v>
      </c>
      <c r="M472">
        <v>23400</v>
      </c>
      <c r="N472" t="s">
        <v>22</v>
      </c>
      <c r="O472">
        <f t="shared" si="14"/>
        <v>11700</v>
      </c>
      <c r="P472" s="13">
        <f t="shared" si="15"/>
        <v>2974621</v>
      </c>
      <c r="Q472" s="13">
        <f>SUMIFS(M:M,E:E,Online_eCommerce[[#This Row],[Status]])</f>
        <v>28340455</v>
      </c>
      <c r="R472" s="13">
        <f>SUMIFS(L:L,H:H,Online_eCommerce[[#This Row],[Brand]])</f>
        <v>4528350</v>
      </c>
      <c r="S472" s="13">
        <f>SUMIF(H:H,Online_eCommerce[[#This Row],[Brand]],M:M)</f>
        <v>5886855</v>
      </c>
      <c r="T472" s="13">
        <f>SUMIF(N:N,Online_eCommerce[[#This Row],[Assigned Supervisor]],L:L)</f>
        <v>13693220</v>
      </c>
    </row>
    <row r="473" spans="1:20" hidden="1" x14ac:dyDescent="0.3">
      <c r="A473" t="s">
        <v>830</v>
      </c>
      <c r="B473" t="s">
        <v>144</v>
      </c>
      <c r="C473" t="s">
        <v>74</v>
      </c>
      <c r="D473" t="s">
        <v>667</v>
      </c>
      <c r="E473" t="s">
        <v>161</v>
      </c>
      <c r="F473" t="s">
        <v>831</v>
      </c>
      <c r="G473" t="s">
        <v>54</v>
      </c>
      <c r="H473" t="s">
        <v>55</v>
      </c>
      <c r="I473">
        <v>2100</v>
      </c>
      <c r="J473">
        <v>2730</v>
      </c>
      <c r="K473">
        <v>3</v>
      </c>
      <c r="L473">
        <v>6300</v>
      </c>
      <c r="M473">
        <v>8190</v>
      </c>
      <c r="N473" t="s">
        <v>28</v>
      </c>
      <c r="O473">
        <f t="shared" si="14"/>
        <v>2990</v>
      </c>
      <c r="P473" s="13">
        <f t="shared" si="15"/>
        <v>2144701</v>
      </c>
      <c r="Q473" s="13">
        <f>SUMIFS(M:M,E:E,Online_eCommerce[[#This Row],[Status]])</f>
        <v>21103186</v>
      </c>
      <c r="R473" s="13">
        <f>SUMIFS(L:L,H:H,Online_eCommerce[[#This Row],[Brand]])</f>
        <v>2267380</v>
      </c>
      <c r="S473" s="13">
        <f>SUMIF(H:H,Online_eCommerce[[#This Row],[Brand]],M:M)</f>
        <v>2947594</v>
      </c>
      <c r="T473" s="13">
        <f>SUMIF(N:N,Online_eCommerce[[#This Row],[Assigned Supervisor]],L:L)</f>
        <v>12220830</v>
      </c>
    </row>
    <row r="474" spans="1:20" x14ac:dyDescent="0.3">
      <c r="A474" t="s">
        <v>832</v>
      </c>
      <c r="B474" t="s">
        <v>171</v>
      </c>
      <c r="C474" t="s">
        <v>81</v>
      </c>
      <c r="D474" t="s">
        <v>667</v>
      </c>
      <c r="E474" t="s">
        <v>46</v>
      </c>
      <c r="F474" t="s">
        <v>174</v>
      </c>
      <c r="G474" t="s">
        <v>60</v>
      </c>
      <c r="H474" t="s">
        <v>61</v>
      </c>
      <c r="I474">
        <v>1150</v>
      </c>
      <c r="J474">
        <v>1495</v>
      </c>
      <c r="K474">
        <v>2</v>
      </c>
      <c r="L474">
        <v>2300</v>
      </c>
      <c r="M474">
        <v>2990</v>
      </c>
      <c r="N474" t="s">
        <v>35</v>
      </c>
      <c r="O474">
        <f t="shared" si="14"/>
        <v>3315</v>
      </c>
      <c r="P474" s="13">
        <f t="shared" si="15"/>
        <v>2595632</v>
      </c>
      <c r="Q474" s="13">
        <f>SUMIFS(M:M,E:E,Online_eCommerce[[#This Row],[Status]])</f>
        <v>28620410</v>
      </c>
      <c r="R474" s="13">
        <f>SUMIFS(L:L,H:H,Online_eCommerce[[#This Row],[Brand]])</f>
        <v>10950150</v>
      </c>
      <c r="S474" s="13">
        <f>SUMIF(H:H,Online_eCommerce[[#This Row],[Brand]],M:M)</f>
        <v>14235195</v>
      </c>
      <c r="T474" s="13">
        <f>SUMIF(N:N,Online_eCommerce[[#This Row],[Assigned Supervisor]],L:L)</f>
        <v>14373360</v>
      </c>
    </row>
    <row r="475" spans="1:20" hidden="1" x14ac:dyDescent="0.3">
      <c r="A475" t="s">
        <v>833</v>
      </c>
      <c r="B475" t="s">
        <v>176</v>
      </c>
      <c r="C475" t="s">
        <v>86</v>
      </c>
      <c r="D475" t="s">
        <v>667</v>
      </c>
      <c r="E475" t="s">
        <v>96</v>
      </c>
      <c r="F475" t="s">
        <v>179</v>
      </c>
      <c r="G475" t="s">
        <v>66</v>
      </c>
      <c r="H475" t="s">
        <v>21</v>
      </c>
      <c r="I475">
        <v>350</v>
      </c>
      <c r="J475">
        <v>455</v>
      </c>
      <c r="K475">
        <v>3</v>
      </c>
      <c r="L475">
        <v>1050</v>
      </c>
      <c r="M475">
        <v>1365</v>
      </c>
      <c r="N475" t="s">
        <v>42</v>
      </c>
      <c r="O475">
        <f t="shared" si="14"/>
        <v>1690</v>
      </c>
      <c r="P475" s="13">
        <f t="shared" si="15"/>
        <v>1941225</v>
      </c>
      <c r="Q475" s="13">
        <f>SUMIFS(M:M,E:E,Online_eCommerce[[#This Row],[Status]])</f>
        <v>21233992</v>
      </c>
      <c r="R475" s="13">
        <f>SUMIFS(L:L,H:H,Online_eCommerce[[#This Row],[Brand]])</f>
        <v>12435650</v>
      </c>
      <c r="S475" s="13">
        <f>SUMIF(H:H,Online_eCommerce[[#This Row],[Brand]],M:M)</f>
        <v>16166345</v>
      </c>
      <c r="T475" s="13">
        <f>SUMIF(N:N,Online_eCommerce[[#This Row],[Assigned Supervisor]],L:L)</f>
        <v>12261500</v>
      </c>
    </row>
    <row r="476" spans="1:20" hidden="1" x14ac:dyDescent="0.3">
      <c r="A476" t="s">
        <v>834</v>
      </c>
      <c r="B476" t="s">
        <v>276</v>
      </c>
      <c r="C476" t="s">
        <v>91</v>
      </c>
      <c r="D476" t="s">
        <v>667</v>
      </c>
      <c r="E476" t="s">
        <v>18</v>
      </c>
      <c r="F476" t="s">
        <v>183</v>
      </c>
      <c r="G476" t="s">
        <v>71</v>
      </c>
      <c r="H476" t="s">
        <v>61</v>
      </c>
      <c r="I476">
        <v>9500</v>
      </c>
      <c r="J476">
        <v>12350</v>
      </c>
      <c r="K476">
        <v>1</v>
      </c>
      <c r="L476">
        <v>9500</v>
      </c>
      <c r="M476">
        <v>12350</v>
      </c>
      <c r="N476" t="s">
        <v>50</v>
      </c>
      <c r="O476">
        <f t="shared" si="14"/>
        <v>9750</v>
      </c>
      <c r="P476" s="13">
        <f t="shared" si="15"/>
        <v>2731963</v>
      </c>
      <c r="Q476" s="13">
        <f>SUMIFS(M:M,E:E,Online_eCommerce[[#This Row],[Status]])</f>
        <v>28340455</v>
      </c>
      <c r="R476" s="13">
        <f>SUMIFS(L:L,H:H,Online_eCommerce[[#This Row],[Brand]])</f>
        <v>10950150</v>
      </c>
      <c r="S476" s="13">
        <f>SUMIF(H:H,Online_eCommerce[[#This Row],[Brand]],M:M)</f>
        <v>14235195</v>
      </c>
      <c r="T476" s="13">
        <f>SUMIF(N:N,Online_eCommerce[[#This Row],[Assigned Supervisor]],L:L)</f>
        <v>12100590</v>
      </c>
    </row>
    <row r="477" spans="1:20" hidden="1" x14ac:dyDescent="0.3">
      <c r="A477" t="s">
        <v>835</v>
      </c>
      <c r="B477" t="s">
        <v>280</v>
      </c>
      <c r="C477" t="s">
        <v>94</v>
      </c>
      <c r="D477" t="s">
        <v>667</v>
      </c>
      <c r="E477" t="s">
        <v>161</v>
      </c>
      <c r="F477" t="s">
        <v>836</v>
      </c>
      <c r="G477" t="s">
        <v>77</v>
      </c>
      <c r="H477" t="s">
        <v>142</v>
      </c>
      <c r="I477">
        <v>10000</v>
      </c>
      <c r="J477">
        <v>13000</v>
      </c>
      <c r="K477">
        <v>2</v>
      </c>
      <c r="L477">
        <v>20000</v>
      </c>
      <c r="M477">
        <v>26000</v>
      </c>
      <c r="N477" t="s">
        <v>56</v>
      </c>
      <c r="O477">
        <f t="shared" si="14"/>
        <v>39000</v>
      </c>
      <c r="P477" s="13">
        <f t="shared" si="15"/>
        <v>1868256</v>
      </c>
      <c r="Q477" s="13">
        <f>SUMIFS(M:M,E:E,Online_eCommerce[[#This Row],[Status]])</f>
        <v>21103186</v>
      </c>
      <c r="R477" s="13">
        <f>SUMIFS(L:L,H:H,Online_eCommerce[[#This Row],[Brand]])</f>
        <v>6192500</v>
      </c>
      <c r="S477" s="13">
        <f>SUMIF(H:H,Online_eCommerce[[#This Row],[Brand]],M:M)</f>
        <v>8050250</v>
      </c>
      <c r="T477" s="13">
        <f>SUMIF(N:N,Online_eCommerce[[#This Row],[Assigned Supervisor]],L:L)</f>
        <v>11733610</v>
      </c>
    </row>
    <row r="478" spans="1:20" x14ac:dyDescent="0.3">
      <c r="A478" t="s">
        <v>837</v>
      </c>
      <c r="B478" t="s">
        <v>283</v>
      </c>
      <c r="C478" t="s">
        <v>99</v>
      </c>
      <c r="D478" t="s">
        <v>667</v>
      </c>
      <c r="E478" t="s">
        <v>46</v>
      </c>
      <c r="F478" t="s">
        <v>838</v>
      </c>
      <c r="G478" t="s">
        <v>20</v>
      </c>
      <c r="H478" t="s">
        <v>21</v>
      </c>
      <c r="I478">
        <v>6500</v>
      </c>
      <c r="J478">
        <v>8450</v>
      </c>
      <c r="K478">
        <v>2</v>
      </c>
      <c r="L478">
        <v>13000</v>
      </c>
      <c r="M478">
        <v>16900</v>
      </c>
      <c r="N478" t="s">
        <v>22</v>
      </c>
      <c r="O478">
        <f t="shared" si="14"/>
        <v>8450</v>
      </c>
      <c r="P478" s="13">
        <f t="shared" si="15"/>
        <v>2651233</v>
      </c>
      <c r="Q478" s="13">
        <f>SUMIFS(M:M,E:E,Online_eCommerce[[#This Row],[Status]])</f>
        <v>28620410</v>
      </c>
      <c r="R478" s="13">
        <f>SUMIFS(L:L,H:H,Online_eCommerce[[#This Row],[Brand]])</f>
        <v>12435650</v>
      </c>
      <c r="S478" s="13">
        <f>SUMIF(H:H,Online_eCommerce[[#This Row],[Brand]],M:M)</f>
        <v>16166345</v>
      </c>
      <c r="T478" s="13">
        <f>SUMIF(N:N,Online_eCommerce[[#This Row],[Assigned Supervisor]],L:L)</f>
        <v>13693220</v>
      </c>
    </row>
    <row r="479" spans="1:20" hidden="1" x14ac:dyDescent="0.3">
      <c r="A479" t="s">
        <v>839</v>
      </c>
      <c r="B479" t="s">
        <v>287</v>
      </c>
      <c r="C479" t="s">
        <v>105</v>
      </c>
      <c r="D479" t="s">
        <v>667</v>
      </c>
      <c r="E479" t="s">
        <v>96</v>
      </c>
      <c r="F479" t="s">
        <v>840</v>
      </c>
      <c r="G479" t="s">
        <v>26</v>
      </c>
      <c r="H479" t="s">
        <v>27</v>
      </c>
      <c r="I479">
        <v>8500</v>
      </c>
      <c r="J479">
        <v>11050</v>
      </c>
      <c r="K479">
        <v>4</v>
      </c>
      <c r="L479">
        <v>34000</v>
      </c>
      <c r="M479">
        <v>44200</v>
      </c>
      <c r="N479" t="s">
        <v>28</v>
      </c>
      <c r="O479">
        <f t="shared" si="14"/>
        <v>33150</v>
      </c>
      <c r="P479" s="13">
        <f t="shared" si="15"/>
        <v>1866852</v>
      </c>
      <c r="Q479" s="13">
        <f>SUMIFS(M:M,E:E,Online_eCommerce[[#This Row],[Status]])</f>
        <v>21233992</v>
      </c>
      <c r="R479" s="13">
        <f>SUMIFS(L:L,H:H,Online_eCommerce[[#This Row],[Brand]])</f>
        <v>14431000</v>
      </c>
      <c r="S479" s="13">
        <f>SUMIF(H:H,Online_eCommerce[[#This Row],[Brand]],M:M)</f>
        <v>18760300</v>
      </c>
      <c r="T479" s="13">
        <f>SUMIF(N:N,Online_eCommerce[[#This Row],[Assigned Supervisor]],L:L)</f>
        <v>12220830</v>
      </c>
    </row>
    <row r="480" spans="1:20" hidden="1" x14ac:dyDescent="0.3">
      <c r="A480" t="s">
        <v>841</v>
      </c>
      <c r="B480" t="s">
        <v>290</v>
      </c>
      <c r="C480" t="s">
        <v>110</v>
      </c>
      <c r="D480" t="s">
        <v>842</v>
      </c>
      <c r="E480" t="s">
        <v>18</v>
      </c>
      <c r="F480" t="s">
        <v>32</v>
      </c>
      <c r="G480" t="s">
        <v>33</v>
      </c>
      <c r="H480" t="s">
        <v>34</v>
      </c>
      <c r="I480">
        <v>7000</v>
      </c>
      <c r="J480">
        <v>9100</v>
      </c>
      <c r="K480">
        <v>1</v>
      </c>
      <c r="L480">
        <v>7000</v>
      </c>
      <c r="M480">
        <v>9100</v>
      </c>
      <c r="N480" t="s">
        <v>35</v>
      </c>
      <c r="O480">
        <f t="shared" si="14"/>
        <v>18200</v>
      </c>
      <c r="P480" s="13">
        <f t="shared" si="15"/>
        <v>2598635</v>
      </c>
      <c r="Q480" s="13">
        <f>SUMIFS(M:M,E:E,Online_eCommerce[[#This Row],[Status]])</f>
        <v>28340455</v>
      </c>
      <c r="R480" s="13">
        <f>SUMIFS(L:L,H:H,Online_eCommerce[[#This Row],[Brand]])</f>
        <v>10087000</v>
      </c>
      <c r="S480" s="13">
        <f>SUMIF(H:H,Online_eCommerce[[#This Row],[Brand]],M:M)</f>
        <v>13113100</v>
      </c>
      <c r="T480" s="13">
        <f>SUMIF(N:N,Online_eCommerce[[#This Row],[Assigned Supervisor]],L:L)</f>
        <v>14373360</v>
      </c>
    </row>
    <row r="481" spans="1:20" hidden="1" x14ac:dyDescent="0.3">
      <c r="A481" t="s">
        <v>843</v>
      </c>
      <c r="B481" t="s">
        <v>15</v>
      </c>
      <c r="C481" t="s">
        <v>115</v>
      </c>
      <c r="D481" t="s">
        <v>842</v>
      </c>
      <c r="E481" t="s">
        <v>161</v>
      </c>
      <c r="F481" t="s">
        <v>844</v>
      </c>
      <c r="G481" t="s">
        <v>256</v>
      </c>
      <c r="H481" t="s">
        <v>41</v>
      </c>
      <c r="I481">
        <v>6550</v>
      </c>
      <c r="J481">
        <v>8515</v>
      </c>
      <c r="K481">
        <v>4</v>
      </c>
      <c r="L481">
        <v>26200</v>
      </c>
      <c r="M481">
        <v>34060</v>
      </c>
      <c r="N481" t="s">
        <v>42</v>
      </c>
      <c r="O481">
        <f t="shared" si="14"/>
        <v>9100</v>
      </c>
      <c r="P481" s="13">
        <f t="shared" si="15"/>
        <v>2050178</v>
      </c>
      <c r="Q481" s="13">
        <f>SUMIFS(M:M,E:E,Online_eCommerce[[#This Row],[Status]])</f>
        <v>21103186</v>
      </c>
      <c r="R481" s="13">
        <f>SUMIFS(L:L,H:H,Online_eCommerce[[#This Row],[Brand]])</f>
        <v>4260400</v>
      </c>
      <c r="S481" s="13">
        <f>SUMIF(H:H,Online_eCommerce[[#This Row],[Brand]],M:M)</f>
        <v>5538520</v>
      </c>
      <c r="T481" s="13">
        <f>SUMIF(N:N,Online_eCommerce[[#This Row],[Assigned Supervisor]],L:L)</f>
        <v>12261500</v>
      </c>
    </row>
    <row r="482" spans="1:20" x14ac:dyDescent="0.3">
      <c r="A482" t="s">
        <v>845</v>
      </c>
      <c r="B482" t="s">
        <v>202</v>
      </c>
      <c r="C482" t="s">
        <v>120</v>
      </c>
      <c r="D482" t="s">
        <v>842</v>
      </c>
      <c r="E482" t="s">
        <v>46</v>
      </c>
      <c r="F482" t="s">
        <v>47</v>
      </c>
      <c r="G482" t="s">
        <v>259</v>
      </c>
      <c r="H482" t="s">
        <v>49</v>
      </c>
      <c r="I482">
        <v>7650</v>
      </c>
      <c r="J482">
        <v>9945</v>
      </c>
      <c r="K482">
        <v>3</v>
      </c>
      <c r="L482">
        <v>22950</v>
      </c>
      <c r="M482">
        <v>29835</v>
      </c>
      <c r="N482" t="s">
        <v>50</v>
      </c>
      <c r="O482">
        <f t="shared" si="14"/>
        <v>11700</v>
      </c>
      <c r="P482" s="13">
        <f t="shared" si="15"/>
        <v>2734212</v>
      </c>
      <c r="Q482" s="13">
        <f>SUMIFS(M:M,E:E,Online_eCommerce[[#This Row],[Status]])</f>
        <v>28620410</v>
      </c>
      <c r="R482" s="13">
        <f>SUMIFS(L:L,H:H,Online_eCommerce[[#This Row],[Brand]])</f>
        <v>4528350</v>
      </c>
      <c r="S482" s="13">
        <f>SUMIF(H:H,Online_eCommerce[[#This Row],[Brand]],M:M)</f>
        <v>5886855</v>
      </c>
      <c r="T482" s="13">
        <f>SUMIF(N:N,Online_eCommerce[[#This Row],[Assigned Supervisor]],L:L)</f>
        <v>12100590</v>
      </c>
    </row>
    <row r="483" spans="1:20" hidden="1" x14ac:dyDescent="0.3">
      <c r="A483" t="s">
        <v>846</v>
      </c>
      <c r="B483" t="s">
        <v>30</v>
      </c>
      <c r="C483" t="s">
        <v>125</v>
      </c>
      <c r="D483" t="s">
        <v>842</v>
      </c>
      <c r="E483" t="s">
        <v>96</v>
      </c>
      <c r="F483" t="s">
        <v>53</v>
      </c>
      <c r="G483" t="s">
        <v>54</v>
      </c>
      <c r="H483" t="s">
        <v>55</v>
      </c>
      <c r="I483">
        <v>1150</v>
      </c>
      <c r="J483">
        <v>1495</v>
      </c>
      <c r="K483">
        <v>4</v>
      </c>
      <c r="L483">
        <v>4600</v>
      </c>
      <c r="M483">
        <v>5980</v>
      </c>
      <c r="N483" t="s">
        <v>56</v>
      </c>
      <c r="O483">
        <f t="shared" si="14"/>
        <v>2990</v>
      </c>
      <c r="P483" s="13">
        <f t="shared" si="15"/>
        <v>2091154</v>
      </c>
      <c r="Q483" s="13">
        <f>SUMIFS(M:M,E:E,Online_eCommerce[[#This Row],[Status]])</f>
        <v>21233992</v>
      </c>
      <c r="R483" s="13">
        <f>SUMIFS(L:L,H:H,Online_eCommerce[[#This Row],[Brand]])</f>
        <v>2267380</v>
      </c>
      <c r="S483" s="13">
        <f>SUMIF(H:H,Online_eCommerce[[#This Row],[Brand]],M:M)</f>
        <v>2947594</v>
      </c>
      <c r="T483" s="13">
        <f>SUMIF(N:N,Online_eCommerce[[#This Row],[Assigned Supervisor]],L:L)</f>
        <v>11733610</v>
      </c>
    </row>
    <row r="484" spans="1:20" hidden="1" x14ac:dyDescent="0.3">
      <c r="A484" t="s">
        <v>847</v>
      </c>
      <c r="B484" t="s">
        <v>37</v>
      </c>
      <c r="C484" t="s">
        <v>22</v>
      </c>
      <c r="D484" t="s">
        <v>842</v>
      </c>
      <c r="E484" t="s">
        <v>18</v>
      </c>
      <c r="F484" t="s">
        <v>59</v>
      </c>
      <c r="G484" t="s">
        <v>60</v>
      </c>
      <c r="H484" t="s">
        <v>61</v>
      </c>
      <c r="I484">
        <v>850</v>
      </c>
      <c r="J484">
        <v>1105</v>
      </c>
      <c r="K484">
        <v>4</v>
      </c>
      <c r="L484">
        <v>3400</v>
      </c>
      <c r="M484">
        <v>4420</v>
      </c>
      <c r="N484" t="s">
        <v>22</v>
      </c>
      <c r="O484">
        <f t="shared" si="14"/>
        <v>3315</v>
      </c>
      <c r="P484" s="13">
        <f t="shared" si="15"/>
        <v>2551588</v>
      </c>
      <c r="Q484" s="13">
        <f>SUMIFS(M:M,E:E,Online_eCommerce[[#This Row],[Status]])</f>
        <v>28340455</v>
      </c>
      <c r="R484" s="13">
        <f>SUMIFS(L:L,H:H,Online_eCommerce[[#This Row],[Brand]])</f>
        <v>10950150</v>
      </c>
      <c r="S484" s="13">
        <f>SUMIF(H:H,Online_eCommerce[[#This Row],[Brand]],M:M)</f>
        <v>14235195</v>
      </c>
      <c r="T484" s="13">
        <f>SUMIF(N:N,Online_eCommerce[[#This Row],[Assigned Supervisor]],L:L)</f>
        <v>13693220</v>
      </c>
    </row>
    <row r="485" spans="1:20" hidden="1" x14ac:dyDescent="0.3">
      <c r="A485" t="s">
        <v>848</v>
      </c>
      <c r="B485" t="s">
        <v>44</v>
      </c>
      <c r="C485" t="s">
        <v>132</v>
      </c>
      <c r="D485" t="s">
        <v>842</v>
      </c>
      <c r="E485" t="s">
        <v>161</v>
      </c>
      <c r="F485" t="s">
        <v>65</v>
      </c>
      <c r="G485" t="s">
        <v>66</v>
      </c>
      <c r="H485" t="s">
        <v>21</v>
      </c>
      <c r="I485">
        <v>650</v>
      </c>
      <c r="J485">
        <v>845</v>
      </c>
      <c r="K485">
        <v>4</v>
      </c>
      <c r="L485">
        <v>2600</v>
      </c>
      <c r="M485">
        <v>3380</v>
      </c>
      <c r="N485" t="s">
        <v>28</v>
      </c>
      <c r="O485">
        <f t="shared" si="14"/>
        <v>1690</v>
      </c>
      <c r="P485" s="13">
        <f t="shared" si="15"/>
        <v>1989065</v>
      </c>
      <c r="Q485" s="13">
        <f>SUMIFS(M:M,E:E,Online_eCommerce[[#This Row],[Status]])</f>
        <v>21103186</v>
      </c>
      <c r="R485" s="13">
        <f>SUMIFS(L:L,H:H,Online_eCommerce[[#This Row],[Brand]])</f>
        <v>12435650</v>
      </c>
      <c r="S485" s="13">
        <f>SUMIF(H:H,Online_eCommerce[[#This Row],[Brand]],M:M)</f>
        <v>16166345</v>
      </c>
      <c r="T485" s="13">
        <f>SUMIF(N:N,Online_eCommerce[[#This Row],[Assigned Supervisor]],L:L)</f>
        <v>12220830</v>
      </c>
    </row>
    <row r="486" spans="1:20" x14ac:dyDescent="0.3">
      <c r="A486" t="s">
        <v>849</v>
      </c>
      <c r="B486" t="s">
        <v>213</v>
      </c>
      <c r="C486" t="s">
        <v>136</v>
      </c>
      <c r="D486" t="s">
        <v>842</v>
      </c>
      <c r="E486" t="s">
        <v>46</v>
      </c>
      <c r="F486" t="s">
        <v>70</v>
      </c>
      <c r="G486" t="s">
        <v>71</v>
      </c>
      <c r="H486" t="s">
        <v>61</v>
      </c>
      <c r="I486">
        <v>7500</v>
      </c>
      <c r="J486">
        <v>9750</v>
      </c>
      <c r="K486">
        <v>2</v>
      </c>
      <c r="L486">
        <v>15000</v>
      </c>
      <c r="M486">
        <v>19500</v>
      </c>
      <c r="N486" t="s">
        <v>35</v>
      </c>
      <c r="O486">
        <f t="shared" si="14"/>
        <v>9750</v>
      </c>
      <c r="P486" s="13">
        <f t="shared" si="15"/>
        <v>2775162</v>
      </c>
      <c r="Q486" s="13">
        <f>SUMIFS(M:M,E:E,Online_eCommerce[[#This Row],[Status]])</f>
        <v>28620410</v>
      </c>
      <c r="R486" s="13">
        <f>SUMIFS(L:L,H:H,Online_eCommerce[[#This Row],[Brand]])</f>
        <v>10950150</v>
      </c>
      <c r="S486" s="13">
        <f>SUMIF(H:H,Online_eCommerce[[#This Row],[Brand]],M:M)</f>
        <v>14235195</v>
      </c>
      <c r="T486" s="13">
        <f>SUMIF(N:N,Online_eCommerce[[#This Row],[Assigned Supervisor]],L:L)</f>
        <v>14373360</v>
      </c>
    </row>
    <row r="487" spans="1:20" hidden="1" x14ac:dyDescent="0.3">
      <c r="A487" t="s">
        <v>850</v>
      </c>
      <c r="B487" t="s">
        <v>215</v>
      </c>
      <c r="C487" t="s">
        <v>140</v>
      </c>
      <c r="D487" t="s">
        <v>842</v>
      </c>
      <c r="E487" t="s">
        <v>96</v>
      </c>
      <c r="F487" t="s">
        <v>836</v>
      </c>
      <c r="G487" t="s">
        <v>77</v>
      </c>
      <c r="H487" t="s">
        <v>78</v>
      </c>
      <c r="I487">
        <v>10000</v>
      </c>
      <c r="J487">
        <v>13000</v>
      </c>
      <c r="K487">
        <v>2</v>
      </c>
      <c r="L487">
        <v>20000</v>
      </c>
      <c r="M487">
        <v>26000</v>
      </c>
      <c r="N487" t="s">
        <v>42</v>
      </c>
      <c r="O487">
        <f t="shared" si="14"/>
        <v>39000</v>
      </c>
      <c r="P487" s="13">
        <f t="shared" si="15"/>
        <v>2058264</v>
      </c>
      <c r="Q487" s="13">
        <f>SUMIFS(M:M,E:E,Online_eCommerce[[#This Row],[Status]])</f>
        <v>21233992</v>
      </c>
      <c r="R487" s="13">
        <f>SUMIFS(L:L,H:H,Online_eCommerce[[#This Row],[Brand]])</f>
        <v>3720000</v>
      </c>
      <c r="S487" s="13">
        <f>SUMIF(H:H,Online_eCommerce[[#This Row],[Brand]],M:M)</f>
        <v>4836000</v>
      </c>
      <c r="T487" s="13">
        <f>SUMIF(N:N,Online_eCommerce[[#This Row],[Assigned Supervisor]],L:L)</f>
        <v>12261500</v>
      </c>
    </row>
    <row r="488" spans="1:20" hidden="1" x14ac:dyDescent="0.3">
      <c r="A488" t="s">
        <v>851</v>
      </c>
      <c r="B488" t="s">
        <v>215</v>
      </c>
      <c r="C488" t="s">
        <v>145</v>
      </c>
      <c r="D488" t="s">
        <v>842</v>
      </c>
      <c r="E488" t="s">
        <v>18</v>
      </c>
      <c r="F488" t="s">
        <v>852</v>
      </c>
      <c r="G488" t="s">
        <v>20</v>
      </c>
      <c r="H488" t="s">
        <v>21</v>
      </c>
      <c r="I488">
        <v>10500</v>
      </c>
      <c r="J488">
        <v>13650</v>
      </c>
      <c r="K488">
        <v>1</v>
      </c>
      <c r="L488">
        <v>10500</v>
      </c>
      <c r="M488">
        <v>13650</v>
      </c>
      <c r="N488" t="s">
        <v>50</v>
      </c>
      <c r="O488">
        <f t="shared" si="14"/>
        <v>8450</v>
      </c>
      <c r="P488" s="13">
        <f t="shared" si="15"/>
        <v>2757859</v>
      </c>
      <c r="Q488" s="13">
        <f>SUMIFS(M:M,E:E,Online_eCommerce[[#This Row],[Status]])</f>
        <v>28340455</v>
      </c>
      <c r="R488" s="13">
        <f>SUMIFS(L:L,H:H,Online_eCommerce[[#This Row],[Brand]])</f>
        <v>12435650</v>
      </c>
      <c r="S488" s="13">
        <f>SUMIF(H:H,Online_eCommerce[[#This Row],[Brand]],M:M)</f>
        <v>16166345</v>
      </c>
      <c r="T488" s="13">
        <f>SUMIF(N:N,Online_eCommerce[[#This Row],[Assigned Supervisor]],L:L)</f>
        <v>12100590</v>
      </c>
    </row>
    <row r="489" spans="1:20" hidden="1" x14ac:dyDescent="0.3">
      <c r="A489" t="s">
        <v>853</v>
      </c>
      <c r="B489" t="s">
        <v>215</v>
      </c>
      <c r="C489" t="s">
        <v>150</v>
      </c>
      <c r="D489" t="s">
        <v>842</v>
      </c>
      <c r="E489" t="s">
        <v>161</v>
      </c>
      <c r="F489" t="s">
        <v>88</v>
      </c>
      <c r="G489" t="s">
        <v>26</v>
      </c>
      <c r="H489" t="s">
        <v>27</v>
      </c>
      <c r="I489">
        <v>8500</v>
      </c>
      <c r="J489">
        <v>11050</v>
      </c>
      <c r="K489">
        <v>4</v>
      </c>
      <c r="L489">
        <v>34000</v>
      </c>
      <c r="M489">
        <v>44200</v>
      </c>
      <c r="N489" t="s">
        <v>56</v>
      </c>
      <c r="O489">
        <f t="shared" si="14"/>
        <v>33150</v>
      </c>
      <c r="P489" s="13">
        <f t="shared" si="15"/>
        <v>2154984</v>
      </c>
      <c r="Q489" s="13">
        <f>SUMIFS(M:M,E:E,Online_eCommerce[[#This Row],[Status]])</f>
        <v>21103186</v>
      </c>
      <c r="R489" s="13">
        <f>SUMIFS(L:L,H:H,Online_eCommerce[[#This Row],[Brand]])</f>
        <v>14431000</v>
      </c>
      <c r="S489" s="13">
        <f>SUMIF(H:H,Online_eCommerce[[#This Row],[Brand]],M:M)</f>
        <v>18760300</v>
      </c>
      <c r="T489" s="13">
        <f>SUMIF(N:N,Online_eCommerce[[#This Row],[Assigned Supervisor]],L:L)</f>
        <v>11733610</v>
      </c>
    </row>
    <row r="490" spans="1:20" x14ac:dyDescent="0.3">
      <c r="A490" t="s">
        <v>854</v>
      </c>
      <c r="B490" t="s">
        <v>215</v>
      </c>
      <c r="C490" t="s">
        <v>155</v>
      </c>
      <c r="D490" t="s">
        <v>842</v>
      </c>
      <c r="E490" t="s">
        <v>46</v>
      </c>
      <c r="F490" t="s">
        <v>32</v>
      </c>
      <c r="G490" t="s">
        <v>33</v>
      </c>
      <c r="H490" t="s">
        <v>34</v>
      </c>
      <c r="I490">
        <v>7000</v>
      </c>
      <c r="J490">
        <v>9100</v>
      </c>
      <c r="K490">
        <v>3</v>
      </c>
      <c r="L490">
        <v>21000</v>
      </c>
      <c r="M490">
        <v>27300</v>
      </c>
      <c r="N490" t="s">
        <v>22</v>
      </c>
      <c r="O490">
        <f t="shared" si="14"/>
        <v>18200</v>
      </c>
      <c r="P490" s="13">
        <f t="shared" si="15"/>
        <v>2753348</v>
      </c>
      <c r="Q490" s="13">
        <f>SUMIFS(M:M,E:E,Online_eCommerce[[#This Row],[Status]])</f>
        <v>28620410</v>
      </c>
      <c r="R490" s="13">
        <f>SUMIFS(L:L,H:H,Online_eCommerce[[#This Row],[Brand]])</f>
        <v>10087000</v>
      </c>
      <c r="S490" s="13">
        <f>SUMIF(H:H,Online_eCommerce[[#This Row],[Brand]],M:M)</f>
        <v>13113100</v>
      </c>
      <c r="T490" s="13">
        <f>SUMIF(N:N,Online_eCommerce[[#This Row],[Assigned Supervisor]],L:L)</f>
        <v>13693220</v>
      </c>
    </row>
    <row r="491" spans="1:20" hidden="1" x14ac:dyDescent="0.3">
      <c r="A491" t="s">
        <v>855</v>
      </c>
      <c r="B491" t="s">
        <v>215</v>
      </c>
      <c r="C491" t="s">
        <v>160</v>
      </c>
      <c r="D491" t="s">
        <v>842</v>
      </c>
      <c r="E491" t="s">
        <v>96</v>
      </c>
      <c r="F491" t="s">
        <v>856</v>
      </c>
      <c r="G491" t="s">
        <v>256</v>
      </c>
      <c r="H491" t="s">
        <v>41</v>
      </c>
      <c r="I491">
        <v>1680</v>
      </c>
      <c r="J491">
        <v>2184</v>
      </c>
      <c r="K491">
        <v>2</v>
      </c>
      <c r="L491">
        <v>3360</v>
      </c>
      <c r="M491">
        <v>4368</v>
      </c>
      <c r="N491" t="s">
        <v>28</v>
      </c>
      <c r="O491">
        <f t="shared" si="14"/>
        <v>9100</v>
      </c>
      <c r="P491" s="13">
        <f t="shared" si="15"/>
        <v>2303483</v>
      </c>
      <c r="Q491" s="13">
        <f>SUMIFS(M:M,E:E,Online_eCommerce[[#This Row],[Status]])</f>
        <v>21233992</v>
      </c>
      <c r="R491" s="13">
        <f>SUMIFS(L:L,H:H,Online_eCommerce[[#This Row],[Brand]])</f>
        <v>4260400</v>
      </c>
      <c r="S491" s="13">
        <f>SUMIF(H:H,Online_eCommerce[[#This Row],[Brand]],M:M)</f>
        <v>5538520</v>
      </c>
      <c r="T491" s="13">
        <f>SUMIF(N:N,Online_eCommerce[[#This Row],[Assigned Supervisor]],L:L)</f>
        <v>12220830</v>
      </c>
    </row>
    <row r="492" spans="1:20" hidden="1" x14ac:dyDescent="0.3">
      <c r="A492" t="s">
        <v>857</v>
      </c>
      <c r="B492" t="s">
        <v>215</v>
      </c>
      <c r="C492" t="s">
        <v>165</v>
      </c>
      <c r="D492" t="s">
        <v>842</v>
      </c>
      <c r="E492" t="s">
        <v>18</v>
      </c>
      <c r="F492" t="s">
        <v>101</v>
      </c>
      <c r="G492" t="s">
        <v>259</v>
      </c>
      <c r="H492" t="s">
        <v>102</v>
      </c>
      <c r="I492">
        <v>6540</v>
      </c>
      <c r="J492">
        <v>8502</v>
      </c>
      <c r="K492">
        <v>3</v>
      </c>
      <c r="L492">
        <v>19620</v>
      </c>
      <c r="M492">
        <v>25506</v>
      </c>
      <c r="N492" t="s">
        <v>35</v>
      </c>
      <c r="O492">
        <f t="shared" si="14"/>
        <v>11700</v>
      </c>
      <c r="P492" s="13">
        <f t="shared" si="15"/>
        <v>2674087</v>
      </c>
      <c r="Q492" s="13">
        <f>SUMIFS(M:M,E:E,Online_eCommerce[[#This Row],[Status]])</f>
        <v>28340455</v>
      </c>
      <c r="R492" s="13">
        <f>SUMIFS(L:L,H:H,Online_eCommerce[[#This Row],[Brand]])</f>
        <v>2465580</v>
      </c>
      <c r="S492" s="13">
        <f>SUMIF(H:H,Online_eCommerce[[#This Row],[Brand]],M:M)</f>
        <v>3205254</v>
      </c>
      <c r="T492" s="13">
        <f>SUMIF(N:N,Online_eCommerce[[#This Row],[Assigned Supervisor]],L:L)</f>
        <v>14373360</v>
      </c>
    </row>
    <row r="493" spans="1:20" hidden="1" x14ac:dyDescent="0.3">
      <c r="A493" t="s">
        <v>858</v>
      </c>
      <c r="B493" t="s">
        <v>215</v>
      </c>
      <c r="C493" t="s">
        <v>168</v>
      </c>
      <c r="D493" t="s">
        <v>842</v>
      </c>
      <c r="E493" t="s">
        <v>161</v>
      </c>
      <c r="F493" t="s">
        <v>107</v>
      </c>
      <c r="G493" t="s">
        <v>54</v>
      </c>
      <c r="H493" t="s">
        <v>55</v>
      </c>
      <c r="I493">
        <v>2680</v>
      </c>
      <c r="J493">
        <v>3484</v>
      </c>
      <c r="K493">
        <v>2</v>
      </c>
      <c r="L493">
        <v>5360</v>
      </c>
      <c r="M493">
        <v>6968</v>
      </c>
      <c r="N493" t="s">
        <v>42</v>
      </c>
      <c r="O493">
        <f t="shared" si="14"/>
        <v>2990</v>
      </c>
      <c r="P493" s="13">
        <f t="shared" si="15"/>
        <v>1937780</v>
      </c>
      <c r="Q493" s="13">
        <f>SUMIFS(M:M,E:E,Online_eCommerce[[#This Row],[Status]])</f>
        <v>21103186</v>
      </c>
      <c r="R493" s="13">
        <f>SUMIFS(L:L,H:H,Online_eCommerce[[#This Row],[Brand]])</f>
        <v>2267380</v>
      </c>
      <c r="S493" s="13">
        <f>SUMIF(H:H,Online_eCommerce[[#This Row],[Brand]],M:M)</f>
        <v>2947594</v>
      </c>
      <c r="T493" s="13">
        <f>SUMIF(N:N,Online_eCommerce[[#This Row],[Assigned Supervisor]],L:L)</f>
        <v>12261500</v>
      </c>
    </row>
    <row r="494" spans="1:20" x14ac:dyDescent="0.3">
      <c r="A494" t="s">
        <v>859</v>
      </c>
      <c r="B494" t="s">
        <v>215</v>
      </c>
      <c r="C494" t="s">
        <v>172</v>
      </c>
      <c r="D494" t="s">
        <v>842</v>
      </c>
      <c r="E494" t="s">
        <v>46</v>
      </c>
      <c r="F494" t="s">
        <v>112</v>
      </c>
      <c r="G494" t="s">
        <v>71</v>
      </c>
      <c r="H494" t="s">
        <v>21</v>
      </c>
      <c r="I494">
        <v>8250</v>
      </c>
      <c r="J494">
        <v>10725</v>
      </c>
      <c r="K494">
        <v>4</v>
      </c>
      <c r="L494">
        <v>33000</v>
      </c>
      <c r="M494">
        <v>42900</v>
      </c>
      <c r="N494" t="s">
        <v>50</v>
      </c>
      <c r="O494">
        <f t="shared" si="14"/>
        <v>9750</v>
      </c>
      <c r="P494" s="13">
        <f t="shared" si="15"/>
        <v>2640274</v>
      </c>
      <c r="Q494" s="13">
        <f>SUMIFS(M:M,E:E,Online_eCommerce[[#This Row],[Status]])</f>
        <v>28620410</v>
      </c>
      <c r="R494" s="13">
        <f>SUMIFS(L:L,H:H,Online_eCommerce[[#This Row],[Brand]])</f>
        <v>12435650</v>
      </c>
      <c r="S494" s="13">
        <f>SUMIF(H:H,Online_eCommerce[[#This Row],[Brand]],M:M)</f>
        <v>16166345</v>
      </c>
      <c r="T494" s="13">
        <f>SUMIF(N:N,Online_eCommerce[[#This Row],[Assigned Supervisor]],L:L)</f>
        <v>12100590</v>
      </c>
    </row>
    <row r="495" spans="1:20" hidden="1" x14ac:dyDescent="0.3">
      <c r="A495" t="s">
        <v>860</v>
      </c>
      <c r="B495" t="s">
        <v>215</v>
      </c>
      <c r="C495" t="s">
        <v>177</v>
      </c>
      <c r="D495" t="s">
        <v>842</v>
      </c>
      <c r="E495" t="s">
        <v>96</v>
      </c>
      <c r="F495" t="s">
        <v>503</v>
      </c>
      <c r="G495" t="s">
        <v>40</v>
      </c>
      <c r="H495" t="s">
        <v>21</v>
      </c>
      <c r="I495">
        <v>2650</v>
      </c>
      <c r="J495">
        <v>3445</v>
      </c>
      <c r="K495">
        <v>4</v>
      </c>
      <c r="L495">
        <v>10600</v>
      </c>
      <c r="M495">
        <v>13780</v>
      </c>
      <c r="N495" t="s">
        <v>56</v>
      </c>
      <c r="O495">
        <f t="shared" si="14"/>
        <v>25545</v>
      </c>
      <c r="P495" s="13">
        <f t="shared" si="15"/>
        <v>1863810</v>
      </c>
      <c r="Q495" s="13">
        <f>SUMIFS(M:M,E:E,Online_eCommerce[[#This Row],[Status]])</f>
        <v>21233992</v>
      </c>
      <c r="R495" s="13">
        <f>SUMIFS(L:L,H:H,Online_eCommerce[[#This Row],[Brand]])</f>
        <v>12435650</v>
      </c>
      <c r="S495" s="13">
        <f>SUMIF(H:H,Online_eCommerce[[#This Row],[Brand]],M:M)</f>
        <v>16166345</v>
      </c>
      <c r="T495" s="13">
        <f>SUMIF(N:N,Online_eCommerce[[#This Row],[Assigned Supervisor]],L:L)</f>
        <v>11733610</v>
      </c>
    </row>
    <row r="496" spans="1:20" hidden="1" x14ac:dyDescent="0.3">
      <c r="A496" t="s">
        <v>861</v>
      </c>
      <c r="B496" t="s">
        <v>215</v>
      </c>
      <c r="C496" t="s">
        <v>181</v>
      </c>
      <c r="D496" t="s">
        <v>842</v>
      </c>
      <c r="E496" t="s">
        <v>18</v>
      </c>
      <c r="F496" t="s">
        <v>121</v>
      </c>
      <c r="G496" t="s">
        <v>71</v>
      </c>
      <c r="H496" t="s">
        <v>122</v>
      </c>
      <c r="I496">
        <v>12550</v>
      </c>
      <c r="J496">
        <v>16315</v>
      </c>
      <c r="K496">
        <v>2</v>
      </c>
      <c r="L496">
        <v>25100</v>
      </c>
      <c r="M496">
        <v>32630</v>
      </c>
      <c r="N496" t="s">
        <v>22</v>
      </c>
      <c r="O496">
        <f t="shared" si="14"/>
        <v>9750</v>
      </c>
      <c r="P496" s="13">
        <f t="shared" si="15"/>
        <v>2577458</v>
      </c>
      <c r="Q496" s="13">
        <f>SUMIFS(M:M,E:E,Online_eCommerce[[#This Row],[Status]])</f>
        <v>28340455</v>
      </c>
      <c r="R496" s="13">
        <f>SUMIFS(L:L,H:H,Online_eCommerce[[#This Row],[Brand]])</f>
        <v>5045100</v>
      </c>
      <c r="S496" s="13">
        <f>SUMIF(H:H,Online_eCommerce[[#This Row],[Brand]],M:M)</f>
        <v>6558630</v>
      </c>
      <c r="T496" s="13">
        <f>SUMIF(N:N,Online_eCommerce[[#This Row],[Assigned Supervisor]],L:L)</f>
        <v>13693220</v>
      </c>
    </row>
    <row r="497" spans="1:20" hidden="1" x14ac:dyDescent="0.3">
      <c r="A497" t="s">
        <v>862</v>
      </c>
      <c r="B497" t="s">
        <v>215</v>
      </c>
      <c r="C497" t="s">
        <v>185</v>
      </c>
      <c r="D497" t="s">
        <v>842</v>
      </c>
      <c r="E497" t="s">
        <v>161</v>
      </c>
      <c r="F497" t="s">
        <v>126</v>
      </c>
      <c r="G497" t="s">
        <v>26</v>
      </c>
      <c r="H497" t="s">
        <v>27</v>
      </c>
      <c r="I497">
        <v>14500</v>
      </c>
      <c r="J497">
        <v>18850</v>
      </c>
      <c r="K497">
        <v>1</v>
      </c>
      <c r="L497">
        <v>14500</v>
      </c>
      <c r="M497">
        <v>18850</v>
      </c>
      <c r="N497" t="s">
        <v>28</v>
      </c>
      <c r="O497">
        <f t="shared" si="14"/>
        <v>33150</v>
      </c>
      <c r="P497" s="13">
        <f t="shared" si="15"/>
        <v>2091596</v>
      </c>
      <c r="Q497" s="13">
        <f>SUMIFS(M:M,E:E,Online_eCommerce[[#This Row],[Status]])</f>
        <v>21103186</v>
      </c>
      <c r="R497" s="13">
        <f>SUMIFS(L:L,H:H,Online_eCommerce[[#This Row],[Brand]])</f>
        <v>14431000</v>
      </c>
      <c r="S497" s="13">
        <f>SUMIF(H:H,Online_eCommerce[[#This Row],[Brand]],M:M)</f>
        <v>18760300</v>
      </c>
      <c r="T497" s="13">
        <f>SUMIF(N:N,Online_eCommerce[[#This Row],[Assigned Supervisor]],L:L)</f>
        <v>12220830</v>
      </c>
    </row>
    <row r="498" spans="1:20" x14ac:dyDescent="0.3">
      <c r="A498" t="s">
        <v>863</v>
      </c>
      <c r="B498" t="s">
        <v>215</v>
      </c>
      <c r="C498" t="s">
        <v>189</v>
      </c>
      <c r="D498" t="s">
        <v>842</v>
      </c>
      <c r="E498" t="s">
        <v>46</v>
      </c>
      <c r="F498" t="s">
        <v>129</v>
      </c>
      <c r="G498" t="s">
        <v>60</v>
      </c>
      <c r="H498" t="s">
        <v>61</v>
      </c>
      <c r="I498">
        <v>800</v>
      </c>
      <c r="J498">
        <v>1040</v>
      </c>
      <c r="K498">
        <v>2</v>
      </c>
      <c r="L498">
        <v>1600</v>
      </c>
      <c r="M498">
        <v>2080</v>
      </c>
      <c r="N498" t="s">
        <v>35</v>
      </c>
      <c r="O498">
        <f t="shared" si="14"/>
        <v>3315</v>
      </c>
      <c r="P498" s="13">
        <f t="shared" si="15"/>
        <v>2740777</v>
      </c>
      <c r="Q498" s="13">
        <f>SUMIFS(M:M,E:E,Online_eCommerce[[#This Row],[Status]])</f>
        <v>28620410</v>
      </c>
      <c r="R498" s="13">
        <f>SUMIFS(L:L,H:H,Online_eCommerce[[#This Row],[Brand]])</f>
        <v>10950150</v>
      </c>
      <c r="S498" s="13">
        <f>SUMIF(H:H,Online_eCommerce[[#This Row],[Brand]],M:M)</f>
        <v>14235195</v>
      </c>
      <c r="T498" s="13">
        <f>SUMIF(N:N,Online_eCommerce[[#This Row],[Assigned Supervisor]],L:L)</f>
        <v>14373360</v>
      </c>
    </row>
    <row r="499" spans="1:20" hidden="1" x14ac:dyDescent="0.3">
      <c r="A499" t="s">
        <v>864</v>
      </c>
      <c r="B499" t="s">
        <v>215</v>
      </c>
      <c r="C499" t="s">
        <v>193</v>
      </c>
      <c r="D499" t="s">
        <v>842</v>
      </c>
      <c r="E499" t="s">
        <v>96</v>
      </c>
      <c r="F499" t="s">
        <v>133</v>
      </c>
      <c r="G499" t="s">
        <v>66</v>
      </c>
      <c r="H499" t="s">
        <v>21</v>
      </c>
      <c r="I499">
        <v>600</v>
      </c>
      <c r="J499">
        <v>780</v>
      </c>
      <c r="K499">
        <v>3</v>
      </c>
      <c r="L499">
        <v>1800</v>
      </c>
      <c r="M499">
        <v>2340</v>
      </c>
      <c r="N499" t="s">
        <v>42</v>
      </c>
      <c r="O499">
        <f t="shared" si="14"/>
        <v>1690</v>
      </c>
      <c r="P499" s="13">
        <f t="shared" si="15"/>
        <v>2074774</v>
      </c>
      <c r="Q499" s="13">
        <f>SUMIFS(M:M,E:E,Online_eCommerce[[#This Row],[Status]])</f>
        <v>21233992</v>
      </c>
      <c r="R499" s="13">
        <f>SUMIFS(L:L,H:H,Online_eCommerce[[#This Row],[Brand]])</f>
        <v>12435650</v>
      </c>
      <c r="S499" s="13">
        <f>SUMIF(H:H,Online_eCommerce[[#This Row],[Brand]],M:M)</f>
        <v>16166345</v>
      </c>
      <c r="T499" s="13">
        <f>SUMIF(N:N,Online_eCommerce[[#This Row],[Assigned Supervisor]],L:L)</f>
        <v>12261500</v>
      </c>
    </row>
    <row r="500" spans="1:20" hidden="1" x14ac:dyDescent="0.3">
      <c r="A500" t="s">
        <v>865</v>
      </c>
      <c r="B500" t="s">
        <v>215</v>
      </c>
      <c r="C500" t="s">
        <v>197</v>
      </c>
      <c r="D500" t="s">
        <v>842</v>
      </c>
      <c r="E500" t="s">
        <v>18</v>
      </c>
      <c r="F500" t="s">
        <v>137</v>
      </c>
      <c r="G500" t="s">
        <v>71</v>
      </c>
      <c r="H500" t="s">
        <v>61</v>
      </c>
      <c r="I500">
        <v>10500</v>
      </c>
      <c r="J500">
        <v>13650</v>
      </c>
      <c r="K500">
        <v>1</v>
      </c>
      <c r="L500">
        <v>10500</v>
      </c>
      <c r="M500">
        <v>13650</v>
      </c>
      <c r="N500" t="s">
        <v>50</v>
      </c>
      <c r="O500">
        <f t="shared" si="14"/>
        <v>9750</v>
      </c>
      <c r="P500" s="13">
        <f t="shared" si="15"/>
        <v>2829840</v>
      </c>
      <c r="Q500" s="13">
        <f>SUMIFS(M:M,E:E,Online_eCommerce[[#This Row],[Status]])</f>
        <v>28340455</v>
      </c>
      <c r="R500" s="13">
        <f>SUMIFS(L:L,H:H,Online_eCommerce[[#This Row],[Brand]])</f>
        <v>10950150</v>
      </c>
      <c r="S500" s="13">
        <f>SUMIF(H:H,Online_eCommerce[[#This Row],[Brand]],M:M)</f>
        <v>14235195</v>
      </c>
      <c r="T500" s="13">
        <f>SUMIF(N:N,Online_eCommerce[[#This Row],[Assigned Supervisor]],L:L)</f>
        <v>12100590</v>
      </c>
    </row>
    <row r="501" spans="1:20" hidden="1" x14ac:dyDescent="0.3">
      <c r="A501" t="s">
        <v>866</v>
      </c>
      <c r="B501" t="s">
        <v>215</v>
      </c>
      <c r="C501" t="s">
        <v>199</v>
      </c>
      <c r="D501" t="s">
        <v>842</v>
      </c>
      <c r="E501" t="s">
        <v>161</v>
      </c>
      <c r="F501" t="s">
        <v>836</v>
      </c>
      <c r="G501" t="s">
        <v>77</v>
      </c>
      <c r="H501" t="s">
        <v>142</v>
      </c>
      <c r="I501">
        <v>6500</v>
      </c>
      <c r="J501">
        <v>8450</v>
      </c>
      <c r="K501">
        <v>2</v>
      </c>
      <c r="L501">
        <v>13000</v>
      </c>
      <c r="M501">
        <v>16900</v>
      </c>
      <c r="N501" t="s">
        <v>56</v>
      </c>
      <c r="O501">
        <f t="shared" si="14"/>
        <v>39000</v>
      </c>
      <c r="P501" s="13">
        <f t="shared" si="15"/>
        <v>1947361</v>
      </c>
      <c r="Q501" s="13">
        <f>SUMIFS(M:M,E:E,Online_eCommerce[[#This Row],[Status]])</f>
        <v>21103186</v>
      </c>
      <c r="R501" s="13">
        <f>SUMIFS(L:L,H:H,Online_eCommerce[[#This Row],[Brand]])</f>
        <v>6192500</v>
      </c>
      <c r="S501" s="13">
        <f>SUMIF(H:H,Online_eCommerce[[#This Row],[Brand]],M:M)</f>
        <v>8050250</v>
      </c>
      <c r="T501" s="13">
        <f>SUMIF(N:N,Online_eCommerce[[#This Row],[Assigned Supervisor]],L:L)</f>
        <v>11733610</v>
      </c>
    </row>
    <row r="502" spans="1:20" x14ac:dyDescent="0.3">
      <c r="A502" t="s">
        <v>867</v>
      </c>
      <c r="B502" t="s">
        <v>215</v>
      </c>
      <c r="C502" t="s">
        <v>203</v>
      </c>
      <c r="D502" t="s">
        <v>842</v>
      </c>
      <c r="E502" t="s">
        <v>46</v>
      </c>
      <c r="F502" t="s">
        <v>868</v>
      </c>
      <c r="G502" t="s">
        <v>20</v>
      </c>
      <c r="H502" t="s">
        <v>21</v>
      </c>
      <c r="I502">
        <v>4500</v>
      </c>
      <c r="J502">
        <v>5850</v>
      </c>
      <c r="K502">
        <v>4</v>
      </c>
      <c r="L502">
        <v>18000</v>
      </c>
      <c r="M502">
        <v>23400</v>
      </c>
      <c r="N502" t="s">
        <v>22</v>
      </c>
      <c r="O502">
        <f t="shared" si="14"/>
        <v>8450</v>
      </c>
      <c r="P502" s="13">
        <f t="shared" si="15"/>
        <v>2559635</v>
      </c>
      <c r="Q502" s="13">
        <f>SUMIFS(M:M,E:E,Online_eCommerce[[#This Row],[Status]])</f>
        <v>28620410</v>
      </c>
      <c r="R502" s="13">
        <f>SUMIFS(L:L,H:H,Online_eCommerce[[#This Row],[Brand]])</f>
        <v>12435650</v>
      </c>
      <c r="S502" s="13">
        <f>SUMIF(H:H,Online_eCommerce[[#This Row],[Brand]],M:M)</f>
        <v>16166345</v>
      </c>
      <c r="T502" s="13">
        <f>SUMIF(N:N,Online_eCommerce[[#This Row],[Assigned Supervisor]],L:L)</f>
        <v>13693220</v>
      </c>
    </row>
    <row r="503" spans="1:20" hidden="1" x14ac:dyDescent="0.3">
      <c r="A503" t="s">
        <v>869</v>
      </c>
      <c r="B503" t="s">
        <v>215</v>
      </c>
      <c r="C503" t="s">
        <v>205</v>
      </c>
      <c r="D503" t="s">
        <v>842</v>
      </c>
      <c r="E503" t="s">
        <v>96</v>
      </c>
      <c r="F503" t="s">
        <v>152</v>
      </c>
      <c r="G503" t="s">
        <v>26</v>
      </c>
      <c r="H503" t="s">
        <v>27</v>
      </c>
      <c r="I503">
        <v>8500</v>
      </c>
      <c r="J503">
        <v>11050</v>
      </c>
      <c r="K503">
        <v>1</v>
      </c>
      <c r="L503">
        <v>8500</v>
      </c>
      <c r="M503">
        <v>11050</v>
      </c>
      <c r="N503" t="s">
        <v>28</v>
      </c>
      <c r="O503">
        <f t="shared" si="14"/>
        <v>33150</v>
      </c>
      <c r="P503" s="13">
        <f t="shared" si="15"/>
        <v>1983254</v>
      </c>
      <c r="Q503" s="13">
        <f>SUMIFS(M:M,E:E,Online_eCommerce[[#This Row],[Status]])</f>
        <v>21233992</v>
      </c>
      <c r="R503" s="13">
        <f>SUMIFS(L:L,H:H,Online_eCommerce[[#This Row],[Brand]])</f>
        <v>14431000</v>
      </c>
      <c r="S503" s="13">
        <f>SUMIF(H:H,Online_eCommerce[[#This Row],[Brand]],M:M)</f>
        <v>18760300</v>
      </c>
      <c r="T503" s="13">
        <f>SUMIF(N:N,Online_eCommerce[[#This Row],[Assigned Supervisor]],L:L)</f>
        <v>12220830</v>
      </c>
    </row>
    <row r="504" spans="1:20" hidden="1" x14ac:dyDescent="0.3">
      <c r="A504" t="s">
        <v>870</v>
      </c>
      <c r="B504" t="s">
        <v>215</v>
      </c>
      <c r="C504" t="s">
        <v>208</v>
      </c>
      <c r="D504" t="s">
        <v>842</v>
      </c>
      <c r="E504" t="s">
        <v>18</v>
      </c>
      <c r="F504" t="s">
        <v>157</v>
      </c>
      <c r="G504" t="s">
        <v>33</v>
      </c>
      <c r="H504" t="s">
        <v>34</v>
      </c>
      <c r="I504">
        <v>12500</v>
      </c>
      <c r="J504">
        <v>16250</v>
      </c>
      <c r="K504">
        <v>3</v>
      </c>
      <c r="L504">
        <v>37500</v>
      </c>
      <c r="M504">
        <v>48750</v>
      </c>
      <c r="N504" t="s">
        <v>35</v>
      </c>
      <c r="O504">
        <f t="shared" si="14"/>
        <v>18200</v>
      </c>
      <c r="P504" s="13">
        <f t="shared" si="15"/>
        <v>2746575</v>
      </c>
      <c r="Q504" s="13">
        <f>SUMIFS(M:M,E:E,Online_eCommerce[[#This Row],[Status]])</f>
        <v>28340455</v>
      </c>
      <c r="R504" s="13">
        <f>SUMIFS(L:L,H:H,Online_eCommerce[[#This Row],[Brand]])</f>
        <v>10087000</v>
      </c>
      <c r="S504" s="13">
        <f>SUMIF(H:H,Online_eCommerce[[#This Row],[Brand]],M:M)</f>
        <v>13113100</v>
      </c>
      <c r="T504" s="13">
        <f>SUMIF(N:N,Online_eCommerce[[#This Row],[Assigned Supervisor]],L:L)</f>
        <v>14373360</v>
      </c>
    </row>
    <row r="505" spans="1:20" hidden="1" x14ac:dyDescent="0.3">
      <c r="A505" t="s">
        <v>871</v>
      </c>
      <c r="B505" t="s">
        <v>215</v>
      </c>
      <c r="C505" t="s">
        <v>211</v>
      </c>
      <c r="D505" t="s">
        <v>842</v>
      </c>
      <c r="E505" t="s">
        <v>161</v>
      </c>
      <c r="F505" t="s">
        <v>548</v>
      </c>
      <c r="G505" t="s">
        <v>40</v>
      </c>
      <c r="H505" t="s">
        <v>41</v>
      </c>
      <c r="I505">
        <v>3500</v>
      </c>
      <c r="J505">
        <v>4550</v>
      </c>
      <c r="K505">
        <v>1</v>
      </c>
      <c r="L505">
        <v>3500</v>
      </c>
      <c r="M505">
        <v>4550</v>
      </c>
      <c r="N505" t="s">
        <v>42</v>
      </c>
      <c r="O505">
        <f t="shared" si="14"/>
        <v>25545</v>
      </c>
      <c r="P505" s="13">
        <f t="shared" si="15"/>
        <v>1809847</v>
      </c>
      <c r="Q505" s="13">
        <f>SUMIFS(M:M,E:E,Online_eCommerce[[#This Row],[Status]])</f>
        <v>21103186</v>
      </c>
      <c r="R505" s="13">
        <f>SUMIFS(L:L,H:H,Online_eCommerce[[#This Row],[Brand]])</f>
        <v>4260400</v>
      </c>
      <c r="S505" s="13">
        <f>SUMIF(H:H,Online_eCommerce[[#This Row],[Brand]],M:M)</f>
        <v>5538520</v>
      </c>
      <c r="T505" s="13">
        <f>SUMIF(N:N,Online_eCommerce[[#This Row],[Assigned Supervisor]],L:L)</f>
        <v>12261500</v>
      </c>
    </row>
    <row r="506" spans="1:20" x14ac:dyDescent="0.3">
      <c r="A506" t="s">
        <v>872</v>
      </c>
      <c r="B506" t="s">
        <v>215</v>
      </c>
      <c r="C506" t="s">
        <v>16</v>
      </c>
      <c r="D506" t="s">
        <v>842</v>
      </c>
      <c r="E506" t="s">
        <v>46</v>
      </c>
      <c r="F506" t="s">
        <v>166</v>
      </c>
      <c r="G506" t="s">
        <v>334</v>
      </c>
      <c r="H506" t="s">
        <v>49</v>
      </c>
      <c r="I506">
        <v>4500</v>
      </c>
      <c r="J506">
        <v>5850</v>
      </c>
      <c r="K506">
        <v>2</v>
      </c>
      <c r="L506">
        <v>9000</v>
      </c>
      <c r="M506">
        <v>11700</v>
      </c>
      <c r="N506" t="s">
        <v>50</v>
      </c>
      <c r="O506">
        <f t="shared" si="14"/>
        <v>39780</v>
      </c>
      <c r="P506" s="13">
        <f t="shared" si="15"/>
        <v>2751814</v>
      </c>
      <c r="Q506" s="13">
        <f>SUMIFS(M:M,E:E,Online_eCommerce[[#This Row],[Status]])</f>
        <v>28620410</v>
      </c>
      <c r="R506" s="13">
        <f>SUMIFS(L:L,H:H,Online_eCommerce[[#This Row],[Brand]])</f>
        <v>4528350</v>
      </c>
      <c r="S506" s="13">
        <f>SUMIF(H:H,Online_eCommerce[[#This Row],[Brand]],M:M)</f>
        <v>5886855</v>
      </c>
      <c r="T506" s="13">
        <f>SUMIF(N:N,Online_eCommerce[[#This Row],[Assigned Supervisor]],L:L)</f>
        <v>12100590</v>
      </c>
    </row>
    <row r="507" spans="1:20" hidden="1" x14ac:dyDescent="0.3">
      <c r="A507" t="s">
        <v>873</v>
      </c>
      <c r="B507" t="s">
        <v>215</v>
      </c>
      <c r="C507" t="s">
        <v>24</v>
      </c>
      <c r="D507" t="s">
        <v>842</v>
      </c>
      <c r="E507" t="s">
        <v>96</v>
      </c>
      <c r="F507" t="s">
        <v>874</v>
      </c>
      <c r="G507" t="s">
        <v>54</v>
      </c>
      <c r="H507" t="s">
        <v>55</v>
      </c>
      <c r="I507">
        <v>2100</v>
      </c>
      <c r="J507">
        <v>2730</v>
      </c>
      <c r="K507">
        <v>4</v>
      </c>
      <c r="L507">
        <v>8400</v>
      </c>
      <c r="M507">
        <v>10920</v>
      </c>
      <c r="N507" t="s">
        <v>56</v>
      </c>
      <c r="O507">
        <f t="shared" si="14"/>
        <v>2990</v>
      </c>
      <c r="P507" s="13">
        <f t="shared" si="15"/>
        <v>2009540</v>
      </c>
      <c r="Q507" s="13">
        <f>SUMIFS(M:M,E:E,Online_eCommerce[[#This Row],[Status]])</f>
        <v>21233992</v>
      </c>
      <c r="R507" s="13">
        <f>SUMIFS(L:L,H:H,Online_eCommerce[[#This Row],[Brand]])</f>
        <v>2267380</v>
      </c>
      <c r="S507" s="13">
        <f>SUMIF(H:H,Online_eCommerce[[#This Row],[Brand]],M:M)</f>
        <v>2947594</v>
      </c>
      <c r="T507" s="13">
        <f>SUMIF(N:N,Online_eCommerce[[#This Row],[Assigned Supervisor]],L:L)</f>
        <v>11733610</v>
      </c>
    </row>
    <row r="508" spans="1:20" hidden="1" x14ac:dyDescent="0.3">
      <c r="A508" t="s">
        <v>875</v>
      </c>
      <c r="B508" t="s">
        <v>215</v>
      </c>
      <c r="C508" t="s">
        <v>31</v>
      </c>
      <c r="D508" t="s">
        <v>842</v>
      </c>
      <c r="E508" t="s">
        <v>18</v>
      </c>
      <c r="F508" t="s">
        <v>174</v>
      </c>
      <c r="G508" t="s">
        <v>60</v>
      </c>
      <c r="H508" t="s">
        <v>61</v>
      </c>
      <c r="I508">
        <v>1150</v>
      </c>
      <c r="J508">
        <v>1495</v>
      </c>
      <c r="K508">
        <v>3</v>
      </c>
      <c r="L508">
        <v>3450</v>
      </c>
      <c r="M508">
        <v>4485</v>
      </c>
      <c r="N508" t="s">
        <v>22</v>
      </c>
      <c r="O508">
        <f t="shared" si="14"/>
        <v>3315</v>
      </c>
      <c r="P508" s="13">
        <f t="shared" si="15"/>
        <v>2865746</v>
      </c>
      <c r="Q508" s="13">
        <f>SUMIFS(M:M,E:E,Online_eCommerce[[#This Row],[Status]])</f>
        <v>28340455</v>
      </c>
      <c r="R508" s="13">
        <f>SUMIFS(L:L,H:H,Online_eCommerce[[#This Row],[Brand]])</f>
        <v>10950150</v>
      </c>
      <c r="S508" s="13">
        <f>SUMIF(H:H,Online_eCommerce[[#This Row],[Brand]],M:M)</f>
        <v>14235195</v>
      </c>
      <c r="T508" s="13">
        <f>SUMIF(N:N,Online_eCommerce[[#This Row],[Assigned Supervisor]],L:L)</f>
        <v>13693220</v>
      </c>
    </row>
    <row r="509" spans="1:20" hidden="1" x14ac:dyDescent="0.3">
      <c r="A509" t="s">
        <v>876</v>
      </c>
      <c r="B509" t="s">
        <v>215</v>
      </c>
      <c r="C509" t="s">
        <v>38</v>
      </c>
      <c r="D509" t="s">
        <v>842</v>
      </c>
      <c r="E509" t="s">
        <v>161</v>
      </c>
      <c r="F509" t="s">
        <v>179</v>
      </c>
      <c r="G509" t="s">
        <v>66</v>
      </c>
      <c r="H509" t="s">
        <v>21</v>
      </c>
      <c r="I509">
        <v>350</v>
      </c>
      <c r="J509">
        <v>455</v>
      </c>
      <c r="K509">
        <v>4</v>
      </c>
      <c r="L509">
        <v>1400</v>
      </c>
      <c r="M509">
        <v>1820</v>
      </c>
      <c r="N509" t="s">
        <v>28</v>
      </c>
      <c r="O509">
        <f t="shared" si="14"/>
        <v>1690</v>
      </c>
      <c r="P509" s="13">
        <f t="shared" si="15"/>
        <v>1933997</v>
      </c>
      <c r="Q509" s="13">
        <f>SUMIFS(M:M,E:E,Online_eCommerce[[#This Row],[Status]])</f>
        <v>21103186</v>
      </c>
      <c r="R509" s="13">
        <f>SUMIFS(L:L,H:H,Online_eCommerce[[#This Row],[Brand]])</f>
        <v>12435650</v>
      </c>
      <c r="S509" s="13">
        <f>SUMIF(H:H,Online_eCommerce[[#This Row],[Brand]],M:M)</f>
        <v>16166345</v>
      </c>
      <c r="T509" s="13">
        <f>SUMIF(N:N,Online_eCommerce[[#This Row],[Assigned Supervisor]],L:L)</f>
        <v>12220830</v>
      </c>
    </row>
    <row r="510" spans="1:20" x14ac:dyDescent="0.3">
      <c r="A510" t="s">
        <v>877</v>
      </c>
      <c r="B510" t="s">
        <v>215</v>
      </c>
      <c r="C510" t="s">
        <v>45</v>
      </c>
      <c r="D510" t="s">
        <v>842</v>
      </c>
      <c r="E510" t="s">
        <v>46</v>
      </c>
      <c r="F510" t="s">
        <v>183</v>
      </c>
      <c r="G510" t="s">
        <v>71</v>
      </c>
      <c r="H510" t="s">
        <v>61</v>
      </c>
      <c r="I510">
        <v>9500</v>
      </c>
      <c r="J510">
        <v>12350</v>
      </c>
      <c r="K510">
        <v>1</v>
      </c>
      <c r="L510">
        <v>9500</v>
      </c>
      <c r="M510">
        <v>12350</v>
      </c>
      <c r="N510" t="s">
        <v>35</v>
      </c>
      <c r="O510">
        <f t="shared" si="14"/>
        <v>9750</v>
      </c>
      <c r="P510" s="13">
        <f t="shared" si="15"/>
        <v>2842554</v>
      </c>
      <c r="Q510" s="13">
        <f>SUMIFS(M:M,E:E,Online_eCommerce[[#This Row],[Status]])</f>
        <v>28620410</v>
      </c>
      <c r="R510" s="13">
        <f>SUMIFS(L:L,H:H,Online_eCommerce[[#This Row],[Brand]])</f>
        <v>10950150</v>
      </c>
      <c r="S510" s="13">
        <f>SUMIF(H:H,Online_eCommerce[[#This Row],[Brand]],M:M)</f>
        <v>14235195</v>
      </c>
      <c r="T510" s="13">
        <f>SUMIF(N:N,Online_eCommerce[[#This Row],[Assigned Supervisor]],L:L)</f>
        <v>14373360</v>
      </c>
    </row>
    <row r="511" spans="1:20" hidden="1" x14ac:dyDescent="0.3">
      <c r="A511" t="s">
        <v>878</v>
      </c>
      <c r="B511" t="s">
        <v>215</v>
      </c>
      <c r="C511" t="s">
        <v>52</v>
      </c>
      <c r="D511" t="s">
        <v>842</v>
      </c>
      <c r="E511" t="s">
        <v>96</v>
      </c>
      <c r="F511" t="s">
        <v>879</v>
      </c>
      <c r="G511" t="s">
        <v>77</v>
      </c>
      <c r="H511" t="s">
        <v>142</v>
      </c>
      <c r="I511">
        <v>10000</v>
      </c>
      <c r="J511">
        <v>13000</v>
      </c>
      <c r="K511">
        <v>2</v>
      </c>
      <c r="L511">
        <v>20000</v>
      </c>
      <c r="M511">
        <v>26000</v>
      </c>
      <c r="N511" t="s">
        <v>42</v>
      </c>
      <c r="O511">
        <f t="shared" si="14"/>
        <v>39000</v>
      </c>
      <c r="P511" s="13">
        <f t="shared" si="15"/>
        <v>1955044</v>
      </c>
      <c r="Q511" s="13">
        <f>SUMIFS(M:M,E:E,Online_eCommerce[[#This Row],[Status]])</f>
        <v>21233992</v>
      </c>
      <c r="R511" s="13">
        <f>SUMIFS(L:L,H:H,Online_eCommerce[[#This Row],[Brand]])</f>
        <v>6192500</v>
      </c>
      <c r="S511" s="13">
        <f>SUMIF(H:H,Online_eCommerce[[#This Row],[Brand]],M:M)</f>
        <v>8050250</v>
      </c>
      <c r="T511" s="13">
        <f>SUMIF(N:N,Online_eCommerce[[#This Row],[Assigned Supervisor]],L:L)</f>
        <v>12261500</v>
      </c>
    </row>
    <row r="512" spans="1:20" hidden="1" x14ac:dyDescent="0.3">
      <c r="A512" t="s">
        <v>880</v>
      </c>
      <c r="B512" t="s">
        <v>215</v>
      </c>
      <c r="C512" t="s">
        <v>58</v>
      </c>
      <c r="D512" t="s">
        <v>842</v>
      </c>
      <c r="E512" t="s">
        <v>18</v>
      </c>
      <c r="F512" t="s">
        <v>881</v>
      </c>
      <c r="G512" t="s">
        <v>20</v>
      </c>
      <c r="H512" t="s">
        <v>21</v>
      </c>
      <c r="I512">
        <v>6500</v>
      </c>
      <c r="J512">
        <v>8450</v>
      </c>
      <c r="K512">
        <v>3</v>
      </c>
      <c r="L512">
        <v>19500</v>
      </c>
      <c r="M512">
        <v>25350</v>
      </c>
      <c r="N512" t="s">
        <v>50</v>
      </c>
      <c r="O512">
        <f t="shared" si="14"/>
        <v>8450</v>
      </c>
      <c r="P512" s="13">
        <f t="shared" si="15"/>
        <v>2629211</v>
      </c>
      <c r="Q512" s="13">
        <f>SUMIFS(M:M,E:E,Online_eCommerce[[#This Row],[Status]])</f>
        <v>28340455</v>
      </c>
      <c r="R512" s="13">
        <f>SUMIFS(L:L,H:H,Online_eCommerce[[#This Row],[Brand]])</f>
        <v>12435650</v>
      </c>
      <c r="S512" s="13">
        <f>SUMIF(H:H,Online_eCommerce[[#This Row],[Brand]],M:M)</f>
        <v>16166345</v>
      </c>
      <c r="T512" s="13">
        <f>SUMIF(N:N,Online_eCommerce[[#This Row],[Assigned Supervisor]],L:L)</f>
        <v>12100590</v>
      </c>
    </row>
    <row r="513" spans="1:20" hidden="1" x14ac:dyDescent="0.3">
      <c r="A513" t="s">
        <v>882</v>
      </c>
      <c r="B513" t="s">
        <v>215</v>
      </c>
      <c r="C513" t="s">
        <v>63</v>
      </c>
      <c r="D513" t="s">
        <v>842</v>
      </c>
      <c r="E513" t="s">
        <v>161</v>
      </c>
      <c r="F513" t="s">
        <v>883</v>
      </c>
      <c r="G513" t="s">
        <v>26</v>
      </c>
      <c r="H513" t="s">
        <v>27</v>
      </c>
      <c r="I513">
        <v>8500</v>
      </c>
      <c r="J513">
        <v>11050</v>
      </c>
      <c r="K513">
        <v>1</v>
      </c>
      <c r="L513">
        <v>8500</v>
      </c>
      <c r="M513">
        <v>11050</v>
      </c>
      <c r="N513" t="s">
        <v>56</v>
      </c>
      <c r="O513">
        <f t="shared" si="14"/>
        <v>33150</v>
      </c>
      <c r="P513" s="13">
        <f t="shared" si="15"/>
        <v>2016131</v>
      </c>
      <c r="Q513" s="13">
        <f>SUMIFS(M:M,E:E,Online_eCommerce[[#This Row],[Status]])</f>
        <v>21103186</v>
      </c>
      <c r="R513" s="13">
        <f>SUMIFS(L:L,H:H,Online_eCommerce[[#This Row],[Brand]])</f>
        <v>14431000</v>
      </c>
      <c r="S513" s="13">
        <f>SUMIF(H:H,Online_eCommerce[[#This Row],[Brand]],M:M)</f>
        <v>18760300</v>
      </c>
      <c r="T513" s="13">
        <f>SUMIF(N:N,Online_eCommerce[[#This Row],[Assigned Supervisor]],L:L)</f>
        <v>11733610</v>
      </c>
    </row>
    <row r="514" spans="1:20" x14ac:dyDescent="0.3">
      <c r="A514" t="s">
        <v>884</v>
      </c>
      <c r="B514" t="s">
        <v>215</v>
      </c>
      <c r="C514" t="s">
        <v>68</v>
      </c>
      <c r="D514" t="s">
        <v>842</v>
      </c>
      <c r="E514" t="s">
        <v>46</v>
      </c>
      <c r="F514" t="s">
        <v>32</v>
      </c>
      <c r="G514" t="s">
        <v>33</v>
      </c>
      <c r="H514" t="s">
        <v>34</v>
      </c>
      <c r="I514">
        <v>7000</v>
      </c>
      <c r="J514">
        <v>9100</v>
      </c>
      <c r="K514">
        <v>3</v>
      </c>
      <c r="L514">
        <v>21000</v>
      </c>
      <c r="M514">
        <v>27300</v>
      </c>
      <c r="N514" t="s">
        <v>22</v>
      </c>
      <c r="O514">
        <f t="shared" ref="O514:O577" si="16">VLOOKUP(G514,G:M,7,FALSE)</f>
        <v>18200</v>
      </c>
      <c r="P514" s="13">
        <f t="shared" ref="P514:P577" si="17">SUMIFS(M:M,C:C,C514)</f>
        <v>2974621</v>
      </c>
      <c r="Q514" s="13">
        <f>SUMIFS(M:M,E:E,Online_eCommerce[[#This Row],[Status]])</f>
        <v>28620410</v>
      </c>
      <c r="R514" s="13">
        <f>SUMIFS(L:L,H:H,Online_eCommerce[[#This Row],[Brand]])</f>
        <v>10087000</v>
      </c>
      <c r="S514" s="13">
        <f>SUMIF(H:H,Online_eCommerce[[#This Row],[Brand]],M:M)</f>
        <v>13113100</v>
      </c>
      <c r="T514" s="13">
        <f>SUMIF(N:N,Online_eCommerce[[#This Row],[Assigned Supervisor]],L:L)</f>
        <v>13693220</v>
      </c>
    </row>
    <row r="515" spans="1:20" hidden="1" x14ac:dyDescent="0.3">
      <c r="A515" t="s">
        <v>885</v>
      </c>
      <c r="B515" t="s">
        <v>215</v>
      </c>
      <c r="C515" t="s">
        <v>74</v>
      </c>
      <c r="D515" t="s">
        <v>842</v>
      </c>
      <c r="E515" t="s">
        <v>96</v>
      </c>
      <c r="F515" t="s">
        <v>886</v>
      </c>
      <c r="G515" t="s">
        <v>40</v>
      </c>
      <c r="H515" t="s">
        <v>41</v>
      </c>
      <c r="I515">
        <v>6550</v>
      </c>
      <c r="J515">
        <v>8515</v>
      </c>
      <c r="K515">
        <v>3</v>
      </c>
      <c r="L515">
        <v>19650</v>
      </c>
      <c r="M515">
        <v>25545</v>
      </c>
      <c r="N515" t="s">
        <v>28</v>
      </c>
      <c r="O515">
        <f t="shared" si="16"/>
        <v>25545</v>
      </c>
      <c r="P515" s="13">
        <f t="shared" si="17"/>
        <v>2144701</v>
      </c>
      <c r="Q515" s="13">
        <f>SUMIFS(M:M,E:E,Online_eCommerce[[#This Row],[Status]])</f>
        <v>21233992</v>
      </c>
      <c r="R515" s="13">
        <f>SUMIFS(L:L,H:H,Online_eCommerce[[#This Row],[Brand]])</f>
        <v>4260400</v>
      </c>
      <c r="S515" s="13">
        <f>SUMIF(H:H,Online_eCommerce[[#This Row],[Brand]],M:M)</f>
        <v>5538520</v>
      </c>
      <c r="T515" s="13">
        <f>SUMIF(N:N,Online_eCommerce[[#This Row],[Assigned Supervisor]],L:L)</f>
        <v>12220830</v>
      </c>
    </row>
    <row r="516" spans="1:20" hidden="1" x14ac:dyDescent="0.3">
      <c r="A516" t="s">
        <v>887</v>
      </c>
      <c r="B516" t="s">
        <v>215</v>
      </c>
      <c r="C516" t="s">
        <v>81</v>
      </c>
      <c r="D516" t="s">
        <v>842</v>
      </c>
      <c r="E516" t="s">
        <v>18</v>
      </c>
      <c r="F516" t="s">
        <v>47</v>
      </c>
      <c r="G516" t="s">
        <v>334</v>
      </c>
      <c r="H516" t="s">
        <v>49</v>
      </c>
      <c r="I516">
        <v>7650</v>
      </c>
      <c r="J516">
        <v>9945</v>
      </c>
      <c r="K516">
        <v>4</v>
      </c>
      <c r="L516">
        <v>30600</v>
      </c>
      <c r="M516">
        <v>39780</v>
      </c>
      <c r="N516" t="s">
        <v>35</v>
      </c>
      <c r="O516">
        <f t="shared" si="16"/>
        <v>39780</v>
      </c>
      <c r="P516" s="13">
        <f t="shared" si="17"/>
        <v>2595632</v>
      </c>
      <c r="Q516" s="13">
        <f>SUMIFS(M:M,E:E,Online_eCommerce[[#This Row],[Status]])</f>
        <v>28340455</v>
      </c>
      <c r="R516" s="13">
        <f>SUMIFS(L:L,H:H,Online_eCommerce[[#This Row],[Brand]])</f>
        <v>4528350</v>
      </c>
      <c r="S516" s="13">
        <f>SUMIF(H:H,Online_eCommerce[[#This Row],[Brand]],M:M)</f>
        <v>5886855</v>
      </c>
      <c r="T516" s="13">
        <f>SUMIF(N:N,Online_eCommerce[[#This Row],[Assigned Supervisor]],L:L)</f>
        <v>14373360</v>
      </c>
    </row>
    <row r="517" spans="1:20" hidden="1" x14ac:dyDescent="0.3">
      <c r="A517" t="s">
        <v>888</v>
      </c>
      <c r="B517" t="s">
        <v>215</v>
      </c>
      <c r="C517" t="s">
        <v>86</v>
      </c>
      <c r="D517" t="s">
        <v>842</v>
      </c>
      <c r="E517" t="s">
        <v>161</v>
      </c>
      <c r="F517" t="s">
        <v>53</v>
      </c>
      <c r="G517" t="s">
        <v>54</v>
      </c>
      <c r="H517" t="s">
        <v>55</v>
      </c>
      <c r="I517">
        <v>1150</v>
      </c>
      <c r="J517">
        <v>1495</v>
      </c>
      <c r="K517">
        <v>4</v>
      </c>
      <c r="L517">
        <v>4600</v>
      </c>
      <c r="M517">
        <v>5980</v>
      </c>
      <c r="N517" t="s">
        <v>42</v>
      </c>
      <c r="O517">
        <f t="shared" si="16"/>
        <v>2990</v>
      </c>
      <c r="P517" s="13">
        <f t="shared" si="17"/>
        <v>1941225</v>
      </c>
      <c r="Q517" s="13">
        <f>SUMIFS(M:M,E:E,Online_eCommerce[[#This Row],[Status]])</f>
        <v>21103186</v>
      </c>
      <c r="R517" s="13">
        <f>SUMIFS(L:L,H:H,Online_eCommerce[[#This Row],[Brand]])</f>
        <v>2267380</v>
      </c>
      <c r="S517" s="13">
        <f>SUMIF(H:H,Online_eCommerce[[#This Row],[Brand]],M:M)</f>
        <v>2947594</v>
      </c>
      <c r="T517" s="13">
        <f>SUMIF(N:N,Online_eCommerce[[#This Row],[Assigned Supervisor]],L:L)</f>
        <v>12261500</v>
      </c>
    </row>
    <row r="518" spans="1:20" x14ac:dyDescent="0.3">
      <c r="A518" t="s">
        <v>889</v>
      </c>
      <c r="B518" t="s">
        <v>215</v>
      </c>
      <c r="C518" t="s">
        <v>91</v>
      </c>
      <c r="D518" t="s">
        <v>842</v>
      </c>
      <c r="E518" t="s">
        <v>46</v>
      </c>
      <c r="F518" t="s">
        <v>59</v>
      </c>
      <c r="G518" t="s">
        <v>60</v>
      </c>
      <c r="H518" t="s">
        <v>61</v>
      </c>
      <c r="I518">
        <v>850</v>
      </c>
      <c r="J518">
        <v>1105</v>
      </c>
      <c r="K518">
        <v>3</v>
      </c>
      <c r="L518">
        <v>2550</v>
      </c>
      <c r="M518">
        <v>3315</v>
      </c>
      <c r="N518" t="s">
        <v>50</v>
      </c>
      <c r="O518">
        <f t="shared" si="16"/>
        <v>3315</v>
      </c>
      <c r="P518" s="13">
        <f t="shared" si="17"/>
        <v>2731963</v>
      </c>
      <c r="Q518" s="13">
        <f>SUMIFS(M:M,E:E,Online_eCommerce[[#This Row],[Status]])</f>
        <v>28620410</v>
      </c>
      <c r="R518" s="13">
        <f>SUMIFS(L:L,H:H,Online_eCommerce[[#This Row],[Brand]])</f>
        <v>10950150</v>
      </c>
      <c r="S518" s="13">
        <f>SUMIF(H:H,Online_eCommerce[[#This Row],[Brand]],M:M)</f>
        <v>14235195</v>
      </c>
      <c r="T518" s="13">
        <f>SUMIF(N:N,Online_eCommerce[[#This Row],[Assigned Supervisor]],L:L)</f>
        <v>12100590</v>
      </c>
    </row>
    <row r="519" spans="1:20" hidden="1" x14ac:dyDescent="0.3">
      <c r="A519" t="s">
        <v>890</v>
      </c>
      <c r="B519" t="s">
        <v>215</v>
      </c>
      <c r="C519" t="s">
        <v>94</v>
      </c>
      <c r="D519" t="s">
        <v>842</v>
      </c>
      <c r="E519" t="s">
        <v>96</v>
      </c>
      <c r="F519" t="s">
        <v>65</v>
      </c>
      <c r="G519" t="s">
        <v>66</v>
      </c>
      <c r="H519" t="s">
        <v>21</v>
      </c>
      <c r="I519">
        <v>650</v>
      </c>
      <c r="J519">
        <v>845</v>
      </c>
      <c r="K519">
        <v>1</v>
      </c>
      <c r="L519">
        <v>650</v>
      </c>
      <c r="M519">
        <v>845</v>
      </c>
      <c r="N519" t="s">
        <v>56</v>
      </c>
      <c r="O519">
        <f t="shared" si="16"/>
        <v>1690</v>
      </c>
      <c r="P519" s="13">
        <f t="shared" si="17"/>
        <v>1868256</v>
      </c>
      <c r="Q519" s="13">
        <f>SUMIFS(M:M,E:E,Online_eCommerce[[#This Row],[Status]])</f>
        <v>21233992</v>
      </c>
      <c r="R519" s="13">
        <f>SUMIFS(L:L,H:H,Online_eCommerce[[#This Row],[Brand]])</f>
        <v>12435650</v>
      </c>
      <c r="S519" s="13">
        <f>SUMIF(H:H,Online_eCommerce[[#This Row],[Brand]],M:M)</f>
        <v>16166345</v>
      </c>
      <c r="T519" s="13">
        <f>SUMIF(N:N,Online_eCommerce[[#This Row],[Assigned Supervisor]],L:L)</f>
        <v>11733610</v>
      </c>
    </row>
    <row r="520" spans="1:20" hidden="1" x14ac:dyDescent="0.3">
      <c r="A520" t="s">
        <v>891</v>
      </c>
      <c r="B520" t="s">
        <v>215</v>
      </c>
      <c r="C520" t="s">
        <v>99</v>
      </c>
      <c r="D520" t="s">
        <v>842</v>
      </c>
      <c r="E520" t="s">
        <v>18</v>
      </c>
      <c r="F520" t="s">
        <v>70</v>
      </c>
      <c r="G520" t="s">
        <v>71</v>
      </c>
      <c r="H520" t="s">
        <v>61</v>
      </c>
      <c r="I520">
        <v>7500</v>
      </c>
      <c r="J520">
        <v>9750</v>
      </c>
      <c r="K520">
        <v>2</v>
      </c>
      <c r="L520">
        <v>15000</v>
      </c>
      <c r="M520">
        <v>19500</v>
      </c>
      <c r="N520" t="s">
        <v>22</v>
      </c>
      <c r="O520">
        <f t="shared" si="16"/>
        <v>9750</v>
      </c>
      <c r="P520" s="13">
        <f t="shared" si="17"/>
        <v>2651233</v>
      </c>
      <c r="Q520" s="13">
        <f>SUMIFS(M:M,E:E,Online_eCommerce[[#This Row],[Status]])</f>
        <v>28340455</v>
      </c>
      <c r="R520" s="13">
        <f>SUMIFS(L:L,H:H,Online_eCommerce[[#This Row],[Brand]])</f>
        <v>10950150</v>
      </c>
      <c r="S520" s="13">
        <f>SUMIF(H:H,Online_eCommerce[[#This Row],[Brand]],M:M)</f>
        <v>14235195</v>
      </c>
      <c r="T520" s="13">
        <f>SUMIF(N:N,Online_eCommerce[[#This Row],[Assigned Supervisor]],L:L)</f>
        <v>13693220</v>
      </c>
    </row>
    <row r="521" spans="1:20" hidden="1" x14ac:dyDescent="0.3">
      <c r="A521" t="s">
        <v>892</v>
      </c>
      <c r="B521" t="s">
        <v>215</v>
      </c>
      <c r="C521" t="s">
        <v>105</v>
      </c>
      <c r="D521" t="s">
        <v>842</v>
      </c>
      <c r="E521" t="s">
        <v>161</v>
      </c>
      <c r="F521" t="s">
        <v>879</v>
      </c>
      <c r="G521" t="s">
        <v>77</v>
      </c>
      <c r="H521" t="s">
        <v>78</v>
      </c>
      <c r="I521">
        <v>10000</v>
      </c>
      <c r="J521">
        <v>13000</v>
      </c>
      <c r="K521">
        <v>1</v>
      </c>
      <c r="L521">
        <v>10000</v>
      </c>
      <c r="M521">
        <v>13000</v>
      </c>
      <c r="N521" t="s">
        <v>28</v>
      </c>
      <c r="O521">
        <f t="shared" si="16"/>
        <v>39000</v>
      </c>
      <c r="P521" s="13">
        <f t="shared" si="17"/>
        <v>1866852</v>
      </c>
      <c r="Q521" s="13">
        <f>SUMIFS(M:M,E:E,Online_eCommerce[[#This Row],[Status]])</f>
        <v>21103186</v>
      </c>
      <c r="R521" s="13">
        <f>SUMIFS(L:L,H:H,Online_eCommerce[[#This Row],[Brand]])</f>
        <v>3720000</v>
      </c>
      <c r="S521" s="13">
        <f>SUMIF(H:H,Online_eCommerce[[#This Row],[Brand]],M:M)</f>
        <v>4836000</v>
      </c>
      <c r="T521" s="13">
        <f>SUMIF(N:N,Online_eCommerce[[#This Row],[Assigned Supervisor]],L:L)</f>
        <v>12220830</v>
      </c>
    </row>
    <row r="522" spans="1:20" x14ac:dyDescent="0.3">
      <c r="A522" t="s">
        <v>893</v>
      </c>
      <c r="B522" t="s">
        <v>215</v>
      </c>
      <c r="C522" t="s">
        <v>110</v>
      </c>
      <c r="D522" t="s">
        <v>842</v>
      </c>
      <c r="E522" t="s">
        <v>46</v>
      </c>
      <c r="F522" t="s">
        <v>894</v>
      </c>
      <c r="G522" t="s">
        <v>20</v>
      </c>
      <c r="H522" t="s">
        <v>21</v>
      </c>
      <c r="I522">
        <v>10500</v>
      </c>
      <c r="J522">
        <v>13650</v>
      </c>
      <c r="K522">
        <v>3</v>
      </c>
      <c r="L522">
        <v>31500</v>
      </c>
      <c r="M522">
        <v>40950</v>
      </c>
      <c r="N522" t="s">
        <v>35</v>
      </c>
      <c r="O522">
        <f t="shared" si="16"/>
        <v>8450</v>
      </c>
      <c r="P522" s="13">
        <f t="shared" si="17"/>
        <v>2598635</v>
      </c>
      <c r="Q522" s="13">
        <f>SUMIFS(M:M,E:E,Online_eCommerce[[#This Row],[Status]])</f>
        <v>28620410</v>
      </c>
      <c r="R522" s="13">
        <f>SUMIFS(L:L,H:H,Online_eCommerce[[#This Row],[Brand]])</f>
        <v>12435650</v>
      </c>
      <c r="S522" s="13">
        <f>SUMIF(H:H,Online_eCommerce[[#This Row],[Brand]],M:M)</f>
        <v>16166345</v>
      </c>
      <c r="T522" s="13">
        <f>SUMIF(N:N,Online_eCommerce[[#This Row],[Assigned Supervisor]],L:L)</f>
        <v>14373360</v>
      </c>
    </row>
    <row r="523" spans="1:20" hidden="1" x14ac:dyDescent="0.3">
      <c r="A523" t="s">
        <v>895</v>
      </c>
      <c r="B523" t="s">
        <v>215</v>
      </c>
      <c r="C523" t="s">
        <v>115</v>
      </c>
      <c r="D523" t="s">
        <v>842</v>
      </c>
      <c r="E523" t="s">
        <v>96</v>
      </c>
      <c r="F523" t="s">
        <v>88</v>
      </c>
      <c r="G523" t="s">
        <v>26</v>
      </c>
      <c r="H523" t="s">
        <v>27</v>
      </c>
      <c r="I523">
        <v>8500</v>
      </c>
      <c r="J523">
        <v>11050</v>
      </c>
      <c r="K523">
        <v>2</v>
      </c>
      <c r="L523">
        <v>17000</v>
      </c>
      <c r="M523">
        <v>22100</v>
      </c>
      <c r="N523" t="s">
        <v>42</v>
      </c>
      <c r="O523">
        <f t="shared" si="16"/>
        <v>33150</v>
      </c>
      <c r="P523" s="13">
        <f t="shared" si="17"/>
        <v>2050178</v>
      </c>
      <c r="Q523" s="13">
        <f>SUMIFS(M:M,E:E,Online_eCommerce[[#This Row],[Status]])</f>
        <v>21233992</v>
      </c>
      <c r="R523" s="13">
        <f>SUMIFS(L:L,H:H,Online_eCommerce[[#This Row],[Brand]])</f>
        <v>14431000</v>
      </c>
      <c r="S523" s="13">
        <f>SUMIF(H:H,Online_eCommerce[[#This Row],[Brand]],M:M)</f>
        <v>18760300</v>
      </c>
      <c r="T523" s="13">
        <f>SUMIF(N:N,Online_eCommerce[[#This Row],[Assigned Supervisor]],L:L)</f>
        <v>12261500</v>
      </c>
    </row>
    <row r="524" spans="1:20" hidden="1" x14ac:dyDescent="0.3">
      <c r="A524" t="s">
        <v>896</v>
      </c>
      <c r="B524" t="s">
        <v>215</v>
      </c>
      <c r="C524" t="s">
        <v>120</v>
      </c>
      <c r="D524" t="s">
        <v>842</v>
      </c>
      <c r="E524" t="s">
        <v>18</v>
      </c>
      <c r="F524" t="s">
        <v>32</v>
      </c>
      <c r="G524" t="s">
        <v>33</v>
      </c>
      <c r="H524" t="s">
        <v>34</v>
      </c>
      <c r="I524">
        <v>7000</v>
      </c>
      <c r="J524">
        <v>9100</v>
      </c>
      <c r="K524">
        <v>2</v>
      </c>
      <c r="L524">
        <v>14000</v>
      </c>
      <c r="M524">
        <v>18200</v>
      </c>
      <c r="N524" t="s">
        <v>50</v>
      </c>
      <c r="O524">
        <f t="shared" si="16"/>
        <v>18200</v>
      </c>
      <c r="P524" s="13">
        <f t="shared" si="17"/>
        <v>2734212</v>
      </c>
      <c r="Q524" s="13">
        <f>SUMIFS(M:M,E:E,Online_eCommerce[[#This Row],[Status]])</f>
        <v>28340455</v>
      </c>
      <c r="R524" s="13">
        <f>SUMIFS(L:L,H:H,Online_eCommerce[[#This Row],[Brand]])</f>
        <v>10087000</v>
      </c>
      <c r="S524" s="13">
        <f>SUMIF(H:H,Online_eCommerce[[#This Row],[Brand]],M:M)</f>
        <v>13113100</v>
      </c>
      <c r="T524" s="13">
        <f>SUMIF(N:N,Online_eCommerce[[#This Row],[Assigned Supervisor]],L:L)</f>
        <v>12100590</v>
      </c>
    </row>
    <row r="525" spans="1:20" hidden="1" x14ac:dyDescent="0.3">
      <c r="A525" t="s">
        <v>897</v>
      </c>
      <c r="B525" t="s">
        <v>215</v>
      </c>
      <c r="C525" t="s">
        <v>125</v>
      </c>
      <c r="D525" t="s">
        <v>842</v>
      </c>
      <c r="E525" t="s">
        <v>161</v>
      </c>
      <c r="F525" t="s">
        <v>898</v>
      </c>
      <c r="G525" t="s">
        <v>40</v>
      </c>
      <c r="H525" t="s">
        <v>41</v>
      </c>
      <c r="I525">
        <v>1680</v>
      </c>
      <c r="J525">
        <v>2184</v>
      </c>
      <c r="K525">
        <v>2</v>
      </c>
      <c r="L525">
        <v>3360</v>
      </c>
      <c r="M525">
        <v>4368</v>
      </c>
      <c r="N525" t="s">
        <v>56</v>
      </c>
      <c r="O525">
        <f t="shared" si="16"/>
        <v>25545</v>
      </c>
      <c r="P525" s="13">
        <f t="shared" si="17"/>
        <v>2091154</v>
      </c>
      <c r="Q525" s="13">
        <f>SUMIFS(M:M,E:E,Online_eCommerce[[#This Row],[Status]])</f>
        <v>21103186</v>
      </c>
      <c r="R525" s="13">
        <f>SUMIFS(L:L,H:H,Online_eCommerce[[#This Row],[Brand]])</f>
        <v>4260400</v>
      </c>
      <c r="S525" s="13">
        <f>SUMIF(H:H,Online_eCommerce[[#This Row],[Brand]],M:M)</f>
        <v>5538520</v>
      </c>
      <c r="T525" s="13">
        <f>SUMIF(N:N,Online_eCommerce[[#This Row],[Assigned Supervisor]],L:L)</f>
        <v>11733610</v>
      </c>
    </row>
    <row r="526" spans="1:20" x14ac:dyDescent="0.3">
      <c r="A526" t="s">
        <v>899</v>
      </c>
      <c r="B526" t="s">
        <v>215</v>
      </c>
      <c r="C526" t="s">
        <v>22</v>
      </c>
      <c r="D526" t="s">
        <v>842</v>
      </c>
      <c r="E526" t="s">
        <v>46</v>
      </c>
      <c r="F526" t="s">
        <v>101</v>
      </c>
      <c r="G526" t="s">
        <v>334</v>
      </c>
      <c r="H526" t="s">
        <v>102</v>
      </c>
      <c r="I526">
        <v>6540</v>
      </c>
      <c r="J526">
        <v>8502</v>
      </c>
      <c r="K526">
        <v>4</v>
      </c>
      <c r="L526">
        <v>26160</v>
      </c>
      <c r="M526">
        <v>34008</v>
      </c>
      <c r="N526" t="s">
        <v>22</v>
      </c>
      <c r="O526">
        <f t="shared" si="16"/>
        <v>39780</v>
      </c>
      <c r="P526" s="13">
        <f t="shared" si="17"/>
        <v>2551588</v>
      </c>
      <c r="Q526" s="13">
        <f>SUMIFS(M:M,E:E,Online_eCommerce[[#This Row],[Status]])</f>
        <v>28620410</v>
      </c>
      <c r="R526" s="13">
        <f>SUMIFS(L:L,H:H,Online_eCommerce[[#This Row],[Brand]])</f>
        <v>2465580</v>
      </c>
      <c r="S526" s="13">
        <f>SUMIF(H:H,Online_eCommerce[[#This Row],[Brand]],M:M)</f>
        <v>3205254</v>
      </c>
      <c r="T526" s="13">
        <f>SUMIF(N:N,Online_eCommerce[[#This Row],[Assigned Supervisor]],L:L)</f>
        <v>13693220</v>
      </c>
    </row>
    <row r="527" spans="1:20" hidden="1" x14ac:dyDescent="0.3">
      <c r="A527" t="s">
        <v>900</v>
      </c>
      <c r="B527" t="s">
        <v>215</v>
      </c>
      <c r="C527" t="s">
        <v>132</v>
      </c>
      <c r="D527" t="s">
        <v>842</v>
      </c>
      <c r="E527" t="s">
        <v>96</v>
      </c>
      <c r="F527" t="s">
        <v>107</v>
      </c>
      <c r="G527" t="s">
        <v>54</v>
      </c>
      <c r="H527" t="s">
        <v>55</v>
      </c>
      <c r="I527">
        <v>2680</v>
      </c>
      <c r="J527">
        <v>3484</v>
      </c>
      <c r="K527">
        <v>4</v>
      </c>
      <c r="L527">
        <v>10720</v>
      </c>
      <c r="M527">
        <v>13936</v>
      </c>
      <c r="N527" t="s">
        <v>28</v>
      </c>
      <c r="O527">
        <f t="shared" si="16"/>
        <v>2990</v>
      </c>
      <c r="P527" s="13">
        <f t="shared" si="17"/>
        <v>1989065</v>
      </c>
      <c r="Q527" s="13">
        <f>SUMIFS(M:M,E:E,Online_eCommerce[[#This Row],[Status]])</f>
        <v>21233992</v>
      </c>
      <c r="R527" s="13">
        <f>SUMIFS(L:L,H:H,Online_eCommerce[[#This Row],[Brand]])</f>
        <v>2267380</v>
      </c>
      <c r="S527" s="13">
        <f>SUMIF(H:H,Online_eCommerce[[#This Row],[Brand]],M:M)</f>
        <v>2947594</v>
      </c>
      <c r="T527" s="13">
        <f>SUMIF(N:N,Online_eCommerce[[#This Row],[Assigned Supervisor]],L:L)</f>
        <v>12220830</v>
      </c>
    </row>
    <row r="528" spans="1:20" hidden="1" x14ac:dyDescent="0.3">
      <c r="A528" t="s">
        <v>901</v>
      </c>
      <c r="B528" t="s">
        <v>215</v>
      </c>
      <c r="C528" t="s">
        <v>136</v>
      </c>
      <c r="D528" t="s">
        <v>842</v>
      </c>
      <c r="E528" t="s">
        <v>18</v>
      </c>
      <c r="F528" t="s">
        <v>112</v>
      </c>
      <c r="G528" t="s">
        <v>71</v>
      </c>
      <c r="H528" t="s">
        <v>21</v>
      </c>
      <c r="I528">
        <v>8250</v>
      </c>
      <c r="J528">
        <v>10725</v>
      </c>
      <c r="K528">
        <v>2</v>
      </c>
      <c r="L528">
        <v>16500</v>
      </c>
      <c r="M528">
        <v>21450</v>
      </c>
      <c r="N528" t="s">
        <v>35</v>
      </c>
      <c r="O528">
        <f t="shared" si="16"/>
        <v>9750</v>
      </c>
      <c r="P528" s="13">
        <f t="shared" si="17"/>
        <v>2775162</v>
      </c>
      <c r="Q528" s="13">
        <f>SUMIFS(M:M,E:E,Online_eCommerce[[#This Row],[Status]])</f>
        <v>28340455</v>
      </c>
      <c r="R528" s="13">
        <f>SUMIFS(L:L,H:H,Online_eCommerce[[#This Row],[Brand]])</f>
        <v>12435650</v>
      </c>
      <c r="S528" s="13">
        <f>SUMIF(H:H,Online_eCommerce[[#This Row],[Brand]],M:M)</f>
        <v>16166345</v>
      </c>
      <c r="T528" s="13">
        <f>SUMIF(N:N,Online_eCommerce[[#This Row],[Assigned Supervisor]],L:L)</f>
        <v>14373360</v>
      </c>
    </row>
    <row r="529" spans="1:20" hidden="1" x14ac:dyDescent="0.3">
      <c r="A529" t="s">
        <v>902</v>
      </c>
      <c r="B529" t="s">
        <v>215</v>
      </c>
      <c r="C529" t="s">
        <v>140</v>
      </c>
      <c r="D529" t="s">
        <v>842</v>
      </c>
      <c r="E529" t="s">
        <v>161</v>
      </c>
      <c r="F529" t="s">
        <v>548</v>
      </c>
      <c r="G529" t="s">
        <v>40</v>
      </c>
      <c r="H529" t="s">
        <v>21</v>
      </c>
      <c r="I529">
        <v>2650</v>
      </c>
      <c r="J529">
        <v>3445</v>
      </c>
      <c r="K529">
        <v>2</v>
      </c>
      <c r="L529">
        <v>5300</v>
      </c>
      <c r="M529">
        <v>6890</v>
      </c>
      <c r="N529" t="s">
        <v>42</v>
      </c>
      <c r="O529">
        <f t="shared" si="16"/>
        <v>25545</v>
      </c>
      <c r="P529" s="13">
        <f t="shared" si="17"/>
        <v>2058264</v>
      </c>
      <c r="Q529" s="13">
        <f>SUMIFS(M:M,E:E,Online_eCommerce[[#This Row],[Status]])</f>
        <v>21103186</v>
      </c>
      <c r="R529" s="13">
        <f>SUMIFS(L:L,H:H,Online_eCommerce[[#This Row],[Brand]])</f>
        <v>12435650</v>
      </c>
      <c r="S529" s="13">
        <f>SUMIF(H:H,Online_eCommerce[[#This Row],[Brand]],M:M)</f>
        <v>16166345</v>
      </c>
      <c r="T529" s="13">
        <f>SUMIF(N:N,Online_eCommerce[[#This Row],[Assigned Supervisor]],L:L)</f>
        <v>12261500</v>
      </c>
    </row>
    <row r="530" spans="1:20" x14ac:dyDescent="0.3">
      <c r="A530" t="s">
        <v>903</v>
      </c>
      <c r="B530" t="s">
        <v>215</v>
      </c>
      <c r="C530" t="s">
        <v>145</v>
      </c>
      <c r="D530" t="s">
        <v>842</v>
      </c>
      <c r="E530" t="s">
        <v>46</v>
      </c>
      <c r="F530" t="s">
        <v>121</v>
      </c>
      <c r="G530" t="s">
        <v>71</v>
      </c>
      <c r="H530" t="s">
        <v>122</v>
      </c>
      <c r="I530">
        <v>12550</v>
      </c>
      <c r="J530">
        <v>16315</v>
      </c>
      <c r="K530">
        <v>2</v>
      </c>
      <c r="L530">
        <v>25100</v>
      </c>
      <c r="M530">
        <v>32630</v>
      </c>
      <c r="N530" t="s">
        <v>50</v>
      </c>
      <c r="O530">
        <f t="shared" si="16"/>
        <v>9750</v>
      </c>
      <c r="P530" s="13">
        <f t="shared" si="17"/>
        <v>2757859</v>
      </c>
      <c r="Q530" s="13">
        <f>SUMIFS(M:M,E:E,Online_eCommerce[[#This Row],[Status]])</f>
        <v>28620410</v>
      </c>
      <c r="R530" s="13">
        <f>SUMIFS(L:L,H:H,Online_eCommerce[[#This Row],[Brand]])</f>
        <v>5045100</v>
      </c>
      <c r="S530" s="13">
        <f>SUMIF(H:H,Online_eCommerce[[#This Row],[Brand]],M:M)</f>
        <v>6558630</v>
      </c>
      <c r="T530" s="13">
        <f>SUMIF(N:N,Online_eCommerce[[#This Row],[Assigned Supervisor]],L:L)</f>
        <v>12100590</v>
      </c>
    </row>
    <row r="531" spans="1:20" hidden="1" x14ac:dyDescent="0.3">
      <c r="A531" t="s">
        <v>904</v>
      </c>
      <c r="B531" t="s">
        <v>215</v>
      </c>
      <c r="C531" t="s">
        <v>150</v>
      </c>
      <c r="D531" t="s">
        <v>842</v>
      </c>
      <c r="E531" t="s">
        <v>96</v>
      </c>
      <c r="F531" t="s">
        <v>126</v>
      </c>
      <c r="G531" t="s">
        <v>26</v>
      </c>
      <c r="H531" t="s">
        <v>27</v>
      </c>
      <c r="I531">
        <v>14500</v>
      </c>
      <c r="J531">
        <v>18850</v>
      </c>
      <c r="K531">
        <v>3</v>
      </c>
      <c r="L531">
        <v>43500</v>
      </c>
      <c r="M531">
        <v>56550</v>
      </c>
      <c r="N531" t="s">
        <v>56</v>
      </c>
      <c r="O531">
        <f t="shared" si="16"/>
        <v>33150</v>
      </c>
      <c r="P531" s="13">
        <f t="shared" si="17"/>
        <v>2154984</v>
      </c>
      <c r="Q531" s="13">
        <f>SUMIFS(M:M,E:E,Online_eCommerce[[#This Row],[Status]])</f>
        <v>21233992</v>
      </c>
      <c r="R531" s="13">
        <f>SUMIFS(L:L,H:H,Online_eCommerce[[#This Row],[Brand]])</f>
        <v>14431000</v>
      </c>
      <c r="S531" s="13">
        <f>SUMIF(H:H,Online_eCommerce[[#This Row],[Brand]],M:M)</f>
        <v>18760300</v>
      </c>
      <c r="T531" s="13">
        <f>SUMIF(N:N,Online_eCommerce[[#This Row],[Assigned Supervisor]],L:L)</f>
        <v>11733610</v>
      </c>
    </row>
    <row r="532" spans="1:20" hidden="1" x14ac:dyDescent="0.3">
      <c r="A532" t="s">
        <v>905</v>
      </c>
      <c r="B532" t="s">
        <v>215</v>
      </c>
      <c r="C532" t="s">
        <v>155</v>
      </c>
      <c r="D532" t="s">
        <v>842</v>
      </c>
      <c r="E532" t="s">
        <v>18</v>
      </c>
      <c r="F532" t="s">
        <v>129</v>
      </c>
      <c r="G532" t="s">
        <v>60</v>
      </c>
      <c r="H532" t="s">
        <v>61</v>
      </c>
      <c r="I532">
        <v>800</v>
      </c>
      <c r="J532">
        <v>1040</v>
      </c>
      <c r="K532">
        <v>1</v>
      </c>
      <c r="L532">
        <v>800</v>
      </c>
      <c r="M532">
        <v>1040</v>
      </c>
      <c r="N532" t="s">
        <v>22</v>
      </c>
      <c r="O532">
        <f t="shared" si="16"/>
        <v>3315</v>
      </c>
      <c r="P532" s="13">
        <f t="shared" si="17"/>
        <v>2753348</v>
      </c>
      <c r="Q532" s="13">
        <f>SUMIFS(M:M,E:E,Online_eCommerce[[#This Row],[Status]])</f>
        <v>28340455</v>
      </c>
      <c r="R532" s="13">
        <f>SUMIFS(L:L,H:H,Online_eCommerce[[#This Row],[Brand]])</f>
        <v>10950150</v>
      </c>
      <c r="S532" s="13">
        <f>SUMIF(H:H,Online_eCommerce[[#This Row],[Brand]],M:M)</f>
        <v>14235195</v>
      </c>
      <c r="T532" s="13">
        <f>SUMIF(N:N,Online_eCommerce[[#This Row],[Assigned Supervisor]],L:L)</f>
        <v>13693220</v>
      </c>
    </row>
    <row r="533" spans="1:20" hidden="1" x14ac:dyDescent="0.3">
      <c r="A533" t="s">
        <v>906</v>
      </c>
      <c r="B533" t="s">
        <v>215</v>
      </c>
      <c r="C533" t="s">
        <v>160</v>
      </c>
      <c r="D533" t="s">
        <v>842</v>
      </c>
      <c r="E533" t="s">
        <v>161</v>
      </c>
      <c r="F533" t="s">
        <v>133</v>
      </c>
      <c r="G533" t="s">
        <v>66</v>
      </c>
      <c r="H533" t="s">
        <v>21</v>
      </c>
      <c r="I533">
        <v>600</v>
      </c>
      <c r="J533">
        <v>780</v>
      </c>
      <c r="K533">
        <v>3</v>
      </c>
      <c r="L533">
        <v>1800</v>
      </c>
      <c r="M533">
        <v>2340</v>
      </c>
      <c r="N533" t="s">
        <v>28</v>
      </c>
      <c r="O533">
        <f t="shared" si="16"/>
        <v>1690</v>
      </c>
      <c r="P533" s="13">
        <f t="shared" si="17"/>
        <v>2303483</v>
      </c>
      <c r="Q533" s="13">
        <f>SUMIFS(M:M,E:E,Online_eCommerce[[#This Row],[Status]])</f>
        <v>21103186</v>
      </c>
      <c r="R533" s="13">
        <f>SUMIFS(L:L,H:H,Online_eCommerce[[#This Row],[Brand]])</f>
        <v>12435650</v>
      </c>
      <c r="S533" s="13">
        <f>SUMIF(H:H,Online_eCommerce[[#This Row],[Brand]],M:M)</f>
        <v>16166345</v>
      </c>
      <c r="T533" s="13">
        <f>SUMIF(N:N,Online_eCommerce[[#This Row],[Assigned Supervisor]],L:L)</f>
        <v>12220830</v>
      </c>
    </row>
    <row r="534" spans="1:20" x14ac:dyDescent="0.3">
      <c r="A534" t="s">
        <v>907</v>
      </c>
      <c r="B534" t="s">
        <v>215</v>
      </c>
      <c r="C534" t="s">
        <v>165</v>
      </c>
      <c r="D534" t="s">
        <v>842</v>
      </c>
      <c r="E534" t="s">
        <v>46</v>
      </c>
      <c r="F534" t="s">
        <v>137</v>
      </c>
      <c r="G534" t="s">
        <v>71</v>
      </c>
      <c r="H534" t="s">
        <v>61</v>
      </c>
      <c r="I534">
        <v>10500</v>
      </c>
      <c r="J534">
        <v>13650</v>
      </c>
      <c r="K534">
        <v>2</v>
      </c>
      <c r="L534">
        <v>21000</v>
      </c>
      <c r="M534">
        <v>27300</v>
      </c>
      <c r="N534" t="s">
        <v>35</v>
      </c>
      <c r="O534">
        <f t="shared" si="16"/>
        <v>9750</v>
      </c>
      <c r="P534" s="13">
        <f t="shared" si="17"/>
        <v>2674087</v>
      </c>
      <c r="Q534" s="13">
        <f>SUMIFS(M:M,E:E,Online_eCommerce[[#This Row],[Status]])</f>
        <v>28620410</v>
      </c>
      <c r="R534" s="13">
        <f>SUMIFS(L:L,H:H,Online_eCommerce[[#This Row],[Brand]])</f>
        <v>10950150</v>
      </c>
      <c r="S534" s="13">
        <f>SUMIF(H:H,Online_eCommerce[[#This Row],[Brand]],M:M)</f>
        <v>14235195</v>
      </c>
      <c r="T534" s="13">
        <f>SUMIF(N:N,Online_eCommerce[[#This Row],[Assigned Supervisor]],L:L)</f>
        <v>14373360</v>
      </c>
    </row>
    <row r="535" spans="1:20" hidden="1" x14ac:dyDescent="0.3">
      <c r="A535" t="s">
        <v>908</v>
      </c>
      <c r="B535" t="s">
        <v>215</v>
      </c>
      <c r="C535" t="s">
        <v>168</v>
      </c>
      <c r="D535" t="s">
        <v>842</v>
      </c>
      <c r="E535" t="s">
        <v>96</v>
      </c>
      <c r="F535" t="s">
        <v>879</v>
      </c>
      <c r="G535" t="s">
        <v>77</v>
      </c>
      <c r="H535" t="s">
        <v>142</v>
      </c>
      <c r="I535">
        <v>6500</v>
      </c>
      <c r="J535">
        <v>8450</v>
      </c>
      <c r="K535">
        <v>2</v>
      </c>
      <c r="L535">
        <v>13000</v>
      </c>
      <c r="M535">
        <v>16900</v>
      </c>
      <c r="N535" t="s">
        <v>42</v>
      </c>
      <c r="O535">
        <f t="shared" si="16"/>
        <v>39000</v>
      </c>
      <c r="P535" s="13">
        <f t="shared" si="17"/>
        <v>1937780</v>
      </c>
      <c r="Q535" s="13">
        <f>SUMIFS(M:M,E:E,Online_eCommerce[[#This Row],[Status]])</f>
        <v>21233992</v>
      </c>
      <c r="R535" s="13">
        <f>SUMIFS(L:L,H:H,Online_eCommerce[[#This Row],[Brand]])</f>
        <v>6192500</v>
      </c>
      <c r="S535" s="13">
        <f>SUMIF(H:H,Online_eCommerce[[#This Row],[Brand]],M:M)</f>
        <v>8050250</v>
      </c>
      <c r="T535" s="13">
        <f>SUMIF(N:N,Online_eCommerce[[#This Row],[Assigned Supervisor]],L:L)</f>
        <v>12261500</v>
      </c>
    </row>
    <row r="536" spans="1:20" hidden="1" x14ac:dyDescent="0.3">
      <c r="A536" t="s">
        <v>909</v>
      </c>
      <c r="B536" t="s">
        <v>215</v>
      </c>
      <c r="C536" t="s">
        <v>172</v>
      </c>
      <c r="D536" t="s">
        <v>842</v>
      </c>
      <c r="E536" t="s">
        <v>18</v>
      </c>
      <c r="F536" t="s">
        <v>910</v>
      </c>
      <c r="G536" t="s">
        <v>20</v>
      </c>
      <c r="H536" t="s">
        <v>21</v>
      </c>
      <c r="I536">
        <v>4500</v>
      </c>
      <c r="J536">
        <v>5850</v>
      </c>
      <c r="K536">
        <v>2</v>
      </c>
      <c r="L536">
        <v>9000</v>
      </c>
      <c r="M536">
        <v>11700</v>
      </c>
      <c r="N536" t="s">
        <v>50</v>
      </c>
      <c r="O536">
        <f t="shared" si="16"/>
        <v>8450</v>
      </c>
      <c r="P536" s="13">
        <f t="shared" si="17"/>
        <v>2640274</v>
      </c>
      <c r="Q536" s="13">
        <f>SUMIFS(M:M,E:E,Online_eCommerce[[#This Row],[Status]])</f>
        <v>28340455</v>
      </c>
      <c r="R536" s="13">
        <f>SUMIFS(L:L,H:H,Online_eCommerce[[#This Row],[Brand]])</f>
        <v>12435650</v>
      </c>
      <c r="S536" s="13">
        <f>SUMIF(H:H,Online_eCommerce[[#This Row],[Brand]],M:M)</f>
        <v>16166345</v>
      </c>
      <c r="T536" s="13">
        <f>SUMIF(N:N,Online_eCommerce[[#This Row],[Assigned Supervisor]],L:L)</f>
        <v>12100590</v>
      </c>
    </row>
    <row r="537" spans="1:20" hidden="1" x14ac:dyDescent="0.3">
      <c r="A537" t="s">
        <v>911</v>
      </c>
      <c r="B537" t="s">
        <v>215</v>
      </c>
      <c r="C537" t="s">
        <v>177</v>
      </c>
      <c r="D537" t="s">
        <v>842</v>
      </c>
      <c r="E537" t="s">
        <v>161</v>
      </c>
      <c r="F537" t="s">
        <v>152</v>
      </c>
      <c r="G537" t="s">
        <v>26</v>
      </c>
      <c r="H537" t="s">
        <v>27</v>
      </c>
      <c r="I537">
        <v>8500</v>
      </c>
      <c r="J537">
        <v>11050</v>
      </c>
      <c r="K537">
        <v>3</v>
      </c>
      <c r="L537">
        <v>25500</v>
      </c>
      <c r="M537">
        <v>33150</v>
      </c>
      <c r="N537" t="s">
        <v>56</v>
      </c>
      <c r="O537">
        <f t="shared" si="16"/>
        <v>33150</v>
      </c>
      <c r="P537" s="13">
        <f t="shared" si="17"/>
        <v>1863810</v>
      </c>
      <c r="Q537" s="13">
        <f>SUMIFS(M:M,E:E,Online_eCommerce[[#This Row],[Status]])</f>
        <v>21103186</v>
      </c>
      <c r="R537" s="13">
        <f>SUMIFS(L:L,H:H,Online_eCommerce[[#This Row],[Brand]])</f>
        <v>14431000</v>
      </c>
      <c r="S537" s="13">
        <f>SUMIF(H:H,Online_eCommerce[[#This Row],[Brand]],M:M)</f>
        <v>18760300</v>
      </c>
      <c r="T537" s="13">
        <f>SUMIF(N:N,Online_eCommerce[[#This Row],[Assigned Supervisor]],L:L)</f>
        <v>11733610</v>
      </c>
    </row>
    <row r="538" spans="1:20" x14ac:dyDescent="0.3">
      <c r="A538" t="s">
        <v>912</v>
      </c>
      <c r="B538" t="s">
        <v>215</v>
      </c>
      <c r="C538" t="s">
        <v>181</v>
      </c>
      <c r="D538" t="s">
        <v>842</v>
      </c>
      <c r="E538" t="s">
        <v>46</v>
      </c>
      <c r="F538" t="s">
        <v>157</v>
      </c>
      <c r="G538" t="s">
        <v>33</v>
      </c>
      <c r="H538" t="s">
        <v>34</v>
      </c>
      <c r="I538">
        <v>12500</v>
      </c>
      <c r="J538">
        <v>16250</v>
      </c>
      <c r="K538">
        <v>2</v>
      </c>
      <c r="L538">
        <v>25000</v>
      </c>
      <c r="M538">
        <v>32500</v>
      </c>
      <c r="N538" t="s">
        <v>22</v>
      </c>
      <c r="O538">
        <f t="shared" si="16"/>
        <v>18200</v>
      </c>
      <c r="P538" s="13">
        <f t="shared" si="17"/>
        <v>2577458</v>
      </c>
      <c r="Q538" s="13">
        <f>SUMIFS(M:M,E:E,Online_eCommerce[[#This Row],[Status]])</f>
        <v>28620410</v>
      </c>
      <c r="R538" s="13">
        <f>SUMIFS(L:L,H:H,Online_eCommerce[[#This Row],[Brand]])</f>
        <v>10087000</v>
      </c>
      <c r="S538" s="13">
        <f>SUMIF(H:H,Online_eCommerce[[#This Row],[Brand]],M:M)</f>
        <v>13113100</v>
      </c>
      <c r="T538" s="13">
        <f>SUMIF(N:N,Online_eCommerce[[#This Row],[Assigned Supervisor]],L:L)</f>
        <v>13693220</v>
      </c>
    </row>
    <row r="539" spans="1:20" hidden="1" x14ac:dyDescent="0.3">
      <c r="A539" t="s">
        <v>913</v>
      </c>
      <c r="B539" t="s">
        <v>215</v>
      </c>
      <c r="C539" t="s">
        <v>185</v>
      </c>
      <c r="D539" t="s">
        <v>842</v>
      </c>
      <c r="E539" t="s">
        <v>96</v>
      </c>
      <c r="F539" t="s">
        <v>590</v>
      </c>
      <c r="G539" t="s">
        <v>163</v>
      </c>
      <c r="H539" t="s">
        <v>41</v>
      </c>
      <c r="I539">
        <v>3500</v>
      </c>
      <c r="J539">
        <v>4550</v>
      </c>
      <c r="K539">
        <v>1</v>
      </c>
      <c r="L539">
        <v>3500</v>
      </c>
      <c r="M539">
        <v>4550</v>
      </c>
      <c r="N539" t="s">
        <v>28</v>
      </c>
      <c r="O539">
        <f t="shared" si="16"/>
        <v>13650</v>
      </c>
      <c r="P539" s="13">
        <f t="shared" si="17"/>
        <v>2091596</v>
      </c>
      <c r="Q539" s="13">
        <f>SUMIFS(M:M,E:E,Online_eCommerce[[#This Row],[Status]])</f>
        <v>21233992</v>
      </c>
      <c r="R539" s="13">
        <f>SUMIFS(L:L,H:H,Online_eCommerce[[#This Row],[Brand]])</f>
        <v>4260400</v>
      </c>
      <c r="S539" s="13">
        <f>SUMIF(H:H,Online_eCommerce[[#This Row],[Brand]],M:M)</f>
        <v>5538520</v>
      </c>
      <c r="T539" s="13">
        <f>SUMIF(N:N,Online_eCommerce[[#This Row],[Assigned Supervisor]],L:L)</f>
        <v>12220830</v>
      </c>
    </row>
    <row r="540" spans="1:20" hidden="1" x14ac:dyDescent="0.3">
      <c r="A540" t="s">
        <v>914</v>
      </c>
      <c r="B540" t="s">
        <v>215</v>
      </c>
      <c r="C540" t="s">
        <v>189</v>
      </c>
      <c r="D540" t="s">
        <v>842</v>
      </c>
      <c r="E540" t="s">
        <v>18</v>
      </c>
      <c r="F540" t="s">
        <v>166</v>
      </c>
      <c r="G540" t="s">
        <v>66</v>
      </c>
      <c r="H540" t="s">
        <v>49</v>
      </c>
      <c r="I540">
        <v>4500</v>
      </c>
      <c r="J540">
        <v>5850</v>
      </c>
      <c r="K540">
        <v>1</v>
      </c>
      <c r="L540">
        <v>4500</v>
      </c>
      <c r="M540">
        <v>5850</v>
      </c>
      <c r="N540" t="s">
        <v>35</v>
      </c>
      <c r="O540">
        <f t="shared" si="16"/>
        <v>1690</v>
      </c>
      <c r="P540" s="13">
        <f t="shared" si="17"/>
        <v>2740777</v>
      </c>
      <c r="Q540" s="13">
        <f>SUMIFS(M:M,E:E,Online_eCommerce[[#This Row],[Status]])</f>
        <v>28340455</v>
      </c>
      <c r="R540" s="13">
        <f>SUMIFS(L:L,H:H,Online_eCommerce[[#This Row],[Brand]])</f>
        <v>4528350</v>
      </c>
      <c r="S540" s="13">
        <f>SUMIF(H:H,Online_eCommerce[[#This Row],[Brand]],M:M)</f>
        <v>5886855</v>
      </c>
      <c r="T540" s="13">
        <f>SUMIF(N:N,Online_eCommerce[[#This Row],[Assigned Supervisor]],L:L)</f>
        <v>14373360</v>
      </c>
    </row>
    <row r="541" spans="1:20" hidden="1" x14ac:dyDescent="0.3">
      <c r="A541" t="s">
        <v>915</v>
      </c>
      <c r="B541" t="s">
        <v>215</v>
      </c>
      <c r="C541" t="s">
        <v>193</v>
      </c>
      <c r="D541" t="s">
        <v>842</v>
      </c>
      <c r="E541" t="s">
        <v>161</v>
      </c>
      <c r="F541" t="s">
        <v>916</v>
      </c>
      <c r="G541" t="s">
        <v>54</v>
      </c>
      <c r="H541" t="s">
        <v>55</v>
      </c>
      <c r="I541">
        <v>2100</v>
      </c>
      <c r="J541">
        <v>2730</v>
      </c>
      <c r="K541">
        <v>3</v>
      </c>
      <c r="L541">
        <v>6300</v>
      </c>
      <c r="M541">
        <v>8190</v>
      </c>
      <c r="N541" t="s">
        <v>42</v>
      </c>
      <c r="O541">
        <f t="shared" si="16"/>
        <v>2990</v>
      </c>
      <c r="P541" s="13">
        <f t="shared" si="17"/>
        <v>2074774</v>
      </c>
      <c r="Q541" s="13">
        <f>SUMIFS(M:M,E:E,Online_eCommerce[[#This Row],[Status]])</f>
        <v>21103186</v>
      </c>
      <c r="R541" s="13">
        <f>SUMIFS(L:L,H:H,Online_eCommerce[[#This Row],[Brand]])</f>
        <v>2267380</v>
      </c>
      <c r="S541" s="13">
        <f>SUMIF(H:H,Online_eCommerce[[#This Row],[Brand]],M:M)</f>
        <v>2947594</v>
      </c>
      <c r="T541" s="13">
        <f>SUMIF(N:N,Online_eCommerce[[#This Row],[Assigned Supervisor]],L:L)</f>
        <v>12261500</v>
      </c>
    </row>
    <row r="542" spans="1:20" x14ac:dyDescent="0.3">
      <c r="A542" t="s">
        <v>917</v>
      </c>
      <c r="B542" t="s">
        <v>215</v>
      </c>
      <c r="C542" t="s">
        <v>197</v>
      </c>
      <c r="D542" t="s">
        <v>842</v>
      </c>
      <c r="E542" t="s">
        <v>46</v>
      </c>
      <c r="F542" t="s">
        <v>174</v>
      </c>
      <c r="G542" t="s">
        <v>60</v>
      </c>
      <c r="H542" t="s">
        <v>61</v>
      </c>
      <c r="I542">
        <v>1150</v>
      </c>
      <c r="J542">
        <v>1495</v>
      </c>
      <c r="K542">
        <v>4</v>
      </c>
      <c r="L542">
        <v>4600</v>
      </c>
      <c r="M542">
        <v>5980</v>
      </c>
      <c r="N542" t="s">
        <v>50</v>
      </c>
      <c r="O542">
        <f t="shared" si="16"/>
        <v>3315</v>
      </c>
      <c r="P542" s="13">
        <f t="shared" si="17"/>
        <v>2829840</v>
      </c>
      <c r="Q542" s="13">
        <f>SUMIFS(M:M,E:E,Online_eCommerce[[#This Row],[Status]])</f>
        <v>28620410</v>
      </c>
      <c r="R542" s="13">
        <f>SUMIFS(L:L,H:H,Online_eCommerce[[#This Row],[Brand]])</f>
        <v>10950150</v>
      </c>
      <c r="S542" s="13">
        <f>SUMIF(H:H,Online_eCommerce[[#This Row],[Brand]],M:M)</f>
        <v>14235195</v>
      </c>
      <c r="T542" s="13">
        <f>SUMIF(N:N,Online_eCommerce[[#This Row],[Assigned Supervisor]],L:L)</f>
        <v>12100590</v>
      </c>
    </row>
    <row r="543" spans="1:20" hidden="1" x14ac:dyDescent="0.3">
      <c r="A543" t="s">
        <v>918</v>
      </c>
      <c r="B543" t="s">
        <v>215</v>
      </c>
      <c r="C543" t="s">
        <v>199</v>
      </c>
      <c r="D543" t="s">
        <v>842</v>
      </c>
      <c r="E543" t="s">
        <v>96</v>
      </c>
      <c r="F543" t="s">
        <v>179</v>
      </c>
      <c r="G543" t="s">
        <v>66</v>
      </c>
      <c r="H543" t="s">
        <v>21</v>
      </c>
      <c r="I543">
        <v>350</v>
      </c>
      <c r="J543">
        <v>455</v>
      </c>
      <c r="K543">
        <v>4</v>
      </c>
      <c r="L543">
        <v>1400</v>
      </c>
      <c r="M543">
        <v>1820</v>
      </c>
      <c r="N543" t="s">
        <v>56</v>
      </c>
      <c r="O543">
        <f t="shared" si="16"/>
        <v>1690</v>
      </c>
      <c r="P543" s="13">
        <f t="shared" si="17"/>
        <v>1947361</v>
      </c>
      <c r="Q543" s="13">
        <f>SUMIFS(M:M,E:E,Online_eCommerce[[#This Row],[Status]])</f>
        <v>21233992</v>
      </c>
      <c r="R543" s="13">
        <f>SUMIFS(L:L,H:H,Online_eCommerce[[#This Row],[Brand]])</f>
        <v>12435650</v>
      </c>
      <c r="S543" s="13">
        <f>SUMIF(H:H,Online_eCommerce[[#This Row],[Brand]],M:M)</f>
        <v>16166345</v>
      </c>
      <c r="T543" s="13">
        <f>SUMIF(N:N,Online_eCommerce[[#This Row],[Assigned Supervisor]],L:L)</f>
        <v>11733610</v>
      </c>
    </row>
    <row r="544" spans="1:20" hidden="1" x14ac:dyDescent="0.3">
      <c r="A544" t="s">
        <v>919</v>
      </c>
      <c r="B544" t="s">
        <v>215</v>
      </c>
      <c r="C544" t="s">
        <v>203</v>
      </c>
      <c r="D544" t="s">
        <v>920</v>
      </c>
      <c r="E544" t="s">
        <v>18</v>
      </c>
      <c r="F544" t="s">
        <v>183</v>
      </c>
      <c r="G544" t="s">
        <v>71</v>
      </c>
      <c r="H544" t="s">
        <v>61</v>
      </c>
      <c r="I544">
        <v>9500</v>
      </c>
      <c r="J544">
        <v>12350</v>
      </c>
      <c r="K544">
        <v>3</v>
      </c>
      <c r="L544">
        <v>28500</v>
      </c>
      <c r="M544">
        <v>37050</v>
      </c>
      <c r="N544" t="s">
        <v>22</v>
      </c>
      <c r="O544">
        <f t="shared" si="16"/>
        <v>9750</v>
      </c>
      <c r="P544" s="13">
        <f t="shared" si="17"/>
        <v>2559635</v>
      </c>
      <c r="Q544" s="13">
        <f>SUMIFS(M:M,E:E,Online_eCommerce[[#This Row],[Status]])</f>
        <v>28340455</v>
      </c>
      <c r="R544" s="13">
        <f>SUMIFS(L:L,H:H,Online_eCommerce[[#This Row],[Brand]])</f>
        <v>10950150</v>
      </c>
      <c r="S544" s="13">
        <f>SUMIF(H:H,Online_eCommerce[[#This Row],[Brand]],M:M)</f>
        <v>14235195</v>
      </c>
      <c r="T544" s="13">
        <f>SUMIF(N:N,Online_eCommerce[[#This Row],[Assigned Supervisor]],L:L)</f>
        <v>13693220</v>
      </c>
    </row>
    <row r="545" spans="1:20" hidden="1" x14ac:dyDescent="0.3">
      <c r="A545" t="s">
        <v>921</v>
      </c>
      <c r="B545" t="s">
        <v>215</v>
      </c>
      <c r="C545" t="s">
        <v>205</v>
      </c>
      <c r="D545" t="s">
        <v>922</v>
      </c>
      <c r="E545" t="s">
        <v>161</v>
      </c>
      <c r="F545" t="s">
        <v>923</v>
      </c>
      <c r="G545" t="s">
        <v>77</v>
      </c>
      <c r="H545" t="s">
        <v>142</v>
      </c>
      <c r="I545">
        <v>10000</v>
      </c>
      <c r="J545">
        <v>13000</v>
      </c>
      <c r="K545">
        <v>1</v>
      </c>
      <c r="L545">
        <v>10000</v>
      </c>
      <c r="M545">
        <v>13000</v>
      </c>
      <c r="N545" t="s">
        <v>28</v>
      </c>
      <c r="O545">
        <f t="shared" si="16"/>
        <v>39000</v>
      </c>
      <c r="P545" s="13">
        <f t="shared" si="17"/>
        <v>1983254</v>
      </c>
      <c r="Q545" s="13">
        <f>SUMIFS(M:M,E:E,Online_eCommerce[[#This Row],[Status]])</f>
        <v>21103186</v>
      </c>
      <c r="R545" s="13">
        <f>SUMIFS(L:L,H:H,Online_eCommerce[[#This Row],[Brand]])</f>
        <v>6192500</v>
      </c>
      <c r="S545" s="13">
        <f>SUMIF(H:H,Online_eCommerce[[#This Row],[Brand]],M:M)</f>
        <v>8050250</v>
      </c>
      <c r="T545" s="13">
        <f>SUMIF(N:N,Online_eCommerce[[#This Row],[Assigned Supervisor]],L:L)</f>
        <v>12220830</v>
      </c>
    </row>
    <row r="546" spans="1:20" x14ac:dyDescent="0.3">
      <c r="A546" t="s">
        <v>924</v>
      </c>
      <c r="B546" t="s">
        <v>215</v>
      </c>
      <c r="C546" t="s">
        <v>208</v>
      </c>
      <c r="D546" t="s">
        <v>925</v>
      </c>
      <c r="E546" t="s">
        <v>46</v>
      </c>
      <c r="F546" t="s">
        <v>926</v>
      </c>
      <c r="G546" t="s">
        <v>20</v>
      </c>
      <c r="H546" t="s">
        <v>21</v>
      </c>
      <c r="I546">
        <v>6500</v>
      </c>
      <c r="J546">
        <v>8450</v>
      </c>
      <c r="K546">
        <v>4</v>
      </c>
      <c r="L546">
        <v>26000</v>
      </c>
      <c r="M546">
        <v>33800</v>
      </c>
      <c r="N546" t="s">
        <v>35</v>
      </c>
      <c r="O546">
        <f t="shared" si="16"/>
        <v>8450</v>
      </c>
      <c r="P546" s="13">
        <f t="shared" si="17"/>
        <v>2746575</v>
      </c>
      <c r="Q546" s="13">
        <f>SUMIFS(M:M,E:E,Online_eCommerce[[#This Row],[Status]])</f>
        <v>28620410</v>
      </c>
      <c r="R546" s="13">
        <f>SUMIFS(L:L,H:H,Online_eCommerce[[#This Row],[Brand]])</f>
        <v>12435650</v>
      </c>
      <c r="S546" s="13">
        <f>SUMIF(H:H,Online_eCommerce[[#This Row],[Brand]],M:M)</f>
        <v>16166345</v>
      </c>
      <c r="T546" s="13">
        <f>SUMIF(N:N,Online_eCommerce[[#This Row],[Assigned Supervisor]],L:L)</f>
        <v>14373360</v>
      </c>
    </row>
    <row r="547" spans="1:20" hidden="1" x14ac:dyDescent="0.3">
      <c r="A547" t="s">
        <v>927</v>
      </c>
      <c r="B547" t="s">
        <v>215</v>
      </c>
      <c r="C547" t="s">
        <v>211</v>
      </c>
      <c r="D547" t="s">
        <v>925</v>
      </c>
      <c r="E547" t="s">
        <v>96</v>
      </c>
      <c r="F547" t="s">
        <v>928</v>
      </c>
      <c r="G547" t="s">
        <v>26</v>
      </c>
      <c r="H547" t="s">
        <v>27</v>
      </c>
      <c r="I547">
        <v>8500</v>
      </c>
      <c r="J547">
        <v>11050</v>
      </c>
      <c r="K547">
        <v>2</v>
      </c>
      <c r="L547">
        <v>17000</v>
      </c>
      <c r="M547">
        <v>22100</v>
      </c>
      <c r="N547" t="s">
        <v>42</v>
      </c>
      <c r="O547">
        <f t="shared" si="16"/>
        <v>33150</v>
      </c>
      <c r="P547" s="13">
        <f t="shared" si="17"/>
        <v>1809847</v>
      </c>
      <c r="Q547" s="13">
        <f>SUMIFS(M:M,E:E,Online_eCommerce[[#This Row],[Status]])</f>
        <v>21233992</v>
      </c>
      <c r="R547" s="13">
        <f>SUMIFS(L:L,H:H,Online_eCommerce[[#This Row],[Brand]])</f>
        <v>14431000</v>
      </c>
      <c r="S547" s="13">
        <f>SUMIF(H:H,Online_eCommerce[[#This Row],[Brand]],M:M)</f>
        <v>18760300</v>
      </c>
      <c r="T547" s="13">
        <f>SUMIF(N:N,Online_eCommerce[[#This Row],[Assigned Supervisor]],L:L)</f>
        <v>12261500</v>
      </c>
    </row>
    <row r="548" spans="1:20" hidden="1" x14ac:dyDescent="0.3">
      <c r="A548" t="s">
        <v>929</v>
      </c>
      <c r="B548" t="s">
        <v>215</v>
      </c>
      <c r="C548" t="s">
        <v>16</v>
      </c>
      <c r="D548" t="s">
        <v>925</v>
      </c>
      <c r="E548" t="s">
        <v>18</v>
      </c>
      <c r="F548" t="s">
        <v>32</v>
      </c>
      <c r="G548" t="s">
        <v>33</v>
      </c>
      <c r="H548" t="s">
        <v>34</v>
      </c>
      <c r="I548">
        <v>7000</v>
      </c>
      <c r="J548">
        <v>9100</v>
      </c>
      <c r="K548">
        <v>3</v>
      </c>
      <c r="L548">
        <v>21000</v>
      </c>
      <c r="M548">
        <v>27300</v>
      </c>
      <c r="N548" t="s">
        <v>50</v>
      </c>
      <c r="O548">
        <f t="shared" si="16"/>
        <v>18200</v>
      </c>
      <c r="P548" s="13">
        <f t="shared" si="17"/>
        <v>2751814</v>
      </c>
      <c r="Q548" s="13">
        <f>SUMIFS(M:M,E:E,Online_eCommerce[[#This Row],[Status]])</f>
        <v>28340455</v>
      </c>
      <c r="R548" s="13">
        <f>SUMIFS(L:L,H:H,Online_eCommerce[[#This Row],[Brand]])</f>
        <v>10087000</v>
      </c>
      <c r="S548" s="13">
        <f>SUMIF(H:H,Online_eCommerce[[#This Row],[Brand]],M:M)</f>
        <v>13113100</v>
      </c>
      <c r="T548" s="13">
        <f>SUMIF(N:N,Online_eCommerce[[#This Row],[Assigned Supervisor]],L:L)</f>
        <v>12100590</v>
      </c>
    </row>
    <row r="549" spans="1:20" hidden="1" x14ac:dyDescent="0.3">
      <c r="A549" t="s">
        <v>930</v>
      </c>
      <c r="B549" t="s">
        <v>215</v>
      </c>
      <c r="C549" t="s">
        <v>24</v>
      </c>
      <c r="D549" t="s">
        <v>925</v>
      </c>
      <c r="E549" t="s">
        <v>161</v>
      </c>
      <c r="F549" t="s">
        <v>931</v>
      </c>
      <c r="G549" t="s">
        <v>163</v>
      </c>
      <c r="H549" t="s">
        <v>41</v>
      </c>
      <c r="I549">
        <v>6550</v>
      </c>
      <c r="J549">
        <v>8515</v>
      </c>
      <c r="K549">
        <v>2</v>
      </c>
      <c r="L549">
        <v>13100</v>
      </c>
      <c r="M549">
        <v>17030</v>
      </c>
      <c r="N549" t="s">
        <v>56</v>
      </c>
      <c r="O549">
        <f t="shared" si="16"/>
        <v>13650</v>
      </c>
      <c r="P549" s="13">
        <f t="shared" si="17"/>
        <v>2009540</v>
      </c>
      <c r="Q549" s="13">
        <f>SUMIFS(M:M,E:E,Online_eCommerce[[#This Row],[Status]])</f>
        <v>21103186</v>
      </c>
      <c r="R549" s="13">
        <f>SUMIFS(L:L,H:H,Online_eCommerce[[#This Row],[Brand]])</f>
        <v>4260400</v>
      </c>
      <c r="S549" s="13">
        <f>SUMIF(H:H,Online_eCommerce[[#This Row],[Brand]],M:M)</f>
        <v>5538520</v>
      </c>
      <c r="T549" s="13">
        <f>SUMIF(N:N,Online_eCommerce[[#This Row],[Assigned Supervisor]],L:L)</f>
        <v>11733610</v>
      </c>
    </row>
    <row r="550" spans="1:20" x14ac:dyDescent="0.3">
      <c r="A550" t="s">
        <v>932</v>
      </c>
      <c r="B550" t="s">
        <v>215</v>
      </c>
      <c r="C550" t="s">
        <v>31</v>
      </c>
      <c r="D550" t="s">
        <v>925</v>
      </c>
      <c r="E550" t="s">
        <v>46</v>
      </c>
      <c r="F550" t="s">
        <v>47</v>
      </c>
      <c r="G550" t="s">
        <v>66</v>
      </c>
      <c r="H550" t="s">
        <v>49</v>
      </c>
      <c r="I550">
        <v>7650</v>
      </c>
      <c r="J550">
        <v>9945</v>
      </c>
      <c r="K550">
        <v>4</v>
      </c>
      <c r="L550">
        <v>30600</v>
      </c>
      <c r="M550">
        <v>39780</v>
      </c>
      <c r="N550" t="s">
        <v>22</v>
      </c>
      <c r="O550">
        <f t="shared" si="16"/>
        <v>1690</v>
      </c>
      <c r="P550" s="13">
        <f t="shared" si="17"/>
        <v>2865746</v>
      </c>
      <c r="Q550" s="13">
        <f>SUMIFS(M:M,E:E,Online_eCommerce[[#This Row],[Status]])</f>
        <v>28620410</v>
      </c>
      <c r="R550" s="13">
        <f>SUMIFS(L:L,H:H,Online_eCommerce[[#This Row],[Brand]])</f>
        <v>4528350</v>
      </c>
      <c r="S550" s="13">
        <f>SUMIF(H:H,Online_eCommerce[[#This Row],[Brand]],M:M)</f>
        <v>5886855</v>
      </c>
      <c r="T550" s="13">
        <f>SUMIF(N:N,Online_eCommerce[[#This Row],[Assigned Supervisor]],L:L)</f>
        <v>13693220</v>
      </c>
    </row>
    <row r="551" spans="1:20" hidden="1" x14ac:dyDescent="0.3">
      <c r="A551" t="s">
        <v>933</v>
      </c>
      <c r="B551" t="s">
        <v>215</v>
      </c>
      <c r="C551" t="s">
        <v>38</v>
      </c>
      <c r="D551" t="s">
        <v>925</v>
      </c>
      <c r="E551" t="s">
        <v>96</v>
      </c>
      <c r="F551" t="s">
        <v>53</v>
      </c>
      <c r="G551" t="s">
        <v>54</v>
      </c>
      <c r="H551" t="s">
        <v>55</v>
      </c>
      <c r="I551">
        <v>1150</v>
      </c>
      <c r="J551">
        <v>1495</v>
      </c>
      <c r="K551">
        <v>4</v>
      </c>
      <c r="L551">
        <v>4600</v>
      </c>
      <c r="M551">
        <v>5980</v>
      </c>
      <c r="N551" t="s">
        <v>28</v>
      </c>
      <c r="O551">
        <f t="shared" si="16"/>
        <v>2990</v>
      </c>
      <c r="P551" s="13">
        <f t="shared" si="17"/>
        <v>1933997</v>
      </c>
      <c r="Q551" s="13">
        <f>SUMIFS(M:M,E:E,Online_eCommerce[[#This Row],[Status]])</f>
        <v>21233992</v>
      </c>
      <c r="R551" s="13">
        <f>SUMIFS(L:L,H:H,Online_eCommerce[[#This Row],[Brand]])</f>
        <v>2267380</v>
      </c>
      <c r="S551" s="13">
        <f>SUMIF(H:H,Online_eCommerce[[#This Row],[Brand]],M:M)</f>
        <v>2947594</v>
      </c>
      <c r="T551" s="13">
        <f>SUMIF(N:N,Online_eCommerce[[#This Row],[Assigned Supervisor]],L:L)</f>
        <v>12220830</v>
      </c>
    </row>
    <row r="552" spans="1:20" hidden="1" x14ac:dyDescent="0.3">
      <c r="A552" t="s">
        <v>934</v>
      </c>
      <c r="B552" t="s">
        <v>215</v>
      </c>
      <c r="C552" t="s">
        <v>45</v>
      </c>
      <c r="D552" t="s">
        <v>925</v>
      </c>
      <c r="E552" t="s">
        <v>18</v>
      </c>
      <c r="F552" t="s">
        <v>59</v>
      </c>
      <c r="G552" t="s">
        <v>60</v>
      </c>
      <c r="H552" t="s">
        <v>61</v>
      </c>
      <c r="I552">
        <v>850</v>
      </c>
      <c r="J552">
        <v>1105</v>
      </c>
      <c r="K552">
        <v>1</v>
      </c>
      <c r="L552">
        <v>850</v>
      </c>
      <c r="M552">
        <v>1105</v>
      </c>
      <c r="N552" t="s">
        <v>35</v>
      </c>
      <c r="O552">
        <f t="shared" si="16"/>
        <v>3315</v>
      </c>
      <c r="P552" s="13">
        <f t="shared" si="17"/>
        <v>2842554</v>
      </c>
      <c r="Q552" s="13">
        <f>SUMIFS(M:M,E:E,Online_eCommerce[[#This Row],[Status]])</f>
        <v>28340455</v>
      </c>
      <c r="R552" s="13">
        <f>SUMIFS(L:L,H:H,Online_eCommerce[[#This Row],[Brand]])</f>
        <v>10950150</v>
      </c>
      <c r="S552" s="13">
        <f>SUMIF(H:H,Online_eCommerce[[#This Row],[Brand]],M:M)</f>
        <v>14235195</v>
      </c>
      <c r="T552" s="13">
        <f>SUMIF(N:N,Online_eCommerce[[#This Row],[Assigned Supervisor]],L:L)</f>
        <v>14373360</v>
      </c>
    </row>
    <row r="553" spans="1:20" hidden="1" x14ac:dyDescent="0.3">
      <c r="A553" t="s">
        <v>935</v>
      </c>
      <c r="B553" t="s">
        <v>215</v>
      </c>
      <c r="C553" t="s">
        <v>52</v>
      </c>
      <c r="D553" t="s">
        <v>925</v>
      </c>
      <c r="E553" t="s">
        <v>161</v>
      </c>
      <c r="F553" t="s">
        <v>65</v>
      </c>
      <c r="G553" t="s">
        <v>66</v>
      </c>
      <c r="H553" t="s">
        <v>21</v>
      </c>
      <c r="I553">
        <v>650</v>
      </c>
      <c r="J553">
        <v>845</v>
      </c>
      <c r="K553">
        <v>4</v>
      </c>
      <c r="L553">
        <v>2600</v>
      </c>
      <c r="M553">
        <v>3380</v>
      </c>
      <c r="N553" t="s">
        <v>42</v>
      </c>
      <c r="O553">
        <f t="shared" si="16"/>
        <v>1690</v>
      </c>
      <c r="P553" s="13">
        <f t="shared" si="17"/>
        <v>1955044</v>
      </c>
      <c r="Q553" s="13">
        <f>SUMIFS(M:M,E:E,Online_eCommerce[[#This Row],[Status]])</f>
        <v>21103186</v>
      </c>
      <c r="R553" s="13">
        <f>SUMIFS(L:L,H:H,Online_eCommerce[[#This Row],[Brand]])</f>
        <v>12435650</v>
      </c>
      <c r="S553" s="13">
        <f>SUMIF(H:H,Online_eCommerce[[#This Row],[Brand]],M:M)</f>
        <v>16166345</v>
      </c>
      <c r="T553" s="13">
        <f>SUMIF(N:N,Online_eCommerce[[#This Row],[Assigned Supervisor]],L:L)</f>
        <v>12261500</v>
      </c>
    </row>
    <row r="554" spans="1:20" x14ac:dyDescent="0.3">
      <c r="A554" t="s">
        <v>936</v>
      </c>
      <c r="B554" t="s">
        <v>215</v>
      </c>
      <c r="C554" t="s">
        <v>58</v>
      </c>
      <c r="D554" t="s">
        <v>925</v>
      </c>
      <c r="E554" t="s">
        <v>46</v>
      </c>
      <c r="F554" t="s">
        <v>70</v>
      </c>
      <c r="G554" t="s">
        <v>71</v>
      </c>
      <c r="H554" t="s">
        <v>61</v>
      </c>
      <c r="I554">
        <v>7500</v>
      </c>
      <c r="J554">
        <v>9750</v>
      </c>
      <c r="K554">
        <v>2</v>
      </c>
      <c r="L554">
        <v>15000</v>
      </c>
      <c r="M554">
        <v>19500</v>
      </c>
      <c r="N554" t="s">
        <v>50</v>
      </c>
      <c r="O554">
        <f t="shared" si="16"/>
        <v>9750</v>
      </c>
      <c r="P554" s="13">
        <f t="shared" si="17"/>
        <v>2629211</v>
      </c>
      <c r="Q554" s="13">
        <f>SUMIFS(M:M,E:E,Online_eCommerce[[#This Row],[Status]])</f>
        <v>28620410</v>
      </c>
      <c r="R554" s="13">
        <f>SUMIFS(L:L,H:H,Online_eCommerce[[#This Row],[Brand]])</f>
        <v>10950150</v>
      </c>
      <c r="S554" s="13">
        <f>SUMIF(H:H,Online_eCommerce[[#This Row],[Brand]],M:M)</f>
        <v>14235195</v>
      </c>
      <c r="T554" s="13">
        <f>SUMIF(N:N,Online_eCommerce[[#This Row],[Assigned Supervisor]],L:L)</f>
        <v>12100590</v>
      </c>
    </row>
    <row r="555" spans="1:20" hidden="1" x14ac:dyDescent="0.3">
      <c r="A555" t="s">
        <v>937</v>
      </c>
      <c r="B555" t="s">
        <v>215</v>
      </c>
      <c r="C555" t="s">
        <v>63</v>
      </c>
      <c r="D555" t="s">
        <v>925</v>
      </c>
      <c r="E555" t="s">
        <v>96</v>
      </c>
      <c r="F555" t="s">
        <v>923</v>
      </c>
      <c r="G555" t="s">
        <v>77</v>
      </c>
      <c r="H555" t="s">
        <v>78</v>
      </c>
      <c r="I555">
        <v>10000</v>
      </c>
      <c r="J555">
        <v>13000</v>
      </c>
      <c r="K555">
        <v>2</v>
      </c>
      <c r="L555">
        <v>20000</v>
      </c>
      <c r="M555">
        <v>26000</v>
      </c>
      <c r="N555" t="s">
        <v>56</v>
      </c>
      <c r="O555">
        <f t="shared" si="16"/>
        <v>39000</v>
      </c>
      <c r="P555" s="13">
        <f t="shared" si="17"/>
        <v>2016131</v>
      </c>
      <c r="Q555" s="13">
        <f>SUMIFS(M:M,E:E,Online_eCommerce[[#This Row],[Status]])</f>
        <v>21233992</v>
      </c>
      <c r="R555" s="13">
        <f>SUMIFS(L:L,H:H,Online_eCommerce[[#This Row],[Brand]])</f>
        <v>3720000</v>
      </c>
      <c r="S555" s="13">
        <f>SUMIF(H:H,Online_eCommerce[[#This Row],[Brand]],M:M)</f>
        <v>4836000</v>
      </c>
      <c r="T555" s="13">
        <f>SUMIF(N:N,Online_eCommerce[[#This Row],[Assigned Supervisor]],L:L)</f>
        <v>11733610</v>
      </c>
    </row>
    <row r="556" spans="1:20" hidden="1" x14ac:dyDescent="0.3">
      <c r="A556" t="s">
        <v>938</v>
      </c>
      <c r="B556" t="s">
        <v>215</v>
      </c>
      <c r="C556" t="s">
        <v>68</v>
      </c>
      <c r="D556" t="s">
        <v>925</v>
      </c>
      <c r="E556" t="s">
        <v>18</v>
      </c>
      <c r="F556" t="s">
        <v>939</v>
      </c>
      <c r="G556" t="s">
        <v>20</v>
      </c>
      <c r="H556" t="s">
        <v>21</v>
      </c>
      <c r="I556">
        <v>10500</v>
      </c>
      <c r="J556">
        <v>13650</v>
      </c>
      <c r="K556">
        <v>3</v>
      </c>
      <c r="L556">
        <v>31500</v>
      </c>
      <c r="M556">
        <v>40950</v>
      </c>
      <c r="N556" t="s">
        <v>22</v>
      </c>
      <c r="O556">
        <f t="shared" si="16"/>
        <v>8450</v>
      </c>
      <c r="P556" s="13">
        <f t="shared" si="17"/>
        <v>2974621</v>
      </c>
      <c r="Q556" s="13">
        <f>SUMIFS(M:M,E:E,Online_eCommerce[[#This Row],[Status]])</f>
        <v>28340455</v>
      </c>
      <c r="R556" s="13">
        <f>SUMIFS(L:L,H:H,Online_eCommerce[[#This Row],[Brand]])</f>
        <v>12435650</v>
      </c>
      <c r="S556" s="13">
        <f>SUMIF(H:H,Online_eCommerce[[#This Row],[Brand]],M:M)</f>
        <v>16166345</v>
      </c>
      <c r="T556" s="13">
        <f>SUMIF(N:N,Online_eCommerce[[#This Row],[Assigned Supervisor]],L:L)</f>
        <v>13693220</v>
      </c>
    </row>
    <row r="557" spans="1:20" hidden="1" x14ac:dyDescent="0.3">
      <c r="A557" t="s">
        <v>940</v>
      </c>
      <c r="B557" t="s">
        <v>215</v>
      </c>
      <c r="C557" t="s">
        <v>74</v>
      </c>
      <c r="D557" t="s">
        <v>925</v>
      </c>
      <c r="E557" t="s">
        <v>161</v>
      </c>
      <c r="F557" t="s">
        <v>88</v>
      </c>
      <c r="G557" t="s">
        <v>26</v>
      </c>
      <c r="H557" t="s">
        <v>27</v>
      </c>
      <c r="I557">
        <v>8500</v>
      </c>
      <c r="J557">
        <v>11050</v>
      </c>
      <c r="K557">
        <v>3</v>
      </c>
      <c r="L557">
        <v>25500</v>
      </c>
      <c r="M557">
        <v>33150</v>
      </c>
      <c r="N557" t="s">
        <v>28</v>
      </c>
      <c r="O557">
        <f t="shared" si="16"/>
        <v>33150</v>
      </c>
      <c r="P557" s="13">
        <f t="shared" si="17"/>
        <v>2144701</v>
      </c>
      <c r="Q557" s="13">
        <f>SUMIFS(M:M,E:E,Online_eCommerce[[#This Row],[Status]])</f>
        <v>21103186</v>
      </c>
      <c r="R557" s="13">
        <f>SUMIFS(L:L,H:H,Online_eCommerce[[#This Row],[Brand]])</f>
        <v>14431000</v>
      </c>
      <c r="S557" s="13">
        <f>SUMIF(H:H,Online_eCommerce[[#This Row],[Brand]],M:M)</f>
        <v>18760300</v>
      </c>
      <c r="T557" s="13">
        <f>SUMIF(N:N,Online_eCommerce[[#This Row],[Assigned Supervisor]],L:L)</f>
        <v>12220830</v>
      </c>
    </row>
    <row r="558" spans="1:20" x14ac:dyDescent="0.3">
      <c r="A558" t="s">
        <v>941</v>
      </c>
      <c r="B558" t="s">
        <v>215</v>
      </c>
      <c r="C558" t="s">
        <v>81</v>
      </c>
      <c r="D558" t="s">
        <v>925</v>
      </c>
      <c r="E558" t="s">
        <v>46</v>
      </c>
      <c r="F558" t="s">
        <v>32</v>
      </c>
      <c r="G558" t="s">
        <v>33</v>
      </c>
      <c r="H558" t="s">
        <v>34</v>
      </c>
      <c r="I558">
        <v>7000</v>
      </c>
      <c r="J558">
        <v>9100</v>
      </c>
      <c r="K558">
        <v>4</v>
      </c>
      <c r="L558">
        <v>28000</v>
      </c>
      <c r="M558">
        <v>36400</v>
      </c>
      <c r="N558" t="s">
        <v>35</v>
      </c>
      <c r="O558">
        <f t="shared" si="16"/>
        <v>18200</v>
      </c>
      <c r="P558" s="13">
        <f t="shared" si="17"/>
        <v>2595632</v>
      </c>
      <c r="Q558" s="13">
        <f>SUMIFS(M:M,E:E,Online_eCommerce[[#This Row],[Status]])</f>
        <v>28620410</v>
      </c>
      <c r="R558" s="13">
        <f>SUMIFS(L:L,H:H,Online_eCommerce[[#This Row],[Brand]])</f>
        <v>10087000</v>
      </c>
      <c r="S558" s="13">
        <f>SUMIF(H:H,Online_eCommerce[[#This Row],[Brand]],M:M)</f>
        <v>13113100</v>
      </c>
      <c r="T558" s="13">
        <f>SUMIF(N:N,Online_eCommerce[[#This Row],[Assigned Supervisor]],L:L)</f>
        <v>14373360</v>
      </c>
    </row>
    <row r="559" spans="1:20" hidden="1" x14ac:dyDescent="0.3">
      <c r="A559" t="s">
        <v>942</v>
      </c>
      <c r="B559" t="s">
        <v>215</v>
      </c>
      <c r="C559" t="s">
        <v>86</v>
      </c>
      <c r="D559" t="s">
        <v>925</v>
      </c>
      <c r="E559" t="s">
        <v>96</v>
      </c>
      <c r="F559" t="s">
        <v>943</v>
      </c>
      <c r="G559" t="s">
        <v>163</v>
      </c>
      <c r="H559" t="s">
        <v>41</v>
      </c>
      <c r="I559">
        <v>1680</v>
      </c>
      <c r="J559">
        <v>2184</v>
      </c>
      <c r="K559">
        <v>2</v>
      </c>
      <c r="L559">
        <v>3360</v>
      </c>
      <c r="M559">
        <v>4368</v>
      </c>
      <c r="N559" t="s">
        <v>42</v>
      </c>
      <c r="O559">
        <f t="shared" si="16"/>
        <v>13650</v>
      </c>
      <c r="P559" s="13">
        <f t="shared" si="17"/>
        <v>1941225</v>
      </c>
      <c r="Q559" s="13">
        <f>SUMIFS(M:M,E:E,Online_eCommerce[[#This Row],[Status]])</f>
        <v>21233992</v>
      </c>
      <c r="R559" s="13">
        <f>SUMIFS(L:L,H:H,Online_eCommerce[[#This Row],[Brand]])</f>
        <v>4260400</v>
      </c>
      <c r="S559" s="13">
        <f>SUMIF(H:H,Online_eCommerce[[#This Row],[Brand]],M:M)</f>
        <v>5538520</v>
      </c>
      <c r="T559" s="13">
        <f>SUMIF(N:N,Online_eCommerce[[#This Row],[Assigned Supervisor]],L:L)</f>
        <v>12261500</v>
      </c>
    </row>
    <row r="560" spans="1:20" hidden="1" x14ac:dyDescent="0.3">
      <c r="A560" t="s">
        <v>944</v>
      </c>
      <c r="B560" t="s">
        <v>215</v>
      </c>
      <c r="C560" t="s">
        <v>91</v>
      </c>
      <c r="D560" t="s">
        <v>925</v>
      </c>
      <c r="E560" t="s">
        <v>18</v>
      </c>
      <c r="F560" t="s">
        <v>101</v>
      </c>
      <c r="G560" t="s">
        <v>66</v>
      </c>
      <c r="H560" t="s">
        <v>102</v>
      </c>
      <c r="I560">
        <v>6540</v>
      </c>
      <c r="J560">
        <v>8502</v>
      </c>
      <c r="K560">
        <v>1</v>
      </c>
      <c r="L560">
        <v>6540</v>
      </c>
      <c r="M560">
        <v>8502</v>
      </c>
      <c r="N560" t="s">
        <v>50</v>
      </c>
      <c r="O560">
        <f t="shared" si="16"/>
        <v>1690</v>
      </c>
      <c r="P560" s="13">
        <f t="shared" si="17"/>
        <v>2731963</v>
      </c>
      <c r="Q560" s="13">
        <f>SUMIFS(M:M,E:E,Online_eCommerce[[#This Row],[Status]])</f>
        <v>28340455</v>
      </c>
      <c r="R560" s="13">
        <f>SUMIFS(L:L,H:H,Online_eCommerce[[#This Row],[Brand]])</f>
        <v>2465580</v>
      </c>
      <c r="S560" s="13">
        <f>SUMIF(H:H,Online_eCommerce[[#This Row],[Brand]],M:M)</f>
        <v>3205254</v>
      </c>
      <c r="T560" s="13">
        <f>SUMIF(N:N,Online_eCommerce[[#This Row],[Assigned Supervisor]],L:L)</f>
        <v>12100590</v>
      </c>
    </row>
    <row r="561" spans="1:20" hidden="1" x14ac:dyDescent="0.3">
      <c r="A561" t="s">
        <v>945</v>
      </c>
      <c r="B561" t="s">
        <v>215</v>
      </c>
      <c r="C561" t="s">
        <v>94</v>
      </c>
      <c r="D561" t="s">
        <v>925</v>
      </c>
      <c r="E561" t="s">
        <v>161</v>
      </c>
      <c r="F561" t="s">
        <v>107</v>
      </c>
      <c r="G561" t="s">
        <v>54</v>
      </c>
      <c r="H561" t="s">
        <v>55</v>
      </c>
      <c r="I561">
        <v>2680</v>
      </c>
      <c r="J561">
        <v>3484</v>
      </c>
      <c r="K561">
        <v>4</v>
      </c>
      <c r="L561">
        <v>10720</v>
      </c>
      <c r="M561">
        <v>13936</v>
      </c>
      <c r="N561" t="s">
        <v>56</v>
      </c>
      <c r="O561">
        <f t="shared" si="16"/>
        <v>2990</v>
      </c>
      <c r="P561" s="13">
        <f t="shared" si="17"/>
        <v>1868256</v>
      </c>
      <c r="Q561" s="13">
        <f>SUMIFS(M:M,E:E,Online_eCommerce[[#This Row],[Status]])</f>
        <v>21103186</v>
      </c>
      <c r="R561" s="13">
        <f>SUMIFS(L:L,H:H,Online_eCommerce[[#This Row],[Brand]])</f>
        <v>2267380</v>
      </c>
      <c r="S561" s="13">
        <f>SUMIF(H:H,Online_eCommerce[[#This Row],[Brand]],M:M)</f>
        <v>2947594</v>
      </c>
      <c r="T561" s="13">
        <f>SUMIF(N:N,Online_eCommerce[[#This Row],[Assigned Supervisor]],L:L)</f>
        <v>11733610</v>
      </c>
    </row>
    <row r="562" spans="1:20" x14ac:dyDescent="0.3">
      <c r="A562" t="s">
        <v>946</v>
      </c>
      <c r="B562" t="s">
        <v>215</v>
      </c>
      <c r="C562" t="s">
        <v>99</v>
      </c>
      <c r="D562" t="s">
        <v>925</v>
      </c>
      <c r="E562" t="s">
        <v>46</v>
      </c>
      <c r="F562" t="s">
        <v>112</v>
      </c>
      <c r="G562" t="s">
        <v>71</v>
      </c>
      <c r="H562" t="s">
        <v>21</v>
      </c>
      <c r="I562">
        <v>8250</v>
      </c>
      <c r="J562">
        <v>10725</v>
      </c>
      <c r="K562">
        <v>1</v>
      </c>
      <c r="L562">
        <v>8250</v>
      </c>
      <c r="M562">
        <v>10725</v>
      </c>
      <c r="N562" t="s">
        <v>22</v>
      </c>
      <c r="O562">
        <f t="shared" si="16"/>
        <v>9750</v>
      </c>
      <c r="P562" s="13">
        <f t="shared" si="17"/>
        <v>2651233</v>
      </c>
      <c r="Q562" s="13">
        <f>SUMIFS(M:M,E:E,Online_eCommerce[[#This Row],[Status]])</f>
        <v>28620410</v>
      </c>
      <c r="R562" s="13">
        <f>SUMIFS(L:L,H:H,Online_eCommerce[[#This Row],[Brand]])</f>
        <v>12435650</v>
      </c>
      <c r="S562" s="13">
        <f>SUMIF(H:H,Online_eCommerce[[#This Row],[Brand]],M:M)</f>
        <v>16166345</v>
      </c>
      <c r="T562" s="13">
        <f>SUMIF(N:N,Online_eCommerce[[#This Row],[Assigned Supervisor]],L:L)</f>
        <v>13693220</v>
      </c>
    </row>
    <row r="563" spans="1:20" hidden="1" x14ac:dyDescent="0.3">
      <c r="A563" t="s">
        <v>947</v>
      </c>
      <c r="B563" t="s">
        <v>215</v>
      </c>
      <c r="C563" t="s">
        <v>105</v>
      </c>
      <c r="D563" t="s">
        <v>925</v>
      </c>
      <c r="E563" t="s">
        <v>96</v>
      </c>
      <c r="F563" t="s">
        <v>590</v>
      </c>
      <c r="G563" t="s">
        <v>40</v>
      </c>
      <c r="H563" t="s">
        <v>21</v>
      </c>
      <c r="I563">
        <v>2650</v>
      </c>
      <c r="J563">
        <v>3445</v>
      </c>
      <c r="K563">
        <v>1</v>
      </c>
      <c r="L563">
        <v>2650</v>
      </c>
      <c r="M563">
        <v>3445</v>
      </c>
      <c r="N563" t="s">
        <v>28</v>
      </c>
      <c r="O563">
        <f t="shared" si="16"/>
        <v>25545</v>
      </c>
      <c r="P563" s="13">
        <f t="shared" si="17"/>
        <v>1866852</v>
      </c>
      <c r="Q563" s="13">
        <f>SUMIFS(M:M,E:E,Online_eCommerce[[#This Row],[Status]])</f>
        <v>21233992</v>
      </c>
      <c r="R563" s="13">
        <f>SUMIFS(L:L,H:H,Online_eCommerce[[#This Row],[Brand]])</f>
        <v>12435650</v>
      </c>
      <c r="S563" s="13">
        <f>SUMIF(H:H,Online_eCommerce[[#This Row],[Brand]],M:M)</f>
        <v>16166345</v>
      </c>
      <c r="T563" s="13">
        <f>SUMIF(N:N,Online_eCommerce[[#This Row],[Assigned Supervisor]],L:L)</f>
        <v>12220830</v>
      </c>
    </row>
    <row r="564" spans="1:20" hidden="1" x14ac:dyDescent="0.3">
      <c r="A564" t="s">
        <v>948</v>
      </c>
      <c r="B564" t="s">
        <v>215</v>
      </c>
      <c r="C564" t="s">
        <v>110</v>
      </c>
      <c r="D564" t="s">
        <v>925</v>
      </c>
      <c r="E564" t="s">
        <v>18</v>
      </c>
      <c r="F564" t="s">
        <v>121</v>
      </c>
      <c r="G564" t="s">
        <v>71</v>
      </c>
      <c r="H564" t="s">
        <v>122</v>
      </c>
      <c r="I564">
        <v>12550</v>
      </c>
      <c r="J564">
        <v>16315</v>
      </c>
      <c r="K564">
        <v>1</v>
      </c>
      <c r="L564">
        <v>12550</v>
      </c>
      <c r="M564">
        <v>16315</v>
      </c>
      <c r="N564" t="s">
        <v>35</v>
      </c>
      <c r="O564">
        <f t="shared" si="16"/>
        <v>9750</v>
      </c>
      <c r="P564" s="13">
        <f t="shared" si="17"/>
        <v>2598635</v>
      </c>
      <c r="Q564" s="13">
        <f>SUMIFS(M:M,E:E,Online_eCommerce[[#This Row],[Status]])</f>
        <v>28340455</v>
      </c>
      <c r="R564" s="13">
        <f>SUMIFS(L:L,H:H,Online_eCommerce[[#This Row],[Brand]])</f>
        <v>5045100</v>
      </c>
      <c r="S564" s="13">
        <f>SUMIF(H:H,Online_eCommerce[[#This Row],[Brand]],M:M)</f>
        <v>6558630</v>
      </c>
      <c r="T564" s="13">
        <f>SUMIF(N:N,Online_eCommerce[[#This Row],[Assigned Supervisor]],L:L)</f>
        <v>14373360</v>
      </c>
    </row>
    <row r="565" spans="1:20" hidden="1" x14ac:dyDescent="0.3">
      <c r="A565" t="s">
        <v>949</v>
      </c>
      <c r="B565" t="s">
        <v>215</v>
      </c>
      <c r="C565" t="s">
        <v>115</v>
      </c>
      <c r="D565" t="s">
        <v>925</v>
      </c>
      <c r="E565" t="s">
        <v>161</v>
      </c>
      <c r="F565" t="s">
        <v>126</v>
      </c>
      <c r="G565" t="s">
        <v>26</v>
      </c>
      <c r="H565" t="s">
        <v>27</v>
      </c>
      <c r="I565">
        <v>14500</v>
      </c>
      <c r="J565">
        <v>18850</v>
      </c>
      <c r="K565">
        <v>2</v>
      </c>
      <c r="L565">
        <v>29000</v>
      </c>
      <c r="M565">
        <v>37700</v>
      </c>
      <c r="N565" t="s">
        <v>42</v>
      </c>
      <c r="O565">
        <f t="shared" si="16"/>
        <v>33150</v>
      </c>
      <c r="P565" s="13">
        <f t="shared" si="17"/>
        <v>2050178</v>
      </c>
      <c r="Q565" s="13">
        <f>SUMIFS(M:M,E:E,Online_eCommerce[[#This Row],[Status]])</f>
        <v>21103186</v>
      </c>
      <c r="R565" s="13">
        <f>SUMIFS(L:L,H:H,Online_eCommerce[[#This Row],[Brand]])</f>
        <v>14431000</v>
      </c>
      <c r="S565" s="13">
        <f>SUMIF(H:H,Online_eCommerce[[#This Row],[Brand]],M:M)</f>
        <v>18760300</v>
      </c>
      <c r="T565" s="13">
        <f>SUMIF(N:N,Online_eCommerce[[#This Row],[Assigned Supervisor]],L:L)</f>
        <v>12261500</v>
      </c>
    </row>
    <row r="566" spans="1:20" x14ac:dyDescent="0.3">
      <c r="A566" t="s">
        <v>950</v>
      </c>
      <c r="B566" t="s">
        <v>215</v>
      </c>
      <c r="C566" t="s">
        <v>120</v>
      </c>
      <c r="D566" t="s">
        <v>925</v>
      </c>
      <c r="E566" t="s">
        <v>46</v>
      </c>
      <c r="F566" t="s">
        <v>129</v>
      </c>
      <c r="G566" t="s">
        <v>60</v>
      </c>
      <c r="H566" t="s">
        <v>61</v>
      </c>
      <c r="I566">
        <v>800</v>
      </c>
      <c r="J566">
        <v>1040</v>
      </c>
      <c r="K566">
        <v>3</v>
      </c>
      <c r="L566">
        <v>2400</v>
      </c>
      <c r="M566">
        <v>3120</v>
      </c>
      <c r="N566" t="s">
        <v>50</v>
      </c>
      <c r="O566">
        <f t="shared" si="16"/>
        <v>3315</v>
      </c>
      <c r="P566" s="13">
        <f t="shared" si="17"/>
        <v>2734212</v>
      </c>
      <c r="Q566" s="13">
        <f>SUMIFS(M:M,E:E,Online_eCommerce[[#This Row],[Status]])</f>
        <v>28620410</v>
      </c>
      <c r="R566" s="13">
        <f>SUMIFS(L:L,H:H,Online_eCommerce[[#This Row],[Brand]])</f>
        <v>10950150</v>
      </c>
      <c r="S566" s="13">
        <f>SUMIF(H:H,Online_eCommerce[[#This Row],[Brand]],M:M)</f>
        <v>14235195</v>
      </c>
      <c r="T566" s="13">
        <f>SUMIF(N:N,Online_eCommerce[[#This Row],[Assigned Supervisor]],L:L)</f>
        <v>12100590</v>
      </c>
    </row>
    <row r="567" spans="1:20" hidden="1" x14ac:dyDescent="0.3">
      <c r="A567" t="s">
        <v>951</v>
      </c>
      <c r="B567" t="s">
        <v>215</v>
      </c>
      <c r="C567" t="s">
        <v>125</v>
      </c>
      <c r="D567" t="s">
        <v>925</v>
      </c>
      <c r="E567" t="s">
        <v>96</v>
      </c>
      <c r="F567" t="s">
        <v>133</v>
      </c>
      <c r="G567" t="s">
        <v>66</v>
      </c>
      <c r="H567" t="s">
        <v>21</v>
      </c>
      <c r="I567">
        <v>600</v>
      </c>
      <c r="J567">
        <v>780</v>
      </c>
      <c r="K567">
        <v>1</v>
      </c>
      <c r="L567">
        <v>600</v>
      </c>
      <c r="M567">
        <v>780</v>
      </c>
      <c r="N567" t="s">
        <v>56</v>
      </c>
      <c r="O567">
        <f t="shared" si="16"/>
        <v>1690</v>
      </c>
      <c r="P567" s="13">
        <f t="shared" si="17"/>
        <v>2091154</v>
      </c>
      <c r="Q567" s="13">
        <f>SUMIFS(M:M,E:E,Online_eCommerce[[#This Row],[Status]])</f>
        <v>21233992</v>
      </c>
      <c r="R567" s="13">
        <f>SUMIFS(L:L,H:H,Online_eCommerce[[#This Row],[Brand]])</f>
        <v>12435650</v>
      </c>
      <c r="S567" s="13">
        <f>SUMIF(H:H,Online_eCommerce[[#This Row],[Brand]],M:M)</f>
        <v>16166345</v>
      </c>
      <c r="T567" s="13">
        <f>SUMIF(N:N,Online_eCommerce[[#This Row],[Assigned Supervisor]],L:L)</f>
        <v>11733610</v>
      </c>
    </row>
    <row r="568" spans="1:20" hidden="1" x14ac:dyDescent="0.3">
      <c r="A568" t="s">
        <v>952</v>
      </c>
      <c r="B568" t="s">
        <v>215</v>
      </c>
      <c r="C568" t="s">
        <v>22</v>
      </c>
      <c r="D568" t="s">
        <v>925</v>
      </c>
      <c r="E568" t="s">
        <v>18</v>
      </c>
      <c r="F568" t="s">
        <v>137</v>
      </c>
      <c r="G568" t="s">
        <v>71</v>
      </c>
      <c r="H568" t="s">
        <v>61</v>
      </c>
      <c r="I568">
        <v>10500</v>
      </c>
      <c r="J568">
        <v>13650</v>
      </c>
      <c r="K568">
        <v>1</v>
      </c>
      <c r="L568">
        <v>10500</v>
      </c>
      <c r="M568">
        <v>13650</v>
      </c>
      <c r="N568" t="s">
        <v>22</v>
      </c>
      <c r="O568">
        <f t="shared" si="16"/>
        <v>9750</v>
      </c>
      <c r="P568" s="13">
        <f t="shared" si="17"/>
        <v>2551588</v>
      </c>
      <c r="Q568" s="13">
        <f>SUMIFS(M:M,E:E,Online_eCommerce[[#This Row],[Status]])</f>
        <v>28340455</v>
      </c>
      <c r="R568" s="13">
        <f>SUMIFS(L:L,H:H,Online_eCommerce[[#This Row],[Brand]])</f>
        <v>10950150</v>
      </c>
      <c r="S568" s="13">
        <f>SUMIF(H:H,Online_eCommerce[[#This Row],[Brand]],M:M)</f>
        <v>14235195</v>
      </c>
      <c r="T568" s="13">
        <f>SUMIF(N:N,Online_eCommerce[[#This Row],[Assigned Supervisor]],L:L)</f>
        <v>13693220</v>
      </c>
    </row>
    <row r="569" spans="1:20" hidden="1" x14ac:dyDescent="0.3">
      <c r="A569" t="s">
        <v>953</v>
      </c>
      <c r="B569" t="s">
        <v>215</v>
      </c>
      <c r="C569" t="s">
        <v>132</v>
      </c>
      <c r="D569" t="s">
        <v>925</v>
      </c>
      <c r="E569" t="s">
        <v>161</v>
      </c>
      <c r="F569" t="s">
        <v>923</v>
      </c>
      <c r="G569" t="s">
        <v>77</v>
      </c>
      <c r="H569" t="s">
        <v>142</v>
      </c>
      <c r="I569">
        <v>6500</v>
      </c>
      <c r="J569">
        <v>8450</v>
      </c>
      <c r="K569">
        <v>2</v>
      </c>
      <c r="L569">
        <v>13000</v>
      </c>
      <c r="M569">
        <v>16900</v>
      </c>
      <c r="N569" t="s">
        <v>28</v>
      </c>
      <c r="O569">
        <f t="shared" si="16"/>
        <v>39000</v>
      </c>
      <c r="P569" s="13">
        <f t="shared" si="17"/>
        <v>1989065</v>
      </c>
      <c r="Q569" s="13">
        <f>SUMIFS(M:M,E:E,Online_eCommerce[[#This Row],[Status]])</f>
        <v>21103186</v>
      </c>
      <c r="R569" s="13">
        <f>SUMIFS(L:L,H:H,Online_eCommerce[[#This Row],[Brand]])</f>
        <v>6192500</v>
      </c>
      <c r="S569" s="13">
        <f>SUMIF(H:H,Online_eCommerce[[#This Row],[Brand]],M:M)</f>
        <v>8050250</v>
      </c>
      <c r="T569" s="13">
        <f>SUMIF(N:N,Online_eCommerce[[#This Row],[Assigned Supervisor]],L:L)</f>
        <v>12220830</v>
      </c>
    </row>
    <row r="570" spans="1:20" x14ac:dyDescent="0.3">
      <c r="A570" t="s">
        <v>954</v>
      </c>
      <c r="B570" t="s">
        <v>215</v>
      </c>
      <c r="C570" t="s">
        <v>136</v>
      </c>
      <c r="D570" t="s">
        <v>925</v>
      </c>
      <c r="E570" t="s">
        <v>46</v>
      </c>
      <c r="F570" t="s">
        <v>955</v>
      </c>
      <c r="G570" t="s">
        <v>20</v>
      </c>
      <c r="H570" t="s">
        <v>21</v>
      </c>
      <c r="I570">
        <v>4500</v>
      </c>
      <c r="J570">
        <v>5850</v>
      </c>
      <c r="K570">
        <v>2</v>
      </c>
      <c r="L570">
        <v>9000</v>
      </c>
      <c r="M570">
        <v>11700</v>
      </c>
      <c r="N570" t="s">
        <v>35</v>
      </c>
      <c r="O570">
        <f t="shared" si="16"/>
        <v>8450</v>
      </c>
      <c r="P570" s="13">
        <f t="shared" si="17"/>
        <v>2775162</v>
      </c>
      <c r="Q570" s="13">
        <f>SUMIFS(M:M,E:E,Online_eCommerce[[#This Row],[Status]])</f>
        <v>28620410</v>
      </c>
      <c r="R570" s="13">
        <f>SUMIFS(L:L,H:H,Online_eCommerce[[#This Row],[Brand]])</f>
        <v>12435650</v>
      </c>
      <c r="S570" s="13">
        <f>SUMIF(H:H,Online_eCommerce[[#This Row],[Brand]],M:M)</f>
        <v>16166345</v>
      </c>
      <c r="T570" s="13">
        <f>SUMIF(N:N,Online_eCommerce[[#This Row],[Assigned Supervisor]],L:L)</f>
        <v>14373360</v>
      </c>
    </row>
    <row r="571" spans="1:20" hidden="1" x14ac:dyDescent="0.3">
      <c r="A571" t="s">
        <v>956</v>
      </c>
      <c r="B571" t="s">
        <v>215</v>
      </c>
      <c r="C571" t="s">
        <v>140</v>
      </c>
      <c r="D571" t="s">
        <v>925</v>
      </c>
      <c r="E571" t="s">
        <v>96</v>
      </c>
      <c r="F571" t="s">
        <v>152</v>
      </c>
      <c r="G571" t="s">
        <v>26</v>
      </c>
      <c r="H571" t="s">
        <v>27</v>
      </c>
      <c r="I571">
        <v>8500</v>
      </c>
      <c r="J571">
        <v>11050</v>
      </c>
      <c r="K571">
        <v>2</v>
      </c>
      <c r="L571">
        <v>17000</v>
      </c>
      <c r="M571">
        <v>22100</v>
      </c>
      <c r="N571" t="s">
        <v>42</v>
      </c>
      <c r="O571">
        <f t="shared" si="16"/>
        <v>33150</v>
      </c>
      <c r="P571" s="13">
        <f t="shared" si="17"/>
        <v>2058264</v>
      </c>
      <c r="Q571" s="13">
        <f>SUMIFS(M:M,E:E,Online_eCommerce[[#This Row],[Status]])</f>
        <v>21233992</v>
      </c>
      <c r="R571" s="13">
        <f>SUMIFS(L:L,H:H,Online_eCommerce[[#This Row],[Brand]])</f>
        <v>14431000</v>
      </c>
      <c r="S571" s="13">
        <f>SUMIF(H:H,Online_eCommerce[[#This Row],[Brand]],M:M)</f>
        <v>18760300</v>
      </c>
      <c r="T571" s="13">
        <f>SUMIF(N:N,Online_eCommerce[[#This Row],[Assigned Supervisor]],L:L)</f>
        <v>12261500</v>
      </c>
    </row>
    <row r="572" spans="1:20" hidden="1" x14ac:dyDescent="0.3">
      <c r="A572" t="s">
        <v>957</v>
      </c>
      <c r="B572" t="s">
        <v>215</v>
      </c>
      <c r="C572" t="s">
        <v>145</v>
      </c>
      <c r="D572" t="s">
        <v>925</v>
      </c>
      <c r="E572" t="s">
        <v>18</v>
      </c>
      <c r="F572" t="s">
        <v>157</v>
      </c>
      <c r="G572" t="s">
        <v>33</v>
      </c>
      <c r="H572" t="s">
        <v>34</v>
      </c>
      <c r="I572">
        <v>12500</v>
      </c>
      <c r="J572">
        <v>16250</v>
      </c>
      <c r="K572">
        <v>1</v>
      </c>
      <c r="L572">
        <v>12500</v>
      </c>
      <c r="M572">
        <v>16250</v>
      </c>
      <c r="N572" t="s">
        <v>50</v>
      </c>
      <c r="O572">
        <f t="shared" si="16"/>
        <v>18200</v>
      </c>
      <c r="P572" s="13">
        <f t="shared" si="17"/>
        <v>2757859</v>
      </c>
      <c r="Q572" s="13">
        <f>SUMIFS(M:M,E:E,Online_eCommerce[[#This Row],[Status]])</f>
        <v>28340455</v>
      </c>
      <c r="R572" s="13">
        <f>SUMIFS(L:L,H:H,Online_eCommerce[[#This Row],[Brand]])</f>
        <v>10087000</v>
      </c>
      <c r="S572" s="13">
        <f>SUMIF(H:H,Online_eCommerce[[#This Row],[Brand]],M:M)</f>
        <v>13113100</v>
      </c>
      <c r="T572" s="13">
        <f>SUMIF(N:N,Online_eCommerce[[#This Row],[Assigned Supervisor]],L:L)</f>
        <v>12100590</v>
      </c>
    </row>
    <row r="573" spans="1:20" hidden="1" x14ac:dyDescent="0.3">
      <c r="A573" t="s">
        <v>958</v>
      </c>
      <c r="B573" t="s">
        <v>215</v>
      </c>
      <c r="C573" t="s">
        <v>150</v>
      </c>
      <c r="D573" t="s">
        <v>925</v>
      </c>
      <c r="E573" t="s">
        <v>161</v>
      </c>
      <c r="F573" t="s">
        <v>632</v>
      </c>
      <c r="G573" t="s">
        <v>256</v>
      </c>
      <c r="H573" t="s">
        <v>41</v>
      </c>
      <c r="I573">
        <v>3500</v>
      </c>
      <c r="J573">
        <v>4550</v>
      </c>
      <c r="K573">
        <v>2</v>
      </c>
      <c r="L573">
        <v>7000</v>
      </c>
      <c r="M573">
        <v>9100</v>
      </c>
      <c r="N573" t="s">
        <v>56</v>
      </c>
      <c r="O573">
        <f t="shared" si="16"/>
        <v>9100</v>
      </c>
      <c r="P573" s="13">
        <f t="shared" si="17"/>
        <v>2154984</v>
      </c>
      <c r="Q573" s="13">
        <f>SUMIFS(M:M,E:E,Online_eCommerce[[#This Row],[Status]])</f>
        <v>21103186</v>
      </c>
      <c r="R573" s="13">
        <f>SUMIFS(L:L,H:H,Online_eCommerce[[#This Row],[Brand]])</f>
        <v>4260400</v>
      </c>
      <c r="S573" s="13">
        <f>SUMIF(H:H,Online_eCommerce[[#This Row],[Brand]],M:M)</f>
        <v>5538520</v>
      </c>
      <c r="T573" s="13">
        <f>SUMIF(N:N,Online_eCommerce[[#This Row],[Assigned Supervisor]],L:L)</f>
        <v>11733610</v>
      </c>
    </row>
    <row r="574" spans="1:20" x14ac:dyDescent="0.3">
      <c r="A574" t="s">
        <v>959</v>
      </c>
      <c r="B574" t="s">
        <v>215</v>
      </c>
      <c r="C574" t="s">
        <v>155</v>
      </c>
      <c r="D574" t="s">
        <v>925</v>
      </c>
      <c r="E574" t="s">
        <v>46</v>
      </c>
      <c r="F574" t="s">
        <v>166</v>
      </c>
      <c r="G574" t="s">
        <v>259</v>
      </c>
      <c r="H574" t="s">
        <v>49</v>
      </c>
      <c r="I574">
        <v>4500</v>
      </c>
      <c r="J574">
        <v>5850</v>
      </c>
      <c r="K574">
        <v>1</v>
      </c>
      <c r="L574">
        <v>4500</v>
      </c>
      <c r="M574">
        <v>5850</v>
      </c>
      <c r="N574" t="s">
        <v>22</v>
      </c>
      <c r="O574">
        <f t="shared" si="16"/>
        <v>11700</v>
      </c>
      <c r="P574" s="13">
        <f t="shared" si="17"/>
        <v>2753348</v>
      </c>
      <c r="Q574" s="13">
        <f>SUMIFS(M:M,E:E,Online_eCommerce[[#This Row],[Status]])</f>
        <v>28620410</v>
      </c>
      <c r="R574" s="13">
        <f>SUMIFS(L:L,H:H,Online_eCommerce[[#This Row],[Brand]])</f>
        <v>4528350</v>
      </c>
      <c r="S574" s="13">
        <f>SUMIF(H:H,Online_eCommerce[[#This Row],[Brand]],M:M)</f>
        <v>5886855</v>
      </c>
      <c r="T574" s="13">
        <f>SUMIF(N:N,Online_eCommerce[[#This Row],[Assigned Supervisor]],L:L)</f>
        <v>13693220</v>
      </c>
    </row>
    <row r="575" spans="1:20" hidden="1" x14ac:dyDescent="0.3">
      <c r="A575" t="s">
        <v>960</v>
      </c>
      <c r="B575" t="s">
        <v>215</v>
      </c>
      <c r="C575" t="s">
        <v>160</v>
      </c>
      <c r="D575" t="s">
        <v>925</v>
      </c>
      <c r="E575" t="s">
        <v>96</v>
      </c>
      <c r="F575" t="s">
        <v>961</v>
      </c>
      <c r="G575" t="s">
        <v>54</v>
      </c>
      <c r="H575" t="s">
        <v>55</v>
      </c>
      <c r="I575">
        <v>2100</v>
      </c>
      <c r="J575">
        <v>2730</v>
      </c>
      <c r="K575">
        <v>2</v>
      </c>
      <c r="L575">
        <v>4200</v>
      </c>
      <c r="M575">
        <v>5460</v>
      </c>
      <c r="N575" t="s">
        <v>28</v>
      </c>
      <c r="O575">
        <f t="shared" si="16"/>
        <v>2990</v>
      </c>
      <c r="P575" s="13">
        <f t="shared" si="17"/>
        <v>2303483</v>
      </c>
      <c r="Q575" s="13">
        <f>SUMIFS(M:M,E:E,Online_eCommerce[[#This Row],[Status]])</f>
        <v>21233992</v>
      </c>
      <c r="R575" s="13">
        <f>SUMIFS(L:L,H:H,Online_eCommerce[[#This Row],[Brand]])</f>
        <v>2267380</v>
      </c>
      <c r="S575" s="13">
        <f>SUMIF(H:H,Online_eCommerce[[#This Row],[Brand]],M:M)</f>
        <v>2947594</v>
      </c>
      <c r="T575" s="13">
        <f>SUMIF(N:N,Online_eCommerce[[#This Row],[Assigned Supervisor]],L:L)</f>
        <v>12220830</v>
      </c>
    </row>
    <row r="576" spans="1:20" hidden="1" x14ac:dyDescent="0.3">
      <c r="A576" t="s">
        <v>962</v>
      </c>
      <c r="B576" t="s">
        <v>215</v>
      </c>
      <c r="C576" t="s">
        <v>165</v>
      </c>
      <c r="D576" t="s">
        <v>925</v>
      </c>
      <c r="E576" t="s">
        <v>18</v>
      </c>
      <c r="F576" t="s">
        <v>174</v>
      </c>
      <c r="G576" t="s">
        <v>60</v>
      </c>
      <c r="H576" t="s">
        <v>61</v>
      </c>
      <c r="I576">
        <v>1150</v>
      </c>
      <c r="J576">
        <v>1495</v>
      </c>
      <c r="K576">
        <v>1</v>
      </c>
      <c r="L576">
        <v>1150</v>
      </c>
      <c r="M576">
        <v>1495</v>
      </c>
      <c r="N576" t="s">
        <v>35</v>
      </c>
      <c r="O576">
        <f t="shared" si="16"/>
        <v>3315</v>
      </c>
      <c r="P576" s="13">
        <f t="shared" si="17"/>
        <v>2674087</v>
      </c>
      <c r="Q576" s="13">
        <f>SUMIFS(M:M,E:E,Online_eCommerce[[#This Row],[Status]])</f>
        <v>28340455</v>
      </c>
      <c r="R576" s="13">
        <f>SUMIFS(L:L,H:H,Online_eCommerce[[#This Row],[Brand]])</f>
        <v>10950150</v>
      </c>
      <c r="S576" s="13">
        <f>SUMIF(H:H,Online_eCommerce[[#This Row],[Brand]],M:M)</f>
        <v>14235195</v>
      </c>
      <c r="T576" s="13">
        <f>SUMIF(N:N,Online_eCommerce[[#This Row],[Assigned Supervisor]],L:L)</f>
        <v>14373360</v>
      </c>
    </row>
    <row r="577" spans="1:20" hidden="1" x14ac:dyDescent="0.3">
      <c r="A577" t="s">
        <v>963</v>
      </c>
      <c r="B577" t="s">
        <v>215</v>
      </c>
      <c r="C577" t="s">
        <v>168</v>
      </c>
      <c r="D577" t="s">
        <v>925</v>
      </c>
      <c r="E577" t="s">
        <v>161</v>
      </c>
      <c r="F577" t="s">
        <v>179</v>
      </c>
      <c r="G577" t="s">
        <v>66</v>
      </c>
      <c r="H577" t="s">
        <v>21</v>
      </c>
      <c r="I577">
        <v>350</v>
      </c>
      <c r="J577">
        <v>455</v>
      </c>
      <c r="K577">
        <v>4</v>
      </c>
      <c r="L577">
        <v>1400</v>
      </c>
      <c r="M577">
        <v>1820</v>
      </c>
      <c r="N577" t="s">
        <v>42</v>
      </c>
      <c r="O577">
        <f t="shared" si="16"/>
        <v>1690</v>
      </c>
      <c r="P577" s="13">
        <f t="shared" si="17"/>
        <v>1937780</v>
      </c>
      <c r="Q577" s="13">
        <f>SUMIFS(M:M,E:E,Online_eCommerce[[#This Row],[Status]])</f>
        <v>21103186</v>
      </c>
      <c r="R577" s="13">
        <f>SUMIFS(L:L,H:H,Online_eCommerce[[#This Row],[Brand]])</f>
        <v>12435650</v>
      </c>
      <c r="S577" s="13">
        <f>SUMIF(H:H,Online_eCommerce[[#This Row],[Brand]],M:M)</f>
        <v>16166345</v>
      </c>
      <c r="T577" s="13">
        <f>SUMIF(N:N,Online_eCommerce[[#This Row],[Assigned Supervisor]],L:L)</f>
        <v>12261500</v>
      </c>
    </row>
    <row r="578" spans="1:20" x14ac:dyDescent="0.3">
      <c r="A578" t="s">
        <v>964</v>
      </c>
      <c r="B578" t="s">
        <v>215</v>
      </c>
      <c r="C578" t="s">
        <v>172</v>
      </c>
      <c r="D578" t="s">
        <v>925</v>
      </c>
      <c r="E578" t="s">
        <v>46</v>
      </c>
      <c r="F578" t="s">
        <v>183</v>
      </c>
      <c r="G578" t="s">
        <v>71</v>
      </c>
      <c r="H578" t="s">
        <v>61</v>
      </c>
      <c r="I578">
        <v>9500</v>
      </c>
      <c r="J578">
        <v>12350</v>
      </c>
      <c r="K578">
        <v>1</v>
      </c>
      <c r="L578">
        <v>9500</v>
      </c>
      <c r="M578">
        <v>12350</v>
      </c>
      <c r="N578" t="s">
        <v>50</v>
      </c>
      <c r="O578">
        <f t="shared" ref="O578:O641" si="18">VLOOKUP(G578,G:M,7,FALSE)</f>
        <v>9750</v>
      </c>
      <c r="P578" s="13">
        <f t="shared" ref="P578:P641" si="19">SUMIFS(M:M,C:C,C578)</f>
        <v>2640274</v>
      </c>
      <c r="Q578" s="13">
        <f>SUMIFS(M:M,E:E,Online_eCommerce[[#This Row],[Status]])</f>
        <v>28620410</v>
      </c>
      <c r="R578" s="13">
        <f>SUMIFS(L:L,H:H,Online_eCommerce[[#This Row],[Brand]])</f>
        <v>10950150</v>
      </c>
      <c r="S578" s="13">
        <f>SUMIF(H:H,Online_eCommerce[[#This Row],[Brand]],M:M)</f>
        <v>14235195</v>
      </c>
      <c r="T578" s="13">
        <f>SUMIF(N:N,Online_eCommerce[[#This Row],[Assigned Supervisor]],L:L)</f>
        <v>12100590</v>
      </c>
    </row>
    <row r="579" spans="1:20" hidden="1" x14ac:dyDescent="0.3">
      <c r="A579" t="s">
        <v>965</v>
      </c>
      <c r="B579" t="s">
        <v>215</v>
      </c>
      <c r="C579" t="s">
        <v>177</v>
      </c>
      <c r="D579" t="s">
        <v>925</v>
      </c>
      <c r="E579" t="s">
        <v>96</v>
      </c>
      <c r="F579" t="s">
        <v>966</v>
      </c>
      <c r="G579" t="s">
        <v>77</v>
      </c>
      <c r="H579" t="s">
        <v>142</v>
      </c>
      <c r="I579">
        <v>10000</v>
      </c>
      <c r="J579">
        <v>13000</v>
      </c>
      <c r="K579">
        <v>2</v>
      </c>
      <c r="L579">
        <v>20000</v>
      </c>
      <c r="M579">
        <v>26000</v>
      </c>
      <c r="N579" t="s">
        <v>56</v>
      </c>
      <c r="O579">
        <f t="shared" si="18"/>
        <v>39000</v>
      </c>
      <c r="P579" s="13">
        <f t="shared" si="19"/>
        <v>1863810</v>
      </c>
      <c r="Q579" s="13">
        <f>SUMIFS(M:M,E:E,Online_eCommerce[[#This Row],[Status]])</f>
        <v>21233992</v>
      </c>
      <c r="R579" s="13">
        <f>SUMIFS(L:L,H:H,Online_eCommerce[[#This Row],[Brand]])</f>
        <v>6192500</v>
      </c>
      <c r="S579" s="13">
        <f>SUMIF(H:H,Online_eCommerce[[#This Row],[Brand]],M:M)</f>
        <v>8050250</v>
      </c>
      <c r="T579" s="13">
        <f>SUMIF(N:N,Online_eCommerce[[#This Row],[Assigned Supervisor]],L:L)</f>
        <v>11733610</v>
      </c>
    </row>
    <row r="580" spans="1:20" hidden="1" x14ac:dyDescent="0.3">
      <c r="A580" t="s">
        <v>967</v>
      </c>
      <c r="B580" t="s">
        <v>215</v>
      </c>
      <c r="C580" t="s">
        <v>181</v>
      </c>
      <c r="D580" t="s">
        <v>925</v>
      </c>
      <c r="E580" t="s">
        <v>18</v>
      </c>
      <c r="F580" t="s">
        <v>968</v>
      </c>
      <c r="G580" t="s">
        <v>20</v>
      </c>
      <c r="H580" t="s">
        <v>21</v>
      </c>
      <c r="I580">
        <v>6500</v>
      </c>
      <c r="J580">
        <v>8450</v>
      </c>
      <c r="K580">
        <v>1</v>
      </c>
      <c r="L580">
        <v>6500</v>
      </c>
      <c r="M580">
        <v>8450</v>
      </c>
      <c r="N580" t="s">
        <v>22</v>
      </c>
      <c r="O580">
        <f t="shared" si="18"/>
        <v>8450</v>
      </c>
      <c r="P580" s="13">
        <f t="shared" si="19"/>
        <v>2577458</v>
      </c>
      <c r="Q580" s="13">
        <f>SUMIFS(M:M,E:E,Online_eCommerce[[#This Row],[Status]])</f>
        <v>28340455</v>
      </c>
      <c r="R580" s="13">
        <f>SUMIFS(L:L,H:H,Online_eCommerce[[#This Row],[Brand]])</f>
        <v>12435650</v>
      </c>
      <c r="S580" s="13">
        <f>SUMIF(H:H,Online_eCommerce[[#This Row],[Brand]],M:M)</f>
        <v>16166345</v>
      </c>
      <c r="T580" s="13">
        <f>SUMIF(N:N,Online_eCommerce[[#This Row],[Assigned Supervisor]],L:L)</f>
        <v>13693220</v>
      </c>
    </row>
    <row r="581" spans="1:20" hidden="1" x14ac:dyDescent="0.3">
      <c r="A581" t="s">
        <v>969</v>
      </c>
      <c r="B581" t="s">
        <v>215</v>
      </c>
      <c r="C581" t="s">
        <v>185</v>
      </c>
      <c r="D581" t="s">
        <v>925</v>
      </c>
      <c r="E581" t="s">
        <v>161</v>
      </c>
      <c r="F581" t="s">
        <v>970</v>
      </c>
      <c r="G581" t="s">
        <v>26</v>
      </c>
      <c r="H581" t="s">
        <v>27</v>
      </c>
      <c r="I581">
        <v>8500</v>
      </c>
      <c r="J581">
        <v>11050</v>
      </c>
      <c r="K581">
        <v>4</v>
      </c>
      <c r="L581">
        <v>34000</v>
      </c>
      <c r="M581">
        <v>44200</v>
      </c>
      <c r="N581" t="s">
        <v>28</v>
      </c>
      <c r="O581">
        <f t="shared" si="18"/>
        <v>33150</v>
      </c>
      <c r="P581" s="13">
        <f t="shared" si="19"/>
        <v>2091596</v>
      </c>
      <c r="Q581" s="13">
        <f>SUMIFS(M:M,E:E,Online_eCommerce[[#This Row],[Status]])</f>
        <v>21103186</v>
      </c>
      <c r="R581" s="13">
        <f>SUMIFS(L:L,H:H,Online_eCommerce[[#This Row],[Brand]])</f>
        <v>14431000</v>
      </c>
      <c r="S581" s="13">
        <f>SUMIF(H:H,Online_eCommerce[[#This Row],[Brand]],M:M)</f>
        <v>18760300</v>
      </c>
      <c r="T581" s="13">
        <f>SUMIF(N:N,Online_eCommerce[[#This Row],[Assigned Supervisor]],L:L)</f>
        <v>12220830</v>
      </c>
    </row>
    <row r="582" spans="1:20" x14ac:dyDescent="0.3">
      <c r="A582" t="s">
        <v>971</v>
      </c>
      <c r="B582" t="s">
        <v>215</v>
      </c>
      <c r="C582" t="s">
        <v>189</v>
      </c>
      <c r="D582" t="s">
        <v>925</v>
      </c>
      <c r="E582" t="s">
        <v>46</v>
      </c>
      <c r="F582" t="s">
        <v>32</v>
      </c>
      <c r="G582" t="s">
        <v>33</v>
      </c>
      <c r="H582" t="s">
        <v>34</v>
      </c>
      <c r="I582">
        <v>7000</v>
      </c>
      <c r="J582">
        <v>9100</v>
      </c>
      <c r="K582">
        <v>2</v>
      </c>
      <c r="L582">
        <v>14000</v>
      </c>
      <c r="M582">
        <v>18200</v>
      </c>
      <c r="N582" t="s">
        <v>35</v>
      </c>
      <c r="O582">
        <f t="shared" si="18"/>
        <v>18200</v>
      </c>
      <c r="P582" s="13">
        <f t="shared" si="19"/>
        <v>2740777</v>
      </c>
      <c r="Q582" s="13">
        <f>SUMIFS(M:M,E:E,Online_eCommerce[[#This Row],[Status]])</f>
        <v>28620410</v>
      </c>
      <c r="R582" s="13">
        <f>SUMIFS(L:L,H:H,Online_eCommerce[[#This Row],[Brand]])</f>
        <v>10087000</v>
      </c>
      <c r="S582" s="13">
        <f>SUMIF(H:H,Online_eCommerce[[#This Row],[Brand]],M:M)</f>
        <v>13113100</v>
      </c>
      <c r="T582" s="13">
        <f>SUMIF(N:N,Online_eCommerce[[#This Row],[Assigned Supervisor]],L:L)</f>
        <v>14373360</v>
      </c>
    </row>
    <row r="583" spans="1:20" hidden="1" x14ac:dyDescent="0.3">
      <c r="A583" t="s">
        <v>972</v>
      </c>
      <c r="B583" t="s">
        <v>215</v>
      </c>
      <c r="C583" t="s">
        <v>193</v>
      </c>
      <c r="D583" t="s">
        <v>925</v>
      </c>
      <c r="E583" t="s">
        <v>96</v>
      </c>
      <c r="F583" t="s">
        <v>973</v>
      </c>
      <c r="G583" t="s">
        <v>256</v>
      </c>
      <c r="H583" t="s">
        <v>41</v>
      </c>
      <c r="I583">
        <v>6550</v>
      </c>
      <c r="J583">
        <v>8515</v>
      </c>
      <c r="K583">
        <v>2</v>
      </c>
      <c r="L583">
        <v>13100</v>
      </c>
      <c r="M583">
        <v>17030</v>
      </c>
      <c r="N583" t="s">
        <v>42</v>
      </c>
      <c r="O583">
        <f t="shared" si="18"/>
        <v>9100</v>
      </c>
      <c r="P583" s="13">
        <f t="shared" si="19"/>
        <v>2074774</v>
      </c>
      <c r="Q583" s="13">
        <f>SUMIFS(M:M,E:E,Online_eCommerce[[#This Row],[Status]])</f>
        <v>21233992</v>
      </c>
      <c r="R583" s="13">
        <f>SUMIFS(L:L,H:H,Online_eCommerce[[#This Row],[Brand]])</f>
        <v>4260400</v>
      </c>
      <c r="S583" s="13">
        <f>SUMIF(H:H,Online_eCommerce[[#This Row],[Brand]],M:M)</f>
        <v>5538520</v>
      </c>
      <c r="T583" s="13">
        <f>SUMIF(N:N,Online_eCommerce[[#This Row],[Assigned Supervisor]],L:L)</f>
        <v>12261500</v>
      </c>
    </row>
    <row r="584" spans="1:20" hidden="1" x14ac:dyDescent="0.3">
      <c r="A584" t="s">
        <v>974</v>
      </c>
      <c r="B584" t="s">
        <v>215</v>
      </c>
      <c r="C584" t="s">
        <v>197</v>
      </c>
      <c r="D584" t="s">
        <v>925</v>
      </c>
      <c r="E584" t="s">
        <v>18</v>
      </c>
      <c r="F584" t="s">
        <v>47</v>
      </c>
      <c r="G584" t="s">
        <v>259</v>
      </c>
      <c r="H584" t="s">
        <v>49</v>
      </c>
      <c r="I584">
        <v>7650</v>
      </c>
      <c r="J584">
        <v>9945</v>
      </c>
      <c r="K584">
        <v>2</v>
      </c>
      <c r="L584">
        <v>15300</v>
      </c>
      <c r="M584">
        <v>19890</v>
      </c>
      <c r="N584" t="s">
        <v>50</v>
      </c>
      <c r="O584">
        <f t="shared" si="18"/>
        <v>11700</v>
      </c>
      <c r="P584" s="13">
        <f t="shared" si="19"/>
        <v>2829840</v>
      </c>
      <c r="Q584" s="13">
        <f>SUMIFS(M:M,E:E,Online_eCommerce[[#This Row],[Status]])</f>
        <v>28340455</v>
      </c>
      <c r="R584" s="13">
        <f>SUMIFS(L:L,H:H,Online_eCommerce[[#This Row],[Brand]])</f>
        <v>4528350</v>
      </c>
      <c r="S584" s="13">
        <f>SUMIF(H:H,Online_eCommerce[[#This Row],[Brand]],M:M)</f>
        <v>5886855</v>
      </c>
      <c r="T584" s="13">
        <f>SUMIF(N:N,Online_eCommerce[[#This Row],[Assigned Supervisor]],L:L)</f>
        <v>12100590</v>
      </c>
    </row>
    <row r="585" spans="1:20" hidden="1" x14ac:dyDescent="0.3">
      <c r="A585" t="s">
        <v>975</v>
      </c>
      <c r="B585" t="s">
        <v>215</v>
      </c>
      <c r="C585" t="s">
        <v>199</v>
      </c>
      <c r="D585" t="s">
        <v>925</v>
      </c>
      <c r="E585" t="s">
        <v>161</v>
      </c>
      <c r="F585" t="s">
        <v>53</v>
      </c>
      <c r="G585" t="s">
        <v>54</v>
      </c>
      <c r="H585" t="s">
        <v>55</v>
      </c>
      <c r="I585">
        <v>1150</v>
      </c>
      <c r="J585">
        <v>1495</v>
      </c>
      <c r="K585">
        <v>1</v>
      </c>
      <c r="L585">
        <v>1150</v>
      </c>
      <c r="M585">
        <v>1495</v>
      </c>
      <c r="N585" t="s">
        <v>56</v>
      </c>
      <c r="O585">
        <f t="shared" si="18"/>
        <v>2990</v>
      </c>
      <c r="P585" s="13">
        <f t="shared" si="19"/>
        <v>1947361</v>
      </c>
      <c r="Q585" s="13">
        <f>SUMIFS(M:M,E:E,Online_eCommerce[[#This Row],[Status]])</f>
        <v>21103186</v>
      </c>
      <c r="R585" s="13">
        <f>SUMIFS(L:L,H:H,Online_eCommerce[[#This Row],[Brand]])</f>
        <v>2267380</v>
      </c>
      <c r="S585" s="13">
        <f>SUMIF(H:H,Online_eCommerce[[#This Row],[Brand]],M:M)</f>
        <v>2947594</v>
      </c>
      <c r="T585" s="13">
        <f>SUMIF(N:N,Online_eCommerce[[#This Row],[Assigned Supervisor]],L:L)</f>
        <v>11733610</v>
      </c>
    </row>
    <row r="586" spans="1:20" x14ac:dyDescent="0.3">
      <c r="A586" t="s">
        <v>976</v>
      </c>
      <c r="B586" t="s">
        <v>215</v>
      </c>
      <c r="C586" t="s">
        <v>203</v>
      </c>
      <c r="D586" t="s">
        <v>925</v>
      </c>
      <c r="E586" t="s">
        <v>46</v>
      </c>
      <c r="F586" t="s">
        <v>59</v>
      </c>
      <c r="G586" t="s">
        <v>60</v>
      </c>
      <c r="H586" t="s">
        <v>61</v>
      </c>
      <c r="I586">
        <v>850</v>
      </c>
      <c r="J586">
        <v>1105</v>
      </c>
      <c r="K586">
        <v>4</v>
      </c>
      <c r="L586">
        <v>3400</v>
      </c>
      <c r="M586">
        <v>4420</v>
      </c>
      <c r="N586" t="s">
        <v>22</v>
      </c>
      <c r="O586">
        <f t="shared" si="18"/>
        <v>3315</v>
      </c>
      <c r="P586" s="13">
        <f t="shared" si="19"/>
        <v>2559635</v>
      </c>
      <c r="Q586" s="13">
        <f>SUMIFS(M:M,E:E,Online_eCommerce[[#This Row],[Status]])</f>
        <v>28620410</v>
      </c>
      <c r="R586" s="13">
        <f>SUMIFS(L:L,H:H,Online_eCommerce[[#This Row],[Brand]])</f>
        <v>10950150</v>
      </c>
      <c r="S586" s="13">
        <f>SUMIF(H:H,Online_eCommerce[[#This Row],[Brand]],M:M)</f>
        <v>14235195</v>
      </c>
      <c r="T586" s="13">
        <f>SUMIF(N:N,Online_eCommerce[[#This Row],[Assigned Supervisor]],L:L)</f>
        <v>13693220</v>
      </c>
    </row>
    <row r="587" spans="1:20" hidden="1" x14ac:dyDescent="0.3">
      <c r="A587" t="s">
        <v>977</v>
      </c>
      <c r="B587" t="s">
        <v>215</v>
      </c>
      <c r="C587" t="s">
        <v>205</v>
      </c>
      <c r="D587" t="s">
        <v>925</v>
      </c>
      <c r="E587" t="s">
        <v>96</v>
      </c>
      <c r="F587" t="s">
        <v>65</v>
      </c>
      <c r="G587" t="s">
        <v>66</v>
      </c>
      <c r="H587" t="s">
        <v>21</v>
      </c>
      <c r="I587">
        <v>650</v>
      </c>
      <c r="J587">
        <v>845</v>
      </c>
      <c r="K587">
        <v>1</v>
      </c>
      <c r="L587">
        <v>650</v>
      </c>
      <c r="M587">
        <v>845</v>
      </c>
      <c r="N587" t="s">
        <v>28</v>
      </c>
      <c r="O587">
        <f t="shared" si="18"/>
        <v>1690</v>
      </c>
      <c r="P587" s="13">
        <f t="shared" si="19"/>
        <v>1983254</v>
      </c>
      <c r="Q587" s="13">
        <f>SUMIFS(M:M,E:E,Online_eCommerce[[#This Row],[Status]])</f>
        <v>21233992</v>
      </c>
      <c r="R587" s="13">
        <f>SUMIFS(L:L,H:H,Online_eCommerce[[#This Row],[Brand]])</f>
        <v>12435650</v>
      </c>
      <c r="S587" s="13">
        <f>SUMIF(H:H,Online_eCommerce[[#This Row],[Brand]],M:M)</f>
        <v>16166345</v>
      </c>
      <c r="T587" s="13">
        <f>SUMIF(N:N,Online_eCommerce[[#This Row],[Assigned Supervisor]],L:L)</f>
        <v>12220830</v>
      </c>
    </row>
    <row r="588" spans="1:20" hidden="1" x14ac:dyDescent="0.3">
      <c r="A588" t="s">
        <v>978</v>
      </c>
      <c r="B588" t="s">
        <v>215</v>
      </c>
      <c r="C588" t="s">
        <v>208</v>
      </c>
      <c r="D588" t="s">
        <v>925</v>
      </c>
      <c r="E588" t="s">
        <v>18</v>
      </c>
      <c r="F588" t="s">
        <v>70</v>
      </c>
      <c r="G588" t="s">
        <v>71</v>
      </c>
      <c r="H588" t="s">
        <v>61</v>
      </c>
      <c r="I588">
        <v>7500</v>
      </c>
      <c r="J588">
        <v>9750</v>
      </c>
      <c r="K588">
        <v>3</v>
      </c>
      <c r="L588">
        <v>22500</v>
      </c>
      <c r="M588">
        <v>29250</v>
      </c>
      <c r="N588" t="s">
        <v>35</v>
      </c>
      <c r="O588">
        <f t="shared" si="18"/>
        <v>9750</v>
      </c>
      <c r="P588" s="13">
        <f t="shared" si="19"/>
        <v>2746575</v>
      </c>
      <c r="Q588" s="13">
        <f>SUMIFS(M:M,E:E,Online_eCommerce[[#This Row],[Status]])</f>
        <v>28340455</v>
      </c>
      <c r="R588" s="13">
        <f>SUMIFS(L:L,H:H,Online_eCommerce[[#This Row],[Brand]])</f>
        <v>10950150</v>
      </c>
      <c r="S588" s="13">
        <f>SUMIF(H:H,Online_eCommerce[[#This Row],[Brand]],M:M)</f>
        <v>14235195</v>
      </c>
      <c r="T588" s="13">
        <f>SUMIF(N:N,Online_eCommerce[[#This Row],[Assigned Supervisor]],L:L)</f>
        <v>14373360</v>
      </c>
    </row>
    <row r="589" spans="1:20" hidden="1" x14ac:dyDescent="0.3">
      <c r="A589" t="s">
        <v>979</v>
      </c>
      <c r="B589" t="s">
        <v>215</v>
      </c>
      <c r="C589" t="s">
        <v>211</v>
      </c>
      <c r="D589" t="s">
        <v>925</v>
      </c>
      <c r="E589" t="s">
        <v>161</v>
      </c>
      <c r="F589" t="s">
        <v>966</v>
      </c>
      <c r="G589" t="s">
        <v>77</v>
      </c>
      <c r="H589" t="s">
        <v>78</v>
      </c>
      <c r="I589">
        <v>10000</v>
      </c>
      <c r="J589">
        <v>13000</v>
      </c>
      <c r="K589">
        <v>3</v>
      </c>
      <c r="L589">
        <v>30000</v>
      </c>
      <c r="M589">
        <v>39000</v>
      </c>
      <c r="N589" t="s">
        <v>42</v>
      </c>
      <c r="O589">
        <f t="shared" si="18"/>
        <v>39000</v>
      </c>
      <c r="P589" s="13">
        <f t="shared" si="19"/>
        <v>1809847</v>
      </c>
      <c r="Q589" s="13">
        <f>SUMIFS(M:M,E:E,Online_eCommerce[[#This Row],[Status]])</f>
        <v>21103186</v>
      </c>
      <c r="R589" s="13">
        <f>SUMIFS(L:L,H:H,Online_eCommerce[[#This Row],[Brand]])</f>
        <v>3720000</v>
      </c>
      <c r="S589" s="13">
        <f>SUMIF(H:H,Online_eCommerce[[#This Row],[Brand]],M:M)</f>
        <v>4836000</v>
      </c>
      <c r="T589" s="13">
        <f>SUMIF(N:N,Online_eCommerce[[#This Row],[Assigned Supervisor]],L:L)</f>
        <v>12261500</v>
      </c>
    </row>
    <row r="590" spans="1:20" x14ac:dyDescent="0.3">
      <c r="A590" t="s">
        <v>980</v>
      </c>
      <c r="B590" t="s">
        <v>215</v>
      </c>
      <c r="C590" t="s">
        <v>16</v>
      </c>
      <c r="D590" t="s">
        <v>925</v>
      </c>
      <c r="E590" t="s">
        <v>46</v>
      </c>
      <c r="F590" t="s">
        <v>981</v>
      </c>
      <c r="G590" t="s">
        <v>20</v>
      </c>
      <c r="H590" t="s">
        <v>21</v>
      </c>
      <c r="I590">
        <v>10500</v>
      </c>
      <c r="J590">
        <v>13650</v>
      </c>
      <c r="K590">
        <v>4</v>
      </c>
      <c r="L590">
        <v>42000</v>
      </c>
      <c r="M590">
        <v>54600</v>
      </c>
      <c r="N590" t="s">
        <v>50</v>
      </c>
      <c r="O590">
        <f t="shared" si="18"/>
        <v>8450</v>
      </c>
      <c r="P590" s="13">
        <f t="shared" si="19"/>
        <v>2751814</v>
      </c>
      <c r="Q590" s="13">
        <f>SUMIFS(M:M,E:E,Online_eCommerce[[#This Row],[Status]])</f>
        <v>28620410</v>
      </c>
      <c r="R590" s="13">
        <f>SUMIFS(L:L,H:H,Online_eCommerce[[#This Row],[Brand]])</f>
        <v>12435650</v>
      </c>
      <c r="S590" s="13">
        <f>SUMIF(H:H,Online_eCommerce[[#This Row],[Brand]],M:M)</f>
        <v>16166345</v>
      </c>
      <c r="T590" s="13">
        <f>SUMIF(N:N,Online_eCommerce[[#This Row],[Assigned Supervisor]],L:L)</f>
        <v>12100590</v>
      </c>
    </row>
    <row r="591" spans="1:20" hidden="1" x14ac:dyDescent="0.3">
      <c r="A591" t="s">
        <v>982</v>
      </c>
      <c r="B591" t="s">
        <v>215</v>
      </c>
      <c r="C591" t="s">
        <v>24</v>
      </c>
      <c r="D591" t="s">
        <v>925</v>
      </c>
      <c r="E591" t="s">
        <v>96</v>
      </c>
      <c r="F591" t="s">
        <v>88</v>
      </c>
      <c r="G591" t="s">
        <v>26</v>
      </c>
      <c r="H591" t="s">
        <v>27</v>
      </c>
      <c r="I591">
        <v>8500</v>
      </c>
      <c r="J591">
        <v>11050</v>
      </c>
      <c r="K591">
        <v>1</v>
      </c>
      <c r="L591">
        <v>8500</v>
      </c>
      <c r="M591">
        <v>11050</v>
      </c>
      <c r="N591" t="s">
        <v>56</v>
      </c>
      <c r="O591">
        <f t="shared" si="18"/>
        <v>33150</v>
      </c>
      <c r="P591" s="13">
        <f t="shared" si="19"/>
        <v>2009540</v>
      </c>
      <c r="Q591" s="13">
        <f>SUMIFS(M:M,E:E,Online_eCommerce[[#This Row],[Status]])</f>
        <v>21233992</v>
      </c>
      <c r="R591" s="13">
        <f>SUMIFS(L:L,H:H,Online_eCommerce[[#This Row],[Brand]])</f>
        <v>14431000</v>
      </c>
      <c r="S591" s="13">
        <f>SUMIF(H:H,Online_eCommerce[[#This Row],[Brand]],M:M)</f>
        <v>18760300</v>
      </c>
      <c r="T591" s="13">
        <f>SUMIF(N:N,Online_eCommerce[[#This Row],[Assigned Supervisor]],L:L)</f>
        <v>11733610</v>
      </c>
    </row>
    <row r="592" spans="1:20" hidden="1" x14ac:dyDescent="0.3">
      <c r="A592" t="s">
        <v>983</v>
      </c>
      <c r="B592" t="s">
        <v>215</v>
      </c>
      <c r="C592" t="s">
        <v>31</v>
      </c>
      <c r="D592" t="s">
        <v>925</v>
      </c>
      <c r="E592" t="s">
        <v>18</v>
      </c>
      <c r="F592" t="s">
        <v>32</v>
      </c>
      <c r="G592" t="s">
        <v>33</v>
      </c>
      <c r="H592" t="s">
        <v>34</v>
      </c>
      <c r="I592">
        <v>7000</v>
      </c>
      <c r="J592">
        <v>9100</v>
      </c>
      <c r="K592">
        <v>2</v>
      </c>
      <c r="L592">
        <v>14000</v>
      </c>
      <c r="M592">
        <v>18200</v>
      </c>
      <c r="N592" t="s">
        <v>22</v>
      </c>
      <c r="O592">
        <f t="shared" si="18"/>
        <v>18200</v>
      </c>
      <c r="P592" s="13">
        <f t="shared" si="19"/>
        <v>2865746</v>
      </c>
      <c r="Q592" s="13">
        <f>SUMIFS(M:M,E:E,Online_eCommerce[[#This Row],[Status]])</f>
        <v>28340455</v>
      </c>
      <c r="R592" s="13">
        <f>SUMIFS(L:L,H:H,Online_eCommerce[[#This Row],[Brand]])</f>
        <v>10087000</v>
      </c>
      <c r="S592" s="13">
        <f>SUMIF(H:H,Online_eCommerce[[#This Row],[Brand]],M:M)</f>
        <v>13113100</v>
      </c>
      <c r="T592" s="13">
        <f>SUMIF(N:N,Online_eCommerce[[#This Row],[Assigned Supervisor]],L:L)</f>
        <v>13693220</v>
      </c>
    </row>
    <row r="593" spans="1:20" hidden="1" x14ac:dyDescent="0.3">
      <c r="A593" t="s">
        <v>984</v>
      </c>
      <c r="B593" t="s">
        <v>215</v>
      </c>
      <c r="C593" t="s">
        <v>38</v>
      </c>
      <c r="D593" t="s">
        <v>925</v>
      </c>
      <c r="E593" t="s">
        <v>161</v>
      </c>
      <c r="F593" t="s">
        <v>985</v>
      </c>
      <c r="G593" t="s">
        <v>256</v>
      </c>
      <c r="H593" t="s">
        <v>41</v>
      </c>
      <c r="I593">
        <v>1680</v>
      </c>
      <c r="J593">
        <v>2184</v>
      </c>
      <c r="K593">
        <v>1</v>
      </c>
      <c r="L593">
        <v>1680</v>
      </c>
      <c r="M593">
        <v>2184</v>
      </c>
      <c r="N593" t="s">
        <v>28</v>
      </c>
      <c r="O593">
        <f t="shared" si="18"/>
        <v>9100</v>
      </c>
      <c r="P593" s="13">
        <f t="shared" si="19"/>
        <v>1933997</v>
      </c>
      <c r="Q593" s="13">
        <f>SUMIFS(M:M,E:E,Online_eCommerce[[#This Row],[Status]])</f>
        <v>21103186</v>
      </c>
      <c r="R593" s="13">
        <f>SUMIFS(L:L,H:H,Online_eCommerce[[#This Row],[Brand]])</f>
        <v>4260400</v>
      </c>
      <c r="S593" s="13">
        <f>SUMIF(H:H,Online_eCommerce[[#This Row],[Brand]],M:M)</f>
        <v>5538520</v>
      </c>
      <c r="T593" s="13">
        <f>SUMIF(N:N,Online_eCommerce[[#This Row],[Assigned Supervisor]],L:L)</f>
        <v>12220830</v>
      </c>
    </row>
    <row r="594" spans="1:20" x14ac:dyDescent="0.3">
      <c r="A594" t="s">
        <v>986</v>
      </c>
      <c r="B594" t="s">
        <v>215</v>
      </c>
      <c r="C594" t="s">
        <v>45</v>
      </c>
      <c r="D594" t="s">
        <v>925</v>
      </c>
      <c r="E594" t="s">
        <v>46</v>
      </c>
      <c r="F594" t="s">
        <v>101</v>
      </c>
      <c r="G594" t="s">
        <v>259</v>
      </c>
      <c r="H594" t="s">
        <v>102</v>
      </c>
      <c r="I594">
        <v>6540</v>
      </c>
      <c r="J594">
        <v>8502</v>
      </c>
      <c r="K594">
        <v>4</v>
      </c>
      <c r="L594">
        <v>26160</v>
      </c>
      <c r="M594">
        <v>34008</v>
      </c>
      <c r="N594" t="s">
        <v>35</v>
      </c>
      <c r="O594">
        <f t="shared" si="18"/>
        <v>11700</v>
      </c>
      <c r="P594" s="13">
        <f t="shared" si="19"/>
        <v>2842554</v>
      </c>
      <c r="Q594" s="13">
        <f>SUMIFS(M:M,E:E,Online_eCommerce[[#This Row],[Status]])</f>
        <v>28620410</v>
      </c>
      <c r="R594" s="13">
        <f>SUMIFS(L:L,H:H,Online_eCommerce[[#This Row],[Brand]])</f>
        <v>2465580</v>
      </c>
      <c r="S594" s="13">
        <f>SUMIF(H:H,Online_eCommerce[[#This Row],[Brand]],M:M)</f>
        <v>3205254</v>
      </c>
      <c r="T594" s="13">
        <f>SUMIF(N:N,Online_eCommerce[[#This Row],[Assigned Supervisor]],L:L)</f>
        <v>14373360</v>
      </c>
    </row>
    <row r="595" spans="1:20" hidden="1" x14ac:dyDescent="0.3">
      <c r="A595" t="s">
        <v>987</v>
      </c>
      <c r="B595" t="s">
        <v>215</v>
      </c>
      <c r="C595" t="s">
        <v>52</v>
      </c>
      <c r="D595" t="s">
        <v>925</v>
      </c>
      <c r="E595" t="s">
        <v>96</v>
      </c>
      <c r="F595" t="s">
        <v>107</v>
      </c>
      <c r="G595" t="s">
        <v>54</v>
      </c>
      <c r="H595" t="s">
        <v>55</v>
      </c>
      <c r="I595">
        <v>2680</v>
      </c>
      <c r="J595">
        <v>3484</v>
      </c>
      <c r="K595">
        <v>4</v>
      </c>
      <c r="L595">
        <v>10720</v>
      </c>
      <c r="M595">
        <v>13936</v>
      </c>
      <c r="N595" t="s">
        <v>42</v>
      </c>
      <c r="O595">
        <f t="shared" si="18"/>
        <v>2990</v>
      </c>
      <c r="P595" s="13">
        <f t="shared" si="19"/>
        <v>1955044</v>
      </c>
      <c r="Q595" s="13">
        <f>SUMIFS(M:M,E:E,Online_eCommerce[[#This Row],[Status]])</f>
        <v>21233992</v>
      </c>
      <c r="R595" s="13">
        <f>SUMIFS(L:L,H:H,Online_eCommerce[[#This Row],[Brand]])</f>
        <v>2267380</v>
      </c>
      <c r="S595" s="13">
        <f>SUMIF(H:H,Online_eCommerce[[#This Row],[Brand]],M:M)</f>
        <v>2947594</v>
      </c>
      <c r="T595" s="13">
        <f>SUMIF(N:N,Online_eCommerce[[#This Row],[Assigned Supervisor]],L:L)</f>
        <v>12261500</v>
      </c>
    </row>
    <row r="596" spans="1:20" hidden="1" x14ac:dyDescent="0.3">
      <c r="A596" t="s">
        <v>988</v>
      </c>
      <c r="B596" t="s">
        <v>215</v>
      </c>
      <c r="C596" t="s">
        <v>58</v>
      </c>
      <c r="D596" t="s">
        <v>925</v>
      </c>
      <c r="E596" t="s">
        <v>18</v>
      </c>
      <c r="F596" t="s">
        <v>112</v>
      </c>
      <c r="G596" t="s">
        <v>71</v>
      </c>
      <c r="H596" t="s">
        <v>21</v>
      </c>
      <c r="I596">
        <v>8250</v>
      </c>
      <c r="J596">
        <v>10725</v>
      </c>
      <c r="K596">
        <v>1</v>
      </c>
      <c r="L596">
        <v>8250</v>
      </c>
      <c r="M596">
        <v>10725</v>
      </c>
      <c r="N596" t="s">
        <v>50</v>
      </c>
      <c r="O596">
        <f t="shared" si="18"/>
        <v>9750</v>
      </c>
      <c r="P596" s="13">
        <f t="shared" si="19"/>
        <v>2629211</v>
      </c>
      <c r="Q596" s="13">
        <f>SUMIFS(M:M,E:E,Online_eCommerce[[#This Row],[Status]])</f>
        <v>28340455</v>
      </c>
      <c r="R596" s="13">
        <f>SUMIFS(L:L,H:H,Online_eCommerce[[#This Row],[Brand]])</f>
        <v>12435650</v>
      </c>
      <c r="S596" s="13">
        <f>SUMIF(H:H,Online_eCommerce[[#This Row],[Brand]],M:M)</f>
        <v>16166345</v>
      </c>
      <c r="T596" s="13">
        <f>SUMIF(N:N,Online_eCommerce[[#This Row],[Assigned Supervisor]],L:L)</f>
        <v>12100590</v>
      </c>
    </row>
    <row r="597" spans="1:20" hidden="1" x14ac:dyDescent="0.3">
      <c r="A597" t="s">
        <v>989</v>
      </c>
      <c r="B597" t="s">
        <v>215</v>
      </c>
      <c r="C597" t="s">
        <v>63</v>
      </c>
      <c r="D597" t="s">
        <v>925</v>
      </c>
      <c r="E597" t="s">
        <v>161</v>
      </c>
      <c r="F597" t="s">
        <v>632</v>
      </c>
      <c r="G597" t="s">
        <v>40</v>
      </c>
      <c r="H597" t="s">
        <v>21</v>
      </c>
      <c r="I597">
        <v>2650</v>
      </c>
      <c r="J597">
        <v>3445</v>
      </c>
      <c r="K597">
        <v>1</v>
      </c>
      <c r="L597">
        <v>2650</v>
      </c>
      <c r="M597">
        <v>3445</v>
      </c>
      <c r="N597" t="s">
        <v>56</v>
      </c>
      <c r="O597">
        <f t="shared" si="18"/>
        <v>25545</v>
      </c>
      <c r="P597" s="13">
        <f t="shared" si="19"/>
        <v>2016131</v>
      </c>
      <c r="Q597" s="13">
        <f>SUMIFS(M:M,E:E,Online_eCommerce[[#This Row],[Status]])</f>
        <v>21103186</v>
      </c>
      <c r="R597" s="13">
        <f>SUMIFS(L:L,H:H,Online_eCommerce[[#This Row],[Brand]])</f>
        <v>12435650</v>
      </c>
      <c r="S597" s="13">
        <f>SUMIF(H:H,Online_eCommerce[[#This Row],[Brand]],M:M)</f>
        <v>16166345</v>
      </c>
      <c r="T597" s="13">
        <f>SUMIF(N:N,Online_eCommerce[[#This Row],[Assigned Supervisor]],L:L)</f>
        <v>11733610</v>
      </c>
    </row>
    <row r="598" spans="1:20" x14ac:dyDescent="0.3">
      <c r="A598" t="s">
        <v>990</v>
      </c>
      <c r="B598" t="s">
        <v>215</v>
      </c>
      <c r="C598" t="s">
        <v>68</v>
      </c>
      <c r="D598" t="s">
        <v>925</v>
      </c>
      <c r="E598" t="s">
        <v>46</v>
      </c>
      <c r="F598" t="s">
        <v>121</v>
      </c>
      <c r="G598" t="s">
        <v>71</v>
      </c>
      <c r="H598" t="s">
        <v>122</v>
      </c>
      <c r="I598">
        <v>12550</v>
      </c>
      <c r="J598">
        <v>16315</v>
      </c>
      <c r="K598">
        <v>1</v>
      </c>
      <c r="L598">
        <v>12550</v>
      </c>
      <c r="M598">
        <v>16315</v>
      </c>
      <c r="N598" t="s">
        <v>22</v>
      </c>
      <c r="O598">
        <f t="shared" si="18"/>
        <v>9750</v>
      </c>
      <c r="P598" s="13">
        <f t="shared" si="19"/>
        <v>2974621</v>
      </c>
      <c r="Q598" s="13">
        <f>SUMIFS(M:M,E:E,Online_eCommerce[[#This Row],[Status]])</f>
        <v>28620410</v>
      </c>
      <c r="R598" s="13">
        <f>SUMIFS(L:L,H:H,Online_eCommerce[[#This Row],[Brand]])</f>
        <v>5045100</v>
      </c>
      <c r="S598" s="13">
        <f>SUMIF(H:H,Online_eCommerce[[#This Row],[Brand]],M:M)</f>
        <v>6558630</v>
      </c>
      <c r="T598" s="13">
        <f>SUMIF(N:N,Online_eCommerce[[#This Row],[Assigned Supervisor]],L:L)</f>
        <v>13693220</v>
      </c>
    </row>
    <row r="599" spans="1:20" hidden="1" x14ac:dyDescent="0.3">
      <c r="A599" t="s">
        <v>991</v>
      </c>
      <c r="B599" t="s">
        <v>215</v>
      </c>
      <c r="C599" t="s">
        <v>74</v>
      </c>
      <c r="D599" t="s">
        <v>925</v>
      </c>
      <c r="E599" t="s">
        <v>96</v>
      </c>
      <c r="F599" t="s">
        <v>126</v>
      </c>
      <c r="G599" t="s">
        <v>26</v>
      </c>
      <c r="H599" t="s">
        <v>27</v>
      </c>
      <c r="I599">
        <v>14500</v>
      </c>
      <c r="J599">
        <v>18850</v>
      </c>
      <c r="K599">
        <v>2</v>
      </c>
      <c r="L599">
        <v>29000</v>
      </c>
      <c r="M599">
        <v>37700</v>
      </c>
      <c r="N599" t="s">
        <v>28</v>
      </c>
      <c r="O599">
        <f t="shared" si="18"/>
        <v>33150</v>
      </c>
      <c r="P599" s="13">
        <f t="shared" si="19"/>
        <v>2144701</v>
      </c>
      <c r="Q599" s="13">
        <f>SUMIFS(M:M,E:E,Online_eCommerce[[#This Row],[Status]])</f>
        <v>21233992</v>
      </c>
      <c r="R599" s="13">
        <f>SUMIFS(L:L,H:H,Online_eCommerce[[#This Row],[Brand]])</f>
        <v>14431000</v>
      </c>
      <c r="S599" s="13">
        <f>SUMIF(H:H,Online_eCommerce[[#This Row],[Brand]],M:M)</f>
        <v>18760300</v>
      </c>
      <c r="T599" s="13">
        <f>SUMIF(N:N,Online_eCommerce[[#This Row],[Assigned Supervisor]],L:L)</f>
        <v>12220830</v>
      </c>
    </row>
    <row r="600" spans="1:20" hidden="1" x14ac:dyDescent="0.3">
      <c r="A600" t="s">
        <v>992</v>
      </c>
      <c r="B600" t="s">
        <v>215</v>
      </c>
      <c r="C600" t="s">
        <v>81</v>
      </c>
      <c r="D600" t="s">
        <v>925</v>
      </c>
      <c r="E600" t="s">
        <v>18</v>
      </c>
      <c r="F600" t="s">
        <v>129</v>
      </c>
      <c r="G600" t="s">
        <v>60</v>
      </c>
      <c r="H600" t="s">
        <v>61</v>
      </c>
      <c r="I600">
        <v>800</v>
      </c>
      <c r="J600">
        <v>1040</v>
      </c>
      <c r="K600">
        <v>2</v>
      </c>
      <c r="L600">
        <v>1600</v>
      </c>
      <c r="M600">
        <v>2080</v>
      </c>
      <c r="N600" t="s">
        <v>35</v>
      </c>
      <c r="O600">
        <f t="shared" si="18"/>
        <v>3315</v>
      </c>
      <c r="P600" s="13">
        <f t="shared" si="19"/>
        <v>2595632</v>
      </c>
      <c r="Q600" s="13">
        <f>SUMIFS(M:M,E:E,Online_eCommerce[[#This Row],[Status]])</f>
        <v>28340455</v>
      </c>
      <c r="R600" s="13">
        <f>SUMIFS(L:L,H:H,Online_eCommerce[[#This Row],[Brand]])</f>
        <v>10950150</v>
      </c>
      <c r="S600" s="13">
        <f>SUMIF(H:H,Online_eCommerce[[#This Row],[Brand]],M:M)</f>
        <v>14235195</v>
      </c>
      <c r="T600" s="13">
        <f>SUMIF(N:N,Online_eCommerce[[#This Row],[Assigned Supervisor]],L:L)</f>
        <v>14373360</v>
      </c>
    </row>
    <row r="601" spans="1:20" hidden="1" x14ac:dyDescent="0.3">
      <c r="A601" t="s">
        <v>993</v>
      </c>
      <c r="B601" t="s">
        <v>215</v>
      </c>
      <c r="C601" t="s">
        <v>86</v>
      </c>
      <c r="D601" t="s">
        <v>925</v>
      </c>
      <c r="E601" t="s">
        <v>161</v>
      </c>
      <c r="F601" t="s">
        <v>133</v>
      </c>
      <c r="G601" t="s">
        <v>66</v>
      </c>
      <c r="H601" t="s">
        <v>21</v>
      </c>
      <c r="I601">
        <v>600</v>
      </c>
      <c r="J601">
        <v>780</v>
      </c>
      <c r="K601">
        <v>4</v>
      </c>
      <c r="L601">
        <v>2400</v>
      </c>
      <c r="M601">
        <v>3120</v>
      </c>
      <c r="N601" t="s">
        <v>42</v>
      </c>
      <c r="O601">
        <f t="shared" si="18"/>
        <v>1690</v>
      </c>
      <c r="P601" s="13">
        <f t="shared" si="19"/>
        <v>1941225</v>
      </c>
      <c r="Q601" s="13">
        <f>SUMIFS(M:M,E:E,Online_eCommerce[[#This Row],[Status]])</f>
        <v>21103186</v>
      </c>
      <c r="R601" s="13">
        <f>SUMIFS(L:L,H:H,Online_eCommerce[[#This Row],[Brand]])</f>
        <v>12435650</v>
      </c>
      <c r="S601" s="13">
        <f>SUMIF(H:H,Online_eCommerce[[#This Row],[Brand]],M:M)</f>
        <v>16166345</v>
      </c>
      <c r="T601" s="13">
        <f>SUMIF(N:N,Online_eCommerce[[#This Row],[Assigned Supervisor]],L:L)</f>
        <v>12261500</v>
      </c>
    </row>
    <row r="602" spans="1:20" x14ac:dyDescent="0.3">
      <c r="A602" t="s">
        <v>994</v>
      </c>
      <c r="B602" t="s">
        <v>215</v>
      </c>
      <c r="C602" t="s">
        <v>91</v>
      </c>
      <c r="D602" t="s">
        <v>925</v>
      </c>
      <c r="E602" t="s">
        <v>46</v>
      </c>
      <c r="F602" t="s">
        <v>137</v>
      </c>
      <c r="G602" t="s">
        <v>71</v>
      </c>
      <c r="H602" t="s">
        <v>61</v>
      </c>
      <c r="I602">
        <v>10500</v>
      </c>
      <c r="J602">
        <v>13650</v>
      </c>
      <c r="K602">
        <v>2</v>
      </c>
      <c r="L602">
        <v>21000</v>
      </c>
      <c r="M602">
        <v>27300</v>
      </c>
      <c r="N602" t="s">
        <v>50</v>
      </c>
      <c r="O602">
        <f t="shared" si="18"/>
        <v>9750</v>
      </c>
      <c r="P602" s="13">
        <f t="shared" si="19"/>
        <v>2731963</v>
      </c>
      <c r="Q602" s="13">
        <f>SUMIFS(M:M,E:E,Online_eCommerce[[#This Row],[Status]])</f>
        <v>28620410</v>
      </c>
      <c r="R602" s="13">
        <f>SUMIFS(L:L,H:H,Online_eCommerce[[#This Row],[Brand]])</f>
        <v>10950150</v>
      </c>
      <c r="S602" s="13">
        <f>SUMIF(H:H,Online_eCommerce[[#This Row],[Brand]],M:M)</f>
        <v>14235195</v>
      </c>
      <c r="T602" s="13">
        <f>SUMIF(N:N,Online_eCommerce[[#This Row],[Assigned Supervisor]],L:L)</f>
        <v>12100590</v>
      </c>
    </row>
    <row r="603" spans="1:20" hidden="1" x14ac:dyDescent="0.3">
      <c r="A603" t="s">
        <v>995</v>
      </c>
      <c r="B603" t="s">
        <v>215</v>
      </c>
      <c r="C603" t="s">
        <v>94</v>
      </c>
      <c r="D603" t="s">
        <v>925</v>
      </c>
      <c r="E603" t="s">
        <v>96</v>
      </c>
      <c r="F603" t="s">
        <v>966</v>
      </c>
      <c r="G603" t="s">
        <v>77</v>
      </c>
      <c r="H603" t="s">
        <v>142</v>
      </c>
      <c r="I603">
        <v>6500</v>
      </c>
      <c r="J603">
        <v>8450</v>
      </c>
      <c r="K603">
        <v>2</v>
      </c>
      <c r="L603">
        <v>13000</v>
      </c>
      <c r="M603">
        <v>16900</v>
      </c>
      <c r="N603" t="s">
        <v>56</v>
      </c>
      <c r="O603">
        <f t="shared" si="18"/>
        <v>39000</v>
      </c>
      <c r="P603" s="13">
        <f t="shared" si="19"/>
        <v>1868256</v>
      </c>
      <c r="Q603" s="13">
        <f>SUMIFS(M:M,E:E,Online_eCommerce[[#This Row],[Status]])</f>
        <v>21233992</v>
      </c>
      <c r="R603" s="13">
        <f>SUMIFS(L:L,H:H,Online_eCommerce[[#This Row],[Brand]])</f>
        <v>6192500</v>
      </c>
      <c r="S603" s="13">
        <f>SUMIF(H:H,Online_eCommerce[[#This Row],[Brand]],M:M)</f>
        <v>8050250</v>
      </c>
      <c r="T603" s="13">
        <f>SUMIF(N:N,Online_eCommerce[[#This Row],[Assigned Supervisor]],L:L)</f>
        <v>11733610</v>
      </c>
    </row>
    <row r="604" spans="1:20" hidden="1" x14ac:dyDescent="0.3">
      <c r="A604" t="s">
        <v>996</v>
      </c>
      <c r="B604" t="s">
        <v>215</v>
      </c>
      <c r="C604" t="s">
        <v>99</v>
      </c>
      <c r="D604" t="s">
        <v>925</v>
      </c>
      <c r="E604" t="s">
        <v>18</v>
      </c>
      <c r="F604" t="s">
        <v>997</v>
      </c>
      <c r="G604" t="s">
        <v>20</v>
      </c>
      <c r="H604" t="s">
        <v>21</v>
      </c>
      <c r="I604">
        <v>4500</v>
      </c>
      <c r="J604">
        <v>5850</v>
      </c>
      <c r="K604">
        <v>3</v>
      </c>
      <c r="L604">
        <v>13500</v>
      </c>
      <c r="M604">
        <v>17550</v>
      </c>
      <c r="N604" t="s">
        <v>22</v>
      </c>
      <c r="O604">
        <f t="shared" si="18"/>
        <v>8450</v>
      </c>
      <c r="P604" s="13">
        <f t="shared" si="19"/>
        <v>2651233</v>
      </c>
      <c r="Q604" s="13">
        <f>SUMIFS(M:M,E:E,Online_eCommerce[[#This Row],[Status]])</f>
        <v>28340455</v>
      </c>
      <c r="R604" s="13">
        <f>SUMIFS(L:L,H:H,Online_eCommerce[[#This Row],[Brand]])</f>
        <v>12435650</v>
      </c>
      <c r="S604" s="13">
        <f>SUMIF(H:H,Online_eCommerce[[#This Row],[Brand]],M:M)</f>
        <v>16166345</v>
      </c>
      <c r="T604" s="13">
        <f>SUMIF(N:N,Online_eCommerce[[#This Row],[Assigned Supervisor]],L:L)</f>
        <v>13693220</v>
      </c>
    </row>
    <row r="605" spans="1:20" hidden="1" x14ac:dyDescent="0.3">
      <c r="A605" t="s">
        <v>998</v>
      </c>
      <c r="B605" t="s">
        <v>215</v>
      </c>
      <c r="C605" t="s">
        <v>105</v>
      </c>
      <c r="D605" t="s">
        <v>925</v>
      </c>
      <c r="E605" t="s">
        <v>161</v>
      </c>
      <c r="F605" t="s">
        <v>152</v>
      </c>
      <c r="G605" t="s">
        <v>26</v>
      </c>
      <c r="H605" t="s">
        <v>27</v>
      </c>
      <c r="I605">
        <v>8500</v>
      </c>
      <c r="J605">
        <v>11050</v>
      </c>
      <c r="K605">
        <v>1</v>
      </c>
      <c r="L605">
        <v>8500</v>
      </c>
      <c r="M605">
        <v>11050</v>
      </c>
      <c r="N605" t="s">
        <v>28</v>
      </c>
      <c r="O605">
        <f t="shared" si="18"/>
        <v>33150</v>
      </c>
      <c r="P605" s="13">
        <f t="shared" si="19"/>
        <v>1866852</v>
      </c>
      <c r="Q605" s="13">
        <f>SUMIFS(M:M,E:E,Online_eCommerce[[#This Row],[Status]])</f>
        <v>21103186</v>
      </c>
      <c r="R605" s="13">
        <f>SUMIFS(L:L,H:H,Online_eCommerce[[#This Row],[Brand]])</f>
        <v>14431000</v>
      </c>
      <c r="S605" s="13">
        <f>SUMIF(H:H,Online_eCommerce[[#This Row],[Brand]],M:M)</f>
        <v>18760300</v>
      </c>
      <c r="T605" s="13">
        <f>SUMIF(N:N,Online_eCommerce[[#This Row],[Assigned Supervisor]],L:L)</f>
        <v>12220830</v>
      </c>
    </row>
    <row r="606" spans="1:20" x14ac:dyDescent="0.3">
      <c r="A606" t="s">
        <v>999</v>
      </c>
      <c r="B606" t="s">
        <v>215</v>
      </c>
      <c r="C606" t="s">
        <v>110</v>
      </c>
      <c r="D606" t="s">
        <v>925</v>
      </c>
      <c r="E606" t="s">
        <v>46</v>
      </c>
      <c r="F606" t="s">
        <v>157</v>
      </c>
      <c r="G606" t="s">
        <v>33</v>
      </c>
      <c r="H606" t="s">
        <v>34</v>
      </c>
      <c r="I606">
        <v>12500</v>
      </c>
      <c r="J606">
        <v>16250</v>
      </c>
      <c r="K606">
        <v>1</v>
      </c>
      <c r="L606">
        <v>12500</v>
      </c>
      <c r="M606">
        <v>16250</v>
      </c>
      <c r="N606" t="s">
        <v>35</v>
      </c>
      <c r="O606">
        <f t="shared" si="18"/>
        <v>18200</v>
      </c>
      <c r="P606" s="13">
        <f t="shared" si="19"/>
        <v>2598635</v>
      </c>
      <c r="Q606" s="13">
        <f>SUMIFS(M:M,E:E,Online_eCommerce[[#This Row],[Status]])</f>
        <v>28620410</v>
      </c>
      <c r="R606" s="13">
        <f>SUMIFS(L:L,H:H,Online_eCommerce[[#This Row],[Brand]])</f>
        <v>10087000</v>
      </c>
      <c r="S606" s="13">
        <f>SUMIF(H:H,Online_eCommerce[[#This Row],[Brand]],M:M)</f>
        <v>13113100</v>
      </c>
      <c r="T606" s="13">
        <f>SUMIF(N:N,Online_eCommerce[[#This Row],[Assigned Supervisor]],L:L)</f>
        <v>14373360</v>
      </c>
    </row>
    <row r="607" spans="1:20" hidden="1" x14ac:dyDescent="0.3">
      <c r="A607" t="s">
        <v>1000</v>
      </c>
      <c r="B607" t="s">
        <v>215</v>
      </c>
      <c r="C607" t="s">
        <v>115</v>
      </c>
      <c r="D607" t="s">
        <v>925</v>
      </c>
      <c r="E607" t="s">
        <v>96</v>
      </c>
      <c r="F607" t="s">
        <v>675</v>
      </c>
      <c r="G607" t="s">
        <v>40</v>
      </c>
      <c r="H607" t="s">
        <v>41</v>
      </c>
      <c r="I607">
        <v>3500</v>
      </c>
      <c r="J607">
        <v>4550</v>
      </c>
      <c r="K607">
        <v>3</v>
      </c>
      <c r="L607">
        <v>10500</v>
      </c>
      <c r="M607">
        <v>13650</v>
      </c>
      <c r="N607" t="s">
        <v>42</v>
      </c>
      <c r="O607">
        <f t="shared" si="18"/>
        <v>25545</v>
      </c>
      <c r="P607" s="13">
        <f t="shared" si="19"/>
        <v>2050178</v>
      </c>
      <c r="Q607" s="13">
        <f>SUMIFS(M:M,E:E,Online_eCommerce[[#This Row],[Status]])</f>
        <v>21233992</v>
      </c>
      <c r="R607" s="13">
        <f>SUMIFS(L:L,H:H,Online_eCommerce[[#This Row],[Brand]])</f>
        <v>4260400</v>
      </c>
      <c r="S607" s="13">
        <f>SUMIF(H:H,Online_eCommerce[[#This Row],[Brand]],M:M)</f>
        <v>5538520</v>
      </c>
      <c r="T607" s="13">
        <f>SUMIF(N:N,Online_eCommerce[[#This Row],[Assigned Supervisor]],L:L)</f>
        <v>12261500</v>
      </c>
    </row>
    <row r="608" spans="1:20" hidden="1" x14ac:dyDescent="0.3">
      <c r="A608" t="s">
        <v>1001</v>
      </c>
      <c r="B608" t="s">
        <v>215</v>
      </c>
      <c r="C608" t="s">
        <v>120</v>
      </c>
      <c r="D608" t="s">
        <v>925</v>
      </c>
      <c r="E608" t="s">
        <v>18</v>
      </c>
      <c r="F608" t="s">
        <v>166</v>
      </c>
      <c r="G608" t="s">
        <v>334</v>
      </c>
      <c r="H608" t="s">
        <v>49</v>
      </c>
      <c r="I608">
        <v>4500</v>
      </c>
      <c r="J608">
        <v>5850</v>
      </c>
      <c r="K608">
        <v>1</v>
      </c>
      <c r="L608">
        <v>4500</v>
      </c>
      <c r="M608">
        <v>5850</v>
      </c>
      <c r="N608" t="s">
        <v>50</v>
      </c>
      <c r="O608">
        <f t="shared" si="18"/>
        <v>39780</v>
      </c>
      <c r="P608" s="13">
        <f t="shared" si="19"/>
        <v>2734212</v>
      </c>
      <c r="Q608" s="13">
        <f>SUMIFS(M:M,E:E,Online_eCommerce[[#This Row],[Status]])</f>
        <v>28340455</v>
      </c>
      <c r="R608" s="13">
        <f>SUMIFS(L:L,H:H,Online_eCommerce[[#This Row],[Brand]])</f>
        <v>4528350</v>
      </c>
      <c r="S608" s="13">
        <f>SUMIF(H:H,Online_eCommerce[[#This Row],[Brand]],M:M)</f>
        <v>5886855</v>
      </c>
      <c r="T608" s="13">
        <f>SUMIF(N:N,Online_eCommerce[[#This Row],[Assigned Supervisor]],L:L)</f>
        <v>12100590</v>
      </c>
    </row>
    <row r="609" spans="1:20" hidden="1" x14ac:dyDescent="0.3">
      <c r="A609" t="s">
        <v>1002</v>
      </c>
      <c r="B609" t="s">
        <v>215</v>
      </c>
      <c r="C609" t="s">
        <v>125</v>
      </c>
      <c r="D609" t="s">
        <v>925</v>
      </c>
      <c r="E609" t="s">
        <v>161</v>
      </c>
      <c r="F609" t="s">
        <v>1003</v>
      </c>
      <c r="G609" t="s">
        <v>54</v>
      </c>
      <c r="H609" t="s">
        <v>55</v>
      </c>
      <c r="I609">
        <v>2100</v>
      </c>
      <c r="J609">
        <v>2730</v>
      </c>
      <c r="K609">
        <v>1</v>
      </c>
      <c r="L609">
        <v>2100</v>
      </c>
      <c r="M609">
        <v>2730</v>
      </c>
      <c r="N609" t="s">
        <v>56</v>
      </c>
      <c r="O609">
        <f t="shared" si="18"/>
        <v>2990</v>
      </c>
      <c r="P609" s="13">
        <f t="shared" si="19"/>
        <v>2091154</v>
      </c>
      <c r="Q609" s="13">
        <f>SUMIFS(M:M,E:E,Online_eCommerce[[#This Row],[Status]])</f>
        <v>21103186</v>
      </c>
      <c r="R609" s="13">
        <f>SUMIFS(L:L,H:H,Online_eCommerce[[#This Row],[Brand]])</f>
        <v>2267380</v>
      </c>
      <c r="S609" s="13">
        <f>SUMIF(H:H,Online_eCommerce[[#This Row],[Brand]],M:M)</f>
        <v>2947594</v>
      </c>
      <c r="T609" s="13">
        <f>SUMIF(N:N,Online_eCommerce[[#This Row],[Assigned Supervisor]],L:L)</f>
        <v>11733610</v>
      </c>
    </row>
    <row r="610" spans="1:20" x14ac:dyDescent="0.3">
      <c r="A610" t="s">
        <v>1004</v>
      </c>
      <c r="B610" t="s">
        <v>215</v>
      </c>
      <c r="C610" t="s">
        <v>22</v>
      </c>
      <c r="D610" t="s">
        <v>925</v>
      </c>
      <c r="E610" t="s">
        <v>46</v>
      </c>
      <c r="F610" t="s">
        <v>174</v>
      </c>
      <c r="G610" t="s">
        <v>60</v>
      </c>
      <c r="H610" t="s">
        <v>61</v>
      </c>
      <c r="I610">
        <v>1150</v>
      </c>
      <c r="J610">
        <v>1495</v>
      </c>
      <c r="K610">
        <v>4</v>
      </c>
      <c r="L610">
        <v>4600</v>
      </c>
      <c r="M610">
        <v>5980</v>
      </c>
      <c r="N610" t="s">
        <v>22</v>
      </c>
      <c r="O610">
        <f t="shared" si="18"/>
        <v>3315</v>
      </c>
      <c r="P610" s="13">
        <f t="shared" si="19"/>
        <v>2551588</v>
      </c>
      <c r="Q610" s="13">
        <f>SUMIFS(M:M,E:E,Online_eCommerce[[#This Row],[Status]])</f>
        <v>28620410</v>
      </c>
      <c r="R610" s="13">
        <f>SUMIFS(L:L,H:H,Online_eCommerce[[#This Row],[Brand]])</f>
        <v>10950150</v>
      </c>
      <c r="S610" s="13">
        <f>SUMIF(H:H,Online_eCommerce[[#This Row],[Brand]],M:M)</f>
        <v>14235195</v>
      </c>
      <c r="T610" s="13">
        <f>SUMIF(N:N,Online_eCommerce[[#This Row],[Assigned Supervisor]],L:L)</f>
        <v>13693220</v>
      </c>
    </row>
    <row r="611" spans="1:20" hidden="1" x14ac:dyDescent="0.3">
      <c r="A611" t="s">
        <v>1005</v>
      </c>
      <c r="B611" t="s">
        <v>215</v>
      </c>
      <c r="C611" t="s">
        <v>132</v>
      </c>
      <c r="D611" t="s">
        <v>925</v>
      </c>
      <c r="E611" t="s">
        <v>96</v>
      </c>
      <c r="F611" t="s">
        <v>179</v>
      </c>
      <c r="G611" t="s">
        <v>66</v>
      </c>
      <c r="H611" t="s">
        <v>21</v>
      </c>
      <c r="I611">
        <v>350</v>
      </c>
      <c r="J611">
        <v>455</v>
      </c>
      <c r="K611">
        <v>3</v>
      </c>
      <c r="L611">
        <v>1050</v>
      </c>
      <c r="M611">
        <v>1365</v>
      </c>
      <c r="N611" t="s">
        <v>28</v>
      </c>
      <c r="O611">
        <f t="shared" si="18"/>
        <v>1690</v>
      </c>
      <c r="P611" s="13">
        <f t="shared" si="19"/>
        <v>1989065</v>
      </c>
      <c r="Q611" s="13">
        <f>SUMIFS(M:M,E:E,Online_eCommerce[[#This Row],[Status]])</f>
        <v>21233992</v>
      </c>
      <c r="R611" s="13">
        <f>SUMIFS(L:L,H:H,Online_eCommerce[[#This Row],[Brand]])</f>
        <v>12435650</v>
      </c>
      <c r="S611" s="13">
        <f>SUMIF(H:H,Online_eCommerce[[#This Row],[Brand]],M:M)</f>
        <v>16166345</v>
      </c>
      <c r="T611" s="13">
        <f>SUMIF(N:N,Online_eCommerce[[#This Row],[Assigned Supervisor]],L:L)</f>
        <v>12220830</v>
      </c>
    </row>
    <row r="612" spans="1:20" hidden="1" x14ac:dyDescent="0.3">
      <c r="A612" t="s">
        <v>1006</v>
      </c>
      <c r="B612" t="s">
        <v>215</v>
      </c>
      <c r="C612" t="s">
        <v>136</v>
      </c>
      <c r="D612" t="s">
        <v>925</v>
      </c>
      <c r="E612" t="s">
        <v>18</v>
      </c>
      <c r="F612" t="s">
        <v>183</v>
      </c>
      <c r="G612" t="s">
        <v>71</v>
      </c>
      <c r="H612" t="s">
        <v>61</v>
      </c>
      <c r="I612">
        <v>9500</v>
      </c>
      <c r="J612">
        <v>12350</v>
      </c>
      <c r="K612">
        <v>1</v>
      </c>
      <c r="L612">
        <v>9500</v>
      </c>
      <c r="M612">
        <v>12350</v>
      </c>
      <c r="N612" t="s">
        <v>35</v>
      </c>
      <c r="O612">
        <f t="shared" si="18"/>
        <v>9750</v>
      </c>
      <c r="P612" s="13">
        <f t="shared" si="19"/>
        <v>2775162</v>
      </c>
      <c r="Q612" s="13">
        <f>SUMIFS(M:M,E:E,Online_eCommerce[[#This Row],[Status]])</f>
        <v>28340455</v>
      </c>
      <c r="R612" s="13">
        <f>SUMIFS(L:L,H:H,Online_eCommerce[[#This Row],[Brand]])</f>
        <v>10950150</v>
      </c>
      <c r="S612" s="13">
        <f>SUMIF(H:H,Online_eCommerce[[#This Row],[Brand]],M:M)</f>
        <v>14235195</v>
      </c>
      <c r="T612" s="13">
        <f>SUMIF(N:N,Online_eCommerce[[#This Row],[Assigned Supervisor]],L:L)</f>
        <v>14373360</v>
      </c>
    </row>
    <row r="613" spans="1:20" hidden="1" x14ac:dyDescent="0.3">
      <c r="A613" t="s">
        <v>1007</v>
      </c>
      <c r="B613" t="s">
        <v>215</v>
      </c>
      <c r="C613" t="s">
        <v>140</v>
      </c>
      <c r="D613" t="s">
        <v>925</v>
      </c>
      <c r="E613" t="s">
        <v>161</v>
      </c>
      <c r="F613" t="s">
        <v>1008</v>
      </c>
      <c r="G613" t="s">
        <v>77</v>
      </c>
      <c r="H613" t="s">
        <v>142</v>
      </c>
      <c r="I613">
        <v>10000</v>
      </c>
      <c r="J613">
        <v>13000</v>
      </c>
      <c r="K613">
        <v>3</v>
      </c>
      <c r="L613">
        <v>30000</v>
      </c>
      <c r="M613">
        <v>39000</v>
      </c>
      <c r="N613" t="s">
        <v>42</v>
      </c>
      <c r="O613">
        <f t="shared" si="18"/>
        <v>39000</v>
      </c>
      <c r="P613" s="13">
        <f t="shared" si="19"/>
        <v>2058264</v>
      </c>
      <c r="Q613" s="13">
        <f>SUMIFS(M:M,E:E,Online_eCommerce[[#This Row],[Status]])</f>
        <v>21103186</v>
      </c>
      <c r="R613" s="13">
        <f>SUMIFS(L:L,H:H,Online_eCommerce[[#This Row],[Brand]])</f>
        <v>6192500</v>
      </c>
      <c r="S613" s="13">
        <f>SUMIF(H:H,Online_eCommerce[[#This Row],[Brand]],M:M)</f>
        <v>8050250</v>
      </c>
      <c r="T613" s="13">
        <f>SUMIF(N:N,Online_eCommerce[[#This Row],[Assigned Supervisor]],L:L)</f>
        <v>12261500</v>
      </c>
    </row>
    <row r="614" spans="1:20" x14ac:dyDescent="0.3">
      <c r="A614" t="s">
        <v>1009</v>
      </c>
      <c r="B614" t="s">
        <v>215</v>
      </c>
      <c r="C614" t="s">
        <v>145</v>
      </c>
      <c r="D614" t="s">
        <v>925</v>
      </c>
      <c r="E614" t="s">
        <v>46</v>
      </c>
      <c r="F614" t="s">
        <v>1010</v>
      </c>
      <c r="G614" t="s">
        <v>20</v>
      </c>
      <c r="H614" t="s">
        <v>21</v>
      </c>
      <c r="I614">
        <v>6500</v>
      </c>
      <c r="J614">
        <v>8450</v>
      </c>
      <c r="K614">
        <v>2</v>
      </c>
      <c r="L614">
        <v>13000</v>
      </c>
      <c r="M614">
        <v>16900</v>
      </c>
      <c r="N614" t="s">
        <v>50</v>
      </c>
      <c r="O614">
        <f t="shared" si="18"/>
        <v>8450</v>
      </c>
      <c r="P614" s="13">
        <f t="shared" si="19"/>
        <v>2757859</v>
      </c>
      <c r="Q614" s="13">
        <f>SUMIFS(M:M,E:E,Online_eCommerce[[#This Row],[Status]])</f>
        <v>28620410</v>
      </c>
      <c r="R614" s="13">
        <f>SUMIFS(L:L,H:H,Online_eCommerce[[#This Row],[Brand]])</f>
        <v>12435650</v>
      </c>
      <c r="S614" s="13">
        <f>SUMIF(H:H,Online_eCommerce[[#This Row],[Brand]],M:M)</f>
        <v>16166345</v>
      </c>
      <c r="T614" s="13">
        <f>SUMIF(N:N,Online_eCommerce[[#This Row],[Assigned Supervisor]],L:L)</f>
        <v>12100590</v>
      </c>
    </row>
    <row r="615" spans="1:20" hidden="1" x14ac:dyDescent="0.3">
      <c r="A615" t="s">
        <v>1011</v>
      </c>
      <c r="B615" t="s">
        <v>215</v>
      </c>
      <c r="C615" t="s">
        <v>150</v>
      </c>
      <c r="D615" t="s">
        <v>925</v>
      </c>
      <c r="E615" t="s">
        <v>96</v>
      </c>
      <c r="F615" t="s">
        <v>1012</v>
      </c>
      <c r="G615" t="s">
        <v>26</v>
      </c>
      <c r="H615" t="s">
        <v>27</v>
      </c>
      <c r="I615">
        <v>8500</v>
      </c>
      <c r="J615">
        <v>11050</v>
      </c>
      <c r="K615">
        <v>2</v>
      </c>
      <c r="L615">
        <v>17000</v>
      </c>
      <c r="M615">
        <v>22100</v>
      </c>
      <c r="N615" t="s">
        <v>56</v>
      </c>
      <c r="O615">
        <f t="shared" si="18"/>
        <v>33150</v>
      </c>
      <c r="P615" s="13">
        <f t="shared" si="19"/>
        <v>2154984</v>
      </c>
      <c r="Q615" s="13">
        <f>SUMIFS(M:M,E:E,Online_eCommerce[[#This Row],[Status]])</f>
        <v>21233992</v>
      </c>
      <c r="R615" s="13">
        <f>SUMIFS(L:L,H:H,Online_eCommerce[[#This Row],[Brand]])</f>
        <v>14431000</v>
      </c>
      <c r="S615" s="13">
        <f>SUMIF(H:H,Online_eCommerce[[#This Row],[Brand]],M:M)</f>
        <v>18760300</v>
      </c>
      <c r="T615" s="13">
        <f>SUMIF(N:N,Online_eCommerce[[#This Row],[Assigned Supervisor]],L:L)</f>
        <v>11733610</v>
      </c>
    </row>
    <row r="616" spans="1:20" hidden="1" x14ac:dyDescent="0.3">
      <c r="A616" t="s">
        <v>1013</v>
      </c>
      <c r="B616" t="s">
        <v>215</v>
      </c>
      <c r="C616" t="s">
        <v>155</v>
      </c>
      <c r="D616" t="s">
        <v>925</v>
      </c>
      <c r="E616" t="s">
        <v>18</v>
      </c>
      <c r="F616" t="s">
        <v>32</v>
      </c>
      <c r="G616" t="s">
        <v>33</v>
      </c>
      <c r="H616" t="s">
        <v>34</v>
      </c>
      <c r="I616">
        <v>7000</v>
      </c>
      <c r="J616">
        <v>9100</v>
      </c>
      <c r="K616">
        <v>2</v>
      </c>
      <c r="L616">
        <v>14000</v>
      </c>
      <c r="M616">
        <v>18200</v>
      </c>
      <c r="N616" t="s">
        <v>22</v>
      </c>
      <c r="O616">
        <f t="shared" si="18"/>
        <v>18200</v>
      </c>
      <c r="P616" s="13">
        <f t="shared" si="19"/>
        <v>2753348</v>
      </c>
      <c r="Q616" s="13">
        <f>SUMIFS(M:M,E:E,Online_eCommerce[[#This Row],[Status]])</f>
        <v>28340455</v>
      </c>
      <c r="R616" s="13">
        <f>SUMIFS(L:L,H:H,Online_eCommerce[[#This Row],[Brand]])</f>
        <v>10087000</v>
      </c>
      <c r="S616" s="13">
        <f>SUMIF(H:H,Online_eCommerce[[#This Row],[Brand]],M:M)</f>
        <v>13113100</v>
      </c>
      <c r="T616" s="13">
        <f>SUMIF(N:N,Online_eCommerce[[#This Row],[Assigned Supervisor]],L:L)</f>
        <v>13693220</v>
      </c>
    </row>
    <row r="617" spans="1:20" hidden="1" x14ac:dyDescent="0.3">
      <c r="A617" t="s">
        <v>1014</v>
      </c>
      <c r="B617" t="s">
        <v>215</v>
      </c>
      <c r="C617" t="s">
        <v>160</v>
      </c>
      <c r="D617" t="s">
        <v>925</v>
      </c>
      <c r="E617" t="s">
        <v>161</v>
      </c>
      <c r="F617" t="s">
        <v>1015</v>
      </c>
      <c r="G617" t="s">
        <v>40</v>
      </c>
      <c r="H617" t="s">
        <v>41</v>
      </c>
      <c r="I617">
        <v>6550</v>
      </c>
      <c r="J617">
        <v>8515</v>
      </c>
      <c r="K617">
        <v>2</v>
      </c>
      <c r="L617">
        <v>13100</v>
      </c>
      <c r="M617">
        <v>17030</v>
      </c>
      <c r="N617" t="s">
        <v>28</v>
      </c>
      <c r="O617">
        <f t="shared" si="18"/>
        <v>25545</v>
      </c>
      <c r="P617" s="13">
        <f t="shared" si="19"/>
        <v>2303483</v>
      </c>
      <c r="Q617" s="13">
        <f>SUMIFS(M:M,E:E,Online_eCommerce[[#This Row],[Status]])</f>
        <v>21103186</v>
      </c>
      <c r="R617" s="13">
        <f>SUMIFS(L:L,H:H,Online_eCommerce[[#This Row],[Brand]])</f>
        <v>4260400</v>
      </c>
      <c r="S617" s="13">
        <f>SUMIF(H:H,Online_eCommerce[[#This Row],[Brand]],M:M)</f>
        <v>5538520</v>
      </c>
      <c r="T617" s="13">
        <f>SUMIF(N:N,Online_eCommerce[[#This Row],[Assigned Supervisor]],L:L)</f>
        <v>12220830</v>
      </c>
    </row>
    <row r="618" spans="1:20" x14ac:dyDescent="0.3">
      <c r="A618" t="s">
        <v>1016</v>
      </c>
      <c r="B618" t="s">
        <v>215</v>
      </c>
      <c r="C618" t="s">
        <v>165</v>
      </c>
      <c r="D618" t="s">
        <v>925</v>
      </c>
      <c r="E618" t="s">
        <v>46</v>
      </c>
      <c r="F618" t="s">
        <v>47</v>
      </c>
      <c r="G618" t="s">
        <v>334</v>
      </c>
      <c r="H618" t="s">
        <v>49</v>
      </c>
      <c r="I618">
        <v>7650</v>
      </c>
      <c r="J618">
        <v>9945</v>
      </c>
      <c r="K618">
        <v>1</v>
      </c>
      <c r="L618">
        <v>7650</v>
      </c>
      <c r="M618">
        <v>9945</v>
      </c>
      <c r="N618" t="s">
        <v>35</v>
      </c>
      <c r="O618">
        <f t="shared" si="18"/>
        <v>39780</v>
      </c>
      <c r="P618" s="13">
        <f t="shared" si="19"/>
        <v>2674087</v>
      </c>
      <c r="Q618" s="13">
        <f>SUMIFS(M:M,E:E,Online_eCommerce[[#This Row],[Status]])</f>
        <v>28620410</v>
      </c>
      <c r="R618" s="13">
        <f>SUMIFS(L:L,H:H,Online_eCommerce[[#This Row],[Brand]])</f>
        <v>4528350</v>
      </c>
      <c r="S618" s="13">
        <f>SUMIF(H:H,Online_eCommerce[[#This Row],[Brand]],M:M)</f>
        <v>5886855</v>
      </c>
      <c r="T618" s="13">
        <f>SUMIF(N:N,Online_eCommerce[[#This Row],[Assigned Supervisor]],L:L)</f>
        <v>14373360</v>
      </c>
    </row>
    <row r="619" spans="1:20" hidden="1" x14ac:dyDescent="0.3">
      <c r="A619" t="s">
        <v>1017</v>
      </c>
      <c r="B619" t="s">
        <v>215</v>
      </c>
      <c r="C619" t="s">
        <v>168</v>
      </c>
      <c r="D619" t="s">
        <v>925</v>
      </c>
      <c r="E619" t="s">
        <v>96</v>
      </c>
      <c r="F619" t="s">
        <v>53</v>
      </c>
      <c r="G619" t="s">
        <v>54</v>
      </c>
      <c r="H619" t="s">
        <v>55</v>
      </c>
      <c r="I619">
        <v>1150</v>
      </c>
      <c r="J619">
        <v>1495</v>
      </c>
      <c r="K619">
        <v>2</v>
      </c>
      <c r="L619">
        <v>2300</v>
      </c>
      <c r="M619">
        <v>2990</v>
      </c>
      <c r="N619" t="s">
        <v>42</v>
      </c>
      <c r="O619">
        <f t="shared" si="18"/>
        <v>2990</v>
      </c>
      <c r="P619" s="13">
        <f t="shared" si="19"/>
        <v>1937780</v>
      </c>
      <c r="Q619" s="13">
        <f>SUMIFS(M:M,E:E,Online_eCommerce[[#This Row],[Status]])</f>
        <v>21233992</v>
      </c>
      <c r="R619" s="13">
        <f>SUMIFS(L:L,H:H,Online_eCommerce[[#This Row],[Brand]])</f>
        <v>2267380</v>
      </c>
      <c r="S619" s="13">
        <f>SUMIF(H:H,Online_eCommerce[[#This Row],[Brand]],M:M)</f>
        <v>2947594</v>
      </c>
      <c r="T619" s="13">
        <f>SUMIF(N:N,Online_eCommerce[[#This Row],[Assigned Supervisor]],L:L)</f>
        <v>12261500</v>
      </c>
    </row>
    <row r="620" spans="1:20" hidden="1" x14ac:dyDescent="0.3">
      <c r="A620" t="s">
        <v>1018</v>
      </c>
      <c r="B620" t="s">
        <v>215</v>
      </c>
      <c r="C620" t="s">
        <v>172</v>
      </c>
      <c r="D620" t="s">
        <v>925</v>
      </c>
      <c r="E620" t="s">
        <v>18</v>
      </c>
      <c r="F620" t="s">
        <v>59</v>
      </c>
      <c r="G620" t="s">
        <v>60</v>
      </c>
      <c r="H620" t="s">
        <v>61</v>
      </c>
      <c r="I620">
        <v>850</v>
      </c>
      <c r="J620">
        <v>1105</v>
      </c>
      <c r="K620">
        <v>4</v>
      </c>
      <c r="L620">
        <v>3400</v>
      </c>
      <c r="M620">
        <v>4420</v>
      </c>
      <c r="N620" t="s">
        <v>50</v>
      </c>
      <c r="O620">
        <f t="shared" si="18"/>
        <v>3315</v>
      </c>
      <c r="P620" s="13">
        <f t="shared" si="19"/>
        <v>2640274</v>
      </c>
      <c r="Q620" s="13">
        <f>SUMIFS(M:M,E:E,Online_eCommerce[[#This Row],[Status]])</f>
        <v>28340455</v>
      </c>
      <c r="R620" s="13">
        <f>SUMIFS(L:L,H:H,Online_eCommerce[[#This Row],[Brand]])</f>
        <v>10950150</v>
      </c>
      <c r="S620" s="13">
        <f>SUMIF(H:H,Online_eCommerce[[#This Row],[Brand]],M:M)</f>
        <v>14235195</v>
      </c>
      <c r="T620" s="13">
        <f>SUMIF(N:N,Online_eCommerce[[#This Row],[Assigned Supervisor]],L:L)</f>
        <v>12100590</v>
      </c>
    </row>
    <row r="621" spans="1:20" hidden="1" x14ac:dyDescent="0.3">
      <c r="A621" t="s">
        <v>1019</v>
      </c>
      <c r="B621" t="s">
        <v>215</v>
      </c>
      <c r="C621" t="s">
        <v>177</v>
      </c>
      <c r="D621" t="s">
        <v>925</v>
      </c>
      <c r="E621" t="s">
        <v>161</v>
      </c>
      <c r="F621" t="s">
        <v>65</v>
      </c>
      <c r="G621" t="s">
        <v>66</v>
      </c>
      <c r="H621" t="s">
        <v>21</v>
      </c>
      <c r="I621">
        <v>650</v>
      </c>
      <c r="J621">
        <v>845</v>
      </c>
      <c r="K621">
        <v>4</v>
      </c>
      <c r="L621">
        <v>2600</v>
      </c>
      <c r="M621">
        <v>3380</v>
      </c>
      <c r="N621" t="s">
        <v>56</v>
      </c>
      <c r="O621">
        <f t="shared" si="18"/>
        <v>1690</v>
      </c>
      <c r="P621" s="13">
        <f t="shared" si="19"/>
        <v>1863810</v>
      </c>
      <c r="Q621" s="13">
        <f>SUMIFS(M:M,E:E,Online_eCommerce[[#This Row],[Status]])</f>
        <v>21103186</v>
      </c>
      <c r="R621" s="13">
        <f>SUMIFS(L:L,H:H,Online_eCommerce[[#This Row],[Brand]])</f>
        <v>12435650</v>
      </c>
      <c r="S621" s="13">
        <f>SUMIF(H:H,Online_eCommerce[[#This Row],[Brand]],M:M)</f>
        <v>16166345</v>
      </c>
      <c r="T621" s="13">
        <f>SUMIF(N:N,Online_eCommerce[[#This Row],[Assigned Supervisor]],L:L)</f>
        <v>11733610</v>
      </c>
    </row>
    <row r="622" spans="1:20" x14ac:dyDescent="0.3">
      <c r="A622" t="s">
        <v>1020</v>
      </c>
      <c r="B622" t="s">
        <v>215</v>
      </c>
      <c r="C622" t="s">
        <v>181</v>
      </c>
      <c r="D622" t="s">
        <v>925</v>
      </c>
      <c r="E622" t="s">
        <v>46</v>
      </c>
      <c r="F622" t="s">
        <v>70</v>
      </c>
      <c r="G622" t="s">
        <v>71</v>
      </c>
      <c r="H622" t="s">
        <v>61</v>
      </c>
      <c r="I622">
        <v>7500</v>
      </c>
      <c r="J622">
        <v>9750</v>
      </c>
      <c r="K622">
        <v>2</v>
      </c>
      <c r="L622">
        <v>15000</v>
      </c>
      <c r="M622">
        <v>19500</v>
      </c>
      <c r="N622" t="s">
        <v>22</v>
      </c>
      <c r="O622">
        <f t="shared" si="18"/>
        <v>9750</v>
      </c>
      <c r="P622" s="13">
        <f t="shared" si="19"/>
        <v>2577458</v>
      </c>
      <c r="Q622" s="13">
        <f>SUMIFS(M:M,E:E,Online_eCommerce[[#This Row],[Status]])</f>
        <v>28620410</v>
      </c>
      <c r="R622" s="13">
        <f>SUMIFS(L:L,H:H,Online_eCommerce[[#This Row],[Brand]])</f>
        <v>10950150</v>
      </c>
      <c r="S622" s="13">
        <f>SUMIF(H:H,Online_eCommerce[[#This Row],[Brand]],M:M)</f>
        <v>14235195</v>
      </c>
      <c r="T622" s="13">
        <f>SUMIF(N:N,Online_eCommerce[[#This Row],[Assigned Supervisor]],L:L)</f>
        <v>13693220</v>
      </c>
    </row>
    <row r="623" spans="1:20" hidden="1" x14ac:dyDescent="0.3">
      <c r="A623" t="s">
        <v>1021</v>
      </c>
      <c r="B623" t="s">
        <v>215</v>
      </c>
      <c r="C623" t="s">
        <v>185</v>
      </c>
      <c r="D623" t="s">
        <v>925</v>
      </c>
      <c r="E623" t="s">
        <v>96</v>
      </c>
      <c r="F623" t="s">
        <v>1008</v>
      </c>
      <c r="G623" t="s">
        <v>77</v>
      </c>
      <c r="H623" t="s">
        <v>78</v>
      </c>
      <c r="I623">
        <v>10000</v>
      </c>
      <c r="J623">
        <v>13000</v>
      </c>
      <c r="K623">
        <v>1</v>
      </c>
      <c r="L623">
        <v>10000</v>
      </c>
      <c r="M623">
        <v>13000</v>
      </c>
      <c r="N623" t="s">
        <v>28</v>
      </c>
      <c r="O623">
        <f t="shared" si="18"/>
        <v>39000</v>
      </c>
      <c r="P623" s="13">
        <f t="shared" si="19"/>
        <v>2091596</v>
      </c>
      <c r="Q623" s="13">
        <f>SUMIFS(M:M,E:E,Online_eCommerce[[#This Row],[Status]])</f>
        <v>21233992</v>
      </c>
      <c r="R623" s="13">
        <f>SUMIFS(L:L,H:H,Online_eCommerce[[#This Row],[Brand]])</f>
        <v>3720000</v>
      </c>
      <c r="S623" s="13">
        <f>SUMIF(H:H,Online_eCommerce[[#This Row],[Brand]],M:M)</f>
        <v>4836000</v>
      </c>
      <c r="T623" s="13">
        <f>SUMIF(N:N,Online_eCommerce[[#This Row],[Assigned Supervisor]],L:L)</f>
        <v>12220830</v>
      </c>
    </row>
    <row r="624" spans="1:20" hidden="1" x14ac:dyDescent="0.3">
      <c r="A624" t="s">
        <v>1022</v>
      </c>
      <c r="B624" t="s">
        <v>215</v>
      </c>
      <c r="C624" t="s">
        <v>189</v>
      </c>
      <c r="D624" t="s">
        <v>925</v>
      </c>
      <c r="E624" t="s">
        <v>18</v>
      </c>
      <c r="F624" t="s">
        <v>1023</v>
      </c>
      <c r="G624" t="s">
        <v>20</v>
      </c>
      <c r="H624" t="s">
        <v>21</v>
      </c>
      <c r="I624">
        <v>10500</v>
      </c>
      <c r="J624">
        <v>13650</v>
      </c>
      <c r="K624">
        <v>2</v>
      </c>
      <c r="L624">
        <v>21000</v>
      </c>
      <c r="M624">
        <v>27300</v>
      </c>
      <c r="N624" t="s">
        <v>35</v>
      </c>
      <c r="O624">
        <f t="shared" si="18"/>
        <v>8450</v>
      </c>
      <c r="P624" s="13">
        <f t="shared" si="19"/>
        <v>2740777</v>
      </c>
      <c r="Q624" s="13">
        <f>SUMIFS(M:M,E:E,Online_eCommerce[[#This Row],[Status]])</f>
        <v>28340455</v>
      </c>
      <c r="R624" s="13">
        <f>SUMIFS(L:L,H:H,Online_eCommerce[[#This Row],[Brand]])</f>
        <v>12435650</v>
      </c>
      <c r="S624" s="13">
        <f>SUMIF(H:H,Online_eCommerce[[#This Row],[Brand]],M:M)</f>
        <v>16166345</v>
      </c>
      <c r="T624" s="13">
        <f>SUMIF(N:N,Online_eCommerce[[#This Row],[Assigned Supervisor]],L:L)</f>
        <v>14373360</v>
      </c>
    </row>
    <row r="625" spans="1:20" hidden="1" x14ac:dyDescent="0.3">
      <c r="A625" t="s">
        <v>1024</v>
      </c>
      <c r="B625" t="s">
        <v>215</v>
      </c>
      <c r="C625" t="s">
        <v>193</v>
      </c>
      <c r="D625" t="s">
        <v>925</v>
      </c>
      <c r="E625" t="s">
        <v>161</v>
      </c>
      <c r="F625" t="s">
        <v>88</v>
      </c>
      <c r="G625" t="s">
        <v>26</v>
      </c>
      <c r="H625" t="s">
        <v>27</v>
      </c>
      <c r="I625">
        <v>8500</v>
      </c>
      <c r="J625">
        <v>11050</v>
      </c>
      <c r="K625">
        <v>3</v>
      </c>
      <c r="L625">
        <v>25500</v>
      </c>
      <c r="M625">
        <v>33150</v>
      </c>
      <c r="N625" t="s">
        <v>42</v>
      </c>
      <c r="O625">
        <f t="shared" si="18"/>
        <v>33150</v>
      </c>
      <c r="P625" s="13">
        <f t="shared" si="19"/>
        <v>2074774</v>
      </c>
      <c r="Q625" s="13">
        <f>SUMIFS(M:M,E:E,Online_eCommerce[[#This Row],[Status]])</f>
        <v>21103186</v>
      </c>
      <c r="R625" s="13">
        <f>SUMIFS(L:L,H:H,Online_eCommerce[[#This Row],[Brand]])</f>
        <v>14431000</v>
      </c>
      <c r="S625" s="13">
        <f>SUMIF(H:H,Online_eCommerce[[#This Row],[Brand]],M:M)</f>
        <v>18760300</v>
      </c>
      <c r="T625" s="13">
        <f>SUMIF(N:N,Online_eCommerce[[#This Row],[Assigned Supervisor]],L:L)</f>
        <v>12261500</v>
      </c>
    </row>
    <row r="626" spans="1:20" x14ac:dyDescent="0.3">
      <c r="A626" t="s">
        <v>1025</v>
      </c>
      <c r="B626" t="s">
        <v>215</v>
      </c>
      <c r="C626" t="s">
        <v>197</v>
      </c>
      <c r="D626" t="s">
        <v>925</v>
      </c>
      <c r="E626" t="s">
        <v>46</v>
      </c>
      <c r="F626" t="s">
        <v>32</v>
      </c>
      <c r="G626" t="s">
        <v>33</v>
      </c>
      <c r="H626" t="s">
        <v>34</v>
      </c>
      <c r="I626">
        <v>7000</v>
      </c>
      <c r="J626">
        <v>9100</v>
      </c>
      <c r="K626">
        <v>4</v>
      </c>
      <c r="L626">
        <v>28000</v>
      </c>
      <c r="M626">
        <v>36400</v>
      </c>
      <c r="N626" t="s">
        <v>50</v>
      </c>
      <c r="O626">
        <f t="shared" si="18"/>
        <v>18200</v>
      </c>
      <c r="P626" s="13">
        <f t="shared" si="19"/>
        <v>2829840</v>
      </c>
      <c r="Q626" s="13">
        <f>SUMIFS(M:M,E:E,Online_eCommerce[[#This Row],[Status]])</f>
        <v>28620410</v>
      </c>
      <c r="R626" s="13">
        <f>SUMIFS(L:L,H:H,Online_eCommerce[[#This Row],[Brand]])</f>
        <v>10087000</v>
      </c>
      <c r="S626" s="13">
        <f>SUMIF(H:H,Online_eCommerce[[#This Row],[Brand]],M:M)</f>
        <v>13113100</v>
      </c>
      <c r="T626" s="13">
        <f>SUMIF(N:N,Online_eCommerce[[#This Row],[Assigned Supervisor]],L:L)</f>
        <v>12100590</v>
      </c>
    </row>
    <row r="627" spans="1:20" hidden="1" x14ac:dyDescent="0.3">
      <c r="A627" t="s">
        <v>1026</v>
      </c>
      <c r="B627" t="s">
        <v>215</v>
      </c>
      <c r="C627" t="s">
        <v>199</v>
      </c>
      <c r="D627" t="s">
        <v>925</v>
      </c>
      <c r="E627" t="s">
        <v>96</v>
      </c>
      <c r="F627" t="s">
        <v>1027</v>
      </c>
      <c r="G627" t="s">
        <v>40</v>
      </c>
      <c r="H627" t="s">
        <v>41</v>
      </c>
      <c r="I627">
        <v>1680</v>
      </c>
      <c r="J627">
        <v>2184</v>
      </c>
      <c r="K627">
        <v>3</v>
      </c>
      <c r="L627">
        <v>5040</v>
      </c>
      <c r="M627">
        <v>6552</v>
      </c>
      <c r="N627" t="s">
        <v>56</v>
      </c>
      <c r="O627">
        <f t="shared" si="18"/>
        <v>25545</v>
      </c>
      <c r="P627" s="13">
        <f t="shared" si="19"/>
        <v>1947361</v>
      </c>
      <c r="Q627" s="13">
        <f>SUMIFS(M:M,E:E,Online_eCommerce[[#This Row],[Status]])</f>
        <v>21233992</v>
      </c>
      <c r="R627" s="13">
        <f>SUMIFS(L:L,H:H,Online_eCommerce[[#This Row],[Brand]])</f>
        <v>4260400</v>
      </c>
      <c r="S627" s="13">
        <f>SUMIF(H:H,Online_eCommerce[[#This Row],[Brand]],M:M)</f>
        <v>5538520</v>
      </c>
      <c r="T627" s="13">
        <f>SUMIF(N:N,Online_eCommerce[[#This Row],[Assigned Supervisor]],L:L)</f>
        <v>11733610</v>
      </c>
    </row>
    <row r="628" spans="1:20" hidden="1" x14ac:dyDescent="0.3">
      <c r="A628" t="s">
        <v>1028</v>
      </c>
      <c r="B628" t="s">
        <v>215</v>
      </c>
      <c r="C628" t="s">
        <v>203</v>
      </c>
      <c r="D628" t="s">
        <v>925</v>
      </c>
      <c r="E628" t="s">
        <v>18</v>
      </c>
      <c r="F628" t="s">
        <v>101</v>
      </c>
      <c r="G628" t="s">
        <v>334</v>
      </c>
      <c r="H628" t="s">
        <v>102</v>
      </c>
      <c r="I628">
        <v>6540</v>
      </c>
      <c r="J628">
        <v>8502</v>
      </c>
      <c r="K628">
        <v>4</v>
      </c>
      <c r="L628">
        <v>26160</v>
      </c>
      <c r="M628">
        <v>34008</v>
      </c>
      <c r="N628" t="s">
        <v>22</v>
      </c>
      <c r="O628">
        <f t="shared" si="18"/>
        <v>39780</v>
      </c>
      <c r="P628" s="13">
        <f t="shared" si="19"/>
        <v>2559635</v>
      </c>
      <c r="Q628" s="13">
        <f>SUMIFS(M:M,E:E,Online_eCommerce[[#This Row],[Status]])</f>
        <v>28340455</v>
      </c>
      <c r="R628" s="13">
        <f>SUMIFS(L:L,H:H,Online_eCommerce[[#This Row],[Brand]])</f>
        <v>2465580</v>
      </c>
      <c r="S628" s="13">
        <f>SUMIF(H:H,Online_eCommerce[[#This Row],[Brand]],M:M)</f>
        <v>3205254</v>
      </c>
      <c r="T628" s="13">
        <f>SUMIF(N:N,Online_eCommerce[[#This Row],[Assigned Supervisor]],L:L)</f>
        <v>13693220</v>
      </c>
    </row>
    <row r="629" spans="1:20" hidden="1" x14ac:dyDescent="0.3">
      <c r="A629" t="s">
        <v>1029</v>
      </c>
      <c r="B629" t="s">
        <v>215</v>
      </c>
      <c r="C629" t="s">
        <v>205</v>
      </c>
      <c r="D629" t="s">
        <v>925</v>
      </c>
      <c r="E629" t="s">
        <v>161</v>
      </c>
      <c r="F629" t="s">
        <v>107</v>
      </c>
      <c r="G629" t="s">
        <v>54</v>
      </c>
      <c r="H629" t="s">
        <v>55</v>
      </c>
      <c r="I629">
        <v>2680</v>
      </c>
      <c r="J629">
        <v>3484</v>
      </c>
      <c r="K629">
        <v>3</v>
      </c>
      <c r="L629">
        <v>8040</v>
      </c>
      <c r="M629">
        <v>10452</v>
      </c>
      <c r="N629" t="s">
        <v>28</v>
      </c>
      <c r="O629">
        <f t="shared" si="18"/>
        <v>2990</v>
      </c>
      <c r="P629" s="13">
        <f t="shared" si="19"/>
        <v>1983254</v>
      </c>
      <c r="Q629" s="13">
        <f>SUMIFS(M:M,E:E,Online_eCommerce[[#This Row],[Status]])</f>
        <v>21103186</v>
      </c>
      <c r="R629" s="13">
        <f>SUMIFS(L:L,H:H,Online_eCommerce[[#This Row],[Brand]])</f>
        <v>2267380</v>
      </c>
      <c r="S629" s="13">
        <f>SUMIF(H:H,Online_eCommerce[[#This Row],[Brand]],M:M)</f>
        <v>2947594</v>
      </c>
      <c r="T629" s="13">
        <f>SUMIF(N:N,Online_eCommerce[[#This Row],[Assigned Supervisor]],L:L)</f>
        <v>12220830</v>
      </c>
    </row>
    <row r="630" spans="1:20" x14ac:dyDescent="0.3">
      <c r="A630" t="s">
        <v>1030</v>
      </c>
      <c r="B630" t="s">
        <v>215</v>
      </c>
      <c r="C630" t="s">
        <v>208</v>
      </c>
      <c r="D630" t="s">
        <v>925</v>
      </c>
      <c r="E630" t="s">
        <v>46</v>
      </c>
      <c r="F630" t="s">
        <v>112</v>
      </c>
      <c r="G630" t="s">
        <v>71</v>
      </c>
      <c r="H630" t="s">
        <v>21</v>
      </c>
      <c r="I630">
        <v>8250</v>
      </c>
      <c r="J630">
        <v>10725</v>
      </c>
      <c r="K630">
        <v>2</v>
      </c>
      <c r="L630">
        <v>16500</v>
      </c>
      <c r="M630">
        <v>21450</v>
      </c>
      <c r="N630" t="s">
        <v>35</v>
      </c>
      <c r="O630">
        <f t="shared" si="18"/>
        <v>9750</v>
      </c>
      <c r="P630" s="13">
        <f t="shared" si="19"/>
        <v>2746575</v>
      </c>
      <c r="Q630" s="13">
        <f>SUMIFS(M:M,E:E,Online_eCommerce[[#This Row],[Status]])</f>
        <v>28620410</v>
      </c>
      <c r="R630" s="13">
        <f>SUMIFS(L:L,H:H,Online_eCommerce[[#This Row],[Brand]])</f>
        <v>12435650</v>
      </c>
      <c r="S630" s="13">
        <f>SUMIF(H:H,Online_eCommerce[[#This Row],[Brand]],M:M)</f>
        <v>16166345</v>
      </c>
      <c r="T630" s="13">
        <f>SUMIF(N:N,Online_eCommerce[[#This Row],[Assigned Supervisor]],L:L)</f>
        <v>14373360</v>
      </c>
    </row>
    <row r="631" spans="1:20" hidden="1" x14ac:dyDescent="0.3">
      <c r="A631" t="s">
        <v>1031</v>
      </c>
      <c r="B631" t="s">
        <v>215</v>
      </c>
      <c r="C631" t="s">
        <v>211</v>
      </c>
      <c r="D631" t="s">
        <v>925</v>
      </c>
      <c r="E631" t="s">
        <v>96</v>
      </c>
      <c r="F631" t="s">
        <v>675</v>
      </c>
      <c r="G631" t="s">
        <v>40</v>
      </c>
      <c r="H631" t="s">
        <v>21</v>
      </c>
      <c r="I631">
        <v>2650</v>
      </c>
      <c r="J631">
        <v>3445</v>
      </c>
      <c r="K631">
        <v>4</v>
      </c>
      <c r="L631">
        <v>10600</v>
      </c>
      <c r="M631">
        <v>13780</v>
      </c>
      <c r="N631" t="s">
        <v>42</v>
      </c>
      <c r="O631">
        <f t="shared" si="18"/>
        <v>25545</v>
      </c>
      <c r="P631" s="13">
        <f t="shared" si="19"/>
        <v>1809847</v>
      </c>
      <c r="Q631" s="13">
        <f>SUMIFS(M:M,E:E,Online_eCommerce[[#This Row],[Status]])</f>
        <v>21233992</v>
      </c>
      <c r="R631" s="13">
        <f>SUMIFS(L:L,H:H,Online_eCommerce[[#This Row],[Brand]])</f>
        <v>12435650</v>
      </c>
      <c r="S631" s="13">
        <f>SUMIF(H:H,Online_eCommerce[[#This Row],[Brand]],M:M)</f>
        <v>16166345</v>
      </c>
      <c r="T631" s="13">
        <f>SUMIF(N:N,Online_eCommerce[[#This Row],[Assigned Supervisor]],L:L)</f>
        <v>12261500</v>
      </c>
    </row>
    <row r="632" spans="1:20" hidden="1" x14ac:dyDescent="0.3">
      <c r="A632" t="s">
        <v>1032</v>
      </c>
      <c r="B632" t="s">
        <v>215</v>
      </c>
      <c r="C632" t="s">
        <v>16</v>
      </c>
      <c r="D632" t="s">
        <v>925</v>
      </c>
      <c r="E632" t="s">
        <v>18</v>
      </c>
      <c r="F632" t="s">
        <v>121</v>
      </c>
      <c r="G632" t="s">
        <v>71</v>
      </c>
      <c r="H632" t="s">
        <v>122</v>
      </c>
      <c r="I632">
        <v>12550</v>
      </c>
      <c r="J632">
        <v>16315</v>
      </c>
      <c r="K632">
        <v>1</v>
      </c>
      <c r="L632">
        <v>12550</v>
      </c>
      <c r="M632">
        <v>16315</v>
      </c>
      <c r="N632" t="s">
        <v>50</v>
      </c>
      <c r="O632">
        <f t="shared" si="18"/>
        <v>9750</v>
      </c>
      <c r="P632" s="13">
        <f t="shared" si="19"/>
        <v>2751814</v>
      </c>
      <c r="Q632" s="13">
        <f>SUMIFS(M:M,E:E,Online_eCommerce[[#This Row],[Status]])</f>
        <v>28340455</v>
      </c>
      <c r="R632" s="13">
        <f>SUMIFS(L:L,H:H,Online_eCommerce[[#This Row],[Brand]])</f>
        <v>5045100</v>
      </c>
      <c r="S632" s="13">
        <f>SUMIF(H:H,Online_eCommerce[[#This Row],[Brand]],M:M)</f>
        <v>6558630</v>
      </c>
      <c r="T632" s="13">
        <f>SUMIF(N:N,Online_eCommerce[[#This Row],[Assigned Supervisor]],L:L)</f>
        <v>12100590</v>
      </c>
    </row>
    <row r="633" spans="1:20" hidden="1" x14ac:dyDescent="0.3">
      <c r="A633" t="s">
        <v>1033</v>
      </c>
      <c r="B633" t="s">
        <v>215</v>
      </c>
      <c r="C633" t="s">
        <v>24</v>
      </c>
      <c r="D633" t="s">
        <v>925</v>
      </c>
      <c r="E633" t="s">
        <v>161</v>
      </c>
      <c r="F633" t="s">
        <v>126</v>
      </c>
      <c r="G633" t="s">
        <v>26</v>
      </c>
      <c r="H633" t="s">
        <v>27</v>
      </c>
      <c r="I633">
        <v>14500</v>
      </c>
      <c r="J633">
        <v>18850</v>
      </c>
      <c r="K633">
        <v>2</v>
      </c>
      <c r="L633">
        <v>29000</v>
      </c>
      <c r="M633">
        <v>37700</v>
      </c>
      <c r="N633" t="s">
        <v>56</v>
      </c>
      <c r="O633">
        <f t="shared" si="18"/>
        <v>33150</v>
      </c>
      <c r="P633" s="13">
        <f t="shared" si="19"/>
        <v>2009540</v>
      </c>
      <c r="Q633" s="13">
        <f>SUMIFS(M:M,E:E,Online_eCommerce[[#This Row],[Status]])</f>
        <v>21103186</v>
      </c>
      <c r="R633" s="13">
        <f>SUMIFS(L:L,H:H,Online_eCommerce[[#This Row],[Brand]])</f>
        <v>14431000</v>
      </c>
      <c r="S633" s="13">
        <f>SUMIF(H:H,Online_eCommerce[[#This Row],[Brand]],M:M)</f>
        <v>18760300</v>
      </c>
      <c r="T633" s="13">
        <f>SUMIF(N:N,Online_eCommerce[[#This Row],[Assigned Supervisor]],L:L)</f>
        <v>11733610</v>
      </c>
    </row>
    <row r="634" spans="1:20" x14ac:dyDescent="0.3">
      <c r="A634" t="s">
        <v>1034</v>
      </c>
      <c r="B634" t="s">
        <v>215</v>
      </c>
      <c r="C634" t="s">
        <v>31</v>
      </c>
      <c r="D634" t="s">
        <v>925</v>
      </c>
      <c r="E634" t="s">
        <v>46</v>
      </c>
      <c r="F634" t="s">
        <v>129</v>
      </c>
      <c r="G634" t="s">
        <v>60</v>
      </c>
      <c r="H634" t="s">
        <v>61</v>
      </c>
      <c r="I634">
        <v>800</v>
      </c>
      <c r="J634">
        <v>1040</v>
      </c>
      <c r="K634">
        <v>4</v>
      </c>
      <c r="L634">
        <v>3200</v>
      </c>
      <c r="M634">
        <v>4160</v>
      </c>
      <c r="N634" t="s">
        <v>22</v>
      </c>
      <c r="O634">
        <f t="shared" si="18"/>
        <v>3315</v>
      </c>
      <c r="P634" s="13">
        <f t="shared" si="19"/>
        <v>2865746</v>
      </c>
      <c r="Q634" s="13">
        <f>SUMIFS(M:M,E:E,Online_eCommerce[[#This Row],[Status]])</f>
        <v>28620410</v>
      </c>
      <c r="R634" s="13">
        <f>SUMIFS(L:L,H:H,Online_eCommerce[[#This Row],[Brand]])</f>
        <v>10950150</v>
      </c>
      <c r="S634" s="13">
        <f>SUMIF(H:H,Online_eCommerce[[#This Row],[Brand]],M:M)</f>
        <v>14235195</v>
      </c>
      <c r="T634" s="13">
        <f>SUMIF(N:N,Online_eCommerce[[#This Row],[Assigned Supervisor]],L:L)</f>
        <v>13693220</v>
      </c>
    </row>
    <row r="635" spans="1:20" hidden="1" x14ac:dyDescent="0.3">
      <c r="A635" t="s">
        <v>1035</v>
      </c>
      <c r="B635" t="s">
        <v>215</v>
      </c>
      <c r="C635" t="s">
        <v>38</v>
      </c>
      <c r="D635" t="s">
        <v>925</v>
      </c>
      <c r="E635" t="s">
        <v>96</v>
      </c>
      <c r="F635" t="s">
        <v>133</v>
      </c>
      <c r="G635" t="s">
        <v>66</v>
      </c>
      <c r="H635" t="s">
        <v>21</v>
      </c>
      <c r="I635">
        <v>600</v>
      </c>
      <c r="J635">
        <v>780</v>
      </c>
      <c r="K635">
        <v>4</v>
      </c>
      <c r="L635">
        <v>2400</v>
      </c>
      <c r="M635">
        <v>3120</v>
      </c>
      <c r="N635" t="s">
        <v>28</v>
      </c>
      <c r="O635">
        <f t="shared" si="18"/>
        <v>1690</v>
      </c>
      <c r="P635" s="13">
        <f t="shared" si="19"/>
        <v>1933997</v>
      </c>
      <c r="Q635" s="13">
        <f>SUMIFS(M:M,E:E,Online_eCommerce[[#This Row],[Status]])</f>
        <v>21233992</v>
      </c>
      <c r="R635" s="13">
        <f>SUMIFS(L:L,H:H,Online_eCommerce[[#This Row],[Brand]])</f>
        <v>12435650</v>
      </c>
      <c r="S635" s="13">
        <f>SUMIF(H:H,Online_eCommerce[[#This Row],[Brand]],M:M)</f>
        <v>16166345</v>
      </c>
      <c r="T635" s="13">
        <f>SUMIF(N:N,Online_eCommerce[[#This Row],[Assigned Supervisor]],L:L)</f>
        <v>12220830</v>
      </c>
    </row>
    <row r="636" spans="1:20" hidden="1" x14ac:dyDescent="0.3">
      <c r="A636" t="s">
        <v>1036</v>
      </c>
      <c r="B636" t="s">
        <v>215</v>
      </c>
      <c r="C636" t="s">
        <v>45</v>
      </c>
      <c r="D636" t="s">
        <v>925</v>
      </c>
      <c r="E636" t="s">
        <v>18</v>
      </c>
      <c r="F636" t="s">
        <v>137</v>
      </c>
      <c r="G636" t="s">
        <v>71</v>
      </c>
      <c r="H636" t="s">
        <v>61</v>
      </c>
      <c r="I636">
        <v>10500</v>
      </c>
      <c r="J636">
        <v>13650</v>
      </c>
      <c r="K636">
        <v>2</v>
      </c>
      <c r="L636">
        <v>21000</v>
      </c>
      <c r="M636">
        <v>27300</v>
      </c>
      <c r="N636" t="s">
        <v>35</v>
      </c>
      <c r="O636">
        <f t="shared" si="18"/>
        <v>9750</v>
      </c>
      <c r="P636" s="13">
        <f t="shared" si="19"/>
        <v>2842554</v>
      </c>
      <c r="Q636" s="13">
        <f>SUMIFS(M:M,E:E,Online_eCommerce[[#This Row],[Status]])</f>
        <v>28340455</v>
      </c>
      <c r="R636" s="13">
        <f>SUMIFS(L:L,H:H,Online_eCommerce[[#This Row],[Brand]])</f>
        <v>10950150</v>
      </c>
      <c r="S636" s="13">
        <f>SUMIF(H:H,Online_eCommerce[[#This Row],[Brand]],M:M)</f>
        <v>14235195</v>
      </c>
      <c r="T636" s="13">
        <f>SUMIF(N:N,Online_eCommerce[[#This Row],[Assigned Supervisor]],L:L)</f>
        <v>14373360</v>
      </c>
    </row>
    <row r="637" spans="1:20" hidden="1" x14ac:dyDescent="0.3">
      <c r="A637" t="s">
        <v>1037</v>
      </c>
      <c r="B637" t="s">
        <v>215</v>
      </c>
      <c r="C637" t="s">
        <v>52</v>
      </c>
      <c r="D637" t="s">
        <v>925</v>
      </c>
      <c r="E637" t="s">
        <v>161</v>
      </c>
      <c r="F637" t="s">
        <v>1008</v>
      </c>
      <c r="G637" t="s">
        <v>77</v>
      </c>
      <c r="H637" t="s">
        <v>142</v>
      </c>
      <c r="I637">
        <v>6500</v>
      </c>
      <c r="J637">
        <v>8450</v>
      </c>
      <c r="K637">
        <v>3</v>
      </c>
      <c r="L637">
        <v>19500</v>
      </c>
      <c r="M637">
        <v>25350</v>
      </c>
      <c r="N637" t="s">
        <v>42</v>
      </c>
      <c r="O637">
        <f t="shared" si="18"/>
        <v>39000</v>
      </c>
      <c r="P637" s="13">
        <f t="shared" si="19"/>
        <v>1955044</v>
      </c>
      <c r="Q637" s="13">
        <f>SUMIFS(M:M,E:E,Online_eCommerce[[#This Row],[Status]])</f>
        <v>21103186</v>
      </c>
      <c r="R637" s="13">
        <f>SUMIFS(L:L,H:H,Online_eCommerce[[#This Row],[Brand]])</f>
        <v>6192500</v>
      </c>
      <c r="S637" s="13">
        <f>SUMIF(H:H,Online_eCommerce[[#This Row],[Brand]],M:M)</f>
        <v>8050250</v>
      </c>
      <c r="T637" s="13">
        <f>SUMIF(N:N,Online_eCommerce[[#This Row],[Assigned Supervisor]],L:L)</f>
        <v>12261500</v>
      </c>
    </row>
    <row r="638" spans="1:20" x14ac:dyDescent="0.3">
      <c r="A638" t="s">
        <v>1038</v>
      </c>
      <c r="B638" t="s">
        <v>215</v>
      </c>
      <c r="C638" t="s">
        <v>58</v>
      </c>
      <c r="D638" t="s">
        <v>925</v>
      </c>
      <c r="E638" t="s">
        <v>46</v>
      </c>
      <c r="F638" t="s">
        <v>1039</v>
      </c>
      <c r="G638" t="s">
        <v>20</v>
      </c>
      <c r="H638" t="s">
        <v>21</v>
      </c>
      <c r="I638">
        <v>4500</v>
      </c>
      <c r="J638">
        <v>5850</v>
      </c>
      <c r="K638">
        <v>2</v>
      </c>
      <c r="L638">
        <v>9000</v>
      </c>
      <c r="M638">
        <v>11700</v>
      </c>
      <c r="N638" t="s">
        <v>50</v>
      </c>
      <c r="O638">
        <f t="shared" si="18"/>
        <v>8450</v>
      </c>
      <c r="P638" s="13">
        <f t="shared" si="19"/>
        <v>2629211</v>
      </c>
      <c r="Q638" s="13">
        <f>SUMIFS(M:M,E:E,Online_eCommerce[[#This Row],[Status]])</f>
        <v>28620410</v>
      </c>
      <c r="R638" s="13">
        <f>SUMIFS(L:L,H:H,Online_eCommerce[[#This Row],[Brand]])</f>
        <v>12435650</v>
      </c>
      <c r="S638" s="13">
        <f>SUMIF(H:H,Online_eCommerce[[#This Row],[Brand]],M:M)</f>
        <v>16166345</v>
      </c>
      <c r="T638" s="13">
        <f>SUMIF(N:N,Online_eCommerce[[#This Row],[Assigned Supervisor]],L:L)</f>
        <v>12100590</v>
      </c>
    </row>
    <row r="639" spans="1:20" hidden="1" x14ac:dyDescent="0.3">
      <c r="A639" t="s">
        <v>1040</v>
      </c>
      <c r="B639" t="s">
        <v>80</v>
      </c>
      <c r="C639" t="s">
        <v>63</v>
      </c>
      <c r="D639" t="s">
        <v>925</v>
      </c>
      <c r="E639" t="s">
        <v>96</v>
      </c>
      <c r="F639" t="s">
        <v>152</v>
      </c>
      <c r="G639" t="s">
        <v>26</v>
      </c>
      <c r="H639" t="s">
        <v>27</v>
      </c>
      <c r="I639">
        <v>8500</v>
      </c>
      <c r="J639">
        <v>11050</v>
      </c>
      <c r="K639">
        <v>4</v>
      </c>
      <c r="L639">
        <v>34000</v>
      </c>
      <c r="M639">
        <v>44200</v>
      </c>
      <c r="N639" t="s">
        <v>56</v>
      </c>
      <c r="O639">
        <f t="shared" si="18"/>
        <v>33150</v>
      </c>
      <c r="P639" s="13">
        <f t="shared" si="19"/>
        <v>2016131</v>
      </c>
      <c r="Q639" s="13">
        <f>SUMIFS(M:M,E:E,Online_eCommerce[[#This Row],[Status]])</f>
        <v>21233992</v>
      </c>
      <c r="R639" s="13">
        <f>SUMIFS(L:L,H:H,Online_eCommerce[[#This Row],[Brand]])</f>
        <v>14431000</v>
      </c>
      <c r="S639" s="13">
        <f>SUMIF(H:H,Online_eCommerce[[#This Row],[Brand]],M:M)</f>
        <v>18760300</v>
      </c>
      <c r="T639" s="13">
        <f>SUMIF(N:N,Online_eCommerce[[#This Row],[Assigned Supervisor]],L:L)</f>
        <v>11733610</v>
      </c>
    </row>
    <row r="640" spans="1:20" hidden="1" x14ac:dyDescent="0.3">
      <c r="A640" t="s">
        <v>1041</v>
      </c>
      <c r="B640" t="s">
        <v>85</v>
      </c>
      <c r="C640" t="s">
        <v>68</v>
      </c>
      <c r="D640" t="s">
        <v>925</v>
      </c>
      <c r="E640" t="s">
        <v>18</v>
      </c>
      <c r="F640" t="s">
        <v>157</v>
      </c>
      <c r="G640" t="s">
        <v>33</v>
      </c>
      <c r="H640" t="s">
        <v>34</v>
      </c>
      <c r="I640">
        <v>12500</v>
      </c>
      <c r="J640">
        <v>16250</v>
      </c>
      <c r="K640">
        <v>2</v>
      </c>
      <c r="L640">
        <v>25000</v>
      </c>
      <c r="M640">
        <v>32500</v>
      </c>
      <c r="N640" t="s">
        <v>22</v>
      </c>
      <c r="O640">
        <f t="shared" si="18"/>
        <v>18200</v>
      </c>
      <c r="P640" s="13">
        <f t="shared" si="19"/>
        <v>2974621</v>
      </c>
      <c r="Q640" s="13">
        <f>SUMIFS(M:M,E:E,Online_eCommerce[[#This Row],[Status]])</f>
        <v>28340455</v>
      </c>
      <c r="R640" s="13">
        <f>SUMIFS(L:L,H:H,Online_eCommerce[[#This Row],[Brand]])</f>
        <v>10087000</v>
      </c>
      <c r="S640" s="13">
        <f>SUMIF(H:H,Online_eCommerce[[#This Row],[Brand]],M:M)</f>
        <v>13113100</v>
      </c>
      <c r="T640" s="13">
        <f>SUMIF(N:N,Online_eCommerce[[#This Row],[Assigned Supervisor]],L:L)</f>
        <v>13693220</v>
      </c>
    </row>
    <row r="641" spans="1:20" hidden="1" x14ac:dyDescent="0.3">
      <c r="A641" t="s">
        <v>1042</v>
      </c>
      <c r="B641" t="s">
        <v>90</v>
      </c>
      <c r="C641" t="s">
        <v>74</v>
      </c>
      <c r="D641" t="s">
        <v>925</v>
      </c>
      <c r="E641" t="s">
        <v>161</v>
      </c>
      <c r="F641" t="s">
        <v>717</v>
      </c>
      <c r="G641" t="s">
        <v>163</v>
      </c>
      <c r="H641" t="s">
        <v>41</v>
      </c>
      <c r="I641">
        <v>3500</v>
      </c>
      <c r="J641">
        <v>4550</v>
      </c>
      <c r="K641">
        <v>3</v>
      </c>
      <c r="L641">
        <v>10500</v>
      </c>
      <c r="M641">
        <v>13650</v>
      </c>
      <c r="N641" t="s">
        <v>28</v>
      </c>
      <c r="O641">
        <f t="shared" si="18"/>
        <v>13650</v>
      </c>
      <c r="P641" s="13">
        <f t="shared" si="19"/>
        <v>2144701</v>
      </c>
      <c r="Q641" s="13">
        <f>SUMIFS(M:M,E:E,Online_eCommerce[[#This Row],[Status]])</f>
        <v>21103186</v>
      </c>
      <c r="R641" s="13">
        <f>SUMIFS(L:L,H:H,Online_eCommerce[[#This Row],[Brand]])</f>
        <v>4260400</v>
      </c>
      <c r="S641" s="13">
        <f>SUMIF(H:H,Online_eCommerce[[#This Row],[Brand]],M:M)</f>
        <v>5538520</v>
      </c>
      <c r="T641" s="13">
        <f>SUMIF(N:N,Online_eCommerce[[#This Row],[Assigned Supervisor]],L:L)</f>
        <v>12220830</v>
      </c>
    </row>
    <row r="642" spans="1:20" x14ac:dyDescent="0.3">
      <c r="A642" t="s">
        <v>1043</v>
      </c>
      <c r="B642" t="s">
        <v>232</v>
      </c>
      <c r="C642" t="s">
        <v>81</v>
      </c>
      <c r="D642" t="s">
        <v>925</v>
      </c>
      <c r="E642" t="s">
        <v>46</v>
      </c>
      <c r="F642" t="s">
        <v>166</v>
      </c>
      <c r="G642" t="s">
        <v>66</v>
      </c>
      <c r="H642" t="s">
        <v>49</v>
      </c>
      <c r="I642">
        <v>4500</v>
      </c>
      <c r="J642">
        <v>5850</v>
      </c>
      <c r="K642">
        <v>1</v>
      </c>
      <c r="L642">
        <v>4500</v>
      </c>
      <c r="M642">
        <v>5850</v>
      </c>
      <c r="N642" t="s">
        <v>35</v>
      </c>
      <c r="O642">
        <f t="shared" ref="O642:O705" si="20">VLOOKUP(G642,G:M,7,FALSE)</f>
        <v>1690</v>
      </c>
      <c r="P642" s="13">
        <f t="shared" ref="P642:P705" si="21">SUMIFS(M:M,C:C,C642)</f>
        <v>2595632</v>
      </c>
      <c r="Q642" s="13">
        <f>SUMIFS(M:M,E:E,Online_eCommerce[[#This Row],[Status]])</f>
        <v>28620410</v>
      </c>
      <c r="R642" s="13">
        <f>SUMIFS(L:L,H:H,Online_eCommerce[[#This Row],[Brand]])</f>
        <v>4528350</v>
      </c>
      <c r="S642" s="13">
        <f>SUMIF(H:H,Online_eCommerce[[#This Row],[Brand]],M:M)</f>
        <v>5886855</v>
      </c>
      <c r="T642" s="13">
        <f>SUMIF(N:N,Online_eCommerce[[#This Row],[Assigned Supervisor]],L:L)</f>
        <v>14373360</v>
      </c>
    </row>
    <row r="643" spans="1:20" hidden="1" x14ac:dyDescent="0.3">
      <c r="A643" t="s">
        <v>1044</v>
      </c>
      <c r="B643" t="s">
        <v>235</v>
      </c>
      <c r="C643" t="s">
        <v>86</v>
      </c>
      <c r="D643" t="s">
        <v>925</v>
      </c>
      <c r="E643" t="s">
        <v>96</v>
      </c>
      <c r="F643" t="s">
        <v>1045</v>
      </c>
      <c r="G643" t="s">
        <v>54</v>
      </c>
      <c r="H643" t="s">
        <v>55</v>
      </c>
      <c r="I643">
        <v>2100</v>
      </c>
      <c r="J643">
        <v>2730</v>
      </c>
      <c r="K643">
        <v>2</v>
      </c>
      <c r="L643">
        <v>4200</v>
      </c>
      <c r="M643">
        <v>5460</v>
      </c>
      <c r="N643" t="s">
        <v>42</v>
      </c>
      <c r="O643">
        <f t="shared" si="20"/>
        <v>2990</v>
      </c>
      <c r="P643" s="13">
        <f t="shared" si="21"/>
        <v>1941225</v>
      </c>
      <c r="Q643" s="13">
        <f>SUMIFS(M:M,E:E,Online_eCommerce[[#This Row],[Status]])</f>
        <v>21233992</v>
      </c>
      <c r="R643" s="13">
        <f>SUMIFS(L:L,H:H,Online_eCommerce[[#This Row],[Brand]])</f>
        <v>2267380</v>
      </c>
      <c r="S643" s="13">
        <f>SUMIF(H:H,Online_eCommerce[[#This Row],[Brand]],M:M)</f>
        <v>2947594</v>
      </c>
      <c r="T643" s="13">
        <f>SUMIF(N:N,Online_eCommerce[[#This Row],[Assigned Supervisor]],L:L)</f>
        <v>12261500</v>
      </c>
    </row>
    <row r="644" spans="1:20" hidden="1" x14ac:dyDescent="0.3">
      <c r="A644" t="s">
        <v>1046</v>
      </c>
      <c r="B644" t="s">
        <v>104</v>
      </c>
      <c r="C644" t="s">
        <v>91</v>
      </c>
      <c r="D644" t="s">
        <v>925</v>
      </c>
      <c r="E644" t="s">
        <v>18</v>
      </c>
      <c r="F644" t="s">
        <v>174</v>
      </c>
      <c r="G644" t="s">
        <v>60</v>
      </c>
      <c r="H644" t="s">
        <v>61</v>
      </c>
      <c r="I644">
        <v>1150</v>
      </c>
      <c r="J644">
        <v>1495</v>
      </c>
      <c r="K644">
        <v>3</v>
      </c>
      <c r="L644">
        <v>3450</v>
      </c>
      <c r="M644">
        <v>4485</v>
      </c>
      <c r="N644" t="s">
        <v>50</v>
      </c>
      <c r="O644">
        <f t="shared" si="20"/>
        <v>3315</v>
      </c>
      <c r="P644" s="13">
        <f t="shared" si="21"/>
        <v>2731963</v>
      </c>
      <c r="Q644" s="13">
        <f>SUMIFS(M:M,E:E,Online_eCommerce[[#This Row],[Status]])</f>
        <v>28340455</v>
      </c>
      <c r="R644" s="13">
        <f>SUMIFS(L:L,H:H,Online_eCommerce[[#This Row],[Brand]])</f>
        <v>10950150</v>
      </c>
      <c r="S644" s="13">
        <f>SUMIF(H:H,Online_eCommerce[[#This Row],[Brand]],M:M)</f>
        <v>14235195</v>
      </c>
      <c r="T644" s="13">
        <f>SUMIF(N:N,Online_eCommerce[[#This Row],[Assigned Supervisor]],L:L)</f>
        <v>12100590</v>
      </c>
    </row>
    <row r="645" spans="1:20" hidden="1" x14ac:dyDescent="0.3">
      <c r="A645" t="s">
        <v>1047</v>
      </c>
      <c r="B645" t="s">
        <v>109</v>
      </c>
      <c r="C645" t="s">
        <v>94</v>
      </c>
      <c r="D645" t="s">
        <v>925</v>
      </c>
      <c r="E645" t="s">
        <v>161</v>
      </c>
      <c r="F645" t="s">
        <v>179</v>
      </c>
      <c r="G645" t="s">
        <v>66</v>
      </c>
      <c r="H645" t="s">
        <v>21</v>
      </c>
      <c r="I645">
        <v>350</v>
      </c>
      <c r="J645">
        <v>455</v>
      </c>
      <c r="K645">
        <v>1</v>
      </c>
      <c r="L645">
        <v>350</v>
      </c>
      <c r="M645">
        <v>455</v>
      </c>
      <c r="N645" t="s">
        <v>56</v>
      </c>
      <c r="O645">
        <f t="shared" si="20"/>
        <v>1690</v>
      </c>
      <c r="P645" s="13">
        <f t="shared" si="21"/>
        <v>1868256</v>
      </c>
      <c r="Q645" s="13">
        <f>SUMIFS(M:M,E:E,Online_eCommerce[[#This Row],[Status]])</f>
        <v>21103186</v>
      </c>
      <c r="R645" s="13">
        <f>SUMIFS(L:L,H:H,Online_eCommerce[[#This Row],[Brand]])</f>
        <v>12435650</v>
      </c>
      <c r="S645" s="13">
        <f>SUMIF(H:H,Online_eCommerce[[#This Row],[Brand]],M:M)</f>
        <v>16166345</v>
      </c>
      <c r="T645" s="13">
        <f>SUMIF(N:N,Online_eCommerce[[#This Row],[Assigned Supervisor]],L:L)</f>
        <v>11733610</v>
      </c>
    </row>
    <row r="646" spans="1:20" x14ac:dyDescent="0.3">
      <c r="A646" t="s">
        <v>1048</v>
      </c>
      <c r="B646" t="s">
        <v>114</v>
      </c>
      <c r="C646" t="s">
        <v>99</v>
      </c>
      <c r="D646" t="s">
        <v>925</v>
      </c>
      <c r="E646" t="s">
        <v>46</v>
      </c>
      <c r="F646" t="s">
        <v>183</v>
      </c>
      <c r="G646" t="s">
        <v>71</v>
      </c>
      <c r="H646" t="s">
        <v>61</v>
      </c>
      <c r="I646">
        <v>9500</v>
      </c>
      <c r="J646">
        <v>12350</v>
      </c>
      <c r="K646">
        <v>2</v>
      </c>
      <c r="L646">
        <v>19000</v>
      </c>
      <c r="M646">
        <v>24700</v>
      </c>
      <c r="N646" t="s">
        <v>22</v>
      </c>
      <c r="O646">
        <f t="shared" si="20"/>
        <v>9750</v>
      </c>
      <c r="P646" s="13">
        <f t="shared" si="21"/>
        <v>2651233</v>
      </c>
      <c r="Q646" s="13">
        <f>SUMIFS(M:M,E:E,Online_eCommerce[[#This Row],[Status]])</f>
        <v>28620410</v>
      </c>
      <c r="R646" s="13">
        <f>SUMIFS(L:L,H:H,Online_eCommerce[[#This Row],[Brand]])</f>
        <v>10950150</v>
      </c>
      <c r="S646" s="13">
        <f>SUMIF(H:H,Online_eCommerce[[#This Row],[Brand]],M:M)</f>
        <v>14235195</v>
      </c>
      <c r="T646" s="13">
        <f>SUMIF(N:N,Online_eCommerce[[#This Row],[Assigned Supervisor]],L:L)</f>
        <v>13693220</v>
      </c>
    </row>
    <row r="647" spans="1:20" hidden="1" x14ac:dyDescent="0.3">
      <c r="A647" t="s">
        <v>1049</v>
      </c>
      <c r="B647" t="s">
        <v>119</v>
      </c>
      <c r="C647" t="s">
        <v>105</v>
      </c>
      <c r="D647" t="s">
        <v>925</v>
      </c>
      <c r="E647" t="s">
        <v>96</v>
      </c>
      <c r="F647" t="s">
        <v>1050</v>
      </c>
      <c r="G647" t="s">
        <v>77</v>
      </c>
      <c r="H647" t="s">
        <v>142</v>
      </c>
      <c r="I647">
        <v>10000</v>
      </c>
      <c r="J647">
        <v>13000</v>
      </c>
      <c r="K647">
        <v>1</v>
      </c>
      <c r="L647">
        <v>10000</v>
      </c>
      <c r="M647">
        <v>13000</v>
      </c>
      <c r="N647" t="s">
        <v>28</v>
      </c>
      <c r="O647">
        <f t="shared" si="20"/>
        <v>39000</v>
      </c>
      <c r="P647" s="13">
        <f t="shared" si="21"/>
        <v>1866852</v>
      </c>
      <c r="Q647" s="13">
        <f>SUMIFS(M:M,E:E,Online_eCommerce[[#This Row],[Status]])</f>
        <v>21233992</v>
      </c>
      <c r="R647" s="13">
        <f>SUMIFS(L:L,H:H,Online_eCommerce[[#This Row],[Brand]])</f>
        <v>6192500</v>
      </c>
      <c r="S647" s="13">
        <f>SUMIF(H:H,Online_eCommerce[[#This Row],[Brand]],M:M)</f>
        <v>8050250</v>
      </c>
      <c r="T647" s="13">
        <f>SUMIF(N:N,Online_eCommerce[[#This Row],[Assigned Supervisor]],L:L)</f>
        <v>12220830</v>
      </c>
    </row>
    <row r="648" spans="1:20" hidden="1" x14ac:dyDescent="0.3">
      <c r="A648" t="s">
        <v>1051</v>
      </c>
      <c r="B648" t="s">
        <v>124</v>
      </c>
      <c r="C648" t="s">
        <v>110</v>
      </c>
      <c r="D648" t="s">
        <v>925</v>
      </c>
      <c r="E648" t="s">
        <v>18</v>
      </c>
      <c r="F648" t="s">
        <v>1052</v>
      </c>
      <c r="G648" t="s">
        <v>20</v>
      </c>
      <c r="H648" t="s">
        <v>21</v>
      </c>
      <c r="I648">
        <v>6500</v>
      </c>
      <c r="J648">
        <v>8450</v>
      </c>
      <c r="K648">
        <v>2</v>
      </c>
      <c r="L648">
        <v>13000</v>
      </c>
      <c r="M648">
        <v>16900</v>
      </c>
      <c r="N648" t="s">
        <v>35</v>
      </c>
      <c r="O648">
        <f t="shared" si="20"/>
        <v>8450</v>
      </c>
      <c r="P648" s="13">
        <f t="shared" si="21"/>
        <v>2598635</v>
      </c>
      <c r="Q648" s="13">
        <f>SUMIFS(M:M,E:E,Online_eCommerce[[#This Row],[Status]])</f>
        <v>28340455</v>
      </c>
      <c r="R648" s="13">
        <f>SUMIFS(L:L,H:H,Online_eCommerce[[#This Row],[Brand]])</f>
        <v>12435650</v>
      </c>
      <c r="S648" s="13">
        <f>SUMIF(H:H,Online_eCommerce[[#This Row],[Brand]],M:M)</f>
        <v>16166345</v>
      </c>
      <c r="T648" s="13">
        <f>SUMIF(N:N,Online_eCommerce[[#This Row],[Assigned Supervisor]],L:L)</f>
        <v>14373360</v>
      </c>
    </row>
    <row r="649" spans="1:20" hidden="1" x14ac:dyDescent="0.3">
      <c r="A649" t="s">
        <v>1053</v>
      </c>
      <c r="B649" t="s">
        <v>128</v>
      </c>
      <c r="C649" t="s">
        <v>115</v>
      </c>
      <c r="D649" t="s">
        <v>925</v>
      </c>
      <c r="E649" t="s">
        <v>161</v>
      </c>
      <c r="F649" t="s">
        <v>1054</v>
      </c>
      <c r="G649" t="s">
        <v>26</v>
      </c>
      <c r="H649" t="s">
        <v>27</v>
      </c>
      <c r="I649">
        <v>8500</v>
      </c>
      <c r="J649">
        <v>11050</v>
      </c>
      <c r="K649">
        <v>2</v>
      </c>
      <c r="L649">
        <v>17000</v>
      </c>
      <c r="M649">
        <v>22100</v>
      </c>
      <c r="N649" t="s">
        <v>42</v>
      </c>
      <c r="O649">
        <f t="shared" si="20"/>
        <v>33150</v>
      </c>
      <c r="P649" s="13">
        <f t="shared" si="21"/>
        <v>2050178</v>
      </c>
      <c r="Q649" s="13">
        <f>SUMIFS(M:M,E:E,Online_eCommerce[[#This Row],[Status]])</f>
        <v>21103186</v>
      </c>
      <c r="R649" s="13">
        <f>SUMIFS(L:L,H:H,Online_eCommerce[[#This Row],[Brand]])</f>
        <v>14431000</v>
      </c>
      <c r="S649" s="13">
        <f>SUMIF(H:H,Online_eCommerce[[#This Row],[Brand]],M:M)</f>
        <v>18760300</v>
      </c>
      <c r="T649" s="13">
        <f>SUMIF(N:N,Online_eCommerce[[#This Row],[Assigned Supervisor]],L:L)</f>
        <v>12261500</v>
      </c>
    </row>
    <row r="650" spans="1:20" x14ac:dyDescent="0.3">
      <c r="A650" t="s">
        <v>1055</v>
      </c>
      <c r="B650" t="s">
        <v>131</v>
      </c>
      <c r="C650" t="s">
        <v>120</v>
      </c>
      <c r="D650" t="s">
        <v>925</v>
      </c>
      <c r="E650" t="s">
        <v>46</v>
      </c>
      <c r="F650" t="s">
        <v>32</v>
      </c>
      <c r="G650" t="s">
        <v>33</v>
      </c>
      <c r="H650" t="s">
        <v>34</v>
      </c>
      <c r="I650">
        <v>7000</v>
      </c>
      <c r="J650">
        <v>9100</v>
      </c>
      <c r="K650">
        <v>4</v>
      </c>
      <c r="L650">
        <v>28000</v>
      </c>
      <c r="M650">
        <v>36400</v>
      </c>
      <c r="N650" t="s">
        <v>50</v>
      </c>
      <c r="O650">
        <f t="shared" si="20"/>
        <v>18200</v>
      </c>
      <c r="P650" s="13">
        <f t="shared" si="21"/>
        <v>2734212</v>
      </c>
      <c r="Q650" s="13">
        <f>SUMIFS(M:M,E:E,Online_eCommerce[[#This Row],[Status]])</f>
        <v>28620410</v>
      </c>
      <c r="R650" s="13">
        <f>SUMIFS(L:L,H:H,Online_eCommerce[[#This Row],[Brand]])</f>
        <v>10087000</v>
      </c>
      <c r="S650" s="13">
        <f>SUMIF(H:H,Online_eCommerce[[#This Row],[Brand]],M:M)</f>
        <v>13113100</v>
      </c>
      <c r="T650" s="13">
        <f>SUMIF(N:N,Online_eCommerce[[#This Row],[Assigned Supervisor]],L:L)</f>
        <v>12100590</v>
      </c>
    </row>
    <row r="651" spans="1:20" hidden="1" x14ac:dyDescent="0.3">
      <c r="A651" t="s">
        <v>1056</v>
      </c>
      <c r="B651" t="s">
        <v>135</v>
      </c>
      <c r="C651" t="s">
        <v>125</v>
      </c>
      <c r="D651" t="s">
        <v>925</v>
      </c>
      <c r="E651" t="s">
        <v>96</v>
      </c>
      <c r="F651" t="s">
        <v>1057</v>
      </c>
      <c r="G651" t="s">
        <v>163</v>
      </c>
      <c r="H651" t="s">
        <v>41</v>
      </c>
      <c r="I651">
        <v>6550</v>
      </c>
      <c r="J651">
        <v>8515</v>
      </c>
      <c r="K651">
        <v>3</v>
      </c>
      <c r="L651">
        <v>19650</v>
      </c>
      <c r="M651">
        <v>25545</v>
      </c>
      <c r="N651" t="s">
        <v>56</v>
      </c>
      <c r="O651">
        <f t="shared" si="20"/>
        <v>13650</v>
      </c>
      <c r="P651" s="13">
        <f t="shared" si="21"/>
        <v>2091154</v>
      </c>
      <c r="Q651" s="13">
        <f>SUMIFS(M:M,E:E,Online_eCommerce[[#This Row],[Status]])</f>
        <v>21233992</v>
      </c>
      <c r="R651" s="13">
        <f>SUMIFS(L:L,H:H,Online_eCommerce[[#This Row],[Brand]])</f>
        <v>4260400</v>
      </c>
      <c r="S651" s="13">
        <f>SUMIF(H:H,Online_eCommerce[[#This Row],[Brand]],M:M)</f>
        <v>5538520</v>
      </c>
      <c r="T651" s="13">
        <f>SUMIF(N:N,Online_eCommerce[[#This Row],[Assigned Supervisor]],L:L)</f>
        <v>11733610</v>
      </c>
    </row>
    <row r="652" spans="1:20" hidden="1" x14ac:dyDescent="0.3">
      <c r="A652" t="s">
        <v>1058</v>
      </c>
      <c r="B652" t="s">
        <v>139</v>
      </c>
      <c r="C652" t="s">
        <v>22</v>
      </c>
      <c r="D652" t="s">
        <v>925</v>
      </c>
      <c r="E652" t="s">
        <v>18</v>
      </c>
      <c r="F652" t="s">
        <v>47</v>
      </c>
      <c r="G652" t="s">
        <v>66</v>
      </c>
      <c r="H652" t="s">
        <v>49</v>
      </c>
      <c r="I652">
        <v>7650</v>
      </c>
      <c r="J652">
        <v>9945</v>
      </c>
      <c r="K652">
        <v>2</v>
      </c>
      <c r="L652">
        <v>15300</v>
      </c>
      <c r="M652">
        <v>19890</v>
      </c>
      <c r="N652" t="s">
        <v>22</v>
      </c>
      <c r="O652">
        <f t="shared" si="20"/>
        <v>1690</v>
      </c>
      <c r="P652" s="13">
        <f t="shared" si="21"/>
        <v>2551588</v>
      </c>
      <c r="Q652" s="13">
        <f>SUMIFS(M:M,E:E,Online_eCommerce[[#This Row],[Status]])</f>
        <v>28340455</v>
      </c>
      <c r="R652" s="13">
        <f>SUMIFS(L:L,H:H,Online_eCommerce[[#This Row],[Brand]])</f>
        <v>4528350</v>
      </c>
      <c r="S652" s="13">
        <f>SUMIF(H:H,Online_eCommerce[[#This Row],[Brand]],M:M)</f>
        <v>5886855</v>
      </c>
      <c r="T652" s="13">
        <f>SUMIF(N:N,Online_eCommerce[[#This Row],[Assigned Supervisor]],L:L)</f>
        <v>13693220</v>
      </c>
    </row>
    <row r="653" spans="1:20" hidden="1" x14ac:dyDescent="0.3">
      <c r="A653" t="s">
        <v>1059</v>
      </c>
      <c r="B653" t="s">
        <v>144</v>
      </c>
      <c r="C653" t="s">
        <v>132</v>
      </c>
      <c r="D653" t="s">
        <v>925</v>
      </c>
      <c r="E653" t="s">
        <v>161</v>
      </c>
      <c r="F653" t="s">
        <v>53</v>
      </c>
      <c r="G653" t="s">
        <v>54</v>
      </c>
      <c r="H653" t="s">
        <v>55</v>
      </c>
      <c r="I653">
        <v>1150</v>
      </c>
      <c r="J653">
        <v>1495</v>
      </c>
      <c r="K653">
        <v>1</v>
      </c>
      <c r="L653">
        <v>1150</v>
      </c>
      <c r="M653">
        <v>1495</v>
      </c>
      <c r="N653" t="s">
        <v>28</v>
      </c>
      <c r="O653">
        <f t="shared" si="20"/>
        <v>2990</v>
      </c>
      <c r="P653" s="13">
        <f t="shared" si="21"/>
        <v>1989065</v>
      </c>
      <c r="Q653" s="13">
        <f>SUMIFS(M:M,E:E,Online_eCommerce[[#This Row],[Status]])</f>
        <v>21103186</v>
      </c>
      <c r="R653" s="13">
        <f>SUMIFS(L:L,H:H,Online_eCommerce[[#This Row],[Brand]])</f>
        <v>2267380</v>
      </c>
      <c r="S653" s="13">
        <f>SUMIF(H:H,Online_eCommerce[[#This Row],[Brand]],M:M)</f>
        <v>2947594</v>
      </c>
      <c r="T653" s="13">
        <f>SUMIF(N:N,Online_eCommerce[[#This Row],[Assigned Supervisor]],L:L)</f>
        <v>12220830</v>
      </c>
    </row>
    <row r="654" spans="1:20" x14ac:dyDescent="0.3">
      <c r="A654" t="s">
        <v>1060</v>
      </c>
      <c r="B654" t="s">
        <v>149</v>
      </c>
      <c r="C654" t="s">
        <v>136</v>
      </c>
      <c r="D654" t="s">
        <v>925</v>
      </c>
      <c r="E654" t="s">
        <v>46</v>
      </c>
      <c r="F654" t="s">
        <v>59</v>
      </c>
      <c r="G654" t="s">
        <v>60</v>
      </c>
      <c r="H654" t="s">
        <v>61</v>
      </c>
      <c r="I654">
        <v>850</v>
      </c>
      <c r="J654">
        <v>1105</v>
      </c>
      <c r="K654">
        <v>3</v>
      </c>
      <c r="L654">
        <v>2550</v>
      </c>
      <c r="M654">
        <v>3315</v>
      </c>
      <c r="N654" t="s">
        <v>35</v>
      </c>
      <c r="O654">
        <f t="shared" si="20"/>
        <v>3315</v>
      </c>
      <c r="P654" s="13">
        <f t="shared" si="21"/>
        <v>2775162</v>
      </c>
      <c r="Q654" s="13">
        <f>SUMIFS(M:M,E:E,Online_eCommerce[[#This Row],[Status]])</f>
        <v>28620410</v>
      </c>
      <c r="R654" s="13">
        <f>SUMIFS(L:L,H:H,Online_eCommerce[[#This Row],[Brand]])</f>
        <v>10950150</v>
      </c>
      <c r="S654" s="13">
        <f>SUMIF(H:H,Online_eCommerce[[#This Row],[Brand]],M:M)</f>
        <v>14235195</v>
      </c>
      <c r="T654" s="13">
        <f>SUMIF(N:N,Online_eCommerce[[#This Row],[Assigned Supervisor]],L:L)</f>
        <v>14373360</v>
      </c>
    </row>
    <row r="655" spans="1:20" hidden="1" x14ac:dyDescent="0.3">
      <c r="A655" t="s">
        <v>1061</v>
      </c>
      <c r="B655" t="s">
        <v>154</v>
      </c>
      <c r="C655" t="s">
        <v>140</v>
      </c>
      <c r="D655" t="s">
        <v>925</v>
      </c>
      <c r="E655" t="s">
        <v>96</v>
      </c>
      <c r="F655" t="s">
        <v>65</v>
      </c>
      <c r="G655" t="s">
        <v>66</v>
      </c>
      <c r="H655" t="s">
        <v>21</v>
      </c>
      <c r="I655">
        <v>650</v>
      </c>
      <c r="J655">
        <v>845</v>
      </c>
      <c r="K655">
        <v>3</v>
      </c>
      <c r="L655">
        <v>1950</v>
      </c>
      <c r="M655">
        <v>2535</v>
      </c>
      <c r="N655" t="s">
        <v>42</v>
      </c>
      <c r="O655">
        <f t="shared" si="20"/>
        <v>1690</v>
      </c>
      <c r="P655" s="13">
        <f t="shared" si="21"/>
        <v>2058264</v>
      </c>
      <c r="Q655" s="13">
        <f>SUMIFS(M:M,E:E,Online_eCommerce[[#This Row],[Status]])</f>
        <v>21233992</v>
      </c>
      <c r="R655" s="13">
        <f>SUMIFS(L:L,H:H,Online_eCommerce[[#This Row],[Brand]])</f>
        <v>12435650</v>
      </c>
      <c r="S655" s="13">
        <f>SUMIF(H:H,Online_eCommerce[[#This Row],[Brand]],M:M)</f>
        <v>16166345</v>
      </c>
      <c r="T655" s="13">
        <f>SUMIF(N:N,Online_eCommerce[[#This Row],[Assigned Supervisor]],L:L)</f>
        <v>12261500</v>
      </c>
    </row>
    <row r="656" spans="1:20" hidden="1" x14ac:dyDescent="0.3">
      <c r="A656" t="s">
        <v>1062</v>
      </c>
      <c r="B656" t="s">
        <v>154</v>
      </c>
      <c r="C656" t="s">
        <v>145</v>
      </c>
      <c r="D656" t="s">
        <v>925</v>
      </c>
      <c r="E656" t="s">
        <v>18</v>
      </c>
      <c r="F656" t="s">
        <v>70</v>
      </c>
      <c r="G656" t="s">
        <v>71</v>
      </c>
      <c r="H656" t="s">
        <v>61</v>
      </c>
      <c r="I656">
        <v>7500</v>
      </c>
      <c r="J656">
        <v>9750</v>
      </c>
      <c r="K656">
        <v>3</v>
      </c>
      <c r="L656">
        <v>22500</v>
      </c>
      <c r="M656">
        <v>29250</v>
      </c>
      <c r="N656" t="s">
        <v>50</v>
      </c>
      <c r="O656">
        <f t="shared" si="20"/>
        <v>9750</v>
      </c>
      <c r="P656" s="13">
        <f t="shared" si="21"/>
        <v>2757859</v>
      </c>
      <c r="Q656" s="13">
        <f>SUMIFS(M:M,E:E,Online_eCommerce[[#This Row],[Status]])</f>
        <v>28340455</v>
      </c>
      <c r="R656" s="13">
        <f>SUMIFS(L:L,H:H,Online_eCommerce[[#This Row],[Brand]])</f>
        <v>10950150</v>
      </c>
      <c r="S656" s="13">
        <f>SUMIF(H:H,Online_eCommerce[[#This Row],[Brand]],M:M)</f>
        <v>14235195</v>
      </c>
      <c r="T656" s="13">
        <f>SUMIF(N:N,Online_eCommerce[[#This Row],[Assigned Supervisor]],L:L)</f>
        <v>12100590</v>
      </c>
    </row>
    <row r="657" spans="1:20" hidden="1" x14ac:dyDescent="0.3">
      <c r="A657" t="s">
        <v>1063</v>
      </c>
      <c r="B657" t="s">
        <v>154</v>
      </c>
      <c r="C657" t="s">
        <v>150</v>
      </c>
      <c r="D657" t="s">
        <v>925</v>
      </c>
      <c r="E657" t="s">
        <v>161</v>
      </c>
      <c r="F657" t="s">
        <v>1050</v>
      </c>
      <c r="G657" t="s">
        <v>77</v>
      </c>
      <c r="H657" t="s">
        <v>78</v>
      </c>
      <c r="I657">
        <v>10000</v>
      </c>
      <c r="J657">
        <v>13000</v>
      </c>
      <c r="K657">
        <v>3</v>
      </c>
      <c r="L657">
        <v>30000</v>
      </c>
      <c r="M657">
        <v>39000</v>
      </c>
      <c r="N657" t="s">
        <v>56</v>
      </c>
      <c r="O657">
        <f t="shared" si="20"/>
        <v>39000</v>
      </c>
      <c r="P657" s="13">
        <f t="shared" si="21"/>
        <v>2154984</v>
      </c>
      <c r="Q657" s="13">
        <f>SUMIFS(M:M,E:E,Online_eCommerce[[#This Row],[Status]])</f>
        <v>21103186</v>
      </c>
      <c r="R657" s="13">
        <f>SUMIFS(L:L,H:H,Online_eCommerce[[#This Row],[Brand]])</f>
        <v>3720000</v>
      </c>
      <c r="S657" s="13">
        <f>SUMIF(H:H,Online_eCommerce[[#This Row],[Brand]],M:M)</f>
        <v>4836000</v>
      </c>
      <c r="T657" s="13">
        <f>SUMIF(N:N,Online_eCommerce[[#This Row],[Assigned Supervisor]],L:L)</f>
        <v>11733610</v>
      </c>
    </row>
    <row r="658" spans="1:20" x14ac:dyDescent="0.3">
      <c r="A658" t="s">
        <v>1064</v>
      </c>
      <c r="B658" t="s">
        <v>154</v>
      </c>
      <c r="C658" t="s">
        <v>155</v>
      </c>
      <c r="D658" t="s">
        <v>925</v>
      </c>
      <c r="E658" t="s">
        <v>46</v>
      </c>
      <c r="F658" t="s">
        <v>1065</v>
      </c>
      <c r="G658" t="s">
        <v>20</v>
      </c>
      <c r="H658" t="s">
        <v>21</v>
      </c>
      <c r="I658">
        <v>10500</v>
      </c>
      <c r="J658">
        <v>13650</v>
      </c>
      <c r="K658">
        <v>3</v>
      </c>
      <c r="L658">
        <v>31500</v>
      </c>
      <c r="M658">
        <v>40950</v>
      </c>
      <c r="N658" t="s">
        <v>22</v>
      </c>
      <c r="O658">
        <f t="shared" si="20"/>
        <v>8450</v>
      </c>
      <c r="P658" s="13">
        <f t="shared" si="21"/>
        <v>2753348</v>
      </c>
      <c r="Q658" s="13">
        <f>SUMIFS(M:M,E:E,Online_eCommerce[[#This Row],[Status]])</f>
        <v>28620410</v>
      </c>
      <c r="R658" s="13">
        <f>SUMIFS(L:L,H:H,Online_eCommerce[[#This Row],[Brand]])</f>
        <v>12435650</v>
      </c>
      <c r="S658" s="13">
        <f>SUMIF(H:H,Online_eCommerce[[#This Row],[Brand]],M:M)</f>
        <v>16166345</v>
      </c>
      <c r="T658" s="13">
        <f>SUMIF(N:N,Online_eCommerce[[#This Row],[Assigned Supervisor]],L:L)</f>
        <v>13693220</v>
      </c>
    </row>
    <row r="659" spans="1:20" hidden="1" x14ac:dyDescent="0.3">
      <c r="A659" t="s">
        <v>1066</v>
      </c>
      <c r="B659" t="s">
        <v>154</v>
      </c>
      <c r="C659" t="s">
        <v>160</v>
      </c>
      <c r="D659" t="s">
        <v>925</v>
      </c>
      <c r="E659" t="s">
        <v>96</v>
      </c>
      <c r="F659" t="s">
        <v>88</v>
      </c>
      <c r="G659" t="s">
        <v>26</v>
      </c>
      <c r="H659" t="s">
        <v>27</v>
      </c>
      <c r="I659">
        <v>8500</v>
      </c>
      <c r="J659">
        <v>11050</v>
      </c>
      <c r="K659">
        <v>4</v>
      </c>
      <c r="L659">
        <v>34000</v>
      </c>
      <c r="M659">
        <v>44200</v>
      </c>
      <c r="N659" t="s">
        <v>28</v>
      </c>
      <c r="O659">
        <f t="shared" si="20"/>
        <v>33150</v>
      </c>
      <c r="P659" s="13">
        <f t="shared" si="21"/>
        <v>2303483</v>
      </c>
      <c r="Q659" s="13">
        <f>SUMIFS(M:M,E:E,Online_eCommerce[[#This Row],[Status]])</f>
        <v>21233992</v>
      </c>
      <c r="R659" s="13">
        <f>SUMIFS(L:L,H:H,Online_eCommerce[[#This Row],[Brand]])</f>
        <v>14431000</v>
      </c>
      <c r="S659" s="13">
        <f>SUMIF(H:H,Online_eCommerce[[#This Row],[Brand]],M:M)</f>
        <v>18760300</v>
      </c>
      <c r="T659" s="13">
        <f>SUMIF(N:N,Online_eCommerce[[#This Row],[Assigned Supervisor]],L:L)</f>
        <v>12220830</v>
      </c>
    </row>
    <row r="660" spans="1:20" hidden="1" x14ac:dyDescent="0.3">
      <c r="A660" t="s">
        <v>1067</v>
      </c>
      <c r="B660" t="s">
        <v>154</v>
      </c>
      <c r="C660" t="s">
        <v>165</v>
      </c>
      <c r="D660" t="s">
        <v>925</v>
      </c>
      <c r="E660" t="s">
        <v>18</v>
      </c>
      <c r="F660" t="s">
        <v>32</v>
      </c>
      <c r="G660" t="s">
        <v>33</v>
      </c>
      <c r="H660" t="s">
        <v>34</v>
      </c>
      <c r="I660">
        <v>7000</v>
      </c>
      <c r="J660">
        <v>9100</v>
      </c>
      <c r="K660">
        <v>2</v>
      </c>
      <c r="L660">
        <v>14000</v>
      </c>
      <c r="M660">
        <v>18200</v>
      </c>
      <c r="N660" t="s">
        <v>35</v>
      </c>
      <c r="O660">
        <f t="shared" si="20"/>
        <v>18200</v>
      </c>
      <c r="P660" s="13">
        <f t="shared" si="21"/>
        <v>2674087</v>
      </c>
      <c r="Q660" s="13">
        <f>SUMIFS(M:M,E:E,Online_eCommerce[[#This Row],[Status]])</f>
        <v>28340455</v>
      </c>
      <c r="R660" s="13">
        <f>SUMIFS(L:L,H:H,Online_eCommerce[[#This Row],[Brand]])</f>
        <v>10087000</v>
      </c>
      <c r="S660" s="13">
        <f>SUMIF(H:H,Online_eCommerce[[#This Row],[Brand]],M:M)</f>
        <v>13113100</v>
      </c>
      <c r="T660" s="13">
        <f>SUMIF(N:N,Online_eCommerce[[#This Row],[Assigned Supervisor]],L:L)</f>
        <v>14373360</v>
      </c>
    </row>
    <row r="661" spans="1:20" hidden="1" x14ac:dyDescent="0.3">
      <c r="A661" t="s">
        <v>1068</v>
      </c>
      <c r="B661" t="s">
        <v>154</v>
      </c>
      <c r="C661" t="s">
        <v>168</v>
      </c>
      <c r="D661" t="s">
        <v>925</v>
      </c>
      <c r="E661" t="s">
        <v>161</v>
      </c>
      <c r="F661" t="s">
        <v>1069</v>
      </c>
      <c r="G661" t="s">
        <v>163</v>
      </c>
      <c r="H661" t="s">
        <v>41</v>
      </c>
      <c r="I661">
        <v>1680</v>
      </c>
      <c r="J661">
        <v>2184</v>
      </c>
      <c r="K661">
        <v>4</v>
      </c>
      <c r="L661">
        <v>6720</v>
      </c>
      <c r="M661">
        <v>8736</v>
      </c>
      <c r="N661" t="s">
        <v>42</v>
      </c>
      <c r="O661">
        <f t="shared" si="20"/>
        <v>13650</v>
      </c>
      <c r="P661" s="13">
        <f t="shared" si="21"/>
        <v>1937780</v>
      </c>
      <c r="Q661" s="13">
        <f>SUMIFS(M:M,E:E,Online_eCommerce[[#This Row],[Status]])</f>
        <v>21103186</v>
      </c>
      <c r="R661" s="13">
        <f>SUMIFS(L:L,H:H,Online_eCommerce[[#This Row],[Brand]])</f>
        <v>4260400</v>
      </c>
      <c r="S661" s="13">
        <f>SUMIF(H:H,Online_eCommerce[[#This Row],[Brand]],M:M)</f>
        <v>5538520</v>
      </c>
      <c r="T661" s="13">
        <f>SUMIF(N:N,Online_eCommerce[[#This Row],[Assigned Supervisor]],L:L)</f>
        <v>12261500</v>
      </c>
    </row>
    <row r="662" spans="1:20" x14ac:dyDescent="0.3">
      <c r="A662" t="s">
        <v>1070</v>
      </c>
      <c r="B662" t="s">
        <v>154</v>
      </c>
      <c r="C662" t="s">
        <v>172</v>
      </c>
      <c r="D662" t="s">
        <v>925</v>
      </c>
      <c r="E662" t="s">
        <v>46</v>
      </c>
      <c r="F662" t="s">
        <v>101</v>
      </c>
      <c r="G662" t="s">
        <v>66</v>
      </c>
      <c r="H662" t="s">
        <v>102</v>
      </c>
      <c r="I662">
        <v>6540</v>
      </c>
      <c r="J662">
        <v>8502</v>
      </c>
      <c r="K662">
        <v>3</v>
      </c>
      <c r="L662">
        <v>19620</v>
      </c>
      <c r="M662">
        <v>25506</v>
      </c>
      <c r="N662" t="s">
        <v>50</v>
      </c>
      <c r="O662">
        <f t="shared" si="20"/>
        <v>1690</v>
      </c>
      <c r="P662" s="13">
        <f t="shared" si="21"/>
        <v>2640274</v>
      </c>
      <c r="Q662" s="13">
        <f>SUMIFS(M:M,E:E,Online_eCommerce[[#This Row],[Status]])</f>
        <v>28620410</v>
      </c>
      <c r="R662" s="13">
        <f>SUMIFS(L:L,H:H,Online_eCommerce[[#This Row],[Brand]])</f>
        <v>2465580</v>
      </c>
      <c r="S662" s="13">
        <f>SUMIF(H:H,Online_eCommerce[[#This Row],[Brand]],M:M)</f>
        <v>3205254</v>
      </c>
      <c r="T662" s="13">
        <f>SUMIF(N:N,Online_eCommerce[[#This Row],[Assigned Supervisor]],L:L)</f>
        <v>12100590</v>
      </c>
    </row>
    <row r="663" spans="1:20" hidden="1" x14ac:dyDescent="0.3">
      <c r="A663" t="s">
        <v>1071</v>
      </c>
      <c r="B663" t="s">
        <v>154</v>
      </c>
      <c r="C663" t="s">
        <v>177</v>
      </c>
      <c r="D663" t="s">
        <v>925</v>
      </c>
      <c r="E663" t="s">
        <v>96</v>
      </c>
      <c r="F663" t="s">
        <v>107</v>
      </c>
      <c r="G663" t="s">
        <v>54</v>
      </c>
      <c r="H663" t="s">
        <v>55</v>
      </c>
      <c r="I663">
        <v>2680</v>
      </c>
      <c r="J663">
        <v>3484</v>
      </c>
      <c r="K663">
        <v>4</v>
      </c>
      <c r="L663">
        <v>10720</v>
      </c>
      <c r="M663">
        <v>13936</v>
      </c>
      <c r="N663" t="s">
        <v>56</v>
      </c>
      <c r="O663">
        <f t="shared" si="20"/>
        <v>2990</v>
      </c>
      <c r="P663" s="13">
        <f t="shared" si="21"/>
        <v>1863810</v>
      </c>
      <c r="Q663" s="13">
        <f>SUMIFS(M:M,E:E,Online_eCommerce[[#This Row],[Status]])</f>
        <v>21233992</v>
      </c>
      <c r="R663" s="13">
        <f>SUMIFS(L:L,H:H,Online_eCommerce[[#This Row],[Brand]])</f>
        <v>2267380</v>
      </c>
      <c r="S663" s="13">
        <f>SUMIF(H:H,Online_eCommerce[[#This Row],[Brand]],M:M)</f>
        <v>2947594</v>
      </c>
      <c r="T663" s="13">
        <f>SUMIF(N:N,Online_eCommerce[[#This Row],[Assigned Supervisor]],L:L)</f>
        <v>11733610</v>
      </c>
    </row>
    <row r="664" spans="1:20" hidden="1" x14ac:dyDescent="0.3">
      <c r="A664" t="s">
        <v>1072</v>
      </c>
      <c r="B664" t="s">
        <v>154</v>
      </c>
      <c r="C664" t="s">
        <v>181</v>
      </c>
      <c r="D664" t="s">
        <v>925</v>
      </c>
      <c r="E664" t="s">
        <v>18</v>
      </c>
      <c r="F664" t="s">
        <v>112</v>
      </c>
      <c r="G664" t="s">
        <v>71</v>
      </c>
      <c r="H664" t="s">
        <v>21</v>
      </c>
      <c r="I664">
        <v>8250</v>
      </c>
      <c r="J664">
        <v>10725</v>
      </c>
      <c r="K664">
        <v>3</v>
      </c>
      <c r="L664">
        <v>24750</v>
      </c>
      <c r="M664">
        <v>32175</v>
      </c>
      <c r="N664" t="s">
        <v>22</v>
      </c>
      <c r="O664">
        <f t="shared" si="20"/>
        <v>9750</v>
      </c>
      <c r="P664" s="13">
        <f t="shared" si="21"/>
        <v>2577458</v>
      </c>
      <c r="Q664" s="13">
        <f>SUMIFS(M:M,E:E,Online_eCommerce[[#This Row],[Status]])</f>
        <v>28340455</v>
      </c>
      <c r="R664" s="13">
        <f>SUMIFS(L:L,H:H,Online_eCommerce[[#This Row],[Brand]])</f>
        <v>12435650</v>
      </c>
      <c r="S664" s="13">
        <f>SUMIF(H:H,Online_eCommerce[[#This Row],[Brand]],M:M)</f>
        <v>16166345</v>
      </c>
      <c r="T664" s="13">
        <f>SUMIF(N:N,Online_eCommerce[[#This Row],[Assigned Supervisor]],L:L)</f>
        <v>13693220</v>
      </c>
    </row>
    <row r="665" spans="1:20" hidden="1" x14ac:dyDescent="0.3">
      <c r="A665" t="s">
        <v>1073</v>
      </c>
      <c r="B665" t="s">
        <v>154</v>
      </c>
      <c r="C665" t="s">
        <v>185</v>
      </c>
      <c r="D665" t="s">
        <v>925</v>
      </c>
      <c r="E665" t="s">
        <v>161</v>
      </c>
      <c r="F665" t="s">
        <v>717</v>
      </c>
      <c r="G665" t="s">
        <v>40</v>
      </c>
      <c r="H665" t="s">
        <v>21</v>
      </c>
      <c r="I665">
        <v>2650</v>
      </c>
      <c r="J665">
        <v>3445</v>
      </c>
      <c r="K665">
        <v>4</v>
      </c>
      <c r="L665">
        <v>10600</v>
      </c>
      <c r="M665">
        <v>13780</v>
      </c>
      <c r="N665" t="s">
        <v>28</v>
      </c>
      <c r="O665">
        <f t="shared" si="20"/>
        <v>25545</v>
      </c>
      <c r="P665" s="13">
        <f t="shared" si="21"/>
        <v>2091596</v>
      </c>
      <c r="Q665" s="13">
        <f>SUMIFS(M:M,E:E,Online_eCommerce[[#This Row],[Status]])</f>
        <v>21103186</v>
      </c>
      <c r="R665" s="13">
        <f>SUMIFS(L:L,H:H,Online_eCommerce[[#This Row],[Brand]])</f>
        <v>12435650</v>
      </c>
      <c r="S665" s="13">
        <f>SUMIF(H:H,Online_eCommerce[[#This Row],[Brand]],M:M)</f>
        <v>16166345</v>
      </c>
      <c r="T665" s="13">
        <f>SUMIF(N:N,Online_eCommerce[[#This Row],[Assigned Supervisor]],L:L)</f>
        <v>12220830</v>
      </c>
    </row>
    <row r="666" spans="1:20" x14ac:dyDescent="0.3">
      <c r="A666" t="s">
        <v>1074</v>
      </c>
      <c r="B666" t="s">
        <v>154</v>
      </c>
      <c r="C666" t="s">
        <v>189</v>
      </c>
      <c r="D666" t="s">
        <v>925</v>
      </c>
      <c r="E666" t="s">
        <v>46</v>
      </c>
      <c r="F666" t="s">
        <v>121</v>
      </c>
      <c r="G666" t="s">
        <v>71</v>
      </c>
      <c r="H666" t="s">
        <v>122</v>
      </c>
      <c r="I666">
        <v>12550</v>
      </c>
      <c r="J666">
        <v>16315</v>
      </c>
      <c r="K666">
        <v>3</v>
      </c>
      <c r="L666">
        <v>37650</v>
      </c>
      <c r="M666">
        <v>48945</v>
      </c>
      <c r="N666" t="s">
        <v>35</v>
      </c>
      <c r="O666">
        <f t="shared" si="20"/>
        <v>9750</v>
      </c>
      <c r="P666" s="13">
        <f t="shared" si="21"/>
        <v>2740777</v>
      </c>
      <c r="Q666" s="13">
        <f>SUMIFS(M:M,E:E,Online_eCommerce[[#This Row],[Status]])</f>
        <v>28620410</v>
      </c>
      <c r="R666" s="13">
        <f>SUMIFS(L:L,H:H,Online_eCommerce[[#This Row],[Brand]])</f>
        <v>5045100</v>
      </c>
      <c r="S666" s="13">
        <f>SUMIF(H:H,Online_eCommerce[[#This Row],[Brand]],M:M)</f>
        <v>6558630</v>
      </c>
      <c r="T666" s="13">
        <f>SUMIF(N:N,Online_eCommerce[[#This Row],[Assigned Supervisor]],L:L)</f>
        <v>14373360</v>
      </c>
    </row>
    <row r="667" spans="1:20" hidden="1" x14ac:dyDescent="0.3">
      <c r="A667" t="s">
        <v>1075</v>
      </c>
      <c r="B667" t="s">
        <v>154</v>
      </c>
      <c r="C667" t="s">
        <v>193</v>
      </c>
      <c r="D667" t="s">
        <v>925</v>
      </c>
      <c r="E667" t="s">
        <v>96</v>
      </c>
      <c r="F667" t="s">
        <v>126</v>
      </c>
      <c r="G667" t="s">
        <v>26</v>
      </c>
      <c r="H667" t="s">
        <v>27</v>
      </c>
      <c r="I667">
        <v>14500</v>
      </c>
      <c r="J667">
        <v>18850</v>
      </c>
      <c r="K667">
        <v>4</v>
      </c>
      <c r="L667">
        <v>58000</v>
      </c>
      <c r="M667">
        <v>75400</v>
      </c>
      <c r="N667" t="s">
        <v>42</v>
      </c>
      <c r="O667">
        <f t="shared" si="20"/>
        <v>33150</v>
      </c>
      <c r="P667" s="13">
        <f t="shared" si="21"/>
        <v>2074774</v>
      </c>
      <c r="Q667" s="13">
        <f>SUMIFS(M:M,E:E,Online_eCommerce[[#This Row],[Status]])</f>
        <v>21233992</v>
      </c>
      <c r="R667" s="13">
        <f>SUMIFS(L:L,H:H,Online_eCommerce[[#This Row],[Brand]])</f>
        <v>14431000</v>
      </c>
      <c r="S667" s="13">
        <f>SUMIF(H:H,Online_eCommerce[[#This Row],[Brand]],M:M)</f>
        <v>18760300</v>
      </c>
      <c r="T667" s="13">
        <f>SUMIF(N:N,Online_eCommerce[[#This Row],[Assigned Supervisor]],L:L)</f>
        <v>12261500</v>
      </c>
    </row>
    <row r="668" spans="1:20" hidden="1" x14ac:dyDescent="0.3">
      <c r="A668" t="s">
        <v>1076</v>
      </c>
      <c r="B668" t="s">
        <v>154</v>
      </c>
      <c r="C668" t="s">
        <v>197</v>
      </c>
      <c r="D668" t="s">
        <v>925</v>
      </c>
      <c r="E668" t="s">
        <v>18</v>
      </c>
      <c r="F668" t="s">
        <v>129</v>
      </c>
      <c r="G668" t="s">
        <v>60</v>
      </c>
      <c r="H668" t="s">
        <v>61</v>
      </c>
      <c r="I668">
        <v>800</v>
      </c>
      <c r="J668">
        <v>1040</v>
      </c>
      <c r="K668">
        <v>2</v>
      </c>
      <c r="L668">
        <v>1600</v>
      </c>
      <c r="M668">
        <v>2080</v>
      </c>
      <c r="N668" t="s">
        <v>50</v>
      </c>
      <c r="O668">
        <f t="shared" si="20"/>
        <v>3315</v>
      </c>
      <c r="P668" s="13">
        <f t="shared" si="21"/>
        <v>2829840</v>
      </c>
      <c r="Q668" s="13">
        <f>SUMIFS(M:M,E:E,Online_eCommerce[[#This Row],[Status]])</f>
        <v>28340455</v>
      </c>
      <c r="R668" s="13">
        <f>SUMIFS(L:L,H:H,Online_eCommerce[[#This Row],[Brand]])</f>
        <v>10950150</v>
      </c>
      <c r="S668" s="13">
        <f>SUMIF(H:H,Online_eCommerce[[#This Row],[Brand]],M:M)</f>
        <v>14235195</v>
      </c>
      <c r="T668" s="13">
        <f>SUMIF(N:N,Online_eCommerce[[#This Row],[Assigned Supervisor]],L:L)</f>
        <v>12100590</v>
      </c>
    </row>
    <row r="669" spans="1:20" hidden="1" x14ac:dyDescent="0.3">
      <c r="A669" t="s">
        <v>1077</v>
      </c>
      <c r="B669" t="s">
        <v>154</v>
      </c>
      <c r="C669" t="s">
        <v>199</v>
      </c>
      <c r="D669" t="s">
        <v>925</v>
      </c>
      <c r="E669" t="s">
        <v>161</v>
      </c>
      <c r="F669" t="s">
        <v>133</v>
      </c>
      <c r="G669" t="s">
        <v>66</v>
      </c>
      <c r="H669" t="s">
        <v>21</v>
      </c>
      <c r="I669">
        <v>600</v>
      </c>
      <c r="J669">
        <v>780</v>
      </c>
      <c r="K669">
        <v>3</v>
      </c>
      <c r="L669">
        <v>1800</v>
      </c>
      <c r="M669">
        <v>2340</v>
      </c>
      <c r="N669" t="s">
        <v>56</v>
      </c>
      <c r="O669">
        <f t="shared" si="20"/>
        <v>1690</v>
      </c>
      <c r="P669" s="13">
        <f t="shared" si="21"/>
        <v>1947361</v>
      </c>
      <c r="Q669" s="13">
        <f>SUMIFS(M:M,E:E,Online_eCommerce[[#This Row],[Status]])</f>
        <v>21103186</v>
      </c>
      <c r="R669" s="13">
        <f>SUMIFS(L:L,H:H,Online_eCommerce[[#This Row],[Brand]])</f>
        <v>12435650</v>
      </c>
      <c r="S669" s="13">
        <f>SUMIF(H:H,Online_eCommerce[[#This Row],[Brand]],M:M)</f>
        <v>16166345</v>
      </c>
      <c r="T669" s="13">
        <f>SUMIF(N:N,Online_eCommerce[[#This Row],[Assigned Supervisor]],L:L)</f>
        <v>11733610</v>
      </c>
    </row>
    <row r="670" spans="1:20" x14ac:dyDescent="0.3">
      <c r="A670" t="s">
        <v>1078</v>
      </c>
      <c r="B670" t="s">
        <v>154</v>
      </c>
      <c r="C670" t="s">
        <v>203</v>
      </c>
      <c r="D670" t="s">
        <v>925</v>
      </c>
      <c r="E670" t="s">
        <v>46</v>
      </c>
      <c r="F670" t="s">
        <v>137</v>
      </c>
      <c r="G670" t="s">
        <v>71</v>
      </c>
      <c r="H670" t="s">
        <v>61</v>
      </c>
      <c r="I670">
        <v>10500</v>
      </c>
      <c r="J670">
        <v>13650</v>
      </c>
      <c r="K670">
        <v>3</v>
      </c>
      <c r="L670">
        <v>31500</v>
      </c>
      <c r="M670">
        <v>40950</v>
      </c>
      <c r="N670" t="s">
        <v>22</v>
      </c>
      <c r="O670">
        <f t="shared" si="20"/>
        <v>9750</v>
      </c>
      <c r="P670" s="13">
        <f t="shared" si="21"/>
        <v>2559635</v>
      </c>
      <c r="Q670" s="13">
        <f>SUMIFS(M:M,E:E,Online_eCommerce[[#This Row],[Status]])</f>
        <v>28620410</v>
      </c>
      <c r="R670" s="13">
        <f>SUMIFS(L:L,H:H,Online_eCommerce[[#This Row],[Brand]])</f>
        <v>10950150</v>
      </c>
      <c r="S670" s="13">
        <f>SUMIF(H:H,Online_eCommerce[[#This Row],[Brand]],M:M)</f>
        <v>14235195</v>
      </c>
      <c r="T670" s="13">
        <f>SUMIF(N:N,Online_eCommerce[[#This Row],[Assigned Supervisor]],L:L)</f>
        <v>13693220</v>
      </c>
    </row>
    <row r="671" spans="1:20" hidden="1" x14ac:dyDescent="0.3">
      <c r="A671" t="s">
        <v>1079</v>
      </c>
      <c r="B671" t="s">
        <v>154</v>
      </c>
      <c r="C671" t="s">
        <v>205</v>
      </c>
      <c r="D671" t="s">
        <v>925</v>
      </c>
      <c r="E671" t="s">
        <v>96</v>
      </c>
      <c r="F671" t="s">
        <v>1050</v>
      </c>
      <c r="G671" t="s">
        <v>77</v>
      </c>
      <c r="H671" t="s">
        <v>142</v>
      </c>
      <c r="I671">
        <v>6500</v>
      </c>
      <c r="J671">
        <v>8450</v>
      </c>
      <c r="K671">
        <v>3</v>
      </c>
      <c r="L671">
        <v>19500</v>
      </c>
      <c r="M671">
        <v>25350</v>
      </c>
      <c r="N671" t="s">
        <v>28</v>
      </c>
      <c r="O671">
        <f t="shared" si="20"/>
        <v>39000</v>
      </c>
      <c r="P671" s="13">
        <f t="shared" si="21"/>
        <v>1983254</v>
      </c>
      <c r="Q671" s="13">
        <f>SUMIFS(M:M,E:E,Online_eCommerce[[#This Row],[Status]])</f>
        <v>21233992</v>
      </c>
      <c r="R671" s="13">
        <f>SUMIFS(L:L,H:H,Online_eCommerce[[#This Row],[Brand]])</f>
        <v>6192500</v>
      </c>
      <c r="S671" s="13">
        <f>SUMIF(H:H,Online_eCommerce[[#This Row],[Brand]],M:M)</f>
        <v>8050250</v>
      </c>
      <c r="T671" s="13">
        <f>SUMIF(N:N,Online_eCommerce[[#This Row],[Assigned Supervisor]],L:L)</f>
        <v>12220830</v>
      </c>
    </row>
    <row r="672" spans="1:20" hidden="1" x14ac:dyDescent="0.3">
      <c r="A672" t="s">
        <v>1080</v>
      </c>
      <c r="B672" t="s">
        <v>154</v>
      </c>
      <c r="C672" t="s">
        <v>208</v>
      </c>
      <c r="D672" t="s">
        <v>925</v>
      </c>
      <c r="E672" t="s">
        <v>18</v>
      </c>
      <c r="F672" t="s">
        <v>1081</v>
      </c>
      <c r="G672" t="s">
        <v>20</v>
      </c>
      <c r="H672" t="s">
        <v>21</v>
      </c>
      <c r="I672">
        <v>4500</v>
      </c>
      <c r="J672">
        <v>5850</v>
      </c>
      <c r="K672">
        <v>2</v>
      </c>
      <c r="L672">
        <v>9000</v>
      </c>
      <c r="M672">
        <v>11700</v>
      </c>
      <c r="N672" t="s">
        <v>35</v>
      </c>
      <c r="O672">
        <f t="shared" si="20"/>
        <v>8450</v>
      </c>
      <c r="P672" s="13">
        <f t="shared" si="21"/>
        <v>2746575</v>
      </c>
      <c r="Q672" s="13">
        <f>SUMIFS(M:M,E:E,Online_eCommerce[[#This Row],[Status]])</f>
        <v>28340455</v>
      </c>
      <c r="R672" s="13">
        <f>SUMIFS(L:L,H:H,Online_eCommerce[[#This Row],[Brand]])</f>
        <v>12435650</v>
      </c>
      <c r="S672" s="13">
        <f>SUMIF(H:H,Online_eCommerce[[#This Row],[Brand]],M:M)</f>
        <v>16166345</v>
      </c>
      <c r="T672" s="13">
        <f>SUMIF(N:N,Online_eCommerce[[#This Row],[Assigned Supervisor]],L:L)</f>
        <v>14373360</v>
      </c>
    </row>
    <row r="673" spans="1:20" hidden="1" x14ac:dyDescent="0.3">
      <c r="A673" t="s">
        <v>1082</v>
      </c>
      <c r="B673" t="s">
        <v>154</v>
      </c>
      <c r="C673" t="s">
        <v>211</v>
      </c>
      <c r="D673" t="s">
        <v>925</v>
      </c>
      <c r="E673" t="s">
        <v>161</v>
      </c>
      <c r="F673" t="s">
        <v>152</v>
      </c>
      <c r="G673" t="s">
        <v>26</v>
      </c>
      <c r="H673" t="s">
        <v>27</v>
      </c>
      <c r="I673">
        <v>8500</v>
      </c>
      <c r="J673">
        <v>11050</v>
      </c>
      <c r="K673">
        <v>3</v>
      </c>
      <c r="L673">
        <v>25500</v>
      </c>
      <c r="M673">
        <v>33150</v>
      </c>
      <c r="N673" t="s">
        <v>42</v>
      </c>
      <c r="O673">
        <f t="shared" si="20"/>
        <v>33150</v>
      </c>
      <c r="P673" s="13">
        <f t="shared" si="21"/>
        <v>1809847</v>
      </c>
      <c r="Q673" s="13">
        <f>SUMIFS(M:M,E:E,Online_eCommerce[[#This Row],[Status]])</f>
        <v>21103186</v>
      </c>
      <c r="R673" s="13">
        <f>SUMIFS(L:L,H:H,Online_eCommerce[[#This Row],[Brand]])</f>
        <v>14431000</v>
      </c>
      <c r="S673" s="13">
        <f>SUMIF(H:H,Online_eCommerce[[#This Row],[Brand]],M:M)</f>
        <v>18760300</v>
      </c>
      <c r="T673" s="13">
        <f>SUMIF(N:N,Online_eCommerce[[#This Row],[Assigned Supervisor]],L:L)</f>
        <v>12261500</v>
      </c>
    </row>
    <row r="674" spans="1:20" x14ac:dyDescent="0.3">
      <c r="A674" t="s">
        <v>1083</v>
      </c>
      <c r="B674" t="s">
        <v>154</v>
      </c>
      <c r="C674" t="s">
        <v>16</v>
      </c>
      <c r="D674" t="s">
        <v>925</v>
      </c>
      <c r="E674" t="s">
        <v>46</v>
      </c>
      <c r="F674" t="s">
        <v>157</v>
      </c>
      <c r="G674" t="s">
        <v>33</v>
      </c>
      <c r="H674" t="s">
        <v>34</v>
      </c>
      <c r="I674">
        <v>12500</v>
      </c>
      <c r="J674">
        <v>16250</v>
      </c>
      <c r="K674">
        <v>2</v>
      </c>
      <c r="L674">
        <v>25000</v>
      </c>
      <c r="M674">
        <v>32500</v>
      </c>
      <c r="N674" t="s">
        <v>50</v>
      </c>
      <c r="O674">
        <f t="shared" si="20"/>
        <v>18200</v>
      </c>
      <c r="P674" s="13">
        <f t="shared" si="21"/>
        <v>2751814</v>
      </c>
      <c r="Q674" s="13">
        <f>SUMIFS(M:M,E:E,Online_eCommerce[[#This Row],[Status]])</f>
        <v>28620410</v>
      </c>
      <c r="R674" s="13">
        <f>SUMIFS(L:L,H:H,Online_eCommerce[[#This Row],[Brand]])</f>
        <v>10087000</v>
      </c>
      <c r="S674" s="13">
        <f>SUMIF(H:H,Online_eCommerce[[#This Row],[Brand]],M:M)</f>
        <v>13113100</v>
      </c>
      <c r="T674" s="13">
        <f>SUMIF(N:N,Online_eCommerce[[#This Row],[Assigned Supervisor]],L:L)</f>
        <v>12100590</v>
      </c>
    </row>
    <row r="675" spans="1:20" hidden="1" x14ac:dyDescent="0.3">
      <c r="A675" t="s">
        <v>1084</v>
      </c>
      <c r="B675" t="s">
        <v>154</v>
      </c>
      <c r="C675" t="s">
        <v>24</v>
      </c>
      <c r="D675" t="s">
        <v>925</v>
      </c>
      <c r="E675" t="s">
        <v>96</v>
      </c>
      <c r="F675" t="s">
        <v>759</v>
      </c>
      <c r="G675" t="s">
        <v>256</v>
      </c>
      <c r="H675" t="s">
        <v>41</v>
      </c>
      <c r="I675">
        <v>3500</v>
      </c>
      <c r="J675">
        <v>4550</v>
      </c>
      <c r="K675">
        <v>4</v>
      </c>
      <c r="L675">
        <v>14000</v>
      </c>
      <c r="M675">
        <v>18200</v>
      </c>
      <c r="N675" t="s">
        <v>56</v>
      </c>
      <c r="O675">
        <f t="shared" si="20"/>
        <v>9100</v>
      </c>
      <c r="P675" s="13">
        <f t="shared" si="21"/>
        <v>2009540</v>
      </c>
      <c r="Q675" s="13">
        <f>SUMIFS(M:M,E:E,Online_eCommerce[[#This Row],[Status]])</f>
        <v>21233992</v>
      </c>
      <c r="R675" s="13">
        <f>SUMIFS(L:L,H:H,Online_eCommerce[[#This Row],[Brand]])</f>
        <v>4260400</v>
      </c>
      <c r="S675" s="13">
        <f>SUMIF(H:H,Online_eCommerce[[#This Row],[Brand]],M:M)</f>
        <v>5538520</v>
      </c>
      <c r="T675" s="13">
        <f>SUMIF(N:N,Online_eCommerce[[#This Row],[Assigned Supervisor]],L:L)</f>
        <v>11733610</v>
      </c>
    </row>
    <row r="676" spans="1:20" hidden="1" x14ac:dyDescent="0.3">
      <c r="A676" t="s">
        <v>1085</v>
      </c>
      <c r="B676" t="s">
        <v>154</v>
      </c>
      <c r="C676" t="s">
        <v>31</v>
      </c>
      <c r="D676" t="s">
        <v>925</v>
      </c>
      <c r="E676" t="s">
        <v>18</v>
      </c>
      <c r="F676" t="s">
        <v>166</v>
      </c>
      <c r="G676" t="s">
        <v>259</v>
      </c>
      <c r="H676" t="s">
        <v>49</v>
      </c>
      <c r="I676">
        <v>4500</v>
      </c>
      <c r="J676">
        <v>5850</v>
      </c>
      <c r="K676">
        <v>1</v>
      </c>
      <c r="L676">
        <v>4500</v>
      </c>
      <c r="M676">
        <v>5850</v>
      </c>
      <c r="N676" t="s">
        <v>22</v>
      </c>
      <c r="O676">
        <f t="shared" si="20"/>
        <v>11700</v>
      </c>
      <c r="P676" s="13">
        <f t="shared" si="21"/>
        <v>2865746</v>
      </c>
      <c r="Q676" s="13">
        <f>SUMIFS(M:M,E:E,Online_eCommerce[[#This Row],[Status]])</f>
        <v>28340455</v>
      </c>
      <c r="R676" s="13">
        <f>SUMIFS(L:L,H:H,Online_eCommerce[[#This Row],[Brand]])</f>
        <v>4528350</v>
      </c>
      <c r="S676" s="13">
        <f>SUMIF(H:H,Online_eCommerce[[#This Row],[Brand]],M:M)</f>
        <v>5886855</v>
      </c>
      <c r="T676" s="13">
        <f>SUMIF(N:N,Online_eCommerce[[#This Row],[Assigned Supervisor]],L:L)</f>
        <v>13693220</v>
      </c>
    </row>
    <row r="677" spans="1:20" hidden="1" x14ac:dyDescent="0.3">
      <c r="A677" t="s">
        <v>1086</v>
      </c>
      <c r="B677" t="s">
        <v>154</v>
      </c>
      <c r="C677" t="s">
        <v>38</v>
      </c>
      <c r="D677" t="s">
        <v>925</v>
      </c>
      <c r="E677" t="s">
        <v>161</v>
      </c>
      <c r="F677" t="s">
        <v>1087</v>
      </c>
      <c r="G677" t="s">
        <v>54</v>
      </c>
      <c r="H677" t="s">
        <v>55</v>
      </c>
      <c r="I677">
        <v>2100</v>
      </c>
      <c r="J677">
        <v>2730</v>
      </c>
      <c r="K677">
        <v>1</v>
      </c>
      <c r="L677">
        <v>2100</v>
      </c>
      <c r="M677">
        <v>2730</v>
      </c>
      <c r="N677" t="s">
        <v>28</v>
      </c>
      <c r="O677">
        <f t="shared" si="20"/>
        <v>2990</v>
      </c>
      <c r="P677" s="13">
        <f t="shared" si="21"/>
        <v>1933997</v>
      </c>
      <c r="Q677" s="13">
        <f>SUMIFS(M:M,E:E,Online_eCommerce[[#This Row],[Status]])</f>
        <v>21103186</v>
      </c>
      <c r="R677" s="13">
        <f>SUMIFS(L:L,H:H,Online_eCommerce[[#This Row],[Brand]])</f>
        <v>2267380</v>
      </c>
      <c r="S677" s="13">
        <f>SUMIF(H:H,Online_eCommerce[[#This Row],[Brand]],M:M)</f>
        <v>2947594</v>
      </c>
      <c r="T677" s="13">
        <f>SUMIF(N:N,Online_eCommerce[[#This Row],[Assigned Supervisor]],L:L)</f>
        <v>12220830</v>
      </c>
    </row>
    <row r="678" spans="1:20" x14ac:dyDescent="0.3">
      <c r="A678" t="s">
        <v>1088</v>
      </c>
      <c r="B678" t="s">
        <v>154</v>
      </c>
      <c r="C678" t="s">
        <v>45</v>
      </c>
      <c r="D678" t="s">
        <v>925</v>
      </c>
      <c r="E678" t="s">
        <v>46</v>
      </c>
      <c r="F678" t="s">
        <v>174</v>
      </c>
      <c r="G678" t="s">
        <v>60</v>
      </c>
      <c r="H678" t="s">
        <v>61</v>
      </c>
      <c r="I678">
        <v>1150</v>
      </c>
      <c r="J678">
        <v>1495</v>
      </c>
      <c r="K678">
        <v>3</v>
      </c>
      <c r="L678">
        <v>3450</v>
      </c>
      <c r="M678">
        <v>4485</v>
      </c>
      <c r="N678" t="s">
        <v>35</v>
      </c>
      <c r="O678">
        <f t="shared" si="20"/>
        <v>3315</v>
      </c>
      <c r="P678" s="13">
        <f t="shared" si="21"/>
        <v>2842554</v>
      </c>
      <c r="Q678" s="13">
        <f>SUMIFS(M:M,E:E,Online_eCommerce[[#This Row],[Status]])</f>
        <v>28620410</v>
      </c>
      <c r="R678" s="13">
        <f>SUMIFS(L:L,H:H,Online_eCommerce[[#This Row],[Brand]])</f>
        <v>10950150</v>
      </c>
      <c r="S678" s="13">
        <f>SUMIF(H:H,Online_eCommerce[[#This Row],[Brand]],M:M)</f>
        <v>14235195</v>
      </c>
      <c r="T678" s="13">
        <f>SUMIF(N:N,Online_eCommerce[[#This Row],[Assigned Supervisor]],L:L)</f>
        <v>14373360</v>
      </c>
    </row>
    <row r="679" spans="1:20" hidden="1" x14ac:dyDescent="0.3">
      <c r="A679" t="s">
        <v>1089</v>
      </c>
      <c r="B679" t="s">
        <v>154</v>
      </c>
      <c r="C679" t="s">
        <v>52</v>
      </c>
      <c r="D679" t="s">
        <v>925</v>
      </c>
      <c r="E679" t="s">
        <v>96</v>
      </c>
      <c r="F679" t="s">
        <v>179</v>
      </c>
      <c r="G679" t="s">
        <v>66</v>
      </c>
      <c r="H679" t="s">
        <v>21</v>
      </c>
      <c r="I679">
        <v>350</v>
      </c>
      <c r="J679">
        <v>455</v>
      </c>
      <c r="K679">
        <v>4</v>
      </c>
      <c r="L679">
        <v>1400</v>
      </c>
      <c r="M679">
        <v>1820</v>
      </c>
      <c r="N679" t="s">
        <v>42</v>
      </c>
      <c r="O679">
        <f t="shared" si="20"/>
        <v>1690</v>
      </c>
      <c r="P679" s="13">
        <f t="shared" si="21"/>
        <v>1955044</v>
      </c>
      <c r="Q679" s="13">
        <f>SUMIFS(M:M,E:E,Online_eCommerce[[#This Row],[Status]])</f>
        <v>21233992</v>
      </c>
      <c r="R679" s="13">
        <f>SUMIFS(L:L,H:H,Online_eCommerce[[#This Row],[Brand]])</f>
        <v>12435650</v>
      </c>
      <c r="S679" s="13">
        <f>SUMIF(H:H,Online_eCommerce[[#This Row],[Brand]],M:M)</f>
        <v>16166345</v>
      </c>
      <c r="T679" s="13">
        <f>SUMIF(N:N,Online_eCommerce[[#This Row],[Assigned Supervisor]],L:L)</f>
        <v>12261500</v>
      </c>
    </row>
    <row r="680" spans="1:20" hidden="1" x14ac:dyDescent="0.3">
      <c r="A680" t="s">
        <v>1090</v>
      </c>
      <c r="B680" t="s">
        <v>154</v>
      </c>
      <c r="C680" t="s">
        <v>58</v>
      </c>
      <c r="D680" t="s">
        <v>925</v>
      </c>
      <c r="E680" t="s">
        <v>18</v>
      </c>
      <c r="F680" t="s">
        <v>183</v>
      </c>
      <c r="G680" t="s">
        <v>71</v>
      </c>
      <c r="H680" t="s">
        <v>61</v>
      </c>
      <c r="I680">
        <v>9500</v>
      </c>
      <c r="J680">
        <v>12350</v>
      </c>
      <c r="K680">
        <v>1</v>
      </c>
      <c r="L680">
        <v>9500</v>
      </c>
      <c r="M680">
        <v>12350</v>
      </c>
      <c r="N680" t="s">
        <v>50</v>
      </c>
      <c r="O680">
        <f t="shared" si="20"/>
        <v>9750</v>
      </c>
      <c r="P680" s="13">
        <f t="shared" si="21"/>
        <v>2629211</v>
      </c>
      <c r="Q680" s="13">
        <f>SUMIFS(M:M,E:E,Online_eCommerce[[#This Row],[Status]])</f>
        <v>28340455</v>
      </c>
      <c r="R680" s="13">
        <f>SUMIFS(L:L,H:H,Online_eCommerce[[#This Row],[Brand]])</f>
        <v>10950150</v>
      </c>
      <c r="S680" s="13">
        <f>SUMIF(H:H,Online_eCommerce[[#This Row],[Brand]],M:M)</f>
        <v>14235195</v>
      </c>
      <c r="T680" s="13">
        <f>SUMIF(N:N,Online_eCommerce[[#This Row],[Assigned Supervisor]],L:L)</f>
        <v>12100590</v>
      </c>
    </row>
    <row r="681" spans="1:20" hidden="1" x14ac:dyDescent="0.3">
      <c r="A681" t="s">
        <v>1091</v>
      </c>
      <c r="B681" t="s">
        <v>154</v>
      </c>
      <c r="C681" t="s">
        <v>63</v>
      </c>
      <c r="D681" t="s">
        <v>925</v>
      </c>
      <c r="E681" t="s">
        <v>161</v>
      </c>
      <c r="F681" t="s">
        <v>1092</v>
      </c>
      <c r="G681" t="s">
        <v>77</v>
      </c>
      <c r="H681" t="s">
        <v>142</v>
      </c>
      <c r="I681">
        <v>10000</v>
      </c>
      <c r="J681">
        <v>13000</v>
      </c>
      <c r="K681">
        <v>2</v>
      </c>
      <c r="L681">
        <v>20000</v>
      </c>
      <c r="M681">
        <v>26000</v>
      </c>
      <c r="N681" t="s">
        <v>56</v>
      </c>
      <c r="O681">
        <f t="shared" si="20"/>
        <v>39000</v>
      </c>
      <c r="P681" s="13">
        <f t="shared" si="21"/>
        <v>2016131</v>
      </c>
      <c r="Q681" s="13">
        <f>SUMIFS(M:M,E:E,Online_eCommerce[[#This Row],[Status]])</f>
        <v>21103186</v>
      </c>
      <c r="R681" s="13">
        <f>SUMIFS(L:L,H:H,Online_eCommerce[[#This Row],[Brand]])</f>
        <v>6192500</v>
      </c>
      <c r="S681" s="13">
        <f>SUMIF(H:H,Online_eCommerce[[#This Row],[Brand]],M:M)</f>
        <v>8050250</v>
      </c>
      <c r="T681" s="13">
        <f>SUMIF(N:N,Online_eCommerce[[#This Row],[Assigned Supervisor]],L:L)</f>
        <v>11733610</v>
      </c>
    </row>
    <row r="682" spans="1:20" x14ac:dyDescent="0.3">
      <c r="A682" t="s">
        <v>1093</v>
      </c>
      <c r="B682" t="s">
        <v>154</v>
      </c>
      <c r="C682" t="s">
        <v>68</v>
      </c>
      <c r="D682" t="s">
        <v>925</v>
      </c>
      <c r="E682" t="s">
        <v>46</v>
      </c>
      <c r="F682" t="s">
        <v>1094</v>
      </c>
      <c r="G682" t="s">
        <v>20</v>
      </c>
      <c r="H682" t="s">
        <v>21</v>
      </c>
      <c r="I682">
        <v>6500</v>
      </c>
      <c r="J682">
        <v>8450</v>
      </c>
      <c r="K682">
        <v>3</v>
      </c>
      <c r="L682">
        <v>19500</v>
      </c>
      <c r="M682">
        <v>25350</v>
      </c>
      <c r="N682" t="s">
        <v>22</v>
      </c>
      <c r="O682">
        <f t="shared" si="20"/>
        <v>8450</v>
      </c>
      <c r="P682" s="13">
        <f t="shared" si="21"/>
        <v>2974621</v>
      </c>
      <c r="Q682" s="13">
        <f>SUMIFS(M:M,E:E,Online_eCommerce[[#This Row],[Status]])</f>
        <v>28620410</v>
      </c>
      <c r="R682" s="13">
        <f>SUMIFS(L:L,H:H,Online_eCommerce[[#This Row],[Brand]])</f>
        <v>12435650</v>
      </c>
      <c r="S682" s="13">
        <f>SUMIF(H:H,Online_eCommerce[[#This Row],[Brand]],M:M)</f>
        <v>16166345</v>
      </c>
      <c r="T682" s="13">
        <f>SUMIF(N:N,Online_eCommerce[[#This Row],[Assigned Supervisor]],L:L)</f>
        <v>13693220</v>
      </c>
    </row>
    <row r="683" spans="1:20" hidden="1" x14ac:dyDescent="0.3">
      <c r="A683" t="s">
        <v>1095</v>
      </c>
      <c r="B683" t="s">
        <v>154</v>
      </c>
      <c r="C683" t="s">
        <v>74</v>
      </c>
      <c r="D683" t="s">
        <v>925</v>
      </c>
      <c r="E683" t="s">
        <v>96</v>
      </c>
      <c r="F683" t="s">
        <v>1096</v>
      </c>
      <c r="G683" t="s">
        <v>26</v>
      </c>
      <c r="H683" t="s">
        <v>27</v>
      </c>
      <c r="I683">
        <v>8500</v>
      </c>
      <c r="J683">
        <v>11050</v>
      </c>
      <c r="K683">
        <v>1</v>
      </c>
      <c r="L683">
        <v>8500</v>
      </c>
      <c r="M683">
        <v>11050</v>
      </c>
      <c r="N683" t="s">
        <v>28</v>
      </c>
      <c r="O683">
        <f t="shared" si="20"/>
        <v>33150</v>
      </c>
      <c r="P683" s="13">
        <f t="shared" si="21"/>
        <v>2144701</v>
      </c>
      <c r="Q683" s="13">
        <f>SUMIFS(M:M,E:E,Online_eCommerce[[#This Row],[Status]])</f>
        <v>21233992</v>
      </c>
      <c r="R683" s="13">
        <f>SUMIFS(L:L,H:H,Online_eCommerce[[#This Row],[Brand]])</f>
        <v>14431000</v>
      </c>
      <c r="S683" s="13">
        <f>SUMIF(H:H,Online_eCommerce[[#This Row],[Brand]],M:M)</f>
        <v>18760300</v>
      </c>
      <c r="T683" s="13">
        <f>SUMIF(N:N,Online_eCommerce[[#This Row],[Assigned Supervisor]],L:L)</f>
        <v>12220830</v>
      </c>
    </row>
    <row r="684" spans="1:20" hidden="1" x14ac:dyDescent="0.3">
      <c r="A684" t="s">
        <v>1097</v>
      </c>
      <c r="B684" t="s">
        <v>154</v>
      </c>
      <c r="C684" t="s">
        <v>81</v>
      </c>
      <c r="D684" t="s">
        <v>925</v>
      </c>
      <c r="E684" t="s">
        <v>18</v>
      </c>
      <c r="F684" t="s">
        <v>32</v>
      </c>
      <c r="G684" t="s">
        <v>33</v>
      </c>
      <c r="H684" t="s">
        <v>34</v>
      </c>
      <c r="I684">
        <v>7000</v>
      </c>
      <c r="J684">
        <v>9100</v>
      </c>
      <c r="K684">
        <v>1</v>
      </c>
      <c r="L684">
        <v>7000</v>
      </c>
      <c r="M684">
        <v>9100</v>
      </c>
      <c r="N684" t="s">
        <v>35</v>
      </c>
      <c r="O684">
        <f t="shared" si="20"/>
        <v>18200</v>
      </c>
      <c r="P684" s="13">
        <f t="shared" si="21"/>
        <v>2595632</v>
      </c>
      <c r="Q684" s="13">
        <f>SUMIFS(M:M,E:E,Online_eCommerce[[#This Row],[Status]])</f>
        <v>28340455</v>
      </c>
      <c r="R684" s="13">
        <f>SUMIFS(L:L,H:H,Online_eCommerce[[#This Row],[Brand]])</f>
        <v>10087000</v>
      </c>
      <c r="S684" s="13">
        <f>SUMIF(H:H,Online_eCommerce[[#This Row],[Brand]],M:M)</f>
        <v>13113100</v>
      </c>
      <c r="T684" s="13">
        <f>SUMIF(N:N,Online_eCommerce[[#This Row],[Assigned Supervisor]],L:L)</f>
        <v>14373360</v>
      </c>
    </row>
    <row r="685" spans="1:20" hidden="1" x14ac:dyDescent="0.3">
      <c r="A685" t="s">
        <v>1098</v>
      </c>
      <c r="B685" t="s">
        <v>154</v>
      </c>
      <c r="C685" t="s">
        <v>86</v>
      </c>
      <c r="D685" t="s">
        <v>925</v>
      </c>
      <c r="E685" t="s">
        <v>161</v>
      </c>
      <c r="F685" t="s">
        <v>1099</v>
      </c>
      <c r="G685" t="s">
        <v>256</v>
      </c>
      <c r="H685" t="s">
        <v>41</v>
      </c>
      <c r="I685">
        <v>6550</v>
      </c>
      <c r="J685">
        <v>8515</v>
      </c>
      <c r="K685">
        <v>2</v>
      </c>
      <c r="L685">
        <v>13100</v>
      </c>
      <c r="M685">
        <v>17030</v>
      </c>
      <c r="N685" t="s">
        <v>42</v>
      </c>
      <c r="O685">
        <f t="shared" si="20"/>
        <v>9100</v>
      </c>
      <c r="P685" s="13">
        <f t="shared" si="21"/>
        <v>1941225</v>
      </c>
      <c r="Q685" s="13">
        <f>SUMIFS(M:M,E:E,Online_eCommerce[[#This Row],[Status]])</f>
        <v>21103186</v>
      </c>
      <c r="R685" s="13">
        <f>SUMIFS(L:L,H:H,Online_eCommerce[[#This Row],[Brand]])</f>
        <v>4260400</v>
      </c>
      <c r="S685" s="13">
        <f>SUMIF(H:H,Online_eCommerce[[#This Row],[Brand]],M:M)</f>
        <v>5538520</v>
      </c>
      <c r="T685" s="13">
        <f>SUMIF(N:N,Online_eCommerce[[#This Row],[Assigned Supervisor]],L:L)</f>
        <v>12261500</v>
      </c>
    </row>
    <row r="686" spans="1:20" x14ac:dyDescent="0.3">
      <c r="A686" t="s">
        <v>1100</v>
      </c>
      <c r="B686" t="s">
        <v>154</v>
      </c>
      <c r="C686" t="s">
        <v>91</v>
      </c>
      <c r="D686" t="s">
        <v>925</v>
      </c>
      <c r="E686" t="s">
        <v>46</v>
      </c>
      <c r="F686" t="s">
        <v>47</v>
      </c>
      <c r="G686" t="s">
        <v>259</v>
      </c>
      <c r="H686" t="s">
        <v>49</v>
      </c>
      <c r="I686">
        <v>7650</v>
      </c>
      <c r="J686">
        <v>9945</v>
      </c>
      <c r="K686">
        <v>3</v>
      </c>
      <c r="L686">
        <v>22950</v>
      </c>
      <c r="M686">
        <v>29835</v>
      </c>
      <c r="N686" t="s">
        <v>50</v>
      </c>
      <c r="O686">
        <f t="shared" si="20"/>
        <v>11700</v>
      </c>
      <c r="P686" s="13">
        <f t="shared" si="21"/>
        <v>2731963</v>
      </c>
      <c r="Q686" s="13">
        <f>SUMIFS(M:M,E:E,Online_eCommerce[[#This Row],[Status]])</f>
        <v>28620410</v>
      </c>
      <c r="R686" s="13">
        <f>SUMIFS(L:L,H:H,Online_eCommerce[[#This Row],[Brand]])</f>
        <v>4528350</v>
      </c>
      <c r="S686" s="13">
        <f>SUMIF(H:H,Online_eCommerce[[#This Row],[Brand]],M:M)</f>
        <v>5886855</v>
      </c>
      <c r="T686" s="13">
        <f>SUMIF(N:N,Online_eCommerce[[#This Row],[Assigned Supervisor]],L:L)</f>
        <v>12100590</v>
      </c>
    </row>
    <row r="687" spans="1:20" hidden="1" x14ac:dyDescent="0.3">
      <c r="A687" t="s">
        <v>1101</v>
      </c>
      <c r="B687" t="s">
        <v>154</v>
      </c>
      <c r="C687" t="s">
        <v>94</v>
      </c>
      <c r="D687" t="s">
        <v>925</v>
      </c>
      <c r="E687" t="s">
        <v>96</v>
      </c>
      <c r="F687" t="s">
        <v>53</v>
      </c>
      <c r="G687" t="s">
        <v>54</v>
      </c>
      <c r="H687" t="s">
        <v>55</v>
      </c>
      <c r="I687">
        <v>1150</v>
      </c>
      <c r="J687">
        <v>1495</v>
      </c>
      <c r="K687">
        <v>4</v>
      </c>
      <c r="L687">
        <v>4600</v>
      </c>
      <c r="M687">
        <v>5980</v>
      </c>
      <c r="N687" t="s">
        <v>56</v>
      </c>
      <c r="O687">
        <f t="shared" si="20"/>
        <v>2990</v>
      </c>
      <c r="P687" s="13">
        <f t="shared" si="21"/>
        <v>1868256</v>
      </c>
      <c r="Q687" s="13">
        <f>SUMIFS(M:M,E:E,Online_eCommerce[[#This Row],[Status]])</f>
        <v>21233992</v>
      </c>
      <c r="R687" s="13">
        <f>SUMIFS(L:L,H:H,Online_eCommerce[[#This Row],[Brand]])</f>
        <v>2267380</v>
      </c>
      <c r="S687" s="13">
        <f>SUMIF(H:H,Online_eCommerce[[#This Row],[Brand]],M:M)</f>
        <v>2947594</v>
      </c>
      <c r="T687" s="13">
        <f>SUMIF(N:N,Online_eCommerce[[#This Row],[Assigned Supervisor]],L:L)</f>
        <v>11733610</v>
      </c>
    </row>
    <row r="688" spans="1:20" hidden="1" x14ac:dyDescent="0.3">
      <c r="A688" t="s">
        <v>1102</v>
      </c>
      <c r="B688" t="s">
        <v>154</v>
      </c>
      <c r="C688" t="s">
        <v>99</v>
      </c>
      <c r="D688" t="s">
        <v>925</v>
      </c>
      <c r="E688" t="s">
        <v>18</v>
      </c>
      <c r="F688" t="s">
        <v>59</v>
      </c>
      <c r="G688" t="s">
        <v>60</v>
      </c>
      <c r="H688" t="s">
        <v>61</v>
      </c>
      <c r="I688">
        <v>850</v>
      </c>
      <c r="J688">
        <v>1105</v>
      </c>
      <c r="K688">
        <v>2</v>
      </c>
      <c r="L688">
        <v>1700</v>
      </c>
      <c r="M688">
        <v>2210</v>
      </c>
      <c r="N688" t="s">
        <v>22</v>
      </c>
      <c r="O688">
        <f t="shared" si="20"/>
        <v>3315</v>
      </c>
      <c r="P688" s="13">
        <f t="shared" si="21"/>
        <v>2651233</v>
      </c>
      <c r="Q688" s="13">
        <f>SUMIFS(M:M,E:E,Online_eCommerce[[#This Row],[Status]])</f>
        <v>28340455</v>
      </c>
      <c r="R688" s="13">
        <f>SUMIFS(L:L,H:H,Online_eCommerce[[#This Row],[Brand]])</f>
        <v>10950150</v>
      </c>
      <c r="S688" s="13">
        <f>SUMIF(H:H,Online_eCommerce[[#This Row],[Brand]],M:M)</f>
        <v>14235195</v>
      </c>
      <c r="T688" s="13">
        <f>SUMIF(N:N,Online_eCommerce[[#This Row],[Assigned Supervisor]],L:L)</f>
        <v>13693220</v>
      </c>
    </row>
    <row r="689" spans="1:20" hidden="1" x14ac:dyDescent="0.3">
      <c r="A689" t="s">
        <v>1103</v>
      </c>
      <c r="B689" t="s">
        <v>154</v>
      </c>
      <c r="C689" t="s">
        <v>105</v>
      </c>
      <c r="D689" t="s">
        <v>925</v>
      </c>
      <c r="E689" t="s">
        <v>161</v>
      </c>
      <c r="F689" t="s">
        <v>65</v>
      </c>
      <c r="G689" t="s">
        <v>66</v>
      </c>
      <c r="H689" t="s">
        <v>21</v>
      </c>
      <c r="I689">
        <v>650</v>
      </c>
      <c r="J689">
        <v>845</v>
      </c>
      <c r="K689">
        <v>4</v>
      </c>
      <c r="L689">
        <v>2600</v>
      </c>
      <c r="M689">
        <v>3380</v>
      </c>
      <c r="N689" t="s">
        <v>28</v>
      </c>
      <c r="O689">
        <f t="shared" si="20"/>
        <v>1690</v>
      </c>
      <c r="P689" s="13">
        <f t="shared" si="21"/>
        <v>1866852</v>
      </c>
      <c r="Q689" s="13">
        <f>SUMIFS(M:M,E:E,Online_eCommerce[[#This Row],[Status]])</f>
        <v>21103186</v>
      </c>
      <c r="R689" s="13">
        <f>SUMIFS(L:L,H:H,Online_eCommerce[[#This Row],[Brand]])</f>
        <v>12435650</v>
      </c>
      <c r="S689" s="13">
        <f>SUMIF(H:H,Online_eCommerce[[#This Row],[Brand]],M:M)</f>
        <v>16166345</v>
      </c>
      <c r="T689" s="13">
        <f>SUMIF(N:N,Online_eCommerce[[#This Row],[Assigned Supervisor]],L:L)</f>
        <v>12220830</v>
      </c>
    </row>
    <row r="690" spans="1:20" x14ac:dyDescent="0.3">
      <c r="A690" t="s">
        <v>1104</v>
      </c>
      <c r="B690" t="s">
        <v>154</v>
      </c>
      <c r="C690" t="s">
        <v>110</v>
      </c>
      <c r="D690" t="s">
        <v>925</v>
      </c>
      <c r="E690" t="s">
        <v>46</v>
      </c>
      <c r="F690" t="s">
        <v>70</v>
      </c>
      <c r="G690" t="s">
        <v>71</v>
      </c>
      <c r="H690" t="s">
        <v>61</v>
      </c>
      <c r="I690">
        <v>7500</v>
      </c>
      <c r="J690">
        <v>9750</v>
      </c>
      <c r="K690">
        <v>2</v>
      </c>
      <c r="L690">
        <v>15000</v>
      </c>
      <c r="M690">
        <v>19500</v>
      </c>
      <c r="N690" t="s">
        <v>35</v>
      </c>
      <c r="O690">
        <f t="shared" si="20"/>
        <v>9750</v>
      </c>
      <c r="P690" s="13">
        <f t="shared" si="21"/>
        <v>2598635</v>
      </c>
      <c r="Q690" s="13">
        <f>SUMIFS(M:M,E:E,Online_eCommerce[[#This Row],[Status]])</f>
        <v>28620410</v>
      </c>
      <c r="R690" s="13">
        <f>SUMIFS(L:L,H:H,Online_eCommerce[[#This Row],[Brand]])</f>
        <v>10950150</v>
      </c>
      <c r="S690" s="13">
        <f>SUMIF(H:H,Online_eCommerce[[#This Row],[Brand]],M:M)</f>
        <v>14235195</v>
      </c>
      <c r="T690" s="13">
        <f>SUMIF(N:N,Online_eCommerce[[#This Row],[Assigned Supervisor]],L:L)</f>
        <v>14373360</v>
      </c>
    </row>
    <row r="691" spans="1:20" hidden="1" x14ac:dyDescent="0.3">
      <c r="A691" t="s">
        <v>1105</v>
      </c>
      <c r="B691" t="s">
        <v>154</v>
      </c>
      <c r="C691" t="s">
        <v>115</v>
      </c>
      <c r="D691" t="s">
        <v>925</v>
      </c>
      <c r="E691" t="s">
        <v>96</v>
      </c>
      <c r="F691" t="s">
        <v>1092</v>
      </c>
      <c r="G691" t="s">
        <v>77</v>
      </c>
      <c r="H691" t="s">
        <v>78</v>
      </c>
      <c r="I691">
        <v>10000</v>
      </c>
      <c r="J691">
        <v>13000</v>
      </c>
      <c r="K691">
        <v>4</v>
      </c>
      <c r="L691">
        <v>40000</v>
      </c>
      <c r="M691">
        <v>52000</v>
      </c>
      <c r="N691" t="s">
        <v>42</v>
      </c>
      <c r="O691">
        <f t="shared" si="20"/>
        <v>39000</v>
      </c>
      <c r="P691" s="13">
        <f t="shared" si="21"/>
        <v>2050178</v>
      </c>
      <c r="Q691" s="13">
        <f>SUMIFS(M:M,E:E,Online_eCommerce[[#This Row],[Status]])</f>
        <v>21233992</v>
      </c>
      <c r="R691" s="13">
        <f>SUMIFS(L:L,H:H,Online_eCommerce[[#This Row],[Brand]])</f>
        <v>3720000</v>
      </c>
      <c r="S691" s="13">
        <f>SUMIF(H:H,Online_eCommerce[[#This Row],[Brand]],M:M)</f>
        <v>4836000</v>
      </c>
      <c r="T691" s="13">
        <f>SUMIF(N:N,Online_eCommerce[[#This Row],[Assigned Supervisor]],L:L)</f>
        <v>12261500</v>
      </c>
    </row>
    <row r="692" spans="1:20" hidden="1" x14ac:dyDescent="0.3">
      <c r="A692" t="s">
        <v>1106</v>
      </c>
      <c r="B692" t="s">
        <v>154</v>
      </c>
      <c r="C692" t="s">
        <v>120</v>
      </c>
      <c r="D692" t="s">
        <v>925</v>
      </c>
      <c r="E692" t="s">
        <v>18</v>
      </c>
      <c r="F692" t="s">
        <v>1107</v>
      </c>
      <c r="G692" t="s">
        <v>20</v>
      </c>
      <c r="H692" t="s">
        <v>21</v>
      </c>
      <c r="I692">
        <v>10500</v>
      </c>
      <c r="J692">
        <v>13650</v>
      </c>
      <c r="K692">
        <v>2</v>
      </c>
      <c r="L692">
        <v>21000</v>
      </c>
      <c r="M692">
        <v>27300</v>
      </c>
      <c r="N692" t="s">
        <v>50</v>
      </c>
      <c r="O692">
        <f t="shared" si="20"/>
        <v>8450</v>
      </c>
      <c r="P692" s="13">
        <f t="shared" si="21"/>
        <v>2734212</v>
      </c>
      <c r="Q692" s="13">
        <f>SUMIFS(M:M,E:E,Online_eCommerce[[#This Row],[Status]])</f>
        <v>28340455</v>
      </c>
      <c r="R692" s="13">
        <f>SUMIFS(L:L,H:H,Online_eCommerce[[#This Row],[Brand]])</f>
        <v>12435650</v>
      </c>
      <c r="S692" s="13">
        <f>SUMIF(H:H,Online_eCommerce[[#This Row],[Brand]],M:M)</f>
        <v>16166345</v>
      </c>
      <c r="T692" s="13">
        <f>SUMIF(N:N,Online_eCommerce[[#This Row],[Assigned Supervisor]],L:L)</f>
        <v>12100590</v>
      </c>
    </row>
    <row r="693" spans="1:20" hidden="1" x14ac:dyDescent="0.3">
      <c r="A693" t="s">
        <v>1108</v>
      </c>
      <c r="B693" t="s">
        <v>154</v>
      </c>
      <c r="C693" t="s">
        <v>125</v>
      </c>
      <c r="D693" t="s">
        <v>925</v>
      </c>
      <c r="E693" t="s">
        <v>161</v>
      </c>
      <c r="F693" t="s">
        <v>88</v>
      </c>
      <c r="G693" t="s">
        <v>26</v>
      </c>
      <c r="H693" t="s">
        <v>27</v>
      </c>
      <c r="I693">
        <v>8500</v>
      </c>
      <c r="J693">
        <v>11050</v>
      </c>
      <c r="K693">
        <v>4</v>
      </c>
      <c r="L693">
        <v>34000</v>
      </c>
      <c r="M693">
        <v>44200</v>
      </c>
      <c r="N693" t="s">
        <v>56</v>
      </c>
      <c r="O693">
        <f t="shared" si="20"/>
        <v>33150</v>
      </c>
      <c r="P693" s="13">
        <f t="shared" si="21"/>
        <v>2091154</v>
      </c>
      <c r="Q693" s="13">
        <f>SUMIFS(M:M,E:E,Online_eCommerce[[#This Row],[Status]])</f>
        <v>21103186</v>
      </c>
      <c r="R693" s="13">
        <f>SUMIFS(L:L,H:H,Online_eCommerce[[#This Row],[Brand]])</f>
        <v>14431000</v>
      </c>
      <c r="S693" s="13">
        <f>SUMIF(H:H,Online_eCommerce[[#This Row],[Brand]],M:M)</f>
        <v>18760300</v>
      </c>
      <c r="T693" s="13">
        <f>SUMIF(N:N,Online_eCommerce[[#This Row],[Assigned Supervisor]],L:L)</f>
        <v>11733610</v>
      </c>
    </row>
    <row r="694" spans="1:20" x14ac:dyDescent="0.3">
      <c r="A694" t="s">
        <v>1109</v>
      </c>
      <c r="B694" t="s">
        <v>154</v>
      </c>
      <c r="C694" t="s">
        <v>22</v>
      </c>
      <c r="D694" t="s">
        <v>925</v>
      </c>
      <c r="E694" t="s">
        <v>46</v>
      </c>
      <c r="F694" t="s">
        <v>32</v>
      </c>
      <c r="G694" t="s">
        <v>33</v>
      </c>
      <c r="H694" t="s">
        <v>34</v>
      </c>
      <c r="I694">
        <v>7000</v>
      </c>
      <c r="J694">
        <v>9100</v>
      </c>
      <c r="K694">
        <v>4</v>
      </c>
      <c r="L694">
        <v>28000</v>
      </c>
      <c r="M694">
        <v>36400</v>
      </c>
      <c r="N694" t="s">
        <v>22</v>
      </c>
      <c r="O694">
        <f t="shared" si="20"/>
        <v>18200</v>
      </c>
      <c r="P694" s="13">
        <f t="shared" si="21"/>
        <v>2551588</v>
      </c>
      <c r="Q694" s="13">
        <f>SUMIFS(M:M,E:E,Online_eCommerce[[#This Row],[Status]])</f>
        <v>28620410</v>
      </c>
      <c r="R694" s="13">
        <f>SUMIFS(L:L,H:H,Online_eCommerce[[#This Row],[Brand]])</f>
        <v>10087000</v>
      </c>
      <c r="S694" s="13">
        <f>SUMIF(H:H,Online_eCommerce[[#This Row],[Brand]],M:M)</f>
        <v>13113100</v>
      </c>
      <c r="T694" s="13">
        <f>SUMIF(N:N,Online_eCommerce[[#This Row],[Assigned Supervisor]],L:L)</f>
        <v>13693220</v>
      </c>
    </row>
    <row r="695" spans="1:20" hidden="1" x14ac:dyDescent="0.3">
      <c r="A695" t="s">
        <v>1110</v>
      </c>
      <c r="B695" t="s">
        <v>154</v>
      </c>
      <c r="C695" t="s">
        <v>132</v>
      </c>
      <c r="D695" t="s">
        <v>925</v>
      </c>
      <c r="E695" t="s">
        <v>96</v>
      </c>
      <c r="F695" t="s">
        <v>1111</v>
      </c>
      <c r="G695" t="s">
        <v>256</v>
      </c>
      <c r="H695" t="s">
        <v>41</v>
      </c>
      <c r="I695">
        <v>1680</v>
      </c>
      <c r="J695">
        <v>2184</v>
      </c>
      <c r="K695">
        <v>2</v>
      </c>
      <c r="L695">
        <v>3360</v>
      </c>
      <c r="M695">
        <v>4368</v>
      </c>
      <c r="N695" t="s">
        <v>28</v>
      </c>
      <c r="O695">
        <f t="shared" si="20"/>
        <v>9100</v>
      </c>
      <c r="P695" s="13">
        <f t="shared" si="21"/>
        <v>1989065</v>
      </c>
      <c r="Q695" s="13">
        <f>SUMIFS(M:M,E:E,Online_eCommerce[[#This Row],[Status]])</f>
        <v>21233992</v>
      </c>
      <c r="R695" s="13">
        <f>SUMIFS(L:L,H:H,Online_eCommerce[[#This Row],[Brand]])</f>
        <v>4260400</v>
      </c>
      <c r="S695" s="13">
        <f>SUMIF(H:H,Online_eCommerce[[#This Row],[Brand]],M:M)</f>
        <v>5538520</v>
      </c>
      <c r="T695" s="13">
        <f>SUMIF(N:N,Online_eCommerce[[#This Row],[Assigned Supervisor]],L:L)</f>
        <v>12220830</v>
      </c>
    </row>
    <row r="696" spans="1:20" hidden="1" x14ac:dyDescent="0.3">
      <c r="A696" t="s">
        <v>1112</v>
      </c>
      <c r="B696" t="s">
        <v>154</v>
      </c>
      <c r="C696" t="s">
        <v>136</v>
      </c>
      <c r="D696" t="s">
        <v>925</v>
      </c>
      <c r="E696" t="s">
        <v>18</v>
      </c>
      <c r="F696" t="s">
        <v>101</v>
      </c>
      <c r="G696" t="s">
        <v>259</v>
      </c>
      <c r="H696" t="s">
        <v>102</v>
      </c>
      <c r="I696">
        <v>6540</v>
      </c>
      <c r="J696">
        <v>8502</v>
      </c>
      <c r="K696">
        <v>2</v>
      </c>
      <c r="L696">
        <v>13080</v>
      </c>
      <c r="M696">
        <v>17004</v>
      </c>
      <c r="N696" t="s">
        <v>35</v>
      </c>
      <c r="O696">
        <f t="shared" si="20"/>
        <v>11700</v>
      </c>
      <c r="P696" s="13">
        <f t="shared" si="21"/>
        <v>2775162</v>
      </c>
      <c r="Q696" s="13">
        <f>SUMIFS(M:M,E:E,Online_eCommerce[[#This Row],[Status]])</f>
        <v>28340455</v>
      </c>
      <c r="R696" s="13">
        <f>SUMIFS(L:L,H:H,Online_eCommerce[[#This Row],[Brand]])</f>
        <v>2465580</v>
      </c>
      <c r="S696" s="13">
        <f>SUMIF(H:H,Online_eCommerce[[#This Row],[Brand]],M:M)</f>
        <v>3205254</v>
      </c>
      <c r="T696" s="13">
        <f>SUMIF(N:N,Online_eCommerce[[#This Row],[Assigned Supervisor]],L:L)</f>
        <v>14373360</v>
      </c>
    </row>
    <row r="697" spans="1:20" hidden="1" x14ac:dyDescent="0.3">
      <c r="A697" t="s">
        <v>1113</v>
      </c>
      <c r="B697" t="s">
        <v>154</v>
      </c>
      <c r="C697" t="s">
        <v>140</v>
      </c>
      <c r="D697" t="s">
        <v>925</v>
      </c>
      <c r="E697" t="s">
        <v>161</v>
      </c>
      <c r="F697" t="s">
        <v>107</v>
      </c>
      <c r="G697" t="s">
        <v>54</v>
      </c>
      <c r="H697" t="s">
        <v>55</v>
      </c>
      <c r="I697">
        <v>2680</v>
      </c>
      <c r="J697">
        <v>3484</v>
      </c>
      <c r="K697">
        <v>1</v>
      </c>
      <c r="L697">
        <v>2680</v>
      </c>
      <c r="M697">
        <v>3484</v>
      </c>
      <c r="N697" t="s">
        <v>42</v>
      </c>
      <c r="O697">
        <f t="shared" si="20"/>
        <v>2990</v>
      </c>
      <c r="P697" s="13">
        <f t="shared" si="21"/>
        <v>2058264</v>
      </c>
      <c r="Q697" s="13">
        <f>SUMIFS(M:M,E:E,Online_eCommerce[[#This Row],[Status]])</f>
        <v>21103186</v>
      </c>
      <c r="R697" s="13">
        <f>SUMIFS(L:L,H:H,Online_eCommerce[[#This Row],[Brand]])</f>
        <v>2267380</v>
      </c>
      <c r="S697" s="13">
        <f>SUMIF(H:H,Online_eCommerce[[#This Row],[Brand]],M:M)</f>
        <v>2947594</v>
      </c>
      <c r="T697" s="13">
        <f>SUMIF(N:N,Online_eCommerce[[#This Row],[Assigned Supervisor]],L:L)</f>
        <v>12261500</v>
      </c>
    </row>
    <row r="698" spans="1:20" x14ac:dyDescent="0.3">
      <c r="A698" t="s">
        <v>1114</v>
      </c>
      <c r="B698" t="s">
        <v>154</v>
      </c>
      <c r="C698" t="s">
        <v>145</v>
      </c>
      <c r="D698" t="s">
        <v>925</v>
      </c>
      <c r="E698" t="s">
        <v>46</v>
      </c>
      <c r="F698" t="s">
        <v>112</v>
      </c>
      <c r="G698" t="s">
        <v>71</v>
      </c>
      <c r="H698" t="s">
        <v>21</v>
      </c>
      <c r="I698">
        <v>8250</v>
      </c>
      <c r="J698">
        <v>10725</v>
      </c>
      <c r="K698">
        <v>2</v>
      </c>
      <c r="L698">
        <v>16500</v>
      </c>
      <c r="M698">
        <v>21450</v>
      </c>
      <c r="N698" t="s">
        <v>50</v>
      </c>
      <c r="O698">
        <f t="shared" si="20"/>
        <v>9750</v>
      </c>
      <c r="P698" s="13">
        <f t="shared" si="21"/>
        <v>2757859</v>
      </c>
      <c r="Q698" s="13">
        <f>SUMIFS(M:M,E:E,Online_eCommerce[[#This Row],[Status]])</f>
        <v>28620410</v>
      </c>
      <c r="R698" s="13">
        <f>SUMIFS(L:L,H:H,Online_eCommerce[[#This Row],[Brand]])</f>
        <v>12435650</v>
      </c>
      <c r="S698" s="13">
        <f>SUMIF(H:H,Online_eCommerce[[#This Row],[Brand]],M:M)</f>
        <v>16166345</v>
      </c>
      <c r="T698" s="13">
        <f>SUMIF(N:N,Online_eCommerce[[#This Row],[Assigned Supervisor]],L:L)</f>
        <v>12100590</v>
      </c>
    </row>
    <row r="699" spans="1:20" hidden="1" x14ac:dyDescent="0.3">
      <c r="A699" t="s">
        <v>1115</v>
      </c>
      <c r="B699" t="s">
        <v>154</v>
      </c>
      <c r="C699" t="s">
        <v>150</v>
      </c>
      <c r="D699" t="s">
        <v>925</v>
      </c>
      <c r="E699" t="s">
        <v>96</v>
      </c>
      <c r="F699" t="s">
        <v>759</v>
      </c>
      <c r="G699" t="s">
        <v>40</v>
      </c>
      <c r="H699" t="s">
        <v>21</v>
      </c>
      <c r="I699">
        <v>2650</v>
      </c>
      <c r="J699">
        <v>3445</v>
      </c>
      <c r="K699">
        <v>1</v>
      </c>
      <c r="L699">
        <v>2650</v>
      </c>
      <c r="M699">
        <v>3445</v>
      </c>
      <c r="N699" t="s">
        <v>56</v>
      </c>
      <c r="O699">
        <f t="shared" si="20"/>
        <v>25545</v>
      </c>
      <c r="P699" s="13">
        <f t="shared" si="21"/>
        <v>2154984</v>
      </c>
      <c r="Q699" s="13">
        <f>SUMIFS(M:M,E:E,Online_eCommerce[[#This Row],[Status]])</f>
        <v>21233992</v>
      </c>
      <c r="R699" s="13">
        <f>SUMIFS(L:L,H:H,Online_eCommerce[[#This Row],[Brand]])</f>
        <v>12435650</v>
      </c>
      <c r="S699" s="13">
        <f>SUMIF(H:H,Online_eCommerce[[#This Row],[Brand]],M:M)</f>
        <v>16166345</v>
      </c>
      <c r="T699" s="13">
        <f>SUMIF(N:N,Online_eCommerce[[#This Row],[Assigned Supervisor]],L:L)</f>
        <v>11733610</v>
      </c>
    </row>
    <row r="700" spans="1:20" hidden="1" x14ac:dyDescent="0.3">
      <c r="A700" t="s">
        <v>1116</v>
      </c>
      <c r="B700" t="s">
        <v>154</v>
      </c>
      <c r="C700" t="s">
        <v>155</v>
      </c>
      <c r="D700" t="s">
        <v>925</v>
      </c>
      <c r="E700" t="s">
        <v>18</v>
      </c>
      <c r="F700" t="s">
        <v>121</v>
      </c>
      <c r="G700" t="s">
        <v>71</v>
      </c>
      <c r="H700" t="s">
        <v>122</v>
      </c>
      <c r="I700">
        <v>12550</v>
      </c>
      <c r="J700">
        <v>16315</v>
      </c>
      <c r="K700">
        <v>3</v>
      </c>
      <c r="L700">
        <v>37650</v>
      </c>
      <c r="M700">
        <v>48945</v>
      </c>
      <c r="N700" t="s">
        <v>22</v>
      </c>
      <c r="O700">
        <f t="shared" si="20"/>
        <v>9750</v>
      </c>
      <c r="P700" s="13">
        <f t="shared" si="21"/>
        <v>2753348</v>
      </c>
      <c r="Q700" s="13">
        <f>SUMIFS(M:M,E:E,Online_eCommerce[[#This Row],[Status]])</f>
        <v>28340455</v>
      </c>
      <c r="R700" s="13">
        <f>SUMIFS(L:L,H:H,Online_eCommerce[[#This Row],[Brand]])</f>
        <v>5045100</v>
      </c>
      <c r="S700" s="13">
        <f>SUMIF(H:H,Online_eCommerce[[#This Row],[Brand]],M:M)</f>
        <v>6558630</v>
      </c>
      <c r="T700" s="13">
        <f>SUMIF(N:N,Online_eCommerce[[#This Row],[Assigned Supervisor]],L:L)</f>
        <v>13693220</v>
      </c>
    </row>
    <row r="701" spans="1:20" hidden="1" x14ac:dyDescent="0.3">
      <c r="A701" t="s">
        <v>1117</v>
      </c>
      <c r="B701" t="s">
        <v>154</v>
      </c>
      <c r="C701" t="s">
        <v>160</v>
      </c>
      <c r="D701" t="s">
        <v>925</v>
      </c>
      <c r="E701" t="s">
        <v>161</v>
      </c>
      <c r="F701" t="s">
        <v>126</v>
      </c>
      <c r="G701" t="s">
        <v>26</v>
      </c>
      <c r="H701" t="s">
        <v>27</v>
      </c>
      <c r="I701">
        <v>14500</v>
      </c>
      <c r="J701">
        <v>18850</v>
      </c>
      <c r="K701">
        <v>4</v>
      </c>
      <c r="L701">
        <v>58000</v>
      </c>
      <c r="M701">
        <v>75400</v>
      </c>
      <c r="N701" t="s">
        <v>28</v>
      </c>
      <c r="O701">
        <f t="shared" si="20"/>
        <v>33150</v>
      </c>
      <c r="P701" s="13">
        <f t="shared" si="21"/>
        <v>2303483</v>
      </c>
      <c r="Q701" s="13">
        <f>SUMIFS(M:M,E:E,Online_eCommerce[[#This Row],[Status]])</f>
        <v>21103186</v>
      </c>
      <c r="R701" s="13">
        <f>SUMIFS(L:L,H:H,Online_eCommerce[[#This Row],[Brand]])</f>
        <v>14431000</v>
      </c>
      <c r="S701" s="13">
        <f>SUMIF(H:H,Online_eCommerce[[#This Row],[Brand]],M:M)</f>
        <v>18760300</v>
      </c>
      <c r="T701" s="13">
        <f>SUMIF(N:N,Online_eCommerce[[#This Row],[Assigned Supervisor]],L:L)</f>
        <v>12220830</v>
      </c>
    </row>
    <row r="702" spans="1:20" x14ac:dyDescent="0.3">
      <c r="A702" t="s">
        <v>1118</v>
      </c>
      <c r="B702" t="s">
        <v>154</v>
      </c>
      <c r="C702" t="s">
        <v>165</v>
      </c>
      <c r="D702" t="s">
        <v>925</v>
      </c>
      <c r="E702" t="s">
        <v>46</v>
      </c>
      <c r="F702" t="s">
        <v>129</v>
      </c>
      <c r="G702" t="s">
        <v>60</v>
      </c>
      <c r="H702" t="s">
        <v>61</v>
      </c>
      <c r="I702">
        <v>800</v>
      </c>
      <c r="J702">
        <v>1040</v>
      </c>
      <c r="K702">
        <v>1</v>
      </c>
      <c r="L702">
        <v>800</v>
      </c>
      <c r="M702">
        <v>1040</v>
      </c>
      <c r="N702" t="s">
        <v>35</v>
      </c>
      <c r="O702">
        <f t="shared" si="20"/>
        <v>3315</v>
      </c>
      <c r="P702" s="13">
        <f t="shared" si="21"/>
        <v>2674087</v>
      </c>
      <c r="Q702" s="13">
        <f>SUMIFS(M:M,E:E,Online_eCommerce[[#This Row],[Status]])</f>
        <v>28620410</v>
      </c>
      <c r="R702" s="13">
        <f>SUMIFS(L:L,H:H,Online_eCommerce[[#This Row],[Brand]])</f>
        <v>10950150</v>
      </c>
      <c r="S702" s="13">
        <f>SUMIF(H:H,Online_eCommerce[[#This Row],[Brand]],M:M)</f>
        <v>14235195</v>
      </c>
      <c r="T702" s="13">
        <f>SUMIF(N:N,Online_eCommerce[[#This Row],[Assigned Supervisor]],L:L)</f>
        <v>14373360</v>
      </c>
    </row>
    <row r="703" spans="1:20" hidden="1" x14ac:dyDescent="0.3">
      <c r="A703" t="s">
        <v>1119</v>
      </c>
      <c r="B703" t="s">
        <v>154</v>
      </c>
      <c r="C703" t="s">
        <v>168</v>
      </c>
      <c r="D703" t="s">
        <v>925</v>
      </c>
      <c r="E703" t="s">
        <v>96</v>
      </c>
      <c r="F703" t="s">
        <v>133</v>
      </c>
      <c r="G703" t="s">
        <v>66</v>
      </c>
      <c r="H703" t="s">
        <v>21</v>
      </c>
      <c r="I703">
        <v>600</v>
      </c>
      <c r="J703">
        <v>780</v>
      </c>
      <c r="K703">
        <v>3</v>
      </c>
      <c r="L703">
        <v>1800</v>
      </c>
      <c r="M703">
        <v>2340</v>
      </c>
      <c r="N703" t="s">
        <v>42</v>
      </c>
      <c r="O703">
        <f t="shared" si="20"/>
        <v>1690</v>
      </c>
      <c r="P703" s="13">
        <f t="shared" si="21"/>
        <v>1937780</v>
      </c>
      <c r="Q703" s="13">
        <f>SUMIFS(M:M,E:E,Online_eCommerce[[#This Row],[Status]])</f>
        <v>21233992</v>
      </c>
      <c r="R703" s="13">
        <f>SUMIFS(L:L,H:H,Online_eCommerce[[#This Row],[Brand]])</f>
        <v>12435650</v>
      </c>
      <c r="S703" s="13">
        <f>SUMIF(H:H,Online_eCommerce[[#This Row],[Brand]],M:M)</f>
        <v>16166345</v>
      </c>
      <c r="T703" s="13">
        <f>SUMIF(N:N,Online_eCommerce[[#This Row],[Assigned Supervisor]],L:L)</f>
        <v>12261500</v>
      </c>
    </row>
    <row r="704" spans="1:20" hidden="1" x14ac:dyDescent="0.3">
      <c r="A704" t="s">
        <v>1120</v>
      </c>
      <c r="B704" t="s">
        <v>154</v>
      </c>
      <c r="C704" t="s">
        <v>172</v>
      </c>
      <c r="D704" t="s">
        <v>925</v>
      </c>
      <c r="E704" t="s">
        <v>18</v>
      </c>
      <c r="F704" t="s">
        <v>137</v>
      </c>
      <c r="G704" t="s">
        <v>71</v>
      </c>
      <c r="H704" t="s">
        <v>61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t="s">
        <v>50</v>
      </c>
      <c r="O704">
        <f t="shared" si="20"/>
        <v>9750</v>
      </c>
      <c r="P704" s="13">
        <f t="shared" si="21"/>
        <v>2640274</v>
      </c>
      <c r="Q704" s="13">
        <f>SUMIFS(M:M,E:E,Online_eCommerce[[#This Row],[Status]])</f>
        <v>28340455</v>
      </c>
      <c r="R704" s="13">
        <f>SUMIFS(L:L,H:H,Online_eCommerce[[#This Row],[Brand]])</f>
        <v>10950150</v>
      </c>
      <c r="S704" s="13">
        <f>SUMIF(H:H,Online_eCommerce[[#This Row],[Brand]],M:M)</f>
        <v>14235195</v>
      </c>
      <c r="T704" s="13">
        <f>SUMIF(N:N,Online_eCommerce[[#This Row],[Assigned Supervisor]],L:L)</f>
        <v>12100590</v>
      </c>
    </row>
    <row r="705" spans="1:20" hidden="1" x14ac:dyDescent="0.3">
      <c r="A705" t="s">
        <v>1121</v>
      </c>
      <c r="B705" t="s">
        <v>154</v>
      </c>
      <c r="C705" t="s">
        <v>177</v>
      </c>
      <c r="D705" t="s">
        <v>925</v>
      </c>
      <c r="E705" t="s">
        <v>161</v>
      </c>
      <c r="F705" t="s">
        <v>1092</v>
      </c>
      <c r="G705" t="s">
        <v>77</v>
      </c>
      <c r="H705" t="s">
        <v>142</v>
      </c>
      <c r="I705">
        <v>6500</v>
      </c>
      <c r="J705">
        <v>8450</v>
      </c>
      <c r="K705">
        <v>2</v>
      </c>
      <c r="L705">
        <v>13000</v>
      </c>
      <c r="M705">
        <v>16900</v>
      </c>
      <c r="N705" t="s">
        <v>56</v>
      </c>
      <c r="O705">
        <f t="shared" si="20"/>
        <v>39000</v>
      </c>
      <c r="P705" s="13">
        <f t="shared" si="21"/>
        <v>1863810</v>
      </c>
      <c r="Q705" s="13">
        <f>SUMIFS(M:M,E:E,Online_eCommerce[[#This Row],[Status]])</f>
        <v>21103186</v>
      </c>
      <c r="R705" s="13">
        <f>SUMIFS(L:L,H:H,Online_eCommerce[[#This Row],[Brand]])</f>
        <v>6192500</v>
      </c>
      <c r="S705" s="13">
        <f>SUMIF(H:H,Online_eCommerce[[#This Row],[Brand]],M:M)</f>
        <v>8050250</v>
      </c>
      <c r="T705" s="13">
        <f>SUMIF(N:N,Online_eCommerce[[#This Row],[Assigned Supervisor]],L:L)</f>
        <v>11733610</v>
      </c>
    </row>
    <row r="706" spans="1:20" x14ac:dyDescent="0.3">
      <c r="A706" t="s">
        <v>1122</v>
      </c>
      <c r="B706" t="s">
        <v>154</v>
      </c>
      <c r="C706" t="s">
        <v>181</v>
      </c>
      <c r="D706" t="s">
        <v>925</v>
      </c>
      <c r="E706" t="s">
        <v>46</v>
      </c>
      <c r="F706" t="s">
        <v>1123</v>
      </c>
      <c r="G706" t="s">
        <v>20</v>
      </c>
      <c r="H706" t="s">
        <v>21</v>
      </c>
      <c r="I706">
        <v>4500</v>
      </c>
      <c r="J706">
        <v>5850</v>
      </c>
      <c r="K706">
        <v>3</v>
      </c>
      <c r="L706">
        <v>13500</v>
      </c>
      <c r="M706">
        <v>17550</v>
      </c>
      <c r="N706" t="s">
        <v>22</v>
      </c>
      <c r="O706">
        <f t="shared" ref="O706:O769" si="22">VLOOKUP(G706,G:M,7,FALSE)</f>
        <v>8450</v>
      </c>
      <c r="P706" s="13">
        <f t="shared" ref="P706:P769" si="23">SUMIFS(M:M,C:C,C706)</f>
        <v>2577458</v>
      </c>
      <c r="Q706" s="13">
        <f>SUMIFS(M:M,E:E,Online_eCommerce[[#This Row],[Status]])</f>
        <v>28620410</v>
      </c>
      <c r="R706" s="13">
        <f>SUMIFS(L:L,H:H,Online_eCommerce[[#This Row],[Brand]])</f>
        <v>12435650</v>
      </c>
      <c r="S706" s="13">
        <f>SUMIF(H:H,Online_eCommerce[[#This Row],[Brand]],M:M)</f>
        <v>16166345</v>
      </c>
      <c r="T706" s="13">
        <f>SUMIF(N:N,Online_eCommerce[[#This Row],[Assigned Supervisor]],L:L)</f>
        <v>13693220</v>
      </c>
    </row>
    <row r="707" spans="1:20" hidden="1" x14ac:dyDescent="0.3">
      <c r="A707" t="s">
        <v>1124</v>
      </c>
      <c r="B707" t="s">
        <v>154</v>
      </c>
      <c r="C707" t="s">
        <v>185</v>
      </c>
      <c r="D707" t="s">
        <v>925</v>
      </c>
      <c r="E707" t="s">
        <v>96</v>
      </c>
      <c r="F707" t="s">
        <v>152</v>
      </c>
      <c r="G707" t="s">
        <v>26</v>
      </c>
      <c r="H707" t="s">
        <v>27</v>
      </c>
      <c r="I707">
        <v>8500</v>
      </c>
      <c r="J707">
        <v>11050</v>
      </c>
      <c r="K707">
        <v>3</v>
      </c>
      <c r="L707">
        <v>25500</v>
      </c>
      <c r="M707">
        <v>33150</v>
      </c>
      <c r="N707" t="s">
        <v>28</v>
      </c>
      <c r="O707">
        <f t="shared" si="22"/>
        <v>33150</v>
      </c>
      <c r="P707" s="13">
        <f t="shared" si="23"/>
        <v>2091596</v>
      </c>
      <c r="Q707" s="13">
        <f>SUMIFS(M:M,E:E,Online_eCommerce[[#This Row],[Status]])</f>
        <v>21233992</v>
      </c>
      <c r="R707" s="13">
        <f>SUMIFS(L:L,H:H,Online_eCommerce[[#This Row],[Brand]])</f>
        <v>14431000</v>
      </c>
      <c r="S707" s="13">
        <f>SUMIF(H:H,Online_eCommerce[[#This Row],[Brand]],M:M)</f>
        <v>18760300</v>
      </c>
      <c r="T707" s="13">
        <f>SUMIF(N:N,Online_eCommerce[[#This Row],[Assigned Supervisor]],L:L)</f>
        <v>12220830</v>
      </c>
    </row>
    <row r="708" spans="1:20" hidden="1" x14ac:dyDescent="0.3">
      <c r="A708" t="s">
        <v>1125</v>
      </c>
      <c r="B708" t="s">
        <v>154</v>
      </c>
      <c r="C708" t="s">
        <v>189</v>
      </c>
      <c r="D708" t="s">
        <v>925</v>
      </c>
      <c r="E708" t="s">
        <v>18</v>
      </c>
      <c r="F708" t="s">
        <v>157</v>
      </c>
      <c r="G708" t="s">
        <v>33</v>
      </c>
      <c r="H708" t="s">
        <v>34</v>
      </c>
      <c r="I708">
        <v>12500</v>
      </c>
      <c r="J708">
        <v>16250</v>
      </c>
      <c r="K708">
        <v>3</v>
      </c>
      <c r="L708">
        <v>37500</v>
      </c>
      <c r="M708">
        <v>48750</v>
      </c>
      <c r="N708" t="s">
        <v>35</v>
      </c>
      <c r="O708">
        <f t="shared" si="22"/>
        <v>18200</v>
      </c>
      <c r="P708" s="13">
        <f t="shared" si="23"/>
        <v>2740777</v>
      </c>
      <c r="Q708" s="13">
        <f>SUMIFS(M:M,E:E,Online_eCommerce[[#This Row],[Status]])</f>
        <v>28340455</v>
      </c>
      <c r="R708" s="13">
        <f>SUMIFS(L:L,H:H,Online_eCommerce[[#This Row],[Brand]])</f>
        <v>10087000</v>
      </c>
      <c r="S708" s="13">
        <f>SUMIF(H:H,Online_eCommerce[[#This Row],[Brand]],M:M)</f>
        <v>13113100</v>
      </c>
      <c r="T708" s="13">
        <f>SUMIF(N:N,Online_eCommerce[[#This Row],[Assigned Supervisor]],L:L)</f>
        <v>14373360</v>
      </c>
    </row>
    <row r="709" spans="1:20" hidden="1" x14ac:dyDescent="0.3">
      <c r="A709" t="s">
        <v>1126</v>
      </c>
      <c r="B709" t="s">
        <v>154</v>
      </c>
      <c r="C709" t="s">
        <v>193</v>
      </c>
      <c r="D709" t="s">
        <v>925</v>
      </c>
      <c r="E709" t="s">
        <v>161</v>
      </c>
      <c r="F709" t="s">
        <v>801</v>
      </c>
      <c r="G709" t="s">
        <v>40</v>
      </c>
      <c r="H709" t="s">
        <v>41</v>
      </c>
      <c r="I709">
        <v>3500</v>
      </c>
      <c r="J709">
        <v>4550</v>
      </c>
      <c r="K709">
        <v>2</v>
      </c>
      <c r="L709">
        <v>7000</v>
      </c>
      <c r="M709">
        <v>9100</v>
      </c>
      <c r="N709" t="s">
        <v>42</v>
      </c>
      <c r="O709">
        <f t="shared" si="22"/>
        <v>25545</v>
      </c>
      <c r="P709" s="13">
        <f t="shared" si="23"/>
        <v>2074774</v>
      </c>
      <c r="Q709" s="13">
        <f>SUMIFS(M:M,E:E,Online_eCommerce[[#This Row],[Status]])</f>
        <v>21103186</v>
      </c>
      <c r="R709" s="13">
        <f>SUMIFS(L:L,H:H,Online_eCommerce[[#This Row],[Brand]])</f>
        <v>4260400</v>
      </c>
      <c r="S709" s="13">
        <f>SUMIF(H:H,Online_eCommerce[[#This Row],[Brand]],M:M)</f>
        <v>5538520</v>
      </c>
      <c r="T709" s="13">
        <f>SUMIF(N:N,Online_eCommerce[[#This Row],[Assigned Supervisor]],L:L)</f>
        <v>12261500</v>
      </c>
    </row>
    <row r="710" spans="1:20" x14ac:dyDescent="0.3">
      <c r="A710" t="s">
        <v>1127</v>
      </c>
      <c r="B710" t="s">
        <v>154</v>
      </c>
      <c r="C710" t="s">
        <v>197</v>
      </c>
      <c r="D710" t="s">
        <v>925</v>
      </c>
      <c r="E710" t="s">
        <v>46</v>
      </c>
      <c r="F710" t="s">
        <v>166</v>
      </c>
      <c r="G710" t="s">
        <v>334</v>
      </c>
      <c r="H710" t="s">
        <v>49</v>
      </c>
      <c r="I710">
        <v>4500</v>
      </c>
      <c r="J710">
        <v>5850</v>
      </c>
      <c r="K710">
        <v>1</v>
      </c>
      <c r="L710">
        <v>4500</v>
      </c>
      <c r="M710">
        <v>5850</v>
      </c>
      <c r="N710" t="s">
        <v>50</v>
      </c>
      <c r="O710">
        <f t="shared" si="22"/>
        <v>39780</v>
      </c>
      <c r="P710" s="13">
        <f t="shared" si="23"/>
        <v>2829840</v>
      </c>
      <c r="Q710" s="13">
        <f>SUMIFS(M:M,E:E,Online_eCommerce[[#This Row],[Status]])</f>
        <v>28620410</v>
      </c>
      <c r="R710" s="13">
        <f>SUMIFS(L:L,H:H,Online_eCommerce[[#This Row],[Brand]])</f>
        <v>4528350</v>
      </c>
      <c r="S710" s="13">
        <f>SUMIF(H:H,Online_eCommerce[[#This Row],[Brand]],M:M)</f>
        <v>5886855</v>
      </c>
      <c r="T710" s="13">
        <f>SUMIF(N:N,Online_eCommerce[[#This Row],[Assigned Supervisor]],L:L)</f>
        <v>12100590</v>
      </c>
    </row>
    <row r="711" spans="1:20" hidden="1" x14ac:dyDescent="0.3">
      <c r="A711" t="s">
        <v>1128</v>
      </c>
      <c r="B711" t="s">
        <v>154</v>
      </c>
      <c r="C711" t="s">
        <v>199</v>
      </c>
      <c r="D711" t="s">
        <v>925</v>
      </c>
      <c r="E711" t="s">
        <v>96</v>
      </c>
      <c r="F711" t="s">
        <v>1129</v>
      </c>
      <c r="G711" t="s">
        <v>54</v>
      </c>
      <c r="H711" t="s">
        <v>55</v>
      </c>
      <c r="I711">
        <v>2100</v>
      </c>
      <c r="J711">
        <v>2730</v>
      </c>
      <c r="K711">
        <v>4</v>
      </c>
      <c r="L711">
        <v>8400</v>
      </c>
      <c r="M711">
        <v>10920</v>
      </c>
      <c r="N711" t="s">
        <v>56</v>
      </c>
      <c r="O711">
        <f t="shared" si="22"/>
        <v>2990</v>
      </c>
      <c r="P711" s="13">
        <f t="shared" si="23"/>
        <v>1947361</v>
      </c>
      <c r="Q711" s="13">
        <f>SUMIFS(M:M,E:E,Online_eCommerce[[#This Row],[Status]])</f>
        <v>21233992</v>
      </c>
      <c r="R711" s="13">
        <f>SUMIFS(L:L,H:H,Online_eCommerce[[#This Row],[Brand]])</f>
        <v>2267380</v>
      </c>
      <c r="S711" s="13">
        <f>SUMIF(H:H,Online_eCommerce[[#This Row],[Brand]],M:M)</f>
        <v>2947594</v>
      </c>
      <c r="T711" s="13">
        <f>SUMIF(N:N,Online_eCommerce[[#This Row],[Assigned Supervisor]],L:L)</f>
        <v>11733610</v>
      </c>
    </row>
    <row r="712" spans="1:20" hidden="1" x14ac:dyDescent="0.3">
      <c r="A712" t="s">
        <v>1130</v>
      </c>
      <c r="B712" t="s">
        <v>154</v>
      </c>
      <c r="C712" t="s">
        <v>203</v>
      </c>
      <c r="D712" t="s">
        <v>925</v>
      </c>
      <c r="E712" t="s">
        <v>18</v>
      </c>
      <c r="F712" t="s">
        <v>174</v>
      </c>
      <c r="G712" t="s">
        <v>60</v>
      </c>
      <c r="H712" t="s">
        <v>61</v>
      </c>
      <c r="I712">
        <v>1150</v>
      </c>
      <c r="J712">
        <v>1495</v>
      </c>
      <c r="K712">
        <v>2</v>
      </c>
      <c r="L712">
        <v>2300</v>
      </c>
      <c r="M712">
        <v>2990</v>
      </c>
      <c r="N712" t="s">
        <v>22</v>
      </c>
      <c r="O712">
        <f t="shared" si="22"/>
        <v>3315</v>
      </c>
      <c r="P712" s="13">
        <f t="shared" si="23"/>
        <v>2559635</v>
      </c>
      <c r="Q712" s="13">
        <f>SUMIFS(M:M,E:E,Online_eCommerce[[#This Row],[Status]])</f>
        <v>28340455</v>
      </c>
      <c r="R712" s="13">
        <f>SUMIFS(L:L,H:H,Online_eCommerce[[#This Row],[Brand]])</f>
        <v>10950150</v>
      </c>
      <c r="S712" s="13">
        <f>SUMIF(H:H,Online_eCommerce[[#This Row],[Brand]],M:M)</f>
        <v>14235195</v>
      </c>
      <c r="T712" s="13">
        <f>SUMIF(N:N,Online_eCommerce[[#This Row],[Assigned Supervisor]],L:L)</f>
        <v>13693220</v>
      </c>
    </row>
    <row r="713" spans="1:20" hidden="1" x14ac:dyDescent="0.3">
      <c r="A713" t="s">
        <v>1131</v>
      </c>
      <c r="B713" t="s">
        <v>154</v>
      </c>
      <c r="C713" t="s">
        <v>205</v>
      </c>
      <c r="D713" t="s">
        <v>925</v>
      </c>
      <c r="E713" t="s">
        <v>161</v>
      </c>
      <c r="F713" t="s">
        <v>179</v>
      </c>
      <c r="G713" t="s">
        <v>66</v>
      </c>
      <c r="H713" t="s">
        <v>21</v>
      </c>
      <c r="I713">
        <v>350</v>
      </c>
      <c r="J713">
        <v>455</v>
      </c>
      <c r="K713">
        <v>2</v>
      </c>
      <c r="L713">
        <v>700</v>
      </c>
      <c r="M713">
        <v>910</v>
      </c>
      <c r="N713" t="s">
        <v>28</v>
      </c>
      <c r="O713">
        <f t="shared" si="22"/>
        <v>1690</v>
      </c>
      <c r="P713" s="13">
        <f t="shared" si="23"/>
        <v>1983254</v>
      </c>
      <c r="Q713" s="13">
        <f>SUMIFS(M:M,E:E,Online_eCommerce[[#This Row],[Status]])</f>
        <v>21103186</v>
      </c>
      <c r="R713" s="13">
        <f>SUMIFS(L:L,H:H,Online_eCommerce[[#This Row],[Brand]])</f>
        <v>12435650</v>
      </c>
      <c r="S713" s="13">
        <f>SUMIF(H:H,Online_eCommerce[[#This Row],[Brand]],M:M)</f>
        <v>16166345</v>
      </c>
      <c r="T713" s="13">
        <f>SUMIF(N:N,Online_eCommerce[[#This Row],[Assigned Supervisor]],L:L)</f>
        <v>12220830</v>
      </c>
    </row>
    <row r="714" spans="1:20" x14ac:dyDescent="0.3">
      <c r="A714" t="s">
        <v>1132</v>
      </c>
      <c r="B714" t="s">
        <v>154</v>
      </c>
      <c r="C714" t="s">
        <v>208</v>
      </c>
      <c r="D714" t="s">
        <v>925</v>
      </c>
      <c r="E714" t="s">
        <v>46</v>
      </c>
      <c r="F714" t="s">
        <v>183</v>
      </c>
      <c r="G714" t="s">
        <v>71</v>
      </c>
      <c r="H714" t="s">
        <v>61</v>
      </c>
      <c r="I714">
        <v>9500</v>
      </c>
      <c r="J714">
        <v>12350</v>
      </c>
      <c r="K714">
        <v>4</v>
      </c>
      <c r="L714">
        <v>38000</v>
      </c>
      <c r="M714">
        <v>49400</v>
      </c>
      <c r="N714" t="s">
        <v>35</v>
      </c>
      <c r="O714">
        <f t="shared" si="22"/>
        <v>9750</v>
      </c>
      <c r="P714" s="13">
        <f t="shared" si="23"/>
        <v>2746575</v>
      </c>
      <c r="Q714" s="13">
        <f>SUMIFS(M:M,E:E,Online_eCommerce[[#This Row],[Status]])</f>
        <v>28620410</v>
      </c>
      <c r="R714" s="13">
        <f>SUMIFS(L:L,H:H,Online_eCommerce[[#This Row],[Brand]])</f>
        <v>10950150</v>
      </c>
      <c r="S714" s="13">
        <f>SUMIF(H:H,Online_eCommerce[[#This Row],[Brand]],M:M)</f>
        <v>14235195</v>
      </c>
      <c r="T714" s="13">
        <f>SUMIF(N:N,Online_eCommerce[[#This Row],[Assigned Supervisor]],L:L)</f>
        <v>14373360</v>
      </c>
    </row>
    <row r="715" spans="1:20" hidden="1" x14ac:dyDescent="0.3">
      <c r="A715" t="s">
        <v>1133</v>
      </c>
      <c r="B715" t="s">
        <v>154</v>
      </c>
      <c r="C715" t="s">
        <v>211</v>
      </c>
      <c r="D715" t="s">
        <v>925</v>
      </c>
      <c r="E715" t="s">
        <v>96</v>
      </c>
      <c r="F715" t="s">
        <v>1134</v>
      </c>
      <c r="G715" t="s">
        <v>77</v>
      </c>
      <c r="H715" t="s">
        <v>142</v>
      </c>
      <c r="I715">
        <v>10000</v>
      </c>
      <c r="J715">
        <v>13000</v>
      </c>
      <c r="K715">
        <v>3</v>
      </c>
      <c r="L715">
        <v>30000</v>
      </c>
      <c r="M715">
        <v>39000</v>
      </c>
      <c r="N715" t="s">
        <v>42</v>
      </c>
      <c r="O715">
        <f t="shared" si="22"/>
        <v>39000</v>
      </c>
      <c r="P715" s="13">
        <f t="shared" si="23"/>
        <v>1809847</v>
      </c>
      <c r="Q715" s="13">
        <f>SUMIFS(M:M,E:E,Online_eCommerce[[#This Row],[Status]])</f>
        <v>21233992</v>
      </c>
      <c r="R715" s="13">
        <f>SUMIFS(L:L,H:H,Online_eCommerce[[#This Row],[Brand]])</f>
        <v>6192500</v>
      </c>
      <c r="S715" s="13">
        <f>SUMIF(H:H,Online_eCommerce[[#This Row],[Brand]],M:M)</f>
        <v>8050250</v>
      </c>
      <c r="T715" s="13">
        <f>SUMIF(N:N,Online_eCommerce[[#This Row],[Assigned Supervisor]],L:L)</f>
        <v>12261500</v>
      </c>
    </row>
    <row r="716" spans="1:20" hidden="1" x14ac:dyDescent="0.3">
      <c r="A716" t="s">
        <v>1135</v>
      </c>
      <c r="B716" t="s">
        <v>154</v>
      </c>
      <c r="C716" t="s">
        <v>16</v>
      </c>
      <c r="D716" t="s">
        <v>925</v>
      </c>
      <c r="E716" t="s">
        <v>18</v>
      </c>
      <c r="F716" t="s">
        <v>1136</v>
      </c>
      <c r="G716" t="s">
        <v>20</v>
      </c>
      <c r="H716" t="s">
        <v>21</v>
      </c>
      <c r="I716">
        <v>6500</v>
      </c>
      <c r="J716">
        <v>8450</v>
      </c>
      <c r="K716">
        <v>4</v>
      </c>
      <c r="L716">
        <v>26000</v>
      </c>
      <c r="M716">
        <v>33800</v>
      </c>
      <c r="N716" t="s">
        <v>50</v>
      </c>
      <c r="O716">
        <f t="shared" si="22"/>
        <v>8450</v>
      </c>
      <c r="P716" s="13">
        <f t="shared" si="23"/>
        <v>2751814</v>
      </c>
      <c r="Q716" s="13">
        <f>SUMIFS(M:M,E:E,Online_eCommerce[[#This Row],[Status]])</f>
        <v>28340455</v>
      </c>
      <c r="R716" s="13">
        <f>SUMIFS(L:L,H:H,Online_eCommerce[[#This Row],[Brand]])</f>
        <v>12435650</v>
      </c>
      <c r="S716" s="13">
        <f>SUMIF(H:H,Online_eCommerce[[#This Row],[Brand]],M:M)</f>
        <v>16166345</v>
      </c>
      <c r="T716" s="13">
        <f>SUMIF(N:N,Online_eCommerce[[#This Row],[Assigned Supervisor]],L:L)</f>
        <v>12100590</v>
      </c>
    </row>
    <row r="717" spans="1:20" hidden="1" x14ac:dyDescent="0.3">
      <c r="A717" t="s">
        <v>1137</v>
      </c>
      <c r="B717" t="s">
        <v>154</v>
      </c>
      <c r="C717" t="s">
        <v>24</v>
      </c>
      <c r="D717" t="s">
        <v>925</v>
      </c>
      <c r="E717" t="s">
        <v>161</v>
      </c>
      <c r="F717" t="s">
        <v>1138</v>
      </c>
      <c r="G717" t="s">
        <v>26</v>
      </c>
      <c r="H717" t="s">
        <v>27</v>
      </c>
      <c r="I717">
        <v>8500</v>
      </c>
      <c r="J717">
        <v>11050</v>
      </c>
      <c r="K717">
        <v>3</v>
      </c>
      <c r="L717">
        <v>25500</v>
      </c>
      <c r="M717">
        <v>33150</v>
      </c>
      <c r="N717" t="s">
        <v>56</v>
      </c>
      <c r="O717">
        <f t="shared" si="22"/>
        <v>33150</v>
      </c>
      <c r="P717" s="13">
        <f t="shared" si="23"/>
        <v>2009540</v>
      </c>
      <c r="Q717" s="13">
        <f>SUMIFS(M:M,E:E,Online_eCommerce[[#This Row],[Status]])</f>
        <v>21103186</v>
      </c>
      <c r="R717" s="13">
        <f>SUMIFS(L:L,H:H,Online_eCommerce[[#This Row],[Brand]])</f>
        <v>14431000</v>
      </c>
      <c r="S717" s="13">
        <f>SUMIF(H:H,Online_eCommerce[[#This Row],[Brand]],M:M)</f>
        <v>18760300</v>
      </c>
      <c r="T717" s="13">
        <f>SUMIF(N:N,Online_eCommerce[[#This Row],[Assigned Supervisor]],L:L)</f>
        <v>11733610</v>
      </c>
    </row>
    <row r="718" spans="1:20" x14ac:dyDescent="0.3">
      <c r="A718" t="s">
        <v>1139</v>
      </c>
      <c r="B718" t="s">
        <v>154</v>
      </c>
      <c r="C718" t="s">
        <v>31</v>
      </c>
      <c r="D718" t="s">
        <v>925</v>
      </c>
      <c r="E718" t="s">
        <v>46</v>
      </c>
      <c r="F718" t="s">
        <v>32</v>
      </c>
      <c r="G718" t="s">
        <v>33</v>
      </c>
      <c r="H718" t="s">
        <v>34</v>
      </c>
      <c r="I718">
        <v>7000</v>
      </c>
      <c r="J718">
        <v>9100</v>
      </c>
      <c r="K718">
        <v>3</v>
      </c>
      <c r="L718">
        <v>21000</v>
      </c>
      <c r="M718">
        <v>27300</v>
      </c>
      <c r="N718" t="s">
        <v>22</v>
      </c>
      <c r="O718">
        <f t="shared" si="22"/>
        <v>18200</v>
      </c>
      <c r="P718" s="13">
        <f t="shared" si="23"/>
        <v>2865746</v>
      </c>
      <c r="Q718" s="13">
        <f>SUMIFS(M:M,E:E,Online_eCommerce[[#This Row],[Status]])</f>
        <v>28620410</v>
      </c>
      <c r="R718" s="13">
        <f>SUMIFS(L:L,H:H,Online_eCommerce[[#This Row],[Brand]])</f>
        <v>10087000</v>
      </c>
      <c r="S718" s="13">
        <f>SUMIF(H:H,Online_eCommerce[[#This Row],[Brand]],M:M)</f>
        <v>13113100</v>
      </c>
      <c r="T718" s="13">
        <f>SUMIF(N:N,Online_eCommerce[[#This Row],[Assigned Supervisor]],L:L)</f>
        <v>13693220</v>
      </c>
    </row>
    <row r="719" spans="1:20" hidden="1" x14ac:dyDescent="0.3">
      <c r="A719" t="s">
        <v>1140</v>
      </c>
      <c r="B719" t="s">
        <v>154</v>
      </c>
      <c r="C719" t="s">
        <v>38</v>
      </c>
      <c r="D719" t="s">
        <v>925</v>
      </c>
      <c r="E719" t="s">
        <v>96</v>
      </c>
      <c r="F719" t="s">
        <v>1141</v>
      </c>
      <c r="G719" t="s">
        <v>40</v>
      </c>
      <c r="H719" t="s">
        <v>41</v>
      </c>
      <c r="I719">
        <v>6550</v>
      </c>
      <c r="J719">
        <v>8515</v>
      </c>
      <c r="K719">
        <v>2</v>
      </c>
      <c r="L719">
        <v>13100</v>
      </c>
      <c r="M719">
        <v>17030</v>
      </c>
      <c r="N719" t="s">
        <v>28</v>
      </c>
      <c r="O719">
        <f t="shared" si="22"/>
        <v>25545</v>
      </c>
      <c r="P719" s="13">
        <f t="shared" si="23"/>
        <v>1933997</v>
      </c>
      <c r="Q719" s="13">
        <f>SUMIFS(M:M,E:E,Online_eCommerce[[#This Row],[Status]])</f>
        <v>21233992</v>
      </c>
      <c r="R719" s="13">
        <f>SUMIFS(L:L,H:H,Online_eCommerce[[#This Row],[Brand]])</f>
        <v>4260400</v>
      </c>
      <c r="S719" s="13">
        <f>SUMIF(H:H,Online_eCommerce[[#This Row],[Brand]],M:M)</f>
        <v>5538520</v>
      </c>
      <c r="T719" s="13">
        <f>SUMIF(N:N,Online_eCommerce[[#This Row],[Assigned Supervisor]],L:L)</f>
        <v>12220830</v>
      </c>
    </row>
    <row r="720" spans="1:20" hidden="1" x14ac:dyDescent="0.3">
      <c r="A720" t="s">
        <v>1142</v>
      </c>
      <c r="B720" t="s">
        <v>154</v>
      </c>
      <c r="C720" t="s">
        <v>45</v>
      </c>
      <c r="D720" t="s">
        <v>925</v>
      </c>
      <c r="E720" t="s">
        <v>18</v>
      </c>
      <c r="F720" t="s">
        <v>47</v>
      </c>
      <c r="G720" t="s">
        <v>334</v>
      </c>
      <c r="H720" t="s">
        <v>49</v>
      </c>
      <c r="I720">
        <v>7650</v>
      </c>
      <c r="J720">
        <v>9945</v>
      </c>
      <c r="K720">
        <v>3</v>
      </c>
      <c r="L720">
        <v>22950</v>
      </c>
      <c r="M720">
        <v>29835</v>
      </c>
      <c r="N720" t="s">
        <v>35</v>
      </c>
      <c r="O720">
        <f t="shared" si="22"/>
        <v>39780</v>
      </c>
      <c r="P720" s="13">
        <f t="shared" si="23"/>
        <v>2842554</v>
      </c>
      <c r="Q720" s="13">
        <f>SUMIFS(M:M,E:E,Online_eCommerce[[#This Row],[Status]])</f>
        <v>28340455</v>
      </c>
      <c r="R720" s="13">
        <f>SUMIFS(L:L,H:H,Online_eCommerce[[#This Row],[Brand]])</f>
        <v>4528350</v>
      </c>
      <c r="S720" s="13">
        <f>SUMIF(H:H,Online_eCommerce[[#This Row],[Brand]],M:M)</f>
        <v>5886855</v>
      </c>
      <c r="T720" s="13">
        <f>SUMIF(N:N,Online_eCommerce[[#This Row],[Assigned Supervisor]],L:L)</f>
        <v>14373360</v>
      </c>
    </row>
    <row r="721" spans="1:20" hidden="1" x14ac:dyDescent="0.3">
      <c r="A721" t="s">
        <v>1143</v>
      </c>
      <c r="B721" t="s">
        <v>154</v>
      </c>
      <c r="C721" t="s">
        <v>52</v>
      </c>
      <c r="D721" t="s">
        <v>925</v>
      </c>
      <c r="E721" t="s">
        <v>161</v>
      </c>
      <c r="F721" t="s">
        <v>53</v>
      </c>
      <c r="G721" t="s">
        <v>54</v>
      </c>
      <c r="H721" t="s">
        <v>55</v>
      </c>
      <c r="I721">
        <v>1150</v>
      </c>
      <c r="J721">
        <v>1495</v>
      </c>
      <c r="K721">
        <v>3</v>
      </c>
      <c r="L721">
        <v>3450</v>
      </c>
      <c r="M721">
        <v>4485</v>
      </c>
      <c r="N721" t="s">
        <v>42</v>
      </c>
      <c r="O721">
        <f t="shared" si="22"/>
        <v>2990</v>
      </c>
      <c r="P721" s="13">
        <f t="shared" si="23"/>
        <v>1955044</v>
      </c>
      <c r="Q721" s="13">
        <f>SUMIFS(M:M,E:E,Online_eCommerce[[#This Row],[Status]])</f>
        <v>21103186</v>
      </c>
      <c r="R721" s="13">
        <f>SUMIFS(L:L,H:H,Online_eCommerce[[#This Row],[Brand]])</f>
        <v>2267380</v>
      </c>
      <c r="S721" s="13">
        <f>SUMIF(H:H,Online_eCommerce[[#This Row],[Brand]],M:M)</f>
        <v>2947594</v>
      </c>
      <c r="T721" s="13">
        <f>SUMIF(N:N,Online_eCommerce[[#This Row],[Assigned Supervisor]],L:L)</f>
        <v>12261500</v>
      </c>
    </row>
    <row r="722" spans="1:20" x14ac:dyDescent="0.3">
      <c r="A722" t="s">
        <v>1144</v>
      </c>
      <c r="B722" t="s">
        <v>154</v>
      </c>
      <c r="C722" t="s">
        <v>58</v>
      </c>
      <c r="D722" t="s">
        <v>925</v>
      </c>
      <c r="E722" t="s">
        <v>46</v>
      </c>
      <c r="F722" t="s">
        <v>59</v>
      </c>
      <c r="G722" t="s">
        <v>60</v>
      </c>
      <c r="H722" t="s">
        <v>61</v>
      </c>
      <c r="I722">
        <v>850</v>
      </c>
      <c r="J722">
        <v>1105</v>
      </c>
      <c r="K722">
        <v>3</v>
      </c>
      <c r="L722">
        <v>2550</v>
      </c>
      <c r="M722">
        <v>3315</v>
      </c>
      <c r="N722" t="s">
        <v>50</v>
      </c>
      <c r="O722">
        <f t="shared" si="22"/>
        <v>3315</v>
      </c>
      <c r="P722" s="13">
        <f t="shared" si="23"/>
        <v>2629211</v>
      </c>
      <c r="Q722" s="13">
        <f>SUMIFS(M:M,E:E,Online_eCommerce[[#This Row],[Status]])</f>
        <v>28620410</v>
      </c>
      <c r="R722" s="13">
        <f>SUMIFS(L:L,H:H,Online_eCommerce[[#This Row],[Brand]])</f>
        <v>10950150</v>
      </c>
      <c r="S722" s="13">
        <f>SUMIF(H:H,Online_eCommerce[[#This Row],[Brand]],M:M)</f>
        <v>14235195</v>
      </c>
      <c r="T722" s="13">
        <f>SUMIF(N:N,Online_eCommerce[[#This Row],[Assigned Supervisor]],L:L)</f>
        <v>12100590</v>
      </c>
    </row>
    <row r="723" spans="1:20" hidden="1" x14ac:dyDescent="0.3">
      <c r="A723" t="s">
        <v>1145</v>
      </c>
      <c r="B723" t="s">
        <v>154</v>
      </c>
      <c r="C723" t="s">
        <v>63</v>
      </c>
      <c r="D723" t="s">
        <v>925</v>
      </c>
      <c r="E723" t="s">
        <v>96</v>
      </c>
      <c r="F723" t="s">
        <v>65</v>
      </c>
      <c r="G723" t="s">
        <v>66</v>
      </c>
      <c r="H723" t="s">
        <v>21</v>
      </c>
      <c r="I723">
        <v>650</v>
      </c>
      <c r="J723">
        <v>845</v>
      </c>
      <c r="K723">
        <v>3</v>
      </c>
      <c r="L723">
        <v>1950</v>
      </c>
      <c r="M723">
        <v>2535</v>
      </c>
      <c r="N723" t="s">
        <v>56</v>
      </c>
      <c r="O723">
        <f t="shared" si="22"/>
        <v>1690</v>
      </c>
      <c r="P723" s="13">
        <f t="shared" si="23"/>
        <v>2016131</v>
      </c>
      <c r="Q723" s="13">
        <f>SUMIFS(M:M,E:E,Online_eCommerce[[#This Row],[Status]])</f>
        <v>21233992</v>
      </c>
      <c r="R723" s="13">
        <f>SUMIFS(L:L,H:H,Online_eCommerce[[#This Row],[Brand]])</f>
        <v>12435650</v>
      </c>
      <c r="S723" s="13">
        <f>SUMIF(H:H,Online_eCommerce[[#This Row],[Brand]],M:M)</f>
        <v>16166345</v>
      </c>
      <c r="T723" s="13">
        <f>SUMIF(N:N,Online_eCommerce[[#This Row],[Assigned Supervisor]],L:L)</f>
        <v>11733610</v>
      </c>
    </row>
    <row r="724" spans="1:20" hidden="1" x14ac:dyDescent="0.3">
      <c r="A724" t="s">
        <v>1146</v>
      </c>
      <c r="B724" t="s">
        <v>154</v>
      </c>
      <c r="C724" t="s">
        <v>68</v>
      </c>
      <c r="D724" t="s">
        <v>925</v>
      </c>
      <c r="E724" t="s">
        <v>18</v>
      </c>
      <c r="F724" t="s">
        <v>70</v>
      </c>
      <c r="G724" t="s">
        <v>71</v>
      </c>
      <c r="H724" t="s">
        <v>61</v>
      </c>
      <c r="I724">
        <v>7500</v>
      </c>
      <c r="J724">
        <v>9750</v>
      </c>
      <c r="K724">
        <v>3</v>
      </c>
      <c r="L724">
        <v>22500</v>
      </c>
      <c r="M724">
        <v>29250</v>
      </c>
      <c r="N724" t="s">
        <v>22</v>
      </c>
      <c r="O724">
        <f t="shared" si="22"/>
        <v>9750</v>
      </c>
      <c r="P724" s="13">
        <f t="shared" si="23"/>
        <v>2974621</v>
      </c>
      <c r="Q724" s="13">
        <f>SUMIFS(M:M,E:E,Online_eCommerce[[#This Row],[Status]])</f>
        <v>28340455</v>
      </c>
      <c r="R724" s="13">
        <f>SUMIFS(L:L,H:H,Online_eCommerce[[#This Row],[Brand]])</f>
        <v>10950150</v>
      </c>
      <c r="S724" s="13">
        <f>SUMIF(H:H,Online_eCommerce[[#This Row],[Brand]],M:M)</f>
        <v>14235195</v>
      </c>
      <c r="T724" s="13">
        <f>SUMIF(N:N,Online_eCommerce[[#This Row],[Assigned Supervisor]],L:L)</f>
        <v>13693220</v>
      </c>
    </row>
    <row r="725" spans="1:20" hidden="1" x14ac:dyDescent="0.3">
      <c r="A725" t="s">
        <v>1147</v>
      </c>
      <c r="B725" t="s">
        <v>154</v>
      </c>
      <c r="C725" t="s">
        <v>74</v>
      </c>
      <c r="D725" t="s">
        <v>925</v>
      </c>
      <c r="E725" t="s">
        <v>161</v>
      </c>
      <c r="F725" t="s">
        <v>1134</v>
      </c>
      <c r="G725" t="s">
        <v>77</v>
      </c>
      <c r="H725" t="s">
        <v>78</v>
      </c>
      <c r="I725">
        <v>10000</v>
      </c>
      <c r="J725">
        <v>13000</v>
      </c>
      <c r="K725">
        <v>4</v>
      </c>
      <c r="L725">
        <v>40000</v>
      </c>
      <c r="M725">
        <v>52000</v>
      </c>
      <c r="N725" t="s">
        <v>28</v>
      </c>
      <c r="O725">
        <f t="shared" si="22"/>
        <v>39000</v>
      </c>
      <c r="P725" s="13">
        <f t="shared" si="23"/>
        <v>2144701</v>
      </c>
      <c r="Q725" s="13">
        <f>SUMIFS(M:M,E:E,Online_eCommerce[[#This Row],[Status]])</f>
        <v>21103186</v>
      </c>
      <c r="R725" s="13">
        <f>SUMIFS(L:L,H:H,Online_eCommerce[[#This Row],[Brand]])</f>
        <v>3720000</v>
      </c>
      <c r="S725" s="13">
        <f>SUMIF(H:H,Online_eCommerce[[#This Row],[Brand]],M:M)</f>
        <v>4836000</v>
      </c>
      <c r="T725" s="13">
        <f>SUMIF(N:N,Online_eCommerce[[#This Row],[Assigned Supervisor]],L:L)</f>
        <v>12220830</v>
      </c>
    </row>
    <row r="726" spans="1:20" x14ac:dyDescent="0.3">
      <c r="A726" t="s">
        <v>1148</v>
      </c>
      <c r="B726" t="s">
        <v>154</v>
      </c>
      <c r="C726" t="s">
        <v>81</v>
      </c>
      <c r="D726" t="s">
        <v>925</v>
      </c>
      <c r="E726" t="s">
        <v>46</v>
      </c>
      <c r="F726" t="s">
        <v>1149</v>
      </c>
      <c r="G726" t="s">
        <v>20</v>
      </c>
      <c r="H726" t="s">
        <v>21</v>
      </c>
      <c r="I726">
        <v>10500</v>
      </c>
      <c r="J726">
        <v>13650</v>
      </c>
      <c r="K726">
        <v>3</v>
      </c>
      <c r="L726">
        <v>31500</v>
      </c>
      <c r="M726">
        <v>40950</v>
      </c>
      <c r="N726" t="s">
        <v>35</v>
      </c>
      <c r="O726">
        <f t="shared" si="22"/>
        <v>8450</v>
      </c>
      <c r="P726" s="13">
        <f t="shared" si="23"/>
        <v>2595632</v>
      </c>
      <c r="Q726" s="13">
        <f>SUMIFS(M:M,E:E,Online_eCommerce[[#This Row],[Status]])</f>
        <v>28620410</v>
      </c>
      <c r="R726" s="13">
        <f>SUMIFS(L:L,H:H,Online_eCommerce[[#This Row],[Brand]])</f>
        <v>12435650</v>
      </c>
      <c r="S726" s="13">
        <f>SUMIF(H:H,Online_eCommerce[[#This Row],[Brand]],M:M)</f>
        <v>16166345</v>
      </c>
      <c r="T726" s="13">
        <f>SUMIF(N:N,Online_eCommerce[[#This Row],[Assigned Supervisor]],L:L)</f>
        <v>14373360</v>
      </c>
    </row>
    <row r="727" spans="1:20" hidden="1" x14ac:dyDescent="0.3">
      <c r="A727" t="s">
        <v>1150</v>
      </c>
      <c r="B727" t="s">
        <v>154</v>
      </c>
      <c r="C727" t="s">
        <v>86</v>
      </c>
      <c r="D727" t="s">
        <v>1151</v>
      </c>
      <c r="E727" t="s">
        <v>96</v>
      </c>
      <c r="F727" t="s">
        <v>88</v>
      </c>
      <c r="G727" t="s">
        <v>26</v>
      </c>
      <c r="H727" t="s">
        <v>27</v>
      </c>
      <c r="I727">
        <v>8500</v>
      </c>
      <c r="J727">
        <v>11050</v>
      </c>
      <c r="K727">
        <v>4</v>
      </c>
      <c r="L727">
        <v>34000</v>
      </c>
      <c r="M727">
        <v>44200</v>
      </c>
      <c r="N727" t="s">
        <v>42</v>
      </c>
      <c r="O727">
        <f t="shared" si="22"/>
        <v>33150</v>
      </c>
      <c r="P727" s="13">
        <f t="shared" si="23"/>
        <v>1941225</v>
      </c>
      <c r="Q727" s="13">
        <f>SUMIFS(M:M,E:E,Online_eCommerce[[#This Row],[Status]])</f>
        <v>21233992</v>
      </c>
      <c r="R727" s="13">
        <f>SUMIFS(L:L,H:H,Online_eCommerce[[#This Row],[Brand]])</f>
        <v>14431000</v>
      </c>
      <c r="S727" s="13">
        <f>SUMIF(H:H,Online_eCommerce[[#This Row],[Brand]],M:M)</f>
        <v>18760300</v>
      </c>
      <c r="T727" s="13">
        <f>SUMIF(N:N,Online_eCommerce[[#This Row],[Assigned Supervisor]],L:L)</f>
        <v>12261500</v>
      </c>
    </row>
    <row r="728" spans="1:20" hidden="1" x14ac:dyDescent="0.3">
      <c r="A728" t="s">
        <v>1152</v>
      </c>
      <c r="B728" t="s">
        <v>154</v>
      </c>
      <c r="C728" t="s">
        <v>91</v>
      </c>
      <c r="D728" t="s">
        <v>1153</v>
      </c>
      <c r="E728" t="s">
        <v>18</v>
      </c>
      <c r="F728" t="s">
        <v>32</v>
      </c>
      <c r="G728" t="s">
        <v>33</v>
      </c>
      <c r="H728" t="s">
        <v>34</v>
      </c>
      <c r="I728">
        <v>7000</v>
      </c>
      <c r="J728">
        <v>9100</v>
      </c>
      <c r="K728">
        <v>2</v>
      </c>
      <c r="L728">
        <v>14000</v>
      </c>
      <c r="M728">
        <v>18200</v>
      </c>
      <c r="N728" t="s">
        <v>50</v>
      </c>
      <c r="O728">
        <f t="shared" si="22"/>
        <v>18200</v>
      </c>
      <c r="P728" s="13">
        <f t="shared" si="23"/>
        <v>2731963</v>
      </c>
      <c r="Q728" s="13">
        <f>SUMIFS(M:M,E:E,Online_eCommerce[[#This Row],[Status]])</f>
        <v>28340455</v>
      </c>
      <c r="R728" s="13">
        <f>SUMIFS(L:L,H:H,Online_eCommerce[[#This Row],[Brand]])</f>
        <v>10087000</v>
      </c>
      <c r="S728" s="13">
        <f>SUMIF(H:H,Online_eCommerce[[#This Row],[Brand]],M:M)</f>
        <v>13113100</v>
      </c>
      <c r="T728" s="13">
        <f>SUMIF(N:N,Online_eCommerce[[#This Row],[Assigned Supervisor]],L:L)</f>
        <v>12100590</v>
      </c>
    </row>
    <row r="729" spans="1:20" hidden="1" x14ac:dyDescent="0.3">
      <c r="A729" t="s">
        <v>1154</v>
      </c>
      <c r="B729" t="s">
        <v>154</v>
      </c>
      <c r="C729" t="s">
        <v>94</v>
      </c>
      <c r="D729" t="s">
        <v>1155</v>
      </c>
      <c r="E729" t="s">
        <v>161</v>
      </c>
      <c r="F729" t="s">
        <v>1156</v>
      </c>
      <c r="G729" t="s">
        <v>40</v>
      </c>
      <c r="H729" t="s">
        <v>41</v>
      </c>
      <c r="I729">
        <v>1680</v>
      </c>
      <c r="J729">
        <v>2184</v>
      </c>
      <c r="K729">
        <v>2</v>
      </c>
      <c r="L729">
        <v>3360</v>
      </c>
      <c r="M729">
        <v>4368</v>
      </c>
      <c r="N729" t="s">
        <v>56</v>
      </c>
      <c r="O729">
        <f t="shared" si="22"/>
        <v>25545</v>
      </c>
      <c r="P729" s="13">
        <f t="shared" si="23"/>
        <v>1868256</v>
      </c>
      <c r="Q729" s="13">
        <f>SUMIFS(M:M,E:E,Online_eCommerce[[#This Row],[Status]])</f>
        <v>21103186</v>
      </c>
      <c r="R729" s="13">
        <f>SUMIFS(L:L,H:H,Online_eCommerce[[#This Row],[Brand]])</f>
        <v>4260400</v>
      </c>
      <c r="S729" s="13">
        <f>SUMIF(H:H,Online_eCommerce[[#This Row],[Brand]],M:M)</f>
        <v>5538520</v>
      </c>
      <c r="T729" s="13">
        <f>SUMIF(N:N,Online_eCommerce[[#This Row],[Assigned Supervisor]],L:L)</f>
        <v>11733610</v>
      </c>
    </row>
    <row r="730" spans="1:20" x14ac:dyDescent="0.3">
      <c r="A730" t="s">
        <v>1157</v>
      </c>
      <c r="B730" t="s">
        <v>154</v>
      </c>
      <c r="C730" t="s">
        <v>99</v>
      </c>
      <c r="D730" t="s">
        <v>1158</v>
      </c>
      <c r="E730" t="s">
        <v>46</v>
      </c>
      <c r="F730" t="s">
        <v>101</v>
      </c>
      <c r="G730" t="s">
        <v>334</v>
      </c>
      <c r="H730" t="s">
        <v>102</v>
      </c>
      <c r="I730">
        <v>6540</v>
      </c>
      <c r="J730">
        <v>8502</v>
      </c>
      <c r="K730">
        <v>3</v>
      </c>
      <c r="L730">
        <v>19620</v>
      </c>
      <c r="M730">
        <v>25506</v>
      </c>
      <c r="N730" t="s">
        <v>22</v>
      </c>
      <c r="O730">
        <f t="shared" si="22"/>
        <v>39780</v>
      </c>
      <c r="P730" s="13">
        <f t="shared" si="23"/>
        <v>2651233</v>
      </c>
      <c r="Q730" s="13">
        <f>SUMIFS(M:M,E:E,Online_eCommerce[[#This Row],[Status]])</f>
        <v>28620410</v>
      </c>
      <c r="R730" s="13">
        <f>SUMIFS(L:L,H:H,Online_eCommerce[[#This Row],[Brand]])</f>
        <v>2465580</v>
      </c>
      <c r="S730" s="13">
        <f>SUMIF(H:H,Online_eCommerce[[#This Row],[Brand]],M:M)</f>
        <v>3205254</v>
      </c>
      <c r="T730" s="13">
        <f>SUMIF(N:N,Online_eCommerce[[#This Row],[Assigned Supervisor]],L:L)</f>
        <v>13693220</v>
      </c>
    </row>
    <row r="731" spans="1:20" hidden="1" x14ac:dyDescent="0.3">
      <c r="A731" t="s">
        <v>1159</v>
      </c>
      <c r="B731" t="s">
        <v>154</v>
      </c>
      <c r="C731" t="s">
        <v>105</v>
      </c>
      <c r="D731" t="s">
        <v>1160</v>
      </c>
      <c r="E731" t="s">
        <v>96</v>
      </c>
      <c r="F731" t="s">
        <v>107</v>
      </c>
      <c r="G731" t="s">
        <v>54</v>
      </c>
      <c r="H731" t="s">
        <v>55</v>
      </c>
      <c r="I731">
        <v>2680</v>
      </c>
      <c r="J731">
        <v>3484</v>
      </c>
      <c r="K731">
        <v>3</v>
      </c>
      <c r="L731">
        <v>8040</v>
      </c>
      <c r="M731">
        <v>10452</v>
      </c>
      <c r="N731" t="s">
        <v>28</v>
      </c>
      <c r="O731">
        <f t="shared" si="22"/>
        <v>2990</v>
      </c>
      <c r="P731" s="13">
        <f t="shared" si="23"/>
        <v>1866852</v>
      </c>
      <c r="Q731" s="13">
        <f>SUMIFS(M:M,E:E,Online_eCommerce[[#This Row],[Status]])</f>
        <v>21233992</v>
      </c>
      <c r="R731" s="13">
        <f>SUMIFS(L:L,H:H,Online_eCommerce[[#This Row],[Brand]])</f>
        <v>2267380</v>
      </c>
      <c r="S731" s="13">
        <f>SUMIF(H:H,Online_eCommerce[[#This Row],[Brand]],M:M)</f>
        <v>2947594</v>
      </c>
      <c r="T731" s="13">
        <f>SUMIF(N:N,Online_eCommerce[[#This Row],[Assigned Supervisor]],L:L)</f>
        <v>12220830</v>
      </c>
    </row>
    <row r="732" spans="1:20" hidden="1" x14ac:dyDescent="0.3">
      <c r="A732" t="s">
        <v>1161</v>
      </c>
      <c r="B732" t="s">
        <v>154</v>
      </c>
      <c r="C732" t="s">
        <v>110</v>
      </c>
      <c r="D732" t="s">
        <v>1162</v>
      </c>
      <c r="E732" t="s">
        <v>18</v>
      </c>
      <c r="F732" t="s">
        <v>112</v>
      </c>
      <c r="G732" t="s">
        <v>71</v>
      </c>
      <c r="H732" t="s">
        <v>21</v>
      </c>
      <c r="I732">
        <v>8250</v>
      </c>
      <c r="J732">
        <v>10725</v>
      </c>
      <c r="K732">
        <v>1</v>
      </c>
      <c r="L732">
        <v>8250</v>
      </c>
      <c r="M732">
        <v>10725</v>
      </c>
      <c r="N732" t="s">
        <v>35</v>
      </c>
      <c r="O732">
        <f t="shared" si="22"/>
        <v>9750</v>
      </c>
      <c r="P732" s="13">
        <f t="shared" si="23"/>
        <v>2598635</v>
      </c>
      <c r="Q732" s="13">
        <f>SUMIFS(M:M,E:E,Online_eCommerce[[#This Row],[Status]])</f>
        <v>28340455</v>
      </c>
      <c r="R732" s="13">
        <f>SUMIFS(L:L,H:H,Online_eCommerce[[#This Row],[Brand]])</f>
        <v>12435650</v>
      </c>
      <c r="S732" s="13">
        <f>SUMIF(H:H,Online_eCommerce[[#This Row],[Brand]],M:M)</f>
        <v>16166345</v>
      </c>
      <c r="T732" s="13">
        <f>SUMIF(N:N,Online_eCommerce[[#This Row],[Assigned Supervisor]],L:L)</f>
        <v>14373360</v>
      </c>
    </row>
    <row r="733" spans="1:20" hidden="1" x14ac:dyDescent="0.3">
      <c r="A733" t="s">
        <v>1163</v>
      </c>
      <c r="B733" t="s">
        <v>154</v>
      </c>
      <c r="C733" t="s">
        <v>115</v>
      </c>
      <c r="D733" t="s">
        <v>1164</v>
      </c>
      <c r="E733" t="s">
        <v>161</v>
      </c>
      <c r="F733" t="s">
        <v>801</v>
      </c>
      <c r="G733" t="s">
        <v>40</v>
      </c>
      <c r="H733" t="s">
        <v>21</v>
      </c>
      <c r="I733">
        <v>2650</v>
      </c>
      <c r="J733">
        <v>3445</v>
      </c>
      <c r="K733">
        <v>3</v>
      </c>
      <c r="L733">
        <v>7950</v>
      </c>
      <c r="M733">
        <v>10335</v>
      </c>
      <c r="N733" t="s">
        <v>42</v>
      </c>
      <c r="O733">
        <f t="shared" si="22"/>
        <v>25545</v>
      </c>
      <c r="P733" s="13">
        <f t="shared" si="23"/>
        <v>2050178</v>
      </c>
      <c r="Q733" s="13">
        <f>SUMIFS(M:M,E:E,Online_eCommerce[[#This Row],[Status]])</f>
        <v>21103186</v>
      </c>
      <c r="R733" s="13">
        <f>SUMIFS(L:L,H:H,Online_eCommerce[[#This Row],[Brand]])</f>
        <v>12435650</v>
      </c>
      <c r="S733" s="13">
        <f>SUMIF(H:H,Online_eCommerce[[#This Row],[Brand]],M:M)</f>
        <v>16166345</v>
      </c>
      <c r="T733" s="13">
        <f>SUMIF(N:N,Online_eCommerce[[#This Row],[Assigned Supervisor]],L:L)</f>
        <v>12261500</v>
      </c>
    </row>
    <row r="734" spans="1:20" x14ac:dyDescent="0.3">
      <c r="A734" t="s">
        <v>1165</v>
      </c>
      <c r="B734" t="s">
        <v>154</v>
      </c>
      <c r="C734" t="s">
        <v>120</v>
      </c>
      <c r="D734" t="s">
        <v>1164</v>
      </c>
      <c r="E734" t="s">
        <v>46</v>
      </c>
      <c r="F734" t="s">
        <v>121</v>
      </c>
      <c r="G734" t="s">
        <v>71</v>
      </c>
      <c r="H734" t="s">
        <v>122</v>
      </c>
      <c r="I734">
        <v>12550</v>
      </c>
      <c r="J734">
        <v>16315</v>
      </c>
      <c r="K734">
        <v>3</v>
      </c>
      <c r="L734">
        <v>37650</v>
      </c>
      <c r="M734">
        <v>48945</v>
      </c>
      <c r="N734" t="s">
        <v>50</v>
      </c>
      <c r="O734">
        <f t="shared" si="22"/>
        <v>9750</v>
      </c>
      <c r="P734" s="13">
        <f t="shared" si="23"/>
        <v>2734212</v>
      </c>
      <c r="Q734" s="13">
        <f>SUMIFS(M:M,E:E,Online_eCommerce[[#This Row],[Status]])</f>
        <v>28620410</v>
      </c>
      <c r="R734" s="13">
        <f>SUMIFS(L:L,H:H,Online_eCommerce[[#This Row],[Brand]])</f>
        <v>5045100</v>
      </c>
      <c r="S734" s="13">
        <f>SUMIF(H:H,Online_eCommerce[[#This Row],[Brand]],M:M)</f>
        <v>6558630</v>
      </c>
      <c r="T734" s="13">
        <f>SUMIF(N:N,Online_eCommerce[[#This Row],[Assigned Supervisor]],L:L)</f>
        <v>12100590</v>
      </c>
    </row>
    <row r="735" spans="1:20" hidden="1" x14ac:dyDescent="0.3">
      <c r="A735" t="s">
        <v>1166</v>
      </c>
      <c r="B735" t="s">
        <v>154</v>
      </c>
      <c r="C735" t="s">
        <v>125</v>
      </c>
      <c r="D735" t="s">
        <v>1164</v>
      </c>
      <c r="E735" t="s">
        <v>96</v>
      </c>
      <c r="F735" t="s">
        <v>126</v>
      </c>
      <c r="G735" t="s">
        <v>26</v>
      </c>
      <c r="H735" t="s">
        <v>27</v>
      </c>
      <c r="I735">
        <v>14500</v>
      </c>
      <c r="J735">
        <v>18850</v>
      </c>
      <c r="K735">
        <v>4</v>
      </c>
      <c r="L735">
        <v>58000</v>
      </c>
      <c r="M735">
        <v>75400</v>
      </c>
      <c r="N735" t="s">
        <v>56</v>
      </c>
      <c r="O735">
        <f t="shared" si="22"/>
        <v>33150</v>
      </c>
      <c r="P735" s="13">
        <f t="shared" si="23"/>
        <v>2091154</v>
      </c>
      <c r="Q735" s="13">
        <f>SUMIFS(M:M,E:E,Online_eCommerce[[#This Row],[Status]])</f>
        <v>21233992</v>
      </c>
      <c r="R735" s="13">
        <f>SUMIFS(L:L,H:H,Online_eCommerce[[#This Row],[Brand]])</f>
        <v>14431000</v>
      </c>
      <c r="S735" s="13">
        <f>SUMIF(H:H,Online_eCommerce[[#This Row],[Brand]],M:M)</f>
        <v>18760300</v>
      </c>
      <c r="T735" s="13">
        <f>SUMIF(N:N,Online_eCommerce[[#This Row],[Assigned Supervisor]],L:L)</f>
        <v>11733610</v>
      </c>
    </row>
    <row r="736" spans="1:20" hidden="1" x14ac:dyDescent="0.3">
      <c r="A736" t="s">
        <v>1167</v>
      </c>
      <c r="B736" t="s">
        <v>154</v>
      </c>
      <c r="C736" t="s">
        <v>22</v>
      </c>
      <c r="D736" t="s">
        <v>1164</v>
      </c>
      <c r="E736" t="s">
        <v>18</v>
      </c>
      <c r="F736" t="s">
        <v>129</v>
      </c>
      <c r="G736" t="s">
        <v>60</v>
      </c>
      <c r="H736" t="s">
        <v>61</v>
      </c>
      <c r="I736">
        <v>800</v>
      </c>
      <c r="J736">
        <v>1040</v>
      </c>
      <c r="K736">
        <v>3</v>
      </c>
      <c r="L736">
        <v>2400</v>
      </c>
      <c r="M736">
        <v>3120</v>
      </c>
      <c r="N736" t="s">
        <v>22</v>
      </c>
      <c r="O736">
        <f t="shared" si="22"/>
        <v>3315</v>
      </c>
      <c r="P736" s="13">
        <f t="shared" si="23"/>
        <v>2551588</v>
      </c>
      <c r="Q736" s="13">
        <f>SUMIFS(M:M,E:E,Online_eCommerce[[#This Row],[Status]])</f>
        <v>28340455</v>
      </c>
      <c r="R736" s="13">
        <f>SUMIFS(L:L,H:H,Online_eCommerce[[#This Row],[Brand]])</f>
        <v>10950150</v>
      </c>
      <c r="S736" s="13">
        <f>SUMIF(H:H,Online_eCommerce[[#This Row],[Brand]],M:M)</f>
        <v>14235195</v>
      </c>
      <c r="T736" s="13">
        <f>SUMIF(N:N,Online_eCommerce[[#This Row],[Assigned Supervisor]],L:L)</f>
        <v>13693220</v>
      </c>
    </row>
    <row r="737" spans="1:20" hidden="1" x14ac:dyDescent="0.3">
      <c r="A737" t="s">
        <v>1168</v>
      </c>
      <c r="B737" t="s">
        <v>154</v>
      </c>
      <c r="C737" t="s">
        <v>132</v>
      </c>
      <c r="D737" t="s">
        <v>1164</v>
      </c>
      <c r="E737" t="s">
        <v>161</v>
      </c>
      <c r="F737" t="s">
        <v>133</v>
      </c>
      <c r="G737" t="s">
        <v>66</v>
      </c>
      <c r="H737" t="s">
        <v>21</v>
      </c>
      <c r="I737">
        <v>600</v>
      </c>
      <c r="J737">
        <v>780</v>
      </c>
      <c r="K737">
        <v>3</v>
      </c>
      <c r="L737">
        <v>1800</v>
      </c>
      <c r="M737">
        <v>2340</v>
      </c>
      <c r="N737" t="s">
        <v>28</v>
      </c>
      <c r="O737">
        <f t="shared" si="22"/>
        <v>1690</v>
      </c>
      <c r="P737" s="13">
        <f t="shared" si="23"/>
        <v>1989065</v>
      </c>
      <c r="Q737" s="13">
        <f>SUMIFS(M:M,E:E,Online_eCommerce[[#This Row],[Status]])</f>
        <v>21103186</v>
      </c>
      <c r="R737" s="13">
        <f>SUMIFS(L:L,H:H,Online_eCommerce[[#This Row],[Brand]])</f>
        <v>12435650</v>
      </c>
      <c r="S737" s="13">
        <f>SUMIF(H:H,Online_eCommerce[[#This Row],[Brand]],M:M)</f>
        <v>16166345</v>
      </c>
      <c r="T737" s="13">
        <f>SUMIF(N:N,Online_eCommerce[[#This Row],[Assigned Supervisor]],L:L)</f>
        <v>12220830</v>
      </c>
    </row>
    <row r="738" spans="1:20" x14ac:dyDescent="0.3">
      <c r="A738" t="s">
        <v>1169</v>
      </c>
      <c r="B738" t="s">
        <v>154</v>
      </c>
      <c r="C738" t="s">
        <v>136</v>
      </c>
      <c r="D738" t="s">
        <v>1164</v>
      </c>
      <c r="E738" t="s">
        <v>46</v>
      </c>
      <c r="F738" t="s">
        <v>137</v>
      </c>
      <c r="G738" t="s">
        <v>71</v>
      </c>
      <c r="H738" t="s">
        <v>61</v>
      </c>
      <c r="I738">
        <v>10500</v>
      </c>
      <c r="J738">
        <v>13650</v>
      </c>
      <c r="K738">
        <v>4</v>
      </c>
      <c r="L738">
        <v>42000</v>
      </c>
      <c r="M738">
        <v>54600</v>
      </c>
      <c r="N738" t="s">
        <v>35</v>
      </c>
      <c r="O738">
        <f t="shared" si="22"/>
        <v>9750</v>
      </c>
      <c r="P738" s="13">
        <f t="shared" si="23"/>
        <v>2775162</v>
      </c>
      <c r="Q738" s="13">
        <f>SUMIFS(M:M,E:E,Online_eCommerce[[#This Row],[Status]])</f>
        <v>28620410</v>
      </c>
      <c r="R738" s="13">
        <f>SUMIFS(L:L,H:H,Online_eCommerce[[#This Row],[Brand]])</f>
        <v>10950150</v>
      </c>
      <c r="S738" s="13">
        <f>SUMIF(H:H,Online_eCommerce[[#This Row],[Brand]],M:M)</f>
        <v>14235195</v>
      </c>
      <c r="T738" s="13">
        <f>SUMIF(N:N,Online_eCommerce[[#This Row],[Assigned Supervisor]],L:L)</f>
        <v>14373360</v>
      </c>
    </row>
    <row r="739" spans="1:20" hidden="1" x14ac:dyDescent="0.3">
      <c r="A739" t="s">
        <v>1170</v>
      </c>
      <c r="B739" t="s">
        <v>154</v>
      </c>
      <c r="C739" t="s">
        <v>140</v>
      </c>
      <c r="D739" t="s">
        <v>1164</v>
      </c>
      <c r="E739" t="s">
        <v>96</v>
      </c>
      <c r="F739" t="s">
        <v>1134</v>
      </c>
      <c r="G739" t="s">
        <v>77</v>
      </c>
      <c r="H739" t="s">
        <v>142</v>
      </c>
      <c r="I739">
        <v>6500</v>
      </c>
      <c r="J739">
        <v>8450</v>
      </c>
      <c r="K739">
        <v>1</v>
      </c>
      <c r="L739">
        <v>6500</v>
      </c>
      <c r="M739">
        <v>8450</v>
      </c>
      <c r="N739" t="s">
        <v>42</v>
      </c>
      <c r="O739">
        <f t="shared" si="22"/>
        <v>39000</v>
      </c>
      <c r="P739" s="13">
        <f t="shared" si="23"/>
        <v>2058264</v>
      </c>
      <c r="Q739" s="13">
        <f>SUMIFS(M:M,E:E,Online_eCommerce[[#This Row],[Status]])</f>
        <v>21233992</v>
      </c>
      <c r="R739" s="13">
        <f>SUMIFS(L:L,H:H,Online_eCommerce[[#This Row],[Brand]])</f>
        <v>6192500</v>
      </c>
      <c r="S739" s="13">
        <f>SUMIF(H:H,Online_eCommerce[[#This Row],[Brand]],M:M)</f>
        <v>8050250</v>
      </c>
      <c r="T739" s="13">
        <f>SUMIF(N:N,Online_eCommerce[[#This Row],[Assigned Supervisor]],L:L)</f>
        <v>12261500</v>
      </c>
    </row>
    <row r="740" spans="1:20" hidden="1" x14ac:dyDescent="0.3">
      <c r="A740" t="s">
        <v>1171</v>
      </c>
      <c r="B740" t="s">
        <v>154</v>
      </c>
      <c r="C740" t="s">
        <v>145</v>
      </c>
      <c r="D740" t="s">
        <v>1164</v>
      </c>
      <c r="E740" t="s">
        <v>18</v>
      </c>
      <c r="F740" t="s">
        <v>1172</v>
      </c>
      <c r="G740" t="s">
        <v>20</v>
      </c>
      <c r="H740" t="s">
        <v>21</v>
      </c>
      <c r="I740">
        <v>4500</v>
      </c>
      <c r="J740">
        <v>5850</v>
      </c>
      <c r="K740">
        <v>2</v>
      </c>
      <c r="L740">
        <v>9000</v>
      </c>
      <c r="M740">
        <v>11700</v>
      </c>
      <c r="N740" t="s">
        <v>50</v>
      </c>
      <c r="O740">
        <f t="shared" si="22"/>
        <v>8450</v>
      </c>
      <c r="P740" s="13">
        <f t="shared" si="23"/>
        <v>2757859</v>
      </c>
      <c r="Q740" s="13">
        <f>SUMIFS(M:M,E:E,Online_eCommerce[[#This Row],[Status]])</f>
        <v>28340455</v>
      </c>
      <c r="R740" s="13">
        <f>SUMIFS(L:L,H:H,Online_eCommerce[[#This Row],[Brand]])</f>
        <v>12435650</v>
      </c>
      <c r="S740" s="13">
        <f>SUMIF(H:H,Online_eCommerce[[#This Row],[Brand]],M:M)</f>
        <v>16166345</v>
      </c>
      <c r="T740" s="13">
        <f>SUMIF(N:N,Online_eCommerce[[#This Row],[Assigned Supervisor]],L:L)</f>
        <v>12100590</v>
      </c>
    </row>
    <row r="741" spans="1:20" hidden="1" x14ac:dyDescent="0.3">
      <c r="A741" t="s">
        <v>1173</v>
      </c>
      <c r="B741" t="s">
        <v>154</v>
      </c>
      <c r="C741" t="s">
        <v>150</v>
      </c>
      <c r="D741" t="s">
        <v>1164</v>
      </c>
      <c r="E741" t="s">
        <v>161</v>
      </c>
      <c r="F741" t="s">
        <v>152</v>
      </c>
      <c r="G741" t="s">
        <v>26</v>
      </c>
      <c r="H741" t="s">
        <v>27</v>
      </c>
      <c r="I741">
        <v>8500</v>
      </c>
      <c r="J741">
        <v>11050</v>
      </c>
      <c r="K741">
        <v>3</v>
      </c>
      <c r="L741">
        <v>25500</v>
      </c>
      <c r="M741">
        <v>33150</v>
      </c>
      <c r="N741" t="s">
        <v>56</v>
      </c>
      <c r="O741">
        <f t="shared" si="22"/>
        <v>33150</v>
      </c>
      <c r="P741" s="13">
        <f t="shared" si="23"/>
        <v>2154984</v>
      </c>
      <c r="Q741" s="13">
        <f>SUMIFS(M:M,E:E,Online_eCommerce[[#This Row],[Status]])</f>
        <v>21103186</v>
      </c>
      <c r="R741" s="13">
        <f>SUMIFS(L:L,H:H,Online_eCommerce[[#This Row],[Brand]])</f>
        <v>14431000</v>
      </c>
      <c r="S741" s="13">
        <f>SUMIF(H:H,Online_eCommerce[[#This Row],[Brand]],M:M)</f>
        <v>18760300</v>
      </c>
      <c r="T741" s="13">
        <f>SUMIF(N:N,Online_eCommerce[[#This Row],[Assigned Supervisor]],L:L)</f>
        <v>11733610</v>
      </c>
    </row>
    <row r="742" spans="1:20" x14ac:dyDescent="0.3">
      <c r="A742" t="s">
        <v>1174</v>
      </c>
      <c r="B742" t="s">
        <v>154</v>
      </c>
      <c r="C742" t="s">
        <v>155</v>
      </c>
      <c r="D742" t="s">
        <v>1164</v>
      </c>
      <c r="E742" t="s">
        <v>46</v>
      </c>
      <c r="F742" t="s">
        <v>157</v>
      </c>
      <c r="G742" t="s">
        <v>33</v>
      </c>
      <c r="H742" t="s">
        <v>34</v>
      </c>
      <c r="I742">
        <v>12500</v>
      </c>
      <c r="J742">
        <v>16250</v>
      </c>
      <c r="K742">
        <v>1</v>
      </c>
      <c r="L742">
        <v>12500</v>
      </c>
      <c r="M742">
        <v>16250</v>
      </c>
      <c r="N742" t="s">
        <v>22</v>
      </c>
      <c r="O742">
        <f t="shared" si="22"/>
        <v>18200</v>
      </c>
      <c r="P742" s="13">
        <f t="shared" si="23"/>
        <v>2753348</v>
      </c>
      <c r="Q742" s="13">
        <f>SUMIFS(M:M,E:E,Online_eCommerce[[#This Row],[Status]])</f>
        <v>28620410</v>
      </c>
      <c r="R742" s="13">
        <f>SUMIFS(L:L,H:H,Online_eCommerce[[#This Row],[Brand]])</f>
        <v>10087000</v>
      </c>
      <c r="S742" s="13">
        <f>SUMIF(H:H,Online_eCommerce[[#This Row],[Brand]],M:M)</f>
        <v>13113100</v>
      </c>
      <c r="T742" s="13">
        <f>SUMIF(N:N,Online_eCommerce[[#This Row],[Assigned Supervisor]],L:L)</f>
        <v>13693220</v>
      </c>
    </row>
    <row r="743" spans="1:20" hidden="1" x14ac:dyDescent="0.3">
      <c r="A743" t="s">
        <v>1175</v>
      </c>
      <c r="B743" t="s">
        <v>154</v>
      </c>
      <c r="C743" t="s">
        <v>160</v>
      </c>
      <c r="D743" t="s">
        <v>1164</v>
      </c>
      <c r="E743" t="s">
        <v>96</v>
      </c>
      <c r="F743" t="s">
        <v>844</v>
      </c>
      <c r="G743" t="s">
        <v>163</v>
      </c>
      <c r="H743" t="s">
        <v>41</v>
      </c>
      <c r="I743">
        <v>3500</v>
      </c>
      <c r="J743">
        <v>4550</v>
      </c>
      <c r="K743">
        <v>1</v>
      </c>
      <c r="L743">
        <v>3500</v>
      </c>
      <c r="M743">
        <v>4550</v>
      </c>
      <c r="N743" t="s">
        <v>28</v>
      </c>
      <c r="O743">
        <f t="shared" si="22"/>
        <v>13650</v>
      </c>
      <c r="P743" s="13">
        <f t="shared" si="23"/>
        <v>2303483</v>
      </c>
      <c r="Q743" s="13">
        <f>SUMIFS(M:M,E:E,Online_eCommerce[[#This Row],[Status]])</f>
        <v>21233992</v>
      </c>
      <c r="R743" s="13">
        <f>SUMIFS(L:L,H:H,Online_eCommerce[[#This Row],[Brand]])</f>
        <v>4260400</v>
      </c>
      <c r="S743" s="13">
        <f>SUMIF(H:H,Online_eCommerce[[#This Row],[Brand]],M:M)</f>
        <v>5538520</v>
      </c>
      <c r="T743" s="13">
        <f>SUMIF(N:N,Online_eCommerce[[#This Row],[Assigned Supervisor]],L:L)</f>
        <v>12220830</v>
      </c>
    </row>
    <row r="744" spans="1:20" hidden="1" x14ac:dyDescent="0.3">
      <c r="A744" t="s">
        <v>1176</v>
      </c>
      <c r="B744" t="s">
        <v>154</v>
      </c>
      <c r="C744" t="s">
        <v>165</v>
      </c>
      <c r="D744" t="s">
        <v>1164</v>
      </c>
      <c r="E744" t="s">
        <v>18</v>
      </c>
      <c r="F744" t="s">
        <v>166</v>
      </c>
      <c r="G744" t="s">
        <v>66</v>
      </c>
      <c r="H744" t="s">
        <v>49</v>
      </c>
      <c r="I744">
        <v>4500</v>
      </c>
      <c r="J744">
        <v>5850</v>
      </c>
      <c r="K744">
        <v>2</v>
      </c>
      <c r="L744">
        <v>9000</v>
      </c>
      <c r="M744">
        <v>11700</v>
      </c>
      <c r="N744" t="s">
        <v>35</v>
      </c>
      <c r="O744">
        <f t="shared" si="22"/>
        <v>1690</v>
      </c>
      <c r="P744" s="13">
        <f t="shared" si="23"/>
        <v>2674087</v>
      </c>
      <c r="Q744" s="13">
        <f>SUMIFS(M:M,E:E,Online_eCommerce[[#This Row],[Status]])</f>
        <v>28340455</v>
      </c>
      <c r="R744" s="13">
        <f>SUMIFS(L:L,H:H,Online_eCommerce[[#This Row],[Brand]])</f>
        <v>4528350</v>
      </c>
      <c r="S744" s="13">
        <f>SUMIF(H:H,Online_eCommerce[[#This Row],[Brand]],M:M)</f>
        <v>5886855</v>
      </c>
      <c r="T744" s="13">
        <f>SUMIF(N:N,Online_eCommerce[[#This Row],[Assigned Supervisor]],L:L)</f>
        <v>14373360</v>
      </c>
    </row>
    <row r="745" spans="1:20" hidden="1" x14ac:dyDescent="0.3">
      <c r="A745" t="s">
        <v>1177</v>
      </c>
      <c r="B745" t="s">
        <v>154</v>
      </c>
      <c r="C745" t="s">
        <v>168</v>
      </c>
      <c r="D745" t="s">
        <v>1164</v>
      </c>
      <c r="E745" t="s">
        <v>161</v>
      </c>
      <c r="F745" t="s">
        <v>1178</v>
      </c>
      <c r="G745" t="s">
        <v>54</v>
      </c>
      <c r="H745" t="s">
        <v>55</v>
      </c>
      <c r="I745">
        <v>2100</v>
      </c>
      <c r="J745">
        <v>2730</v>
      </c>
      <c r="K745">
        <v>1</v>
      </c>
      <c r="L745">
        <v>2100</v>
      </c>
      <c r="M745">
        <v>2730</v>
      </c>
      <c r="N745" t="s">
        <v>42</v>
      </c>
      <c r="O745">
        <f t="shared" si="22"/>
        <v>2990</v>
      </c>
      <c r="P745" s="13">
        <f t="shared" si="23"/>
        <v>1937780</v>
      </c>
      <c r="Q745" s="13">
        <f>SUMIFS(M:M,E:E,Online_eCommerce[[#This Row],[Status]])</f>
        <v>21103186</v>
      </c>
      <c r="R745" s="13">
        <f>SUMIFS(L:L,H:H,Online_eCommerce[[#This Row],[Brand]])</f>
        <v>2267380</v>
      </c>
      <c r="S745" s="13">
        <f>SUMIF(H:H,Online_eCommerce[[#This Row],[Brand]],M:M)</f>
        <v>2947594</v>
      </c>
      <c r="T745" s="13">
        <f>SUMIF(N:N,Online_eCommerce[[#This Row],[Assigned Supervisor]],L:L)</f>
        <v>12261500</v>
      </c>
    </row>
    <row r="746" spans="1:20" x14ac:dyDescent="0.3">
      <c r="A746" t="s">
        <v>1179</v>
      </c>
      <c r="B746" t="s">
        <v>154</v>
      </c>
      <c r="C746" t="s">
        <v>172</v>
      </c>
      <c r="D746" t="s">
        <v>1164</v>
      </c>
      <c r="E746" t="s">
        <v>46</v>
      </c>
      <c r="F746" t="s">
        <v>174</v>
      </c>
      <c r="G746" t="s">
        <v>60</v>
      </c>
      <c r="H746" t="s">
        <v>61</v>
      </c>
      <c r="I746">
        <v>1150</v>
      </c>
      <c r="J746">
        <v>1495</v>
      </c>
      <c r="K746">
        <v>4</v>
      </c>
      <c r="L746">
        <v>4600</v>
      </c>
      <c r="M746">
        <v>5980</v>
      </c>
      <c r="N746" t="s">
        <v>50</v>
      </c>
      <c r="O746">
        <f t="shared" si="22"/>
        <v>3315</v>
      </c>
      <c r="P746" s="13">
        <f t="shared" si="23"/>
        <v>2640274</v>
      </c>
      <c r="Q746" s="13">
        <f>SUMIFS(M:M,E:E,Online_eCommerce[[#This Row],[Status]])</f>
        <v>28620410</v>
      </c>
      <c r="R746" s="13">
        <f>SUMIFS(L:L,H:H,Online_eCommerce[[#This Row],[Brand]])</f>
        <v>10950150</v>
      </c>
      <c r="S746" s="13">
        <f>SUMIF(H:H,Online_eCommerce[[#This Row],[Brand]],M:M)</f>
        <v>14235195</v>
      </c>
      <c r="T746" s="13">
        <f>SUMIF(N:N,Online_eCommerce[[#This Row],[Assigned Supervisor]],L:L)</f>
        <v>12100590</v>
      </c>
    </row>
    <row r="747" spans="1:20" hidden="1" x14ac:dyDescent="0.3">
      <c r="A747" t="s">
        <v>1180</v>
      </c>
      <c r="B747" t="s">
        <v>154</v>
      </c>
      <c r="C747" t="s">
        <v>177</v>
      </c>
      <c r="D747" t="s">
        <v>1164</v>
      </c>
      <c r="E747" t="s">
        <v>96</v>
      </c>
      <c r="F747" t="s">
        <v>179</v>
      </c>
      <c r="G747" t="s">
        <v>66</v>
      </c>
      <c r="H747" t="s">
        <v>21</v>
      </c>
      <c r="I747">
        <v>350</v>
      </c>
      <c r="J747">
        <v>455</v>
      </c>
      <c r="K747">
        <v>2</v>
      </c>
      <c r="L747">
        <v>700</v>
      </c>
      <c r="M747">
        <v>910</v>
      </c>
      <c r="N747" t="s">
        <v>56</v>
      </c>
      <c r="O747">
        <f t="shared" si="22"/>
        <v>1690</v>
      </c>
      <c r="P747" s="13">
        <f t="shared" si="23"/>
        <v>1863810</v>
      </c>
      <c r="Q747" s="13">
        <f>SUMIFS(M:M,E:E,Online_eCommerce[[#This Row],[Status]])</f>
        <v>21233992</v>
      </c>
      <c r="R747" s="13">
        <f>SUMIFS(L:L,H:H,Online_eCommerce[[#This Row],[Brand]])</f>
        <v>12435650</v>
      </c>
      <c r="S747" s="13">
        <f>SUMIF(H:H,Online_eCommerce[[#This Row],[Brand]],M:M)</f>
        <v>16166345</v>
      </c>
      <c r="T747" s="13">
        <f>SUMIF(N:N,Online_eCommerce[[#This Row],[Assigned Supervisor]],L:L)</f>
        <v>11733610</v>
      </c>
    </row>
    <row r="748" spans="1:20" hidden="1" x14ac:dyDescent="0.3">
      <c r="A748" t="s">
        <v>1181</v>
      </c>
      <c r="B748" t="s">
        <v>154</v>
      </c>
      <c r="C748" t="s">
        <v>181</v>
      </c>
      <c r="D748" t="s">
        <v>1164</v>
      </c>
      <c r="E748" t="s">
        <v>18</v>
      </c>
      <c r="F748" t="s">
        <v>183</v>
      </c>
      <c r="G748" t="s">
        <v>71</v>
      </c>
      <c r="H748" t="s">
        <v>61</v>
      </c>
      <c r="I748">
        <v>9500</v>
      </c>
      <c r="J748">
        <v>12350</v>
      </c>
      <c r="K748">
        <v>4</v>
      </c>
      <c r="L748">
        <v>38000</v>
      </c>
      <c r="M748">
        <v>49400</v>
      </c>
      <c r="N748" t="s">
        <v>22</v>
      </c>
      <c r="O748">
        <f t="shared" si="22"/>
        <v>9750</v>
      </c>
      <c r="P748" s="13">
        <f t="shared" si="23"/>
        <v>2577458</v>
      </c>
      <c r="Q748" s="13">
        <f>SUMIFS(M:M,E:E,Online_eCommerce[[#This Row],[Status]])</f>
        <v>28340455</v>
      </c>
      <c r="R748" s="13">
        <f>SUMIFS(L:L,H:H,Online_eCommerce[[#This Row],[Brand]])</f>
        <v>10950150</v>
      </c>
      <c r="S748" s="13">
        <f>SUMIF(H:H,Online_eCommerce[[#This Row],[Brand]],M:M)</f>
        <v>14235195</v>
      </c>
      <c r="T748" s="13">
        <f>SUMIF(N:N,Online_eCommerce[[#This Row],[Assigned Supervisor]],L:L)</f>
        <v>13693220</v>
      </c>
    </row>
    <row r="749" spans="1:20" hidden="1" x14ac:dyDescent="0.3">
      <c r="A749" t="s">
        <v>1182</v>
      </c>
      <c r="B749" t="s">
        <v>154</v>
      </c>
      <c r="C749" t="s">
        <v>185</v>
      </c>
      <c r="D749" t="s">
        <v>1164</v>
      </c>
      <c r="E749" t="s">
        <v>161</v>
      </c>
      <c r="F749" t="s">
        <v>1183</v>
      </c>
      <c r="G749" t="s">
        <v>77</v>
      </c>
      <c r="H749" t="s">
        <v>142</v>
      </c>
      <c r="I749">
        <v>10000</v>
      </c>
      <c r="J749">
        <v>13000</v>
      </c>
      <c r="K749">
        <v>1</v>
      </c>
      <c r="L749">
        <v>10000</v>
      </c>
      <c r="M749">
        <v>13000</v>
      </c>
      <c r="N749" t="s">
        <v>28</v>
      </c>
      <c r="O749">
        <f t="shared" si="22"/>
        <v>39000</v>
      </c>
      <c r="P749" s="13">
        <f t="shared" si="23"/>
        <v>2091596</v>
      </c>
      <c r="Q749" s="13">
        <f>SUMIFS(M:M,E:E,Online_eCommerce[[#This Row],[Status]])</f>
        <v>21103186</v>
      </c>
      <c r="R749" s="13">
        <f>SUMIFS(L:L,H:H,Online_eCommerce[[#This Row],[Brand]])</f>
        <v>6192500</v>
      </c>
      <c r="S749" s="13">
        <f>SUMIF(H:H,Online_eCommerce[[#This Row],[Brand]],M:M)</f>
        <v>8050250</v>
      </c>
      <c r="T749" s="13">
        <f>SUMIF(N:N,Online_eCommerce[[#This Row],[Assigned Supervisor]],L:L)</f>
        <v>12220830</v>
      </c>
    </row>
    <row r="750" spans="1:20" x14ac:dyDescent="0.3">
      <c r="A750" t="s">
        <v>1184</v>
      </c>
      <c r="B750" t="s">
        <v>154</v>
      </c>
      <c r="C750" t="s">
        <v>189</v>
      </c>
      <c r="D750" t="s">
        <v>1164</v>
      </c>
      <c r="E750" t="s">
        <v>46</v>
      </c>
      <c r="F750" t="s">
        <v>1185</v>
      </c>
      <c r="G750" t="s">
        <v>20</v>
      </c>
      <c r="H750" t="s">
        <v>21</v>
      </c>
      <c r="I750">
        <v>6500</v>
      </c>
      <c r="J750">
        <v>8450</v>
      </c>
      <c r="K750">
        <v>4</v>
      </c>
      <c r="L750">
        <v>26000</v>
      </c>
      <c r="M750">
        <v>33800</v>
      </c>
      <c r="N750" t="s">
        <v>35</v>
      </c>
      <c r="O750">
        <f t="shared" si="22"/>
        <v>8450</v>
      </c>
      <c r="P750" s="13">
        <f t="shared" si="23"/>
        <v>2740777</v>
      </c>
      <c r="Q750" s="13">
        <f>SUMIFS(M:M,E:E,Online_eCommerce[[#This Row],[Status]])</f>
        <v>28620410</v>
      </c>
      <c r="R750" s="13">
        <f>SUMIFS(L:L,H:H,Online_eCommerce[[#This Row],[Brand]])</f>
        <v>12435650</v>
      </c>
      <c r="S750" s="13">
        <f>SUMIF(H:H,Online_eCommerce[[#This Row],[Brand]],M:M)</f>
        <v>16166345</v>
      </c>
      <c r="T750" s="13">
        <f>SUMIF(N:N,Online_eCommerce[[#This Row],[Assigned Supervisor]],L:L)</f>
        <v>14373360</v>
      </c>
    </row>
    <row r="751" spans="1:20" hidden="1" x14ac:dyDescent="0.3">
      <c r="A751" t="s">
        <v>1186</v>
      </c>
      <c r="B751" t="s">
        <v>154</v>
      </c>
      <c r="C751" t="s">
        <v>193</v>
      </c>
      <c r="D751" t="s">
        <v>1164</v>
      </c>
      <c r="E751" t="s">
        <v>96</v>
      </c>
      <c r="F751" t="s">
        <v>1187</v>
      </c>
      <c r="G751" t="s">
        <v>26</v>
      </c>
      <c r="H751" t="s">
        <v>27</v>
      </c>
      <c r="I751">
        <v>8500</v>
      </c>
      <c r="J751">
        <v>11050</v>
      </c>
      <c r="K751">
        <v>4</v>
      </c>
      <c r="L751">
        <v>34000</v>
      </c>
      <c r="M751">
        <v>44200</v>
      </c>
      <c r="N751" t="s">
        <v>42</v>
      </c>
      <c r="O751">
        <f t="shared" si="22"/>
        <v>33150</v>
      </c>
      <c r="P751" s="13">
        <f t="shared" si="23"/>
        <v>2074774</v>
      </c>
      <c r="Q751" s="13">
        <f>SUMIFS(M:M,E:E,Online_eCommerce[[#This Row],[Status]])</f>
        <v>21233992</v>
      </c>
      <c r="R751" s="13">
        <f>SUMIFS(L:L,H:H,Online_eCommerce[[#This Row],[Brand]])</f>
        <v>14431000</v>
      </c>
      <c r="S751" s="13">
        <f>SUMIF(H:H,Online_eCommerce[[#This Row],[Brand]],M:M)</f>
        <v>18760300</v>
      </c>
      <c r="T751" s="13">
        <f>SUMIF(N:N,Online_eCommerce[[#This Row],[Assigned Supervisor]],L:L)</f>
        <v>12261500</v>
      </c>
    </row>
    <row r="752" spans="1:20" hidden="1" x14ac:dyDescent="0.3">
      <c r="A752" t="s">
        <v>1188</v>
      </c>
      <c r="B752" t="s">
        <v>154</v>
      </c>
      <c r="C752" t="s">
        <v>197</v>
      </c>
      <c r="D752" t="s">
        <v>1164</v>
      </c>
      <c r="E752" t="s">
        <v>18</v>
      </c>
      <c r="F752" t="s">
        <v>32</v>
      </c>
      <c r="G752" t="s">
        <v>33</v>
      </c>
      <c r="H752" t="s">
        <v>34</v>
      </c>
      <c r="I752">
        <v>7000</v>
      </c>
      <c r="J752">
        <v>9100</v>
      </c>
      <c r="K752">
        <v>4</v>
      </c>
      <c r="L752">
        <v>28000</v>
      </c>
      <c r="M752">
        <v>36400</v>
      </c>
      <c r="N752" t="s">
        <v>50</v>
      </c>
      <c r="O752">
        <f t="shared" si="22"/>
        <v>18200</v>
      </c>
      <c r="P752" s="13">
        <f t="shared" si="23"/>
        <v>2829840</v>
      </c>
      <c r="Q752" s="13">
        <f>SUMIFS(M:M,E:E,Online_eCommerce[[#This Row],[Status]])</f>
        <v>28340455</v>
      </c>
      <c r="R752" s="13">
        <f>SUMIFS(L:L,H:H,Online_eCommerce[[#This Row],[Brand]])</f>
        <v>10087000</v>
      </c>
      <c r="S752" s="13">
        <f>SUMIF(H:H,Online_eCommerce[[#This Row],[Brand]],M:M)</f>
        <v>13113100</v>
      </c>
      <c r="T752" s="13">
        <f>SUMIF(N:N,Online_eCommerce[[#This Row],[Assigned Supervisor]],L:L)</f>
        <v>12100590</v>
      </c>
    </row>
    <row r="753" spans="1:20" hidden="1" x14ac:dyDescent="0.3">
      <c r="A753" t="s">
        <v>1189</v>
      </c>
      <c r="B753" t="s">
        <v>154</v>
      </c>
      <c r="C753" t="s">
        <v>199</v>
      </c>
      <c r="D753" t="s">
        <v>1164</v>
      </c>
      <c r="E753" t="s">
        <v>161</v>
      </c>
      <c r="F753" t="s">
        <v>1190</v>
      </c>
      <c r="G753" t="s">
        <v>163</v>
      </c>
      <c r="H753" t="s">
        <v>41</v>
      </c>
      <c r="I753">
        <v>6550</v>
      </c>
      <c r="J753">
        <v>8515</v>
      </c>
      <c r="K753">
        <v>1</v>
      </c>
      <c r="L753">
        <v>6550</v>
      </c>
      <c r="M753">
        <v>8515</v>
      </c>
      <c r="N753" t="s">
        <v>56</v>
      </c>
      <c r="O753">
        <f t="shared" si="22"/>
        <v>13650</v>
      </c>
      <c r="P753" s="13">
        <f t="shared" si="23"/>
        <v>1947361</v>
      </c>
      <c r="Q753" s="13">
        <f>SUMIFS(M:M,E:E,Online_eCommerce[[#This Row],[Status]])</f>
        <v>21103186</v>
      </c>
      <c r="R753" s="13">
        <f>SUMIFS(L:L,H:H,Online_eCommerce[[#This Row],[Brand]])</f>
        <v>4260400</v>
      </c>
      <c r="S753" s="13">
        <f>SUMIF(H:H,Online_eCommerce[[#This Row],[Brand]],M:M)</f>
        <v>5538520</v>
      </c>
      <c r="T753" s="13">
        <f>SUMIF(N:N,Online_eCommerce[[#This Row],[Assigned Supervisor]],L:L)</f>
        <v>11733610</v>
      </c>
    </row>
    <row r="754" spans="1:20" x14ac:dyDescent="0.3">
      <c r="A754" t="s">
        <v>1191</v>
      </c>
      <c r="B754" t="s">
        <v>154</v>
      </c>
      <c r="C754" t="s">
        <v>203</v>
      </c>
      <c r="D754" t="s">
        <v>1164</v>
      </c>
      <c r="E754" t="s">
        <v>46</v>
      </c>
      <c r="F754" t="s">
        <v>47</v>
      </c>
      <c r="G754" t="s">
        <v>66</v>
      </c>
      <c r="H754" t="s">
        <v>49</v>
      </c>
      <c r="I754">
        <v>7650</v>
      </c>
      <c r="J754">
        <v>9945</v>
      </c>
      <c r="K754">
        <v>1</v>
      </c>
      <c r="L754">
        <v>7650</v>
      </c>
      <c r="M754">
        <v>9945</v>
      </c>
      <c r="N754" t="s">
        <v>22</v>
      </c>
      <c r="O754">
        <f t="shared" si="22"/>
        <v>1690</v>
      </c>
      <c r="P754" s="13">
        <f t="shared" si="23"/>
        <v>2559635</v>
      </c>
      <c r="Q754" s="13">
        <f>SUMIFS(M:M,E:E,Online_eCommerce[[#This Row],[Status]])</f>
        <v>28620410</v>
      </c>
      <c r="R754" s="13">
        <f>SUMIFS(L:L,H:H,Online_eCommerce[[#This Row],[Brand]])</f>
        <v>4528350</v>
      </c>
      <c r="S754" s="13">
        <f>SUMIF(H:H,Online_eCommerce[[#This Row],[Brand]],M:M)</f>
        <v>5886855</v>
      </c>
      <c r="T754" s="13">
        <f>SUMIF(N:N,Online_eCommerce[[#This Row],[Assigned Supervisor]],L:L)</f>
        <v>13693220</v>
      </c>
    </row>
    <row r="755" spans="1:20" hidden="1" x14ac:dyDescent="0.3">
      <c r="A755" t="s">
        <v>1192</v>
      </c>
      <c r="B755" t="s">
        <v>154</v>
      </c>
      <c r="C755" t="s">
        <v>205</v>
      </c>
      <c r="D755" t="s">
        <v>1164</v>
      </c>
      <c r="E755" t="s">
        <v>96</v>
      </c>
      <c r="F755" t="s">
        <v>53</v>
      </c>
      <c r="G755" t="s">
        <v>54</v>
      </c>
      <c r="H755" t="s">
        <v>55</v>
      </c>
      <c r="I755">
        <v>1150</v>
      </c>
      <c r="J755">
        <v>1495</v>
      </c>
      <c r="K755">
        <v>4</v>
      </c>
      <c r="L755">
        <v>4600</v>
      </c>
      <c r="M755">
        <v>5980</v>
      </c>
      <c r="N755" t="s">
        <v>28</v>
      </c>
      <c r="O755">
        <f t="shared" si="22"/>
        <v>2990</v>
      </c>
      <c r="P755" s="13">
        <f t="shared" si="23"/>
        <v>1983254</v>
      </c>
      <c r="Q755" s="13">
        <f>SUMIFS(M:M,E:E,Online_eCommerce[[#This Row],[Status]])</f>
        <v>21233992</v>
      </c>
      <c r="R755" s="13">
        <f>SUMIFS(L:L,H:H,Online_eCommerce[[#This Row],[Brand]])</f>
        <v>2267380</v>
      </c>
      <c r="S755" s="13">
        <f>SUMIF(H:H,Online_eCommerce[[#This Row],[Brand]],M:M)</f>
        <v>2947594</v>
      </c>
      <c r="T755" s="13">
        <f>SUMIF(N:N,Online_eCommerce[[#This Row],[Assigned Supervisor]],L:L)</f>
        <v>12220830</v>
      </c>
    </row>
    <row r="756" spans="1:20" hidden="1" x14ac:dyDescent="0.3">
      <c r="A756" t="s">
        <v>1193</v>
      </c>
      <c r="B756" t="s">
        <v>154</v>
      </c>
      <c r="C756" t="s">
        <v>208</v>
      </c>
      <c r="D756" t="s">
        <v>1164</v>
      </c>
      <c r="E756" t="s">
        <v>18</v>
      </c>
      <c r="F756" t="s">
        <v>59</v>
      </c>
      <c r="G756" t="s">
        <v>60</v>
      </c>
      <c r="H756" t="s">
        <v>61</v>
      </c>
      <c r="I756">
        <v>850</v>
      </c>
      <c r="J756">
        <v>1105</v>
      </c>
      <c r="K756">
        <v>3</v>
      </c>
      <c r="L756">
        <v>2550</v>
      </c>
      <c r="M756">
        <v>3315</v>
      </c>
      <c r="N756" t="s">
        <v>35</v>
      </c>
      <c r="O756">
        <f t="shared" si="22"/>
        <v>3315</v>
      </c>
      <c r="P756" s="13">
        <f t="shared" si="23"/>
        <v>2746575</v>
      </c>
      <c r="Q756" s="13">
        <f>SUMIFS(M:M,E:E,Online_eCommerce[[#This Row],[Status]])</f>
        <v>28340455</v>
      </c>
      <c r="R756" s="13">
        <f>SUMIFS(L:L,H:H,Online_eCommerce[[#This Row],[Brand]])</f>
        <v>10950150</v>
      </c>
      <c r="S756" s="13">
        <f>SUMIF(H:H,Online_eCommerce[[#This Row],[Brand]],M:M)</f>
        <v>14235195</v>
      </c>
      <c r="T756" s="13">
        <f>SUMIF(N:N,Online_eCommerce[[#This Row],[Assigned Supervisor]],L:L)</f>
        <v>14373360</v>
      </c>
    </row>
    <row r="757" spans="1:20" hidden="1" x14ac:dyDescent="0.3">
      <c r="A757" t="s">
        <v>1194</v>
      </c>
      <c r="B757" t="s">
        <v>154</v>
      </c>
      <c r="C757" t="s">
        <v>211</v>
      </c>
      <c r="D757" t="s">
        <v>1164</v>
      </c>
      <c r="E757" t="s">
        <v>161</v>
      </c>
      <c r="F757" t="s">
        <v>65</v>
      </c>
      <c r="G757" t="s">
        <v>66</v>
      </c>
      <c r="H757" t="s">
        <v>21</v>
      </c>
      <c r="I757">
        <v>650</v>
      </c>
      <c r="J757">
        <v>845</v>
      </c>
      <c r="K757">
        <v>1</v>
      </c>
      <c r="L757">
        <v>650</v>
      </c>
      <c r="M757">
        <v>845</v>
      </c>
      <c r="N757" t="s">
        <v>42</v>
      </c>
      <c r="O757">
        <f t="shared" si="22"/>
        <v>1690</v>
      </c>
      <c r="P757" s="13">
        <f t="shared" si="23"/>
        <v>1809847</v>
      </c>
      <c r="Q757" s="13">
        <f>SUMIFS(M:M,E:E,Online_eCommerce[[#This Row],[Status]])</f>
        <v>21103186</v>
      </c>
      <c r="R757" s="13">
        <f>SUMIFS(L:L,H:H,Online_eCommerce[[#This Row],[Brand]])</f>
        <v>12435650</v>
      </c>
      <c r="S757" s="13">
        <f>SUMIF(H:H,Online_eCommerce[[#This Row],[Brand]],M:M)</f>
        <v>16166345</v>
      </c>
      <c r="T757" s="13">
        <f>SUMIF(N:N,Online_eCommerce[[#This Row],[Assigned Supervisor]],L:L)</f>
        <v>12261500</v>
      </c>
    </row>
    <row r="758" spans="1:20" x14ac:dyDescent="0.3">
      <c r="A758" t="s">
        <v>1195</v>
      </c>
      <c r="B758" t="s">
        <v>154</v>
      </c>
      <c r="C758" t="s">
        <v>16</v>
      </c>
      <c r="D758" t="s">
        <v>1164</v>
      </c>
      <c r="E758" t="s">
        <v>46</v>
      </c>
      <c r="F758" t="s">
        <v>70</v>
      </c>
      <c r="G758" t="s">
        <v>71</v>
      </c>
      <c r="H758" t="s">
        <v>61</v>
      </c>
      <c r="I758">
        <v>7500</v>
      </c>
      <c r="J758">
        <v>9750</v>
      </c>
      <c r="K758">
        <v>4</v>
      </c>
      <c r="L758">
        <v>30000</v>
      </c>
      <c r="M758">
        <v>39000</v>
      </c>
      <c r="N758" t="s">
        <v>50</v>
      </c>
      <c r="O758">
        <f t="shared" si="22"/>
        <v>9750</v>
      </c>
      <c r="P758" s="13">
        <f t="shared" si="23"/>
        <v>2751814</v>
      </c>
      <c r="Q758" s="13">
        <f>SUMIFS(M:M,E:E,Online_eCommerce[[#This Row],[Status]])</f>
        <v>28620410</v>
      </c>
      <c r="R758" s="13">
        <f>SUMIFS(L:L,H:H,Online_eCommerce[[#This Row],[Brand]])</f>
        <v>10950150</v>
      </c>
      <c r="S758" s="13">
        <f>SUMIF(H:H,Online_eCommerce[[#This Row],[Brand]],M:M)</f>
        <v>14235195</v>
      </c>
      <c r="T758" s="13">
        <f>SUMIF(N:N,Online_eCommerce[[#This Row],[Assigned Supervisor]],L:L)</f>
        <v>12100590</v>
      </c>
    </row>
    <row r="759" spans="1:20" hidden="1" x14ac:dyDescent="0.3">
      <c r="A759" t="s">
        <v>1196</v>
      </c>
      <c r="B759" t="s">
        <v>154</v>
      </c>
      <c r="C759" t="s">
        <v>24</v>
      </c>
      <c r="D759" t="s">
        <v>1164</v>
      </c>
      <c r="E759" t="s">
        <v>96</v>
      </c>
      <c r="F759" t="s">
        <v>1183</v>
      </c>
      <c r="G759" t="s">
        <v>77</v>
      </c>
      <c r="H759" t="s">
        <v>78</v>
      </c>
      <c r="I759">
        <v>10000</v>
      </c>
      <c r="J759">
        <v>13000</v>
      </c>
      <c r="K759">
        <v>3</v>
      </c>
      <c r="L759">
        <v>30000</v>
      </c>
      <c r="M759">
        <v>39000</v>
      </c>
      <c r="N759" t="s">
        <v>56</v>
      </c>
      <c r="O759">
        <f t="shared" si="22"/>
        <v>39000</v>
      </c>
      <c r="P759" s="13">
        <f t="shared" si="23"/>
        <v>2009540</v>
      </c>
      <c r="Q759" s="13">
        <f>SUMIFS(M:M,E:E,Online_eCommerce[[#This Row],[Status]])</f>
        <v>21233992</v>
      </c>
      <c r="R759" s="13">
        <f>SUMIFS(L:L,H:H,Online_eCommerce[[#This Row],[Brand]])</f>
        <v>3720000</v>
      </c>
      <c r="S759" s="13">
        <f>SUMIF(H:H,Online_eCommerce[[#This Row],[Brand]],M:M)</f>
        <v>4836000</v>
      </c>
      <c r="T759" s="13">
        <f>SUMIF(N:N,Online_eCommerce[[#This Row],[Assigned Supervisor]],L:L)</f>
        <v>11733610</v>
      </c>
    </row>
    <row r="760" spans="1:20" hidden="1" x14ac:dyDescent="0.3">
      <c r="A760" t="s">
        <v>1197</v>
      </c>
      <c r="B760" t="s">
        <v>154</v>
      </c>
      <c r="C760" t="s">
        <v>31</v>
      </c>
      <c r="D760" t="s">
        <v>1164</v>
      </c>
      <c r="E760" t="s">
        <v>18</v>
      </c>
      <c r="F760" t="s">
        <v>1198</v>
      </c>
      <c r="G760" t="s">
        <v>20</v>
      </c>
      <c r="H760" t="s">
        <v>21</v>
      </c>
      <c r="I760">
        <v>10500</v>
      </c>
      <c r="J760">
        <v>13650</v>
      </c>
      <c r="K760">
        <v>3</v>
      </c>
      <c r="L760">
        <v>31500</v>
      </c>
      <c r="M760">
        <v>40950</v>
      </c>
      <c r="N760" t="s">
        <v>22</v>
      </c>
      <c r="O760">
        <f t="shared" si="22"/>
        <v>8450</v>
      </c>
      <c r="P760" s="13">
        <f t="shared" si="23"/>
        <v>2865746</v>
      </c>
      <c r="Q760" s="13">
        <f>SUMIFS(M:M,E:E,Online_eCommerce[[#This Row],[Status]])</f>
        <v>28340455</v>
      </c>
      <c r="R760" s="13">
        <f>SUMIFS(L:L,H:H,Online_eCommerce[[#This Row],[Brand]])</f>
        <v>12435650</v>
      </c>
      <c r="S760" s="13">
        <f>SUMIF(H:H,Online_eCommerce[[#This Row],[Brand]],M:M)</f>
        <v>16166345</v>
      </c>
      <c r="T760" s="13">
        <f>SUMIF(N:N,Online_eCommerce[[#This Row],[Assigned Supervisor]],L:L)</f>
        <v>13693220</v>
      </c>
    </row>
    <row r="761" spans="1:20" hidden="1" x14ac:dyDescent="0.3">
      <c r="A761" t="s">
        <v>1199</v>
      </c>
      <c r="B761" t="s">
        <v>154</v>
      </c>
      <c r="C761" t="s">
        <v>38</v>
      </c>
      <c r="D761" t="s">
        <v>1200</v>
      </c>
      <c r="E761" t="s">
        <v>161</v>
      </c>
      <c r="F761" t="s">
        <v>88</v>
      </c>
      <c r="G761" t="s">
        <v>26</v>
      </c>
      <c r="H761" t="s">
        <v>27</v>
      </c>
      <c r="I761">
        <v>8500</v>
      </c>
      <c r="J761">
        <v>11050</v>
      </c>
      <c r="K761">
        <v>1</v>
      </c>
      <c r="L761">
        <v>8500</v>
      </c>
      <c r="M761">
        <v>11050</v>
      </c>
      <c r="N761" t="s">
        <v>28</v>
      </c>
      <c r="O761">
        <f t="shared" si="22"/>
        <v>33150</v>
      </c>
      <c r="P761" s="13">
        <f t="shared" si="23"/>
        <v>1933997</v>
      </c>
      <c r="Q761" s="13">
        <f>SUMIFS(M:M,E:E,Online_eCommerce[[#This Row],[Status]])</f>
        <v>21103186</v>
      </c>
      <c r="R761" s="13">
        <f>SUMIFS(L:L,H:H,Online_eCommerce[[#This Row],[Brand]])</f>
        <v>14431000</v>
      </c>
      <c r="S761" s="13">
        <f>SUMIF(H:H,Online_eCommerce[[#This Row],[Brand]],M:M)</f>
        <v>18760300</v>
      </c>
      <c r="T761" s="13">
        <f>SUMIF(N:N,Online_eCommerce[[#This Row],[Assigned Supervisor]],L:L)</f>
        <v>12220830</v>
      </c>
    </row>
    <row r="762" spans="1:20" x14ac:dyDescent="0.3">
      <c r="A762" t="s">
        <v>1201</v>
      </c>
      <c r="B762" t="s">
        <v>154</v>
      </c>
      <c r="C762" t="s">
        <v>45</v>
      </c>
      <c r="D762" t="s">
        <v>1202</v>
      </c>
      <c r="E762" t="s">
        <v>46</v>
      </c>
      <c r="F762" t="s">
        <v>32</v>
      </c>
      <c r="G762" t="s">
        <v>33</v>
      </c>
      <c r="H762" t="s">
        <v>34</v>
      </c>
      <c r="I762">
        <v>7000</v>
      </c>
      <c r="J762">
        <v>9100</v>
      </c>
      <c r="K762">
        <v>2</v>
      </c>
      <c r="L762">
        <v>14000</v>
      </c>
      <c r="M762">
        <v>18200</v>
      </c>
      <c r="N762" t="s">
        <v>35</v>
      </c>
      <c r="O762">
        <f t="shared" si="22"/>
        <v>18200</v>
      </c>
      <c r="P762" s="13">
        <f t="shared" si="23"/>
        <v>2842554</v>
      </c>
      <c r="Q762" s="13">
        <f>SUMIFS(M:M,E:E,Online_eCommerce[[#This Row],[Status]])</f>
        <v>28620410</v>
      </c>
      <c r="R762" s="13">
        <f>SUMIFS(L:L,H:H,Online_eCommerce[[#This Row],[Brand]])</f>
        <v>10087000</v>
      </c>
      <c r="S762" s="13">
        <f>SUMIF(H:H,Online_eCommerce[[#This Row],[Brand]],M:M)</f>
        <v>13113100</v>
      </c>
      <c r="T762" s="13">
        <f>SUMIF(N:N,Online_eCommerce[[#This Row],[Assigned Supervisor]],L:L)</f>
        <v>14373360</v>
      </c>
    </row>
    <row r="763" spans="1:20" hidden="1" x14ac:dyDescent="0.3">
      <c r="A763" t="s">
        <v>1203</v>
      </c>
      <c r="B763" t="s">
        <v>154</v>
      </c>
      <c r="C763" t="s">
        <v>52</v>
      </c>
      <c r="D763" t="s">
        <v>1204</v>
      </c>
      <c r="E763" t="s">
        <v>96</v>
      </c>
      <c r="F763" t="s">
        <v>1205</v>
      </c>
      <c r="G763" t="s">
        <v>163</v>
      </c>
      <c r="H763" t="s">
        <v>41</v>
      </c>
      <c r="I763">
        <v>1680</v>
      </c>
      <c r="J763">
        <v>2184</v>
      </c>
      <c r="K763">
        <v>4</v>
      </c>
      <c r="L763">
        <v>6720</v>
      </c>
      <c r="M763">
        <v>8736</v>
      </c>
      <c r="N763" t="s">
        <v>42</v>
      </c>
      <c r="O763">
        <f t="shared" si="22"/>
        <v>13650</v>
      </c>
      <c r="P763" s="13">
        <f t="shared" si="23"/>
        <v>1955044</v>
      </c>
      <c r="Q763" s="13">
        <f>SUMIFS(M:M,E:E,Online_eCommerce[[#This Row],[Status]])</f>
        <v>21233992</v>
      </c>
      <c r="R763" s="13">
        <f>SUMIFS(L:L,H:H,Online_eCommerce[[#This Row],[Brand]])</f>
        <v>4260400</v>
      </c>
      <c r="S763" s="13">
        <f>SUMIF(H:H,Online_eCommerce[[#This Row],[Brand]],M:M)</f>
        <v>5538520</v>
      </c>
      <c r="T763" s="13">
        <f>SUMIF(N:N,Online_eCommerce[[#This Row],[Assigned Supervisor]],L:L)</f>
        <v>12261500</v>
      </c>
    </row>
    <row r="764" spans="1:20" hidden="1" x14ac:dyDescent="0.3">
      <c r="A764" t="s">
        <v>1206</v>
      </c>
      <c r="B764" t="s">
        <v>154</v>
      </c>
      <c r="C764" t="s">
        <v>58</v>
      </c>
      <c r="D764" t="s">
        <v>1207</v>
      </c>
      <c r="E764" t="s">
        <v>18</v>
      </c>
      <c r="F764" t="s">
        <v>101</v>
      </c>
      <c r="G764" t="s">
        <v>66</v>
      </c>
      <c r="H764" t="s">
        <v>102</v>
      </c>
      <c r="I764">
        <v>6540</v>
      </c>
      <c r="J764">
        <v>8502</v>
      </c>
      <c r="K764">
        <v>3</v>
      </c>
      <c r="L764">
        <v>19620</v>
      </c>
      <c r="M764">
        <v>25506</v>
      </c>
      <c r="N764" t="s">
        <v>50</v>
      </c>
      <c r="O764">
        <f t="shared" si="22"/>
        <v>1690</v>
      </c>
      <c r="P764" s="13">
        <f t="shared" si="23"/>
        <v>2629211</v>
      </c>
      <c r="Q764" s="13">
        <f>SUMIFS(M:M,E:E,Online_eCommerce[[#This Row],[Status]])</f>
        <v>28340455</v>
      </c>
      <c r="R764" s="13">
        <f>SUMIFS(L:L,H:H,Online_eCommerce[[#This Row],[Brand]])</f>
        <v>2465580</v>
      </c>
      <c r="S764" s="13">
        <f>SUMIF(H:H,Online_eCommerce[[#This Row],[Brand]],M:M)</f>
        <v>3205254</v>
      </c>
      <c r="T764" s="13">
        <f>SUMIF(N:N,Online_eCommerce[[#This Row],[Assigned Supervisor]],L:L)</f>
        <v>12100590</v>
      </c>
    </row>
    <row r="765" spans="1:20" hidden="1" x14ac:dyDescent="0.3">
      <c r="A765" t="s">
        <v>1208</v>
      </c>
      <c r="B765" t="s">
        <v>154</v>
      </c>
      <c r="C765" t="s">
        <v>63</v>
      </c>
      <c r="D765" t="s">
        <v>1209</v>
      </c>
      <c r="E765" t="s">
        <v>161</v>
      </c>
      <c r="F765" t="s">
        <v>107</v>
      </c>
      <c r="G765" t="s">
        <v>54</v>
      </c>
      <c r="H765" t="s">
        <v>55</v>
      </c>
      <c r="I765">
        <v>2680</v>
      </c>
      <c r="J765">
        <v>3484</v>
      </c>
      <c r="K765">
        <v>2</v>
      </c>
      <c r="L765">
        <v>5360</v>
      </c>
      <c r="M765">
        <v>6968</v>
      </c>
      <c r="N765" t="s">
        <v>56</v>
      </c>
      <c r="O765">
        <f t="shared" si="22"/>
        <v>2990</v>
      </c>
      <c r="P765" s="13">
        <f t="shared" si="23"/>
        <v>2016131</v>
      </c>
      <c r="Q765" s="13">
        <f>SUMIFS(M:M,E:E,Online_eCommerce[[#This Row],[Status]])</f>
        <v>21103186</v>
      </c>
      <c r="R765" s="13">
        <f>SUMIFS(L:L,H:H,Online_eCommerce[[#This Row],[Brand]])</f>
        <v>2267380</v>
      </c>
      <c r="S765" s="13">
        <f>SUMIF(H:H,Online_eCommerce[[#This Row],[Brand]],M:M)</f>
        <v>2947594</v>
      </c>
      <c r="T765" s="13">
        <f>SUMIF(N:N,Online_eCommerce[[#This Row],[Assigned Supervisor]],L:L)</f>
        <v>11733610</v>
      </c>
    </row>
    <row r="766" spans="1:20" x14ac:dyDescent="0.3">
      <c r="A766" t="s">
        <v>1210</v>
      </c>
      <c r="B766" t="s">
        <v>154</v>
      </c>
      <c r="C766" t="s">
        <v>68</v>
      </c>
      <c r="D766" t="s">
        <v>1211</v>
      </c>
      <c r="E766" t="s">
        <v>46</v>
      </c>
      <c r="F766" t="s">
        <v>112</v>
      </c>
      <c r="G766" t="s">
        <v>71</v>
      </c>
      <c r="H766" t="s">
        <v>21</v>
      </c>
      <c r="I766">
        <v>8250</v>
      </c>
      <c r="J766">
        <v>10725</v>
      </c>
      <c r="K766">
        <v>4</v>
      </c>
      <c r="L766">
        <v>33000</v>
      </c>
      <c r="M766">
        <v>42900</v>
      </c>
      <c r="N766" t="s">
        <v>22</v>
      </c>
      <c r="O766">
        <f t="shared" si="22"/>
        <v>9750</v>
      </c>
      <c r="P766" s="13">
        <f t="shared" si="23"/>
        <v>2974621</v>
      </c>
      <c r="Q766" s="13">
        <f>SUMIFS(M:M,E:E,Online_eCommerce[[#This Row],[Status]])</f>
        <v>28620410</v>
      </c>
      <c r="R766" s="13">
        <f>SUMIFS(L:L,H:H,Online_eCommerce[[#This Row],[Brand]])</f>
        <v>12435650</v>
      </c>
      <c r="S766" s="13">
        <f>SUMIF(H:H,Online_eCommerce[[#This Row],[Brand]],M:M)</f>
        <v>16166345</v>
      </c>
      <c r="T766" s="13">
        <f>SUMIF(N:N,Online_eCommerce[[#This Row],[Assigned Supervisor]],L:L)</f>
        <v>13693220</v>
      </c>
    </row>
    <row r="767" spans="1:20" hidden="1" x14ac:dyDescent="0.3">
      <c r="A767" t="s">
        <v>1212</v>
      </c>
      <c r="B767" t="s">
        <v>154</v>
      </c>
      <c r="C767" t="s">
        <v>74</v>
      </c>
      <c r="D767" t="s">
        <v>1211</v>
      </c>
      <c r="E767" t="s">
        <v>96</v>
      </c>
      <c r="F767" t="s">
        <v>844</v>
      </c>
      <c r="G767" t="s">
        <v>40</v>
      </c>
      <c r="H767" t="s">
        <v>21</v>
      </c>
      <c r="I767">
        <v>2650</v>
      </c>
      <c r="J767">
        <v>3445</v>
      </c>
      <c r="K767">
        <v>2</v>
      </c>
      <c r="L767">
        <v>5300</v>
      </c>
      <c r="M767">
        <v>6890</v>
      </c>
      <c r="N767" t="s">
        <v>28</v>
      </c>
      <c r="O767">
        <f t="shared" si="22"/>
        <v>25545</v>
      </c>
      <c r="P767" s="13">
        <f t="shared" si="23"/>
        <v>2144701</v>
      </c>
      <c r="Q767" s="13">
        <f>SUMIFS(M:M,E:E,Online_eCommerce[[#This Row],[Status]])</f>
        <v>21233992</v>
      </c>
      <c r="R767" s="13">
        <f>SUMIFS(L:L,H:H,Online_eCommerce[[#This Row],[Brand]])</f>
        <v>12435650</v>
      </c>
      <c r="S767" s="13">
        <f>SUMIF(H:H,Online_eCommerce[[#This Row],[Brand]],M:M)</f>
        <v>16166345</v>
      </c>
      <c r="T767" s="13">
        <f>SUMIF(N:N,Online_eCommerce[[#This Row],[Assigned Supervisor]],L:L)</f>
        <v>12220830</v>
      </c>
    </row>
    <row r="768" spans="1:20" hidden="1" x14ac:dyDescent="0.3">
      <c r="A768" t="s">
        <v>1213</v>
      </c>
      <c r="B768" t="s">
        <v>154</v>
      </c>
      <c r="C768" t="s">
        <v>81</v>
      </c>
      <c r="D768" t="s">
        <v>1211</v>
      </c>
      <c r="E768" t="s">
        <v>18</v>
      </c>
      <c r="F768" t="s">
        <v>121</v>
      </c>
      <c r="G768" t="s">
        <v>71</v>
      </c>
      <c r="H768" t="s">
        <v>122</v>
      </c>
      <c r="I768">
        <v>12550</v>
      </c>
      <c r="J768">
        <v>16315</v>
      </c>
      <c r="K768">
        <v>4</v>
      </c>
      <c r="L768">
        <v>50200</v>
      </c>
      <c r="M768">
        <v>65260</v>
      </c>
      <c r="N768" t="s">
        <v>35</v>
      </c>
      <c r="O768">
        <f t="shared" si="22"/>
        <v>9750</v>
      </c>
      <c r="P768" s="13">
        <f t="shared" si="23"/>
        <v>2595632</v>
      </c>
      <c r="Q768" s="13">
        <f>SUMIFS(M:M,E:E,Online_eCommerce[[#This Row],[Status]])</f>
        <v>28340455</v>
      </c>
      <c r="R768" s="13">
        <f>SUMIFS(L:L,H:H,Online_eCommerce[[#This Row],[Brand]])</f>
        <v>5045100</v>
      </c>
      <c r="S768" s="13">
        <f>SUMIF(H:H,Online_eCommerce[[#This Row],[Brand]],M:M)</f>
        <v>6558630</v>
      </c>
      <c r="T768" s="13">
        <f>SUMIF(N:N,Online_eCommerce[[#This Row],[Assigned Supervisor]],L:L)</f>
        <v>14373360</v>
      </c>
    </row>
    <row r="769" spans="1:20" hidden="1" x14ac:dyDescent="0.3">
      <c r="A769" t="s">
        <v>1214</v>
      </c>
      <c r="B769" t="s">
        <v>154</v>
      </c>
      <c r="C769" t="s">
        <v>86</v>
      </c>
      <c r="D769" t="s">
        <v>1211</v>
      </c>
      <c r="E769" t="s">
        <v>161</v>
      </c>
      <c r="F769" t="s">
        <v>126</v>
      </c>
      <c r="G769" t="s">
        <v>26</v>
      </c>
      <c r="H769" t="s">
        <v>27</v>
      </c>
      <c r="I769">
        <v>14500</v>
      </c>
      <c r="J769">
        <v>18850</v>
      </c>
      <c r="K769">
        <v>2</v>
      </c>
      <c r="L769">
        <v>29000</v>
      </c>
      <c r="M769">
        <v>37700</v>
      </c>
      <c r="N769" t="s">
        <v>42</v>
      </c>
      <c r="O769">
        <f t="shared" si="22"/>
        <v>33150</v>
      </c>
      <c r="P769" s="13">
        <f t="shared" si="23"/>
        <v>1941225</v>
      </c>
      <c r="Q769" s="13">
        <f>SUMIFS(M:M,E:E,Online_eCommerce[[#This Row],[Status]])</f>
        <v>21103186</v>
      </c>
      <c r="R769" s="13">
        <f>SUMIFS(L:L,H:H,Online_eCommerce[[#This Row],[Brand]])</f>
        <v>14431000</v>
      </c>
      <c r="S769" s="13">
        <f>SUMIF(H:H,Online_eCommerce[[#This Row],[Brand]],M:M)</f>
        <v>18760300</v>
      </c>
      <c r="T769" s="13">
        <f>SUMIF(N:N,Online_eCommerce[[#This Row],[Assigned Supervisor]],L:L)</f>
        <v>12261500</v>
      </c>
    </row>
    <row r="770" spans="1:20" x14ac:dyDescent="0.3">
      <c r="A770" t="s">
        <v>1215</v>
      </c>
      <c r="B770" t="s">
        <v>154</v>
      </c>
      <c r="C770" t="s">
        <v>91</v>
      </c>
      <c r="D770" t="s">
        <v>1211</v>
      </c>
      <c r="E770" t="s">
        <v>46</v>
      </c>
      <c r="F770" t="s">
        <v>129</v>
      </c>
      <c r="G770" t="s">
        <v>60</v>
      </c>
      <c r="H770" t="s">
        <v>61</v>
      </c>
      <c r="I770">
        <v>800</v>
      </c>
      <c r="J770">
        <v>1040</v>
      </c>
      <c r="K770">
        <v>1</v>
      </c>
      <c r="L770">
        <v>800</v>
      </c>
      <c r="M770">
        <v>1040</v>
      </c>
      <c r="N770" t="s">
        <v>50</v>
      </c>
      <c r="O770">
        <f t="shared" ref="O770:O833" si="24">VLOOKUP(G770,G:M,7,FALSE)</f>
        <v>3315</v>
      </c>
      <c r="P770" s="13">
        <f t="shared" ref="P770:P833" si="25">SUMIFS(M:M,C:C,C770)</f>
        <v>2731963</v>
      </c>
      <c r="Q770" s="13">
        <f>SUMIFS(M:M,E:E,Online_eCommerce[[#This Row],[Status]])</f>
        <v>28620410</v>
      </c>
      <c r="R770" s="13">
        <f>SUMIFS(L:L,H:H,Online_eCommerce[[#This Row],[Brand]])</f>
        <v>10950150</v>
      </c>
      <c r="S770" s="13">
        <f>SUMIF(H:H,Online_eCommerce[[#This Row],[Brand]],M:M)</f>
        <v>14235195</v>
      </c>
      <c r="T770" s="13">
        <f>SUMIF(N:N,Online_eCommerce[[#This Row],[Assigned Supervisor]],L:L)</f>
        <v>12100590</v>
      </c>
    </row>
    <row r="771" spans="1:20" hidden="1" x14ac:dyDescent="0.3">
      <c r="A771" t="s">
        <v>1216</v>
      </c>
      <c r="B771" t="s">
        <v>154</v>
      </c>
      <c r="C771" t="s">
        <v>94</v>
      </c>
      <c r="D771" t="s">
        <v>1211</v>
      </c>
      <c r="E771" t="s">
        <v>96</v>
      </c>
      <c r="F771" t="s">
        <v>133</v>
      </c>
      <c r="G771" t="s">
        <v>66</v>
      </c>
      <c r="H771" t="s">
        <v>21</v>
      </c>
      <c r="I771">
        <v>600</v>
      </c>
      <c r="J771">
        <v>780</v>
      </c>
      <c r="K771">
        <v>1</v>
      </c>
      <c r="L771">
        <v>600</v>
      </c>
      <c r="M771">
        <v>780</v>
      </c>
      <c r="N771" t="s">
        <v>56</v>
      </c>
      <c r="O771">
        <f t="shared" si="24"/>
        <v>1690</v>
      </c>
      <c r="P771" s="13">
        <f t="shared" si="25"/>
        <v>1868256</v>
      </c>
      <c r="Q771" s="13">
        <f>SUMIFS(M:M,E:E,Online_eCommerce[[#This Row],[Status]])</f>
        <v>21233992</v>
      </c>
      <c r="R771" s="13">
        <f>SUMIFS(L:L,H:H,Online_eCommerce[[#This Row],[Brand]])</f>
        <v>12435650</v>
      </c>
      <c r="S771" s="13">
        <f>SUMIF(H:H,Online_eCommerce[[#This Row],[Brand]],M:M)</f>
        <v>16166345</v>
      </c>
      <c r="T771" s="13">
        <f>SUMIF(N:N,Online_eCommerce[[#This Row],[Assigned Supervisor]],L:L)</f>
        <v>11733610</v>
      </c>
    </row>
    <row r="772" spans="1:20" hidden="1" x14ac:dyDescent="0.3">
      <c r="A772" t="s">
        <v>1217</v>
      </c>
      <c r="B772" t="s">
        <v>154</v>
      </c>
      <c r="C772" t="s">
        <v>99</v>
      </c>
      <c r="D772" t="s">
        <v>1211</v>
      </c>
      <c r="E772" t="s">
        <v>18</v>
      </c>
      <c r="F772" t="s">
        <v>137</v>
      </c>
      <c r="G772" t="s">
        <v>71</v>
      </c>
      <c r="H772" t="s">
        <v>61</v>
      </c>
      <c r="I772">
        <v>10500</v>
      </c>
      <c r="J772">
        <v>13650</v>
      </c>
      <c r="K772">
        <v>1</v>
      </c>
      <c r="L772">
        <v>10500</v>
      </c>
      <c r="M772">
        <v>13650</v>
      </c>
      <c r="N772" t="s">
        <v>22</v>
      </c>
      <c r="O772">
        <f t="shared" si="24"/>
        <v>9750</v>
      </c>
      <c r="P772" s="13">
        <f t="shared" si="25"/>
        <v>2651233</v>
      </c>
      <c r="Q772" s="13">
        <f>SUMIFS(M:M,E:E,Online_eCommerce[[#This Row],[Status]])</f>
        <v>28340455</v>
      </c>
      <c r="R772" s="13">
        <f>SUMIFS(L:L,H:H,Online_eCommerce[[#This Row],[Brand]])</f>
        <v>10950150</v>
      </c>
      <c r="S772" s="13">
        <f>SUMIF(H:H,Online_eCommerce[[#This Row],[Brand]],M:M)</f>
        <v>14235195</v>
      </c>
      <c r="T772" s="13">
        <f>SUMIF(N:N,Online_eCommerce[[#This Row],[Assigned Supervisor]],L:L)</f>
        <v>13693220</v>
      </c>
    </row>
    <row r="773" spans="1:20" hidden="1" x14ac:dyDescent="0.3">
      <c r="A773" t="s">
        <v>1218</v>
      </c>
      <c r="B773" t="s">
        <v>154</v>
      </c>
      <c r="C773" t="s">
        <v>105</v>
      </c>
      <c r="D773" t="s">
        <v>1211</v>
      </c>
      <c r="E773" t="s">
        <v>161</v>
      </c>
      <c r="F773" t="s">
        <v>1183</v>
      </c>
      <c r="G773" t="s">
        <v>77</v>
      </c>
      <c r="H773" t="s">
        <v>142</v>
      </c>
      <c r="I773">
        <v>6500</v>
      </c>
      <c r="J773">
        <v>8450</v>
      </c>
      <c r="K773">
        <v>2</v>
      </c>
      <c r="L773">
        <v>13000</v>
      </c>
      <c r="M773">
        <v>16900</v>
      </c>
      <c r="N773" t="s">
        <v>22</v>
      </c>
      <c r="O773">
        <f t="shared" si="24"/>
        <v>39000</v>
      </c>
      <c r="P773" s="13">
        <f t="shared" si="25"/>
        <v>1866852</v>
      </c>
      <c r="Q773" s="13">
        <f>SUMIFS(M:M,E:E,Online_eCommerce[[#This Row],[Status]])</f>
        <v>21103186</v>
      </c>
      <c r="R773" s="13">
        <f>SUMIFS(L:L,H:H,Online_eCommerce[[#This Row],[Brand]])</f>
        <v>6192500</v>
      </c>
      <c r="S773" s="13">
        <f>SUMIF(H:H,Online_eCommerce[[#This Row],[Brand]],M:M)</f>
        <v>8050250</v>
      </c>
      <c r="T773" s="13">
        <f>SUMIF(N:N,Online_eCommerce[[#This Row],[Assigned Supervisor]],L:L)</f>
        <v>13693220</v>
      </c>
    </row>
    <row r="774" spans="1:20" x14ac:dyDescent="0.3">
      <c r="A774" t="s">
        <v>1219</v>
      </c>
      <c r="B774" t="s">
        <v>154</v>
      </c>
      <c r="C774" t="s">
        <v>110</v>
      </c>
      <c r="D774" t="s">
        <v>1211</v>
      </c>
      <c r="E774" t="s">
        <v>46</v>
      </c>
      <c r="F774" t="s">
        <v>1220</v>
      </c>
      <c r="G774" t="s">
        <v>20</v>
      </c>
      <c r="H774" t="s">
        <v>21</v>
      </c>
      <c r="I774">
        <v>4500</v>
      </c>
      <c r="J774">
        <v>5850</v>
      </c>
      <c r="K774">
        <v>4</v>
      </c>
      <c r="L774">
        <v>18000</v>
      </c>
      <c r="M774">
        <v>23400</v>
      </c>
      <c r="N774" t="s">
        <v>28</v>
      </c>
      <c r="O774">
        <f t="shared" si="24"/>
        <v>8450</v>
      </c>
      <c r="P774" s="13">
        <f t="shared" si="25"/>
        <v>2598635</v>
      </c>
      <c r="Q774" s="13">
        <f>SUMIFS(M:M,E:E,Online_eCommerce[[#This Row],[Status]])</f>
        <v>28620410</v>
      </c>
      <c r="R774" s="13">
        <f>SUMIFS(L:L,H:H,Online_eCommerce[[#This Row],[Brand]])</f>
        <v>12435650</v>
      </c>
      <c r="S774" s="13">
        <f>SUMIF(H:H,Online_eCommerce[[#This Row],[Brand]],M:M)</f>
        <v>16166345</v>
      </c>
      <c r="T774" s="13">
        <f>SUMIF(N:N,Online_eCommerce[[#This Row],[Assigned Supervisor]],L:L)</f>
        <v>12220830</v>
      </c>
    </row>
    <row r="775" spans="1:20" hidden="1" x14ac:dyDescent="0.3">
      <c r="A775" t="s">
        <v>1221</v>
      </c>
      <c r="B775" t="s">
        <v>154</v>
      </c>
      <c r="C775" t="s">
        <v>115</v>
      </c>
      <c r="D775" t="s">
        <v>1211</v>
      </c>
      <c r="E775" t="s">
        <v>96</v>
      </c>
      <c r="F775" t="s">
        <v>152</v>
      </c>
      <c r="G775" t="s">
        <v>26</v>
      </c>
      <c r="H775" t="s">
        <v>27</v>
      </c>
      <c r="I775">
        <v>8500</v>
      </c>
      <c r="J775">
        <v>11050</v>
      </c>
      <c r="K775">
        <v>4</v>
      </c>
      <c r="L775">
        <v>34000</v>
      </c>
      <c r="M775">
        <v>44200</v>
      </c>
      <c r="N775" t="s">
        <v>35</v>
      </c>
      <c r="O775">
        <f t="shared" si="24"/>
        <v>33150</v>
      </c>
      <c r="P775" s="13">
        <f t="shared" si="25"/>
        <v>2050178</v>
      </c>
      <c r="Q775" s="13">
        <f>SUMIFS(M:M,E:E,Online_eCommerce[[#This Row],[Status]])</f>
        <v>21233992</v>
      </c>
      <c r="R775" s="13">
        <f>SUMIFS(L:L,H:H,Online_eCommerce[[#This Row],[Brand]])</f>
        <v>14431000</v>
      </c>
      <c r="S775" s="13">
        <f>SUMIF(H:H,Online_eCommerce[[#This Row],[Brand]],M:M)</f>
        <v>18760300</v>
      </c>
      <c r="T775" s="13">
        <f>SUMIF(N:N,Online_eCommerce[[#This Row],[Assigned Supervisor]],L:L)</f>
        <v>14373360</v>
      </c>
    </row>
    <row r="776" spans="1:20" hidden="1" x14ac:dyDescent="0.3">
      <c r="A776" t="s">
        <v>1222</v>
      </c>
      <c r="B776" t="s">
        <v>154</v>
      </c>
      <c r="C776" t="s">
        <v>120</v>
      </c>
      <c r="D776" t="s">
        <v>1211</v>
      </c>
      <c r="E776" t="s">
        <v>18</v>
      </c>
      <c r="F776" t="s">
        <v>157</v>
      </c>
      <c r="G776" t="s">
        <v>33</v>
      </c>
      <c r="H776" t="s">
        <v>34</v>
      </c>
      <c r="I776">
        <v>12500</v>
      </c>
      <c r="J776">
        <v>16250</v>
      </c>
      <c r="K776">
        <v>2</v>
      </c>
      <c r="L776">
        <v>25000</v>
      </c>
      <c r="M776">
        <v>32500</v>
      </c>
      <c r="N776" t="s">
        <v>42</v>
      </c>
      <c r="O776">
        <f t="shared" si="24"/>
        <v>18200</v>
      </c>
      <c r="P776" s="13">
        <f t="shared" si="25"/>
        <v>2734212</v>
      </c>
      <c r="Q776" s="13">
        <f>SUMIFS(M:M,E:E,Online_eCommerce[[#This Row],[Status]])</f>
        <v>28340455</v>
      </c>
      <c r="R776" s="13">
        <f>SUMIFS(L:L,H:H,Online_eCommerce[[#This Row],[Brand]])</f>
        <v>10087000</v>
      </c>
      <c r="S776" s="13">
        <f>SUMIF(H:H,Online_eCommerce[[#This Row],[Brand]],M:M)</f>
        <v>13113100</v>
      </c>
      <c r="T776" s="13">
        <f>SUMIF(N:N,Online_eCommerce[[#This Row],[Assigned Supervisor]],L:L)</f>
        <v>12261500</v>
      </c>
    </row>
    <row r="777" spans="1:20" hidden="1" x14ac:dyDescent="0.3">
      <c r="A777" t="s">
        <v>1223</v>
      </c>
      <c r="B777" t="s">
        <v>154</v>
      </c>
      <c r="C777" t="s">
        <v>125</v>
      </c>
      <c r="D777" t="s">
        <v>1211</v>
      </c>
      <c r="E777" t="s">
        <v>161</v>
      </c>
      <c r="F777" t="s">
        <v>886</v>
      </c>
      <c r="G777" t="s">
        <v>256</v>
      </c>
      <c r="H777" t="s">
        <v>41</v>
      </c>
      <c r="I777">
        <v>3500</v>
      </c>
      <c r="J777">
        <v>4550</v>
      </c>
      <c r="K777">
        <v>3</v>
      </c>
      <c r="L777">
        <v>10500</v>
      </c>
      <c r="M777">
        <v>13650</v>
      </c>
      <c r="N777" t="s">
        <v>50</v>
      </c>
      <c r="O777">
        <f t="shared" si="24"/>
        <v>9100</v>
      </c>
      <c r="P777" s="13">
        <f t="shared" si="25"/>
        <v>2091154</v>
      </c>
      <c r="Q777" s="13">
        <f>SUMIFS(M:M,E:E,Online_eCommerce[[#This Row],[Status]])</f>
        <v>21103186</v>
      </c>
      <c r="R777" s="13">
        <f>SUMIFS(L:L,H:H,Online_eCommerce[[#This Row],[Brand]])</f>
        <v>4260400</v>
      </c>
      <c r="S777" s="13">
        <f>SUMIF(H:H,Online_eCommerce[[#This Row],[Brand]],M:M)</f>
        <v>5538520</v>
      </c>
      <c r="T777" s="13">
        <f>SUMIF(N:N,Online_eCommerce[[#This Row],[Assigned Supervisor]],L:L)</f>
        <v>12100590</v>
      </c>
    </row>
    <row r="778" spans="1:20" x14ac:dyDescent="0.3">
      <c r="A778" t="s">
        <v>1224</v>
      </c>
      <c r="B778" t="s">
        <v>154</v>
      </c>
      <c r="C778" t="s">
        <v>22</v>
      </c>
      <c r="D778" t="s">
        <v>1211</v>
      </c>
      <c r="E778" t="s">
        <v>46</v>
      </c>
      <c r="F778" t="s">
        <v>166</v>
      </c>
      <c r="G778" t="s">
        <v>259</v>
      </c>
      <c r="H778" t="s">
        <v>49</v>
      </c>
      <c r="I778">
        <v>4500</v>
      </c>
      <c r="J778">
        <v>5850</v>
      </c>
      <c r="K778">
        <v>2</v>
      </c>
      <c r="L778">
        <v>9000</v>
      </c>
      <c r="M778">
        <v>11700</v>
      </c>
      <c r="N778" t="s">
        <v>56</v>
      </c>
      <c r="O778">
        <f t="shared" si="24"/>
        <v>11700</v>
      </c>
      <c r="P778" s="13">
        <f t="shared" si="25"/>
        <v>2551588</v>
      </c>
      <c r="Q778" s="13">
        <f>SUMIFS(M:M,E:E,Online_eCommerce[[#This Row],[Status]])</f>
        <v>28620410</v>
      </c>
      <c r="R778" s="13">
        <f>SUMIFS(L:L,H:H,Online_eCommerce[[#This Row],[Brand]])</f>
        <v>4528350</v>
      </c>
      <c r="S778" s="13">
        <f>SUMIF(H:H,Online_eCommerce[[#This Row],[Brand]],M:M)</f>
        <v>5886855</v>
      </c>
      <c r="T778" s="13">
        <f>SUMIF(N:N,Online_eCommerce[[#This Row],[Assigned Supervisor]],L:L)</f>
        <v>11733610</v>
      </c>
    </row>
    <row r="779" spans="1:20" hidden="1" x14ac:dyDescent="0.3">
      <c r="A779" t="s">
        <v>1225</v>
      </c>
      <c r="B779" t="s">
        <v>154</v>
      </c>
      <c r="C779" t="s">
        <v>132</v>
      </c>
      <c r="D779" t="s">
        <v>1211</v>
      </c>
      <c r="E779" t="s">
        <v>96</v>
      </c>
      <c r="F779" t="s">
        <v>1226</v>
      </c>
      <c r="G779" t="s">
        <v>54</v>
      </c>
      <c r="H779" t="s">
        <v>55</v>
      </c>
      <c r="I779">
        <v>2100</v>
      </c>
      <c r="J779">
        <v>2730</v>
      </c>
      <c r="K779">
        <v>2</v>
      </c>
      <c r="L779">
        <v>4200</v>
      </c>
      <c r="M779">
        <v>5460</v>
      </c>
      <c r="N779" t="s">
        <v>22</v>
      </c>
      <c r="O779">
        <f t="shared" si="24"/>
        <v>2990</v>
      </c>
      <c r="P779" s="13">
        <f t="shared" si="25"/>
        <v>1989065</v>
      </c>
      <c r="Q779" s="13">
        <f>SUMIFS(M:M,E:E,Online_eCommerce[[#This Row],[Status]])</f>
        <v>21233992</v>
      </c>
      <c r="R779" s="13">
        <f>SUMIFS(L:L,H:H,Online_eCommerce[[#This Row],[Brand]])</f>
        <v>2267380</v>
      </c>
      <c r="S779" s="13">
        <f>SUMIF(H:H,Online_eCommerce[[#This Row],[Brand]],M:M)</f>
        <v>2947594</v>
      </c>
      <c r="T779" s="13">
        <f>SUMIF(N:N,Online_eCommerce[[#This Row],[Assigned Supervisor]],L:L)</f>
        <v>13693220</v>
      </c>
    </row>
    <row r="780" spans="1:20" hidden="1" x14ac:dyDescent="0.3">
      <c r="A780" t="s">
        <v>1227</v>
      </c>
      <c r="B780" t="s">
        <v>154</v>
      </c>
      <c r="C780" t="s">
        <v>136</v>
      </c>
      <c r="D780" t="s">
        <v>1211</v>
      </c>
      <c r="E780" t="s">
        <v>18</v>
      </c>
      <c r="F780" t="s">
        <v>174</v>
      </c>
      <c r="G780" t="s">
        <v>60</v>
      </c>
      <c r="H780" t="s">
        <v>61</v>
      </c>
      <c r="I780">
        <v>1150</v>
      </c>
      <c r="J780">
        <v>1495</v>
      </c>
      <c r="K780">
        <v>1</v>
      </c>
      <c r="L780">
        <v>1150</v>
      </c>
      <c r="M780">
        <v>1495</v>
      </c>
      <c r="N780" t="s">
        <v>28</v>
      </c>
      <c r="O780">
        <f t="shared" si="24"/>
        <v>3315</v>
      </c>
      <c r="P780" s="13">
        <f t="shared" si="25"/>
        <v>2775162</v>
      </c>
      <c r="Q780" s="13">
        <f>SUMIFS(M:M,E:E,Online_eCommerce[[#This Row],[Status]])</f>
        <v>28340455</v>
      </c>
      <c r="R780" s="13">
        <f>SUMIFS(L:L,H:H,Online_eCommerce[[#This Row],[Brand]])</f>
        <v>10950150</v>
      </c>
      <c r="S780" s="13">
        <f>SUMIF(H:H,Online_eCommerce[[#This Row],[Brand]],M:M)</f>
        <v>14235195</v>
      </c>
      <c r="T780" s="13">
        <f>SUMIF(N:N,Online_eCommerce[[#This Row],[Assigned Supervisor]],L:L)</f>
        <v>12220830</v>
      </c>
    </row>
    <row r="781" spans="1:20" hidden="1" x14ac:dyDescent="0.3">
      <c r="A781" t="s">
        <v>1228</v>
      </c>
      <c r="B781" t="s">
        <v>154</v>
      </c>
      <c r="C781" t="s">
        <v>140</v>
      </c>
      <c r="D781" t="s">
        <v>1211</v>
      </c>
      <c r="E781" t="s">
        <v>161</v>
      </c>
      <c r="F781" t="s">
        <v>179</v>
      </c>
      <c r="G781" t="s">
        <v>66</v>
      </c>
      <c r="H781" t="s">
        <v>21</v>
      </c>
      <c r="I781">
        <v>350</v>
      </c>
      <c r="J781">
        <v>455</v>
      </c>
      <c r="K781">
        <v>4</v>
      </c>
      <c r="L781">
        <v>1400</v>
      </c>
      <c r="M781">
        <v>1820</v>
      </c>
      <c r="N781" t="s">
        <v>35</v>
      </c>
      <c r="O781">
        <f t="shared" si="24"/>
        <v>1690</v>
      </c>
      <c r="P781" s="13">
        <f t="shared" si="25"/>
        <v>2058264</v>
      </c>
      <c r="Q781" s="13">
        <f>SUMIFS(M:M,E:E,Online_eCommerce[[#This Row],[Status]])</f>
        <v>21103186</v>
      </c>
      <c r="R781" s="13">
        <f>SUMIFS(L:L,H:H,Online_eCommerce[[#This Row],[Brand]])</f>
        <v>12435650</v>
      </c>
      <c r="S781" s="13">
        <f>SUMIF(H:H,Online_eCommerce[[#This Row],[Brand]],M:M)</f>
        <v>16166345</v>
      </c>
      <c r="T781" s="13">
        <f>SUMIF(N:N,Online_eCommerce[[#This Row],[Assigned Supervisor]],L:L)</f>
        <v>14373360</v>
      </c>
    </row>
    <row r="782" spans="1:20" x14ac:dyDescent="0.3">
      <c r="A782" t="s">
        <v>1229</v>
      </c>
      <c r="B782" t="s">
        <v>154</v>
      </c>
      <c r="C782" t="s">
        <v>145</v>
      </c>
      <c r="D782" t="s">
        <v>1211</v>
      </c>
      <c r="E782" t="s">
        <v>46</v>
      </c>
      <c r="F782" t="s">
        <v>183</v>
      </c>
      <c r="G782" t="s">
        <v>71</v>
      </c>
      <c r="H782" t="s">
        <v>61</v>
      </c>
      <c r="I782">
        <v>9500</v>
      </c>
      <c r="J782">
        <v>12350</v>
      </c>
      <c r="K782">
        <v>2</v>
      </c>
      <c r="L782">
        <v>19000</v>
      </c>
      <c r="M782">
        <v>24700</v>
      </c>
      <c r="N782" t="s">
        <v>42</v>
      </c>
      <c r="O782">
        <f t="shared" si="24"/>
        <v>9750</v>
      </c>
      <c r="P782" s="13">
        <f t="shared" si="25"/>
        <v>2757859</v>
      </c>
      <c r="Q782" s="13">
        <f>SUMIFS(M:M,E:E,Online_eCommerce[[#This Row],[Status]])</f>
        <v>28620410</v>
      </c>
      <c r="R782" s="13">
        <f>SUMIFS(L:L,H:H,Online_eCommerce[[#This Row],[Brand]])</f>
        <v>10950150</v>
      </c>
      <c r="S782" s="13">
        <f>SUMIF(H:H,Online_eCommerce[[#This Row],[Brand]],M:M)</f>
        <v>14235195</v>
      </c>
      <c r="T782" s="13">
        <f>SUMIF(N:N,Online_eCommerce[[#This Row],[Assigned Supervisor]],L:L)</f>
        <v>12261500</v>
      </c>
    </row>
    <row r="783" spans="1:20" hidden="1" x14ac:dyDescent="0.3">
      <c r="A783" t="s">
        <v>1230</v>
      </c>
      <c r="B783" t="s">
        <v>154</v>
      </c>
      <c r="C783" t="s">
        <v>150</v>
      </c>
      <c r="D783" t="s">
        <v>1211</v>
      </c>
      <c r="E783" t="s">
        <v>96</v>
      </c>
      <c r="F783" t="s">
        <v>1231</v>
      </c>
      <c r="G783" t="s">
        <v>77</v>
      </c>
      <c r="H783" t="s">
        <v>142</v>
      </c>
      <c r="I783">
        <v>10000</v>
      </c>
      <c r="J783">
        <v>13000</v>
      </c>
      <c r="K783">
        <v>3</v>
      </c>
      <c r="L783">
        <v>30000</v>
      </c>
      <c r="M783">
        <v>39000</v>
      </c>
      <c r="N783" t="s">
        <v>50</v>
      </c>
      <c r="O783">
        <f t="shared" si="24"/>
        <v>39000</v>
      </c>
      <c r="P783" s="13">
        <f t="shared" si="25"/>
        <v>2154984</v>
      </c>
      <c r="Q783" s="13">
        <f>SUMIFS(M:M,E:E,Online_eCommerce[[#This Row],[Status]])</f>
        <v>21233992</v>
      </c>
      <c r="R783" s="13">
        <f>SUMIFS(L:L,H:H,Online_eCommerce[[#This Row],[Brand]])</f>
        <v>6192500</v>
      </c>
      <c r="S783" s="13">
        <f>SUMIF(H:H,Online_eCommerce[[#This Row],[Brand]],M:M)</f>
        <v>8050250</v>
      </c>
      <c r="T783" s="13">
        <f>SUMIF(N:N,Online_eCommerce[[#This Row],[Assigned Supervisor]],L:L)</f>
        <v>12100590</v>
      </c>
    </row>
    <row r="784" spans="1:20" hidden="1" x14ac:dyDescent="0.3">
      <c r="A784" t="s">
        <v>1232</v>
      </c>
      <c r="B784" t="s">
        <v>154</v>
      </c>
      <c r="C784" t="s">
        <v>155</v>
      </c>
      <c r="D784" t="s">
        <v>1211</v>
      </c>
      <c r="E784" t="s">
        <v>18</v>
      </c>
      <c r="F784" t="s">
        <v>1233</v>
      </c>
      <c r="G784" t="s">
        <v>20</v>
      </c>
      <c r="H784" t="s">
        <v>21</v>
      </c>
      <c r="I784">
        <v>6500</v>
      </c>
      <c r="J784">
        <v>8450</v>
      </c>
      <c r="K784">
        <v>4</v>
      </c>
      <c r="L784">
        <v>26000</v>
      </c>
      <c r="M784">
        <v>33800</v>
      </c>
      <c r="N784" t="s">
        <v>56</v>
      </c>
      <c r="O784">
        <f t="shared" si="24"/>
        <v>8450</v>
      </c>
      <c r="P784" s="13">
        <f t="shared" si="25"/>
        <v>2753348</v>
      </c>
      <c r="Q784" s="13">
        <f>SUMIFS(M:M,E:E,Online_eCommerce[[#This Row],[Status]])</f>
        <v>28340455</v>
      </c>
      <c r="R784" s="13">
        <f>SUMIFS(L:L,H:H,Online_eCommerce[[#This Row],[Brand]])</f>
        <v>12435650</v>
      </c>
      <c r="S784" s="13">
        <f>SUMIF(H:H,Online_eCommerce[[#This Row],[Brand]],M:M)</f>
        <v>16166345</v>
      </c>
      <c r="T784" s="13">
        <f>SUMIF(N:N,Online_eCommerce[[#This Row],[Assigned Supervisor]],L:L)</f>
        <v>11733610</v>
      </c>
    </row>
    <row r="785" spans="1:20" hidden="1" x14ac:dyDescent="0.3">
      <c r="A785" t="s">
        <v>1234</v>
      </c>
      <c r="B785" t="s">
        <v>154</v>
      </c>
      <c r="C785" t="s">
        <v>160</v>
      </c>
      <c r="D785" t="s">
        <v>1211</v>
      </c>
      <c r="E785" t="s">
        <v>161</v>
      </c>
      <c r="F785" t="s">
        <v>1235</v>
      </c>
      <c r="G785" t="s">
        <v>26</v>
      </c>
      <c r="H785" t="s">
        <v>27</v>
      </c>
      <c r="I785">
        <v>8500</v>
      </c>
      <c r="J785">
        <v>11050</v>
      </c>
      <c r="K785">
        <v>3</v>
      </c>
      <c r="L785">
        <v>25500</v>
      </c>
      <c r="M785">
        <v>33150</v>
      </c>
      <c r="N785" t="s">
        <v>22</v>
      </c>
      <c r="O785">
        <f t="shared" si="24"/>
        <v>33150</v>
      </c>
      <c r="P785" s="13">
        <f t="shared" si="25"/>
        <v>2303483</v>
      </c>
      <c r="Q785" s="13">
        <f>SUMIFS(M:M,E:E,Online_eCommerce[[#This Row],[Status]])</f>
        <v>21103186</v>
      </c>
      <c r="R785" s="13">
        <f>SUMIFS(L:L,H:H,Online_eCommerce[[#This Row],[Brand]])</f>
        <v>14431000</v>
      </c>
      <c r="S785" s="13">
        <f>SUMIF(H:H,Online_eCommerce[[#This Row],[Brand]],M:M)</f>
        <v>18760300</v>
      </c>
      <c r="T785" s="13">
        <f>SUMIF(N:N,Online_eCommerce[[#This Row],[Assigned Supervisor]],L:L)</f>
        <v>13693220</v>
      </c>
    </row>
    <row r="786" spans="1:20" x14ac:dyDescent="0.3">
      <c r="A786" t="s">
        <v>1236</v>
      </c>
      <c r="B786" t="s">
        <v>154</v>
      </c>
      <c r="C786" t="s">
        <v>165</v>
      </c>
      <c r="D786" t="s">
        <v>1211</v>
      </c>
      <c r="E786" t="s">
        <v>46</v>
      </c>
      <c r="F786" t="s">
        <v>32</v>
      </c>
      <c r="G786" t="s">
        <v>33</v>
      </c>
      <c r="H786" t="s">
        <v>34</v>
      </c>
      <c r="I786">
        <v>7000</v>
      </c>
      <c r="J786">
        <v>9100</v>
      </c>
      <c r="K786">
        <v>1</v>
      </c>
      <c r="L786">
        <v>7000</v>
      </c>
      <c r="M786">
        <v>9100</v>
      </c>
      <c r="N786" t="s">
        <v>28</v>
      </c>
      <c r="O786">
        <f t="shared" si="24"/>
        <v>18200</v>
      </c>
      <c r="P786" s="13">
        <f t="shared" si="25"/>
        <v>2674087</v>
      </c>
      <c r="Q786" s="13">
        <f>SUMIFS(M:M,E:E,Online_eCommerce[[#This Row],[Status]])</f>
        <v>28620410</v>
      </c>
      <c r="R786" s="13">
        <f>SUMIFS(L:L,H:H,Online_eCommerce[[#This Row],[Brand]])</f>
        <v>10087000</v>
      </c>
      <c r="S786" s="13">
        <f>SUMIF(H:H,Online_eCommerce[[#This Row],[Brand]],M:M)</f>
        <v>13113100</v>
      </c>
      <c r="T786" s="13">
        <f>SUMIF(N:N,Online_eCommerce[[#This Row],[Assigned Supervisor]],L:L)</f>
        <v>12220830</v>
      </c>
    </row>
    <row r="787" spans="1:20" hidden="1" x14ac:dyDescent="0.3">
      <c r="A787" t="s">
        <v>1237</v>
      </c>
      <c r="B787" t="s">
        <v>154</v>
      </c>
      <c r="C787" t="s">
        <v>168</v>
      </c>
      <c r="D787" t="s">
        <v>1211</v>
      </c>
      <c r="E787" t="s">
        <v>96</v>
      </c>
      <c r="F787" t="s">
        <v>1238</v>
      </c>
      <c r="G787" t="s">
        <v>256</v>
      </c>
      <c r="H787" t="s">
        <v>41</v>
      </c>
      <c r="I787">
        <v>6550</v>
      </c>
      <c r="J787">
        <v>8515</v>
      </c>
      <c r="K787">
        <v>1</v>
      </c>
      <c r="L787">
        <v>6550</v>
      </c>
      <c r="M787">
        <v>8515</v>
      </c>
      <c r="N787" t="s">
        <v>35</v>
      </c>
      <c r="O787">
        <f t="shared" si="24"/>
        <v>9100</v>
      </c>
      <c r="P787" s="13">
        <f t="shared" si="25"/>
        <v>1937780</v>
      </c>
      <c r="Q787" s="13">
        <f>SUMIFS(M:M,E:E,Online_eCommerce[[#This Row],[Status]])</f>
        <v>21233992</v>
      </c>
      <c r="R787" s="13">
        <f>SUMIFS(L:L,H:H,Online_eCommerce[[#This Row],[Brand]])</f>
        <v>4260400</v>
      </c>
      <c r="S787" s="13">
        <f>SUMIF(H:H,Online_eCommerce[[#This Row],[Brand]],M:M)</f>
        <v>5538520</v>
      </c>
      <c r="T787" s="13">
        <f>SUMIF(N:N,Online_eCommerce[[#This Row],[Assigned Supervisor]],L:L)</f>
        <v>14373360</v>
      </c>
    </row>
    <row r="788" spans="1:20" hidden="1" x14ac:dyDescent="0.3">
      <c r="A788" t="s">
        <v>1239</v>
      </c>
      <c r="B788" t="s">
        <v>154</v>
      </c>
      <c r="C788" t="s">
        <v>172</v>
      </c>
      <c r="D788" t="s">
        <v>1211</v>
      </c>
      <c r="E788" t="s">
        <v>18</v>
      </c>
      <c r="F788" t="s">
        <v>47</v>
      </c>
      <c r="G788" t="s">
        <v>259</v>
      </c>
      <c r="H788" t="s">
        <v>49</v>
      </c>
      <c r="I788">
        <v>7650</v>
      </c>
      <c r="J788">
        <v>9945</v>
      </c>
      <c r="K788">
        <v>4</v>
      </c>
      <c r="L788">
        <v>30600</v>
      </c>
      <c r="M788">
        <v>39780</v>
      </c>
      <c r="N788" t="s">
        <v>42</v>
      </c>
      <c r="O788">
        <f t="shared" si="24"/>
        <v>11700</v>
      </c>
      <c r="P788" s="13">
        <f t="shared" si="25"/>
        <v>2640274</v>
      </c>
      <c r="Q788" s="13">
        <f>SUMIFS(M:M,E:E,Online_eCommerce[[#This Row],[Status]])</f>
        <v>28340455</v>
      </c>
      <c r="R788" s="13">
        <f>SUMIFS(L:L,H:H,Online_eCommerce[[#This Row],[Brand]])</f>
        <v>4528350</v>
      </c>
      <c r="S788" s="13">
        <f>SUMIF(H:H,Online_eCommerce[[#This Row],[Brand]],M:M)</f>
        <v>5886855</v>
      </c>
      <c r="T788" s="13">
        <f>SUMIF(N:N,Online_eCommerce[[#This Row],[Assigned Supervisor]],L:L)</f>
        <v>12261500</v>
      </c>
    </row>
    <row r="789" spans="1:20" hidden="1" x14ac:dyDescent="0.3">
      <c r="A789" t="s">
        <v>1240</v>
      </c>
      <c r="B789" t="s">
        <v>154</v>
      </c>
      <c r="C789" t="s">
        <v>177</v>
      </c>
      <c r="D789" t="s">
        <v>1211</v>
      </c>
      <c r="E789" t="s">
        <v>161</v>
      </c>
      <c r="F789" t="s">
        <v>53</v>
      </c>
      <c r="G789" t="s">
        <v>54</v>
      </c>
      <c r="H789" t="s">
        <v>55</v>
      </c>
      <c r="I789">
        <v>1150</v>
      </c>
      <c r="J789">
        <v>1495</v>
      </c>
      <c r="K789">
        <v>4</v>
      </c>
      <c r="L789">
        <v>4600</v>
      </c>
      <c r="M789">
        <v>5980</v>
      </c>
      <c r="N789" t="s">
        <v>50</v>
      </c>
      <c r="O789">
        <f t="shared" si="24"/>
        <v>2990</v>
      </c>
      <c r="P789" s="13">
        <f t="shared" si="25"/>
        <v>1863810</v>
      </c>
      <c r="Q789" s="13">
        <f>SUMIFS(M:M,E:E,Online_eCommerce[[#This Row],[Status]])</f>
        <v>21103186</v>
      </c>
      <c r="R789" s="13">
        <f>SUMIFS(L:L,H:H,Online_eCommerce[[#This Row],[Brand]])</f>
        <v>2267380</v>
      </c>
      <c r="S789" s="13">
        <f>SUMIF(H:H,Online_eCommerce[[#This Row],[Brand]],M:M)</f>
        <v>2947594</v>
      </c>
      <c r="T789" s="13">
        <f>SUMIF(N:N,Online_eCommerce[[#This Row],[Assigned Supervisor]],L:L)</f>
        <v>12100590</v>
      </c>
    </row>
    <row r="790" spans="1:20" x14ac:dyDescent="0.3">
      <c r="A790" t="s">
        <v>1241</v>
      </c>
      <c r="B790" t="s">
        <v>154</v>
      </c>
      <c r="C790" t="s">
        <v>181</v>
      </c>
      <c r="D790" t="s">
        <v>1211</v>
      </c>
      <c r="E790" t="s">
        <v>46</v>
      </c>
      <c r="F790" t="s">
        <v>59</v>
      </c>
      <c r="G790" t="s">
        <v>60</v>
      </c>
      <c r="H790" t="s">
        <v>61</v>
      </c>
      <c r="I790">
        <v>850</v>
      </c>
      <c r="J790">
        <v>1105</v>
      </c>
      <c r="K790">
        <v>4</v>
      </c>
      <c r="L790">
        <v>3400</v>
      </c>
      <c r="M790">
        <v>4420</v>
      </c>
      <c r="N790" t="s">
        <v>56</v>
      </c>
      <c r="O790">
        <f t="shared" si="24"/>
        <v>3315</v>
      </c>
      <c r="P790" s="13">
        <f t="shared" si="25"/>
        <v>2577458</v>
      </c>
      <c r="Q790" s="13">
        <f>SUMIFS(M:M,E:E,Online_eCommerce[[#This Row],[Status]])</f>
        <v>28620410</v>
      </c>
      <c r="R790" s="13">
        <f>SUMIFS(L:L,H:H,Online_eCommerce[[#This Row],[Brand]])</f>
        <v>10950150</v>
      </c>
      <c r="S790" s="13">
        <f>SUMIF(H:H,Online_eCommerce[[#This Row],[Brand]],M:M)</f>
        <v>14235195</v>
      </c>
      <c r="T790" s="13">
        <f>SUMIF(N:N,Online_eCommerce[[#This Row],[Assigned Supervisor]],L:L)</f>
        <v>11733610</v>
      </c>
    </row>
    <row r="791" spans="1:20" hidden="1" x14ac:dyDescent="0.3">
      <c r="A791" t="s">
        <v>1242</v>
      </c>
      <c r="B791" t="s">
        <v>154</v>
      </c>
      <c r="C791" t="s">
        <v>185</v>
      </c>
      <c r="D791" t="s">
        <v>1211</v>
      </c>
      <c r="E791" t="s">
        <v>96</v>
      </c>
      <c r="F791" t="s">
        <v>65</v>
      </c>
      <c r="G791" t="s">
        <v>66</v>
      </c>
      <c r="H791" t="s">
        <v>21</v>
      </c>
      <c r="I791">
        <v>650</v>
      </c>
      <c r="J791">
        <v>845</v>
      </c>
      <c r="K791">
        <v>3</v>
      </c>
      <c r="L791">
        <v>1950</v>
      </c>
      <c r="M791">
        <v>2535</v>
      </c>
      <c r="N791" t="s">
        <v>22</v>
      </c>
      <c r="O791">
        <f t="shared" si="24"/>
        <v>1690</v>
      </c>
      <c r="P791" s="13">
        <f t="shared" si="25"/>
        <v>2091596</v>
      </c>
      <c r="Q791" s="13">
        <f>SUMIFS(M:M,E:E,Online_eCommerce[[#This Row],[Status]])</f>
        <v>21233992</v>
      </c>
      <c r="R791" s="13">
        <f>SUMIFS(L:L,H:H,Online_eCommerce[[#This Row],[Brand]])</f>
        <v>12435650</v>
      </c>
      <c r="S791" s="13">
        <f>SUMIF(H:H,Online_eCommerce[[#This Row],[Brand]],M:M)</f>
        <v>16166345</v>
      </c>
      <c r="T791" s="13">
        <f>SUMIF(N:N,Online_eCommerce[[#This Row],[Assigned Supervisor]],L:L)</f>
        <v>13693220</v>
      </c>
    </row>
    <row r="792" spans="1:20" hidden="1" x14ac:dyDescent="0.3">
      <c r="A792" t="s">
        <v>1243</v>
      </c>
      <c r="B792" t="s">
        <v>154</v>
      </c>
      <c r="C792" t="s">
        <v>189</v>
      </c>
      <c r="D792" t="s">
        <v>1211</v>
      </c>
      <c r="E792" t="s">
        <v>18</v>
      </c>
      <c r="F792" t="s">
        <v>70</v>
      </c>
      <c r="G792" t="s">
        <v>71</v>
      </c>
      <c r="H792" t="s">
        <v>61</v>
      </c>
      <c r="I792">
        <v>7500</v>
      </c>
      <c r="J792">
        <v>9750</v>
      </c>
      <c r="K792">
        <v>4</v>
      </c>
      <c r="L792">
        <v>30000</v>
      </c>
      <c r="M792">
        <v>39000</v>
      </c>
      <c r="N792" t="s">
        <v>28</v>
      </c>
      <c r="O792">
        <f t="shared" si="24"/>
        <v>9750</v>
      </c>
      <c r="P792" s="13">
        <f t="shared" si="25"/>
        <v>2740777</v>
      </c>
      <c r="Q792" s="13">
        <f>SUMIFS(M:M,E:E,Online_eCommerce[[#This Row],[Status]])</f>
        <v>28340455</v>
      </c>
      <c r="R792" s="13">
        <f>SUMIFS(L:L,H:H,Online_eCommerce[[#This Row],[Brand]])</f>
        <v>10950150</v>
      </c>
      <c r="S792" s="13">
        <f>SUMIF(H:H,Online_eCommerce[[#This Row],[Brand]],M:M)</f>
        <v>14235195</v>
      </c>
      <c r="T792" s="13">
        <f>SUMIF(N:N,Online_eCommerce[[#This Row],[Assigned Supervisor]],L:L)</f>
        <v>12220830</v>
      </c>
    </row>
    <row r="793" spans="1:20" hidden="1" x14ac:dyDescent="0.3">
      <c r="A793" t="s">
        <v>1244</v>
      </c>
      <c r="B793" t="s">
        <v>154</v>
      </c>
      <c r="C793" t="s">
        <v>193</v>
      </c>
      <c r="D793" t="s">
        <v>1211</v>
      </c>
      <c r="E793" t="s">
        <v>161</v>
      </c>
      <c r="F793" t="s">
        <v>1231</v>
      </c>
      <c r="G793" t="s">
        <v>77</v>
      </c>
      <c r="H793" t="s">
        <v>78</v>
      </c>
      <c r="I793">
        <v>10000</v>
      </c>
      <c r="J793">
        <v>13000</v>
      </c>
      <c r="K793">
        <v>3</v>
      </c>
      <c r="L793">
        <v>30000</v>
      </c>
      <c r="M793">
        <v>39000</v>
      </c>
      <c r="N793" t="s">
        <v>35</v>
      </c>
      <c r="O793">
        <f t="shared" si="24"/>
        <v>39000</v>
      </c>
      <c r="P793" s="13">
        <f t="shared" si="25"/>
        <v>2074774</v>
      </c>
      <c r="Q793" s="13">
        <f>SUMIFS(M:M,E:E,Online_eCommerce[[#This Row],[Status]])</f>
        <v>21103186</v>
      </c>
      <c r="R793" s="13">
        <f>SUMIFS(L:L,H:H,Online_eCommerce[[#This Row],[Brand]])</f>
        <v>3720000</v>
      </c>
      <c r="S793" s="13">
        <f>SUMIF(H:H,Online_eCommerce[[#This Row],[Brand]],M:M)</f>
        <v>4836000</v>
      </c>
      <c r="T793" s="13">
        <f>SUMIF(N:N,Online_eCommerce[[#This Row],[Assigned Supervisor]],L:L)</f>
        <v>14373360</v>
      </c>
    </row>
    <row r="794" spans="1:20" x14ac:dyDescent="0.3">
      <c r="A794" t="s">
        <v>1245</v>
      </c>
      <c r="B794" t="s">
        <v>154</v>
      </c>
      <c r="C794" t="s">
        <v>197</v>
      </c>
      <c r="D794" t="s">
        <v>1211</v>
      </c>
      <c r="E794" t="s">
        <v>46</v>
      </c>
      <c r="F794" t="s">
        <v>1246</v>
      </c>
      <c r="G794" t="s">
        <v>20</v>
      </c>
      <c r="H794" t="s">
        <v>21</v>
      </c>
      <c r="I794">
        <v>10500</v>
      </c>
      <c r="J794">
        <v>13650</v>
      </c>
      <c r="K794">
        <v>2</v>
      </c>
      <c r="L794">
        <v>21000</v>
      </c>
      <c r="M794">
        <v>27300</v>
      </c>
      <c r="N794" t="s">
        <v>42</v>
      </c>
      <c r="O794">
        <f t="shared" si="24"/>
        <v>8450</v>
      </c>
      <c r="P794" s="13">
        <f t="shared" si="25"/>
        <v>2829840</v>
      </c>
      <c r="Q794" s="13">
        <f>SUMIFS(M:M,E:E,Online_eCommerce[[#This Row],[Status]])</f>
        <v>28620410</v>
      </c>
      <c r="R794" s="13">
        <f>SUMIFS(L:L,H:H,Online_eCommerce[[#This Row],[Brand]])</f>
        <v>12435650</v>
      </c>
      <c r="S794" s="13">
        <f>SUMIF(H:H,Online_eCommerce[[#This Row],[Brand]],M:M)</f>
        <v>16166345</v>
      </c>
      <c r="T794" s="13">
        <f>SUMIF(N:N,Online_eCommerce[[#This Row],[Assigned Supervisor]],L:L)</f>
        <v>12261500</v>
      </c>
    </row>
    <row r="795" spans="1:20" hidden="1" x14ac:dyDescent="0.3">
      <c r="A795" t="s">
        <v>1247</v>
      </c>
      <c r="B795" t="s">
        <v>154</v>
      </c>
      <c r="C795" t="s">
        <v>199</v>
      </c>
      <c r="D795" t="s">
        <v>1211</v>
      </c>
      <c r="E795" t="s">
        <v>96</v>
      </c>
      <c r="F795" t="s">
        <v>88</v>
      </c>
      <c r="G795" t="s">
        <v>26</v>
      </c>
      <c r="H795" t="s">
        <v>27</v>
      </c>
      <c r="I795">
        <v>8500</v>
      </c>
      <c r="J795">
        <v>11050</v>
      </c>
      <c r="K795">
        <v>1</v>
      </c>
      <c r="L795">
        <v>8500</v>
      </c>
      <c r="M795">
        <v>11050</v>
      </c>
      <c r="N795" t="s">
        <v>50</v>
      </c>
      <c r="O795">
        <f t="shared" si="24"/>
        <v>33150</v>
      </c>
      <c r="P795" s="13">
        <f t="shared" si="25"/>
        <v>1947361</v>
      </c>
      <c r="Q795" s="13">
        <f>SUMIFS(M:M,E:E,Online_eCommerce[[#This Row],[Status]])</f>
        <v>21233992</v>
      </c>
      <c r="R795" s="13">
        <f>SUMIFS(L:L,H:H,Online_eCommerce[[#This Row],[Brand]])</f>
        <v>14431000</v>
      </c>
      <c r="S795" s="13">
        <f>SUMIF(H:H,Online_eCommerce[[#This Row],[Brand]],M:M)</f>
        <v>18760300</v>
      </c>
      <c r="T795" s="13">
        <f>SUMIF(N:N,Online_eCommerce[[#This Row],[Assigned Supervisor]],L:L)</f>
        <v>12100590</v>
      </c>
    </row>
    <row r="796" spans="1:20" hidden="1" x14ac:dyDescent="0.3">
      <c r="A796" t="s">
        <v>1248</v>
      </c>
      <c r="B796" t="s">
        <v>154</v>
      </c>
      <c r="C796" t="s">
        <v>203</v>
      </c>
      <c r="D796" t="s">
        <v>1211</v>
      </c>
      <c r="E796" t="s">
        <v>18</v>
      </c>
      <c r="F796" t="s">
        <v>32</v>
      </c>
      <c r="G796" t="s">
        <v>33</v>
      </c>
      <c r="H796" t="s">
        <v>34</v>
      </c>
      <c r="I796">
        <v>7000</v>
      </c>
      <c r="J796">
        <v>9100</v>
      </c>
      <c r="K796">
        <v>1</v>
      </c>
      <c r="L796">
        <v>7000</v>
      </c>
      <c r="M796">
        <v>9100</v>
      </c>
      <c r="N796" t="s">
        <v>56</v>
      </c>
      <c r="O796">
        <f t="shared" si="24"/>
        <v>18200</v>
      </c>
      <c r="P796" s="13">
        <f t="shared" si="25"/>
        <v>2559635</v>
      </c>
      <c r="Q796" s="13">
        <f>SUMIFS(M:M,E:E,Online_eCommerce[[#This Row],[Status]])</f>
        <v>28340455</v>
      </c>
      <c r="R796" s="13">
        <f>SUMIFS(L:L,H:H,Online_eCommerce[[#This Row],[Brand]])</f>
        <v>10087000</v>
      </c>
      <c r="S796" s="13">
        <f>SUMIF(H:H,Online_eCommerce[[#This Row],[Brand]],M:M)</f>
        <v>13113100</v>
      </c>
      <c r="T796" s="13">
        <f>SUMIF(N:N,Online_eCommerce[[#This Row],[Assigned Supervisor]],L:L)</f>
        <v>11733610</v>
      </c>
    </row>
    <row r="797" spans="1:20" hidden="1" x14ac:dyDescent="0.3">
      <c r="A797" t="s">
        <v>1249</v>
      </c>
      <c r="B797" t="s">
        <v>154</v>
      </c>
      <c r="C797" t="s">
        <v>205</v>
      </c>
      <c r="D797" t="s">
        <v>1211</v>
      </c>
      <c r="E797" t="s">
        <v>161</v>
      </c>
      <c r="F797" t="s">
        <v>1250</v>
      </c>
      <c r="G797" t="s">
        <v>256</v>
      </c>
      <c r="H797" t="s">
        <v>41</v>
      </c>
      <c r="I797">
        <v>1680</v>
      </c>
      <c r="J797">
        <v>2184</v>
      </c>
      <c r="K797">
        <v>4</v>
      </c>
      <c r="L797">
        <v>6720</v>
      </c>
      <c r="M797">
        <v>8736</v>
      </c>
      <c r="N797" t="s">
        <v>22</v>
      </c>
      <c r="O797">
        <f t="shared" si="24"/>
        <v>9100</v>
      </c>
      <c r="P797" s="13">
        <f t="shared" si="25"/>
        <v>1983254</v>
      </c>
      <c r="Q797" s="13">
        <f>SUMIFS(M:M,E:E,Online_eCommerce[[#This Row],[Status]])</f>
        <v>21103186</v>
      </c>
      <c r="R797" s="13">
        <f>SUMIFS(L:L,H:H,Online_eCommerce[[#This Row],[Brand]])</f>
        <v>4260400</v>
      </c>
      <c r="S797" s="13">
        <f>SUMIF(H:H,Online_eCommerce[[#This Row],[Brand]],M:M)</f>
        <v>5538520</v>
      </c>
      <c r="T797" s="13">
        <f>SUMIF(N:N,Online_eCommerce[[#This Row],[Assigned Supervisor]],L:L)</f>
        <v>13693220</v>
      </c>
    </row>
    <row r="798" spans="1:20" x14ac:dyDescent="0.3">
      <c r="A798" t="s">
        <v>1251</v>
      </c>
      <c r="B798" t="s">
        <v>154</v>
      </c>
      <c r="C798" t="s">
        <v>208</v>
      </c>
      <c r="D798" t="s">
        <v>1211</v>
      </c>
      <c r="E798" t="s">
        <v>46</v>
      </c>
      <c r="F798" t="s">
        <v>101</v>
      </c>
      <c r="G798" t="s">
        <v>259</v>
      </c>
      <c r="H798" t="s">
        <v>102</v>
      </c>
      <c r="I798">
        <v>6540</v>
      </c>
      <c r="J798">
        <v>8502</v>
      </c>
      <c r="K798">
        <v>3</v>
      </c>
      <c r="L798">
        <v>19620</v>
      </c>
      <c r="M798">
        <v>25506</v>
      </c>
      <c r="N798" t="s">
        <v>28</v>
      </c>
      <c r="O798">
        <f t="shared" si="24"/>
        <v>11700</v>
      </c>
      <c r="P798" s="13">
        <f t="shared" si="25"/>
        <v>2746575</v>
      </c>
      <c r="Q798" s="13">
        <f>SUMIFS(M:M,E:E,Online_eCommerce[[#This Row],[Status]])</f>
        <v>28620410</v>
      </c>
      <c r="R798" s="13">
        <f>SUMIFS(L:L,H:H,Online_eCommerce[[#This Row],[Brand]])</f>
        <v>2465580</v>
      </c>
      <c r="S798" s="13">
        <f>SUMIF(H:H,Online_eCommerce[[#This Row],[Brand]],M:M)</f>
        <v>3205254</v>
      </c>
      <c r="T798" s="13">
        <f>SUMIF(N:N,Online_eCommerce[[#This Row],[Assigned Supervisor]],L:L)</f>
        <v>12220830</v>
      </c>
    </row>
    <row r="799" spans="1:20" hidden="1" x14ac:dyDescent="0.3">
      <c r="A799" t="s">
        <v>1252</v>
      </c>
      <c r="B799" t="s">
        <v>154</v>
      </c>
      <c r="C799" t="s">
        <v>211</v>
      </c>
      <c r="D799" t="s">
        <v>1211</v>
      </c>
      <c r="E799" t="s">
        <v>96</v>
      </c>
      <c r="F799" t="s">
        <v>107</v>
      </c>
      <c r="G799" t="s">
        <v>54</v>
      </c>
      <c r="H799" t="s">
        <v>55</v>
      </c>
      <c r="I799">
        <v>2680</v>
      </c>
      <c r="J799">
        <v>3484</v>
      </c>
      <c r="K799">
        <v>1</v>
      </c>
      <c r="L799">
        <v>2680</v>
      </c>
      <c r="M799">
        <v>3484</v>
      </c>
      <c r="N799" t="s">
        <v>35</v>
      </c>
      <c r="O799">
        <f t="shared" si="24"/>
        <v>2990</v>
      </c>
      <c r="P799" s="13">
        <f t="shared" si="25"/>
        <v>1809847</v>
      </c>
      <c r="Q799" s="13">
        <f>SUMIFS(M:M,E:E,Online_eCommerce[[#This Row],[Status]])</f>
        <v>21233992</v>
      </c>
      <c r="R799" s="13">
        <f>SUMIFS(L:L,H:H,Online_eCommerce[[#This Row],[Brand]])</f>
        <v>2267380</v>
      </c>
      <c r="S799" s="13">
        <f>SUMIF(H:H,Online_eCommerce[[#This Row],[Brand]],M:M)</f>
        <v>2947594</v>
      </c>
      <c r="T799" s="13">
        <f>SUMIF(N:N,Online_eCommerce[[#This Row],[Assigned Supervisor]],L:L)</f>
        <v>14373360</v>
      </c>
    </row>
    <row r="800" spans="1:20" hidden="1" x14ac:dyDescent="0.3">
      <c r="A800" t="s">
        <v>1253</v>
      </c>
      <c r="B800" t="s">
        <v>154</v>
      </c>
      <c r="C800" t="s">
        <v>16</v>
      </c>
      <c r="D800" t="s">
        <v>1211</v>
      </c>
      <c r="E800" t="s">
        <v>18</v>
      </c>
      <c r="F800" t="s">
        <v>112</v>
      </c>
      <c r="G800" t="s">
        <v>71</v>
      </c>
      <c r="H800" t="s">
        <v>21</v>
      </c>
      <c r="I800">
        <v>8250</v>
      </c>
      <c r="J800">
        <v>10725</v>
      </c>
      <c r="K800">
        <v>3</v>
      </c>
      <c r="L800">
        <v>24750</v>
      </c>
      <c r="M800">
        <v>32175</v>
      </c>
      <c r="N800" t="s">
        <v>42</v>
      </c>
      <c r="O800">
        <f t="shared" si="24"/>
        <v>9750</v>
      </c>
      <c r="P800" s="13">
        <f t="shared" si="25"/>
        <v>2751814</v>
      </c>
      <c r="Q800" s="13">
        <f>SUMIFS(M:M,E:E,Online_eCommerce[[#This Row],[Status]])</f>
        <v>28340455</v>
      </c>
      <c r="R800" s="13">
        <f>SUMIFS(L:L,H:H,Online_eCommerce[[#This Row],[Brand]])</f>
        <v>12435650</v>
      </c>
      <c r="S800" s="13">
        <f>SUMIF(H:H,Online_eCommerce[[#This Row],[Brand]],M:M)</f>
        <v>16166345</v>
      </c>
      <c r="T800" s="13">
        <f>SUMIF(N:N,Online_eCommerce[[#This Row],[Assigned Supervisor]],L:L)</f>
        <v>12261500</v>
      </c>
    </row>
    <row r="801" spans="1:20" hidden="1" x14ac:dyDescent="0.3">
      <c r="A801" t="s">
        <v>1254</v>
      </c>
      <c r="B801" t="s">
        <v>154</v>
      </c>
      <c r="C801" t="s">
        <v>24</v>
      </c>
      <c r="D801" t="s">
        <v>1211</v>
      </c>
      <c r="E801" t="s">
        <v>161</v>
      </c>
      <c r="F801" t="s">
        <v>886</v>
      </c>
      <c r="G801" t="s">
        <v>40</v>
      </c>
      <c r="H801" t="s">
        <v>21</v>
      </c>
      <c r="I801">
        <v>2650</v>
      </c>
      <c r="J801">
        <v>3445</v>
      </c>
      <c r="K801">
        <v>2</v>
      </c>
      <c r="L801">
        <v>5300</v>
      </c>
      <c r="M801">
        <v>6890</v>
      </c>
      <c r="N801" t="s">
        <v>50</v>
      </c>
      <c r="O801">
        <f t="shared" si="24"/>
        <v>25545</v>
      </c>
      <c r="P801" s="13">
        <f t="shared" si="25"/>
        <v>2009540</v>
      </c>
      <c r="Q801" s="13">
        <f>SUMIFS(M:M,E:E,Online_eCommerce[[#This Row],[Status]])</f>
        <v>21103186</v>
      </c>
      <c r="R801" s="13">
        <f>SUMIFS(L:L,H:H,Online_eCommerce[[#This Row],[Brand]])</f>
        <v>12435650</v>
      </c>
      <c r="S801" s="13">
        <f>SUMIF(H:H,Online_eCommerce[[#This Row],[Brand]],M:M)</f>
        <v>16166345</v>
      </c>
      <c r="T801" s="13">
        <f>SUMIF(N:N,Online_eCommerce[[#This Row],[Assigned Supervisor]],L:L)</f>
        <v>12100590</v>
      </c>
    </row>
    <row r="802" spans="1:20" x14ac:dyDescent="0.3">
      <c r="A802" t="s">
        <v>1255</v>
      </c>
      <c r="B802" t="s">
        <v>154</v>
      </c>
      <c r="C802" t="s">
        <v>31</v>
      </c>
      <c r="D802" t="s">
        <v>1211</v>
      </c>
      <c r="E802" t="s">
        <v>46</v>
      </c>
      <c r="F802" t="s">
        <v>121</v>
      </c>
      <c r="G802" t="s">
        <v>71</v>
      </c>
      <c r="H802" t="s">
        <v>122</v>
      </c>
      <c r="I802">
        <v>12550</v>
      </c>
      <c r="J802">
        <v>16315</v>
      </c>
      <c r="K802">
        <v>4</v>
      </c>
      <c r="L802">
        <v>50200</v>
      </c>
      <c r="M802">
        <v>65260</v>
      </c>
      <c r="N802" t="s">
        <v>56</v>
      </c>
      <c r="O802">
        <f t="shared" si="24"/>
        <v>9750</v>
      </c>
      <c r="P802" s="13">
        <f t="shared" si="25"/>
        <v>2865746</v>
      </c>
      <c r="Q802" s="13">
        <f>SUMIFS(M:M,E:E,Online_eCommerce[[#This Row],[Status]])</f>
        <v>28620410</v>
      </c>
      <c r="R802" s="13">
        <f>SUMIFS(L:L,H:H,Online_eCommerce[[#This Row],[Brand]])</f>
        <v>5045100</v>
      </c>
      <c r="S802" s="13">
        <f>SUMIF(H:H,Online_eCommerce[[#This Row],[Brand]],M:M)</f>
        <v>6558630</v>
      </c>
      <c r="T802" s="13">
        <f>SUMIF(N:N,Online_eCommerce[[#This Row],[Assigned Supervisor]],L:L)</f>
        <v>11733610</v>
      </c>
    </row>
    <row r="803" spans="1:20" hidden="1" x14ac:dyDescent="0.3">
      <c r="A803" t="s">
        <v>1256</v>
      </c>
      <c r="B803" t="s">
        <v>154</v>
      </c>
      <c r="C803" t="s">
        <v>38</v>
      </c>
      <c r="D803" t="s">
        <v>1211</v>
      </c>
      <c r="E803" t="s">
        <v>96</v>
      </c>
      <c r="F803" t="s">
        <v>126</v>
      </c>
      <c r="G803" t="s">
        <v>26</v>
      </c>
      <c r="H803" t="s">
        <v>27</v>
      </c>
      <c r="I803">
        <v>14500</v>
      </c>
      <c r="J803">
        <v>18850</v>
      </c>
      <c r="K803">
        <v>3</v>
      </c>
      <c r="L803">
        <v>43500</v>
      </c>
      <c r="M803">
        <v>56550</v>
      </c>
      <c r="N803" t="s">
        <v>22</v>
      </c>
      <c r="O803">
        <f t="shared" si="24"/>
        <v>33150</v>
      </c>
      <c r="P803" s="13">
        <f t="shared" si="25"/>
        <v>1933997</v>
      </c>
      <c r="Q803" s="13">
        <f>SUMIFS(M:M,E:E,Online_eCommerce[[#This Row],[Status]])</f>
        <v>21233992</v>
      </c>
      <c r="R803" s="13">
        <f>SUMIFS(L:L,H:H,Online_eCommerce[[#This Row],[Brand]])</f>
        <v>14431000</v>
      </c>
      <c r="S803" s="13">
        <f>SUMIF(H:H,Online_eCommerce[[#This Row],[Brand]],M:M)</f>
        <v>18760300</v>
      </c>
      <c r="T803" s="13">
        <f>SUMIF(N:N,Online_eCommerce[[#This Row],[Assigned Supervisor]],L:L)</f>
        <v>13693220</v>
      </c>
    </row>
    <row r="804" spans="1:20" hidden="1" x14ac:dyDescent="0.3">
      <c r="A804" t="s">
        <v>1257</v>
      </c>
      <c r="B804" t="s">
        <v>154</v>
      </c>
      <c r="C804" t="s">
        <v>45</v>
      </c>
      <c r="D804" t="s">
        <v>1211</v>
      </c>
      <c r="E804" t="s">
        <v>18</v>
      </c>
      <c r="F804" t="s">
        <v>129</v>
      </c>
      <c r="G804" t="s">
        <v>60</v>
      </c>
      <c r="H804" t="s">
        <v>61</v>
      </c>
      <c r="I804">
        <v>800</v>
      </c>
      <c r="J804">
        <v>1040</v>
      </c>
      <c r="K804">
        <v>1</v>
      </c>
      <c r="L804">
        <v>800</v>
      </c>
      <c r="M804">
        <v>1040</v>
      </c>
      <c r="N804" t="s">
        <v>28</v>
      </c>
      <c r="O804">
        <f t="shared" si="24"/>
        <v>3315</v>
      </c>
      <c r="P804" s="13">
        <f t="shared" si="25"/>
        <v>2842554</v>
      </c>
      <c r="Q804" s="13">
        <f>SUMIFS(M:M,E:E,Online_eCommerce[[#This Row],[Status]])</f>
        <v>28340455</v>
      </c>
      <c r="R804" s="13">
        <f>SUMIFS(L:L,H:H,Online_eCommerce[[#This Row],[Brand]])</f>
        <v>10950150</v>
      </c>
      <c r="S804" s="13">
        <f>SUMIF(H:H,Online_eCommerce[[#This Row],[Brand]],M:M)</f>
        <v>14235195</v>
      </c>
      <c r="T804" s="13">
        <f>SUMIF(N:N,Online_eCommerce[[#This Row],[Assigned Supervisor]],L:L)</f>
        <v>12220830</v>
      </c>
    </row>
    <row r="805" spans="1:20" hidden="1" x14ac:dyDescent="0.3">
      <c r="A805" t="s">
        <v>1258</v>
      </c>
      <c r="B805" t="s">
        <v>154</v>
      </c>
      <c r="C805" t="s">
        <v>52</v>
      </c>
      <c r="D805" t="s">
        <v>1211</v>
      </c>
      <c r="E805" t="s">
        <v>161</v>
      </c>
      <c r="F805" t="s">
        <v>133</v>
      </c>
      <c r="G805" t="s">
        <v>66</v>
      </c>
      <c r="H805" t="s">
        <v>21</v>
      </c>
      <c r="I805">
        <v>600</v>
      </c>
      <c r="J805">
        <v>780</v>
      </c>
      <c r="K805">
        <v>2</v>
      </c>
      <c r="L805">
        <v>1200</v>
      </c>
      <c r="M805">
        <v>1560</v>
      </c>
      <c r="N805" t="s">
        <v>35</v>
      </c>
      <c r="O805">
        <f t="shared" si="24"/>
        <v>1690</v>
      </c>
      <c r="P805" s="13">
        <f t="shared" si="25"/>
        <v>1955044</v>
      </c>
      <c r="Q805" s="13">
        <f>SUMIFS(M:M,E:E,Online_eCommerce[[#This Row],[Status]])</f>
        <v>21103186</v>
      </c>
      <c r="R805" s="13">
        <f>SUMIFS(L:L,H:H,Online_eCommerce[[#This Row],[Brand]])</f>
        <v>12435650</v>
      </c>
      <c r="S805" s="13">
        <f>SUMIF(H:H,Online_eCommerce[[#This Row],[Brand]],M:M)</f>
        <v>16166345</v>
      </c>
      <c r="T805" s="13">
        <f>SUMIF(N:N,Online_eCommerce[[#This Row],[Assigned Supervisor]],L:L)</f>
        <v>14373360</v>
      </c>
    </row>
    <row r="806" spans="1:20" x14ac:dyDescent="0.3">
      <c r="A806" t="s">
        <v>1259</v>
      </c>
      <c r="B806" t="s">
        <v>154</v>
      </c>
      <c r="C806" t="s">
        <v>58</v>
      </c>
      <c r="D806" t="s">
        <v>1211</v>
      </c>
      <c r="E806" t="s">
        <v>46</v>
      </c>
      <c r="F806" t="s">
        <v>137</v>
      </c>
      <c r="G806" t="s">
        <v>71</v>
      </c>
      <c r="H806" t="s">
        <v>61</v>
      </c>
      <c r="I806">
        <v>10500</v>
      </c>
      <c r="J806">
        <v>13650</v>
      </c>
      <c r="K806">
        <v>4</v>
      </c>
      <c r="L806">
        <v>42000</v>
      </c>
      <c r="M806">
        <v>54600</v>
      </c>
      <c r="N806" t="s">
        <v>42</v>
      </c>
      <c r="O806">
        <f t="shared" si="24"/>
        <v>9750</v>
      </c>
      <c r="P806" s="13">
        <f t="shared" si="25"/>
        <v>2629211</v>
      </c>
      <c r="Q806" s="13">
        <f>SUMIFS(M:M,E:E,Online_eCommerce[[#This Row],[Status]])</f>
        <v>28620410</v>
      </c>
      <c r="R806" s="13">
        <f>SUMIFS(L:L,H:H,Online_eCommerce[[#This Row],[Brand]])</f>
        <v>10950150</v>
      </c>
      <c r="S806" s="13">
        <f>SUMIF(H:H,Online_eCommerce[[#This Row],[Brand]],M:M)</f>
        <v>14235195</v>
      </c>
      <c r="T806" s="13">
        <f>SUMIF(N:N,Online_eCommerce[[#This Row],[Assigned Supervisor]],L:L)</f>
        <v>12261500</v>
      </c>
    </row>
    <row r="807" spans="1:20" hidden="1" x14ac:dyDescent="0.3">
      <c r="A807" t="s">
        <v>1260</v>
      </c>
      <c r="B807" t="s">
        <v>154</v>
      </c>
      <c r="C807" t="s">
        <v>63</v>
      </c>
      <c r="D807" t="s">
        <v>1211</v>
      </c>
      <c r="E807" t="s">
        <v>96</v>
      </c>
      <c r="F807" t="s">
        <v>1231</v>
      </c>
      <c r="G807" t="s">
        <v>77</v>
      </c>
      <c r="H807" t="s">
        <v>142</v>
      </c>
      <c r="I807">
        <v>6500</v>
      </c>
      <c r="J807">
        <v>8450</v>
      </c>
      <c r="K807">
        <v>2</v>
      </c>
      <c r="L807">
        <v>13000</v>
      </c>
      <c r="M807">
        <v>16900</v>
      </c>
      <c r="N807" t="s">
        <v>50</v>
      </c>
      <c r="O807">
        <f t="shared" si="24"/>
        <v>39000</v>
      </c>
      <c r="P807" s="13">
        <f t="shared" si="25"/>
        <v>2016131</v>
      </c>
      <c r="Q807" s="13">
        <f>SUMIFS(M:M,E:E,Online_eCommerce[[#This Row],[Status]])</f>
        <v>21233992</v>
      </c>
      <c r="R807" s="13">
        <f>SUMIFS(L:L,H:H,Online_eCommerce[[#This Row],[Brand]])</f>
        <v>6192500</v>
      </c>
      <c r="S807" s="13">
        <f>SUMIF(H:H,Online_eCommerce[[#This Row],[Brand]],M:M)</f>
        <v>8050250</v>
      </c>
      <c r="T807" s="13">
        <f>SUMIF(N:N,Online_eCommerce[[#This Row],[Assigned Supervisor]],L:L)</f>
        <v>12100590</v>
      </c>
    </row>
    <row r="808" spans="1:20" hidden="1" x14ac:dyDescent="0.3">
      <c r="A808" t="s">
        <v>1261</v>
      </c>
      <c r="B808" t="s">
        <v>154</v>
      </c>
      <c r="C808" t="s">
        <v>68</v>
      </c>
      <c r="D808" t="s">
        <v>1211</v>
      </c>
      <c r="E808" t="s">
        <v>18</v>
      </c>
      <c r="F808" t="s">
        <v>1262</v>
      </c>
      <c r="G808" t="s">
        <v>20</v>
      </c>
      <c r="H808" t="s">
        <v>21</v>
      </c>
      <c r="I808">
        <v>4500</v>
      </c>
      <c r="J808">
        <v>5850</v>
      </c>
      <c r="K808">
        <v>2</v>
      </c>
      <c r="L808">
        <v>9000</v>
      </c>
      <c r="M808">
        <v>11700</v>
      </c>
      <c r="N808" t="s">
        <v>56</v>
      </c>
      <c r="O808">
        <f t="shared" si="24"/>
        <v>8450</v>
      </c>
      <c r="P808" s="13">
        <f t="shared" si="25"/>
        <v>2974621</v>
      </c>
      <c r="Q808" s="13">
        <f>SUMIFS(M:M,E:E,Online_eCommerce[[#This Row],[Status]])</f>
        <v>28340455</v>
      </c>
      <c r="R808" s="13">
        <f>SUMIFS(L:L,H:H,Online_eCommerce[[#This Row],[Brand]])</f>
        <v>12435650</v>
      </c>
      <c r="S808" s="13">
        <f>SUMIF(H:H,Online_eCommerce[[#This Row],[Brand]],M:M)</f>
        <v>16166345</v>
      </c>
      <c r="T808" s="13">
        <f>SUMIF(N:N,Online_eCommerce[[#This Row],[Assigned Supervisor]],L:L)</f>
        <v>11733610</v>
      </c>
    </row>
    <row r="809" spans="1:20" hidden="1" x14ac:dyDescent="0.3">
      <c r="A809" t="s">
        <v>1263</v>
      </c>
      <c r="B809" t="s">
        <v>154</v>
      </c>
      <c r="C809" t="s">
        <v>74</v>
      </c>
      <c r="D809" t="s">
        <v>1211</v>
      </c>
      <c r="E809" t="s">
        <v>161</v>
      </c>
      <c r="F809" t="s">
        <v>152</v>
      </c>
      <c r="G809" t="s">
        <v>26</v>
      </c>
      <c r="H809" t="s">
        <v>27</v>
      </c>
      <c r="I809">
        <v>8500</v>
      </c>
      <c r="J809">
        <v>11050</v>
      </c>
      <c r="K809">
        <v>3</v>
      </c>
      <c r="L809">
        <v>25500</v>
      </c>
      <c r="M809">
        <v>33150</v>
      </c>
      <c r="N809" t="s">
        <v>22</v>
      </c>
      <c r="O809">
        <f t="shared" si="24"/>
        <v>33150</v>
      </c>
      <c r="P809" s="13">
        <f t="shared" si="25"/>
        <v>2144701</v>
      </c>
      <c r="Q809" s="13">
        <f>SUMIFS(M:M,E:E,Online_eCommerce[[#This Row],[Status]])</f>
        <v>21103186</v>
      </c>
      <c r="R809" s="13">
        <f>SUMIFS(L:L,H:H,Online_eCommerce[[#This Row],[Brand]])</f>
        <v>14431000</v>
      </c>
      <c r="S809" s="13">
        <f>SUMIF(H:H,Online_eCommerce[[#This Row],[Brand]],M:M)</f>
        <v>18760300</v>
      </c>
      <c r="T809" s="13">
        <f>SUMIF(N:N,Online_eCommerce[[#This Row],[Assigned Supervisor]],L:L)</f>
        <v>13693220</v>
      </c>
    </row>
    <row r="810" spans="1:20" x14ac:dyDescent="0.3">
      <c r="A810" t="s">
        <v>1264</v>
      </c>
      <c r="B810" t="s">
        <v>154</v>
      </c>
      <c r="C810" t="s">
        <v>81</v>
      </c>
      <c r="D810" t="s">
        <v>1211</v>
      </c>
      <c r="E810" t="s">
        <v>46</v>
      </c>
      <c r="F810" t="s">
        <v>157</v>
      </c>
      <c r="G810" t="s">
        <v>33</v>
      </c>
      <c r="H810" t="s">
        <v>34</v>
      </c>
      <c r="I810">
        <v>12500</v>
      </c>
      <c r="J810">
        <v>16250</v>
      </c>
      <c r="K810">
        <v>2</v>
      </c>
      <c r="L810">
        <v>25000</v>
      </c>
      <c r="M810">
        <v>32500</v>
      </c>
      <c r="N810" t="s">
        <v>28</v>
      </c>
      <c r="O810">
        <f t="shared" si="24"/>
        <v>18200</v>
      </c>
      <c r="P810" s="13">
        <f t="shared" si="25"/>
        <v>2595632</v>
      </c>
      <c r="Q810" s="13">
        <f>SUMIFS(M:M,E:E,Online_eCommerce[[#This Row],[Status]])</f>
        <v>28620410</v>
      </c>
      <c r="R810" s="13">
        <f>SUMIFS(L:L,H:H,Online_eCommerce[[#This Row],[Brand]])</f>
        <v>10087000</v>
      </c>
      <c r="S810" s="13">
        <f>SUMIF(H:H,Online_eCommerce[[#This Row],[Brand]],M:M)</f>
        <v>13113100</v>
      </c>
      <c r="T810" s="13">
        <f>SUMIF(N:N,Online_eCommerce[[#This Row],[Assigned Supervisor]],L:L)</f>
        <v>12220830</v>
      </c>
    </row>
    <row r="811" spans="1:20" hidden="1" x14ac:dyDescent="0.3">
      <c r="A811" t="s">
        <v>1265</v>
      </c>
      <c r="B811" t="s">
        <v>154</v>
      </c>
      <c r="C811" t="s">
        <v>86</v>
      </c>
      <c r="D811" t="s">
        <v>1211</v>
      </c>
      <c r="E811" t="s">
        <v>96</v>
      </c>
      <c r="F811" t="s">
        <v>931</v>
      </c>
      <c r="G811" t="s">
        <v>40</v>
      </c>
      <c r="H811" t="s">
        <v>41</v>
      </c>
      <c r="I811">
        <v>3500</v>
      </c>
      <c r="J811">
        <v>4550</v>
      </c>
      <c r="K811">
        <v>3</v>
      </c>
      <c r="L811">
        <v>10500</v>
      </c>
      <c r="M811">
        <v>13650</v>
      </c>
      <c r="N811" t="s">
        <v>35</v>
      </c>
      <c r="O811">
        <f t="shared" si="24"/>
        <v>25545</v>
      </c>
      <c r="P811" s="13">
        <f t="shared" si="25"/>
        <v>1941225</v>
      </c>
      <c r="Q811" s="13">
        <f>SUMIFS(M:M,E:E,Online_eCommerce[[#This Row],[Status]])</f>
        <v>21233992</v>
      </c>
      <c r="R811" s="13">
        <f>SUMIFS(L:L,H:H,Online_eCommerce[[#This Row],[Brand]])</f>
        <v>4260400</v>
      </c>
      <c r="S811" s="13">
        <f>SUMIF(H:H,Online_eCommerce[[#This Row],[Brand]],M:M)</f>
        <v>5538520</v>
      </c>
      <c r="T811" s="13">
        <f>SUMIF(N:N,Online_eCommerce[[#This Row],[Assigned Supervisor]],L:L)</f>
        <v>14373360</v>
      </c>
    </row>
    <row r="812" spans="1:20" hidden="1" x14ac:dyDescent="0.3">
      <c r="A812" t="s">
        <v>1266</v>
      </c>
      <c r="B812" t="s">
        <v>154</v>
      </c>
      <c r="C812" t="s">
        <v>91</v>
      </c>
      <c r="D812" t="s">
        <v>1211</v>
      </c>
      <c r="E812" t="s">
        <v>18</v>
      </c>
      <c r="F812" t="s">
        <v>166</v>
      </c>
      <c r="G812" t="s">
        <v>334</v>
      </c>
      <c r="H812" t="s">
        <v>49</v>
      </c>
      <c r="I812">
        <v>4500</v>
      </c>
      <c r="J812">
        <v>5850</v>
      </c>
      <c r="K812">
        <v>2</v>
      </c>
      <c r="L812">
        <v>9000</v>
      </c>
      <c r="M812">
        <v>11700</v>
      </c>
      <c r="N812" t="s">
        <v>42</v>
      </c>
      <c r="O812">
        <f t="shared" si="24"/>
        <v>39780</v>
      </c>
      <c r="P812" s="13">
        <f t="shared" si="25"/>
        <v>2731963</v>
      </c>
      <c r="Q812" s="13">
        <f>SUMIFS(M:M,E:E,Online_eCommerce[[#This Row],[Status]])</f>
        <v>28340455</v>
      </c>
      <c r="R812" s="13">
        <f>SUMIFS(L:L,H:H,Online_eCommerce[[#This Row],[Brand]])</f>
        <v>4528350</v>
      </c>
      <c r="S812" s="13">
        <f>SUMIF(H:H,Online_eCommerce[[#This Row],[Brand]],M:M)</f>
        <v>5886855</v>
      </c>
      <c r="T812" s="13">
        <f>SUMIF(N:N,Online_eCommerce[[#This Row],[Assigned Supervisor]],L:L)</f>
        <v>12261500</v>
      </c>
    </row>
    <row r="813" spans="1:20" hidden="1" x14ac:dyDescent="0.3">
      <c r="A813" t="s">
        <v>1267</v>
      </c>
      <c r="B813" t="s">
        <v>154</v>
      </c>
      <c r="C813" t="s">
        <v>94</v>
      </c>
      <c r="D813" t="s">
        <v>1211</v>
      </c>
      <c r="E813" t="s">
        <v>161</v>
      </c>
      <c r="F813" t="s">
        <v>1268</v>
      </c>
      <c r="G813" t="s">
        <v>54</v>
      </c>
      <c r="H813" t="s">
        <v>55</v>
      </c>
      <c r="I813">
        <v>2100</v>
      </c>
      <c r="J813">
        <v>2730</v>
      </c>
      <c r="K813">
        <v>3</v>
      </c>
      <c r="L813">
        <v>6300</v>
      </c>
      <c r="M813">
        <v>8190</v>
      </c>
      <c r="N813" t="s">
        <v>50</v>
      </c>
      <c r="O813">
        <f t="shared" si="24"/>
        <v>2990</v>
      </c>
      <c r="P813" s="13">
        <f t="shared" si="25"/>
        <v>1868256</v>
      </c>
      <c r="Q813" s="13">
        <f>SUMIFS(M:M,E:E,Online_eCommerce[[#This Row],[Status]])</f>
        <v>21103186</v>
      </c>
      <c r="R813" s="13">
        <f>SUMIFS(L:L,H:H,Online_eCommerce[[#This Row],[Brand]])</f>
        <v>2267380</v>
      </c>
      <c r="S813" s="13">
        <f>SUMIF(H:H,Online_eCommerce[[#This Row],[Brand]],M:M)</f>
        <v>2947594</v>
      </c>
      <c r="T813" s="13">
        <f>SUMIF(N:N,Online_eCommerce[[#This Row],[Assigned Supervisor]],L:L)</f>
        <v>12100590</v>
      </c>
    </row>
    <row r="814" spans="1:20" x14ac:dyDescent="0.3">
      <c r="A814" t="s">
        <v>1269</v>
      </c>
      <c r="B814" t="s">
        <v>154</v>
      </c>
      <c r="C814" t="s">
        <v>99</v>
      </c>
      <c r="D814" t="s">
        <v>1211</v>
      </c>
      <c r="E814" t="s">
        <v>46</v>
      </c>
      <c r="F814" t="s">
        <v>174</v>
      </c>
      <c r="G814" t="s">
        <v>60</v>
      </c>
      <c r="H814" t="s">
        <v>61</v>
      </c>
      <c r="I814">
        <v>1150</v>
      </c>
      <c r="J814">
        <v>1495</v>
      </c>
      <c r="K814">
        <v>2</v>
      </c>
      <c r="L814">
        <v>2300</v>
      </c>
      <c r="M814">
        <v>2990</v>
      </c>
      <c r="N814" t="s">
        <v>56</v>
      </c>
      <c r="O814">
        <f t="shared" si="24"/>
        <v>3315</v>
      </c>
      <c r="P814" s="13">
        <f t="shared" si="25"/>
        <v>2651233</v>
      </c>
      <c r="Q814" s="13">
        <f>SUMIFS(M:M,E:E,Online_eCommerce[[#This Row],[Status]])</f>
        <v>28620410</v>
      </c>
      <c r="R814" s="13">
        <f>SUMIFS(L:L,H:H,Online_eCommerce[[#This Row],[Brand]])</f>
        <v>10950150</v>
      </c>
      <c r="S814" s="13">
        <f>SUMIF(H:H,Online_eCommerce[[#This Row],[Brand]],M:M)</f>
        <v>14235195</v>
      </c>
      <c r="T814" s="13">
        <f>SUMIF(N:N,Online_eCommerce[[#This Row],[Assigned Supervisor]],L:L)</f>
        <v>11733610</v>
      </c>
    </row>
    <row r="815" spans="1:20" hidden="1" x14ac:dyDescent="0.3">
      <c r="A815" t="s">
        <v>1270</v>
      </c>
      <c r="B815" t="s">
        <v>154</v>
      </c>
      <c r="C815" t="s">
        <v>105</v>
      </c>
      <c r="D815" t="s">
        <v>1271</v>
      </c>
      <c r="E815" t="s">
        <v>96</v>
      </c>
      <c r="F815" t="s">
        <v>179</v>
      </c>
      <c r="G815" t="s">
        <v>66</v>
      </c>
      <c r="H815" t="s">
        <v>21</v>
      </c>
      <c r="I815">
        <v>350</v>
      </c>
      <c r="J815">
        <v>455</v>
      </c>
      <c r="K815">
        <v>4</v>
      </c>
      <c r="L815">
        <v>1400</v>
      </c>
      <c r="M815">
        <v>1820</v>
      </c>
      <c r="N815" t="s">
        <v>22</v>
      </c>
      <c r="O815">
        <f t="shared" si="24"/>
        <v>1690</v>
      </c>
      <c r="P815" s="13">
        <f t="shared" si="25"/>
        <v>1866852</v>
      </c>
      <c r="Q815" s="13">
        <f>SUMIFS(M:M,E:E,Online_eCommerce[[#This Row],[Status]])</f>
        <v>21233992</v>
      </c>
      <c r="R815" s="13">
        <f>SUMIFS(L:L,H:H,Online_eCommerce[[#This Row],[Brand]])</f>
        <v>12435650</v>
      </c>
      <c r="S815" s="13">
        <f>SUMIF(H:H,Online_eCommerce[[#This Row],[Brand]],M:M)</f>
        <v>16166345</v>
      </c>
      <c r="T815" s="13">
        <f>SUMIF(N:N,Online_eCommerce[[#This Row],[Assigned Supervisor]],L:L)</f>
        <v>13693220</v>
      </c>
    </row>
    <row r="816" spans="1:20" hidden="1" x14ac:dyDescent="0.3">
      <c r="A816" t="s">
        <v>1272</v>
      </c>
      <c r="B816" t="s">
        <v>154</v>
      </c>
      <c r="C816" t="s">
        <v>110</v>
      </c>
      <c r="D816" t="s">
        <v>1271</v>
      </c>
      <c r="E816" t="s">
        <v>18</v>
      </c>
      <c r="F816" t="s">
        <v>183</v>
      </c>
      <c r="G816" t="s">
        <v>71</v>
      </c>
      <c r="H816" t="s">
        <v>61</v>
      </c>
      <c r="I816">
        <v>9500</v>
      </c>
      <c r="J816">
        <v>12350</v>
      </c>
      <c r="K816">
        <v>1</v>
      </c>
      <c r="L816">
        <v>9500</v>
      </c>
      <c r="M816">
        <v>12350</v>
      </c>
      <c r="N816" t="s">
        <v>28</v>
      </c>
      <c r="O816">
        <f t="shared" si="24"/>
        <v>9750</v>
      </c>
      <c r="P816" s="13">
        <f t="shared" si="25"/>
        <v>2598635</v>
      </c>
      <c r="Q816" s="13">
        <f>SUMIFS(M:M,E:E,Online_eCommerce[[#This Row],[Status]])</f>
        <v>28340455</v>
      </c>
      <c r="R816" s="13">
        <f>SUMIFS(L:L,H:H,Online_eCommerce[[#This Row],[Brand]])</f>
        <v>10950150</v>
      </c>
      <c r="S816" s="13">
        <f>SUMIF(H:H,Online_eCommerce[[#This Row],[Brand]],M:M)</f>
        <v>14235195</v>
      </c>
      <c r="T816" s="13">
        <f>SUMIF(N:N,Online_eCommerce[[#This Row],[Assigned Supervisor]],L:L)</f>
        <v>12220830</v>
      </c>
    </row>
    <row r="817" spans="1:20" hidden="1" x14ac:dyDescent="0.3">
      <c r="A817" t="s">
        <v>1273</v>
      </c>
      <c r="B817" t="s">
        <v>154</v>
      </c>
      <c r="C817" t="s">
        <v>115</v>
      </c>
      <c r="D817" t="s">
        <v>1271</v>
      </c>
      <c r="E817" t="s">
        <v>161</v>
      </c>
      <c r="F817" t="s">
        <v>1274</v>
      </c>
      <c r="G817" t="s">
        <v>77</v>
      </c>
      <c r="H817" t="s">
        <v>142</v>
      </c>
      <c r="I817">
        <v>10000</v>
      </c>
      <c r="J817">
        <v>13000</v>
      </c>
      <c r="K817">
        <v>3</v>
      </c>
      <c r="L817">
        <v>30000</v>
      </c>
      <c r="M817">
        <v>39000</v>
      </c>
      <c r="N817" t="s">
        <v>35</v>
      </c>
      <c r="O817">
        <f t="shared" si="24"/>
        <v>39000</v>
      </c>
      <c r="P817" s="13">
        <f t="shared" si="25"/>
        <v>2050178</v>
      </c>
      <c r="Q817" s="13">
        <f>SUMIFS(M:M,E:E,Online_eCommerce[[#This Row],[Status]])</f>
        <v>21103186</v>
      </c>
      <c r="R817" s="13">
        <f>SUMIFS(L:L,H:H,Online_eCommerce[[#This Row],[Brand]])</f>
        <v>6192500</v>
      </c>
      <c r="S817" s="13">
        <f>SUMIF(H:H,Online_eCommerce[[#This Row],[Brand]],M:M)</f>
        <v>8050250</v>
      </c>
      <c r="T817" s="13">
        <f>SUMIF(N:N,Online_eCommerce[[#This Row],[Assigned Supervisor]],L:L)</f>
        <v>14373360</v>
      </c>
    </row>
    <row r="818" spans="1:20" x14ac:dyDescent="0.3">
      <c r="A818" t="s">
        <v>1275</v>
      </c>
      <c r="B818" t="s">
        <v>154</v>
      </c>
      <c r="C818" t="s">
        <v>120</v>
      </c>
      <c r="D818" t="s">
        <v>1271</v>
      </c>
      <c r="E818" t="s">
        <v>46</v>
      </c>
      <c r="F818" t="s">
        <v>1276</v>
      </c>
      <c r="G818" t="s">
        <v>20</v>
      </c>
      <c r="H818" t="s">
        <v>21</v>
      </c>
      <c r="I818">
        <v>6500</v>
      </c>
      <c r="J818">
        <v>8450</v>
      </c>
      <c r="K818">
        <v>1</v>
      </c>
      <c r="L818">
        <v>6500</v>
      </c>
      <c r="M818">
        <v>8450</v>
      </c>
      <c r="N818" t="s">
        <v>42</v>
      </c>
      <c r="O818">
        <f t="shared" si="24"/>
        <v>8450</v>
      </c>
      <c r="P818" s="13">
        <f t="shared" si="25"/>
        <v>2734212</v>
      </c>
      <c r="Q818" s="13">
        <f>SUMIFS(M:M,E:E,Online_eCommerce[[#This Row],[Status]])</f>
        <v>28620410</v>
      </c>
      <c r="R818" s="13">
        <f>SUMIFS(L:L,H:H,Online_eCommerce[[#This Row],[Brand]])</f>
        <v>12435650</v>
      </c>
      <c r="S818" s="13">
        <f>SUMIF(H:H,Online_eCommerce[[#This Row],[Brand]],M:M)</f>
        <v>16166345</v>
      </c>
      <c r="T818" s="13">
        <f>SUMIF(N:N,Online_eCommerce[[#This Row],[Assigned Supervisor]],L:L)</f>
        <v>12261500</v>
      </c>
    </row>
    <row r="819" spans="1:20" hidden="1" x14ac:dyDescent="0.3">
      <c r="A819" t="s">
        <v>1277</v>
      </c>
      <c r="B819" t="s">
        <v>154</v>
      </c>
      <c r="C819" t="s">
        <v>125</v>
      </c>
      <c r="D819" t="s">
        <v>1271</v>
      </c>
      <c r="E819" t="s">
        <v>96</v>
      </c>
      <c r="F819" t="s">
        <v>1278</v>
      </c>
      <c r="G819" t="s">
        <v>26</v>
      </c>
      <c r="H819" t="s">
        <v>27</v>
      </c>
      <c r="I819">
        <v>8500</v>
      </c>
      <c r="J819">
        <v>11050</v>
      </c>
      <c r="K819">
        <v>3</v>
      </c>
      <c r="L819">
        <v>25500</v>
      </c>
      <c r="M819">
        <v>33150</v>
      </c>
      <c r="N819" t="s">
        <v>50</v>
      </c>
      <c r="O819">
        <f t="shared" si="24"/>
        <v>33150</v>
      </c>
      <c r="P819" s="13">
        <f t="shared" si="25"/>
        <v>2091154</v>
      </c>
      <c r="Q819" s="13">
        <f>SUMIFS(M:M,E:E,Online_eCommerce[[#This Row],[Status]])</f>
        <v>21233992</v>
      </c>
      <c r="R819" s="13">
        <f>SUMIFS(L:L,H:H,Online_eCommerce[[#This Row],[Brand]])</f>
        <v>14431000</v>
      </c>
      <c r="S819" s="13">
        <f>SUMIF(H:H,Online_eCommerce[[#This Row],[Brand]],M:M)</f>
        <v>18760300</v>
      </c>
      <c r="T819" s="13">
        <f>SUMIF(N:N,Online_eCommerce[[#This Row],[Assigned Supervisor]],L:L)</f>
        <v>12100590</v>
      </c>
    </row>
    <row r="820" spans="1:20" hidden="1" x14ac:dyDescent="0.3">
      <c r="A820" t="s">
        <v>1279</v>
      </c>
      <c r="B820" t="s">
        <v>154</v>
      </c>
      <c r="C820" t="s">
        <v>22</v>
      </c>
      <c r="D820" t="s">
        <v>1271</v>
      </c>
      <c r="E820" t="s">
        <v>18</v>
      </c>
      <c r="F820" t="s">
        <v>32</v>
      </c>
      <c r="G820" t="s">
        <v>33</v>
      </c>
      <c r="H820" t="s">
        <v>34</v>
      </c>
      <c r="I820">
        <v>7000</v>
      </c>
      <c r="J820">
        <v>9100</v>
      </c>
      <c r="K820">
        <v>3</v>
      </c>
      <c r="L820">
        <v>21000</v>
      </c>
      <c r="M820">
        <v>27300</v>
      </c>
      <c r="N820" t="s">
        <v>56</v>
      </c>
      <c r="O820">
        <f t="shared" si="24"/>
        <v>18200</v>
      </c>
      <c r="P820" s="13">
        <f t="shared" si="25"/>
        <v>2551588</v>
      </c>
      <c r="Q820" s="13">
        <f>SUMIFS(M:M,E:E,Online_eCommerce[[#This Row],[Status]])</f>
        <v>28340455</v>
      </c>
      <c r="R820" s="13">
        <f>SUMIFS(L:L,H:H,Online_eCommerce[[#This Row],[Brand]])</f>
        <v>10087000</v>
      </c>
      <c r="S820" s="13">
        <f>SUMIF(H:H,Online_eCommerce[[#This Row],[Brand]],M:M)</f>
        <v>13113100</v>
      </c>
      <c r="T820" s="13">
        <f>SUMIF(N:N,Online_eCommerce[[#This Row],[Assigned Supervisor]],L:L)</f>
        <v>11733610</v>
      </c>
    </row>
    <row r="821" spans="1:20" hidden="1" x14ac:dyDescent="0.3">
      <c r="A821" t="s">
        <v>1280</v>
      </c>
      <c r="B821" t="s">
        <v>154</v>
      </c>
      <c r="C821" t="s">
        <v>132</v>
      </c>
      <c r="D821" t="s">
        <v>1271</v>
      </c>
      <c r="E821" t="s">
        <v>161</v>
      </c>
      <c r="F821" t="s">
        <v>1281</v>
      </c>
      <c r="G821" t="s">
        <v>40</v>
      </c>
      <c r="H821" t="s">
        <v>41</v>
      </c>
      <c r="I821">
        <v>6550</v>
      </c>
      <c r="J821">
        <v>8515</v>
      </c>
      <c r="K821">
        <v>1</v>
      </c>
      <c r="L821">
        <v>6550</v>
      </c>
      <c r="M821">
        <v>8515</v>
      </c>
      <c r="N821" t="s">
        <v>22</v>
      </c>
      <c r="O821">
        <f t="shared" si="24"/>
        <v>25545</v>
      </c>
      <c r="P821" s="13">
        <f t="shared" si="25"/>
        <v>1989065</v>
      </c>
      <c r="Q821" s="13">
        <f>SUMIFS(M:M,E:E,Online_eCommerce[[#This Row],[Status]])</f>
        <v>21103186</v>
      </c>
      <c r="R821" s="13">
        <f>SUMIFS(L:L,H:H,Online_eCommerce[[#This Row],[Brand]])</f>
        <v>4260400</v>
      </c>
      <c r="S821" s="13">
        <f>SUMIF(H:H,Online_eCommerce[[#This Row],[Brand]],M:M)</f>
        <v>5538520</v>
      </c>
      <c r="T821" s="13">
        <f>SUMIF(N:N,Online_eCommerce[[#This Row],[Assigned Supervisor]],L:L)</f>
        <v>13693220</v>
      </c>
    </row>
    <row r="822" spans="1:20" x14ac:dyDescent="0.3">
      <c r="A822" t="s">
        <v>1282</v>
      </c>
      <c r="B822" t="s">
        <v>154</v>
      </c>
      <c r="C822" t="s">
        <v>136</v>
      </c>
      <c r="D822" t="s">
        <v>1271</v>
      </c>
      <c r="E822" t="s">
        <v>46</v>
      </c>
      <c r="F822" t="s">
        <v>47</v>
      </c>
      <c r="G822" t="s">
        <v>334</v>
      </c>
      <c r="H822" t="s">
        <v>49</v>
      </c>
      <c r="I822">
        <v>7650</v>
      </c>
      <c r="J822">
        <v>9945</v>
      </c>
      <c r="K822">
        <v>3</v>
      </c>
      <c r="L822">
        <v>22950</v>
      </c>
      <c r="M822">
        <v>29835</v>
      </c>
      <c r="N822" t="s">
        <v>28</v>
      </c>
      <c r="O822">
        <f t="shared" si="24"/>
        <v>39780</v>
      </c>
      <c r="P822" s="13">
        <f t="shared" si="25"/>
        <v>2775162</v>
      </c>
      <c r="Q822" s="13">
        <f>SUMIFS(M:M,E:E,Online_eCommerce[[#This Row],[Status]])</f>
        <v>28620410</v>
      </c>
      <c r="R822" s="13">
        <f>SUMIFS(L:L,H:H,Online_eCommerce[[#This Row],[Brand]])</f>
        <v>4528350</v>
      </c>
      <c r="S822" s="13">
        <f>SUMIF(H:H,Online_eCommerce[[#This Row],[Brand]],M:M)</f>
        <v>5886855</v>
      </c>
      <c r="T822" s="13">
        <f>SUMIF(N:N,Online_eCommerce[[#This Row],[Assigned Supervisor]],L:L)</f>
        <v>12220830</v>
      </c>
    </row>
    <row r="823" spans="1:20" hidden="1" x14ac:dyDescent="0.3">
      <c r="A823" t="s">
        <v>1283</v>
      </c>
      <c r="B823" t="s">
        <v>154</v>
      </c>
      <c r="C823" t="s">
        <v>140</v>
      </c>
      <c r="D823" t="s">
        <v>1271</v>
      </c>
      <c r="E823" t="s">
        <v>96</v>
      </c>
      <c r="F823" t="s">
        <v>53</v>
      </c>
      <c r="G823" t="s">
        <v>54</v>
      </c>
      <c r="H823" t="s">
        <v>55</v>
      </c>
      <c r="I823">
        <v>1150</v>
      </c>
      <c r="J823">
        <v>1495</v>
      </c>
      <c r="K823">
        <v>1</v>
      </c>
      <c r="L823">
        <v>1150</v>
      </c>
      <c r="M823">
        <v>1495</v>
      </c>
      <c r="N823" t="s">
        <v>35</v>
      </c>
      <c r="O823">
        <f t="shared" si="24"/>
        <v>2990</v>
      </c>
      <c r="P823" s="13">
        <f t="shared" si="25"/>
        <v>2058264</v>
      </c>
      <c r="Q823" s="13">
        <f>SUMIFS(M:M,E:E,Online_eCommerce[[#This Row],[Status]])</f>
        <v>21233992</v>
      </c>
      <c r="R823" s="13">
        <f>SUMIFS(L:L,H:H,Online_eCommerce[[#This Row],[Brand]])</f>
        <v>2267380</v>
      </c>
      <c r="S823" s="13">
        <f>SUMIF(H:H,Online_eCommerce[[#This Row],[Brand]],M:M)</f>
        <v>2947594</v>
      </c>
      <c r="T823" s="13">
        <f>SUMIF(N:N,Online_eCommerce[[#This Row],[Assigned Supervisor]],L:L)</f>
        <v>14373360</v>
      </c>
    </row>
    <row r="824" spans="1:20" hidden="1" x14ac:dyDescent="0.3">
      <c r="A824" t="s">
        <v>1284</v>
      </c>
      <c r="B824" t="s">
        <v>154</v>
      </c>
      <c r="C824" t="s">
        <v>145</v>
      </c>
      <c r="D824" t="s">
        <v>1271</v>
      </c>
      <c r="E824" t="s">
        <v>18</v>
      </c>
      <c r="F824" t="s">
        <v>59</v>
      </c>
      <c r="G824" t="s">
        <v>60</v>
      </c>
      <c r="H824" t="s">
        <v>61</v>
      </c>
      <c r="I824">
        <v>850</v>
      </c>
      <c r="J824">
        <v>1105</v>
      </c>
      <c r="K824">
        <v>4</v>
      </c>
      <c r="L824">
        <v>3400</v>
      </c>
      <c r="M824">
        <v>4420</v>
      </c>
      <c r="N824" t="s">
        <v>42</v>
      </c>
      <c r="O824">
        <f t="shared" si="24"/>
        <v>3315</v>
      </c>
      <c r="P824" s="13">
        <f t="shared" si="25"/>
        <v>2757859</v>
      </c>
      <c r="Q824" s="13">
        <f>SUMIFS(M:M,E:E,Online_eCommerce[[#This Row],[Status]])</f>
        <v>28340455</v>
      </c>
      <c r="R824" s="13">
        <f>SUMIFS(L:L,H:H,Online_eCommerce[[#This Row],[Brand]])</f>
        <v>10950150</v>
      </c>
      <c r="S824" s="13">
        <f>SUMIF(H:H,Online_eCommerce[[#This Row],[Brand]],M:M)</f>
        <v>14235195</v>
      </c>
      <c r="T824" s="13">
        <f>SUMIF(N:N,Online_eCommerce[[#This Row],[Assigned Supervisor]],L:L)</f>
        <v>12261500</v>
      </c>
    </row>
    <row r="825" spans="1:20" hidden="1" x14ac:dyDescent="0.3">
      <c r="A825" t="s">
        <v>1285</v>
      </c>
      <c r="B825" t="s">
        <v>154</v>
      </c>
      <c r="C825" t="s">
        <v>150</v>
      </c>
      <c r="D825" t="s">
        <v>1271</v>
      </c>
      <c r="E825" t="s">
        <v>161</v>
      </c>
      <c r="F825" t="s">
        <v>65</v>
      </c>
      <c r="G825" t="s">
        <v>66</v>
      </c>
      <c r="H825" t="s">
        <v>21</v>
      </c>
      <c r="I825">
        <v>650</v>
      </c>
      <c r="J825">
        <v>845</v>
      </c>
      <c r="K825">
        <v>4</v>
      </c>
      <c r="L825">
        <v>2600</v>
      </c>
      <c r="M825">
        <v>3380</v>
      </c>
      <c r="N825" t="s">
        <v>50</v>
      </c>
      <c r="O825">
        <f t="shared" si="24"/>
        <v>1690</v>
      </c>
      <c r="P825" s="13">
        <f t="shared" si="25"/>
        <v>2154984</v>
      </c>
      <c r="Q825" s="13">
        <f>SUMIFS(M:M,E:E,Online_eCommerce[[#This Row],[Status]])</f>
        <v>21103186</v>
      </c>
      <c r="R825" s="13">
        <f>SUMIFS(L:L,H:H,Online_eCommerce[[#This Row],[Brand]])</f>
        <v>12435650</v>
      </c>
      <c r="S825" s="13">
        <f>SUMIF(H:H,Online_eCommerce[[#This Row],[Brand]],M:M)</f>
        <v>16166345</v>
      </c>
      <c r="T825" s="13">
        <f>SUMIF(N:N,Online_eCommerce[[#This Row],[Assigned Supervisor]],L:L)</f>
        <v>12100590</v>
      </c>
    </row>
    <row r="826" spans="1:20" x14ac:dyDescent="0.3">
      <c r="A826" t="s">
        <v>1286</v>
      </c>
      <c r="B826" t="s">
        <v>154</v>
      </c>
      <c r="C826" t="s">
        <v>155</v>
      </c>
      <c r="D826" t="s">
        <v>1287</v>
      </c>
      <c r="E826" t="s">
        <v>46</v>
      </c>
      <c r="F826" t="s">
        <v>70</v>
      </c>
      <c r="G826" t="s">
        <v>71</v>
      </c>
      <c r="H826" t="s">
        <v>61</v>
      </c>
      <c r="I826">
        <v>7500</v>
      </c>
      <c r="J826">
        <v>9750</v>
      </c>
      <c r="K826">
        <v>4</v>
      </c>
      <c r="L826">
        <v>30000</v>
      </c>
      <c r="M826">
        <v>39000</v>
      </c>
      <c r="N826" t="s">
        <v>56</v>
      </c>
      <c r="O826">
        <f t="shared" si="24"/>
        <v>9750</v>
      </c>
      <c r="P826" s="13">
        <f t="shared" si="25"/>
        <v>2753348</v>
      </c>
      <c r="Q826" s="13">
        <f>SUMIFS(M:M,E:E,Online_eCommerce[[#This Row],[Status]])</f>
        <v>28620410</v>
      </c>
      <c r="R826" s="13">
        <f>SUMIFS(L:L,H:H,Online_eCommerce[[#This Row],[Brand]])</f>
        <v>10950150</v>
      </c>
      <c r="S826" s="13">
        <f>SUMIF(H:H,Online_eCommerce[[#This Row],[Brand]],M:M)</f>
        <v>14235195</v>
      </c>
      <c r="T826" s="13">
        <f>SUMIF(N:N,Online_eCommerce[[#This Row],[Assigned Supervisor]],L:L)</f>
        <v>11733610</v>
      </c>
    </row>
    <row r="827" spans="1:20" hidden="1" x14ac:dyDescent="0.3">
      <c r="A827" t="s">
        <v>1288</v>
      </c>
      <c r="B827" t="s">
        <v>154</v>
      </c>
      <c r="C827" t="s">
        <v>160</v>
      </c>
      <c r="D827" t="s">
        <v>1287</v>
      </c>
      <c r="E827" t="s">
        <v>96</v>
      </c>
      <c r="F827" t="s">
        <v>1274</v>
      </c>
      <c r="G827" t="s">
        <v>77</v>
      </c>
      <c r="H827" t="s">
        <v>78</v>
      </c>
      <c r="I827">
        <v>10000</v>
      </c>
      <c r="J827">
        <v>13000</v>
      </c>
      <c r="K827">
        <v>3</v>
      </c>
      <c r="L827">
        <v>30000</v>
      </c>
      <c r="M827">
        <v>39000</v>
      </c>
      <c r="N827" t="s">
        <v>22</v>
      </c>
      <c r="O827">
        <f t="shared" si="24"/>
        <v>39000</v>
      </c>
      <c r="P827" s="13">
        <f t="shared" si="25"/>
        <v>2303483</v>
      </c>
      <c r="Q827" s="13">
        <f>SUMIFS(M:M,E:E,Online_eCommerce[[#This Row],[Status]])</f>
        <v>21233992</v>
      </c>
      <c r="R827" s="13">
        <f>SUMIFS(L:L,H:H,Online_eCommerce[[#This Row],[Brand]])</f>
        <v>3720000</v>
      </c>
      <c r="S827" s="13">
        <f>SUMIF(H:H,Online_eCommerce[[#This Row],[Brand]],M:M)</f>
        <v>4836000</v>
      </c>
      <c r="T827" s="13">
        <f>SUMIF(N:N,Online_eCommerce[[#This Row],[Assigned Supervisor]],L:L)</f>
        <v>13693220</v>
      </c>
    </row>
    <row r="828" spans="1:20" hidden="1" x14ac:dyDescent="0.3">
      <c r="A828" t="s">
        <v>1289</v>
      </c>
      <c r="B828" t="s">
        <v>154</v>
      </c>
      <c r="C828" t="s">
        <v>165</v>
      </c>
      <c r="D828" t="s">
        <v>1287</v>
      </c>
      <c r="E828" t="s">
        <v>18</v>
      </c>
      <c r="F828" t="s">
        <v>1290</v>
      </c>
      <c r="G828" t="s">
        <v>20</v>
      </c>
      <c r="H828" t="s">
        <v>21</v>
      </c>
      <c r="I828">
        <v>10500</v>
      </c>
      <c r="J828">
        <v>13650</v>
      </c>
      <c r="K828">
        <v>3</v>
      </c>
      <c r="L828">
        <v>31500</v>
      </c>
      <c r="M828">
        <v>40950</v>
      </c>
      <c r="N828" t="s">
        <v>28</v>
      </c>
      <c r="O828">
        <f t="shared" si="24"/>
        <v>8450</v>
      </c>
      <c r="P828" s="13">
        <f t="shared" si="25"/>
        <v>2674087</v>
      </c>
      <c r="Q828" s="13">
        <f>SUMIFS(M:M,E:E,Online_eCommerce[[#This Row],[Status]])</f>
        <v>28340455</v>
      </c>
      <c r="R828" s="13">
        <f>SUMIFS(L:L,H:H,Online_eCommerce[[#This Row],[Brand]])</f>
        <v>12435650</v>
      </c>
      <c r="S828" s="13">
        <f>SUMIF(H:H,Online_eCommerce[[#This Row],[Brand]],M:M)</f>
        <v>16166345</v>
      </c>
      <c r="T828" s="13">
        <f>SUMIF(N:N,Online_eCommerce[[#This Row],[Assigned Supervisor]],L:L)</f>
        <v>12220830</v>
      </c>
    </row>
    <row r="829" spans="1:20" hidden="1" x14ac:dyDescent="0.3">
      <c r="A829" t="s">
        <v>1291</v>
      </c>
      <c r="B829" t="s">
        <v>154</v>
      </c>
      <c r="C829" t="s">
        <v>168</v>
      </c>
      <c r="D829" t="s">
        <v>1287</v>
      </c>
      <c r="E829" t="s">
        <v>161</v>
      </c>
      <c r="F829" t="s">
        <v>88</v>
      </c>
      <c r="G829" t="s">
        <v>26</v>
      </c>
      <c r="H829" t="s">
        <v>27</v>
      </c>
      <c r="I829">
        <v>8500</v>
      </c>
      <c r="J829">
        <v>11050</v>
      </c>
      <c r="K829">
        <v>1</v>
      </c>
      <c r="L829">
        <v>8500</v>
      </c>
      <c r="M829">
        <v>11050</v>
      </c>
      <c r="N829" t="s">
        <v>35</v>
      </c>
      <c r="O829">
        <f t="shared" si="24"/>
        <v>33150</v>
      </c>
      <c r="P829" s="13">
        <f t="shared" si="25"/>
        <v>1937780</v>
      </c>
      <c r="Q829" s="13">
        <f>SUMIFS(M:M,E:E,Online_eCommerce[[#This Row],[Status]])</f>
        <v>21103186</v>
      </c>
      <c r="R829" s="13">
        <f>SUMIFS(L:L,H:H,Online_eCommerce[[#This Row],[Brand]])</f>
        <v>14431000</v>
      </c>
      <c r="S829" s="13">
        <f>SUMIF(H:H,Online_eCommerce[[#This Row],[Brand]],M:M)</f>
        <v>18760300</v>
      </c>
      <c r="T829" s="13">
        <f>SUMIF(N:N,Online_eCommerce[[#This Row],[Assigned Supervisor]],L:L)</f>
        <v>14373360</v>
      </c>
    </row>
    <row r="830" spans="1:20" x14ac:dyDescent="0.3">
      <c r="A830" t="s">
        <v>1292</v>
      </c>
      <c r="B830" t="s">
        <v>154</v>
      </c>
      <c r="C830" t="s">
        <v>172</v>
      </c>
      <c r="D830" t="s">
        <v>1287</v>
      </c>
      <c r="E830" t="s">
        <v>46</v>
      </c>
      <c r="F830" t="s">
        <v>32</v>
      </c>
      <c r="G830" t="s">
        <v>33</v>
      </c>
      <c r="H830" t="s">
        <v>34</v>
      </c>
      <c r="I830">
        <v>7000</v>
      </c>
      <c r="J830">
        <v>9100</v>
      </c>
      <c r="K830">
        <v>3</v>
      </c>
      <c r="L830">
        <v>21000</v>
      </c>
      <c r="M830">
        <v>27300</v>
      </c>
      <c r="N830" t="s">
        <v>42</v>
      </c>
      <c r="O830">
        <f t="shared" si="24"/>
        <v>18200</v>
      </c>
      <c r="P830" s="13">
        <f t="shared" si="25"/>
        <v>2640274</v>
      </c>
      <c r="Q830" s="13">
        <f>SUMIFS(M:M,E:E,Online_eCommerce[[#This Row],[Status]])</f>
        <v>28620410</v>
      </c>
      <c r="R830" s="13">
        <f>SUMIFS(L:L,H:H,Online_eCommerce[[#This Row],[Brand]])</f>
        <v>10087000</v>
      </c>
      <c r="S830" s="13">
        <f>SUMIF(H:H,Online_eCommerce[[#This Row],[Brand]],M:M)</f>
        <v>13113100</v>
      </c>
      <c r="T830" s="13">
        <f>SUMIF(N:N,Online_eCommerce[[#This Row],[Assigned Supervisor]],L:L)</f>
        <v>12261500</v>
      </c>
    </row>
    <row r="831" spans="1:20" hidden="1" x14ac:dyDescent="0.3">
      <c r="A831" t="s">
        <v>1293</v>
      </c>
      <c r="B831" t="s">
        <v>154</v>
      </c>
      <c r="C831" t="s">
        <v>177</v>
      </c>
      <c r="D831" t="s">
        <v>1287</v>
      </c>
      <c r="E831" t="s">
        <v>96</v>
      </c>
      <c r="F831" t="s">
        <v>1294</v>
      </c>
      <c r="G831" t="s">
        <v>40</v>
      </c>
      <c r="H831" t="s">
        <v>41</v>
      </c>
      <c r="I831">
        <v>1680</v>
      </c>
      <c r="J831">
        <v>2184</v>
      </c>
      <c r="K831">
        <v>2</v>
      </c>
      <c r="L831">
        <v>3360</v>
      </c>
      <c r="M831">
        <v>4368</v>
      </c>
      <c r="N831" t="s">
        <v>50</v>
      </c>
      <c r="O831">
        <f t="shared" si="24"/>
        <v>25545</v>
      </c>
      <c r="P831" s="13">
        <f t="shared" si="25"/>
        <v>1863810</v>
      </c>
      <c r="Q831" s="13">
        <f>SUMIFS(M:M,E:E,Online_eCommerce[[#This Row],[Status]])</f>
        <v>21233992</v>
      </c>
      <c r="R831" s="13">
        <f>SUMIFS(L:L,H:H,Online_eCommerce[[#This Row],[Brand]])</f>
        <v>4260400</v>
      </c>
      <c r="S831" s="13">
        <f>SUMIF(H:H,Online_eCommerce[[#This Row],[Brand]],M:M)</f>
        <v>5538520</v>
      </c>
      <c r="T831" s="13">
        <f>SUMIF(N:N,Online_eCommerce[[#This Row],[Assigned Supervisor]],L:L)</f>
        <v>12100590</v>
      </c>
    </row>
    <row r="832" spans="1:20" hidden="1" x14ac:dyDescent="0.3">
      <c r="A832" t="s">
        <v>1295</v>
      </c>
      <c r="B832" t="s">
        <v>154</v>
      </c>
      <c r="C832" t="s">
        <v>181</v>
      </c>
      <c r="D832" t="s">
        <v>1287</v>
      </c>
      <c r="E832" t="s">
        <v>18</v>
      </c>
      <c r="F832" t="s">
        <v>101</v>
      </c>
      <c r="G832" t="s">
        <v>334</v>
      </c>
      <c r="H832" t="s">
        <v>102</v>
      </c>
      <c r="I832">
        <v>6540</v>
      </c>
      <c r="J832">
        <v>8502</v>
      </c>
      <c r="K832">
        <v>3</v>
      </c>
      <c r="L832">
        <v>19620</v>
      </c>
      <c r="M832">
        <v>25506</v>
      </c>
      <c r="N832" t="s">
        <v>56</v>
      </c>
      <c r="O832">
        <f t="shared" si="24"/>
        <v>39780</v>
      </c>
      <c r="P832" s="13">
        <f t="shared" si="25"/>
        <v>2577458</v>
      </c>
      <c r="Q832" s="13">
        <f>SUMIFS(M:M,E:E,Online_eCommerce[[#This Row],[Status]])</f>
        <v>28340455</v>
      </c>
      <c r="R832" s="13">
        <f>SUMIFS(L:L,H:H,Online_eCommerce[[#This Row],[Brand]])</f>
        <v>2465580</v>
      </c>
      <c r="S832" s="13">
        <f>SUMIF(H:H,Online_eCommerce[[#This Row],[Brand]],M:M)</f>
        <v>3205254</v>
      </c>
      <c r="T832" s="13">
        <f>SUMIF(N:N,Online_eCommerce[[#This Row],[Assigned Supervisor]],L:L)</f>
        <v>11733610</v>
      </c>
    </row>
    <row r="833" spans="1:20" hidden="1" x14ac:dyDescent="0.3">
      <c r="A833" t="s">
        <v>1296</v>
      </c>
      <c r="B833" t="s">
        <v>154</v>
      </c>
      <c r="C833" t="s">
        <v>185</v>
      </c>
      <c r="D833" t="s">
        <v>1287</v>
      </c>
      <c r="E833" t="s">
        <v>161</v>
      </c>
      <c r="F833" t="s">
        <v>107</v>
      </c>
      <c r="G833" t="s">
        <v>54</v>
      </c>
      <c r="H833" t="s">
        <v>55</v>
      </c>
      <c r="I833">
        <v>2680</v>
      </c>
      <c r="J833">
        <v>3484</v>
      </c>
      <c r="K833">
        <v>2</v>
      </c>
      <c r="L833">
        <v>5360</v>
      </c>
      <c r="M833">
        <v>6968</v>
      </c>
      <c r="N833" t="s">
        <v>22</v>
      </c>
      <c r="O833">
        <f t="shared" si="24"/>
        <v>2990</v>
      </c>
      <c r="P833" s="13">
        <f t="shared" si="25"/>
        <v>2091596</v>
      </c>
      <c r="Q833" s="13">
        <f>SUMIFS(M:M,E:E,Online_eCommerce[[#This Row],[Status]])</f>
        <v>21103186</v>
      </c>
      <c r="R833" s="13">
        <f>SUMIFS(L:L,H:H,Online_eCommerce[[#This Row],[Brand]])</f>
        <v>2267380</v>
      </c>
      <c r="S833" s="13">
        <f>SUMIF(H:H,Online_eCommerce[[#This Row],[Brand]],M:M)</f>
        <v>2947594</v>
      </c>
      <c r="T833" s="13">
        <f>SUMIF(N:N,Online_eCommerce[[#This Row],[Assigned Supervisor]],L:L)</f>
        <v>13693220</v>
      </c>
    </row>
    <row r="834" spans="1:20" x14ac:dyDescent="0.3">
      <c r="A834" t="s">
        <v>1297</v>
      </c>
      <c r="B834" t="s">
        <v>154</v>
      </c>
      <c r="C834" t="s">
        <v>189</v>
      </c>
      <c r="D834" t="s">
        <v>1287</v>
      </c>
      <c r="E834" t="s">
        <v>46</v>
      </c>
      <c r="F834" t="s">
        <v>112</v>
      </c>
      <c r="G834" t="s">
        <v>71</v>
      </c>
      <c r="H834" t="s">
        <v>21</v>
      </c>
      <c r="I834">
        <v>8250</v>
      </c>
      <c r="J834">
        <v>10725</v>
      </c>
      <c r="K834">
        <v>4</v>
      </c>
      <c r="L834">
        <v>33000</v>
      </c>
      <c r="M834">
        <v>42900</v>
      </c>
      <c r="N834" t="s">
        <v>28</v>
      </c>
      <c r="O834">
        <f t="shared" ref="O834:O897" si="26">VLOOKUP(G834,G:M,7,FALSE)</f>
        <v>9750</v>
      </c>
      <c r="P834" s="13">
        <f t="shared" ref="P834:P897" si="27">SUMIFS(M:M,C:C,C834)</f>
        <v>2740777</v>
      </c>
      <c r="Q834" s="13">
        <f>SUMIFS(M:M,E:E,Online_eCommerce[[#This Row],[Status]])</f>
        <v>28620410</v>
      </c>
      <c r="R834" s="13">
        <f>SUMIFS(L:L,H:H,Online_eCommerce[[#This Row],[Brand]])</f>
        <v>12435650</v>
      </c>
      <c r="S834" s="13">
        <f>SUMIF(H:H,Online_eCommerce[[#This Row],[Brand]],M:M)</f>
        <v>16166345</v>
      </c>
      <c r="T834" s="13">
        <f>SUMIF(N:N,Online_eCommerce[[#This Row],[Assigned Supervisor]],L:L)</f>
        <v>12220830</v>
      </c>
    </row>
    <row r="835" spans="1:20" hidden="1" x14ac:dyDescent="0.3">
      <c r="A835" t="s">
        <v>1298</v>
      </c>
      <c r="B835" t="s">
        <v>154</v>
      </c>
      <c r="C835" t="s">
        <v>193</v>
      </c>
      <c r="D835" t="s">
        <v>1287</v>
      </c>
      <c r="E835" t="s">
        <v>96</v>
      </c>
      <c r="F835" t="s">
        <v>931</v>
      </c>
      <c r="G835" t="s">
        <v>40</v>
      </c>
      <c r="H835" t="s">
        <v>21</v>
      </c>
      <c r="I835">
        <v>2650</v>
      </c>
      <c r="J835">
        <v>3445</v>
      </c>
      <c r="K835">
        <v>1</v>
      </c>
      <c r="L835">
        <v>2650</v>
      </c>
      <c r="M835">
        <v>3445</v>
      </c>
      <c r="N835" t="s">
        <v>35</v>
      </c>
      <c r="O835">
        <f t="shared" si="26"/>
        <v>25545</v>
      </c>
      <c r="P835" s="13">
        <f t="shared" si="27"/>
        <v>2074774</v>
      </c>
      <c r="Q835" s="13">
        <f>SUMIFS(M:M,E:E,Online_eCommerce[[#This Row],[Status]])</f>
        <v>21233992</v>
      </c>
      <c r="R835" s="13">
        <f>SUMIFS(L:L,H:H,Online_eCommerce[[#This Row],[Brand]])</f>
        <v>12435650</v>
      </c>
      <c r="S835" s="13">
        <f>SUMIF(H:H,Online_eCommerce[[#This Row],[Brand]],M:M)</f>
        <v>16166345</v>
      </c>
      <c r="T835" s="13">
        <f>SUMIF(N:N,Online_eCommerce[[#This Row],[Assigned Supervisor]],L:L)</f>
        <v>14373360</v>
      </c>
    </row>
    <row r="836" spans="1:20" hidden="1" x14ac:dyDescent="0.3">
      <c r="A836" t="s">
        <v>1299</v>
      </c>
      <c r="B836" t="s">
        <v>154</v>
      </c>
      <c r="C836" t="s">
        <v>197</v>
      </c>
      <c r="D836" t="s">
        <v>1287</v>
      </c>
      <c r="E836" t="s">
        <v>18</v>
      </c>
      <c r="F836" t="s">
        <v>121</v>
      </c>
      <c r="G836" t="s">
        <v>71</v>
      </c>
      <c r="H836" t="s">
        <v>122</v>
      </c>
      <c r="I836">
        <v>12550</v>
      </c>
      <c r="J836">
        <v>16315</v>
      </c>
      <c r="K836">
        <v>3</v>
      </c>
      <c r="L836">
        <v>37650</v>
      </c>
      <c r="M836">
        <v>48945</v>
      </c>
      <c r="N836" t="s">
        <v>42</v>
      </c>
      <c r="O836">
        <f t="shared" si="26"/>
        <v>9750</v>
      </c>
      <c r="P836" s="13">
        <f t="shared" si="27"/>
        <v>2829840</v>
      </c>
      <c r="Q836" s="13">
        <f>SUMIFS(M:M,E:E,Online_eCommerce[[#This Row],[Status]])</f>
        <v>28340455</v>
      </c>
      <c r="R836" s="13">
        <f>SUMIFS(L:L,H:H,Online_eCommerce[[#This Row],[Brand]])</f>
        <v>5045100</v>
      </c>
      <c r="S836" s="13">
        <f>SUMIF(H:H,Online_eCommerce[[#This Row],[Brand]],M:M)</f>
        <v>6558630</v>
      </c>
      <c r="T836" s="13">
        <f>SUMIF(N:N,Online_eCommerce[[#This Row],[Assigned Supervisor]],L:L)</f>
        <v>12261500</v>
      </c>
    </row>
    <row r="837" spans="1:20" hidden="1" x14ac:dyDescent="0.3">
      <c r="A837" t="s">
        <v>1300</v>
      </c>
      <c r="B837" t="s">
        <v>154</v>
      </c>
      <c r="C837" t="s">
        <v>199</v>
      </c>
      <c r="D837" t="s">
        <v>1287</v>
      </c>
      <c r="E837" t="s">
        <v>161</v>
      </c>
      <c r="F837" t="s">
        <v>126</v>
      </c>
      <c r="G837" t="s">
        <v>26</v>
      </c>
      <c r="H837" t="s">
        <v>27</v>
      </c>
      <c r="I837">
        <v>14500</v>
      </c>
      <c r="J837">
        <v>18850</v>
      </c>
      <c r="K837">
        <v>3</v>
      </c>
      <c r="L837">
        <v>43500</v>
      </c>
      <c r="M837">
        <v>56550</v>
      </c>
      <c r="N837" t="s">
        <v>50</v>
      </c>
      <c r="O837">
        <f t="shared" si="26"/>
        <v>33150</v>
      </c>
      <c r="P837" s="13">
        <f t="shared" si="27"/>
        <v>1947361</v>
      </c>
      <c r="Q837" s="13">
        <f>SUMIFS(M:M,E:E,Online_eCommerce[[#This Row],[Status]])</f>
        <v>21103186</v>
      </c>
      <c r="R837" s="13">
        <f>SUMIFS(L:L,H:H,Online_eCommerce[[#This Row],[Brand]])</f>
        <v>14431000</v>
      </c>
      <c r="S837" s="13">
        <f>SUMIF(H:H,Online_eCommerce[[#This Row],[Brand]],M:M)</f>
        <v>18760300</v>
      </c>
      <c r="T837" s="13">
        <f>SUMIF(N:N,Online_eCommerce[[#This Row],[Assigned Supervisor]],L:L)</f>
        <v>12100590</v>
      </c>
    </row>
    <row r="838" spans="1:20" x14ac:dyDescent="0.3">
      <c r="A838" t="s">
        <v>1301</v>
      </c>
      <c r="B838" t="s">
        <v>154</v>
      </c>
      <c r="C838" t="s">
        <v>203</v>
      </c>
      <c r="D838" t="s">
        <v>1287</v>
      </c>
      <c r="E838" t="s">
        <v>46</v>
      </c>
      <c r="F838" t="s">
        <v>129</v>
      </c>
      <c r="G838" t="s">
        <v>60</v>
      </c>
      <c r="H838" t="s">
        <v>61</v>
      </c>
      <c r="I838">
        <v>800</v>
      </c>
      <c r="J838">
        <v>1040</v>
      </c>
      <c r="K838">
        <v>3</v>
      </c>
      <c r="L838">
        <v>2400</v>
      </c>
      <c r="M838">
        <v>3120</v>
      </c>
      <c r="N838" t="s">
        <v>56</v>
      </c>
      <c r="O838">
        <f t="shared" si="26"/>
        <v>3315</v>
      </c>
      <c r="P838" s="13">
        <f t="shared" si="27"/>
        <v>2559635</v>
      </c>
      <c r="Q838" s="13">
        <f>SUMIFS(M:M,E:E,Online_eCommerce[[#This Row],[Status]])</f>
        <v>28620410</v>
      </c>
      <c r="R838" s="13">
        <f>SUMIFS(L:L,H:H,Online_eCommerce[[#This Row],[Brand]])</f>
        <v>10950150</v>
      </c>
      <c r="S838" s="13">
        <f>SUMIF(H:H,Online_eCommerce[[#This Row],[Brand]],M:M)</f>
        <v>14235195</v>
      </c>
      <c r="T838" s="13">
        <f>SUMIF(N:N,Online_eCommerce[[#This Row],[Assigned Supervisor]],L:L)</f>
        <v>11733610</v>
      </c>
    </row>
    <row r="839" spans="1:20" hidden="1" x14ac:dyDescent="0.3">
      <c r="A839" t="s">
        <v>1302</v>
      </c>
      <c r="B839" t="s">
        <v>154</v>
      </c>
      <c r="C839" t="s">
        <v>205</v>
      </c>
      <c r="D839" t="s">
        <v>1287</v>
      </c>
      <c r="E839" t="s">
        <v>96</v>
      </c>
      <c r="F839" t="s">
        <v>133</v>
      </c>
      <c r="G839" t="s">
        <v>66</v>
      </c>
      <c r="H839" t="s">
        <v>21</v>
      </c>
      <c r="I839">
        <v>600</v>
      </c>
      <c r="J839">
        <v>780</v>
      </c>
      <c r="K839">
        <v>4</v>
      </c>
      <c r="L839">
        <v>2400</v>
      </c>
      <c r="M839">
        <v>3120</v>
      </c>
      <c r="N839" t="s">
        <v>22</v>
      </c>
      <c r="O839">
        <f t="shared" si="26"/>
        <v>1690</v>
      </c>
      <c r="P839" s="13">
        <f t="shared" si="27"/>
        <v>1983254</v>
      </c>
      <c r="Q839" s="13">
        <f>SUMIFS(M:M,E:E,Online_eCommerce[[#This Row],[Status]])</f>
        <v>21233992</v>
      </c>
      <c r="R839" s="13">
        <f>SUMIFS(L:L,H:H,Online_eCommerce[[#This Row],[Brand]])</f>
        <v>12435650</v>
      </c>
      <c r="S839" s="13">
        <f>SUMIF(H:H,Online_eCommerce[[#This Row],[Brand]],M:M)</f>
        <v>16166345</v>
      </c>
      <c r="T839" s="13">
        <f>SUMIF(N:N,Online_eCommerce[[#This Row],[Assigned Supervisor]],L:L)</f>
        <v>13693220</v>
      </c>
    </row>
    <row r="840" spans="1:20" hidden="1" x14ac:dyDescent="0.3">
      <c r="A840" t="s">
        <v>1303</v>
      </c>
      <c r="B840" t="s">
        <v>154</v>
      </c>
      <c r="C840" t="s">
        <v>208</v>
      </c>
      <c r="D840" t="s">
        <v>1287</v>
      </c>
      <c r="E840" t="s">
        <v>18</v>
      </c>
      <c r="F840" t="s">
        <v>137</v>
      </c>
      <c r="G840" t="s">
        <v>71</v>
      </c>
      <c r="H840" t="s">
        <v>61</v>
      </c>
      <c r="I840">
        <v>10500</v>
      </c>
      <c r="J840">
        <v>13650</v>
      </c>
      <c r="K840">
        <v>3</v>
      </c>
      <c r="L840">
        <v>31500</v>
      </c>
      <c r="M840">
        <v>40950</v>
      </c>
      <c r="N840" t="s">
        <v>28</v>
      </c>
      <c r="O840">
        <f t="shared" si="26"/>
        <v>9750</v>
      </c>
      <c r="P840" s="13">
        <f t="shared" si="27"/>
        <v>2746575</v>
      </c>
      <c r="Q840" s="13">
        <f>SUMIFS(M:M,E:E,Online_eCommerce[[#This Row],[Status]])</f>
        <v>28340455</v>
      </c>
      <c r="R840" s="13">
        <f>SUMIFS(L:L,H:H,Online_eCommerce[[#This Row],[Brand]])</f>
        <v>10950150</v>
      </c>
      <c r="S840" s="13">
        <f>SUMIF(H:H,Online_eCommerce[[#This Row],[Brand]],M:M)</f>
        <v>14235195</v>
      </c>
      <c r="T840" s="13">
        <f>SUMIF(N:N,Online_eCommerce[[#This Row],[Assigned Supervisor]],L:L)</f>
        <v>12220830</v>
      </c>
    </row>
    <row r="841" spans="1:20" hidden="1" x14ac:dyDescent="0.3">
      <c r="A841" t="s">
        <v>1304</v>
      </c>
      <c r="B841" t="s">
        <v>154</v>
      </c>
      <c r="C841" t="s">
        <v>211</v>
      </c>
      <c r="D841" t="s">
        <v>1287</v>
      </c>
      <c r="E841" t="s">
        <v>161</v>
      </c>
      <c r="F841" t="s">
        <v>1274</v>
      </c>
      <c r="G841" t="s">
        <v>77</v>
      </c>
      <c r="H841" t="s">
        <v>142</v>
      </c>
      <c r="I841">
        <v>6500</v>
      </c>
      <c r="J841">
        <v>8450</v>
      </c>
      <c r="K841">
        <v>3</v>
      </c>
      <c r="L841">
        <v>19500</v>
      </c>
      <c r="M841">
        <v>25350</v>
      </c>
      <c r="N841" t="s">
        <v>35</v>
      </c>
      <c r="O841">
        <f t="shared" si="26"/>
        <v>39000</v>
      </c>
      <c r="P841" s="13">
        <f t="shared" si="27"/>
        <v>1809847</v>
      </c>
      <c r="Q841" s="13">
        <f>SUMIFS(M:M,E:E,Online_eCommerce[[#This Row],[Status]])</f>
        <v>21103186</v>
      </c>
      <c r="R841" s="13">
        <f>SUMIFS(L:L,H:H,Online_eCommerce[[#This Row],[Brand]])</f>
        <v>6192500</v>
      </c>
      <c r="S841" s="13">
        <f>SUMIF(H:H,Online_eCommerce[[#This Row],[Brand]],M:M)</f>
        <v>8050250</v>
      </c>
      <c r="T841" s="13">
        <f>SUMIF(N:N,Online_eCommerce[[#This Row],[Assigned Supervisor]],L:L)</f>
        <v>14373360</v>
      </c>
    </row>
    <row r="842" spans="1:20" x14ac:dyDescent="0.3">
      <c r="A842" t="s">
        <v>1305</v>
      </c>
      <c r="B842" t="s">
        <v>154</v>
      </c>
      <c r="C842" t="s">
        <v>16</v>
      </c>
      <c r="D842" t="s">
        <v>1287</v>
      </c>
      <c r="E842" t="s">
        <v>46</v>
      </c>
      <c r="F842" t="s">
        <v>1306</v>
      </c>
      <c r="G842" t="s">
        <v>20</v>
      </c>
      <c r="H842" t="s">
        <v>21</v>
      </c>
      <c r="I842">
        <v>4500</v>
      </c>
      <c r="J842">
        <v>5850</v>
      </c>
      <c r="K842">
        <v>4</v>
      </c>
      <c r="L842">
        <v>18000</v>
      </c>
      <c r="M842">
        <v>23400</v>
      </c>
      <c r="N842" t="s">
        <v>42</v>
      </c>
      <c r="O842">
        <f t="shared" si="26"/>
        <v>8450</v>
      </c>
      <c r="P842" s="13">
        <f t="shared" si="27"/>
        <v>2751814</v>
      </c>
      <c r="Q842" s="13">
        <f>SUMIFS(M:M,E:E,Online_eCommerce[[#This Row],[Status]])</f>
        <v>28620410</v>
      </c>
      <c r="R842" s="13">
        <f>SUMIFS(L:L,H:H,Online_eCommerce[[#This Row],[Brand]])</f>
        <v>12435650</v>
      </c>
      <c r="S842" s="13">
        <f>SUMIF(H:H,Online_eCommerce[[#This Row],[Brand]],M:M)</f>
        <v>16166345</v>
      </c>
      <c r="T842" s="13">
        <f>SUMIF(N:N,Online_eCommerce[[#This Row],[Assigned Supervisor]],L:L)</f>
        <v>12261500</v>
      </c>
    </row>
    <row r="843" spans="1:20" hidden="1" x14ac:dyDescent="0.3">
      <c r="A843" t="s">
        <v>1307</v>
      </c>
      <c r="B843" t="s">
        <v>154</v>
      </c>
      <c r="C843" t="s">
        <v>24</v>
      </c>
      <c r="D843" t="s">
        <v>1287</v>
      </c>
      <c r="E843" t="s">
        <v>96</v>
      </c>
      <c r="F843" t="s">
        <v>152</v>
      </c>
      <c r="G843" t="s">
        <v>26</v>
      </c>
      <c r="H843" t="s">
        <v>27</v>
      </c>
      <c r="I843">
        <v>8500</v>
      </c>
      <c r="J843">
        <v>11050</v>
      </c>
      <c r="K843">
        <v>1</v>
      </c>
      <c r="L843">
        <v>8500</v>
      </c>
      <c r="M843">
        <v>11050</v>
      </c>
      <c r="N843" t="s">
        <v>50</v>
      </c>
      <c r="O843">
        <f t="shared" si="26"/>
        <v>33150</v>
      </c>
      <c r="P843" s="13">
        <f t="shared" si="27"/>
        <v>2009540</v>
      </c>
      <c r="Q843" s="13">
        <f>SUMIFS(M:M,E:E,Online_eCommerce[[#This Row],[Status]])</f>
        <v>21233992</v>
      </c>
      <c r="R843" s="13">
        <f>SUMIFS(L:L,H:H,Online_eCommerce[[#This Row],[Brand]])</f>
        <v>14431000</v>
      </c>
      <c r="S843" s="13">
        <f>SUMIF(H:H,Online_eCommerce[[#This Row],[Brand]],M:M)</f>
        <v>18760300</v>
      </c>
      <c r="T843" s="13">
        <f>SUMIF(N:N,Online_eCommerce[[#This Row],[Assigned Supervisor]],L:L)</f>
        <v>12100590</v>
      </c>
    </row>
    <row r="844" spans="1:20" hidden="1" x14ac:dyDescent="0.3">
      <c r="A844" t="s">
        <v>1308</v>
      </c>
      <c r="B844" t="s">
        <v>154</v>
      </c>
      <c r="C844" t="s">
        <v>31</v>
      </c>
      <c r="D844" t="s">
        <v>1287</v>
      </c>
      <c r="E844" t="s">
        <v>18</v>
      </c>
      <c r="F844" t="s">
        <v>157</v>
      </c>
      <c r="G844" t="s">
        <v>33</v>
      </c>
      <c r="H844" t="s">
        <v>34</v>
      </c>
      <c r="I844">
        <v>12500</v>
      </c>
      <c r="J844">
        <v>16250</v>
      </c>
      <c r="K844">
        <v>4</v>
      </c>
      <c r="L844">
        <v>50000</v>
      </c>
      <c r="M844">
        <v>65000</v>
      </c>
      <c r="N844" t="s">
        <v>56</v>
      </c>
      <c r="O844">
        <f t="shared" si="26"/>
        <v>18200</v>
      </c>
      <c r="P844" s="13">
        <f t="shared" si="27"/>
        <v>2865746</v>
      </c>
      <c r="Q844" s="13">
        <f>SUMIFS(M:M,E:E,Online_eCommerce[[#This Row],[Status]])</f>
        <v>28340455</v>
      </c>
      <c r="R844" s="13">
        <f>SUMIFS(L:L,H:H,Online_eCommerce[[#This Row],[Brand]])</f>
        <v>10087000</v>
      </c>
      <c r="S844" s="13">
        <f>SUMIF(H:H,Online_eCommerce[[#This Row],[Brand]],M:M)</f>
        <v>13113100</v>
      </c>
      <c r="T844" s="13">
        <f>SUMIF(N:N,Online_eCommerce[[#This Row],[Assigned Supervisor]],L:L)</f>
        <v>11733610</v>
      </c>
    </row>
    <row r="845" spans="1:20" hidden="1" x14ac:dyDescent="0.3">
      <c r="A845" t="s">
        <v>1309</v>
      </c>
      <c r="B845" t="s">
        <v>154</v>
      </c>
      <c r="C845" t="s">
        <v>38</v>
      </c>
      <c r="D845" t="s">
        <v>1287</v>
      </c>
      <c r="E845" t="s">
        <v>161</v>
      </c>
      <c r="F845" t="s">
        <v>973</v>
      </c>
      <c r="G845" t="s">
        <v>163</v>
      </c>
      <c r="H845" t="s">
        <v>41</v>
      </c>
      <c r="I845">
        <v>3500</v>
      </c>
      <c r="J845">
        <v>4550</v>
      </c>
      <c r="K845">
        <v>2</v>
      </c>
      <c r="L845">
        <v>7000</v>
      </c>
      <c r="M845">
        <v>9100</v>
      </c>
      <c r="N845" t="s">
        <v>22</v>
      </c>
      <c r="O845">
        <f t="shared" si="26"/>
        <v>13650</v>
      </c>
      <c r="P845" s="13">
        <f t="shared" si="27"/>
        <v>1933997</v>
      </c>
      <c r="Q845" s="13">
        <f>SUMIFS(M:M,E:E,Online_eCommerce[[#This Row],[Status]])</f>
        <v>21103186</v>
      </c>
      <c r="R845" s="13">
        <f>SUMIFS(L:L,H:H,Online_eCommerce[[#This Row],[Brand]])</f>
        <v>4260400</v>
      </c>
      <c r="S845" s="13">
        <f>SUMIF(H:H,Online_eCommerce[[#This Row],[Brand]],M:M)</f>
        <v>5538520</v>
      </c>
      <c r="T845" s="13">
        <f>SUMIF(N:N,Online_eCommerce[[#This Row],[Assigned Supervisor]],L:L)</f>
        <v>13693220</v>
      </c>
    </row>
    <row r="846" spans="1:20" x14ac:dyDescent="0.3">
      <c r="A846" t="s">
        <v>1310</v>
      </c>
      <c r="B846" t="s">
        <v>154</v>
      </c>
      <c r="C846" t="s">
        <v>45</v>
      </c>
      <c r="D846" t="s">
        <v>1287</v>
      </c>
      <c r="E846" t="s">
        <v>46</v>
      </c>
      <c r="F846" t="s">
        <v>166</v>
      </c>
      <c r="G846" t="s">
        <v>66</v>
      </c>
      <c r="H846" t="s">
        <v>49</v>
      </c>
      <c r="I846">
        <v>4500</v>
      </c>
      <c r="J846">
        <v>5850</v>
      </c>
      <c r="K846">
        <v>1</v>
      </c>
      <c r="L846">
        <v>4500</v>
      </c>
      <c r="M846">
        <v>5850</v>
      </c>
      <c r="N846" t="s">
        <v>28</v>
      </c>
      <c r="O846">
        <f t="shared" si="26"/>
        <v>1690</v>
      </c>
      <c r="P846" s="13">
        <f t="shared" si="27"/>
        <v>2842554</v>
      </c>
      <c r="Q846" s="13">
        <f>SUMIFS(M:M,E:E,Online_eCommerce[[#This Row],[Status]])</f>
        <v>28620410</v>
      </c>
      <c r="R846" s="13">
        <f>SUMIFS(L:L,H:H,Online_eCommerce[[#This Row],[Brand]])</f>
        <v>4528350</v>
      </c>
      <c r="S846" s="13">
        <f>SUMIF(H:H,Online_eCommerce[[#This Row],[Brand]],M:M)</f>
        <v>5886855</v>
      </c>
      <c r="T846" s="13">
        <f>SUMIF(N:N,Online_eCommerce[[#This Row],[Assigned Supervisor]],L:L)</f>
        <v>12220830</v>
      </c>
    </row>
    <row r="847" spans="1:20" hidden="1" x14ac:dyDescent="0.3">
      <c r="A847" t="s">
        <v>1311</v>
      </c>
      <c r="B847" t="s">
        <v>154</v>
      </c>
      <c r="C847" t="s">
        <v>52</v>
      </c>
      <c r="D847" t="s">
        <v>1287</v>
      </c>
      <c r="E847" t="s">
        <v>96</v>
      </c>
      <c r="F847" t="s">
        <v>1312</v>
      </c>
      <c r="G847" t="s">
        <v>54</v>
      </c>
      <c r="H847" t="s">
        <v>55</v>
      </c>
      <c r="I847">
        <v>2100</v>
      </c>
      <c r="J847">
        <v>2730</v>
      </c>
      <c r="K847">
        <v>1</v>
      </c>
      <c r="L847">
        <v>2100</v>
      </c>
      <c r="M847">
        <v>2730</v>
      </c>
      <c r="N847" t="s">
        <v>35</v>
      </c>
      <c r="O847">
        <f t="shared" si="26"/>
        <v>2990</v>
      </c>
      <c r="P847" s="13">
        <f t="shared" si="27"/>
        <v>1955044</v>
      </c>
      <c r="Q847" s="13">
        <f>SUMIFS(M:M,E:E,Online_eCommerce[[#This Row],[Status]])</f>
        <v>21233992</v>
      </c>
      <c r="R847" s="13">
        <f>SUMIFS(L:L,H:H,Online_eCommerce[[#This Row],[Brand]])</f>
        <v>2267380</v>
      </c>
      <c r="S847" s="13">
        <f>SUMIF(H:H,Online_eCommerce[[#This Row],[Brand]],M:M)</f>
        <v>2947594</v>
      </c>
      <c r="T847" s="13">
        <f>SUMIF(N:N,Online_eCommerce[[#This Row],[Assigned Supervisor]],L:L)</f>
        <v>14373360</v>
      </c>
    </row>
    <row r="848" spans="1:20" hidden="1" x14ac:dyDescent="0.3">
      <c r="A848" t="s">
        <v>1313</v>
      </c>
      <c r="B848" t="s">
        <v>154</v>
      </c>
      <c r="C848" t="s">
        <v>58</v>
      </c>
      <c r="D848" t="s">
        <v>1287</v>
      </c>
      <c r="E848" t="s">
        <v>18</v>
      </c>
      <c r="F848" t="s">
        <v>174</v>
      </c>
      <c r="G848" t="s">
        <v>60</v>
      </c>
      <c r="H848" t="s">
        <v>61</v>
      </c>
      <c r="I848">
        <v>1150</v>
      </c>
      <c r="J848">
        <v>1495</v>
      </c>
      <c r="K848">
        <v>2</v>
      </c>
      <c r="L848">
        <v>2300</v>
      </c>
      <c r="M848">
        <v>2990</v>
      </c>
      <c r="N848" t="s">
        <v>42</v>
      </c>
      <c r="O848">
        <f t="shared" si="26"/>
        <v>3315</v>
      </c>
      <c r="P848" s="13">
        <f t="shared" si="27"/>
        <v>2629211</v>
      </c>
      <c r="Q848" s="13">
        <f>SUMIFS(M:M,E:E,Online_eCommerce[[#This Row],[Status]])</f>
        <v>28340455</v>
      </c>
      <c r="R848" s="13">
        <f>SUMIFS(L:L,H:H,Online_eCommerce[[#This Row],[Brand]])</f>
        <v>10950150</v>
      </c>
      <c r="S848" s="13">
        <f>SUMIF(H:H,Online_eCommerce[[#This Row],[Brand]],M:M)</f>
        <v>14235195</v>
      </c>
      <c r="T848" s="13">
        <f>SUMIF(N:N,Online_eCommerce[[#This Row],[Assigned Supervisor]],L:L)</f>
        <v>12261500</v>
      </c>
    </row>
    <row r="849" spans="1:20" hidden="1" x14ac:dyDescent="0.3">
      <c r="A849" t="s">
        <v>1314</v>
      </c>
      <c r="B849" t="s">
        <v>154</v>
      </c>
      <c r="C849" t="s">
        <v>63</v>
      </c>
      <c r="D849" t="s">
        <v>1315</v>
      </c>
      <c r="E849" t="s">
        <v>161</v>
      </c>
      <c r="F849" t="s">
        <v>179</v>
      </c>
      <c r="G849" t="s">
        <v>66</v>
      </c>
      <c r="H849" t="s">
        <v>21</v>
      </c>
      <c r="I849">
        <v>350</v>
      </c>
      <c r="J849">
        <v>455</v>
      </c>
      <c r="K849">
        <v>1</v>
      </c>
      <c r="L849">
        <v>350</v>
      </c>
      <c r="M849">
        <v>455</v>
      </c>
      <c r="N849" t="s">
        <v>50</v>
      </c>
      <c r="O849">
        <f t="shared" si="26"/>
        <v>1690</v>
      </c>
      <c r="P849" s="13">
        <f t="shared" si="27"/>
        <v>2016131</v>
      </c>
      <c r="Q849" s="13">
        <f>SUMIFS(M:M,E:E,Online_eCommerce[[#This Row],[Status]])</f>
        <v>21103186</v>
      </c>
      <c r="R849" s="13">
        <f>SUMIFS(L:L,H:H,Online_eCommerce[[#This Row],[Brand]])</f>
        <v>12435650</v>
      </c>
      <c r="S849" s="13">
        <f>SUMIF(H:H,Online_eCommerce[[#This Row],[Brand]],M:M)</f>
        <v>16166345</v>
      </c>
      <c r="T849" s="13">
        <f>SUMIF(N:N,Online_eCommerce[[#This Row],[Assigned Supervisor]],L:L)</f>
        <v>12100590</v>
      </c>
    </row>
    <row r="850" spans="1:20" x14ac:dyDescent="0.3">
      <c r="A850" t="s">
        <v>1316</v>
      </c>
      <c r="B850" t="s">
        <v>154</v>
      </c>
      <c r="C850" t="s">
        <v>68</v>
      </c>
      <c r="D850" t="s">
        <v>1317</v>
      </c>
      <c r="E850" t="s">
        <v>46</v>
      </c>
      <c r="F850" t="s">
        <v>183</v>
      </c>
      <c r="G850" t="s">
        <v>71</v>
      </c>
      <c r="H850" t="s">
        <v>61</v>
      </c>
      <c r="I850">
        <v>9500</v>
      </c>
      <c r="J850">
        <v>12350</v>
      </c>
      <c r="K850">
        <v>3</v>
      </c>
      <c r="L850">
        <v>28500</v>
      </c>
      <c r="M850">
        <v>37050</v>
      </c>
      <c r="N850" t="s">
        <v>56</v>
      </c>
      <c r="O850">
        <f t="shared" si="26"/>
        <v>9750</v>
      </c>
      <c r="P850" s="13">
        <f t="shared" si="27"/>
        <v>2974621</v>
      </c>
      <c r="Q850" s="13">
        <f>SUMIFS(M:M,E:E,Online_eCommerce[[#This Row],[Status]])</f>
        <v>28620410</v>
      </c>
      <c r="R850" s="13">
        <f>SUMIFS(L:L,H:H,Online_eCommerce[[#This Row],[Brand]])</f>
        <v>10950150</v>
      </c>
      <c r="S850" s="13">
        <f>SUMIF(H:H,Online_eCommerce[[#This Row],[Brand]],M:M)</f>
        <v>14235195</v>
      </c>
      <c r="T850" s="13">
        <f>SUMIF(N:N,Online_eCommerce[[#This Row],[Assigned Supervisor]],L:L)</f>
        <v>11733610</v>
      </c>
    </row>
    <row r="851" spans="1:20" hidden="1" x14ac:dyDescent="0.3">
      <c r="A851" t="s">
        <v>1318</v>
      </c>
      <c r="B851" t="s">
        <v>154</v>
      </c>
      <c r="C851" t="s">
        <v>74</v>
      </c>
      <c r="D851" t="s">
        <v>1319</v>
      </c>
      <c r="E851" t="s">
        <v>96</v>
      </c>
      <c r="F851" t="s">
        <v>1320</v>
      </c>
      <c r="G851" t="s">
        <v>77</v>
      </c>
      <c r="H851" t="s">
        <v>142</v>
      </c>
      <c r="I851">
        <v>10000</v>
      </c>
      <c r="J851">
        <v>13000</v>
      </c>
      <c r="K851">
        <v>2</v>
      </c>
      <c r="L851">
        <v>20000</v>
      </c>
      <c r="M851">
        <v>26000</v>
      </c>
      <c r="N851" t="s">
        <v>22</v>
      </c>
      <c r="O851">
        <f t="shared" si="26"/>
        <v>39000</v>
      </c>
      <c r="P851" s="13">
        <f t="shared" si="27"/>
        <v>2144701</v>
      </c>
      <c r="Q851" s="13">
        <f>SUMIFS(M:M,E:E,Online_eCommerce[[#This Row],[Status]])</f>
        <v>21233992</v>
      </c>
      <c r="R851" s="13">
        <f>SUMIFS(L:L,H:H,Online_eCommerce[[#This Row],[Brand]])</f>
        <v>6192500</v>
      </c>
      <c r="S851" s="13">
        <f>SUMIF(H:H,Online_eCommerce[[#This Row],[Brand]],M:M)</f>
        <v>8050250</v>
      </c>
      <c r="T851" s="13">
        <f>SUMIF(N:N,Online_eCommerce[[#This Row],[Assigned Supervisor]],L:L)</f>
        <v>13693220</v>
      </c>
    </row>
    <row r="852" spans="1:20" hidden="1" x14ac:dyDescent="0.3">
      <c r="A852" t="s">
        <v>1321</v>
      </c>
      <c r="B852" t="s">
        <v>154</v>
      </c>
      <c r="C852" t="s">
        <v>81</v>
      </c>
      <c r="D852" t="s">
        <v>1322</v>
      </c>
      <c r="E852" t="s">
        <v>18</v>
      </c>
      <c r="F852" t="s">
        <v>1323</v>
      </c>
      <c r="G852" t="s">
        <v>20</v>
      </c>
      <c r="H852" t="s">
        <v>21</v>
      </c>
      <c r="I852">
        <v>6500</v>
      </c>
      <c r="J852">
        <v>8450</v>
      </c>
      <c r="K852">
        <v>1</v>
      </c>
      <c r="L852">
        <v>6500</v>
      </c>
      <c r="M852">
        <v>8450</v>
      </c>
      <c r="N852" t="s">
        <v>28</v>
      </c>
      <c r="O852">
        <f t="shared" si="26"/>
        <v>8450</v>
      </c>
      <c r="P852" s="13">
        <f t="shared" si="27"/>
        <v>2595632</v>
      </c>
      <c r="Q852" s="13">
        <f>SUMIFS(M:M,E:E,Online_eCommerce[[#This Row],[Status]])</f>
        <v>28340455</v>
      </c>
      <c r="R852" s="13">
        <f>SUMIFS(L:L,H:H,Online_eCommerce[[#This Row],[Brand]])</f>
        <v>12435650</v>
      </c>
      <c r="S852" s="13">
        <f>SUMIF(H:H,Online_eCommerce[[#This Row],[Brand]],M:M)</f>
        <v>16166345</v>
      </c>
      <c r="T852" s="13">
        <f>SUMIF(N:N,Online_eCommerce[[#This Row],[Assigned Supervisor]],L:L)</f>
        <v>12220830</v>
      </c>
    </row>
    <row r="853" spans="1:20" hidden="1" x14ac:dyDescent="0.3">
      <c r="A853" t="s">
        <v>1324</v>
      </c>
      <c r="B853" t="s">
        <v>154</v>
      </c>
      <c r="C853" t="s">
        <v>86</v>
      </c>
      <c r="D853" t="s">
        <v>1325</v>
      </c>
      <c r="E853" t="s">
        <v>161</v>
      </c>
      <c r="F853" t="s">
        <v>1326</v>
      </c>
      <c r="G853" t="s">
        <v>26</v>
      </c>
      <c r="H853" t="s">
        <v>27</v>
      </c>
      <c r="I853">
        <v>8500</v>
      </c>
      <c r="J853">
        <v>11050</v>
      </c>
      <c r="K853">
        <v>4</v>
      </c>
      <c r="L853">
        <v>34000</v>
      </c>
      <c r="M853">
        <v>44200</v>
      </c>
      <c r="N853" t="s">
        <v>35</v>
      </c>
      <c r="O853">
        <f t="shared" si="26"/>
        <v>33150</v>
      </c>
      <c r="P853" s="13">
        <f t="shared" si="27"/>
        <v>1941225</v>
      </c>
      <c r="Q853" s="13">
        <f>SUMIFS(M:M,E:E,Online_eCommerce[[#This Row],[Status]])</f>
        <v>21103186</v>
      </c>
      <c r="R853" s="13">
        <f>SUMIFS(L:L,H:H,Online_eCommerce[[#This Row],[Brand]])</f>
        <v>14431000</v>
      </c>
      <c r="S853" s="13">
        <f>SUMIF(H:H,Online_eCommerce[[#This Row],[Brand]],M:M)</f>
        <v>18760300</v>
      </c>
      <c r="T853" s="13">
        <f>SUMIF(N:N,Online_eCommerce[[#This Row],[Assigned Supervisor]],L:L)</f>
        <v>14373360</v>
      </c>
    </row>
    <row r="854" spans="1:20" x14ac:dyDescent="0.3">
      <c r="A854" t="s">
        <v>1327</v>
      </c>
      <c r="B854" t="s">
        <v>154</v>
      </c>
      <c r="C854" t="s">
        <v>91</v>
      </c>
      <c r="D854" t="s">
        <v>1328</v>
      </c>
      <c r="E854" t="s">
        <v>46</v>
      </c>
      <c r="F854" t="s">
        <v>32</v>
      </c>
      <c r="G854" t="s">
        <v>33</v>
      </c>
      <c r="H854" t="s">
        <v>34</v>
      </c>
      <c r="I854">
        <v>7000</v>
      </c>
      <c r="J854">
        <v>9100</v>
      </c>
      <c r="K854">
        <v>4</v>
      </c>
      <c r="L854">
        <v>28000</v>
      </c>
      <c r="M854">
        <v>36400</v>
      </c>
      <c r="N854" t="s">
        <v>42</v>
      </c>
      <c r="O854">
        <f t="shared" si="26"/>
        <v>18200</v>
      </c>
      <c r="P854" s="13">
        <f t="shared" si="27"/>
        <v>2731963</v>
      </c>
      <c r="Q854" s="13">
        <f>SUMIFS(M:M,E:E,Online_eCommerce[[#This Row],[Status]])</f>
        <v>28620410</v>
      </c>
      <c r="R854" s="13">
        <f>SUMIFS(L:L,H:H,Online_eCommerce[[#This Row],[Brand]])</f>
        <v>10087000</v>
      </c>
      <c r="S854" s="13">
        <f>SUMIF(H:H,Online_eCommerce[[#This Row],[Brand]],M:M)</f>
        <v>13113100</v>
      </c>
      <c r="T854" s="13">
        <f>SUMIF(N:N,Online_eCommerce[[#This Row],[Assigned Supervisor]],L:L)</f>
        <v>12261500</v>
      </c>
    </row>
    <row r="855" spans="1:20" hidden="1" x14ac:dyDescent="0.3">
      <c r="A855" t="s">
        <v>1329</v>
      </c>
      <c r="B855" t="s">
        <v>154</v>
      </c>
      <c r="C855" t="s">
        <v>94</v>
      </c>
      <c r="D855" t="s">
        <v>1330</v>
      </c>
      <c r="E855" t="s">
        <v>96</v>
      </c>
      <c r="F855" t="s">
        <v>1331</v>
      </c>
      <c r="G855" t="s">
        <v>163</v>
      </c>
      <c r="H855" t="s">
        <v>41</v>
      </c>
      <c r="I855">
        <v>6550</v>
      </c>
      <c r="J855">
        <v>8515</v>
      </c>
      <c r="K855">
        <v>3</v>
      </c>
      <c r="L855">
        <v>19650</v>
      </c>
      <c r="M855">
        <v>25545</v>
      </c>
      <c r="N855" t="s">
        <v>50</v>
      </c>
      <c r="O855">
        <f t="shared" si="26"/>
        <v>13650</v>
      </c>
      <c r="P855" s="13">
        <f t="shared" si="27"/>
        <v>1868256</v>
      </c>
      <c r="Q855" s="13">
        <f>SUMIFS(M:M,E:E,Online_eCommerce[[#This Row],[Status]])</f>
        <v>21233992</v>
      </c>
      <c r="R855" s="13">
        <f>SUMIFS(L:L,H:H,Online_eCommerce[[#This Row],[Brand]])</f>
        <v>4260400</v>
      </c>
      <c r="S855" s="13">
        <f>SUMIF(H:H,Online_eCommerce[[#This Row],[Brand]],M:M)</f>
        <v>5538520</v>
      </c>
      <c r="T855" s="13">
        <f>SUMIF(N:N,Online_eCommerce[[#This Row],[Assigned Supervisor]],L:L)</f>
        <v>12100590</v>
      </c>
    </row>
    <row r="856" spans="1:20" hidden="1" x14ac:dyDescent="0.3">
      <c r="A856" t="s">
        <v>1332</v>
      </c>
      <c r="B856" t="s">
        <v>154</v>
      </c>
      <c r="C856" t="s">
        <v>99</v>
      </c>
      <c r="D856" t="s">
        <v>1333</v>
      </c>
      <c r="E856" t="s">
        <v>18</v>
      </c>
      <c r="F856" t="s">
        <v>47</v>
      </c>
      <c r="G856" t="s">
        <v>66</v>
      </c>
      <c r="H856" t="s">
        <v>49</v>
      </c>
      <c r="I856">
        <v>7650</v>
      </c>
      <c r="J856">
        <v>9945</v>
      </c>
      <c r="K856">
        <v>1</v>
      </c>
      <c r="L856">
        <v>7650</v>
      </c>
      <c r="M856">
        <v>9945</v>
      </c>
      <c r="N856" t="s">
        <v>56</v>
      </c>
      <c r="O856">
        <f t="shared" si="26"/>
        <v>1690</v>
      </c>
      <c r="P856" s="13">
        <f t="shared" si="27"/>
        <v>2651233</v>
      </c>
      <c r="Q856" s="13">
        <f>SUMIFS(M:M,E:E,Online_eCommerce[[#This Row],[Status]])</f>
        <v>28340455</v>
      </c>
      <c r="R856" s="13">
        <f>SUMIFS(L:L,H:H,Online_eCommerce[[#This Row],[Brand]])</f>
        <v>4528350</v>
      </c>
      <c r="S856" s="13">
        <f>SUMIF(H:H,Online_eCommerce[[#This Row],[Brand]],M:M)</f>
        <v>5886855</v>
      </c>
      <c r="T856" s="13">
        <f>SUMIF(N:N,Online_eCommerce[[#This Row],[Assigned Supervisor]],L:L)</f>
        <v>11733610</v>
      </c>
    </row>
    <row r="857" spans="1:20" hidden="1" x14ac:dyDescent="0.3">
      <c r="A857" t="s">
        <v>1334</v>
      </c>
      <c r="B857" t="s">
        <v>154</v>
      </c>
      <c r="C857" t="s">
        <v>105</v>
      </c>
      <c r="D857" t="s">
        <v>1333</v>
      </c>
      <c r="E857" t="s">
        <v>161</v>
      </c>
      <c r="F857" t="s">
        <v>53</v>
      </c>
      <c r="G857" t="s">
        <v>54</v>
      </c>
      <c r="H857" t="s">
        <v>55</v>
      </c>
      <c r="I857">
        <v>1150</v>
      </c>
      <c r="J857">
        <v>1495</v>
      </c>
      <c r="K857">
        <v>3</v>
      </c>
      <c r="L857">
        <v>3450</v>
      </c>
      <c r="M857">
        <v>4485</v>
      </c>
      <c r="N857" t="s">
        <v>22</v>
      </c>
      <c r="O857">
        <f t="shared" si="26"/>
        <v>2990</v>
      </c>
      <c r="P857" s="13">
        <f t="shared" si="27"/>
        <v>1866852</v>
      </c>
      <c r="Q857" s="13">
        <f>SUMIFS(M:M,E:E,Online_eCommerce[[#This Row],[Status]])</f>
        <v>21103186</v>
      </c>
      <c r="R857" s="13">
        <f>SUMIFS(L:L,H:H,Online_eCommerce[[#This Row],[Brand]])</f>
        <v>2267380</v>
      </c>
      <c r="S857" s="13">
        <f>SUMIF(H:H,Online_eCommerce[[#This Row],[Brand]],M:M)</f>
        <v>2947594</v>
      </c>
      <c r="T857" s="13">
        <f>SUMIF(N:N,Online_eCommerce[[#This Row],[Assigned Supervisor]],L:L)</f>
        <v>13693220</v>
      </c>
    </row>
    <row r="858" spans="1:20" x14ac:dyDescent="0.3">
      <c r="A858" t="s">
        <v>1335</v>
      </c>
      <c r="B858" t="s">
        <v>154</v>
      </c>
      <c r="C858" t="s">
        <v>110</v>
      </c>
      <c r="D858" t="s">
        <v>1333</v>
      </c>
      <c r="E858" t="s">
        <v>46</v>
      </c>
      <c r="F858" t="s">
        <v>59</v>
      </c>
      <c r="G858" t="s">
        <v>60</v>
      </c>
      <c r="H858" t="s">
        <v>61</v>
      </c>
      <c r="I858">
        <v>850</v>
      </c>
      <c r="J858">
        <v>1105</v>
      </c>
      <c r="K858">
        <v>1</v>
      </c>
      <c r="L858">
        <v>850</v>
      </c>
      <c r="M858">
        <v>1105</v>
      </c>
      <c r="N858" t="s">
        <v>28</v>
      </c>
      <c r="O858">
        <f t="shared" si="26"/>
        <v>3315</v>
      </c>
      <c r="P858" s="13">
        <f t="shared" si="27"/>
        <v>2598635</v>
      </c>
      <c r="Q858" s="13">
        <f>SUMIFS(M:M,E:E,Online_eCommerce[[#This Row],[Status]])</f>
        <v>28620410</v>
      </c>
      <c r="R858" s="13">
        <f>SUMIFS(L:L,H:H,Online_eCommerce[[#This Row],[Brand]])</f>
        <v>10950150</v>
      </c>
      <c r="S858" s="13">
        <f>SUMIF(H:H,Online_eCommerce[[#This Row],[Brand]],M:M)</f>
        <v>14235195</v>
      </c>
      <c r="T858" s="13">
        <f>SUMIF(N:N,Online_eCommerce[[#This Row],[Assigned Supervisor]],L:L)</f>
        <v>12220830</v>
      </c>
    </row>
    <row r="859" spans="1:20" hidden="1" x14ac:dyDescent="0.3">
      <c r="A859" t="s">
        <v>1336</v>
      </c>
      <c r="B859" t="s">
        <v>154</v>
      </c>
      <c r="C859" t="s">
        <v>115</v>
      </c>
      <c r="D859" t="s">
        <v>1333</v>
      </c>
      <c r="E859" t="s">
        <v>96</v>
      </c>
      <c r="F859" t="s">
        <v>65</v>
      </c>
      <c r="G859" t="s">
        <v>66</v>
      </c>
      <c r="H859" t="s">
        <v>21</v>
      </c>
      <c r="I859">
        <v>650</v>
      </c>
      <c r="J859">
        <v>845</v>
      </c>
      <c r="K859">
        <v>4</v>
      </c>
      <c r="L859">
        <v>2600</v>
      </c>
      <c r="M859">
        <v>3380</v>
      </c>
      <c r="N859" t="s">
        <v>35</v>
      </c>
      <c r="O859">
        <f t="shared" si="26"/>
        <v>1690</v>
      </c>
      <c r="P859" s="13">
        <f t="shared" si="27"/>
        <v>2050178</v>
      </c>
      <c r="Q859" s="13">
        <f>SUMIFS(M:M,E:E,Online_eCommerce[[#This Row],[Status]])</f>
        <v>21233992</v>
      </c>
      <c r="R859" s="13">
        <f>SUMIFS(L:L,H:H,Online_eCommerce[[#This Row],[Brand]])</f>
        <v>12435650</v>
      </c>
      <c r="S859" s="13">
        <f>SUMIF(H:H,Online_eCommerce[[#This Row],[Brand]],M:M)</f>
        <v>16166345</v>
      </c>
      <c r="T859" s="13">
        <f>SUMIF(N:N,Online_eCommerce[[#This Row],[Assigned Supervisor]],L:L)</f>
        <v>14373360</v>
      </c>
    </row>
    <row r="860" spans="1:20" hidden="1" x14ac:dyDescent="0.3">
      <c r="A860" t="s">
        <v>1337</v>
      </c>
      <c r="B860" t="s">
        <v>154</v>
      </c>
      <c r="C860" t="s">
        <v>120</v>
      </c>
      <c r="D860" t="s">
        <v>1333</v>
      </c>
      <c r="E860" t="s">
        <v>18</v>
      </c>
      <c r="F860" t="s">
        <v>70</v>
      </c>
      <c r="G860" t="s">
        <v>71</v>
      </c>
      <c r="H860" t="s">
        <v>61</v>
      </c>
      <c r="I860">
        <v>7500</v>
      </c>
      <c r="J860">
        <v>9750</v>
      </c>
      <c r="K860">
        <v>4</v>
      </c>
      <c r="L860">
        <v>30000</v>
      </c>
      <c r="M860">
        <v>39000</v>
      </c>
      <c r="N860" t="s">
        <v>42</v>
      </c>
      <c r="O860">
        <f t="shared" si="26"/>
        <v>9750</v>
      </c>
      <c r="P860" s="13">
        <f t="shared" si="27"/>
        <v>2734212</v>
      </c>
      <c r="Q860" s="13">
        <f>SUMIFS(M:M,E:E,Online_eCommerce[[#This Row],[Status]])</f>
        <v>28340455</v>
      </c>
      <c r="R860" s="13">
        <f>SUMIFS(L:L,H:H,Online_eCommerce[[#This Row],[Brand]])</f>
        <v>10950150</v>
      </c>
      <c r="S860" s="13">
        <f>SUMIF(H:H,Online_eCommerce[[#This Row],[Brand]],M:M)</f>
        <v>14235195</v>
      </c>
      <c r="T860" s="13">
        <f>SUMIF(N:N,Online_eCommerce[[#This Row],[Assigned Supervisor]],L:L)</f>
        <v>12261500</v>
      </c>
    </row>
    <row r="861" spans="1:20" hidden="1" x14ac:dyDescent="0.3">
      <c r="A861" t="s">
        <v>1338</v>
      </c>
      <c r="B861" t="s">
        <v>154</v>
      </c>
      <c r="C861" t="s">
        <v>125</v>
      </c>
      <c r="D861" t="s">
        <v>1333</v>
      </c>
      <c r="E861" t="s">
        <v>161</v>
      </c>
      <c r="F861" t="s">
        <v>1320</v>
      </c>
      <c r="G861" t="s">
        <v>77</v>
      </c>
      <c r="H861" t="s">
        <v>78</v>
      </c>
      <c r="I861">
        <v>10000</v>
      </c>
      <c r="J861">
        <v>13000</v>
      </c>
      <c r="K861">
        <v>1</v>
      </c>
      <c r="L861">
        <v>10000</v>
      </c>
      <c r="M861">
        <v>13000</v>
      </c>
      <c r="N861" t="s">
        <v>50</v>
      </c>
      <c r="O861">
        <f t="shared" si="26"/>
        <v>39000</v>
      </c>
      <c r="P861" s="13">
        <f t="shared" si="27"/>
        <v>2091154</v>
      </c>
      <c r="Q861" s="13">
        <f>SUMIFS(M:M,E:E,Online_eCommerce[[#This Row],[Status]])</f>
        <v>21103186</v>
      </c>
      <c r="R861" s="13">
        <f>SUMIFS(L:L,H:H,Online_eCommerce[[#This Row],[Brand]])</f>
        <v>3720000</v>
      </c>
      <c r="S861" s="13">
        <f>SUMIF(H:H,Online_eCommerce[[#This Row],[Brand]],M:M)</f>
        <v>4836000</v>
      </c>
      <c r="T861" s="13">
        <f>SUMIF(N:N,Online_eCommerce[[#This Row],[Assigned Supervisor]],L:L)</f>
        <v>12100590</v>
      </c>
    </row>
    <row r="862" spans="1:20" x14ac:dyDescent="0.3">
      <c r="A862" t="s">
        <v>1339</v>
      </c>
      <c r="B862" t="s">
        <v>154</v>
      </c>
      <c r="C862" t="s">
        <v>22</v>
      </c>
      <c r="D862" t="s">
        <v>1333</v>
      </c>
      <c r="E862" t="s">
        <v>46</v>
      </c>
      <c r="F862" t="s">
        <v>1340</v>
      </c>
      <c r="G862" t="s">
        <v>20</v>
      </c>
      <c r="H862" t="s">
        <v>21</v>
      </c>
      <c r="I862">
        <v>10500</v>
      </c>
      <c r="J862">
        <v>13650</v>
      </c>
      <c r="K862">
        <v>3</v>
      </c>
      <c r="L862">
        <v>31500</v>
      </c>
      <c r="M862">
        <v>40950</v>
      </c>
      <c r="N862" t="s">
        <v>56</v>
      </c>
      <c r="O862">
        <f t="shared" si="26"/>
        <v>8450</v>
      </c>
      <c r="P862" s="13">
        <f t="shared" si="27"/>
        <v>2551588</v>
      </c>
      <c r="Q862" s="13">
        <f>SUMIFS(M:M,E:E,Online_eCommerce[[#This Row],[Status]])</f>
        <v>28620410</v>
      </c>
      <c r="R862" s="13">
        <f>SUMIFS(L:L,H:H,Online_eCommerce[[#This Row],[Brand]])</f>
        <v>12435650</v>
      </c>
      <c r="S862" s="13">
        <f>SUMIF(H:H,Online_eCommerce[[#This Row],[Brand]],M:M)</f>
        <v>16166345</v>
      </c>
      <c r="T862" s="13">
        <f>SUMIF(N:N,Online_eCommerce[[#This Row],[Assigned Supervisor]],L:L)</f>
        <v>11733610</v>
      </c>
    </row>
    <row r="863" spans="1:20" hidden="1" x14ac:dyDescent="0.3">
      <c r="A863" t="s">
        <v>1341</v>
      </c>
      <c r="B863" t="s">
        <v>154</v>
      </c>
      <c r="C863" t="s">
        <v>132</v>
      </c>
      <c r="D863" t="s">
        <v>1333</v>
      </c>
      <c r="E863" t="s">
        <v>96</v>
      </c>
      <c r="F863" t="s">
        <v>88</v>
      </c>
      <c r="G863" t="s">
        <v>26</v>
      </c>
      <c r="H863" t="s">
        <v>27</v>
      </c>
      <c r="I863">
        <v>8500</v>
      </c>
      <c r="J863">
        <v>11050</v>
      </c>
      <c r="K863">
        <v>2</v>
      </c>
      <c r="L863">
        <v>17000</v>
      </c>
      <c r="M863">
        <v>22100</v>
      </c>
      <c r="N863" t="s">
        <v>22</v>
      </c>
      <c r="O863">
        <f t="shared" si="26"/>
        <v>33150</v>
      </c>
      <c r="P863" s="13">
        <f t="shared" si="27"/>
        <v>1989065</v>
      </c>
      <c r="Q863" s="13">
        <f>SUMIFS(M:M,E:E,Online_eCommerce[[#This Row],[Status]])</f>
        <v>21233992</v>
      </c>
      <c r="R863" s="13">
        <f>SUMIFS(L:L,H:H,Online_eCommerce[[#This Row],[Brand]])</f>
        <v>14431000</v>
      </c>
      <c r="S863" s="13">
        <f>SUMIF(H:H,Online_eCommerce[[#This Row],[Brand]],M:M)</f>
        <v>18760300</v>
      </c>
      <c r="T863" s="13">
        <f>SUMIF(N:N,Online_eCommerce[[#This Row],[Assigned Supervisor]],L:L)</f>
        <v>13693220</v>
      </c>
    </row>
    <row r="864" spans="1:20" hidden="1" x14ac:dyDescent="0.3">
      <c r="A864" t="s">
        <v>1342</v>
      </c>
      <c r="B864" t="s">
        <v>154</v>
      </c>
      <c r="C864" t="s">
        <v>136</v>
      </c>
      <c r="D864" t="s">
        <v>1333</v>
      </c>
      <c r="E864" t="s">
        <v>18</v>
      </c>
      <c r="F864" t="s">
        <v>32</v>
      </c>
      <c r="G864" t="s">
        <v>33</v>
      </c>
      <c r="H864" t="s">
        <v>34</v>
      </c>
      <c r="I864">
        <v>7000</v>
      </c>
      <c r="J864">
        <v>9100</v>
      </c>
      <c r="K864">
        <v>1</v>
      </c>
      <c r="L864">
        <v>7000</v>
      </c>
      <c r="M864">
        <v>9100</v>
      </c>
      <c r="N864" t="s">
        <v>28</v>
      </c>
      <c r="O864">
        <f t="shared" si="26"/>
        <v>18200</v>
      </c>
      <c r="P864" s="13">
        <f t="shared" si="27"/>
        <v>2775162</v>
      </c>
      <c r="Q864" s="13">
        <f>SUMIFS(M:M,E:E,Online_eCommerce[[#This Row],[Status]])</f>
        <v>28340455</v>
      </c>
      <c r="R864" s="13">
        <f>SUMIFS(L:L,H:H,Online_eCommerce[[#This Row],[Brand]])</f>
        <v>10087000</v>
      </c>
      <c r="S864" s="13">
        <f>SUMIF(H:H,Online_eCommerce[[#This Row],[Brand]],M:M)</f>
        <v>13113100</v>
      </c>
      <c r="T864" s="13">
        <f>SUMIF(N:N,Online_eCommerce[[#This Row],[Assigned Supervisor]],L:L)</f>
        <v>12220830</v>
      </c>
    </row>
    <row r="865" spans="1:20" hidden="1" x14ac:dyDescent="0.3">
      <c r="A865" t="s">
        <v>1343</v>
      </c>
      <c r="B865" t="s">
        <v>154</v>
      </c>
      <c r="C865" t="s">
        <v>140</v>
      </c>
      <c r="D865" t="s">
        <v>1333</v>
      </c>
      <c r="E865" t="s">
        <v>161</v>
      </c>
      <c r="F865" t="s">
        <v>1344</v>
      </c>
      <c r="G865" t="s">
        <v>163</v>
      </c>
      <c r="H865" t="s">
        <v>41</v>
      </c>
      <c r="I865">
        <v>1680</v>
      </c>
      <c r="J865">
        <v>2184</v>
      </c>
      <c r="K865">
        <v>2</v>
      </c>
      <c r="L865">
        <v>3360</v>
      </c>
      <c r="M865">
        <v>4368</v>
      </c>
      <c r="N865" t="s">
        <v>35</v>
      </c>
      <c r="O865">
        <f t="shared" si="26"/>
        <v>13650</v>
      </c>
      <c r="P865" s="13">
        <f t="shared" si="27"/>
        <v>2058264</v>
      </c>
      <c r="Q865" s="13">
        <f>SUMIFS(M:M,E:E,Online_eCommerce[[#This Row],[Status]])</f>
        <v>21103186</v>
      </c>
      <c r="R865" s="13">
        <f>SUMIFS(L:L,H:H,Online_eCommerce[[#This Row],[Brand]])</f>
        <v>4260400</v>
      </c>
      <c r="S865" s="13">
        <f>SUMIF(H:H,Online_eCommerce[[#This Row],[Brand]],M:M)</f>
        <v>5538520</v>
      </c>
      <c r="T865" s="13">
        <f>SUMIF(N:N,Online_eCommerce[[#This Row],[Assigned Supervisor]],L:L)</f>
        <v>14373360</v>
      </c>
    </row>
    <row r="866" spans="1:20" x14ac:dyDescent="0.3">
      <c r="A866" t="s">
        <v>1345</v>
      </c>
      <c r="B866" t="s">
        <v>154</v>
      </c>
      <c r="C866" t="s">
        <v>145</v>
      </c>
      <c r="D866" t="s">
        <v>1333</v>
      </c>
      <c r="E866" t="s">
        <v>46</v>
      </c>
      <c r="F866" t="s">
        <v>101</v>
      </c>
      <c r="G866" t="s">
        <v>66</v>
      </c>
      <c r="H866" t="s">
        <v>102</v>
      </c>
      <c r="I866">
        <v>6540</v>
      </c>
      <c r="J866">
        <v>8502</v>
      </c>
      <c r="K866">
        <v>2</v>
      </c>
      <c r="L866">
        <v>13080</v>
      </c>
      <c r="M866">
        <v>17004</v>
      </c>
      <c r="N866" t="s">
        <v>42</v>
      </c>
      <c r="O866">
        <f t="shared" si="26"/>
        <v>1690</v>
      </c>
      <c r="P866" s="13">
        <f t="shared" si="27"/>
        <v>2757859</v>
      </c>
      <c r="Q866" s="13">
        <f>SUMIFS(M:M,E:E,Online_eCommerce[[#This Row],[Status]])</f>
        <v>28620410</v>
      </c>
      <c r="R866" s="13">
        <f>SUMIFS(L:L,H:H,Online_eCommerce[[#This Row],[Brand]])</f>
        <v>2465580</v>
      </c>
      <c r="S866" s="13">
        <f>SUMIF(H:H,Online_eCommerce[[#This Row],[Brand]],M:M)</f>
        <v>3205254</v>
      </c>
      <c r="T866" s="13">
        <f>SUMIF(N:N,Online_eCommerce[[#This Row],[Assigned Supervisor]],L:L)</f>
        <v>12261500</v>
      </c>
    </row>
    <row r="867" spans="1:20" hidden="1" x14ac:dyDescent="0.3">
      <c r="A867" t="s">
        <v>1346</v>
      </c>
      <c r="B867" t="s">
        <v>154</v>
      </c>
      <c r="C867" t="s">
        <v>150</v>
      </c>
      <c r="D867" t="s">
        <v>1333</v>
      </c>
      <c r="E867" t="s">
        <v>96</v>
      </c>
      <c r="F867" t="s">
        <v>107</v>
      </c>
      <c r="G867" t="s">
        <v>54</v>
      </c>
      <c r="H867" t="s">
        <v>55</v>
      </c>
      <c r="I867">
        <v>2680</v>
      </c>
      <c r="J867">
        <v>3484</v>
      </c>
      <c r="K867">
        <v>4</v>
      </c>
      <c r="L867">
        <v>10720</v>
      </c>
      <c r="M867">
        <v>13936</v>
      </c>
      <c r="N867" t="s">
        <v>50</v>
      </c>
      <c r="O867">
        <f t="shared" si="26"/>
        <v>2990</v>
      </c>
      <c r="P867" s="13">
        <f t="shared" si="27"/>
        <v>2154984</v>
      </c>
      <c r="Q867" s="13">
        <f>SUMIFS(M:M,E:E,Online_eCommerce[[#This Row],[Status]])</f>
        <v>21233992</v>
      </c>
      <c r="R867" s="13">
        <f>SUMIFS(L:L,H:H,Online_eCommerce[[#This Row],[Brand]])</f>
        <v>2267380</v>
      </c>
      <c r="S867" s="13">
        <f>SUMIF(H:H,Online_eCommerce[[#This Row],[Brand]],M:M)</f>
        <v>2947594</v>
      </c>
      <c r="T867" s="13">
        <f>SUMIF(N:N,Online_eCommerce[[#This Row],[Assigned Supervisor]],L:L)</f>
        <v>12100590</v>
      </c>
    </row>
    <row r="868" spans="1:20" hidden="1" x14ac:dyDescent="0.3">
      <c r="A868" t="s">
        <v>1347</v>
      </c>
      <c r="B868" t="s">
        <v>154</v>
      </c>
      <c r="C868" t="s">
        <v>155</v>
      </c>
      <c r="D868" t="s">
        <v>1333</v>
      </c>
      <c r="E868" t="s">
        <v>18</v>
      </c>
      <c r="F868" t="s">
        <v>112</v>
      </c>
      <c r="G868" t="s">
        <v>71</v>
      </c>
      <c r="H868" t="s">
        <v>21</v>
      </c>
      <c r="I868">
        <v>8250</v>
      </c>
      <c r="J868">
        <v>10725</v>
      </c>
      <c r="K868">
        <v>4</v>
      </c>
      <c r="L868">
        <v>33000</v>
      </c>
      <c r="M868">
        <v>42900</v>
      </c>
      <c r="N868" t="s">
        <v>56</v>
      </c>
      <c r="O868">
        <f t="shared" si="26"/>
        <v>9750</v>
      </c>
      <c r="P868" s="13">
        <f t="shared" si="27"/>
        <v>2753348</v>
      </c>
      <c r="Q868" s="13">
        <f>SUMIFS(M:M,E:E,Online_eCommerce[[#This Row],[Status]])</f>
        <v>28340455</v>
      </c>
      <c r="R868" s="13">
        <f>SUMIFS(L:L,H:H,Online_eCommerce[[#This Row],[Brand]])</f>
        <v>12435650</v>
      </c>
      <c r="S868" s="13">
        <f>SUMIF(H:H,Online_eCommerce[[#This Row],[Brand]],M:M)</f>
        <v>16166345</v>
      </c>
      <c r="T868" s="13">
        <f>SUMIF(N:N,Online_eCommerce[[#This Row],[Assigned Supervisor]],L:L)</f>
        <v>11733610</v>
      </c>
    </row>
    <row r="869" spans="1:20" hidden="1" x14ac:dyDescent="0.3">
      <c r="A869" t="s">
        <v>1348</v>
      </c>
      <c r="B869" t="s">
        <v>154</v>
      </c>
      <c r="C869" t="s">
        <v>160</v>
      </c>
      <c r="D869" t="s">
        <v>1333</v>
      </c>
      <c r="E869" t="s">
        <v>161</v>
      </c>
      <c r="F869" t="s">
        <v>973</v>
      </c>
      <c r="G869" t="s">
        <v>40</v>
      </c>
      <c r="H869" t="s">
        <v>21</v>
      </c>
      <c r="I869">
        <v>2650</v>
      </c>
      <c r="J869">
        <v>3445</v>
      </c>
      <c r="K869">
        <v>1</v>
      </c>
      <c r="L869">
        <v>2650</v>
      </c>
      <c r="M869">
        <v>3445</v>
      </c>
      <c r="N869" t="s">
        <v>22</v>
      </c>
      <c r="O869">
        <f t="shared" si="26"/>
        <v>25545</v>
      </c>
      <c r="P869" s="13">
        <f t="shared" si="27"/>
        <v>2303483</v>
      </c>
      <c r="Q869" s="13">
        <f>SUMIFS(M:M,E:E,Online_eCommerce[[#This Row],[Status]])</f>
        <v>21103186</v>
      </c>
      <c r="R869" s="13">
        <f>SUMIFS(L:L,H:H,Online_eCommerce[[#This Row],[Brand]])</f>
        <v>12435650</v>
      </c>
      <c r="S869" s="13">
        <f>SUMIF(H:H,Online_eCommerce[[#This Row],[Brand]],M:M)</f>
        <v>16166345</v>
      </c>
      <c r="T869" s="13">
        <f>SUMIF(N:N,Online_eCommerce[[#This Row],[Assigned Supervisor]],L:L)</f>
        <v>13693220</v>
      </c>
    </row>
    <row r="870" spans="1:20" x14ac:dyDescent="0.3">
      <c r="A870" t="s">
        <v>1349</v>
      </c>
      <c r="B870" t="s">
        <v>154</v>
      </c>
      <c r="C870" t="s">
        <v>165</v>
      </c>
      <c r="D870" t="s">
        <v>1333</v>
      </c>
      <c r="E870" t="s">
        <v>46</v>
      </c>
      <c r="F870" t="s">
        <v>121</v>
      </c>
      <c r="G870" t="s">
        <v>71</v>
      </c>
      <c r="H870" t="s">
        <v>122</v>
      </c>
      <c r="I870">
        <v>12550</v>
      </c>
      <c r="J870">
        <v>16315</v>
      </c>
      <c r="K870">
        <v>2</v>
      </c>
      <c r="L870">
        <v>25100</v>
      </c>
      <c r="M870">
        <v>32630</v>
      </c>
      <c r="N870" t="s">
        <v>28</v>
      </c>
      <c r="O870">
        <f t="shared" si="26"/>
        <v>9750</v>
      </c>
      <c r="P870" s="13">
        <f t="shared" si="27"/>
        <v>2674087</v>
      </c>
      <c r="Q870" s="13">
        <f>SUMIFS(M:M,E:E,Online_eCommerce[[#This Row],[Status]])</f>
        <v>28620410</v>
      </c>
      <c r="R870" s="13">
        <f>SUMIFS(L:L,H:H,Online_eCommerce[[#This Row],[Brand]])</f>
        <v>5045100</v>
      </c>
      <c r="S870" s="13">
        <f>SUMIF(H:H,Online_eCommerce[[#This Row],[Brand]],M:M)</f>
        <v>6558630</v>
      </c>
      <c r="T870" s="13">
        <f>SUMIF(N:N,Online_eCommerce[[#This Row],[Assigned Supervisor]],L:L)</f>
        <v>12220830</v>
      </c>
    </row>
    <row r="871" spans="1:20" hidden="1" x14ac:dyDescent="0.3">
      <c r="A871" t="s">
        <v>1350</v>
      </c>
      <c r="B871" t="s">
        <v>154</v>
      </c>
      <c r="C871" t="s">
        <v>168</v>
      </c>
      <c r="D871" t="s">
        <v>1333</v>
      </c>
      <c r="E871" t="s">
        <v>96</v>
      </c>
      <c r="F871" t="s">
        <v>126</v>
      </c>
      <c r="G871" t="s">
        <v>26</v>
      </c>
      <c r="H871" t="s">
        <v>27</v>
      </c>
      <c r="I871">
        <v>14500</v>
      </c>
      <c r="J871">
        <v>18850</v>
      </c>
      <c r="K871">
        <v>1</v>
      </c>
      <c r="L871">
        <v>14500</v>
      </c>
      <c r="M871">
        <v>18850</v>
      </c>
      <c r="N871" t="s">
        <v>35</v>
      </c>
      <c r="O871">
        <f t="shared" si="26"/>
        <v>33150</v>
      </c>
      <c r="P871" s="13">
        <f t="shared" si="27"/>
        <v>1937780</v>
      </c>
      <c r="Q871" s="13">
        <f>SUMIFS(M:M,E:E,Online_eCommerce[[#This Row],[Status]])</f>
        <v>21233992</v>
      </c>
      <c r="R871" s="13">
        <f>SUMIFS(L:L,H:H,Online_eCommerce[[#This Row],[Brand]])</f>
        <v>14431000</v>
      </c>
      <c r="S871" s="13">
        <f>SUMIF(H:H,Online_eCommerce[[#This Row],[Brand]],M:M)</f>
        <v>18760300</v>
      </c>
      <c r="T871" s="13">
        <f>SUMIF(N:N,Online_eCommerce[[#This Row],[Assigned Supervisor]],L:L)</f>
        <v>14373360</v>
      </c>
    </row>
    <row r="872" spans="1:20" hidden="1" x14ac:dyDescent="0.3">
      <c r="A872" t="s">
        <v>1351</v>
      </c>
      <c r="B872" t="s">
        <v>154</v>
      </c>
      <c r="C872" t="s">
        <v>172</v>
      </c>
      <c r="D872" t="s">
        <v>1333</v>
      </c>
      <c r="E872" t="s">
        <v>18</v>
      </c>
      <c r="F872" t="s">
        <v>129</v>
      </c>
      <c r="G872" t="s">
        <v>60</v>
      </c>
      <c r="H872" t="s">
        <v>61</v>
      </c>
      <c r="I872">
        <v>800</v>
      </c>
      <c r="J872">
        <v>1040</v>
      </c>
      <c r="K872">
        <v>4</v>
      </c>
      <c r="L872">
        <v>3200</v>
      </c>
      <c r="M872">
        <v>4160</v>
      </c>
      <c r="N872" t="s">
        <v>42</v>
      </c>
      <c r="O872">
        <f t="shared" si="26"/>
        <v>3315</v>
      </c>
      <c r="P872" s="13">
        <f t="shared" si="27"/>
        <v>2640274</v>
      </c>
      <c r="Q872" s="13">
        <f>SUMIFS(M:M,E:E,Online_eCommerce[[#This Row],[Status]])</f>
        <v>28340455</v>
      </c>
      <c r="R872" s="13">
        <f>SUMIFS(L:L,H:H,Online_eCommerce[[#This Row],[Brand]])</f>
        <v>10950150</v>
      </c>
      <c r="S872" s="13">
        <f>SUMIF(H:H,Online_eCommerce[[#This Row],[Brand]],M:M)</f>
        <v>14235195</v>
      </c>
      <c r="T872" s="13">
        <f>SUMIF(N:N,Online_eCommerce[[#This Row],[Assigned Supervisor]],L:L)</f>
        <v>12261500</v>
      </c>
    </row>
    <row r="873" spans="1:20" hidden="1" x14ac:dyDescent="0.3">
      <c r="A873" t="s">
        <v>1352</v>
      </c>
      <c r="B873" t="s">
        <v>154</v>
      </c>
      <c r="C873" t="s">
        <v>177</v>
      </c>
      <c r="D873" t="s">
        <v>1333</v>
      </c>
      <c r="E873" t="s">
        <v>161</v>
      </c>
      <c r="F873" t="s">
        <v>133</v>
      </c>
      <c r="G873" t="s">
        <v>66</v>
      </c>
      <c r="H873" t="s">
        <v>21</v>
      </c>
      <c r="I873">
        <v>600</v>
      </c>
      <c r="J873">
        <v>780</v>
      </c>
      <c r="K873">
        <v>3</v>
      </c>
      <c r="L873">
        <v>1800</v>
      </c>
      <c r="M873">
        <v>2340</v>
      </c>
      <c r="N873" t="s">
        <v>50</v>
      </c>
      <c r="O873">
        <f t="shared" si="26"/>
        <v>1690</v>
      </c>
      <c r="P873" s="13">
        <f t="shared" si="27"/>
        <v>1863810</v>
      </c>
      <c r="Q873" s="13">
        <f>SUMIFS(M:M,E:E,Online_eCommerce[[#This Row],[Status]])</f>
        <v>21103186</v>
      </c>
      <c r="R873" s="13">
        <f>SUMIFS(L:L,H:H,Online_eCommerce[[#This Row],[Brand]])</f>
        <v>12435650</v>
      </c>
      <c r="S873" s="13">
        <f>SUMIF(H:H,Online_eCommerce[[#This Row],[Brand]],M:M)</f>
        <v>16166345</v>
      </c>
      <c r="T873" s="13">
        <f>SUMIF(N:N,Online_eCommerce[[#This Row],[Assigned Supervisor]],L:L)</f>
        <v>12100590</v>
      </c>
    </row>
    <row r="874" spans="1:20" x14ac:dyDescent="0.3">
      <c r="A874" t="s">
        <v>1353</v>
      </c>
      <c r="B874" t="s">
        <v>154</v>
      </c>
      <c r="C874" t="s">
        <v>181</v>
      </c>
      <c r="D874" t="s">
        <v>1333</v>
      </c>
      <c r="E874" t="s">
        <v>46</v>
      </c>
      <c r="F874" t="s">
        <v>137</v>
      </c>
      <c r="G874" t="s">
        <v>71</v>
      </c>
      <c r="H874" t="s">
        <v>61</v>
      </c>
      <c r="I874">
        <v>10500</v>
      </c>
      <c r="J874">
        <v>13650</v>
      </c>
      <c r="K874">
        <v>1</v>
      </c>
      <c r="L874">
        <v>10500</v>
      </c>
      <c r="M874">
        <v>13650</v>
      </c>
      <c r="N874" t="s">
        <v>56</v>
      </c>
      <c r="O874">
        <f t="shared" si="26"/>
        <v>9750</v>
      </c>
      <c r="P874" s="13">
        <f t="shared" si="27"/>
        <v>2577458</v>
      </c>
      <c r="Q874" s="13">
        <f>SUMIFS(M:M,E:E,Online_eCommerce[[#This Row],[Status]])</f>
        <v>28620410</v>
      </c>
      <c r="R874" s="13">
        <f>SUMIFS(L:L,H:H,Online_eCommerce[[#This Row],[Brand]])</f>
        <v>10950150</v>
      </c>
      <c r="S874" s="13">
        <f>SUMIF(H:H,Online_eCommerce[[#This Row],[Brand]],M:M)</f>
        <v>14235195</v>
      </c>
      <c r="T874" s="13">
        <f>SUMIF(N:N,Online_eCommerce[[#This Row],[Assigned Supervisor]],L:L)</f>
        <v>11733610</v>
      </c>
    </row>
    <row r="875" spans="1:20" hidden="1" x14ac:dyDescent="0.3">
      <c r="A875" t="s">
        <v>1354</v>
      </c>
      <c r="B875" t="s">
        <v>154</v>
      </c>
      <c r="C875" t="s">
        <v>185</v>
      </c>
      <c r="D875" t="s">
        <v>1333</v>
      </c>
      <c r="E875" t="s">
        <v>96</v>
      </c>
      <c r="F875" t="s">
        <v>1320</v>
      </c>
      <c r="G875" t="s">
        <v>77</v>
      </c>
      <c r="H875" t="s">
        <v>142</v>
      </c>
      <c r="I875">
        <v>6500</v>
      </c>
      <c r="J875">
        <v>8450</v>
      </c>
      <c r="K875">
        <v>1</v>
      </c>
      <c r="L875">
        <v>6500</v>
      </c>
      <c r="M875">
        <v>8450</v>
      </c>
      <c r="N875" t="s">
        <v>22</v>
      </c>
      <c r="O875">
        <f t="shared" si="26"/>
        <v>39000</v>
      </c>
      <c r="P875" s="13">
        <f t="shared" si="27"/>
        <v>2091596</v>
      </c>
      <c r="Q875" s="13">
        <f>SUMIFS(M:M,E:E,Online_eCommerce[[#This Row],[Status]])</f>
        <v>21233992</v>
      </c>
      <c r="R875" s="13">
        <f>SUMIFS(L:L,H:H,Online_eCommerce[[#This Row],[Brand]])</f>
        <v>6192500</v>
      </c>
      <c r="S875" s="13">
        <f>SUMIF(H:H,Online_eCommerce[[#This Row],[Brand]],M:M)</f>
        <v>8050250</v>
      </c>
      <c r="T875" s="13">
        <f>SUMIF(N:N,Online_eCommerce[[#This Row],[Assigned Supervisor]],L:L)</f>
        <v>13693220</v>
      </c>
    </row>
    <row r="876" spans="1:20" hidden="1" x14ac:dyDescent="0.3">
      <c r="A876" t="s">
        <v>1355</v>
      </c>
      <c r="B876" t="s">
        <v>154</v>
      </c>
      <c r="C876" t="s">
        <v>189</v>
      </c>
      <c r="D876" t="s">
        <v>1356</v>
      </c>
      <c r="E876" t="s">
        <v>18</v>
      </c>
      <c r="F876" t="s">
        <v>1357</v>
      </c>
      <c r="G876" t="s">
        <v>20</v>
      </c>
      <c r="H876" t="s">
        <v>21</v>
      </c>
      <c r="I876">
        <v>4500</v>
      </c>
      <c r="J876">
        <v>5850</v>
      </c>
      <c r="K876">
        <v>2</v>
      </c>
      <c r="L876">
        <v>9000</v>
      </c>
      <c r="M876">
        <v>11700</v>
      </c>
      <c r="N876" t="s">
        <v>28</v>
      </c>
      <c r="O876">
        <f t="shared" si="26"/>
        <v>8450</v>
      </c>
      <c r="P876" s="13">
        <f t="shared" si="27"/>
        <v>2740777</v>
      </c>
      <c r="Q876" s="13">
        <f>SUMIFS(M:M,E:E,Online_eCommerce[[#This Row],[Status]])</f>
        <v>28340455</v>
      </c>
      <c r="R876" s="13">
        <f>SUMIFS(L:L,H:H,Online_eCommerce[[#This Row],[Brand]])</f>
        <v>12435650</v>
      </c>
      <c r="S876" s="13">
        <f>SUMIF(H:H,Online_eCommerce[[#This Row],[Brand]],M:M)</f>
        <v>16166345</v>
      </c>
      <c r="T876" s="13">
        <f>SUMIF(N:N,Online_eCommerce[[#This Row],[Assigned Supervisor]],L:L)</f>
        <v>12220830</v>
      </c>
    </row>
    <row r="877" spans="1:20" hidden="1" x14ac:dyDescent="0.3">
      <c r="A877" t="s">
        <v>1358</v>
      </c>
      <c r="B877" t="s">
        <v>154</v>
      </c>
      <c r="C877" t="s">
        <v>193</v>
      </c>
      <c r="D877" t="s">
        <v>1356</v>
      </c>
      <c r="E877" t="s">
        <v>161</v>
      </c>
      <c r="F877" t="s">
        <v>152</v>
      </c>
      <c r="G877" t="s">
        <v>26</v>
      </c>
      <c r="H877" t="s">
        <v>27</v>
      </c>
      <c r="I877">
        <v>8500</v>
      </c>
      <c r="J877">
        <v>11050</v>
      </c>
      <c r="K877">
        <v>2</v>
      </c>
      <c r="L877">
        <v>17000</v>
      </c>
      <c r="M877">
        <v>22100</v>
      </c>
      <c r="N877" t="s">
        <v>35</v>
      </c>
      <c r="O877">
        <f t="shared" si="26"/>
        <v>33150</v>
      </c>
      <c r="P877" s="13">
        <f t="shared" si="27"/>
        <v>2074774</v>
      </c>
      <c r="Q877" s="13">
        <f>SUMIFS(M:M,E:E,Online_eCommerce[[#This Row],[Status]])</f>
        <v>21103186</v>
      </c>
      <c r="R877" s="13">
        <f>SUMIFS(L:L,H:H,Online_eCommerce[[#This Row],[Brand]])</f>
        <v>14431000</v>
      </c>
      <c r="S877" s="13">
        <f>SUMIF(H:H,Online_eCommerce[[#This Row],[Brand]],M:M)</f>
        <v>18760300</v>
      </c>
      <c r="T877" s="13">
        <f>SUMIF(N:N,Online_eCommerce[[#This Row],[Assigned Supervisor]],L:L)</f>
        <v>14373360</v>
      </c>
    </row>
    <row r="878" spans="1:20" x14ac:dyDescent="0.3">
      <c r="A878" t="s">
        <v>1359</v>
      </c>
      <c r="B878" t="s">
        <v>154</v>
      </c>
      <c r="C878" t="s">
        <v>197</v>
      </c>
      <c r="D878" t="s">
        <v>1356</v>
      </c>
      <c r="E878" t="s">
        <v>46</v>
      </c>
      <c r="F878" t="s">
        <v>157</v>
      </c>
      <c r="G878" t="s">
        <v>33</v>
      </c>
      <c r="H878" t="s">
        <v>34</v>
      </c>
      <c r="I878">
        <v>12500</v>
      </c>
      <c r="J878">
        <v>16250</v>
      </c>
      <c r="K878">
        <v>4</v>
      </c>
      <c r="L878">
        <v>50000</v>
      </c>
      <c r="M878">
        <v>65000</v>
      </c>
      <c r="N878" t="s">
        <v>42</v>
      </c>
      <c r="O878">
        <f t="shared" si="26"/>
        <v>18200</v>
      </c>
      <c r="P878" s="13">
        <f t="shared" si="27"/>
        <v>2829840</v>
      </c>
      <c r="Q878" s="13">
        <f>SUMIFS(M:M,E:E,Online_eCommerce[[#This Row],[Status]])</f>
        <v>28620410</v>
      </c>
      <c r="R878" s="13">
        <f>SUMIFS(L:L,H:H,Online_eCommerce[[#This Row],[Brand]])</f>
        <v>10087000</v>
      </c>
      <c r="S878" s="13">
        <f>SUMIF(H:H,Online_eCommerce[[#This Row],[Brand]],M:M)</f>
        <v>13113100</v>
      </c>
      <c r="T878" s="13">
        <f>SUMIF(N:N,Online_eCommerce[[#This Row],[Assigned Supervisor]],L:L)</f>
        <v>12261500</v>
      </c>
    </row>
    <row r="879" spans="1:20" hidden="1" x14ac:dyDescent="0.3">
      <c r="A879" t="s">
        <v>1360</v>
      </c>
      <c r="B879" t="s">
        <v>154</v>
      </c>
      <c r="C879" t="s">
        <v>199</v>
      </c>
      <c r="D879" t="s">
        <v>1356</v>
      </c>
      <c r="E879" t="s">
        <v>96</v>
      </c>
      <c r="F879" t="s">
        <v>1015</v>
      </c>
      <c r="G879" t="s">
        <v>256</v>
      </c>
      <c r="H879" t="s">
        <v>41</v>
      </c>
      <c r="I879">
        <v>3500</v>
      </c>
      <c r="J879">
        <v>4550</v>
      </c>
      <c r="K879">
        <v>3</v>
      </c>
      <c r="L879">
        <v>10500</v>
      </c>
      <c r="M879">
        <v>13650</v>
      </c>
      <c r="N879" t="s">
        <v>50</v>
      </c>
      <c r="O879">
        <f t="shared" si="26"/>
        <v>9100</v>
      </c>
      <c r="P879" s="13">
        <f t="shared" si="27"/>
        <v>1947361</v>
      </c>
      <c r="Q879" s="13">
        <f>SUMIFS(M:M,E:E,Online_eCommerce[[#This Row],[Status]])</f>
        <v>21233992</v>
      </c>
      <c r="R879" s="13">
        <f>SUMIFS(L:L,H:H,Online_eCommerce[[#This Row],[Brand]])</f>
        <v>4260400</v>
      </c>
      <c r="S879" s="13">
        <f>SUMIF(H:H,Online_eCommerce[[#This Row],[Brand]],M:M)</f>
        <v>5538520</v>
      </c>
      <c r="T879" s="13">
        <f>SUMIF(N:N,Online_eCommerce[[#This Row],[Assigned Supervisor]],L:L)</f>
        <v>12100590</v>
      </c>
    </row>
    <row r="880" spans="1:20" hidden="1" x14ac:dyDescent="0.3">
      <c r="A880" t="s">
        <v>1361</v>
      </c>
      <c r="B880" t="s">
        <v>154</v>
      </c>
      <c r="C880" t="s">
        <v>203</v>
      </c>
      <c r="D880" t="s">
        <v>1356</v>
      </c>
      <c r="E880" t="s">
        <v>18</v>
      </c>
      <c r="F880" t="s">
        <v>166</v>
      </c>
      <c r="G880" t="s">
        <v>259</v>
      </c>
      <c r="H880" t="s">
        <v>49</v>
      </c>
      <c r="I880">
        <v>4500</v>
      </c>
      <c r="J880">
        <v>5850</v>
      </c>
      <c r="K880">
        <v>1</v>
      </c>
      <c r="L880">
        <v>4500</v>
      </c>
      <c r="M880">
        <v>5850</v>
      </c>
      <c r="N880" t="s">
        <v>56</v>
      </c>
      <c r="O880">
        <f t="shared" si="26"/>
        <v>11700</v>
      </c>
      <c r="P880" s="13">
        <f t="shared" si="27"/>
        <v>2559635</v>
      </c>
      <c r="Q880" s="13">
        <f>SUMIFS(M:M,E:E,Online_eCommerce[[#This Row],[Status]])</f>
        <v>28340455</v>
      </c>
      <c r="R880" s="13">
        <f>SUMIFS(L:L,H:H,Online_eCommerce[[#This Row],[Brand]])</f>
        <v>4528350</v>
      </c>
      <c r="S880" s="13">
        <f>SUMIF(H:H,Online_eCommerce[[#This Row],[Brand]],M:M)</f>
        <v>5886855</v>
      </c>
      <c r="T880" s="13">
        <f>SUMIF(N:N,Online_eCommerce[[#This Row],[Assigned Supervisor]],L:L)</f>
        <v>11733610</v>
      </c>
    </row>
    <row r="881" spans="1:20" hidden="1" x14ac:dyDescent="0.3">
      <c r="A881" t="s">
        <v>1362</v>
      </c>
      <c r="B881" t="s">
        <v>154</v>
      </c>
      <c r="C881" t="s">
        <v>205</v>
      </c>
      <c r="D881" t="s">
        <v>1356</v>
      </c>
      <c r="E881" t="s">
        <v>161</v>
      </c>
      <c r="F881" t="s">
        <v>1363</v>
      </c>
      <c r="G881" t="s">
        <v>54</v>
      </c>
      <c r="H881" t="s">
        <v>55</v>
      </c>
      <c r="I881">
        <v>2100</v>
      </c>
      <c r="J881">
        <v>2730</v>
      </c>
      <c r="K881">
        <v>4</v>
      </c>
      <c r="L881">
        <v>8400</v>
      </c>
      <c r="M881">
        <v>10920</v>
      </c>
      <c r="N881" t="s">
        <v>22</v>
      </c>
      <c r="O881">
        <f t="shared" si="26"/>
        <v>2990</v>
      </c>
      <c r="P881" s="13">
        <f t="shared" si="27"/>
        <v>1983254</v>
      </c>
      <c r="Q881" s="13">
        <f>SUMIFS(M:M,E:E,Online_eCommerce[[#This Row],[Status]])</f>
        <v>21103186</v>
      </c>
      <c r="R881" s="13">
        <f>SUMIFS(L:L,H:H,Online_eCommerce[[#This Row],[Brand]])</f>
        <v>2267380</v>
      </c>
      <c r="S881" s="13">
        <f>SUMIF(H:H,Online_eCommerce[[#This Row],[Brand]],M:M)</f>
        <v>2947594</v>
      </c>
      <c r="T881" s="13">
        <f>SUMIF(N:N,Online_eCommerce[[#This Row],[Assigned Supervisor]],L:L)</f>
        <v>13693220</v>
      </c>
    </row>
    <row r="882" spans="1:20" x14ac:dyDescent="0.3">
      <c r="A882" t="s">
        <v>1364</v>
      </c>
      <c r="B882" t="s">
        <v>154</v>
      </c>
      <c r="C882" t="s">
        <v>208</v>
      </c>
      <c r="D882" t="s">
        <v>1356</v>
      </c>
      <c r="E882" t="s">
        <v>46</v>
      </c>
      <c r="F882" t="s">
        <v>174</v>
      </c>
      <c r="G882" t="s">
        <v>60</v>
      </c>
      <c r="H882" t="s">
        <v>61</v>
      </c>
      <c r="I882">
        <v>1150</v>
      </c>
      <c r="J882">
        <v>1495</v>
      </c>
      <c r="K882">
        <v>4</v>
      </c>
      <c r="L882">
        <v>4600</v>
      </c>
      <c r="M882">
        <v>5980</v>
      </c>
      <c r="N882" t="s">
        <v>28</v>
      </c>
      <c r="O882">
        <f t="shared" si="26"/>
        <v>3315</v>
      </c>
      <c r="P882" s="13">
        <f t="shared" si="27"/>
        <v>2746575</v>
      </c>
      <c r="Q882" s="13">
        <f>SUMIFS(M:M,E:E,Online_eCommerce[[#This Row],[Status]])</f>
        <v>28620410</v>
      </c>
      <c r="R882" s="13">
        <f>SUMIFS(L:L,H:H,Online_eCommerce[[#This Row],[Brand]])</f>
        <v>10950150</v>
      </c>
      <c r="S882" s="13">
        <f>SUMIF(H:H,Online_eCommerce[[#This Row],[Brand]],M:M)</f>
        <v>14235195</v>
      </c>
      <c r="T882" s="13">
        <f>SUMIF(N:N,Online_eCommerce[[#This Row],[Assigned Supervisor]],L:L)</f>
        <v>12220830</v>
      </c>
    </row>
    <row r="883" spans="1:20" hidden="1" x14ac:dyDescent="0.3">
      <c r="A883" t="s">
        <v>1365</v>
      </c>
      <c r="B883" t="s">
        <v>154</v>
      </c>
      <c r="C883" t="s">
        <v>211</v>
      </c>
      <c r="D883" t="s">
        <v>1356</v>
      </c>
      <c r="E883" t="s">
        <v>96</v>
      </c>
      <c r="F883" t="s">
        <v>179</v>
      </c>
      <c r="G883" t="s">
        <v>66</v>
      </c>
      <c r="H883" t="s">
        <v>21</v>
      </c>
      <c r="I883">
        <v>350</v>
      </c>
      <c r="J883">
        <v>455</v>
      </c>
      <c r="K883">
        <v>3</v>
      </c>
      <c r="L883">
        <v>1050</v>
      </c>
      <c r="M883">
        <v>1365</v>
      </c>
      <c r="N883" t="s">
        <v>35</v>
      </c>
      <c r="O883">
        <f t="shared" si="26"/>
        <v>1690</v>
      </c>
      <c r="P883" s="13">
        <f t="shared" si="27"/>
        <v>1809847</v>
      </c>
      <c r="Q883" s="13">
        <f>SUMIFS(M:M,E:E,Online_eCommerce[[#This Row],[Status]])</f>
        <v>21233992</v>
      </c>
      <c r="R883" s="13">
        <f>SUMIFS(L:L,H:H,Online_eCommerce[[#This Row],[Brand]])</f>
        <v>12435650</v>
      </c>
      <c r="S883" s="13">
        <f>SUMIF(H:H,Online_eCommerce[[#This Row],[Brand]],M:M)</f>
        <v>16166345</v>
      </c>
      <c r="T883" s="13">
        <f>SUMIF(N:N,Online_eCommerce[[#This Row],[Assigned Supervisor]],L:L)</f>
        <v>14373360</v>
      </c>
    </row>
    <row r="884" spans="1:20" hidden="1" x14ac:dyDescent="0.3">
      <c r="A884" t="s">
        <v>1366</v>
      </c>
      <c r="B884" t="s">
        <v>154</v>
      </c>
      <c r="C884" t="s">
        <v>16</v>
      </c>
      <c r="D884" t="s">
        <v>1356</v>
      </c>
      <c r="E884" t="s">
        <v>18</v>
      </c>
      <c r="F884" t="s">
        <v>183</v>
      </c>
      <c r="G884" t="s">
        <v>71</v>
      </c>
      <c r="H884" t="s">
        <v>61</v>
      </c>
      <c r="I884">
        <v>9500</v>
      </c>
      <c r="J884">
        <v>12350</v>
      </c>
      <c r="K884">
        <v>4</v>
      </c>
      <c r="L884">
        <v>38000</v>
      </c>
      <c r="M884">
        <v>49400</v>
      </c>
      <c r="N884" t="s">
        <v>42</v>
      </c>
      <c r="O884">
        <f t="shared" si="26"/>
        <v>9750</v>
      </c>
      <c r="P884" s="13">
        <f t="shared" si="27"/>
        <v>2751814</v>
      </c>
      <c r="Q884" s="13">
        <f>SUMIFS(M:M,E:E,Online_eCommerce[[#This Row],[Status]])</f>
        <v>28340455</v>
      </c>
      <c r="R884" s="13">
        <f>SUMIFS(L:L,H:H,Online_eCommerce[[#This Row],[Brand]])</f>
        <v>10950150</v>
      </c>
      <c r="S884" s="13">
        <f>SUMIF(H:H,Online_eCommerce[[#This Row],[Brand]],M:M)</f>
        <v>14235195</v>
      </c>
      <c r="T884" s="13">
        <f>SUMIF(N:N,Online_eCommerce[[#This Row],[Assigned Supervisor]],L:L)</f>
        <v>12261500</v>
      </c>
    </row>
    <row r="885" spans="1:20" hidden="1" x14ac:dyDescent="0.3">
      <c r="A885" t="s">
        <v>1367</v>
      </c>
      <c r="B885" t="s">
        <v>154</v>
      </c>
      <c r="C885" t="s">
        <v>24</v>
      </c>
      <c r="D885" t="s">
        <v>1356</v>
      </c>
      <c r="E885" t="s">
        <v>161</v>
      </c>
      <c r="F885" t="s">
        <v>1368</v>
      </c>
      <c r="G885" t="s">
        <v>77</v>
      </c>
      <c r="H885" t="s">
        <v>142</v>
      </c>
      <c r="I885">
        <v>10000</v>
      </c>
      <c r="J885">
        <v>13000</v>
      </c>
      <c r="K885">
        <v>3</v>
      </c>
      <c r="L885">
        <v>30000</v>
      </c>
      <c r="M885">
        <v>39000</v>
      </c>
      <c r="N885" t="s">
        <v>50</v>
      </c>
      <c r="O885">
        <f t="shared" si="26"/>
        <v>39000</v>
      </c>
      <c r="P885" s="13">
        <f t="shared" si="27"/>
        <v>2009540</v>
      </c>
      <c r="Q885" s="13">
        <f>SUMIFS(M:M,E:E,Online_eCommerce[[#This Row],[Status]])</f>
        <v>21103186</v>
      </c>
      <c r="R885" s="13">
        <f>SUMIFS(L:L,H:H,Online_eCommerce[[#This Row],[Brand]])</f>
        <v>6192500</v>
      </c>
      <c r="S885" s="13">
        <f>SUMIF(H:H,Online_eCommerce[[#This Row],[Brand]],M:M)</f>
        <v>8050250</v>
      </c>
      <c r="T885" s="13">
        <f>SUMIF(N:N,Online_eCommerce[[#This Row],[Assigned Supervisor]],L:L)</f>
        <v>12100590</v>
      </c>
    </row>
    <row r="886" spans="1:20" x14ac:dyDescent="0.3">
      <c r="A886" t="s">
        <v>1369</v>
      </c>
      <c r="B886" t="s">
        <v>154</v>
      </c>
      <c r="C886" t="s">
        <v>31</v>
      </c>
      <c r="D886" t="s">
        <v>1356</v>
      </c>
      <c r="E886" t="s">
        <v>46</v>
      </c>
      <c r="F886" t="s">
        <v>1370</v>
      </c>
      <c r="G886" t="s">
        <v>20</v>
      </c>
      <c r="H886" t="s">
        <v>21</v>
      </c>
      <c r="I886">
        <v>6500</v>
      </c>
      <c r="J886">
        <v>8450</v>
      </c>
      <c r="K886">
        <v>2</v>
      </c>
      <c r="L886">
        <v>13000</v>
      </c>
      <c r="M886">
        <v>16900</v>
      </c>
      <c r="N886" t="s">
        <v>56</v>
      </c>
      <c r="O886">
        <f t="shared" si="26"/>
        <v>8450</v>
      </c>
      <c r="P886" s="13">
        <f t="shared" si="27"/>
        <v>2865746</v>
      </c>
      <c r="Q886" s="13">
        <f>SUMIFS(M:M,E:E,Online_eCommerce[[#This Row],[Status]])</f>
        <v>28620410</v>
      </c>
      <c r="R886" s="13">
        <f>SUMIFS(L:L,H:H,Online_eCommerce[[#This Row],[Brand]])</f>
        <v>12435650</v>
      </c>
      <c r="S886" s="13">
        <f>SUMIF(H:H,Online_eCommerce[[#This Row],[Brand]],M:M)</f>
        <v>16166345</v>
      </c>
      <c r="T886" s="13">
        <f>SUMIF(N:N,Online_eCommerce[[#This Row],[Assigned Supervisor]],L:L)</f>
        <v>11733610</v>
      </c>
    </row>
    <row r="887" spans="1:20" hidden="1" x14ac:dyDescent="0.3">
      <c r="A887" t="s">
        <v>1371</v>
      </c>
      <c r="B887" t="s">
        <v>154</v>
      </c>
      <c r="C887" t="s">
        <v>38</v>
      </c>
      <c r="D887" t="s">
        <v>1356</v>
      </c>
      <c r="E887" t="s">
        <v>96</v>
      </c>
      <c r="F887" t="s">
        <v>1372</v>
      </c>
      <c r="G887" t="s">
        <v>26</v>
      </c>
      <c r="H887" t="s">
        <v>27</v>
      </c>
      <c r="I887">
        <v>8500</v>
      </c>
      <c r="J887">
        <v>11050</v>
      </c>
      <c r="K887">
        <v>2</v>
      </c>
      <c r="L887">
        <v>17000</v>
      </c>
      <c r="M887">
        <v>22100</v>
      </c>
      <c r="N887" t="s">
        <v>22</v>
      </c>
      <c r="O887">
        <f t="shared" si="26"/>
        <v>33150</v>
      </c>
      <c r="P887" s="13">
        <f t="shared" si="27"/>
        <v>1933997</v>
      </c>
      <c r="Q887" s="13">
        <f>SUMIFS(M:M,E:E,Online_eCommerce[[#This Row],[Status]])</f>
        <v>21233992</v>
      </c>
      <c r="R887" s="13">
        <f>SUMIFS(L:L,H:H,Online_eCommerce[[#This Row],[Brand]])</f>
        <v>14431000</v>
      </c>
      <c r="S887" s="13">
        <f>SUMIF(H:H,Online_eCommerce[[#This Row],[Brand]],M:M)</f>
        <v>18760300</v>
      </c>
      <c r="T887" s="13">
        <f>SUMIF(N:N,Online_eCommerce[[#This Row],[Assigned Supervisor]],L:L)</f>
        <v>13693220</v>
      </c>
    </row>
    <row r="888" spans="1:20" hidden="1" x14ac:dyDescent="0.3">
      <c r="A888" t="s">
        <v>1373</v>
      </c>
      <c r="B888" t="s">
        <v>154</v>
      </c>
      <c r="C888" t="s">
        <v>45</v>
      </c>
      <c r="D888" t="s">
        <v>1356</v>
      </c>
      <c r="E888" t="s">
        <v>18</v>
      </c>
      <c r="F888" t="s">
        <v>32</v>
      </c>
      <c r="G888" t="s">
        <v>33</v>
      </c>
      <c r="H888" t="s">
        <v>34</v>
      </c>
      <c r="I888">
        <v>7000</v>
      </c>
      <c r="J888">
        <v>9100</v>
      </c>
      <c r="K888">
        <v>3</v>
      </c>
      <c r="L888">
        <v>21000</v>
      </c>
      <c r="M888">
        <v>27300</v>
      </c>
      <c r="N888" t="s">
        <v>28</v>
      </c>
      <c r="O888">
        <f t="shared" si="26"/>
        <v>18200</v>
      </c>
      <c r="P888" s="13">
        <f t="shared" si="27"/>
        <v>2842554</v>
      </c>
      <c r="Q888" s="13">
        <f>SUMIFS(M:M,E:E,Online_eCommerce[[#This Row],[Status]])</f>
        <v>28340455</v>
      </c>
      <c r="R888" s="13">
        <f>SUMIFS(L:L,H:H,Online_eCommerce[[#This Row],[Brand]])</f>
        <v>10087000</v>
      </c>
      <c r="S888" s="13">
        <f>SUMIF(H:H,Online_eCommerce[[#This Row],[Brand]],M:M)</f>
        <v>13113100</v>
      </c>
      <c r="T888" s="13">
        <f>SUMIF(N:N,Online_eCommerce[[#This Row],[Assigned Supervisor]],L:L)</f>
        <v>12220830</v>
      </c>
    </row>
    <row r="889" spans="1:20" hidden="1" x14ac:dyDescent="0.3">
      <c r="A889" t="s">
        <v>1374</v>
      </c>
      <c r="B889" t="s">
        <v>154</v>
      </c>
      <c r="C889" t="s">
        <v>52</v>
      </c>
      <c r="D889" t="s">
        <v>1356</v>
      </c>
      <c r="E889" t="s">
        <v>161</v>
      </c>
      <c r="F889" t="s">
        <v>1375</v>
      </c>
      <c r="G889" t="s">
        <v>256</v>
      </c>
      <c r="H889" t="s">
        <v>41</v>
      </c>
      <c r="I889">
        <v>6550</v>
      </c>
      <c r="J889">
        <v>8515</v>
      </c>
      <c r="K889">
        <v>3</v>
      </c>
      <c r="L889">
        <v>19650</v>
      </c>
      <c r="M889">
        <v>25545</v>
      </c>
      <c r="N889" t="s">
        <v>35</v>
      </c>
      <c r="O889">
        <f t="shared" si="26"/>
        <v>9100</v>
      </c>
      <c r="P889" s="13">
        <f t="shared" si="27"/>
        <v>1955044</v>
      </c>
      <c r="Q889" s="13">
        <f>SUMIFS(M:M,E:E,Online_eCommerce[[#This Row],[Status]])</f>
        <v>21103186</v>
      </c>
      <c r="R889" s="13">
        <f>SUMIFS(L:L,H:H,Online_eCommerce[[#This Row],[Brand]])</f>
        <v>4260400</v>
      </c>
      <c r="S889" s="13">
        <f>SUMIF(H:H,Online_eCommerce[[#This Row],[Brand]],M:M)</f>
        <v>5538520</v>
      </c>
      <c r="T889" s="13">
        <f>SUMIF(N:N,Online_eCommerce[[#This Row],[Assigned Supervisor]],L:L)</f>
        <v>14373360</v>
      </c>
    </row>
    <row r="890" spans="1:20" x14ac:dyDescent="0.3">
      <c r="A890" t="s">
        <v>1376</v>
      </c>
      <c r="B890" t="s">
        <v>154</v>
      </c>
      <c r="C890" t="s">
        <v>58</v>
      </c>
      <c r="D890" t="s">
        <v>1356</v>
      </c>
      <c r="E890" t="s">
        <v>46</v>
      </c>
      <c r="F890" t="s">
        <v>47</v>
      </c>
      <c r="G890" t="s">
        <v>259</v>
      </c>
      <c r="H890" t="s">
        <v>49</v>
      </c>
      <c r="I890">
        <v>7650</v>
      </c>
      <c r="J890">
        <v>9945</v>
      </c>
      <c r="K890">
        <v>2</v>
      </c>
      <c r="L890">
        <v>15300</v>
      </c>
      <c r="M890">
        <v>19890</v>
      </c>
      <c r="N890" t="s">
        <v>42</v>
      </c>
      <c r="O890">
        <f t="shared" si="26"/>
        <v>11700</v>
      </c>
      <c r="P890" s="13">
        <f t="shared" si="27"/>
        <v>2629211</v>
      </c>
      <c r="Q890" s="13">
        <f>SUMIFS(M:M,E:E,Online_eCommerce[[#This Row],[Status]])</f>
        <v>28620410</v>
      </c>
      <c r="R890" s="13">
        <f>SUMIFS(L:L,H:H,Online_eCommerce[[#This Row],[Brand]])</f>
        <v>4528350</v>
      </c>
      <c r="S890" s="13">
        <f>SUMIF(H:H,Online_eCommerce[[#This Row],[Brand]],M:M)</f>
        <v>5886855</v>
      </c>
      <c r="T890" s="13">
        <f>SUMIF(N:N,Online_eCommerce[[#This Row],[Assigned Supervisor]],L:L)</f>
        <v>12261500</v>
      </c>
    </row>
    <row r="891" spans="1:20" hidden="1" x14ac:dyDescent="0.3">
      <c r="A891" t="s">
        <v>1377</v>
      </c>
      <c r="B891" t="s">
        <v>154</v>
      </c>
      <c r="C891" t="s">
        <v>63</v>
      </c>
      <c r="D891" t="s">
        <v>1356</v>
      </c>
      <c r="E891" t="s">
        <v>96</v>
      </c>
      <c r="F891" t="s">
        <v>53</v>
      </c>
      <c r="G891" t="s">
        <v>54</v>
      </c>
      <c r="H891" t="s">
        <v>55</v>
      </c>
      <c r="I891">
        <v>1150</v>
      </c>
      <c r="J891">
        <v>1495</v>
      </c>
      <c r="K891">
        <v>2</v>
      </c>
      <c r="L891">
        <v>2300</v>
      </c>
      <c r="M891">
        <v>2990</v>
      </c>
      <c r="N891" t="s">
        <v>50</v>
      </c>
      <c r="O891">
        <f t="shared" si="26"/>
        <v>2990</v>
      </c>
      <c r="P891" s="13">
        <f t="shared" si="27"/>
        <v>2016131</v>
      </c>
      <c r="Q891" s="13">
        <f>SUMIFS(M:M,E:E,Online_eCommerce[[#This Row],[Status]])</f>
        <v>21233992</v>
      </c>
      <c r="R891" s="13">
        <f>SUMIFS(L:L,H:H,Online_eCommerce[[#This Row],[Brand]])</f>
        <v>2267380</v>
      </c>
      <c r="S891" s="13">
        <f>SUMIF(H:H,Online_eCommerce[[#This Row],[Brand]],M:M)</f>
        <v>2947594</v>
      </c>
      <c r="T891" s="13">
        <f>SUMIF(N:N,Online_eCommerce[[#This Row],[Assigned Supervisor]],L:L)</f>
        <v>12100590</v>
      </c>
    </row>
    <row r="892" spans="1:20" hidden="1" x14ac:dyDescent="0.3">
      <c r="A892" t="s">
        <v>1378</v>
      </c>
      <c r="B892" t="s">
        <v>154</v>
      </c>
      <c r="C892" t="s">
        <v>68</v>
      </c>
      <c r="D892" t="s">
        <v>1356</v>
      </c>
      <c r="E892" t="s">
        <v>18</v>
      </c>
      <c r="F892" t="s">
        <v>59</v>
      </c>
      <c r="G892" t="s">
        <v>60</v>
      </c>
      <c r="H892" t="s">
        <v>61</v>
      </c>
      <c r="I892">
        <v>850</v>
      </c>
      <c r="J892">
        <v>1105</v>
      </c>
      <c r="K892">
        <v>3</v>
      </c>
      <c r="L892">
        <v>2550</v>
      </c>
      <c r="M892">
        <v>3315</v>
      </c>
      <c r="N892" t="s">
        <v>56</v>
      </c>
      <c r="O892">
        <f t="shared" si="26"/>
        <v>3315</v>
      </c>
      <c r="P892" s="13">
        <f t="shared" si="27"/>
        <v>2974621</v>
      </c>
      <c r="Q892" s="13">
        <f>SUMIFS(M:M,E:E,Online_eCommerce[[#This Row],[Status]])</f>
        <v>28340455</v>
      </c>
      <c r="R892" s="13">
        <f>SUMIFS(L:L,H:H,Online_eCommerce[[#This Row],[Brand]])</f>
        <v>10950150</v>
      </c>
      <c r="S892" s="13">
        <f>SUMIF(H:H,Online_eCommerce[[#This Row],[Brand]],M:M)</f>
        <v>14235195</v>
      </c>
      <c r="T892" s="13">
        <f>SUMIF(N:N,Online_eCommerce[[#This Row],[Assigned Supervisor]],L:L)</f>
        <v>11733610</v>
      </c>
    </row>
    <row r="893" spans="1:20" hidden="1" x14ac:dyDescent="0.3">
      <c r="A893" t="s">
        <v>1379</v>
      </c>
      <c r="B893" t="s">
        <v>154</v>
      </c>
      <c r="C893" t="s">
        <v>74</v>
      </c>
      <c r="D893" t="s">
        <v>1380</v>
      </c>
      <c r="E893" t="s">
        <v>161</v>
      </c>
      <c r="F893" t="s">
        <v>65</v>
      </c>
      <c r="G893" t="s">
        <v>66</v>
      </c>
      <c r="H893" t="s">
        <v>21</v>
      </c>
      <c r="I893">
        <v>650</v>
      </c>
      <c r="J893">
        <v>845</v>
      </c>
      <c r="K893">
        <v>2</v>
      </c>
      <c r="L893">
        <v>1300</v>
      </c>
      <c r="M893">
        <v>1690</v>
      </c>
      <c r="N893" t="s">
        <v>22</v>
      </c>
      <c r="O893">
        <f t="shared" si="26"/>
        <v>1690</v>
      </c>
      <c r="P893" s="13">
        <f t="shared" si="27"/>
        <v>2144701</v>
      </c>
      <c r="Q893" s="13">
        <f>SUMIFS(M:M,E:E,Online_eCommerce[[#This Row],[Status]])</f>
        <v>21103186</v>
      </c>
      <c r="R893" s="13">
        <f>SUMIFS(L:L,H:H,Online_eCommerce[[#This Row],[Brand]])</f>
        <v>12435650</v>
      </c>
      <c r="S893" s="13">
        <f>SUMIF(H:H,Online_eCommerce[[#This Row],[Brand]],M:M)</f>
        <v>16166345</v>
      </c>
      <c r="T893" s="13">
        <f>SUMIF(N:N,Online_eCommerce[[#This Row],[Assigned Supervisor]],L:L)</f>
        <v>13693220</v>
      </c>
    </row>
    <row r="894" spans="1:20" x14ac:dyDescent="0.3">
      <c r="A894" t="s">
        <v>1381</v>
      </c>
      <c r="B894" t="s">
        <v>154</v>
      </c>
      <c r="C894" t="s">
        <v>81</v>
      </c>
      <c r="D894" t="s">
        <v>1382</v>
      </c>
      <c r="E894" t="s">
        <v>46</v>
      </c>
      <c r="F894" t="s">
        <v>70</v>
      </c>
      <c r="G894" t="s">
        <v>71</v>
      </c>
      <c r="H894" t="s">
        <v>61</v>
      </c>
      <c r="I894">
        <v>7500</v>
      </c>
      <c r="J894">
        <v>9750</v>
      </c>
      <c r="K894">
        <v>3</v>
      </c>
      <c r="L894">
        <v>22500</v>
      </c>
      <c r="M894">
        <v>29250</v>
      </c>
      <c r="N894" t="s">
        <v>28</v>
      </c>
      <c r="O894">
        <f t="shared" si="26"/>
        <v>9750</v>
      </c>
      <c r="P894" s="13">
        <f t="shared" si="27"/>
        <v>2595632</v>
      </c>
      <c r="Q894" s="13">
        <f>SUMIFS(M:M,E:E,Online_eCommerce[[#This Row],[Status]])</f>
        <v>28620410</v>
      </c>
      <c r="R894" s="13">
        <f>SUMIFS(L:L,H:H,Online_eCommerce[[#This Row],[Brand]])</f>
        <v>10950150</v>
      </c>
      <c r="S894" s="13">
        <f>SUMIF(H:H,Online_eCommerce[[#This Row],[Brand]],M:M)</f>
        <v>14235195</v>
      </c>
      <c r="T894" s="13">
        <f>SUMIF(N:N,Online_eCommerce[[#This Row],[Assigned Supervisor]],L:L)</f>
        <v>12220830</v>
      </c>
    </row>
    <row r="895" spans="1:20" hidden="1" x14ac:dyDescent="0.3">
      <c r="A895" t="s">
        <v>1383</v>
      </c>
      <c r="B895" t="s">
        <v>154</v>
      </c>
      <c r="C895" t="s">
        <v>86</v>
      </c>
      <c r="D895" t="s">
        <v>1384</v>
      </c>
      <c r="E895" t="s">
        <v>96</v>
      </c>
      <c r="F895" t="s">
        <v>1368</v>
      </c>
      <c r="G895" t="s">
        <v>77</v>
      </c>
      <c r="H895" t="s">
        <v>78</v>
      </c>
      <c r="I895">
        <v>10000</v>
      </c>
      <c r="J895">
        <v>13000</v>
      </c>
      <c r="K895">
        <v>1</v>
      </c>
      <c r="L895">
        <v>10000</v>
      </c>
      <c r="M895">
        <v>13000</v>
      </c>
      <c r="N895" t="s">
        <v>35</v>
      </c>
      <c r="O895">
        <f t="shared" si="26"/>
        <v>39000</v>
      </c>
      <c r="P895" s="13">
        <f t="shared" si="27"/>
        <v>1941225</v>
      </c>
      <c r="Q895" s="13">
        <f>SUMIFS(M:M,E:E,Online_eCommerce[[#This Row],[Status]])</f>
        <v>21233992</v>
      </c>
      <c r="R895" s="13">
        <f>SUMIFS(L:L,H:H,Online_eCommerce[[#This Row],[Brand]])</f>
        <v>3720000</v>
      </c>
      <c r="S895" s="13">
        <f>SUMIF(H:H,Online_eCommerce[[#This Row],[Brand]],M:M)</f>
        <v>4836000</v>
      </c>
      <c r="T895" s="13">
        <f>SUMIF(N:N,Online_eCommerce[[#This Row],[Assigned Supervisor]],L:L)</f>
        <v>14373360</v>
      </c>
    </row>
    <row r="896" spans="1:20" hidden="1" x14ac:dyDescent="0.3">
      <c r="A896" t="s">
        <v>1385</v>
      </c>
      <c r="B896" t="s">
        <v>154</v>
      </c>
      <c r="C896" t="s">
        <v>91</v>
      </c>
      <c r="D896" t="s">
        <v>1384</v>
      </c>
      <c r="E896" t="s">
        <v>18</v>
      </c>
      <c r="F896" t="s">
        <v>1386</v>
      </c>
      <c r="G896" t="s">
        <v>20</v>
      </c>
      <c r="H896" t="s">
        <v>21</v>
      </c>
      <c r="I896">
        <v>10500</v>
      </c>
      <c r="J896">
        <v>13650</v>
      </c>
      <c r="K896">
        <v>3</v>
      </c>
      <c r="L896">
        <v>31500</v>
      </c>
      <c r="M896">
        <v>40950</v>
      </c>
      <c r="N896" t="s">
        <v>42</v>
      </c>
      <c r="O896">
        <f t="shared" si="26"/>
        <v>8450</v>
      </c>
      <c r="P896" s="13">
        <f t="shared" si="27"/>
        <v>2731963</v>
      </c>
      <c r="Q896" s="13">
        <f>SUMIFS(M:M,E:E,Online_eCommerce[[#This Row],[Status]])</f>
        <v>28340455</v>
      </c>
      <c r="R896" s="13">
        <f>SUMIFS(L:L,H:H,Online_eCommerce[[#This Row],[Brand]])</f>
        <v>12435650</v>
      </c>
      <c r="S896" s="13">
        <f>SUMIF(H:H,Online_eCommerce[[#This Row],[Brand]],M:M)</f>
        <v>16166345</v>
      </c>
      <c r="T896" s="13">
        <f>SUMIF(N:N,Online_eCommerce[[#This Row],[Assigned Supervisor]],L:L)</f>
        <v>12261500</v>
      </c>
    </row>
    <row r="897" spans="1:20" hidden="1" x14ac:dyDescent="0.3">
      <c r="A897" t="s">
        <v>1387</v>
      </c>
      <c r="B897" t="s">
        <v>154</v>
      </c>
      <c r="C897" t="s">
        <v>94</v>
      </c>
      <c r="D897" t="s">
        <v>1384</v>
      </c>
      <c r="E897" t="s">
        <v>161</v>
      </c>
      <c r="F897" t="s">
        <v>88</v>
      </c>
      <c r="G897" t="s">
        <v>26</v>
      </c>
      <c r="H897" t="s">
        <v>27</v>
      </c>
      <c r="I897">
        <v>8500</v>
      </c>
      <c r="J897">
        <v>11050</v>
      </c>
      <c r="K897">
        <v>2</v>
      </c>
      <c r="L897">
        <v>17000</v>
      </c>
      <c r="M897">
        <v>22100</v>
      </c>
      <c r="N897" t="s">
        <v>50</v>
      </c>
      <c r="O897">
        <f t="shared" si="26"/>
        <v>33150</v>
      </c>
      <c r="P897" s="13">
        <f t="shared" si="27"/>
        <v>1868256</v>
      </c>
      <c r="Q897" s="13">
        <f>SUMIFS(M:M,E:E,Online_eCommerce[[#This Row],[Status]])</f>
        <v>21103186</v>
      </c>
      <c r="R897" s="13">
        <f>SUMIFS(L:L,H:H,Online_eCommerce[[#This Row],[Brand]])</f>
        <v>14431000</v>
      </c>
      <c r="S897" s="13">
        <f>SUMIF(H:H,Online_eCommerce[[#This Row],[Brand]],M:M)</f>
        <v>18760300</v>
      </c>
      <c r="T897" s="13">
        <f>SUMIF(N:N,Online_eCommerce[[#This Row],[Assigned Supervisor]],L:L)</f>
        <v>12100590</v>
      </c>
    </row>
    <row r="898" spans="1:20" x14ac:dyDescent="0.3">
      <c r="A898" t="s">
        <v>1388</v>
      </c>
      <c r="B898" t="s">
        <v>154</v>
      </c>
      <c r="C898" t="s">
        <v>99</v>
      </c>
      <c r="D898" t="s">
        <v>1384</v>
      </c>
      <c r="E898" t="s">
        <v>46</v>
      </c>
      <c r="F898" t="s">
        <v>32</v>
      </c>
      <c r="G898" t="s">
        <v>33</v>
      </c>
      <c r="H898" t="s">
        <v>34</v>
      </c>
      <c r="I898">
        <v>7000</v>
      </c>
      <c r="J898">
        <v>9100</v>
      </c>
      <c r="K898">
        <v>4</v>
      </c>
      <c r="L898">
        <v>28000</v>
      </c>
      <c r="M898">
        <v>36400</v>
      </c>
      <c r="N898" t="s">
        <v>56</v>
      </c>
      <c r="O898">
        <f t="shared" ref="O898:O961" si="28">VLOOKUP(G898,G:M,7,FALSE)</f>
        <v>18200</v>
      </c>
      <c r="P898" s="13">
        <f t="shared" ref="P898:P961" si="29">SUMIFS(M:M,C:C,C898)</f>
        <v>2651233</v>
      </c>
      <c r="Q898" s="13">
        <f>SUMIFS(M:M,E:E,Online_eCommerce[[#This Row],[Status]])</f>
        <v>28620410</v>
      </c>
      <c r="R898" s="13">
        <f>SUMIFS(L:L,H:H,Online_eCommerce[[#This Row],[Brand]])</f>
        <v>10087000</v>
      </c>
      <c r="S898" s="13">
        <f>SUMIF(H:H,Online_eCommerce[[#This Row],[Brand]],M:M)</f>
        <v>13113100</v>
      </c>
      <c r="T898" s="13">
        <f>SUMIF(N:N,Online_eCommerce[[#This Row],[Assigned Supervisor]],L:L)</f>
        <v>11733610</v>
      </c>
    </row>
    <row r="899" spans="1:20" hidden="1" x14ac:dyDescent="0.3">
      <c r="A899" t="s">
        <v>1389</v>
      </c>
      <c r="B899" t="s">
        <v>154</v>
      </c>
      <c r="C899" t="s">
        <v>105</v>
      </c>
      <c r="D899" t="s">
        <v>1384</v>
      </c>
      <c r="E899" t="s">
        <v>96</v>
      </c>
      <c r="F899" t="s">
        <v>1390</v>
      </c>
      <c r="G899" t="s">
        <v>256</v>
      </c>
      <c r="H899" t="s">
        <v>41</v>
      </c>
      <c r="I899">
        <v>1680</v>
      </c>
      <c r="J899">
        <v>2184</v>
      </c>
      <c r="K899">
        <v>3</v>
      </c>
      <c r="L899">
        <v>5040</v>
      </c>
      <c r="M899">
        <v>6552</v>
      </c>
      <c r="N899" t="s">
        <v>22</v>
      </c>
      <c r="O899">
        <f t="shared" si="28"/>
        <v>9100</v>
      </c>
      <c r="P899" s="13">
        <f t="shared" si="29"/>
        <v>1866852</v>
      </c>
      <c r="Q899" s="13">
        <f>SUMIFS(M:M,E:E,Online_eCommerce[[#This Row],[Status]])</f>
        <v>21233992</v>
      </c>
      <c r="R899" s="13">
        <f>SUMIFS(L:L,H:H,Online_eCommerce[[#This Row],[Brand]])</f>
        <v>4260400</v>
      </c>
      <c r="S899" s="13">
        <f>SUMIF(H:H,Online_eCommerce[[#This Row],[Brand]],M:M)</f>
        <v>5538520</v>
      </c>
      <c r="T899" s="13">
        <f>SUMIF(N:N,Online_eCommerce[[#This Row],[Assigned Supervisor]],L:L)</f>
        <v>13693220</v>
      </c>
    </row>
    <row r="900" spans="1:20" hidden="1" x14ac:dyDescent="0.3">
      <c r="A900" t="s">
        <v>1391</v>
      </c>
      <c r="B900" t="s">
        <v>154</v>
      </c>
      <c r="C900" t="s">
        <v>110</v>
      </c>
      <c r="D900" t="s">
        <v>1384</v>
      </c>
      <c r="E900" t="s">
        <v>18</v>
      </c>
      <c r="F900" t="s">
        <v>101</v>
      </c>
      <c r="G900" t="s">
        <v>259</v>
      </c>
      <c r="H900" t="s">
        <v>102</v>
      </c>
      <c r="I900">
        <v>6540</v>
      </c>
      <c r="J900">
        <v>8502</v>
      </c>
      <c r="K900">
        <v>4</v>
      </c>
      <c r="L900">
        <v>26160</v>
      </c>
      <c r="M900">
        <v>34008</v>
      </c>
      <c r="N900" t="s">
        <v>28</v>
      </c>
      <c r="O900">
        <f t="shared" si="28"/>
        <v>11700</v>
      </c>
      <c r="P900" s="13">
        <f t="shared" si="29"/>
        <v>2598635</v>
      </c>
      <c r="Q900" s="13">
        <f>SUMIFS(M:M,E:E,Online_eCommerce[[#This Row],[Status]])</f>
        <v>28340455</v>
      </c>
      <c r="R900" s="13">
        <f>SUMIFS(L:L,H:H,Online_eCommerce[[#This Row],[Brand]])</f>
        <v>2465580</v>
      </c>
      <c r="S900" s="13">
        <f>SUMIF(H:H,Online_eCommerce[[#This Row],[Brand]],M:M)</f>
        <v>3205254</v>
      </c>
      <c r="T900" s="13">
        <f>SUMIF(N:N,Online_eCommerce[[#This Row],[Assigned Supervisor]],L:L)</f>
        <v>12220830</v>
      </c>
    </row>
    <row r="901" spans="1:20" hidden="1" x14ac:dyDescent="0.3">
      <c r="A901" t="s">
        <v>1392</v>
      </c>
      <c r="B901" t="s">
        <v>154</v>
      </c>
      <c r="C901" t="s">
        <v>115</v>
      </c>
      <c r="D901" t="s">
        <v>1384</v>
      </c>
      <c r="E901" t="s">
        <v>161</v>
      </c>
      <c r="F901" t="s">
        <v>107</v>
      </c>
      <c r="G901" t="s">
        <v>54</v>
      </c>
      <c r="H901" t="s">
        <v>55</v>
      </c>
      <c r="I901">
        <v>2680</v>
      </c>
      <c r="J901">
        <v>3484</v>
      </c>
      <c r="K901">
        <v>3</v>
      </c>
      <c r="L901">
        <v>8040</v>
      </c>
      <c r="M901">
        <v>10452</v>
      </c>
      <c r="N901" t="s">
        <v>35</v>
      </c>
      <c r="O901">
        <f t="shared" si="28"/>
        <v>2990</v>
      </c>
      <c r="P901" s="13">
        <f t="shared" si="29"/>
        <v>2050178</v>
      </c>
      <c r="Q901" s="13">
        <f>SUMIFS(M:M,E:E,Online_eCommerce[[#This Row],[Status]])</f>
        <v>21103186</v>
      </c>
      <c r="R901" s="13">
        <f>SUMIFS(L:L,H:H,Online_eCommerce[[#This Row],[Brand]])</f>
        <v>2267380</v>
      </c>
      <c r="S901" s="13">
        <f>SUMIF(H:H,Online_eCommerce[[#This Row],[Brand]],M:M)</f>
        <v>2947594</v>
      </c>
      <c r="T901" s="13">
        <f>SUMIF(N:N,Online_eCommerce[[#This Row],[Assigned Supervisor]],L:L)</f>
        <v>14373360</v>
      </c>
    </row>
    <row r="902" spans="1:20" x14ac:dyDescent="0.3">
      <c r="A902" t="s">
        <v>1393</v>
      </c>
      <c r="B902" t="s">
        <v>154</v>
      </c>
      <c r="C902" t="s">
        <v>120</v>
      </c>
      <c r="D902" t="s">
        <v>1384</v>
      </c>
      <c r="E902" t="s">
        <v>46</v>
      </c>
      <c r="F902" t="s">
        <v>112</v>
      </c>
      <c r="G902" t="s">
        <v>71</v>
      </c>
      <c r="H902" t="s">
        <v>21</v>
      </c>
      <c r="I902">
        <v>8250</v>
      </c>
      <c r="J902">
        <v>10725</v>
      </c>
      <c r="K902">
        <v>4</v>
      </c>
      <c r="L902">
        <v>33000</v>
      </c>
      <c r="M902">
        <v>42900</v>
      </c>
      <c r="N902" t="s">
        <v>42</v>
      </c>
      <c r="O902">
        <f t="shared" si="28"/>
        <v>9750</v>
      </c>
      <c r="P902" s="13">
        <f t="shared" si="29"/>
        <v>2734212</v>
      </c>
      <c r="Q902" s="13">
        <f>SUMIFS(M:M,E:E,Online_eCommerce[[#This Row],[Status]])</f>
        <v>28620410</v>
      </c>
      <c r="R902" s="13">
        <f>SUMIFS(L:L,H:H,Online_eCommerce[[#This Row],[Brand]])</f>
        <v>12435650</v>
      </c>
      <c r="S902" s="13">
        <f>SUMIF(H:H,Online_eCommerce[[#This Row],[Brand]],M:M)</f>
        <v>16166345</v>
      </c>
      <c r="T902" s="13">
        <f>SUMIF(N:N,Online_eCommerce[[#This Row],[Assigned Supervisor]],L:L)</f>
        <v>12261500</v>
      </c>
    </row>
    <row r="903" spans="1:20" hidden="1" x14ac:dyDescent="0.3">
      <c r="A903" t="s">
        <v>1394</v>
      </c>
      <c r="B903" t="s">
        <v>154</v>
      </c>
      <c r="C903" t="s">
        <v>125</v>
      </c>
      <c r="D903" t="s">
        <v>1384</v>
      </c>
      <c r="E903" t="s">
        <v>96</v>
      </c>
      <c r="F903" t="s">
        <v>1015</v>
      </c>
      <c r="G903" t="s">
        <v>40</v>
      </c>
      <c r="H903" t="s">
        <v>21</v>
      </c>
      <c r="I903">
        <v>2650</v>
      </c>
      <c r="J903">
        <v>3445</v>
      </c>
      <c r="K903">
        <v>3</v>
      </c>
      <c r="L903">
        <v>7950</v>
      </c>
      <c r="M903">
        <v>10335</v>
      </c>
      <c r="N903" t="s">
        <v>50</v>
      </c>
      <c r="O903">
        <f t="shared" si="28"/>
        <v>25545</v>
      </c>
      <c r="P903" s="13">
        <f t="shared" si="29"/>
        <v>2091154</v>
      </c>
      <c r="Q903" s="13">
        <f>SUMIFS(M:M,E:E,Online_eCommerce[[#This Row],[Status]])</f>
        <v>21233992</v>
      </c>
      <c r="R903" s="13">
        <f>SUMIFS(L:L,H:H,Online_eCommerce[[#This Row],[Brand]])</f>
        <v>12435650</v>
      </c>
      <c r="S903" s="13">
        <f>SUMIF(H:H,Online_eCommerce[[#This Row],[Brand]],M:M)</f>
        <v>16166345</v>
      </c>
      <c r="T903" s="13">
        <f>SUMIF(N:N,Online_eCommerce[[#This Row],[Assigned Supervisor]],L:L)</f>
        <v>12100590</v>
      </c>
    </row>
    <row r="904" spans="1:20" hidden="1" x14ac:dyDescent="0.3">
      <c r="A904" t="s">
        <v>1395</v>
      </c>
      <c r="B904" t="s">
        <v>154</v>
      </c>
      <c r="C904" t="s">
        <v>22</v>
      </c>
      <c r="D904" t="s">
        <v>1384</v>
      </c>
      <c r="E904" t="s">
        <v>18</v>
      </c>
      <c r="F904" t="s">
        <v>121</v>
      </c>
      <c r="G904" t="s">
        <v>71</v>
      </c>
      <c r="H904" t="s">
        <v>122</v>
      </c>
      <c r="I904">
        <v>12550</v>
      </c>
      <c r="J904">
        <v>16315</v>
      </c>
      <c r="K904">
        <v>1</v>
      </c>
      <c r="L904">
        <v>12550</v>
      </c>
      <c r="M904">
        <v>16315</v>
      </c>
      <c r="N904" t="s">
        <v>56</v>
      </c>
      <c r="O904">
        <f t="shared" si="28"/>
        <v>9750</v>
      </c>
      <c r="P904" s="13">
        <f t="shared" si="29"/>
        <v>2551588</v>
      </c>
      <c r="Q904" s="13">
        <f>SUMIFS(M:M,E:E,Online_eCommerce[[#This Row],[Status]])</f>
        <v>28340455</v>
      </c>
      <c r="R904" s="13">
        <f>SUMIFS(L:L,H:H,Online_eCommerce[[#This Row],[Brand]])</f>
        <v>5045100</v>
      </c>
      <c r="S904" s="13">
        <f>SUMIF(H:H,Online_eCommerce[[#This Row],[Brand]],M:M)</f>
        <v>6558630</v>
      </c>
      <c r="T904" s="13">
        <f>SUMIF(N:N,Online_eCommerce[[#This Row],[Assigned Supervisor]],L:L)</f>
        <v>11733610</v>
      </c>
    </row>
    <row r="905" spans="1:20" hidden="1" x14ac:dyDescent="0.3">
      <c r="A905" t="s">
        <v>1396</v>
      </c>
      <c r="B905" t="s">
        <v>154</v>
      </c>
      <c r="C905" t="s">
        <v>132</v>
      </c>
      <c r="D905" t="s">
        <v>1384</v>
      </c>
      <c r="E905" t="s">
        <v>161</v>
      </c>
      <c r="F905" t="s">
        <v>126</v>
      </c>
      <c r="G905" t="s">
        <v>26</v>
      </c>
      <c r="H905" t="s">
        <v>27</v>
      </c>
      <c r="I905">
        <v>14500</v>
      </c>
      <c r="J905">
        <v>18850</v>
      </c>
      <c r="K905">
        <v>2</v>
      </c>
      <c r="L905">
        <v>29000</v>
      </c>
      <c r="M905">
        <v>37700</v>
      </c>
      <c r="N905" t="s">
        <v>22</v>
      </c>
      <c r="O905">
        <f t="shared" si="28"/>
        <v>33150</v>
      </c>
      <c r="P905" s="13">
        <f t="shared" si="29"/>
        <v>1989065</v>
      </c>
      <c r="Q905" s="13">
        <f>SUMIFS(M:M,E:E,Online_eCommerce[[#This Row],[Status]])</f>
        <v>21103186</v>
      </c>
      <c r="R905" s="13">
        <f>SUMIFS(L:L,H:H,Online_eCommerce[[#This Row],[Brand]])</f>
        <v>14431000</v>
      </c>
      <c r="S905" s="13">
        <f>SUMIF(H:H,Online_eCommerce[[#This Row],[Brand]],M:M)</f>
        <v>18760300</v>
      </c>
      <c r="T905" s="13">
        <f>SUMIF(N:N,Online_eCommerce[[#This Row],[Assigned Supervisor]],L:L)</f>
        <v>13693220</v>
      </c>
    </row>
    <row r="906" spans="1:20" x14ac:dyDescent="0.3">
      <c r="A906" t="s">
        <v>1397</v>
      </c>
      <c r="B906" t="s">
        <v>154</v>
      </c>
      <c r="C906" t="s">
        <v>136</v>
      </c>
      <c r="D906" t="s">
        <v>1384</v>
      </c>
      <c r="E906" t="s">
        <v>46</v>
      </c>
      <c r="F906" t="s">
        <v>129</v>
      </c>
      <c r="G906" t="s">
        <v>60</v>
      </c>
      <c r="H906" t="s">
        <v>61</v>
      </c>
      <c r="I906">
        <v>800</v>
      </c>
      <c r="J906">
        <v>1040</v>
      </c>
      <c r="K906">
        <v>1</v>
      </c>
      <c r="L906">
        <v>800</v>
      </c>
      <c r="M906">
        <v>1040</v>
      </c>
      <c r="N906" t="s">
        <v>28</v>
      </c>
      <c r="O906">
        <f t="shared" si="28"/>
        <v>3315</v>
      </c>
      <c r="P906" s="13">
        <f t="shared" si="29"/>
        <v>2775162</v>
      </c>
      <c r="Q906" s="13">
        <f>SUMIFS(M:M,E:E,Online_eCommerce[[#This Row],[Status]])</f>
        <v>28620410</v>
      </c>
      <c r="R906" s="13">
        <f>SUMIFS(L:L,H:H,Online_eCommerce[[#This Row],[Brand]])</f>
        <v>10950150</v>
      </c>
      <c r="S906" s="13">
        <f>SUMIF(H:H,Online_eCommerce[[#This Row],[Brand]],M:M)</f>
        <v>14235195</v>
      </c>
      <c r="T906" s="13">
        <f>SUMIF(N:N,Online_eCommerce[[#This Row],[Assigned Supervisor]],L:L)</f>
        <v>12220830</v>
      </c>
    </row>
    <row r="907" spans="1:20" hidden="1" x14ac:dyDescent="0.3">
      <c r="A907" t="s">
        <v>1398</v>
      </c>
      <c r="B907" t="s">
        <v>154</v>
      </c>
      <c r="C907" t="s">
        <v>140</v>
      </c>
      <c r="D907" t="s">
        <v>1384</v>
      </c>
      <c r="E907" t="s">
        <v>96</v>
      </c>
      <c r="F907" t="s">
        <v>133</v>
      </c>
      <c r="G907" t="s">
        <v>66</v>
      </c>
      <c r="H907" t="s">
        <v>21</v>
      </c>
      <c r="I907">
        <v>600</v>
      </c>
      <c r="J907">
        <v>780</v>
      </c>
      <c r="K907">
        <v>1</v>
      </c>
      <c r="L907">
        <v>600</v>
      </c>
      <c r="M907">
        <v>780</v>
      </c>
      <c r="N907" t="s">
        <v>35</v>
      </c>
      <c r="O907">
        <f t="shared" si="28"/>
        <v>1690</v>
      </c>
      <c r="P907" s="13">
        <f t="shared" si="29"/>
        <v>2058264</v>
      </c>
      <c r="Q907" s="13">
        <f>SUMIFS(M:M,E:E,Online_eCommerce[[#This Row],[Status]])</f>
        <v>21233992</v>
      </c>
      <c r="R907" s="13">
        <f>SUMIFS(L:L,H:H,Online_eCommerce[[#This Row],[Brand]])</f>
        <v>12435650</v>
      </c>
      <c r="S907" s="13">
        <f>SUMIF(H:H,Online_eCommerce[[#This Row],[Brand]],M:M)</f>
        <v>16166345</v>
      </c>
      <c r="T907" s="13">
        <f>SUMIF(N:N,Online_eCommerce[[#This Row],[Assigned Supervisor]],L:L)</f>
        <v>14373360</v>
      </c>
    </row>
    <row r="908" spans="1:20" hidden="1" x14ac:dyDescent="0.3">
      <c r="A908" t="s">
        <v>1399</v>
      </c>
      <c r="B908" t="s">
        <v>154</v>
      </c>
      <c r="C908" t="s">
        <v>145</v>
      </c>
      <c r="D908" t="s">
        <v>1384</v>
      </c>
      <c r="E908" t="s">
        <v>18</v>
      </c>
      <c r="F908" t="s">
        <v>137</v>
      </c>
      <c r="G908" t="s">
        <v>71</v>
      </c>
      <c r="H908" t="s">
        <v>61</v>
      </c>
      <c r="I908">
        <v>10500</v>
      </c>
      <c r="J908">
        <v>13650</v>
      </c>
      <c r="K908">
        <v>3</v>
      </c>
      <c r="L908">
        <v>31500</v>
      </c>
      <c r="M908">
        <v>40950</v>
      </c>
      <c r="N908" t="s">
        <v>42</v>
      </c>
      <c r="O908">
        <f t="shared" si="28"/>
        <v>9750</v>
      </c>
      <c r="P908" s="13">
        <f t="shared" si="29"/>
        <v>2757859</v>
      </c>
      <c r="Q908" s="13">
        <f>SUMIFS(M:M,E:E,Online_eCommerce[[#This Row],[Status]])</f>
        <v>28340455</v>
      </c>
      <c r="R908" s="13">
        <f>SUMIFS(L:L,H:H,Online_eCommerce[[#This Row],[Brand]])</f>
        <v>10950150</v>
      </c>
      <c r="S908" s="13">
        <f>SUMIF(H:H,Online_eCommerce[[#This Row],[Brand]],M:M)</f>
        <v>14235195</v>
      </c>
      <c r="T908" s="13">
        <f>SUMIF(N:N,Online_eCommerce[[#This Row],[Assigned Supervisor]],L:L)</f>
        <v>12261500</v>
      </c>
    </row>
    <row r="909" spans="1:20" hidden="1" x14ac:dyDescent="0.3">
      <c r="A909" t="s">
        <v>1400</v>
      </c>
      <c r="B909" t="s">
        <v>154</v>
      </c>
      <c r="C909" t="s">
        <v>150</v>
      </c>
      <c r="D909" t="s">
        <v>1384</v>
      </c>
      <c r="E909" t="s">
        <v>161</v>
      </c>
      <c r="F909" t="s">
        <v>1368</v>
      </c>
      <c r="G909" t="s">
        <v>77</v>
      </c>
      <c r="H909" t="s">
        <v>142</v>
      </c>
      <c r="I909">
        <v>6500</v>
      </c>
      <c r="J909">
        <v>8450</v>
      </c>
      <c r="K909">
        <v>3</v>
      </c>
      <c r="L909">
        <v>19500</v>
      </c>
      <c r="M909">
        <v>25350</v>
      </c>
      <c r="N909" t="s">
        <v>50</v>
      </c>
      <c r="O909">
        <f t="shared" si="28"/>
        <v>39000</v>
      </c>
      <c r="P909" s="13">
        <f t="shared" si="29"/>
        <v>2154984</v>
      </c>
      <c r="Q909" s="13">
        <f>SUMIFS(M:M,E:E,Online_eCommerce[[#This Row],[Status]])</f>
        <v>21103186</v>
      </c>
      <c r="R909" s="13">
        <f>SUMIFS(L:L,H:H,Online_eCommerce[[#This Row],[Brand]])</f>
        <v>6192500</v>
      </c>
      <c r="S909" s="13">
        <f>SUMIF(H:H,Online_eCommerce[[#This Row],[Brand]],M:M)</f>
        <v>8050250</v>
      </c>
      <c r="T909" s="13">
        <f>SUMIF(N:N,Online_eCommerce[[#This Row],[Assigned Supervisor]],L:L)</f>
        <v>12100590</v>
      </c>
    </row>
    <row r="910" spans="1:20" x14ac:dyDescent="0.3">
      <c r="A910" t="s">
        <v>1401</v>
      </c>
      <c r="B910" t="s">
        <v>154</v>
      </c>
      <c r="C910" t="s">
        <v>155</v>
      </c>
      <c r="D910" t="s">
        <v>1384</v>
      </c>
      <c r="E910" t="s">
        <v>46</v>
      </c>
      <c r="F910" t="s">
        <v>1402</v>
      </c>
      <c r="G910" t="s">
        <v>20</v>
      </c>
      <c r="H910" t="s">
        <v>21</v>
      </c>
      <c r="I910">
        <v>4500</v>
      </c>
      <c r="J910">
        <v>5850</v>
      </c>
      <c r="K910">
        <v>3</v>
      </c>
      <c r="L910">
        <v>13500</v>
      </c>
      <c r="M910">
        <v>17550</v>
      </c>
      <c r="N910" t="s">
        <v>56</v>
      </c>
      <c r="O910">
        <f t="shared" si="28"/>
        <v>8450</v>
      </c>
      <c r="P910" s="13">
        <f t="shared" si="29"/>
        <v>2753348</v>
      </c>
      <c r="Q910" s="13">
        <f>SUMIFS(M:M,E:E,Online_eCommerce[[#This Row],[Status]])</f>
        <v>28620410</v>
      </c>
      <c r="R910" s="13">
        <f>SUMIFS(L:L,H:H,Online_eCommerce[[#This Row],[Brand]])</f>
        <v>12435650</v>
      </c>
      <c r="S910" s="13">
        <f>SUMIF(H:H,Online_eCommerce[[#This Row],[Brand]],M:M)</f>
        <v>16166345</v>
      </c>
      <c r="T910" s="13">
        <f>SUMIF(N:N,Online_eCommerce[[#This Row],[Assigned Supervisor]],L:L)</f>
        <v>11733610</v>
      </c>
    </row>
    <row r="911" spans="1:20" hidden="1" x14ac:dyDescent="0.3">
      <c r="A911" t="s">
        <v>1403</v>
      </c>
      <c r="B911" t="s">
        <v>154</v>
      </c>
      <c r="C911" t="s">
        <v>160</v>
      </c>
      <c r="D911" t="s">
        <v>1384</v>
      </c>
      <c r="E911" t="s">
        <v>96</v>
      </c>
      <c r="F911" t="s">
        <v>152</v>
      </c>
      <c r="G911" t="s">
        <v>26</v>
      </c>
      <c r="H911" t="s">
        <v>27</v>
      </c>
      <c r="I911">
        <v>8500</v>
      </c>
      <c r="J911">
        <v>11050</v>
      </c>
      <c r="K911">
        <v>2</v>
      </c>
      <c r="L911">
        <v>17000</v>
      </c>
      <c r="M911">
        <v>22100</v>
      </c>
      <c r="N911" t="s">
        <v>22</v>
      </c>
      <c r="O911">
        <f t="shared" si="28"/>
        <v>33150</v>
      </c>
      <c r="P911" s="13">
        <f t="shared" si="29"/>
        <v>2303483</v>
      </c>
      <c r="Q911" s="13">
        <f>SUMIFS(M:M,E:E,Online_eCommerce[[#This Row],[Status]])</f>
        <v>21233992</v>
      </c>
      <c r="R911" s="13">
        <f>SUMIFS(L:L,H:H,Online_eCommerce[[#This Row],[Brand]])</f>
        <v>14431000</v>
      </c>
      <c r="S911" s="13">
        <f>SUMIF(H:H,Online_eCommerce[[#This Row],[Brand]],M:M)</f>
        <v>18760300</v>
      </c>
      <c r="T911" s="13">
        <f>SUMIF(N:N,Online_eCommerce[[#This Row],[Assigned Supervisor]],L:L)</f>
        <v>13693220</v>
      </c>
    </row>
    <row r="912" spans="1:20" hidden="1" x14ac:dyDescent="0.3">
      <c r="A912" t="s">
        <v>1404</v>
      </c>
      <c r="B912" t="s">
        <v>154</v>
      </c>
      <c r="C912" t="s">
        <v>165</v>
      </c>
      <c r="D912" t="s">
        <v>1384</v>
      </c>
      <c r="E912" t="s">
        <v>18</v>
      </c>
      <c r="F912" t="s">
        <v>157</v>
      </c>
      <c r="G912" t="s">
        <v>33</v>
      </c>
      <c r="H912" t="s">
        <v>34</v>
      </c>
      <c r="I912">
        <v>12500</v>
      </c>
      <c r="J912">
        <v>16250</v>
      </c>
      <c r="K912">
        <v>3</v>
      </c>
      <c r="L912">
        <v>37500</v>
      </c>
      <c r="M912">
        <v>48750</v>
      </c>
      <c r="N912" t="s">
        <v>28</v>
      </c>
      <c r="O912">
        <f t="shared" si="28"/>
        <v>18200</v>
      </c>
      <c r="P912" s="13">
        <f t="shared" si="29"/>
        <v>2674087</v>
      </c>
      <c r="Q912" s="13">
        <f>SUMIFS(M:M,E:E,Online_eCommerce[[#This Row],[Status]])</f>
        <v>28340455</v>
      </c>
      <c r="R912" s="13">
        <f>SUMIFS(L:L,H:H,Online_eCommerce[[#This Row],[Brand]])</f>
        <v>10087000</v>
      </c>
      <c r="S912" s="13">
        <f>SUMIF(H:H,Online_eCommerce[[#This Row],[Brand]],M:M)</f>
        <v>13113100</v>
      </c>
      <c r="T912" s="13">
        <f>SUMIF(N:N,Online_eCommerce[[#This Row],[Assigned Supervisor]],L:L)</f>
        <v>12220830</v>
      </c>
    </row>
    <row r="913" spans="1:20" hidden="1" x14ac:dyDescent="0.3">
      <c r="A913" t="s">
        <v>1405</v>
      </c>
      <c r="B913" t="s">
        <v>154</v>
      </c>
      <c r="C913" t="s">
        <v>168</v>
      </c>
      <c r="D913" t="s">
        <v>1384</v>
      </c>
      <c r="E913" t="s">
        <v>161</v>
      </c>
      <c r="F913" t="s">
        <v>1057</v>
      </c>
      <c r="G913" t="s">
        <v>40</v>
      </c>
      <c r="H913" t="s">
        <v>41</v>
      </c>
      <c r="I913">
        <v>3500</v>
      </c>
      <c r="J913">
        <v>4550</v>
      </c>
      <c r="K913">
        <v>1</v>
      </c>
      <c r="L913">
        <v>3500</v>
      </c>
      <c r="M913">
        <v>4550</v>
      </c>
      <c r="N913" t="s">
        <v>35</v>
      </c>
      <c r="O913">
        <f t="shared" si="28"/>
        <v>25545</v>
      </c>
      <c r="P913" s="13">
        <f t="shared" si="29"/>
        <v>1937780</v>
      </c>
      <c r="Q913" s="13">
        <f>SUMIFS(M:M,E:E,Online_eCommerce[[#This Row],[Status]])</f>
        <v>21103186</v>
      </c>
      <c r="R913" s="13">
        <f>SUMIFS(L:L,H:H,Online_eCommerce[[#This Row],[Brand]])</f>
        <v>4260400</v>
      </c>
      <c r="S913" s="13">
        <f>SUMIF(H:H,Online_eCommerce[[#This Row],[Brand]],M:M)</f>
        <v>5538520</v>
      </c>
      <c r="T913" s="13">
        <f>SUMIF(N:N,Online_eCommerce[[#This Row],[Assigned Supervisor]],L:L)</f>
        <v>14373360</v>
      </c>
    </row>
    <row r="914" spans="1:20" x14ac:dyDescent="0.3">
      <c r="A914" t="s">
        <v>1406</v>
      </c>
      <c r="B914" t="s">
        <v>154</v>
      </c>
      <c r="C914" t="s">
        <v>172</v>
      </c>
      <c r="D914" t="s">
        <v>1384</v>
      </c>
      <c r="E914" t="s">
        <v>46</v>
      </c>
      <c r="F914" t="s">
        <v>166</v>
      </c>
      <c r="G914" t="s">
        <v>334</v>
      </c>
      <c r="H914" t="s">
        <v>49</v>
      </c>
      <c r="I914">
        <v>4500</v>
      </c>
      <c r="J914">
        <v>5850</v>
      </c>
      <c r="K914">
        <v>4</v>
      </c>
      <c r="L914">
        <v>18000</v>
      </c>
      <c r="M914">
        <v>23400</v>
      </c>
      <c r="N914" t="s">
        <v>42</v>
      </c>
      <c r="O914">
        <f t="shared" si="28"/>
        <v>39780</v>
      </c>
      <c r="P914" s="13">
        <f t="shared" si="29"/>
        <v>2640274</v>
      </c>
      <c r="Q914" s="13">
        <f>SUMIFS(M:M,E:E,Online_eCommerce[[#This Row],[Status]])</f>
        <v>28620410</v>
      </c>
      <c r="R914" s="13">
        <f>SUMIFS(L:L,H:H,Online_eCommerce[[#This Row],[Brand]])</f>
        <v>4528350</v>
      </c>
      <c r="S914" s="13">
        <f>SUMIF(H:H,Online_eCommerce[[#This Row],[Brand]],M:M)</f>
        <v>5886855</v>
      </c>
      <c r="T914" s="13">
        <f>SUMIF(N:N,Online_eCommerce[[#This Row],[Assigned Supervisor]],L:L)</f>
        <v>12261500</v>
      </c>
    </row>
    <row r="915" spans="1:20" hidden="1" x14ac:dyDescent="0.3">
      <c r="A915" t="s">
        <v>1407</v>
      </c>
      <c r="B915" t="s">
        <v>154</v>
      </c>
      <c r="C915" t="s">
        <v>177</v>
      </c>
      <c r="D915" t="s">
        <v>1384</v>
      </c>
      <c r="E915" t="s">
        <v>96</v>
      </c>
      <c r="F915" t="s">
        <v>1408</v>
      </c>
      <c r="G915" t="s">
        <v>54</v>
      </c>
      <c r="H915" t="s">
        <v>55</v>
      </c>
      <c r="I915">
        <v>2100</v>
      </c>
      <c r="J915">
        <v>2730</v>
      </c>
      <c r="K915">
        <v>4</v>
      </c>
      <c r="L915">
        <v>8400</v>
      </c>
      <c r="M915">
        <v>10920</v>
      </c>
      <c r="N915" t="s">
        <v>50</v>
      </c>
      <c r="O915">
        <f t="shared" si="28"/>
        <v>2990</v>
      </c>
      <c r="P915" s="13">
        <f t="shared" si="29"/>
        <v>1863810</v>
      </c>
      <c r="Q915" s="13">
        <f>SUMIFS(M:M,E:E,Online_eCommerce[[#This Row],[Status]])</f>
        <v>21233992</v>
      </c>
      <c r="R915" s="13">
        <f>SUMIFS(L:L,H:H,Online_eCommerce[[#This Row],[Brand]])</f>
        <v>2267380</v>
      </c>
      <c r="S915" s="13">
        <f>SUMIF(H:H,Online_eCommerce[[#This Row],[Brand]],M:M)</f>
        <v>2947594</v>
      </c>
      <c r="T915" s="13">
        <f>SUMIF(N:N,Online_eCommerce[[#This Row],[Assigned Supervisor]],L:L)</f>
        <v>12100590</v>
      </c>
    </row>
    <row r="916" spans="1:20" hidden="1" x14ac:dyDescent="0.3">
      <c r="A916" t="s">
        <v>1409</v>
      </c>
      <c r="B916" t="s">
        <v>154</v>
      </c>
      <c r="C916" t="s">
        <v>181</v>
      </c>
      <c r="D916" t="s">
        <v>1384</v>
      </c>
      <c r="E916" t="s">
        <v>18</v>
      </c>
      <c r="F916" t="s">
        <v>174</v>
      </c>
      <c r="G916" t="s">
        <v>60</v>
      </c>
      <c r="H916" t="s">
        <v>61</v>
      </c>
      <c r="I916">
        <v>1150</v>
      </c>
      <c r="J916">
        <v>1495</v>
      </c>
      <c r="K916">
        <v>3</v>
      </c>
      <c r="L916">
        <v>3450</v>
      </c>
      <c r="M916">
        <v>4485</v>
      </c>
      <c r="N916" t="s">
        <v>56</v>
      </c>
      <c r="O916">
        <f t="shared" si="28"/>
        <v>3315</v>
      </c>
      <c r="P916" s="13">
        <f t="shared" si="29"/>
        <v>2577458</v>
      </c>
      <c r="Q916" s="13">
        <f>SUMIFS(M:M,E:E,Online_eCommerce[[#This Row],[Status]])</f>
        <v>28340455</v>
      </c>
      <c r="R916" s="13">
        <f>SUMIFS(L:L,H:H,Online_eCommerce[[#This Row],[Brand]])</f>
        <v>10950150</v>
      </c>
      <c r="S916" s="13">
        <f>SUMIF(H:H,Online_eCommerce[[#This Row],[Brand]],M:M)</f>
        <v>14235195</v>
      </c>
      <c r="T916" s="13">
        <f>SUMIF(N:N,Online_eCommerce[[#This Row],[Assigned Supervisor]],L:L)</f>
        <v>11733610</v>
      </c>
    </row>
    <row r="917" spans="1:20" hidden="1" x14ac:dyDescent="0.3">
      <c r="A917" t="s">
        <v>1410</v>
      </c>
      <c r="B917" t="s">
        <v>154</v>
      </c>
      <c r="C917" t="s">
        <v>185</v>
      </c>
      <c r="D917" t="s">
        <v>1384</v>
      </c>
      <c r="E917" t="s">
        <v>161</v>
      </c>
      <c r="F917" t="s">
        <v>179</v>
      </c>
      <c r="G917" t="s">
        <v>66</v>
      </c>
      <c r="H917" t="s">
        <v>21</v>
      </c>
      <c r="I917">
        <v>350</v>
      </c>
      <c r="J917">
        <v>455</v>
      </c>
      <c r="K917">
        <v>3</v>
      </c>
      <c r="L917">
        <v>1050</v>
      </c>
      <c r="M917">
        <v>1365</v>
      </c>
      <c r="N917" t="s">
        <v>22</v>
      </c>
      <c r="O917">
        <f t="shared" si="28"/>
        <v>1690</v>
      </c>
      <c r="P917" s="13">
        <f t="shared" si="29"/>
        <v>2091596</v>
      </c>
      <c r="Q917" s="13">
        <f>SUMIFS(M:M,E:E,Online_eCommerce[[#This Row],[Status]])</f>
        <v>21103186</v>
      </c>
      <c r="R917" s="13">
        <f>SUMIFS(L:L,H:H,Online_eCommerce[[#This Row],[Brand]])</f>
        <v>12435650</v>
      </c>
      <c r="S917" s="13">
        <f>SUMIF(H:H,Online_eCommerce[[#This Row],[Brand]],M:M)</f>
        <v>16166345</v>
      </c>
      <c r="T917" s="13">
        <f>SUMIF(N:N,Online_eCommerce[[#This Row],[Assigned Supervisor]],L:L)</f>
        <v>13693220</v>
      </c>
    </row>
    <row r="918" spans="1:20" x14ac:dyDescent="0.3">
      <c r="A918" t="s">
        <v>1411</v>
      </c>
      <c r="B918" t="s">
        <v>154</v>
      </c>
      <c r="C918" t="s">
        <v>189</v>
      </c>
      <c r="D918" t="s">
        <v>1384</v>
      </c>
      <c r="E918" t="s">
        <v>46</v>
      </c>
      <c r="F918" t="s">
        <v>183</v>
      </c>
      <c r="G918" t="s">
        <v>71</v>
      </c>
      <c r="H918" t="s">
        <v>61</v>
      </c>
      <c r="I918">
        <v>9500</v>
      </c>
      <c r="J918">
        <v>12350</v>
      </c>
      <c r="K918">
        <v>3</v>
      </c>
      <c r="L918">
        <v>28500</v>
      </c>
      <c r="M918">
        <v>37050</v>
      </c>
      <c r="N918" t="s">
        <v>28</v>
      </c>
      <c r="O918">
        <f t="shared" si="28"/>
        <v>9750</v>
      </c>
      <c r="P918" s="13">
        <f t="shared" si="29"/>
        <v>2740777</v>
      </c>
      <c r="Q918" s="13">
        <f>SUMIFS(M:M,E:E,Online_eCommerce[[#This Row],[Status]])</f>
        <v>28620410</v>
      </c>
      <c r="R918" s="13">
        <f>SUMIFS(L:L,H:H,Online_eCommerce[[#This Row],[Brand]])</f>
        <v>10950150</v>
      </c>
      <c r="S918" s="13">
        <f>SUMIF(H:H,Online_eCommerce[[#This Row],[Brand]],M:M)</f>
        <v>14235195</v>
      </c>
      <c r="T918" s="13">
        <f>SUMIF(N:N,Online_eCommerce[[#This Row],[Assigned Supervisor]],L:L)</f>
        <v>12220830</v>
      </c>
    </row>
    <row r="919" spans="1:20" hidden="1" x14ac:dyDescent="0.3">
      <c r="A919" t="s">
        <v>1412</v>
      </c>
      <c r="B919" t="s">
        <v>154</v>
      </c>
      <c r="C919" t="s">
        <v>193</v>
      </c>
      <c r="D919" t="s">
        <v>1384</v>
      </c>
      <c r="E919" t="s">
        <v>96</v>
      </c>
      <c r="F919" t="s">
        <v>1413</v>
      </c>
      <c r="G919" t="s">
        <v>77</v>
      </c>
      <c r="H919" t="s">
        <v>142</v>
      </c>
      <c r="I919">
        <v>10000</v>
      </c>
      <c r="J919">
        <v>13000</v>
      </c>
      <c r="K919">
        <v>3</v>
      </c>
      <c r="L919">
        <v>30000</v>
      </c>
      <c r="M919">
        <v>39000</v>
      </c>
      <c r="N919" t="s">
        <v>35</v>
      </c>
      <c r="O919">
        <f t="shared" si="28"/>
        <v>39000</v>
      </c>
      <c r="P919" s="13">
        <f t="shared" si="29"/>
        <v>2074774</v>
      </c>
      <c r="Q919" s="13">
        <f>SUMIFS(M:M,E:E,Online_eCommerce[[#This Row],[Status]])</f>
        <v>21233992</v>
      </c>
      <c r="R919" s="13">
        <f>SUMIFS(L:L,H:H,Online_eCommerce[[#This Row],[Brand]])</f>
        <v>6192500</v>
      </c>
      <c r="S919" s="13">
        <f>SUMIF(H:H,Online_eCommerce[[#This Row],[Brand]],M:M)</f>
        <v>8050250</v>
      </c>
      <c r="T919" s="13">
        <f>SUMIF(N:N,Online_eCommerce[[#This Row],[Assigned Supervisor]],L:L)</f>
        <v>14373360</v>
      </c>
    </row>
    <row r="920" spans="1:20" hidden="1" x14ac:dyDescent="0.3">
      <c r="A920" t="s">
        <v>1414</v>
      </c>
      <c r="B920" t="s">
        <v>154</v>
      </c>
      <c r="C920" t="s">
        <v>197</v>
      </c>
      <c r="D920" t="s">
        <v>1384</v>
      </c>
      <c r="E920" t="s">
        <v>18</v>
      </c>
      <c r="F920" t="s">
        <v>1415</v>
      </c>
      <c r="G920" t="s">
        <v>20</v>
      </c>
      <c r="H920" t="s">
        <v>21</v>
      </c>
      <c r="I920">
        <v>6500</v>
      </c>
      <c r="J920">
        <v>8450</v>
      </c>
      <c r="K920">
        <v>1</v>
      </c>
      <c r="L920">
        <v>6500</v>
      </c>
      <c r="M920">
        <v>8450</v>
      </c>
      <c r="N920" t="s">
        <v>42</v>
      </c>
      <c r="O920">
        <f t="shared" si="28"/>
        <v>8450</v>
      </c>
      <c r="P920" s="13">
        <f t="shared" si="29"/>
        <v>2829840</v>
      </c>
      <c r="Q920" s="13">
        <f>SUMIFS(M:M,E:E,Online_eCommerce[[#This Row],[Status]])</f>
        <v>28340455</v>
      </c>
      <c r="R920" s="13">
        <f>SUMIFS(L:L,H:H,Online_eCommerce[[#This Row],[Brand]])</f>
        <v>12435650</v>
      </c>
      <c r="S920" s="13">
        <f>SUMIF(H:H,Online_eCommerce[[#This Row],[Brand]],M:M)</f>
        <v>16166345</v>
      </c>
      <c r="T920" s="13">
        <f>SUMIF(N:N,Online_eCommerce[[#This Row],[Assigned Supervisor]],L:L)</f>
        <v>12261500</v>
      </c>
    </row>
    <row r="921" spans="1:20" hidden="1" x14ac:dyDescent="0.3">
      <c r="A921" t="s">
        <v>1416</v>
      </c>
      <c r="B921" t="s">
        <v>154</v>
      </c>
      <c r="C921" t="s">
        <v>199</v>
      </c>
      <c r="D921" t="s">
        <v>1384</v>
      </c>
      <c r="E921" t="s">
        <v>161</v>
      </c>
      <c r="F921" t="s">
        <v>1417</v>
      </c>
      <c r="G921" t="s">
        <v>26</v>
      </c>
      <c r="H921" t="s">
        <v>27</v>
      </c>
      <c r="I921">
        <v>8500</v>
      </c>
      <c r="J921">
        <v>11050</v>
      </c>
      <c r="K921">
        <v>3</v>
      </c>
      <c r="L921">
        <v>25500</v>
      </c>
      <c r="M921">
        <v>33150</v>
      </c>
      <c r="N921" t="s">
        <v>50</v>
      </c>
      <c r="O921">
        <f t="shared" si="28"/>
        <v>33150</v>
      </c>
      <c r="P921" s="13">
        <f t="shared" si="29"/>
        <v>1947361</v>
      </c>
      <c r="Q921" s="13">
        <f>SUMIFS(M:M,E:E,Online_eCommerce[[#This Row],[Status]])</f>
        <v>21103186</v>
      </c>
      <c r="R921" s="13">
        <f>SUMIFS(L:L,H:H,Online_eCommerce[[#This Row],[Brand]])</f>
        <v>14431000</v>
      </c>
      <c r="S921" s="13">
        <f>SUMIF(H:H,Online_eCommerce[[#This Row],[Brand]],M:M)</f>
        <v>18760300</v>
      </c>
      <c r="T921" s="13">
        <f>SUMIF(N:N,Online_eCommerce[[#This Row],[Assigned Supervisor]],L:L)</f>
        <v>12100590</v>
      </c>
    </row>
    <row r="922" spans="1:20" x14ac:dyDescent="0.3">
      <c r="A922" t="s">
        <v>1418</v>
      </c>
      <c r="B922" t="s">
        <v>154</v>
      </c>
      <c r="C922" t="s">
        <v>203</v>
      </c>
      <c r="D922" t="s">
        <v>1384</v>
      </c>
      <c r="E922" t="s">
        <v>46</v>
      </c>
      <c r="F922" t="s">
        <v>32</v>
      </c>
      <c r="G922" t="s">
        <v>33</v>
      </c>
      <c r="H922" t="s">
        <v>34</v>
      </c>
      <c r="I922">
        <v>7000</v>
      </c>
      <c r="J922">
        <v>9100</v>
      </c>
      <c r="K922">
        <v>2</v>
      </c>
      <c r="L922">
        <v>14000</v>
      </c>
      <c r="M922">
        <v>18200</v>
      </c>
      <c r="N922" t="s">
        <v>56</v>
      </c>
      <c r="O922">
        <f t="shared" si="28"/>
        <v>18200</v>
      </c>
      <c r="P922" s="13">
        <f t="shared" si="29"/>
        <v>2559635</v>
      </c>
      <c r="Q922" s="13">
        <f>SUMIFS(M:M,E:E,Online_eCommerce[[#This Row],[Status]])</f>
        <v>28620410</v>
      </c>
      <c r="R922" s="13">
        <f>SUMIFS(L:L,H:H,Online_eCommerce[[#This Row],[Brand]])</f>
        <v>10087000</v>
      </c>
      <c r="S922" s="13">
        <f>SUMIF(H:H,Online_eCommerce[[#This Row],[Brand]],M:M)</f>
        <v>13113100</v>
      </c>
      <c r="T922" s="13">
        <f>SUMIF(N:N,Online_eCommerce[[#This Row],[Assigned Supervisor]],L:L)</f>
        <v>11733610</v>
      </c>
    </row>
    <row r="923" spans="1:20" hidden="1" x14ac:dyDescent="0.3">
      <c r="A923" t="s">
        <v>1419</v>
      </c>
      <c r="B923" t="s">
        <v>154</v>
      </c>
      <c r="C923" t="s">
        <v>205</v>
      </c>
      <c r="D923" t="s">
        <v>1384</v>
      </c>
      <c r="E923" t="s">
        <v>96</v>
      </c>
      <c r="F923" t="s">
        <v>1420</v>
      </c>
      <c r="G923" t="s">
        <v>40</v>
      </c>
      <c r="H923" t="s">
        <v>41</v>
      </c>
      <c r="I923">
        <v>6550</v>
      </c>
      <c r="J923">
        <v>8515</v>
      </c>
      <c r="K923">
        <v>3</v>
      </c>
      <c r="L923">
        <v>19650</v>
      </c>
      <c r="M923">
        <v>25545</v>
      </c>
      <c r="N923" t="s">
        <v>22</v>
      </c>
      <c r="O923">
        <f t="shared" si="28"/>
        <v>25545</v>
      </c>
      <c r="P923" s="13">
        <f t="shared" si="29"/>
        <v>1983254</v>
      </c>
      <c r="Q923" s="13">
        <f>SUMIFS(M:M,E:E,Online_eCommerce[[#This Row],[Status]])</f>
        <v>21233992</v>
      </c>
      <c r="R923" s="13">
        <f>SUMIFS(L:L,H:H,Online_eCommerce[[#This Row],[Brand]])</f>
        <v>4260400</v>
      </c>
      <c r="S923" s="13">
        <f>SUMIF(H:H,Online_eCommerce[[#This Row],[Brand]],M:M)</f>
        <v>5538520</v>
      </c>
      <c r="T923" s="13">
        <f>SUMIF(N:N,Online_eCommerce[[#This Row],[Assigned Supervisor]],L:L)</f>
        <v>13693220</v>
      </c>
    </row>
    <row r="924" spans="1:20" hidden="1" x14ac:dyDescent="0.3">
      <c r="A924" t="s">
        <v>1421</v>
      </c>
      <c r="B924" t="s">
        <v>154</v>
      </c>
      <c r="C924" t="s">
        <v>208</v>
      </c>
      <c r="D924" t="s">
        <v>1384</v>
      </c>
      <c r="E924" t="s">
        <v>18</v>
      </c>
      <c r="F924" t="s">
        <v>47</v>
      </c>
      <c r="G924" t="s">
        <v>334</v>
      </c>
      <c r="H924" t="s">
        <v>49</v>
      </c>
      <c r="I924">
        <v>7650</v>
      </c>
      <c r="J924">
        <v>9945</v>
      </c>
      <c r="K924">
        <v>3</v>
      </c>
      <c r="L924">
        <v>22950</v>
      </c>
      <c r="M924">
        <v>29835</v>
      </c>
      <c r="N924" t="s">
        <v>28</v>
      </c>
      <c r="O924">
        <f t="shared" si="28"/>
        <v>39780</v>
      </c>
      <c r="P924" s="13">
        <f t="shared" si="29"/>
        <v>2746575</v>
      </c>
      <c r="Q924" s="13">
        <f>SUMIFS(M:M,E:E,Online_eCommerce[[#This Row],[Status]])</f>
        <v>28340455</v>
      </c>
      <c r="R924" s="13">
        <f>SUMIFS(L:L,H:H,Online_eCommerce[[#This Row],[Brand]])</f>
        <v>4528350</v>
      </c>
      <c r="S924" s="13">
        <f>SUMIF(H:H,Online_eCommerce[[#This Row],[Brand]],M:M)</f>
        <v>5886855</v>
      </c>
      <c r="T924" s="13">
        <f>SUMIF(N:N,Online_eCommerce[[#This Row],[Assigned Supervisor]],L:L)</f>
        <v>12220830</v>
      </c>
    </row>
    <row r="925" spans="1:20" hidden="1" x14ac:dyDescent="0.3">
      <c r="A925" t="s">
        <v>1422</v>
      </c>
      <c r="B925" t="s">
        <v>154</v>
      </c>
      <c r="C925" t="s">
        <v>211</v>
      </c>
      <c r="D925" t="s">
        <v>1384</v>
      </c>
      <c r="E925" t="s">
        <v>161</v>
      </c>
      <c r="F925" t="s">
        <v>53</v>
      </c>
      <c r="G925" t="s">
        <v>54</v>
      </c>
      <c r="H925" t="s">
        <v>55</v>
      </c>
      <c r="I925">
        <v>1150</v>
      </c>
      <c r="J925">
        <v>1495</v>
      </c>
      <c r="K925">
        <v>1</v>
      </c>
      <c r="L925">
        <v>1150</v>
      </c>
      <c r="M925">
        <v>1495</v>
      </c>
      <c r="N925" t="s">
        <v>35</v>
      </c>
      <c r="O925">
        <f t="shared" si="28"/>
        <v>2990</v>
      </c>
      <c r="P925" s="13">
        <f t="shared" si="29"/>
        <v>1809847</v>
      </c>
      <c r="Q925" s="13">
        <f>SUMIFS(M:M,E:E,Online_eCommerce[[#This Row],[Status]])</f>
        <v>21103186</v>
      </c>
      <c r="R925" s="13">
        <f>SUMIFS(L:L,H:H,Online_eCommerce[[#This Row],[Brand]])</f>
        <v>2267380</v>
      </c>
      <c r="S925" s="13">
        <f>SUMIF(H:H,Online_eCommerce[[#This Row],[Brand]],M:M)</f>
        <v>2947594</v>
      </c>
      <c r="T925" s="13">
        <f>SUMIF(N:N,Online_eCommerce[[#This Row],[Assigned Supervisor]],L:L)</f>
        <v>14373360</v>
      </c>
    </row>
    <row r="926" spans="1:20" x14ac:dyDescent="0.3">
      <c r="A926" t="s">
        <v>1423</v>
      </c>
      <c r="B926" t="s">
        <v>154</v>
      </c>
      <c r="C926" t="s">
        <v>16</v>
      </c>
      <c r="D926" t="s">
        <v>1384</v>
      </c>
      <c r="E926" t="s">
        <v>46</v>
      </c>
      <c r="F926" t="s">
        <v>59</v>
      </c>
      <c r="G926" t="s">
        <v>60</v>
      </c>
      <c r="H926" t="s">
        <v>61</v>
      </c>
      <c r="I926">
        <v>850</v>
      </c>
      <c r="J926">
        <v>1105</v>
      </c>
      <c r="K926">
        <v>3</v>
      </c>
      <c r="L926">
        <v>2550</v>
      </c>
      <c r="M926">
        <v>3315</v>
      </c>
      <c r="N926" t="s">
        <v>42</v>
      </c>
      <c r="O926">
        <f t="shared" si="28"/>
        <v>3315</v>
      </c>
      <c r="P926" s="13">
        <f t="shared" si="29"/>
        <v>2751814</v>
      </c>
      <c r="Q926" s="13">
        <f>SUMIFS(M:M,E:E,Online_eCommerce[[#This Row],[Status]])</f>
        <v>28620410</v>
      </c>
      <c r="R926" s="13">
        <f>SUMIFS(L:L,H:H,Online_eCommerce[[#This Row],[Brand]])</f>
        <v>10950150</v>
      </c>
      <c r="S926" s="13">
        <f>SUMIF(H:H,Online_eCommerce[[#This Row],[Brand]],M:M)</f>
        <v>14235195</v>
      </c>
      <c r="T926" s="13">
        <f>SUMIF(N:N,Online_eCommerce[[#This Row],[Assigned Supervisor]],L:L)</f>
        <v>12261500</v>
      </c>
    </row>
    <row r="927" spans="1:20" hidden="1" x14ac:dyDescent="0.3">
      <c r="A927" t="s">
        <v>1424</v>
      </c>
      <c r="B927" t="s">
        <v>154</v>
      </c>
      <c r="C927" t="s">
        <v>24</v>
      </c>
      <c r="D927" t="s">
        <v>1384</v>
      </c>
      <c r="E927" t="s">
        <v>96</v>
      </c>
      <c r="F927" t="s">
        <v>65</v>
      </c>
      <c r="G927" t="s">
        <v>66</v>
      </c>
      <c r="H927" t="s">
        <v>21</v>
      </c>
      <c r="I927">
        <v>650</v>
      </c>
      <c r="J927">
        <v>845</v>
      </c>
      <c r="K927">
        <v>3</v>
      </c>
      <c r="L927">
        <v>1950</v>
      </c>
      <c r="M927">
        <v>2535</v>
      </c>
      <c r="N927" t="s">
        <v>50</v>
      </c>
      <c r="O927">
        <f t="shared" si="28"/>
        <v>1690</v>
      </c>
      <c r="P927" s="13">
        <f t="shared" si="29"/>
        <v>2009540</v>
      </c>
      <c r="Q927" s="13">
        <f>SUMIFS(M:M,E:E,Online_eCommerce[[#This Row],[Status]])</f>
        <v>21233992</v>
      </c>
      <c r="R927" s="13">
        <f>SUMIFS(L:L,H:H,Online_eCommerce[[#This Row],[Brand]])</f>
        <v>12435650</v>
      </c>
      <c r="S927" s="13">
        <f>SUMIF(H:H,Online_eCommerce[[#This Row],[Brand]],M:M)</f>
        <v>16166345</v>
      </c>
      <c r="T927" s="13">
        <f>SUMIF(N:N,Online_eCommerce[[#This Row],[Assigned Supervisor]],L:L)</f>
        <v>12100590</v>
      </c>
    </row>
    <row r="928" spans="1:20" hidden="1" x14ac:dyDescent="0.3">
      <c r="A928" t="s">
        <v>1425</v>
      </c>
      <c r="B928" t="s">
        <v>154</v>
      </c>
      <c r="C928" t="s">
        <v>31</v>
      </c>
      <c r="D928" t="s">
        <v>1384</v>
      </c>
      <c r="E928" t="s">
        <v>18</v>
      </c>
      <c r="F928" t="s">
        <v>70</v>
      </c>
      <c r="G928" t="s">
        <v>71</v>
      </c>
      <c r="H928" t="s">
        <v>61</v>
      </c>
      <c r="I928">
        <v>7500</v>
      </c>
      <c r="J928">
        <v>9750</v>
      </c>
      <c r="K928">
        <v>1</v>
      </c>
      <c r="L928">
        <v>7500</v>
      </c>
      <c r="M928">
        <v>9750</v>
      </c>
      <c r="N928" t="s">
        <v>56</v>
      </c>
      <c r="O928">
        <f t="shared" si="28"/>
        <v>9750</v>
      </c>
      <c r="P928" s="13">
        <f t="shared" si="29"/>
        <v>2865746</v>
      </c>
      <c r="Q928" s="13">
        <f>SUMIFS(M:M,E:E,Online_eCommerce[[#This Row],[Status]])</f>
        <v>28340455</v>
      </c>
      <c r="R928" s="13">
        <f>SUMIFS(L:L,H:H,Online_eCommerce[[#This Row],[Brand]])</f>
        <v>10950150</v>
      </c>
      <c r="S928" s="13">
        <f>SUMIF(H:H,Online_eCommerce[[#This Row],[Brand]],M:M)</f>
        <v>14235195</v>
      </c>
      <c r="T928" s="13">
        <f>SUMIF(N:N,Online_eCommerce[[#This Row],[Assigned Supervisor]],L:L)</f>
        <v>11733610</v>
      </c>
    </row>
    <row r="929" spans="1:20" hidden="1" x14ac:dyDescent="0.3">
      <c r="A929" t="s">
        <v>1426</v>
      </c>
      <c r="B929" t="s">
        <v>154</v>
      </c>
      <c r="C929" t="s">
        <v>38</v>
      </c>
      <c r="D929" t="s">
        <v>1384</v>
      </c>
      <c r="E929" t="s">
        <v>161</v>
      </c>
      <c r="F929" t="s">
        <v>1413</v>
      </c>
      <c r="G929" t="s">
        <v>77</v>
      </c>
      <c r="H929" t="s">
        <v>78</v>
      </c>
      <c r="I929">
        <v>10000</v>
      </c>
      <c r="J929">
        <v>13000</v>
      </c>
      <c r="K929">
        <v>4</v>
      </c>
      <c r="L929">
        <v>40000</v>
      </c>
      <c r="M929">
        <v>52000</v>
      </c>
      <c r="N929" t="s">
        <v>22</v>
      </c>
      <c r="O929">
        <f t="shared" si="28"/>
        <v>39000</v>
      </c>
      <c r="P929" s="13">
        <f t="shared" si="29"/>
        <v>1933997</v>
      </c>
      <c r="Q929" s="13">
        <f>SUMIFS(M:M,E:E,Online_eCommerce[[#This Row],[Status]])</f>
        <v>21103186</v>
      </c>
      <c r="R929" s="13">
        <f>SUMIFS(L:L,H:H,Online_eCommerce[[#This Row],[Brand]])</f>
        <v>3720000</v>
      </c>
      <c r="S929" s="13">
        <f>SUMIF(H:H,Online_eCommerce[[#This Row],[Brand]],M:M)</f>
        <v>4836000</v>
      </c>
      <c r="T929" s="13">
        <f>SUMIF(N:N,Online_eCommerce[[#This Row],[Assigned Supervisor]],L:L)</f>
        <v>13693220</v>
      </c>
    </row>
    <row r="930" spans="1:20" x14ac:dyDescent="0.3">
      <c r="A930" t="s">
        <v>1427</v>
      </c>
      <c r="B930" t="s">
        <v>154</v>
      </c>
      <c r="C930" t="s">
        <v>45</v>
      </c>
      <c r="D930" t="s">
        <v>1384</v>
      </c>
      <c r="E930" t="s">
        <v>46</v>
      </c>
      <c r="F930" t="s">
        <v>1428</v>
      </c>
      <c r="G930" t="s">
        <v>20</v>
      </c>
      <c r="H930" t="s">
        <v>21</v>
      </c>
      <c r="I930">
        <v>10500</v>
      </c>
      <c r="J930">
        <v>13650</v>
      </c>
      <c r="K930">
        <v>4</v>
      </c>
      <c r="L930">
        <v>42000</v>
      </c>
      <c r="M930">
        <v>54600</v>
      </c>
      <c r="N930" t="s">
        <v>28</v>
      </c>
      <c r="O930">
        <f t="shared" si="28"/>
        <v>8450</v>
      </c>
      <c r="P930" s="13">
        <f t="shared" si="29"/>
        <v>2842554</v>
      </c>
      <c r="Q930" s="13">
        <f>SUMIFS(M:M,E:E,Online_eCommerce[[#This Row],[Status]])</f>
        <v>28620410</v>
      </c>
      <c r="R930" s="13">
        <f>SUMIFS(L:L,H:H,Online_eCommerce[[#This Row],[Brand]])</f>
        <v>12435650</v>
      </c>
      <c r="S930" s="13">
        <f>SUMIF(H:H,Online_eCommerce[[#This Row],[Brand]],M:M)</f>
        <v>16166345</v>
      </c>
      <c r="T930" s="13">
        <f>SUMIF(N:N,Online_eCommerce[[#This Row],[Assigned Supervisor]],L:L)</f>
        <v>12220830</v>
      </c>
    </row>
    <row r="931" spans="1:20" hidden="1" x14ac:dyDescent="0.3">
      <c r="A931" t="s">
        <v>1429</v>
      </c>
      <c r="B931" t="s">
        <v>154</v>
      </c>
      <c r="C931" t="s">
        <v>52</v>
      </c>
      <c r="D931" t="s">
        <v>1430</v>
      </c>
      <c r="E931" t="s">
        <v>96</v>
      </c>
      <c r="F931" t="s">
        <v>88</v>
      </c>
      <c r="G931" t="s">
        <v>26</v>
      </c>
      <c r="H931" t="s">
        <v>27</v>
      </c>
      <c r="I931">
        <v>8500</v>
      </c>
      <c r="J931">
        <v>11050</v>
      </c>
      <c r="K931">
        <v>2</v>
      </c>
      <c r="L931">
        <v>17000</v>
      </c>
      <c r="M931">
        <v>22100</v>
      </c>
      <c r="N931" t="s">
        <v>35</v>
      </c>
      <c r="O931">
        <f t="shared" si="28"/>
        <v>33150</v>
      </c>
      <c r="P931" s="13">
        <f t="shared" si="29"/>
        <v>1955044</v>
      </c>
      <c r="Q931" s="13">
        <f>SUMIFS(M:M,E:E,Online_eCommerce[[#This Row],[Status]])</f>
        <v>21233992</v>
      </c>
      <c r="R931" s="13">
        <f>SUMIFS(L:L,H:H,Online_eCommerce[[#This Row],[Brand]])</f>
        <v>14431000</v>
      </c>
      <c r="S931" s="13">
        <f>SUMIF(H:H,Online_eCommerce[[#This Row],[Brand]],M:M)</f>
        <v>18760300</v>
      </c>
      <c r="T931" s="13">
        <f>SUMIF(N:N,Online_eCommerce[[#This Row],[Assigned Supervisor]],L:L)</f>
        <v>14373360</v>
      </c>
    </row>
    <row r="932" spans="1:20" hidden="1" x14ac:dyDescent="0.3">
      <c r="A932" t="s">
        <v>1431</v>
      </c>
      <c r="B932" t="s">
        <v>306</v>
      </c>
      <c r="C932" t="s">
        <v>58</v>
      </c>
      <c r="D932" t="s">
        <v>1432</v>
      </c>
      <c r="E932" t="s">
        <v>18</v>
      </c>
      <c r="F932" t="s">
        <v>32</v>
      </c>
      <c r="G932" t="s">
        <v>33</v>
      </c>
      <c r="H932" t="s">
        <v>34</v>
      </c>
      <c r="I932">
        <v>7000</v>
      </c>
      <c r="J932">
        <v>9100</v>
      </c>
      <c r="K932">
        <v>3</v>
      </c>
      <c r="L932">
        <v>21000</v>
      </c>
      <c r="M932">
        <v>27300</v>
      </c>
      <c r="N932" t="s">
        <v>42</v>
      </c>
      <c r="O932">
        <f t="shared" si="28"/>
        <v>18200</v>
      </c>
      <c r="P932" s="13">
        <f t="shared" si="29"/>
        <v>2629211</v>
      </c>
      <c r="Q932" s="13">
        <f>SUMIFS(M:M,E:E,Online_eCommerce[[#This Row],[Status]])</f>
        <v>28340455</v>
      </c>
      <c r="R932" s="13">
        <f>SUMIFS(L:L,H:H,Online_eCommerce[[#This Row],[Brand]])</f>
        <v>10087000</v>
      </c>
      <c r="S932" s="13">
        <f>SUMIF(H:H,Online_eCommerce[[#This Row],[Brand]],M:M)</f>
        <v>13113100</v>
      </c>
      <c r="T932" s="13">
        <f>SUMIF(N:N,Online_eCommerce[[#This Row],[Assigned Supervisor]],L:L)</f>
        <v>12261500</v>
      </c>
    </row>
    <row r="933" spans="1:20" hidden="1" x14ac:dyDescent="0.3">
      <c r="A933" t="s">
        <v>1433</v>
      </c>
      <c r="B933" t="s">
        <v>528</v>
      </c>
      <c r="C933" t="s">
        <v>63</v>
      </c>
      <c r="D933" t="s">
        <v>1434</v>
      </c>
      <c r="E933" t="s">
        <v>161</v>
      </c>
      <c r="F933" t="s">
        <v>1435</v>
      </c>
      <c r="G933" t="s">
        <v>40</v>
      </c>
      <c r="H933" t="s">
        <v>41</v>
      </c>
      <c r="I933">
        <v>1680</v>
      </c>
      <c r="J933">
        <v>2184</v>
      </c>
      <c r="K933">
        <v>3</v>
      </c>
      <c r="L933">
        <v>5040</v>
      </c>
      <c r="M933">
        <v>6552</v>
      </c>
      <c r="N933" t="s">
        <v>50</v>
      </c>
      <c r="O933">
        <f t="shared" si="28"/>
        <v>25545</v>
      </c>
      <c r="P933" s="13">
        <f t="shared" si="29"/>
        <v>2016131</v>
      </c>
      <c r="Q933" s="13">
        <f>SUMIFS(M:M,E:E,Online_eCommerce[[#This Row],[Status]])</f>
        <v>21103186</v>
      </c>
      <c r="R933" s="13">
        <f>SUMIFS(L:L,H:H,Online_eCommerce[[#This Row],[Brand]])</f>
        <v>4260400</v>
      </c>
      <c r="S933" s="13">
        <f>SUMIF(H:H,Online_eCommerce[[#This Row],[Brand]],M:M)</f>
        <v>5538520</v>
      </c>
      <c r="T933" s="13">
        <f>SUMIF(N:N,Online_eCommerce[[#This Row],[Assigned Supervisor]],L:L)</f>
        <v>12100590</v>
      </c>
    </row>
    <row r="934" spans="1:20" x14ac:dyDescent="0.3">
      <c r="A934" t="s">
        <v>1436</v>
      </c>
      <c r="B934" t="s">
        <v>73</v>
      </c>
      <c r="C934" t="s">
        <v>68</v>
      </c>
      <c r="D934" t="s">
        <v>1437</v>
      </c>
      <c r="E934" t="s">
        <v>46</v>
      </c>
      <c r="F934" t="s">
        <v>101</v>
      </c>
      <c r="G934" t="s">
        <v>334</v>
      </c>
      <c r="H934" t="s">
        <v>102</v>
      </c>
      <c r="I934">
        <v>6540</v>
      </c>
      <c r="J934">
        <v>8502</v>
      </c>
      <c r="K934">
        <v>4</v>
      </c>
      <c r="L934">
        <v>26160</v>
      </c>
      <c r="M934">
        <v>34008</v>
      </c>
      <c r="N934" t="s">
        <v>56</v>
      </c>
      <c r="O934">
        <f t="shared" si="28"/>
        <v>39780</v>
      </c>
      <c r="P934" s="13">
        <f t="shared" si="29"/>
        <v>2974621</v>
      </c>
      <c r="Q934" s="13">
        <f>SUMIFS(M:M,E:E,Online_eCommerce[[#This Row],[Status]])</f>
        <v>28620410</v>
      </c>
      <c r="R934" s="13">
        <f>SUMIFS(L:L,H:H,Online_eCommerce[[#This Row],[Brand]])</f>
        <v>2465580</v>
      </c>
      <c r="S934" s="13">
        <f>SUMIF(H:H,Online_eCommerce[[#This Row],[Brand]],M:M)</f>
        <v>3205254</v>
      </c>
      <c r="T934" s="13">
        <f>SUMIF(N:N,Online_eCommerce[[#This Row],[Assigned Supervisor]],L:L)</f>
        <v>11733610</v>
      </c>
    </row>
    <row r="935" spans="1:20" hidden="1" x14ac:dyDescent="0.3">
      <c r="A935" t="s">
        <v>1438</v>
      </c>
      <c r="B935" t="s">
        <v>80</v>
      </c>
      <c r="C935" t="s">
        <v>74</v>
      </c>
      <c r="D935" t="s">
        <v>1439</v>
      </c>
      <c r="E935" t="s">
        <v>96</v>
      </c>
      <c r="F935" t="s">
        <v>107</v>
      </c>
      <c r="G935" t="s">
        <v>54</v>
      </c>
      <c r="H935" t="s">
        <v>55</v>
      </c>
      <c r="I935">
        <v>2680</v>
      </c>
      <c r="J935">
        <v>3484</v>
      </c>
      <c r="K935">
        <v>2</v>
      </c>
      <c r="L935">
        <v>5360</v>
      </c>
      <c r="M935">
        <v>6968</v>
      </c>
      <c r="N935" t="s">
        <v>22</v>
      </c>
      <c r="O935">
        <f t="shared" si="28"/>
        <v>2990</v>
      </c>
      <c r="P935" s="13">
        <f t="shared" si="29"/>
        <v>2144701</v>
      </c>
      <c r="Q935" s="13">
        <f>SUMIFS(M:M,E:E,Online_eCommerce[[#This Row],[Status]])</f>
        <v>21233992</v>
      </c>
      <c r="R935" s="13">
        <f>SUMIFS(L:L,H:H,Online_eCommerce[[#This Row],[Brand]])</f>
        <v>2267380</v>
      </c>
      <c r="S935" s="13">
        <f>SUMIF(H:H,Online_eCommerce[[#This Row],[Brand]],M:M)</f>
        <v>2947594</v>
      </c>
      <c r="T935" s="13">
        <f>SUMIF(N:N,Online_eCommerce[[#This Row],[Assigned Supervisor]],L:L)</f>
        <v>13693220</v>
      </c>
    </row>
    <row r="936" spans="1:20" hidden="1" x14ac:dyDescent="0.3">
      <c r="A936" t="s">
        <v>1440</v>
      </c>
      <c r="B936" t="s">
        <v>85</v>
      </c>
      <c r="C936" t="s">
        <v>81</v>
      </c>
      <c r="D936" t="s">
        <v>1439</v>
      </c>
      <c r="E936" t="s">
        <v>18</v>
      </c>
      <c r="F936" t="s">
        <v>112</v>
      </c>
      <c r="G936" t="s">
        <v>71</v>
      </c>
      <c r="H936" t="s">
        <v>21</v>
      </c>
      <c r="I936">
        <v>8250</v>
      </c>
      <c r="J936">
        <v>10725</v>
      </c>
      <c r="K936">
        <v>2</v>
      </c>
      <c r="L936">
        <v>16500</v>
      </c>
      <c r="M936">
        <v>21450</v>
      </c>
      <c r="N936" t="s">
        <v>28</v>
      </c>
      <c r="O936">
        <f t="shared" si="28"/>
        <v>9750</v>
      </c>
      <c r="P936" s="13">
        <f t="shared" si="29"/>
        <v>2595632</v>
      </c>
      <c r="Q936" s="13">
        <f>SUMIFS(M:M,E:E,Online_eCommerce[[#This Row],[Status]])</f>
        <v>28340455</v>
      </c>
      <c r="R936" s="13">
        <f>SUMIFS(L:L,H:H,Online_eCommerce[[#This Row],[Brand]])</f>
        <v>12435650</v>
      </c>
      <c r="S936" s="13">
        <f>SUMIF(H:H,Online_eCommerce[[#This Row],[Brand]],M:M)</f>
        <v>16166345</v>
      </c>
      <c r="T936" s="13">
        <f>SUMIF(N:N,Online_eCommerce[[#This Row],[Assigned Supervisor]],L:L)</f>
        <v>12220830</v>
      </c>
    </row>
    <row r="937" spans="1:20" hidden="1" x14ac:dyDescent="0.3">
      <c r="A937" t="s">
        <v>1441</v>
      </c>
      <c r="B937" t="s">
        <v>90</v>
      </c>
      <c r="C937" t="s">
        <v>86</v>
      </c>
      <c r="D937" t="s">
        <v>1439</v>
      </c>
      <c r="E937" t="s">
        <v>161</v>
      </c>
      <c r="F937" t="s">
        <v>1057</v>
      </c>
      <c r="G937" t="s">
        <v>40</v>
      </c>
      <c r="H937" t="s">
        <v>21</v>
      </c>
      <c r="I937">
        <v>2650</v>
      </c>
      <c r="J937">
        <v>3445</v>
      </c>
      <c r="K937">
        <v>1</v>
      </c>
      <c r="L937">
        <v>2650</v>
      </c>
      <c r="M937">
        <v>3445</v>
      </c>
      <c r="N937" t="s">
        <v>35</v>
      </c>
      <c r="O937">
        <f t="shared" si="28"/>
        <v>25545</v>
      </c>
      <c r="P937" s="13">
        <f t="shared" si="29"/>
        <v>1941225</v>
      </c>
      <c r="Q937" s="13">
        <f>SUMIFS(M:M,E:E,Online_eCommerce[[#This Row],[Status]])</f>
        <v>21103186</v>
      </c>
      <c r="R937" s="13">
        <f>SUMIFS(L:L,H:H,Online_eCommerce[[#This Row],[Brand]])</f>
        <v>12435650</v>
      </c>
      <c r="S937" s="13">
        <f>SUMIF(H:H,Online_eCommerce[[#This Row],[Brand]],M:M)</f>
        <v>16166345</v>
      </c>
      <c r="T937" s="13">
        <f>SUMIF(N:N,Online_eCommerce[[#This Row],[Assigned Supervisor]],L:L)</f>
        <v>14373360</v>
      </c>
    </row>
    <row r="938" spans="1:20" x14ac:dyDescent="0.3">
      <c r="A938" t="s">
        <v>1442</v>
      </c>
      <c r="B938" t="s">
        <v>232</v>
      </c>
      <c r="C938" t="s">
        <v>91</v>
      </c>
      <c r="D938" t="s">
        <v>1439</v>
      </c>
      <c r="E938" t="s">
        <v>46</v>
      </c>
      <c r="F938" t="s">
        <v>121</v>
      </c>
      <c r="G938" t="s">
        <v>71</v>
      </c>
      <c r="H938" t="s">
        <v>122</v>
      </c>
      <c r="I938">
        <v>12550</v>
      </c>
      <c r="J938">
        <v>16315</v>
      </c>
      <c r="K938">
        <v>3</v>
      </c>
      <c r="L938">
        <v>37650</v>
      </c>
      <c r="M938">
        <v>48945</v>
      </c>
      <c r="N938" t="s">
        <v>42</v>
      </c>
      <c r="O938">
        <f t="shared" si="28"/>
        <v>9750</v>
      </c>
      <c r="P938" s="13">
        <f t="shared" si="29"/>
        <v>2731963</v>
      </c>
      <c r="Q938" s="13">
        <f>SUMIFS(M:M,E:E,Online_eCommerce[[#This Row],[Status]])</f>
        <v>28620410</v>
      </c>
      <c r="R938" s="13">
        <f>SUMIFS(L:L,H:H,Online_eCommerce[[#This Row],[Brand]])</f>
        <v>5045100</v>
      </c>
      <c r="S938" s="13">
        <f>SUMIF(H:H,Online_eCommerce[[#This Row],[Brand]],M:M)</f>
        <v>6558630</v>
      </c>
      <c r="T938" s="13">
        <f>SUMIF(N:N,Online_eCommerce[[#This Row],[Assigned Supervisor]],L:L)</f>
        <v>12261500</v>
      </c>
    </row>
    <row r="939" spans="1:20" hidden="1" x14ac:dyDescent="0.3">
      <c r="A939" t="s">
        <v>1443</v>
      </c>
      <c r="B939" t="s">
        <v>235</v>
      </c>
      <c r="C939" t="s">
        <v>94</v>
      </c>
      <c r="D939" t="s">
        <v>1439</v>
      </c>
      <c r="E939" t="s">
        <v>96</v>
      </c>
      <c r="F939" t="s">
        <v>126</v>
      </c>
      <c r="G939" t="s">
        <v>26</v>
      </c>
      <c r="H939" t="s">
        <v>27</v>
      </c>
      <c r="I939">
        <v>14500</v>
      </c>
      <c r="J939">
        <v>18850</v>
      </c>
      <c r="K939">
        <v>3</v>
      </c>
      <c r="L939">
        <v>43500</v>
      </c>
      <c r="M939">
        <v>56550</v>
      </c>
      <c r="N939" t="s">
        <v>50</v>
      </c>
      <c r="O939">
        <f t="shared" si="28"/>
        <v>33150</v>
      </c>
      <c r="P939" s="13">
        <f t="shared" si="29"/>
        <v>1868256</v>
      </c>
      <c r="Q939" s="13">
        <f>SUMIFS(M:M,E:E,Online_eCommerce[[#This Row],[Status]])</f>
        <v>21233992</v>
      </c>
      <c r="R939" s="13">
        <f>SUMIFS(L:L,H:H,Online_eCommerce[[#This Row],[Brand]])</f>
        <v>14431000</v>
      </c>
      <c r="S939" s="13">
        <f>SUMIF(H:H,Online_eCommerce[[#This Row],[Brand]],M:M)</f>
        <v>18760300</v>
      </c>
      <c r="T939" s="13">
        <f>SUMIF(N:N,Online_eCommerce[[#This Row],[Assigned Supervisor]],L:L)</f>
        <v>12100590</v>
      </c>
    </row>
    <row r="940" spans="1:20" hidden="1" x14ac:dyDescent="0.3">
      <c r="A940" t="s">
        <v>1444</v>
      </c>
      <c r="B940" t="s">
        <v>235</v>
      </c>
      <c r="C940" t="s">
        <v>99</v>
      </c>
      <c r="D940" t="s">
        <v>1439</v>
      </c>
      <c r="E940" t="s">
        <v>18</v>
      </c>
      <c r="F940" t="s">
        <v>129</v>
      </c>
      <c r="G940" t="s">
        <v>60</v>
      </c>
      <c r="H940" t="s">
        <v>61</v>
      </c>
      <c r="I940">
        <v>800</v>
      </c>
      <c r="J940">
        <v>1040</v>
      </c>
      <c r="K940">
        <v>4</v>
      </c>
      <c r="L940">
        <v>3200</v>
      </c>
      <c r="M940">
        <v>4160</v>
      </c>
      <c r="N940" t="s">
        <v>56</v>
      </c>
      <c r="O940">
        <f t="shared" si="28"/>
        <v>3315</v>
      </c>
      <c r="P940" s="13">
        <f t="shared" si="29"/>
        <v>2651233</v>
      </c>
      <c r="Q940" s="13">
        <f>SUMIFS(M:M,E:E,Online_eCommerce[[#This Row],[Status]])</f>
        <v>28340455</v>
      </c>
      <c r="R940" s="13">
        <f>SUMIFS(L:L,H:H,Online_eCommerce[[#This Row],[Brand]])</f>
        <v>10950150</v>
      </c>
      <c r="S940" s="13">
        <f>SUMIF(H:H,Online_eCommerce[[#This Row],[Brand]],M:M)</f>
        <v>14235195</v>
      </c>
      <c r="T940" s="13">
        <f>SUMIF(N:N,Online_eCommerce[[#This Row],[Assigned Supervisor]],L:L)</f>
        <v>11733610</v>
      </c>
    </row>
    <row r="941" spans="1:20" hidden="1" x14ac:dyDescent="0.3">
      <c r="A941" t="s">
        <v>1445</v>
      </c>
      <c r="B941" t="s">
        <v>235</v>
      </c>
      <c r="C941" t="s">
        <v>105</v>
      </c>
      <c r="D941" t="s">
        <v>1439</v>
      </c>
      <c r="E941" t="s">
        <v>161</v>
      </c>
      <c r="F941" t="s">
        <v>133</v>
      </c>
      <c r="G941" t="s">
        <v>66</v>
      </c>
      <c r="H941" t="s">
        <v>21</v>
      </c>
      <c r="I941">
        <v>600</v>
      </c>
      <c r="J941">
        <v>780</v>
      </c>
      <c r="K941">
        <v>4</v>
      </c>
      <c r="L941">
        <v>2400</v>
      </c>
      <c r="M941">
        <v>3120</v>
      </c>
      <c r="N941" t="s">
        <v>22</v>
      </c>
      <c r="O941">
        <f t="shared" si="28"/>
        <v>1690</v>
      </c>
      <c r="P941" s="13">
        <f t="shared" si="29"/>
        <v>1866852</v>
      </c>
      <c r="Q941" s="13">
        <f>SUMIFS(M:M,E:E,Online_eCommerce[[#This Row],[Status]])</f>
        <v>21103186</v>
      </c>
      <c r="R941" s="13">
        <f>SUMIFS(L:L,H:H,Online_eCommerce[[#This Row],[Brand]])</f>
        <v>12435650</v>
      </c>
      <c r="S941" s="13">
        <f>SUMIF(H:H,Online_eCommerce[[#This Row],[Brand]],M:M)</f>
        <v>16166345</v>
      </c>
      <c r="T941" s="13">
        <f>SUMIF(N:N,Online_eCommerce[[#This Row],[Assigned Supervisor]],L:L)</f>
        <v>13693220</v>
      </c>
    </row>
    <row r="942" spans="1:20" x14ac:dyDescent="0.3">
      <c r="A942" t="s">
        <v>1446</v>
      </c>
      <c r="B942" t="s">
        <v>235</v>
      </c>
      <c r="C942" t="s">
        <v>110</v>
      </c>
      <c r="D942" t="s">
        <v>1439</v>
      </c>
      <c r="E942" t="s">
        <v>46</v>
      </c>
      <c r="F942" t="s">
        <v>137</v>
      </c>
      <c r="G942" t="s">
        <v>71</v>
      </c>
      <c r="H942" t="s">
        <v>61</v>
      </c>
      <c r="I942">
        <v>10500</v>
      </c>
      <c r="J942">
        <v>13650</v>
      </c>
      <c r="K942">
        <v>2</v>
      </c>
      <c r="L942">
        <v>21000</v>
      </c>
      <c r="M942">
        <v>27300</v>
      </c>
      <c r="N942" t="s">
        <v>28</v>
      </c>
      <c r="O942">
        <f t="shared" si="28"/>
        <v>9750</v>
      </c>
      <c r="P942" s="13">
        <f t="shared" si="29"/>
        <v>2598635</v>
      </c>
      <c r="Q942" s="13">
        <f>SUMIFS(M:M,E:E,Online_eCommerce[[#This Row],[Status]])</f>
        <v>28620410</v>
      </c>
      <c r="R942" s="13">
        <f>SUMIFS(L:L,H:H,Online_eCommerce[[#This Row],[Brand]])</f>
        <v>10950150</v>
      </c>
      <c r="S942" s="13">
        <f>SUMIF(H:H,Online_eCommerce[[#This Row],[Brand]],M:M)</f>
        <v>14235195</v>
      </c>
      <c r="T942" s="13">
        <f>SUMIF(N:N,Online_eCommerce[[#This Row],[Assigned Supervisor]],L:L)</f>
        <v>12220830</v>
      </c>
    </row>
    <row r="943" spans="1:20" hidden="1" x14ac:dyDescent="0.3">
      <c r="A943" t="s">
        <v>1447</v>
      </c>
      <c r="B943" t="s">
        <v>235</v>
      </c>
      <c r="C943" t="s">
        <v>115</v>
      </c>
      <c r="D943" t="s">
        <v>1439</v>
      </c>
      <c r="E943" t="s">
        <v>96</v>
      </c>
      <c r="F943" t="s">
        <v>1413</v>
      </c>
      <c r="G943" t="s">
        <v>77</v>
      </c>
      <c r="H943" t="s">
        <v>142</v>
      </c>
      <c r="I943">
        <v>6500</v>
      </c>
      <c r="J943">
        <v>8450</v>
      </c>
      <c r="K943">
        <v>2</v>
      </c>
      <c r="L943">
        <v>13000</v>
      </c>
      <c r="M943">
        <v>16900</v>
      </c>
      <c r="N943" t="s">
        <v>35</v>
      </c>
      <c r="O943">
        <f t="shared" si="28"/>
        <v>39000</v>
      </c>
      <c r="P943" s="13">
        <f t="shared" si="29"/>
        <v>2050178</v>
      </c>
      <c r="Q943" s="13">
        <f>SUMIFS(M:M,E:E,Online_eCommerce[[#This Row],[Status]])</f>
        <v>21233992</v>
      </c>
      <c r="R943" s="13">
        <f>SUMIFS(L:L,H:H,Online_eCommerce[[#This Row],[Brand]])</f>
        <v>6192500</v>
      </c>
      <c r="S943" s="13">
        <f>SUMIF(H:H,Online_eCommerce[[#This Row],[Brand]],M:M)</f>
        <v>8050250</v>
      </c>
      <c r="T943" s="13">
        <f>SUMIF(N:N,Online_eCommerce[[#This Row],[Assigned Supervisor]],L:L)</f>
        <v>14373360</v>
      </c>
    </row>
    <row r="944" spans="1:20" hidden="1" x14ac:dyDescent="0.3">
      <c r="A944" t="s">
        <v>1448</v>
      </c>
      <c r="B944" t="s">
        <v>235</v>
      </c>
      <c r="C944" t="s">
        <v>120</v>
      </c>
      <c r="D944" t="s">
        <v>1449</v>
      </c>
      <c r="E944" t="s">
        <v>18</v>
      </c>
      <c r="F944" t="s">
        <v>1450</v>
      </c>
      <c r="G944" t="s">
        <v>20</v>
      </c>
      <c r="H944" t="s">
        <v>21</v>
      </c>
      <c r="I944">
        <v>4500</v>
      </c>
      <c r="J944">
        <v>5850</v>
      </c>
      <c r="K944">
        <v>1</v>
      </c>
      <c r="L944">
        <v>4500</v>
      </c>
      <c r="M944">
        <v>5850</v>
      </c>
      <c r="N944" t="s">
        <v>42</v>
      </c>
      <c r="O944">
        <f t="shared" si="28"/>
        <v>8450</v>
      </c>
      <c r="P944" s="13">
        <f t="shared" si="29"/>
        <v>2734212</v>
      </c>
      <c r="Q944" s="13">
        <f>SUMIFS(M:M,E:E,Online_eCommerce[[#This Row],[Status]])</f>
        <v>28340455</v>
      </c>
      <c r="R944" s="13">
        <f>SUMIFS(L:L,H:H,Online_eCommerce[[#This Row],[Brand]])</f>
        <v>12435650</v>
      </c>
      <c r="S944" s="13">
        <f>SUMIF(H:H,Online_eCommerce[[#This Row],[Brand]],M:M)</f>
        <v>16166345</v>
      </c>
      <c r="T944" s="13">
        <f>SUMIF(N:N,Online_eCommerce[[#This Row],[Assigned Supervisor]],L:L)</f>
        <v>12261500</v>
      </c>
    </row>
    <row r="945" spans="1:20" hidden="1" x14ac:dyDescent="0.3">
      <c r="A945" t="s">
        <v>1451</v>
      </c>
      <c r="B945" t="s">
        <v>235</v>
      </c>
      <c r="C945" t="s">
        <v>125</v>
      </c>
      <c r="D945" t="s">
        <v>1452</v>
      </c>
      <c r="E945" t="s">
        <v>161</v>
      </c>
      <c r="F945" t="s">
        <v>152</v>
      </c>
      <c r="G945" t="s">
        <v>26</v>
      </c>
      <c r="H945" t="s">
        <v>27</v>
      </c>
      <c r="I945">
        <v>8500</v>
      </c>
      <c r="J945">
        <v>11050</v>
      </c>
      <c r="K945">
        <v>4</v>
      </c>
      <c r="L945">
        <v>34000</v>
      </c>
      <c r="M945">
        <v>44200</v>
      </c>
      <c r="N945" t="s">
        <v>50</v>
      </c>
      <c r="O945">
        <f t="shared" si="28"/>
        <v>33150</v>
      </c>
      <c r="P945" s="13">
        <f t="shared" si="29"/>
        <v>2091154</v>
      </c>
      <c r="Q945" s="13">
        <f>SUMIFS(M:M,E:E,Online_eCommerce[[#This Row],[Status]])</f>
        <v>21103186</v>
      </c>
      <c r="R945" s="13">
        <f>SUMIFS(L:L,H:H,Online_eCommerce[[#This Row],[Brand]])</f>
        <v>14431000</v>
      </c>
      <c r="S945" s="13">
        <f>SUMIF(H:H,Online_eCommerce[[#This Row],[Brand]],M:M)</f>
        <v>18760300</v>
      </c>
      <c r="T945" s="13">
        <f>SUMIF(N:N,Online_eCommerce[[#This Row],[Assigned Supervisor]],L:L)</f>
        <v>12100590</v>
      </c>
    </row>
    <row r="946" spans="1:20" x14ac:dyDescent="0.3">
      <c r="A946" t="s">
        <v>1453</v>
      </c>
      <c r="B946" t="s">
        <v>235</v>
      </c>
      <c r="C946" t="s">
        <v>22</v>
      </c>
      <c r="D946" t="s">
        <v>1454</v>
      </c>
      <c r="E946" t="s">
        <v>46</v>
      </c>
      <c r="F946" t="s">
        <v>157</v>
      </c>
      <c r="G946" t="s">
        <v>33</v>
      </c>
      <c r="H946" t="s">
        <v>34</v>
      </c>
      <c r="I946">
        <v>12500</v>
      </c>
      <c r="J946">
        <v>16250</v>
      </c>
      <c r="K946">
        <v>2</v>
      </c>
      <c r="L946">
        <v>25000</v>
      </c>
      <c r="M946">
        <v>32500</v>
      </c>
      <c r="N946" t="s">
        <v>56</v>
      </c>
      <c r="O946">
        <f t="shared" si="28"/>
        <v>18200</v>
      </c>
      <c r="P946" s="13">
        <f t="shared" si="29"/>
        <v>2551588</v>
      </c>
      <c r="Q946" s="13">
        <f>SUMIFS(M:M,E:E,Online_eCommerce[[#This Row],[Status]])</f>
        <v>28620410</v>
      </c>
      <c r="R946" s="13">
        <f>SUMIFS(L:L,H:H,Online_eCommerce[[#This Row],[Brand]])</f>
        <v>10087000</v>
      </c>
      <c r="S946" s="13">
        <f>SUMIF(H:H,Online_eCommerce[[#This Row],[Brand]],M:M)</f>
        <v>13113100</v>
      </c>
      <c r="T946" s="13">
        <f>SUMIF(N:N,Online_eCommerce[[#This Row],[Assigned Supervisor]],L:L)</f>
        <v>11733610</v>
      </c>
    </row>
    <row r="947" spans="1:20" hidden="1" x14ac:dyDescent="0.3">
      <c r="A947" t="s">
        <v>1455</v>
      </c>
      <c r="B947" t="s">
        <v>235</v>
      </c>
      <c r="C947" t="s">
        <v>132</v>
      </c>
      <c r="D947" t="s">
        <v>1456</v>
      </c>
      <c r="E947" t="s">
        <v>96</v>
      </c>
      <c r="F947" t="s">
        <v>1099</v>
      </c>
      <c r="G947" t="s">
        <v>163</v>
      </c>
      <c r="H947" t="s">
        <v>41</v>
      </c>
      <c r="I947">
        <v>3500</v>
      </c>
      <c r="J947">
        <v>4550</v>
      </c>
      <c r="K947">
        <v>3</v>
      </c>
      <c r="L947">
        <v>10500</v>
      </c>
      <c r="M947">
        <v>13650</v>
      </c>
      <c r="N947" t="s">
        <v>22</v>
      </c>
      <c r="O947">
        <f t="shared" si="28"/>
        <v>13650</v>
      </c>
      <c r="P947" s="13">
        <f t="shared" si="29"/>
        <v>1989065</v>
      </c>
      <c r="Q947" s="13">
        <f>SUMIFS(M:M,E:E,Online_eCommerce[[#This Row],[Status]])</f>
        <v>21233992</v>
      </c>
      <c r="R947" s="13">
        <f>SUMIFS(L:L,H:H,Online_eCommerce[[#This Row],[Brand]])</f>
        <v>4260400</v>
      </c>
      <c r="S947" s="13">
        <f>SUMIF(H:H,Online_eCommerce[[#This Row],[Brand]],M:M)</f>
        <v>5538520</v>
      </c>
      <c r="T947" s="13">
        <f>SUMIF(N:N,Online_eCommerce[[#This Row],[Assigned Supervisor]],L:L)</f>
        <v>13693220</v>
      </c>
    </row>
    <row r="948" spans="1:20" hidden="1" x14ac:dyDescent="0.3">
      <c r="A948" t="s">
        <v>1457</v>
      </c>
      <c r="B948" t="s">
        <v>235</v>
      </c>
      <c r="C948" t="s">
        <v>136</v>
      </c>
      <c r="D948" t="s">
        <v>1456</v>
      </c>
      <c r="E948" t="s">
        <v>18</v>
      </c>
      <c r="F948" t="s">
        <v>166</v>
      </c>
      <c r="G948" t="s">
        <v>66</v>
      </c>
      <c r="H948" t="s">
        <v>49</v>
      </c>
      <c r="I948">
        <v>4500</v>
      </c>
      <c r="J948">
        <v>5850</v>
      </c>
      <c r="K948">
        <v>2</v>
      </c>
      <c r="L948">
        <v>9000</v>
      </c>
      <c r="M948">
        <v>11700</v>
      </c>
      <c r="N948" t="s">
        <v>28</v>
      </c>
      <c r="O948">
        <f t="shared" si="28"/>
        <v>1690</v>
      </c>
      <c r="P948" s="13">
        <f t="shared" si="29"/>
        <v>2775162</v>
      </c>
      <c r="Q948" s="13">
        <f>SUMIFS(M:M,E:E,Online_eCommerce[[#This Row],[Status]])</f>
        <v>28340455</v>
      </c>
      <c r="R948" s="13">
        <f>SUMIFS(L:L,H:H,Online_eCommerce[[#This Row],[Brand]])</f>
        <v>4528350</v>
      </c>
      <c r="S948" s="13">
        <f>SUMIF(H:H,Online_eCommerce[[#This Row],[Brand]],M:M)</f>
        <v>5886855</v>
      </c>
      <c r="T948" s="13">
        <f>SUMIF(N:N,Online_eCommerce[[#This Row],[Assigned Supervisor]],L:L)</f>
        <v>12220830</v>
      </c>
    </row>
    <row r="949" spans="1:20" hidden="1" x14ac:dyDescent="0.3">
      <c r="A949" t="s">
        <v>1458</v>
      </c>
      <c r="B949" t="s">
        <v>235</v>
      </c>
      <c r="C949" t="s">
        <v>140</v>
      </c>
      <c r="D949" t="s">
        <v>1456</v>
      </c>
      <c r="E949" t="s">
        <v>161</v>
      </c>
      <c r="F949" t="s">
        <v>1459</v>
      </c>
      <c r="G949" t="s">
        <v>54</v>
      </c>
      <c r="H949" t="s">
        <v>55</v>
      </c>
      <c r="I949">
        <v>2100</v>
      </c>
      <c r="J949">
        <v>2730</v>
      </c>
      <c r="K949">
        <v>2</v>
      </c>
      <c r="L949">
        <v>4200</v>
      </c>
      <c r="M949">
        <v>5460</v>
      </c>
      <c r="N949" t="s">
        <v>35</v>
      </c>
      <c r="O949">
        <f t="shared" si="28"/>
        <v>2990</v>
      </c>
      <c r="P949" s="13">
        <f t="shared" si="29"/>
        <v>2058264</v>
      </c>
      <c r="Q949" s="13">
        <f>SUMIFS(M:M,E:E,Online_eCommerce[[#This Row],[Status]])</f>
        <v>21103186</v>
      </c>
      <c r="R949" s="13">
        <f>SUMIFS(L:L,H:H,Online_eCommerce[[#This Row],[Brand]])</f>
        <v>2267380</v>
      </c>
      <c r="S949" s="13">
        <f>SUMIF(H:H,Online_eCommerce[[#This Row],[Brand]],M:M)</f>
        <v>2947594</v>
      </c>
      <c r="T949" s="13">
        <f>SUMIF(N:N,Online_eCommerce[[#This Row],[Assigned Supervisor]],L:L)</f>
        <v>14373360</v>
      </c>
    </row>
    <row r="950" spans="1:20" x14ac:dyDescent="0.3">
      <c r="A950" t="s">
        <v>1460</v>
      </c>
      <c r="B950" t="s">
        <v>235</v>
      </c>
      <c r="C950" t="s">
        <v>145</v>
      </c>
      <c r="D950" t="s">
        <v>1456</v>
      </c>
      <c r="E950" t="s">
        <v>46</v>
      </c>
      <c r="F950" t="s">
        <v>174</v>
      </c>
      <c r="G950" t="s">
        <v>60</v>
      </c>
      <c r="H950" t="s">
        <v>61</v>
      </c>
      <c r="I950">
        <v>1150</v>
      </c>
      <c r="J950">
        <v>1495</v>
      </c>
      <c r="K950">
        <v>4</v>
      </c>
      <c r="L950">
        <v>4600</v>
      </c>
      <c r="M950">
        <v>5980</v>
      </c>
      <c r="N950" t="s">
        <v>42</v>
      </c>
      <c r="O950">
        <f t="shared" si="28"/>
        <v>3315</v>
      </c>
      <c r="P950" s="13">
        <f t="shared" si="29"/>
        <v>2757859</v>
      </c>
      <c r="Q950" s="13">
        <f>SUMIFS(M:M,E:E,Online_eCommerce[[#This Row],[Status]])</f>
        <v>28620410</v>
      </c>
      <c r="R950" s="13">
        <f>SUMIFS(L:L,H:H,Online_eCommerce[[#This Row],[Brand]])</f>
        <v>10950150</v>
      </c>
      <c r="S950" s="13">
        <f>SUMIF(H:H,Online_eCommerce[[#This Row],[Brand]],M:M)</f>
        <v>14235195</v>
      </c>
      <c r="T950" s="13">
        <f>SUMIF(N:N,Online_eCommerce[[#This Row],[Assigned Supervisor]],L:L)</f>
        <v>12261500</v>
      </c>
    </row>
    <row r="951" spans="1:20" hidden="1" x14ac:dyDescent="0.3">
      <c r="A951" t="s">
        <v>1461</v>
      </c>
      <c r="B951" t="s">
        <v>235</v>
      </c>
      <c r="C951" t="s">
        <v>150</v>
      </c>
      <c r="D951" t="s">
        <v>1456</v>
      </c>
      <c r="E951" t="s">
        <v>96</v>
      </c>
      <c r="F951" t="s">
        <v>179</v>
      </c>
      <c r="G951" t="s">
        <v>66</v>
      </c>
      <c r="H951" t="s">
        <v>21</v>
      </c>
      <c r="I951">
        <v>350</v>
      </c>
      <c r="J951">
        <v>455</v>
      </c>
      <c r="K951">
        <v>4</v>
      </c>
      <c r="L951">
        <v>1400</v>
      </c>
      <c r="M951">
        <v>1820</v>
      </c>
      <c r="N951" t="s">
        <v>50</v>
      </c>
      <c r="O951">
        <f t="shared" si="28"/>
        <v>1690</v>
      </c>
      <c r="P951" s="13">
        <f t="shared" si="29"/>
        <v>2154984</v>
      </c>
      <c r="Q951" s="13">
        <f>SUMIFS(M:M,E:E,Online_eCommerce[[#This Row],[Status]])</f>
        <v>21233992</v>
      </c>
      <c r="R951" s="13">
        <f>SUMIFS(L:L,H:H,Online_eCommerce[[#This Row],[Brand]])</f>
        <v>12435650</v>
      </c>
      <c r="S951" s="13">
        <f>SUMIF(H:H,Online_eCommerce[[#This Row],[Brand]],M:M)</f>
        <v>16166345</v>
      </c>
      <c r="T951" s="13">
        <f>SUMIF(N:N,Online_eCommerce[[#This Row],[Assigned Supervisor]],L:L)</f>
        <v>12100590</v>
      </c>
    </row>
    <row r="952" spans="1:20" hidden="1" x14ac:dyDescent="0.3">
      <c r="A952" t="s">
        <v>1462</v>
      </c>
      <c r="B952" t="s">
        <v>235</v>
      </c>
      <c r="C952" t="s">
        <v>155</v>
      </c>
      <c r="D952" t="s">
        <v>1456</v>
      </c>
      <c r="E952" t="s">
        <v>18</v>
      </c>
      <c r="F952" t="s">
        <v>183</v>
      </c>
      <c r="G952" t="s">
        <v>71</v>
      </c>
      <c r="H952" t="s">
        <v>61</v>
      </c>
      <c r="I952">
        <v>9500</v>
      </c>
      <c r="J952">
        <v>12350</v>
      </c>
      <c r="K952">
        <v>3</v>
      </c>
      <c r="L952">
        <v>28500</v>
      </c>
      <c r="M952">
        <v>37050</v>
      </c>
      <c r="N952" t="s">
        <v>56</v>
      </c>
      <c r="O952">
        <f t="shared" si="28"/>
        <v>9750</v>
      </c>
      <c r="P952" s="13">
        <f t="shared" si="29"/>
        <v>2753348</v>
      </c>
      <c r="Q952" s="13">
        <f>SUMIFS(M:M,E:E,Online_eCommerce[[#This Row],[Status]])</f>
        <v>28340455</v>
      </c>
      <c r="R952" s="13">
        <f>SUMIFS(L:L,H:H,Online_eCommerce[[#This Row],[Brand]])</f>
        <v>10950150</v>
      </c>
      <c r="S952" s="13">
        <f>SUMIF(H:H,Online_eCommerce[[#This Row],[Brand]],M:M)</f>
        <v>14235195</v>
      </c>
      <c r="T952" s="13">
        <f>SUMIF(N:N,Online_eCommerce[[#This Row],[Assigned Supervisor]],L:L)</f>
        <v>11733610</v>
      </c>
    </row>
    <row r="953" spans="1:20" hidden="1" x14ac:dyDescent="0.3">
      <c r="A953" t="s">
        <v>1463</v>
      </c>
      <c r="B953" t="s">
        <v>235</v>
      </c>
      <c r="C953" t="s">
        <v>160</v>
      </c>
      <c r="D953" t="s">
        <v>1456</v>
      </c>
      <c r="E953" t="s">
        <v>161</v>
      </c>
      <c r="F953" t="s">
        <v>1464</v>
      </c>
      <c r="G953" t="s">
        <v>77</v>
      </c>
      <c r="H953" t="s">
        <v>142</v>
      </c>
      <c r="I953">
        <v>10000</v>
      </c>
      <c r="J953">
        <v>13000</v>
      </c>
      <c r="K953">
        <v>4</v>
      </c>
      <c r="L953">
        <v>40000</v>
      </c>
      <c r="M953">
        <v>52000</v>
      </c>
      <c r="N953" t="s">
        <v>22</v>
      </c>
      <c r="O953">
        <f t="shared" si="28"/>
        <v>39000</v>
      </c>
      <c r="P953" s="13">
        <f t="shared" si="29"/>
        <v>2303483</v>
      </c>
      <c r="Q953" s="13">
        <f>SUMIFS(M:M,E:E,Online_eCommerce[[#This Row],[Status]])</f>
        <v>21103186</v>
      </c>
      <c r="R953" s="13">
        <f>SUMIFS(L:L,H:H,Online_eCommerce[[#This Row],[Brand]])</f>
        <v>6192500</v>
      </c>
      <c r="S953" s="13">
        <f>SUMIF(H:H,Online_eCommerce[[#This Row],[Brand]],M:M)</f>
        <v>8050250</v>
      </c>
      <c r="T953" s="13">
        <f>SUMIF(N:N,Online_eCommerce[[#This Row],[Assigned Supervisor]],L:L)</f>
        <v>13693220</v>
      </c>
    </row>
    <row r="954" spans="1:20" x14ac:dyDescent="0.3">
      <c r="A954" t="s">
        <v>1465</v>
      </c>
      <c r="B954" t="s">
        <v>235</v>
      </c>
      <c r="C954" t="s">
        <v>165</v>
      </c>
      <c r="D954" t="s">
        <v>1456</v>
      </c>
      <c r="E954" t="s">
        <v>46</v>
      </c>
      <c r="F954" t="s">
        <v>1466</v>
      </c>
      <c r="G954" t="s">
        <v>20</v>
      </c>
      <c r="H954" t="s">
        <v>21</v>
      </c>
      <c r="I954">
        <v>6500</v>
      </c>
      <c r="J954">
        <v>8450</v>
      </c>
      <c r="K954">
        <v>4</v>
      </c>
      <c r="L954">
        <v>26000</v>
      </c>
      <c r="M954">
        <v>33800</v>
      </c>
      <c r="N954" t="s">
        <v>28</v>
      </c>
      <c r="O954">
        <f t="shared" si="28"/>
        <v>8450</v>
      </c>
      <c r="P954" s="13">
        <f t="shared" si="29"/>
        <v>2674087</v>
      </c>
      <c r="Q954" s="13">
        <f>SUMIFS(M:M,E:E,Online_eCommerce[[#This Row],[Status]])</f>
        <v>28620410</v>
      </c>
      <c r="R954" s="13">
        <f>SUMIFS(L:L,H:H,Online_eCommerce[[#This Row],[Brand]])</f>
        <v>12435650</v>
      </c>
      <c r="S954" s="13">
        <f>SUMIF(H:H,Online_eCommerce[[#This Row],[Brand]],M:M)</f>
        <v>16166345</v>
      </c>
      <c r="T954" s="13">
        <f>SUMIF(N:N,Online_eCommerce[[#This Row],[Assigned Supervisor]],L:L)</f>
        <v>12220830</v>
      </c>
    </row>
    <row r="955" spans="1:20" hidden="1" x14ac:dyDescent="0.3">
      <c r="A955" t="s">
        <v>1467</v>
      </c>
      <c r="B955" t="s">
        <v>235</v>
      </c>
      <c r="C955" t="s">
        <v>168</v>
      </c>
      <c r="D955" t="s">
        <v>1456</v>
      </c>
      <c r="E955" t="s">
        <v>96</v>
      </c>
      <c r="F955" t="s">
        <v>1468</v>
      </c>
      <c r="G955" t="s">
        <v>26</v>
      </c>
      <c r="H955" t="s">
        <v>27</v>
      </c>
      <c r="I955">
        <v>8500</v>
      </c>
      <c r="J955">
        <v>11050</v>
      </c>
      <c r="K955">
        <v>2</v>
      </c>
      <c r="L955">
        <v>17000</v>
      </c>
      <c r="M955">
        <v>22100</v>
      </c>
      <c r="N955" t="s">
        <v>35</v>
      </c>
      <c r="O955">
        <f t="shared" si="28"/>
        <v>33150</v>
      </c>
      <c r="P955" s="13">
        <f t="shared" si="29"/>
        <v>1937780</v>
      </c>
      <c r="Q955" s="13">
        <f>SUMIFS(M:M,E:E,Online_eCommerce[[#This Row],[Status]])</f>
        <v>21233992</v>
      </c>
      <c r="R955" s="13">
        <f>SUMIFS(L:L,H:H,Online_eCommerce[[#This Row],[Brand]])</f>
        <v>14431000</v>
      </c>
      <c r="S955" s="13">
        <f>SUMIF(H:H,Online_eCommerce[[#This Row],[Brand]],M:M)</f>
        <v>18760300</v>
      </c>
      <c r="T955" s="13">
        <f>SUMIF(N:N,Online_eCommerce[[#This Row],[Assigned Supervisor]],L:L)</f>
        <v>14373360</v>
      </c>
    </row>
    <row r="956" spans="1:20" hidden="1" x14ac:dyDescent="0.3">
      <c r="A956" t="s">
        <v>1469</v>
      </c>
      <c r="B956" t="s">
        <v>235</v>
      </c>
      <c r="C956" t="s">
        <v>172</v>
      </c>
      <c r="D956" t="s">
        <v>1456</v>
      </c>
      <c r="E956" t="s">
        <v>18</v>
      </c>
      <c r="F956" t="s">
        <v>32</v>
      </c>
      <c r="G956" t="s">
        <v>33</v>
      </c>
      <c r="H956" t="s">
        <v>34</v>
      </c>
      <c r="I956">
        <v>7000</v>
      </c>
      <c r="J956">
        <v>9100</v>
      </c>
      <c r="K956">
        <v>4</v>
      </c>
      <c r="L956">
        <v>28000</v>
      </c>
      <c r="M956">
        <v>36400</v>
      </c>
      <c r="N956" t="s">
        <v>42</v>
      </c>
      <c r="O956">
        <f t="shared" si="28"/>
        <v>18200</v>
      </c>
      <c r="P956" s="13">
        <f t="shared" si="29"/>
        <v>2640274</v>
      </c>
      <c r="Q956" s="13">
        <f>SUMIFS(M:M,E:E,Online_eCommerce[[#This Row],[Status]])</f>
        <v>28340455</v>
      </c>
      <c r="R956" s="13">
        <f>SUMIFS(L:L,H:H,Online_eCommerce[[#This Row],[Brand]])</f>
        <v>10087000</v>
      </c>
      <c r="S956" s="13">
        <f>SUMIF(H:H,Online_eCommerce[[#This Row],[Brand]],M:M)</f>
        <v>13113100</v>
      </c>
      <c r="T956" s="13">
        <f>SUMIF(N:N,Online_eCommerce[[#This Row],[Assigned Supervisor]],L:L)</f>
        <v>12261500</v>
      </c>
    </row>
    <row r="957" spans="1:20" hidden="1" x14ac:dyDescent="0.3">
      <c r="A957" t="s">
        <v>1470</v>
      </c>
      <c r="B957" t="s">
        <v>235</v>
      </c>
      <c r="C957" t="s">
        <v>177</v>
      </c>
      <c r="D957" t="s">
        <v>1456</v>
      </c>
      <c r="E957" t="s">
        <v>161</v>
      </c>
      <c r="F957" t="s">
        <v>1471</v>
      </c>
      <c r="G957" t="s">
        <v>163</v>
      </c>
      <c r="H957" t="s">
        <v>41</v>
      </c>
      <c r="I957">
        <v>6550</v>
      </c>
      <c r="J957">
        <v>8515</v>
      </c>
      <c r="K957">
        <v>2</v>
      </c>
      <c r="L957">
        <v>13100</v>
      </c>
      <c r="M957">
        <v>17030</v>
      </c>
      <c r="N957" t="s">
        <v>50</v>
      </c>
      <c r="O957">
        <f t="shared" si="28"/>
        <v>13650</v>
      </c>
      <c r="P957" s="13">
        <f t="shared" si="29"/>
        <v>1863810</v>
      </c>
      <c r="Q957" s="13">
        <f>SUMIFS(M:M,E:E,Online_eCommerce[[#This Row],[Status]])</f>
        <v>21103186</v>
      </c>
      <c r="R957" s="13">
        <f>SUMIFS(L:L,H:H,Online_eCommerce[[#This Row],[Brand]])</f>
        <v>4260400</v>
      </c>
      <c r="S957" s="13">
        <f>SUMIF(H:H,Online_eCommerce[[#This Row],[Brand]],M:M)</f>
        <v>5538520</v>
      </c>
      <c r="T957" s="13">
        <f>SUMIF(N:N,Online_eCommerce[[#This Row],[Assigned Supervisor]],L:L)</f>
        <v>12100590</v>
      </c>
    </row>
    <row r="958" spans="1:20" x14ac:dyDescent="0.3">
      <c r="A958" t="s">
        <v>1472</v>
      </c>
      <c r="B958" t="s">
        <v>235</v>
      </c>
      <c r="C958" t="s">
        <v>181</v>
      </c>
      <c r="D958" t="s">
        <v>1456</v>
      </c>
      <c r="E958" t="s">
        <v>46</v>
      </c>
      <c r="F958" t="s">
        <v>47</v>
      </c>
      <c r="G958" t="s">
        <v>66</v>
      </c>
      <c r="H958" t="s">
        <v>49</v>
      </c>
      <c r="I958">
        <v>7650</v>
      </c>
      <c r="J958">
        <v>9945</v>
      </c>
      <c r="K958">
        <v>4</v>
      </c>
      <c r="L958">
        <v>30600</v>
      </c>
      <c r="M958">
        <v>39780</v>
      </c>
      <c r="N958" t="s">
        <v>56</v>
      </c>
      <c r="O958">
        <f t="shared" si="28"/>
        <v>1690</v>
      </c>
      <c r="P958" s="13">
        <f t="shared" si="29"/>
        <v>2577458</v>
      </c>
      <c r="Q958" s="13">
        <f>SUMIFS(M:M,E:E,Online_eCommerce[[#This Row],[Status]])</f>
        <v>28620410</v>
      </c>
      <c r="R958" s="13">
        <f>SUMIFS(L:L,H:H,Online_eCommerce[[#This Row],[Brand]])</f>
        <v>4528350</v>
      </c>
      <c r="S958" s="13">
        <f>SUMIF(H:H,Online_eCommerce[[#This Row],[Brand]],M:M)</f>
        <v>5886855</v>
      </c>
      <c r="T958" s="13">
        <f>SUMIF(N:N,Online_eCommerce[[#This Row],[Assigned Supervisor]],L:L)</f>
        <v>11733610</v>
      </c>
    </row>
    <row r="959" spans="1:20" hidden="1" x14ac:dyDescent="0.3">
      <c r="A959" t="s">
        <v>1473</v>
      </c>
      <c r="B959" t="s">
        <v>235</v>
      </c>
      <c r="C959" t="s">
        <v>185</v>
      </c>
      <c r="D959" t="s">
        <v>1456</v>
      </c>
      <c r="E959" t="s">
        <v>96</v>
      </c>
      <c r="F959" t="s">
        <v>53</v>
      </c>
      <c r="G959" t="s">
        <v>54</v>
      </c>
      <c r="H959" t="s">
        <v>55</v>
      </c>
      <c r="I959">
        <v>1150</v>
      </c>
      <c r="J959">
        <v>1495</v>
      </c>
      <c r="K959">
        <v>1</v>
      </c>
      <c r="L959">
        <v>1150</v>
      </c>
      <c r="M959">
        <v>1495</v>
      </c>
      <c r="N959" t="s">
        <v>22</v>
      </c>
      <c r="O959">
        <f t="shared" si="28"/>
        <v>2990</v>
      </c>
      <c r="P959" s="13">
        <f t="shared" si="29"/>
        <v>2091596</v>
      </c>
      <c r="Q959" s="13">
        <f>SUMIFS(M:M,E:E,Online_eCommerce[[#This Row],[Status]])</f>
        <v>21233992</v>
      </c>
      <c r="R959" s="13">
        <f>SUMIFS(L:L,H:H,Online_eCommerce[[#This Row],[Brand]])</f>
        <v>2267380</v>
      </c>
      <c r="S959" s="13">
        <f>SUMIF(H:H,Online_eCommerce[[#This Row],[Brand]],M:M)</f>
        <v>2947594</v>
      </c>
      <c r="T959" s="13">
        <f>SUMIF(N:N,Online_eCommerce[[#This Row],[Assigned Supervisor]],L:L)</f>
        <v>13693220</v>
      </c>
    </row>
    <row r="960" spans="1:20" hidden="1" x14ac:dyDescent="0.3">
      <c r="A960" t="s">
        <v>1474</v>
      </c>
      <c r="B960" t="s">
        <v>235</v>
      </c>
      <c r="C960" t="s">
        <v>189</v>
      </c>
      <c r="D960" t="s">
        <v>1456</v>
      </c>
      <c r="E960" t="s">
        <v>18</v>
      </c>
      <c r="F960" t="s">
        <v>59</v>
      </c>
      <c r="G960" t="s">
        <v>60</v>
      </c>
      <c r="H960" t="s">
        <v>61</v>
      </c>
      <c r="I960">
        <v>850</v>
      </c>
      <c r="J960">
        <v>1105</v>
      </c>
      <c r="K960">
        <v>2</v>
      </c>
      <c r="L960">
        <v>1700</v>
      </c>
      <c r="M960">
        <v>2210</v>
      </c>
      <c r="N960" t="s">
        <v>28</v>
      </c>
      <c r="O960">
        <f t="shared" si="28"/>
        <v>3315</v>
      </c>
      <c r="P960" s="13">
        <f t="shared" si="29"/>
        <v>2740777</v>
      </c>
      <c r="Q960" s="13">
        <f>SUMIFS(M:M,E:E,Online_eCommerce[[#This Row],[Status]])</f>
        <v>28340455</v>
      </c>
      <c r="R960" s="13">
        <f>SUMIFS(L:L,H:H,Online_eCommerce[[#This Row],[Brand]])</f>
        <v>10950150</v>
      </c>
      <c r="S960" s="13">
        <f>SUMIF(H:H,Online_eCommerce[[#This Row],[Brand]],M:M)</f>
        <v>14235195</v>
      </c>
      <c r="T960" s="13">
        <f>SUMIF(N:N,Online_eCommerce[[#This Row],[Assigned Supervisor]],L:L)</f>
        <v>12220830</v>
      </c>
    </row>
    <row r="961" spans="1:20" hidden="1" x14ac:dyDescent="0.3">
      <c r="A961" t="s">
        <v>1475</v>
      </c>
      <c r="B961" t="s">
        <v>235</v>
      </c>
      <c r="C961" t="s">
        <v>193</v>
      </c>
      <c r="D961" t="s">
        <v>1456</v>
      </c>
      <c r="E961" t="s">
        <v>161</v>
      </c>
      <c r="F961" t="s">
        <v>65</v>
      </c>
      <c r="G961" t="s">
        <v>66</v>
      </c>
      <c r="H961" t="s">
        <v>21</v>
      </c>
      <c r="I961">
        <v>650</v>
      </c>
      <c r="J961">
        <v>845</v>
      </c>
      <c r="K961">
        <v>3</v>
      </c>
      <c r="L961">
        <v>1950</v>
      </c>
      <c r="M961">
        <v>2535</v>
      </c>
      <c r="N961" t="s">
        <v>35</v>
      </c>
      <c r="O961">
        <f t="shared" si="28"/>
        <v>1690</v>
      </c>
      <c r="P961" s="13">
        <f t="shared" si="29"/>
        <v>2074774</v>
      </c>
      <c r="Q961" s="13">
        <f>SUMIFS(M:M,E:E,Online_eCommerce[[#This Row],[Status]])</f>
        <v>21103186</v>
      </c>
      <c r="R961" s="13">
        <f>SUMIFS(L:L,H:H,Online_eCommerce[[#This Row],[Brand]])</f>
        <v>12435650</v>
      </c>
      <c r="S961" s="13">
        <f>SUMIF(H:H,Online_eCommerce[[#This Row],[Brand]],M:M)</f>
        <v>16166345</v>
      </c>
      <c r="T961" s="13">
        <f>SUMIF(N:N,Online_eCommerce[[#This Row],[Assigned Supervisor]],L:L)</f>
        <v>14373360</v>
      </c>
    </row>
    <row r="962" spans="1:20" x14ac:dyDescent="0.3">
      <c r="A962" t="s">
        <v>1476</v>
      </c>
      <c r="B962" t="s">
        <v>235</v>
      </c>
      <c r="C962" t="s">
        <v>197</v>
      </c>
      <c r="D962" t="s">
        <v>1456</v>
      </c>
      <c r="E962" t="s">
        <v>46</v>
      </c>
      <c r="F962" t="s">
        <v>70</v>
      </c>
      <c r="G962" t="s">
        <v>71</v>
      </c>
      <c r="H962" t="s">
        <v>61</v>
      </c>
      <c r="I962">
        <v>7500</v>
      </c>
      <c r="J962">
        <v>9750</v>
      </c>
      <c r="K962">
        <v>3</v>
      </c>
      <c r="L962">
        <v>22500</v>
      </c>
      <c r="M962">
        <v>29250</v>
      </c>
      <c r="N962" t="s">
        <v>42</v>
      </c>
      <c r="O962">
        <f t="shared" ref="O962:O1025" si="30">VLOOKUP(G962,G:M,7,FALSE)</f>
        <v>9750</v>
      </c>
      <c r="P962" s="13">
        <f t="shared" ref="P962:P1025" si="31">SUMIFS(M:M,C:C,C962)</f>
        <v>2829840</v>
      </c>
      <c r="Q962" s="13">
        <f>SUMIFS(M:M,E:E,Online_eCommerce[[#This Row],[Status]])</f>
        <v>28620410</v>
      </c>
      <c r="R962" s="13">
        <f>SUMIFS(L:L,H:H,Online_eCommerce[[#This Row],[Brand]])</f>
        <v>10950150</v>
      </c>
      <c r="S962" s="13">
        <f>SUMIF(H:H,Online_eCommerce[[#This Row],[Brand]],M:M)</f>
        <v>14235195</v>
      </c>
      <c r="T962" s="13">
        <f>SUMIF(N:N,Online_eCommerce[[#This Row],[Assigned Supervisor]],L:L)</f>
        <v>12261500</v>
      </c>
    </row>
    <row r="963" spans="1:20" hidden="1" x14ac:dyDescent="0.3">
      <c r="A963" t="s">
        <v>1477</v>
      </c>
      <c r="B963" t="s">
        <v>235</v>
      </c>
      <c r="C963" t="s">
        <v>199</v>
      </c>
      <c r="D963" t="s">
        <v>1456</v>
      </c>
      <c r="E963" t="s">
        <v>96</v>
      </c>
      <c r="F963" t="s">
        <v>1464</v>
      </c>
      <c r="G963" t="s">
        <v>77</v>
      </c>
      <c r="H963" t="s">
        <v>78</v>
      </c>
      <c r="I963">
        <v>10000</v>
      </c>
      <c r="J963">
        <v>13000</v>
      </c>
      <c r="K963">
        <v>1</v>
      </c>
      <c r="L963">
        <v>10000</v>
      </c>
      <c r="M963">
        <v>13000</v>
      </c>
      <c r="N963" t="s">
        <v>50</v>
      </c>
      <c r="O963">
        <f t="shared" si="30"/>
        <v>39000</v>
      </c>
      <c r="P963" s="13">
        <f t="shared" si="31"/>
        <v>1947361</v>
      </c>
      <c r="Q963" s="13">
        <f>SUMIFS(M:M,E:E,Online_eCommerce[[#This Row],[Status]])</f>
        <v>21233992</v>
      </c>
      <c r="R963" s="13">
        <f>SUMIFS(L:L,H:H,Online_eCommerce[[#This Row],[Brand]])</f>
        <v>3720000</v>
      </c>
      <c r="S963" s="13">
        <f>SUMIF(H:H,Online_eCommerce[[#This Row],[Brand]],M:M)</f>
        <v>4836000</v>
      </c>
      <c r="T963" s="13">
        <f>SUMIF(N:N,Online_eCommerce[[#This Row],[Assigned Supervisor]],L:L)</f>
        <v>12100590</v>
      </c>
    </row>
    <row r="964" spans="1:20" hidden="1" x14ac:dyDescent="0.3">
      <c r="A964" t="s">
        <v>1478</v>
      </c>
      <c r="B964" t="s">
        <v>235</v>
      </c>
      <c r="C964" t="s">
        <v>203</v>
      </c>
      <c r="D964" t="s">
        <v>1456</v>
      </c>
      <c r="E964" t="s">
        <v>18</v>
      </c>
      <c r="F964" t="s">
        <v>1479</v>
      </c>
      <c r="G964" t="s">
        <v>20</v>
      </c>
      <c r="H964" t="s">
        <v>21</v>
      </c>
      <c r="I964">
        <v>10500</v>
      </c>
      <c r="J964">
        <v>13650</v>
      </c>
      <c r="K964">
        <v>2</v>
      </c>
      <c r="L964">
        <v>21000</v>
      </c>
      <c r="M964">
        <v>27300</v>
      </c>
      <c r="N964" t="s">
        <v>56</v>
      </c>
      <c r="O964">
        <f t="shared" si="30"/>
        <v>8450</v>
      </c>
      <c r="P964" s="13">
        <f t="shared" si="31"/>
        <v>2559635</v>
      </c>
      <c r="Q964" s="13">
        <f>SUMIFS(M:M,E:E,Online_eCommerce[[#This Row],[Status]])</f>
        <v>28340455</v>
      </c>
      <c r="R964" s="13">
        <f>SUMIFS(L:L,H:H,Online_eCommerce[[#This Row],[Brand]])</f>
        <v>12435650</v>
      </c>
      <c r="S964" s="13">
        <f>SUMIF(H:H,Online_eCommerce[[#This Row],[Brand]],M:M)</f>
        <v>16166345</v>
      </c>
      <c r="T964" s="13">
        <f>SUMIF(N:N,Online_eCommerce[[#This Row],[Assigned Supervisor]],L:L)</f>
        <v>11733610</v>
      </c>
    </row>
    <row r="965" spans="1:20" hidden="1" x14ac:dyDescent="0.3">
      <c r="A965" t="s">
        <v>1480</v>
      </c>
      <c r="B965" t="s">
        <v>235</v>
      </c>
      <c r="C965" t="s">
        <v>205</v>
      </c>
      <c r="D965" t="s">
        <v>1456</v>
      </c>
      <c r="E965" t="s">
        <v>161</v>
      </c>
      <c r="F965" t="s">
        <v>88</v>
      </c>
      <c r="G965" t="s">
        <v>26</v>
      </c>
      <c r="H965" t="s">
        <v>27</v>
      </c>
      <c r="I965">
        <v>8500</v>
      </c>
      <c r="J965">
        <v>11050</v>
      </c>
      <c r="K965">
        <v>4</v>
      </c>
      <c r="L965">
        <v>34000</v>
      </c>
      <c r="M965">
        <v>44200</v>
      </c>
      <c r="N965" t="s">
        <v>22</v>
      </c>
      <c r="O965">
        <f t="shared" si="30"/>
        <v>33150</v>
      </c>
      <c r="P965" s="13">
        <f t="shared" si="31"/>
        <v>1983254</v>
      </c>
      <c r="Q965" s="13">
        <f>SUMIFS(M:M,E:E,Online_eCommerce[[#This Row],[Status]])</f>
        <v>21103186</v>
      </c>
      <c r="R965" s="13">
        <f>SUMIFS(L:L,H:H,Online_eCommerce[[#This Row],[Brand]])</f>
        <v>14431000</v>
      </c>
      <c r="S965" s="13">
        <f>SUMIF(H:H,Online_eCommerce[[#This Row],[Brand]],M:M)</f>
        <v>18760300</v>
      </c>
      <c r="T965" s="13">
        <f>SUMIF(N:N,Online_eCommerce[[#This Row],[Assigned Supervisor]],L:L)</f>
        <v>13693220</v>
      </c>
    </row>
    <row r="966" spans="1:20" x14ac:dyDescent="0.3">
      <c r="A966" t="s">
        <v>1481</v>
      </c>
      <c r="B966" t="s">
        <v>235</v>
      </c>
      <c r="C966" t="s">
        <v>208</v>
      </c>
      <c r="D966" t="s">
        <v>1456</v>
      </c>
      <c r="E966" t="s">
        <v>46</v>
      </c>
      <c r="F966" t="s">
        <v>32</v>
      </c>
      <c r="G966" t="s">
        <v>33</v>
      </c>
      <c r="H966" t="s">
        <v>34</v>
      </c>
      <c r="I966">
        <v>7000</v>
      </c>
      <c r="J966">
        <v>9100</v>
      </c>
      <c r="K966">
        <v>4</v>
      </c>
      <c r="L966">
        <v>28000</v>
      </c>
      <c r="M966">
        <v>36400</v>
      </c>
      <c r="N966" t="s">
        <v>28</v>
      </c>
      <c r="O966">
        <f t="shared" si="30"/>
        <v>18200</v>
      </c>
      <c r="P966" s="13">
        <f t="shared" si="31"/>
        <v>2746575</v>
      </c>
      <c r="Q966" s="13">
        <f>SUMIFS(M:M,E:E,Online_eCommerce[[#This Row],[Status]])</f>
        <v>28620410</v>
      </c>
      <c r="R966" s="13">
        <f>SUMIFS(L:L,H:H,Online_eCommerce[[#This Row],[Brand]])</f>
        <v>10087000</v>
      </c>
      <c r="S966" s="13">
        <f>SUMIF(H:H,Online_eCommerce[[#This Row],[Brand]],M:M)</f>
        <v>13113100</v>
      </c>
      <c r="T966" s="13">
        <f>SUMIF(N:N,Online_eCommerce[[#This Row],[Assigned Supervisor]],L:L)</f>
        <v>12220830</v>
      </c>
    </row>
    <row r="967" spans="1:20" hidden="1" x14ac:dyDescent="0.3">
      <c r="A967" t="s">
        <v>1482</v>
      </c>
      <c r="B967" t="s">
        <v>235</v>
      </c>
      <c r="C967" t="s">
        <v>211</v>
      </c>
      <c r="D967" t="s">
        <v>1456</v>
      </c>
      <c r="E967" t="s">
        <v>96</v>
      </c>
      <c r="F967" t="s">
        <v>1483</v>
      </c>
      <c r="G967" t="s">
        <v>163</v>
      </c>
      <c r="H967" t="s">
        <v>41</v>
      </c>
      <c r="I967">
        <v>1680</v>
      </c>
      <c r="J967">
        <v>2184</v>
      </c>
      <c r="K967">
        <v>2</v>
      </c>
      <c r="L967">
        <v>3360</v>
      </c>
      <c r="M967">
        <v>4368</v>
      </c>
      <c r="N967" t="s">
        <v>35</v>
      </c>
      <c r="O967">
        <f t="shared" si="30"/>
        <v>13650</v>
      </c>
      <c r="P967" s="13">
        <f t="shared" si="31"/>
        <v>1809847</v>
      </c>
      <c r="Q967" s="13">
        <f>SUMIFS(M:M,E:E,Online_eCommerce[[#This Row],[Status]])</f>
        <v>21233992</v>
      </c>
      <c r="R967" s="13">
        <f>SUMIFS(L:L,H:H,Online_eCommerce[[#This Row],[Brand]])</f>
        <v>4260400</v>
      </c>
      <c r="S967" s="13">
        <f>SUMIF(H:H,Online_eCommerce[[#This Row],[Brand]],M:M)</f>
        <v>5538520</v>
      </c>
      <c r="T967" s="13">
        <f>SUMIF(N:N,Online_eCommerce[[#This Row],[Assigned Supervisor]],L:L)</f>
        <v>14373360</v>
      </c>
    </row>
    <row r="968" spans="1:20" hidden="1" x14ac:dyDescent="0.3">
      <c r="A968" t="s">
        <v>1484</v>
      </c>
      <c r="B968" t="s">
        <v>235</v>
      </c>
      <c r="C968" t="s">
        <v>16</v>
      </c>
      <c r="D968" t="s">
        <v>1456</v>
      </c>
      <c r="E968" t="s">
        <v>18</v>
      </c>
      <c r="F968" t="s">
        <v>101</v>
      </c>
      <c r="G968" t="s">
        <v>66</v>
      </c>
      <c r="H968" t="s">
        <v>102</v>
      </c>
      <c r="I968">
        <v>6540</v>
      </c>
      <c r="J968">
        <v>8502</v>
      </c>
      <c r="K968">
        <v>4</v>
      </c>
      <c r="L968">
        <v>26160</v>
      </c>
      <c r="M968">
        <v>34008</v>
      </c>
      <c r="N968" t="s">
        <v>42</v>
      </c>
      <c r="O968">
        <f t="shared" si="30"/>
        <v>1690</v>
      </c>
      <c r="P968" s="13">
        <f t="shared" si="31"/>
        <v>2751814</v>
      </c>
      <c r="Q968" s="13">
        <f>SUMIFS(M:M,E:E,Online_eCommerce[[#This Row],[Status]])</f>
        <v>28340455</v>
      </c>
      <c r="R968" s="13">
        <f>SUMIFS(L:L,H:H,Online_eCommerce[[#This Row],[Brand]])</f>
        <v>2465580</v>
      </c>
      <c r="S968" s="13">
        <f>SUMIF(H:H,Online_eCommerce[[#This Row],[Brand]],M:M)</f>
        <v>3205254</v>
      </c>
      <c r="T968" s="13">
        <f>SUMIF(N:N,Online_eCommerce[[#This Row],[Assigned Supervisor]],L:L)</f>
        <v>12261500</v>
      </c>
    </row>
    <row r="969" spans="1:20" hidden="1" x14ac:dyDescent="0.3">
      <c r="A969" t="s">
        <v>1485</v>
      </c>
      <c r="B969" t="s">
        <v>235</v>
      </c>
      <c r="C969" t="s">
        <v>24</v>
      </c>
      <c r="D969" t="s">
        <v>1456</v>
      </c>
      <c r="E969" t="s">
        <v>161</v>
      </c>
      <c r="F969" t="s">
        <v>107</v>
      </c>
      <c r="G969" t="s">
        <v>54</v>
      </c>
      <c r="H969" t="s">
        <v>55</v>
      </c>
      <c r="I969">
        <v>2680</v>
      </c>
      <c r="J969">
        <v>3484</v>
      </c>
      <c r="K969">
        <v>2</v>
      </c>
      <c r="L969">
        <v>5360</v>
      </c>
      <c r="M969">
        <v>6968</v>
      </c>
      <c r="N969" t="s">
        <v>50</v>
      </c>
      <c r="O969">
        <f t="shared" si="30"/>
        <v>2990</v>
      </c>
      <c r="P969" s="13">
        <f t="shared" si="31"/>
        <v>2009540</v>
      </c>
      <c r="Q969" s="13">
        <f>SUMIFS(M:M,E:E,Online_eCommerce[[#This Row],[Status]])</f>
        <v>21103186</v>
      </c>
      <c r="R969" s="13">
        <f>SUMIFS(L:L,H:H,Online_eCommerce[[#This Row],[Brand]])</f>
        <v>2267380</v>
      </c>
      <c r="S969" s="13">
        <f>SUMIF(H:H,Online_eCommerce[[#This Row],[Brand]],M:M)</f>
        <v>2947594</v>
      </c>
      <c r="T969" s="13">
        <f>SUMIF(N:N,Online_eCommerce[[#This Row],[Assigned Supervisor]],L:L)</f>
        <v>12100590</v>
      </c>
    </row>
    <row r="970" spans="1:20" x14ac:dyDescent="0.3">
      <c r="A970" t="s">
        <v>1486</v>
      </c>
      <c r="B970" t="s">
        <v>235</v>
      </c>
      <c r="C970" t="s">
        <v>31</v>
      </c>
      <c r="D970" t="s">
        <v>1456</v>
      </c>
      <c r="E970" t="s">
        <v>46</v>
      </c>
      <c r="F970" t="s">
        <v>112</v>
      </c>
      <c r="G970" t="s">
        <v>71</v>
      </c>
      <c r="H970" t="s">
        <v>21</v>
      </c>
      <c r="I970">
        <v>8250</v>
      </c>
      <c r="J970">
        <v>10725</v>
      </c>
      <c r="K970">
        <v>2</v>
      </c>
      <c r="L970">
        <v>16500</v>
      </c>
      <c r="M970">
        <v>21450</v>
      </c>
      <c r="N970" t="s">
        <v>56</v>
      </c>
      <c r="O970">
        <f t="shared" si="30"/>
        <v>9750</v>
      </c>
      <c r="P970" s="13">
        <f t="shared" si="31"/>
        <v>2865746</v>
      </c>
      <c r="Q970" s="13">
        <f>SUMIFS(M:M,E:E,Online_eCommerce[[#This Row],[Status]])</f>
        <v>28620410</v>
      </c>
      <c r="R970" s="13">
        <f>SUMIFS(L:L,H:H,Online_eCommerce[[#This Row],[Brand]])</f>
        <v>12435650</v>
      </c>
      <c r="S970" s="13">
        <f>SUMIF(H:H,Online_eCommerce[[#This Row],[Brand]],M:M)</f>
        <v>16166345</v>
      </c>
      <c r="T970" s="13">
        <f>SUMIF(N:N,Online_eCommerce[[#This Row],[Assigned Supervisor]],L:L)</f>
        <v>11733610</v>
      </c>
    </row>
    <row r="971" spans="1:20" hidden="1" x14ac:dyDescent="0.3">
      <c r="A971" t="s">
        <v>1487</v>
      </c>
      <c r="B971" t="s">
        <v>235</v>
      </c>
      <c r="C971" t="s">
        <v>38</v>
      </c>
      <c r="D971" t="s">
        <v>1456</v>
      </c>
      <c r="E971" t="s">
        <v>96</v>
      </c>
      <c r="F971" t="s">
        <v>1099</v>
      </c>
      <c r="G971" t="s">
        <v>40</v>
      </c>
      <c r="H971" t="s">
        <v>21</v>
      </c>
      <c r="I971">
        <v>2650</v>
      </c>
      <c r="J971">
        <v>3445</v>
      </c>
      <c r="K971">
        <v>4</v>
      </c>
      <c r="L971">
        <v>10600</v>
      </c>
      <c r="M971">
        <v>13780</v>
      </c>
      <c r="N971" t="s">
        <v>22</v>
      </c>
      <c r="O971">
        <f t="shared" si="30"/>
        <v>25545</v>
      </c>
      <c r="P971" s="13">
        <f t="shared" si="31"/>
        <v>1933997</v>
      </c>
      <c r="Q971" s="13">
        <f>SUMIFS(M:M,E:E,Online_eCommerce[[#This Row],[Status]])</f>
        <v>21233992</v>
      </c>
      <c r="R971" s="13">
        <f>SUMIFS(L:L,H:H,Online_eCommerce[[#This Row],[Brand]])</f>
        <v>12435650</v>
      </c>
      <c r="S971" s="13">
        <f>SUMIF(H:H,Online_eCommerce[[#This Row],[Brand]],M:M)</f>
        <v>16166345</v>
      </c>
      <c r="T971" s="13">
        <f>SUMIF(N:N,Online_eCommerce[[#This Row],[Assigned Supervisor]],L:L)</f>
        <v>13693220</v>
      </c>
    </row>
    <row r="972" spans="1:20" hidden="1" x14ac:dyDescent="0.3">
      <c r="A972" t="s">
        <v>1488</v>
      </c>
      <c r="B972" t="s">
        <v>235</v>
      </c>
      <c r="C972" t="s">
        <v>45</v>
      </c>
      <c r="D972" t="s">
        <v>1456</v>
      </c>
      <c r="E972" t="s">
        <v>18</v>
      </c>
      <c r="F972" t="s">
        <v>121</v>
      </c>
      <c r="G972" t="s">
        <v>71</v>
      </c>
      <c r="H972" t="s">
        <v>122</v>
      </c>
      <c r="I972">
        <v>12550</v>
      </c>
      <c r="J972">
        <v>16315</v>
      </c>
      <c r="K972">
        <v>3</v>
      </c>
      <c r="L972">
        <v>37650</v>
      </c>
      <c r="M972">
        <v>48945</v>
      </c>
      <c r="N972" t="s">
        <v>28</v>
      </c>
      <c r="O972">
        <f t="shared" si="30"/>
        <v>9750</v>
      </c>
      <c r="P972" s="13">
        <f t="shared" si="31"/>
        <v>2842554</v>
      </c>
      <c r="Q972" s="13">
        <f>SUMIFS(M:M,E:E,Online_eCommerce[[#This Row],[Status]])</f>
        <v>28340455</v>
      </c>
      <c r="R972" s="13">
        <f>SUMIFS(L:L,H:H,Online_eCommerce[[#This Row],[Brand]])</f>
        <v>5045100</v>
      </c>
      <c r="S972" s="13">
        <f>SUMIF(H:H,Online_eCommerce[[#This Row],[Brand]],M:M)</f>
        <v>6558630</v>
      </c>
      <c r="T972" s="13">
        <f>SUMIF(N:N,Online_eCommerce[[#This Row],[Assigned Supervisor]],L:L)</f>
        <v>12220830</v>
      </c>
    </row>
    <row r="973" spans="1:20" hidden="1" x14ac:dyDescent="0.3">
      <c r="A973" t="s">
        <v>1489</v>
      </c>
      <c r="B973" t="s">
        <v>235</v>
      </c>
      <c r="C973" t="s">
        <v>52</v>
      </c>
      <c r="D973" t="s">
        <v>1456</v>
      </c>
      <c r="E973" t="s">
        <v>161</v>
      </c>
      <c r="F973" t="s">
        <v>126</v>
      </c>
      <c r="G973" t="s">
        <v>26</v>
      </c>
      <c r="H973" t="s">
        <v>27</v>
      </c>
      <c r="I973">
        <v>14500</v>
      </c>
      <c r="J973">
        <v>18850</v>
      </c>
      <c r="K973">
        <v>4</v>
      </c>
      <c r="L973">
        <v>58000</v>
      </c>
      <c r="M973">
        <v>75400</v>
      </c>
      <c r="N973" t="s">
        <v>35</v>
      </c>
      <c r="O973">
        <f t="shared" si="30"/>
        <v>33150</v>
      </c>
      <c r="P973" s="13">
        <f t="shared" si="31"/>
        <v>1955044</v>
      </c>
      <c r="Q973" s="13">
        <f>SUMIFS(M:M,E:E,Online_eCommerce[[#This Row],[Status]])</f>
        <v>21103186</v>
      </c>
      <c r="R973" s="13">
        <f>SUMIFS(L:L,H:H,Online_eCommerce[[#This Row],[Brand]])</f>
        <v>14431000</v>
      </c>
      <c r="S973" s="13">
        <f>SUMIF(H:H,Online_eCommerce[[#This Row],[Brand]],M:M)</f>
        <v>18760300</v>
      </c>
      <c r="T973" s="13">
        <f>SUMIF(N:N,Online_eCommerce[[#This Row],[Assigned Supervisor]],L:L)</f>
        <v>14373360</v>
      </c>
    </row>
    <row r="974" spans="1:20" x14ac:dyDescent="0.3">
      <c r="A974" t="s">
        <v>1490</v>
      </c>
      <c r="B974" t="s">
        <v>235</v>
      </c>
      <c r="C974" t="s">
        <v>58</v>
      </c>
      <c r="D974" t="s">
        <v>1456</v>
      </c>
      <c r="E974" t="s">
        <v>46</v>
      </c>
      <c r="F974" t="s">
        <v>129</v>
      </c>
      <c r="G974" t="s">
        <v>60</v>
      </c>
      <c r="H974" t="s">
        <v>61</v>
      </c>
      <c r="I974">
        <v>800</v>
      </c>
      <c r="J974">
        <v>1040</v>
      </c>
      <c r="K974">
        <v>3</v>
      </c>
      <c r="L974">
        <v>2400</v>
      </c>
      <c r="M974">
        <v>3120</v>
      </c>
      <c r="N974" t="s">
        <v>42</v>
      </c>
      <c r="O974">
        <f t="shared" si="30"/>
        <v>3315</v>
      </c>
      <c r="P974" s="13">
        <f t="shared" si="31"/>
        <v>2629211</v>
      </c>
      <c r="Q974" s="13">
        <f>SUMIFS(M:M,E:E,Online_eCommerce[[#This Row],[Status]])</f>
        <v>28620410</v>
      </c>
      <c r="R974" s="13">
        <f>SUMIFS(L:L,H:H,Online_eCommerce[[#This Row],[Brand]])</f>
        <v>10950150</v>
      </c>
      <c r="S974" s="13">
        <f>SUMIF(H:H,Online_eCommerce[[#This Row],[Brand]],M:M)</f>
        <v>14235195</v>
      </c>
      <c r="T974" s="13">
        <f>SUMIF(N:N,Online_eCommerce[[#This Row],[Assigned Supervisor]],L:L)</f>
        <v>12261500</v>
      </c>
    </row>
    <row r="975" spans="1:20" hidden="1" x14ac:dyDescent="0.3">
      <c r="A975" t="s">
        <v>1491</v>
      </c>
      <c r="B975" t="s">
        <v>235</v>
      </c>
      <c r="C975" t="s">
        <v>63</v>
      </c>
      <c r="D975" t="s">
        <v>1456</v>
      </c>
      <c r="E975" t="s">
        <v>96</v>
      </c>
      <c r="F975" t="s">
        <v>133</v>
      </c>
      <c r="G975" t="s">
        <v>66</v>
      </c>
      <c r="H975" t="s">
        <v>21</v>
      </c>
      <c r="I975">
        <v>600</v>
      </c>
      <c r="J975">
        <v>780</v>
      </c>
      <c r="K975">
        <v>4</v>
      </c>
      <c r="L975">
        <v>2400</v>
      </c>
      <c r="M975">
        <v>3120</v>
      </c>
      <c r="N975" t="s">
        <v>50</v>
      </c>
      <c r="O975">
        <f t="shared" si="30"/>
        <v>1690</v>
      </c>
      <c r="P975" s="13">
        <f t="shared" si="31"/>
        <v>2016131</v>
      </c>
      <c r="Q975" s="13">
        <f>SUMIFS(M:M,E:E,Online_eCommerce[[#This Row],[Status]])</f>
        <v>21233992</v>
      </c>
      <c r="R975" s="13">
        <f>SUMIFS(L:L,H:H,Online_eCommerce[[#This Row],[Brand]])</f>
        <v>12435650</v>
      </c>
      <c r="S975" s="13">
        <f>SUMIF(H:H,Online_eCommerce[[#This Row],[Brand]],M:M)</f>
        <v>16166345</v>
      </c>
      <c r="T975" s="13">
        <f>SUMIF(N:N,Online_eCommerce[[#This Row],[Assigned Supervisor]],L:L)</f>
        <v>12100590</v>
      </c>
    </row>
    <row r="976" spans="1:20" hidden="1" x14ac:dyDescent="0.3">
      <c r="A976" t="s">
        <v>1492</v>
      </c>
      <c r="B976" t="s">
        <v>235</v>
      </c>
      <c r="C976" t="s">
        <v>68</v>
      </c>
      <c r="D976" t="s">
        <v>1456</v>
      </c>
      <c r="E976" t="s">
        <v>18</v>
      </c>
      <c r="F976" t="s">
        <v>137</v>
      </c>
      <c r="G976" t="s">
        <v>71</v>
      </c>
      <c r="H976" t="s">
        <v>61</v>
      </c>
      <c r="I976">
        <v>10500</v>
      </c>
      <c r="J976">
        <v>13650</v>
      </c>
      <c r="K976">
        <v>2</v>
      </c>
      <c r="L976">
        <v>21000</v>
      </c>
      <c r="M976">
        <v>27300</v>
      </c>
      <c r="N976" t="s">
        <v>56</v>
      </c>
      <c r="O976">
        <f t="shared" si="30"/>
        <v>9750</v>
      </c>
      <c r="P976" s="13">
        <f t="shared" si="31"/>
        <v>2974621</v>
      </c>
      <c r="Q976" s="13">
        <f>SUMIFS(M:M,E:E,Online_eCommerce[[#This Row],[Status]])</f>
        <v>28340455</v>
      </c>
      <c r="R976" s="13">
        <f>SUMIFS(L:L,H:H,Online_eCommerce[[#This Row],[Brand]])</f>
        <v>10950150</v>
      </c>
      <c r="S976" s="13">
        <f>SUMIF(H:H,Online_eCommerce[[#This Row],[Brand]],M:M)</f>
        <v>14235195</v>
      </c>
      <c r="T976" s="13">
        <f>SUMIF(N:N,Online_eCommerce[[#This Row],[Assigned Supervisor]],L:L)</f>
        <v>11733610</v>
      </c>
    </row>
    <row r="977" spans="1:20" hidden="1" x14ac:dyDescent="0.3">
      <c r="A977" t="s">
        <v>1493</v>
      </c>
      <c r="B977" t="s">
        <v>235</v>
      </c>
      <c r="C977" t="s">
        <v>74</v>
      </c>
      <c r="D977" t="s">
        <v>1456</v>
      </c>
      <c r="E977" t="s">
        <v>161</v>
      </c>
      <c r="F977" t="s">
        <v>1464</v>
      </c>
      <c r="G977" t="s">
        <v>77</v>
      </c>
      <c r="H977" t="s">
        <v>142</v>
      </c>
      <c r="I977">
        <v>6500</v>
      </c>
      <c r="J977">
        <v>8450</v>
      </c>
      <c r="K977">
        <v>3</v>
      </c>
      <c r="L977">
        <v>19500</v>
      </c>
      <c r="M977">
        <v>25350</v>
      </c>
      <c r="N977" t="s">
        <v>22</v>
      </c>
      <c r="O977">
        <f t="shared" si="30"/>
        <v>39000</v>
      </c>
      <c r="P977" s="13">
        <f t="shared" si="31"/>
        <v>2144701</v>
      </c>
      <c r="Q977" s="13">
        <f>SUMIFS(M:M,E:E,Online_eCommerce[[#This Row],[Status]])</f>
        <v>21103186</v>
      </c>
      <c r="R977" s="13">
        <f>SUMIFS(L:L,H:H,Online_eCommerce[[#This Row],[Brand]])</f>
        <v>6192500</v>
      </c>
      <c r="S977" s="13">
        <f>SUMIF(H:H,Online_eCommerce[[#This Row],[Brand]],M:M)</f>
        <v>8050250</v>
      </c>
      <c r="T977" s="13">
        <f>SUMIF(N:N,Online_eCommerce[[#This Row],[Assigned Supervisor]],L:L)</f>
        <v>13693220</v>
      </c>
    </row>
    <row r="978" spans="1:20" x14ac:dyDescent="0.3">
      <c r="A978" t="s">
        <v>1494</v>
      </c>
      <c r="B978" t="s">
        <v>235</v>
      </c>
      <c r="C978" t="s">
        <v>81</v>
      </c>
      <c r="D978" t="s">
        <v>1456</v>
      </c>
      <c r="E978" t="s">
        <v>46</v>
      </c>
      <c r="F978" t="s">
        <v>1495</v>
      </c>
      <c r="G978" t="s">
        <v>20</v>
      </c>
      <c r="H978" t="s">
        <v>21</v>
      </c>
      <c r="I978">
        <v>4500</v>
      </c>
      <c r="J978">
        <v>5850</v>
      </c>
      <c r="K978">
        <v>4</v>
      </c>
      <c r="L978">
        <v>18000</v>
      </c>
      <c r="M978">
        <v>23400</v>
      </c>
      <c r="N978" t="s">
        <v>28</v>
      </c>
      <c r="O978">
        <f t="shared" si="30"/>
        <v>8450</v>
      </c>
      <c r="P978" s="13">
        <f t="shared" si="31"/>
        <v>2595632</v>
      </c>
      <c r="Q978" s="13">
        <f>SUMIFS(M:M,E:E,Online_eCommerce[[#This Row],[Status]])</f>
        <v>28620410</v>
      </c>
      <c r="R978" s="13">
        <f>SUMIFS(L:L,H:H,Online_eCommerce[[#This Row],[Brand]])</f>
        <v>12435650</v>
      </c>
      <c r="S978" s="13">
        <f>SUMIF(H:H,Online_eCommerce[[#This Row],[Brand]],M:M)</f>
        <v>16166345</v>
      </c>
      <c r="T978" s="13">
        <f>SUMIF(N:N,Online_eCommerce[[#This Row],[Assigned Supervisor]],L:L)</f>
        <v>12220830</v>
      </c>
    </row>
    <row r="979" spans="1:20" hidden="1" x14ac:dyDescent="0.3">
      <c r="A979" t="s">
        <v>1496</v>
      </c>
      <c r="B979" t="s">
        <v>235</v>
      </c>
      <c r="C979" t="s">
        <v>86</v>
      </c>
      <c r="D979" t="s">
        <v>1456</v>
      </c>
      <c r="E979" t="s">
        <v>96</v>
      </c>
      <c r="F979" t="s">
        <v>152</v>
      </c>
      <c r="G979" t="s">
        <v>26</v>
      </c>
      <c r="H979" t="s">
        <v>27</v>
      </c>
      <c r="I979">
        <v>8500</v>
      </c>
      <c r="J979">
        <v>11050</v>
      </c>
      <c r="K979">
        <v>4</v>
      </c>
      <c r="L979">
        <v>34000</v>
      </c>
      <c r="M979">
        <v>44200</v>
      </c>
      <c r="N979" t="s">
        <v>35</v>
      </c>
      <c r="O979">
        <f t="shared" si="30"/>
        <v>33150</v>
      </c>
      <c r="P979" s="13">
        <f t="shared" si="31"/>
        <v>1941225</v>
      </c>
      <c r="Q979" s="13">
        <f>SUMIFS(M:M,E:E,Online_eCommerce[[#This Row],[Status]])</f>
        <v>21233992</v>
      </c>
      <c r="R979" s="13">
        <f>SUMIFS(L:L,H:H,Online_eCommerce[[#This Row],[Brand]])</f>
        <v>14431000</v>
      </c>
      <c r="S979" s="13">
        <f>SUMIF(H:H,Online_eCommerce[[#This Row],[Brand]],M:M)</f>
        <v>18760300</v>
      </c>
      <c r="T979" s="13">
        <f>SUMIF(N:N,Online_eCommerce[[#This Row],[Assigned Supervisor]],L:L)</f>
        <v>14373360</v>
      </c>
    </row>
    <row r="980" spans="1:20" hidden="1" x14ac:dyDescent="0.3">
      <c r="A980" t="s">
        <v>1497</v>
      </c>
      <c r="B980" t="s">
        <v>235</v>
      </c>
      <c r="C980" t="s">
        <v>91</v>
      </c>
      <c r="D980" t="s">
        <v>1456</v>
      </c>
      <c r="E980" t="s">
        <v>18</v>
      </c>
      <c r="F980" t="s">
        <v>157</v>
      </c>
      <c r="G980" t="s">
        <v>33</v>
      </c>
      <c r="H980" t="s">
        <v>34</v>
      </c>
      <c r="I980">
        <v>12500</v>
      </c>
      <c r="J980">
        <v>16250</v>
      </c>
      <c r="K980">
        <v>4</v>
      </c>
      <c r="L980">
        <v>50000</v>
      </c>
      <c r="M980">
        <v>65000</v>
      </c>
      <c r="N980" t="s">
        <v>42</v>
      </c>
      <c r="O980">
        <f t="shared" si="30"/>
        <v>18200</v>
      </c>
      <c r="P980" s="13">
        <f t="shared" si="31"/>
        <v>2731963</v>
      </c>
      <c r="Q980" s="13">
        <f>SUMIFS(M:M,E:E,Online_eCommerce[[#This Row],[Status]])</f>
        <v>28340455</v>
      </c>
      <c r="R980" s="13">
        <f>SUMIFS(L:L,H:H,Online_eCommerce[[#This Row],[Brand]])</f>
        <v>10087000</v>
      </c>
      <c r="S980" s="13">
        <f>SUMIF(H:H,Online_eCommerce[[#This Row],[Brand]],M:M)</f>
        <v>13113100</v>
      </c>
      <c r="T980" s="13">
        <f>SUMIF(N:N,Online_eCommerce[[#This Row],[Assigned Supervisor]],L:L)</f>
        <v>12261500</v>
      </c>
    </row>
    <row r="981" spans="1:20" hidden="1" x14ac:dyDescent="0.3">
      <c r="A981" t="s">
        <v>1498</v>
      </c>
      <c r="B981" t="s">
        <v>235</v>
      </c>
      <c r="C981" t="s">
        <v>94</v>
      </c>
      <c r="D981" t="s">
        <v>1456</v>
      </c>
      <c r="E981" t="s">
        <v>161</v>
      </c>
      <c r="F981" t="s">
        <v>1141</v>
      </c>
      <c r="G981" t="s">
        <v>256</v>
      </c>
      <c r="H981" t="s">
        <v>41</v>
      </c>
      <c r="I981">
        <v>3500</v>
      </c>
      <c r="J981">
        <v>4550</v>
      </c>
      <c r="K981">
        <v>2</v>
      </c>
      <c r="L981">
        <v>7000</v>
      </c>
      <c r="M981">
        <v>9100</v>
      </c>
      <c r="N981" t="s">
        <v>50</v>
      </c>
      <c r="O981">
        <f t="shared" si="30"/>
        <v>9100</v>
      </c>
      <c r="P981" s="13">
        <f t="shared" si="31"/>
        <v>1868256</v>
      </c>
      <c r="Q981" s="13">
        <f>SUMIFS(M:M,E:E,Online_eCommerce[[#This Row],[Status]])</f>
        <v>21103186</v>
      </c>
      <c r="R981" s="13">
        <f>SUMIFS(L:L,H:H,Online_eCommerce[[#This Row],[Brand]])</f>
        <v>4260400</v>
      </c>
      <c r="S981" s="13">
        <f>SUMIF(H:H,Online_eCommerce[[#This Row],[Brand]],M:M)</f>
        <v>5538520</v>
      </c>
      <c r="T981" s="13">
        <f>SUMIF(N:N,Online_eCommerce[[#This Row],[Assigned Supervisor]],L:L)</f>
        <v>12100590</v>
      </c>
    </row>
    <row r="982" spans="1:20" x14ac:dyDescent="0.3">
      <c r="A982" t="s">
        <v>1499</v>
      </c>
      <c r="B982" t="s">
        <v>235</v>
      </c>
      <c r="C982" t="s">
        <v>99</v>
      </c>
      <c r="D982" t="s">
        <v>1456</v>
      </c>
      <c r="E982" t="s">
        <v>46</v>
      </c>
      <c r="F982" t="s">
        <v>166</v>
      </c>
      <c r="G982" t="s">
        <v>259</v>
      </c>
      <c r="H982" t="s">
        <v>49</v>
      </c>
      <c r="I982">
        <v>4500</v>
      </c>
      <c r="J982">
        <v>5850</v>
      </c>
      <c r="K982">
        <v>4</v>
      </c>
      <c r="L982">
        <v>18000</v>
      </c>
      <c r="M982">
        <v>23400</v>
      </c>
      <c r="N982" t="s">
        <v>56</v>
      </c>
      <c r="O982">
        <f t="shared" si="30"/>
        <v>11700</v>
      </c>
      <c r="P982" s="13">
        <f t="shared" si="31"/>
        <v>2651233</v>
      </c>
      <c r="Q982" s="13">
        <f>SUMIFS(M:M,E:E,Online_eCommerce[[#This Row],[Status]])</f>
        <v>28620410</v>
      </c>
      <c r="R982" s="13">
        <f>SUMIFS(L:L,H:H,Online_eCommerce[[#This Row],[Brand]])</f>
        <v>4528350</v>
      </c>
      <c r="S982" s="13">
        <f>SUMIF(H:H,Online_eCommerce[[#This Row],[Brand]],M:M)</f>
        <v>5886855</v>
      </c>
      <c r="T982" s="13">
        <f>SUMIF(N:N,Online_eCommerce[[#This Row],[Assigned Supervisor]],L:L)</f>
        <v>11733610</v>
      </c>
    </row>
    <row r="983" spans="1:20" hidden="1" x14ac:dyDescent="0.3">
      <c r="A983" t="s">
        <v>1500</v>
      </c>
      <c r="B983" t="s">
        <v>235</v>
      </c>
      <c r="C983" t="s">
        <v>105</v>
      </c>
      <c r="D983" t="s">
        <v>1456</v>
      </c>
      <c r="E983" t="s">
        <v>96</v>
      </c>
      <c r="F983" t="s">
        <v>1501</v>
      </c>
      <c r="G983" t="s">
        <v>54</v>
      </c>
      <c r="H983" t="s">
        <v>55</v>
      </c>
      <c r="I983">
        <v>2100</v>
      </c>
      <c r="J983">
        <v>2730</v>
      </c>
      <c r="K983">
        <v>4</v>
      </c>
      <c r="L983">
        <v>8400</v>
      </c>
      <c r="M983">
        <v>10920</v>
      </c>
      <c r="N983" t="s">
        <v>22</v>
      </c>
      <c r="O983">
        <f t="shared" si="30"/>
        <v>2990</v>
      </c>
      <c r="P983" s="13">
        <f t="shared" si="31"/>
        <v>1866852</v>
      </c>
      <c r="Q983" s="13">
        <f>SUMIFS(M:M,E:E,Online_eCommerce[[#This Row],[Status]])</f>
        <v>21233992</v>
      </c>
      <c r="R983" s="13">
        <f>SUMIFS(L:L,H:H,Online_eCommerce[[#This Row],[Brand]])</f>
        <v>2267380</v>
      </c>
      <c r="S983" s="13">
        <f>SUMIF(H:H,Online_eCommerce[[#This Row],[Brand]],M:M)</f>
        <v>2947594</v>
      </c>
      <c r="T983" s="13">
        <f>SUMIF(N:N,Online_eCommerce[[#This Row],[Assigned Supervisor]],L:L)</f>
        <v>13693220</v>
      </c>
    </row>
    <row r="984" spans="1:20" hidden="1" x14ac:dyDescent="0.3">
      <c r="A984" t="s">
        <v>1502</v>
      </c>
      <c r="B984" t="s">
        <v>235</v>
      </c>
      <c r="C984" t="s">
        <v>110</v>
      </c>
      <c r="D984" t="s">
        <v>1456</v>
      </c>
      <c r="E984" t="s">
        <v>18</v>
      </c>
      <c r="F984" t="s">
        <v>174</v>
      </c>
      <c r="G984" t="s">
        <v>60</v>
      </c>
      <c r="H984" t="s">
        <v>61</v>
      </c>
      <c r="I984">
        <v>1150</v>
      </c>
      <c r="J984">
        <v>1495</v>
      </c>
      <c r="K984">
        <v>1</v>
      </c>
      <c r="L984">
        <v>1150</v>
      </c>
      <c r="M984">
        <v>1495</v>
      </c>
      <c r="N984" t="s">
        <v>28</v>
      </c>
      <c r="O984">
        <f t="shared" si="30"/>
        <v>3315</v>
      </c>
      <c r="P984" s="13">
        <f t="shared" si="31"/>
        <v>2598635</v>
      </c>
      <c r="Q984" s="13">
        <f>SUMIFS(M:M,E:E,Online_eCommerce[[#This Row],[Status]])</f>
        <v>28340455</v>
      </c>
      <c r="R984" s="13">
        <f>SUMIFS(L:L,H:H,Online_eCommerce[[#This Row],[Brand]])</f>
        <v>10950150</v>
      </c>
      <c r="S984" s="13">
        <f>SUMIF(H:H,Online_eCommerce[[#This Row],[Brand]],M:M)</f>
        <v>14235195</v>
      </c>
      <c r="T984" s="13">
        <f>SUMIF(N:N,Online_eCommerce[[#This Row],[Assigned Supervisor]],L:L)</f>
        <v>12220830</v>
      </c>
    </row>
    <row r="985" spans="1:20" hidden="1" x14ac:dyDescent="0.3">
      <c r="A985" t="s">
        <v>1503</v>
      </c>
      <c r="B985" t="s">
        <v>235</v>
      </c>
      <c r="C985" t="s">
        <v>115</v>
      </c>
      <c r="D985" t="s">
        <v>1504</v>
      </c>
      <c r="E985" t="s">
        <v>161</v>
      </c>
      <c r="F985" t="s">
        <v>179</v>
      </c>
      <c r="G985" t="s">
        <v>66</v>
      </c>
      <c r="H985" t="s">
        <v>21</v>
      </c>
      <c r="I985">
        <v>350</v>
      </c>
      <c r="J985">
        <v>455</v>
      </c>
      <c r="K985">
        <v>1</v>
      </c>
      <c r="L985">
        <v>350</v>
      </c>
      <c r="M985">
        <v>455</v>
      </c>
      <c r="N985" t="s">
        <v>35</v>
      </c>
      <c r="O985">
        <f t="shared" si="30"/>
        <v>1690</v>
      </c>
      <c r="P985" s="13">
        <f t="shared" si="31"/>
        <v>2050178</v>
      </c>
      <c r="Q985" s="13">
        <f>SUMIFS(M:M,E:E,Online_eCommerce[[#This Row],[Status]])</f>
        <v>21103186</v>
      </c>
      <c r="R985" s="13">
        <f>SUMIFS(L:L,H:H,Online_eCommerce[[#This Row],[Brand]])</f>
        <v>12435650</v>
      </c>
      <c r="S985" s="13">
        <f>SUMIF(H:H,Online_eCommerce[[#This Row],[Brand]],M:M)</f>
        <v>16166345</v>
      </c>
      <c r="T985" s="13">
        <f>SUMIF(N:N,Online_eCommerce[[#This Row],[Assigned Supervisor]],L:L)</f>
        <v>14373360</v>
      </c>
    </row>
    <row r="986" spans="1:20" x14ac:dyDescent="0.3">
      <c r="A986" t="s">
        <v>1505</v>
      </c>
      <c r="B986" t="s">
        <v>235</v>
      </c>
      <c r="C986" t="s">
        <v>120</v>
      </c>
      <c r="D986" t="s">
        <v>1504</v>
      </c>
      <c r="E986" t="s">
        <v>46</v>
      </c>
      <c r="F986" t="s">
        <v>183</v>
      </c>
      <c r="G986" t="s">
        <v>71</v>
      </c>
      <c r="H986" t="s">
        <v>61</v>
      </c>
      <c r="I986">
        <v>9500</v>
      </c>
      <c r="J986">
        <v>12350</v>
      </c>
      <c r="K986">
        <v>4</v>
      </c>
      <c r="L986">
        <v>38000</v>
      </c>
      <c r="M986">
        <v>49400</v>
      </c>
      <c r="N986" t="s">
        <v>42</v>
      </c>
      <c r="O986">
        <f t="shared" si="30"/>
        <v>9750</v>
      </c>
      <c r="P986" s="13">
        <f t="shared" si="31"/>
        <v>2734212</v>
      </c>
      <c r="Q986" s="13">
        <f>SUMIFS(M:M,E:E,Online_eCommerce[[#This Row],[Status]])</f>
        <v>28620410</v>
      </c>
      <c r="R986" s="13">
        <f>SUMIFS(L:L,H:H,Online_eCommerce[[#This Row],[Brand]])</f>
        <v>10950150</v>
      </c>
      <c r="S986" s="13">
        <f>SUMIF(H:H,Online_eCommerce[[#This Row],[Brand]],M:M)</f>
        <v>14235195</v>
      </c>
      <c r="T986" s="13">
        <f>SUMIF(N:N,Online_eCommerce[[#This Row],[Assigned Supervisor]],L:L)</f>
        <v>12261500</v>
      </c>
    </row>
    <row r="987" spans="1:20" hidden="1" x14ac:dyDescent="0.3">
      <c r="A987" t="s">
        <v>1506</v>
      </c>
      <c r="B987" t="s">
        <v>235</v>
      </c>
      <c r="C987" t="s">
        <v>125</v>
      </c>
      <c r="D987" t="s">
        <v>1504</v>
      </c>
      <c r="E987" t="s">
        <v>96</v>
      </c>
      <c r="F987" t="s">
        <v>1507</v>
      </c>
      <c r="G987" t="s">
        <v>77</v>
      </c>
      <c r="H987" t="s">
        <v>142</v>
      </c>
      <c r="I987">
        <v>10000</v>
      </c>
      <c r="J987">
        <v>13000</v>
      </c>
      <c r="K987">
        <v>2</v>
      </c>
      <c r="L987">
        <v>20000</v>
      </c>
      <c r="M987">
        <v>26000</v>
      </c>
      <c r="N987" t="s">
        <v>50</v>
      </c>
      <c r="O987">
        <f t="shared" si="30"/>
        <v>39000</v>
      </c>
      <c r="P987" s="13">
        <f t="shared" si="31"/>
        <v>2091154</v>
      </c>
      <c r="Q987" s="13">
        <f>SUMIFS(M:M,E:E,Online_eCommerce[[#This Row],[Status]])</f>
        <v>21233992</v>
      </c>
      <c r="R987" s="13">
        <f>SUMIFS(L:L,H:H,Online_eCommerce[[#This Row],[Brand]])</f>
        <v>6192500</v>
      </c>
      <c r="S987" s="13">
        <f>SUMIF(H:H,Online_eCommerce[[#This Row],[Brand]],M:M)</f>
        <v>8050250</v>
      </c>
      <c r="T987" s="13">
        <f>SUMIF(N:N,Online_eCommerce[[#This Row],[Assigned Supervisor]],L:L)</f>
        <v>12100590</v>
      </c>
    </row>
    <row r="988" spans="1:20" hidden="1" x14ac:dyDescent="0.3">
      <c r="A988" t="s">
        <v>1508</v>
      </c>
      <c r="B988" t="s">
        <v>235</v>
      </c>
      <c r="C988" t="s">
        <v>22</v>
      </c>
      <c r="D988" t="s">
        <v>1504</v>
      </c>
      <c r="E988" t="s">
        <v>18</v>
      </c>
      <c r="F988" t="s">
        <v>1509</v>
      </c>
      <c r="G988" t="s">
        <v>20</v>
      </c>
      <c r="H988" t="s">
        <v>21</v>
      </c>
      <c r="I988">
        <v>6500</v>
      </c>
      <c r="J988">
        <v>8450</v>
      </c>
      <c r="K988">
        <v>3</v>
      </c>
      <c r="L988">
        <v>19500</v>
      </c>
      <c r="M988">
        <v>25350</v>
      </c>
      <c r="N988" t="s">
        <v>56</v>
      </c>
      <c r="O988">
        <f t="shared" si="30"/>
        <v>8450</v>
      </c>
      <c r="P988" s="13">
        <f t="shared" si="31"/>
        <v>2551588</v>
      </c>
      <c r="Q988" s="13">
        <f>SUMIFS(M:M,E:E,Online_eCommerce[[#This Row],[Status]])</f>
        <v>28340455</v>
      </c>
      <c r="R988" s="13">
        <f>SUMIFS(L:L,H:H,Online_eCommerce[[#This Row],[Brand]])</f>
        <v>12435650</v>
      </c>
      <c r="S988" s="13">
        <f>SUMIF(H:H,Online_eCommerce[[#This Row],[Brand]],M:M)</f>
        <v>16166345</v>
      </c>
      <c r="T988" s="13">
        <f>SUMIF(N:N,Online_eCommerce[[#This Row],[Assigned Supervisor]],L:L)</f>
        <v>11733610</v>
      </c>
    </row>
    <row r="989" spans="1:20" hidden="1" x14ac:dyDescent="0.3">
      <c r="A989" t="s">
        <v>1510</v>
      </c>
      <c r="B989" t="s">
        <v>235</v>
      </c>
      <c r="C989" t="s">
        <v>132</v>
      </c>
      <c r="D989" t="s">
        <v>1504</v>
      </c>
      <c r="E989" t="s">
        <v>161</v>
      </c>
      <c r="F989" t="s">
        <v>1511</v>
      </c>
      <c r="G989" t="s">
        <v>26</v>
      </c>
      <c r="H989" t="s">
        <v>27</v>
      </c>
      <c r="I989">
        <v>8500</v>
      </c>
      <c r="J989">
        <v>11050</v>
      </c>
      <c r="K989">
        <v>4</v>
      </c>
      <c r="L989">
        <v>34000</v>
      </c>
      <c r="M989">
        <v>44200</v>
      </c>
      <c r="N989" t="s">
        <v>22</v>
      </c>
      <c r="O989">
        <f t="shared" si="30"/>
        <v>33150</v>
      </c>
      <c r="P989" s="13">
        <f t="shared" si="31"/>
        <v>1989065</v>
      </c>
      <c r="Q989" s="13">
        <f>SUMIFS(M:M,E:E,Online_eCommerce[[#This Row],[Status]])</f>
        <v>21103186</v>
      </c>
      <c r="R989" s="13">
        <f>SUMIFS(L:L,H:H,Online_eCommerce[[#This Row],[Brand]])</f>
        <v>14431000</v>
      </c>
      <c r="S989" s="13">
        <f>SUMIF(H:H,Online_eCommerce[[#This Row],[Brand]],M:M)</f>
        <v>18760300</v>
      </c>
      <c r="T989" s="13">
        <f>SUMIF(N:N,Online_eCommerce[[#This Row],[Assigned Supervisor]],L:L)</f>
        <v>13693220</v>
      </c>
    </row>
    <row r="990" spans="1:20" x14ac:dyDescent="0.3">
      <c r="A990" t="s">
        <v>1512</v>
      </c>
      <c r="B990" t="s">
        <v>235</v>
      </c>
      <c r="C990" t="s">
        <v>136</v>
      </c>
      <c r="D990" t="s">
        <v>1504</v>
      </c>
      <c r="E990" t="s">
        <v>46</v>
      </c>
      <c r="F990" t="s">
        <v>32</v>
      </c>
      <c r="G990" t="s">
        <v>33</v>
      </c>
      <c r="H990" t="s">
        <v>34</v>
      </c>
      <c r="I990">
        <v>7000</v>
      </c>
      <c r="J990">
        <v>9100</v>
      </c>
      <c r="K990">
        <v>4</v>
      </c>
      <c r="L990">
        <v>28000</v>
      </c>
      <c r="M990">
        <v>36400</v>
      </c>
      <c r="N990" t="s">
        <v>28</v>
      </c>
      <c r="O990">
        <f t="shared" si="30"/>
        <v>18200</v>
      </c>
      <c r="P990" s="13">
        <f t="shared" si="31"/>
        <v>2775162</v>
      </c>
      <c r="Q990" s="13">
        <f>SUMIFS(M:M,E:E,Online_eCommerce[[#This Row],[Status]])</f>
        <v>28620410</v>
      </c>
      <c r="R990" s="13">
        <f>SUMIFS(L:L,H:H,Online_eCommerce[[#This Row],[Brand]])</f>
        <v>10087000</v>
      </c>
      <c r="S990" s="13">
        <f>SUMIF(H:H,Online_eCommerce[[#This Row],[Brand]],M:M)</f>
        <v>13113100</v>
      </c>
      <c r="T990" s="13">
        <f>SUMIF(N:N,Online_eCommerce[[#This Row],[Assigned Supervisor]],L:L)</f>
        <v>12220830</v>
      </c>
    </row>
    <row r="991" spans="1:20" hidden="1" x14ac:dyDescent="0.3">
      <c r="A991" t="s">
        <v>1513</v>
      </c>
      <c r="B991" t="s">
        <v>235</v>
      </c>
      <c r="C991" t="s">
        <v>140</v>
      </c>
      <c r="D991" t="s">
        <v>1504</v>
      </c>
      <c r="E991" t="s">
        <v>96</v>
      </c>
      <c r="F991" t="s">
        <v>1514</v>
      </c>
      <c r="G991" t="s">
        <v>256</v>
      </c>
      <c r="H991" t="s">
        <v>41</v>
      </c>
      <c r="I991">
        <v>6550</v>
      </c>
      <c r="J991">
        <v>8515</v>
      </c>
      <c r="K991">
        <v>1</v>
      </c>
      <c r="L991">
        <v>6550</v>
      </c>
      <c r="M991">
        <v>8515</v>
      </c>
      <c r="N991" t="s">
        <v>35</v>
      </c>
      <c r="O991">
        <f t="shared" si="30"/>
        <v>9100</v>
      </c>
      <c r="P991" s="13">
        <f t="shared" si="31"/>
        <v>2058264</v>
      </c>
      <c r="Q991" s="13">
        <f>SUMIFS(M:M,E:E,Online_eCommerce[[#This Row],[Status]])</f>
        <v>21233992</v>
      </c>
      <c r="R991" s="13">
        <f>SUMIFS(L:L,H:H,Online_eCommerce[[#This Row],[Brand]])</f>
        <v>4260400</v>
      </c>
      <c r="S991" s="13">
        <f>SUMIF(H:H,Online_eCommerce[[#This Row],[Brand]],M:M)</f>
        <v>5538520</v>
      </c>
      <c r="T991" s="13">
        <f>SUMIF(N:N,Online_eCommerce[[#This Row],[Assigned Supervisor]],L:L)</f>
        <v>14373360</v>
      </c>
    </row>
    <row r="992" spans="1:20" hidden="1" x14ac:dyDescent="0.3">
      <c r="A992" t="s">
        <v>1515</v>
      </c>
      <c r="B992" t="s">
        <v>235</v>
      </c>
      <c r="C992" t="s">
        <v>145</v>
      </c>
      <c r="D992" t="s">
        <v>1504</v>
      </c>
      <c r="E992" t="s">
        <v>18</v>
      </c>
      <c r="F992" t="s">
        <v>47</v>
      </c>
      <c r="G992" t="s">
        <v>259</v>
      </c>
      <c r="H992" t="s">
        <v>49</v>
      </c>
      <c r="I992">
        <v>7650</v>
      </c>
      <c r="J992">
        <v>9945</v>
      </c>
      <c r="K992">
        <v>2</v>
      </c>
      <c r="L992">
        <v>15300</v>
      </c>
      <c r="M992">
        <v>19890</v>
      </c>
      <c r="N992" t="s">
        <v>42</v>
      </c>
      <c r="O992">
        <f t="shared" si="30"/>
        <v>11700</v>
      </c>
      <c r="P992" s="13">
        <f t="shared" si="31"/>
        <v>2757859</v>
      </c>
      <c r="Q992" s="13">
        <f>SUMIFS(M:M,E:E,Online_eCommerce[[#This Row],[Status]])</f>
        <v>28340455</v>
      </c>
      <c r="R992" s="13">
        <f>SUMIFS(L:L,H:H,Online_eCommerce[[#This Row],[Brand]])</f>
        <v>4528350</v>
      </c>
      <c r="S992" s="13">
        <f>SUMIF(H:H,Online_eCommerce[[#This Row],[Brand]],M:M)</f>
        <v>5886855</v>
      </c>
      <c r="T992" s="13">
        <f>SUMIF(N:N,Online_eCommerce[[#This Row],[Assigned Supervisor]],L:L)</f>
        <v>12261500</v>
      </c>
    </row>
    <row r="993" spans="1:20" hidden="1" x14ac:dyDescent="0.3">
      <c r="A993" t="s">
        <v>1516</v>
      </c>
      <c r="B993" t="s">
        <v>235</v>
      </c>
      <c r="C993" t="s">
        <v>150</v>
      </c>
      <c r="D993" t="s">
        <v>1504</v>
      </c>
      <c r="E993" t="s">
        <v>161</v>
      </c>
      <c r="F993" t="s">
        <v>53</v>
      </c>
      <c r="G993" t="s">
        <v>54</v>
      </c>
      <c r="H993" t="s">
        <v>55</v>
      </c>
      <c r="I993">
        <v>1150</v>
      </c>
      <c r="J993">
        <v>1495</v>
      </c>
      <c r="K993">
        <v>1</v>
      </c>
      <c r="L993">
        <v>1150</v>
      </c>
      <c r="M993">
        <v>1495</v>
      </c>
      <c r="N993" t="s">
        <v>50</v>
      </c>
      <c r="O993">
        <f t="shared" si="30"/>
        <v>2990</v>
      </c>
      <c r="P993" s="13">
        <f t="shared" si="31"/>
        <v>2154984</v>
      </c>
      <c r="Q993" s="13">
        <f>SUMIFS(M:M,E:E,Online_eCommerce[[#This Row],[Status]])</f>
        <v>21103186</v>
      </c>
      <c r="R993" s="13">
        <f>SUMIFS(L:L,H:H,Online_eCommerce[[#This Row],[Brand]])</f>
        <v>2267380</v>
      </c>
      <c r="S993" s="13">
        <f>SUMIF(H:H,Online_eCommerce[[#This Row],[Brand]],M:M)</f>
        <v>2947594</v>
      </c>
      <c r="T993" s="13">
        <f>SUMIF(N:N,Online_eCommerce[[#This Row],[Assigned Supervisor]],L:L)</f>
        <v>12100590</v>
      </c>
    </row>
    <row r="994" spans="1:20" x14ac:dyDescent="0.3">
      <c r="A994" t="s">
        <v>1517</v>
      </c>
      <c r="B994" t="s">
        <v>235</v>
      </c>
      <c r="C994" t="s">
        <v>155</v>
      </c>
      <c r="D994" t="s">
        <v>1504</v>
      </c>
      <c r="E994" t="s">
        <v>46</v>
      </c>
      <c r="F994" t="s">
        <v>59</v>
      </c>
      <c r="G994" t="s">
        <v>60</v>
      </c>
      <c r="H994" t="s">
        <v>61</v>
      </c>
      <c r="I994">
        <v>850</v>
      </c>
      <c r="J994">
        <v>1105</v>
      </c>
      <c r="K994">
        <v>2</v>
      </c>
      <c r="L994">
        <v>1700</v>
      </c>
      <c r="M994">
        <v>2210</v>
      </c>
      <c r="N994" t="s">
        <v>56</v>
      </c>
      <c r="O994">
        <f t="shared" si="30"/>
        <v>3315</v>
      </c>
      <c r="P994" s="13">
        <f t="shared" si="31"/>
        <v>2753348</v>
      </c>
      <c r="Q994" s="13">
        <f>SUMIFS(M:M,E:E,Online_eCommerce[[#This Row],[Status]])</f>
        <v>28620410</v>
      </c>
      <c r="R994" s="13">
        <f>SUMIFS(L:L,H:H,Online_eCommerce[[#This Row],[Brand]])</f>
        <v>10950150</v>
      </c>
      <c r="S994" s="13">
        <f>SUMIF(H:H,Online_eCommerce[[#This Row],[Brand]],M:M)</f>
        <v>14235195</v>
      </c>
      <c r="T994" s="13">
        <f>SUMIF(N:N,Online_eCommerce[[#This Row],[Assigned Supervisor]],L:L)</f>
        <v>11733610</v>
      </c>
    </row>
    <row r="995" spans="1:20" hidden="1" x14ac:dyDescent="0.3">
      <c r="A995" t="s">
        <v>1518</v>
      </c>
      <c r="B995" t="s">
        <v>235</v>
      </c>
      <c r="C995" t="s">
        <v>160</v>
      </c>
      <c r="D995" t="s">
        <v>1504</v>
      </c>
      <c r="E995" t="s">
        <v>96</v>
      </c>
      <c r="F995" t="s">
        <v>65</v>
      </c>
      <c r="G995" t="s">
        <v>66</v>
      </c>
      <c r="H995" t="s">
        <v>21</v>
      </c>
      <c r="I995">
        <v>650</v>
      </c>
      <c r="J995">
        <v>845</v>
      </c>
      <c r="K995">
        <v>2</v>
      </c>
      <c r="L995">
        <v>1300</v>
      </c>
      <c r="M995">
        <v>1690</v>
      </c>
      <c r="N995" t="s">
        <v>22</v>
      </c>
      <c r="O995">
        <f t="shared" si="30"/>
        <v>1690</v>
      </c>
      <c r="P995" s="13">
        <f t="shared" si="31"/>
        <v>2303483</v>
      </c>
      <c r="Q995" s="13">
        <f>SUMIFS(M:M,E:E,Online_eCommerce[[#This Row],[Status]])</f>
        <v>21233992</v>
      </c>
      <c r="R995" s="13">
        <f>SUMIFS(L:L,H:H,Online_eCommerce[[#This Row],[Brand]])</f>
        <v>12435650</v>
      </c>
      <c r="S995" s="13">
        <f>SUMIF(H:H,Online_eCommerce[[#This Row],[Brand]],M:M)</f>
        <v>16166345</v>
      </c>
      <c r="T995" s="13">
        <f>SUMIF(N:N,Online_eCommerce[[#This Row],[Assigned Supervisor]],L:L)</f>
        <v>13693220</v>
      </c>
    </row>
    <row r="996" spans="1:20" hidden="1" x14ac:dyDescent="0.3">
      <c r="A996" t="s">
        <v>1519</v>
      </c>
      <c r="B996" t="s">
        <v>235</v>
      </c>
      <c r="C996" t="s">
        <v>165</v>
      </c>
      <c r="D996" t="s">
        <v>1504</v>
      </c>
      <c r="E996" t="s">
        <v>18</v>
      </c>
      <c r="F996" t="s">
        <v>70</v>
      </c>
      <c r="G996" t="s">
        <v>71</v>
      </c>
      <c r="H996" t="s">
        <v>61</v>
      </c>
      <c r="I996">
        <v>7500</v>
      </c>
      <c r="J996">
        <v>9750</v>
      </c>
      <c r="K996">
        <v>4</v>
      </c>
      <c r="L996">
        <v>30000</v>
      </c>
      <c r="M996">
        <v>39000</v>
      </c>
      <c r="N996" t="s">
        <v>28</v>
      </c>
      <c r="O996">
        <f t="shared" si="30"/>
        <v>9750</v>
      </c>
      <c r="P996" s="13">
        <f t="shared" si="31"/>
        <v>2674087</v>
      </c>
      <c r="Q996" s="13">
        <f>SUMIFS(M:M,E:E,Online_eCommerce[[#This Row],[Status]])</f>
        <v>28340455</v>
      </c>
      <c r="R996" s="13">
        <f>SUMIFS(L:L,H:H,Online_eCommerce[[#This Row],[Brand]])</f>
        <v>10950150</v>
      </c>
      <c r="S996" s="13">
        <f>SUMIF(H:H,Online_eCommerce[[#This Row],[Brand]],M:M)</f>
        <v>14235195</v>
      </c>
      <c r="T996" s="13">
        <f>SUMIF(N:N,Online_eCommerce[[#This Row],[Assigned Supervisor]],L:L)</f>
        <v>12220830</v>
      </c>
    </row>
    <row r="997" spans="1:20" hidden="1" x14ac:dyDescent="0.3">
      <c r="A997" t="s">
        <v>1520</v>
      </c>
      <c r="B997" t="s">
        <v>235</v>
      </c>
      <c r="C997" t="s">
        <v>168</v>
      </c>
      <c r="D997" t="s">
        <v>1504</v>
      </c>
      <c r="E997" t="s">
        <v>161</v>
      </c>
      <c r="F997" t="s">
        <v>1507</v>
      </c>
      <c r="G997" t="s">
        <v>77</v>
      </c>
      <c r="H997" t="s">
        <v>78</v>
      </c>
      <c r="I997">
        <v>10000</v>
      </c>
      <c r="J997">
        <v>13000</v>
      </c>
      <c r="K997">
        <v>3</v>
      </c>
      <c r="L997">
        <v>30000</v>
      </c>
      <c r="M997">
        <v>39000</v>
      </c>
      <c r="N997" t="s">
        <v>35</v>
      </c>
      <c r="O997">
        <f t="shared" si="30"/>
        <v>39000</v>
      </c>
      <c r="P997" s="13">
        <f t="shared" si="31"/>
        <v>1937780</v>
      </c>
      <c r="Q997" s="13">
        <f>SUMIFS(M:M,E:E,Online_eCommerce[[#This Row],[Status]])</f>
        <v>21103186</v>
      </c>
      <c r="R997" s="13">
        <f>SUMIFS(L:L,H:H,Online_eCommerce[[#This Row],[Brand]])</f>
        <v>3720000</v>
      </c>
      <c r="S997" s="13">
        <f>SUMIF(H:H,Online_eCommerce[[#This Row],[Brand]],M:M)</f>
        <v>4836000</v>
      </c>
      <c r="T997" s="13">
        <f>SUMIF(N:N,Online_eCommerce[[#This Row],[Assigned Supervisor]],L:L)</f>
        <v>14373360</v>
      </c>
    </row>
    <row r="998" spans="1:20" x14ac:dyDescent="0.3">
      <c r="A998" t="s">
        <v>1521</v>
      </c>
      <c r="B998" t="s">
        <v>235</v>
      </c>
      <c r="C998" t="s">
        <v>172</v>
      </c>
      <c r="D998" t="s">
        <v>1504</v>
      </c>
      <c r="E998" t="s">
        <v>46</v>
      </c>
      <c r="F998" t="s">
        <v>1522</v>
      </c>
      <c r="G998" t="s">
        <v>20</v>
      </c>
      <c r="H998" t="s">
        <v>21</v>
      </c>
      <c r="I998">
        <v>10500</v>
      </c>
      <c r="J998">
        <v>13650</v>
      </c>
      <c r="K998">
        <v>2</v>
      </c>
      <c r="L998">
        <v>21000</v>
      </c>
      <c r="M998">
        <v>27300</v>
      </c>
      <c r="N998" t="s">
        <v>42</v>
      </c>
      <c r="O998">
        <f t="shared" si="30"/>
        <v>8450</v>
      </c>
      <c r="P998" s="13">
        <f t="shared" si="31"/>
        <v>2640274</v>
      </c>
      <c r="Q998" s="13">
        <f>SUMIFS(M:M,E:E,Online_eCommerce[[#This Row],[Status]])</f>
        <v>28620410</v>
      </c>
      <c r="R998" s="13">
        <f>SUMIFS(L:L,H:H,Online_eCommerce[[#This Row],[Brand]])</f>
        <v>12435650</v>
      </c>
      <c r="S998" s="13">
        <f>SUMIF(H:H,Online_eCommerce[[#This Row],[Brand]],M:M)</f>
        <v>16166345</v>
      </c>
      <c r="T998" s="13">
        <f>SUMIF(N:N,Online_eCommerce[[#This Row],[Assigned Supervisor]],L:L)</f>
        <v>12261500</v>
      </c>
    </row>
    <row r="999" spans="1:20" hidden="1" x14ac:dyDescent="0.3">
      <c r="A999" t="s">
        <v>1523</v>
      </c>
      <c r="B999" t="s">
        <v>235</v>
      </c>
      <c r="C999" t="s">
        <v>177</v>
      </c>
      <c r="D999" t="s">
        <v>1504</v>
      </c>
      <c r="E999" t="s">
        <v>96</v>
      </c>
      <c r="F999" t="s">
        <v>88</v>
      </c>
      <c r="G999" t="s">
        <v>26</v>
      </c>
      <c r="H999" t="s">
        <v>27</v>
      </c>
      <c r="I999">
        <v>8500</v>
      </c>
      <c r="J999">
        <v>11050</v>
      </c>
      <c r="K999">
        <v>1</v>
      </c>
      <c r="L999">
        <v>8500</v>
      </c>
      <c r="M999">
        <v>11050</v>
      </c>
      <c r="N999" t="s">
        <v>50</v>
      </c>
      <c r="O999">
        <f t="shared" si="30"/>
        <v>33150</v>
      </c>
      <c r="P999" s="13">
        <f t="shared" si="31"/>
        <v>1863810</v>
      </c>
      <c r="Q999" s="13">
        <f>SUMIFS(M:M,E:E,Online_eCommerce[[#This Row],[Status]])</f>
        <v>21233992</v>
      </c>
      <c r="R999" s="13">
        <f>SUMIFS(L:L,H:H,Online_eCommerce[[#This Row],[Brand]])</f>
        <v>14431000</v>
      </c>
      <c r="S999" s="13">
        <f>SUMIF(H:H,Online_eCommerce[[#This Row],[Brand]],M:M)</f>
        <v>18760300</v>
      </c>
      <c r="T999" s="13">
        <f>SUMIF(N:N,Online_eCommerce[[#This Row],[Assigned Supervisor]],L:L)</f>
        <v>12100590</v>
      </c>
    </row>
    <row r="1000" spans="1:20" hidden="1" x14ac:dyDescent="0.3">
      <c r="A1000" t="s">
        <v>1524</v>
      </c>
      <c r="B1000" t="s">
        <v>235</v>
      </c>
      <c r="C1000" t="s">
        <v>181</v>
      </c>
      <c r="D1000" t="s">
        <v>1504</v>
      </c>
      <c r="E1000" t="s">
        <v>18</v>
      </c>
      <c r="F1000" t="s">
        <v>32</v>
      </c>
      <c r="G1000" t="s">
        <v>33</v>
      </c>
      <c r="H1000" t="s">
        <v>34</v>
      </c>
      <c r="I1000">
        <v>7000</v>
      </c>
      <c r="J1000">
        <v>9100</v>
      </c>
      <c r="K1000">
        <v>4</v>
      </c>
      <c r="L1000">
        <v>28000</v>
      </c>
      <c r="M1000">
        <v>36400</v>
      </c>
      <c r="N1000" t="s">
        <v>56</v>
      </c>
      <c r="O1000">
        <f t="shared" si="30"/>
        <v>18200</v>
      </c>
      <c r="P1000" s="13">
        <f t="shared" si="31"/>
        <v>2577458</v>
      </c>
      <c r="Q1000" s="13">
        <f>SUMIFS(M:M,E:E,Online_eCommerce[[#This Row],[Status]])</f>
        <v>28340455</v>
      </c>
      <c r="R1000" s="13">
        <f>SUMIFS(L:L,H:H,Online_eCommerce[[#This Row],[Brand]])</f>
        <v>10087000</v>
      </c>
      <c r="S1000" s="13">
        <f>SUMIF(H:H,Online_eCommerce[[#This Row],[Brand]],M:M)</f>
        <v>13113100</v>
      </c>
      <c r="T1000" s="13">
        <f>SUMIF(N:N,Online_eCommerce[[#This Row],[Assigned Supervisor]],L:L)</f>
        <v>11733610</v>
      </c>
    </row>
    <row r="1001" spans="1:20" hidden="1" x14ac:dyDescent="0.3">
      <c r="A1001" t="s">
        <v>1525</v>
      </c>
      <c r="B1001" t="s">
        <v>235</v>
      </c>
      <c r="C1001" t="s">
        <v>185</v>
      </c>
      <c r="D1001" t="s">
        <v>1504</v>
      </c>
      <c r="E1001" t="s">
        <v>161</v>
      </c>
      <c r="F1001" t="s">
        <v>1526</v>
      </c>
      <c r="G1001" t="s">
        <v>256</v>
      </c>
      <c r="H1001" t="s">
        <v>41</v>
      </c>
      <c r="I1001">
        <v>1680</v>
      </c>
      <c r="J1001">
        <v>2184</v>
      </c>
      <c r="K1001">
        <v>3</v>
      </c>
      <c r="L1001">
        <v>5040</v>
      </c>
      <c r="M1001">
        <v>6552</v>
      </c>
      <c r="N1001" t="s">
        <v>22</v>
      </c>
      <c r="O1001">
        <f t="shared" si="30"/>
        <v>9100</v>
      </c>
      <c r="P1001" s="13">
        <f t="shared" si="31"/>
        <v>2091596</v>
      </c>
      <c r="Q1001" s="13">
        <f>SUMIFS(M:M,E:E,Online_eCommerce[[#This Row],[Status]])</f>
        <v>21103186</v>
      </c>
      <c r="R1001" s="13">
        <f>SUMIFS(L:L,H:H,Online_eCommerce[[#This Row],[Brand]])</f>
        <v>4260400</v>
      </c>
      <c r="S1001" s="13">
        <f>SUMIF(H:H,Online_eCommerce[[#This Row],[Brand]],M:M)</f>
        <v>5538520</v>
      </c>
      <c r="T1001" s="13">
        <f>SUMIF(N:N,Online_eCommerce[[#This Row],[Assigned Supervisor]],L:L)</f>
        <v>13693220</v>
      </c>
    </row>
    <row r="1002" spans="1:20" x14ac:dyDescent="0.3">
      <c r="A1002" t="s">
        <v>1527</v>
      </c>
      <c r="B1002" t="s">
        <v>235</v>
      </c>
      <c r="C1002" t="s">
        <v>189</v>
      </c>
      <c r="D1002" t="s">
        <v>1504</v>
      </c>
      <c r="E1002" t="s">
        <v>46</v>
      </c>
      <c r="F1002" t="s">
        <v>101</v>
      </c>
      <c r="G1002" t="s">
        <v>259</v>
      </c>
      <c r="H1002" t="s">
        <v>102</v>
      </c>
      <c r="I1002">
        <v>6540</v>
      </c>
      <c r="J1002">
        <v>8502</v>
      </c>
      <c r="K1002">
        <v>2</v>
      </c>
      <c r="L1002">
        <v>13080</v>
      </c>
      <c r="M1002">
        <v>17004</v>
      </c>
      <c r="N1002" t="s">
        <v>28</v>
      </c>
      <c r="O1002">
        <f t="shared" si="30"/>
        <v>11700</v>
      </c>
      <c r="P1002" s="13">
        <f t="shared" si="31"/>
        <v>2740777</v>
      </c>
      <c r="Q1002" s="13">
        <f>SUMIFS(M:M,E:E,Online_eCommerce[[#This Row],[Status]])</f>
        <v>28620410</v>
      </c>
      <c r="R1002" s="13">
        <f>SUMIFS(L:L,H:H,Online_eCommerce[[#This Row],[Brand]])</f>
        <v>2465580</v>
      </c>
      <c r="S1002" s="13">
        <f>SUMIF(H:H,Online_eCommerce[[#This Row],[Brand]],M:M)</f>
        <v>3205254</v>
      </c>
      <c r="T1002" s="13">
        <f>SUMIF(N:N,Online_eCommerce[[#This Row],[Assigned Supervisor]],L:L)</f>
        <v>12220830</v>
      </c>
    </row>
    <row r="1003" spans="1:20" hidden="1" x14ac:dyDescent="0.3">
      <c r="A1003" t="s">
        <v>1528</v>
      </c>
      <c r="B1003" t="s">
        <v>235</v>
      </c>
      <c r="C1003" t="s">
        <v>193</v>
      </c>
      <c r="D1003" t="s">
        <v>1504</v>
      </c>
      <c r="E1003" t="s">
        <v>96</v>
      </c>
      <c r="F1003" t="s">
        <v>107</v>
      </c>
      <c r="G1003" t="s">
        <v>54</v>
      </c>
      <c r="H1003" t="s">
        <v>55</v>
      </c>
      <c r="I1003">
        <v>2680</v>
      </c>
      <c r="J1003">
        <v>3484</v>
      </c>
      <c r="K1003">
        <v>4</v>
      </c>
      <c r="L1003">
        <v>10720</v>
      </c>
      <c r="M1003">
        <v>13936</v>
      </c>
      <c r="N1003" t="s">
        <v>35</v>
      </c>
      <c r="O1003">
        <f t="shared" si="30"/>
        <v>2990</v>
      </c>
      <c r="P1003" s="13">
        <f t="shared" si="31"/>
        <v>2074774</v>
      </c>
      <c r="Q1003" s="13">
        <f>SUMIFS(M:M,E:E,Online_eCommerce[[#This Row],[Status]])</f>
        <v>21233992</v>
      </c>
      <c r="R1003" s="13">
        <f>SUMIFS(L:L,H:H,Online_eCommerce[[#This Row],[Brand]])</f>
        <v>2267380</v>
      </c>
      <c r="S1003" s="13">
        <f>SUMIF(H:H,Online_eCommerce[[#This Row],[Brand]],M:M)</f>
        <v>2947594</v>
      </c>
      <c r="T1003" s="13">
        <f>SUMIF(N:N,Online_eCommerce[[#This Row],[Assigned Supervisor]],L:L)</f>
        <v>14373360</v>
      </c>
    </row>
    <row r="1004" spans="1:20" hidden="1" x14ac:dyDescent="0.3">
      <c r="A1004" t="s">
        <v>1529</v>
      </c>
      <c r="B1004" t="s">
        <v>235</v>
      </c>
      <c r="C1004" t="s">
        <v>197</v>
      </c>
      <c r="D1004" t="s">
        <v>1504</v>
      </c>
      <c r="E1004" t="s">
        <v>18</v>
      </c>
      <c r="F1004" t="s">
        <v>112</v>
      </c>
      <c r="G1004" t="s">
        <v>71</v>
      </c>
      <c r="H1004" t="s">
        <v>21</v>
      </c>
      <c r="I1004">
        <v>8250</v>
      </c>
      <c r="J1004">
        <v>10725</v>
      </c>
      <c r="K1004">
        <v>3</v>
      </c>
      <c r="L1004">
        <v>24750</v>
      </c>
      <c r="M1004">
        <v>32175</v>
      </c>
      <c r="N1004" t="s">
        <v>42</v>
      </c>
      <c r="O1004">
        <f t="shared" si="30"/>
        <v>9750</v>
      </c>
      <c r="P1004" s="13">
        <f t="shared" si="31"/>
        <v>2829840</v>
      </c>
      <c r="Q1004" s="13">
        <f>SUMIFS(M:M,E:E,Online_eCommerce[[#This Row],[Status]])</f>
        <v>28340455</v>
      </c>
      <c r="R1004" s="13">
        <f>SUMIFS(L:L,H:H,Online_eCommerce[[#This Row],[Brand]])</f>
        <v>12435650</v>
      </c>
      <c r="S1004" s="13">
        <f>SUMIF(H:H,Online_eCommerce[[#This Row],[Brand]],M:M)</f>
        <v>16166345</v>
      </c>
      <c r="T1004" s="13">
        <f>SUMIF(N:N,Online_eCommerce[[#This Row],[Assigned Supervisor]],L:L)</f>
        <v>12261500</v>
      </c>
    </row>
    <row r="1005" spans="1:20" hidden="1" x14ac:dyDescent="0.3">
      <c r="A1005" t="s">
        <v>1530</v>
      </c>
      <c r="B1005" t="s">
        <v>235</v>
      </c>
      <c r="C1005" t="s">
        <v>199</v>
      </c>
      <c r="D1005" t="s">
        <v>1504</v>
      </c>
      <c r="E1005" t="s">
        <v>161</v>
      </c>
      <c r="F1005" t="s">
        <v>1141</v>
      </c>
      <c r="G1005" t="s">
        <v>40</v>
      </c>
      <c r="H1005" t="s">
        <v>21</v>
      </c>
      <c r="I1005">
        <v>2650</v>
      </c>
      <c r="J1005">
        <v>3445</v>
      </c>
      <c r="K1005">
        <v>1</v>
      </c>
      <c r="L1005">
        <v>2650</v>
      </c>
      <c r="M1005">
        <v>3445</v>
      </c>
      <c r="N1005" t="s">
        <v>50</v>
      </c>
      <c r="O1005">
        <f t="shared" si="30"/>
        <v>25545</v>
      </c>
      <c r="P1005" s="13">
        <f t="shared" si="31"/>
        <v>1947361</v>
      </c>
      <c r="Q1005" s="13">
        <f>SUMIFS(M:M,E:E,Online_eCommerce[[#This Row],[Status]])</f>
        <v>21103186</v>
      </c>
      <c r="R1005" s="13">
        <f>SUMIFS(L:L,H:H,Online_eCommerce[[#This Row],[Brand]])</f>
        <v>12435650</v>
      </c>
      <c r="S1005" s="13">
        <f>SUMIF(H:H,Online_eCommerce[[#This Row],[Brand]],M:M)</f>
        <v>16166345</v>
      </c>
      <c r="T1005" s="13">
        <f>SUMIF(N:N,Online_eCommerce[[#This Row],[Assigned Supervisor]],L:L)</f>
        <v>12100590</v>
      </c>
    </row>
    <row r="1006" spans="1:20" x14ac:dyDescent="0.3">
      <c r="A1006" t="s">
        <v>1531</v>
      </c>
      <c r="B1006" t="s">
        <v>235</v>
      </c>
      <c r="C1006" t="s">
        <v>203</v>
      </c>
      <c r="D1006" t="s">
        <v>1504</v>
      </c>
      <c r="E1006" t="s">
        <v>46</v>
      </c>
      <c r="F1006" t="s">
        <v>121</v>
      </c>
      <c r="G1006" t="s">
        <v>71</v>
      </c>
      <c r="H1006" t="s">
        <v>122</v>
      </c>
      <c r="I1006">
        <v>12550</v>
      </c>
      <c r="J1006">
        <v>16315</v>
      </c>
      <c r="K1006">
        <v>1</v>
      </c>
      <c r="L1006">
        <v>12550</v>
      </c>
      <c r="M1006">
        <v>16315</v>
      </c>
      <c r="N1006" t="s">
        <v>56</v>
      </c>
      <c r="O1006">
        <f t="shared" si="30"/>
        <v>9750</v>
      </c>
      <c r="P1006" s="13">
        <f t="shared" si="31"/>
        <v>2559635</v>
      </c>
      <c r="Q1006" s="13">
        <f>SUMIFS(M:M,E:E,Online_eCommerce[[#This Row],[Status]])</f>
        <v>28620410</v>
      </c>
      <c r="R1006" s="13">
        <f>SUMIFS(L:L,H:H,Online_eCommerce[[#This Row],[Brand]])</f>
        <v>5045100</v>
      </c>
      <c r="S1006" s="13">
        <f>SUMIF(H:H,Online_eCommerce[[#This Row],[Brand]],M:M)</f>
        <v>6558630</v>
      </c>
      <c r="T1006" s="13">
        <f>SUMIF(N:N,Online_eCommerce[[#This Row],[Assigned Supervisor]],L:L)</f>
        <v>11733610</v>
      </c>
    </row>
    <row r="1007" spans="1:20" hidden="1" x14ac:dyDescent="0.3">
      <c r="A1007" t="s">
        <v>1532</v>
      </c>
      <c r="B1007" t="s">
        <v>235</v>
      </c>
      <c r="C1007" t="s">
        <v>205</v>
      </c>
      <c r="D1007" t="s">
        <v>1504</v>
      </c>
      <c r="E1007" t="s">
        <v>96</v>
      </c>
      <c r="F1007" t="s">
        <v>126</v>
      </c>
      <c r="G1007" t="s">
        <v>26</v>
      </c>
      <c r="H1007" t="s">
        <v>27</v>
      </c>
      <c r="I1007">
        <v>14500</v>
      </c>
      <c r="J1007">
        <v>18850</v>
      </c>
      <c r="K1007">
        <v>1</v>
      </c>
      <c r="L1007">
        <v>14500</v>
      </c>
      <c r="M1007">
        <v>18850</v>
      </c>
      <c r="N1007" t="s">
        <v>22</v>
      </c>
      <c r="O1007">
        <f t="shared" si="30"/>
        <v>33150</v>
      </c>
      <c r="P1007" s="13">
        <f t="shared" si="31"/>
        <v>1983254</v>
      </c>
      <c r="Q1007" s="13">
        <f>SUMIFS(M:M,E:E,Online_eCommerce[[#This Row],[Status]])</f>
        <v>21233992</v>
      </c>
      <c r="R1007" s="13">
        <f>SUMIFS(L:L,H:H,Online_eCommerce[[#This Row],[Brand]])</f>
        <v>14431000</v>
      </c>
      <c r="S1007" s="13">
        <f>SUMIF(H:H,Online_eCommerce[[#This Row],[Brand]],M:M)</f>
        <v>18760300</v>
      </c>
      <c r="T1007" s="13">
        <f>SUMIF(N:N,Online_eCommerce[[#This Row],[Assigned Supervisor]],L:L)</f>
        <v>13693220</v>
      </c>
    </row>
    <row r="1008" spans="1:20" hidden="1" x14ac:dyDescent="0.3">
      <c r="A1008" t="s">
        <v>1533</v>
      </c>
      <c r="B1008" t="s">
        <v>235</v>
      </c>
      <c r="C1008" t="s">
        <v>208</v>
      </c>
      <c r="D1008" t="s">
        <v>1504</v>
      </c>
      <c r="E1008" t="s">
        <v>18</v>
      </c>
      <c r="F1008" t="s">
        <v>129</v>
      </c>
      <c r="G1008" t="s">
        <v>60</v>
      </c>
      <c r="H1008" t="s">
        <v>61</v>
      </c>
      <c r="I1008">
        <v>800</v>
      </c>
      <c r="J1008">
        <v>1040</v>
      </c>
      <c r="K1008">
        <v>2</v>
      </c>
      <c r="L1008">
        <v>1600</v>
      </c>
      <c r="M1008">
        <v>2080</v>
      </c>
      <c r="N1008" t="s">
        <v>28</v>
      </c>
      <c r="O1008">
        <f t="shared" si="30"/>
        <v>3315</v>
      </c>
      <c r="P1008" s="13">
        <f t="shared" si="31"/>
        <v>2746575</v>
      </c>
      <c r="Q1008" s="13">
        <f>SUMIFS(M:M,E:E,Online_eCommerce[[#This Row],[Status]])</f>
        <v>28340455</v>
      </c>
      <c r="R1008" s="13">
        <f>SUMIFS(L:L,H:H,Online_eCommerce[[#This Row],[Brand]])</f>
        <v>10950150</v>
      </c>
      <c r="S1008" s="13">
        <f>SUMIF(H:H,Online_eCommerce[[#This Row],[Brand]],M:M)</f>
        <v>14235195</v>
      </c>
      <c r="T1008" s="13">
        <f>SUMIF(N:N,Online_eCommerce[[#This Row],[Assigned Supervisor]],L:L)</f>
        <v>12220830</v>
      </c>
    </row>
    <row r="1009" spans="1:20" hidden="1" x14ac:dyDescent="0.3">
      <c r="A1009" t="s">
        <v>1534</v>
      </c>
      <c r="B1009" t="s">
        <v>235</v>
      </c>
      <c r="C1009" t="s">
        <v>211</v>
      </c>
      <c r="D1009" t="s">
        <v>1504</v>
      </c>
      <c r="E1009" t="s">
        <v>161</v>
      </c>
      <c r="F1009" t="s">
        <v>133</v>
      </c>
      <c r="G1009" t="s">
        <v>66</v>
      </c>
      <c r="H1009" t="s">
        <v>21</v>
      </c>
      <c r="I1009">
        <v>600</v>
      </c>
      <c r="J1009">
        <v>780</v>
      </c>
      <c r="K1009">
        <v>2</v>
      </c>
      <c r="L1009">
        <v>1200</v>
      </c>
      <c r="M1009">
        <v>1560</v>
      </c>
      <c r="N1009" t="s">
        <v>35</v>
      </c>
      <c r="O1009">
        <f t="shared" si="30"/>
        <v>1690</v>
      </c>
      <c r="P1009" s="13">
        <f t="shared" si="31"/>
        <v>1809847</v>
      </c>
      <c r="Q1009" s="13">
        <f>SUMIFS(M:M,E:E,Online_eCommerce[[#This Row],[Status]])</f>
        <v>21103186</v>
      </c>
      <c r="R1009" s="13">
        <f>SUMIFS(L:L,H:H,Online_eCommerce[[#This Row],[Brand]])</f>
        <v>12435650</v>
      </c>
      <c r="S1009" s="13">
        <f>SUMIF(H:H,Online_eCommerce[[#This Row],[Brand]],M:M)</f>
        <v>16166345</v>
      </c>
      <c r="T1009" s="13">
        <f>SUMIF(N:N,Online_eCommerce[[#This Row],[Assigned Supervisor]],L:L)</f>
        <v>14373360</v>
      </c>
    </row>
    <row r="1010" spans="1:20" x14ac:dyDescent="0.3">
      <c r="A1010" t="s">
        <v>1535</v>
      </c>
      <c r="B1010" t="s">
        <v>235</v>
      </c>
      <c r="C1010" t="s">
        <v>16</v>
      </c>
      <c r="D1010" t="s">
        <v>1504</v>
      </c>
      <c r="E1010" t="s">
        <v>46</v>
      </c>
      <c r="F1010" t="s">
        <v>137</v>
      </c>
      <c r="G1010" t="s">
        <v>71</v>
      </c>
      <c r="H1010" t="s">
        <v>61</v>
      </c>
      <c r="I1010">
        <v>10500</v>
      </c>
      <c r="J1010">
        <v>13650</v>
      </c>
      <c r="K1010">
        <v>4</v>
      </c>
      <c r="L1010">
        <v>42000</v>
      </c>
      <c r="M1010">
        <v>54600</v>
      </c>
      <c r="N1010" t="s">
        <v>42</v>
      </c>
      <c r="O1010">
        <f t="shared" si="30"/>
        <v>9750</v>
      </c>
      <c r="P1010" s="13">
        <f t="shared" si="31"/>
        <v>2751814</v>
      </c>
      <c r="Q1010" s="13">
        <f>SUMIFS(M:M,E:E,Online_eCommerce[[#This Row],[Status]])</f>
        <v>28620410</v>
      </c>
      <c r="R1010" s="13">
        <f>SUMIFS(L:L,H:H,Online_eCommerce[[#This Row],[Brand]])</f>
        <v>10950150</v>
      </c>
      <c r="S1010" s="13">
        <f>SUMIF(H:H,Online_eCommerce[[#This Row],[Brand]],M:M)</f>
        <v>14235195</v>
      </c>
      <c r="T1010" s="13">
        <f>SUMIF(N:N,Online_eCommerce[[#This Row],[Assigned Supervisor]],L:L)</f>
        <v>12261500</v>
      </c>
    </row>
    <row r="1011" spans="1:20" hidden="1" x14ac:dyDescent="0.3">
      <c r="A1011" t="s">
        <v>1536</v>
      </c>
      <c r="B1011" t="s">
        <v>235</v>
      </c>
      <c r="C1011" t="s">
        <v>24</v>
      </c>
      <c r="D1011" t="s">
        <v>1504</v>
      </c>
      <c r="E1011" t="s">
        <v>96</v>
      </c>
      <c r="F1011" t="s">
        <v>1507</v>
      </c>
      <c r="G1011" t="s">
        <v>77</v>
      </c>
      <c r="H1011" t="s">
        <v>142</v>
      </c>
      <c r="I1011">
        <v>6500</v>
      </c>
      <c r="J1011">
        <v>8450</v>
      </c>
      <c r="K1011">
        <v>2</v>
      </c>
      <c r="L1011">
        <v>13000</v>
      </c>
      <c r="M1011">
        <v>16900</v>
      </c>
      <c r="N1011" t="s">
        <v>50</v>
      </c>
      <c r="O1011">
        <f t="shared" si="30"/>
        <v>39000</v>
      </c>
      <c r="P1011" s="13">
        <f t="shared" si="31"/>
        <v>2009540</v>
      </c>
      <c r="Q1011" s="13">
        <f>SUMIFS(M:M,E:E,Online_eCommerce[[#This Row],[Status]])</f>
        <v>21233992</v>
      </c>
      <c r="R1011" s="13">
        <f>SUMIFS(L:L,H:H,Online_eCommerce[[#This Row],[Brand]])</f>
        <v>6192500</v>
      </c>
      <c r="S1011" s="13">
        <f>SUMIF(H:H,Online_eCommerce[[#This Row],[Brand]],M:M)</f>
        <v>8050250</v>
      </c>
      <c r="T1011" s="13">
        <f>SUMIF(N:N,Online_eCommerce[[#This Row],[Assigned Supervisor]],L:L)</f>
        <v>12100590</v>
      </c>
    </row>
    <row r="1012" spans="1:20" hidden="1" x14ac:dyDescent="0.3">
      <c r="A1012" t="s">
        <v>1537</v>
      </c>
      <c r="B1012" t="s">
        <v>235</v>
      </c>
      <c r="C1012" t="s">
        <v>31</v>
      </c>
      <c r="D1012" t="s">
        <v>1504</v>
      </c>
      <c r="E1012" t="s">
        <v>18</v>
      </c>
      <c r="F1012" t="s">
        <v>1538</v>
      </c>
      <c r="G1012" t="s">
        <v>20</v>
      </c>
      <c r="H1012" t="s">
        <v>21</v>
      </c>
      <c r="I1012">
        <v>4500</v>
      </c>
      <c r="J1012">
        <v>5850</v>
      </c>
      <c r="K1012">
        <v>3</v>
      </c>
      <c r="L1012">
        <v>13500</v>
      </c>
      <c r="M1012">
        <v>17550</v>
      </c>
      <c r="N1012" t="s">
        <v>56</v>
      </c>
      <c r="O1012">
        <f t="shared" si="30"/>
        <v>8450</v>
      </c>
      <c r="P1012" s="13">
        <f t="shared" si="31"/>
        <v>2865746</v>
      </c>
      <c r="Q1012" s="13">
        <f>SUMIFS(M:M,E:E,Online_eCommerce[[#This Row],[Status]])</f>
        <v>28340455</v>
      </c>
      <c r="R1012" s="13">
        <f>SUMIFS(L:L,H:H,Online_eCommerce[[#This Row],[Brand]])</f>
        <v>12435650</v>
      </c>
      <c r="S1012" s="13">
        <f>SUMIF(H:H,Online_eCommerce[[#This Row],[Brand]],M:M)</f>
        <v>16166345</v>
      </c>
      <c r="T1012" s="13">
        <f>SUMIF(N:N,Online_eCommerce[[#This Row],[Assigned Supervisor]],L:L)</f>
        <v>11733610</v>
      </c>
    </row>
    <row r="1013" spans="1:20" hidden="1" x14ac:dyDescent="0.3">
      <c r="A1013" t="s">
        <v>1539</v>
      </c>
      <c r="B1013" t="s">
        <v>235</v>
      </c>
      <c r="C1013" t="s">
        <v>38</v>
      </c>
      <c r="D1013" t="s">
        <v>1504</v>
      </c>
      <c r="E1013" t="s">
        <v>161</v>
      </c>
      <c r="F1013" t="s">
        <v>152</v>
      </c>
      <c r="G1013" t="s">
        <v>26</v>
      </c>
      <c r="H1013" t="s">
        <v>27</v>
      </c>
      <c r="I1013">
        <v>8500</v>
      </c>
      <c r="J1013">
        <v>11050</v>
      </c>
      <c r="K1013">
        <v>3</v>
      </c>
      <c r="L1013">
        <v>25500</v>
      </c>
      <c r="M1013">
        <v>33150</v>
      </c>
      <c r="N1013" t="s">
        <v>22</v>
      </c>
      <c r="O1013">
        <f t="shared" si="30"/>
        <v>33150</v>
      </c>
      <c r="P1013" s="13">
        <f t="shared" si="31"/>
        <v>1933997</v>
      </c>
      <c r="Q1013" s="13">
        <f>SUMIFS(M:M,E:E,Online_eCommerce[[#This Row],[Status]])</f>
        <v>21103186</v>
      </c>
      <c r="R1013" s="13">
        <f>SUMIFS(L:L,H:H,Online_eCommerce[[#This Row],[Brand]])</f>
        <v>14431000</v>
      </c>
      <c r="S1013" s="13">
        <f>SUMIF(H:H,Online_eCommerce[[#This Row],[Brand]],M:M)</f>
        <v>18760300</v>
      </c>
      <c r="T1013" s="13">
        <f>SUMIF(N:N,Online_eCommerce[[#This Row],[Assigned Supervisor]],L:L)</f>
        <v>13693220</v>
      </c>
    </row>
    <row r="1014" spans="1:20" x14ac:dyDescent="0.3">
      <c r="A1014" t="s">
        <v>1540</v>
      </c>
      <c r="B1014" t="s">
        <v>235</v>
      </c>
      <c r="C1014" t="s">
        <v>45</v>
      </c>
      <c r="D1014" t="s">
        <v>1504</v>
      </c>
      <c r="E1014" t="s">
        <v>46</v>
      </c>
      <c r="F1014" t="s">
        <v>157</v>
      </c>
      <c r="G1014" t="s">
        <v>33</v>
      </c>
      <c r="H1014" t="s">
        <v>34</v>
      </c>
      <c r="I1014">
        <v>12500</v>
      </c>
      <c r="J1014">
        <v>16250</v>
      </c>
      <c r="K1014">
        <v>2</v>
      </c>
      <c r="L1014">
        <v>25000</v>
      </c>
      <c r="M1014">
        <v>32500</v>
      </c>
      <c r="N1014" t="s">
        <v>28</v>
      </c>
      <c r="O1014">
        <f t="shared" si="30"/>
        <v>18200</v>
      </c>
      <c r="P1014" s="13">
        <f t="shared" si="31"/>
        <v>2842554</v>
      </c>
      <c r="Q1014" s="13">
        <f>SUMIFS(M:M,E:E,Online_eCommerce[[#This Row],[Status]])</f>
        <v>28620410</v>
      </c>
      <c r="R1014" s="13">
        <f>SUMIFS(L:L,H:H,Online_eCommerce[[#This Row],[Brand]])</f>
        <v>10087000</v>
      </c>
      <c r="S1014" s="13">
        <f>SUMIF(H:H,Online_eCommerce[[#This Row],[Brand]],M:M)</f>
        <v>13113100</v>
      </c>
      <c r="T1014" s="13">
        <f>SUMIF(N:N,Online_eCommerce[[#This Row],[Assigned Supervisor]],L:L)</f>
        <v>12220830</v>
      </c>
    </row>
    <row r="1015" spans="1:20" hidden="1" x14ac:dyDescent="0.3">
      <c r="A1015" t="s">
        <v>1541</v>
      </c>
      <c r="B1015" t="s">
        <v>235</v>
      </c>
      <c r="C1015" t="s">
        <v>52</v>
      </c>
      <c r="D1015" t="s">
        <v>1504</v>
      </c>
      <c r="E1015" t="s">
        <v>96</v>
      </c>
      <c r="F1015" t="s">
        <v>1190</v>
      </c>
      <c r="G1015" t="s">
        <v>40</v>
      </c>
      <c r="H1015" t="s">
        <v>41</v>
      </c>
      <c r="I1015">
        <v>3500</v>
      </c>
      <c r="J1015">
        <v>4550</v>
      </c>
      <c r="K1015">
        <v>4</v>
      </c>
      <c r="L1015">
        <v>14000</v>
      </c>
      <c r="M1015">
        <v>18200</v>
      </c>
      <c r="N1015" t="s">
        <v>35</v>
      </c>
      <c r="O1015">
        <f t="shared" si="30"/>
        <v>25545</v>
      </c>
      <c r="P1015" s="13">
        <f t="shared" si="31"/>
        <v>1955044</v>
      </c>
      <c r="Q1015" s="13">
        <f>SUMIFS(M:M,E:E,Online_eCommerce[[#This Row],[Status]])</f>
        <v>21233992</v>
      </c>
      <c r="R1015" s="13">
        <f>SUMIFS(L:L,H:H,Online_eCommerce[[#This Row],[Brand]])</f>
        <v>4260400</v>
      </c>
      <c r="S1015" s="13">
        <f>SUMIF(H:H,Online_eCommerce[[#This Row],[Brand]],M:M)</f>
        <v>5538520</v>
      </c>
      <c r="T1015" s="13">
        <f>SUMIF(N:N,Online_eCommerce[[#This Row],[Assigned Supervisor]],L:L)</f>
        <v>14373360</v>
      </c>
    </row>
    <row r="1016" spans="1:20" hidden="1" x14ac:dyDescent="0.3">
      <c r="A1016" t="s">
        <v>1542</v>
      </c>
      <c r="B1016" t="s">
        <v>235</v>
      </c>
      <c r="C1016" t="s">
        <v>58</v>
      </c>
      <c r="D1016" t="s">
        <v>1543</v>
      </c>
      <c r="E1016" t="s">
        <v>18</v>
      </c>
      <c r="F1016" t="s">
        <v>166</v>
      </c>
      <c r="G1016" t="s">
        <v>334</v>
      </c>
      <c r="H1016" t="s">
        <v>49</v>
      </c>
      <c r="I1016">
        <v>4500</v>
      </c>
      <c r="J1016">
        <v>5850</v>
      </c>
      <c r="K1016">
        <v>3</v>
      </c>
      <c r="L1016">
        <v>13500</v>
      </c>
      <c r="M1016">
        <v>17550</v>
      </c>
      <c r="N1016" t="s">
        <v>42</v>
      </c>
      <c r="O1016">
        <f t="shared" si="30"/>
        <v>39780</v>
      </c>
      <c r="P1016" s="13">
        <f t="shared" si="31"/>
        <v>2629211</v>
      </c>
      <c r="Q1016" s="13">
        <f>SUMIFS(M:M,E:E,Online_eCommerce[[#This Row],[Status]])</f>
        <v>28340455</v>
      </c>
      <c r="R1016" s="13">
        <f>SUMIFS(L:L,H:H,Online_eCommerce[[#This Row],[Brand]])</f>
        <v>4528350</v>
      </c>
      <c r="S1016" s="13">
        <f>SUMIF(H:H,Online_eCommerce[[#This Row],[Brand]],M:M)</f>
        <v>5886855</v>
      </c>
      <c r="T1016" s="13">
        <f>SUMIF(N:N,Online_eCommerce[[#This Row],[Assigned Supervisor]],L:L)</f>
        <v>12261500</v>
      </c>
    </row>
    <row r="1017" spans="1:20" hidden="1" x14ac:dyDescent="0.3">
      <c r="A1017" t="s">
        <v>1544</v>
      </c>
      <c r="B1017" t="s">
        <v>235</v>
      </c>
      <c r="C1017" t="s">
        <v>63</v>
      </c>
      <c r="D1017" t="s">
        <v>1543</v>
      </c>
      <c r="E1017" t="s">
        <v>161</v>
      </c>
      <c r="F1017" t="s">
        <v>1545</v>
      </c>
      <c r="G1017" t="s">
        <v>54</v>
      </c>
      <c r="H1017" t="s">
        <v>55</v>
      </c>
      <c r="I1017">
        <v>2100</v>
      </c>
      <c r="J1017">
        <v>2730</v>
      </c>
      <c r="K1017">
        <v>1</v>
      </c>
      <c r="L1017">
        <v>2100</v>
      </c>
      <c r="M1017">
        <v>2730</v>
      </c>
      <c r="N1017" t="s">
        <v>50</v>
      </c>
      <c r="O1017">
        <f t="shared" si="30"/>
        <v>2990</v>
      </c>
      <c r="P1017" s="13">
        <f t="shared" si="31"/>
        <v>2016131</v>
      </c>
      <c r="Q1017" s="13">
        <f>SUMIFS(M:M,E:E,Online_eCommerce[[#This Row],[Status]])</f>
        <v>21103186</v>
      </c>
      <c r="R1017" s="13">
        <f>SUMIFS(L:L,H:H,Online_eCommerce[[#This Row],[Brand]])</f>
        <v>2267380</v>
      </c>
      <c r="S1017" s="13">
        <f>SUMIF(H:H,Online_eCommerce[[#This Row],[Brand]],M:M)</f>
        <v>2947594</v>
      </c>
      <c r="T1017" s="13">
        <f>SUMIF(N:N,Online_eCommerce[[#This Row],[Assigned Supervisor]],L:L)</f>
        <v>12100590</v>
      </c>
    </row>
    <row r="1018" spans="1:20" x14ac:dyDescent="0.3">
      <c r="A1018" t="s">
        <v>1546</v>
      </c>
      <c r="B1018" t="s">
        <v>235</v>
      </c>
      <c r="C1018" t="s">
        <v>68</v>
      </c>
      <c r="D1018" t="s">
        <v>1543</v>
      </c>
      <c r="E1018" t="s">
        <v>46</v>
      </c>
      <c r="F1018" t="s">
        <v>174</v>
      </c>
      <c r="G1018" t="s">
        <v>60</v>
      </c>
      <c r="H1018" t="s">
        <v>61</v>
      </c>
      <c r="I1018">
        <v>1150</v>
      </c>
      <c r="J1018">
        <v>1495</v>
      </c>
      <c r="K1018">
        <v>4</v>
      </c>
      <c r="L1018">
        <v>4600</v>
      </c>
      <c r="M1018">
        <v>5980</v>
      </c>
      <c r="N1018" t="s">
        <v>56</v>
      </c>
      <c r="O1018">
        <f t="shared" si="30"/>
        <v>3315</v>
      </c>
      <c r="P1018" s="13">
        <f t="shared" si="31"/>
        <v>2974621</v>
      </c>
      <c r="Q1018" s="13">
        <f>SUMIFS(M:M,E:E,Online_eCommerce[[#This Row],[Status]])</f>
        <v>28620410</v>
      </c>
      <c r="R1018" s="13">
        <f>SUMIFS(L:L,H:H,Online_eCommerce[[#This Row],[Brand]])</f>
        <v>10950150</v>
      </c>
      <c r="S1018" s="13">
        <f>SUMIF(H:H,Online_eCommerce[[#This Row],[Brand]],M:M)</f>
        <v>14235195</v>
      </c>
      <c r="T1018" s="13">
        <f>SUMIF(N:N,Online_eCommerce[[#This Row],[Assigned Supervisor]],L:L)</f>
        <v>11733610</v>
      </c>
    </row>
    <row r="1019" spans="1:20" hidden="1" x14ac:dyDescent="0.3">
      <c r="A1019" t="s">
        <v>1547</v>
      </c>
      <c r="B1019" t="s">
        <v>235</v>
      </c>
      <c r="C1019" t="s">
        <v>74</v>
      </c>
      <c r="D1019" t="s">
        <v>1543</v>
      </c>
      <c r="E1019" t="s">
        <v>96</v>
      </c>
      <c r="F1019" t="s">
        <v>179</v>
      </c>
      <c r="G1019" t="s">
        <v>66</v>
      </c>
      <c r="H1019" t="s">
        <v>21</v>
      </c>
      <c r="I1019">
        <v>350</v>
      </c>
      <c r="J1019">
        <v>455</v>
      </c>
      <c r="K1019">
        <v>4</v>
      </c>
      <c r="L1019">
        <v>1400</v>
      </c>
      <c r="M1019">
        <v>1820</v>
      </c>
      <c r="N1019" t="s">
        <v>22</v>
      </c>
      <c r="O1019">
        <f t="shared" si="30"/>
        <v>1690</v>
      </c>
      <c r="P1019" s="13">
        <f t="shared" si="31"/>
        <v>2144701</v>
      </c>
      <c r="Q1019" s="13">
        <f>SUMIFS(M:M,E:E,Online_eCommerce[[#This Row],[Status]])</f>
        <v>21233992</v>
      </c>
      <c r="R1019" s="13">
        <f>SUMIFS(L:L,H:H,Online_eCommerce[[#This Row],[Brand]])</f>
        <v>12435650</v>
      </c>
      <c r="S1019" s="13">
        <f>SUMIF(H:H,Online_eCommerce[[#This Row],[Brand]],M:M)</f>
        <v>16166345</v>
      </c>
      <c r="T1019" s="13">
        <f>SUMIF(N:N,Online_eCommerce[[#This Row],[Assigned Supervisor]],L:L)</f>
        <v>13693220</v>
      </c>
    </row>
    <row r="1020" spans="1:20" hidden="1" x14ac:dyDescent="0.3">
      <c r="A1020" t="s">
        <v>1548</v>
      </c>
      <c r="B1020" t="s">
        <v>235</v>
      </c>
      <c r="C1020" t="s">
        <v>81</v>
      </c>
      <c r="D1020" t="s">
        <v>1543</v>
      </c>
      <c r="E1020" t="s">
        <v>18</v>
      </c>
      <c r="F1020" t="s">
        <v>183</v>
      </c>
      <c r="G1020" t="s">
        <v>71</v>
      </c>
      <c r="H1020" t="s">
        <v>61</v>
      </c>
      <c r="I1020">
        <v>9500</v>
      </c>
      <c r="J1020">
        <v>12350</v>
      </c>
      <c r="K1020">
        <v>3</v>
      </c>
      <c r="L1020">
        <v>28500</v>
      </c>
      <c r="M1020">
        <v>37050</v>
      </c>
      <c r="N1020" t="s">
        <v>28</v>
      </c>
      <c r="O1020">
        <f t="shared" si="30"/>
        <v>9750</v>
      </c>
      <c r="P1020" s="13">
        <f t="shared" si="31"/>
        <v>2595632</v>
      </c>
      <c r="Q1020" s="13">
        <f>SUMIFS(M:M,E:E,Online_eCommerce[[#This Row],[Status]])</f>
        <v>28340455</v>
      </c>
      <c r="R1020" s="13">
        <f>SUMIFS(L:L,H:H,Online_eCommerce[[#This Row],[Brand]])</f>
        <v>10950150</v>
      </c>
      <c r="S1020" s="13">
        <f>SUMIF(H:H,Online_eCommerce[[#This Row],[Brand]],M:M)</f>
        <v>14235195</v>
      </c>
      <c r="T1020" s="13">
        <f>SUMIF(N:N,Online_eCommerce[[#This Row],[Assigned Supervisor]],L:L)</f>
        <v>12220830</v>
      </c>
    </row>
    <row r="1021" spans="1:20" hidden="1" x14ac:dyDescent="0.3">
      <c r="A1021" t="s">
        <v>1549</v>
      </c>
      <c r="B1021" t="s">
        <v>235</v>
      </c>
      <c r="C1021" t="s">
        <v>86</v>
      </c>
      <c r="D1021" t="s">
        <v>1543</v>
      </c>
      <c r="E1021" t="s">
        <v>161</v>
      </c>
      <c r="F1021" t="s">
        <v>1550</v>
      </c>
      <c r="G1021" t="s">
        <v>77</v>
      </c>
      <c r="H1021" t="s">
        <v>142</v>
      </c>
      <c r="I1021">
        <v>10000</v>
      </c>
      <c r="J1021">
        <v>13000</v>
      </c>
      <c r="K1021">
        <v>2</v>
      </c>
      <c r="L1021">
        <v>20000</v>
      </c>
      <c r="M1021">
        <v>26000</v>
      </c>
      <c r="N1021" t="s">
        <v>35</v>
      </c>
      <c r="O1021">
        <f t="shared" si="30"/>
        <v>39000</v>
      </c>
      <c r="P1021" s="13">
        <f t="shared" si="31"/>
        <v>1941225</v>
      </c>
      <c r="Q1021" s="13">
        <f>SUMIFS(M:M,E:E,Online_eCommerce[[#This Row],[Status]])</f>
        <v>21103186</v>
      </c>
      <c r="R1021" s="13">
        <f>SUMIFS(L:L,H:H,Online_eCommerce[[#This Row],[Brand]])</f>
        <v>6192500</v>
      </c>
      <c r="S1021" s="13">
        <f>SUMIF(H:H,Online_eCommerce[[#This Row],[Brand]],M:M)</f>
        <v>8050250</v>
      </c>
      <c r="T1021" s="13">
        <f>SUMIF(N:N,Online_eCommerce[[#This Row],[Assigned Supervisor]],L:L)</f>
        <v>14373360</v>
      </c>
    </row>
    <row r="1022" spans="1:20" x14ac:dyDescent="0.3">
      <c r="A1022" t="s">
        <v>1551</v>
      </c>
      <c r="B1022" t="s">
        <v>235</v>
      </c>
      <c r="C1022" t="s">
        <v>91</v>
      </c>
      <c r="D1022" t="s">
        <v>1543</v>
      </c>
      <c r="E1022" t="s">
        <v>46</v>
      </c>
      <c r="F1022" t="s">
        <v>1552</v>
      </c>
      <c r="G1022" t="s">
        <v>20</v>
      </c>
      <c r="H1022" t="s">
        <v>21</v>
      </c>
      <c r="I1022">
        <v>6500</v>
      </c>
      <c r="J1022">
        <v>8450</v>
      </c>
      <c r="K1022">
        <v>4</v>
      </c>
      <c r="L1022">
        <v>26000</v>
      </c>
      <c r="M1022">
        <v>33800</v>
      </c>
      <c r="N1022" t="s">
        <v>42</v>
      </c>
      <c r="O1022">
        <f t="shared" si="30"/>
        <v>8450</v>
      </c>
      <c r="P1022" s="13">
        <f t="shared" si="31"/>
        <v>2731963</v>
      </c>
      <c r="Q1022" s="13">
        <f>SUMIFS(M:M,E:E,Online_eCommerce[[#This Row],[Status]])</f>
        <v>28620410</v>
      </c>
      <c r="R1022" s="13">
        <f>SUMIFS(L:L,H:H,Online_eCommerce[[#This Row],[Brand]])</f>
        <v>12435650</v>
      </c>
      <c r="S1022" s="13">
        <f>SUMIF(H:H,Online_eCommerce[[#This Row],[Brand]],M:M)</f>
        <v>16166345</v>
      </c>
      <c r="T1022" s="13">
        <f>SUMIF(N:N,Online_eCommerce[[#This Row],[Assigned Supervisor]],L:L)</f>
        <v>12261500</v>
      </c>
    </row>
    <row r="1023" spans="1:20" hidden="1" x14ac:dyDescent="0.3">
      <c r="A1023" t="s">
        <v>1553</v>
      </c>
      <c r="B1023" t="s">
        <v>235</v>
      </c>
      <c r="C1023" t="s">
        <v>94</v>
      </c>
      <c r="D1023" t="s">
        <v>1543</v>
      </c>
      <c r="E1023" t="s">
        <v>96</v>
      </c>
      <c r="F1023" t="s">
        <v>1554</v>
      </c>
      <c r="G1023" t="s">
        <v>26</v>
      </c>
      <c r="H1023" t="s">
        <v>27</v>
      </c>
      <c r="I1023">
        <v>8500</v>
      </c>
      <c r="J1023">
        <v>11050</v>
      </c>
      <c r="K1023">
        <v>4</v>
      </c>
      <c r="L1023">
        <v>34000</v>
      </c>
      <c r="M1023">
        <v>44200</v>
      </c>
      <c r="N1023" t="s">
        <v>50</v>
      </c>
      <c r="O1023">
        <f t="shared" si="30"/>
        <v>33150</v>
      </c>
      <c r="P1023" s="13">
        <f t="shared" si="31"/>
        <v>1868256</v>
      </c>
      <c r="Q1023" s="13">
        <f>SUMIFS(M:M,E:E,Online_eCommerce[[#This Row],[Status]])</f>
        <v>21233992</v>
      </c>
      <c r="R1023" s="13">
        <f>SUMIFS(L:L,H:H,Online_eCommerce[[#This Row],[Brand]])</f>
        <v>14431000</v>
      </c>
      <c r="S1023" s="13">
        <f>SUMIF(H:H,Online_eCommerce[[#This Row],[Brand]],M:M)</f>
        <v>18760300</v>
      </c>
      <c r="T1023" s="13">
        <f>SUMIF(N:N,Online_eCommerce[[#This Row],[Assigned Supervisor]],L:L)</f>
        <v>12100590</v>
      </c>
    </row>
    <row r="1024" spans="1:20" hidden="1" x14ac:dyDescent="0.3">
      <c r="A1024" t="s">
        <v>1555</v>
      </c>
      <c r="B1024" t="s">
        <v>235</v>
      </c>
      <c r="C1024" t="s">
        <v>99</v>
      </c>
      <c r="D1024" t="s">
        <v>1543</v>
      </c>
      <c r="E1024" t="s">
        <v>18</v>
      </c>
      <c r="F1024" t="s">
        <v>32</v>
      </c>
      <c r="G1024" t="s">
        <v>33</v>
      </c>
      <c r="H1024" t="s">
        <v>34</v>
      </c>
      <c r="I1024">
        <v>7000</v>
      </c>
      <c r="J1024">
        <v>9100</v>
      </c>
      <c r="K1024">
        <v>1</v>
      </c>
      <c r="L1024">
        <v>7000</v>
      </c>
      <c r="M1024">
        <v>9100</v>
      </c>
      <c r="N1024" t="s">
        <v>56</v>
      </c>
      <c r="O1024">
        <f t="shared" si="30"/>
        <v>18200</v>
      </c>
      <c r="P1024" s="13">
        <f t="shared" si="31"/>
        <v>2651233</v>
      </c>
      <c r="Q1024" s="13">
        <f>SUMIFS(M:M,E:E,Online_eCommerce[[#This Row],[Status]])</f>
        <v>28340455</v>
      </c>
      <c r="R1024" s="13">
        <f>SUMIFS(L:L,H:H,Online_eCommerce[[#This Row],[Brand]])</f>
        <v>10087000</v>
      </c>
      <c r="S1024" s="13">
        <f>SUMIF(H:H,Online_eCommerce[[#This Row],[Brand]],M:M)</f>
        <v>13113100</v>
      </c>
      <c r="T1024" s="13">
        <f>SUMIF(N:N,Online_eCommerce[[#This Row],[Assigned Supervisor]],L:L)</f>
        <v>11733610</v>
      </c>
    </row>
    <row r="1025" spans="1:20" hidden="1" x14ac:dyDescent="0.3">
      <c r="A1025" t="s">
        <v>1556</v>
      </c>
      <c r="B1025" t="s">
        <v>235</v>
      </c>
      <c r="C1025" t="s">
        <v>105</v>
      </c>
      <c r="D1025" t="s">
        <v>1543</v>
      </c>
      <c r="E1025" t="s">
        <v>161</v>
      </c>
      <c r="F1025" t="s">
        <v>1557</v>
      </c>
      <c r="G1025" t="s">
        <v>40</v>
      </c>
      <c r="H1025" t="s">
        <v>41</v>
      </c>
      <c r="I1025">
        <v>6550</v>
      </c>
      <c r="J1025">
        <v>8515</v>
      </c>
      <c r="K1025">
        <v>1</v>
      </c>
      <c r="L1025">
        <v>6550</v>
      </c>
      <c r="M1025">
        <v>8515</v>
      </c>
      <c r="N1025" t="s">
        <v>22</v>
      </c>
      <c r="O1025">
        <f t="shared" si="30"/>
        <v>25545</v>
      </c>
      <c r="P1025" s="13">
        <f t="shared" si="31"/>
        <v>1866852</v>
      </c>
      <c r="Q1025" s="13">
        <f>SUMIFS(M:M,E:E,Online_eCommerce[[#This Row],[Status]])</f>
        <v>21103186</v>
      </c>
      <c r="R1025" s="13">
        <f>SUMIFS(L:L,H:H,Online_eCommerce[[#This Row],[Brand]])</f>
        <v>4260400</v>
      </c>
      <c r="S1025" s="13">
        <f>SUMIF(H:H,Online_eCommerce[[#This Row],[Brand]],M:M)</f>
        <v>5538520</v>
      </c>
      <c r="T1025" s="13">
        <f>SUMIF(N:N,Online_eCommerce[[#This Row],[Assigned Supervisor]],L:L)</f>
        <v>13693220</v>
      </c>
    </row>
    <row r="1026" spans="1:20" x14ac:dyDescent="0.3">
      <c r="A1026" t="s">
        <v>1558</v>
      </c>
      <c r="B1026" t="s">
        <v>235</v>
      </c>
      <c r="C1026" t="s">
        <v>110</v>
      </c>
      <c r="D1026" t="s">
        <v>1543</v>
      </c>
      <c r="E1026" t="s">
        <v>46</v>
      </c>
      <c r="F1026" t="s">
        <v>47</v>
      </c>
      <c r="G1026" t="s">
        <v>334</v>
      </c>
      <c r="H1026" t="s">
        <v>49</v>
      </c>
      <c r="I1026">
        <v>7650</v>
      </c>
      <c r="J1026">
        <v>9945</v>
      </c>
      <c r="K1026">
        <v>1</v>
      </c>
      <c r="L1026">
        <v>7650</v>
      </c>
      <c r="M1026">
        <v>9945</v>
      </c>
      <c r="N1026" t="s">
        <v>28</v>
      </c>
      <c r="O1026">
        <f t="shared" ref="O1026:O1089" si="32">VLOOKUP(G1026,G:M,7,FALSE)</f>
        <v>39780</v>
      </c>
      <c r="P1026" s="13">
        <f t="shared" ref="P1026:P1089" si="33">SUMIFS(M:M,C:C,C1026)</f>
        <v>2598635</v>
      </c>
      <c r="Q1026" s="13">
        <f>SUMIFS(M:M,E:E,Online_eCommerce[[#This Row],[Status]])</f>
        <v>28620410</v>
      </c>
      <c r="R1026" s="13">
        <f>SUMIFS(L:L,H:H,Online_eCommerce[[#This Row],[Brand]])</f>
        <v>4528350</v>
      </c>
      <c r="S1026" s="13">
        <f>SUMIF(H:H,Online_eCommerce[[#This Row],[Brand]],M:M)</f>
        <v>5886855</v>
      </c>
      <c r="T1026" s="13">
        <f>SUMIF(N:N,Online_eCommerce[[#This Row],[Assigned Supervisor]],L:L)</f>
        <v>12220830</v>
      </c>
    </row>
    <row r="1027" spans="1:20" hidden="1" x14ac:dyDescent="0.3">
      <c r="A1027" t="s">
        <v>1559</v>
      </c>
      <c r="B1027" t="s">
        <v>235</v>
      </c>
      <c r="C1027" t="s">
        <v>115</v>
      </c>
      <c r="D1027" t="s">
        <v>1543</v>
      </c>
      <c r="E1027" t="s">
        <v>96</v>
      </c>
      <c r="F1027" t="s">
        <v>53</v>
      </c>
      <c r="G1027" t="s">
        <v>54</v>
      </c>
      <c r="H1027" t="s">
        <v>55</v>
      </c>
      <c r="I1027">
        <v>1150</v>
      </c>
      <c r="J1027">
        <v>1495</v>
      </c>
      <c r="K1027">
        <v>4</v>
      </c>
      <c r="L1027">
        <v>4600</v>
      </c>
      <c r="M1027">
        <v>5980</v>
      </c>
      <c r="N1027" t="s">
        <v>35</v>
      </c>
      <c r="O1027">
        <f t="shared" si="32"/>
        <v>2990</v>
      </c>
      <c r="P1027" s="13">
        <f t="shared" si="33"/>
        <v>2050178</v>
      </c>
      <c r="Q1027" s="13">
        <f>SUMIFS(M:M,E:E,Online_eCommerce[[#This Row],[Status]])</f>
        <v>21233992</v>
      </c>
      <c r="R1027" s="13">
        <f>SUMIFS(L:L,H:H,Online_eCommerce[[#This Row],[Brand]])</f>
        <v>2267380</v>
      </c>
      <c r="S1027" s="13">
        <f>SUMIF(H:H,Online_eCommerce[[#This Row],[Brand]],M:M)</f>
        <v>2947594</v>
      </c>
      <c r="T1027" s="13">
        <f>SUMIF(N:N,Online_eCommerce[[#This Row],[Assigned Supervisor]],L:L)</f>
        <v>14373360</v>
      </c>
    </row>
    <row r="1028" spans="1:20" hidden="1" x14ac:dyDescent="0.3">
      <c r="A1028" t="s">
        <v>1560</v>
      </c>
      <c r="B1028" t="s">
        <v>235</v>
      </c>
      <c r="C1028" t="s">
        <v>120</v>
      </c>
      <c r="D1028" t="s">
        <v>1543</v>
      </c>
      <c r="E1028" t="s">
        <v>18</v>
      </c>
      <c r="F1028" t="s">
        <v>59</v>
      </c>
      <c r="G1028" t="s">
        <v>60</v>
      </c>
      <c r="H1028" t="s">
        <v>61</v>
      </c>
      <c r="I1028">
        <v>850</v>
      </c>
      <c r="J1028">
        <v>1105</v>
      </c>
      <c r="K1028">
        <v>3</v>
      </c>
      <c r="L1028">
        <v>2550</v>
      </c>
      <c r="M1028">
        <v>3315</v>
      </c>
      <c r="N1028" t="s">
        <v>42</v>
      </c>
      <c r="O1028">
        <f t="shared" si="32"/>
        <v>3315</v>
      </c>
      <c r="P1028" s="13">
        <f t="shared" si="33"/>
        <v>2734212</v>
      </c>
      <c r="Q1028" s="13">
        <f>SUMIFS(M:M,E:E,Online_eCommerce[[#This Row],[Status]])</f>
        <v>28340455</v>
      </c>
      <c r="R1028" s="13">
        <f>SUMIFS(L:L,H:H,Online_eCommerce[[#This Row],[Brand]])</f>
        <v>10950150</v>
      </c>
      <c r="S1028" s="13">
        <f>SUMIF(H:H,Online_eCommerce[[#This Row],[Brand]],M:M)</f>
        <v>14235195</v>
      </c>
      <c r="T1028" s="13">
        <f>SUMIF(N:N,Online_eCommerce[[#This Row],[Assigned Supervisor]],L:L)</f>
        <v>12261500</v>
      </c>
    </row>
    <row r="1029" spans="1:20" hidden="1" x14ac:dyDescent="0.3">
      <c r="A1029" t="s">
        <v>1561</v>
      </c>
      <c r="B1029" t="s">
        <v>235</v>
      </c>
      <c r="C1029" t="s">
        <v>125</v>
      </c>
      <c r="D1029" t="s">
        <v>1543</v>
      </c>
      <c r="E1029" t="s">
        <v>161</v>
      </c>
      <c r="F1029" t="s">
        <v>65</v>
      </c>
      <c r="G1029" t="s">
        <v>66</v>
      </c>
      <c r="H1029" t="s">
        <v>21</v>
      </c>
      <c r="I1029">
        <v>650</v>
      </c>
      <c r="J1029">
        <v>845</v>
      </c>
      <c r="K1029">
        <v>1</v>
      </c>
      <c r="L1029">
        <v>650</v>
      </c>
      <c r="M1029">
        <v>845</v>
      </c>
      <c r="N1029" t="s">
        <v>50</v>
      </c>
      <c r="O1029">
        <f t="shared" si="32"/>
        <v>1690</v>
      </c>
      <c r="P1029" s="13">
        <f t="shared" si="33"/>
        <v>2091154</v>
      </c>
      <c r="Q1029" s="13">
        <f>SUMIFS(M:M,E:E,Online_eCommerce[[#This Row],[Status]])</f>
        <v>21103186</v>
      </c>
      <c r="R1029" s="13">
        <f>SUMIFS(L:L,H:H,Online_eCommerce[[#This Row],[Brand]])</f>
        <v>12435650</v>
      </c>
      <c r="S1029" s="13">
        <f>SUMIF(H:H,Online_eCommerce[[#This Row],[Brand]],M:M)</f>
        <v>16166345</v>
      </c>
      <c r="T1029" s="13">
        <f>SUMIF(N:N,Online_eCommerce[[#This Row],[Assigned Supervisor]],L:L)</f>
        <v>12100590</v>
      </c>
    </row>
    <row r="1030" spans="1:20" x14ac:dyDescent="0.3">
      <c r="A1030" t="s">
        <v>1562</v>
      </c>
      <c r="B1030" t="s">
        <v>235</v>
      </c>
      <c r="C1030" t="s">
        <v>22</v>
      </c>
      <c r="D1030" t="s">
        <v>1543</v>
      </c>
      <c r="E1030" t="s">
        <v>46</v>
      </c>
      <c r="F1030" t="s">
        <v>70</v>
      </c>
      <c r="G1030" t="s">
        <v>71</v>
      </c>
      <c r="H1030" t="s">
        <v>61</v>
      </c>
      <c r="I1030">
        <v>7500</v>
      </c>
      <c r="J1030">
        <v>9750</v>
      </c>
      <c r="K1030">
        <v>2</v>
      </c>
      <c r="L1030">
        <v>15000</v>
      </c>
      <c r="M1030">
        <v>19500</v>
      </c>
      <c r="N1030" t="s">
        <v>56</v>
      </c>
      <c r="O1030">
        <f t="shared" si="32"/>
        <v>9750</v>
      </c>
      <c r="P1030" s="13">
        <f t="shared" si="33"/>
        <v>2551588</v>
      </c>
      <c r="Q1030" s="13">
        <f>SUMIFS(M:M,E:E,Online_eCommerce[[#This Row],[Status]])</f>
        <v>28620410</v>
      </c>
      <c r="R1030" s="13">
        <f>SUMIFS(L:L,H:H,Online_eCommerce[[#This Row],[Brand]])</f>
        <v>10950150</v>
      </c>
      <c r="S1030" s="13">
        <f>SUMIF(H:H,Online_eCommerce[[#This Row],[Brand]],M:M)</f>
        <v>14235195</v>
      </c>
      <c r="T1030" s="13">
        <f>SUMIF(N:N,Online_eCommerce[[#This Row],[Assigned Supervisor]],L:L)</f>
        <v>11733610</v>
      </c>
    </row>
    <row r="1031" spans="1:20" hidden="1" x14ac:dyDescent="0.3">
      <c r="A1031" t="s">
        <v>1563</v>
      </c>
      <c r="B1031" t="s">
        <v>235</v>
      </c>
      <c r="C1031" t="s">
        <v>132</v>
      </c>
      <c r="D1031" t="s">
        <v>1543</v>
      </c>
      <c r="E1031" t="s">
        <v>96</v>
      </c>
      <c r="F1031" t="s">
        <v>1550</v>
      </c>
      <c r="G1031" t="s">
        <v>77</v>
      </c>
      <c r="H1031" t="s">
        <v>78</v>
      </c>
      <c r="I1031">
        <v>10000</v>
      </c>
      <c r="J1031">
        <v>13000</v>
      </c>
      <c r="K1031">
        <v>1</v>
      </c>
      <c r="L1031">
        <v>10000</v>
      </c>
      <c r="M1031">
        <v>13000</v>
      </c>
      <c r="N1031" t="s">
        <v>22</v>
      </c>
      <c r="O1031">
        <f t="shared" si="32"/>
        <v>39000</v>
      </c>
      <c r="P1031" s="13">
        <f t="shared" si="33"/>
        <v>1989065</v>
      </c>
      <c r="Q1031" s="13">
        <f>SUMIFS(M:M,E:E,Online_eCommerce[[#This Row],[Status]])</f>
        <v>21233992</v>
      </c>
      <c r="R1031" s="13">
        <f>SUMIFS(L:L,H:H,Online_eCommerce[[#This Row],[Brand]])</f>
        <v>3720000</v>
      </c>
      <c r="S1031" s="13">
        <f>SUMIF(H:H,Online_eCommerce[[#This Row],[Brand]],M:M)</f>
        <v>4836000</v>
      </c>
      <c r="T1031" s="13">
        <f>SUMIF(N:N,Online_eCommerce[[#This Row],[Assigned Supervisor]],L:L)</f>
        <v>13693220</v>
      </c>
    </row>
    <row r="1032" spans="1:20" hidden="1" x14ac:dyDescent="0.3">
      <c r="A1032" t="s">
        <v>1564</v>
      </c>
      <c r="B1032" t="s">
        <v>235</v>
      </c>
      <c r="C1032" t="s">
        <v>136</v>
      </c>
      <c r="D1032" t="s">
        <v>1543</v>
      </c>
      <c r="E1032" t="s">
        <v>18</v>
      </c>
      <c r="F1032" t="s">
        <v>1565</v>
      </c>
      <c r="G1032" t="s">
        <v>20</v>
      </c>
      <c r="H1032" t="s">
        <v>21</v>
      </c>
      <c r="I1032">
        <v>10500</v>
      </c>
      <c r="J1032">
        <v>13650</v>
      </c>
      <c r="K1032">
        <v>3</v>
      </c>
      <c r="L1032">
        <v>31500</v>
      </c>
      <c r="M1032">
        <v>40950</v>
      </c>
      <c r="N1032" t="s">
        <v>28</v>
      </c>
      <c r="O1032">
        <f t="shared" si="32"/>
        <v>8450</v>
      </c>
      <c r="P1032" s="13">
        <f t="shared" si="33"/>
        <v>2775162</v>
      </c>
      <c r="Q1032" s="13">
        <f>SUMIFS(M:M,E:E,Online_eCommerce[[#This Row],[Status]])</f>
        <v>28340455</v>
      </c>
      <c r="R1032" s="13">
        <f>SUMIFS(L:L,H:H,Online_eCommerce[[#This Row],[Brand]])</f>
        <v>12435650</v>
      </c>
      <c r="S1032" s="13">
        <f>SUMIF(H:H,Online_eCommerce[[#This Row],[Brand]],M:M)</f>
        <v>16166345</v>
      </c>
      <c r="T1032" s="13">
        <f>SUMIF(N:N,Online_eCommerce[[#This Row],[Assigned Supervisor]],L:L)</f>
        <v>12220830</v>
      </c>
    </row>
    <row r="1033" spans="1:20" hidden="1" x14ac:dyDescent="0.3">
      <c r="A1033" t="s">
        <v>1566</v>
      </c>
      <c r="B1033" t="s">
        <v>235</v>
      </c>
      <c r="C1033" t="s">
        <v>140</v>
      </c>
      <c r="D1033" t="s">
        <v>1543</v>
      </c>
      <c r="E1033" t="s">
        <v>161</v>
      </c>
      <c r="F1033" t="s">
        <v>88</v>
      </c>
      <c r="G1033" t="s">
        <v>26</v>
      </c>
      <c r="H1033" t="s">
        <v>27</v>
      </c>
      <c r="I1033">
        <v>8500</v>
      </c>
      <c r="J1033">
        <v>11050</v>
      </c>
      <c r="K1033">
        <v>2</v>
      </c>
      <c r="L1033">
        <v>17000</v>
      </c>
      <c r="M1033">
        <v>22100</v>
      </c>
      <c r="N1033" t="s">
        <v>35</v>
      </c>
      <c r="O1033">
        <f t="shared" si="32"/>
        <v>33150</v>
      </c>
      <c r="P1033" s="13">
        <f t="shared" si="33"/>
        <v>2058264</v>
      </c>
      <c r="Q1033" s="13">
        <f>SUMIFS(M:M,E:E,Online_eCommerce[[#This Row],[Status]])</f>
        <v>21103186</v>
      </c>
      <c r="R1033" s="13">
        <f>SUMIFS(L:L,H:H,Online_eCommerce[[#This Row],[Brand]])</f>
        <v>14431000</v>
      </c>
      <c r="S1033" s="13">
        <f>SUMIF(H:H,Online_eCommerce[[#This Row],[Brand]],M:M)</f>
        <v>18760300</v>
      </c>
      <c r="T1033" s="13">
        <f>SUMIF(N:N,Online_eCommerce[[#This Row],[Assigned Supervisor]],L:L)</f>
        <v>14373360</v>
      </c>
    </row>
    <row r="1034" spans="1:20" x14ac:dyDescent="0.3">
      <c r="A1034" t="s">
        <v>1567</v>
      </c>
      <c r="B1034" t="s">
        <v>235</v>
      </c>
      <c r="C1034" t="s">
        <v>145</v>
      </c>
      <c r="D1034" t="s">
        <v>1543</v>
      </c>
      <c r="E1034" t="s">
        <v>46</v>
      </c>
      <c r="F1034" t="s">
        <v>32</v>
      </c>
      <c r="G1034" t="s">
        <v>33</v>
      </c>
      <c r="H1034" t="s">
        <v>34</v>
      </c>
      <c r="I1034">
        <v>7000</v>
      </c>
      <c r="J1034">
        <v>9100</v>
      </c>
      <c r="K1034">
        <v>3</v>
      </c>
      <c r="L1034">
        <v>21000</v>
      </c>
      <c r="M1034">
        <v>27300</v>
      </c>
      <c r="N1034" t="s">
        <v>42</v>
      </c>
      <c r="O1034">
        <f t="shared" si="32"/>
        <v>18200</v>
      </c>
      <c r="P1034" s="13">
        <f t="shared" si="33"/>
        <v>2757859</v>
      </c>
      <c r="Q1034" s="13">
        <f>SUMIFS(M:M,E:E,Online_eCommerce[[#This Row],[Status]])</f>
        <v>28620410</v>
      </c>
      <c r="R1034" s="13">
        <f>SUMIFS(L:L,H:H,Online_eCommerce[[#This Row],[Brand]])</f>
        <v>10087000</v>
      </c>
      <c r="S1034" s="13">
        <f>SUMIF(H:H,Online_eCommerce[[#This Row],[Brand]],M:M)</f>
        <v>13113100</v>
      </c>
      <c r="T1034" s="13">
        <f>SUMIF(N:N,Online_eCommerce[[#This Row],[Assigned Supervisor]],L:L)</f>
        <v>12261500</v>
      </c>
    </row>
    <row r="1035" spans="1:20" hidden="1" x14ac:dyDescent="0.3">
      <c r="A1035" t="s">
        <v>1568</v>
      </c>
      <c r="B1035" t="s">
        <v>235</v>
      </c>
      <c r="C1035" t="s">
        <v>150</v>
      </c>
      <c r="D1035" t="s">
        <v>1543</v>
      </c>
      <c r="E1035" t="s">
        <v>96</v>
      </c>
      <c r="F1035" t="s">
        <v>1569</v>
      </c>
      <c r="G1035" t="s">
        <v>40</v>
      </c>
      <c r="H1035" t="s">
        <v>41</v>
      </c>
      <c r="I1035">
        <v>1680</v>
      </c>
      <c r="J1035">
        <v>2184</v>
      </c>
      <c r="K1035">
        <v>4</v>
      </c>
      <c r="L1035">
        <v>6720</v>
      </c>
      <c r="M1035">
        <v>8736</v>
      </c>
      <c r="N1035" t="s">
        <v>50</v>
      </c>
      <c r="O1035">
        <f t="shared" si="32"/>
        <v>25545</v>
      </c>
      <c r="P1035" s="13">
        <f t="shared" si="33"/>
        <v>2154984</v>
      </c>
      <c r="Q1035" s="13">
        <f>SUMIFS(M:M,E:E,Online_eCommerce[[#This Row],[Status]])</f>
        <v>21233992</v>
      </c>
      <c r="R1035" s="13">
        <f>SUMIFS(L:L,H:H,Online_eCommerce[[#This Row],[Brand]])</f>
        <v>4260400</v>
      </c>
      <c r="S1035" s="13">
        <f>SUMIF(H:H,Online_eCommerce[[#This Row],[Brand]],M:M)</f>
        <v>5538520</v>
      </c>
      <c r="T1035" s="13">
        <f>SUMIF(N:N,Online_eCommerce[[#This Row],[Assigned Supervisor]],L:L)</f>
        <v>12100590</v>
      </c>
    </row>
    <row r="1036" spans="1:20" hidden="1" x14ac:dyDescent="0.3">
      <c r="A1036" t="s">
        <v>1570</v>
      </c>
      <c r="B1036" t="s">
        <v>235</v>
      </c>
      <c r="C1036" t="s">
        <v>155</v>
      </c>
      <c r="D1036" t="s">
        <v>1543</v>
      </c>
      <c r="E1036" t="s">
        <v>18</v>
      </c>
      <c r="F1036" t="s">
        <v>101</v>
      </c>
      <c r="G1036" t="s">
        <v>334</v>
      </c>
      <c r="H1036" t="s">
        <v>102</v>
      </c>
      <c r="I1036">
        <v>6540</v>
      </c>
      <c r="J1036">
        <v>8502</v>
      </c>
      <c r="K1036">
        <v>3</v>
      </c>
      <c r="L1036">
        <v>19620</v>
      </c>
      <c r="M1036">
        <v>25506</v>
      </c>
      <c r="N1036" t="s">
        <v>56</v>
      </c>
      <c r="O1036">
        <f t="shared" si="32"/>
        <v>39780</v>
      </c>
      <c r="P1036" s="13">
        <f t="shared" si="33"/>
        <v>2753348</v>
      </c>
      <c r="Q1036" s="13">
        <f>SUMIFS(M:M,E:E,Online_eCommerce[[#This Row],[Status]])</f>
        <v>28340455</v>
      </c>
      <c r="R1036" s="13">
        <f>SUMIFS(L:L,H:H,Online_eCommerce[[#This Row],[Brand]])</f>
        <v>2465580</v>
      </c>
      <c r="S1036" s="13">
        <f>SUMIF(H:H,Online_eCommerce[[#This Row],[Brand]],M:M)</f>
        <v>3205254</v>
      </c>
      <c r="T1036" s="13">
        <f>SUMIF(N:N,Online_eCommerce[[#This Row],[Assigned Supervisor]],L:L)</f>
        <v>11733610</v>
      </c>
    </row>
    <row r="1037" spans="1:20" hidden="1" x14ac:dyDescent="0.3">
      <c r="A1037" t="s">
        <v>1571</v>
      </c>
      <c r="B1037" t="s">
        <v>235</v>
      </c>
      <c r="C1037" t="s">
        <v>160</v>
      </c>
      <c r="D1037" t="s">
        <v>1543</v>
      </c>
      <c r="E1037" t="s">
        <v>161</v>
      </c>
      <c r="F1037" t="s">
        <v>107</v>
      </c>
      <c r="G1037" t="s">
        <v>54</v>
      </c>
      <c r="H1037" t="s">
        <v>55</v>
      </c>
      <c r="I1037">
        <v>2680</v>
      </c>
      <c r="J1037">
        <v>3484</v>
      </c>
      <c r="K1037">
        <v>4</v>
      </c>
      <c r="L1037">
        <v>10720</v>
      </c>
      <c r="M1037">
        <v>13936</v>
      </c>
      <c r="N1037" t="s">
        <v>22</v>
      </c>
      <c r="O1037">
        <f t="shared" si="32"/>
        <v>2990</v>
      </c>
      <c r="P1037" s="13">
        <f t="shared" si="33"/>
        <v>2303483</v>
      </c>
      <c r="Q1037" s="13">
        <f>SUMIFS(M:M,E:E,Online_eCommerce[[#This Row],[Status]])</f>
        <v>21103186</v>
      </c>
      <c r="R1037" s="13">
        <f>SUMIFS(L:L,H:H,Online_eCommerce[[#This Row],[Brand]])</f>
        <v>2267380</v>
      </c>
      <c r="S1037" s="13">
        <f>SUMIF(H:H,Online_eCommerce[[#This Row],[Brand]],M:M)</f>
        <v>2947594</v>
      </c>
      <c r="T1037" s="13">
        <f>SUMIF(N:N,Online_eCommerce[[#This Row],[Assigned Supervisor]],L:L)</f>
        <v>13693220</v>
      </c>
    </row>
    <row r="1038" spans="1:20" x14ac:dyDescent="0.3">
      <c r="A1038" t="s">
        <v>1572</v>
      </c>
      <c r="B1038" t="s">
        <v>235</v>
      </c>
      <c r="C1038" t="s">
        <v>165</v>
      </c>
      <c r="D1038" t="s">
        <v>1543</v>
      </c>
      <c r="E1038" t="s">
        <v>46</v>
      </c>
      <c r="F1038" t="s">
        <v>112</v>
      </c>
      <c r="G1038" t="s">
        <v>71</v>
      </c>
      <c r="H1038" t="s">
        <v>21</v>
      </c>
      <c r="I1038">
        <v>8250</v>
      </c>
      <c r="J1038">
        <v>10725</v>
      </c>
      <c r="K1038">
        <v>3</v>
      </c>
      <c r="L1038">
        <v>24750</v>
      </c>
      <c r="M1038">
        <v>32175</v>
      </c>
      <c r="N1038" t="s">
        <v>28</v>
      </c>
      <c r="O1038">
        <f t="shared" si="32"/>
        <v>9750</v>
      </c>
      <c r="P1038" s="13">
        <f t="shared" si="33"/>
        <v>2674087</v>
      </c>
      <c r="Q1038" s="13">
        <f>SUMIFS(M:M,E:E,Online_eCommerce[[#This Row],[Status]])</f>
        <v>28620410</v>
      </c>
      <c r="R1038" s="13">
        <f>SUMIFS(L:L,H:H,Online_eCommerce[[#This Row],[Brand]])</f>
        <v>12435650</v>
      </c>
      <c r="S1038" s="13">
        <f>SUMIF(H:H,Online_eCommerce[[#This Row],[Brand]],M:M)</f>
        <v>16166345</v>
      </c>
      <c r="T1038" s="13">
        <f>SUMIF(N:N,Online_eCommerce[[#This Row],[Assigned Supervisor]],L:L)</f>
        <v>12220830</v>
      </c>
    </row>
    <row r="1039" spans="1:20" hidden="1" x14ac:dyDescent="0.3">
      <c r="A1039" t="s">
        <v>1573</v>
      </c>
      <c r="B1039" t="s">
        <v>235</v>
      </c>
      <c r="C1039" t="s">
        <v>168</v>
      </c>
      <c r="D1039" t="s">
        <v>1543</v>
      </c>
      <c r="E1039" t="s">
        <v>96</v>
      </c>
      <c r="F1039" t="s">
        <v>1190</v>
      </c>
      <c r="G1039" t="s">
        <v>40</v>
      </c>
      <c r="H1039" t="s">
        <v>21</v>
      </c>
      <c r="I1039">
        <v>2650</v>
      </c>
      <c r="J1039">
        <v>3445</v>
      </c>
      <c r="K1039">
        <v>4</v>
      </c>
      <c r="L1039">
        <v>10600</v>
      </c>
      <c r="M1039">
        <v>13780</v>
      </c>
      <c r="N1039" t="s">
        <v>35</v>
      </c>
      <c r="O1039">
        <f t="shared" si="32"/>
        <v>25545</v>
      </c>
      <c r="P1039" s="13">
        <f t="shared" si="33"/>
        <v>1937780</v>
      </c>
      <c r="Q1039" s="13">
        <f>SUMIFS(M:M,E:E,Online_eCommerce[[#This Row],[Status]])</f>
        <v>21233992</v>
      </c>
      <c r="R1039" s="13">
        <f>SUMIFS(L:L,H:H,Online_eCommerce[[#This Row],[Brand]])</f>
        <v>12435650</v>
      </c>
      <c r="S1039" s="13">
        <f>SUMIF(H:H,Online_eCommerce[[#This Row],[Brand]],M:M)</f>
        <v>16166345</v>
      </c>
      <c r="T1039" s="13">
        <f>SUMIF(N:N,Online_eCommerce[[#This Row],[Assigned Supervisor]],L:L)</f>
        <v>14373360</v>
      </c>
    </row>
    <row r="1040" spans="1:20" hidden="1" x14ac:dyDescent="0.3">
      <c r="A1040" t="s">
        <v>1574</v>
      </c>
      <c r="B1040" t="s">
        <v>235</v>
      </c>
      <c r="C1040" t="s">
        <v>172</v>
      </c>
      <c r="D1040" t="s">
        <v>1543</v>
      </c>
      <c r="E1040" t="s">
        <v>18</v>
      </c>
      <c r="F1040" t="s">
        <v>121</v>
      </c>
      <c r="G1040" t="s">
        <v>71</v>
      </c>
      <c r="H1040" t="s">
        <v>122</v>
      </c>
      <c r="I1040">
        <v>12550</v>
      </c>
      <c r="J1040">
        <v>16315</v>
      </c>
      <c r="K1040">
        <v>1</v>
      </c>
      <c r="L1040">
        <v>12550</v>
      </c>
      <c r="M1040">
        <v>16315</v>
      </c>
      <c r="N1040" t="s">
        <v>42</v>
      </c>
      <c r="O1040">
        <f t="shared" si="32"/>
        <v>9750</v>
      </c>
      <c r="P1040" s="13">
        <f t="shared" si="33"/>
        <v>2640274</v>
      </c>
      <c r="Q1040" s="13">
        <f>SUMIFS(M:M,E:E,Online_eCommerce[[#This Row],[Status]])</f>
        <v>28340455</v>
      </c>
      <c r="R1040" s="13">
        <f>SUMIFS(L:L,H:H,Online_eCommerce[[#This Row],[Brand]])</f>
        <v>5045100</v>
      </c>
      <c r="S1040" s="13">
        <f>SUMIF(H:H,Online_eCommerce[[#This Row],[Brand]],M:M)</f>
        <v>6558630</v>
      </c>
      <c r="T1040" s="13">
        <f>SUMIF(N:N,Online_eCommerce[[#This Row],[Assigned Supervisor]],L:L)</f>
        <v>12261500</v>
      </c>
    </row>
    <row r="1041" spans="1:20" hidden="1" x14ac:dyDescent="0.3">
      <c r="A1041" t="s">
        <v>1575</v>
      </c>
      <c r="B1041" t="s">
        <v>235</v>
      </c>
      <c r="C1041" t="s">
        <v>177</v>
      </c>
      <c r="D1041" t="s">
        <v>1543</v>
      </c>
      <c r="E1041" t="s">
        <v>161</v>
      </c>
      <c r="F1041" t="s">
        <v>126</v>
      </c>
      <c r="G1041" t="s">
        <v>26</v>
      </c>
      <c r="H1041" t="s">
        <v>27</v>
      </c>
      <c r="I1041">
        <v>14500</v>
      </c>
      <c r="J1041">
        <v>18850</v>
      </c>
      <c r="K1041">
        <v>1</v>
      </c>
      <c r="L1041">
        <v>14500</v>
      </c>
      <c r="M1041">
        <v>18850</v>
      </c>
      <c r="N1041" t="s">
        <v>50</v>
      </c>
      <c r="O1041">
        <f t="shared" si="32"/>
        <v>33150</v>
      </c>
      <c r="P1041" s="13">
        <f t="shared" si="33"/>
        <v>1863810</v>
      </c>
      <c r="Q1041" s="13">
        <f>SUMIFS(M:M,E:E,Online_eCommerce[[#This Row],[Status]])</f>
        <v>21103186</v>
      </c>
      <c r="R1041" s="13">
        <f>SUMIFS(L:L,H:H,Online_eCommerce[[#This Row],[Brand]])</f>
        <v>14431000</v>
      </c>
      <c r="S1041" s="13">
        <f>SUMIF(H:H,Online_eCommerce[[#This Row],[Brand]],M:M)</f>
        <v>18760300</v>
      </c>
      <c r="T1041" s="13">
        <f>SUMIF(N:N,Online_eCommerce[[#This Row],[Assigned Supervisor]],L:L)</f>
        <v>12100590</v>
      </c>
    </row>
    <row r="1042" spans="1:20" x14ac:dyDescent="0.3">
      <c r="A1042" t="s">
        <v>1576</v>
      </c>
      <c r="B1042" t="s">
        <v>235</v>
      </c>
      <c r="C1042" t="s">
        <v>181</v>
      </c>
      <c r="D1042" t="s">
        <v>1543</v>
      </c>
      <c r="E1042" t="s">
        <v>46</v>
      </c>
      <c r="F1042" t="s">
        <v>129</v>
      </c>
      <c r="G1042" t="s">
        <v>60</v>
      </c>
      <c r="H1042" t="s">
        <v>61</v>
      </c>
      <c r="I1042">
        <v>800</v>
      </c>
      <c r="J1042">
        <v>1040</v>
      </c>
      <c r="K1042">
        <v>3</v>
      </c>
      <c r="L1042">
        <v>2400</v>
      </c>
      <c r="M1042">
        <v>3120</v>
      </c>
      <c r="N1042" t="s">
        <v>56</v>
      </c>
      <c r="O1042">
        <f t="shared" si="32"/>
        <v>3315</v>
      </c>
      <c r="P1042" s="13">
        <f t="shared" si="33"/>
        <v>2577458</v>
      </c>
      <c r="Q1042" s="13">
        <f>SUMIFS(M:M,E:E,Online_eCommerce[[#This Row],[Status]])</f>
        <v>28620410</v>
      </c>
      <c r="R1042" s="13">
        <f>SUMIFS(L:L,H:H,Online_eCommerce[[#This Row],[Brand]])</f>
        <v>10950150</v>
      </c>
      <c r="S1042" s="13">
        <f>SUMIF(H:H,Online_eCommerce[[#This Row],[Brand]],M:M)</f>
        <v>14235195</v>
      </c>
      <c r="T1042" s="13">
        <f>SUMIF(N:N,Online_eCommerce[[#This Row],[Assigned Supervisor]],L:L)</f>
        <v>11733610</v>
      </c>
    </row>
    <row r="1043" spans="1:20" hidden="1" x14ac:dyDescent="0.3">
      <c r="A1043" t="s">
        <v>1577</v>
      </c>
      <c r="B1043" t="s">
        <v>235</v>
      </c>
      <c r="C1043" t="s">
        <v>185</v>
      </c>
      <c r="D1043" t="s">
        <v>1543</v>
      </c>
      <c r="E1043" t="s">
        <v>96</v>
      </c>
      <c r="F1043" t="s">
        <v>133</v>
      </c>
      <c r="G1043" t="s">
        <v>66</v>
      </c>
      <c r="H1043" t="s">
        <v>21</v>
      </c>
      <c r="I1043">
        <v>600</v>
      </c>
      <c r="J1043">
        <v>780</v>
      </c>
      <c r="K1043">
        <v>1</v>
      </c>
      <c r="L1043">
        <v>600</v>
      </c>
      <c r="M1043">
        <v>780</v>
      </c>
      <c r="N1043" t="s">
        <v>22</v>
      </c>
      <c r="O1043">
        <f t="shared" si="32"/>
        <v>1690</v>
      </c>
      <c r="P1043" s="13">
        <f t="shared" si="33"/>
        <v>2091596</v>
      </c>
      <c r="Q1043" s="13">
        <f>SUMIFS(M:M,E:E,Online_eCommerce[[#This Row],[Status]])</f>
        <v>21233992</v>
      </c>
      <c r="R1043" s="13">
        <f>SUMIFS(L:L,H:H,Online_eCommerce[[#This Row],[Brand]])</f>
        <v>12435650</v>
      </c>
      <c r="S1043" s="13">
        <f>SUMIF(H:H,Online_eCommerce[[#This Row],[Brand]],M:M)</f>
        <v>16166345</v>
      </c>
      <c r="T1043" s="13">
        <f>SUMIF(N:N,Online_eCommerce[[#This Row],[Assigned Supervisor]],L:L)</f>
        <v>13693220</v>
      </c>
    </row>
    <row r="1044" spans="1:20" hidden="1" x14ac:dyDescent="0.3">
      <c r="A1044" t="s">
        <v>1578</v>
      </c>
      <c r="B1044" t="s">
        <v>235</v>
      </c>
      <c r="C1044" t="s">
        <v>189</v>
      </c>
      <c r="D1044" t="s">
        <v>1543</v>
      </c>
      <c r="E1044" t="s">
        <v>18</v>
      </c>
      <c r="F1044" t="s">
        <v>137</v>
      </c>
      <c r="G1044" t="s">
        <v>71</v>
      </c>
      <c r="H1044" t="s">
        <v>61</v>
      </c>
      <c r="I1044">
        <v>10500</v>
      </c>
      <c r="J1044">
        <v>13650</v>
      </c>
      <c r="K1044">
        <v>3</v>
      </c>
      <c r="L1044">
        <v>31500</v>
      </c>
      <c r="M1044">
        <v>40950</v>
      </c>
      <c r="N1044" t="s">
        <v>28</v>
      </c>
      <c r="O1044">
        <f t="shared" si="32"/>
        <v>9750</v>
      </c>
      <c r="P1044" s="13">
        <f t="shared" si="33"/>
        <v>2740777</v>
      </c>
      <c r="Q1044" s="13">
        <f>SUMIFS(M:M,E:E,Online_eCommerce[[#This Row],[Status]])</f>
        <v>28340455</v>
      </c>
      <c r="R1044" s="13">
        <f>SUMIFS(L:L,H:H,Online_eCommerce[[#This Row],[Brand]])</f>
        <v>10950150</v>
      </c>
      <c r="S1044" s="13">
        <f>SUMIF(H:H,Online_eCommerce[[#This Row],[Brand]],M:M)</f>
        <v>14235195</v>
      </c>
      <c r="T1044" s="13">
        <f>SUMIF(N:N,Online_eCommerce[[#This Row],[Assigned Supervisor]],L:L)</f>
        <v>12220830</v>
      </c>
    </row>
    <row r="1045" spans="1:20" hidden="1" x14ac:dyDescent="0.3">
      <c r="A1045" t="s">
        <v>1579</v>
      </c>
      <c r="B1045" t="s">
        <v>235</v>
      </c>
      <c r="C1045" t="s">
        <v>193</v>
      </c>
      <c r="D1045" t="s">
        <v>1543</v>
      </c>
      <c r="E1045" t="s">
        <v>161</v>
      </c>
      <c r="F1045" t="s">
        <v>1550</v>
      </c>
      <c r="G1045" t="s">
        <v>77</v>
      </c>
      <c r="H1045" t="s">
        <v>142</v>
      </c>
      <c r="I1045">
        <v>6500</v>
      </c>
      <c r="J1045">
        <v>8450</v>
      </c>
      <c r="K1045">
        <v>2</v>
      </c>
      <c r="L1045">
        <v>13000</v>
      </c>
      <c r="M1045">
        <v>16900</v>
      </c>
      <c r="N1045" t="s">
        <v>35</v>
      </c>
      <c r="O1045">
        <f t="shared" si="32"/>
        <v>39000</v>
      </c>
      <c r="P1045" s="13">
        <f t="shared" si="33"/>
        <v>2074774</v>
      </c>
      <c r="Q1045" s="13">
        <f>SUMIFS(M:M,E:E,Online_eCommerce[[#This Row],[Status]])</f>
        <v>21103186</v>
      </c>
      <c r="R1045" s="13">
        <f>SUMIFS(L:L,H:H,Online_eCommerce[[#This Row],[Brand]])</f>
        <v>6192500</v>
      </c>
      <c r="S1045" s="13">
        <f>SUMIF(H:H,Online_eCommerce[[#This Row],[Brand]],M:M)</f>
        <v>8050250</v>
      </c>
      <c r="T1045" s="13">
        <f>SUMIF(N:N,Online_eCommerce[[#This Row],[Assigned Supervisor]],L:L)</f>
        <v>14373360</v>
      </c>
    </row>
    <row r="1046" spans="1:20" x14ac:dyDescent="0.3">
      <c r="A1046" t="s">
        <v>1580</v>
      </c>
      <c r="B1046" t="s">
        <v>235</v>
      </c>
      <c r="C1046" t="s">
        <v>197</v>
      </c>
      <c r="D1046" t="s">
        <v>1543</v>
      </c>
      <c r="E1046" t="s">
        <v>46</v>
      </c>
      <c r="F1046" t="s">
        <v>1581</v>
      </c>
      <c r="G1046" t="s">
        <v>20</v>
      </c>
      <c r="H1046" t="s">
        <v>21</v>
      </c>
      <c r="I1046">
        <v>4500</v>
      </c>
      <c r="J1046">
        <v>5850</v>
      </c>
      <c r="K1046">
        <v>4</v>
      </c>
      <c r="L1046">
        <v>18000</v>
      </c>
      <c r="M1046">
        <v>23400</v>
      </c>
      <c r="N1046" t="s">
        <v>42</v>
      </c>
      <c r="O1046">
        <f t="shared" si="32"/>
        <v>8450</v>
      </c>
      <c r="P1046" s="13">
        <f t="shared" si="33"/>
        <v>2829840</v>
      </c>
      <c r="Q1046" s="13">
        <f>SUMIFS(M:M,E:E,Online_eCommerce[[#This Row],[Status]])</f>
        <v>28620410</v>
      </c>
      <c r="R1046" s="13">
        <f>SUMIFS(L:L,H:H,Online_eCommerce[[#This Row],[Brand]])</f>
        <v>12435650</v>
      </c>
      <c r="S1046" s="13">
        <f>SUMIF(H:H,Online_eCommerce[[#This Row],[Brand]],M:M)</f>
        <v>16166345</v>
      </c>
      <c r="T1046" s="13">
        <f>SUMIF(N:N,Online_eCommerce[[#This Row],[Assigned Supervisor]],L:L)</f>
        <v>12261500</v>
      </c>
    </row>
    <row r="1047" spans="1:20" hidden="1" x14ac:dyDescent="0.3">
      <c r="A1047" t="s">
        <v>1582</v>
      </c>
      <c r="B1047" t="s">
        <v>235</v>
      </c>
      <c r="C1047" t="s">
        <v>199</v>
      </c>
      <c r="D1047" t="s">
        <v>1543</v>
      </c>
      <c r="E1047" t="s">
        <v>96</v>
      </c>
      <c r="F1047" t="s">
        <v>152</v>
      </c>
      <c r="G1047" t="s">
        <v>26</v>
      </c>
      <c r="H1047" t="s">
        <v>27</v>
      </c>
      <c r="I1047">
        <v>8500</v>
      </c>
      <c r="J1047">
        <v>11050</v>
      </c>
      <c r="K1047">
        <v>1</v>
      </c>
      <c r="L1047">
        <v>8500</v>
      </c>
      <c r="M1047">
        <v>11050</v>
      </c>
      <c r="N1047" t="s">
        <v>50</v>
      </c>
      <c r="O1047">
        <f t="shared" si="32"/>
        <v>33150</v>
      </c>
      <c r="P1047" s="13">
        <f t="shared" si="33"/>
        <v>1947361</v>
      </c>
      <c r="Q1047" s="13">
        <f>SUMIFS(M:M,E:E,Online_eCommerce[[#This Row],[Status]])</f>
        <v>21233992</v>
      </c>
      <c r="R1047" s="13">
        <f>SUMIFS(L:L,H:H,Online_eCommerce[[#This Row],[Brand]])</f>
        <v>14431000</v>
      </c>
      <c r="S1047" s="13">
        <f>SUMIF(H:H,Online_eCommerce[[#This Row],[Brand]],M:M)</f>
        <v>18760300</v>
      </c>
      <c r="T1047" s="13">
        <f>SUMIF(N:N,Online_eCommerce[[#This Row],[Assigned Supervisor]],L:L)</f>
        <v>12100590</v>
      </c>
    </row>
    <row r="1048" spans="1:20" hidden="1" x14ac:dyDescent="0.3">
      <c r="A1048" t="s">
        <v>1583</v>
      </c>
      <c r="B1048" t="s">
        <v>235</v>
      </c>
      <c r="C1048" t="s">
        <v>203</v>
      </c>
      <c r="D1048" t="s">
        <v>1543</v>
      </c>
      <c r="E1048" t="s">
        <v>18</v>
      </c>
      <c r="F1048" t="s">
        <v>157</v>
      </c>
      <c r="G1048" t="s">
        <v>33</v>
      </c>
      <c r="H1048" t="s">
        <v>34</v>
      </c>
      <c r="I1048">
        <v>12500</v>
      </c>
      <c r="J1048">
        <v>16250</v>
      </c>
      <c r="K1048">
        <v>2</v>
      </c>
      <c r="L1048">
        <v>25000</v>
      </c>
      <c r="M1048">
        <v>32500</v>
      </c>
      <c r="N1048" t="s">
        <v>56</v>
      </c>
      <c r="O1048">
        <f t="shared" si="32"/>
        <v>18200</v>
      </c>
      <c r="P1048" s="13">
        <f t="shared" si="33"/>
        <v>2559635</v>
      </c>
      <c r="Q1048" s="13">
        <f>SUMIFS(M:M,E:E,Online_eCommerce[[#This Row],[Status]])</f>
        <v>28340455</v>
      </c>
      <c r="R1048" s="13">
        <f>SUMIFS(L:L,H:H,Online_eCommerce[[#This Row],[Brand]])</f>
        <v>10087000</v>
      </c>
      <c r="S1048" s="13">
        <f>SUMIF(H:H,Online_eCommerce[[#This Row],[Brand]],M:M)</f>
        <v>13113100</v>
      </c>
      <c r="T1048" s="13">
        <f>SUMIF(N:N,Online_eCommerce[[#This Row],[Assigned Supervisor]],L:L)</f>
        <v>11733610</v>
      </c>
    </row>
    <row r="1049" spans="1:20" hidden="1" x14ac:dyDescent="0.3">
      <c r="A1049" t="s">
        <v>1584</v>
      </c>
      <c r="B1049" t="s">
        <v>235</v>
      </c>
      <c r="C1049" t="s">
        <v>205</v>
      </c>
      <c r="D1049" t="s">
        <v>1543</v>
      </c>
      <c r="E1049" t="s">
        <v>161</v>
      </c>
      <c r="F1049" t="s">
        <v>1238</v>
      </c>
      <c r="G1049" t="s">
        <v>163</v>
      </c>
      <c r="H1049" t="s">
        <v>41</v>
      </c>
      <c r="I1049">
        <v>3500</v>
      </c>
      <c r="J1049">
        <v>4550</v>
      </c>
      <c r="K1049">
        <v>4</v>
      </c>
      <c r="L1049">
        <v>14000</v>
      </c>
      <c r="M1049">
        <v>18200</v>
      </c>
      <c r="N1049" t="s">
        <v>22</v>
      </c>
      <c r="O1049">
        <f t="shared" si="32"/>
        <v>13650</v>
      </c>
      <c r="P1049" s="13">
        <f t="shared" si="33"/>
        <v>1983254</v>
      </c>
      <c r="Q1049" s="13">
        <f>SUMIFS(M:M,E:E,Online_eCommerce[[#This Row],[Status]])</f>
        <v>21103186</v>
      </c>
      <c r="R1049" s="13">
        <f>SUMIFS(L:L,H:H,Online_eCommerce[[#This Row],[Brand]])</f>
        <v>4260400</v>
      </c>
      <c r="S1049" s="13">
        <f>SUMIF(H:H,Online_eCommerce[[#This Row],[Brand]],M:M)</f>
        <v>5538520</v>
      </c>
      <c r="T1049" s="13">
        <f>SUMIF(N:N,Online_eCommerce[[#This Row],[Assigned Supervisor]],L:L)</f>
        <v>13693220</v>
      </c>
    </row>
    <row r="1050" spans="1:20" x14ac:dyDescent="0.3">
      <c r="A1050" t="s">
        <v>1585</v>
      </c>
      <c r="B1050" t="s">
        <v>235</v>
      </c>
      <c r="C1050" t="s">
        <v>208</v>
      </c>
      <c r="D1050" t="s">
        <v>1543</v>
      </c>
      <c r="E1050" t="s">
        <v>46</v>
      </c>
      <c r="F1050" t="s">
        <v>166</v>
      </c>
      <c r="G1050" t="s">
        <v>66</v>
      </c>
      <c r="H1050" t="s">
        <v>49</v>
      </c>
      <c r="I1050">
        <v>4500</v>
      </c>
      <c r="J1050">
        <v>5850</v>
      </c>
      <c r="K1050">
        <v>4</v>
      </c>
      <c r="L1050">
        <v>18000</v>
      </c>
      <c r="M1050">
        <v>23400</v>
      </c>
      <c r="N1050" t="s">
        <v>28</v>
      </c>
      <c r="O1050">
        <f t="shared" si="32"/>
        <v>1690</v>
      </c>
      <c r="P1050" s="13">
        <f t="shared" si="33"/>
        <v>2746575</v>
      </c>
      <c r="Q1050" s="13">
        <f>SUMIFS(M:M,E:E,Online_eCommerce[[#This Row],[Status]])</f>
        <v>28620410</v>
      </c>
      <c r="R1050" s="13">
        <f>SUMIFS(L:L,H:H,Online_eCommerce[[#This Row],[Brand]])</f>
        <v>4528350</v>
      </c>
      <c r="S1050" s="13">
        <f>SUMIF(H:H,Online_eCommerce[[#This Row],[Brand]],M:M)</f>
        <v>5886855</v>
      </c>
      <c r="T1050" s="13">
        <f>SUMIF(N:N,Online_eCommerce[[#This Row],[Assigned Supervisor]],L:L)</f>
        <v>12220830</v>
      </c>
    </row>
    <row r="1051" spans="1:20" hidden="1" x14ac:dyDescent="0.3">
      <c r="A1051" t="s">
        <v>1586</v>
      </c>
      <c r="B1051" t="s">
        <v>235</v>
      </c>
      <c r="C1051" t="s">
        <v>211</v>
      </c>
      <c r="D1051" t="s">
        <v>1543</v>
      </c>
      <c r="E1051" t="s">
        <v>96</v>
      </c>
      <c r="F1051" t="s">
        <v>1587</v>
      </c>
      <c r="G1051" t="s">
        <v>54</v>
      </c>
      <c r="H1051" t="s">
        <v>55</v>
      </c>
      <c r="I1051">
        <v>2100</v>
      </c>
      <c r="J1051">
        <v>2730</v>
      </c>
      <c r="K1051">
        <v>1</v>
      </c>
      <c r="L1051">
        <v>2100</v>
      </c>
      <c r="M1051">
        <v>2730</v>
      </c>
      <c r="N1051" t="s">
        <v>35</v>
      </c>
      <c r="O1051">
        <f t="shared" si="32"/>
        <v>2990</v>
      </c>
      <c r="P1051" s="13">
        <f t="shared" si="33"/>
        <v>1809847</v>
      </c>
      <c r="Q1051" s="13">
        <f>SUMIFS(M:M,E:E,Online_eCommerce[[#This Row],[Status]])</f>
        <v>21233992</v>
      </c>
      <c r="R1051" s="13">
        <f>SUMIFS(L:L,H:H,Online_eCommerce[[#This Row],[Brand]])</f>
        <v>2267380</v>
      </c>
      <c r="S1051" s="13">
        <f>SUMIF(H:H,Online_eCommerce[[#This Row],[Brand]],M:M)</f>
        <v>2947594</v>
      </c>
      <c r="T1051" s="13">
        <f>SUMIF(N:N,Online_eCommerce[[#This Row],[Assigned Supervisor]],L:L)</f>
        <v>14373360</v>
      </c>
    </row>
    <row r="1052" spans="1:20" hidden="1" x14ac:dyDescent="0.3">
      <c r="A1052" t="s">
        <v>1588</v>
      </c>
      <c r="B1052" t="s">
        <v>235</v>
      </c>
      <c r="C1052" t="s">
        <v>16</v>
      </c>
      <c r="D1052" t="s">
        <v>1543</v>
      </c>
      <c r="E1052" t="s">
        <v>18</v>
      </c>
      <c r="F1052" t="s">
        <v>174</v>
      </c>
      <c r="G1052" t="s">
        <v>60</v>
      </c>
      <c r="H1052" t="s">
        <v>61</v>
      </c>
      <c r="I1052">
        <v>1150</v>
      </c>
      <c r="J1052">
        <v>1495</v>
      </c>
      <c r="K1052">
        <v>3</v>
      </c>
      <c r="L1052">
        <v>3450</v>
      </c>
      <c r="M1052">
        <v>4485</v>
      </c>
      <c r="N1052" t="s">
        <v>42</v>
      </c>
      <c r="O1052">
        <f t="shared" si="32"/>
        <v>3315</v>
      </c>
      <c r="P1052" s="13">
        <f t="shared" si="33"/>
        <v>2751814</v>
      </c>
      <c r="Q1052" s="13">
        <f>SUMIFS(M:M,E:E,Online_eCommerce[[#This Row],[Status]])</f>
        <v>28340455</v>
      </c>
      <c r="R1052" s="13">
        <f>SUMIFS(L:L,H:H,Online_eCommerce[[#This Row],[Brand]])</f>
        <v>10950150</v>
      </c>
      <c r="S1052" s="13">
        <f>SUMIF(H:H,Online_eCommerce[[#This Row],[Brand]],M:M)</f>
        <v>14235195</v>
      </c>
      <c r="T1052" s="13">
        <f>SUMIF(N:N,Online_eCommerce[[#This Row],[Assigned Supervisor]],L:L)</f>
        <v>12261500</v>
      </c>
    </row>
    <row r="1053" spans="1:20" hidden="1" x14ac:dyDescent="0.3">
      <c r="A1053" t="s">
        <v>1589</v>
      </c>
      <c r="B1053" t="s">
        <v>235</v>
      </c>
      <c r="C1053" t="s">
        <v>24</v>
      </c>
      <c r="D1053" t="s">
        <v>1543</v>
      </c>
      <c r="E1053" t="s">
        <v>161</v>
      </c>
      <c r="F1053" t="s">
        <v>179</v>
      </c>
      <c r="G1053" t="s">
        <v>66</v>
      </c>
      <c r="H1053" t="s">
        <v>21</v>
      </c>
      <c r="I1053">
        <v>350</v>
      </c>
      <c r="J1053">
        <v>455</v>
      </c>
      <c r="K1053">
        <v>1</v>
      </c>
      <c r="L1053">
        <v>350</v>
      </c>
      <c r="M1053">
        <v>455</v>
      </c>
      <c r="N1053" t="s">
        <v>50</v>
      </c>
      <c r="O1053">
        <f t="shared" si="32"/>
        <v>1690</v>
      </c>
      <c r="P1053" s="13">
        <f t="shared" si="33"/>
        <v>2009540</v>
      </c>
      <c r="Q1053" s="13">
        <f>SUMIFS(M:M,E:E,Online_eCommerce[[#This Row],[Status]])</f>
        <v>21103186</v>
      </c>
      <c r="R1053" s="13">
        <f>SUMIFS(L:L,H:H,Online_eCommerce[[#This Row],[Brand]])</f>
        <v>12435650</v>
      </c>
      <c r="S1053" s="13">
        <f>SUMIF(H:H,Online_eCommerce[[#This Row],[Brand]],M:M)</f>
        <v>16166345</v>
      </c>
      <c r="T1053" s="13">
        <f>SUMIF(N:N,Online_eCommerce[[#This Row],[Assigned Supervisor]],L:L)</f>
        <v>12100590</v>
      </c>
    </row>
    <row r="1054" spans="1:20" x14ac:dyDescent="0.3">
      <c r="A1054" t="s">
        <v>1590</v>
      </c>
      <c r="B1054" t="s">
        <v>235</v>
      </c>
      <c r="C1054" t="s">
        <v>31</v>
      </c>
      <c r="D1054" t="s">
        <v>1543</v>
      </c>
      <c r="E1054" t="s">
        <v>46</v>
      </c>
      <c r="F1054" t="s">
        <v>183</v>
      </c>
      <c r="G1054" t="s">
        <v>71</v>
      </c>
      <c r="H1054" t="s">
        <v>61</v>
      </c>
      <c r="I1054">
        <v>9500</v>
      </c>
      <c r="J1054">
        <v>12350</v>
      </c>
      <c r="K1054">
        <v>4</v>
      </c>
      <c r="L1054">
        <v>38000</v>
      </c>
      <c r="M1054">
        <v>49400</v>
      </c>
      <c r="N1054" t="s">
        <v>56</v>
      </c>
      <c r="O1054">
        <f t="shared" si="32"/>
        <v>9750</v>
      </c>
      <c r="P1054" s="13">
        <f t="shared" si="33"/>
        <v>2865746</v>
      </c>
      <c r="Q1054" s="13">
        <f>SUMIFS(M:M,E:E,Online_eCommerce[[#This Row],[Status]])</f>
        <v>28620410</v>
      </c>
      <c r="R1054" s="13">
        <f>SUMIFS(L:L,H:H,Online_eCommerce[[#This Row],[Brand]])</f>
        <v>10950150</v>
      </c>
      <c r="S1054" s="13">
        <f>SUMIF(H:H,Online_eCommerce[[#This Row],[Brand]],M:M)</f>
        <v>14235195</v>
      </c>
      <c r="T1054" s="13">
        <f>SUMIF(N:N,Online_eCommerce[[#This Row],[Assigned Supervisor]],L:L)</f>
        <v>11733610</v>
      </c>
    </row>
    <row r="1055" spans="1:20" hidden="1" x14ac:dyDescent="0.3">
      <c r="A1055" t="s">
        <v>1591</v>
      </c>
      <c r="B1055" t="s">
        <v>235</v>
      </c>
      <c r="C1055" t="s">
        <v>38</v>
      </c>
      <c r="D1055" t="s">
        <v>1543</v>
      </c>
      <c r="E1055" t="s">
        <v>96</v>
      </c>
      <c r="F1055" t="s">
        <v>1592</v>
      </c>
      <c r="G1055" t="s">
        <v>77</v>
      </c>
      <c r="H1055" t="s">
        <v>142</v>
      </c>
      <c r="I1055">
        <v>10000</v>
      </c>
      <c r="J1055">
        <v>13000</v>
      </c>
      <c r="K1055">
        <v>2</v>
      </c>
      <c r="L1055">
        <v>20000</v>
      </c>
      <c r="M1055">
        <v>26000</v>
      </c>
      <c r="N1055" t="s">
        <v>22</v>
      </c>
      <c r="O1055">
        <f t="shared" si="32"/>
        <v>39000</v>
      </c>
      <c r="P1055" s="13">
        <f t="shared" si="33"/>
        <v>1933997</v>
      </c>
      <c r="Q1055" s="13">
        <f>SUMIFS(M:M,E:E,Online_eCommerce[[#This Row],[Status]])</f>
        <v>21233992</v>
      </c>
      <c r="R1055" s="13">
        <f>SUMIFS(L:L,H:H,Online_eCommerce[[#This Row],[Brand]])</f>
        <v>6192500</v>
      </c>
      <c r="S1055" s="13">
        <f>SUMIF(H:H,Online_eCommerce[[#This Row],[Brand]],M:M)</f>
        <v>8050250</v>
      </c>
      <c r="T1055" s="13">
        <f>SUMIF(N:N,Online_eCommerce[[#This Row],[Assigned Supervisor]],L:L)</f>
        <v>13693220</v>
      </c>
    </row>
    <row r="1056" spans="1:20" hidden="1" x14ac:dyDescent="0.3">
      <c r="A1056" t="s">
        <v>1593</v>
      </c>
      <c r="B1056" t="s">
        <v>235</v>
      </c>
      <c r="C1056" t="s">
        <v>45</v>
      </c>
      <c r="D1056" t="s">
        <v>1543</v>
      </c>
      <c r="E1056" t="s">
        <v>18</v>
      </c>
      <c r="F1056" t="s">
        <v>1594</v>
      </c>
      <c r="G1056" t="s">
        <v>20</v>
      </c>
      <c r="H1056" t="s">
        <v>21</v>
      </c>
      <c r="I1056">
        <v>6500</v>
      </c>
      <c r="J1056">
        <v>8450</v>
      </c>
      <c r="K1056">
        <v>2</v>
      </c>
      <c r="L1056">
        <v>13000</v>
      </c>
      <c r="M1056">
        <v>16900</v>
      </c>
      <c r="N1056" t="s">
        <v>28</v>
      </c>
      <c r="O1056">
        <f t="shared" si="32"/>
        <v>8450</v>
      </c>
      <c r="P1056" s="13">
        <f t="shared" si="33"/>
        <v>2842554</v>
      </c>
      <c r="Q1056" s="13">
        <f>SUMIFS(M:M,E:E,Online_eCommerce[[#This Row],[Status]])</f>
        <v>28340455</v>
      </c>
      <c r="R1056" s="13">
        <f>SUMIFS(L:L,H:H,Online_eCommerce[[#This Row],[Brand]])</f>
        <v>12435650</v>
      </c>
      <c r="S1056" s="13">
        <f>SUMIF(H:H,Online_eCommerce[[#This Row],[Brand]],M:M)</f>
        <v>16166345</v>
      </c>
      <c r="T1056" s="13">
        <f>SUMIF(N:N,Online_eCommerce[[#This Row],[Assigned Supervisor]],L:L)</f>
        <v>12220830</v>
      </c>
    </row>
    <row r="1057" spans="1:20" hidden="1" x14ac:dyDescent="0.3">
      <c r="A1057" t="s">
        <v>1595</v>
      </c>
      <c r="B1057" t="s">
        <v>235</v>
      </c>
      <c r="C1057" t="s">
        <v>52</v>
      </c>
      <c r="D1057" t="s">
        <v>1543</v>
      </c>
      <c r="E1057" t="s">
        <v>161</v>
      </c>
      <c r="F1057" t="s">
        <v>1596</v>
      </c>
      <c r="G1057" t="s">
        <v>26</v>
      </c>
      <c r="H1057" t="s">
        <v>27</v>
      </c>
      <c r="I1057">
        <v>8500</v>
      </c>
      <c r="J1057">
        <v>11050</v>
      </c>
      <c r="K1057">
        <v>1</v>
      </c>
      <c r="L1057">
        <v>8500</v>
      </c>
      <c r="M1057">
        <v>11050</v>
      </c>
      <c r="N1057" t="s">
        <v>35</v>
      </c>
      <c r="O1057">
        <f t="shared" si="32"/>
        <v>33150</v>
      </c>
      <c r="P1057" s="13">
        <f t="shared" si="33"/>
        <v>1955044</v>
      </c>
      <c r="Q1057" s="13">
        <f>SUMIFS(M:M,E:E,Online_eCommerce[[#This Row],[Status]])</f>
        <v>21103186</v>
      </c>
      <c r="R1057" s="13">
        <f>SUMIFS(L:L,H:H,Online_eCommerce[[#This Row],[Brand]])</f>
        <v>14431000</v>
      </c>
      <c r="S1057" s="13">
        <f>SUMIF(H:H,Online_eCommerce[[#This Row],[Brand]],M:M)</f>
        <v>18760300</v>
      </c>
      <c r="T1057" s="13">
        <f>SUMIF(N:N,Online_eCommerce[[#This Row],[Assigned Supervisor]],L:L)</f>
        <v>14373360</v>
      </c>
    </row>
    <row r="1058" spans="1:20" x14ac:dyDescent="0.3">
      <c r="A1058" t="s">
        <v>1597</v>
      </c>
      <c r="B1058" t="s">
        <v>235</v>
      </c>
      <c r="C1058" t="s">
        <v>58</v>
      </c>
      <c r="D1058" t="s">
        <v>1543</v>
      </c>
      <c r="E1058" t="s">
        <v>46</v>
      </c>
      <c r="F1058" t="s">
        <v>32</v>
      </c>
      <c r="G1058" t="s">
        <v>33</v>
      </c>
      <c r="H1058" t="s">
        <v>34</v>
      </c>
      <c r="I1058">
        <v>7000</v>
      </c>
      <c r="J1058">
        <v>9100</v>
      </c>
      <c r="K1058">
        <v>1</v>
      </c>
      <c r="L1058">
        <v>7000</v>
      </c>
      <c r="M1058">
        <v>9100</v>
      </c>
      <c r="N1058" t="s">
        <v>42</v>
      </c>
      <c r="O1058">
        <f t="shared" si="32"/>
        <v>18200</v>
      </c>
      <c r="P1058" s="13">
        <f t="shared" si="33"/>
        <v>2629211</v>
      </c>
      <c r="Q1058" s="13">
        <f>SUMIFS(M:M,E:E,Online_eCommerce[[#This Row],[Status]])</f>
        <v>28620410</v>
      </c>
      <c r="R1058" s="13">
        <f>SUMIFS(L:L,H:H,Online_eCommerce[[#This Row],[Brand]])</f>
        <v>10087000</v>
      </c>
      <c r="S1058" s="13">
        <f>SUMIF(H:H,Online_eCommerce[[#This Row],[Brand]],M:M)</f>
        <v>13113100</v>
      </c>
      <c r="T1058" s="13">
        <f>SUMIF(N:N,Online_eCommerce[[#This Row],[Assigned Supervisor]],L:L)</f>
        <v>12261500</v>
      </c>
    </row>
    <row r="1059" spans="1:20" hidden="1" x14ac:dyDescent="0.3">
      <c r="A1059" t="s">
        <v>1598</v>
      </c>
      <c r="B1059" t="s">
        <v>235</v>
      </c>
      <c r="C1059" t="s">
        <v>63</v>
      </c>
      <c r="D1059" t="s">
        <v>1543</v>
      </c>
      <c r="E1059" t="s">
        <v>96</v>
      </c>
      <c r="F1059" t="s">
        <v>1599</v>
      </c>
      <c r="G1059" t="s">
        <v>163</v>
      </c>
      <c r="H1059" t="s">
        <v>41</v>
      </c>
      <c r="I1059">
        <v>6550</v>
      </c>
      <c r="J1059">
        <v>8515</v>
      </c>
      <c r="K1059">
        <v>1</v>
      </c>
      <c r="L1059">
        <v>6550</v>
      </c>
      <c r="M1059">
        <v>8515</v>
      </c>
      <c r="N1059" t="s">
        <v>50</v>
      </c>
      <c r="O1059">
        <f t="shared" si="32"/>
        <v>13650</v>
      </c>
      <c r="P1059" s="13">
        <f t="shared" si="33"/>
        <v>2016131</v>
      </c>
      <c r="Q1059" s="13">
        <f>SUMIFS(M:M,E:E,Online_eCommerce[[#This Row],[Status]])</f>
        <v>21233992</v>
      </c>
      <c r="R1059" s="13">
        <f>SUMIFS(L:L,H:H,Online_eCommerce[[#This Row],[Brand]])</f>
        <v>4260400</v>
      </c>
      <c r="S1059" s="13">
        <f>SUMIF(H:H,Online_eCommerce[[#This Row],[Brand]],M:M)</f>
        <v>5538520</v>
      </c>
      <c r="T1059" s="13">
        <f>SUMIF(N:N,Online_eCommerce[[#This Row],[Assigned Supervisor]],L:L)</f>
        <v>12100590</v>
      </c>
    </row>
    <row r="1060" spans="1:20" hidden="1" x14ac:dyDescent="0.3">
      <c r="A1060" t="s">
        <v>1600</v>
      </c>
      <c r="B1060" t="s">
        <v>235</v>
      </c>
      <c r="C1060" t="s">
        <v>68</v>
      </c>
      <c r="D1060" t="s">
        <v>1543</v>
      </c>
      <c r="E1060" t="s">
        <v>18</v>
      </c>
      <c r="F1060" t="s">
        <v>47</v>
      </c>
      <c r="G1060" t="s">
        <v>66</v>
      </c>
      <c r="H1060" t="s">
        <v>49</v>
      </c>
      <c r="I1060">
        <v>7650</v>
      </c>
      <c r="J1060">
        <v>9945</v>
      </c>
      <c r="K1060">
        <v>2</v>
      </c>
      <c r="L1060">
        <v>15300</v>
      </c>
      <c r="M1060">
        <v>19890</v>
      </c>
      <c r="N1060" t="s">
        <v>56</v>
      </c>
      <c r="O1060">
        <f t="shared" si="32"/>
        <v>1690</v>
      </c>
      <c r="P1060" s="13">
        <f t="shared" si="33"/>
        <v>2974621</v>
      </c>
      <c r="Q1060" s="13">
        <f>SUMIFS(M:M,E:E,Online_eCommerce[[#This Row],[Status]])</f>
        <v>28340455</v>
      </c>
      <c r="R1060" s="13">
        <f>SUMIFS(L:L,H:H,Online_eCommerce[[#This Row],[Brand]])</f>
        <v>4528350</v>
      </c>
      <c r="S1060" s="13">
        <f>SUMIF(H:H,Online_eCommerce[[#This Row],[Brand]],M:M)</f>
        <v>5886855</v>
      </c>
      <c r="T1060" s="13">
        <f>SUMIF(N:N,Online_eCommerce[[#This Row],[Assigned Supervisor]],L:L)</f>
        <v>11733610</v>
      </c>
    </row>
    <row r="1061" spans="1:20" hidden="1" x14ac:dyDescent="0.3">
      <c r="A1061" t="s">
        <v>1601</v>
      </c>
      <c r="B1061" t="s">
        <v>235</v>
      </c>
      <c r="C1061" t="s">
        <v>74</v>
      </c>
      <c r="D1061" t="s">
        <v>1543</v>
      </c>
      <c r="E1061" t="s">
        <v>161</v>
      </c>
      <c r="F1061" t="s">
        <v>53</v>
      </c>
      <c r="G1061" t="s">
        <v>54</v>
      </c>
      <c r="H1061" t="s">
        <v>55</v>
      </c>
      <c r="I1061">
        <v>1150</v>
      </c>
      <c r="J1061">
        <v>1495</v>
      </c>
      <c r="K1061">
        <v>3</v>
      </c>
      <c r="L1061">
        <v>3450</v>
      </c>
      <c r="M1061">
        <v>4485</v>
      </c>
      <c r="N1061" t="s">
        <v>22</v>
      </c>
      <c r="O1061">
        <f t="shared" si="32"/>
        <v>2990</v>
      </c>
      <c r="P1061" s="13">
        <f t="shared" si="33"/>
        <v>2144701</v>
      </c>
      <c r="Q1061" s="13">
        <f>SUMIFS(M:M,E:E,Online_eCommerce[[#This Row],[Status]])</f>
        <v>21103186</v>
      </c>
      <c r="R1061" s="13">
        <f>SUMIFS(L:L,H:H,Online_eCommerce[[#This Row],[Brand]])</f>
        <v>2267380</v>
      </c>
      <c r="S1061" s="13">
        <f>SUMIF(H:H,Online_eCommerce[[#This Row],[Brand]],M:M)</f>
        <v>2947594</v>
      </c>
      <c r="T1061" s="13">
        <f>SUMIF(N:N,Online_eCommerce[[#This Row],[Assigned Supervisor]],L:L)</f>
        <v>13693220</v>
      </c>
    </row>
    <row r="1062" spans="1:20" x14ac:dyDescent="0.3">
      <c r="A1062" t="s">
        <v>1602</v>
      </c>
      <c r="B1062" t="s">
        <v>235</v>
      </c>
      <c r="C1062" t="s">
        <v>81</v>
      </c>
      <c r="D1062" t="s">
        <v>1543</v>
      </c>
      <c r="E1062" t="s">
        <v>46</v>
      </c>
      <c r="F1062" t="s">
        <v>59</v>
      </c>
      <c r="G1062" t="s">
        <v>60</v>
      </c>
      <c r="H1062" t="s">
        <v>61</v>
      </c>
      <c r="I1062">
        <v>850</v>
      </c>
      <c r="J1062">
        <v>1105</v>
      </c>
      <c r="K1062">
        <v>2</v>
      </c>
      <c r="L1062">
        <v>1700</v>
      </c>
      <c r="M1062">
        <v>2210</v>
      </c>
      <c r="N1062" t="s">
        <v>28</v>
      </c>
      <c r="O1062">
        <f t="shared" si="32"/>
        <v>3315</v>
      </c>
      <c r="P1062" s="13">
        <f t="shared" si="33"/>
        <v>2595632</v>
      </c>
      <c r="Q1062" s="13">
        <f>SUMIFS(M:M,E:E,Online_eCommerce[[#This Row],[Status]])</f>
        <v>28620410</v>
      </c>
      <c r="R1062" s="13">
        <f>SUMIFS(L:L,H:H,Online_eCommerce[[#This Row],[Brand]])</f>
        <v>10950150</v>
      </c>
      <c r="S1062" s="13">
        <f>SUMIF(H:H,Online_eCommerce[[#This Row],[Brand]],M:M)</f>
        <v>14235195</v>
      </c>
      <c r="T1062" s="13">
        <f>SUMIF(N:N,Online_eCommerce[[#This Row],[Assigned Supervisor]],L:L)</f>
        <v>12220830</v>
      </c>
    </row>
    <row r="1063" spans="1:20" hidden="1" x14ac:dyDescent="0.3">
      <c r="A1063" t="s">
        <v>1603</v>
      </c>
      <c r="B1063" t="s">
        <v>235</v>
      </c>
      <c r="C1063" t="s">
        <v>86</v>
      </c>
      <c r="D1063" t="s">
        <v>1543</v>
      </c>
      <c r="E1063" t="s">
        <v>96</v>
      </c>
      <c r="F1063" t="s">
        <v>65</v>
      </c>
      <c r="G1063" t="s">
        <v>66</v>
      </c>
      <c r="H1063" t="s">
        <v>21</v>
      </c>
      <c r="I1063">
        <v>650</v>
      </c>
      <c r="J1063">
        <v>845</v>
      </c>
      <c r="K1063">
        <v>1</v>
      </c>
      <c r="L1063">
        <v>650</v>
      </c>
      <c r="M1063">
        <v>845</v>
      </c>
      <c r="N1063" t="s">
        <v>35</v>
      </c>
      <c r="O1063">
        <f t="shared" si="32"/>
        <v>1690</v>
      </c>
      <c r="P1063" s="13">
        <f t="shared" si="33"/>
        <v>1941225</v>
      </c>
      <c r="Q1063" s="13">
        <f>SUMIFS(M:M,E:E,Online_eCommerce[[#This Row],[Status]])</f>
        <v>21233992</v>
      </c>
      <c r="R1063" s="13">
        <f>SUMIFS(L:L,H:H,Online_eCommerce[[#This Row],[Brand]])</f>
        <v>12435650</v>
      </c>
      <c r="S1063" s="13">
        <f>SUMIF(H:H,Online_eCommerce[[#This Row],[Brand]],M:M)</f>
        <v>16166345</v>
      </c>
      <c r="T1063" s="13">
        <f>SUMIF(N:N,Online_eCommerce[[#This Row],[Assigned Supervisor]],L:L)</f>
        <v>14373360</v>
      </c>
    </row>
    <row r="1064" spans="1:20" hidden="1" x14ac:dyDescent="0.3">
      <c r="A1064" t="s">
        <v>1604</v>
      </c>
      <c r="B1064" t="s">
        <v>235</v>
      </c>
      <c r="C1064" t="s">
        <v>91</v>
      </c>
      <c r="D1064" t="s">
        <v>1605</v>
      </c>
      <c r="E1064" t="s">
        <v>18</v>
      </c>
      <c r="F1064" t="s">
        <v>70</v>
      </c>
      <c r="G1064" t="s">
        <v>71</v>
      </c>
      <c r="H1064" t="s">
        <v>61</v>
      </c>
      <c r="I1064">
        <v>7500</v>
      </c>
      <c r="J1064">
        <v>9750</v>
      </c>
      <c r="K1064">
        <v>4</v>
      </c>
      <c r="L1064">
        <v>30000</v>
      </c>
      <c r="M1064">
        <v>39000</v>
      </c>
      <c r="N1064" t="s">
        <v>42</v>
      </c>
      <c r="O1064">
        <f t="shared" si="32"/>
        <v>9750</v>
      </c>
      <c r="P1064" s="13">
        <f t="shared" si="33"/>
        <v>2731963</v>
      </c>
      <c r="Q1064" s="13">
        <f>SUMIFS(M:M,E:E,Online_eCommerce[[#This Row],[Status]])</f>
        <v>28340455</v>
      </c>
      <c r="R1064" s="13">
        <f>SUMIFS(L:L,H:H,Online_eCommerce[[#This Row],[Brand]])</f>
        <v>10950150</v>
      </c>
      <c r="S1064" s="13">
        <f>SUMIF(H:H,Online_eCommerce[[#This Row],[Brand]],M:M)</f>
        <v>14235195</v>
      </c>
      <c r="T1064" s="13">
        <f>SUMIF(N:N,Online_eCommerce[[#This Row],[Assigned Supervisor]],L:L)</f>
        <v>12261500</v>
      </c>
    </row>
    <row r="1065" spans="1:20" hidden="1" x14ac:dyDescent="0.3">
      <c r="A1065" t="s">
        <v>1606</v>
      </c>
      <c r="B1065" t="s">
        <v>235</v>
      </c>
      <c r="C1065" t="s">
        <v>94</v>
      </c>
      <c r="D1065" t="s">
        <v>1607</v>
      </c>
      <c r="E1065" t="s">
        <v>161</v>
      </c>
      <c r="F1065" t="s">
        <v>1592</v>
      </c>
      <c r="G1065" t="s">
        <v>77</v>
      </c>
      <c r="H1065" t="s">
        <v>78</v>
      </c>
      <c r="I1065">
        <v>10000</v>
      </c>
      <c r="J1065">
        <v>13000</v>
      </c>
      <c r="K1065">
        <v>4</v>
      </c>
      <c r="L1065">
        <v>40000</v>
      </c>
      <c r="M1065">
        <v>52000</v>
      </c>
      <c r="N1065" t="s">
        <v>50</v>
      </c>
      <c r="O1065">
        <f t="shared" si="32"/>
        <v>39000</v>
      </c>
      <c r="P1065" s="13">
        <f t="shared" si="33"/>
        <v>1868256</v>
      </c>
      <c r="Q1065" s="13">
        <f>SUMIFS(M:M,E:E,Online_eCommerce[[#This Row],[Status]])</f>
        <v>21103186</v>
      </c>
      <c r="R1065" s="13">
        <f>SUMIFS(L:L,H:H,Online_eCommerce[[#This Row],[Brand]])</f>
        <v>3720000</v>
      </c>
      <c r="S1065" s="13">
        <f>SUMIF(H:H,Online_eCommerce[[#This Row],[Brand]],M:M)</f>
        <v>4836000</v>
      </c>
      <c r="T1065" s="13">
        <f>SUMIF(N:N,Online_eCommerce[[#This Row],[Assigned Supervisor]],L:L)</f>
        <v>12100590</v>
      </c>
    </row>
    <row r="1066" spans="1:20" x14ac:dyDescent="0.3">
      <c r="A1066" t="s">
        <v>1608</v>
      </c>
      <c r="B1066" t="s">
        <v>235</v>
      </c>
      <c r="C1066" t="s">
        <v>99</v>
      </c>
      <c r="D1066" t="s">
        <v>1609</v>
      </c>
      <c r="E1066" t="s">
        <v>46</v>
      </c>
      <c r="F1066" t="s">
        <v>1610</v>
      </c>
      <c r="G1066" t="s">
        <v>20</v>
      </c>
      <c r="H1066" t="s">
        <v>21</v>
      </c>
      <c r="I1066">
        <v>10500</v>
      </c>
      <c r="J1066">
        <v>13650</v>
      </c>
      <c r="K1066">
        <v>2</v>
      </c>
      <c r="L1066">
        <v>21000</v>
      </c>
      <c r="M1066">
        <v>27300</v>
      </c>
      <c r="N1066" t="s">
        <v>56</v>
      </c>
      <c r="O1066">
        <f t="shared" si="32"/>
        <v>8450</v>
      </c>
      <c r="P1066" s="13">
        <f t="shared" si="33"/>
        <v>2651233</v>
      </c>
      <c r="Q1066" s="13">
        <f>SUMIFS(M:M,E:E,Online_eCommerce[[#This Row],[Status]])</f>
        <v>28620410</v>
      </c>
      <c r="R1066" s="13">
        <f>SUMIFS(L:L,H:H,Online_eCommerce[[#This Row],[Brand]])</f>
        <v>12435650</v>
      </c>
      <c r="S1066" s="13">
        <f>SUMIF(H:H,Online_eCommerce[[#This Row],[Brand]],M:M)</f>
        <v>16166345</v>
      </c>
      <c r="T1066" s="13">
        <f>SUMIF(N:N,Online_eCommerce[[#This Row],[Assigned Supervisor]],L:L)</f>
        <v>11733610</v>
      </c>
    </row>
    <row r="1067" spans="1:20" hidden="1" x14ac:dyDescent="0.3">
      <c r="A1067" t="s">
        <v>1611</v>
      </c>
      <c r="B1067" t="s">
        <v>235</v>
      </c>
      <c r="C1067" t="s">
        <v>105</v>
      </c>
      <c r="D1067" t="s">
        <v>1612</v>
      </c>
      <c r="E1067" t="s">
        <v>96</v>
      </c>
      <c r="F1067" t="s">
        <v>88</v>
      </c>
      <c r="G1067" t="s">
        <v>26</v>
      </c>
      <c r="H1067" t="s">
        <v>27</v>
      </c>
      <c r="I1067">
        <v>8500</v>
      </c>
      <c r="J1067">
        <v>11050</v>
      </c>
      <c r="K1067">
        <v>2</v>
      </c>
      <c r="L1067">
        <v>17000</v>
      </c>
      <c r="M1067">
        <v>22100</v>
      </c>
      <c r="N1067" t="s">
        <v>22</v>
      </c>
      <c r="O1067">
        <f t="shared" si="32"/>
        <v>33150</v>
      </c>
      <c r="P1067" s="13">
        <f t="shared" si="33"/>
        <v>1866852</v>
      </c>
      <c r="Q1067" s="13">
        <f>SUMIFS(M:M,E:E,Online_eCommerce[[#This Row],[Status]])</f>
        <v>21233992</v>
      </c>
      <c r="R1067" s="13">
        <f>SUMIFS(L:L,H:H,Online_eCommerce[[#This Row],[Brand]])</f>
        <v>14431000</v>
      </c>
      <c r="S1067" s="13">
        <f>SUMIF(H:H,Online_eCommerce[[#This Row],[Brand]],M:M)</f>
        <v>18760300</v>
      </c>
      <c r="T1067" s="13">
        <f>SUMIF(N:N,Online_eCommerce[[#This Row],[Assigned Supervisor]],L:L)</f>
        <v>13693220</v>
      </c>
    </row>
    <row r="1068" spans="1:20" hidden="1" x14ac:dyDescent="0.3">
      <c r="A1068" t="s">
        <v>1613</v>
      </c>
      <c r="B1068" t="s">
        <v>235</v>
      </c>
      <c r="C1068" t="s">
        <v>110</v>
      </c>
      <c r="D1068" t="s">
        <v>1614</v>
      </c>
      <c r="E1068" t="s">
        <v>18</v>
      </c>
      <c r="F1068" t="s">
        <v>32</v>
      </c>
      <c r="G1068" t="s">
        <v>33</v>
      </c>
      <c r="H1068" t="s">
        <v>34</v>
      </c>
      <c r="I1068">
        <v>7000</v>
      </c>
      <c r="J1068">
        <v>9100</v>
      </c>
      <c r="K1068">
        <v>1</v>
      </c>
      <c r="L1068">
        <v>7000</v>
      </c>
      <c r="M1068">
        <v>9100</v>
      </c>
      <c r="N1068" t="s">
        <v>28</v>
      </c>
      <c r="O1068">
        <f t="shared" si="32"/>
        <v>18200</v>
      </c>
      <c r="P1068" s="13">
        <f t="shared" si="33"/>
        <v>2598635</v>
      </c>
      <c r="Q1068" s="13">
        <f>SUMIFS(M:M,E:E,Online_eCommerce[[#This Row],[Status]])</f>
        <v>28340455</v>
      </c>
      <c r="R1068" s="13">
        <f>SUMIFS(L:L,H:H,Online_eCommerce[[#This Row],[Brand]])</f>
        <v>10087000</v>
      </c>
      <c r="S1068" s="13">
        <f>SUMIF(H:H,Online_eCommerce[[#This Row],[Brand]],M:M)</f>
        <v>13113100</v>
      </c>
      <c r="T1068" s="13">
        <f>SUMIF(N:N,Online_eCommerce[[#This Row],[Assigned Supervisor]],L:L)</f>
        <v>12220830</v>
      </c>
    </row>
    <row r="1069" spans="1:20" hidden="1" x14ac:dyDescent="0.3">
      <c r="A1069" t="s">
        <v>1615</v>
      </c>
      <c r="B1069" t="s">
        <v>235</v>
      </c>
      <c r="C1069" t="s">
        <v>115</v>
      </c>
      <c r="D1069" t="s">
        <v>1616</v>
      </c>
      <c r="E1069" t="s">
        <v>161</v>
      </c>
      <c r="F1069" t="s">
        <v>1617</v>
      </c>
      <c r="G1069" t="s">
        <v>163</v>
      </c>
      <c r="H1069" t="s">
        <v>41</v>
      </c>
      <c r="I1069">
        <v>1680</v>
      </c>
      <c r="J1069">
        <v>2184</v>
      </c>
      <c r="K1069">
        <v>2</v>
      </c>
      <c r="L1069">
        <v>3360</v>
      </c>
      <c r="M1069">
        <v>4368</v>
      </c>
      <c r="N1069" t="s">
        <v>35</v>
      </c>
      <c r="O1069">
        <f t="shared" si="32"/>
        <v>13650</v>
      </c>
      <c r="P1069" s="13">
        <f t="shared" si="33"/>
        <v>2050178</v>
      </c>
      <c r="Q1069" s="13">
        <f>SUMIFS(M:M,E:E,Online_eCommerce[[#This Row],[Status]])</f>
        <v>21103186</v>
      </c>
      <c r="R1069" s="13">
        <f>SUMIFS(L:L,H:H,Online_eCommerce[[#This Row],[Brand]])</f>
        <v>4260400</v>
      </c>
      <c r="S1069" s="13">
        <f>SUMIF(H:H,Online_eCommerce[[#This Row],[Brand]],M:M)</f>
        <v>5538520</v>
      </c>
      <c r="T1069" s="13">
        <f>SUMIF(N:N,Online_eCommerce[[#This Row],[Assigned Supervisor]],L:L)</f>
        <v>14373360</v>
      </c>
    </row>
    <row r="1070" spans="1:20" x14ac:dyDescent="0.3">
      <c r="A1070" t="s">
        <v>1618</v>
      </c>
      <c r="B1070" t="s">
        <v>235</v>
      </c>
      <c r="C1070" t="s">
        <v>120</v>
      </c>
      <c r="D1070" t="s">
        <v>1619</v>
      </c>
      <c r="E1070" t="s">
        <v>46</v>
      </c>
      <c r="F1070" t="s">
        <v>101</v>
      </c>
      <c r="G1070" t="s">
        <v>66</v>
      </c>
      <c r="H1070" t="s">
        <v>102</v>
      </c>
      <c r="I1070">
        <v>6540</v>
      </c>
      <c r="J1070">
        <v>8502</v>
      </c>
      <c r="K1070">
        <v>2</v>
      </c>
      <c r="L1070">
        <v>13080</v>
      </c>
      <c r="M1070">
        <v>17004</v>
      </c>
      <c r="N1070" t="s">
        <v>42</v>
      </c>
      <c r="O1070">
        <f t="shared" si="32"/>
        <v>1690</v>
      </c>
      <c r="P1070" s="13">
        <f t="shared" si="33"/>
        <v>2734212</v>
      </c>
      <c r="Q1070" s="13">
        <f>SUMIFS(M:M,E:E,Online_eCommerce[[#This Row],[Status]])</f>
        <v>28620410</v>
      </c>
      <c r="R1070" s="13">
        <f>SUMIFS(L:L,H:H,Online_eCommerce[[#This Row],[Brand]])</f>
        <v>2465580</v>
      </c>
      <c r="S1070" s="13">
        <f>SUMIF(H:H,Online_eCommerce[[#This Row],[Brand]],M:M)</f>
        <v>3205254</v>
      </c>
      <c r="T1070" s="13">
        <f>SUMIF(N:N,Online_eCommerce[[#This Row],[Assigned Supervisor]],L:L)</f>
        <v>12261500</v>
      </c>
    </row>
    <row r="1071" spans="1:20" hidden="1" x14ac:dyDescent="0.3">
      <c r="A1071" t="s">
        <v>1620</v>
      </c>
      <c r="B1071" t="s">
        <v>235</v>
      </c>
      <c r="C1071" t="s">
        <v>125</v>
      </c>
      <c r="D1071" t="s">
        <v>1621</v>
      </c>
      <c r="E1071" t="s">
        <v>96</v>
      </c>
      <c r="F1071" t="s">
        <v>107</v>
      </c>
      <c r="G1071" t="s">
        <v>54</v>
      </c>
      <c r="H1071" t="s">
        <v>55</v>
      </c>
      <c r="I1071">
        <v>2680</v>
      </c>
      <c r="J1071">
        <v>3484</v>
      </c>
      <c r="K1071">
        <v>2</v>
      </c>
      <c r="L1071">
        <v>5360</v>
      </c>
      <c r="M1071">
        <v>6968</v>
      </c>
      <c r="N1071" t="s">
        <v>50</v>
      </c>
      <c r="O1071">
        <f t="shared" si="32"/>
        <v>2990</v>
      </c>
      <c r="P1071" s="13">
        <f t="shared" si="33"/>
        <v>2091154</v>
      </c>
      <c r="Q1071" s="13">
        <f>SUMIFS(M:M,E:E,Online_eCommerce[[#This Row],[Status]])</f>
        <v>21233992</v>
      </c>
      <c r="R1071" s="13">
        <f>SUMIFS(L:L,H:H,Online_eCommerce[[#This Row],[Brand]])</f>
        <v>2267380</v>
      </c>
      <c r="S1071" s="13">
        <f>SUMIF(H:H,Online_eCommerce[[#This Row],[Brand]],M:M)</f>
        <v>2947594</v>
      </c>
      <c r="T1071" s="13">
        <f>SUMIF(N:N,Online_eCommerce[[#This Row],[Assigned Supervisor]],L:L)</f>
        <v>12100590</v>
      </c>
    </row>
    <row r="1072" spans="1:20" hidden="1" x14ac:dyDescent="0.3">
      <c r="A1072" t="s">
        <v>1622</v>
      </c>
      <c r="B1072" t="s">
        <v>235</v>
      </c>
      <c r="C1072" t="s">
        <v>22</v>
      </c>
      <c r="D1072" t="s">
        <v>1621</v>
      </c>
      <c r="E1072" t="s">
        <v>18</v>
      </c>
      <c r="F1072" t="s">
        <v>112</v>
      </c>
      <c r="G1072" t="s">
        <v>71</v>
      </c>
      <c r="H1072" t="s">
        <v>21</v>
      </c>
      <c r="I1072">
        <v>8250</v>
      </c>
      <c r="J1072">
        <v>10725</v>
      </c>
      <c r="K1072">
        <v>3</v>
      </c>
      <c r="L1072">
        <v>24750</v>
      </c>
      <c r="M1072">
        <v>32175</v>
      </c>
      <c r="N1072" t="s">
        <v>56</v>
      </c>
      <c r="O1072">
        <f t="shared" si="32"/>
        <v>9750</v>
      </c>
      <c r="P1072" s="13">
        <f t="shared" si="33"/>
        <v>2551588</v>
      </c>
      <c r="Q1072" s="13">
        <f>SUMIFS(M:M,E:E,Online_eCommerce[[#This Row],[Status]])</f>
        <v>28340455</v>
      </c>
      <c r="R1072" s="13">
        <f>SUMIFS(L:L,H:H,Online_eCommerce[[#This Row],[Brand]])</f>
        <v>12435650</v>
      </c>
      <c r="S1072" s="13">
        <f>SUMIF(H:H,Online_eCommerce[[#This Row],[Brand]],M:M)</f>
        <v>16166345</v>
      </c>
      <c r="T1072" s="13">
        <f>SUMIF(N:N,Online_eCommerce[[#This Row],[Assigned Supervisor]],L:L)</f>
        <v>11733610</v>
      </c>
    </row>
    <row r="1073" spans="1:20" hidden="1" x14ac:dyDescent="0.3">
      <c r="A1073" t="s">
        <v>1623</v>
      </c>
      <c r="B1073" t="s">
        <v>235</v>
      </c>
      <c r="C1073" t="s">
        <v>132</v>
      </c>
      <c r="D1073" t="s">
        <v>1621</v>
      </c>
      <c r="E1073" t="s">
        <v>161</v>
      </c>
      <c r="F1073" t="s">
        <v>1238</v>
      </c>
      <c r="G1073" t="s">
        <v>40</v>
      </c>
      <c r="H1073" t="s">
        <v>21</v>
      </c>
      <c r="I1073">
        <v>2650</v>
      </c>
      <c r="J1073">
        <v>3445</v>
      </c>
      <c r="K1073">
        <v>3</v>
      </c>
      <c r="L1073">
        <v>7950</v>
      </c>
      <c r="M1073">
        <v>10335</v>
      </c>
      <c r="N1073" t="s">
        <v>22</v>
      </c>
      <c r="O1073">
        <f t="shared" si="32"/>
        <v>25545</v>
      </c>
      <c r="P1073" s="13">
        <f t="shared" si="33"/>
        <v>1989065</v>
      </c>
      <c r="Q1073" s="13">
        <f>SUMIFS(M:M,E:E,Online_eCommerce[[#This Row],[Status]])</f>
        <v>21103186</v>
      </c>
      <c r="R1073" s="13">
        <f>SUMIFS(L:L,H:H,Online_eCommerce[[#This Row],[Brand]])</f>
        <v>12435650</v>
      </c>
      <c r="S1073" s="13">
        <f>SUMIF(H:H,Online_eCommerce[[#This Row],[Brand]],M:M)</f>
        <v>16166345</v>
      </c>
      <c r="T1073" s="13">
        <f>SUMIF(N:N,Online_eCommerce[[#This Row],[Assigned Supervisor]],L:L)</f>
        <v>13693220</v>
      </c>
    </row>
    <row r="1074" spans="1:20" x14ac:dyDescent="0.3">
      <c r="A1074" t="s">
        <v>1624</v>
      </c>
      <c r="B1074" t="s">
        <v>235</v>
      </c>
      <c r="C1074" t="s">
        <v>136</v>
      </c>
      <c r="D1074" t="s">
        <v>1621</v>
      </c>
      <c r="E1074" t="s">
        <v>46</v>
      </c>
      <c r="F1074" t="s">
        <v>121</v>
      </c>
      <c r="G1074" t="s">
        <v>71</v>
      </c>
      <c r="H1074" t="s">
        <v>122</v>
      </c>
      <c r="I1074">
        <v>12550</v>
      </c>
      <c r="J1074">
        <v>16315</v>
      </c>
      <c r="K1074">
        <v>4</v>
      </c>
      <c r="L1074">
        <v>50200</v>
      </c>
      <c r="M1074">
        <v>65260</v>
      </c>
      <c r="N1074" t="s">
        <v>28</v>
      </c>
      <c r="O1074">
        <f t="shared" si="32"/>
        <v>9750</v>
      </c>
      <c r="P1074" s="13">
        <f t="shared" si="33"/>
        <v>2775162</v>
      </c>
      <c r="Q1074" s="13">
        <f>SUMIFS(M:M,E:E,Online_eCommerce[[#This Row],[Status]])</f>
        <v>28620410</v>
      </c>
      <c r="R1074" s="13">
        <f>SUMIFS(L:L,H:H,Online_eCommerce[[#This Row],[Brand]])</f>
        <v>5045100</v>
      </c>
      <c r="S1074" s="13">
        <f>SUMIF(H:H,Online_eCommerce[[#This Row],[Brand]],M:M)</f>
        <v>6558630</v>
      </c>
      <c r="T1074" s="13">
        <f>SUMIF(N:N,Online_eCommerce[[#This Row],[Assigned Supervisor]],L:L)</f>
        <v>12220830</v>
      </c>
    </row>
    <row r="1075" spans="1:20" hidden="1" x14ac:dyDescent="0.3">
      <c r="A1075" t="s">
        <v>1625</v>
      </c>
      <c r="B1075" t="s">
        <v>30</v>
      </c>
      <c r="C1075" t="s">
        <v>140</v>
      </c>
      <c r="D1075" t="s">
        <v>1621</v>
      </c>
      <c r="E1075" t="s">
        <v>96</v>
      </c>
      <c r="F1075" t="s">
        <v>126</v>
      </c>
      <c r="G1075" t="s">
        <v>26</v>
      </c>
      <c r="H1075" t="s">
        <v>27</v>
      </c>
      <c r="I1075">
        <v>14500</v>
      </c>
      <c r="J1075">
        <v>18850</v>
      </c>
      <c r="K1075">
        <v>4</v>
      </c>
      <c r="L1075">
        <v>58000</v>
      </c>
      <c r="M1075">
        <v>75400</v>
      </c>
      <c r="N1075" t="s">
        <v>35</v>
      </c>
      <c r="O1075">
        <f t="shared" si="32"/>
        <v>33150</v>
      </c>
      <c r="P1075" s="13">
        <f t="shared" si="33"/>
        <v>2058264</v>
      </c>
      <c r="Q1075" s="13">
        <f>SUMIFS(M:M,E:E,Online_eCommerce[[#This Row],[Status]])</f>
        <v>21233992</v>
      </c>
      <c r="R1075" s="13">
        <f>SUMIFS(L:L,H:H,Online_eCommerce[[#This Row],[Brand]])</f>
        <v>14431000</v>
      </c>
      <c r="S1075" s="13">
        <f>SUMIF(H:H,Online_eCommerce[[#This Row],[Brand]],M:M)</f>
        <v>18760300</v>
      </c>
      <c r="T1075" s="13">
        <f>SUMIF(N:N,Online_eCommerce[[#This Row],[Assigned Supervisor]],L:L)</f>
        <v>14373360</v>
      </c>
    </row>
    <row r="1076" spans="1:20" hidden="1" x14ac:dyDescent="0.3">
      <c r="A1076" t="s">
        <v>1626</v>
      </c>
      <c r="B1076" t="s">
        <v>37</v>
      </c>
      <c r="C1076" t="s">
        <v>145</v>
      </c>
      <c r="D1076" t="s">
        <v>1621</v>
      </c>
      <c r="E1076" t="s">
        <v>18</v>
      </c>
      <c r="F1076" t="s">
        <v>129</v>
      </c>
      <c r="G1076" t="s">
        <v>60</v>
      </c>
      <c r="H1076" t="s">
        <v>61</v>
      </c>
      <c r="I1076">
        <v>800</v>
      </c>
      <c r="J1076">
        <v>1040</v>
      </c>
      <c r="K1076">
        <v>3</v>
      </c>
      <c r="L1076">
        <v>2400</v>
      </c>
      <c r="M1076">
        <v>3120</v>
      </c>
      <c r="N1076" t="s">
        <v>42</v>
      </c>
      <c r="O1076">
        <f t="shared" si="32"/>
        <v>3315</v>
      </c>
      <c r="P1076" s="13">
        <f t="shared" si="33"/>
        <v>2757859</v>
      </c>
      <c r="Q1076" s="13">
        <f>SUMIFS(M:M,E:E,Online_eCommerce[[#This Row],[Status]])</f>
        <v>28340455</v>
      </c>
      <c r="R1076" s="13">
        <f>SUMIFS(L:L,H:H,Online_eCommerce[[#This Row],[Brand]])</f>
        <v>10950150</v>
      </c>
      <c r="S1076" s="13">
        <f>SUMIF(H:H,Online_eCommerce[[#This Row],[Brand]],M:M)</f>
        <v>14235195</v>
      </c>
      <c r="T1076" s="13">
        <f>SUMIF(N:N,Online_eCommerce[[#This Row],[Assigned Supervisor]],L:L)</f>
        <v>12261500</v>
      </c>
    </row>
    <row r="1077" spans="1:20" hidden="1" x14ac:dyDescent="0.3">
      <c r="A1077" t="s">
        <v>1627</v>
      </c>
      <c r="B1077" t="s">
        <v>44</v>
      </c>
      <c r="C1077" t="s">
        <v>150</v>
      </c>
      <c r="D1077" t="s">
        <v>1621</v>
      </c>
      <c r="E1077" t="s">
        <v>161</v>
      </c>
      <c r="F1077" t="s">
        <v>133</v>
      </c>
      <c r="G1077" t="s">
        <v>66</v>
      </c>
      <c r="H1077" t="s">
        <v>21</v>
      </c>
      <c r="I1077">
        <v>600</v>
      </c>
      <c r="J1077">
        <v>780</v>
      </c>
      <c r="K1077">
        <v>3</v>
      </c>
      <c r="L1077">
        <v>1800</v>
      </c>
      <c r="M1077">
        <v>2340</v>
      </c>
      <c r="N1077" t="s">
        <v>50</v>
      </c>
      <c r="O1077">
        <f t="shared" si="32"/>
        <v>1690</v>
      </c>
      <c r="P1077" s="13">
        <f t="shared" si="33"/>
        <v>2154984</v>
      </c>
      <c r="Q1077" s="13">
        <f>SUMIFS(M:M,E:E,Online_eCommerce[[#This Row],[Status]])</f>
        <v>21103186</v>
      </c>
      <c r="R1077" s="13">
        <f>SUMIFS(L:L,H:H,Online_eCommerce[[#This Row],[Brand]])</f>
        <v>12435650</v>
      </c>
      <c r="S1077" s="13">
        <f>SUMIF(H:H,Online_eCommerce[[#This Row],[Brand]],M:M)</f>
        <v>16166345</v>
      </c>
      <c r="T1077" s="13">
        <f>SUMIF(N:N,Online_eCommerce[[#This Row],[Assigned Supervisor]],L:L)</f>
        <v>12100590</v>
      </c>
    </row>
    <row r="1078" spans="1:20" x14ac:dyDescent="0.3">
      <c r="A1078" t="s">
        <v>1628</v>
      </c>
      <c r="B1078" t="s">
        <v>213</v>
      </c>
      <c r="C1078" t="s">
        <v>155</v>
      </c>
      <c r="D1078" t="s">
        <v>1621</v>
      </c>
      <c r="E1078" t="s">
        <v>46</v>
      </c>
      <c r="F1078" t="s">
        <v>137</v>
      </c>
      <c r="G1078" t="s">
        <v>71</v>
      </c>
      <c r="H1078" t="s">
        <v>61</v>
      </c>
      <c r="I1078">
        <v>10500</v>
      </c>
      <c r="J1078">
        <v>13650</v>
      </c>
      <c r="K1078">
        <v>3</v>
      </c>
      <c r="L1078">
        <v>31500</v>
      </c>
      <c r="M1078">
        <v>40950</v>
      </c>
      <c r="N1078" t="s">
        <v>56</v>
      </c>
      <c r="O1078">
        <f t="shared" si="32"/>
        <v>9750</v>
      </c>
      <c r="P1078" s="13">
        <f t="shared" si="33"/>
        <v>2753348</v>
      </c>
      <c r="Q1078" s="13">
        <f>SUMIFS(M:M,E:E,Online_eCommerce[[#This Row],[Status]])</f>
        <v>28620410</v>
      </c>
      <c r="R1078" s="13">
        <f>SUMIFS(L:L,H:H,Online_eCommerce[[#This Row],[Brand]])</f>
        <v>10950150</v>
      </c>
      <c r="S1078" s="13">
        <f>SUMIF(H:H,Online_eCommerce[[#This Row],[Brand]],M:M)</f>
        <v>14235195</v>
      </c>
      <c r="T1078" s="13">
        <f>SUMIF(N:N,Online_eCommerce[[#This Row],[Assigned Supervisor]],L:L)</f>
        <v>11733610</v>
      </c>
    </row>
    <row r="1079" spans="1:20" hidden="1" x14ac:dyDescent="0.3">
      <c r="A1079" t="s">
        <v>1629</v>
      </c>
      <c r="B1079" t="s">
        <v>215</v>
      </c>
      <c r="C1079" t="s">
        <v>160</v>
      </c>
      <c r="D1079" t="s">
        <v>1621</v>
      </c>
      <c r="E1079" t="s">
        <v>96</v>
      </c>
      <c r="F1079" t="s">
        <v>1592</v>
      </c>
      <c r="G1079" t="s">
        <v>77</v>
      </c>
      <c r="H1079" t="s">
        <v>142</v>
      </c>
      <c r="I1079">
        <v>6500</v>
      </c>
      <c r="J1079">
        <v>8450</v>
      </c>
      <c r="K1079">
        <v>1</v>
      </c>
      <c r="L1079">
        <v>6500</v>
      </c>
      <c r="M1079">
        <v>8450</v>
      </c>
      <c r="N1079" t="s">
        <v>22</v>
      </c>
      <c r="O1079">
        <f t="shared" si="32"/>
        <v>39000</v>
      </c>
      <c r="P1079" s="13">
        <f t="shared" si="33"/>
        <v>2303483</v>
      </c>
      <c r="Q1079" s="13">
        <f>SUMIFS(M:M,E:E,Online_eCommerce[[#This Row],[Status]])</f>
        <v>21233992</v>
      </c>
      <c r="R1079" s="13">
        <f>SUMIFS(L:L,H:H,Online_eCommerce[[#This Row],[Brand]])</f>
        <v>6192500</v>
      </c>
      <c r="S1079" s="13">
        <f>SUMIF(H:H,Online_eCommerce[[#This Row],[Brand]],M:M)</f>
        <v>8050250</v>
      </c>
      <c r="T1079" s="13">
        <f>SUMIF(N:N,Online_eCommerce[[#This Row],[Assigned Supervisor]],L:L)</f>
        <v>13693220</v>
      </c>
    </row>
    <row r="1080" spans="1:20" hidden="1" x14ac:dyDescent="0.3">
      <c r="A1080" t="s">
        <v>1630</v>
      </c>
      <c r="B1080" t="s">
        <v>215</v>
      </c>
      <c r="C1080" t="s">
        <v>165</v>
      </c>
      <c r="D1080" t="s">
        <v>1621</v>
      </c>
      <c r="E1080" t="s">
        <v>18</v>
      </c>
      <c r="F1080" t="s">
        <v>1631</v>
      </c>
      <c r="G1080" t="s">
        <v>20</v>
      </c>
      <c r="H1080" t="s">
        <v>21</v>
      </c>
      <c r="I1080">
        <v>4500</v>
      </c>
      <c r="J1080">
        <v>5850</v>
      </c>
      <c r="K1080">
        <v>4</v>
      </c>
      <c r="L1080">
        <v>18000</v>
      </c>
      <c r="M1080">
        <v>23400</v>
      </c>
      <c r="N1080" t="s">
        <v>28</v>
      </c>
      <c r="O1080">
        <f t="shared" si="32"/>
        <v>8450</v>
      </c>
      <c r="P1080" s="13">
        <f t="shared" si="33"/>
        <v>2674087</v>
      </c>
      <c r="Q1080" s="13">
        <f>SUMIFS(M:M,E:E,Online_eCommerce[[#This Row],[Status]])</f>
        <v>28340455</v>
      </c>
      <c r="R1080" s="13">
        <f>SUMIFS(L:L,H:H,Online_eCommerce[[#This Row],[Brand]])</f>
        <v>12435650</v>
      </c>
      <c r="S1080" s="13">
        <f>SUMIF(H:H,Online_eCommerce[[#This Row],[Brand]],M:M)</f>
        <v>16166345</v>
      </c>
      <c r="T1080" s="13">
        <f>SUMIF(N:N,Online_eCommerce[[#This Row],[Assigned Supervisor]],L:L)</f>
        <v>12220830</v>
      </c>
    </row>
    <row r="1081" spans="1:20" hidden="1" x14ac:dyDescent="0.3">
      <c r="A1081" t="s">
        <v>1632</v>
      </c>
      <c r="B1081" t="s">
        <v>215</v>
      </c>
      <c r="C1081" t="s">
        <v>168</v>
      </c>
      <c r="D1081" t="s">
        <v>1621</v>
      </c>
      <c r="E1081" t="s">
        <v>161</v>
      </c>
      <c r="F1081" t="s">
        <v>152</v>
      </c>
      <c r="G1081" t="s">
        <v>26</v>
      </c>
      <c r="H1081" t="s">
        <v>27</v>
      </c>
      <c r="I1081">
        <v>8500</v>
      </c>
      <c r="J1081">
        <v>11050</v>
      </c>
      <c r="K1081">
        <v>2</v>
      </c>
      <c r="L1081">
        <v>17000</v>
      </c>
      <c r="M1081">
        <v>22100</v>
      </c>
      <c r="N1081" t="s">
        <v>35</v>
      </c>
      <c r="O1081">
        <f t="shared" si="32"/>
        <v>33150</v>
      </c>
      <c r="P1081" s="13">
        <f t="shared" si="33"/>
        <v>1937780</v>
      </c>
      <c r="Q1081" s="13">
        <f>SUMIFS(M:M,E:E,Online_eCommerce[[#This Row],[Status]])</f>
        <v>21103186</v>
      </c>
      <c r="R1081" s="13">
        <f>SUMIFS(L:L,H:H,Online_eCommerce[[#This Row],[Brand]])</f>
        <v>14431000</v>
      </c>
      <c r="S1081" s="13">
        <f>SUMIF(H:H,Online_eCommerce[[#This Row],[Brand]],M:M)</f>
        <v>18760300</v>
      </c>
      <c r="T1081" s="13">
        <f>SUMIF(N:N,Online_eCommerce[[#This Row],[Assigned Supervisor]],L:L)</f>
        <v>14373360</v>
      </c>
    </row>
    <row r="1082" spans="1:20" x14ac:dyDescent="0.3">
      <c r="A1082" t="s">
        <v>1633</v>
      </c>
      <c r="B1082" t="s">
        <v>215</v>
      </c>
      <c r="C1082" t="s">
        <v>172</v>
      </c>
      <c r="D1082" t="s">
        <v>1621</v>
      </c>
      <c r="E1082" t="s">
        <v>46</v>
      </c>
      <c r="F1082" t="s">
        <v>157</v>
      </c>
      <c r="G1082" t="s">
        <v>33</v>
      </c>
      <c r="H1082" t="s">
        <v>34</v>
      </c>
      <c r="I1082">
        <v>12500</v>
      </c>
      <c r="J1082">
        <v>16250</v>
      </c>
      <c r="K1082">
        <v>2</v>
      </c>
      <c r="L1082">
        <v>25000</v>
      </c>
      <c r="M1082">
        <v>32500</v>
      </c>
      <c r="N1082" t="s">
        <v>42</v>
      </c>
      <c r="O1082">
        <f t="shared" si="32"/>
        <v>18200</v>
      </c>
      <c r="P1082" s="13">
        <f t="shared" si="33"/>
        <v>2640274</v>
      </c>
      <c r="Q1082" s="13">
        <f>SUMIFS(M:M,E:E,Online_eCommerce[[#This Row],[Status]])</f>
        <v>28620410</v>
      </c>
      <c r="R1082" s="13">
        <f>SUMIFS(L:L,H:H,Online_eCommerce[[#This Row],[Brand]])</f>
        <v>10087000</v>
      </c>
      <c r="S1082" s="13">
        <f>SUMIF(H:H,Online_eCommerce[[#This Row],[Brand]],M:M)</f>
        <v>13113100</v>
      </c>
      <c r="T1082" s="13">
        <f>SUMIF(N:N,Online_eCommerce[[#This Row],[Assigned Supervisor]],L:L)</f>
        <v>12261500</v>
      </c>
    </row>
    <row r="1083" spans="1:20" hidden="1" x14ac:dyDescent="0.3">
      <c r="A1083" t="s">
        <v>1634</v>
      </c>
      <c r="B1083" t="s">
        <v>215</v>
      </c>
      <c r="C1083" t="s">
        <v>177</v>
      </c>
      <c r="D1083" t="s">
        <v>1621</v>
      </c>
      <c r="E1083" t="s">
        <v>96</v>
      </c>
      <c r="F1083" t="s">
        <v>1281</v>
      </c>
      <c r="G1083" t="s">
        <v>256</v>
      </c>
      <c r="H1083" t="s">
        <v>41</v>
      </c>
      <c r="I1083">
        <v>3500</v>
      </c>
      <c r="J1083">
        <v>4550</v>
      </c>
      <c r="K1083">
        <v>3</v>
      </c>
      <c r="L1083">
        <v>10500</v>
      </c>
      <c r="M1083">
        <v>13650</v>
      </c>
      <c r="N1083" t="s">
        <v>50</v>
      </c>
      <c r="O1083">
        <f t="shared" si="32"/>
        <v>9100</v>
      </c>
      <c r="P1083" s="13">
        <f t="shared" si="33"/>
        <v>1863810</v>
      </c>
      <c r="Q1083" s="13">
        <f>SUMIFS(M:M,E:E,Online_eCommerce[[#This Row],[Status]])</f>
        <v>21233992</v>
      </c>
      <c r="R1083" s="13">
        <f>SUMIFS(L:L,H:H,Online_eCommerce[[#This Row],[Brand]])</f>
        <v>4260400</v>
      </c>
      <c r="S1083" s="13">
        <f>SUMIF(H:H,Online_eCommerce[[#This Row],[Brand]],M:M)</f>
        <v>5538520</v>
      </c>
      <c r="T1083" s="13">
        <f>SUMIF(N:N,Online_eCommerce[[#This Row],[Assigned Supervisor]],L:L)</f>
        <v>12100590</v>
      </c>
    </row>
    <row r="1084" spans="1:20" hidden="1" x14ac:dyDescent="0.3">
      <c r="A1084" t="s">
        <v>1635</v>
      </c>
      <c r="B1084" t="s">
        <v>215</v>
      </c>
      <c r="C1084" t="s">
        <v>181</v>
      </c>
      <c r="D1084" t="s">
        <v>1621</v>
      </c>
      <c r="E1084" t="s">
        <v>18</v>
      </c>
      <c r="F1084" t="s">
        <v>166</v>
      </c>
      <c r="G1084" t="s">
        <v>259</v>
      </c>
      <c r="H1084" t="s">
        <v>49</v>
      </c>
      <c r="I1084">
        <v>4500</v>
      </c>
      <c r="J1084">
        <v>5850</v>
      </c>
      <c r="K1084">
        <v>3</v>
      </c>
      <c r="L1084">
        <v>13500</v>
      </c>
      <c r="M1084">
        <v>17550</v>
      </c>
      <c r="N1084" t="s">
        <v>56</v>
      </c>
      <c r="O1084">
        <f t="shared" si="32"/>
        <v>11700</v>
      </c>
      <c r="P1084" s="13">
        <f t="shared" si="33"/>
        <v>2577458</v>
      </c>
      <c r="Q1084" s="13">
        <f>SUMIFS(M:M,E:E,Online_eCommerce[[#This Row],[Status]])</f>
        <v>28340455</v>
      </c>
      <c r="R1084" s="13">
        <f>SUMIFS(L:L,H:H,Online_eCommerce[[#This Row],[Brand]])</f>
        <v>4528350</v>
      </c>
      <c r="S1084" s="13">
        <f>SUMIF(H:H,Online_eCommerce[[#This Row],[Brand]],M:M)</f>
        <v>5886855</v>
      </c>
      <c r="T1084" s="13">
        <f>SUMIF(N:N,Online_eCommerce[[#This Row],[Assigned Supervisor]],L:L)</f>
        <v>11733610</v>
      </c>
    </row>
    <row r="1085" spans="1:20" hidden="1" x14ac:dyDescent="0.3">
      <c r="A1085" t="s">
        <v>1636</v>
      </c>
      <c r="B1085" t="s">
        <v>215</v>
      </c>
      <c r="C1085" t="s">
        <v>185</v>
      </c>
      <c r="D1085" t="s">
        <v>1621</v>
      </c>
      <c r="E1085" t="s">
        <v>161</v>
      </c>
      <c r="F1085" t="s">
        <v>1637</v>
      </c>
      <c r="G1085" t="s">
        <v>54</v>
      </c>
      <c r="H1085" t="s">
        <v>55</v>
      </c>
      <c r="I1085">
        <v>2100</v>
      </c>
      <c r="J1085">
        <v>2730</v>
      </c>
      <c r="K1085">
        <v>4</v>
      </c>
      <c r="L1085">
        <v>8400</v>
      </c>
      <c r="M1085">
        <v>10920</v>
      </c>
      <c r="N1085" t="s">
        <v>22</v>
      </c>
      <c r="O1085">
        <f t="shared" si="32"/>
        <v>2990</v>
      </c>
      <c r="P1085" s="13">
        <f t="shared" si="33"/>
        <v>2091596</v>
      </c>
      <c r="Q1085" s="13">
        <f>SUMIFS(M:M,E:E,Online_eCommerce[[#This Row],[Status]])</f>
        <v>21103186</v>
      </c>
      <c r="R1085" s="13">
        <f>SUMIFS(L:L,H:H,Online_eCommerce[[#This Row],[Brand]])</f>
        <v>2267380</v>
      </c>
      <c r="S1085" s="13">
        <f>SUMIF(H:H,Online_eCommerce[[#This Row],[Brand]],M:M)</f>
        <v>2947594</v>
      </c>
      <c r="T1085" s="13">
        <f>SUMIF(N:N,Online_eCommerce[[#This Row],[Assigned Supervisor]],L:L)</f>
        <v>13693220</v>
      </c>
    </row>
    <row r="1086" spans="1:20" x14ac:dyDescent="0.3">
      <c r="A1086" t="s">
        <v>1638</v>
      </c>
      <c r="B1086" t="s">
        <v>215</v>
      </c>
      <c r="C1086" t="s">
        <v>189</v>
      </c>
      <c r="D1086" t="s">
        <v>1621</v>
      </c>
      <c r="E1086" t="s">
        <v>46</v>
      </c>
      <c r="F1086" t="s">
        <v>174</v>
      </c>
      <c r="G1086" t="s">
        <v>60</v>
      </c>
      <c r="H1086" t="s">
        <v>61</v>
      </c>
      <c r="I1086">
        <v>1150</v>
      </c>
      <c r="J1086">
        <v>1495</v>
      </c>
      <c r="K1086">
        <v>2</v>
      </c>
      <c r="L1086">
        <v>2300</v>
      </c>
      <c r="M1086">
        <v>2990</v>
      </c>
      <c r="N1086" t="s">
        <v>28</v>
      </c>
      <c r="O1086">
        <f t="shared" si="32"/>
        <v>3315</v>
      </c>
      <c r="P1086" s="13">
        <f t="shared" si="33"/>
        <v>2740777</v>
      </c>
      <c r="Q1086" s="13">
        <f>SUMIFS(M:M,E:E,Online_eCommerce[[#This Row],[Status]])</f>
        <v>28620410</v>
      </c>
      <c r="R1086" s="13">
        <f>SUMIFS(L:L,H:H,Online_eCommerce[[#This Row],[Brand]])</f>
        <v>10950150</v>
      </c>
      <c r="S1086" s="13">
        <f>SUMIF(H:H,Online_eCommerce[[#This Row],[Brand]],M:M)</f>
        <v>14235195</v>
      </c>
      <c r="T1086" s="13">
        <f>SUMIF(N:N,Online_eCommerce[[#This Row],[Assigned Supervisor]],L:L)</f>
        <v>12220830</v>
      </c>
    </row>
    <row r="1087" spans="1:20" hidden="1" x14ac:dyDescent="0.3">
      <c r="A1087" t="s">
        <v>1639</v>
      </c>
      <c r="B1087" t="s">
        <v>215</v>
      </c>
      <c r="C1087" t="s">
        <v>193</v>
      </c>
      <c r="D1087" t="s">
        <v>1621</v>
      </c>
      <c r="E1087" t="s">
        <v>96</v>
      </c>
      <c r="F1087" t="s">
        <v>179</v>
      </c>
      <c r="G1087" t="s">
        <v>66</v>
      </c>
      <c r="H1087" t="s">
        <v>21</v>
      </c>
      <c r="I1087">
        <v>350</v>
      </c>
      <c r="J1087">
        <v>455</v>
      </c>
      <c r="K1087">
        <v>2</v>
      </c>
      <c r="L1087">
        <v>700</v>
      </c>
      <c r="M1087">
        <v>910</v>
      </c>
      <c r="N1087" t="s">
        <v>35</v>
      </c>
      <c r="O1087">
        <f t="shared" si="32"/>
        <v>1690</v>
      </c>
      <c r="P1087" s="13">
        <f t="shared" si="33"/>
        <v>2074774</v>
      </c>
      <c r="Q1087" s="13">
        <f>SUMIFS(M:M,E:E,Online_eCommerce[[#This Row],[Status]])</f>
        <v>21233992</v>
      </c>
      <c r="R1087" s="13">
        <f>SUMIFS(L:L,H:H,Online_eCommerce[[#This Row],[Brand]])</f>
        <v>12435650</v>
      </c>
      <c r="S1087" s="13">
        <f>SUMIF(H:H,Online_eCommerce[[#This Row],[Brand]],M:M)</f>
        <v>16166345</v>
      </c>
      <c r="T1087" s="13">
        <f>SUMIF(N:N,Online_eCommerce[[#This Row],[Assigned Supervisor]],L:L)</f>
        <v>14373360</v>
      </c>
    </row>
    <row r="1088" spans="1:20" hidden="1" x14ac:dyDescent="0.3">
      <c r="A1088" t="s">
        <v>1640</v>
      </c>
      <c r="B1088" t="s">
        <v>215</v>
      </c>
      <c r="C1088" t="s">
        <v>197</v>
      </c>
      <c r="D1088" t="s">
        <v>1621</v>
      </c>
      <c r="E1088" t="s">
        <v>18</v>
      </c>
      <c r="F1088" t="s">
        <v>183</v>
      </c>
      <c r="G1088" t="s">
        <v>71</v>
      </c>
      <c r="H1088" t="s">
        <v>61</v>
      </c>
      <c r="I1088">
        <v>9500</v>
      </c>
      <c r="J1088">
        <v>12350</v>
      </c>
      <c r="K1088">
        <v>4</v>
      </c>
      <c r="L1088">
        <v>38000</v>
      </c>
      <c r="M1088">
        <v>49400</v>
      </c>
      <c r="N1088" t="s">
        <v>42</v>
      </c>
      <c r="O1088">
        <f t="shared" si="32"/>
        <v>9750</v>
      </c>
      <c r="P1088" s="13">
        <f t="shared" si="33"/>
        <v>2829840</v>
      </c>
      <c r="Q1088" s="13">
        <f>SUMIFS(M:M,E:E,Online_eCommerce[[#This Row],[Status]])</f>
        <v>28340455</v>
      </c>
      <c r="R1088" s="13">
        <f>SUMIFS(L:L,H:H,Online_eCommerce[[#This Row],[Brand]])</f>
        <v>10950150</v>
      </c>
      <c r="S1088" s="13">
        <f>SUMIF(H:H,Online_eCommerce[[#This Row],[Brand]],M:M)</f>
        <v>14235195</v>
      </c>
      <c r="T1088" s="13">
        <f>SUMIF(N:N,Online_eCommerce[[#This Row],[Assigned Supervisor]],L:L)</f>
        <v>12261500</v>
      </c>
    </row>
    <row r="1089" spans="1:20" hidden="1" x14ac:dyDescent="0.3">
      <c r="A1089" t="s">
        <v>1641</v>
      </c>
      <c r="B1089" t="s">
        <v>215</v>
      </c>
      <c r="C1089" t="s">
        <v>199</v>
      </c>
      <c r="D1089" t="s">
        <v>1621</v>
      </c>
      <c r="E1089" t="s">
        <v>161</v>
      </c>
      <c r="F1089" t="s">
        <v>1642</v>
      </c>
      <c r="G1089" t="s">
        <v>77</v>
      </c>
      <c r="H1089" t="s">
        <v>142</v>
      </c>
      <c r="I1089">
        <v>10000</v>
      </c>
      <c r="J1089">
        <v>13000</v>
      </c>
      <c r="K1089">
        <v>1</v>
      </c>
      <c r="L1089">
        <v>10000</v>
      </c>
      <c r="M1089">
        <v>13000</v>
      </c>
      <c r="N1089" t="s">
        <v>50</v>
      </c>
      <c r="O1089">
        <f t="shared" si="32"/>
        <v>39000</v>
      </c>
      <c r="P1089" s="13">
        <f t="shared" si="33"/>
        <v>1947361</v>
      </c>
      <c r="Q1089" s="13">
        <f>SUMIFS(M:M,E:E,Online_eCommerce[[#This Row],[Status]])</f>
        <v>21103186</v>
      </c>
      <c r="R1089" s="13">
        <f>SUMIFS(L:L,H:H,Online_eCommerce[[#This Row],[Brand]])</f>
        <v>6192500</v>
      </c>
      <c r="S1089" s="13">
        <f>SUMIF(H:H,Online_eCommerce[[#This Row],[Brand]],M:M)</f>
        <v>8050250</v>
      </c>
      <c r="T1089" s="13">
        <f>SUMIF(N:N,Online_eCommerce[[#This Row],[Assigned Supervisor]],L:L)</f>
        <v>12100590</v>
      </c>
    </row>
    <row r="1090" spans="1:20" x14ac:dyDescent="0.3">
      <c r="A1090" t="s">
        <v>1643</v>
      </c>
      <c r="B1090" t="s">
        <v>215</v>
      </c>
      <c r="C1090" t="s">
        <v>203</v>
      </c>
      <c r="D1090" t="s">
        <v>1621</v>
      </c>
      <c r="E1090" t="s">
        <v>46</v>
      </c>
      <c r="F1090" t="s">
        <v>1644</v>
      </c>
      <c r="G1090" t="s">
        <v>20</v>
      </c>
      <c r="H1090" t="s">
        <v>21</v>
      </c>
      <c r="I1090">
        <v>6500</v>
      </c>
      <c r="J1090">
        <v>8450</v>
      </c>
      <c r="K1090">
        <v>1</v>
      </c>
      <c r="L1090">
        <v>6500</v>
      </c>
      <c r="M1090">
        <v>8450</v>
      </c>
      <c r="N1090" t="s">
        <v>56</v>
      </c>
      <c r="O1090">
        <f t="shared" ref="O1090:O1153" si="34">VLOOKUP(G1090,G:M,7,FALSE)</f>
        <v>8450</v>
      </c>
      <c r="P1090" s="13">
        <f t="shared" ref="P1090:P1153" si="35">SUMIFS(M:M,C:C,C1090)</f>
        <v>2559635</v>
      </c>
      <c r="Q1090" s="13">
        <f>SUMIFS(M:M,E:E,Online_eCommerce[[#This Row],[Status]])</f>
        <v>28620410</v>
      </c>
      <c r="R1090" s="13">
        <f>SUMIFS(L:L,H:H,Online_eCommerce[[#This Row],[Brand]])</f>
        <v>12435650</v>
      </c>
      <c r="S1090" s="13">
        <f>SUMIF(H:H,Online_eCommerce[[#This Row],[Brand]],M:M)</f>
        <v>16166345</v>
      </c>
      <c r="T1090" s="13">
        <f>SUMIF(N:N,Online_eCommerce[[#This Row],[Assigned Supervisor]],L:L)</f>
        <v>11733610</v>
      </c>
    </row>
    <row r="1091" spans="1:20" hidden="1" x14ac:dyDescent="0.3">
      <c r="A1091" t="s">
        <v>1645</v>
      </c>
      <c r="B1091" t="s">
        <v>215</v>
      </c>
      <c r="C1091" t="s">
        <v>205</v>
      </c>
      <c r="D1091" t="s">
        <v>1621</v>
      </c>
      <c r="E1091" t="s">
        <v>96</v>
      </c>
      <c r="F1091" t="s">
        <v>1646</v>
      </c>
      <c r="G1091" t="s">
        <v>26</v>
      </c>
      <c r="H1091" t="s">
        <v>27</v>
      </c>
      <c r="I1091">
        <v>8500</v>
      </c>
      <c r="J1091">
        <v>11050</v>
      </c>
      <c r="K1091">
        <v>1</v>
      </c>
      <c r="L1091">
        <v>8500</v>
      </c>
      <c r="M1091">
        <v>11050</v>
      </c>
      <c r="N1091" t="s">
        <v>22</v>
      </c>
      <c r="O1091">
        <f t="shared" si="34"/>
        <v>33150</v>
      </c>
      <c r="P1091" s="13">
        <f t="shared" si="35"/>
        <v>1983254</v>
      </c>
      <c r="Q1091" s="13">
        <f>SUMIFS(M:M,E:E,Online_eCommerce[[#This Row],[Status]])</f>
        <v>21233992</v>
      </c>
      <c r="R1091" s="13">
        <f>SUMIFS(L:L,H:H,Online_eCommerce[[#This Row],[Brand]])</f>
        <v>14431000</v>
      </c>
      <c r="S1091" s="13">
        <f>SUMIF(H:H,Online_eCommerce[[#This Row],[Brand]],M:M)</f>
        <v>18760300</v>
      </c>
      <c r="T1091" s="13">
        <f>SUMIF(N:N,Online_eCommerce[[#This Row],[Assigned Supervisor]],L:L)</f>
        <v>13693220</v>
      </c>
    </row>
    <row r="1092" spans="1:20" hidden="1" x14ac:dyDescent="0.3">
      <c r="A1092" t="s">
        <v>1647</v>
      </c>
      <c r="B1092" t="s">
        <v>215</v>
      </c>
      <c r="C1092" t="s">
        <v>208</v>
      </c>
      <c r="D1092" t="s">
        <v>1621</v>
      </c>
      <c r="E1092" t="s">
        <v>18</v>
      </c>
      <c r="F1092" t="s">
        <v>32</v>
      </c>
      <c r="G1092" t="s">
        <v>33</v>
      </c>
      <c r="H1092" t="s">
        <v>34</v>
      </c>
      <c r="I1092">
        <v>7000</v>
      </c>
      <c r="J1092">
        <v>9100</v>
      </c>
      <c r="K1092">
        <v>2</v>
      </c>
      <c r="L1092">
        <v>14000</v>
      </c>
      <c r="M1092">
        <v>18200</v>
      </c>
      <c r="N1092" t="s">
        <v>28</v>
      </c>
      <c r="O1092">
        <f t="shared" si="34"/>
        <v>18200</v>
      </c>
      <c r="P1092" s="13">
        <f t="shared" si="35"/>
        <v>2746575</v>
      </c>
      <c r="Q1092" s="13">
        <f>SUMIFS(M:M,E:E,Online_eCommerce[[#This Row],[Status]])</f>
        <v>28340455</v>
      </c>
      <c r="R1092" s="13">
        <f>SUMIFS(L:L,H:H,Online_eCommerce[[#This Row],[Brand]])</f>
        <v>10087000</v>
      </c>
      <c r="S1092" s="13">
        <f>SUMIF(H:H,Online_eCommerce[[#This Row],[Brand]],M:M)</f>
        <v>13113100</v>
      </c>
      <c r="T1092" s="13">
        <f>SUMIF(N:N,Online_eCommerce[[#This Row],[Assigned Supervisor]],L:L)</f>
        <v>12220830</v>
      </c>
    </row>
    <row r="1093" spans="1:20" hidden="1" x14ac:dyDescent="0.3">
      <c r="A1093" t="s">
        <v>1648</v>
      </c>
      <c r="B1093" t="s">
        <v>215</v>
      </c>
      <c r="C1093" t="s">
        <v>211</v>
      </c>
      <c r="D1093" t="s">
        <v>1621</v>
      </c>
      <c r="E1093" t="s">
        <v>161</v>
      </c>
      <c r="F1093" t="s">
        <v>1649</v>
      </c>
      <c r="G1093" t="s">
        <v>256</v>
      </c>
      <c r="H1093" t="s">
        <v>41</v>
      </c>
      <c r="I1093">
        <v>6550</v>
      </c>
      <c r="J1093">
        <v>8515</v>
      </c>
      <c r="K1093">
        <v>2</v>
      </c>
      <c r="L1093">
        <v>13100</v>
      </c>
      <c r="M1093">
        <v>17030</v>
      </c>
      <c r="N1093" t="s">
        <v>35</v>
      </c>
      <c r="O1093">
        <f t="shared" si="34"/>
        <v>9100</v>
      </c>
      <c r="P1093" s="13">
        <f t="shared" si="35"/>
        <v>1809847</v>
      </c>
      <c r="Q1093" s="13">
        <f>SUMIFS(M:M,E:E,Online_eCommerce[[#This Row],[Status]])</f>
        <v>21103186</v>
      </c>
      <c r="R1093" s="13">
        <f>SUMIFS(L:L,H:H,Online_eCommerce[[#This Row],[Brand]])</f>
        <v>4260400</v>
      </c>
      <c r="S1093" s="13">
        <f>SUMIF(H:H,Online_eCommerce[[#This Row],[Brand]],M:M)</f>
        <v>5538520</v>
      </c>
      <c r="T1093" s="13">
        <f>SUMIF(N:N,Online_eCommerce[[#This Row],[Assigned Supervisor]],L:L)</f>
        <v>14373360</v>
      </c>
    </row>
    <row r="1094" spans="1:20" x14ac:dyDescent="0.3">
      <c r="A1094" t="s">
        <v>1650</v>
      </c>
      <c r="B1094" t="s">
        <v>215</v>
      </c>
      <c r="C1094" t="s">
        <v>16</v>
      </c>
      <c r="D1094" t="s">
        <v>1621</v>
      </c>
      <c r="E1094" t="s">
        <v>46</v>
      </c>
      <c r="F1094" t="s">
        <v>47</v>
      </c>
      <c r="G1094" t="s">
        <v>259</v>
      </c>
      <c r="H1094" t="s">
        <v>49</v>
      </c>
      <c r="I1094">
        <v>7650</v>
      </c>
      <c r="J1094">
        <v>9945</v>
      </c>
      <c r="K1094">
        <v>3</v>
      </c>
      <c r="L1094">
        <v>22950</v>
      </c>
      <c r="M1094">
        <v>29835</v>
      </c>
      <c r="N1094" t="s">
        <v>42</v>
      </c>
      <c r="O1094">
        <f t="shared" si="34"/>
        <v>11700</v>
      </c>
      <c r="P1094" s="13">
        <f t="shared" si="35"/>
        <v>2751814</v>
      </c>
      <c r="Q1094" s="13">
        <f>SUMIFS(M:M,E:E,Online_eCommerce[[#This Row],[Status]])</f>
        <v>28620410</v>
      </c>
      <c r="R1094" s="13">
        <f>SUMIFS(L:L,H:H,Online_eCommerce[[#This Row],[Brand]])</f>
        <v>4528350</v>
      </c>
      <c r="S1094" s="13">
        <f>SUMIF(H:H,Online_eCommerce[[#This Row],[Brand]],M:M)</f>
        <v>5886855</v>
      </c>
      <c r="T1094" s="13">
        <f>SUMIF(N:N,Online_eCommerce[[#This Row],[Assigned Supervisor]],L:L)</f>
        <v>12261500</v>
      </c>
    </row>
    <row r="1095" spans="1:20" hidden="1" x14ac:dyDescent="0.3">
      <c r="A1095" t="s">
        <v>1651</v>
      </c>
      <c r="B1095" t="s">
        <v>215</v>
      </c>
      <c r="C1095" t="s">
        <v>24</v>
      </c>
      <c r="D1095" t="s">
        <v>1621</v>
      </c>
      <c r="E1095" t="s">
        <v>96</v>
      </c>
      <c r="F1095" t="s">
        <v>53</v>
      </c>
      <c r="G1095" t="s">
        <v>54</v>
      </c>
      <c r="H1095" t="s">
        <v>55</v>
      </c>
      <c r="I1095">
        <v>1150</v>
      </c>
      <c r="J1095">
        <v>1495</v>
      </c>
      <c r="K1095">
        <v>4</v>
      </c>
      <c r="L1095">
        <v>4600</v>
      </c>
      <c r="M1095">
        <v>5980</v>
      </c>
      <c r="N1095" t="s">
        <v>50</v>
      </c>
      <c r="O1095">
        <f t="shared" si="34"/>
        <v>2990</v>
      </c>
      <c r="P1095" s="13">
        <f t="shared" si="35"/>
        <v>2009540</v>
      </c>
      <c r="Q1095" s="13">
        <f>SUMIFS(M:M,E:E,Online_eCommerce[[#This Row],[Status]])</f>
        <v>21233992</v>
      </c>
      <c r="R1095" s="13">
        <f>SUMIFS(L:L,H:H,Online_eCommerce[[#This Row],[Brand]])</f>
        <v>2267380</v>
      </c>
      <c r="S1095" s="13">
        <f>SUMIF(H:H,Online_eCommerce[[#This Row],[Brand]],M:M)</f>
        <v>2947594</v>
      </c>
      <c r="T1095" s="13">
        <f>SUMIF(N:N,Online_eCommerce[[#This Row],[Assigned Supervisor]],L:L)</f>
        <v>12100590</v>
      </c>
    </row>
    <row r="1096" spans="1:20" hidden="1" x14ac:dyDescent="0.3">
      <c r="A1096" t="s">
        <v>1652</v>
      </c>
      <c r="B1096" t="s">
        <v>215</v>
      </c>
      <c r="C1096" t="s">
        <v>31</v>
      </c>
      <c r="D1096" t="s">
        <v>1621</v>
      </c>
      <c r="E1096" t="s">
        <v>18</v>
      </c>
      <c r="F1096" t="s">
        <v>59</v>
      </c>
      <c r="G1096" t="s">
        <v>60</v>
      </c>
      <c r="H1096" t="s">
        <v>61</v>
      </c>
      <c r="I1096">
        <v>850</v>
      </c>
      <c r="J1096">
        <v>1105</v>
      </c>
      <c r="K1096">
        <v>2</v>
      </c>
      <c r="L1096">
        <v>1700</v>
      </c>
      <c r="M1096">
        <v>2210</v>
      </c>
      <c r="N1096" t="s">
        <v>56</v>
      </c>
      <c r="O1096">
        <f t="shared" si="34"/>
        <v>3315</v>
      </c>
      <c r="P1096" s="13">
        <f t="shared" si="35"/>
        <v>2865746</v>
      </c>
      <c r="Q1096" s="13">
        <f>SUMIFS(M:M,E:E,Online_eCommerce[[#This Row],[Status]])</f>
        <v>28340455</v>
      </c>
      <c r="R1096" s="13">
        <f>SUMIFS(L:L,H:H,Online_eCommerce[[#This Row],[Brand]])</f>
        <v>10950150</v>
      </c>
      <c r="S1096" s="13">
        <f>SUMIF(H:H,Online_eCommerce[[#This Row],[Brand]],M:M)</f>
        <v>14235195</v>
      </c>
      <c r="T1096" s="13">
        <f>SUMIF(N:N,Online_eCommerce[[#This Row],[Assigned Supervisor]],L:L)</f>
        <v>11733610</v>
      </c>
    </row>
    <row r="1097" spans="1:20" hidden="1" x14ac:dyDescent="0.3">
      <c r="A1097" t="s">
        <v>1653</v>
      </c>
      <c r="B1097" t="s">
        <v>215</v>
      </c>
      <c r="C1097" t="s">
        <v>38</v>
      </c>
      <c r="D1097" t="s">
        <v>1621</v>
      </c>
      <c r="E1097" t="s">
        <v>161</v>
      </c>
      <c r="F1097" t="s">
        <v>65</v>
      </c>
      <c r="G1097" t="s">
        <v>66</v>
      </c>
      <c r="H1097" t="s">
        <v>21</v>
      </c>
      <c r="I1097">
        <v>650</v>
      </c>
      <c r="J1097">
        <v>845</v>
      </c>
      <c r="K1097">
        <v>3</v>
      </c>
      <c r="L1097">
        <v>1950</v>
      </c>
      <c r="M1097">
        <v>2535</v>
      </c>
      <c r="N1097" t="s">
        <v>22</v>
      </c>
      <c r="O1097">
        <f t="shared" si="34"/>
        <v>1690</v>
      </c>
      <c r="P1097" s="13">
        <f t="shared" si="35"/>
        <v>1933997</v>
      </c>
      <c r="Q1097" s="13">
        <f>SUMIFS(M:M,E:E,Online_eCommerce[[#This Row],[Status]])</f>
        <v>21103186</v>
      </c>
      <c r="R1097" s="13">
        <f>SUMIFS(L:L,H:H,Online_eCommerce[[#This Row],[Brand]])</f>
        <v>12435650</v>
      </c>
      <c r="S1097" s="13">
        <f>SUMIF(H:H,Online_eCommerce[[#This Row],[Brand]],M:M)</f>
        <v>16166345</v>
      </c>
      <c r="T1097" s="13">
        <f>SUMIF(N:N,Online_eCommerce[[#This Row],[Assigned Supervisor]],L:L)</f>
        <v>13693220</v>
      </c>
    </row>
    <row r="1098" spans="1:20" x14ac:dyDescent="0.3">
      <c r="A1098" t="s">
        <v>1654</v>
      </c>
      <c r="B1098" t="s">
        <v>215</v>
      </c>
      <c r="C1098" t="s">
        <v>45</v>
      </c>
      <c r="D1098" t="s">
        <v>1621</v>
      </c>
      <c r="E1098" t="s">
        <v>46</v>
      </c>
      <c r="F1098" t="s">
        <v>70</v>
      </c>
      <c r="G1098" t="s">
        <v>71</v>
      </c>
      <c r="H1098" t="s">
        <v>61</v>
      </c>
      <c r="I1098">
        <v>7500</v>
      </c>
      <c r="J1098">
        <v>9750</v>
      </c>
      <c r="K1098">
        <v>1</v>
      </c>
      <c r="L1098">
        <v>7500</v>
      </c>
      <c r="M1098">
        <v>9750</v>
      </c>
      <c r="N1098" t="s">
        <v>28</v>
      </c>
      <c r="O1098">
        <f t="shared" si="34"/>
        <v>9750</v>
      </c>
      <c r="P1098" s="13">
        <f t="shared" si="35"/>
        <v>2842554</v>
      </c>
      <c r="Q1098" s="13">
        <f>SUMIFS(M:M,E:E,Online_eCommerce[[#This Row],[Status]])</f>
        <v>28620410</v>
      </c>
      <c r="R1098" s="13">
        <f>SUMIFS(L:L,H:H,Online_eCommerce[[#This Row],[Brand]])</f>
        <v>10950150</v>
      </c>
      <c r="S1098" s="13">
        <f>SUMIF(H:H,Online_eCommerce[[#This Row],[Brand]],M:M)</f>
        <v>14235195</v>
      </c>
      <c r="T1098" s="13">
        <f>SUMIF(N:N,Online_eCommerce[[#This Row],[Assigned Supervisor]],L:L)</f>
        <v>12220830</v>
      </c>
    </row>
    <row r="1099" spans="1:20" hidden="1" x14ac:dyDescent="0.3">
      <c r="A1099" t="s">
        <v>1655</v>
      </c>
      <c r="B1099" t="s">
        <v>215</v>
      </c>
      <c r="C1099" t="s">
        <v>52</v>
      </c>
      <c r="D1099" t="s">
        <v>1621</v>
      </c>
      <c r="E1099" t="s">
        <v>96</v>
      </c>
      <c r="F1099" t="s">
        <v>1642</v>
      </c>
      <c r="G1099" t="s">
        <v>77</v>
      </c>
      <c r="H1099" t="s">
        <v>78</v>
      </c>
      <c r="I1099">
        <v>10000</v>
      </c>
      <c r="J1099">
        <v>13000</v>
      </c>
      <c r="K1099">
        <v>3</v>
      </c>
      <c r="L1099">
        <v>30000</v>
      </c>
      <c r="M1099">
        <v>39000</v>
      </c>
      <c r="N1099" t="s">
        <v>35</v>
      </c>
      <c r="O1099">
        <f t="shared" si="34"/>
        <v>39000</v>
      </c>
      <c r="P1099" s="13">
        <f t="shared" si="35"/>
        <v>1955044</v>
      </c>
      <c r="Q1099" s="13">
        <f>SUMIFS(M:M,E:E,Online_eCommerce[[#This Row],[Status]])</f>
        <v>21233992</v>
      </c>
      <c r="R1099" s="13">
        <f>SUMIFS(L:L,H:H,Online_eCommerce[[#This Row],[Brand]])</f>
        <v>3720000</v>
      </c>
      <c r="S1099" s="13">
        <f>SUMIF(H:H,Online_eCommerce[[#This Row],[Brand]],M:M)</f>
        <v>4836000</v>
      </c>
      <c r="T1099" s="13">
        <f>SUMIF(N:N,Online_eCommerce[[#This Row],[Assigned Supervisor]],L:L)</f>
        <v>14373360</v>
      </c>
    </row>
    <row r="1100" spans="1:20" hidden="1" x14ac:dyDescent="0.3">
      <c r="A1100" t="s">
        <v>1656</v>
      </c>
      <c r="B1100" t="s">
        <v>215</v>
      </c>
      <c r="C1100" t="s">
        <v>58</v>
      </c>
      <c r="D1100" t="s">
        <v>1621</v>
      </c>
      <c r="E1100" t="s">
        <v>18</v>
      </c>
      <c r="F1100" t="s">
        <v>1657</v>
      </c>
      <c r="G1100" t="s">
        <v>20</v>
      </c>
      <c r="H1100" t="s">
        <v>21</v>
      </c>
      <c r="I1100">
        <v>10500</v>
      </c>
      <c r="J1100">
        <v>13650</v>
      </c>
      <c r="K1100">
        <v>1</v>
      </c>
      <c r="L1100">
        <v>10500</v>
      </c>
      <c r="M1100">
        <v>13650</v>
      </c>
      <c r="N1100" t="s">
        <v>42</v>
      </c>
      <c r="O1100">
        <f t="shared" si="34"/>
        <v>8450</v>
      </c>
      <c r="P1100" s="13">
        <f t="shared" si="35"/>
        <v>2629211</v>
      </c>
      <c r="Q1100" s="13">
        <f>SUMIFS(M:M,E:E,Online_eCommerce[[#This Row],[Status]])</f>
        <v>28340455</v>
      </c>
      <c r="R1100" s="13">
        <f>SUMIFS(L:L,H:H,Online_eCommerce[[#This Row],[Brand]])</f>
        <v>12435650</v>
      </c>
      <c r="S1100" s="13">
        <f>SUMIF(H:H,Online_eCommerce[[#This Row],[Brand]],M:M)</f>
        <v>16166345</v>
      </c>
      <c r="T1100" s="13">
        <f>SUMIF(N:N,Online_eCommerce[[#This Row],[Assigned Supervisor]],L:L)</f>
        <v>12261500</v>
      </c>
    </row>
    <row r="1101" spans="1:20" hidden="1" x14ac:dyDescent="0.3">
      <c r="A1101" t="s">
        <v>1658</v>
      </c>
      <c r="B1101" t="s">
        <v>215</v>
      </c>
      <c r="C1101" t="s">
        <v>63</v>
      </c>
      <c r="D1101" t="s">
        <v>1621</v>
      </c>
      <c r="E1101" t="s">
        <v>161</v>
      </c>
      <c r="F1101" t="s">
        <v>88</v>
      </c>
      <c r="G1101" t="s">
        <v>26</v>
      </c>
      <c r="H1101" t="s">
        <v>27</v>
      </c>
      <c r="I1101">
        <v>8500</v>
      </c>
      <c r="J1101">
        <v>11050</v>
      </c>
      <c r="K1101">
        <v>2</v>
      </c>
      <c r="L1101">
        <v>17000</v>
      </c>
      <c r="M1101">
        <v>22100</v>
      </c>
      <c r="N1101" t="s">
        <v>50</v>
      </c>
      <c r="O1101">
        <f t="shared" si="34"/>
        <v>33150</v>
      </c>
      <c r="P1101" s="13">
        <f t="shared" si="35"/>
        <v>2016131</v>
      </c>
      <c r="Q1101" s="13">
        <f>SUMIFS(M:M,E:E,Online_eCommerce[[#This Row],[Status]])</f>
        <v>21103186</v>
      </c>
      <c r="R1101" s="13">
        <f>SUMIFS(L:L,H:H,Online_eCommerce[[#This Row],[Brand]])</f>
        <v>14431000</v>
      </c>
      <c r="S1101" s="13">
        <f>SUMIF(H:H,Online_eCommerce[[#This Row],[Brand]],M:M)</f>
        <v>18760300</v>
      </c>
      <c r="T1101" s="13">
        <f>SUMIF(N:N,Online_eCommerce[[#This Row],[Assigned Supervisor]],L:L)</f>
        <v>12100590</v>
      </c>
    </row>
    <row r="1102" spans="1:20" x14ac:dyDescent="0.3">
      <c r="A1102" t="s">
        <v>1659</v>
      </c>
      <c r="B1102" t="s">
        <v>215</v>
      </c>
      <c r="C1102" t="s">
        <v>68</v>
      </c>
      <c r="D1102" t="s">
        <v>1621</v>
      </c>
      <c r="E1102" t="s">
        <v>46</v>
      </c>
      <c r="F1102" t="s">
        <v>32</v>
      </c>
      <c r="G1102" t="s">
        <v>33</v>
      </c>
      <c r="H1102" t="s">
        <v>34</v>
      </c>
      <c r="I1102">
        <v>7000</v>
      </c>
      <c r="J1102">
        <v>9100</v>
      </c>
      <c r="K1102">
        <v>4</v>
      </c>
      <c r="L1102">
        <v>28000</v>
      </c>
      <c r="M1102">
        <v>36400</v>
      </c>
      <c r="N1102" t="s">
        <v>56</v>
      </c>
      <c r="O1102">
        <f t="shared" si="34"/>
        <v>18200</v>
      </c>
      <c r="P1102" s="13">
        <f t="shared" si="35"/>
        <v>2974621</v>
      </c>
      <c r="Q1102" s="13">
        <f>SUMIFS(M:M,E:E,Online_eCommerce[[#This Row],[Status]])</f>
        <v>28620410</v>
      </c>
      <c r="R1102" s="13">
        <f>SUMIFS(L:L,H:H,Online_eCommerce[[#This Row],[Brand]])</f>
        <v>10087000</v>
      </c>
      <c r="S1102" s="13">
        <f>SUMIF(H:H,Online_eCommerce[[#This Row],[Brand]],M:M)</f>
        <v>13113100</v>
      </c>
      <c r="T1102" s="13">
        <f>SUMIF(N:N,Online_eCommerce[[#This Row],[Assigned Supervisor]],L:L)</f>
        <v>11733610</v>
      </c>
    </row>
    <row r="1103" spans="1:20" hidden="1" x14ac:dyDescent="0.3">
      <c r="A1103" t="s">
        <v>1660</v>
      </c>
      <c r="B1103" t="s">
        <v>215</v>
      </c>
      <c r="C1103" t="s">
        <v>74</v>
      </c>
      <c r="D1103" t="s">
        <v>1621</v>
      </c>
      <c r="E1103" t="s">
        <v>96</v>
      </c>
      <c r="F1103" t="s">
        <v>1661</v>
      </c>
      <c r="G1103" t="s">
        <v>256</v>
      </c>
      <c r="H1103" t="s">
        <v>41</v>
      </c>
      <c r="I1103">
        <v>1680</v>
      </c>
      <c r="J1103">
        <v>2184</v>
      </c>
      <c r="K1103">
        <v>2</v>
      </c>
      <c r="L1103">
        <v>3360</v>
      </c>
      <c r="M1103">
        <v>4368</v>
      </c>
      <c r="N1103" t="s">
        <v>22</v>
      </c>
      <c r="O1103">
        <f t="shared" si="34"/>
        <v>9100</v>
      </c>
      <c r="P1103" s="13">
        <f t="shared" si="35"/>
        <v>2144701</v>
      </c>
      <c r="Q1103" s="13">
        <f>SUMIFS(M:M,E:E,Online_eCommerce[[#This Row],[Status]])</f>
        <v>21233992</v>
      </c>
      <c r="R1103" s="13">
        <f>SUMIFS(L:L,H:H,Online_eCommerce[[#This Row],[Brand]])</f>
        <v>4260400</v>
      </c>
      <c r="S1103" s="13">
        <f>SUMIF(H:H,Online_eCommerce[[#This Row],[Brand]],M:M)</f>
        <v>5538520</v>
      </c>
      <c r="T1103" s="13">
        <f>SUMIF(N:N,Online_eCommerce[[#This Row],[Assigned Supervisor]],L:L)</f>
        <v>13693220</v>
      </c>
    </row>
    <row r="1104" spans="1:20" hidden="1" x14ac:dyDescent="0.3">
      <c r="A1104" t="s">
        <v>1662</v>
      </c>
      <c r="B1104" t="s">
        <v>215</v>
      </c>
      <c r="C1104" t="s">
        <v>81</v>
      </c>
      <c r="D1104" t="s">
        <v>1621</v>
      </c>
      <c r="E1104" t="s">
        <v>18</v>
      </c>
      <c r="F1104" t="s">
        <v>101</v>
      </c>
      <c r="G1104" t="s">
        <v>259</v>
      </c>
      <c r="H1104" t="s">
        <v>102</v>
      </c>
      <c r="I1104">
        <v>6540</v>
      </c>
      <c r="J1104">
        <v>8502</v>
      </c>
      <c r="K1104">
        <v>3</v>
      </c>
      <c r="L1104">
        <v>19620</v>
      </c>
      <c r="M1104">
        <v>25506</v>
      </c>
      <c r="N1104" t="s">
        <v>28</v>
      </c>
      <c r="O1104">
        <f t="shared" si="34"/>
        <v>11700</v>
      </c>
      <c r="P1104" s="13">
        <f t="shared" si="35"/>
        <v>2595632</v>
      </c>
      <c r="Q1104" s="13">
        <f>SUMIFS(M:M,E:E,Online_eCommerce[[#This Row],[Status]])</f>
        <v>28340455</v>
      </c>
      <c r="R1104" s="13">
        <f>SUMIFS(L:L,H:H,Online_eCommerce[[#This Row],[Brand]])</f>
        <v>2465580</v>
      </c>
      <c r="S1104" s="13">
        <f>SUMIF(H:H,Online_eCommerce[[#This Row],[Brand]],M:M)</f>
        <v>3205254</v>
      </c>
      <c r="T1104" s="13">
        <f>SUMIF(N:N,Online_eCommerce[[#This Row],[Assigned Supervisor]],L:L)</f>
        <v>12220830</v>
      </c>
    </row>
    <row r="1105" spans="1:20" hidden="1" x14ac:dyDescent="0.3">
      <c r="A1105" t="s">
        <v>1663</v>
      </c>
      <c r="B1105" t="s">
        <v>215</v>
      </c>
      <c r="C1105" t="s">
        <v>86</v>
      </c>
      <c r="D1105" t="s">
        <v>1621</v>
      </c>
      <c r="E1105" t="s">
        <v>161</v>
      </c>
      <c r="F1105" t="s">
        <v>107</v>
      </c>
      <c r="G1105" t="s">
        <v>54</v>
      </c>
      <c r="H1105" t="s">
        <v>55</v>
      </c>
      <c r="I1105">
        <v>2680</v>
      </c>
      <c r="J1105">
        <v>3484</v>
      </c>
      <c r="K1105">
        <v>1</v>
      </c>
      <c r="L1105">
        <v>2680</v>
      </c>
      <c r="M1105">
        <v>3484</v>
      </c>
      <c r="N1105" t="s">
        <v>35</v>
      </c>
      <c r="O1105">
        <f t="shared" si="34"/>
        <v>2990</v>
      </c>
      <c r="P1105" s="13">
        <f t="shared" si="35"/>
        <v>1941225</v>
      </c>
      <c r="Q1105" s="13">
        <f>SUMIFS(M:M,E:E,Online_eCommerce[[#This Row],[Status]])</f>
        <v>21103186</v>
      </c>
      <c r="R1105" s="13">
        <f>SUMIFS(L:L,H:H,Online_eCommerce[[#This Row],[Brand]])</f>
        <v>2267380</v>
      </c>
      <c r="S1105" s="13">
        <f>SUMIF(H:H,Online_eCommerce[[#This Row],[Brand]],M:M)</f>
        <v>2947594</v>
      </c>
      <c r="T1105" s="13">
        <f>SUMIF(N:N,Online_eCommerce[[#This Row],[Assigned Supervisor]],L:L)</f>
        <v>14373360</v>
      </c>
    </row>
    <row r="1106" spans="1:20" x14ac:dyDescent="0.3">
      <c r="A1106" t="s">
        <v>1664</v>
      </c>
      <c r="B1106" t="s">
        <v>215</v>
      </c>
      <c r="C1106" t="s">
        <v>91</v>
      </c>
      <c r="D1106" t="s">
        <v>1621</v>
      </c>
      <c r="E1106" t="s">
        <v>46</v>
      </c>
      <c r="F1106" t="s">
        <v>112</v>
      </c>
      <c r="G1106" t="s">
        <v>71</v>
      </c>
      <c r="H1106" t="s">
        <v>21</v>
      </c>
      <c r="I1106">
        <v>8250</v>
      </c>
      <c r="J1106">
        <v>10725</v>
      </c>
      <c r="K1106">
        <v>2</v>
      </c>
      <c r="L1106">
        <v>16500</v>
      </c>
      <c r="M1106">
        <v>21450</v>
      </c>
      <c r="N1106" t="s">
        <v>42</v>
      </c>
      <c r="O1106">
        <f t="shared" si="34"/>
        <v>9750</v>
      </c>
      <c r="P1106" s="13">
        <f t="shared" si="35"/>
        <v>2731963</v>
      </c>
      <c r="Q1106" s="13">
        <f>SUMIFS(M:M,E:E,Online_eCommerce[[#This Row],[Status]])</f>
        <v>28620410</v>
      </c>
      <c r="R1106" s="13">
        <f>SUMIFS(L:L,H:H,Online_eCommerce[[#This Row],[Brand]])</f>
        <v>12435650</v>
      </c>
      <c r="S1106" s="13">
        <f>SUMIF(H:H,Online_eCommerce[[#This Row],[Brand]],M:M)</f>
        <v>16166345</v>
      </c>
      <c r="T1106" s="13">
        <f>SUMIF(N:N,Online_eCommerce[[#This Row],[Assigned Supervisor]],L:L)</f>
        <v>12261500</v>
      </c>
    </row>
    <row r="1107" spans="1:20" hidden="1" x14ac:dyDescent="0.3">
      <c r="A1107" t="s">
        <v>1665</v>
      </c>
      <c r="B1107" t="s">
        <v>215</v>
      </c>
      <c r="C1107" t="s">
        <v>94</v>
      </c>
      <c r="D1107" t="s">
        <v>1621</v>
      </c>
      <c r="E1107" t="s">
        <v>96</v>
      </c>
      <c r="F1107" t="s">
        <v>1281</v>
      </c>
      <c r="G1107" t="s">
        <v>40</v>
      </c>
      <c r="H1107" t="s">
        <v>21</v>
      </c>
      <c r="I1107">
        <v>2650</v>
      </c>
      <c r="J1107">
        <v>3445</v>
      </c>
      <c r="K1107">
        <v>1</v>
      </c>
      <c r="L1107">
        <v>2650</v>
      </c>
      <c r="M1107">
        <v>3445</v>
      </c>
      <c r="N1107" t="s">
        <v>50</v>
      </c>
      <c r="O1107">
        <f t="shared" si="34"/>
        <v>25545</v>
      </c>
      <c r="P1107" s="13">
        <f t="shared" si="35"/>
        <v>1868256</v>
      </c>
      <c r="Q1107" s="13">
        <f>SUMIFS(M:M,E:E,Online_eCommerce[[#This Row],[Status]])</f>
        <v>21233992</v>
      </c>
      <c r="R1107" s="13">
        <f>SUMIFS(L:L,H:H,Online_eCommerce[[#This Row],[Brand]])</f>
        <v>12435650</v>
      </c>
      <c r="S1107" s="13">
        <f>SUMIF(H:H,Online_eCommerce[[#This Row],[Brand]],M:M)</f>
        <v>16166345</v>
      </c>
      <c r="T1107" s="13">
        <f>SUMIF(N:N,Online_eCommerce[[#This Row],[Assigned Supervisor]],L:L)</f>
        <v>12100590</v>
      </c>
    </row>
    <row r="1108" spans="1:20" hidden="1" x14ac:dyDescent="0.3">
      <c r="A1108" t="s">
        <v>1666</v>
      </c>
      <c r="B1108" t="s">
        <v>215</v>
      </c>
      <c r="C1108" t="s">
        <v>99</v>
      </c>
      <c r="D1108" t="s">
        <v>1621</v>
      </c>
      <c r="E1108" t="s">
        <v>18</v>
      </c>
      <c r="F1108" t="s">
        <v>121</v>
      </c>
      <c r="G1108" t="s">
        <v>71</v>
      </c>
      <c r="H1108" t="s">
        <v>122</v>
      </c>
      <c r="I1108">
        <v>12550</v>
      </c>
      <c r="J1108">
        <v>16315</v>
      </c>
      <c r="K1108">
        <v>3</v>
      </c>
      <c r="L1108">
        <v>37650</v>
      </c>
      <c r="M1108">
        <v>48945</v>
      </c>
      <c r="N1108" t="s">
        <v>56</v>
      </c>
      <c r="O1108">
        <f t="shared" si="34"/>
        <v>9750</v>
      </c>
      <c r="P1108" s="13">
        <f t="shared" si="35"/>
        <v>2651233</v>
      </c>
      <c r="Q1108" s="13">
        <f>SUMIFS(M:M,E:E,Online_eCommerce[[#This Row],[Status]])</f>
        <v>28340455</v>
      </c>
      <c r="R1108" s="13">
        <f>SUMIFS(L:L,H:H,Online_eCommerce[[#This Row],[Brand]])</f>
        <v>5045100</v>
      </c>
      <c r="S1108" s="13">
        <f>SUMIF(H:H,Online_eCommerce[[#This Row],[Brand]],M:M)</f>
        <v>6558630</v>
      </c>
      <c r="T1108" s="13">
        <f>SUMIF(N:N,Online_eCommerce[[#This Row],[Assigned Supervisor]],L:L)</f>
        <v>11733610</v>
      </c>
    </row>
    <row r="1109" spans="1:20" hidden="1" x14ac:dyDescent="0.3">
      <c r="A1109" t="s">
        <v>1667</v>
      </c>
      <c r="B1109" t="s">
        <v>215</v>
      </c>
      <c r="C1109" t="s">
        <v>105</v>
      </c>
      <c r="D1109" t="s">
        <v>1668</v>
      </c>
      <c r="E1109" t="s">
        <v>161</v>
      </c>
      <c r="F1109" t="s">
        <v>126</v>
      </c>
      <c r="G1109" t="s">
        <v>26</v>
      </c>
      <c r="H1109" t="s">
        <v>27</v>
      </c>
      <c r="I1109">
        <v>14500</v>
      </c>
      <c r="J1109">
        <v>18850</v>
      </c>
      <c r="K1109">
        <v>2</v>
      </c>
      <c r="L1109">
        <v>29000</v>
      </c>
      <c r="M1109">
        <v>37700</v>
      </c>
      <c r="N1109" t="s">
        <v>22</v>
      </c>
      <c r="O1109">
        <f t="shared" si="34"/>
        <v>33150</v>
      </c>
      <c r="P1109" s="13">
        <f t="shared" si="35"/>
        <v>1866852</v>
      </c>
      <c r="Q1109" s="13">
        <f>SUMIFS(M:M,E:E,Online_eCommerce[[#This Row],[Status]])</f>
        <v>21103186</v>
      </c>
      <c r="R1109" s="13">
        <f>SUMIFS(L:L,H:H,Online_eCommerce[[#This Row],[Brand]])</f>
        <v>14431000</v>
      </c>
      <c r="S1109" s="13">
        <f>SUMIF(H:H,Online_eCommerce[[#This Row],[Brand]],M:M)</f>
        <v>18760300</v>
      </c>
      <c r="T1109" s="13">
        <f>SUMIF(N:N,Online_eCommerce[[#This Row],[Assigned Supervisor]],L:L)</f>
        <v>13693220</v>
      </c>
    </row>
    <row r="1110" spans="1:20" x14ac:dyDescent="0.3">
      <c r="A1110" t="s">
        <v>1669</v>
      </c>
      <c r="B1110" t="s">
        <v>215</v>
      </c>
      <c r="C1110" t="s">
        <v>110</v>
      </c>
      <c r="D1110" t="s">
        <v>1670</v>
      </c>
      <c r="E1110" t="s">
        <v>46</v>
      </c>
      <c r="F1110" t="s">
        <v>129</v>
      </c>
      <c r="G1110" t="s">
        <v>60</v>
      </c>
      <c r="H1110" t="s">
        <v>61</v>
      </c>
      <c r="I1110">
        <v>800</v>
      </c>
      <c r="J1110">
        <v>1040</v>
      </c>
      <c r="K1110">
        <v>3</v>
      </c>
      <c r="L1110">
        <v>2400</v>
      </c>
      <c r="M1110">
        <v>3120</v>
      </c>
      <c r="N1110" t="s">
        <v>28</v>
      </c>
      <c r="O1110">
        <f t="shared" si="34"/>
        <v>3315</v>
      </c>
      <c r="P1110" s="13">
        <f t="shared" si="35"/>
        <v>2598635</v>
      </c>
      <c r="Q1110" s="13">
        <f>SUMIFS(M:M,E:E,Online_eCommerce[[#This Row],[Status]])</f>
        <v>28620410</v>
      </c>
      <c r="R1110" s="13">
        <f>SUMIFS(L:L,H:H,Online_eCommerce[[#This Row],[Brand]])</f>
        <v>10950150</v>
      </c>
      <c r="S1110" s="13">
        <f>SUMIF(H:H,Online_eCommerce[[#This Row],[Brand]],M:M)</f>
        <v>14235195</v>
      </c>
      <c r="T1110" s="13">
        <f>SUMIF(N:N,Online_eCommerce[[#This Row],[Assigned Supervisor]],L:L)</f>
        <v>12220830</v>
      </c>
    </row>
    <row r="1111" spans="1:20" hidden="1" x14ac:dyDescent="0.3">
      <c r="A1111" t="s">
        <v>1671</v>
      </c>
      <c r="B1111" t="s">
        <v>215</v>
      </c>
      <c r="C1111" t="s">
        <v>115</v>
      </c>
      <c r="D1111" t="s">
        <v>1672</v>
      </c>
      <c r="E1111" t="s">
        <v>96</v>
      </c>
      <c r="F1111" t="s">
        <v>133</v>
      </c>
      <c r="G1111" t="s">
        <v>66</v>
      </c>
      <c r="H1111" t="s">
        <v>21</v>
      </c>
      <c r="I1111">
        <v>600</v>
      </c>
      <c r="J1111">
        <v>780</v>
      </c>
      <c r="K1111">
        <v>4</v>
      </c>
      <c r="L1111">
        <v>2400</v>
      </c>
      <c r="M1111">
        <v>3120</v>
      </c>
      <c r="N1111" t="s">
        <v>35</v>
      </c>
      <c r="O1111">
        <f t="shared" si="34"/>
        <v>1690</v>
      </c>
      <c r="P1111" s="13">
        <f t="shared" si="35"/>
        <v>2050178</v>
      </c>
      <c r="Q1111" s="13">
        <f>SUMIFS(M:M,E:E,Online_eCommerce[[#This Row],[Status]])</f>
        <v>21233992</v>
      </c>
      <c r="R1111" s="13">
        <f>SUMIFS(L:L,H:H,Online_eCommerce[[#This Row],[Brand]])</f>
        <v>12435650</v>
      </c>
      <c r="S1111" s="13">
        <f>SUMIF(H:H,Online_eCommerce[[#This Row],[Brand]],M:M)</f>
        <v>16166345</v>
      </c>
      <c r="T1111" s="13">
        <f>SUMIF(N:N,Online_eCommerce[[#This Row],[Assigned Supervisor]],L:L)</f>
        <v>14373360</v>
      </c>
    </row>
    <row r="1112" spans="1:20" hidden="1" x14ac:dyDescent="0.3">
      <c r="A1112" t="s">
        <v>1673</v>
      </c>
      <c r="B1112" t="s">
        <v>215</v>
      </c>
      <c r="C1112" t="s">
        <v>120</v>
      </c>
      <c r="D1112" t="s">
        <v>1674</v>
      </c>
      <c r="E1112" t="s">
        <v>18</v>
      </c>
      <c r="F1112" t="s">
        <v>137</v>
      </c>
      <c r="G1112" t="s">
        <v>71</v>
      </c>
      <c r="H1112" t="s">
        <v>61</v>
      </c>
      <c r="I1112">
        <v>10500</v>
      </c>
      <c r="J1112">
        <v>13650</v>
      </c>
      <c r="K1112">
        <v>4</v>
      </c>
      <c r="L1112">
        <v>42000</v>
      </c>
      <c r="M1112">
        <v>54600</v>
      </c>
      <c r="N1112" t="s">
        <v>42</v>
      </c>
      <c r="O1112">
        <f t="shared" si="34"/>
        <v>9750</v>
      </c>
      <c r="P1112" s="13">
        <f t="shared" si="35"/>
        <v>2734212</v>
      </c>
      <c r="Q1112" s="13">
        <f>SUMIFS(M:M,E:E,Online_eCommerce[[#This Row],[Status]])</f>
        <v>28340455</v>
      </c>
      <c r="R1112" s="13">
        <f>SUMIFS(L:L,H:H,Online_eCommerce[[#This Row],[Brand]])</f>
        <v>10950150</v>
      </c>
      <c r="S1112" s="13">
        <f>SUMIF(H:H,Online_eCommerce[[#This Row],[Brand]],M:M)</f>
        <v>14235195</v>
      </c>
      <c r="T1112" s="13">
        <f>SUMIF(N:N,Online_eCommerce[[#This Row],[Assigned Supervisor]],L:L)</f>
        <v>12261500</v>
      </c>
    </row>
    <row r="1113" spans="1:20" hidden="1" x14ac:dyDescent="0.3">
      <c r="A1113" t="s">
        <v>1675</v>
      </c>
      <c r="B1113" t="s">
        <v>215</v>
      </c>
      <c r="C1113" t="s">
        <v>125</v>
      </c>
      <c r="D1113" t="s">
        <v>1676</v>
      </c>
      <c r="E1113" t="s">
        <v>161</v>
      </c>
      <c r="F1113" t="s">
        <v>1642</v>
      </c>
      <c r="G1113" t="s">
        <v>77</v>
      </c>
      <c r="H1113" t="s">
        <v>142</v>
      </c>
      <c r="I1113">
        <v>6500</v>
      </c>
      <c r="J1113">
        <v>8450</v>
      </c>
      <c r="K1113">
        <v>4</v>
      </c>
      <c r="L1113">
        <v>26000</v>
      </c>
      <c r="M1113">
        <v>33800</v>
      </c>
      <c r="N1113" t="s">
        <v>50</v>
      </c>
      <c r="O1113">
        <f t="shared" si="34"/>
        <v>39000</v>
      </c>
      <c r="P1113" s="13">
        <f t="shared" si="35"/>
        <v>2091154</v>
      </c>
      <c r="Q1113" s="13">
        <f>SUMIFS(M:M,E:E,Online_eCommerce[[#This Row],[Status]])</f>
        <v>21103186</v>
      </c>
      <c r="R1113" s="13">
        <f>SUMIFS(L:L,H:H,Online_eCommerce[[#This Row],[Brand]])</f>
        <v>6192500</v>
      </c>
      <c r="S1113" s="13">
        <f>SUMIF(H:H,Online_eCommerce[[#This Row],[Brand]],M:M)</f>
        <v>8050250</v>
      </c>
      <c r="T1113" s="13">
        <f>SUMIF(N:N,Online_eCommerce[[#This Row],[Assigned Supervisor]],L:L)</f>
        <v>12100590</v>
      </c>
    </row>
    <row r="1114" spans="1:20" x14ac:dyDescent="0.3">
      <c r="A1114" t="s">
        <v>1677</v>
      </c>
      <c r="B1114" t="s">
        <v>215</v>
      </c>
      <c r="C1114" t="s">
        <v>22</v>
      </c>
      <c r="D1114" t="s">
        <v>1676</v>
      </c>
      <c r="E1114" t="s">
        <v>46</v>
      </c>
      <c r="F1114" t="s">
        <v>1678</v>
      </c>
      <c r="G1114" t="s">
        <v>20</v>
      </c>
      <c r="H1114" t="s">
        <v>21</v>
      </c>
      <c r="I1114">
        <v>4500</v>
      </c>
      <c r="J1114">
        <v>5850</v>
      </c>
      <c r="K1114">
        <v>4</v>
      </c>
      <c r="L1114">
        <v>18000</v>
      </c>
      <c r="M1114">
        <v>23400</v>
      </c>
      <c r="N1114" t="s">
        <v>56</v>
      </c>
      <c r="O1114">
        <f t="shared" si="34"/>
        <v>8450</v>
      </c>
      <c r="P1114" s="13">
        <f t="shared" si="35"/>
        <v>2551588</v>
      </c>
      <c r="Q1114" s="13">
        <f>SUMIFS(M:M,E:E,Online_eCommerce[[#This Row],[Status]])</f>
        <v>28620410</v>
      </c>
      <c r="R1114" s="13">
        <f>SUMIFS(L:L,H:H,Online_eCommerce[[#This Row],[Brand]])</f>
        <v>12435650</v>
      </c>
      <c r="S1114" s="13">
        <f>SUMIF(H:H,Online_eCommerce[[#This Row],[Brand]],M:M)</f>
        <v>16166345</v>
      </c>
      <c r="T1114" s="13">
        <f>SUMIF(N:N,Online_eCommerce[[#This Row],[Assigned Supervisor]],L:L)</f>
        <v>11733610</v>
      </c>
    </row>
    <row r="1115" spans="1:20" hidden="1" x14ac:dyDescent="0.3">
      <c r="A1115" t="s">
        <v>1679</v>
      </c>
      <c r="B1115" t="s">
        <v>215</v>
      </c>
      <c r="C1115" t="s">
        <v>132</v>
      </c>
      <c r="D1115" t="s">
        <v>1676</v>
      </c>
      <c r="E1115" t="s">
        <v>96</v>
      </c>
      <c r="F1115" t="s">
        <v>152</v>
      </c>
      <c r="G1115" t="s">
        <v>26</v>
      </c>
      <c r="H1115" t="s">
        <v>27</v>
      </c>
      <c r="I1115">
        <v>8500</v>
      </c>
      <c r="J1115">
        <v>11050</v>
      </c>
      <c r="K1115">
        <v>2</v>
      </c>
      <c r="L1115">
        <v>17000</v>
      </c>
      <c r="M1115">
        <v>22100</v>
      </c>
      <c r="N1115" t="s">
        <v>22</v>
      </c>
      <c r="O1115">
        <f t="shared" si="34"/>
        <v>33150</v>
      </c>
      <c r="P1115" s="13">
        <f t="shared" si="35"/>
        <v>1989065</v>
      </c>
      <c r="Q1115" s="13">
        <f>SUMIFS(M:M,E:E,Online_eCommerce[[#This Row],[Status]])</f>
        <v>21233992</v>
      </c>
      <c r="R1115" s="13">
        <f>SUMIFS(L:L,H:H,Online_eCommerce[[#This Row],[Brand]])</f>
        <v>14431000</v>
      </c>
      <c r="S1115" s="13">
        <f>SUMIF(H:H,Online_eCommerce[[#This Row],[Brand]],M:M)</f>
        <v>18760300</v>
      </c>
      <c r="T1115" s="13">
        <f>SUMIF(N:N,Online_eCommerce[[#This Row],[Assigned Supervisor]],L:L)</f>
        <v>13693220</v>
      </c>
    </row>
    <row r="1116" spans="1:20" hidden="1" x14ac:dyDescent="0.3">
      <c r="A1116" t="s">
        <v>1680</v>
      </c>
      <c r="B1116" t="s">
        <v>215</v>
      </c>
      <c r="C1116" t="s">
        <v>136</v>
      </c>
      <c r="D1116" t="s">
        <v>1676</v>
      </c>
      <c r="E1116" t="s">
        <v>18</v>
      </c>
      <c r="F1116" t="s">
        <v>157</v>
      </c>
      <c r="G1116" t="s">
        <v>33</v>
      </c>
      <c r="H1116" t="s">
        <v>34</v>
      </c>
      <c r="I1116">
        <v>12500</v>
      </c>
      <c r="J1116">
        <v>16250</v>
      </c>
      <c r="K1116">
        <v>1</v>
      </c>
      <c r="L1116">
        <v>12500</v>
      </c>
      <c r="M1116">
        <v>16250</v>
      </c>
      <c r="N1116" t="s">
        <v>28</v>
      </c>
      <c r="O1116">
        <f t="shared" si="34"/>
        <v>18200</v>
      </c>
      <c r="P1116" s="13">
        <f t="shared" si="35"/>
        <v>2775162</v>
      </c>
      <c r="Q1116" s="13">
        <f>SUMIFS(M:M,E:E,Online_eCommerce[[#This Row],[Status]])</f>
        <v>28340455</v>
      </c>
      <c r="R1116" s="13">
        <f>SUMIFS(L:L,H:H,Online_eCommerce[[#This Row],[Brand]])</f>
        <v>10087000</v>
      </c>
      <c r="S1116" s="13">
        <f>SUMIF(H:H,Online_eCommerce[[#This Row],[Brand]],M:M)</f>
        <v>13113100</v>
      </c>
      <c r="T1116" s="13">
        <f>SUMIF(N:N,Online_eCommerce[[#This Row],[Assigned Supervisor]],L:L)</f>
        <v>12220830</v>
      </c>
    </row>
    <row r="1117" spans="1:20" hidden="1" x14ac:dyDescent="0.3">
      <c r="A1117" t="s">
        <v>1681</v>
      </c>
      <c r="B1117" t="s">
        <v>215</v>
      </c>
      <c r="C1117" t="s">
        <v>140</v>
      </c>
      <c r="D1117" t="s">
        <v>1676</v>
      </c>
      <c r="E1117" t="s">
        <v>161</v>
      </c>
      <c r="F1117" t="s">
        <v>1331</v>
      </c>
      <c r="G1117" t="s">
        <v>40</v>
      </c>
      <c r="H1117" t="s">
        <v>41</v>
      </c>
      <c r="I1117">
        <v>3500</v>
      </c>
      <c r="J1117">
        <v>4550</v>
      </c>
      <c r="K1117">
        <v>3</v>
      </c>
      <c r="L1117">
        <v>10500</v>
      </c>
      <c r="M1117">
        <v>13650</v>
      </c>
      <c r="N1117" t="s">
        <v>35</v>
      </c>
      <c r="O1117">
        <f t="shared" si="34"/>
        <v>25545</v>
      </c>
      <c r="P1117" s="13">
        <f t="shared" si="35"/>
        <v>2058264</v>
      </c>
      <c r="Q1117" s="13">
        <f>SUMIFS(M:M,E:E,Online_eCommerce[[#This Row],[Status]])</f>
        <v>21103186</v>
      </c>
      <c r="R1117" s="13">
        <f>SUMIFS(L:L,H:H,Online_eCommerce[[#This Row],[Brand]])</f>
        <v>4260400</v>
      </c>
      <c r="S1117" s="13">
        <f>SUMIF(H:H,Online_eCommerce[[#This Row],[Brand]],M:M)</f>
        <v>5538520</v>
      </c>
      <c r="T1117" s="13">
        <f>SUMIF(N:N,Online_eCommerce[[#This Row],[Assigned Supervisor]],L:L)</f>
        <v>14373360</v>
      </c>
    </row>
    <row r="1118" spans="1:20" x14ac:dyDescent="0.3">
      <c r="A1118" t="s">
        <v>1682</v>
      </c>
      <c r="B1118" t="s">
        <v>215</v>
      </c>
      <c r="C1118" t="s">
        <v>145</v>
      </c>
      <c r="D1118" t="s">
        <v>1676</v>
      </c>
      <c r="E1118" t="s">
        <v>46</v>
      </c>
      <c r="F1118" t="s">
        <v>166</v>
      </c>
      <c r="G1118" t="s">
        <v>334</v>
      </c>
      <c r="H1118" t="s">
        <v>49</v>
      </c>
      <c r="I1118">
        <v>4500</v>
      </c>
      <c r="J1118">
        <v>5850</v>
      </c>
      <c r="K1118">
        <v>2</v>
      </c>
      <c r="L1118">
        <v>9000</v>
      </c>
      <c r="M1118">
        <v>11700</v>
      </c>
      <c r="N1118" t="s">
        <v>42</v>
      </c>
      <c r="O1118">
        <f t="shared" si="34"/>
        <v>39780</v>
      </c>
      <c r="P1118" s="13">
        <f t="shared" si="35"/>
        <v>2757859</v>
      </c>
      <c r="Q1118" s="13">
        <f>SUMIFS(M:M,E:E,Online_eCommerce[[#This Row],[Status]])</f>
        <v>28620410</v>
      </c>
      <c r="R1118" s="13">
        <f>SUMIFS(L:L,H:H,Online_eCommerce[[#This Row],[Brand]])</f>
        <v>4528350</v>
      </c>
      <c r="S1118" s="13">
        <f>SUMIF(H:H,Online_eCommerce[[#This Row],[Brand]],M:M)</f>
        <v>5886855</v>
      </c>
      <c r="T1118" s="13">
        <f>SUMIF(N:N,Online_eCommerce[[#This Row],[Assigned Supervisor]],L:L)</f>
        <v>12261500</v>
      </c>
    </row>
    <row r="1119" spans="1:20" hidden="1" x14ac:dyDescent="0.3">
      <c r="A1119" t="s">
        <v>1683</v>
      </c>
      <c r="B1119" t="s">
        <v>215</v>
      </c>
      <c r="C1119" t="s">
        <v>150</v>
      </c>
      <c r="D1119" t="s">
        <v>1676</v>
      </c>
      <c r="E1119" t="s">
        <v>96</v>
      </c>
      <c r="F1119" t="s">
        <v>1684</v>
      </c>
      <c r="G1119" t="s">
        <v>54</v>
      </c>
      <c r="H1119" t="s">
        <v>55</v>
      </c>
      <c r="I1119">
        <v>2100</v>
      </c>
      <c r="J1119">
        <v>2730</v>
      </c>
      <c r="K1119">
        <v>1</v>
      </c>
      <c r="L1119">
        <v>2100</v>
      </c>
      <c r="M1119">
        <v>2730</v>
      </c>
      <c r="N1119" t="s">
        <v>50</v>
      </c>
      <c r="O1119">
        <f t="shared" si="34"/>
        <v>2990</v>
      </c>
      <c r="P1119" s="13">
        <f t="shared" si="35"/>
        <v>2154984</v>
      </c>
      <c r="Q1119" s="13">
        <f>SUMIFS(M:M,E:E,Online_eCommerce[[#This Row],[Status]])</f>
        <v>21233992</v>
      </c>
      <c r="R1119" s="13">
        <f>SUMIFS(L:L,H:H,Online_eCommerce[[#This Row],[Brand]])</f>
        <v>2267380</v>
      </c>
      <c r="S1119" s="13">
        <f>SUMIF(H:H,Online_eCommerce[[#This Row],[Brand]],M:M)</f>
        <v>2947594</v>
      </c>
      <c r="T1119" s="13">
        <f>SUMIF(N:N,Online_eCommerce[[#This Row],[Assigned Supervisor]],L:L)</f>
        <v>12100590</v>
      </c>
    </row>
    <row r="1120" spans="1:20" hidden="1" x14ac:dyDescent="0.3">
      <c r="A1120" t="s">
        <v>1685</v>
      </c>
      <c r="B1120" t="s">
        <v>215</v>
      </c>
      <c r="C1120" t="s">
        <v>155</v>
      </c>
      <c r="D1120" t="s">
        <v>1676</v>
      </c>
      <c r="E1120" t="s">
        <v>18</v>
      </c>
      <c r="F1120" t="s">
        <v>174</v>
      </c>
      <c r="G1120" t="s">
        <v>60</v>
      </c>
      <c r="H1120" t="s">
        <v>61</v>
      </c>
      <c r="I1120">
        <v>1150</v>
      </c>
      <c r="J1120">
        <v>1495</v>
      </c>
      <c r="K1120">
        <v>4</v>
      </c>
      <c r="L1120">
        <v>4600</v>
      </c>
      <c r="M1120">
        <v>5980</v>
      </c>
      <c r="N1120" t="s">
        <v>56</v>
      </c>
      <c r="O1120">
        <f t="shared" si="34"/>
        <v>3315</v>
      </c>
      <c r="P1120" s="13">
        <f t="shared" si="35"/>
        <v>2753348</v>
      </c>
      <c r="Q1120" s="13">
        <f>SUMIFS(M:M,E:E,Online_eCommerce[[#This Row],[Status]])</f>
        <v>28340455</v>
      </c>
      <c r="R1120" s="13">
        <f>SUMIFS(L:L,H:H,Online_eCommerce[[#This Row],[Brand]])</f>
        <v>10950150</v>
      </c>
      <c r="S1120" s="13">
        <f>SUMIF(H:H,Online_eCommerce[[#This Row],[Brand]],M:M)</f>
        <v>14235195</v>
      </c>
      <c r="T1120" s="13">
        <f>SUMIF(N:N,Online_eCommerce[[#This Row],[Assigned Supervisor]],L:L)</f>
        <v>11733610</v>
      </c>
    </row>
    <row r="1121" spans="1:20" hidden="1" x14ac:dyDescent="0.3">
      <c r="A1121" t="s">
        <v>1686</v>
      </c>
      <c r="B1121" t="s">
        <v>215</v>
      </c>
      <c r="C1121" t="s">
        <v>160</v>
      </c>
      <c r="D1121" t="s">
        <v>1676</v>
      </c>
      <c r="E1121" t="s">
        <v>161</v>
      </c>
      <c r="F1121" t="s">
        <v>179</v>
      </c>
      <c r="G1121" t="s">
        <v>66</v>
      </c>
      <c r="H1121" t="s">
        <v>21</v>
      </c>
      <c r="I1121">
        <v>350</v>
      </c>
      <c r="J1121">
        <v>455</v>
      </c>
      <c r="K1121">
        <v>4</v>
      </c>
      <c r="L1121">
        <v>1400</v>
      </c>
      <c r="M1121">
        <v>1820</v>
      </c>
      <c r="N1121" t="s">
        <v>22</v>
      </c>
      <c r="O1121">
        <f t="shared" si="34"/>
        <v>1690</v>
      </c>
      <c r="P1121" s="13">
        <f t="shared" si="35"/>
        <v>2303483</v>
      </c>
      <c r="Q1121" s="13">
        <f>SUMIFS(M:M,E:E,Online_eCommerce[[#This Row],[Status]])</f>
        <v>21103186</v>
      </c>
      <c r="R1121" s="13">
        <f>SUMIFS(L:L,H:H,Online_eCommerce[[#This Row],[Brand]])</f>
        <v>12435650</v>
      </c>
      <c r="S1121" s="13">
        <f>SUMIF(H:H,Online_eCommerce[[#This Row],[Brand]],M:M)</f>
        <v>16166345</v>
      </c>
      <c r="T1121" s="13">
        <f>SUMIF(N:N,Online_eCommerce[[#This Row],[Assigned Supervisor]],L:L)</f>
        <v>13693220</v>
      </c>
    </row>
    <row r="1122" spans="1:20" x14ac:dyDescent="0.3">
      <c r="A1122" t="s">
        <v>1687</v>
      </c>
      <c r="B1122" t="s">
        <v>215</v>
      </c>
      <c r="C1122" t="s">
        <v>165</v>
      </c>
      <c r="D1122" t="s">
        <v>1676</v>
      </c>
      <c r="E1122" t="s">
        <v>46</v>
      </c>
      <c r="F1122" t="s">
        <v>183</v>
      </c>
      <c r="G1122" t="s">
        <v>71</v>
      </c>
      <c r="H1122" t="s">
        <v>61</v>
      </c>
      <c r="I1122">
        <v>9500</v>
      </c>
      <c r="J1122">
        <v>12350</v>
      </c>
      <c r="K1122">
        <v>1</v>
      </c>
      <c r="L1122">
        <v>9500</v>
      </c>
      <c r="M1122">
        <v>12350</v>
      </c>
      <c r="N1122" t="s">
        <v>28</v>
      </c>
      <c r="O1122">
        <f t="shared" si="34"/>
        <v>9750</v>
      </c>
      <c r="P1122" s="13">
        <f t="shared" si="35"/>
        <v>2674087</v>
      </c>
      <c r="Q1122" s="13">
        <f>SUMIFS(M:M,E:E,Online_eCommerce[[#This Row],[Status]])</f>
        <v>28620410</v>
      </c>
      <c r="R1122" s="13">
        <f>SUMIFS(L:L,H:H,Online_eCommerce[[#This Row],[Brand]])</f>
        <v>10950150</v>
      </c>
      <c r="S1122" s="13">
        <f>SUMIF(H:H,Online_eCommerce[[#This Row],[Brand]],M:M)</f>
        <v>14235195</v>
      </c>
      <c r="T1122" s="13">
        <f>SUMIF(N:N,Online_eCommerce[[#This Row],[Assigned Supervisor]],L:L)</f>
        <v>12220830</v>
      </c>
    </row>
    <row r="1123" spans="1:20" hidden="1" x14ac:dyDescent="0.3">
      <c r="A1123" t="s">
        <v>1688</v>
      </c>
      <c r="B1123" t="s">
        <v>215</v>
      </c>
      <c r="C1123" t="s">
        <v>168</v>
      </c>
      <c r="D1123" t="s">
        <v>1676</v>
      </c>
      <c r="E1123" t="s">
        <v>96</v>
      </c>
      <c r="F1123" t="s">
        <v>1689</v>
      </c>
      <c r="G1123" t="s">
        <v>77</v>
      </c>
      <c r="H1123" t="s">
        <v>142</v>
      </c>
      <c r="I1123">
        <v>10000</v>
      </c>
      <c r="J1123">
        <v>13000</v>
      </c>
      <c r="K1123">
        <v>3</v>
      </c>
      <c r="L1123">
        <v>30000</v>
      </c>
      <c r="M1123">
        <v>39000</v>
      </c>
      <c r="N1123" t="s">
        <v>35</v>
      </c>
      <c r="O1123">
        <f t="shared" si="34"/>
        <v>39000</v>
      </c>
      <c r="P1123" s="13">
        <f t="shared" si="35"/>
        <v>1937780</v>
      </c>
      <c r="Q1123" s="13">
        <f>SUMIFS(M:M,E:E,Online_eCommerce[[#This Row],[Status]])</f>
        <v>21233992</v>
      </c>
      <c r="R1123" s="13">
        <f>SUMIFS(L:L,H:H,Online_eCommerce[[#This Row],[Brand]])</f>
        <v>6192500</v>
      </c>
      <c r="S1123" s="13">
        <f>SUMIF(H:H,Online_eCommerce[[#This Row],[Brand]],M:M)</f>
        <v>8050250</v>
      </c>
      <c r="T1123" s="13">
        <f>SUMIF(N:N,Online_eCommerce[[#This Row],[Assigned Supervisor]],L:L)</f>
        <v>14373360</v>
      </c>
    </row>
    <row r="1124" spans="1:20" hidden="1" x14ac:dyDescent="0.3">
      <c r="A1124" t="s">
        <v>1690</v>
      </c>
      <c r="B1124" t="s">
        <v>215</v>
      </c>
      <c r="C1124" t="s">
        <v>172</v>
      </c>
      <c r="D1124" t="s">
        <v>1676</v>
      </c>
      <c r="E1124" t="s">
        <v>18</v>
      </c>
      <c r="F1124" t="s">
        <v>1691</v>
      </c>
      <c r="G1124" t="s">
        <v>20</v>
      </c>
      <c r="H1124" t="s">
        <v>21</v>
      </c>
      <c r="I1124">
        <v>6500</v>
      </c>
      <c r="J1124">
        <v>8450</v>
      </c>
      <c r="K1124">
        <v>3</v>
      </c>
      <c r="L1124">
        <v>19500</v>
      </c>
      <c r="M1124">
        <v>25350</v>
      </c>
      <c r="N1124" t="s">
        <v>42</v>
      </c>
      <c r="O1124">
        <f t="shared" si="34"/>
        <v>8450</v>
      </c>
      <c r="P1124" s="13">
        <f t="shared" si="35"/>
        <v>2640274</v>
      </c>
      <c r="Q1124" s="13">
        <f>SUMIFS(M:M,E:E,Online_eCommerce[[#This Row],[Status]])</f>
        <v>28340455</v>
      </c>
      <c r="R1124" s="13">
        <f>SUMIFS(L:L,H:H,Online_eCommerce[[#This Row],[Brand]])</f>
        <v>12435650</v>
      </c>
      <c r="S1124" s="13">
        <f>SUMIF(H:H,Online_eCommerce[[#This Row],[Brand]],M:M)</f>
        <v>16166345</v>
      </c>
      <c r="T1124" s="13">
        <f>SUMIF(N:N,Online_eCommerce[[#This Row],[Assigned Supervisor]],L:L)</f>
        <v>12261500</v>
      </c>
    </row>
    <row r="1125" spans="1:20" hidden="1" x14ac:dyDescent="0.3">
      <c r="A1125" t="s">
        <v>1692</v>
      </c>
      <c r="B1125" t="s">
        <v>215</v>
      </c>
      <c r="C1125" t="s">
        <v>177</v>
      </c>
      <c r="D1125" t="s">
        <v>1676</v>
      </c>
      <c r="E1125" t="s">
        <v>161</v>
      </c>
      <c r="F1125" t="s">
        <v>1693</v>
      </c>
      <c r="G1125" t="s">
        <v>26</v>
      </c>
      <c r="H1125" t="s">
        <v>27</v>
      </c>
      <c r="I1125">
        <v>8500</v>
      </c>
      <c r="J1125">
        <v>11050</v>
      </c>
      <c r="K1125">
        <v>3</v>
      </c>
      <c r="L1125">
        <v>25500</v>
      </c>
      <c r="M1125">
        <v>33150</v>
      </c>
      <c r="N1125" t="s">
        <v>50</v>
      </c>
      <c r="O1125">
        <f t="shared" si="34"/>
        <v>33150</v>
      </c>
      <c r="P1125" s="13">
        <f t="shared" si="35"/>
        <v>1863810</v>
      </c>
      <c r="Q1125" s="13">
        <f>SUMIFS(M:M,E:E,Online_eCommerce[[#This Row],[Status]])</f>
        <v>21103186</v>
      </c>
      <c r="R1125" s="13">
        <f>SUMIFS(L:L,H:H,Online_eCommerce[[#This Row],[Brand]])</f>
        <v>14431000</v>
      </c>
      <c r="S1125" s="13">
        <f>SUMIF(H:H,Online_eCommerce[[#This Row],[Brand]],M:M)</f>
        <v>18760300</v>
      </c>
      <c r="T1125" s="13">
        <f>SUMIF(N:N,Online_eCommerce[[#This Row],[Assigned Supervisor]],L:L)</f>
        <v>12100590</v>
      </c>
    </row>
    <row r="1126" spans="1:20" x14ac:dyDescent="0.3">
      <c r="A1126" t="s">
        <v>1694</v>
      </c>
      <c r="B1126" t="s">
        <v>215</v>
      </c>
      <c r="C1126" t="s">
        <v>181</v>
      </c>
      <c r="D1126" t="s">
        <v>1676</v>
      </c>
      <c r="E1126" t="s">
        <v>46</v>
      </c>
      <c r="F1126" t="s">
        <v>32</v>
      </c>
      <c r="G1126" t="s">
        <v>33</v>
      </c>
      <c r="H1126" t="s">
        <v>34</v>
      </c>
      <c r="I1126">
        <v>7000</v>
      </c>
      <c r="J1126">
        <v>9100</v>
      </c>
      <c r="K1126">
        <v>3</v>
      </c>
      <c r="L1126">
        <v>21000</v>
      </c>
      <c r="M1126">
        <v>27300</v>
      </c>
      <c r="N1126" t="s">
        <v>56</v>
      </c>
      <c r="O1126">
        <f t="shared" si="34"/>
        <v>18200</v>
      </c>
      <c r="P1126" s="13">
        <f t="shared" si="35"/>
        <v>2577458</v>
      </c>
      <c r="Q1126" s="13">
        <f>SUMIFS(M:M,E:E,Online_eCommerce[[#This Row],[Status]])</f>
        <v>28620410</v>
      </c>
      <c r="R1126" s="13">
        <f>SUMIFS(L:L,H:H,Online_eCommerce[[#This Row],[Brand]])</f>
        <v>10087000</v>
      </c>
      <c r="S1126" s="13">
        <f>SUMIF(H:H,Online_eCommerce[[#This Row],[Brand]],M:M)</f>
        <v>13113100</v>
      </c>
      <c r="T1126" s="13">
        <f>SUMIF(N:N,Online_eCommerce[[#This Row],[Assigned Supervisor]],L:L)</f>
        <v>11733610</v>
      </c>
    </row>
    <row r="1127" spans="1:20" hidden="1" x14ac:dyDescent="0.3">
      <c r="A1127" t="s">
        <v>1695</v>
      </c>
      <c r="B1127" t="s">
        <v>215</v>
      </c>
      <c r="C1127" t="s">
        <v>185</v>
      </c>
      <c r="D1127" t="s">
        <v>1696</v>
      </c>
      <c r="E1127" t="s">
        <v>96</v>
      </c>
      <c r="F1127" t="s">
        <v>1697</v>
      </c>
      <c r="G1127" t="s">
        <v>40</v>
      </c>
      <c r="H1127" t="s">
        <v>41</v>
      </c>
      <c r="I1127">
        <v>6550</v>
      </c>
      <c r="J1127">
        <v>8515</v>
      </c>
      <c r="K1127">
        <v>3</v>
      </c>
      <c r="L1127">
        <v>19650</v>
      </c>
      <c r="M1127">
        <v>25545</v>
      </c>
      <c r="N1127" t="s">
        <v>22</v>
      </c>
      <c r="O1127">
        <f t="shared" si="34"/>
        <v>25545</v>
      </c>
      <c r="P1127" s="13">
        <f t="shared" si="35"/>
        <v>2091596</v>
      </c>
      <c r="Q1127" s="13">
        <f>SUMIFS(M:M,E:E,Online_eCommerce[[#This Row],[Status]])</f>
        <v>21233992</v>
      </c>
      <c r="R1127" s="13">
        <f>SUMIFS(L:L,H:H,Online_eCommerce[[#This Row],[Brand]])</f>
        <v>4260400</v>
      </c>
      <c r="S1127" s="13">
        <f>SUMIF(H:H,Online_eCommerce[[#This Row],[Brand]],M:M)</f>
        <v>5538520</v>
      </c>
      <c r="T1127" s="13">
        <f>SUMIF(N:N,Online_eCommerce[[#This Row],[Assigned Supervisor]],L:L)</f>
        <v>13693220</v>
      </c>
    </row>
    <row r="1128" spans="1:20" hidden="1" x14ac:dyDescent="0.3">
      <c r="A1128" t="s">
        <v>1698</v>
      </c>
      <c r="B1128" t="s">
        <v>215</v>
      </c>
      <c r="C1128" t="s">
        <v>189</v>
      </c>
      <c r="D1128" t="s">
        <v>1699</v>
      </c>
      <c r="E1128" t="s">
        <v>18</v>
      </c>
      <c r="F1128" t="s">
        <v>47</v>
      </c>
      <c r="G1128" t="s">
        <v>334</v>
      </c>
      <c r="H1128" t="s">
        <v>49</v>
      </c>
      <c r="I1128">
        <v>7650</v>
      </c>
      <c r="J1128">
        <v>9945</v>
      </c>
      <c r="K1128">
        <v>1</v>
      </c>
      <c r="L1128">
        <v>7650</v>
      </c>
      <c r="M1128">
        <v>9945</v>
      </c>
      <c r="N1128" t="s">
        <v>28</v>
      </c>
      <c r="O1128">
        <f t="shared" si="34"/>
        <v>39780</v>
      </c>
      <c r="P1128" s="13">
        <f t="shared" si="35"/>
        <v>2740777</v>
      </c>
      <c r="Q1128" s="13">
        <f>SUMIFS(M:M,E:E,Online_eCommerce[[#This Row],[Status]])</f>
        <v>28340455</v>
      </c>
      <c r="R1128" s="13">
        <f>SUMIFS(L:L,H:H,Online_eCommerce[[#This Row],[Brand]])</f>
        <v>4528350</v>
      </c>
      <c r="S1128" s="13">
        <f>SUMIF(H:H,Online_eCommerce[[#This Row],[Brand]],M:M)</f>
        <v>5886855</v>
      </c>
      <c r="T1128" s="13">
        <f>SUMIF(N:N,Online_eCommerce[[#This Row],[Assigned Supervisor]],L:L)</f>
        <v>12220830</v>
      </c>
    </row>
    <row r="1129" spans="1:20" hidden="1" x14ac:dyDescent="0.3">
      <c r="A1129" t="s">
        <v>1700</v>
      </c>
      <c r="B1129" t="s">
        <v>215</v>
      </c>
      <c r="C1129" t="s">
        <v>193</v>
      </c>
      <c r="D1129" t="s">
        <v>1701</v>
      </c>
      <c r="E1129" t="s">
        <v>161</v>
      </c>
      <c r="F1129" t="s">
        <v>53</v>
      </c>
      <c r="G1129" t="s">
        <v>54</v>
      </c>
      <c r="H1129" t="s">
        <v>55</v>
      </c>
      <c r="I1129">
        <v>1150</v>
      </c>
      <c r="J1129">
        <v>1495</v>
      </c>
      <c r="K1129">
        <v>2</v>
      </c>
      <c r="L1129">
        <v>2300</v>
      </c>
      <c r="M1129">
        <v>2990</v>
      </c>
      <c r="N1129" t="s">
        <v>35</v>
      </c>
      <c r="O1129">
        <f t="shared" si="34"/>
        <v>2990</v>
      </c>
      <c r="P1129" s="13">
        <f t="shared" si="35"/>
        <v>2074774</v>
      </c>
      <c r="Q1129" s="13">
        <f>SUMIFS(M:M,E:E,Online_eCommerce[[#This Row],[Status]])</f>
        <v>21103186</v>
      </c>
      <c r="R1129" s="13">
        <f>SUMIFS(L:L,H:H,Online_eCommerce[[#This Row],[Brand]])</f>
        <v>2267380</v>
      </c>
      <c r="S1129" s="13">
        <f>SUMIF(H:H,Online_eCommerce[[#This Row],[Brand]],M:M)</f>
        <v>2947594</v>
      </c>
      <c r="T1129" s="13">
        <f>SUMIF(N:N,Online_eCommerce[[#This Row],[Assigned Supervisor]],L:L)</f>
        <v>14373360</v>
      </c>
    </row>
    <row r="1130" spans="1:20" x14ac:dyDescent="0.3">
      <c r="A1130" t="s">
        <v>1702</v>
      </c>
      <c r="B1130" t="s">
        <v>215</v>
      </c>
      <c r="C1130" t="s">
        <v>197</v>
      </c>
      <c r="D1130" t="s">
        <v>1701</v>
      </c>
      <c r="E1130" t="s">
        <v>46</v>
      </c>
      <c r="F1130" t="s">
        <v>59</v>
      </c>
      <c r="G1130" t="s">
        <v>60</v>
      </c>
      <c r="H1130" t="s">
        <v>61</v>
      </c>
      <c r="I1130">
        <v>850</v>
      </c>
      <c r="J1130">
        <v>1105</v>
      </c>
      <c r="K1130">
        <v>4</v>
      </c>
      <c r="L1130">
        <v>3400</v>
      </c>
      <c r="M1130">
        <v>4420</v>
      </c>
      <c r="N1130" t="s">
        <v>42</v>
      </c>
      <c r="O1130">
        <f t="shared" si="34"/>
        <v>3315</v>
      </c>
      <c r="P1130" s="13">
        <f t="shared" si="35"/>
        <v>2829840</v>
      </c>
      <c r="Q1130" s="13">
        <f>SUMIFS(M:M,E:E,Online_eCommerce[[#This Row],[Status]])</f>
        <v>28620410</v>
      </c>
      <c r="R1130" s="13">
        <f>SUMIFS(L:L,H:H,Online_eCommerce[[#This Row],[Brand]])</f>
        <v>10950150</v>
      </c>
      <c r="S1130" s="13">
        <f>SUMIF(H:H,Online_eCommerce[[#This Row],[Brand]],M:M)</f>
        <v>14235195</v>
      </c>
      <c r="T1130" s="13">
        <f>SUMIF(N:N,Online_eCommerce[[#This Row],[Assigned Supervisor]],L:L)</f>
        <v>12261500</v>
      </c>
    </row>
    <row r="1131" spans="1:20" hidden="1" x14ac:dyDescent="0.3">
      <c r="A1131" t="s">
        <v>1703</v>
      </c>
      <c r="B1131" t="s">
        <v>215</v>
      </c>
      <c r="C1131" t="s">
        <v>199</v>
      </c>
      <c r="D1131" t="s">
        <v>1701</v>
      </c>
      <c r="E1131" t="s">
        <v>96</v>
      </c>
      <c r="F1131" t="s">
        <v>65</v>
      </c>
      <c r="G1131" t="s">
        <v>66</v>
      </c>
      <c r="H1131" t="s">
        <v>21</v>
      </c>
      <c r="I1131">
        <v>650</v>
      </c>
      <c r="J1131">
        <v>845</v>
      </c>
      <c r="K1131">
        <v>2</v>
      </c>
      <c r="L1131">
        <v>1300</v>
      </c>
      <c r="M1131">
        <v>1690</v>
      </c>
      <c r="N1131" t="s">
        <v>50</v>
      </c>
      <c r="O1131">
        <f t="shared" si="34"/>
        <v>1690</v>
      </c>
      <c r="P1131" s="13">
        <f t="shared" si="35"/>
        <v>1947361</v>
      </c>
      <c r="Q1131" s="13">
        <f>SUMIFS(M:M,E:E,Online_eCommerce[[#This Row],[Status]])</f>
        <v>21233992</v>
      </c>
      <c r="R1131" s="13">
        <f>SUMIFS(L:L,H:H,Online_eCommerce[[#This Row],[Brand]])</f>
        <v>12435650</v>
      </c>
      <c r="S1131" s="13">
        <f>SUMIF(H:H,Online_eCommerce[[#This Row],[Brand]],M:M)</f>
        <v>16166345</v>
      </c>
      <c r="T1131" s="13">
        <f>SUMIF(N:N,Online_eCommerce[[#This Row],[Assigned Supervisor]],L:L)</f>
        <v>12100590</v>
      </c>
    </row>
    <row r="1132" spans="1:20" hidden="1" x14ac:dyDescent="0.3">
      <c r="A1132" t="s">
        <v>1704</v>
      </c>
      <c r="B1132" t="s">
        <v>215</v>
      </c>
      <c r="C1132" t="s">
        <v>203</v>
      </c>
      <c r="D1132" t="s">
        <v>1701</v>
      </c>
      <c r="E1132" t="s">
        <v>18</v>
      </c>
      <c r="F1132" t="s">
        <v>70</v>
      </c>
      <c r="G1132" t="s">
        <v>71</v>
      </c>
      <c r="H1132" t="s">
        <v>61</v>
      </c>
      <c r="I1132">
        <v>7500</v>
      </c>
      <c r="J1132">
        <v>9750</v>
      </c>
      <c r="K1132">
        <v>2</v>
      </c>
      <c r="L1132">
        <v>15000</v>
      </c>
      <c r="M1132">
        <v>19500</v>
      </c>
      <c r="N1132" t="s">
        <v>56</v>
      </c>
      <c r="O1132">
        <f t="shared" si="34"/>
        <v>9750</v>
      </c>
      <c r="P1132" s="13">
        <f t="shared" si="35"/>
        <v>2559635</v>
      </c>
      <c r="Q1132" s="13">
        <f>SUMIFS(M:M,E:E,Online_eCommerce[[#This Row],[Status]])</f>
        <v>28340455</v>
      </c>
      <c r="R1132" s="13">
        <f>SUMIFS(L:L,H:H,Online_eCommerce[[#This Row],[Brand]])</f>
        <v>10950150</v>
      </c>
      <c r="S1132" s="13">
        <f>SUMIF(H:H,Online_eCommerce[[#This Row],[Brand]],M:M)</f>
        <v>14235195</v>
      </c>
      <c r="T1132" s="13">
        <f>SUMIF(N:N,Online_eCommerce[[#This Row],[Assigned Supervisor]],L:L)</f>
        <v>11733610</v>
      </c>
    </row>
    <row r="1133" spans="1:20" hidden="1" x14ac:dyDescent="0.3">
      <c r="A1133" t="s">
        <v>1705</v>
      </c>
      <c r="B1133" t="s">
        <v>215</v>
      </c>
      <c r="C1133" t="s">
        <v>205</v>
      </c>
      <c r="D1133" t="s">
        <v>1701</v>
      </c>
      <c r="E1133" t="s">
        <v>161</v>
      </c>
      <c r="F1133" t="s">
        <v>1689</v>
      </c>
      <c r="G1133" t="s">
        <v>77</v>
      </c>
      <c r="H1133" t="s">
        <v>78</v>
      </c>
      <c r="I1133">
        <v>10000</v>
      </c>
      <c r="J1133">
        <v>13000</v>
      </c>
      <c r="K1133">
        <v>2</v>
      </c>
      <c r="L1133">
        <v>20000</v>
      </c>
      <c r="M1133">
        <v>26000</v>
      </c>
      <c r="N1133" t="s">
        <v>22</v>
      </c>
      <c r="O1133">
        <f t="shared" si="34"/>
        <v>39000</v>
      </c>
      <c r="P1133" s="13">
        <f t="shared" si="35"/>
        <v>1983254</v>
      </c>
      <c r="Q1133" s="13">
        <f>SUMIFS(M:M,E:E,Online_eCommerce[[#This Row],[Status]])</f>
        <v>21103186</v>
      </c>
      <c r="R1133" s="13">
        <f>SUMIFS(L:L,H:H,Online_eCommerce[[#This Row],[Brand]])</f>
        <v>3720000</v>
      </c>
      <c r="S1133" s="13">
        <f>SUMIF(H:H,Online_eCommerce[[#This Row],[Brand]],M:M)</f>
        <v>4836000</v>
      </c>
      <c r="T1133" s="13">
        <f>SUMIF(N:N,Online_eCommerce[[#This Row],[Assigned Supervisor]],L:L)</f>
        <v>13693220</v>
      </c>
    </row>
    <row r="1134" spans="1:20" x14ac:dyDescent="0.3">
      <c r="A1134" t="s">
        <v>1706</v>
      </c>
      <c r="B1134" t="s">
        <v>215</v>
      </c>
      <c r="C1134" t="s">
        <v>208</v>
      </c>
      <c r="D1134" t="s">
        <v>1701</v>
      </c>
      <c r="E1134" t="s">
        <v>46</v>
      </c>
      <c r="F1134" t="s">
        <v>1707</v>
      </c>
      <c r="G1134" t="s">
        <v>20</v>
      </c>
      <c r="H1134" t="s">
        <v>21</v>
      </c>
      <c r="I1134">
        <v>10500</v>
      </c>
      <c r="J1134">
        <v>13650</v>
      </c>
      <c r="K1134">
        <v>3</v>
      </c>
      <c r="L1134">
        <v>31500</v>
      </c>
      <c r="M1134">
        <v>40950</v>
      </c>
      <c r="N1134" t="s">
        <v>28</v>
      </c>
      <c r="O1134">
        <f t="shared" si="34"/>
        <v>8450</v>
      </c>
      <c r="P1134" s="13">
        <f t="shared" si="35"/>
        <v>2746575</v>
      </c>
      <c r="Q1134" s="13">
        <f>SUMIFS(M:M,E:E,Online_eCommerce[[#This Row],[Status]])</f>
        <v>28620410</v>
      </c>
      <c r="R1134" s="13">
        <f>SUMIFS(L:L,H:H,Online_eCommerce[[#This Row],[Brand]])</f>
        <v>12435650</v>
      </c>
      <c r="S1134" s="13">
        <f>SUMIF(H:H,Online_eCommerce[[#This Row],[Brand]],M:M)</f>
        <v>16166345</v>
      </c>
      <c r="T1134" s="13">
        <f>SUMIF(N:N,Online_eCommerce[[#This Row],[Assigned Supervisor]],L:L)</f>
        <v>12220830</v>
      </c>
    </row>
    <row r="1135" spans="1:20" hidden="1" x14ac:dyDescent="0.3">
      <c r="A1135" t="s">
        <v>1708</v>
      </c>
      <c r="B1135" t="s">
        <v>215</v>
      </c>
      <c r="C1135" t="s">
        <v>211</v>
      </c>
      <c r="D1135" t="s">
        <v>1701</v>
      </c>
      <c r="E1135" t="s">
        <v>96</v>
      </c>
      <c r="F1135" t="s">
        <v>88</v>
      </c>
      <c r="G1135" t="s">
        <v>26</v>
      </c>
      <c r="H1135" t="s">
        <v>27</v>
      </c>
      <c r="I1135">
        <v>8500</v>
      </c>
      <c r="J1135">
        <v>11050</v>
      </c>
      <c r="K1135">
        <v>4</v>
      </c>
      <c r="L1135">
        <v>34000</v>
      </c>
      <c r="M1135">
        <v>44200</v>
      </c>
      <c r="N1135" t="s">
        <v>35</v>
      </c>
      <c r="O1135">
        <f t="shared" si="34"/>
        <v>33150</v>
      </c>
      <c r="P1135" s="13">
        <f t="shared" si="35"/>
        <v>1809847</v>
      </c>
      <c r="Q1135" s="13">
        <f>SUMIFS(M:M,E:E,Online_eCommerce[[#This Row],[Status]])</f>
        <v>21233992</v>
      </c>
      <c r="R1135" s="13">
        <f>SUMIFS(L:L,H:H,Online_eCommerce[[#This Row],[Brand]])</f>
        <v>14431000</v>
      </c>
      <c r="S1135" s="13">
        <f>SUMIF(H:H,Online_eCommerce[[#This Row],[Brand]],M:M)</f>
        <v>18760300</v>
      </c>
      <c r="T1135" s="13">
        <f>SUMIF(N:N,Online_eCommerce[[#This Row],[Assigned Supervisor]],L:L)</f>
        <v>14373360</v>
      </c>
    </row>
    <row r="1136" spans="1:20" hidden="1" x14ac:dyDescent="0.3">
      <c r="A1136" t="s">
        <v>1709</v>
      </c>
      <c r="B1136" t="s">
        <v>215</v>
      </c>
      <c r="C1136" t="s">
        <v>16</v>
      </c>
      <c r="D1136" t="s">
        <v>1701</v>
      </c>
      <c r="E1136" t="s">
        <v>18</v>
      </c>
      <c r="F1136" t="s">
        <v>32</v>
      </c>
      <c r="G1136" t="s">
        <v>33</v>
      </c>
      <c r="H1136" t="s">
        <v>34</v>
      </c>
      <c r="I1136">
        <v>7000</v>
      </c>
      <c r="J1136">
        <v>9100</v>
      </c>
      <c r="K1136">
        <v>3</v>
      </c>
      <c r="L1136">
        <v>21000</v>
      </c>
      <c r="M1136">
        <v>27300</v>
      </c>
      <c r="N1136" t="s">
        <v>42</v>
      </c>
      <c r="O1136">
        <f t="shared" si="34"/>
        <v>18200</v>
      </c>
      <c r="P1136" s="13">
        <f t="shared" si="35"/>
        <v>2751814</v>
      </c>
      <c r="Q1136" s="13">
        <f>SUMIFS(M:M,E:E,Online_eCommerce[[#This Row],[Status]])</f>
        <v>28340455</v>
      </c>
      <c r="R1136" s="13">
        <f>SUMIFS(L:L,H:H,Online_eCommerce[[#This Row],[Brand]])</f>
        <v>10087000</v>
      </c>
      <c r="S1136" s="13">
        <f>SUMIF(H:H,Online_eCommerce[[#This Row],[Brand]],M:M)</f>
        <v>13113100</v>
      </c>
      <c r="T1136" s="13">
        <f>SUMIF(N:N,Online_eCommerce[[#This Row],[Assigned Supervisor]],L:L)</f>
        <v>12261500</v>
      </c>
    </row>
    <row r="1137" spans="1:20" hidden="1" x14ac:dyDescent="0.3">
      <c r="A1137" t="s">
        <v>1710</v>
      </c>
      <c r="B1137" t="s">
        <v>215</v>
      </c>
      <c r="C1137" t="s">
        <v>24</v>
      </c>
      <c r="D1137" t="s">
        <v>1701</v>
      </c>
      <c r="E1137" t="s">
        <v>161</v>
      </c>
      <c r="F1137" t="s">
        <v>1711</v>
      </c>
      <c r="G1137" t="s">
        <v>40</v>
      </c>
      <c r="H1137" t="s">
        <v>41</v>
      </c>
      <c r="I1137">
        <v>1680</v>
      </c>
      <c r="J1137">
        <v>2184</v>
      </c>
      <c r="K1137">
        <v>4</v>
      </c>
      <c r="L1137">
        <v>6720</v>
      </c>
      <c r="M1137">
        <v>8736</v>
      </c>
      <c r="N1137" t="s">
        <v>50</v>
      </c>
      <c r="O1137">
        <f t="shared" si="34"/>
        <v>25545</v>
      </c>
      <c r="P1137" s="13">
        <f t="shared" si="35"/>
        <v>2009540</v>
      </c>
      <c r="Q1137" s="13">
        <f>SUMIFS(M:M,E:E,Online_eCommerce[[#This Row],[Status]])</f>
        <v>21103186</v>
      </c>
      <c r="R1137" s="13">
        <f>SUMIFS(L:L,H:H,Online_eCommerce[[#This Row],[Brand]])</f>
        <v>4260400</v>
      </c>
      <c r="S1137" s="13">
        <f>SUMIF(H:H,Online_eCommerce[[#This Row],[Brand]],M:M)</f>
        <v>5538520</v>
      </c>
      <c r="T1137" s="13">
        <f>SUMIF(N:N,Online_eCommerce[[#This Row],[Assigned Supervisor]],L:L)</f>
        <v>12100590</v>
      </c>
    </row>
    <row r="1138" spans="1:20" x14ac:dyDescent="0.3">
      <c r="A1138" t="s">
        <v>1712</v>
      </c>
      <c r="B1138" t="s">
        <v>215</v>
      </c>
      <c r="C1138" t="s">
        <v>31</v>
      </c>
      <c r="D1138" t="s">
        <v>1701</v>
      </c>
      <c r="E1138" t="s">
        <v>46</v>
      </c>
      <c r="F1138" t="s">
        <v>101</v>
      </c>
      <c r="G1138" t="s">
        <v>334</v>
      </c>
      <c r="H1138" t="s">
        <v>102</v>
      </c>
      <c r="I1138">
        <v>6540</v>
      </c>
      <c r="J1138">
        <v>8502</v>
      </c>
      <c r="K1138">
        <v>2</v>
      </c>
      <c r="L1138">
        <v>13080</v>
      </c>
      <c r="M1138">
        <v>17004</v>
      </c>
      <c r="N1138" t="s">
        <v>56</v>
      </c>
      <c r="O1138">
        <f t="shared" si="34"/>
        <v>39780</v>
      </c>
      <c r="P1138" s="13">
        <f t="shared" si="35"/>
        <v>2865746</v>
      </c>
      <c r="Q1138" s="13">
        <f>SUMIFS(M:M,E:E,Online_eCommerce[[#This Row],[Status]])</f>
        <v>28620410</v>
      </c>
      <c r="R1138" s="13">
        <f>SUMIFS(L:L,H:H,Online_eCommerce[[#This Row],[Brand]])</f>
        <v>2465580</v>
      </c>
      <c r="S1138" s="13">
        <f>SUMIF(H:H,Online_eCommerce[[#This Row],[Brand]],M:M)</f>
        <v>3205254</v>
      </c>
      <c r="T1138" s="13">
        <f>SUMIF(N:N,Online_eCommerce[[#This Row],[Assigned Supervisor]],L:L)</f>
        <v>11733610</v>
      </c>
    </row>
    <row r="1139" spans="1:20" hidden="1" x14ac:dyDescent="0.3">
      <c r="A1139" t="s">
        <v>1713</v>
      </c>
      <c r="B1139" t="s">
        <v>215</v>
      </c>
      <c r="C1139" t="s">
        <v>38</v>
      </c>
      <c r="D1139" t="s">
        <v>1714</v>
      </c>
      <c r="E1139" t="s">
        <v>96</v>
      </c>
      <c r="F1139" t="s">
        <v>107</v>
      </c>
      <c r="G1139" t="s">
        <v>54</v>
      </c>
      <c r="H1139" t="s">
        <v>55</v>
      </c>
      <c r="I1139">
        <v>2680</v>
      </c>
      <c r="J1139">
        <v>3484</v>
      </c>
      <c r="K1139">
        <v>4</v>
      </c>
      <c r="L1139">
        <v>10720</v>
      </c>
      <c r="M1139">
        <v>13936</v>
      </c>
      <c r="N1139" t="s">
        <v>22</v>
      </c>
      <c r="O1139">
        <f t="shared" si="34"/>
        <v>2990</v>
      </c>
      <c r="P1139" s="13">
        <f t="shared" si="35"/>
        <v>1933997</v>
      </c>
      <c r="Q1139" s="13">
        <f>SUMIFS(M:M,E:E,Online_eCommerce[[#This Row],[Status]])</f>
        <v>21233992</v>
      </c>
      <c r="R1139" s="13">
        <f>SUMIFS(L:L,H:H,Online_eCommerce[[#This Row],[Brand]])</f>
        <v>2267380</v>
      </c>
      <c r="S1139" s="13">
        <f>SUMIF(H:H,Online_eCommerce[[#This Row],[Brand]],M:M)</f>
        <v>2947594</v>
      </c>
      <c r="T1139" s="13">
        <f>SUMIF(N:N,Online_eCommerce[[#This Row],[Assigned Supervisor]],L:L)</f>
        <v>13693220</v>
      </c>
    </row>
    <row r="1140" spans="1:20" hidden="1" x14ac:dyDescent="0.3">
      <c r="A1140" t="s">
        <v>1715</v>
      </c>
      <c r="B1140" t="s">
        <v>215</v>
      </c>
      <c r="C1140" t="s">
        <v>45</v>
      </c>
      <c r="D1140" t="s">
        <v>1716</v>
      </c>
      <c r="E1140" t="s">
        <v>18</v>
      </c>
      <c r="F1140" t="s">
        <v>112</v>
      </c>
      <c r="G1140" t="s">
        <v>71</v>
      </c>
      <c r="H1140" t="s">
        <v>21</v>
      </c>
      <c r="I1140">
        <v>8250</v>
      </c>
      <c r="J1140">
        <v>10725</v>
      </c>
      <c r="K1140">
        <v>3</v>
      </c>
      <c r="L1140">
        <v>24750</v>
      </c>
      <c r="M1140">
        <v>32175</v>
      </c>
      <c r="N1140" t="s">
        <v>28</v>
      </c>
      <c r="O1140">
        <f t="shared" si="34"/>
        <v>9750</v>
      </c>
      <c r="P1140" s="13">
        <f t="shared" si="35"/>
        <v>2842554</v>
      </c>
      <c r="Q1140" s="13">
        <f>SUMIFS(M:M,E:E,Online_eCommerce[[#This Row],[Status]])</f>
        <v>28340455</v>
      </c>
      <c r="R1140" s="13">
        <f>SUMIFS(L:L,H:H,Online_eCommerce[[#This Row],[Brand]])</f>
        <v>12435650</v>
      </c>
      <c r="S1140" s="13">
        <f>SUMIF(H:H,Online_eCommerce[[#This Row],[Brand]],M:M)</f>
        <v>16166345</v>
      </c>
      <c r="T1140" s="13">
        <f>SUMIF(N:N,Online_eCommerce[[#This Row],[Assigned Supervisor]],L:L)</f>
        <v>12220830</v>
      </c>
    </row>
    <row r="1141" spans="1:20" hidden="1" x14ac:dyDescent="0.3">
      <c r="A1141" t="s">
        <v>1717</v>
      </c>
      <c r="B1141" t="s">
        <v>215</v>
      </c>
      <c r="C1141" t="s">
        <v>52</v>
      </c>
      <c r="D1141" t="s">
        <v>1718</v>
      </c>
      <c r="E1141" t="s">
        <v>161</v>
      </c>
      <c r="F1141" t="s">
        <v>1331</v>
      </c>
      <c r="G1141" t="s">
        <v>40</v>
      </c>
      <c r="H1141" t="s">
        <v>21</v>
      </c>
      <c r="I1141">
        <v>2650</v>
      </c>
      <c r="J1141">
        <v>3445</v>
      </c>
      <c r="K1141">
        <v>4</v>
      </c>
      <c r="L1141">
        <v>10600</v>
      </c>
      <c r="M1141">
        <v>13780</v>
      </c>
      <c r="N1141" t="s">
        <v>35</v>
      </c>
      <c r="O1141">
        <f t="shared" si="34"/>
        <v>25545</v>
      </c>
      <c r="P1141" s="13">
        <f t="shared" si="35"/>
        <v>1955044</v>
      </c>
      <c r="Q1141" s="13">
        <f>SUMIFS(M:M,E:E,Online_eCommerce[[#This Row],[Status]])</f>
        <v>21103186</v>
      </c>
      <c r="R1141" s="13">
        <f>SUMIFS(L:L,H:H,Online_eCommerce[[#This Row],[Brand]])</f>
        <v>12435650</v>
      </c>
      <c r="S1141" s="13">
        <f>SUMIF(H:H,Online_eCommerce[[#This Row],[Brand]],M:M)</f>
        <v>16166345</v>
      </c>
      <c r="T1141" s="13">
        <f>SUMIF(N:N,Online_eCommerce[[#This Row],[Assigned Supervisor]],L:L)</f>
        <v>14373360</v>
      </c>
    </row>
    <row r="1142" spans="1:20" x14ac:dyDescent="0.3">
      <c r="A1142" t="s">
        <v>1719</v>
      </c>
      <c r="B1142" t="s">
        <v>215</v>
      </c>
      <c r="C1142" t="s">
        <v>58</v>
      </c>
      <c r="D1142" t="s">
        <v>1720</v>
      </c>
      <c r="E1142" t="s">
        <v>46</v>
      </c>
      <c r="F1142" t="s">
        <v>121</v>
      </c>
      <c r="G1142" t="s">
        <v>71</v>
      </c>
      <c r="H1142" t="s">
        <v>122</v>
      </c>
      <c r="I1142">
        <v>12550</v>
      </c>
      <c r="J1142">
        <v>16315</v>
      </c>
      <c r="K1142">
        <v>3</v>
      </c>
      <c r="L1142">
        <v>37650</v>
      </c>
      <c r="M1142">
        <v>48945</v>
      </c>
      <c r="N1142" t="s">
        <v>42</v>
      </c>
      <c r="O1142">
        <f t="shared" si="34"/>
        <v>9750</v>
      </c>
      <c r="P1142" s="13">
        <f t="shared" si="35"/>
        <v>2629211</v>
      </c>
      <c r="Q1142" s="13">
        <f>SUMIFS(M:M,E:E,Online_eCommerce[[#This Row],[Status]])</f>
        <v>28620410</v>
      </c>
      <c r="R1142" s="13">
        <f>SUMIFS(L:L,H:H,Online_eCommerce[[#This Row],[Brand]])</f>
        <v>5045100</v>
      </c>
      <c r="S1142" s="13">
        <f>SUMIF(H:H,Online_eCommerce[[#This Row],[Brand]],M:M)</f>
        <v>6558630</v>
      </c>
      <c r="T1142" s="13">
        <f>SUMIF(N:N,Online_eCommerce[[#This Row],[Assigned Supervisor]],L:L)</f>
        <v>12261500</v>
      </c>
    </row>
    <row r="1143" spans="1:20" hidden="1" x14ac:dyDescent="0.3">
      <c r="A1143" t="s">
        <v>1721</v>
      </c>
      <c r="B1143" t="s">
        <v>215</v>
      </c>
      <c r="C1143" t="s">
        <v>63</v>
      </c>
      <c r="D1143" t="s">
        <v>1722</v>
      </c>
      <c r="E1143" t="s">
        <v>96</v>
      </c>
      <c r="F1143" t="s">
        <v>126</v>
      </c>
      <c r="G1143" t="s">
        <v>26</v>
      </c>
      <c r="H1143" t="s">
        <v>27</v>
      </c>
      <c r="I1143">
        <v>14500</v>
      </c>
      <c r="J1143">
        <v>18850</v>
      </c>
      <c r="K1143">
        <v>3</v>
      </c>
      <c r="L1143">
        <v>43500</v>
      </c>
      <c r="M1143">
        <v>56550</v>
      </c>
      <c r="N1143" t="s">
        <v>50</v>
      </c>
      <c r="O1143">
        <f t="shared" si="34"/>
        <v>33150</v>
      </c>
      <c r="P1143" s="13">
        <f t="shared" si="35"/>
        <v>2016131</v>
      </c>
      <c r="Q1143" s="13">
        <f>SUMIFS(M:M,E:E,Online_eCommerce[[#This Row],[Status]])</f>
        <v>21233992</v>
      </c>
      <c r="R1143" s="13">
        <f>SUMIFS(L:L,H:H,Online_eCommerce[[#This Row],[Brand]])</f>
        <v>14431000</v>
      </c>
      <c r="S1143" s="13">
        <f>SUMIF(H:H,Online_eCommerce[[#This Row],[Brand]],M:M)</f>
        <v>18760300</v>
      </c>
      <c r="T1143" s="13">
        <f>SUMIF(N:N,Online_eCommerce[[#This Row],[Assigned Supervisor]],L:L)</f>
        <v>12100590</v>
      </c>
    </row>
    <row r="1144" spans="1:20" hidden="1" x14ac:dyDescent="0.3">
      <c r="A1144" t="s">
        <v>1723</v>
      </c>
      <c r="B1144" t="s">
        <v>215</v>
      </c>
      <c r="C1144" t="s">
        <v>68</v>
      </c>
      <c r="D1144" t="s">
        <v>1724</v>
      </c>
      <c r="E1144" t="s">
        <v>18</v>
      </c>
      <c r="F1144" t="s">
        <v>129</v>
      </c>
      <c r="G1144" t="s">
        <v>60</v>
      </c>
      <c r="H1144" t="s">
        <v>61</v>
      </c>
      <c r="I1144">
        <v>800</v>
      </c>
      <c r="J1144">
        <v>1040</v>
      </c>
      <c r="K1144">
        <v>3</v>
      </c>
      <c r="L1144">
        <v>2400</v>
      </c>
      <c r="M1144">
        <v>3120</v>
      </c>
      <c r="N1144" t="s">
        <v>56</v>
      </c>
      <c r="O1144">
        <f t="shared" si="34"/>
        <v>3315</v>
      </c>
      <c r="P1144" s="13">
        <f t="shared" si="35"/>
        <v>2974621</v>
      </c>
      <c r="Q1144" s="13">
        <f>SUMIFS(M:M,E:E,Online_eCommerce[[#This Row],[Status]])</f>
        <v>28340455</v>
      </c>
      <c r="R1144" s="13">
        <f>SUMIFS(L:L,H:H,Online_eCommerce[[#This Row],[Brand]])</f>
        <v>10950150</v>
      </c>
      <c r="S1144" s="13">
        <f>SUMIF(H:H,Online_eCommerce[[#This Row],[Brand]],M:M)</f>
        <v>14235195</v>
      </c>
      <c r="T1144" s="13">
        <f>SUMIF(N:N,Online_eCommerce[[#This Row],[Assigned Supervisor]],L:L)</f>
        <v>11733610</v>
      </c>
    </row>
    <row r="1145" spans="1:20" hidden="1" x14ac:dyDescent="0.3">
      <c r="A1145" t="s">
        <v>1725</v>
      </c>
      <c r="B1145" t="s">
        <v>215</v>
      </c>
      <c r="C1145" t="s">
        <v>74</v>
      </c>
      <c r="D1145" t="s">
        <v>1726</v>
      </c>
      <c r="E1145" t="s">
        <v>161</v>
      </c>
      <c r="F1145" t="s">
        <v>133</v>
      </c>
      <c r="G1145" t="s">
        <v>66</v>
      </c>
      <c r="H1145" t="s">
        <v>21</v>
      </c>
      <c r="I1145">
        <v>600</v>
      </c>
      <c r="J1145">
        <v>780</v>
      </c>
      <c r="K1145">
        <v>2</v>
      </c>
      <c r="L1145">
        <v>1200</v>
      </c>
      <c r="M1145">
        <v>1560</v>
      </c>
      <c r="N1145" t="s">
        <v>22</v>
      </c>
      <c r="O1145">
        <f t="shared" si="34"/>
        <v>1690</v>
      </c>
      <c r="P1145" s="13">
        <f t="shared" si="35"/>
        <v>2144701</v>
      </c>
      <c r="Q1145" s="13">
        <f>SUMIFS(M:M,E:E,Online_eCommerce[[#This Row],[Status]])</f>
        <v>21103186</v>
      </c>
      <c r="R1145" s="13">
        <f>SUMIFS(L:L,H:H,Online_eCommerce[[#This Row],[Brand]])</f>
        <v>12435650</v>
      </c>
      <c r="S1145" s="13">
        <f>SUMIF(H:H,Online_eCommerce[[#This Row],[Brand]],M:M)</f>
        <v>16166345</v>
      </c>
      <c r="T1145" s="13">
        <f>SUMIF(N:N,Online_eCommerce[[#This Row],[Assigned Supervisor]],L:L)</f>
        <v>13693220</v>
      </c>
    </row>
    <row r="1146" spans="1:20" x14ac:dyDescent="0.3">
      <c r="A1146" t="s">
        <v>1727</v>
      </c>
      <c r="B1146" t="s">
        <v>215</v>
      </c>
      <c r="C1146" t="s">
        <v>81</v>
      </c>
      <c r="D1146" t="s">
        <v>1728</v>
      </c>
      <c r="E1146" t="s">
        <v>46</v>
      </c>
      <c r="F1146" t="s">
        <v>137</v>
      </c>
      <c r="G1146" t="s">
        <v>71</v>
      </c>
      <c r="H1146" t="s">
        <v>61</v>
      </c>
      <c r="I1146">
        <v>10500</v>
      </c>
      <c r="J1146">
        <v>13650</v>
      </c>
      <c r="K1146">
        <v>1</v>
      </c>
      <c r="L1146">
        <v>10500</v>
      </c>
      <c r="M1146">
        <v>13650</v>
      </c>
      <c r="N1146" t="s">
        <v>22</v>
      </c>
      <c r="O1146">
        <f t="shared" si="34"/>
        <v>9750</v>
      </c>
      <c r="P1146" s="13">
        <f t="shared" si="35"/>
        <v>2595632</v>
      </c>
      <c r="Q1146" s="13">
        <f>SUMIFS(M:M,E:E,Online_eCommerce[[#This Row],[Status]])</f>
        <v>28620410</v>
      </c>
      <c r="R1146" s="13">
        <f>SUMIFS(L:L,H:H,Online_eCommerce[[#This Row],[Brand]])</f>
        <v>10950150</v>
      </c>
      <c r="S1146" s="13">
        <f>SUMIF(H:H,Online_eCommerce[[#This Row],[Brand]],M:M)</f>
        <v>14235195</v>
      </c>
      <c r="T1146" s="13">
        <f>SUMIF(N:N,Online_eCommerce[[#This Row],[Assigned Supervisor]],L:L)</f>
        <v>13693220</v>
      </c>
    </row>
    <row r="1147" spans="1:20" hidden="1" x14ac:dyDescent="0.3">
      <c r="A1147" t="s">
        <v>1729</v>
      </c>
      <c r="B1147" t="s">
        <v>215</v>
      </c>
      <c r="C1147" t="s">
        <v>86</v>
      </c>
      <c r="D1147" t="s">
        <v>1730</v>
      </c>
      <c r="E1147" t="s">
        <v>96</v>
      </c>
      <c r="F1147" t="s">
        <v>1689</v>
      </c>
      <c r="G1147" t="s">
        <v>77</v>
      </c>
      <c r="H1147" t="s">
        <v>142</v>
      </c>
      <c r="I1147">
        <v>6500</v>
      </c>
      <c r="J1147">
        <v>8450</v>
      </c>
      <c r="K1147">
        <v>3</v>
      </c>
      <c r="L1147">
        <v>19500</v>
      </c>
      <c r="M1147">
        <v>25350</v>
      </c>
      <c r="N1147" t="s">
        <v>28</v>
      </c>
      <c r="O1147">
        <f t="shared" si="34"/>
        <v>39000</v>
      </c>
      <c r="P1147" s="13">
        <f t="shared" si="35"/>
        <v>1941225</v>
      </c>
      <c r="Q1147" s="13">
        <f>SUMIFS(M:M,E:E,Online_eCommerce[[#This Row],[Status]])</f>
        <v>21233992</v>
      </c>
      <c r="R1147" s="13">
        <f>SUMIFS(L:L,H:H,Online_eCommerce[[#This Row],[Brand]])</f>
        <v>6192500</v>
      </c>
      <c r="S1147" s="13">
        <f>SUMIF(H:H,Online_eCommerce[[#This Row],[Brand]],M:M)</f>
        <v>8050250</v>
      </c>
      <c r="T1147" s="13">
        <f>SUMIF(N:N,Online_eCommerce[[#This Row],[Assigned Supervisor]],L:L)</f>
        <v>12220830</v>
      </c>
    </row>
    <row r="1148" spans="1:20" hidden="1" x14ac:dyDescent="0.3">
      <c r="A1148" t="s">
        <v>1731</v>
      </c>
      <c r="B1148" t="s">
        <v>215</v>
      </c>
      <c r="C1148" t="s">
        <v>91</v>
      </c>
      <c r="D1148" t="s">
        <v>1732</v>
      </c>
      <c r="E1148" t="s">
        <v>18</v>
      </c>
      <c r="F1148" t="s">
        <v>1733</v>
      </c>
      <c r="G1148" t="s">
        <v>20</v>
      </c>
      <c r="H1148" t="s">
        <v>21</v>
      </c>
      <c r="I1148">
        <v>4500</v>
      </c>
      <c r="J1148">
        <v>5850</v>
      </c>
      <c r="K1148">
        <v>3</v>
      </c>
      <c r="L1148">
        <v>13500</v>
      </c>
      <c r="M1148">
        <v>17550</v>
      </c>
      <c r="N1148" t="s">
        <v>35</v>
      </c>
      <c r="O1148">
        <f t="shared" si="34"/>
        <v>8450</v>
      </c>
      <c r="P1148" s="13">
        <f t="shared" si="35"/>
        <v>2731963</v>
      </c>
      <c r="Q1148" s="13">
        <f>SUMIFS(M:M,E:E,Online_eCommerce[[#This Row],[Status]])</f>
        <v>28340455</v>
      </c>
      <c r="R1148" s="13">
        <f>SUMIFS(L:L,H:H,Online_eCommerce[[#This Row],[Brand]])</f>
        <v>12435650</v>
      </c>
      <c r="S1148" s="13">
        <f>SUMIF(H:H,Online_eCommerce[[#This Row],[Brand]],M:M)</f>
        <v>16166345</v>
      </c>
      <c r="T1148" s="13">
        <f>SUMIF(N:N,Online_eCommerce[[#This Row],[Assigned Supervisor]],L:L)</f>
        <v>14373360</v>
      </c>
    </row>
    <row r="1149" spans="1:20" hidden="1" x14ac:dyDescent="0.3">
      <c r="A1149" t="s">
        <v>1734</v>
      </c>
      <c r="B1149" t="s">
        <v>215</v>
      </c>
      <c r="C1149" t="s">
        <v>94</v>
      </c>
      <c r="D1149" t="s">
        <v>1735</v>
      </c>
      <c r="E1149" t="s">
        <v>161</v>
      </c>
      <c r="F1149" t="s">
        <v>152</v>
      </c>
      <c r="G1149" t="s">
        <v>26</v>
      </c>
      <c r="H1149" t="s">
        <v>27</v>
      </c>
      <c r="I1149">
        <v>8500</v>
      </c>
      <c r="J1149">
        <v>11050</v>
      </c>
      <c r="K1149">
        <v>2</v>
      </c>
      <c r="L1149">
        <v>17000</v>
      </c>
      <c r="M1149">
        <v>22100</v>
      </c>
      <c r="N1149" t="s">
        <v>42</v>
      </c>
      <c r="O1149">
        <f t="shared" si="34"/>
        <v>33150</v>
      </c>
      <c r="P1149" s="13">
        <f t="shared" si="35"/>
        <v>1868256</v>
      </c>
      <c r="Q1149" s="13">
        <f>SUMIFS(M:M,E:E,Online_eCommerce[[#This Row],[Status]])</f>
        <v>21103186</v>
      </c>
      <c r="R1149" s="13">
        <f>SUMIFS(L:L,H:H,Online_eCommerce[[#This Row],[Brand]])</f>
        <v>14431000</v>
      </c>
      <c r="S1149" s="13">
        <f>SUMIF(H:H,Online_eCommerce[[#This Row],[Brand]],M:M)</f>
        <v>18760300</v>
      </c>
      <c r="T1149" s="13">
        <f>SUMIF(N:N,Online_eCommerce[[#This Row],[Assigned Supervisor]],L:L)</f>
        <v>12261500</v>
      </c>
    </row>
    <row r="1150" spans="1:20" x14ac:dyDescent="0.3">
      <c r="A1150" t="s">
        <v>1736</v>
      </c>
      <c r="B1150" t="s">
        <v>215</v>
      </c>
      <c r="C1150" t="s">
        <v>99</v>
      </c>
      <c r="D1150" t="s">
        <v>1737</v>
      </c>
      <c r="E1150" t="s">
        <v>46</v>
      </c>
      <c r="F1150" t="s">
        <v>157</v>
      </c>
      <c r="G1150" t="s">
        <v>33</v>
      </c>
      <c r="H1150" t="s">
        <v>34</v>
      </c>
      <c r="I1150">
        <v>12500</v>
      </c>
      <c r="J1150">
        <v>16250</v>
      </c>
      <c r="K1150">
        <v>4</v>
      </c>
      <c r="L1150">
        <v>50000</v>
      </c>
      <c r="M1150">
        <v>65000</v>
      </c>
      <c r="N1150" t="s">
        <v>50</v>
      </c>
      <c r="O1150">
        <f t="shared" si="34"/>
        <v>18200</v>
      </c>
      <c r="P1150" s="13">
        <f t="shared" si="35"/>
        <v>2651233</v>
      </c>
      <c r="Q1150" s="13">
        <f>SUMIFS(M:M,E:E,Online_eCommerce[[#This Row],[Status]])</f>
        <v>28620410</v>
      </c>
      <c r="R1150" s="13">
        <f>SUMIFS(L:L,H:H,Online_eCommerce[[#This Row],[Brand]])</f>
        <v>10087000</v>
      </c>
      <c r="S1150" s="13">
        <f>SUMIF(H:H,Online_eCommerce[[#This Row],[Brand]],M:M)</f>
        <v>13113100</v>
      </c>
      <c r="T1150" s="13">
        <f>SUMIF(N:N,Online_eCommerce[[#This Row],[Assigned Supervisor]],L:L)</f>
        <v>12100590</v>
      </c>
    </row>
    <row r="1151" spans="1:20" hidden="1" x14ac:dyDescent="0.3">
      <c r="A1151" t="s">
        <v>1738</v>
      </c>
      <c r="B1151" t="s">
        <v>215</v>
      </c>
      <c r="C1151" t="s">
        <v>105</v>
      </c>
      <c r="D1151" t="s">
        <v>1739</v>
      </c>
      <c r="E1151" t="s">
        <v>96</v>
      </c>
      <c r="F1151" t="s">
        <v>1375</v>
      </c>
      <c r="G1151" t="s">
        <v>163</v>
      </c>
      <c r="H1151" t="s">
        <v>41</v>
      </c>
      <c r="I1151">
        <v>3500</v>
      </c>
      <c r="J1151">
        <v>4550</v>
      </c>
      <c r="K1151">
        <v>2</v>
      </c>
      <c r="L1151">
        <v>7000</v>
      </c>
      <c r="M1151">
        <v>9100</v>
      </c>
      <c r="N1151" t="s">
        <v>56</v>
      </c>
      <c r="O1151">
        <f t="shared" si="34"/>
        <v>13650</v>
      </c>
      <c r="P1151" s="13">
        <f t="shared" si="35"/>
        <v>1866852</v>
      </c>
      <c r="Q1151" s="13">
        <f>SUMIFS(M:M,E:E,Online_eCommerce[[#This Row],[Status]])</f>
        <v>21233992</v>
      </c>
      <c r="R1151" s="13">
        <f>SUMIFS(L:L,H:H,Online_eCommerce[[#This Row],[Brand]])</f>
        <v>4260400</v>
      </c>
      <c r="S1151" s="13">
        <f>SUMIF(H:H,Online_eCommerce[[#This Row],[Brand]],M:M)</f>
        <v>5538520</v>
      </c>
      <c r="T1151" s="13">
        <f>SUMIF(N:N,Online_eCommerce[[#This Row],[Assigned Supervisor]],L:L)</f>
        <v>11733610</v>
      </c>
    </row>
    <row r="1152" spans="1:20" hidden="1" x14ac:dyDescent="0.3">
      <c r="A1152" t="s">
        <v>1740</v>
      </c>
      <c r="B1152" t="s">
        <v>215</v>
      </c>
      <c r="C1152" t="s">
        <v>110</v>
      </c>
      <c r="D1152" t="s">
        <v>1741</v>
      </c>
      <c r="E1152" t="s">
        <v>18</v>
      </c>
      <c r="F1152" t="s">
        <v>166</v>
      </c>
      <c r="G1152" t="s">
        <v>66</v>
      </c>
      <c r="H1152" t="s">
        <v>49</v>
      </c>
      <c r="I1152">
        <v>4500</v>
      </c>
      <c r="J1152">
        <v>5850</v>
      </c>
      <c r="K1152">
        <v>3</v>
      </c>
      <c r="L1152">
        <v>13500</v>
      </c>
      <c r="M1152">
        <v>17550</v>
      </c>
      <c r="N1152" t="s">
        <v>22</v>
      </c>
      <c r="O1152">
        <f t="shared" si="34"/>
        <v>1690</v>
      </c>
      <c r="P1152" s="13">
        <f t="shared" si="35"/>
        <v>2598635</v>
      </c>
      <c r="Q1152" s="13">
        <f>SUMIFS(M:M,E:E,Online_eCommerce[[#This Row],[Status]])</f>
        <v>28340455</v>
      </c>
      <c r="R1152" s="13">
        <f>SUMIFS(L:L,H:H,Online_eCommerce[[#This Row],[Brand]])</f>
        <v>4528350</v>
      </c>
      <c r="S1152" s="13">
        <f>SUMIF(H:H,Online_eCommerce[[#This Row],[Brand]],M:M)</f>
        <v>5886855</v>
      </c>
      <c r="T1152" s="13">
        <f>SUMIF(N:N,Online_eCommerce[[#This Row],[Assigned Supervisor]],L:L)</f>
        <v>13693220</v>
      </c>
    </row>
    <row r="1153" spans="1:20" hidden="1" x14ac:dyDescent="0.3">
      <c r="A1153" t="s">
        <v>1742</v>
      </c>
      <c r="B1153" t="s">
        <v>215</v>
      </c>
      <c r="C1153" t="s">
        <v>115</v>
      </c>
      <c r="D1153" t="s">
        <v>1743</v>
      </c>
      <c r="E1153" t="s">
        <v>161</v>
      </c>
      <c r="F1153" t="s">
        <v>1744</v>
      </c>
      <c r="G1153" t="s">
        <v>54</v>
      </c>
      <c r="H1153" t="s">
        <v>55</v>
      </c>
      <c r="I1153">
        <v>2100</v>
      </c>
      <c r="J1153">
        <v>2730</v>
      </c>
      <c r="K1153">
        <v>4</v>
      </c>
      <c r="L1153">
        <v>8400</v>
      </c>
      <c r="M1153">
        <v>10920</v>
      </c>
      <c r="N1153" t="s">
        <v>28</v>
      </c>
      <c r="O1153">
        <f t="shared" si="34"/>
        <v>2990</v>
      </c>
      <c r="P1153" s="13">
        <f t="shared" si="35"/>
        <v>2050178</v>
      </c>
      <c r="Q1153" s="13">
        <f>SUMIFS(M:M,E:E,Online_eCommerce[[#This Row],[Status]])</f>
        <v>21103186</v>
      </c>
      <c r="R1153" s="13">
        <f>SUMIFS(L:L,H:H,Online_eCommerce[[#This Row],[Brand]])</f>
        <v>2267380</v>
      </c>
      <c r="S1153" s="13">
        <f>SUMIF(H:H,Online_eCommerce[[#This Row],[Brand]],M:M)</f>
        <v>2947594</v>
      </c>
      <c r="T1153" s="13">
        <f>SUMIF(N:N,Online_eCommerce[[#This Row],[Assigned Supervisor]],L:L)</f>
        <v>12220830</v>
      </c>
    </row>
    <row r="1154" spans="1:20" x14ac:dyDescent="0.3">
      <c r="A1154" t="s">
        <v>1745</v>
      </c>
      <c r="B1154" t="s">
        <v>215</v>
      </c>
      <c r="C1154" t="s">
        <v>120</v>
      </c>
      <c r="D1154" t="s">
        <v>1746</v>
      </c>
      <c r="E1154" t="s">
        <v>46</v>
      </c>
      <c r="F1154" t="s">
        <v>174</v>
      </c>
      <c r="G1154" t="s">
        <v>60</v>
      </c>
      <c r="H1154" t="s">
        <v>61</v>
      </c>
      <c r="I1154">
        <v>1150</v>
      </c>
      <c r="J1154">
        <v>1495</v>
      </c>
      <c r="K1154">
        <v>3</v>
      </c>
      <c r="L1154">
        <v>3450</v>
      </c>
      <c r="M1154">
        <v>4485</v>
      </c>
      <c r="N1154" t="s">
        <v>35</v>
      </c>
      <c r="O1154">
        <f t="shared" ref="O1154:O1217" si="36">VLOOKUP(G1154,G:M,7,FALSE)</f>
        <v>3315</v>
      </c>
      <c r="P1154" s="13">
        <f t="shared" ref="P1154:P1217" si="37">SUMIFS(M:M,C:C,C1154)</f>
        <v>2734212</v>
      </c>
      <c r="Q1154" s="13">
        <f>SUMIFS(M:M,E:E,Online_eCommerce[[#This Row],[Status]])</f>
        <v>28620410</v>
      </c>
      <c r="R1154" s="13">
        <f>SUMIFS(L:L,H:H,Online_eCommerce[[#This Row],[Brand]])</f>
        <v>10950150</v>
      </c>
      <c r="S1154" s="13">
        <f>SUMIF(H:H,Online_eCommerce[[#This Row],[Brand]],M:M)</f>
        <v>14235195</v>
      </c>
      <c r="T1154" s="13">
        <f>SUMIF(N:N,Online_eCommerce[[#This Row],[Assigned Supervisor]],L:L)</f>
        <v>14373360</v>
      </c>
    </row>
    <row r="1155" spans="1:20" hidden="1" x14ac:dyDescent="0.3">
      <c r="A1155" t="s">
        <v>1747</v>
      </c>
      <c r="B1155" t="s">
        <v>215</v>
      </c>
      <c r="C1155" t="s">
        <v>125</v>
      </c>
      <c r="D1155" t="s">
        <v>1748</v>
      </c>
      <c r="E1155" t="s">
        <v>96</v>
      </c>
      <c r="F1155" t="s">
        <v>179</v>
      </c>
      <c r="G1155" t="s">
        <v>66</v>
      </c>
      <c r="H1155" t="s">
        <v>21</v>
      </c>
      <c r="I1155">
        <v>350</v>
      </c>
      <c r="J1155">
        <v>455</v>
      </c>
      <c r="K1155">
        <v>1</v>
      </c>
      <c r="L1155">
        <v>350</v>
      </c>
      <c r="M1155">
        <v>455</v>
      </c>
      <c r="N1155" t="s">
        <v>42</v>
      </c>
      <c r="O1155">
        <f t="shared" si="36"/>
        <v>1690</v>
      </c>
      <c r="P1155" s="13">
        <f t="shared" si="37"/>
        <v>2091154</v>
      </c>
      <c r="Q1155" s="13">
        <f>SUMIFS(M:M,E:E,Online_eCommerce[[#This Row],[Status]])</f>
        <v>21233992</v>
      </c>
      <c r="R1155" s="13">
        <f>SUMIFS(L:L,H:H,Online_eCommerce[[#This Row],[Brand]])</f>
        <v>12435650</v>
      </c>
      <c r="S1155" s="13">
        <f>SUMIF(H:H,Online_eCommerce[[#This Row],[Brand]],M:M)</f>
        <v>16166345</v>
      </c>
      <c r="T1155" s="13">
        <f>SUMIF(N:N,Online_eCommerce[[#This Row],[Assigned Supervisor]],L:L)</f>
        <v>12261500</v>
      </c>
    </row>
    <row r="1156" spans="1:20" hidden="1" x14ac:dyDescent="0.3">
      <c r="A1156" t="s">
        <v>1749</v>
      </c>
      <c r="B1156" t="s">
        <v>215</v>
      </c>
      <c r="C1156" t="s">
        <v>22</v>
      </c>
      <c r="D1156" t="s">
        <v>1750</v>
      </c>
      <c r="E1156" t="s">
        <v>18</v>
      </c>
      <c r="F1156" t="s">
        <v>183</v>
      </c>
      <c r="G1156" t="s">
        <v>71</v>
      </c>
      <c r="H1156" t="s">
        <v>61</v>
      </c>
      <c r="I1156">
        <v>9500</v>
      </c>
      <c r="J1156">
        <v>12350</v>
      </c>
      <c r="K1156">
        <v>1</v>
      </c>
      <c r="L1156">
        <v>9500</v>
      </c>
      <c r="M1156">
        <v>12350</v>
      </c>
      <c r="N1156" t="s">
        <v>50</v>
      </c>
      <c r="O1156">
        <f t="shared" si="36"/>
        <v>9750</v>
      </c>
      <c r="P1156" s="13">
        <f t="shared" si="37"/>
        <v>2551588</v>
      </c>
      <c r="Q1156" s="13">
        <f>SUMIFS(M:M,E:E,Online_eCommerce[[#This Row],[Status]])</f>
        <v>28340455</v>
      </c>
      <c r="R1156" s="13">
        <f>SUMIFS(L:L,H:H,Online_eCommerce[[#This Row],[Brand]])</f>
        <v>10950150</v>
      </c>
      <c r="S1156" s="13">
        <f>SUMIF(H:H,Online_eCommerce[[#This Row],[Brand]],M:M)</f>
        <v>14235195</v>
      </c>
      <c r="T1156" s="13">
        <f>SUMIF(N:N,Online_eCommerce[[#This Row],[Assigned Supervisor]],L:L)</f>
        <v>12100590</v>
      </c>
    </row>
    <row r="1157" spans="1:20" hidden="1" x14ac:dyDescent="0.3">
      <c r="A1157" t="s">
        <v>1751</v>
      </c>
      <c r="B1157" t="s">
        <v>215</v>
      </c>
      <c r="C1157" t="s">
        <v>132</v>
      </c>
      <c r="D1157" t="s">
        <v>1752</v>
      </c>
      <c r="E1157" t="s">
        <v>161</v>
      </c>
      <c r="F1157" t="s">
        <v>1753</v>
      </c>
      <c r="G1157" t="s">
        <v>77</v>
      </c>
      <c r="H1157" t="s">
        <v>142</v>
      </c>
      <c r="I1157">
        <v>10000</v>
      </c>
      <c r="J1157">
        <v>13000</v>
      </c>
      <c r="K1157">
        <v>4</v>
      </c>
      <c r="L1157">
        <v>40000</v>
      </c>
      <c r="M1157">
        <v>52000</v>
      </c>
      <c r="N1157" t="s">
        <v>56</v>
      </c>
      <c r="O1157">
        <f t="shared" si="36"/>
        <v>39000</v>
      </c>
      <c r="P1157" s="13">
        <f t="shared" si="37"/>
        <v>1989065</v>
      </c>
      <c r="Q1157" s="13">
        <f>SUMIFS(M:M,E:E,Online_eCommerce[[#This Row],[Status]])</f>
        <v>21103186</v>
      </c>
      <c r="R1157" s="13">
        <f>SUMIFS(L:L,H:H,Online_eCommerce[[#This Row],[Brand]])</f>
        <v>6192500</v>
      </c>
      <c r="S1157" s="13">
        <f>SUMIF(H:H,Online_eCommerce[[#This Row],[Brand]],M:M)</f>
        <v>8050250</v>
      </c>
      <c r="T1157" s="13">
        <f>SUMIF(N:N,Online_eCommerce[[#This Row],[Assigned Supervisor]],L:L)</f>
        <v>11733610</v>
      </c>
    </row>
    <row r="1158" spans="1:20" x14ac:dyDescent="0.3">
      <c r="A1158" t="s">
        <v>1754</v>
      </c>
      <c r="B1158" t="s">
        <v>215</v>
      </c>
      <c r="C1158" t="s">
        <v>136</v>
      </c>
      <c r="D1158" t="s">
        <v>1755</v>
      </c>
      <c r="E1158" t="s">
        <v>46</v>
      </c>
      <c r="F1158" t="s">
        <v>1756</v>
      </c>
      <c r="G1158" t="s">
        <v>20</v>
      </c>
      <c r="H1158" t="s">
        <v>21</v>
      </c>
      <c r="I1158">
        <v>6500</v>
      </c>
      <c r="J1158">
        <v>8450</v>
      </c>
      <c r="K1158">
        <v>2</v>
      </c>
      <c r="L1158">
        <v>13000</v>
      </c>
      <c r="M1158">
        <v>16900</v>
      </c>
      <c r="N1158" t="s">
        <v>22</v>
      </c>
      <c r="O1158">
        <f t="shared" si="36"/>
        <v>8450</v>
      </c>
      <c r="P1158" s="13">
        <f t="shared" si="37"/>
        <v>2775162</v>
      </c>
      <c r="Q1158" s="13">
        <f>SUMIFS(M:M,E:E,Online_eCommerce[[#This Row],[Status]])</f>
        <v>28620410</v>
      </c>
      <c r="R1158" s="13">
        <f>SUMIFS(L:L,H:H,Online_eCommerce[[#This Row],[Brand]])</f>
        <v>12435650</v>
      </c>
      <c r="S1158" s="13">
        <f>SUMIF(H:H,Online_eCommerce[[#This Row],[Brand]],M:M)</f>
        <v>16166345</v>
      </c>
      <c r="T1158" s="13">
        <f>SUMIF(N:N,Online_eCommerce[[#This Row],[Assigned Supervisor]],L:L)</f>
        <v>13693220</v>
      </c>
    </row>
    <row r="1159" spans="1:20" hidden="1" x14ac:dyDescent="0.3">
      <c r="A1159" t="s">
        <v>1757</v>
      </c>
      <c r="B1159" t="s">
        <v>215</v>
      </c>
      <c r="C1159" t="s">
        <v>140</v>
      </c>
      <c r="D1159" t="s">
        <v>1758</v>
      </c>
      <c r="E1159" t="s">
        <v>96</v>
      </c>
      <c r="F1159" t="s">
        <v>1759</v>
      </c>
      <c r="G1159" t="s">
        <v>26</v>
      </c>
      <c r="H1159" t="s">
        <v>27</v>
      </c>
      <c r="I1159">
        <v>8500</v>
      </c>
      <c r="J1159">
        <v>11050</v>
      </c>
      <c r="K1159">
        <v>3</v>
      </c>
      <c r="L1159">
        <v>25500</v>
      </c>
      <c r="M1159">
        <v>33150</v>
      </c>
      <c r="N1159" t="s">
        <v>28</v>
      </c>
      <c r="O1159">
        <f t="shared" si="36"/>
        <v>33150</v>
      </c>
      <c r="P1159" s="13">
        <f t="shared" si="37"/>
        <v>2058264</v>
      </c>
      <c r="Q1159" s="13">
        <f>SUMIFS(M:M,E:E,Online_eCommerce[[#This Row],[Status]])</f>
        <v>21233992</v>
      </c>
      <c r="R1159" s="13">
        <f>SUMIFS(L:L,H:H,Online_eCommerce[[#This Row],[Brand]])</f>
        <v>14431000</v>
      </c>
      <c r="S1159" s="13">
        <f>SUMIF(H:H,Online_eCommerce[[#This Row],[Brand]],M:M)</f>
        <v>18760300</v>
      </c>
      <c r="T1159" s="13">
        <f>SUMIF(N:N,Online_eCommerce[[#This Row],[Assigned Supervisor]],L:L)</f>
        <v>12220830</v>
      </c>
    </row>
    <row r="1160" spans="1:20" hidden="1" x14ac:dyDescent="0.3">
      <c r="A1160" t="s">
        <v>1760</v>
      </c>
      <c r="B1160" t="s">
        <v>215</v>
      </c>
      <c r="C1160" t="s">
        <v>145</v>
      </c>
      <c r="D1160" t="s">
        <v>1761</v>
      </c>
      <c r="E1160" t="s">
        <v>18</v>
      </c>
      <c r="F1160" t="s">
        <v>32</v>
      </c>
      <c r="G1160" t="s">
        <v>33</v>
      </c>
      <c r="H1160" t="s">
        <v>34</v>
      </c>
      <c r="I1160">
        <v>7000</v>
      </c>
      <c r="J1160">
        <v>9100</v>
      </c>
      <c r="K1160">
        <v>2</v>
      </c>
      <c r="L1160">
        <v>14000</v>
      </c>
      <c r="M1160">
        <v>18200</v>
      </c>
      <c r="N1160" t="s">
        <v>35</v>
      </c>
      <c r="O1160">
        <f t="shared" si="36"/>
        <v>18200</v>
      </c>
      <c r="P1160" s="13">
        <f t="shared" si="37"/>
        <v>2757859</v>
      </c>
      <c r="Q1160" s="13">
        <f>SUMIFS(M:M,E:E,Online_eCommerce[[#This Row],[Status]])</f>
        <v>28340455</v>
      </c>
      <c r="R1160" s="13">
        <f>SUMIFS(L:L,H:H,Online_eCommerce[[#This Row],[Brand]])</f>
        <v>10087000</v>
      </c>
      <c r="S1160" s="13">
        <f>SUMIF(H:H,Online_eCommerce[[#This Row],[Brand]],M:M)</f>
        <v>13113100</v>
      </c>
      <c r="T1160" s="13">
        <f>SUMIF(N:N,Online_eCommerce[[#This Row],[Assigned Supervisor]],L:L)</f>
        <v>14373360</v>
      </c>
    </row>
    <row r="1161" spans="1:20" hidden="1" x14ac:dyDescent="0.3">
      <c r="A1161" t="s">
        <v>1762</v>
      </c>
      <c r="B1161" t="s">
        <v>215</v>
      </c>
      <c r="C1161" t="s">
        <v>150</v>
      </c>
      <c r="D1161" t="s">
        <v>1763</v>
      </c>
      <c r="E1161" t="s">
        <v>161</v>
      </c>
      <c r="F1161" t="s">
        <v>1764</v>
      </c>
      <c r="G1161" t="s">
        <v>163</v>
      </c>
      <c r="H1161" t="s">
        <v>41</v>
      </c>
      <c r="I1161">
        <v>6550</v>
      </c>
      <c r="J1161">
        <v>8515</v>
      </c>
      <c r="K1161">
        <v>3</v>
      </c>
      <c r="L1161">
        <v>19650</v>
      </c>
      <c r="M1161">
        <v>25545</v>
      </c>
      <c r="N1161" t="s">
        <v>42</v>
      </c>
      <c r="O1161">
        <f t="shared" si="36"/>
        <v>13650</v>
      </c>
      <c r="P1161" s="13">
        <f t="shared" si="37"/>
        <v>2154984</v>
      </c>
      <c r="Q1161" s="13">
        <f>SUMIFS(M:M,E:E,Online_eCommerce[[#This Row],[Status]])</f>
        <v>21103186</v>
      </c>
      <c r="R1161" s="13">
        <f>SUMIFS(L:L,H:H,Online_eCommerce[[#This Row],[Brand]])</f>
        <v>4260400</v>
      </c>
      <c r="S1161" s="13">
        <f>SUMIF(H:H,Online_eCommerce[[#This Row],[Brand]],M:M)</f>
        <v>5538520</v>
      </c>
      <c r="T1161" s="13">
        <f>SUMIF(N:N,Online_eCommerce[[#This Row],[Assigned Supervisor]],L:L)</f>
        <v>12261500</v>
      </c>
    </row>
    <row r="1162" spans="1:20" x14ac:dyDescent="0.3">
      <c r="A1162" t="s">
        <v>1765</v>
      </c>
      <c r="B1162" t="s">
        <v>215</v>
      </c>
      <c r="C1162" t="s">
        <v>155</v>
      </c>
      <c r="D1162" t="s">
        <v>1766</v>
      </c>
      <c r="E1162" t="s">
        <v>46</v>
      </c>
      <c r="F1162" t="s">
        <v>47</v>
      </c>
      <c r="G1162" t="s">
        <v>66</v>
      </c>
      <c r="H1162" t="s">
        <v>49</v>
      </c>
      <c r="I1162">
        <v>7650</v>
      </c>
      <c r="J1162">
        <v>9945</v>
      </c>
      <c r="K1162">
        <v>3</v>
      </c>
      <c r="L1162">
        <v>22950</v>
      </c>
      <c r="M1162">
        <v>29835</v>
      </c>
      <c r="N1162" t="s">
        <v>50</v>
      </c>
      <c r="O1162">
        <f t="shared" si="36"/>
        <v>1690</v>
      </c>
      <c r="P1162" s="13">
        <f t="shared" si="37"/>
        <v>2753348</v>
      </c>
      <c r="Q1162" s="13">
        <f>SUMIFS(M:M,E:E,Online_eCommerce[[#This Row],[Status]])</f>
        <v>28620410</v>
      </c>
      <c r="R1162" s="13">
        <f>SUMIFS(L:L,H:H,Online_eCommerce[[#This Row],[Brand]])</f>
        <v>4528350</v>
      </c>
      <c r="S1162" s="13">
        <f>SUMIF(H:H,Online_eCommerce[[#This Row],[Brand]],M:M)</f>
        <v>5886855</v>
      </c>
      <c r="T1162" s="13">
        <f>SUMIF(N:N,Online_eCommerce[[#This Row],[Assigned Supervisor]],L:L)</f>
        <v>12100590</v>
      </c>
    </row>
    <row r="1163" spans="1:20" hidden="1" x14ac:dyDescent="0.3">
      <c r="A1163" t="s">
        <v>1767</v>
      </c>
      <c r="B1163" t="s">
        <v>215</v>
      </c>
      <c r="C1163" t="s">
        <v>160</v>
      </c>
      <c r="D1163" t="s">
        <v>1766</v>
      </c>
      <c r="E1163" t="s">
        <v>96</v>
      </c>
      <c r="F1163" t="s">
        <v>53</v>
      </c>
      <c r="G1163" t="s">
        <v>54</v>
      </c>
      <c r="H1163" t="s">
        <v>55</v>
      </c>
      <c r="I1163">
        <v>1150</v>
      </c>
      <c r="J1163">
        <v>1495</v>
      </c>
      <c r="K1163">
        <v>1</v>
      </c>
      <c r="L1163">
        <v>1150</v>
      </c>
      <c r="M1163">
        <v>1495</v>
      </c>
      <c r="N1163" t="s">
        <v>56</v>
      </c>
      <c r="O1163">
        <f t="shared" si="36"/>
        <v>2990</v>
      </c>
      <c r="P1163" s="13">
        <f t="shared" si="37"/>
        <v>2303483</v>
      </c>
      <c r="Q1163" s="13">
        <f>SUMIFS(M:M,E:E,Online_eCommerce[[#This Row],[Status]])</f>
        <v>21233992</v>
      </c>
      <c r="R1163" s="13">
        <f>SUMIFS(L:L,H:H,Online_eCommerce[[#This Row],[Brand]])</f>
        <v>2267380</v>
      </c>
      <c r="S1163" s="13">
        <f>SUMIF(H:H,Online_eCommerce[[#This Row],[Brand]],M:M)</f>
        <v>2947594</v>
      </c>
      <c r="T1163" s="13">
        <f>SUMIF(N:N,Online_eCommerce[[#This Row],[Assigned Supervisor]],L:L)</f>
        <v>11733610</v>
      </c>
    </row>
    <row r="1164" spans="1:20" hidden="1" x14ac:dyDescent="0.3">
      <c r="A1164" t="s">
        <v>1768</v>
      </c>
      <c r="B1164" t="s">
        <v>215</v>
      </c>
      <c r="C1164" t="s">
        <v>165</v>
      </c>
      <c r="D1164" t="s">
        <v>1766</v>
      </c>
      <c r="E1164" t="s">
        <v>18</v>
      </c>
      <c r="F1164" t="s">
        <v>59</v>
      </c>
      <c r="G1164" t="s">
        <v>60</v>
      </c>
      <c r="H1164" t="s">
        <v>61</v>
      </c>
      <c r="I1164">
        <v>850</v>
      </c>
      <c r="J1164">
        <v>1105</v>
      </c>
      <c r="K1164">
        <v>1</v>
      </c>
      <c r="L1164">
        <v>850</v>
      </c>
      <c r="M1164">
        <v>1105</v>
      </c>
      <c r="N1164" t="s">
        <v>22</v>
      </c>
      <c r="O1164">
        <f t="shared" si="36"/>
        <v>3315</v>
      </c>
      <c r="P1164" s="13">
        <f t="shared" si="37"/>
        <v>2674087</v>
      </c>
      <c r="Q1164" s="13">
        <f>SUMIFS(M:M,E:E,Online_eCommerce[[#This Row],[Status]])</f>
        <v>28340455</v>
      </c>
      <c r="R1164" s="13">
        <f>SUMIFS(L:L,H:H,Online_eCommerce[[#This Row],[Brand]])</f>
        <v>10950150</v>
      </c>
      <c r="S1164" s="13">
        <f>SUMIF(H:H,Online_eCommerce[[#This Row],[Brand]],M:M)</f>
        <v>14235195</v>
      </c>
      <c r="T1164" s="13">
        <f>SUMIF(N:N,Online_eCommerce[[#This Row],[Assigned Supervisor]],L:L)</f>
        <v>13693220</v>
      </c>
    </row>
    <row r="1165" spans="1:20" hidden="1" x14ac:dyDescent="0.3">
      <c r="A1165" t="s">
        <v>1769</v>
      </c>
      <c r="B1165" t="s">
        <v>215</v>
      </c>
      <c r="C1165" t="s">
        <v>168</v>
      </c>
      <c r="D1165" t="s">
        <v>1766</v>
      </c>
      <c r="E1165" t="s">
        <v>161</v>
      </c>
      <c r="F1165" t="s">
        <v>65</v>
      </c>
      <c r="G1165" t="s">
        <v>66</v>
      </c>
      <c r="H1165" t="s">
        <v>21</v>
      </c>
      <c r="I1165">
        <v>650</v>
      </c>
      <c r="J1165">
        <v>845</v>
      </c>
      <c r="K1165">
        <v>4</v>
      </c>
      <c r="L1165">
        <v>2600</v>
      </c>
      <c r="M1165">
        <v>3380</v>
      </c>
      <c r="N1165" t="s">
        <v>28</v>
      </c>
      <c r="O1165">
        <f t="shared" si="36"/>
        <v>1690</v>
      </c>
      <c r="P1165" s="13">
        <f t="shared" si="37"/>
        <v>1937780</v>
      </c>
      <c r="Q1165" s="13">
        <f>SUMIFS(M:M,E:E,Online_eCommerce[[#This Row],[Status]])</f>
        <v>21103186</v>
      </c>
      <c r="R1165" s="13">
        <f>SUMIFS(L:L,H:H,Online_eCommerce[[#This Row],[Brand]])</f>
        <v>12435650</v>
      </c>
      <c r="S1165" s="13">
        <f>SUMIF(H:H,Online_eCommerce[[#This Row],[Brand]],M:M)</f>
        <v>16166345</v>
      </c>
      <c r="T1165" s="13">
        <f>SUMIF(N:N,Online_eCommerce[[#This Row],[Assigned Supervisor]],L:L)</f>
        <v>12220830</v>
      </c>
    </row>
    <row r="1166" spans="1:20" x14ac:dyDescent="0.3">
      <c r="A1166" t="s">
        <v>1770</v>
      </c>
      <c r="B1166" t="s">
        <v>215</v>
      </c>
      <c r="C1166" t="s">
        <v>172</v>
      </c>
      <c r="D1166" t="s">
        <v>1766</v>
      </c>
      <c r="E1166" t="s">
        <v>46</v>
      </c>
      <c r="F1166" t="s">
        <v>70</v>
      </c>
      <c r="G1166" t="s">
        <v>71</v>
      </c>
      <c r="H1166" t="s">
        <v>61</v>
      </c>
      <c r="I1166">
        <v>7500</v>
      </c>
      <c r="J1166">
        <v>9750</v>
      </c>
      <c r="K1166">
        <v>3</v>
      </c>
      <c r="L1166">
        <v>22500</v>
      </c>
      <c r="M1166">
        <v>29250</v>
      </c>
      <c r="N1166" t="s">
        <v>35</v>
      </c>
      <c r="O1166">
        <f t="shared" si="36"/>
        <v>9750</v>
      </c>
      <c r="P1166" s="13">
        <f t="shared" si="37"/>
        <v>2640274</v>
      </c>
      <c r="Q1166" s="13">
        <f>SUMIFS(M:M,E:E,Online_eCommerce[[#This Row],[Status]])</f>
        <v>28620410</v>
      </c>
      <c r="R1166" s="13">
        <f>SUMIFS(L:L,H:H,Online_eCommerce[[#This Row],[Brand]])</f>
        <v>10950150</v>
      </c>
      <c r="S1166" s="13">
        <f>SUMIF(H:H,Online_eCommerce[[#This Row],[Brand]],M:M)</f>
        <v>14235195</v>
      </c>
      <c r="T1166" s="13">
        <f>SUMIF(N:N,Online_eCommerce[[#This Row],[Assigned Supervisor]],L:L)</f>
        <v>14373360</v>
      </c>
    </row>
    <row r="1167" spans="1:20" hidden="1" x14ac:dyDescent="0.3">
      <c r="A1167" t="s">
        <v>1771</v>
      </c>
      <c r="B1167" t="s">
        <v>215</v>
      </c>
      <c r="C1167" t="s">
        <v>177</v>
      </c>
      <c r="D1167" t="s">
        <v>1766</v>
      </c>
      <c r="E1167" t="s">
        <v>96</v>
      </c>
      <c r="F1167" t="s">
        <v>1753</v>
      </c>
      <c r="G1167" t="s">
        <v>77</v>
      </c>
      <c r="H1167" t="s">
        <v>78</v>
      </c>
      <c r="I1167">
        <v>10000</v>
      </c>
      <c r="J1167">
        <v>13000</v>
      </c>
      <c r="K1167">
        <v>2</v>
      </c>
      <c r="L1167">
        <v>20000</v>
      </c>
      <c r="M1167">
        <v>26000</v>
      </c>
      <c r="N1167" t="s">
        <v>42</v>
      </c>
      <c r="O1167">
        <f t="shared" si="36"/>
        <v>39000</v>
      </c>
      <c r="P1167" s="13">
        <f t="shared" si="37"/>
        <v>1863810</v>
      </c>
      <c r="Q1167" s="13">
        <f>SUMIFS(M:M,E:E,Online_eCommerce[[#This Row],[Status]])</f>
        <v>21233992</v>
      </c>
      <c r="R1167" s="13">
        <f>SUMIFS(L:L,H:H,Online_eCommerce[[#This Row],[Brand]])</f>
        <v>3720000</v>
      </c>
      <c r="S1167" s="13">
        <f>SUMIF(H:H,Online_eCommerce[[#This Row],[Brand]],M:M)</f>
        <v>4836000</v>
      </c>
      <c r="T1167" s="13">
        <f>SUMIF(N:N,Online_eCommerce[[#This Row],[Assigned Supervisor]],L:L)</f>
        <v>12261500</v>
      </c>
    </row>
    <row r="1168" spans="1:20" hidden="1" x14ac:dyDescent="0.3">
      <c r="A1168" t="s">
        <v>1772</v>
      </c>
      <c r="B1168" t="s">
        <v>215</v>
      </c>
      <c r="C1168" t="s">
        <v>181</v>
      </c>
      <c r="D1168" t="s">
        <v>1766</v>
      </c>
      <c r="E1168" t="s">
        <v>18</v>
      </c>
      <c r="F1168" t="s">
        <v>1773</v>
      </c>
      <c r="G1168" t="s">
        <v>20</v>
      </c>
      <c r="H1168" t="s">
        <v>21</v>
      </c>
      <c r="I1168">
        <v>10500</v>
      </c>
      <c r="J1168">
        <v>13650</v>
      </c>
      <c r="K1168">
        <v>2</v>
      </c>
      <c r="L1168">
        <v>21000</v>
      </c>
      <c r="M1168">
        <v>27300</v>
      </c>
      <c r="N1168" t="s">
        <v>50</v>
      </c>
      <c r="O1168">
        <f t="shared" si="36"/>
        <v>8450</v>
      </c>
      <c r="P1168" s="13">
        <f t="shared" si="37"/>
        <v>2577458</v>
      </c>
      <c r="Q1168" s="13">
        <f>SUMIFS(M:M,E:E,Online_eCommerce[[#This Row],[Status]])</f>
        <v>28340455</v>
      </c>
      <c r="R1168" s="13">
        <f>SUMIFS(L:L,H:H,Online_eCommerce[[#This Row],[Brand]])</f>
        <v>12435650</v>
      </c>
      <c r="S1168" s="13">
        <f>SUMIF(H:H,Online_eCommerce[[#This Row],[Brand]],M:M)</f>
        <v>16166345</v>
      </c>
      <c r="T1168" s="13">
        <f>SUMIF(N:N,Online_eCommerce[[#This Row],[Assigned Supervisor]],L:L)</f>
        <v>12100590</v>
      </c>
    </row>
    <row r="1169" spans="1:20" hidden="1" x14ac:dyDescent="0.3">
      <c r="A1169" t="s">
        <v>1774</v>
      </c>
      <c r="B1169" t="s">
        <v>215</v>
      </c>
      <c r="C1169" t="s">
        <v>185</v>
      </c>
      <c r="D1169" t="s">
        <v>1775</v>
      </c>
      <c r="E1169" t="s">
        <v>161</v>
      </c>
      <c r="F1169" t="s">
        <v>88</v>
      </c>
      <c r="G1169" t="s">
        <v>26</v>
      </c>
      <c r="H1169" t="s">
        <v>27</v>
      </c>
      <c r="I1169">
        <v>8500</v>
      </c>
      <c r="J1169">
        <v>11050</v>
      </c>
      <c r="K1169">
        <v>2</v>
      </c>
      <c r="L1169">
        <v>17000</v>
      </c>
      <c r="M1169">
        <v>22100</v>
      </c>
      <c r="N1169" t="s">
        <v>56</v>
      </c>
      <c r="O1169">
        <f t="shared" si="36"/>
        <v>33150</v>
      </c>
      <c r="P1169" s="13">
        <f t="shared" si="37"/>
        <v>2091596</v>
      </c>
      <c r="Q1169" s="13">
        <f>SUMIFS(M:M,E:E,Online_eCommerce[[#This Row],[Status]])</f>
        <v>21103186</v>
      </c>
      <c r="R1169" s="13">
        <f>SUMIFS(L:L,H:H,Online_eCommerce[[#This Row],[Brand]])</f>
        <v>14431000</v>
      </c>
      <c r="S1169" s="13">
        <f>SUMIF(H:H,Online_eCommerce[[#This Row],[Brand]],M:M)</f>
        <v>18760300</v>
      </c>
      <c r="T1169" s="13">
        <f>SUMIF(N:N,Online_eCommerce[[#This Row],[Assigned Supervisor]],L:L)</f>
        <v>11733610</v>
      </c>
    </row>
    <row r="1170" spans="1:20" x14ac:dyDescent="0.3">
      <c r="A1170" t="s">
        <v>1776</v>
      </c>
      <c r="B1170" t="s">
        <v>215</v>
      </c>
      <c r="C1170" t="s">
        <v>189</v>
      </c>
      <c r="D1170" t="s">
        <v>1777</v>
      </c>
      <c r="E1170" t="s">
        <v>46</v>
      </c>
      <c r="F1170" t="s">
        <v>32</v>
      </c>
      <c r="G1170" t="s">
        <v>33</v>
      </c>
      <c r="H1170" t="s">
        <v>34</v>
      </c>
      <c r="I1170">
        <v>7000</v>
      </c>
      <c r="J1170">
        <v>9100</v>
      </c>
      <c r="K1170">
        <v>1</v>
      </c>
      <c r="L1170">
        <v>7000</v>
      </c>
      <c r="M1170">
        <v>9100</v>
      </c>
      <c r="N1170" t="s">
        <v>22</v>
      </c>
      <c r="O1170">
        <f t="shared" si="36"/>
        <v>18200</v>
      </c>
      <c r="P1170" s="13">
        <f t="shared" si="37"/>
        <v>2740777</v>
      </c>
      <c r="Q1170" s="13">
        <f>SUMIFS(M:M,E:E,Online_eCommerce[[#This Row],[Status]])</f>
        <v>28620410</v>
      </c>
      <c r="R1170" s="13">
        <f>SUMIFS(L:L,H:H,Online_eCommerce[[#This Row],[Brand]])</f>
        <v>10087000</v>
      </c>
      <c r="S1170" s="13">
        <f>SUMIF(H:H,Online_eCommerce[[#This Row],[Brand]],M:M)</f>
        <v>13113100</v>
      </c>
      <c r="T1170" s="13">
        <f>SUMIF(N:N,Online_eCommerce[[#This Row],[Assigned Supervisor]],L:L)</f>
        <v>13693220</v>
      </c>
    </row>
    <row r="1171" spans="1:20" hidden="1" x14ac:dyDescent="0.3">
      <c r="A1171" t="s">
        <v>1778</v>
      </c>
      <c r="B1171" t="s">
        <v>215</v>
      </c>
      <c r="C1171" t="s">
        <v>193</v>
      </c>
      <c r="D1171" t="s">
        <v>1779</v>
      </c>
      <c r="E1171" t="s">
        <v>96</v>
      </c>
      <c r="F1171" t="s">
        <v>1780</v>
      </c>
      <c r="G1171" t="s">
        <v>163</v>
      </c>
      <c r="H1171" t="s">
        <v>41</v>
      </c>
      <c r="I1171">
        <v>1680</v>
      </c>
      <c r="J1171">
        <v>2184</v>
      </c>
      <c r="K1171">
        <v>4</v>
      </c>
      <c r="L1171">
        <v>6720</v>
      </c>
      <c r="M1171">
        <v>8736</v>
      </c>
      <c r="N1171" t="s">
        <v>28</v>
      </c>
      <c r="O1171">
        <f t="shared" si="36"/>
        <v>13650</v>
      </c>
      <c r="P1171" s="13">
        <f t="shared" si="37"/>
        <v>2074774</v>
      </c>
      <c r="Q1171" s="13">
        <f>SUMIFS(M:M,E:E,Online_eCommerce[[#This Row],[Status]])</f>
        <v>21233992</v>
      </c>
      <c r="R1171" s="13">
        <f>SUMIFS(L:L,H:H,Online_eCommerce[[#This Row],[Brand]])</f>
        <v>4260400</v>
      </c>
      <c r="S1171" s="13">
        <f>SUMIF(H:H,Online_eCommerce[[#This Row],[Brand]],M:M)</f>
        <v>5538520</v>
      </c>
      <c r="T1171" s="13">
        <f>SUMIF(N:N,Online_eCommerce[[#This Row],[Assigned Supervisor]],L:L)</f>
        <v>12220830</v>
      </c>
    </row>
    <row r="1172" spans="1:20" hidden="1" x14ac:dyDescent="0.3">
      <c r="A1172" t="s">
        <v>1781</v>
      </c>
      <c r="B1172" t="s">
        <v>149</v>
      </c>
      <c r="C1172" t="s">
        <v>197</v>
      </c>
      <c r="D1172" t="s">
        <v>1782</v>
      </c>
      <c r="E1172" t="s">
        <v>18</v>
      </c>
      <c r="F1172" t="s">
        <v>101</v>
      </c>
      <c r="G1172" t="s">
        <v>66</v>
      </c>
      <c r="H1172" t="s">
        <v>102</v>
      </c>
      <c r="I1172">
        <v>6540</v>
      </c>
      <c r="J1172">
        <v>8502</v>
      </c>
      <c r="K1172">
        <v>4</v>
      </c>
      <c r="L1172">
        <v>26160</v>
      </c>
      <c r="M1172">
        <v>34008</v>
      </c>
      <c r="N1172" t="s">
        <v>35</v>
      </c>
      <c r="O1172">
        <f t="shared" si="36"/>
        <v>1690</v>
      </c>
      <c r="P1172" s="13">
        <f t="shared" si="37"/>
        <v>2829840</v>
      </c>
      <c r="Q1172" s="13">
        <f>SUMIFS(M:M,E:E,Online_eCommerce[[#This Row],[Status]])</f>
        <v>28340455</v>
      </c>
      <c r="R1172" s="13">
        <f>SUMIFS(L:L,H:H,Online_eCommerce[[#This Row],[Brand]])</f>
        <v>2465580</v>
      </c>
      <c r="S1172" s="13">
        <f>SUMIF(H:H,Online_eCommerce[[#This Row],[Brand]],M:M)</f>
        <v>3205254</v>
      </c>
      <c r="T1172" s="13">
        <f>SUMIF(N:N,Online_eCommerce[[#This Row],[Assigned Supervisor]],L:L)</f>
        <v>14373360</v>
      </c>
    </row>
    <row r="1173" spans="1:20" hidden="1" x14ac:dyDescent="0.3">
      <c r="A1173" t="s">
        <v>1783</v>
      </c>
      <c r="B1173" t="s">
        <v>154</v>
      </c>
      <c r="C1173" t="s">
        <v>199</v>
      </c>
      <c r="D1173" t="s">
        <v>1784</v>
      </c>
      <c r="E1173" t="s">
        <v>161</v>
      </c>
      <c r="F1173" t="s">
        <v>107</v>
      </c>
      <c r="G1173" t="s">
        <v>54</v>
      </c>
      <c r="H1173" t="s">
        <v>55</v>
      </c>
      <c r="I1173">
        <v>2680</v>
      </c>
      <c r="J1173">
        <v>3484</v>
      </c>
      <c r="K1173">
        <v>3</v>
      </c>
      <c r="L1173">
        <v>8040</v>
      </c>
      <c r="M1173">
        <v>10452</v>
      </c>
      <c r="N1173" t="s">
        <v>42</v>
      </c>
      <c r="O1173">
        <f t="shared" si="36"/>
        <v>2990</v>
      </c>
      <c r="P1173" s="13">
        <f t="shared" si="37"/>
        <v>1947361</v>
      </c>
      <c r="Q1173" s="13">
        <f>SUMIFS(M:M,E:E,Online_eCommerce[[#This Row],[Status]])</f>
        <v>21103186</v>
      </c>
      <c r="R1173" s="13">
        <f>SUMIFS(L:L,H:H,Online_eCommerce[[#This Row],[Brand]])</f>
        <v>2267380</v>
      </c>
      <c r="S1173" s="13">
        <f>SUMIF(H:H,Online_eCommerce[[#This Row],[Brand]],M:M)</f>
        <v>2947594</v>
      </c>
      <c r="T1173" s="13">
        <f>SUMIF(N:N,Online_eCommerce[[#This Row],[Assigned Supervisor]],L:L)</f>
        <v>12261500</v>
      </c>
    </row>
    <row r="1174" spans="1:20" x14ac:dyDescent="0.3">
      <c r="A1174" t="s">
        <v>1785</v>
      </c>
      <c r="B1174" t="s">
        <v>159</v>
      </c>
      <c r="C1174" t="s">
        <v>203</v>
      </c>
      <c r="D1174" t="s">
        <v>1786</v>
      </c>
      <c r="E1174" t="s">
        <v>46</v>
      </c>
      <c r="F1174" t="s">
        <v>112</v>
      </c>
      <c r="G1174" t="s">
        <v>71</v>
      </c>
      <c r="H1174" t="s">
        <v>21</v>
      </c>
      <c r="I1174">
        <v>8250</v>
      </c>
      <c r="J1174">
        <v>10725</v>
      </c>
      <c r="K1174">
        <v>1</v>
      </c>
      <c r="L1174">
        <v>8250</v>
      </c>
      <c r="M1174">
        <v>10725</v>
      </c>
      <c r="N1174" t="s">
        <v>50</v>
      </c>
      <c r="O1174">
        <f t="shared" si="36"/>
        <v>9750</v>
      </c>
      <c r="P1174" s="13">
        <f t="shared" si="37"/>
        <v>2559635</v>
      </c>
      <c r="Q1174" s="13">
        <f>SUMIFS(M:M,E:E,Online_eCommerce[[#This Row],[Status]])</f>
        <v>28620410</v>
      </c>
      <c r="R1174" s="13">
        <f>SUMIFS(L:L,H:H,Online_eCommerce[[#This Row],[Brand]])</f>
        <v>12435650</v>
      </c>
      <c r="S1174" s="13">
        <f>SUMIF(H:H,Online_eCommerce[[#This Row],[Brand]],M:M)</f>
        <v>16166345</v>
      </c>
      <c r="T1174" s="13">
        <f>SUMIF(N:N,Online_eCommerce[[#This Row],[Assigned Supervisor]],L:L)</f>
        <v>12100590</v>
      </c>
    </row>
    <row r="1175" spans="1:20" hidden="1" x14ac:dyDescent="0.3">
      <c r="A1175" t="s">
        <v>1787</v>
      </c>
      <c r="B1175" t="s">
        <v>139</v>
      </c>
      <c r="C1175" t="s">
        <v>205</v>
      </c>
      <c r="D1175" t="s">
        <v>1786</v>
      </c>
      <c r="E1175" t="s">
        <v>96</v>
      </c>
      <c r="F1175" t="s">
        <v>1375</v>
      </c>
      <c r="G1175" t="s">
        <v>40</v>
      </c>
      <c r="H1175" t="s">
        <v>21</v>
      </c>
      <c r="I1175">
        <v>2650</v>
      </c>
      <c r="J1175">
        <v>3445</v>
      </c>
      <c r="K1175">
        <v>3</v>
      </c>
      <c r="L1175">
        <v>7950</v>
      </c>
      <c r="M1175">
        <v>10335</v>
      </c>
      <c r="N1175" t="s">
        <v>56</v>
      </c>
      <c r="O1175">
        <f t="shared" si="36"/>
        <v>25545</v>
      </c>
      <c r="P1175" s="13">
        <f t="shared" si="37"/>
        <v>1983254</v>
      </c>
      <c r="Q1175" s="13">
        <f>SUMIFS(M:M,E:E,Online_eCommerce[[#This Row],[Status]])</f>
        <v>21233992</v>
      </c>
      <c r="R1175" s="13">
        <f>SUMIFS(L:L,H:H,Online_eCommerce[[#This Row],[Brand]])</f>
        <v>12435650</v>
      </c>
      <c r="S1175" s="13">
        <f>SUMIF(H:H,Online_eCommerce[[#This Row],[Brand]],M:M)</f>
        <v>16166345</v>
      </c>
      <c r="T1175" s="13">
        <f>SUMIF(N:N,Online_eCommerce[[#This Row],[Assigned Supervisor]],L:L)</f>
        <v>11733610</v>
      </c>
    </row>
    <row r="1176" spans="1:20" hidden="1" x14ac:dyDescent="0.3">
      <c r="A1176" t="s">
        <v>1788</v>
      </c>
      <c r="B1176" t="s">
        <v>144</v>
      </c>
      <c r="C1176" t="s">
        <v>208</v>
      </c>
      <c r="D1176" t="s">
        <v>1786</v>
      </c>
      <c r="E1176" t="s">
        <v>18</v>
      </c>
      <c r="F1176" t="s">
        <v>121</v>
      </c>
      <c r="G1176" t="s">
        <v>71</v>
      </c>
      <c r="H1176" t="s">
        <v>122</v>
      </c>
      <c r="I1176">
        <v>12550</v>
      </c>
      <c r="J1176">
        <v>16315</v>
      </c>
      <c r="K1176">
        <v>2</v>
      </c>
      <c r="L1176">
        <v>25100</v>
      </c>
      <c r="M1176">
        <v>32630</v>
      </c>
      <c r="N1176" t="s">
        <v>22</v>
      </c>
      <c r="O1176">
        <f t="shared" si="36"/>
        <v>9750</v>
      </c>
      <c r="P1176" s="13">
        <f t="shared" si="37"/>
        <v>2746575</v>
      </c>
      <c r="Q1176" s="13">
        <f>SUMIFS(M:M,E:E,Online_eCommerce[[#This Row],[Status]])</f>
        <v>28340455</v>
      </c>
      <c r="R1176" s="13">
        <f>SUMIFS(L:L,H:H,Online_eCommerce[[#This Row],[Brand]])</f>
        <v>5045100</v>
      </c>
      <c r="S1176" s="13">
        <f>SUMIF(H:H,Online_eCommerce[[#This Row],[Brand]],M:M)</f>
        <v>6558630</v>
      </c>
      <c r="T1176" s="13">
        <f>SUMIF(N:N,Online_eCommerce[[#This Row],[Assigned Supervisor]],L:L)</f>
        <v>13693220</v>
      </c>
    </row>
    <row r="1177" spans="1:20" hidden="1" x14ac:dyDescent="0.3">
      <c r="A1177" t="s">
        <v>1789</v>
      </c>
      <c r="B1177" t="s">
        <v>171</v>
      </c>
      <c r="C1177" t="s">
        <v>211</v>
      </c>
      <c r="D1177" t="s">
        <v>1786</v>
      </c>
      <c r="E1177" t="s">
        <v>161</v>
      </c>
      <c r="F1177" t="s">
        <v>126</v>
      </c>
      <c r="G1177" t="s">
        <v>26</v>
      </c>
      <c r="H1177" t="s">
        <v>27</v>
      </c>
      <c r="I1177">
        <v>14500</v>
      </c>
      <c r="J1177">
        <v>18850</v>
      </c>
      <c r="K1177">
        <v>1</v>
      </c>
      <c r="L1177">
        <v>14500</v>
      </c>
      <c r="M1177">
        <v>18850</v>
      </c>
      <c r="N1177" t="s">
        <v>28</v>
      </c>
      <c r="O1177">
        <f t="shared" si="36"/>
        <v>33150</v>
      </c>
      <c r="P1177" s="13">
        <f t="shared" si="37"/>
        <v>1809847</v>
      </c>
      <c r="Q1177" s="13">
        <f>SUMIFS(M:M,E:E,Online_eCommerce[[#This Row],[Status]])</f>
        <v>21103186</v>
      </c>
      <c r="R1177" s="13">
        <f>SUMIFS(L:L,H:H,Online_eCommerce[[#This Row],[Brand]])</f>
        <v>14431000</v>
      </c>
      <c r="S1177" s="13">
        <f>SUMIF(H:H,Online_eCommerce[[#This Row],[Brand]],M:M)</f>
        <v>18760300</v>
      </c>
      <c r="T1177" s="13">
        <f>SUMIF(N:N,Online_eCommerce[[#This Row],[Assigned Supervisor]],L:L)</f>
        <v>12220830</v>
      </c>
    </row>
    <row r="1178" spans="1:20" x14ac:dyDescent="0.3">
      <c r="A1178" t="s">
        <v>1790</v>
      </c>
      <c r="B1178" t="s">
        <v>176</v>
      </c>
      <c r="C1178" t="s">
        <v>16</v>
      </c>
      <c r="D1178" t="s">
        <v>1786</v>
      </c>
      <c r="E1178" t="s">
        <v>46</v>
      </c>
      <c r="F1178" t="s">
        <v>129</v>
      </c>
      <c r="G1178" t="s">
        <v>60</v>
      </c>
      <c r="H1178" t="s">
        <v>61</v>
      </c>
      <c r="I1178">
        <v>800</v>
      </c>
      <c r="J1178">
        <v>1040</v>
      </c>
      <c r="K1178">
        <v>2</v>
      </c>
      <c r="L1178">
        <v>1600</v>
      </c>
      <c r="M1178">
        <v>2080</v>
      </c>
      <c r="N1178" t="s">
        <v>35</v>
      </c>
      <c r="O1178">
        <f t="shared" si="36"/>
        <v>3315</v>
      </c>
      <c r="P1178" s="13">
        <f t="shared" si="37"/>
        <v>2751814</v>
      </c>
      <c r="Q1178" s="13">
        <f>SUMIFS(M:M,E:E,Online_eCommerce[[#This Row],[Status]])</f>
        <v>28620410</v>
      </c>
      <c r="R1178" s="13">
        <f>SUMIFS(L:L,H:H,Online_eCommerce[[#This Row],[Brand]])</f>
        <v>10950150</v>
      </c>
      <c r="S1178" s="13">
        <f>SUMIF(H:H,Online_eCommerce[[#This Row],[Brand]],M:M)</f>
        <v>14235195</v>
      </c>
      <c r="T1178" s="13">
        <f>SUMIF(N:N,Online_eCommerce[[#This Row],[Assigned Supervisor]],L:L)</f>
        <v>14373360</v>
      </c>
    </row>
    <row r="1179" spans="1:20" hidden="1" x14ac:dyDescent="0.3">
      <c r="A1179" t="s">
        <v>1791</v>
      </c>
      <c r="B1179" t="s">
        <v>276</v>
      </c>
      <c r="C1179" t="s">
        <v>24</v>
      </c>
      <c r="D1179" t="s">
        <v>1786</v>
      </c>
      <c r="E1179" t="s">
        <v>96</v>
      </c>
      <c r="F1179" t="s">
        <v>133</v>
      </c>
      <c r="G1179" t="s">
        <v>66</v>
      </c>
      <c r="H1179" t="s">
        <v>21</v>
      </c>
      <c r="I1179">
        <v>600</v>
      </c>
      <c r="J1179">
        <v>780</v>
      </c>
      <c r="K1179">
        <v>1</v>
      </c>
      <c r="L1179">
        <v>600</v>
      </c>
      <c r="M1179">
        <v>780</v>
      </c>
      <c r="N1179" t="s">
        <v>42</v>
      </c>
      <c r="O1179">
        <f t="shared" si="36"/>
        <v>1690</v>
      </c>
      <c r="P1179" s="13">
        <f t="shared" si="37"/>
        <v>2009540</v>
      </c>
      <c r="Q1179" s="13">
        <f>SUMIFS(M:M,E:E,Online_eCommerce[[#This Row],[Status]])</f>
        <v>21233992</v>
      </c>
      <c r="R1179" s="13">
        <f>SUMIFS(L:L,H:H,Online_eCommerce[[#This Row],[Brand]])</f>
        <v>12435650</v>
      </c>
      <c r="S1179" s="13">
        <f>SUMIF(H:H,Online_eCommerce[[#This Row],[Brand]],M:M)</f>
        <v>16166345</v>
      </c>
      <c r="T1179" s="13">
        <f>SUMIF(N:N,Online_eCommerce[[#This Row],[Assigned Supervisor]],L:L)</f>
        <v>12261500</v>
      </c>
    </row>
    <row r="1180" spans="1:20" hidden="1" x14ac:dyDescent="0.3">
      <c r="A1180" t="s">
        <v>1792</v>
      </c>
      <c r="B1180" t="s">
        <v>280</v>
      </c>
      <c r="C1180" t="s">
        <v>31</v>
      </c>
      <c r="D1180" t="s">
        <v>1786</v>
      </c>
      <c r="E1180" t="s">
        <v>18</v>
      </c>
      <c r="F1180" t="s">
        <v>137</v>
      </c>
      <c r="G1180" t="s">
        <v>71</v>
      </c>
      <c r="H1180" t="s">
        <v>61</v>
      </c>
      <c r="I1180">
        <v>10500</v>
      </c>
      <c r="J1180">
        <v>13650</v>
      </c>
      <c r="K1180">
        <v>2</v>
      </c>
      <c r="L1180">
        <v>21000</v>
      </c>
      <c r="M1180">
        <v>27300</v>
      </c>
      <c r="N1180" t="s">
        <v>50</v>
      </c>
      <c r="O1180">
        <f t="shared" si="36"/>
        <v>9750</v>
      </c>
      <c r="P1180" s="13">
        <f t="shared" si="37"/>
        <v>2865746</v>
      </c>
      <c r="Q1180" s="13">
        <f>SUMIFS(M:M,E:E,Online_eCommerce[[#This Row],[Status]])</f>
        <v>28340455</v>
      </c>
      <c r="R1180" s="13">
        <f>SUMIFS(L:L,H:H,Online_eCommerce[[#This Row],[Brand]])</f>
        <v>10950150</v>
      </c>
      <c r="S1180" s="13">
        <f>SUMIF(H:H,Online_eCommerce[[#This Row],[Brand]],M:M)</f>
        <v>14235195</v>
      </c>
      <c r="T1180" s="13">
        <f>SUMIF(N:N,Online_eCommerce[[#This Row],[Assigned Supervisor]],L:L)</f>
        <v>12100590</v>
      </c>
    </row>
    <row r="1181" spans="1:20" hidden="1" x14ac:dyDescent="0.3">
      <c r="A1181" t="s">
        <v>1793</v>
      </c>
      <c r="B1181" t="s">
        <v>283</v>
      </c>
      <c r="C1181" t="s">
        <v>38</v>
      </c>
      <c r="D1181" t="s">
        <v>1786</v>
      </c>
      <c r="E1181" t="s">
        <v>161</v>
      </c>
      <c r="F1181" t="s">
        <v>1753</v>
      </c>
      <c r="G1181" t="s">
        <v>77</v>
      </c>
      <c r="H1181" t="s">
        <v>142</v>
      </c>
      <c r="I1181">
        <v>6500</v>
      </c>
      <c r="J1181">
        <v>8450</v>
      </c>
      <c r="K1181">
        <v>3</v>
      </c>
      <c r="L1181">
        <v>19500</v>
      </c>
      <c r="M1181">
        <v>25350</v>
      </c>
      <c r="N1181" t="s">
        <v>56</v>
      </c>
      <c r="O1181">
        <f t="shared" si="36"/>
        <v>39000</v>
      </c>
      <c r="P1181" s="13">
        <f t="shared" si="37"/>
        <v>1933997</v>
      </c>
      <c r="Q1181" s="13">
        <f>SUMIFS(M:M,E:E,Online_eCommerce[[#This Row],[Status]])</f>
        <v>21103186</v>
      </c>
      <c r="R1181" s="13">
        <f>SUMIFS(L:L,H:H,Online_eCommerce[[#This Row],[Brand]])</f>
        <v>6192500</v>
      </c>
      <c r="S1181" s="13">
        <f>SUMIF(H:H,Online_eCommerce[[#This Row],[Brand]],M:M)</f>
        <v>8050250</v>
      </c>
      <c r="T1181" s="13">
        <f>SUMIF(N:N,Online_eCommerce[[#This Row],[Assigned Supervisor]],L:L)</f>
        <v>11733610</v>
      </c>
    </row>
    <row r="1182" spans="1:20" x14ac:dyDescent="0.3">
      <c r="A1182" t="s">
        <v>1794</v>
      </c>
      <c r="B1182" t="s">
        <v>287</v>
      </c>
      <c r="C1182" t="s">
        <v>45</v>
      </c>
      <c r="D1182" t="s">
        <v>1786</v>
      </c>
      <c r="E1182" t="s">
        <v>46</v>
      </c>
      <c r="F1182" t="s">
        <v>1795</v>
      </c>
      <c r="G1182" t="s">
        <v>20</v>
      </c>
      <c r="H1182" t="s">
        <v>21</v>
      </c>
      <c r="I1182">
        <v>4500</v>
      </c>
      <c r="J1182">
        <v>5850</v>
      </c>
      <c r="K1182">
        <v>1</v>
      </c>
      <c r="L1182">
        <v>4500</v>
      </c>
      <c r="M1182">
        <v>5850</v>
      </c>
      <c r="N1182" t="s">
        <v>22</v>
      </c>
      <c r="O1182">
        <f t="shared" si="36"/>
        <v>8450</v>
      </c>
      <c r="P1182" s="13">
        <f t="shared" si="37"/>
        <v>2842554</v>
      </c>
      <c r="Q1182" s="13">
        <f>SUMIFS(M:M,E:E,Online_eCommerce[[#This Row],[Status]])</f>
        <v>28620410</v>
      </c>
      <c r="R1182" s="13">
        <f>SUMIFS(L:L,H:H,Online_eCommerce[[#This Row],[Brand]])</f>
        <v>12435650</v>
      </c>
      <c r="S1182" s="13">
        <f>SUMIF(H:H,Online_eCommerce[[#This Row],[Brand]],M:M)</f>
        <v>16166345</v>
      </c>
      <c r="T1182" s="13">
        <f>SUMIF(N:N,Online_eCommerce[[#This Row],[Assigned Supervisor]],L:L)</f>
        <v>13693220</v>
      </c>
    </row>
    <row r="1183" spans="1:20" hidden="1" x14ac:dyDescent="0.3">
      <c r="A1183" t="s">
        <v>1796</v>
      </c>
      <c r="B1183" t="s">
        <v>290</v>
      </c>
      <c r="C1183" t="s">
        <v>52</v>
      </c>
      <c r="D1183" t="s">
        <v>1786</v>
      </c>
      <c r="E1183" t="s">
        <v>96</v>
      </c>
      <c r="F1183" t="s">
        <v>152</v>
      </c>
      <c r="G1183" t="s">
        <v>26</v>
      </c>
      <c r="H1183" t="s">
        <v>27</v>
      </c>
      <c r="I1183">
        <v>8500</v>
      </c>
      <c r="J1183">
        <v>11050</v>
      </c>
      <c r="K1183">
        <v>4</v>
      </c>
      <c r="L1183">
        <v>34000</v>
      </c>
      <c r="M1183">
        <v>44200</v>
      </c>
      <c r="N1183" t="s">
        <v>28</v>
      </c>
      <c r="O1183">
        <f t="shared" si="36"/>
        <v>33150</v>
      </c>
      <c r="P1183" s="13">
        <f t="shared" si="37"/>
        <v>1955044</v>
      </c>
      <c r="Q1183" s="13">
        <f>SUMIFS(M:M,E:E,Online_eCommerce[[#This Row],[Status]])</f>
        <v>21233992</v>
      </c>
      <c r="R1183" s="13">
        <f>SUMIFS(L:L,H:H,Online_eCommerce[[#This Row],[Brand]])</f>
        <v>14431000</v>
      </c>
      <c r="S1183" s="13">
        <f>SUMIF(H:H,Online_eCommerce[[#This Row],[Brand]],M:M)</f>
        <v>18760300</v>
      </c>
      <c r="T1183" s="13">
        <f>SUMIF(N:N,Online_eCommerce[[#This Row],[Assigned Supervisor]],L:L)</f>
        <v>12220830</v>
      </c>
    </row>
    <row r="1184" spans="1:20" hidden="1" x14ac:dyDescent="0.3">
      <c r="A1184" t="s">
        <v>1797</v>
      </c>
      <c r="B1184" t="s">
        <v>15</v>
      </c>
      <c r="C1184" t="s">
        <v>58</v>
      </c>
      <c r="D1184" t="s">
        <v>1786</v>
      </c>
      <c r="E1184" t="s">
        <v>18</v>
      </c>
      <c r="F1184" t="s">
        <v>157</v>
      </c>
      <c r="G1184" t="s">
        <v>33</v>
      </c>
      <c r="H1184" t="s">
        <v>34</v>
      </c>
      <c r="I1184">
        <v>12500</v>
      </c>
      <c r="J1184">
        <v>16250</v>
      </c>
      <c r="K1184">
        <v>4</v>
      </c>
      <c r="L1184">
        <v>50000</v>
      </c>
      <c r="M1184">
        <v>65000</v>
      </c>
      <c r="N1184" t="s">
        <v>35</v>
      </c>
      <c r="O1184">
        <f t="shared" si="36"/>
        <v>18200</v>
      </c>
      <c r="P1184" s="13">
        <f t="shared" si="37"/>
        <v>2629211</v>
      </c>
      <c r="Q1184" s="13">
        <f>SUMIFS(M:M,E:E,Online_eCommerce[[#This Row],[Status]])</f>
        <v>28340455</v>
      </c>
      <c r="R1184" s="13">
        <f>SUMIFS(L:L,H:H,Online_eCommerce[[#This Row],[Brand]])</f>
        <v>10087000</v>
      </c>
      <c r="S1184" s="13">
        <f>SUMIF(H:H,Online_eCommerce[[#This Row],[Brand]],M:M)</f>
        <v>13113100</v>
      </c>
      <c r="T1184" s="13">
        <f>SUMIF(N:N,Online_eCommerce[[#This Row],[Assigned Supervisor]],L:L)</f>
        <v>14373360</v>
      </c>
    </row>
    <row r="1185" spans="1:20" hidden="1" x14ac:dyDescent="0.3">
      <c r="A1185" t="s">
        <v>1798</v>
      </c>
      <c r="B1185" t="s">
        <v>202</v>
      </c>
      <c r="C1185" t="s">
        <v>63</v>
      </c>
      <c r="D1185" t="s">
        <v>1786</v>
      </c>
      <c r="E1185" t="s">
        <v>161</v>
      </c>
      <c r="F1185" t="s">
        <v>1420</v>
      </c>
      <c r="G1185" t="s">
        <v>256</v>
      </c>
      <c r="H1185" t="s">
        <v>41</v>
      </c>
      <c r="I1185">
        <v>3500</v>
      </c>
      <c r="J1185">
        <v>4550</v>
      </c>
      <c r="K1185">
        <v>3</v>
      </c>
      <c r="L1185">
        <v>10500</v>
      </c>
      <c r="M1185">
        <v>13650</v>
      </c>
      <c r="N1185" t="s">
        <v>42</v>
      </c>
      <c r="O1185">
        <f t="shared" si="36"/>
        <v>9100</v>
      </c>
      <c r="P1185" s="13">
        <f t="shared" si="37"/>
        <v>2016131</v>
      </c>
      <c r="Q1185" s="13">
        <f>SUMIFS(M:M,E:E,Online_eCommerce[[#This Row],[Status]])</f>
        <v>21103186</v>
      </c>
      <c r="R1185" s="13">
        <f>SUMIFS(L:L,H:H,Online_eCommerce[[#This Row],[Brand]])</f>
        <v>4260400</v>
      </c>
      <c r="S1185" s="13">
        <f>SUMIF(H:H,Online_eCommerce[[#This Row],[Brand]],M:M)</f>
        <v>5538520</v>
      </c>
      <c r="T1185" s="13">
        <f>SUMIF(N:N,Online_eCommerce[[#This Row],[Assigned Supervisor]],L:L)</f>
        <v>12261500</v>
      </c>
    </row>
    <row r="1186" spans="1:20" x14ac:dyDescent="0.3">
      <c r="A1186" t="s">
        <v>1799</v>
      </c>
      <c r="B1186" t="s">
        <v>30</v>
      </c>
      <c r="C1186" t="s">
        <v>68</v>
      </c>
      <c r="D1186" t="s">
        <v>1786</v>
      </c>
      <c r="E1186" t="s">
        <v>46</v>
      </c>
      <c r="F1186" t="s">
        <v>166</v>
      </c>
      <c r="G1186" t="s">
        <v>259</v>
      </c>
      <c r="H1186" t="s">
        <v>49</v>
      </c>
      <c r="I1186">
        <v>4500</v>
      </c>
      <c r="J1186">
        <v>5850</v>
      </c>
      <c r="K1186">
        <v>4</v>
      </c>
      <c r="L1186">
        <v>18000</v>
      </c>
      <c r="M1186">
        <v>23400</v>
      </c>
      <c r="N1186" t="s">
        <v>50</v>
      </c>
      <c r="O1186">
        <f t="shared" si="36"/>
        <v>11700</v>
      </c>
      <c r="P1186" s="13">
        <f t="shared" si="37"/>
        <v>2974621</v>
      </c>
      <c r="Q1186" s="13">
        <f>SUMIFS(M:M,E:E,Online_eCommerce[[#This Row],[Status]])</f>
        <v>28620410</v>
      </c>
      <c r="R1186" s="13">
        <f>SUMIFS(L:L,H:H,Online_eCommerce[[#This Row],[Brand]])</f>
        <v>4528350</v>
      </c>
      <c r="S1186" s="13">
        <f>SUMIF(H:H,Online_eCommerce[[#This Row],[Brand]],M:M)</f>
        <v>5886855</v>
      </c>
      <c r="T1186" s="13">
        <f>SUMIF(N:N,Online_eCommerce[[#This Row],[Assigned Supervisor]],L:L)</f>
        <v>12100590</v>
      </c>
    </row>
    <row r="1187" spans="1:20" hidden="1" x14ac:dyDescent="0.3">
      <c r="A1187" t="s">
        <v>1800</v>
      </c>
      <c r="B1187" t="s">
        <v>37</v>
      </c>
      <c r="C1187" t="s">
        <v>74</v>
      </c>
      <c r="D1187" t="s">
        <v>1786</v>
      </c>
      <c r="E1187" t="s">
        <v>96</v>
      </c>
      <c r="F1187" t="s">
        <v>1801</v>
      </c>
      <c r="G1187" t="s">
        <v>54</v>
      </c>
      <c r="H1187" t="s">
        <v>55</v>
      </c>
      <c r="I1187">
        <v>2100</v>
      </c>
      <c r="J1187">
        <v>2730</v>
      </c>
      <c r="K1187">
        <v>1</v>
      </c>
      <c r="L1187">
        <v>2100</v>
      </c>
      <c r="M1187">
        <v>2730</v>
      </c>
      <c r="N1187" t="s">
        <v>56</v>
      </c>
      <c r="O1187">
        <f t="shared" si="36"/>
        <v>2990</v>
      </c>
      <c r="P1187" s="13">
        <f t="shared" si="37"/>
        <v>2144701</v>
      </c>
      <c r="Q1187" s="13">
        <f>SUMIFS(M:M,E:E,Online_eCommerce[[#This Row],[Status]])</f>
        <v>21233992</v>
      </c>
      <c r="R1187" s="13">
        <f>SUMIFS(L:L,H:H,Online_eCommerce[[#This Row],[Brand]])</f>
        <v>2267380</v>
      </c>
      <c r="S1187" s="13">
        <f>SUMIF(H:H,Online_eCommerce[[#This Row],[Brand]],M:M)</f>
        <v>2947594</v>
      </c>
      <c r="T1187" s="13">
        <f>SUMIF(N:N,Online_eCommerce[[#This Row],[Assigned Supervisor]],L:L)</f>
        <v>11733610</v>
      </c>
    </row>
    <row r="1188" spans="1:20" hidden="1" x14ac:dyDescent="0.3">
      <c r="A1188" t="s">
        <v>1802</v>
      </c>
      <c r="B1188" t="s">
        <v>37</v>
      </c>
      <c r="C1188" t="s">
        <v>81</v>
      </c>
      <c r="D1188" t="s">
        <v>1786</v>
      </c>
      <c r="E1188" t="s">
        <v>18</v>
      </c>
      <c r="F1188" t="s">
        <v>174</v>
      </c>
      <c r="G1188" t="s">
        <v>60</v>
      </c>
      <c r="H1188" t="s">
        <v>61</v>
      </c>
      <c r="I1188">
        <v>1150</v>
      </c>
      <c r="J1188">
        <v>1495</v>
      </c>
      <c r="K1188">
        <v>3</v>
      </c>
      <c r="L1188">
        <v>3450</v>
      </c>
      <c r="M1188">
        <v>4485</v>
      </c>
      <c r="N1188" t="s">
        <v>22</v>
      </c>
      <c r="O1188">
        <f t="shared" si="36"/>
        <v>3315</v>
      </c>
      <c r="P1188" s="13">
        <f t="shared" si="37"/>
        <v>2595632</v>
      </c>
      <c r="Q1188" s="13">
        <f>SUMIFS(M:M,E:E,Online_eCommerce[[#This Row],[Status]])</f>
        <v>28340455</v>
      </c>
      <c r="R1188" s="13">
        <f>SUMIFS(L:L,H:H,Online_eCommerce[[#This Row],[Brand]])</f>
        <v>10950150</v>
      </c>
      <c r="S1188" s="13">
        <f>SUMIF(H:H,Online_eCommerce[[#This Row],[Brand]],M:M)</f>
        <v>14235195</v>
      </c>
      <c r="T1188" s="13">
        <f>SUMIF(N:N,Online_eCommerce[[#This Row],[Assigned Supervisor]],L:L)</f>
        <v>13693220</v>
      </c>
    </row>
    <row r="1189" spans="1:20" hidden="1" x14ac:dyDescent="0.3">
      <c r="A1189" t="s">
        <v>1803</v>
      </c>
      <c r="B1189" t="s">
        <v>37</v>
      </c>
      <c r="C1189" t="s">
        <v>86</v>
      </c>
      <c r="D1189" t="s">
        <v>1804</v>
      </c>
      <c r="E1189" t="s">
        <v>161</v>
      </c>
      <c r="F1189" t="s">
        <v>179</v>
      </c>
      <c r="G1189" t="s">
        <v>66</v>
      </c>
      <c r="H1189" t="s">
        <v>21</v>
      </c>
      <c r="I1189">
        <v>350</v>
      </c>
      <c r="J1189">
        <v>455</v>
      </c>
      <c r="K1189">
        <v>2</v>
      </c>
      <c r="L1189">
        <v>700</v>
      </c>
      <c r="M1189">
        <v>910</v>
      </c>
      <c r="N1189" t="s">
        <v>28</v>
      </c>
      <c r="O1189">
        <f t="shared" si="36"/>
        <v>1690</v>
      </c>
      <c r="P1189" s="13">
        <f t="shared" si="37"/>
        <v>1941225</v>
      </c>
      <c r="Q1189" s="13">
        <f>SUMIFS(M:M,E:E,Online_eCommerce[[#This Row],[Status]])</f>
        <v>21103186</v>
      </c>
      <c r="R1189" s="13">
        <f>SUMIFS(L:L,H:H,Online_eCommerce[[#This Row],[Brand]])</f>
        <v>12435650</v>
      </c>
      <c r="S1189" s="13">
        <f>SUMIF(H:H,Online_eCommerce[[#This Row],[Brand]],M:M)</f>
        <v>16166345</v>
      </c>
      <c r="T1189" s="13">
        <f>SUMIF(N:N,Online_eCommerce[[#This Row],[Assigned Supervisor]],L:L)</f>
        <v>12220830</v>
      </c>
    </row>
    <row r="1190" spans="1:20" x14ac:dyDescent="0.3">
      <c r="A1190" t="s">
        <v>1805</v>
      </c>
      <c r="B1190" t="s">
        <v>37</v>
      </c>
      <c r="C1190" t="s">
        <v>91</v>
      </c>
      <c r="D1190" t="s">
        <v>1804</v>
      </c>
      <c r="E1190" t="s">
        <v>46</v>
      </c>
      <c r="F1190" t="s">
        <v>183</v>
      </c>
      <c r="G1190" t="s">
        <v>71</v>
      </c>
      <c r="H1190" t="s">
        <v>61</v>
      </c>
      <c r="I1190">
        <v>9500</v>
      </c>
      <c r="J1190">
        <v>12350</v>
      </c>
      <c r="K1190">
        <v>4</v>
      </c>
      <c r="L1190">
        <v>38000</v>
      </c>
      <c r="M1190">
        <v>49400</v>
      </c>
      <c r="N1190" t="s">
        <v>35</v>
      </c>
      <c r="O1190">
        <f t="shared" si="36"/>
        <v>9750</v>
      </c>
      <c r="P1190" s="13">
        <f t="shared" si="37"/>
        <v>2731963</v>
      </c>
      <c r="Q1190" s="13">
        <f>SUMIFS(M:M,E:E,Online_eCommerce[[#This Row],[Status]])</f>
        <v>28620410</v>
      </c>
      <c r="R1190" s="13">
        <f>SUMIFS(L:L,H:H,Online_eCommerce[[#This Row],[Brand]])</f>
        <v>10950150</v>
      </c>
      <c r="S1190" s="13">
        <f>SUMIF(H:H,Online_eCommerce[[#This Row],[Brand]],M:M)</f>
        <v>14235195</v>
      </c>
      <c r="T1190" s="13">
        <f>SUMIF(N:N,Online_eCommerce[[#This Row],[Assigned Supervisor]],L:L)</f>
        <v>14373360</v>
      </c>
    </row>
    <row r="1191" spans="1:20" hidden="1" x14ac:dyDescent="0.3">
      <c r="A1191" t="s">
        <v>1806</v>
      </c>
      <c r="B1191" t="s">
        <v>37</v>
      </c>
      <c r="C1191" t="s">
        <v>94</v>
      </c>
      <c r="D1191" t="s">
        <v>1804</v>
      </c>
      <c r="E1191" t="s">
        <v>96</v>
      </c>
      <c r="F1191" t="s">
        <v>1807</v>
      </c>
      <c r="G1191" t="s">
        <v>77</v>
      </c>
      <c r="H1191" t="s">
        <v>142</v>
      </c>
      <c r="I1191">
        <v>10000</v>
      </c>
      <c r="J1191">
        <v>13000</v>
      </c>
      <c r="K1191">
        <v>3</v>
      </c>
      <c r="L1191">
        <v>30000</v>
      </c>
      <c r="M1191">
        <v>39000</v>
      </c>
      <c r="N1191" t="s">
        <v>42</v>
      </c>
      <c r="O1191">
        <f t="shared" si="36"/>
        <v>39000</v>
      </c>
      <c r="P1191" s="13">
        <f t="shared" si="37"/>
        <v>1868256</v>
      </c>
      <c r="Q1191" s="13">
        <f>SUMIFS(M:M,E:E,Online_eCommerce[[#This Row],[Status]])</f>
        <v>21233992</v>
      </c>
      <c r="R1191" s="13">
        <f>SUMIFS(L:L,H:H,Online_eCommerce[[#This Row],[Brand]])</f>
        <v>6192500</v>
      </c>
      <c r="S1191" s="13">
        <f>SUMIF(H:H,Online_eCommerce[[#This Row],[Brand]],M:M)</f>
        <v>8050250</v>
      </c>
      <c r="T1191" s="13">
        <f>SUMIF(N:N,Online_eCommerce[[#This Row],[Assigned Supervisor]],L:L)</f>
        <v>12261500</v>
      </c>
    </row>
    <row r="1192" spans="1:20" hidden="1" x14ac:dyDescent="0.3">
      <c r="A1192" t="s">
        <v>1808</v>
      </c>
      <c r="B1192" t="s">
        <v>37</v>
      </c>
      <c r="C1192" t="s">
        <v>99</v>
      </c>
      <c r="D1192" t="s">
        <v>1804</v>
      </c>
      <c r="E1192" t="s">
        <v>18</v>
      </c>
      <c r="F1192" t="s">
        <v>1809</v>
      </c>
      <c r="G1192" t="s">
        <v>20</v>
      </c>
      <c r="H1192" t="s">
        <v>21</v>
      </c>
      <c r="I1192">
        <v>6500</v>
      </c>
      <c r="J1192">
        <v>8450</v>
      </c>
      <c r="K1192">
        <v>2</v>
      </c>
      <c r="L1192">
        <v>13000</v>
      </c>
      <c r="M1192">
        <v>16900</v>
      </c>
      <c r="N1192" t="s">
        <v>50</v>
      </c>
      <c r="O1192">
        <f t="shared" si="36"/>
        <v>8450</v>
      </c>
      <c r="P1192" s="13">
        <f t="shared" si="37"/>
        <v>2651233</v>
      </c>
      <c r="Q1192" s="13">
        <f>SUMIFS(M:M,E:E,Online_eCommerce[[#This Row],[Status]])</f>
        <v>28340455</v>
      </c>
      <c r="R1192" s="13">
        <f>SUMIFS(L:L,H:H,Online_eCommerce[[#This Row],[Brand]])</f>
        <v>12435650</v>
      </c>
      <c r="S1192" s="13">
        <f>SUMIF(H:H,Online_eCommerce[[#This Row],[Brand]],M:M)</f>
        <v>16166345</v>
      </c>
      <c r="T1192" s="13">
        <f>SUMIF(N:N,Online_eCommerce[[#This Row],[Assigned Supervisor]],L:L)</f>
        <v>12100590</v>
      </c>
    </row>
    <row r="1193" spans="1:20" hidden="1" x14ac:dyDescent="0.3">
      <c r="A1193" t="s">
        <v>1810</v>
      </c>
      <c r="B1193" t="s">
        <v>37</v>
      </c>
      <c r="C1193" t="s">
        <v>105</v>
      </c>
      <c r="D1193" t="s">
        <v>1804</v>
      </c>
      <c r="E1193" t="s">
        <v>161</v>
      </c>
      <c r="F1193" t="s">
        <v>1811</v>
      </c>
      <c r="G1193" t="s">
        <v>26</v>
      </c>
      <c r="H1193" t="s">
        <v>27</v>
      </c>
      <c r="I1193">
        <v>8500</v>
      </c>
      <c r="J1193">
        <v>11050</v>
      </c>
      <c r="K1193">
        <v>2</v>
      </c>
      <c r="L1193">
        <v>17000</v>
      </c>
      <c r="M1193">
        <v>22100</v>
      </c>
      <c r="N1193" t="s">
        <v>56</v>
      </c>
      <c r="O1193">
        <f t="shared" si="36"/>
        <v>33150</v>
      </c>
      <c r="P1193" s="13">
        <f t="shared" si="37"/>
        <v>1866852</v>
      </c>
      <c r="Q1193" s="13">
        <f>SUMIFS(M:M,E:E,Online_eCommerce[[#This Row],[Status]])</f>
        <v>21103186</v>
      </c>
      <c r="R1193" s="13">
        <f>SUMIFS(L:L,H:H,Online_eCommerce[[#This Row],[Brand]])</f>
        <v>14431000</v>
      </c>
      <c r="S1193" s="13">
        <f>SUMIF(H:H,Online_eCommerce[[#This Row],[Brand]],M:M)</f>
        <v>18760300</v>
      </c>
      <c r="T1193" s="13">
        <f>SUMIF(N:N,Online_eCommerce[[#This Row],[Assigned Supervisor]],L:L)</f>
        <v>11733610</v>
      </c>
    </row>
    <row r="1194" spans="1:20" x14ac:dyDescent="0.3">
      <c r="A1194" t="s">
        <v>1812</v>
      </c>
      <c r="B1194" t="s">
        <v>37</v>
      </c>
      <c r="C1194" t="s">
        <v>110</v>
      </c>
      <c r="D1194" t="s">
        <v>1804</v>
      </c>
      <c r="E1194" t="s">
        <v>46</v>
      </c>
      <c r="F1194" t="s">
        <v>32</v>
      </c>
      <c r="G1194" t="s">
        <v>33</v>
      </c>
      <c r="H1194" t="s">
        <v>34</v>
      </c>
      <c r="I1194">
        <v>7000</v>
      </c>
      <c r="J1194">
        <v>9100</v>
      </c>
      <c r="K1194">
        <v>1</v>
      </c>
      <c r="L1194">
        <v>7000</v>
      </c>
      <c r="M1194">
        <v>9100</v>
      </c>
      <c r="N1194" t="s">
        <v>22</v>
      </c>
      <c r="O1194">
        <f t="shared" si="36"/>
        <v>18200</v>
      </c>
      <c r="P1194" s="13">
        <f t="shared" si="37"/>
        <v>2598635</v>
      </c>
      <c r="Q1194" s="13">
        <f>SUMIFS(M:M,E:E,Online_eCommerce[[#This Row],[Status]])</f>
        <v>28620410</v>
      </c>
      <c r="R1194" s="13">
        <f>SUMIFS(L:L,H:H,Online_eCommerce[[#This Row],[Brand]])</f>
        <v>10087000</v>
      </c>
      <c r="S1194" s="13">
        <f>SUMIF(H:H,Online_eCommerce[[#This Row],[Brand]],M:M)</f>
        <v>13113100</v>
      </c>
      <c r="T1194" s="13">
        <f>SUMIF(N:N,Online_eCommerce[[#This Row],[Assigned Supervisor]],L:L)</f>
        <v>13693220</v>
      </c>
    </row>
    <row r="1195" spans="1:20" hidden="1" x14ac:dyDescent="0.3">
      <c r="A1195" t="s">
        <v>1813</v>
      </c>
      <c r="B1195" t="s">
        <v>37</v>
      </c>
      <c r="C1195" t="s">
        <v>115</v>
      </c>
      <c r="D1195" t="s">
        <v>1804</v>
      </c>
      <c r="E1195" t="s">
        <v>96</v>
      </c>
      <c r="F1195" t="s">
        <v>1814</v>
      </c>
      <c r="G1195" t="s">
        <v>256</v>
      </c>
      <c r="H1195" t="s">
        <v>41</v>
      </c>
      <c r="I1195">
        <v>6550</v>
      </c>
      <c r="J1195">
        <v>8515</v>
      </c>
      <c r="K1195">
        <v>3</v>
      </c>
      <c r="L1195">
        <v>19650</v>
      </c>
      <c r="M1195">
        <v>25545</v>
      </c>
      <c r="N1195" t="s">
        <v>28</v>
      </c>
      <c r="O1195">
        <f t="shared" si="36"/>
        <v>9100</v>
      </c>
      <c r="P1195" s="13">
        <f t="shared" si="37"/>
        <v>2050178</v>
      </c>
      <c r="Q1195" s="13">
        <f>SUMIFS(M:M,E:E,Online_eCommerce[[#This Row],[Status]])</f>
        <v>21233992</v>
      </c>
      <c r="R1195" s="13">
        <f>SUMIFS(L:L,H:H,Online_eCommerce[[#This Row],[Brand]])</f>
        <v>4260400</v>
      </c>
      <c r="S1195" s="13">
        <f>SUMIF(H:H,Online_eCommerce[[#This Row],[Brand]],M:M)</f>
        <v>5538520</v>
      </c>
      <c r="T1195" s="13">
        <f>SUMIF(N:N,Online_eCommerce[[#This Row],[Assigned Supervisor]],L:L)</f>
        <v>12220830</v>
      </c>
    </row>
    <row r="1196" spans="1:20" hidden="1" x14ac:dyDescent="0.3">
      <c r="A1196" t="s">
        <v>1815</v>
      </c>
      <c r="B1196" t="s">
        <v>37</v>
      </c>
      <c r="C1196" t="s">
        <v>120</v>
      </c>
      <c r="D1196" t="s">
        <v>1804</v>
      </c>
      <c r="E1196" t="s">
        <v>18</v>
      </c>
      <c r="F1196" t="s">
        <v>47</v>
      </c>
      <c r="G1196" t="s">
        <v>259</v>
      </c>
      <c r="H1196" t="s">
        <v>49</v>
      </c>
      <c r="I1196">
        <v>7650</v>
      </c>
      <c r="J1196">
        <v>9945</v>
      </c>
      <c r="K1196">
        <v>2</v>
      </c>
      <c r="L1196">
        <v>15300</v>
      </c>
      <c r="M1196">
        <v>19890</v>
      </c>
      <c r="N1196" t="s">
        <v>35</v>
      </c>
      <c r="O1196">
        <f t="shared" si="36"/>
        <v>11700</v>
      </c>
      <c r="P1196" s="13">
        <f t="shared" si="37"/>
        <v>2734212</v>
      </c>
      <c r="Q1196" s="13">
        <f>SUMIFS(M:M,E:E,Online_eCommerce[[#This Row],[Status]])</f>
        <v>28340455</v>
      </c>
      <c r="R1196" s="13">
        <f>SUMIFS(L:L,H:H,Online_eCommerce[[#This Row],[Brand]])</f>
        <v>4528350</v>
      </c>
      <c r="S1196" s="13">
        <f>SUMIF(H:H,Online_eCommerce[[#This Row],[Brand]],M:M)</f>
        <v>5886855</v>
      </c>
      <c r="T1196" s="13">
        <f>SUMIF(N:N,Online_eCommerce[[#This Row],[Assigned Supervisor]],L:L)</f>
        <v>14373360</v>
      </c>
    </row>
    <row r="1197" spans="1:20" hidden="1" x14ac:dyDescent="0.3">
      <c r="A1197" t="s">
        <v>1816</v>
      </c>
      <c r="B1197" t="s">
        <v>37</v>
      </c>
      <c r="C1197" t="s">
        <v>125</v>
      </c>
      <c r="D1197" t="s">
        <v>1804</v>
      </c>
      <c r="E1197" t="s">
        <v>161</v>
      </c>
      <c r="F1197" t="s">
        <v>53</v>
      </c>
      <c r="G1197" t="s">
        <v>54</v>
      </c>
      <c r="H1197" t="s">
        <v>55</v>
      </c>
      <c r="I1197">
        <v>1150</v>
      </c>
      <c r="J1197">
        <v>1495</v>
      </c>
      <c r="K1197">
        <v>2</v>
      </c>
      <c r="L1197">
        <v>2300</v>
      </c>
      <c r="M1197">
        <v>2990</v>
      </c>
      <c r="N1197" t="s">
        <v>42</v>
      </c>
      <c r="O1197">
        <f t="shared" si="36"/>
        <v>2990</v>
      </c>
      <c r="P1197" s="13">
        <f t="shared" si="37"/>
        <v>2091154</v>
      </c>
      <c r="Q1197" s="13">
        <f>SUMIFS(M:M,E:E,Online_eCommerce[[#This Row],[Status]])</f>
        <v>21103186</v>
      </c>
      <c r="R1197" s="13">
        <f>SUMIFS(L:L,H:H,Online_eCommerce[[#This Row],[Brand]])</f>
        <v>2267380</v>
      </c>
      <c r="S1197" s="13">
        <f>SUMIF(H:H,Online_eCommerce[[#This Row],[Brand]],M:M)</f>
        <v>2947594</v>
      </c>
      <c r="T1197" s="13">
        <f>SUMIF(N:N,Online_eCommerce[[#This Row],[Assigned Supervisor]],L:L)</f>
        <v>12261500</v>
      </c>
    </row>
    <row r="1198" spans="1:20" x14ac:dyDescent="0.3">
      <c r="A1198" t="s">
        <v>1817</v>
      </c>
      <c r="B1198" t="s">
        <v>37</v>
      </c>
      <c r="C1198" t="s">
        <v>22</v>
      </c>
      <c r="D1198" t="s">
        <v>1804</v>
      </c>
      <c r="E1198" t="s">
        <v>46</v>
      </c>
      <c r="F1198" t="s">
        <v>59</v>
      </c>
      <c r="G1198" t="s">
        <v>60</v>
      </c>
      <c r="H1198" t="s">
        <v>61</v>
      </c>
      <c r="I1198">
        <v>850</v>
      </c>
      <c r="J1198">
        <v>1105</v>
      </c>
      <c r="K1198">
        <v>4</v>
      </c>
      <c r="L1198">
        <v>3400</v>
      </c>
      <c r="M1198">
        <v>4420</v>
      </c>
      <c r="N1198" t="s">
        <v>50</v>
      </c>
      <c r="O1198">
        <f t="shared" si="36"/>
        <v>3315</v>
      </c>
      <c r="P1198" s="13">
        <f t="shared" si="37"/>
        <v>2551588</v>
      </c>
      <c r="Q1198" s="13">
        <f>SUMIFS(M:M,E:E,Online_eCommerce[[#This Row],[Status]])</f>
        <v>28620410</v>
      </c>
      <c r="R1198" s="13">
        <f>SUMIFS(L:L,H:H,Online_eCommerce[[#This Row],[Brand]])</f>
        <v>10950150</v>
      </c>
      <c r="S1198" s="13">
        <f>SUMIF(H:H,Online_eCommerce[[#This Row],[Brand]],M:M)</f>
        <v>14235195</v>
      </c>
      <c r="T1198" s="13">
        <f>SUMIF(N:N,Online_eCommerce[[#This Row],[Assigned Supervisor]],L:L)</f>
        <v>12100590</v>
      </c>
    </row>
    <row r="1199" spans="1:20" hidden="1" x14ac:dyDescent="0.3">
      <c r="A1199" t="s">
        <v>1818</v>
      </c>
      <c r="B1199" t="s">
        <v>37</v>
      </c>
      <c r="C1199" t="s">
        <v>132</v>
      </c>
      <c r="D1199" t="s">
        <v>1819</v>
      </c>
      <c r="E1199" t="s">
        <v>96</v>
      </c>
      <c r="F1199" t="s">
        <v>65</v>
      </c>
      <c r="G1199" t="s">
        <v>66</v>
      </c>
      <c r="H1199" t="s">
        <v>21</v>
      </c>
      <c r="I1199">
        <v>650</v>
      </c>
      <c r="J1199">
        <v>845</v>
      </c>
      <c r="K1199">
        <v>2</v>
      </c>
      <c r="L1199">
        <v>1300</v>
      </c>
      <c r="M1199">
        <v>1690</v>
      </c>
      <c r="N1199" t="s">
        <v>56</v>
      </c>
      <c r="O1199">
        <f t="shared" si="36"/>
        <v>1690</v>
      </c>
      <c r="P1199" s="13">
        <f t="shared" si="37"/>
        <v>1989065</v>
      </c>
      <c r="Q1199" s="13">
        <f>SUMIFS(M:M,E:E,Online_eCommerce[[#This Row],[Status]])</f>
        <v>21233992</v>
      </c>
      <c r="R1199" s="13">
        <f>SUMIFS(L:L,H:H,Online_eCommerce[[#This Row],[Brand]])</f>
        <v>12435650</v>
      </c>
      <c r="S1199" s="13">
        <f>SUMIF(H:H,Online_eCommerce[[#This Row],[Brand]],M:M)</f>
        <v>16166345</v>
      </c>
      <c r="T1199" s="13">
        <f>SUMIF(N:N,Online_eCommerce[[#This Row],[Assigned Supervisor]],L:L)</f>
        <v>11733610</v>
      </c>
    </row>
    <row r="1200" spans="1:20" hidden="1" x14ac:dyDescent="0.3">
      <c r="A1200" t="s">
        <v>1820</v>
      </c>
      <c r="B1200" t="s">
        <v>37</v>
      </c>
      <c r="C1200" t="s">
        <v>136</v>
      </c>
      <c r="D1200" t="s">
        <v>1821</v>
      </c>
      <c r="E1200" t="s">
        <v>18</v>
      </c>
      <c r="F1200" t="s">
        <v>70</v>
      </c>
      <c r="G1200" t="s">
        <v>71</v>
      </c>
      <c r="H1200" t="s">
        <v>61</v>
      </c>
      <c r="I1200">
        <v>7500</v>
      </c>
      <c r="J1200">
        <v>9750</v>
      </c>
      <c r="K1200">
        <v>4</v>
      </c>
      <c r="L1200">
        <v>30000</v>
      </c>
      <c r="M1200">
        <v>39000</v>
      </c>
      <c r="N1200" t="s">
        <v>22</v>
      </c>
      <c r="O1200">
        <f t="shared" si="36"/>
        <v>9750</v>
      </c>
      <c r="P1200" s="13">
        <f t="shared" si="37"/>
        <v>2775162</v>
      </c>
      <c r="Q1200" s="13">
        <f>SUMIFS(M:M,E:E,Online_eCommerce[[#This Row],[Status]])</f>
        <v>28340455</v>
      </c>
      <c r="R1200" s="13">
        <f>SUMIFS(L:L,H:H,Online_eCommerce[[#This Row],[Brand]])</f>
        <v>10950150</v>
      </c>
      <c r="S1200" s="13">
        <f>SUMIF(H:H,Online_eCommerce[[#This Row],[Brand]],M:M)</f>
        <v>14235195</v>
      </c>
      <c r="T1200" s="13">
        <f>SUMIF(N:N,Online_eCommerce[[#This Row],[Assigned Supervisor]],L:L)</f>
        <v>13693220</v>
      </c>
    </row>
    <row r="1201" spans="1:20" hidden="1" x14ac:dyDescent="0.3">
      <c r="A1201" t="s">
        <v>1822</v>
      </c>
      <c r="B1201" t="s">
        <v>114</v>
      </c>
      <c r="C1201" t="s">
        <v>140</v>
      </c>
      <c r="D1201" t="s">
        <v>1823</v>
      </c>
      <c r="E1201" t="s">
        <v>161</v>
      </c>
      <c r="F1201" t="s">
        <v>1807</v>
      </c>
      <c r="G1201" t="s">
        <v>77</v>
      </c>
      <c r="H1201" t="s">
        <v>78</v>
      </c>
      <c r="I1201">
        <v>10000</v>
      </c>
      <c r="J1201">
        <v>13000</v>
      </c>
      <c r="K1201">
        <v>4</v>
      </c>
      <c r="L1201">
        <v>40000</v>
      </c>
      <c r="M1201">
        <v>52000</v>
      </c>
      <c r="N1201" t="s">
        <v>28</v>
      </c>
      <c r="O1201">
        <f t="shared" si="36"/>
        <v>39000</v>
      </c>
      <c r="P1201" s="13">
        <f t="shared" si="37"/>
        <v>2058264</v>
      </c>
      <c r="Q1201" s="13">
        <f>SUMIFS(M:M,E:E,Online_eCommerce[[#This Row],[Status]])</f>
        <v>21103186</v>
      </c>
      <c r="R1201" s="13">
        <f>SUMIFS(L:L,H:H,Online_eCommerce[[#This Row],[Brand]])</f>
        <v>3720000</v>
      </c>
      <c r="S1201" s="13">
        <f>SUMIF(H:H,Online_eCommerce[[#This Row],[Brand]],M:M)</f>
        <v>4836000</v>
      </c>
      <c r="T1201" s="13">
        <f>SUMIF(N:N,Online_eCommerce[[#This Row],[Assigned Supervisor]],L:L)</f>
        <v>12220830</v>
      </c>
    </row>
    <row r="1202" spans="1:20" x14ac:dyDescent="0.3">
      <c r="A1202" t="s">
        <v>1824</v>
      </c>
      <c r="B1202" t="s">
        <v>119</v>
      </c>
      <c r="C1202" t="s">
        <v>145</v>
      </c>
      <c r="D1202" t="s">
        <v>1825</v>
      </c>
      <c r="E1202" t="s">
        <v>46</v>
      </c>
      <c r="F1202" t="s">
        <v>1826</v>
      </c>
      <c r="G1202" t="s">
        <v>20</v>
      </c>
      <c r="H1202" t="s">
        <v>21</v>
      </c>
      <c r="I1202">
        <v>10500</v>
      </c>
      <c r="J1202">
        <v>13650</v>
      </c>
      <c r="K1202">
        <v>2</v>
      </c>
      <c r="L1202">
        <v>21000</v>
      </c>
      <c r="M1202">
        <v>27300</v>
      </c>
      <c r="N1202" t="s">
        <v>35</v>
      </c>
      <c r="O1202">
        <f t="shared" si="36"/>
        <v>8450</v>
      </c>
      <c r="P1202" s="13">
        <f t="shared" si="37"/>
        <v>2757859</v>
      </c>
      <c r="Q1202" s="13">
        <f>SUMIFS(M:M,E:E,Online_eCommerce[[#This Row],[Status]])</f>
        <v>28620410</v>
      </c>
      <c r="R1202" s="13">
        <f>SUMIFS(L:L,H:H,Online_eCommerce[[#This Row],[Brand]])</f>
        <v>12435650</v>
      </c>
      <c r="S1202" s="13">
        <f>SUMIF(H:H,Online_eCommerce[[#This Row],[Brand]],M:M)</f>
        <v>16166345</v>
      </c>
      <c r="T1202" s="13">
        <f>SUMIF(N:N,Online_eCommerce[[#This Row],[Assigned Supervisor]],L:L)</f>
        <v>14373360</v>
      </c>
    </row>
    <row r="1203" spans="1:20" hidden="1" x14ac:dyDescent="0.3">
      <c r="A1203" t="s">
        <v>1827</v>
      </c>
      <c r="B1203" t="s">
        <v>124</v>
      </c>
      <c r="C1203" t="s">
        <v>150</v>
      </c>
      <c r="D1203" t="s">
        <v>1828</v>
      </c>
      <c r="E1203" t="s">
        <v>96</v>
      </c>
      <c r="F1203" t="s">
        <v>88</v>
      </c>
      <c r="G1203" t="s">
        <v>26</v>
      </c>
      <c r="H1203" t="s">
        <v>27</v>
      </c>
      <c r="I1203">
        <v>8500</v>
      </c>
      <c r="J1203">
        <v>11050</v>
      </c>
      <c r="K1203">
        <v>1</v>
      </c>
      <c r="L1203">
        <v>8500</v>
      </c>
      <c r="M1203">
        <v>11050</v>
      </c>
      <c r="N1203" t="s">
        <v>42</v>
      </c>
      <c r="O1203">
        <f t="shared" si="36"/>
        <v>33150</v>
      </c>
      <c r="P1203" s="13">
        <f t="shared" si="37"/>
        <v>2154984</v>
      </c>
      <c r="Q1203" s="13">
        <f>SUMIFS(M:M,E:E,Online_eCommerce[[#This Row],[Status]])</f>
        <v>21233992</v>
      </c>
      <c r="R1203" s="13">
        <f>SUMIFS(L:L,H:H,Online_eCommerce[[#This Row],[Brand]])</f>
        <v>14431000</v>
      </c>
      <c r="S1203" s="13">
        <f>SUMIF(H:H,Online_eCommerce[[#This Row],[Brand]],M:M)</f>
        <v>18760300</v>
      </c>
      <c r="T1203" s="13">
        <f>SUMIF(N:N,Online_eCommerce[[#This Row],[Assigned Supervisor]],L:L)</f>
        <v>12261500</v>
      </c>
    </row>
    <row r="1204" spans="1:20" hidden="1" x14ac:dyDescent="0.3">
      <c r="A1204" t="s">
        <v>1829</v>
      </c>
      <c r="B1204" t="s">
        <v>128</v>
      </c>
      <c r="C1204" t="s">
        <v>155</v>
      </c>
      <c r="D1204" t="s">
        <v>1830</v>
      </c>
      <c r="E1204" t="s">
        <v>18</v>
      </c>
      <c r="F1204" t="s">
        <v>32</v>
      </c>
      <c r="G1204" t="s">
        <v>33</v>
      </c>
      <c r="H1204" t="s">
        <v>34</v>
      </c>
      <c r="I1204">
        <v>7000</v>
      </c>
      <c r="J1204">
        <v>9100</v>
      </c>
      <c r="K1204">
        <v>4</v>
      </c>
      <c r="L1204">
        <v>28000</v>
      </c>
      <c r="M1204">
        <v>36400</v>
      </c>
      <c r="N1204" t="s">
        <v>50</v>
      </c>
      <c r="O1204">
        <f t="shared" si="36"/>
        <v>18200</v>
      </c>
      <c r="P1204" s="13">
        <f t="shared" si="37"/>
        <v>2753348</v>
      </c>
      <c r="Q1204" s="13">
        <f>SUMIFS(M:M,E:E,Online_eCommerce[[#This Row],[Status]])</f>
        <v>28340455</v>
      </c>
      <c r="R1204" s="13">
        <f>SUMIFS(L:L,H:H,Online_eCommerce[[#This Row],[Brand]])</f>
        <v>10087000</v>
      </c>
      <c r="S1204" s="13">
        <f>SUMIF(H:H,Online_eCommerce[[#This Row],[Brand]],M:M)</f>
        <v>13113100</v>
      </c>
      <c r="T1204" s="13">
        <f>SUMIF(N:N,Online_eCommerce[[#This Row],[Assigned Supervisor]],L:L)</f>
        <v>12100590</v>
      </c>
    </row>
    <row r="1205" spans="1:20" hidden="1" x14ac:dyDescent="0.3">
      <c r="A1205" t="s">
        <v>1831</v>
      </c>
      <c r="B1205" t="s">
        <v>131</v>
      </c>
      <c r="C1205" t="s">
        <v>160</v>
      </c>
      <c r="D1205" t="s">
        <v>1832</v>
      </c>
      <c r="E1205" t="s">
        <v>161</v>
      </c>
      <c r="F1205" t="s">
        <v>1833</v>
      </c>
      <c r="G1205" t="s">
        <v>256</v>
      </c>
      <c r="H1205" t="s">
        <v>41</v>
      </c>
      <c r="I1205">
        <v>1680</v>
      </c>
      <c r="J1205">
        <v>2184</v>
      </c>
      <c r="K1205">
        <v>3</v>
      </c>
      <c r="L1205">
        <v>5040</v>
      </c>
      <c r="M1205">
        <v>6552</v>
      </c>
      <c r="N1205" t="s">
        <v>56</v>
      </c>
      <c r="O1205">
        <f t="shared" si="36"/>
        <v>9100</v>
      </c>
      <c r="P1205" s="13">
        <f t="shared" si="37"/>
        <v>2303483</v>
      </c>
      <c r="Q1205" s="13">
        <f>SUMIFS(M:M,E:E,Online_eCommerce[[#This Row],[Status]])</f>
        <v>21103186</v>
      </c>
      <c r="R1205" s="13">
        <f>SUMIFS(L:L,H:H,Online_eCommerce[[#This Row],[Brand]])</f>
        <v>4260400</v>
      </c>
      <c r="S1205" s="13">
        <f>SUMIF(H:H,Online_eCommerce[[#This Row],[Brand]],M:M)</f>
        <v>5538520</v>
      </c>
      <c r="T1205" s="13">
        <f>SUMIF(N:N,Online_eCommerce[[#This Row],[Assigned Supervisor]],L:L)</f>
        <v>11733610</v>
      </c>
    </row>
    <row r="1206" spans="1:20" x14ac:dyDescent="0.3">
      <c r="A1206" t="s">
        <v>1834</v>
      </c>
      <c r="B1206" t="s">
        <v>135</v>
      </c>
      <c r="C1206" t="s">
        <v>165</v>
      </c>
      <c r="D1206" t="s">
        <v>1835</v>
      </c>
      <c r="E1206" t="s">
        <v>46</v>
      </c>
      <c r="F1206" t="s">
        <v>101</v>
      </c>
      <c r="G1206" t="s">
        <v>259</v>
      </c>
      <c r="H1206" t="s">
        <v>102</v>
      </c>
      <c r="I1206">
        <v>6540</v>
      </c>
      <c r="J1206">
        <v>8502</v>
      </c>
      <c r="K1206">
        <v>1</v>
      </c>
      <c r="L1206">
        <v>6540</v>
      </c>
      <c r="M1206">
        <v>8502</v>
      </c>
      <c r="N1206" t="s">
        <v>22</v>
      </c>
      <c r="O1206">
        <f t="shared" si="36"/>
        <v>11700</v>
      </c>
      <c r="P1206" s="13">
        <f t="shared" si="37"/>
        <v>2674087</v>
      </c>
      <c r="Q1206" s="13">
        <f>SUMIFS(M:M,E:E,Online_eCommerce[[#This Row],[Status]])</f>
        <v>28620410</v>
      </c>
      <c r="R1206" s="13">
        <f>SUMIFS(L:L,H:H,Online_eCommerce[[#This Row],[Brand]])</f>
        <v>2465580</v>
      </c>
      <c r="S1206" s="13">
        <f>SUMIF(H:H,Online_eCommerce[[#This Row],[Brand]],M:M)</f>
        <v>3205254</v>
      </c>
      <c r="T1206" s="13">
        <f>SUMIF(N:N,Online_eCommerce[[#This Row],[Assigned Supervisor]],L:L)</f>
        <v>13693220</v>
      </c>
    </row>
    <row r="1207" spans="1:20" hidden="1" x14ac:dyDescent="0.3">
      <c r="A1207" t="s">
        <v>1836</v>
      </c>
      <c r="B1207" t="s">
        <v>139</v>
      </c>
      <c r="C1207" t="s">
        <v>168</v>
      </c>
      <c r="D1207" t="s">
        <v>1837</v>
      </c>
      <c r="E1207" t="s">
        <v>96</v>
      </c>
      <c r="F1207" t="s">
        <v>107</v>
      </c>
      <c r="G1207" t="s">
        <v>54</v>
      </c>
      <c r="H1207" t="s">
        <v>55</v>
      </c>
      <c r="I1207">
        <v>2680</v>
      </c>
      <c r="J1207">
        <v>3484</v>
      </c>
      <c r="K1207">
        <v>4</v>
      </c>
      <c r="L1207">
        <v>10720</v>
      </c>
      <c r="M1207">
        <v>13936</v>
      </c>
      <c r="N1207" t="s">
        <v>28</v>
      </c>
      <c r="O1207">
        <f t="shared" si="36"/>
        <v>2990</v>
      </c>
      <c r="P1207" s="13">
        <f t="shared" si="37"/>
        <v>1937780</v>
      </c>
      <c r="Q1207" s="13">
        <f>SUMIFS(M:M,E:E,Online_eCommerce[[#This Row],[Status]])</f>
        <v>21233992</v>
      </c>
      <c r="R1207" s="13">
        <f>SUMIFS(L:L,H:H,Online_eCommerce[[#This Row],[Brand]])</f>
        <v>2267380</v>
      </c>
      <c r="S1207" s="13">
        <f>SUMIF(H:H,Online_eCommerce[[#This Row],[Brand]],M:M)</f>
        <v>2947594</v>
      </c>
      <c r="T1207" s="13">
        <f>SUMIF(N:N,Online_eCommerce[[#This Row],[Assigned Supervisor]],L:L)</f>
        <v>12220830</v>
      </c>
    </row>
    <row r="1208" spans="1:20" hidden="1" x14ac:dyDescent="0.3">
      <c r="A1208" t="s">
        <v>1838</v>
      </c>
      <c r="B1208" t="s">
        <v>144</v>
      </c>
      <c r="C1208" t="s">
        <v>172</v>
      </c>
      <c r="D1208" t="s">
        <v>1839</v>
      </c>
      <c r="E1208" t="s">
        <v>18</v>
      </c>
      <c r="F1208" t="s">
        <v>112</v>
      </c>
      <c r="G1208" t="s">
        <v>71</v>
      </c>
      <c r="H1208" t="s">
        <v>21</v>
      </c>
      <c r="I1208">
        <v>8250</v>
      </c>
      <c r="J1208">
        <v>10725</v>
      </c>
      <c r="K1208">
        <v>2</v>
      </c>
      <c r="L1208">
        <v>16500</v>
      </c>
      <c r="M1208">
        <v>21450</v>
      </c>
      <c r="N1208" t="s">
        <v>35</v>
      </c>
      <c r="O1208">
        <f t="shared" si="36"/>
        <v>9750</v>
      </c>
      <c r="P1208" s="13">
        <f t="shared" si="37"/>
        <v>2640274</v>
      </c>
      <c r="Q1208" s="13">
        <f>SUMIFS(M:M,E:E,Online_eCommerce[[#This Row],[Status]])</f>
        <v>28340455</v>
      </c>
      <c r="R1208" s="13">
        <f>SUMIFS(L:L,H:H,Online_eCommerce[[#This Row],[Brand]])</f>
        <v>12435650</v>
      </c>
      <c r="S1208" s="13">
        <f>SUMIF(H:H,Online_eCommerce[[#This Row],[Brand]],M:M)</f>
        <v>16166345</v>
      </c>
      <c r="T1208" s="13">
        <f>SUMIF(N:N,Online_eCommerce[[#This Row],[Assigned Supervisor]],L:L)</f>
        <v>14373360</v>
      </c>
    </row>
    <row r="1209" spans="1:20" hidden="1" x14ac:dyDescent="0.3">
      <c r="A1209" t="s">
        <v>1840</v>
      </c>
      <c r="B1209" t="s">
        <v>149</v>
      </c>
      <c r="C1209" t="s">
        <v>177</v>
      </c>
      <c r="D1209" t="s">
        <v>1839</v>
      </c>
      <c r="E1209" t="s">
        <v>161</v>
      </c>
      <c r="F1209" t="s">
        <v>1420</v>
      </c>
      <c r="G1209" t="s">
        <v>40</v>
      </c>
      <c r="H1209" t="s">
        <v>21</v>
      </c>
      <c r="I1209">
        <v>2650</v>
      </c>
      <c r="J1209">
        <v>3445</v>
      </c>
      <c r="K1209">
        <v>3</v>
      </c>
      <c r="L1209">
        <v>7950</v>
      </c>
      <c r="M1209">
        <v>10335</v>
      </c>
      <c r="N1209" t="s">
        <v>42</v>
      </c>
      <c r="O1209">
        <f t="shared" si="36"/>
        <v>25545</v>
      </c>
      <c r="P1209" s="13">
        <f t="shared" si="37"/>
        <v>1863810</v>
      </c>
      <c r="Q1209" s="13">
        <f>SUMIFS(M:M,E:E,Online_eCommerce[[#This Row],[Status]])</f>
        <v>21103186</v>
      </c>
      <c r="R1209" s="13">
        <f>SUMIFS(L:L,H:H,Online_eCommerce[[#This Row],[Brand]])</f>
        <v>12435650</v>
      </c>
      <c r="S1209" s="13">
        <f>SUMIF(H:H,Online_eCommerce[[#This Row],[Brand]],M:M)</f>
        <v>16166345</v>
      </c>
      <c r="T1209" s="13">
        <f>SUMIF(N:N,Online_eCommerce[[#This Row],[Assigned Supervisor]],L:L)</f>
        <v>12261500</v>
      </c>
    </row>
    <row r="1210" spans="1:20" x14ac:dyDescent="0.3">
      <c r="A1210" t="s">
        <v>1841</v>
      </c>
      <c r="B1210" t="s">
        <v>154</v>
      </c>
      <c r="C1210" t="s">
        <v>181</v>
      </c>
      <c r="D1210" t="s">
        <v>1839</v>
      </c>
      <c r="E1210" t="s">
        <v>46</v>
      </c>
      <c r="F1210" t="s">
        <v>121</v>
      </c>
      <c r="G1210" t="s">
        <v>71</v>
      </c>
      <c r="H1210" t="s">
        <v>122</v>
      </c>
      <c r="I1210">
        <v>12550</v>
      </c>
      <c r="J1210">
        <v>16315</v>
      </c>
      <c r="K1210">
        <v>4</v>
      </c>
      <c r="L1210">
        <v>50200</v>
      </c>
      <c r="M1210">
        <v>65260</v>
      </c>
      <c r="N1210" t="s">
        <v>50</v>
      </c>
      <c r="O1210">
        <f t="shared" si="36"/>
        <v>9750</v>
      </c>
      <c r="P1210" s="13">
        <f t="shared" si="37"/>
        <v>2577458</v>
      </c>
      <c r="Q1210" s="13">
        <f>SUMIFS(M:M,E:E,Online_eCommerce[[#This Row],[Status]])</f>
        <v>28620410</v>
      </c>
      <c r="R1210" s="13">
        <f>SUMIFS(L:L,H:H,Online_eCommerce[[#This Row],[Brand]])</f>
        <v>5045100</v>
      </c>
      <c r="S1210" s="13">
        <f>SUMIF(H:H,Online_eCommerce[[#This Row],[Brand]],M:M)</f>
        <v>6558630</v>
      </c>
      <c r="T1210" s="13">
        <f>SUMIF(N:N,Online_eCommerce[[#This Row],[Assigned Supervisor]],L:L)</f>
        <v>12100590</v>
      </c>
    </row>
    <row r="1211" spans="1:20" hidden="1" x14ac:dyDescent="0.3">
      <c r="A1211" t="s">
        <v>1842</v>
      </c>
      <c r="B1211" t="s">
        <v>159</v>
      </c>
      <c r="C1211" t="s">
        <v>185</v>
      </c>
      <c r="D1211" t="s">
        <v>1839</v>
      </c>
      <c r="E1211" t="s">
        <v>96</v>
      </c>
      <c r="F1211" t="s">
        <v>126</v>
      </c>
      <c r="G1211" t="s">
        <v>26</v>
      </c>
      <c r="H1211" t="s">
        <v>27</v>
      </c>
      <c r="I1211">
        <v>14500</v>
      </c>
      <c r="J1211">
        <v>18850</v>
      </c>
      <c r="K1211">
        <v>4</v>
      </c>
      <c r="L1211">
        <v>58000</v>
      </c>
      <c r="M1211">
        <v>75400</v>
      </c>
      <c r="N1211" t="s">
        <v>56</v>
      </c>
      <c r="O1211">
        <f t="shared" si="36"/>
        <v>33150</v>
      </c>
      <c r="P1211" s="13">
        <f t="shared" si="37"/>
        <v>2091596</v>
      </c>
      <c r="Q1211" s="13">
        <f>SUMIFS(M:M,E:E,Online_eCommerce[[#This Row],[Status]])</f>
        <v>21233992</v>
      </c>
      <c r="R1211" s="13">
        <f>SUMIFS(L:L,H:H,Online_eCommerce[[#This Row],[Brand]])</f>
        <v>14431000</v>
      </c>
      <c r="S1211" s="13">
        <f>SUMIF(H:H,Online_eCommerce[[#This Row],[Brand]],M:M)</f>
        <v>18760300</v>
      </c>
      <c r="T1211" s="13">
        <f>SUMIF(N:N,Online_eCommerce[[#This Row],[Assigned Supervisor]],L:L)</f>
        <v>11733610</v>
      </c>
    </row>
    <row r="1212" spans="1:20" hidden="1" x14ac:dyDescent="0.3">
      <c r="A1212" t="s">
        <v>1843</v>
      </c>
      <c r="B1212" t="s">
        <v>139</v>
      </c>
      <c r="C1212" t="s">
        <v>189</v>
      </c>
      <c r="D1212" t="s">
        <v>1839</v>
      </c>
      <c r="E1212" t="s">
        <v>18</v>
      </c>
      <c r="F1212" t="s">
        <v>129</v>
      </c>
      <c r="G1212" t="s">
        <v>60</v>
      </c>
      <c r="H1212" t="s">
        <v>61</v>
      </c>
      <c r="I1212">
        <v>800</v>
      </c>
      <c r="J1212">
        <v>1040</v>
      </c>
      <c r="K1212">
        <v>2</v>
      </c>
      <c r="L1212">
        <v>1600</v>
      </c>
      <c r="M1212">
        <v>2080</v>
      </c>
      <c r="N1212" t="s">
        <v>22</v>
      </c>
      <c r="O1212">
        <f t="shared" si="36"/>
        <v>3315</v>
      </c>
      <c r="P1212" s="13">
        <f t="shared" si="37"/>
        <v>2740777</v>
      </c>
      <c r="Q1212" s="13">
        <f>SUMIFS(M:M,E:E,Online_eCommerce[[#This Row],[Status]])</f>
        <v>28340455</v>
      </c>
      <c r="R1212" s="13">
        <f>SUMIFS(L:L,H:H,Online_eCommerce[[#This Row],[Brand]])</f>
        <v>10950150</v>
      </c>
      <c r="S1212" s="13">
        <f>SUMIF(H:H,Online_eCommerce[[#This Row],[Brand]],M:M)</f>
        <v>14235195</v>
      </c>
      <c r="T1212" s="13">
        <f>SUMIF(N:N,Online_eCommerce[[#This Row],[Assigned Supervisor]],L:L)</f>
        <v>13693220</v>
      </c>
    </row>
    <row r="1213" spans="1:20" hidden="1" x14ac:dyDescent="0.3">
      <c r="A1213" t="s">
        <v>1844</v>
      </c>
      <c r="B1213" t="s">
        <v>144</v>
      </c>
      <c r="C1213" t="s">
        <v>193</v>
      </c>
      <c r="D1213" t="s">
        <v>1839</v>
      </c>
      <c r="E1213" t="s">
        <v>161</v>
      </c>
      <c r="F1213" t="s">
        <v>133</v>
      </c>
      <c r="G1213" t="s">
        <v>66</v>
      </c>
      <c r="H1213" t="s">
        <v>21</v>
      </c>
      <c r="I1213">
        <v>600</v>
      </c>
      <c r="J1213">
        <v>780</v>
      </c>
      <c r="K1213">
        <v>2</v>
      </c>
      <c r="L1213">
        <v>1200</v>
      </c>
      <c r="M1213">
        <v>1560</v>
      </c>
      <c r="N1213" t="s">
        <v>28</v>
      </c>
      <c r="O1213">
        <f t="shared" si="36"/>
        <v>1690</v>
      </c>
      <c r="P1213" s="13">
        <f t="shared" si="37"/>
        <v>2074774</v>
      </c>
      <c r="Q1213" s="13">
        <f>SUMIFS(M:M,E:E,Online_eCommerce[[#This Row],[Status]])</f>
        <v>21103186</v>
      </c>
      <c r="R1213" s="13">
        <f>SUMIFS(L:L,H:H,Online_eCommerce[[#This Row],[Brand]])</f>
        <v>12435650</v>
      </c>
      <c r="S1213" s="13">
        <f>SUMIF(H:H,Online_eCommerce[[#This Row],[Brand]],M:M)</f>
        <v>16166345</v>
      </c>
      <c r="T1213" s="13">
        <f>SUMIF(N:N,Online_eCommerce[[#This Row],[Assigned Supervisor]],L:L)</f>
        <v>12220830</v>
      </c>
    </row>
    <row r="1214" spans="1:20" x14ac:dyDescent="0.3">
      <c r="A1214" t="s">
        <v>1845</v>
      </c>
      <c r="B1214" t="s">
        <v>171</v>
      </c>
      <c r="C1214" t="s">
        <v>197</v>
      </c>
      <c r="D1214" t="s">
        <v>1839</v>
      </c>
      <c r="E1214" t="s">
        <v>46</v>
      </c>
      <c r="F1214" t="s">
        <v>137</v>
      </c>
      <c r="G1214" t="s">
        <v>71</v>
      </c>
      <c r="H1214" t="s">
        <v>61</v>
      </c>
      <c r="I1214">
        <v>10500</v>
      </c>
      <c r="J1214">
        <v>13650</v>
      </c>
      <c r="K1214">
        <v>4</v>
      </c>
      <c r="L1214">
        <v>42000</v>
      </c>
      <c r="M1214">
        <v>54600</v>
      </c>
      <c r="N1214" t="s">
        <v>35</v>
      </c>
      <c r="O1214">
        <f t="shared" si="36"/>
        <v>9750</v>
      </c>
      <c r="P1214" s="13">
        <f t="shared" si="37"/>
        <v>2829840</v>
      </c>
      <c r="Q1214" s="13">
        <f>SUMIFS(M:M,E:E,Online_eCommerce[[#This Row],[Status]])</f>
        <v>28620410</v>
      </c>
      <c r="R1214" s="13">
        <f>SUMIFS(L:L,H:H,Online_eCommerce[[#This Row],[Brand]])</f>
        <v>10950150</v>
      </c>
      <c r="S1214" s="13">
        <f>SUMIF(H:H,Online_eCommerce[[#This Row],[Brand]],M:M)</f>
        <v>14235195</v>
      </c>
      <c r="T1214" s="13">
        <f>SUMIF(N:N,Online_eCommerce[[#This Row],[Assigned Supervisor]],L:L)</f>
        <v>14373360</v>
      </c>
    </row>
    <row r="1215" spans="1:20" hidden="1" x14ac:dyDescent="0.3">
      <c r="A1215" t="s">
        <v>1846</v>
      </c>
      <c r="B1215" t="s">
        <v>37</v>
      </c>
      <c r="C1215" t="s">
        <v>199</v>
      </c>
      <c r="D1215" t="s">
        <v>1839</v>
      </c>
      <c r="E1215" t="s">
        <v>96</v>
      </c>
      <c r="F1215" t="s">
        <v>1807</v>
      </c>
      <c r="G1215" t="s">
        <v>77</v>
      </c>
      <c r="H1215" t="s">
        <v>142</v>
      </c>
      <c r="I1215">
        <v>6500</v>
      </c>
      <c r="J1215">
        <v>8450</v>
      </c>
      <c r="K1215">
        <v>2</v>
      </c>
      <c r="L1215">
        <v>13000</v>
      </c>
      <c r="M1215">
        <v>16900</v>
      </c>
      <c r="N1215" t="s">
        <v>42</v>
      </c>
      <c r="O1215">
        <f t="shared" si="36"/>
        <v>39000</v>
      </c>
      <c r="P1215" s="13">
        <f t="shared" si="37"/>
        <v>1947361</v>
      </c>
      <c r="Q1215" s="13">
        <f>SUMIFS(M:M,E:E,Online_eCommerce[[#This Row],[Status]])</f>
        <v>21233992</v>
      </c>
      <c r="R1215" s="13">
        <f>SUMIFS(L:L,H:H,Online_eCommerce[[#This Row],[Brand]])</f>
        <v>6192500</v>
      </c>
      <c r="S1215" s="13">
        <f>SUMIF(H:H,Online_eCommerce[[#This Row],[Brand]],M:M)</f>
        <v>8050250</v>
      </c>
      <c r="T1215" s="13">
        <f>SUMIF(N:N,Online_eCommerce[[#This Row],[Assigned Supervisor]],L:L)</f>
        <v>12261500</v>
      </c>
    </row>
    <row r="1216" spans="1:20" hidden="1" x14ac:dyDescent="0.3">
      <c r="A1216" t="s">
        <v>1847</v>
      </c>
      <c r="B1216" t="s">
        <v>37</v>
      </c>
      <c r="C1216" t="s">
        <v>203</v>
      </c>
      <c r="D1216" t="s">
        <v>1839</v>
      </c>
      <c r="E1216" t="s">
        <v>18</v>
      </c>
      <c r="F1216" t="s">
        <v>1848</v>
      </c>
      <c r="G1216" t="s">
        <v>20</v>
      </c>
      <c r="H1216" t="s">
        <v>21</v>
      </c>
      <c r="I1216">
        <v>4500</v>
      </c>
      <c r="J1216">
        <v>5850</v>
      </c>
      <c r="K1216">
        <v>3</v>
      </c>
      <c r="L1216">
        <v>13500</v>
      </c>
      <c r="M1216">
        <v>17550</v>
      </c>
      <c r="N1216" t="s">
        <v>50</v>
      </c>
      <c r="O1216">
        <f t="shared" si="36"/>
        <v>8450</v>
      </c>
      <c r="P1216" s="13">
        <f t="shared" si="37"/>
        <v>2559635</v>
      </c>
      <c r="Q1216" s="13">
        <f>SUMIFS(M:M,E:E,Online_eCommerce[[#This Row],[Status]])</f>
        <v>28340455</v>
      </c>
      <c r="R1216" s="13">
        <f>SUMIFS(L:L,H:H,Online_eCommerce[[#This Row],[Brand]])</f>
        <v>12435650</v>
      </c>
      <c r="S1216" s="13">
        <f>SUMIF(H:H,Online_eCommerce[[#This Row],[Brand]],M:M)</f>
        <v>16166345</v>
      </c>
      <c r="T1216" s="13">
        <f>SUMIF(N:N,Online_eCommerce[[#This Row],[Assigned Supervisor]],L:L)</f>
        <v>12100590</v>
      </c>
    </row>
    <row r="1217" spans="1:20" hidden="1" x14ac:dyDescent="0.3">
      <c r="A1217" t="s">
        <v>1849</v>
      </c>
      <c r="B1217" t="s">
        <v>37</v>
      </c>
      <c r="C1217" t="s">
        <v>205</v>
      </c>
      <c r="D1217" t="s">
        <v>1839</v>
      </c>
      <c r="E1217" t="s">
        <v>161</v>
      </c>
      <c r="F1217" t="s">
        <v>152</v>
      </c>
      <c r="G1217" t="s">
        <v>26</v>
      </c>
      <c r="H1217" t="s">
        <v>27</v>
      </c>
      <c r="I1217">
        <v>8500</v>
      </c>
      <c r="J1217">
        <v>11050</v>
      </c>
      <c r="K1217">
        <v>3</v>
      </c>
      <c r="L1217">
        <v>25500</v>
      </c>
      <c r="M1217">
        <v>33150</v>
      </c>
      <c r="N1217" t="s">
        <v>56</v>
      </c>
      <c r="O1217">
        <f t="shared" si="36"/>
        <v>33150</v>
      </c>
      <c r="P1217" s="13">
        <f t="shared" si="37"/>
        <v>1983254</v>
      </c>
      <c r="Q1217" s="13">
        <f>SUMIFS(M:M,E:E,Online_eCommerce[[#This Row],[Status]])</f>
        <v>21103186</v>
      </c>
      <c r="R1217" s="13">
        <f>SUMIFS(L:L,H:H,Online_eCommerce[[#This Row],[Brand]])</f>
        <v>14431000</v>
      </c>
      <c r="S1217" s="13">
        <f>SUMIF(H:H,Online_eCommerce[[#This Row],[Brand]],M:M)</f>
        <v>18760300</v>
      </c>
      <c r="T1217" s="13">
        <f>SUMIF(N:N,Online_eCommerce[[#This Row],[Assigned Supervisor]],L:L)</f>
        <v>11733610</v>
      </c>
    </row>
    <row r="1218" spans="1:20" x14ac:dyDescent="0.3">
      <c r="A1218" t="s">
        <v>1850</v>
      </c>
      <c r="B1218" t="s">
        <v>37</v>
      </c>
      <c r="C1218" t="s">
        <v>208</v>
      </c>
      <c r="D1218" t="s">
        <v>1839</v>
      </c>
      <c r="E1218" t="s">
        <v>46</v>
      </c>
      <c r="F1218" t="s">
        <v>157</v>
      </c>
      <c r="G1218" t="s">
        <v>33</v>
      </c>
      <c r="H1218" t="s">
        <v>34</v>
      </c>
      <c r="I1218">
        <v>12500</v>
      </c>
      <c r="J1218">
        <v>16250</v>
      </c>
      <c r="K1218">
        <v>3</v>
      </c>
      <c r="L1218">
        <v>37500</v>
      </c>
      <c r="M1218">
        <v>48750</v>
      </c>
      <c r="N1218" t="s">
        <v>22</v>
      </c>
      <c r="O1218">
        <f t="shared" ref="O1218:O1281" si="38">VLOOKUP(G1218,G:M,7,FALSE)</f>
        <v>18200</v>
      </c>
      <c r="P1218" s="13">
        <f t="shared" ref="P1218:P1281" si="39">SUMIFS(M:M,C:C,C1218)</f>
        <v>2746575</v>
      </c>
      <c r="Q1218" s="13">
        <f>SUMIFS(M:M,E:E,Online_eCommerce[[#This Row],[Status]])</f>
        <v>28620410</v>
      </c>
      <c r="R1218" s="13">
        <f>SUMIFS(L:L,H:H,Online_eCommerce[[#This Row],[Brand]])</f>
        <v>10087000</v>
      </c>
      <c r="S1218" s="13">
        <f>SUMIF(H:H,Online_eCommerce[[#This Row],[Brand]],M:M)</f>
        <v>13113100</v>
      </c>
      <c r="T1218" s="13">
        <f>SUMIF(N:N,Online_eCommerce[[#This Row],[Assigned Supervisor]],L:L)</f>
        <v>13693220</v>
      </c>
    </row>
    <row r="1219" spans="1:20" hidden="1" x14ac:dyDescent="0.3">
      <c r="A1219" t="s">
        <v>1851</v>
      </c>
      <c r="B1219" t="s">
        <v>37</v>
      </c>
      <c r="C1219" t="s">
        <v>211</v>
      </c>
      <c r="D1219" t="s">
        <v>1839</v>
      </c>
      <c r="E1219" t="s">
        <v>96</v>
      </c>
      <c r="F1219" t="s">
        <v>1471</v>
      </c>
      <c r="G1219" t="s">
        <v>40</v>
      </c>
      <c r="H1219" t="s">
        <v>41</v>
      </c>
      <c r="I1219">
        <v>3500</v>
      </c>
      <c r="J1219">
        <v>4550</v>
      </c>
      <c r="K1219">
        <v>3</v>
      </c>
      <c r="L1219">
        <v>10500</v>
      </c>
      <c r="M1219">
        <v>13650</v>
      </c>
      <c r="N1219" t="s">
        <v>28</v>
      </c>
      <c r="O1219">
        <f t="shared" si="38"/>
        <v>25545</v>
      </c>
      <c r="P1219" s="13">
        <f t="shared" si="39"/>
        <v>1809847</v>
      </c>
      <c r="Q1219" s="13">
        <f>SUMIFS(M:M,E:E,Online_eCommerce[[#This Row],[Status]])</f>
        <v>21233992</v>
      </c>
      <c r="R1219" s="13">
        <f>SUMIFS(L:L,H:H,Online_eCommerce[[#This Row],[Brand]])</f>
        <v>4260400</v>
      </c>
      <c r="S1219" s="13">
        <f>SUMIF(H:H,Online_eCommerce[[#This Row],[Brand]],M:M)</f>
        <v>5538520</v>
      </c>
      <c r="T1219" s="13">
        <f>SUMIF(N:N,Online_eCommerce[[#This Row],[Assigned Supervisor]],L:L)</f>
        <v>12220830</v>
      </c>
    </row>
    <row r="1220" spans="1:20" hidden="1" x14ac:dyDescent="0.3">
      <c r="A1220" t="s">
        <v>1852</v>
      </c>
      <c r="B1220" t="s">
        <v>37</v>
      </c>
      <c r="C1220" t="s">
        <v>16</v>
      </c>
      <c r="D1220" t="s">
        <v>1853</v>
      </c>
      <c r="E1220" t="s">
        <v>18</v>
      </c>
      <c r="F1220" t="s">
        <v>166</v>
      </c>
      <c r="G1220" t="s">
        <v>334</v>
      </c>
      <c r="H1220" t="s">
        <v>49</v>
      </c>
      <c r="I1220">
        <v>4500</v>
      </c>
      <c r="J1220">
        <v>5850</v>
      </c>
      <c r="K1220">
        <v>1</v>
      </c>
      <c r="L1220">
        <v>4500</v>
      </c>
      <c r="M1220">
        <v>5850</v>
      </c>
      <c r="N1220" t="s">
        <v>35</v>
      </c>
      <c r="O1220">
        <f t="shared" si="38"/>
        <v>39780</v>
      </c>
      <c r="P1220" s="13">
        <f t="shared" si="39"/>
        <v>2751814</v>
      </c>
      <c r="Q1220" s="13">
        <f>SUMIFS(M:M,E:E,Online_eCommerce[[#This Row],[Status]])</f>
        <v>28340455</v>
      </c>
      <c r="R1220" s="13">
        <f>SUMIFS(L:L,H:H,Online_eCommerce[[#This Row],[Brand]])</f>
        <v>4528350</v>
      </c>
      <c r="S1220" s="13">
        <f>SUMIF(H:H,Online_eCommerce[[#This Row],[Brand]],M:M)</f>
        <v>5886855</v>
      </c>
      <c r="T1220" s="13">
        <f>SUMIF(N:N,Online_eCommerce[[#This Row],[Assigned Supervisor]],L:L)</f>
        <v>14373360</v>
      </c>
    </row>
    <row r="1221" spans="1:20" hidden="1" x14ac:dyDescent="0.3">
      <c r="A1221" t="s">
        <v>1854</v>
      </c>
      <c r="B1221" t="s">
        <v>37</v>
      </c>
      <c r="C1221" t="s">
        <v>24</v>
      </c>
      <c r="D1221" t="s">
        <v>1855</v>
      </c>
      <c r="E1221" t="s">
        <v>161</v>
      </c>
      <c r="F1221" t="s">
        <v>1856</v>
      </c>
      <c r="G1221" t="s">
        <v>54</v>
      </c>
      <c r="H1221" t="s">
        <v>55</v>
      </c>
      <c r="I1221">
        <v>2100</v>
      </c>
      <c r="J1221">
        <v>2730</v>
      </c>
      <c r="K1221">
        <v>4</v>
      </c>
      <c r="L1221">
        <v>8400</v>
      </c>
      <c r="M1221">
        <v>10920</v>
      </c>
      <c r="N1221" t="s">
        <v>42</v>
      </c>
      <c r="O1221">
        <f t="shared" si="38"/>
        <v>2990</v>
      </c>
      <c r="P1221" s="13">
        <f t="shared" si="39"/>
        <v>2009540</v>
      </c>
      <c r="Q1221" s="13">
        <f>SUMIFS(M:M,E:E,Online_eCommerce[[#This Row],[Status]])</f>
        <v>21103186</v>
      </c>
      <c r="R1221" s="13">
        <f>SUMIFS(L:L,H:H,Online_eCommerce[[#This Row],[Brand]])</f>
        <v>2267380</v>
      </c>
      <c r="S1221" s="13">
        <f>SUMIF(H:H,Online_eCommerce[[#This Row],[Brand]],M:M)</f>
        <v>2947594</v>
      </c>
      <c r="T1221" s="13">
        <f>SUMIF(N:N,Online_eCommerce[[#This Row],[Assigned Supervisor]],L:L)</f>
        <v>12261500</v>
      </c>
    </row>
    <row r="1222" spans="1:20" x14ac:dyDescent="0.3">
      <c r="A1222" t="s">
        <v>1857</v>
      </c>
      <c r="B1222" t="s">
        <v>37</v>
      </c>
      <c r="C1222" t="s">
        <v>31</v>
      </c>
      <c r="D1222" t="s">
        <v>1858</v>
      </c>
      <c r="E1222" t="s">
        <v>46</v>
      </c>
      <c r="F1222" t="s">
        <v>174</v>
      </c>
      <c r="G1222" t="s">
        <v>60</v>
      </c>
      <c r="H1222" t="s">
        <v>61</v>
      </c>
      <c r="I1222">
        <v>1150</v>
      </c>
      <c r="J1222">
        <v>1495</v>
      </c>
      <c r="K1222">
        <v>1</v>
      </c>
      <c r="L1222">
        <v>1150</v>
      </c>
      <c r="M1222">
        <v>1495</v>
      </c>
      <c r="N1222" t="s">
        <v>50</v>
      </c>
      <c r="O1222">
        <f t="shared" si="38"/>
        <v>3315</v>
      </c>
      <c r="P1222" s="13">
        <f t="shared" si="39"/>
        <v>2865746</v>
      </c>
      <c r="Q1222" s="13">
        <f>SUMIFS(M:M,E:E,Online_eCommerce[[#This Row],[Status]])</f>
        <v>28620410</v>
      </c>
      <c r="R1222" s="13">
        <f>SUMIFS(L:L,H:H,Online_eCommerce[[#This Row],[Brand]])</f>
        <v>10950150</v>
      </c>
      <c r="S1222" s="13">
        <f>SUMIF(H:H,Online_eCommerce[[#This Row],[Brand]],M:M)</f>
        <v>14235195</v>
      </c>
      <c r="T1222" s="13">
        <f>SUMIF(N:N,Online_eCommerce[[#This Row],[Assigned Supervisor]],L:L)</f>
        <v>12100590</v>
      </c>
    </row>
    <row r="1223" spans="1:20" hidden="1" x14ac:dyDescent="0.3">
      <c r="A1223" t="s">
        <v>1859</v>
      </c>
      <c r="B1223" t="s">
        <v>37</v>
      </c>
      <c r="C1223" t="s">
        <v>38</v>
      </c>
      <c r="D1223" t="s">
        <v>1860</v>
      </c>
      <c r="E1223" t="s">
        <v>96</v>
      </c>
      <c r="F1223" t="s">
        <v>179</v>
      </c>
      <c r="G1223" t="s">
        <v>66</v>
      </c>
      <c r="H1223" t="s">
        <v>21</v>
      </c>
      <c r="I1223">
        <v>350</v>
      </c>
      <c r="J1223">
        <v>455</v>
      </c>
      <c r="K1223">
        <v>3</v>
      </c>
      <c r="L1223">
        <v>1050</v>
      </c>
      <c r="M1223">
        <v>1365</v>
      </c>
      <c r="N1223" t="s">
        <v>56</v>
      </c>
      <c r="O1223">
        <f t="shared" si="38"/>
        <v>1690</v>
      </c>
      <c r="P1223" s="13">
        <f t="shared" si="39"/>
        <v>1933997</v>
      </c>
      <c r="Q1223" s="13">
        <f>SUMIFS(M:M,E:E,Online_eCommerce[[#This Row],[Status]])</f>
        <v>21233992</v>
      </c>
      <c r="R1223" s="13">
        <f>SUMIFS(L:L,H:H,Online_eCommerce[[#This Row],[Brand]])</f>
        <v>12435650</v>
      </c>
      <c r="S1223" s="13">
        <f>SUMIF(H:H,Online_eCommerce[[#This Row],[Brand]],M:M)</f>
        <v>16166345</v>
      </c>
      <c r="T1223" s="13">
        <f>SUMIF(N:N,Online_eCommerce[[#This Row],[Assigned Supervisor]],L:L)</f>
        <v>11733610</v>
      </c>
    </row>
    <row r="1224" spans="1:20" hidden="1" x14ac:dyDescent="0.3">
      <c r="A1224" t="s">
        <v>1861</v>
      </c>
      <c r="B1224" t="s">
        <v>37</v>
      </c>
      <c r="C1224" t="s">
        <v>45</v>
      </c>
      <c r="D1224" t="s">
        <v>1862</v>
      </c>
      <c r="E1224" t="s">
        <v>18</v>
      </c>
      <c r="F1224" t="s">
        <v>183</v>
      </c>
      <c r="G1224" t="s">
        <v>71</v>
      </c>
      <c r="H1224" t="s">
        <v>61</v>
      </c>
      <c r="I1224">
        <v>9500</v>
      </c>
      <c r="J1224">
        <v>12350</v>
      </c>
      <c r="K1224">
        <v>4</v>
      </c>
      <c r="L1224">
        <v>38000</v>
      </c>
      <c r="M1224">
        <v>49400</v>
      </c>
      <c r="N1224" t="s">
        <v>22</v>
      </c>
      <c r="O1224">
        <f t="shared" si="38"/>
        <v>9750</v>
      </c>
      <c r="P1224" s="13">
        <f t="shared" si="39"/>
        <v>2842554</v>
      </c>
      <c r="Q1224" s="13">
        <f>SUMIFS(M:M,E:E,Online_eCommerce[[#This Row],[Status]])</f>
        <v>28340455</v>
      </c>
      <c r="R1224" s="13">
        <f>SUMIFS(L:L,H:H,Online_eCommerce[[#This Row],[Brand]])</f>
        <v>10950150</v>
      </c>
      <c r="S1224" s="13">
        <f>SUMIF(H:H,Online_eCommerce[[#This Row],[Brand]],M:M)</f>
        <v>14235195</v>
      </c>
      <c r="T1224" s="13">
        <f>SUMIF(N:N,Online_eCommerce[[#This Row],[Assigned Supervisor]],L:L)</f>
        <v>13693220</v>
      </c>
    </row>
    <row r="1225" spans="1:20" hidden="1" x14ac:dyDescent="0.3">
      <c r="A1225" t="s">
        <v>1863</v>
      </c>
      <c r="B1225" t="s">
        <v>37</v>
      </c>
      <c r="C1225" t="s">
        <v>52</v>
      </c>
      <c r="D1225" t="s">
        <v>1864</v>
      </c>
      <c r="E1225" t="s">
        <v>161</v>
      </c>
      <c r="F1225" t="s">
        <v>1865</v>
      </c>
      <c r="G1225" t="s">
        <v>77</v>
      </c>
      <c r="H1225" t="s">
        <v>142</v>
      </c>
      <c r="I1225">
        <v>10000</v>
      </c>
      <c r="J1225">
        <v>13000</v>
      </c>
      <c r="K1225">
        <v>2</v>
      </c>
      <c r="L1225">
        <v>20000</v>
      </c>
      <c r="M1225">
        <v>26000</v>
      </c>
      <c r="N1225" t="s">
        <v>28</v>
      </c>
      <c r="O1225">
        <f t="shared" si="38"/>
        <v>39000</v>
      </c>
      <c r="P1225" s="13">
        <f t="shared" si="39"/>
        <v>1955044</v>
      </c>
      <c r="Q1225" s="13">
        <f>SUMIFS(M:M,E:E,Online_eCommerce[[#This Row],[Status]])</f>
        <v>21103186</v>
      </c>
      <c r="R1225" s="13">
        <f>SUMIFS(L:L,H:H,Online_eCommerce[[#This Row],[Brand]])</f>
        <v>6192500</v>
      </c>
      <c r="S1225" s="13">
        <f>SUMIF(H:H,Online_eCommerce[[#This Row],[Brand]],M:M)</f>
        <v>8050250</v>
      </c>
      <c r="T1225" s="13">
        <f>SUMIF(N:N,Online_eCommerce[[#This Row],[Assigned Supervisor]],L:L)</f>
        <v>12220830</v>
      </c>
    </row>
    <row r="1226" spans="1:20" x14ac:dyDescent="0.3">
      <c r="A1226" t="s">
        <v>1866</v>
      </c>
      <c r="B1226" t="s">
        <v>37</v>
      </c>
      <c r="C1226" t="s">
        <v>58</v>
      </c>
      <c r="D1226" t="s">
        <v>1867</v>
      </c>
      <c r="E1226" t="s">
        <v>46</v>
      </c>
      <c r="F1226" t="s">
        <v>1868</v>
      </c>
      <c r="G1226" t="s">
        <v>20</v>
      </c>
      <c r="H1226" t="s">
        <v>21</v>
      </c>
      <c r="I1226">
        <v>6500</v>
      </c>
      <c r="J1226">
        <v>8450</v>
      </c>
      <c r="K1226">
        <v>1</v>
      </c>
      <c r="L1226">
        <v>6500</v>
      </c>
      <c r="M1226">
        <v>8450</v>
      </c>
      <c r="N1226" t="s">
        <v>35</v>
      </c>
      <c r="O1226">
        <f t="shared" si="38"/>
        <v>8450</v>
      </c>
      <c r="P1226" s="13">
        <f t="shared" si="39"/>
        <v>2629211</v>
      </c>
      <c r="Q1226" s="13">
        <f>SUMIFS(M:M,E:E,Online_eCommerce[[#This Row],[Status]])</f>
        <v>28620410</v>
      </c>
      <c r="R1226" s="13">
        <f>SUMIFS(L:L,H:H,Online_eCommerce[[#This Row],[Brand]])</f>
        <v>12435650</v>
      </c>
      <c r="S1226" s="13">
        <f>SUMIF(H:H,Online_eCommerce[[#This Row],[Brand]],M:M)</f>
        <v>16166345</v>
      </c>
      <c r="T1226" s="13">
        <f>SUMIF(N:N,Online_eCommerce[[#This Row],[Assigned Supervisor]],L:L)</f>
        <v>14373360</v>
      </c>
    </row>
    <row r="1227" spans="1:20" hidden="1" x14ac:dyDescent="0.3">
      <c r="A1227" t="s">
        <v>1869</v>
      </c>
      <c r="B1227" t="s">
        <v>37</v>
      </c>
      <c r="C1227" t="s">
        <v>63</v>
      </c>
      <c r="D1227" t="s">
        <v>1870</v>
      </c>
      <c r="E1227" t="s">
        <v>96</v>
      </c>
      <c r="F1227" t="s">
        <v>1871</v>
      </c>
      <c r="G1227" t="s">
        <v>26</v>
      </c>
      <c r="H1227" t="s">
        <v>27</v>
      </c>
      <c r="I1227">
        <v>8500</v>
      </c>
      <c r="J1227">
        <v>11050</v>
      </c>
      <c r="K1227">
        <v>1</v>
      </c>
      <c r="L1227">
        <v>8500</v>
      </c>
      <c r="M1227">
        <v>11050</v>
      </c>
      <c r="N1227" t="s">
        <v>42</v>
      </c>
      <c r="O1227">
        <f t="shared" si="38"/>
        <v>33150</v>
      </c>
      <c r="P1227" s="13">
        <f t="shared" si="39"/>
        <v>2016131</v>
      </c>
      <c r="Q1227" s="13">
        <f>SUMIFS(M:M,E:E,Online_eCommerce[[#This Row],[Status]])</f>
        <v>21233992</v>
      </c>
      <c r="R1227" s="13">
        <f>SUMIFS(L:L,H:H,Online_eCommerce[[#This Row],[Brand]])</f>
        <v>14431000</v>
      </c>
      <c r="S1227" s="13">
        <f>SUMIF(H:H,Online_eCommerce[[#This Row],[Brand]],M:M)</f>
        <v>18760300</v>
      </c>
      <c r="T1227" s="13">
        <f>SUMIF(N:N,Online_eCommerce[[#This Row],[Assigned Supervisor]],L:L)</f>
        <v>12261500</v>
      </c>
    </row>
    <row r="1228" spans="1:20" hidden="1" x14ac:dyDescent="0.3">
      <c r="A1228" t="s">
        <v>1872</v>
      </c>
      <c r="B1228" t="s">
        <v>37</v>
      </c>
      <c r="C1228" t="s">
        <v>68</v>
      </c>
      <c r="D1228" t="s">
        <v>1873</v>
      </c>
      <c r="E1228" t="s">
        <v>18</v>
      </c>
      <c r="F1228" t="s">
        <v>32</v>
      </c>
      <c r="G1228" t="s">
        <v>33</v>
      </c>
      <c r="H1228" t="s">
        <v>34</v>
      </c>
      <c r="I1228">
        <v>7000</v>
      </c>
      <c r="J1228">
        <v>9100</v>
      </c>
      <c r="K1228">
        <v>3</v>
      </c>
      <c r="L1228">
        <v>21000</v>
      </c>
      <c r="M1228">
        <v>27300</v>
      </c>
      <c r="N1228" t="s">
        <v>50</v>
      </c>
      <c r="O1228">
        <f t="shared" si="38"/>
        <v>18200</v>
      </c>
      <c r="P1228" s="13">
        <f t="shared" si="39"/>
        <v>2974621</v>
      </c>
      <c r="Q1228" s="13">
        <f>SUMIFS(M:M,E:E,Online_eCommerce[[#This Row],[Status]])</f>
        <v>28340455</v>
      </c>
      <c r="R1228" s="13">
        <f>SUMIFS(L:L,H:H,Online_eCommerce[[#This Row],[Brand]])</f>
        <v>10087000</v>
      </c>
      <c r="S1228" s="13">
        <f>SUMIF(H:H,Online_eCommerce[[#This Row],[Brand]],M:M)</f>
        <v>13113100</v>
      </c>
      <c r="T1228" s="13">
        <f>SUMIF(N:N,Online_eCommerce[[#This Row],[Assigned Supervisor]],L:L)</f>
        <v>12100590</v>
      </c>
    </row>
    <row r="1229" spans="1:20" hidden="1" x14ac:dyDescent="0.3">
      <c r="A1229" t="s">
        <v>1874</v>
      </c>
      <c r="B1229" t="s">
        <v>528</v>
      </c>
      <c r="C1229" t="s">
        <v>74</v>
      </c>
      <c r="D1229" t="s">
        <v>1875</v>
      </c>
      <c r="E1229" t="s">
        <v>161</v>
      </c>
      <c r="F1229" t="s">
        <v>1876</v>
      </c>
      <c r="G1229" t="s">
        <v>40</v>
      </c>
      <c r="H1229" t="s">
        <v>41</v>
      </c>
      <c r="I1229">
        <v>6550</v>
      </c>
      <c r="J1229">
        <v>8515</v>
      </c>
      <c r="K1229">
        <v>3</v>
      </c>
      <c r="L1229">
        <v>19650</v>
      </c>
      <c r="M1229">
        <v>25545</v>
      </c>
      <c r="N1229" t="s">
        <v>56</v>
      </c>
      <c r="O1229">
        <f t="shared" si="38"/>
        <v>25545</v>
      </c>
      <c r="P1229" s="13">
        <f t="shared" si="39"/>
        <v>2144701</v>
      </c>
      <c r="Q1229" s="13">
        <f>SUMIFS(M:M,E:E,Online_eCommerce[[#This Row],[Status]])</f>
        <v>21103186</v>
      </c>
      <c r="R1229" s="13">
        <f>SUMIFS(L:L,H:H,Online_eCommerce[[#This Row],[Brand]])</f>
        <v>4260400</v>
      </c>
      <c r="S1229" s="13">
        <f>SUMIF(H:H,Online_eCommerce[[#This Row],[Brand]],M:M)</f>
        <v>5538520</v>
      </c>
      <c r="T1229" s="13">
        <f>SUMIF(N:N,Online_eCommerce[[#This Row],[Assigned Supervisor]],L:L)</f>
        <v>11733610</v>
      </c>
    </row>
    <row r="1230" spans="1:20" x14ac:dyDescent="0.3">
      <c r="A1230" t="s">
        <v>1877</v>
      </c>
      <c r="B1230" t="s">
        <v>73</v>
      </c>
      <c r="C1230" t="s">
        <v>81</v>
      </c>
      <c r="D1230" t="s">
        <v>1878</v>
      </c>
      <c r="E1230" t="s">
        <v>46</v>
      </c>
      <c r="F1230" t="s">
        <v>47</v>
      </c>
      <c r="G1230" t="s">
        <v>334</v>
      </c>
      <c r="H1230" t="s">
        <v>49</v>
      </c>
      <c r="I1230">
        <v>7650</v>
      </c>
      <c r="J1230">
        <v>9945</v>
      </c>
      <c r="K1230">
        <v>4</v>
      </c>
      <c r="L1230">
        <v>30600</v>
      </c>
      <c r="M1230">
        <v>39780</v>
      </c>
      <c r="N1230" t="s">
        <v>22</v>
      </c>
      <c r="O1230">
        <f t="shared" si="38"/>
        <v>39780</v>
      </c>
      <c r="P1230" s="13">
        <f t="shared" si="39"/>
        <v>2595632</v>
      </c>
      <c r="Q1230" s="13">
        <f>SUMIFS(M:M,E:E,Online_eCommerce[[#This Row],[Status]])</f>
        <v>28620410</v>
      </c>
      <c r="R1230" s="13">
        <f>SUMIFS(L:L,H:H,Online_eCommerce[[#This Row],[Brand]])</f>
        <v>4528350</v>
      </c>
      <c r="S1230" s="13">
        <f>SUMIF(H:H,Online_eCommerce[[#This Row],[Brand]],M:M)</f>
        <v>5886855</v>
      </c>
      <c r="T1230" s="13">
        <f>SUMIF(N:N,Online_eCommerce[[#This Row],[Assigned Supervisor]],L:L)</f>
        <v>13693220</v>
      </c>
    </row>
    <row r="1231" spans="1:20" hidden="1" x14ac:dyDescent="0.3">
      <c r="A1231" t="s">
        <v>1879</v>
      </c>
      <c r="B1231" t="s">
        <v>80</v>
      </c>
      <c r="C1231" t="s">
        <v>86</v>
      </c>
      <c r="D1231" t="s">
        <v>1880</v>
      </c>
      <c r="E1231" t="s">
        <v>96</v>
      </c>
      <c r="F1231" t="s">
        <v>53</v>
      </c>
      <c r="G1231" t="s">
        <v>54</v>
      </c>
      <c r="H1231" t="s">
        <v>55</v>
      </c>
      <c r="I1231">
        <v>1150</v>
      </c>
      <c r="J1231">
        <v>1495</v>
      </c>
      <c r="K1231">
        <v>3</v>
      </c>
      <c r="L1231">
        <v>3450</v>
      </c>
      <c r="M1231">
        <v>4485</v>
      </c>
      <c r="N1231" t="s">
        <v>28</v>
      </c>
      <c r="O1231">
        <f t="shared" si="38"/>
        <v>2990</v>
      </c>
      <c r="P1231" s="13">
        <f t="shared" si="39"/>
        <v>1941225</v>
      </c>
      <c r="Q1231" s="13">
        <f>SUMIFS(M:M,E:E,Online_eCommerce[[#This Row],[Status]])</f>
        <v>21233992</v>
      </c>
      <c r="R1231" s="13">
        <f>SUMIFS(L:L,H:H,Online_eCommerce[[#This Row],[Brand]])</f>
        <v>2267380</v>
      </c>
      <c r="S1231" s="13">
        <f>SUMIF(H:H,Online_eCommerce[[#This Row],[Brand]],M:M)</f>
        <v>2947594</v>
      </c>
      <c r="T1231" s="13">
        <f>SUMIF(N:N,Online_eCommerce[[#This Row],[Assigned Supervisor]],L:L)</f>
        <v>12220830</v>
      </c>
    </row>
    <row r="1232" spans="1:20" hidden="1" x14ac:dyDescent="0.3">
      <c r="A1232" t="s">
        <v>1881</v>
      </c>
      <c r="B1232" t="s">
        <v>37</v>
      </c>
      <c r="C1232" t="s">
        <v>91</v>
      </c>
      <c r="D1232" t="s">
        <v>1882</v>
      </c>
      <c r="E1232" t="s">
        <v>18</v>
      </c>
      <c r="F1232" t="s">
        <v>59</v>
      </c>
      <c r="G1232" t="s">
        <v>60</v>
      </c>
      <c r="H1232" t="s">
        <v>61</v>
      </c>
      <c r="I1232">
        <v>850</v>
      </c>
      <c r="J1232">
        <v>1105</v>
      </c>
      <c r="K1232">
        <v>1</v>
      </c>
      <c r="L1232">
        <v>850</v>
      </c>
      <c r="M1232">
        <v>1105</v>
      </c>
      <c r="N1232" t="s">
        <v>35</v>
      </c>
      <c r="O1232">
        <f t="shared" si="38"/>
        <v>3315</v>
      </c>
      <c r="P1232" s="13">
        <f t="shared" si="39"/>
        <v>2731963</v>
      </c>
      <c r="Q1232" s="13">
        <f>SUMIFS(M:M,E:E,Online_eCommerce[[#This Row],[Status]])</f>
        <v>28340455</v>
      </c>
      <c r="R1232" s="13">
        <f>SUMIFS(L:L,H:H,Online_eCommerce[[#This Row],[Brand]])</f>
        <v>10950150</v>
      </c>
      <c r="S1232" s="13">
        <f>SUMIF(H:H,Online_eCommerce[[#This Row],[Brand]],M:M)</f>
        <v>14235195</v>
      </c>
      <c r="T1232" s="13">
        <f>SUMIF(N:N,Online_eCommerce[[#This Row],[Assigned Supervisor]],L:L)</f>
        <v>14373360</v>
      </c>
    </row>
    <row r="1233" spans="1:20" hidden="1" x14ac:dyDescent="0.3">
      <c r="A1233" t="s">
        <v>1883</v>
      </c>
      <c r="B1233" t="s">
        <v>37</v>
      </c>
      <c r="C1233" t="s">
        <v>94</v>
      </c>
      <c r="D1233" t="s">
        <v>1884</v>
      </c>
      <c r="E1233" t="s">
        <v>161</v>
      </c>
      <c r="F1233" t="s">
        <v>65</v>
      </c>
      <c r="G1233" t="s">
        <v>66</v>
      </c>
      <c r="H1233" t="s">
        <v>21</v>
      </c>
      <c r="I1233">
        <v>650</v>
      </c>
      <c r="J1233">
        <v>845</v>
      </c>
      <c r="K1233">
        <v>4</v>
      </c>
      <c r="L1233">
        <v>2600</v>
      </c>
      <c r="M1233">
        <v>3380</v>
      </c>
      <c r="N1233" t="s">
        <v>42</v>
      </c>
      <c r="O1233">
        <f t="shared" si="38"/>
        <v>1690</v>
      </c>
      <c r="P1233" s="13">
        <f t="shared" si="39"/>
        <v>1868256</v>
      </c>
      <c r="Q1233" s="13">
        <f>SUMIFS(M:M,E:E,Online_eCommerce[[#This Row],[Status]])</f>
        <v>21103186</v>
      </c>
      <c r="R1233" s="13">
        <f>SUMIFS(L:L,H:H,Online_eCommerce[[#This Row],[Brand]])</f>
        <v>12435650</v>
      </c>
      <c r="S1233" s="13">
        <f>SUMIF(H:H,Online_eCommerce[[#This Row],[Brand]],M:M)</f>
        <v>16166345</v>
      </c>
      <c r="T1233" s="13">
        <f>SUMIF(N:N,Online_eCommerce[[#This Row],[Assigned Supervisor]],L:L)</f>
        <v>12261500</v>
      </c>
    </row>
    <row r="1234" spans="1:20" x14ac:dyDescent="0.3">
      <c r="A1234" t="s">
        <v>1885</v>
      </c>
      <c r="B1234" t="s">
        <v>37</v>
      </c>
      <c r="C1234" t="s">
        <v>99</v>
      </c>
      <c r="D1234" t="s">
        <v>1886</v>
      </c>
      <c r="E1234" t="s">
        <v>46</v>
      </c>
      <c r="F1234" t="s">
        <v>70</v>
      </c>
      <c r="G1234" t="s">
        <v>71</v>
      </c>
      <c r="H1234" t="s">
        <v>61</v>
      </c>
      <c r="I1234">
        <v>7500</v>
      </c>
      <c r="J1234">
        <v>9750</v>
      </c>
      <c r="K1234">
        <v>1</v>
      </c>
      <c r="L1234">
        <v>7500</v>
      </c>
      <c r="M1234">
        <v>9750</v>
      </c>
      <c r="N1234" t="s">
        <v>50</v>
      </c>
      <c r="O1234">
        <f t="shared" si="38"/>
        <v>9750</v>
      </c>
      <c r="P1234" s="13">
        <f t="shared" si="39"/>
        <v>2651233</v>
      </c>
      <c r="Q1234" s="13">
        <f>SUMIFS(M:M,E:E,Online_eCommerce[[#This Row],[Status]])</f>
        <v>28620410</v>
      </c>
      <c r="R1234" s="13">
        <f>SUMIFS(L:L,H:H,Online_eCommerce[[#This Row],[Brand]])</f>
        <v>10950150</v>
      </c>
      <c r="S1234" s="13">
        <f>SUMIF(H:H,Online_eCommerce[[#This Row],[Brand]],M:M)</f>
        <v>14235195</v>
      </c>
      <c r="T1234" s="13">
        <f>SUMIF(N:N,Online_eCommerce[[#This Row],[Assigned Supervisor]],L:L)</f>
        <v>12100590</v>
      </c>
    </row>
    <row r="1235" spans="1:20" hidden="1" x14ac:dyDescent="0.3">
      <c r="A1235" t="s">
        <v>1887</v>
      </c>
      <c r="B1235" t="s">
        <v>37</v>
      </c>
      <c r="C1235" t="s">
        <v>105</v>
      </c>
      <c r="D1235" t="s">
        <v>1886</v>
      </c>
      <c r="E1235" t="s">
        <v>96</v>
      </c>
      <c r="F1235" t="s">
        <v>1865</v>
      </c>
      <c r="G1235" t="s">
        <v>77</v>
      </c>
      <c r="H1235" t="s">
        <v>78</v>
      </c>
      <c r="I1235">
        <v>10000</v>
      </c>
      <c r="J1235">
        <v>13000</v>
      </c>
      <c r="K1235">
        <v>3</v>
      </c>
      <c r="L1235">
        <v>30000</v>
      </c>
      <c r="M1235">
        <v>39000</v>
      </c>
      <c r="N1235" t="s">
        <v>56</v>
      </c>
      <c r="O1235">
        <f t="shared" si="38"/>
        <v>39000</v>
      </c>
      <c r="P1235" s="13">
        <f t="shared" si="39"/>
        <v>1866852</v>
      </c>
      <c r="Q1235" s="13">
        <f>SUMIFS(M:M,E:E,Online_eCommerce[[#This Row],[Status]])</f>
        <v>21233992</v>
      </c>
      <c r="R1235" s="13">
        <f>SUMIFS(L:L,H:H,Online_eCommerce[[#This Row],[Brand]])</f>
        <v>3720000</v>
      </c>
      <c r="S1235" s="13">
        <f>SUMIF(H:H,Online_eCommerce[[#This Row],[Brand]],M:M)</f>
        <v>4836000</v>
      </c>
      <c r="T1235" s="13">
        <f>SUMIF(N:N,Online_eCommerce[[#This Row],[Assigned Supervisor]],L:L)</f>
        <v>11733610</v>
      </c>
    </row>
    <row r="1236" spans="1:20" hidden="1" x14ac:dyDescent="0.3">
      <c r="A1236" t="s">
        <v>1888</v>
      </c>
      <c r="B1236" t="s">
        <v>37</v>
      </c>
      <c r="C1236" t="s">
        <v>110</v>
      </c>
      <c r="D1236" t="s">
        <v>1886</v>
      </c>
      <c r="E1236" t="s">
        <v>18</v>
      </c>
      <c r="F1236" t="s">
        <v>1889</v>
      </c>
      <c r="G1236" t="s">
        <v>20</v>
      </c>
      <c r="H1236" t="s">
        <v>21</v>
      </c>
      <c r="I1236">
        <v>10500</v>
      </c>
      <c r="J1236">
        <v>13650</v>
      </c>
      <c r="K1236">
        <v>3</v>
      </c>
      <c r="L1236">
        <v>31500</v>
      </c>
      <c r="M1236">
        <v>40950</v>
      </c>
      <c r="N1236" t="s">
        <v>22</v>
      </c>
      <c r="O1236">
        <f t="shared" si="38"/>
        <v>8450</v>
      </c>
      <c r="P1236" s="13">
        <f t="shared" si="39"/>
        <v>2598635</v>
      </c>
      <c r="Q1236" s="13">
        <f>SUMIFS(M:M,E:E,Online_eCommerce[[#This Row],[Status]])</f>
        <v>28340455</v>
      </c>
      <c r="R1236" s="13">
        <f>SUMIFS(L:L,H:H,Online_eCommerce[[#This Row],[Brand]])</f>
        <v>12435650</v>
      </c>
      <c r="S1236" s="13">
        <f>SUMIF(H:H,Online_eCommerce[[#This Row],[Brand]],M:M)</f>
        <v>16166345</v>
      </c>
      <c r="T1236" s="13">
        <f>SUMIF(N:N,Online_eCommerce[[#This Row],[Assigned Supervisor]],L:L)</f>
        <v>13693220</v>
      </c>
    </row>
    <row r="1237" spans="1:20" hidden="1" x14ac:dyDescent="0.3">
      <c r="A1237" t="s">
        <v>1890</v>
      </c>
      <c r="B1237" t="s">
        <v>37</v>
      </c>
      <c r="C1237" t="s">
        <v>115</v>
      </c>
      <c r="D1237" t="s">
        <v>1886</v>
      </c>
      <c r="E1237" t="s">
        <v>161</v>
      </c>
      <c r="F1237" t="s">
        <v>88</v>
      </c>
      <c r="G1237" t="s">
        <v>26</v>
      </c>
      <c r="H1237" t="s">
        <v>27</v>
      </c>
      <c r="I1237">
        <v>8500</v>
      </c>
      <c r="J1237">
        <v>11050</v>
      </c>
      <c r="K1237">
        <v>1</v>
      </c>
      <c r="L1237">
        <v>8500</v>
      </c>
      <c r="M1237">
        <v>11050</v>
      </c>
      <c r="N1237" t="s">
        <v>28</v>
      </c>
      <c r="O1237">
        <f t="shared" si="38"/>
        <v>33150</v>
      </c>
      <c r="P1237" s="13">
        <f t="shared" si="39"/>
        <v>2050178</v>
      </c>
      <c r="Q1237" s="13">
        <f>SUMIFS(M:M,E:E,Online_eCommerce[[#This Row],[Status]])</f>
        <v>21103186</v>
      </c>
      <c r="R1237" s="13">
        <f>SUMIFS(L:L,H:H,Online_eCommerce[[#This Row],[Brand]])</f>
        <v>14431000</v>
      </c>
      <c r="S1237" s="13">
        <f>SUMIF(H:H,Online_eCommerce[[#This Row],[Brand]],M:M)</f>
        <v>18760300</v>
      </c>
      <c r="T1237" s="13">
        <f>SUMIF(N:N,Online_eCommerce[[#This Row],[Assigned Supervisor]],L:L)</f>
        <v>12220830</v>
      </c>
    </row>
    <row r="1238" spans="1:20" x14ac:dyDescent="0.3">
      <c r="A1238" t="s">
        <v>1891</v>
      </c>
      <c r="B1238" t="s">
        <v>37</v>
      </c>
      <c r="C1238" t="s">
        <v>120</v>
      </c>
      <c r="D1238" t="s">
        <v>1886</v>
      </c>
      <c r="E1238" t="s">
        <v>46</v>
      </c>
      <c r="F1238" t="s">
        <v>32</v>
      </c>
      <c r="G1238" t="s">
        <v>33</v>
      </c>
      <c r="H1238" t="s">
        <v>34</v>
      </c>
      <c r="I1238">
        <v>7000</v>
      </c>
      <c r="J1238">
        <v>9100</v>
      </c>
      <c r="K1238">
        <v>1</v>
      </c>
      <c r="L1238">
        <v>7000</v>
      </c>
      <c r="M1238">
        <v>9100</v>
      </c>
      <c r="N1238" t="s">
        <v>35</v>
      </c>
      <c r="O1238">
        <f t="shared" si="38"/>
        <v>18200</v>
      </c>
      <c r="P1238" s="13">
        <f t="shared" si="39"/>
        <v>2734212</v>
      </c>
      <c r="Q1238" s="13">
        <f>SUMIFS(M:M,E:E,Online_eCommerce[[#This Row],[Status]])</f>
        <v>28620410</v>
      </c>
      <c r="R1238" s="13">
        <f>SUMIFS(L:L,H:H,Online_eCommerce[[#This Row],[Brand]])</f>
        <v>10087000</v>
      </c>
      <c r="S1238" s="13">
        <f>SUMIF(H:H,Online_eCommerce[[#This Row],[Brand]],M:M)</f>
        <v>13113100</v>
      </c>
      <c r="T1238" s="13">
        <f>SUMIF(N:N,Online_eCommerce[[#This Row],[Assigned Supervisor]],L:L)</f>
        <v>14373360</v>
      </c>
    </row>
    <row r="1239" spans="1:20" hidden="1" x14ac:dyDescent="0.3">
      <c r="A1239" t="s">
        <v>1892</v>
      </c>
      <c r="B1239" t="s">
        <v>37</v>
      </c>
      <c r="C1239" t="s">
        <v>125</v>
      </c>
      <c r="D1239" t="s">
        <v>1893</v>
      </c>
      <c r="E1239" t="s">
        <v>96</v>
      </c>
      <c r="F1239" t="s">
        <v>1894</v>
      </c>
      <c r="G1239" t="s">
        <v>40</v>
      </c>
      <c r="H1239" t="s">
        <v>41</v>
      </c>
      <c r="I1239">
        <v>1680</v>
      </c>
      <c r="J1239">
        <v>2184</v>
      </c>
      <c r="K1239">
        <v>2</v>
      </c>
      <c r="L1239">
        <v>3360</v>
      </c>
      <c r="M1239">
        <v>4368</v>
      </c>
      <c r="N1239" t="s">
        <v>42</v>
      </c>
      <c r="O1239">
        <f t="shared" si="38"/>
        <v>25545</v>
      </c>
      <c r="P1239" s="13">
        <f t="shared" si="39"/>
        <v>2091154</v>
      </c>
      <c r="Q1239" s="13">
        <f>SUMIFS(M:M,E:E,Online_eCommerce[[#This Row],[Status]])</f>
        <v>21233992</v>
      </c>
      <c r="R1239" s="13">
        <f>SUMIFS(L:L,H:H,Online_eCommerce[[#This Row],[Brand]])</f>
        <v>4260400</v>
      </c>
      <c r="S1239" s="13">
        <f>SUMIF(H:H,Online_eCommerce[[#This Row],[Brand]],M:M)</f>
        <v>5538520</v>
      </c>
      <c r="T1239" s="13">
        <f>SUMIF(N:N,Online_eCommerce[[#This Row],[Assigned Supervisor]],L:L)</f>
        <v>12261500</v>
      </c>
    </row>
    <row r="1240" spans="1:20" hidden="1" x14ac:dyDescent="0.3">
      <c r="A1240" t="s">
        <v>1895</v>
      </c>
      <c r="B1240" t="s">
        <v>37</v>
      </c>
      <c r="C1240" t="s">
        <v>22</v>
      </c>
      <c r="D1240" t="s">
        <v>1896</v>
      </c>
      <c r="E1240" t="s">
        <v>18</v>
      </c>
      <c r="F1240" t="s">
        <v>101</v>
      </c>
      <c r="G1240" t="s">
        <v>334</v>
      </c>
      <c r="H1240" t="s">
        <v>102</v>
      </c>
      <c r="I1240">
        <v>6540</v>
      </c>
      <c r="J1240">
        <v>8502</v>
      </c>
      <c r="K1240">
        <v>1</v>
      </c>
      <c r="L1240">
        <v>6540</v>
      </c>
      <c r="M1240">
        <v>8502</v>
      </c>
      <c r="N1240" t="s">
        <v>50</v>
      </c>
      <c r="O1240">
        <f t="shared" si="38"/>
        <v>39780</v>
      </c>
      <c r="P1240" s="13">
        <f t="shared" si="39"/>
        <v>2551588</v>
      </c>
      <c r="Q1240" s="13">
        <f>SUMIFS(M:M,E:E,Online_eCommerce[[#This Row],[Status]])</f>
        <v>28340455</v>
      </c>
      <c r="R1240" s="13">
        <f>SUMIFS(L:L,H:H,Online_eCommerce[[#This Row],[Brand]])</f>
        <v>2465580</v>
      </c>
      <c r="S1240" s="13">
        <f>SUMIF(H:H,Online_eCommerce[[#This Row],[Brand]],M:M)</f>
        <v>3205254</v>
      </c>
      <c r="T1240" s="13">
        <f>SUMIF(N:N,Online_eCommerce[[#This Row],[Assigned Supervisor]],L:L)</f>
        <v>12100590</v>
      </c>
    </row>
    <row r="1241" spans="1:20" hidden="1" x14ac:dyDescent="0.3">
      <c r="A1241" t="s">
        <v>1897</v>
      </c>
      <c r="B1241" t="s">
        <v>37</v>
      </c>
      <c r="C1241" t="s">
        <v>132</v>
      </c>
      <c r="D1241" t="s">
        <v>1898</v>
      </c>
      <c r="E1241" t="s">
        <v>161</v>
      </c>
      <c r="F1241" t="s">
        <v>107</v>
      </c>
      <c r="G1241" t="s">
        <v>54</v>
      </c>
      <c r="H1241" t="s">
        <v>55</v>
      </c>
      <c r="I1241">
        <v>2680</v>
      </c>
      <c r="J1241">
        <v>3484</v>
      </c>
      <c r="K1241">
        <v>2</v>
      </c>
      <c r="L1241">
        <v>5360</v>
      </c>
      <c r="M1241">
        <v>6968</v>
      </c>
      <c r="N1241" t="s">
        <v>56</v>
      </c>
      <c r="O1241">
        <f t="shared" si="38"/>
        <v>2990</v>
      </c>
      <c r="P1241" s="13">
        <f t="shared" si="39"/>
        <v>1989065</v>
      </c>
      <c r="Q1241" s="13">
        <f>SUMIFS(M:M,E:E,Online_eCommerce[[#This Row],[Status]])</f>
        <v>21103186</v>
      </c>
      <c r="R1241" s="13">
        <f>SUMIFS(L:L,H:H,Online_eCommerce[[#This Row],[Brand]])</f>
        <v>2267380</v>
      </c>
      <c r="S1241" s="13">
        <f>SUMIF(H:H,Online_eCommerce[[#This Row],[Brand]],M:M)</f>
        <v>2947594</v>
      </c>
      <c r="T1241" s="13">
        <f>SUMIF(N:N,Online_eCommerce[[#This Row],[Assigned Supervisor]],L:L)</f>
        <v>11733610</v>
      </c>
    </row>
    <row r="1242" spans="1:20" x14ac:dyDescent="0.3">
      <c r="A1242" t="s">
        <v>1899</v>
      </c>
      <c r="B1242" t="s">
        <v>37</v>
      </c>
      <c r="C1242" t="s">
        <v>136</v>
      </c>
      <c r="D1242" t="s">
        <v>1900</v>
      </c>
      <c r="E1242" t="s">
        <v>46</v>
      </c>
      <c r="F1242" t="s">
        <v>112</v>
      </c>
      <c r="G1242" t="s">
        <v>71</v>
      </c>
      <c r="H1242" t="s">
        <v>21</v>
      </c>
      <c r="I1242">
        <v>8250</v>
      </c>
      <c r="J1242">
        <v>10725</v>
      </c>
      <c r="K1242">
        <v>1</v>
      </c>
      <c r="L1242">
        <v>8250</v>
      </c>
      <c r="M1242">
        <v>10725</v>
      </c>
      <c r="N1242" t="s">
        <v>22</v>
      </c>
      <c r="O1242">
        <f t="shared" si="38"/>
        <v>9750</v>
      </c>
      <c r="P1242" s="13">
        <f t="shared" si="39"/>
        <v>2775162</v>
      </c>
      <c r="Q1242" s="13">
        <f>SUMIFS(M:M,E:E,Online_eCommerce[[#This Row],[Status]])</f>
        <v>28620410</v>
      </c>
      <c r="R1242" s="13">
        <f>SUMIFS(L:L,H:H,Online_eCommerce[[#This Row],[Brand]])</f>
        <v>12435650</v>
      </c>
      <c r="S1242" s="13">
        <f>SUMIF(H:H,Online_eCommerce[[#This Row],[Brand]],M:M)</f>
        <v>16166345</v>
      </c>
      <c r="T1242" s="13">
        <f>SUMIF(N:N,Online_eCommerce[[#This Row],[Assigned Supervisor]],L:L)</f>
        <v>13693220</v>
      </c>
    </row>
    <row r="1243" spans="1:20" hidden="1" x14ac:dyDescent="0.3">
      <c r="A1243" t="s">
        <v>1901</v>
      </c>
      <c r="B1243" t="s">
        <v>37</v>
      </c>
      <c r="C1243" t="s">
        <v>140</v>
      </c>
      <c r="D1243" t="s">
        <v>1902</v>
      </c>
      <c r="E1243" t="s">
        <v>96</v>
      </c>
      <c r="F1243" t="s">
        <v>1471</v>
      </c>
      <c r="G1243" t="s">
        <v>40</v>
      </c>
      <c r="H1243" t="s">
        <v>21</v>
      </c>
      <c r="I1243">
        <v>2650</v>
      </c>
      <c r="J1243">
        <v>3445</v>
      </c>
      <c r="K1243">
        <v>4</v>
      </c>
      <c r="L1243">
        <v>10600</v>
      </c>
      <c r="M1243">
        <v>13780</v>
      </c>
      <c r="N1243" t="s">
        <v>28</v>
      </c>
      <c r="O1243">
        <f t="shared" si="38"/>
        <v>25545</v>
      </c>
      <c r="P1243" s="13">
        <f t="shared" si="39"/>
        <v>2058264</v>
      </c>
      <c r="Q1243" s="13">
        <f>SUMIFS(M:M,E:E,Online_eCommerce[[#This Row],[Status]])</f>
        <v>21233992</v>
      </c>
      <c r="R1243" s="13">
        <f>SUMIFS(L:L,H:H,Online_eCommerce[[#This Row],[Brand]])</f>
        <v>12435650</v>
      </c>
      <c r="S1243" s="13">
        <f>SUMIF(H:H,Online_eCommerce[[#This Row],[Brand]],M:M)</f>
        <v>16166345</v>
      </c>
      <c r="T1243" s="13">
        <f>SUMIF(N:N,Online_eCommerce[[#This Row],[Assigned Supervisor]],L:L)</f>
        <v>12220830</v>
      </c>
    </row>
    <row r="1244" spans="1:20" hidden="1" x14ac:dyDescent="0.3">
      <c r="A1244" t="s">
        <v>1903</v>
      </c>
      <c r="B1244" t="s">
        <v>37</v>
      </c>
      <c r="C1244" t="s">
        <v>145</v>
      </c>
      <c r="D1244" t="s">
        <v>1904</v>
      </c>
      <c r="E1244" t="s">
        <v>18</v>
      </c>
      <c r="F1244" t="s">
        <v>121</v>
      </c>
      <c r="G1244" t="s">
        <v>71</v>
      </c>
      <c r="H1244" t="s">
        <v>122</v>
      </c>
      <c r="I1244">
        <v>12550</v>
      </c>
      <c r="J1244">
        <v>16315</v>
      </c>
      <c r="K1244">
        <v>3</v>
      </c>
      <c r="L1244">
        <v>37650</v>
      </c>
      <c r="M1244">
        <v>48945</v>
      </c>
      <c r="N1244" t="s">
        <v>35</v>
      </c>
      <c r="O1244">
        <f t="shared" si="38"/>
        <v>9750</v>
      </c>
      <c r="P1244" s="13">
        <f t="shared" si="39"/>
        <v>2757859</v>
      </c>
      <c r="Q1244" s="13">
        <f>SUMIFS(M:M,E:E,Online_eCommerce[[#This Row],[Status]])</f>
        <v>28340455</v>
      </c>
      <c r="R1244" s="13">
        <f>SUMIFS(L:L,H:H,Online_eCommerce[[#This Row],[Brand]])</f>
        <v>5045100</v>
      </c>
      <c r="S1244" s="13">
        <f>SUMIF(H:H,Online_eCommerce[[#This Row],[Brand]],M:M)</f>
        <v>6558630</v>
      </c>
      <c r="T1244" s="13">
        <f>SUMIF(N:N,Online_eCommerce[[#This Row],[Assigned Supervisor]],L:L)</f>
        <v>14373360</v>
      </c>
    </row>
    <row r="1245" spans="1:20" hidden="1" x14ac:dyDescent="0.3">
      <c r="A1245" t="s">
        <v>1905</v>
      </c>
      <c r="B1245" t="s">
        <v>37</v>
      </c>
      <c r="C1245" t="s">
        <v>150</v>
      </c>
      <c r="D1245" t="s">
        <v>1906</v>
      </c>
      <c r="E1245" t="s">
        <v>161</v>
      </c>
      <c r="F1245" t="s">
        <v>126</v>
      </c>
      <c r="G1245" t="s">
        <v>26</v>
      </c>
      <c r="H1245" t="s">
        <v>27</v>
      </c>
      <c r="I1245">
        <v>14500</v>
      </c>
      <c r="J1245">
        <v>18850</v>
      </c>
      <c r="K1245">
        <v>4</v>
      </c>
      <c r="L1245">
        <v>58000</v>
      </c>
      <c r="M1245">
        <v>75400</v>
      </c>
      <c r="N1245" t="s">
        <v>42</v>
      </c>
      <c r="O1245">
        <f t="shared" si="38"/>
        <v>33150</v>
      </c>
      <c r="P1245" s="13">
        <f t="shared" si="39"/>
        <v>2154984</v>
      </c>
      <c r="Q1245" s="13">
        <f>SUMIFS(M:M,E:E,Online_eCommerce[[#This Row],[Status]])</f>
        <v>21103186</v>
      </c>
      <c r="R1245" s="13">
        <f>SUMIFS(L:L,H:H,Online_eCommerce[[#This Row],[Brand]])</f>
        <v>14431000</v>
      </c>
      <c r="S1245" s="13">
        <f>SUMIF(H:H,Online_eCommerce[[#This Row],[Brand]],M:M)</f>
        <v>18760300</v>
      </c>
      <c r="T1245" s="13">
        <f>SUMIF(N:N,Online_eCommerce[[#This Row],[Assigned Supervisor]],L:L)</f>
        <v>12261500</v>
      </c>
    </row>
    <row r="1246" spans="1:20" x14ac:dyDescent="0.3">
      <c r="A1246" t="s">
        <v>1907</v>
      </c>
      <c r="B1246" t="s">
        <v>149</v>
      </c>
      <c r="C1246" t="s">
        <v>155</v>
      </c>
      <c r="D1246" t="s">
        <v>1908</v>
      </c>
      <c r="E1246" t="s">
        <v>46</v>
      </c>
      <c r="F1246" t="s">
        <v>129</v>
      </c>
      <c r="G1246" t="s">
        <v>60</v>
      </c>
      <c r="H1246" t="s">
        <v>61</v>
      </c>
      <c r="I1246">
        <v>800</v>
      </c>
      <c r="J1246">
        <v>1040</v>
      </c>
      <c r="K1246">
        <v>4</v>
      </c>
      <c r="L1246">
        <v>3200</v>
      </c>
      <c r="M1246">
        <v>4160</v>
      </c>
      <c r="N1246" t="s">
        <v>50</v>
      </c>
      <c r="O1246">
        <f t="shared" si="38"/>
        <v>3315</v>
      </c>
      <c r="P1246" s="13">
        <f t="shared" si="39"/>
        <v>2753348</v>
      </c>
      <c r="Q1246" s="13">
        <f>SUMIFS(M:M,E:E,Online_eCommerce[[#This Row],[Status]])</f>
        <v>28620410</v>
      </c>
      <c r="R1246" s="13">
        <f>SUMIFS(L:L,H:H,Online_eCommerce[[#This Row],[Brand]])</f>
        <v>10950150</v>
      </c>
      <c r="S1246" s="13">
        <f>SUMIF(H:H,Online_eCommerce[[#This Row],[Brand]],M:M)</f>
        <v>14235195</v>
      </c>
      <c r="T1246" s="13">
        <f>SUMIF(N:N,Online_eCommerce[[#This Row],[Assigned Supervisor]],L:L)</f>
        <v>12100590</v>
      </c>
    </row>
    <row r="1247" spans="1:20" hidden="1" x14ac:dyDescent="0.3">
      <c r="A1247" t="s">
        <v>1909</v>
      </c>
      <c r="B1247" t="s">
        <v>154</v>
      </c>
      <c r="C1247" t="s">
        <v>160</v>
      </c>
      <c r="D1247" t="s">
        <v>1910</v>
      </c>
      <c r="E1247" t="s">
        <v>96</v>
      </c>
      <c r="F1247" t="s">
        <v>133</v>
      </c>
      <c r="G1247" t="s">
        <v>66</v>
      </c>
      <c r="H1247" t="s">
        <v>21</v>
      </c>
      <c r="I1247">
        <v>600</v>
      </c>
      <c r="J1247">
        <v>780</v>
      </c>
      <c r="K1247">
        <v>2</v>
      </c>
      <c r="L1247">
        <v>1200</v>
      </c>
      <c r="M1247">
        <v>1560</v>
      </c>
      <c r="N1247" t="s">
        <v>56</v>
      </c>
      <c r="O1247">
        <f t="shared" si="38"/>
        <v>1690</v>
      </c>
      <c r="P1247" s="13">
        <f t="shared" si="39"/>
        <v>2303483</v>
      </c>
      <c r="Q1247" s="13">
        <f>SUMIFS(M:M,E:E,Online_eCommerce[[#This Row],[Status]])</f>
        <v>21233992</v>
      </c>
      <c r="R1247" s="13">
        <f>SUMIFS(L:L,H:H,Online_eCommerce[[#This Row],[Brand]])</f>
        <v>12435650</v>
      </c>
      <c r="S1247" s="13">
        <f>SUMIF(H:H,Online_eCommerce[[#This Row],[Brand]],M:M)</f>
        <v>16166345</v>
      </c>
      <c r="T1247" s="13">
        <f>SUMIF(N:N,Online_eCommerce[[#This Row],[Assigned Supervisor]],L:L)</f>
        <v>11733610</v>
      </c>
    </row>
    <row r="1248" spans="1:20" hidden="1" x14ac:dyDescent="0.3">
      <c r="A1248" t="s">
        <v>1911</v>
      </c>
      <c r="B1248" t="s">
        <v>159</v>
      </c>
      <c r="C1248" t="s">
        <v>165</v>
      </c>
      <c r="D1248" t="s">
        <v>1912</v>
      </c>
      <c r="E1248" t="s">
        <v>18</v>
      </c>
      <c r="F1248" t="s">
        <v>137</v>
      </c>
      <c r="G1248" t="s">
        <v>71</v>
      </c>
      <c r="H1248" t="s">
        <v>61</v>
      </c>
      <c r="I1248">
        <v>10500</v>
      </c>
      <c r="J1248">
        <v>13650</v>
      </c>
      <c r="K1248">
        <v>4</v>
      </c>
      <c r="L1248">
        <v>42000</v>
      </c>
      <c r="M1248">
        <v>54600</v>
      </c>
      <c r="N1248" t="s">
        <v>22</v>
      </c>
      <c r="O1248">
        <f t="shared" si="38"/>
        <v>9750</v>
      </c>
      <c r="P1248" s="13">
        <f t="shared" si="39"/>
        <v>2674087</v>
      </c>
      <c r="Q1248" s="13">
        <f>SUMIFS(M:M,E:E,Online_eCommerce[[#This Row],[Status]])</f>
        <v>28340455</v>
      </c>
      <c r="R1248" s="13">
        <f>SUMIFS(L:L,H:H,Online_eCommerce[[#This Row],[Brand]])</f>
        <v>10950150</v>
      </c>
      <c r="S1248" s="13">
        <f>SUMIF(H:H,Online_eCommerce[[#This Row],[Brand]],M:M)</f>
        <v>14235195</v>
      </c>
      <c r="T1248" s="13">
        <f>SUMIF(N:N,Online_eCommerce[[#This Row],[Assigned Supervisor]],L:L)</f>
        <v>13693220</v>
      </c>
    </row>
    <row r="1249" spans="1:20" hidden="1" x14ac:dyDescent="0.3">
      <c r="A1249" t="s">
        <v>1913</v>
      </c>
      <c r="B1249" t="s">
        <v>139</v>
      </c>
      <c r="C1249" t="s">
        <v>168</v>
      </c>
      <c r="D1249" t="s">
        <v>1914</v>
      </c>
      <c r="E1249" t="s">
        <v>161</v>
      </c>
      <c r="F1249" t="s">
        <v>1865</v>
      </c>
      <c r="G1249" t="s">
        <v>77</v>
      </c>
      <c r="H1249" t="s">
        <v>142</v>
      </c>
      <c r="I1249">
        <v>6500</v>
      </c>
      <c r="J1249">
        <v>8450</v>
      </c>
      <c r="K1249">
        <v>4</v>
      </c>
      <c r="L1249">
        <v>26000</v>
      </c>
      <c r="M1249">
        <v>33800</v>
      </c>
      <c r="N1249" t="s">
        <v>28</v>
      </c>
      <c r="O1249">
        <f t="shared" si="38"/>
        <v>39000</v>
      </c>
      <c r="P1249" s="13">
        <f t="shared" si="39"/>
        <v>1937780</v>
      </c>
      <c r="Q1249" s="13">
        <f>SUMIFS(M:M,E:E,Online_eCommerce[[#This Row],[Status]])</f>
        <v>21103186</v>
      </c>
      <c r="R1249" s="13">
        <f>SUMIFS(L:L,H:H,Online_eCommerce[[#This Row],[Brand]])</f>
        <v>6192500</v>
      </c>
      <c r="S1249" s="13">
        <f>SUMIF(H:H,Online_eCommerce[[#This Row],[Brand]],M:M)</f>
        <v>8050250</v>
      </c>
      <c r="T1249" s="13">
        <f>SUMIF(N:N,Online_eCommerce[[#This Row],[Assigned Supervisor]],L:L)</f>
        <v>12220830</v>
      </c>
    </row>
    <row r="1250" spans="1:20" x14ac:dyDescent="0.3">
      <c r="A1250" t="s">
        <v>1915</v>
      </c>
      <c r="B1250" t="s">
        <v>144</v>
      </c>
      <c r="C1250" t="s">
        <v>172</v>
      </c>
      <c r="D1250" t="s">
        <v>1916</v>
      </c>
      <c r="E1250" t="s">
        <v>46</v>
      </c>
      <c r="F1250" t="s">
        <v>1917</v>
      </c>
      <c r="G1250" t="s">
        <v>20</v>
      </c>
      <c r="H1250" t="s">
        <v>21</v>
      </c>
      <c r="I1250">
        <v>4500</v>
      </c>
      <c r="J1250">
        <v>5850</v>
      </c>
      <c r="K1250">
        <v>3</v>
      </c>
      <c r="L1250">
        <v>13500</v>
      </c>
      <c r="M1250">
        <v>17550</v>
      </c>
      <c r="N1250" t="s">
        <v>35</v>
      </c>
      <c r="O1250">
        <f t="shared" si="38"/>
        <v>8450</v>
      </c>
      <c r="P1250" s="13">
        <f t="shared" si="39"/>
        <v>2640274</v>
      </c>
      <c r="Q1250" s="13">
        <f>SUMIFS(M:M,E:E,Online_eCommerce[[#This Row],[Status]])</f>
        <v>28620410</v>
      </c>
      <c r="R1250" s="13">
        <f>SUMIFS(L:L,H:H,Online_eCommerce[[#This Row],[Brand]])</f>
        <v>12435650</v>
      </c>
      <c r="S1250" s="13">
        <f>SUMIF(H:H,Online_eCommerce[[#This Row],[Brand]],M:M)</f>
        <v>16166345</v>
      </c>
      <c r="T1250" s="13">
        <f>SUMIF(N:N,Online_eCommerce[[#This Row],[Assigned Supervisor]],L:L)</f>
        <v>14373360</v>
      </c>
    </row>
    <row r="1251" spans="1:20" hidden="1" x14ac:dyDescent="0.3">
      <c r="A1251" t="s">
        <v>1918</v>
      </c>
      <c r="B1251" t="s">
        <v>37</v>
      </c>
      <c r="C1251" t="s">
        <v>177</v>
      </c>
      <c r="D1251" t="s">
        <v>1919</v>
      </c>
      <c r="E1251" t="s">
        <v>96</v>
      </c>
      <c r="F1251" t="s">
        <v>152</v>
      </c>
      <c r="G1251" t="s">
        <v>26</v>
      </c>
      <c r="H1251" t="s">
        <v>27</v>
      </c>
      <c r="I1251">
        <v>8500</v>
      </c>
      <c r="J1251">
        <v>11050</v>
      </c>
      <c r="K1251">
        <v>4</v>
      </c>
      <c r="L1251">
        <v>34000</v>
      </c>
      <c r="M1251">
        <v>44200</v>
      </c>
      <c r="N1251" t="s">
        <v>42</v>
      </c>
      <c r="O1251">
        <f t="shared" si="38"/>
        <v>33150</v>
      </c>
      <c r="P1251" s="13">
        <f t="shared" si="39"/>
        <v>1863810</v>
      </c>
      <c r="Q1251" s="13">
        <f>SUMIFS(M:M,E:E,Online_eCommerce[[#This Row],[Status]])</f>
        <v>21233992</v>
      </c>
      <c r="R1251" s="13">
        <f>SUMIFS(L:L,H:H,Online_eCommerce[[#This Row],[Brand]])</f>
        <v>14431000</v>
      </c>
      <c r="S1251" s="13">
        <f>SUMIF(H:H,Online_eCommerce[[#This Row],[Brand]],M:M)</f>
        <v>18760300</v>
      </c>
      <c r="T1251" s="13">
        <f>SUMIF(N:N,Online_eCommerce[[#This Row],[Assigned Supervisor]],L:L)</f>
        <v>12261500</v>
      </c>
    </row>
    <row r="1252" spans="1:20" hidden="1" x14ac:dyDescent="0.3">
      <c r="A1252" t="s">
        <v>1920</v>
      </c>
      <c r="B1252" t="s">
        <v>37</v>
      </c>
      <c r="C1252" t="s">
        <v>181</v>
      </c>
      <c r="D1252" t="s">
        <v>1921</v>
      </c>
      <c r="E1252" t="s">
        <v>18</v>
      </c>
      <c r="F1252" t="s">
        <v>157</v>
      </c>
      <c r="G1252" t="s">
        <v>33</v>
      </c>
      <c r="H1252" t="s">
        <v>34</v>
      </c>
      <c r="I1252">
        <v>12500</v>
      </c>
      <c r="J1252">
        <v>16250</v>
      </c>
      <c r="K1252">
        <v>3</v>
      </c>
      <c r="L1252">
        <v>37500</v>
      </c>
      <c r="M1252">
        <v>48750</v>
      </c>
      <c r="N1252" t="s">
        <v>50</v>
      </c>
      <c r="O1252">
        <f t="shared" si="38"/>
        <v>18200</v>
      </c>
      <c r="P1252" s="13">
        <f t="shared" si="39"/>
        <v>2577458</v>
      </c>
      <c r="Q1252" s="13">
        <f>SUMIFS(M:M,E:E,Online_eCommerce[[#This Row],[Status]])</f>
        <v>28340455</v>
      </c>
      <c r="R1252" s="13">
        <f>SUMIFS(L:L,H:H,Online_eCommerce[[#This Row],[Brand]])</f>
        <v>10087000</v>
      </c>
      <c r="S1252" s="13">
        <f>SUMIF(H:H,Online_eCommerce[[#This Row],[Brand]],M:M)</f>
        <v>13113100</v>
      </c>
      <c r="T1252" s="13">
        <f>SUMIF(N:N,Online_eCommerce[[#This Row],[Assigned Supervisor]],L:L)</f>
        <v>12100590</v>
      </c>
    </row>
    <row r="1253" spans="1:20" hidden="1" x14ac:dyDescent="0.3">
      <c r="A1253" t="s">
        <v>1922</v>
      </c>
      <c r="B1253" t="s">
        <v>37</v>
      </c>
      <c r="C1253" t="s">
        <v>185</v>
      </c>
      <c r="D1253" t="s">
        <v>1923</v>
      </c>
      <c r="E1253" t="s">
        <v>161</v>
      </c>
      <c r="F1253" t="s">
        <v>1514</v>
      </c>
      <c r="G1253" t="s">
        <v>163</v>
      </c>
      <c r="H1253" t="s">
        <v>41</v>
      </c>
      <c r="I1253">
        <v>3500</v>
      </c>
      <c r="J1253">
        <v>4550</v>
      </c>
      <c r="K1253">
        <v>2</v>
      </c>
      <c r="L1253">
        <v>7000</v>
      </c>
      <c r="M1253">
        <v>9100</v>
      </c>
      <c r="N1253" t="s">
        <v>56</v>
      </c>
      <c r="O1253">
        <f t="shared" si="38"/>
        <v>13650</v>
      </c>
      <c r="P1253" s="13">
        <f t="shared" si="39"/>
        <v>2091596</v>
      </c>
      <c r="Q1253" s="13">
        <f>SUMIFS(M:M,E:E,Online_eCommerce[[#This Row],[Status]])</f>
        <v>21103186</v>
      </c>
      <c r="R1253" s="13">
        <f>SUMIFS(L:L,H:H,Online_eCommerce[[#This Row],[Brand]])</f>
        <v>4260400</v>
      </c>
      <c r="S1253" s="13">
        <f>SUMIF(H:H,Online_eCommerce[[#This Row],[Brand]],M:M)</f>
        <v>5538520</v>
      </c>
      <c r="T1253" s="13">
        <f>SUMIF(N:N,Online_eCommerce[[#This Row],[Assigned Supervisor]],L:L)</f>
        <v>11733610</v>
      </c>
    </row>
    <row r="1254" spans="1:20" x14ac:dyDescent="0.3">
      <c r="A1254" t="s">
        <v>1924</v>
      </c>
      <c r="B1254" t="s">
        <v>37</v>
      </c>
      <c r="C1254" t="s">
        <v>189</v>
      </c>
      <c r="D1254" t="s">
        <v>1925</v>
      </c>
      <c r="E1254" t="s">
        <v>46</v>
      </c>
      <c r="F1254" t="s">
        <v>166</v>
      </c>
      <c r="G1254" t="s">
        <v>66</v>
      </c>
      <c r="H1254" t="s">
        <v>49</v>
      </c>
      <c r="I1254">
        <v>4500</v>
      </c>
      <c r="J1254">
        <v>5850</v>
      </c>
      <c r="K1254">
        <v>4</v>
      </c>
      <c r="L1254">
        <v>18000</v>
      </c>
      <c r="M1254">
        <v>23400</v>
      </c>
      <c r="N1254" t="s">
        <v>22</v>
      </c>
      <c r="O1254">
        <f t="shared" si="38"/>
        <v>1690</v>
      </c>
      <c r="P1254" s="13">
        <f t="shared" si="39"/>
        <v>2740777</v>
      </c>
      <c r="Q1254" s="13">
        <f>SUMIFS(M:M,E:E,Online_eCommerce[[#This Row],[Status]])</f>
        <v>28620410</v>
      </c>
      <c r="R1254" s="13">
        <f>SUMIFS(L:L,H:H,Online_eCommerce[[#This Row],[Brand]])</f>
        <v>4528350</v>
      </c>
      <c r="S1254" s="13">
        <f>SUMIF(H:H,Online_eCommerce[[#This Row],[Brand]],M:M)</f>
        <v>5886855</v>
      </c>
      <c r="T1254" s="13">
        <f>SUMIF(N:N,Online_eCommerce[[#This Row],[Assigned Supervisor]],L:L)</f>
        <v>13693220</v>
      </c>
    </row>
    <row r="1255" spans="1:20" hidden="1" x14ac:dyDescent="0.3">
      <c r="A1255" t="s">
        <v>1926</v>
      </c>
      <c r="B1255" t="s">
        <v>37</v>
      </c>
      <c r="C1255" t="s">
        <v>193</v>
      </c>
      <c r="D1255" t="s">
        <v>1927</v>
      </c>
      <c r="E1255" t="s">
        <v>96</v>
      </c>
      <c r="F1255" t="s">
        <v>1928</v>
      </c>
      <c r="G1255" t="s">
        <v>54</v>
      </c>
      <c r="H1255" t="s">
        <v>55</v>
      </c>
      <c r="I1255">
        <v>2100</v>
      </c>
      <c r="J1255">
        <v>2730</v>
      </c>
      <c r="K1255">
        <v>4</v>
      </c>
      <c r="L1255">
        <v>8400</v>
      </c>
      <c r="M1255">
        <v>10920</v>
      </c>
      <c r="N1255" t="s">
        <v>28</v>
      </c>
      <c r="O1255">
        <f t="shared" si="38"/>
        <v>2990</v>
      </c>
      <c r="P1255" s="13">
        <f t="shared" si="39"/>
        <v>2074774</v>
      </c>
      <c r="Q1255" s="13">
        <f>SUMIFS(M:M,E:E,Online_eCommerce[[#This Row],[Status]])</f>
        <v>21233992</v>
      </c>
      <c r="R1255" s="13">
        <f>SUMIFS(L:L,H:H,Online_eCommerce[[#This Row],[Brand]])</f>
        <v>2267380</v>
      </c>
      <c r="S1255" s="13">
        <f>SUMIF(H:H,Online_eCommerce[[#This Row],[Brand]],M:M)</f>
        <v>2947594</v>
      </c>
      <c r="T1255" s="13">
        <f>SUMIF(N:N,Online_eCommerce[[#This Row],[Assigned Supervisor]],L:L)</f>
        <v>12220830</v>
      </c>
    </row>
    <row r="1256" spans="1:20" hidden="1" x14ac:dyDescent="0.3">
      <c r="A1256" t="s">
        <v>1929</v>
      </c>
      <c r="B1256" t="s">
        <v>37</v>
      </c>
      <c r="C1256" t="s">
        <v>197</v>
      </c>
      <c r="D1256" t="s">
        <v>1930</v>
      </c>
      <c r="E1256" t="s">
        <v>18</v>
      </c>
      <c r="F1256" t="s">
        <v>174</v>
      </c>
      <c r="G1256" t="s">
        <v>60</v>
      </c>
      <c r="H1256" t="s">
        <v>61</v>
      </c>
      <c r="I1256">
        <v>1150</v>
      </c>
      <c r="J1256">
        <v>1495</v>
      </c>
      <c r="K1256">
        <v>3</v>
      </c>
      <c r="L1256">
        <v>3450</v>
      </c>
      <c r="M1256">
        <v>4485</v>
      </c>
      <c r="N1256" t="s">
        <v>35</v>
      </c>
      <c r="O1256">
        <f t="shared" si="38"/>
        <v>3315</v>
      </c>
      <c r="P1256" s="13">
        <f t="shared" si="39"/>
        <v>2829840</v>
      </c>
      <c r="Q1256" s="13">
        <f>SUMIFS(M:M,E:E,Online_eCommerce[[#This Row],[Status]])</f>
        <v>28340455</v>
      </c>
      <c r="R1256" s="13">
        <f>SUMIFS(L:L,H:H,Online_eCommerce[[#This Row],[Brand]])</f>
        <v>10950150</v>
      </c>
      <c r="S1256" s="13">
        <f>SUMIF(H:H,Online_eCommerce[[#This Row],[Brand]],M:M)</f>
        <v>14235195</v>
      </c>
      <c r="T1256" s="13">
        <f>SUMIF(N:N,Online_eCommerce[[#This Row],[Assigned Supervisor]],L:L)</f>
        <v>14373360</v>
      </c>
    </row>
    <row r="1257" spans="1:20" hidden="1" x14ac:dyDescent="0.3">
      <c r="A1257" t="s">
        <v>1931</v>
      </c>
      <c r="B1257" t="s">
        <v>37</v>
      </c>
      <c r="C1257" t="s">
        <v>199</v>
      </c>
      <c r="D1257" t="s">
        <v>1932</v>
      </c>
      <c r="E1257" t="s">
        <v>161</v>
      </c>
      <c r="F1257" t="s">
        <v>179</v>
      </c>
      <c r="G1257" t="s">
        <v>66</v>
      </c>
      <c r="H1257" t="s">
        <v>21</v>
      </c>
      <c r="I1257">
        <v>350</v>
      </c>
      <c r="J1257">
        <v>455</v>
      </c>
      <c r="K1257">
        <v>4</v>
      </c>
      <c r="L1257">
        <v>1400</v>
      </c>
      <c r="M1257">
        <v>1820</v>
      </c>
      <c r="N1257" t="s">
        <v>42</v>
      </c>
      <c r="O1257">
        <f t="shared" si="38"/>
        <v>1690</v>
      </c>
      <c r="P1257" s="13">
        <f t="shared" si="39"/>
        <v>1947361</v>
      </c>
      <c r="Q1257" s="13">
        <f>SUMIFS(M:M,E:E,Online_eCommerce[[#This Row],[Status]])</f>
        <v>21103186</v>
      </c>
      <c r="R1257" s="13">
        <f>SUMIFS(L:L,H:H,Online_eCommerce[[#This Row],[Brand]])</f>
        <v>12435650</v>
      </c>
      <c r="S1257" s="13">
        <f>SUMIF(H:H,Online_eCommerce[[#This Row],[Brand]],M:M)</f>
        <v>16166345</v>
      </c>
      <c r="T1257" s="13">
        <f>SUMIF(N:N,Online_eCommerce[[#This Row],[Assigned Supervisor]],L:L)</f>
        <v>12261500</v>
      </c>
    </row>
    <row r="1258" spans="1:20" x14ac:dyDescent="0.3">
      <c r="A1258" t="s">
        <v>1933</v>
      </c>
      <c r="B1258" t="s">
        <v>37</v>
      </c>
      <c r="C1258" t="s">
        <v>203</v>
      </c>
      <c r="D1258" t="s">
        <v>1934</v>
      </c>
      <c r="E1258" t="s">
        <v>46</v>
      </c>
      <c r="F1258" t="s">
        <v>183</v>
      </c>
      <c r="G1258" t="s">
        <v>71</v>
      </c>
      <c r="H1258" t="s">
        <v>61</v>
      </c>
      <c r="I1258">
        <v>9500</v>
      </c>
      <c r="J1258">
        <v>12350</v>
      </c>
      <c r="K1258">
        <v>4</v>
      </c>
      <c r="L1258">
        <v>38000</v>
      </c>
      <c r="M1258">
        <v>49400</v>
      </c>
      <c r="N1258" t="s">
        <v>50</v>
      </c>
      <c r="O1258">
        <f t="shared" si="38"/>
        <v>9750</v>
      </c>
      <c r="P1258" s="13">
        <f t="shared" si="39"/>
        <v>2559635</v>
      </c>
      <c r="Q1258" s="13">
        <f>SUMIFS(M:M,E:E,Online_eCommerce[[#This Row],[Status]])</f>
        <v>28620410</v>
      </c>
      <c r="R1258" s="13">
        <f>SUMIFS(L:L,H:H,Online_eCommerce[[#This Row],[Brand]])</f>
        <v>10950150</v>
      </c>
      <c r="S1258" s="13">
        <f>SUMIF(H:H,Online_eCommerce[[#This Row],[Brand]],M:M)</f>
        <v>14235195</v>
      </c>
      <c r="T1258" s="13">
        <f>SUMIF(N:N,Online_eCommerce[[#This Row],[Assigned Supervisor]],L:L)</f>
        <v>12100590</v>
      </c>
    </row>
    <row r="1259" spans="1:20" hidden="1" x14ac:dyDescent="0.3">
      <c r="A1259" t="s">
        <v>1935</v>
      </c>
      <c r="B1259" t="s">
        <v>37</v>
      </c>
      <c r="C1259" t="s">
        <v>205</v>
      </c>
      <c r="D1259" t="s">
        <v>1936</v>
      </c>
      <c r="E1259" t="s">
        <v>96</v>
      </c>
      <c r="F1259" t="s">
        <v>1937</v>
      </c>
      <c r="G1259" t="s">
        <v>77</v>
      </c>
      <c r="H1259" t="s">
        <v>142</v>
      </c>
      <c r="I1259">
        <v>10000</v>
      </c>
      <c r="J1259">
        <v>13000</v>
      </c>
      <c r="K1259">
        <v>3</v>
      </c>
      <c r="L1259">
        <v>30000</v>
      </c>
      <c r="M1259">
        <v>39000</v>
      </c>
      <c r="N1259" t="s">
        <v>56</v>
      </c>
      <c r="O1259">
        <f t="shared" si="38"/>
        <v>39000</v>
      </c>
      <c r="P1259" s="13">
        <f t="shared" si="39"/>
        <v>1983254</v>
      </c>
      <c r="Q1259" s="13">
        <f>SUMIFS(M:M,E:E,Online_eCommerce[[#This Row],[Status]])</f>
        <v>21233992</v>
      </c>
      <c r="R1259" s="13">
        <f>SUMIFS(L:L,H:H,Online_eCommerce[[#This Row],[Brand]])</f>
        <v>6192500</v>
      </c>
      <c r="S1259" s="13">
        <f>SUMIF(H:H,Online_eCommerce[[#This Row],[Brand]],M:M)</f>
        <v>8050250</v>
      </c>
      <c r="T1259" s="13">
        <f>SUMIF(N:N,Online_eCommerce[[#This Row],[Assigned Supervisor]],L:L)</f>
        <v>11733610</v>
      </c>
    </row>
    <row r="1260" spans="1:20" hidden="1" x14ac:dyDescent="0.3">
      <c r="A1260" t="s">
        <v>1938</v>
      </c>
      <c r="B1260" t="s">
        <v>37</v>
      </c>
      <c r="C1260" t="s">
        <v>208</v>
      </c>
      <c r="D1260" t="s">
        <v>1939</v>
      </c>
      <c r="E1260" t="s">
        <v>18</v>
      </c>
      <c r="F1260" t="s">
        <v>1940</v>
      </c>
      <c r="G1260" t="s">
        <v>20</v>
      </c>
      <c r="H1260" t="s">
        <v>21</v>
      </c>
      <c r="I1260">
        <v>6500</v>
      </c>
      <c r="J1260">
        <v>8450</v>
      </c>
      <c r="K1260">
        <v>2</v>
      </c>
      <c r="L1260">
        <v>13000</v>
      </c>
      <c r="M1260">
        <v>16900</v>
      </c>
      <c r="N1260" t="s">
        <v>22</v>
      </c>
      <c r="O1260">
        <f t="shared" si="38"/>
        <v>8450</v>
      </c>
      <c r="P1260" s="13">
        <f t="shared" si="39"/>
        <v>2746575</v>
      </c>
      <c r="Q1260" s="13">
        <f>SUMIFS(M:M,E:E,Online_eCommerce[[#This Row],[Status]])</f>
        <v>28340455</v>
      </c>
      <c r="R1260" s="13">
        <f>SUMIFS(L:L,H:H,Online_eCommerce[[#This Row],[Brand]])</f>
        <v>12435650</v>
      </c>
      <c r="S1260" s="13">
        <f>SUMIF(H:H,Online_eCommerce[[#This Row],[Brand]],M:M)</f>
        <v>16166345</v>
      </c>
      <c r="T1260" s="13">
        <f>SUMIF(N:N,Online_eCommerce[[#This Row],[Assigned Supervisor]],L:L)</f>
        <v>13693220</v>
      </c>
    </row>
    <row r="1261" spans="1:20" hidden="1" x14ac:dyDescent="0.3">
      <c r="A1261" t="s">
        <v>1941</v>
      </c>
      <c r="B1261" t="s">
        <v>37</v>
      </c>
      <c r="C1261" t="s">
        <v>211</v>
      </c>
      <c r="D1261" t="s">
        <v>1942</v>
      </c>
      <c r="E1261" t="s">
        <v>161</v>
      </c>
      <c r="F1261" t="s">
        <v>1943</v>
      </c>
      <c r="G1261" t="s">
        <v>26</v>
      </c>
      <c r="H1261" t="s">
        <v>27</v>
      </c>
      <c r="I1261">
        <v>8500</v>
      </c>
      <c r="J1261">
        <v>11050</v>
      </c>
      <c r="K1261">
        <v>2</v>
      </c>
      <c r="L1261">
        <v>17000</v>
      </c>
      <c r="M1261">
        <v>22100</v>
      </c>
      <c r="N1261" t="s">
        <v>28</v>
      </c>
      <c r="O1261">
        <f t="shared" si="38"/>
        <v>33150</v>
      </c>
      <c r="P1261" s="13">
        <f t="shared" si="39"/>
        <v>1809847</v>
      </c>
      <c r="Q1261" s="13">
        <f>SUMIFS(M:M,E:E,Online_eCommerce[[#This Row],[Status]])</f>
        <v>21103186</v>
      </c>
      <c r="R1261" s="13">
        <f>SUMIFS(L:L,H:H,Online_eCommerce[[#This Row],[Brand]])</f>
        <v>14431000</v>
      </c>
      <c r="S1261" s="13">
        <f>SUMIF(H:H,Online_eCommerce[[#This Row],[Brand]],M:M)</f>
        <v>18760300</v>
      </c>
      <c r="T1261" s="13">
        <f>SUMIF(N:N,Online_eCommerce[[#This Row],[Assigned Supervisor]],L:L)</f>
        <v>12220830</v>
      </c>
    </row>
    <row r="1262" spans="1:20" x14ac:dyDescent="0.3">
      <c r="A1262" t="s">
        <v>1944</v>
      </c>
      <c r="B1262" t="s">
        <v>37</v>
      </c>
      <c r="C1262" t="s">
        <v>16</v>
      </c>
      <c r="D1262" t="s">
        <v>1945</v>
      </c>
      <c r="E1262" t="s">
        <v>46</v>
      </c>
      <c r="F1262" t="s">
        <v>32</v>
      </c>
      <c r="G1262" t="s">
        <v>33</v>
      </c>
      <c r="H1262" t="s">
        <v>34</v>
      </c>
      <c r="I1262">
        <v>7000</v>
      </c>
      <c r="J1262">
        <v>9100</v>
      </c>
      <c r="K1262">
        <v>2</v>
      </c>
      <c r="L1262">
        <v>14000</v>
      </c>
      <c r="M1262">
        <v>18200</v>
      </c>
      <c r="N1262" t="s">
        <v>35</v>
      </c>
      <c r="O1262">
        <f t="shared" si="38"/>
        <v>18200</v>
      </c>
      <c r="P1262" s="13">
        <f t="shared" si="39"/>
        <v>2751814</v>
      </c>
      <c r="Q1262" s="13">
        <f>SUMIFS(M:M,E:E,Online_eCommerce[[#This Row],[Status]])</f>
        <v>28620410</v>
      </c>
      <c r="R1262" s="13">
        <f>SUMIFS(L:L,H:H,Online_eCommerce[[#This Row],[Brand]])</f>
        <v>10087000</v>
      </c>
      <c r="S1262" s="13">
        <f>SUMIF(H:H,Online_eCommerce[[#This Row],[Brand]],M:M)</f>
        <v>13113100</v>
      </c>
      <c r="T1262" s="13">
        <f>SUMIF(N:N,Online_eCommerce[[#This Row],[Assigned Supervisor]],L:L)</f>
        <v>14373360</v>
      </c>
    </row>
    <row r="1263" spans="1:20" hidden="1" x14ac:dyDescent="0.3">
      <c r="A1263" t="s">
        <v>1946</v>
      </c>
      <c r="B1263" t="s">
        <v>37</v>
      </c>
      <c r="C1263" t="s">
        <v>24</v>
      </c>
      <c r="D1263" t="s">
        <v>1947</v>
      </c>
      <c r="E1263" t="s">
        <v>96</v>
      </c>
      <c r="F1263" t="s">
        <v>1948</v>
      </c>
      <c r="G1263" t="s">
        <v>163</v>
      </c>
      <c r="H1263" t="s">
        <v>41</v>
      </c>
      <c r="I1263">
        <v>6550</v>
      </c>
      <c r="J1263">
        <v>8515</v>
      </c>
      <c r="K1263">
        <v>1</v>
      </c>
      <c r="L1263">
        <v>6550</v>
      </c>
      <c r="M1263">
        <v>8515</v>
      </c>
      <c r="N1263" t="s">
        <v>42</v>
      </c>
      <c r="O1263">
        <f t="shared" si="38"/>
        <v>13650</v>
      </c>
      <c r="P1263" s="13">
        <f t="shared" si="39"/>
        <v>2009540</v>
      </c>
      <c r="Q1263" s="13">
        <f>SUMIFS(M:M,E:E,Online_eCommerce[[#This Row],[Status]])</f>
        <v>21233992</v>
      </c>
      <c r="R1263" s="13">
        <f>SUMIFS(L:L,H:H,Online_eCommerce[[#This Row],[Brand]])</f>
        <v>4260400</v>
      </c>
      <c r="S1263" s="13">
        <f>SUMIF(H:H,Online_eCommerce[[#This Row],[Brand]],M:M)</f>
        <v>5538520</v>
      </c>
      <c r="T1263" s="13">
        <f>SUMIF(N:N,Online_eCommerce[[#This Row],[Assigned Supervisor]],L:L)</f>
        <v>12261500</v>
      </c>
    </row>
    <row r="1264" spans="1:20" hidden="1" x14ac:dyDescent="0.3">
      <c r="A1264" t="s">
        <v>1949</v>
      </c>
      <c r="B1264" t="s">
        <v>37</v>
      </c>
      <c r="C1264" t="s">
        <v>31</v>
      </c>
      <c r="D1264" t="s">
        <v>1950</v>
      </c>
      <c r="E1264" t="s">
        <v>18</v>
      </c>
      <c r="F1264" t="s">
        <v>47</v>
      </c>
      <c r="G1264" t="s">
        <v>66</v>
      </c>
      <c r="H1264" t="s">
        <v>49</v>
      </c>
      <c r="I1264">
        <v>7650</v>
      </c>
      <c r="J1264">
        <v>9945</v>
      </c>
      <c r="K1264">
        <v>3</v>
      </c>
      <c r="L1264">
        <v>22950</v>
      </c>
      <c r="M1264">
        <v>29835</v>
      </c>
      <c r="N1264" t="s">
        <v>50</v>
      </c>
      <c r="O1264">
        <f t="shared" si="38"/>
        <v>1690</v>
      </c>
      <c r="P1264" s="13">
        <f t="shared" si="39"/>
        <v>2865746</v>
      </c>
      <c r="Q1264" s="13">
        <f>SUMIFS(M:M,E:E,Online_eCommerce[[#This Row],[Status]])</f>
        <v>28340455</v>
      </c>
      <c r="R1264" s="13">
        <f>SUMIFS(L:L,H:H,Online_eCommerce[[#This Row],[Brand]])</f>
        <v>4528350</v>
      </c>
      <c r="S1264" s="13">
        <f>SUMIF(H:H,Online_eCommerce[[#This Row],[Brand]],M:M)</f>
        <v>5886855</v>
      </c>
      <c r="T1264" s="13">
        <f>SUMIF(N:N,Online_eCommerce[[#This Row],[Assigned Supervisor]],L:L)</f>
        <v>12100590</v>
      </c>
    </row>
    <row r="1265" spans="1:20" hidden="1" x14ac:dyDescent="0.3">
      <c r="A1265" t="s">
        <v>1951</v>
      </c>
      <c r="B1265" t="s">
        <v>306</v>
      </c>
      <c r="C1265" t="s">
        <v>38</v>
      </c>
      <c r="D1265" t="s">
        <v>1952</v>
      </c>
      <c r="E1265" t="s">
        <v>161</v>
      </c>
      <c r="F1265" t="s">
        <v>53</v>
      </c>
      <c r="G1265" t="s">
        <v>54</v>
      </c>
      <c r="H1265" t="s">
        <v>55</v>
      </c>
      <c r="I1265">
        <v>1150</v>
      </c>
      <c r="J1265">
        <v>1495</v>
      </c>
      <c r="K1265">
        <v>1</v>
      </c>
      <c r="L1265">
        <v>1150</v>
      </c>
      <c r="M1265">
        <v>1495</v>
      </c>
      <c r="N1265" t="s">
        <v>56</v>
      </c>
      <c r="O1265">
        <f t="shared" si="38"/>
        <v>2990</v>
      </c>
      <c r="P1265" s="13">
        <f t="shared" si="39"/>
        <v>1933997</v>
      </c>
      <c r="Q1265" s="13">
        <f>SUMIFS(M:M,E:E,Online_eCommerce[[#This Row],[Status]])</f>
        <v>21103186</v>
      </c>
      <c r="R1265" s="13">
        <f>SUMIFS(L:L,H:H,Online_eCommerce[[#This Row],[Brand]])</f>
        <v>2267380</v>
      </c>
      <c r="S1265" s="13">
        <f>SUMIF(H:H,Online_eCommerce[[#This Row],[Brand]],M:M)</f>
        <v>2947594</v>
      </c>
      <c r="T1265" s="13">
        <f>SUMIF(N:N,Online_eCommerce[[#This Row],[Assigned Supervisor]],L:L)</f>
        <v>11733610</v>
      </c>
    </row>
    <row r="1266" spans="1:20" x14ac:dyDescent="0.3">
      <c r="A1266" t="s">
        <v>1953</v>
      </c>
      <c r="B1266" t="s">
        <v>528</v>
      </c>
      <c r="C1266" t="s">
        <v>45</v>
      </c>
      <c r="D1266" t="s">
        <v>1954</v>
      </c>
      <c r="E1266" t="s">
        <v>46</v>
      </c>
      <c r="F1266" t="s">
        <v>59</v>
      </c>
      <c r="G1266" t="s">
        <v>60</v>
      </c>
      <c r="H1266" t="s">
        <v>61</v>
      </c>
      <c r="I1266">
        <v>850</v>
      </c>
      <c r="J1266">
        <v>1105</v>
      </c>
      <c r="K1266">
        <v>1</v>
      </c>
      <c r="L1266">
        <v>850</v>
      </c>
      <c r="M1266">
        <v>1105</v>
      </c>
      <c r="N1266" t="s">
        <v>22</v>
      </c>
      <c r="O1266">
        <f t="shared" si="38"/>
        <v>3315</v>
      </c>
      <c r="P1266" s="13">
        <f t="shared" si="39"/>
        <v>2842554</v>
      </c>
      <c r="Q1266" s="13">
        <f>SUMIFS(M:M,E:E,Online_eCommerce[[#This Row],[Status]])</f>
        <v>28620410</v>
      </c>
      <c r="R1266" s="13">
        <f>SUMIFS(L:L,H:H,Online_eCommerce[[#This Row],[Brand]])</f>
        <v>10950150</v>
      </c>
      <c r="S1266" s="13">
        <f>SUMIF(H:H,Online_eCommerce[[#This Row],[Brand]],M:M)</f>
        <v>14235195</v>
      </c>
      <c r="T1266" s="13">
        <f>SUMIF(N:N,Online_eCommerce[[#This Row],[Assigned Supervisor]],L:L)</f>
        <v>13693220</v>
      </c>
    </row>
    <row r="1267" spans="1:20" hidden="1" x14ac:dyDescent="0.3">
      <c r="A1267" t="s">
        <v>1955</v>
      </c>
      <c r="B1267" t="s">
        <v>73</v>
      </c>
      <c r="C1267" t="s">
        <v>52</v>
      </c>
      <c r="D1267" t="s">
        <v>1956</v>
      </c>
      <c r="E1267" t="s">
        <v>96</v>
      </c>
      <c r="F1267" t="s">
        <v>65</v>
      </c>
      <c r="G1267" t="s">
        <v>66</v>
      </c>
      <c r="H1267" t="s">
        <v>21</v>
      </c>
      <c r="I1267">
        <v>650</v>
      </c>
      <c r="J1267">
        <v>845</v>
      </c>
      <c r="K1267">
        <v>3</v>
      </c>
      <c r="L1267">
        <v>1950</v>
      </c>
      <c r="M1267">
        <v>2535</v>
      </c>
      <c r="N1267" t="s">
        <v>28</v>
      </c>
      <c r="O1267">
        <f t="shared" si="38"/>
        <v>1690</v>
      </c>
      <c r="P1267" s="13">
        <f t="shared" si="39"/>
        <v>1955044</v>
      </c>
      <c r="Q1267" s="13">
        <f>SUMIFS(M:M,E:E,Online_eCommerce[[#This Row],[Status]])</f>
        <v>21233992</v>
      </c>
      <c r="R1267" s="13">
        <f>SUMIFS(L:L,H:H,Online_eCommerce[[#This Row],[Brand]])</f>
        <v>12435650</v>
      </c>
      <c r="S1267" s="13">
        <f>SUMIF(H:H,Online_eCommerce[[#This Row],[Brand]],M:M)</f>
        <v>16166345</v>
      </c>
      <c r="T1267" s="13">
        <f>SUMIF(N:N,Online_eCommerce[[#This Row],[Assigned Supervisor]],L:L)</f>
        <v>12220830</v>
      </c>
    </row>
    <row r="1268" spans="1:20" hidden="1" x14ac:dyDescent="0.3">
      <c r="A1268" t="s">
        <v>1957</v>
      </c>
      <c r="B1268" t="s">
        <v>80</v>
      </c>
      <c r="C1268" t="s">
        <v>58</v>
      </c>
      <c r="D1268" t="s">
        <v>1958</v>
      </c>
      <c r="E1268" t="s">
        <v>18</v>
      </c>
      <c r="F1268" t="s">
        <v>70</v>
      </c>
      <c r="G1268" t="s">
        <v>71</v>
      </c>
      <c r="H1268" t="s">
        <v>61</v>
      </c>
      <c r="I1268">
        <v>7500</v>
      </c>
      <c r="J1268">
        <v>9750</v>
      </c>
      <c r="K1268">
        <v>3</v>
      </c>
      <c r="L1268">
        <v>22500</v>
      </c>
      <c r="M1268">
        <v>29250</v>
      </c>
      <c r="N1268" t="s">
        <v>35</v>
      </c>
      <c r="O1268">
        <f t="shared" si="38"/>
        <v>9750</v>
      </c>
      <c r="P1268" s="13">
        <f t="shared" si="39"/>
        <v>2629211</v>
      </c>
      <c r="Q1268" s="13">
        <f>SUMIFS(M:M,E:E,Online_eCommerce[[#This Row],[Status]])</f>
        <v>28340455</v>
      </c>
      <c r="R1268" s="13">
        <f>SUMIFS(L:L,H:H,Online_eCommerce[[#This Row],[Brand]])</f>
        <v>10950150</v>
      </c>
      <c r="S1268" s="13">
        <f>SUMIF(H:H,Online_eCommerce[[#This Row],[Brand]],M:M)</f>
        <v>14235195</v>
      </c>
      <c r="T1268" s="13">
        <f>SUMIF(N:N,Online_eCommerce[[#This Row],[Assigned Supervisor]],L:L)</f>
        <v>14373360</v>
      </c>
    </row>
    <row r="1269" spans="1:20" hidden="1" x14ac:dyDescent="0.3">
      <c r="A1269" t="s">
        <v>1959</v>
      </c>
      <c r="B1269" t="s">
        <v>85</v>
      </c>
      <c r="C1269" t="s">
        <v>63</v>
      </c>
      <c r="D1269" t="s">
        <v>1960</v>
      </c>
      <c r="E1269" t="s">
        <v>161</v>
      </c>
      <c r="F1269" t="s">
        <v>1937</v>
      </c>
      <c r="G1269" t="s">
        <v>77</v>
      </c>
      <c r="H1269" t="s">
        <v>78</v>
      </c>
      <c r="I1269">
        <v>10000</v>
      </c>
      <c r="J1269">
        <v>13000</v>
      </c>
      <c r="K1269">
        <v>1</v>
      </c>
      <c r="L1269">
        <v>10000</v>
      </c>
      <c r="M1269">
        <v>13000</v>
      </c>
      <c r="N1269" t="s">
        <v>42</v>
      </c>
      <c r="O1269">
        <f t="shared" si="38"/>
        <v>39000</v>
      </c>
      <c r="P1269" s="13">
        <f t="shared" si="39"/>
        <v>2016131</v>
      </c>
      <c r="Q1269" s="13">
        <f>SUMIFS(M:M,E:E,Online_eCommerce[[#This Row],[Status]])</f>
        <v>21103186</v>
      </c>
      <c r="R1269" s="13">
        <f>SUMIFS(L:L,H:H,Online_eCommerce[[#This Row],[Brand]])</f>
        <v>3720000</v>
      </c>
      <c r="S1269" s="13">
        <f>SUMIF(H:H,Online_eCommerce[[#This Row],[Brand]],M:M)</f>
        <v>4836000</v>
      </c>
      <c r="T1269" s="13">
        <f>SUMIF(N:N,Online_eCommerce[[#This Row],[Assigned Supervisor]],L:L)</f>
        <v>12261500</v>
      </c>
    </row>
    <row r="1270" spans="1:20" x14ac:dyDescent="0.3">
      <c r="A1270" t="s">
        <v>1961</v>
      </c>
      <c r="B1270" t="s">
        <v>37</v>
      </c>
      <c r="C1270" t="s">
        <v>68</v>
      </c>
      <c r="D1270" t="s">
        <v>1962</v>
      </c>
      <c r="E1270" t="s">
        <v>46</v>
      </c>
      <c r="F1270" t="s">
        <v>1963</v>
      </c>
      <c r="G1270" t="s">
        <v>20</v>
      </c>
      <c r="H1270" t="s">
        <v>21</v>
      </c>
      <c r="I1270">
        <v>10500</v>
      </c>
      <c r="J1270">
        <v>13650</v>
      </c>
      <c r="K1270">
        <v>3</v>
      </c>
      <c r="L1270">
        <v>31500</v>
      </c>
      <c r="M1270">
        <v>40950</v>
      </c>
      <c r="N1270" t="s">
        <v>50</v>
      </c>
      <c r="O1270">
        <f t="shared" si="38"/>
        <v>8450</v>
      </c>
      <c r="P1270" s="13">
        <f t="shared" si="39"/>
        <v>2974621</v>
      </c>
      <c r="Q1270" s="13">
        <f>SUMIFS(M:M,E:E,Online_eCommerce[[#This Row],[Status]])</f>
        <v>28620410</v>
      </c>
      <c r="R1270" s="13">
        <f>SUMIFS(L:L,H:H,Online_eCommerce[[#This Row],[Brand]])</f>
        <v>12435650</v>
      </c>
      <c r="S1270" s="13">
        <f>SUMIF(H:H,Online_eCommerce[[#This Row],[Brand]],M:M)</f>
        <v>16166345</v>
      </c>
      <c r="T1270" s="13">
        <f>SUMIF(N:N,Online_eCommerce[[#This Row],[Assigned Supervisor]],L:L)</f>
        <v>12100590</v>
      </c>
    </row>
    <row r="1271" spans="1:20" hidden="1" x14ac:dyDescent="0.3">
      <c r="A1271" t="s">
        <v>1964</v>
      </c>
      <c r="B1271" t="s">
        <v>37</v>
      </c>
      <c r="C1271" t="s">
        <v>74</v>
      </c>
      <c r="D1271" t="s">
        <v>1965</v>
      </c>
      <c r="E1271" t="s">
        <v>96</v>
      </c>
      <c r="F1271" t="s">
        <v>88</v>
      </c>
      <c r="G1271" t="s">
        <v>26</v>
      </c>
      <c r="H1271" t="s">
        <v>27</v>
      </c>
      <c r="I1271">
        <v>8500</v>
      </c>
      <c r="J1271">
        <v>11050</v>
      </c>
      <c r="K1271">
        <v>2</v>
      </c>
      <c r="L1271">
        <v>17000</v>
      </c>
      <c r="M1271">
        <v>22100</v>
      </c>
      <c r="N1271" t="s">
        <v>56</v>
      </c>
      <c r="O1271">
        <f t="shared" si="38"/>
        <v>33150</v>
      </c>
      <c r="P1271" s="13">
        <f t="shared" si="39"/>
        <v>2144701</v>
      </c>
      <c r="Q1271" s="13">
        <f>SUMIFS(M:M,E:E,Online_eCommerce[[#This Row],[Status]])</f>
        <v>21233992</v>
      </c>
      <c r="R1271" s="13">
        <f>SUMIFS(L:L,H:H,Online_eCommerce[[#This Row],[Brand]])</f>
        <v>14431000</v>
      </c>
      <c r="S1271" s="13">
        <f>SUMIF(H:H,Online_eCommerce[[#This Row],[Brand]],M:M)</f>
        <v>18760300</v>
      </c>
      <c r="T1271" s="13">
        <f>SUMIF(N:N,Online_eCommerce[[#This Row],[Assigned Supervisor]],L:L)</f>
        <v>11733610</v>
      </c>
    </row>
    <row r="1272" spans="1:20" hidden="1" x14ac:dyDescent="0.3">
      <c r="A1272" t="s">
        <v>1966</v>
      </c>
      <c r="B1272" t="s">
        <v>37</v>
      </c>
      <c r="C1272" t="s">
        <v>81</v>
      </c>
      <c r="D1272" t="s">
        <v>1967</v>
      </c>
      <c r="E1272" t="s">
        <v>18</v>
      </c>
      <c r="F1272" t="s">
        <v>32</v>
      </c>
      <c r="G1272" t="s">
        <v>33</v>
      </c>
      <c r="H1272" t="s">
        <v>34</v>
      </c>
      <c r="I1272">
        <v>7000</v>
      </c>
      <c r="J1272">
        <v>9100</v>
      </c>
      <c r="K1272">
        <v>2</v>
      </c>
      <c r="L1272">
        <v>14000</v>
      </c>
      <c r="M1272">
        <v>18200</v>
      </c>
      <c r="N1272" t="s">
        <v>22</v>
      </c>
      <c r="O1272">
        <f t="shared" si="38"/>
        <v>18200</v>
      </c>
      <c r="P1272" s="13">
        <f t="shared" si="39"/>
        <v>2595632</v>
      </c>
      <c r="Q1272" s="13">
        <f>SUMIFS(M:M,E:E,Online_eCommerce[[#This Row],[Status]])</f>
        <v>28340455</v>
      </c>
      <c r="R1272" s="13">
        <f>SUMIFS(L:L,H:H,Online_eCommerce[[#This Row],[Brand]])</f>
        <v>10087000</v>
      </c>
      <c r="S1272" s="13">
        <f>SUMIF(H:H,Online_eCommerce[[#This Row],[Brand]],M:M)</f>
        <v>13113100</v>
      </c>
      <c r="T1272" s="13">
        <f>SUMIF(N:N,Online_eCommerce[[#This Row],[Assigned Supervisor]],L:L)</f>
        <v>13693220</v>
      </c>
    </row>
    <row r="1273" spans="1:20" hidden="1" x14ac:dyDescent="0.3">
      <c r="A1273" t="s">
        <v>1968</v>
      </c>
      <c r="B1273" t="s">
        <v>37</v>
      </c>
      <c r="C1273" t="s">
        <v>86</v>
      </c>
      <c r="D1273" t="s">
        <v>1969</v>
      </c>
      <c r="E1273" t="s">
        <v>161</v>
      </c>
      <c r="F1273" t="s">
        <v>1970</v>
      </c>
      <c r="G1273" t="s">
        <v>163</v>
      </c>
      <c r="H1273" t="s">
        <v>41</v>
      </c>
      <c r="I1273">
        <v>1680</v>
      </c>
      <c r="J1273">
        <v>2184</v>
      </c>
      <c r="K1273">
        <v>2</v>
      </c>
      <c r="L1273">
        <v>3360</v>
      </c>
      <c r="M1273">
        <v>4368</v>
      </c>
      <c r="N1273" t="s">
        <v>28</v>
      </c>
      <c r="O1273">
        <f t="shared" si="38"/>
        <v>13650</v>
      </c>
      <c r="P1273" s="13">
        <f t="shared" si="39"/>
        <v>1941225</v>
      </c>
      <c r="Q1273" s="13">
        <f>SUMIFS(M:M,E:E,Online_eCommerce[[#This Row],[Status]])</f>
        <v>21103186</v>
      </c>
      <c r="R1273" s="13">
        <f>SUMIFS(L:L,H:H,Online_eCommerce[[#This Row],[Brand]])</f>
        <v>4260400</v>
      </c>
      <c r="S1273" s="13">
        <f>SUMIF(H:H,Online_eCommerce[[#This Row],[Brand]],M:M)</f>
        <v>5538520</v>
      </c>
      <c r="T1273" s="13">
        <f>SUMIF(N:N,Online_eCommerce[[#This Row],[Assigned Supervisor]],L:L)</f>
        <v>12220830</v>
      </c>
    </row>
    <row r="1274" spans="1:20" x14ac:dyDescent="0.3">
      <c r="A1274" t="s">
        <v>1971</v>
      </c>
      <c r="B1274" t="s">
        <v>37</v>
      </c>
      <c r="C1274" t="s">
        <v>91</v>
      </c>
      <c r="D1274" t="s">
        <v>1972</v>
      </c>
      <c r="E1274" t="s">
        <v>46</v>
      </c>
      <c r="F1274" t="s">
        <v>101</v>
      </c>
      <c r="G1274" t="s">
        <v>66</v>
      </c>
      <c r="H1274" t="s">
        <v>102</v>
      </c>
      <c r="I1274">
        <v>6540</v>
      </c>
      <c r="J1274">
        <v>8502</v>
      </c>
      <c r="K1274">
        <v>2</v>
      </c>
      <c r="L1274">
        <v>13080</v>
      </c>
      <c r="M1274">
        <v>17004</v>
      </c>
      <c r="N1274" t="s">
        <v>35</v>
      </c>
      <c r="O1274">
        <f t="shared" si="38"/>
        <v>1690</v>
      </c>
      <c r="P1274" s="13">
        <f t="shared" si="39"/>
        <v>2731963</v>
      </c>
      <c r="Q1274" s="13">
        <f>SUMIFS(M:M,E:E,Online_eCommerce[[#This Row],[Status]])</f>
        <v>28620410</v>
      </c>
      <c r="R1274" s="13">
        <f>SUMIFS(L:L,H:H,Online_eCommerce[[#This Row],[Brand]])</f>
        <v>2465580</v>
      </c>
      <c r="S1274" s="13">
        <f>SUMIF(H:H,Online_eCommerce[[#This Row],[Brand]],M:M)</f>
        <v>3205254</v>
      </c>
      <c r="T1274" s="13">
        <f>SUMIF(N:N,Online_eCommerce[[#This Row],[Assigned Supervisor]],L:L)</f>
        <v>14373360</v>
      </c>
    </row>
    <row r="1275" spans="1:20" hidden="1" x14ac:dyDescent="0.3">
      <c r="A1275" t="s">
        <v>1973</v>
      </c>
      <c r="B1275" t="s">
        <v>37</v>
      </c>
      <c r="C1275" t="s">
        <v>94</v>
      </c>
      <c r="D1275" t="s">
        <v>1974</v>
      </c>
      <c r="E1275" t="s">
        <v>96</v>
      </c>
      <c r="F1275" t="s">
        <v>107</v>
      </c>
      <c r="G1275" t="s">
        <v>54</v>
      </c>
      <c r="H1275" t="s">
        <v>55</v>
      </c>
      <c r="I1275">
        <v>2680</v>
      </c>
      <c r="J1275">
        <v>3484</v>
      </c>
      <c r="K1275">
        <v>2</v>
      </c>
      <c r="L1275">
        <v>5360</v>
      </c>
      <c r="M1275">
        <v>6968</v>
      </c>
      <c r="N1275" t="s">
        <v>42</v>
      </c>
      <c r="O1275">
        <f t="shared" si="38"/>
        <v>2990</v>
      </c>
      <c r="P1275" s="13">
        <f t="shared" si="39"/>
        <v>1868256</v>
      </c>
      <c r="Q1275" s="13">
        <f>SUMIFS(M:M,E:E,Online_eCommerce[[#This Row],[Status]])</f>
        <v>21233992</v>
      </c>
      <c r="R1275" s="13">
        <f>SUMIFS(L:L,H:H,Online_eCommerce[[#This Row],[Brand]])</f>
        <v>2267380</v>
      </c>
      <c r="S1275" s="13">
        <f>SUMIF(H:H,Online_eCommerce[[#This Row],[Brand]],M:M)</f>
        <v>2947594</v>
      </c>
      <c r="T1275" s="13">
        <f>SUMIF(N:N,Online_eCommerce[[#This Row],[Assigned Supervisor]],L:L)</f>
        <v>12261500</v>
      </c>
    </row>
    <row r="1276" spans="1:20" hidden="1" x14ac:dyDescent="0.3">
      <c r="A1276" t="s">
        <v>1975</v>
      </c>
      <c r="B1276" t="s">
        <v>37</v>
      </c>
      <c r="C1276" t="s">
        <v>99</v>
      </c>
      <c r="D1276" t="s">
        <v>1976</v>
      </c>
      <c r="E1276" t="s">
        <v>18</v>
      </c>
      <c r="F1276" t="s">
        <v>112</v>
      </c>
      <c r="G1276" t="s">
        <v>71</v>
      </c>
      <c r="H1276" t="s">
        <v>21</v>
      </c>
      <c r="I1276">
        <v>8250</v>
      </c>
      <c r="J1276">
        <v>10725</v>
      </c>
      <c r="K1276">
        <v>1</v>
      </c>
      <c r="L1276">
        <v>8250</v>
      </c>
      <c r="M1276">
        <v>10725</v>
      </c>
      <c r="N1276" t="s">
        <v>50</v>
      </c>
      <c r="O1276">
        <f t="shared" si="38"/>
        <v>9750</v>
      </c>
      <c r="P1276" s="13">
        <f t="shared" si="39"/>
        <v>2651233</v>
      </c>
      <c r="Q1276" s="13">
        <f>SUMIFS(M:M,E:E,Online_eCommerce[[#This Row],[Status]])</f>
        <v>28340455</v>
      </c>
      <c r="R1276" s="13">
        <f>SUMIFS(L:L,H:H,Online_eCommerce[[#This Row],[Brand]])</f>
        <v>12435650</v>
      </c>
      <c r="S1276" s="13">
        <f>SUMIF(H:H,Online_eCommerce[[#This Row],[Brand]],M:M)</f>
        <v>16166345</v>
      </c>
      <c r="T1276" s="13">
        <f>SUMIF(N:N,Online_eCommerce[[#This Row],[Assigned Supervisor]],L:L)</f>
        <v>12100590</v>
      </c>
    </row>
    <row r="1277" spans="1:20" hidden="1" x14ac:dyDescent="0.3">
      <c r="A1277" t="s">
        <v>1977</v>
      </c>
      <c r="B1277" t="s">
        <v>37</v>
      </c>
      <c r="C1277" t="s">
        <v>105</v>
      </c>
      <c r="D1277" t="s">
        <v>1978</v>
      </c>
      <c r="E1277" t="s">
        <v>161</v>
      </c>
      <c r="F1277" t="s">
        <v>1514</v>
      </c>
      <c r="G1277" t="s">
        <v>40</v>
      </c>
      <c r="H1277" t="s">
        <v>21</v>
      </c>
      <c r="I1277">
        <v>2650</v>
      </c>
      <c r="J1277">
        <v>3445</v>
      </c>
      <c r="K1277">
        <v>2</v>
      </c>
      <c r="L1277">
        <v>5300</v>
      </c>
      <c r="M1277">
        <v>6890</v>
      </c>
      <c r="N1277" t="s">
        <v>56</v>
      </c>
      <c r="O1277">
        <f t="shared" si="38"/>
        <v>25545</v>
      </c>
      <c r="P1277" s="13">
        <f t="shared" si="39"/>
        <v>1866852</v>
      </c>
      <c r="Q1277" s="13">
        <f>SUMIFS(M:M,E:E,Online_eCommerce[[#This Row],[Status]])</f>
        <v>21103186</v>
      </c>
      <c r="R1277" s="13">
        <f>SUMIFS(L:L,H:H,Online_eCommerce[[#This Row],[Brand]])</f>
        <v>12435650</v>
      </c>
      <c r="S1277" s="13">
        <f>SUMIF(H:H,Online_eCommerce[[#This Row],[Brand]],M:M)</f>
        <v>16166345</v>
      </c>
      <c r="T1277" s="13">
        <f>SUMIF(N:N,Online_eCommerce[[#This Row],[Assigned Supervisor]],L:L)</f>
        <v>11733610</v>
      </c>
    </row>
    <row r="1278" spans="1:20" x14ac:dyDescent="0.3">
      <c r="A1278" t="s">
        <v>1979</v>
      </c>
      <c r="B1278" t="s">
        <v>37</v>
      </c>
      <c r="C1278" t="s">
        <v>110</v>
      </c>
      <c r="D1278" t="s">
        <v>1980</v>
      </c>
      <c r="E1278" t="s">
        <v>46</v>
      </c>
      <c r="F1278" t="s">
        <v>121</v>
      </c>
      <c r="G1278" t="s">
        <v>71</v>
      </c>
      <c r="H1278" t="s">
        <v>122</v>
      </c>
      <c r="I1278">
        <v>12550</v>
      </c>
      <c r="J1278">
        <v>16315</v>
      </c>
      <c r="K1278">
        <v>3</v>
      </c>
      <c r="L1278">
        <v>37650</v>
      </c>
      <c r="M1278">
        <v>48945</v>
      </c>
      <c r="N1278" t="s">
        <v>22</v>
      </c>
      <c r="O1278">
        <f t="shared" si="38"/>
        <v>9750</v>
      </c>
      <c r="P1278" s="13">
        <f t="shared" si="39"/>
        <v>2598635</v>
      </c>
      <c r="Q1278" s="13">
        <f>SUMIFS(M:M,E:E,Online_eCommerce[[#This Row],[Status]])</f>
        <v>28620410</v>
      </c>
      <c r="R1278" s="13">
        <f>SUMIFS(L:L,H:H,Online_eCommerce[[#This Row],[Brand]])</f>
        <v>5045100</v>
      </c>
      <c r="S1278" s="13">
        <f>SUMIF(H:H,Online_eCommerce[[#This Row],[Brand]],M:M)</f>
        <v>6558630</v>
      </c>
      <c r="T1278" s="13">
        <f>SUMIF(N:N,Online_eCommerce[[#This Row],[Assigned Supervisor]],L:L)</f>
        <v>13693220</v>
      </c>
    </row>
    <row r="1279" spans="1:20" hidden="1" x14ac:dyDescent="0.3">
      <c r="A1279" t="s">
        <v>1981</v>
      </c>
      <c r="B1279" t="s">
        <v>37</v>
      </c>
      <c r="C1279" t="s">
        <v>115</v>
      </c>
      <c r="D1279" t="s">
        <v>1982</v>
      </c>
      <c r="E1279" t="s">
        <v>96</v>
      </c>
      <c r="F1279" t="s">
        <v>126</v>
      </c>
      <c r="G1279" t="s">
        <v>26</v>
      </c>
      <c r="H1279" t="s">
        <v>27</v>
      </c>
      <c r="I1279">
        <v>14500</v>
      </c>
      <c r="J1279">
        <v>18850</v>
      </c>
      <c r="K1279">
        <v>2</v>
      </c>
      <c r="L1279">
        <v>29000</v>
      </c>
      <c r="M1279">
        <v>37700</v>
      </c>
      <c r="N1279" t="s">
        <v>28</v>
      </c>
      <c r="O1279">
        <f t="shared" si="38"/>
        <v>33150</v>
      </c>
      <c r="P1279" s="13">
        <f t="shared" si="39"/>
        <v>2050178</v>
      </c>
      <c r="Q1279" s="13">
        <f>SUMIFS(M:M,E:E,Online_eCommerce[[#This Row],[Status]])</f>
        <v>21233992</v>
      </c>
      <c r="R1279" s="13">
        <f>SUMIFS(L:L,H:H,Online_eCommerce[[#This Row],[Brand]])</f>
        <v>14431000</v>
      </c>
      <c r="S1279" s="13">
        <f>SUMIF(H:H,Online_eCommerce[[#This Row],[Brand]],M:M)</f>
        <v>18760300</v>
      </c>
      <c r="T1279" s="13">
        <f>SUMIF(N:N,Online_eCommerce[[#This Row],[Assigned Supervisor]],L:L)</f>
        <v>12220830</v>
      </c>
    </row>
    <row r="1280" spans="1:20" hidden="1" x14ac:dyDescent="0.3">
      <c r="A1280" t="s">
        <v>1983</v>
      </c>
      <c r="B1280" t="s">
        <v>37</v>
      </c>
      <c r="C1280" t="s">
        <v>120</v>
      </c>
      <c r="D1280" t="s">
        <v>1984</v>
      </c>
      <c r="E1280" t="s">
        <v>18</v>
      </c>
      <c r="F1280" t="s">
        <v>129</v>
      </c>
      <c r="G1280" t="s">
        <v>60</v>
      </c>
      <c r="H1280" t="s">
        <v>61</v>
      </c>
      <c r="I1280">
        <v>800</v>
      </c>
      <c r="J1280">
        <v>1040</v>
      </c>
      <c r="K1280">
        <v>3</v>
      </c>
      <c r="L1280">
        <v>2400</v>
      </c>
      <c r="M1280">
        <v>3120</v>
      </c>
      <c r="N1280" t="s">
        <v>35</v>
      </c>
      <c r="O1280">
        <f t="shared" si="38"/>
        <v>3315</v>
      </c>
      <c r="P1280" s="13">
        <f t="shared" si="39"/>
        <v>2734212</v>
      </c>
      <c r="Q1280" s="13">
        <f>SUMIFS(M:M,E:E,Online_eCommerce[[#This Row],[Status]])</f>
        <v>28340455</v>
      </c>
      <c r="R1280" s="13">
        <f>SUMIFS(L:L,H:H,Online_eCommerce[[#This Row],[Brand]])</f>
        <v>10950150</v>
      </c>
      <c r="S1280" s="13">
        <f>SUMIF(H:H,Online_eCommerce[[#This Row],[Brand]],M:M)</f>
        <v>14235195</v>
      </c>
      <c r="T1280" s="13">
        <f>SUMIF(N:N,Online_eCommerce[[#This Row],[Assigned Supervisor]],L:L)</f>
        <v>14373360</v>
      </c>
    </row>
    <row r="1281" spans="1:20" hidden="1" x14ac:dyDescent="0.3">
      <c r="A1281" t="s">
        <v>1985</v>
      </c>
      <c r="B1281" t="s">
        <v>37</v>
      </c>
      <c r="C1281" t="s">
        <v>125</v>
      </c>
      <c r="D1281" t="s">
        <v>1986</v>
      </c>
      <c r="E1281" t="s">
        <v>161</v>
      </c>
      <c r="F1281" t="s">
        <v>133</v>
      </c>
      <c r="G1281" t="s">
        <v>66</v>
      </c>
      <c r="H1281" t="s">
        <v>21</v>
      </c>
      <c r="I1281">
        <v>600</v>
      </c>
      <c r="J1281">
        <v>780</v>
      </c>
      <c r="K1281">
        <v>4</v>
      </c>
      <c r="L1281">
        <v>2400</v>
      </c>
      <c r="M1281">
        <v>3120</v>
      </c>
      <c r="N1281" t="s">
        <v>42</v>
      </c>
      <c r="O1281">
        <f t="shared" si="38"/>
        <v>1690</v>
      </c>
      <c r="P1281" s="13">
        <f t="shared" si="39"/>
        <v>2091154</v>
      </c>
      <c r="Q1281" s="13">
        <f>SUMIFS(M:M,E:E,Online_eCommerce[[#This Row],[Status]])</f>
        <v>21103186</v>
      </c>
      <c r="R1281" s="13">
        <f>SUMIFS(L:L,H:H,Online_eCommerce[[#This Row],[Brand]])</f>
        <v>12435650</v>
      </c>
      <c r="S1281" s="13">
        <f>SUMIF(H:H,Online_eCommerce[[#This Row],[Brand]],M:M)</f>
        <v>16166345</v>
      </c>
      <c r="T1281" s="13">
        <f>SUMIF(N:N,Online_eCommerce[[#This Row],[Assigned Supervisor]],L:L)</f>
        <v>12261500</v>
      </c>
    </row>
    <row r="1282" spans="1:20" x14ac:dyDescent="0.3">
      <c r="A1282" t="s">
        <v>1987</v>
      </c>
      <c r="B1282" t="s">
        <v>37</v>
      </c>
      <c r="C1282" t="s">
        <v>22</v>
      </c>
      <c r="D1282" t="s">
        <v>1988</v>
      </c>
      <c r="E1282" t="s">
        <v>46</v>
      </c>
      <c r="F1282" t="s">
        <v>137</v>
      </c>
      <c r="G1282" t="s">
        <v>71</v>
      </c>
      <c r="H1282" t="s">
        <v>61</v>
      </c>
      <c r="I1282">
        <v>10500</v>
      </c>
      <c r="J1282">
        <v>13650</v>
      </c>
      <c r="K1282">
        <v>1</v>
      </c>
      <c r="L1282">
        <v>10500</v>
      </c>
      <c r="M1282">
        <v>13650</v>
      </c>
      <c r="N1282" t="s">
        <v>50</v>
      </c>
      <c r="O1282">
        <f t="shared" ref="O1282:O1345" si="40">VLOOKUP(G1282,G:M,7,FALSE)</f>
        <v>9750</v>
      </c>
      <c r="P1282" s="13">
        <f t="shared" ref="P1282:P1345" si="41">SUMIFS(M:M,C:C,C1282)</f>
        <v>2551588</v>
      </c>
      <c r="Q1282" s="13">
        <f>SUMIFS(M:M,E:E,Online_eCommerce[[#This Row],[Status]])</f>
        <v>28620410</v>
      </c>
      <c r="R1282" s="13">
        <f>SUMIFS(L:L,H:H,Online_eCommerce[[#This Row],[Brand]])</f>
        <v>10950150</v>
      </c>
      <c r="S1282" s="13">
        <f>SUMIF(H:H,Online_eCommerce[[#This Row],[Brand]],M:M)</f>
        <v>14235195</v>
      </c>
      <c r="T1282" s="13">
        <f>SUMIF(N:N,Online_eCommerce[[#This Row],[Assigned Supervisor]],L:L)</f>
        <v>12100590</v>
      </c>
    </row>
    <row r="1283" spans="1:20" hidden="1" x14ac:dyDescent="0.3">
      <c r="A1283" t="s">
        <v>1989</v>
      </c>
      <c r="B1283" t="s">
        <v>37</v>
      </c>
      <c r="C1283" t="s">
        <v>132</v>
      </c>
      <c r="D1283" t="s">
        <v>1990</v>
      </c>
      <c r="E1283" t="s">
        <v>96</v>
      </c>
      <c r="F1283" t="s">
        <v>1937</v>
      </c>
      <c r="G1283" t="s">
        <v>77</v>
      </c>
      <c r="H1283" t="s">
        <v>142</v>
      </c>
      <c r="I1283">
        <v>6500</v>
      </c>
      <c r="J1283">
        <v>8450</v>
      </c>
      <c r="K1283">
        <v>2</v>
      </c>
      <c r="L1283">
        <v>13000</v>
      </c>
      <c r="M1283">
        <v>16900</v>
      </c>
      <c r="N1283" t="s">
        <v>56</v>
      </c>
      <c r="O1283">
        <f t="shared" si="40"/>
        <v>39000</v>
      </c>
      <c r="P1283" s="13">
        <f t="shared" si="41"/>
        <v>1989065</v>
      </c>
      <c r="Q1283" s="13">
        <f>SUMIFS(M:M,E:E,Online_eCommerce[[#This Row],[Status]])</f>
        <v>21233992</v>
      </c>
      <c r="R1283" s="13">
        <f>SUMIFS(L:L,H:H,Online_eCommerce[[#This Row],[Brand]])</f>
        <v>6192500</v>
      </c>
      <c r="S1283" s="13">
        <f>SUMIF(H:H,Online_eCommerce[[#This Row],[Brand]],M:M)</f>
        <v>8050250</v>
      </c>
      <c r="T1283" s="13">
        <f>SUMIF(N:N,Online_eCommerce[[#This Row],[Assigned Supervisor]],L:L)</f>
        <v>11733610</v>
      </c>
    </row>
    <row r="1284" spans="1:20" hidden="1" x14ac:dyDescent="0.3">
      <c r="A1284" t="s">
        <v>1991</v>
      </c>
      <c r="B1284" t="s">
        <v>154</v>
      </c>
      <c r="C1284" t="s">
        <v>136</v>
      </c>
      <c r="D1284" t="s">
        <v>1992</v>
      </c>
      <c r="E1284" t="s">
        <v>18</v>
      </c>
      <c r="F1284" t="s">
        <v>1993</v>
      </c>
      <c r="G1284" t="s">
        <v>20</v>
      </c>
      <c r="H1284" t="s">
        <v>21</v>
      </c>
      <c r="I1284">
        <v>4500</v>
      </c>
      <c r="J1284">
        <v>5850</v>
      </c>
      <c r="K1284">
        <v>3</v>
      </c>
      <c r="L1284">
        <v>13500</v>
      </c>
      <c r="M1284">
        <v>17550</v>
      </c>
      <c r="N1284" t="s">
        <v>22</v>
      </c>
      <c r="O1284">
        <f t="shared" si="40"/>
        <v>8450</v>
      </c>
      <c r="P1284" s="13">
        <f t="shared" si="41"/>
        <v>2775162</v>
      </c>
      <c r="Q1284" s="13">
        <f>SUMIFS(M:M,E:E,Online_eCommerce[[#This Row],[Status]])</f>
        <v>28340455</v>
      </c>
      <c r="R1284" s="13">
        <f>SUMIFS(L:L,H:H,Online_eCommerce[[#This Row],[Brand]])</f>
        <v>12435650</v>
      </c>
      <c r="S1284" s="13">
        <f>SUMIF(H:H,Online_eCommerce[[#This Row],[Brand]],M:M)</f>
        <v>16166345</v>
      </c>
      <c r="T1284" s="13">
        <f>SUMIF(N:N,Online_eCommerce[[#This Row],[Assigned Supervisor]],L:L)</f>
        <v>13693220</v>
      </c>
    </row>
    <row r="1285" spans="1:20" hidden="1" x14ac:dyDescent="0.3">
      <c r="A1285" t="s">
        <v>1994</v>
      </c>
      <c r="B1285" t="s">
        <v>159</v>
      </c>
      <c r="C1285" t="s">
        <v>140</v>
      </c>
      <c r="D1285" t="s">
        <v>1995</v>
      </c>
      <c r="E1285" t="s">
        <v>161</v>
      </c>
      <c r="F1285" t="s">
        <v>152</v>
      </c>
      <c r="G1285" t="s">
        <v>26</v>
      </c>
      <c r="H1285" t="s">
        <v>27</v>
      </c>
      <c r="I1285">
        <v>8500</v>
      </c>
      <c r="J1285">
        <v>11050</v>
      </c>
      <c r="K1285">
        <v>4</v>
      </c>
      <c r="L1285">
        <v>34000</v>
      </c>
      <c r="M1285">
        <v>44200</v>
      </c>
      <c r="N1285" t="s">
        <v>28</v>
      </c>
      <c r="O1285">
        <f t="shared" si="40"/>
        <v>33150</v>
      </c>
      <c r="P1285" s="13">
        <f t="shared" si="41"/>
        <v>2058264</v>
      </c>
      <c r="Q1285" s="13">
        <f>SUMIFS(M:M,E:E,Online_eCommerce[[#This Row],[Status]])</f>
        <v>21103186</v>
      </c>
      <c r="R1285" s="13">
        <f>SUMIFS(L:L,H:H,Online_eCommerce[[#This Row],[Brand]])</f>
        <v>14431000</v>
      </c>
      <c r="S1285" s="13">
        <f>SUMIF(H:H,Online_eCommerce[[#This Row],[Brand]],M:M)</f>
        <v>18760300</v>
      </c>
      <c r="T1285" s="13">
        <f>SUMIF(N:N,Online_eCommerce[[#This Row],[Assigned Supervisor]],L:L)</f>
        <v>12220830</v>
      </c>
    </row>
    <row r="1286" spans="1:20" x14ac:dyDescent="0.3">
      <c r="A1286" t="s">
        <v>1996</v>
      </c>
      <c r="B1286" t="s">
        <v>139</v>
      </c>
      <c r="C1286" t="s">
        <v>145</v>
      </c>
      <c r="D1286" t="s">
        <v>1995</v>
      </c>
      <c r="E1286" t="s">
        <v>46</v>
      </c>
      <c r="F1286" t="s">
        <v>157</v>
      </c>
      <c r="G1286" t="s">
        <v>33</v>
      </c>
      <c r="H1286" t="s">
        <v>34</v>
      </c>
      <c r="I1286">
        <v>12500</v>
      </c>
      <c r="J1286">
        <v>16250</v>
      </c>
      <c r="K1286">
        <v>3</v>
      </c>
      <c r="L1286">
        <v>37500</v>
      </c>
      <c r="M1286">
        <v>48750</v>
      </c>
      <c r="N1286" t="s">
        <v>35</v>
      </c>
      <c r="O1286">
        <f t="shared" si="40"/>
        <v>18200</v>
      </c>
      <c r="P1286" s="13">
        <f t="shared" si="41"/>
        <v>2757859</v>
      </c>
      <c r="Q1286" s="13">
        <f>SUMIFS(M:M,E:E,Online_eCommerce[[#This Row],[Status]])</f>
        <v>28620410</v>
      </c>
      <c r="R1286" s="13">
        <f>SUMIFS(L:L,H:H,Online_eCommerce[[#This Row],[Brand]])</f>
        <v>10087000</v>
      </c>
      <c r="S1286" s="13">
        <f>SUMIF(H:H,Online_eCommerce[[#This Row],[Brand]],M:M)</f>
        <v>13113100</v>
      </c>
      <c r="T1286" s="13">
        <f>SUMIF(N:N,Online_eCommerce[[#This Row],[Assigned Supervisor]],L:L)</f>
        <v>14373360</v>
      </c>
    </row>
    <row r="1287" spans="1:20" hidden="1" x14ac:dyDescent="0.3">
      <c r="A1287" t="s">
        <v>1997</v>
      </c>
      <c r="B1287" t="s">
        <v>144</v>
      </c>
      <c r="C1287" t="s">
        <v>150</v>
      </c>
      <c r="D1287" t="s">
        <v>1995</v>
      </c>
      <c r="E1287" t="s">
        <v>96</v>
      </c>
      <c r="F1287" t="s">
        <v>1557</v>
      </c>
      <c r="G1287" t="s">
        <v>256</v>
      </c>
      <c r="H1287" t="s">
        <v>41</v>
      </c>
      <c r="I1287">
        <v>3500</v>
      </c>
      <c r="J1287">
        <v>4550</v>
      </c>
      <c r="K1287">
        <v>1</v>
      </c>
      <c r="L1287">
        <v>3500</v>
      </c>
      <c r="M1287">
        <v>4550</v>
      </c>
      <c r="N1287" t="s">
        <v>42</v>
      </c>
      <c r="O1287">
        <f t="shared" si="40"/>
        <v>9100</v>
      </c>
      <c r="P1287" s="13">
        <f t="shared" si="41"/>
        <v>2154984</v>
      </c>
      <c r="Q1287" s="13">
        <f>SUMIFS(M:M,E:E,Online_eCommerce[[#This Row],[Status]])</f>
        <v>21233992</v>
      </c>
      <c r="R1287" s="13">
        <f>SUMIFS(L:L,H:H,Online_eCommerce[[#This Row],[Brand]])</f>
        <v>4260400</v>
      </c>
      <c r="S1287" s="13">
        <f>SUMIF(H:H,Online_eCommerce[[#This Row],[Brand]],M:M)</f>
        <v>5538520</v>
      </c>
      <c r="T1287" s="13">
        <f>SUMIF(N:N,Online_eCommerce[[#This Row],[Assigned Supervisor]],L:L)</f>
        <v>12261500</v>
      </c>
    </row>
    <row r="1288" spans="1:20" hidden="1" x14ac:dyDescent="0.3">
      <c r="A1288" t="s">
        <v>1998</v>
      </c>
      <c r="B1288" t="s">
        <v>171</v>
      </c>
      <c r="C1288" t="s">
        <v>155</v>
      </c>
      <c r="D1288" t="s">
        <v>1995</v>
      </c>
      <c r="E1288" t="s">
        <v>18</v>
      </c>
      <c r="F1288" t="s">
        <v>166</v>
      </c>
      <c r="G1288" t="s">
        <v>259</v>
      </c>
      <c r="H1288" t="s">
        <v>49</v>
      </c>
      <c r="I1288">
        <v>4500</v>
      </c>
      <c r="J1288">
        <v>5850</v>
      </c>
      <c r="K1288">
        <v>1</v>
      </c>
      <c r="L1288">
        <v>4500</v>
      </c>
      <c r="M1288">
        <v>5850</v>
      </c>
      <c r="N1288" t="s">
        <v>50</v>
      </c>
      <c r="O1288">
        <f t="shared" si="40"/>
        <v>11700</v>
      </c>
      <c r="P1288" s="13">
        <f t="shared" si="41"/>
        <v>2753348</v>
      </c>
      <c r="Q1288" s="13">
        <f>SUMIFS(M:M,E:E,Online_eCommerce[[#This Row],[Status]])</f>
        <v>28340455</v>
      </c>
      <c r="R1288" s="13">
        <f>SUMIFS(L:L,H:H,Online_eCommerce[[#This Row],[Brand]])</f>
        <v>4528350</v>
      </c>
      <c r="S1288" s="13">
        <f>SUMIF(H:H,Online_eCommerce[[#This Row],[Brand]],M:M)</f>
        <v>5886855</v>
      </c>
      <c r="T1288" s="13">
        <f>SUMIF(N:N,Online_eCommerce[[#This Row],[Assigned Supervisor]],L:L)</f>
        <v>12100590</v>
      </c>
    </row>
    <row r="1289" spans="1:20" hidden="1" x14ac:dyDescent="0.3">
      <c r="A1289" t="s">
        <v>1999</v>
      </c>
      <c r="B1289" t="s">
        <v>176</v>
      </c>
      <c r="C1289" t="s">
        <v>160</v>
      </c>
      <c r="D1289" t="s">
        <v>1995</v>
      </c>
      <c r="E1289" t="s">
        <v>161</v>
      </c>
      <c r="F1289" t="s">
        <v>2000</v>
      </c>
      <c r="G1289" t="s">
        <v>54</v>
      </c>
      <c r="H1289" t="s">
        <v>55</v>
      </c>
      <c r="I1289">
        <v>2100</v>
      </c>
      <c r="J1289">
        <v>2730</v>
      </c>
      <c r="K1289">
        <v>1</v>
      </c>
      <c r="L1289">
        <v>2100</v>
      </c>
      <c r="M1289">
        <v>2730</v>
      </c>
      <c r="N1289" t="s">
        <v>56</v>
      </c>
      <c r="O1289">
        <f t="shared" si="40"/>
        <v>2990</v>
      </c>
      <c r="P1289" s="13">
        <f t="shared" si="41"/>
        <v>2303483</v>
      </c>
      <c r="Q1289" s="13">
        <f>SUMIFS(M:M,E:E,Online_eCommerce[[#This Row],[Status]])</f>
        <v>21103186</v>
      </c>
      <c r="R1289" s="13">
        <f>SUMIFS(L:L,H:H,Online_eCommerce[[#This Row],[Brand]])</f>
        <v>2267380</v>
      </c>
      <c r="S1289" s="13">
        <f>SUMIF(H:H,Online_eCommerce[[#This Row],[Brand]],M:M)</f>
        <v>2947594</v>
      </c>
      <c r="T1289" s="13">
        <f>SUMIF(N:N,Online_eCommerce[[#This Row],[Assigned Supervisor]],L:L)</f>
        <v>11733610</v>
      </c>
    </row>
    <row r="1290" spans="1:20" x14ac:dyDescent="0.3">
      <c r="A1290" t="s">
        <v>2001</v>
      </c>
      <c r="B1290" t="s">
        <v>37</v>
      </c>
      <c r="C1290" t="s">
        <v>165</v>
      </c>
      <c r="D1290" t="s">
        <v>1995</v>
      </c>
      <c r="E1290" t="s">
        <v>46</v>
      </c>
      <c r="F1290" t="s">
        <v>174</v>
      </c>
      <c r="G1290" t="s">
        <v>60</v>
      </c>
      <c r="H1290" t="s">
        <v>61</v>
      </c>
      <c r="I1290">
        <v>1150</v>
      </c>
      <c r="J1290">
        <v>1495</v>
      </c>
      <c r="K1290">
        <v>4</v>
      </c>
      <c r="L1290">
        <v>4600</v>
      </c>
      <c r="M1290">
        <v>5980</v>
      </c>
      <c r="N1290" t="s">
        <v>22</v>
      </c>
      <c r="O1290">
        <f t="shared" si="40"/>
        <v>3315</v>
      </c>
      <c r="P1290" s="13">
        <f t="shared" si="41"/>
        <v>2674087</v>
      </c>
      <c r="Q1290" s="13">
        <f>SUMIFS(M:M,E:E,Online_eCommerce[[#This Row],[Status]])</f>
        <v>28620410</v>
      </c>
      <c r="R1290" s="13">
        <f>SUMIFS(L:L,H:H,Online_eCommerce[[#This Row],[Brand]])</f>
        <v>10950150</v>
      </c>
      <c r="S1290" s="13">
        <f>SUMIF(H:H,Online_eCommerce[[#This Row],[Brand]],M:M)</f>
        <v>14235195</v>
      </c>
      <c r="T1290" s="13">
        <f>SUMIF(N:N,Online_eCommerce[[#This Row],[Assigned Supervisor]],L:L)</f>
        <v>13693220</v>
      </c>
    </row>
    <row r="1291" spans="1:20" hidden="1" x14ac:dyDescent="0.3">
      <c r="A1291" t="s">
        <v>2002</v>
      </c>
      <c r="B1291" t="s">
        <v>37</v>
      </c>
      <c r="C1291" t="s">
        <v>168</v>
      </c>
      <c r="D1291" t="s">
        <v>1995</v>
      </c>
      <c r="E1291" t="s">
        <v>96</v>
      </c>
      <c r="F1291" t="s">
        <v>179</v>
      </c>
      <c r="G1291" t="s">
        <v>66</v>
      </c>
      <c r="H1291" t="s">
        <v>21</v>
      </c>
      <c r="I1291">
        <v>350</v>
      </c>
      <c r="J1291">
        <v>455</v>
      </c>
      <c r="K1291">
        <v>2</v>
      </c>
      <c r="L1291">
        <v>700</v>
      </c>
      <c r="M1291">
        <v>910</v>
      </c>
      <c r="N1291" t="s">
        <v>28</v>
      </c>
      <c r="O1291">
        <f t="shared" si="40"/>
        <v>1690</v>
      </c>
      <c r="P1291" s="13">
        <f t="shared" si="41"/>
        <v>1937780</v>
      </c>
      <c r="Q1291" s="13">
        <f>SUMIFS(M:M,E:E,Online_eCommerce[[#This Row],[Status]])</f>
        <v>21233992</v>
      </c>
      <c r="R1291" s="13">
        <f>SUMIFS(L:L,H:H,Online_eCommerce[[#This Row],[Brand]])</f>
        <v>12435650</v>
      </c>
      <c r="S1291" s="13">
        <f>SUMIF(H:H,Online_eCommerce[[#This Row],[Brand]],M:M)</f>
        <v>16166345</v>
      </c>
      <c r="T1291" s="13">
        <f>SUMIF(N:N,Online_eCommerce[[#This Row],[Assigned Supervisor]],L:L)</f>
        <v>12220830</v>
      </c>
    </row>
    <row r="1292" spans="1:20" hidden="1" x14ac:dyDescent="0.3">
      <c r="A1292" t="s">
        <v>2003</v>
      </c>
      <c r="B1292" t="s">
        <v>37</v>
      </c>
      <c r="C1292" t="s">
        <v>172</v>
      </c>
      <c r="D1292" t="s">
        <v>1995</v>
      </c>
      <c r="E1292" t="s">
        <v>18</v>
      </c>
      <c r="F1292" t="s">
        <v>183</v>
      </c>
      <c r="G1292" t="s">
        <v>71</v>
      </c>
      <c r="H1292" t="s">
        <v>61</v>
      </c>
      <c r="I1292">
        <v>9500</v>
      </c>
      <c r="J1292">
        <v>12350</v>
      </c>
      <c r="K1292">
        <v>1</v>
      </c>
      <c r="L1292">
        <v>9500</v>
      </c>
      <c r="M1292">
        <v>12350</v>
      </c>
      <c r="N1292" t="s">
        <v>35</v>
      </c>
      <c r="O1292">
        <f t="shared" si="40"/>
        <v>9750</v>
      </c>
      <c r="P1292" s="13">
        <f t="shared" si="41"/>
        <v>2640274</v>
      </c>
      <c r="Q1292" s="13">
        <f>SUMIFS(M:M,E:E,Online_eCommerce[[#This Row],[Status]])</f>
        <v>28340455</v>
      </c>
      <c r="R1292" s="13">
        <f>SUMIFS(L:L,H:H,Online_eCommerce[[#This Row],[Brand]])</f>
        <v>10950150</v>
      </c>
      <c r="S1292" s="13">
        <f>SUMIF(H:H,Online_eCommerce[[#This Row],[Brand]],M:M)</f>
        <v>14235195</v>
      </c>
      <c r="T1292" s="13">
        <f>SUMIF(N:N,Online_eCommerce[[#This Row],[Assigned Supervisor]],L:L)</f>
        <v>14373360</v>
      </c>
    </row>
    <row r="1293" spans="1:20" hidden="1" x14ac:dyDescent="0.3">
      <c r="A1293" t="s">
        <v>2004</v>
      </c>
      <c r="B1293" t="s">
        <v>37</v>
      </c>
      <c r="C1293" t="s">
        <v>177</v>
      </c>
      <c r="D1293" t="s">
        <v>1995</v>
      </c>
      <c r="E1293" t="s">
        <v>161</v>
      </c>
      <c r="F1293" t="s">
        <v>2005</v>
      </c>
      <c r="G1293" t="s">
        <v>77</v>
      </c>
      <c r="H1293" t="s">
        <v>142</v>
      </c>
      <c r="I1293">
        <v>10000</v>
      </c>
      <c r="J1293">
        <v>13000</v>
      </c>
      <c r="K1293">
        <v>3</v>
      </c>
      <c r="L1293">
        <v>30000</v>
      </c>
      <c r="M1293">
        <v>39000</v>
      </c>
      <c r="N1293" t="s">
        <v>42</v>
      </c>
      <c r="O1293">
        <f t="shared" si="40"/>
        <v>39000</v>
      </c>
      <c r="P1293" s="13">
        <f t="shared" si="41"/>
        <v>1863810</v>
      </c>
      <c r="Q1293" s="13">
        <f>SUMIFS(M:M,E:E,Online_eCommerce[[#This Row],[Status]])</f>
        <v>21103186</v>
      </c>
      <c r="R1293" s="13">
        <f>SUMIFS(L:L,H:H,Online_eCommerce[[#This Row],[Brand]])</f>
        <v>6192500</v>
      </c>
      <c r="S1293" s="13">
        <f>SUMIF(H:H,Online_eCommerce[[#This Row],[Brand]],M:M)</f>
        <v>8050250</v>
      </c>
      <c r="T1293" s="13">
        <f>SUMIF(N:N,Online_eCommerce[[#This Row],[Assigned Supervisor]],L:L)</f>
        <v>12261500</v>
      </c>
    </row>
    <row r="1294" spans="1:20" x14ac:dyDescent="0.3">
      <c r="A1294" t="s">
        <v>2006</v>
      </c>
      <c r="B1294" t="s">
        <v>37</v>
      </c>
      <c r="C1294" t="s">
        <v>181</v>
      </c>
      <c r="D1294" t="s">
        <v>1995</v>
      </c>
      <c r="E1294" t="s">
        <v>46</v>
      </c>
      <c r="F1294" t="s">
        <v>2007</v>
      </c>
      <c r="G1294" t="s">
        <v>20</v>
      </c>
      <c r="H1294" t="s">
        <v>21</v>
      </c>
      <c r="I1294">
        <v>6500</v>
      </c>
      <c r="J1294">
        <v>8450</v>
      </c>
      <c r="K1294">
        <v>2</v>
      </c>
      <c r="L1294">
        <v>13000</v>
      </c>
      <c r="M1294">
        <v>16900</v>
      </c>
      <c r="N1294" t="s">
        <v>50</v>
      </c>
      <c r="O1294">
        <f t="shared" si="40"/>
        <v>8450</v>
      </c>
      <c r="P1294" s="13">
        <f t="shared" si="41"/>
        <v>2577458</v>
      </c>
      <c r="Q1294" s="13">
        <f>SUMIFS(M:M,E:E,Online_eCommerce[[#This Row],[Status]])</f>
        <v>28620410</v>
      </c>
      <c r="R1294" s="13">
        <f>SUMIFS(L:L,H:H,Online_eCommerce[[#This Row],[Brand]])</f>
        <v>12435650</v>
      </c>
      <c r="S1294" s="13">
        <f>SUMIF(H:H,Online_eCommerce[[#This Row],[Brand]],M:M)</f>
        <v>16166345</v>
      </c>
      <c r="T1294" s="13">
        <f>SUMIF(N:N,Online_eCommerce[[#This Row],[Assigned Supervisor]],L:L)</f>
        <v>12100590</v>
      </c>
    </row>
    <row r="1295" spans="1:20" hidden="1" x14ac:dyDescent="0.3">
      <c r="A1295" t="s">
        <v>2008</v>
      </c>
      <c r="B1295" t="s">
        <v>37</v>
      </c>
      <c r="C1295" t="s">
        <v>185</v>
      </c>
      <c r="D1295" t="s">
        <v>1995</v>
      </c>
      <c r="E1295" t="s">
        <v>96</v>
      </c>
      <c r="F1295" t="s">
        <v>2009</v>
      </c>
      <c r="G1295" t="s">
        <v>26</v>
      </c>
      <c r="H1295" t="s">
        <v>27</v>
      </c>
      <c r="I1295">
        <v>8500</v>
      </c>
      <c r="J1295">
        <v>11050</v>
      </c>
      <c r="K1295">
        <v>1</v>
      </c>
      <c r="L1295">
        <v>8500</v>
      </c>
      <c r="M1295">
        <v>11050</v>
      </c>
      <c r="N1295" t="s">
        <v>56</v>
      </c>
      <c r="O1295">
        <f t="shared" si="40"/>
        <v>33150</v>
      </c>
      <c r="P1295" s="13">
        <f t="shared" si="41"/>
        <v>2091596</v>
      </c>
      <c r="Q1295" s="13">
        <f>SUMIFS(M:M,E:E,Online_eCommerce[[#This Row],[Status]])</f>
        <v>21233992</v>
      </c>
      <c r="R1295" s="13">
        <f>SUMIFS(L:L,H:H,Online_eCommerce[[#This Row],[Brand]])</f>
        <v>14431000</v>
      </c>
      <c r="S1295" s="13">
        <f>SUMIF(H:H,Online_eCommerce[[#This Row],[Brand]],M:M)</f>
        <v>18760300</v>
      </c>
      <c r="T1295" s="13">
        <f>SUMIF(N:N,Online_eCommerce[[#This Row],[Assigned Supervisor]],L:L)</f>
        <v>11733610</v>
      </c>
    </row>
    <row r="1296" spans="1:20" hidden="1" x14ac:dyDescent="0.3">
      <c r="A1296" t="s">
        <v>2010</v>
      </c>
      <c r="B1296" t="s">
        <v>37</v>
      </c>
      <c r="C1296" t="s">
        <v>189</v>
      </c>
      <c r="D1296" t="s">
        <v>1995</v>
      </c>
      <c r="E1296" t="s">
        <v>18</v>
      </c>
      <c r="F1296" t="s">
        <v>32</v>
      </c>
      <c r="G1296" t="s">
        <v>33</v>
      </c>
      <c r="H1296" t="s">
        <v>34</v>
      </c>
      <c r="I1296">
        <v>7000</v>
      </c>
      <c r="J1296">
        <v>9100</v>
      </c>
      <c r="K1296">
        <v>1</v>
      </c>
      <c r="L1296">
        <v>7000</v>
      </c>
      <c r="M1296">
        <v>9100</v>
      </c>
      <c r="N1296" t="s">
        <v>22</v>
      </c>
      <c r="O1296">
        <f t="shared" si="40"/>
        <v>18200</v>
      </c>
      <c r="P1296" s="13">
        <f t="shared" si="41"/>
        <v>2740777</v>
      </c>
      <c r="Q1296" s="13">
        <f>SUMIFS(M:M,E:E,Online_eCommerce[[#This Row],[Status]])</f>
        <v>28340455</v>
      </c>
      <c r="R1296" s="13">
        <f>SUMIFS(L:L,H:H,Online_eCommerce[[#This Row],[Brand]])</f>
        <v>10087000</v>
      </c>
      <c r="S1296" s="13">
        <f>SUMIF(H:H,Online_eCommerce[[#This Row],[Brand]],M:M)</f>
        <v>13113100</v>
      </c>
      <c r="T1296" s="13">
        <f>SUMIF(N:N,Online_eCommerce[[#This Row],[Assigned Supervisor]],L:L)</f>
        <v>13693220</v>
      </c>
    </row>
    <row r="1297" spans="1:20" hidden="1" x14ac:dyDescent="0.3">
      <c r="A1297" t="s">
        <v>2011</v>
      </c>
      <c r="B1297" t="s">
        <v>37</v>
      </c>
      <c r="C1297" t="s">
        <v>193</v>
      </c>
      <c r="D1297" t="s">
        <v>1995</v>
      </c>
      <c r="E1297" t="s">
        <v>161</v>
      </c>
      <c r="F1297" t="s">
        <v>2012</v>
      </c>
      <c r="G1297" t="s">
        <v>256</v>
      </c>
      <c r="H1297" t="s">
        <v>41</v>
      </c>
      <c r="I1297">
        <v>6550</v>
      </c>
      <c r="J1297">
        <v>8515</v>
      </c>
      <c r="K1297">
        <v>1</v>
      </c>
      <c r="L1297">
        <v>6550</v>
      </c>
      <c r="M1297">
        <v>8515</v>
      </c>
      <c r="N1297" t="s">
        <v>28</v>
      </c>
      <c r="O1297">
        <f t="shared" si="40"/>
        <v>9100</v>
      </c>
      <c r="P1297" s="13">
        <f t="shared" si="41"/>
        <v>2074774</v>
      </c>
      <c r="Q1297" s="13">
        <f>SUMIFS(M:M,E:E,Online_eCommerce[[#This Row],[Status]])</f>
        <v>21103186</v>
      </c>
      <c r="R1297" s="13">
        <f>SUMIFS(L:L,H:H,Online_eCommerce[[#This Row],[Brand]])</f>
        <v>4260400</v>
      </c>
      <c r="S1297" s="13">
        <f>SUMIF(H:H,Online_eCommerce[[#This Row],[Brand]],M:M)</f>
        <v>5538520</v>
      </c>
      <c r="T1297" s="13">
        <f>SUMIF(N:N,Online_eCommerce[[#This Row],[Assigned Supervisor]],L:L)</f>
        <v>12220830</v>
      </c>
    </row>
    <row r="1298" spans="1:20" x14ac:dyDescent="0.3">
      <c r="A1298" t="s">
        <v>2013</v>
      </c>
      <c r="B1298" t="s">
        <v>37</v>
      </c>
      <c r="C1298" t="s">
        <v>197</v>
      </c>
      <c r="D1298" t="s">
        <v>1995</v>
      </c>
      <c r="E1298" t="s">
        <v>46</v>
      </c>
      <c r="F1298" t="s">
        <v>47</v>
      </c>
      <c r="G1298" t="s">
        <v>259</v>
      </c>
      <c r="H1298" t="s">
        <v>49</v>
      </c>
      <c r="I1298">
        <v>7650</v>
      </c>
      <c r="J1298">
        <v>9945</v>
      </c>
      <c r="K1298">
        <v>4</v>
      </c>
      <c r="L1298">
        <v>30600</v>
      </c>
      <c r="M1298">
        <v>39780</v>
      </c>
      <c r="N1298" t="s">
        <v>35</v>
      </c>
      <c r="O1298">
        <f t="shared" si="40"/>
        <v>11700</v>
      </c>
      <c r="P1298" s="13">
        <f t="shared" si="41"/>
        <v>2829840</v>
      </c>
      <c r="Q1298" s="13">
        <f>SUMIFS(M:M,E:E,Online_eCommerce[[#This Row],[Status]])</f>
        <v>28620410</v>
      </c>
      <c r="R1298" s="13">
        <f>SUMIFS(L:L,H:H,Online_eCommerce[[#This Row],[Brand]])</f>
        <v>4528350</v>
      </c>
      <c r="S1298" s="13">
        <f>SUMIF(H:H,Online_eCommerce[[#This Row],[Brand]],M:M)</f>
        <v>5886855</v>
      </c>
      <c r="T1298" s="13">
        <f>SUMIF(N:N,Online_eCommerce[[#This Row],[Assigned Supervisor]],L:L)</f>
        <v>14373360</v>
      </c>
    </row>
    <row r="1299" spans="1:20" hidden="1" x14ac:dyDescent="0.3">
      <c r="A1299" t="s">
        <v>2014</v>
      </c>
      <c r="B1299" t="s">
        <v>37</v>
      </c>
      <c r="C1299" t="s">
        <v>199</v>
      </c>
      <c r="D1299" t="s">
        <v>1995</v>
      </c>
      <c r="E1299" t="s">
        <v>96</v>
      </c>
      <c r="F1299" t="s">
        <v>53</v>
      </c>
      <c r="G1299" t="s">
        <v>54</v>
      </c>
      <c r="H1299" t="s">
        <v>55</v>
      </c>
      <c r="I1299">
        <v>1150</v>
      </c>
      <c r="J1299">
        <v>1495</v>
      </c>
      <c r="K1299">
        <v>2</v>
      </c>
      <c r="L1299">
        <v>2300</v>
      </c>
      <c r="M1299">
        <v>2990</v>
      </c>
      <c r="N1299" t="s">
        <v>42</v>
      </c>
      <c r="O1299">
        <f t="shared" si="40"/>
        <v>2990</v>
      </c>
      <c r="P1299" s="13">
        <f t="shared" si="41"/>
        <v>1947361</v>
      </c>
      <c r="Q1299" s="13">
        <f>SUMIFS(M:M,E:E,Online_eCommerce[[#This Row],[Status]])</f>
        <v>21233992</v>
      </c>
      <c r="R1299" s="13">
        <f>SUMIFS(L:L,H:H,Online_eCommerce[[#This Row],[Brand]])</f>
        <v>2267380</v>
      </c>
      <c r="S1299" s="13">
        <f>SUMIF(H:H,Online_eCommerce[[#This Row],[Brand]],M:M)</f>
        <v>2947594</v>
      </c>
      <c r="T1299" s="13">
        <f>SUMIF(N:N,Online_eCommerce[[#This Row],[Assigned Supervisor]],L:L)</f>
        <v>12261500</v>
      </c>
    </row>
    <row r="1300" spans="1:20" hidden="1" x14ac:dyDescent="0.3">
      <c r="A1300" t="s">
        <v>2015</v>
      </c>
      <c r="B1300" t="s">
        <v>37</v>
      </c>
      <c r="C1300" t="s">
        <v>203</v>
      </c>
      <c r="D1300" t="s">
        <v>1995</v>
      </c>
      <c r="E1300" t="s">
        <v>18</v>
      </c>
      <c r="F1300" t="s">
        <v>59</v>
      </c>
      <c r="G1300" t="s">
        <v>60</v>
      </c>
      <c r="H1300" t="s">
        <v>61</v>
      </c>
      <c r="I1300">
        <v>850</v>
      </c>
      <c r="J1300">
        <v>1105</v>
      </c>
      <c r="K1300">
        <v>1</v>
      </c>
      <c r="L1300">
        <v>850</v>
      </c>
      <c r="M1300">
        <v>1105</v>
      </c>
      <c r="N1300" t="s">
        <v>50</v>
      </c>
      <c r="O1300">
        <f t="shared" si="40"/>
        <v>3315</v>
      </c>
      <c r="P1300" s="13">
        <f t="shared" si="41"/>
        <v>2559635</v>
      </c>
      <c r="Q1300" s="13">
        <f>SUMIFS(M:M,E:E,Online_eCommerce[[#This Row],[Status]])</f>
        <v>28340455</v>
      </c>
      <c r="R1300" s="13">
        <f>SUMIFS(L:L,H:H,Online_eCommerce[[#This Row],[Brand]])</f>
        <v>10950150</v>
      </c>
      <c r="S1300" s="13">
        <f>SUMIF(H:H,Online_eCommerce[[#This Row],[Brand]],M:M)</f>
        <v>14235195</v>
      </c>
      <c r="T1300" s="13">
        <f>SUMIF(N:N,Online_eCommerce[[#This Row],[Assigned Supervisor]],L:L)</f>
        <v>12100590</v>
      </c>
    </row>
    <row r="1301" spans="1:20" hidden="1" x14ac:dyDescent="0.3">
      <c r="A1301" t="s">
        <v>2016</v>
      </c>
      <c r="B1301" t="s">
        <v>37</v>
      </c>
      <c r="C1301" t="s">
        <v>205</v>
      </c>
      <c r="D1301" t="s">
        <v>1995</v>
      </c>
      <c r="E1301" t="s">
        <v>161</v>
      </c>
      <c r="F1301" t="s">
        <v>65</v>
      </c>
      <c r="G1301" t="s">
        <v>66</v>
      </c>
      <c r="H1301" t="s">
        <v>21</v>
      </c>
      <c r="I1301">
        <v>650</v>
      </c>
      <c r="J1301">
        <v>845</v>
      </c>
      <c r="K1301">
        <v>2</v>
      </c>
      <c r="L1301">
        <v>1300</v>
      </c>
      <c r="M1301">
        <v>1690</v>
      </c>
      <c r="N1301" t="s">
        <v>56</v>
      </c>
      <c r="O1301">
        <f t="shared" si="40"/>
        <v>1690</v>
      </c>
      <c r="P1301" s="13">
        <f t="shared" si="41"/>
        <v>1983254</v>
      </c>
      <c r="Q1301" s="13">
        <f>SUMIFS(M:M,E:E,Online_eCommerce[[#This Row],[Status]])</f>
        <v>21103186</v>
      </c>
      <c r="R1301" s="13">
        <f>SUMIFS(L:L,H:H,Online_eCommerce[[#This Row],[Brand]])</f>
        <v>12435650</v>
      </c>
      <c r="S1301" s="13">
        <f>SUMIF(H:H,Online_eCommerce[[#This Row],[Brand]],M:M)</f>
        <v>16166345</v>
      </c>
      <c r="T1301" s="13">
        <f>SUMIF(N:N,Online_eCommerce[[#This Row],[Assigned Supervisor]],L:L)</f>
        <v>11733610</v>
      </c>
    </row>
    <row r="1302" spans="1:20" x14ac:dyDescent="0.3">
      <c r="A1302" t="s">
        <v>2017</v>
      </c>
      <c r="B1302" t="s">
        <v>37</v>
      </c>
      <c r="C1302" t="s">
        <v>208</v>
      </c>
      <c r="D1302" t="s">
        <v>1995</v>
      </c>
      <c r="E1302" t="s">
        <v>46</v>
      </c>
      <c r="F1302" t="s">
        <v>70</v>
      </c>
      <c r="G1302" t="s">
        <v>71</v>
      </c>
      <c r="H1302" t="s">
        <v>61</v>
      </c>
      <c r="I1302">
        <v>7500</v>
      </c>
      <c r="J1302">
        <v>9750</v>
      </c>
      <c r="K1302">
        <v>2</v>
      </c>
      <c r="L1302">
        <v>15000</v>
      </c>
      <c r="M1302">
        <v>19500</v>
      </c>
      <c r="N1302" t="s">
        <v>22</v>
      </c>
      <c r="O1302">
        <f t="shared" si="40"/>
        <v>9750</v>
      </c>
      <c r="P1302" s="13">
        <f t="shared" si="41"/>
        <v>2746575</v>
      </c>
      <c r="Q1302" s="13">
        <f>SUMIFS(M:M,E:E,Online_eCommerce[[#This Row],[Status]])</f>
        <v>28620410</v>
      </c>
      <c r="R1302" s="13">
        <f>SUMIFS(L:L,H:H,Online_eCommerce[[#This Row],[Brand]])</f>
        <v>10950150</v>
      </c>
      <c r="S1302" s="13">
        <f>SUMIF(H:H,Online_eCommerce[[#This Row],[Brand]],M:M)</f>
        <v>14235195</v>
      </c>
      <c r="T1302" s="13">
        <f>SUMIF(N:N,Online_eCommerce[[#This Row],[Assigned Supervisor]],L:L)</f>
        <v>13693220</v>
      </c>
    </row>
    <row r="1303" spans="1:20" hidden="1" x14ac:dyDescent="0.3">
      <c r="A1303" t="s">
        <v>2018</v>
      </c>
      <c r="B1303" t="s">
        <v>37</v>
      </c>
      <c r="C1303" t="s">
        <v>211</v>
      </c>
      <c r="D1303" t="s">
        <v>1995</v>
      </c>
      <c r="E1303" t="s">
        <v>96</v>
      </c>
      <c r="F1303" t="s">
        <v>2005</v>
      </c>
      <c r="G1303" t="s">
        <v>77</v>
      </c>
      <c r="H1303" t="s">
        <v>78</v>
      </c>
      <c r="I1303">
        <v>10000</v>
      </c>
      <c r="J1303">
        <v>13000</v>
      </c>
      <c r="K1303">
        <v>4</v>
      </c>
      <c r="L1303">
        <v>40000</v>
      </c>
      <c r="M1303">
        <v>52000</v>
      </c>
      <c r="N1303" t="s">
        <v>28</v>
      </c>
      <c r="O1303">
        <f t="shared" si="40"/>
        <v>39000</v>
      </c>
      <c r="P1303" s="13">
        <f t="shared" si="41"/>
        <v>1809847</v>
      </c>
      <c r="Q1303" s="13">
        <f>SUMIFS(M:M,E:E,Online_eCommerce[[#This Row],[Status]])</f>
        <v>21233992</v>
      </c>
      <c r="R1303" s="13">
        <f>SUMIFS(L:L,H:H,Online_eCommerce[[#This Row],[Brand]])</f>
        <v>3720000</v>
      </c>
      <c r="S1303" s="13">
        <f>SUMIF(H:H,Online_eCommerce[[#This Row],[Brand]],M:M)</f>
        <v>4836000</v>
      </c>
      <c r="T1303" s="13">
        <f>SUMIF(N:N,Online_eCommerce[[#This Row],[Assigned Supervisor]],L:L)</f>
        <v>12220830</v>
      </c>
    </row>
    <row r="1304" spans="1:20" hidden="1" x14ac:dyDescent="0.3">
      <c r="A1304" t="s">
        <v>2019</v>
      </c>
      <c r="B1304" t="s">
        <v>73</v>
      </c>
      <c r="C1304" t="s">
        <v>16</v>
      </c>
      <c r="D1304" t="s">
        <v>1995</v>
      </c>
      <c r="E1304" t="s">
        <v>18</v>
      </c>
      <c r="F1304" t="s">
        <v>2020</v>
      </c>
      <c r="G1304" t="s">
        <v>20</v>
      </c>
      <c r="H1304" t="s">
        <v>21</v>
      </c>
      <c r="I1304">
        <v>10500</v>
      </c>
      <c r="J1304">
        <v>13650</v>
      </c>
      <c r="K1304">
        <v>1</v>
      </c>
      <c r="L1304">
        <v>10500</v>
      </c>
      <c r="M1304">
        <v>13650</v>
      </c>
      <c r="N1304" t="s">
        <v>35</v>
      </c>
      <c r="O1304">
        <f t="shared" si="40"/>
        <v>8450</v>
      </c>
      <c r="P1304" s="13">
        <f t="shared" si="41"/>
        <v>2751814</v>
      </c>
      <c r="Q1304" s="13">
        <f>SUMIFS(M:M,E:E,Online_eCommerce[[#This Row],[Status]])</f>
        <v>28340455</v>
      </c>
      <c r="R1304" s="13">
        <f>SUMIFS(L:L,H:H,Online_eCommerce[[#This Row],[Brand]])</f>
        <v>12435650</v>
      </c>
      <c r="S1304" s="13">
        <f>SUMIF(H:H,Online_eCommerce[[#This Row],[Brand]],M:M)</f>
        <v>16166345</v>
      </c>
      <c r="T1304" s="13">
        <f>SUMIF(N:N,Online_eCommerce[[#This Row],[Assigned Supervisor]],L:L)</f>
        <v>14373360</v>
      </c>
    </row>
    <row r="1305" spans="1:20" hidden="1" x14ac:dyDescent="0.3">
      <c r="A1305" t="s">
        <v>2021</v>
      </c>
      <c r="B1305" t="s">
        <v>80</v>
      </c>
      <c r="C1305" t="s">
        <v>24</v>
      </c>
      <c r="D1305" t="s">
        <v>1995</v>
      </c>
      <c r="E1305" t="s">
        <v>161</v>
      </c>
      <c r="F1305" t="s">
        <v>88</v>
      </c>
      <c r="G1305" t="s">
        <v>26</v>
      </c>
      <c r="H1305" t="s">
        <v>27</v>
      </c>
      <c r="I1305">
        <v>8500</v>
      </c>
      <c r="J1305">
        <v>11050</v>
      </c>
      <c r="K1305">
        <v>4</v>
      </c>
      <c r="L1305">
        <v>34000</v>
      </c>
      <c r="M1305">
        <v>44200</v>
      </c>
      <c r="N1305" t="s">
        <v>42</v>
      </c>
      <c r="O1305">
        <f t="shared" si="40"/>
        <v>33150</v>
      </c>
      <c r="P1305" s="13">
        <f t="shared" si="41"/>
        <v>2009540</v>
      </c>
      <c r="Q1305" s="13">
        <f>SUMIFS(M:M,E:E,Online_eCommerce[[#This Row],[Status]])</f>
        <v>21103186</v>
      </c>
      <c r="R1305" s="13">
        <f>SUMIFS(L:L,H:H,Online_eCommerce[[#This Row],[Brand]])</f>
        <v>14431000</v>
      </c>
      <c r="S1305" s="13">
        <f>SUMIF(H:H,Online_eCommerce[[#This Row],[Brand]],M:M)</f>
        <v>18760300</v>
      </c>
      <c r="T1305" s="13">
        <f>SUMIF(N:N,Online_eCommerce[[#This Row],[Assigned Supervisor]],L:L)</f>
        <v>12261500</v>
      </c>
    </row>
    <row r="1306" spans="1:20" x14ac:dyDescent="0.3">
      <c r="A1306" t="s">
        <v>2022</v>
      </c>
      <c r="B1306" t="s">
        <v>85</v>
      </c>
      <c r="C1306" t="s">
        <v>31</v>
      </c>
      <c r="D1306" t="s">
        <v>1995</v>
      </c>
      <c r="E1306" t="s">
        <v>46</v>
      </c>
      <c r="F1306" t="s">
        <v>32</v>
      </c>
      <c r="G1306" t="s">
        <v>33</v>
      </c>
      <c r="H1306" t="s">
        <v>34</v>
      </c>
      <c r="I1306">
        <v>7000</v>
      </c>
      <c r="J1306">
        <v>9100</v>
      </c>
      <c r="K1306">
        <v>3</v>
      </c>
      <c r="L1306">
        <v>21000</v>
      </c>
      <c r="M1306">
        <v>27300</v>
      </c>
      <c r="N1306" t="s">
        <v>50</v>
      </c>
      <c r="O1306">
        <f t="shared" si="40"/>
        <v>18200</v>
      </c>
      <c r="P1306" s="13">
        <f t="shared" si="41"/>
        <v>2865746</v>
      </c>
      <c r="Q1306" s="13">
        <f>SUMIFS(M:M,E:E,Online_eCommerce[[#This Row],[Status]])</f>
        <v>28620410</v>
      </c>
      <c r="R1306" s="13">
        <f>SUMIFS(L:L,H:H,Online_eCommerce[[#This Row],[Brand]])</f>
        <v>10087000</v>
      </c>
      <c r="S1306" s="13">
        <f>SUMIF(H:H,Online_eCommerce[[#This Row],[Brand]],M:M)</f>
        <v>13113100</v>
      </c>
      <c r="T1306" s="13">
        <f>SUMIF(N:N,Online_eCommerce[[#This Row],[Assigned Supervisor]],L:L)</f>
        <v>12100590</v>
      </c>
    </row>
    <row r="1307" spans="1:20" hidden="1" x14ac:dyDescent="0.3">
      <c r="A1307" t="s">
        <v>2023</v>
      </c>
      <c r="B1307" t="s">
        <v>90</v>
      </c>
      <c r="C1307" t="s">
        <v>38</v>
      </c>
      <c r="D1307" t="s">
        <v>1995</v>
      </c>
      <c r="E1307" t="s">
        <v>96</v>
      </c>
      <c r="F1307" t="s">
        <v>2024</v>
      </c>
      <c r="G1307" t="s">
        <v>256</v>
      </c>
      <c r="H1307" t="s">
        <v>41</v>
      </c>
      <c r="I1307">
        <v>1680</v>
      </c>
      <c r="J1307">
        <v>2184</v>
      </c>
      <c r="K1307">
        <v>2</v>
      </c>
      <c r="L1307">
        <v>3360</v>
      </c>
      <c r="M1307">
        <v>4368</v>
      </c>
      <c r="N1307" t="s">
        <v>56</v>
      </c>
      <c r="O1307">
        <f t="shared" si="40"/>
        <v>9100</v>
      </c>
      <c r="P1307" s="13">
        <f t="shared" si="41"/>
        <v>1933997</v>
      </c>
      <c r="Q1307" s="13">
        <f>SUMIFS(M:M,E:E,Online_eCommerce[[#This Row],[Status]])</f>
        <v>21233992</v>
      </c>
      <c r="R1307" s="13">
        <f>SUMIFS(L:L,H:H,Online_eCommerce[[#This Row],[Brand]])</f>
        <v>4260400</v>
      </c>
      <c r="S1307" s="13">
        <f>SUMIF(H:H,Online_eCommerce[[#This Row],[Brand]],M:M)</f>
        <v>5538520</v>
      </c>
      <c r="T1307" s="13">
        <f>SUMIF(N:N,Online_eCommerce[[#This Row],[Assigned Supervisor]],L:L)</f>
        <v>11733610</v>
      </c>
    </row>
    <row r="1308" spans="1:20" hidden="1" x14ac:dyDescent="0.3">
      <c r="A1308" t="s">
        <v>2025</v>
      </c>
      <c r="B1308" t="s">
        <v>37</v>
      </c>
      <c r="C1308" t="s">
        <v>45</v>
      </c>
      <c r="D1308" t="s">
        <v>1995</v>
      </c>
      <c r="E1308" t="s">
        <v>18</v>
      </c>
      <c r="F1308" t="s">
        <v>101</v>
      </c>
      <c r="G1308" t="s">
        <v>259</v>
      </c>
      <c r="H1308" t="s">
        <v>102</v>
      </c>
      <c r="I1308">
        <v>6540</v>
      </c>
      <c r="J1308">
        <v>8502</v>
      </c>
      <c r="K1308">
        <v>3</v>
      </c>
      <c r="L1308">
        <v>19620</v>
      </c>
      <c r="M1308">
        <v>25506</v>
      </c>
      <c r="N1308" t="s">
        <v>22</v>
      </c>
      <c r="O1308">
        <f t="shared" si="40"/>
        <v>11700</v>
      </c>
      <c r="P1308" s="13">
        <f t="shared" si="41"/>
        <v>2842554</v>
      </c>
      <c r="Q1308" s="13">
        <f>SUMIFS(M:M,E:E,Online_eCommerce[[#This Row],[Status]])</f>
        <v>28340455</v>
      </c>
      <c r="R1308" s="13">
        <f>SUMIFS(L:L,H:H,Online_eCommerce[[#This Row],[Brand]])</f>
        <v>2465580</v>
      </c>
      <c r="S1308" s="13">
        <f>SUMIF(H:H,Online_eCommerce[[#This Row],[Brand]],M:M)</f>
        <v>3205254</v>
      </c>
      <c r="T1308" s="13">
        <f>SUMIF(N:N,Online_eCommerce[[#This Row],[Assigned Supervisor]],L:L)</f>
        <v>13693220</v>
      </c>
    </row>
    <row r="1309" spans="1:20" hidden="1" x14ac:dyDescent="0.3">
      <c r="A1309" t="s">
        <v>2026</v>
      </c>
      <c r="B1309" t="s">
        <v>37</v>
      </c>
      <c r="C1309" t="s">
        <v>52</v>
      </c>
      <c r="D1309" t="s">
        <v>1995</v>
      </c>
      <c r="E1309" t="s">
        <v>161</v>
      </c>
      <c r="F1309" t="s">
        <v>107</v>
      </c>
      <c r="G1309" t="s">
        <v>54</v>
      </c>
      <c r="H1309" t="s">
        <v>55</v>
      </c>
      <c r="I1309">
        <v>2680</v>
      </c>
      <c r="J1309">
        <v>3484</v>
      </c>
      <c r="K1309">
        <v>2</v>
      </c>
      <c r="L1309">
        <v>5360</v>
      </c>
      <c r="M1309">
        <v>6968</v>
      </c>
      <c r="N1309" t="s">
        <v>28</v>
      </c>
      <c r="O1309">
        <f t="shared" si="40"/>
        <v>2990</v>
      </c>
      <c r="P1309" s="13">
        <f t="shared" si="41"/>
        <v>1955044</v>
      </c>
      <c r="Q1309" s="13">
        <f>SUMIFS(M:M,E:E,Online_eCommerce[[#This Row],[Status]])</f>
        <v>21103186</v>
      </c>
      <c r="R1309" s="13">
        <f>SUMIFS(L:L,H:H,Online_eCommerce[[#This Row],[Brand]])</f>
        <v>2267380</v>
      </c>
      <c r="S1309" s="13">
        <f>SUMIF(H:H,Online_eCommerce[[#This Row],[Brand]],M:M)</f>
        <v>2947594</v>
      </c>
      <c r="T1309" s="13">
        <f>SUMIF(N:N,Online_eCommerce[[#This Row],[Assigned Supervisor]],L:L)</f>
        <v>12220830</v>
      </c>
    </row>
    <row r="1310" spans="1:20" x14ac:dyDescent="0.3">
      <c r="A1310" t="s">
        <v>2027</v>
      </c>
      <c r="B1310" t="s">
        <v>37</v>
      </c>
      <c r="C1310" t="s">
        <v>58</v>
      </c>
      <c r="D1310" t="s">
        <v>1995</v>
      </c>
      <c r="E1310" t="s">
        <v>46</v>
      </c>
      <c r="F1310" t="s">
        <v>112</v>
      </c>
      <c r="G1310" t="s">
        <v>71</v>
      </c>
      <c r="H1310" t="s">
        <v>21</v>
      </c>
      <c r="I1310">
        <v>8250</v>
      </c>
      <c r="J1310">
        <v>10725</v>
      </c>
      <c r="K1310">
        <v>3</v>
      </c>
      <c r="L1310">
        <v>24750</v>
      </c>
      <c r="M1310">
        <v>32175</v>
      </c>
      <c r="N1310" t="s">
        <v>35</v>
      </c>
      <c r="O1310">
        <f t="shared" si="40"/>
        <v>9750</v>
      </c>
      <c r="P1310" s="13">
        <f t="shared" si="41"/>
        <v>2629211</v>
      </c>
      <c r="Q1310" s="13">
        <f>SUMIFS(M:M,E:E,Online_eCommerce[[#This Row],[Status]])</f>
        <v>28620410</v>
      </c>
      <c r="R1310" s="13">
        <f>SUMIFS(L:L,H:H,Online_eCommerce[[#This Row],[Brand]])</f>
        <v>12435650</v>
      </c>
      <c r="S1310" s="13">
        <f>SUMIF(H:H,Online_eCommerce[[#This Row],[Brand]],M:M)</f>
        <v>16166345</v>
      </c>
      <c r="T1310" s="13">
        <f>SUMIF(N:N,Online_eCommerce[[#This Row],[Assigned Supervisor]],L:L)</f>
        <v>14373360</v>
      </c>
    </row>
    <row r="1311" spans="1:20" hidden="1" x14ac:dyDescent="0.3">
      <c r="A1311" t="s">
        <v>2028</v>
      </c>
      <c r="B1311" t="s">
        <v>37</v>
      </c>
      <c r="C1311" t="s">
        <v>63</v>
      </c>
      <c r="D1311" t="s">
        <v>1995</v>
      </c>
      <c r="E1311" t="s">
        <v>96</v>
      </c>
      <c r="F1311" t="s">
        <v>1557</v>
      </c>
      <c r="G1311" t="s">
        <v>40</v>
      </c>
      <c r="H1311" t="s">
        <v>21</v>
      </c>
      <c r="I1311">
        <v>2650</v>
      </c>
      <c r="J1311">
        <v>3445</v>
      </c>
      <c r="K1311">
        <v>1</v>
      </c>
      <c r="L1311">
        <v>2650</v>
      </c>
      <c r="M1311">
        <v>3445</v>
      </c>
      <c r="N1311" t="s">
        <v>42</v>
      </c>
      <c r="O1311">
        <f t="shared" si="40"/>
        <v>25545</v>
      </c>
      <c r="P1311" s="13">
        <f t="shared" si="41"/>
        <v>2016131</v>
      </c>
      <c r="Q1311" s="13">
        <f>SUMIFS(M:M,E:E,Online_eCommerce[[#This Row],[Status]])</f>
        <v>21233992</v>
      </c>
      <c r="R1311" s="13">
        <f>SUMIFS(L:L,H:H,Online_eCommerce[[#This Row],[Brand]])</f>
        <v>12435650</v>
      </c>
      <c r="S1311" s="13">
        <f>SUMIF(H:H,Online_eCommerce[[#This Row],[Brand]],M:M)</f>
        <v>16166345</v>
      </c>
      <c r="T1311" s="13">
        <f>SUMIF(N:N,Online_eCommerce[[#This Row],[Assigned Supervisor]],L:L)</f>
        <v>12261500</v>
      </c>
    </row>
    <row r="1312" spans="1:20" hidden="1" x14ac:dyDescent="0.3">
      <c r="A1312" t="s">
        <v>2029</v>
      </c>
      <c r="B1312" t="s">
        <v>37</v>
      </c>
      <c r="C1312" t="s">
        <v>68</v>
      </c>
      <c r="D1312" t="s">
        <v>1995</v>
      </c>
      <c r="E1312" t="s">
        <v>18</v>
      </c>
      <c r="F1312" t="s">
        <v>121</v>
      </c>
      <c r="G1312" t="s">
        <v>71</v>
      </c>
      <c r="H1312" t="s">
        <v>122</v>
      </c>
      <c r="I1312">
        <v>12550</v>
      </c>
      <c r="J1312">
        <v>16315</v>
      </c>
      <c r="K1312">
        <v>3</v>
      </c>
      <c r="L1312">
        <v>37650</v>
      </c>
      <c r="M1312">
        <v>48945</v>
      </c>
      <c r="N1312" t="s">
        <v>50</v>
      </c>
      <c r="O1312">
        <f t="shared" si="40"/>
        <v>9750</v>
      </c>
      <c r="P1312" s="13">
        <f t="shared" si="41"/>
        <v>2974621</v>
      </c>
      <c r="Q1312" s="13">
        <f>SUMIFS(M:M,E:E,Online_eCommerce[[#This Row],[Status]])</f>
        <v>28340455</v>
      </c>
      <c r="R1312" s="13">
        <f>SUMIFS(L:L,H:H,Online_eCommerce[[#This Row],[Brand]])</f>
        <v>5045100</v>
      </c>
      <c r="S1312" s="13">
        <f>SUMIF(H:H,Online_eCommerce[[#This Row],[Brand]],M:M)</f>
        <v>6558630</v>
      </c>
      <c r="T1312" s="13">
        <f>SUMIF(N:N,Online_eCommerce[[#This Row],[Assigned Supervisor]],L:L)</f>
        <v>12100590</v>
      </c>
    </row>
    <row r="1313" spans="1:20" hidden="1" x14ac:dyDescent="0.3">
      <c r="A1313" t="s">
        <v>2030</v>
      </c>
      <c r="B1313" t="s">
        <v>37</v>
      </c>
      <c r="C1313" t="s">
        <v>74</v>
      </c>
      <c r="D1313" t="s">
        <v>1995</v>
      </c>
      <c r="E1313" t="s">
        <v>161</v>
      </c>
      <c r="F1313" t="s">
        <v>126</v>
      </c>
      <c r="G1313" t="s">
        <v>26</v>
      </c>
      <c r="H1313" t="s">
        <v>27</v>
      </c>
      <c r="I1313">
        <v>14500</v>
      </c>
      <c r="J1313">
        <v>18850</v>
      </c>
      <c r="K1313">
        <v>2</v>
      </c>
      <c r="L1313">
        <v>29000</v>
      </c>
      <c r="M1313">
        <v>37700</v>
      </c>
      <c r="N1313" t="s">
        <v>56</v>
      </c>
      <c r="O1313">
        <f t="shared" si="40"/>
        <v>33150</v>
      </c>
      <c r="P1313" s="13">
        <f t="shared" si="41"/>
        <v>2144701</v>
      </c>
      <c r="Q1313" s="13">
        <f>SUMIFS(M:M,E:E,Online_eCommerce[[#This Row],[Status]])</f>
        <v>21103186</v>
      </c>
      <c r="R1313" s="13">
        <f>SUMIFS(L:L,H:H,Online_eCommerce[[#This Row],[Brand]])</f>
        <v>14431000</v>
      </c>
      <c r="S1313" s="13">
        <f>SUMIF(H:H,Online_eCommerce[[#This Row],[Brand]],M:M)</f>
        <v>18760300</v>
      </c>
      <c r="T1313" s="13">
        <f>SUMIF(N:N,Online_eCommerce[[#This Row],[Assigned Supervisor]],L:L)</f>
        <v>11733610</v>
      </c>
    </row>
    <row r="1314" spans="1:20" x14ac:dyDescent="0.3">
      <c r="A1314" t="s">
        <v>2031</v>
      </c>
      <c r="B1314" t="s">
        <v>37</v>
      </c>
      <c r="C1314" t="s">
        <v>81</v>
      </c>
      <c r="D1314" t="s">
        <v>1995</v>
      </c>
      <c r="E1314" t="s">
        <v>46</v>
      </c>
      <c r="F1314" t="s">
        <v>129</v>
      </c>
      <c r="G1314" t="s">
        <v>60</v>
      </c>
      <c r="H1314" t="s">
        <v>61</v>
      </c>
      <c r="I1314">
        <v>800</v>
      </c>
      <c r="J1314">
        <v>1040</v>
      </c>
      <c r="K1314">
        <v>4</v>
      </c>
      <c r="L1314">
        <v>3200</v>
      </c>
      <c r="M1314">
        <v>4160</v>
      </c>
      <c r="N1314" t="s">
        <v>22</v>
      </c>
      <c r="O1314">
        <f t="shared" si="40"/>
        <v>3315</v>
      </c>
      <c r="P1314" s="13">
        <f t="shared" si="41"/>
        <v>2595632</v>
      </c>
      <c r="Q1314" s="13">
        <f>SUMIFS(M:M,E:E,Online_eCommerce[[#This Row],[Status]])</f>
        <v>28620410</v>
      </c>
      <c r="R1314" s="13">
        <f>SUMIFS(L:L,H:H,Online_eCommerce[[#This Row],[Brand]])</f>
        <v>10950150</v>
      </c>
      <c r="S1314" s="13">
        <f>SUMIF(H:H,Online_eCommerce[[#This Row],[Brand]],M:M)</f>
        <v>14235195</v>
      </c>
      <c r="T1314" s="13">
        <f>SUMIF(N:N,Online_eCommerce[[#This Row],[Assigned Supervisor]],L:L)</f>
        <v>13693220</v>
      </c>
    </row>
    <row r="1315" spans="1:20" hidden="1" x14ac:dyDescent="0.3">
      <c r="A1315" t="s">
        <v>2032</v>
      </c>
      <c r="B1315" t="s">
        <v>37</v>
      </c>
      <c r="C1315" t="s">
        <v>86</v>
      </c>
      <c r="D1315" t="s">
        <v>1995</v>
      </c>
      <c r="E1315" t="s">
        <v>96</v>
      </c>
      <c r="F1315" t="s">
        <v>133</v>
      </c>
      <c r="G1315" t="s">
        <v>66</v>
      </c>
      <c r="H1315" t="s">
        <v>21</v>
      </c>
      <c r="I1315">
        <v>600</v>
      </c>
      <c r="J1315">
        <v>780</v>
      </c>
      <c r="K1315">
        <v>2</v>
      </c>
      <c r="L1315">
        <v>1200</v>
      </c>
      <c r="M1315">
        <v>1560</v>
      </c>
      <c r="N1315" t="s">
        <v>28</v>
      </c>
      <c r="O1315">
        <f t="shared" si="40"/>
        <v>1690</v>
      </c>
      <c r="P1315" s="13">
        <f t="shared" si="41"/>
        <v>1941225</v>
      </c>
      <c r="Q1315" s="13">
        <f>SUMIFS(M:M,E:E,Online_eCommerce[[#This Row],[Status]])</f>
        <v>21233992</v>
      </c>
      <c r="R1315" s="13">
        <f>SUMIFS(L:L,H:H,Online_eCommerce[[#This Row],[Brand]])</f>
        <v>12435650</v>
      </c>
      <c r="S1315" s="13">
        <f>SUMIF(H:H,Online_eCommerce[[#This Row],[Brand]],M:M)</f>
        <v>16166345</v>
      </c>
      <c r="T1315" s="13">
        <f>SUMIF(N:N,Online_eCommerce[[#This Row],[Assigned Supervisor]],L:L)</f>
        <v>12220830</v>
      </c>
    </row>
    <row r="1316" spans="1:20" hidden="1" x14ac:dyDescent="0.3">
      <c r="A1316" t="s">
        <v>2033</v>
      </c>
      <c r="B1316" t="s">
        <v>37</v>
      </c>
      <c r="C1316" t="s">
        <v>91</v>
      </c>
      <c r="D1316" t="s">
        <v>1995</v>
      </c>
      <c r="E1316" t="s">
        <v>18</v>
      </c>
      <c r="F1316" t="s">
        <v>137</v>
      </c>
      <c r="G1316" t="s">
        <v>71</v>
      </c>
      <c r="H1316" t="s">
        <v>61</v>
      </c>
      <c r="I1316">
        <v>10500</v>
      </c>
      <c r="J1316">
        <v>13650</v>
      </c>
      <c r="K1316">
        <v>3</v>
      </c>
      <c r="L1316">
        <v>31500</v>
      </c>
      <c r="M1316">
        <v>40950</v>
      </c>
      <c r="N1316" t="s">
        <v>35</v>
      </c>
      <c r="O1316">
        <f t="shared" si="40"/>
        <v>9750</v>
      </c>
      <c r="P1316" s="13">
        <f t="shared" si="41"/>
        <v>2731963</v>
      </c>
      <c r="Q1316" s="13">
        <f>SUMIFS(M:M,E:E,Online_eCommerce[[#This Row],[Status]])</f>
        <v>28340455</v>
      </c>
      <c r="R1316" s="13">
        <f>SUMIFS(L:L,H:H,Online_eCommerce[[#This Row],[Brand]])</f>
        <v>10950150</v>
      </c>
      <c r="S1316" s="13">
        <f>SUMIF(H:H,Online_eCommerce[[#This Row],[Brand]],M:M)</f>
        <v>14235195</v>
      </c>
      <c r="T1316" s="13">
        <f>SUMIF(N:N,Online_eCommerce[[#This Row],[Assigned Supervisor]],L:L)</f>
        <v>14373360</v>
      </c>
    </row>
    <row r="1317" spans="1:20" hidden="1" x14ac:dyDescent="0.3">
      <c r="A1317" t="s">
        <v>2034</v>
      </c>
      <c r="B1317" t="s">
        <v>37</v>
      </c>
      <c r="C1317" t="s">
        <v>94</v>
      </c>
      <c r="D1317" t="s">
        <v>1995</v>
      </c>
      <c r="E1317" t="s">
        <v>161</v>
      </c>
      <c r="F1317" t="s">
        <v>2005</v>
      </c>
      <c r="G1317" t="s">
        <v>77</v>
      </c>
      <c r="H1317" t="s">
        <v>142</v>
      </c>
      <c r="I1317">
        <v>6500</v>
      </c>
      <c r="J1317">
        <v>8450</v>
      </c>
      <c r="K1317">
        <v>1</v>
      </c>
      <c r="L1317">
        <v>6500</v>
      </c>
      <c r="M1317">
        <v>8450</v>
      </c>
      <c r="N1317" t="s">
        <v>42</v>
      </c>
      <c r="O1317">
        <f t="shared" si="40"/>
        <v>39000</v>
      </c>
      <c r="P1317" s="13">
        <f t="shared" si="41"/>
        <v>1868256</v>
      </c>
      <c r="Q1317" s="13">
        <f>SUMIFS(M:M,E:E,Online_eCommerce[[#This Row],[Status]])</f>
        <v>21103186</v>
      </c>
      <c r="R1317" s="13">
        <f>SUMIFS(L:L,H:H,Online_eCommerce[[#This Row],[Brand]])</f>
        <v>6192500</v>
      </c>
      <c r="S1317" s="13">
        <f>SUMIF(H:H,Online_eCommerce[[#This Row],[Brand]],M:M)</f>
        <v>8050250</v>
      </c>
      <c r="T1317" s="13">
        <f>SUMIF(N:N,Online_eCommerce[[#This Row],[Assigned Supervisor]],L:L)</f>
        <v>12261500</v>
      </c>
    </row>
    <row r="1318" spans="1:20" x14ac:dyDescent="0.3">
      <c r="A1318" t="s">
        <v>2035</v>
      </c>
      <c r="B1318" t="s">
        <v>37</v>
      </c>
      <c r="C1318" t="s">
        <v>99</v>
      </c>
      <c r="D1318" t="s">
        <v>1995</v>
      </c>
      <c r="E1318" t="s">
        <v>46</v>
      </c>
      <c r="F1318" t="s">
        <v>2036</v>
      </c>
      <c r="G1318" t="s">
        <v>20</v>
      </c>
      <c r="H1318" t="s">
        <v>21</v>
      </c>
      <c r="I1318">
        <v>4500</v>
      </c>
      <c r="J1318">
        <v>5850</v>
      </c>
      <c r="K1318">
        <v>4</v>
      </c>
      <c r="L1318">
        <v>18000</v>
      </c>
      <c r="M1318">
        <v>23400</v>
      </c>
      <c r="N1318" t="s">
        <v>50</v>
      </c>
      <c r="O1318">
        <f t="shared" si="40"/>
        <v>8450</v>
      </c>
      <c r="P1318" s="13">
        <f t="shared" si="41"/>
        <v>2651233</v>
      </c>
      <c r="Q1318" s="13">
        <f>SUMIFS(M:M,E:E,Online_eCommerce[[#This Row],[Status]])</f>
        <v>28620410</v>
      </c>
      <c r="R1318" s="13">
        <f>SUMIFS(L:L,H:H,Online_eCommerce[[#This Row],[Brand]])</f>
        <v>12435650</v>
      </c>
      <c r="S1318" s="13">
        <f>SUMIF(H:H,Online_eCommerce[[#This Row],[Brand]],M:M)</f>
        <v>16166345</v>
      </c>
      <c r="T1318" s="13">
        <f>SUMIF(N:N,Online_eCommerce[[#This Row],[Assigned Supervisor]],L:L)</f>
        <v>12100590</v>
      </c>
    </row>
    <row r="1319" spans="1:20" hidden="1" x14ac:dyDescent="0.3">
      <c r="A1319" t="s">
        <v>2037</v>
      </c>
      <c r="B1319" t="s">
        <v>37</v>
      </c>
      <c r="C1319" t="s">
        <v>105</v>
      </c>
      <c r="D1319" t="s">
        <v>1995</v>
      </c>
      <c r="E1319" t="s">
        <v>96</v>
      </c>
      <c r="F1319" t="s">
        <v>152</v>
      </c>
      <c r="G1319" t="s">
        <v>26</v>
      </c>
      <c r="H1319" t="s">
        <v>27</v>
      </c>
      <c r="I1319">
        <v>8500</v>
      </c>
      <c r="J1319">
        <v>11050</v>
      </c>
      <c r="K1319">
        <v>2</v>
      </c>
      <c r="L1319">
        <v>17000</v>
      </c>
      <c r="M1319">
        <v>22100</v>
      </c>
      <c r="N1319" t="s">
        <v>56</v>
      </c>
      <c r="O1319">
        <f t="shared" si="40"/>
        <v>33150</v>
      </c>
      <c r="P1319" s="13">
        <f t="shared" si="41"/>
        <v>1866852</v>
      </c>
      <c r="Q1319" s="13">
        <f>SUMIFS(M:M,E:E,Online_eCommerce[[#This Row],[Status]])</f>
        <v>21233992</v>
      </c>
      <c r="R1319" s="13">
        <f>SUMIFS(L:L,H:H,Online_eCommerce[[#This Row],[Brand]])</f>
        <v>14431000</v>
      </c>
      <c r="S1319" s="13">
        <f>SUMIF(H:H,Online_eCommerce[[#This Row],[Brand]],M:M)</f>
        <v>18760300</v>
      </c>
      <c r="T1319" s="13">
        <f>SUMIF(N:N,Online_eCommerce[[#This Row],[Assigned Supervisor]],L:L)</f>
        <v>11733610</v>
      </c>
    </row>
    <row r="1320" spans="1:20" hidden="1" x14ac:dyDescent="0.3">
      <c r="A1320" t="s">
        <v>2038</v>
      </c>
      <c r="B1320" t="s">
        <v>37</v>
      </c>
      <c r="C1320" t="s">
        <v>110</v>
      </c>
      <c r="D1320" t="s">
        <v>1995</v>
      </c>
      <c r="E1320" t="s">
        <v>18</v>
      </c>
      <c r="F1320" t="s">
        <v>157</v>
      </c>
      <c r="G1320" t="s">
        <v>33</v>
      </c>
      <c r="H1320" t="s">
        <v>34</v>
      </c>
      <c r="I1320">
        <v>12500</v>
      </c>
      <c r="J1320">
        <v>16250</v>
      </c>
      <c r="K1320">
        <v>4</v>
      </c>
      <c r="L1320">
        <v>50000</v>
      </c>
      <c r="M1320">
        <v>65000</v>
      </c>
      <c r="N1320" t="s">
        <v>22</v>
      </c>
      <c r="O1320">
        <f t="shared" si="40"/>
        <v>18200</v>
      </c>
      <c r="P1320" s="13">
        <f t="shared" si="41"/>
        <v>2598635</v>
      </c>
      <c r="Q1320" s="13">
        <f>SUMIFS(M:M,E:E,Online_eCommerce[[#This Row],[Status]])</f>
        <v>28340455</v>
      </c>
      <c r="R1320" s="13">
        <f>SUMIFS(L:L,H:H,Online_eCommerce[[#This Row],[Brand]])</f>
        <v>10087000</v>
      </c>
      <c r="S1320" s="13">
        <f>SUMIF(H:H,Online_eCommerce[[#This Row],[Brand]],M:M)</f>
        <v>13113100</v>
      </c>
      <c r="T1320" s="13">
        <f>SUMIF(N:N,Online_eCommerce[[#This Row],[Assigned Supervisor]],L:L)</f>
        <v>13693220</v>
      </c>
    </row>
    <row r="1321" spans="1:20" hidden="1" x14ac:dyDescent="0.3">
      <c r="A1321" t="s">
        <v>2039</v>
      </c>
      <c r="B1321" t="s">
        <v>37</v>
      </c>
      <c r="C1321" t="s">
        <v>115</v>
      </c>
      <c r="D1321" t="s">
        <v>1995</v>
      </c>
      <c r="E1321" t="s">
        <v>161</v>
      </c>
      <c r="F1321" t="s">
        <v>1599</v>
      </c>
      <c r="G1321" t="s">
        <v>40</v>
      </c>
      <c r="H1321" t="s">
        <v>41</v>
      </c>
      <c r="I1321">
        <v>3500</v>
      </c>
      <c r="J1321">
        <v>4550</v>
      </c>
      <c r="K1321">
        <v>2</v>
      </c>
      <c r="L1321">
        <v>7000</v>
      </c>
      <c r="M1321">
        <v>9100</v>
      </c>
      <c r="N1321" t="s">
        <v>28</v>
      </c>
      <c r="O1321">
        <f t="shared" si="40"/>
        <v>25545</v>
      </c>
      <c r="P1321" s="13">
        <f t="shared" si="41"/>
        <v>2050178</v>
      </c>
      <c r="Q1321" s="13">
        <f>SUMIFS(M:M,E:E,Online_eCommerce[[#This Row],[Status]])</f>
        <v>21103186</v>
      </c>
      <c r="R1321" s="13">
        <f>SUMIFS(L:L,H:H,Online_eCommerce[[#This Row],[Brand]])</f>
        <v>4260400</v>
      </c>
      <c r="S1321" s="13">
        <f>SUMIF(H:H,Online_eCommerce[[#This Row],[Brand]],M:M)</f>
        <v>5538520</v>
      </c>
      <c r="T1321" s="13">
        <f>SUMIF(N:N,Online_eCommerce[[#This Row],[Assigned Supervisor]],L:L)</f>
        <v>12220830</v>
      </c>
    </row>
    <row r="1322" spans="1:20" x14ac:dyDescent="0.3">
      <c r="A1322" t="s">
        <v>2040</v>
      </c>
      <c r="B1322" t="s">
        <v>159</v>
      </c>
      <c r="C1322" t="s">
        <v>120</v>
      </c>
      <c r="D1322" t="s">
        <v>1995</v>
      </c>
      <c r="E1322" t="s">
        <v>46</v>
      </c>
      <c r="F1322" t="s">
        <v>166</v>
      </c>
      <c r="G1322" t="s">
        <v>334</v>
      </c>
      <c r="H1322" t="s">
        <v>49</v>
      </c>
      <c r="I1322">
        <v>4500</v>
      </c>
      <c r="J1322">
        <v>5850</v>
      </c>
      <c r="K1322">
        <v>3</v>
      </c>
      <c r="L1322">
        <v>13500</v>
      </c>
      <c r="M1322">
        <v>17550</v>
      </c>
      <c r="N1322" t="s">
        <v>35</v>
      </c>
      <c r="O1322">
        <f t="shared" si="40"/>
        <v>39780</v>
      </c>
      <c r="P1322" s="13">
        <f t="shared" si="41"/>
        <v>2734212</v>
      </c>
      <c r="Q1322" s="13">
        <f>SUMIFS(M:M,E:E,Online_eCommerce[[#This Row],[Status]])</f>
        <v>28620410</v>
      </c>
      <c r="R1322" s="13">
        <f>SUMIFS(L:L,H:H,Online_eCommerce[[#This Row],[Brand]])</f>
        <v>4528350</v>
      </c>
      <c r="S1322" s="13">
        <f>SUMIF(H:H,Online_eCommerce[[#This Row],[Brand]],M:M)</f>
        <v>5886855</v>
      </c>
      <c r="T1322" s="13">
        <f>SUMIF(N:N,Online_eCommerce[[#This Row],[Assigned Supervisor]],L:L)</f>
        <v>14373360</v>
      </c>
    </row>
    <row r="1323" spans="1:20" hidden="1" x14ac:dyDescent="0.3">
      <c r="A1323" t="s">
        <v>2041</v>
      </c>
      <c r="B1323" t="s">
        <v>139</v>
      </c>
      <c r="C1323" t="s">
        <v>125</v>
      </c>
      <c r="D1323" t="s">
        <v>1995</v>
      </c>
      <c r="E1323" t="s">
        <v>96</v>
      </c>
      <c r="F1323" t="s">
        <v>2042</v>
      </c>
      <c r="G1323" t="s">
        <v>54</v>
      </c>
      <c r="H1323" t="s">
        <v>55</v>
      </c>
      <c r="I1323">
        <v>2100</v>
      </c>
      <c r="J1323">
        <v>2730</v>
      </c>
      <c r="K1323">
        <v>3</v>
      </c>
      <c r="L1323">
        <v>6300</v>
      </c>
      <c r="M1323">
        <v>8190</v>
      </c>
      <c r="N1323" t="s">
        <v>42</v>
      </c>
      <c r="O1323">
        <f t="shared" si="40"/>
        <v>2990</v>
      </c>
      <c r="P1323" s="13">
        <f t="shared" si="41"/>
        <v>2091154</v>
      </c>
      <c r="Q1323" s="13">
        <f>SUMIFS(M:M,E:E,Online_eCommerce[[#This Row],[Status]])</f>
        <v>21233992</v>
      </c>
      <c r="R1323" s="13">
        <f>SUMIFS(L:L,H:H,Online_eCommerce[[#This Row],[Brand]])</f>
        <v>2267380</v>
      </c>
      <c r="S1323" s="13">
        <f>SUMIF(H:H,Online_eCommerce[[#This Row],[Brand]],M:M)</f>
        <v>2947594</v>
      </c>
      <c r="T1323" s="13">
        <f>SUMIF(N:N,Online_eCommerce[[#This Row],[Assigned Supervisor]],L:L)</f>
        <v>12261500</v>
      </c>
    </row>
    <row r="1324" spans="1:20" hidden="1" x14ac:dyDescent="0.3">
      <c r="A1324" t="s">
        <v>2043</v>
      </c>
      <c r="B1324" t="s">
        <v>144</v>
      </c>
      <c r="C1324" t="s">
        <v>22</v>
      </c>
      <c r="D1324" t="s">
        <v>1995</v>
      </c>
      <c r="E1324" t="s">
        <v>18</v>
      </c>
      <c r="F1324" t="s">
        <v>174</v>
      </c>
      <c r="G1324" t="s">
        <v>60</v>
      </c>
      <c r="H1324" t="s">
        <v>61</v>
      </c>
      <c r="I1324">
        <v>1150</v>
      </c>
      <c r="J1324">
        <v>1495</v>
      </c>
      <c r="K1324">
        <v>2</v>
      </c>
      <c r="L1324">
        <v>2300</v>
      </c>
      <c r="M1324">
        <v>2990</v>
      </c>
      <c r="N1324" t="s">
        <v>50</v>
      </c>
      <c r="O1324">
        <f t="shared" si="40"/>
        <v>3315</v>
      </c>
      <c r="P1324" s="13">
        <f t="shared" si="41"/>
        <v>2551588</v>
      </c>
      <c r="Q1324" s="13">
        <f>SUMIFS(M:M,E:E,Online_eCommerce[[#This Row],[Status]])</f>
        <v>28340455</v>
      </c>
      <c r="R1324" s="13">
        <f>SUMIFS(L:L,H:H,Online_eCommerce[[#This Row],[Brand]])</f>
        <v>10950150</v>
      </c>
      <c r="S1324" s="13">
        <f>SUMIF(H:H,Online_eCommerce[[#This Row],[Brand]],M:M)</f>
        <v>14235195</v>
      </c>
      <c r="T1324" s="13">
        <f>SUMIF(N:N,Online_eCommerce[[#This Row],[Assigned Supervisor]],L:L)</f>
        <v>12100590</v>
      </c>
    </row>
    <row r="1325" spans="1:20" hidden="1" x14ac:dyDescent="0.3">
      <c r="A1325" t="s">
        <v>2044</v>
      </c>
      <c r="B1325" t="s">
        <v>171</v>
      </c>
      <c r="C1325" t="s">
        <v>132</v>
      </c>
      <c r="D1325" t="s">
        <v>1995</v>
      </c>
      <c r="E1325" t="s">
        <v>161</v>
      </c>
      <c r="F1325" t="s">
        <v>179</v>
      </c>
      <c r="G1325" t="s">
        <v>66</v>
      </c>
      <c r="H1325" t="s">
        <v>21</v>
      </c>
      <c r="I1325">
        <v>350</v>
      </c>
      <c r="J1325">
        <v>455</v>
      </c>
      <c r="K1325">
        <v>1</v>
      </c>
      <c r="L1325">
        <v>350</v>
      </c>
      <c r="M1325">
        <v>455</v>
      </c>
      <c r="N1325" t="s">
        <v>56</v>
      </c>
      <c r="O1325">
        <f t="shared" si="40"/>
        <v>1690</v>
      </c>
      <c r="P1325" s="13">
        <f t="shared" si="41"/>
        <v>1989065</v>
      </c>
      <c r="Q1325" s="13">
        <f>SUMIFS(M:M,E:E,Online_eCommerce[[#This Row],[Status]])</f>
        <v>21103186</v>
      </c>
      <c r="R1325" s="13">
        <f>SUMIFS(L:L,H:H,Online_eCommerce[[#This Row],[Brand]])</f>
        <v>12435650</v>
      </c>
      <c r="S1325" s="13">
        <f>SUMIF(H:H,Online_eCommerce[[#This Row],[Brand]],M:M)</f>
        <v>16166345</v>
      </c>
      <c r="T1325" s="13">
        <f>SUMIF(N:N,Online_eCommerce[[#This Row],[Assigned Supervisor]],L:L)</f>
        <v>11733610</v>
      </c>
    </row>
    <row r="1326" spans="1:20" x14ac:dyDescent="0.3">
      <c r="A1326" t="s">
        <v>2045</v>
      </c>
      <c r="B1326" t="s">
        <v>37</v>
      </c>
      <c r="C1326" t="s">
        <v>136</v>
      </c>
      <c r="D1326" t="s">
        <v>1995</v>
      </c>
      <c r="E1326" t="s">
        <v>46</v>
      </c>
      <c r="F1326" t="s">
        <v>183</v>
      </c>
      <c r="G1326" t="s">
        <v>71</v>
      </c>
      <c r="H1326" t="s">
        <v>61</v>
      </c>
      <c r="I1326">
        <v>9500</v>
      </c>
      <c r="J1326">
        <v>12350</v>
      </c>
      <c r="K1326">
        <v>4</v>
      </c>
      <c r="L1326">
        <v>38000</v>
      </c>
      <c r="M1326">
        <v>49400</v>
      </c>
      <c r="N1326" t="s">
        <v>22</v>
      </c>
      <c r="O1326">
        <f t="shared" si="40"/>
        <v>9750</v>
      </c>
      <c r="P1326" s="13">
        <f t="shared" si="41"/>
        <v>2775162</v>
      </c>
      <c r="Q1326" s="13">
        <f>SUMIFS(M:M,E:E,Online_eCommerce[[#This Row],[Status]])</f>
        <v>28620410</v>
      </c>
      <c r="R1326" s="13">
        <f>SUMIFS(L:L,H:H,Online_eCommerce[[#This Row],[Brand]])</f>
        <v>10950150</v>
      </c>
      <c r="S1326" s="13">
        <f>SUMIF(H:H,Online_eCommerce[[#This Row],[Brand]],M:M)</f>
        <v>14235195</v>
      </c>
      <c r="T1326" s="13">
        <f>SUMIF(N:N,Online_eCommerce[[#This Row],[Assigned Supervisor]],L:L)</f>
        <v>13693220</v>
      </c>
    </row>
    <row r="1327" spans="1:20" hidden="1" x14ac:dyDescent="0.3">
      <c r="A1327" t="s">
        <v>2046</v>
      </c>
      <c r="B1327" t="s">
        <v>37</v>
      </c>
      <c r="C1327" t="s">
        <v>140</v>
      </c>
      <c r="D1327" t="s">
        <v>1995</v>
      </c>
      <c r="E1327" t="s">
        <v>96</v>
      </c>
      <c r="F1327" t="s">
        <v>2047</v>
      </c>
      <c r="G1327" t="s">
        <v>77</v>
      </c>
      <c r="H1327" t="s">
        <v>142</v>
      </c>
      <c r="I1327">
        <v>10000</v>
      </c>
      <c r="J1327">
        <v>13000</v>
      </c>
      <c r="K1327">
        <v>2</v>
      </c>
      <c r="L1327">
        <v>20000</v>
      </c>
      <c r="M1327">
        <v>26000</v>
      </c>
      <c r="N1327" t="s">
        <v>28</v>
      </c>
      <c r="O1327">
        <f t="shared" si="40"/>
        <v>39000</v>
      </c>
      <c r="P1327" s="13">
        <f t="shared" si="41"/>
        <v>2058264</v>
      </c>
      <c r="Q1327" s="13">
        <f>SUMIFS(M:M,E:E,Online_eCommerce[[#This Row],[Status]])</f>
        <v>21233992</v>
      </c>
      <c r="R1327" s="13">
        <f>SUMIFS(L:L,H:H,Online_eCommerce[[#This Row],[Brand]])</f>
        <v>6192500</v>
      </c>
      <c r="S1327" s="13">
        <f>SUMIF(H:H,Online_eCommerce[[#This Row],[Brand]],M:M)</f>
        <v>8050250</v>
      </c>
      <c r="T1327" s="13">
        <f>SUMIF(N:N,Online_eCommerce[[#This Row],[Assigned Supervisor]],L:L)</f>
        <v>12220830</v>
      </c>
    </row>
    <row r="1328" spans="1:20" hidden="1" x14ac:dyDescent="0.3">
      <c r="A1328" t="s">
        <v>2048</v>
      </c>
      <c r="B1328" t="s">
        <v>37</v>
      </c>
      <c r="C1328" t="s">
        <v>145</v>
      </c>
      <c r="D1328" t="s">
        <v>1995</v>
      </c>
      <c r="E1328" t="s">
        <v>18</v>
      </c>
      <c r="F1328" t="s">
        <v>2049</v>
      </c>
      <c r="G1328" t="s">
        <v>20</v>
      </c>
      <c r="H1328" t="s">
        <v>21</v>
      </c>
      <c r="I1328">
        <v>6500</v>
      </c>
      <c r="J1328">
        <v>8450</v>
      </c>
      <c r="K1328">
        <v>3</v>
      </c>
      <c r="L1328">
        <v>19500</v>
      </c>
      <c r="M1328">
        <v>25350</v>
      </c>
      <c r="N1328" t="s">
        <v>35</v>
      </c>
      <c r="O1328">
        <f t="shared" si="40"/>
        <v>8450</v>
      </c>
      <c r="P1328" s="13">
        <f t="shared" si="41"/>
        <v>2757859</v>
      </c>
      <c r="Q1328" s="13">
        <f>SUMIFS(M:M,E:E,Online_eCommerce[[#This Row],[Status]])</f>
        <v>28340455</v>
      </c>
      <c r="R1328" s="13">
        <f>SUMIFS(L:L,H:H,Online_eCommerce[[#This Row],[Brand]])</f>
        <v>12435650</v>
      </c>
      <c r="S1328" s="13">
        <f>SUMIF(H:H,Online_eCommerce[[#This Row],[Brand]],M:M)</f>
        <v>16166345</v>
      </c>
      <c r="T1328" s="13">
        <f>SUMIF(N:N,Online_eCommerce[[#This Row],[Assigned Supervisor]],L:L)</f>
        <v>14373360</v>
      </c>
    </row>
    <row r="1329" spans="1:20" hidden="1" x14ac:dyDescent="0.3">
      <c r="A1329" t="s">
        <v>2050</v>
      </c>
      <c r="B1329" t="s">
        <v>37</v>
      </c>
      <c r="C1329" t="s">
        <v>150</v>
      </c>
      <c r="D1329" t="s">
        <v>1995</v>
      </c>
      <c r="E1329" t="s">
        <v>161</v>
      </c>
      <c r="F1329" t="s">
        <v>2051</v>
      </c>
      <c r="G1329" t="s">
        <v>26</v>
      </c>
      <c r="H1329" t="s">
        <v>27</v>
      </c>
      <c r="I1329">
        <v>8500</v>
      </c>
      <c r="J1329">
        <v>11050</v>
      </c>
      <c r="K1329">
        <v>4</v>
      </c>
      <c r="L1329">
        <v>34000</v>
      </c>
      <c r="M1329">
        <v>44200</v>
      </c>
      <c r="N1329" t="s">
        <v>42</v>
      </c>
      <c r="O1329">
        <f t="shared" si="40"/>
        <v>33150</v>
      </c>
      <c r="P1329" s="13">
        <f t="shared" si="41"/>
        <v>2154984</v>
      </c>
      <c r="Q1329" s="13">
        <f>SUMIFS(M:M,E:E,Online_eCommerce[[#This Row],[Status]])</f>
        <v>21103186</v>
      </c>
      <c r="R1329" s="13">
        <f>SUMIFS(L:L,H:H,Online_eCommerce[[#This Row],[Brand]])</f>
        <v>14431000</v>
      </c>
      <c r="S1329" s="13">
        <f>SUMIF(H:H,Online_eCommerce[[#This Row],[Brand]],M:M)</f>
        <v>18760300</v>
      </c>
      <c r="T1329" s="13">
        <f>SUMIF(N:N,Online_eCommerce[[#This Row],[Assigned Supervisor]],L:L)</f>
        <v>12261500</v>
      </c>
    </row>
    <row r="1330" spans="1:20" x14ac:dyDescent="0.3">
      <c r="A1330" t="s">
        <v>2052</v>
      </c>
      <c r="B1330" t="s">
        <v>37</v>
      </c>
      <c r="C1330" t="s">
        <v>155</v>
      </c>
      <c r="D1330" t="s">
        <v>1995</v>
      </c>
      <c r="E1330" t="s">
        <v>46</v>
      </c>
      <c r="F1330" t="s">
        <v>32</v>
      </c>
      <c r="G1330" t="s">
        <v>33</v>
      </c>
      <c r="H1330" t="s">
        <v>34</v>
      </c>
      <c r="I1330">
        <v>7000</v>
      </c>
      <c r="J1330">
        <v>9100</v>
      </c>
      <c r="K1330">
        <v>2</v>
      </c>
      <c r="L1330">
        <v>14000</v>
      </c>
      <c r="M1330">
        <v>18200</v>
      </c>
      <c r="N1330" t="s">
        <v>50</v>
      </c>
      <c r="O1330">
        <f t="shared" si="40"/>
        <v>18200</v>
      </c>
      <c r="P1330" s="13">
        <f t="shared" si="41"/>
        <v>2753348</v>
      </c>
      <c r="Q1330" s="13">
        <f>SUMIFS(M:M,E:E,Online_eCommerce[[#This Row],[Status]])</f>
        <v>28620410</v>
      </c>
      <c r="R1330" s="13">
        <f>SUMIFS(L:L,H:H,Online_eCommerce[[#This Row],[Brand]])</f>
        <v>10087000</v>
      </c>
      <c r="S1330" s="13">
        <f>SUMIF(H:H,Online_eCommerce[[#This Row],[Brand]],M:M)</f>
        <v>13113100</v>
      </c>
      <c r="T1330" s="13">
        <f>SUMIF(N:N,Online_eCommerce[[#This Row],[Assigned Supervisor]],L:L)</f>
        <v>12100590</v>
      </c>
    </row>
    <row r="1331" spans="1:20" hidden="1" x14ac:dyDescent="0.3">
      <c r="A1331" t="s">
        <v>2053</v>
      </c>
      <c r="B1331" t="s">
        <v>37</v>
      </c>
      <c r="C1331" t="s">
        <v>160</v>
      </c>
      <c r="D1331" t="s">
        <v>1995</v>
      </c>
      <c r="E1331" t="s">
        <v>96</v>
      </c>
      <c r="F1331" t="s">
        <v>2054</v>
      </c>
      <c r="G1331" t="s">
        <v>40</v>
      </c>
      <c r="H1331" t="s">
        <v>41</v>
      </c>
      <c r="I1331">
        <v>6550</v>
      </c>
      <c r="J1331">
        <v>8515</v>
      </c>
      <c r="K1331">
        <v>2</v>
      </c>
      <c r="L1331">
        <v>13100</v>
      </c>
      <c r="M1331">
        <v>17030</v>
      </c>
      <c r="N1331" t="s">
        <v>56</v>
      </c>
      <c r="O1331">
        <f t="shared" si="40"/>
        <v>25545</v>
      </c>
      <c r="P1331" s="13">
        <f t="shared" si="41"/>
        <v>2303483</v>
      </c>
      <c r="Q1331" s="13">
        <f>SUMIFS(M:M,E:E,Online_eCommerce[[#This Row],[Status]])</f>
        <v>21233992</v>
      </c>
      <c r="R1331" s="13">
        <f>SUMIFS(L:L,H:H,Online_eCommerce[[#This Row],[Brand]])</f>
        <v>4260400</v>
      </c>
      <c r="S1331" s="13">
        <f>SUMIF(H:H,Online_eCommerce[[#This Row],[Brand]],M:M)</f>
        <v>5538520</v>
      </c>
      <c r="T1331" s="13">
        <f>SUMIF(N:N,Online_eCommerce[[#This Row],[Assigned Supervisor]],L:L)</f>
        <v>11733610</v>
      </c>
    </row>
    <row r="1332" spans="1:20" hidden="1" x14ac:dyDescent="0.3">
      <c r="A1332" t="s">
        <v>2055</v>
      </c>
      <c r="B1332" t="s">
        <v>37</v>
      </c>
      <c r="C1332" t="s">
        <v>165</v>
      </c>
      <c r="D1332" t="s">
        <v>1995</v>
      </c>
      <c r="E1332" t="s">
        <v>18</v>
      </c>
      <c r="F1332" t="s">
        <v>47</v>
      </c>
      <c r="G1332" t="s">
        <v>334</v>
      </c>
      <c r="H1332" t="s">
        <v>49</v>
      </c>
      <c r="I1332">
        <v>7650</v>
      </c>
      <c r="J1332">
        <v>9945</v>
      </c>
      <c r="K1332">
        <v>1</v>
      </c>
      <c r="L1332">
        <v>7650</v>
      </c>
      <c r="M1332">
        <v>9945</v>
      </c>
      <c r="N1332" t="s">
        <v>22</v>
      </c>
      <c r="O1332">
        <f t="shared" si="40"/>
        <v>39780</v>
      </c>
      <c r="P1332" s="13">
        <f t="shared" si="41"/>
        <v>2674087</v>
      </c>
      <c r="Q1332" s="13">
        <f>SUMIFS(M:M,E:E,Online_eCommerce[[#This Row],[Status]])</f>
        <v>28340455</v>
      </c>
      <c r="R1332" s="13">
        <f>SUMIFS(L:L,H:H,Online_eCommerce[[#This Row],[Brand]])</f>
        <v>4528350</v>
      </c>
      <c r="S1332" s="13">
        <f>SUMIF(H:H,Online_eCommerce[[#This Row],[Brand]],M:M)</f>
        <v>5886855</v>
      </c>
      <c r="T1332" s="13">
        <f>SUMIF(N:N,Online_eCommerce[[#This Row],[Assigned Supervisor]],L:L)</f>
        <v>13693220</v>
      </c>
    </row>
    <row r="1333" spans="1:20" hidden="1" x14ac:dyDescent="0.3">
      <c r="A1333" t="s">
        <v>2056</v>
      </c>
      <c r="B1333" t="s">
        <v>37</v>
      </c>
      <c r="C1333" t="s">
        <v>168</v>
      </c>
      <c r="D1333" t="s">
        <v>1995</v>
      </c>
      <c r="E1333" t="s">
        <v>161</v>
      </c>
      <c r="F1333" t="s">
        <v>53</v>
      </c>
      <c r="G1333" t="s">
        <v>54</v>
      </c>
      <c r="H1333" t="s">
        <v>55</v>
      </c>
      <c r="I1333">
        <v>1150</v>
      </c>
      <c r="J1333">
        <v>1495</v>
      </c>
      <c r="K1333">
        <v>3</v>
      </c>
      <c r="L1333">
        <v>3450</v>
      </c>
      <c r="M1333">
        <v>4485</v>
      </c>
      <c r="N1333" t="s">
        <v>28</v>
      </c>
      <c r="O1333">
        <f t="shared" si="40"/>
        <v>2990</v>
      </c>
      <c r="P1333" s="13">
        <f t="shared" si="41"/>
        <v>1937780</v>
      </c>
      <c r="Q1333" s="13">
        <f>SUMIFS(M:M,E:E,Online_eCommerce[[#This Row],[Status]])</f>
        <v>21103186</v>
      </c>
      <c r="R1333" s="13">
        <f>SUMIFS(L:L,H:H,Online_eCommerce[[#This Row],[Brand]])</f>
        <v>2267380</v>
      </c>
      <c r="S1333" s="13">
        <f>SUMIF(H:H,Online_eCommerce[[#This Row],[Brand]],M:M)</f>
        <v>2947594</v>
      </c>
      <c r="T1333" s="13">
        <f>SUMIF(N:N,Online_eCommerce[[#This Row],[Assigned Supervisor]],L:L)</f>
        <v>12220830</v>
      </c>
    </row>
    <row r="1334" spans="1:20" x14ac:dyDescent="0.3">
      <c r="A1334" t="s">
        <v>2057</v>
      </c>
      <c r="B1334" t="s">
        <v>37</v>
      </c>
      <c r="C1334" t="s">
        <v>172</v>
      </c>
      <c r="D1334" t="s">
        <v>1995</v>
      </c>
      <c r="E1334" t="s">
        <v>46</v>
      </c>
      <c r="F1334" t="s">
        <v>59</v>
      </c>
      <c r="G1334" t="s">
        <v>60</v>
      </c>
      <c r="H1334" t="s">
        <v>61</v>
      </c>
      <c r="I1334">
        <v>850</v>
      </c>
      <c r="J1334">
        <v>1105</v>
      </c>
      <c r="K1334">
        <v>3</v>
      </c>
      <c r="L1334">
        <v>2550</v>
      </c>
      <c r="M1334">
        <v>3315</v>
      </c>
      <c r="N1334" t="s">
        <v>35</v>
      </c>
      <c r="O1334">
        <f t="shared" si="40"/>
        <v>3315</v>
      </c>
      <c r="P1334" s="13">
        <f t="shared" si="41"/>
        <v>2640274</v>
      </c>
      <c r="Q1334" s="13">
        <f>SUMIFS(M:M,E:E,Online_eCommerce[[#This Row],[Status]])</f>
        <v>28620410</v>
      </c>
      <c r="R1334" s="13">
        <f>SUMIFS(L:L,H:H,Online_eCommerce[[#This Row],[Brand]])</f>
        <v>10950150</v>
      </c>
      <c r="S1334" s="13">
        <f>SUMIF(H:H,Online_eCommerce[[#This Row],[Brand]],M:M)</f>
        <v>14235195</v>
      </c>
      <c r="T1334" s="13">
        <f>SUMIF(N:N,Online_eCommerce[[#This Row],[Assigned Supervisor]],L:L)</f>
        <v>14373360</v>
      </c>
    </row>
    <row r="1335" spans="1:20" hidden="1" x14ac:dyDescent="0.3">
      <c r="A1335" t="s">
        <v>2058</v>
      </c>
      <c r="B1335" t="s">
        <v>37</v>
      </c>
      <c r="C1335" t="s">
        <v>177</v>
      </c>
      <c r="D1335" t="s">
        <v>1995</v>
      </c>
      <c r="E1335" t="s">
        <v>96</v>
      </c>
      <c r="F1335" t="s">
        <v>65</v>
      </c>
      <c r="G1335" t="s">
        <v>66</v>
      </c>
      <c r="H1335" t="s">
        <v>21</v>
      </c>
      <c r="I1335">
        <v>650</v>
      </c>
      <c r="J1335">
        <v>845</v>
      </c>
      <c r="K1335">
        <v>2</v>
      </c>
      <c r="L1335">
        <v>1300</v>
      </c>
      <c r="M1335">
        <v>1690</v>
      </c>
      <c r="N1335" t="s">
        <v>42</v>
      </c>
      <c r="O1335">
        <f t="shared" si="40"/>
        <v>1690</v>
      </c>
      <c r="P1335" s="13">
        <f t="shared" si="41"/>
        <v>1863810</v>
      </c>
      <c r="Q1335" s="13">
        <f>SUMIFS(M:M,E:E,Online_eCommerce[[#This Row],[Status]])</f>
        <v>21233992</v>
      </c>
      <c r="R1335" s="13">
        <f>SUMIFS(L:L,H:H,Online_eCommerce[[#This Row],[Brand]])</f>
        <v>12435650</v>
      </c>
      <c r="S1335" s="13">
        <f>SUMIF(H:H,Online_eCommerce[[#This Row],[Brand]],M:M)</f>
        <v>16166345</v>
      </c>
      <c r="T1335" s="13">
        <f>SUMIF(N:N,Online_eCommerce[[#This Row],[Assigned Supervisor]],L:L)</f>
        <v>12261500</v>
      </c>
    </row>
    <row r="1336" spans="1:20" hidden="1" x14ac:dyDescent="0.3">
      <c r="A1336" t="s">
        <v>2059</v>
      </c>
      <c r="B1336" t="s">
        <v>37</v>
      </c>
      <c r="C1336" t="s">
        <v>181</v>
      </c>
      <c r="D1336" t="s">
        <v>1995</v>
      </c>
      <c r="E1336" t="s">
        <v>18</v>
      </c>
      <c r="F1336" t="s">
        <v>70</v>
      </c>
      <c r="G1336" t="s">
        <v>71</v>
      </c>
      <c r="H1336" t="s">
        <v>61</v>
      </c>
      <c r="I1336">
        <v>7500</v>
      </c>
      <c r="J1336">
        <v>9750</v>
      </c>
      <c r="K1336">
        <v>1</v>
      </c>
      <c r="L1336">
        <v>7500</v>
      </c>
      <c r="M1336">
        <v>9750</v>
      </c>
      <c r="N1336" t="s">
        <v>50</v>
      </c>
      <c r="O1336">
        <f t="shared" si="40"/>
        <v>9750</v>
      </c>
      <c r="P1336" s="13">
        <f t="shared" si="41"/>
        <v>2577458</v>
      </c>
      <c r="Q1336" s="13">
        <f>SUMIFS(M:M,E:E,Online_eCommerce[[#This Row],[Status]])</f>
        <v>28340455</v>
      </c>
      <c r="R1336" s="13">
        <f>SUMIFS(L:L,H:H,Online_eCommerce[[#This Row],[Brand]])</f>
        <v>10950150</v>
      </c>
      <c r="S1336" s="13">
        <f>SUMIF(H:H,Online_eCommerce[[#This Row],[Brand]],M:M)</f>
        <v>14235195</v>
      </c>
      <c r="T1336" s="13">
        <f>SUMIF(N:N,Online_eCommerce[[#This Row],[Assigned Supervisor]],L:L)</f>
        <v>12100590</v>
      </c>
    </row>
    <row r="1337" spans="1:20" hidden="1" x14ac:dyDescent="0.3">
      <c r="A1337" t="s">
        <v>2060</v>
      </c>
      <c r="B1337" t="s">
        <v>37</v>
      </c>
      <c r="C1337" t="s">
        <v>185</v>
      </c>
      <c r="D1337" t="s">
        <v>1995</v>
      </c>
      <c r="E1337" t="s">
        <v>161</v>
      </c>
      <c r="F1337" t="s">
        <v>2047</v>
      </c>
      <c r="G1337" t="s">
        <v>77</v>
      </c>
      <c r="H1337" t="s">
        <v>78</v>
      </c>
      <c r="I1337">
        <v>10000</v>
      </c>
      <c r="J1337">
        <v>13000</v>
      </c>
      <c r="K1337">
        <v>4</v>
      </c>
      <c r="L1337">
        <v>40000</v>
      </c>
      <c r="M1337">
        <v>52000</v>
      </c>
      <c r="N1337" t="s">
        <v>56</v>
      </c>
      <c r="O1337">
        <f t="shared" si="40"/>
        <v>39000</v>
      </c>
      <c r="P1337" s="13">
        <f t="shared" si="41"/>
        <v>2091596</v>
      </c>
      <c r="Q1337" s="13">
        <f>SUMIFS(M:M,E:E,Online_eCommerce[[#This Row],[Status]])</f>
        <v>21103186</v>
      </c>
      <c r="R1337" s="13">
        <f>SUMIFS(L:L,H:H,Online_eCommerce[[#This Row],[Brand]])</f>
        <v>3720000</v>
      </c>
      <c r="S1337" s="13">
        <f>SUMIF(H:H,Online_eCommerce[[#This Row],[Brand]],M:M)</f>
        <v>4836000</v>
      </c>
      <c r="T1337" s="13">
        <f>SUMIF(N:N,Online_eCommerce[[#This Row],[Assigned Supervisor]],L:L)</f>
        <v>11733610</v>
      </c>
    </row>
    <row r="1338" spans="1:20" x14ac:dyDescent="0.3">
      <c r="A1338" t="s">
        <v>2061</v>
      </c>
      <c r="B1338" t="s">
        <v>37</v>
      </c>
      <c r="C1338" t="s">
        <v>189</v>
      </c>
      <c r="D1338" t="s">
        <v>1995</v>
      </c>
      <c r="E1338" t="s">
        <v>46</v>
      </c>
      <c r="F1338" t="s">
        <v>2062</v>
      </c>
      <c r="G1338" t="s">
        <v>20</v>
      </c>
      <c r="H1338" t="s">
        <v>21</v>
      </c>
      <c r="I1338">
        <v>10500</v>
      </c>
      <c r="J1338">
        <v>13650</v>
      </c>
      <c r="K1338">
        <v>3</v>
      </c>
      <c r="L1338">
        <v>31500</v>
      </c>
      <c r="M1338">
        <v>40950</v>
      </c>
      <c r="N1338" t="s">
        <v>22</v>
      </c>
      <c r="O1338">
        <f t="shared" si="40"/>
        <v>8450</v>
      </c>
      <c r="P1338" s="13">
        <f t="shared" si="41"/>
        <v>2740777</v>
      </c>
      <c r="Q1338" s="13">
        <f>SUMIFS(M:M,E:E,Online_eCommerce[[#This Row],[Status]])</f>
        <v>28620410</v>
      </c>
      <c r="R1338" s="13">
        <f>SUMIFS(L:L,H:H,Online_eCommerce[[#This Row],[Brand]])</f>
        <v>12435650</v>
      </c>
      <c r="S1338" s="13">
        <f>SUMIF(H:H,Online_eCommerce[[#This Row],[Brand]],M:M)</f>
        <v>16166345</v>
      </c>
      <c r="T1338" s="13">
        <f>SUMIF(N:N,Online_eCommerce[[#This Row],[Assigned Supervisor]],L:L)</f>
        <v>13693220</v>
      </c>
    </row>
    <row r="1339" spans="1:20" hidden="1" x14ac:dyDescent="0.3">
      <c r="A1339" t="s">
        <v>2063</v>
      </c>
      <c r="B1339" t="s">
        <v>37</v>
      </c>
      <c r="C1339" t="s">
        <v>193</v>
      </c>
      <c r="D1339" t="s">
        <v>1995</v>
      </c>
      <c r="E1339" t="s">
        <v>96</v>
      </c>
      <c r="F1339" t="s">
        <v>88</v>
      </c>
      <c r="G1339" t="s">
        <v>26</v>
      </c>
      <c r="H1339" t="s">
        <v>27</v>
      </c>
      <c r="I1339">
        <v>8500</v>
      </c>
      <c r="J1339">
        <v>11050</v>
      </c>
      <c r="K1339">
        <v>2</v>
      </c>
      <c r="L1339">
        <v>17000</v>
      </c>
      <c r="M1339">
        <v>22100</v>
      </c>
      <c r="N1339" t="s">
        <v>28</v>
      </c>
      <c r="O1339">
        <f t="shared" si="40"/>
        <v>33150</v>
      </c>
      <c r="P1339" s="13">
        <f t="shared" si="41"/>
        <v>2074774</v>
      </c>
      <c r="Q1339" s="13">
        <f>SUMIFS(M:M,E:E,Online_eCommerce[[#This Row],[Status]])</f>
        <v>21233992</v>
      </c>
      <c r="R1339" s="13">
        <f>SUMIFS(L:L,H:H,Online_eCommerce[[#This Row],[Brand]])</f>
        <v>14431000</v>
      </c>
      <c r="S1339" s="13">
        <f>SUMIF(H:H,Online_eCommerce[[#This Row],[Brand]],M:M)</f>
        <v>18760300</v>
      </c>
      <c r="T1339" s="13">
        <f>SUMIF(N:N,Online_eCommerce[[#This Row],[Assigned Supervisor]],L:L)</f>
        <v>12220830</v>
      </c>
    </row>
    <row r="1340" spans="1:20" hidden="1" x14ac:dyDescent="0.3">
      <c r="A1340" t="s">
        <v>2064</v>
      </c>
      <c r="B1340" t="s">
        <v>528</v>
      </c>
      <c r="C1340" t="s">
        <v>197</v>
      </c>
      <c r="D1340" t="s">
        <v>1995</v>
      </c>
      <c r="E1340" t="s">
        <v>18</v>
      </c>
      <c r="F1340" t="s">
        <v>32</v>
      </c>
      <c r="G1340" t="s">
        <v>33</v>
      </c>
      <c r="H1340" t="s">
        <v>34</v>
      </c>
      <c r="I1340">
        <v>7000</v>
      </c>
      <c r="J1340">
        <v>9100</v>
      </c>
      <c r="K1340">
        <v>1</v>
      </c>
      <c r="L1340">
        <v>7000</v>
      </c>
      <c r="M1340">
        <v>9100</v>
      </c>
      <c r="N1340" t="s">
        <v>35</v>
      </c>
      <c r="O1340">
        <f t="shared" si="40"/>
        <v>18200</v>
      </c>
      <c r="P1340" s="13">
        <f t="shared" si="41"/>
        <v>2829840</v>
      </c>
      <c r="Q1340" s="13">
        <f>SUMIFS(M:M,E:E,Online_eCommerce[[#This Row],[Status]])</f>
        <v>28340455</v>
      </c>
      <c r="R1340" s="13">
        <f>SUMIFS(L:L,H:H,Online_eCommerce[[#This Row],[Brand]])</f>
        <v>10087000</v>
      </c>
      <c r="S1340" s="13">
        <f>SUMIF(H:H,Online_eCommerce[[#This Row],[Brand]],M:M)</f>
        <v>13113100</v>
      </c>
      <c r="T1340" s="13">
        <f>SUMIF(N:N,Online_eCommerce[[#This Row],[Assigned Supervisor]],L:L)</f>
        <v>14373360</v>
      </c>
    </row>
    <row r="1341" spans="1:20" hidden="1" x14ac:dyDescent="0.3">
      <c r="A1341" t="s">
        <v>2065</v>
      </c>
      <c r="B1341" t="s">
        <v>73</v>
      </c>
      <c r="C1341" t="s">
        <v>199</v>
      </c>
      <c r="D1341" t="s">
        <v>1995</v>
      </c>
      <c r="E1341" t="s">
        <v>161</v>
      </c>
      <c r="F1341" t="s">
        <v>2066</v>
      </c>
      <c r="G1341" t="s">
        <v>40</v>
      </c>
      <c r="H1341" t="s">
        <v>41</v>
      </c>
      <c r="I1341">
        <v>1680</v>
      </c>
      <c r="J1341">
        <v>2184</v>
      </c>
      <c r="K1341">
        <v>2</v>
      </c>
      <c r="L1341">
        <v>3360</v>
      </c>
      <c r="M1341">
        <v>4368</v>
      </c>
      <c r="N1341" t="s">
        <v>42</v>
      </c>
      <c r="O1341">
        <f t="shared" si="40"/>
        <v>25545</v>
      </c>
      <c r="P1341" s="13">
        <f t="shared" si="41"/>
        <v>1947361</v>
      </c>
      <c r="Q1341" s="13">
        <f>SUMIFS(M:M,E:E,Online_eCommerce[[#This Row],[Status]])</f>
        <v>21103186</v>
      </c>
      <c r="R1341" s="13">
        <f>SUMIFS(L:L,H:H,Online_eCommerce[[#This Row],[Brand]])</f>
        <v>4260400</v>
      </c>
      <c r="S1341" s="13">
        <f>SUMIF(H:H,Online_eCommerce[[#This Row],[Brand]],M:M)</f>
        <v>5538520</v>
      </c>
      <c r="T1341" s="13">
        <f>SUMIF(N:N,Online_eCommerce[[#This Row],[Assigned Supervisor]],L:L)</f>
        <v>12261500</v>
      </c>
    </row>
    <row r="1342" spans="1:20" x14ac:dyDescent="0.3">
      <c r="A1342" t="s">
        <v>2067</v>
      </c>
      <c r="B1342" t="s">
        <v>80</v>
      </c>
      <c r="C1342" t="s">
        <v>203</v>
      </c>
      <c r="D1342" t="s">
        <v>1995</v>
      </c>
      <c r="E1342" t="s">
        <v>46</v>
      </c>
      <c r="F1342" t="s">
        <v>101</v>
      </c>
      <c r="G1342" t="s">
        <v>334</v>
      </c>
      <c r="H1342" t="s">
        <v>102</v>
      </c>
      <c r="I1342">
        <v>6540</v>
      </c>
      <c r="J1342">
        <v>8502</v>
      </c>
      <c r="K1342">
        <v>4</v>
      </c>
      <c r="L1342">
        <v>26160</v>
      </c>
      <c r="M1342">
        <v>34008</v>
      </c>
      <c r="N1342" t="s">
        <v>50</v>
      </c>
      <c r="O1342">
        <f t="shared" si="40"/>
        <v>39780</v>
      </c>
      <c r="P1342" s="13">
        <f t="shared" si="41"/>
        <v>2559635</v>
      </c>
      <c r="Q1342" s="13">
        <f>SUMIFS(M:M,E:E,Online_eCommerce[[#This Row],[Status]])</f>
        <v>28620410</v>
      </c>
      <c r="R1342" s="13">
        <f>SUMIFS(L:L,H:H,Online_eCommerce[[#This Row],[Brand]])</f>
        <v>2465580</v>
      </c>
      <c r="S1342" s="13">
        <f>SUMIF(H:H,Online_eCommerce[[#This Row],[Brand]],M:M)</f>
        <v>3205254</v>
      </c>
      <c r="T1342" s="13">
        <f>SUMIF(N:N,Online_eCommerce[[#This Row],[Assigned Supervisor]],L:L)</f>
        <v>12100590</v>
      </c>
    </row>
    <row r="1343" spans="1:20" hidden="1" x14ac:dyDescent="0.3">
      <c r="A1343" t="s">
        <v>2068</v>
      </c>
      <c r="B1343" t="s">
        <v>85</v>
      </c>
      <c r="C1343" t="s">
        <v>205</v>
      </c>
      <c r="D1343" t="s">
        <v>1995</v>
      </c>
      <c r="E1343" t="s">
        <v>96</v>
      </c>
      <c r="F1343" t="s">
        <v>107</v>
      </c>
      <c r="G1343" t="s">
        <v>54</v>
      </c>
      <c r="H1343" t="s">
        <v>55</v>
      </c>
      <c r="I1343">
        <v>2680</v>
      </c>
      <c r="J1343">
        <v>3484</v>
      </c>
      <c r="K1343">
        <v>1</v>
      </c>
      <c r="L1343">
        <v>2680</v>
      </c>
      <c r="M1343">
        <v>3484</v>
      </c>
      <c r="N1343" t="s">
        <v>56</v>
      </c>
      <c r="O1343">
        <f t="shared" si="40"/>
        <v>2990</v>
      </c>
      <c r="P1343" s="13">
        <f t="shared" si="41"/>
        <v>1983254</v>
      </c>
      <c r="Q1343" s="13">
        <f>SUMIFS(M:M,E:E,Online_eCommerce[[#This Row],[Status]])</f>
        <v>21233992</v>
      </c>
      <c r="R1343" s="13">
        <f>SUMIFS(L:L,H:H,Online_eCommerce[[#This Row],[Brand]])</f>
        <v>2267380</v>
      </c>
      <c r="S1343" s="13">
        <f>SUMIF(H:H,Online_eCommerce[[#This Row],[Brand]],M:M)</f>
        <v>2947594</v>
      </c>
      <c r="T1343" s="13">
        <f>SUMIF(N:N,Online_eCommerce[[#This Row],[Assigned Supervisor]],L:L)</f>
        <v>11733610</v>
      </c>
    </row>
    <row r="1344" spans="1:20" hidden="1" x14ac:dyDescent="0.3">
      <c r="A1344" t="s">
        <v>2069</v>
      </c>
      <c r="B1344" t="s">
        <v>90</v>
      </c>
      <c r="C1344" t="s">
        <v>208</v>
      </c>
      <c r="D1344" t="s">
        <v>1995</v>
      </c>
      <c r="E1344" t="s">
        <v>18</v>
      </c>
      <c r="F1344" t="s">
        <v>112</v>
      </c>
      <c r="G1344" t="s">
        <v>71</v>
      </c>
      <c r="H1344" t="s">
        <v>21</v>
      </c>
      <c r="I1344">
        <v>8250</v>
      </c>
      <c r="J1344">
        <v>10725</v>
      </c>
      <c r="K1344">
        <v>2</v>
      </c>
      <c r="L1344">
        <v>16500</v>
      </c>
      <c r="M1344">
        <v>21450</v>
      </c>
      <c r="N1344" t="s">
        <v>22</v>
      </c>
      <c r="O1344">
        <f t="shared" si="40"/>
        <v>9750</v>
      </c>
      <c r="P1344" s="13">
        <f t="shared" si="41"/>
        <v>2746575</v>
      </c>
      <c r="Q1344" s="13">
        <f>SUMIFS(M:M,E:E,Online_eCommerce[[#This Row],[Status]])</f>
        <v>28340455</v>
      </c>
      <c r="R1344" s="13">
        <f>SUMIFS(L:L,H:H,Online_eCommerce[[#This Row],[Brand]])</f>
        <v>12435650</v>
      </c>
      <c r="S1344" s="13">
        <f>SUMIF(H:H,Online_eCommerce[[#This Row],[Brand]],M:M)</f>
        <v>16166345</v>
      </c>
      <c r="T1344" s="13">
        <f>SUMIF(N:N,Online_eCommerce[[#This Row],[Assigned Supervisor]],L:L)</f>
        <v>13693220</v>
      </c>
    </row>
    <row r="1345" spans="1:20" hidden="1" x14ac:dyDescent="0.3">
      <c r="A1345" t="s">
        <v>2070</v>
      </c>
      <c r="B1345" t="s">
        <v>232</v>
      </c>
      <c r="C1345" t="s">
        <v>211</v>
      </c>
      <c r="D1345" t="s">
        <v>1995</v>
      </c>
      <c r="E1345" t="s">
        <v>161</v>
      </c>
      <c r="F1345" t="s">
        <v>1599</v>
      </c>
      <c r="G1345" t="s">
        <v>40</v>
      </c>
      <c r="H1345" t="s">
        <v>21</v>
      </c>
      <c r="I1345">
        <v>2650</v>
      </c>
      <c r="J1345">
        <v>3445</v>
      </c>
      <c r="K1345">
        <v>4</v>
      </c>
      <c r="L1345">
        <v>10600</v>
      </c>
      <c r="M1345">
        <v>13780</v>
      </c>
      <c r="N1345" t="s">
        <v>28</v>
      </c>
      <c r="O1345">
        <f t="shared" si="40"/>
        <v>25545</v>
      </c>
      <c r="P1345" s="13">
        <f t="shared" si="41"/>
        <v>1809847</v>
      </c>
      <c r="Q1345" s="13">
        <f>SUMIFS(M:M,E:E,Online_eCommerce[[#This Row],[Status]])</f>
        <v>21103186</v>
      </c>
      <c r="R1345" s="13">
        <f>SUMIFS(L:L,H:H,Online_eCommerce[[#This Row],[Brand]])</f>
        <v>12435650</v>
      </c>
      <c r="S1345" s="13">
        <f>SUMIF(H:H,Online_eCommerce[[#This Row],[Brand]],M:M)</f>
        <v>16166345</v>
      </c>
      <c r="T1345" s="13">
        <f>SUMIF(N:N,Online_eCommerce[[#This Row],[Assigned Supervisor]],L:L)</f>
        <v>12220830</v>
      </c>
    </row>
    <row r="1346" spans="1:20" x14ac:dyDescent="0.3">
      <c r="A1346" t="s">
        <v>2071</v>
      </c>
      <c r="B1346" t="s">
        <v>235</v>
      </c>
      <c r="C1346" t="s">
        <v>16</v>
      </c>
      <c r="D1346" t="s">
        <v>1995</v>
      </c>
      <c r="E1346" t="s">
        <v>46</v>
      </c>
      <c r="F1346" t="s">
        <v>121</v>
      </c>
      <c r="G1346" t="s">
        <v>71</v>
      </c>
      <c r="H1346" t="s">
        <v>122</v>
      </c>
      <c r="I1346">
        <v>12550</v>
      </c>
      <c r="J1346">
        <v>16315</v>
      </c>
      <c r="K1346">
        <v>4</v>
      </c>
      <c r="L1346">
        <v>50200</v>
      </c>
      <c r="M1346">
        <v>65260</v>
      </c>
      <c r="N1346" t="s">
        <v>35</v>
      </c>
      <c r="O1346">
        <f t="shared" ref="O1346:O1409" si="42">VLOOKUP(G1346,G:M,7,FALSE)</f>
        <v>9750</v>
      </c>
      <c r="P1346" s="13">
        <f t="shared" ref="P1346:P1409" si="43">SUMIFS(M:M,C:C,C1346)</f>
        <v>2751814</v>
      </c>
      <c r="Q1346" s="13">
        <f>SUMIFS(M:M,E:E,Online_eCommerce[[#This Row],[Status]])</f>
        <v>28620410</v>
      </c>
      <c r="R1346" s="13">
        <f>SUMIFS(L:L,H:H,Online_eCommerce[[#This Row],[Brand]])</f>
        <v>5045100</v>
      </c>
      <c r="S1346" s="13">
        <f>SUMIF(H:H,Online_eCommerce[[#This Row],[Brand]],M:M)</f>
        <v>6558630</v>
      </c>
      <c r="T1346" s="13">
        <f>SUMIF(N:N,Online_eCommerce[[#This Row],[Assigned Supervisor]],L:L)</f>
        <v>14373360</v>
      </c>
    </row>
    <row r="1347" spans="1:20" hidden="1" x14ac:dyDescent="0.3">
      <c r="A1347" t="s">
        <v>2072</v>
      </c>
      <c r="B1347" t="s">
        <v>104</v>
      </c>
      <c r="C1347" t="s">
        <v>24</v>
      </c>
      <c r="D1347" t="s">
        <v>1995</v>
      </c>
      <c r="E1347" t="s">
        <v>96</v>
      </c>
      <c r="F1347" t="s">
        <v>126</v>
      </c>
      <c r="G1347" t="s">
        <v>26</v>
      </c>
      <c r="H1347" t="s">
        <v>27</v>
      </c>
      <c r="I1347">
        <v>14500</v>
      </c>
      <c r="J1347">
        <v>18850</v>
      </c>
      <c r="K1347">
        <v>2</v>
      </c>
      <c r="L1347">
        <v>29000</v>
      </c>
      <c r="M1347">
        <v>37700</v>
      </c>
      <c r="N1347" t="s">
        <v>42</v>
      </c>
      <c r="O1347">
        <f t="shared" si="42"/>
        <v>33150</v>
      </c>
      <c r="P1347" s="13">
        <f t="shared" si="43"/>
        <v>2009540</v>
      </c>
      <c r="Q1347" s="13">
        <f>SUMIFS(M:M,E:E,Online_eCommerce[[#This Row],[Status]])</f>
        <v>21233992</v>
      </c>
      <c r="R1347" s="13">
        <f>SUMIFS(L:L,H:H,Online_eCommerce[[#This Row],[Brand]])</f>
        <v>14431000</v>
      </c>
      <c r="S1347" s="13">
        <f>SUMIF(H:H,Online_eCommerce[[#This Row],[Brand]],M:M)</f>
        <v>18760300</v>
      </c>
      <c r="T1347" s="13">
        <f>SUMIF(N:N,Online_eCommerce[[#This Row],[Assigned Supervisor]],L:L)</f>
        <v>12261500</v>
      </c>
    </row>
    <row r="1348" spans="1:20" hidden="1" x14ac:dyDescent="0.3">
      <c r="A1348" t="s">
        <v>2073</v>
      </c>
      <c r="B1348" t="s">
        <v>109</v>
      </c>
      <c r="C1348" t="s">
        <v>31</v>
      </c>
      <c r="D1348" t="s">
        <v>1995</v>
      </c>
      <c r="E1348" t="s">
        <v>18</v>
      </c>
      <c r="F1348" t="s">
        <v>129</v>
      </c>
      <c r="G1348" t="s">
        <v>60</v>
      </c>
      <c r="H1348" t="s">
        <v>61</v>
      </c>
      <c r="I1348">
        <v>800</v>
      </c>
      <c r="J1348">
        <v>1040</v>
      </c>
      <c r="K1348">
        <v>1</v>
      </c>
      <c r="L1348">
        <v>800</v>
      </c>
      <c r="M1348">
        <v>1040</v>
      </c>
      <c r="N1348" t="s">
        <v>50</v>
      </c>
      <c r="O1348">
        <f t="shared" si="42"/>
        <v>3315</v>
      </c>
      <c r="P1348" s="13">
        <f t="shared" si="43"/>
        <v>2865746</v>
      </c>
      <c r="Q1348" s="13">
        <f>SUMIFS(M:M,E:E,Online_eCommerce[[#This Row],[Status]])</f>
        <v>28340455</v>
      </c>
      <c r="R1348" s="13">
        <f>SUMIFS(L:L,H:H,Online_eCommerce[[#This Row],[Brand]])</f>
        <v>10950150</v>
      </c>
      <c r="S1348" s="13">
        <f>SUMIF(H:H,Online_eCommerce[[#This Row],[Brand]],M:M)</f>
        <v>14235195</v>
      </c>
      <c r="T1348" s="13">
        <f>SUMIF(N:N,Online_eCommerce[[#This Row],[Assigned Supervisor]],L:L)</f>
        <v>12100590</v>
      </c>
    </row>
    <row r="1349" spans="1:20" hidden="1" x14ac:dyDescent="0.3">
      <c r="A1349" t="s">
        <v>2074</v>
      </c>
      <c r="B1349" t="s">
        <v>114</v>
      </c>
      <c r="C1349" t="s">
        <v>38</v>
      </c>
      <c r="D1349" t="s">
        <v>1995</v>
      </c>
      <c r="E1349" t="s">
        <v>161</v>
      </c>
      <c r="F1349" t="s">
        <v>133</v>
      </c>
      <c r="G1349" t="s">
        <v>66</v>
      </c>
      <c r="H1349" t="s">
        <v>21</v>
      </c>
      <c r="I1349">
        <v>600</v>
      </c>
      <c r="J1349">
        <v>780</v>
      </c>
      <c r="K1349">
        <v>3</v>
      </c>
      <c r="L1349">
        <v>1800</v>
      </c>
      <c r="M1349">
        <v>2340</v>
      </c>
      <c r="N1349" t="s">
        <v>56</v>
      </c>
      <c r="O1349">
        <f t="shared" si="42"/>
        <v>1690</v>
      </c>
      <c r="P1349" s="13">
        <f t="shared" si="43"/>
        <v>1933997</v>
      </c>
      <c r="Q1349" s="13">
        <f>SUMIFS(M:M,E:E,Online_eCommerce[[#This Row],[Status]])</f>
        <v>21103186</v>
      </c>
      <c r="R1349" s="13">
        <f>SUMIFS(L:L,H:H,Online_eCommerce[[#This Row],[Brand]])</f>
        <v>12435650</v>
      </c>
      <c r="S1349" s="13">
        <f>SUMIF(H:H,Online_eCommerce[[#This Row],[Brand]],M:M)</f>
        <v>16166345</v>
      </c>
      <c r="T1349" s="13">
        <f>SUMIF(N:N,Online_eCommerce[[#This Row],[Assigned Supervisor]],L:L)</f>
        <v>11733610</v>
      </c>
    </row>
    <row r="1350" spans="1:20" x14ac:dyDescent="0.3">
      <c r="A1350" t="s">
        <v>2075</v>
      </c>
      <c r="B1350" t="s">
        <v>119</v>
      </c>
      <c r="C1350" t="s">
        <v>45</v>
      </c>
      <c r="D1350" t="s">
        <v>1995</v>
      </c>
      <c r="E1350" t="s">
        <v>46</v>
      </c>
      <c r="F1350" t="s">
        <v>137</v>
      </c>
      <c r="G1350" t="s">
        <v>71</v>
      </c>
      <c r="H1350" t="s">
        <v>61</v>
      </c>
      <c r="I1350">
        <v>10500</v>
      </c>
      <c r="J1350">
        <v>13650</v>
      </c>
      <c r="K1350">
        <v>4</v>
      </c>
      <c r="L1350">
        <v>42000</v>
      </c>
      <c r="M1350">
        <v>54600</v>
      </c>
      <c r="N1350" t="s">
        <v>22</v>
      </c>
      <c r="O1350">
        <f t="shared" si="42"/>
        <v>9750</v>
      </c>
      <c r="P1350" s="13">
        <f t="shared" si="43"/>
        <v>2842554</v>
      </c>
      <c r="Q1350" s="13">
        <f>SUMIFS(M:M,E:E,Online_eCommerce[[#This Row],[Status]])</f>
        <v>28620410</v>
      </c>
      <c r="R1350" s="13">
        <f>SUMIFS(L:L,H:H,Online_eCommerce[[#This Row],[Brand]])</f>
        <v>10950150</v>
      </c>
      <c r="S1350" s="13">
        <f>SUMIF(H:H,Online_eCommerce[[#This Row],[Brand]],M:M)</f>
        <v>14235195</v>
      </c>
      <c r="T1350" s="13">
        <f>SUMIF(N:N,Online_eCommerce[[#This Row],[Assigned Supervisor]],L:L)</f>
        <v>13693220</v>
      </c>
    </row>
    <row r="1351" spans="1:20" hidden="1" x14ac:dyDescent="0.3">
      <c r="A1351" t="s">
        <v>2076</v>
      </c>
      <c r="B1351" t="s">
        <v>124</v>
      </c>
      <c r="C1351" t="s">
        <v>52</v>
      </c>
      <c r="D1351" t="s">
        <v>1995</v>
      </c>
      <c r="E1351" t="s">
        <v>96</v>
      </c>
      <c r="F1351" t="s">
        <v>2047</v>
      </c>
      <c r="G1351" t="s">
        <v>77</v>
      </c>
      <c r="H1351" t="s">
        <v>142</v>
      </c>
      <c r="I1351">
        <v>6500</v>
      </c>
      <c r="J1351">
        <v>8450</v>
      </c>
      <c r="K1351">
        <v>2</v>
      </c>
      <c r="L1351">
        <v>13000</v>
      </c>
      <c r="M1351">
        <v>16900</v>
      </c>
      <c r="N1351" t="s">
        <v>28</v>
      </c>
      <c r="O1351">
        <f t="shared" si="42"/>
        <v>39000</v>
      </c>
      <c r="P1351" s="13">
        <f t="shared" si="43"/>
        <v>1955044</v>
      </c>
      <c r="Q1351" s="13">
        <f>SUMIFS(M:M,E:E,Online_eCommerce[[#This Row],[Status]])</f>
        <v>21233992</v>
      </c>
      <c r="R1351" s="13">
        <f>SUMIFS(L:L,H:H,Online_eCommerce[[#This Row],[Brand]])</f>
        <v>6192500</v>
      </c>
      <c r="S1351" s="13">
        <f>SUMIF(H:H,Online_eCommerce[[#This Row],[Brand]],M:M)</f>
        <v>8050250</v>
      </c>
      <c r="T1351" s="13">
        <f>SUMIF(N:N,Online_eCommerce[[#This Row],[Assigned Supervisor]],L:L)</f>
        <v>12220830</v>
      </c>
    </row>
    <row r="1352" spans="1:20" hidden="1" x14ac:dyDescent="0.3">
      <c r="A1352" t="s">
        <v>2077</v>
      </c>
      <c r="B1352" t="s">
        <v>128</v>
      </c>
      <c r="C1352" t="s">
        <v>58</v>
      </c>
      <c r="D1352" t="s">
        <v>1995</v>
      </c>
      <c r="E1352" t="s">
        <v>18</v>
      </c>
      <c r="F1352" t="s">
        <v>2078</v>
      </c>
      <c r="G1352" t="s">
        <v>20</v>
      </c>
      <c r="H1352" t="s">
        <v>21</v>
      </c>
      <c r="I1352">
        <v>4500</v>
      </c>
      <c r="J1352">
        <v>5850</v>
      </c>
      <c r="K1352">
        <v>2</v>
      </c>
      <c r="L1352">
        <v>9000</v>
      </c>
      <c r="M1352">
        <v>11700</v>
      </c>
      <c r="N1352" t="s">
        <v>35</v>
      </c>
      <c r="O1352">
        <f t="shared" si="42"/>
        <v>8450</v>
      </c>
      <c r="P1352" s="13">
        <f t="shared" si="43"/>
        <v>2629211</v>
      </c>
      <c r="Q1352" s="13">
        <f>SUMIFS(M:M,E:E,Online_eCommerce[[#This Row],[Status]])</f>
        <v>28340455</v>
      </c>
      <c r="R1352" s="13">
        <f>SUMIFS(L:L,H:H,Online_eCommerce[[#This Row],[Brand]])</f>
        <v>12435650</v>
      </c>
      <c r="S1352" s="13">
        <f>SUMIF(H:H,Online_eCommerce[[#This Row],[Brand]],M:M)</f>
        <v>16166345</v>
      </c>
      <c r="T1352" s="13">
        <f>SUMIF(N:N,Online_eCommerce[[#This Row],[Assigned Supervisor]],L:L)</f>
        <v>14373360</v>
      </c>
    </row>
    <row r="1353" spans="1:20" hidden="1" x14ac:dyDescent="0.3">
      <c r="A1353" t="s">
        <v>2079</v>
      </c>
      <c r="B1353" t="s">
        <v>131</v>
      </c>
      <c r="C1353" t="s">
        <v>63</v>
      </c>
      <c r="D1353" t="s">
        <v>1995</v>
      </c>
      <c r="E1353" t="s">
        <v>161</v>
      </c>
      <c r="F1353" t="s">
        <v>152</v>
      </c>
      <c r="G1353" t="s">
        <v>26</v>
      </c>
      <c r="H1353" t="s">
        <v>27</v>
      </c>
      <c r="I1353">
        <v>8500</v>
      </c>
      <c r="J1353">
        <v>11050</v>
      </c>
      <c r="K1353">
        <v>2</v>
      </c>
      <c r="L1353">
        <v>17000</v>
      </c>
      <c r="M1353">
        <v>22100</v>
      </c>
      <c r="N1353" t="s">
        <v>42</v>
      </c>
      <c r="O1353">
        <f t="shared" si="42"/>
        <v>33150</v>
      </c>
      <c r="P1353" s="13">
        <f t="shared" si="43"/>
        <v>2016131</v>
      </c>
      <c r="Q1353" s="13">
        <f>SUMIFS(M:M,E:E,Online_eCommerce[[#This Row],[Status]])</f>
        <v>21103186</v>
      </c>
      <c r="R1353" s="13">
        <f>SUMIFS(L:L,H:H,Online_eCommerce[[#This Row],[Brand]])</f>
        <v>14431000</v>
      </c>
      <c r="S1353" s="13">
        <f>SUMIF(H:H,Online_eCommerce[[#This Row],[Brand]],M:M)</f>
        <v>18760300</v>
      </c>
      <c r="T1353" s="13">
        <f>SUMIF(N:N,Online_eCommerce[[#This Row],[Assigned Supervisor]],L:L)</f>
        <v>12261500</v>
      </c>
    </row>
    <row r="1354" spans="1:20" x14ac:dyDescent="0.3">
      <c r="A1354" t="s">
        <v>2080</v>
      </c>
      <c r="B1354" t="s">
        <v>135</v>
      </c>
      <c r="C1354" t="s">
        <v>68</v>
      </c>
      <c r="D1354" t="s">
        <v>1995</v>
      </c>
      <c r="E1354" t="s">
        <v>46</v>
      </c>
      <c r="F1354" t="s">
        <v>157</v>
      </c>
      <c r="G1354" t="s">
        <v>33</v>
      </c>
      <c r="H1354" t="s">
        <v>34</v>
      </c>
      <c r="I1354">
        <v>12500</v>
      </c>
      <c r="J1354">
        <v>16250</v>
      </c>
      <c r="K1354">
        <v>1</v>
      </c>
      <c r="L1354">
        <v>12500</v>
      </c>
      <c r="M1354">
        <v>16250</v>
      </c>
      <c r="N1354" t="s">
        <v>50</v>
      </c>
      <c r="O1354">
        <f t="shared" si="42"/>
        <v>18200</v>
      </c>
      <c r="P1354" s="13">
        <f t="shared" si="43"/>
        <v>2974621</v>
      </c>
      <c r="Q1354" s="13">
        <f>SUMIFS(M:M,E:E,Online_eCommerce[[#This Row],[Status]])</f>
        <v>28620410</v>
      </c>
      <c r="R1354" s="13">
        <f>SUMIFS(L:L,H:H,Online_eCommerce[[#This Row],[Brand]])</f>
        <v>10087000</v>
      </c>
      <c r="S1354" s="13">
        <f>SUMIF(H:H,Online_eCommerce[[#This Row],[Brand]],M:M)</f>
        <v>13113100</v>
      </c>
      <c r="T1354" s="13">
        <f>SUMIF(N:N,Online_eCommerce[[#This Row],[Assigned Supervisor]],L:L)</f>
        <v>12100590</v>
      </c>
    </row>
    <row r="1355" spans="1:20" hidden="1" x14ac:dyDescent="0.3">
      <c r="A1355" t="s">
        <v>2081</v>
      </c>
      <c r="B1355" t="s">
        <v>139</v>
      </c>
      <c r="C1355" t="s">
        <v>74</v>
      </c>
      <c r="D1355" t="s">
        <v>1995</v>
      </c>
      <c r="E1355" t="s">
        <v>96</v>
      </c>
      <c r="F1355" t="s">
        <v>1649</v>
      </c>
      <c r="G1355" t="s">
        <v>163</v>
      </c>
      <c r="H1355" t="s">
        <v>41</v>
      </c>
      <c r="I1355">
        <v>3500</v>
      </c>
      <c r="J1355">
        <v>4550</v>
      </c>
      <c r="K1355">
        <v>3</v>
      </c>
      <c r="L1355">
        <v>10500</v>
      </c>
      <c r="M1355">
        <v>13650</v>
      </c>
      <c r="N1355" t="s">
        <v>56</v>
      </c>
      <c r="O1355">
        <f t="shared" si="42"/>
        <v>13650</v>
      </c>
      <c r="P1355" s="13">
        <f t="shared" si="43"/>
        <v>2144701</v>
      </c>
      <c r="Q1355" s="13">
        <f>SUMIFS(M:M,E:E,Online_eCommerce[[#This Row],[Status]])</f>
        <v>21233992</v>
      </c>
      <c r="R1355" s="13">
        <f>SUMIFS(L:L,H:H,Online_eCommerce[[#This Row],[Brand]])</f>
        <v>4260400</v>
      </c>
      <c r="S1355" s="13">
        <f>SUMIF(H:H,Online_eCommerce[[#This Row],[Brand]],M:M)</f>
        <v>5538520</v>
      </c>
      <c r="T1355" s="13">
        <f>SUMIF(N:N,Online_eCommerce[[#This Row],[Assigned Supervisor]],L:L)</f>
        <v>11733610</v>
      </c>
    </row>
    <row r="1356" spans="1:20" hidden="1" x14ac:dyDescent="0.3">
      <c r="A1356" t="s">
        <v>2082</v>
      </c>
      <c r="B1356" t="s">
        <v>144</v>
      </c>
      <c r="C1356" t="s">
        <v>81</v>
      </c>
      <c r="D1356" t="s">
        <v>1995</v>
      </c>
      <c r="E1356" t="s">
        <v>18</v>
      </c>
      <c r="F1356" t="s">
        <v>166</v>
      </c>
      <c r="G1356" t="s">
        <v>66</v>
      </c>
      <c r="H1356" t="s">
        <v>49</v>
      </c>
      <c r="I1356">
        <v>4500</v>
      </c>
      <c r="J1356">
        <v>5850</v>
      </c>
      <c r="K1356">
        <v>3</v>
      </c>
      <c r="L1356">
        <v>13500</v>
      </c>
      <c r="M1356">
        <v>17550</v>
      </c>
      <c r="N1356" t="s">
        <v>22</v>
      </c>
      <c r="O1356">
        <f t="shared" si="42"/>
        <v>1690</v>
      </c>
      <c r="P1356" s="13">
        <f t="shared" si="43"/>
        <v>2595632</v>
      </c>
      <c r="Q1356" s="13">
        <f>SUMIFS(M:M,E:E,Online_eCommerce[[#This Row],[Status]])</f>
        <v>28340455</v>
      </c>
      <c r="R1356" s="13">
        <f>SUMIFS(L:L,H:H,Online_eCommerce[[#This Row],[Brand]])</f>
        <v>4528350</v>
      </c>
      <c r="S1356" s="13">
        <f>SUMIF(H:H,Online_eCommerce[[#This Row],[Brand]],M:M)</f>
        <v>5886855</v>
      </c>
      <c r="T1356" s="13">
        <f>SUMIF(N:N,Online_eCommerce[[#This Row],[Assigned Supervisor]],L:L)</f>
        <v>13693220</v>
      </c>
    </row>
    <row r="1357" spans="1:20" hidden="1" x14ac:dyDescent="0.3">
      <c r="A1357" t="s">
        <v>2083</v>
      </c>
      <c r="B1357" t="s">
        <v>149</v>
      </c>
      <c r="C1357" t="s">
        <v>86</v>
      </c>
      <c r="D1357" t="s">
        <v>1995</v>
      </c>
      <c r="E1357" t="s">
        <v>161</v>
      </c>
      <c r="F1357" t="s">
        <v>2084</v>
      </c>
      <c r="G1357" t="s">
        <v>54</v>
      </c>
      <c r="H1357" t="s">
        <v>55</v>
      </c>
      <c r="I1357">
        <v>2100</v>
      </c>
      <c r="J1357">
        <v>2730</v>
      </c>
      <c r="K1357">
        <v>2</v>
      </c>
      <c r="L1357">
        <v>4200</v>
      </c>
      <c r="M1357">
        <v>5460</v>
      </c>
      <c r="N1357" t="s">
        <v>28</v>
      </c>
      <c r="O1357">
        <f t="shared" si="42"/>
        <v>2990</v>
      </c>
      <c r="P1357" s="13">
        <f t="shared" si="43"/>
        <v>1941225</v>
      </c>
      <c r="Q1357" s="13">
        <f>SUMIFS(M:M,E:E,Online_eCommerce[[#This Row],[Status]])</f>
        <v>21103186</v>
      </c>
      <c r="R1357" s="13">
        <f>SUMIFS(L:L,H:H,Online_eCommerce[[#This Row],[Brand]])</f>
        <v>2267380</v>
      </c>
      <c r="S1357" s="13">
        <f>SUMIF(H:H,Online_eCommerce[[#This Row],[Brand]],M:M)</f>
        <v>2947594</v>
      </c>
      <c r="T1357" s="13">
        <f>SUMIF(N:N,Online_eCommerce[[#This Row],[Assigned Supervisor]],L:L)</f>
        <v>12220830</v>
      </c>
    </row>
    <row r="1358" spans="1:20" x14ac:dyDescent="0.3">
      <c r="A1358" t="s">
        <v>2085</v>
      </c>
      <c r="B1358" t="s">
        <v>154</v>
      </c>
      <c r="C1358" t="s">
        <v>91</v>
      </c>
      <c r="D1358" t="s">
        <v>1995</v>
      </c>
      <c r="E1358" t="s">
        <v>46</v>
      </c>
      <c r="F1358" t="s">
        <v>174</v>
      </c>
      <c r="G1358" t="s">
        <v>60</v>
      </c>
      <c r="H1358" t="s">
        <v>61</v>
      </c>
      <c r="I1358">
        <v>1150</v>
      </c>
      <c r="J1358">
        <v>1495</v>
      </c>
      <c r="K1358">
        <v>4</v>
      </c>
      <c r="L1358">
        <v>4600</v>
      </c>
      <c r="M1358">
        <v>5980</v>
      </c>
      <c r="N1358" t="s">
        <v>35</v>
      </c>
      <c r="O1358">
        <f t="shared" si="42"/>
        <v>3315</v>
      </c>
      <c r="P1358" s="13">
        <f t="shared" si="43"/>
        <v>2731963</v>
      </c>
      <c r="Q1358" s="13">
        <f>SUMIFS(M:M,E:E,Online_eCommerce[[#This Row],[Status]])</f>
        <v>28620410</v>
      </c>
      <c r="R1358" s="13">
        <f>SUMIFS(L:L,H:H,Online_eCommerce[[#This Row],[Brand]])</f>
        <v>10950150</v>
      </c>
      <c r="S1358" s="13">
        <f>SUMIF(H:H,Online_eCommerce[[#This Row],[Brand]],M:M)</f>
        <v>14235195</v>
      </c>
      <c r="T1358" s="13">
        <f>SUMIF(N:N,Online_eCommerce[[#This Row],[Assigned Supervisor]],L:L)</f>
        <v>14373360</v>
      </c>
    </row>
    <row r="1359" spans="1:20" hidden="1" x14ac:dyDescent="0.3">
      <c r="A1359" t="s">
        <v>2086</v>
      </c>
      <c r="B1359" t="s">
        <v>159</v>
      </c>
      <c r="C1359" t="s">
        <v>94</v>
      </c>
      <c r="D1359" t="s">
        <v>1995</v>
      </c>
      <c r="E1359" t="s">
        <v>96</v>
      </c>
      <c r="F1359" t="s">
        <v>179</v>
      </c>
      <c r="G1359" t="s">
        <v>66</v>
      </c>
      <c r="H1359" t="s">
        <v>21</v>
      </c>
      <c r="I1359">
        <v>350</v>
      </c>
      <c r="J1359">
        <v>455</v>
      </c>
      <c r="K1359">
        <v>4</v>
      </c>
      <c r="L1359">
        <v>1400</v>
      </c>
      <c r="M1359">
        <v>1820</v>
      </c>
      <c r="N1359" t="s">
        <v>42</v>
      </c>
      <c r="O1359">
        <f t="shared" si="42"/>
        <v>1690</v>
      </c>
      <c r="P1359" s="13">
        <f t="shared" si="43"/>
        <v>1868256</v>
      </c>
      <c r="Q1359" s="13">
        <f>SUMIFS(M:M,E:E,Online_eCommerce[[#This Row],[Status]])</f>
        <v>21233992</v>
      </c>
      <c r="R1359" s="13">
        <f>SUMIFS(L:L,H:H,Online_eCommerce[[#This Row],[Brand]])</f>
        <v>12435650</v>
      </c>
      <c r="S1359" s="13">
        <f>SUMIF(H:H,Online_eCommerce[[#This Row],[Brand]],M:M)</f>
        <v>16166345</v>
      </c>
      <c r="T1359" s="13">
        <f>SUMIF(N:N,Online_eCommerce[[#This Row],[Assigned Supervisor]],L:L)</f>
        <v>12261500</v>
      </c>
    </row>
    <row r="1360" spans="1:20" hidden="1" x14ac:dyDescent="0.3">
      <c r="A1360" t="s">
        <v>2087</v>
      </c>
      <c r="B1360" t="s">
        <v>139</v>
      </c>
      <c r="C1360" t="s">
        <v>99</v>
      </c>
      <c r="D1360" t="s">
        <v>1995</v>
      </c>
      <c r="E1360" t="s">
        <v>18</v>
      </c>
      <c r="F1360" t="s">
        <v>183</v>
      </c>
      <c r="G1360" t="s">
        <v>71</v>
      </c>
      <c r="H1360" t="s">
        <v>61</v>
      </c>
      <c r="I1360">
        <v>9500</v>
      </c>
      <c r="J1360">
        <v>12350</v>
      </c>
      <c r="K1360">
        <v>2</v>
      </c>
      <c r="L1360">
        <v>19000</v>
      </c>
      <c r="M1360">
        <v>24700</v>
      </c>
      <c r="N1360" t="s">
        <v>50</v>
      </c>
      <c r="O1360">
        <f t="shared" si="42"/>
        <v>9750</v>
      </c>
      <c r="P1360" s="13">
        <f t="shared" si="43"/>
        <v>2651233</v>
      </c>
      <c r="Q1360" s="13">
        <f>SUMIFS(M:M,E:E,Online_eCommerce[[#This Row],[Status]])</f>
        <v>28340455</v>
      </c>
      <c r="R1360" s="13">
        <f>SUMIFS(L:L,H:H,Online_eCommerce[[#This Row],[Brand]])</f>
        <v>10950150</v>
      </c>
      <c r="S1360" s="13">
        <f>SUMIF(H:H,Online_eCommerce[[#This Row],[Brand]],M:M)</f>
        <v>14235195</v>
      </c>
      <c r="T1360" s="13">
        <f>SUMIF(N:N,Online_eCommerce[[#This Row],[Assigned Supervisor]],L:L)</f>
        <v>12100590</v>
      </c>
    </row>
    <row r="1361" spans="1:20" hidden="1" x14ac:dyDescent="0.3">
      <c r="A1361" t="s">
        <v>2088</v>
      </c>
      <c r="B1361" t="s">
        <v>144</v>
      </c>
      <c r="C1361" t="s">
        <v>105</v>
      </c>
      <c r="D1361" t="s">
        <v>1995</v>
      </c>
      <c r="E1361" t="s">
        <v>161</v>
      </c>
      <c r="F1361" t="s">
        <v>2089</v>
      </c>
      <c r="G1361" t="s">
        <v>77</v>
      </c>
      <c r="H1361" t="s">
        <v>142</v>
      </c>
      <c r="I1361">
        <v>10000</v>
      </c>
      <c r="J1361">
        <v>13000</v>
      </c>
      <c r="K1361">
        <v>1</v>
      </c>
      <c r="L1361">
        <v>10000</v>
      </c>
      <c r="M1361">
        <v>13000</v>
      </c>
      <c r="N1361" t="s">
        <v>56</v>
      </c>
      <c r="O1361">
        <f t="shared" si="42"/>
        <v>39000</v>
      </c>
      <c r="P1361" s="13">
        <f t="shared" si="43"/>
        <v>1866852</v>
      </c>
      <c r="Q1361" s="13">
        <f>SUMIFS(M:M,E:E,Online_eCommerce[[#This Row],[Status]])</f>
        <v>21103186</v>
      </c>
      <c r="R1361" s="13">
        <f>SUMIFS(L:L,H:H,Online_eCommerce[[#This Row],[Brand]])</f>
        <v>6192500</v>
      </c>
      <c r="S1361" s="13">
        <f>SUMIF(H:H,Online_eCommerce[[#This Row],[Brand]],M:M)</f>
        <v>8050250</v>
      </c>
      <c r="T1361" s="13">
        <f>SUMIF(N:N,Online_eCommerce[[#This Row],[Assigned Supervisor]],L:L)</f>
        <v>11733610</v>
      </c>
    </row>
    <row r="1362" spans="1:20" x14ac:dyDescent="0.3">
      <c r="A1362" t="s">
        <v>2090</v>
      </c>
      <c r="B1362" t="s">
        <v>171</v>
      </c>
      <c r="C1362" t="s">
        <v>110</v>
      </c>
      <c r="D1362" t="s">
        <v>1995</v>
      </c>
      <c r="E1362" t="s">
        <v>46</v>
      </c>
      <c r="F1362" t="s">
        <v>2091</v>
      </c>
      <c r="G1362" t="s">
        <v>20</v>
      </c>
      <c r="H1362" t="s">
        <v>21</v>
      </c>
      <c r="I1362">
        <v>6500</v>
      </c>
      <c r="J1362">
        <v>8450</v>
      </c>
      <c r="K1362">
        <v>4</v>
      </c>
      <c r="L1362">
        <v>26000</v>
      </c>
      <c r="M1362">
        <v>33800</v>
      </c>
      <c r="N1362" t="s">
        <v>22</v>
      </c>
      <c r="O1362">
        <f t="shared" si="42"/>
        <v>8450</v>
      </c>
      <c r="P1362" s="13">
        <f t="shared" si="43"/>
        <v>2598635</v>
      </c>
      <c r="Q1362" s="13">
        <f>SUMIFS(M:M,E:E,Online_eCommerce[[#This Row],[Status]])</f>
        <v>28620410</v>
      </c>
      <c r="R1362" s="13">
        <f>SUMIFS(L:L,H:H,Online_eCommerce[[#This Row],[Brand]])</f>
        <v>12435650</v>
      </c>
      <c r="S1362" s="13">
        <f>SUMIF(H:H,Online_eCommerce[[#This Row],[Brand]],M:M)</f>
        <v>16166345</v>
      </c>
      <c r="T1362" s="13">
        <f>SUMIF(N:N,Online_eCommerce[[#This Row],[Assigned Supervisor]],L:L)</f>
        <v>13693220</v>
      </c>
    </row>
    <row r="1363" spans="1:20" hidden="1" x14ac:dyDescent="0.3">
      <c r="A1363" t="s">
        <v>2092</v>
      </c>
      <c r="B1363" t="s">
        <v>176</v>
      </c>
      <c r="C1363" t="s">
        <v>115</v>
      </c>
      <c r="D1363" t="s">
        <v>1995</v>
      </c>
      <c r="E1363" t="s">
        <v>96</v>
      </c>
      <c r="F1363" t="s">
        <v>2093</v>
      </c>
      <c r="G1363" t="s">
        <v>26</v>
      </c>
      <c r="H1363" t="s">
        <v>27</v>
      </c>
      <c r="I1363">
        <v>8500</v>
      </c>
      <c r="J1363">
        <v>11050</v>
      </c>
      <c r="K1363">
        <v>3</v>
      </c>
      <c r="L1363">
        <v>25500</v>
      </c>
      <c r="M1363">
        <v>33150</v>
      </c>
      <c r="N1363" t="s">
        <v>28</v>
      </c>
      <c r="O1363">
        <f t="shared" si="42"/>
        <v>33150</v>
      </c>
      <c r="P1363" s="13">
        <f t="shared" si="43"/>
        <v>2050178</v>
      </c>
      <c r="Q1363" s="13">
        <f>SUMIFS(M:M,E:E,Online_eCommerce[[#This Row],[Status]])</f>
        <v>21233992</v>
      </c>
      <c r="R1363" s="13">
        <f>SUMIFS(L:L,H:H,Online_eCommerce[[#This Row],[Brand]])</f>
        <v>14431000</v>
      </c>
      <c r="S1363" s="13">
        <f>SUMIF(H:H,Online_eCommerce[[#This Row],[Brand]],M:M)</f>
        <v>18760300</v>
      </c>
      <c r="T1363" s="13">
        <f>SUMIF(N:N,Online_eCommerce[[#This Row],[Assigned Supervisor]],L:L)</f>
        <v>12220830</v>
      </c>
    </row>
    <row r="1364" spans="1:20" hidden="1" x14ac:dyDescent="0.3">
      <c r="A1364" t="s">
        <v>2094</v>
      </c>
      <c r="B1364" t="s">
        <v>276</v>
      </c>
      <c r="C1364" t="s">
        <v>120</v>
      </c>
      <c r="D1364" t="s">
        <v>1995</v>
      </c>
      <c r="E1364" t="s">
        <v>18</v>
      </c>
      <c r="F1364" t="s">
        <v>32</v>
      </c>
      <c r="G1364" t="s">
        <v>33</v>
      </c>
      <c r="H1364" t="s">
        <v>34</v>
      </c>
      <c r="I1364">
        <v>7000</v>
      </c>
      <c r="J1364">
        <v>9100</v>
      </c>
      <c r="K1364">
        <v>4</v>
      </c>
      <c r="L1364">
        <v>28000</v>
      </c>
      <c r="M1364">
        <v>36400</v>
      </c>
      <c r="N1364" t="s">
        <v>35</v>
      </c>
      <c r="O1364">
        <f t="shared" si="42"/>
        <v>18200</v>
      </c>
      <c r="P1364" s="13">
        <f t="shared" si="43"/>
        <v>2734212</v>
      </c>
      <c r="Q1364" s="13">
        <f>SUMIFS(M:M,E:E,Online_eCommerce[[#This Row],[Status]])</f>
        <v>28340455</v>
      </c>
      <c r="R1364" s="13">
        <f>SUMIFS(L:L,H:H,Online_eCommerce[[#This Row],[Brand]])</f>
        <v>10087000</v>
      </c>
      <c r="S1364" s="13">
        <f>SUMIF(H:H,Online_eCommerce[[#This Row],[Brand]],M:M)</f>
        <v>13113100</v>
      </c>
      <c r="T1364" s="13">
        <f>SUMIF(N:N,Online_eCommerce[[#This Row],[Assigned Supervisor]],L:L)</f>
        <v>14373360</v>
      </c>
    </row>
    <row r="1365" spans="1:20" hidden="1" x14ac:dyDescent="0.3">
      <c r="A1365" t="s">
        <v>2095</v>
      </c>
      <c r="B1365" t="s">
        <v>280</v>
      </c>
      <c r="C1365" t="s">
        <v>125</v>
      </c>
      <c r="D1365" t="s">
        <v>1995</v>
      </c>
      <c r="E1365" t="s">
        <v>161</v>
      </c>
      <c r="F1365" t="s">
        <v>2096</v>
      </c>
      <c r="G1365" t="s">
        <v>163</v>
      </c>
      <c r="H1365" t="s">
        <v>41</v>
      </c>
      <c r="I1365">
        <v>6550</v>
      </c>
      <c r="J1365">
        <v>8515</v>
      </c>
      <c r="K1365">
        <v>4</v>
      </c>
      <c r="L1365">
        <v>26200</v>
      </c>
      <c r="M1365">
        <v>34060</v>
      </c>
      <c r="N1365" t="s">
        <v>42</v>
      </c>
      <c r="O1365">
        <f t="shared" si="42"/>
        <v>13650</v>
      </c>
      <c r="P1365" s="13">
        <f t="shared" si="43"/>
        <v>2091154</v>
      </c>
      <c r="Q1365" s="13">
        <f>SUMIFS(M:M,E:E,Online_eCommerce[[#This Row],[Status]])</f>
        <v>21103186</v>
      </c>
      <c r="R1365" s="13">
        <f>SUMIFS(L:L,H:H,Online_eCommerce[[#This Row],[Brand]])</f>
        <v>4260400</v>
      </c>
      <c r="S1365" s="13">
        <f>SUMIF(H:H,Online_eCommerce[[#This Row],[Brand]],M:M)</f>
        <v>5538520</v>
      </c>
      <c r="T1365" s="13">
        <f>SUMIF(N:N,Online_eCommerce[[#This Row],[Assigned Supervisor]],L:L)</f>
        <v>12261500</v>
      </c>
    </row>
    <row r="1366" spans="1:20" x14ac:dyDescent="0.3">
      <c r="A1366" t="s">
        <v>2097</v>
      </c>
      <c r="B1366" t="s">
        <v>283</v>
      </c>
      <c r="C1366" t="s">
        <v>22</v>
      </c>
      <c r="D1366" t="s">
        <v>1995</v>
      </c>
      <c r="E1366" t="s">
        <v>46</v>
      </c>
      <c r="F1366" t="s">
        <v>47</v>
      </c>
      <c r="G1366" t="s">
        <v>66</v>
      </c>
      <c r="H1366" t="s">
        <v>49</v>
      </c>
      <c r="I1366">
        <v>7650</v>
      </c>
      <c r="J1366">
        <v>9945</v>
      </c>
      <c r="K1366">
        <v>4</v>
      </c>
      <c r="L1366">
        <v>30600</v>
      </c>
      <c r="M1366">
        <v>39780</v>
      </c>
      <c r="N1366" t="s">
        <v>50</v>
      </c>
      <c r="O1366">
        <f t="shared" si="42"/>
        <v>1690</v>
      </c>
      <c r="P1366" s="13">
        <f t="shared" si="43"/>
        <v>2551588</v>
      </c>
      <c r="Q1366" s="13">
        <f>SUMIFS(M:M,E:E,Online_eCommerce[[#This Row],[Status]])</f>
        <v>28620410</v>
      </c>
      <c r="R1366" s="13">
        <f>SUMIFS(L:L,H:H,Online_eCommerce[[#This Row],[Brand]])</f>
        <v>4528350</v>
      </c>
      <c r="S1366" s="13">
        <f>SUMIF(H:H,Online_eCommerce[[#This Row],[Brand]],M:M)</f>
        <v>5886855</v>
      </c>
      <c r="T1366" s="13">
        <f>SUMIF(N:N,Online_eCommerce[[#This Row],[Assigned Supervisor]],L:L)</f>
        <v>12100590</v>
      </c>
    </row>
    <row r="1367" spans="1:20" hidden="1" x14ac:dyDescent="0.3">
      <c r="A1367" t="s">
        <v>2098</v>
      </c>
      <c r="B1367" t="s">
        <v>287</v>
      </c>
      <c r="C1367" t="s">
        <v>132</v>
      </c>
      <c r="D1367" t="s">
        <v>1995</v>
      </c>
      <c r="E1367" t="s">
        <v>96</v>
      </c>
      <c r="F1367" t="s">
        <v>53</v>
      </c>
      <c r="G1367" t="s">
        <v>54</v>
      </c>
      <c r="H1367" t="s">
        <v>55</v>
      </c>
      <c r="I1367">
        <v>1150</v>
      </c>
      <c r="J1367">
        <v>1495</v>
      </c>
      <c r="K1367">
        <v>4</v>
      </c>
      <c r="L1367">
        <v>4600</v>
      </c>
      <c r="M1367">
        <v>5980</v>
      </c>
      <c r="N1367" t="s">
        <v>56</v>
      </c>
      <c r="O1367">
        <f t="shared" si="42"/>
        <v>2990</v>
      </c>
      <c r="P1367" s="13">
        <f t="shared" si="43"/>
        <v>1989065</v>
      </c>
      <c r="Q1367" s="13">
        <f>SUMIFS(M:M,E:E,Online_eCommerce[[#This Row],[Status]])</f>
        <v>21233992</v>
      </c>
      <c r="R1367" s="13">
        <f>SUMIFS(L:L,H:H,Online_eCommerce[[#This Row],[Brand]])</f>
        <v>2267380</v>
      </c>
      <c r="S1367" s="13">
        <f>SUMIF(H:H,Online_eCommerce[[#This Row],[Brand]],M:M)</f>
        <v>2947594</v>
      </c>
      <c r="T1367" s="13">
        <f>SUMIF(N:N,Online_eCommerce[[#This Row],[Assigned Supervisor]],L:L)</f>
        <v>11733610</v>
      </c>
    </row>
    <row r="1368" spans="1:20" hidden="1" x14ac:dyDescent="0.3">
      <c r="A1368" t="s">
        <v>2099</v>
      </c>
      <c r="B1368" t="s">
        <v>290</v>
      </c>
      <c r="C1368" t="s">
        <v>136</v>
      </c>
      <c r="D1368" t="s">
        <v>1995</v>
      </c>
      <c r="E1368" t="s">
        <v>18</v>
      </c>
      <c r="F1368" t="s">
        <v>59</v>
      </c>
      <c r="G1368" t="s">
        <v>60</v>
      </c>
      <c r="H1368" t="s">
        <v>61</v>
      </c>
      <c r="I1368">
        <v>850</v>
      </c>
      <c r="J1368">
        <v>1105</v>
      </c>
      <c r="K1368">
        <v>2</v>
      </c>
      <c r="L1368">
        <v>1700</v>
      </c>
      <c r="M1368">
        <v>2210</v>
      </c>
      <c r="N1368" t="s">
        <v>22</v>
      </c>
      <c r="O1368">
        <f t="shared" si="42"/>
        <v>3315</v>
      </c>
      <c r="P1368" s="13">
        <f t="shared" si="43"/>
        <v>2775162</v>
      </c>
      <c r="Q1368" s="13">
        <f>SUMIFS(M:M,E:E,Online_eCommerce[[#This Row],[Status]])</f>
        <v>28340455</v>
      </c>
      <c r="R1368" s="13">
        <f>SUMIFS(L:L,H:H,Online_eCommerce[[#This Row],[Brand]])</f>
        <v>10950150</v>
      </c>
      <c r="S1368" s="13">
        <f>SUMIF(H:H,Online_eCommerce[[#This Row],[Brand]],M:M)</f>
        <v>14235195</v>
      </c>
      <c r="T1368" s="13">
        <f>SUMIF(N:N,Online_eCommerce[[#This Row],[Assigned Supervisor]],L:L)</f>
        <v>13693220</v>
      </c>
    </row>
    <row r="1369" spans="1:20" hidden="1" x14ac:dyDescent="0.3">
      <c r="A1369" t="s">
        <v>2100</v>
      </c>
      <c r="B1369" t="s">
        <v>15</v>
      </c>
      <c r="C1369" t="s">
        <v>140</v>
      </c>
      <c r="D1369" t="s">
        <v>1995</v>
      </c>
      <c r="E1369" t="s">
        <v>161</v>
      </c>
      <c r="F1369" t="s">
        <v>65</v>
      </c>
      <c r="G1369" t="s">
        <v>66</v>
      </c>
      <c r="H1369" t="s">
        <v>21</v>
      </c>
      <c r="I1369">
        <v>650</v>
      </c>
      <c r="J1369">
        <v>845</v>
      </c>
      <c r="K1369">
        <v>4</v>
      </c>
      <c r="L1369">
        <v>2600</v>
      </c>
      <c r="M1369">
        <v>3380</v>
      </c>
      <c r="N1369" t="s">
        <v>28</v>
      </c>
      <c r="O1369">
        <f t="shared" si="42"/>
        <v>1690</v>
      </c>
      <c r="P1369" s="13">
        <f t="shared" si="43"/>
        <v>2058264</v>
      </c>
      <c r="Q1369" s="13">
        <f>SUMIFS(M:M,E:E,Online_eCommerce[[#This Row],[Status]])</f>
        <v>21103186</v>
      </c>
      <c r="R1369" s="13">
        <f>SUMIFS(L:L,H:H,Online_eCommerce[[#This Row],[Brand]])</f>
        <v>12435650</v>
      </c>
      <c r="S1369" s="13">
        <f>SUMIF(H:H,Online_eCommerce[[#This Row],[Brand]],M:M)</f>
        <v>16166345</v>
      </c>
      <c r="T1369" s="13">
        <f>SUMIF(N:N,Online_eCommerce[[#This Row],[Assigned Supervisor]],L:L)</f>
        <v>12220830</v>
      </c>
    </row>
    <row r="1370" spans="1:20" x14ac:dyDescent="0.3">
      <c r="A1370" t="s">
        <v>2101</v>
      </c>
      <c r="B1370" t="s">
        <v>202</v>
      </c>
      <c r="C1370" t="s">
        <v>145</v>
      </c>
      <c r="D1370" t="s">
        <v>1995</v>
      </c>
      <c r="E1370" t="s">
        <v>46</v>
      </c>
      <c r="F1370" t="s">
        <v>70</v>
      </c>
      <c r="G1370" t="s">
        <v>71</v>
      </c>
      <c r="H1370" t="s">
        <v>61</v>
      </c>
      <c r="I1370">
        <v>7500</v>
      </c>
      <c r="J1370">
        <v>9750</v>
      </c>
      <c r="K1370">
        <v>3</v>
      </c>
      <c r="L1370">
        <v>22500</v>
      </c>
      <c r="M1370">
        <v>29250</v>
      </c>
      <c r="N1370" t="s">
        <v>35</v>
      </c>
      <c r="O1370">
        <f t="shared" si="42"/>
        <v>9750</v>
      </c>
      <c r="P1370" s="13">
        <f t="shared" si="43"/>
        <v>2757859</v>
      </c>
      <c r="Q1370" s="13">
        <f>SUMIFS(M:M,E:E,Online_eCommerce[[#This Row],[Status]])</f>
        <v>28620410</v>
      </c>
      <c r="R1370" s="13">
        <f>SUMIFS(L:L,H:H,Online_eCommerce[[#This Row],[Brand]])</f>
        <v>10950150</v>
      </c>
      <c r="S1370" s="13">
        <f>SUMIF(H:H,Online_eCommerce[[#This Row],[Brand]],M:M)</f>
        <v>14235195</v>
      </c>
      <c r="T1370" s="13">
        <f>SUMIF(N:N,Online_eCommerce[[#This Row],[Assigned Supervisor]],L:L)</f>
        <v>14373360</v>
      </c>
    </row>
    <row r="1371" spans="1:20" hidden="1" x14ac:dyDescent="0.3">
      <c r="A1371" t="s">
        <v>2102</v>
      </c>
      <c r="B1371" t="s">
        <v>30</v>
      </c>
      <c r="C1371" t="s">
        <v>150</v>
      </c>
      <c r="D1371" t="s">
        <v>1995</v>
      </c>
      <c r="E1371" t="s">
        <v>96</v>
      </c>
      <c r="F1371" t="s">
        <v>2089</v>
      </c>
      <c r="G1371" t="s">
        <v>77</v>
      </c>
      <c r="H1371" t="s">
        <v>78</v>
      </c>
      <c r="I1371">
        <v>10000</v>
      </c>
      <c r="J1371">
        <v>13000</v>
      </c>
      <c r="K1371">
        <v>1</v>
      </c>
      <c r="L1371">
        <v>10000</v>
      </c>
      <c r="M1371">
        <v>13000</v>
      </c>
      <c r="N1371" t="s">
        <v>42</v>
      </c>
      <c r="O1371">
        <f t="shared" si="42"/>
        <v>39000</v>
      </c>
      <c r="P1371" s="13">
        <f t="shared" si="43"/>
        <v>2154984</v>
      </c>
      <c r="Q1371" s="13">
        <f>SUMIFS(M:M,E:E,Online_eCommerce[[#This Row],[Status]])</f>
        <v>21233992</v>
      </c>
      <c r="R1371" s="13">
        <f>SUMIFS(L:L,H:H,Online_eCommerce[[#This Row],[Brand]])</f>
        <v>3720000</v>
      </c>
      <c r="S1371" s="13">
        <f>SUMIF(H:H,Online_eCommerce[[#This Row],[Brand]],M:M)</f>
        <v>4836000</v>
      </c>
      <c r="T1371" s="13">
        <f>SUMIF(N:N,Online_eCommerce[[#This Row],[Assigned Supervisor]],L:L)</f>
        <v>12261500</v>
      </c>
    </row>
    <row r="1372" spans="1:20" hidden="1" x14ac:dyDescent="0.3">
      <c r="A1372" t="s">
        <v>2103</v>
      </c>
      <c r="B1372" t="s">
        <v>37</v>
      </c>
      <c r="C1372" t="s">
        <v>155</v>
      </c>
      <c r="D1372" t="s">
        <v>1995</v>
      </c>
      <c r="E1372" t="s">
        <v>18</v>
      </c>
      <c r="F1372" t="s">
        <v>2104</v>
      </c>
      <c r="G1372" t="s">
        <v>20</v>
      </c>
      <c r="H1372" t="s">
        <v>21</v>
      </c>
      <c r="I1372">
        <v>10500</v>
      </c>
      <c r="J1372">
        <v>13650</v>
      </c>
      <c r="K1372">
        <v>3</v>
      </c>
      <c r="L1372">
        <v>31500</v>
      </c>
      <c r="M1372">
        <v>40950</v>
      </c>
      <c r="N1372" t="s">
        <v>50</v>
      </c>
      <c r="O1372">
        <f t="shared" si="42"/>
        <v>8450</v>
      </c>
      <c r="P1372" s="13">
        <f t="shared" si="43"/>
        <v>2753348</v>
      </c>
      <c r="Q1372" s="13">
        <f>SUMIFS(M:M,E:E,Online_eCommerce[[#This Row],[Status]])</f>
        <v>28340455</v>
      </c>
      <c r="R1372" s="13">
        <f>SUMIFS(L:L,H:H,Online_eCommerce[[#This Row],[Brand]])</f>
        <v>12435650</v>
      </c>
      <c r="S1372" s="13">
        <f>SUMIF(H:H,Online_eCommerce[[#This Row],[Brand]],M:M)</f>
        <v>16166345</v>
      </c>
      <c r="T1372" s="13">
        <f>SUMIF(N:N,Online_eCommerce[[#This Row],[Assigned Supervisor]],L:L)</f>
        <v>12100590</v>
      </c>
    </row>
    <row r="1373" spans="1:20" hidden="1" x14ac:dyDescent="0.3">
      <c r="A1373" t="s">
        <v>2105</v>
      </c>
      <c r="B1373" t="s">
        <v>37</v>
      </c>
      <c r="C1373" t="s">
        <v>160</v>
      </c>
      <c r="D1373" t="s">
        <v>1995</v>
      </c>
      <c r="E1373" t="s">
        <v>161</v>
      </c>
      <c r="F1373" t="s">
        <v>88</v>
      </c>
      <c r="G1373" t="s">
        <v>26</v>
      </c>
      <c r="H1373" t="s">
        <v>27</v>
      </c>
      <c r="I1373">
        <v>8500</v>
      </c>
      <c r="J1373">
        <v>11050</v>
      </c>
      <c r="K1373">
        <v>4</v>
      </c>
      <c r="L1373">
        <v>34000</v>
      </c>
      <c r="M1373">
        <v>44200</v>
      </c>
      <c r="N1373" t="s">
        <v>56</v>
      </c>
      <c r="O1373">
        <f t="shared" si="42"/>
        <v>33150</v>
      </c>
      <c r="P1373" s="13">
        <f t="shared" si="43"/>
        <v>2303483</v>
      </c>
      <c r="Q1373" s="13">
        <f>SUMIFS(M:M,E:E,Online_eCommerce[[#This Row],[Status]])</f>
        <v>21103186</v>
      </c>
      <c r="R1373" s="13">
        <f>SUMIFS(L:L,H:H,Online_eCommerce[[#This Row],[Brand]])</f>
        <v>14431000</v>
      </c>
      <c r="S1373" s="13">
        <f>SUMIF(H:H,Online_eCommerce[[#This Row],[Brand]],M:M)</f>
        <v>18760300</v>
      </c>
      <c r="T1373" s="13">
        <f>SUMIF(N:N,Online_eCommerce[[#This Row],[Assigned Supervisor]],L:L)</f>
        <v>11733610</v>
      </c>
    </row>
    <row r="1374" spans="1:20" x14ac:dyDescent="0.3">
      <c r="A1374" t="s">
        <v>2106</v>
      </c>
      <c r="B1374" t="s">
        <v>37</v>
      </c>
      <c r="C1374" t="s">
        <v>165</v>
      </c>
      <c r="D1374" t="s">
        <v>1995</v>
      </c>
      <c r="E1374" t="s">
        <v>46</v>
      </c>
      <c r="F1374" t="s">
        <v>32</v>
      </c>
      <c r="G1374" t="s">
        <v>33</v>
      </c>
      <c r="H1374" t="s">
        <v>34</v>
      </c>
      <c r="I1374">
        <v>7000</v>
      </c>
      <c r="J1374">
        <v>9100</v>
      </c>
      <c r="K1374">
        <v>1</v>
      </c>
      <c r="L1374">
        <v>7000</v>
      </c>
      <c r="M1374">
        <v>9100</v>
      </c>
      <c r="N1374" t="s">
        <v>22</v>
      </c>
      <c r="O1374">
        <f t="shared" si="42"/>
        <v>18200</v>
      </c>
      <c r="P1374" s="13">
        <f t="shared" si="43"/>
        <v>2674087</v>
      </c>
      <c r="Q1374" s="13">
        <f>SUMIFS(M:M,E:E,Online_eCommerce[[#This Row],[Status]])</f>
        <v>28620410</v>
      </c>
      <c r="R1374" s="13">
        <f>SUMIFS(L:L,H:H,Online_eCommerce[[#This Row],[Brand]])</f>
        <v>10087000</v>
      </c>
      <c r="S1374" s="13">
        <f>SUMIF(H:H,Online_eCommerce[[#This Row],[Brand]],M:M)</f>
        <v>13113100</v>
      </c>
      <c r="T1374" s="13">
        <f>SUMIF(N:N,Online_eCommerce[[#This Row],[Assigned Supervisor]],L:L)</f>
        <v>13693220</v>
      </c>
    </row>
    <row r="1375" spans="1:20" hidden="1" x14ac:dyDescent="0.3">
      <c r="A1375" t="s">
        <v>2107</v>
      </c>
      <c r="B1375" t="s">
        <v>37</v>
      </c>
      <c r="C1375" t="s">
        <v>168</v>
      </c>
      <c r="D1375" t="s">
        <v>1995</v>
      </c>
      <c r="E1375" t="s">
        <v>96</v>
      </c>
      <c r="F1375" t="s">
        <v>2108</v>
      </c>
      <c r="G1375" t="s">
        <v>163</v>
      </c>
      <c r="H1375" t="s">
        <v>41</v>
      </c>
      <c r="I1375">
        <v>1680</v>
      </c>
      <c r="J1375">
        <v>2184</v>
      </c>
      <c r="K1375">
        <v>2</v>
      </c>
      <c r="L1375">
        <v>3360</v>
      </c>
      <c r="M1375">
        <v>4368</v>
      </c>
      <c r="N1375" t="s">
        <v>28</v>
      </c>
      <c r="O1375">
        <f t="shared" si="42"/>
        <v>13650</v>
      </c>
      <c r="P1375" s="13">
        <f t="shared" si="43"/>
        <v>1937780</v>
      </c>
      <c r="Q1375" s="13">
        <f>SUMIFS(M:M,E:E,Online_eCommerce[[#This Row],[Status]])</f>
        <v>21233992</v>
      </c>
      <c r="R1375" s="13">
        <f>SUMIFS(L:L,H:H,Online_eCommerce[[#This Row],[Brand]])</f>
        <v>4260400</v>
      </c>
      <c r="S1375" s="13">
        <f>SUMIF(H:H,Online_eCommerce[[#This Row],[Brand]],M:M)</f>
        <v>5538520</v>
      </c>
      <c r="T1375" s="13">
        <f>SUMIF(N:N,Online_eCommerce[[#This Row],[Assigned Supervisor]],L:L)</f>
        <v>12220830</v>
      </c>
    </row>
    <row r="1376" spans="1:20" hidden="1" x14ac:dyDescent="0.3">
      <c r="A1376" t="s">
        <v>2109</v>
      </c>
      <c r="B1376" t="s">
        <v>37</v>
      </c>
      <c r="C1376" t="s">
        <v>172</v>
      </c>
      <c r="D1376" t="s">
        <v>1995</v>
      </c>
      <c r="E1376" t="s">
        <v>18</v>
      </c>
      <c r="F1376" t="s">
        <v>101</v>
      </c>
      <c r="G1376" t="s">
        <v>66</v>
      </c>
      <c r="H1376" t="s">
        <v>102</v>
      </c>
      <c r="I1376">
        <v>6540</v>
      </c>
      <c r="J1376">
        <v>8502</v>
      </c>
      <c r="K1376">
        <v>4</v>
      </c>
      <c r="L1376">
        <v>26160</v>
      </c>
      <c r="M1376">
        <v>34008</v>
      </c>
      <c r="N1376" t="s">
        <v>35</v>
      </c>
      <c r="O1376">
        <f t="shared" si="42"/>
        <v>1690</v>
      </c>
      <c r="P1376" s="13">
        <f t="shared" si="43"/>
        <v>2640274</v>
      </c>
      <c r="Q1376" s="13">
        <f>SUMIFS(M:M,E:E,Online_eCommerce[[#This Row],[Status]])</f>
        <v>28340455</v>
      </c>
      <c r="R1376" s="13">
        <f>SUMIFS(L:L,H:H,Online_eCommerce[[#This Row],[Brand]])</f>
        <v>2465580</v>
      </c>
      <c r="S1376" s="13">
        <f>SUMIF(H:H,Online_eCommerce[[#This Row],[Brand]],M:M)</f>
        <v>3205254</v>
      </c>
      <c r="T1376" s="13">
        <f>SUMIF(N:N,Online_eCommerce[[#This Row],[Assigned Supervisor]],L:L)</f>
        <v>14373360</v>
      </c>
    </row>
    <row r="1377" spans="1:20" hidden="1" x14ac:dyDescent="0.3">
      <c r="A1377" t="s">
        <v>2110</v>
      </c>
      <c r="B1377" t="s">
        <v>37</v>
      </c>
      <c r="C1377" t="s">
        <v>177</v>
      </c>
      <c r="D1377" t="s">
        <v>1995</v>
      </c>
      <c r="E1377" t="s">
        <v>161</v>
      </c>
      <c r="F1377" t="s">
        <v>107</v>
      </c>
      <c r="G1377" t="s">
        <v>54</v>
      </c>
      <c r="H1377" t="s">
        <v>55</v>
      </c>
      <c r="I1377">
        <v>2680</v>
      </c>
      <c r="J1377">
        <v>3484</v>
      </c>
      <c r="K1377">
        <v>4</v>
      </c>
      <c r="L1377">
        <v>10720</v>
      </c>
      <c r="M1377">
        <v>13936</v>
      </c>
      <c r="N1377" t="s">
        <v>42</v>
      </c>
      <c r="O1377">
        <f t="shared" si="42"/>
        <v>2990</v>
      </c>
      <c r="P1377" s="13">
        <f t="shared" si="43"/>
        <v>1863810</v>
      </c>
      <c r="Q1377" s="13">
        <f>SUMIFS(M:M,E:E,Online_eCommerce[[#This Row],[Status]])</f>
        <v>21103186</v>
      </c>
      <c r="R1377" s="13">
        <f>SUMIFS(L:L,H:H,Online_eCommerce[[#This Row],[Brand]])</f>
        <v>2267380</v>
      </c>
      <c r="S1377" s="13">
        <f>SUMIF(H:H,Online_eCommerce[[#This Row],[Brand]],M:M)</f>
        <v>2947594</v>
      </c>
      <c r="T1377" s="13">
        <f>SUMIF(N:N,Online_eCommerce[[#This Row],[Assigned Supervisor]],L:L)</f>
        <v>12261500</v>
      </c>
    </row>
    <row r="1378" spans="1:20" x14ac:dyDescent="0.3">
      <c r="A1378" t="s">
        <v>2111</v>
      </c>
      <c r="B1378" t="s">
        <v>37</v>
      </c>
      <c r="C1378" t="s">
        <v>181</v>
      </c>
      <c r="D1378" t="s">
        <v>1995</v>
      </c>
      <c r="E1378" t="s">
        <v>46</v>
      </c>
      <c r="F1378" t="s">
        <v>112</v>
      </c>
      <c r="G1378" t="s">
        <v>71</v>
      </c>
      <c r="H1378" t="s">
        <v>21</v>
      </c>
      <c r="I1378">
        <v>8250</v>
      </c>
      <c r="J1378">
        <v>10725</v>
      </c>
      <c r="K1378">
        <v>2</v>
      </c>
      <c r="L1378">
        <v>16500</v>
      </c>
      <c r="M1378">
        <v>21450</v>
      </c>
      <c r="N1378" t="s">
        <v>50</v>
      </c>
      <c r="O1378">
        <f t="shared" si="42"/>
        <v>9750</v>
      </c>
      <c r="P1378" s="13">
        <f t="shared" si="43"/>
        <v>2577458</v>
      </c>
      <c r="Q1378" s="13">
        <f>SUMIFS(M:M,E:E,Online_eCommerce[[#This Row],[Status]])</f>
        <v>28620410</v>
      </c>
      <c r="R1378" s="13">
        <f>SUMIFS(L:L,H:H,Online_eCommerce[[#This Row],[Brand]])</f>
        <v>12435650</v>
      </c>
      <c r="S1378" s="13">
        <f>SUMIF(H:H,Online_eCommerce[[#This Row],[Brand]],M:M)</f>
        <v>16166345</v>
      </c>
      <c r="T1378" s="13">
        <f>SUMIF(N:N,Online_eCommerce[[#This Row],[Assigned Supervisor]],L:L)</f>
        <v>12100590</v>
      </c>
    </row>
    <row r="1379" spans="1:20" hidden="1" x14ac:dyDescent="0.3">
      <c r="A1379" t="s">
        <v>2112</v>
      </c>
      <c r="B1379" t="s">
        <v>37</v>
      </c>
      <c r="C1379" t="s">
        <v>185</v>
      </c>
      <c r="D1379" t="s">
        <v>1995</v>
      </c>
      <c r="E1379" t="s">
        <v>96</v>
      </c>
      <c r="F1379" t="s">
        <v>1649</v>
      </c>
      <c r="G1379" t="s">
        <v>40</v>
      </c>
      <c r="H1379" t="s">
        <v>21</v>
      </c>
      <c r="I1379">
        <v>2650</v>
      </c>
      <c r="J1379">
        <v>3445</v>
      </c>
      <c r="K1379">
        <v>2</v>
      </c>
      <c r="L1379">
        <v>5300</v>
      </c>
      <c r="M1379">
        <v>6890</v>
      </c>
      <c r="N1379" t="s">
        <v>56</v>
      </c>
      <c r="O1379">
        <f t="shared" si="42"/>
        <v>25545</v>
      </c>
      <c r="P1379" s="13">
        <f t="shared" si="43"/>
        <v>2091596</v>
      </c>
      <c r="Q1379" s="13">
        <f>SUMIFS(M:M,E:E,Online_eCommerce[[#This Row],[Status]])</f>
        <v>21233992</v>
      </c>
      <c r="R1379" s="13">
        <f>SUMIFS(L:L,H:H,Online_eCommerce[[#This Row],[Brand]])</f>
        <v>12435650</v>
      </c>
      <c r="S1379" s="13">
        <f>SUMIF(H:H,Online_eCommerce[[#This Row],[Brand]],M:M)</f>
        <v>16166345</v>
      </c>
      <c r="T1379" s="13">
        <f>SUMIF(N:N,Online_eCommerce[[#This Row],[Assigned Supervisor]],L:L)</f>
        <v>11733610</v>
      </c>
    </row>
    <row r="1380" spans="1:20" hidden="1" x14ac:dyDescent="0.3">
      <c r="A1380" t="s">
        <v>2113</v>
      </c>
      <c r="B1380" t="s">
        <v>37</v>
      </c>
      <c r="C1380" t="s">
        <v>189</v>
      </c>
      <c r="D1380" t="s">
        <v>1995</v>
      </c>
      <c r="E1380" t="s">
        <v>18</v>
      </c>
      <c r="F1380" t="s">
        <v>121</v>
      </c>
      <c r="G1380" t="s">
        <v>71</v>
      </c>
      <c r="H1380" t="s">
        <v>122</v>
      </c>
      <c r="I1380">
        <v>12550</v>
      </c>
      <c r="J1380">
        <v>16315</v>
      </c>
      <c r="K1380">
        <v>3</v>
      </c>
      <c r="L1380">
        <v>37650</v>
      </c>
      <c r="M1380">
        <v>48945</v>
      </c>
      <c r="N1380" t="s">
        <v>22</v>
      </c>
      <c r="O1380">
        <f t="shared" si="42"/>
        <v>9750</v>
      </c>
      <c r="P1380" s="13">
        <f t="shared" si="43"/>
        <v>2740777</v>
      </c>
      <c r="Q1380" s="13">
        <f>SUMIFS(M:M,E:E,Online_eCommerce[[#This Row],[Status]])</f>
        <v>28340455</v>
      </c>
      <c r="R1380" s="13">
        <f>SUMIFS(L:L,H:H,Online_eCommerce[[#This Row],[Brand]])</f>
        <v>5045100</v>
      </c>
      <c r="S1380" s="13">
        <f>SUMIF(H:H,Online_eCommerce[[#This Row],[Brand]],M:M)</f>
        <v>6558630</v>
      </c>
      <c r="T1380" s="13">
        <f>SUMIF(N:N,Online_eCommerce[[#This Row],[Assigned Supervisor]],L:L)</f>
        <v>13693220</v>
      </c>
    </row>
    <row r="1381" spans="1:20" hidden="1" x14ac:dyDescent="0.3">
      <c r="A1381" t="s">
        <v>2114</v>
      </c>
      <c r="B1381" t="s">
        <v>37</v>
      </c>
      <c r="C1381" t="s">
        <v>193</v>
      </c>
      <c r="D1381" t="s">
        <v>2115</v>
      </c>
      <c r="E1381" t="s">
        <v>161</v>
      </c>
      <c r="F1381" t="s">
        <v>126</v>
      </c>
      <c r="G1381" t="s">
        <v>26</v>
      </c>
      <c r="H1381" t="s">
        <v>27</v>
      </c>
      <c r="I1381">
        <v>14500</v>
      </c>
      <c r="J1381">
        <v>18850</v>
      </c>
      <c r="K1381">
        <v>1</v>
      </c>
      <c r="L1381">
        <v>14500</v>
      </c>
      <c r="M1381">
        <v>18850</v>
      </c>
      <c r="N1381" t="s">
        <v>28</v>
      </c>
      <c r="O1381">
        <f t="shared" si="42"/>
        <v>33150</v>
      </c>
      <c r="P1381" s="13">
        <f t="shared" si="43"/>
        <v>2074774</v>
      </c>
      <c r="Q1381" s="13">
        <f>SUMIFS(M:M,E:E,Online_eCommerce[[#This Row],[Status]])</f>
        <v>21103186</v>
      </c>
      <c r="R1381" s="13">
        <f>SUMIFS(L:L,H:H,Online_eCommerce[[#This Row],[Brand]])</f>
        <v>14431000</v>
      </c>
      <c r="S1381" s="13">
        <f>SUMIF(H:H,Online_eCommerce[[#This Row],[Brand]],M:M)</f>
        <v>18760300</v>
      </c>
      <c r="T1381" s="13">
        <f>SUMIF(N:N,Online_eCommerce[[#This Row],[Assigned Supervisor]],L:L)</f>
        <v>12220830</v>
      </c>
    </row>
    <row r="1382" spans="1:20" x14ac:dyDescent="0.3">
      <c r="A1382" t="s">
        <v>2116</v>
      </c>
      <c r="B1382" t="s">
        <v>37</v>
      </c>
      <c r="C1382" t="s">
        <v>197</v>
      </c>
      <c r="D1382" t="s">
        <v>2117</v>
      </c>
      <c r="E1382" t="s">
        <v>46</v>
      </c>
      <c r="F1382" t="s">
        <v>129</v>
      </c>
      <c r="G1382" t="s">
        <v>60</v>
      </c>
      <c r="H1382" t="s">
        <v>61</v>
      </c>
      <c r="I1382">
        <v>800</v>
      </c>
      <c r="J1382">
        <v>1040</v>
      </c>
      <c r="K1382">
        <v>4</v>
      </c>
      <c r="L1382">
        <v>3200</v>
      </c>
      <c r="M1382">
        <v>4160</v>
      </c>
      <c r="N1382" t="s">
        <v>35</v>
      </c>
      <c r="O1382">
        <f t="shared" si="42"/>
        <v>3315</v>
      </c>
      <c r="P1382" s="13">
        <f t="shared" si="43"/>
        <v>2829840</v>
      </c>
      <c r="Q1382" s="13">
        <f>SUMIFS(M:M,E:E,Online_eCommerce[[#This Row],[Status]])</f>
        <v>28620410</v>
      </c>
      <c r="R1382" s="13">
        <f>SUMIFS(L:L,H:H,Online_eCommerce[[#This Row],[Brand]])</f>
        <v>10950150</v>
      </c>
      <c r="S1382" s="13">
        <f>SUMIF(H:H,Online_eCommerce[[#This Row],[Brand]],M:M)</f>
        <v>14235195</v>
      </c>
      <c r="T1382" s="13">
        <f>SUMIF(N:N,Online_eCommerce[[#This Row],[Assigned Supervisor]],L:L)</f>
        <v>14373360</v>
      </c>
    </row>
    <row r="1383" spans="1:20" hidden="1" x14ac:dyDescent="0.3">
      <c r="A1383" t="s">
        <v>2118</v>
      </c>
      <c r="B1383" t="s">
        <v>37</v>
      </c>
      <c r="C1383" t="s">
        <v>199</v>
      </c>
      <c r="D1383" t="s">
        <v>2119</v>
      </c>
      <c r="E1383" t="s">
        <v>96</v>
      </c>
      <c r="F1383" t="s">
        <v>133</v>
      </c>
      <c r="G1383" t="s">
        <v>66</v>
      </c>
      <c r="H1383" t="s">
        <v>21</v>
      </c>
      <c r="I1383">
        <v>600</v>
      </c>
      <c r="J1383">
        <v>780</v>
      </c>
      <c r="K1383">
        <v>1</v>
      </c>
      <c r="L1383">
        <v>600</v>
      </c>
      <c r="M1383">
        <v>780</v>
      </c>
      <c r="N1383" t="s">
        <v>42</v>
      </c>
      <c r="O1383">
        <f t="shared" si="42"/>
        <v>1690</v>
      </c>
      <c r="P1383" s="13">
        <f t="shared" si="43"/>
        <v>1947361</v>
      </c>
      <c r="Q1383" s="13">
        <f>SUMIFS(M:M,E:E,Online_eCommerce[[#This Row],[Status]])</f>
        <v>21233992</v>
      </c>
      <c r="R1383" s="13">
        <f>SUMIFS(L:L,H:H,Online_eCommerce[[#This Row],[Brand]])</f>
        <v>12435650</v>
      </c>
      <c r="S1383" s="13">
        <f>SUMIF(H:H,Online_eCommerce[[#This Row],[Brand]],M:M)</f>
        <v>16166345</v>
      </c>
      <c r="T1383" s="13">
        <f>SUMIF(N:N,Online_eCommerce[[#This Row],[Assigned Supervisor]],L:L)</f>
        <v>12261500</v>
      </c>
    </row>
    <row r="1384" spans="1:20" hidden="1" x14ac:dyDescent="0.3">
      <c r="A1384" t="s">
        <v>2120</v>
      </c>
      <c r="B1384" t="s">
        <v>37</v>
      </c>
      <c r="C1384" t="s">
        <v>203</v>
      </c>
      <c r="D1384" t="s">
        <v>2119</v>
      </c>
      <c r="E1384" t="s">
        <v>18</v>
      </c>
      <c r="F1384" t="s">
        <v>137</v>
      </c>
      <c r="G1384" t="s">
        <v>71</v>
      </c>
      <c r="H1384" t="s">
        <v>61</v>
      </c>
      <c r="I1384">
        <v>10500</v>
      </c>
      <c r="J1384">
        <v>13650</v>
      </c>
      <c r="K1384">
        <v>3</v>
      </c>
      <c r="L1384">
        <v>31500</v>
      </c>
      <c r="M1384">
        <v>40950</v>
      </c>
      <c r="N1384" t="s">
        <v>50</v>
      </c>
      <c r="O1384">
        <f t="shared" si="42"/>
        <v>9750</v>
      </c>
      <c r="P1384" s="13">
        <f t="shared" si="43"/>
        <v>2559635</v>
      </c>
      <c r="Q1384" s="13">
        <f>SUMIFS(M:M,E:E,Online_eCommerce[[#This Row],[Status]])</f>
        <v>28340455</v>
      </c>
      <c r="R1384" s="13">
        <f>SUMIFS(L:L,H:H,Online_eCommerce[[#This Row],[Brand]])</f>
        <v>10950150</v>
      </c>
      <c r="S1384" s="13">
        <f>SUMIF(H:H,Online_eCommerce[[#This Row],[Brand]],M:M)</f>
        <v>14235195</v>
      </c>
      <c r="T1384" s="13">
        <f>SUMIF(N:N,Online_eCommerce[[#This Row],[Assigned Supervisor]],L:L)</f>
        <v>12100590</v>
      </c>
    </row>
    <row r="1385" spans="1:20" hidden="1" x14ac:dyDescent="0.3">
      <c r="A1385" t="s">
        <v>2121</v>
      </c>
      <c r="B1385" t="s">
        <v>37</v>
      </c>
      <c r="C1385" t="s">
        <v>205</v>
      </c>
      <c r="D1385" t="s">
        <v>2119</v>
      </c>
      <c r="E1385" t="s">
        <v>161</v>
      </c>
      <c r="F1385" t="s">
        <v>2089</v>
      </c>
      <c r="G1385" t="s">
        <v>77</v>
      </c>
      <c r="H1385" t="s">
        <v>142</v>
      </c>
      <c r="I1385">
        <v>6500</v>
      </c>
      <c r="J1385">
        <v>8450</v>
      </c>
      <c r="K1385">
        <v>3</v>
      </c>
      <c r="L1385">
        <v>19500</v>
      </c>
      <c r="M1385">
        <v>25350</v>
      </c>
      <c r="N1385" t="s">
        <v>56</v>
      </c>
      <c r="O1385">
        <f t="shared" si="42"/>
        <v>39000</v>
      </c>
      <c r="P1385" s="13">
        <f t="shared" si="43"/>
        <v>1983254</v>
      </c>
      <c r="Q1385" s="13">
        <f>SUMIFS(M:M,E:E,Online_eCommerce[[#This Row],[Status]])</f>
        <v>21103186</v>
      </c>
      <c r="R1385" s="13">
        <f>SUMIFS(L:L,H:H,Online_eCommerce[[#This Row],[Brand]])</f>
        <v>6192500</v>
      </c>
      <c r="S1385" s="13">
        <f>SUMIF(H:H,Online_eCommerce[[#This Row],[Brand]],M:M)</f>
        <v>8050250</v>
      </c>
      <c r="T1385" s="13">
        <f>SUMIF(N:N,Online_eCommerce[[#This Row],[Assigned Supervisor]],L:L)</f>
        <v>11733610</v>
      </c>
    </row>
    <row r="1386" spans="1:20" x14ac:dyDescent="0.3">
      <c r="A1386" t="s">
        <v>2122</v>
      </c>
      <c r="B1386" t="s">
        <v>37</v>
      </c>
      <c r="C1386" t="s">
        <v>208</v>
      </c>
      <c r="D1386" t="s">
        <v>2119</v>
      </c>
      <c r="E1386" t="s">
        <v>46</v>
      </c>
      <c r="F1386" t="s">
        <v>2123</v>
      </c>
      <c r="G1386" t="s">
        <v>20</v>
      </c>
      <c r="H1386" t="s">
        <v>21</v>
      </c>
      <c r="I1386">
        <v>4500</v>
      </c>
      <c r="J1386">
        <v>5850</v>
      </c>
      <c r="K1386">
        <v>2</v>
      </c>
      <c r="L1386">
        <v>9000</v>
      </c>
      <c r="M1386">
        <v>11700</v>
      </c>
      <c r="N1386" t="s">
        <v>22</v>
      </c>
      <c r="O1386">
        <f t="shared" si="42"/>
        <v>8450</v>
      </c>
      <c r="P1386" s="13">
        <f t="shared" si="43"/>
        <v>2746575</v>
      </c>
      <c r="Q1386" s="13">
        <f>SUMIFS(M:M,E:E,Online_eCommerce[[#This Row],[Status]])</f>
        <v>28620410</v>
      </c>
      <c r="R1386" s="13">
        <f>SUMIFS(L:L,H:H,Online_eCommerce[[#This Row],[Brand]])</f>
        <v>12435650</v>
      </c>
      <c r="S1386" s="13">
        <f>SUMIF(H:H,Online_eCommerce[[#This Row],[Brand]],M:M)</f>
        <v>16166345</v>
      </c>
      <c r="T1386" s="13">
        <f>SUMIF(N:N,Online_eCommerce[[#This Row],[Assigned Supervisor]],L:L)</f>
        <v>13693220</v>
      </c>
    </row>
    <row r="1387" spans="1:20" hidden="1" x14ac:dyDescent="0.3">
      <c r="A1387" t="s">
        <v>2124</v>
      </c>
      <c r="B1387" t="s">
        <v>119</v>
      </c>
      <c r="C1387" t="s">
        <v>211</v>
      </c>
      <c r="D1387" t="s">
        <v>2119</v>
      </c>
      <c r="E1387" t="s">
        <v>96</v>
      </c>
      <c r="F1387" t="s">
        <v>152</v>
      </c>
      <c r="G1387" t="s">
        <v>26</v>
      </c>
      <c r="H1387" t="s">
        <v>27</v>
      </c>
      <c r="I1387">
        <v>8500</v>
      </c>
      <c r="J1387">
        <v>11050</v>
      </c>
      <c r="K1387">
        <v>4</v>
      </c>
      <c r="L1387">
        <v>34000</v>
      </c>
      <c r="M1387">
        <v>44200</v>
      </c>
      <c r="N1387" t="s">
        <v>28</v>
      </c>
      <c r="O1387">
        <f t="shared" si="42"/>
        <v>33150</v>
      </c>
      <c r="P1387" s="13">
        <f t="shared" si="43"/>
        <v>1809847</v>
      </c>
      <c r="Q1387" s="13">
        <f>SUMIFS(M:M,E:E,Online_eCommerce[[#This Row],[Status]])</f>
        <v>21233992</v>
      </c>
      <c r="R1387" s="13">
        <f>SUMIFS(L:L,H:H,Online_eCommerce[[#This Row],[Brand]])</f>
        <v>14431000</v>
      </c>
      <c r="S1387" s="13">
        <f>SUMIF(H:H,Online_eCommerce[[#This Row],[Brand]],M:M)</f>
        <v>18760300</v>
      </c>
      <c r="T1387" s="13">
        <f>SUMIF(N:N,Online_eCommerce[[#This Row],[Assigned Supervisor]],L:L)</f>
        <v>12220830</v>
      </c>
    </row>
    <row r="1388" spans="1:20" hidden="1" x14ac:dyDescent="0.3">
      <c r="A1388" t="s">
        <v>2125</v>
      </c>
      <c r="B1388" t="s">
        <v>124</v>
      </c>
      <c r="C1388" t="s">
        <v>16</v>
      </c>
      <c r="D1388" t="s">
        <v>2119</v>
      </c>
      <c r="E1388" t="s">
        <v>18</v>
      </c>
      <c r="F1388" t="s">
        <v>157</v>
      </c>
      <c r="G1388" t="s">
        <v>33</v>
      </c>
      <c r="H1388" t="s">
        <v>34</v>
      </c>
      <c r="I1388">
        <v>12500</v>
      </c>
      <c r="J1388">
        <v>16250</v>
      </c>
      <c r="K1388">
        <v>4</v>
      </c>
      <c r="L1388">
        <v>50000</v>
      </c>
      <c r="M1388">
        <v>65000</v>
      </c>
      <c r="N1388" t="s">
        <v>35</v>
      </c>
      <c r="O1388">
        <f t="shared" si="42"/>
        <v>18200</v>
      </c>
      <c r="P1388" s="13">
        <f t="shared" si="43"/>
        <v>2751814</v>
      </c>
      <c r="Q1388" s="13">
        <f>SUMIFS(M:M,E:E,Online_eCommerce[[#This Row],[Status]])</f>
        <v>28340455</v>
      </c>
      <c r="R1388" s="13">
        <f>SUMIFS(L:L,H:H,Online_eCommerce[[#This Row],[Brand]])</f>
        <v>10087000</v>
      </c>
      <c r="S1388" s="13">
        <f>SUMIF(H:H,Online_eCommerce[[#This Row],[Brand]],M:M)</f>
        <v>13113100</v>
      </c>
      <c r="T1388" s="13">
        <f>SUMIF(N:N,Online_eCommerce[[#This Row],[Assigned Supervisor]],L:L)</f>
        <v>14373360</v>
      </c>
    </row>
    <row r="1389" spans="1:20" hidden="1" x14ac:dyDescent="0.3">
      <c r="A1389" t="s">
        <v>2126</v>
      </c>
      <c r="B1389" t="s">
        <v>128</v>
      </c>
      <c r="C1389" t="s">
        <v>24</v>
      </c>
      <c r="D1389" t="s">
        <v>2119</v>
      </c>
      <c r="E1389" t="s">
        <v>161</v>
      </c>
      <c r="F1389" t="s">
        <v>1697</v>
      </c>
      <c r="G1389" t="s">
        <v>256</v>
      </c>
      <c r="H1389" t="s">
        <v>41</v>
      </c>
      <c r="I1389">
        <v>3500</v>
      </c>
      <c r="J1389">
        <v>4550</v>
      </c>
      <c r="K1389">
        <v>3</v>
      </c>
      <c r="L1389">
        <v>10500</v>
      </c>
      <c r="M1389">
        <v>13650</v>
      </c>
      <c r="N1389" t="s">
        <v>42</v>
      </c>
      <c r="O1389">
        <f t="shared" si="42"/>
        <v>9100</v>
      </c>
      <c r="P1389" s="13">
        <f t="shared" si="43"/>
        <v>2009540</v>
      </c>
      <c r="Q1389" s="13">
        <f>SUMIFS(M:M,E:E,Online_eCommerce[[#This Row],[Status]])</f>
        <v>21103186</v>
      </c>
      <c r="R1389" s="13">
        <f>SUMIFS(L:L,H:H,Online_eCommerce[[#This Row],[Brand]])</f>
        <v>4260400</v>
      </c>
      <c r="S1389" s="13">
        <f>SUMIF(H:H,Online_eCommerce[[#This Row],[Brand]],M:M)</f>
        <v>5538520</v>
      </c>
      <c r="T1389" s="13">
        <f>SUMIF(N:N,Online_eCommerce[[#This Row],[Assigned Supervisor]],L:L)</f>
        <v>12261500</v>
      </c>
    </row>
    <row r="1390" spans="1:20" x14ac:dyDescent="0.3">
      <c r="A1390" t="s">
        <v>2127</v>
      </c>
      <c r="B1390" t="s">
        <v>131</v>
      </c>
      <c r="C1390" t="s">
        <v>31</v>
      </c>
      <c r="D1390" t="s">
        <v>2119</v>
      </c>
      <c r="E1390" t="s">
        <v>46</v>
      </c>
      <c r="F1390" t="s">
        <v>166</v>
      </c>
      <c r="G1390" t="s">
        <v>259</v>
      </c>
      <c r="H1390" t="s">
        <v>49</v>
      </c>
      <c r="I1390">
        <v>4500</v>
      </c>
      <c r="J1390">
        <v>5850</v>
      </c>
      <c r="K1390">
        <v>1</v>
      </c>
      <c r="L1390">
        <v>4500</v>
      </c>
      <c r="M1390">
        <v>5850</v>
      </c>
      <c r="N1390" t="s">
        <v>50</v>
      </c>
      <c r="O1390">
        <f t="shared" si="42"/>
        <v>11700</v>
      </c>
      <c r="P1390" s="13">
        <f t="shared" si="43"/>
        <v>2865746</v>
      </c>
      <c r="Q1390" s="13">
        <f>SUMIFS(M:M,E:E,Online_eCommerce[[#This Row],[Status]])</f>
        <v>28620410</v>
      </c>
      <c r="R1390" s="13">
        <f>SUMIFS(L:L,H:H,Online_eCommerce[[#This Row],[Brand]])</f>
        <v>4528350</v>
      </c>
      <c r="S1390" s="13">
        <f>SUMIF(H:H,Online_eCommerce[[#This Row],[Brand]],M:M)</f>
        <v>5886855</v>
      </c>
      <c r="T1390" s="13">
        <f>SUMIF(N:N,Online_eCommerce[[#This Row],[Assigned Supervisor]],L:L)</f>
        <v>12100590</v>
      </c>
    </row>
    <row r="1391" spans="1:20" hidden="1" x14ac:dyDescent="0.3">
      <c r="A1391" t="s">
        <v>2128</v>
      </c>
      <c r="B1391" t="s">
        <v>135</v>
      </c>
      <c r="C1391" t="s">
        <v>38</v>
      </c>
      <c r="D1391" t="s">
        <v>2119</v>
      </c>
      <c r="E1391" t="s">
        <v>96</v>
      </c>
      <c r="F1391" t="s">
        <v>2129</v>
      </c>
      <c r="G1391" t="s">
        <v>54</v>
      </c>
      <c r="H1391" t="s">
        <v>55</v>
      </c>
      <c r="I1391">
        <v>2100</v>
      </c>
      <c r="J1391">
        <v>2730</v>
      </c>
      <c r="K1391">
        <v>4</v>
      </c>
      <c r="L1391">
        <v>8400</v>
      </c>
      <c r="M1391">
        <v>10920</v>
      </c>
      <c r="N1391" t="s">
        <v>56</v>
      </c>
      <c r="O1391">
        <f t="shared" si="42"/>
        <v>2990</v>
      </c>
      <c r="P1391" s="13">
        <f t="shared" si="43"/>
        <v>1933997</v>
      </c>
      <c r="Q1391" s="13">
        <f>SUMIFS(M:M,E:E,Online_eCommerce[[#This Row],[Status]])</f>
        <v>21233992</v>
      </c>
      <c r="R1391" s="13">
        <f>SUMIFS(L:L,H:H,Online_eCommerce[[#This Row],[Brand]])</f>
        <v>2267380</v>
      </c>
      <c r="S1391" s="13">
        <f>SUMIF(H:H,Online_eCommerce[[#This Row],[Brand]],M:M)</f>
        <v>2947594</v>
      </c>
      <c r="T1391" s="13">
        <f>SUMIF(N:N,Online_eCommerce[[#This Row],[Assigned Supervisor]],L:L)</f>
        <v>11733610</v>
      </c>
    </row>
    <row r="1392" spans="1:20" hidden="1" x14ac:dyDescent="0.3">
      <c r="A1392" t="s">
        <v>2130</v>
      </c>
      <c r="B1392" t="s">
        <v>139</v>
      </c>
      <c r="C1392" t="s">
        <v>45</v>
      </c>
      <c r="D1392" t="s">
        <v>2119</v>
      </c>
      <c r="E1392" t="s">
        <v>18</v>
      </c>
      <c r="F1392" t="s">
        <v>174</v>
      </c>
      <c r="G1392" t="s">
        <v>60</v>
      </c>
      <c r="H1392" t="s">
        <v>61</v>
      </c>
      <c r="I1392">
        <v>1150</v>
      </c>
      <c r="J1392">
        <v>1495</v>
      </c>
      <c r="K1392">
        <v>1</v>
      </c>
      <c r="L1392">
        <v>1150</v>
      </c>
      <c r="M1392">
        <v>1495</v>
      </c>
      <c r="N1392" t="s">
        <v>22</v>
      </c>
      <c r="O1392">
        <f t="shared" si="42"/>
        <v>3315</v>
      </c>
      <c r="P1392" s="13">
        <f t="shared" si="43"/>
        <v>2842554</v>
      </c>
      <c r="Q1392" s="13">
        <f>SUMIFS(M:M,E:E,Online_eCommerce[[#This Row],[Status]])</f>
        <v>28340455</v>
      </c>
      <c r="R1392" s="13">
        <f>SUMIFS(L:L,H:H,Online_eCommerce[[#This Row],[Brand]])</f>
        <v>10950150</v>
      </c>
      <c r="S1392" s="13">
        <f>SUMIF(H:H,Online_eCommerce[[#This Row],[Brand]],M:M)</f>
        <v>14235195</v>
      </c>
      <c r="T1392" s="13">
        <f>SUMIF(N:N,Online_eCommerce[[#This Row],[Assigned Supervisor]],L:L)</f>
        <v>13693220</v>
      </c>
    </row>
    <row r="1393" spans="1:20" hidden="1" x14ac:dyDescent="0.3">
      <c r="A1393" t="s">
        <v>2131</v>
      </c>
      <c r="B1393" t="s">
        <v>144</v>
      </c>
      <c r="C1393" t="s">
        <v>52</v>
      </c>
      <c r="D1393" t="s">
        <v>2119</v>
      </c>
      <c r="E1393" t="s">
        <v>161</v>
      </c>
      <c r="F1393" t="s">
        <v>179</v>
      </c>
      <c r="G1393" t="s">
        <v>66</v>
      </c>
      <c r="H1393" t="s">
        <v>21</v>
      </c>
      <c r="I1393">
        <v>350</v>
      </c>
      <c r="J1393">
        <v>455</v>
      </c>
      <c r="K1393">
        <v>2</v>
      </c>
      <c r="L1393">
        <v>700</v>
      </c>
      <c r="M1393">
        <v>910</v>
      </c>
      <c r="N1393" t="s">
        <v>28</v>
      </c>
      <c r="O1393">
        <f t="shared" si="42"/>
        <v>1690</v>
      </c>
      <c r="P1393" s="13">
        <f t="shared" si="43"/>
        <v>1955044</v>
      </c>
      <c r="Q1393" s="13">
        <f>SUMIFS(M:M,E:E,Online_eCommerce[[#This Row],[Status]])</f>
        <v>21103186</v>
      </c>
      <c r="R1393" s="13">
        <f>SUMIFS(L:L,H:H,Online_eCommerce[[#This Row],[Brand]])</f>
        <v>12435650</v>
      </c>
      <c r="S1393" s="13">
        <f>SUMIF(H:H,Online_eCommerce[[#This Row],[Brand]],M:M)</f>
        <v>16166345</v>
      </c>
      <c r="T1393" s="13">
        <f>SUMIF(N:N,Online_eCommerce[[#This Row],[Assigned Supervisor]],L:L)</f>
        <v>12220830</v>
      </c>
    </row>
    <row r="1394" spans="1:20" x14ac:dyDescent="0.3">
      <c r="A1394" t="s">
        <v>2132</v>
      </c>
      <c r="B1394" t="s">
        <v>149</v>
      </c>
      <c r="C1394" t="s">
        <v>58</v>
      </c>
      <c r="D1394" t="s">
        <v>2119</v>
      </c>
      <c r="E1394" t="s">
        <v>46</v>
      </c>
      <c r="F1394" t="s">
        <v>183</v>
      </c>
      <c r="G1394" t="s">
        <v>71</v>
      </c>
      <c r="H1394" t="s">
        <v>61</v>
      </c>
      <c r="I1394">
        <v>9500</v>
      </c>
      <c r="J1394">
        <v>12350</v>
      </c>
      <c r="K1394">
        <v>1</v>
      </c>
      <c r="L1394">
        <v>9500</v>
      </c>
      <c r="M1394">
        <v>12350</v>
      </c>
      <c r="N1394" t="s">
        <v>35</v>
      </c>
      <c r="O1394">
        <f t="shared" si="42"/>
        <v>9750</v>
      </c>
      <c r="P1394" s="13">
        <f t="shared" si="43"/>
        <v>2629211</v>
      </c>
      <c r="Q1394" s="13">
        <f>SUMIFS(M:M,E:E,Online_eCommerce[[#This Row],[Status]])</f>
        <v>28620410</v>
      </c>
      <c r="R1394" s="13">
        <f>SUMIFS(L:L,H:H,Online_eCommerce[[#This Row],[Brand]])</f>
        <v>10950150</v>
      </c>
      <c r="S1394" s="13">
        <f>SUMIF(H:H,Online_eCommerce[[#This Row],[Brand]],M:M)</f>
        <v>14235195</v>
      </c>
      <c r="T1394" s="13">
        <f>SUMIF(N:N,Online_eCommerce[[#This Row],[Assigned Supervisor]],L:L)</f>
        <v>14373360</v>
      </c>
    </row>
    <row r="1395" spans="1:20" hidden="1" x14ac:dyDescent="0.3">
      <c r="A1395" t="s">
        <v>2133</v>
      </c>
      <c r="B1395" t="s">
        <v>154</v>
      </c>
      <c r="C1395" t="s">
        <v>63</v>
      </c>
      <c r="D1395" t="s">
        <v>2119</v>
      </c>
      <c r="E1395" t="s">
        <v>96</v>
      </c>
      <c r="F1395" t="s">
        <v>2134</v>
      </c>
      <c r="G1395" t="s">
        <v>77</v>
      </c>
      <c r="H1395" t="s">
        <v>142</v>
      </c>
      <c r="I1395">
        <v>10000</v>
      </c>
      <c r="J1395">
        <v>13000</v>
      </c>
      <c r="K1395">
        <v>4</v>
      </c>
      <c r="L1395">
        <v>40000</v>
      </c>
      <c r="M1395">
        <v>52000</v>
      </c>
      <c r="N1395" t="s">
        <v>42</v>
      </c>
      <c r="O1395">
        <f t="shared" si="42"/>
        <v>39000</v>
      </c>
      <c r="P1395" s="13">
        <f t="shared" si="43"/>
        <v>2016131</v>
      </c>
      <c r="Q1395" s="13">
        <f>SUMIFS(M:M,E:E,Online_eCommerce[[#This Row],[Status]])</f>
        <v>21233992</v>
      </c>
      <c r="R1395" s="13">
        <f>SUMIFS(L:L,H:H,Online_eCommerce[[#This Row],[Brand]])</f>
        <v>6192500</v>
      </c>
      <c r="S1395" s="13">
        <f>SUMIF(H:H,Online_eCommerce[[#This Row],[Brand]],M:M)</f>
        <v>8050250</v>
      </c>
      <c r="T1395" s="13">
        <f>SUMIF(N:N,Online_eCommerce[[#This Row],[Assigned Supervisor]],L:L)</f>
        <v>12261500</v>
      </c>
    </row>
    <row r="1396" spans="1:20" hidden="1" x14ac:dyDescent="0.3">
      <c r="A1396" t="s">
        <v>2135</v>
      </c>
      <c r="B1396" t="s">
        <v>159</v>
      </c>
      <c r="C1396" t="s">
        <v>68</v>
      </c>
      <c r="D1396" t="s">
        <v>2119</v>
      </c>
      <c r="E1396" t="s">
        <v>18</v>
      </c>
      <c r="F1396" t="s">
        <v>2136</v>
      </c>
      <c r="G1396" t="s">
        <v>20</v>
      </c>
      <c r="H1396" t="s">
        <v>21</v>
      </c>
      <c r="I1396">
        <v>6500</v>
      </c>
      <c r="J1396">
        <v>8450</v>
      </c>
      <c r="K1396">
        <v>1</v>
      </c>
      <c r="L1396">
        <v>6500</v>
      </c>
      <c r="M1396">
        <v>8450</v>
      </c>
      <c r="N1396" t="s">
        <v>50</v>
      </c>
      <c r="O1396">
        <f t="shared" si="42"/>
        <v>8450</v>
      </c>
      <c r="P1396" s="13">
        <f t="shared" si="43"/>
        <v>2974621</v>
      </c>
      <c r="Q1396" s="13">
        <f>SUMIFS(M:M,E:E,Online_eCommerce[[#This Row],[Status]])</f>
        <v>28340455</v>
      </c>
      <c r="R1396" s="13">
        <f>SUMIFS(L:L,H:H,Online_eCommerce[[#This Row],[Brand]])</f>
        <v>12435650</v>
      </c>
      <c r="S1396" s="13">
        <f>SUMIF(H:H,Online_eCommerce[[#This Row],[Brand]],M:M)</f>
        <v>16166345</v>
      </c>
      <c r="T1396" s="13">
        <f>SUMIF(N:N,Online_eCommerce[[#This Row],[Assigned Supervisor]],L:L)</f>
        <v>12100590</v>
      </c>
    </row>
    <row r="1397" spans="1:20" hidden="1" x14ac:dyDescent="0.3">
      <c r="A1397" t="s">
        <v>2137</v>
      </c>
      <c r="B1397" t="s">
        <v>139</v>
      </c>
      <c r="C1397" t="s">
        <v>74</v>
      </c>
      <c r="D1397" t="s">
        <v>2119</v>
      </c>
      <c r="E1397" t="s">
        <v>161</v>
      </c>
      <c r="F1397" t="s">
        <v>2138</v>
      </c>
      <c r="G1397" t="s">
        <v>26</v>
      </c>
      <c r="H1397" t="s">
        <v>27</v>
      </c>
      <c r="I1397">
        <v>8500</v>
      </c>
      <c r="J1397">
        <v>11050</v>
      </c>
      <c r="K1397">
        <v>2</v>
      </c>
      <c r="L1397">
        <v>17000</v>
      </c>
      <c r="M1397">
        <v>22100</v>
      </c>
      <c r="N1397" t="s">
        <v>56</v>
      </c>
      <c r="O1397">
        <f t="shared" si="42"/>
        <v>33150</v>
      </c>
      <c r="P1397" s="13">
        <f t="shared" si="43"/>
        <v>2144701</v>
      </c>
      <c r="Q1397" s="13">
        <f>SUMIFS(M:M,E:E,Online_eCommerce[[#This Row],[Status]])</f>
        <v>21103186</v>
      </c>
      <c r="R1397" s="13">
        <f>SUMIFS(L:L,H:H,Online_eCommerce[[#This Row],[Brand]])</f>
        <v>14431000</v>
      </c>
      <c r="S1397" s="13">
        <f>SUMIF(H:H,Online_eCommerce[[#This Row],[Brand]],M:M)</f>
        <v>18760300</v>
      </c>
      <c r="T1397" s="13">
        <f>SUMIF(N:N,Online_eCommerce[[#This Row],[Assigned Supervisor]],L:L)</f>
        <v>11733610</v>
      </c>
    </row>
    <row r="1398" spans="1:20" x14ac:dyDescent="0.3">
      <c r="A1398" t="s">
        <v>2139</v>
      </c>
      <c r="B1398" t="s">
        <v>144</v>
      </c>
      <c r="C1398" t="s">
        <v>81</v>
      </c>
      <c r="D1398" t="s">
        <v>2119</v>
      </c>
      <c r="E1398" t="s">
        <v>46</v>
      </c>
      <c r="F1398" t="s">
        <v>32</v>
      </c>
      <c r="G1398" t="s">
        <v>33</v>
      </c>
      <c r="H1398" t="s">
        <v>34</v>
      </c>
      <c r="I1398">
        <v>7000</v>
      </c>
      <c r="J1398">
        <v>9100</v>
      </c>
      <c r="K1398">
        <v>1</v>
      </c>
      <c r="L1398">
        <v>7000</v>
      </c>
      <c r="M1398">
        <v>9100</v>
      </c>
      <c r="N1398" t="s">
        <v>22</v>
      </c>
      <c r="O1398">
        <f t="shared" si="42"/>
        <v>18200</v>
      </c>
      <c r="P1398" s="13">
        <f t="shared" si="43"/>
        <v>2595632</v>
      </c>
      <c r="Q1398" s="13">
        <f>SUMIFS(M:M,E:E,Online_eCommerce[[#This Row],[Status]])</f>
        <v>28620410</v>
      </c>
      <c r="R1398" s="13">
        <f>SUMIFS(L:L,H:H,Online_eCommerce[[#This Row],[Brand]])</f>
        <v>10087000</v>
      </c>
      <c r="S1398" s="13">
        <f>SUMIF(H:H,Online_eCommerce[[#This Row],[Brand]],M:M)</f>
        <v>13113100</v>
      </c>
      <c r="T1398" s="13">
        <f>SUMIF(N:N,Online_eCommerce[[#This Row],[Assigned Supervisor]],L:L)</f>
        <v>13693220</v>
      </c>
    </row>
    <row r="1399" spans="1:20" hidden="1" x14ac:dyDescent="0.3">
      <c r="A1399" t="s">
        <v>2140</v>
      </c>
      <c r="B1399" t="s">
        <v>171</v>
      </c>
      <c r="C1399" t="s">
        <v>86</v>
      </c>
      <c r="D1399" t="s">
        <v>2119</v>
      </c>
      <c r="E1399" t="s">
        <v>96</v>
      </c>
      <c r="F1399" t="s">
        <v>2141</v>
      </c>
      <c r="G1399" t="s">
        <v>256</v>
      </c>
      <c r="H1399" t="s">
        <v>41</v>
      </c>
      <c r="I1399">
        <v>6550</v>
      </c>
      <c r="J1399">
        <v>8515</v>
      </c>
      <c r="K1399">
        <v>2</v>
      </c>
      <c r="L1399">
        <v>13100</v>
      </c>
      <c r="M1399">
        <v>17030</v>
      </c>
      <c r="N1399" t="s">
        <v>28</v>
      </c>
      <c r="O1399">
        <f t="shared" si="42"/>
        <v>9100</v>
      </c>
      <c r="P1399" s="13">
        <f t="shared" si="43"/>
        <v>1941225</v>
      </c>
      <c r="Q1399" s="13">
        <f>SUMIFS(M:M,E:E,Online_eCommerce[[#This Row],[Status]])</f>
        <v>21233992</v>
      </c>
      <c r="R1399" s="13">
        <f>SUMIFS(L:L,H:H,Online_eCommerce[[#This Row],[Brand]])</f>
        <v>4260400</v>
      </c>
      <c r="S1399" s="13">
        <f>SUMIF(H:H,Online_eCommerce[[#This Row],[Brand]],M:M)</f>
        <v>5538520</v>
      </c>
      <c r="T1399" s="13">
        <f>SUMIF(N:N,Online_eCommerce[[#This Row],[Assigned Supervisor]],L:L)</f>
        <v>12220830</v>
      </c>
    </row>
    <row r="1400" spans="1:20" hidden="1" x14ac:dyDescent="0.3">
      <c r="A1400" t="s">
        <v>2142</v>
      </c>
      <c r="B1400" t="s">
        <v>176</v>
      </c>
      <c r="C1400" t="s">
        <v>91</v>
      </c>
      <c r="D1400" t="s">
        <v>2119</v>
      </c>
      <c r="E1400" t="s">
        <v>18</v>
      </c>
      <c r="F1400" t="s">
        <v>47</v>
      </c>
      <c r="G1400" t="s">
        <v>259</v>
      </c>
      <c r="H1400" t="s">
        <v>49</v>
      </c>
      <c r="I1400">
        <v>7650</v>
      </c>
      <c r="J1400">
        <v>9945</v>
      </c>
      <c r="K1400">
        <v>2</v>
      </c>
      <c r="L1400">
        <v>15300</v>
      </c>
      <c r="M1400">
        <v>19890</v>
      </c>
      <c r="N1400" t="s">
        <v>35</v>
      </c>
      <c r="O1400">
        <f t="shared" si="42"/>
        <v>11700</v>
      </c>
      <c r="P1400" s="13">
        <f t="shared" si="43"/>
        <v>2731963</v>
      </c>
      <c r="Q1400" s="13">
        <f>SUMIFS(M:M,E:E,Online_eCommerce[[#This Row],[Status]])</f>
        <v>28340455</v>
      </c>
      <c r="R1400" s="13">
        <f>SUMIFS(L:L,H:H,Online_eCommerce[[#This Row],[Brand]])</f>
        <v>4528350</v>
      </c>
      <c r="S1400" s="13">
        <f>SUMIF(H:H,Online_eCommerce[[#This Row],[Brand]],M:M)</f>
        <v>5886855</v>
      </c>
      <c r="T1400" s="13">
        <f>SUMIF(N:N,Online_eCommerce[[#This Row],[Assigned Supervisor]],L:L)</f>
        <v>14373360</v>
      </c>
    </row>
    <row r="1401" spans="1:20" hidden="1" x14ac:dyDescent="0.3">
      <c r="A1401" t="s">
        <v>2143</v>
      </c>
      <c r="B1401" t="s">
        <v>276</v>
      </c>
      <c r="C1401" t="s">
        <v>94</v>
      </c>
      <c r="D1401" t="s">
        <v>2119</v>
      </c>
      <c r="E1401" t="s">
        <v>161</v>
      </c>
      <c r="F1401" t="s">
        <v>53</v>
      </c>
      <c r="G1401" t="s">
        <v>54</v>
      </c>
      <c r="H1401" t="s">
        <v>55</v>
      </c>
      <c r="I1401">
        <v>1150</v>
      </c>
      <c r="J1401">
        <v>1495</v>
      </c>
      <c r="K1401">
        <v>2</v>
      </c>
      <c r="L1401">
        <v>2300</v>
      </c>
      <c r="M1401">
        <v>2990</v>
      </c>
      <c r="N1401" t="s">
        <v>42</v>
      </c>
      <c r="O1401">
        <f t="shared" si="42"/>
        <v>2990</v>
      </c>
      <c r="P1401" s="13">
        <f t="shared" si="43"/>
        <v>1868256</v>
      </c>
      <c r="Q1401" s="13">
        <f>SUMIFS(M:M,E:E,Online_eCommerce[[#This Row],[Status]])</f>
        <v>21103186</v>
      </c>
      <c r="R1401" s="13">
        <f>SUMIFS(L:L,H:H,Online_eCommerce[[#This Row],[Brand]])</f>
        <v>2267380</v>
      </c>
      <c r="S1401" s="13">
        <f>SUMIF(H:H,Online_eCommerce[[#This Row],[Brand]],M:M)</f>
        <v>2947594</v>
      </c>
      <c r="T1401" s="13">
        <f>SUMIF(N:N,Online_eCommerce[[#This Row],[Assigned Supervisor]],L:L)</f>
        <v>12261500</v>
      </c>
    </row>
    <row r="1402" spans="1:20" x14ac:dyDescent="0.3">
      <c r="A1402" t="s">
        <v>2144</v>
      </c>
      <c r="B1402" t="s">
        <v>280</v>
      </c>
      <c r="C1402" t="s">
        <v>99</v>
      </c>
      <c r="D1402" t="s">
        <v>2119</v>
      </c>
      <c r="E1402" t="s">
        <v>46</v>
      </c>
      <c r="F1402" t="s">
        <v>59</v>
      </c>
      <c r="G1402" t="s">
        <v>60</v>
      </c>
      <c r="H1402" t="s">
        <v>61</v>
      </c>
      <c r="I1402">
        <v>850</v>
      </c>
      <c r="J1402">
        <v>1105</v>
      </c>
      <c r="K1402">
        <v>2</v>
      </c>
      <c r="L1402">
        <v>1700</v>
      </c>
      <c r="M1402">
        <v>2210</v>
      </c>
      <c r="N1402" t="s">
        <v>50</v>
      </c>
      <c r="O1402">
        <f t="shared" si="42"/>
        <v>3315</v>
      </c>
      <c r="P1402" s="13">
        <f t="shared" si="43"/>
        <v>2651233</v>
      </c>
      <c r="Q1402" s="13">
        <f>SUMIFS(M:M,E:E,Online_eCommerce[[#This Row],[Status]])</f>
        <v>28620410</v>
      </c>
      <c r="R1402" s="13">
        <f>SUMIFS(L:L,H:H,Online_eCommerce[[#This Row],[Brand]])</f>
        <v>10950150</v>
      </c>
      <c r="S1402" s="13">
        <f>SUMIF(H:H,Online_eCommerce[[#This Row],[Brand]],M:M)</f>
        <v>14235195</v>
      </c>
      <c r="T1402" s="13">
        <f>SUMIF(N:N,Online_eCommerce[[#This Row],[Assigned Supervisor]],L:L)</f>
        <v>12100590</v>
      </c>
    </row>
    <row r="1403" spans="1:20" hidden="1" x14ac:dyDescent="0.3">
      <c r="A1403" t="s">
        <v>2145</v>
      </c>
      <c r="B1403" t="s">
        <v>283</v>
      </c>
      <c r="C1403" t="s">
        <v>105</v>
      </c>
      <c r="D1403" t="s">
        <v>2119</v>
      </c>
      <c r="E1403" t="s">
        <v>96</v>
      </c>
      <c r="F1403" t="s">
        <v>65</v>
      </c>
      <c r="G1403" t="s">
        <v>66</v>
      </c>
      <c r="H1403" t="s">
        <v>21</v>
      </c>
      <c r="I1403">
        <v>650</v>
      </c>
      <c r="J1403">
        <v>845</v>
      </c>
      <c r="K1403">
        <v>3</v>
      </c>
      <c r="L1403">
        <v>1950</v>
      </c>
      <c r="M1403">
        <v>2535</v>
      </c>
      <c r="N1403" t="s">
        <v>56</v>
      </c>
      <c r="O1403">
        <f t="shared" si="42"/>
        <v>1690</v>
      </c>
      <c r="P1403" s="13">
        <f t="shared" si="43"/>
        <v>1866852</v>
      </c>
      <c r="Q1403" s="13">
        <f>SUMIFS(M:M,E:E,Online_eCommerce[[#This Row],[Status]])</f>
        <v>21233992</v>
      </c>
      <c r="R1403" s="13">
        <f>SUMIFS(L:L,H:H,Online_eCommerce[[#This Row],[Brand]])</f>
        <v>12435650</v>
      </c>
      <c r="S1403" s="13">
        <f>SUMIF(H:H,Online_eCommerce[[#This Row],[Brand]],M:M)</f>
        <v>16166345</v>
      </c>
      <c r="T1403" s="13">
        <f>SUMIF(N:N,Online_eCommerce[[#This Row],[Assigned Supervisor]],L:L)</f>
        <v>11733610</v>
      </c>
    </row>
    <row r="1404" spans="1:20" hidden="1" x14ac:dyDescent="0.3">
      <c r="A1404" t="s">
        <v>2146</v>
      </c>
      <c r="B1404" t="s">
        <v>287</v>
      </c>
      <c r="C1404" t="s">
        <v>110</v>
      </c>
      <c r="D1404" t="s">
        <v>2119</v>
      </c>
      <c r="E1404" t="s">
        <v>18</v>
      </c>
      <c r="F1404" t="s">
        <v>70</v>
      </c>
      <c r="G1404" t="s">
        <v>71</v>
      </c>
      <c r="H1404" t="s">
        <v>61</v>
      </c>
      <c r="I1404">
        <v>7500</v>
      </c>
      <c r="J1404">
        <v>9750</v>
      </c>
      <c r="K1404">
        <v>4</v>
      </c>
      <c r="L1404">
        <v>30000</v>
      </c>
      <c r="M1404">
        <v>39000</v>
      </c>
      <c r="N1404" t="s">
        <v>22</v>
      </c>
      <c r="O1404">
        <f t="shared" si="42"/>
        <v>9750</v>
      </c>
      <c r="P1404" s="13">
        <f t="shared" si="43"/>
        <v>2598635</v>
      </c>
      <c r="Q1404" s="13">
        <f>SUMIFS(M:M,E:E,Online_eCommerce[[#This Row],[Status]])</f>
        <v>28340455</v>
      </c>
      <c r="R1404" s="13">
        <f>SUMIFS(L:L,H:H,Online_eCommerce[[#This Row],[Brand]])</f>
        <v>10950150</v>
      </c>
      <c r="S1404" s="13">
        <f>SUMIF(H:H,Online_eCommerce[[#This Row],[Brand]],M:M)</f>
        <v>14235195</v>
      </c>
      <c r="T1404" s="13">
        <f>SUMIF(N:N,Online_eCommerce[[#This Row],[Assigned Supervisor]],L:L)</f>
        <v>13693220</v>
      </c>
    </row>
    <row r="1405" spans="1:20" hidden="1" x14ac:dyDescent="0.3">
      <c r="A1405" t="s">
        <v>2147</v>
      </c>
      <c r="B1405" t="s">
        <v>290</v>
      </c>
      <c r="C1405" t="s">
        <v>115</v>
      </c>
      <c r="D1405" t="s">
        <v>2119</v>
      </c>
      <c r="E1405" t="s">
        <v>161</v>
      </c>
      <c r="F1405" t="s">
        <v>2134</v>
      </c>
      <c r="G1405" t="s">
        <v>77</v>
      </c>
      <c r="H1405" t="s">
        <v>78</v>
      </c>
      <c r="I1405">
        <v>10000</v>
      </c>
      <c r="J1405">
        <v>13000</v>
      </c>
      <c r="K1405">
        <v>2</v>
      </c>
      <c r="L1405">
        <v>20000</v>
      </c>
      <c r="M1405">
        <v>26000</v>
      </c>
      <c r="N1405" t="s">
        <v>28</v>
      </c>
      <c r="O1405">
        <f t="shared" si="42"/>
        <v>39000</v>
      </c>
      <c r="P1405" s="13">
        <f t="shared" si="43"/>
        <v>2050178</v>
      </c>
      <c r="Q1405" s="13">
        <f>SUMIFS(M:M,E:E,Online_eCommerce[[#This Row],[Status]])</f>
        <v>21103186</v>
      </c>
      <c r="R1405" s="13">
        <f>SUMIFS(L:L,H:H,Online_eCommerce[[#This Row],[Brand]])</f>
        <v>3720000</v>
      </c>
      <c r="S1405" s="13">
        <f>SUMIF(H:H,Online_eCommerce[[#This Row],[Brand]],M:M)</f>
        <v>4836000</v>
      </c>
      <c r="T1405" s="13">
        <f>SUMIF(N:N,Online_eCommerce[[#This Row],[Assigned Supervisor]],L:L)</f>
        <v>12220830</v>
      </c>
    </row>
    <row r="1406" spans="1:20" x14ac:dyDescent="0.3">
      <c r="A1406" t="s">
        <v>2148</v>
      </c>
      <c r="B1406" t="s">
        <v>15</v>
      </c>
      <c r="C1406" t="s">
        <v>120</v>
      </c>
      <c r="D1406" t="s">
        <v>2119</v>
      </c>
      <c r="E1406" t="s">
        <v>46</v>
      </c>
      <c r="F1406" t="s">
        <v>2149</v>
      </c>
      <c r="G1406" t="s">
        <v>20</v>
      </c>
      <c r="H1406" t="s">
        <v>21</v>
      </c>
      <c r="I1406">
        <v>10500</v>
      </c>
      <c r="J1406">
        <v>13650</v>
      </c>
      <c r="K1406">
        <v>2</v>
      </c>
      <c r="L1406">
        <v>21000</v>
      </c>
      <c r="M1406">
        <v>27300</v>
      </c>
      <c r="N1406" t="s">
        <v>35</v>
      </c>
      <c r="O1406">
        <f t="shared" si="42"/>
        <v>8450</v>
      </c>
      <c r="P1406" s="13">
        <f t="shared" si="43"/>
        <v>2734212</v>
      </c>
      <c r="Q1406" s="13">
        <f>SUMIFS(M:M,E:E,Online_eCommerce[[#This Row],[Status]])</f>
        <v>28620410</v>
      </c>
      <c r="R1406" s="13">
        <f>SUMIFS(L:L,H:H,Online_eCommerce[[#This Row],[Brand]])</f>
        <v>12435650</v>
      </c>
      <c r="S1406" s="13">
        <f>SUMIF(H:H,Online_eCommerce[[#This Row],[Brand]],M:M)</f>
        <v>16166345</v>
      </c>
      <c r="T1406" s="13">
        <f>SUMIF(N:N,Online_eCommerce[[#This Row],[Assigned Supervisor]],L:L)</f>
        <v>14373360</v>
      </c>
    </row>
    <row r="1407" spans="1:20" hidden="1" x14ac:dyDescent="0.3">
      <c r="A1407" t="s">
        <v>2150</v>
      </c>
      <c r="B1407" t="s">
        <v>202</v>
      </c>
      <c r="C1407" t="s">
        <v>125</v>
      </c>
      <c r="D1407" t="s">
        <v>2119</v>
      </c>
      <c r="E1407" t="s">
        <v>96</v>
      </c>
      <c r="F1407" t="s">
        <v>88</v>
      </c>
      <c r="G1407" t="s">
        <v>26</v>
      </c>
      <c r="H1407" t="s">
        <v>27</v>
      </c>
      <c r="I1407">
        <v>8500</v>
      </c>
      <c r="J1407">
        <v>11050</v>
      </c>
      <c r="K1407">
        <v>4</v>
      </c>
      <c r="L1407">
        <v>34000</v>
      </c>
      <c r="M1407">
        <v>44200</v>
      </c>
      <c r="N1407" t="s">
        <v>42</v>
      </c>
      <c r="O1407">
        <f t="shared" si="42"/>
        <v>33150</v>
      </c>
      <c r="P1407" s="13">
        <f t="shared" si="43"/>
        <v>2091154</v>
      </c>
      <c r="Q1407" s="13">
        <f>SUMIFS(M:M,E:E,Online_eCommerce[[#This Row],[Status]])</f>
        <v>21233992</v>
      </c>
      <c r="R1407" s="13">
        <f>SUMIFS(L:L,H:H,Online_eCommerce[[#This Row],[Brand]])</f>
        <v>14431000</v>
      </c>
      <c r="S1407" s="13">
        <f>SUMIF(H:H,Online_eCommerce[[#This Row],[Brand]],M:M)</f>
        <v>18760300</v>
      </c>
      <c r="T1407" s="13">
        <f>SUMIF(N:N,Online_eCommerce[[#This Row],[Assigned Supervisor]],L:L)</f>
        <v>12261500</v>
      </c>
    </row>
    <row r="1408" spans="1:20" hidden="1" x14ac:dyDescent="0.3">
      <c r="A1408" t="s">
        <v>2151</v>
      </c>
      <c r="B1408" t="s">
        <v>37</v>
      </c>
      <c r="C1408" t="s">
        <v>22</v>
      </c>
      <c r="D1408" t="s">
        <v>2119</v>
      </c>
      <c r="E1408" t="s">
        <v>18</v>
      </c>
      <c r="F1408" t="s">
        <v>32</v>
      </c>
      <c r="G1408" t="s">
        <v>33</v>
      </c>
      <c r="H1408" t="s">
        <v>34</v>
      </c>
      <c r="I1408">
        <v>7000</v>
      </c>
      <c r="J1408">
        <v>9100</v>
      </c>
      <c r="K1408">
        <v>1</v>
      </c>
      <c r="L1408">
        <v>7000</v>
      </c>
      <c r="M1408">
        <v>9100</v>
      </c>
      <c r="N1408" t="s">
        <v>50</v>
      </c>
      <c r="O1408">
        <f t="shared" si="42"/>
        <v>18200</v>
      </c>
      <c r="P1408" s="13">
        <f t="shared" si="43"/>
        <v>2551588</v>
      </c>
      <c r="Q1408" s="13">
        <f>SUMIFS(M:M,E:E,Online_eCommerce[[#This Row],[Status]])</f>
        <v>28340455</v>
      </c>
      <c r="R1408" s="13">
        <f>SUMIFS(L:L,H:H,Online_eCommerce[[#This Row],[Brand]])</f>
        <v>10087000</v>
      </c>
      <c r="S1408" s="13">
        <f>SUMIF(H:H,Online_eCommerce[[#This Row],[Brand]],M:M)</f>
        <v>13113100</v>
      </c>
      <c r="T1408" s="13">
        <f>SUMIF(N:N,Online_eCommerce[[#This Row],[Assigned Supervisor]],L:L)</f>
        <v>12100590</v>
      </c>
    </row>
    <row r="1409" spans="1:20" hidden="1" x14ac:dyDescent="0.3">
      <c r="A1409" t="s">
        <v>2152</v>
      </c>
      <c r="B1409" t="s">
        <v>37</v>
      </c>
      <c r="C1409" t="s">
        <v>132</v>
      </c>
      <c r="D1409" t="s">
        <v>2119</v>
      </c>
      <c r="E1409" t="s">
        <v>161</v>
      </c>
      <c r="F1409" t="s">
        <v>2153</v>
      </c>
      <c r="G1409" t="s">
        <v>256</v>
      </c>
      <c r="H1409" t="s">
        <v>41</v>
      </c>
      <c r="I1409">
        <v>1680</v>
      </c>
      <c r="J1409">
        <v>2184</v>
      </c>
      <c r="K1409">
        <v>1</v>
      </c>
      <c r="L1409">
        <v>1680</v>
      </c>
      <c r="M1409">
        <v>2184</v>
      </c>
      <c r="N1409" t="s">
        <v>56</v>
      </c>
      <c r="O1409">
        <f t="shared" si="42"/>
        <v>9100</v>
      </c>
      <c r="P1409" s="13">
        <f t="shared" si="43"/>
        <v>1989065</v>
      </c>
      <c r="Q1409" s="13">
        <f>SUMIFS(M:M,E:E,Online_eCommerce[[#This Row],[Status]])</f>
        <v>21103186</v>
      </c>
      <c r="R1409" s="13">
        <f>SUMIFS(L:L,H:H,Online_eCommerce[[#This Row],[Brand]])</f>
        <v>4260400</v>
      </c>
      <c r="S1409" s="13">
        <f>SUMIF(H:H,Online_eCommerce[[#This Row],[Brand]],M:M)</f>
        <v>5538520</v>
      </c>
      <c r="T1409" s="13">
        <f>SUMIF(N:N,Online_eCommerce[[#This Row],[Assigned Supervisor]],L:L)</f>
        <v>11733610</v>
      </c>
    </row>
    <row r="1410" spans="1:20" x14ac:dyDescent="0.3">
      <c r="A1410" t="s">
        <v>2154</v>
      </c>
      <c r="B1410" t="s">
        <v>37</v>
      </c>
      <c r="C1410" t="s">
        <v>136</v>
      </c>
      <c r="D1410" t="s">
        <v>2119</v>
      </c>
      <c r="E1410" t="s">
        <v>46</v>
      </c>
      <c r="F1410" t="s">
        <v>101</v>
      </c>
      <c r="G1410" t="s">
        <v>259</v>
      </c>
      <c r="H1410" t="s">
        <v>102</v>
      </c>
      <c r="I1410">
        <v>6540</v>
      </c>
      <c r="J1410">
        <v>8502</v>
      </c>
      <c r="K1410">
        <v>1</v>
      </c>
      <c r="L1410">
        <v>6540</v>
      </c>
      <c r="M1410">
        <v>8502</v>
      </c>
      <c r="N1410" t="s">
        <v>22</v>
      </c>
      <c r="O1410">
        <f t="shared" ref="O1410:O1473" si="44">VLOOKUP(G1410,G:M,7,FALSE)</f>
        <v>11700</v>
      </c>
      <c r="P1410" s="13">
        <f t="shared" ref="P1410:P1473" si="45">SUMIFS(M:M,C:C,C1410)</f>
        <v>2775162</v>
      </c>
      <c r="Q1410" s="13">
        <f>SUMIFS(M:M,E:E,Online_eCommerce[[#This Row],[Status]])</f>
        <v>28620410</v>
      </c>
      <c r="R1410" s="13">
        <f>SUMIFS(L:L,H:H,Online_eCommerce[[#This Row],[Brand]])</f>
        <v>2465580</v>
      </c>
      <c r="S1410" s="13">
        <f>SUMIF(H:H,Online_eCommerce[[#This Row],[Brand]],M:M)</f>
        <v>3205254</v>
      </c>
      <c r="T1410" s="13">
        <f>SUMIF(N:N,Online_eCommerce[[#This Row],[Assigned Supervisor]],L:L)</f>
        <v>13693220</v>
      </c>
    </row>
    <row r="1411" spans="1:20" hidden="1" x14ac:dyDescent="0.3">
      <c r="A1411" t="s">
        <v>2155</v>
      </c>
      <c r="B1411" t="s">
        <v>37</v>
      </c>
      <c r="C1411" t="s">
        <v>140</v>
      </c>
      <c r="D1411" t="s">
        <v>2119</v>
      </c>
      <c r="E1411" t="s">
        <v>96</v>
      </c>
      <c r="F1411" t="s">
        <v>107</v>
      </c>
      <c r="G1411" t="s">
        <v>54</v>
      </c>
      <c r="H1411" t="s">
        <v>55</v>
      </c>
      <c r="I1411">
        <v>2680</v>
      </c>
      <c r="J1411">
        <v>3484</v>
      </c>
      <c r="K1411">
        <v>3</v>
      </c>
      <c r="L1411">
        <v>8040</v>
      </c>
      <c r="M1411">
        <v>10452</v>
      </c>
      <c r="N1411" t="s">
        <v>28</v>
      </c>
      <c r="O1411">
        <f t="shared" si="44"/>
        <v>2990</v>
      </c>
      <c r="P1411" s="13">
        <f t="shared" si="45"/>
        <v>2058264</v>
      </c>
      <c r="Q1411" s="13">
        <f>SUMIFS(M:M,E:E,Online_eCommerce[[#This Row],[Status]])</f>
        <v>21233992</v>
      </c>
      <c r="R1411" s="13">
        <f>SUMIFS(L:L,H:H,Online_eCommerce[[#This Row],[Brand]])</f>
        <v>2267380</v>
      </c>
      <c r="S1411" s="13">
        <f>SUMIF(H:H,Online_eCommerce[[#This Row],[Brand]],M:M)</f>
        <v>2947594</v>
      </c>
      <c r="T1411" s="13">
        <f>SUMIF(N:N,Online_eCommerce[[#This Row],[Assigned Supervisor]],L:L)</f>
        <v>12220830</v>
      </c>
    </row>
    <row r="1412" spans="1:20" hidden="1" x14ac:dyDescent="0.3">
      <c r="A1412" t="s">
        <v>2156</v>
      </c>
      <c r="B1412" t="s">
        <v>37</v>
      </c>
      <c r="C1412" t="s">
        <v>145</v>
      </c>
      <c r="D1412" t="s">
        <v>2119</v>
      </c>
      <c r="E1412" t="s">
        <v>18</v>
      </c>
      <c r="F1412" t="s">
        <v>112</v>
      </c>
      <c r="G1412" t="s">
        <v>71</v>
      </c>
      <c r="H1412" t="s">
        <v>21</v>
      </c>
      <c r="I1412">
        <v>8250</v>
      </c>
      <c r="J1412">
        <v>10725</v>
      </c>
      <c r="K1412">
        <v>4</v>
      </c>
      <c r="L1412">
        <v>33000</v>
      </c>
      <c r="M1412">
        <v>42900</v>
      </c>
      <c r="N1412" t="s">
        <v>35</v>
      </c>
      <c r="O1412">
        <f t="shared" si="44"/>
        <v>9750</v>
      </c>
      <c r="P1412" s="13">
        <f t="shared" si="45"/>
        <v>2757859</v>
      </c>
      <c r="Q1412" s="13">
        <f>SUMIFS(M:M,E:E,Online_eCommerce[[#This Row],[Status]])</f>
        <v>28340455</v>
      </c>
      <c r="R1412" s="13">
        <f>SUMIFS(L:L,H:H,Online_eCommerce[[#This Row],[Brand]])</f>
        <v>12435650</v>
      </c>
      <c r="S1412" s="13">
        <f>SUMIF(H:H,Online_eCommerce[[#This Row],[Brand]],M:M)</f>
        <v>16166345</v>
      </c>
      <c r="T1412" s="13">
        <f>SUMIF(N:N,Online_eCommerce[[#This Row],[Assigned Supervisor]],L:L)</f>
        <v>14373360</v>
      </c>
    </row>
    <row r="1413" spans="1:20" hidden="1" x14ac:dyDescent="0.3">
      <c r="A1413" t="s">
        <v>2157</v>
      </c>
      <c r="B1413" t="s">
        <v>37</v>
      </c>
      <c r="C1413" t="s">
        <v>150</v>
      </c>
      <c r="D1413" t="s">
        <v>2119</v>
      </c>
      <c r="E1413" t="s">
        <v>161</v>
      </c>
      <c r="F1413" t="s">
        <v>1697</v>
      </c>
      <c r="G1413" t="s">
        <v>40</v>
      </c>
      <c r="H1413" t="s">
        <v>21</v>
      </c>
      <c r="I1413">
        <v>2650</v>
      </c>
      <c r="J1413">
        <v>3445</v>
      </c>
      <c r="K1413">
        <v>1</v>
      </c>
      <c r="L1413">
        <v>2650</v>
      </c>
      <c r="M1413">
        <v>3445</v>
      </c>
      <c r="N1413" t="s">
        <v>42</v>
      </c>
      <c r="O1413">
        <f t="shared" si="44"/>
        <v>25545</v>
      </c>
      <c r="P1413" s="13">
        <f t="shared" si="45"/>
        <v>2154984</v>
      </c>
      <c r="Q1413" s="13">
        <f>SUMIFS(M:M,E:E,Online_eCommerce[[#This Row],[Status]])</f>
        <v>21103186</v>
      </c>
      <c r="R1413" s="13">
        <f>SUMIFS(L:L,H:H,Online_eCommerce[[#This Row],[Brand]])</f>
        <v>12435650</v>
      </c>
      <c r="S1413" s="13">
        <f>SUMIF(H:H,Online_eCommerce[[#This Row],[Brand]],M:M)</f>
        <v>16166345</v>
      </c>
      <c r="T1413" s="13">
        <f>SUMIF(N:N,Online_eCommerce[[#This Row],[Assigned Supervisor]],L:L)</f>
        <v>12261500</v>
      </c>
    </row>
    <row r="1414" spans="1:20" x14ac:dyDescent="0.3">
      <c r="A1414" t="s">
        <v>2158</v>
      </c>
      <c r="B1414" t="s">
        <v>37</v>
      </c>
      <c r="C1414" t="s">
        <v>155</v>
      </c>
      <c r="D1414" t="s">
        <v>2119</v>
      </c>
      <c r="E1414" t="s">
        <v>46</v>
      </c>
      <c r="F1414" t="s">
        <v>121</v>
      </c>
      <c r="G1414" t="s">
        <v>71</v>
      </c>
      <c r="H1414" t="s">
        <v>122</v>
      </c>
      <c r="I1414">
        <v>12550</v>
      </c>
      <c r="J1414">
        <v>16315</v>
      </c>
      <c r="K1414">
        <v>2</v>
      </c>
      <c r="L1414">
        <v>25100</v>
      </c>
      <c r="M1414">
        <v>32630</v>
      </c>
      <c r="N1414" t="s">
        <v>50</v>
      </c>
      <c r="O1414">
        <f t="shared" si="44"/>
        <v>9750</v>
      </c>
      <c r="P1414" s="13">
        <f t="shared" si="45"/>
        <v>2753348</v>
      </c>
      <c r="Q1414" s="13">
        <f>SUMIFS(M:M,E:E,Online_eCommerce[[#This Row],[Status]])</f>
        <v>28620410</v>
      </c>
      <c r="R1414" s="13">
        <f>SUMIFS(L:L,H:H,Online_eCommerce[[#This Row],[Brand]])</f>
        <v>5045100</v>
      </c>
      <c r="S1414" s="13">
        <f>SUMIF(H:H,Online_eCommerce[[#This Row],[Brand]],M:M)</f>
        <v>6558630</v>
      </c>
      <c r="T1414" s="13">
        <f>SUMIF(N:N,Online_eCommerce[[#This Row],[Assigned Supervisor]],L:L)</f>
        <v>12100590</v>
      </c>
    </row>
    <row r="1415" spans="1:20" hidden="1" x14ac:dyDescent="0.3">
      <c r="A1415" t="s">
        <v>2159</v>
      </c>
      <c r="B1415" t="s">
        <v>37</v>
      </c>
      <c r="C1415" t="s">
        <v>160</v>
      </c>
      <c r="D1415" t="s">
        <v>2119</v>
      </c>
      <c r="E1415" t="s">
        <v>96</v>
      </c>
      <c r="F1415" t="s">
        <v>126</v>
      </c>
      <c r="G1415" t="s">
        <v>26</v>
      </c>
      <c r="H1415" t="s">
        <v>27</v>
      </c>
      <c r="I1415">
        <v>14500</v>
      </c>
      <c r="J1415">
        <v>18850</v>
      </c>
      <c r="K1415">
        <v>3</v>
      </c>
      <c r="L1415">
        <v>43500</v>
      </c>
      <c r="M1415">
        <v>56550</v>
      </c>
      <c r="N1415" t="s">
        <v>56</v>
      </c>
      <c r="O1415">
        <f t="shared" si="44"/>
        <v>33150</v>
      </c>
      <c r="P1415" s="13">
        <f t="shared" si="45"/>
        <v>2303483</v>
      </c>
      <c r="Q1415" s="13">
        <f>SUMIFS(M:M,E:E,Online_eCommerce[[#This Row],[Status]])</f>
        <v>21233992</v>
      </c>
      <c r="R1415" s="13">
        <f>SUMIFS(L:L,H:H,Online_eCommerce[[#This Row],[Brand]])</f>
        <v>14431000</v>
      </c>
      <c r="S1415" s="13">
        <f>SUMIF(H:H,Online_eCommerce[[#This Row],[Brand]],M:M)</f>
        <v>18760300</v>
      </c>
      <c r="T1415" s="13">
        <f>SUMIF(N:N,Online_eCommerce[[#This Row],[Assigned Supervisor]],L:L)</f>
        <v>11733610</v>
      </c>
    </row>
    <row r="1416" spans="1:20" hidden="1" x14ac:dyDescent="0.3">
      <c r="A1416" t="s">
        <v>2160</v>
      </c>
      <c r="B1416" t="s">
        <v>37</v>
      </c>
      <c r="C1416" t="s">
        <v>165</v>
      </c>
      <c r="D1416" t="s">
        <v>2119</v>
      </c>
      <c r="E1416" t="s">
        <v>18</v>
      </c>
      <c r="F1416" t="s">
        <v>129</v>
      </c>
      <c r="G1416" t="s">
        <v>60</v>
      </c>
      <c r="H1416" t="s">
        <v>61</v>
      </c>
      <c r="I1416">
        <v>800</v>
      </c>
      <c r="J1416">
        <v>1040</v>
      </c>
      <c r="K1416">
        <v>1</v>
      </c>
      <c r="L1416">
        <v>800</v>
      </c>
      <c r="M1416">
        <v>1040</v>
      </c>
      <c r="N1416" t="s">
        <v>22</v>
      </c>
      <c r="O1416">
        <f t="shared" si="44"/>
        <v>3315</v>
      </c>
      <c r="P1416" s="13">
        <f t="shared" si="45"/>
        <v>2674087</v>
      </c>
      <c r="Q1416" s="13">
        <f>SUMIFS(M:M,E:E,Online_eCommerce[[#This Row],[Status]])</f>
        <v>28340455</v>
      </c>
      <c r="R1416" s="13">
        <f>SUMIFS(L:L,H:H,Online_eCommerce[[#This Row],[Brand]])</f>
        <v>10950150</v>
      </c>
      <c r="S1416" s="13">
        <f>SUMIF(H:H,Online_eCommerce[[#This Row],[Brand]],M:M)</f>
        <v>14235195</v>
      </c>
      <c r="T1416" s="13">
        <f>SUMIF(N:N,Online_eCommerce[[#This Row],[Assigned Supervisor]],L:L)</f>
        <v>13693220</v>
      </c>
    </row>
    <row r="1417" spans="1:20" hidden="1" x14ac:dyDescent="0.3">
      <c r="A1417" t="s">
        <v>2161</v>
      </c>
      <c r="B1417" t="s">
        <v>37</v>
      </c>
      <c r="C1417" t="s">
        <v>168</v>
      </c>
      <c r="D1417" t="s">
        <v>2119</v>
      </c>
      <c r="E1417" t="s">
        <v>161</v>
      </c>
      <c r="F1417" t="s">
        <v>133</v>
      </c>
      <c r="G1417" t="s">
        <v>66</v>
      </c>
      <c r="H1417" t="s">
        <v>21</v>
      </c>
      <c r="I1417">
        <v>600</v>
      </c>
      <c r="J1417">
        <v>780</v>
      </c>
      <c r="K1417">
        <v>3</v>
      </c>
      <c r="L1417">
        <v>1800</v>
      </c>
      <c r="M1417">
        <v>2340</v>
      </c>
      <c r="N1417" t="s">
        <v>28</v>
      </c>
      <c r="O1417">
        <f t="shared" si="44"/>
        <v>1690</v>
      </c>
      <c r="P1417" s="13">
        <f t="shared" si="45"/>
        <v>1937780</v>
      </c>
      <c r="Q1417" s="13">
        <f>SUMIFS(M:M,E:E,Online_eCommerce[[#This Row],[Status]])</f>
        <v>21103186</v>
      </c>
      <c r="R1417" s="13">
        <f>SUMIFS(L:L,H:H,Online_eCommerce[[#This Row],[Brand]])</f>
        <v>12435650</v>
      </c>
      <c r="S1417" s="13">
        <f>SUMIF(H:H,Online_eCommerce[[#This Row],[Brand]],M:M)</f>
        <v>16166345</v>
      </c>
      <c r="T1417" s="13">
        <f>SUMIF(N:N,Online_eCommerce[[#This Row],[Assigned Supervisor]],L:L)</f>
        <v>12220830</v>
      </c>
    </row>
    <row r="1418" spans="1:20" x14ac:dyDescent="0.3">
      <c r="A1418" t="s">
        <v>2162</v>
      </c>
      <c r="B1418" t="s">
        <v>37</v>
      </c>
      <c r="C1418" t="s">
        <v>172</v>
      </c>
      <c r="D1418" t="s">
        <v>2119</v>
      </c>
      <c r="E1418" t="s">
        <v>46</v>
      </c>
      <c r="F1418" t="s">
        <v>137</v>
      </c>
      <c r="G1418" t="s">
        <v>71</v>
      </c>
      <c r="H1418" t="s">
        <v>61</v>
      </c>
      <c r="I1418">
        <v>10500</v>
      </c>
      <c r="J1418">
        <v>13650</v>
      </c>
      <c r="K1418">
        <v>3</v>
      </c>
      <c r="L1418">
        <v>31500</v>
      </c>
      <c r="M1418">
        <v>40950</v>
      </c>
      <c r="N1418" t="s">
        <v>35</v>
      </c>
      <c r="O1418">
        <f t="shared" si="44"/>
        <v>9750</v>
      </c>
      <c r="P1418" s="13">
        <f t="shared" si="45"/>
        <v>2640274</v>
      </c>
      <c r="Q1418" s="13">
        <f>SUMIFS(M:M,E:E,Online_eCommerce[[#This Row],[Status]])</f>
        <v>28620410</v>
      </c>
      <c r="R1418" s="13">
        <f>SUMIFS(L:L,H:H,Online_eCommerce[[#This Row],[Brand]])</f>
        <v>10950150</v>
      </c>
      <c r="S1418" s="13">
        <f>SUMIF(H:H,Online_eCommerce[[#This Row],[Brand]],M:M)</f>
        <v>14235195</v>
      </c>
      <c r="T1418" s="13">
        <f>SUMIF(N:N,Online_eCommerce[[#This Row],[Assigned Supervisor]],L:L)</f>
        <v>14373360</v>
      </c>
    </row>
    <row r="1419" spans="1:20" hidden="1" x14ac:dyDescent="0.3">
      <c r="A1419" t="s">
        <v>2163</v>
      </c>
      <c r="B1419" t="s">
        <v>37</v>
      </c>
      <c r="C1419" t="s">
        <v>177</v>
      </c>
      <c r="D1419" t="s">
        <v>2119</v>
      </c>
      <c r="E1419" t="s">
        <v>96</v>
      </c>
      <c r="F1419" t="s">
        <v>2134</v>
      </c>
      <c r="G1419" t="s">
        <v>77</v>
      </c>
      <c r="H1419" t="s">
        <v>142</v>
      </c>
      <c r="I1419">
        <v>6500</v>
      </c>
      <c r="J1419">
        <v>8450</v>
      </c>
      <c r="K1419">
        <v>3</v>
      </c>
      <c r="L1419">
        <v>19500</v>
      </c>
      <c r="M1419">
        <v>25350</v>
      </c>
      <c r="N1419" t="s">
        <v>42</v>
      </c>
      <c r="O1419">
        <f t="shared" si="44"/>
        <v>39000</v>
      </c>
      <c r="P1419" s="13">
        <f t="shared" si="45"/>
        <v>1863810</v>
      </c>
      <c r="Q1419" s="13">
        <f>SUMIFS(M:M,E:E,Online_eCommerce[[#This Row],[Status]])</f>
        <v>21233992</v>
      </c>
      <c r="R1419" s="13">
        <f>SUMIFS(L:L,H:H,Online_eCommerce[[#This Row],[Brand]])</f>
        <v>6192500</v>
      </c>
      <c r="S1419" s="13">
        <f>SUMIF(H:H,Online_eCommerce[[#This Row],[Brand]],M:M)</f>
        <v>8050250</v>
      </c>
      <c r="T1419" s="13">
        <f>SUMIF(N:N,Online_eCommerce[[#This Row],[Assigned Supervisor]],L:L)</f>
        <v>12261500</v>
      </c>
    </row>
    <row r="1420" spans="1:20" hidden="1" x14ac:dyDescent="0.3">
      <c r="A1420" t="s">
        <v>2164</v>
      </c>
      <c r="B1420" t="s">
        <v>37</v>
      </c>
      <c r="C1420" t="s">
        <v>181</v>
      </c>
      <c r="D1420" t="s">
        <v>2119</v>
      </c>
      <c r="E1420" t="s">
        <v>18</v>
      </c>
      <c r="F1420" t="s">
        <v>2165</v>
      </c>
      <c r="G1420" t="s">
        <v>20</v>
      </c>
      <c r="H1420" t="s">
        <v>21</v>
      </c>
      <c r="I1420">
        <v>4500</v>
      </c>
      <c r="J1420">
        <v>5850</v>
      </c>
      <c r="K1420">
        <v>4</v>
      </c>
      <c r="L1420">
        <v>18000</v>
      </c>
      <c r="M1420">
        <v>23400</v>
      </c>
      <c r="N1420" t="s">
        <v>50</v>
      </c>
      <c r="O1420">
        <f t="shared" si="44"/>
        <v>8450</v>
      </c>
      <c r="P1420" s="13">
        <f t="shared" si="45"/>
        <v>2577458</v>
      </c>
      <c r="Q1420" s="13">
        <f>SUMIFS(M:M,E:E,Online_eCommerce[[#This Row],[Status]])</f>
        <v>28340455</v>
      </c>
      <c r="R1420" s="13">
        <f>SUMIFS(L:L,H:H,Online_eCommerce[[#This Row],[Brand]])</f>
        <v>12435650</v>
      </c>
      <c r="S1420" s="13">
        <f>SUMIF(H:H,Online_eCommerce[[#This Row],[Brand]],M:M)</f>
        <v>16166345</v>
      </c>
      <c r="T1420" s="13">
        <f>SUMIF(N:N,Online_eCommerce[[#This Row],[Assigned Supervisor]],L:L)</f>
        <v>12100590</v>
      </c>
    </row>
    <row r="1421" spans="1:20" hidden="1" x14ac:dyDescent="0.3">
      <c r="A1421" t="s">
        <v>2166</v>
      </c>
      <c r="B1421" t="s">
        <v>37</v>
      </c>
      <c r="C1421" t="s">
        <v>185</v>
      </c>
      <c r="D1421" t="s">
        <v>2119</v>
      </c>
      <c r="E1421" t="s">
        <v>161</v>
      </c>
      <c r="F1421" t="s">
        <v>152</v>
      </c>
      <c r="G1421" t="s">
        <v>26</v>
      </c>
      <c r="H1421" t="s">
        <v>27</v>
      </c>
      <c r="I1421">
        <v>8500</v>
      </c>
      <c r="J1421">
        <v>11050</v>
      </c>
      <c r="K1421">
        <v>2</v>
      </c>
      <c r="L1421">
        <v>17000</v>
      </c>
      <c r="M1421">
        <v>22100</v>
      </c>
      <c r="N1421" t="s">
        <v>56</v>
      </c>
      <c r="O1421">
        <f t="shared" si="44"/>
        <v>33150</v>
      </c>
      <c r="P1421" s="13">
        <f t="shared" si="45"/>
        <v>2091596</v>
      </c>
      <c r="Q1421" s="13">
        <f>SUMIFS(M:M,E:E,Online_eCommerce[[#This Row],[Status]])</f>
        <v>21103186</v>
      </c>
      <c r="R1421" s="13">
        <f>SUMIFS(L:L,H:H,Online_eCommerce[[#This Row],[Brand]])</f>
        <v>14431000</v>
      </c>
      <c r="S1421" s="13">
        <f>SUMIF(H:H,Online_eCommerce[[#This Row],[Brand]],M:M)</f>
        <v>18760300</v>
      </c>
      <c r="T1421" s="13">
        <f>SUMIF(N:N,Online_eCommerce[[#This Row],[Assigned Supervisor]],L:L)</f>
        <v>11733610</v>
      </c>
    </row>
    <row r="1422" spans="1:20" x14ac:dyDescent="0.3">
      <c r="A1422" t="s">
        <v>2167</v>
      </c>
      <c r="B1422" t="s">
        <v>109</v>
      </c>
      <c r="C1422" t="s">
        <v>189</v>
      </c>
      <c r="D1422" t="s">
        <v>2119</v>
      </c>
      <c r="E1422" t="s">
        <v>46</v>
      </c>
      <c r="F1422" t="s">
        <v>157</v>
      </c>
      <c r="G1422" t="s">
        <v>33</v>
      </c>
      <c r="H1422" t="s">
        <v>34</v>
      </c>
      <c r="I1422">
        <v>12500</v>
      </c>
      <c r="J1422">
        <v>16250</v>
      </c>
      <c r="K1422">
        <v>2</v>
      </c>
      <c r="L1422">
        <v>25000</v>
      </c>
      <c r="M1422">
        <v>32500</v>
      </c>
      <c r="N1422" t="s">
        <v>22</v>
      </c>
      <c r="O1422">
        <f t="shared" si="44"/>
        <v>18200</v>
      </c>
      <c r="P1422" s="13">
        <f t="shared" si="45"/>
        <v>2740777</v>
      </c>
      <c r="Q1422" s="13">
        <f>SUMIFS(M:M,E:E,Online_eCommerce[[#This Row],[Status]])</f>
        <v>28620410</v>
      </c>
      <c r="R1422" s="13">
        <f>SUMIFS(L:L,H:H,Online_eCommerce[[#This Row],[Brand]])</f>
        <v>10087000</v>
      </c>
      <c r="S1422" s="13">
        <f>SUMIF(H:H,Online_eCommerce[[#This Row],[Brand]],M:M)</f>
        <v>13113100</v>
      </c>
      <c r="T1422" s="13">
        <f>SUMIF(N:N,Online_eCommerce[[#This Row],[Assigned Supervisor]],L:L)</f>
        <v>13693220</v>
      </c>
    </row>
    <row r="1423" spans="1:20" hidden="1" x14ac:dyDescent="0.3">
      <c r="A1423" t="s">
        <v>2168</v>
      </c>
      <c r="B1423" t="s">
        <v>114</v>
      </c>
      <c r="C1423" t="s">
        <v>193</v>
      </c>
      <c r="D1423" t="s">
        <v>2169</v>
      </c>
      <c r="E1423" t="s">
        <v>96</v>
      </c>
      <c r="F1423" t="s">
        <v>1764</v>
      </c>
      <c r="G1423" t="s">
        <v>40</v>
      </c>
      <c r="H1423" t="s">
        <v>41</v>
      </c>
      <c r="I1423">
        <v>3500</v>
      </c>
      <c r="J1423">
        <v>4550</v>
      </c>
      <c r="K1423">
        <v>2</v>
      </c>
      <c r="L1423">
        <v>7000</v>
      </c>
      <c r="M1423">
        <v>9100</v>
      </c>
      <c r="N1423" t="s">
        <v>28</v>
      </c>
      <c r="O1423">
        <f t="shared" si="44"/>
        <v>25545</v>
      </c>
      <c r="P1423" s="13">
        <f t="shared" si="45"/>
        <v>2074774</v>
      </c>
      <c r="Q1423" s="13">
        <f>SUMIFS(M:M,E:E,Online_eCommerce[[#This Row],[Status]])</f>
        <v>21233992</v>
      </c>
      <c r="R1423" s="13">
        <f>SUMIFS(L:L,H:H,Online_eCommerce[[#This Row],[Brand]])</f>
        <v>4260400</v>
      </c>
      <c r="S1423" s="13">
        <f>SUMIF(H:H,Online_eCommerce[[#This Row],[Brand]],M:M)</f>
        <v>5538520</v>
      </c>
      <c r="T1423" s="13">
        <f>SUMIF(N:N,Online_eCommerce[[#This Row],[Assigned Supervisor]],L:L)</f>
        <v>12220830</v>
      </c>
    </row>
    <row r="1424" spans="1:20" hidden="1" x14ac:dyDescent="0.3">
      <c r="A1424" t="s">
        <v>2170</v>
      </c>
      <c r="B1424" t="s">
        <v>119</v>
      </c>
      <c r="C1424" t="s">
        <v>197</v>
      </c>
      <c r="D1424" t="s">
        <v>2171</v>
      </c>
      <c r="E1424" t="s">
        <v>18</v>
      </c>
      <c r="F1424" t="s">
        <v>166</v>
      </c>
      <c r="G1424" t="s">
        <v>334</v>
      </c>
      <c r="H1424" t="s">
        <v>49</v>
      </c>
      <c r="I1424">
        <v>4500</v>
      </c>
      <c r="J1424">
        <v>5850</v>
      </c>
      <c r="K1424">
        <v>4</v>
      </c>
      <c r="L1424">
        <v>18000</v>
      </c>
      <c r="M1424">
        <v>23400</v>
      </c>
      <c r="N1424" t="s">
        <v>35</v>
      </c>
      <c r="O1424">
        <f t="shared" si="44"/>
        <v>39780</v>
      </c>
      <c r="P1424" s="13">
        <f t="shared" si="45"/>
        <v>2829840</v>
      </c>
      <c r="Q1424" s="13">
        <f>SUMIFS(M:M,E:E,Online_eCommerce[[#This Row],[Status]])</f>
        <v>28340455</v>
      </c>
      <c r="R1424" s="13">
        <f>SUMIFS(L:L,H:H,Online_eCommerce[[#This Row],[Brand]])</f>
        <v>4528350</v>
      </c>
      <c r="S1424" s="13">
        <f>SUMIF(H:H,Online_eCommerce[[#This Row],[Brand]],M:M)</f>
        <v>5886855</v>
      </c>
      <c r="T1424" s="13">
        <f>SUMIF(N:N,Online_eCommerce[[#This Row],[Assigned Supervisor]],L:L)</f>
        <v>14373360</v>
      </c>
    </row>
    <row r="1425" spans="1:20" hidden="1" x14ac:dyDescent="0.3">
      <c r="A1425" t="s">
        <v>2172</v>
      </c>
      <c r="B1425" t="s">
        <v>124</v>
      </c>
      <c r="C1425" t="s">
        <v>199</v>
      </c>
      <c r="D1425" t="s">
        <v>2173</v>
      </c>
      <c r="E1425" t="s">
        <v>161</v>
      </c>
      <c r="F1425" t="s">
        <v>2174</v>
      </c>
      <c r="G1425" t="s">
        <v>54</v>
      </c>
      <c r="H1425" t="s">
        <v>55</v>
      </c>
      <c r="I1425">
        <v>2100</v>
      </c>
      <c r="J1425">
        <v>2730</v>
      </c>
      <c r="K1425">
        <v>3</v>
      </c>
      <c r="L1425">
        <v>6300</v>
      </c>
      <c r="M1425">
        <v>8190</v>
      </c>
      <c r="N1425" t="s">
        <v>42</v>
      </c>
      <c r="O1425">
        <f t="shared" si="44"/>
        <v>2990</v>
      </c>
      <c r="P1425" s="13">
        <f t="shared" si="45"/>
        <v>1947361</v>
      </c>
      <c r="Q1425" s="13">
        <f>SUMIFS(M:M,E:E,Online_eCommerce[[#This Row],[Status]])</f>
        <v>21103186</v>
      </c>
      <c r="R1425" s="13">
        <f>SUMIFS(L:L,H:H,Online_eCommerce[[#This Row],[Brand]])</f>
        <v>2267380</v>
      </c>
      <c r="S1425" s="13">
        <f>SUMIF(H:H,Online_eCommerce[[#This Row],[Brand]],M:M)</f>
        <v>2947594</v>
      </c>
      <c r="T1425" s="13">
        <f>SUMIF(N:N,Online_eCommerce[[#This Row],[Assigned Supervisor]],L:L)</f>
        <v>12261500</v>
      </c>
    </row>
    <row r="1426" spans="1:20" x14ac:dyDescent="0.3">
      <c r="A1426" t="s">
        <v>2175</v>
      </c>
      <c r="B1426" t="s">
        <v>128</v>
      </c>
      <c r="C1426" t="s">
        <v>203</v>
      </c>
      <c r="D1426" t="s">
        <v>2176</v>
      </c>
      <c r="E1426" t="s">
        <v>46</v>
      </c>
      <c r="F1426" t="s">
        <v>174</v>
      </c>
      <c r="G1426" t="s">
        <v>60</v>
      </c>
      <c r="H1426" t="s">
        <v>61</v>
      </c>
      <c r="I1426">
        <v>1150</v>
      </c>
      <c r="J1426">
        <v>1495</v>
      </c>
      <c r="K1426">
        <v>3</v>
      </c>
      <c r="L1426">
        <v>3450</v>
      </c>
      <c r="M1426">
        <v>4485</v>
      </c>
      <c r="N1426" t="s">
        <v>50</v>
      </c>
      <c r="O1426">
        <f t="shared" si="44"/>
        <v>3315</v>
      </c>
      <c r="P1426" s="13">
        <f t="shared" si="45"/>
        <v>2559635</v>
      </c>
      <c r="Q1426" s="13">
        <f>SUMIFS(M:M,E:E,Online_eCommerce[[#This Row],[Status]])</f>
        <v>28620410</v>
      </c>
      <c r="R1426" s="13">
        <f>SUMIFS(L:L,H:H,Online_eCommerce[[#This Row],[Brand]])</f>
        <v>10950150</v>
      </c>
      <c r="S1426" s="13">
        <f>SUMIF(H:H,Online_eCommerce[[#This Row],[Brand]],M:M)</f>
        <v>14235195</v>
      </c>
      <c r="T1426" s="13">
        <f>SUMIF(N:N,Online_eCommerce[[#This Row],[Assigned Supervisor]],L:L)</f>
        <v>12100590</v>
      </c>
    </row>
    <row r="1427" spans="1:20" hidden="1" x14ac:dyDescent="0.3">
      <c r="A1427" t="s">
        <v>2177</v>
      </c>
      <c r="B1427" t="s">
        <v>131</v>
      </c>
      <c r="C1427" t="s">
        <v>205</v>
      </c>
      <c r="D1427" t="s">
        <v>2178</v>
      </c>
      <c r="E1427" t="s">
        <v>96</v>
      </c>
      <c r="F1427" t="s">
        <v>179</v>
      </c>
      <c r="G1427" t="s">
        <v>66</v>
      </c>
      <c r="H1427" t="s">
        <v>21</v>
      </c>
      <c r="I1427">
        <v>350</v>
      </c>
      <c r="J1427">
        <v>455</v>
      </c>
      <c r="K1427">
        <v>4</v>
      </c>
      <c r="L1427">
        <v>1400</v>
      </c>
      <c r="M1427">
        <v>1820</v>
      </c>
      <c r="N1427" t="s">
        <v>56</v>
      </c>
      <c r="O1427">
        <f t="shared" si="44"/>
        <v>1690</v>
      </c>
      <c r="P1427" s="13">
        <f t="shared" si="45"/>
        <v>1983254</v>
      </c>
      <c r="Q1427" s="13">
        <f>SUMIFS(M:M,E:E,Online_eCommerce[[#This Row],[Status]])</f>
        <v>21233992</v>
      </c>
      <c r="R1427" s="13">
        <f>SUMIFS(L:L,H:H,Online_eCommerce[[#This Row],[Brand]])</f>
        <v>12435650</v>
      </c>
      <c r="S1427" s="13">
        <f>SUMIF(H:H,Online_eCommerce[[#This Row],[Brand]],M:M)</f>
        <v>16166345</v>
      </c>
      <c r="T1427" s="13">
        <f>SUMIF(N:N,Online_eCommerce[[#This Row],[Assigned Supervisor]],L:L)</f>
        <v>11733610</v>
      </c>
    </row>
    <row r="1428" spans="1:20" hidden="1" x14ac:dyDescent="0.3">
      <c r="A1428" t="s">
        <v>2179</v>
      </c>
      <c r="B1428" t="s">
        <v>135</v>
      </c>
      <c r="C1428" t="s">
        <v>208</v>
      </c>
      <c r="D1428" t="s">
        <v>2180</v>
      </c>
      <c r="E1428" t="s">
        <v>18</v>
      </c>
      <c r="F1428" t="s">
        <v>183</v>
      </c>
      <c r="G1428" t="s">
        <v>71</v>
      </c>
      <c r="H1428" t="s">
        <v>61</v>
      </c>
      <c r="I1428">
        <v>9500</v>
      </c>
      <c r="J1428">
        <v>12350</v>
      </c>
      <c r="K1428">
        <v>1</v>
      </c>
      <c r="L1428">
        <v>9500</v>
      </c>
      <c r="M1428">
        <v>12350</v>
      </c>
      <c r="N1428" t="s">
        <v>22</v>
      </c>
      <c r="O1428">
        <f t="shared" si="44"/>
        <v>9750</v>
      </c>
      <c r="P1428" s="13">
        <f t="shared" si="45"/>
        <v>2746575</v>
      </c>
      <c r="Q1428" s="13">
        <f>SUMIFS(M:M,E:E,Online_eCommerce[[#This Row],[Status]])</f>
        <v>28340455</v>
      </c>
      <c r="R1428" s="13">
        <f>SUMIFS(L:L,H:H,Online_eCommerce[[#This Row],[Brand]])</f>
        <v>10950150</v>
      </c>
      <c r="S1428" s="13">
        <f>SUMIF(H:H,Online_eCommerce[[#This Row],[Brand]],M:M)</f>
        <v>14235195</v>
      </c>
      <c r="T1428" s="13">
        <f>SUMIF(N:N,Online_eCommerce[[#This Row],[Assigned Supervisor]],L:L)</f>
        <v>13693220</v>
      </c>
    </row>
    <row r="1429" spans="1:20" hidden="1" x14ac:dyDescent="0.3">
      <c r="A1429" t="s">
        <v>2181</v>
      </c>
      <c r="B1429" t="s">
        <v>139</v>
      </c>
      <c r="C1429" t="s">
        <v>211</v>
      </c>
      <c r="D1429" t="s">
        <v>2182</v>
      </c>
      <c r="E1429" t="s">
        <v>161</v>
      </c>
      <c r="F1429" t="s">
        <v>2183</v>
      </c>
      <c r="G1429" t="s">
        <v>77</v>
      </c>
      <c r="H1429" t="s">
        <v>142</v>
      </c>
      <c r="I1429">
        <v>10000</v>
      </c>
      <c r="J1429">
        <v>13000</v>
      </c>
      <c r="K1429">
        <v>1</v>
      </c>
      <c r="L1429">
        <v>10000</v>
      </c>
      <c r="M1429">
        <v>13000</v>
      </c>
      <c r="N1429" t="s">
        <v>28</v>
      </c>
      <c r="O1429">
        <f t="shared" si="44"/>
        <v>39000</v>
      </c>
      <c r="P1429" s="13">
        <f t="shared" si="45"/>
        <v>1809847</v>
      </c>
      <c r="Q1429" s="13">
        <f>SUMIFS(M:M,E:E,Online_eCommerce[[#This Row],[Status]])</f>
        <v>21103186</v>
      </c>
      <c r="R1429" s="13">
        <f>SUMIFS(L:L,H:H,Online_eCommerce[[#This Row],[Brand]])</f>
        <v>6192500</v>
      </c>
      <c r="S1429" s="13">
        <f>SUMIF(H:H,Online_eCommerce[[#This Row],[Brand]],M:M)</f>
        <v>8050250</v>
      </c>
      <c r="T1429" s="13">
        <f>SUMIF(N:N,Online_eCommerce[[#This Row],[Assigned Supervisor]],L:L)</f>
        <v>12220830</v>
      </c>
    </row>
    <row r="1430" spans="1:20" x14ac:dyDescent="0.3">
      <c r="A1430" t="s">
        <v>2184</v>
      </c>
      <c r="B1430" t="s">
        <v>144</v>
      </c>
      <c r="C1430" t="s">
        <v>16</v>
      </c>
      <c r="D1430" t="s">
        <v>2185</v>
      </c>
      <c r="E1430" t="s">
        <v>46</v>
      </c>
      <c r="F1430" t="s">
        <v>2186</v>
      </c>
      <c r="G1430" t="s">
        <v>20</v>
      </c>
      <c r="H1430" t="s">
        <v>21</v>
      </c>
      <c r="I1430">
        <v>6500</v>
      </c>
      <c r="J1430">
        <v>8450</v>
      </c>
      <c r="K1430">
        <v>1</v>
      </c>
      <c r="L1430">
        <v>6500</v>
      </c>
      <c r="M1430">
        <v>8450</v>
      </c>
      <c r="N1430" t="s">
        <v>35</v>
      </c>
      <c r="O1430">
        <f t="shared" si="44"/>
        <v>8450</v>
      </c>
      <c r="P1430" s="13">
        <f t="shared" si="45"/>
        <v>2751814</v>
      </c>
      <c r="Q1430" s="13">
        <f>SUMIFS(M:M,E:E,Online_eCommerce[[#This Row],[Status]])</f>
        <v>28620410</v>
      </c>
      <c r="R1430" s="13">
        <f>SUMIFS(L:L,H:H,Online_eCommerce[[#This Row],[Brand]])</f>
        <v>12435650</v>
      </c>
      <c r="S1430" s="13">
        <f>SUMIF(H:H,Online_eCommerce[[#This Row],[Brand]],M:M)</f>
        <v>16166345</v>
      </c>
      <c r="T1430" s="13">
        <f>SUMIF(N:N,Online_eCommerce[[#This Row],[Assigned Supervisor]],L:L)</f>
        <v>14373360</v>
      </c>
    </row>
    <row r="1431" spans="1:20" hidden="1" x14ac:dyDescent="0.3">
      <c r="A1431" t="s">
        <v>2187</v>
      </c>
      <c r="B1431" t="s">
        <v>149</v>
      </c>
      <c r="C1431" t="s">
        <v>24</v>
      </c>
      <c r="D1431" t="s">
        <v>2188</v>
      </c>
      <c r="E1431" t="s">
        <v>96</v>
      </c>
      <c r="F1431" t="s">
        <v>2189</v>
      </c>
      <c r="G1431" t="s">
        <v>26</v>
      </c>
      <c r="H1431" t="s">
        <v>27</v>
      </c>
      <c r="I1431">
        <v>8500</v>
      </c>
      <c r="J1431">
        <v>11050</v>
      </c>
      <c r="K1431">
        <v>1</v>
      </c>
      <c r="L1431">
        <v>8500</v>
      </c>
      <c r="M1431">
        <v>11050</v>
      </c>
      <c r="N1431" t="s">
        <v>42</v>
      </c>
      <c r="O1431">
        <f t="shared" si="44"/>
        <v>33150</v>
      </c>
      <c r="P1431" s="13">
        <f t="shared" si="45"/>
        <v>2009540</v>
      </c>
      <c r="Q1431" s="13">
        <f>SUMIFS(M:M,E:E,Online_eCommerce[[#This Row],[Status]])</f>
        <v>21233992</v>
      </c>
      <c r="R1431" s="13">
        <f>SUMIFS(L:L,H:H,Online_eCommerce[[#This Row],[Brand]])</f>
        <v>14431000</v>
      </c>
      <c r="S1431" s="13">
        <f>SUMIF(H:H,Online_eCommerce[[#This Row],[Brand]],M:M)</f>
        <v>18760300</v>
      </c>
      <c r="T1431" s="13">
        <f>SUMIF(N:N,Online_eCommerce[[#This Row],[Assigned Supervisor]],L:L)</f>
        <v>12261500</v>
      </c>
    </row>
    <row r="1432" spans="1:20" hidden="1" x14ac:dyDescent="0.3">
      <c r="A1432" t="s">
        <v>2190</v>
      </c>
      <c r="B1432" t="s">
        <v>154</v>
      </c>
      <c r="C1432" t="s">
        <v>31</v>
      </c>
      <c r="D1432" t="s">
        <v>2191</v>
      </c>
      <c r="E1432" t="s">
        <v>18</v>
      </c>
      <c r="F1432" t="s">
        <v>32</v>
      </c>
      <c r="G1432" t="s">
        <v>33</v>
      </c>
      <c r="H1432" t="s">
        <v>34</v>
      </c>
      <c r="I1432">
        <v>7000</v>
      </c>
      <c r="J1432">
        <v>9100</v>
      </c>
      <c r="K1432">
        <v>1</v>
      </c>
      <c r="L1432">
        <v>7000</v>
      </c>
      <c r="M1432">
        <v>9100</v>
      </c>
      <c r="N1432" t="s">
        <v>50</v>
      </c>
      <c r="O1432">
        <f t="shared" si="44"/>
        <v>18200</v>
      </c>
      <c r="P1432" s="13">
        <f t="shared" si="45"/>
        <v>2865746</v>
      </c>
      <c r="Q1432" s="13">
        <f>SUMIFS(M:M,E:E,Online_eCommerce[[#This Row],[Status]])</f>
        <v>28340455</v>
      </c>
      <c r="R1432" s="13">
        <f>SUMIFS(L:L,H:H,Online_eCommerce[[#This Row],[Brand]])</f>
        <v>10087000</v>
      </c>
      <c r="S1432" s="13">
        <f>SUMIF(H:H,Online_eCommerce[[#This Row],[Brand]],M:M)</f>
        <v>13113100</v>
      </c>
      <c r="T1432" s="13">
        <f>SUMIF(N:N,Online_eCommerce[[#This Row],[Assigned Supervisor]],L:L)</f>
        <v>12100590</v>
      </c>
    </row>
    <row r="1433" spans="1:20" hidden="1" x14ac:dyDescent="0.3">
      <c r="A1433" t="s">
        <v>2192</v>
      </c>
      <c r="B1433" t="s">
        <v>159</v>
      </c>
      <c r="C1433" t="s">
        <v>38</v>
      </c>
      <c r="D1433" t="s">
        <v>2193</v>
      </c>
      <c r="E1433" t="s">
        <v>161</v>
      </c>
      <c r="F1433" t="s">
        <v>2194</v>
      </c>
      <c r="G1433" t="s">
        <v>40</v>
      </c>
      <c r="H1433" t="s">
        <v>41</v>
      </c>
      <c r="I1433">
        <v>6550</v>
      </c>
      <c r="J1433">
        <v>8515</v>
      </c>
      <c r="K1433">
        <v>3</v>
      </c>
      <c r="L1433">
        <v>19650</v>
      </c>
      <c r="M1433">
        <v>25545</v>
      </c>
      <c r="N1433" t="s">
        <v>56</v>
      </c>
      <c r="O1433">
        <f t="shared" si="44"/>
        <v>25545</v>
      </c>
      <c r="P1433" s="13">
        <f t="shared" si="45"/>
        <v>1933997</v>
      </c>
      <c r="Q1433" s="13">
        <f>SUMIFS(M:M,E:E,Online_eCommerce[[#This Row],[Status]])</f>
        <v>21103186</v>
      </c>
      <c r="R1433" s="13">
        <f>SUMIFS(L:L,H:H,Online_eCommerce[[#This Row],[Brand]])</f>
        <v>4260400</v>
      </c>
      <c r="S1433" s="13">
        <f>SUMIF(H:H,Online_eCommerce[[#This Row],[Brand]],M:M)</f>
        <v>5538520</v>
      </c>
      <c r="T1433" s="13">
        <f>SUMIF(N:N,Online_eCommerce[[#This Row],[Assigned Supervisor]],L:L)</f>
        <v>11733610</v>
      </c>
    </row>
    <row r="1434" spans="1:20" x14ac:dyDescent="0.3">
      <c r="A1434" t="s">
        <v>2195</v>
      </c>
      <c r="B1434" t="s">
        <v>139</v>
      </c>
      <c r="C1434" t="s">
        <v>45</v>
      </c>
      <c r="D1434" t="s">
        <v>2196</v>
      </c>
      <c r="E1434" t="s">
        <v>46</v>
      </c>
      <c r="F1434" t="s">
        <v>47</v>
      </c>
      <c r="G1434" t="s">
        <v>334</v>
      </c>
      <c r="H1434" t="s">
        <v>49</v>
      </c>
      <c r="I1434">
        <v>7650</v>
      </c>
      <c r="J1434">
        <v>9945</v>
      </c>
      <c r="K1434">
        <v>3</v>
      </c>
      <c r="L1434">
        <v>22950</v>
      </c>
      <c r="M1434">
        <v>29835</v>
      </c>
      <c r="N1434" t="s">
        <v>22</v>
      </c>
      <c r="O1434">
        <f t="shared" si="44"/>
        <v>39780</v>
      </c>
      <c r="P1434" s="13">
        <f t="shared" si="45"/>
        <v>2842554</v>
      </c>
      <c r="Q1434" s="13">
        <f>SUMIFS(M:M,E:E,Online_eCommerce[[#This Row],[Status]])</f>
        <v>28620410</v>
      </c>
      <c r="R1434" s="13">
        <f>SUMIFS(L:L,H:H,Online_eCommerce[[#This Row],[Brand]])</f>
        <v>4528350</v>
      </c>
      <c r="S1434" s="13">
        <f>SUMIF(H:H,Online_eCommerce[[#This Row],[Brand]],M:M)</f>
        <v>5886855</v>
      </c>
      <c r="T1434" s="13">
        <f>SUMIF(N:N,Online_eCommerce[[#This Row],[Assigned Supervisor]],L:L)</f>
        <v>13693220</v>
      </c>
    </row>
    <row r="1435" spans="1:20" hidden="1" x14ac:dyDescent="0.3">
      <c r="A1435" t="s">
        <v>2197</v>
      </c>
      <c r="B1435" t="s">
        <v>144</v>
      </c>
      <c r="C1435" t="s">
        <v>52</v>
      </c>
      <c r="D1435" t="s">
        <v>2198</v>
      </c>
      <c r="E1435" t="s">
        <v>96</v>
      </c>
      <c r="F1435" t="s">
        <v>53</v>
      </c>
      <c r="G1435" t="s">
        <v>54</v>
      </c>
      <c r="H1435" t="s">
        <v>55</v>
      </c>
      <c r="I1435">
        <v>1150</v>
      </c>
      <c r="J1435">
        <v>1495</v>
      </c>
      <c r="K1435">
        <v>2</v>
      </c>
      <c r="L1435">
        <v>2300</v>
      </c>
      <c r="M1435">
        <v>2990</v>
      </c>
      <c r="N1435" t="s">
        <v>28</v>
      </c>
      <c r="O1435">
        <f t="shared" si="44"/>
        <v>2990</v>
      </c>
      <c r="P1435" s="13">
        <f t="shared" si="45"/>
        <v>1955044</v>
      </c>
      <c r="Q1435" s="13">
        <f>SUMIFS(M:M,E:E,Online_eCommerce[[#This Row],[Status]])</f>
        <v>21233992</v>
      </c>
      <c r="R1435" s="13">
        <f>SUMIFS(L:L,H:H,Online_eCommerce[[#This Row],[Brand]])</f>
        <v>2267380</v>
      </c>
      <c r="S1435" s="13">
        <f>SUMIF(H:H,Online_eCommerce[[#This Row],[Brand]],M:M)</f>
        <v>2947594</v>
      </c>
      <c r="T1435" s="13">
        <f>SUMIF(N:N,Online_eCommerce[[#This Row],[Assigned Supervisor]],L:L)</f>
        <v>12220830</v>
      </c>
    </row>
    <row r="1436" spans="1:20" hidden="1" x14ac:dyDescent="0.3">
      <c r="A1436" t="s">
        <v>2199</v>
      </c>
      <c r="B1436" t="s">
        <v>171</v>
      </c>
      <c r="C1436" t="s">
        <v>58</v>
      </c>
      <c r="D1436" t="s">
        <v>2200</v>
      </c>
      <c r="E1436" t="s">
        <v>18</v>
      </c>
      <c r="F1436" t="s">
        <v>59</v>
      </c>
      <c r="G1436" t="s">
        <v>60</v>
      </c>
      <c r="H1436" t="s">
        <v>61</v>
      </c>
      <c r="I1436">
        <v>850</v>
      </c>
      <c r="J1436">
        <v>1105</v>
      </c>
      <c r="K1436">
        <v>4</v>
      </c>
      <c r="L1436">
        <v>3400</v>
      </c>
      <c r="M1436">
        <v>4420</v>
      </c>
      <c r="N1436" t="s">
        <v>35</v>
      </c>
      <c r="O1436">
        <f t="shared" si="44"/>
        <v>3315</v>
      </c>
      <c r="P1436" s="13">
        <f t="shared" si="45"/>
        <v>2629211</v>
      </c>
      <c r="Q1436" s="13">
        <f>SUMIFS(M:M,E:E,Online_eCommerce[[#This Row],[Status]])</f>
        <v>28340455</v>
      </c>
      <c r="R1436" s="13">
        <f>SUMIFS(L:L,H:H,Online_eCommerce[[#This Row],[Brand]])</f>
        <v>10950150</v>
      </c>
      <c r="S1436" s="13">
        <f>SUMIF(H:H,Online_eCommerce[[#This Row],[Brand]],M:M)</f>
        <v>14235195</v>
      </c>
      <c r="T1436" s="13">
        <f>SUMIF(N:N,Online_eCommerce[[#This Row],[Assigned Supervisor]],L:L)</f>
        <v>14373360</v>
      </c>
    </row>
    <row r="1437" spans="1:20" hidden="1" x14ac:dyDescent="0.3">
      <c r="A1437" t="s">
        <v>2201</v>
      </c>
      <c r="B1437" t="s">
        <v>176</v>
      </c>
      <c r="C1437" t="s">
        <v>63</v>
      </c>
      <c r="D1437" t="s">
        <v>2202</v>
      </c>
      <c r="E1437" t="s">
        <v>161</v>
      </c>
      <c r="F1437" t="s">
        <v>65</v>
      </c>
      <c r="G1437" t="s">
        <v>66</v>
      </c>
      <c r="H1437" t="s">
        <v>21</v>
      </c>
      <c r="I1437">
        <v>650</v>
      </c>
      <c r="J1437">
        <v>845</v>
      </c>
      <c r="K1437">
        <v>1</v>
      </c>
      <c r="L1437">
        <v>650</v>
      </c>
      <c r="M1437">
        <v>845</v>
      </c>
      <c r="N1437" t="s">
        <v>42</v>
      </c>
      <c r="O1437">
        <f t="shared" si="44"/>
        <v>1690</v>
      </c>
      <c r="P1437" s="13">
        <f t="shared" si="45"/>
        <v>2016131</v>
      </c>
      <c r="Q1437" s="13">
        <f>SUMIFS(M:M,E:E,Online_eCommerce[[#This Row],[Status]])</f>
        <v>21103186</v>
      </c>
      <c r="R1437" s="13">
        <f>SUMIFS(L:L,H:H,Online_eCommerce[[#This Row],[Brand]])</f>
        <v>12435650</v>
      </c>
      <c r="S1437" s="13">
        <f>SUMIF(H:H,Online_eCommerce[[#This Row],[Brand]],M:M)</f>
        <v>16166345</v>
      </c>
      <c r="T1437" s="13">
        <f>SUMIF(N:N,Online_eCommerce[[#This Row],[Assigned Supervisor]],L:L)</f>
        <v>12261500</v>
      </c>
    </row>
    <row r="1438" spans="1:20" x14ac:dyDescent="0.3">
      <c r="A1438" t="s">
        <v>2203</v>
      </c>
      <c r="B1438" t="s">
        <v>37</v>
      </c>
      <c r="C1438" t="s">
        <v>68</v>
      </c>
      <c r="D1438" t="s">
        <v>2204</v>
      </c>
      <c r="E1438" t="s">
        <v>46</v>
      </c>
      <c r="F1438" t="s">
        <v>70</v>
      </c>
      <c r="G1438" t="s">
        <v>71</v>
      </c>
      <c r="H1438" t="s">
        <v>61</v>
      </c>
      <c r="I1438">
        <v>7500</v>
      </c>
      <c r="J1438">
        <v>9750</v>
      </c>
      <c r="K1438">
        <v>1</v>
      </c>
      <c r="L1438">
        <v>7500</v>
      </c>
      <c r="M1438">
        <v>9750</v>
      </c>
      <c r="N1438" t="s">
        <v>50</v>
      </c>
      <c r="O1438">
        <f t="shared" si="44"/>
        <v>9750</v>
      </c>
      <c r="P1438" s="13">
        <f t="shared" si="45"/>
        <v>2974621</v>
      </c>
      <c r="Q1438" s="13">
        <f>SUMIFS(M:M,E:E,Online_eCommerce[[#This Row],[Status]])</f>
        <v>28620410</v>
      </c>
      <c r="R1438" s="13">
        <f>SUMIFS(L:L,H:H,Online_eCommerce[[#This Row],[Brand]])</f>
        <v>10950150</v>
      </c>
      <c r="S1438" s="13">
        <f>SUMIF(H:H,Online_eCommerce[[#This Row],[Brand]],M:M)</f>
        <v>14235195</v>
      </c>
      <c r="T1438" s="13">
        <f>SUMIF(N:N,Online_eCommerce[[#This Row],[Assigned Supervisor]],L:L)</f>
        <v>12100590</v>
      </c>
    </row>
    <row r="1439" spans="1:20" hidden="1" x14ac:dyDescent="0.3">
      <c r="A1439" t="s">
        <v>2205</v>
      </c>
      <c r="B1439" t="s">
        <v>37</v>
      </c>
      <c r="C1439" t="s">
        <v>74</v>
      </c>
      <c r="D1439" t="s">
        <v>2206</v>
      </c>
      <c r="E1439" t="s">
        <v>96</v>
      </c>
      <c r="F1439" t="s">
        <v>2183</v>
      </c>
      <c r="G1439" t="s">
        <v>77</v>
      </c>
      <c r="H1439" t="s">
        <v>78</v>
      </c>
      <c r="I1439">
        <v>10000</v>
      </c>
      <c r="J1439">
        <v>13000</v>
      </c>
      <c r="K1439">
        <v>1</v>
      </c>
      <c r="L1439">
        <v>10000</v>
      </c>
      <c r="M1439">
        <v>13000</v>
      </c>
      <c r="N1439" t="s">
        <v>56</v>
      </c>
      <c r="O1439">
        <f t="shared" si="44"/>
        <v>39000</v>
      </c>
      <c r="P1439" s="13">
        <f t="shared" si="45"/>
        <v>2144701</v>
      </c>
      <c r="Q1439" s="13">
        <f>SUMIFS(M:M,E:E,Online_eCommerce[[#This Row],[Status]])</f>
        <v>21233992</v>
      </c>
      <c r="R1439" s="13">
        <f>SUMIFS(L:L,H:H,Online_eCommerce[[#This Row],[Brand]])</f>
        <v>3720000</v>
      </c>
      <c r="S1439" s="13">
        <f>SUMIF(H:H,Online_eCommerce[[#This Row],[Brand]],M:M)</f>
        <v>4836000</v>
      </c>
      <c r="T1439" s="13">
        <f>SUMIF(N:N,Online_eCommerce[[#This Row],[Assigned Supervisor]],L:L)</f>
        <v>11733610</v>
      </c>
    </row>
    <row r="1440" spans="1:20" hidden="1" x14ac:dyDescent="0.3">
      <c r="A1440" t="s">
        <v>2207</v>
      </c>
      <c r="B1440" t="s">
        <v>37</v>
      </c>
      <c r="C1440" t="s">
        <v>81</v>
      </c>
      <c r="D1440" t="s">
        <v>2208</v>
      </c>
      <c r="E1440" t="s">
        <v>18</v>
      </c>
      <c r="F1440" t="s">
        <v>2209</v>
      </c>
      <c r="G1440" t="s">
        <v>20</v>
      </c>
      <c r="H1440" t="s">
        <v>21</v>
      </c>
      <c r="I1440">
        <v>10500</v>
      </c>
      <c r="J1440">
        <v>13650</v>
      </c>
      <c r="K1440">
        <v>2</v>
      </c>
      <c r="L1440">
        <v>21000</v>
      </c>
      <c r="M1440">
        <v>27300</v>
      </c>
      <c r="N1440" t="s">
        <v>22</v>
      </c>
      <c r="O1440">
        <f t="shared" si="44"/>
        <v>8450</v>
      </c>
      <c r="P1440" s="13">
        <f t="shared" si="45"/>
        <v>2595632</v>
      </c>
      <c r="Q1440" s="13">
        <f>SUMIFS(M:M,E:E,Online_eCommerce[[#This Row],[Status]])</f>
        <v>28340455</v>
      </c>
      <c r="R1440" s="13">
        <f>SUMIFS(L:L,H:H,Online_eCommerce[[#This Row],[Brand]])</f>
        <v>12435650</v>
      </c>
      <c r="S1440" s="13">
        <f>SUMIF(H:H,Online_eCommerce[[#This Row],[Brand]],M:M)</f>
        <v>16166345</v>
      </c>
      <c r="T1440" s="13">
        <f>SUMIF(N:N,Online_eCommerce[[#This Row],[Assigned Supervisor]],L:L)</f>
        <v>13693220</v>
      </c>
    </row>
    <row r="1441" spans="1:20" hidden="1" x14ac:dyDescent="0.3">
      <c r="A1441" t="s">
        <v>2210</v>
      </c>
      <c r="B1441" t="s">
        <v>37</v>
      </c>
      <c r="C1441" t="s">
        <v>86</v>
      </c>
      <c r="D1441" t="s">
        <v>2211</v>
      </c>
      <c r="E1441" t="s">
        <v>161</v>
      </c>
      <c r="F1441" t="s">
        <v>88</v>
      </c>
      <c r="G1441" t="s">
        <v>26</v>
      </c>
      <c r="H1441" t="s">
        <v>27</v>
      </c>
      <c r="I1441">
        <v>8500</v>
      </c>
      <c r="J1441">
        <v>11050</v>
      </c>
      <c r="K1441">
        <v>1</v>
      </c>
      <c r="L1441">
        <v>8500</v>
      </c>
      <c r="M1441">
        <v>11050</v>
      </c>
      <c r="N1441" t="s">
        <v>28</v>
      </c>
      <c r="O1441">
        <f t="shared" si="44"/>
        <v>33150</v>
      </c>
      <c r="P1441" s="13">
        <f t="shared" si="45"/>
        <v>1941225</v>
      </c>
      <c r="Q1441" s="13">
        <f>SUMIFS(M:M,E:E,Online_eCommerce[[#This Row],[Status]])</f>
        <v>21103186</v>
      </c>
      <c r="R1441" s="13">
        <f>SUMIFS(L:L,H:H,Online_eCommerce[[#This Row],[Brand]])</f>
        <v>14431000</v>
      </c>
      <c r="S1441" s="13">
        <f>SUMIF(H:H,Online_eCommerce[[#This Row],[Brand]],M:M)</f>
        <v>18760300</v>
      </c>
      <c r="T1441" s="13">
        <f>SUMIF(N:N,Online_eCommerce[[#This Row],[Assigned Supervisor]],L:L)</f>
        <v>12220830</v>
      </c>
    </row>
    <row r="1442" spans="1:20" x14ac:dyDescent="0.3">
      <c r="A1442" t="s">
        <v>2212</v>
      </c>
      <c r="B1442" t="s">
        <v>37</v>
      </c>
      <c r="C1442" t="s">
        <v>91</v>
      </c>
      <c r="D1442" t="s">
        <v>2213</v>
      </c>
      <c r="E1442" t="s">
        <v>46</v>
      </c>
      <c r="F1442" t="s">
        <v>32</v>
      </c>
      <c r="G1442" t="s">
        <v>33</v>
      </c>
      <c r="H1442" t="s">
        <v>34</v>
      </c>
      <c r="I1442">
        <v>7000</v>
      </c>
      <c r="J1442">
        <v>9100</v>
      </c>
      <c r="K1442">
        <v>2</v>
      </c>
      <c r="L1442">
        <v>14000</v>
      </c>
      <c r="M1442">
        <v>18200</v>
      </c>
      <c r="N1442" t="s">
        <v>35</v>
      </c>
      <c r="O1442">
        <f t="shared" si="44"/>
        <v>18200</v>
      </c>
      <c r="P1442" s="13">
        <f t="shared" si="45"/>
        <v>2731963</v>
      </c>
      <c r="Q1442" s="13">
        <f>SUMIFS(M:M,E:E,Online_eCommerce[[#This Row],[Status]])</f>
        <v>28620410</v>
      </c>
      <c r="R1442" s="13">
        <f>SUMIFS(L:L,H:H,Online_eCommerce[[#This Row],[Brand]])</f>
        <v>10087000</v>
      </c>
      <c r="S1442" s="13">
        <f>SUMIF(H:H,Online_eCommerce[[#This Row],[Brand]],M:M)</f>
        <v>13113100</v>
      </c>
      <c r="T1442" s="13">
        <f>SUMIF(N:N,Online_eCommerce[[#This Row],[Assigned Supervisor]],L:L)</f>
        <v>14373360</v>
      </c>
    </row>
    <row r="1443" spans="1:20" hidden="1" x14ac:dyDescent="0.3">
      <c r="A1443" t="s">
        <v>2214</v>
      </c>
      <c r="B1443" t="s">
        <v>37</v>
      </c>
      <c r="C1443" t="s">
        <v>94</v>
      </c>
      <c r="D1443" t="s">
        <v>2215</v>
      </c>
      <c r="E1443" t="s">
        <v>96</v>
      </c>
      <c r="F1443" t="s">
        <v>2216</v>
      </c>
      <c r="G1443" t="s">
        <v>40</v>
      </c>
      <c r="H1443" t="s">
        <v>41</v>
      </c>
      <c r="I1443">
        <v>1680</v>
      </c>
      <c r="J1443">
        <v>2184</v>
      </c>
      <c r="K1443">
        <v>4</v>
      </c>
      <c r="L1443">
        <v>6720</v>
      </c>
      <c r="M1443">
        <v>8736</v>
      </c>
      <c r="N1443" t="s">
        <v>42</v>
      </c>
      <c r="O1443">
        <f t="shared" si="44"/>
        <v>25545</v>
      </c>
      <c r="P1443" s="13">
        <f t="shared" si="45"/>
        <v>1868256</v>
      </c>
      <c r="Q1443" s="13">
        <f>SUMIFS(M:M,E:E,Online_eCommerce[[#This Row],[Status]])</f>
        <v>21233992</v>
      </c>
      <c r="R1443" s="13">
        <f>SUMIFS(L:L,H:H,Online_eCommerce[[#This Row],[Brand]])</f>
        <v>4260400</v>
      </c>
      <c r="S1443" s="13">
        <f>SUMIF(H:H,Online_eCommerce[[#This Row],[Brand]],M:M)</f>
        <v>5538520</v>
      </c>
      <c r="T1443" s="13">
        <f>SUMIF(N:N,Online_eCommerce[[#This Row],[Assigned Supervisor]],L:L)</f>
        <v>12261500</v>
      </c>
    </row>
    <row r="1444" spans="1:20" hidden="1" x14ac:dyDescent="0.3">
      <c r="A1444" t="s">
        <v>2217</v>
      </c>
      <c r="B1444" t="s">
        <v>37</v>
      </c>
      <c r="C1444" t="s">
        <v>99</v>
      </c>
      <c r="D1444" t="s">
        <v>2218</v>
      </c>
      <c r="E1444" t="s">
        <v>18</v>
      </c>
      <c r="F1444" t="s">
        <v>101</v>
      </c>
      <c r="G1444" t="s">
        <v>334</v>
      </c>
      <c r="H1444" t="s">
        <v>102</v>
      </c>
      <c r="I1444">
        <v>6540</v>
      </c>
      <c r="J1444">
        <v>8502</v>
      </c>
      <c r="K1444">
        <v>2</v>
      </c>
      <c r="L1444">
        <v>13080</v>
      </c>
      <c r="M1444">
        <v>17004</v>
      </c>
      <c r="N1444" t="s">
        <v>50</v>
      </c>
      <c r="O1444">
        <f t="shared" si="44"/>
        <v>39780</v>
      </c>
      <c r="P1444" s="13">
        <f t="shared" si="45"/>
        <v>2651233</v>
      </c>
      <c r="Q1444" s="13">
        <f>SUMIFS(M:M,E:E,Online_eCommerce[[#This Row],[Status]])</f>
        <v>28340455</v>
      </c>
      <c r="R1444" s="13">
        <f>SUMIFS(L:L,H:H,Online_eCommerce[[#This Row],[Brand]])</f>
        <v>2465580</v>
      </c>
      <c r="S1444" s="13">
        <f>SUMIF(H:H,Online_eCommerce[[#This Row],[Brand]],M:M)</f>
        <v>3205254</v>
      </c>
      <c r="T1444" s="13">
        <f>SUMIF(N:N,Online_eCommerce[[#This Row],[Assigned Supervisor]],L:L)</f>
        <v>12100590</v>
      </c>
    </row>
    <row r="1445" spans="1:20" hidden="1" x14ac:dyDescent="0.3">
      <c r="A1445" t="s">
        <v>2219</v>
      </c>
      <c r="B1445" t="s">
        <v>37</v>
      </c>
      <c r="C1445" t="s">
        <v>105</v>
      </c>
      <c r="D1445" t="s">
        <v>2220</v>
      </c>
      <c r="E1445" t="s">
        <v>161</v>
      </c>
      <c r="F1445" t="s">
        <v>107</v>
      </c>
      <c r="G1445" t="s">
        <v>54</v>
      </c>
      <c r="H1445" t="s">
        <v>55</v>
      </c>
      <c r="I1445">
        <v>2680</v>
      </c>
      <c r="J1445">
        <v>3484</v>
      </c>
      <c r="K1445">
        <v>2</v>
      </c>
      <c r="L1445">
        <v>5360</v>
      </c>
      <c r="M1445">
        <v>6968</v>
      </c>
      <c r="N1445" t="s">
        <v>56</v>
      </c>
      <c r="O1445">
        <f t="shared" si="44"/>
        <v>2990</v>
      </c>
      <c r="P1445" s="13">
        <f t="shared" si="45"/>
        <v>1866852</v>
      </c>
      <c r="Q1445" s="13">
        <f>SUMIFS(M:M,E:E,Online_eCommerce[[#This Row],[Status]])</f>
        <v>21103186</v>
      </c>
      <c r="R1445" s="13">
        <f>SUMIFS(L:L,H:H,Online_eCommerce[[#This Row],[Brand]])</f>
        <v>2267380</v>
      </c>
      <c r="S1445" s="13">
        <f>SUMIF(H:H,Online_eCommerce[[#This Row],[Brand]],M:M)</f>
        <v>2947594</v>
      </c>
      <c r="T1445" s="13">
        <f>SUMIF(N:N,Online_eCommerce[[#This Row],[Assigned Supervisor]],L:L)</f>
        <v>11733610</v>
      </c>
    </row>
    <row r="1446" spans="1:20" x14ac:dyDescent="0.3">
      <c r="A1446" t="s">
        <v>2221</v>
      </c>
      <c r="B1446" t="s">
        <v>37</v>
      </c>
      <c r="C1446" t="s">
        <v>110</v>
      </c>
      <c r="D1446" t="s">
        <v>2222</v>
      </c>
      <c r="E1446" t="s">
        <v>46</v>
      </c>
      <c r="F1446" t="s">
        <v>112</v>
      </c>
      <c r="G1446" t="s">
        <v>71</v>
      </c>
      <c r="H1446" t="s">
        <v>21</v>
      </c>
      <c r="I1446">
        <v>8250</v>
      </c>
      <c r="J1446">
        <v>10725</v>
      </c>
      <c r="K1446">
        <v>3</v>
      </c>
      <c r="L1446">
        <v>24750</v>
      </c>
      <c r="M1446">
        <v>32175</v>
      </c>
      <c r="N1446" t="s">
        <v>22</v>
      </c>
      <c r="O1446">
        <f t="shared" si="44"/>
        <v>9750</v>
      </c>
      <c r="P1446" s="13">
        <f t="shared" si="45"/>
        <v>2598635</v>
      </c>
      <c r="Q1446" s="13">
        <f>SUMIFS(M:M,E:E,Online_eCommerce[[#This Row],[Status]])</f>
        <v>28620410</v>
      </c>
      <c r="R1446" s="13">
        <f>SUMIFS(L:L,H:H,Online_eCommerce[[#This Row],[Brand]])</f>
        <v>12435650</v>
      </c>
      <c r="S1446" s="13">
        <f>SUMIF(H:H,Online_eCommerce[[#This Row],[Brand]],M:M)</f>
        <v>16166345</v>
      </c>
      <c r="T1446" s="13">
        <f>SUMIF(N:N,Online_eCommerce[[#This Row],[Assigned Supervisor]],L:L)</f>
        <v>13693220</v>
      </c>
    </row>
    <row r="1447" spans="1:20" hidden="1" x14ac:dyDescent="0.3">
      <c r="A1447" t="s">
        <v>2223</v>
      </c>
      <c r="B1447" t="s">
        <v>37</v>
      </c>
      <c r="C1447" t="s">
        <v>115</v>
      </c>
      <c r="D1447" t="s">
        <v>2224</v>
      </c>
      <c r="E1447" t="s">
        <v>96</v>
      </c>
      <c r="F1447" t="s">
        <v>1764</v>
      </c>
      <c r="G1447" t="s">
        <v>40</v>
      </c>
      <c r="H1447" t="s">
        <v>21</v>
      </c>
      <c r="I1447">
        <v>2650</v>
      </c>
      <c r="J1447">
        <v>3445</v>
      </c>
      <c r="K1447">
        <v>3</v>
      </c>
      <c r="L1447">
        <v>7950</v>
      </c>
      <c r="M1447">
        <v>10335</v>
      </c>
      <c r="N1447" t="s">
        <v>28</v>
      </c>
      <c r="O1447">
        <f t="shared" si="44"/>
        <v>25545</v>
      </c>
      <c r="P1447" s="13">
        <f t="shared" si="45"/>
        <v>2050178</v>
      </c>
      <c r="Q1447" s="13">
        <f>SUMIFS(M:M,E:E,Online_eCommerce[[#This Row],[Status]])</f>
        <v>21233992</v>
      </c>
      <c r="R1447" s="13">
        <f>SUMIFS(L:L,H:H,Online_eCommerce[[#This Row],[Brand]])</f>
        <v>12435650</v>
      </c>
      <c r="S1447" s="13">
        <f>SUMIF(H:H,Online_eCommerce[[#This Row],[Brand]],M:M)</f>
        <v>16166345</v>
      </c>
      <c r="T1447" s="13">
        <f>SUMIF(N:N,Online_eCommerce[[#This Row],[Assigned Supervisor]],L:L)</f>
        <v>12220830</v>
      </c>
    </row>
    <row r="1448" spans="1:20" hidden="1" x14ac:dyDescent="0.3">
      <c r="A1448" t="s">
        <v>2225</v>
      </c>
      <c r="B1448" t="s">
        <v>37</v>
      </c>
      <c r="C1448" t="s">
        <v>120</v>
      </c>
      <c r="D1448" t="s">
        <v>2226</v>
      </c>
      <c r="E1448" t="s">
        <v>18</v>
      </c>
      <c r="F1448" t="s">
        <v>121</v>
      </c>
      <c r="G1448" t="s">
        <v>71</v>
      </c>
      <c r="H1448" t="s">
        <v>122</v>
      </c>
      <c r="I1448">
        <v>12550</v>
      </c>
      <c r="J1448">
        <v>16315</v>
      </c>
      <c r="K1448">
        <v>2</v>
      </c>
      <c r="L1448">
        <v>25100</v>
      </c>
      <c r="M1448">
        <v>32630</v>
      </c>
      <c r="N1448" t="s">
        <v>35</v>
      </c>
      <c r="O1448">
        <f t="shared" si="44"/>
        <v>9750</v>
      </c>
      <c r="P1448" s="13">
        <f t="shared" si="45"/>
        <v>2734212</v>
      </c>
      <c r="Q1448" s="13">
        <f>SUMIFS(M:M,E:E,Online_eCommerce[[#This Row],[Status]])</f>
        <v>28340455</v>
      </c>
      <c r="R1448" s="13">
        <f>SUMIFS(L:L,H:H,Online_eCommerce[[#This Row],[Brand]])</f>
        <v>5045100</v>
      </c>
      <c r="S1448" s="13">
        <f>SUMIF(H:H,Online_eCommerce[[#This Row],[Brand]],M:M)</f>
        <v>6558630</v>
      </c>
      <c r="T1448" s="13">
        <f>SUMIF(N:N,Online_eCommerce[[#This Row],[Assigned Supervisor]],L:L)</f>
        <v>14373360</v>
      </c>
    </row>
    <row r="1449" spans="1:20" hidden="1" x14ac:dyDescent="0.3">
      <c r="A1449" t="s">
        <v>2227</v>
      </c>
      <c r="B1449" t="s">
        <v>37</v>
      </c>
      <c r="C1449" t="s">
        <v>125</v>
      </c>
      <c r="D1449" t="s">
        <v>2228</v>
      </c>
      <c r="E1449" t="s">
        <v>161</v>
      </c>
      <c r="F1449" t="s">
        <v>126</v>
      </c>
      <c r="G1449" t="s">
        <v>26</v>
      </c>
      <c r="H1449" t="s">
        <v>27</v>
      </c>
      <c r="I1449">
        <v>14500</v>
      </c>
      <c r="J1449">
        <v>18850</v>
      </c>
      <c r="K1449">
        <v>2</v>
      </c>
      <c r="L1449">
        <v>29000</v>
      </c>
      <c r="M1449">
        <v>37700</v>
      </c>
      <c r="N1449" t="s">
        <v>42</v>
      </c>
      <c r="O1449">
        <f t="shared" si="44"/>
        <v>33150</v>
      </c>
      <c r="P1449" s="13">
        <f t="shared" si="45"/>
        <v>2091154</v>
      </c>
      <c r="Q1449" s="13">
        <f>SUMIFS(M:M,E:E,Online_eCommerce[[#This Row],[Status]])</f>
        <v>21103186</v>
      </c>
      <c r="R1449" s="13">
        <f>SUMIFS(L:L,H:H,Online_eCommerce[[#This Row],[Brand]])</f>
        <v>14431000</v>
      </c>
      <c r="S1449" s="13">
        <f>SUMIF(H:H,Online_eCommerce[[#This Row],[Brand]],M:M)</f>
        <v>18760300</v>
      </c>
      <c r="T1449" s="13">
        <f>SUMIF(N:N,Online_eCommerce[[#This Row],[Assigned Supervisor]],L:L)</f>
        <v>12261500</v>
      </c>
    </row>
    <row r="1450" spans="1:20" x14ac:dyDescent="0.3">
      <c r="A1450" t="s">
        <v>2229</v>
      </c>
      <c r="B1450" t="s">
        <v>37</v>
      </c>
      <c r="C1450" t="s">
        <v>22</v>
      </c>
      <c r="D1450" t="s">
        <v>2230</v>
      </c>
      <c r="E1450" t="s">
        <v>46</v>
      </c>
      <c r="F1450" t="s">
        <v>129</v>
      </c>
      <c r="G1450" t="s">
        <v>60</v>
      </c>
      <c r="H1450" t="s">
        <v>61</v>
      </c>
      <c r="I1450">
        <v>800</v>
      </c>
      <c r="J1450">
        <v>1040</v>
      </c>
      <c r="K1450">
        <v>4</v>
      </c>
      <c r="L1450">
        <v>3200</v>
      </c>
      <c r="M1450">
        <v>4160</v>
      </c>
      <c r="N1450" t="s">
        <v>50</v>
      </c>
      <c r="O1450">
        <f t="shared" si="44"/>
        <v>3315</v>
      </c>
      <c r="P1450" s="13">
        <f t="shared" si="45"/>
        <v>2551588</v>
      </c>
      <c r="Q1450" s="13">
        <f>SUMIFS(M:M,E:E,Online_eCommerce[[#This Row],[Status]])</f>
        <v>28620410</v>
      </c>
      <c r="R1450" s="13">
        <f>SUMIFS(L:L,H:H,Online_eCommerce[[#This Row],[Brand]])</f>
        <v>10950150</v>
      </c>
      <c r="S1450" s="13">
        <f>SUMIF(H:H,Online_eCommerce[[#This Row],[Brand]],M:M)</f>
        <v>14235195</v>
      </c>
      <c r="T1450" s="13">
        <f>SUMIF(N:N,Online_eCommerce[[#This Row],[Assigned Supervisor]],L:L)</f>
        <v>12100590</v>
      </c>
    </row>
    <row r="1451" spans="1:20" hidden="1" x14ac:dyDescent="0.3">
      <c r="A1451" t="s">
        <v>2231</v>
      </c>
      <c r="B1451" t="s">
        <v>37</v>
      </c>
      <c r="C1451" t="s">
        <v>132</v>
      </c>
      <c r="D1451" t="s">
        <v>2232</v>
      </c>
      <c r="E1451" t="s">
        <v>96</v>
      </c>
      <c r="F1451" t="s">
        <v>133</v>
      </c>
      <c r="G1451" t="s">
        <v>66</v>
      </c>
      <c r="H1451" t="s">
        <v>21</v>
      </c>
      <c r="I1451">
        <v>600</v>
      </c>
      <c r="J1451">
        <v>780</v>
      </c>
      <c r="K1451">
        <v>1</v>
      </c>
      <c r="L1451">
        <v>600</v>
      </c>
      <c r="M1451">
        <v>780</v>
      </c>
      <c r="N1451" t="s">
        <v>56</v>
      </c>
      <c r="O1451">
        <f t="shared" si="44"/>
        <v>1690</v>
      </c>
      <c r="P1451" s="13">
        <f t="shared" si="45"/>
        <v>1989065</v>
      </c>
      <c r="Q1451" s="13">
        <f>SUMIFS(M:M,E:E,Online_eCommerce[[#This Row],[Status]])</f>
        <v>21233992</v>
      </c>
      <c r="R1451" s="13">
        <f>SUMIFS(L:L,H:H,Online_eCommerce[[#This Row],[Brand]])</f>
        <v>12435650</v>
      </c>
      <c r="S1451" s="13">
        <f>SUMIF(H:H,Online_eCommerce[[#This Row],[Brand]],M:M)</f>
        <v>16166345</v>
      </c>
      <c r="T1451" s="13">
        <f>SUMIF(N:N,Online_eCommerce[[#This Row],[Assigned Supervisor]],L:L)</f>
        <v>11733610</v>
      </c>
    </row>
    <row r="1452" spans="1:20" hidden="1" x14ac:dyDescent="0.3">
      <c r="A1452" t="s">
        <v>2233</v>
      </c>
      <c r="B1452" t="s">
        <v>73</v>
      </c>
      <c r="C1452" t="s">
        <v>136</v>
      </c>
      <c r="D1452" t="s">
        <v>2234</v>
      </c>
      <c r="E1452" t="s">
        <v>18</v>
      </c>
      <c r="F1452" t="s">
        <v>137</v>
      </c>
      <c r="G1452" t="s">
        <v>71</v>
      </c>
      <c r="H1452" t="s">
        <v>61</v>
      </c>
      <c r="I1452">
        <v>10500</v>
      </c>
      <c r="J1452">
        <v>13650</v>
      </c>
      <c r="K1452">
        <v>1</v>
      </c>
      <c r="L1452">
        <v>10500</v>
      </c>
      <c r="M1452">
        <v>13650</v>
      </c>
      <c r="N1452" t="s">
        <v>22</v>
      </c>
      <c r="O1452">
        <f t="shared" si="44"/>
        <v>9750</v>
      </c>
      <c r="P1452" s="13">
        <f t="shared" si="45"/>
        <v>2775162</v>
      </c>
      <c r="Q1452" s="13">
        <f>SUMIFS(M:M,E:E,Online_eCommerce[[#This Row],[Status]])</f>
        <v>28340455</v>
      </c>
      <c r="R1452" s="13">
        <f>SUMIFS(L:L,H:H,Online_eCommerce[[#This Row],[Brand]])</f>
        <v>10950150</v>
      </c>
      <c r="S1452" s="13">
        <f>SUMIF(H:H,Online_eCommerce[[#This Row],[Brand]],M:M)</f>
        <v>14235195</v>
      </c>
      <c r="T1452" s="13">
        <f>SUMIF(N:N,Online_eCommerce[[#This Row],[Assigned Supervisor]],L:L)</f>
        <v>13693220</v>
      </c>
    </row>
    <row r="1453" spans="1:20" hidden="1" x14ac:dyDescent="0.3">
      <c r="A1453" t="s">
        <v>2235</v>
      </c>
      <c r="B1453" t="s">
        <v>80</v>
      </c>
      <c r="C1453" t="s">
        <v>140</v>
      </c>
      <c r="D1453" t="s">
        <v>2236</v>
      </c>
      <c r="E1453" t="s">
        <v>161</v>
      </c>
      <c r="F1453" t="s">
        <v>2183</v>
      </c>
      <c r="G1453" t="s">
        <v>77</v>
      </c>
      <c r="H1453" t="s">
        <v>142</v>
      </c>
      <c r="I1453">
        <v>6500</v>
      </c>
      <c r="J1453">
        <v>8450</v>
      </c>
      <c r="K1453">
        <v>4</v>
      </c>
      <c r="L1453">
        <v>26000</v>
      </c>
      <c r="M1453">
        <v>33800</v>
      </c>
      <c r="N1453" t="s">
        <v>28</v>
      </c>
      <c r="O1453">
        <f t="shared" si="44"/>
        <v>39000</v>
      </c>
      <c r="P1453" s="13">
        <f t="shared" si="45"/>
        <v>2058264</v>
      </c>
      <c r="Q1453" s="13">
        <f>SUMIFS(M:M,E:E,Online_eCommerce[[#This Row],[Status]])</f>
        <v>21103186</v>
      </c>
      <c r="R1453" s="13">
        <f>SUMIFS(L:L,H:H,Online_eCommerce[[#This Row],[Brand]])</f>
        <v>6192500</v>
      </c>
      <c r="S1453" s="13">
        <f>SUMIF(H:H,Online_eCommerce[[#This Row],[Brand]],M:M)</f>
        <v>8050250</v>
      </c>
      <c r="T1453" s="13">
        <f>SUMIF(N:N,Online_eCommerce[[#This Row],[Assigned Supervisor]],L:L)</f>
        <v>12220830</v>
      </c>
    </row>
    <row r="1454" spans="1:20" x14ac:dyDescent="0.3">
      <c r="A1454" t="s">
        <v>2237</v>
      </c>
      <c r="B1454" t="s">
        <v>85</v>
      </c>
      <c r="C1454" t="s">
        <v>145</v>
      </c>
      <c r="D1454" t="s">
        <v>2238</v>
      </c>
      <c r="E1454" t="s">
        <v>46</v>
      </c>
      <c r="F1454" t="s">
        <v>2239</v>
      </c>
      <c r="G1454" t="s">
        <v>20</v>
      </c>
      <c r="H1454" t="s">
        <v>21</v>
      </c>
      <c r="I1454">
        <v>4500</v>
      </c>
      <c r="J1454">
        <v>5850</v>
      </c>
      <c r="K1454">
        <v>3</v>
      </c>
      <c r="L1454">
        <v>13500</v>
      </c>
      <c r="M1454">
        <v>17550</v>
      </c>
      <c r="N1454" t="s">
        <v>35</v>
      </c>
      <c r="O1454">
        <f t="shared" si="44"/>
        <v>8450</v>
      </c>
      <c r="P1454" s="13">
        <f t="shared" si="45"/>
        <v>2757859</v>
      </c>
      <c r="Q1454" s="13">
        <f>SUMIFS(M:M,E:E,Online_eCommerce[[#This Row],[Status]])</f>
        <v>28620410</v>
      </c>
      <c r="R1454" s="13">
        <f>SUMIFS(L:L,H:H,Online_eCommerce[[#This Row],[Brand]])</f>
        <v>12435650</v>
      </c>
      <c r="S1454" s="13">
        <f>SUMIF(H:H,Online_eCommerce[[#This Row],[Brand]],M:M)</f>
        <v>16166345</v>
      </c>
      <c r="T1454" s="13">
        <f>SUMIF(N:N,Online_eCommerce[[#This Row],[Assigned Supervisor]],L:L)</f>
        <v>14373360</v>
      </c>
    </row>
    <row r="1455" spans="1:20" hidden="1" x14ac:dyDescent="0.3">
      <c r="A1455" t="s">
        <v>2240</v>
      </c>
      <c r="B1455" t="s">
        <v>90</v>
      </c>
      <c r="C1455" t="s">
        <v>150</v>
      </c>
      <c r="D1455" t="s">
        <v>2241</v>
      </c>
      <c r="E1455" t="s">
        <v>96</v>
      </c>
      <c r="F1455" t="s">
        <v>152</v>
      </c>
      <c r="G1455" t="s">
        <v>26</v>
      </c>
      <c r="H1455" t="s">
        <v>27</v>
      </c>
      <c r="I1455">
        <v>8500</v>
      </c>
      <c r="J1455">
        <v>11050</v>
      </c>
      <c r="K1455">
        <v>3</v>
      </c>
      <c r="L1455">
        <v>25500</v>
      </c>
      <c r="M1455">
        <v>33150</v>
      </c>
      <c r="N1455" t="s">
        <v>42</v>
      </c>
      <c r="O1455">
        <f t="shared" si="44"/>
        <v>33150</v>
      </c>
      <c r="P1455" s="13">
        <f t="shared" si="45"/>
        <v>2154984</v>
      </c>
      <c r="Q1455" s="13">
        <f>SUMIFS(M:M,E:E,Online_eCommerce[[#This Row],[Status]])</f>
        <v>21233992</v>
      </c>
      <c r="R1455" s="13">
        <f>SUMIFS(L:L,H:H,Online_eCommerce[[#This Row],[Brand]])</f>
        <v>14431000</v>
      </c>
      <c r="S1455" s="13">
        <f>SUMIF(H:H,Online_eCommerce[[#This Row],[Brand]],M:M)</f>
        <v>18760300</v>
      </c>
      <c r="T1455" s="13">
        <f>SUMIF(N:N,Online_eCommerce[[#This Row],[Assigned Supervisor]],L:L)</f>
        <v>12261500</v>
      </c>
    </row>
    <row r="1456" spans="1:20" hidden="1" x14ac:dyDescent="0.3">
      <c r="A1456" t="s">
        <v>2242</v>
      </c>
      <c r="B1456" t="s">
        <v>232</v>
      </c>
      <c r="C1456" t="s">
        <v>155</v>
      </c>
      <c r="D1456" t="s">
        <v>2243</v>
      </c>
      <c r="E1456" t="s">
        <v>18</v>
      </c>
      <c r="F1456" t="s">
        <v>157</v>
      </c>
      <c r="G1456" t="s">
        <v>33</v>
      </c>
      <c r="H1456" t="s">
        <v>34</v>
      </c>
      <c r="I1456">
        <v>12500</v>
      </c>
      <c r="J1456">
        <v>16250</v>
      </c>
      <c r="K1456">
        <v>2</v>
      </c>
      <c r="L1456">
        <v>25000</v>
      </c>
      <c r="M1456">
        <v>32500</v>
      </c>
      <c r="N1456" t="s">
        <v>50</v>
      </c>
      <c r="O1456">
        <f t="shared" si="44"/>
        <v>18200</v>
      </c>
      <c r="P1456" s="13">
        <f t="shared" si="45"/>
        <v>2753348</v>
      </c>
      <c r="Q1456" s="13">
        <f>SUMIFS(M:M,E:E,Online_eCommerce[[#This Row],[Status]])</f>
        <v>28340455</v>
      </c>
      <c r="R1456" s="13">
        <f>SUMIFS(L:L,H:H,Online_eCommerce[[#This Row],[Brand]])</f>
        <v>10087000</v>
      </c>
      <c r="S1456" s="13">
        <f>SUMIF(H:H,Online_eCommerce[[#This Row],[Brand]],M:M)</f>
        <v>13113100</v>
      </c>
      <c r="T1456" s="13">
        <f>SUMIF(N:N,Online_eCommerce[[#This Row],[Assigned Supervisor]],L:L)</f>
        <v>12100590</v>
      </c>
    </row>
    <row r="1457" spans="1:20" hidden="1" x14ac:dyDescent="0.3">
      <c r="A1457" t="s">
        <v>2244</v>
      </c>
      <c r="B1457" t="s">
        <v>235</v>
      </c>
      <c r="C1457" t="s">
        <v>160</v>
      </c>
      <c r="D1457" t="s">
        <v>2245</v>
      </c>
      <c r="E1457" t="s">
        <v>161</v>
      </c>
      <c r="F1457" t="s">
        <v>1814</v>
      </c>
      <c r="G1457" t="s">
        <v>163</v>
      </c>
      <c r="H1457" t="s">
        <v>41</v>
      </c>
      <c r="I1457">
        <v>3500</v>
      </c>
      <c r="J1457">
        <v>4550</v>
      </c>
      <c r="K1457">
        <v>2</v>
      </c>
      <c r="L1457">
        <v>7000</v>
      </c>
      <c r="M1457">
        <v>9100</v>
      </c>
      <c r="N1457" t="s">
        <v>56</v>
      </c>
      <c r="O1457">
        <f t="shared" si="44"/>
        <v>13650</v>
      </c>
      <c r="P1457" s="13">
        <f t="shared" si="45"/>
        <v>2303483</v>
      </c>
      <c r="Q1457" s="13">
        <f>SUMIFS(M:M,E:E,Online_eCommerce[[#This Row],[Status]])</f>
        <v>21103186</v>
      </c>
      <c r="R1457" s="13">
        <f>SUMIFS(L:L,H:H,Online_eCommerce[[#This Row],[Brand]])</f>
        <v>4260400</v>
      </c>
      <c r="S1457" s="13">
        <f>SUMIF(H:H,Online_eCommerce[[#This Row],[Brand]],M:M)</f>
        <v>5538520</v>
      </c>
      <c r="T1457" s="13">
        <f>SUMIF(N:N,Online_eCommerce[[#This Row],[Assigned Supervisor]],L:L)</f>
        <v>11733610</v>
      </c>
    </row>
    <row r="1458" spans="1:20" x14ac:dyDescent="0.3">
      <c r="A1458" t="s">
        <v>2246</v>
      </c>
      <c r="B1458" t="s">
        <v>104</v>
      </c>
      <c r="C1458" t="s">
        <v>165</v>
      </c>
      <c r="D1458" t="s">
        <v>2247</v>
      </c>
      <c r="E1458" t="s">
        <v>46</v>
      </c>
      <c r="F1458" t="s">
        <v>166</v>
      </c>
      <c r="G1458" t="s">
        <v>66</v>
      </c>
      <c r="H1458" t="s">
        <v>49</v>
      </c>
      <c r="I1458">
        <v>4500</v>
      </c>
      <c r="J1458">
        <v>5850</v>
      </c>
      <c r="K1458">
        <v>3</v>
      </c>
      <c r="L1458">
        <v>13500</v>
      </c>
      <c r="M1458">
        <v>17550</v>
      </c>
      <c r="N1458" t="s">
        <v>22</v>
      </c>
      <c r="O1458">
        <f t="shared" si="44"/>
        <v>1690</v>
      </c>
      <c r="P1458" s="13">
        <f t="shared" si="45"/>
        <v>2674087</v>
      </c>
      <c r="Q1458" s="13">
        <f>SUMIFS(M:M,E:E,Online_eCommerce[[#This Row],[Status]])</f>
        <v>28620410</v>
      </c>
      <c r="R1458" s="13">
        <f>SUMIFS(L:L,H:H,Online_eCommerce[[#This Row],[Brand]])</f>
        <v>4528350</v>
      </c>
      <c r="S1458" s="13">
        <f>SUMIF(H:H,Online_eCommerce[[#This Row],[Brand]],M:M)</f>
        <v>5886855</v>
      </c>
      <c r="T1458" s="13">
        <f>SUMIF(N:N,Online_eCommerce[[#This Row],[Assigned Supervisor]],L:L)</f>
        <v>13693220</v>
      </c>
    </row>
    <row r="1459" spans="1:20" hidden="1" x14ac:dyDescent="0.3">
      <c r="A1459" t="s">
        <v>2248</v>
      </c>
      <c r="B1459" t="s">
        <v>109</v>
      </c>
      <c r="C1459" t="s">
        <v>168</v>
      </c>
      <c r="D1459" t="s">
        <v>2249</v>
      </c>
      <c r="E1459" t="s">
        <v>96</v>
      </c>
      <c r="F1459" t="s">
        <v>2250</v>
      </c>
      <c r="G1459" t="s">
        <v>54</v>
      </c>
      <c r="H1459" t="s">
        <v>55</v>
      </c>
      <c r="I1459">
        <v>2100</v>
      </c>
      <c r="J1459">
        <v>2730</v>
      </c>
      <c r="K1459">
        <v>3</v>
      </c>
      <c r="L1459">
        <v>6300</v>
      </c>
      <c r="M1459">
        <v>8190</v>
      </c>
      <c r="N1459" t="s">
        <v>28</v>
      </c>
      <c r="O1459">
        <f t="shared" si="44"/>
        <v>2990</v>
      </c>
      <c r="P1459" s="13">
        <f t="shared" si="45"/>
        <v>1937780</v>
      </c>
      <c r="Q1459" s="13">
        <f>SUMIFS(M:M,E:E,Online_eCommerce[[#This Row],[Status]])</f>
        <v>21233992</v>
      </c>
      <c r="R1459" s="13">
        <f>SUMIFS(L:L,H:H,Online_eCommerce[[#This Row],[Brand]])</f>
        <v>2267380</v>
      </c>
      <c r="S1459" s="13">
        <f>SUMIF(H:H,Online_eCommerce[[#This Row],[Brand]],M:M)</f>
        <v>2947594</v>
      </c>
      <c r="T1459" s="13">
        <f>SUMIF(N:N,Online_eCommerce[[#This Row],[Assigned Supervisor]],L:L)</f>
        <v>12220830</v>
      </c>
    </row>
    <row r="1460" spans="1:20" hidden="1" x14ac:dyDescent="0.3">
      <c r="A1460" t="s">
        <v>2251</v>
      </c>
      <c r="B1460" t="s">
        <v>114</v>
      </c>
      <c r="C1460" t="s">
        <v>172</v>
      </c>
      <c r="D1460" t="s">
        <v>2252</v>
      </c>
      <c r="E1460" t="s">
        <v>18</v>
      </c>
      <c r="F1460" t="s">
        <v>174</v>
      </c>
      <c r="G1460" t="s">
        <v>60</v>
      </c>
      <c r="H1460" t="s">
        <v>61</v>
      </c>
      <c r="I1460">
        <v>1150</v>
      </c>
      <c r="J1460">
        <v>1495</v>
      </c>
      <c r="K1460">
        <v>3</v>
      </c>
      <c r="L1460">
        <v>3450</v>
      </c>
      <c r="M1460">
        <v>4485</v>
      </c>
      <c r="N1460" t="s">
        <v>35</v>
      </c>
      <c r="O1460">
        <f t="shared" si="44"/>
        <v>3315</v>
      </c>
      <c r="P1460" s="13">
        <f t="shared" si="45"/>
        <v>2640274</v>
      </c>
      <c r="Q1460" s="13">
        <f>SUMIFS(M:M,E:E,Online_eCommerce[[#This Row],[Status]])</f>
        <v>28340455</v>
      </c>
      <c r="R1460" s="13">
        <f>SUMIFS(L:L,H:H,Online_eCommerce[[#This Row],[Brand]])</f>
        <v>10950150</v>
      </c>
      <c r="S1460" s="13">
        <f>SUMIF(H:H,Online_eCommerce[[#This Row],[Brand]],M:M)</f>
        <v>14235195</v>
      </c>
      <c r="T1460" s="13">
        <f>SUMIF(N:N,Online_eCommerce[[#This Row],[Assigned Supervisor]],L:L)</f>
        <v>14373360</v>
      </c>
    </row>
    <row r="1461" spans="1:20" hidden="1" x14ac:dyDescent="0.3">
      <c r="A1461" t="s">
        <v>2253</v>
      </c>
      <c r="B1461" t="s">
        <v>119</v>
      </c>
      <c r="C1461" t="s">
        <v>177</v>
      </c>
      <c r="D1461" t="s">
        <v>2254</v>
      </c>
      <c r="E1461" t="s">
        <v>161</v>
      </c>
      <c r="F1461" t="s">
        <v>179</v>
      </c>
      <c r="G1461" t="s">
        <v>66</v>
      </c>
      <c r="H1461" t="s">
        <v>21</v>
      </c>
      <c r="I1461">
        <v>350</v>
      </c>
      <c r="J1461">
        <v>455</v>
      </c>
      <c r="K1461">
        <v>4</v>
      </c>
      <c r="L1461">
        <v>1400</v>
      </c>
      <c r="M1461">
        <v>1820</v>
      </c>
      <c r="N1461" t="s">
        <v>42</v>
      </c>
      <c r="O1461">
        <f t="shared" si="44"/>
        <v>1690</v>
      </c>
      <c r="P1461" s="13">
        <f t="shared" si="45"/>
        <v>1863810</v>
      </c>
      <c r="Q1461" s="13">
        <f>SUMIFS(M:M,E:E,Online_eCommerce[[#This Row],[Status]])</f>
        <v>21103186</v>
      </c>
      <c r="R1461" s="13">
        <f>SUMIFS(L:L,H:H,Online_eCommerce[[#This Row],[Brand]])</f>
        <v>12435650</v>
      </c>
      <c r="S1461" s="13">
        <f>SUMIF(H:H,Online_eCommerce[[#This Row],[Brand]],M:M)</f>
        <v>16166345</v>
      </c>
      <c r="T1461" s="13">
        <f>SUMIF(N:N,Online_eCommerce[[#This Row],[Assigned Supervisor]],L:L)</f>
        <v>12261500</v>
      </c>
    </row>
    <row r="1462" spans="1:20" x14ac:dyDescent="0.3">
      <c r="A1462" t="s">
        <v>2255</v>
      </c>
      <c r="B1462" t="s">
        <v>124</v>
      </c>
      <c r="C1462" t="s">
        <v>181</v>
      </c>
      <c r="D1462" t="s">
        <v>2256</v>
      </c>
      <c r="E1462" t="s">
        <v>46</v>
      </c>
      <c r="F1462" t="s">
        <v>183</v>
      </c>
      <c r="G1462" t="s">
        <v>71</v>
      </c>
      <c r="H1462" t="s">
        <v>61</v>
      </c>
      <c r="I1462">
        <v>9500</v>
      </c>
      <c r="J1462">
        <v>12350</v>
      </c>
      <c r="K1462">
        <v>2</v>
      </c>
      <c r="L1462">
        <v>19000</v>
      </c>
      <c r="M1462">
        <v>24700</v>
      </c>
      <c r="N1462" t="s">
        <v>50</v>
      </c>
      <c r="O1462">
        <f t="shared" si="44"/>
        <v>9750</v>
      </c>
      <c r="P1462" s="13">
        <f t="shared" si="45"/>
        <v>2577458</v>
      </c>
      <c r="Q1462" s="13">
        <f>SUMIFS(M:M,E:E,Online_eCommerce[[#This Row],[Status]])</f>
        <v>28620410</v>
      </c>
      <c r="R1462" s="13">
        <f>SUMIFS(L:L,H:H,Online_eCommerce[[#This Row],[Brand]])</f>
        <v>10950150</v>
      </c>
      <c r="S1462" s="13">
        <f>SUMIF(H:H,Online_eCommerce[[#This Row],[Brand]],M:M)</f>
        <v>14235195</v>
      </c>
      <c r="T1462" s="13">
        <f>SUMIF(N:N,Online_eCommerce[[#This Row],[Assigned Supervisor]],L:L)</f>
        <v>12100590</v>
      </c>
    </row>
    <row r="1463" spans="1:20" hidden="1" x14ac:dyDescent="0.3">
      <c r="A1463" t="s">
        <v>2257</v>
      </c>
      <c r="B1463" t="s">
        <v>128</v>
      </c>
      <c r="C1463" t="s">
        <v>185</v>
      </c>
      <c r="D1463" t="s">
        <v>2258</v>
      </c>
      <c r="E1463" t="s">
        <v>96</v>
      </c>
      <c r="F1463" t="s">
        <v>2259</v>
      </c>
      <c r="G1463" t="s">
        <v>77</v>
      </c>
      <c r="H1463" t="s">
        <v>142</v>
      </c>
      <c r="I1463">
        <v>10000</v>
      </c>
      <c r="J1463">
        <v>13000</v>
      </c>
      <c r="K1463">
        <v>3</v>
      </c>
      <c r="L1463">
        <v>30000</v>
      </c>
      <c r="M1463">
        <v>39000</v>
      </c>
      <c r="N1463" t="s">
        <v>56</v>
      </c>
      <c r="O1463">
        <f t="shared" si="44"/>
        <v>39000</v>
      </c>
      <c r="P1463" s="13">
        <f t="shared" si="45"/>
        <v>2091596</v>
      </c>
      <c r="Q1463" s="13">
        <f>SUMIFS(M:M,E:E,Online_eCommerce[[#This Row],[Status]])</f>
        <v>21233992</v>
      </c>
      <c r="R1463" s="13">
        <f>SUMIFS(L:L,H:H,Online_eCommerce[[#This Row],[Brand]])</f>
        <v>6192500</v>
      </c>
      <c r="S1463" s="13">
        <f>SUMIF(H:H,Online_eCommerce[[#This Row],[Brand]],M:M)</f>
        <v>8050250</v>
      </c>
      <c r="T1463" s="13">
        <f>SUMIF(N:N,Online_eCommerce[[#This Row],[Assigned Supervisor]],L:L)</f>
        <v>11733610</v>
      </c>
    </row>
    <row r="1464" spans="1:20" hidden="1" x14ac:dyDescent="0.3">
      <c r="A1464" t="s">
        <v>2260</v>
      </c>
      <c r="B1464" t="s">
        <v>131</v>
      </c>
      <c r="C1464" t="s">
        <v>189</v>
      </c>
      <c r="D1464" t="s">
        <v>2261</v>
      </c>
      <c r="E1464" t="s">
        <v>18</v>
      </c>
      <c r="F1464" t="s">
        <v>2262</v>
      </c>
      <c r="G1464" t="s">
        <v>20</v>
      </c>
      <c r="H1464" t="s">
        <v>21</v>
      </c>
      <c r="I1464">
        <v>6500</v>
      </c>
      <c r="J1464">
        <v>8450</v>
      </c>
      <c r="K1464">
        <v>1</v>
      </c>
      <c r="L1464">
        <v>6500</v>
      </c>
      <c r="M1464">
        <v>8450</v>
      </c>
      <c r="N1464" t="s">
        <v>22</v>
      </c>
      <c r="O1464">
        <f t="shared" si="44"/>
        <v>8450</v>
      </c>
      <c r="P1464" s="13">
        <f t="shared" si="45"/>
        <v>2740777</v>
      </c>
      <c r="Q1464" s="13">
        <f>SUMIFS(M:M,E:E,Online_eCommerce[[#This Row],[Status]])</f>
        <v>28340455</v>
      </c>
      <c r="R1464" s="13">
        <f>SUMIFS(L:L,H:H,Online_eCommerce[[#This Row],[Brand]])</f>
        <v>12435650</v>
      </c>
      <c r="S1464" s="13">
        <f>SUMIF(H:H,Online_eCommerce[[#This Row],[Brand]],M:M)</f>
        <v>16166345</v>
      </c>
      <c r="T1464" s="13">
        <f>SUMIF(N:N,Online_eCommerce[[#This Row],[Assigned Supervisor]],L:L)</f>
        <v>13693220</v>
      </c>
    </row>
    <row r="1465" spans="1:20" hidden="1" x14ac:dyDescent="0.3">
      <c r="A1465" t="s">
        <v>2263</v>
      </c>
      <c r="B1465" t="s">
        <v>135</v>
      </c>
      <c r="C1465" t="s">
        <v>193</v>
      </c>
      <c r="D1465" t="s">
        <v>2264</v>
      </c>
      <c r="E1465" t="s">
        <v>161</v>
      </c>
      <c r="F1465" t="s">
        <v>2265</v>
      </c>
      <c r="G1465" t="s">
        <v>26</v>
      </c>
      <c r="H1465" t="s">
        <v>27</v>
      </c>
      <c r="I1465">
        <v>8500</v>
      </c>
      <c r="J1465">
        <v>11050</v>
      </c>
      <c r="K1465">
        <v>4</v>
      </c>
      <c r="L1465">
        <v>34000</v>
      </c>
      <c r="M1465">
        <v>44200</v>
      </c>
      <c r="N1465" t="s">
        <v>28</v>
      </c>
      <c r="O1465">
        <f t="shared" si="44"/>
        <v>33150</v>
      </c>
      <c r="P1465" s="13">
        <f t="shared" si="45"/>
        <v>2074774</v>
      </c>
      <c r="Q1465" s="13">
        <f>SUMIFS(M:M,E:E,Online_eCommerce[[#This Row],[Status]])</f>
        <v>21103186</v>
      </c>
      <c r="R1465" s="13">
        <f>SUMIFS(L:L,H:H,Online_eCommerce[[#This Row],[Brand]])</f>
        <v>14431000</v>
      </c>
      <c r="S1465" s="13">
        <f>SUMIF(H:H,Online_eCommerce[[#This Row],[Brand]],M:M)</f>
        <v>18760300</v>
      </c>
      <c r="T1465" s="13">
        <f>SUMIF(N:N,Online_eCommerce[[#This Row],[Assigned Supervisor]],L:L)</f>
        <v>12220830</v>
      </c>
    </row>
    <row r="1466" spans="1:20" x14ac:dyDescent="0.3">
      <c r="A1466" t="s">
        <v>2266</v>
      </c>
      <c r="B1466" t="s">
        <v>139</v>
      </c>
      <c r="C1466" t="s">
        <v>197</v>
      </c>
      <c r="D1466" t="s">
        <v>2267</v>
      </c>
      <c r="E1466" t="s">
        <v>46</v>
      </c>
      <c r="F1466" t="s">
        <v>32</v>
      </c>
      <c r="G1466" t="s">
        <v>33</v>
      </c>
      <c r="H1466" t="s">
        <v>34</v>
      </c>
      <c r="I1466">
        <v>7000</v>
      </c>
      <c r="J1466">
        <v>9100</v>
      </c>
      <c r="K1466">
        <v>4</v>
      </c>
      <c r="L1466">
        <v>28000</v>
      </c>
      <c r="M1466">
        <v>36400</v>
      </c>
      <c r="N1466" t="s">
        <v>35</v>
      </c>
      <c r="O1466">
        <f t="shared" si="44"/>
        <v>18200</v>
      </c>
      <c r="P1466" s="13">
        <f t="shared" si="45"/>
        <v>2829840</v>
      </c>
      <c r="Q1466" s="13">
        <f>SUMIFS(M:M,E:E,Online_eCommerce[[#This Row],[Status]])</f>
        <v>28620410</v>
      </c>
      <c r="R1466" s="13">
        <f>SUMIFS(L:L,H:H,Online_eCommerce[[#This Row],[Brand]])</f>
        <v>10087000</v>
      </c>
      <c r="S1466" s="13">
        <f>SUMIF(H:H,Online_eCommerce[[#This Row],[Brand]],M:M)</f>
        <v>13113100</v>
      </c>
      <c r="T1466" s="13">
        <f>SUMIF(N:N,Online_eCommerce[[#This Row],[Assigned Supervisor]],L:L)</f>
        <v>14373360</v>
      </c>
    </row>
    <row r="1467" spans="1:20" hidden="1" x14ac:dyDescent="0.3">
      <c r="A1467" t="s">
        <v>2268</v>
      </c>
      <c r="B1467" t="s">
        <v>144</v>
      </c>
      <c r="C1467" t="s">
        <v>199</v>
      </c>
      <c r="D1467" t="s">
        <v>2269</v>
      </c>
      <c r="E1467" t="s">
        <v>96</v>
      </c>
      <c r="F1467" t="s">
        <v>2270</v>
      </c>
      <c r="G1467" t="s">
        <v>163</v>
      </c>
      <c r="H1467" t="s">
        <v>41</v>
      </c>
      <c r="I1467">
        <v>6550</v>
      </c>
      <c r="J1467">
        <v>8515</v>
      </c>
      <c r="K1467">
        <v>3</v>
      </c>
      <c r="L1467">
        <v>19650</v>
      </c>
      <c r="M1467">
        <v>25545</v>
      </c>
      <c r="N1467" t="s">
        <v>42</v>
      </c>
      <c r="O1467">
        <f t="shared" si="44"/>
        <v>13650</v>
      </c>
      <c r="P1467" s="13">
        <f t="shared" si="45"/>
        <v>1947361</v>
      </c>
      <c r="Q1467" s="13">
        <f>SUMIFS(M:M,E:E,Online_eCommerce[[#This Row],[Status]])</f>
        <v>21233992</v>
      </c>
      <c r="R1467" s="13">
        <f>SUMIFS(L:L,H:H,Online_eCommerce[[#This Row],[Brand]])</f>
        <v>4260400</v>
      </c>
      <c r="S1467" s="13">
        <f>SUMIF(H:H,Online_eCommerce[[#This Row],[Brand]],M:M)</f>
        <v>5538520</v>
      </c>
      <c r="T1467" s="13">
        <f>SUMIF(N:N,Online_eCommerce[[#This Row],[Assigned Supervisor]],L:L)</f>
        <v>12261500</v>
      </c>
    </row>
    <row r="1468" spans="1:20" hidden="1" x14ac:dyDescent="0.3">
      <c r="A1468" t="s">
        <v>2271</v>
      </c>
      <c r="B1468" t="s">
        <v>149</v>
      </c>
      <c r="C1468" t="s">
        <v>203</v>
      </c>
      <c r="D1468" t="s">
        <v>2269</v>
      </c>
      <c r="E1468" t="s">
        <v>18</v>
      </c>
      <c r="F1468" t="s">
        <v>47</v>
      </c>
      <c r="G1468" t="s">
        <v>66</v>
      </c>
      <c r="H1468" t="s">
        <v>49</v>
      </c>
      <c r="I1468">
        <v>7650</v>
      </c>
      <c r="J1468">
        <v>9945</v>
      </c>
      <c r="K1468">
        <v>3</v>
      </c>
      <c r="L1468">
        <v>22950</v>
      </c>
      <c r="M1468">
        <v>29835</v>
      </c>
      <c r="N1468" t="s">
        <v>50</v>
      </c>
      <c r="O1468">
        <f t="shared" si="44"/>
        <v>1690</v>
      </c>
      <c r="P1468" s="13">
        <f t="shared" si="45"/>
        <v>2559635</v>
      </c>
      <c r="Q1468" s="13">
        <f>SUMIFS(M:M,E:E,Online_eCommerce[[#This Row],[Status]])</f>
        <v>28340455</v>
      </c>
      <c r="R1468" s="13">
        <f>SUMIFS(L:L,H:H,Online_eCommerce[[#This Row],[Brand]])</f>
        <v>4528350</v>
      </c>
      <c r="S1468" s="13">
        <f>SUMIF(H:H,Online_eCommerce[[#This Row],[Brand]],M:M)</f>
        <v>5886855</v>
      </c>
      <c r="T1468" s="13">
        <f>SUMIF(N:N,Online_eCommerce[[#This Row],[Assigned Supervisor]],L:L)</f>
        <v>12100590</v>
      </c>
    </row>
    <row r="1469" spans="1:20" hidden="1" x14ac:dyDescent="0.3">
      <c r="A1469" t="s">
        <v>2272</v>
      </c>
      <c r="B1469" t="s">
        <v>154</v>
      </c>
      <c r="C1469" t="s">
        <v>205</v>
      </c>
      <c r="D1469" t="s">
        <v>2269</v>
      </c>
      <c r="E1469" t="s">
        <v>161</v>
      </c>
      <c r="F1469" t="s">
        <v>53</v>
      </c>
      <c r="G1469" t="s">
        <v>54</v>
      </c>
      <c r="H1469" t="s">
        <v>55</v>
      </c>
      <c r="I1469">
        <v>1150</v>
      </c>
      <c r="J1469">
        <v>1495</v>
      </c>
      <c r="K1469">
        <v>1</v>
      </c>
      <c r="L1469">
        <v>1150</v>
      </c>
      <c r="M1469">
        <v>1495</v>
      </c>
      <c r="N1469" t="s">
        <v>56</v>
      </c>
      <c r="O1469">
        <f t="shared" si="44"/>
        <v>2990</v>
      </c>
      <c r="P1469" s="13">
        <f t="shared" si="45"/>
        <v>1983254</v>
      </c>
      <c r="Q1469" s="13">
        <f>SUMIFS(M:M,E:E,Online_eCommerce[[#This Row],[Status]])</f>
        <v>21103186</v>
      </c>
      <c r="R1469" s="13">
        <f>SUMIFS(L:L,H:H,Online_eCommerce[[#This Row],[Brand]])</f>
        <v>2267380</v>
      </c>
      <c r="S1469" s="13">
        <f>SUMIF(H:H,Online_eCommerce[[#This Row],[Brand]],M:M)</f>
        <v>2947594</v>
      </c>
      <c r="T1469" s="13">
        <f>SUMIF(N:N,Online_eCommerce[[#This Row],[Assigned Supervisor]],L:L)</f>
        <v>11733610</v>
      </c>
    </row>
    <row r="1470" spans="1:20" x14ac:dyDescent="0.3">
      <c r="A1470" t="s">
        <v>2273</v>
      </c>
      <c r="B1470" t="s">
        <v>159</v>
      </c>
      <c r="C1470" t="s">
        <v>208</v>
      </c>
      <c r="D1470" t="s">
        <v>2269</v>
      </c>
      <c r="E1470" t="s">
        <v>46</v>
      </c>
      <c r="F1470" t="s">
        <v>59</v>
      </c>
      <c r="G1470" t="s">
        <v>60</v>
      </c>
      <c r="H1470" t="s">
        <v>61</v>
      </c>
      <c r="I1470">
        <v>850</v>
      </c>
      <c r="J1470">
        <v>1105</v>
      </c>
      <c r="K1470">
        <v>1</v>
      </c>
      <c r="L1470">
        <v>850</v>
      </c>
      <c r="M1470">
        <v>1105</v>
      </c>
      <c r="N1470" t="s">
        <v>22</v>
      </c>
      <c r="O1470">
        <f t="shared" si="44"/>
        <v>3315</v>
      </c>
      <c r="P1470" s="13">
        <f t="shared" si="45"/>
        <v>2746575</v>
      </c>
      <c r="Q1470" s="13">
        <f>SUMIFS(M:M,E:E,Online_eCommerce[[#This Row],[Status]])</f>
        <v>28620410</v>
      </c>
      <c r="R1470" s="13">
        <f>SUMIFS(L:L,H:H,Online_eCommerce[[#This Row],[Brand]])</f>
        <v>10950150</v>
      </c>
      <c r="S1470" s="13">
        <f>SUMIF(H:H,Online_eCommerce[[#This Row],[Brand]],M:M)</f>
        <v>14235195</v>
      </c>
      <c r="T1470" s="13">
        <f>SUMIF(N:N,Online_eCommerce[[#This Row],[Assigned Supervisor]],L:L)</f>
        <v>13693220</v>
      </c>
    </row>
    <row r="1471" spans="1:20" hidden="1" x14ac:dyDescent="0.3">
      <c r="A1471" t="s">
        <v>2274</v>
      </c>
      <c r="B1471" t="s">
        <v>139</v>
      </c>
      <c r="C1471" t="s">
        <v>211</v>
      </c>
      <c r="D1471" t="s">
        <v>2269</v>
      </c>
      <c r="E1471" t="s">
        <v>96</v>
      </c>
      <c r="F1471" t="s">
        <v>65</v>
      </c>
      <c r="G1471" t="s">
        <v>66</v>
      </c>
      <c r="H1471" t="s">
        <v>21</v>
      </c>
      <c r="I1471">
        <v>650</v>
      </c>
      <c r="J1471">
        <v>845</v>
      </c>
      <c r="K1471">
        <v>4</v>
      </c>
      <c r="L1471">
        <v>2600</v>
      </c>
      <c r="M1471">
        <v>3380</v>
      </c>
      <c r="N1471" t="s">
        <v>28</v>
      </c>
      <c r="O1471">
        <f t="shared" si="44"/>
        <v>1690</v>
      </c>
      <c r="P1471" s="13">
        <f t="shared" si="45"/>
        <v>1809847</v>
      </c>
      <c r="Q1471" s="13">
        <f>SUMIFS(M:M,E:E,Online_eCommerce[[#This Row],[Status]])</f>
        <v>21233992</v>
      </c>
      <c r="R1471" s="13">
        <f>SUMIFS(L:L,H:H,Online_eCommerce[[#This Row],[Brand]])</f>
        <v>12435650</v>
      </c>
      <c r="S1471" s="13">
        <f>SUMIF(H:H,Online_eCommerce[[#This Row],[Brand]],M:M)</f>
        <v>16166345</v>
      </c>
      <c r="T1471" s="13">
        <f>SUMIF(N:N,Online_eCommerce[[#This Row],[Assigned Supervisor]],L:L)</f>
        <v>12220830</v>
      </c>
    </row>
    <row r="1472" spans="1:20" hidden="1" x14ac:dyDescent="0.3">
      <c r="A1472" t="s">
        <v>2275</v>
      </c>
      <c r="B1472" t="s">
        <v>144</v>
      </c>
      <c r="C1472" t="s">
        <v>16</v>
      </c>
      <c r="D1472" t="s">
        <v>2269</v>
      </c>
      <c r="E1472" t="s">
        <v>18</v>
      </c>
      <c r="F1472" t="s">
        <v>70</v>
      </c>
      <c r="G1472" t="s">
        <v>71</v>
      </c>
      <c r="H1472" t="s">
        <v>61</v>
      </c>
      <c r="I1472">
        <v>7500</v>
      </c>
      <c r="J1472">
        <v>9750</v>
      </c>
      <c r="K1472">
        <v>3</v>
      </c>
      <c r="L1472">
        <v>22500</v>
      </c>
      <c r="M1472">
        <v>29250</v>
      </c>
      <c r="N1472" t="s">
        <v>35</v>
      </c>
      <c r="O1472">
        <f t="shared" si="44"/>
        <v>9750</v>
      </c>
      <c r="P1472" s="13">
        <f t="shared" si="45"/>
        <v>2751814</v>
      </c>
      <c r="Q1472" s="13">
        <f>SUMIFS(M:M,E:E,Online_eCommerce[[#This Row],[Status]])</f>
        <v>28340455</v>
      </c>
      <c r="R1472" s="13">
        <f>SUMIFS(L:L,H:H,Online_eCommerce[[#This Row],[Brand]])</f>
        <v>10950150</v>
      </c>
      <c r="S1472" s="13">
        <f>SUMIF(H:H,Online_eCommerce[[#This Row],[Brand]],M:M)</f>
        <v>14235195</v>
      </c>
      <c r="T1472" s="13">
        <f>SUMIF(N:N,Online_eCommerce[[#This Row],[Assigned Supervisor]],L:L)</f>
        <v>14373360</v>
      </c>
    </row>
    <row r="1473" spans="1:20" hidden="1" x14ac:dyDescent="0.3">
      <c r="A1473" t="s">
        <v>2276</v>
      </c>
      <c r="B1473" t="s">
        <v>171</v>
      </c>
      <c r="C1473" t="s">
        <v>24</v>
      </c>
      <c r="D1473" t="s">
        <v>2269</v>
      </c>
      <c r="E1473" t="s">
        <v>161</v>
      </c>
      <c r="F1473" t="s">
        <v>2259</v>
      </c>
      <c r="G1473" t="s">
        <v>77</v>
      </c>
      <c r="H1473" t="s">
        <v>78</v>
      </c>
      <c r="I1473">
        <v>10000</v>
      </c>
      <c r="J1473">
        <v>13000</v>
      </c>
      <c r="K1473">
        <v>4</v>
      </c>
      <c r="L1473">
        <v>40000</v>
      </c>
      <c r="M1473">
        <v>52000</v>
      </c>
      <c r="N1473" t="s">
        <v>42</v>
      </c>
      <c r="O1473">
        <f t="shared" si="44"/>
        <v>39000</v>
      </c>
      <c r="P1473" s="13">
        <f t="shared" si="45"/>
        <v>2009540</v>
      </c>
      <c r="Q1473" s="13">
        <f>SUMIFS(M:M,E:E,Online_eCommerce[[#This Row],[Status]])</f>
        <v>21103186</v>
      </c>
      <c r="R1473" s="13">
        <f>SUMIFS(L:L,H:H,Online_eCommerce[[#This Row],[Brand]])</f>
        <v>3720000</v>
      </c>
      <c r="S1473" s="13">
        <f>SUMIF(H:H,Online_eCommerce[[#This Row],[Brand]],M:M)</f>
        <v>4836000</v>
      </c>
      <c r="T1473" s="13">
        <f>SUMIF(N:N,Online_eCommerce[[#This Row],[Assigned Supervisor]],L:L)</f>
        <v>12261500</v>
      </c>
    </row>
    <row r="1474" spans="1:20" x14ac:dyDescent="0.3">
      <c r="A1474" t="s">
        <v>2277</v>
      </c>
      <c r="B1474" t="s">
        <v>176</v>
      </c>
      <c r="C1474" t="s">
        <v>31</v>
      </c>
      <c r="D1474" t="s">
        <v>2269</v>
      </c>
      <c r="E1474" t="s">
        <v>46</v>
      </c>
      <c r="F1474" t="s">
        <v>2278</v>
      </c>
      <c r="G1474" t="s">
        <v>20</v>
      </c>
      <c r="H1474" t="s">
        <v>21</v>
      </c>
      <c r="I1474">
        <v>10500</v>
      </c>
      <c r="J1474">
        <v>13650</v>
      </c>
      <c r="K1474">
        <v>1</v>
      </c>
      <c r="L1474">
        <v>10500</v>
      </c>
      <c r="M1474">
        <v>13650</v>
      </c>
      <c r="N1474" t="s">
        <v>50</v>
      </c>
      <c r="O1474">
        <f t="shared" ref="O1474:O1537" si="46">VLOOKUP(G1474,G:M,7,FALSE)</f>
        <v>8450</v>
      </c>
      <c r="P1474" s="13">
        <f t="shared" ref="P1474:P1537" si="47">SUMIFS(M:M,C:C,C1474)</f>
        <v>2865746</v>
      </c>
      <c r="Q1474" s="13">
        <f>SUMIFS(M:M,E:E,Online_eCommerce[[#This Row],[Status]])</f>
        <v>28620410</v>
      </c>
      <c r="R1474" s="13">
        <f>SUMIFS(L:L,H:H,Online_eCommerce[[#This Row],[Brand]])</f>
        <v>12435650</v>
      </c>
      <c r="S1474" s="13">
        <f>SUMIF(H:H,Online_eCommerce[[#This Row],[Brand]],M:M)</f>
        <v>16166345</v>
      </c>
      <c r="T1474" s="13">
        <f>SUMIF(N:N,Online_eCommerce[[#This Row],[Assigned Supervisor]],L:L)</f>
        <v>12100590</v>
      </c>
    </row>
    <row r="1475" spans="1:20" hidden="1" x14ac:dyDescent="0.3">
      <c r="A1475" t="s">
        <v>2279</v>
      </c>
      <c r="B1475" t="s">
        <v>276</v>
      </c>
      <c r="C1475" t="s">
        <v>38</v>
      </c>
      <c r="D1475" t="s">
        <v>2280</v>
      </c>
      <c r="E1475" t="s">
        <v>96</v>
      </c>
      <c r="F1475" t="s">
        <v>88</v>
      </c>
      <c r="G1475" t="s">
        <v>26</v>
      </c>
      <c r="H1475" t="s">
        <v>27</v>
      </c>
      <c r="I1475">
        <v>8500</v>
      </c>
      <c r="J1475">
        <v>11050</v>
      </c>
      <c r="K1475">
        <v>2</v>
      </c>
      <c r="L1475">
        <v>17000</v>
      </c>
      <c r="M1475">
        <v>22100</v>
      </c>
      <c r="N1475" t="s">
        <v>56</v>
      </c>
      <c r="O1475">
        <f t="shared" si="46"/>
        <v>33150</v>
      </c>
      <c r="P1475" s="13">
        <f t="shared" si="47"/>
        <v>1933997</v>
      </c>
      <c r="Q1475" s="13">
        <f>SUMIFS(M:M,E:E,Online_eCommerce[[#This Row],[Status]])</f>
        <v>21233992</v>
      </c>
      <c r="R1475" s="13">
        <f>SUMIFS(L:L,H:H,Online_eCommerce[[#This Row],[Brand]])</f>
        <v>14431000</v>
      </c>
      <c r="S1475" s="13">
        <f>SUMIF(H:H,Online_eCommerce[[#This Row],[Brand]],M:M)</f>
        <v>18760300</v>
      </c>
      <c r="T1475" s="13">
        <f>SUMIF(N:N,Online_eCommerce[[#This Row],[Assigned Supervisor]],L:L)</f>
        <v>11733610</v>
      </c>
    </row>
    <row r="1476" spans="1:20" hidden="1" x14ac:dyDescent="0.3">
      <c r="A1476" t="s">
        <v>2281</v>
      </c>
      <c r="B1476" t="s">
        <v>280</v>
      </c>
      <c r="C1476" t="s">
        <v>45</v>
      </c>
      <c r="D1476" t="s">
        <v>2282</v>
      </c>
      <c r="E1476" t="s">
        <v>18</v>
      </c>
      <c r="F1476" t="s">
        <v>32</v>
      </c>
      <c r="G1476" t="s">
        <v>33</v>
      </c>
      <c r="H1476" t="s">
        <v>34</v>
      </c>
      <c r="I1476">
        <v>7000</v>
      </c>
      <c r="J1476">
        <v>9100</v>
      </c>
      <c r="K1476">
        <v>3</v>
      </c>
      <c r="L1476">
        <v>21000</v>
      </c>
      <c r="M1476">
        <v>27300</v>
      </c>
      <c r="N1476" t="s">
        <v>22</v>
      </c>
      <c r="O1476">
        <f t="shared" si="46"/>
        <v>18200</v>
      </c>
      <c r="P1476" s="13">
        <f t="shared" si="47"/>
        <v>2842554</v>
      </c>
      <c r="Q1476" s="13">
        <f>SUMIFS(M:M,E:E,Online_eCommerce[[#This Row],[Status]])</f>
        <v>28340455</v>
      </c>
      <c r="R1476" s="13">
        <f>SUMIFS(L:L,H:H,Online_eCommerce[[#This Row],[Brand]])</f>
        <v>10087000</v>
      </c>
      <c r="S1476" s="13">
        <f>SUMIF(H:H,Online_eCommerce[[#This Row],[Brand]],M:M)</f>
        <v>13113100</v>
      </c>
      <c r="T1476" s="13">
        <f>SUMIF(N:N,Online_eCommerce[[#This Row],[Assigned Supervisor]],L:L)</f>
        <v>13693220</v>
      </c>
    </row>
    <row r="1477" spans="1:20" hidden="1" x14ac:dyDescent="0.3">
      <c r="A1477" t="s">
        <v>2283</v>
      </c>
      <c r="B1477" t="s">
        <v>283</v>
      </c>
      <c r="C1477" t="s">
        <v>52</v>
      </c>
      <c r="D1477" t="s">
        <v>2284</v>
      </c>
      <c r="E1477" t="s">
        <v>161</v>
      </c>
      <c r="F1477" t="s">
        <v>2285</v>
      </c>
      <c r="G1477" t="s">
        <v>163</v>
      </c>
      <c r="H1477" t="s">
        <v>41</v>
      </c>
      <c r="I1477">
        <v>1680</v>
      </c>
      <c r="J1477">
        <v>2184</v>
      </c>
      <c r="K1477">
        <v>2</v>
      </c>
      <c r="L1477">
        <v>3360</v>
      </c>
      <c r="M1477">
        <v>4368</v>
      </c>
      <c r="N1477" t="s">
        <v>28</v>
      </c>
      <c r="O1477">
        <f t="shared" si="46"/>
        <v>13650</v>
      </c>
      <c r="P1477" s="13">
        <f t="shared" si="47"/>
        <v>1955044</v>
      </c>
      <c r="Q1477" s="13">
        <f>SUMIFS(M:M,E:E,Online_eCommerce[[#This Row],[Status]])</f>
        <v>21103186</v>
      </c>
      <c r="R1477" s="13">
        <f>SUMIFS(L:L,H:H,Online_eCommerce[[#This Row],[Brand]])</f>
        <v>4260400</v>
      </c>
      <c r="S1477" s="13">
        <f>SUMIF(H:H,Online_eCommerce[[#This Row],[Brand]],M:M)</f>
        <v>5538520</v>
      </c>
      <c r="T1477" s="13">
        <f>SUMIF(N:N,Online_eCommerce[[#This Row],[Assigned Supervisor]],L:L)</f>
        <v>12220830</v>
      </c>
    </row>
    <row r="1478" spans="1:20" x14ac:dyDescent="0.3">
      <c r="A1478" t="s">
        <v>2286</v>
      </c>
      <c r="B1478" t="s">
        <v>287</v>
      </c>
      <c r="C1478" t="s">
        <v>58</v>
      </c>
      <c r="D1478" t="s">
        <v>2287</v>
      </c>
      <c r="E1478" t="s">
        <v>46</v>
      </c>
      <c r="F1478" t="s">
        <v>101</v>
      </c>
      <c r="G1478" t="s">
        <v>66</v>
      </c>
      <c r="H1478" t="s">
        <v>102</v>
      </c>
      <c r="I1478">
        <v>6540</v>
      </c>
      <c r="J1478">
        <v>8502</v>
      </c>
      <c r="K1478">
        <v>4</v>
      </c>
      <c r="L1478">
        <v>26160</v>
      </c>
      <c r="M1478">
        <v>34008</v>
      </c>
      <c r="N1478" t="s">
        <v>35</v>
      </c>
      <c r="O1478">
        <f t="shared" si="46"/>
        <v>1690</v>
      </c>
      <c r="P1478" s="13">
        <f t="shared" si="47"/>
        <v>2629211</v>
      </c>
      <c r="Q1478" s="13">
        <f>SUMIFS(M:M,E:E,Online_eCommerce[[#This Row],[Status]])</f>
        <v>28620410</v>
      </c>
      <c r="R1478" s="13">
        <f>SUMIFS(L:L,H:H,Online_eCommerce[[#This Row],[Brand]])</f>
        <v>2465580</v>
      </c>
      <c r="S1478" s="13">
        <f>SUMIF(H:H,Online_eCommerce[[#This Row],[Brand]],M:M)</f>
        <v>3205254</v>
      </c>
      <c r="T1478" s="13">
        <f>SUMIF(N:N,Online_eCommerce[[#This Row],[Assigned Supervisor]],L:L)</f>
        <v>14373360</v>
      </c>
    </row>
    <row r="1479" spans="1:20" hidden="1" x14ac:dyDescent="0.3">
      <c r="A1479" t="s">
        <v>2288</v>
      </c>
      <c r="B1479" t="s">
        <v>290</v>
      </c>
      <c r="C1479" t="s">
        <v>63</v>
      </c>
      <c r="D1479" t="s">
        <v>2289</v>
      </c>
      <c r="E1479" t="s">
        <v>96</v>
      </c>
      <c r="F1479" t="s">
        <v>107</v>
      </c>
      <c r="G1479" t="s">
        <v>54</v>
      </c>
      <c r="H1479" t="s">
        <v>55</v>
      </c>
      <c r="I1479">
        <v>2680</v>
      </c>
      <c r="J1479">
        <v>3484</v>
      </c>
      <c r="K1479">
        <v>1</v>
      </c>
      <c r="L1479">
        <v>2680</v>
      </c>
      <c r="M1479">
        <v>3484</v>
      </c>
      <c r="N1479" t="s">
        <v>42</v>
      </c>
      <c r="O1479">
        <f t="shared" si="46"/>
        <v>2990</v>
      </c>
      <c r="P1479" s="13">
        <f t="shared" si="47"/>
        <v>2016131</v>
      </c>
      <c r="Q1479" s="13">
        <f>SUMIFS(M:M,E:E,Online_eCommerce[[#This Row],[Status]])</f>
        <v>21233992</v>
      </c>
      <c r="R1479" s="13">
        <f>SUMIFS(L:L,H:H,Online_eCommerce[[#This Row],[Brand]])</f>
        <v>2267380</v>
      </c>
      <c r="S1479" s="13">
        <f>SUMIF(H:H,Online_eCommerce[[#This Row],[Brand]],M:M)</f>
        <v>2947594</v>
      </c>
      <c r="T1479" s="13">
        <f>SUMIF(N:N,Online_eCommerce[[#This Row],[Assigned Supervisor]],L:L)</f>
        <v>12261500</v>
      </c>
    </row>
    <row r="1480" spans="1:20" hidden="1" x14ac:dyDescent="0.3">
      <c r="A1480" t="s">
        <v>2290</v>
      </c>
      <c r="B1480" t="s">
        <v>15</v>
      </c>
      <c r="C1480" t="s">
        <v>68</v>
      </c>
      <c r="D1480" t="s">
        <v>2291</v>
      </c>
      <c r="E1480" t="s">
        <v>18</v>
      </c>
      <c r="F1480" t="s">
        <v>112</v>
      </c>
      <c r="G1480" t="s">
        <v>71</v>
      </c>
      <c r="H1480" t="s">
        <v>21</v>
      </c>
      <c r="I1480">
        <v>8250</v>
      </c>
      <c r="J1480">
        <v>10725</v>
      </c>
      <c r="K1480">
        <v>3</v>
      </c>
      <c r="L1480">
        <v>24750</v>
      </c>
      <c r="M1480">
        <v>32175</v>
      </c>
      <c r="N1480" t="s">
        <v>50</v>
      </c>
      <c r="O1480">
        <f t="shared" si="46"/>
        <v>9750</v>
      </c>
      <c r="P1480" s="13">
        <f t="shared" si="47"/>
        <v>2974621</v>
      </c>
      <c r="Q1480" s="13">
        <f>SUMIFS(M:M,E:E,Online_eCommerce[[#This Row],[Status]])</f>
        <v>28340455</v>
      </c>
      <c r="R1480" s="13">
        <f>SUMIFS(L:L,H:H,Online_eCommerce[[#This Row],[Brand]])</f>
        <v>12435650</v>
      </c>
      <c r="S1480" s="13">
        <f>SUMIF(H:H,Online_eCommerce[[#This Row],[Brand]],M:M)</f>
        <v>16166345</v>
      </c>
      <c r="T1480" s="13">
        <f>SUMIF(N:N,Online_eCommerce[[#This Row],[Assigned Supervisor]],L:L)</f>
        <v>12100590</v>
      </c>
    </row>
    <row r="1481" spans="1:20" hidden="1" x14ac:dyDescent="0.3">
      <c r="A1481" t="s">
        <v>2292</v>
      </c>
      <c r="B1481" t="s">
        <v>202</v>
      </c>
      <c r="C1481" t="s">
        <v>74</v>
      </c>
      <c r="D1481" t="s">
        <v>2293</v>
      </c>
      <c r="E1481" t="s">
        <v>161</v>
      </c>
      <c r="F1481" t="s">
        <v>1814</v>
      </c>
      <c r="G1481" t="s">
        <v>40</v>
      </c>
      <c r="H1481" t="s">
        <v>21</v>
      </c>
      <c r="I1481">
        <v>2650</v>
      </c>
      <c r="J1481">
        <v>3445</v>
      </c>
      <c r="K1481">
        <v>1</v>
      </c>
      <c r="L1481">
        <v>2650</v>
      </c>
      <c r="M1481">
        <v>3445</v>
      </c>
      <c r="N1481" t="s">
        <v>56</v>
      </c>
      <c r="O1481">
        <f t="shared" si="46"/>
        <v>25545</v>
      </c>
      <c r="P1481" s="13">
        <f t="shared" si="47"/>
        <v>2144701</v>
      </c>
      <c r="Q1481" s="13">
        <f>SUMIFS(M:M,E:E,Online_eCommerce[[#This Row],[Status]])</f>
        <v>21103186</v>
      </c>
      <c r="R1481" s="13">
        <f>SUMIFS(L:L,H:H,Online_eCommerce[[#This Row],[Brand]])</f>
        <v>12435650</v>
      </c>
      <c r="S1481" s="13">
        <f>SUMIF(H:H,Online_eCommerce[[#This Row],[Brand]],M:M)</f>
        <v>16166345</v>
      </c>
      <c r="T1481" s="13">
        <f>SUMIF(N:N,Online_eCommerce[[#This Row],[Assigned Supervisor]],L:L)</f>
        <v>11733610</v>
      </c>
    </row>
    <row r="1482" spans="1:20" x14ac:dyDescent="0.3">
      <c r="A1482" t="s">
        <v>2294</v>
      </c>
      <c r="B1482" t="s">
        <v>30</v>
      </c>
      <c r="C1482" t="s">
        <v>81</v>
      </c>
      <c r="D1482" t="s">
        <v>2295</v>
      </c>
      <c r="E1482" t="s">
        <v>46</v>
      </c>
      <c r="F1482" t="s">
        <v>121</v>
      </c>
      <c r="G1482" t="s">
        <v>71</v>
      </c>
      <c r="H1482" t="s">
        <v>122</v>
      </c>
      <c r="I1482">
        <v>12550</v>
      </c>
      <c r="J1482">
        <v>16315</v>
      </c>
      <c r="K1482">
        <v>1</v>
      </c>
      <c r="L1482">
        <v>12550</v>
      </c>
      <c r="M1482">
        <v>16315</v>
      </c>
      <c r="N1482" t="s">
        <v>22</v>
      </c>
      <c r="O1482">
        <f t="shared" si="46"/>
        <v>9750</v>
      </c>
      <c r="P1482" s="13">
        <f t="shared" si="47"/>
        <v>2595632</v>
      </c>
      <c r="Q1482" s="13">
        <f>SUMIFS(M:M,E:E,Online_eCommerce[[#This Row],[Status]])</f>
        <v>28620410</v>
      </c>
      <c r="R1482" s="13">
        <f>SUMIFS(L:L,H:H,Online_eCommerce[[#This Row],[Brand]])</f>
        <v>5045100</v>
      </c>
      <c r="S1482" s="13">
        <f>SUMIF(H:H,Online_eCommerce[[#This Row],[Brand]],M:M)</f>
        <v>6558630</v>
      </c>
      <c r="T1482" s="13">
        <f>SUMIF(N:N,Online_eCommerce[[#This Row],[Assigned Supervisor]],L:L)</f>
        <v>13693220</v>
      </c>
    </row>
    <row r="1483" spans="1:20" hidden="1" x14ac:dyDescent="0.3">
      <c r="A1483" t="s">
        <v>2296</v>
      </c>
      <c r="B1483" t="s">
        <v>37</v>
      </c>
      <c r="C1483" t="s">
        <v>86</v>
      </c>
      <c r="D1483" t="s">
        <v>2297</v>
      </c>
      <c r="E1483" t="s">
        <v>96</v>
      </c>
      <c r="F1483" t="s">
        <v>126</v>
      </c>
      <c r="G1483" t="s">
        <v>26</v>
      </c>
      <c r="H1483" t="s">
        <v>27</v>
      </c>
      <c r="I1483">
        <v>14500</v>
      </c>
      <c r="J1483">
        <v>18850</v>
      </c>
      <c r="K1483">
        <v>1</v>
      </c>
      <c r="L1483">
        <v>14500</v>
      </c>
      <c r="M1483">
        <v>18850</v>
      </c>
      <c r="N1483" t="s">
        <v>28</v>
      </c>
      <c r="O1483">
        <f t="shared" si="46"/>
        <v>33150</v>
      </c>
      <c r="P1483" s="13">
        <f t="shared" si="47"/>
        <v>1941225</v>
      </c>
      <c r="Q1483" s="13">
        <f>SUMIFS(M:M,E:E,Online_eCommerce[[#This Row],[Status]])</f>
        <v>21233992</v>
      </c>
      <c r="R1483" s="13">
        <f>SUMIFS(L:L,H:H,Online_eCommerce[[#This Row],[Brand]])</f>
        <v>14431000</v>
      </c>
      <c r="S1483" s="13">
        <f>SUMIF(H:H,Online_eCommerce[[#This Row],[Brand]],M:M)</f>
        <v>18760300</v>
      </c>
      <c r="T1483" s="13">
        <f>SUMIF(N:N,Online_eCommerce[[#This Row],[Assigned Supervisor]],L:L)</f>
        <v>12220830</v>
      </c>
    </row>
    <row r="1484" spans="1:20" hidden="1" x14ac:dyDescent="0.3">
      <c r="A1484" t="s">
        <v>2298</v>
      </c>
      <c r="B1484" t="s">
        <v>37</v>
      </c>
      <c r="C1484" t="s">
        <v>91</v>
      </c>
      <c r="D1484" t="s">
        <v>2299</v>
      </c>
      <c r="E1484" t="s">
        <v>18</v>
      </c>
      <c r="F1484" t="s">
        <v>129</v>
      </c>
      <c r="G1484" t="s">
        <v>60</v>
      </c>
      <c r="H1484" t="s">
        <v>61</v>
      </c>
      <c r="I1484">
        <v>800</v>
      </c>
      <c r="J1484">
        <v>1040</v>
      </c>
      <c r="K1484">
        <v>2</v>
      </c>
      <c r="L1484">
        <v>1600</v>
      </c>
      <c r="M1484">
        <v>2080</v>
      </c>
      <c r="N1484" t="s">
        <v>35</v>
      </c>
      <c r="O1484">
        <f t="shared" si="46"/>
        <v>3315</v>
      </c>
      <c r="P1484" s="13">
        <f t="shared" si="47"/>
        <v>2731963</v>
      </c>
      <c r="Q1484" s="13">
        <f>SUMIFS(M:M,E:E,Online_eCommerce[[#This Row],[Status]])</f>
        <v>28340455</v>
      </c>
      <c r="R1484" s="13">
        <f>SUMIFS(L:L,H:H,Online_eCommerce[[#This Row],[Brand]])</f>
        <v>10950150</v>
      </c>
      <c r="S1484" s="13">
        <f>SUMIF(H:H,Online_eCommerce[[#This Row],[Brand]],M:M)</f>
        <v>14235195</v>
      </c>
      <c r="T1484" s="13">
        <f>SUMIF(N:N,Online_eCommerce[[#This Row],[Assigned Supervisor]],L:L)</f>
        <v>14373360</v>
      </c>
    </row>
    <row r="1485" spans="1:20" hidden="1" x14ac:dyDescent="0.3">
      <c r="A1485" t="s">
        <v>2300</v>
      </c>
      <c r="B1485" t="s">
        <v>37</v>
      </c>
      <c r="C1485" t="s">
        <v>94</v>
      </c>
      <c r="D1485" t="s">
        <v>2301</v>
      </c>
      <c r="E1485" t="s">
        <v>161</v>
      </c>
      <c r="F1485" t="s">
        <v>133</v>
      </c>
      <c r="G1485" t="s">
        <v>66</v>
      </c>
      <c r="H1485" t="s">
        <v>21</v>
      </c>
      <c r="I1485">
        <v>600</v>
      </c>
      <c r="J1485">
        <v>780</v>
      </c>
      <c r="K1485">
        <v>2</v>
      </c>
      <c r="L1485">
        <v>1200</v>
      </c>
      <c r="M1485">
        <v>1560</v>
      </c>
      <c r="N1485" t="s">
        <v>42</v>
      </c>
      <c r="O1485">
        <f t="shared" si="46"/>
        <v>1690</v>
      </c>
      <c r="P1485" s="13">
        <f t="shared" si="47"/>
        <v>1868256</v>
      </c>
      <c r="Q1485" s="13">
        <f>SUMIFS(M:M,E:E,Online_eCommerce[[#This Row],[Status]])</f>
        <v>21103186</v>
      </c>
      <c r="R1485" s="13">
        <f>SUMIFS(L:L,H:H,Online_eCommerce[[#This Row],[Brand]])</f>
        <v>12435650</v>
      </c>
      <c r="S1485" s="13">
        <f>SUMIF(H:H,Online_eCommerce[[#This Row],[Brand]],M:M)</f>
        <v>16166345</v>
      </c>
      <c r="T1485" s="13">
        <f>SUMIF(N:N,Online_eCommerce[[#This Row],[Assigned Supervisor]],L:L)</f>
        <v>12261500</v>
      </c>
    </row>
    <row r="1486" spans="1:20" x14ac:dyDescent="0.3">
      <c r="A1486" t="s">
        <v>2302</v>
      </c>
      <c r="B1486" t="s">
        <v>37</v>
      </c>
      <c r="C1486" t="s">
        <v>99</v>
      </c>
      <c r="D1486" t="s">
        <v>2301</v>
      </c>
      <c r="E1486" t="s">
        <v>46</v>
      </c>
      <c r="F1486" t="s">
        <v>137</v>
      </c>
      <c r="G1486" t="s">
        <v>71</v>
      </c>
      <c r="H1486" t="s">
        <v>61</v>
      </c>
      <c r="I1486">
        <v>10500</v>
      </c>
      <c r="J1486">
        <v>13650</v>
      </c>
      <c r="K1486">
        <v>2</v>
      </c>
      <c r="L1486">
        <v>21000</v>
      </c>
      <c r="M1486">
        <v>27300</v>
      </c>
      <c r="N1486" t="s">
        <v>50</v>
      </c>
      <c r="O1486">
        <f t="shared" si="46"/>
        <v>9750</v>
      </c>
      <c r="P1486" s="13">
        <f t="shared" si="47"/>
        <v>2651233</v>
      </c>
      <c r="Q1486" s="13">
        <f>SUMIFS(M:M,E:E,Online_eCommerce[[#This Row],[Status]])</f>
        <v>28620410</v>
      </c>
      <c r="R1486" s="13">
        <f>SUMIFS(L:L,H:H,Online_eCommerce[[#This Row],[Brand]])</f>
        <v>10950150</v>
      </c>
      <c r="S1486" s="13">
        <f>SUMIF(H:H,Online_eCommerce[[#This Row],[Brand]],M:M)</f>
        <v>14235195</v>
      </c>
      <c r="T1486" s="13">
        <f>SUMIF(N:N,Online_eCommerce[[#This Row],[Assigned Supervisor]],L:L)</f>
        <v>12100590</v>
      </c>
    </row>
    <row r="1487" spans="1:20" hidden="1" x14ac:dyDescent="0.3">
      <c r="A1487" t="s">
        <v>2303</v>
      </c>
      <c r="B1487" t="s">
        <v>37</v>
      </c>
      <c r="C1487" t="s">
        <v>105</v>
      </c>
      <c r="D1487" t="s">
        <v>2301</v>
      </c>
      <c r="E1487" t="s">
        <v>96</v>
      </c>
      <c r="F1487" t="s">
        <v>2259</v>
      </c>
      <c r="G1487" t="s">
        <v>77</v>
      </c>
      <c r="H1487" t="s">
        <v>142</v>
      </c>
      <c r="I1487">
        <v>6500</v>
      </c>
      <c r="J1487">
        <v>8450</v>
      </c>
      <c r="K1487">
        <v>2</v>
      </c>
      <c r="L1487">
        <v>13000</v>
      </c>
      <c r="M1487">
        <v>16900</v>
      </c>
      <c r="N1487" t="s">
        <v>56</v>
      </c>
      <c r="O1487">
        <f t="shared" si="46"/>
        <v>39000</v>
      </c>
      <c r="P1487" s="13">
        <f t="shared" si="47"/>
        <v>1866852</v>
      </c>
      <c r="Q1487" s="13">
        <f>SUMIFS(M:M,E:E,Online_eCommerce[[#This Row],[Status]])</f>
        <v>21233992</v>
      </c>
      <c r="R1487" s="13">
        <f>SUMIFS(L:L,H:H,Online_eCommerce[[#This Row],[Brand]])</f>
        <v>6192500</v>
      </c>
      <c r="S1487" s="13">
        <f>SUMIF(H:H,Online_eCommerce[[#This Row],[Brand]],M:M)</f>
        <v>8050250</v>
      </c>
      <c r="T1487" s="13">
        <f>SUMIF(N:N,Online_eCommerce[[#This Row],[Assigned Supervisor]],L:L)</f>
        <v>11733610</v>
      </c>
    </row>
    <row r="1488" spans="1:20" hidden="1" x14ac:dyDescent="0.3">
      <c r="A1488" t="s">
        <v>2304</v>
      </c>
      <c r="B1488" t="s">
        <v>37</v>
      </c>
      <c r="C1488" t="s">
        <v>110</v>
      </c>
      <c r="D1488" t="s">
        <v>2301</v>
      </c>
      <c r="E1488" t="s">
        <v>18</v>
      </c>
      <c r="F1488" t="s">
        <v>2305</v>
      </c>
      <c r="G1488" t="s">
        <v>20</v>
      </c>
      <c r="H1488" t="s">
        <v>21</v>
      </c>
      <c r="I1488">
        <v>4500</v>
      </c>
      <c r="J1488">
        <v>5850</v>
      </c>
      <c r="K1488">
        <v>3</v>
      </c>
      <c r="L1488">
        <v>13500</v>
      </c>
      <c r="M1488">
        <v>17550</v>
      </c>
      <c r="N1488" t="s">
        <v>22</v>
      </c>
      <c r="O1488">
        <f t="shared" si="46"/>
        <v>8450</v>
      </c>
      <c r="P1488" s="13">
        <f t="shared" si="47"/>
        <v>2598635</v>
      </c>
      <c r="Q1488" s="13">
        <f>SUMIFS(M:M,E:E,Online_eCommerce[[#This Row],[Status]])</f>
        <v>28340455</v>
      </c>
      <c r="R1488" s="13">
        <f>SUMIFS(L:L,H:H,Online_eCommerce[[#This Row],[Brand]])</f>
        <v>12435650</v>
      </c>
      <c r="S1488" s="13">
        <f>SUMIF(H:H,Online_eCommerce[[#This Row],[Brand]],M:M)</f>
        <v>16166345</v>
      </c>
      <c r="T1488" s="13">
        <f>SUMIF(N:N,Online_eCommerce[[#This Row],[Assigned Supervisor]],L:L)</f>
        <v>13693220</v>
      </c>
    </row>
    <row r="1489" spans="1:20" hidden="1" x14ac:dyDescent="0.3">
      <c r="A1489" t="s">
        <v>2306</v>
      </c>
      <c r="B1489" t="s">
        <v>37</v>
      </c>
      <c r="C1489" t="s">
        <v>115</v>
      </c>
      <c r="D1489" t="s">
        <v>2301</v>
      </c>
      <c r="E1489" t="s">
        <v>161</v>
      </c>
      <c r="F1489" t="s">
        <v>152</v>
      </c>
      <c r="G1489" t="s">
        <v>26</v>
      </c>
      <c r="H1489" t="s">
        <v>27</v>
      </c>
      <c r="I1489">
        <v>8500</v>
      </c>
      <c r="J1489">
        <v>11050</v>
      </c>
      <c r="K1489">
        <v>1</v>
      </c>
      <c r="L1489">
        <v>8500</v>
      </c>
      <c r="M1489">
        <v>11050</v>
      </c>
      <c r="N1489" t="s">
        <v>28</v>
      </c>
      <c r="O1489">
        <f t="shared" si="46"/>
        <v>33150</v>
      </c>
      <c r="P1489" s="13">
        <f t="shared" si="47"/>
        <v>2050178</v>
      </c>
      <c r="Q1489" s="13">
        <f>SUMIFS(M:M,E:E,Online_eCommerce[[#This Row],[Status]])</f>
        <v>21103186</v>
      </c>
      <c r="R1489" s="13">
        <f>SUMIFS(L:L,H:H,Online_eCommerce[[#This Row],[Brand]])</f>
        <v>14431000</v>
      </c>
      <c r="S1489" s="13">
        <f>SUMIF(H:H,Online_eCommerce[[#This Row],[Brand]],M:M)</f>
        <v>18760300</v>
      </c>
      <c r="T1489" s="13">
        <f>SUMIF(N:N,Online_eCommerce[[#This Row],[Assigned Supervisor]],L:L)</f>
        <v>12220830</v>
      </c>
    </row>
    <row r="1490" spans="1:20" x14ac:dyDescent="0.3">
      <c r="A1490" t="s">
        <v>2307</v>
      </c>
      <c r="B1490" t="s">
        <v>37</v>
      </c>
      <c r="C1490" t="s">
        <v>120</v>
      </c>
      <c r="D1490" t="s">
        <v>2301</v>
      </c>
      <c r="E1490" t="s">
        <v>46</v>
      </c>
      <c r="F1490" t="s">
        <v>157</v>
      </c>
      <c r="G1490" t="s">
        <v>33</v>
      </c>
      <c r="H1490" t="s">
        <v>34</v>
      </c>
      <c r="I1490">
        <v>12500</v>
      </c>
      <c r="J1490">
        <v>16250</v>
      </c>
      <c r="K1490">
        <v>1</v>
      </c>
      <c r="L1490">
        <v>12500</v>
      </c>
      <c r="M1490">
        <v>16250</v>
      </c>
      <c r="N1490" t="s">
        <v>35</v>
      </c>
      <c r="O1490">
        <f t="shared" si="46"/>
        <v>18200</v>
      </c>
      <c r="P1490" s="13">
        <f t="shared" si="47"/>
        <v>2734212</v>
      </c>
      <c r="Q1490" s="13">
        <f>SUMIFS(M:M,E:E,Online_eCommerce[[#This Row],[Status]])</f>
        <v>28620410</v>
      </c>
      <c r="R1490" s="13">
        <f>SUMIFS(L:L,H:H,Online_eCommerce[[#This Row],[Brand]])</f>
        <v>10087000</v>
      </c>
      <c r="S1490" s="13">
        <f>SUMIF(H:H,Online_eCommerce[[#This Row],[Brand]],M:M)</f>
        <v>13113100</v>
      </c>
      <c r="T1490" s="13">
        <f>SUMIF(N:N,Online_eCommerce[[#This Row],[Assigned Supervisor]],L:L)</f>
        <v>14373360</v>
      </c>
    </row>
    <row r="1491" spans="1:20" hidden="1" x14ac:dyDescent="0.3">
      <c r="A1491" t="s">
        <v>2308</v>
      </c>
      <c r="B1491" t="s">
        <v>37</v>
      </c>
      <c r="C1491" t="s">
        <v>125</v>
      </c>
      <c r="D1491" t="s">
        <v>2301</v>
      </c>
      <c r="E1491" t="s">
        <v>96</v>
      </c>
      <c r="F1491" t="s">
        <v>1876</v>
      </c>
      <c r="G1491" t="s">
        <v>256</v>
      </c>
      <c r="H1491" t="s">
        <v>41</v>
      </c>
      <c r="I1491">
        <v>3500</v>
      </c>
      <c r="J1491">
        <v>4550</v>
      </c>
      <c r="K1491">
        <v>1</v>
      </c>
      <c r="L1491">
        <v>3500</v>
      </c>
      <c r="M1491">
        <v>4550</v>
      </c>
      <c r="N1491" t="s">
        <v>42</v>
      </c>
      <c r="O1491">
        <f t="shared" si="46"/>
        <v>9100</v>
      </c>
      <c r="P1491" s="13">
        <f t="shared" si="47"/>
        <v>2091154</v>
      </c>
      <c r="Q1491" s="13">
        <f>SUMIFS(M:M,E:E,Online_eCommerce[[#This Row],[Status]])</f>
        <v>21233992</v>
      </c>
      <c r="R1491" s="13">
        <f>SUMIFS(L:L,H:H,Online_eCommerce[[#This Row],[Brand]])</f>
        <v>4260400</v>
      </c>
      <c r="S1491" s="13">
        <f>SUMIF(H:H,Online_eCommerce[[#This Row],[Brand]],M:M)</f>
        <v>5538520</v>
      </c>
      <c r="T1491" s="13">
        <f>SUMIF(N:N,Online_eCommerce[[#This Row],[Assigned Supervisor]],L:L)</f>
        <v>12261500</v>
      </c>
    </row>
    <row r="1492" spans="1:20" hidden="1" x14ac:dyDescent="0.3">
      <c r="A1492" t="s">
        <v>2309</v>
      </c>
      <c r="B1492" t="s">
        <v>37</v>
      </c>
      <c r="C1492" t="s">
        <v>22</v>
      </c>
      <c r="D1492" t="s">
        <v>2301</v>
      </c>
      <c r="E1492" t="s">
        <v>18</v>
      </c>
      <c r="F1492" t="s">
        <v>166</v>
      </c>
      <c r="G1492" t="s">
        <v>259</v>
      </c>
      <c r="H1492" t="s">
        <v>49</v>
      </c>
      <c r="I1492">
        <v>4500</v>
      </c>
      <c r="J1492">
        <v>5850</v>
      </c>
      <c r="K1492">
        <v>3</v>
      </c>
      <c r="L1492">
        <v>13500</v>
      </c>
      <c r="M1492">
        <v>17550</v>
      </c>
      <c r="N1492" t="s">
        <v>50</v>
      </c>
      <c r="O1492">
        <f t="shared" si="46"/>
        <v>11700</v>
      </c>
      <c r="P1492" s="13">
        <f t="shared" si="47"/>
        <v>2551588</v>
      </c>
      <c r="Q1492" s="13">
        <f>SUMIFS(M:M,E:E,Online_eCommerce[[#This Row],[Status]])</f>
        <v>28340455</v>
      </c>
      <c r="R1492" s="13">
        <f>SUMIFS(L:L,H:H,Online_eCommerce[[#This Row],[Brand]])</f>
        <v>4528350</v>
      </c>
      <c r="S1492" s="13">
        <f>SUMIF(H:H,Online_eCommerce[[#This Row],[Brand]],M:M)</f>
        <v>5886855</v>
      </c>
      <c r="T1492" s="13">
        <f>SUMIF(N:N,Online_eCommerce[[#This Row],[Assigned Supervisor]],L:L)</f>
        <v>12100590</v>
      </c>
    </row>
    <row r="1493" spans="1:20" hidden="1" x14ac:dyDescent="0.3">
      <c r="A1493" t="s">
        <v>2310</v>
      </c>
      <c r="B1493" t="s">
        <v>37</v>
      </c>
      <c r="C1493" t="s">
        <v>132</v>
      </c>
      <c r="D1493" t="s">
        <v>2301</v>
      </c>
      <c r="E1493" t="s">
        <v>161</v>
      </c>
      <c r="F1493" t="s">
        <v>2311</v>
      </c>
      <c r="G1493" t="s">
        <v>54</v>
      </c>
      <c r="H1493" t="s">
        <v>55</v>
      </c>
      <c r="I1493">
        <v>2100</v>
      </c>
      <c r="J1493">
        <v>2730</v>
      </c>
      <c r="K1493">
        <v>3</v>
      </c>
      <c r="L1493">
        <v>6300</v>
      </c>
      <c r="M1493">
        <v>8190</v>
      </c>
      <c r="N1493" t="s">
        <v>56</v>
      </c>
      <c r="O1493">
        <f t="shared" si="46"/>
        <v>2990</v>
      </c>
      <c r="P1493" s="13">
        <f t="shared" si="47"/>
        <v>1989065</v>
      </c>
      <c r="Q1493" s="13">
        <f>SUMIFS(M:M,E:E,Online_eCommerce[[#This Row],[Status]])</f>
        <v>21103186</v>
      </c>
      <c r="R1493" s="13">
        <f>SUMIFS(L:L,H:H,Online_eCommerce[[#This Row],[Brand]])</f>
        <v>2267380</v>
      </c>
      <c r="S1493" s="13">
        <f>SUMIF(H:H,Online_eCommerce[[#This Row],[Brand]],M:M)</f>
        <v>2947594</v>
      </c>
      <c r="T1493" s="13">
        <f>SUMIF(N:N,Online_eCommerce[[#This Row],[Assigned Supervisor]],L:L)</f>
        <v>11733610</v>
      </c>
    </row>
    <row r="1494" spans="1:20" x14ac:dyDescent="0.3">
      <c r="A1494" t="s">
        <v>2312</v>
      </c>
      <c r="B1494" t="s">
        <v>37</v>
      </c>
      <c r="C1494" t="s">
        <v>136</v>
      </c>
      <c r="D1494" t="s">
        <v>2301</v>
      </c>
      <c r="E1494" t="s">
        <v>46</v>
      </c>
      <c r="F1494" t="s">
        <v>174</v>
      </c>
      <c r="G1494" t="s">
        <v>60</v>
      </c>
      <c r="H1494" t="s">
        <v>61</v>
      </c>
      <c r="I1494">
        <v>1150</v>
      </c>
      <c r="J1494">
        <v>1495</v>
      </c>
      <c r="K1494">
        <v>1</v>
      </c>
      <c r="L1494">
        <v>1150</v>
      </c>
      <c r="M1494">
        <v>1495</v>
      </c>
      <c r="N1494" t="s">
        <v>22</v>
      </c>
      <c r="O1494">
        <f t="shared" si="46"/>
        <v>3315</v>
      </c>
      <c r="P1494" s="13">
        <f t="shared" si="47"/>
        <v>2775162</v>
      </c>
      <c r="Q1494" s="13">
        <f>SUMIFS(M:M,E:E,Online_eCommerce[[#This Row],[Status]])</f>
        <v>28620410</v>
      </c>
      <c r="R1494" s="13">
        <f>SUMIFS(L:L,H:H,Online_eCommerce[[#This Row],[Brand]])</f>
        <v>10950150</v>
      </c>
      <c r="S1494" s="13">
        <f>SUMIF(H:H,Online_eCommerce[[#This Row],[Brand]],M:M)</f>
        <v>14235195</v>
      </c>
      <c r="T1494" s="13">
        <f>SUMIF(N:N,Online_eCommerce[[#This Row],[Assigned Supervisor]],L:L)</f>
        <v>13693220</v>
      </c>
    </row>
    <row r="1495" spans="1:20" hidden="1" x14ac:dyDescent="0.3">
      <c r="A1495" t="s">
        <v>2313</v>
      </c>
      <c r="B1495" t="s">
        <v>37</v>
      </c>
      <c r="C1495" t="s">
        <v>140</v>
      </c>
      <c r="D1495" t="s">
        <v>2301</v>
      </c>
      <c r="E1495" t="s">
        <v>96</v>
      </c>
      <c r="F1495" t="s">
        <v>179</v>
      </c>
      <c r="G1495" t="s">
        <v>66</v>
      </c>
      <c r="H1495" t="s">
        <v>21</v>
      </c>
      <c r="I1495">
        <v>350</v>
      </c>
      <c r="J1495">
        <v>455</v>
      </c>
      <c r="K1495">
        <v>3</v>
      </c>
      <c r="L1495">
        <v>1050</v>
      </c>
      <c r="M1495">
        <v>1365</v>
      </c>
      <c r="N1495" t="s">
        <v>28</v>
      </c>
      <c r="O1495">
        <f t="shared" si="46"/>
        <v>1690</v>
      </c>
      <c r="P1495" s="13">
        <f t="shared" si="47"/>
        <v>2058264</v>
      </c>
      <c r="Q1495" s="13">
        <f>SUMIFS(M:M,E:E,Online_eCommerce[[#This Row],[Status]])</f>
        <v>21233992</v>
      </c>
      <c r="R1495" s="13">
        <f>SUMIFS(L:L,H:H,Online_eCommerce[[#This Row],[Brand]])</f>
        <v>12435650</v>
      </c>
      <c r="S1495" s="13">
        <f>SUMIF(H:H,Online_eCommerce[[#This Row],[Brand]],M:M)</f>
        <v>16166345</v>
      </c>
      <c r="T1495" s="13">
        <f>SUMIF(N:N,Online_eCommerce[[#This Row],[Assigned Supervisor]],L:L)</f>
        <v>12220830</v>
      </c>
    </row>
    <row r="1496" spans="1:20" hidden="1" x14ac:dyDescent="0.3">
      <c r="A1496" t="s">
        <v>2314</v>
      </c>
      <c r="B1496" t="s">
        <v>37</v>
      </c>
      <c r="C1496" t="s">
        <v>145</v>
      </c>
      <c r="D1496" t="s">
        <v>2301</v>
      </c>
      <c r="E1496" t="s">
        <v>18</v>
      </c>
      <c r="F1496" t="s">
        <v>183</v>
      </c>
      <c r="G1496" t="s">
        <v>71</v>
      </c>
      <c r="H1496" t="s">
        <v>61</v>
      </c>
      <c r="I1496">
        <v>9500</v>
      </c>
      <c r="J1496">
        <v>12350</v>
      </c>
      <c r="K1496">
        <v>2</v>
      </c>
      <c r="L1496">
        <v>19000</v>
      </c>
      <c r="M1496">
        <v>24700</v>
      </c>
      <c r="N1496" t="s">
        <v>35</v>
      </c>
      <c r="O1496">
        <f t="shared" si="46"/>
        <v>9750</v>
      </c>
      <c r="P1496" s="13">
        <f t="shared" si="47"/>
        <v>2757859</v>
      </c>
      <c r="Q1496" s="13">
        <f>SUMIFS(M:M,E:E,Online_eCommerce[[#This Row],[Status]])</f>
        <v>28340455</v>
      </c>
      <c r="R1496" s="13">
        <f>SUMIFS(L:L,H:H,Online_eCommerce[[#This Row],[Brand]])</f>
        <v>10950150</v>
      </c>
      <c r="S1496" s="13">
        <f>SUMIF(H:H,Online_eCommerce[[#This Row],[Brand]],M:M)</f>
        <v>14235195</v>
      </c>
      <c r="T1496" s="13">
        <f>SUMIF(N:N,Online_eCommerce[[#This Row],[Assigned Supervisor]],L:L)</f>
        <v>14373360</v>
      </c>
    </row>
    <row r="1497" spans="1:20" hidden="1" x14ac:dyDescent="0.3">
      <c r="A1497" t="s">
        <v>2315</v>
      </c>
      <c r="B1497" t="s">
        <v>37</v>
      </c>
      <c r="C1497" t="s">
        <v>150</v>
      </c>
      <c r="D1497" t="s">
        <v>2301</v>
      </c>
      <c r="E1497" t="s">
        <v>161</v>
      </c>
      <c r="F1497" t="s">
        <v>2316</v>
      </c>
      <c r="G1497" t="s">
        <v>77</v>
      </c>
      <c r="H1497" t="s">
        <v>142</v>
      </c>
      <c r="I1497">
        <v>10000</v>
      </c>
      <c r="J1497">
        <v>13000</v>
      </c>
      <c r="K1497">
        <v>2</v>
      </c>
      <c r="L1497">
        <v>20000</v>
      </c>
      <c r="M1497">
        <v>26000</v>
      </c>
      <c r="N1497" t="s">
        <v>42</v>
      </c>
      <c r="O1497">
        <f t="shared" si="46"/>
        <v>39000</v>
      </c>
      <c r="P1497" s="13">
        <f t="shared" si="47"/>
        <v>2154984</v>
      </c>
      <c r="Q1497" s="13">
        <f>SUMIFS(M:M,E:E,Online_eCommerce[[#This Row],[Status]])</f>
        <v>21103186</v>
      </c>
      <c r="R1497" s="13">
        <f>SUMIFS(L:L,H:H,Online_eCommerce[[#This Row],[Brand]])</f>
        <v>6192500</v>
      </c>
      <c r="S1497" s="13">
        <f>SUMIF(H:H,Online_eCommerce[[#This Row],[Brand]],M:M)</f>
        <v>8050250</v>
      </c>
      <c r="T1497" s="13">
        <f>SUMIF(N:N,Online_eCommerce[[#This Row],[Assigned Supervisor]],L:L)</f>
        <v>12261500</v>
      </c>
    </row>
    <row r="1498" spans="1:20" x14ac:dyDescent="0.3">
      <c r="A1498" t="s">
        <v>2317</v>
      </c>
      <c r="B1498" t="s">
        <v>119</v>
      </c>
      <c r="C1498" t="s">
        <v>155</v>
      </c>
      <c r="D1498" t="s">
        <v>2301</v>
      </c>
      <c r="E1498" t="s">
        <v>46</v>
      </c>
      <c r="F1498" t="s">
        <v>2318</v>
      </c>
      <c r="G1498" t="s">
        <v>20</v>
      </c>
      <c r="H1498" t="s">
        <v>21</v>
      </c>
      <c r="I1498">
        <v>6500</v>
      </c>
      <c r="J1498">
        <v>8450</v>
      </c>
      <c r="K1498">
        <v>2</v>
      </c>
      <c r="L1498">
        <v>13000</v>
      </c>
      <c r="M1498">
        <v>16900</v>
      </c>
      <c r="N1498" t="s">
        <v>50</v>
      </c>
      <c r="O1498">
        <f t="shared" si="46"/>
        <v>8450</v>
      </c>
      <c r="P1498" s="13">
        <f t="shared" si="47"/>
        <v>2753348</v>
      </c>
      <c r="Q1498" s="13">
        <f>SUMIFS(M:M,E:E,Online_eCommerce[[#This Row],[Status]])</f>
        <v>28620410</v>
      </c>
      <c r="R1498" s="13">
        <f>SUMIFS(L:L,H:H,Online_eCommerce[[#This Row],[Brand]])</f>
        <v>12435650</v>
      </c>
      <c r="S1498" s="13">
        <f>SUMIF(H:H,Online_eCommerce[[#This Row],[Brand]],M:M)</f>
        <v>16166345</v>
      </c>
      <c r="T1498" s="13">
        <f>SUMIF(N:N,Online_eCommerce[[#This Row],[Assigned Supervisor]],L:L)</f>
        <v>12100590</v>
      </c>
    </row>
    <row r="1499" spans="1:20" hidden="1" x14ac:dyDescent="0.3">
      <c r="A1499" t="s">
        <v>2319</v>
      </c>
      <c r="B1499" t="s">
        <v>124</v>
      </c>
      <c r="C1499" t="s">
        <v>160</v>
      </c>
      <c r="D1499" t="s">
        <v>2301</v>
      </c>
      <c r="E1499" t="s">
        <v>96</v>
      </c>
      <c r="F1499" t="s">
        <v>2320</v>
      </c>
      <c r="G1499" t="s">
        <v>26</v>
      </c>
      <c r="H1499" t="s">
        <v>27</v>
      </c>
      <c r="I1499">
        <v>8500</v>
      </c>
      <c r="J1499">
        <v>11050</v>
      </c>
      <c r="K1499">
        <v>1</v>
      </c>
      <c r="L1499">
        <v>8500</v>
      </c>
      <c r="M1499">
        <v>11050</v>
      </c>
      <c r="N1499" t="s">
        <v>56</v>
      </c>
      <c r="O1499">
        <f t="shared" si="46"/>
        <v>33150</v>
      </c>
      <c r="P1499" s="13">
        <f t="shared" si="47"/>
        <v>2303483</v>
      </c>
      <c r="Q1499" s="13">
        <f>SUMIFS(M:M,E:E,Online_eCommerce[[#This Row],[Status]])</f>
        <v>21233992</v>
      </c>
      <c r="R1499" s="13">
        <f>SUMIFS(L:L,H:H,Online_eCommerce[[#This Row],[Brand]])</f>
        <v>14431000</v>
      </c>
      <c r="S1499" s="13">
        <f>SUMIF(H:H,Online_eCommerce[[#This Row],[Brand]],M:M)</f>
        <v>18760300</v>
      </c>
      <c r="T1499" s="13">
        <f>SUMIF(N:N,Online_eCommerce[[#This Row],[Assigned Supervisor]],L:L)</f>
        <v>11733610</v>
      </c>
    </row>
    <row r="1500" spans="1:20" hidden="1" x14ac:dyDescent="0.3">
      <c r="A1500" t="s">
        <v>2321</v>
      </c>
      <c r="B1500" t="s">
        <v>128</v>
      </c>
      <c r="C1500" t="s">
        <v>165</v>
      </c>
      <c r="D1500" t="s">
        <v>2301</v>
      </c>
      <c r="E1500" t="s">
        <v>18</v>
      </c>
      <c r="F1500" t="s">
        <v>32</v>
      </c>
      <c r="G1500" t="s">
        <v>33</v>
      </c>
      <c r="H1500" t="s">
        <v>34</v>
      </c>
      <c r="I1500">
        <v>7000</v>
      </c>
      <c r="J1500">
        <v>9100</v>
      </c>
      <c r="K1500">
        <v>1</v>
      </c>
      <c r="L1500">
        <v>7000</v>
      </c>
      <c r="M1500">
        <v>9100</v>
      </c>
      <c r="N1500" t="s">
        <v>22</v>
      </c>
      <c r="O1500">
        <f t="shared" si="46"/>
        <v>18200</v>
      </c>
      <c r="P1500" s="13">
        <f t="shared" si="47"/>
        <v>2674087</v>
      </c>
      <c r="Q1500" s="13">
        <f>SUMIFS(M:M,E:E,Online_eCommerce[[#This Row],[Status]])</f>
        <v>28340455</v>
      </c>
      <c r="R1500" s="13">
        <f>SUMIFS(L:L,H:H,Online_eCommerce[[#This Row],[Brand]])</f>
        <v>10087000</v>
      </c>
      <c r="S1500" s="13">
        <f>SUMIF(H:H,Online_eCommerce[[#This Row],[Brand]],M:M)</f>
        <v>13113100</v>
      </c>
      <c r="T1500" s="13">
        <f>SUMIF(N:N,Online_eCommerce[[#This Row],[Assigned Supervisor]],L:L)</f>
        <v>13693220</v>
      </c>
    </row>
    <row r="1501" spans="1:20" hidden="1" x14ac:dyDescent="0.3">
      <c r="A1501" t="s">
        <v>2322</v>
      </c>
      <c r="B1501" t="s">
        <v>131</v>
      </c>
      <c r="C1501" t="s">
        <v>168</v>
      </c>
      <c r="D1501" t="s">
        <v>2301</v>
      </c>
      <c r="E1501" t="s">
        <v>161</v>
      </c>
      <c r="F1501" t="s">
        <v>2323</v>
      </c>
      <c r="G1501" t="s">
        <v>256</v>
      </c>
      <c r="H1501" t="s">
        <v>41</v>
      </c>
      <c r="I1501">
        <v>6550</v>
      </c>
      <c r="J1501">
        <v>8515</v>
      </c>
      <c r="K1501">
        <v>1</v>
      </c>
      <c r="L1501">
        <v>6550</v>
      </c>
      <c r="M1501">
        <v>8515</v>
      </c>
      <c r="N1501" t="s">
        <v>28</v>
      </c>
      <c r="O1501">
        <f t="shared" si="46"/>
        <v>9100</v>
      </c>
      <c r="P1501" s="13">
        <f t="shared" si="47"/>
        <v>1937780</v>
      </c>
      <c r="Q1501" s="13">
        <f>SUMIFS(M:M,E:E,Online_eCommerce[[#This Row],[Status]])</f>
        <v>21103186</v>
      </c>
      <c r="R1501" s="13">
        <f>SUMIFS(L:L,H:H,Online_eCommerce[[#This Row],[Brand]])</f>
        <v>4260400</v>
      </c>
      <c r="S1501" s="13">
        <f>SUMIF(H:H,Online_eCommerce[[#This Row],[Brand]],M:M)</f>
        <v>5538520</v>
      </c>
      <c r="T1501" s="13">
        <f>SUMIF(N:N,Online_eCommerce[[#This Row],[Assigned Supervisor]],L:L)</f>
        <v>12220830</v>
      </c>
    </row>
    <row r="1502" spans="1:20" x14ac:dyDescent="0.3">
      <c r="A1502" t="s">
        <v>2324</v>
      </c>
      <c r="B1502" t="s">
        <v>135</v>
      </c>
      <c r="C1502" t="s">
        <v>172</v>
      </c>
      <c r="D1502" t="s">
        <v>2301</v>
      </c>
      <c r="E1502" t="s">
        <v>46</v>
      </c>
      <c r="F1502" t="s">
        <v>47</v>
      </c>
      <c r="G1502" t="s">
        <v>259</v>
      </c>
      <c r="H1502" t="s">
        <v>49</v>
      </c>
      <c r="I1502">
        <v>7650</v>
      </c>
      <c r="J1502">
        <v>9945</v>
      </c>
      <c r="K1502">
        <v>2</v>
      </c>
      <c r="L1502">
        <v>15300</v>
      </c>
      <c r="M1502">
        <v>19890</v>
      </c>
      <c r="N1502" t="s">
        <v>35</v>
      </c>
      <c r="O1502">
        <f t="shared" si="46"/>
        <v>11700</v>
      </c>
      <c r="P1502" s="13">
        <f t="shared" si="47"/>
        <v>2640274</v>
      </c>
      <c r="Q1502" s="13">
        <f>SUMIFS(M:M,E:E,Online_eCommerce[[#This Row],[Status]])</f>
        <v>28620410</v>
      </c>
      <c r="R1502" s="13">
        <f>SUMIFS(L:L,H:H,Online_eCommerce[[#This Row],[Brand]])</f>
        <v>4528350</v>
      </c>
      <c r="S1502" s="13">
        <f>SUMIF(H:H,Online_eCommerce[[#This Row],[Brand]],M:M)</f>
        <v>5886855</v>
      </c>
      <c r="T1502" s="13">
        <f>SUMIF(N:N,Online_eCommerce[[#This Row],[Assigned Supervisor]],L:L)</f>
        <v>14373360</v>
      </c>
    </row>
    <row r="1503" spans="1:20" hidden="1" x14ac:dyDescent="0.3">
      <c r="A1503" t="s">
        <v>2325</v>
      </c>
      <c r="B1503" t="s">
        <v>139</v>
      </c>
      <c r="C1503" t="s">
        <v>177</v>
      </c>
      <c r="D1503" t="s">
        <v>2301</v>
      </c>
      <c r="E1503" t="s">
        <v>96</v>
      </c>
      <c r="F1503" t="s">
        <v>53</v>
      </c>
      <c r="G1503" t="s">
        <v>54</v>
      </c>
      <c r="H1503" t="s">
        <v>55</v>
      </c>
      <c r="I1503">
        <v>1150</v>
      </c>
      <c r="J1503">
        <v>1495</v>
      </c>
      <c r="K1503">
        <v>1</v>
      </c>
      <c r="L1503">
        <v>1150</v>
      </c>
      <c r="M1503">
        <v>1495</v>
      </c>
      <c r="N1503" t="s">
        <v>42</v>
      </c>
      <c r="O1503">
        <f t="shared" si="46"/>
        <v>2990</v>
      </c>
      <c r="P1503" s="13">
        <f t="shared" si="47"/>
        <v>1863810</v>
      </c>
      <c r="Q1503" s="13">
        <f>SUMIFS(M:M,E:E,Online_eCommerce[[#This Row],[Status]])</f>
        <v>21233992</v>
      </c>
      <c r="R1503" s="13">
        <f>SUMIFS(L:L,H:H,Online_eCommerce[[#This Row],[Brand]])</f>
        <v>2267380</v>
      </c>
      <c r="S1503" s="13">
        <f>SUMIF(H:H,Online_eCommerce[[#This Row],[Brand]],M:M)</f>
        <v>2947594</v>
      </c>
      <c r="T1503" s="13">
        <f>SUMIF(N:N,Online_eCommerce[[#This Row],[Assigned Supervisor]],L:L)</f>
        <v>12261500</v>
      </c>
    </row>
    <row r="1504" spans="1:20" hidden="1" x14ac:dyDescent="0.3">
      <c r="A1504" t="s">
        <v>2326</v>
      </c>
      <c r="B1504" t="s">
        <v>144</v>
      </c>
      <c r="C1504" t="s">
        <v>181</v>
      </c>
      <c r="D1504" t="s">
        <v>2301</v>
      </c>
      <c r="E1504" t="s">
        <v>18</v>
      </c>
      <c r="F1504" t="s">
        <v>59</v>
      </c>
      <c r="G1504" t="s">
        <v>60</v>
      </c>
      <c r="H1504" t="s">
        <v>61</v>
      </c>
      <c r="I1504">
        <v>850</v>
      </c>
      <c r="J1504">
        <v>1105</v>
      </c>
      <c r="K1504">
        <v>2</v>
      </c>
      <c r="L1504">
        <v>1700</v>
      </c>
      <c r="M1504">
        <v>2210</v>
      </c>
      <c r="N1504" t="s">
        <v>50</v>
      </c>
      <c r="O1504">
        <f t="shared" si="46"/>
        <v>3315</v>
      </c>
      <c r="P1504" s="13">
        <f t="shared" si="47"/>
        <v>2577458</v>
      </c>
      <c r="Q1504" s="13">
        <f>SUMIFS(M:M,E:E,Online_eCommerce[[#This Row],[Status]])</f>
        <v>28340455</v>
      </c>
      <c r="R1504" s="13">
        <f>SUMIFS(L:L,H:H,Online_eCommerce[[#This Row],[Brand]])</f>
        <v>10950150</v>
      </c>
      <c r="S1504" s="13">
        <f>SUMIF(H:H,Online_eCommerce[[#This Row],[Brand]],M:M)</f>
        <v>14235195</v>
      </c>
      <c r="T1504" s="13">
        <f>SUMIF(N:N,Online_eCommerce[[#This Row],[Assigned Supervisor]],L:L)</f>
        <v>12100590</v>
      </c>
    </row>
    <row r="1505" spans="1:20" hidden="1" x14ac:dyDescent="0.3">
      <c r="A1505" t="s">
        <v>2327</v>
      </c>
      <c r="B1505" t="s">
        <v>149</v>
      </c>
      <c r="C1505" t="s">
        <v>185</v>
      </c>
      <c r="D1505" t="s">
        <v>2301</v>
      </c>
      <c r="E1505" t="s">
        <v>161</v>
      </c>
      <c r="F1505" t="s">
        <v>65</v>
      </c>
      <c r="G1505" t="s">
        <v>66</v>
      </c>
      <c r="H1505" t="s">
        <v>21</v>
      </c>
      <c r="I1505">
        <v>650</v>
      </c>
      <c r="J1505">
        <v>845</v>
      </c>
      <c r="K1505">
        <v>4</v>
      </c>
      <c r="L1505">
        <v>2600</v>
      </c>
      <c r="M1505">
        <v>3380</v>
      </c>
      <c r="N1505" t="s">
        <v>56</v>
      </c>
      <c r="O1505">
        <f t="shared" si="46"/>
        <v>1690</v>
      </c>
      <c r="P1505" s="13">
        <f t="shared" si="47"/>
        <v>2091596</v>
      </c>
      <c r="Q1505" s="13">
        <f>SUMIFS(M:M,E:E,Online_eCommerce[[#This Row],[Status]])</f>
        <v>21103186</v>
      </c>
      <c r="R1505" s="13">
        <f>SUMIFS(L:L,H:H,Online_eCommerce[[#This Row],[Brand]])</f>
        <v>12435650</v>
      </c>
      <c r="S1505" s="13">
        <f>SUMIF(H:H,Online_eCommerce[[#This Row],[Brand]],M:M)</f>
        <v>16166345</v>
      </c>
      <c r="T1505" s="13">
        <f>SUMIF(N:N,Online_eCommerce[[#This Row],[Assigned Supervisor]],L:L)</f>
        <v>11733610</v>
      </c>
    </row>
    <row r="1506" spans="1:20" x14ac:dyDescent="0.3">
      <c r="A1506" t="s">
        <v>2328</v>
      </c>
      <c r="B1506" t="s">
        <v>154</v>
      </c>
      <c r="C1506" t="s">
        <v>189</v>
      </c>
      <c r="D1506" t="s">
        <v>2301</v>
      </c>
      <c r="E1506" t="s">
        <v>46</v>
      </c>
      <c r="F1506" t="s">
        <v>70</v>
      </c>
      <c r="G1506" t="s">
        <v>71</v>
      </c>
      <c r="H1506" t="s">
        <v>61</v>
      </c>
      <c r="I1506">
        <v>7500</v>
      </c>
      <c r="J1506">
        <v>9750</v>
      </c>
      <c r="K1506">
        <v>4</v>
      </c>
      <c r="L1506">
        <v>30000</v>
      </c>
      <c r="M1506">
        <v>39000</v>
      </c>
      <c r="N1506" t="s">
        <v>22</v>
      </c>
      <c r="O1506">
        <f t="shared" si="46"/>
        <v>9750</v>
      </c>
      <c r="P1506" s="13">
        <f t="shared" si="47"/>
        <v>2740777</v>
      </c>
      <c r="Q1506" s="13">
        <f>SUMIFS(M:M,E:E,Online_eCommerce[[#This Row],[Status]])</f>
        <v>28620410</v>
      </c>
      <c r="R1506" s="13">
        <f>SUMIFS(L:L,H:H,Online_eCommerce[[#This Row],[Brand]])</f>
        <v>10950150</v>
      </c>
      <c r="S1506" s="13">
        <f>SUMIF(H:H,Online_eCommerce[[#This Row],[Brand]],M:M)</f>
        <v>14235195</v>
      </c>
      <c r="T1506" s="13">
        <f>SUMIF(N:N,Online_eCommerce[[#This Row],[Assigned Supervisor]],L:L)</f>
        <v>13693220</v>
      </c>
    </row>
    <row r="1507" spans="1:20" hidden="1" x14ac:dyDescent="0.3">
      <c r="A1507" t="s">
        <v>2329</v>
      </c>
      <c r="B1507" t="s">
        <v>159</v>
      </c>
      <c r="C1507" t="s">
        <v>193</v>
      </c>
      <c r="D1507" t="s">
        <v>2301</v>
      </c>
      <c r="E1507" t="s">
        <v>96</v>
      </c>
      <c r="F1507" t="s">
        <v>2316</v>
      </c>
      <c r="G1507" t="s">
        <v>77</v>
      </c>
      <c r="H1507" t="s">
        <v>78</v>
      </c>
      <c r="I1507">
        <v>10000</v>
      </c>
      <c r="J1507">
        <v>13000</v>
      </c>
      <c r="K1507">
        <v>4</v>
      </c>
      <c r="L1507">
        <v>40000</v>
      </c>
      <c r="M1507">
        <v>52000</v>
      </c>
      <c r="N1507" t="s">
        <v>28</v>
      </c>
      <c r="O1507">
        <f t="shared" si="46"/>
        <v>39000</v>
      </c>
      <c r="P1507" s="13">
        <f t="shared" si="47"/>
        <v>2074774</v>
      </c>
      <c r="Q1507" s="13">
        <f>SUMIFS(M:M,E:E,Online_eCommerce[[#This Row],[Status]])</f>
        <v>21233992</v>
      </c>
      <c r="R1507" s="13">
        <f>SUMIFS(L:L,H:H,Online_eCommerce[[#This Row],[Brand]])</f>
        <v>3720000</v>
      </c>
      <c r="S1507" s="13">
        <f>SUMIF(H:H,Online_eCommerce[[#This Row],[Brand]],M:M)</f>
        <v>4836000</v>
      </c>
      <c r="T1507" s="13">
        <f>SUMIF(N:N,Online_eCommerce[[#This Row],[Assigned Supervisor]],L:L)</f>
        <v>12220830</v>
      </c>
    </row>
    <row r="1508" spans="1:20" hidden="1" x14ac:dyDescent="0.3">
      <c r="A1508" t="s">
        <v>2330</v>
      </c>
      <c r="B1508" t="s">
        <v>139</v>
      </c>
      <c r="C1508" t="s">
        <v>197</v>
      </c>
      <c r="D1508" t="s">
        <v>2301</v>
      </c>
      <c r="E1508" t="s">
        <v>18</v>
      </c>
      <c r="F1508" t="s">
        <v>2331</v>
      </c>
      <c r="G1508" t="s">
        <v>20</v>
      </c>
      <c r="H1508" t="s">
        <v>21</v>
      </c>
      <c r="I1508">
        <v>10500</v>
      </c>
      <c r="J1508">
        <v>13650</v>
      </c>
      <c r="K1508">
        <v>1</v>
      </c>
      <c r="L1508">
        <v>10500</v>
      </c>
      <c r="M1508">
        <v>13650</v>
      </c>
      <c r="N1508" t="s">
        <v>35</v>
      </c>
      <c r="O1508">
        <f t="shared" si="46"/>
        <v>8450</v>
      </c>
      <c r="P1508" s="13">
        <f t="shared" si="47"/>
        <v>2829840</v>
      </c>
      <c r="Q1508" s="13">
        <f>SUMIFS(M:M,E:E,Online_eCommerce[[#This Row],[Status]])</f>
        <v>28340455</v>
      </c>
      <c r="R1508" s="13">
        <f>SUMIFS(L:L,H:H,Online_eCommerce[[#This Row],[Brand]])</f>
        <v>12435650</v>
      </c>
      <c r="S1508" s="13">
        <f>SUMIF(H:H,Online_eCommerce[[#This Row],[Brand]],M:M)</f>
        <v>16166345</v>
      </c>
      <c r="T1508" s="13">
        <f>SUMIF(N:N,Online_eCommerce[[#This Row],[Assigned Supervisor]],L:L)</f>
        <v>14373360</v>
      </c>
    </row>
    <row r="1509" spans="1:20" hidden="1" x14ac:dyDescent="0.3">
      <c r="A1509" t="s">
        <v>2332</v>
      </c>
      <c r="B1509" t="s">
        <v>144</v>
      </c>
      <c r="C1509" t="s">
        <v>199</v>
      </c>
      <c r="D1509" t="s">
        <v>2301</v>
      </c>
      <c r="E1509" t="s">
        <v>161</v>
      </c>
      <c r="F1509" t="s">
        <v>88</v>
      </c>
      <c r="G1509" t="s">
        <v>26</v>
      </c>
      <c r="H1509" t="s">
        <v>27</v>
      </c>
      <c r="I1509">
        <v>8500</v>
      </c>
      <c r="J1509">
        <v>11050</v>
      </c>
      <c r="K1509">
        <v>3</v>
      </c>
      <c r="L1509">
        <v>25500</v>
      </c>
      <c r="M1509">
        <v>33150</v>
      </c>
      <c r="N1509" t="s">
        <v>42</v>
      </c>
      <c r="O1509">
        <f t="shared" si="46"/>
        <v>33150</v>
      </c>
      <c r="P1509" s="13">
        <f t="shared" si="47"/>
        <v>1947361</v>
      </c>
      <c r="Q1509" s="13">
        <f>SUMIFS(M:M,E:E,Online_eCommerce[[#This Row],[Status]])</f>
        <v>21103186</v>
      </c>
      <c r="R1509" s="13">
        <f>SUMIFS(L:L,H:H,Online_eCommerce[[#This Row],[Brand]])</f>
        <v>14431000</v>
      </c>
      <c r="S1509" s="13">
        <f>SUMIF(H:H,Online_eCommerce[[#This Row],[Brand]],M:M)</f>
        <v>18760300</v>
      </c>
      <c r="T1509" s="13">
        <f>SUMIF(N:N,Online_eCommerce[[#This Row],[Assigned Supervisor]],L:L)</f>
        <v>12261500</v>
      </c>
    </row>
    <row r="1510" spans="1:20" x14ac:dyDescent="0.3">
      <c r="A1510" t="s">
        <v>2333</v>
      </c>
      <c r="B1510" t="s">
        <v>171</v>
      </c>
      <c r="C1510" t="s">
        <v>203</v>
      </c>
      <c r="D1510" t="s">
        <v>2301</v>
      </c>
      <c r="E1510" t="s">
        <v>46</v>
      </c>
      <c r="F1510" t="s">
        <v>32</v>
      </c>
      <c r="G1510" t="s">
        <v>33</v>
      </c>
      <c r="H1510" t="s">
        <v>34</v>
      </c>
      <c r="I1510">
        <v>7000</v>
      </c>
      <c r="J1510">
        <v>9100</v>
      </c>
      <c r="K1510">
        <v>4</v>
      </c>
      <c r="L1510">
        <v>28000</v>
      </c>
      <c r="M1510">
        <v>36400</v>
      </c>
      <c r="N1510" t="s">
        <v>50</v>
      </c>
      <c r="O1510">
        <f t="shared" si="46"/>
        <v>18200</v>
      </c>
      <c r="P1510" s="13">
        <f t="shared" si="47"/>
        <v>2559635</v>
      </c>
      <c r="Q1510" s="13">
        <f>SUMIFS(M:M,E:E,Online_eCommerce[[#This Row],[Status]])</f>
        <v>28620410</v>
      </c>
      <c r="R1510" s="13">
        <f>SUMIFS(L:L,H:H,Online_eCommerce[[#This Row],[Brand]])</f>
        <v>10087000</v>
      </c>
      <c r="S1510" s="13">
        <f>SUMIF(H:H,Online_eCommerce[[#This Row],[Brand]],M:M)</f>
        <v>13113100</v>
      </c>
      <c r="T1510" s="13">
        <f>SUMIF(N:N,Online_eCommerce[[#This Row],[Assigned Supervisor]],L:L)</f>
        <v>12100590</v>
      </c>
    </row>
    <row r="1511" spans="1:20" hidden="1" x14ac:dyDescent="0.3">
      <c r="A1511" t="s">
        <v>2334</v>
      </c>
      <c r="B1511" t="s">
        <v>176</v>
      </c>
      <c r="C1511" t="s">
        <v>205</v>
      </c>
      <c r="D1511" t="s">
        <v>2301</v>
      </c>
      <c r="E1511" t="s">
        <v>96</v>
      </c>
      <c r="F1511" t="s">
        <v>2335</v>
      </c>
      <c r="G1511" t="s">
        <v>256</v>
      </c>
      <c r="H1511" t="s">
        <v>41</v>
      </c>
      <c r="I1511">
        <v>1680</v>
      </c>
      <c r="J1511">
        <v>2184</v>
      </c>
      <c r="K1511">
        <v>4</v>
      </c>
      <c r="L1511">
        <v>6720</v>
      </c>
      <c r="M1511">
        <v>8736</v>
      </c>
      <c r="N1511" t="s">
        <v>56</v>
      </c>
      <c r="O1511">
        <f t="shared" si="46"/>
        <v>9100</v>
      </c>
      <c r="P1511" s="13">
        <f t="shared" si="47"/>
        <v>1983254</v>
      </c>
      <c r="Q1511" s="13">
        <f>SUMIFS(M:M,E:E,Online_eCommerce[[#This Row],[Status]])</f>
        <v>21233992</v>
      </c>
      <c r="R1511" s="13">
        <f>SUMIFS(L:L,H:H,Online_eCommerce[[#This Row],[Brand]])</f>
        <v>4260400</v>
      </c>
      <c r="S1511" s="13">
        <f>SUMIF(H:H,Online_eCommerce[[#This Row],[Brand]],M:M)</f>
        <v>5538520</v>
      </c>
      <c r="T1511" s="13">
        <f>SUMIF(N:N,Online_eCommerce[[#This Row],[Assigned Supervisor]],L:L)</f>
        <v>11733610</v>
      </c>
    </row>
    <row r="1512" spans="1:20" hidden="1" x14ac:dyDescent="0.3">
      <c r="A1512" t="s">
        <v>2336</v>
      </c>
      <c r="B1512" t="s">
        <v>276</v>
      </c>
      <c r="C1512" t="s">
        <v>208</v>
      </c>
      <c r="D1512" t="s">
        <v>2301</v>
      </c>
      <c r="E1512" t="s">
        <v>18</v>
      </c>
      <c r="F1512" t="s">
        <v>101</v>
      </c>
      <c r="G1512" t="s">
        <v>259</v>
      </c>
      <c r="H1512" t="s">
        <v>102</v>
      </c>
      <c r="I1512">
        <v>6540</v>
      </c>
      <c r="J1512">
        <v>8502</v>
      </c>
      <c r="K1512">
        <v>4</v>
      </c>
      <c r="L1512">
        <v>26160</v>
      </c>
      <c r="M1512">
        <v>34008</v>
      </c>
      <c r="N1512" t="s">
        <v>22</v>
      </c>
      <c r="O1512">
        <f t="shared" si="46"/>
        <v>11700</v>
      </c>
      <c r="P1512" s="13">
        <f t="shared" si="47"/>
        <v>2746575</v>
      </c>
      <c r="Q1512" s="13">
        <f>SUMIFS(M:M,E:E,Online_eCommerce[[#This Row],[Status]])</f>
        <v>28340455</v>
      </c>
      <c r="R1512" s="13">
        <f>SUMIFS(L:L,H:H,Online_eCommerce[[#This Row],[Brand]])</f>
        <v>2465580</v>
      </c>
      <c r="S1512" s="13">
        <f>SUMIF(H:H,Online_eCommerce[[#This Row],[Brand]],M:M)</f>
        <v>3205254</v>
      </c>
      <c r="T1512" s="13">
        <f>SUMIF(N:N,Online_eCommerce[[#This Row],[Assigned Supervisor]],L:L)</f>
        <v>13693220</v>
      </c>
    </row>
    <row r="1513" spans="1:20" hidden="1" x14ac:dyDescent="0.3">
      <c r="A1513" t="s">
        <v>2337</v>
      </c>
      <c r="B1513" t="s">
        <v>280</v>
      </c>
      <c r="C1513" t="s">
        <v>211</v>
      </c>
      <c r="D1513" t="s">
        <v>2301</v>
      </c>
      <c r="E1513" t="s">
        <v>161</v>
      </c>
      <c r="F1513" t="s">
        <v>107</v>
      </c>
      <c r="G1513" t="s">
        <v>54</v>
      </c>
      <c r="H1513" t="s">
        <v>55</v>
      </c>
      <c r="I1513">
        <v>2680</v>
      </c>
      <c r="J1513">
        <v>3484</v>
      </c>
      <c r="K1513">
        <v>2</v>
      </c>
      <c r="L1513">
        <v>5360</v>
      </c>
      <c r="M1513">
        <v>6968</v>
      </c>
      <c r="N1513" t="s">
        <v>28</v>
      </c>
      <c r="O1513">
        <f t="shared" si="46"/>
        <v>2990</v>
      </c>
      <c r="P1513" s="13">
        <f t="shared" si="47"/>
        <v>1809847</v>
      </c>
      <c r="Q1513" s="13">
        <f>SUMIFS(M:M,E:E,Online_eCommerce[[#This Row],[Status]])</f>
        <v>21103186</v>
      </c>
      <c r="R1513" s="13">
        <f>SUMIFS(L:L,H:H,Online_eCommerce[[#This Row],[Brand]])</f>
        <v>2267380</v>
      </c>
      <c r="S1513" s="13">
        <f>SUMIF(H:H,Online_eCommerce[[#This Row],[Brand]],M:M)</f>
        <v>2947594</v>
      </c>
      <c r="T1513" s="13">
        <f>SUMIF(N:N,Online_eCommerce[[#This Row],[Assigned Supervisor]],L:L)</f>
        <v>12220830</v>
      </c>
    </row>
    <row r="1514" spans="1:20" x14ac:dyDescent="0.3">
      <c r="A1514" t="s">
        <v>2338</v>
      </c>
      <c r="B1514" t="s">
        <v>283</v>
      </c>
      <c r="C1514" t="s">
        <v>16</v>
      </c>
      <c r="D1514" t="s">
        <v>2301</v>
      </c>
      <c r="E1514" t="s">
        <v>46</v>
      </c>
      <c r="F1514" t="s">
        <v>112</v>
      </c>
      <c r="G1514" t="s">
        <v>71</v>
      </c>
      <c r="H1514" t="s">
        <v>21</v>
      </c>
      <c r="I1514">
        <v>8250</v>
      </c>
      <c r="J1514">
        <v>10725</v>
      </c>
      <c r="K1514">
        <v>2</v>
      </c>
      <c r="L1514">
        <v>16500</v>
      </c>
      <c r="M1514">
        <v>21450</v>
      </c>
      <c r="N1514" t="s">
        <v>35</v>
      </c>
      <c r="O1514">
        <f t="shared" si="46"/>
        <v>9750</v>
      </c>
      <c r="P1514" s="13">
        <f t="shared" si="47"/>
        <v>2751814</v>
      </c>
      <c r="Q1514" s="13">
        <f>SUMIFS(M:M,E:E,Online_eCommerce[[#This Row],[Status]])</f>
        <v>28620410</v>
      </c>
      <c r="R1514" s="13">
        <f>SUMIFS(L:L,H:H,Online_eCommerce[[#This Row],[Brand]])</f>
        <v>12435650</v>
      </c>
      <c r="S1514" s="13">
        <f>SUMIF(H:H,Online_eCommerce[[#This Row],[Brand]],M:M)</f>
        <v>16166345</v>
      </c>
      <c r="T1514" s="13">
        <f>SUMIF(N:N,Online_eCommerce[[#This Row],[Assigned Supervisor]],L:L)</f>
        <v>14373360</v>
      </c>
    </row>
    <row r="1515" spans="1:20" hidden="1" x14ac:dyDescent="0.3">
      <c r="A1515" t="s">
        <v>2339</v>
      </c>
      <c r="B1515" t="s">
        <v>287</v>
      </c>
      <c r="C1515" t="s">
        <v>24</v>
      </c>
      <c r="D1515" t="s">
        <v>2301</v>
      </c>
      <c r="E1515" t="s">
        <v>96</v>
      </c>
      <c r="F1515" t="s">
        <v>1876</v>
      </c>
      <c r="G1515" t="s">
        <v>40</v>
      </c>
      <c r="H1515" t="s">
        <v>21</v>
      </c>
      <c r="I1515">
        <v>2650</v>
      </c>
      <c r="J1515">
        <v>3445</v>
      </c>
      <c r="K1515">
        <v>3</v>
      </c>
      <c r="L1515">
        <v>7950</v>
      </c>
      <c r="M1515">
        <v>10335</v>
      </c>
      <c r="N1515" t="s">
        <v>42</v>
      </c>
      <c r="O1515">
        <f t="shared" si="46"/>
        <v>25545</v>
      </c>
      <c r="P1515" s="13">
        <f t="shared" si="47"/>
        <v>2009540</v>
      </c>
      <c r="Q1515" s="13">
        <f>SUMIFS(M:M,E:E,Online_eCommerce[[#This Row],[Status]])</f>
        <v>21233992</v>
      </c>
      <c r="R1515" s="13">
        <f>SUMIFS(L:L,H:H,Online_eCommerce[[#This Row],[Brand]])</f>
        <v>12435650</v>
      </c>
      <c r="S1515" s="13">
        <f>SUMIF(H:H,Online_eCommerce[[#This Row],[Brand]],M:M)</f>
        <v>16166345</v>
      </c>
      <c r="T1515" s="13">
        <f>SUMIF(N:N,Online_eCommerce[[#This Row],[Assigned Supervisor]],L:L)</f>
        <v>12261500</v>
      </c>
    </row>
    <row r="1516" spans="1:20" hidden="1" x14ac:dyDescent="0.3">
      <c r="A1516" t="s">
        <v>2340</v>
      </c>
      <c r="B1516" t="s">
        <v>290</v>
      </c>
      <c r="C1516" t="s">
        <v>31</v>
      </c>
      <c r="D1516" t="s">
        <v>2341</v>
      </c>
      <c r="E1516" t="s">
        <v>18</v>
      </c>
      <c r="F1516" t="s">
        <v>121</v>
      </c>
      <c r="G1516" t="s">
        <v>71</v>
      </c>
      <c r="H1516" t="s">
        <v>122</v>
      </c>
      <c r="I1516">
        <v>12550</v>
      </c>
      <c r="J1516">
        <v>16315</v>
      </c>
      <c r="K1516">
        <v>3</v>
      </c>
      <c r="L1516">
        <v>37650</v>
      </c>
      <c r="M1516">
        <v>48945</v>
      </c>
      <c r="N1516" t="s">
        <v>50</v>
      </c>
      <c r="O1516">
        <f t="shared" si="46"/>
        <v>9750</v>
      </c>
      <c r="P1516" s="13">
        <f t="shared" si="47"/>
        <v>2865746</v>
      </c>
      <c r="Q1516" s="13">
        <f>SUMIFS(M:M,E:E,Online_eCommerce[[#This Row],[Status]])</f>
        <v>28340455</v>
      </c>
      <c r="R1516" s="13">
        <f>SUMIFS(L:L,H:H,Online_eCommerce[[#This Row],[Brand]])</f>
        <v>5045100</v>
      </c>
      <c r="S1516" s="13">
        <f>SUMIF(H:H,Online_eCommerce[[#This Row],[Brand]],M:M)</f>
        <v>6558630</v>
      </c>
      <c r="T1516" s="13">
        <f>SUMIF(N:N,Online_eCommerce[[#This Row],[Assigned Supervisor]],L:L)</f>
        <v>12100590</v>
      </c>
    </row>
    <row r="1517" spans="1:20" hidden="1" x14ac:dyDescent="0.3">
      <c r="A1517" t="s">
        <v>2342</v>
      </c>
      <c r="B1517" t="s">
        <v>15</v>
      </c>
      <c r="C1517" t="s">
        <v>38</v>
      </c>
      <c r="D1517" t="s">
        <v>2343</v>
      </c>
      <c r="E1517" t="s">
        <v>161</v>
      </c>
      <c r="F1517" t="s">
        <v>126</v>
      </c>
      <c r="G1517" t="s">
        <v>26</v>
      </c>
      <c r="H1517" t="s">
        <v>27</v>
      </c>
      <c r="I1517">
        <v>14500</v>
      </c>
      <c r="J1517">
        <v>18850</v>
      </c>
      <c r="K1517">
        <v>2</v>
      </c>
      <c r="L1517">
        <v>29000</v>
      </c>
      <c r="M1517">
        <v>37700</v>
      </c>
      <c r="N1517" t="s">
        <v>56</v>
      </c>
      <c r="O1517">
        <f t="shared" si="46"/>
        <v>33150</v>
      </c>
      <c r="P1517" s="13">
        <f t="shared" si="47"/>
        <v>1933997</v>
      </c>
      <c r="Q1517" s="13">
        <f>SUMIFS(M:M,E:E,Online_eCommerce[[#This Row],[Status]])</f>
        <v>21103186</v>
      </c>
      <c r="R1517" s="13">
        <f>SUMIFS(L:L,H:H,Online_eCommerce[[#This Row],[Brand]])</f>
        <v>14431000</v>
      </c>
      <c r="S1517" s="13">
        <f>SUMIF(H:H,Online_eCommerce[[#This Row],[Brand]],M:M)</f>
        <v>18760300</v>
      </c>
      <c r="T1517" s="13">
        <f>SUMIF(N:N,Online_eCommerce[[#This Row],[Assigned Supervisor]],L:L)</f>
        <v>11733610</v>
      </c>
    </row>
    <row r="1518" spans="1:20" x14ac:dyDescent="0.3">
      <c r="A1518" t="s">
        <v>2344</v>
      </c>
      <c r="B1518" t="s">
        <v>202</v>
      </c>
      <c r="C1518" t="s">
        <v>45</v>
      </c>
      <c r="D1518" t="s">
        <v>2345</v>
      </c>
      <c r="E1518" t="s">
        <v>46</v>
      </c>
      <c r="F1518" t="s">
        <v>129</v>
      </c>
      <c r="G1518" t="s">
        <v>60</v>
      </c>
      <c r="H1518" t="s">
        <v>61</v>
      </c>
      <c r="I1518">
        <v>800</v>
      </c>
      <c r="J1518">
        <v>1040</v>
      </c>
      <c r="K1518">
        <v>1</v>
      </c>
      <c r="L1518">
        <v>800</v>
      </c>
      <c r="M1518">
        <v>1040</v>
      </c>
      <c r="N1518" t="s">
        <v>22</v>
      </c>
      <c r="O1518">
        <f t="shared" si="46"/>
        <v>3315</v>
      </c>
      <c r="P1518" s="13">
        <f t="shared" si="47"/>
        <v>2842554</v>
      </c>
      <c r="Q1518" s="13">
        <f>SUMIFS(M:M,E:E,Online_eCommerce[[#This Row],[Status]])</f>
        <v>28620410</v>
      </c>
      <c r="R1518" s="13">
        <f>SUMIFS(L:L,H:H,Online_eCommerce[[#This Row],[Brand]])</f>
        <v>10950150</v>
      </c>
      <c r="S1518" s="13">
        <f>SUMIF(H:H,Online_eCommerce[[#This Row],[Brand]],M:M)</f>
        <v>14235195</v>
      </c>
      <c r="T1518" s="13">
        <f>SUMIF(N:N,Online_eCommerce[[#This Row],[Assigned Supervisor]],L:L)</f>
        <v>13693220</v>
      </c>
    </row>
    <row r="1519" spans="1:20" hidden="1" x14ac:dyDescent="0.3">
      <c r="A1519" t="s">
        <v>2346</v>
      </c>
      <c r="B1519" t="s">
        <v>30</v>
      </c>
      <c r="C1519" t="s">
        <v>52</v>
      </c>
      <c r="D1519" t="s">
        <v>2347</v>
      </c>
      <c r="E1519" t="s">
        <v>96</v>
      </c>
      <c r="F1519" t="s">
        <v>133</v>
      </c>
      <c r="G1519" t="s">
        <v>66</v>
      </c>
      <c r="H1519" t="s">
        <v>21</v>
      </c>
      <c r="I1519">
        <v>600</v>
      </c>
      <c r="J1519">
        <v>780</v>
      </c>
      <c r="K1519">
        <v>2</v>
      </c>
      <c r="L1519">
        <v>1200</v>
      </c>
      <c r="M1519">
        <v>1560</v>
      </c>
      <c r="N1519" t="s">
        <v>22</v>
      </c>
      <c r="O1519">
        <f t="shared" si="46"/>
        <v>1690</v>
      </c>
      <c r="P1519" s="13">
        <f t="shared" si="47"/>
        <v>1955044</v>
      </c>
      <c r="Q1519" s="13">
        <f>SUMIFS(M:M,E:E,Online_eCommerce[[#This Row],[Status]])</f>
        <v>21233992</v>
      </c>
      <c r="R1519" s="13">
        <f>SUMIFS(L:L,H:H,Online_eCommerce[[#This Row],[Brand]])</f>
        <v>12435650</v>
      </c>
      <c r="S1519" s="13">
        <f>SUMIF(H:H,Online_eCommerce[[#This Row],[Brand]],M:M)</f>
        <v>16166345</v>
      </c>
      <c r="T1519" s="13">
        <f>SUMIF(N:N,Online_eCommerce[[#This Row],[Assigned Supervisor]],L:L)</f>
        <v>13693220</v>
      </c>
    </row>
    <row r="1520" spans="1:20" hidden="1" x14ac:dyDescent="0.3">
      <c r="A1520" t="s">
        <v>2348</v>
      </c>
      <c r="B1520" t="s">
        <v>37</v>
      </c>
      <c r="C1520" t="s">
        <v>58</v>
      </c>
      <c r="D1520" t="s">
        <v>2349</v>
      </c>
      <c r="E1520" t="s">
        <v>18</v>
      </c>
      <c r="F1520" t="s">
        <v>137</v>
      </c>
      <c r="G1520" t="s">
        <v>71</v>
      </c>
      <c r="H1520" t="s">
        <v>61</v>
      </c>
      <c r="I1520">
        <v>10500</v>
      </c>
      <c r="J1520">
        <v>13650</v>
      </c>
      <c r="K1520">
        <v>3</v>
      </c>
      <c r="L1520">
        <v>31500</v>
      </c>
      <c r="M1520">
        <v>40950</v>
      </c>
      <c r="N1520" t="s">
        <v>28</v>
      </c>
      <c r="O1520">
        <f t="shared" si="46"/>
        <v>9750</v>
      </c>
      <c r="P1520" s="13">
        <f t="shared" si="47"/>
        <v>2629211</v>
      </c>
      <c r="Q1520" s="13">
        <f>SUMIFS(M:M,E:E,Online_eCommerce[[#This Row],[Status]])</f>
        <v>28340455</v>
      </c>
      <c r="R1520" s="13">
        <f>SUMIFS(L:L,H:H,Online_eCommerce[[#This Row],[Brand]])</f>
        <v>10950150</v>
      </c>
      <c r="S1520" s="13">
        <f>SUMIF(H:H,Online_eCommerce[[#This Row],[Brand]],M:M)</f>
        <v>14235195</v>
      </c>
      <c r="T1520" s="13">
        <f>SUMIF(N:N,Online_eCommerce[[#This Row],[Assigned Supervisor]],L:L)</f>
        <v>12220830</v>
      </c>
    </row>
    <row r="1521" spans="1:20" hidden="1" x14ac:dyDescent="0.3">
      <c r="A1521" t="s">
        <v>2350</v>
      </c>
      <c r="B1521" t="s">
        <v>44</v>
      </c>
      <c r="C1521" t="s">
        <v>63</v>
      </c>
      <c r="D1521" t="s">
        <v>2351</v>
      </c>
      <c r="E1521" t="s">
        <v>161</v>
      </c>
      <c r="F1521" t="s">
        <v>2316</v>
      </c>
      <c r="G1521" t="s">
        <v>77</v>
      </c>
      <c r="H1521" t="s">
        <v>142</v>
      </c>
      <c r="I1521">
        <v>6500</v>
      </c>
      <c r="J1521">
        <v>8450</v>
      </c>
      <c r="K1521">
        <v>3</v>
      </c>
      <c r="L1521">
        <v>19500</v>
      </c>
      <c r="M1521">
        <v>25350</v>
      </c>
      <c r="N1521" t="s">
        <v>35</v>
      </c>
      <c r="O1521">
        <f t="shared" si="46"/>
        <v>39000</v>
      </c>
      <c r="P1521" s="13">
        <f t="shared" si="47"/>
        <v>2016131</v>
      </c>
      <c r="Q1521" s="13">
        <f>SUMIFS(M:M,E:E,Online_eCommerce[[#This Row],[Status]])</f>
        <v>21103186</v>
      </c>
      <c r="R1521" s="13">
        <f>SUMIFS(L:L,H:H,Online_eCommerce[[#This Row],[Brand]])</f>
        <v>6192500</v>
      </c>
      <c r="S1521" s="13">
        <f>SUMIF(H:H,Online_eCommerce[[#This Row],[Brand]],M:M)</f>
        <v>8050250</v>
      </c>
      <c r="T1521" s="13">
        <f>SUMIF(N:N,Online_eCommerce[[#This Row],[Assigned Supervisor]],L:L)</f>
        <v>14373360</v>
      </c>
    </row>
    <row r="1522" spans="1:20" x14ac:dyDescent="0.3">
      <c r="A1522" t="s">
        <v>2352</v>
      </c>
      <c r="B1522" t="s">
        <v>213</v>
      </c>
      <c r="C1522" t="s">
        <v>68</v>
      </c>
      <c r="D1522" t="s">
        <v>2353</v>
      </c>
      <c r="E1522" t="s">
        <v>46</v>
      </c>
      <c r="F1522" t="s">
        <v>2354</v>
      </c>
      <c r="G1522" t="s">
        <v>20</v>
      </c>
      <c r="H1522" t="s">
        <v>21</v>
      </c>
      <c r="I1522">
        <v>4500</v>
      </c>
      <c r="J1522">
        <v>5850</v>
      </c>
      <c r="K1522">
        <v>3</v>
      </c>
      <c r="L1522">
        <v>13500</v>
      </c>
      <c r="M1522">
        <v>17550</v>
      </c>
      <c r="N1522" t="s">
        <v>42</v>
      </c>
      <c r="O1522">
        <f t="shared" si="46"/>
        <v>8450</v>
      </c>
      <c r="P1522" s="13">
        <f t="shared" si="47"/>
        <v>2974621</v>
      </c>
      <c r="Q1522" s="13">
        <f>SUMIFS(M:M,E:E,Online_eCommerce[[#This Row],[Status]])</f>
        <v>28620410</v>
      </c>
      <c r="R1522" s="13">
        <f>SUMIFS(L:L,H:H,Online_eCommerce[[#This Row],[Brand]])</f>
        <v>12435650</v>
      </c>
      <c r="S1522" s="13">
        <f>SUMIF(H:H,Online_eCommerce[[#This Row],[Brand]],M:M)</f>
        <v>16166345</v>
      </c>
      <c r="T1522" s="13">
        <f>SUMIF(N:N,Online_eCommerce[[#This Row],[Assigned Supervisor]],L:L)</f>
        <v>12261500</v>
      </c>
    </row>
    <row r="1523" spans="1:20" hidden="1" x14ac:dyDescent="0.3">
      <c r="A1523" t="s">
        <v>2355</v>
      </c>
      <c r="B1523" t="s">
        <v>215</v>
      </c>
      <c r="C1523" t="s">
        <v>74</v>
      </c>
      <c r="D1523" t="s">
        <v>2356</v>
      </c>
      <c r="E1523" t="s">
        <v>96</v>
      </c>
      <c r="F1523" t="s">
        <v>152</v>
      </c>
      <c r="G1523" t="s">
        <v>26</v>
      </c>
      <c r="H1523" t="s">
        <v>27</v>
      </c>
      <c r="I1523">
        <v>8500</v>
      </c>
      <c r="J1523">
        <v>11050</v>
      </c>
      <c r="K1523">
        <v>4</v>
      </c>
      <c r="L1523">
        <v>34000</v>
      </c>
      <c r="M1523">
        <v>44200</v>
      </c>
      <c r="N1523" t="s">
        <v>50</v>
      </c>
      <c r="O1523">
        <f t="shared" si="46"/>
        <v>33150</v>
      </c>
      <c r="P1523" s="13">
        <f t="shared" si="47"/>
        <v>2144701</v>
      </c>
      <c r="Q1523" s="13">
        <f>SUMIFS(M:M,E:E,Online_eCommerce[[#This Row],[Status]])</f>
        <v>21233992</v>
      </c>
      <c r="R1523" s="13">
        <f>SUMIFS(L:L,H:H,Online_eCommerce[[#This Row],[Brand]])</f>
        <v>14431000</v>
      </c>
      <c r="S1523" s="13">
        <f>SUMIF(H:H,Online_eCommerce[[#This Row],[Brand]],M:M)</f>
        <v>18760300</v>
      </c>
      <c r="T1523" s="13">
        <f>SUMIF(N:N,Online_eCommerce[[#This Row],[Assigned Supervisor]],L:L)</f>
        <v>12100590</v>
      </c>
    </row>
    <row r="1524" spans="1:20" hidden="1" x14ac:dyDescent="0.3">
      <c r="A1524" t="s">
        <v>2357</v>
      </c>
      <c r="B1524" t="s">
        <v>215</v>
      </c>
      <c r="C1524" t="s">
        <v>81</v>
      </c>
      <c r="D1524" t="s">
        <v>2358</v>
      </c>
      <c r="E1524" t="s">
        <v>18</v>
      </c>
      <c r="F1524" t="s">
        <v>157</v>
      </c>
      <c r="G1524" t="s">
        <v>33</v>
      </c>
      <c r="H1524" t="s">
        <v>34</v>
      </c>
      <c r="I1524">
        <v>12500</v>
      </c>
      <c r="J1524">
        <v>16250</v>
      </c>
      <c r="K1524">
        <v>3</v>
      </c>
      <c r="L1524">
        <v>37500</v>
      </c>
      <c r="M1524">
        <v>48750</v>
      </c>
      <c r="N1524" t="s">
        <v>56</v>
      </c>
      <c r="O1524">
        <f t="shared" si="46"/>
        <v>18200</v>
      </c>
      <c r="P1524" s="13">
        <f t="shared" si="47"/>
        <v>2595632</v>
      </c>
      <c r="Q1524" s="13">
        <f>SUMIFS(M:M,E:E,Online_eCommerce[[#This Row],[Status]])</f>
        <v>28340455</v>
      </c>
      <c r="R1524" s="13">
        <f>SUMIFS(L:L,H:H,Online_eCommerce[[#This Row],[Brand]])</f>
        <v>10087000</v>
      </c>
      <c r="S1524" s="13">
        <f>SUMIF(H:H,Online_eCommerce[[#This Row],[Brand]],M:M)</f>
        <v>13113100</v>
      </c>
      <c r="T1524" s="13">
        <f>SUMIF(N:N,Online_eCommerce[[#This Row],[Assigned Supervisor]],L:L)</f>
        <v>11733610</v>
      </c>
    </row>
    <row r="1525" spans="1:20" hidden="1" x14ac:dyDescent="0.3">
      <c r="A1525" t="s">
        <v>2359</v>
      </c>
      <c r="B1525" t="s">
        <v>215</v>
      </c>
      <c r="C1525" t="s">
        <v>86</v>
      </c>
      <c r="D1525" t="s">
        <v>2360</v>
      </c>
      <c r="E1525" t="s">
        <v>161</v>
      </c>
      <c r="F1525" t="s">
        <v>1948</v>
      </c>
      <c r="G1525" t="s">
        <v>40</v>
      </c>
      <c r="H1525" t="s">
        <v>41</v>
      </c>
      <c r="I1525">
        <v>3500</v>
      </c>
      <c r="J1525">
        <v>4550</v>
      </c>
      <c r="K1525">
        <v>1</v>
      </c>
      <c r="L1525">
        <v>3500</v>
      </c>
      <c r="M1525">
        <v>4550</v>
      </c>
      <c r="N1525" t="s">
        <v>22</v>
      </c>
      <c r="O1525">
        <f t="shared" si="46"/>
        <v>25545</v>
      </c>
      <c r="P1525" s="13">
        <f t="shared" si="47"/>
        <v>1941225</v>
      </c>
      <c r="Q1525" s="13">
        <f>SUMIFS(M:M,E:E,Online_eCommerce[[#This Row],[Status]])</f>
        <v>21103186</v>
      </c>
      <c r="R1525" s="13">
        <f>SUMIFS(L:L,H:H,Online_eCommerce[[#This Row],[Brand]])</f>
        <v>4260400</v>
      </c>
      <c r="S1525" s="13">
        <f>SUMIF(H:H,Online_eCommerce[[#This Row],[Brand]],M:M)</f>
        <v>5538520</v>
      </c>
      <c r="T1525" s="13">
        <f>SUMIF(N:N,Online_eCommerce[[#This Row],[Assigned Supervisor]],L:L)</f>
        <v>13693220</v>
      </c>
    </row>
    <row r="1526" spans="1:20" x14ac:dyDescent="0.3">
      <c r="A1526" t="s">
        <v>2361</v>
      </c>
      <c r="B1526" t="s">
        <v>215</v>
      </c>
      <c r="C1526" t="s">
        <v>91</v>
      </c>
      <c r="D1526" t="s">
        <v>2362</v>
      </c>
      <c r="E1526" t="s">
        <v>46</v>
      </c>
      <c r="F1526" t="s">
        <v>166</v>
      </c>
      <c r="G1526" t="s">
        <v>334</v>
      </c>
      <c r="H1526" t="s">
        <v>49</v>
      </c>
      <c r="I1526">
        <v>4500</v>
      </c>
      <c r="J1526">
        <v>5850</v>
      </c>
      <c r="K1526">
        <v>3</v>
      </c>
      <c r="L1526">
        <v>13500</v>
      </c>
      <c r="M1526">
        <v>17550</v>
      </c>
      <c r="N1526" t="s">
        <v>28</v>
      </c>
      <c r="O1526">
        <f t="shared" si="46"/>
        <v>39780</v>
      </c>
      <c r="P1526" s="13">
        <f t="shared" si="47"/>
        <v>2731963</v>
      </c>
      <c r="Q1526" s="13">
        <f>SUMIFS(M:M,E:E,Online_eCommerce[[#This Row],[Status]])</f>
        <v>28620410</v>
      </c>
      <c r="R1526" s="13">
        <f>SUMIFS(L:L,H:H,Online_eCommerce[[#This Row],[Brand]])</f>
        <v>4528350</v>
      </c>
      <c r="S1526" s="13">
        <f>SUMIF(H:H,Online_eCommerce[[#This Row],[Brand]],M:M)</f>
        <v>5886855</v>
      </c>
      <c r="T1526" s="13">
        <f>SUMIF(N:N,Online_eCommerce[[#This Row],[Assigned Supervisor]],L:L)</f>
        <v>12220830</v>
      </c>
    </row>
    <row r="1527" spans="1:20" hidden="1" x14ac:dyDescent="0.3">
      <c r="A1527" t="s">
        <v>2363</v>
      </c>
      <c r="B1527" t="s">
        <v>215</v>
      </c>
      <c r="C1527" t="s">
        <v>94</v>
      </c>
      <c r="D1527" t="s">
        <v>2364</v>
      </c>
      <c r="E1527" t="s">
        <v>96</v>
      </c>
      <c r="F1527" t="s">
        <v>2365</v>
      </c>
      <c r="G1527" t="s">
        <v>54</v>
      </c>
      <c r="H1527" t="s">
        <v>55</v>
      </c>
      <c r="I1527">
        <v>2100</v>
      </c>
      <c r="J1527">
        <v>2730</v>
      </c>
      <c r="K1527">
        <v>2</v>
      </c>
      <c r="L1527">
        <v>4200</v>
      </c>
      <c r="M1527">
        <v>5460</v>
      </c>
      <c r="N1527" t="s">
        <v>35</v>
      </c>
      <c r="O1527">
        <f t="shared" si="46"/>
        <v>2990</v>
      </c>
      <c r="P1527" s="13">
        <f t="shared" si="47"/>
        <v>1868256</v>
      </c>
      <c r="Q1527" s="13">
        <f>SUMIFS(M:M,E:E,Online_eCommerce[[#This Row],[Status]])</f>
        <v>21233992</v>
      </c>
      <c r="R1527" s="13">
        <f>SUMIFS(L:L,H:H,Online_eCommerce[[#This Row],[Brand]])</f>
        <v>2267380</v>
      </c>
      <c r="S1527" s="13">
        <f>SUMIF(H:H,Online_eCommerce[[#This Row],[Brand]],M:M)</f>
        <v>2947594</v>
      </c>
      <c r="T1527" s="13">
        <f>SUMIF(N:N,Online_eCommerce[[#This Row],[Assigned Supervisor]],L:L)</f>
        <v>14373360</v>
      </c>
    </row>
    <row r="1528" spans="1:20" hidden="1" x14ac:dyDescent="0.3">
      <c r="A1528" t="s">
        <v>2366</v>
      </c>
      <c r="B1528" t="s">
        <v>215</v>
      </c>
      <c r="C1528" t="s">
        <v>99</v>
      </c>
      <c r="D1528" t="s">
        <v>2367</v>
      </c>
      <c r="E1528" t="s">
        <v>18</v>
      </c>
      <c r="F1528" t="s">
        <v>174</v>
      </c>
      <c r="G1528" t="s">
        <v>60</v>
      </c>
      <c r="H1528" t="s">
        <v>61</v>
      </c>
      <c r="I1528">
        <v>1150</v>
      </c>
      <c r="J1528">
        <v>1495</v>
      </c>
      <c r="K1528">
        <v>4</v>
      </c>
      <c r="L1528">
        <v>4600</v>
      </c>
      <c r="M1528">
        <v>5980</v>
      </c>
      <c r="N1528" t="s">
        <v>42</v>
      </c>
      <c r="O1528">
        <f t="shared" si="46"/>
        <v>3315</v>
      </c>
      <c r="P1528" s="13">
        <f t="shared" si="47"/>
        <v>2651233</v>
      </c>
      <c r="Q1528" s="13">
        <f>SUMIFS(M:M,E:E,Online_eCommerce[[#This Row],[Status]])</f>
        <v>28340455</v>
      </c>
      <c r="R1528" s="13">
        <f>SUMIFS(L:L,H:H,Online_eCommerce[[#This Row],[Brand]])</f>
        <v>10950150</v>
      </c>
      <c r="S1528" s="13">
        <f>SUMIF(H:H,Online_eCommerce[[#This Row],[Brand]],M:M)</f>
        <v>14235195</v>
      </c>
      <c r="T1528" s="13">
        <f>SUMIF(N:N,Online_eCommerce[[#This Row],[Assigned Supervisor]],L:L)</f>
        <v>12261500</v>
      </c>
    </row>
    <row r="1529" spans="1:20" hidden="1" x14ac:dyDescent="0.3">
      <c r="A1529" t="s">
        <v>2368</v>
      </c>
      <c r="B1529" t="s">
        <v>215</v>
      </c>
      <c r="C1529" t="s">
        <v>105</v>
      </c>
      <c r="D1529" t="s">
        <v>2369</v>
      </c>
      <c r="E1529" t="s">
        <v>161</v>
      </c>
      <c r="F1529" t="s">
        <v>179</v>
      </c>
      <c r="G1529" t="s">
        <v>66</v>
      </c>
      <c r="H1529" t="s">
        <v>21</v>
      </c>
      <c r="I1529">
        <v>350</v>
      </c>
      <c r="J1529">
        <v>455</v>
      </c>
      <c r="K1529">
        <v>4</v>
      </c>
      <c r="L1529">
        <v>1400</v>
      </c>
      <c r="M1529">
        <v>1820</v>
      </c>
      <c r="N1529" t="s">
        <v>50</v>
      </c>
      <c r="O1529">
        <f t="shared" si="46"/>
        <v>1690</v>
      </c>
      <c r="P1529" s="13">
        <f t="shared" si="47"/>
        <v>1866852</v>
      </c>
      <c r="Q1529" s="13">
        <f>SUMIFS(M:M,E:E,Online_eCommerce[[#This Row],[Status]])</f>
        <v>21103186</v>
      </c>
      <c r="R1529" s="13">
        <f>SUMIFS(L:L,H:H,Online_eCommerce[[#This Row],[Brand]])</f>
        <v>12435650</v>
      </c>
      <c r="S1529" s="13">
        <f>SUMIF(H:H,Online_eCommerce[[#This Row],[Brand]],M:M)</f>
        <v>16166345</v>
      </c>
      <c r="T1529" s="13">
        <f>SUMIF(N:N,Online_eCommerce[[#This Row],[Assigned Supervisor]],L:L)</f>
        <v>12100590</v>
      </c>
    </row>
    <row r="1530" spans="1:20" x14ac:dyDescent="0.3">
      <c r="A1530" t="s">
        <v>2370</v>
      </c>
      <c r="B1530" t="s">
        <v>215</v>
      </c>
      <c r="C1530" t="s">
        <v>110</v>
      </c>
      <c r="D1530" t="s">
        <v>2371</v>
      </c>
      <c r="E1530" t="s">
        <v>46</v>
      </c>
      <c r="F1530" t="s">
        <v>183</v>
      </c>
      <c r="G1530" t="s">
        <v>71</v>
      </c>
      <c r="H1530" t="s">
        <v>61</v>
      </c>
      <c r="I1530">
        <v>9500</v>
      </c>
      <c r="J1530">
        <v>12350</v>
      </c>
      <c r="K1530">
        <v>1</v>
      </c>
      <c r="L1530">
        <v>9500</v>
      </c>
      <c r="M1530">
        <v>12350</v>
      </c>
      <c r="N1530" t="s">
        <v>56</v>
      </c>
      <c r="O1530">
        <f t="shared" si="46"/>
        <v>9750</v>
      </c>
      <c r="P1530" s="13">
        <f t="shared" si="47"/>
        <v>2598635</v>
      </c>
      <c r="Q1530" s="13">
        <f>SUMIFS(M:M,E:E,Online_eCommerce[[#This Row],[Status]])</f>
        <v>28620410</v>
      </c>
      <c r="R1530" s="13">
        <f>SUMIFS(L:L,H:H,Online_eCommerce[[#This Row],[Brand]])</f>
        <v>10950150</v>
      </c>
      <c r="S1530" s="13">
        <f>SUMIF(H:H,Online_eCommerce[[#This Row],[Brand]],M:M)</f>
        <v>14235195</v>
      </c>
      <c r="T1530" s="13">
        <f>SUMIF(N:N,Online_eCommerce[[#This Row],[Assigned Supervisor]],L:L)</f>
        <v>11733610</v>
      </c>
    </row>
    <row r="1531" spans="1:20" hidden="1" x14ac:dyDescent="0.3">
      <c r="A1531" t="s">
        <v>2372</v>
      </c>
      <c r="B1531" t="s">
        <v>215</v>
      </c>
      <c r="C1531" t="s">
        <v>115</v>
      </c>
      <c r="D1531" t="s">
        <v>2373</v>
      </c>
      <c r="E1531" t="s">
        <v>96</v>
      </c>
      <c r="F1531" t="s">
        <v>2374</v>
      </c>
      <c r="G1531" t="s">
        <v>77</v>
      </c>
      <c r="H1531" t="s">
        <v>142</v>
      </c>
      <c r="I1531">
        <v>10000</v>
      </c>
      <c r="J1531">
        <v>13000</v>
      </c>
      <c r="K1531">
        <v>2</v>
      </c>
      <c r="L1531">
        <v>20000</v>
      </c>
      <c r="M1531">
        <v>26000</v>
      </c>
      <c r="N1531" t="s">
        <v>22</v>
      </c>
      <c r="O1531">
        <f t="shared" si="46"/>
        <v>39000</v>
      </c>
      <c r="P1531" s="13">
        <f t="shared" si="47"/>
        <v>2050178</v>
      </c>
      <c r="Q1531" s="13">
        <f>SUMIFS(M:M,E:E,Online_eCommerce[[#This Row],[Status]])</f>
        <v>21233992</v>
      </c>
      <c r="R1531" s="13">
        <f>SUMIFS(L:L,H:H,Online_eCommerce[[#This Row],[Brand]])</f>
        <v>6192500</v>
      </c>
      <c r="S1531" s="13">
        <f>SUMIF(H:H,Online_eCommerce[[#This Row],[Brand]],M:M)</f>
        <v>8050250</v>
      </c>
      <c r="T1531" s="13">
        <f>SUMIF(N:N,Online_eCommerce[[#This Row],[Assigned Supervisor]],L:L)</f>
        <v>13693220</v>
      </c>
    </row>
    <row r="1532" spans="1:20" hidden="1" x14ac:dyDescent="0.3">
      <c r="A1532" t="s">
        <v>2375</v>
      </c>
      <c r="B1532" t="s">
        <v>215</v>
      </c>
      <c r="C1532" t="s">
        <v>120</v>
      </c>
      <c r="D1532" t="s">
        <v>2376</v>
      </c>
      <c r="E1532" t="s">
        <v>18</v>
      </c>
      <c r="F1532" t="s">
        <v>2377</v>
      </c>
      <c r="G1532" t="s">
        <v>20</v>
      </c>
      <c r="H1532" t="s">
        <v>21</v>
      </c>
      <c r="I1532">
        <v>6500</v>
      </c>
      <c r="J1532">
        <v>8450</v>
      </c>
      <c r="K1532">
        <v>1</v>
      </c>
      <c r="L1532">
        <v>6500</v>
      </c>
      <c r="M1532">
        <v>8450</v>
      </c>
      <c r="N1532" t="s">
        <v>28</v>
      </c>
      <c r="O1532">
        <f t="shared" si="46"/>
        <v>8450</v>
      </c>
      <c r="P1532" s="13">
        <f t="shared" si="47"/>
        <v>2734212</v>
      </c>
      <c r="Q1532" s="13">
        <f>SUMIFS(M:M,E:E,Online_eCommerce[[#This Row],[Status]])</f>
        <v>28340455</v>
      </c>
      <c r="R1532" s="13">
        <f>SUMIFS(L:L,H:H,Online_eCommerce[[#This Row],[Brand]])</f>
        <v>12435650</v>
      </c>
      <c r="S1532" s="13">
        <f>SUMIF(H:H,Online_eCommerce[[#This Row],[Brand]],M:M)</f>
        <v>16166345</v>
      </c>
      <c r="T1532" s="13">
        <f>SUMIF(N:N,Online_eCommerce[[#This Row],[Assigned Supervisor]],L:L)</f>
        <v>12220830</v>
      </c>
    </row>
    <row r="1533" spans="1:20" hidden="1" x14ac:dyDescent="0.3">
      <c r="A1533" t="s">
        <v>2378</v>
      </c>
      <c r="B1533" t="s">
        <v>215</v>
      </c>
      <c r="C1533" t="s">
        <v>125</v>
      </c>
      <c r="D1533" t="s">
        <v>2376</v>
      </c>
      <c r="E1533" t="s">
        <v>161</v>
      </c>
      <c r="F1533" t="s">
        <v>2379</v>
      </c>
      <c r="G1533" t="s">
        <v>26</v>
      </c>
      <c r="H1533" t="s">
        <v>27</v>
      </c>
      <c r="I1533">
        <v>8500</v>
      </c>
      <c r="J1533">
        <v>11050</v>
      </c>
      <c r="K1533">
        <v>4</v>
      </c>
      <c r="L1533">
        <v>34000</v>
      </c>
      <c r="M1533">
        <v>44200</v>
      </c>
      <c r="N1533" t="s">
        <v>35</v>
      </c>
      <c r="O1533">
        <f t="shared" si="46"/>
        <v>33150</v>
      </c>
      <c r="P1533" s="13">
        <f t="shared" si="47"/>
        <v>2091154</v>
      </c>
      <c r="Q1533" s="13">
        <f>SUMIFS(M:M,E:E,Online_eCommerce[[#This Row],[Status]])</f>
        <v>21103186</v>
      </c>
      <c r="R1533" s="13">
        <f>SUMIFS(L:L,H:H,Online_eCommerce[[#This Row],[Brand]])</f>
        <v>14431000</v>
      </c>
      <c r="S1533" s="13">
        <f>SUMIF(H:H,Online_eCommerce[[#This Row],[Brand]],M:M)</f>
        <v>18760300</v>
      </c>
      <c r="T1533" s="13">
        <f>SUMIF(N:N,Online_eCommerce[[#This Row],[Assigned Supervisor]],L:L)</f>
        <v>14373360</v>
      </c>
    </row>
    <row r="1534" spans="1:20" x14ac:dyDescent="0.3">
      <c r="A1534" t="s">
        <v>2380</v>
      </c>
      <c r="B1534" t="s">
        <v>215</v>
      </c>
      <c r="C1534" t="s">
        <v>22</v>
      </c>
      <c r="D1534" t="s">
        <v>2376</v>
      </c>
      <c r="E1534" t="s">
        <v>46</v>
      </c>
      <c r="F1534" t="s">
        <v>32</v>
      </c>
      <c r="G1534" t="s">
        <v>33</v>
      </c>
      <c r="H1534" t="s">
        <v>34</v>
      </c>
      <c r="I1534">
        <v>7000</v>
      </c>
      <c r="J1534">
        <v>9100</v>
      </c>
      <c r="K1534">
        <v>4</v>
      </c>
      <c r="L1534">
        <v>28000</v>
      </c>
      <c r="M1534">
        <v>36400</v>
      </c>
      <c r="N1534" t="s">
        <v>42</v>
      </c>
      <c r="O1534">
        <f t="shared" si="46"/>
        <v>18200</v>
      </c>
      <c r="P1534" s="13">
        <f t="shared" si="47"/>
        <v>2551588</v>
      </c>
      <c r="Q1534" s="13">
        <f>SUMIFS(M:M,E:E,Online_eCommerce[[#This Row],[Status]])</f>
        <v>28620410</v>
      </c>
      <c r="R1534" s="13">
        <f>SUMIFS(L:L,H:H,Online_eCommerce[[#This Row],[Brand]])</f>
        <v>10087000</v>
      </c>
      <c r="S1534" s="13">
        <f>SUMIF(H:H,Online_eCommerce[[#This Row],[Brand]],M:M)</f>
        <v>13113100</v>
      </c>
      <c r="T1534" s="13">
        <f>SUMIF(N:N,Online_eCommerce[[#This Row],[Assigned Supervisor]],L:L)</f>
        <v>12261500</v>
      </c>
    </row>
    <row r="1535" spans="1:20" hidden="1" x14ac:dyDescent="0.3">
      <c r="A1535" t="s">
        <v>2381</v>
      </c>
      <c r="B1535" t="s">
        <v>215</v>
      </c>
      <c r="C1535" t="s">
        <v>132</v>
      </c>
      <c r="D1535" t="s">
        <v>2376</v>
      </c>
      <c r="E1535" t="s">
        <v>96</v>
      </c>
      <c r="F1535" t="s">
        <v>2382</v>
      </c>
      <c r="G1535" t="s">
        <v>40</v>
      </c>
      <c r="H1535" t="s">
        <v>41</v>
      </c>
      <c r="I1535">
        <v>6550</v>
      </c>
      <c r="J1535">
        <v>8515</v>
      </c>
      <c r="K1535">
        <v>4</v>
      </c>
      <c r="L1535">
        <v>26200</v>
      </c>
      <c r="M1535">
        <v>34060</v>
      </c>
      <c r="N1535" t="s">
        <v>50</v>
      </c>
      <c r="O1535">
        <f t="shared" si="46"/>
        <v>25545</v>
      </c>
      <c r="P1535" s="13">
        <f t="shared" si="47"/>
        <v>1989065</v>
      </c>
      <c r="Q1535" s="13">
        <f>SUMIFS(M:M,E:E,Online_eCommerce[[#This Row],[Status]])</f>
        <v>21233992</v>
      </c>
      <c r="R1535" s="13">
        <f>SUMIFS(L:L,H:H,Online_eCommerce[[#This Row],[Brand]])</f>
        <v>4260400</v>
      </c>
      <c r="S1535" s="13">
        <f>SUMIF(H:H,Online_eCommerce[[#This Row],[Brand]],M:M)</f>
        <v>5538520</v>
      </c>
      <c r="T1535" s="13">
        <f>SUMIF(N:N,Online_eCommerce[[#This Row],[Assigned Supervisor]],L:L)</f>
        <v>12100590</v>
      </c>
    </row>
    <row r="1536" spans="1:20" hidden="1" x14ac:dyDescent="0.3">
      <c r="A1536" t="s">
        <v>2383</v>
      </c>
      <c r="B1536" t="s">
        <v>215</v>
      </c>
      <c r="C1536" t="s">
        <v>136</v>
      </c>
      <c r="D1536" t="s">
        <v>2376</v>
      </c>
      <c r="E1536" t="s">
        <v>18</v>
      </c>
      <c r="F1536" t="s">
        <v>47</v>
      </c>
      <c r="G1536" t="s">
        <v>334</v>
      </c>
      <c r="H1536" t="s">
        <v>49</v>
      </c>
      <c r="I1536">
        <v>7650</v>
      </c>
      <c r="J1536">
        <v>9945</v>
      </c>
      <c r="K1536">
        <v>2</v>
      </c>
      <c r="L1536">
        <v>15300</v>
      </c>
      <c r="M1536">
        <v>19890</v>
      </c>
      <c r="N1536" t="s">
        <v>56</v>
      </c>
      <c r="O1536">
        <f t="shared" si="46"/>
        <v>39780</v>
      </c>
      <c r="P1536" s="13">
        <f t="shared" si="47"/>
        <v>2775162</v>
      </c>
      <c r="Q1536" s="13">
        <f>SUMIFS(M:M,E:E,Online_eCommerce[[#This Row],[Status]])</f>
        <v>28340455</v>
      </c>
      <c r="R1536" s="13">
        <f>SUMIFS(L:L,H:H,Online_eCommerce[[#This Row],[Brand]])</f>
        <v>4528350</v>
      </c>
      <c r="S1536" s="13">
        <f>SUMIF(H:H,Online_eCommerce[[#This Row],[Brand]],M:M)</f>
        <v>5886855</v>
      </c>
      <c r="T1536" s="13">
        <f>SUMIF(N:N,Online_eCommerce[[#This Row],[Assigned Supervisor]],L:L)</f>
        <v>11733610</v>
      </c>
    </row>
    <row r="1537" spans="1:20" hidden="1" x14ac:dyDescent="0.3">
      <c r="A1537" t="s">
        <v>2384</v>
      </c>
      <c r="B1537" t="s">
        <v>215</v>
      </c>
      <c r="C1537" t="s">
        <v>140</v>
      </c>
      <c r="D1537" t="s">
        <v>2376</v>
      </c>
      <c r="E1537" t="s">
        <v>161</v>
      </c>
      <c r="F1537" t="s">
        <v>53</v>
      </c>
      <c r="G1537" t="s">
        <v>54</v>
      </c>
      <c r="H1537" t="s">
        <v>55</v>
      </c>
      <c r="I1537">
        <v>1150</v>
      </c>
      <c r="J1537">
        <v>1495</v>
      </c>
      <c r="K1537">
        <v>1</v>
      </c>
      <c r="L1537">
        <v>1150</v>
      </c>
      <c r="M1537">
        <v>1495</v>
      </c>
      <c r="N1537" t="s">
        <v>22</v>
      </c>
      <c r="O1537">
        <f t="shared" si="46"/>
        <v>2990</v>
      </c>
      <c r="P1537" s="13">
        <f t="shared" si="47"/>
        <v>2058264</v>
      </c>
      <c r="Q1537" s="13">
        <f>SUMIFS(M:M,E:E,Online_eCommerce[[#This Row],[Status]])</f>
        <v>21103186</v>
      </c>
      <c r="R1537" s="13">
        <f>SUMIFS(L:L,H:H,Online_eCommerce[[#This Row],[Brand]])</f>
        <v>2267380</v>
      </c>
      <c r="S1537" s="13">
        <f>SUMIF(H:H,Online_eCommerce[[#This Row],[Brand]],M:M)</f>
        <v>2947594</v>
      </c>
      <c r="T1537" s="13">
        <f>SUMIF(N:N,Online_eCommerce[[#This Row],[Assigned Supervisor]],L:L)</f>
        <v>13693220</v>
      </c>
    </row>
    <row r="1538" spans="1:20" x14ac:dyDescent="0.3">
      <c r="A1538" t="s">
        <v>2385</v>
      </c>
      <c r="B1538" t="s">
        <v>215</v>
      </c>
      <c r="C1538" t="s">
        <v>145</v>
      </c>
      <c r="D1538" t="s">
        <v>2376</v>
      </c>
      <c r="E1538" t="s">
        <v>46</v>
      </c>
      <c r="F1538" t="s">
        <v>59</v>
      </c>
      <c r="G1538" t="s">
        <v>60</v>
      </c>
      <c r="H1538" t="s">
        <v>61</v>
      </c>
      <c r="I1538">
        <v>850</v>
      </c>
      <c r="J1538">
        <v>1105</v>
      </c>
      <c r="K1538">
        <v>1</v>
      </c>
      <c r="L1538">
        <v>850</v>
      </c>
      <c r="M1538">
        <v>1105</v>
      </c>
      <c r="N1538" t="s">
        <v>28</v>
      </c>
      <c r="O1538">
        <f t="shared" ref="O1538:O1601" si="48">VLOOKUP(G1538,G:M,7,FALSE)</f>
        <v>3315</v>
      </c>
      <c r="P1538" s="13">
        <f t="shared" ref="P1538:P1601" si="49">SUMIFS(M:M,C:C,C1538)</f>
        <v>2757859</v>
      </c>
      <c r="Q1538" s="13">
        <f>SUMIFS(M:M,E:E,Online_eCommerce[[#This Row],[Status]])</f>
        <v>28620410</v>
      </c>
      <c r="R1538" s="13">
        <f>SUMIFS(L:L,H:H,Online_eCommerce[[#This Row],[Brand]])</f>
        <v>10950150</v>
      </c>
      <c r="S1538" s="13">
        <f>SUMIF(H:H,Online_eCommerce[[#This Row],[Brand]],M:M)</f>
        <v>14235195</v>
      </c>
      <c r="T1538" s="13">
        <f>SUMIF(N:N,Online_eCommerce[[#This Row],[Assigned Supervisor]],L:L)</f>
        <v>12220830</v>
      </c>
    </row>
    <row r="1539" spans="1:20" hidden="1" x14ac:dyDescent="0.3">
      <c r="A1539" t="s">
        <v>2386</v>
      </c>
      <c r="B1539" t="s">
        <v>215</v>
      </c>
      <c r="C1539" t="s">
        <v>150</v>
      </c>
      <c r="D1539" t="s">
        <v>2376</v>
      </c>
      <c r="E1539" t="s">
        <v>96</v>
      </c>
      <c r="F1539" t="s">
        <v>65</v>
      </c>
      <c r="G1539" t="s">
        <v>66</v>
      </c>
      <c r="H1539" t="s">
        <v>21</v>
      </c>
      <c r="I1539">
        <v>650</v>
      </c>
      <c r="J1539">
        <v>845</v>
      </c>
      <c r="K1539">
        <v>3</v>
      </c>
      <c r="L1539">
        <v>1950</v>
      </c>
      <c r="M1539">
        <v>2535</v>
      </c>
      <c r="N1539" t="s">
        <v>35</v>
      </c>
      <c r="O1539">
        <f t="shared" si="48"/>
        <v>1690</v>
      </c>
      <c r="P1539" s="13">
        <f t="shared" si="49"/>
        <v>2154984</v>
      </c>
      <c r="Q1539" s="13">
        <f>SUMIFS(M:M,E:E,Online_eCommerce[[#This Row],[Status]])</f>
        <v>21233992</v>
      </c>
      <c r="R1539" s="13">
        <f>SUMIFS(L:L,H:H,Online_eCommerce[[#This Row],[Brand]])</f>
        <v>12435650</v>
      </c>
      <c r="S1539" s="13">
        <f>SUMIF(H:H,Online_eCommerce[[#This Row],[Brand]],M:M)</f>
        <v>16166345</v>
      </c>
      <c r="T1539" s="13">
        <f>SUMIF(N:N,Online_eCommerce[[#This Row],[Assigned Supervisor]],L:L)</f>
        <v>14373360</v>
      </c>
    </row>
    <row r="1540" spans="1:20" hidden="1" x14ac:dyDescent="0.3">
      <c r="A1540" t="s">
        <v>2387</v>
      </c>
      <c r="B1540" t="s">
        <v>215</v>
      </c>
      <c r="C1540" t="s">
        <v>155</v>
      </c>
      <c r="D1540" t="s">
        <v>2376</v>
      </c>
      <c r="E1540" t="s">
        <v>18</v>
      </c>
      <c r="F1540" t="s">
        <v>70</v>
      </c>
      <c r="G1540" t="s">
        <v>71</v>
      </c>
      <c r="H1540" t="s">
        <v>61</v>
      </c>
      <c r="I1540">
        <v>7500</v>
      </c>
      <c r="J1540">
        <v>9750</v>
      </c>
      <c r="K1540">
        <v>3</v>
      </c>
      <c r="L1540">
        <v>22500</v>
      </c>
      <c r="M1540">
        <v>29250</v>
      </c>
      <c r="N1540" t="s">
        <v>42</v>
      </c>
      <c r="O1540">
        <f t="shared" si="48"/>
        <v>9750</v>
      </c>
      <c r="P1540" s="13">
        <f t="shared" si="49"/>
        <v>2753348</v>
      </c>
      <c r="Q1540" s="13">
        <f>SUMIFS(M:M,E:E,Online_eCommerce[[#This Row],[Status]])</f>
        <v>28340455</v>
      </c>
      <c r="R1540" s="13">
        <f>SUMIFS(L:L,H:H,Online_eCommerce[[#This Row],[Brand]])</f>
        <v>10950150</v>
      </c>
      <c r="S1540" s="13">
        <f>SUMIF(H:H,Online_eCommerce[[#This Row],[Brand]],M:M)</f>
        <v>14235195</v>
      </c>
      <c r="T1540" s="13">
        <f>SUMIF(N:N,Online_eCommerce[[#This Row],[Assigned Supervisor]],L:L)</f>
        <v>12261500</v>
      </c>
    </row>
    <row r="1541" spans="1:20" hidden="1" x14ac:dyDescent="0.3">
      <c r="A1541" t="s">
        <v>2388</v>
      </c>
      <c r="B1541" t="s">
        <v>215</v>
      </c>
      <c r="C1541" t="s">
        <v>160</v>
      </c>
      <c r="D1541" t="s">
        <v>2376</v>
      </c>
      <c r="E1541" t="s">
        <v>161</v>
      </c>
      <c r="F1541" t="s">
        <v>2374</v>
      </c>
      <c r="G1541" t="s">
        <v>77</v>
      </c>
      <c r="H1541" t="s">
        <v>78</v>
      </c>
      <c r="I1541">
        <v>10000</v>
      </c>
      <c r="J1541">
        <v>13000</v>
      </c>
      <c r="K1541">
        <v>1</v>
      </c>
      <c r="L1541">
        <v>10000</v>
      </c>
      <c r="M1541">
        <v>13000</v>
      </c>
      <c r="N1541" t="s">
        <v>50</v>
      </c>
      <c r="O1541">
        <f t="shared" si="48"/>
        <v>39000</v>
      </c>
      <c r="P1541" s="13">
        <f t="shared" si="49"/>
        <v>2303483</v>
      </c>
      <c r="Q1541" s="13">
        <f>SUMIFS(M:M,E:E,Online_eCommerce[[#This Row],[Status]])</f>
        <v>21103186</v>
      </c>
      <c r="R1541" s="13">
        <f>SUMIFS(L:L,H:H,Online_eCommerce[[#This Row],[Brand]])</f>
        <v>3720000</v>
      </c>
      <c r="S1541" s="13">
        <f>SUMIF(H:H,Online_eCommerce[[#This Row],[Brand]],M:M)</f>
        <v>4836000</v>
      </c>
      <c r="T1541" s="13">
        <f>SUMIF(N:N,Online_eCommerce[[#This Row],[Assigned Supervisor]],L:L)</f>
        <v>12100590</v>
      </c>
    </row>
    <row r="1542" spans="1:20" x14ac:dyDescent="0.3">
      <c r="A1542" t="s">
        <v>2389</v>
      </c>
      <c r="B1542" t="s">
        <v>215</v>
      </c>
      <c r="C1542" t="s">
        <v>165</v>
      </c>
      <c r="D1542" t="s">
        <v>2376</v>
      </c>
      <c r="E1542" t="s">
        <v>46</v>
      </c>
      <c r="F1542" t="s">
        <v>2390</v>
      </c>
      <c r="G1542" t="s">
        <v>20</v>
      </c>
      <c r="H1542" t="s">
        <v>21</v>
      </c>
      <c r="I1542">
        <v>10500</v>
      </c>
      <c r="J1542">
        <v>13650</v>
      </c>
      <c r="K1542">
        <v>2</v>
      </c>
      <c r="L1542">
        <v>21000</v>
      </c>
      <c r="M1542">
        <v>27300</v>
      </c>
      <c r="N1542" t="s">
        <v>56</v>
      </c>
      <c r="O1542">
        <f t="shared" si="48"/>
        <v>8450</v>
      </c>
      <c r="P1542" s="13">
        <f t="shared" si="49"/>
        <v>2674087</v>
      </c>
      <c r="Q1542" s="13">
        <f>SUMIFS(M:M,E:E,Online_eCommerce[[#This Row],[Status]])</f>
        <v>28620410</v>
      </c>
      <c r="R1542" s="13">
        <f>SUMIFS(L:L,H:H,Online_eCommerce[[#This Row],[Brand]])</f>
        <v>12435650</v>
      </c>
      <c r="S1542" s="13">
        <f>SUMIF(H:H,Online_eCommerce[[#This Row],[Brand]],M:M)</f>
        <v>16166345</v>
      </c>
      <c r="T1542" s="13">
        <f>SUMIF(N:N,Online_eCommerce[[#This Row],[Assigned Supervisor]],L:L)</f>
        <v>11733610</v>
      </c>
    </row>
    <row r="1543" spans="1:20" hidden="1" x14ac:dyDescent="0.3">
      <c r="A1543" t="s">
        <v>2391</v>
      </c>
      <c r="B1543" t="s">
        <v>215</v>
      </c>
      <c r="C1543" t="s">
        <v>168</v>
      </c>
      <c r="D1543" t="s">
        <v>2376</v>
      </c>
      <c r="E1543" t="s">
        <v>96</v>
      </c>
      <c r="F1543" t="s">
        <v>88</v>
      </c>
      <c r="G1543" t="s">
        <v>26</v>
      </c>
      <c r="H1543" t="s">
        <v>27</v>
      </c>
      <c r="I1543">
        <v>8500</v>
      </c>
      <c r="J1543">
        <v>11050</v>
      </c>
      <c r="K1543">
        <v>2</v>
      </c>
      <c r="L1543">
        <v>17000</v>
      </c>
      <c r="M1543">
        <v>22100</v>
      </c>
      <c r="N1543" t="s">
        <v>22</v>
      </c>
      <c r="O1543">
        <f t="shared" si="48"/>
        <v>33150</v>
      </c>
      <c r="P1543" s="13">
        <f t="shared" si="49"/>
        <v>1937780</v>
      </c>
      <c r="Q1543" s="13">
        <f>SUMIFS(M:M,E:E,Online_eCommerce[[#This Row],[Status]])</f>
        <v>21233992</v>
      </c>
      <c r="R1543" s="13">
        <f>SUMIFS(L:L,H:H,Online_eCommerce[[#This Row],[Brand]])</f>
        <v>14431000</v>
      </c>
      <c r="S1543" s="13">
        <f>SUMIF(H:H,Online_eCommerce[[#This Row],[Brand]],M:M)</f>
        <v>18760300</v>
      </c>
      <c r="T1543" s="13">
        <f>SUMIF(N:N,Online_eCommerce[[#This Row],[Assigned Supervisor]],L:L)</f>
        <v>13693220</v>
      </c>
    </row>
    <row r="1544" spans="1:20" hidden="1" x14ac:dyDescent="0.3">
      <c r="A1544" t="s">
        <v>2392</v>
      </c>
      <c r="B1544" t="s">
        <v>215</v>
      </c>
      <c r="C1544" t="s">
        <v>172</v>
      </c>
      <c r="D1544" t="s">
        <v>2376</v>
      </c>
      <c r="E1544" t="s">
        <v>18</v>
      </c>
      <c r="F1544" t="s">
        <v>32</v>
      </c>
      <c r="G1544" t="s">
        <v>33</v>
      </c>
      <c r="H1544" t="s">
        <v>34</v>
      </c>
      <c r="I1544">
        <v>7000</v>
      </c>
      <c r="J1544">
        <v>9100</v>
      </c>
      <c r="K1544">
        <v>4</v>
      </c>
      <c r="L1544">
        <v>28000</v>
      </c>
      <c r="M1544">
        <v>36400</v>
      </c>
      <c r="N1544" t="s">
        <v>28</v>
      </c>
      <c r="O1544">
        <f t="shared" si="48"/>
        <v>18200</v>
      </c>
      <c r="P1544" s="13">
        <f t="shared" si="49"/>
        <v>2640274</v>
      </c>
      <c r="Q1544" s="13">
        <f>SUMIFS(M:M,E:E,Online_eCommerce[[#This Row],[Status]])</f>
        <v>28340455</v>
      </c>
      <c r="R1544" s="13">
        <f>SUMIFS(L:L,H:H,Online_eCommerce[[#This Row],[Brand]])</f>
        <v>10087000</v>
      </c>
      <c r="S1544" s="13">
        <f>SUMIF(H:H,Online_eCommerce[[#This Row],[Brand]],M:M)</f>
        <v>13113100</v>
      </c>
      <c r="T1544" s="13">
        <f>SUMIF(N:N,Online_eCommerce[[#This Row],[Assigned Supervisor]],L:L)</f>
        <v>12220830</v>
      </c>
    </row>
    <row r="1545" spans="1:20" hidden="1" x14ac:dyDescent="0.3">
      <c r="A1545" t="s">
        <v>2393</v>
      </c>
      <c r="B1545" t="s">
        <v>215</v>
      </c>
      <c r="C1545" t="s">
        <v>177</v>
      </c>
      <c r="D1545" t="s">
        <v>2376</v>
      </c>
      <c r="E1545" t="s">
        <v>161</v>
      </c>
      <c r="F1545" t="s">
        <v>2394</v>
      </c>
      <c r="G1545" t="s">
        <v>40</v>
      </c>
      <c r="H1545" t="s">
        <v>41</v>
      </c>
      <c r="I1545">
        <v>1680</v>
      </c>
      <c r="J1545">
        <v>2184</v>
      </c>
      <c r="K1545">
        <v>1</v>
      </c>
      <c r="L1545">
        <v>1680</v>
      </c>
      <c r="M1545">
        <v>2184</v>
      </c>
      <c r="N1545" t="s">
        <v>35</v>
      </c>
      <c r="O1545">
        <f t="shared" si="48"/>
        <v>25545</v>
      </c>
      <c r="P1545" s="13">
        <f t="shared" si="49"/>
        <v>1863810</v>
      </c>
      <c r="Q1545" s="13">
        <f>SUMIFS(M:M,E:E,Online_eCommerce[[#This Row],[Status]])</f>
        <v>21103186</v>
      </c>
      <c r="R1545" s="13">
        <f>SUMIFS(L:L,H:H,Online_eCommerce[[#This Row],[Brand]])</f>
        <v>4260400</v>
      </c>
      <c r="S1545" s="13">
        <f>SUMIF(H:H,Online_eCommerce[[#This Row],[Brand]],M:M)</f>
        <v>5538520</v>
      </c>
      <c r="T1545" s="13">
        <f>SUMIF(N:N,Online_eCommerce[[#This Row],[Assigned Supervisor]],L:L)</f>
        <v>14373360</v>
      </c>
    </row>
    <row r="1546" spans="1:20" x14ac:dyDescent="0.3">
      <c r="A1546" t="s">
        <v>2395</v>
      </c>
      <c r="B1546" t="s">
        <v>215</v>
      </c>
      <c r="C1546" t="s">
        <v>181</v>
      </c>
      <c r="D1546" t="s">
        <v>2376</v>
      </c>
      <c r="E1546" t="s">
        <v>46</v>
      </c>
      <c r="F1546" t="s">
        <v>101</v>
      </c>
      <c r="G1546" t="s">
        <v>334</v>
      </c>
      <c r="H1546" t="s">
        <v>102</v>
      </c>
      <c r="I1546">
        <v>6540</v>
      </c>
      <c r="J1546">
        <v>8502</v>
      </c>
      <c r="K1546">
        <v>2</v>
      </c>
      <c r="L1546">
        <v>13080</v>
      </c>
      <c r="M1546">
        <v>17004</v>
      </c>
      <c r="N1546" t="s">
        <v>42</v>
      </c>
      <c r="O1546">
        <f t="shared" si="48"/>
        <v>39780</v>
      </c>
      <c r="P1546" s="13">
        <f t="shared" si="49"/>
        <v>2577458</v>
      </c>
      <c r="Q1546" s="13">
        <f>SUMIFS(M:M,E:E,Online_eCommerce[[#This Row],[Status]])</f>
        <v>28620410</v>
      </c>
      <c r="R1546" s="13">
        <f>SUMIFS(L:L,H:H,Online_eCommerce[[#This Row],[Brand]])</f>
        <v>2465580</v>
      </c>
      <c r="S1546" s="13">
        <f>SUMIF(H:H,Online_eCommerce[[#This Row],[Brand]],M:M)</f>
        <v>3205254</v>
      </c>
      <c r="T1546" s="13">
        <f>SUMIF(N:N,Online_eCommerce[[#This Row],[Assigned Supervisor]],L:L)</f>
        <v>12261500</v>
      </c>
    </row>
    <row r="1547" spans="1:20" hidden="1" x14ac:dyDescent="0.3">
      <c r="A1547" t="s">
        <v>2396</v>
      </c>
      <c r="B1547" t="s">
        <v>215</v>
      </c>
      <c r="C1547" t="s">
        <v>185</v>
      </c>
      <c r="D1547" t="s">
        <v>2376</v>
      </c>
      <c r="E1547" t="s">
        <v>96</v>
      </c>
      <c r="F1547" t="s">
        <v>107</v>
      </c>
      <c r="G1547" t="s">
        <v>54</v>
      </c>
      <c r="H1547" t="s">
        <v>55</v>
      </c>
      <c r="I1547">
        <v>2680</v>
      </c>
      <c r="J1547">
        <v>3484</v>
      </c>
      <c r="K1547">
        <v>3</v>
      </c>
      <c r="L1547">
        <v>8040</v>
      </c>
      <c r="M1547">
        <v>10452</v>
      </c>
      <c r="N1547" t="s">
        <v>50</v>
      </c>
      <c r="O1547">
        <f t="shared" si="48"/>
        <v>2990</v>
      </c>
      <c r="P1547" s="13">
        <f t="shared" si="49"/>
        <v>2091596</v>
      </c>
      <c r="Q1547" s="13">
        <f>SUMIFS(M:M,E:E,Online_eCommerce[[#This Row],[Status]])</f>
        <v>21233992</v>
      </c>
      <c r="R1547" s="13">
        <f>SUMIFS(L:L,H:H,Online_eCommerce[[#This Row],[Brand]])</f>
        <v>2267380</v>
      </c>
      <c r="S1547" s="13">
        <f>SUMIF(H:H,Online_eCommerce[[#This Row],[Brand]],M:M)</f>
        <v>2947594</v>
      </c>
      <c r="T1547" s="13">
        <f>SUMIF(N:N,Online_eCommerce[[#This Row],[Assigned Supervisor]],L:L)</f>
        <v>12100590</v>
      </c>
    </row>
    <row r="1548" spans="1:20" hidden="1" x14ac:dyDescent="0.3">
      <c r="A1548" t="s">
        <v>2397</v>
      </c>
      <c r="B1548" t="s">
        <v>215</v>
      </c>
      <c r="C1548" t="s">
        <v>189</v>
      </c>
      <c r="D1548" t="s">
        <v>2376</v>
      </c>
      <c r="E1548" t="s">
        <v>18</v>
      </c>
      <c r="F1548" t="s">
        <v>112</v>
      </c>
      <c r="G1548" t="s">
        <v>71</v>
      </c>
      <c r="H1548" t="s">
        <v>21</v>
      </c>
      <c r="I1548">
        <v>8250</v>
      </c>
      <c r="J1548">
        <v>10725</v>
      </c>
      <c r="K1548">
        <v>1</v>
      </c>
      <c r="L1548">
        <v>8250</v>
      </c>
      <c r="M1548">
        <v>10725</v>
      </c>
      <c r="N1548" t="s">
        <v>56</v>
      </c>
      <c r="O1548">
        <f t="shared" si="48"/>
        <v>9750</v>
      </c>
      <c r="P1548" s="13">
        <f t="shared" si="49"/>
        <v>2740777</v>
      </c>
      <c r="Q1548" s="13">
        <f>SUMIFS(M:M,E:E,Online_eCommerce[[#This Row],[Status]])</f>
        <v>28340455</v>
      </c>
      <c r="R1548" s="13">
        <f>SUMIFS(L:L,H:H,Online_eCommerce[[#This Row],[Brand]])</f>
        <v>12435650</v>
      </c>
      <c r="S1548" s="13">
        <f>SUMIF(H:H,Online_eCommerce[[#This Row],[Brand]],M:M)</f>
        <v>16166345</v>
      </c>
      <c r="T1548" s="13">
        <f>SUMIF(N:N,Online_eCommerce[[#This Row],[Assigned Supervisor]],L:L)</f>
        <v>11733610</v>
      </c>
    </row>
    <row r="1549" spans="1:20" hidden="1" x14ac:dyDescent="0.3">
      <c r="A1549" t="s">
        <v>2398</v>
      </c>
      <c r="B1549" t="s">
        <v>215</v>
      </c>
      <c r="C1549" t="s">
        <v>193</v>
      </c>
      <c r="D1549" t="s">
        <v>2376</v>
      </c>
      <c r="E1549" t="s">
        <v>161</v>
      </c>
      <c r="F1549" t="s">
        <v>1948</v>
      </c>
      <c r="G1549" t="s">
        <v>40</v>
      </c>
      <c r="H1549" t="s">
        <v>21</v>
      </c>
      <c r="I1549">
        <v>2650</v>
      </c>
      <c r="J1549">
        <v>3445</v>
      </c>
      <c r="K1549">
        <v>2</v>
      </c>
      <c r="L1549">
        <v>5300</v>
      </c>
      <c r="M1549">
        <v>6890</v>
      </c>
      <c r="N1549" t="s">
        <v>22</v>
      </c>
      <c r="O1549">
        <f t="shared" si="48"/>
        <v>25545</v>
      </c>
      <c r="P1549" s="13">
        <f t="shared" si="49"/>
        <v>2074774</v>
      </c>
      <c r="Q1549" s="13">
        <f>SUMIFS(M:M,E:E,Online_eCommerce[[#This Row],[Status]])</f>
        <v>21103186</v>
      </c>
      <c r="R1549" s="13">
        <f>SUMIFS(L:L,H:H,Online_eCommerce[[#This Row],[Brand]])</f>
        <v>12435650</v>
      </c>
      <c r="S1549" s="13">
        <f>SUMIF(H:H,Online_eCommerce[[#This Row],[Brand]],M:M)</f>
        <v>16166345</v>
      </c>
      <c r="T1549" s="13">
        <f>SUMIF(N:N,Online_eCommerce[[#This Row],[Assigned Supervisor]],L:L)</f>
        <v>13693220</v>
      </c>
    </row>
    <row r="1550" spans="1:20" x14ac:dyDescent="0.3">
      <c r="A1550" t="s">
        <v>2399</v>
      </c>
      <c r="B1550" t="s">
        <v>215</v>
      </c>
      <c r="C1550" t="s">
        <v>197</v>
      </c>
      <c r="D1550" t="s">
        <v>2376</v>
      </c>
      <c r="E1550" t="s">
        <v>46</v>
      </c>
      <c r="F1550" t="s">
        <v>121</v>
      </c>
      <c r="G1550" t="s">
        <v>71</v>
      </c>
      <c r="H1550" t="s">
        <v>122</v>
      </c>
      <c r="I1550">
        <v>12550</v>
      </c>
      <c r="J1550">
        <v>16315</v>
      </c>
      <c r="K1550">
        <v>1</v>
      </c>
      <c r="L1550">
        <v>12550</v>
      </c>
      <c r="M1550">
        <v>16315</v>
      </c>
      <c r="N1550" t="s">
        <v>28</v>
      </c>
      <c r="O1550">
        <f t="shared" si="48"/>
        <v>9750</v>
      </c>
      <c r="P1550" s="13">
        <f t="shared" si="49"/>
        <v>2829840</v>
      </c>
      <c r="Q1550" s="13">
        <f>SUMIFS(M:M,E:E,Online_eCommerce[[#This Row],[Status]])</f>
        <v>28620410</v>
      </c>
      <c r="R1550" s="13">
        <f>SUMIFS(L:L,H:H,Online_eCommerce[[#This Row],[Brand]])</f>
        <v>5045100</v>
      </c>
      <c r="S1550" s="13">
        <f>SUMIF(H:H,Online_eCommerce[[#This Row],[Brand]],M:M)</f>
        <v>6558630</v>
      </c>
      <c r="T1550" s="13">
        <f>SUMIF(N:N,Online_eCommerce[[#This Row],[Assigned Supervisor]],L:L)</f>
        <v>12220830</v>
      </c>
    </row>
    <row r="1551" spans="1:20" hidden="1" x14ac:dyDescent="0.3">
      <c r="A1551" t="s">
        <v>2400</v>
      </c>
      <c r="B1551" t="s">
        <v>215</v>
      </c>
      <c r="C1551" t="s">
        <v>199</v>
      </c>
      <c r="D1551" t="s">
        <v>2401</v>
      </c>
      <c r="E1551" t="s">
        <v>96</v>
      </c>
      <c r="F1551" t="s">
        <v>126</v>
      </c>
      <c r="G1551" t="s">
        <v>26</v>
      </c>
      <c r="H1551" t="s">
        <v>27</v>
      </c>
      <c r="I1551">
        <v>14500</v>
      </c>
      <c r="J1551">
        <v>18850</v>
      </c>
      <c r="K1551">
        <v>1</v>
      </c>
      <c r="L1551">
        <v>14500</v>
      </c>
      <c r="M1551">
        <v>18850</v>
      </c>
      <c r="N1551" t="s">
        <v>35</v>
      </c>
      <c r="O1551">
        <f t="shared" si="48"/>
        <v>33150</v>
      </c>
      <c r="P1551" s="13">
        <f t="shared" si="49"/>
        <v>1947361</v>
      </c>
      <c r="Q1551" s="13">
        <f>SUMIFS(M:M,E:E,Online_eCommerce[[#This Row],[Status]])</f>
        <v>21233992</v>
      </c>
      <c r="R1551" s="13">
        <f>SUMIFS(L:L,H:H,Online_eCommerce[[#This Row],[Brand]])</f>
        <v>14431000</v>
      </c>
      <c r="S1551" s="13">
        <f>SUMIF(H:H,Online_eCommerce[[#This Row],[Brand]],M:M)</f>
        <v>18760300</v>
      </c>
      <c r="T1551" s="13">
        <f>SUMIF(N:N,Online_eCommerce[[#This Row],[Assigned Supervisor]],L:L)</f>
        <v>14373360</v>
      </c>
    </row>
    <row r="1552" spans="1:20" hidden="1" x14ac:dyDescent="0.3">
      <c r="A1552" t="s">
        <v>2402</v>
      </c>
      <c r="B1552" t="s">
        <v>215</v>
      </c>
      <c r="C1552" t="s">
        <v>203</v>
      </c>
      <c r="D1552" t="s">
        <v>2403</v>
      </c>
      <c r="E1552" t="s">
        <v>18</v>
      </c>
      <c r="F1552" t="s">
        <v>129</v>
      </c>
      <c r="G1552" t="s">
        <v>60</v>
      </c>
      <c r="H1552" t="s">
        <v>61</v>
      </c>
      <c r="I1552">
        <v>800</v>
      </c>
      <c r="J1552">
        <v>1040</v>
      </c>
      <c r="K1552">
        <v>1</v>
      </c>
      <c r="L1552">
        <v>800</v>
      </c>
      <c r="M1552">
        <v>1040</v>
      </c>
      <c r="N1552" t="s">
        <v>42</v>
      </c>
      <c r="O1552">
        <f t="shared" si="48"/>
        <v>3315</v>
      </c>
      <c r="P1552" s="13">
        <f t="shared" si="49"/>
        <v>2559635</v>
      </c>
      <c r="Q1552" s="13">
        <f>SUMIFS(M:M,E:E,Online_eCommerce[[#This Row],[Status]])</f>
        <v>28340455</v>
      </c>
      <c r="R1552" s="13">
        <f>SUMIFS(L:L,H:H,Online_eCommerce[[#This Row],[Brand]])</f>
        <v>10950150</v>
      </c>
      <c r="S1552" s="13">
        <f>SUMIF(H:H,Online_eCommerce[[#This Row],[Brand]],M:M)</f>
        <v>14235195</v>
      </c>
      <c r="T1552" s="13">
        <f>SUMIF(N:N,Online_eCommerce[[#This Row],[Assigned Supervisor]],L:L)</f>
        <v>12261500</v>
      </c>
    </row>
    <row r="1553" spans="1:20" hidden="1" x14ac:dyDescent="0.3">
      <c r="A1553" t="s">
        <v>2404</v>
      </c>
      <c r="B1553" t="s">
        <v>215</v>
      </c>
      <c r="C1553" t="s">
        <v>205</v>
      </c>
      <c r="D1553" t="s">
        <v>2405</v>
      </c>
      <c r="E1553" t="s">
        <v>161</v>
      </c>
      <c r="F1553" t="s">
        <v>133</v>
      </c>
      <c r="G1553" t="s">
        <v>66</v>
      </c>
      <c r="H1553" t="s">
        <v>21</v>
      </c>
      <c r="I1553">
        <v>600</v>
      </c>
      <c r="J1553">
        <v>780</v>
      </c>
      <c r="K1553">
        <v>1</v>
      </c>
      <c r="L1553">
        <v>600</v>
      </c>
      <c r="M1553">
        <v>780</v>
      </c>
      <c r="N1553" t="s">
        <v>50</v>
      </c>
      <c r="O1553">
        <f t="shared" si="48"/>
        <v>1690</v>
      </c>
      <c r="P1553" s="13">
        <f t="shared" si="49"/>
        <v>1983254</v>
      </c>
      <c r="Q1553" s="13">
        <f>SUMIFS(M:M,E:E,Online_eCommerce[[#This Row],[Status]])</f>
        <v>21103186</v>
      </c>
      <c r="R1553" s="13">
        <f>SUMIFS(L:L,H:H,Online_eCommerce[[#This Row],[Brand]])</f>
        <v>12435650</v>
      </c>
      <c r="S1553" s="13">
        <f>SUMIF(H:H,Online_eCommerce[[#This Row],[Brand]],M:M)</f>
        <v>16166345</v>
      </c>
      <c r="T1553" s="13">
        <f>SUMIF(N:N,Online_eCommerce[[#This Row],[Assigned Supervisor]],L:L)</f>
        <v>12100590</v>
      </c>
    </row>
    <row r="1554" spans="1:20" x14ac:dyDescent="0.3">
      <c r="A1554" t="s">
        <v>2406</v>
      </c>
      <c r="B1554" t="s">
        <v>215</v>
      </c>
      <c r="C1554" t="s">
        <v>208</v>
      </c>
      <c r="D1554" t="s">
        <v>2407</v>
      </c>
      <c r="E1554" t="s">
        <v>46</v>
      </c>
      <c r="F1554" t="s">
        <v>137</v>
      </c>
      <c r="G1554" t="s">
        <v>71</v>
      </c>
      <c r="H1554" t="s">
        <v>61</v>
      </c>
      <c r="I1554">
        <v>10500</v>
      </c>
      <c r="J1554">
        <v>13650</v>
      </c>
      <c r="K1554">
        <v>2</v>
      </c>
      <c r="L1554">
        <v>21000</v>
      </c>
      <c r="M1554">
        <v>27300</v>
      </c>
      <c r="N1554" t="s">
        <v>56</v>
      </c>
      <c r="O1554">
        <f t="shared" si="48"/>
        <v>9750</v>
      </c>
      <c r="P1554" s="13">
        <f t="shared" si="49"/>
        <v>2746575</v>
      </c>
      <c r="Q1554" s="13">
        <f>SUMIFS(M:M,E:E,Online_eCommerce[[#This Row],[Status]])</f>
        <v>28620410</v>
      </c>
      <c r="R1554" s="13">
        <f>SUMIFS(L:L,H:H,Online_eCommerce[[#This Row],[Brand]])</f>
        <v>10950150</v>
      </c>
      <c r="S1554" s="13">
        <f>SUMIF(H:H,Online_eCommerce[[#This Row],[Brand]],M:M)</f>
        <v>14235195</v>
      </c>
      <c r="T1554" s="13">
        <f>SUMIF(N:N,Online_eCommerce[[#This Row],[Assigned Supervisor]],L:L)</f>
        <v>11733610</v>
      </c>
    </row>
    <row r="1555" spans="1:20" hidden="1" x14ac:dyDescent="0.3">
      <c r="A1555" t="s">
        <v>2408</v>
      </c>
      <c r="B1555" t="s">
        <v>215</v>
      </c>
      <c r="C1555" t="s">
        <v>211</v>
      </c>
      <c r="D1555" t="s">
        <v>2409</v>
      </c>
      <c r="E1555" t="s">
        <v>96</v>
      </c>
      <c r="F1555" t="s">
        <v>2374</v>
      </c>
      <c r="G1555" t="s">
        <v>77</v>
      </c>
      <c r="H1555" t="s">
        <v>142</v>
      </c>
      <c r="I1555">
        <v>6500</v>
      </c>
      <c r="J1555">
        <v>8450</v>
      </c>
      <c r="K1555">
        <v>2</v>
      </c>
      <c r="L1555">
        <v>13000</v>
      </c>
      <c r="M1555">
        <v>16900</v>
      </c>
      <c r="N1555" t="s">
        <v>22</v>
      </c>
      <c r="O1555">
        <f t="shared" si="48"/>
        <v>39000</v>
      </c>
      <c r="P1555" s="13">
        <f t="shared" si="49"/>
        <v>1809847</v>
      </c>
      <c r="Q1555" s="13">
        <f>SUMIFS(M:M,E:E,Online_eCommerce[[#This Row],[Status]])</f>
        <v>21233992</v>
      </c>
      <c r="R1555" s="13">
        <f>SUMIFS(L:L,H:H,Online_eCommerce[[#This Row],[Brand]])</f>
        <v>6192500</v>
      </c>
      <c r="S1555" s="13">
        <f>SUMIF(H:H,Online_eCommerce[[#This Row],[Brand]],M:M)</f>
        <v>8050250</v>
      </c>
      <c r="T1555" s="13">
        <f>SUMIF(N:N,Online_eCommerce[[#This Row],[Assigned Supervisor]],L:L)</f>
        <v>13693220</v>
      </c>
    </row>
    <row r="1556" spans="1:20" hidden="1" x14ac:dyDescent="0.3">
      <c r="A1556" t="s">
        <v>2410</v>
      </c>
      <c r="B1556" t="s">
        <v>215</v>
      </c>
      <c r="C1556" t="s">
        <v>16</v>
      </c>
      <c r="D1556" t="s">
        <v>2411</v>
      </c>
      <c r="E1556" t="s">
        <v>18</v>
      </c>
      <c r="F1556" t="s">
        <v>2412</v>
      </c>
      <c r="G1556" t="s">
        <v>20</v>
      </c>
      <c r="H1556" t="s">
        <v>21</v>
      </c>
      <c r="I1556">
        <v>4500</v>
      </c>
      <c r="J1556">
        <v>5850</v>
      </c>
      <c r="K1556">
        <v>1</v>
      </c>
      <c r="L1556">
        <v>4500</v>
      </c>
      <c r="M1556">
        <v>5850</v>
      </c>
      <c r="N1556" t="s">
        <v>28</v>
      </c>
      <c r="O1556">
        <f t="shared" si="48"/>
        <v>8450</v>
      </c>
      <c r="P1556" s="13">
        <f t="shared" si="49"/>
        <v>2751814</v>
      </c>
      <c r="Q1556" s="13">
        <f>SUMIFS(M:M,E:E,Online_eCommerce[[#This Row],[Status]])</f>
        <v>28340455</v>
      </c>
      <c r="R1556" s="13">
        <f>SUMIFS(L:L,H:H,Online_eCommerce[[#This Row],[Brand]])</f>
        <v>12435650</v>
      </c>
      <c r="S1556" s="13">
        <f>SUMIF(H:H,Online_eCommerce[[#This Row],[Brand]],M:M)</f>
        <v>16166345</v>
      </c>
      <c r="T1556" s="13">
        <f>SUMIF(N:N,Online_eCommerce[[#This Row],[Assigned Supervisor]],L:L)</f>
        <v>12220830</v>
      </c>
    </row>
    <row r="1557" spans="1:20" hidden="1" x14ac:dyDescent="0.3">
      <c r="A1557" t="s">
        <v>2413</v>
      </c>
      <c r="B1557" t="s">
        <v>215</v>
      </c>
      <c r="C1557" t="s">
        <v>24</v>
      </c>
      <c r="D1557" t="s">
        <v>2414</v>
      </c>
      <c r="E1557" t="s">
        <v>161</v>
      </c>
      <c r="F1557" t="s">
        <v>152</v>
      </c>
      <c r="G1557" t="s">
        <v>26</v>
      </c>
      <c r="H1557" t="s">
        <v>27</v>
      </c>
      <c r="I1557">
        <v>8500</v>
      </c>
      <c r="J1557">
        <v>11050</v>
      </c>
      <c r="K1557">
        <v>2</v>
      </c>
      <c r="L1557">
        <v>17000</v>
      </c>
      <c r="M1557">
        <v>22100</v>
      </c>
      <c r="N1557" t="s">
        <v>35</v>
      </c>
      <c r="O1557">
        <f t="shared" si="48"/>
        <v>33150</v>
      </c>
      <c r="P1557" s="13">
        <f t="shared" si="49"/>
        <v>2009540</v>
      </c>
      <c r="Q1557" s="13">
        <f>SUMIFS(M:M,E:E,Online_eCommerce[[#This Row],[Status]])</f>
        <v>21103186</v>
      </c>
      <c r="R1557" s="13">
        <f>SUMIFS(L:L,H:H,Online_eCommerce[[#This Row],[Brand]])</f>
        <v>14431000</v>
      </c>
      <c r="S1557" s="13">
        <f>SUMIF(H:H,Online_eCommerce[[#This Row],[Brand]],M:M)</f>
        <v>18760300</v>
      </c>
      <c r="T1557" s="13">
        <f>SUMIF(N:N,Online_eCommerce[[#This Row],[Assigned Supervisor]],L:L)</f>
        <v>14373360</v>
      </c>
    </row>
    <row r="1558" spans="1:20" x14ac:dyDescent="0.3">
      <c r="A1558" t="s">
        <v>2415</v>
      </c>
      <c r="B1558" t="s">
        <v>215</v>
      </c>
      <c r="C1558" t="s">
        <v>31</v>
      </c>
      <c r="D1558" t="s">
        <v>2416</v>
      </c>
      <c r="E1558" t="s">
        <v>46</v>
      </c>
      <c r="F1558" t="s">
        <v>157</v>
      </c>
      <c r="G1558" t="s">
        <v>33</v>
      </c>
      <c r="H1558" t="s">
        <v>34</v>
      </c>
      <c r="I1558">
        <v>12500</v>
      </c>
      <c r="J1558">
        <v>16250</v>
      </c>
      <c r="K1558">
        <v>4</v>
      </c>
      <c r="L1558">
        <v>50000</v>
      </c>
      <c r="M1558">
        <v>65000</v>
      </c>
      <c r="N1558" t="s">
        <v>42</v>
      </c>
      <c r="O1558">
        <f t="shared" si="48"/>
        <v>18200</v>
      </c>
      <c r="P1558" s="13">
        <f t="shared" si="49"/>
        <v>2865746</v>
      </c>
      <c r="Q1558" s="13">
        <f>SUMIFS(M:M,E:E,Online_eCommerce[[#This Row],[Status]])</f>
        <v>28620410</v>
      </c>
      <c r="R1558" s="13">
        <f>SUMIFS(L:L,H:H,Online_eCommerce[[#This Row],[Brand]])</f>
        <v>10087000</v>
      </c>
      <c r="S1558" s="13">
        <f>SUMIF(H:H,Online_eCommerce[[#This Row],[Brand]],M:M)</f>
        <v>13113100</v>
      </c>
      <c r="T1558" s="13">
        <f>SUMIF(N:N,Online_eCommerce[[#This Row],[Assigned Supervisor]],L:L)</f>
        <v>12261500</v>
      </c>
    </row>
    <row r="1559" spans="1:20" hidden="1" x14ac:dyDescent="0.3">
      <c r="A1559" t="s">
        <v>2417</v>
      </c>
      <c r="B1559" t="s">
        <v>215</v>
      </c>
      <c r="C1559" t="s">
        <v>38</v>
      </c>
      <c r="D1559" t="s">
        <v>2418</v>
      </c>
      <c r="E1559" t="s">
        <v>96</v>
      </c>
      <c r="F1559" t="s">
        <v>2012</v>
      </c>
      <c r="G1559" t="s">
        <v>163</v>
      </c>
      <c r="H1559" t="s">
        <v>41</v>
      </c>
      <c r="I1559">
        <v>3500</v>
      </c>
      <c r="J1559">
        <v>4550</v>
      </c>
      <c r="K1559">
        <v>3</v>
      </c>
      <c r="L1559">
        <v>10500</v>
      </c>
      <c r="M1559">
        <v>13650</v>
      </c>
      <c r="N1559" t="s">
        <v>50</v>
      </c>
      <c r="O1559">
        <f t="shared" si="48"/>
        <v>13650</v>
      </c>
      <c r="P1559" s="13">
        <f t="shared" si="49"/>
        <v>1933997</v>
      </c>
      <c r="Q1559" s="13">
        <f>SUMIFS(M:M,E:E,Online_eCommerce[[#This Row],[Status]])</f>
        <v>21233992</v>
      </c>
      <c r="R1559" s="13">
        <f>SUMIFS(L:L,H:H,Online_eCommerce[[#This Row],[Brand]])</f>
        <v>4260400</v>
      </c>
      <c r="S1559" s="13">
        <f>SUMIF(H:H,Online_eCommerce[[#This Row],[Brand]],M:M)</f>
        <v>5538520</v>
      </c>
      <c r="T1559" s="13">
        <f>SUMIF(N:N,Online_eCommerce[[#This Row],[Assigned Supervisor]],L:L)</f>
        <v>12100590</v>
      </c>
    </row>
    <row r="1560" spans="1:20" hidden="1" x14ac:dyDescent="0.3">
      <c r="A1560" t="s">
        <v>2419</v>
      </c>
      <c r="B1560" t="s">
        <v>215</v>
      </c>
      <c r="C1560" t="s">
        <v>45</v>
      </c>
      <c r="D1560" t="s">
        <v>2420</v>
      </c>
      <c r="E1560" t="s">
        <v>18</v>
      </c>
      <c r="F1560" t="s">
        <v>166</v>
      </c>
      <c r="G1560" t="s">
        <v>66</v>
      </c>
      <c r="H1560" t="s">
        <v>49</v>
      </c>
      <c r="I1560">
        <v>4500</v>
      </c>
      <c r="J1560">
        <v>5850</v>
      </c>
      <c r="K1560">
        <v>3</v>
      </c>
      <c r="L1560">
        <v>13500</v>
      </c>
      <c r="M1560">
        <v>17550</v>
      </c>
      <c r="N1560" t="s">
        <v>56</v>
      </c>
      <c r="O1560">
        <f t="shared" si="48"/>
        <v>1690</v>
      </c>
      <c r="P1560" s="13">
        <f t="shared" si="49"/>
        <v>2842554</v>
      </c>
      <c r="Q1560" s="13">
        <f>SUMIFS(M:M,E:E,Online_eCommerce[[#This Row],[Status]])</f>
        <v>28340455</v>
      </c>
      <c r="R1560" s="13">
        <f>SUMIFS(L:L,H:H,Online_eCommerce[[#This Row],[Brand]])</f>
        <v>4528350</v>
      </c>
      <c r="S1560" s="13">
        <f>SUMIF(H:H,Online_eCommerce[[#This Row],[Brand]],M:M)</f>
        <v>5886855</v>
      </c>
      <c r="T1560" s="13">
        <f>SUMIF(N:N,Online_eCommerce[[#This Row],[Assigned Supervisor]],L:L)</f>
        <v>11733610</v>
      </c>
    </row>
    <row r="1561" spans="1:20" hidden="1" x14ac:dyDescent="0.3">
      <c r="A1561" t="s">
        <v>2421</v>
      </c>
      <c r="B1561" t="s">
        <v>215</v>
      </c>
      <c r="C1561" t="s">
        <v>52</v>
      </c>
      <c r="D1561" t="s">
        <v>2422</v>
      </c>
      <c r="E1561" t="s">
        <v>161</v>
      </c>
      <c r="F1561" t="s">
        <v>2423</v>
      </c>
      <c r="G1561" t="s">
        <v>54</v>
      </c>
      <c r="H1561" t="s">
        <v>55</v>
      </c>
      <c r="I1561">
        <v>2100</v>
      </c>
      <c r="J1561">
        <v>2730</v>
      </c>
      <c r="K1561">
        <v>2</v>
      </c>
      <c r="L1561">
        <v>4200</v>
      </c>
      <c r="M1561">
        <v>5460</v>
      </c>
      <c r="N1561" t="s">
        <v>22</v>
      </c>
      <c r="O1561">
        <f t="shared" si="48"/>
        <v>2990</v>
      </c>
      <c r="P1561" s="13">
        <f t="shared" si="49"/>
        <v>1955044</v>
      </c>
      <c r="Q1561" s="13">
        <f>SUMIFS(M:M,E:E,Online_eCommerce[[#This Row],[Status]])</f>
        <v>21103186</v>
      </c>
      <c r="R1561" s="13">
        <f>SUMIFS(L:L,H:H,Online_eCommerce[[#This Row],[Brand]])</f>
        <v>2267380</v>
      </c>
      <c r="S1561" s="13">
        <f>SUMIF(H:H,Online_eCommerce[[#This Row],[Brand]],M:M)</f>
        <v>2947594</v>
      </c>
      <c r="T1561" s="13">
        <f>SUMIF(N:N,Online_eCommerce[[#This Row],[Assigned Supervisor]],L:L)</f>
        <v>13693220</v>
      </c>
    </row>
    <row r="1562" spans="1:20" x14ac:dyDescent="0.3">
      <c r="A1562" t="s">
        <v>2424</v>
      </c>
      <c r="B1562" t="s">
        <v>215</v>
      </c>
      <c r="C1562" t="s">
        <v>58</v>
      </c>
      <c r="D1562" t="s">
        <v>2425</v>
      </c>
      <c r="E1562" t="s">
        <v>46</v>
      </c>
      <c r="F1562" t="s">
        <v>174</v>
      </c>
      <c r="G1562" t="s">
        <v>60</v>
      </c>
      <c r="H1562" t="s">
        <v>61</v>
      </c>
      <c r="I1562">
        <v>1150</v>
      </c>
      <c r="J1562">
        <v>1495</v>
      </c>
      <c r="K1562">
        <v>3</v>
      </c>
      <c r="L1562">
        <v>3450</v>
      </c>
      <c r="M1562">
        <v>4485</v>
      </c>
      <c r="N1562" t="s">
        <v>28</v>
      </c>
      <c r="O1562">
        <f t="shared" si="48"/>
        <v>3315</v>
      </c>
      <c r="P1562" s="13">
        <f t="shared" si="49"/>
        <v>2629211</v>
      </c>
      <c r="Q1562" s="13">
        <f>SUMIFS(M:M,E:E,Online_eCommerce[[#This Row],[Status]])</f>
        <v>28620410</v>
      </c>
      <c r="R1562" s="13">
        <f>SUMIFS(L:L,H:H,Online_eCommerce[[#This Row],[Brand]])</f>
        <v>10950150</v>
      </c>
      <c r="S1562" s="13">
        <f>SUMIF(H:H,Online_eCommerce[[#This Row],[Brand]],M:M)</f>
        <v>14235195</v>
      </c>
      <c r="T1562" s="13">
        <f>SUMIF(N:N,Online_eCommerce[[#This Row],[Assigned Supervisor]],L:L)</f>
        <v>12220830</v>
      </c>
    </row>
    <row r="1563" spans="1:20" hidden="1" x14ac:dyDescent="0.3">
      <c r="A1563" t="s">
        <v>2426</v>
      </c>
      <c r="B1563" t="s">
        <v>215</v>
      </c>
      <c r="C1563" t="s">
        <v>63</v>
      </c>
      <c r="D1563" t="s">
        <v>2427</v>
      </c>
      <c r="E1563" t="s">
        <v>96</v>
      </c>
      <c r="F1563" t="s">
        <v>179</v>
      </c>
      <c r="G1563" t="s">
        <v>66</v>
      </c>
      <c r="H1563" t="s">
        <v>21</v>
      </c>
      <c r="I1563">
        <v>350</v>
      </c>
      <c r="J1563">
        <v>455</v>
      </c>
      <c r="K1563">
        <v>4</v>
      </c>
      <c r="L1563">
        <v>1400</v>
      </c>
      <c r="M1563">
        <v>1820</v>
      </c>
      <c r="N1563" t="s">
        <v>35</v>
      </c>
      <c r="O1563">
        <f t="shared" si="48"/>
        <v>1690</v>
      </c>
      <c r="P1563" s="13">
        <f t="shared" si="49"/>
        <v>2016131</v>
      </c>
      <c r="Q1563" s="13">
        <f>SUMIFS(M:M,E:E,Online_eCommerce[[#This Row],[Status]])</f>
        <v>21233992</v>
      </c>
      <c r="R1563" s="13">
        <f>SUMIFS(L:L,H:H,Online_eCommerce[[#This Row],[Brand]])</f>
        <v>12435650</v>
      </c>
      <c r="S1563" s="13">
        <f>SUMIF(H:H,Online_eCommerce[[#This Row],[Brand]],M:M)</f>
        <v>16166345</v>
      </c>
      <c r="T1563" s="13">
        <f>SUMIF(N:N,Online_eCommerce[[#This Row],[Assigned Supervisor]],L:L)</f>
        <v>14373360</v>
      </c>
    </row>
    <row r="1564" spans="1:20" hidden="1" x14ac:dyDescent="0.3">
      <c r="A1564" t="s">
        <v>2428</v>
      </c>
      <c r="B1564" t="s">
        <v>215</v>
      </c>
      <c r="C1564" t="s">
        <v>68</v>
      </c>
      <c r="D1564" t="s">
        <v>2429</v>
      </c>
      <c r="E1564" t="s">
        <v>18</v>
      </c>
      <c r="F1564" t="s">
        <v>183</v>
      </c>
      <c r="G1564" t="s">
        <v>71</v>
      </c>
      <c r="H1564" t="s">
        <v>61</v>
      </c>
      <c r="I1564">
        <v>9500</v>
      </c>
      <c r="J1564">
        <v>12350</v>
      </c>
      <c r="K1564">
        <v>2</v>
      </c>
      <c r="L1564">
        <v>19000</v>
      </c>
      <c r="M1564">
        <v>24700</v>
      </c>
      <c r="N1564" t="s">
        <v>42</v>
      </c>
      <c r="O1564">
        <f t="shared" si="48"/>
        <v>9750</v>
      </c>
      <c r="P1564" s="13">
        <f t="shared" si="49"/>
        <v>2974621</v>
      </c>
      <c r="Q1564" s="13">
        <f>SUMIFS(M:M,E:E,Online_eCommerce[[#This Row],[Status]])</f>
        <v>28340455</v>
      </c>
      <c r="R1564" s="13">
        <f>SUMIFS(L:L,H:H,Online_eCommerce[[#This Row],[Brand]])</f>
        <v>10950150</v>
      </c>
      <c r="S1564" s="13">
        <f>SUMIF(H:H,Online_eCommerce[[#This Row],[Brand]],M:M)</f>
        <v>14235195</v>
      </c>
      <c r="T1564" s="13">
        <f>SUMIF(N:N,Online_eCommerce[[#This Row],[Assigned Supervisor]],L:L)</f>
        <v>12261500</v>
      </c>
    </row>
    <row r="1565" spans="1:20" hidden="1" x14ac:dyDescent="0.3">
      <c r="A1565" t="s">
        <v>2430</v>
      </c>
      <c r="B1565" t="s">
        <v>215</v>
      </c>
      <c r="C1565" t="s">
        <v>74</v>
      </c>
      <c r="D1565" t="s">
        <v>2431</v>
      </c>
      <c r="E1565" t="s">
        <v>161</v>
      </c>
      <c r="F1565" t="s">
        <v>2432</v>
      </c>
      <c r="G1565" t="s">
        <v>77</v>
      </c>
      <c r="H1565" t="s">
        <v>142</v>
      </c>
      <c r="I1565">
        <v>10000</v>
      </c>
      <c r="J1565">
        <v>13000</v>
      </c>
      <c r="K1565">
        <v>2</v>
      </c>
      <c r="L1565">
        <v>20000</v>
      </c>
      <c r="M1565">
        <v>26000</v>
      </c>
      <c r="N1565" t="s">
        <v>50</v>
      </c>
      <c r="O1565">
        <f t="shared" si="48"/>
        <v>39000</v>
      </c>
      <c r="P1565" s="13">
        <f t="shared" si="49"/>
        <v>2144701</v>
      </c>
      <c r="Q1565" s="13">
        <f>SUMIFS(M:M,E:E,Online_eCommerce[[#This Row],[Status]])</f>
        <v>21103186</v>
      </c>
      <c r="R1565" s="13">
        <f>SUMIFS(L:L,H:H,Online_eCommerce[[#This Row],[Brand]])</f>
        <v>6192500</v>
      </c>
      <c r="S1565" s="13">
        <f>SUMIF(H:H,Online_eCommerce[[#This Row],[Brand]],M:M)</f>
        <v>8050250</v>
      </c>
      <c r="T1565" s="13">
        <f>SUMIF(N:N,Online_eCommerce[[#This Row],[Assigned Supervisor]],L:L)</f>
        <v>12100590</v>
      </c>
    </row>
    <row r="1566" spans="1:20" x14ac:dyDescent="0.3">
      <c r="A1566" t="s">
        <v>2433</v>
      </c>
      <c r="B1566" t="s">
        <v>215</v>
      </c>
      <c r="C1566" t="s">
        <v>81</v>
      </c>
      <c r="D1566" t="s">
        <v>2434</v>
      </c>
      <c r="E1566" t="s">
        <v>46</v>
      </c>
      <c r="F1566" t="s">
        <v>2435</v>
      </c>
      <c r="G1566" t="s">
        <v>20</v>
      </c>
      <c r="H1566" t="s">
        <v>21</v>
      </c>
      <c r="I1566">
        <v>6500</v>
      </c>
      <c r="J1566">
        <v>8450</v>
      </c>
      <c r="K1566">
        <v>3</v>
      </c>
      <c r="L1566">
        <v>19500</v>
      </c>
      <c r="M1566">
        <v>25350</v>
      </c>
      <c r="N1566" t="s">
        <v>56</v>
      </c>
      <c r="O1566">
        <f t="shared" si="48"/>
        <v>8450</v>
      </c>
      <c r="P1566" s="13">
        <f t="shared" si="49"/>
        <v>2595632</v>
      </c>
      <c r="Q1566" s="13">
        <f>SUMIFS(M:M,E:E,Online_eCommerce[[#This Row],[Status]])</f>
        <v>28620410</v>
      </c>
      <c r="R1566" s="13">
        <f>SUMIFS(L:L,H:H,Online_eCommerce[[#This Row],[Brand]])</f>
        <v>12435650</v>
      </c>
      <c r="S1566" s="13">
        <f>SUMIF(H:H,Online_eCommerce[[#This Row],[Brand]],M:M)</f>
        <v>16166345</v>
      </c>
      <c r="T1566" s="13">
        <f>SUMIF(N:N,Online_eCommerce[[#This Row],[Assigned Supervisor]],L:L)</f>
        <v>11733610</v>
      </c>
    </row>
    <row r="1567" spans="1:20" hidden="1" x14ac:dyDescent="0.3">
      <c r="A1567" t="s">
        <v>2436</v>
      </c>
      <c r="B1567" t="s">
        <v>215</v>
      </c>
      <c r="C1567" t="s">
        <v>86</v>
      </c>
      <c r="D1567" t="s">
        <v>2437</v>
      </c>
      <c r="E1567" t="s">
        <v>96</v>
      </c>
      <c r="F1567" t="s">
        <v>2438</v>
      </c>
      <c r="G1567" t="s">
        <v>26</v>
      </c>
      <c r="H1567" t="s">
        <v>27</v>
      </c>
      <c r="I1567">
        <v>8500</v>
      </c>
      <c r="J1567">
        <v>11050</v>
      </c>
      <c r="K1567">
        <v>3</v>
      </c>
      <c r="L1567">
        <v>25500</v>
      </c>
      <c r="M1567">
        <v>33150</v>
      </c>
      <c r="N1567" t="s">
        <v>22</v>
      </c>
      <c r="O1567">
        <f t="shared" si="48"/>
        <v>33150</v>
      </c>
      <c r="P1567" s="13">
        <f t="shared" si="49"/>
        <v>1941225</v>
      </c>
      <c r="Q1567" s="13">
        <f>SUMIFS(M:M,E:E,Online_eCommerce[[#This Row],[Status]])</f>
        <v>21233992</v>
      </c>
      <c r="R1567" s="13">
        <f>SUMIFS(L:L,H:H,Online_eCommerce[[#This Row],[Brand]])</f>
        <v>14431000</v>
      </c>
      <c r="S1567" s="13">
        <f>SUMIF(H:H,Online_eCommerce[[#This Row],[Brand]],M:M)</f>
        <v>18760300</v>
      </c>
      <c r="T1567" s="13">
        <f>SUMIF(N:N,Online_eCommerce[[#This Row],[Assigned Supervisor]],L:L)</f>
        <v>13693220</v>
      </c>
    </row>
    <row r="1568" spans="1:20" hidden="1" x14ac:dyDescent="0.3">
      <c r="A1568" t="s">
        <v>2439</v>
      </c>
      <c r="B1568" t="s">
        <v>215</v>
      </c>
      <c r="C1568" t="s">
        <v>91</v>
      </c>
      <c r="D1568" t="s">
        <v>2440</v>
      </c>
      <c r="E1568" t="s">
        <v>18</v>
      </c>
      <c r="F1568" t="s">
        <v>32</v>
      </c>
      <c r="G1568" t="s">
        <v>33</v>
      </c>
      <c r="H1568" t="s">
        <v>34</v>
      </c>
      <c r="I1568">
        <v>7000</v>
      </c>
      <c r="J1568">
        <v>9100</v>
      </c>
      <c r="K1568">
        <v>4</v>
      </c>
      <c r="L1568">
        <v>28000</v>
      </c>
      <c r="M1568">
        <v>36400</v>
      </c>
      <c r="N1568" t="s">
        <v>28</v>
      </c>
      <c r="O1568">
        <f t="shared" si="48"/>
        <v>18200</v>
      </c>
      <c r="P1568" s="13">
        <f t="shared" si="49"/>
        <v>2731963</v>
      </c>
      <c r="Q1568" s="13">
        <f>SUMIFS(M:M,E:E,Online_eCommerce[[#This Row],[Status]])</f>
        <v>28340455</v>
      </c>
      <c r="R1568" s="13">
        <f>SUMIFS(L:L,H:H,Online_eCommerce[[#This Row],[Brand]])</f>
        <v>10087000</v>
      </c>
      <c r="S1568" s="13">
        <f>SUMIF(H:H,Online_eCommerce[[#This Row],[Brand]],M:M)</f>
        <v>13113100</v>
      </c>
      <c r="T1568" s="13">
        <f>SUMIF(N:N,Online_eCommerce[[#This Row],[Assigned Supervisor]],L:L)</f>
        <v>12220830</v>
      </c>
    </row>
    <row r="1569" spans="1:20" hidden="1" x14ac:dyDescent="0.3">
      <c r="A1569" t="s">
        <v>2441</v>
      </c>
      <c r="B1569" t="s">
        <v>215</v>
      </c>
      <c r="C1569" t="s">
        <v>94</v>
      </c>
      <c r="D1569" t="s">
        <v>2440</v>
      </c>
      <c r="E1569" t="s">
        <v>161</v>
      </c>
      <c r="F1569" t="s">
        <v>2442</v>
      </c>
      <c r="G1569" t="s">
        <v>163</v>
      </c>
      <c r="H1569" t="s">
        <v>41</v>
      </c>
      <c r="I1569">
        <v>6550</v>
      </c>
      <c r="J1569">
        <v>8515</v>
      </c>
      <c r="K1569">
        <v>4</v>
      </c>
      <c r="L1569">
        <v>26200</v>
      </c>
      <c r="M1569">
        <v>34060</v>
      </c>
      <c r="N1569" t="s">
        <v>35</v>
      </c>
      <c r="O1569">
        <f t="shared" si="48"/>
        <v>13650</v>
      </c>
      <c r="P1569" s="13">
        <f t="shared" si="49"/>
        <v>1868256</v>
      </c>
      <c r="Q1569" s="13">
        <f>SUMIFS(M:M,E:E,Online_eCommerce[[#This Row],[Status]])</f>
        <v>21103186</v>
      </c>
      <c r="R1569" s="13">
        <f>SUMIFS(L:L,H:H,Online_eCommerce[[#This Row],[Brand]])</f>
        <v>4260400</v>
      </c>
      <c r="S1569" s="13">
        <f>SUMIF(H:H,Online_eCommerce[[#This Row],[Brand]],M:M)</f>
        <v>5538520</v>
      </c>
      <c r="T1569" s="13">
        <f>SUMIF(N:N,Online_eCommerce[[#This Row],[Assigned Supervisor]],L:L)</f>
        <v>14373360</v>
      </c>
    </row>
    <row r="1570" spans="1:20" x14ac:dyDescent="0.3">
      <c r="A1570" t="s">
        <v>2443</v>
      </c>
      <c r="B1570" t="s">
        <v>215</v>
      </c>
      <c r="C1570" t="s">
        <v>99</v>
      </c>
      <c r="D1570" t="s">
        <v>2440</v>
      </c>
      <c r="E1570" t="s">
        <v>46</v>
      </c>
      <c r="F1570" t="s">
        <v>47</v>
      </c>
      <c r="G1570" t="s">
        <v>66</v>
      </c>
      <c r="H1570" t="s">
        <v>49</v>
      </c>
      <c r="I1570">
        <v>7650</v>
      </c>
      <c r="J1570">
        <v>9945</v>
      </c>
      <c r="K1570">
        <v>1</v>
      </c>
      <c r="L1570">
        <v>7650</v>
      </c>
      <c r="M1570">
        <v>9945</v>
      </c>
      <c r="N1570" t="s">
        <v>42</v>
      </c>
      <c r="O1570">
        <f t="shared" si="48"/>
        <v>1690</v>
      </c>
      <c r="P1570" s="13">
        <f t="shared" si="49"/>
        <v>2651233</v>
      </c>
      <c r="Q1570" s="13">
        <f>SUMIFS(M:M,E:E,Online_eCommerce[[#This Row],[Status]])</f>
        <v>28620410</v>
      </c>
      <c r="R1570" s="13">
        <f>SUMIFS(L:L,H:H,Online_eCommerce[[#This Row],[Brand]])</f>
        <v>4528350</v>
      </c>
      <c r="S1570" s="13">
        <f>SUMIF(H:H,Online_eCommerce[[#This Row],[Brand]],M:M)</f>
        <v>5886855</v>
      </c>
      <c r="T1570" s="13">
        <f>SUMIF(N:N,Online_eCommerce[[#This Row],[Assigned Supervisor]],L:L)</f>
        <v>12261500</v>
      </c>
    </row>
    <row r="1571" spans="1:20" hidden="1" x14ac:dyDescent="0.3">
      <c r="A1571" t="s">
        <v>2444</v>
      </c>
      <c r="B1571" t="s">
        <v>215</v>
      </c>
      <c r="C1571" t="s">
        <v>105</v>
      </c>
      <c r="D1571" t="s">
        <v>2440</v>
      </c>
      <c r="E1571" t="s">
        <v>96</v>
      </c>
      <c r="F1571" t="s">
        <v>53</v>
      </c>
      <c r="G1571" t="s">
        <v>54</v>
      </c>
      <c r="H1571" t="s">
        <v>55</v>
      </c>
      <c r="I1571">
        <v>1150</v>
      </c>
      <c r="J1571">
        <v>1495</v>
      </c>
      <c r="K1571">
        <v>3</v>
      </c>
      <c r="L1571">
        <v>3450</v>
      </c>
      <c r="M1571">
        <v>4485</v>
      </c>
      <c r="N1571" t="s">
        <v>50</v>
      </c>
      <c r="O1571">
        <f t="shared" si="48"/>
        <v>2990</v>
      </c>
      <c r="P1571" s="13">
        <f t="shared" si="49"/>
        <v>1866852</v>
      </c>
      <c r="Q1571" s="13">
        <f>SUMIFS(M:M,E:E,Online_eCommerce[[#This Row],[Status]])</f>
        <v>21233992</v>
      </c>
      <c r="R1571" s="13">
        <f>SUMIFS(L:L,H:H,Online_eCommerce[[#This Row],[Brand]])</f>
        <v>2267380</v>
      </c>
      <c r="S1571" s="13">
        <f>SUMIF(H:H,Online_eCommerce[[#This Row],[Brand]],M:M)</f>
        <v>2947594</v>
      </c>
      <c r="T1571" s="13">
        <f>SUMIF(N:N,Online_eCommerce[[#This Row],[Assigned Supervisor]],L:L)</f>
        <v>12100590</v>
      </c>
    </row>
    <row r="1572" spans="1:20" hidden="1" x14ac:dyDescent="0.3">
      <c r="A1572" t="s">
        <v>2445</v>
      </c>
      <c r="B1572" t="s">
        <v>215</v>
      </c>
      <c r="C1572" t="s">
        <v>110</v>
      </c>
      <c r="D1572" t="s">
        <v>2440</v>
      </c>
      <c r="E1572" t="s">
        <v>18</v>
      </c>
      <c r="F1572" t="s">
        <v>59</v>
      </c>
      <c r="G1572" t="s">
        <v>60</v>
      </c>
      <c r="H1572" t="s">
        <v>61</v>
      </c>
      <c r="I1572">
        <v>850</v>
      </c>
      <c r="J1572">
        <v>1105</v>
      </c>
      <c r="K1572">
        <v>2</v>
      </c>
      <c r="L1572">
        <v>1700</v>
      </c>
      <c r="M1572">
        <v>2210</v>
      </c>
      <c r="N1572" t="s">
        <v>56</v>
      </c>
      <c r="O1572">
        <f t="shared" si="48"/>
        <v>3315</v>
      </c>
      <c r="P1572" s="13">
        <f t="shared" si="49"/>
        <v>2598635</v>
      </c>
      <c r="Q1572" s="13">
        <f>SUMIFS(M:M,E:E,Online_eCommerce[[#This Row],[Status]])</f>
        <v>28340455</v>
      </c>
      <c r="R1572" s="13">
        <f>SUMIFS(L:L,H:H,Online_eCommerce[[#This Row],[Brand]])</f>
        <v>10950150</v>
      </c>
      <c r="S1572" s="13">
        <f>SUMIF(H:H,Online_eCommerce[[#This Row],[Brand]],M:M)</f>
        <v>14235195</v>
      </c>
      <c r="T1572" s="13">
        <f>SUMIF(N:N,Online_eCommerce[[#This Row],[Assigned Supervisor]],L:L)</f>
        <v>11733610</v>
      </c>
    </row>
    <row r="1573" spans="1:20" hidden="1" x14ac:dyDescent="0.3">
      <c r="A1573" t="s">
        <v>2446</v>
      </c>
      <c r="B1573" t="s">
        <v>215</v>
      </c>
      <c r="C1573" t="s">
        <v>115</v>
      </c>
      <c r="D1573" t="s">
        <v>2440</v>
      </c>
      <c r="E1573" t="s">
        <v>161</v>
      </c>
      <c r="F1573" t="s">
        <v>65</v>
      </c>
      <c r="G1573" t="s">
        <v>66</v>
      </c>
      <c r="H1573" t="s">
        <v>21</v>
      </c>
      <c r="I1573">
        <v>650</v>
      </c>
      <c r="J1573">
        <v>845</v>
      </c>
      <c r="K1573">
        <v>3</v>
      </c>
      <c r="L1573">
        <v>1950</v>
      </c>
      <c r="M1573">
        <v>2535</v>
      </c>
      <c r="N1573" t="s">
        <v>22</v>
      </c>
      <c r="O1573">
        <f t="shared" si="48"/>
        <v>1690</v>
      </c>
      <c r="P1573" s="13">
        <f t="shared" si="49"/>
        <v>2050178</v>
      </c>
      <c r="Q1573" s="13">
        <f>SUMIFS(M:M,E:E,Online_eCommerce[[#This Row],[Status]])</f>
        <v>21103186</v>
      </c>
      <c r="R1573" s="13">
        <f>SUMIFS(L:L,H:H,Online_eCommerce[[#This Row],[Brand]])</f>
        <v>12435650</v>
      </c>
      <c r="S1573" s="13">
        <f>SUMIF(H:H,Online_eCommerce[[#This Row],[Brand]],M:M)</f>
        <v>16166345</v>
      </c>
      <c r="T1573" s="13">
        <f>SUMIF(N:N,Online_eCommerce[[#This Row],[Assigned Supervisor]],L:L)</f>
        <v>13693220</v>
      </c>
    </row>
    <row r="1574" spans="1:20" x14ac:dyDescent="0.3">
      <c r="A1574" t="s">
        <v>2447</v>
      </c>
      <c r="B1574" t="s">
        <v>215</v>
      </c>
      <c r="C1574" t="s">
        <v>120</v>
      </c>
      <c r="D1574" t="s">
        <v>2440</v>
      </c>
      <c r="E1574" t="s">
        <v>46</v>
      </c>
      <c r="F1574" t="s">
        <v>70</v>
      </c>
      <c r="G1574" t="s">
        <v>71</v>
      </c>
      <c r="H1574" t="s">
        <v>61</v>
      </c>
      <c r="I1574">
        <v>7500</v>
      </c>
      <c r="J1574">
        <v>9750</v>
      </c>
      <c r="K1574">
        <v>4</v>
      </c>
      <c r="L1574">
        <v>30000</v>
      </c>
      <c r="M1574">
        <v>39000</v>
      </c>
      <c r="N1574" t="s">
        <v>28</v>
      </c>
      <c r="O1574">
        <f t="shared" si="48"/>
        <v>9750</v>
      </c>
      <c r="P1574" s="13">
        <f t="shared" si="49"/>
        <v>2734212</v>
      </c>
      <c r="Q1574" s="13">
        <f>SUMIFS(M:M,E:E,Online_eCommerce[[#This Row],[Status]])</f>
        <v>28620410</v>
      </c>
      <c r="R1574" s="13">
        <f>SUMIFS(L:L,H:H,Online_eCommerce[[#This Row],[Brand]])</f>
        <v>10950150</v>
      </c>
      <c r="S1574" s="13">
        <f>SUMIF(H:H,Online_eCommerce[[#This Row],[Brand]],M:M)</f>
        <v>14235195</v>
      </c>
      <c r="T1574" s="13">
        <f>SUMIF(N:N,Online_eCommerce[[#This Row],[Assigned Supervisor]],L:L)</f>
        <v>12220830</v>
      </c>
    </row>
    <row r="1575" spans="1:20" hidden="1" x14ac:dyDescent="0.3">
      <c r="A1575" t="s">
        <v>2448</v>
      </c>
      <c r="B1575" t="s">
        <v>215</v>
      </c>
      <c r="C1575" t="s">
        <v>125</v>
      </c>
      <c r="D1575" t="s">
        <v>2449</v>
      </c>
      <c r="E1575" t="s">
        <v>96</v>
      </c>
      <c r="F1575" t="s">
        <v>2432</v>
      </c>
      <c r="G1575" t="s">
        <v>77</v>
      </c>
      <c r="H1575" t="s">
        <v>78</v>
      </c>
      <c r="I1575">
        <v>10000</v>
      </c>
      <c r="J1575">
        <v>13000</v>
      </c>
      <c r="K1575">
        <v>2</v>
      </c>
      <c r="L1575">
        <v>20000</v>
      </c>
      <c r="M1575">
        <v>26000</v>
      </c>
      <c r="N1575" t="s">
        <v>35</v>
      </c>
      <c r="O1575">
        <f t="shared" si="48"/>
        <v>39000</v>
      </c>
      <c r="P1575" s="13">
        <f t="shared" si="49"/>
        <v>2091154</v>
      </c>
      <c r="Q1575" s="13">
        <f>SUMIFS(M:M,E:E,Online_eCommerce[[#This Row],[Status]])</f>
        <v>21233992</v>
      </c>
      <c r="R1575" s="13">
        <f>SUMIFS(L:L,H:H,Online_eCommerce[[#This Row],[Brand]])</f>
        <v>3720000</v>
      </c>
      <c r="S1575" s="13">
        <f>SUMIF(H:H,Online_eCommerce[[#This Row],[Brand]],M:M)</f>
        <v>4836000</v>
      </c>
      <c r="T1575" s="13">
        <f>SUMIF(N:N,Online_eCommerce[[#This Row],[Assigned Supervisor]],L:L)</f>
        <v>14373360</v>
      </c>
    </row>
    <row r="1576" spans="1:20" hidden="1" x14ac:dyDescent="0.3">
      <c r="A1576" t="s">
        <v>2450</v>
      </c>
      <c r="B1576" t="s">
        <v>215</v>
      </c>
      <c r="C1576" t="s">
        <v>22</v>
      </c>
      <c r="D1576" t="s">
        <v>2451</v>
      </c>
      <c r="E1576" t="s">
        <v>18</v>
      </c>
      <c r="F1576" t="s">
        <v>2452</v>
      </c>
      <c r="G1576" t="s">
        <v>20</v>
      </c>
      <c r="H1576" t="s">
        <v>21</v>
      </c>
      <c r="I1576">
        <v>10500</v>
      </c>
      <c r="J1576">
        <v>13650</v>
      </c>
      <c r="K1576">
        <v>1</v>
      </c>
      <c r="L1576">
        <v>10500</v>
      </c>
      <c r="M1576">
        <v>13650</v>
      </c>
      <c r="N1576" t="s">
        <v>42</v>
      </c>
      <c r="O1576">
        <f t="shared" si="48"/>
        <v>8450</v>
      </c>
      <c r="P1576" s="13">
        <f t="shared" si="49"/>
        <v>2551588</v>
      </c>
      <c r="Q1576" s="13">
        <f>SUMIFS(M:M,E:E,Online_eCommerce[[#This Row],[Status]])</f>
        <v>28340455</v>
      </c>
      <c r="R1576" s="13">
        <f>SUMIFS(L:L,H:H,Online_eCommerce[[#This Row],[Brand]])</f>
        <v>12435650</v>
      </c>
      <c r="S1576" s="13">
        <f>SUMIF(H:H,Online_eCommerce[[#This Row],[Brand]],M:M)</f>
        <v>16166345</v>
      </c>
      <c r="T1576" s="13">
        <f>SUMIF(N:N,Online_eCommerce[[#This Row],[Assigned Supervisor]],L:L)</f>
        <v>12261500</v>
      </c>
    </row>
    <row r="1577" spans="1:20" hidden="1" x14ac:dyDescent="0.3">
      <c r="A1577" t="s">
        <v>2453</v>
      </c>
      <c r="B1577" t="s">
        <v>215</v>
      </c>
      <c r="C1577" t="s">
        <v>132</v>
      </c>
      <c r="D1577" t="s">
        <v>2454</v>
      </c>
      <c r="E1577" t="s">
        <v>161</v>
      </c>
      <c r="F1577" t="s">
        <v>88</v>
      </c>
      <c r="G1577" t="s">
        <v>26</v>
      </c>
      <c r="H1577" t="s">
        <v>27</v>
      </c>
      <c r="I1577">
        <v>8500</v>
      </c>
      <c r="J1577">
        <v>11050</v>
      </c>
      <c r="K1577">
        <v>4</v>
      </c>
      <c r="L1577">
        <v>34000</v>
      </c>
      <c r="M1577">
        <v>44200</v>
      </c>
      <c r="N1577" t="s">
        <v>50</v>
      </c>
      <c r="O1577">
        <f t="shared" si="48"/>
        <v>33150</v>
      </c>
      <c r="P1577" s="13">
        <f t="shared" si="49"/>
        <v>1989065</v>
      </c>
      <c r="Q1577" s="13">
        <f>SUMIFS(M:M,E:E,Online_eCommerce[[#This Row],[Status]])</f>
        <v>21103186</v>
      </c>
      <c r="R1577" s="13">
        <f>SUMIFS(L:L,H:H,Online_eCommerce[[#This Row],[Brand]])</f>
        <v>14431000</v>
      </c>
      <c r="S1577" s="13">
        <f>SUMIF(H:H,Online_eCommerce[[#This Row],[Brand]],M:M)</f>
        <v>18760300</v>
      </c>
      <c r="T1577" s="13">
        <f>SUMIF(N:N,Online_eCommerce[[#This Row],[Assigned Supervisor]],L:L)</f>
        <v>12100590</v>
      </c>
    </row>
    <row r="1578" spans="1:20" x14ac:dyDescent="0.3">
      <c r="A1578" t="s">
        <v>2455</v>
      </c>
      <c r="B1578" t="s">
        <v>215</v>
      </c>
      <c r="C1578" t="s">
        <v>136</v>
      </c>
      <c r="D1578" t="s">
        <v>2456</v>
      </c>
      <c r="E1578" t="s">
        <v>46</v>
      </c>
      <c r="F1578" t="s">
        <v>32</v>
      </c>
      <c r="G1578" t="s">
        <v>33</v>
      </c>
      <c r="H1578" t="s">
        <v>34</v>
      </c>
      <c r="I1578">
        <v>7000</v>
      </c>
      <c r="J1578">
        <v>9100</v>
      </c>
      <c r="K1578">
        <v>1</v>
      </c>
      <c r="L1578">
        <v>7000</v>
      </c>
      <c r="M1578">
        <v>9100</v>
      </c>
      <c r="N1578" t="s">
        <v>56</v>
      </c>
      <c r="O1578">
        <f t="shared" si="48"/>
        <v>18200</v>
      </c>
      <c r="P1578" s="13">
        <f t="shared" si="49"/>
        <v>2775162</v>
      </c>
      <c r="Q1578" s="13">
        <f>SUMIFS(M:M,E:E,Online_eCommerce[[#This Row],[Status]])</f>
        <v>28620410</v>
      </c>
      <c r="R1578" s="13">
        <f>SUMIFS(L:L,H:H,Online_eCommerce[[#This Row],[Brand]])</f>
        <v>10087000</v>
      </c>
      <c r="S1578" s="13">
        <f>SUMIF(H:H,Online_eCommerce[[#This Row],[Brand]],M:M)</f>
        <v>13113100</v>
      </c>
      <c r="T1578" s="13">
        <f>SUMIF(N:N,Online_eCommerce[[#This Row],[Assigned Supervisor]],L:L)</f>
        <v>11733610</v>
      </c>
    </row>
    <row r="1579" spans="1:20" hidden="1" x14ac:dyDescent="0.3">
      <c r="A1579" t="s">
        <v>2457</v>
      </c>
      <c r="B1579" t="s">
        <v>215</v>
      </c>
      <c r="C1579" t="s">
        <v>140</v>
      </c>
      <c r="D1579" t="s">
        <v>2458</v>
      </c>
      <c r="E1579" t="s">
        <v>96</v>
      </c>
      <c r="F1579" t="s">
        <v>2459</v>
      </c>
      <c r="G1579" t="s">
        <v>163</v>
      </c>
      <c r="H1579" t="s">
        <v>41</v>
      </c>
      <c r="I1579">
        <v>1680</v>
      </c>
      <c r="J1579">
        <v>2184</v>
      </c>
      <c r="K1579">
        <v>4</v>
      </c>
      <c r="L1579">
        <v>6720</v>
      </c>
      <c r="M1579">
        <v>8736</v>
      </c>
      <c r="N1579" t="s">
        <v>22</v>
      </c>
      <c r="O1579">
        <f t="shared" si="48"/>
        <v>13650</v>
      </c>
      <c r="P1579" s="13">
        <f t="shared" si="49"/>
        <v>2058264</v>
      </c>
      <c r="Q1579" s="13">
        <f>SUMIFS(M:M,E:E,Online_eCommerce[[#This Row],[Status]])</f>
        <v>21233992</v>
      </c>
      <c r="R1579" s="13">
        <f>SUMIFS(L:L,H:H,Online_eCommerce[[#This Row],[Brand]])</f>
        <v>4260400</v>
      </c>
      <c r="S1579" s="13">
        <f>SUMIF(H:H,Online_eCommerce[[#This Row],[Brand]],M:M)</f>
        <v>5538520</v>
      </c>
      <c r="T1579" s="13">
        <f>SUMIF(N:N,Online_eCommerce[[#This Row],[Assigned Supervisor]],L:L)</f>
        <v>13693220</v>
      </c>
    </row>
    <row r="1580" spans="1:20" hidden="1" x14ac:dyDescent="0.3">
      <c r="A1580" t="s">
        <v>2460</v>
      </c>
      <c r="B1580" t="s">
        <v>215</v>
      </c>
      <c r="C1580" t="s">
        <v>145</v>
      </c>
      <c r="D1580" t="s">
        <v>2461</v>
      </c>
      <c r="E1580" t="s">
        <v>18</v>
      </c>
      <c r="F1580" t="s">
        <v>101</v>
      </c>
      <c r="G1580" t="s">
        <v>66</v>
      </c>
      <c r="H1580" t="s">
        <v>102</v>
      </c>
      <c r="I1580">
        <v>6540</v>
      </c>
      <c r="J1580">
        <v>8502</v>
      </c>
      <c r="K1580">
        <v>3</v>
      </c>
      <c r="L1580">
        <v>19620</v>
      </c>
      <c r="M1580">
        <v>25506</v>
      </c>
      <c r="N1580" t="s">
        <v>28</v>
      </c>
      <c r="O1580">
        <f t="shared" si="48"/>
        <v>1690</v>
      </c>
      <c r="P1580" s="13">
        <f t="shared" si="49"/>
        <v>2757859</v>
      </c>
      <c r="Q1580" s="13">
        <f>SUMIFS(M:M,E:E,Online_eCommerce[[#This Row],[Status]])</f>
        <v>28340455</v>
      </c>
      <c r="R1580" s="13">
        <f>SUMIFS(L:L,H:H,Online_eCommerce[[#This Row],[Brand]])</f>
        <v>2465580</v>
      </c>
      <c r="S1580" s="13">
        <f>SUMIF(H:H,Online_eCommerce[[#This Row],[Brand]],M:M)</f>
        <v>3205254</v>
      </c>
      <c r="T1580" s="13">
        <f>SUMIF(N:N,Online_eCommerce[[#This Row],[Assigned Supervisor]],L:L)</f>
        <v>12220830</v>
      </c>
    </row>
    <row r="1581" spans="1:20" hidden="1" x14ac:dyDescent="0.3">
      <c r="A1581" t="s">
        <v>2462</v>
      </c>
      <c r="B1581" t="s">
        <v>215</v>
      </c>
      <c r="C1581" t="s">
        <v>150</v>
      </c>
      <c r="D1581" t="s">
        <v>2463</v>
      </c>
      <c r="E1581" t="s">
        <v>161</v>
      </c>
      <c r="F1581" t="s">
        <v>107</v>
      </c>
      <c r="G1581" t="s">
        <v>54</v>
      </c>
      <c r="H1581" t="s">
        <v>55</v>
      </c>
      <c r="I1581">
        <v>2680</v>
      </c>
      <c r="J1581">
        <v>3484</v>
      </c>
      <c r="K1581">
        <v>1</v>
      </c>
      <c r="L1581">
        <v>2680</v>
      </c>
      <c r="M1581">
        <v>3484</v>
      </c>
      <c r="N1581" t="s">
        <v>35</v>
      </c>
      <c r="O1581">
        <f t="shared" si="48"/>
        <v>2990</v>
      </c>
      <c r="P1581" s="13">
        <f t="shared" si="49"/>
        <v>2154984</v>
      </c>
      <c r="Q1581" s="13">
        <f>SUMIFS(M:M,E:E,Online_eCommerce[[#This Row],[Status]])</f>
        <v>21103186</v>
      </c>
      <c r="R1581" s="13">
        <f>SUMIFS(L:L,H:H,Online_eCommerce[[#This Row],[Brand]])</f>
        <v>2267380</v>
      </c>
      <c r="S1581" s="13">
        <f>SUMIF(H:H,Online_eCommerce[[#This Row],[Brand]],M:M)</f>
        <v>2947594</v>
      </c>
      <c r="T1581" s="13">
        <f>SUMIF(N:N,Online_eCommerce[[#This Row],[Assigned Supervisor]],L:L)</f>
        <v>14373360</v>
      </c>
    </row>
    <row r="1582" spans="1:20" x14ac:dyDescent="0.3">
      <c r="A1582" t="s">
        <v>2464</v>
      </c>
      <c r="B1582" t="s">
        <v>215</v>
      </c>
      <c r="C1582" t="s">
        <v>155</v>
      </c>
      <c r="D1582" t="s">
        <v>2463</v>
      </c>
      <c r="E1582" t="s">
        <v>46</v>
      </c>
      <c r="F1582" t="s">
        <v>112</v>
      </c>
      <c r="G1582" t="s">
        <v>71</v>
      </c>
      <c r="H1582" t="s">
        <v>21</v>
      </c>
      <c r="I1582">
        <v>8250</v>
      </c>
      <c r="J1582">
        <v>10725</v>
      </c>
      <c r="K1582">
        <v>3</v>
      </c>
      <c r="L1582">
        <v>24750</v>
      </c>
      <c r="M1582">
        <v>32175</v>
      </c>
      <c r="N1582" t="s">
        <v>42</v>
      </c>
      <c r="O1582">
        <f t="shared" si="48"/>
        <v>9750</v>
      </c>
      <c r="P1582" s="13">
        <f t="shared" si="49"/>
        <v>2753348</v>
      </c>
      <c r="Q1582" s="13">
        <f>SUMIFS(M:M,E:E,Online_eCommerce[[#This Row],[Status]])</f>
        <v>28620410</v>
      </c>
      <c r="R1582" s="13">
        <f>SUMIFS(L:L,H:H,Online_eCommerce[[#This Row],[Brand]])</f>
        <v>12435650</v>
      </c>
      <c r="S1582" s="13">
        <f>SUMIF(H:H,Online_eCommerce[[#This Row],[Brand]],M:M)</f>
        <v>16166345</v>
      </c>
      <c r="T1582" s="13">
        <f>SUMIF(N:N,Online_eCommerce[[#This Row],[Assigned Supervisor]],L:L)</f>
        <v>12261500</v>
      </c>
    </row>
    <row r="1583" spans="1:20" hidden="1" x14ac:dyDescent="0.3">
      <c r="A1583" t="s">
        <v>2465</v>
      </c>
      <c r="B1583" t="s">
        <v>215</v>
      </c>
      <c r="C1583" t="s">
        <v>160</v>
      </c>
      <c r="D1583" t="s">
        <v>2463</v>
      </c>
      <c r="E1583" t="s">
        <v>96</v>
      </c>
      <c r="F1583" t="s">
        <v>2012</v>
      </c>
      <c r="G1583" t="s">
        <v>40</v>
      </c>
      <c r="H1583" t="s">
        <v>21</v>
      </c>
      <c r="I1583">
        <v>2650</v>
      </c>
      <c r="J1583">
        <v>3445</v>
      </c>
      <c r="K1583">
        <v>4</v>
      </c>
      <c r="L1583">
        <v>10600</v>
      </c>
      <c r="M1583">
        <v>13780</v>
      </c>
      <c r="N1583" t="s">
        <v>50</v>
      </c>
      <c r="O1583">
        <f t="shared" si="48"/>
        <v>25545</v>
      </c>
      <c r="P1583" s="13">
        <f t="shared" si="49"/>
        <v>2303483</v>
      </c>
      <c r="Q1583" s="13">
        <f>SUMIFS(M:M,E:E,Online_eCommerce[[#This Row],[Status]])</f>
        <v>21233992</v>
      </c>
      <c r="R1583" s="13">
        <f>SUMIFS(L:L,H:H,Online_eCommerce[[#This Row],[Brand]])</f>
        <v>12435650</v>
      </c>
      <c r="S1583" s="13">
        <f>SUMIF(H:H,Online_eCommerce[[#This Row],[Brand]],M:M)</f>
        <v>16166345</v>
      </c>
      <c r="T1583" s="13">
        <f>SUMIF(N:N,Online_eCommerce[[#This Row],[Assigned Supervisor]],L:L)</f>
        <v>12100590</v>
      </c>
    </row>
    <row r="1584" spans="1:20" hidden="1" x14ac:dyDescent="0.3">
      <c r="A1584" t="s">
        <v>2466</v>
      </c>
      <c r="B1584" t="s">
        <v>215</v>
      </c>
      <c r="C1584" t="s">
        <v>165</v>
      </c>
      <c r="D1584" t="s">
        <v>2463</v>
      </c>
      <c r="E1584" t="s">
        <v>18</v>
      </c>
      <c r="F1584" t="s">
        <v>121</v>
      </c>
      <c r="G1584" t="s">
        <v>71</v>
      </c>
      <c r="H1584" t="s">
        <v>122</v>
      </c>
      <c r="I1584">
        <v>12550</v>
      </c>
      <c r="J1584">
        <v>16315</v>
      </c>
      <c r="K1584">
        <v>4</v>
      </c>
      <c r="L1584">
        <v>50200</v>
      </c>
      <c r="M1584">
        <v>65260</v>
      </c>
      <c r="N1584" t="s">
        <v>56</v>
      </c>
      <c r="O1584">
        <f t="shared" si="48"/>
        <v>9750</v>
      </c>
      <c r="P1584" s="13">
        <f t="shared" si="49"/>
        <v>2674087</v>
      </c>
      <c r="Q1584" s="13">
        <f>SUMIFS(M:M,E:E,Online_eCommerce[[#This Row],[Status]])</f>
        <v>28340455</v>
      </c>
      <c r="R1584" s="13">
        <f>SUMIFS(L:L,H:H,Online_eCommerce[[#This Row],[Brand]])</f>
        <v>5045100</v>
      </c>
      <c r="S1584" s="13">
        <f>SUMIF(H:H,Online_eCommerce[[#This Row],[Brand]],M:M)</f>
        <v>6558630</v>
      </c>
      <c r="T1584" s="13">
        <f>SUMIF(N:N,Online_eCommerce[[#This Row],[Assigned Supervisor]],L:L)</f>
        <v>11733610</v>
      </c>
    </row>
    <row r="1585" spans="1:20" hidden="1" x14ac:dyDescent="0.3">
      <c r="A1585" t="s">
        <v>2467</v>
      </c>
      <c r="B1585" t="s">
        <v>215</v>
      </c>
      <c r="C1585" t="s">
        <v>168</v>
      </c>
      <c r="D1585" t="s">
        <v>2463</v>
      </c>
      <c r="E1585" t="s">
        <v>161</v>
      </c>
      <c r="F1585" t="s">
        <v>126</v>
      </c>
      <c r="G1585" t="s">
        <v>26</v>
      </c>
      <c r="H1585" t="s">
        <v>27</v>
      </c>
      <c r="I1585">
        <v>14500</v>
      </c>
      <c r="J1585">
        <v>18850</v>
      </c>
      <c r="K1585">
        <v>2</v>
      </c>
      <c r="L1585">
        <v>29000</v>
      </c>
      <c r="M1585">
        <v>37700</v>
      </c>
      <c r="N1585" t="s">
        <v>22</v>
      </c>
      <c r="O1585">
        <f t="shared" si="48"/>
        <v>33150</v>
      </c>
      <c r="P1585" s="13">
        <f t="shared" si="49"/>
        <v>1937780</v>
      </c>
      <c r="Q1585" s="13">
        <f>SUMIFS(M:M,E:E,Online_eCommerce[[#This Row],[Status]])</f>
        <v>21103186</v>
      </c>
      <c r="R1585" s="13">
        <f>SUMIFS(L:L,H:H,Online_eCommerce[[#This Row],[Brand]])</f>
        <v>14431000</v>
      </c>
      <c r="S1585" s="13">
        <f>SUMIF(H:H,Online_eCommerce[[#This Row],[Brand]],M:M)</f>
        <v>18760300</v>
      </c>
      <c r="T1585" s="13">
        <f>SUMIF(N:N,Online_eCommerce[[#This Row],[Assigned Supervisor]],L:L)</f>
        <v>13693220</v>
      </c>
    </row>
    <row r="1586" spans="1:20" x14ac:dyDescent="0.3">
      <c r="A1586" t="s">
        <v>2468</v>
      </c>
      <c r="B1586" t="s">
        <v>215</v>
      </c>
      <c r="C1586" t="s">
        <v>172</v>
      </c>
      <c r="D1586" t="s">
        <v>2463</v>
      </c>
      <c r="E1586" t="s">
        <v>46</v>
      </c>
      <c r="F1586" t="s">
        <v>129</v>
      </c>
      <c r="G1586" t="s">
        <v>60</v>
      </c>
      <c r="H1586" t="s">
        <v>61</v>
      </c>
      <c r="I1586">
        <v>800</v>
      </c>
      <c r="J1586">
        <v>1040</v>
      </c>
      <c r="K1586">
        <v>4</v>
      </c>
      <c r="L1586">
        <v>3200</v>
      </c>
      <c r="M1586">
        <v>4160</v>
      </c>
      <c r="N1586" t="s">
        <v>28</v>
      </c>
      <c r="O1586">
        <f t="shared" si="48"/>
        <v>3315</v>
      </c>
      <c r="P1586" s="13">
        <f t="shared" si="49"/>
        <v>2640274</v>
      </c>
      <c r="Q1586" s="13">
        <f>SUMIFS(M:M,E:E,Online_eCommerce[[#This Row],[Status]])</f>
        <v>28620410</v>
      </c>
      <c r="R1586" s="13">
        <f>SUMIFS(L:L,H:H,Online_eCommerce[[#This Row],[Brand]])</f>
        <v>10950150</v>
      </c>
      <c r="S1586" s="13">
        <f>SUMIF(H:H,Online_eCommerce[[#This Row],[Brand]],M:M)</f>
        <v>14235195</v>
      </c>
      <c r="T1586" s="13">
        <f>SUMIF(N:N,Online_eCommerce[[#This Row],[Assigned Supervisor]],L:L)</f>
        <v>12220830</v>
      </c>
    </row>
    <row r="1587" spans="1:20" hidden="1" x14ac:dyDescent="0.3">
      <c r="A1587" t="s">
        <v>2469</v>
      </c>
      <c r="B1587" t="s">
        <v>215</v>
      </c>
      <c r="C1587" t="s">
        <v>177</v>
      </c>
      <c r="D1587" t="s">
        <v>2463</v>
      </c>
      <c r="E1587" t="s">
        <v>96</v>
      </c>
      <c r="F1587" t="s">
        <v>133</v>
      </c>
      <c r="G1587" t="s">
        <v>66</v>
      </c>
      <c r="H1587" t="s">
        <v>21</v>
      </c>
      <c r="I1587">
        <v>600</v>
      </c>
      <c r="J1587">
        <v>780</v>
      </c>
      <c r="K1587">
        <v>1</v>
      </c>
      <c r="L1587">
        <v>600</v>
      </c>
      <c r="M1587">
        <v>780</v>
      </c>
      <c r="N1587" t="s">
        <v>35</v>
      </c>
      <c r="O1587">
        <f t="shared" si="48"/>
        <v>1690</v>
      </c>
      <c r="P1587" s="13">
        <f t="shared" si="49"/>
        <v>1863810</v>
      </c>
      <c r="Q1587" s="13">
        <f>SUMIFS(M:M,E:E,Online_eCommerce[[#This Row],[Status]])</f>
        <v>21233992</v>
      </c>
      <c r="R1587" s="13">
        <f>SUMIFS(L:L,H:H,Online_eCommerce[[#This Row],[Brand]])</f>
        <v>12435650</v>
      </c>
      <c r="S1587" s="13">
        <f>SUMIF(H:H,Online_eCommerce[[#This Row],[Brand]],M:M)</f>
        <v>16166345</v>
      </c>
      <c r="T1587" s="13">
        <f>SUMIF(N:N,Online_eCommerce[[#This Row],[Assigned Supervisor]],L:L)</f>
        <v>14373360</v>
      </c>
    </row>
    <row r="1588" spans="1:20" hidden="1" x14ac:dyDescent="0.3">
      <c r="A1588" t="s">
        <v>2470</v>
      </c>
      <c r="B1588" t="s">
        <v>215</v>
      </c>
      <c r="C1588" t="s">
        <v>181</v>
      </c>
      <c r="D1588" t="s">
        <v>2463</v>
      </c>
      <c r="E1588" t="s">
        <v>18</v>
      </c>
      <c r="F1588" t="s">
        <v>137</v>
      </c>
      <c r="G1588" t="s">
        <v>71</v>
      </c>
      <c r="H1588" t="s">
        <v>61</v>
      </c>
      <c r="I1588">
        <v>10500</v>
      </c>
      <c r="J1588">
        <v>13650</v>
      </c>
      <c r="K1588">
        <v>1</v>
      </c>
      <c r="L1588">
        <v>10500</v>
      </c>
      <c r="M1588">
        <v>13650</v>
      </c>
      <c r="N1588" t="s">
        <v>42</v>
      </c>
      <c r="O1588">
        <f t="shared" si="48"/>
        <v>9750</v>
      </c>
      <c r="P1588" s="13">
        <f t="shared" si="49"/>
        <v>2577458</v>
      </c>
      <c r="Q1588" s="13">
        <f>SUMIFS(M:M,E:E,Online_eCommerce[[#This Row],[Status]])</f>
        <v>28340455</v>
      </c>
      <c r="R1588" s="13">
        <f>SUMIFS(L:L,H:H,Online_eCommerce[[#This Row],[Brand]])</f>
        <v>10950150</v>
      </c>
      <c r="S1588" s="13">
        <f>SUMIF(H:H,Online_eCommerce[[#This Row],[Brand]],M:M)</f>
        <v>14235195</v>
      </c>
      <c r="T1588" s="13">
        <f>SUMIF(N:N,Online_eCommerce[[#This Row],[Assigned Supervisor]],L:L)</f>
        <v>12261500</v>
      </c>
    </row>
    <row r="1589" spans="1:20" hidden="1" x14ac:dyDescent="0.3">
      <c r="A1589" t="s">
        <v>2471</v>
      </c>
      <c r="B1589" t="s">
        <v>215</v>
      </c>
      <c r="C1589" t="s">
        <v>185</v>
      </c>
      <c r="D1589" t="s">
        <v>2463</v>
      </c>
      <c r="E1589" t="s">
        <v>161</v>
      </c>
      <c r="F1589" t="s">
        <v>2432</v>
      </c>
      <c r="G1589" t="s">
        <v>77</v>
      </c>
      <c r="H1589" t="s">
        <v>142</v>
      </c>
      <c r="I1589">
        <v>6500</v>
      </c>
      <c r="J1589">
        <v>8450</v>
      </c>
      <c r="K1589">
        <v>1</v>
      </c>
      <c r="L1589">
        <v>6500</v>
      </c>
      <c r="M1589">
        <v>8450</v>
      </c>
      <c r="N1589" t="s">
        <v>50</v>
      </c>
      <c r="O1589">
        <f t="shared" si="48"/>
        <v>39000</v>
      </c>
      <c r="P1589" s="13">
        <f t="shared" si="49"/>
        <v>2091596</v>
      </c>
      <c r="Q1589" s="13">
        <f>SUMIFS(M:M,E:E,Online_eCommerce[[#This Row],[Status]])</f>
        <v>21103186</v>
      </c>
      <c r="R1589" s="13">
        <f>SUMIFS(L:L,H:H,Online_eCommerce[[#This Row],[Brand]])</f>
        <v>6192500</v>
      </c>
      <c r="S1589" s="13">
        <f>SUMIF(H:H,Online_eCommerce[[#This Row],[Brand]],M:M)</f>
        <v>8050250</v>
      </c>
      <c r="T1589" s="13">
        <f>SUMIF(N:N,Online_eCommerce[[#This Row],[Assigned Supervisor]],L:L)</f>
        <v>12100590</v>
      </c>
    </row>
    <row r="1590" spans="1:20" x14ac:dyDescent="0.3">
      <c r="A1590" t="s">
        <v>2472</v>
      </c>
      <c r="B1590" t="s">
        <v>215</v>
      </c>
      <c r="C1590" t="s">
        <v>189</v>
      </c>
      <c r="D1590" t="s">
        <v>2463</v>
      </c>
      <c r="E1590" t="s">
        <v>46</v>
      </c>
      <c r="F1590" t="s">
        <v>2473</v>
      </c>
      <c r="G1590" t="s">
        <v>20</v>
      </c>
      <c r="H1590" t="s">
        <v>21</v>
      </c>
      <c r="I1590">
        <v>4500</v>
      </c>
      <c r="J1590">
        <v>5850</v>
      </c>
      <c r="K1590">
        <v>2</v>
      </c>
      <c r="L1590">
        <v>9000</v>
      </c>
      <c r="M1590">
        <v>11700</v>
      </c>
      <c r="N1590" t="s">
        <v>56</v>
      </c>
      <c r="O1590">
        <f t="shared" si="48"/>
        <v>8450</v>
      </c>
      <c r="P1590" s="13">
        <f t="shared" si="49"/>
        <v>2740777</v>
      </c>
      <c r="Q1590" s="13">
        <f>SUMIFS(M:M,E:E,Online_eCommerce[[#This Row],[Status]])</f>
        <v>28620410</v>
      </c>
      <c r="R1590" s="13">
        <f>SUMIFS(L:L,H:H,Online_eCommerce[[#This Row],[Brand]])</f>
        <v>12435650</v>
      </c>
      <c r="S1590" s="13">
        <f>SUMIF(H:H,Online_eCommerce[[#This Row],[Brand]],M:M)</f>
        <v>16166345</v>
      </c>
      <c r="T1590" s="13">
        <f>SUMIF(N:N,Online_eCommerce[[#This Row],[Assigned Supervisor]],L:L)</f>
        <v>11733610</v>
      </c>
    </row>
    <row r="1591" spans="1:20" hidden="1" x14ac:dyDescent="0.3">
      <c r="A1591" t="s">
        <v>2474</v>
      </c>
      <c r="B1591" t="s">
        <v>215</v>
      </c>
      <c r="C1591" t="s">
        <v>193</v>
      </c>
      <c r="D1591" t="s">
        <v>2463</v>
      </c>
      <c r="E1591" t="s">
        <v>96</v>
      </c>
      <c r="F1591" t="s">
        <v>152</v>
      </c>
      <c r="G1591" t="s">
        <v>26</v>
      </c>
      <c r="H1591" t="s">
        <v>27</v>
      </c>
      <c r="I1591">
        <v>8500</v>
      </c>
      <c r="J1591">
        <v>11050</v>
      </c>
      <c r="K1591">
        <v>1</v>
      </c>
      <c r="L1591">
        <v>8500</v>
      </c>
      <c r="M1591">
        <v>11050</v>
      </c>
      <c r="N1591" t="s">
        <v>22</v>
      </c>
      <c r="O1591">
        <f t="shared" si="48"/>
        <v>33150</v>
      </c>
      <c r="P1591" s="13">
        <f t="shared" si="49"/>
        <v>2074774</v>
      </c>
      <c r="Q1591" s="13">
        <f>SUMIFS(M:M,E:E,Online_eCommerce[[#This Row],[Status]])</f>
        <v>21233992</v>
      </c>
      <c r="R1591" s="13">
        <f>SUMIFS(L:L,H:H,Online_eCommerce[[#This Row],[Brand]])</f>
        <v>14431000</v>
      </c>
      <c r="S1591" s="13">
        <f>SUMIF(H:H,Online_eCommerce[[#This Row],[Brand]],M:M)</f>
        <v>18760300</v>
      </c>
      <c r="T1591" s="13">
        <f>SUMIF(N:N,Online_eCommerce[[#This Row],[Assigned Supervisor]],L:L)</f>
        <v>13693220</v>
      </c>
    </row>
    <row r="1592" spans="1:20" hidden="1" x14ac:dyDescent="0.3">
      <c r="A1592" t="s">
        <v>2475</v>
      </c>
      <c r="B1592" t="s">
        <v>215</v>
      </c>
      <c r="C1592" t="s">
        <v>197</v>
      </c>
      <c r="D1592" t="s">
        <v>2463</v>
      </c>
      <c r="E1592" t="s">
        <v>18</v>
      </c>
      <c r="F1592" t="s">
        <v>157</v>
      </c>
      <c r="G1592" t="s">
        <v>33</v>
      </c>
      <c r="H1592" t="s">
        <v>34</v>
      </c>
      <c r="I1592">
        <v>12500</v>
      </c>
      <c r="J1592">
        <v>16250</v>
      </c>
      <c r="K1592">
        <v>1</v>
      </c>
      <c r="L1592">
        <v>12500</v>
      </c>
      <c r="M1592">
        <v>16250</v>
      </c>
      <c r="N1592" t="s">
        <v>28</v>
      </c>
      <c r="O1592">
        <f t="shared" si="48"/>
        <v>18200</v>
      </c>
      <c r="P1592" s="13">
        <f t="shared" si="49"/>
        <v>2829840</v>
      </c>
      <c r="Q1592" s="13">
        <f>SUMIFS(M:M,E:E,Online_eCommerce[[#This Row],[Status]])</f>
        <v>28340455</v>
      </c>
      <c r="R1592" s="13">
        <f>SUMIFS(L:L,H:H,Online_eCommerce[[#This Row],[Brand]])</f>
        <v>10087000</v>
      </c>
      <c r="S1592" s="13">
        <f>SUMIF(H:H,Online_eCommerce[[#This Row],[Brand]],M:M)</f>
        <v>13113100</v>
      </c>
      <c r="T1592" s="13">
        <f>SUMIF(N:N,Online_eCommerce[[#This Row],[Assigned Supervisor]],L:L)</f>
        <v>12220830</v>
      </c>
    </row>
    <row r="1593" spans="1:20" hidden="1" x14ac:dyDescent="0.3">
      <c r="A1593" t="s">
        <v>2476</v>
      </c>
      <c r="B1593" t="s">
        <v>215</v>
      </c>
      <c r="C1593" t="s">
        <v>199</v>
      </c>
      <c r="D1593" t="s">
        <v>2463</v>
      </c>
      <c r="E1593" t="s">
        <v>161</v>
      </c>
      <c r="F1593" t="s">
        <v>2054</v>
      </c>
      <c r="G1593" t="s">
        <v>256</v>
      </c>
      <c r="H1593" t="s">
        <v>41</v>
      </c>
      <c r="I1593">
        <v>3500</v>
      </c>
      <c r="J1593">
        <v>4550</v>
      </c>
      <c r="K1593">
        <v>3</v>
      </c>
      <c r="L1593">
        <v>10500</v>
      </c>
      <c r="M1593">
        <v>13650</v>
      </c>
      <c r="N1593" t="s">
        <v>35</v>
      </c>
      <c r="O1593">
        <f t="shared" si="48"/>
        <v>9100</v>
      </c>
      <c r="P1593" s="13">
        <f t="shared" si="49"/>
        <v>1947361</v>
      </c>
      <c r="Q1593" s="13">
        <f>SUMIFS(M:M,E:E,Online_eCommerce[[#This Row],[Status]])</f>
        <v>21103186</v>
      </c>
      <c r="R1593" s="13">
        <f>SUMIFS(L:L,H:H,Online_eCommerce[[#This Row],[Brand]])</f>
        <v>4260400</v>
      </c>
      <c r="S1593" s="13">
        <f>SUMIF(H:H,Online_eCommerce[[#This Row],[Brand]],M:M)</f>
        <v>5538520</v>
      </c>
      <c r="T1593" s="13">
        <f>SUMIF(N:N,Online_eCommerce[[#This Row],[Assigned Supervisor]],L:L)</f>
        <v>14373360</v>
      </c>
    </row>
    <row r="1594" spans="1:20" x14ac:dyDescent="0.3">
      <c r="A1594" t="s">
        <v>2477</v>
      </c>
      <c r="B1594" t="s">
        <v>215</v>
      </c>
      <c r="C1594" t="s">
        <v>203</v>
      </c>
      <c r="D1594" t="s">
        <v>2478</v>
      </c>
      <c r="E1594" t="s">
        <v>46</v>
      </c>
      <c r="F1594" t="s">
        <v>166</v>
      </c>
      <c r="G1594" t="s">
        <v>259</v>
      </c>
      <c r="H1594" t="s">
        <v>49</v>
      </c>
      <c r="I1594">
        <v>4500</v>
      </c>
      <c r="J1594">
        <v>5850</v>
      </c>
      <c r="K1594">
        <v>3</v>
      </c>
      <c r="L1594">
        <v>13500</v>
      </c>
      <c r="M1594">
        <v>17550</v>
      </c>
      <c r="N1594" t="s">
        <v>42</v>
      </c>
      <c r="O1594">
        <f t="shared" si="48"/>
        <v>11700</v>
      </c>
      <c r="P1594" s="13">
        <f t="shared" si="49"/>
        <v>2559635</v>
      </c>
      <c r="Q1594" s="13">
        <f>SUMIFS(M:M,E:E,Online_eCommerce[[#This Row],[Status]])</f>
        <v>28620410</v>
      </c>
      <c r="R1594" s="13">
        <f>SUMIFS(L:L,H:H,Online_eCommerce[[#This Row],[Brand]])</f>
        <v>4528350</v>
      </c>
      <c r="S1594" s="13">
        <f>SUMIF(H:H,Online_eCommerce[[#This Row],[Brand]],M:M)</f>
        <v>5886855</v>
      </c>
      <c r="T1594" s="13">
        <f>SUMIF(N:N,Online_eCommerce[[#This Row],[Assigned Supervisor]],L:L)</f>
        <v>12261500</v>
      </c>
    </row>
    <row r="1595" spans="1:20" hidden="1" x14ac:dyDescent="0.3">
      <c r="A1595" t="s">
        <v>2479</v>
      </c>
      <c r="B1595" t="s">
        <v>215</v>
      </c>
      <c r="C1595" t="s">
        <v>205</v>
      </c>
      <c r="D1595" t="s">
        <v>2480</v>
      </c>
      <c r="E1595" t="s">
        <v>96</v>
      </c>
      <c r="F1595" t="s">
        <v>2481</v>
      </c>
      <c r="G1595" t="s">
        <v>54</v>
      </c>
      <c r="H1595" t="s">
        <v>55</v>
      </c>
      <c r="I1595">
        <v>2100</v>
      </c>
      <c r="J1595">
        <v>2730</v>
      </c>
      <c r="K1595">
        <v>3</v>
      </c>
      <c r="L1595">
        <v>6300</v>
      </c>
      <c r="M1595">
        <v>8190</v>
      </c>
      <c r="N1595" t="s">
        <v>50</v>
      </c>
      <c r="O1595">
        <f t="shared" si="48"/>
        <v>2990</v>
      </c>
      <c r="P1595" s="13">
        <f t="shared" si="49"/>
        <v>1983254</v>
      </c>
      <c r="Q1595" s="13">
        <f>SUMIFS(M:M,E:E,Online_eCommerce[[#This Row],[Status]])</f>
        <v>21233992</v>
      </c>
      <c r="R1595" s="13">
        <f>SUMIFS(L:L,H:H,Online_eCommerce[[#This Row],[Brand]])</f>
        <v>2267380</v>
      </c>
      <c r="S1595" s="13">
        <f>SUMIF(H:H,Online_eCommerce[[#This Row],[Brand]],M:M)</f>
        <v>2947594</v>
      </c>
      <c r="T1595" s="13">
        <f>SUMIF(N:N,Online_eCommerce[[#This Row],[Assigned Supervisor]],L:L)</f>
        <v>12100590</v>
      </c>
    </row>
    <row r="1596" spans="1:20" hidden="1" x14ac:dyDescent="0.3">
      <c r="A1596" t="s">
        <v>2482</v>
      </c>
      <c r="B1596" t="s">
        <v>215</v>
      </c>
      <c r="C1596" t="s">
        <v>208</v>
      </c>
      <c r="D1596" t="s">
        <v>2483</v>
      </c>
      <c r="E1596" t="s">
        <v>18</v>
      </c>
      <c r="F1596" t="s">
        <v>174</v>
      </c>
      <c r="G1596" t="s">
        <v>60</v>
      </c>
      <c r="H1596" t="s">
        <v>61</v>
      </c>
      <c r="I1596">
        <v>1150</v>
      </c>
      <c r="J1596">
        <v>1495</v>
      </c>
      <c r="K1596">
        <v>4</v>
      </c>
      <c r="L1596">
        <v>4600</v>
      </c>
      <c r="M1596">
        <v>5980</v>
      </c>
      <c r="N1596" t="s">
        <v>56</v>
      </c>
      <c r="O1596">
        <f t="shared" si="48"/>
        <v>3315</v>
      </c>
      <c r="P1596" s="13">
        <f t="shared" si="49"/>
        <v>2746575</v>
      </c>
      <c r="Q1596" s="13">
        <f>SUMIFS(M:M,E:E,Online_eCommerce[[#This Row],[Status]])</f>
        <v>28340455</v>
      </c>
      <c r="R1596" s="13">
        <f>SUMIFS(L:L,H:H,Online_eCommerce[[#This Row],[Brand]])</f>
        <v>10950150</v>
      </c>
      <c r="S1596" s="13">
        <f>SUMIF(H:H,Online_eCommerce[[#This Row],[Brand]],M:M)</f>
        <v>14235195</v>
      </c>
      <c r="T1596" s="13">
        <f>SUMIF(N:N,Online_eCommerce[[#This Row],[Assigned Supervisor]],L:L)</f>
        <v>11733610</v>
      </c>
    </row>
    <row r="1597" spans="1:20" hidden="1" x14ac:dyDescent="0.3">
      <c r="A1597" t="s">
        <v>2484</v>
      </c>
      <c r="B1597" t="s">
        <v>215</v>
      </c>
      <c r="C1597" t="s">
        <v>211</v>
      </c>
      <c r="D1597" t="s">
        <v>2485</v>
      </c>
      <c r="E1597" t="s">
        <v>161</v>
      </c>
      <c r="F1597" t="s">
        <v>179</v>
      </c>
      <c r="G1597" t="s">
        <v>66</v>
      </c>
      <c r="H1597" t="s">
        <v>21</v>
      </c>
      <c r="I1597">
        <v>350</v>
      </c>
      <c r="J1597">
        <v>455</v>
      </c>
      <c r="K1597">
        <v>2</v>
      </c>
      <c r="L1597">
        <v>700</v>
      </c>
      <c r="M1597">
        <v>910</v>
      </c>
      <c r="N1597" t="s">
        <v>22</v>
      </c>
      <c r="O1597">
        <f t="shared" si="48"/>
        <v>1690</v>
      </c>
      <c r="P1597" s="13">
        <f t="shared" si="49"/>
        <v>1809847</v>
      </c>
      <c r="Q1597" s="13">
        <f>SUMIFS(M:M,E:E,Online_eCommerce[[#This Row],[Status]])</f>
        <v>21103186</v>
      </c>
      <c r="R1597" s="13">
        <f>SUMIFS(L:L,H:H,Online_eCommerce[[#This Row],[Brand]])</f>
        <v>12435650</v>
      </c>
      <c r="S1597" s="13">
        <f>SUMIF(H:H,Online_eCommerce[[#This Row],[Brand]],M:M)</f>
        <v>16166345</v>
      </c>
      <c r="T1597" s="13">
        <f>SUMIF(N:N,Online_eCommerce[[#This Row],[Assigned Supervisor]],L:L)</f>
        <v>13693220</v>
      </c>
    </row>
    <row r="1598" spans="1:20" x14ac:dyDescent="0.3">
      <c r="A1598" t="s">
        <v>2486</v>
      </c>
      <c r="B1598" t="s">
        <v>215</v>
      </c>
      <c r="C1598" t="s">
        <v>16</v>
      </c>
      <c r="D1598" t="s">
        <v>2487</v>
      </c>
      <c r="E1598" t="s">
        <v>46</v>
      </c>
      <c r="F1598" t="s">
        <v>183</v>
      </c>
      <c r="G1598" t="s">
        <v>71</v>
      </c>
      <c r="H1598" t="s">
        <v>61</v>
      </c>
      <c r="I1598">
        <v>9500</v>
      </c>
      <c r="J1598">
        <v>12350</v>
      </c>
      <c r="K1598">
        <v>4</v>
      </c>
      <c r="L1598">
        <v>38000</v>
      </c>
      <c r="M1598">
        <v>49400</v>
      </c>
      <c r="N1598" t="s">
        <v>28</v>
      </c>
      <c r="O1598">
        <f t="shared" si="48"/>
        <v>9750</v>
      </c>
      <c r="P1598" s="13">
        <f t="shared" si="49"/>
        <v>2751814</v>
      </c>
      <c r="Q1598" s="13">
        <f>SUMIFS(M:M,E:E,Online_eCommerce[[#This Row],[Status]])</f>
        <v>28620410</v>
      </c>
      <c r="R1598" s="13">
        <f>SUMIFS(L:L,H:H,Online_eCommerce[[#This Row],[Brand]])</f>
        <v>10950150</v>
      </c>
      <c r="S1598" s="13">
        <f>SUMIF(H:H,Online_eCommerce[[#This Row],[Brand]],M:M)</f>
        <v>14235195</v>
      </c>
      <c r="T1598" s="13">
        <f>SUMIF(N:N,Online_eCommerce[[#This Row],[Assigned Supervisor]],L:L)</f>
        <v>12220830</v>
      </c>
    </row>
    <row r="1599" spans="1:20" hidden="1" x14ac:dyDescent="0.3">
      <c r="A1599" t="s">
        <v>2488</v>
      </c>
      <c r="B1599" t="s">
        <v>215</v>
      </c>
      <c r="C1599" t="s">
        <v>24</v>
      </c>
      <c r="D1599" t="s">
        <v>2487</v>
      </c>
      <c r="E1599" t="s">
        <v>96</v>
      </c>
      <c r="F1599" t="s">
        <v>2489</v>
      </c>
      <c r="G1599" t="s">
        <v>77</v>
      </c>
      <c r="H1599" t="s">
        <v>142</v>
      </c>
      <c r="I1599">
        <v>10000</v>
      </c>
      <c r="J1599">
        <v>13000</v>
      </c>
      <c r="K1599">
        <v>2</v>
      </c>
      <c r="L1599">
        <v>20000</v>
      </c>
      <c r="M1599">
        <v>26000</v>
      </c>
      <c r="N1599" t="s">
        <v>35</v>
      </c>
      <c r="O1599">
        <f t="shared" si="48"/>
        <v>39000</v>
      </c>
      <c r="P1599" s="13">
        <f t="shared" si="49"/>
        <v>2009540</v>
      </c>
      <c r="Q1599" s="13">
        <f>SUMIFS(M:M,E:E,Online_eCommerce[[#This Row],[Status]])</f>
        <v>21233992</v>
      </c>
      <c r="R1599" s="13">
        <f>SUMIFS(L:L,H:H,Online_eCommerce[[#This Row],[Brand]])</f>
        <v>6192500</v>
      </c>
      <c r="S1599" s="13">
        <f>SUMIF(H:H,Online_eCommerce[[#This Row],[Brand]],M:M)</f>
        <v>8050250</v>
      </c>
      <c r="T1599" s="13">
        <f>SUMIF(N:N,Online_eCommerce[[#This Row],[Assigned Supervisor]],L:L)</f>
        <v>14373360</v>
      </c>
    </row>
    <row r="1600" spans="1:20" hidden="1" x14ac:dyDescent="0.3">
      <c r="A1600" t="s">
        <v>2490</v>
      </c>
      <c r="B1600" t="s">
        <v>215</v>
      </c>
      <c r="C1600" t="s">
        <v>31</v>
      </c>
      <c r="D1600" t="s">
        <v>2487</v>
      </c>
      <c r="E1600" t="s">
        <v>18</v>
      </c>
      <c r="F1600" t="s">
        <v>2491</v>
      </c>
      <c r="G1600" t="s">
        <v>20</v>
      </c>
      <c r="H1600" t="s">
        <v>21</v>
      </c>
      <c r="I1600">
        <v>6500</v>
      </c>
      <c r="J1600">
        <v>8450</v>
      </c>
      <c r="K1600">
        <v>3</v>
      </c>
      <c r="L1600">
        <v>19500</v>
      </c>
      <c r="M1600">
        <v>25350</v>
      </c>
      <c r="N1600" t="s">
        <v>42</v>
      </c>
      <c r="O1600">
        <f t="shared" si="48"/>
        <v>8450</v>
      </c>
      <c r="P1600" s="13">
        <f t="shared" si="49"/>
        <v>2865746</v>
      </c>
      <c r="Q1600" s="13">
        <f>SUMIFS(M:M,E:E,Online_eCommerce[[#This Row],[Status]])</f>
        <v>28340455</v>
      </c>
      <c r="R1600" s="13">
        <f>SUMIFS(L:L,H:H,Online_eCommerce[[#This Row],[Brand]])</f>
        <v>12435650</v>
      </c>
      <c r="S1600" s="13">
        <f>SUMIF(H:H,Online_eCommerce[[#This Row],[Brand]],M:M)</f>
        <v>16166345</v>
      </c>
      <c r="T1600" s="13">
        <f>SUMIF(N:N,Online_eCommerce[[#This Row],[Assigned Supervisor]],L:L)</f>
        <v>12261500</v>
      </c>
    </row>
    <row r="1601" spans="1:20" hidden="1" x14ac:dyDescent="0.3">
      <c r="A1601" t="s">
        <v>2492</v>
      </c>
      <c r="B1601" t="s">
        <v>215</v>
      </c>
      <c r="C1601" t="s">
        <v>38</v>
      </c>
      <c r="D1601" t="s">
        <v>2487</v>
      </c>
      <c r="E1601" t="s">
        <v>161</v>
      </c>
      <c r="F1601" t="s">
        <v>2493</v>
      </c>
      <c r="G1601" t="s">
        <v>26</v>
      </c>
      <c r="H1601" t="s">
        <v>27</v>
      </c>
      <c r="I1601">
        <v>8500</v>
      </c>
      <c r="J1601">
        <v>11050</v>
      </c>
      <c r="K1601">
        <v>4</v>
      </c>
      <c r="L1601">
        <v>34000</v>
      </c>
      <c r="M1601">
        <v>44200</v>
      </c>
      <c r="N1601" t="s">
        <v>50</v>
      </c>
      <c r="O1601">
        <f t="shared" si="48"/>
        <v>33150</v>
      </c>
      <c r="P1601" s="13">
        <f t="shared" si="49"/>
        <v>1933997</v>
      </c>
      <c r="Q1601" s="13">
        <f>SUMIFS(M:M,E:E,Online_eCommerce[[#This Row],[Status]])</f>
        <v>21103186</v>
      </c>
      <c r="R1601" s="13">
        <f>SUMIFS(L:L,H:H,Online_eCommerce[[#This Row],[Brand]])</f>
        <v>14431000</v>
      </c>
      <c r="S1601" s="13">
        <f>SUMIF(H:H,Online_eCommerce[[#This Row],[Brand]],M:M)</f>
        <v>18760300</v>
      </c>
      <c r="T1601" s="13">
        <f>SUMIF(N:N,Online_eCommerce[[#This Row],[Assigned Supervisor]],L:L)</f>
        <v>12100590</v>
      </c>
    </row>
    <row r="1602" spans="1:20" x14ac:dyDescent="0.3">
      <c r="A1602" t="s">
        <v>2494</v>
      </c>
      <c r="B1602" t="s">
        <v>215</v>
      </c>
      <c r="C1602" t="s">
        <v>45</v>
      </c>
      <c r="D1602" t="s">
        <v>2487</v>
      </c>
      <c r="E1602" t="s">
        <v>46</v>
      </c>
      <c r="F1602" t="s">
        <v>32</v>
      </c>
      <c r="G1602" t="s">
        <v>33</v>
      </c>
      <c r="H1602" t="s">
        <v>34</v>
      </c>
      <c r="I1602">
        <v>7000</v>
      </c>
      <c r="J1602">
        <v>9100</v>
      </c>
      <c r="K1602">
        <v>4</v>
      </c>
      <c r="L1602">
        <v>28000</v>
      </c>
      <c r="M1602">
        <v>36400</v>
      </c>
      <c r="N1602" t="s">
        <v>56</v>
      </c>
      <c r="O1602">
        <f t="shared" ref="O1602:O1665" si="50">VLOOKUP(G1602,G:M,7,FALSE)</f>
        <v>18200</v>
      </c>
      <c r="P1602" s="13">
        <f t="shared" ref="P1602:P1665" si="51">SUMIFS(M:M,C:C,C1602)</f>
        <v>2842554</v>
      </c>
      <c r="Q1602" s="13">
        <f>SUMIFS(M:M,E:E,Online_eCommerce[[#This Row],[Status]])</f>
        <v>28620410</v>
      </c>
      <c r="R1602" s="13">
        <f>SUMIFS(L:L,H:H,Online_eCommerce[[#This Row],[Brand]])</f>
        <v>10087000</v>
      </c>
      <c r="S1602" s="13">
        <f>SUMIF(H:H,Online_eCommerce[[#This Row],[Brand]],M:M)</f>
        <v>13113100</v>
      </c>
      <c r="T1602" s="13">
        <f>SUMIF(N:N,Online_eCommerce[[#This Row],[Assigned Supervisor]],L:L)</f>
        <v>11733610</v>
      </c>
    </row>
    <row r="1603" spans="1:20" hidden="1" x14ac:dyDescent="0.3">
      <c r="A1603" t="s">
        <v>2495</v>
      </c>
      <c r="B1603" t="s">
        <v>215</v>
      </c>
      <c r="C1603" t="s">
        <v>52</v>
      </c>
      <c r="D1603" t="s">
        <v>2487</v>
      </c>
      <c r="E1603" t="s">
        <v>96</v>
      </c>
      <c r="F1603" t="s">
        <v>2496</v>
      </c>
      <c r="G1603" t="s">
        <v>256</v>
      </c>
      <c r="H1603" t="s">
        <v>41</v>
      </c>
      <c r="I1603">
        <v>6550</v>
      </c>
      <c r="J1603">
        <v>8515</v>
      </c>
      <c r="K1603">
        <v>1</v>
      </c>
      <c r="L1603">
        <v>6550</v>
      </c>
      <c r="M1603">
        <v>8515</v>
      </c>
      <c r="N1603" t="s">
        <v>22</v>
      </c>
      <c r="O1603">
        <f t="shared" si="50"/>
        <v>9100</v>
      </c>
      <c r="P1603" s="13">
        <f t="shared" si="51"/>
        <v>1955044</v>
      </c>
      <c r="Q1603" s="13">
        <f>SUMIFS(M:M,E:E,Online_eCommerce[[#This Row],[Status]])</f>
        <v>21233992</v>
      </c>
      <c r="R1603" s="13">
        <f>SUMIFS(L:L,H:H,Online_eCommerce[[#This Row],[Brand]])</f>
        <v>4260400</v>
      </c>
      <c r="S1603" s="13">
        <f>SUMIF(H:H,Online_eCommerce[[#This Row],[Brand]],M:M)</f>
        <v>5538520</v>
      </c>
      <c r="T1603" s="13">
        <f>SUMIF(N:N,Online_eCommerce[[#This Row],[Assigned Supervisor]],L:L)</f>
        <v>13693220</v>
      </c>
    </row>
    <row r="1604" spans="1:20" hidden="1" x14ac:dyDescent="0.3">
      <c r="A1604" t="s">
        <v>2497</v>
      </c>
      <c r="B1604" t="s">
        <v>215</v>
      </c>
      <c r="C1604" t="s">
        <v>58</v>
      </c>
      <c r="D1604" t="s">
        <v>2487</v>
      </c>
      <c r="E1604" t="s">
        <v>18</v>
      </c>
      <c r="F1604" t="s">
        <v>47</v>
      </c>
      <c r="G1604" t="s">
        <v>259</v>
      </c>
      <c r="H1604" t="s">
        <v>49</v>
      </c>
      <c r="I1604">
        <v>7650</v>
      </c>
      <c r="J1604">
        <v>9945</v>
      </c>
      <c r="K1604">
        <v>4</v>
      </c>
      <c r="L1604">
        <v>30600</v>
      </c>
      <c r="M1604">
        <v>39780</v>
      </c>
      <c r="N1604" t="s">
        <v>28</v>
      </c>
      <c r="O1604">
        <f t="shared" si="50"/>
        <v>11700</v>
      </c>
      <c r="P1604" s="13">
        <f t="shared" si="51"/>
        <v>2629211</v>
      </c>
      <c r="Q1604" s="13">
        <f>SUMIFS(M:M,E:E,Online_eCommerce[[#This Row],[Status]])</f>
        <v>28340455</v>
      </c>
      <c r="R1604" s="13">
        <f>SUMIFS(L:L,H:H,Online_eCommerce[[#This Row],[Brand]])</f>
        <v>4528350</v>
      </c>
      <c r="S1604" s="13">
        <f>SUMIF(H:H,Online_eCommerce[[#This Row],[Brand]],M:M)</f>
        <v>5886855</v>
      </c>
      <c r="T1604" s="13">
        <f>SUMIF(N:N,Online_eCommerce[[#This Row],[Assigned Supervisor]],L:L)</f>
        <v>12220830</v>
      </c>
    </row>
    <row r="1605" spans="1:20" hidden="1" x14ac:dyDescent="0.3">
      <c r="A1605" t="s">
        <v>2498</v>
      </c>
      <c r="B1605" t="s">
        <v>215</v>
      </c>
      <c r="C1605" t="s">
        <v>63</v>
      </c>
      <c r="D1605" t="s">
        <v>2487</v>
      </c>
      <c r="E1605" t="s">
        <v>161</v>
      </c>
      <c r="F1605" t="s">
        <v>53</v>
      </c>
      <c r="G1605" t="s">
        <v>54</v>
      </c>
      <c r="H1605" t="s">
        <v>55</v>
      </c>
      <c r="I1605">
        <v>1150</v>
      </c>
      <c r="J1605">
        <v>1495</v>
      </c>
      <c r="K1605">
        <v>2</v>
      </c>
      <c r="L1605">
        <v>2300</v>
      </c>
      <c r="M1605">
        <v>2990</v>
      </c>
      <c r="N1605" t="s">
        <v>35</v>
      </c>
      <c r="O1605">
        <f t="shared" si="50"/>
        <v>2990</v>
      </c>
      <c r="P1605" s="13">
        <f t="shared" si="51"/>
        <v>2016131</v>
      </c>
      <c r="Q1605" s="13">
        <f>SUMIFS(M:M,E:E,Online_eCommerce[[#This Row],[Status]])</f>
        <v>21103186</v>
      </c>
      <c r="R1605" s="13">
        <f>SUMIFS(L:L,H:H,Online_eCommerce[[#This Row],[Brand]])</f>
        <v>2267380</v>
      </c>
      <c r="S1605" s="13">
        <f>SUMIF(H:H,Online_eCommerce[[#This Row],[Brand]],M:M)</f>
        <v>2947594</v>
      </c>
      <c r="T1605" s="13">
        <f>SUMIF(N:N,Online_eCommerce[[#This Row],[Assigned Supervisor]],L:L)</f>
        <v>14373360</v>
      </c>
    </row>
    <row r="1606" spans="1:20" x14ac:dyDescent="0.3">
      <c r="A1606" t="s">
        <v>2499</v>
      </c>
      <c r="B1606" t="s">
        <v>215</v>
      </c>
      <c r="C1606" t="s">
        <v>68</v>
      </c>
      <c r="D1606" t="s">
        <v>2487</v>
      </c>
      <c r="E1606" t="s">
        <v>46</v>
      </c>
      <c r="F1606" t="s">
        <v>59</v>
      </c>
      <c r="G1606" t="s">
        <v>60</v>
      </c>
      <c r="H1606" t="s">
        <v>61</v>
      </c>
      <c r="I1606">
        <v>850</v>
      </c>
      <c r="J1606">
        <v>1105</v>
      </c>
      <c r="K1606">
        <v>3</v>
      </c>
      <c r="L1606">
        <v>2550</v>
      </c>
      <c r="M1606">
        <v>3315</v>
      </c>
      <c r="N1606" t="s">
        <v>42</v>
      </c>
      <c r="O1606">
        <f t="shared" si="50"/>
        <v>3315</v>
      </c>
      <c r="P1606" s="13">
        <f t="shared" si="51"/>
        <v>2974621</v>
      </c>
      <c r="Q1606" s="13">
        <f>SUMIFS(M:M,E:E,Online_eCommerce[[#This Row],[Status]])</f>
        <v>28620410</v>
      </c>
      <c r="R1606" s="13">
        <f>SUMIFS(L:L,H:H,Online_eCommerce[[#This Row],[Brand]])</f>
        <v>10950150</v>
      </c>
      <c r="S1606" s="13">
        <f>SUMIF(H:H,Online_eCommerce[[#This Row],[Brand]],M:M)</f>
        <v>14235195</v>
      </c>
      <c r="T1606" s="13">
        <f>SUMIF(N:N,Online_eCommerce[[#This Row],[Assigned Supervisor]],L:L)</f>
        <v>12261500</v>
      </c>
    </row>
    <row r="1607" spans="1:20" hidden="1" x14ac:dyDescent="0.3">
      <c r="A1607" t="s">
        <v>2500</v>
      </c>
      <c r="B1607" t="s">
        <v>215</v>
      </c>
      <c r="C1607" t="s">
        <v>74</v>
      </c>
      <c r="D1607" t="s">
        <v>2487</v>
      </c>
      <c r="E1607" t="s">
        <v>96</v>
      </c>
      <c r="F1607" t="s">
        <v>65</v>
      </c>
      <c r="G1607" t="s">
        <v>66</v>
      </c>
      <c r="H1607" t="s">
        <v>21</v>
      </c>
      <c r="I1607">
        <v>650</v>
      </c>
      <c r="J1607">
        <v>845</v>
      </c>
      <c r="K1607">
        <v>4</v>
      </c>
      <c r="L1607">
        <v>2600</v>
      </c>
      <c r="M1607">
        <v>3380</v>
      </c>
      <c r="N1607" t="s">
        <v>50</v>
      </c>
      <c r="O1607">
        <f t="shared" si="50"/>
        <v>1690</v>
      </c>
      <c r="P1607" s="13">
        <f t="shared" si="51"/>
        <v>2144701</v>
      </c>
      <c r="Q1607" s="13">
        <f>SUMIFS(M:M,E:E,Online_eCommerce[[#This Row],[Status]])</f>
        <v>21233992</v>
      </c>
      <c r="R1607" s="13">
        <f>SUMIFS(L:L,H:H,Online_eCommerce[[#This Row],[Brand]])</f>
        <v>12435650</v>
      </c>
      <c r="S1607" s="13">
        <f>SUMIF(H:H,Online_eCommerce[[#This Row],[Brand]],M:M)</f>
        <v>16166345</v>
      </c>
      <c r="T1607" s="13">
        <f>SUMIF(N:N,Online_eCommerce[[#This Row],[Assigned Supervisor]],L:L)</f>
        <v>12100590</v>
      </c>
    </row>
    <row r="1608" spans="1:20" hidden="1" x14ac:dyDescent="0.3">
      <c r="A1608" t="s">
        <v>2501</v>
      </c>
      <c r="B1608" t="s">
        <v>215</v>
      </c>
      <c r="C1608" t="s">
        <v>81</v>
      </c>
      <c r="D1608" t="s">
        <v>2487</v>
      </c>
      <c r="E1608" t="s">
        <v>18</v>
      </c>
      <c r="F1608" t="s">
        <v>70</v>
      </c>
      <c r="G1608" t="s">
        <v>71</v>
      </c>
      <c r="H1608" t="s">
        <v>61</v>
      </c>
      <c r="I1608">
        <v>7500</v>
      </c>
      <c r="J1608">
        <v>9750</v>
      </c>
      <c r="K1608">
        <v>2</v>
      </c>
      <c r="L1608">
        <v>15000</v>
      </c>
      <c r="M1608">
        <v>19500</v>
      </c>
      <c r="N1608" t="s">
        <v>56</v>
      </c>
      <c r="O1608">
        <f t="shared" si="50"/>
        <v>9750</v>
      </c>
      <c r="P1608" s="13">
        <f t="shared" si="51"/>
        <v>2595632</v>
      </c>
      <c r="Q1608" s="13">
        <f>SUMIFS(M:M,E:E,Online_eCommerce[[#This Row],[Status]])</f>
        <v>28340455</v>
      </c>
      <c r="R1608" s="13">
        <f>SUMIFS(L:L,H:H,Online_eCommerce[[#This Row],[Brand]])</f>
        <v>10950150</v>
      </c>
      <c r="S1608" s="13">
        <f>SUMIF(H:H,Online_eCommerce[[#This Row],[Brand]],M:M)</f>
        <v>14235195</v>
      </c>
      <c r="T1608" s="13">
        <f>SUMIF(N:N,Online_eCommerce[[#This Row],[Assigned Supervisor]],L:L)</f>
        <v>11733610</v>
      </c>
    </row>
    <row r="1609" spans="1:20" hidden="1" x14ac:dyDescent="0.3">
      <c r="A1609" t="s">
        <v>2502</v>
      </c>
      <c r="B1609" t="s">
        <v>215</v>
      </c>
      <c r="C1609" t="s">
        <v>86</v>
      </c>
      <c r="D1609" t="s">
        <v>2487</v>
      </c>
      <c r="E1609" t="s">
        <v>161</v>
      </c>
      <c r="F1609" t="s">
        <v>2489</v>
      </c>
      <c r="G1609" t="s">
        <v>77</v>
      </c>
      <c r="H1609" t="s">
        <v>78</v>
      </c>
      <c r="I1609">
        <v>10000</v>
      </c>
      <c r="J1609">
        <v>13000</v>
      </c>
      <c r="K1609">
        <v>4</v>
      </c>
      <c r="L1609">
        <v>40000</v>
      </c>
      <c r="M1609">
        <v>52000</v>
      </c>
      <c r="N1609" t="s">
        <v>22</v>
      </c>
      <c r="O1609">
        <f t="shared" si="50"/>
        <v>39000</v>
      </c>
      <c r="P1609" s="13">
        <f t="shared" si="51"/>
        <v>1941225</v>
      </c>
      <c r="Q1609" s="13">
        <f>SUMIFS(M:M,E:E,Online_eCommerce[[#This Row],[Status]])</f>
        <v>21103186</v>
      </c>
      <c r="R1609" s="13">
        <f>SUMIFS(L:L,H:H,Online_eCommerce[[#This Row],[Brand]])</f>
        <v>3720000</v>
      </c>
      <c r="S1609" s="13">
        <f>SUMIF(H:H,Online_eCommerce[[#This Row],[Brand]],M:M)</f>
        <v>4836000</v>
      </c>
      <c r="T1609" s="13">
        <f>SUMIF(N:N,Online_eCommerce[[#This Row],[Assigned Supervisor]],L:L)</f>
        <v>13693220</v>
      </c>
    </row>
    <row r="1610" spans="1:20" x14ac:dyDescent="0.3">
      <c r="A1610" t="s">
        <v>2503</v>
      </c>
      <c r="B1610" t="s">
        <v>215</v>
      </c>
      <c r="C1610" t="s">
        <v>91</v>
      </c>
      <c r="D1610" t="s">
        <v>2487</v>
      </c>
      <c r="E1610" t="s">
        <v>46</v>
      </c>
      <c r="F1610" t="s">
        <v>2504</v>
      </c>
      <c r="G1610" t="s">
        <v>20</v>
      </c>
      <c r="H1610" t="s">
        <v>21</v>
      </c>
      <c r="I1610">
        <v>10500</v>
      </c>
      <c r="J1610">
        <v>13650</v>
      </c>
      <c r="K1610">
        <v>1</v>
      </c>
      <c r="L1610">
        <v>10500</v>
      </c>
      <c r="M1610">
        <v>13650</v>
      </c>
      <c r="N1610" t="s">
        <v>28</v>
      </c>
      <c r="O1610">
        <f t="shared" si="50"/>
        <v>8450</v>
      </c>
      <c r="P1610" s="13">
        <f t="shared" si="51"/>
        <v>2731963</v>
      </c>
      <c r="Q1610" s="13">
        <f>SUMIFS(M:M,E:E,Online_eCommerce[[#This Row],[Status]])</f>
        <v>28620410</v>
      </c>
      <c r="R1610" s="13">
        <f>SUMIFS(L:L,H:H,Online_eCommerce[[#This Row],[Brand]])</f>
        <v>12435650</v>
      </c>
      <c r="S1610" s="13">
        <f>SUMIF(H:H,Online_eCommerce[[#This Row],[Brand]],M:M)</f>
        <v>16166345</v>
      </c>
      <c r="T1610" s="13">
        <f>SUMIF(N:N,Online_eCommerce[[#This Row],[Assigned Supervisor]],L:L)</f>
        <v>12220830</v>
      </c>
    </row>
    <row r="1611" spans="1:20" hidden="1" x14ac:dyDescent="0.3">
      <c r="A1611" t="s">
        <v>2505</v>
      </c>
      <c r="B1611" t="s">
        <v>215</v>
      </c>
      <c r="C1611" t="s">
        <v>94</v>
      </c>
      <c r="D1611" t="s">
        <v>2487</v>
      </c>
      <c r="E1611" t="s">
        <v>96</v>
      </c>
      <c r="F1611" t="s">
        <v>88</v>
      </c>
      <c r="G1611" t="s">
        <v>26</v>
      </c>
      <c r="H1611" t="s">
        <v>27</v>
      </c>
      <c r="I1611">
        <v>8500</v>
      </c>
      <c r="J1611">
        <v>11050</v>
      </c>
      <c r="K1611">
        <v>4</v>
      </c>
      <c r="L1611">
        <v>34000</v>
      </c>
      <c r="M1611">
        <v>44200</v>
      </c>
      <c r="N1611" t="s">
        <v>35</v>
      </c>
      <c r="O1611">
        <f t="shared" si="50"/>
        <v>33150</v>
      </c>
      <c r="P1611" s="13">
        <f t="shared" si="51"/>
        <v>1868256</v>
      </c>
      <c r="Q1611" s="13">
        <f>SUMIFS(M:M,E:E,Online_eCommerce[[#This Row],[Status]])</f>
        <v>21233992</v>
      </c>
      <c r="R1611" s="13">
        <f>SUMIFS(L:L,H:H,Online_eCommerce[[#This Row],[Brand]])</f>
        <v>14431000</v>
      </c>
      <c r="S1611" s="13">
        <f>SUMIF(H:H,Online_eCommerce[[#This Row],[Brand]],M:M)</f>
        <v>18760300</v>
      </c>
      <c r="T1611" s="13">
        <f>SUMIF(N:N,Online_eCommerce[[#This Row],[Assigned Supervisor]],L:L)</f>
        <v>14373360</v>
      </c>
    </row>
    <row r="1612" spans="1:20" hidden="1" x14ac:dyDescent="0.3">
      <c r="A1612" t="s">
        <v>2506</v>
      </c>
      <c r="B1612" t="s">
        <v>215</v>
      </c>
      <c r="C1612" t="s">
        <v>99</v>
      </c>
      <c r="D1612" t="s">
        <v>2487</v>
      </c>
      <c r="E1612" t="s">
        <v>18</v>
      </c>
      <c r="F1612" t="s">
        <v>32</v>
      </c>
      <c r="G1612" t="s">
        <v>33</v>
      </c>
      <c r="H1612" t="s">
        <v>34</v>
      </c>
      <c r="I1612">
        <v>7000</v>
      </c>
      <c r="J1612">
        <v>9100</v>
      </c>
      <c r="K1612">
        <v>4</v>
      </c>
      <c r="L1612">
        <v>28000</v>
      </c>
      <c r="M1612">
        <v>36400</v>
      </c>
      <c r="N1612" t="s">
        <v>42</v>
      </c>
      <c r="O1612">
        <f t="shared" si="50"/>
        <v>18200</v>
      </c>
      <c r="P1612" s="13">
        <f t="shared" si="51"/>
        <v>2651233</v>
      </c>
      <c r="Q1612" s="13">
        <f>SUMIFS(M:M,E:E,Online_eCommerce[[#This Row],[Status]])</f>
        <v>28340455</v>
      </c>
      <c r="R1612" s="13">
        <f>SUMIFS(L:L,H:H,Online_eCommerce[[#This Row],[Brand]])</f>
        <v>10087000</v>
      </c>
      <c r="S1612" s="13">
        <f>SUMIF(H:H,Online_eCommerce[[#This Row],[Brand]],M:M)</f>
        <v>13113100</v>
      </c>
      <c r="T1612" s="13">
        <f>SUMIF(N:N,Online_eCommerce[[#This Row],[Assigned Supervisor]],L:L)</f>
        <v>12261500</v>
      </c>
    </row>
    <row r="1613" spans="1:20" hidden="1" x14ac:dyDescent="0.3">
      <c r="A1613" t="s">
        <v>2507</v>
      </c>
      <c r="B1613" t="s">
        <v>215</v>
      </c>
      <c r="C1613" t="s">
        <v>105</v>
      </c>
      <c r="D1613" t="s">
        <v>2487</v>
      </c>
      <c r="E1613" t="s">
        <v>161</v>
      </c>
      <c r="F1613" t="s">
        <v>2508</v>
      </c>
      <c r="G1613" t="s">
        <v>256</v>
      </c>
      <c r="H1613" t="s">
        <v>41</v>
      </c>
      <c r="I1613">
        <v>1680</v>
      </c>
      <c r="J1613">
        <v>2184</v>
      </c>
      <c r="K1613">
        <v>3</v>
      </c>
      <c r="L1613">
        <v>5040</v>
      </c>
      <c r="M1613">
        <v>6552</v>
      </c>
      <c r="N1613" t="s">
        <v>50</v>
      </c>
      <c r="O1613">
        <f t="shared" si="50"/>
        <v>9100</v>
      </c>
      <c r="P1613" s="13">
        <f t="shared" si="51"/>
        <v>1866852</v>
      </c>
      <c r="Q1613" s="13">
        <f>SUMIFS(M:M,E:E,Online_eCommerce[[#This Row],[Status]])</f>
        <v>21103186</v>
      </c>
      <c r="R1613" s="13">
        <f>SUMIFS(L:L,H:H,Online_eCommerce[[#This Row],[Brand]])</f>
        <v>4260400</v>
      </c>
      <c r="S1613" s="13">
        <f>SUMIF(H:H,Online_eCommerce[[#This Row],[Brand]],M:M)</f>
        <v>5538520</v>
      </c>
      <c r="T1613" s="13">
        <f>SUMIF(N:N,Online_eCommerce[[#This Row],[Assigned Supervisor]],L:L)</f>
        <v>12100590</v>
      </c>
    </row>
    <row r="1614" spans="1:20" x14ac:dyDescent="0.3">
      <c r="A1614" t="s">
        <v>2509</v>
      </c>
      <c r="B1614" t="s">
        <v>215</v>
      </c>
      <c r="C1614" t="s">
        <v>110</v>
      </c>
      <c r="D1614" t="s">
        <v>2487</v>
      </c>
      <c r="E1614" t="s">
        <v>46</v>
      </c>
      <c r="F1614" t="s">
        <v>101</v>
      </c>
      <c r="G1614" t="s">
        <v>259</v>
      </c>
      <c r="H1614" t="s">
        <v>102</v>
      </c>
      <c r="I1614">
        <v>6540</v>
      </c>
      <c r="J1614">
        <v>8502</v>
      </c>
      <c r="K1614">
        <v>1</v>
      </c>
      <c r="L1614">
        <v>6540</v>
      </c>
      <c r="M1614">
        <v>8502</v>
      </c>
      <c r="N1614" t="s">
        <v>56</v>
      </c>
      <c r="O1614">
        <f t="shared" si="50"/>
        <v>11700</v>
      </c>
      <c r="P1614" s="13">
        <f t="shared" si="51"/>
        <v>2598635</v>
      </c>
      <c r="Q1614" s="13">
        <f>SUMIFS(M:M,E:E,Online_eCommerce[[#This Row],[Status]])</f>
        <v>28620410</v>
      </c>
      <c r="R1614" s="13">
        <f>SUMIFS(L:L,H:H,Online_eCommerce[[#This Row],[Brand]])</f>
        <v>2465580</v>
      </c>
      <c r="S1614" s="13">
        <f>SUMIF(H:H,Online_eCommerce[[#This Row],[Brand]],M:M)</f>
        <v>3205254</v>
      </c>
      <c r="T1614" s="13">
        <f>SUMIF(N:N,Online_eCommerce[[#This Row],[Assigned Supervisor]],L:L)</f>
        <v>11733610</v>
      </c>
    </row>
    <row r="1615" spans="1:20" hidden="1" x14ac:dyDescent="0.3">
      <c r="A1615" t="s">
        <v>2510</v>
      </c>
      <c r="B1615" t="s">
        <v>215</v>
      </c>
      <c r="C1615" t="s">
        <v>115</v>
      </c>
      <c r="D1615" t="s">
        <v>2487</v>
      </c>
      <c r="E1615" t="s">
        <v>96</v>
      </c>
      <c r="F1615" t="s">
        <v>107</v>
      </c>
      <c r="G1615" t="s">
        <v>54</v>
      </c>
      <c r="H1615" t="s">
        <v>55</v>
      </c>
      <c r="I1615">
        <v>2680</v>
      </c>
      <c r="J1615">
        <v>3484</v>
      </c>
      <c r="K1615">
        <v>3</v>
      </c>
      <c r="L1615">
        <v>8040</v>
      </c>
      <c r="M1615">
        <v>10452</v>
      </c>
      <c r="N1615" t="s">
        <v>22</v>
      </c>
      <c r="O1615">
        <f t="shared" si="50"/>
        <v>2990</v>
      </c>
      <c r="P1615" s="13">
        <f t="shared" si="51"/>
        <v>2050178</v>
      </c>
      <c r="Q1615" s="13">
        <f>SUMIFS(M:M,E:E,Online_eCommerce[[#This Row],[Status]])</f>
        <v>21233992</v>
      </c>
      <c r="R1615" s="13">
        <f>SUMIFS(L:L,H:H,Online_eCommerce[[#This Row],[Brand]])</f>
        <v>2267380</v>
      </c>
      <c r="S1615" s="13">
        <f>SUMIF(H:H,Online_eCommerce[[#This Row],[Brand]],M:M)</f>
        <v>2947594</v>
      </c>
      <c r="T1615" s="13">
        <f>SUMIF(N:N,Online_eCommerce[[#This Row],[Assigned Supervisor]],L:L)</f>
        <v>13693220</v>
      </c>
    </row>
    <row r="1616" spans="1:20" hidden="1" x14ac:dyDescent="0.3">
      <c r="A1616" t="s">
        <v>2511</v>
      </c>
      <c r="B1616" t="s">
        <v>215</v>
      </c>
      <c r="C1616" t="s">
        <v>120</v>
      </c>
      <c r="D1616" t="s">
        <v>2487</v>
      </c>
      <c r="E1616" t="s">
        <v>18</v>
      </c>
      <c r="F1616" t="s">
        <v>112</v>
      </c>
      <c r="G1616" t="s">
        <v>71</v>
      </c>
      <c r="H1616" t="s">
        <v>21</v>
      </c>
      <c r="I1616">
        <v>8250</v>
      </c>
      <c r="J1616">
        <v>10725</v>
      </c>
      <c r="K1616">
        <v>3</v>
      </c>
      <c r="L1616">
        <v>24750</v>
      </c>
      <c r="M1616">
        <v>32175</v>
      </c>
      <c r="N1616" t="s">
        <v>28</v>
      </c>
      <c r="O1616">
        <f t="shared" si="50"/>
        <v>9750</v>
      </c>
      <c r="P1616" s="13">
        <f t="shared" si="51"/>
        <v>2734212</v>
      </c>
      <c r="Q1616" s="13">
        <f>SUMIFS(M:M,E:E,Online_eCommerce[[#This Row],[Status]])</f>
        <v>28340455</v>
      </c>
      <c r="R1616" s="13">
        <f>SUMIFS(L:L,H:H,Online_eCommerce[[#This Row],[Brand]])</f>
        <v>12435650</v>
      </c>
      <c r="S1616" s="13">
        <f>SUMIF(H:H,Online_eCommerce[[#This Row],[Brand]],M:M)</f>
        <v>16166345</v>
      </c>
      <c r="T1616" s="13">
        <f>SUMIF(N:N,Online_eCommerce[[#This Row],[Assigned Supervisor]],L:L)</f>
        <v>12220830</v>
      </c>
    </row>
    <row r="1617" spans="1:20" hidden="1" x14ac:dyDescent="0.3">
      <c r="A1617" t="s">
        <v>2512</v>
      </c>
      <c r="B1617" t="s">
        <v>215</v>
      </c>
      <c r="C1617" t="s">
        <v>125</v>
      </c>
      <c r="D1617" t="s">
        <v>2487</v>
      </c>
      <c r="E1617" t="s">
        <v>161</v>
      </c>
      <c r="F1617" t="s">
        <v>2054</v>
      </c>
      <c r="G1617" t="s">
        <v>40</v>
      </c>
      <c r="H1617" t="s">
        <v>21</v>
      </c>
      <c r="I1617">
        <v>2650</v>
      </c>
      <c r="J1617">
        <v>3445</v>
      </c>
      <c r="K1617">
        <v>3</v>
      </c>
      <c r="L1617">
        <v>7950</v>
      </c>
      <c r="M1617">
        <v>10335</v>
      </c>
      <c r="N1617" t="s">
        <v>35</v>
      </c>
      <c r="O1617">
        <f t="shared" si="50"/>
        <v>25545</v>
      </c>
      <c r="P1617" s="13">
        <f t="shared" si="51"/>
        <v>2091154</v>
      </c>
      <c r="Q1617" s="13">
        <f>SUMIFS(M:M,E:E,Online_eCommerce[[#This Row],[Status]])</f>
        <v>21103186</v>
      </c>
      <c r="R1617" s="13">
        <f>SUMIFS(L:L,H:H,Online_eCommerce[[#This Row],[Brand]])</f>
        <v>12435650</v>
      </c>
      <c r="S1617" s="13">
        <f>SUMIF(H:H,Online_eCommerce[[#This Row],[Brand]],M:M)</f>
        <v>16166345</v>
      </c>
      <c r="T1617" s="13">
        <f>SUMIF(N:N,Online_eCommerce[[#This Row],[Assigned Supervisor]],L:L)</f>
        <v>14373360</v>
      </c>
    </row>
    <row r="1618" spans="1:20" x14ac:dyDescent="0.3">
      <c r="A1618" t="s">
        <v>2513</v>
      </c>
      <c r="B1618" t="s">
        <v>215</v>
      </c>
      <c r="C1618" t="s">
        <v>22</v>
      </c>
      <c r="D1618" t="s">
        <v>2514</v>
      </c>
      <c r="E1618" t="s">
        <v>46</v>
      </c>
      <c r="F1618" t="s">
        <v>121</v>
      </c>
      <c r="G1618" t="s">
        <v>71</v>
      </c>
      <c r="H1618" t="s">
        <v>122</v>
      </c>
      <c r="I1618">
        <v>12550</v>
      </c>
      <c r="J1618">
        <v>16315</v>
      </c>
      <c r="K1618">
        <v>3</v>
      </c>
      <c r="L1618">
        <v>37650</v>
      </c>
      <c r="M1618">
        <v>48945</v>
      </c>
      <c r="N1618" t="s">
        <v>42</v>
      </c>
      <c r="O1618">
        <f t="shared" si="50"/>
        <v>9750</v>
      </c>
      <c r="P1618" s="13">
        <f t="shared" si="51"/>
        <v>2551588</v>
      </c>
      <c r="Q1618" s="13">
        <f>SUMIFS(M:M,E:E,Online_eCommerce[[#This Row],[Status]])</f>
        <v>28620410</v>
      </c>
      <c r="R1618" s="13">
        <f>SUMIFS(L:L,H:H,Online_eCommerce[[#This Row],[Brand]])</f>
        <v>5045100</v>
      </c>
      <c r="S1618" s="13">
        <f>SUMIF(H:H,Online_eCommerce[[#This Row],[Brand]],M:M)</f>
        <v>6558630</v>
      </c>
      <c r="T1618" s="13">
        <f>SUMIF(N:N,Online_eCommerce[[#This Row],[Assigned Supervisor]],L:L)</f>
        <v>12261500</v>
      </c>
    </row>
    <row r="1619" spans="1:20" hidden="1" x14ac:dyDescent="0.3">
      <c r="A1619" t="s">
        <v>2515</v>
      </c>
      <c r="B1619" t="s">
        <v>215</v>
      </c>
      <c r="C1619" t="s">
        <v>132</v>
      </c>
      <c r="D1619" t="s">
        <v>2516</v>
      </c>
      <c r="E1619" t="s">
        <v>96</v>
      </c>
      <c r="F1619" t="s">
        <v>126</v>
      </c>
      <c r="G1619" t="s">
        <v>26</v>
      </c>
      <c r="H1619" t="s">
        <v>27</v>
      </c>
      <c r="I1619">
        <v>14500</v>
      </c>
      <c r="J1619">
        <v>18850</v>
      </c>
      <c r="K1619">
        <v>3</v>
      </c>
      <c r="L1619">
        <v>43500</v>
      </c>
      <c r="M1619">
        <v>56550</v>
      </c>
      <c r="N1619" t="s">
        <v>50</v>
      </c>
      <c r="O1619">
        <f t="shared" si="50"/>
        <v>33150</v>
      </c>
      <c r="P1619" s="13">
        <f t="shared" si="51"/>
        <v>1989065</v>
      </c>
      <c r="Q1619" s="13">
        <f>SUMIFS(M:M,E:E,Online_eCommerce[[#This Row],[Status]])</f>
        <v>21233992</v>
      </c>
      <c r="R1619" s="13">
        <f>SUMIFS(L:L,H:H,Online_eCommerce[[#This Row],[Brand]])</f>
        <v>14431000</v>
      </c>
      <c r="S1619" s="13">
        <f>SUMIF(H:H,Online_eCommerce[[#This Row],[Brand]],M:M)</f>
        <v>18760300</v>
      </c>
      <c r="T1619" s="13">
        <f>SUMIF(N:N,Online_eCommerce[[#This Row],[Assigned Supervisor]],L:L)</f>
        <v>12100590</v>
      </c>
    </row>
    <row r="1620" spans="1:20" hidden="1" x14ac:dyDescent="0.3">
      <c r="A1620" t="s">
        <v>2517</v>
      </c>
      <c r="B1620" t="s">
        <v>215</v>
      </c>
      <c r="C1620" t="s">
        <v>136</v>
      </c>
      <c r="D1620" t="s">
        <v>2518</v>
      </c>
      <c r="E1620" t="s">
        <v>18</v>
      </c>
      <c r="F1620" t="s">
        <v>129</v>
      </c>
      <c r="G1620" t="s">
        <v>60</v>
      </c>
      <c r="H1620" t="s">
        <v>61</v>
      </c>
      <c r="I1620">
        <v>800</v>
      </c>
      <c r="J1620">
        <v>1040</v>
      </c>
      <c r="K1620">
        <v>3</v>
      </c>
      <c r="L1620">
        <v>2400</v>
      </c>
      <c r="M1620">
        <v>3120</v>
      </c>
      <c r="N1620" t="s">
        <v>56</v>
      </c>
      <c r="O1620">
        <f t="shared" si="50"/>
        <v>3315</v>
      </c>
      <c r="P1620" s="13">
        <f t="shared" si="51"/>
        <v>2775162</v>
      </c>
      <c r="Q1620" s="13">
        <f>SUMIFS(M:M,E:E,Online_eCommerce[[#This Row],[Status]])</f>
        <v>28340455</v>
      </c>
      <c r="R1620" s="13">
        <f>SUMIFS(L:L,H:H,Online_eCommerce[[#This Row],[Brand]])</f>
        <v>10950150</v>
      </c>
      <c r="S1620" s="13">
        <f>SUMIF(H:H,Online_eCommerce[[#This Row],[Brand]],M:M)</f>
        <v>14235195</v>
      </c>
      <c r="T1620" s="13">
        <f>SUMIF(N:N,Online_eCommerce[[#This Row],[Assigned Supervisor]],L:L)</f>
        <v>11733610</v>
      </c>
    </row>
    <row r="1621" spans="1:20" hidden="1" x14ac:dyDescent="0.3">
      <c r="A1621" t="s">
        <v>2519</v>
      </c>
      <c r="B1621" t="s">
        <v>215</v>
      </c>
      <c r="C1621" t="s">
        <v>140</v>
      </c>
      <c r="D1621" t="s">
        <v>2520</v>
      </c>
      <c r="E1621" t="s">
        <v>161</v>
      </c>
      <c r="F1621" t="s">
        <v>133</v>
      </c>
      <c r="G1621" t="s">
        <v>66</v>
      </c>
      <c r="H1621" t="s">
        <v>21</v>
      </c>
      <c r="I1621">
        <v>600</v>
      </c>
      <c r="J1621">
        <v>780</v>
      </c>
      <c r="K1621">
        <v>1</v>
      </c>
      <c r="L1621">
        <v>600</v>
      </c>
      <c r="M1621">
        <v>780</v>
      </c>
      <c r="N1621" t="s">
        <v>22</v>
      </c>
      <c r="O1621">
        <f t="shared" si="50"/>
        <v>1690</v>
      </c>
      <c r="P1621" s="13">
        <f t="shared" si="51"/>
        <v>2058264</v>
      </c>
      <c r="Q1621" s="13">
        <f>SUMIFS(M:M,E:E,Online_eCommerce[[#This Row],[Status]])</f>
        <v>21103186</v>
      </c>
      <c r="R1621" s="13">
        <f>SUMIFS(L:L,H:H,Online_eCommerce[[#This Row],[Brand]])</f>
        <v>12435650</v>
      </c>
      <c r="S1621" s="13">
        <f>SUMIF(H:H,Online_eCommerce[[#This Row],[Brand]],M:M)</f>
        <v>16166345</v>
      </c>
      <c r="T1621" s="13">
        <f>SUMIF(N:N,Online_eCommerce[[#This Row],[Assigned Supervisor]],L:L)</f>
        <v>13693220</v>
      </c>
    </row>
    <row r="1622" spans="1:20" x14ac:dyDescent="0.3">
      <c r="A1622" t="s">
        <v>2521</v>
      </c>
      <c r="B1622" t="s">
        <v>215</v>
      </c>
      <c r="C1622" t="s">
        <v>145</v>
      </c>
      <c r="D1622" t="s">
        <v>2522</v>
      </c>
      <c r="E1622" t="s">
        <v>46</v>
      </c>
      <c r="F1622" t="s">
        <v>137</v>
      </c>
      <c r="G1622" t="s">
        <v>71</v>
      </c>
      <c r="H1622" t="s">
        <v>61</v>
      </c>
      <c r="I1622">
        <v>10500</v>
      </c>
      <c r="J1622">
        <v>13650</v>
      </c>
      <c r="K1622">
        <v>4</v>
      </c>
      <c r="L1622">
        <v>42000</v>
      </c>
      <c r="M1622">
        <v>54600</v>
      </c>
      <c r="N1622" t="s">
        <v>28</v>
      </c>
      <c r="O1622">
        <f t="shared" si="50"/>
        <v>9750</v>
      </c>
      <c r="P1622" s="13">
        <f t="shared" si="51"/>
        <v>2757859</v>
      </c>
      <c r="Q1622" s="13">
        <f>SUMIFS(M:M,E:E,Online_eCommerce[[#This Row],[Status]])</f>
        <v>28620410</v>
      </c>
      <c r="R1622" s="13">
        <f>SUMIFS(L:L,H:H,Online_eCommerce[[#This Row],[Brand]])</f>
        <v>10950150</v>
      </c>
      <c r="S1622" s="13">
        <f>SUMIF(H:H,Online_eCommerce[[#This Row],[Brand]],M:M)</f>
        <v>14235195</v>
      </c>
      <c r="T1622" s="13">
        <f>SUMIF(N:N,Online_eCommerce[[#This Row],[Assigned Supervisor]],L:L)</f>
        <v>12220830</v>
      </c>
    </row>
    <row r="1623" spans="1:20" hidden="1" x14ac:dyDescent="0.3">
      <c r="A1623" t="s">
        <v>2523</v>
      </c>
      <c r="B1623" t="s">
        <v>215</v>
      </c>
      <c r="C1623" t="s">
        <v>150</v>
      </c>
      <c r="D1623" t="s">
        <v>2522</v>
      </c>
      <c r="E1623" t="s">
        <v>96</v>
      </c>
      <c r="F1623" t="s">
        <v>2489</v>
      </c>
      <c r="G1623" t="s">
        <v>77</v>
      </c>
      <c r="H1623" t="s">
        <v>142</v>
      </c>
      <c r="I1623">
        <v>6500</v>
      </c>
      <c r="J1623">
        <v>8450</v>
      </c>
      <c r="K1623">
        <v>3</v>
      </c>
      <c r="L1623">
        <v>19500</v>
      </c>
      <c r="M1623">
        <v>25350</v>
      </c>
      <c r="N1623" t="s">
        <v>35</v>
      </c>
      <c r="O1623">
        <f t="shared" si="50"/>
        <v>39000</v>
      </c>
      <c r="P1623" s="13">
        <f t="shared" si="51"/>
        <v>2154984</v>
      </c>
      <c r="Q1623" s="13">
        <f>SUMIFS(M:M,E:E,Online_eCommerce[[#This Row],[Status]])</f>
        <v>21233992</v>
      </c>
      <c r="R1623" s="13">
        <f>SUMIFS(L:L,H:H,Online_eCommerce[[#This Row],[Brand]])</f>
        <v>6192500</v>
      </c>
      <c r="S1623" s="13">
        <f>SUMIF(H:H,Online_eCommerce[[#This Row],[Brand]],M:M)</f>
        <v>8050250</v>
      </c>
      <c r="T1623" s="13">
        <f>SUMIF(N:N,Online_eCommerce[[#This Row],[Assigned Supervisor]],L:L)</f>
        <v>14373360</v>
      </c>
    </row>
    <row r="1624" spans="1:20" hidden="1" x14ac:dyDescent="0.3">
      <c r="A1624" t="s">
        <v>2524</v>
      </c>
      <c r="B1624" t="s">
        <v>215</v>
      </c>
      <c r="C1624" t="s">
        <v>155</v>
      </c>
      <c r="D1624" t="s">
        <v>2522</v>
      </c>
      <c r="E1624" t="s">
        <v>18</v>
      </c>
      <c r="F1624" t="s">
        <v>2525</v>
      </c>
      <c r="G1624" t="s">
        <v>20</v>
      </c>
      <c r="H1624" t="s">
        <v>21</v>
      </c>
      <c r="I1624">
        <v>4500</v>
      </c>
      <c r="J1624">
        <v>5850</v>
      </c>
      <c r="K1624">
        <v>3</v>
      </c>
      <c r="L1624">
        <v>13500</v>
      </c>
      <c r="M1624">
        <v>17550</v>
      </c>
      <c r="N1624" t="s">
        <v>42</v>
      </c>
      <c r="O1624">
        <f t="shared" si="50"/>
        <v>8450</v>
      </c>
      <c r="P1624" s="13">
        <f t="shared" si="51"/>
        <v>2753348</v>
      </c>
      <c r="Q1624" s="13">
        <f>SUMIFS(M:M,E:E,Online_eCommerce[[#This Row],[Status]])</f>
        <v>28340455</v>
      </c>
      <c r="R1624" s="13">
        <f>SUMIFS(L:L,H:H,Online_eCommerce[[#This Row],[Brand]])</f>
        <v>12435650</v>
      </c>
      <c r="S1624" s="13">
        <f>SUMIF(H:H,Online_eCommerce[[#This Row],[Brand]],M:M)</f>
        <v>16166345</v>
      </c>
      <c r="T1624" s="13">
        <f>SUMIF(N:N,Online_eCommerce[[#This Row],[Assigned Supervisor]],L:L)</f>
        <v>12261500</v>
      </c>
    </row>
    <row r="1625" spans="1:20" hidden="1" x14ac:dyDescent="0.3">
      <c r="A1625" t="s">
        <v>2526</v>
      </c>
      <c r="B1625" t="s">
        <v>215</v>
      </c>
      <c r="C1625" t="s">
        <v>160</v>
      </c>
      <c r="D1625" t="s">
        <v>2522</v>
      </c>
      <c r="E1625" t="s">
        <v>161</v>
      </c>
      <c r="F1625" t="s">
        <v>152</v>
      </c>
      <c r="G1625" t="s">
        <v>26</v>
      </c>
      <c r="H1625" t="s">
        <v>27</v>
      </c>
      <c r="I1625">
        <v>8500</v>
      </c>
      <c r="J1625">
        <v>11050</v>
      </c>
      <c r="K1625">
        <v>3</v>
      </c>
      <c r="L1625">
        <v>25500</v>
      </c>
      <c r="M1625">
        <v>33150</v>
      </c>
      <c r="N1625" t="s">
        <v>50</v>
      </c>
      <c r="O1625">
        <f t="shared" si="50"/>
        <v>33150</v>
      </c>
      <c r="P1625" s="13">
        <f t="shared" si="51"/>
        <v>2303483</v>
      </c>
      <c r="Q1625" s="13">
        <f>SUMIFS(M:M,E:E,Online_eCommerce[[#This Row],[Status]])</f>
        <v>21103186</v>
      </c>
      <c r="R1625" s="13">
        <f>SUMIFS(L:L,H:H,Online_eCommerce[[#This Row],[Brand]])</f>
        <v>14431000</v>
      </c>
      <c r="S1625" s="13">
        <f>SUMIF(H:H,Online_eCommerce[[#This Row],[Brand]],M:M)</f>
        <v>18760300</v>
      </c>
      <c r="T1625" s="13">
        <f>SUMIF(N:N,Online_eCommerce[[#This Row],[Assigned Supervisor]],L:L)</f>
        <v>12100590</v>
      </c>
    </row>
    <row r="1626" spans="1:20" x14ac:dyDescent="0.3">
      <c r="A1626" t="s">
        <v>2527</v>
      </c>
      <c r="B1626" t="s">
        <v>215</v>
      </c>
      <c r="C1626" t="s">
        <v>165</v>
      </c>
      <c r="D1626" t="s">
        <v>2522</v>
      </c>
      <c r="E1626" t="s">
        <v>46</v>
      </c>
      <c r="F1626" t="s">
        <v>157</v>
      </c>
      <c r="G1626" t="s">
        <v>33</v>
      </c>
      <c r="H1626" t="s">
        <v>34</v>
      </c>
      <c r="I1626">
        <v>12500</v>
      </c>
      <c r="J1626">
        <v>16250</v>
      </c>
      <c r="K1626">
        <v>1</v>
      </c>
      <c r="L1626">
        <v>12500</v>
      </c>
      <c r="M1626">
        <v>16250</v>
      </c>
      <c r="N1626" t="s">
        <v>56</v>
      </c>
      <c r="O1626">
        <f t="shared" si="50"/>
        <v>18200</v>
      </c>
      <c r="P1626" s="13">
        <f t="shared" si="51"/>
        <v>2674087</v>
      </c>
      <c r="Q1626" s="13">
        <f>SUMIFS(M:M,E:E,Online_eCommerce[[#This Row],[Status]])</f>
        <v>28620410</v>
      </c>
      <c r="R1626" s="13">
        <f>SUMIFS(L:L,H:H,Online_eCommerce[[#This Row],[Brand]])</f>
        <v>10087000</v>
      </c>
      <c r="S1626" s="13">
        <f>SUMIF(H:H,Online_eCommerce[[#This Row],[Brand]],M:M)</f>
        <v>13113100</v>
      </c>
      <c r="T1626" s="13">
        <f>SUMIF(N:N,Online_eCommerce[[#This Row],[Assigned Supervisor]],L:L)</f>
        <v>11733610</v>
      </c>
    </row>
    <row r="1627" spans="1:20" hidden="1" x14ac:dyDescent="0.3">
      <c r="A1627" t="s">
        <v>2528</v>
      </c>
      <c r="B1627" t="s">
        <v>215</v>
      </c>
      <c r="C1627" t="s">
        <v>168</v>
      </c>
      <c r="D1627" t="s">
        <v>2522</v>
      </c>
      <c r="E1627" t="s">
        <v>96</v>
      </c>
      <c r="F1627" t="s">
        <v>2096</v>
      </c>
      <c r="G1627" t="s">
        <v>40</v>
      </c>
      <c r="H1627" t="s">
        <v>41</v>
      </c>
      <c r="I1627">
        <v>3500</v>
      </c>
      <c r="J1627">
        <v>4550</v>
      </c>
      <c r="K1627">
        <v>4</v>
      </c>
      <c r="L1627">
        <v>14000</v>
      </c>
      <c r="M1627">
        <v>18200</v>
      </c>
      <c r="N1627" t="s">
        <v>22</v>
      </c>
      <c r="O1627">
        <f t="shared" si="50"/>
        <v>25545</v>
      </c>
      <c r="P1627" s="13">
        <f t="shared" si="51"/>
        <v>1937780</v>
      </c>
      <c r="Q1627" s="13">
        <f>SUMIFS(M:M,E:E,Online_eCommerce[[#This Row],[Status]])</f>
        <v>21233992</v>
      </c>
      <c r="R1627" s="13">
        <f>SUMIFS(L:L,H:H,Online_eCommerce[[#This Row],[Brand]])</f>
        <v>4260400</v>
      </c>
      <c r="S1627" s="13">
        <f>SUMIF(H:H,Online_eCommerce[[#This Row],[Brand]],M:M)</f>
        <v>5538520</v>
      </c>
      <c r="T1627" s="13">
        <f>SUMIF(N:N,Online_eCommerce[[#This Row],[Assigned Supervisor]],L:L)</f>
        <v>13693220</v>
      </c>
    </row>
    <row r="1628" spans="1:20" hidden="1" x14ac:dyDescent="0.3">
      <c r="A1628" t="s">
        <v>2529</v>
      </c>
      <c r="B1628" t="s">
        <v>215</v>
      </c>
      <c r="C1628" t="s">
        <v>172</v>
      </c>
      <c r="D1628" t="s">
        <v>2522</v>
      </c>
      <c r="E1628" t="s">
        <v>18</v>
      </c>
      <c r="F1628" t="s">
        <v>166</v>
      </c>
      <c r="G1628" t="s">
        <v>334</v>
      </c>
      <c r="H1628" t="s">
        <v>49</v>
      </c>
      <c r="I1628">
        <v>4500</v>
      </c>
      <c r="J1628">
        <v>5850</v>
      </c>
      <c r="K1628">
        <v>2</v>
      </c>
      <c r="L1628">
        <v>9000</v>
      </c>
      <c r="M1628">
        <v>11700</v>
      </c>
      <c r="N1628" t="s">
        <v>28</v>
      </c>
      <c r="O1628">
        <f t="shared" si="50"/>
        <v>39780</v>
      </c>
      <c r="P1628" s="13">
        <f t="shared" si="51"/>
        <v>2640274</v>
      </c>
      <c r="Q1628" s="13">
        <f>SUMIFS(M:M,E:E,Online_eCommerce[[#This Row],[Status]])</f>
        <v>28340455</v>
      </c>
      <c r="R1628" s="13">
        <f>SUMIFS(L:L,H:H,Online_eCommerce[[#This Row],[Brand]])</f>
        <v>4528350</v>
      </c>
      <c r="S1628" s="13">
        <f>SUMIF(H:H,Online_eCommerce[[#This Row],[Brand]],M:M)</f>
        <v>5886855</v>
      </c>
      <c r="T1628" s="13">
        <f>SUMIF(N:N,Online_eCommerce[[#This Row],[Assigned Supervisor]],L:L)</f>
        <v>12220830</v>
      </c>
    </row>
    <row r="1629" spans="1:20" hidden="1" x14ac:dyDescent="0.3">
      <c r="A1629" t="s">
        <v>2530</v>
      </c>
      <c r="B1629" t="s">
        <v>215</v>
      </c>
      <c r="C1629" t="s">
        <v>177</v>
      </c>
      <c r="D1629" t="s">
        <v>2522</v>
      </c>
      <c r="E1629" t="s">
        <v>161</v>
      </c>
      <c r="F1629" t="s">
        <v>2531</v>
      </c>
      <c r="G1629" t="s">
        <v>54</v>
      </c>
      <c r="H1629" t="s">
        <v>55</v>
      </c>
      <c r="I1629">
        <v>2100</v>
      </c>
      <c r="J1629">
        <v>2730</v>
      </c>
      <c r="K1629">
        <v>2</v>
      </c>
      <c r="L1629">
        <v>4200</v>
      </c>
      <c r="M1629">
        <v>5460</v>
      </c>
      <c r="N1629" t="s">
        <v>35</v>
      </c>
      <c r="O1629">
        <f t="shared" si="50"/>
        <v>2990</v>
      </c>
      <c r="P1629" s="13">
        <f t="shared" si="51"/>
        <v>1863810</v>
      </c>
      <c r="Q1629" s="13">
        <f>SUMIFS(M:M,E:E,Online_eCommerce[[#This Row],[Status]])</f>
        <v>21103186</v>
      </c>
      <c r="R1629" s="13">
        <f>SUMIFS(L:L,H:H,Online_eCommerce[[#This Row],[Brand]])</f>
        <v>2267380</v>
      </c>
      <c r="S1629" s="13">
        <f>SUMIF(H:H,Online_eCommerce[[#This Row],[Brand]],M:M)</f>
        <v>2947594</v>
      </c>
      <c r="T1629" s="13">
        <f>SUMIF(N:N,Online_eCommerce[[#This Row],[Assigned Supervisor]],L:L)</f>
        <v>14373360</v>
      </c>
    </row>
    <row r="1630" spans="1:20" x14ac:dyDescent="0.3">
      <c r="A1630" t="s">
        <v>2532</v>
      </c>
      <c r="B1630" t="s">
        <v>215</v>
      </c>
      <c r="C1630" t="s">
        <v>181</v>
      </c>
      <c r="D1630" t="s">
        <v>2522</v>
      </c>
      <c r="E1630" t="s">
        <v>46</v>
      </c>
      <c r="F1630" t="s">
        <v>174</v>
      </c>
      <c r="G1630" t="s">
        <v>60</v>
      </c>
      <c r="H1630" t="s">
        <v>61</v>
      </c>
      <c r="I1630">
        <v>1150</v>
      </c>
      <c r="J1630">
        <v>1495</v>
      </c>
      <c r="K1630">
        <v>3</v>
      </c>
      <c r="L1630">
        <v>3450</v>
      </c>
      <c r="M1630">
        <v>4485</v>
      </c>
      <c r="N1630" t="s">
        <v>42</v>
      </c>
      <c r="O1630">
        <f t="shared" si="50"/>
        <v>3315</v>
      </c>
      <c r="P1630" s="13">
        <f t="shared" si="51"/>
        <v>2577458</v>
      </c>
      <c r="Q1630" s="13">
        <f>SUMIFS(M:M,E:E,Online_eCommerce[[#This Row],[Status]])</f>
        <v>28620410</v>
      </c>
      <c r="R1630" s="13">
        <f>SUMIFS(L:L,H:H,Online_eCommerce[[#This Row],[Brand]])</f>
        <v>10950150</v>
      </c>
      <c r="S1630" s="13">
        <f>SUMIF(H:H,Online_eCommerce[[#This Row],[Brand]],M:M)</f>
        <v>14235195</v>
      </c>
      <c r="T1630" s="13">
        <f>SUMIF(N:N,Online_eCommerce[[#This Row],[Assigned Supervisor]],L:L)</f>
        <v>12261500</v>
      </c>
    </row>
    <row r="1631" spans="1:20" hidden="1" x14ac:dyDescent="0.3">
      <c r="A1631" t="s">
        <v>2533</v>
      </c>
      <c r="B1631" t="s">
        <v>215</v>
      </c>
      <c r="C1631" t="s">
        <v>185</v>
      </c>
      <c r="D1631" t="s">
        <v>2522</v>
      </c>
      <c r="E1631" t="s">
        <v>96</v>
      </c>
      <c r="F1631" t="s">
        <v>179</v>
      </c>
      <c r="G1631" t="s">
        <v>66</v>
      </c>
      <c r="H1631" t="s">
        <v>21</v>
      </c>
      <c r="I1631">
        <v>350</v>
      </c>
      <c r="J1631">
        <v>455</v>
      </c>
      <c r="K1631">
        <v>1</v>
      </c>
      <c r="L1631">
        <v>350</v>
      </c>
      <c r="M1631">
        <v>455</v>
      </c>
      <c r="N1631" t="s">
        <v>50</v>
      </c>
      <c r="O1631">
        <f t="shared" si="50"/>
        <v>1690</v>
      </c>
      <c r="P1631" s="13">
        <f t="shared" si="51"/>
        <v>2091596</v>
      </c>
      <c r="Q1631" s="13">
        <f>SUMIFS(M:M,E:E,Online_eCommerce[[#This Row],[Status]])</f>
        <v>21233992</v>
      </c>
      <c r="R1631" s="13">
        <f>SUMIFS(L:L,H:H,Online_eCommerce[[#This Row],[Brand]])</f>
        <v>12435650</v>
      </c>
      <c r="S1631" s="13">
        <f>SUMIF(H:H,Online_eCommerce[[#This Row],[Brand]],M:M)</f>
        <v>16166345</v>
      </c>
      <c r="T1631" s="13">
        <f>SUMIF(N:N,Online_eCommerce[[#This Row],[Assigned Supervisor]],L:L)</f>
        <v>12100590</v>
      </c>
    </row>
    <row r="1632" spans="1:20" hidden="1" x14ac:dyDescent="0.3">
      <c r="A1632" t="s">
        <v>2534</v>
      </c>
      <c r="B1632" t="s">
        <v>215</v>
      </c>
      <c r="C1632" t="s">
        <v>189</v>
      </c>
      <c r="D1632" t="s">
        <v>2522</v>
      </c>
      <c r="E1632" t="s">
        <v>18</v>
      </c>
      <c r="F1632" t="s">
        <v>183</v>
      </c>
      <c r="G1632" t="s">
        <v>71</v>
      </c>
      <c r="H1632" t="s">
        <v>61</v>
      </c>
      <c r="I1632">
        <v>9500</v>
      </c>
      <c r="J1632">
        <v>12350</v>
      </c>
      <c r="K1632">
        <v>4</v>
      </c>
      <c r="L1632">
        <v>38000</v>
      </c>
      <c r="M1632">
        <v>49400</v>
      </c>
      <c r="N1632" t="s">
        <v>56</v>
      </c>
      <c r="O1632">
        <f t="shared" si="50"/>
        <v>9750</v>
      </c>
      <c r="P1632" s="13">
        <f t="shared" si="51"/>
        <v>2740777</v>
      </c>
      <c r="Q1632" s="13">
        <f>SUMIFS(M:M,E:E,Online_eCommerce[[#This Row],[Status]])</f>
        <v>28340455</v>
      </c>
      <c r="R1632" s="13">
        <f>SUMIFS(L:L,H:H,Online_eCommerce[[#This Row],[Brand]])</f>
        <v>10950150</v>
      </c>
      <c r="S1632" s="13">
        <f>SUMIF(H:H,Online_eCommerce[[#This Row],[Brand]],M:M)</f>
        <v>14235195</v>
      </c>
      <c r="T1632" s="13">
        <f>SUMIF(N:N,Online_eCommerce[[#This Row],[Assigned Supervisor]],L:L)</f>
        <v>11733610</v>
      </c>
    </row>
    <row r="1633" spans="1:20" hidden="1" x14ac:dyDescent="0.3">
      <c r="A1633" t="s">
        <v>2535</v>
      </c>
      <c r="B1633" t="s">
        <v>215</v>
      </c>
      <c r="C1633" t="s">
        <v>193</v>
      </c>
      <c r="D1633" t="s">
        <v>2522</v>
      </c>
      <c r="E1633" t="s">
        <v>161</v>
      </c>
      <c r="F1633" t="s">
        <v>2536</v>
      </c>
      <c r="G1633" t="s">
        <v>77</v>
      </c>
      <c r="H1633" t="s">
        <v>142</v>
      </c>
      <c r="I1633">
        <v>10000</v>
      </c>
      <c r="J1633">
        <v>13000</v>
      </c>
      <c r="K1633">
        <v>3</v>
      </c>
      <c r="L1633">
        <v>30000</v>
      </c>
      <c r="M1633">
        <v>39000</v>
      </c>
      <c r="N1633" t="s">
        <v>22</v>
      </c>
      <c r="O1633">
        <f t="shared" si="50"/>
        <v>39000</v>
      </c>
      <c r="P1633" s="13">
        <f t="shared" si="51"/>
        <v>2074774</v>
      </c>
      <c r="Q1633" s="13">
        <f>SUMIFS(M:M,E:E,Online_eCommerce[[#This Row],[Status]])</f>
        <v>21103186</v>
      </c>
      <c r="R1633" s="13">
        <f>SUMIFS(L:L,H:H,Online_eCommerce[[#This Row],[Brand]])</f>
        <v>6192500</v>
      </c>
      <c r="S1633" s="13">
        <f>SUMIF(H:H,Online_eCommerce[[#This Row],[Brand]],M:M)</f>
        <v>8050250</v>
      </c>
      <c r="T1633" s="13">
        <f>SUMIF(N:N,Online_eCommerce[[#This Row],[Assigned Supervisor]],L:L)</f>
        <v>13693220</v>
      </c>
    </row>
    <row r="1634" spans="1:20" x14ac:dyDescent="0.3">
      <c r="A1634" t="s">
        <v>2537</v>
      </c>
      <c r="B1634" t="s">
        <v>215</v>
      </c>
      <c r="C1634" t="s">
        <v>197</v>
      </c>
      <c r="D1634" t="s">
        <v>2522</v>
      </c>
      <c r="E1634" t="s">
        <v>46</v>
      </c>
      <c r="F1634" t="s">
        <v>2538</v>
      </c>
      <c r="G1634" t="s">
        <v>20</v>
      </c>
      <c r="H1634" t="s">
        <v>21</v>
      </c>
      <c r="I1634">
        <v>6500</v>
      </c>
      <c r="J1634">
        <v>8450</v>
      </c>
      <c r="K1634">
        <v>4</v>
      </c>
      <c r="L1634">
        <v>26000</v>
      </c>
      <c r="M1634">
        <v>33800</v>
      </c>
      <c r="N1634" t="s">
        <v>28</v>
      </c>
      <c r="O1634">
        <f t="shared" si="50"/>
        <v>8450</v>
      </c>
      <c r="P1634" s="13">
        <f t="shared" si="51"/>
        <v>2829840</v>
      </c>
      <c r="Q1634" s="13">
        <f>SUMIFS(M:M,E:E,Online_eCommerce[[#This Row],[Status]])</f>
        <v>28620410</v>
      </c>
      <c r="R1634" s="13">
        <f>SUMIFS(L:L,H:H,Online_eCommerce[[#This Row],[Brand]])</f>
        <v>12435650</v>
      </c>
      <c r="S1634" s="13">
        <f>SUMIF(H:H,Online_eCommerce[[#This Row],[Brand]],M:M)</f>
        <v>16166345</v>
      </c>
      <c r="T1634" s="13">
        <f>SUMIF(N:N,Online_eCommerce[[#This Row],[Assigned Supervisor]],L:L)</f>
        <v>12220830</v>
      </c>
    </row>
    <row r="1635" spans="1:20" hidden="1" x14ac:dyDescent="0.3">
      <c r="A1635" t="s">
        <v>2539</v>
      </c>
      <c r="B1635" t="s">
        <v>215</v>
      </c>
      <c r="C1635" t="s">
        <v>199</v>
      </c>
      <c r="D1635" t="s">
        <v>2522</v>
      </c>
      <c r="E1635" t="s">
        <v>96</v>
      </c>
      <c r="F1635" t="s">
        <v>2540</v>
      </c>
      <c r="G1635" t="s">
        <v>26</v>
      </c>
      <c r="H1635" t="s">
        <v>27</v>
      </c>
      <c r="I1635">
        <v>8500</v>
      </c>
      <c r="J1635">
        <v>11050</v>
      </c>
      <c r="K1635">
        <v>3</v>
      </c>
      <c r="L1635">
        <v>25500</v>
      </c>
      <c r="M1635">
        <v>33150</v>
      </c>
      <c r="N1635" t="s">
        <v>35</v>
      </c>
      <c r="O1635">
        <f t="shared" si="50"/>
        <v>33150</v>
      </c>
      <c r="P1635" s="13">
        <f t="shared" si="51"/>
        <v>1947361</v>
      </c>
      <c r="Q1635" s="13">
        <f>SUMIFS(M:M,E:E,Online_eCommerce[[#This Row],[Status]])</f>
        <v>21233992</v>
      </c>
      <c r="R1635" s="13">
        <f>SUMIFS(L:L,H:H,Online_eCommerce[[#This Row],[Brand]])</f>
        <v>14431000</v>
      </c>
      <c r="S1635" s="13">
        <f>SUMIF(H:H,Online_eCommerce[[#This Row],[Brand]],M:M)</f>
        <v>18760300</v>
      </c>
      <c r="T1635" s="13">
        <f>SUMIF(N:N,Online_eCommerce[[#This Row],[Assigned Supervisor]],L:L)</f>
        <v>14373360</v>
      </c>
    </row>
    <row r="1636" spans="1:20" hidden="1" x14ac:dyDescent="0.3">
      <c r="A1636" t="s">
        <v>2541</v>
      </c>
      <c r="B1636" t="s">
        <v>215</v>
      </c>
      <c r="C1636" t="s">
        <v>203</v>
      </c>
      <c r="D1636" t="s">
        <v>2522</v>
      </c>
      <c r="E1636" t="s">
        <v>18</v>
      </c>
      <c r="F1636" t="s">
        <v>32</v>
      </c>
      <c r="G1636" t="s">
        <v>33</v>
      </c>
      <c r="H1636" t="s">
        <v>34</v>
      </c>
      <c r="I1636">
        <v>7000</v>
      </c>
      <c r="J1636">
        <v>9100</v>
      </c>
      <c r="K1636">
        <v>1</v>
      </c>
      <c r="L1636">
        <v>7000</v>
      </c>
      <c r="M1636">
        <v>9100</v>
      </c>
      <c r="N1636" t="s">
        <v>42</v>
      </c>
      <c r="O1636">
        <f t="shared" si="50"/>
        <v>18200</v>
      </c>
      <c r="P1636" s="13">
        <f t="shared" si="51"/>
        <v>2559635</v>
      </c>
      <c r="Q1636" s="13">
        <f>SUMIFS(M:M,E:E,Online_eCommerce[[#This Row],[Status]])</f>
        <v>28340455</v>
      </c>
      <c r="R1636" s="13">
        <f>SUMIFS(L:L,H:H,Online_eCommerce[[#This Row],[Brand]])</f>
        <v>10087000</v>
      </c>
      <c r="S1636" s="13">
        <f>SUMIF(H:H,Online_eCommerce[[#This Row],[Brand]],M:M)</f>
        <v>13113100</v>
      </c>
      <c r="T1636" s="13">
        <f>SUMIF(N:N,Online_eCommerce[[#This Row],[Assigned Supervisor]],L:L)</f>
        <v>12261500</v>
      </c>
    </row>
    <row r="1637" spans="1:20" hidden="1" x14ac:dyDescent="0.3">
      <c r="A1637" t="s">
        <v>2542</v>
      </c>
      <c r="B1637" t="s">
        <v>215</v>
      </c>
      <c r="C1637" t="s">
        <v>205</v>
      </c>
      <c r="D1637" t="s">
        <v>2522</v>
      </c>
      <c r="E1637" t="s">
        <v>161</v>
      </c>
      <c r="F1637" t="s">
        <v>2543</v>
      </c>
      <c r="G1637" t="s">
        <v>40</v>
      </c>
      <c r="H1637" t="s">
        <v>41</v>
      </c>
      <c r="I1637">
        <v>6550</v>
      </c>
      <c r="J1637">
        <v>8515</v>
      </c>
      <c r="K1637">
        <v>2</v>
      </c>
      <c r="L1637">
        <v>13100</v>
      </c>
      <c r="M1637">
        <v>17030</v>
      </c>
      <c r="N1637" t="s">
        <v>50</v>
      </c>
      <c r="O1637">
        <f t="shared" si="50"/>
        <v>25545</v>
      </c>
      <c r="P1637" s="13">
        <f t="shared" si="51"/>
        <v>1983254</v>
      </c>
      <c r="Q1637" s="13">
        <f>SUMIFS(M:M,E:E,Online_eCommerce[[#This Row],[Status]])</f>
        <v>21103186</v>
      </c>
      <c r="R1637" s="13">
        <f>SUMIFS(L:L,H:H,Online_eCommerce[[#This Row],[Brand]])</f>
        <v>4260400</v>
      </c>
      <c r="S1637" s="13">
        <f>SUMIF(H:H,Online_eCommerce[[#This Row],[Brand]],M:M)</f>
        <v>5538520</v>
      </c>
      <c r="T1637" s="13">
        <f>SUMIF(N:N,Online_eCommerce[[#This Row],[Assigned Supervisor]],L:L)</f>
        <v>12100590</v>
      </c>
    </row>
    <row r="1638" spans="1:20" x14ac:dyDescent="0.3">
      <c r="A1638" t="s">
        <v>2544</v>
      </c>
      <c r="B1638" t="s">
        <v>215</v>
      </c>
      <c r="C1638" t="s">
        <v>208</v>
      </c>
      <c r="D1638" t="s">
        <v>2522</v>
      </c>
      <c r="E1638" t="s">
        <v>46</v>
      </c>
      <c r="F1638" t="s">
        <v>47</v>
      </c>
      <c r="G1638" t="s">
        <v>334</v>
      </c>
      <c r="H1638" t="s">
        <v>49</v>
      </c>
      <c r="I1638">
        <v>7650</v>
      </c>
      <c r="J1638">
        <v>9945</v>
      </c>
      <c r="K1638">
        <v>4</v>
      </c>
      <c r="L1638">
        <v>30600</v>
      </c>
      <c r="M1638">
        <v>39780</v>
      </c>
      <c r="N1638" t="s">
        <v>56</v>
      </c>
      <c r="O1638">
        <f t="shared" si="50"/>
        <v>39780</v>
      </c>
      <c r="P1638" s="13">
        <f t="shared" si="51"/>
        <v>2746575</v>
      </c>
      <c r="Q1638" s="13">
        <f>SUMIFS(M:M,E:E,Online_eCommerce[[#This Row],[Status]])</f>
        <v>28620410</v>
      </c>
      <c r="R1638" s="13">
        <f>SUMIFS(L:L,H:H,Online_eCommerce[[#This Row],[Brand]])</f>
        <v>4528350</v>
      </c>
      <c r="S1638" s="13">
        <f>SUMIF(H:H,Online_eCommerce[[#This Row],[Brand]],M:M)</f>
        <v>5886855</v>
      </c>
      <c r="T1638" s="13">
        <f>SUMIF(N:N,Online_eCommerce[[#This Row],[Assigned Supervisor]],L:L)</f>
        <v>11733610</v>
      </c>
    </row>
    <row r="1639" spans="1:20" hidden="1" x14ac:dyDescent="0.3">
      <c r="A1639" t="s">
        <v>2545</v>
      </c>
      <c r="B1639" t="s">
        <v>215</v>
      </c>
      <c r="C1639" t="s">
        <v>211</v>
      </c>
      <c r="D1639" t="s">
        <v>2522</v>
      </c>
      <c r="E1639" t="s">
        <v>96</v>
      </c>
      <c r="F1639" t="s">
        <v>53</v>
      </c>
      <c r="G1639" t="s">
        <v>54</v>
      </c>
      <c r="H1639" t="s">
        <v>55</v>
      </c>
      <c r="I1639">
        <v>1150</v>
      </c>
      <c r="J1639">
        <v>1495</v>
      </c>
      <c r="K1639">
        <v>1</v>
      </c>
      <c r="L1639">
        <v>1150</v>
      </c>
      <c r="M1639">
        <v>1495</v>
      </c>
      <c r="N1639" t="s">
        <v>22</v>
      </c>
      <c r="O1639">
        <f t="shared" si="50"/>
        <v>2990</v>
      </c>
      <c r="P1639" s="13">
        <f t="shared" si="51"/>
        <v>1809847</v>
      </c>
      <c r="Q1639" s="13">
        <f>SUMIFS(M:M,E:E,Online_eCommerce[[#This Row],[Status]])</f>
        <v>21233992</v>
      </c>
      <c r="R1639" s="13">
        <f>SUMIFS(L:L,H:H,Online_eCommerce[[#This Row],[Brand]])</f>
        <v>2267380</v>
      </c>
      <c r="S1639" s="13">
        <f>SUMIF(H:H,Online_eCommerce[[#This Row],[Brand]],M:M)</f>
        <v>2947594</v>
      </c>
      <c r="T1639" s="13">
        <f>SUMIF(N:N,Online_eCommerce[[#This Row],[Assigned Supervisor]],L:L)</f>
        <v>13693220</v>
      </c>
    </row>
    <row r="1640" spans="1:20" hidden="1" x14ac:dyDescent="0.3">
      <c r="A1640" t="s">
        <v>2546</v>
      </c>
      <c r="B1640" t="s">
        <v>215</v>
      </c>
      <c r="C1640" t="s">
        <v>16</v>
      </c>
      <c r="D1640" t="s">
        <v>2522</v>
      </c>
      <c r="E1640" t="s">
        <v>18</v>
      </c>
      <c r="F1640" t="s">
        <v>59</v>
      </c>
      <c r="G1640" t="s">
        <v>60</v>
      </c>
      <c r="H1640" t="s">
        <v>61</v>
      </c>
      <c r="I1640">
        <v>850</v>
      </c>
      <c r="J1640">
        <v>1105</v>
      </c>
      <c r="K1640">
        <v>1</v>
      </c>
      <c r="L1640">
        <v>850</v>
      </c>
      <c r="M1640">
        <v>1105</v>
      </c>
      <c r="N1640" t="s">
        <v>28</v>
      </c>
      <c r="O1640">
        <f t="shared" si="50"/>
        <v>3315</v>
      </c>
      <c r="P1640" s="13">
        <f t="shared" si="51"/>
        <v>2751814</v>
      </c>
      <c r="Q1640" s="13">
        <f>SUMIFS(M:M,E:E,Online_eCommerce[[#This Row],[Status]])</f>
        <v>28340455</v>
      </c>
      <c r="R1640" s="13">
        <f>SUMIFS(L:L,H:H,Online_eCommerce[[#This Row],[Brand]])</f>
        <v>10950150</v>
      </c>
      <c r="S1640" s="13">
        <f>SUMIF(H:H,Online_eCommerce[[#This Row],[Brand]],M:M)</f>
        <v>14235195</v>
      </c>
      <c r="T1640" s="13">
        <f>SUMIF(N:N,Online_eCommerce[[#This Row],[Assigned Supervisor]],L:L)</f>
        <v>12220830</v>
      </c>
    </row>
    <row r="1641" spans="1:20" hidden="1" x14ac:dyDescent="0.3">
      <c r="A1641" t="s">
        <v>2547</v>
      </c>
      <c r="B1641" t="s">
        <v>215</v>
      </c>
      <c r="C1641" t="s">
        <v>24</v>
      </c>
      <c r="D1641" t="s">
        <v>2522</v>
      </c>
      <c r="E1641" t="s">
        <v>161</v>
      </c>
      <c r="F1641" t="s">
        <v>65</v>
      </c>
      <c r="G1641" t="s">
        <v>66</v>
      </c>
      <c r="H1641" t="s">
        <v>21</v>
      </c>
      <c r="I1641">
        <v>650</v>
      </c>
      <c r="J1641">
        <v>845</v>
      </c>
      <c r="K1641">
        <v>1</v>
      </c>
      <c r="L1641">
        <v>650</v>
      </c>
      <c r="M1641">
        <v>845</v>
      </c>
      <c r="N1641" t="s">
        <v>35</v>
      </c>
      <c r="O1641">
        <f t="shared" si="50"/>
        <v>1690</v>
      </c>
      <c r="P1641" s="13">
        <f t="shared" si="51"/>
        <v>2009540</v>
      </c>
      <c r="Q1641" s="13">
        <f>SUMIFS(M:M,E:E,Online_eCommerce[[#This Row],[Status]])</f>
        <v>21103186</v>
      </c>
      <c r="R1641" s="13">
        <f>SUMIFS(L:L,H:H,Online_eCommerce[[#This Row],[Brand]])</f>
        <v>12435650</v>
      </c>
      <c r="S1641" s="13">
        <f>SUMIF(H:H,Online_eCommerce[[#This Row],[Brand]],M:M)</f>
        <v>16166345</v>
      </c>
      <c r="T1641" s="13">
        <f>SUMIF(N:N,Online_eCommerce[[#This Row],[Assigned Supervisor]],L:L)</f>
        <v>14373360</v>
      </c>
    </row>
    <row r="1642" spans="1:20" x14ac:dyDescent="0.3">
      <c r="A1642" t="s">
        <v>2548</v>
      </c>
      <c r="B1642" t="s">
        <v>215</v>
      </c>
      <c r="C1642" t="s">
        <v>31</v>
      </c>
      <c r="D1642" t="s">
        <v>2522</v>
      </c>
      <c r="E1642" t="s">
        <v>46</v>
      </c>
      <c r="F1642" t="s">
        <v>70</v>
      </c>
      <c r="G1642" t="s">
        <v>71</v>
      </c>
      <c r="H1642" t="s">
        <v>61</v>
      </c>
      <c r="I1642">
        <v>7500</v>
      </c>
      <c r="J1642">
        <v>9750</v>
      </c>
      <c r="K1642">
        <v>4</v>
      </c>
      <c r="L1642">
        <v>30000</v>
      </c>
      <c r="M1642">
        <v>39000</v>
      </c>
      <c r="N1642" t="s">
        <v>42</v>
      </c>
      <c r="O1642">
        <f t="shared" si="50"/>
        <v>9750</v>
      </c>
      <c r="P1642" s="13">
        <f t="shared" si="51"/>
        <v>2865746</v>
      </c>
      <c r="Q1642" s="13">
        <f>SUMIFS(M:M,E:E,Online_eCommerce[[#This Row],[Status]])</f>
        <v>28620410</v>
      </c>
      <c r="R1642" s="13">
        <f>SUMIFS(L:L,H:H,Online_eCommerce[[#This Row],[Brand]])</f>
        <v>10950150</v>
      </c>
      <c r="S1642" s="13">
        <f>SUMIF(H:H,Online_eCommerce[[#This Row],[Brand]],M:M)</f>
        <v>14235195</v>
      </c>
      <c r="T1642" s="13">
        <f>SUMIF(N:N,Online_eCommerce[[#This Row],[Assigned Supervisor]],L:L)</f>
        <v>12261500</v>
      </c>
    </row>
    <row r="1643" spans="1:20" hidden="1" x14ac:dyDescent="0.3">
      <c r="A1643" t="s">
        <v>2549</v>
      </c>
      <c r="B1643" t="s">
        <v>215</v>
      </c>
      <c r="C1643" t="s">
        <v>38</v>
      </c>
      <c r="D1643" t="s">
        <v>2522</v>
      </c>
      <c r="E1643" t="s">
        <v>96</v>
      </c>
      <c r="F1643" t="s">
        <v>2536</v>
      </c>
      <c r="G1643" t="s">
        <v>77</v>
      </c>
      <c r="H1643" t="s">
        <v>78</v>
      </c>
      <c r="I1643">
        <v>10000</v>
      </c>
      <c r="J1643">
        <v>13000</v>
      </c>
      <c r="K1643">
        <v>1</v>
      </c>
      <c r="L1643">
        <v>10000</v>
      </c>
      <c r="M1643">
        <v>13000</v>
      </c>
      <c r="N1643" t="s">
        <v>50</v>
      </c>
      <c r="O1643">
        <f t="shared" si="50"/>
        <v>39000</v>
      </c>
      <c r="P1643" s="13">
        <f t="shared" si="51"/>
        <v>1933997</v>
      </c>
      <c r="Q1643" s="13">
        <f>SUMIFS(M:M,E:E,Online_eCommerce[[#This Row],[Status]])</f>
        <v>21233992</v>
      </c>
      <c r="R1643" s="13">
        <f>SUMIFS(L:L,H:H,Online_eCommerce[[#This Row],[Brand]])</f>
        <v>3720000</v>
      </c>
      <c r="S1643" s="13">
        <f>SUMIF(H:H,Online_eCommerce[[#This Row],[Brand]],M:M)</f>
        <v>4836000</v>
      </c>
      <c r="T1643" s="13">
        <f>SUMIF(N:N,Online_eCommerce[[#This Row],[Assigned Supervisor]],L:L)</f>
        <v>12100590</v>
      </c>
    </row>
    <row r="1644" spans="1:20" hidden="1" x14ac:dyDescent="0.3">
      <c r="A1644" t="s">
        <v>2550</v>
      </c>
      <c r="B1644" t="s">
        <v>215</v>
      </c>
      <c r="C1644" t="s">
        <v>45</v>
      </c>
      <c r="D1644" t="s">
        <v>2551</v>
      </c>
      <c r="E1644" t="s">
        <v>18</v>
      </c>
      <c r="F1644" t="s">
        <v>2552</v>
      </c>
      <c r="G1644" t="s">
        <v>20</v>
      </c>
      <c r="H1644" t="s">
        <v>21</v>
      </c>
      <c r="I1644">
        <v>10500</v>
      </c>
      <c r="J1644">
        <v>13650</v>
      </c>
      <c r="K1644">
        <v>3</v>
      </c>
      <c r="L1644">
        <v>31500</v>
      </c>
      <c r="M1644">
        <v>40950</v>
      </c>
      <c r="N1644" t="s">
        <v>56</v>
      </c>
      <c r="O1644">
        <f t="shared" si="50"/>
        <v>8450</v>
      </c>
      <c r="P1644" s="13">
        <f t="shared" si="51"/>
        <v>2842554</v>
      </c>
      <c r="Q1644" s="13">
        <f>SUMIFS(M:M,E:E,Online_eCommerce[[#This Row],[Status]])</f>
        <v>28340455</v>
      </c>
      <c r="R1644" s="13">
        <f>SUMIFS(L:L,H:H,Online_eCommerce[[#This Row],[Brand]])</f>
        <v>12435650</v>
      </c>
      <c r="S1644" s="13">
        <f>SUMIF(H:H,Online_eCommerce[[#This Row],[Brand]],M:M)</f>
        <v>16166345</v>
      </c>
      <c r="T1644" s="13">
        <f>SUMIF(N:N,Online_eCommerce[[#This Row],[Assigned Supervisor]],L:L)</f>
        <v>11733610</v>
      </c>
    </row>
    <row r="1645" spans="1:20" hidden="1" x14ac:dyDescent="0.3">
      <c r="A1645" t="s">
        <v>2553</v>
      </c>
      <c r="B1645" t="s">
        <v>215</v>
      </c>
      <c r="C1645" t="s">
        <v>52</v>
      </c>
      <c r="D1645" t="s">
        <v>2554</v>
      </c>
      <c r="E1645" t="s">
        <v>161</v>
      </c>
      <c r="F1645" t="s">
        <v>88</v>
      </c>
      <c r="G1645" t="s">
        <v>26</v>
      </c>
      <c r="H1645" t="s">
        <v>27</v>
      </c>
      <c r="I1645">
        <v>8500</v>
      </c>
      <c r="J1645">
        <v>11050</v>
      </c>
      <c r="K1645">
        <v>4</v>
      </c>
      <c r="L1645">
        <v>34000</v>
      </c>
      <c r="M1645">
        <v>44200</v>
      </c>
      <c r="N1645" t="s">
        <v>22</v>
      </c>
      <c r="O1645">
        <f t="shared" si="50"/>
        <v>33150</v>
      </c>
      <c r="P1645" s="13">
        <f t="shared" si="51"/>
        <v>1955044</v>
      </c>
      <c r="Q1645" s="13">
        <f>SUMIFS(M:M,E:E,Online_eCommerce[[#This Row],[Status]])</f>
        <v>21103186</v>
      </c>
      <c r="R1645" s="13">
        <f>SUMIFS(L:L,H:H,Online_eCommerce[[#This Row],[Brand]])</f>
        <v>14431000</v>
      </c>
      <c r="S1645" s="13">
        <f>SUMIF(H:H,Online_eCommerce[[#This Row],[Brand]],M:M)</f>
        <v>18760300</v>
      </c>
      <c r="T1645" s="13">
        <f>SUMIF(N:N,Online_eCommerce[[#This Row],[Assigned Supervisor]],L:L)</f>
        <v>13693220</v>
      </c>
    </row>
    <row r="1646" spans="1:20" x14ac:dyDescent="0.3">
      <c r="A1646" t="s">
        <v>2555</v>
      </c>
      <c r="B1646" t="s">
        <v>215</v>
      </c>
      <c r="C1646" t="s">
        <v>58</v>
      </c>
      <c r="D1646" t="s">
        <v>2556</v>
      </c>
      <c r="E1646" t="s">
        <v>46</v>
      </c>
      <c r="F1646" t="s">
        <v>32</v>
      </c>
      <c r="G1646" t="s">
        <v>33</v>
      </c>
      <c r="H1646" t="s">
        <v>34</v>
      </c>
      <c r="I1646">
        <v>7000</v>
      </c>
      <c r="J1646">
        <v>9100</v>
      </c>
      <c r="K1646">
        <v>4</v>
      </c>
      <c r="L1646">
        <v>28000</v>
      </c>
      <c r="M1646">
        <v>36400</v>
      </c>
      <c r="N1646" t="s">
        <v>28</v>
      </c>
      <c r="O1646">
        <f t="shared" si="50"/>
        <v>18200</v>
      </c>
      <c r="P1646" s="13">
        <f t="shared" si="51"/>
        <v>2629211</v>
      </c>
      <c r="Q1646" s="13">
        <f>SUMIFS(M:M,E:E,Online_eCommerce[[#This Row],[Status]])</f>
        <v>28620410</v>
      </c>
      <c r="R1646" s="13">
        <f>SUMIFS(L:L,H:H,Online_eCommerce[[#This Row],[Brand]])</f>
        <v>10087000</v>
      </c>
      <c r="S1646" s="13">
        <f>SUMIF(H:H,Online_eCommerce[[#This Row],[Brand]],M:M)</f>
        <v>13113100</v>
      </c>
      <c r="T1646" s="13">
        <f>SUMIF(N:N,Online_eCommerce[[#This Row],[Assigned Supervisor]],L:L)</f>
        <v>12220830</v>
      </c>
    </row>
    <row r="1647" spans="1:20" hidden="1" x14ac:dyDescent="0.3">
      <c r="A1647" t="s">
        <v>2557</v>
      </c>
      <c r="B1647" t="s">
        <v>215</v>
      </c>
      <c r="C1647" t="s">
        <v>63</v>
      </c>
      <c r="D1647" t="s">
        <v>2558</v>
      </c>
      <c r="E1647" t="s">
        <v>96</v>
      </c>
      <c r="F1647" t="s">
        <v>2559</v>
      </c>
      <c r="G1647" t="s">
        <v>40</v>
      </c>
      <c r="H1647" t="s">
        <v>41</v>
      </c>
      <c r="I1647">
        <v>1680</v>
      </c>
      <c r="J1647">
        <v>2184</v>
      </c>
      <c r="K1647">
        <v>1</v>
      </c>
      <c r="L1647">
        <v>1680</v>
      </c>
      <c r="M1647">
        <v>2184</v>
      </c>
      <c r="N1647" t="s">
        <v>35</v>
      </c>
      <c r="O1647">
        <f t="shared" si="50"/>
        <v>25545</v>
      </c>
      <c r="P1647" s="13">
        <f t="shared" si="51"/>
        <v>2016131</v>
      </c>
      <c r="Q1647" s="13">
        <f>SUMIFS(M:M,E:E,Online_eCommerce[[#This Row],[Status]])</f>
        <v>21233992</v>
      </c>
      <c r="R1647" s="13">
        <f>SUMIFS(L:L,H:H,Online_eCommerce[[#This Row],[Brand]])</f>
        <v>4260400</v>
      </c>
      <c r="S1647" s="13">
        <f>SUMIF(H:H,Online_eCommerce[[#This Row],[Brand]],M:M)</f>
        <v>5538520</v>
      </c>
      <c r="T1647" s="13">
        <f>SUMIF(N:N,Online_eCommerce[[#This Row],[Assigned Supervisor]],L:L)</f>
        <v>14373360</v>
      </c>
    </row>
    <row r="1648" spans="1:20" hidden="1" x14ac:dyDescent="0.3">
      <c r="A1648" t="s">
        <v>2560</v>
      </c>
      <c r="B1648" t="s">
        <v>215</v>
      </c>
      <c r="C1648" t="s">
        <v>68</v>
      </c>
      <c r="D1648" t="s">
        <v>2561</v>
      </c>
      <c r="E1648" t="s">
        <v>18</v>
      </c>
      <c r="F1648" t="s">
        <v>101</v>
      </c>
      <c r="G1648" t="s">
        <v>334</v>
      </c>
      <c r="H1648" t="s">
        <v>102</v>
      </c>
      <c r="I1648">
        <v>6540</v>
      </c>
      <c r="J1648">
        <v>8502</v>
      </c>
      <c r="K1648">
        <v>2</v>
      </c>
      <c r="L1648">
        <v>13080</v>
      </c>
      <c r="M1648">
        <v>17004</v>
      </c>
      <c r="N1648" t="s">
        <v>42</v>
      </c>
      <c r="O1648">
        <f t="shared" si="50"/>
        <v>39780</v>
      </c>
      <c r="P1648" s="13">
        <f t="shared" si="51"/>
        <v>2974621</v>
      </c>
      <c r="Q1648" s="13">
        <f>SUMIFS(M:M,E:E,Online_eCommerce[[#This Row],[Status]])</f>
        <v>28340455</v>
      </c>
      <c r="R1648" s="13">
        <f>SUMIFS(L:L,H:H,Online_eCommerce[[#This Row],[Brand]])</f>
        <v>2465580</v>
      </c>
      <c r="S1648" s="13">
        <f>SUMIF(H:H,Online_eCommerce[[#This Row],[Brand]],M:M)</f>
        <v>3205254</v>
      </c>
      <c r="T1648" s="13">
        <f>SUMIF(N:N,Online_eCommerce[[#This Row],[Assigned Supervisor]],L:L)</f>
        <v>12261500</v>
      </c>
    </row>
    <row r="1649" spans="1:20" hidden="1" x14ac:dyDescent="0.3">
      <c r="A1649" t="s">
        <v>2562</v>
      </c>
      <c r="B1649" t="s">
        <v>215</v>
      </c>
      <c r="C1649" t="s">
        <v>74</v>
      </c>
      <c r="D1649" t="s">
        <v>2561</v>
      </c>
      <c r="E1649" t="s">
        <v>161</v>
      </c>
      <c r="F1649" t="s">
        <v>107</v>
      </c>
      <c r="G1649" t="s">
        <v>54</v>
      </c>
      <c r="H1649" t="s">
        <v>55</v>
      </c>
      <c r="I1649">
        <v>2680</v>
      </c>
      <c r="J1649">
        <v>3484</v>
      </c>
      <c r="K1649">
        <v>3</v>
      </c>
      <c r="L1649">
        <v>8040</v>
      </c>
      <c r="M1649">
        <v>10452</v>
      </c>
      <c r="N1649" t="s">
        <v>50</v>
      </c>
      <c r="O1649">
        <f t="shared" si="50"/>
        <v>2990</v>
      </c>
      <c r="P1649" s="13">
        <f t="shared" si="51"/>
        <v>2144701</v>
      </c>
      <c r="Q1649" s="13">
        <f>SUMIFS(M:M,E:E,Online_eCommerce[[#This Row],[Status]])</f>
        <v>21103186</v>
      </c>
      <c r="R1649" s="13">
        <f>SUMIFS(L:L,H:H,Online_eCommerce[[#This Row],[Brand]])</f>
        <v>2267380</v>
      </c>
      <c r="S1649" s="13">
        <f>SUMIF(H:H,Online_eCommerce[[#This Row],[Brand]],M:M)</f>
        <v>2947594</v>
      </c>
      <c r="T1649" s="13">
        <f>SUMIF(N:N,Online_eCommerce[[#This Row],[Assigned Supervisor]],L:L)</f>
        <v>12100590</v>
      </c>
    </row>
    <row r="1650" spans="1:20" x14ac:dyDescent="0.3">
      <c r="A1650" t="s">
        <v>2563</v>
      </c>
      <c r="B1650" t="s">
        <v>215</v>
      </c>
      <c r="C1650" t="s">
        <v>81</v>
      </c>
      <c r="D1650" t="s">
        <v>2561</v>
      </c>
      <c r="E1650" t="s">
        <v>46</v>
      </c>
      <c r="F1650" t="s">
        <v>112</v>
      </c>
      <c r="G1650" t="s">
        <v>71</v>
      </c>
      <c r="H1650" t="s">
        <v>21</v>
      </c>
      <c r="I1650">
        <v>8250</v>
      </c>
      <c r="J1650">
        <v>10725</v>
      </c>
      <c r="K1650">
        <v>4</v>
      </c>
      <c r="L1650">
        <v>33000</v>
      </c>
      <c r="M1650">
        <v>42900</v>
      </c>
      <c r="N1650" t="s">
        <v>56</v>
      </c>
      <c r="O1650">
        <f t="shared" si="50"/>
        <v>9750</v>
      </c>
      <c r="P1650" s="13">
        <f t="shared" si="51"/>
        <v>2595632</v>
      </c>
      <c r="Q1650" s="13">
        <f>SUMIFS(M:M,E:E,Online_eCommerce[[#This Row],[Status]])</f>
        <v>28620410</v>
      </c>
      <c r="R1650" s="13">
        <f>SUMIFS(L:L,H:H,Online_eCommerce[[#This Row],[Brand]])</f>
        <v>12435650</v>
      </c>
      <c r="S1650" s="13">
        <f>SUMIF(H:H,Online_eCommerce[[#This Row],[Brand]],M:M)</f>
        <v>16166345</v>
      </c>
      <c r="T1650" s="13">
        <f>SUMIF(N:N,Online_eCommerce[[#This Row],[Assigned Supervisor]],L:L)</f>
        <v>11733610</v>
      </c>
    </row>
    <row r="1651" spans="1:20" hidden="1" x14ac:dyDescent="0.3">
      <c r="A1651" t="s">
        <v>2564</v>
      </c>
      <c r="B1651" t="s">
        <v>215</v>
      </c>
      <c r="C1651" t="s">
        <v>86</v>
      </c>
      <c r="D1651" t="s">
        <v>2561</v>
      </c>
      <c r="E1651" t="s">
        <v>96</v>
      </c>
      <c r="F1651" t="s">
        <v>2096</v>
      </c>
      <c r="G1651" t="s">
        <v>40</v>
      </c>
      <c r="H1651" t="s">
        <v>21</v>
      </c>
      <c r="I1651">
        <v>2650</v>
      </c>
      <c r="J1651">
        <v>3445</v>
      </c>
      <c r="K1651">
        <v>3</v>
      </c>
      <c r="L1651">
        <v>7950</v>
      </c>
      <c r="M1651">
        <v>10335</v>
      </c>
      <c r="N1651" t="s">
        <v>22</v>
      </c>
      <c r="O1651">
        <f t="shared" si="50"/>
        <v>25545</v>
      </c>
      <c r="P1651" s="13">
        <f t="shared" si="51"/>
        <v>1941225</v>
      </c>
      <c r="Q1651" s="13">
        <f>SUMIFS(M:M,E:E,Online_eCommerce[[#This Row],[Status]])</f>
        <v>21233992</v>
      </c>
      <c r="R1651" s="13">
        <f>SUMIFS(L:L,H:H,Online_eCommerce[[#This Row],[Brand]])</f>
        <v>12435650</v>
      </c>
      <c r="S1651" s="13">
        <f>SUMIF(H:H,Online_eCommerce[[#This Row],[Brand]],M:M)</f>
        <v>16166345</v>
      </c>
      <c r="T1651" s="13">
        <f>SUMIF(N:N,Online_eCommerce[[#This Row],[Assigned Supervisor]],L:L)</f>
        <v>13693220</v>
      </c>
    </row>
    <row r="1652" spans="1:20" hidden="1" x14ac:dyDescent="0.3">
      <c r="A1652" t="s">
        <v>2565</v>
      </c>
      <c r="B1652" t="s">
        <v>215</v>
      </c>
      <c r="C1652" t="s">
        <v>91</v>
      </c>
      <c r="D1652" t="s">
        <v>2561</v>
      </c>
      <c r="E1652" t="s">
        <v>18</v>
      </c>
      <c r="F1652" t="s">
        <v>121</v>
      </c>
      <c r="G1652" t="s">
        <v>71</v>
      </c>
      <c r="H1652" t="s">
        <v>122</v>
      </c>
      <c r="I1652">
        <v>12550</v>
      </c>
      <c r="J1652">
        <v>16315</v>
      </c>
      <c r="K1652">
        <v>3</v>
      </c>
      <c r="L1652">
        <v>37650</v>
      </c>
      <c r="M1652">
        <v>48945</v>
      </c>
      <c r="N1652" t="s">
        <v>28</v>
      </c>
      <c r="O1652">
        <f t="shared" si="50"/>
        <v>9750</v>
      </c>
      <c r="P1652" s="13">
        <f t="shared" si="51"/>
        <v>2731963</v>
      </c>
      <c r="Q1652" s="13">
        <f>SUMIFS(M:M,E:E,Online_eCommerce[[#This Row],[Status]])</f>
        <v>28340455</v>
      </c>
      <c r="R1652" s="13">
        <f>SUMIFS(L:L,H:H,Online_eCommerce[[#This Row],[Brand]])</f>
        <v>5045100</v>
      </c>
      <c r="S1652" s="13">
        <f>SUMIF(H:H,Online_eCommerce[[#This Row],[Brand]],M:M)</f>
        <v>6558630</v>
      </c>
      <c r="T1652" s="13">
        <f>SUMIF(N:N,Online_eCommerce[[#This Row],[Assigned Supervisor]],L:L)</f>
        <v>12220830</v>
      </c>
    </row>
    <row r="1653" spans="1:20" hidden="1" x14ac:dyDescent="0.3">
      <c r="A1653" t="s">
        <v>2566</v>
      </c>
      <c r="B1653" t="s">
        <v>215</v>
      </c>
      <c r="C1653" t="s">
        <v>94</v>
      </c>
      <c r="D1653" t="s">
        <v>2561</v>
      </c>
      <c r="E1653" t="s">
        <v>161</v>
      </c>
      <c r="F1653" t="s">
        <v>126</v>
      </c>
      <c r="G1653" t="s">
        <v>26</v>
      </c>
      <c r="H1653" t="s">
        <v>27</v>
      </c>
      <c r="I1653">
        <v>14500</v>
      </c>
      <c r="J1653">
        <v>18850</v>
      </c>
      <c r="K1653">
        <v>1</v>
      </c>
      <c r="L1653">
        <v>14500</v>
      </c>
      <c r="M1653">
        <v>18850</v>
      </c>
      <c r="N1653" t="s">
        <v>35</v>
      </c>
      <c r="O1653">
        <f t="shared" si="50"/>
        <v>33150</v>
      </c>
      <c r="P1653" s="13">
        <f t="shared" si="51"/>
        <v>1868256</v>
      </c>
      <c r="Q1653" s="13">
        <f>SUMIFS(M:M,E:E,Online_eCommerce[[#This Row],[Status]])</f>
        <v>21103186</v>
      </c>
      <c r="R1653" s="13">
        <f>SUMIFS(L:L,H:H,Online_eCommerce[[#This Row],[Brand]])</f>
        <v>14431000</v>
      </c>
      <c r="S1653" s="13">
        <f>SUMIF(H:H,Online_eCommerce[[#This Row],[Brand]],M:M)</f>
        <v>18760300</v>
      </c>
      <c r="T1653" s="13">
        <f>SUMIF(N:N,Online_eCommerce[[#This Row],[Assigned Supervisor]],L:L)</f>
        <v>14373360</v>
      </c>
    </row>
    <row r="1654" spans="1:20" x14ac:dyDescent="0.3">
      <c r="A1654" t="s">
        <v>2567</v>
      </c>
      <c r="B1654" t="s">
        <v>215</v>
      </c>
      <c r="C1654" t="s">
        <v>99</v>
      </c>
      <c r="D1654" t="s">
        <v>2561</v>
      </c>
      <c r="E1654" t="s">
        <v>46</v>
      </c>
      <c r="F1654" t="s">
        <v>129</v>
      </c>
      <c r="G1654" t="s">
        <v>60</v>
      </c>
      <c r="H1654" t="s">
        <v>61</v>
      </c>
      <c r="I1654">
        <v>800</v>
      </c>
      <c r="J1654">
        <v>1040</v>
      </c>
      <c r="K1654">
        <v>2</v>
      </c>
      <c r="L1654">
        <v>1600</v>
      </c>
      <c r="M1654">
        <v>2080</v>
      </c>
      <c r="N1654" t="s">
        <v>42</v>
      </c>
      <c r="O1654">
        <f t="shared" si="50"/>
        <v>3315</v>
      </c>
      <c r="P1654" s="13">
        <f t="shared" si="51"/>
        <v>2651233</v>
      </c>
      <c r="Q1654" s="13">
        <f>SUMIFS(M:M,E:E,Online_eCommerce[[#This Row],[Status]])</f>
        <v>28620410</v>
      </c>
      <c r="R1654" s="13">
        <f>SUMIFS(L:L,H:H,Online_eCommerce[[#This Row],[Brand]])</f>
        <v>10950150</v>
      </c>
      <c r="S1654" s="13">
        <f>SUMIF(H:H,Online_eCommerce[[#This Row],[Brand]],M:M)</f>
        <v>14235195</v>
      </c>
      <c r="T1654" s="13">
        <f>SUMIF(N:N,Online_eCommerce[[#This Row],[Assigned Supervisor]],L:L)</f>
        <v>12261500</v>
      </c>
    </row>
    <row r="1655" spans="1:20" hidden="1" x14ac:dyDescent="0.3">
      <c r="A1655" t="s">
        <v>2568</v>
      </c>
      <c r="B1655" t="s">
        <v>215</v>
      </c>
      <c r="C1655" t="s">
        <v>105</v>
      </c>
      <c r="D1655" t="s">
        <v>2561</v>
      </c>
      <c r="E1655" t="s">
        <v>96</v>
      </c>
      <c r="F1655" t="s">
        <v>133</v>
      </c>
      <c r="G1655" t="s">
        <v>66</v>
      </c>
      <c r="H1655" t="s">
        <v>21</v>
      </c>
      <c r="I1655">
        <v>600</v>
      </c>
      <c r="J1655">
        <v>780</v>
      </c>
      <c r="K1655">
        <v>4</v>
      </c>
      <c r="L1655">
        <v>2400</v>
      </c>
      <c r="M1655">
        <v>3120</v>
      </c>
      <c r="N1655" t="s">
        <v>50</v>
      </c>
      <c r="O1655">
        <f t="shared" si="50"/>
        <v>1690</v>
      </c>
      <c r="P1655" s="13">
        <f t="shared" si="51"/>
        <v>1866852</v>
      </c>
      <c r="Q1655" s="13">
        <f>SUMIFS(M:M,E:E,Online_eCommerce[[#This Row],[Status]])</f>
        <v>21233992</v>
      </c>
      <c r="R1655" s="13">
        <f>SUMIFS(L:L,H:H,Online_eCommerce[[#This Row],[Brand]])</f>
        <v>12435650</v>
      </c>
      <c r="S1655" s="13">
        <f>SUMIF(H:H,Online_eCommerce[[#This Row],[Brand]],M:M)</f>
        <v>16166345</v>
      </c>
      <c r="T1655" s="13">
        <f>SUMIF(N:N,Online_eCommerce[[#This Row],[Assigned Supervisor]],L:L)</f>
        <v>12100590</v>
      </c>
    </row>
    <row r="1656" spans="1:20" hidden="1" x14ac:dyDescent="0.3">
      <c r="A1656" t="s">
        <v>2569</v>
      </c>
      <c r="B1656" t="s">
        <v>215</v>
      </c>
      <c r="C1656" t="s">
        <v>110</v>
      </c>
      <c r="D1656" t="s">
        <v>2561</v>
      </c>
      <c r="E1656" t="s">
        <v>18</v>
      </c>
      <c r="F1656" t="s">
        <v>137</v>
      </c>
      <c r="G1656" t="s">
        <v>71</v>
      </c>
      <c r="H1656" t="s">
        <v>61</v>
      </c>
      <c r="I1656">
        <v>10500</v>
      </c>
      <c r="J1656">
        <v>13650</v>
      </c>
      <c r="K1656">
        <v>3</v>
      </c>
      <c r="L1656">
        <v>31500</v>
      </c>
      <c r="M1656">
        <v>40950</v>
      </c>
      <c r="N1656" t="s">
        <v>56</v>
      </c>
      <c r="O1656">
        <f t="shared" si="50"/>
        <v>9750</v>
      </c>
      <c r="P1656" s="13">
        <f t="shared" si="51"/>
        <v>2598635</v>
      </c>
      <c r="Q1656" s="13">
        <f>SUMIFS(M:M,E:E,Online_eCommerce[[#This Row],[Status]])</f>
        <v>28340455</v>
      </c>
      <c r="R1656" s="13">
        <f>SUMIFS(L:L,H:H,Online_eCommerce[[#This Row],[Brand]])</f>
        <v>10950150</v>
      </c>
      <c r="S1656" s="13">
        <f>SUMIF(H:H,Online_eCommerce[[#This Row],[Brand]],M:M)</f>
        <v>14235195</v>
      </c>
      <c r="T1656" s="13">
        <f>SUMIF(N:N,Online_eCommerce[[#This Row],[Assigned Supervisor]],L:L)</f>
        <v>11733610</v>
      </c>
    </row>
    <row r="1657" spans="1:20" hidden="1" x14ac:dyDescent="0.3">
      <c r="A1657" t="s">
        <v>2570</v>
      </c>
      <c r="B1657" t="s">
        <v>215</v>
      </c>
      <c r="C1657" t="s">
        <v>115</v>
      </c>
      <c r="D1657" t="s">
        <v>2561</v>
      </c>
      <c r="E1657" t="s">
        <v>161</v>
      </c>
      <c r="F1657" t="s">
        <v>2536</v>
      </c>
      <c r="G1657" t="s">
        <v>77</v>
      </c>
      <c r="H1657" t="s">
        <v>142</v>
      </c>
      <c r="I1657">
        <v>6500</v>
      </c>
      <c r="J1657">
        <v>8450</v>
      </c>
      <c r="K1657">
        <v>1</v>
      </c>
      <c r="L1657">
        <v>6500</v>
      </c>
      <c r="M1657">
        <v>8450</v>
      </c>
      <c r="N1657" t="s">
        <v>22</v>
      </c>
      <c r="O1657">
        <f t="shared" si="50"/>
        <v>39000</v>
      </c>
      <c r="P1657" s="13">
        <f t="shared" si="51"/>
        <v>2050178</v>
      </c>
      <c r="Q1657" s="13">
        <f>SUMIFS(M:M,E:E,Online_eCommerce[[#This Row],[Status]])</f>
        <v>21103186</v>
      </c>
      <c r="R1657" s="13">
        <f>SUMIFS(L:L,H:H,Online_eCommerce[[#This Row],[Brand]])</f>
        <v>6192500</v>
      </c>
      <c r="S1657" s="13">
        <f>SUMIF(H:H,Online_eCommerce[[#This Row],[Brand]],M:M)</f>
        <v>8050250</v>
      </c>
      <c r="T1657" s="13">
        <f>SUMIF(N:N,Online_eCommerce[[#This Row],[Assigned Supervisor]],L:L)</f>
        <v>13693220</v>
      </c>
    </row>
    <row r="1658" spans="1:20" x14ac:dyDescent="0.3">
      <c r="A1658" t="s">
        <v>2571</v>
      </c>
      <c r="B1658" t="s">
        <v>215</v>
      </c>
      <c r="C1658" t="s">
        <v>120</v>
      </c>
      <c r="D1658" t="s">
        <v>2561</v>
      </c>
      <c r="E1658" t="s">
        <v>46</v>
      </c>
      <c r="F1658" t="s">
        <v>2572</v>
      </c>
      <c r="G1658" t="s">
        <v>20</v>
      </c>
      <c r="H1658" t="s">
        <v>21</v>
      </c>
      <c r="I1658">
        <v>4500</v>
      </c>
      <c r="J1658">
        <v>5850</v>
      </c>
      <c r="K1658">
        <v>4</v>
      </c>
      <c r="L1658">
        <v>18000</v>
      </c>
      <c r="M1658">
        <v>23400</v>
      </c>
      <c r="N1658" t="s">
        <v>28</v>
      </c>
      <c r="O1658">
        <f t="shared" si="50"/>
        <v>8450</v>
      </c>
      <c r="P1658" s="13">
        <f t="shared" si="51"/>
        <v>2734212</v>
      </c>
      <c r="Q1658" s="13">
        <f>SUMIFS(M:M,E:E,Online_eCommerce[[#This Row],[Status]])</f>
        <v>28620410</v>
      </c>
      <c r="R1658" s="13">
        <f>SUMIFS(L:L,H:H,Online_eCommerce[[#This Row],[Brand]])</f>
        <v>12435650</v>
      </c>
      <c r="S1658" s="13">
        <f>SUMIF(H:H,Online_eCommerce[[#This Row],[Brand]],M:M)</f>
        <v>16166345</v>
      </c>
      <c r="T1658" s="13">
        <f>SUMIF(N:N,Online_eCommerce[[#This Row],[Assigned Supervisor]],L:L)</f>
        <v>12220830</v>
      </c>
    </row>
    <row r="1659" spans="1:20" hidden="1" x14ac:dyDescent="0.3">
      <c r="A1659" t="s">
        <v>2573</v>
      </c>
      <c r="B1659" t="s">
        <v>215</v>
      </c>
      <c r="C1659" t="s">
        <v>125</v>
      </c>
      <c r="D1659" t="s">
        <v>2561</v>
      </c>
      <c r="E1659" t="s">
        <v>96</v>
      </c>
      <c r="F1659" t="s">
        <v>152</v>
      </c>
      <c r="G1659" t="s">
        <v>26</v>
      </c>
      <c r="H1659" t="s">
        <v>27</v>
      </c>
      <c r="I1659">
        <v>8500</v>
      </c>
      <c r="J1659">
        <v>11050</v>
      </c>
      <c r="K1659">
        <v>4</v>
      </c>
      <c r="L1659">
        <v>34000</v>
      </c>
      <c r="M1659">
        <v>44200</v>
      </c>
      <c r="N1659" t="s">
        <v>35</v>
      </c>
      <c r="O1659">
        <f t="shared" si="50"/>
        <v>33150</v>
      </c>
      <c r="P1659" s="13">
        <f t="shared" si="51"/>
        <v>2091154</v>
      </c>
      <c r="Q1659" s="13">
        <f>SUMIFS(M:M,E:E,Online_eCommerce[[#This Row],[Status]])</f>
        <v>21233992</v>
      </c>
      <c r="R1659" s="13">
        <f>SUMIFS(L:L,H:H,Online_eCommerce[[#This Row],[Brand]])</f>
        <v>14431000</v>
      </c>
      <c r="S1659" s="13">
        <f>SUMIF(H:H,Online_eCommerce[[#This Row],[Brand]],M:M)</f>
        <v>18760300</v>
      </c>
      <c r="T1659" s="13">
        <f>SUMIF(N:N,Online_eCommerce[[#This Row],[Assigned Supervisor]],L:L)</f>
        <v>14373360</v>
      </c>
    </row>
    <row r="1660" spans="1:20" hidden="1" x14ac:dyDescent="0.3">
      <c r="A1660" t="s">
        <v>2574</v>
      </c>
      <c r="B1660" t="s">
        <v>215</v>
      </c>
      <c r="C1660" t="s">
        <v>22</v>
      </c>
      <c r="D1660" t="s">
        <v>2561</v>
      </c>
      <c r="E1660" t="s">
        <v>18</v>
      </c>
      <c r="F1660" t="s">
        <v>157</v>
      </c>
      <c r="G1660" t="s">
        <v>33</v>
      </c>
      <c r="H1660" t="s">
        <v>34</v>
      </c>
      <c r="I1660">
        <v>12500</v>
      </c>
      <c r="J1660">
        <v>16250</v>
      </c>
      <c r="K1660">
        <v>4</v>
      </c>
      <c r="L1660">
        <v>50000</v>
      </c>
      <c r="M1660">
        <v>65000</v>
      </c>
      <c r="N1660" t="s">
        <v>42</v>
      </c>
      <c r="O1660">
        <f t="shared" si="50"/>
        <v>18200</v>
      </c>
      <c r="P1660" s="13">
        <f t="shared" si="51"/>
        <v>2551588</v>
      </c>
      <c r="Q1660" s="13">
        <f>SUMIFS(M:M,E:E,Online_eCommerce[[#This Row],[Status]])</f>
        <v>28340455</v>
      </c>
      <c r="R1660" s="13">
        <f>SUMIFS(L:L,H:H,Online_eCommerce[[#This Row],[Brand]])</f>
        <v>10087000</v>
      </c>
      <c r="S1660" s="13">
        <f>SUMIF(H:H,Online_eCommerce[[#This Row],[Brand]],M:M)</f>
        <v>13113100</v>
      </c>
      <c r="T1660" s="13">
        <f>SUMIF(N:N,Online_eCommerce[[#This Row],[Assigned Supervisor]],L:L)</f>
        <v>12261500</v>
      </c>
    </row>
    <row r="1661" spans="1:20" hidden="1" x14ac:dyDescent="0.3">
      <c r="A1661" t="s">
        <v>2575</v>
      </c>
      <c r="B1661" t="s">
        <v>215</v>
      </c>
      <c r="C1661" t="s">
        <v>132</v>
      </c>
      <c r="D1661" t="s">
        <v>2561</v>
      </c>
      <c r="E1661" t="s">
        <v>161</v>
      </c>
      <c r="F1661" t="s">
        <v>2141</v>
      </c>
      <c r="G1661" t="s">
        <v>163</v>
      </c>
      <c r="H1661" t="s">
        <v>41</v>
      </c>
      <c r="I1661">
        <v>3500</v>
      </c>
      <c r="J1661">
        <v>4550</v>
      </c>
      <c r="K1661">
        <v>4</v>
      </c>
      <c r="L1661">
        <v>14000</v>
      </c>
      <c r="M1661">
        <v>18200</v>
      </c>
      <c r="N1661" t="s">
        <v>50</v>
      </c>
      <c r="O1661">
        <f t="shared" si="50"/>
        <v>13650</v>
      </c>
      <c r="P1661" s="13">
        <f t="shared" si="51"/>
        <v>1989065</v>
      </c>
      <c r="Q1661" s="13">
        <f>SUMIFS(M:M,E:E,Online_eCommerce[[#This Row],[Status]])</f>
        <v>21103186</v>
      </c>
      <c r="R1661" s="13">
        <f>SUMIFS(L:L,H:H,Online_eCommerce[[#This Row],[Brand]])</f>
        <v>4260400</v>
      </c>
      <c r="S1661" s="13">
        <f>SUMIF(H:H,Online_eCommerce[[#This Row],[Brand]],M:M)</f>
        <v>5538520</v>
      </c>
      <c r="T1661" s="13">
        <f>SUMIF(N:N,Online_eCommerce[[#This Row],[Assigned Supervisor]],L:L)</f>
        <v>12100590</v>
      </c>
    </row>
    <row r="1662" spans="1:20" x14ac:dyDescent="0.3">
      <c r="A1662" t="s">
        <v>2576</v>
      </c>
      <c r="B1662" t="s">
        <v>283</v>
      </c>
      <c r="C1662" t="s">
        <v>136</v>
      </c>
      <c r="D1662" t="s">
        <v>2561</v>
      </c>
      <c r="E1662" t="s">
        <v>46</v>
      </c>
      <c r="F1662" t="s">
        <v>166</v>
      </c>
      <c r="G1662" t="s">
        <v>66</v>
      </c>
      <c r="H1662" t="s">
        <v>49</v>
      </c>
      <c r="I1662">
        <v>4500</v>
      </c>
      <c r="J1662">
        <v>5850</v>
      </c>
      <c r="K1662">
        <v>4</v>
      </c>
      <c r="L1662">
        <v>18000</v>
      </c>
      <c r="M1662">
        <v>23400</v>
      </c>
      <c r="N1662" t="s">
        <v>56</v>
      </c>
      <c r="O1662">
        <f t="shared" si="50"/>
        <v>1690</v>
      </c>
      <c r="P1662" s="13">
        <f t="shared" si="51"/>
        <v>2775162</v>
      </c>
      <c r="Q1662" s="13">
        <f>SUMIFS(M:M,E:E,Online_eCommerce[[#This Row],[Status]])</f>
        <v>28620410</v>
      </c>
      <c r="R1662" s="13">
        <f>SUMIFS(L:L,H:H,Online_eCommerce[[#This Row],[Brand]])</f>
        <v>4528350</v>
      </c>
      <c r="S1662" s="13">
        <f>SUMIF(H:H,Online_eCommerce[[#This Row],[Brand]],M:M)</f>
        <v>5886855</v>
      </c>
      <c r="T1662" s="13">
        <f>SUMIF(N:N,Online_eCommerce[[#This Row],[Assigned Supervisor]],L:L)</f>
        <v>11733610</v>
      </c>
    </row>
    <row r="1663" spans="1:20" hidden="1" x14ac:dyDescent="0.3">
      <c r="A1663" t="s">
        <v>2577</v>
      </c>
      <c r="B1663" t="s">
        <v>287</v>
      </c>
      <c r="C1663" t="s">
        <v>140</v>
      </c>
      <c r="D1663" t="s">
        <v>2561</v>
      </c>
      <c r="E1663" t="s">
        <v>96</v>
      </c>
      <c r="F1663" t="s">
        <v>2578</v>
      </c>
      <c r="G1663" t="s">
        <v>54</v>
      </c>
      <c r="H1663" t="s">
        <v>55</v>
      </c>
      <c r="I1663">
        <v>2100</v>
      </c>
      <c r="J1663">
        <v>2730</v>
      </c>
      <c r="K1663">
        <v>4</v>
      </c>
      <c r="L1663">
        <v>8400</v>
      </c>
      <c r="M1663">
        <v>10920</v>
      </c>
      <c r="N1663" t="s">
        <v>22</v>
      </c>
      <c r="O1663">
        <f t="shared" si="50"/>
        <v>2990</v>
      </c>
      <c r="P1663" s="13">
        <f t="shared" si="51"/>
        <v>2058264</v>
      </c>
      <c r="Q1663" s="13">
        <f>SUMIFS(M:M,E:E,Online_eCommerce[[#This Row],[Status]])</f>
        <v>21233992</v>
      </c>
      <c r="R1663" s="13">
        <f>SUMIFS(L:L,H:H,Online_eCommerce[[#This Row],[Brand]])</f>
        <v>2267380</v>
      </c>
      <c r="S1663" s="13">
        <f>SUMIF(H:H,Online_eCommerce[[#This Row],[Brand]],M:M)</f>
        <v>2947594</v>
      </c>
      <c r="T1663" s="13">
        <f>SUMIF(N:N,Online_eCommerce[[#This Row],[Assigned Supervisor]],L:L)</f>
        <v>13693220</v>
      </c>
    </row>
    <row r="1664" spans="1:20" hidden="1" x14ac:dyDescent="0.3">
      <c r="A1664" t="s">
        <v>2579</v>
      </c>
      <c r="B1664" t="s">
        <v>290</v>
      </c>
      <c r="C1664" t="s">
        <v>145</v>
      </c>
      <c r="D1664" t="s">
        <v>2561</v>
      </c>
      <c r="E1664" t="s">
        <v>18</v>
      </c>
      <c r="F1664" t="s">
        <v>174</v>
      </c>
      <c r="G1664" t="s">
        <v>60</v>
      </c>
      <c r="H1664" t="s">
        <v>61</v>
      </c>
      <c r="I1664">
        <v>1150</v>
      </c>
      <c r="J1664">
        <v>1495</v>
      </c>
      <c r="K1664">
        <v>2</v>
      </c>
      <c r="L1664">
        <v>2300</v>
      </c>
      <c r="M1664">
        <v>2990</v>
      </c>
      <c r="N1664" t="s">
        <v>28</v>
      </c>
      <c r="O1664">
        <f t="shared" si="50"/>
        <v>3315</v>
      </c>
      <c r="P1664" s="13">
        <f t="shared" si="51"/>
        <v>2757859</v>
      </c>
      <c r="Q1664" s="13">
        <f>SUMIFS(M:M,E:E,Online_eCommerce[[#This Row],[Status]])</f>
        <v>28340455</v>
      </c>
      <c r="R1664" s="13">
        <f>SUMIFS(L:L,H:H,Online_eCommerce[[#This Row],[Brand]])</f>
        <v>10950150</v>
      </c>
      <c r="S1664" s="13">
        <f>SUMIF(H:H,Online_eCommerce[[#This Row],[Brand]],M:M)</f>
        <v>14235195</v>
      </c>
      <c r="T1664" s="13">
        <f>SUMIF(N:N,Online_eCommerce[[#This Row],[Assigned Supervisor]],L:L)</f>
        <v>12220830</v>
      </c>
    </row>
    <row r="1665" spans="1:20" hidden="1" x14ac:dyDescent="0.3">
      <c r="A1665" t="s">
        <v>2580</v>
      </c>
      <c r="B1665" t="s">
        <v>15</v>
      </c>
      <c r="C1665" t="s">
        <v>150</v>
      </c>
      <c r="D1665" t="s">
        <v>2561</v>
      </c>
      <c r="E1665" t="s">
        <v>161</v>
      </c>
      <c r="F1665" t="s">
        <v>179</v>
      </c>
      <c r="G1665" t="s">
        <v>66</v>
      </c>
      <c r="H1665" t="s">
        <v>21</v>
      </c>
      <c r="I1665">
        <v>350</v>
      </c>
      <c r="J1665">
        <v>455</v>
      </c>
      <c r="K1665">
        <v>1</v>
      </c>
      <c r="L1665">
        <v>350</v>
      </c>
      <c r="M1665">
        <v>455</v>
      </c>
      <c r="N1665" t="s">
        <v>35</v>
      </c>
      <c r="O1665">
        <f t="shared" si="50"/>
        <v>1690</v>
      </c>
      <c r="P1665" s="13">
        <f t="shared" si="51"/>
        <v>2154984</v>
      </c>
      <c r="Q1665" s="13">
        <f>SUMIFS(M:M,E:E,Online_eCommerce[[#This Row],[Status]])</f>
        <v>21103186</v>
      </c>
      <c r="R1665" s="13">
        <f>SUMIFS(L:L,H:H,Online_eCommerce[[#This Row],[Brand]])</f>
        <v>12435650</v>
      </c>
      <c r="S1665" s="13">
        <f>SUMIF(H:H,Online_eCommerce[[#This Row],[Brand]],M:M)</f>
        <v>16166345</v>
      </c>
      <c r="T1665" s="13">
        <f>SUMIF(N:N,Online_eCommerce[[#This Row],[Assigned Supervisor]],L:L)</f>
        <v>14373360</v>
      </c>
    </row>
    <row r="1666" spans="1:20" x14ac:dyDescent="0.3">
      <c r="A1666" t="s">
        <v>2581</v>
      </c>
      <c r="B1666" t="s">
        <v>202</v>
      </c>
      <c r="C1666" t="s">
        <v>155</v>
      </c>
      <c r="D1666" t="s">
        <v>2582</v>
      </c>
      <c r="E1666" t="s">
        <v>46</v>
      </c>
      <c r="F1666" t="s">
        <v>183</v>
      </c>
      <c r="G1666" t="s">
        <v>71</v>
      </c>
      <c r="H1666" t="s">
        <v>61</v>
      </c>
      <c r="I1666">
        <v>9500</v>
      </c>
      <c r="J1666">
        <v>12350</v>
      </c>
      <c r="K1666">
        <v>1</v>
      </c>
      <c r="L1666">
        <v>9500</v>
      </c>
      <c r="M1666">
        <v>12350</v>
      </c>
      <c r="N1666" t="s">
        <v>42</v>
      </c>
      <c r="O1666">
        <f t="shared" ref="O1666:O1729" si="52">VLOOKUP(G1666,G:M,7,FALSE)</f>
        <v>9750</v>
      </c>
      <c r="P1666" s="13">
        <f t="shared" ref="P1666:P1729" si="53">SUMIFS(M:M,C:C,C1666)</f>
        <v>2753348</v>
      </c>
      <c r="Q1666" s="13">
        <f>SUMIFS(M:M,E:E,Online_eCommerce[[#This Row],[Status]])</f>
        <v>28620410</v>
      </c>
      <c r="R1666" s="13">
        <f>SUMIFS(L:L,H:H,Online_eCommerce[[#This Row],[Brand]])</f>
        <v>10950150</v>
      </c>
      <c r="S1666" s="13">
        <f>SUMIF(H:H,Online_eCommerce[[#This Row],[Brand]],M:M)</f>
        <v>14235195</v>
      </c>
      <c r="T1666" s="13">
        <f>SUMIF(N:N,Online_eCommerce[[#This Row],[Assigned Supervisor]],L:L)</f>
        <v>12261500</v>
      </c>
    </row>
    <row r="1667" spans="1:20" hidden="1" x14ac:dyDescent="0.3">
      <c r="A1667" t="s">
        <v>2583</v>
      </c>
      <c r="B1667" t="s">
        <v>30</v>
      </c>
      <c r="C1667" t="s">
        <v>160</v>
      </c>
      <c r="D1667" t="s">
        <v>2584</v>
      </c>
      <c r="E1667" t="s">
        <v>96</v>
      </c>
      <c r="F1667" t="s">
        <v>2585</v>
      </c>
      <c r="G1667" t="s">
        <v>77</v>
      </c>
      <c r="H1667" t="s">
        <v>142</v>
      </c>
      <c r="I1667">
        <v>10000</v>
      </c>
      <c r="J1667">
        <v>13000</v>
      </c>
      <c r="K1667">
        <v>4</v>
      </c>
      <c r="L1667">
        <v>40000</v>
      </c>
      <c r="M1667">
        <v>52000</v>
      </c>
      <c r="N1667" t="s">
        <v>50</v>
      </c>
      <c r="O1667">
        <f t="shared" si="52"/>
        <v>39000</v>
      </c>
      <c r="P1667" s="13">
        <f t="shared" si="53"/>
        <v>2303483</v>
      </c>
      <c r="Q1667" s="13">
        <f>SUMIFS(M:M,E:E,Online_eCommerce[[#This Row],[Status]])</f>
        <v>21233992</v>
      </c>
      <c r="R1667" s="13">
        <f>SUMIFS(L:L,H:H,Online_eCommerce[[#This Row],[Brand]])</f>
        <v>6192500</v>
      </c>
      <c r="S1667" s="13">
        <f>SUMIF(H:H,Online_eCommerce[[#This Row],[Brand]],M:M)</f>
        <v>8050250</v>
      </c>
      <c r="T1667" s="13">
        <f>SUMIF(N:N,Online_eCommerce[[#This Row],[Assigned Supervisor]],L:L)</f>
        <v>12100590</v>
      </c>
    </row>
    <row r="1668" spans="1:20" hidden="1" x14ac:dyDescent="0.3">
      <c r="A1668" t="s">
        <v>2586</v>
      </c>
      <c r="B1668" t="s">
        <v>37</v>
      </c>
      <c r="C1668" t="s">
        <v>165</v>
      </c>
      <c r="D1668" t="s">
        <v>2587</v>
      </c>
      <c r="E1668" t="s">
        <v>18</v>
      </c>
      <c r="F1668" t="s">
        <v>2588</v>
      </c>
      <c r="G1668" t="s">
        <v>20</v>
      </c>
      <c r="H1668" t="s">
        <v>21</v>
      </c>
      <c r="I1668">
        <v>6500</v>
      </c>
      <c r="J1668">
        <v>8450</v>
      </c>
      <c r="K1668">
        <v>2</v>
      </c>
      <c r="L1668">
        <v>13000</v>
      </c>
      <c r="M1668">
        <v>16900</v>
      </c>
      <c r="N1668" t="s">
        <v>56</v>
      </c>
      <c r="O1668">
        <f t="shared" si="52"/>
        <v>8450</v>
      </c>
      <c r="P1668" s="13">
        <f t="shared" si="53"/>
        <v>2674087</v>
      </c>
      <c r="Q1668" s="13">
        <f>SUMIFS(M:M,E:E,Online_eCommerce[[#This Row],[Status]])</f>
        <v>28340455</v>
      </c>
      <c r="R1668" s="13">
        <f>SUMIFS(L:L,H:H,Online_eCommerce[[#This Row],[Brand]])</f>
        <v>12435650</v>
      </c>
      <c r="S1668" s="13">
        <f>SUMIF(H:H,Online_eCommerce[[#This Row],[Brand]],M:M)</f>
        <v>16166345</v>
      </c>
      <c r="T1668" s="13">
        <f>SUMIF(N:N,Online_eCommerce[[#This Row],[Assigned Supervisor]],L:L)</f>
        <v>11733610</v>
      </c>
    </row>
    <row r="1669" spans="1:20" hidden="1" x14ac:dyDescent="0.3">
      <c r="A1669" t="s">
        <v>2589</v>
      </c>
      <c r="B1669" t="s">
        <v>44</v>
      </c>
      <c r="C1669" t="s">
        <v>168</v>
      </c>
      <c r="D1669" t="s">
        <v>2590</v>
      </c>
      <c r="E1669" t="s">
        <v>161</v>
      </c>
      <c r="F1669" t="s">
        <v>2591</v>
      </c>
      <c r="G1669" t="s">
        <v>26</v>
      </c>
      <c r="H1669" t="s">
        <v>27</v>
      </c>
      <c r="I1669">
        <v>8500</v>
      </c>
      <c r="J1669">
        <v>11050</v>
      </c>
      <c r="K1669">
        <v>4</v>
      </c>
      <c r="L1669">
        <v>34000</v>
      </c>
      <c r="M1669">
        <v>44200</v>
      </c>
      <c r="N1669" t="s">
        <v>22</v>
      </c>
      <c r="O1669">
        <f t="shared" si="52"/>
        <v>33150</v>
      </c>
      <c r="P1669" s="13">
        <f t="shared" si="53"/>
        <v>1937780</v>
      </c>
      <c r="Q1669" s="13">
        <f>SUMIFS(M:M,E:E,Online_eCommerce[[#This Row],[Status]])</f>
        <v>21103186</v>
      </c>
      <c r="R1669" s="13">
        <f>SUMIFS(L:L,H:H,Online_eCommerce[[#This Row],[Brand]])</f>
        <v>14431000</v>
      </c>
      <c r="S1669" s="13">
        <f>SUMIF(H:H,Online_eCommerce[[#This Row],[Brand]],M:M)</f>
        <v>18760300</v>
      </c>
      <c r="T1669" s="13">
        <f>SUMIF(N:N,Online_eCommerce[[#This Row],[Assigned Supervisor]],L:L)</f>
        <v>13693220</v>
      </c>
    </row>
    <row r="1670" spans="1:20" x14ac:dyDescent="0.3">
      <c r="A1670" t="s">
        <v>2592</v>
      </c>
      <c r="B1670" t="s">
        <v>213</v>
      </c>
      <c r="C1670" t="s">
        <v>172</v>
      </c>
      <c r="D1670" t="s">
        <v>2593</v>
      </c>
      <c r="E1670" t="s">
        <v>46</v>
      </c>
      <c r="F1670" t="s">
        <v>32</v>
      </c>
      <c r="G1670" t="s">
        <v>33</v>
      </c>
      <c r="H1670" t="s">
        <v>34</v>
      </c>
      <c r="I1670">
        <v>7000</v>
      </c>
      <c r="J1670">
        <v>9100</v>
      </c>
      <c r="K1670">
        <v>4</v>
      </c>
      <c r="L1670">
        <v>28000</v>
      </c>
      <c r="M1670">
        <v>36400</v>
      </c>
      <c r="N1670" t="s">
        <v>28</v>
      </c>
      <c r="O1670">
        <f t="shared" si="52"/>
        <v>18200</v>
      </c>
      <c r="P1670" s="13">
        <f t="shared" si="53"/>
        <v>2640274</v>
      </c>
      <c r="Q1670" s="13">
        <f>SUMIFS(M:M,E:E,Online_eCommerce[[#This Row],[Status]])</f>
        <v>28620410</v>
      </c>
      <c r="R1670" s="13">
        <f>SUMIFS(L:L,H:H,Online_eCommerce[[#This Row],[Brand]])</f>
        <v>10087000</v>
      </c>
      <c r="S1670" s="13">
        <f>SUMIF(H:H,Online_eCommerce[[#This Row],[Brand]],M:M)</f>
        <v>13113100</v>
      </c>
      <c r="T1670" s="13">
        <f>SUMIF(N:N,Online_eCommerce[[#This Row],[Assigned Supervisor]],L:L)</f>
        <v>12220830</v>
      </c>
    </row>
    <row r="1671" spans="1:20" hidden="1" x14ac:dyDescent="0.3">
      <c r="A1671" t="s">
        <v>2594</v>
      </c>
      <c r="B1671" t="s">
        <v>215</v>
      </c>
      <c r="C1671" t="s">
        <v>177</v>
      </c>
      <c r="D1671" t="s">
        <v>2595</v>
      </c>
      <c r="E1671" t="s">
        <v>96</v>
      </c>
      <c r="F1671" t="s">
        <v>2596</v>
      </c>
      <c r="G1671" t="s">
        <v>163</v>
      </c>
      <c r="H1671" t="s">
        <v>41</v>
      </c>
      <c r="I1671">
        <v>6550</v>
      </c>
      <c r="J1671">
        <v>8515</v>
      </c>
      <c r="K1671">
        <v>3</v>
      </c>
      <c r="L1671">
        <v>19650</v>
      </c>
      <c r="M1671">
        <v>25545</v>
      </c>
      <c r="N1671" t="s">
        <v>35</v>
      </c>
      <c r="O1671">
        <f t="shared" si="52"/>
        <v>13650</v>
      </c>
      <c r="P1671" s="13">
        <f t="shared" si="53"/>
        <v>1863810</v>
      </c>
      <c r="Q1671" s="13">
        <f>SUMIFS(M:M,E:E,Online_eCommerce[[#This Row],[Status]])</f>
        <v>21233992</v>
      </c>
      <c r="R1671" s="13">
        <f>SUMIFS(L:L,H:H,Online_eCommerce[[#This Row],[Brand]])</f>
        <v>4260400</v>
      </c>
      <c r="S1671" s="13">
        <f>SUMIF(H:H,Online_eCommerce[[#This Row],[Brand]],M:M)</f>
        <v>5538520</v>
      </c>
      <c r="T1671" s="13">
        <f>SUMIF(N:N,Online_eCommerce[[#This Row],[Assigned Supervisor]],L:L)</f>
        <v>14373360</v>
      </c>
    </row>
    <row r="1672" spans="1:20" hidden="1" x14ac:dyDescent="0.3">
      <c r="A1672" t="s">
        <v>2597</v>
      </c>
      <c r="B1672" t="s">
        <v>306</v>
      </c>
      <c r="C1672" t="s">
        <v>181</v>
      </c>
      <c r="D1672" t="s">
        <v>2598</v>
      </c>
      <c r="E1672" t="s">
        <v>18</v>
      </c>
      <c r="F1672" t="s">
        <v>47</v>
      </c>
      <c r="G1672" t="s">
        <v>66</v>
      </c>
      <c r="H1672" t="s">
        <v>49</v>
      </c>
      <c r="I1672">
        <v>7650</v>
      </c>
      <c r="J1672">
        <v>9945</v>
      </c>
      <c r="K1672">
        <v>4</v>
      </c>
      <c r="L1672">
        <v>30600</v>
      </c>
      <c r="M1672">
        <v>39780</v>
      </c>
      <c r="N1672" t="s">
        <v>42</v>
      </c>
      <c r="O1672">
        <f t="shared" si="52"/>
        <v>1690</v>
      </c>
      <c r="P1672" s="13">
        <f t="shared" si="53"/>
        <v>2577458</v>
      </c>
      <c r="Q1672" s="13">
        <f>SUMIFS(M:M,E:E,Online_eCommerce[[#This Row],[Status]])</f>
        <v>28340455</v>
      </c>
      <c r="R1672" s="13">
        <f>SUMIFS(L:L,H:H,Online_eCommerce[[#This Row],[Brand]])</f>
        <v>4528350</v>
      </c>
      <c r="S1672" s="13">
        <f>SUMIF(H:H,Online_eCommerce[[#This Row],[Brand]],M:M)</f>
        <v>5886855</v>
      </c>
      <c r="T1672" s="13">
        <f>SUMIF(N:N,Online_eCommerce[[#This Row],[Assigned Supervisor]],L:L)</f>
        <v>12261500</v>
      </c>
    </row>
    <row r="1673" spans="1:20" hidden="1" x14ac:dyDescent="0.3">
      <c r="A1673" t="s">
        <v>2599</v>
      </c>
      <c r="B1673" t="s">
        <v>528</v>
      </c>
      <c r="C1673" t="s">
        <v>185</v>
      </c>
      <c r="D1673" t="s">
        <v>2600</v>
      </c>
      <c r="E1673" t="s">
        <v>161</v>
      </c>
      <c r="F1673" t="s">
        <v>53</v>
      </c>
      <c r="G1673" t="s">
        <v>54</v>
      </c>
      <c r="H1673" t="s">
        <v>55</v>
      </c>
      <c r="I1673">
        <v>1150</v>
      </c>
      <c r="J1673">
        <v>1495</v>
      </c>
      <c r="K1673">
        <v>4</v>
      </c>
      <c r="L1673">
        <v>4600</v>
      </c>
      <c r="M1673">
        <v>5980</v>
      </c>
      <c r="N1673" t="s">
        <v>50</v>
      </c>
      <c r="O1673">
        <f t="shared" si="52"/>
        <v>2990</v>
      </c>
      <c r="P1673" s="13">
        <f t="shared" si="53"/>
        <v>2091596</v>
      </c>
      <c r="Q1673" s="13">
        <f>SUMIFS(M:M,E:E,Online_eCommerce[[#This Row],[Status]])</f>
        <v>21103186</v>
      </c>
      <c r="R1673" s="13">
        <f>SUMIFS(L:L,H:H,Online_eCommerce[[#This Row],[Brand]])</f>
        <v>2267380</v>
      </c>
      <c r="S1673" s="13">
        <f>SUMIF(H:H,Online_eCommerce[[#This Row],[Brand]],M:M)</f>
        <v>2947594</v>
      </c>
      <c r="T1673" s="13">
        <f>SUMIF(N:N,Online_eCommerce[[#This Row],[Assigned Supervisor]],L:L)</f>
        <v>12100590</v>
      </c>
    </row>
    <row r="1674" spans="1:20" x14ac:dyDescent="0.3">
      <c r="A1674" t="s">
        <v>2601</v>
      </c>
      <c r="B1674" t="s">
        <v>73</v>
      </c>
      <c r="C1674" t="s">
        <v>189</v>
      </c>
      <c r="D1674" t="s">
        <v>2602</v>
      </c>
      <c r="E1674" t="s">
        <v>46</v>
      </c>
      <c r="F1674" t="s">
        <v>59</v>
      </c>
      <c r="G1674" t="s">
        <v>60</v>
      </c>
      <c r="H1674" t="s">
        <v>61</v>
      </c>
      <c r="I1674">
        <v>850</v>
      </c>
      <c r="J1674">
        <v>1105</v>
      </c>
      <c r="K1674">
        <v>1</v>
      </c>
      <c r="L1674">
        <v>850</v>
      </c>
      <c r="M1674">
        <v>1105</v>
      </c>
      <c r="N1674" t="s">
        <v>56</v>
      </c>
      <c r="O1674">
        <f t="shared" si="52"/>
        <v>3315</v>
      </c>
      <c r="P1674" s="13">
        <f t="shared" si="53"/>
        <v>2740777</v>
      </c>
      <c r="Q1674" s="13">
        <f>SUMIFS(M:M,E:E,Online_eCommerce[[#This Row],[Status]])</f>
        <v>28620410</v>
      </c>
      <c r="R1674" s="13">
        <f>SUMIFS(L:L,H:H,Online_eCommerce[[#This Row],[Brand]])</f>
        <v>10950150</v>
      </c>
      <c r="S1674" s="13">
        <f>SUMIF(H:H,Online_eCommerce[[#This Row],[Brand]],M:M)</f>
        <v>14235195</v>
      </c>
      <c r="T1674" s="13">
        <f>SUMIF(N:N,Online_eCommerce[[#This Row],[Assigned Supervisor]],L:L)</f>
        <v>11733610</v>
      </c>
    </row>
    <row r="1675" spans="1:20" hidden="1" x14ac:dyDescent="0.3">
      <c r="A1675" t="s">
        <v>2603</v>
      </c>
      <c r="B1675" t="s">
        <v>80</v>
      </c>
      <c r="C1675" t="s">
        <v>193</v>
      </c>
      <c r="D1675" t="s">
        <v>2604</v>
      </c>
      <c r="E1675" t="s">
        <v>96</v>
      </c>
      <c r="F1675" t="s">
        <v>65</v>
      </c>
      <c r="G1675" t="s">
        <v>66</v>
      </c>
      <c r="H1675" t="s">
        <v>21</v>
      </c>
      <c r="I1675">
        <v>650</v>
      </c>
      <c r="J1675">
        <v>845</v>
      </c>
      <c r="K1675">
        <v>4</v>
      </c>
      <c r="L1675">
        <v>2600</v>
      </c>
      <c r="M1675">
        <v>3380</v>
      </c>
      <c r="N1675" t="s">
        <v>22</v>
      </c>
      <c r="O1675">
        <f t="shared" si="52"/>
        <v>1690</v>
      </c>
      <c r="P1675" s="13">
        <f t="shared" si="53"/>
        <v>2074774</v>
      </c>
      <c r="Q1675" s="13">
        <f>SUMIFS(M:M,E:E,Online_eCommerce[[#This Row],[Status]])</f>
        <v>21233992</v>
      </c>
      <c r="R1675" s="13">
        <f>SUMIFS(L:L,H:H,Online_eCommerce[[#This Row],[Brand]])</f>
        <v>12435650</v>
      </c>
      <c r="S1675" s="13">
        <f>SUMIF(H:H,Online_eCommerce[[#This Row],[Brand]],M:M)</f>
        <v>16166345</v>
      </c>
      <c r="T1675" s="13">
        <f>SUMIF(N:N,Online_eCommerce[[#This Row],[Assigned Supervisor]],L:L)</f>
        <v>13693220</v>
      </c>
    </row>
    <row r="1676" spans="1:20" hidden="1" x14ac:dyDescent="0.3">
      <c r="A1676" t="s">
        <v>2605</v>
      </c>
      <c r="B1676" t="s">
        <v>85</v>
      </c>
      <c r="C1676" t="s">
        <v>197</v>
      </c>
      <c r="D1676" t="s">
        <v>2606</v>
      </c>
      <c r="E1676" t="s">
        <v>18</v>
      </c>
      <c r="F1676" t="s">
        <v>70</v>
      </c>
      <c r="G1676" t="s">
        <v>71</v>
      </c>
      <c r="H1676" t="s">
        <v>61</v>
      </c>
      <c r="I1676">
        <v>7500</v>
      </c>
      <c r="J1676">
        <v>9750</v>
      </c>
      <c r="K1676">
        <v>1</v>
      </c>
      <c r="L1676">
        <v>7500</v>
      </c>
      <c r="M1676">
        <v>9750</v>
      </c>
      <c r="N1676" t="s">
        <v>28</v>
      </c>
      <c r="O1676">
        <f t="shared" si="52"/>
        <v>9750</v>
      </c>
      <c r="P1676" s="13">
        <f t="shared" si="53"/>
        <v>2829840</v>
      </c>
      <c r="Q1676" s="13">
        <f>SUMIFS(M:M,E:E,Online_eCommerce[[#This Row],[Status]])</f>
        <v>28340455</v>
      </c>
      <c r="R1676" s="13">
        <f>SUMIFS(L:L,H:H,Online_eCommerce[[#This Row],[Brand]])</f>
        <v>10950150</v>
      </c>
      <c r="S1676" s="13">
        <f>SUMIF(H:H,Online_eCommerce[[#This Row],[Brand]],M:M)</f>
        <v>14235195</v>
      </c>
      <c r="T1676" s="13">
        <f>SUMIF(N:N,Online_eCommerce[[#This Row],[Assigned Supervisor]],L:L)</f>
        <v>12220830</v>
      </c>
    </row>
    <row r="1677" spans="1:20" hidden="1" x14ac:dyDescent="0.3">
      <c r="A1677" t="s">
        <v>2607</v>
      </c>
      <c r="B1677" t="s">
        <v>90</v>
      </c>
      <c r="C1677" t="s">
        <v>199</v>
      </c>
      <c r="D1677" t="s">
        <v>2606</v>
      </c>
      <c r="E1677" t="s">
        <v>161</v>
      </c>
      <c r="F1677" t="s">
        <v>2585</v>
      </c>
      <c r="G1677" t="s">
        <v>77</v>
      </c>
      <c r="H1677" t="s">
        <v>78</v>
      </c>
      <c r="I1677">
        <v>10000</v>
      </c>
      <c r="J1677">
        <v>13000</v>
      </c>
      <c r="K1677">
        <v>2</v>
      </c>
      <c r="L1677">
        <v>20000</v>
      </c>
      <c r="M1677">
        <v>26000</v>
      </c>
      <c r="N1677" t="s">
        <v>35</v>
      </c>
      <c r="O1677">
        <f t="shared" si="52"/>
        <v>39000</v>
      </c>
      <c r="P1677" s="13">
        <f t="shared" si="53"/>
        <v>1947361</v>
      </c>
      <c r="Q1677" s="13">
        <f>SUMIFS(M:M,E:E,Online_eCommerce[[#This Row],[Status]])</f>
        <v>21103186</v>
      </c>
      <c r="R1677" s="13">
        <f>SUMIFS(L:L,H:H,Online_eCommerce[[#This Row],[Brand]])</f>
        <v>3720000</v>
      </c>
      <c r="S1677" s="13">
        <f>SUMIF(H:H,Online_eCommerce[[#This Row],[Brand]],M:M)</f>
        <v>4836000</v>
      </c>
      <c r="T1677" s="13">
        <f>SUMIF(N:N,Online_eCommerce[[#This Row],[Assigned Supervisor]],L:L)</f>
        <v>14373360</v>
      </c>
    </row>
    <row r="1678" spans="1:20" x14ac:dyDescent="0.3">
      <c r="A1678" t="s">
        <v>2608</v>
      </c>
      <c r="B1678" t="s">
        <v>232</v>
      </c>
      <c r="C1678" t="s">
        <v>203</v>
      </c>
      <c r="D1678" t="s">
        <v>2606</v>
      </c>
      <c r="E1678" t="s">
        <v>46</v>
      </c>
      <c r="F1678" t="s">
        <v>2609</v>
      </c>
      <c r="G1678" t="s">
        <v>20</v>
      </c>
      <c r="H1678" t="s">
        <v>21</v>
      </c>
      <c r="I1678">
        <v>10500</v>
      </c>
      <c r="J1678">
        <v>13650</v>
      </c>
      <c r="K1678">
        <v>1</v>
      </c>
      <c r="L1678">
        <v>10500</v>
      </c>
      <c r="M1678">
        <v>13650</v>
      </c>
      <c r="N1678" t="s">
        <v>42</v>
      </c>
      <c r="O1678">
        <f t="shared" si="52"/>
        <v>8450</v>
      </c>
      <c r="P1678" s="13">
        <f t="shared" si="53"/>
        <v>2559635</v>
      </c>
      <c r="Q1678" s="13">
        <f>SUMIFS(M:M,E:E,Online_eCommerce[[#This Row],[Status]])</f>
        <v>28620410</v>
      </c>
      <c r="R1678" s="13">
        <f>SUMIFS(L:L,H:H,Online_eCommerce[[#This Row],[Brand]])</f>
        <v>12435650</v>
      </c>
      <c r="S1678" s="13">
        <f>SUMIF(H:H,Online_eCommerce[[#This Row],[Brand]],M:M)</f>
        <v>16166345</v>
      </c>
      <c r="T1678" s="13">
        <f>SUMIF(N:N,Online_eCommerce[[#This Row],[Assigned Supervisor]],L:L)</f>
        <v>12261500</v>
      </c>
    </row>
    <row r="1679" spans="1:20" hidden="1" x14ac:dyDescent="0.3">
      <c r="A1679" t="s">
        <v>2610</v>
      </c>
      <c r="B1679" t="s">
        <v>235</v>
      </c>
      <c r="C1679" t="s">
        <v>205</v>
      </c>
      <c r="D1679" t="s">
        <v>2606</v>
      </c>
      <c r="E1679" t="s">
        <v>96</v>
      </c>
      <c r="F1679" t="s">
        <v>88</v>
      </c>
      <c r="G1679" t="s">
        <v>26</v>
      </c>
      <c r="H1679" t="s">
        <v>27</v>
      </c>
      <c r="I1679">
        <v>8500</v>
      </c>
      <c r="J1679">
        <v>11050</v>
      </c>
      <c r="K1679">
        <v>1</v>
      </c>
      <c r="L1679">
        <v>8500</v>
      </c>
      <c r="M1679">
        <v>11050</v>
      </c>
      <c r="N1679" t="s">
        <v>50</v>
      </c>
      <c r="O1679">
        <f t="shared" si="52"/>
        <v>33150</v>
      </c>
      <c r="P1679" s="13">
        <f t="shared" si="53"/>
        <v>1983254</v>
      </c>
      <c r="Q1679" s="13">
        <f>SUMIFS(M:M,E:E,Online_eCommerce[[#This Row],[Status]])</f>
        <v>21233992</v>
      </c>
      <c r="R1679" s="13">
        <f>SUMIFS(L:L,H:H,Online_eCommerce[[#This Row],[Brand]])</f>
        <v>14431000</v>
      </c>
      <c r="S1679" s="13">
        <f>SUMIF(H:H,Online_eCommerce[[#This Row],[Brand]],M:M)</f>
        <v>18760300</v>
      </c>
      <c r="T1679" s="13">
        <f>SUMIF(N:N,Online_eCommerce[[#This Row],[Assigned Supervisor]],L:L)</f>
        <v>12100590</v>
      </c>
    </row>
    <row r="1680" spans="1:20" hidden="1" x14ac:dyDescent="0.3">
      <c r="A1680" t="s">
        <v>2611</v>
      </c>
      <c r="B1680" t="s">
        <v>104</v>
      </c>
      <c r="C1680" t="s">
        <v>208</v>
      </c>
      <c r="D1680" t="s">
        <v>2612</v>
      </c>
      <c r="E1680" t="s">
        <v>18</v>
      </c>
      <c r="F1680" t="s">
        <v>32</v>
      </c>
      <c r="G1680" t="s">
        <v>33</v>
      </c>
      <c r="H1680" t="s">
        <v>34</v>
      </c>
      <c r="I1680">
        <v>7000</v>
      </c>
      <c r="J1680">
        <v>9100</v>
      </c>
      <c r="K1680">
        <v>4</v>
      </c>
      <c r="L1680">
        <v>28000</v>
      </c>
      <c r="M1680">
        <v>36400</v>
      </c>
      <c r="N1680" t="s">
        <v>56</v>
      </c>
      <c r="O1680">
        <f t="shared" si="52"/>
        <v>18200</v>
      </c>
      <c r="P1680" s="13">
        <f t="shared" si="53"/>
        <v>2746575</v>
      </c>
      <c r="Q1680" s="13">
        <f>SUMIFS(M:M,E:E,Online_eCommerce[[#This Row],[Status]])</f>
        <v>28340455</v>
      </c>
      <c r="R1680" s="13">
        <f>SUMIFS(L:L,H:H,Online_eCommerce[[#This Row],[Brand]])</f>
        <v>10087000</v>
      </c>
      <c r="S1680" s="13">
        <f>SUMIF(H:H,Online_eCommerce[[#This Row],[Brand]],M:M)</f>
        <v>13113100</v>
      </c>
      <c r="T1680" s="13">
        <f>SUMIF(N:N,Online_eCommerce[[#This Row],[Assigned Supervisor]],L:L)</f>
        <v>11733610</v>
      </c>
    </row>
    <row r="1681" spans="1:20" hidden="1" x14ac:dyDescent="0.3">
      <c r="A1681" t="s">
        <v>2613</v>
      </c>
      <c r="B1681" t="s">
        <v>109</v>
      </c>
      <c r="C1681" t="s">
        <v>211</v>
      </c>
      <c r="D1681" t="s">
        <v>2614</v>
      </c>
      <c r="E1681" t="s">
        <v>161</v>
      </c>
      <c r="F1681" t="s">
        <v>2615</v>
      </c>
      <c r="G1681" t="s">
        <v>163</v>
      </c>
      <c r="H1681" t="s">
        <v>41</v>
      </c>
      <c r="I1681">
        <v>1680</v>
      </c>
      <c r="J1681">
        <v>2184</v>
      </c>
      <c r="K1681">
        <v>4</v>
      </c>
      <c r="L1681">
        <v>6720</v>
      </c>
      <c r="M1681">
        <v>8736</v>
      </c>
      <c r="N1681" t="s">
        <v>22</v>
      </c>
      <c r="O1681">
        <f t="shared" si="52"/>
        <v>13650</v>
      </c>
      <c r="P1681" s="13">
        <f t="shared" si="53"/>
        <v>1809847</v>
      </c>
      <c r="Q1681" s="13">
        <f>SUMIFS(M:M,E:E,Online_eCommerce[[#This Row],[Status]])</f>
        <v>21103186</v>
      </c>
      <c r="R1681" s="13">
        <f>SUMIFS(L:L,H:H,Online_eCommerce[[#This Row],[Brand]])</f>
        <v>4260400</v>
      </c>
      <c r="S1681" s="13">
        <f>SUMIF(H:H,Online_eCommerce[[#This Row],[Brand]],M:M)</f>
        <v>5538520</v>
      </c>
      <c r="T1681" s="13">
        <f>SUMIF(N:N,Online_eCommerce[[#This Row],[Assigned Supervisor]],L:L)</f>
        <v>13693220</v>
      </c>
    </row>
    <row r="1682" spans="1:20" x14ac:dyDescent="0.3">
      <c r="A1682" t="s">
        <v>2616</v>
      </c>
      <c r="B1682" t="s">
        <v>114</v>
      </c>
      <c r="C1682" t="s">
        <v>16</v>
      </c>
      <c r="D1682" t="s">
        <v>2617</v>
      </c>
      <c r="E1682" t="s">
        <v>46</v>
      </c>
      <c r="F1682" t="s">
        <v>101</v>
      </c>
      <c r="G1682" t="s">
        <v>66</v>
      </c>
      <c r="H1682" t="s">
        <v>102</v>
      </c>
      <c r="I1682">
        <v>6540</v>
      </c>
      <c r="J1682">
        <v>8502</v>
      </c>
      <c r="K1682">
        <v>3</v>
      </c>
      <c r="L1682">
        <v>19620</v>
      </c>
      <c r="M1682">
        <v>25506</v>
      </c>
      <c r="N1682" t="s">
        <v>28</v>
      </c>
      <c r="O1682">
        <f t="shared" si="52"/>
        <v>1690</v>
      </c>
      <c r="P1682" s="13">
        <f t="shared" si="53"/>
        <v>2751814</v>
      </c>
      <c r="Q1682" s="13">
        <f>SUMIFS(M:M,E:E,Online_eCommerce[[#This Row],[Status]])</f>
        <v>28620410</v>
      </c>
      <c r="R1682" s="13">
        <f>SUMIFS(L:L,H:H,Online_eCommerce[[#This Row],[Brand]])</f>
        <v>2465580</v>
      </c>
      <c r="S1682" s="13">
        <f>SUMIF(H:H,Online_eCommerce[[#This Row],[Brand]],M:M)</f>
        <v>3205254</v>
      </c>
      <c r="T1682" s="13">
        <f>SUMIF(N:N,Online_eCommerce[[#This Row],[Assigned Supervisor]],L:L)</f>
        <v>12220830</v>
      </c>
    </row>
    <row r="1683" spans="1:20" hidden="1" x14ac:dyDescent="0.3">
      <c r="A1683" t="s">
        <v>2618</v>
      </c>
      <c r="B1683" t="s">
        <v>119</v>
      </c>
      <c r="C1683" t="s">
        <v>24</v>
      </c>
      <c r="D1683" t="s">
        <v>2619</v>
      </c>
      <c r="E1683" t="s">
        <v>96</v>
      </c>
      <c r="F1683" t="s">
        <v>107</v>
      </c>
      <c r="G1683" t="s">
        <v>54</v>
      </c>
      <c r="H1683" t="s">
        <v>55</v>
      </c>
      <c r="I1683">
        <v>2680</v>
      </c>
      <c r="J1683">
        <v>3484</v>
      </c>
      <c r="K1683">
        <v>2</v>
      </c>
      <c r="L1683">
        <v>5360</v>
      </c>
      <c r="M1683">
        <v>6968</v>
      </c>
      <c r="N1683" t="s">
        <v>35</v>
      </c>
      <c r="O1683">
        <f t="shared" si="52"/>
        <v>2990</v>
      </c>
      <c r="P1683" s="13">
        <f t="shared" si="53"/>
        <v>2009540</v>
      </c>
      <c r="Q1683" s="13">
        <f>SUMIFS(M:M,E:E,Online_eCommerce[[#This Row],[Status]])</f>
        <v>21233992</v>
      </c>
      <c r="R1683" s="13">
        <f>SUMIFS(L:L,H:H,Online_eCommerce[[#This Row],[Brand]])</f>
        <v>2267380</v>
      </c>
      <c r="S1683" s="13">
        <f>SUMIF(H:H,Online_eCommerce[[#This Row],[Brand]],M:M)</f>
        <v>2947594</v>
      </c>
      <c r="T1683" s="13">
        <f>SUMIF(N:N,Online_eCommerce[[#This Row],[Assigned Supervisor]],L:L)</f>
        <v>14373360</v>
      </c>
    </row>
    <row r="1684" spans="1:20" hidden="1" x14ac:dyDescent="0.3">
      <c r="A1684" t="s">
        <v>2620</v>
      </c>
      <c r="B1684" t="s">
        <v>124</v>
      </c>
      <c r="C1684" t="s">
        <v>31</v>
      </c>
      <c r="D1684" t="s">
        <v>2621</v>
      </c>
      <c r="E1684" t="s">
        <v>18</v>
      </c>
      <c r="F1684" t="s">
        <v>112</v>
      </c>
      <c r="G1684" t="s">
        <v>71</v>
      </c>
      <c r="H1684" t="s">
        <v>21</v>
      </c>
      <c r="I1684">
        <v>8250</v>
      </c>
      <c r="J1684">
        <v>10725</v>
      </c>
      <c r="K1684">
        <v>2</v>
      </c>
      <c r="L1684">
        <v>16500</v>
      </c>
      <c r="M1684">
        <v>21450</v>
      </c>
      <c r="N1684" t="s">
        <v>42</v>
      </c>
      <c r="O1684">
        <f t="shared" si="52"/>
        <v>9750</v>
      </c>
      <c r="P1684" s="13">
        <f t="shared" si="53"/>
        <v>2865746</v>
      </c>
      <c r="Q1684" s="13">
        <f>SUMIFS(M:M,E:E,Online_eCommerce[[#This Row],[Status]])</f>
        <v>28340455</v>
      </c>
      <c r="R1684" s="13">
        <f>SUMIFS(L:L,H:H,Online_eCommerce[[#This Row],[Brand]])</f>
        <v>12435650</v>
      </c>
      <c r="S1684" s="13">
        <f>SUMIF(H:H,Online_eCommerce[[#This Row],[Brand]],M:M)</f>
        <v>16166345</v>
      </c>
      <c r="T1684" s="13">
        <f>SUMIF(N:N,Online_eCommerce[[#This Row],[Assigned Supervisor]],L:L)</f>
        <v>12261500</v>
      </c>
    </row>
    <row r="1685" spans="1:20" hidden="1" x14ac:dyDescent="0.3">
      <c r="A1685" t="s">
        <v>2622</v>
      </c>
      <c r="B1685" t="s">
        <v>128</v>
      </c>
      <c r="C1685" t="s">
        <v>38</v>
      </c>
      <c r="D1685" t="s">
        <v>2623</v>
      </c>
      <c r="E1685" t="s">
        <v>161</v>
      </c>
      <c r="F1685" t="s">
        <v>2141</v>
      </c>
      <c r="G1685" t="s">
        <v>40</v>
      </c>
      <c r="H1685" t="s">
        <v>21</v>
      </c>
      <c r="I1685">
        <v>2650</v>
      </c>
      <c r="J1685">
        <v>3445</v>
      </c>
      <c r="K1685">
        <v>4</v>
      </c>
      <c r="L1685">
        <v>10600</v>
      </c>
      <c r="M1685">
        <v>13780</v>
      </c>
      <c r="N1685" t="s">
        <v>50</v>
      </c>
      <c r="O1685">
        <f t="shared" si="52"/>
        <v>25545</v>
      </c>
      <c r="P1685" s="13">
        <f t="shared" si="53"/>
        <v>1933997</v>
      </c>
      <c r="Q1685" s="13">
        <f>SUMIFS(M:M,E:E,Online_eCommerce[[#This Row],[Status]])</f>
        <v>21103186</v>
      </c>
      <c r="R1685" s="13">
        <f>SUMIFS(L:L,H:H,Online_eCommerce[[#This Row],[Brand]])</f>
        <v>12435650</v>
      </c>
      <c r="S1685" s="13">
        <f>SUMIF(H:H,Online_eCommerce[[#This Row],[Brand]],M:M)</f>
        <v>16166345</v>
      </c>
      <c r="T1685" s="13">
        <f>SUMIF(N:N,Online_eCommerce[[#This Row],[Assigned Supervisor]],L:L)</f>
        <v>12100590</v>
      </c>
    </row>
    <row r="1686" spans="1:20" x14ac:dyDescent="0.3">
      <c r="A1686" t="s">
        <v>2624</v>
      </c>
      <c r="B1686" t="s">
        <v>131</v>
      </c>
      <c r="C1686" t="s">
        <v>45</v>
      </c>
      <c r="D1686" t="s">
        <v>2625</v>
      </c>
      <c r="E1686" t="s">
        <v>46</v>
      </c>
      <c r="F1686" t="s">
        <v>121</v>
      </c>
      <c r="G1686" t="s">
        <v>71</v>
      </c>
      <c r="H1686" t="s">
        <v>122</v>
      </c>
      <c r="I1686">
        <v>12550</v>
      </c>
      <c r="J1686">
        <v>16315</v>
      </c>
      <c r="K1686">
        <v>4</v>
      </c>
      <c r="L1686">
        <v>50200</v>
      </c>
      <c r="M1686">
        <v>65260</v>
      </c>
      <c r="N1686" t="s">
        <v>56</v>
      </c>
      <c r="O1686">
        <f t="shared" si="52"/>
        <v>9750</v>
      </c>
      <c r="P1686" s="13">
        <f t="shared" si="53"/>
        <v>2842554</v>
      </c>
      <c r="Q1686" s="13">
        <f>SUMIFS(M:M,E:E,Online_eCommerce[[#This Row],[Status]])</f>
        <v>28620410</v>
      </c>
      <c r="R1686" s="13">
        <f>SUMIFS(L:L,H:H,Online_eCommerce[[#This Row],[Brand]])</f>
        <v>5045100</v>
      </c>
      <c r="S1686" s="13">
        <f>SUMIF(H:H,Online_eCommerce[[#This Row],[Brand]],M:M)</f>
        <v>6558630</v>
      </c>
      <c r="T1686" s="13">
        <f>SUMIF(N:N,Online_eCommerce[[#This Row],[Assigned Supervisor]],L:L)</f>
        <v>11733610</v>
      </c>
    </row>
    <row r="1687" spans="1:20" hidden="1" x14ac:dyDescent="0.3">
      <c r="A1687" t="s">
        <v>2626</v>
      </c>
      <c r="B1687" t="s">
        <v>135</v>
      </c>
      <c r="C1687" t="s">
        <v>52</v>
      </c>
      <c r="D1687" t="s">
        <v>2627</v>
      </c>
      <c r="E1687" t="s">
        <v>96</v>
      </c>
      <c r="F1687" t="s">
        <v>126</v>
      </c>
      <c r="G1687" t="s">
        <v>26</v>
      </c>
      <c r="H1687" t="s">
        <v>27</v>
      </c>
      <c r="I1687">
        <v>14500</v>
      </c>
      <c r="J1687">
        <v>18850</v>
      </c>
      <c r="K1687">
        <v>2</v>
      </c>
      <c r="L1687">
        <v>29000</v>
      </c>
      <c r="M1687">
        <v>37700</v>
      </c>
      <c r="N1687" t="s">
        <v>22</v>
      </c>
      <c r="O1687">
        <f t="shared" si="52"/>
        <v>33150</v>
      </c>
      <c r="P1687" s="13">
        <f t="shared" si="53"/>
        <v>1955044</v>
      </c>
      <c r="Q1687" s="13">
        <f>SUMIFS(M:M,E:E,Online_eCommerce[[#This Row],[Status]])</f>
        <v>21233992</v>
      </c>
      <c r="R1687" s="13">
        <f>SUMIFS(L:L,H:H,Online_eCommerce[[#This Row],[Brand]])</f>
        <v>14431000</v>
      </c>
      <c r="S1687" s="13">
        <f>SUMIF(H:H,Online_eCommerce[[#This Row],[Brand]],M:M)</f>
        <v>18760300</v>
      </c>
      <c r="T1687" s="13">
        <f>SUMIF(N:N,Online_eCommerce[[#This Row],[Assigned Supervisor]],L:L)</f>
        <v>13693220</v>
      </c>
    </row>
    <row r="1688" spans="1:20" hidden="1" x14ac:dyDescent="0.3">
      <c r="A1688" t="s">
        <v>2628</v>
      </c>
      <c r="B1688" t="s">
        <v>139</v>
      </c>
      <c r="C1688" t="s">
        <v>58</v>
      </c>
      <c r="D1688" t="s">
        <v>2629</v>
      </c>
      <c r="E1688" t="s">
        <v>18</v>
      </c>
      <c r="F1688" t="s">
        <v>129</v>
      </c>
      <c r="G1688" t="s">
        <v>60</v>
      </c>
      <c r="H1688" t="s">
        <v>61</v>
      </c>
      <c r="I1688">
        <v>800</v>
      </c>
      <c r="J1688">
        <v>1040</v>
      </c>
      <c r="K1688">
        <v>4</v>
      </c>
      <c r="L1688">
        <v>3200</v>
      </c>
      <c r="M1688">
        <v>4160</v>
      </c>
      <c r="N1688" t="s">
        <v>28</v>
      </c>
      <c r="O1688">
        <f t="shared" si="52"/>
        <v>3315</v>
      </c>
      <c r="P1688" s="13">
        <f t="shared" si="53"/>
        <v>2629211</v>
      </c>
      <c r="Q1688" s="13">
        <f>SUMIFS(M:M,E:E,Online_eCommerce[[#This Row],[Status]])</f>
        <v>28340455</v>
      </c>
      <c r="R1688" s="13">
        <f>SUMIFS(L:L,H:H,Online_eCommerce[[#This Row],[Brand]])</f>
        <v>10950150</v>
      </c>
      <c r="S1688" s="13">
        <f>SUMIF(H:H,Online_eCommerce[[#This Row],[Brand]],M:M)</f>
        <v>14235195</v>
      </c>
      <c r="T1688" s="13">
        <f>SUMIF(N:N,Online_eCommerce[[#This Row],[Assigned Supervisor]],L:L)</f>
        <v>12220830</v>
      </c>
    </row>
    <row r="1689" spans="1:20" hidden="1" x14ac:dyDescent="0.3">
      <c r="A1689" t="s">
        <v>2630</v>
      </c>
      <c r="B1689" t="s">
        <v>144</v>
      </c>
      <c r="C1689" t="s">
        <v>63</v>
      </c>
      <c r="D1689" t="s">
        <v>2631</v>
      </c>
      <c r="E1689" t="s">
        <v>161</v>
      </c>
      <c r="F1689" t="s">
        <v>133</v>
      </c>
      <c r="G1689" t="s">
        <v>66</v>
      </c>
      <c r="H1689" t="s">
        <v>21</v>
      </c>
      <c r="I1689">
        <v>600</v>
      </c>
      <c r="J1689">
        <v>780</v>
      </c>
      <c r="K1689">
        <v>2</v>
      </c>
      <c r="L1689">
        <v>1200</v>
      </c>
      <c r="M1689">
        <v>1560</v>
      </c>
      <c r="N1689" t="s">
        <v>35</v>
      </c>
      <c r="O1689">
        <f t="shared" si="52"/>
        <v>1690</v>
      </c>
      <c r="P1689" s="13">
        <f t="shared" si="53"/>
        <v>2016131</v>
      </c>
      <c r="Q1689" s="13">
        <f>SUMIFS(M:M,E:E,Online_eCommerce[[#This Row],[Status]])</f>
        <v>21103186</v>
      </c>
      <c r="R1689" s="13">
        <f>SUMIFS(L:L,H:H,Online_eCommerce[[#This Row],[Brand]])</f>
        <v>12435650</v>
      </c>
      <c r="S1689" s="13">
        <f>SUMIF(H:H,Online_eCommerce[[#This Row],[Brand]],M:M)</f>
        <v>16166345</v>
      </c>
      <c r="T1689" s="13">
        <f>SUMIF(N:N,Online_eCommerce[[#This Row],[Assigned Supervisor]],L:L)</f>
        <v>14373360</v>
      </c>
    </row>
    <row r="1690" spans="1:20" x14ac:dyDescent="0.3">
      <c r="A1690" t="s">
        <v>2632</v>
      </c>
      <c r="B1690" t="s">
        <v>149</v>
      </c>
      <c r="C1690" t="s">
        <v>68</v>
      </c>
      <c r="D1690" t="s">
        <v>2633</v>
      </c>
      <c r="E1690" t="s">
        <v>46</v>
      </c>
      <c r="F1690" t="s">
        <v>137</v>
      </c>
      <c r="G1690" t="s">
        <v>71</v>
      </c>
      <c r="H1690" t="s">
        <v>61</v>
      </c>
      <c r="I1690">
        <v>10500</v>
      </c>
      <c r="J1690">
        <v>13650</v>
      </c>
      <c r="K1690">
        <v>4</v>
      </c>
      <c r="L1690">
        <v>42000</v>
      </c>
      <c r="M1690">
        <v>54600</v>
      </c>
      <c r="N1690" t="s">
        <v>42</v>
      </c>
      <c r="O1690">
        <f t="shared" si="52"/>
        <v>9750</v>
      </c>
      <c r="P1690" s="13">
        <f t="shared" si="53"/>
        <v>2974621</v>
      </c>
      <c r="Q1690" s="13">
        <f>SUMIFS(M:M,E:E,Online_eCommerce[[#This Row],[Status]])</f>
        <v>28620410</v>
      </c>
      <c r="R1690" s="13">
        <f>SUMIFS(L:L,H:H,Online_eCommerce[[#This Row],[Brand]])</f>
        <v>10950150</v>
      </c>
      <c r="S1690" s="13">
        <f>SUMIF(H:H,Online_eCommerce[[#This Row],[Brand]],M:M)</f>
        <v>14235195</v>
      </c>
      <c r="T1690" s="13">
        <f>SUMIF(N:N,Online_eCommerce[[#This Row],[Assigned Supervisor]],L:L)</f>
        <v>12261500</v>
      </c>
    </row>
    <row r="1691" spans="1:20" hidden="1" x14ac:dyDescent="0.3">
      <c r="A1691" t="s">
        <v>2634</v>
      </c>
      <c r="B1691" t="s">
        <v>154</v>
      </c>
      <c r="C1691" t="s">
        <v>74</v>
      </c>
      <c r="D1691" t="s">
        <v>2635</v>
      </c>
      <c r="E1691" t="s">
        <v>96</v>
      </c>
      <c r="F1691" t="s">
        <v>2585</v>
      </c>
      <c r="G1691" t="s">
        <v>77</v>
      </c>
      <c r="H1691" t="s">
        <v>142</v>
      </c>
      <c r="I1691">
        <v>6500</v>
      </c>
      <c r="J1691">
        <v>8450</v>
      </c>
      <c r="K1691">
        <v>1</v>
      </c>
      <c r="L1691">
        <v>6500</v>
      </c>
      <c r="M1691">
        <v>8450</v>
      </c>
      <c r="N1691" t="s">
        <v>50</v>
      </c>
      <c r="O1691">
        <f t="shared" si="52"/>
        <v>39000</v>
      </c>
      <c r="P1691" s="13">
        <f t="shared" si="53"/>
        <v>2144701</v>
      </c>
      <c r="Q1691" s="13">
        <f>SUMIFS(M:M,E:E,Online_eCommerce[[#This Row],[Status]])</f>
        <v>21233992</v>
      </c>
      <c r="R1691" s="13">
        <f>SUMIFS(L:L,H:H,Online_eCommerce[[#This Row],[Brand]])</f>
        <v>6192500</v>
      </c>
      <c r="S1691" s="13">
        <f>SUMIF(H:H,Online_eCommerce[[#This Row],[Brand]],M:M)</f>
        <v>8050250</v>
      </c>
      <c r="T1691" s="13">
        <f>SUMIF(N:N,Online_eCommerce[[#This Row],[Assigned Supervisor]],L:L)</f>
        <v>12100590</v>
      </c>
    </row>
    <row r="1692" spans="1:20" hidden="1" x14ac:dyDescent="0.3">
      <c r="A1692" t="s">
        <v>2636</v>
      </c>
      <c r="B1692" t="s">
        <v>159</v>
      </c>
      <c r="C1692" t="s">
        <v>81</v>
      </c>
      <c r="D1692" t="s">
        <v>2637</v>
      </c>
      <c r="E1692" t="s">
        <v>18</v>
      </c>
      <c r="F1692" t="s">
        <v>2638</v>
      </c>
      <c r="G1692" t="s">
        <v>20</v>
      </c>
      <c r="H1692" t="s">
        <v>21</v>
      </c>
      <c r="I1692">
        <v>4500</v>
      </c>
      <c r="J1692">
        <v>5850</v>
      </c>
      <c r="K1692">
        <v>4</v>
      </c>
      <c r="L1692">
        <v>18000</v>
      </c>
      <c r="M1692">
        <v>23400</v>
      </c>
      <c r="N1692" t="s">
        <v>56</v>
      </c>
      <c r="O1692">
        <f t="shared" si="52"/>
        <v>8450</v>
      </c>
      <c r="P1692" s="13">
        <f t="shared" si="53"/>
        <v>2595632</v>
      </c>
      <c r="Q1692" s="13">
        <f>SUMIFS(M:M,E:E,Online_eCommerce[[#This Row],[Status]])</f>
        <v>28340455</v>
      </c>
      <c r="R1692" s="13">
        <f>SUMIFS(L:L,H:H,Online_eCommerce[[#This Row],[Brand]])</f>
        <v>12435650</v>
      </c>
      <c r="S1692" s="13">
        <f>SUMIF(H:H,Online_eCommerce[[#This Row],[Brand]],M:M)</f>
        <v>16166345</v>
      </c>
      <c r="T1692" s="13">
        <f>SUMIF(N:N,Online_eCommerce[[#This Row],[Assigned Supervisor]],L:L)</f>
        <v>11733610</v>
      </c>
    </row>
    <row r="1693" spans="1:20" hidden="1" x14ac:dyDescent="0.3">
      <c r="A1693" t="s">
        <v>2639</v>
      </c>
      <c r="B1693" t="s">
        <v>139</v>
      </c>
      <c r="C1693" t="s">
        <v>86</v>
      </c>
      <c r="D1693" t="s">
        <v>2640</v>
      </c>
      <c r="E1693" t="s">
        <v>161</v>
      </c>
      <c r="F1693" t="s">
        <v>152</v>
      </c>
      <c r="G1693" t="s">
        <v>26</v>
      </c>
      <c r="H1693" t="s">
        <v>27</v>
      </c>
      <c r="I1693">
        <v>8500</v>
      </c>
      <c r="J1693">
        <v>11050</v>
      </c>
      <c r="K1693">
        <v>2</v>
      </c>
      <c r="L1693">
        <v>17000</v>
      </c>
      <c r="M1693">
        <v>22100</v>
      </c>
      <c r="N1693" t="s">
        <v>22</v>
      </c>
      <c r="O1693">
        <f t="shared" si="52"/>
        <v>33150</v>
      </c>
      <c r="P1693" s="13">
        <f t="shared" si="53"/>
        <v>1941225</v>
      </c>
      <c r="Q1693" s="13">
        <f>SUMIFS(M:M,E:E,Online_eCommerce[[#This Row],[Status]])</f>
        <v>21103186</v>
      </c>
      <c r="R1693" s="13">
        <f>SUMIFS(L:L,H:H,Online_eCommerce[[#This Row],[Brand]])</f>
        <v>14431000</v>
      </c>
      <c r="S1693" s="13">
        <f>SUMIF(H:H,Online_eCommerce[[#This Row],[Brand]],M:M)</f>
        <v>18760300</v>
      </c>
      <c r="T1693" s="13">
        <f>SUMIF(N:N,Online_eCommerce[[#This Row],[Assigned Supervisor]],L:L)</f>
        <v>13693220</v>
      </c>
    </row>
    <row r="1694" spans="1:20" x14ac:dyDescent="0.3">
      <c r="A1694" t="s">
        <v>2641</v>
      </c>
      <c r="B1694" t="s">
        <v>144</v>
      </c>
      <c r="C1694" t="s">
        <v>91</v>
      </c>
      <c r="D1694" t="s">
        <v>2642</v>
      </c>
      <c r="E1694" t="s">
        <v>46</v>
      </c>
      <c r="F1694" t="s">
        <v>157</v>
      </c>
      <c r="G1694" t="s">
        <v>33</v>
      </c>
      <c r="H1694" t="s">
        <v>34</v>
      </c>
      <c r="I1694">
        <v>12500</v>
      </c>
      <c r="J1694">
        <v>16250</v>
      </c>
      <c r="K1694">
        <v>3</v>
      </c>
      <c r="L1694">
        <v>37500</v>
      </c>
      <c r="M1694">
        <v>48750</v>
      </c>
      <c r="N1694" t="s">
        <v>28</v>
      </c>
      <c r="O1694">
        <f t="shared" si="52"/>
        <v>18200</v>
      </c>
      <c r="P1694" s="13">
        <f t="shared" si="53"/>
        <v>2731963</v>
      </c>
      <c r="Q1694" s="13">
        <f>SUMIFS(M:M,E:E,Online_eCommerce[[#This Row],[Status]])</f>
        <v>28620410</v>
      </c>
      <c r="R1694" s="13">
        <f>SUMIFS(L:L,H:H,Online_eCommerce[[#This Row],[Brand]])</f>
        <v>10087000</v>
      </c>
      <c r="S1694" s="13">
        <f>SUMIF(H:H,Online_eCommerce[[#This Row],[Brand]],M:M)</f>
        <v>13113100</v>
      </c>
      <c r="T1694" s="13">
        <f>SUMIF(N:N,Online_eCommerce[[#This Row],[Assigned Supervisor]],L:L)</f>
        <v>12220830</v>
      </c>
    </row>
    <row r="1695" spans="1:20" hidden="1" x14ac:dyDescent="0.3">
      <c r="A1695" t="s">
        <v>2643</v>
      </c>
      <c r="B1695" t="s">
        <v>171</v>
      </c>
      <c r="C1695" t="s">
        <v>94</v>
      </c>
      <c r="D1695" t="s">
        <v>2644</v>
      </c>
      <c r="E1695" t="s">
        <v>96</v>
      </c>
      <c r="F1695" t="s">
        <v>2194</v>
      </c>
      <c r="G1695" t="s">
        <v>256</v>
      </c>
      <c r="H1695" t="s">
        <v>41</v>
      </c>
      <c r="I1695">
        <v>3500</v>
      </c>
      <c r="J1695">
        <v>4550</v>
      </c>
      <c r="K1695">
        <v>2</v>
      </c>
      <c r="L1695">
        <v>7000</v>
      </c>
      <c r="M1695">
        <v>9100</v>
      </c>
      <c r="N1695" t="s">
        <v>35</v>
      </c>
      <c r="O1695">
        <f t="shared" si="52"/>
        <v>9100</v>
      </c>
      <c r="P1695" s="13">
        <f t="shared" si="53"/>
        <v>1868256</v>
      </c>
      <c r="Q1695" s="13">
        <f>SUMIFS(M:M,E:E,Online_eCommerce[[#This Row],[Status]])</f>
        <v>21233992</v>
      </c>
      <c r="R1695" s="13">
        <f>SUMIFS(L:L,H:H,Online_eCommerce[[#This Row],[Brand]])</f>
        <v>4260400</v>
      </c>
      <c r="S1695" s="13">
        <f>SUMIF(H:H,Online_eCommerce[[#This Row],[Brand]],M:M)</f>
        <v>5538520</v>
      </c>
      <c r="T1695" s="13">
        <f>SUMIF(N:N,Online_eCommerce[[#This Row],[Assigned Supervisor]],L:L)</f>
        <v>14373360</v>
      </c>
    </row>
    <row r="1696" spans="1:20" hidden="1" x14ac:dyDescent="0.3">
      <c r="A1696" t="s">
        <v>2645</v>
      </c>
      <c r="B1696" t="s">
        <v>176</v>
      </c>
      <c r="C1696" t="s">
        <v>99</v>
      </c>
      <c r="D1696" t="s">
        <v>2646</v>
      </c>
      <c r="E1696" t="s">
        <v>18</v>
      </c>
      <c r="F1696" t="s">
        <v>166</v>
      </c>
      <c r="G1696" t="s">
        <v>259</v>
      </c>
      <c r="H1696" t="s">
        <v>49</v>
      </c>
      <c r="I1696">
        <v>4500</v>
      </c>
      <c r="J1696">
        <v>5850</v>
      </c>
      <c r="K1696">
        <v>2</v>
      </c>
      <c r="L1696">
        <v>9000</v>
      </c>
      <c r="M1696">
        <v>11700</v>
      </c>
      <c r="N1696" t="s">
        <v>42</v>
      </c>
      <c r="O1696">
        <f t="shared" si="52"/>
        <v>11700</v>
      </c>
      <c r="P1696" s="13">
        <f t="shared" si="53"/>
        <v>2651233</v>
      </c>
      <c r="Q1696" s="13">
        <f>SUMIFS(M:M,E:E,Online_eCommerce[[#This Row],[Status]])</f>
        <v>28340455</v>
      </c>
      <c r="R1696" s="13">
        <f>SUMIFS(L:L,H:H,Online_eCommerce[[#This Row],[Brand]])</f>
        <v>4528350</v>
      </c>
      <c r="S1696" s="13">
        <f>SUMIF(H:H,Online_eCommerce[[#This Row],[Brand]],M:M)</f>
        <v>5886855</v>
      </c>
      <c r="T1696" s="13">
        <f>SUMIF(N:N,Online_eCommerce[[#This Row],[Assigned Supervisor]],L:L)</f>
        <v>12261500</v>
      </c>
    </row>
    <row r="1697" spans="1:20" hidden="1" x14ac:dyDescent="0.3">
      <c r="A1697" t="s">
        <v>2647</v>
      </c>
      <c r="B1697" t="s">
        <v>276</v>
      </c>
      <c r="C1697" t="s">
        <v>105</v>
      </c>
      <c r="D1697" t="s">
        <v>2648</v>
      </c>
      <c r="E1697" t="s">
        <v>161</v>
      </c>
      <c r="F1697" t="s">
        <v>2649</v>
      </c>
      <c r="G1697" t="s">
        <v>54</v>
      </c>
      <c r="H1697" t="s">
        <v>55</v>
      </c>
      <c r="I1697">
        <v>2100</v>
      </c>
      <c r="J1697">
        <v>2730</v>
      </c>
      <c r="K1697">
        <v>3</v>
      </c>
      <c r="L1697">
        <v>6300</v>
      </c>
      <c r="M1697">
        <v>8190</v>
      </c>
      <c r="N1697" t="s">
        <v>50</v>
      </c>
      <c r="O1697">
        <f t="shared" si="52"/>
        <v>2990</v>
      </c>
      <c r="P1697" s="13">
        <f t="shared" si="53"/>
        <v>1866852</v>
      </c>
      <c r="Q1697" s="13">
        <f>SUMIFS(M:M,E:E,Online_eCommerce[[#This Row],[Status]])</f>
        <v>21103186</v>
      </c>
      <c r="R1697" s="13">
        <f>SUMIFS(L:L,H:H,Online_eCommerce[[#This Row],[Brand]])</f>
        <v>2267380</v>
      </c>
      <c r="S1697" s="13">
        <f>SUMIF(H:H,Online_eCommerce[[#This Row],[Brand]],M:M)</f>
        <v>2947594</v>
      </c>
      <c r="T1697" s="13">
        <f>SUMIF(N:N,Online_eCommerce[[#This Row],[Assigned Supervisor]],L:L)</f>
        <v>12100590</v>
      </c>
    </row>
    <row r="1698" spans="1:20" x14ac:dyDescent="0.3">
      <c r="A1698" t="s">
        <v>2650</v>
      </c>
      <c r="B1698" t="s">
        <v>280</v>
      </c>
      <c r="C1698" t="s">
        <v>110</v>
      </c>
      <c r="D1698" t="s">
        <v>2651</v>
      </c>
      <c r="E1698" t="s">
        <v>46</v>
      </c>
      <c r="F1698" t="s">
        <v>174</v>
      </c>
      <c r="G1698" t="s">
        <v>60</v>
      </c>
      <c r="H1698" t="s">
        <v>61</v>
      </c>
      <c r="I1698">
        <v>1150</v>
      </c>
      <c r="J1698">
        <v>1495</v>
      </c>
      <c r="K1698">
        <v>2</v>
      </c>
      <c r="L1698">
        <v>2300</v>
      </c>
      <c r="M1698">
        <v>2990</v>
      </c>
      <c r="N1698" t="s">
        <v>56</v>
      </c>
      <c r="O1698">
        <f t="shared" si="52"/>
        <v>3315</v>
      </c>
      <c r="P1698" s="13">
        <f t="shared" si="53"/>
        <v>2598635</v>
      </c>
      <c r="Q1698" s="13">
        <f>SUMIFS(M:M,E:E,Online_eCommerce[[#This Row],[Status]])</f>
        <v>28620410</v>
      </c>
      <c r="R1698" s="13">
        <f>SUMIFS(L:L,H:H,Online_eCommerce[[#This Row],[Brand]])</f>
        <v>10950150</v>
      </c>
      <c r="S1698" s="13">
        <f>SUMIF(H:H,Online_eCommerce[[#This Row],[Brand]],M:M)</f>
        <v>14235195</v>
      </c>
      <c r="T1698" s="13">
        <f>SUMIF(N:N,Online_eCommerce[[#This Row],[Assigned Supervisor]],L:L)</f>
        <v>11733610</v>
      </c>
    </row>
    <row r="1699" spans="1:20" hidden="1" x14ac:dyDescent="0.3">
      <c r="A1699" t="s">
        <v>2652</v>
      </c>
      <c r="B1699" t="s">
        <v>283</v>
      </c>
      <c r="C1699" t="s">
        <v>115</v>
      </c>
      <c r="D1699" t="s">
        <v>2653</v>
      </c>
      <c r="E1699" t="s">
        <v>96</v>
      </c>
      <c r="F1699" t="s">
        <v>179</v>
      </c>
      <c r="G1699" t="s">
        <v>66</v>
      </c>
      <c r="H1699" t="s">
        <v>21</v>
      </c>
      <c r="I1699">
        <v>350</v>
      </c>
      <c r="J1699">
        <v>455</v>
      </c>
      <c r="K1699">
        <v>3</v>
      </c>
      <c r="L1699">
        <v>1050</v>
      </c>
      <c r="M1699">
        <v>1365</v>
      </c>
      <c r="N1699" t="s">
        <v>22</v>
      </c>
      <c r="O1699">
        <f t="shared" si="52"/>
        <v>1690</v>
      </c>
      <c r="P1699" s="13">
        <f t="shared" si="53"/>
        <v>2050178</v>
      </c>
      <c r="Q1699" s="13">
        <f>SUMIFS(M:M,E:E,Online_eCommerce[[#This Row],[Status]])</f>
        <v>21233992</v>
      </c>
      <c r="R1699" s="13">
        <f>SUMIFS(L:L,H:H,Online_eCommerce[[#This Row],[Brand]])</f>
        <v>12435650</v>
      </c>
      <c r="S1699" s="13">
        <f>SUMIF(H:H,Online_eCommerce[[#This Row],[Brand]],M:M)</f>
        <v>16166345</v>
      </c>
      <c r="T1699" s="13">
        <f>SUMIF(N:N,Online_eCommerce[[#This Row],[Assigned Supervisor]],L:L)</f>
        <v>13693220</v>
      </c>
    </row>
    <row r="1700" spans="1:20" hidden="1" x14ac:dyDescent="0.3">
      <c r="A1700" t="s">
        <v>2654</v>
      </c>
      <c r="B1700" t="s">
        <v>283</v>
      </c>
      <c r="C1700" t="s">
        <v>120</v>
      </c>
      <c r="D1700" t="s">
        <v>2653</v>
      </c>
      <c r="E1700" t="s">
        <v>18</v>
      </c>
      <c r="F1700" t="s">
        <v>183</v>
      </c>
      <c r="G1700" t="s">
        <v>71</v>
      </c>
      <c r="H1700" t="s">
        <v>61</v>
      </c>
      <c r="I1700">
        <v>9500</v>
      </c>
      <c r="J1700">
        <v>12350</v>
      </c>
      <c r="K1700">
        <v>3</v>
      </c>
      <c r="L1700">
        <v>28500</v>
      </c>
      <c r="M1700">
        <v>37050</v>
      </c>
      <c r="N1700" t="s">
        <v>28</v>
      </c>
      <c r="O1700">
        <f t="shared" si="52"/>
        <v>9750</v>
      </c>
      <c r="P1700" s="13">
        <f t="shared" si="53"/>
        <v>2734212</v>
      </c>
      <c r="Q1700" s="13">
        <f>SUMIFS(M:M,E:E,Online_eCommerce[[#This Row],[Status]])</f>
        <v>28340455</v>
      </c>
      <c r="R1700" s="13">
        <f>SUMIFS(L:L,H:H,Online_eCommerce[[#This Row],[Brand]])</f>
        <v>10950150</v>
      </c>
      <c r="S1700" s="13">
        <f>SUMIF(H:H,Online_eCommerce[[#This Row],[Brand]],M:M)</f>
        <v>14235195</v>
      </c>
      <c r="T1700" s="13">
        <f>SUMIF(N:N,Online_eCommerce[[#This Row],[Assigned Supervisor]],L:L)</f>
        <v>12220830</v>
      </c>
    </row>
    <row r="1701" spans="1:20" hidden="1" x14ac:dyDescent="0.3">
      <c r="A1701" t="s">
        <v>2655</v>
      </c>
      <c r="B1701" t="s">
        <v>283</v>
      </c>
      <c r="C1701" t="s">
        <v>125</v>
      </c>
      <c r="D1701" t="s">
        <v>2656</v>
      </c>
      <c r="E1701" t="s">
        <v>161</v>
      </c>
      <c r="F1701" t="s">
        <v>2657</v>
      </c>
      <c r="G1701" t="s">
        <v>77</v>
      </c>
      <c r="H1701" t="s">
        <v>142</v>
      </c>
      <c r="I1701">
        <v>10000</v>
      </c>
      <c r="J1701">
        <v>13000</v>
      </c>
      <c r="K1701">
        <v>2</v>
      </c>
      <c r="L1701">
        <v>20000</v>
      </c>
      <c r="M1701">
        <v>26000</v>
      </c>
      <c r="N1701" t="s">
        <v>35</v>
      </c>
      <c r="O1701">
        <f t="shared" si="52"/>
        <v>39000</v>
      </c>
      <c r="P1701" s="13">
        <f t="shared" si="53"/>
        <v>2091154</v>
      </c>
      <c r="Q1701" s="13">
        <f>SUMIFS(M:M,E:E,Online_eCommerce[[#This Row],[Status]])</f>
        <v>21103186</v>
      </c>
      <c r="R1701" s="13">
        <f>SUMIFS(L:L,H:H,Online_eCommerce[[#This Row],[Brand]])</f>
        <v>6192500</v>
      </c>
      <c r="S1701" s="13">
        <f>SUMIF(H:H,Online_eCommerce[[#This Row],[Brand]],M:M)</f>
        <v>8050250</v>
      </c>
      <c r="T1701" s="13">
        <f>SUMIF(N:N,Online_eCommerce[[#This Row],[Assigned Supervisor]],L:L)</f>
        <v>14373360</v>
      </c>
    </row>
    <row r="1702" spans="1:20" x14ac:dyDescent="0.3">
      <c r="A1702" t="s">
        <v>2658</v>
      </c>
      <c r="B1702" t="s">
        <v>283</v>
      </c>
      <c r="C1702" t="s">
        <v>22</v>
      </c>
      <c r="D1702" t="s">
        <v>2659</v>
      </c>
      <c r="E1702" t="s">
        <v>46</v>
      </c>
      <c r="F1702" t="s">
        <v>2660</v>
      </c>
      <c r="G1702" t="s">
        <v>20</v>
      </c>
      <c r="H1702" t="s">
        <v>21</v>
      </c>
      <c r="I1702">
        <v>6500</v>
      </c>
      <c r="J1702">
        <v>8450</v>
      </c>
      <c r="K1702">
        <v>1</v>
      </c>
      <c r="L1702">
        <v>6500</v>
      </c>
      <c r="M1702">
        <v>8450</v>
      </c>
      <c r="N1702" t="s">
        <v>42</v>
      </c>
      <c r="O1702">
        <f t="shared" si="52"/>
        <v>8450</v>
      </c>
      <c r="P1702" s="13">
        <f t="shared" si="53"/>
        <v>2551588</v>
      </c>
      <c r="Q1702" s="13">
        <f>SUMIFS(M:M,E:E,Online_eCommerce[[#This Row],[Status]])</f>
        <v>28620410</v>
      </c>
      <c r="R1702" s="13">
        <f>SUMIFS(L:L,H:H,Online_eCommerce[[#This Row],[Brand]])</f>
        <v>12435650</v>
      </c>
      <c r="S1702" s="13">
        <f>SUMIF(H:H,Online_eCommerce[[#This Row],[Brand]],M:M)</f>
        <v>16166345</v>
      </c>
      <c r="T1702" s="13">
        <f>SUMIF(N:N,Online_eCommerce[[#This Row],[Assigned Supervisor]],L:L)</f>
        <v>12261500</v>
      </c>
    </row>
    <row r="1703" spans="1:20" hidden="1" x14ac:dyDescent="0.3">
      <c r="A1703" t="s">
        <v>2661</v>
      </c>
      <c r="B1703" t="s">
        <v>283</v>
      </c>
      <c r="C1703" t="s">
        <v>132</v>
      </c>
      <c r="D1703" t="s">
        <v>2659</v>
      </c>
      <c r="E1703" t="s">
        <v>96</v>
      </c>
      <c r="F1703" t="s">
        <v>2662</v>
      </c>
      <c r="G1703" t="s">
        <v>26</v>
      </c>
      <c r="H1703" t="s">
        <v>27</v>
      </c>
      <c r="I1703">
        <v>8500</v>
      </c>
      <c r="J1703">
        <v>11050</v>
      </c>
      <c r="K1703">
        <v>4</v>
      </c>
      <c r="L1703">
        <v>34000</v>
      </c>
      <c r="M1703">
        <v>44200</v>
      </c>
      <c r="N1703" t="s">
        <v>50</v>
      </c>
      <c r="O1703">
        <f t="shared" si="52"/>
        <v>33150</v>
      </c>
      <c r="P1703" s="13">
        <f t="shared" si="53"/>
        <v>1989065</v>
      </c>
      <c r="Q1703" s="13">
        <f>SUMIFS(M:M,E:E,Online_eCommerce[[#This Row],[Status]])</f>
        <v>21233992</v>
      </c>
      <c r="R1703" s="13">
        <f>SUMIFS(L:L,H:H,Online_eCommerce[[#This Row],[Brand]])</f>
        <v>14431000</v>
      </c>
      <c r="S1703" s="13">
        <f>SUMIF(H:H,Online_eCommerce[[#This Row],[Brand]],M:M)</f>
        <v>18760300</v>
      </c>
      <c r="T1703" s="13">
        <f>SUMIF(N:N,Online_eCommerce[[#This Row],[Assigned Supervisor]],L:L)</f>
        <v>12100590</v>
      </c>
    </row>
    <row r="1704" spans="1:20" hidden="1" x14ac:dyDescent="0.3">
      <c r="A1704" t="s">
        <v>2663</v>
      </c>
      <c r="B1704" t="s">
        <v>283</v>
      </c>
      <c r="C1704" t="s">
        <v>136</v>
      </c>
      <c r="D1704" t="s">
        <v>2659</v>
      </c>
      <c r="E1704" t="s">
        <v>18</v>
      </c>
      <c r="F1704" t="s">
        <v>32</v>
      </c>
      <c r="G1704" t="s">
        <v>33</v>
      </c>
      <c r="H1704" t="s">
        <v>34</v>
      </c>
      <c r="I1704">
        <v>7000</v>
      </c>
      <c r="J1704">
        <v>9100</v>
      </c>
      <c r="K1704">
        <v>2</v>
      </c>
      <c r="L1704">
        <v>14000</v>
      </c>
      <c r="M1704">
        <v>18200</v>
      </c>
      <c r="N1704" t="s">
        <v>56</v>
      </c>
      <c r="O1704">
        <f t="shared" si="52"/>
        <v>18200</v>
      </c>
      <c r="P1704" s="13">
        <f t="shared" si="53"/>
        <v>2775162</v>
      </c>
      <c r="Q1704" s="13">
        <f>SUMIFS(M:M,E:E,Online_eCommerce[[#This Row],[Status]])</f>
        <v>28340455</v>
      </c>
      <c r="R1704" s="13">
        <f>SUMIFS(L:L,H:H,Online_eCommerce[[#This Row],[Brand]])</f>
        <v>10087000</v>
      </c>
      <c r="S1704" s="13">
        <f>SUMIF(H:H,Online_eCommerce[[#This Row],[Brand]],M:M)</f>
        <v>13113100</v>
      </c>
      <c r="T1704" s="13">
        <f>SUMIF(N:N,Online_eCommerce[[#This Row],[Assigned Supervisor]],L:L)</f>
        <v>11733610</v>
      </c>
    </row>
    <row r="1705" spans="1:20" hidden="1" x14ac:dyDescent="0.3">
      <c r="A1705" t="s">
        <v>2664</v>
      </c>
      <c r="B1705" t="s">
        <v>283</v>
      </c>
      <c r="C1705" t="s">
        <v>140</v>
      </c>
      <c r="D1705" t="s">
        <v>2665</v>
      </c>
      <c r="E1705" t="s">
        <v>161</v>
      </c>
      <c r="F1705" t="s">
        <v>2666</v>
      </c>
      <c r="G1705" t="s">
        <v>256</v>
      </c>
      <c r="H1705" t="s">
        <v>41</v>
      </c>
      <c r="I1705">
        <v>6550</v>
      </c>
      <c r="J1705">
        <v>8515</v>
      </c>
      <c r="K1705">
        <v>4</v>
      </c>
      <c r="L1705">
        <v>26200</v>
      </c>
      <c r="M1705">
        <v>34060</v>
      </c>
      <c r="N1705" t="s">
        <v>22</v>
      </c>
      <c r="O1705">
        <f t="shared" si="52"/>
        <v>9100</v>
      </c>
      <c r="P1705" s="13">
        <f t="shared" si="53"/>
        <v>2058264</v>
      </c>
      <c r="Q1705" s="13">
        <f>SUMIFS(M:M,E:E,Online_eCommerce[[#This Row],[Status]])</f>
        <v>21103186</v>
      </c>
      <c r="R1705" s="13">
        <f>SUMIFS(L:L,H:H,Online_eCommerce[[#This Row],[Brand]])</f>
        <v>4260400</v>
      </c>
      <c r="S1705" s="13">
        <f>SUMIF(H:H,Online_eCommerce[[#This Row],[Brand]],M:M)</f>
        <v>5538520</v>
      </c>
      <c r="T1705" s="13">
        <f>SUMIF(N:N,Online_eCommerce[[#This Row],[Assigned Supervisor]],L:L)</f>
        <v>13693220</v>
      </c>
    </row>
    <row r="1706" spans="1:20" x14ac:dyDescent="0.3">
      <c r="A1706" t="s">
        <v>2667</v>
      </c>
      <c r="B1706" t="s">
        <v>283</v>
      </c>
      <c r="C1706" t="s">
        <v>145</v>
      </c>
      <c r="D1706" t="s">
        <v>2668</v>
      </c>
      <c r="E1706" t="s">
        <v>46</v>
      </c>
      <c r="F1706" t="s">
        <v>47</v>
      </c>
      <c r="G1706" t="s">
        <v>259</v>
      </c>
      <c r="H1706" t="s">
        <v>49</v>
      </c>
      <c r="I1706">
        <v>7650</v>
      </c>
      <c r="J1706">
        <v>9945</v>
      </c>
      <c r="K1706">
        <v>2</v>
      </c>
      <c r="L1706">
        <v>15300</v>
      </c>
      <c r="M1706">
        <v>19890</v>
      </c>
      <c r="N1706" t="s">
        <v>28</v>
      </c>
      <c r="O1706">
        <f t="shared" si="52"/>
        <v>11700</v>
      </c>
      <c r="P1706" s="13">
        <f t="shared" si="53"/>
        <v>2757859</v>
      </c>
      <c r="Q1706" s="13">
        <f>SUMIFS(M:M,E:E,Online_eCommerce[[#This Row],[Status]])</f>
        <v>28620410</v>
      </c>
      <c r="R1706" s="13">
        <f>SUMIFS(L:L,H:H,Online_eCommerce[[#This Row],[Brand]])</f>
        <v>4528350</v>
      </c>
      <c r="S1706" s="13">
        <f>SUMIF(H:H,Online_eCommerce[[#This Row],[Brand]],M:M)</f>
        <v>5886855</v>
      </c>
      <c r="T1706" s="13">
        <f>SUMIF(N:N,Online_eCommerce[[#This Row],[Assigned Supervisor]],L:L)</f>
        <v>12220830</v>
      </c>
    </row>
    <row r="1707" spans="1:20" hidden="1" x14ac:dyDescent="0.3">
      <c r="A1707" t="s">
        <v>2669</v>
      </c>
      <c r="B1707" t="s">
        <v>283</v>
      </c>
      <c r="C1707" t="s">
        <v>150</v>
      </c>
      <c r="D1707" t="s">
        <v>2670</v>
      </c>
      <c r="E1707" t="s">
        <v>96</v>
      </c>
      <c r="F1707" t="s">
        <v>53</v>
      </c>
      <c r="G1707" t="s">
        <v>54</v>
      </c>
      <c r="H1707" t="s">
        <v>55</v>
      </c>
      <c r="I1707">
        <v>1150</v>
      </c>
      <c r="J1707">
        <v>1495</v>
      </c>
      <c r="K1707">
        <v>1</v>
      </c>
      <c r="L1707">
        <v>1150</v>
      </c>
      <c r="M1707">
        <v>1495</v>
      </c>
      <c r="N1707" t="s">
        <v>35</v>
      </c>
      <c r="O1707">
        <f t="shared" si="52"/>
        <v>2990</v>
      </c>
      <c r="P1707" s="13">
        <f t="shared" si="53"/>
        <v>2154984</v>
      </c>
      <c r="Q1707" s="13">
        <f>SUMIFS(M:M,E:E,Online_eCommerce[[#This Row],[Status]])</f>
        <v>21233992</v>
      </c>
      <c r="R1707" s="13">
        <f>SUMIFS(L:L,H:H,Online_eCommerce[[#This Row],[Brand]])</f>
        <v>2267380</v>
      </c>
      <c r="S1707" s="13">
        <f>SUMIF(H:H,Online_eCommerce[[#This Row],[Brand]],M:M)</f>
        <v>2947594</v>
      </c>
      <c r="T1707" s="13">
        <f>SUMIF(N:N,Online_eCommerce[[#This Row],[Assigned Supervisor]],L:L)</f>
        <v>14373360</v>
      </c>
    </row>
    <row r="1708" spans="1:20" hidden="1" x14ac:dyDescent="0.3">
      <c r="A1708" t="s">
        <v>2671</v>
      </c>
      <c r="B1708" t="s">
        <v>283</v>
      </c>
      <c r="C1708" t="s">
        <v>155</v>
      </c>
      <c r="D1708" t="s">
        <v>2672</v>
      </c>
      <c r="E1708" t="s">
        <v>18</v>
      </c>
      <c r="F1708" t="s">
        <v>59</v>
      </c>
      <c r="G1708" t="s">
        <v>60</v>
      </c>
      <c r="H1708" t="s">
        <v>61</v>
      </c>
      <c r="I1708">
        <v>850</v>
      </c>
      <c r="J1708">
        <v>1105</v>
      </c>
      <c r="K1708">
        <v>2</v>
      </c>
      <c r="L1708">
        <v>1700</v>
      </c>
      <c r="M1708">
        <v>2210</v>
      </c>
      <c r="N1708" t="s">
        <v>42</v>
      </c>
      <c r="O1708">
        <f t="shared" si="52"/>
        <v>3315</v>
      </c>
      <c r="P1708" s="13">
        <f t="shared" si="53"/>
        <v>2753348</v>
      </c>
      <c r="Q1708" s="13">
        <f>SUMIFS(M:M,E:E,Online_eCommerce[[#This Row],[Status]])</f>
        <v>28340455</v>
      </c>
      <c r="R1708" s="13">
        <f>SUMIFS(L:L,H:H,Online_eCommerce[[#This Row],[Brand]])</f>
        <v>10950150</v>
      </c>
      <c r="S1708" s="13">
        <f>SUMIF(H:H,Online_eCommerce[[#This Row],[Brand]],M:M)</f>
        <v>14235195</v>
      </c>
      <c r="T1708" s="13">
        <f>SUMIF(N:N,Online_eCommerce[[#This Row],[Assigned Supervisor]],L:L)</f>
        <v>12261500</v>
      </c>
    </row>
    <row r="1709" spans="1:20" hidden="1" x14ac:dyDescent="0.3">
      <c r="A1709" t="s">
        <v>2673</v>
      </c>
      <c r="B1709" t="s">
        <v>283</v>
      </c>
      <c r="C1709" t="s">
        <v>160</v>
      </c>
      <c r="D1709" t="s">
        <v>2674</v>
      </c>
      <c r="E1709" t="s">
        <v>161</v>
      </c>
      <c r="F1709" t="s">
        <v>65</v>
      </c>
      <c r="G1709" t="s">
        <v>66</v>
      </c>
      <c r="H1709" t="s">
        <v>21</v>
      </c>
      <c r="I1709">
        <v>650</v>
      </c>
      <c r="J1709">
        <v>845</v>
      </c>
      <c r="K1709">
        <v>1</v>
      </c>
      <c r="L1709">
        <v>650</v>
      </c>
      <c r="M1709">
        <v>845</v>
      </c>
      <c r="N1709" t="s">
        <v>50</v>
      </c>
      <c r="O1709">
        <f t="shared" si="52"/>
        <v>1690</v>
      </c>
      <c r="P1709" s="13">
        <f t="shared" si="53"/>
        <v>2303483</v>
      </c>
      <c r="Q1709" s="13">
        <f>SUMIFS(M:M,E:E,Online_eCommerce[[#This Row],[Status]])</f>
        <v>21103186</v>
      </c>
      <c r="R1709" s="13">
        <f>SUMIFS(L:L,H:H,Online_eCommerce[[#This Row],[Brand]])</f>
        <v>12435650</v>
      </c>
      <c r="S1709" s="13">
        <f>SUMIF(H:H,Online_eCommerce[[#This Row],[Brand]],M:M)</f>
        <v>16166345</v>
      </c>
      <c r="T1709" s="13">
        <f>SUMIF(N:N,Online_eCommerce[[#This Row],[Assigned Supervisor]],L:L)</f>
        <v>12100590</v>
      </c>
    </row>
    <row r="1710" spans="1:20" x14ac:dyDescent="0.3">
      <c r="A1710" t="s">
        <v>2675</v>
      </c>
      <c r="B1710" t="s">
        <v>283</v>
      </c>
      <c r="C1710" t="s">
        <v>165</v>
      </c>
      <c r="D1710" t="s">
        <v>2676</v>
      </c>
      <c r="E1710" t="s">
        <v>46</v>
      </c>
      <c r="F1710" t="s">
        <v>70</v>
      </c>
      <c r="G1710" t="s">
        <v>71</v>
      </c>
      <c r="H1710" t="s">
        <v>61</v>
      </c>
      <c r="I1710">
        <v>7500</v>
      </c>
      <c r="J1710">
        <v>9750</v>
      </c>
      <c r="K1710">
        <v>3</v>
      </c>
      <c r="L1710">
        <v>22500</v>
      </c>
      <c r="M1710">
        <v>29250</v>
      </c>
      <c r="N1710" t="s">
        <v>56</v>
      </c>
      <c r="O1710">
        <f t="shared" si="52"/>
        <v>9750</v>
      </c>
      <c r="P1710" s="13">
        <f t="shared" si="53"/>
        <v>2674087</v>
      </c>
      <c r="Q1710" s="13">
        <f>SUMIFS(M:M,E:E,Online_eCommerce[[#This Row],[Status]])</f>
        <v>28620410</v>
      </c>
      <c r="R1710" s="13">
        <f>SUMIFS(L:L,H:H,Online_eCommerce[[#This Row],[Brand]])</f>
        <v>10950150</v>
      </c>
      <c r="S1710" s="13">
        <f>SUMIF(H:H,Online_eCommerce[[#This Row],[Brand]],M:M)</f>
        <v>14235195</v>
      </c>
      <c r="T1710" s="13">
        <f>SUMIF(N:N,Online_eCommerce[[#This Row],[Assigned Supervisor]],L:L)</f>
        <v>11733610</v>
      </c>
    </row>
    <row r="1711" spans="1:20" hidden="1" x14ac:dyDescent="0.3">
      <c r="A1711" t="s">
        <v>2677</v>
      </c>
      <c r="B1711" t="s">
        <v>283</v>
      </c>
      <c r="C1711" t="s">
        <v>168</v>
      </c>
      <c r="D1711" t="s">
        <v>2678</v>
      </c>
      <c r="E1711" t="s">
        <v>96</v>
      </c>
      <c r="F1711" t="s">
        <v>2657</v>
      </c>
      <c r="G1711" t="s">
        <v>77</v>
      </c>
      <c r="H1711" t="s">
        <v>78</v>
      </c>
      <c r="I1711">
        <v>10000</v>
      </c>
      <c r="J1711">
        <v>13000</v>
      </c>
      <c r="K1711">
        <v>2</v>
      </c>
      <c r="L1711">
        <v>20000</v>
      </c>
      <c r="M1711">
        <v>26000</v>
      </c>
      <c r="N1711" t="s">
        <v>22</v>
      </c>
      <c r="O1711">
        <f t="shared" si="52"/>
        <v>39000</v>
      </c>
      <c r="P1711" s="13">
        <f t="shared" si="53"/>
        <v>1937780</v>
      </c>
      <c r="Q1711" s="13">
        <f>SUMIFS(M:M,E:E,Online_eCommerce[[#This Row],[Status]])</f>
        <v>21233992</v>
      </c>
      <c r="R1711" s="13">
        <f>SUMIFS(L:L,H:H,Online_eCommerce[[#This Row],[Brand]])</f>
        <v>3720000</v>
      </c>
      <c r="S1711" s="13">
        <f>SUMIF(H:H,Online_eCommerce[[#This Row],[Brand]],M:M)</f>
        <v>4836000</v>
      </c>
      <c r="T1711" s="13">
        <f>SUMIF(N:N,Online_eCommerce[[#This Row],[Assigned Supervisor]],L:L)</f>
        <v>13693220</v>
      </c>
    </row>
    <row r="1712" spans="1:20" hidden="1" x14ac:dyDescent="0.3">
      <c r="A1712" t="s">
        <v>2679</v>
      </c>
      <c r="B1712" t="s">
        <v>283</v>
      </c>
      <c r="C1712" t="s">
        <v>172</v>
      </c>
      <c r="D1712" t="s">
        <v>2680</v>
      </c>
      <c r="E1712" t="s">
        <v>18</v>
      </c>
      <c r="F1712" t="s">
        <v>2681</v>
      </c>
      <c r="G1712" t="s">
        <v>20</v>
      </c>
      <c r="H1712" t="s">
        <v>21</v>
      </c>
      <c r="I1712">
        <v>10500</v>
      </c>
      <c r="J1712">
        <v>13650</v>
      </c>
      <c r="K1712">
        <v>1</v>
      </c>
      <c r="L1712">
        <v>10500</v>
      </c>
      <c r="M1712">
        <v>13650</v>
      </c>
      <c r="N1712" t="s">
        <v>28</v>
      </c>
      <c r="O1712">
        <f t="shared" si="52"/>
        <v>8450</v>
      </c>
      <c r="P1712" s="13">
        <f t="shared" si="53"/>
        <v>2640274</v>
      </c>
      <c r="Q1712" s="13">
        <f>SUMIFS(M:M,E:E,Online_eCommerce[[#This Row],[Status]])</f>
        <v>28340455</v>
      </c>
      <c r="R1712" s="13">
        <f>SUMIFS(L:L,H:H,Online_eCommerce[[#This Row],[Brand]])</f>
        <v>12435650</v>
      </c>
      <c r="S1712" s="13">
        <f>SUMIF(H:H,Online_eCommerce[[#This Row],[Brand]],M:M)</f>
        <v>16166345</v>
      </c>
      <c r="T1712" s="13">
        <f>SUMIF(N:N,Online_eCommerce[[#This Row],[Assigned Supervisor]],L:L)</f>
        <v>12220830</v>
      </c>
    </row>
    <row r="1713" spans="1:20" hidden="1" x14ac:dyDescent="0.3">
      <c r="A1713" t="s">
        <v>2682</v>
      </c>
      <c r="B1713" t="s">
        <v>283</v>
      </c>
      <c r="C1713" t="s">
        <v>177</v>
      </c>
      <c r="D1713" t="s">
        <v>2683</v>
      </c>
      <c r="E1713" t="s">
        <v>161</v>
      </c>
      <c r="F1713" t="s">
        <v>88</v>
      </c>
      <c r="G1713" t="s">
        <v>26</v>
      </c>
      <c r="H1713" t="s">
        <v>27</v>
      </c>
      <c r="I1713">
        <v>8500</v>
      </c>
      <c r="J1713">
        <v>11050</v>
      </c>
      <c r="K1713">
        <v>2</v>
      </c>
      <c r="L1713">
        <v>17000</v>
      </c>
      <c r="M1713">
        <v>22100</v>
      </c>
      <c r="N1713" t="s">
        <v>35</v>
      </c>
      <c r="O1713">
        <f t="shared" si="52"/>
        <v>33150</v>
      </c>
      <c r="P1713" s="13">
        <f t="shared" si="53"/>
        <v>1863810</v>
      </c>
      <c r="Q1713" s="13">
        <f>SUMIFS(M:M,E:E,Online_eCommerce[[#This Row],[Status]])</f>
        <v>21103186</v>
      </c>
      <c r="R1713" s="13">
        <f>SUMIFS(L:L,H:H,Online_eCommerce[[#This Row],[Brand]])</f>
        <v>14431000</v>
      </c>
      <c r="S1713" s="13">
        <f>SUMIF(H:H,Online_eCommerce[[#This Row],[Brand]],M:M)</f>
        <v>18760300</v>
      </c>
      <c r="T1713" s="13">
        <f>SUMIF(N:N,Online_eCommerce[[#This Row],[Assigned Supervisor]],L:L)</f>
        <v>14373360</v>
      </c>
    </row>
    <row r="1714" spans="1:20" x14ac:dyDescent="0.3">
      <c r="A1714" t="s">
        <v>2684</v>
      </c>
      <c r="B1714" t="s">
        <v>283</v>
      </c>
      <c r="C1714" t="s">
        <v>181</v>
      </c>
      <c r="D1714" t="s">
        <v>2685</v>
      </c>
      <c r="E1714" t="s">
        <v>46</v>
      </c>
      <c r="F1714" t="s">
        <v>32</v>
      </c>
      <c r="G1714" t="s">
        <v>33</v>
      </c>
      <c r="H1714" t="s">
        <v>34</v>
      </c>
      <c r="I1714">
        <v>7000</v>
      </c>
      <c r="J1714">
        <v>9100</v>
      </c>
      <c r="K1714">
        <v>3</v>
      </c>
      <c r="L1714">
        <v>21000</v>
      </c>
      <c r="M1714">
        <v>27300</v>
      </c>
      <c r="N1714" t="s">
        <v>42</v>
      </c>
      <c r="O1714">
        <f t="shared" si="52"/>
        <v>18200</v>
      </c>
      <c r="P1714" s="13">
        <f t="shared" si="53"/>
        <v>2577458</v>
      </c>
      <c r="Q1714" s="13">
        <f>SUMIFS(M:M,E:E,Online_eCommerce[[#This Row],[Status]])</f>
        <v>28620410</v>
      </c>
      <c r="R1714" s="13">
        <f>SUMIFS(L:L,H:H,Online_eCommerce[[#This Row],[Brand]])</f>
        <v>10087000</v>
      </c>
      <c r="S1714" s="13">
        <f>SUMIF(H:H,Online_eCommerce[[#This Row],[Brand]],M:M)</f>
        <v>13113100</v>
      </c>
      <c r="T1714" s="13">
        <f>SUMIF(N:N,Online_eCommerce[[#This Row],[Assigned Supervisor]],L:L)</f>
        <v>12261500</v>
      </c>
    </row>
    <row r="1715" spans="1:20" hidden="1" x14ac:dyDescent="0.3">
      <c r="A1715" t="s">
        <v>2686</v>
      </c>
      <c r="B1715" t="s">
        <v>283</v>
      </c>
      <c r="C1715" t="s">
        <v>185</v>
      </c>
      <c r="D1715" t="s">
        <v>2687</v>
      </c>
      <c r="E1715" t="s">
        <v>96</v>
      </c>
      <c r="F1715" t="s">
        <v>2688</v>
      </c>
      <c r="G1715" t="s">
        <v>256</v>
      </c>
      <c r="H1715" t="s">
        <v>41</v>
      </c>
      <c r="I1715">
        <v>1680</v>
      </c>
      <c r="J1715">
        <v>2184</v>
      </c>
      <c r="K1715">
        <v>2</v>
      </c>
      <c r="L1715">
        <v>3360</v>
      </c>
      <c r="M1715">
        <v>4368</v>
      </c>
      <c r="N1715" t="s">
        <v>50</v>
      </c>
      <c r="O1715">
        <f t="shared" si="52"/>
        <v>9100</v>
      </c>
      <c r="P1715" s="13">
        <f t="shared" si="53"/>
        <v>2091596</v>
      </c>
      <c r="Q1715" s="13">
        <f>SUMIFS(M:M,E:E,Online_eCommerce[[#This Row],[Status]])</f>
        <v>21233992</v>
      </c>
      <c r="R1715" s="13">
        <f>SUMIFS(L:L,H:H,Online_eCommerce[[#This Row],[Brand]])</f>
        <v>4260400</v>
      </c>
      <c r="S1715" s="13">
        <f>SUMIF(H:H,Online_eCommerce[[#This Row],[Brand]],M:M)</f>
        <v>5538520</v>
      </c>
      <c r="T1715" s="13">
        <f>SUMIF(N:N,Online_eCommerce[[#This Row],[Assigned Supervisor]],L:L)</f>
        <v>12100590</v>
      </c>
    </row>
    <row r="1716" spans="1:20" hidden="1" x14ac:dyDescent="0.3">
      <c r="A1716" t="s">
        <v>2689</v>
      </c>
      <c r="B1716" t="s">
        <v>283</v>
      </c>
      <c r="C1716" t="s">
        <v>189</v>
      </c>
      <c r="D1716" t="s">
        <v>2690</v>
      </c>
      <c r="E1716" t="s">
        <v>18</v>
      </c>
      <c r="F1716" t="s">
        <v>101</v>
      </c>
      <c r="G1716" t="s">
        <v>259</v>
      </c>
      <c r="H1716" t="s">
        <v>102</v>
      </c>
      <c r="I1716">
        <v>6540</v>
      </c>
      <c r="J1716">
        <v>8502</v>
      </c>
      <c r="K1716">
        <v>2</v>
      </c>
      <c r="L1716">
        <v>13080</v>
      </c>
      <c r="M1716">
        <v>17004</v>
      </c>
      <c r="N1716" t="s">
        <v>56</v>
      </c>
      <c r="O1716">
        <f t="shared" si="52"/>
        <v>11700</v>
      </c>
      <c r="P1716" s="13">
        <f t="shared" si="53"/>
        <v>2740777</v>
      </c>
      <c r="Q1716" s="13">
        <f>SUMIFS(M:M,E:E,Online_eCommerce[[#This Row],[Status]])</f>
        <v>28340455</v>
      </c>
      <c r="R1716" s="13">
        <f>SUMIFS(L:L,H:H,Online_eCommerce[[#This Row],[Brand]])</f>
        <v>2465580</v>
      </c>
      <c r="S1716" s="13">
        <f>SUMIF(H:H,Online_eCommerce[[#This Row],[Brand]],M:M)</f>
        <v>3205254</v>
      </c>
      <c r="T1716" s="13">
        <f>SUMIF(N:N,Online_eCommerce[[#This Row],[Assigned Supervisor]],L:L)</f>
        <v>11733610</v>
      </c>
    </row>
    <row r="1717" spans="1:20" hidden="1" x14ac:dyDescent="0.3">
      <c r="A1717" t="s">
        <v>2691</v>
      </c>
      <c r="B1717" t="s">
        <v>283</v>
      </c>
      <c r="C1717" t="s">
        <v>193</v>
      </c>
      <c r="D1717" t="s">
        <v>2692</v>
      </c>
      <c r="E1717" t="s">
        <v>161</v>
      </c>
      <c r="F1717" t="s">
        <v>107</v>
      </c>
      <c r="G1717" t="s">
        <v>54</v>
      </c>
      <c r="H1717" t="s">
        <v>55</v>
      </c>
      <c r="I1717">
        <v>2680</v>
      </c>
      <c r="J1717">
        <v>3484</v>
      </c>
      <c r="K1717">
        <v>4</v>
      </c>
      <c r="L1717">
        <v>10720</v>
      </c>
      <c r="M1717">
        <v>13936</v>
      </c>
      <c r="N1717" t="s">
        <v>22</v>
      </c>
      <c r="O1717">
        <f t="shared" si="52"/>
        <v>2990</v>
      </c>
      <c r="P1717" s="13">
        <f t="shared" si="53"/>
        <v>2074774</v>
      </c>
      <c r="Q1717" s="13">
        <f>SUMIFS(M:M,E:E,Online_eCommerce[[#This Row],[Status]])</f>
        <v>21103186</v>
      </c>
      <c r="R1717" s="13">
        <f>SUMIFS(L:L,H:H,Online_eCommerce[[#This Row],[Brand]])</f>
        <v>2267380</v>
      </c>
      <c r="S1717" s="13">
        <f>SUMIF(H:H,Online_eCommerce[[#This Row],[Brand]],M:M)</f>
        <v>2947594</v>
      </c>
      <c r="T1717" s="13">
        <f>SUMIF(N:N,Online_eCommerce[[#This Row],[Assigned Supervisor]],L:L)</f>
        <v>13693220</v>
      </c>
    </row>
    <row r="1718" spans="1:20" x14ac:dyDescent="0.3">
      <c r="A1718" t="s">
        <v>2693</v>
      </c>
      <c r="B1718" t="s">
        <v>283</v>
      </c>
      <c r="C1718" t="s">
        <v>197</v>
      </c>
      <c r="D1718" t="s">
        <v>2694</v>
      </c>
      <c r="E1718" t="s">
        <v>46</v>
      </c>
      <c r="F1718" t="s">
        <v>112</v>
      </c>
      <c r="G1718" t="s">
        <v>71</v>
      </c>
      <c r="H1718" t="s">
        <v>21</v>
      </c>
      <c r="I1718">
        <v>8250</v>
      </c>
      <c r="J1718">
        <v>10725</v>
      </c>
      <c r="K1718">
        <v>4</v>
      </c>
      <c r="L1718">
        <v>33000</v>
      </c>
      <c r="M1718">
        <v>42900</v>
      </c>
      <c r="N1718" t="s">
        <v>28</v>
      </c>
      <c r="O1718">
        <f t="shared" si="52"/>
        <v>9750</v>
      </c>
      <c r="P1718" s="13">
        <f t="shared" si="53"/>
        <v>2829840</v>
      </c>
      <c r="Q1718" s="13">
        <f>SUMIFS(M:M,E:E,Online_eCommerce[[#This Row],[Status]])</f>
        <v>28620410</v>
      </c>
      <c r="R1718" s="13">
        <f>SUMIFS(L:L,H:H,Online_eCommerce[[#This Row],[Brand]])</f>
        <v>12435650</v>
      </c>
      <c r="S1718" s="13">
        <f>SUMIF(H:H,Online_eCommerce[[#This Row],[Brand]],M:M)</f>
        <v>16166345</v>
      </c>
      <c r="T1718" s="13">
        <f>SUMIF(N:N,Online_eCommerce[[#This Row],[Assigned Supervisor]],L:L)</f>
        <v>12220830</v>
      </c>
    </row>
    <row r="1719" spans="1:20" hidden="1" x14ac:dyDescent="0.3">
      <c r="A1719" t="s">
        <v>2695</v>
      </c>
      <c r="B1719" t="s">
        <v>283</v>
      </c>
      <c r="C1719" t="s">
        <v>199</v>
      </c>
      <c r="D1719" t="s">
        <v>2696</v>
      </c>
      <c r="E1719" t="s">
        <v>96</v>
      </c>
      <c r="F1719" t="s">
        <v>2194</v>
      </c>
      <c r="G1719" t="s">
        <v>40</v>
      </c>
      <c r="H1719" t="s">
        <v>21</v>
      </c>
      <c r="I1719">
        <v>2650</v>
      </c>
      <c r="J1719">
        <v>3445</v>
      </c>
      <c r="K1719">
        <v>4</v>
      </c>
      <c r="L1719">
        <v>10600</v>
      </c>
      <c r="M1719">
        <v>13780</v>
      </c>
      <c r="N1719" t="s">
        <v>35</v>
      </c>
      <c r="O1719">
        <f t="shared" si="52"/>
        <v>25545</v>
      </c>
      <c r="P1719" s="13">
        <f t="shared" si="53"/>
        <v>1947361</v>
      </c>
      <c r="Q1719" s="13">
        <f>SUMIFS(M:M,E:E,Online_eCommerce[[#This Row],[Status]])</f>
        <v>21233992</v>
      </c>
      <c r="R1719" s="13">
        <f>SUMIFS(L:L,H:H,Online_eCommerce[[#This Row],[Brand]])</f>
        <v>12435650</v>
      </c>
      <c r="S1719" s="13">
        <f>SUMIF(H:H,Online_eCommerce[[#This Row],[Brand]],M:M)</f>
        <v>16166345</v>
      </c>
      <c r="T1719" s="13">
        <f>SUMIF(N:N,Online_eCommerce[[#This Row],[Assigned Supervisor]],L:L)</f>
        <v>14373360</v>
      </c>
    </row>
    <row r="1720" spans="1:20" hidden="1" x14ac:dyDescent="0.3">
      <c r="A1720" t="s">
        <v>2697</v>
      </c>
      <c r="B1720" t="s">
        <v>283</v>
      </c>
      <c r="C1720" t="s">
        <v>203</v>
      </c>
      <c r="D1720" t="s">
        <v>2698</v>
      </c>
      <c r="E1720" t="s">
        <v>18</v>
      </c>
      <c r="F1720" t="s">
        <v>121</v>
      </c>
      <c r="G1720" t="s">
        <v>71</v>
      </c>
      <c r="H1720" t="s">
        <v>122</v>
      </c>
      <c r="I1720">
        <v>12550</v>
      </c>
      <c r="J1720">
        <v>16315</v>
      </c>
      <c r="K1720">
        <v>3</v>
      </c>
      <c r="L1720">
        <v>37650</v>
      </c>
      <c r="M1720">
        <v>48945</v>
      </c>
      <c r="N1720" t="s">
        <v>42</v>
      </c>
      <c r="O1720">
        <f t="shared" si="52"/>
        <v>9750</v>
      </c>
      <c r="P1720" s="13">
        <f t="shared" si="53"/>
        <v>2559635</v>
      </c>
      <c r="Q1720" s="13">
        <f>SUMIFS(M:M,E:E,Online_eCommerce[[#This Row],[Status]])</f>
        <v>28340455</v>
      </c>
      <c r="R1720" s="13">
        <f>SUMIFS(L:L,H:H,Online_eCommerce[[#This Row],[Brand]])</f>
        <v>5045100</v>
      </c>
      <c r="S1720" s="13">
        <f>SUMIF(H:H,Online_eCommerce[[#This Row],[Brand]],M:M)</f>
        <v>6558630</v>
      </c>
      <c r="T1720" s="13">
        <f>SUMIF(N:N,Online_eCommerce[[#This Row],[Assigned Supervisor]],L:L)</f>
        <v>12261500</v>
      </c>
    </row>
    <row r="1721" spans="1:20" hidden="1" x14ac:dyDescent="0.3">
      <c r="A1721" t="s">
        <v>2699</v>
      </c>
      <c r="B1721" t="s">
        <v>283</v>
      </c>
      <c r="C1721" t="s">
        <v>205</v>
      </c>
      <c r="D1721" t="s">
        <v>2698</v>
      </c>
      <c r="E1721" t="s">
        <v>161</v>
      </c>
      <c r="F1721" t="s">
        <v>126</v>
      </c>
      <c r="G1721" t="s">
        <v>26</v>
      </c>
      <c r="H1721" t="s">
        <v>27</v>
      </c>
      <c r="I1721">
        <v>14500</v>
      </c>
      <c r="J1721">
        <v>18850</v>
      </c>
      <c r="K1721">
        <v>4</v>
      </c>
      <c r="L1721">
        <v>58000</v>
      </c>
      <c r="M1721">
        <v>75400</v>
      </c>
      <c r="N1721" t="s">
        <v>50</v>
      </c>
      <c r="O1721">
        <f t="shared" si="52"/>
        <v>33150</v>
      </c>
      <c r="P1721" s="13">
        <f t="shared" si="53"/>
        <v>1983254</v>
      </c>
      <c r="Q1721" s="13">
        <f>SUMIFS(M:M,E:E,Online_eCommerce[[#This Row],[Status]])</f>
        <v>21103186</v>
      </c>
      <c r="R1721" s="13">
        <f>SUMIFS(L:L,H:H,Online_eCommerce[[#This Row],[Brand]])</f>
        <v>14431000</v>
      </c>
      <c r="S1721" s="13">
        <f>SUMIF(H:H,Online_eCommerce[[#This Row],[Brand]],M:M)</f>
        <v>18760300</v>
      </c>
      <c r="T1721" s="13">
        <f>SUMIF(N:N,Online_eCommerce[[#This Row],[Assigned Supervisor]],L:L)</f>
        <v>12100590</v>
      </c>
    </row>
    <row r="1722" spans="1:20" x14ac:dyDescent="0.3">
      <c r="A1722" t="s">
        <v>2700</v>
      </c>
      <c r="B1722" t="s">
        <v>283</v>
      </c>
      <c r="C1722" t="s">
        <v>208</v>
      </c>
      <c r="D1722" t="s">
        <v>2698</v>
      </c>
      <c r="E1722" t="s">
        <v>46</v>
      </c>
      <c r="F1722" t="s">
        <v>129</v>
      </c>
      <c r="G1722" t="s">
        <v>60</v>
      </c>
      <c r="H1722" t="s">
        <v>61</v>
      </c>
      <c r="I1722">
        <v>800</v>
      </c>
      <c r="J1722">
        <v>1040</v>
      </c>
      <c r="K1722">
        <v>4</v>
      </c>
      <c r="L1722">
        <v>3200</v>
      </c>
      <c r="M1722">
        <v>4160</v>
      </c>
      <c r="N1722" t="s">
        <v>56</v>
      </c>
      <c r="O1722">
        <f t="shared" si="52"/>
        <v>3315</v>
      </c>
      <c r="P1722" s="13">
        <f t="shared" si="53"/>
        <v>2746575</v>
      </c>
      <c r="Q1722" s="13">
        <f>SUMIFS(M:M,E:E,Online_eCommerce[[#This Row],[Status]])</f>
        <v>28620410</v>
      </c>
      <c r="R1722" s="13">
        <f>SUMIFS(L:L,H:H,Online_eCommerce[[#This Row],[Brand]])</f>
        <v>10950150</v>
      </c>
      <c r="S1722" s="13">
        <f>SUMIF(H:H,Online_eCommerce[[#This Row],[Brand]],M:M)</f>
        <v>14235195</v>
      </c>
      <c r="T1722" s="13">
        <f>SUMIF(N:N,Online_eCommerce[[#This Row],[Assigned Supervisor]],L:L)</f>
        <v>11733610</v>
      </c>
    </row>
    <row r="1723" spans="1:20" hidden="1" x14ac:dyDescent="0.3">
      <c r="A1723" t="s">
        <v>2701</v>
      </c>
      <c r="B1723" t="s">
        <v>283</v>
      </c>
      <c r="C1723" t="s">
        <v>211</v>
      </c>
      <c r="D1723" t="s">
        <v>2698</v>
      </c>
      <c r="E1723" t="s">
        <v>96</v>
      </c>
      <c r="F1723" t="s">
        <v>133</v>
      </c>
      <c r="G1723" t="s">
        <v>66</v>
      </c>
      <c r="H1723" t="s">
        <v>21</v>
      </c>
      <c r="I1723">
        <v>600</v>
      </c>
      <c r="J1723">
        <v>780</v>
      </c>
      <c r="K1723">
        <v>3</v>
      </c>
      <c r="L1723">
        <v>1800</v>
      </c>
      <c r="M1723">
        <v>2340</v>
      </c>
      <c r="N1723" t="s">
        <v>22</v>
      </c>
      <c r="O1723">
        <f t="shared" si="52"/>
        <v>1690</v>
      </c>
      <c r="P1723" s="13">
        <f t="shared" si="53"/>
        <v>1809847</v>
      </c>
      <c r="Q1723" s="13">
        <f>SUMIFS(M:M,E:E,Online_eCommerce[[#This Row],[Status]])</f>
        <v>21233992</v>
      </c>
      <c r="R1723" s="13">
        <f>SUMIFS(L:L,H:H,Online_eCommerce[[#This Row],[Brand]])</f>
        <v>12435650</v>
      </c>
      <c r="S1723" s="13">
        <f>SUMIF(H:H,Online_eCommerce[[#This Row],[Brand]],M:M)</f>
        <v>16166345</v>
      </c>
      <c r="T1723" s="13">
        <f>SUMIF(N:N,Online_eCommerce[[#This Row],[Assigned Supervisor]],L:L)</f>
        <v>13693220</v>
      </c>
    </row>
    <row r="1724" spans="1:20" hidden="1" x14ac:dyDescent="0.3">
      <c r="A1724" t="s">
        <v>2702</v>
      </c>
      <c r="B1724" t="s">
        <v>283</v>
      </c>
      <c r="C1724" t="s">
        <v>16</v>
      </c>
      <c r="D1724" t="s">
        <v>2703</v>
      </c>
      <c r="E1724" t="s">
        <v>18</v>
      </c>
      <c r="F1724" t="s">
        <v>137</v>
      </c>
      <c r="G1724" t="s">
        <v>71</v>
      </c>
      <c r="H1724" t="s">
        <v>61</v>
      </c>
      <c r="I1724">
        <v>10500</v>
      </c>
      <c r="J1724">
        <v>13650</v>
      </c>
      <c r="K1724">
        <v>2</v>
      </c>
      <c r="L1724">
        <v>21000</v>
      </c>
      <c r="M1724">
        <v>27300</v>
      </c>
      <c r="N1724" t="s">
        <v>28</v>
      </c>
      <c r="O1724">
        <f t="shared" si="52"/>
        <v>9750</v>
      </c>
      <c r="P1724" s="13">
        <f t="shared" si="53"/>
        <v>2751814</v>
      </c>
      <c r="Q1724" s="13">
        <f>SUMIFS(M:M,E:E,Online_eCommerce[[#This Row],[Status]])</f>
        <v>28340455</v>
      </c>
      <c r="R1724" s="13">
        <f>SUMIFS(L:L,H:H,Online_eCommerce[[#This Row],[Brand]])</f>
        <v>10950150</v>
      </c>
      <c r="S1724" s="13">
        <f>SUMIF(H:H,Online_eCommerce[[#This Row],[Brand]],M:M)</f>
        <v>14235195</v>
      </c>
      <c r="T1724" s="13">
        <f>SUMIF(N:N,Online_eCommerce[[#This Row],[Assigned Supervisor]],L:L)</f>
        <v>12220830</v>
      </c>
    </row>
    <row r="1725" spans="1:20" hidden="1" x14ac:dyDescent="0.3">
      <c r="A1725" t="s">
        <v>2704</v>
      </c>
      <c r="B1725" t="s">
        <v>283</v>
      </c>
      <c r="C1725" t="s">
        <v>24</v>
      </c>
      <c r="D1725" t="s">
        <v>2705</v>
      </c>
      <c r="E1725" t="s">
        <v>161</v>
      </c>
      <c r="F1725" t="s">
        <v>2657</v>
      </c>
      <c r="G1725" t="s">
        <v>77</v>
      </c>
      <c r="H1725" t="s">
        <v>142</v>
      </c>
      <c r="I1725">
        <v>6500</v>
      </c>
      <c r="J1725">
        <v>8450</v>
      </c>
      <c r="K1725">
        <v>2</v>
      </c>
      <c r="L1725">
        <v>13000</v>
      </c>
      <c r="M1725">
        <v>16900</v>
      </c>
      <c r="N1725" t="s">
        <v>35</v>
      </c>
      <c r="O1725">
        <f t="shared" si="52"/>
        <v>39000</v>
      </c>
      <c r="P1725" s="13">
        <f t="shared" si="53"/>
        <v>2009540</v>
      </c>
      <c r="Q1725" s="13">
        <f>SUMIFS(M:M,E:E,Online_eCommerce[[#This Row],[Status]])</f>
        <v>21103186</v>
      </c>
      <c r="R1725" s="13">
        <f>SUMIFS(L:L,H:H,Online_eCommerce[[#This Row],[Brand]])</f>
        <v>6192500</v>
      </c>
      <c r="S1725" s="13">
        <f>SUMIF(H:H,Online_eCommerce[[#This Row],[Brand]],M:M)</f>
        <v>8050250</v>
      </c>
      <c r="T1725" s="13">
        <f>SUMIF(N:N,Online_eCommerce[[#This Row],[Assigned Supervisor]],L:L)</f>
        <v>14373360</v>
      </c>
    </row>
    <row r="1726" spans="1:20" x14ac:dyDescent="0.3">
      <c r="A1726" t="s">
        <v>2706</v>
      </c>
      <c r="B1726" t="s">
        <v>283</v>
      </c>
      <c r="C1726" t="s">
        <v>31</v>
      </c>
      <c r="D1726" t="s">
        <v>2707</v>
      </c>
      <c r="E1726" t="s">
        <v>46</v>
      </c>
      <c r="F1726" t="s">
        <v>2708</v>
      </c>
      <c r="G1726" t="s">
        <v>20</v>
      </c>
      <c r="H1726" t="s">
        <v>21</v>
      </c>
      <c r="I1726">
        <v>4500</v>
      </c>
      <c r="J1726">
        <v>5850</v>
      </c>
      <c r="K1726">
        <v>2</v>
      </c>
      <c r="L1726">
        <v>9000</v>
      </c>
      <c r="M1726">
        <v>11700</v>
      </c>
      <c r="N1726" t="s">
        <v>42</v>
      </c>
      <c r="O1726">
        <f t="shared" si="52"/>
        <v>8450</v>
      </c>
      <c r="P1726" s="13">
        <f t="shared" si="53"/>
        <v>2865746</v>
      </c>
      <c r="Q1726" s="13">
        <f>SUMIFS(M:M,E:E,Online_eCommerce[[#This Row],[Status]])</f>
        <v>28620410</v>
      </c>
      <c r="R1726" s="13">
        <f>SUMIFS(L:L,H:H,Online_eCommerce[[#This Row],[Brand]])</f>
        <v>12435650</v>
      </c>
      <c r="S1726" s="13">
        <f>SUMIF(H:H,Online_eCommerce[[#This Row],[Brand]],M:M)</f>
        <v>16166345</v>
      </c>
      <c r="T1726" s="13">
        <f>SUMIF(N:N,Online_eCommerce[[#This Row],[Assigned Supervisor]],L:L)</f>
        <v>12261500</v>
      </c>
    </row>
    <row r="1727" spans="1:20" hidden="1" x14ac:dyDescent="0.3">
      <c r="A1727" t="s">
        <v>2709</v>
      </c>
      <c r="B1727" t="s">
        <v>283</v>
      </c>
      <c r="C1727" t="s">
        <v>38</v>
      </c>
      <c r="D1727" t="s">
        <v>2710</v>
      </c>
      <c r="E1727" t="s">
        <v>96</v>
      </c>
      <c r="F1727" t="s">
        <v>152</v>
      </c>
      <c r="G1727" t="s">
        <v>26</v>
      </c>
      <c r="H1727" t="s">
        <v>27</v>
      </c>
      <c r="I1727">
        <v>8500</v>
      </c>
      <c r="J1727">
        <v>11050</v>
      </c>
      <c r="K1727">
        <v>2</v>
      </c>
      <c r="L1727">
        <v>17000</v>
      </c>
      <c r="M1727">
        <v>22100</v>
      </c>
      <c r="N1727" t="s">
        <v>50</v>
      </c>
      <c r="O1727">
        <f t="shared" si="52"/>
        <v>33150</v>
      </c>
      <c r="P1727" s="13">
        <f t="shared" si="53"/>
        <v>1933997</v>
      </c>
      <c r="Q1727" s="13">
        <f>SUMIFS(M:M,E:E,Online_eCommerce[[#This Row],[Status]])</f>
        <v>21233992</v>
      </c>
      <c r="R1727" s="13">
        <f>SUMIFS(L:L,H:H,Online_eCommerce[[#This Row],[Brand]])</f>
        <v>14431000</v>
      </c>
      <c r="S1727" s="13">
        <f>SUMIF(H:H,Online_eCommerce[[#This Row],[Brand]],M:M)</f>
        <v>18760300</v>
      </c>
      <c r="T1727" s="13">
        <f>SUMIF(N:N,Online_eCommerce[[#This Row],[Assigned Supervisor]],L:L)</f>
        <v>12100590</v>
      </c>
    </row>
    <row r="1728" spans="1:20" hidden="1" x14ac:dyDescent="0.3">
      <c r="A1728" t="s">
        <v>2711</v>
      </c>
      <c r="B1728" t="s">
        <v>283</v>
      </c>
      <c r="C1728" t="s">
        <v>45</v>
      </c>
      <c r="D1728" t="s">
        <v>2712</v>
      </c>
      <c r="E1728" t="s">
        <v>18</v>
      </c>
      <c r="F1728" t="s">
        <v>157</v>
      </c>
      <c r="G1728" t="s">
        <v>33</v>
      </c>
      <c r="H1728" t="s">
        <v>34</v>
      </c>
      <c r="I1728">
        <v>12500</v>
      </c>
      <c r="J1728">
        <v>16250</v>
      </c>
      <c r="K1728">
        <v>2</v>
      </c>
      <c r="L1728">
        <v>25000</v>
      </c>
      <c r="M1728">
        <v>32500</v>
      </c>
      <c r="N1728" t="s">
        <v>56</v>
      </c>
      <c r="O1728">
        <f t="shared" si="52"/>
        <v>18200</v>
      </c>
      <c r="P1728" s="13">
        <f t="shared" si="53"/>
        <v>2842554</v>
      </c>
      <c r="Q1728" s="13">
        <f>SUMIFS(M:M,E:E,Online_eCommerce[[#This Row],[Status]])</f>
        <v>28340455</v>
      </c>
      <c r="R1728" s="13">
        <f>SUMIFS(L:L,H:H,Online_eCommerce[[#This Row],[Brand]])</f>
        <v>10087000</v>
      </c>
      <c r="S1728" s="13">
        <f>SUMIF(H:H,Online_eCommerce[[#This Row],[Brand]],M:M)</f>
        <v>13113100</v>
      </c>
      <c r="T1728" s="13">
        <f>SUMIF(N:N,Online_eCommerce[[#This Row],[Assigned Supervisor]],L:L)</f>
        <v>11733610</v>
      </c>
    </row>
    <row r="1729" spans="1:20" hidden="1" x14ac:dyDescent="0.3">
      <c r="A1729" t="s">
        <v>2713</v>
      </c>
      <c r="B1729" t="s">
        <v>283</v>
      </c>
      <c r="C1729" t="s">
        <v>52</v>
      </c>
      <c r="D1729" t="s">
        <v>2714</v>
      </c>
      <c r="E1729" t="s">
        <v>161</v>
      </c>
      <c r="F1729" t="s">
        <v>2270</v>
      </c>
      <c r="G1729" t="s">
        <v>40</v>
      </c>
      <c r="H1729" t="s">
        <v>41</v>
      </c>
      <c r="I1729">
        <v>3500</v>
      </c>
      <c r="J1729">
        <v>4550</v>
      </c>
      <c r="K1729">
        <v>2</v>
      </c>
      <c r="L1729">
        <v>7000</v>
      </c>
      <c r="M1729">
        <v>9100</v>
      </c>
      <c r="N1729" t="s">
        <v>22</v>
      </c>
      <c r="O1729">
        <f t="shared" si="52"/>
        <v>25545</v>
      </c>
      <c r="P1729" s="13">
        <f t="shared" si="53"/>
        <v>1955044</v>
      </c>
      <c r="Q1729" s="13">
        <f>SUMIFS(M:M,E:E,Online_eCommerce[[#This Row],[Status]])</f>
        <v>21103186</v>
      </c>
      <c r="R1729" s="13">
        <f>SUMIFS(L:L,H:H,Online_eCommerce[[#This Row],[Brand]])</f>
        <v>4260400</v>
      </c>
      <c r="S1729" s="13">
        <f>SUMIF(H:H,Online_eCommerce[[#This Row],[Brand]],M:M)</f>
        <v>5538520</v>
      </c>
      <c r="T1729" s="13">
        <f>SUMIF(N:N,Online_eCommerce[[#This Row],[Assigned Supervisor]],L:L)</f>
        <v>13693220</v>
      </c>
    </row>
    <row r="1730" spans="1:20" x14ac:dyDescent="0.3">
      <c r="A1730" t="s">
        <v>2715</v>
      </c>
      <c r="B1730" t="s">
        <v>283</v>
      </c>
      <c r="C1730" t="s">
        <v>58</v>
      </c>
      <c r="D1730" t="s">
        <v>2716</v>
      </c>
      <c r="E1730" t="s">
        <v>46</v>
      </c>
      <c r="F1730" t="s">
        <v>166</v>
      </c>
      <c r="G1730" t="s">
        <v>334</v>
      </c>
      <c r="H1730" t="s">
        <v>49</v>
      </c>
      <c r="I1730">
        <v>4500</v>
      </c>
      <c r="J1730">
        <v>5850</v>
      </c>
      <c r="K1730">
        <v>2</v>
      </c>
      <c r="L1730">
        <v>9000</v>
      </c>
      <c r="M1730">
        <v>11700</v>
      </c>
      <c r="N1730" t="s">
        <v>28</v>
      </c>
      <c r="O1730">
        <f t="shared" ref="O1730:O1793" si="54">VLOOKUP(G1730,G:M,7,FALSE)</f>
        <v>39780</v>
      </c>
      <c r="P1730" s="13">
        <f t="shared" ref="P1730:P1793" si="55">SUMIFS(M:M,C:C,C1730)</f>
        <v>2629211</v>
      </c>
      <c r="Q1730" s="13">
        <f>SUMIFS(M:M,E:E,Online_eCommerce[[#This Row],[Status]])</f>
        <v>28620410</v>
      </c>
      <c r="R1730" s="13">
        <f>SUMIFS(L:L,H:H,Online_eCommerce[[#This Row],[Brand]])</f>
        <v>4528350</v>
      </c>
      <c r="S1730" s="13">
        <f>SUMIF(H:H,Online_eCommerce[[#This Row],[Brand]],M:M)</f>
        <v>5886855</v>
      </c>
      <c r="T1730" s="13">
        <f>SUMIF(N:N,Online_eCommerce[[#This Row],[Assigned Supervisor]],L:L)</f>
        <v>12220830</v>
      </c>
    </row>
    <row r="1731" spans="1:20" hidden="1" x14ac:dyDescent="0.3">
      <c r="A1731" t="s">
        <v>2717</v>
      </c>
      <c r="B1731" t="s">
        <v>283</v>
      </c>
      <c r="C1731" t="s">
        <v>63</v>
      </c>
      <c r="D1731" t="s">
        <v>2718</v>
      </c>
      <c r="E1731" t="s">
        <v>96</v>
      </c>
      <c r="F1731" t="s">
        <v>2719</v>
      </c>
      <c r="G1731" t="s">
        <v>54</v>
      </c>
      <c r="H1731" t="s">
        <v>55</v>
      </c>
      <c r="I1731">
        <v>2100</v>
      </c>
      <c r="J1731">
        <v>2730</v>
      </c>
      <c r="K1731">
        <v>4</v>
      </c>
      <c r="L1731">
        <v>8400</v>
      </c>
      <c r="M1731">
        <v>10920</v>
      </c>
      <c r="N1731" t="s">
        <v>35</v>
      </c>
      <c r="O1731">
        <f t="shared" si="54"/>
        <v>2990</v>
      </c>
      <c r="P1731" s="13">
        <f t="shared" si="55"/>
        <v>2016131</v>
      </c>
      <c r="Q1731" s="13">
        <f>SUMIFS(M:M,E:E,Online_eCommerce[[#This Row],[Status]])</f>
        <v>21233992</v>
      </c>
      <c r="R1731" s="13">
        <f>SUMIFS(L:L,H:H,Online_eCommerce[[#This Row],[Brand]])</f>
        <v>2267380</v>
      </c>
      <c r="S1731" s="13">
        <f>SUMIF(H:H,Online_eCommerce[[#This Row],[Brand]],M:M)</f>
        <v>2947594</v>
      </c>
      <c r="T1731" s="13">
        <f>SUMIF(N:N,Online_eCommerce[[#This Row],[Assigned Supervisor]],L:L)</f>
        <v>14373360</v>
      </c>
    </row>
    <row r="1732" spans="1:20" hidden="1" x14ac:dyDescent="0.3">
      <c r="A1732" t="s">
        <v>2720</v>
      </c>
      <c r="B1732" t="s">
        <v>283</v>
      </c>
      <c r="C1732" t="s">
        <v>68</v>
      </c>
      <c r="D1732" t="s">
        <v>2721</v>
      </c>
      <c r="E1732" t="s">
        <v>18</v>
      </c>
      <c r="F1732" t="s">
        <v>174</v>
      </c>
      <c r="G1732" t="s">
        <v>60</v>
      </c>
      <c r="H1732" t="s">
        <v>61</v>
      </c>
      <c r="I1732">
        <v>1150</v>
      </c>
      <c r="J1732">
        <v>1495</v>
      </c>
      <c r="K1732">
        <v>3</v>
      </c>
      <c r="L1732">
        <v>3450</v>
      </c>
      <c r="M1732">
        <v>4485</v>
      </c>
      <c r="N1732" t="s">
        <v>42</v>
      </c>
      <c r="O1732">
        <f t="shared" si="54"/>
        <v>3315</v>
      </c>
      <c r="P1732" s="13">
        <f t="shared" si="55"/>
        <v>2974621</v>
      </c>
      <c r="Q1732" s="13">
        <f>SUMIFS(M:M,E:E,Online_eCommerce[[#This Row],[Status]])</f>
        <v>28340455</v>
      </c>
      <c r="R1732" s="13">
        <f>SUMIFS(L:L,H:H,Online_eCommerce[[#This Row],[Brand]])</f>
        <v>10950150</v>
      </c>
      <c r="S1732" s="13">
        <f>SUMIF(H:H,Online_eCommerce[[#This Row],[Brand]],M:M)</f>
        <v>14235195</v>
      </c>
      <c r="T1732" s="13">
        <f>SUMIF(N:N,Online_eCommerce[[#This Row],[Assigned Supervisor]],L:L)</f>
        <v>12261500</v>
      </c>
    </row>
    <row r="1733" spans="1:20" hidden="1" x14ac:dyDescent="0.3">
      <c r="A1733" t="s">
        <v>2722</v>
      </c>
      <c r="B1733" t="s">
        <v>283</v>
      </c>
      <c r="C1733" t="s">
        <v>74</v>
      </c>
      <c r="D1733" t="s">
        <v>2723</v>
      </c>
      <c r="E1733" t="s">
        <v>161</v>
      </c>
      <c r="F1733" t="s">
        <v>179</v>
      </c>
      <c r="G1733" t="s">
        <v>66</v>
      </c>
      <c r="H1733" t="s">
        <v>21</v>
      </c>
      <c r="I1733">
        <v>350</v>
      </c>
      <c r="J1733">
        <v>455</v>
      </c>
      <c r="K1733">
        <v>4</v>
      </c>
      <c r="L1733">
        <v>1400</v>
      </c>
      <c r="M1733">
        <v>1820</v>
      </c>
      <c r="N1733" t="s">
        <v>50</v>
      </c>
      <c r="O1733">
        <f t="shared" si="54"/>
        <v>1690</v>
      </c>
      <c r="P1733" s="13">
        <f t="shared" si="55"/>
        <v>2144701</v>
      </c>
      <c r="Q1733" s="13">
        <f>SUMIFS(M:M,E:E,Online_eCommerce[[#This Row],[Status]])</f>
        <v>21103186</v>
      </c>
      <c r="R1733" s="13">
        <f>SUMIFS(L:L,H:H,Online_eCommerce[[#This Row],[Brand]])</f>
        <v>12435650</v>
      </c>
      <c r="S1733" s="13">
        <f>SUMIF(H:H,Online_eCommerce[[#This Row],[Brand]],M:M)</f>
        <v>16166345</v>
      </c>
      <c r="T1733" s="13">
        <f>SUMIF(N:N,Online_eCommerce[[#This Row],[Assigned Supervisor]],L:L)</f>
        <v>12100590</v>
      </c>
    </row>
    <row r="1734" spans="1:20" x14ac:dyDescent="0.3">
      <c r="A1734" t="s">
        <v>2724</v>
      </c>
      <c r="B1734" t="s">
        <v>283</v>
      </c>
      <c r="C1734" t="s">
        <v>81</v>
      </c>
      <c r="D1734" t="s">
        <v>2725</v>
      </c>
      <c r="E1734" t="s">
        <v>46</v>
      </c>
      <c r="F1734" t="s">
        <v>183</v>
      </c>
      <c r="G1734" t="s">
        <v>71</v>
      </c>
      <c r="H1734" t="s">
        <v>61</v>
      </c>
      <c r="I1734">
        <v>9500</v>
      </c>
      <c r="J1734">
        <v>12350</v>
      </c>
      <c r="K1734">
        <v>1</v>
      </c>
      <c r="L1734">
        <v>9500</v>
      </c>
      <c r="M1734">
        <v>12350</v>
      </c>
      <c r="N1734" t="s">
        <v>56</v>
      </c>
      <c r="O1734">
        <f t="shared" si="54"/>
        <v>9750</v>
      </c>
      <c r="P1734" s="13">
        <f t="shared" si="55"/>
        <v>2595632</v>
      </c>
      <c r="Q1734" s="13">
        <f>SUMIFS(M:M,E:E,Online_eCommerce[[#This Row],[Status]])</f>
        <v>28620410</v>
      </c>
      <c r="R1734" s="13">
        <f>SUMIFS(L:L,H:H,Online_eCommerce[[#This Row],[Brand]])</f>
        <v>10950150</v>
      </c>
      <c r="S1734" s="13">
        <f>SUMIF(H:H,Online_eCommerce[[#This Row],[Brand]],M:M)</f>
        <v>14235195</v>
      </c>
      <c r="T1734" s="13">
        <f>SUMIF(N:N,Online_eCommerce[[#This Row],[Assigned Supervisor]],L:L)</f>
        <v>11733610</v>
      </c>
    </row>
    <row r="1735" spans="1:20" hidden="1" x14ac:dyDescent="0.3">
      <c r="A1735" t="s">
        <v>2726</v>
      </c>
      <c r="B1735" t="s">
        <v>283</v>
      </c>
      <c r="C1735" t="s">
        <v>86</v>
      </c>
      <c r="D1735" t="s">
        <v>2727</v>
      </c>
      <c r="E1735" t="s">
        <v>96</v>
      </c>
      <c r="F1735" t="s">
        <v>2728</v>
      </c>
      <c r="G1735" t="s">
        <v>77</v>
      </c>
      <c r="H1735" t="s">
        <v>142</v>
      </c>
      <c r="I1735">
        <v>10000</v>
      </c>
      <c r="J1735">
        <v>13000</v>
      </c>
      <c r="K1735">
        <v>3</v>
      </c>
      <c r="L1735">
        <v>30000</v>
      </c>
      <c r="M1735">
        <v>39000</v>
      </c>
      <c r="N1735" t="s">
        <v>22</v>
      </c>
      <c r="O1735">
        <f t="shared" si="54"/>
        <v>39000</v>
      </c>
      <c r="P1735" s="13">
        <f t="shared" si="55"/>
        <v>1941225</v>
      </c>
      <c r="Q1735" s="13">
        <f>SUMIFS(M:M,E:E,Online_eCommerce[[#This Row],[Status]])</f>
        <v>21233992</v>
      </c>
      <c r="R1735" s="13">
        <f>SUMIFS(L:L,H:H,Online_eCommerce[[#This Row],[Brand]])</f>
        <v>6192500</v>
      </c>
      <c r="S1735" s="13">
        <f>SUMIF(H:H,Online_eCommerce[[#This Row],[Brand]],M:M)</f>
        <v>8050250</v>
      </c>
      <c r="T1735" s="13">
        <f>SUMIF(N:N,Online_eCommerce[[#This Row],[Assigned Supervisor]],L:L)</f>
        <v>13693220</v>
      </c>
    </row>
    <row r="1736" spans="1:20" hidden="1" x14ac:dyDescent="0.3">
      <c r="A1736" t="s">
        <v>2729</v>
      </c>
      <c r="B1736" t="s">
        <v>283</v>
      </c>
      <c r="C1736" t="s">
        <v>91</v>
      </c>
      <c r="D1736" t="s">
        <v>2730</v>
      </c>
      <c r="E1736" t="s">
        <v>18</v>
      </c>
      <c r="F1736" t="s">
        <v>2731</v>
      </c>
      <c r="G1736" t="s">
        <v>20</v>
      </c>
      <c r="H1736" t="s">
        <v>21</v>
      </c>
      <c r="I1736">
        <v>6500</v>
      </c>
      <c r="J1736">
        <v>8450</v>
      </c>
      <c r="K1736">
        <v>3</v>
      </c>
      <c r="L1736">
        <v>19500</v>
      </c>
      <c r="M1736">
        <v>25350</v>
      </c>
      <c r="N1736" t="s">
        <v>28</v>
      </c>
      <c r="O1736">
        <f t="shared" si="54"/>
        <v>8450</v>
      </c>
      <c r="P1736" s="13">
        <f t="shared" si="55"/>
        <v>2731963</v>
      </c>
      <c r="Q1736" s="13">
        <f>SUMIFS(M:M,E:E,Online_eCommerce[[#This Row],[Status]])</f>
        <v>28340455</v>
      </c>
      <c r="R1736" s="13">
        <f>SUMIFS(L:L,H:H,Online_eCommerce[[#This Row],[Brand]])</f>
        <v>12435650</v>
      </c>
      <c r="S1736" s="13">
        <f>SUMIF(H:H,Online_eCommerce[[#This Row],[Brand]],M:M)</f>
        <v>16166345</v>
      </c>
      <c r="T1736" s="13">
        <f>SUMIF(N:N,Online_eCommerce[[#This Row],[Assigned Supervisor]],L:L)</f>
        <v>12220830</v>
      </c>
    </row>
    <row r="1737" spans="1:20" hidden="1" x14ac:dyDescent="0.3">
      <c r="A1737" t="s">
        <v>2732</v>
      </c>
      <c r="B1737" t="s">
        <v>283</v>
      </c>
      <c r="C1737" t="s">
        <v>94</v>
      </c>
      <c r="D1737" t="s">
        <v>2733</v>
      </c>
      <c r="E1737" t="s">
        <v>161</v>
      </c>
      <c r="F1737" t="s">
        <v>2734</v>
      </c>
      <c r="G1737" t="s">
        <v>26</v>
      </c>
      <c r="H1737" t="s">
        <v>27</v>
      </c>
      <c r="I1737">
        <v>8500</v>
      </c>
      <c r="J1737">
        <v>11050</v>
      </c>
      <c r="K1737">
        <v>1</v>
      </c>
      <c r="L1737">
        <v>8500</v>
      </c>
      <c r="M1737">
        <v>11050</v>
      </c>
      <c r="N1737" t="s">
        <v>35</v>
      </c>
      <c r="O1737">
        <f t="shared" si="54"/>
        <v>33150</v>
      </c>
      <c r="P1737" s="13">
        <f t="shared" si="55"/>
        <v>1868256</v>
      </c>
      <c r="Q1737" s="13">
        <f>SUMIFS(M:M,E:E,Online_eCommerce[[#This Row],[Status]])</f>
        <v>21103186</v>
      </c>
      <c r="R1737" s="13">
        <f>SUMIFS(L:L,H:H,Online_eCommerce[[#This Row],[Brand]])</f>
        <v>14431000</v>
      </c>
      <c r="S1737" s="13">
        <f>SUMIF(H:H,Online_eCommerce[[#This Row],[Brand]],M:M)</f>
        <v>18760300</v>
      </c>
      <c r="T1737" s="13">
        <f>SUMIF(N:N,Online_eCommerce[[#This Row],[Assigned Supervisor]],L:L)</f>
        <v>14373360</v>
      </c>
    </row>
    <row r="1738" spans="1:20" x14ac:dyDescent="0.3">
      <c r="A1738" t="s">
        <v>2735</v>
      </c>
      <c r="B1738" t="s">
        <v>283</v>
      </c>
      <c r="C1738" t="s">
        <v>99</v>
      </c>
      <c r="D1738" t="s">
        <v>2733</v>
      </c>
      <c r="E1738" t="s">
        <v>46</v>
      </c>
      <c r="F1738" t="s">
        <v>32</v>
      </c>
      <c r="G1738" t="s">
        <v>33</v>
      </c>
      <c r="H1738" t="s">
        <v>34</v>
      </c>
      <c r="I1738">
        <v>7000</v>
      </c>
      <c r="J1738">
        <v>9100</v>
      </c>
      <c r="K1738">
        <v>3</v>
      </c>
      <c r="L1738">
        <v>21000</v>
      </c>
      <c r="M1738">
        <v>27300</v>
      </c>
      <c r="N1738" t="s">
        <v>42</v>
      </c>
      <c r="O1738">
        <f t="shared" si="54"/>
        <v>18200</v>
      </c>
      <c r="P1738" s="13">
        <f t="shared" si="55"/>
        <v>2651233</v>
      </c>
      <c r="Q1738" s="13">
        <f>SUMIFS(M:M,E:E,Online_eCommerce[[#This Row],[Status]])</f>
        <v>28620410</v>
      </c>
      <c r="R1738" s="13">
        <f>SUMIFS(L:L,H:H,Online_eCommerce[[#This Row],[Brand]])</f>
        <v>10087000</v>
      </c>
      <c r="S1738" s="13">
        <f>SUMIF(H:H,Online_eCommerce[[#This Row],[Brand]],M:M)</f>
        <v>13113100</v>
      </c>
      <c r="T1738" s="13">
        <f>SUMIF(N:N,Online_eCommerce[[#This Row],[Assigned Supervisor]],L:L)</f>
        <v>12261500</v>
      </c>
    </row>
    <row r="1739" spans="1:20" hidden="1" x14ac:dyDescent="0.3">
      <c r="A1739" t="s">
        <v>2736</v>
      </c>
      <c r="B1739" t="s">
        <v>283</v>
      </c>
      <c r="C1739" t="s">
        <v>105</v>
      </c>
      <c r="D1739" t="s">
        <v>2737</v>
      </c>
      <c r="E1739" t="s">
        <v>96</v>
      </c>
      <c r="F1739" t="s">
        <v>2738</v>
      </c>
      <c r="G1739" t="s">
        <v>40</v>
      </c>
      <c r="H1739" t="s">
        <v>41</v>
      </c>
      <c r="I1739">
        <v>6550</v>
      </c>
      <c r="J1739">
        <v>8515</v>
      </c>
      <c r="K1739">
        <v>4</v>
      </c>
      <c r="L1739">
        <v>26200</v>
      </c>
      <c r="M1739">
        <v>34060</v>
      </c>
      <c r="N1739" t="s">
        <v>50</v>
      </c>
      <c r="O1739">
        <f t="shared" si="54"/>
        <v>25545</v>
      </c>
      <c r="P1739" s="13">
        <f t="shared" si="55"/>
        <v>1866852</v>
      </c>
      <c r="Q1739" s="13">
        <f>SUMIFS(M:M,E:E,Online_eCommerce[[#This Row],[Status]])</f>
        <v>21233992</v>
      </c>
      <c r="R1739" s="13">
        <f>SUMIFS(L:L,H:H,Online_eCommerce[[#This Row],[Brand]])</f>
        <v>4260400</v>
      </c>
      <c r="S1739" s="13">
        <f>SUMIF(H:H,Online_eCommerce[[#This Row],[Brand]],M:M)</f>
        <v>5538520</v>
      </c>
      <c r="T1739" s="13">
        <f>SUMIF(N:N,Online_eCommerce[[#This Row],[Assigned Supervisor]],L:L)</f>
        <v>12100590</v>
      </c>
    </row>
    <row r="1740" spans="1:20" hidden="1" x14ac:dyDescent="0.3">
      <c r="A1740" t="s">
        <v>2739</v>
      </c>
      <c r="B1740" t="s">
        <v>283</v>
      </c>
      <c r="C1740" t="s">
        <v>110</v>
      </c>
      <c r="D1740" t="s">
        <v>2740</v>
      </c>
      <c r="E1740" t="s">
        <v>18</v>
      </c>
      <c r="F1740" t="s">
        <v>47</v>
      </c>
      <c r="G1740" t="s">
        <v>334</v>
      </c>
      <c r="H1740" t="s">
        <v>49</v>
      </c>
      <c r="I1740">
        <v>7650</v>
      </c>
      <c r="J1740">
        <v>9945</v>
      </c>
      <c r="K1740">
        <v>4</v>
      </c>
      <c r="L1740">
        <v>30600</v>
      </c>
      <c r="M1740">
        <v>39780</v>
      </c>
      <c r="N1740" t="s">
        <v>56</v>
      </c>
      <c r="O1740">
        <f t="shared" si="54"/>
        <v>39780</v>
      </c>
      <c r="P1740" s="13">
        <f t="shared" si="55"/>
        <v>2598635</v>
      </c>
      <c r="Q1740" s="13">
        <f>SUMIFS(M:M,E:E,Online_eCommerce[[#This Row],[Status]])</f>
        <v>28340455</v>
      </c>
      <c r="R1740" s="13">
        <f>SUMIFS(L:L,H:H,Online_eCommerce[[#This Row],[Brand]])</f>
        <v>4528350</v>
      </c>
      <c r="S1740" s="13">
        <f>SUMIF(H:H,Online_eCommerce[[#This Row],[Brand]],M:M)</f>
        <v>5886855</v>
      </c>
      <c r="T1740" s="13">
        <f>SUMIF(N:N,Online_eCommerce[[#This Row],[Assigned Supervisor]],L:L)</f>
        <v>11733610</v>
      </c>
    </row>
    <row r="1741" spans="1:20" hidden="1" x14ac:dyDescent="0.3">
      <c r="A1741" t="s">
        <v>2741</v>
      </c>
      <c r="B1741" t="s">
        <v>283</v>
      </c>
      <c r="C1741" t="s">
        <v>115</v>
      </c>
      <c r="D1741" t="s">
        <v>2740</v>
      </c>
      <c r="E1741" t="s">
        <v>161</v>
      </c>
      <c r="F1741" t="s">
        <v>53</v>
      </c>
      <c r="G1741" t="s">
        <v>54</v>
      </c>
      <c r="H1741" t="s">
        <v>55</v>
      </c>
      <c r="I1741">
        <v>1150</v>
      </c>
      <c r="J1741">
        <v>1495</v>
      </c>
      <c r="K1741">
        <v>3</v>
      </c>
      <c r="L1741">
        <v>3450</v>
      </c>
      <c r="M1741">
        <v>4485</v>
      </c>
      <c r="N1741" t="s">
        <v>22</v>
      </c>
      <c r="O1741">
        <f t="shared" si="54"/>
        <v>2990</v>
      </c>
      <c r="P1741" s="13">
        <f t="shared" si="55"/>
        <v>2050178</v>
      </c>
      <c r="Q1741" s="13">
        <f>SUMIFS(M:M,E:E,Online_eCommerce[[#This Row],[Status]])</f>
        <v>21103186</v>
      </c>
      <c r="R1741" s="13">
        <f>SUMIFS(L:L,H:H,Online_eCommerce[[#This Row],[Brand]])</f>
        <v>2267380</v>
      </c>
      <c r="S1741" s="13">
        <f>SUMIF(H:H,Online_eCommerce[[#This Row],[Brand]],M:M)</f>
        <v>2947594</v>
      </c>
      <c r="T1741" s="13">
        <f>SUMIF(N:N,Online_eCommerce[[#This Row],[Assigned Supervisor]],L:L)</f>
        <v>13693220</v>
      </c>
    </row>
    <row r="1742" spans="1:20" x14ac:dyDescent="0.3">
      <c r="A1742" t="s">
        <v>2742</v>
      </c>
      <c r="B1742" t="s">
        <v>283</v>
      </c>
      <c r="C1742" t="s">
        <v>120</v>
      </c>
      <c r="D1742" t="s">
        <v>2740</v>
      </c>
      <c r="E1742" t="s">
        <v>46</v>
      </c>
      <c r="F1742" t="s">
        <v>59</v>
      </c>
      <c r="G1742" t="s">
        <v>60</v>
      </c>
      <c r="H1742" t="s">
        <v>61</v>
      </c>
      <c r="I1742">
        <v>850</v>
      </c>
      <c r="J1742">
        <v>1105</v>
      </c>
      <c r="K1742">
        <v>3</v>
      </c>
      <c r="L1742">
        <v>2550</v>
      </c>
      <c r="M1742">
        <v>3315</v>
      </c>
      <c r="N1742" t="s">
        <v>28</v>
      </c>
      <c r="O1742">
        <f t="shared" si="54"/>
        <v>3315</v>
      </c>
      <c r="P1742" s="13">
        <f t="shared" si="55"/>
        <v>2734212</v>
      </c>
      <c r="Q1742" s="13">
        <f>SUMIFS(M:M,E:E,Online_eCommerce[[#This Row],[Status]])</f>
        <v>28620410</v>
      </c>
      <c r="R1742" s="13">
        <f>SUMIFS(L:L,H:H,Online_eCommerce[[#This Row],[Brand]])</f>
        <v>10950150</v>
      </c>
      <c r="S1742" s="13">
        <f>SUMIF(H:H,Online_eCommerce[[#This Row],[Brand]],M:M)</f>
        <v>14235195</v>
      </c>
      <c r="T1742" s="13">
        <f>SUMIF(N:N,Online_eCommerce[[#This Row],[Assigned Supervisor]],L:L)</f>
        <v>12220830</v>
      </c>
    </row>
    <row r="1743" spans="1:20" hidden="1" x14ac:dyDescent="0.3">
      <c r="A1743" t="s">
        <v>2743</v>
      </c>
      <c r="B1743" t="s">
        <v>283</v>
      </c>
      <c r="C1743" t="s">
        <v>125</v>
      </c>
      <c r="D1743" t="s">
        <v>2740</v>
      </c>
      <c r="E1743" t="s">
        <v>96</v>
      </c>
      <c r="F1743" t="s">
        <v>65</v>
      </c>
      <c r="G1743" t="s">
        <v>66</v>
      </c>
      <c r="H1743" t="s">
        <v>21</v>
      </c>
      <c r="I1743">
        <v>650</v>
      </c>
      <c r="J1743">
        <v>845</v>
      </c>
      <c r="K1743">
        <v>3</v>
      </c>
      <c r="L1743">
        <v>1950</v>
      </c>
      <c r="M1743">
        <v>2535</v>
      </c>
      <c r="N1743" t="s">
        <v>35</v>
      </c>
      <c r="O1743">
        <f t="shared" si="54"/>
        <v>1690</v>
      </c>
      <c r="P1743" s="13">
        <f t="shared" si="55"/>
        <v>2091154</v>
      </c>
      <c r="Q1743" s="13">
        <f>SUMIFS(M:M,E:E,Online_eCommerce[[#This Row],[Status]])</f>
        <v>21233992</v>
      </c>
      <c r="R1743" s="13">
        <f>SUMIFS(L:L,H:H,Online_eCommerce[[#This Row],[Brand]])</f>
        <v>12435650</v>
      </c>
      <c r="S1743" s="13">
        <f>SUMIF(H:H,Online_eCommerce[[#This Row],[Brand]],M:M)</f>
        <v>16166345</v>
      </c>
      <c r="T1743" s="13">
        <f>SUMIF(N:N,Online_eCommerce[[#This Row],[Assigned Supervisor]],L:L)</f>
        <v>14373360</v>
      </c>
    </row>
    <row r="1744" spans="1:20" hidden="1" x14ac:dyDescent="0.3">
      <c r="A1744" t="s">
        <v>2744</v>
      </c>
      <c r="B1744" t="s">
        <v>283</v>
      </c>
      <c r="C1744" t="s">
        <v>22</v>
      </c>
      <c r="D1744" t="s">
        <v>2740</v>
      </c>
      <c r="E1744" t="s">
        <v>18</v>
      </c>
      <c r="F1744" t="s">
        <v>70</v>
      </c>
      <c r="G1744" t="s">
        <v>71</v>
      </c>
      <c r="H1744" t="s">
        <v>61</v>
      </c>
      <c r="I1744">
        <v>7500</v>
      </c>
      <c r="J1744">
        <v>9750</v>
      </c>
      <c r="K1744">
        <v>1</v>
      </c>
      <c r="L1744">
        <v>7500</v>
      </c>
      <c r="M1744">
        <v>9750</v>
      </c>
      <c r="N1744" t="s">
        <v>42</v>
      </c>
      <c r="O1744">
        <f t="shared" si="54"/>
        <v>9750</v>
      </c>
      <c r="P1744" s="13">
        <f t="shared" si="55"/>
        <v>2551588</v>
      </c>
      <c r="Q1744" s="13">
        <f>SUMIFS(M:M,E:E,Online_eCommerce[[#This Row],[Status]])</f>
        <v>28340455</v>
      </c>
      <c r="R1744" s="13">
        <f>SUMIFS(L:L,H:H,Online_eCommerce[[#This Row],[Brand]])</f>
        <v>10950150</v>
      </c>
      <c r="S1744" s="13">
        <f>SUMIF(H:H,Online_eCommerce[[#This Row],[Brand]],M:M)</f>
        <v>14235195</v>
      </c>
      <c r="T1744" s="13">
        <f>SUMIF(N:N,Online_eCommerce[[#This Row],[Assigned Supervisor]],L:L)</f>
        <v>12261500</v>
      </c>
    </row>
    <row r="1745" spans="1:20" hidden="1" x14ac:dyDescent="0.3">
      <c r="A1745" t="s">
        <v>2745</v>
      </c>
      <c r="B1745" t="s">
        <v>283</v>
      </c>
      <c r="C1745" t="s">
        <v>132</v>
      </c>
      <c r="D1745" t="s">
        <v>2740</v>
      </c>
      <c r="E1745" t="s">
        <v>161</v>
      </c>
      <c r="F1745" t="s">
        <v>2728</v>
      </c>
      <c r="G1745" t="s">
        <v>77</v>
      </c>
      <c r="H1745" t="s">
        <v>78</v>
      </c>
      <c r="I1745">
        <v>10000</v>
      </c>
      <c r="J1745">
        <v>13000</v>
      </c>
      <c r="K1745">
        <v>4</v>
      </c>
      <c r="L1745">
        <v>40000</v>
      </c>
      <c r="M1745">
        <v>52000</v>
      </c>
      <c r="N1745" t="s">
        <v>50</v>
      </c>
      <c r="O1745">
        <f t="shared" si="54"/>
        <v>39000</v>
      </c>
      <c r="P1745" s="13">
        <f t="shared" si="55"/>
        <v>1989065</v>
      </c>
      <c r="Q1745" s="13">
        <f>SUMIFS(M:M,E:E,Online_eCommerce[[#This Row],[Status]])</f>
        <v>21103186</v>
      </c>
      <c r="R1745" s="13">
        <f>SUMIFS(L:L,H:H,Online_eCommerce[[#This Row],[Brand]])</f>
        <v>3720000</v>
      </c>
      <c r="S1745" s="13">
        <f>SUMIF(H:H,Online_eCommerce[[#This Row],[Brand]],M:M)</f>
        <v>4836000</v>
      </c>
      <c r="T1745" s="13">
        <f>SUMIF(N:N,Online_eCommerce[[#This Row],[Assigned Supervisor]],L:L)</f>
        <v>12100590</v>
      </c>
    </row>
    <row r="1746" spans="1:20" x14ac:dyDescent="0.3">
      <c r="A1746" t="s">
        <v>2746</v>
      </c>
      <c r="B1746" t="s">
        <v>283</v>
      </c>
      <c r="C1746" t="s">
        <v>136</v>
      </c>
      <c r="D1746" t="s">
        <v>2740</v>
      </c>
      <c r="E1746" t="s">
        <v>46</v>
      </c>
      <c r="F1746" t="s">
        <v>2747</v>
      </c>
      <c r="G1746" t="s">
        <v>20</v>
      </c>
      <c r="H1746" t="s">
        <v>21</v>
      </c>
      <c r="I1746">
        <v>10500</v>
      </c>
      <c r="J1746">
        <v>13650</v>
      </c>
      <c r="K1746">
        <v>3</v>
      </c>
      <c r="L1746">
        <v>31500</v>
      </c>
      <c r="M1746">
        <v>40950</v>
      </c>
      <c r="N1746" t="s">
        <v>56</v>
      </c>
      <c r="O1746">
        <f t="shared" si="54"/>
        <v>8450</v>
      </c>
      <c r="P1746" s="13">
        <f t="shared" si="55"/>
        <v>2775162</v>
      </c>
      <c r="Q1746" s="13">
        <f>SUMIFS(M:M,E:E,Online_eCommerce[[#This Row],[Status]])</f>
        <v>28620410</v>
      </c>
      <c r="R1746" s="13">
        <f>SUMIFS(L:L,H:H,Online_eCommerce[[#This Row],[Brand]])</f>
        <v>12435650</v>
      </c>
      <c r="S1746" s="13">
        <f>SUMIF(H:H,Online_eCommerce[[#This Row],[Brand]],M:M)</f>
        <v>16166345</v>
      </c>
      <c r="T1746" s="13">
        <f>SUMIF(N:N,Online_eCommerce[[#This Row],[Assigned Supervisor]],L:L)</f>
        <v>11733610</v>
      </c>
    </row>
    <row r="1747" spans="1:20" hidden="1" x14ac:dyDescent="0.3">
      <c r="A1747" t="s">
        <v>2748</v>
      </c>
      <c r="B1747" t="s">
        <v>283</v>
      </c>
      <c r="C1747" t="s">
        <v>140</v>
      </c>
      <c r="D1747" t="s">
        <v>2749</v>
      </c>
      <c r="E1747" t="s">
        <v>96</v>
      </c>
      <c r="F1747" t="s">
        <v>88</v>
      </c>
      <c r="G1747" t="s">
        <v>26</v>
      </c>
      <c r="H1747" t="s">
        <v>27</v>
      </c>
      <c r="I1747">
        <v>8500</v>
      </c>
      <c r="J1747">
        <v>11050</v>
      </c>
      <c r="K1747">
        <v>3</v>
      </c>
      <c r="L1747">
        <v>25500</v>
      </c>
      <c r="M1747">
        <v>33150</v>
      </c>
      <c r="N1747" t="s">
        <v>22</v>
      </c>
      <c r="O1747">
        <f t="shared" si="54"/>
        <v>33150</v>
      </c>
      <c r="P1747" s="13">
        <f t="shared" si="55"/>
        <v>2058264</v>
      </c>
      <c r="Q1747" s="13">
        <f>SUMIFS(M:M,E:E,Online_eCommerce[[#This Row],[Status]])</f>
        <v>21233992</v>
      </c>
      <c r="R1747" s="13">
        <f>SUMIFS(L:L,H:H,Online_eCommerce[[#This Row],[Brand]])</f>
        <v>14431000</v>
      </c>
      <c r="S1747" s="13">
        <f>SUMIF(H:H,Online_eCommerce[[#This Row],[Brand]],M:M)</f>
        <v>18760300</v>
      </c>
      <c r="T1747" s="13">
        <f>SUMIF(N:N,Online_eCommerce[[#This Row],[Assigned Supervisor]],L:L)</f>
        <v>13693220</v>
      </c>
    </row>
    <row r="1748" spans="1:20" hidden="1" x14ac:dyDescent="0.3">
      <c r="A1748" t="s">
        <v>2750</v>
      </c>
      <c r="B1748" t="s">
        <v>283</v>
      </c>
      <c r="C1748" t="s">
        <v>145</v>
      </c>
      <c r="D1748" t="s">
        <v>2751</v>
      </c>
      <c r="E1748" t="s">
        <v>18</v>
      </c>
      <c r="F1748" t="s">
        <v>32</v>
      </c>
      <c r="G1748" t="s">
        <v>33</v>
      </c>
      <c r="H1748" t="s">
        <v>34</v>
      </c>
      <c r="I1748">
        <v>7000</v>
      </c>
      <c r="J1748">
        <v>9100</v>
      </c>
      <c r="K1748">
        <v>4</v>
      </c>
      <c r="L1748">
        <v>28000</v>
      </c>
      <c r="M1748">
        <v>36400</v>
      </c>
      <c r="N1748" t="s">
        <v>28</v>
      </c>
      <c r="O1748">
        <f t="shared" si="54"/>
        <v>18200</v>
      </c>
      <c r="P1748" s="13">
        <f t="shared" si="55"/>
        <v>2757859</v>
      </c>
      <c r="Q1748" s="13">
        <f>SUMIFS(M:M,E:E,Online_eCommerce[[#This Row],[Status]])</f>
        <v>28340455</v>
      </c>
      <c r="R1748" s="13">
        <f>SUMIFS(L:L,H:H,Online_eCommerce[[#This Row],[Brand]])</f>
        <v>10087000</v>
      </c>
      <c r="S1748" s="13">
        <f>SUMIF(H:H,Online_eCommerce[[#This Row],[Brand]],M:M)</f>
        <v>13113100</v>
      </c>
      <c r="T1748" s="13">
        <f>SUMIF(N:N,Online_eCommerce[[#This Row],[Assigned Supervisor]],L:L)</f>
        <v>12220830</v>
      </c>
    </row>
    <row r="1749" spans="1:20" hidden="1" x14ac:dyDescent="0.3">
      <c r="A1749" t="s">
        <v>2752</v>
      </c>
      <c r="B1749" t="s">
        <v>283</v>
      </c>
      <c r="C1749" t="s">
        <v>150</v>
      </c>
      <c r="D1749" t="s">
        <v>2753</v>
      </c>
      <c r="E1749" t="s">
        <v>161</v>
      </c>
      <c r="F1749" t="s">
        <v>2754</v>
      </c>
      <c r="G1749" t="s">
        <v>40</v>
      </c>
      <c r="H1749" t="s">
        <v>41</v>
      </c>
      <c r="I1749">
        <v>1680</v>
      </c>
      <c r="J1749">
        <v>2184</v>
      </c>
      <c r="K1749">
        <v>4</v>
      </c>
      <c r="L1749">
        <v>6720</v>
      </c>
      <c r="M1749">
        <v>8736</v>
      </c>
      <c r="N1749" t="s">
        <v>35</v>
      </c>
      <c r="O1749">
        <f t="shared" si="54"/>
        <v>25545</v>
      </c>
      <c r="P1749" s="13">
        <f t="shared" si="55"/>
        <v>2154984</v>
      </c>
      <c r="Q1749" s="13">
        <f>SUMIFS(M:M,E:E,Online_eCommerce[[#This Row],[Status]])</f>
        <v>21103186</v>
      </c>
      <c r="R1749" s="13">
        <f>SUMIFS(L:L,H:H,Online_eCommerce[[#This Row],[Brand]])</f>
        <v>4260400</v>
      </c>
      <c r="S1749" s="13">
        <f>SUMIF(H:H,Online_eCommerce[[#This Row],[Brand]],M:M)</f>
        <v>5538520</v>
      </c>
      <c r="T1749" s="13">
        <f>SUMIF(N:N,Online_eCommerce[[#This Row],[Assigned Supervisor]],L:L)</f>
        <v>14373360</v>
      </c>
    </row>
    <row r="1750" spans="1:20" x14ac:dyDescent="0.3">
      <c r="A1750" t="s">
        <v>2755</v>
      </c>
      <c r="B1750" t="s">
        <v>283</v>
      </c>
      <c r="C1750" t="s">
        <v>155</v>
      </c>
      <c r="D1750" t="s">
        <v>2756</v>
      </c>
      <c r="E1750" t="s">
        <v>46</v>
      </c>
      <c r="F1750" t="s">
        <v>101</v>
      </c>
      <c r="G1750" t="s">
        <v>334</v>
      </c>
      <c r="H1750" t="s">
        <v>102</v>
      </c>
      <c r="I1750">
        <v>6540</v>
      </c>
      <c r="J1750">
        <v>8502</v>
      </c>
      <c r="K1750">
        <v>3</v>
      </c>
      <c r="L1750">
        <v>19620</v>
      </c>
      <c r="M1750">
        <v>25506</v>
      </c>
      <c r="N1750" t="s">
        <v>42</v>
      </c>
      <c r="O1750">
        <f t="shared" si="54"/>
        <v>39780</v>
      </c>
      <c r="P1750" s="13">
        <f t="shared" si="55"/>
        <v>2753348</v>
      </c>
      <c r="Q1750" s="13">
        <f>SUMIFS(M:M,E:E,Online_eCommerce[[#This Row],[Status]])</f>
        <v>28620410</v>
      </c>
      <c r="R1750" s="13">
        <f>SUMIFS(L:L,H:H,Online_eCommerce[[#This Row],[Brand]])</f>
        <v>2465580</v>
      </c>
      <c r="S1750" s="13">
        <f>SUMIF(H:H,Online_eCommerce[[#This Row],[Brand]],M:M)</f>
        <v>3205254</v>
      </c>
      <c r="T1750" s="13">
        <f>SUMIF(N:N,Online_eCommerce[[#This Row],[Assigned Supervisor]],L:L)</f>
        <v>12261500</v>
      </c>
    </row>
    <row r="1751" spans="1:20" hidden="1" x14ac:dyDescent="0.3">
      <c r="A1751" t="s">
        <v>2757</v>
      </c>
      <c r="B1751" t="s">
        <v>283</v>
      </c>
      <c r="C1751" t="s">
        <v>160</v>
      </c>
      <c r="D1751" t="s">
        <v>2758</v>
      </c>
      <c r="E1751" t="s">
        <v>96</v>
      </c>
      <c r="F1751" t="s">
        <v>107</v>
      </c>
      <c r="G1751" t="s">
        <v>54</v>
      </c>
      <c r="H1751" t="s">
        <v>55</v>
      </c>
      <c r="I1751">
        <v>2680</v>
      </c>
      <c r="J1751">
        <v>3484</v>
      </c>
      <c r="K1751">
        <v>3</v>
      </c>
      <c r="L1751">
        <v>8040</v>
      </c>
      <c r="M1751">
        <v>10452</v>
      </c>
      <c r="N1751" t="s">
        <v>50</v>
      </c>
      <c r="O1751">
        <f t="shared" si="54"/>
        <v>2990</v>
      </c>
      <c r="P1751" s="13">
        <f t="shared" si="55"/>
        <v>2303483</v>
      </c>
      <c r="Q1751" s="13">
        <f>SUMIFS(M:M,E:E,Online_eCommerce[[#This Row],[Status]])</f>
        <v>21233992</v>
      </c>
      <c r="R1751" s="13">
        <f>SUMIFS(L:L,H:H,Online_eCommerce[[#This Row],[Brand]])</f>
        <v>2267380</v>
      </c>
      <c r="S1751" s="13">
        <f>SUMIF(H:H,Online_eCommerce[[#This Row],[Brand]],M:M)</f>
        <v>2947594</v>
      </c>
      <c r="T1751" s="13">
        <f>SUMIF(N:N,Online_eCommerce[[#This Row],[Assigned Supervisor]],L:L)</f>
        <v>12100590</v>
      </c>
    </row>
    <row r="1752" spans="1:20" hidden="1" x14ac:dyDescent="0.3">
      <c r="A1752" t="s">
        <v>2759</v>
      </c>
      <c r="B1752" t="s">
        <v>283</v>
      </c>
      <c r="C1752" t="s">
        <v>165</v>
      </c>
      <c r="D1752" t="s">
        <v>2760</v>
      </c>
      <c r="E1752" t="s">
        <v>18</v>
      </c>
      <c r="F1752" t="s">
        <v>112</v>
      </c>
      <c r="G1752" t="s">
        <v>71</v>
      </c>
      <c r="H1752" t="s">
        <v>21</v>
      </c>
      <c r="I1752">
        <v>8250</v>
      </c>
      <c r="J1752">
        <v>10725</v>
      </c>
      <c r="K1752">
        <v>1</v>
      </c>
      <c r="L1752">
        <v>8250</v>
      </c>
      <c r="M1752">
        <v>10725</v>
      </c>
      <c r="N1752" t="s">
        <v>56</v>
      </c>
      <c r="O1752">
        <f t="shared" si="54"/>
        <v>9750</v>
      </c>
      <c r="P1752" s="13">
        <f t="shared" si="55"/>
        <v>2674087</v>
      </c>
      <c r="Q1752" s="13">
        <f>SUMIFS(M:M,E:E,Online_eCommerce[[#This Row],[Status]])</f>
        <v>28340455</v>
      </c>
      <c r="R1752" s="13">
        <f>SUMIFS(L:L,H:H,Online_eCommerce[[#This Row],[Brand]])</f>
        <v>12435650</v>
      </c>
      <c r="S1752" s="13">
        <f>SUMIF(H:H,Online_eCommerce[[#This Row],[Brand]],M:M)</f>
        <v>16166345</v>
      </c>
      <c r="T1752" s="13">
        <f>SUMIF(N:N,Online_eCommerce[[#This Row],[Assigned Supervisor]],L:L)</f>
        <v>11733610</v>
      </c>
    </row>
    <row r="1753" spans="1:20" hidden="1" x14ac:dyDescent="0.3">
      <c r="A1753" t="s">
        <v>2761</v>
      </c>
      <c r="B1753" t="s">
        <v>283</v>
      </c>
      <c r="C1753" t="s">
        <v>168</v>
      </c>
      <c r="D1753" t="s">
        <v>2762</v>
      </c>
      <c r="E1753" t="s">
        <v>161</v>
      </c>
      <c r="F1753" t="s">
        <v>2270</v>
      </c>
      <c r="G1753" t="s">
        <v>40</v>
      </c>
      <c r="H1753" t="s">
        <v>21</v>
      </c>
      <c r="I1753">
        <v>2650</v>
      </c>
      <c r="J1753">
        <v>3445</v>
      </c>
      <c r="K1753">
        <v>1</v>
      </c>
      <c r="L1753">
        <v>2650</v>
      </c>
      <c r="M1753">
        <v>3445</v>
      </c>
      <c r="N1753" t="s">
        <v>22</v>
      </c>
      <c r="O1753">
        <f t="shared" si="54"/>
        <v>25545</v>
      </c>
      <c r="P1753" s="13">
        <f t="shared" si="55"/>
        <v>1937780</v>
      </c>
      <c r="Q1753" s="13">
        <f>SUMIFS(M:M,E:E,Online_eCommerce[[#This Row],[Status]])</f>
        <v>21103186</v>
      </c>
      <c r="R1753" s="13">
        <f>SUMIFS(L:L,H:H,Online_eCommerce[[#This Row],[Brand]])</f>
        <v>12435650</v>
      </c>
      <c r="S1753" s="13">
        <f>SUMIF(H:H,Online_eCommerce[[#This Row],[Brand]],M:M)</f>
        <v>16166345</v>
      </c>
      <c r="T1753" s="13">
        <f>SUMIF(N:N,Online_eCommerce[[#This Row],[Assigned Supervisor]],L:L)</f>
        <v>13693220</v>
      </c>
    </row>
    <row r="1754" spans="1:20" x14ac:dyDescent="0.3">
      <c r="A1754" t="s">
        <v>2763</v>
      </c>
      <c r="B1754" t="s">
        <v>283</v>
      </c>
      <c r="C1754" t="s">
        <v>172</v>
      </c>
      <c r="D1754" t="s">
        <v>2764</v>
      </c>
      <c r="E1754" t="s">
        <v>46</v>
      </c>
      <c r="F1754" t="s">
        <v>121</v>
      </c>
      <c r="G1754" t="s">
        <v>71</v>
      </c>
      <c r="H1754" t="s">
        <v>122</v>
      </c>
      <c r="I1754">
        <v>12550</v>
      </c>
      <c r="J1754">
        <v>16315</v>
      </c>
      <c r="K1754">
        <v>3</v>
      </c>
      <c r="L1754">
        <v>37650</v>
      </c>
      <c r="M1754">
        <v>48945</v>
      </c>
      <c r="N1754" t="s">
        <v>28</v>
      </c>
      <c r="O1754">
        <f t="shared" si="54"/>
        <v>9750</v>
      </c>
      <c r="P1754" s="13">
        <f t="shared" si="55"/>
        <v>2640274</v>
      </c>
      <c r="Q1754" s="13">
        <f>SUMIFS(M:M,E:E,Online_eCommerce[[#This Row],[Status]])</f>
        <v>28620410</v>
      </c>
      <c r="R1754" s="13">
        <f>SUMIFS(L:L,H:H,Online_eCommerce[[#This Row],[Brand]])</f>
        <v>5045100</v>
      </c>
      <c r="S1754" s="13">
        <f>SUMIF(H:H,Online_eCommerce[[#This Row],[Brand]],M:M)</f>
        <v>6558630</v>
      </c>
      <c r="T1754" s="13">
        <f>SUMIF(N:N,Online_eCommerce[[#This Row],[Assigned Supervisor]],L:L)</f>
        <v>12220830</v>
      </c>
    </row>
    <row r="1755" spans="1:20" hidden="1" x14ac:dyDescent="0.3">
      <c r="A1755" t="s">
        <v>2765</v>
      </c>
      <c r="B1755" t="s">
        <v>283</v>
      </c>
      <c r="C1755" t="s">
        <v>177</v>
      </c>
      <c r="D1755" t="s">
        <v>2766</v>
      </c>
      <c r="E1755" t="s">
        <v>96</v>
      </c>
      <c r="F1755" t="s">
        <v>126</v>
      </c>
      <c r="G1755" t="s">
        <v>26</v>
      </c>
      <c r="H1755" t="s">
        <v>27</v>
      </c>
      <c r="I1755">
        <v>14500</v>
      </c>
      <c r="J1755">
        <v>18850</v>
      </c>
      <c r="K1755">
        <v>2</v>
      </c>
      <c r="L1755">
        <v>29000</v>
      </c>
      <c r="M1755">
        <v>37700</v>
      </c>
      <c r="N1755" t="s">
        <v>35</v>
      </c>
      <c r="O1755">
        <f t="shared" si="54"/>
        <v>33150</v>
      </c>
      <c r="P1755" s="13">
        <f t="shared" si="55"/>
        <v>1863810</v>
      </c>
      <c r="Q1755" s="13">
        <f>SUMIFS(M:M,E:E,Online_eCommerce[[#This Row],[Status]])</f>
        <v>21233992</v>
      </c>
      <c r="R1755" s="13">
        <f>SUMIFS(L:L,H:H,Online_eCommerce[[#This Row],[Brand]])</f>
        <v>14431000</v>
      </c>
      <c r="S1755" s="13">
        <f>SUMIF(H:H,Online_eCommerce[[#This Row],[Brand]],M:M)</f>
        <v>18760300</v>
      </c>
      <c r="T1755" s="13">
        <f>SUMIF(N:N,Online_eCommerce[[#This Row],[Assigned Supervisor]],L:L)</f>
        <v>14373360</v>
      </c>
    </row>
    <row r="1756" spans="1:20" hidden="1" x14ac:dyDescent="0.3">
      <c r="A1756" t="s">
        <v>2767</v>
      </c>
      <c r="B1756" t="s">
        <v>283</v>
      </c>
      <c r="C1756" t="s">
        <v>181</v>
      </c>
      <c r="D1756" t="s">
        <v>2766</v>
      </c>
      <c r="E1756" t="s">
        <v>18</v>
      </c>
      <c r="F1756" t="s">
        <v>129</v>
      </c>
      <c r="G1756" t="s">
        <v>60</v>
      </c>
      <c r="H1756" t="s">
        <v>61</v>
      </c>
      <c r="I1756">
        <v>800</v>
      </c>
      <c r="J1756">
        <v>1040</v>
      </c>
      <c r="K1756">
        <v>4</v>
      </c>
      <c r="L1756">
        <v>3200</v>
      </c>
      <c r="M1756">
        <v>4160</v>
      </c>
      <c r="N1756" t="s">
        <v>42</v>
      </c>
      <c r="O1756">
        <f t="shared" si="54"/>
        <v>3315</v>
      </c>
      <c r="P1756" s="13">
        <f t="shared" si="55"/>
        <v>2577458</v>
      </c>
      <c r="Q1756" s="13">
        <f>SUMIFS(M:M,E:E,Online_eCommerce[[#This Row],[Status]])</f>
        <v>28340455</v>
      </c>
      <c r="R1756" s="13">
        <f>SUMIFS(L:L,H:H,Online_eCommerce[[#This Row],[Brand]])</f>
        <v>10950150</v>
      </c>
      <c r="S1756" s="13">
        <f>SUMIF(H:H,Online_eCommerce[[#This Row],[Brand]],M:M)</f>
        <v>14235195</v>
      </c>
      <c r="T1756" s="13">
        <f>SUMIF(N:N,Online_eCommerce[[#This Row],[Assigned Supervisor]],L:L)</f>
        <v>12261500</v>
      </c>
    </row>
    <row r="1757" spans="1:20" hidden="1" x14ac:dyDescent="0.3">
      <c r="A1757" t="s">
        <v>2768</v>
      </c>
      <c r="B1757" t="s">
        <v>283</v>
      </c>
      <c r="C1757" t="s">
        <v>185</v>
      </c>
      <c r="D1757" t="s">
        <v>2766</v>
      </c>
      <c r="E1757" t="s">
        <v>161</v>
      </c>
      <c r="F1757" t="s">
        <v>133</v>
      </c>
      <c r="G1757" t="s">
        <v>66</v>
      </c>
      <c r="H1757" t="s">
        <v>21</v>
      </c>
      <c r="I1757">
        <v>600</v>
      </c>
      <c r="J1757">
        <v>780</v>
      </c>
      <c r="K1757">
        <v>4</v>
      </c>
      <c r="L1757">
        <v>2400</v>
      </c>
      <c r="M1757">
        <v>3120</v>
      </c>
      <c r="N1757" t="s">
        <v>50</v>
      </c>
      <c r="O1757">
        <f t="shared" si="54"/>
        <v>1690</v>
      </c>
      <c r="P1757" s="13">
        <f t="shared" si="55"/>
        <v>2091596</v>
      </c>
      <c r="Q1757" s="13">
        <f>SUMIFS(M:M,E:E,Online_eCommerce[[#This Row],[Status]])</f>
        <v>21103186</v>
      </c>
      <c r="R1757" s="13">
        <f>SUMIFS(L:L,H:H,Online_eCommerce[[#This Row],[Brand]])</f>
        <v>12435650</v>
      </c>
      <c r="S1757" s="13">
        <f>SUMIF(H:H,Online_eCommerce[[#This Row],[Brand]],M:M)</f>
        <v>16166345</v>
      </c>
      <c r="T1757" s="13">
        <f>SUMIF(N:N,Online_eCommerce[[#This Row],[Assigned Supervisor]],L:L)</f>
        <v>12100590</v>
      </c>
    </row>
    <row r="1758" spans="1:20" x14ac:dyDescent="0.3">
      <c r="A1758" t="s">
        <v>2769</v>
      </c>
      <c r="B1758" t="s">
        <v>283</v>
      </c>
      <c r="C1758" t="s">
        <v>189</v>
      </c>
      <c r="D1758" t="s">
        <v>2766</v>
      </c>
      <c r="E1758" t="s">
        <v>46</v>
      </c>
      <c r="F1758" t="s">
        <v>137</v>
      </c>
      <c r="G1758" t="s">
        <v>71</v>
      </c>
      <c r="H1758" t="s">
        <v>61</v>
      </c>
      <c r="I1758">
        <v>10500</v>
      </c>
      <c r="J1758">
        <v>13650</v>
      </c>
      <c r="K1758">
        <v>1</v>
      </c>
      <c r="L1758">
        <v>10500</v>
      </c>
      <c r="M1758">
        <v>13650</v>
      </c>
      <c r="N1758" t="s">
        <v>56</v>
      </c>
      <c r="O1758">
        <f t="shared" si="54"/>
        <v>9750</v>
      </c>
      <c r="P1758" s="13">
        <f t="shared" si="55"/>
        <v>2740777</v>
      </c>
      <c r="Q1758" s="13">
        <f>SUMIFS(M:M,E:E,Online_eCommerce[[#This Row],[Status]])</f>
        <v>28620410</v>
      </c>
      <c r="R1758" s="13">
        <f>SUMIFS(L:L,H:H,Online_eCommerce[[#This Row],[Brand]])</f>
        <v>10950150</v>
      </c>
      <c r="S1758" s="13">
        <f>SUMIF(H:H,Online_eCommerce[[#This Row],[Brand]],M:M)</f>
        <v>14235195</v>
      </c>
      <c r="T1758" s="13">
        <f>SUMIF(N:N,Online_eCommerce[[#This Row],[Assigned Supervisor]],L:L)</f>
        <v>11733610</v>
      </c>
    </row>
    <row r="1759" spans="1:20" hidden="1" x14ac:dyDescent="0.3">
      <c r="A1759" t="s">
        <v>2770</v>
      </c>
      <c r="B1759" t="s">
        <v>283</v>
      </c>
      <c r="C1759" t="s">
        <v>193</v>
      </c>
      <c r="D1759" t="s">
        <v>2766</v>
      </c>
      <c r="E1759" t="s">
        <v>96</v>
      </c>
      <c r="F1759" t="s">
        <v>2728</v>
      </c>
      <c r="G1759" t="s">
        <v>77</v>
      </c>
      <c r="H1759" t="s">
        <v>142</v>
      </c>
      <c r="I1759">
        <v>6500</v>
      </c>
      <c r="J1759">
        <v>8450</v>
      </c>
      <c r="K1759">
        <v>4</v>
      </c>
      <c r="L1759">
        <v>26000</v>
      </c>
      <c r="M1759">
        <v>33800</v>
      </c>
      <c r="N1759" t="s">
        <v>22</v>
      </c>
      <c r="O1759">
        <f t="shared" si="54"/>
        <v>39000</v>
      </c>
      <c r="P1759" s="13">
        <f t="shared" si="55"/>
        <v>2074774</v>
      </c>
      <c r="Q1759" s="13">
        <f>SUMIFS(M:M,E:E,Online_eCommerce[[#This Row],[Status]])</f>
        <v>21233992</v>
      </c>
      <c r="R1759" s="13">
        <f>SUMIFS(L:L,H:H,Online_eCommerce[[#This Row],[Brand]])</f>
        <v>6192500</v>
      </c>
      <c r="S1759" s="13">
        <f>SUMIF(H:H,Online_eCommerce[[#This Row],[Brand]],M:M)</f>
        <v>8050250</v>
      </c>
      <c r="T1759" s="13">
        <f>SUMIF(N:N,Online_eCommerce[[#This Row],[Assigned Supervisor]],L:L)</f>
        <v>13693220</v>
      </c>
    </row>
    <row r="1760" spans="1:20" hidden="1" x14ac:dyDescent="0.3">
      <c r="A1760" t="s">
        <v>2771</v>
      </c>
      <c r="B1760" t="s">
        <v>283</v>
      </c>
      <c r="C1760" t="s">
        <v>197</v>
      </c>
      <c r="D1760" t="s">
        <v>2766</v>
      </c>
      <c r="E1760" t="s">
        <v>18</v>
      </c>
      <c r="F1760" t="s">
        <v>2772</v>
      </c>
      <c r="G1760" t="s">
        <v>20</v>
      </c>
      <c r="H1760" t="s">
        <v>21</v>
      </c>
      <c r="I1760">
        <v>4500</v>
      </c>
      <c r="J1760">
        <v>5850</v>
      </c>
      <c r="K1760">
        <v>4</v>
      </c>
      <c r="L1760">
        <v>18000</v>
      </c>
      <c r="M1760">
        <v>23400</v>
      </c>
      <c r="N1760" t="s">
        <v>28</v>
      </c>
      <c r="O1760">
        <f t="shared" si="54"/>
        <v>8450</v>
      </c>
      <c r="P1760" s="13">
        <f t="shared" si="55"/>
        <v>2829840</v>
      </c>
      <c r="Q1760" s="13">
        <f>SUMIFS(M:M,E:E,Online_eCommerce[[#This Row],[Status]])</f>
        <v>28340455</v>
      </c>
      <c r="R1760" s="13">
        <f>SUMIFS(L:L,H:H,Online_eCommerce[[#This Row],[Brand]])</f>
        <v>12435650</v>
      </c>
      <c r="S1760" s="13">
        <f>SUMIF(H:H,Online_eCommerce[[#This Row],[Brand]],M:M)</f>
        <v>16166345</v>
      </c>
      <c r="T1760" s="13">
        <f>SUMIF(N:N,Online_eCommerce[[#This Row],[Assigned Supervisor]],L:L)</f>
        <v>12220830</v>
      </c>
    </row>
    <row r="1761" spans="1:20" hidden="1" x14ac:dyDescent="0.3">
      <c r="A1761" t="s">
        <v>2773</v>
      </c>
      <c r="B1761" t="s">
        <v>283</v>
      </c>
      <c r="C1761" t="s">
        <v>199</v>
      </c>
      <c r="D1761" t="s">
        <v>2766</v>
      </c>
      <c r="E1761" t="s">
        <v>161</v>
      </c>
      <c r="F1761" t="s">
        <v>152</v>
      </c>
      <c r="G1761" t="s">
        <v>26</v>
      </c>
      <c r="H1761" t="s">
        <v>27</v>
      </c>
      <c r="I1761">
        <v>8500</v>
      </c>
      <c r="J1761">
        <v>11050</v>
      </c>
      <c r="K1761">
        <v>4</v>
      </c>
      <c r="L1761">
        <v>34000</v>
      </c>
      <c r="M1761">
        <v>44200</v>
      </c>
      <c r="N1761" t="s">
        <v>35</v>
      </c>
      <c r="O1761">
        <f t="shared" si="54"/>
        <v>33150</v>
      </c>
      <c r="P1761" s="13">
        <f t="shared" si="55"/>
        <v>1947361</v>
      </c>
      <c r="Q1761" s="13">
        <f>SUMIFS(M:M,E:E,Online_eCommerce[[#This Row],[Status]])</f>
        <v>21103186</v>
      </c>
      <c r="R1761" s="13">
        <f>SUMIFS(L:L,H:H,Online_eCommerce[[#This Row],[Brand]])</f>
        <v>14431000</v>
      </c>
      <c r="S1761" s="13">
        <f>SUMIF(H:H,Online_eCommerce[[#This Row],[Brand]],M:M)</f>
        <v>18760300</v>
      </c>
      <c r="T1761" s="13">
        <f>SUMIF(N:N,Online_eCommerce[[#This Row],[Assigned Supervisor]],L:L)</f>
        <v>14373360</v>
      </c>
    </row>
    <row r="1762" spans="1:20" x14ac:dyDescent="0.3">
      <c r="A1762" t="s">
        <v>2774</v>
      </c>
      <c r="B1762" t="s">
        <v>283</v>
      </c>
      <c r="C1762" t="s">
        <v>203</v>
      </c>
      <c r="D1762" t="s">
        <v>2766</v>
      </c>
      <c r="E1762" t="s">
        <v>46</v>
      </c>
      <c r="F1762" t="s">
        <v>157</v>
      </c>
      <c r="G1762" t="s">
        <v>33</v>
      </c>
      <c r="H1762" t="s">
        <v>34</v>
      </c>
      <c r="I1762">
        <v>12500</v>
      </c>
      <c r="J1762">
        <v>16250</v>
      </c>
      <c r="K1762">
        <v>3</v>
      </c>
      <c r="L1762">
        <v>37500</v>
      </c>
      <c r="M1762">
        <v>48750</v>
      </c>
      <c r="N1762" t="s">
        <v>42</v>
      </c>
      <c r="O1762">
        <f t="shared" si="54"/>
        <v>18200</v>
      </c>
      <c r="P1762" s="13">
        <f t="shared" si="55"/>
        <v>2559635</v>
      </c>
      <c r="Q1762" s="13">
        <f>SUMIFS(M:M,E:E,Online_eCommerce[[#This Row],[Status]])</f>
        <v>28620410</v>
      </c>
      <c r="R1762" s="13">
        <f>SUMIFS(L:L,H:H,Online_eCommerce[[#This Row],[Brand]])</f>
        <v>10087000</v>
      </c>
      <c r="S1762" s="13">
        <f>SUMIF(H:H,Online_eCommerce[[#This Row],[Brand]],M:M)</f>
        <v>13113100</v>
      </c>
      <c r="T1762" s="13">
        <f>SUMIF(N:N,Online_eCommerce[[#This Row],[Assigned Supervisor]],L:L)</f>
        <v>12261500</v>
      </c>
    </row>
    <row r="1763" spans="1:20" hidden="1" x14ac:dyDescent="0.3">
      <c r="A1763" t="s">
        <v>2775</v>
      </c>
      <c r="B1763" t="s">
        <v>283</v>
      </c>
      <c r="C1763" t="s">
        <v>205</v>
      </c>
      <c r="D1763" t="s">
        <v>2766</v>
      </c>
      <c r="E1763" t="s">
        <v>96</v>
      </c>
      <c r="F1763" t="s">
        <v>2323</v>
      </c>
      <c r="G1763" t="s">
        <v>163</v>
      </c>
      <c r="H1763" t="s">
        <v>41</v>
      </c>
      <c r="I1763">
        <v>3500</v>
      </c>
      <c r="J1763">
        <v>4550</v>
      </c>
      <c r="K1763">
        <v>1</v>
      </c>
      <c r="L1763">
        <v>3500</v>
      </c>
      <c r="M1763">
        <v>4550</v>
      </c>
      <c r="N1763" t="s">
        <v>50</v>
      </c>
      <c r="O1763">
        <f t="shared" si="54"/>
        <v>13650</v>
      </c>
      <c r="P1763" s="13">
        <f t="shared" si="55"/>
        <v>1983254</v>
      </c>
      <c r="Q1763" s="13">
        <f>SUMIFS(M:M,E:E,Online_eCommerce[[#This Row],[Status]])</f>
        <v>21233992</v>
      </c>
      <c r="R1763" s="13">
        <f>SUMIFS(L:L,H:H,Online_eCommerce[[#This Row],[Brand]])</f>
        <v>4260400</v>
      </c>
      <c r="S1763" s="13">
        <f>SUMIF(H:H,Online_eCommerce[[#This Row],[Brand]],M:M)</f>
        <v>5538520</v>
      </c>
      <c r="T1763" s="13">
        <f>SUMIF(N:N,Online_eCommerce[[#This Row],[Assigned Supervisor]],L:L)</f>
        <v>12100590</v>
      </c>
    </row>
    <row r="1764" spans="1:20" hidden="1" x14ac:dyDescent="0.3">
      <c r="A1764" t="s">
        <v>2776</v>
      </c>
      <c r="B1764" t="s">
        <v>283</v>
      </c>
      <c r="C1764" t="s">
        <v>208</v>
      </c>
      <c r="D1764" t="s">
        <v>2766</v>
      </c>
      <c r="E1764" t="s">
        <v>18</v>
      </c>
      <c r="F1764" t="s">
        <v>166</v>
      </c>
      <c r="G1764" t="s">
        <v>66</v>
      </c>
      <c r="H1764" t="s">
        <v>49</v>
      </c>
      <c r="I1764">
        <v>4500</v>
      </c>
      <c r="J1764">
        <v>5850</v>
      </c>
      <c r="K1764">
        <v>4</v>
      </c>
      <c r="L1764">
        <v>18000</v>
      </c>
      <c r="M1764">
        <v>23400</v>
      </c>
      <c r="N1764" t="s">
        <v>56</v>
      </c>
      <c r="O1764">
        <f t="shared" si="54"/>
        <v>1690</v>
      </c>
      <c r="P1764" s="13">
        <f t="shared" si="55"/>
        <v>2746575</v>
      </c>
      <c r="Q1764" s="13">
        <f>SUMIFS(M:M,E:E,Online_eCommerce[[#This Row],[Status]])</f>
        <v>28340455</v>
      </c>
      <c r="R1764" s="13">
        <f>SUMIFS(L:L,H:H,Online_eCommerce[[#This Row],[Brand]])</f>
        <v>4528350</v>
      </c>
      <c r="S1764" s="13">
        <f>SUMIF(H:H,Online_eCommerce[[#This Row],[Brand]],M:M)</f>
        <v>5886855</v>
      </c>
      <c r="T1764" s="13">
        <f>SUMIF(N:N,Online_eCommerce[[#This Row],[Assigned Supervisor]],L:L)</f>
        <v>11733610</v>
      </c>
    </row>
    <row r="1765" spans="1:20" hidden="1" x14ac:dyDescent="0.3">
      <c r="A1765" t="s">
        <v>2777</v>
      </c>
      <c r="B1765" t="s">
        <v>283</v>
      </c>
      <c r="C1765" t="s">
        <v>211</v>
      </c>
      <c r="D1765" t="s">
        <v>2778</v>
      </c>
      <c r="E1765" t="s">
        <v>161</v>
      </c>
      <c r="F1765" t="s">
        <v>2779</v>
      </c>
      <c r="G1765" t="s">
        <v>54</v>
      </c>
      <c r="H1765" t="s">
        <v>55</v>
      </c>
      <c r="I1765">
        <v>2100</v>
      </c>
      <c r="J1765">
        <v>2730</v>
      </c>
      <c r="K1765">
        <v>4</v>
      </c>
      <c r="L1765">
        <v>8400</v>
      </c>
      <c r="M1765">
        <v>10920</v>
      </c>
      <c r="N1765" t="s">
        <v>22</v>
      </c>
      <c r="O1765">
        <f t="shared" si="54"/>
        <v>2990</v>
      </c>
      <c r="P1765" s="13">
        <f t="shared" si="55"/>
        <v>1809847</v>
      </c>
      <c r="Q1765" s="13">
        <f>SUMIFS(M:M,E:E,Online_eCommerce[[#This Row],[Status]])</f>
        <v>21103186</v>
      </c>
      <c r="R1765" s="13">
        <f>SUMIFS(L:L,H:H,Online_eCommerce[[#This Row],[Brand]])</f>
        <v>2267380</v>
      </c>
      <c r="S1765" s="13">
        <f>SUMIF(H:H,Online_eCommerce[[#This Row],[Brand]],M:M)</f>
        <v>2947594</v>
      </c>
      <c r="T1765" s="13">
        <f>SUMIF(N:N,Online_eCommerce[[#This Row],[Assigned Supervisor]],L:L)</f>
        <v>13693220</v>
      </c>
    </row>
    <row r="1766" spans="1:20" x14ac:dyDescent="0.3">
      <c r="A1766" t="s">
        <v>2780</v>
      </c>
      <c r="B1766" t="s">
        <v>283</v>
      </c>
      <c r="C1766" t="s">
        <v>16</v>
      </c>
      <c r="D1766" t="s">
        <v>2781</v>
      </c>
      <c r="E1766" t="s">
        <v>46</v>
      </c>
      <c r="F1766" t="s">
        <v>174</v>
      </c>
      <c r="G1766" t="s">
        <v>60</v>
      </c>
      <c r="H1766" t="s">
        <v>61</v>
      </c>
      <c r="I1766">
        <v>1150</v>
      </c>
      <c r="J1766">
        <v>1495</v>
      </c>
      <c r="K1766">
        <v>3</v>
      </c>
      <c r="L1766">
        <v>3450</v>
      </c>
      <c r="M1766">
        <v>4485</v>
      </c>
      <c r="N1766" t="s">
        <v>28</v>
      </c>
      <c r="O1766">
        <f t="shared" si="54"/>
        <v>3315</v>
      </c>
      <c r="P1766" s="13">
        <f t="shared" si="55"/>
        <v>2751814</v>
      </c>
      <c r="Q1766" s="13">
        <f>SUMIFS(M:M,E:E,Online_eCommerce[[#This Row],[Status]])</f>
        <v>28620410</v>
      </c>
      <c r="R1766" s="13">
        <f>SUMIFS(L:L,H:H,Online_eCommerce[[#This Row],[Brand]])</f>
        <v>10950150</v>
      </c>
      <c r="S1766" s="13">
        <f>SUMIF(H:H,Online_eCommerce[[#This Row],[Brand]],M:M)</f>
        <v>14235195</v>
      </c>
      <c r="T1766" s="13">
        <f>SUMIF(N:N,Online_eCommerce[[#This Row],[Assigned Supervisor]],L:L)</f>
        <v>12220830</v>
      </c>
    </row>
    <row r="1767" spans="1:20" hidden="1" x14ac:dyDescent="0.3">
      <c r="A1767" t="s">
        <v>2782</v>
      </c>
      <c r="B1767" t="s">
        <v>283</v>
      </c>
      <c r="C1767" t="s">
        <v>24</v>
      </c>
      <c r="D1767" t="s">
        <v>2781</v>
      </c>
      <c r="E1767" t="s">
        <v>96</v>
      </c>
      <c r="F1767" t="s">
        <v>179</v>
      </c>
      <c r="G1767" t="s">
        <v>66</v>
      </c>
      <c r="H1767" t="s">
        <v>21</v>
      </c>
      <c r="I1767">
        <v>350</v>
      </c>
      <c r="J1767">
        <v>455</v>
      </c>
      <c r="K1767">
        <v>1</v>
      </c>
      <c r="L1767">
        <v>350</v>
      </c>
      <c r="M1767">
        <v>455</v>
      </c>
      <c r="N1767" t="s">
        <v>35</v>
      </c>
      <c r="O1767">
        <f t="shared" si="54"/>
        <v>1690</v>
      </c>
      <c r="P1767" s="13">
        <f t="shared" si="55"/>
        <v>2009540</v>
      </c>
      <c r="Q1767" s="13">
        <f>SUMIFS(M:M,E:E,Online_eCommerce[[#This Row],[Status]])</f>
        <v>21233992</v>
      </c>
      <c r="R1767" s="13">
        <f>SUMIFS(L:L,H:H,Online_eCommerce[[#This Row],[Brand]])</f>
        <v>12435650</v>
      </c>
      <c r="S1767" s="13">
        <f>SUMIF(H:H,Online_eCommerce[[#This Row],[Brand]],M:M)</f>
        <v>16166345</v>
      </c>
      <c r="T1767" s="13">
        <f>SUMIF(N:N,Online_eCommerce[[#This Row],[Assigned Supervisor]],L:L)</f>
        <v>14373360</v>
      </c>
    </row>
    <row r="1768" spans="1:20" hidden="1" x14ac:dyDescent="0.3">
      <c r="A1768" t="s">
        <v>2783</v>
      </c>
      <c r="B1768" t="s">
        <v>283</v>
      </c>
      <c r="C1768" t="s">
        <v>31</v>
      </c>
      <c r="D1768" t="s">
        <v>2781</v>
      </c>
      <c r="E1768" t="s">
        <v>18</v>
      </c>
      <c r="F1768" t="s">
        <v>183</v>
      </c>
      <c r="G1768" t="s">
        <v>71</v>
      </c>
      <c r="H1768" t="s">
        <v>61</v>
      </c>
      <c r="I1768">
        <v>9500</v>
      </c>
      <c r="J1768">
        <v>12350</v>
      </c>
      <c r="K1768">
        <v>4</v>
      </c>
      <c r="L1768">
        <v>38000</v>
      </c>
      <c r="M1768">
        <v>49400</v>
      </c>
      <c r="N1768" t="s">
        <v>42</v>
      </c>
      <c r="O1768">
        <f t="shared" si="54"/>
        <v>9750</v>
      </c>
      <c r="P1768" s="13">
        <f t="shared" si="55"/>
        <v>2865746</v>
      </c>
      <c r="Q1768" s="13">
        <f>SUMIFS(M:M,E:E,Online_eCommerce[[#This Row],[Status]])</f>
        <v>28340455</v>
      </c>
      <c r="R1768" s="13">
        <f>SUMIFS(L:L,H:H,Online_eCommerce[[#This Row],[Brand]])</f>
        <v>10950150</v>
      </c>
      <c r="S1768" s="13">
        <f>SUMIF(H:H,Online_eCommerce[[#This Row],[Brand]],M:M)</f>
        <v>14235195</v>
      </c>
      <c r="T1768" s="13">
        <f>SUMIF(N:N,Online_eCommerce[[#This Row],[Assigned Supervisor]],L:L)</f>
        <v>12261500</v>
      </c>
    </row>
    <row r="1769" spans="1:20" hidden="1" x14ac:dyDescent="0.3">
      <c r="A1769" t="s">
        <v>2784</v>
      </c>
      <c r="B1769" t="s">
        <v>283</v>
      </c>
      <c r="C1769" t="s">
        <v>38</v>
      </c>
      <c r="D1769" t="s">
        <v>2781</v>
      </c>
      <c r="E1769" t="s">
        <v>161</v>
      </c>
      <c r="F1769" t="s">
        <v>2785</v>
      </c>
      <c r="G1769" t="s">
        <v>77</v>
      </c>
      <c r="H1769" t="s">
        <v>142</v>
      </c>
      <c r="I1769">
        <v>10000</v>
      </c>
      <c r="J1769">
        <v>13000</v>
      </c>
      <c r="K1769">
        <v>3</v>
      </c>
      <c r="L1769">
        <v>30000</v>
      </c>
      <c r="M1769">
        <v>39000</v>
      </c>
      <c r="N1769" t="s">
        <v>50</v>
      </c>
      <c r="O1769">
        <f t="shared" si="54"/>
        <v>39000</v>
      </c>
      <c r="P1769" s="13">
        <f t="shared" si="55"/>
        <v>1933997</v>
      </c>
      <c r="Q1769" s="13">
        <f>SUMIFS(M:M,E:E,Online_eCommerce[[#This Row],[Status]])</f>
        <v>21103186</v>
      </c>
      <c r="R1769" s="13">
        <f>SUMIFS(L:L,H:H,Online_eCommerce[[#This Row],[Brand]])</f>
        <v>6192500</v>
      </c>
      <c r="S1769" s="13">
        <f>SUMIF(H:H,Online_eCommerce[[#This Row],[Brand]],M:M)</f>
        <v>8050250</v>
      </c>
      <c r="T1769" s="13">
        <f>SUMIF(N:N,Online_eCommerce[[#This Row],[Assigned Supervisor]],L:L)</f>
        <v>12100590</v>
      </c>
    </row>
    <row r="1770" spans="1:20" x14ac:dyDescent="0.3">
      <c r="A1770" t="s">
        <v>2786</v>
      </c>
      <c r="B1770" t="s">
        <v>283</v>
      </c>
      <c r="C1770" t="s">
        <v>45</v>
      </c>
      <c r="D1770" t="s">
        <v>2781</v>
      </c>
      <c r="E1770" t="s">
        <v>46</v>
      </c>
      <c r="F1770" t="s">
        <v>2787</v>
      </c>
      <c r="G1770" t="s">
        <v>20</v>
      </c>
      <c r="H1770" t="s">
        <v>21</v>
      </c>
      <c r="I1770">
        <v>6500</v>
      </c>
      <c r="J1770">
        <v>8450</v>
      </c>
      <c r="K1770">
        <v>1</v>
      </c>
      <c r="L1770">
        <v>6500</v>
      </c>
      <c r="M1770">
        <v>8450</v>
      </c>
      <c r="N1770" t="s">
        <v>56</v>
      </c>
      <c r="O1770">
        <f t="shared" si="54"/>
        <v>8450</v>
      </c>
      <c r="P1770" s="13">
        <f t="shared" si="55"/>
        <v>2842554</v>
      </c>
      <c r="Q1770" s="13">
        <f>SUMIFS(M:M,E:E,Online_eCommerce[[#This Row],[Status]])</f>
        <v>28620410</v>
      </c>
      <c r="R1770" s="13">
        <f>SUMIFS(L:L,H:H,Online_eCommerce[[#This Row],[Brand]])</f>
        <v>12435650</v>
      </c>
      <c r="S1770" s="13">
        <f>SUMIF(H:H,Online_eCommerce[[#This Row],[Brand]],M:M)</f>
        <v>16166345</v>
      </c>
      <c r="T1770" s="13">
        <f>SUMIF(N:N,Online_eCommerce[[#This Row],[Assigned Supervisor]],L:L)</f>
        <v>11733610</v>
      </c>
    </row>
    <row r="1771" spans="1:20" hidden="1" x14ac:dyDescent="0.3">
      <c r="A1771" t="s">
        <v>2788</v>
      </c>
      <c r="B1771" t="s">
        <v>283</v>
      </c>
      <c r="C1771" t="s">
        <v>52</v>
      </c>
      <c r="D1771" t="s">
        <v>2781</v>
      </c>
      <c r="E1771" t="s">
        <v>96</v>
      </c>
      <c r="F1771" t="s">
        <v>2789</v>
      </c>
      <c r="G1771" t="s">
        <v>26</v>
      </c>
      <c r="H1771" t="s">
        <v>27</v>
      </c>
      <c r="I1771">
        <v>8500</v>
      </c>
      <c r="J1771">
        <v>11050</v>
      </c>
      <c r="K1771">
        <v>4</v>
      </c>
      <c r="L1771">
        <v>34000</v>
      </c>
      <c r="M1771">
        <v>44200</v>
      </c>
      <c r="N1771" t="s">
        <v>22</v>
      </c>
      <c r="O1771">
        <f t="shared" si="54"/>
        <v>33150</v>
      </c>
      <c r="P1771" s="13">
        <f t="shared" si="55"/>
        <v>1955044</v>
      </c>
      <c r="Q1771" s="13">
        <f>SUMIFS(M:M,E:E,Online_eCommerce[[#This Row],[Status]])</f>
        <v>21233992</v>
      </c>
      <c r="R1771" s="13">
        <f>SUMIFS(L:L,H:H,Online_eCommerce[[#This Row],[Brand]])</f>
        <v>14431000</v>
      </c>
      <c r="S1771" s="13">
        <f>SUMIF(H:H,Online_eCommerce[[#This Row],[Brand]],M:M)</f>
        <v>18760300</v>
      </c>
      <c r="T1771" s="13">
        <f>SUMIF(N:N,Online_eCommerce[[#This Row],[Assigned Supervisor]],L:L)</f>
        <v>13693220</v>
      </c>
    </row>
    <row r="1772" spans="1:20" hidden="1" x14ac:dyDescent="0.3">
      <c r="A1772" t="s">
        <v>2790</v>
      </c>
      <c r="B1772" t="s">
        <v>283</v>
      </c>
      <c r="C1772" t="s">
        <v>58</v>
      </c>
      <c r="D1772" t="s">
        <v>2781</v>
      </c>
      <c r="E1772" t="s">
        <v>18</v>
      </c>
      <c r="F1772" t="s">
        <v>32</v>
      </c>
      <c r="G1772" t="s">
        <v>33</v>
      </c>
      <c r="H1772" t="s">
        <v>34</v>
      </c>
      <c r="I1772">
        <v>7000</v>
      </c>
      <c r="J1772">
        <v>9100</v>
      </c>
      <c r="K1772">
        <v>3</v>
      </c>
      <c r="L1772">
        <v>21000</v>
      </c>
      <c r="M1772">
        <v>27300</v>
      </c>
      <c r="N1772" t="s">
        <v>28</v>
      </c>
      <c r="O1772">
        <f t="shared" si="54"/>
        <v>18200</v>
      </c>
      <c r="P1772" s="13">
        <f t="shared" si="55"/>
        <v>2629211</v>
      </c>
      <c r="Q1772" s="13">
        <f>SUMIFS(M:M,E:E,Online_eCommerce[[#This Row],[Status]])</f>
        <v>28340455</v>
      </c>
      <c r="R1772" s="13">
        <f>SUMIFS(L:L,H:H,Online_eCommerce[[#This Row],[Brand]])</f>
        <v>10087000</v>
      </c>
      <c r="S1772" s="13">
        <f>SUMIF(H:H,Online_eCommerce[[#This Row],[Brand]],M:M)</f>
        <v>13113100</v>
      </c>
      <c r="T1772" s="13">
        <f>SUMIF(N:N,Online_eCommerce[[#This Row],[Assigned Supervisor]],L:L)</f>
        <v>12220830</v>
      </c>
    </row>
    <row r="1773" spans="1:20" hidden="1" x14ac:dyDescent="0.3">
      <c r="A1773" t="s">
        <v>2791</v>
      </c>
      <c r="B1773" t="s">
        <v>283</v>
      </c>
      <c r="C1773" t="s">
        <v>63</v>
      </c>
      <c r="D1773" t="s">
        <v>2781</v>
      </c>
      <c r="E1773" t="s">
        <v>161</v>
      </c>
      <c r="F1773" t="s">
        <v>2792</v>
      </c>
      <c r="G1773" t="s">
        <v>163</v>
      </c>
      <c r="H1773" t="s">
        <v>41</v>
      </c>
      <c r="I1773">
        <v>6550</v>
      </c>
      <c r="J1773">
        <v>8515</v>
      </c>
      <c r="K1773">
        <v>3</v>
      </c>
      <c r="L1773">
        <v>19650</v>
      </c>
      <c r="M1773">
        <v>25545</v>
      </c>
      <c r="N1773" t="s">
        <v>35</v>
      </c>
      <c r="O1773">
        <f t="shared" si="54"/>
        <v>13650</v>
      </c>
      <c r="P1773" s="13">
        <f t="shared" si="55"/>
        <v>2016131</v>
      </c>
      <c r="Q1773" s="13">
        <f>SUMIFS(M:M,E:E,Online_eCommerce[[#This Row],[Status]])</f>
        <v>21103186</v>
      </c>
      <c r="R1773" s="13">
        <f>SUMIFS(L:L,H:H,Online_eCommerce[[#This Row],[Brand]])</f>
        <v>4260400</v>
      </c>
      <c r="S1773" s="13">
        <f>SUMIF(H:H,Online_eCommerce[[#This Row],[Brand]],M:M)</f>
        <v>5538520</v>
      </c>
      <c r="T1773" s="13">
        <f>SUMIF(N:N,Online_eCommerce[[#This Row],[Assigned Supervisor]],L:L)</f>
        <v>14373360</v>
      </c>
    </row>
    <row r="1774" spans="1:20" x14ac:dyDescent="0.3">
      <c r="A1774" t="s">
        <v>2793</v>
      </c>
      <c r="B1774" t="s">
        <v>283</v>
      </c>
      <c r="C1774" t="s">
        <v>68</v>
      </c>
      <c r="D1774" t="s">
        <v>2794</v>
      </c>
      <c r="E1774" t="s">
        <v>46</v>
      </c>
      <c r="F1774" t="s">
        <v>47</v>
      </c>
      <c r="G1774" t="s">
        <v>66</v>
      </c>
      <c r="H1774" t="s">
        <v>49</v>
      </c>
      <c r="I1774">
        <v>7650</v>
      </c>
      <c r="J1774">
        <v>9945</v>
      </c>
      <c r="K1774">
        <v>4</v>
      </c>
      <c r="L1774">
        <v>30600</v>
      </c>
      <c r="M1774">
        <v>39780</v>
      </c>
      <c r="N1774" t="s">
        <v>42</v>
      </c>
      <c r="O1774">
        <f t="shared" si="54"/>
        <v>1690</v>
      </c>
      <c r="P1774" s="13">
        <f t="shared" si="55"/>
        <v>2974621</v>
      </c>
      <c r="Q1774" s="13">
        <f>SUMIFS(M:M,E:E,Online_eCommerce[[#This Row],[Status]])</f>
        <v>28620410</v>
      </c>
      <c r="R1774" s="13">
        <f>SUMIFS(L:L,H:H,Online_eCommerce[[#This Row],[Brand]])</f>
        <v>4528350</v>
      </c>
      <c r="S1774" s="13">
        <f>SUMIF(H:H,Online_eCommerce[[#This Row],[Brand]],M:M)</f>
        <v>5886855</v>
      </c>
      <c r="T1774" s="13">
        <f>SUMIF(N:N,Online_eCommerce[[#This Row],[Assigned Supervisor]],L:L)</f>
        <v>12261500</v>
      </c>
    </row>
    <row r="1775" spans="1:20" hidden="1" x14ac:dyDescent="0.3">
      <c r="A1775" t="s">
        <v>2795</v>
      </c>
      <c r="B1775" t="s">
        <v>283</v>
      </c>
      <c r="C1775" t="s">
        <v>74</v>
      </c>
      <c r="D1775" t="s">
        <v>2794</v>
      </c>
      <c r="E1775" t="s">
        <v>96</v>
      </c>
      <c r="F1775" t="s">
        <v>53</v>
      </c>
      <c r="G1775" t="s">
        <v>54</v>
      </c>
      <c r="H1775" t="s">
        <v>55</v>
      </c>
      <c r="I1775">
        <v>1150</v>
      </c>
      <c r="J1775">
        <v>1495</v>
      </c>
      <c r="K1775">
        <v>2</v>
      </c>
      <c r="L1775">
        <v>2300</v>
      </c>
      <c r="M1775">
        <v>2990</v>
      </c>
      <c r="N1775" t="s">
        <v>50</v>
      </c>
      <c r="O1775">
        <f t="shared" si="54"/>
        <v>2990</v>
      </c>
      <c r="P1775" s="13">
        <f t="shared" si="55"/>
        <v>2144701</v>
      </c>
      <c r="Q1775" s="13">
        <f>SUMIFS(M:M,E:E,Online_eCommerce[[#This Row],[Status]])</f>
        <v>21233992</v>
      </c>
      <c r="R1775" s="13">
        <f>SUMIFS(L:L,H:H,Online_eCommerce[[#This Row],[Brand]])</f>
        <v>2267380</v>
      </c>
      <c r="S1775" s="13">
        <f>SUMIF(H:H,Online_eCommerce[[#This Row],[Brand]],M:M)</f>
        <v>2947594</v>
      </c>
      <c r="T1775" s="13">
        <f>SUMIF(N:N,Online_eCommerce[[#This Row],[Assigned Supervisor]],L:L)</f>
        <v>12100590</v>
      </c>
    </row>
    <row r="1776" spans="1:20" hidden="1" x14ac:dyDescent="0.3">
      <c r="A1776" t="s">
        <v>2796</v>
      </c>
      <c r="B1776" t="s">
        <v>283</v>
      </c>
      <c r="C1776" t="s">
        <v>81</v>
      </c>
      <c r="D1776" t="s">
        <v>2794</v>
      </c>
      <c r="E1776" t="s">
        <v>18</v>
      </c>
      <c r="F1776" t="s">
        <v>59</v>
      </c>
      <c r="G1776" t="s">
        <v>60</v>
      </c>
      <c r="H1776" t="s">
        <v>61</v>
      </c>
      <c r="I1776">
        <v>850</v>
      </c>
      <c r="J1776">
        <v>1105</v>
      </c>
      <c r="K1776">
        <v>4</v>
      </c>
      <c r="L1776">
        <v>3400</v>
      </c>
      <c r="M1776">
        <v>4420</v>
      </c>
      <c r="N1776" t="s">
        <v>56</v>
      </c>
      <c r="O1776">
        <f t="shared" si="54"/>
        <v>3315</v>
      </c>
      <c r="P1776" s="13">
        <f t="shared" si="55"/>
        <v>2595632</v>
      </c>
      <c r="Q1776" s="13">
        <f>SUMIFS(M:M,E:E,Online_eCommerce[[#This Row],[Status]])</f>
        <v>28340455</v>
      </c>
      <c r="R1776" s="13">
        <f>SUMIFS(L:L,H:H,Online_eCommerce[[#This Row],[Brand]])</f>
        <v>10950150</v>
      </c>
      <c r="S1776" s="13">
        <f>SUMIF(H:H,Online_eCommerce[[#This Row],[Brand]],M:M)</f>
        <v>14235195</v>
      </c>
      <c r="T1776" s="13">
        <f>SUMIF(N:N,Online_eCommerce[[#This Row],[Assigned Supervisor]],L:L)</f>
        <v>11733610</v>
      </c>
    </row>
    <row r="1777" spans="1:20" hidden="1" x14ac:dyDescent="0.3">
      <c r="A1777" t="s">
        <v>2797</v>
      </c>
      <c r="B1777" t="s">
        <v>283</v>
      </c>
      <c r="C1777" t="s">
        <v>86</v>
      </c>
      <c r="D1777" t="s">
        <v>2794</v>
      </c>
      <c r="E1777" t="s">
        <v>161</v>
      </c>
      <c r="F1777" t="s">
        <v>65</v>
      </c>
      <c r="G1777" t="s">
        <v>66</v>
      </c>
      <c r="H1777" t="s">
        <v>21</v>
      </c>
      <c r="I1777">
        <v>650</v>
      </c>
      <c r="J1777">
        <v>845</v>
      </c>
      <c r="K1777">
        <v>2</v>
      </c>
      <c r="L1777">
        <v>1300</v>
      </c>
      <c r="M1777">
        <v>1690</v>
      </c>
      <c r="N1777" t="s">
        <v>22</v>
      </c>
      <c r="O1777">
        <f t="shared" si="54"/>
        <v>1690</v>
      </c>
      <c r="P1777" s="13">
        <f t="shared" si="55"/>
        <v>1941225</v>
      </c>
      <c r="Q1777" s="13">
        <f>SUMIFS(M:M,E:E,Online_eCommerce[[#This Row],[Status]])</f>
        <v>21103186</v>
      </c>
      <c r="R1777" s="13">
        <f>SUMIFS(L:L,H:H,Online_eCommerce[[#This Row],[Brand]])</f>
        <v>12435650</v>
      </c>
      <c r="S1777" s="13">
        <f>SUMIF(H:H,Online_eCommerce[[#This Row],[Brand]],M:M)</f>
        <v>16166345</v>
      </c>
      <c r="T1777" s="13">
        <f>SUMIF(N:N,Online_eCommerce[[#This Row],[Assigned Supervisor]],L:L)</f>
        <v>13693220</v>
      </c>
    </row>
    <row r="1778" spans="1:20" x14ac:dyDescent="0.3">
      <c r="A1778" t="s">
        <v>2798</v>
      </c>
      <c r="B1778" t="s">
        <v>283</v>
      </c>
      <c r="C1778" t="s">
        <v>91</v>
      </c>
      <c r="D1778" t="s">
        <v>2794</v>
      </c>
      <c r="E1778" t="s">
        <v>46</v>
      </c>
      <c r="F1778" t="s">
        <v>70</v>
      </c>
      <c r="G1778" t="s">
        <v>71</v>
      </c>
      <c r="H1778" t="s">
        <v>61</v>
      </c>
      <c r="I1778">
        <v>7500</v>
      </c>
      <c r="J1778">
        <v>9750</v>
      </c>
      <c r="K1778">
        <v>4</v>
      </c>
      <c r="L1778">
        <v>30000</v>
      </c>
      <c r="M1778">
        <v>39000</v>
      </c>
      <c r="N1778" t="s">
        <v>28</v>
      </c>
      <c r="O1778">
        <f t="shared" si="54"/>
        <v>9750</v>
      </c>
      <c r="P1778" s="13">
        <f t="shared" si="55"/>
        <v>2731963</v>
      </c>
      <c r="Q1778" s="13">
        <f>SUMIFS(M:M,E:E,Online_eCommerce[[#This Row],[Status]])</f>
        <v>28620410</v>
      </c>
      <c r="R1778" s="13">
        <f>SUMIFS(L:L,H:H,Online_eCommerce[[#This Row],[Brand]])</f>
        <v>10950150</v>
      </c>
      <c r="S1778" s="13">
        <f>SUMIF(H:H,Online_eCommerce[[#This Row],[Brand]],M:M)</f>
        <v>14235195</v>
      </c>
      <c r="T1778" s="13">
        <f>SUMIF(N:N,Online_eCommerce[[#This Row],[Assigned Supervisor]],L:L)</f>
        <v>12220830</v>
      </c>
    </row>
    <row r="1779" spans="1:20" hidden="1" x14ac:dyDescent="0.3">
      <c r="A1779" t="s">
        <v>2799</v>
      </c>
      <c r="B1779" t="s">
        <v>283</v>
      </c>
      <c r="C1779" t="s">
        <v>94</v>
      </c>
      <c r="D1779" t="s">
        <v>2794</v>
      </c>
      <c r="E1779" t="s">
        <v>96</v>
      </c>
      <c r="F1779" t="s">
        <v>2785</v>
      </c>
      <c r="G1779" t="s">
        <v>77</v>
      </c>
      <c r="H1779" t="s">
        <v>78</v>
      </c>
      <c r="I1779">
        <v>10000</v>
      </c>
      <c r="J1779">
        <v>13000</v>
      </c>
      <c r="K1779">
        <v>2</v>
      </c>
      <c r="L1779">
        <v>20000</v>
      </c>
      <c r="M1779">
        <v>26000</v>
      </c>
      <c r="N1779" t="s">
        <v>35</v>
      </c>
      <c r="O1779">
        <f t="shared" si="54"/>
        <v>39000</v>
      </c>
      <c r="P1779" s="13">
        <f t="shared" si="55"/>
        <v>1868256</v>
      </c>
      <c r="Q1779" s="13">
        <f>SUMIFS(M:M,E:E,Online_eCommerce[[#This Row],[Status]])</f>
        <v>21233992</v>
      </c>
      <c r="R1779" s="13">
        <f>SUMIFS(L:L,H:H,Online_eCommerce[[#This Row],[Brand]])</f>
        <v>3720000</v>
      </c>
      <c r="S1779" s="13">
        <f>SUMIF(H:H,Online_eCommerce[[#This Row],[Brand]],M:M)</f>
        <v>4836000</v>
      </c>
      <c r="T1779" s="13">
        <f>SUMIF(N:N,Online_eCommerce[[#This Row],[Assigned Supervisor]],L:L)</f>
        <v>14373360</v>
      </c>
    </row>
    <row r="1780" spans="1:20" hidden="1" x14ac:dyDescent="0.3">
      <c r="A1780" t="s">
        <v>2800</v>
      </c>
      <c r="B1780" t="s">
        <v>283</v>
      </c>
      <c r="C1780" t="s">
        <v>99</v>
      </c>
      <c r="D1780" t="s">
        <v>2794</v>
      </c>
      <c r="E1780" t="s">
        <v>18</v>
      </c>
      <c r="F1780" t="s">
        <v>2801</v>
      </c>
      <c r="G1780" t="s">
        <v>20</v>
      </c>
      <c r="H1780" t="s">
        <v>21</v>
      </c>
      <c r="I1780">
        <v>10500</v>
      </c>
      <c r="J1780">
        <v>13650</v>
      </c>
      <c r="K1780">
        <v>2</v>
      </c>
      <c r="L1780">
        <v>21000</v>
      </c>
      <c r="M1780">
        <v>27300</v>
      </c>
      <c r="N1780" t="s">
        <v>42</v>
      </c>
      <c r="O1780">
        <f t="shared" si="54"/>
        <v>8450</v>
      </c>
      <c r="P1780" s="13">
        <f t="shared" si="55"/>
        <v>2651233</v>
      </c>
      <c r="Q1780" s="13">
        <f>SUMIFS(M:M,E:E,Online_eCommerce[[#This Row],[Status]])</f>
        <v>28340455</v>
      </c>
      <c r="R1780" s="13">
        <f>SUMIFS(L:L,H:H,Online_eCommerce[[#This Row],[Brand]])</f>
        <v>12435650</v>
      </c>
      <c r="S1780" s="13">
        <f>SUMIF(H:H,Online_eCommerce[[#This Row],[Brand]],M:M)</f>
        <v>16166345</v>
      </c>
      <c r="T1780" s="13">
        <f>SUMIF(N:N,Online_eCommerce[[#This Row],[Assigned Supervisor]],L:L)</f>
        <v>12261500</v>
      </c>
    </row>
    <row r="1781" spans="1:20" hidden="1" x14ac:dyDescent="0.3">
      <c r="A1781" t="s">
        <v>2802</v>
      </c>
      <c r="B1781" t="s">
        <v>283</v>
      </c>
      <c r="C1781" t="s">
        <v>105</v>
      </c>
      <c r="D1781" t="s">
        <v>2803</v>
      </c>
      <c r="E1781" t="s">
        <v>161</v>
      </c>
      <c r="F1781" t="s">
        <v>88</v>
      </c>
      <c r="G1781" t="s">
        <v>26</v>
      </c>
      <c r="H1781" t="s">
        <v>27</v>
      </c>
      <c r="I1781">
        <v>8500</v>
      </c>
      <c r="J1781">
        <v>11050</v>
      </c>
      <c r="K1781">
        <v>3</v>
      </c>
      <c r="L1781">
        <v>25500</v>
      </c>
      <c r="M1781">
        <v>33150</v>
      </c>
      <c r="N1781" t="s">
        <v>50</v>
      </c>
      <c r="O1781">
        <f t="shared" si="54"/>
        <v>33150</v>
      </c>
      <c r="P1781" s="13">
        <f t="shared" si="55"/>
        <v>1866852</v>
      </c>
      <c r="Q1781" s="13">
        <f>SUMIFS(M:M,E:E,Online_eCommerce[[#This Row],[Status]])</f>
        <v>21103186</v>
      </c>
      <c r="R1781" s="13">
        <f>SUMIFS(L:L,H:H,Online_eCommerce[[#This Row],[Brand]])</f>
        <v>14431000</v>
      </c>
      <c r="S1781" s="13">
        <f>SUMIF(H:H,Online_eCommerce[[#This Row],[Brand]],M:M)</f>
        <v>18760300</v>
      </c>
      <c r="T1781" s="13">
        <f>SUMIF(N:N,Online_eCommerce[[#This Row],[Assigned Supervisor]],L:L)</f>
        <v>12100590</v>
      </c>
    </row>
    <row r="1782" spans="1:20" x14ac:dyDescent="0.3">
      <c r="A1782" t="s">
        <v>2804</v>
      </c>
      <c r="B1782" t="s">
        <v>283</v>
      </c>
      <c r="C1782" t="s">
        <v>110</v>
      </c>
      <c r="D1782" t="s">
        <v>2805</v>
      </c>
      <c r="E1782" t="s">
        <v>46</v>
      </c>
      <c r="F1782" t="s">
        <v>32</v>
      </c>
      <c r="G1782" t="s">
        <v>33</v>
      </c>
      <c r="H1782" t="s">
        <v>34</v>
      </c>
      <c r="I1782">
        <v>7000</v>
      </c>
      <c r="J1782">
        <v>9100</v>
      </c>
      <c r="K1782">
        <v>2</v>
      </c>
      <c r="L1782">
        <v>14000</v>
      </c>
      <c r="M1782">
        <v>18200</v>
      </c>
      <c r="N1782" t="s">
        <v>56</v>
      </c>
      <c r="O1782">
        <f t="shared" si="54"/>
        <v>18200</v>
      </c>
      <c r="P1782" s="13">
        <f t="shared" si="55"/>
        <v>2598635</v>
      </c>
      <c r="Q1782" s="13">
        <f>SUMIFS(M:M,E:E,Online_eCommerce[[#This Row],[Status]])</f>
        <v>28620410</v>
      </c>
      <c r="R1782" s="13">
        <f>SUMIFS(L:L,H:H,Online_eCommerce[[#This Row],[Brand]])</f>
        <v>10087000</v>
      </c>
      <c r="S1782" s="13">
        <f>SUMIF(H:H,Online_eCommerce[[#This Row],[Brand]],M:M)</f>
        <v>13113100</v>
      </c>
      <c r="T1782" s="13">
        <f>SUMIF(N:N,Online_eCommerce[[#This Row],[Assigned Supervisor]],L:L)</f>
        <v>11733610</v>
      </c>
    </row>
    <row r="1783" spans="1:20" hidden="1" x14ac:dyDescent="0.3">
      <c r="A1783" t="s">
        <v>2806</v>
      </c>
      <c r="B1783" t="s">
        <v>283</v>
      </c>
      <c r="C1783" t="s">
        <v>115</v>
      </c>
      <c r="D1783" t="s">
        <v>2807</v>
      </c>
      <c r="E1783" t="s">
        <v>96</v>
      </c>
      <c r="F1783" t="s">
        <v>2808</v>
      </c>
      <c r="G1783" t="s">
        <v>163</v>
      </c>
      <c r="H1783" t="s">
        <v>41</v>
      </c>
      <c r="I1783">
        <v>1680</v>
      </c>
      <c r="J1783">
        <v>2184</v>
      </c>
      <c r="K1783">
        <v>2</v>
      </c>
      <c r="L1783">
        <v>3360</v>
      </c>
      <c r="M1783">
        <v>4368</v>
      </c>
      <c r="N1783" t="s">
        <v>22</v>
      </c>
      <c r="O1783">
        <f t="shared" si="54"/>
        <v>13650</v>
      </c>
      <c r="P1783" s="13">
        <f t="shared" si="55"/>
        <v>2050178</v>
      </c>
      <c r="Q1783" s="13">
        <f>SUMIFS(M:M,E:E,Online_eCommerce[[#This Row],[Status]])</f>
        <v>21233992</v>
      </c>
      <c r="R1783" s="13">
        <f>SUMIFS(L:L,H:H,Online_eCommerce[[#This Row],[Brand]])</f>
        <v>4260400</v>
      </c>
      <c r="S1783" s="13">
        <f>SUMIF(H:H,Online_eCommerce[[#This Row],[Brand]],M:M)</f>
        <v>5538520</v>
      </c>
      <c r="T1783" s="13">
        <f>SUMIF(N:N,Online_eCommerce[[#This Row],[Assigned Supervisor]],L:L)</f>
        <v>13693220</v>
      </c>
    </row>
    <row r="1784" spans="1:20" hidden="1" x14ac:dyDescent="0.3">
      <c r="A1784" t="s">
        <v>2809</v>
      </c>
      <c r="B1784" t="s">
        <v>283</v>
      </c>
      <c r="C1784" t="s">
        <v>120</v>
      </c>
      <c r="D1784" t="s">
        <v>2810</v>
      </c>
      <c r="E1784" t="s">
        <v>18</v>
      </c>
      <c r="F1784" t="s">
        <v>101</v>
      </c>
      <c r="G1784" t="s">
        <v>66</v>
      </c>
      <c r="H1784" t="s">
        <v>102</v>
      </c>
      <c r="I1784">
        <v>6540</v>
      </c>
      <c r="J1784">
        <v>8502</v>
      </c>
      <c r="K1784">
        <v>1</v>
      </c>
      <c r="L1784">
        <v>6540</v>
      </c>
      <c r="M1784">
        <v>8502</v>
      </c>
      <c r="N1784" t="s">
        <v>28</v>
      </c>
      <c r="O1784">
        <f t="shared" si="54"/>
        <v>1690</v>
      </c>
      <c r="P1784" s="13">
        <f t="shared" si="55"/>
        <v>2734212</v>
      </c>
      <c r="Q1784" s="13">
        <f>SUMIFS(M:M,E:E,Online_eCommerce[[#This Row],[Status]])</f>
        <v>28340455</v>
      </c>
      <c r="R1784" s="13">
        <f>SUMIFS(L:L,H:H,Online_eCommerce[[#This Row],[Brand]])</f>
        <v>2465580</v>
      </c>
      <c r="S1784" s="13">
        <f>SUMIF(H:H,Online_eCommerce[[#This Row],[Brand]],M:M)</f>
        <v>3205254</v>
      </c>
      <c r="T1784" s="13">
        <f>SUMIF(N:N,Online_eCommerce[[#This Row],[Assigned Supervisor]],L:L)</f>
        <v>12220830</v>
      </c>
    </row>
    <row r="1785" spans="1:20" hidden="1" x14ac:dyDescent="0.3">
      <c r="A1785" t="s">
        <v>2811</v>
      </c>
      <c r="B1785" t="s">
        <v>283</v>
      </c>
      <c r="C1785" t="s">
        <v>125</v>
      </c>
      <c r="D1785" t="s">
        <v>2812</v>
      </c>
      <c r="E1785" t="s">
        <v>161</v>
      </c>
      <c r="F1785" t="s">
        <v>107</v>
      </c>
      <c r="G1785" t="s">
        <v>54</v>
      </c>
      <c r="H1785" t="s">
        <v>55</v>
      </c>
      <c r="I1785">
        <v>2680</v>
      </c>
      <c r="J1785">
        <v>3484</v>
      </c>
      <c r="K1785">
        <v>3</v>
      </c>
      <c r="L1785">
        <v>8040</v>
      </c>
      <c r="M1785">
        <v>10452</v>
      </c>
      <c r="N1785" t="s">
        <v>35</v>
      </c>
      <c r="O1785">
        <f t="shared" si="54"/>
        <v>2990</v>
      </c>
      <c r="P1785" s="13">
        <f t="shared" si="55"/>
        <v>2091154</v>
      </c>
      <c r="Q1785" s="13">
        <f>SUMIFS(M:M,E:E,Online_eCommerce[[#This Row],[Status]])</f>
        <v>21103186</v>
      </c>
      <c r="R1785" s="13">
        <f>SUMIFS(L:L,H:H,Online_eCommerce[[#This Row],[Brand]])</f>
        <v>2267380</v>
      </c>
      <c r="S1785" s="13">
        <f>SUMIF(H:H,Online_eCommerce[[#This Row],[Brand]],M:M)</f>
        <v>2947594</v>
      </c>
      <c r="T1785" s="13">
        <f>SUMIF(N:N,Online_eCommerce[[#This Row],[Assigned Supervisor]],L:L)</f>
        <v>14373360</v>
      </c>
    </row>
    <row r="1786" spans="1:20" x14ac:dyDescent="0.3">
      <c r="A1786" t="s">
        <v>2813</v>
      </c>
      <c r="B1786" t="s">
        <v>283</v>
      </c>
      <c r="C1786" t="s">
        <v>22</v>
      </c>
      <c r="D1786" t="s">
        <v>2812</v>
      </c>
      <c r="E1786" t="s">
        <v>46</v>
      </c>
      <c r="F1786" t="s">
        <v>112</v>
      </c>
      <c r="G1786" t="s">
        <v>71</v>
      </c>
      <c r="H1786" t="s">
        <v>21</v>
      </c>
      <c r="I1786">
        <v>8250</v>
      </c>
      <c r="J1786">
        <v>10725</v>
      </c>
      <c r="K1786">
        <v>4</v>
      </c>
      <c r="L1786">
        <v>33000</v>
      </c>
      <c r="M1786">
        <v>42900</v>
      </c>
      <c r="N1786" t="s">
        <v>42</v>
      </c>
      <c r="O1786">
        <f t="shared" si="54"/>
        <v>9750</v>
      </c>
      <c r="P1786" s="13">
        <f t="shared" si="55"/>
        <v>2551588</v>
      </c>
      <c r="Q1786" s="13">
        <f>SUMIFS(M:M,E:E,Online_eCommerce[[#This Row],[Status]])</f>
        <v>28620410</v>
      </c>
      <c r="R1786" s="13">
        <f>SUMIFS(L:L,H:H,Online_eCommerce[[#This Row],[Brand]])</f>
        <v>12435650</v>
      </c>
      <c r="S1786" s="13">
        <f>SUMIF(H:H,Online_eCommerce[[#This Row],[Brand]],M:M)</f>
        <v>16166345</v>
      </c>
      <c r="T1786" s="13">
        <f>SUMIF(N:N,Online_eCommerce[[#This Row],[Assigned Supervisor]],L:L)</f>
        <v>12261500</v>
      </c>
    </row>
    <row r="1787" spans="1:20" hidden="1" x14ac:dyDescent="0.3">
      <c r="A1787" t="s">
        <v>2814</v>
      </c>
      <c r="B1787" t="s">
        <v>283</v>
      </c>
      <c r="C1787" t="s">
        <v>132</v>
      </c>
      <c r="D1787" t="s">
        <v>2812</v>
      </c>
      <c r="E1787" t="s">
        <v>96</v>
      </c>
      <c r="F1787" t="s">
        <v>2323</v>
      </c>
      <c r="G1787" t="s">
        <v>40</v>
      </c>
      <c r="H1787" t="s">
        <v>21</v>
      </c>
      <c r="I1787">
        <v>2650</v>
      </c>
      <c r="J1787">
        <v>3445</v>
      </c>
      <c r="K1787">
        <v>1</v>
      </c>
      <c r="L1787">
        <v>2650</v>
      </c>
      <c r="M1787">
        <v>3445</v>
      </c>
      <c r="N1787" t="s">
        <v>50</v>
      </c>
      <c r="O1787">
        <f t="shared" si="54"/>
        <v>25545</v>
      </c>
      <c r="P1787" s="13">
        <f t="shared" si="55"/>
        <v>1989065</v>
      </c>
      <c r="Q1787" s="13">
        <f>SUMIFS(M:M,E:E,Online_eCommerce[[#This Row],[Status]])</f>
        <v>21233992</v>
      </c>
      <c r="R1787" s="13">
        <f>SUMIFS(L:L,H:H,Online_eCommerce[[#This Row],[Brand]])</f>
        <v>12435650</v>
      </c>
      <c r="S1787" s="13">
        <f>SUMIF(H:H,Online_eCommerce[[#This Row],[Brand]],M:M)</f>
        <v>16166345</v>
      </c>
      <c r="T1787" s="13">
        <f>SUMIF(N:N,Online_eCommerce[[#This Row],[Assigned Supervisor]],L:L)</f>
        <v>12100590</v>
      </c>
    </row>
    <row r="1788" spans="1:20" hidden="1" x14ac:dyDescent="0.3">
      <c r="A1788" t="s">
        <v>2815</v>
      </c>
      <c r="B1788" t="s">
        <v>283</v>
      </c>
      <c r="C1788" t="s">
        <v>136</v>
      </c>
      <c r="D1788" t="s">
        <v>2812</v>
      </c>
      <c r="E1788" t="s">
        <v>18</v>
      </c>
      <c r="F1788" t="s">
        <v>121</v>
      </c>
      <c r="G1788" t="s">
        <v>71</v>
      </c>
      <c r="H1788" t="s">
        <v>122</v>
      </c>
      <c r="I1788">
        <v>12550</v>
      </c>
      <c r="J1788">
        <v>16315</v>
      </c>
      <c r="K1788">
        <v>2</v>
      </c>
      <c r="L1788">
        <v>25100</v>
      </c>
      <c r="M1788">
        <v>32630</v>
      </c>
      <c r="N1788" t="s">
        <v>56</v>
      </c>
      <c r="O1788">
        <f t="shared" si="54"/>
        <v>9750</v>
      </c>
      <c r="P1788" s="13">
        <f t="shared" si="55"/>
        <v>2775162</v>
      </c>
      <c r="Q1788" s="13">
        <f>SUMIFS(M:M,E:E,Online_eCommerce[[#This Row],[Status]])</f>
        <v>28340455</v>
      </c>
      <c r="R1788" s="13">
        <f>SUMIFS(L:L,H:H,Online_eCommerce[[#This Row],[Brand]])</f>
        <v>5045100</v>
      </c>
      <c r="S1788" s="13">
        <f>SUMIF(H:H,Online_eCommerce[[#This Row],[Brand]],M:M)</f>
        <v>6558630</v>
      </c>
      <c r="T1788" s="13">
        <f>SUMIF(N:N,Online_eCommerce[[#This Row],[Assigned Supervisor]],L:L)</f>
        <v>11733610</v>
      </c>
    </row>
    <row r="1789" spans="1:20" hidden="1" x14ac:dyDescent="0.3">
      <c r="A1789" t="s">
        <v>2816</v>
      </c>
      <c r="B1789" t="s">
        <v>283</v>
      </c>
      <c r="C1789" t="s">
        <v>140</v>
      </c>
      <c r="D1789" t="s">
        <v>2812</v>
      </c>
      <c r="E1789" t="s">
        <v>161</v>
      </c>
      <c r="F1789" t="s">
        <v>126</v>
      </c>
      <c r="G1789" t="s">
        <v>26</v>
      </c>
      <c r="H1789" t="s">
        <v>27</v>
      </c>
      <c r="I1789">
        <v>14500</v>
      </c>
      <c r="J1789">
        <v>18850</v>
      </c>
      <c r="K1789">
        <v>4</v>
      </c>
      <c r="L1789">
        <v>58000</v>
      </c>
      <c r="M1789">
        <v>75400</v>
      </c>
      <c r="N1789" t="s">
        <v>22</v>
      </c>
      <c r="O1789">
        <f t="shared" si="54"/>
        <v>33150</v>
      </c>
      <c r="P1789" s="13">
        <f t="shared" si="55"/>
        <v>2058264</v>
      </c>
      <c r="Q1789" s="13">
        <f>SUMIFS(M:M,E:E,Online_eCommerce[[#This Row],[Status]])</f>
        <v>21103186</v>
      </c>
      <c r="R1789" s="13">
        <f>SUMIFS(L:L,H:H,Online_eCommerce[[#This Row],[Brand]])</f>
        <v>14431000</v>
      </c>
      <c r="S1789" s="13">
        <f>SUMIF(H:H,Online_eCommerce[[#This Row],[Brand]],M:M)</f>
        <v>18760300</v>
      </c>
      <c r="T1789" s="13">
        <f>SUMIF(N:N,Online_eCommerce[[#This Row],[Assigned Supervisor]],L:L)</f>
        <v>13693220</v>
      </c>
    </row>
    <row r="1790" spans="1:20" x14ac:dyDescent="0.3">
      <c r="A1790" t="s">
        <v>2817</v>
      </c>
      <c r="B1790" t="s">
        <v>283</v>
      </c>
      <c r="C1790" t="s">
        <v>145</v>
      </c>
      <c r="D1790" t="s">
        <v>2812</v>
      </c>
      <c r="E1790" t="s">
        <v>46</v>
      </c>
      <c r="F1790" t="s">
        <v>129</v>
      </c>
      <c r="G1790" t="s">
        <v>60</v>
      </c>
      <c r="H1790" t="s">
        <v>61</v>
      </c>
      <c r="I1790">
        <v>800</v>
      </c>
      <c r="J1790">
        <v>1040</v>
      </c>
      <c r="K1790">
        <v>3</v>
      </c>
      <c r="L1790">
        <v>2400</v>
      </c>
      <c r="M1790">
        <v>3120</v>
      </c>
      <c r="N1790" t="s">
        <v>28</v>
      </c>
      <c r="O1790">
        <f t="shared" si="54"/>
        <v>3315</v>
      </c>
      <c r="P1790" s="13">
        <f t="shared" si="55"/>
        <v>2757859</v>
      </c>
      <c r="Q1790" s="13">
        <f>SUMIFS(M:M,E:E,Online_eCommerce[[#This Row],[Status]])</f>
        <v>28620410</v>
      </c>
      <c r="R1790" s="13">
        <f>SUMIFS(L:L,H:H,Online_eCommerce[[#This Row],[Brand]])</f>
        <v>10950150</v>
      </c>
      <c r="S1790" s="13">
        <f>SUMIF(H:H,Online_eCommerce[[#This Row],[Brand]],M:M)</f>
        <v>14235195</v>
      </c>
      <c r="T1790" s="13">
        <f>SUMIF(N:N,Online_eCommerce[[#This Row],[Assigned Supervisor]],L:L)</f>
        <v>12220830</v>
      </c>
    </row>
    <row r="1791" spans="1:20" hidden="1" x14ac:dyDescent="0.3">
      <c r="A1791" t="s">
        <v>2818</v>
      </c>
      <c r="B1791" t="s">
        <v>283</v>
      </c>
      <c r="C1791" t="s">
        <v>150</v>
      </c>
      <c r="D1791" t="s">
        <v>2812</v>
      </c>
      <c r="E1791" t="s">
        <v>96</v>
      </c>
      <c r="F1791" t="s">
        <v>133</v>
      </c>
      <c r="G1791" t="s">
        <v>66</v>
      </c>
      <c r="H1791" t="s">
        <v>21</v>
      </c>
      <c r="I1791">
        <v>600</v>
      </c>
      <c r="J1791">
        <v>780</v>
      </c>
      <c r="K1791">
        <v>1</v>
      </c>
      <c r="L1791">
        <v>600</v>
      </c>
      <c r="M1791">
        <v>780</v>
      </c>
      <c r="N1791" t="s">
        <v>35</v>
      </c>
      <c r="O1791">
        <f t="shared" si="54"/>
        <v>1690</v>
      </c>
      <c r="P1791" s="13">
        <f t="shared" si="55"/>
        <v>2154984</v>
      </c>
      <c r="Q1791" s="13">
        <f>SUMIFS(M:M,E:E,Online_eCommerce[[#This Row],[Status]])</f>
        <v>21233992</v>
      </c>
      <c r="R1791" s="13">
        <f>SUMIFS(L:L,H:H,Online_eCommerce[[#This Row],[Brand]])</f>
        <v>12435650</v>
      </c>
      <c r="S1791" s="13">
        <f>SUMIF(H:H,Online_eCommerce[[#This Row],[Brand]],M:M)</f>
        <v>16166345</v>
      </c>
      <c r="T1791" s="13">
        <f>SUMIF(N:N,Online_eCommerce[[#This Row],[Assigned Supervisor]],L:L)</f>
        <v>14373360</v>
      </c>
    </row>
    <row r="1792" spans="1:20" hidden="1" x14ac:dyDescent="0.3">
      <c r="A1792" t="s">
        <v>2819</v>
      </c>
      <c r="B1792" t="s">
        <v>283</v>
      </c>
      <c r="C1792" t="s">
        <v>155</v>
      </c>
      <c r="D1792" t="s">
        <v>2812</v>
      </c>
      <c r="E1792" t="s">
        <v>18</v>
      </c>
      <c r="F1792" t="s">
        <v>137</v>
      </c>
      <c r="G1792" t="s">
        <v>71</v>
      </c>
      <c r="H1792" t="s">
        <v>61</v>
      </c>
      <c r="I1792">
        <v>10500</v>
      </c>
      <c r="J1792">
        <v>13650</v>
      </c>
      <c r="K1792">
        <v>4</v>
      </c>
      <c r="L1792">
        <v>42000</v>
      </c>
      <c r="M1792">
        <v>54600</v>
      </c>
      <c r="N1792" t="s">
        <v>42</v>
      </c>
      <c r="O1792">
        <f t="shared" si="54"/>
        <v>9750</v>
      </c>
      <c r="P1792" s="13">
        <f t="shared" si="55"/>
        <v>2753348</v>
      </c>
      <c r="Q1792" s="13">
        <f>SUMIFS(M:M,E:E,Online_eCommerce[[#This Row],[Status]])</f>
        <v>28340455</v>
      </c>
      <c r="R1792" s="13">
        <f>SUMIFS(L:L,H:H,Online_eCommerce[[#This Row],[Brand]])</f>
        <v>10950150</v>
      </c>
      <c r="S1792" s="13">
        <f>SUMIF(H:H,Online_eCommerce[[#This Row],[Brand]],M:M)</f>
        <v>14235195</v>
      </c>
      <c r="T1792" s="13">
        <f>SUMIF(N:N,Online_eCommerce[[#This Row],[Assigned Supervisor]],L:L)</f>
        <v>12261500</v>
      </c>
    </row>
    <row r="1793" spans="1:20" hidden="1" x14ac:dyDescent="0.3">
      <c r="A1793" t="s">
        <v>2820</v>
      </c>
      <c r="B1793" t="s">
        <v>283</v>
      </c>
      <c r="C1793" t="s">
        <v>160</v>
      </c>
      <c r="D1793" t="s">
        <v>2812</v>
      </c>
      <c r="E1793" t="s">
        <v>161</v>
      </c>
      <c r="F1793" t="s">
        <v>2785</v>
      </c>
      <c r="G1793" t="s">
        <v>77</v>
      </c>
      <c r="H1793" t="s">
        <v>142</v>
      </c>
      <c r="I1793">
        <v>6500</v>
      </c>
      <c r="J1793">
        <v>8450</v>
      </c>
      <c r="K1793">
        <v>2</v>
      </c>
      <c r="L1793">
        <v>13000</v>
      </c>
      <c r="M1793">
        <v>16900</v>
      </c>
      <c r="N1793" t="s">
        <v>50</v>
      </c>
      <c r="O1793">
        <f t="shared" si="54"/>
        <v>39000</v>
      </c>
      <c r="P1793" s="13">
        <f t="shared" si="55"/>
        <v>2303483</v>
      </c>
      <c r="Q1793" s="13">
        <f>SUMIFS(M:M,E:E,Online_eCommerce[[#This Row],[Status]])</f>
        <v>21103186</v>
      </c>
      <c r="R1793" s="13">
        <f>SUMIFS(L:L,H:H,Online_eCommerce[[#This Row],[Brand]])</f>
        <v>6192500</v>
      </c>
      <c r="S1793" s="13">
        <f>SUMIF(H:H,Online_eCommerce[[#This Row],[Brand]],M:M)</f>
        <v>8050250</v>
      </c>
      <c r="T1793" s="13">
        <f>SUMIF(N:N,Online_eCommerce[[#This Row],[Assigned Supervisor]],L:L)</f>
        <v>12100590</v>
      </c>
    </row>
    <row r="1794" spans="1:20" x14ac:dyDescent="0.3">
      <c r="A1794" t="s">
        <v>2821</v>
      </c>
      <c r="B1794" t="s">
        <v>283</v>
      </c>
      <c r="C1794" t="s">
        <v>165</v>
      </c>
      <c r="D1794" t="s">
        <v>2822</v>
      </c>
      <c r="E1794" t="s">
        <v>46</v>
      </c>
      <c r="F1794" t="s">
        <v>2823</v>
      </c>
      <c r="G1794" t="s">
        <v>20</v>
      </c>
      <c r="H1794" t="s">
        <v>21</v>
      </c>
      <c r="I1794">
        <v>4500</v>
      </c>
      <c r="J1794">
        <v>5850</v>
      </c>
      <c r="K1794">
        <v>2</v>
      </c>
      <c r="L1794">
        <v>9000</v>
      </c>
      <c r="M1794">
        <v>11700</v>
      </c>
      <c r="N1794" t="s">
        <v>56</v>
      </c>
      <c r="O1794">
        <f t="shared" ref="O1794:O1857" si="56">VLOOKUP(G1794,G:M,7,FALSE)</f>
        <v>8450</v>
      </c>
      <c r="P1794" s="13">
        <f t="shared" ref="P1794:P1857" si="57">SUMIFS(M:M,C:C,C1794)</f>
        <v>2674087</v>
      </c>
      <c r="Q1794" s="13">
        <f>SUMIFS(M:M,E:E,Online_eCommerce[[#This Row],[Status]])</f>
        <v>28620410</v>
      </c>
      <c r="R1794" s="13">
        <f>SUMIFS(L:L,H:H,Online_eCommerce[[#This Row],[Brand]])</f>
        <v>12435650</v>
      </c>
      <c r="S1794" s="13">
        <f>SUMIF(H:H,Online_eCommerce[[#This Row],[Brand]],M:M)</f>
        <v>16166345</v>
      </c>
      <c r="T1794" s="13">
        <f>SUMIF(N:N,Online_eCommerce[[#This Row],[Assigned Supervisor]],L:L)</f>
        <v>11733610</v>
      </c>
    </row>
    <row r="1795" spans="1:20" hidden="1" x14ac:dyDescent="0.3">
      <c r="A1795" t="s">
        <v>2824</v>
      </c>
      <c r="B1795" t="s">
        <v>283</v>
      </c>
      <c r="C1795" t="s">
        <v>168</v>
      </c>
      <c r="D1795" t="s">
        <v>2822</v>
      </c>
      <c r="E1795" t="s">
        <v>96</v>
      </c>
      <c r="F1795" t="s">
        <v>152</v>
      </c>
      <c r="G1795" t="s">
        <v>26</v>
      </c>
      <c r="H1795" t="s">
        <v>27</v>
      </c>
      <c r="I1795">
        <v>8500</v>
      </c>
      <c r="J1795">
        <v>11050</v>
      </c>
      <c r="K1795">
        <v>4</v>
      </c>
      <c r="L1795">
        <v>34000</v>
      </c>
      <c r="M1795">
        <v>44200</v>
      </c>
      <c r="N1795" t="s">
        <v>22</v>
      </c>
      <c r="O1795">
        <f t="shared" si="56"/>
        <v>33150</v>
      </c>
      <c r="P1795" s="13">
        <f t="shared" si="57"/>
        <v>1937780</v>
      </c>
      <c r="Q1795" s="13">
        <f>SUMIFS(M:M,E:E,Online_eCommerce[[#This Row],[Status]])</f>
        <v>21233992</v>
      </c>
      <c r="R1795" s="13">
        <f>SUMIFS(L:L,H:H,Online_eCommerce[[#This Row],[Brand]])</f>
        <v>14431000</v>
      </c>
      <c r="S1795" s="13">
        <f>SUMIF(H:H,Online_eCommerce[[#This Row],[Brand]],M:M)</f>
        <v>18760300</v>
      </c>
      <c r="T1795" s="13">
        <f>SUMIF(N:N,Online_eCommerce[[#This Row],[Assigned Supervisor]],L:L)</f>
        <v>13693220</v>
      </c>
    </row>
    <row r="1796" spans="1:20" hidden="1" x14ac:dyDescent="0.3">
      <c r="A1796" t="s">
        <v>2825</v>
      </c>
      <c r="B1796" t="s">
        <v>283</v>
      </c>
      <c r="C1796" t="s">
        <v>172</v>
      </c>
      <c r="D1796" t="s">
        <v>2822</v>
      </c>
      <c r="E1796" t="s">
        <v>18</v>
      </c>
      <c r="F1796" t="s">
        <v>157</v>
      </c>
      <c r="G1796" t="s">
        <v>33</v>
      </c>
      <c r="H1796" t="s">
        <v>34</v>
      </c>
      <c r="I1796">
        <v>12500</v>
      </c>
      <c r="J1796">
        <v>16250</v>
      </c>
      <c r="K1796">
        <v>2</v>
      </c>
      <c r="L1796">
        <v>25000</v>
      </c>
      <c r="M1796">
        <v>32500</v>
      </c>
      <c r="N1796" t="s">
        <v>28</v>
      </c>
      <c r="O1796">
        <f t="shared" si="56"/>
        <v>18200</v>
      </c>
      <c r="P1796" s="13">
        <f t="shared" si="57"/>
        <v>2640274</v>
      </c>
      <c r="Q1796" s="13">
        <f>SUMIFS(M:M,E:E,Online_eCommerce[[#This Row],[Status]])</f>
        <v>28340455</v>
      </c>
      <c r="R1796" s="13">
        <f>SUMIFS(L:L,H:H,Online_eCommerce[[#This Row],[Brand]])</f>
        <v>10087000</v>
      </c>
      <c r="S1796" s="13">
        <f>SUMIF(H:H,Online_eCommerce[[#This Row],[Brand]],M:M)</f>
        <v>13113100</v>
      </c>
      <c r="T1796" s="13">
        <f>SUMIF(N:N,Online_eCommerce[[#This Row],[Assigned Supervisor]],L:L)</f>
        <v>12220830</v>
      </c>
    </row>
    <row r="1797" spans="1:20" hidden="1" x14ac:dyDescent="0.3">
      <c r="A1797" t="s">
        <v>2826</v>
      </c>
      <c r="B1797" t="s">
        <v>283</v>
      </c>
      <c r="C1797" t="s">
        <v>177</v>
      </c>
      <c r="D1797" t="s">
        <v>2822</v>
      </c>
      <c r="E1797" t="s">
        <v>161</v>
      </c>
      <c r="F1797" t="s">
        <v>2382</v>
      </c>
      <c r="G1797" t="s">
        <v>256</v>
      </c>
      <c r="H1797" t="s">
        <v>41</v>
      </c>
      <c r="I1797">
        <v>3500</v>
      </c>
      <c r="J1797">
        <v>4550</v>
      </c>
      <c r="K1797">
        <v>3</v>
      </c>
      <c r="L1797">
        <v>10500</v>
      </c>
      <c r="M1797">
        <v>13650</v>
      </c>
      <c r="N1797" t="s">
        <v>35</v>
      </c>
      <c r="O1797">
        <f t="shared" si="56"/>
        <v>9100</v>
      </c>
      <c r="P1797" s="13">
        <f t="shared" si="57"/>
        <v>1863810</v>
      </c>
      <c r="Q1797" s="13">
        <f>SUMIFS(M:M,E:E,Online_eCommerce[[#This Row],[Status]])</f>
        <v>21103186</v>
      </c>
      <c r="R1797" s="13">
        <f>SUMIFS(L:L,H:H,Online_eCommerce[[#This Row],[Brand]])</f>
        <v>4260400</v>
      </c>
      <c r="S1797" s="13">
        <f>SUMIF(H:H,Online_eCommerce[[#This Row],[Brand]],M:M)</f>
        <v>5538520</v>
      </c>
      <c r="T1797" s="13">
        <f>SUMIF(N:N,Online_eCommerce[[#This Row],[Assigned Supervisor]],L:L)</f>
        <v>14373360</v>
      </c>
    </row>
    <row r="1798" spans="1:20" x14ac:dyDescent="0.3">
      <c r="A1798" t="s">
        <v>2827</v>
      </c>
      <c r="B1798" t="s">
        <v>283</v>
      </c>
      <c r="C1798" t="s">
        <v>181</v>
      </c>
      <c r="D1798" t="s">
        <v>2822</v>
      </c>
      <c r="E1798" t="s">
        <v>46</v>
      </c>
      <c r="F1798" t="s">
        <v>166</v>
      </c>
      <c r="G1798" t="s">
        <v>259</v>
      </c>
      <c r="H1798" t="s">
        <v>49</v>
      </c>
      <c r="I1798">
        <v>4500</v>
      </c>
      <c r="J1798">
        <v>5850</v>
      </c>
      <c r="K1798">
        <v>1</v>
      </c>
      <c r="L1798">
        <v>4500</v>
      </c>
      <c r="M1798">
        <v>5850</v>
      </c>
      <c r="N1798" t="s">
        <v>42</v>
      </c>
      <c r="O1798">
        <f t="shared" si="56"/>
        <v>11700</v>
      </c>
      <c r="P1798" s="13">
        <f t="shared" si="57"/>
        <v>2577458</v>
      </c>
      <c r="Q1798" s="13">
        <f>SUMIFS(M:M,E:E,Online_eCommerce[[#This Row],[Status]])</f>
        <v>28620410</v>
      </c>
      <c r="R1798" s="13">
        <f>SUMIFS(L:L,H:H,Online_eCommerce[[#This Row],[Brand]])</f>
        <v>4528350</v>
      </c>
      <c r="S1798" s="13">
        <f>SUMIF(H:H,Online_eCommerce[[#This Row],[Brand]],M:M)</f>
        <v>5886855</v>
      </c>
      <c r="T1798" s="13">
        <f>SUMIF(N:N,Online_eCommerce[[#This Row],[Assigned Supervisor]],L:L)</f>
        <v>12261500</v>
      </c>
    </row>
    <row r="1799" spans="1:20" hidden="1" x14ac:dyDescent="0.3">
      <c r="A1799" t="s">
        <v>2828</v>
      </c>
      <c r="B1799" t="s">
        <v>283</v>
      </c>
      <c r="C1799" t="s">
        <v>185</v>
      </c>
      <c r="D1799" t="s">
        <v>2822</v>
      </c>
      <c r="E1799" t="s">
        <v>96</v>
      </c>
      <c r="F1799" t="s">
        <v>2829</v>
      </c>
      <c r="G1799" t="s">
        <v>54</v>
      </c>
      <c r="H1799" t="s">
        <v>55</v>
      </c>
      <c r="I1799">
        <v>2100</v>
      </c>
      <c r="J1799">
        <v>2730</v>
      </c>
      <c r="K1799">
        <v>1</v>
      </c>
      <c r="L1799">
        <v>2100</v>
      </c>
      <c r="M1799">
        <v>2730</v>
      </c>
      <c r="N1799" t="s">
        <v>50</v>
      </c>
      <c r="O1799">
        <f t="shared" si="56"/>
        <v>2990</v>
      </c>
      <c r="P1799" s="13">
        <f t="shared" si="57"/>
        <v>2091596</v>
      </c>
      <c r="Q1799" s="13">
        <f>SUMIFS(M:M,E:E,Online_eCommerce[[#This Row],[Status]])</f>
        <v>21233992</v>
      </c>
      <c r="R1799" s="13">
        <f>SUMIFS(L:L,H:H,Online_eCommerce[[#This Row],[Brand]])</f>
        <v>2267380</v>
      </c>
      <c r="S1799" s="13">
        <f>SUMIF(H:H,Online_eCommerce[[#This Row],[Brand]],M:M)</f>
        <v>2947594</v>
      </c>
      <c r="T1799" s="13">
        <f>SUMIF(N:N,Online_eCommerce[[#This Row],[Assigned Supervisor]],L:L)</f>
        <v>12100590</v>
      </c>
    </row>
    <row r="1800" spans="1:20" hidden="1" x14ac:dyDescent="0.3">
      <c r="A1800" t="s">
        <v>2830</v>
      </c>
      <c r="B1800" t="s">
        <v>283</v>
      </c>
      <c r="C1800" t="s">
        <v>189</v>
      </c>
      <c r="D1800" t="s">
        <v>2822</v>
      </c>
      <c r="E1800" t="s">
        <v>18</v>
      </c>
      <c r="F1800" t="s">
        <v>174</v>
      </c>
      <c r="G1800" t="s">
        <v>60</v>
      </c>
      <c r="H1800" t="s">
        <v>61</v>
      </c>
      <c r="I1800">
        <v>1150</v>
      </c>
      <c r="J1800">
        <v>1495</v>
      </c>
      <c r="K1800">
        <v>4</v>
      </c>
      <c r="L1800">
        <v>4600</v>
      </c>
      <c r="M1800">
        <v>5980</v>
      </c>
      <c r="N1800" t="s">
        <v>56</v>
      </c>
      <c r="O1800">
        <f t="shared" si="56"/>
        <v>3315</v>
      </c>
      <c r="P1800" s="13">
        <f t="shared" si="57"/>
        <v>2740777</v>
      </c>
      <c r="Q1800" s="13">
        <f>SUMIFS(M:M,E:E,Online_eCommerce[[#This Row],[Status]])</f>
        <v>28340455</v>
      </c>
      <c r="R1800" s="13">
        <f>SUMIFS(L:L,H:H,Online_eCommerce[[#This Row],[Brand]])</f>
        <v>10950150</v>
      </c>
      <c r="S1800" s="13">
        <f>SUMIF(H:H,Online_eCommerce[[#This Row],[Brand]],M:M)</f>
        <v>14235195</v>
      </c>
      <c r="T1800" s="13">
        <f>SUMIF(N:N,Online_eCommerce[[#This Row],[Assigned Supervisor]],L:L)</f>
        <v>11733610</v>
      </c>
    </row>
    <row r="1801" spans="1:20" hidden="1" x14ac:dyDescent="0.3">
      <c r="A1801" t="s">
        <v>2831</v>
      </c>
      <c r="B1801" t="s">
        <v>283</v>
      </c>
      <c r="C1801" t="s">
        <v>193</v>
      </c>
      <c r="D1801" t="s">
        <v>2822</v>
      </c>
      <c r="E1801" t="s">
        <v>161</v>
      </c>
      <c r="F1801" t="s">
        <v>179</v>
      </c>
      <c r="G1801" t="s">
        <v>66</v>
      </c>
      <c r="H1801" t="s">
        <v>21</v>
      </c>
      <c r="I1801">
        <v>350</v>
      </c>
      <c r="J1801">
        <v>455</v>
      </c>
      <c r="K1801">
        <v>1</v>
      </c>
      <c r="L1801">
        <v>350</v>
      </c>
      <c r="M1801">
        <v>455</v>
      </c>
      <c r="N1801" t="s">
        <v>22</v>
      </c>
      <c r="O1801">
        <f t="shared" si="56"/>
        <v>1690</v>
      </c>
      <c r="P1801" s="13">
        <f t="shared" si="57"/>
        <v>2074774</v>
      </c>
      <c r="Q1801" s="13">
        <f>SUMIFS(M:M,E:E,Online_eCommerce[[#This Row],[Status]])</f>
        <v>21103186</v>
      </c>
      <c r="R1801" s="13">
        <f>SUMIFS(L:L,H:H,Online_eCommerce[[#This Row],[Brand]])</f>
        <v>12435650</v>
      </c>
      <c r="S1801" s="13">
        <f>SUMIF(H:H,Online_eCommerce[[#This Row],[Brand]],M:M)</f>
        <v>16166345</v>
      </c>
      <c r="T1801" s="13">
        <f>SUMIF(N:N,Online_eCommerce[[#This Row],[Assigned Supervisor]],L:L)</f>
        <v>13693220</v>
      </c>
    </row>
    <row r="1802" spans="1:20" x14ac:dyDescent="0.3">
      <c r="A1802" t="s">
        <v>2832</v>
      </c>
      <c r="B1802" t="s">
        <v>283</v>
      </c>
      <c r="C1802" t="s">
        <v>197</v>
      </c>
      <c r="D1802" t="s">
        <v>2822</v>
      </c>
      <c r="E1802" t="s">
        <v>46</v>
      </c>
      <c r="F1802" t="s">
        <v>183</v>
      </c>
      <c r="G1802" t="s">
        <v>71</v>
      </c>
      <c r="H1802" t="s">
        <v>61</v>
      </c>
      <c r="I1802">
        <v>9500</v>
      </c>
      <c r="J1802">
        <v>12350</v>
      </c>
      <c r="K1802">
        <v>4</v>
      </c>
      <c r="L1802">
        <v>38000</v>
      </c>
      <c r="M1802">
        <v>49400</v>
      </c>
      <c r="N1802" t="s">
        <v>28</v>
      </c>
      <c r="O1802">
        <f t="shared" si="56"/>
        <v>9750</v>
      </c>
      <c r="P1802" s="13">
        <f t="shared" si="57"/>
        <v>2829840</v>
      </c>
      <c r="Q1802" s="13">
        <f>SUMIFS(M:M,E:E,Online_eCommerce[[#This Row],[Status]])</f>
        <v>28620410</v>
      </c>
      <c r="R1802" s="13">
        <f>SUMIFS(L:L,H:H,Online_eCommerce[[#This Row],[Brand]])</f>
        <v>10950150</v>
      </c>
      <c r="S1802" s="13">
        <f>SUMIF(H:H,Online_eCommerce[[#This Row],[Brand]],M:M)</f>
        <v>14235195</v>
      </c>
      <c r="T1802" s="13">
        <f>SUMIF(N:N,Online_eCommerce[[#This Row],[Assigned Supervisor]],L:L)</f>
        <v>12220830</v>
      </c>
    </row>
    <row r="1803" spans="1:20" hidden="1" x14ac:dyDescent="0.3">
      <c r="A1803" t="s">
        <v>2833</v>
      </c>
      <c r="B1803" t="s">
        <v>283</v>
      </c>
      <c r="C1803" t="s">
        <v>199</v>
      </c>
      <c r="D1803" t="s">
        <v>2834</v>
      </c>
      <c r="E1803" t="s">
        <v>96</v>
      </c>
      <c r="F1803" t="s">
        <v>2835</v>
      </c>
      <c r="G1803" t="s">
        <v>77</v>
      </c>
      <c r="H1803" t="s">
        <v>142</v>
      </c>
      <c r="I1803">
        <v>10000</v>
      </c>
      <c r="J1803">
        <v>13000</v>
      </c>
      <c r="K1803">
        <v>1</v>
      </c>
      <c r="L1803">
        <v>10000</v>
      </c>
      <c r="M1803">
        <v>13000</v>
      </c>
      <c r="N1803" t="s">
        <v>35</v>
      </c>
      <c r="O1803">
        <f t="shared" si="56"/>
        <v>39000</v>
      </c>
      <c r="P1803" s="13">
        <f t="shared" si="57"/>
        <v>1947361</v>
      </c>
      <c r="Q1803" s="13">
        <f>SUMIFS(M:M,E:E,Online_eCommerce[[#This Row],[Status]])</f>
        <v>21233992</v>
      </c>
      <c r="R1803" s="13">
        <f>SUMIFS(L:L,H:H,Online_eCommerce[[#This Row],[Brand]])</f>
        <v>6192500</v>
      </c>
      <c r="S1803" s="13">
        <f>SUMIF(H:H,Online_eCommerce[[#This Row],[Brand]],M:M)</f>
        <v>8050250</v>
      </c>
      <c r="T1803" s="13">
        <f>SUMIF(N:N,Online_eCommerce[[#This Row],[Assigned Supervisor]],L:L)</f>
        <v>14373360</v>
      </c>
    </row>
    <row r="1804" spans="1:20" hidden="1" x14ac:dyDescent="0.3">
      <c r="A1804" t="s">
        <v>2836</v>
      </c>
      <c r="B1804" t="s">
        <v>283</v>
      </c>
      <c r="C1804" t="s">
        <v>203</v>
      </c>
      <c r="D1804" t="s">
        <v>2834</v>
      </c>
      <c r="E1804" t="s">
        <v>18</v>
      </c>
      <c r="F1804" t="s">
        <v>2837</v>
      </c>
      <c r="G1804" t="s">
        <v>20</v>
      </c>
      <c r="H1804" t="s">
        <v>21</v>
      </c>
      <c r="I1804">
        <v>6500</v>
      </c>
      <c r="J1804">
        <v>8450</v>
      </c>
      <c r="K1804">
        <v>1</v>
      </c>
      <c r="L1804">
        <v>6500</v>
      </c>
      <c r="M1804">
        <v>8450</v>
      </c>
      <c r="N1804" t="s">
        <v>42</v>
      </c>
      <c r="O1804">
        <f t="shared" si="56"/>
        <v>8450</v>
      </c>
      <c r="P1804" s="13">
        <f t="shared" si="57"/>
        <v>2559635</v>
      </c>
      <c r="Q1804" s="13">
        <f>SUMIFS(M:M,E:E,Online_eCommerce[[#This Row],[Status]])</f>
        <v>28340455</v>
      </c>
      <c r="R1804" s="13">
        <f>SUMIFS(L:L,H:H,Online_eCommerce[[#This Row],[Brand]])</f>
        <v>12435650</v>
      </c>
      <c r="S1804" s="13">
        <f>SUMIF(H:H,Online_eCommerce[[#This Row],[Brand]],M:M)</f>
        <v>16166345</v>
      </c>
      <c r="T1804" s="13">
        <f>SUMIF(N:N,Online_eCommerce[[#This Row],[Assigned Supervisor]],L:L)</f>
        <v>12261500</v>
      </c>
    </row>
    <row r="1805" spans="1:20" hidden="1" x14ac:dyDescent="0.3">
      <c r="A1805" t="s">
        <v>2838</v>
      </c>
      <c r="B1805" t="s">
        <v>283</v>
      </c>
      <c r="C1805" t="s">
        <v>205</v>
      </c>
      <c r="D1805" t="s">
        <v>2834</v>
      </c>
      <c r="E1805" t="s">
        <v>161</v>
      </c>
      <c r="F1805" t="s">
        <v>2839</v>
      </c>
      <c r="G1805" t="s">
        <v>26</v>
      </c>
      <c r="H1805" t="s">
        <v>27</v>
      </c>
      <c r="I1805">
        <v>8500</v>
      </c>
      <c r="J1805">
        <v>11050</v>
      </c>
      <c r="K1805">
        <v>2</v>
      </c>
      <c r="L1805">
        <v>17000</v>
      </c>
      <c r="M1805">
        <v>22100</v>
      </c>
      <c r="N1805" t="s">
        <v>50</v>
      </c>
      <c r="O1805">
        <f t="shared" si="56"/>
        <v>33150</v>
      </c>
      <c r="P1805" s="13">
        <f t="shared" si="57"/>
        <v>1983254</v>
      </c>
      <c r="Q1805" s="13">
        <f>SUMIFS(M:M,E:E,Online_eCommerce[[#This Row],[Status]])</f>
        <v>21103186</v>
      </c>
      <c r="R1805" s="13">
        <f>SUMIFS(L:L,H:H,Online_eCommerce[[#This Row],[Brand]])</f>
        <v>14431000</v>
      </c>
      <c r="S1805" s="13">
        <f>SUMIF(H:H,Online_eCommerce[[#This Row],[Brand]],M:M)</f>
        <v>18760300</v>
      </c>
      <c r="T1805" s="13">
        <f>SUMIF(N:N,Online_eCommerce[[#This Row],[Assigned Supervisor]],L:L)</f>
        <v>12100590</v>
      </c>
    </row>
    <row r="1806" spans="1:20" x14ac:dyDescent="0.3">
      <c r="A1806" t="s">
        <v>2840</v>
      </c>
      <c r="B1806" t="s">
        <v>283</v>
      </c>
      <c r="C1806" t="s">
        <v>208</v>
      </c>
      <c r="D1806" t="s">
        <v>2834</v>
      </c>
      <c r="E1806" t="s">
        <v>46</v>
      </c>
      <c r="F1806" t="s">
        <v>32</v>
      </c>
      <c r="G1806" t="s">
        <v>33</v>
      </c>
      <c r="H1806" t="s">
        <v>34</v>
      </c>
      <c r="I1806">
        <v>7000</v>
      </c>
      <c r="J1806">
        <v>9100</v>
      </c>
      <c r="K1806">
        <v>1</v>
      </c>
      <c r="L1806">
        <v>7000</v>
      </c>
      <c r="M1806">
        <v>9100</v>
      </c>
      <c r="N1806" t="s">
        <v>56</v>
      </c>
      <c r="O1806">
        <f t="shared" si="56"/>
        <v>18200</v>
      </c>
      <c r="P1806" s="13">
        <f t="shared" si="57"/>
        <v>2746575</v>
      </c>
      <c r="Q1806" s="13">
        <f>SUMIFS(M:M,E:E,Online_eCommerce[[#This Row],[Status]])</f>
        <v>28620410</v>
      </c>
      <c r="R1806" s="13">
        <f>SUMIFS(L:L,H:H,Online_eCommerce[[#This Row],[Brand]])</f>
        <v>10087000</v>
      </c>
      <c r="S1806" s="13">
        <f>SUMIF(H:H,Online_eCommerce[[#This Row],[Brand]],M:M)</f>
        <v>13113100</v>
      </c>
      <c r="T1806" s="13">
        <f>SUMIF(N:N,Online_eCommerce[[#This Row],[Assigned Supervisor]],L:L)</f>
        <v>11733610</v>
      </c>
    </row>
    <row r="1807" spans="1:20" hidden="1" x14ac:dyDescent="0.3">
      <c r="A1807" t="s">
        <v>2841</v>
      </c>
      <c r="B1807" t="s">
        <v>283</v>
      </c>
      <c r="C1807" t="s">
        <v>211</v>
      </c>
      <c r="D1807" t="s">
        <v>2834</v>
      </c>
      <c r="E1807" t="s">
        <v>96</v>
      </c>
      <c r="F1807" t="s">
        <v>2842</v>
      </c>
      <c r="G1807" t="s">
        <v>256</v>
      </c>
      <c r="H1807" t="s">
        <v>41</v>
      </c>
      <c r="I1807">
        <v>6550</v>
      </c>
      <c r="J1807">
        <v>8515</v>
      </c>
      <c r="K1807">
        <v>2</v>
      </c>
      <c r="L1807">
        <v>13100</v>
      </c>
      <c r="M1807">
        <v>17030</v>
      </c>
      <c r="N1807" t="s">
        <v>22</v>
      </c>
      <c r="O1807">
        <f t="shared" si="56"/>
        <v>9100</v>
      </c>
      <c r="P1807" s="13">
        <f t="shared" si="57"/>
        <v>1809847</v>
      </c>
      <c r="Q1807" s="13">
        <f>SUMIFS(M:M,E:E,Online_eCommerce[[#This Row],[Status]])</f>
        <v>21233992</v>
      </c>
      <c r="R1807" s="13">
        <f>SUMIFS(L:L,H:H,Online_eCommerce[[#This Row],[Brand]])</f>
        <v>4260400</v>
      </c>
      <c r="S1807" s="13">
        <f>SUMIF(H:H,Online_eCommerce[[#This Row],[Brand]],M:M)</f>
        <v>5538520</v>
      </c>
      <c r="T1807" s="13">
        <f>SUMIF(N:N,Online_eCommerce[[#This Row],[Assigned Supervisor]],L:L)</f>
        <v>13693220</v>
      </c>
    </row>
    <row r="1808" spans="1:20" hidden="1" x14ac:dyDescent="0.3">
      <c r="A1808" t="s">
        <v>2843</v>
      </c>
      <c r="B1808" t="s">
        <v>283</v>
      </c>
      <c r="C1808" t="s">
        <v>16</v>
      </c>
      <c r="D1808" t="s">
        <v>2834</v>
      </c>
      <c r="E1808" t="s">
        <v>18</v>
      </c>
      <c r="F1808" t="s">
        <v>47</v>
      </c>
      <c r="G1808" t="s">
        <v>259</v>
      </c>
      <c r="H1808" t="s">
        <v>49</v>
      </c>
      <c r="I1808">
        <v>7650</v>
      </c>
      <c r="J1808">
        <v>9945</v>
      </c>
      <c r="K1808">
        <v>3</v>
      </c>
      <c r="L1808">
        <v>22950</v>
      </c>
      <c r="M1808">
        <v>29835</v>
      </c>
      <c r="N1808" t="s">
        <v>28</v>
      </c>
      <c r="O1808">
        <f t="shared" si="56"/>
        <v>11700</v>
      </c>
      <c r="P1808" s="13">
        <f t="shared" si="57"/>
        <v>2751814</v>
      </c>
      <c r="Q1808" s="13">
        <f>SUMIFS(M:M,E:E,Online_eCommerce[[#This Row],[Status]])</f>
        <v>28340455</v>
      </c>
      <c r="R1808" s="13">
        <f>SUMIFS(L:L,H:H,Online_eCommerce[[#This Row],[Brand]])</f>
        <v>4528350</v>
      </c>
      <c r="S1808" s="13">
        <f>SUMIF(H:H,Online_eCommerce[[#This Row],[Brand]],M:M)</f>
        <v>5886855</v>
      </c>
      <c r="T1808" s="13">
        <f>SUMIF(N:N,Online_eCommerce[[#This Row],[Assigned Supervisor]],L:L)</f>
        <v>12220830</v>
      </c>
    </row>
    <row r="1809" spans="1:20" hidden="1" x14ac:dyDescent="0.3">
      <c r="A1809" t="s">
        <v>2844</v>
      </c>
      <c r="B1809" t="s">
        <v>283</v>
      </c>
      <c r="C1809" t="s">
        <v>24</v>
      </c>
      <c r="D1809" t="s">
        <v>2834</v>
      </c>
      <c r="E1809" t="s">
        <v>161</v>
      </c>
      <c r="F1809" t="s">
        <v>53</v>
      </c>
      <c r="G1809" t="s">
        <v>54</v>
      </c>
      <c r="H1809" t="s">
        <v>55</v>
      </c>
      <c r="I1809">
        <v>1150</v>
      </c>
      <c r="J1809">
        <v>1495</v>
      </c>
      <c r="K1809">
        <v>1</v>
      </c>
      <c r="L1809">
        <v>1150</v>
      </c>
      <c r="M1809">
        <v>1495</v>
      </c>
      <c r="N1809" t="s">
        <v>35</v>
      </c>
      <c r="O1809">
        <f t="shared" si="56"/>
        <v>2990</v>
      </c>
      <c r="P1809" s="13">
        <f t="shared" si="57"/>
        <v>2009540</v>
      </c>
      <c r="Q1809" s="13">
        <f>SUMIFS(M:M,E:E,Online_eCommerce[[#This Row],[Status]])</f>
        <v>21103186</v>
      </c>
      <c r="R1809" s="13">
        <f>SUMIFS(L:L,H:H,Online_eCommerce[[#This Row],[Brand]])</f>
        <v>2267380</v>
      </c>
      <c r="S1809" s="13">
        <f>SUMIF(H:H,Online_eCommerce[[#This Row],[Brand]],M:M)</f>
        <v>2947594</v>
      </c>
      <c r="T1809" s="13">
        <f>SUMIF(N:N,Online_eCommerce[[#This Row],[Assigned Supervisor]],L:L)</f>
        <v>14373360</v>
      </c>
    </row>
    <row r="1810" spans="1:20" x14ac:dyDescent="0.3">
      <c r="A1810" t="s">
        <v>2845</v>
      </c>
      <c r="B1810" t="s">
        <v>283</v>
      </c>
      <c r="C1810" t="s">
        <v>31</v>
      </c>
      <c r="D1810" t="s">
        <v>2834</v>
      </c>
      <c r="E1810" t="s">
        <v>46</v>
      </c>
      <c r="F1810" t="s">
        <v>59</v>
      </c>
      <c r="G1810" t="s">
        <v>60</v>
      </c>
      <c r="H1810" t="s">
        <v>61</v>
      </c>
      <c r="I1810">
        <v>850</v>
      </c>
      <c r="J1810">
        <v>1105</v>
      </c>
      <c r="K1810">
        <v>1</v>
      </c>
      <c r="L1810">
        <v>850</v>
      </c>
      <c r="M1810">
        <v>1105</v>
      </c>
      <c r="N1810" t="s">
        <v>42</v>
      </c>
      <c r="O1810">
        <f t="shared" si="56"/>
        <v>3315</v>
      </c>
      <c r="P1810" s="13">
        <f t="shared" si="57"/>
        <v>2865746</v>
      </c>
      <c r="Q1810" s="13">
        <f>SUMIFS(M:M,E:E,Online_eCommerce[[#This Row],[Status]])</f>
        <v>28620410</v>
      </c>
      <c r="R1810" s="13">
        <f>SUMIFS(L:L,H:H,Online_eCommerce[[#This Row],[Brand]])</f>
        <v>10950150</v>
      </c>
      <c r="S1810" s="13">
        <f>SUMIF(H:H,Online_eCommerce[[#This Row],[Brand]],M:M)</f>
        <v>14235195</v>
      </c>
      <c r="T1810" s="13">
        <f>SUMIF(N:N,Online_eCommerce[[#This Row],[Assigned Supervisor]],L:L)</f>
        <v>12261500</v>
      </c>
    </row>
    <row r="1811" spans="1:20" hidden="1" x14ac:dyDescent="0.3">
      <c r="A1811" t="s">
        <v>2846</v>
      </c>
      <c r="B1811" t="s">
        <v>283</v>
      </c>
      <c r="C1811" t="s">
        <v>38</v>
      </c>
      <c r="D1811" t="s">
        <v>2834</v>
      </c>
      <c r="E1811" t="s">
        <v>96</v>
      </c>
      <c r="F1811" t="s">
        <v>65</v>
      </c>
      <c r="G1811" t="s">
        <v>66</v>
      </c>
      <c r="H1811" t="s">
        <v>21</v>
      </c>
      <c r="I1811">
        <v>650</v>
      </c>
      <c r="J1811">
        <v>845</v>
      </c>
      <c r="K1811">
        <v>4</v>
      </c>
      <c r="L1811">
        <v>2600</v>
      </c>
      <c r="M1811">
        <v>3380</v>
      </c>
      <c r="N1811" t="s">
        <v>50</v>
      </c>
      <c r="O1811">
        <f t="shared" si="56"/>
        <v>1690</v>
      </c>
      <c r="P1811" s="13">
        <f t="shared" si="57"/>
        <v>1933997</v>
      </c>
      <c r="Q1811" s="13">
        <f>SUMIFS(M:M,E:E,Online_eCommerce[[#This Row],[Status]])</f>
        <v>21233992</v>
      </c>
      <c r="R1811" s="13">
        <f>SUMIFS(L:L,H:H,Online_eCommerce[[#This Row],[Brand]])</f>
        <v>12435650</v>
      </c>
      <c r="S1811" s="13">
        <f>SUMIF(H:H,Online_eCommerce[[#This Row],[Brand]],M:M)</f>
        <v>16166345</v>
      </c>
      <c r="T1811" s="13">
        <f>SUMIF(N:N,Online_eCommerce[[#This Row],[Assigned Supervisor]],L:L)</f>
        <v>12100590</v>
      </c>
    </row>
    <row r="1812" spans="1:20" hidden="1" x14ac:dyDescent="0.3">
      <c r="A1812" t="s">
        <v>2847</v>
      </c>
      <c r="B1812" t="s">
        <v>283</v>
      </c>
      <c r="C1812" t="s">
        <v>45</v>
      </c>
      <c r="D1812" t="s">
        <v>2834</v>
      </c>
      <c r="E1812" t="s">
        <v>18</v>
      </c>
      <c r="F1812" t="s">
        <v>70</v>
      </c>
      <c r="G1812" t="s">
        <v>71</v>
      </c>
      <c r="H1812" t="s">
        <v>61</v>
      </c>
      <c r="I1812">
        <v>7500</v>
      </c>
      <c r="J1812">
        <v>9750</v>
      </c>
      <c r="K1812">
        <v>3</v>
      </c>
      <c r="L1812">
        <v>22500</v>
      </c>
      <c r="M1812">
        <v>29250</v>
      </c>
      <c r="N1812" t="s">
        <v>56</v>
      </c>
      <c r="O1812">
        <f t="shared" si="56"/>
        <v>9750</v>
      </c>
      <c r="P1812" s="13">
        <f t="shared" si="57"/>
        <v>2842554</v>
      </c>
      <c r="Q1812" s="13">
        <f>SUMIFS(M:M,E:E,Online_eCommerce[[#This Row],[Status]])</f>
        <v>28340455</v>
      </c>
      <c r="R1812" s="13">
        <f>SUMIFS(L:L,H:H,Online_eCommerce[[#This Row],[Brand]])</f>
        <v>10950150</v>
      </c>
      <c r="S1812" s="13">
        <f>SUMIF(H:H,Online_eCommerce[[#This Row],[Brand]],M:M)</f>
        <v>14235195</v>
      </c>
      <c r="T1812" s="13">
        <f>SUMIF(N:N,Online_eCommerce[[#This Row],[Assigned Supervisor]],L:L)</f>
        <v>11733610</v>
      </c>
    </row>
    <row r="1813" spans="1:20" hidden="1" x14ac:dyDescent="0.3">
      <c r="A1813" t="s">
        <v>2848</v>
      </c>
      <c r="B1813" t="s">
        <v>283</v>
      </c>
      <c r="C1813" t="s">
        <v>52</v>
      </c>
      <c r="D1813" t="s">
        <v>2834</v>
      </c>
      <c r="E1813" t="s">
        <v>161</v>
      </c>
      <c r="F1813" t="s">
        <v>2835</v>
      </c>
      <c r="G1813" t="s">
        <v>77</v>
      </c>
      <c r="H1813" t="s">
        <v>78</v>
      </c>
      <c r="I1813">
        <v>10000</v>
      </c>
      <c r="J1813">
        <v>13000</v>
      </c>
      <c r="K1813">
        <v>2</v>
      </c>
      <c r="L1813">
        <v>20000</v>
      </c>
      <c r="M1813">
        <v>26000</v>
      </c>
      <c r="N1813" t="s">
        <v>22</v>
      </c>
      <c r="O1813">
        <f t="shared" si="56"/>
        <v>39000</v>
      </c>
      <c r="P1813" s="13">
        <f t="shared" si="57"/>
        <v>1955044</v>
      </c>
      <c r="Q1813" s="13">
        <f>SUMIFS(M:M,E:E,Online_eCommerce[[#This Row],[Status]])</f>
        <v>21103186</v>
      </c>
      <c r="R1813" s="13">
        <f>SUMIFS(L:L,H:H,Online_eCommerce[[#This Row],[Brand]])</f>
        <v>3720000</v>
      </c>
      <c r="S1813" s="13">
        <f>SUMIF(H:H,Online_eCommerce[[#This Row],[Brand]],M:M)</f>
        <v>4836000</v>
      </c>
      <c r="T1813" s="13">
        <f>SUMIF(N:N,Online_eCommerce[[#This Row],[Assigned Supervisor]],L:L)</f>
        <v>13693220</v>
      </c>
    </row>
    <row r="1814" spans="1:20" x14ac:dyDescent="0.3">
      <c r="A1814" t="s">
        <v>2849</v>
      </c>
      <c r="B1814" t="s">
        <v>283</v>
      </c>
      <c r="C1814" t="s">
        <v>58</v>
      </c>
      <c r="D1814" t="s">
        <v>2834</v>
      </c>
      <c r="E1814" t="s">
        <v>46</v>
      </c>
      <c r="F1814" t="s">
        <v>2850</v>
      </c>
      <c r="G1814" t="s">
        <v>20</v>
      </c>
      <c r="H1814" t="s">
        <v>21</v>
      </c>
      <c r="I1814">
        <v>10500</v>
      </c>
      <c r="J1814">
        <v>13650</v>
      </c>
      <c r="K1814">
        <v>3</v>
      </c>
      <c r="L1814">
        <v>31500</v>
      </c>
      <c r="M1814">
        <v>40950</v>
      </c>
      <c r="N1814" t="s">
        <v>28</v>
      </c>
      <c r="O1814">
        <f t="shared" si="56"/>
        <v>8450</v>
      </c>
      <c r="P1814" s="13">
        <f t="shared" si="57"/>
        <v>2629211</v>
      </c>
      <c r="Q1814" s="13">
        <f>SUMIFS(M:M,E:E,Online_eCommerce[[#This Row],[Status]])</f>
        <v>28620410</v>
      </c>
      <c r="R1814" s="13">
        <f>SUMIFS(L:L,H:H,Online_eCommerce[[#This Row],[Brand]])</f>
        <v>12435650</v>
      </c>
      <c r="S1814" s="13">
        <f>SUMIF(H:H,Online_eCommerce[[#This Row],[Brand]],M:M)</f>
        <v>16166345</v>
      </c>
      <c r="T1814" s="13">
        <f>SUMIF(N:N,Online_eCommerce[[#This Row],[Assigned Supervisor]],L:L)</f>
        <v>12220830</v>
      </c>
    </row>
    <row r="1815" spans="1:20" hidden="1" x14ac:dyDescent="0.3">
      <c r="A1815" t="s">
        <v>2851</v>
      </c>
      <c r="B1815" t="s">
        <v>283</v>
      </c>
      <c r="C1815" t="s">
        <v>63</v>
      </c>
      <c r="D1815" t="s">
        <v>2834</v>
      </c>
      <c r="E1815" t="s">
        <v>96</v>
      </c>
      <c r="F1815" t="s">
        <v>88</v>
      </c>
      <c r="G1815" t="s">
        <v>26</v>
      </c>
      <c r="H1815" t="s">
        <v>27</v>
      </c>
      <c r="I1815">
        <v>8500</v>
      </c>
      <c r="J1815">
        <v>11050</v>
      </c>
      <c r="K1815">
        <v>4</v>
      </c>
      <c r="L1815">
        <v>34000</v>
      </c>
      <c r="M1815">
        <v>44200</v>
      </c>
      <c r="N1815" t="s">
        <v>35</v>
      </c>
      <c r="O1815">
        <f t="shared" si="56"/>
        <v>33150</v>
      </c>
      <c r="P1815" s="13">
        <f t="shared" si="57"/>
        <v>2016131</v>
      </c>
      <c r="Q1815" s="13">
        <f>SUMIFS(M:M,E:E,Online_eCommerce[[#This Row],[Status]])</f>
        <v>21233992</v>
      </c>
      <c r="R1815" s="13">
        <f>SUMIFS(L:L,H:H,Online_eCommerce[[#This Row],[Brand]])</f>
        <v>14431000</v>
      </c>
      <c r="S1815" s="13">
        <f>SUMIF(H:H,Online_eCommerce[[#This Row],[Brand]],M:M)</f>
        <v>18760300</v>
      </c>
      <c r="T1815" s="13">
        <f>SUMIF(N:N,Online_eCommerce[[#This Row],[Assigned Supervisor]],L:L)</f>
        <v>14373360</v>
      </c>
    </row>
    <row r="1816" spans="1:20" hidden="1" x14ac:dyDescent="0.3">
      <c r="A1816" t="s">
        <v>2852</v>
      </c>
      <c r="B1816" t="s">
        <v>283</v>
      </c>
      <c r="C1816" t="s">
        <v>68</v>
      </c>
      <c r="D1816" t="s">
        <v>2834</v>
      </c>
      <c r="E1816" t="s">
        <v>18</v>
      </c>
      <c r="F1816" t="s">
        <v>32</v>
      </c>
      <c r="G1816" t="s">
        <v>33</v>
      </c>
      <c r="H1816" t="s">
        <v>34</v>
      </c>
      <c r="I1816">
        <v>7000</v>
      </c>
      <c r="J1816">
        <v>9100</v>
      </c>
      <c r="K1816">
        <v>2</v>
      </c>
      <c r="L1816">
        <v>14000</v>
      </c>
      <c r="M1816">
        <v>18200</v>
      </c>
      <c r="N1816" t="s">
        <v>42</v>
      </c>
      <c r="O1816">
        <f t="shared" si="56"/>
        <v>18200</v>
      </c>
      <c r="P1816" s="13">
        <f t="shared" si="57"/>
        <v>2974621</v>
      </c>
      <c r="Q1816" s="13">
        <f>SUMIFS(M:M,E:E,Online_eCommerce[[#This Row],[Status]])</f>
        <v>28340455</v>
      </c>
      <c r="R1816" s="13">
        <f>SUMIFS(L:L,H:H,Online_eCommerce[[#This Row],[Brand]])</f>
        <v>10087000</v>
      </c>
      <c r="S1816" s="13">
        <f>SUMIF(H:H,Online_eCommerce[[#This Row],[Brand]],M:M)</f>
        <v>13113100</v>
      </c>
      <c r="T1816" s="13">
        <f>SUMIF(N:N,Online_eCommerce[[#This Row],[Assigned Supervisor]],L:L)</f>
        <v>12261500</v>
      </c>
    </row>
    <row r="1817" spans="1:20" hidden="1" x14ac:dyDescent="0.3">
      <c r="A1817" t="s">
        <v>2853</v>
      </c>
      <c r="B1817" t="s">
        <v>283</v>
      </c>
      <c r="C1817" t="s">
        <v>74</v>
      </c>
      <c r="D1817" t="s">
        <v>2834</v>
      </c>
      <c r="E1817" t="s">
        <v>161</v>
      </c>
      <c r="F1817" t="s">
        <v>2854</v>
      </c>
      <c r="G1817" t="s">
        <v>256</v>
      </c>
      <c r="H1817" t="s">
        <v>41</v>
      </c>
      <c r="I1817">
        <v>1680</v>
      </c>
      <c r="J1817">
        <v>2184</v>
      </c>
      <c r="K1817">
        <v>1</v>
      </c>
      <c r="L1817">
        <v>1680</v>
      </c>
      <c r="M1817">
        <v>2184</v>
      </c>
      <c r="N1817" t="s">
        <v>50</v>
      </c>
      <c r="O1817">
        <f t="shared" si="56"/>
        <v>9100</v>
      </c>
      <c r="P1817" s="13">
        <f t="shared" si="57"/>
        <v>2144701</v>
      </c>
      <c r="Q1817" s="13">
        <f>SUMIFS(M:M,E:E,Online_eCommerce[[#This Row],[Status]])</f>
        <v>21103186</v>
      </c>
      <c r="R1817" s="13">
        <f>SUMIFS(L:L,H:H,Online_eCommerce[[#This Row],[Brand]])</f>
        <v>4260400</v>
      </c>
      <c r="S1817" s="13">
        <f>SUMIF(H:H,Online_eCommerce[[#This Row],[Brand]],M:M)</f>
        <v>5538520</v>
      </c>
      <c r="T1817" s="13">
        <f>SUMIF(N:N,Online_eCommerce[[#This Row],[Assigned Supervisor]],L:L)</f>
        <v>12100590</v>
      </c>
    </row>
    <row r="1818" spans="1:20" x14ac:dyDescent="0.3">
      <c r="A1818" t="s">
        <v>2855</v>
      </c>
      <c r="B1818" t="s">
        <v>213</v>
      </c>
      <c r="C1818" t="s">
        <v>81</v>
      </c>
      <c r="D1818" t="s">
        <v>2856</v>
      </c>
      <c r="E1818" t="s">
        <v>46</v>
      </c>
      <c r="F1818" t="s">
        <v>101</v>
      </c>
      <c r="G1818" t="s">
        <v>259</v>
      </c>
      <c r="H1818" t="s">
        <v>102</v>
      </c>
      <c r="I1818">
        <v>6540</v>
      </c>
      <c r="J1818">
        <v>8502</v>
      </c>
      <c r="K1818">
        <v>3</v>
      </c>
      <c r="L1818">
        <v>19620</v>
      </c>
      <c r="M1818">
        <v>25506</v>
      </c>
      <c r="N1818" t="s">
        <v>56</v>
      </c>
      <c r="O1818">
        <f t="shared" si="56"/>
        <v>11700</v>
      </c>
      <c r="P1818" s="13">
        <f t="shared" si="57"/>
        <v>2595632</v>
      </c>
      <c r="Q1818" s="13">
        <f>SUMIFS(M:M,E:E,Online_eCommerce[[#This Row],[Status]])</f>
        <v>28620410</v>
      </c>
      <c r="R1818" s="13">
        <f>SUMIFS(L:L,H:H,Online_eCommerce[[#This Row],[Brand]])</f>
        <v>2465580</v>
      </c>
      <c r="S1818" s="13">
        <f>SUMIF(H:H,Online_eCommerce[[#This Row],[Brand]],M:M)</f>
        <v>3205254</v>
      </c>
      <c r="T1818" s="13">
        <f>SUMIF(N:N,Online_eCommerce[[#This Row],[Assigned Supervisor]],L:L)</f>
        <v>11733610</v>
      </c>
    </row>
    <row r="1819" spans="1:20" hidden="1" x14ac:dyDescent="0.3">
      <c r="A1819" t="s">
        <v>2857</v>
      </c>
      <c r="B1819" t="s">
        <v>215</v>
      </c>
      <c r="C1819" t="s">
        <v>86</v>
      </c>
      <c r="D1819" t="s">
        <v>2856</v>
      </c>
      <c r="E1819" t="s">
        <v>96</v>
      </c>
      <c r="F1819" t="s">
        <v>107</v>
      </c>
      <c r="G1819" t="s">
        <v>54</v>
      </c>
      <c r="H1819" t="s">
        <v>55</v>
      </c>
      <c r="I1819">
        <v>2680</v>
      </c>
      <c r="J1819">
        <v>3484</v>
      </c>
      <c r="K1819">
        <v>4</v>
      </c>
      <c r="L1819">
        <v>10720</v>
      </c>
      <c r="M1819">
        <v>13936</v>
      </c>
      <c r="N1819" t="s">
        <v>22</v>
      </c>
      <c r="O1819">
        <f t="shared" si="56"/>
        <v>2990</v>
      </c>
      <c r="P1819" s="13">
        <f t="shared" si="57"/>
        <v>1941225</v>
      </c>
      <c r="Q1819" s="13">
        <f>SUMIFS(M:M,E:E,Online_eCommerce[[#This Row],[Status]])</f>
        <v>21233992</v>
      </c>
      <c r="R1819" s="13">
        <f>SUMIFS(L:L,H:H,Online_eCommerce[[#This Row],[Brand]])</f>
        <v>2267380</v>
      </c>
      <c r="S1819" s="13">
        <f>SUMIF(H:H,Online_eCommerce[[#This Row],[Brand]],M:M)</f>
        <v>2947594</v>
      </c>
      <c r="T1819" s="13">
        <f>SUMIF(N:N,Online_eCommerce[[#This Row],[Assigned Supervisor]],L:L)</f>
        <v>13693220</v>
      </c>
    </row>
    <row r="1820" spans="1:20" hidden="1" x14ac:dyDescent="0.3">
      <c r="A1820" t="s">
        <v>2858</v>
      </c>
      <c r="B1820" t="s">
        <v>306</v>
      </c>
      <c r="C1820" t="s">
        <v>91</v>
      </c>
      <c r="D1820" t="s">
        <v>2856</v>
      </c>
      <c r="E1820" t="s">
        <v>18</v>
      </c>
      <c r="F1820" t="s">
        <v>112</v>
      </c>
      <c r="G1820" t="s">
        <v>71</v>
      </c>
      <c r="H1820" t="s">
        <v>21</v>
      </c>
      <c r="I1820">
        <v>8250</v>
      </c>
      <c r="J1820">
        <v>10725</v>
      </c>
      <c r="K1820">
        <v>2</v>
      </c>
      <c r="L1820">
        <v>16500</v>
      </c>
      <c r="M1820">
        <v>21450</v>
      </c>
      <c r="N1820" t="s">
        <v>28</v>
      </c>
      <c r="O1820">
        <f t="shared" si="56"/>
        <v>9750</v>
      </c>
      <c r="P1820" s="13">
        <f t="shared" si="57"/>
        <v>2731963</v>
      </c>
      <c r="Q1820" s="13">
        <f>SUMIFS(M:M,E:E,Online_eCommerce[[#This Row],[Status]])</f>
        <v>28340455</v>
      </c>
      <c r="R1820" s="13">
        <f>SUMIFS(L:L,H:H,Online_eCommerce[[#This Row],[Brand]])</f>
        <v>12435650</v>
      </c>
      <c r="S1820" s="13">
        <f>SUMIF(H:H,Online_eCommerce[[#This Row],[Brand]],M:M)</f>
        <v>16166345</v>
      </c>
      <c r="T1820" s="13">
        <f>SUMIF(N:N,Online_eCommerce[[#This Row],[Assigned Supervisor]],L:L)</f>
        <v>12220830</v>
      </c>
    </row>
    <row r="1821" spans="1:20" hidden="1" x14ac:dyDescent="0.3">
      <c r="A1821" t="s">
        <v>2859</v>
      </c>
      <c r="B1821" t="s">
        <v>528</v>
      </c>
      <c r="C1821" t="s">
        <v>94</v>
      </c>
      <c r="D1821" t="s">
        <v>2856</v>
      </c>
      <c r="E1821" t="s">
        <v>161</v>
      </c>
      <c r="F1821" t="s">
        <v>2382</v>
      </c>
      <c r="G1821" t="s">
        <v>40</v>
      </c>
      <c r="H1821" t="s">
        <v>21</v>
      </c>
      <c r="I1821">
        <v>2650</v>
      </c>
      <c r="J1821">
        <v>3445</v>
      </c>
      <c r="K1821">
        <v>2</v>
      </c>
      <c r="L1821">
        <v>5300</v>
      </c>
      <c r="M1821">
        <v>6890</v>
      </c>
      <c r="N1821" t="s">
        <v>35</v>
      </c>
      <c r="O1821">
        <f t="shared" si="56"/>
        <v>25545</v>
      </c>
      <c r="P1821" s="13">
        <f t="shared" si="57"/>
        <v>1868256</v>
      </c>
      <c r="Q1821" s="13">
        <f>SUMIFS(M:M,E:E,Online_eCommerce[[#This Row],[Status]])</f>
        <v>21103186</v>
      </c>
      <c r="R1821" s="13">
        <f>SUMIFS(L:L,H:H,Online_eCommerce[[#This Row],[Brand]])</f>
        <v>12435650</v>
      </c>
      <c r="S1821" s="13">
        <f>SUMIF(H:H,Online_eCommerce[[#This Row],[Brand]],M:M)</f>
        <v>16166345</v>
      </c>
      <c r="T1821" s="13">
        <f>SUMIF(N:N,Online_eCommerce[[#This Row],[Assigned Supervisor]],L:L)</f>
        <v>14373360</v>
      </c>
    </row>
    <row r="1822" spans="1:20" x14ac:dyDescent="0.3">
      <c r="A1822" t="s">
        <v>2860</v>
      </c>
      <c r="B1822" t="s">
        <v>73</v>
      </c>
      <c r="C1822" t="s">
        <v>99</v>
      </c>
      <c r="D1822" t="s">
        <v>2856</v>
      </c>
      <c r="E1822" t="s">
        <v>46</v>
      </c>
      <c r="F1822" t="s">
        <v>121</v>
      </c>
      <c r="G1822" t="s">
        <v>71</v>
      </c>
      <c r="H1822" t="s">
        <v>122</v>
      </c>
      <c r="I1822">
        <v>12550</v>
      </c>
      <c r="J1822">
        <v>16315</v>
      </c>
      <c r="K1822">
        <v>3</v>
      </c>
      <c r="L1822">
        <v>37650</v>
      </c>
      <c r="M1822">
        <v>48945</v>
      </c>
      <c r="N1822" t="s">
        <v>42</v>
      </c>
      <c r="O1822">
        <f t="shared" si="56"/>
        <v>9750</v>
      </c>
      <c r="P1822" s="13">
        <f t="shared" si="57"/>
        <v>2651233</v>
      </c>
      <c r="Q1822" s="13">
        <f>SUMIFS(M:M,E:E,Online_eCommerce[[#This Row],[Status]])</f>
        <v>28620410</v>
      </c>
      <c r="R1822" s="13">
        <f>SUMIFS(L:L,H:H,Online_eCommerce[[#This Row],[Brand]])</f>
        <v>5045100</v>
      </c>
      <c r="S1822" s="13">
        <f>SUMIF(H:H,Online_eCommerce[[#This Row],[Brand]],M:M)</f>
        <v>6558630</v>
      </c>
      <c r="T1822" s="13">
        <f>SUMIF(N:N,Online_eCommerce[[#This Row],[Assigned Supervisor]],L:L)</f>
        <v>12261500</v>
      </c>
    </row>
    <row r="1823" spans="1:20" hidden="1" x14ac:dyDescent="0.3">
      <c r="A1823" t="s">
        <v>2861</v>
      </c>
      <c r="B1823" t="s">
        <v>80</v>
      </c>
      <c r="C1823" t="s">
        <v>105</v>
      </c>
      <c r="D1823" t="s">
        <v>2856</v>
      </c>
      <c r="E1823" t="s">
        <v>96</v>
      </c>
      <c r="F1823" t="s">
        <v>126</v>
      </c>
      <c r="G1823" t="s">
        <v>26</v>
      </c>
      <c r="H1823" t="s">
        <v>27</v>
      </c>
      <c r="I1823">
        <v>14500</v>
      </c>
      <c r="J1823">
        <v>18850</v>
      </c>
      <c r="K1823">
        <v>2</v>
      </c>
      <c r="L1823">
        <v>29000</v>
      </c>
      <c r="M1823">
        <v>37700</v>
      </c>
      <c r="N1823" t="s">
        <v>50</v>
      </c>
      <c r="O1823">
        <f t="shared" si="56"/>
        <v>33150</v>
      </c>
      <c r="P1823" s="13">
        <f t="shared" si="57"/>
        <v>1866852</v>
      </c>
      <c r="Q1823" s="13">
        <f>SUMIFS(M:M,E:E,Online_eCommerce[[#This Row],[Status]])</f>
        <v>21233992</v>
      </c>
      <c r="R1823" s="13">
        <f>SUMIFS(L:L,H:H,Online_eCommerce[[#This Row],[Brand]])</f>
        <v>14431000</v>
      </c>
      <c r="S1823" s="13">
        <f>SUMIF(H:H,Online_eCommerce[[#This Row],[Brand]],M:M)</f>
        <v>18760300</v>
      </c>
      <c r="T1823" s="13">
        <f>SUMIF(N:N,Online_eCommerce[[#This Row],[Assigned Supervisor]],L:L)</f>
        <v>12100590</v>
      </c>
    </row>
    <row r="1824" spans="1:20" hidden="1" x14ac:dyDescent="0.3">
      <c r="A1824" t="s">
        <v>2862</v>
      </c>
      <c r="B1824" t="s">
        <v>85</v>
      </c>
      <c r="C1824" t="s">
        <v>110</v>
      </c>
      <c r="D1824" t="s">
        <v>2856</v>
      </c>
      <c r="E1824" t="s">
        <v>18</v>
      </c>
      <c r="F1824" t="s">
        <v>129</v>
      </c>
      <c r="G1824" t="s">
        <v>60</v>
      </c>
      <c r="H1824" t="s">
        <v>61</v>
      </c>
      <c r="I1824">
        <v>800</v>
      </c>
      <c r="J1824">
        <v>1040</v>
      </c>
      <c r="K1824">
        <v>2</v>
      </c>
      <c r="L1824">
        <v>1600</v>
      </c>
      <c r="M1824">
        <v>2080</v>
      </c>
      <c r="N1824" t="s">
        <v>56</v>
      </c>
      <c r="O1824">
        <f t="shared" si="56"/>
        <v>3315</v>
      </c>
      <c r="P1824" s="13">
        <f t="shared" si="57"/>
        <v>2598635</v>
      </c>
      <c r="Q1824" s="13">
        <f>SUMIFS(M:M,E:E,Online_eCommerce[[#This Row],[Status]])</f>
        <v>28340455</v>
      </c>
      <c r="R1824" s="13">
        <f>SUMIFS(L:L,H:H,Online_eCommerce[[#This Row],[Brand]])</f>
        <v>10950150</v>
      </c>
      <c r="S1824" s="13">
        <f>SUMIF(H:H,Online_eCommerce[[#This Row],[Brand]],M:M)</f>
        <v>14235195</v>
      </c>
      <c r="T1824" s="13">
        <f>SUMIF(N:N,Online_eCommerce[[#This Row],[Assigned Supervisor]],L:L)</f>
        <v>11733610</v>
      </c>
    </row>
    <row r="1825" spans="1:20" hidden="1" x14ac:dyDescent="0.3">
      <c r="A1825" t="s">
        <v>2863</v>
      </c>
      <c r="B1825" t="s">
        <v>283</v>
      </c>
      <c r="C1825" t="s">
        <v>115</v>
      </c>
      <c r="D1825" t="s">
        <v>2856</v>
      </c>
      <c r="E1825" t="s">
        <v>161</v>
      </c>
      <c r="F1825" t="s">
        <v>133</v>
      </c>
      <c r="G1825" t="s">
        <v>66</v>
      </c>
      <c r="H1825" t="s">
        <v>21</v>
      </c>
      <c r="I1825">
        <v>600</v>
      </c>
      <c r="J1825">
        <v>780</v>
      </c>
      <c r="K1825">
        <v>4</v>
      </c>
      <c r="L1825">
        <v>2400</v>
      </c>
      <c r="M1825">
        <v>3120</v>
      </c>
      <c r="N1825" t="s">
        <v>22</v>
      </c>
      <c r="O1825">
        <f t="shared" si="56"/>
        <v>1690</v>
      </c>
      <c r="P1825" s="13">
        <f t="shared" si="57"/>
        <v>2050178</v>
      </c>
      <c r="Q1825" s="13">
        <f>SUMIFS(M:M,E:E,Online_eCommerce[[#This Row],[Status]])</f>
        <v>21103186</v>
      </c>
      <c r="R1825" s="13">
        <f>SUMIFS(L:L,H:H,Online_eCommerce[[#This Row],[Brand]])</f>
        <v>12435650</v>
      </c>
      <c r="S1825" s="13">
        <f>SUMIF(H:H,Online_eCommerce[[#This Row],[Brand]],M:M)</f>
        <v>16166345</v>
      </c>
      <c r="T1825" s="13">
        <f>SUMIF(N:N,Online_eCommerce[[#This Row],[Assigned Supervisor]],L:L)</f>
        <v>13693220</v>
      </c>
    </row>
    <row r="1826" spans="1:20" x14ac:dyDescent="0.3">
      <c r="A1826" t="s">
        <v>2864</v>
      </c>
      <c r="B1826" t="s">
        <v>283</v>
      </c>
      <c r="C1826" t="s">
        <v>120</v>
      </c>
      <c r="D1826" t="s">
        <v>2856</v>
      </c>
      <c r="E1826" t="s">
        <v>46</v>
      </c>
      <c r="F1826" t="s">
        <v>137</v>
      </c>
      <c r="G1826" t="s">
        <v>71</v>
      </c>
      <c r="H1826" t="s">
        <v>61</v>
      </c>
      <c r="I1826">
        <v>10500</v>
      </c>
      <c r="J1826">
        <v>13650</v>
      </c>
      <c r="K1826">
        <v>2</v>
      </c>
      <c r="L1826">
        <v>21000</v>
      </c>
      <c r="M1826">
        <v>27300</v>
      </c>
      <c r="N1826" t="s">
        <v>28</v>
      </c>
      <c r="O1826">
        <f t="shared" si="56"/>
        <v>9750</v>
      </c>
      <c r="P1826" s="13">
        <f t="shared" si="57"/>
        <v>2734212</v>
      </c>
      <c r="Q1826" s="13">
        <f>SUMIFS(M:M,E:E,Online_eCommerce[[#This Row],[Status]])</f>
        <v>28620410</v>
      </c>
      <c r="R1826" s="13">
        <f>SUMIFS(L:L,H:H,Online_eCommerce[[#This Row],[Brand]])</f>
        <v>10950150</v>
      </c>
      <c r="S1826" s="13">
        <f>SUMIF(H:H,Online_eCommerce[[#This Row],[Brand]],M:M)</f>
        <v>14235195</v>
      </c>
      <c r="T1826" s="13">
        <f>SUMIF(N:N,Online_eCommerce[[#This Row],[Assigned Supervisor]],L:L)</f>
        <v>12220830</v>
      </c>
    </row>
    <row r="1827" spans="1:20" hidden="1" x14ac:dyDescent="0.3">
      <c r="A1827" t="s">
        <v>2865</v>
      </c>
      <c r="B1827" t="s">
        <v>283</v>
      </c>
      <c r="C1827" t="s">
        <v>125</v>
      </c>
      <c r="D1827" t="s">
        <v>2856</v>
      </c>
      <c r="E1827" t="s">
        <v>96</v>
      </c>
      <c r="F1827" t="s">
        <v>2835</v>
      </c>
      <c r="G1827" t="s">
        <v>77</v>
      </c>
      <c r="H1827" t="s">
        <v>142</v>
      </c>
      <c r="I1827">
        <v>6500</v>
      </c>
      <c r="J1827">
        <v>8450</v>
      </c>
      <c r="K1827">
        <v>4</v>
      </c>
      <c r="L1827">
        <v>26000</v>
      </c>
      <c r="M1827">
        <v>33800</v>
      </c>
      <c r="N1827" t="s">
        <v>35</v>
      </c>
      <c r="O1827">
        <f t="shared" si="56"/>
        <v>39000</v>
      </c>
      <c r="P1827" s="13">
        <f t="shared" si="57"/>
        <v>2091154</v>
      </c>
      <c r="Q1827" s="13">
        <f>SUMIFS(M:M,E:E,Online_eCommerce[[#This Row],[Status]])</f>
        <v>21233992</v>
      </c>
      <c r="R1827" s="13">
        <f>SUMIFS(L:L,H:H,Online_eCommerce[[#This Row],[Brand]])</f>
        <v>6192500</v>
      </c>
      <c r="S1827" s="13">
        <f>SUMIF(H:H,Online_eCommerce[[#This Row],[Brand]],M:M)</f>
        <v>8050250</v>
      </c>
      <c r="T1827" s="13">
        <f>SUMIF(N:N,Online_eCommerce[[#This Row],[Assigned Supervisor]],L:L)</f>
        <v>14373360</v>
      </c>
    </row>
    <row r="1828" spans="1:20" hidden="1" x14ac:dyDescent="0.3">
      <c r="A1828" t="s">
        <v>2866</v>
      </c>
      <c r="B1828" t="s">
        <v>283</v>
      </c>
      <c r="C1828" t="s">
        <v>22</v>
      </c>
      <c r="D1828" t="s">
        <v>2856</v>
      </c>
      <c r="E1828" t="s">
        <v>18</v>
      </c>
      <c r="F1828" t="s">
        <v>2867</v>
      </c>
      <c r="G1828" t="s">
        <v>20</v>
      </c>
      <c r="H1828" t="s">
        <v>21</v>
      </c>
      <c r="I1828">
        <v>4500</v>
      </c>
      <c r="J1828">
        <v>5850</v>
      </c>
      <c r="K1828">
        <v>4</v>
      </c>
      <c r="L1828">
        <v>18000</v>
      </c>
      <c r="M1828">
        <v>23400</v>
      </c>
      <c r="N1828" t="s">
        <v>42</v>
      </c>
      <c r="O1828">
        <f t="shared" si="56"/>
        <v>8450</v>
      </c>
      <c r="P1828" s="13">
        <f t="shared" si="57"/>
        <v>2551588</v>
      </c>
      <c r="Q1828" s="13">
        <f>SUMIFS(M:M,E:E,Online_eCommerce[[#This Row],[Status]])</f>
        <v>28340455</v>
      </c>
      <c r="R1828" s="13">
        <f>SUMIFS(L:L,H:H,Online_eCommerce[[#This Row],[Brand]])</f>
        <v>12435650</v>
      </c>
      <c r="S1828" s="13">
        <f>SUMIF(H:H,Online_eCommerce[[#This Row],[Brand]],M:M)</f>
        <v>16166345</v>
      </c>
      <c r="T1828" s="13">
        <f>SUMIF(N:N,Online_eCommerce[[#This Row],[Assigned Supervisor]],L:L)</f>
        <v>12261500</v>
      </c>
    </row>
    <row r="1829" spans="1:20" hidden="1" x14ac:dyDescent="0.3">
      <c r="A1829" t="s">
        <v>2868</v>
      </c>
      <c r="B1829" t="s">
        <v>283</v>
      </c>
      <c r="C1829" t="s">
        <v>132</v>
      </c>
      <c r="D1829" t="s">
        <v>2856</v>
      </c>
      <c r="E1829" t="s">
        <v>161</v>
      </c>
      <c r="F1829" t="s">
        <v>152</v>
      </c>
      <c r="G1829" t="s">
        <v>26</v>
      </c>
      <c r="H1829" t="s">
        <v>27</v>
      </c>
      <c r="I1829">
        <v>8500</v>
      </c>
      <c r="J1829">
        <v>11050</v>
      </c>
      <c r="K1829">
        <v>3</v>
      </c>
      <c r="L1829">
        <v>25500</v>
      </c>
      <c r="M1829">
        <v>33150</v>
      </c>
      <c r="N1829" t="s">
        <v>50</v>
      </c>
      <c r="O1829">
        <f t="shared" si="56"/>
        <v>33150</v>
      </c>
      <c r="P1829" s="13">
        <f t="shared" si="57"/>
        <v>1989065</v>
      </c>
      <c r="Q1829" s="13">
        <f>SUMIFS(M:M,E:E,Online_eCommerce[[#This Row],[Status]])</f>
        <v>21103186</v>
      </c>
      <c r="R1829" s="13">
        <f>SUMIFS(L:L,H:H,Online_eCommerce[[#This Row],[Brand]])</f>
        <v>14431000</v>
      </c>
      <c r="S1829" s="13">
        <f>SUMIF(H:H,Online_eCommerce[[#This Row],[Brand]],M:M)</f>
        <v>18760300</v>
      </c>
      <c r="T1829" s="13">
        <f>SUMIF(N:N,Online_eCommerce[[#This Row],[Assigned Supervisor]],L:L)</f>
        <v>12100590</v>
      </c>
    </row>
    <row r="1830" spans="1:20" x14ac:dyDescent="0.3">
      <c r="A1830" t="s">
        <v>2869</v>
      </c>
      <c r="B1830" t="s">
        <v>283</v>
      </c>
      <c r="C1830" t="s">
        <v>136</v>
      </c>
      <c r="D1830" t="s">
        <v>2856</v>
      </c>
      <c r="E1830" t="s">
        <v>46</v>
      </c>
      <c r="F1830" t="s">
        <v>157</v>
      </c>
      <c r="G1830" t="s">
        <v>33</v>
      </c>
      <c r="H1830" t="s">
        <v>34</v>
      </c>
      <c r="I1830">
        <v>12500</v>
      </c>
      <c r="J1830">
        <v>16250</v>
      </c>
      <c r="K1830">
        <v>2</v>
      </c>
      <c r="L1830">
        <v>25000</v>
      </c>
      <c r="M1830">
        <v>32500</v>
      </c>
      <c r="N1830" t="s">
        <v>56</v>
      </c>
      <c r="O1830">
        <f t="shared" si="56"/>
        <v>18200</v>
      </c>
      <c r="P1830" s="13">
        <f t="shared" si="57"/>
        <v>2775162</v>
      </c>
      <c r="Q1830" s="13">
        <f>SUMIFS(M:M,E:E,Online_eCommerce[[#This Row],[Status]])</f>
        <v>28620410</v>
      </c>
      <c r="R1830" s="13">
        <f>SUMIFS(L:L,H:H,Online_eCommerce[[#This Row],[Brand]])</f>
        <v>10087000</v>
      </c>
      <c r="S1830" s="13">
        <f>SUMIF(H:H,Online_eCommerce[[#This Row],[Brand]],M:M)</f>
        <v>13113100</v>
      </c>
      <c r="T1830" s="13">
        <f>SUMIF(N:N,Online_eCommerce[[#This Row],[Assigned Supervisor]],L:L)</f>
        <v>11733610</v>
      </c>
    </row>
    <row r="1831" spans="1:20" hidden="1" x14ac:dyDescent="0.3">
      <c r="A1831" t="s">
        <v>2870</v>
      </c>
      <c r="B1831" t="s">
        <v>283</v>
      </c>
      <c r="C1831" t="s">
        <v>140</v>
      </c>
      <c r="D1831" t="s">
        <v>2856</v>
      </c>
      <c r="E1831" t="s">
        <v>96</v>
      </c>
      <c r="F1831" t="s">
        <v>2442</v>
      </c>
      <c r="G1831" t="s">
        <v>40</v>
      </c>
      <c r="H1831" t="s">
        <v>41</v>
      </c>
      <c r="I1831">
        <v>3500</v>
      </c>
      <c r="J1831">
        <v>4550</v>
      </c>
      <c r="K1831">
        <v>1</v>
      </c>
      <c r="L1831">
        <v>3500</v>
      </c>
      <c r="M1831">
        <v>4550</v>
      </c>
      <c r="N1831" t="s">
        <v>22</v>
      </c>
      <c r="O1831">
        <f t="shared" si="56"/>
        <v>25545</v>
      </c>
      <c r="P1831" s="13">
        <f t="shared" si="57"/>
        <v>2058264</v>
      </c>
      <c r="Q1831" s="13">
        <f>SUMIFS(M:M,E:E,Online_eCommerce[[#This Row],[Status]])</f>
        <v>21233992</v>
      </c>
      <c r="R1831" s="13">
        <f>SUMIFS(L:L,H:H,Online_eCommerce[[#This Row],[Brand]])</f>
        <v>4260400</v>
      </c>
      <c r="S1831" s="13">
        <f>SUMIF(H:H,Online_eCommerce[[#This Row],[Brand]],M:M)</f>
        <v>5538520</v>
      </c>
      <c r="T1831" s="13">
        <f>SUMIF(N:N,Online_eCommerce[[#This Row],[Assigned Supervisor]],L:L)</f>
        <v>13693220</v>
      </c>
    </row>
    <row r="1832" spans="1:20" hidden="1" x14ac:dyDescent="0.3">
      <c r="A1832" t="s">
        <v>2871</v>
      </c>
      <c r="B1832" t="s">
        <v>283</v>
      </c>
      <c r="C1832" t="s">
        <v>145</v>
      </c>
      <c r="D1832" t="s">
        <v>2856</v>
      </c>
      <c r="E1832" t="s">
        <v>18</v>
      </c>
      <c r="F1832" t="s">
        <v>166</v>
      </c>
      <c r="G1832" t="s">
        <v>334</v>
      </c>
      <c r="H1832" t="s">
        <v>49</v>
      </c>
      <c r="I1832">
        <v>4500</v>
      </c>
      <c r="J1832">
        <v>5850</v>
      </c>
      <c r="K1832">
        <v>1</v>
      </c>
      <c r="L1832">
        <v>4500</v>
      </c>
      <c r="M1832">
        <v>5850</v>
      </c>
      <c r="N1832" t="s">
        <v>28</v>
      </c>
      <c r="O1832">
        <f t="shared" si="56"/>
        <v>39780</v>
      </c>
      <c r="P1832" s="13">
        <f t="shared" si="57"/>
        <v>2757859</v>
      </c>
      <c r="Q1832" s="13">
        <f>SUMIFS(M:M,E:E,Online_eCommerce[[#This Row],[Status]])</f>
        <v>28340455</v>
      </c>
      <c r="R1832" s="13">
        <f>SUMIFS(L:L,H:H,Online_eCommerce[[#This Row],[Brand]])</f>
        <v>4528350</v>
      </c>
      <c r="S1832" s="13">
        <f>SUMIF(H:H,Online_eCommerce[[#This Row],[Brand]],M:M)</f>
        <v>5886855</v>
      </c>
      <c r="T1832" s="13">
        <f>SUMIF(N:N,Online_eCommerce[[#This Row],[Assigned Supervisor]],L:L)</f>
        <v>12220830</v>
      </c>
    </row>
    <row r="1833" spans="1:20" hidden="1" x14ac:dyDescent="0.3">
      <c r="A1833" t="s">
        <v>2872</v>
      </c>
      <c r="B1833" t="s">
        <v>283</v>
      </c>
      <c r="C1833" t="s">
        <v>150</v>
      </c>
      <c r="D1833" t="s">
        <v>2856</v>
      </c>
      <c r="E1833" t="s">
        <v>161</v>
      </c>
      <c r="F1833" t="s">
        <v>2873</v>
      </c>
      <c r="G1833" t="s">
        <v>54</v>
      </c>
      <c r="H1833" t="s">
        <v>55</v>
      </c>
      <c r="I1833">
        <v>2100</v>
      </c>
      <c r="J1833">
        <v>2730</v>
      </c>
      <c r="K1833">
        <v>4</v>
      </c>
      <c r="L1833">
        <v>8400</v>
      </c>
      <c r="M1833">
        <v>10920</v>
      </c>
      <c r="N1833" t="s">
        <v>35</v>
      </c>
      <c r="O1833">
        <f t="shared" si="56"/>
        <v>2990</v>
      </c>
      <c r="P1833" s="13">
        <f t="shared" si="57"/>
        <v>2154984</v>
      </c>
      <c r="Q1833" s="13">
        <f>SUMIFS(M:M,E:E,Online_eCommerce[[#This Row],[Status]])</f>
        <v>21103186</v>
      </c>
      <c r="R1833" s="13">
        <f>SUMIFS(L:L,H:H,Online_eCommerce[[#This Row],[Brand]])</f>
        <v>2267380</v>
      </c>
      <c r="S1833" s="13">
        <f>SUMIF(H:H,Online_eCommerce[[#This Row],[Brand]],M:M)</f>
        <v>2947594</v>
      </c>
      <c r="T1833" s="13">
        <f>SUMIF(N:N,Online_eCommerce[[#This Row],[Assigned Supervisor]],L:L)</f>
        <v>14373360</v>
      </c>
    </row>
    <row r="1834" spans="1:20" x14ac:dyDescent="0.3">
      <c r="A1834" t="s">
        <v>2874</v>
      </c>
      <c r="B1834" t="s">
        <v>283</v>
      </c>
      <c r="C1834" t="s">
        <v>155</v>
      </c>
      <c r="D1834" t="s">
        <v>2856</v>
      </c>
      <c r="E1834" t="s">
        <v>46</v>
      </c>
      <c r="F1834" t="s">
        <v>174</v>
      </c>
      <c r="G1834" t="s">
        <v>60</v>
      </c>
      <c r="H1834" t="s">
        <v>61</v>
      </c>
      <c r="I1834">
        <v>1150</v>
      </c>
      <c r="J1834">
        <v>1495</v>
      </c>
      <c r="K1834">
        <v>3</v>
      </c>
      <c r="L1834">
        <v>3450</v>
      </c>
      <c r="M1834">
        <v>4485</v>
      </c>
      <c r="N1834" t="s">
        <v>42</v>
      </c>
      <c r="O1834">
        <f t="shared" si="56"/>
        <v>3315</v>
      </c>
      <c r="P1834" s="13">
        <f t="shared" si="57"/>
        <v>2753348</v>
      </c>
      <c r="Q1834" s="13">
        <f>SUMIFS(M:M,E:E,Online_eCommerce[[#This Row],[Status]])</f>
        <v>28620410</v>
      </c>
      <c r="R1834" s="13">
        <f>SUMIFS(L:L,H:H,Online_eCommerce[[#This Row],[Brand]])</f>
        <v>10950150</v>
      </c>
      <c r="S1834" s="13">
        <f>SUMIF(H:H,Online_eCommerce[[#This Row],[Brand]],M:M)</f>
        <v>14235195</v>
      </c>
      <c r="T1834" s="13">
        <f>SUMIF(N:N,Online_eCommerce[[#This Row],[Assigned Supervisor]],L:L)</f>
        <v>12261500</v>
      </c>
    </row>
    <row r="1835" spans="1:20" hidden="1" x14ac:dyDescent="0.3">
      <c r="A1835" t="s">
        <v>2875</v>
      </c>
      <c r="B1835" t="s">
        <v>283</v>
      </c>
      <c r="C1835" t="s">
        <v>160</v>
      </c>
      <c r="D1835" t="s">
        <v>2856</v>
      </c>
      <c r="E1835" t="s">
        <v>96</v>
      </c>
      <c r="F1835" t="s">
        <v>179</v>
      </c>
      <c r="G1835" t="s">
        <v>66</v>
      </c>
      <c r="H1835" t="s">
        <v>21</v>
      </c>
      <c r="I1835">
        <v>350</v>
      </c>
      <c r="J1835">
        <v>455</v>
      </c>
      <c r="K1835">
        <v>3</v>
      </c>
      <c r="L1835">
        <v>1050</v>
      </c>
      <c r="M1835">
        <v>1365</v>
      </c>
      <c r="N1835" t="s">
        <v>50</v>
      </c>
      <c r="O1835">
        <f t="shared" si="56"/>
        <v>1690</v>
      </c>
      <c r="P1835" s="13">
        <f t="shared" si="57"/>
        <v>2303483</v>
      </c>
      <c r="Q1835" s="13">
        <f>SUMIFS(M:M,E:E,Online_eCommerce[[#This Row],[Status]])</f>
        <v>21233992</v>
      </c>
      <c r="R1835" s="13">
        <f>SUMIFS(L:L,H:H,Online_eCommerce[[#This Row],[Brand]])</f>
        <v>12435650</v>
      </c>
      <c r="S1835" s="13">
        <f>SUMIF(H:H,Online_eCommerce[[#This Row],[Brand]],M:M)</f>
        <v>16166345</v>
      </c>
      <c r="T1835" s="13">
        <f>SUMIF(N:N,Online_eCommerce[[#This Row],[Assigned Supervisor]],L:L)</f>
        <v>12100590</v>
      </c>
    </row>
    <row r="1836" spans="1:20" hidden="1" x14ac:dyDescent="0.3">
      <c r="A1836" t="s">
        <v>2876</v>
      </c>
      <c r="B1836" t="s">
        <v>139</v>
      </c>
      <c r="C1836" t="s">
        <v>165</v>
      </c>
      <c r="D1836" t="s">
        <v>2856</v>
      </c>
      <c r="E1836" t="s">
        <v>18</v>
      </c>
      <c r="F1836" t="s">
        <v>183</v>
      </c>
      <c r="G1836" t="s">
        <v>71</v>
      </c>
      <c r="H1836" t="s">
        <v>61</v>
      </c>
      <c r="I1836">
        <v>9500</v>
      </c>
      <c r="J1836">
        <v>12350</v>
      </c>
      <c r="K1836">
        <v>3</v>
      </c>
      <c r="L1836">
        <v>28500</v>
      </c>
      <c r="M1836">
        <v>37050</v>
      </c>
      <c r="N1836" t="s">
        <v>56</v>
      </c>
      <c r="O1836">
        <f t="shared" si="56"/>
        <v>9750</v>
      </c>
      <c r="P1836" s="13">
        <f t="shared" si="57"/>
        <v>2674087</v>
      </c>
      <c r="Q1836" s="13">
        <f>SUMIFS(M:M,E:E,Online_eCommerce[[#This Row],[Status]])</f>
        <v>28340455</v>
      </c>
      <c r="R1836" s="13">
        <f>SUMIFS(L:L,H:H,Online_eCommerce[[#This Row],[Brand]])</f>
        <v>10950150</v>
      </c>
      <c r="S1836" s="13">
        <f>SUMIF(H:H,Online_eCommerce[[#This Row],[Brand]],M:M)</f>
        <v>14235195</v>
      </c>
      <c r="T1836" s="13">
        <f>SUMIF(N:N,Online_eCommerce[[#This Row],[Assigned Supervisor]],L:L)</f>
        <v>11733610</v>
      </c>
    </row>
    <row r="1837" spans="1:20" hidden="1" x14ac:dyDescent="0.3">
      <c r="A1837" t="s">
        <v>2877</v>
      </c>
      <c r="B1837" t="s">
        <v>144</v>
      </c>
      <c r="C1837" t="s">
        <v>168</v>
      </c>
      <c r="D1837" t="s">
        <v>2856</v>
      </c>
      <c r="E1837" t="s">
        <v>161</v>
      </c>
      <c r="F1837" t="s">
        <v>2878</v>
      </c>
      <c r="G1837" t="s">
        <v>77</v>
      </c>
      <c r="H1837" t="s">
        <v>142</v>
      </c>
      <c r="I1837">
        <v>10000</v>
      </c>
      <c r="J1837">
        <v>13000</v>
      </c>
      <c r="K1837">
        <v>4</v>
      </c>
      <c r="L1837">
        <v>40000</v>
      </c>
      <c r="M1837">
        <v>52000</v>
      </c>
      <c r="N1837" t="s">
        <v>22</v>
      </c>
      <c r="O1837">
        <f t="shared" si="56"/>
        <v>39000</v>
      </c>
      <c r="P1837" s="13">
        <f t="shared" si="57"/>
        <v>1937780</v>
      </c>
      <c r="Q1837" s="13">
        <f>SUMIFS(M:M,E:E,Online_eCommerce[[#This Row],[Status]])</f>
        <v>21103186</v>
      </c>
      <c r="R1837" s="13">
        <f>SUMIFS(L:L,H:H,Online_eCommerce[[#This Row],[Brand]])</f>
        <v>6192500</v>
      </c>
      <c r="S1837" s="13">
        <f>SUMIF(H:H,Online_eCommerce[[#This Row],[Brand]],M:M)</f>
        <v>8050250</v>
      </c>
      <c r="T1837" s="13">
        <f>SUMIF(N:N,Online_eCommerce[[#This Row],[Assigned Supervisor]],L:L)</f>
        <v>13693220</v>
      </c>
    </row>
    <row r="1838" spans="1:20" x14ac:dyDescent="0.3">
      <c r="A1838" t="s">
        <v>2879</v>
      </c>
      <c r="B1838" t="s">
        <v>149</v>
      </c>
      <c r="C1838" t="s">
        <v>172</v>
      </c>
      <c r="D1838" t="s">
        <v>2856</v>
      </c>
      <c r="E1838" t="s">
        <v>46</v>
      </c>
      <c r="F1838" t="s">
        <v>2880</v>
      </c>
      <c r="G1838" t="s">
        <v>20</v>
      </c>
      <c r="H1838" t="s">
        <v>21</v>
      </c>
      <c r="I1838">
        <v>6500</v>
      </c>
      <c r="J1838">
        <v>8450</v>
      </c>
      <c r="K1838">
        <v>4</v>
      </c>
      <c r="L1838">
        <v>26000</v>
      </c>
      <c r="M1838">
        <v>33800</v>
      </c>
      <c r="N1838" t="s">
        <v>28</v>
      </c>
      <c r="O1838">
        <f t="shared" si="56"/>
        <v>8450</v>
      </c>
      <c r="P1838" s="13">
        <f t="shared" si="57"/>
        <v>2640274</v>
      </c>
      <c r="Q1838" s="13">
        <f>SUMIFS(M:M,E:E,Online_eCommerce[[#This Row],[Status]])</f>
        <v>28620410</v>
      </c>
      <c r="R1838" s="13">
        <f>SUMIFS(L:L,H:H,Online_eCommerce[[#This Row],[Brand]])</f>
        <v>12435650</v>
      </c>
      <c r="S1838" s="13">
        <f>SUMIF(H:H,Online_eCommerce[[#This Row],[Brand]],M:M)</f>
        <v>16166345</v>
      </c>
      <c r="T1838" s="13">
        <f>SUMIF(N:N,Online_eCommerce[[#This Row],[Assigned Supervisor]],L:L)</f>
        <v>12220830</v>
      </c>
    </row>
    <row r="1839" spans="1:20" hidden="1" x14ac:dyDescent="0.3">
      <c r="A1839" t="s">
        <v>2881</v>
      </c>
      <c r="B1839" t="s">
        <v>154</v>
      </c>
      <c r="C1839" t="s">
        <v>177</v>
      </c>
      <c r="D1839" t="s">
        <v>2856</v>
      </c>
      <c r="E1839" t="s">
        <v>96</v>
      </c>
      <c r="F1839" t="s">
        <v>2882</v>
      </c>
      <c r="G1839" t="s">
        <v>26</v>
      </c>
      <c r="H1839" t="s">
        <v>27</v>
      </c>
      <c r="I1839">
        <v>8500</v>
      </c>
      <c r="J1839">
        <v>11050</v>
      </c>
      <c r="K1839">
        <v>3</v>
      </c>
      <c r="L1839">
        <v>25500</v>
      </c>
      <c r="M1839">
        <v>33150</v>
      </c>
      <c r="N1839" t="s">
        <v>35</v>
      </c>
      <c r="O1839">
        <f t="shared" si="56"/>
        <v>33150</v>
      </c>
      <c r="P1839" s="13">
        <f t="shared" si="57"/>
        <v>1863810</v>
      </c>
      <c r="Q1839" s="13">
        <f>SUMIFS(M:M,E:E,Online_eCommerce[[#This Row],[Status]])</f>
        <v>21233992</v>
      </c>
      <c r="R1839" s="13">
        <f>SUMIFS(L:L,H:H,Online_eCommerce[[#This Row],[Brand]])</f>
        <v>14431000</v>
      </c>
      <c r="S1839" s="13">
        <f>SUMIF(H:H,Online_eCommerce[[#This Row],[Brand]],M:M)</f>
        <v>18760300</v>
      </c>
      <c r="T1839" s="13">
        <f>SUMIF(N:N,Online_eCommerce[[#This Row],[Assigned Supervisor]],L:L)</f>
        <v>14373360</v>
      </c>
    </row>
    <row r="1840" spans="1:20" hidden="1" x14ac:dyDescent="0.3">
      <c r="A1840" t="s">
        <v>2883</v>
      </c>
      <c r="B1840" t="s">
        <v>159</v>
      </c>
      <c r="C1840" t="s">
        <v>181</v>
      </c>
      <c r="D1840" t="s">
        <v>2856</v>
      </c>
      <c r="E1840" t="s">
        <v>18</v>
      </c>
      <c r="F1840" t="s">
        <v>32</v>
      </c>
      <c r="G1840" t="s">
        <v>33</v>
      </c>
      <c r="H1840" t="s">
        <v>34</v>
      </c>
      <c r="I1840">
        <v>7000</v>
      </c>
      <c r="J1840">
        <v>9100</v>
      </c>
      <c r="K1840">
        <v>4</v>
      </c>
      <c r="L1840">
        <v>28000</v>
      </c>
      <c r="M1840">
        <v>36400</v>
      </c>
      <c r="N1840" t="s">
        <v>42</v>
      </c>
      <c r="O1840">
        <f t="shared" si="56"/>
        <v>18200</v>
      </c>
      <c r="P1840" s="13">
        <f t="shared" si="57"/>
        <v>2577458</v>
      </c>
      <c r="Q1840" s="13">
        <f>SUMIFS(M:M,E:E,Online_eCommerce[[#This Row],[Status]])</f>
        <v>28340455</v>
      </c>
      <c r="R1840" s="13">
        <f>SUMIFS(L:L,H:H,Online_eCommerce[[#This Row],[Brand]])</f>
        <v>10087000</v>
      </c>
      <c r="S1840" s="13">
        <f>SUMIF(H:H,Online_eCommerce[[#This Row],[Brand]],M:M)</f>
        <v>13113100</v>
      </c>
      <c r="T1840" s="13">
        <f>SUMIF(N:N,Online_eCommerce[[#This Row],[Assigned Supervisor]],L:L)</f>
        <v>12261500</v>
      </c>
    </row>
    <row r="1841" spans="1:20" hidden="1" x14ac:dyDescent="0.3">
      <c r="A1841" t="s">
        <v>2884</v>
      </c>
      <c r="B1841" t="s">
        <v>139</v>
      </c>
      <c r="C1841" t="s">
        <v>185</v>
      </c>
      <c r="D1841" t="s">
        <v>2856</v>
      </c>
      <c r="E1841" t="s">
        <v>161</v>
      </c>
      <c r="F1841" t="s">
        <v>2885</v>
      </c>
      <c r="G1841" t="s">
        <v>40</v>
      </c>
      <c r="H1841" t="s">
        <v>41</v>
      </c>
      <c r="I1841">
        <v>6550</v>
      </c>
      <c r="J1841">
        <v>8515</v>
      </c>
      <c r="K1841">
        <v>3</v>
      </c>
      <c r="L1841">
        <v>19650</v>
      </c>
      <c r="M1841">
        <v>25545</v>
      </c>
      <c r="N1841" t="s">
        <v>50</v>
      </c>
      <c r="O1841">
        <f t="shared" si="56"/>
        <v>25545</v>
      </c>
      <c r="P1841" s="13">
        <f t="shared" si="57"/>
        <v>2091596</v>
      </c>
      <c r="Q1841" s="13">
        <f>SUMIFS(M:M,E:E,Online_eCommerce[[#This Row],[Status]])</f>
        <v>21103186</v>
      </c>
      <c r="R1841" s="13">
        <f>SUMIFS(L:L,H:H,Online_eCommerce[[#This Row],[Brand]])</f>
        <v>4260400</v>
      </c>
      <c r="S1841" s="13">
        <f>SUMIF(H:H,Online_eCommerce[[#This Row],[Brand]],M:M)</f>
        <v>5538520</v>
      </c>
      <c r="T1841" s="13">
        <f>SUMIF(N:N,Online_eCommerce[[#This Row],[Assigned Supervisor]],L:L)</f>
        <v>12100590</v>
      </c>
    </row>
    <row r="1842" spans="1:20" x14ac:dyDescent="0.3">
      <c r="A1842" t="s">
        <v>2886</v>
      </c>
      <c r="B1842" t="s">
        <v>144</v>
      </c>
      <c r="C1842" t="s">
        <v>189</v>
      </c>
      <c r="D1842" t="s">
        <v>2856</v>
      </c>
      <c r="E1842" t="s">
        <v>46</v>
      </c>
      <c r="F1842" t="s">
        <v>47</v>
      </c>
      <c r="G1842" t="s">
        <v>334</v>
      </c>
      <c r="H1842" t="s">
        <v>49</v>
      </c>
      <c r="I1842">
        <v>7650</v>
      </c>
      <c r="J1842">
        <v>9945</v>
      </c>
      <c r="K1842">
        <v>4</v>
      </c>
      <c r="L1842">
        <v>30600</v>
      </c>
      <c r="M1842">
        <v>39780</v>
      </c>
      <c r="N1842" t="s">
        <v>56</v>
      </c>
      <c r="O1842">
        <f t="shared" si="56"/>
        <v>39780</v>
      </c>
      <c r="P1842" s="13">
        <f t="shared" si="57"/>
        <v>2740777</v>
      </c>
      <c r="Q1842" s="13">
        <f>SUMIFS(M:M,E:E,Online_eCommerce[[#This Row],[Status]])</f>
        <v>28620410</v>
      </c>
      <c r="R1842" s="13">
        <f>SUMIFS(L:L,H:H,Online_eCommerce[[#This Row],[Brand]])</f>
        <v>4528350</v>
      </c>
      <c r="S1842" s="13">
        <f>SUMIF(H:H,Online_eCommerce[[#This Row],[Brand]],M:M)</f>
        <v>5886855</v>
      </c>
      <c r="T1842" s="13">
        <f>SUMIF(N:N,Online_eCommerce[[#This Row],[Assigned Supervisor]],L:L)</f>
        <v>11733610</v>
      </c>
    </row>
    <row r="1843" spans="1:20" hidden="1" x14ac:dyDescent="0.3">
      <c r="A1843" t="s">
        <v>2887</v>
      </c>
      <c r="B1843" t="s">
        <v>171</v>
      </c>
      <c r="C1843" t="s">
        <v>193</v>
      </c>
      <c r="D1843" t="s">
        <v>2856</v>
      </c>
      <c r="E1843" t="s">
        <v>96</v>
      </c>
      <c r="F1843" t="s">
        <v>53</v>
      </c>
      <c r="G1843" t="s">
        <v>54</v>
      </c>
      <c r="H1843" t="s">
        <v>55</v>
      </c>
      <c r="I1843">
        <v>1150</v>
      </c>
      <c r="J1843">
        <v>1495</v>
      </c>
      <c r="K1843">
        <v>4</v>
      </c>
      <c r="L1843">
        <v>4600</v>
      </c>
      <c r="M1843">
        <v>5980</v>
      </c>
      <c r="N1843" t="s">
        <v>22</v>
      </c>
      <c r="O1843">
        <f t="shared" si="56"/>
        <v>2990</v>
      </c>
      <c r="P1843" s="13">
        <f t="shared" si="57"/>
        <v>2074774</v>
      </c>
      <c r="Q1843" s="13">
        <f>SUMIFS(M:M,E:E,Online_eCommerce[[#This Row],[Status]])</f>
        <v>21233992</v>
      </c>
      <c r="R1843" s="13">
        <f>SUMIFS(L:L,H:H,Online_eCommerce[[#This Row],[Brand]])</f>
        <v>2267380</v>
      </c>
      <c r="S1843" s="13">
        <f>SUMIF(H:H,Online_eCommerce[[#This Row],[Brand]],M:M)</f>
        <v>2947594</v>
      </c>
      <c r="T1843" s="13">
        <f>SUMIF(N:N,Online_eCommerce[[#This Row],[Assigned Supervisor]],L:L)</f>
        <v>13693220</v>
      </c>
    </row>
    <row r="1844" spans="1:20" hidden="1" x14ac:dyDescent="0.3">
      <c r="A1844" t="s">
        <v>2888</v>
      </c>
      <c r="B1844" t="s">
        <v>176</v>
      </c>
      <c r="C1844" t="s">
        <v>197</v>
      </c>
      <c r="D1844" t="s">
        <v>2856</v>
      </c>
      <c r="E1844" t="s">
        <v>18</v>
      </c>
      <c r="F1844" t="s">
        <v>59</v>
      </c>
      <c r="G1844" t="s">
        <v>60</v>
      </c>
      <c r="H1844" t="s">
        <v>61</v>
      </c>
      <c r="I1844">
        <v>850</v>
      </c>
      <c r="J1844">
        <v>1105</v>
      </c>
      <c r="K1844">
        <v>3</v>
      </c>
      <c r="L1844">
        <v>2550</v>
      </c>
      <c r="M1844">
        <v>3315</v>
      </c>
      <c r="N1844" t="s">
        <v>28</v>
      </c>
      <c r="O1844">
        <f t="shared" si="56"/>
        <v>3315</v>
      </c>
      <c r="P1844" s="13">
        <f t="shared" si="57"/>
        <v>2829840</v>
      </c>
      <c r="Q1844" s="13">
        <f>SUMIFS(M:M,E:E,Online_eCommerce[[#This Row],[Status]])</f>
        <v>28340455</v>
      </c>
      <c r="R1844" s="13">
        <f>SUMIFS(L:L,H:H,Online_eCommerce[[#This Row],[Brand]])</f>
        <v>10950150</v>
      </c>
      <c r="S1844" s="13">
        <f>SUMIF(H:H,Online_eCommerce[[#This Row],[Brand]],M:M)</f>
        <v>14235195</v>
      </c>
      <c r="T1844" s="13">
        <f>SUMIF(N:N,Online_eCommerce[[#This Row],[Assigned Supervisor]],L:L)</f>
        <v>12220830</v>
      </c>
    </row>
    <row r="1845" spans="1:20" hidden="1" x14ac:dyDescent="0.3">
      <c r="A1845" t="s">
        <v>2889</v>
      </c>
      <c r="B1845" t="s">
        <v>276</v>
      </c>
      <c r="C1845" t="s">
        <v>199</v>
      </c>
      <c r="D1845" t="s">
        <v>2856</v>
      </c>
      <c r="E1845" t="s">
        <v>161</v>
      </c>
      <c r="F1845" t="s">
        <v>65</v>
      </c>
      <c r="G1845" t="s">
        <v>66</v>
      </c>
      <c r="H1845" t="s">
        <v>21</v>
      </c>
      <c r="I1845">
        <v>650</v>
      </c>
      <c r="J1845">
        <v>845</v>
      </c>
      <c r="K1845">
        <v>2</v>
      </c>
      <c r="L1845">
        <v>1300</v>
      </c>
      <c r="M1845">
        <v>1690</v>
      </c>
      <c r="N1845" t="s">
        <v>35</v>
      </c>
      <c r="O1845">
        <f t="shared" si="56"/>
        <v>1690</v>
      </c>
      <c r="P1845" s="13">
        <f t="shared" si="57"/>
        <v>1947361</v>
      </c>
      <c r="Q1845" s="13">
        <f>SUMIFS(M:M,E:E,Online_eCommerce[[#This Row],[Status]])</f>
        <v>21103186</v>
      </c>
      <c r="R1845" s="13">
        <f>SUMIFS(L:L,H:H,Online_eCommerce[[#This Row],[Brand]])</f>
        <v>12435650</v>
      </c>
      <c r="S1845" s="13">
        <f>SUMIF(H:H,Online_eCommerce[[#This Row],[Brand]],M:M)</f>
        <v>16166345</v>
      </c>
      <c r="T1845" s="13">
        <f>SUMIF(N:N,Online_eCommerce[[#This Row],[Assigned Supervisor]],L:L)</f>
        <v>14373360</v>
      </c>
    </row>
    <row r="1846" spans="1:20" x14ac:dyDescent="0.3">
      <c r="A1846" t="s">
        <v>2890</v>
      </c>
      <c r="B1846" t="s">
        <v>280</v>
      </c>
      <c r="C1846" t="s">
        <v>203</v>
      </c>
      <c r="D1846" t="s">
        <v>2856</v>
      </c>
      <c r="E1846" t="s">
        <v>46</v>
      </c>
      <c r="F1846" t="s">
        <v>70</v>
      </c>
      <c r="G1846" t="s">
        <v>71</v>
      </c>
      <c r="H1846" t="s">
        <v>61</v>
      </c>
      <c r="I1846">
        <v>7500</v>
      </c>
      <c r="J1846">
        <v>9750</v>
      </c>
      <c r="K1846">
        <v>2</v>
      </c>
      <c r="L1846">
        <v>15000</v>
      </c>
      <c r="M1846">
        <v>19500</v>
      </c>
      <c r="N1846" t="s">
        <v>42</v>
      </c>
      <c r="O1846">
        <f t="shared" si="56"/>
        <v>9750</v>
      </c>
      <c r="P1846" s="13">
        <f t="shared" si="57"/>
        <v>2559635</v>
      </c>
      <c r="Q1846" s="13">
        <f>SUMIFS(M:M,E:E,Online_eCommerce[[#This Row],[Status]])</f>
        <v>28620410</v>
      </c>
      <c r="R1846" s="13">
        <f>SUMIFS(L:L,H:H,Online_eCommerce[[#This Row],[Brand]])</f>
        <v>10950150</v>
      </c>
      <c r="S1846" s="13">
        <f>SUMIF(H:H,Online_eCommerce[[#This Row],[Brand]],M:M)</f>
        <v>14235195</v>
      </c>
      <c r="T1846" s="13">
        <f>SUMIF(N:N,Online_eCommerce[[#This Row],[Assigned Supervisor]],L:L)</f>
        <v>12261500</v>
      </c>
    </row>
    <row r="1847" spans="1:20" hidden="1" x14ac:dyDescent="0.3">
      <c r="A1847" t="s">
        <v>2891</v>
      </c>
      <c r="B1847" t="s">
        <v>283</v>
      </c>
      <c r="C1847" t="s">
        <v>205</v>
      </c>
      <c r="D1847" t="s">
        <v>2856</v>
      </c>
      <c r="E1847" t="s">
        <v>96</v>
      </c>
      <c r="F1847" t="s">
        <v>2878</v>
      </c>
      <c r="G1847" t="s">
        <v>77</v>
      </c>
      <c r="H1847" t="s">
        <v>78</v>
      </c>
      <c r="I1847">
        <v>10000</v>
      </c>
      <c r="J1847">
        <v>13000</v>
      </c>
      <c r="K1847">
        <v>4</v>
      </c>
      <c r="L1847">
        <v>40000</v>
      </c>
      <c r="M1847">
        <v>52000</v>
      </c>
      <c r="N1847" t="s">
        <v>50</v>
      </c>
      <c r="O1847">
        <f t="shared" si="56"/>
        <v>39000</v>
      </c>
      <c r="P1847" s="13">
        <f t="shared" si="57"/>
        <v>1983254</v>
      </c>
      <c r="Q1847" s="13">
        <f>SUMIFS(M:M,E:E,Online_eCommerce[[#This Row],[Status]])</f>
        <v>21233992</v>
      </c>
      <c r="R1847" s="13">
        <f>SUMIFS(L:L,H:H,Online_eCommerce[[#This Row],[Brand]])</f>
        <v>3720000</v>
      </c>
      <c r="S1847" s="13">
        <f>SUMIF(H:H,Online_eCommerce[[#This Row],[Brand]],M:M)</f>
        <v>4836000</v>
      </c>
      <c r="T1847" s="13">
        <f>SUMIF(N:N,Online_eCommerce[[#This Row],[Assigned Supervisor]],L:L)</f>
        <v>12100590</v>
      </c>
    </row>
    <row r="1848" spans="1:20" hidden="1" x14ac:dyDescent="0.3">
      <c r="A1848" t="s">
        <v>2892</v>
      </c>
      <c r="B1848" t="s">
        <v>283</v>
      </c>
      <c r="C1848" t="s">
        <v>208</v>
      </c>
      <c r="D1848" t="s">
        <v>2856</v>
      </c>
      <c r="E1848" t="s">
        <v>18</v>
      </c>
      <c r="F1848" t="s">
        <v>2893</v>
      </c>
      <c r="G1848" t="s">
        <v>20</v>
      </c>
      <c r="H1848" t="s">
        <v>21</v>
      </c>
      <c r="I1848">
        <v>10500</v>
      </c>
      <c r="J1848">
        <v>13650</v>
      </c>
      <c r="K1848">
        <v>1</v>
      </c>
      <c r="L1848">
        <v>10500</v>
      </c>
      <c r="M1848">
        <v>13650</v>
      </c>
      <c r="N1848" t="s">
        <v>56</v>
      </c>
      <c r="O1848">
        <f t="shared" si="56"/>
        <v>8450</v>
      </c>
      <c r="P1848" s="13">
        <f t="shared" si="57"/>
        <v>2746575</v>
      </c>
      <c r="Q1848" s="13">
        <f>SUMIFS(M:M,E:E,Online_eCommerce[[#This Row],[Status]])</f>
        <v>28340455</v>
      </c>
      <c r="R1848" s="13">
        <f>SUMIFS(L:L,H:H,Online_eCommerce[[#This Row],[Brand]])</f>
        <v>12435650</v>
      </c>
      <c r="S1848" s="13">
        <f>SUMIF(H:H,Online_eCommerce[[#This Row],[Brand]],M:M)</f>
        <v>16166345</v>
      </c>
      <c r="T1848" s="13">
        <f>SUMIF(N:N,Online_eCommerce[[#This Row],[Assigned Supervisor]],L:L)</f>
        <v>11733610</v>
      </c>
    </row>
    <row r="1849" spans="1:20" hidden="1" x14ac:dyDescent="0.3">
      <c r="A1849" t="s">
        <v>2894</v>
      </c>
      <c r="B1849" t="s">
        <v>283</v>
      </c>
      <c r="C1849" t="s">
        <v>211</v>
      </c>
      <c r="D1849" t="s">
        <v>2856</v>
      </c>
      <c r="E1849" t="s">
        <v>161</v>
      </c>
      <c r="F1849" t="s">
        <v>88</v>
      </c>
      <c r="G1849" t="s">
        <v>26</v>
      </c>
      <c r="H1849" t="s">
        <v>27</v>
      </c>
      <c r="I1849">
        <v>8500</v>
      </c>
      <c r="J1849">
        <v>11050</v>
      </c>
      <c r="K1849">
        <v>1</v>
      </c>
      <c r="L1849">
        <v>8500</v>
      </c>
      <c r="M1849">
        <v>11050</v>
      </c>
      <c r="N1849" t="s">
        <v>22</v>
      </c>
      <c r="O1849">
        <f t="shared" si="56"/>
        <v>33150</v>
      </c>
      <c r="P1849" s="13">
        <f t="shared" si="57"/>
        <v>1809847</v>
      </c>
      <c r="Q1849" s="13">
        <f>SUMIFS(M:M,E:E,Online_eCommerce[[#This Row],[Status]])</f>
        <v>21103186</v>
      </c>
      <c r="R1849" s="13">
        <f>SUMIFS(L:L,H:H,Online_eCommerce[[#This Row],[Brand]])</f>
        <v>14431000</v>
      </c>
      <c r="S1849" s="13">
        <f>SUMIF(H:H,Online_eCommerce[[#This Row],[Brand]],M:M)</f>
        <v>18760300</v>
      </c>
      <c r="T1849" s="13">
        <f>SUMIF(N:N,Online_eCommerce[[#This Row],[Assigned Supervisor]],L:L)</f>
        <v>13693220</v>
      </c>
    </row>
    <row r="1850" spans="1:20" x14ac:dyDescent="0.3">
      <c r="A1850" t="s">
        <v>2895</v>
      </c>
      <c r="B1850" t="s">
        <v>283</v>
      </c>
      <c r="C1850" t="s">
        <v>16</v>
      </c>
      <c r="D1850" t="s">
        <v>2896</v>
      </c>
      <c r="E1850" t="s">
        <v>46</v>
      </c>
      <c r="F1850" t="s">
        <v>32</v>
      </c>
      <c r="G1850" t="s">
        <v>33</v>
      </c>
      <c r="H1850" t="s">
        <v>34</v>
      </c>
      <c r="I1850">
        <v>7000</v>
      </c>
      <c r="J1850">
        <v>9100</v>
      </c>
      <c r="K1850">
        <v>1</v>
      </c>
      <c r="L1850">
        <v>7000</v>
      </c>
      <c r="M1850">
        <v>9100</v>
      </c>
      <c r="N1850" t="s">
        <v>28</v>
      </c>
      <c r="O1850">
        <f t="shared" si="56"/>
        <v>18200</v>
      </c>
      <c r="P1850" s="13">
        <f t="shared" si="57"/>
        <v>2751814</v>
      </c>
      <c r="Q1850" s="13">
        <f>SUMIFS(M:M,E:E,Online_eCommerce[[#This Row],[Status]])</f>
        <v>28620410</v>
      </c>
      <c r="R1850" s="13">
        <f>SUMIFS(L:L,H:H,Online_eCommerce[[#This Row],[Brand]])</f>
        <v>10087000</v>
      </c>
      <c r="S1850" s="13">
        <f>SUMIF(H:H,Online_eCommerce[[#This Row],[Brand]],M:M)</f>
        <v>13113100</v>
      </c>
      <c r="T1850" s="13">
        <f>SUMIF(N:N,Online_eCommerce[[#This Row],[Assigned Supervisor]],L:L)</f>
        <v>12220830</v>
      </c>
    </row>
    <row r="1851" spans="1:20" hidden="1" x14ac:dyDescent="0.3">
      <c r="A1851" t="s">
        <v>2897</v>
      </c>
      <c r="B1851" t="s">
        <v>283</v>
      </c>
      <c r="C1851" t="s">
        <v>24</v>
      </c>
      <c r="D1851" t="s">
        <v>2896</v>
      </c>
      <c r="E1851" t="s">
        <v>96</v>
      </c>
      <c r="F1851" t="s">
        <v>2898</v>
      </c>
      <c r="G1851" t="s">
        <v>40</v>
      </c>
      <c r="H1851" t="s">
        <v>41</v>
      </c>
      <c r="I1851">
        <v>1680</v>
      </c>
      <c r="J1851">
        <v>2184</v>
      </c>
      <c r="K1851">
        <v>4</v>
      </c>
      <c r="L1851">
        <v>6720</v>
      </c>
      <c r="M1851">
        <v>8736</v>
      </c>
      <c r="N1851" t="s">
        <v>35</v>
      </c>
      <c r="O1851">
        <f t="shared" si="56"/>
        <v>25545</v>
      </c>
      <c r="P1851" s="13">
        <f t="shared" si="57"/>
        <v>2009540</v>
      </c>
      <c r="Q1851" s="13">
        <f>SUMIFS(M:M,E:E,Online_eCommerce[[#This Row],[Status]])</f>
        <v>21233992</v>
      </c>
      <c r="R1851" s="13">
        <f>SUMIFS(L:L,H:H,Online_eCommerce[[#This Row],[Brand]])</f>
        <v>4260400</v>
      </c>
      <c r="S1851" s="13">
        <f>SUMIF(H:H,Online_eCommerce[[#This Row],[Brand]],M:M)</f>
        <v>5538520</v>
      </c>
      <c r="T1851" s="13">
        <f>SUMIF(N:N,Online_eCommerce[[#This Row],[Assigned Supervisor]],L:L)</f>
        <v>14373360</v>
      </c>
    </row>
    <row r="1852" spans="1:20" hidden="1" x14ac:dyDescent="0.3">
      <c r="A1852" t="s">
        <v>2899</v>
      </c>
      <c r="B1852" t="s">
        <v>283</v>
      </c>
      <c r="C1852" t="s">
        <v>31</v>
      </c>
      <c r="D1852" t="s">
        <v>2896</v>
      </c>
      <c r="E1852" t="s">
        <v>18</v>
      </c>
      <c r="F1852" t="s">
        <v>101</v>
      </c>
      <c r="G1852" t="s">
        <v>334</v>
      </c>
      <c r="H1852" t="s">
        <v>102</v>
      </c>
      <c r="I1852">
        <v>6540</v>
      </c>
      <c r="J1852">
        <v>8502</v>
      </c>
      <c r="K1852">
        <v>2</v>
      </c>
      <c r="L1852">
        <v>13080</v>
      </c>
      <c r="M1852">
        <v>17004</v>
      </c>
      <c r="N1852" t="s">
        <v>42</v>
      </c>
      <c r="O1852">
        <f t="shared" si="56"/>
        <v>39780</v>
      </c>
      <c r="P1852" s="13">
        <f t="shared" si="57"/>
        <v>2865746</v>
      </c>
      <c r="Q1852" s="13">
        <f>SUMIFS(M:M,E:E,Online_eCommerce[[#This Row],[Status]])</f>
        <v>28340455</v>
      </c>
      <c r="R1852" s="13">
        <f>SUMIFS(L:L,H:H,Online_eCommerce[[#This Row],[Brand]])</f>
        <v>2465580</v>
      </c>
      <c r="S1852" s="13">
        <f>SUMIF(H:H,Online_eCommerce[[#This Row],[Brand]],M:M)</f>
        <v>3205254</v>
      </c>
      <c r="T1852" s="13">
        <f>SUMIF(N:N,Online_eCommerce[[#This Row],[Assigned Supervisor]],L:L)</f>
        <v>12261500</v>
      </c>
    </row>
    <row r="1853" spans="1:20" hidden="1" x14ac:dyDescent="0.3">
      <c r="A1853" t="s">
        <v>2900</v>
      </c>
      <c r="B1853" t="s">
        <v>283</v>
      </c>
      <c r="C1853" t="s">
        <v>38</v>
      </c>
      <c r="D1853" t="s">
        <v>2896</v>
      </c>
      <c r="E1853" t="s">
        <v>161</v>
      </c>
      <c r="F1853" t="s">
        <v>107</v>
      </c>
      <c r="G1853" t="s">
        <v>54</v>
      </c>
      <c r="H1853" t="s">
        <v>55</v>
      </c>
      <c r="I1853">
        <v>2680</v>
      </c>
      <c r="J1853">
        <v>3484</v>
      </c>
      <c r="K1853">
        <v>2</v>
      </c>
      <c r="L1853">
        <v>5360</v>
      </c>
      <c r="M1853">
        <v>6968</v>
      </c>
      <c r="N1853" t="s">
        <v>50</v>
      </c>
      <c r="O1853">
        <f t="shared" si="56"/>
        <v>2990</v>
      </c>
      <c r="P1853" s="13">
        <f t="shared" si="57"/>
        <v>1933997</v>
      </c>
      <c r="Q1853" s="13">
        <f>SUMIFS(M:M,E:E,Online_eCommerce[[#This Row],[Status]])</f>
        <v>21103186</v>
      </c>
      <c r="R1853" s="13">
        <f>SUMIFS(L:L,H:H,Online_eCommerce[[#This Row],[Brand]])</f>
        <v>2267380</v>
      </c>
      <c r="S1853" s="13">
        <f>SUMIF(H:H,Online_eCommerce[[#This Row],[Brand]],M:M)</f>
        <v>2947594</v>
      </c>
      <c r="T1853" s="13">
        <f>SUMIF(N:N,Online_eCommerce[[#This Row],[Assigned Supervisor]],L:L)</f>
        <v>12100590</v>
      </c>
    </row>
    <row r="1854" spans="1:20" x14ac:dyDescent="0.3">
      <c r="A1854" t="s">
        <v>2901</v>
      </c>
      <c r="B1854" t="s">
        <v>283</v>
      </c>
      <c r="C1854" t="s">
        <v>45</v>
      </c>
      <c r="D1854" t="s">
        <v>2896</v>
      </c>
      <c r="E1854" t="s">
        <v>46</v>
      </c>
      <c r="F1854" t="s">
        <v>112</v>
      </c>
      <c r="G1854" t="s">
        <v>71</v>
      </c>
      <c r="H1854" t="s">
        <v>21</v>
      </c>
      <c r="I1854">
        <v>8250</v>
      </c>
      <c r="J1854">
        <v>10725</v>
      </c>
      <c r="K1854">
        <v>4</v>
      </c>
      <c r="L1854">
        <v>33000</v>
      </c>
      <c r="M1854">
        <v>42900</v>
      </c>
      <c r="N1854" t="s">
        <v>56</v>
      </c>
      <c r="O1854">
        <f t="shared" si="56"/>
        <v>9750</v>
      </c>
      <c r="P1854" s="13">
        <f t="shared" si="57"/>
        <v>2842554</v>
      </c>
      <c r="Q1854" s="13">
        <f>SUMIFS(M:M,E:E,Online_eCommerce[[#This Row],[Status]])</f>
        <v>28620410</v>
      </c>
      <c r="R1854" s="13">
        <f>SUMIFS(L:L,H:H,Online_eCommerce[[#This Row],[Brand]])</f>
        <v>12435650</v>
      </c>
      <c r="S1854" s="13">
        <f>SUMIF(H:H,Online_eCommerce[[#This Row],[Brand]],M:M)</f>
        <v>16166345</v>
      </c>
      <c r="T1854" s="13">
        <f>SUMIF(N:N,Online_eCommerce[[#This Row],[Assigned Supervisor]],L:L)</f>
        <v>11733610</v>
      </c>
    </row>
    <row r="1855" spans="1:20" hidden="1" x14ac:dyDescent="0.3">
      <c r="A1855" t="s">
        <v>2902</v>
      </c>
      <c r="B1855" t="s">
        <v>283</v>
      </c>
      <c r="C1855" t="s">
        <v>52</v>
      </c>
      <c r="D1855" t="s">
        <v>2896</v>
      </c>
      <c r="E1855" t="s">
        <v>96</v>
      </c>
      <c r="F1855" t="s">
        <v>2442</v>
      </c>
      <c r="G1855" t="s">
        <v>40</v>
      </c>
      <c r="H1855" t="s">
        <v>21</v>
      </c>
      <c r="I1855">
        <v>2650</v>
      </c>
      <c r="J1855">
        <v>3445</v>
      </c>
      <c r="K1855">
        <v>2</v>
      </c>
      <c r="L1855">
        <v>5300</v>
      </c>
      <c r="M1855">
        <v>6890</v>
      </c>
      <c r="N1855" t="s">
        <v>22</v>
      </c>
      <c r="O1855">
        <f t="shared" si="56"/>
        <v>25545</v>
      </c>
      <c r="P1855" s="13">
        <f t="shared" si="57"/>
        <v>1955044</v>
      </c>
      <c r="Q1855" s="13">
        <f>SUMIFS(M:M,E:E,Online_eCommerce[[#This Row],[Status]])</f>
        <v>21233992</v>
      </c>
      <c r="R1855" s="13">
        <f>SUMIFS(L:L,H:H,Online_eCommerce[[#This Row],[Brand]])</f>
        <v>12435650</v>
      </c>
      <c r="S1855" s="13">
        <f>SUMIF(H:H,Online_eCommerce[[#This Row],[Brand]],M:M)</f>
        <v>16166345</v>
      </c>
      <c r="T1855" s="13">
        <f>SUMIF(N:N,Online_eCommerce[[#This Row],[Assigned Supervisor]],L:L)</f>
        <v>13693220</v>
      </c>
    </row>
    <row r="1856" spans="1:20" hidden="1" x14ac:dyDescent="0.3">
      <c r="A1856" t="s">
        <v>2903</v>
      </c>
      <c r="B1856" t="s">
        <v>283</v>
      </c>
      <c r="C1856" t="s">
        <v>58</v>
      </c>
      <c r="D1856" t="s">
        <v>2896</v>
      </c>
      <c r="E1856" t="s">
        <v>18</v>
      </c>
      <c r="F1856" t="s">
        <v>121</v>
      </c>
      <c r="G1856" t="s">
        <v>71</v>
      </c>
      <c r="H1856" t="s">
        <v>122</v>
      </c>
      <c r="I1856">
        <v>12550</v>
      </c>
      <c r="J1856">
        <v>16315</v>
      </c>
      <c r="K1856">
        <v>3</v>
      </c>
      <c r="L1856">
        <v>37650</v>
      </c>
      <c r="M1856">
        <v>48945</v>
      </c>
      <c r="N1856" t="s">
        <v>28</v>
      </c>
      <c r="O1856">
        <f t="shared" si="56"/>
        <v>9750</v>
      </c>
      <c r="P1856" s="13">
        <f t="shared" si="57"/>
        <v>2629211</v>
      </c>
      <c r="Q1856" s="13">
        <f>SUMIFS(M:M,E:E,Online_eCommerce[[#This Row],[Status]])</f>
        <v>28340455</v>
      </c>
      <c r="R1856" s="13">
        <f>SUMIFS(L:L,H:H,Online_eCommerce[[#This Row],[Brand]])</f>
        <v>5045100</v>
      </c>
      <c r="S1856" s="13">
        <f>SUMIF(H:H,Online_eCommerce[[#This Row],[Brand]],M:M)</f>
        <v>6558630</v>
      </c>
      <c r="T1856" s="13">
        <f>SUMIF(N:N,Online_eCommerce[[#This Row],[Assigned Supervisor]],L:L)</f>
        <v>12220830</v>
      </c>
    </row>
    <row r="1857" spans="1:20" hidden="1" x14ac:dyDescent="0.3">
      <c r="A1857" t="s">
        <v>2904</v>
      </c>
      <c r="B1857" t="s">
        <v>283</v>
      </c>
      <c r="C1857" t="s">
        <v>63</v>
      </c>
      <c r="D1857" t="s">
        <v>2896</v>
      </c>
      <c r="E1857" t="s">
        <v>161</v>
      </c>
      <c r="F1857" t="s">
        <v>126</v>
      </c>
      <c r="G1857" t="s">
        <v>26</v>
      </c>
      <c r="H1857" t="s">
        <v>27</v>
      </c>
      <c r="I1857">
        <v>14500</v>
      </c>
      <c r="J1857">
        <v>18850</v>
      </c>
      <c r="K1857">
        <v>2</v>
      </c>
      <c r="L1857">
        <v>29000</v>
      </c>
      <c r="M1857">
        <v>37700</v>
      </c>
      <c r="N1857" t="s">
        <v>35</v>
      </c>
      <c r="O1857">
        <f t="shared" si="56"/>
        <v>33150</v>
      </c>
      <c r="P1857" s="13">
        <f t="shared" si="57"/>
        <v>2016131</v>
      </c>
      <c r="Q1857" s="13">
        <f>SUMIFS(M:M,E:E,Online_eCommerce[[#This Row],[Status]])</f>
        <v>21103186</v>
      </c>
      <c r="R1857" s="13">
        <f>SUMIFS(L:L,H:H,Online_eCommerce[[#This Row],[Brand]])</f>
        <v>14431000</v>
      </c>
      <c r="S1857" s="13">
        <f>SUMIF(H:H,Online_eCommerce[[#This Row],[Brand]],M:M)</f>
        <v>18760300</v>
      </c>
      <c r="T1857" s="13">
        <f>SUMIF(N:N,Online_eCommerce[[#This Row],[Assigned Supervisor]],L:L)</f>
        <v>14373360</v>
      </c>
    </row>
    <row r="1858" spans="1:20" x14ac:dyDescent="0.3">
      <c r="A1858" t="s">
        <v>2905</v>
      </c>
      <c r="B1858" t="s">
        <v>283</v>
      </c>
      <c r="C1858" t="s">
        <v>68</v>
      </c>
      <c r="D1858" t="s">
        <v>2896</v>
      </c>
      <c r="E1858" t="s">
        <v>46</v>
      </c>
      <c r="F1858" t="s">
        <v>129</v>
      </c>
      <c r="G1858" t="s">
        <v>60</v>
      </c>
      <c r="H1858" t="s">
        <v>61</v>
      </c>
      <c r="I1858">
        <v>800</v>
      </c>
      <c r="J1858">
        <v>1040</v>
      </c>
      <c r="K1858">
        <v>1</v>
      </c>
      <c r="L1858">
        <v>800</v>
      </c>
      <c r="M1858">
        <v>1040</v>
      </c>
      <c r="N1858" t="s">
        <v>42</v>
      </c>
      <c r="O1858">
        <f t="shared" ref="O1858:O1921" si="58">VLOOKUP(G1858,G:M,7,FALSE)</f>
        <v>3315</v>
      </c>
      <c r="P1858" s="13">
        <f t="shared" ref="P1858:P1921" si="59">SUMIFS(M:M,C:C,C1858)</f>
        <v>2974621</v>
      </c>
      <c r="Q1858" s="13">
        <f>SUMIFS(M:M,E:E,Online_eCommerce[[#This Row],[Status]])</f>
        <v>28620410</v>
      </c>
      <c r="R1858" s="13">
        <f>SUMIFS(L:L,H:H,Online_eCommerce[[#This Row],[Brand]])</f>
        <v>10950150</v>
      </c>
      <c r="S1858" s="13">
        <f>SUMIF(H:H,Online_eCommerce[[#This Row],[Brand]],M:M)</f>
        <v>14235195</v>
      </c>
      <c r="T1858" s="13">
        <f>SUMIF(N:N,Online_eCommerce[[#This Row],[Assigned Supervisor]],L:L)</f>
        <v>12261500</v>
      </c>
    </row>
    <row r="1859" spans="1:20" hidden="1" x14ac:dyDescent="0.3">
      <c r="A1859" t="s">
        <v>2906</v>
      </c>
      <c r="B1859" t="s">
        <v>73</v>
      </c>
      <c r="C1859" t="s">
        <v>74</v>
      </c>
      <c r="D1859" t="s">
        <v>2896</v>
      </c>
      <c r="E1859" t="s">
        <v>96</v>
      </c>
      <c r="F1859" t="s">
        <v>133</v>
      </c>
      <c r="G1859" t="s">
        <v>66</v>
      </c>
      <c r="H1859" t="s">
        <v>21</v>
      </c>
      <c r="I1859">
        <v>600</v>
      </c>
      <c r="J1859">
        <v>780</v>
      </c>
      <c r="K1859">
        <v>3</v>
      </c>
      <c r="L1859">
        <v>1800</v>
      </c>
      <c r="M1859">
        <v>2340</v>
      </c>
      <c r="N1859" t="s">
        <v>50</v>
      </c>
      <c r="O1859">
        <f t="shared" si="58"/>
        <v>1690</v>
      </c>
      <c r="P1859" s="13">
        <f t="shared" si="59"/>
        <v>2144701</v>
      </c>
      <c r="Q1859" s="13">
        <f>SUMIFS(M:M,E:E,Online_eCommerce[[#This Row],[Status]])</f>
        <v>21233992</v>
      </c>
      <c r="R1859" s="13">
        <f>SUMIFS(L:L,H:H,Online_eCommerce[[#This Row],[Brand]])</f>
        <v>12435650</v>
      </c>
      <c r="S1859" s="13">
        <f>SUMIF(H:H,Online_eCommerce[[#This Row],[Brand]],M:M)</f>
        <v>16166345</v>
      </c>
      <c r="T1859" s="13">
        <f>SUMIF(N:N,Online_eCommerce[[#This Row],[Assigned Supervisor]],L:L)</f>
        <v>12100590</v>
      </c>
    </row>
    <row r="1860" spans="1:20" hidden="1" x14ac:dyDescent="0.3">
      <c r="A1860" t="s">
        <v>2907</v>
      </c>
      <c r="B1860" t="s">
        <v>80</v>
      </c>
      <c r="C1860" t="s">
        <v>81</v>
      </c>
      <c r="D1860" t="s">
        <v>2896</v>
      </c>
      <c r="E1860" t="s">
        <v>18</v>
      </c>
      <c r="F1860" t="s">
        <v>137</v>
      </c>
      <c r="G1860" t="s">
        <v>71</v>
      </c>
      <c r="H1860" t="s">
        <v>61</v>
      </c>
      <c r="I1860">
        <v>10500</v>
      </c>
      <c r="J1860">
        <v>13650</v>
      </c>
      <c r="K1860">
        <v>2</v>
      </c>
      <c r="L1860">
        <v>21000</v>
      </c>
      <c r="M1860">
        <v>27300</v>
      </c>
      <c r="N1860" t="s">
        <v>56</v>
      </c>
      <c r="O1860">
        <f t="shared" si="58"/>
        <v>9750</v>
      </c>
      <c r="P1860" s="13">
        <f t="shared" si="59"/>
        <v>2595632</v>
      </c>
      <c r="Q1860" s="13">
        <f>SUMIFS(M:M,E:E,Online_eCommerce[[#This Row],[Status]])</f>
        <v>28340455</v>
      </c>
      <c r="R1860" s="13">
        <f>SUMIFS(L:L,H:H,Online_eCommerce[[#This Row],[Brand]])</f>
        <v>10950150</v>
      </c>
      <c r="S1860" s="13">
        <f>SUMIF(H:H,Online_eCommerce[[#This Row],[Brand]],M:M)</f>
        <v>14235195</v>
      </c>
      <c r="T1860" s="13">
        <f>SUMIF(N:N,Online_eCommerce[[#This Row],[Assigned Supervisor]],L:L)</f>
        <v>11733610</v>
      </c>
    </row>
    <row r="1861" spans="1:20" hidden="1" x14ac:dyDescent="0.3">
      <c r="A1861" t="s">
        <v>2908</v>
      </c>
      <c r="B1861" t="s">
        <v>85</v>
      </c>
      <c r="C1861" t="s">
        <v>86</v>
      </c>
      <c r="D1861" t="s">
        <v>2896</v>
      </c>
      <c r="E1861" t="s">
        <v>161</v>
      </c>
      <c r="F1861" t="s">
        <v>2878</v>
      </c>
      <c r="G1861" t="s">
        <v>77</v>
      </c>
      <c r="H1861" t="s">
        <v>142</v>
      </c>
      <c r="I1861">
        <v>6500</v>
      </c>
      <c r="J1861">
        <v>8450</v>
      </c>
      <c r="K1861">
        <v>1</v>
      </c>
      <c r="L1861">
        <v>6500</v>
      </c>
      <c r="M1861">
        <v>8450</v>
      </c>
      <c r="N1861" t="s">
        <v>22</v>
      </c>
      <c r="O1861">
        <f t="shared" si="58"/>
        <v>39000</v>
      </c>
      <c r="P1861" s="13">
        <f t="shared" si="59"/>
        <v>1941225</v>
      </c>
      <c r="Q1861" s="13">
        <f>SUMIFS(M:M,E:E,Online_eCommerce[[#This Row],[Status]])</f>
        <v>21103186</v>
      </c>
      <c r="R1861" s="13">
        <f>SUMIFS(L:L,H:H,Online_eCommerce[[#This Row],[Brand]])</f>
        <v>6192500</v>
      </c>
      <c r="S1861" s="13">
        <f>SUMIF(H:H,Online_eCommerce[[#This Row],[Brand]],M:M)</f>
        <v>8050250</v>
      </c>
      <c r="T1861" s="13">
        <f>SUMIF(N:N,Online_eCommerce[[#This Row],[Assigned Supervisor]],L:L)</f>
        <v>13693220</v>
      </c>
    </row>
    <row r="1862" spans="1:20" x14ac:dyDescent="0.3">
      <c r="A1862" t="s">
        <v>2909</v>
      </c>
      <c r="B1862" t="s">
        <v>90</v>
      </c>
      <c r="C1862" t="s">
        <v>91</v>
      </c>
      <c r="D1862" t="s">
        <v>2896</v>
      </c>
      <c r="E1862" t="s">
        <v>46</v>
      </c>
      <c r="F1862" t="s">
        <v>2910</v>
      </c>
      <c r="G1862" t="s">
        <v>20</v>
      </c>
      <c r="H1862" t="s">
        <v>21</v>
      </c>
      <c r="I1862">
        <v>4500</v>
      </c>
      <c r="J1862">
        <v>5850</v>
      </c>
      <c r="K1862">
        <v>4</v>
      </c>
      <c r="L1862">
        <v>18000</v>
      </c>
      <c r="M1862">
        <v>23400</v>
      </c>
      <c r="N1862" t="s">
        <v>28</v>
      </c>
      <c r="O1862">
        <f t="shared" si="58"/>
        <v>8450</v>
      </c>
      <c r="P1862" s="13">
        <f t="shared" si="59"/>
        <v>2731963</v>
      </c>
      <c r="Q1862" s="13">
        <f>SUMIFS(M:M,E:E,Online_eCommerce[[#This Row],[Status]])</f>
        <v>28620410</v>
      </c>
      <c r="R1862" s="13">
        <f>SUMIFS(L:L,H:H,Online_eCommerce[[#This Row],[Brand]])</f>
        <v>12435650</v>
      </c>
      <c r="S1862" s="13">
        <f>SUMIF(H:H,Online_eCommerce[[#This Row],[Brand]],M:M)</f>
        <v>16166345</v>
      </c>
      <c r="T1862" s="13">
        <f>SUMIF(N:N,Online_eCommerce[[#This Row],[Assigned Supervisor]],L:L)</f>
        <v>12220830</v>
      </c>
    </row>
    <row r="1863" spans="1:20" hidden="1" x14ac:dyDescent="0.3">
      <c r="A1863" t="s">
        <v>2911</v>
      </c>
      <c r="B1863" t="s">
        <v>232</v>
      </c>
      <c r="C1863" t="s">
        <v>94</v>
      </c>
      <c r="D1863" t="s">
        <v>2896</v>
      </c>
      <c r="E1863" t="s">
        <v>96</v>
      </c>
      <c r="F1863" t="s">
        <v>152</v>
      </c>
      <c r="G1863" t="s">
        <v>26</v>
      </c>
      <c r="H1863" t="s">
        <v>27</v>
      </c>
      <c r="I1863">
        <v>8500</v>
      </c>
      <c r="J1863">
        <v>11050</v>
      </c>
      <c r="K1863">
        <v>2</v>
      </c>
      <c r="L1863">
        <v>17000</v>
      </c>
      <c r="M1863">
        <v>22100</v>
      </c>
      <c r="N1863" t="s">
        <v>35</v>
      </c>
      <c r="O1863">
        <f t="shared" si="58"/>
        <v>33150</v>
      </c>
      <c r="P1863" s="13">
        <f t="shared" si="59"/>
        <v>1868256</v>
      </c>
      <c r="Q1863" s="13">
        <f>SUMIFS(M:M,E:E,Online_eCommerce[[#This Row],[Status]])</f>
        <v>21233992</v>
      </c>
      <c r="R1863" s="13">
        <f>SUMIFS(L:L,H:H,Online_eCommerce[[#This Row],[Brand]])</f>
        <v>14431000</v>
      </c>
      <c r="S1863" s="13">
        <f>SUMIF(H:H,Online_eCommerce[[#This Row],[Brand]],M:M)</f>
        <v>18760300</v>
      </c>
      <c r="T1863" s="13">
        <f>SUMIF(N:N,Online_eCommerce[[#This Row],[Assigned Supervisor]],L:L)</f>
        <v>14373360</v>
      </c>
    </row>
    <row r="1864" spans="1:20" hidden="1" x14ac:dyDescent="0.3">
      <c r="A1864" t="s">
        <v>2912</v>
      </c>
      <c r="B1864" t="s">
        <v>235</v>
      </c>
      <c r="C1864" t="s">
        <v>99</v>
      </c>
      <c r="D1864" t="s">
        <v>2896</v>
      </c>
      <c r="E1864" t="s">
        <v>18</v>
      </c>
      <c r="F1864" t="s">
        <v>157</v>
      </c>
      <c r="G1864" t="s">
        <v>33</v>
      </c>
      <c r="H1864" t="s">
        <v>34</v>
      </c>
      <c r="I1864">
        <v>12500</v>
      </c>
      <c r="J1864">
        <v>16250</v>
      </c>
      <c r="K1864">
        <v>3</v>
      </c>
      <c r="L1864">
        <v>37500</v>
      </c>
      <c r="M1864">
        <v>48750</v>
      </c>
      <c r="N1864" t="s">
        <v>42</v>
      </c>
      <c r="O1864">
        <f t="shared" si="58"/>
        <v>18200</v>
      </c>
      <c r="P1864" s="13">
        <f t="shared" si="59"/>
        <v>2651233</v>
      </c>
      <c r="Q1864" s="13">
        <f>SUMIFS(M:M,E:E,Online_eCommerce[[#This Row],[Status]])</f>
        <v>28340455</v>
      </c>
      <c r="R1864" s="13">
        <f>SUMIFS(L:L,H:H,Online_eCommerce[[#This Row],[Brand]])</f>
        <v>10087000</v>
      </c>
      <c r="S1864" s="13">
        <f>SUMIF(H:H,Online_eCommerce[[#This Row],[Brand]],M:M)</f>
        <v>13113100</v>
      </c>
      <c r="T1864" s="13">
        <f>SUMIF(N:N,Online_eCommerce[[#This Row],[Assigned Supervisor]],L:L)</f>
        <v>12261500</v>
      </c>
    </row>
    <row r="1865" spans="1:20" hidden="1" x14ac:dyDescent="0.3">
      <c r="A1865" t="s">
        <v>2913</v>
      </c>
      <c r="B1865" t="s">
        <v>104</v>
      </c>
      <c r="C1865" t="s">
        <v>105</v>
      </c>
      <c r="D1865" t="s">
        <v>2896</v>
      </c>
      <c r="E1865" t="s">
        <v>161</v>
      </c>
      <c r="F1865" t="s">
        <v>2496</v>
      </c>
      <c r="G1865" t="s">
        <v>163</v>
      </c>
      <c r="H1865" t="s">
        <v>41</v>
      </c>
      <c r="I1865">
        <v>3500</v>
      </c>
      <c r="J1865">
        <v>4550</v>
      </c>
      <c r="K1865">
        <v>3</v>
      </c>
      <c r="L1865">
        <v>10500</v>
      </c>
      <c r="M1865">
        <v>13650</v>
      </c>
      <c r="N1865" t="s">
        <v>50</v>
      </c>
      <c r="O1865">
        <f t="shared" si="58"/>
        <v>13650</v>
      </c>
      <c r="P1865" s="13">
        <f t="shared" si="59"/>
        <v>1866852</v>
      </c>
      <c r="Q1865" s="13">
        <f>SUMIFS(M:M,E:E,Online_eCommerce[[#This Row],[Status]])</f>
        <v>21103186</v>
      </c>
      <c r="R1865" s="13">
        <f>SUMIFS(L:L,H:H,Online_eCommerce[[#This Row],[Brand]])</f>
        <v>4260400</v>
      </c>
      <c r="S1865" s="13">
        <f>SUMIF(H:H,Online_eCommerce[[#This Row],[Brand]],M:M)</f>
        <v>5538520</v>
      </c>
      <c r="T1865" s="13">
        <f>SUMIF(N:N,Online_eCommerce[[#This Row],[Assigned Supervisor]],L:L)</f>
        <v>12100590</v>
      </c>
    </row>
    <row r="1866" spans="1:20" x14ac:dyDescent="0.3">
      <c r="A1866" t="s">
        <v>2914</v>
      </c>
      <c r="B1866" t="s">
        <v>109</v>
      </c>
      <c r="C1866" t="s">
        <v>110</v>
      </c>
      <c r="D1866" t="s">
        <v>2896</v>
      </c>
      <c r="E1866" t="s">
        <v>46</v>
      </c>
      <c r="F1866" t="s">
        <v>166</v>
      </c>
      <c r="G1866" t="s">
        <v>66</v>
      </c>
      <c r="H1866" t="s">
        <v>49</v>
      </c>
      <c r="I1866">
        <v>4500</v>
      </c>
      <c r="J1866">
        <v>5850</v>
      </c>
      <c r="K1866">
        <v>3</v>
      </c>
      <c r="L1866">
        <v>13500</v>
      </c>
      <c r="M1866">
        <v>17550</v>
      </c>
      <c r="N1866" t="s">
        <v>56</v>
      </c>
      <c r="O1866">
        <f t="shared" si="58"/>
        <v>1690</v>
      </c>
      <c r="P1866" s="13">
        <f t="shared" si="59"/>
        <v>2598635</v>
      </c>
      <c r="Q1866" s="13">
        <f>SUMIFS(M:M,E:E,Online_eCommerce[[#This Row],[Status]])</f>
        <v>28620410</v>
      </c>
      <c r="R1866" s="13">
        <f>SUMIFS(L:L,H:H,Online_eCommerce[[#This Row],[Brand]])</f>
        <v>4528350</v>
      </c>
      <c r="S1866" s="13">
        <f>SUMIF(H:H,Online_eCommerce[[#This Row],[Brand]],M:M)</f>
        <v>5886855</v>
      </c>
      <c r="T1866" s="13">
        <f>SUMIF(N:N,Online_eCommerce[[#This Row],[Assigned Supervisor]],L:L)</f>
        <v>11733610</v>
      </c>
    </row>
    <row r="1867" spans="1:20" hidden="1" x14ac:dyDescent="0.3">
      <c r="A1867" t="s">
        <v>2915</v>
      </c>
      <c r="B1867" t="s">
        <v>114</v>
      </c>
      <c r="C1867" t="s">
        <v>115</v>
      </c>
      <c r="D1867" t="s">
        <v>2896</v>
      </c>
      <c r="E1867" t="s">
        <v>96</v>
      </c>
      <c r="F1867" t="s">
        <v>2916</v>
      </c>
      <c r="G1867" t="s">
        <v>54</v>
      </c>
      <c r="H1867" t="s">
        <v>55</v>
      </c>
      <c r="I1867">
        <v>2100</v>
      </c>
      <c r="J1867">
        <v>2730</v>
      </c>
      <c r="K1867">
        <v>4</v>
      </c>
      <c r="L1867">
        <v>8400</v>
      </c>
      <c r="M1867">
        <v>10920</v>
      </c>
      <c r="N1867" t="s">
        <v>22</v>
      </c>
      <c r="O1867">
        <f t="shared" si="58"/>
        <v>2990</v>
      </c>
      <c r="P1867" s="13">
        <f t="shared" si="59"/>
        <v>2050178</v>
      </c>
      <c r="Q1867" s="13">
        <f>SUMIFS(M:M,E:E,Online_eCommerce[[#This Row],[Status]])</f>
        <v>21233992</v>
      </c>
      <c r="R1867" s="13">
        <f>SUMIFS(L:L,H:H,Online_eCommerce[[#This Row],[Brand]])</f>
        <v>2267380</v>
      </c>
      <c r="S1867" s="13">
        <f>SUMIF(H:H,Online_eCommerce[[#This Row],[Brand]],M:M)</f>
        <v>2947594</v>
      </c>
      <c r="T1867" s="13">
        <f>SUMIF(N:N,Online_eCommerce[[#This Row],[Assigned Supervisor]],L:L)</f>
        <v>13693220</v>
      </c>
    </row>
    <row r="1868" spans="1:20" hidden="1" x14ac:dyDescent="0.3">
      <c r="A1868" t="s">
        <v>2917</v>
      </c>
      <c r="B1868" t="s">
        <v>283</v>
      </c>
      <c r="C1868" t="s">
        <v>120</v>
      </c>
      <c r="D1868" t="s">
        <v>2896</v>
      </c>
      <c r="E1868" t="s">
        <v>18</v>
      </c>
      <c r="F1868" t="s">
        <v>174</v>
      </c>
      <c r="G1868" t="s">
        <v>60</v>
      </c>
      <c r="H1868" t="s">
        <v>61</v>
      </c>
      <c r="I1868">
        <v>1150</v>
      </c>
      <c r="J1868">
        <v>1495</v>
      </c>
      <c r="K1868">
        <v>1</v>
      </c>
      <c r="L1868">
        <v>1150</v>
      </c>
      <c r="M1868">
        <v>1495</v>
      </c>
      <c r="N1868" t="s">
        <v>28</v>
      </c>
      <c r="O1868">
        <f t="shared" si="58"/>
        <v>3315</v>
      </c>
      <c r="P1868" s="13">
        <f t="shared" si="59"/>
        <v>2734212</v>
      </c>
      <c r="Q1868" s="13">
        <f>SUMIFS(M:M,E:E,Online_eCommerce[[#This Row],[Status]])</f>
        <v>28340455</v>
      </c>
      <c r="R1868" s="13">
        <f>SUMIFS(L:L,H:H,Online_eCommerce[[#This Row],[Brand]])</f>
        <v>10950150</v>
      </c>
      <c r="S1868" s="13">
        <f>SUMIF(H:H,Online_eCommerce[[#This Row],[Brand]],M:M)</f>
        <v>14235195</v>
      </c>
      <c r="T1868" s="13">
        <f>SUMIF(N:N,Online_eCommerce[[#This Row],[Assigned Supervisor]],L:L)</f>
        <v>12220830</v>
      </c>
    </row>
    <row r="1869" spans="1:20" hidden="1" x14ac:dyDescent="0.3">
      <c r="A1869" t="s">
        <v>2918</v>
      </c>
      <c r="B1869" t="s">
        <v>283</v>
      </c>
      <c r="C1869" t="s">
        <v>125</v>
      </c>
      <c r="D1869" t="s">
        <v>2896</v>
      </c>
      <c r="E1869" t="s">
        <v>161</v>
      </c>
      <c r="F1869" t="s">
        <v>179</v>
      </c>
      <c r="G1869" t="s">
        <v>66</v>
      </c>
      <c r="H1869" t="s">
        <v>21</v>
      </c>
      <c r="I1869">
        <v>350</v>
      </c>
      <c r="J1869">
        <v>455</v>
      </c>
      <c r="K1869">
        <v>1</v>
      </c>
      <c r="L1869">
        <v>350</v>
      </c>
      <c r="M1869">
        <v>455</v>
      </c>
      <c r="N1869" t="s">
        <v>35</v>
      </c>
      <c r="O1869">
        <f t="shared" si="58"/>
        <v>1690</v>
      </c>
      <c r="P1869" s="13">
        <f t="shared" si="59"/>
        <v>2091154</v>
      </c>
      <c r="Q1869" s="13">
        <f>SUMIFS(M:M,E:E,Online_eCommerce[[#This Row],[Status]])</f>
        <v>21103186</v>
      </c>
      <c r="R1869" s="13">
        <f>SUMIFS(L:L,H:H,Online_eCommerce[[#This Row],[Brand]])</f>
        <v>12435650</v>
      </c>
      <c r="S1869" s="13">
        <f>SUMIF(H:H,Online_eCommerce[[#This Row],[Brand]],M:M)</f>
        <v>16166345</v>
      </c>
      <c r="T1869" s="13">
        <f>SUMIF(N:N,Online_eCommerce[[#This Row],[Assigned Supervisor]],L:L)</f>
        <v>14373360</v>
      </c>
    </row>
    <row r="1870" spans="1:20" x14ac:dyDescent="0.3">
      <c r="A1870" t="s">
        <v>2919</v>
      </c>
      <c r="B1870" t="s">
        <v>283</v>
      </c>
      <c r="C1870" t="s">
        <v>22</v>
      </c>
      <c r="D1870" t="s">
        <v>2896</v>
      </c>
      <c r="E1870" t="s">
        <v>46</v>
      </c>
      <c r="F1870" t="s">
        <v>183</v>
      </c>
      <c r="G1870" t="s">
        <v>71</v>
      </c>
      <c r="H1870" t="s">
        <v>61</v>
      </c>
      <c r="I1870">
        <v>9500</v>
      </c>
      <c r="J1870">
        <v>12350</v>
      </c>
      <c r="K1870">
        <v>4</v>
      </c>
      <c r="L1870">
        <v>38000</v>
      </c>
      <c r="M1870">
        <v>49400</v>
      </c>
      <c r="N1870" t="s">
        <v>42</v>
      </c>
      <c r="O1870">
        <f t="shared" si="58"/>
        <v>9750</v>
      </c>
      <c r="P1870" s="13">
        <f t="shared" si="59"/>
        <v>2551588</v>
      </c>
      <c r="Q1870" s="13">
        <f>SUMIFS(M:M,E:E,Online_eCommerce[[#This Row],[Status]])</f>
        <v>28620410</v>
      </c>
      <c r="R1870" s="13">
        <f>SUMIFS(L:L,H:H,Online_eCommerce[[#This Row],[Brand]])</f>
        <v>10950150</v>
      </c>
      <c r="S1870" s="13">
        <f>SUMIF(H:H,Online_eCommerce[[#This Row],[Brand]],M:M)</f>
        <v>14235195</v>
      </c>
      <c r="T1870" s="13">
        <f>SUMIF(N:N,Online_eCommerce[[#This Row],[Assigned Supervisor]],L:L)</f>
        <v>12261500</v>
      </c>
    </row>
    <row r="1871" spans="1:20" hidden="1" x14ac:dyDescent="0.3">
      <c r="A1871" t="s">
        <v>2920</v>
      </c>
      <c r="B1871" t="s">
        <v>283</v>
      </c>
      <c r="C1871" t="s">
        <v>132</v>
      </c>
      <c r="D1871" t="s">
        <v>2896</v>
      </c>
      <c r="E1871" t="s">
        <v>96</v>
      </c>
      <c r="F1871" t="s">
        <v>2921</v>
      </c>
      <c r="G1871" t="s">
        <v>77</v>
      </c>
      <c r="H1871" t="s">
        <v>142</v>
      </c>
      <c r="I1871">
        <v>10000</v>
      </c>
      <c r="J1871">
        <v>13000</v>
      </c>
      <c r="K1871">
        <v>1</v>
      </c>
      <c r="L1871">
        <v>10000</v>
      </c>
      <c r="M1871">
        <v>13000</v>
      </c>
      <c r="N1871" t="s">
        <v>50</v>
      </c>
      <c r="O1871">
        <f t="shared" si="58"/>
        <v>39000</v>
      </c>
      <c r="P1871" s="13">
        <f t="shared" si="59"/>
        <v>1989065</v>
      </c>
      <c r="Q1871" s="13">
        <f>SUMIFS(M:M,E:E,Online_eCommerce[[#This Row],[Status]])</f>
        <v>21233992</v>
      </c>
      <c r="R1871" s="13">
        <f>SUMIFS(L:L,H:H,Online_eCommerce[[#This Row],[Brand]])</f>
        <v>6192500</v>
      </c>
      <c r="S1871" s="13">
        <f>SUMIF(H:H,Online_eCommerce[[#This Row],[Brand]],M:M)</f>
        <v>8050250</v>
      </c>
      <c r="T1871" s="13">
        <f>SUMIF(N:N,Online_eCommerce[[#This Row],[Assigned Supervisor]],L:L)</f>
        <v>12100590</v>
      </c>
    </row>
    <row r="1872" spans="1:20" hidden="1" x14ac:dyDescent="0.3">
      <c r="A1872" t="s">
        <v>2922</v>
      </c>
      <c r="B1872" t="s">
        <v>283</v>
      </c>
      <c r="C1872" t="s">
        <v>136</v>
      </c>
      <c r="D1872" t="s">
        <v>2896</v>
      </c>
      <c r="E1872" t="s">
        <v>18</v>
      </c>
      <c r="F1872" t="s">
        <v>2923</v>
      </c>
      <c r="G1872" t="s">
        <v>20</v>
      </c>
      <c r="H1872" t="s">
        <v>21</v>
      </c>
      <c r="I1872">
        <v>6500</v>
      </c>
      <c r="J1872">
        <v>8450</v>
      </c>
      <c r="K1872">
        <v>4</v>
      </c>
      <c r="L1872">
        <v>26000</v>
      </c>
      <c r="M1872">
        <v>33800</v>
      </c>
      <c r="N1872" t="s">
        <v>56</v>
      </c>
      <c r="O1872">
        <f t="shared" si="58"/>
        <v>8450</v>
      </c>
      <c r="P1872" s="13">
        <f t="shared" si="59"/>
        <v>2775162</v>
      </c>
      <c r="Q1872" s="13">
        <f>SUMIFS(M:M,E:E,Online_eCommerce[[#This Row],[Status]])</f>
        <v>28340455</v>
      </c>
      <c r="R1872" s="13">
        <f>SUMIFS(L:L,H:H,Online_eCommerce[[#This Row],[Brand]])</f>
        <v>12435650</v>
      </c>
      <c r="S1872" s="13">
        <f>SUMIF(H:H,Online_eCommerce[[#This Row],[Brand]],M:M)</f>
        <v>16166345</v>
      </c>
      <c r="T1872" s="13">
        <f>SUMIF(N:N,Online_eCommerce[[#This Row],[Assigned Supervisor]],L:L)</f>
        <v>11733610</v>
      </c>
    </row>
    <row r="1873" spans="1:20" hidden="1" x14ac:dyDescent="0.3">
      <c r="A1873" t="s">
        <v>2924</v>
      </c>
      <c r="B1873" t="s">
        <v>283</v>
      </c>
      <c r="C1873" t="s">
        <v>140</v>
      </c>
      <c r="D1873" t="s">
        <v>2896</v>
      </c>
      <c r="E1873" t="s">
        <v>161</v>
      </c>
      <c r="F1873" t="s">
        <v>2925</v>
      </c>
      <c r="G1873" t="s">
        <v>26</v>
      </c>
      <c r="H1873" t="s">
        <v>27</v>
      </c>
      <c r="I1873">
        <v>8500</v>
      </c>
      <c r="J1873">
        <v>11050</v>
      </c>
      <c r="K1873">
        <v>1</v>
      </c>
      <c r="L1873">
        <v>8500</v>
      </c>
      <c r="M1873">
        <v>11050</v>
      </c>
      <c r="N1873" t="s">
        <v>22</v>
      </c>
      <c r="O1873">
        <f t="shared" si="58"/>
        <v>33150</v>
      </c>
      <c r="P1873" s="13">
        <f t="shared" si="59"/>
        <v>2058264</v>
      </c>
      <c r="Q1873" s="13">
        <f>SUMIFS(M:M,E:E,Online_eCommerce[[#This Row],[Status]])</f>
        <v>21103186</v>
      </c>
      <c r="R1873" s="13">
        <f>SUMIFS(L:L,H:H,Online_eCommerce[[#This Row],[Brand]])</f>
        <v>14431000</v>
      </c>
      <c r="S1873" s="13">
        <f>SUMIF(H:H,Online_eCommerce[[#This Row],[Brand]],M:M)</f>
        <v>18760300</v>
      </c>
      <c r="T1873" s="13">
        <f>SUMIF(N:N,Online_eCommerce[[#This Row],[Assigned Supervisor]],L:L)</f>
        <v>13693220</v>
      </c>
    </row>
    <row r="1874" spans="1:20" x14ac:dyDescent="0.3">
      <c r="A1874" t="s">
        <v>2926</v>
      </c>
      <c r="B1874" t="s">
        <v>283</v>
      </c>
      <c r="C1874" t="s">
        <v>145</v>
      </c>
      <c r="D1874" t="s">
        <v>2896</v>
      </c>
      <c r="E1874" t="s">
        <v>46</v>
      </c>
      <c r="F1874" t="s">
        <v>32</v>
      </c>
      <c r="G1874" t="s">
        <v>33</v>
      </c>
      <c r="H1874" t="s">
        <v>34</v>
      </c>
      <c r="I1874">
        <v>7000</v>
      </c>
      <c r="J1874">
        <v>9100</v>
      </c>
      <c r="K1874">
        <v>4</v>
      </c>
      <c r="L1874">
        <v>28000</v>
      </c>
      <c r="M1874">
        <v>36400</v>
      </c>
      <c r="N1874" t="s">
        <v>28</v>
      </c>
      <c r="O1874">
        <f t="shared" si="58"/>
        <v>18200</v>
      </c>
      <c r="P1874" s="13">
        <f t="shared" si="59"/>
        <v>2757859</v>
      </c>
      <c r="Q1874" s="13">
        <f>SUMIFS(M:M,E:E,Online_eCommerce[[#This Row],[Status]])</f>
        <v>28620410</v>
      </c>
      <c r="R1874" s="13">
        <f>SUMIFS(L:L,H:H,Online_eCommerce[[#This Row],[Brand]])</f>
        <v>10087000</v>
      </c>
      <c r="S1874" s="13">
        <f>SUMIF(H:H,Online_eCommerce[[#This Row],[Brand]],M:M)</f>
        <v>13113100</v>
      </c>
      <c r="T1874" s="13">
        <f>SUMIF(N:N,Online_eCommerce[[#This Row],[Assigned Supervisor]],L:L)</f>
        <v>12220830</v>
      </c>
    </row>
    <row r="1875" spans="1:20" hidden="1" x14ac:dyDescent="0.3">
      <c r="A1875" t="s">
        <v>2927</v>
      </c>
      <c r="B1875" t="s">
        <v>283</v>
      </c>
      <c r="C1875" t="s">
        <v>150</v>
      </c>
      <c r="D1875" t="s">
        <v>2896</v>
      </c>
      <c r="E1875" t="s">
        <v>96</v>
      </c>
      <c r="F1875" t="s">
        <v>2928</v>
      </c>
      <c r="G1875" t="s">
        <v>163</v>
      </c>
      <c r="H1875" t="s">
        <v>41</v>
      </c>
      <c r="I1875">
        <v>6550</v>
      </c>
      <c r="J1875">
        <v>8515</v>
      </c>
      <c r="K1875">
        <v>3</v>
      </c>
      <c r="L1875">
        <v>19650</v>
      </c>
      <c r="M1875">
        <v>25545</v>
      </c>
      <c r="N1875" t="s">
        <v>35</v>
      </c>
      <c r="O1875">
        <f t="shared" si="58"/>
        <v>13650</v>
      </c>
      <c r="P1875" s="13">
        <f t="shared" si="59"/>
        <v>2154984</v>
      </c>
      <c r="Q1875" s="13">
        <f>SUMIFS(M:M,E:E,Online_eCommerce[[#This Row],[Status]])</f>
        <v>21233992</v>
      </c>
      <c r="R1875" s="13">
        <f>SUMIFS(L:L,H:H,Online_eCommerce[[#This Row],[Brand]])</f>
        <v>4260400</v>
      </c>
      <c r="S1875" s="13">
        <f>SUMIF(H:H,Online_eCommerce[[#This Row],[Brand]],M:M)</f>
        <v>5538520</v>
      </c>
      <c r="T1875" s="13">
        <f>SUMIF(N:N,Online_eCommerce[[#This Row],[Assigned Supervisor]],L:L)</f>
        <v>14373360</v>
      </c>
    </row>
    <row r="1876" spans="1:20" hidden="1" x14ac:dyDescent="0.3">
      <c r="A1876" t="s">
        <v>2929</v>
      </c>
      <c r="B1876" t="s">
        <v>283</v>
      </c>
      <c r="C1876" t="s">
        <v>155</v>
      </c>
      <c r="D1876" t="s">
        <v>2896</v>
      </c>
      <c r="E1876" t="s">
        <v>18</v>
      </c>
      <c r="F1876" t="s">
        <v>47</v>
      </c>
      <c r="G1876" t="s">
        <v>66</v>
      </c>
      <c r="H1876" t="s">
        <v>49</v>
      </c>
      <c r="I1876">
        <v>7650</v>
      </c>
      <c r="J1876">
        <v>9945</v>
      </c>
      <c r="K1876">
        <v>4</v>
      </c>
      <c r="L1876">
        <v>30600</v>
      </c>
      <c r="M1876">
        <v>39780</v>
      </c>
      <c r="N1876" t="s">
        <v>42</v>
      </c>
      <c r="O1876">
        <f t="shared" si="58"/>
        <v>1690</v>
      </c>
      <c r="P1876" s="13">
        <f t="shared" si="59"/>
        <v>2753348</v>
      </c>
      <c r="Q1876" s="13">
        <f>SUMIFS(M:M,E:E,Online_eCommerce[[#This Row],[Status]])</f>
        <v>28340455</v>
      </c>
      <c r="R1876" s="13">
        <f>SUMIFS(L:L,H:H,Online_eCommerce[[#This Row],[Brand]])</f>
        <v>4528350</v>
      </c>
      <c r="S1876" s="13">
        <f>SUMIF(H:H,Online_eCommerce[[#This Row],[Brand]],M:M)</f>
        <v>5886855</v>
      </c>
      <c r="T1876" s="13">
        <f>SUMIF(N:N,Online_eCommerce[[#This Row],[Assigned Supervisor]],L:L)</f>
        <v>12261500</v>
      </c>
    </row>
    <row r="1877" spans="1:20" hidden="1" x14ac:dyDescent="0.3">
      <c r="A1877" t="s">
        <v>2930</v>
      </c>
      <c r="B1877" t="s">
        <v>283</v>
      </c>
      <c r="C1877" t="s">
        <v>160</v>
      </c>
      <c r="D1877" t="s">
        <v>2896</v>
      </c>
      <c r="E1877" t="s">
        <v>161</v>
      </c>
      <c r="F1877" t="s">
        <v>53</v>
      </c>
      <c r="G1877" t="s">
        <v>54</v>
      </c>
      <c r="H1877" t="s">
        <v>55</v>
      </c>
      <c r="I1877">
        <v>1150</v>
      </c>
      <c r="J1877">
        <v>1495</v>
      </c>
      <c r="K1877">
        <v>3</v>
      </c>
      <c r="L1877">
        <v>3450</v>
      </c>
      <c r="M1877">
        <v>4485</v>
      </c>
      <c r="N1877" t="s">
        <v>50</v>
      </c>
      <c r="O1877">
        <f t="shared" si="58"/>
        <v>2990</v>
      </c>
      <c r="P1877" s="13">
        <f t="shared" si="59"/>
        <v>2303483</v>
      </c>
      <c r="Q1877" s="13">
        <f>SUMIFS(M:M,E:E,Online_eCommerce[[#This Row],[Status]])</f>
        <v>21103186</v>
      </c>
      <c r="R1877" s="13">
        <f>SUMIFS(L:L,H:H,Online_eCommerce[[#This Row],[Brand]])</f>
        <v>2267380</v>
      </c>
      <c r="S1877" s="13">
        <f>SUMIF(H:H,Online_eCommerce[[#This Row],[Brand]],M:M)</f>
        <v>2947594</v>
      </c>
      <c r="T1877" s="13">
        <f>SUMIF(N:N,Online_eCommerce[[#This Row],[Assigned Supervisor]],L:L)</f>
        <v>12100590</v>
      </c>
    </row>
    <row r="1878" spans="1:20" x14ac:dyDescent="0.3">
      <c r="A1878" t="s">
        <v>2931</v>
      </c>
      <c r="B1878" t="s">
        <v>283</v>
      </c>
      <c r="C1878" t="s">
        <v>165</v>
      </c>
      <c r="D1878" t="s">
        <v>2896</v>
      </c>
      <c r="E1878" t="s">
        <v>46</v>
      </c>
      <c r="F1878" t="s">
        <v>59</v>
      </c>
      <c r="G1878" t="s">
        <v>60</v>
      </c>
      <c r="H1878" t="s">
        <v>61</v>
      </c>
      <c r="I1878">
        <v>850</v>
      </c>
      <c r="J1878">
        <v>1105</v>
      </c>
      <c r="K1878">
        <v>2</v>
      </c>
      <c r="L1878">
        <v>1700</v>
      </c>
      <c r="M1878">
        <v>2210</v>
      </c>
      <c r="N1878" t="s">
        <v>56</v>
      </c>
      <c r="O1878">
        <f t="shared" si="58"/>
        <v>3315</v>
      </c>
      <c r="P1878" s="13">
        <f t="shared" si="59"/>
        <v>2674087</v>
      </c>
      <c r="Q1878" s="13">
        <f>SUMIFS(M:M,E:E,Online_eCommerce[[#This Row],[Status]])</f>
        <v>28620410</v>
      </c>
      <c r="R1878" s="13">
        <f>SUMIFS(L:L,H:H,Online_eCommerce[[#This Row],[Brand]])</f>
        <v>10950150</v>
      </c>
      <c r="S1878" s="13">
        <f>SUMIF(H:H,Online_eCommerce[[#This Row],[Brand]],M:M)</f>
        <v>14235195</v>
      </c>
      <c r="T1878" s="13">
        <f>SUMIF(N:N,Online_eCommerce[[#This Row],[Assigned Supervisor]],L:L)</f>
        <v>11733610</v>
      </c>
    </row>
    <row r="1879" spans="1:20" hidden="1" x14ac:dyDescent="0.3">
      <c r="A1879" t="s">
        <v>2932</v>
      </c>
      <c r="B1879" t="s">
        <v>144</v>
      </c>
      <c r="C1879" t="s">
        <v>168</v>
      </c>
      <c r="D1879" t="s">
        <v>2896</v>
      </c>
      <c r="E1879" t="s">
        <v>96</v>
      </c>
      <c r="F1879" t="s">
        <v>65</v>
      </c>
      <c r="G1879" t="s">
        <v>66</v>
      </c>
      <c r="H1879" t="s">
        <v>21</v>
      </c>
      <c r="I1879">
        <v>650</v>
      </c>
      <c r="J1879">
        <v>845</v>
      </c>
      <c r="K1879">
        <v>4</v>
      </c>
      <c r="L1879">
        <v>2600</v>
      </c>
      <c r="M1879">
        <v>3380</v>
      </c>
      <c r="N1879" t="s">
        <v>22</v>
      </c>
      <c r="O1879">
        <f t="shared" si="58"/>
        <v>1690</v>
      </c>
      <c r="P1879" s="13">
        <f t="shared" si="59"/>
        <v>1937780</v>
      </c>
      <c r="Q1879" s="13">
        <f>SUMIFS(M:M,E:E,Online_eCommerce[[#This Row],[Status]])</f>
        <v>21233992</v>
      </c>
      <c r="R1879" s="13">
        <f>SUMIFS(L:L,H:H,Online_eCommerce[[#This Row],[Brand]])</f>
        <v>12435650</v>
      </c>
      <c r="S1879" s="13">
        <f>SUMIF(H:H,Online_eCommerce[[#This Row],[Brand]],M:M)</f>
        <v>16166345</v>
      </c>
      <c r="T1879" s="13">
        <f>SUMIF(N:N,Online_eCommerce[[#This Row],[Assigned Supervisor]],L:L)</f>
        <v>13693220</v>
      </c>
    </row>
    <row r="1880" spans="1:20" hidden="1" x14ac:dyDescent="0.3">
      <c r="A1880" t="s">
        <v>2933</v>
      </c>
      <c r="B1880" t="s">
        <v>171</v>
      </c>
      <c r="C1880" t="s">
        <v>172</v>
      </c>
      <c r="D1880" t="s">
        <v>2896</v>
      </c>
      <c r="E1880" t="s">
        <v>18</v>
      </c>
      <c r="F1880" t="s">
        <v>70</v>
      </c>
      <c r="G1880" t="s">
        <v>71</v>
      </c>
      <c r="H1880" t="s">
        <v>61</v>
      </c>
      <c r="I1880">
        <v>7500</v>
      </c>
      <c r="J1880">
        <v>9750</v>
      </c>
      <c r="K1880">
        <v>2</v>
      </c>
      <c r="L1880">
        <v>15000</v>
      </c>
      <c r="M1880">
        <v>19500</v>
      </c>
      <c r="N1880" t="s">
        <v>28</v>
      </c>
      <c r="O1880">
        <f t="shared" si="58"/>
        <v>9750</v>
      </c>
      <c r="P1880" s="13">
        <f t="shared" si="59"/>
        <v>2640274</v>
      </c>
      <c r="Q1880" s="13">
        <f>SUMIFS(M:M,E:E,Online_eCommerce[[#This Row],[Status]])</f>
        <v>28340455</v>
      </c>
      <c r="R1880" s="13">
        <f>SUMIFS(L:L,H:H,Online_eCommerce[[#This Row],[Brand]])</f>
        <v>10950150</v>
      </c>
      <c r="S1880" s="13">
        <f>SUMIF(H:H,Online_eCommerce[[#This Row],[Brand]],M:M)</f>
        <v>14235195</v>
      </c>
      <c r="T1880" s="13">
        <f>SUMIF(N:N,Online_eCommerce[[#This Row],[Assigned Supervisor]],L:L)</f>
        <v>12220830</v>
      </c>
    </row>
    <row r="1881" spans="1:20" hidden="1" x14ac:dyDescent="0.3">
      <c r="A1881" t="s">
        <v>2934</v>
      </c>
      <c r="B1881" t="s">
        <v>176</v>
      </c>
      <c r="C1881" t="s">
        <v>177</v>
      </c>
      <c r="D1881" t="s">
        <v>2896</v>
      </c>
      <c r="E1881" t="s">
        <v>161</v>
      </c>
      <c r="F1881" t="s">
        <v>2921</v>
      </c>
      <c r="G1881" t="s">
        <v>77</v>
      </c>
      <c r="H1881" t="s">
        <v>78</v>
      </c>
      <c r="I1881">
        <v>10000</v>
      </c>
      <c r="J1881">
        <v>13000</v>
      </c>
      <c r="K1881">
        <v>3</v>
      </c>
      <c r="L1881">
        <v>30000</v>
      </c>
      <c r="M1881">
        <v>39000</v>
      </c>
      <c r="N1881" t="s">
        <v>35</v>
      </c>
      <c r="O1881">
        <f t="shared" si="58"/>
        <v>39000</v>
      </c>
      <c r="P1881" s="13">
        <f t="shared" si="59"/>
        <v>1863810</v>
      </c>
      <c r="Q1881" s="13">
        <f>SUMIFS(M:M,E:E,Online_eCommerce[[#This Row],[Status]])</f>
        <v>21103186</v>
      </c>
      <c r="R1881" s="13">
        <f>SUMIFS(L:L,H:H,Online_eCommerce[[#This Row],[Brand]])</f>
        <v>3720000</v>
      </c>
      <c r="S1881" s="13">
        <f>SUMIF(H:H,Online_eCommerce[[#This Row],[Brand]],M:M)</f>
        <v>4836000</v>
      </c>
      <c r="T1881" s="13">
        <f>SUMIF(N:N,Online_eCommerce[[#This Row],[Assigned Supervisor]],L:L)</f>
        <v>14373360</v>
      </c>
    </row>
    <row r="1882" spans="1:20" x14ac:dyDescent="0.3">
      <c r="A1882" t="s">
        <v>2935</v>
      </c>
      <c r="B1882" t="s">
        <v>276</v>
      </c>
      <c r="C1882" t="s">
        <v>181</v>
      </c>
      <c r="D1882" t="s">
        <v>2896</v>
      </c>
      <c r="E1882" t="s">
        <v>46</v>
      </c>
      <c r="F1882" t="s">
        <v>2936</v>
      </c>
      <c r="G1882" t="s">
        <v>20</v>
      </c>
      <c r="H1882" t="s">
        <v>21</v>
      </c>
      <c r="I1882">
        <v>10500</v>
      </c>
      <c r="J1882">
        <v>13650</v>
      </c>
      <c r="K1882">
        <v>3</v>
      </c>
      <c r="L1882">
        <v>31500</v>
      </c>
      <c r="M1882">
        <v>40950</v>
      </c>
      <c r="N1882" t="s">
        <v>42</v>
      </c>
      <c r="O1882">
        <f t="shared" si="58"/>
        <v>8450</v>
      </c>
      <c r="P1882" s="13">
        <f t="shared" si="59"/>
        <v>2577458</v>
      </c>
      <c r="Q1882" s="13">
        <f>SUMIFS(M:M,E:E,Online_eCommerce[[#This Row],[Status]])</f>
        <v>28620410</v>
      </c>
      <c r="R1882" s="13">
        <f>SUMIFS(L:L,H:H,Online_eCommerce[[#This Row],[Brand]])</f>
        <v>12435650</v>
      </c>
      <c r="S1882" s="13">
        <f>SUMIF(H:H,Online_eCommerce[[#This Row],[Brand]],M:M)</f>
        <v>16166345</v>
      </c>
      <c r="T1882" s="13">
        <f>SUMIF(N:N,Online_eCommerce[[#This Row],[Assigned Supervisor]],L:L)</f>
        <v>12261500</v>
      </c>
    </row>
    <row r="1883" spans="1:20" hidden="1" x14ac:dyDescent="0.3">
      <c r="A1883" t="s">
        <v>2937</v>
      </c>
      <c r="B1883" t="s">
        <v>280</v>
      </c>
      <c r="C1883" t="s">
        <v>185</v>
      </c>
      <c r="D1883" t="s">
        <v>2896</v>
      </c>
      <c r="E1883" t="s">
        <v>96</v>
      </c>
      <c r="F1883" t="s">
        <v>88</v>
      </c>
      <c r="G1883" t="s">
        <v>26</v>
      </c>
      <c r="H1883" t="s">
        <v>27</v>
      </c>
      <c r="I1883">
        <v>8500</v>
      </c>
      <c r="J1883">
        <v>11050</v>
      </c>
      <c r="K1883">
        <v>2</v>
      </c>
      <c r="L1883">
        <v>17000</v>
      </c>
      <c r="M1883">
        <v>22100</v>
      </c>
      <c r="N1883" t="s">
        <v>50</v>
      </c>
      <c r="O1883">
        <f t="shared" si="58"/>
        <v>33150</v>
      </c>
      <c r="P1883" s="13">
        <f t="shared" si="59"/>
        <v>2091596</v>
      </c>
      <c r="Q1883" s="13">
        <f>SUMIFS(M:M,E:E,Online_eCommerce[[#This Row],[Status]])</f>
        <v>21233992</v>
      </c>
      <c r="R1883" s="13">
        <f>SUMIFS(L:L,H:H,Online_eCommerce[[#This Row],[Brand]])</f>
        <v>14431000</v>
      </c>
      <c r="S1883" s="13">
        <f>SUMIF(H:H,Online_eCommerce[[#This Row],[Brand]],M:M)</f>
        <v>18760300</v>
      </c>
      <c r="T1883" s="13">
        <f>SUMIF(N:N,Online_eCommerce[[#This Row],[Assigned Supervisor]],L:L)</f>
        <v>12100590</v>
      </c>
    </row>
    <row r="1884" spans="1:20" hidden="1" x14ac:dyDescent="0.3">
      <c r="A1884" t="s">
        <v>2938</v>
      </c>
      <c r="B1884" t="s">
        <v>283</v>
      </c>
      <c r="C1884" t="s">
        <v>189</v>
      </c>
      <c r="D1884" t="s">
        <v>2896</v>
      </c>
      <c r="E1884" t="s">
        <v>18</v>
      </c>
      <c r="F1884" t="s">
        <v>32</v>
      </c>
      <c r="G1884" t="s">
        <v>33</v>
      </c>
      <c r="H1884" t="s">
        <v>34</v>
      </c>
      <c r="I1884">
        <v>7000</v>
      </c>
      <c r="J1884">
        <v>9100</v>
      </c>
      <c r="K1884">
        <v>1</v>
      </c>
      <c r="L1884">
        <v>7000</v>
      </c>
      <c r="M1884">
        <v>9100</v>
      </c>
      <c r="N1884" t="s">
        <v>56</v>
      </c>
      <c r="O1884">
        <f t="shared" si="58"/>
        <v>18200</v>
      </c>
      <c r="P1884" s="13">
        <f t="shared" si="59"/>
        <v>2740777</v>
      </c>
      <c r="Q1884" s="13">
        <f>SUMIFS(M:M,E:E,Online_eCommerce[[#This Row],[Status]])</f>
        <v>28340455</v>
      </c>
      <c r="R1884" s="13">
        <f>SUMIFS(L:L,H:H,Online_eCommerce[[#This Row],[Brand]])</f>
        <v>10087000</v>
      </c>
      <c r="S1884" s="13">
        <f>SUMIF(H:H,Online_eCommerce[[#This Row],[Brand]],M:M)</f>
        <v>13113100</v>
      </c>
      <c r="T1884" s="13">
        <f>SUMIF(N:N,Online_eCommerce[[#This Row],[Assigned Supervisor]],L:L)</f>
        <v>11733610</v>
      </c>
    </row>
    <row r="1885" spans="1:20" hidden="1" x14ac:dyDescent="0.3">
      <c r="A1885" t="s">
        <v>2939</v>
      </c>
      <c r="B1885" t="s">
        <v>287</v>
      </c>
      <c r="C1885" t="s">
        <v>193</v>
      </c>
      <c r="D1885" t="s">
        <v>2896</v>
      </c>
      <c r="E1885" t="s">
        <v>161</v>
      </c>
      <c r="F1885" t="s">
        <v>2940</v>
      </c>
      <c r="G1885" t="s">
        <v>163</v>
      </c>
      <c r="H1885" t="s">
        <v>41</v>
      </c>
      <c r="I1885">
        <v>1680</v>
      </c>
      <c r="J1885">
        <v>2184</v>
      </c>
      <c r="K1885">
        <v>1</v>
      </c>
      <c r="L1885">
        <v>1680</v>
      </c>
      <c r="M1885">
        <v>2184</v>
      </c>
      <c r="N1885" t="s">
        <v>22</v>
      </c>
      <c r="O1885">
        <f t="shared" si="58"/>
        <v>13650</v>
      </c>
      <c r="P1885" s="13">
        <f t="shared" si="59"/>
        <v>2074774</v>
      </c>
      <c r="Q1885" s="13">
        <f>SUMIFS(M:M,E:E,Online_eCommerce[[#This Row],[Status]])</f>
        <v>21103186</v>
      </c>
      <c r="R1885" s="13">
        <f>SUMIFS(L:L,H:H,Online_eCommerce[[#This Row],[Brand]])</f>
        <v>4260400</v>
      </c>
      <c r="S1885" s="13">
        <f>SUMIF(H:H,Online_eCommerce[[#This Row],[Brand]],M:M)</f>
        <v>5538520</v>
      </c>
      <c r="T1885" s="13">
        <f>SUMIF(N:N,Online_eCommerce[[#This Row],[Assigned Supervisor]],L:L)</f>
        <v>13693220</v>
      </c>
    </row>
    <row r="1886" spans="1:20" x14ac:dyDescent="0.3">
      <c r="A1886" t="s">
        <v>2941</v>
      </c>
      <c r="B1886" t="s">
        <v>290</v>
      </c>
      <c r="C1886" t="s">
        <v>197</v>
      </c>
      <c r="D1886" t="s">
        <v>2896</v>
      </c>
      <c r="E1886" t="s">
        <v>46</v>
      </c>
      <c r="F1886" t="s">
        <v>101</v>
      </c>
      <c r="G1886" t="s">
        <v>66</v>
      </c>
      <c r="H1886" t="s">
        <v>102</v>
      </c>
      <c r="I1886">
        <v>6540</v>
      </c>
      <c r="J1886">
        <v>8502</v>
      </c>
      <c r="K1886">
        <v>3</v>
      </c>
      <c r="L1886">
        <v>19620</v>
      </c>
      <c r="M1886">
        <v>25506</v>
      </c>
      <c r="N1886" t="s">
        <v>28</v>
      </c>
      <c r="O1886">
        <f t="shared" si="58"/>
        <v>1690</v>
      </c>
      <c r="P1886" s="13">
        <f t="shared" si="59"/>
        <v>2829840</v>
      </c>
      <c r="Q1886" s="13">
        <f>SUMIFS(M:M,E:E,Online_eCommerce[[#This Row],[Status]])</f>
        <v>28620410</v>
      </c>
      <c r="R1886" s="13">
        <f>SUMIFS(L:L,H:H,Online_eCommerce[[#This Row],[Brand]])</f>
        <v>2465580</v>
      </c>
      <c r="S1886" s="13">
        <f>SUMIF(H:H,Online_eCommerce[[#This Row],[Brand]],M:M)</f>
        <v>3205254</v>
      </c>
      <c r="T1886" s="13">
        <f>SUMIF(N:N,Online_eCommerce[[#This Row],[Assigned Supervisor]],L:L)</f>
        <v>12220830</v>
      </c>
    </row>
    <row r="1887" spans="1:20" hidden="1" x14ac:dyDescent="0.3">
      <c r="A1887" t="s">
        <v>2942</v>
      </c>
      <c r="B1887" t="s">
        <v>15</v>
      </c>
      <c r="C1887" t="s">
        <v>199</v>
      </c>
      <c r="D1887" t="s">
        <v>2896</v>
      </c>
      <c r="E1887" t="s">
        <v>96</v>
      </c>
      <c r="F1887" t="s">
        <v>107</v>
      </c>
      <c r="G1887" t="s">
        <v>54</v>
      </c>
      <c r="H1887" t="s">
        <v>55</v>
      </c>
      <c r="I1887">
        <v>2680</v>
      </c>
      <c r="J1887">
        <v>3484</v>
      </c>
      <c r="K1887">
        <v>3</v>
      </c>
      <c r="L1887">
        <v>8040</v>
      </c>
      <c r="M1887">
        <v>10452</v>
      </c>
      <c r="N1887" t="s">
        <v>35</v>
      </c>
      <c r="O1887">
        <f t="shared" si="58"/>
        <v>2990</v>
      </c>
      <c r="P1887" s="13">
        <f t="shared" si="59"/>
        <v>1947361</v>
      </c>
      <c r="Q1887" s="13">
        <f>SUMIFS(M:M,E:E,Online_eCommerce[[#This Row],[Status]])</f>
        <v>21233992</v>
      </c>
      <c r="R1887" s="13">
        <f>SUMIFS(L:L,H:H,Online_eCommerce[[#This Row],[Brand]])</f>
        <v>2267380</v>
      </c>
      <c r="S1887" s="13">
        <f>SUMIF(H:H,Online_eCommerce[[#This Row],[Brand]],M:M)</f>
        <v>2947594</v>
      </c>
      <c r="T1887" s="13">
        <f>SUMIF(N:N,Online_eCommerce[[#This Row],[Assigned Supervisor]],L:L)</f>
        <v>14373360</v>
      </c>
    </row>
    <row r="1888" spans="1:20" hidden="1" x14ac:dyDescent="0.3">
      <c r="A1888" t="s">
        <v>2943</v>
      </c>
      <c r="B1888" t="s">
        <v>202</v>
      </c>
      <c r="C1888" t="s">
        <v>203</v>
      </c>
      <c r="D1888" t="s">
        <v>2944</v>
      </c>
      <c r="E1888" t="s">
        <v>18</v>
      </c>
      <c r="F1888" t="s">
        <v>112</v>
      </c>
      <c r="G1888" t="s">
        <v>71</v>
      </c>
      <c r="H1888" t="s">
        <v>21</v>
      </c>
      <c r="I1888">
        <v>8250</v>
      </c>
      <c r="J1888">
        <v>10725</v>
      </c>
      <c r="K1888">
        <v>2</v>
      </c>
      <c r="L1888">
        <v>16500</v>
      </c>
      <c r="M1888">
        <v>21450</v>
      </c>
      <c r="N1888" t="s">
        <v>42</v>
      </c>
      <c r="O1888">
        <f t="shared" si="58"/>
        <v>9750</v>
      </c>
      <c r="P1888" s="13">
        <f t="shared" si="59"/>
        <v>2559635</v>
      </c>
      <c r="Q1888" s="13">
        <f>SUMIFS(M:M,E:E,Online_eCommerce[[#This Row],[Status]])</f>
        <v>28340455</v>
      </c>
      <c r="R1888" s="13">
        <f>SUMIFS(L:L,H:H,Online_eCommerce[[#This Row],[Brand]])</f>
        <v>12435650</v>
      </c>
      <c r="S1888" s="13">
        <f>SUMIF(H:H,Online_eCommerce[[#This Row],[Brand]],M:M)</f>
        <v>16166345</v>
      </c>
      <c r="T1888" s="13">
        <f>SUMIF(N:N,Online_eCommerce[[#This Row],[Assigned Supervisor]],L:L)</f>
        <v>12261500</v>
      </c>
    </row>
    <row r="1889" spans="1:20" hidden="1" x14ac:dyDescent="0.3">
      <c r="A1889" t="s">
        <v>2945</v>
      </c>
      <c r="B1889" t="s">
        <v>283</v>
      </c>
      <c r="C1889" t="s">
        <v>205</v>
      </c>
      <c r="D1889" t="s">
        <v>2944</v>
      </c>
      <c r="E1889" t="s">
        <v>161</v>
      </c>
      <c r="F1889" t="s">
        <v>2496</v>
      </c>
      <c r="G1889" t="s">
        <v>40</v>
      </c>
      <c r="H1889" t="s">
        <v>21</v>
      </c>
      <c r="I1889">
        <v>2650</v>
      </c>
      <c r="J1889">
        <v>3445</v>
      </c>
      <c r="K1889">
        <v>3</v>
      </c>
      <c r="L1889">
        <v>7950</v>
      </c>
      <c r="M1889">
        <v>10335</v>
      </c>
      <c r="N1889" t="s">
        <v>50</v>
      </c>
      <c r="O1889">
        <f t="shared" si="58"/>
        <v>25545</v>
      </c>
      <c r="P1889" s="13">
        <f t="shared" si="59"/>
        <v>1983254</v>
      </c>
      <c r="Q1889" s="13">
        <f>SUMIFS(M:M,E:E,Online_eCommerce[[#This Row],[Status]])</f>
        <v>21103186</v>
      </c>
      <c r="R1889" s="13">
        <f>SUMIFS(L:L,H:H,Online_eCommerce[[#This Row],[Brand]])</f>
        <v>12435650</v>
      </c>
      <c r="S1889" s="13">
        <f>SUMIF(H:H,Online_eCommerce[[#This Row],[Brand]],M:M)</f>
        <v>16166345</v>
      </c>
      <c r="T1889" s="13">
        <f>SUMIF(N:N,Online_eCommerce[[#This Row],[Assigned Supervisor]],L:L)</f>
        <v>12100590</v>
      </c>
    </row>
    <row r="1890" spans="1:20" x14ac:dyDescent="0.3">
      <c r="A1890" t="s">
        <v>2946</v>
      </c>
      <c r="B1890" t="s">
        <v>283</v>
      </c>
      <c r="C1890" t="s">
        <v>208</v>
      </c>
      <c r="D1890" t="s">
        <v>2944</v>
      </c>
      <c r="E1890" t="s">
        <v>46</v>
      </c>
      <c r="F1890" t="s">
        <v>121</v>
      </c>
      <c r="G1890" t="s">
        <v>71</v>
      </c>
      <c r="H1890" t="s">
        <v>122</v>
      </c>
      <c r="I1890">
        <v>12550</v>
      </c>
      <c r="J1890">
        <v>16315</v>
      </c>
      <c r="K1890">
        <v>4</v>
      </c>
      <c r="L1890">
        <v>50200</v>
      </c>
      <c r="M1890">
        <v>65260</v>
      </c>
      <c r="N1890" t="s">
        <v>56</v>
      </c>
      <c r="O1890">
        <f t="shared" si="58"/>
        <v>9750</v>
      </c>
      <c r="P1890" s="13">
        <f t="shared" si="59"/>
        <v>2746575</v>
      </c>
      <c r="Q1890" s="13">
        <f>SUMIFS(M:M,E:E,Online_eCommerce[[#This Row],[Status]])</f>
        <v>28620410</v>
      </c>
      <c r="R1890" s="13">
        <f>SUMIFS(L:L,H:H,Online_eCommerce[[#This Row],[Brand]])</f>
        <v>5045100</v>
      </c>
      <c r="S1890" s="13">
        <f>SUMIF(H:H,Online_eCommerce[[#This Row],[Brand]],M:M)</f>
        <v>6558630</v>
      </c>
      <c r="T1890" s="13">
        <f>SUMIF(N:N,Online_eCommerce[[#This Row],[Assigned Supervisor]],L:L)</f>
        <v>11733610</v>
      </c>
    </row>
    <row r="1891" spans="1:20" hidden="1" x14ac:dyDescent="0.3">
      <c r="A1891" t="s">
        <v>2947</v>
      </c>
      <c r="B1891" t="s">
        <v>283</v>
      </c>
      <c r="C1891" t="s">
        <v>211</v>
      </c>
      <c r="D1891" t="s">
        <v>2944</v>
      </c>
      <c r="E1891" t="s">
        <v>96</v>
      </c>
      <c r="F1891" t="s">
        <v>126</v>
      </c>
      <c r="G1891" t="s">
        <v>26</v>
      </c>
      <c r="H1891" t="s">
        <v>27</v>
      </c>
      <c r="I1891">
        <v>14500</v>
      </c>
      <c r="J1891">
        <v>18850</v>
      </c>
      <c r="K1891">
        <v>1</v>
      </c>
      <c r="L1891">
        <v>14500</v>
      </c>
      <c r="M1891">
        <v>18850</v>
      </c>
      <c r="N1891" t="s">
        <v>22</v>
      </c>
      <c r="O1891">
        <f t="shared" si="58"/>
        <v>33150</v>
      </c>
      <c r="P1891" s="13">
        <f t="shared" si="59"/>
        <v>1809847</v>
      </c>
      <c r="Q1891" s="13">
        <f>SUMIFS(M:M,E:E,Online_eCommerce[[#This Row],[Status]])</f>
        <v>21233992</v>
      </c>
      <c r="R1891" s="13">
        <f>SUMIFS(L:L,H:H,Online_eCommerce[[#This Row],[Brand]])</f>
        <v>14431000</v>
      </c>
      <c r="S1891" s="13">
        <f>SUMIF(H:H,Online_eCommerce[[#This Row],[Brand]],M:M)</f>
        <v>18760300</v>
      </c>
      <c r="T1891" s="13">
        <f>SUMIF(N:N,Online_eCommerce[[#This Row],[Assigned Supervisor]],L:L)</f>
        <v>13693220</v>
      </c>
    </row>
    <row r="1892" spans="1:20" hidden="1" x14ac:dyDescent="0.3">
      <c r="A1892" t="s">
        <v>2948</v>
      </c>
      <c r="B1892" t="s">
        <v>283</v>
      </c>
      <c r="C1892" t="s">
        <v>16</v>
      </c>
      <c r="D1892" t="s">
        <v>2944</v>
      </c>
      <c r="E1892" t="s">
        <v>18</v>
      </c>
      <c r="F1892" t="s">
        <v>129</v>
      </c>
      <c r="G1892" t="s">
        <v>60</v>
      </c>
      <c r="H1892" t="s">
        <v>61</v>
      </c>
      <c r="I1892">
        <v>800</v>
      </c>
      <c r="J1892">
        <v>1040</v>
      </c>
      <c r="K1892">
        <v>3</v>
      </c>
      <c r="L1892">
        <v>2400</v>
      </c>
      <c r="M1892">
        <v>3120</v>
      </c>
      <c r="N1892" t="s">
        <v>22</v>
      </c>
      <c r="O1892">
        <f t="shared" si="58"/>
        <v>3315</v>
      </c>
      <c r="P1892" s="13">
        <f t="shared" si="59"/>
        <v>2751814</v>
      </c>
      <c r="Q1892" s="13">
        <f>SUMIFS(M:M,E:E,Online_eCommerce[[#This Row],[Status]])</f>
        <v>28340455</v>
      </c>
      <c r="R1892" s="13">
        <f>SUMIFS(L:L,H:H,Online_eCommerce[[#This Row],[Brand]])</f>
        <v>10950150</v>
      </c>
      <c r="S1892" s="13">
        <f>SUMIF(H:H,Online_eCommerce[[#This Row],[Brand]],M:M)</f>
        <v>14235195</v>
      </c>
      <c r="T1892" s="13">
        <f>SUMIF(N:N,Online_eCommerce[[#This Row],[Assigned Supervisor]],L:L)</f>
        <v>13693220</v>
      </c>
    </row>
    <row r="1893" spans="1:20" hidden="1" x14ac:dyDescent="0.3">
      <c r="A1893" t="s">
        <v>2949</v>
      </c>
      <c r="B1893" t="s">
        <v>283</v>
      </c>
      <c r="C1893" t="s">
        <v>24</v>
      </c>
      <c r="D1893" t="s">
        <v>2944</v>
      </c>
      <c r="E1893" t="s">
        <v>161</v>
      </c>
      <c r="F1893" t="s">
        <v>133</v>
      </c>
      <c r="G1893" t="s">
        <v>66</v>
      </c>
      <c r="H1893" t="s">
        <v>21</v>
      </c>
      <c r="I1893">
        <v>600</v>
      </c>
      <c r="J1893">
        <v>780</v>
      </c>
      <c r="K1893">
        <v>1</v>
      </c>
      <c r="L1893">
        <v>600</v>
      </c>
      <c r="M1893">
        <v>780</v>
      </c>
      <c r="N1893" t="s">
        <v>28</v>
      </c>
      <c r="O1893">
        <f t="shared" si="58"/>
        <v>1690</v>
      </c>
      <c r="P1893" s="13">
        <f t="shared" si="59"/>
        <v>2009540</v>
      </c>
      <c r="Q1893" s="13">
        <f>SUMIFS(M:M,E:E,Online_eCommerce[[#This Row],[Status]])</f>
        <v>21103186</v>
      </c>
      <c r="R1893" s="13">
        <f>SUMIFS(L:L,H:H,Online_eCommerce[[#This Row],[Brand]])</f>
        <v>12435650</v>
      </c>
      <c r="S1893" s="13">
        <f>SUMIF(H:H,Online_eCommerce[[#This Row],[Brand]],M:M)</f>
        <v>16166345</v>
      </c>
      <c r="T1893" s="13">
        <f>SUMIF(N:N,Online_eCommerce[[#This Row],[Assigned Supervisor]],L:L)</f>
        <v>12220830</v>
      </c>
    </row>
    <row r="1894" spans="1:20" x14ac:dyDescent="0.3">
      <c r="A1894" t="s">
        <v>2950</v>
      </c>
      <c r="B1894" t="s">
        <v>283</v>
      </c>
      <c r="C1894" t="s">
        <v>31</v>
      </c>
      <c r="D1894" t="s">
        <v>2944</v>
      </c>
      <c r="E1894" t="s">
        <v>46</v>
      </c>
      <c r="F1894" t="s">
        <v>137</v>
      </c>
      <c r="G1894" t="s">
        <v>71</v>
      </c>
      <c r="H1894" t="s">
        <v>61</v>
      </c>
      <c r="I1894">
        <v>10500</v>
      </c>
      <c r="J1894">
        <v>13650</v>
      </c>
      <c r="K1894">
        <v>4</v>
      </c>
      <c r="L1894">
        <v>42000</v>
      </c>
      <c r="M1894">
        <v>54600</v>
      </c>
      <c r="N1894" t="s">
        <v>35</v>
      </c>
      <c r="O1894">
        <f t="shared" si="58"/>
        <v>9750</v>
      </c>
      <c r="P1894" s="13">
        <f t="shared" si="59"/>
        <v>2865746</v>
      </c>
      <c r="Q1894" s="13">
        <f>SUMIFS(M:M,E:E,Online_eCommerce[[#This Row],[Status]])</f>
        <v>28620410</v>
      </c>
      <c r="R1894" s="13">
        <f>SUMIFS(L:L,H:H,Online_eCommerce[[#This Row],[Brand]])</f>
        <v>10950150</v>
      </c>
      <c r="S1894" s="13">
        <f>SUMIF(H:H,Online_eCommerce[[#This Row],[Brand]],M:M)</f>
        <v>14235195</v>
      </c>
      <c r="T1894" s="13">
        <f>SUMIF(N:N,Online_eCommerce[[#This Row],[Assigned Supervisor]],L:L)</f>
        <v>14373360</v>
      </c>
    </row>
    <row r="1895" spans="1:20" hidden="1" x14ac:dyDescent="0.3">
      <c r="A1895" t="s">
        <v>2951</v>
      </c>
      <c r="B1895" t="s">
        <v>283</v>
      </c>
      <c r="C1895" t="s">
        <v>38</v>
      </c>
      <c r="D1895" t="s">
        <v>2944</v>
      </c>
      <c r="E1895" t="s">
        <v>96</v>
      </c>
      <c r="F1895" t="s">
        <v>2921</v>
      </c>
      <c r="G1895" t="s">
        <v>77</v>
      </c>
      <c r="H1895" t="s">
        <v>142</v>
      </c>
      <c r="I1895">
        <v>6500</v>
      </c>
      <c r="J1895">
        <v>8450</v>
      </c>
      <c r="K1895">
        <v>1</v>
      </c>
      <c r="L1895">
        <v>6500</v>
      </c>
      <c r="M1895">
        <v>8450</v>
      </c>
      <c r="N1895" t="s">
        <v>42</v>
      </c>
      <c r="O1895">
        <f t="shared" si="58"/>
        <v>39000</v>
      </c>
      <c r="P1895" s="13">
        <f t="shared" si="59"/>
        <v>1933997</v>
      </c>
      <c r="Q1895" s="13">
        <f>SUMIFS(M:M,E:E,Online_eCommerce[[#This Row],[Status]])</f>
        <v>21233992</v>
      </c>
      <c r="R1895" s="13">
        <f>SUMIFS(L:L,H:H,Online_eCommerce[[#This Row],[Brand]])</f>
        <v>6192500</v>
      </c>
      <c r="S1895" s="13">
        <f>SUMIF(H:H,Online_eCommerce[[#This Row],[Brand]],M:M)</f>
        <v>8050250</v>
      </c>
      <c r="T1895" s="13">
        <f>SUMIF(N:N,Online_eCommerce[[#This Row],[Assigned Supervisor]],L:L)</f>
        <v>12261500</v>
      </c>
    </row>
    <row r="1896" spans="1:20" hidden="1" x14ac:dyDescent="0.3">
      <c r="A1896" t="s">
        <v>2952</v>
      </c>
      <c r="B1896" t="s">
        <v>283</v>
      </c>
      <c r="C1896" t="s">
        <v>45</v>
      </c>
      <c r="D1896" t="s">
        <v>2944</v>
      </c>
      <c r="E1896" t="s">
        <v>18</v>
      </c>
      <c r="F1896" t="s">
        <v>2953</v>
      </c>
      <c r="G1896" t="s">
        <v>20</v>
      </c>
      <c r="H1896" t="s">
        <v>21</v>
      </c>
      <c r="I1896">
        <v>4500</v>
      </c>
      <c r="J1896">
        <v>5850</v>
      </c>
      <c r="K1896">
        <v>3</v>
      </c>
      <c r="L1896">
        <v>13500</v>
      </c>
      <c r="M1896">
        <v>17550</v>
      </c>
      <c r="N1896" t="s">
        <v>50</v>
      </c>
      <c r="O1896">
        <f t="shared" si="58"/>
        <v>8450</v>
      </c>
      <c r="P1896" s="13">
        <f t="shared" si="59"/>
        <v>2842554</v>
      </c>
      <c r="Q1896" s="13">
        <f>SUMIFS(M:M,E:E,Online_eCommerce[[#This Row],[Status]])</f>
        <v>28340455</v>
      </c>
      <c r="R1896" s="13">
        <f>SUMIFS(L:L,H:H,Online_eCommerce[[#This Row],[Brand]])</f>
        <v>12435650</v>
      </c>
      <c r="S1896" s="13">
        <f>SUMIF(H:H,Online_eCommerce[[#This Row],[Brand]],M:M)</f>
        <v>16166345</v>
      </c>
      <c r="T1896" s="13">
        <f>SUMIF(N:N,Online_eCommerce[[#This Row],[Assigned Supervisor]],L:L)</f>
        <v>12100590</v>
      </c>
    </row>
    <row r="1897" spans="1:20" hidden="1" x14ac:dyDescent="0.3">
      <c r="A1897" t="s">
        <v>2954</v>
      </c>
      <c r="B1897" t="s">
        <v>283</v>
      </c>
      <c r="C1897" t="s">
        <v>52</v>
      </c>
      <c r="D1897" t="s">
        <v>2944</v>
      </c>
      <c r="E1897" t="s">
        <v>161</v>
      </c>
      <c r="F1897" t="s">
        <v>152</v>
      </c>
      <c r="G1897" t="s">
        <v>26</v>
      </c>
      <c r="H1897" t="s">
        <v>27</v>
      </c>
      <c r="I1897">
        <v>8500</v>
      </c>
      <c r="J1897">
        <v>11050</v>
      </c>
      <c r="K1897">
        <v>4</v>
      </c>
      <c r="L1897">
        <v>34000</v>
      </c>
      <c r="M1897">
        <v>44200</v>
      </c>
      <c r="N1897" t="s">
        <v>56</v>
      </c>
      <c r="O1897">
        <f t="shared" si="58"/>
        <v>33150</v>
      </c>
      <c r="P1897" s="13">
        <f t="shared" si="59"/>
        <v>1955044</v>
      </c>
      <c r="Q1897" s="13">
        <f>SUMIFS(M:M,E:E,Online_eCommerce[[#This Row],[Status]])</f>
        <v>21103186</v>
      </c>
      <c r="R1897" s="13">
        <f>SUMIFS(L:L,H:H,Online_eCommerce[[#This Row],[Brand]])</f>
        <v>14431000</v>
      </c>
      <c r="S1897" s="13">
        <f>SUMIF(H:H,Online_eCommerce[[#This Row],[Brand]],M:M)</f>
        <v>18760300</v>
      </c>
      <c r="T1897" s="13">
        <f>SUMIF(N:N,Online_eCommerce[[#This Row],[Assigned Supervisor]],L:L)</f>
        <v>11733610</v>
      </c>
    </row>
    <row r="1898" spans="1:20" x14ac:dyDescent="0.3">
      <c r="A1898" t="s">
        <v>2955</v>
      </c>
      <c r="B1898" t="s">
        <v>283</v>
      </c>
      <c r="C1898" t="s">
        <v>58</v>
      </c>
      <c r="D1898" t="s">
        <v>2944</v>
      </c>
      <c r="E1898" t="s">
        <v>46</v>
      </c>
      <c r="F1898" t="s">
        <v>157</v>
      </c>
      <c r="G1898" t="s">
        <v>33</v>
      </c>
      <c r="H1898" t="s">
        <v>34</v>
      </c>
      <c r="I1898">
        <v>12500</v>
      </c>
      <c r="J1898">
        <v>16250</v>
      </c>
      <c r="K1898">
        <v>4</v>
      </c>
      <c r="L1898">
        <v>50000</v>
      </c>
      <c r="M1898">
        <v>65000</v>
      </c>
      <c r="N1898" t="s">
        <v>22</v>
      </c>
      <c r="O1898">
        <f t="shared" si="58"/>
        <v>18200</v>
      </c>
      <c r="P1898" s="13">
        <f t="shared" si="59"/>
        <v>2629211</v>
      </c>
      <c r="Q1898" s="13">
        <f>SUMIFS(M:M,E:E,Online_eCommerce[[#This Row],[Status]])</f>
        <v>28620410</v>
      </c>
      <c r="R1898" s="13">
        <f>SUMIFS(L:L,H:H,Online_eCommerce[[#This Row],[Brand]])</f>
        <v>10087000</v>
      </c>
      <c r="S1898" s="13">
        <f>SUMIF(H:H,Online_eCommerce[[#This Row],[Brand]],M:M)</f>
        <v>13113100</v>
      </c>
      <c r="T1898" s="13">
        <f>SUMIF(N:N,Online_eCommerce[[#This Row],[Assigned Supervisor]],L:L)</f>
        <v>13693220</v>
      </c>
    </row>
    <row r="1899" spans="1:20" hidden="1" x14ac:dyDescent="0.3">
      <c r="A1899" t="s">
        <v>2956</v>
      </c>
      <c r="B1899" t="s">
        <v>283</v>
      </c>
      <c r="C1899" t="s">
        <v>63</v>
      </c>
      <c r="D1899" t="s">
        <v>2944</v>
      </c>
      <c r="E1899" t="s">
        <v>96</v>
      </c>
      <c r="F1899" t="s">
        <v>2543</v>
      </c>
      <c r="G1899" t="s">
        <v>256</v>
      </c>
      <c r="H1899" t="s">
        <v>41</v>
      </c>
      <c r="I1899">
        <v>3500</v>
      </c>
      <c r="J1899">
        <v>4550</v>
      </c>
      <c r="K1899">
        <v>2</v>
      </c>
      <c r="L1899">
        <v>7000</v>
      </c>
      <c r="M1899">
        <v>9100</v>
      </c>
      <c r="N1899" t="s">
        <v>28</v>
      </c>
      <c r="O1899">
        <f t="shared" si="58"/>
        <v>9100</v>
      </c>
      <c r="P1899" s="13">
        <f t="shared" si="59"/>
        <v>2016131</v>
      </c>
      <c r="Q1899" s="13">
        <f>SUMIFS(M:M,E:E,Online_eCommerce[[#This Row],[Status]])</f>
        <v>21233992</v>
      </c>
      <c r="R1899" s="13">
        <f>SUMIFS(L:L,H:H,Online_eCommerce[[#This Row],[Brand]])</f>
        <v>4260400</v>
      </c>
      <c r="S1899" s="13">
        <f>SUMIF(H:H,Online_eCommerce[[#This Row],[Brand]],M:M)</f>
        <v>5538520</v>
      </c>
      <c r="T1899" s="13">
        <f>SUMIF(N:N,Online_eCommerce[[#This Row],[Assigned Supervisor]],L:L)</f>
        <v>12220830</v>
      </c>
    </row>
    <row r="1900" spans="1:20" hidden="1" x14ac:dyDescent="0.3">
      <c r="A1900" t="s">
        <v>2957</v>
      </c>
      <c r="B1900" t="s">
        <v>232</v>
      </c>
      <c r="C1900" t="s">
        <v>68</v>
      </c>
      <c r="D1900" t="s">
        <v>2944</v>
      </c>
      <c r="E1900" t="s">
        <v>18</v>
      </c>
      <c r="F1900" t="s">
        <v>166</v>
      </c>
      <c r="G1900" t="s">
        <v>259</v>
      </c>
      <c r="H1900" t="s">
        <v>49</v>
      </c>
      <c r="I1900">
        <v>4500</v>
      </c>
      <c r="J1900">
        <v>5850</v>
      </c>
      <c r="K1900">
        <v>3</v>
      </c>
      <c r="L1900">
        <v>13500</v>
      </c>
      <c r="M1900">
        <v>17550</v>
      </c>
      <c r="N1900" t="s">
        <v>35</v>
      </c>
      <c r="O1900">
        <f t="shared" si="58"/>
        <v>11700</v>
      </c>
      <c r="P1900" s="13">
        <f t="shared" si="59"/>
        <v>2974621</v>
      </c>
      <c r="Q1900" s="13">
        <f>SUMIFS(M:M,E:E,Online_eCommerce[[#This Row],[Status]])</f>
        <v>28340455</v>
      </c>
      <c r="R1900" s="13">
        <f>SUMIFS(L:L,H:H,Online_eCommerce[[#This Row],[Brand]])</f>
        <v>4528350</v>
      </c>
      <c r="S1900" s="13">
        <f>SUMIF(H:H,Online_eCommerce[[#This Row],[Brand]],M:M)</f>
        <v>5886855</v>
      </c>
      <c r="T1900" s="13">
        <f>SUMIF(N:N,Online_eCommerce[[#This Row],[Assigned Supervisor]],L:L)</f>
        <v>14373360</v>
      </c>
    </row>
    <row r="1901" spans="1:20" hidden="1" x14ac:dyDescent="0.3">
      <c r="A1901" t="s">
        <v>2958</v>
      </c>
      <c r="B1901" t="s">
        <v>235</v>
      </c>
      <c r="C1901" t="s">
        <v>74</v>
      </c>
      <c r="D1901" t="s">
        <v>2944</v>
      </c>
      <c r="E1901" t="s">
        <v>161</v>
      </c>
      <c r="F1901" t="s">
        <v>2959</v>
      </c>
      <c r="G1901" t="s">
        <v>54</v>
      </c>
      <c r="H1901" t="s">
        <v>55</v>
      </c>
      <c r="I1901">
        <v>2100</v>
      </c>
      <c r="J1901">
        <v>2730</v>
      </c>
      <c r="K1901">
        <v>2</v>
      </c>
      <c r="L1901">
        <v>4200</v>
      </c>
      <c r="M1901">
        <v>5460</v>
      </c>
      <c r="N1901" t="s">
        <v>42</v>
      </c>
      <c r="O1901">
        <f t="shared" si="58"/>
        <v>2990</v>
      </c>
      <c r="P1901" s="13">
        <f t="shared" si="59"/>
        <v>2144701</v>
      </c>
      <c r="Q1901" s="13">
        <f>SUMIFS(M:M,E:E,Online_eCommerce[[#This Row],[Status]])</f>
        <v>21103186</v>
      </c>
      <c r="R1901" s="13">
        <f>SUMIFS(L:L,H:H,Online_eCommerce[[#This Row],[Brand]])</f>
        <v>2267380</v>
      </c>
      <c r="S1901" s="13">
        <f>SUMIF(H:H,Online_eCommerce[[#This Row],[Brand]],M:M)</f>
        <v>2947594</v>
      </c>
      <c r="T1901" s="13">
        <f>SUMIF(N:N,Online_eCommerce[[#This Row],[Assigned Supervisor]],L:L)</f>
        <v>12261500</v>
      </c>
    </row>
    <row r="1902" spans="1:20" x14ac:dyDescent="0.3">
      <c r="A1902" t="s">
        <v>2960</v>
      </c>
      <c r="B1902" t="s">
        <v>104</v>
      </c>
      <c r="C1902" t="s">
        <v>81</v>
      </c>
      <c r="D1902" t="s">
        <v>2944</v>
      </c>
      <c r="E1902" t="s">
        <v>46</v>
      </c>
      <c r="F1902" t="s">
        <v>174</v>
      </c>
      <c r="G1902" t="s">
        <v>60</v>
      </c>
      <c r="H1902" t="s">
        <v>61</v>
      </c>
      <c r="I1902">
        <v>1150</v>
      </c>
      <c r="J1902">
        <v>1495</v>
      </c>
      <c r="K1902">
        <v>2</v>
      </c>
      <c r="L1902">
        <v>2300</v>
      </c>
      <c r="M1902">
        <v>2990</v>
      </c>
      <c r="N1902" t="s">
        <v>50</v>
      </c>
      <c r="O1902">
        <f t="shared" si="58"/>
        <v>3315</v>
      </c>
      <c r="P1902" s="13">
        <f t="shared" si="59"/>
        <v>2595632</v>
      </c>
      <c r="Q1902" s="13">
        <f>SUMIFS(M:M,E:E,Online_eCommerce[[#This Row],[Status]])</f>
        <v>28620410</v>
      </c>
      <c r="R1902" s="13">
        <f>SUMIFS(L:L,H:H,Online_eCommerce[[#This Row],[Brand]])</f>
        <v>10950150</v>
      </c>
      <c r="S1902" s="13">
        <f>SUMIF(H:H,Online_eCommerce[[#This Row],[Brand]],M:M)</f>
        <v>14235195</v>
      </c>
      <c r="T1902" s="13">
        <f>SUMIF(N:N,Online_eCommerce[[#This Row],[Assigned Supervisor]],L:L)</f>
        <v>12100590</v>
      </c>
    </row>
    <row r="1903" spans="1:20" hidden="1" x14ac:dyDescent="0.3">
      <c r="A1903" t="s">
        <v>2961</v>
      </c>
      <c r="B1903" t="s">
        <v>109</v>
      </c>
      <c r="C1903" t="s">
        <v>86</v>
      </c>
      <c r="D1903" t="s">
        <v>2944</v>
      </c>
      <c r="E1903" t="s">
        <v>96</v>
      </c>
      <c r="F1903" t="s">
        <v>179</v>
      </c>
      <c r="G1903" t="s">
        <v>66</v>
      </c>
      <c r="H1903" t="s">
        <v>21</v>
      </c>
      <c r="I1903">
        <v>350</v>
      </c>
      <c r="J1903">
        <v>455</v>
      </c>
      <c r="K1903">
        <v>1</v>
      </c>
      <c r="L1903">
        <v>350</v>
      </c>
      <c r="M1903">
        <v>455</v>
      </c>
      <c r="N1903" t="s">
        <v>56</v>
      </c>
      <c r="O1903">
        <f t="shared" si="58"/>
        <v>1690</v>
      </c>
      <c r="P1903" s="13">
        <f t="shared" si="59"/>
        <v>1941225</v>
      </c>
      <c r="Q1903" s="13">
        <f>SUMIFS(M:M,E:E,Online_eCommerce[[#This Row],[Status]])</f>
        <v>21233992</v>
      </c>
      <c r="R1903" s="13">
        <f>SUMIFS(L:L,H:H,Online_eCommerce[[#This Row],[Brand]])</f>
        <v>12435650</v>
      </c>
      <c r="S1903" s="13">
        <f>SUMIF(H:H,Online_eCommerce[[#This Row],[Brand]],M:M)</f>
        <v>16166345</v>
      </c>
      <c r="T1903" s="13">
        <f>SUMIF(N:N,Online_eCommerce[[#This Row],[Assigned Supervisor]],L:L)</f>
        <v>11733610</v>
      </c>
    </row>
    <row r="1904" spans="1:20" hidden="1" x14ac:dyDescent="0.3">
      <c r="A1904" t="s">
        <v>2962</v>
      </c>
      <c r="B1904" t="s">
        <v>114</v>
      </c>
      <c r="C1904" t="s">
        <v>91</v>
      </c>
      <c r="D1904" t="s">
        <v>2944</v>
      </c>
      <c r="E1904" t="s">
        <v>18</v>
      </c>
      <c r="F1904" t="s">
        <v>183</v>
      </c>
      <c r="G1904" t="s">
        <v>71</v>
      </c>
      <c r="H1904" t="s">
        <v>61</v>
      </c>
      <c r="I1904">
        <v>9500</v>
      </c>
      <c r="J1904">
        <v>12350</v>
      </c>
      <c r="K1904">
        <v>1</v>
      </c>
      <c r="L1904">
        <v>9500</v>
      </c>
      <c r="M1904">
        <v>12350</v>
      </c>
      <c r="N1904" t="s">
        <v>22</v>
      </c>
      <c r="O1904">
        <f t="shared" si="58"/>
        <v>9750</v>
      </c>
      <c r="P1904" s="13">
        <f t="shared" si="59"/>
        <v>2731963</v>
      </c>
      <c r="Q1904" s="13">
        <f>SUMIFS(M:M,E:E,Online_eCommerce[[#This Row],[Status]])</f>
        <v>28340455</v>
      </c>
      <c r="R1904" s="13">
        <f>SUMIFS(L:L,H:H,Online_eCommerce[[#This Row],[Brand]])</f>
        <v>10950150</v>
      </c>
      <c r="S1904" s="13">
        <f>SUMIF(H:H,Online_eCommerce[[#This Row],[Brand]],M:M)</f>
        <v>14235195</v>
      </c>
      <c r="T1904" s="13">
        <f>SUMIF(N:N,Online_eCommerce[[#This Row],[Assigned Supervisor]],L:L)</f>
        <v>13693220</v>
      </c>
    </row>
    <row r="1905" spans="1:20" hidden="1" x14ac:dyDescent="0.3">
      <c r="A1905" t="s">
        <v>2963</v>
      </c>
      <c r="B1905" t="s">
        <v>119</v>
      </c>
      <c r="C1905" t="s">
        <v>94</v>
      </c>
      <c r="D1905" t="s">
        <v>2944</v>
      </c>
      <c r="E1905" t="s">
        <v>161</v>
      </c>
      <c r="F1905" t="s">
        <v>2964</v>
      </c>
      <c r="G1905" t="s">
        <v>77</v>
      </c>
      <c r="H1905" t="s">
        <v>142</v>
      </c>
      <c r="I1905">
        <v>10000</v>
      </c>
      <c r="J1905">
        <v>13000</v>
      </c>
      <c r="K1905">
        <v>1</v>
      </c>
      <c r="L1905">
        <v>10000</v>
      </c>
      <c r="M1905">
        <v>13000</v>
      </c>
      <c r="N1905" t="s">
        <v>28</v>
      </c>
      <c r="O1905">
        <f t="shared" si="58"/>
        <v>39000</v>
      </c>
      <c r="P1905" s="13">
        <f t="shared" si="59"/>
        <v>1868256</v>
      </c>
      <c r="Q1905" s="13">
        <f>SUMIFS(M:M,E:E,Online_eCommerce[[#This Row],[Status]])</f>
        <v>21103186</v>
      </c>
      <c r="R1905" s="13">
        <f>SUMIFS(L:L,H:H,Online_eCommerce[[#This Row],[Brand]])</f>
        <v>6192500</v>
      </c>
      <c r="S1905" s="13">
        <f>SUMIF(H:H,Online_eCommerce[[#This Row],[Brand]],M:M)</f>
        <v>8050250</v>
      </c>
      <c r="T1905" s="13">
        <f>SUMIF(N:N,Online_eCommerce[[#This Row],[Assigned Supervisor]],L:L)</f>
        <v>12220830</v>
      </c>
    </row>
    <row r="1906" spans="1:20" x14ac:dyDescent="0.3">
      <c r="A1906" t="s">
        <v>2965</v>
      </c>
      <c r="B1906" t="s">
        <v>124</v>
      </c>
      <c r="C1906" t="s">
        <v>99</v>
      </c>
      <c r="D1906" t="s">
        <v>2944</v>
      </c>
      <c r="E1906" t="s">
        <v>46</v>
      </c>
      <c r="F1906" t="s">
        <v>2966</v>
      </c>
      <c r="G1906" t="s">
        <v>20</v>
      </c>
      <c r="H1906" t="s">
        <v>21</v>
      </c>
      <c r="I1906">
        <v>6500</v>
      </c>
      <c r="J1906">
        <v>8450</v>
      </c>
      <c r="K1906">
        <v>3</v>
      </c>
      <c r="L1906">
        <v>19500</v>
      </c>
      <c r="M1906">
        <v>25350</v>
      </c>
      <c r="N1906" t="s">
        <v>35</v>
      </c>
      <c r="O1906">
        <f t="shared" si="58"/>
        <v>8450</v>
      </c>
      <c r="P1906" s="13">
        <f t="shared" si="59"/>
        <v>2651233</v>
      </c>
      <c r="Q1906" s="13">
        <f>SUMIFS(M:M,E:E,Online_eCommerce[[#This Row],[Status]])</f>
        <v>28620410</v>
      </c>
      <c r="R1906" s="13">
        <f>SUMIFS(L:L,H:H,Online_eCommerce[[#This Row],[Brand]])</f>
        <v>12435650</v>
      </c>
      <c r="S1906" s="13">
        <f>SUMIF(H:H,Online_eCommerce[[#This Row],[Brand]],M:M)</f>
        <v>16166345</v>
      </c>
      <c r="T1906" s="13">
        <f>SUMIF(N:N,Online_eCommerce[[#This Row],[Assigned Supervisor]],L:L)</f>
        <v>14373360</v>
      </c>
    </row>
    <row r="1907" spans="1:20" hidden="1" x14ac:dyDescent="0.3">
      <c r="A1907" t="s">
        <v>2967</v>
      </c>
      <c r="B1907" t="s">
        <v>128</v>
      </c>
      <c r="C1907" t="s">
        <v>105</v>
      </c>
      <c r="D1907" t="s">
        <v>2944</v>
      </c>
      <c r="E1907" t="s">
        <v>96</v>
      </c>
      <c r="F1907" t="s">
        <v>2968</v>
      </c>
      <c r="G1907" t="s">
        <v>26</v>
      </c>
      <c r="H1907" t="s">
        <v>27</v>
      </c>
      <c r="I1907">
        <v>8500</v>
      </c>
      <c r="J1907">
        <v>11050</v>
      </c>
      <c r="K1907">
        <v>1</v>
      </c>
      <c r="L1907">
        <v>8500</v>
      </c>
      <c r="M1907">
        <v>11050</v>
      </c>
      <c r="N1907" t="s">
        <v>42</v>
      </c>
      <c r="O1907">
        <f t="shared" si="58"/>
        <v>33150</v>
      </c>
      <c r="P1907" s="13">
        <f t="shared" si="59"/>
        <v>1866852</v>
      </c>
      <c r="Q1907" s="13">
        <f>SUMIFS(M:M,E:E,Online_eCommerce[[#This Row],[Status]])</f>
        <v>21233992</v>
      </c>
      <c r="R1907" s="13">
        <f>SUMIFS(L:L,H:H,Online_eCommerce[[#This Row],[Brand]])</f>
        <v>14431000</v>
      </c>
      <c r="S1907" s="13">
        <f>SUMIF(H:H,Online_eCommerce[[#This Row],[Brand]],M:M)</f>
        <v>18760300</v>
      </c>
      <c r="T1907" s="13">
        <f>SUMIF(N:N,Online_eCommerce[[#This Row],[Assigned Supervisor]],L:L)</f>
        <v>12261500</v>
      </c>
    </row>
    <row r="1908" spans="1:20" hidden="1" x14ac:dyDescent="0.3">
      <c r="A1908" t="s">
        <v>2969</v>
      </c>
      <c r="B1908" t="s">
        <v>131</v>
      </c>
      <c r="C1908" t="s">
        <v>110</v>
      </c>
      <c r="D1908" t="s">
        <v>2944</v>
      </c>
      <c r="E1908" t="s">
        <v>18</v>
      </c>
      <c r="F1908" t="s">
        <v>32</v>
      </c>
      <c r="G1908" t="s">
        <v>33</v>
      </c>
      <c r="H1908" t="s">
        <v>34</v>
      </c>
      <c r="I1908">
        <v>7000</v>
      </c>
      <c r="J1908">
        <v>9100</v>
      </c>
      <c r="K1908">
        <v>2</v>
      </c>
      <c r="L1908">
        <v>14000</v>
      </c>
      <c r="M1908">
        <v>18200</v>
      </c>
      <c r="N1908" t="s">
        <v>50</v>
      </c>
      <c r="O1908">
        <f t="shared" si="58"/>
        <v>18200</v>
      </c>
      <c r="P1908" s="13">
        <f t="shared" si="59"/>
        <v>2598635</v>
      </c>
      <c r="Q1908" s="13">
        <f>SUMIFS(M:M,E:E,Online_eCommerce[[#This Row],[Status]])</f>
        <v>28340455</v>
      </c>
      <c r="R1908" s="13">
        <f>SUMIFS(L:L,H:H,Online_eCommerce[[#This Row],[Brand]])</f>
        <v>10087000</v>
      </c>
      <c r="S1908" s="13">
        <f>SUMIF(H:H,Online_eCommerce[[#This Row],[Brand]],M:M)</f>
        <v>13113100</v>
      </c>
      <c r="T1908" s="13">
        <f>SUMIF(N:N,Online_eCommerce[[#This Row],[Assigned Supervisor]],L:L)</f>
        <v>12100590</v>
      </c>
    </row>
    <row r="1909" spans="1:20" hidden="1" x14ac:dyDescent="0.3">
      <c r="A1909" t="s">
        <v>2970</v>
      </c>
      <c r="B1909" t="s">
        <v>135</v>
      </c>
      <c r="C1909" t="s">
        <v>115</v>
      </c>
      <c r="D1909" t="s">
        <v>2944</v>
      </c>
      <c r="E1909" t="s">
        <v>161</v>
      </c>
      <c r="F1909" t="s">
        <v>2971</v>
      </c>
      <c r="G1909" t="s">
        <v>256</v>
      </c>
      <c r="H1909" t="s">
        <v>41</v>
      </c>
      <c r="I1909">
        <v>6550</v>
      </c>
      <c r="J1909">
        <v>8515</v>
      </c>
      <c r="K1909">
        <v>4</v>
      </c>
      <c r="L1909">
        <v>26200</v>
      </c>
      <c r="M1909">
        <v>34060</v>
      </c>
      <c r="N1909" t="s">
        <v>56</v>
      </c>
      <c r="O1909">
        <f t="shared" si="58"/>
        <v>9100</v>
      </c>
      <c r="P1909" s="13">
        <f t="shared" si="59"/>
        <v>2050178</v>
      </c>
      <c r="Q1909" s="13">
        <f>SUMIFS(M:M,E:E,Online_eCommerce[[#This Row],[Status]])</f>
        <v>21103186</v>
      </c>
      <c r="R1909" s="13">
        <f>SUMIFS(L:L,H:H,Online_eCommerce[[#This Row],[Brand]])</f>
        <v>4260400</v>
      </c>
      <c r="S1909" s="13">
        <f>SUMIF(H:H,Online_eCommerce[[#This Row],[Brand]],M:M)</f>
        <v>5538520</v>
      </c>
      <c r="T1909" s="13">
        <f>SUMIF(N:N,Online_eCommerce[[#This Row],[Assigned Supervisor]],L:L)</f>
        <v>11733610</v>
      </c>
    </row>
    <row r="1910" spans="1:20" x14ac:dyDescent="0.3">
      <c r="A1910" t="s">
        <v>2972</v>
      </c>
      <c r="B1910" t="s">
        <v>139</v>
      </c>
      <c r="C1910" t="s">
        <v>120</v>
      </c>
      <c r="D1910" t="s">
        <v>2944</v>
      </c>
      <c r="E1910" t="s">
        <v>46</v>
      </c>
      <c r="F1910" t="s">
        <v>47</v>
      </c>
      <c r="G1910" t="s">
        <v>259</v>
      </c>
      <c r="H1910" t="s">
        <v>49</v>
      </c>
      <c r="I1910">
        <v>7650</v>
      </c>
      <c r="J1910">
        <v>9945</v>
      </c>
      <c r="K1910">
        <v>1</v>
      </c>
      <c r="L1910">
        <v>7650</v>
      </c>
      <c r="M1910">
        <v>9945</v>
      </c>
      <c r="N1910" t="s">
        <v>22</v>
      </c>
      <c r="O1910">
        <f t="shared" si="58"/>
        <v>11700</v>
      </c>
      <c r="P1910" s="13">
        <f t="shared" si="59"/>
        <v>2734212</v>
      </c>
      <c r="Q1910" s="13">
        <f>SUMIFS(M:M,E:E,Online_eCommerce[[#This Row],[Status]])</f>
        <v>28620410</v>
      </c>
      <c r="R1910" s="13">
        <f>SUMIFS(L:L,H:H,Online_eCommerce[[#This Row],[Brand]])</f>
        <v>4528350</v>
      </c>
      <c r="S1910" s="13">
        <f>SUMIF(H:H,Online_eCommerce[[#This Row],[Brand]],M:M)</f>
        <v>5886855</v>
      </c>
      <c r="T1910" s="13">
        <f>SUMIF(N:N,Online_eCommerce[[#This Row],[Assigned Supervisor]],L:L)</f>
        <v>13693220</v>
      </c>
    </row>
    <row r="1911" spans="1:20" hidden="1" x14ac:dyDescent="0.3">
      <c r="A1911" t="s">
        <v>2973</v>
      </c>
      <c r="B1911" t="s">
        <v>144</v>
      </c>
      <c r="C1911" t="s">
        <v>125</v>
      </c>
      <c r="D1911" t="s">
        <v>2944</v>
      </c>
      <c r="E1911" t="s">
        <v>96</v>
      </c>
      <c r="F1911" t="s">
        <v>53</v>
      </c>
      <c r="G1911" t="s">
        <v>54</v>
      </c>
      <c r="H1911" t="s">
        <v>55</v>
      </c>
      <c r="I1911">
        <v>1150</v>
      </c>
      <c r="J1911">
        <v>1495</v>
      </c>
      <c r="K1911">
        <v>3</v>
      </c>
      <c r="L1911">
        <v>3450</v>
      </c>
      <c r="M1911">
        <v>4485</v>
      </c>
      <c r="N1911" t="s">
        <v>28</v>
      </c>
      <c r="O1911">
        <f t="shared" si="58"/>
        <v>2990</v>
      </c>
      <c r="P1911" s="13">
        <f t="shared" si="59"/>
        <v>2091154</v>
      </c>
      <c r="Q1911" s="13">
        <f>SUMIFS(M:M,E:E,Online_eCommerce[[#This Row],[Status]])</f>
        <v>21233992</v>
      </c>
      <c r="R1911" s="13">
        <f>SUMIFS(L:L,H:H,Online_eCommerce[[#This Row],[Brand]])</f>
        <v>2267380</v>
      </c>
      <c r="S1911" s="13">
        <f>SUMIF(H:H,Online_eCommerce[[#This Row],[Brand]],M:M)</f>
        <v>2947594</v>
      </c>
      <c r="T1911" s="13">
        <f>SUMIF(N:N,Online_eCommerce[[#This Row],[Assigned Supervisor]],L:L)</f>
        <v>12220830</v>
      </c>
    </row>
    <row r="1912" spans="1:20" hidden="1" x14ac:dyDescent="0.3">
      <c r="A1912" t="s">
        <v>2974</v>
      </c>
      <c r="B1912" t="s">
        <v>149</v>
      </c>
      <c r="C1912" t="s">
        <v>22</v>
      </c>
      <c r="D1912" t="s">
        <v>2944</v>
      </c>
      <c r="E1912" t="s">
        <v>18</v>
      </c>
      <c r="F1912" t="s">
        <v>59</v>
      </c>
      <c r="G1912" t="s">
        <v>60</v>
      </c>
      <c r="H1912" t="s">
        <v>61</v>
      </c>
      <c r="I1912">
        <v>850</v>
      </c>
      <c r="J1912">
        <v>1105</v>
      </c>
      <c r="K1912">
        <v>3</v>
      </c>
      <c r="L1912">
        <v>2550</v>
      </c>
      <c r="M1912">
        <v>3315</v>
      </c>
      <c r="N1912" t="s">
        <v>35</v>
      </c>
      <c r="O1912">
        <f t="shared" si="58"/>
        <v>3315</v>
      </c>
      <c r="P1912" s="13">
        <f t="shared" si="59"/>
        <v>2551588</v>
      </c>
      <c r="Q1912" s="13">
        <f>SUMIFS(M:M,E:E,Online_eCommerce[[#This Row],[Status]])</f>
        <v>28340455</v>
      </c>
      <c r="R1912" s="13">
        <f>SUMIFS(L:L,H:H,Online_eCommerce[[#This Row],[Brand]])</f>
        <v>10950150</v>
      </c>
      <c r="S1912" s="13">
        <f>SUMIF(H:H,Online_eCommerce[[#This Row],[Brand]],M:M)</f>
        <v>14235195</v>
      </c>
      <c r="T1912" s="13">
        <f>SUMIF(N:N,Online_eCommerce[[#This Row],[Assigned Supervisor]],L:L)</f>
        <v>14373360</v>
      </c>
    </row>
    <row r="1913" spans="1:20" hidden="1" x14ac:dyDescent="0.3">
      <c r="A1913" t="s">
        <v>2975</v>
      </c>
      <c r="B1913" t="s">
        <v>154</v>
      </c>
      <c r="C1913" t="s">
        <v>132</v>
      </c>
      <c r="D1913" t="s">
        <v>2944</v>
      </c>
      <c r="E1913" t="s">
        <v>161</v>
      </c>
      <c r="F1913" t="s">
        <v>65</v>
      </c>
      <c r="G1913" t="s">
        <v>66</v>
      </c>
      <c r="H1913" t="s">
        <v>21</v>
      </c>
      <c r="I1913">
        <v>650</v>
      </c>
      <c r="J1913">
        <v>845</v>
      </c>
      <c r="K1913">
        <v>4</v>
      </c>
      <c r="L1913">
        <v>2600</v>
      </c>
      <c r="M1913">
        <v>3380</v>
      </c>
      <c r="N1913" t="s">
        <v>42</v>
      </c>
      <c r="O1913">
        <f t="shared" si="58"/>
        <v>1690</v>
      </c>
      <c r="P1913" s="13">
        <f t="shared" si="59"/>
        <v>1989065</v>
      </c>
      <c r="Q1913" s="13">
        <f>SUMIFS(M:M,E:E,Online_eCommerce[[#This Row],[Status]])</f>
        <v>21103186</v>
      </c>
      <c r="R1913" s="13">
        <f>SUMIFS(L:L,H:H,Online_eCommerce[[#This Row],[Brand]])</f>
        <v>12435650</v>
      </c>
      <c r="S1913" s="13">
        <f>SUMIF(H:H,Online_eCommerce[[#This Row],[Brand]],M:M)</f>
        <v>16166345</v>
      </c>
      <c r="T1913" s="13">
        <f>SUMIF(N:N,Online_eCommerce[[#This Row],[Assigned Supervisor]],L:L)</f>
        <v>12261500</v>
      </c>
    </row>
    <row r="1914" spans="1:20" x14ac:dyDescent="0.3">
      <c r="A1914" t="s">
        <v>2976</v>
      </c>
      <c r="B1914" t="s">
        <v>159</v>
      </c>
      <c r="C1914" t="s">
        <v>136</v>
      </c>
      <c r="D1914" t="s">
        <v>2944</v>
      </c>
      <c r="E1914" t="s">
        <v>46</v>
      </c>
      <c r="F1914" t="s">
        <v>70</v>
      </c>
      <c r="G1914" t="s">
        <v>71</v>
      </c>
      <c r="H1914" t="s">
        <v>61</v>
      </c>
      <c r="I1914">
        <v>7500</v>
      </c>
      <c r="J1914">
        <v>9750</v>
      </c>
      <c r="K1914">
        <v>3</v>
      </c>
      <c r="L1914">
        <v>22500</v>
      </c>
      <c r="M1914">
        <v>29250</v>
      </c>
      <c r="N1914" t="s">
        <v>50</v>
      </c>
      <c r="O1914">
        <f t="shared" si="58"/>
        <v>9750</v>
      </c>
      <c r="P1914" s="13">
        <f t="shared" si="59"/>
        <v>2775162</v>
      </c>
      <c r="Q1914" s="13">
        <f>SUMIFS(M:M,E:E,Online_eCommerce[[#This Row],[Status]])</f>
        <v>28620410</v>
      </c>
      <c r="R1914" s="13">
        <f>SUMIFS(L:L,H:H,Online_eCommerce[[#This Row],[Brand]])</f>
        <v>10950150</v>
      </c>
      <c r="S1914" s="13">
        <f>SUMIF(H:H,Online_eCommerce[[#This Row],[Brand]],M:M)</f>
        <v>14235195</v>
      </c>
      <c r="T1914" s="13">
        <f>SUMIF(N:N,Online_eCommerce[[#This Row],[Assigned Supervisor]],L:L)</f>
        <v>12100590</v>
      </c>
    </row>
    <row r="1915" spans="1:20" hidden="1" x14ac:dyDescent="0.3">
      <c r="A1915" t="s">
        <v>2977</v>
      </c>
      <c r="B1915" t="s">
        <v>139</v>
      </c>
      <c r="C1915" t="s">
        <v>140</v>
      </c>
      <c r="D1915" t="s">
        <v>2944</v>
      </c>
      <c r="E1915" t="s">
        <v>96</v>
      </c>
      <c r="F1915" t="s">
        <v>2964</v>
      </c>
      <c r="G1915" t="s">
        <v>77</v>
      </c>
      <c r="H1915" t="s">
        <v>78</v>
      </c>
      <c r="I1915">
        <v>10000</v>
      </c>
      <c r="J1915">
        <v>13000</v>
      </c>
      <c r="K1915">
        <v>3</v>
      </c>
      <c r="L1915">
        <v>30000</v>
      </c>
      <c r="M1915">
        <v>39000</v>
      </c>
      <c r="N1915" t="s">
        <v>56</v>
      </c>
      <c r="O1915">
        <f t="shared" si="58"/>
        <v>39000</v>
      </c>
      <c r="P1915" s="13">
        <f t="shared" si="59"/>
        <v>2058264</v>
      </c>
      <c r="Q1915" s="13">
        <f>SUMIFS(M:M,E:E,Online_eCommerce[[#This Row],[Status]])</f>
        <v>21233992</v>
      </c>
      <c r="R1915" s="13">
        <f>SUMIFS(L:L,H:H,Online_eCommerce[[#This Row],[Brand]])</f>
        <v>3720000</v>
      </c>
      <c r="S1915" s="13">
        <f>SUMIF(H:H,Online_eCommerce[[#This Row],[Brand]],M:M)</f>
        <v>4836000</v>
      </c>
      <c r="T1915" s="13">
        <f>SUMIF(N:N,Online_eCommerce[[#This Row],[Assigned Supervisor]],L:L)</f>
        <v>11733610</v>
      </c>
    </row>
    <row r="1916" spans="1:20" hidden="1" x14ac:dyDescent="0.3">
      <c r="A1916" t="s">
        <v>2978</v>
      </c>
      <c r="B1916" t="s">
        <v>144</v>
      </c>
      <c r="C1916" t="s">
        <v>145</v>
      </c>
      <c r="D1916" t="s">
        <v>2944</v>
      </c>
      <c r="E1916" t="s">
        <v>18</v>
      </c>
      <c r="F1916" t="s">
        <v>2979</v>
      </c>
      <c r="G1916" t="s">
        <v>20</v>
      </c>
      <c r="H1916" t="s">
        <v>21</v>
      </c>
      <c r="I1916">
        <v>10500</v>
      </c>
      <c r="J1916">
        <v>13650</v>
      </c>
      <c r="K1916">
        <v>1</v>
      </c>
      <c r="L1916">
        <v>10500</v>
      </c>
      <c r="M1916">
        <v>13650</v>
      </c>
      <c r="N1916" t="s">
        <v>22</v>
      </c>
      <c r="O1916">
        <f t="shared" si="58"/>
        <v>8450</v>
      </c>
      <c r="P1916" s="13">
        <f t="shared" si="59"/>
        <v>2757859</v>
      </c>
      <c r="Q1916" s="13">
        <f>SUMIFS(M:M,E:E,Online_eCommerce[[#This Row],[Status]])</f>
        <v>28340455</v>
      </c>
      <c r="R1916" s="13">
        <f>SUMIFS(L:L,H:H,Online_eCommerce[[#This Row],[Brand]])</f>
        <v>12435650</v>
      </c>
      <c r="S1916" s="13">
        <f>SUMIF(H:H,Online_eCommerce[[#This Row],[Brand]],M:M)</f>
        <v>16166345</v>
      </c>
      <c r="T1916" s="13">
        <f>SUMIF(N:N,Online_eCommerce[[#This Row],[Assigned Supervisor]],L:L)</f>
        <v>13693220</v>
      </c>
    </row>
    <row r="1917" spans="1:20" hidden="1" x14ac:dyDescent="0.3">
      <c r="A1917" t="s">
        <v>2980</v>
      </c>
      <c r="B1917" t="s">
        <v>171</v>
      </c>
      <c r="C1917" t="s">
        <v>150</v>
      </c>
      <c r="D1917" t="s">
        <v>2944</v>
      </c>
      <c r="E1917" t="s">
        <v>161</v>
      </c>
      <c r="F1917" t="s">
        <v>88</v>
      </c>
      <c r="G1917" t="s">
        <v>26</v>
      </c>
      <c r="H1917" t="s">
        <v>27</v>
      </c>
      <c r="I1917">
        <v>8500</v>
      </c>
      <c r="J1917">
        <v>11050</v>
      </c>
      <c r="K1917">
        <v>4</v>
      </c>
      <c r="L1917">
        <v>34000</v>
      </c>
      <c r="M1917">
        <v>44200</v>
      </c>
      <c r="N1917" t="s">
        <v>28</v>
      </c>
      <c r="O1917">
        <f t="shared" si="58"/>
        <v>33150</v>
      </c>
      <c r="P1917" s="13">
        <f t="shared" si="59"/>
        <v>2154984</v>
      </c>
      <c r="Q1917" s="13">
        <f>SUMIFS(M:M,E:E,Online_eCommerce[[#This Row],[Status]])</f>
        <v>21103186</v>
      </c>
      <c r="R1917" s="13">
        <f>SUMIFS(L:L,H:H,Online_eCommerce[[#This Row],[Brand]])</f>
        <v>14431000</v>
      </c>
      <c r="S1917" s="13">
        <f>SUMIF(H:H,Online_eCommerce[[#This Row],[Brand]],M:M)</f>
        <v>18760300</v>
      </c>
      <c r="T1917" s="13">
        <f>SUMIF(N:N,Online_eCommerce[[#This Row],[Assigned Supervisor]],L:L)</f>
        <v>12220830</v>
      </c>
    </row>
    <row r="1918" spans="1:20" x14ac:dyDescent="0.3">
      <c r="A1918" t="s">
        <v>2981</v>
      </c>
      <c r="B1918" t="s">
        <v>176</v>
      </c>
      <c r="C1918" t="s">
        <v>155</v>
      </c>
      <c r="D1918" t="s">
        <v>2944</v>
      </c>
      <c r="E1918" t="s">
        <v>46</v>
      </c>
      <c r="F1918" t="s">
        <v>32</v>
      </c>
      <c r="G1918" t="s">
        <v>33</v>
      </c>
      <c r="H1918" t="s">
        <v>34</v>
      </c>
      <c r="I1918">
        <v>7000</v>
      </c>
      <c r="J1918">
        <v>9100</v>
      </c>
      <c r="K1918">
        <v>1</v>
      </c>
      <c r="L1918">
        <v>7000</v>
      </c>
      <c r="M1918">
        <v>9100</v>
      </c>
      <c r="N1918" t="s">
        <v>35</v>
      </c>
      <c r="O1918">
        <f t="shared" si="58"/>
        <v>18200</v>
      </c>
      <c r="P1918" s="13">
        <f t="shared" si="59"/>
        <v>2753348</v>
      </c>
      <c r="Q1918" s="13">
        <f>SUMIFS(M:M,E:E,Online_eCommerce[[#This Row],[Status]])</f>
        <v>28620410</v>
      </c>
      <c r="R1918" s="13">
        <f>SUMIFS(L:L,H:H,Online_eCommerce[[#This Row],[Brand]])</f>
        <v>10087000</v>
      </c>
      <c r="S1918" s="13">
        <f>SUMIF(H:H,Online_eCommerce[[#This Row],[Brand]],M:M)</f>
        <v>13113100</v>
      </c>
      <c r="T1918" s="13">
        <f>SUMIF(N:N,Online_eCommerce[[#This Row],[Assigned Supervisor]],L:L)</f>
        <v>14373360</v>
      </c>
    </row>
    <row r="1919" spans="1:20" hidden="1" x14ac:dyDescent="0.3">
      <c r="A1919" t="s">
        <v>2982</v>
      </c>
      <c r="B1919" t="s">
        <v>276</v>
      </c>
      <c r="C1919" t="s">
        <v>160</v>
      </c>
      <c r="D1919" t="s">
        <v>2944</v>
      </c>
      <c r="E1919" t="s">
        <v>96</v>
      </c>
      <c r="F1919" t="s">
        <v>2983</v>
      </c>
      <c r="G1919" t="s">
        <v>256</v>
      </c>
      <c r="H1919" t="s">
        <v>41</v>
      </c>
      <c r="I1919">
        <v>1680</v>
      </c>
      <c r="J1919">
        <v>2184</v>
      </c>
      <c r="K1919">
        <v>1</v>
      </c>
      <c r="L1919">
        <v>1680</v>
      </c>
      <c r="M1919">
        <v>2184</v>
      </c>
      <c r="N1919" t="s">
        <v>42</v>
      </c>
      <c r="O1919">
        <f t="shared" si="58"/>
        <v>9100</v>
      </c>
      <c r="P1919" s="13">
        <f t="shared" si="59"/>
        <v>2303483</v>
      </c>
      <c r="Q1919" s="13">
        <f>SUMIFS(M:M,E:E,Online_eCommerce[[#This Row],[Status]])</f>
        <v>21233992</v>
      </c>
      <c r="R1919" s="13">
        <f>SUMIFS(L:L,H:H,Online_eCommerce[[#This Row],[Brand]])</f>
        <v>4260400</v>
      </c>
      <c r="S1919" s="13">
        <f>SUMIF(H:H,Online_eCommerce[[#This Row],[Brand]],M:M)</f>
        <v>5538520</v>
      </c>
      <c r="T1919" s="13">
        <f>SUMIF(N:N,Online_eCommerce[[#This Row],[Assigned Supervisor]],L:L)</f>
        <v>12261500</v>
      </c>
    </row>
    <row r="1920" spans="1:20" hidden="1" x14ac:dyDescent="0.3">
      <c r="A1920" t="s">
        <v>2984</v>
      </c>
      <c r="B1920" t="s">
        <v>280</v>
      </c>
      <c r="C1920" t="s">
        <v>165</v>
      </c>
      <c r="D1920" t="s">
        <v>2944</v>
      </c>
      <c r="E1920" t="s">
        <v>18</v>
      </c>
      <c r="F1920" t="s">
        <v>101</v>
      </c>
      <c r="G1920" t="s">
        <v>259</v>
      </c>
      <c r="H1920" t="s">
        <v>102</v>
      </c>
      <c r="I1920">
        <v>6540</v>
      </c>
      <c r="J1920">
        <v>8502</v>
      </c>
      <c r="K1920">
        <v>2</v>
      </c>
      <c r="L1920">
        <v>13080</v>
      </c>
      <c r="M1920">
        <v>17004</v>
      </c>
      <c r="N1920" t="s">
        <v>50</v>
      </c>
      <c r="O1920">
        <f t="shared" si="58"/>
        <v>11700</v>
      </c>
      <c r="P1920" s="13">
        <f t="shared" si="59"/>
        <v>2674087</v>
      </c>
      <c r="Q1920" s="13">
        <f>SUMIFS(M:M,E:E,Online_eCommerce[[#This Row],[Status]])</f>
        <v>28340455</v>
      </c>
      <c r="R1920" s="13">
        <f>SUMIFS(L:L,H:H,Online_eCommerce[[#This Row],[Brand]])</f>
        <v>2465580</v>
      </c>
      <c r="S1920" s="13">
        <f>SUMIF(H:H,Online_eCommerce[[#This Row],[Brand]],M:M)</f>
        <v>3205254</v>
      </c>
      <c r="T1920" s="13">
        <f>SUMIF(N:N,Online_eCommerce[[#This Row],[Assigned Supervisor]],L:L)</f>
        <v>12100590</v>
      </c>
    </row>
    <row r="1921" spans="1:20" hidden="1" x14ac:dyDescent="0.3">
      <c r="A1921" t="s">
        <v>2985</v>
      </c>
      <c r="B1921" t="s">
        <v>283</v>
      </c>
      <c r="C1921" t="s">
        <v>168</v>
      </c>
      <c r="D1921" t="s">
        <v>2944</v>
      </c>
      <c r="E1921" t="s">
        <v>161</v>
      </c>
      <c r="F1921" t="s">
        <v>107</v>
      </c>
      <c r="G1921" t="s">
        <v>54</v>
      </c>
      <c r="H1921" t="s">
        <v>55</v>
      </c>
      <c r="I1921">
        <v>2680</v>
      </c>
      <c r="J1921">
        <v>3484</v>
      </c>
      <c r="K1921">
        <v>3</v>
      </c>
      <c r="L1921">
        <v>8040</v>
      </c>
      <c r="M1921">
        <v>10452</v>
      </c>
      <c r="N1921" t="s">
        <v>56</v>
      </c>
      <c r="O1921">
        <f t="shared" si="58"/>
        <v>2990</v>
      </c>
      <c r="P1921" s="13">
        <f t="shared" si="59"/>
        <v>1937780</v>
      </c>
      <c r="Q1921" s="13">
        <f>SUMIFS(M:M,E:E,Online_eCommerce[[#This Row],[Status]])</f>
        <v>21103186</v>
      </c>
      <c r="R1921" s="13">
        <f>SUMIFS(L:L,H:H,Online_eCommerce[[#This Row],[Brand]])</f>
        <v>2267380</v>
      </c>
      <c r="S1921" s="13">
        <f>SUMIF(H:H,Online_eCommerce[[#This Row],[Brand]],M:M)</f>
        <v>2947594</v>
      </c>
      <c r="T1921" s="13">
        <f>SUMIF(N:N,Online_eCommerce[[#This Row],[Assigned Supervisor]],L:L)</f>
        <v>11733610</v>
      </c>
    </row>
    <row r="1922" spans="1:20" x14ac:dyDescent="0.3">
      <c r="A1922" t="s">
        <v>2986</v>
      </c>
      <c r="B1922" t="s">
        <v>287</v>
      </c>
      <c r="C1922" t="s">
        <v>172</v>
      </c>
      <c r="D1922" t="s">
        <v>2944</v>
      </c>
      <c r="E1922" t="s">
        <v>46</v>
      </c>
      <c r="F1922" t="s">
        <v>112</v>
      </c>
      <c r="G1922" t="s">
        <v>71</v>
      </c>
      <c r="H1922" t="s">
        <v>21</v>
      </c>
      <c r="I1922">
        <v>8250</v>
      </c>
      <c r="J1922">
        <v>10725</v>
      </c>
      <c r="K1922">
        <v>2</v>
      </c>
      <c r="L1922">
        <v>16500</v>
      </c>
      <c r="M1922">
        <v>21450</v>
      </c>
      <c r="N1922" t="s">
        <v>22</v>
      </c>
      <c r="O1922">
        <f t="shared" ref="O1922:O1985" si="60">VLOOKUP(G1922,G:M,7,FALSE)</f>
        <v>9750</v>
      </c>
      <c r="P1922" s="13">
        <f t="shared" ref="P1922:P1985" si="61">SUMIFS(M:M,C:C,C1922)</f>
        <v>2640274</v>
      </c>
      <c r="Q1922" s="13">
        <f>SUMIFS(M:M,E:E,Online_eCommerce[[#This Row],[Status]])</f>
        <v>28620410</v>
      </c>
      <c r="R1922" s="13">
        <f>SUMIFS(L:L,H:H,Online_eCommerce[[#This Row],[Brand]])</f>
        <v>12435650</v>
      </c>
      <c r="S1922" s="13">
        <f>SUMIF(H:H,Online_eCommerce[[#This Row],[Brand]],M:M)</f>
        <v>16166345</v>
      </c>
      <c r="T1922" s="13">
        <f>SUMIF(N:N,Online_eCommerce[[#This Row],[Assigned Supervisor]],L:L)</f>
        <v>13693220</v>
      </c>
    </row>
    <row r="1923" spans="1:20" hidden="1" x14ac:dyDescent="0.3">
      <c r="A1923" t="s">
        <v>2987</v>
      </c>
      <c r="B1923" t="s">
        <v>290</v>
      </c>
      <c r="C1923" t="s">
        <v>177</v>
      </c>
      <c r="D1923" t="s">
        <v>2944</v>
      </c>
      <c r="E1923" t="s">
        <v>96</v>
      </c>
      <c r="F1923" t="s">
        <v>2543</v>
      </c>
      <c r="G1923" t="s">
        <v>40</v>
      </c>
      <c r="H1923" t="s">
        <v>21</v>
      </c>
      <c r="I1923">
        <v>2650</v>
      </c>
      <c r="J1923">
        <v>3445</v>
      </c>
      <c r="K1923">
        <v>3</v>
      </c>
      <c r="L1923">
        <v>7950</v>
      </c>
      <c r="M1923">
        <v>10335</v>
      </c>
      <c r="N1923" t="s">
        <v>28</v>
      </c>
      <c r="O1923">
        <f t="shared" si="60"/>
        <v>25545</v>
      </c>
      <c r="P1923" s="13">
        <f t="shared" si="61"/>
        <v>1863810</v>
      </c>
      <c r="Q1923" s="13">
        <f>SUMIFS(M:M,E:E,Online_eCommerce[[#This Row],[Status]])</f>
        <v>21233992</v>
      </c>
      <c r="R1923" s="13">
        <f>SUMIFS(L:L,H:H,Online_eCommerce[[#This Row],[Brand]])</f>
        <v>12435650</v>
      </c>
      <c r="S1923" s="13">
        <f>SUMIF(H:H,Online_eCommerce[[#This Row],[Brand]],M:M)</f>
        <v>16166345</v>
      </c>
      <c r="T1923" s="13">
        <f>SUMIF(N:N,Online_eCommerce[[#This Row],[Assigned Supervisor]],L:L)</f>
        <v>12220830</v>
      </c>
    </row>
    <row r="1924" spans="1:20" hidden="1" x14ac:dyDescent="0.3">
      <c r="A1924" t="s">
        <v>2988</v>
      </c>
      <c r="B1924" t="s">
        <v>15</v>
      </c>
      <c r="C1924" t="s">
        <v>181</v>
      </c>
      <c r="D1924" t="s">
        <v>2944</v>
      </c>
      <c r="E1924" t="s">
        <v>18</v>
      </c>
      <c r="F1924" t="s">
        <v>121</v>
      </c>
      <c r="G1924" t="s">
        <v>71</v>
      </c>
      <c r="H1924" t="s">
        <v>122</v>
      </c>
      <c r="I1924">
        <v>12550</v>
      </c>
      <c r="J1924">
        <v>16315</v>
      </c>
      <c r="K1924">
        <v>3</v>
      </c>
      <c r="L1924">
        <v>37650</v>
      </c>
      <c r="M1924">
        <v>48945</v>
      </c>
      <c r="N1924" t="s">
        <v>35</v>
      </c>
      <c r="O1924">
        <f t="shared" si="60"/>
        <v>9750</v>
      </c>
      <c r="P1924" s="13">
        <f t="shared" si="61"/>
        <v>2577458</v>
      </c>
      <c r="Q1924" s="13">
        <f>SUMIFS(M:M,E:E,Online_eCommerce[[#This Row],[Status]])</f>
        <v>28340455</v>
      </c>
      <c r="R1924" s="13">
        <f>SUMIFS(L:L,H:H,Online_eCommerce[[#This Row],[Brand]])</f>
        <v>5045100</v>
      </c>
      <c r="S1924" s="13">
        <f>SUMIF(H:H,Online_eCommerce[[#This Row],[Brand]],M:M)</f>
        <v>6558630</v>
      </c>
      <c r="T1924" s="13">
        <f>SUMIF(N:N,Online_eCommerce[[#This Row],[Assigned Supervisor]],L:L)</f>
        <v>14373360</v>
      </c>
    </row>
    <row r="1925" spans="1:20" hidden="1" x14ac:dyDescent="0.3">
      <c r="A1925" t="s">
        <v>2989</v>
      </c>
      <c r="B1925" t="s">
        <v>202</v>
      </c>
      <c r="C1925" t="s">
        <v>185</v>
      </c>
      <c r="D1925" t="s">
        <v>2944</v>
      </c>
      <c r="E1925" t="s">
        <v>161</v>
      </c>
      <c r="F1925" t="s">
        <v>126</v>
      </c>
      <c r="G1925" t="s">
        <v>26</v>
      </c>
      <c r="H1925" t="s">
        <v>27</v>
      </c>
      <c r="I1925">
        <v>14500</v>
      </c>
      <c r="J1925">
        <v>18850</v>
      </c>
      <c r="K1925">
        <v>3</v>
      </c>
      <c r="L1925">
        <v>43500</v>
      </c>
      <c r="M1925">
        <v>56550</v>
      </c>
      <c r="N1925" t="s">
        <v>42</v>
      </c>
      <c r="O1925">
        <f t="shared" si="60"/>
        <v>33150</v>
      </c>
      <c r="P1925" s="13">
        <f t="shared" si="61"/>
        <v>2091596</v>
      </c>
      <c r="Q1925" s="13">
        <f>SUMIFS(M:M,E:E,Online_eCommerce[[#This Row],[Status]])</f>
        <v>21103186</v>
      </c>
      <c r="R1925" s="13">
        <f>SUMIFS(L:L,H:H,Online_eCommerce[[#This Row],[Brand]])</f>
        <v>14431000</v>
      </c>
      <c r="S1925" s="13">
        <f>SUMIF(H:H,Online_eCommerce[[#This Row],[Brand]],M:M)</f>
        <v>18760300</v>
      </c>
      <c r="T1925" s="13">
        <f>SUMIF(N:N,Online_eCommerce[[#This Row],[Assigned Supervisor]],L:L)</f>
        <v>12261500</v>
      </c>
    </row>
    <row r="1926" spans="1:20" x14ac:dyDescent="0.3">
      <c r="A1926" t="s">
        <v>2990</v>
      </c>
      <c r="B1926" t="s">
        <v>30</v>
      </c>
      <c r="C1926" t="s">
        <v>189</v>
      </c>
      <c r="D1926" t="s">
        <v>2944</v>
      </c>
      <c r="E1926" t="s">
        <v>46</v>
      </c>
      <c r="F1926" t="s">
        <v>129</v>
      </c>
      <c r="G1926" t="s">
        <v>60</v>
      </c>
      <c r="H1926" t="s">
        <v>61</v>
      </c>
      <c r="I1926">
        <v>800</v>
      </c>
      <c r="J1926">
        <v>1040</v>
      </c>
      <c r="K1926">
        <v>3</v>
      </c>
      <c r="L1926">
        <v>2400</v>
      </c>
      <c r="M1926">
        <v>3120</v>
      </c>
      <c r="N1926" t="s">
        <v>50</v>
      </c>
      <c r="O1926">
        <f t="shared" si="60"/>
        <v>3315</v>
      </c>
      <c r="P1926" s="13">
        <f t="shared" si="61"/>
        <v>2740777</v>
      </c>
      <c r="Q1926" s="13">
        <f>SUMIFS(M:M,E:E,Online_eCommerce[[#This Row],[Status]])</f>
        <v>28620410</v>
      </c>
      <c r="R1926" s="13">
        <f>SUMIFS(L:L,H:H,Online_eCommerce[[#This Row],[Brand]])</f>
        <v>10950150</v>
      </c>
      <c r="S1926" s="13">
        <f>SUMIF(H:H,Online_eCommerce[[#This Row],[Brand]],M:M)</f>
        <v>14235195</v>
      </c>
      <c r="T1926" s="13">
        <f>SUMIF(N:N,Online_eCommerce[[#This Row],[Assigned Supervisor]],L:L)</f>
        <v>12100590</v>
      </c>
    </row>
    <row r="1927" spans="1:20" hidden="1" x14ac:dyDescent="0.3">
      <c r="A1927" t="s">
        <v>2991</v>
      </c>
      <c r="B1927" t="s">
        <v>37</v>
      </c>
      <c r="C1927" t="s">
        <v>193</v>
      </c>
      <c r="D1927" t="s">
        <v>2944</v>
      </c>
      <c r="E1927" t="s">
        <v>96</v>
      </c>
      <c r="F1927" t="s">
        <v>133</v>
      </c>
      <c r="G1927" t="s">
        <v>66</v>
      </c>
      <c r="H1927" t="s">
        <v>21</v>
      </c>
      <c r="I1927">
        <v>600</v>
      </c>
      <c r="J1927">
        <v>780</v>
      </c>
      <c r="K1927">
        <v>1</v>
      </c>
      <c r="L1927">
        <v>600</v>
      </c>
      <c r="M1927">
        <v>780</v>
      </c>
      <c r="N1927" t="s">
        <v>56</v>
      </c>
      <c r="O1927">
        <f t="shared" si="60"/>
        <v>1690</v>
      </c>
      <c r="P1927" s="13">
        <f t="shared" si="61"/>
        <v>2074774</v>
      </c>
      <c r="Q1927" s="13">
        <f>SUMIFS(M:M,E:E,Online_eCommerce[[#This Row],[Status]])</f>
        <v>21233992</v>
      </c>
      <c r="R1927" s="13">
        <f>SUMIFS(L:L,H:H,Online_eCommerce[[#This Row],[Brand]])</f>
        <v>12435650</v>
      </c>
      <c r="S1927" s="13">
        <f>SUMIF(H:H,Online_eCommerce[[#This Row],[Brand]],M:M)</f>
        <v>16166345</v>
      </c>
      <c r="T1927" s="13">
        <f>SUMIF(N:N,Online_eCommerce[[#This Row],[Assigned Supervisor]],L:L)</f>
        <v>11733610</v>
      </c>
    </row>
    <row r="1928" spans="1:20" hidden="1" x14ac:dyDescent="0.3">
      <c r="A1928" t="s">
        <v>2992</v>
      </c>
      <c r="B1928" t="s">
        <v>44</v>
      </c>
      <c r="C1928" t="s">
        <v>197</v>
      </c>
      <c r="D1928" t="s">
        <v>2944</v>
      </c>
      <c r="E1928" t="s">
        <v>18</v>
      </c>
      <c r="F1928" t="s">
        <v>137</v>
      </c>
      <c r="G1928" t="s">
        <v>71</v>
      </c>
      <c r="H1928" t="s">
        <v>61</v>
      </c>
      <c r="I1928">
        <v>10500</v>
      </c>
      <c r="J1928">
        <v>13650</v>
      </c>
      <c r="K1928">
        <v>1</v>
      </c>
      <c r="L1928">
        <v>10500</v>
      </c>
      <c r="M1928">
        <v>13650</v>
      </c>
      <c r="N1928" t="s">
        <v>22</v>
      </c>
      <c r="O1928">
        <f t="shared" si="60"/>
        <v>9750</v>
      </c>
      <c r="P1928" s="13">
        <f t="shared" si="61"/>
        <v>2829840</v>
      </c>
      <c r="Q1928" s="13">
        <f>SUMIFS(M:M,E:E,Online_eCommerce[[#This Row],[Status]])</f>
        <v>28340455</v>
      </c>
      <c r="R1928" s="13">
        <f>SUMIFS(L:L,H:H,Online_eCommerce[[#This Row],[Brand]])</f>
        <v>10950150</v>
      </c>
      <c r="S1928" s="13">
        <f>SUMIF(H:H,Online_eCommerce[[#This Row],[Brand]],M:M)</f>
        <v>14235195</v>
      </c>
      <c r="T1928" s="13">
        <f>SUMIF(N:N,Online_eCommerce[[#This Row],[Assigned Supervisor]],L:L)</f>
        <v>13693220</v>
      </c>
    </row>
    <row r="1929" spans="1:20" hidden="1" x14ac:dyDescent="0.3">
      <c r="A1929" t="s">
        <v>2993</v>
      </c>
      <c r="B1929" t="s">
        <v>213</v>
      </c>
      <c r="C1929" t="s">
        <v>199</v>
      </c>
      <c r="D1929" t="s">
        <v>2944</v>
      </c>
      <c r="E1929" t="s">
        <v>161</v>
      </c>
      <c r="F1929" t="s">
        <v>2964</v>
      </c>
      <c r="G1929" t="s">
        <v>77</v>
      </c>
      <c r="H1929" t="s">
        <v>142</v>
      </c>
      <c r="I1929">
        <v>6500</v>
      </c>
      <c r="J1929">
        <v>8450</v>
      </c>
      <c r="K1929">
        <v>2</v>
      </c>
      <c r="L1929">
        <v>13000</v>
      </c>
      <c r="M1929">
        <v>16900</v>
      </c>
      <c r="N1929" t="s">
        <v>28</v>
      </c>
      <c r="O1929">
        <f t="shared" si="60"/>
        <v>39000</v>
      </c>
      <c r="P1929" s="13">
        <f t="shared" si="61"/>
        <v>1947361</v>
      </c>
      <c r="Q1929" s="13">
        <f>SUMIFS(M:M,E:E,Online_eCommerce[[#This Row],[Status]])</f>
        <v>21103186</v>
      </c>
      <c r="R1929" s="13">
        <f>SUMIFS(L:L,H:H,Online_eCommerce[[#This Row],[Brand]])</f>
        <v>6192500</v>
      </c>
      <c r="S1929" s="13">
        <f>SUMIF(H:H,Online_eCommerce[[#This Row],[Brand]],M:M)</f>
        <v>8050250</v>
      </c>
      <c r="T1929" s="13">
        <f>SUMIF(N:N,Online_eCommerce[[#This Row],[Assigned Supervisor]],L:L)</f>
        <v>12220830</v>
      </c>
    </row>
    <row r="1930" spans="1:20" x14ac:dyDescent="0.3">
      <c r="A1930" t="s">
        <v>2994</v>
      </c>
      <c r="B1930" t="s">
        <v>215</v>
      </c>
      <c r="C1930" t="s">
        <v>203</v>
      </c>
      <c r="D1930" t="s">
        <v>2944</v>
      </c>
      <c r="E1930" t="s">
        <v>46</v>
      </c>
      <c r="F1930" t="s">
        <v>2995</v>
      </c>
      <c r="G1930" t="s">
        <v>20</v>
      </c>
      <c r="H1930" t="s">
        <v>21</v>
      </c>
      <c r="I1930">
        <v>4500</v>
      </c>
      <c r="J1930">
        <v>5850</v>
      </c>
      <c r="K1930">
        <v>4</v>
      </c>
      <c r="L1930">
        <v>18000</v>
      </c>
      <c r="M1930">
        <v>23400</v>
      </c>
      <c r="N1930" t="s">
        <v>35</v>
      </c>
      <c r="O1930">
        <f t="shared" si="60"/>
        <v>8450</v>
      </c>
      <c r="P1930" s="13">
        <f t="shared" si="61"/>
        <v>2559635</v>
      </c>
      <c r="Q1930" s="13">
        <f>SUMIFS(M:M,E:E,Online_eCommerce[[#This Row],[Status]])</f>
        <v>28620410</v>
      </c>
      <c r="R1930" s="13">
        <f>SUMIFS(L:L,H:H,Online_eCommerce[[#This Row],[Brand]])</f>
        <v>12435650</v>
      </c>
      <c r="S1930" s="13">
        <f>SUMIF(H:H,Online_eCommerce[[#This Row],[Brand]],M:M)</f>
        <v>16166345</v>
      </c>
      <c r="T1930" s="13">
        <f>SUMIF(N:N,Online_eCommerce[[#This Row],[Assigned Supervisor]],L:L)</f>
        <v>14373360</v>
      </c>
    </row>
    <row r="1931" spans="1:20" hidden="1" x14ac:dyDescent="0.3">
      <c r="A1931" t="s">
        <v>2996</v>
      </c>
      <c r="B1931" t="s">
        <v>306</v>
      </c>
      <c r="C1931" t="s">
        <v>205</v>
      </c>
      <c r="D1931" t="s">
        <v>2944</v>
      </c>
      <c r="E1931" t="s">
        <v>96</v>
      </c>
      <c r="F1931" t="s">
        <v>152</v>
      </c>
      <c r="G1931" t="s">
        <v>26</v>
      </c>
      <c r="H1931" t="s">
        <v>27</v>
      </c>
      <c r="I1931">
        <v>8500</v>
      </c>
      <c r="J1931">
        <v>11050</v>
      </c>
      <c r="K1931">
        <v>1</v>
      </c>
      <c r="L1931">
        <v>8500</v>
      </c>
      <c r="M1931">
        <v>11050</v>
      </c>
      <c r="N1931" t="s">
        <v>42</v>
      </c>
      <c r="O1931">
        <f t="shared" si="60"/>
        <v>33150</v>
      </c>
      <c r="P1931" s="13">
        <f t="shared" si="61"/>
        <v>1983254</v>
      </c>
      <c r="Q1931" s="13">
        <f>SUMIFS(M:M,E:E,Online_eCommerce[[#This Row],[Status]])</f>
        <v>21233992</v>
      </c>
      <c r="R1931" s="13">
        <f>SUMIFS(L:L,H:H,Online_eCommerce[[#This Row],[Brand]])</f>
        <v>14431000</v>
      </c>
      <c r="S1931" s="13">
        <f>SUMIF(H:H,Online_eCommerce[[#This Row],[Brand]],M:M)</f>
        <v>18760300</v>
      </c>
      <c r="T1931" s="13">
        <f>SUMIF(N:N,Online_eCommerce[[#This Row],[Assigned Supervisor]],L:L)</f>
        <v>12261500</v>
      </c>
    </row>
    <row r="1932" spans="1:20" hidden="1" x14ac:dyDescent="0.3">
      <c r="A1932" t="s">
        <v>2997</v>
      </c>
      <c r="B1932" t="s">
        <v>528</v>
      </c>
      <c r="C1932" t="s">
        <v>208</v>
      </c>
      <c r="D1932" t="s">
        <v>2944</v>
      </c>
      <c r="E1932" t="s">
        <v>18</v>
      </c>
      <c r="F1932" t="s">
        <v>157</v>
      </c>
      <c r="G1932" t="s">
        <v>33</v>
      </c>
      <c r="H1932" t="s">
        <v>34</v>
      </c>
      <c r="I1932">
        <v>12500</v>
      </c>
      <c r="J1932">
        <v>16250</v>
      </c>
      <c r="K1932">
        <v>2</v>
      </c>
      <c r="L1932">
        <v>25000</v>
      </c>
      <c r="M1932">
        <v>32500</v>
      </c>
      <c r="N1932" t="s">
        <v>50</v>
      </c>
      <c r="O1932">
        <f t="shared" si="60"/>
        <v>18200</v>
      </c>
      <c r="P1932" s="13">
        <f t="shared" si="61"/>
        <v>2746575</v>
      </c>
      <c r="Q1932" s="13">
        <f>SUMIFS(M:M,E:E,Online_eCommerce[[#This Row],[Status]])</f>
        <v>28340455</v>
      </c>
      <c r="R1932" s="13">
        <f>SUMIFS(L:L,H:H,Online_eCommerce[[#This Row],[Brand]])</f>
        <v>10087000</v>
      </c>
      <c r="S1932" s="13">
        <f>SUMIF(H:H,Online_eCommerce[[#This Row],[Brand]],M:M)</f>
        <v>13113100</v>
      </c>
      <c r="T1932" s="13">
        <f>SUMIF(N:N,Online_eCommerce[[#This Row],[Assigned Supervisor]],L:L)</f>
        <v>12100590</v>
      </c>
    </row>
    <row r="1933" spans="1:20" hidden="1" x14ac:dyDescent="0.3">
      <c r="A1933" t="s">
        <v>2998</v>
      </c>
      <c r="B1933" t="s">
        <v>73</v>
      </c>
      <c r="C1933" t="s">
        <v>211</v>
      </c>
      <c r="D1933" t="s">
        <v>2944</v>
      </c>
      <c r="E1933" t="s">
        <v>161</v>
      </c>
      <c r="F1933" t="s">
        <v>2596</v>
      </c>
      <c r="G1933" t="s">
        <v>40</v>
      </c>
      <c r="H1933" t="s">
        <v>41</v>
      </c>
      <c r="I1933">
        <v>3500</v>
      </c>
      <c r="J1933">
        <v>4550</v>
      </c>
      <c r="K1933">
        <v>3</v>
      </c>
      <c r="L1933">
        <v>10500</v>
      </c>
      <c r="M1933">
        <v>13650</v>
      </c>
      <c r="N1933" t="s">
        <v>56</v>
      </c>
      <c r="O1933">
        <f t="shared" si="60"/>
        <v>25545</v>
      </c>
      <c r="P1933" s="13">
        <f t="shared" si="61"/>
        <v>1809847</v>
      </c>
      <c r="Q1933" s="13">
        <f>SUMIFS(M:M,E:E,Online_eCommerce[[#This Row],[Status]])</f>
        <v>21103186</v>
      </c>
      <c r="R1933" s="13">
        <f>SUMIFS(L:L,H:H,Online_eCommerce[[#This Row],[Brand]])</f>
        <v>4260400</v>
      </c>
      <c r="S1933" s="13">
        <f>SUMIF(H:H,Online_eCommerce[[#This Row],[Brand]],M:M)</f>
        <v>5538520</v>
      </c>
      <c r="T1933" s="13">
        <f>SUMIF(N:N,Online_eCommerce[[#This Row],[Assigned Supervisor]],L:L)</f>
        <v>11733610</v>
      </c>
    </row>
    <row r="1934" spans="1:20" x14ac:dyDescent="0.3">
      <c r="A1934" t="s">
        <v>2999</v>
      </c>
      <c r="B1934" t="s">
        <v>80</v>
      </c>
      <c r="C1934" t="s">
        <v>16</v>
      </c>
      <c r="D1934" t="s">
        <v>2944</v>
      </c>
      <c r="E1934" t="s">
        <v>46</v>
      </c>
      <c r="F1934" t="s">
        <v>166</v>
      </c>
      <c r="G1934" t="s">
        <v>334</v>
      </c>
      <c r="H1934" t="s">
        <v>49</v>
      </c>
      <c r="I1934">
        <v>4500</v>
      </c>
      <c r="J1934">
        <v>5850</v>
      </c>
      <c r="K1934">
        <v>2</v>
      </c>
      <c r="L1934">
        <v>9000</v>
      </c>
      <c r="M1934">
        <v>11700</v>
      </c>
      <c r="N1934" t="s">
        <v>22</v>
      </c>
      <c r="O1934">
        <f t="shared" si="60"/>
        <v>39780</v>
      </c>
      <c r="P1934" s="13">
        <f t="shared" si="61"/>
        <v>2751814</v>
      </c>
      <c r="Q1934" s="13">
        <f>SUMIFS(M:M,E:E,Online_eCommerce[[#This Row],[Status]])</f>
        <v>28620410</v>
      </c>
      <c r="R1934" s="13">
        <f>SUMIFS(L:L,H:H,Online_eCommerce[[#This Row],[Brand]])</f>
        <v>4528350</v>
      </c>
      <c r="S1934" s="13">
        <f>SUMIF(H:H,Online_eCommerce[[#This Row],[Brand]],M:M)</f>
        <v>5886855</v>
      </c>
      <c r="T1934" s="13">
        <f>SUMIF(N:N,Online_eCommerce[[#This Row],[Assigned Supervisor]],L:L)</f>
        <v>13693220</v>
      </c>
    </row>
    <row r="1935" spans="1:20" hidden="1" x14ac:dyDescent="0.3">
      <c r="A1935" t="s">
        <v>3000</v>
      </c>
      <c r="B1935" t="s">
        <v>85</v>
      </c>
      <c r="C1935" t="s">
        <v>24</v>
      </c>
      <c r="D1935" t="s">
        <v>2944</v>
      </c>
      <c r="E1935" t="s">
        <v>96</v>
      </c>
      <c r="F1935" t="s">
        <v>3001</v>
      </c>
      <c r="G1935" t="s">
        <v>54</v>
      </c>
      <c r="H1935" t="s">
        <v>55</v>
      </c>
      <c r="I1935">
        <v>2100</v>
      </c>
      <c r="J1935">
        <v>2730</v>
      </c>
      <c r="K1935">
        <v>2</v>
      </c>
      <c r="L1935">
        <v>4200</v>
      </c>
      <c r="M1935">
        <v>5460</v>
      </c>
      <c r="N1935" t="s">
        <v>28</v>
      </c>
      <c r="O1935">
        <f t="shared" si="60"/>
        <v>2990</v>
      </c>
      <c r="P1935" s="13">
        <f t="shared" si="61"/>
        <v>2009540</v>
      </c>
      <c r="Q1935" s="13">
        <f>SUMIFS(M:M,E:E,Online_eCommerce[[#This Row],[Status]])</f>
        <v>21233992</v>
      </c>
      <c r="R1935" s="13">
        <f>SUMIFS(L:L,H:H,Online_eCommerce[[#This Row],[Brand]])</f>
        <v>2267380</v>
      </c>
      <c r="S1935" s="13">
        <f>SUMIF(H:H,Online_eCommerce[[#This Row],[Brand]],M:M)</f>
        <v>2947594</v>
      </c>
      <c r="T1935" s="13">
        <f>SUMIF(N:N,Online_eCommerce[[#This Row],[Assigned Supervisor]],L:L)</f>
        <v>12220830</v>
      </c>
    </row>
    <row r="1936" spans="1:20" hidden="1" x14ac:dyDescent="0.3">
      <c r="A1936" t="s">
        <v>3002</v>
      </c>
      <c r="B1936" t="s">
        <v>90</v>
      </c>
      <c r="C1936" t="s">
        <v>31</v>
      </c>
      <c r="D1936" t="s">
        <v>2944</v>
      </c>
      <c r="E1936" t="s">
        <v>18</v>
      </c>
      <c r="F1936" t="s">
        <v>174</v>
      </c>
      <c r="G1936" t="s">
        <v>60</v>
      </c>
      <c r="H1936" t="s">
        <v>61</v>
      </c>
      <c r="I1936">
        <v>1150</v>
      </c>
      <c r="J1936">
        <v>1495</v>
      </c>
      <c r="K1936">
        <v>4</v>
      </c>
      <c r="L1936">
        <v>4600</v>
      </c>
      <c r="M1936">
        <v>5980</v>
      </c>
      <c r="N1936" t="s">
        <v>35</v>
      </c>
      <c r="O1936">
        <f t="shared" si="60"/>
        <v>3315</v>
      </c>
      <c r="P1936" s="13">
        <f t="shared" si="61"/>
        <v>2865746</v>
      </c>
      <c r="Q1936" s="13">
        <f>SUMIFS(M:M,E:E,Online_eCommerce[[#This Row],[Status]])</f>
        <v>28340455</v>
      </c>
      <c r="R1936" s="13">
        <f>SUMIFS(L:L,H:H,Online_eCommerce[[#This Row],[Brand]])</f>
        <v>10950150</v>
      </c>
      <c r="S1936" s="13">
        <f>SUMIF(H:H,Online_eCommerce[[#This Row],[Brand]],M:M)</f>
        <v>14235195</v>
      </c>
      <c r="T1936" s="13">
        <f>SUMIF(N:N,Online_eCommerce[[#This Row],[Assigned Supervisor]],L:L)</f>
        <v>14373360</v>
      </c>
    </row>
    <row r="1937" spans="1:20" hidden="1" x14ac:dyDescent="0.3">
      <c r="A1937" t="s">
        <v>3003</v>
      </c>
      <c r="B1937" t="s">
        <v>232</v>
      </c>
      <c r="C1937" t="s">
        <v>38</v>
      </c>
      <c r="D1937" t="s">
        <v>2944</v>
      </c>
      <c r="E1937" t="s">
        <v>161</v>
      </c>
      <c r="F1937" t="s">
        <v>179</v>
      </c>
      <c r="G1937" t="s">
        <v>66</v>
      </c>
      <c r="H1937" t="s">
        <v>21</v>
      </c>
      <c r="I1937">
        <v>350</v>
      </c>
      <c r="J1937">
        <v>455</v>
      </c>
      <c r="K1937">
        <v>2</v>
      </c>
      <c r="L1937">
        <v>700</v>
      </c>
      <c r="M1937">
        <v>910</v>
      </c>
      <c r="N1937" t="s">
        <v>42</v>
      </c>
      <c r="O1937">
        <f t="shared" si="60"/>
        <v>1690</v>
      </c>
      <c r="P1937" s="13">
        <f t="shared" si="61"/>
        <v>1933997</v>
      </c>
      <c r="Q1937" s="13">
        <f>SUMIFS(M:M,E:E,Online_eCommerce[[#This Row],[Status]])</f>
        <v>21103186</v>
      </c>
      <c r="R1937" s="13">
        <f>SUMIFS(L:L,H:H,Online_eCommerce[[#This Row],[Brand]])</f>
        <v>12435650</v>
      </c>
      <c r="S1937" s="13">
        <f>SUMIF(H:H,Online_eCommerce[[#This Row],[Brand]],M:M)</f>
        <v>16166345</v>
      </c>
      <c r="T1937" s="13">
        <f>SUMIF(N:N,Online_eCommerce[[#This Row],[Assigned Supervisor]],L:L)</f>
        <v>12261500</v>
      </c>
    </row>
    <row r="1938" spans="1:20" x14ac:dyDescent="0.3">
      <c r="A1938" t="s">
        <v>3004</v>
      </c>
      <c r="B1938" t="s">
        <v>235</v>
      </c>
      <c r="C1938" t="s">
        <v>45</v>
      </c>
      <c r="D1938" t="s">
        <v>2944</v>
      </c>
      <c r="E1938" t="s">
        <v>46</v>
      </c>
      <c r="F1938" t="s">
        <v>183</v>
      </c>
      <c r="G1938" t="s">
        <v>71</v>
      </c>
      <c r="H1938" t="s">
        <v>61</v>
      </c>
      <c r="I1938">
        <v>9500</v>
      </c>
      <c r="J1938">
        <v>12350</v>
      </c>
      <c r="K1938">
        <v>3</v>
      </c>
      <c r="L1938">
        <v>28500</v>
      </c>
      <c r="M1938">
        <v>37050</v>
      </c>
      <c r="N1938" t="s">
        <v>50</v>
      </c>
      <c r="O1938">
        <f t="shared" si="60"/>
        <v>9750</v>
      </c>
      <c r="P1938" s="13">
        <f t="shared" si="61"/>
        <v>2842554</v>
      </c>
      <c r="Q1938" s="13">
        <f>SUMIFS(M:M,E:E,Online_eCommerce[[#This Row],[Status]])</f>
        <v>28620410</v>
      </c>
      <c r="R1938" s="13">
        <f>SUMIFS(L:L,H:H,Online_eCommerce[[#This Row],[Brand]])</f>
        <v>10950150</v>
      </c>
      <c r="S1938" s="13">
        <f>SUMIF(H:H,Online_eCommerce[[#This Row],[Brand]],M:M)</f>
        <v>14235195</v>
      </c>
      <c r="T1938" s="13">
        <f>SUMIF(N:N,Online_eCommerce[[#This Row],[Assigned Supervisor]],L:L)</f>
        <v>12100590</v>
      </c>
    </row>
    <row r="1939" spans="1:20" hidden="1" x14ac:dyDescent="0.3">
      <c r="A1939" t="s">
        <v>3005</v>
      </c>
      <c r="B1939" t="s">
        <v>235</v>
      </c>
      <c r="C1939" t="s">
        <v>52</v>
      </c>
      <c r="D1939" t="s">
        <v>2944</v>
      </c>
      <c r="E1939" t="s">
        <v>96</v>
      </c>
      <c r="F1939" t="s">
        <v>3006</v>
      </c>
      <c r="G1939" t="s">
        <v>77</v>
      </c>
      <c r="H1939" t="s">
        <v>142</v>
      </c>
      <c r="I1939">
        <v>10000</v>
      </c>
      <c r="J1939">
        <v>13000</v>
      </c>
      <c r="K1939">
        <v>4</v>
      </c>
      <c r="L1939">
        <v>40000</v>
      </c>
      <c r="M1939">
        <v>52000</v>
      </c>
      <c r="N1939" t="s">
        <v>56</v>
      </c>
      <c r="O1939">
        <f t="shared" si="60"/>
        <v>39000</v>
      </c>
      <c r="P1939" s="13">
        <f t="shared" si="61"/>
        <v>1955044</v>
      </c>
      <c r="Q1939" s="13">
        <f>SUMIFS(M:M,E:E,Online_eCommerce[[#This Row],[Status]])</f>
        <v>21233992</v>
      </c>
      <c r="R1939" s="13">
        <f>SUMIFS(L:L,H:H,Online_eCommerce[[#This Row],[Brand]])</f>
        <v>6192500</v>
      </c>
      <c r="S1939" s="13">
        <f>SUMIF(H:H,Online_eCommerce[[#This Row],[Brand]],M:M)</f>
        <v>8050250</v>
      </c>
      <c r="T1939" s="13">
        <f>SUMIF(N:N,Online_eCommerce[[#This Row],[Assigned Supervisor]],L:L)</f>
        <v>11733610</v>
      </c>
    </row>
    <row r="1940" spans="1:20" hidden="1" x14ac:dyDescent="0.3">
      <c r="A1940" t="s">
        <v>3007</v>
      </c>
      <c r="B1940" t="s">
        <v>235</v>
      </c>
      <c r="C1940" t="s">
        <v>58</v>
      </c>
      <c r="D1940" t="s">
        <v>2944</v>
      </c>
      <c r="E1940" t="s">
        <v>18</v>
      </c>
      <c r="F1940" t="s">
        <v>3008</v>
      </c>
      <c r="G1940" t="s">
        <v>20</v>
      </c>
      <c r="H1940" t="s">
        <v>21</v>
      </c>
      <c r="I1940">
        <v>6500</v>
      </c>
      <c r="J1940">
        <v>8450</v>
      </c>
      <c r="K1940">
        <v>2</v>
      </c>
      <c r="L1940">
        <v>13000</v>
      </c>
      <c r="M1940">
        <v>16900</v>
      </c>
      <c r="N1940" t="s">
        <v>22</v>
      </c>
      <c r="O1940">
        <f t="shared" si="60"/>
        <v>8450</v>
      </c>
      <c r="P1940" s="13">
        <f t="shared" si="61"/>
        <v>2629211</v>
      </c>
      <c r="Q1940" s="13">
        <f>SUMIFS(M:M,E:E,Online_eCommerce[[#This Row],[Status]])</f>
        <v>28340455</v>
      </c>
      <c r="R1940" s="13">
        <f>SUMIFS(L:L,H:H,Online_eCommerce[[#This Row],[Brand]])</f>
        <v>12435650</v>
      </c>
      <c r="S1940" s="13">
        <f>SUMIF(H:H,Online_eCommerce[[#This Row],[Brand]],M:M)</f>
        <v>16166345</v>
      </c>
      <c r="T1940" s="13">
        <f>SUMIF(N:N,Online_eCommerce[[#This Row],[Assigned Supervisor]],L:L)</f>
        <v>13693220</v>
      </c>
    </row>
    <row r="1941" spans="1:20" hidden="1" x14ac:dyDescent="0.3">
      <c r="A1941" t="s">
        <v>3009</v>
      </c>
      <c r="B1941" t="s">
        <v>235</v>
      </c>
      <c r="C1941" t="s">
        <v>63</v>
      </c>
      <c r="D1941" t="s">
        <v>2944</v>
      </c>
      <c r="E1941" t="s">
        <v>161</v>
      </c>
      <c r="F1941" t="s">
        <v>3010</v>
      </c>
      <c r="G1941" t="s">
        <v>26</v>
      </c>
      <c r="H1941" t="s">
        <v>27</v>
      </c>
      <c r="I1941">
        <v>8500</v>
      </c>
      <c r="J1941">
        <v>11050</v>
      </c>
      <c r="K1941">
        <v>2</v>
      </c>
      <c r="L1941">
        <v>17000</v>
      </c>
      <c r="M1941">
        <v>22100</v>
      </c>
      <c r="N1941" t="s">
        <v>28</v>
      </c>
      <c r="O1941">
        <f t="shared" si="60"/>
        <v>33150</v>
      </c>
      <c r="P1941" s="13">
        <f t="shared" si="61"/>
        <v>2016131</v>
      </c>
      <c r="Q1941" s="13">
        <f>SUMIFS(M:M,E:E,Online_eCommerce[[#This Row],[Status]])</f>
        <v>21103186</v>
      </c>
      <c r="R1941" s="13">
        <f>SUMIFS(L:L,H:H,Online_eCommerce[[#This Row],[Brand]])</f>
        <v>14431000</v>
      </c>
      <c r="S1941" s="13">
        <f>SUMIF(H:H,Online_eCommerce[[#This Row],[Brand]],M:M)</f>
        <v>18760300</v>
      </c>
      <c r="T1941" s="13">
        <f>SUMIF(N:N,Online_eCommerce[[#This Row],[Assigned Supervisor]],L:L)</f>
        <v>12220830</v>
      </c>
    </row>
    <row r="1942" spans="1:20" x14ac:dyDescent="0.3">
      <c r="A1942" t="s">
        <v>3011</v>
      </c>
      <c r="B1942" t="s">
        <v>235</v>
      </c>
      <c r="C1942" t="s">
        <v>68</v>
      </c>
      <c r="D1942" t="s">
        <v>2944</v>
      </c>
      <c r="E1942" t="s">
        <v>46</v>
      </c>
      <c r="F1942" t="s">
        <v>32</v>
      </c>
      <c r="G1942" t="s">
        <v>33</v>
      </c>
      <c r="H1942" t="s">
        <v>34</v>
      </c>
      <c r="I1942">
        <v>7000</v>
      </c>
      <c r="J1942">
        <v>9100</v>
      </c>
      <c r="K1942">
        <v>2</v>
      </c>
      <c r="L1942">
        <v>14000</v>
      </c>
      <c r="M1942">
        <v>18200</v>
      </c>
      <c r="N1942" t="s">
        <v>35</v>
      </c>
      <c r="O1942">
        <f t="shared" si="60"/>
        <v>18200</v>
      </c>
      <c r="P1942" s="13">
        <f t="shared" si="61"/>
        <v>2974621</v>
      </c>
      <c r="Q1942" s="13">
        <f>SUMIFS(M:M,E:E,Online_eCommerce[[#This Row],[Status]])</f>
        <v>28620410</v>
      </c>
      <c r="R1942" s="13">
        <f>SUMIFS(L:L,H:H,Online_eCommerce[[#This Row],[Brand]])</f>
        <v>10087000</v>
      </c>
      <c r="S1942" s="13">
        <f>SUMIF(H:H,Online_eCommerce[[#This Row],[Brand]],M:M)</f>
        <v>13113100</v>
      </c>
      <c r="T1942" s="13">
        <f>SUMIF(N:N,Online_eCommerce[[#This Row],[Assigned Supervisor]],L:L)</f>
        <v>14373360</v>
      </c>
    </row>
    <row r="1943" spans="1:20" hidden="1" x14ac:dyDescent="0.3">
      <c r="A1943" t="s">
        <v>3012</v>
      </c>
      <c r="B1943" t="s">
        <v>235</v>
      </c>
      <c r="C1943" t="s">
        <v>74</v>
      </c>
      <c r="D1943" t="s">
        <v>2944</v>
      </c>
      <c r="E1943" t="s">
        <v>96</v>
      </c>
      <c r="F1943" t="s">
        <v>3013</v>
      </c>
      <c r="G1943" t="s">
        <v>40</v>
      </c>
      <c r="H1943" t="s">
        <v>41</v>
      </c>
      <c r="I1943">
        <v>6550</v>
      </c>
      <c r="J1943">
        <v>8515</v>
      </c>
      <c r="K1943">
        <v>2</v>
      </c>
      <c r="L1943">
        <v>13100</v>
      </c>
      <c r="M1943">
        <v>17030</v>
      </c>
      <c r="N1943" t="s">
        <v>42</v>
      </c>
      <c r="O1943">
        <f t="shared" si="60"/>
        <v>25545</v>
      </c>
      <c r="P1943" s="13">
        <f t="shared" si="61"/>
        <v>2144701</v>
      </c>
      <c r="Q1943" s="13">
        <f>SUMIFS(M:M,E:E,Online_eCommerce[[#This Row],[Status]])</f>
        <v>21233992</v>
      </c>
      <c r="R1943" s="13">
        <f>SUMIFS(L:L,H:H,Online_eCommerce[[#This Row],[Brand]])</f>
        <v>4260400</v>
      </c>
      <c r="S1943" s="13">
        <f>SUMIF(H:H,Online_eCommerce[[#This Row],[Brand]],M:M)</f>
        <v>5538520</v>
      </c>
      <c r="T1943" s="13">
        <f>SUMIF(N:N,Online_eCommerce[[#This Row],[Assigned Supervisor]],L:L)</f>
        <v>12261500</v>
      </c>
    </row>
    <row r="1944" spans="1:20" hidden="1" x14ac:dyDescent="0.3">
      <c r="A1944" t="s">
        <v>3014</v>
      </c>
      <c r="B1944" t="s">
        <v>235</v>
      </c>
      <c r="C1944" t="s">
        <v>81</v>
      </c>
      <c r="D1944" t="s">
        <v>2944</v>
      </c>
      <c r="E1944" t="s">
        <v>18</v>
      </c>
      <c r="F1944" t="s">
        <v>47</v>
      </c>
      <c r="G1944" t="s">
        <v>334</v>
      </c>
      <c r="H1944" t="s">
        <v>49</v>
      </c>
      <c r="I1944">
        <v>7650</v>
      </c>
      <c r="J1944">
        <v>9945</v>
      </c>
      <c r="K1944">
        <v>2</v>
      </c>
      <c r="L1944">
        <v>15300</v>
      </c>
      <c r="M1944">
        <v>19890</v>
      </c>
      <c r="N1944" t="s">
        <v>50</v>
      </c>
      <c r="O1944">
        <f t="shared" si="60"/>
        <v>39780</v>
      </c>
      <c r="P1944" s="13">
        <f t="shared" si="61"/>
        <v>2595632</v>
      </c>
      <c r="Q1944" s="13">
        <f>SUMIFS(M:M,E:E,Online_eCommerce[[#This Row],[Status]])</f>
        <v>28340455</v>
      </c>
      <c r="R1944" s="13">
        <f>SUMIFS(L:L,H:H,Online_eCommerce[[#This Row],[Brand]])</f>
        <v>4528350</v>
      </c>
      <c r="S1944" s="13">
        <f>SUMIF(H:H,Online_eCommerce[[#This Row],[Brand]],M:M)</f>
        <v>5886855</v>
      </c>
      <c r="T1944" s="13">
        <f>SUMIF(N:N,Online_eCommerce[[#This Row],[Assigned Supervisor]],L:L)</f>
        <v>12100590</v>
      </c>
    </row>
    <row r="1945" spans="1:20" hidden="1" x14ac:dyDescent="0.3">
      <c r="A1945" t="s">
        <v>3015</v>
      </c>
      <c r="B1945" t="s">
        <v>235</v>
      </c>
      <c r="C1945" t="s">
        <v>86</v>
      </c>
      <c r="D1945" t="s">
        <v>2944</v>
      </c>
      <c r="E1945" t="s">
        <v>161</v>
      </c>
      <c r="F1945" t="s">
        <v>53</v>
      </c>
      <c r="G1945" t="s">
        <v>54</v>
      </c>
      <c r="H1945" t="s">
        <v>55</v>
      </c>
      <c r="I1945">
        <v>1150</v>
      </c>
      <c r="J1945">
        <v>1495</v>
      </c>
      <c r="K1945">
        <v>1</v>
      </c>
      <c r="L1945">
        <v>1150</v>
      </c>
      <c r="M1945">
        <v>1495</v>
      </c>
      <c r="N1945" t="s">
        <v>56</v>
      </c>
      <c r="O1945">
        <f t="shared" si="60"/>
        <v>2990</v>
      </c>
      <c r="P1945" s="13">
        <f t="shared" si="61"/>
        <v>1941225</v>
      </c>
      <c r="Q1945" s="13">
        <f>SUMIFS(M:M,E:E,Online_eCommerce[[#This Row],[Status]])</f>
        <v>21103186</v>
      </c>
      <c r="R1945" s="13">
        <f>SUMIFS(L:L,H:H,Online_eCommerce[[#This Row],[Brand]])</f>
        <v>2267380</v>
      </c>
      <c r="S1945" s="13">
        <f>SUMIF(H:H,Online_eCommerce[[#This Row],[Brand]],M:M)</f>
        <v>2947594</v>
      </c>
      <c r="T1945" s="13">
        <f>SUMIF(N:N,Online_eCommerce[[#This Row],[Assigned Supervisor]],L:L)</f>
        <v>11733610</v>
      </c>
    </row>
    <row r="1946" spans="1:20" x14ac:dyDescent="0.3">
      <c r="A1946" t="s">
        <v>3016</v>
      </c>
      <c r="B1946" t="s">
        <v>235</v>
      </c>
      <c r="C1946" t="s">
        <v>91</v>
      </c>
      <c r="D1946" t="s">
        <v>2944</v>
      </c>
      <c r="E1946" t="s">
        <v>46</v>
      </c>
      <c r="F1946" t="s">
        <v>59</v>
      </c>
      <c r="G1946" t="s">
        <v>60</v>
      </c>
      <c r="H1946" t="s">
        <v>61</v>
      </c>
      <c r="I1946">
        <v>850</v>
      </c>
      <c r="J1946">
        <v>1105</v>
      </c>
      <c r="K1946">
        <v>4</v>
      </c>
      <c r="L1946">
        <v>3400</v>
      </c>
      <c r="M1946">
        <v>4420</v>
      </c>
      <c r="N1946" t="s">
        <v>22</v>
      </c>
      <c r="O1946">
        <f t="shared" si="60"/>
        <v>3315</v>
      </c>
      <c r="P1946" s="13">
        <f t="shared" si="61"/>
        <v>2731963</v>
      </c>
      <c r="Q1946" s="13">
        <f>SUMIFS(M:M,E:E,Online_eCommerce[[#This Row],[Status]])</f>
        <v>28620410</v>
      </c>
      <c r="R1946" s="13">
        <f>SUMIFS(L:L,H:H,Online_eCommerce[[#This Row],[Brand]])</f>
        <v>10950150</v>
      </c>
      <c r="S1946" s="13">
        <f>SUMIF(H:H,Online_eCommerce[[#This Row],[Brand]],M:M)</f>
        <v>14235195</v>
      </c>
      <c r="T1946" s="13">
        <f>SUMIF(N:N,Online_eCommerce[[#This Row],[Assigned Supervisor]],L:L)</f>
        <v>13693220</v>
      </c>
    </row>
    <row r="1947" spans="1:20" hidden="1" x14ac:dyDescent="0.3">
      <c r="A1947" t="s">
        <v>3017</v>
      </c>
      <c r="B1947" t="s">
        <v>235</v>
      </c>
      <c r="C1947" t="s">
        <v>94</v>
      </c>
      <c r="D1947" t="s">
        <v>2944</v>
      </c>
      <c r="E1947" t="s">
        <v>96</v>
      </c>
      <c r="F1947" t="s">
        <v>65</v>
      </c>
      <c r="G1947" t="s">
        <v>66</v>
      </c>
      <c r="H1947" t="s">
        <v>21</v>
      </c>
      <c r="I1947">
        <v>650</v>
      </c>
      <c r="J1947">
        <v>845</v>
      </c>
      <c r="K1947">
        <v>1</v>
      </c>
      <c r="L1947">
        <v>650</v>
      </c>
      <c r="M1947">
        <v>845</v>
      </c>
      <c r="N1947" t="s">
        <v>28</v>
      </c>
      <c r="O1947">
        <f t="shared" si="60"/>
        <v>1690</v>
      </c>
      <c r="P1947" s="13">
        <f t="shared" si="61"/>
        <v>1868256</v>
      </c>
      <c r="Q1947" s="13">
        <f>SUMIFS(M:M,E:E,Online_eCommerce[[#This Row],[Status]])</f>
        <v>21233992</v>
      </c>
      <c r="R1947" s="13">
        <f>SUMIFS(L:L,H:H,Online_eCommerce[[#This Row],[Brand]])</f>
        <v>12435650</v>
      </c>
      <c r="S1947" s="13">
        <f>SUMIF(H:H,Online_eCommerce[[#This Row],[Brand]],M:M)</f>
        <v>16166345</v>
      </c>
      <c r="T1947" s="13">
        <f>SUMIF(N:N,Online_eCommerce[[#This Row],[Assigned Supervisor]],L:L)</f>
        <v>12220830</v>
      </c>
    </row>
    <row r="1948" spans="1:20" hidden="1" x14ac:dyDescent="0.3">
      <c r="A1948" t="s">
        <v>3018</v>
      </c>
      <c r="B1948" t="s">
        <v>235</v>
      </c>
      <c r="C1948" t="s">
        <v>99</v>
      </c>
      <c r="D1948" t="s">
        <v>2944</v>
      </c>
      <c r="E1948" t="s">
        <v>18</v>
      </c>
      <c r="F1948" t="s">
        <v>70</v>
      </c>
      <c r="G1948" t="s">
        <v>71</v>
      </c>
      <c r="H1948" t="s">
        <v>61</v>
      </c>
      <c r="I1948">
        <v>7500</v>
      </c>
      <c r="J1948">
        <v>9750</v>
      </c>
      <c r="K1948">
        <v>1</v>
      </c>
      <c r="L1948">
        <v>7500</v>
      </c>
      <c r="M1948">
        <v>9750</v>
      </c>
      <c r="N1948" t="s">
        <v>35</v>
      </c>
      <c r="O1948">
        <f t="shared" si="60"/>
        <v>9750</v>
      </c>
      <c r="P1948" s="13">
        <f t="shared" si="61"/>
        <v>2651233</v>
      </c>
      <c r="Q1948" s="13">
        <f>SUMIFS(M:M,E:E,Online_eCommerce[[#This Row],[Status]])</f>
        <v>28340455</v>
      </c>
      <c r="R1948" s="13">
        <f>SUMIFS(L:L,H:H,Online_eCommerce[[#This Row],[Brand]])</f>
        <v>10950150</v>
      </c>
      <c r="S1948" s="13">
        <f>SUMIF(H:H,Online_eCommerce[[#This Row],[Brand]],M:M)</f>
        <v>14235195</v>
      </c>
      <c r="T1948" s="13">
        <f>SUMIF(N:N,Online_eCommerce[[#This Row],[Assigned Supervisor]],L:L)</f>
        <v>14373360</v>
      </c>
    </row>
    <row r="1949" spans="1:20" hidden="1" x14ac:dyDescent="0.3">
      <c r="A1949" t="s">
        <v>3019</v>
      </c>
      <c r="B1949" t="s">
        <v>235</v>
      </c>
      <c r="C1949" t="s">
        <v>105</v>
      </c>
      <c r="D1949" t="s">
        <v>2944</v>
      </c>
      <c r="E1949" t="s">
        <v>161</v>
      </c>
      <c r="F1949" t="s">
        <v>3006</v>
      </c>
      <c r="G1949" t="s">
        <v>77</v>
      </c>
      <c r="H1949" t="s">
        <v>78</v>
      </c>
      <c r="I1949">
        <v>10000</v>
      </c>
      <c r="J1949">
        <v>13000</v>
      </c>
      <c r="K1949">
        <v>4</v>
      </c>
      <c r="L1949">
        <v>40000</v>
      </c>
      <c r="M1949">
        <v>52000</v>
      </c>
      <c r="N1949" t="s">
        <v>42</v>
      </c>
      <c r="O1949">
        <f t="shared" si="60"/>
        <v>39000</v>
      </c>
      <c r="P1949" s="13">
        <f t="shared" si="61"/>
        <v>1866852</v>
      </c>
      <c r="Q1949" s="13">
        <f>SUMIFS(M:M,E:E,Online_eCommerce[[#This Row],[Status]])</f>
        <v>21103186</v>
      </c>
      <c r="R1949" s="13">
        <f>SUMIFS(L:L,H:H,Online_eCommerce[[#This Row],[Brand]])</f>
        <v>3720000</v>
      </c>
      <c r="S1949" s="13">
        <f>SUMIF(H:H,Online_eCommerce[[#This Row],[Brand]],M:M)</f>
        <v>4836000</v>
      </c>
      <c r="T1949" s="13">
        <f>SUMIF(N:N,Online_eCommerce[[#This Row],[Assigned Supervisor]],L:L)</f>
        <v>12261500</v>
      </c>
    </row>
    <row r="1950" spans="1:20" x14ac:dyDescent="0.3">
      <c r="A1950" t="s">
        <v>3020</v>
      </c>
      <c r="B1950" t="s">
        <v>235</v>
      </c>
      <c r="C1950" t="s">
        <v>110</v>
      </c>
      <c r="D1950" t="s">
        <v>2944</v>
      </c>
      <c r="E1950" t="s">
        <v>46</v>
      </c>
      <c r="F1950" t="s">
        <v>3021</v>
      </c>
      <c r="G1950" t="s">
        <v>20</v>
      </c>
      <c r="H1950" t="s">
        <v>21</v>
      </c>
      <c r="I1950">
        <v>10500</v>
      </c>
      <c r="J1950">
        <v>13650</v>
      </c>
      <c r="K1950">
        <v>4</v>
      </c>
      <c r="L1950">
        <v>42000</v>
      </c>
      <c r="M1950">
        <v>54600</v>
      </c>
      <c r="N1950" t="s">
        <v>50</v>
      </c>
      <c r="O1950">
        <f t="shared" si="60"/>
        <v>8450</v>
      </c>
      <c r="P1950" s="13">
        <f t="shared" si="61"/>
        <v>2598635</v>
      </c>
      <c r="Q1950" s="13">
        <f>SUMIFS(M:M,E:E,Online_eCommerce[[#This Row],[Status]])</f>
        <v>28620410</v>
      </c>
      <c r="R1950" s="13">
        <f>SUMIFS(L:L,H:H,Online_eCommerce[[#This Row],[Brand]])</f>
        <v>12435650</v>
      </c>
      <c r="S1950" s="13">
        <f>SUMIF(H:H,Online_eCommerce[[#This Row],[Brand]],M:M)</f>
        <v>16166345</v>
      </c>
      <c r="T1950" s="13">
        <f>SUMIF(N:N,Online_eCommerce[[#This Row],[Assigned Supervisor]],L:L)</f>
        <v>12100590</v>
      </c>
    </row>
    <row r="1951" spans="1:20" hidden="1" x14ac:dyDescent="0.3">
      <c r="A1951" t="s">
        <v>3022</v>
      </c>
      <c r="B1951" t="s">
        <v>235</v>
      </c>
      <c r="C1951" t="s">
        <v>115</v>
      </c>
      <c r="D1951" t="s">
        <v>2944</v>
      </c>
      <c r="E1951" t="s">
        <v>96</v>
      </c>
      <c r="F1951" t="s">
        <v>88</v>
      </c>
      <c r="G1951" t="s">
        <v>26</v>
      </c>
      <c r="H1951" t="s">
        <v>27</v>
      </c>
      <c r="I1951">
        <v>8500</v>
      </c>
      <c r="J1951">
        <v>11050</v>
      </c>
      <c r="K1951">
        <v>4</v>
      </c>
      <c r="L1951">
        <v>34000</v>
      </c>
      <c r="M1951">
        <v>44200</v>
      </c>
      <c r="N1951" t="s">
        <v>56</v>
      </c>
      <c r="O1951">
        <f t="shared" si="60"/>
        <v>33150</v>
      </c>
      <c r="P1951" s="13">
        <f t="shared" si="61"/>
        <v>2050178</v>
      </c>
      <c r="Q1951" s="13">
        <f>SUMIFS(M:M,E:E,Online_eCommerce[[#This Row],[Status]])</f>
        <v>21233992</v>
      </c>
      <c r="R1951" s="13">
        <f>SUMIFS(L:L,H:H,Online_eCommerce[[#This Row],[Brand]])</f>
        <v>14431000</v>
      </c>
      <c r="S1951" s="13">
        <f>SUMIF(H:H,Online_eCommerce[[#This Row],[Brand]],M:M)</f>
        <v>18760300</v>
      </c>
      <c r="T1951" s="13">
        <f>SUMIF(N:N,Online_eCommerce[[#This Row],[Assigned Supervisor]],L:L)</f>
        <v>11733610</v>
      </c>
    </row>
    <row r="1952" spans="1:20" hidden="1" x14ac:dyDescent="0.3">
      <c r="A1952" t="s">
        <v>3023</v>
      </c>
      <c r="B1952" t="s">
        <v>235</v>
      </c>
      <c r="C1952" t="s">
        <v>120</v>
      </c>
      <c r="D1952" t="s">
        <v>2944</v>
      </c>
      <c r="E1952" t="s">
        <v>18</v>
      </c>
      <c r="F1952" t="s">
        <v>32</v>
      </c>
      <c r="G1952" t="s">
        <v>33</v>
      </c>
      <c r="H1952" t="s">
        <v>34</v>
      </c>
      <c r="I1952">
        <v>7000</v>
      </c>
      <c r="J1952">
        <v>9100</v>
      </c>
      <c r="K1952">
        <v>2</v>
      </c>
      <c r="L1952">
        <v>14000</v>
      </c>
      <c r="M1952">
        <v>18200</v>
      </c>
      <c r="N1952" t="s">
        <v>22</v>
      </c>
      <c r="O1952">
        <f t="shared" si="60"/>
        <v>18200</v>
      </c>
      <c r="P1952" s="13">
        <f t="shared" si="61"/>
        <v>2734212</v>
      </c>
      <c r="Q1952" s="13">
        <f>SUMIFS(M:M,E:E,Online_eCommerce[[#This Row],[Status]])</f>
        <v>28340455</v>
      </c>
      <c r="R1952" s="13">
        <f>SUMIFS(L:L,H:H,Online_eCommerce[[#This Row],[Brand]])</f>
        <v>10087000</v>
      </c>
      <c r="S1952" s="13">
        <f>SUMIF(H:H,Online_eCommerce[[#This Row],[Brand]],M:M)</f>
        <v>13113100</v>
      </c>
      <c r="T1952" s="13">
        <f>SUMIF(N:N,Online_eCommerce[[#This Row],[Assigned Supervisor]],L:L)</f>
        <v>13693220</v>
      </c>
    </row>
    <row r="1953" spans="1:20" hidden="1" x14ac:dyDescent="0.3">
      <c r="A1953" t="s">
        <v>3024</v>
      </c>
      <c r="B1953" t="s">
        <v>235</v>
      </c>
      <c r="C1953" t="s">
        <v>125</v>
      </c>
      <c r="D1953" t="s">
        <v>2944</v>
      </c>
      <c r="E1953" t="s">
        <v>161</v>
      </c>
      <c r="F1953" t="s">
        <v>3025</v>
      </c>
      <c r="G1953" t="s">
        <v>40</v>
      </c>
      <c r="H1953" t="s">
        <v>41</v>
      </c>
      <c r="I1953">
        <v>1680</v>
      </c>
      <c r="J1953">
        <v>2184</v>
      </c>
      <c r="K1953">
        <v>3</v>
      </c>
      <c r="L1953">
        <v>5040</v>
      </c>
      <c r="M1953">
        <v>6552</v>
      </c>
      <c r="N1953" t="s">
        <v>28</v>
      </c>
      <c r="O1953">
        <f t="shared" si="60"/>
        <v>25545</v>
      </c>
      <c r="P1953" s="13">
        <f t="shared" si="61"/>
        <v>2091154</v>
      </c>
      <c r="Q1953" s="13">
        <f>SUMIFS(M:M,E:E,Online_eCommerce[[#This Row],[Status]])</f>
        <v>21103186</v>
      </c>
      <c r="R1953" s="13">
        <f>SUMIFS(L:L,H:H,Online_eCommerce[[#This Row],[Brand]])</f>
        <v>4260400</v>
      </c>
      <c r="S1953" s="13">
        <f>SUMIF(H:H,Online_eCommerce[[#This Row],[Brand]],M:M)</f>
        <v>5538520</v>
      </c>
      <c r="T1953" s="13">
        <f>SUMIF(N:N,Online_eCommerce[[#This Row],[Assigned Supervisor]],L:L)</f>
        <v>12220830</v>
      </c>
    </row>
    <row r="1954" spans="1:20" x14ac:dyDescent="0.3">
      <c r="A1954" t="s">
        <v>3026</v>
      </c>
      <c r="B1954" t="s">
        <v>235</v>
      </c>
      <c r="C1954" t="s">
        <v>22</v>
      </c>
      <c r="D1954" t="s">
        <v>2944</v>
      </c>
      <c r="E1954" t="s">
        <v>46</v>
      </c>
      <c r="F1954" t="s">
        <v>101</v>
      </c>
      <c r="G1954" t="s">
        <v>334</v>
      </c>
      <c r="H1954" t="s">
        <v>102</v>
      </c>
      <c r="I1954">
        <v>6540</v>
      </c>
      <c r="J1954">
        <v>8502</v>
      </c>
      <c r="K1954">
        <v>2</v>
      </c>
      <c r="L1954">
        <v>13080</v>
      </c>
      <c r="M1954">
        <v>17004</v>
      </c>
      <c r="N1954" t="s">
        <v>35</v>
      </c>
      <c r="O1954">
        <f t="shared" si="60"/>
        <v>39780</v>
      </c>
      <c r="P1954" s="13">
        <f t="shared" si="61"/>
        <v>2551588</v>
      </c>
      <c r="Q1954" s="13">
        <f>SUMIFS(M:M,E:E,Online_eCommerce[[#This Row],[Status]])</f>
        <v>28620410</v>
      </c>
      <c r="R1954" s="13">
        <f>SUMIFS(L:L,H:H,Online_eCommerce[[#This Row],[Brand]])</f>
        <v>2465580</v>
      </c>
      <c r="S1954" s="13">
        <f>SUMIF(H:H,Online_eCommerce[[#This Row],[Brand]],M:M)</f>
        <v>3205254</v>
      </c>
      <c r="T1954" s="13">
        <f>SUMIF(N:N,Online_eCommerce[[#This Row],[Assigned Supervisor]],L:L)</f>
        <v>14373360</v>
      </c>
    </row>
    <row r="1955" spans="1:20" hidden="1" x14ac:dyDescent="0.3">
      <c r="A1955" t="s">
        <v>3027</v>
      </c>
      <c r="B1955" t="s">
        <v>235</v>
      </c>
      <c r="C1955" t="s">
        <v>132</v>
      </c>
      <c r="D1955" t="s">
        <v>2944</v>
      </c>
      <c r="E1955" t="s">
        <v>96</v>
      </c>
      <c r="F1955" t="s">
        <v>107</v>
      </c>
      <c r="G1955" t="s">
        <v>54</v>
      </c>
      <c r="H1955" t="s">
        <v>55</v>
      </c>
      <c r="I1955">
        <v>2680</v>
      </c>
      <c r="J1955">
        <v>3484</v>
      </c>
      <c r="K1955">
        <v>2</v>
      </c>
      <c r="L1955">
        <v>5360</v>
      </c>
      <c r="M1955">
        <v>6968</v>
      </c>
      <c r="N1955" t="s">
        <v>42</v>
      </c>
      <c r="O1955">
        <f t="shared" si="60"/>
        <v>2990</v>
      </c>
      <c r="P1955" s="13">
        <f t="shared" si="61"/>
        <v>1989065</v>
      </c>
      <c r="Q1955" s="13">
        <f>SUMIFS(M:M,E:E,Online_eCommerce[[#This Row],[Status]])</f>
        <v>21233992</v>
      </c>
      <c r="R1955" s="13">
        <f>SUMIFS(L:L,H:H,Online_eCommerce[[#This Row],[Brand]])</f>
        <v>2267380</v>
      </c>
      <c r="S1955" s="13">
        <f>SUMIF(H:H,Online_eCommerce[[#This Row],[Brand]],M:M)</f>
        <v>2947594</v>
      </c>
      <c r="T1955" s="13">
        <f>SUMIF(N:N,Online_eCommerce[[#This Row],[Assigned Supervisor]],L:L)</f>
        <v>12261500</v>
      </c>
    </row>
    <row r="1956" spans="1:20" hidden="1" x14ac:dyDescent="0.3">
      <c r="A1956" t="s">
        <v>3028</v>
      </c>
      <c r="B1956" t="s">
        <v>235</v>
      </c>
      <c r="C1956" t="s">
        <v>136</v>
      </c>
      <c r="D1956" t="s">
        <v>2944</v>
      </c>
      <c r="E1956" t="s">
        <v>18</v>
      </c>
      <c r="F1956" t="s">
        <v>112</v>
      </c>
      <c r="G1956" t="s">
        <v>71</v>
      </c>
      <c r="H1956" t="s">
        <v>21</v>
      </c>
      <c r="I1956">
        <v>8250</v>
      </c>
      <c r="J1956">
        <v>10725</v>
      </c>
      <c r="K1956">
        <v>4</v>
      </c>
      <c r="L1956">
        <v>33000</v>
      </c>
      <c r="M1956">
        <v>42900</v>
      </c>
      <c r="N1956" t="s">
        <v>50</v>
      </c>
      <c r="O1956">
        <f t="shared" si="60"/>
        <v>9750</v>
      </c>
      <c r="P1956" s="13">
        <f t="shared" si="61"/>
        <v>2775162</v>
      </c>
      <c r="Q1956" s="13">
        <f>SUMIFS(M:M,E:E,Online_eCommerce[[#This Row],[Status]])</f>
        <v>28340455</v>
      </c>
      <c r="R1956" s="13">
        <f>SUMIFS(L:L,H:H,Online_eCommerce[[#This Row],[Brand]])</f>
        <v>12435650</v>
      </c>
      <c r="S1956" s="13">
        <f>SUMIF(H:H,Online_eCommerce[[#This Row],[Brand]],M:M)</f>
        <v>16166345</v>
      </c>
      <c r="T1956" s="13">
        <f>SUMIF(N:N,Online_eCommerce[[#This Row],[Assigned Supervisor]],L:L)</f>
        <v>12100590</v>
      </c>
    </row>
    <row r="1957" spans="1:20" hidden="1" x14ac:dyDescent="0.3">
      <c r="A1957" t="s">
        <v>3029</v>
      </c>
      <c r="B1957" t="s">
        <v>235</v>
      </c>
      <c r="C1957" t="s">
        <v>140</v>
      </c>
      <c r="D1957" t="s">
        <v>2944</v>
      </c>
      <c r="E1957" t="s">
        <v>161</v>
      </c>
      <c r="F1957" t="s">
        <v>2596</v>
      </c>
      <c r="G1957" t="s">
        <v>40</v>
      </c>
      <c r="H1957" t="s">
        <v>21</v>
      </c>
      <c r="I1957">
        <v>2650</v>
      </c>
      <c r="J1957">
        <v>3445</v>
      </c>
      <c r="K1957">
        <v>2</v>
      </c>
      <c r="L1957">
        <v>5300</v>
      </c>
      <c r="M1957">
        <v>6890</v>
      </c>
      <c r="N1957" t="s">
        <v>56</v>
      </c>
      <c r="O1957">
        <f t="shared" si="60"/>
        <v>25545</v>
      </c>
      <c r="P1957" s="13">
        <f t="shared" si="61"/>
        <v>2058264</v>
      </c>
      <c r="Q1957" s="13">
        <f>SUMIFS(M:M,E:E,Online_eCommerce[[#This Row],[Status]])</f>
        <v>21103186</v>
      </c>
      <c r="R1957" s="13">
        <f>SUMIFS(L:L,H:H,Online_eCommerce[[#This Row],[Brand]])</f>
        <v>12435650</v>
      </c>
      <c r="S1957" s="13">
        <f>SUMIF(H:H,Online_eCommerce[[#This Row],[Brand]],M:M)</f>
        <v>16166345</v>
      </c>
      <c r="T1957" s="13">
        <f>SUMIF(N:N,Online_eCommerce[[#This Row],[Assigned Supervisor]],L:L)</f>
        <v>11733610</v>
      </c>
    </row>
    <row r="1958" spans="1:20" x14ac:dyDescent="0.3">
      <c r="A1958" t="s">
        <v>3030</v>
      </c>
      <c r="B1958" t="s">
        <v>235</v>
      </c>
      <c r="C1958" t="s">
        <v>145</v>
      </c>
      <c r="D1958" t="s">
        <v>2944</v>
      </c>
      <c r="E1958" t="s">
        <v>46</v>
      </c>
      <c r="F1958" t="s">
        <v>121</v>
      </c>
      <c r="G1958" t="s">
        <v>71</v>
      </c>
      <c r="H1958" t="s">
        <v>122</v>
      </c>
      <c r="I1958">
        <v>12550</v>
      </c>
      <c r="J1958">
        <v>16315</v>
      </c>
      <c r="K1958">
        <v>2</v>
      </c>
      <c r="L1958">
        <v>25100</v>
      </c>
      <c r="M1958">
        <v>32630</v>
      </c>
      <c r="N1958" t="s">
        <v>22</v>
      </c>
      <c r="O1958">
        <f t="shared" si="60"/>
        <v>9750</v>
      </c>
      <c r="P1958" s="13">
        <f t="shared" si="61"/>
        <v>2757859</v>
      </c>
      <c r="Q1958" s="13">
        <f>SUMIFS(M:M,E:E,Online_eCommerce[[#This Row],[Status]])</f>
        <v>28620410</v>
      </c>
      <c r="R1958" s="13">
        <f>SUMIFS(L:L,H:H,Online_eCommerce[[#This Row],[Brand]])</f>
        <v>5045100</v>
      </c>
      <c r="S1958" s="13">
        <f>SUMIF(H:H,Online_eCommerce[[#This Row],[Brand]],M:M)</f>
        <v>6558630</v>
      </c>
      <c r="T1958" s="13">
        <f>SUMIF(N:N,Online_eCommerce[[#This Row],[Assigned Supervisor]],L:L)</f>
        <v>13693220</v>
      </c>
    </row>
    <row r="1959" spans="1:20" hidden="1" x14ac:dyDescent="0.3">
      <c r="A1959" t="s">
        <v>3031</v>
      </c>
      <c r="B1959" t="s">
        <v>235</v>
      </c>
      <c r="C1959" t="s">
        <v>150</v>
      </c>
      <c r="D1959" t="s">
        <v>2944</v>
      </c>
      <c r="E1959" t="s">
        <v>96</v>
      </c>
      <c r="F1959" t="s">
        <v>126</v>
      </c>
      <c r="G1959" t="s">
        <v>26</v>
      </c>
      <c r="H1959" t="s">
        <v>27</v>
      </c>
      <c r="I1959">
        <v>14500</v>
      </c>
      <c r="J1959">
        <v>18850</v>
      </c>
      <c r="K1959">
        <v>4</v>
      </c>
      <c r="L1959">
        <v>58000</v>
      </c>
      <c r="M1959">
        <v>75400</v>
      </c>
      <c r="N1959" t="s">
        <v>28</v>
      </c>
      <c r="O1959">
        <f t="shared" si="60"/>
        <v>33150</v>
      </c>
      <c r="P1959" s="13">
        <f t="shared" si="61"/>
        <v>2154984</v>
      </c>
      <c r="Q1959" s="13">
        <f>SUMIFS(M:M,E:E,Online_eCommerce[[#This Row],[Status]])</f>
        <v>21233992</v>
      </c>
      <c r="R1959" s="13">
        <f>SUMIFS(L:L,H:H,Online_eCommerce[[#This Row],[Brand]])</f>
        <v>14431000</v>
      </c>
      <c r="S1959" s="13">
        <f>SUMIF(H:H,Online_eCommerce[[#This Row],[Brand]],M:M)</f>
        <v>18760300</v>
      </c>
      <c r="T1959" s="13">
        <f>SUMIF(N:N,Online_eCommerce[[#This Row],[Assigned Supervisor]],L:L)</f>
        <v>12220830</v>
      </c>
    </row>
    <row r="1960" spans="1:20" hidden="1" x14ac:dyDescent="0.3">
      <c r="A1960" t="s">
        <v>3032</v>
      </c>
      <c r="B1960" t="s">
        <v>235</v>
      </c>
      <c r="C1960" t="s">
        <v>155</v>
      </c>
      <c r="D1960" t="s">
        <v>2944</v>
      </c>
      <c r="E1960" t="s">
        <v>18</v>
      </c>
      <c r="F1960" t="s">
        <v>129</v>
      </c>
      <c r="G1960" t="s">
        <v>60</v>
      </c>
      <c r="H1960" t="s">
        <v>61</v>
      </c>
      <c r="I1960">
        <v>800</v>
      </c>
      <c r="J1960">
        <v>1040</v>
      </c>
      <c r="K1960">
        <v>4</v>
      </c>
      <c r="L1960">
        <v>3200</v>
      </c>
      <c r="M1960">
        <v>4160</v>
      </c>
      <c r="N1960" t="s">
        <v>35</v>
      </c>
      <c r="O1960">
        <f t="shared" si="60"/>
        <v>3315</v>
      </c>
      <c r="P1960" s="13">
        <f t="shared" si="61"/>
        <v>2753348</v>
      </c>
      <c r="Q1960" s="13">
        <f>SUMIFS(M:M,E:E,Online_eCommerce[[#This Row],[Status]])</f>
        <v>28340455</v>
      </c>
      <c r="R1960" s="13">
        <f>SUMIFS(L:L,H:H,Online_eCommerce[[#This Row],[Brand]])</f>
        <v>10950150</v>
      </c>
      <c r="S1960" s="13">
        <f>SUMIF(H:H,Online_eCommerce[[#This Row],[Brand]],M:M)</f>
        <v>14235195</v>
      </c>
      <c r="T1960" s="13">
        <f>SUMIF(N:N,Online_eCommerce[[#This Row],[Assigned Supervisor]],L:L)</f>
        <v>14373360</v>
      </c>
    </row>
    <row r="1961" spans="1:20" hidden="1" x14ac:dyDescent="0.3">
      <c r="A1961" t="s">
        <v>3033</v>
      </c>
      <c r="B1961" t="s">
        <v>235</v>
      </c>
      <c r="C1961" t="s">
        <v>160</v>
      </c>
      <c r="D1961" t="s">
        <v>2944</v>
      </c>
      <c r="E1961" t="s">
        <v>161</v>
      </c>
      <c r="F1961" t="s">
        <v>133</v>
      </c>
      <c r="G1961" t="s">
        <v>66</v>
      </c>
      <c r="H1961" t="s">
        <v>21</v>
      </c>
      <c r="I1961">
        <v>600</v>
      </c>
      <c r="J1961">
        <v>780</v>
      </c>
      <c r="K1961">
        <v>2</v>
      </c>
      <c r="L1961">
        <v>1200</v>
      </c>
      <c r="M1961">
        <v>1560</v>
      </c>
      <c r="N1961" t="s">
        <v>42</v>
      </c>
      <c r="O1961">
        <f t="shared" si="60"/>
        <v>1690</v>
      </c>
      <c r="P1961" s="13">
        <f t="shared" si="61"/>
        <v>2303483</v>
      </c>
      <c r="Q1961" s="13">
        <f>SUMIFS(M:M,E:E,Online_eCommerce[[#This Row],[Status]])</f>
        <v>21103186</v>
      </c>
      <c r="R1961" s="13">
        <f>SUMIFS(L:L,H:H,Online_eCommerce[[#This Row],[Brand]])</f>
        <v>12435650</v>
      </c>
      <c r="S1961" s="13">
        <f>SUMIF(H:H,Online_eCommerce[[#This Row],[Brand]],M:M)</f>
        <v>16166345</v>
      </c>
      <c r="T1961" s="13">
        <f>SUMIF(N:N,Online_eCommerce[[#This Row],[Assigned Supervisor]],L:L)</f>
        <v>12261500</v>
      </c>
    </row>
    <row r="1962" spans="1:20" x14ac:dyDescent="0.3">
      <c r="A1962" t="s">
        <v>3034</v>
      </c>
      <c r="B1962" t="s">
        <v>235</v>
      </c>
      <c r="C1962" t="s">
        <v>165</v>
      </c>
      <c r="D1962" t="s">
        <v>2944</v>
      </c>
      <c r="E1962" t="s">
        <v>46</v>
      </c>
      <c r="F1962" t="s">
        <v>137</v>
      </c>
      <c r="G1962" t="s">
        <v>71</v>
      </c>
      <c r="H1962" t="s">
        <v>61</v>
      </c>
      <c r="I1962">
        <v>10500</v>
      </c>
      <c r="J1962">
        <v>13650</v>
      </c>
      <c r="K1962">
        <v>4</v>
      </c>
      <c r="L1962">
        <v>42000</v>
      </c>
      <c r="M1962">
        <v>54600</v>
      </c>
      <c r="N1962" t="s">
        <v>50</v>
      </c>
      <c r="O1962">
        <f t="shared" si="60"/>
        <v>9750</v>
      </c>
      <c r="P1962" s="13">
        <f t="shared" si="61"/>
        <v>2674087</v>
      </c>
      <c r="Q1962" s="13">
        <f>SUMIFS(M:M,E:E,Online_eCommerce[[#This Row],[Status]])</f>
        <v>28620410</v>
      </c>
      <c r="R1962" s="13">
        <f>SUMIFS(L:L,H:H,Online_eCommerce[[#This Row],[Brand]])</f>
        <v>10950150</v>
      </c>
      <c r="S1962" s="13">
        <f>SUMIF(H:H,Online_eCommerce[[#This Row],[Brand]],M:M)</f>
        <v>14235195</v>
      </c>
      <c r="T1962" s="13">
        <f>SUMIF(N:N,Online_eCommerce[[#This Row],[Assigned Supervisor]],L:L)</f>
        <v>12100590</v>
      </c>
    </row>
    <row r="1963" spans="1:20" hidden="1" x14ac:dyDescent="0.3">
      <c r="A1963" t="s">
        <v>3035</v>
      </c>
      <c r="B1963" t="s">
        <v>235</v>
      </c>
      <c r="C1963" t="s">
        <v>168</v>
      </c>
      <c r="D1963" t="s">
        <v>2944</v>
      </c>
      <c r="E1963" t="s">
        <v>96</v>
      </c>
      <c r="F1963" t="s">
        <v>3006</v>
      </c>
      <c r="G1963" t="s">
        <v>77</v>
      </c>
      <c r="H1963" t="s">
        <v>142</v>
      </c>
      <c r="I1963">
        <v>6500</v>
      </c>
      <c r="J1963">
        <v>8450</v>
      </c>
      <c r="K1963">
        <v>4</v>
      </c>
      <c r="L1963">
        <v>26000</v>
      </c>
      <c r="M1963">
        <v>33800</v>
      </c>
      <c r="N1963" t="s">
        <v>56</v>
      </c>
      <c r="O1963">
        <f t="shared" si="60"/>
        <v>39000</v>
      </c>
      <c r="P1963" s="13">
        <f t="shared" si="61"/>
        <v>1937780</v>
      </c>
      <c r="Q1963" s="13">
        <f>SUMIFS(M:M,E:E,Online_eCommerce[[#This Row],[Status]])</f>
        <v>21233992</v>
      </c>
      <c r="R1963" s="13">
        <f>SUMIFS(L:L,H:H,Online_eCommerce[[#This Row],[Brand]])</f>
        <v>6192500</v>
      </c>
      <c r="S1963" s="13">
        <f>SUMIF(H:H,Online_eCommerce[[#This Row],[Brand]],M:M)</f>
        <v>8050250</v>
      </c>
      <c r="T1963" s="13">
        <f>SUMIF(N:N,Online_eCommerce[[#This Row],[Assigned Supervisor]],L:L)</f>
        <v>11733610</v>
      </c>
    </row>
    <row r="1964" spans="1:20" hidden="1" x14ac:dyDescent="0.3">
      <c r="A1964" t="s">
        <v>3036</v>
      </c>
      <c r="B1964" t="s">
        <v>235</v>
      </c>
      <c r="C1964" t="s">
        <v>172</v>
      </c>
      <c r="D1964" t="s">
        <v>2944</v>
      </c>
      <c r="E1964" t="s">
        <v>18</v>
      </c>
      <c r="F1964" t="s">
        <v>3037</v>
      </c>
      <c r="G1964" t="s">
        <v>20</v>
      </c>
      <c r="H1964" t="s">
        <v>21</v>
      </c>
      <c r="I1964">
        <v>4500</v>
      </c>
      <c r="J1964">
        <v>5850</v>
      </c>
      <c r="K1964">
        <v>4</v>
      </c>
      <c r="L1964">
        <v>18000</v>
      </c>
      <c r="M1964">
        <v>23400</v>
      </c>
      <c r="N1964" t="s">
        <v>22</v>
      </c>
      <c r="O1964">
        <f t="shared" si="60"/>
        <v>8450</v>
      </c>
      <c r="P1964" s="13">
        <f t="shared" si="61"/>
        <v>2640274</v>
      </c>
      <c r="Q1964" s="13">
        <f>SUMIFS(M:M,E:E,Online_eCommerce[[#This Row],[Status]])</f>
        <v>28340455</v>
      </c>
      <c r="R1964" s="13">
        <f>SUMIFS(L:L,H:H,Online_eCommerce[[#This Row],[Brand]])</f>
        <v>12435650</v>
      </c>
      <c r="S1964" s="13">
        <f>SUMIF(H:H,Online_eCommerce[[#This Row],[Brand]],M:M)</f>
        <v>16166345</v>
      </c>
      <c r="T1964" s="13">
        <f>SUMIF(N:N,Online_eCommerce[[#This Row],[Assigned Supervisor]],L:L)</f>
        <v>13693220</v>
      </c>
    </row>
    <row r="1965" spans="1:20" hidden="1" x14ac:dyDescent="0.3">
      <c r="A1965" t="s">
        <v>3038</v>
      </c>
      <c r="B1965" t="s">
        <v>235</v>
      </c>
      <c r="C1965" t="s">
        <v>177</v>
      </c>
      <c r="D1965" t="s">
        <v>2944</v>
      </c>
      <c r="E1965" t="s">
        <v>161</v>
      </c>
      <c r="F1965" t="s">
        <v>152</v>
      </c>
      <c r="G1965" t="s">
        <v>26</v>
      </c>
      <c r="H1965" t="s">
        <v>27</v>
      </c>
      <c r="I1965">
        <v>8500</v>
      </c>
      <c r="J1965">
        <v>11050</v>
      </c>
      <c r="K1965">
        <v>1</v>
      </c>
      <c r="L1965">
        <v>8500</v>
      </c>
      <c r="M1965">
        <v>11050</v>
      </c>
      <c r="N1965" t="s">
        <v>28</v>
      </c>
      <c r="O1965">
        <f t="shared" si="60"/>
        <v>33150</v>
      </c>
      <c r="P1965" s="13">
        <f t="shared" si="61"/>
        <v>1863810</v>
      </c>
      <c r="Q1965" s="13">
        <f>SUMIFS(M:M,E:E,Online_eCommerce[[#This Row],[Status]])</f>
        <v>21103186</v>
      </c>
      <c r="R1965" s="13">
        <f>SUMIFS(L:L,H:H,Online_eCommerce[[#This Row],[Brand]])</f>
        <v>14431000</v>
      </c>
      <c r="S1965" s="13">
        <f>SUMIF(H:H,Online_eCommerce[[#This Row],[Brand]],M:M)</f>
        <v>18760300</v>
      </c>
      <c r="T1965" s="13">
        <f>SUMIF(N:N,Online_eCommerce[[#This Row],[Assigned Supervisor]],L:L)</f>
        <v>12220830</v>
      </c>
    </row>
    <row r="1966" spans="1:20" x14ac:dyDescent="0.3">
      <c r="A1966" t="s">
        <v>3039</v>
      </c>
      <c r="B1966" t="s">
        <v>235</v>
      </c>
      <c r="C1966" t="s">
        <v>181</v>
      </c>
      <c r="D1966" t="s">
        <v>2944</v>
      </c>
      <c r="E1966" t="s">
        <v>46</v>
      </c>
      <c r="F1966" t="s">
        <v>157</v>
      </c>
      <c r="G1966" t="s">
        <v>33</v>
      </c>
      <c r="H1966" t="s">
        <v>34</v>
      </c>
      <c r="I1966">
        <v>12500</v>
      </c>
      <c r="J1966">
        <v>16250</v>
      </c>
      <c r="K1966">
        <v>2</v>
      </c>
      <c r="L1966">
        <v>25000</v>
      </c>
      <c r="M1966">
        <v>32500</v>
      </c>
      <c r="N1966" t="s">
        <v>35</v>
      </c>
      <c r="O1966">
        <f t="shared" si="60"/>
        <v>18200</v>
      </c>
      <c r="P1966" s="13">
        <f t="shared" si="61"/>
        <v>2577458</v>
      </c>
      <c r="Q1966" s="13">
        <f>SUMIFS(M:M,E:E,Online_eCommerce[[#This Row],[Status]])</f>
        <v>28620410</v>
      </c>
      <c r="R1966" s="13">
        <f>SUMIFS(L:L,H:H,Online_eCommerce[[#This Row],[Brand]])</f>
        <v>10087000</v>
      </c>
      <c r="S1966" s="13">
        <f>SUMIF(H:H,Online_eCommerce[[#This Row],[Brand]],M:M)</f>
        <v>13113100</v>
      </c>
      <c r="T1966" s="13">
        <f>SUMIF(N:N,Online_eCommerce[[#This Row],[Assigned Supervisor]],L:L)</f>
        <v>14373360</v>
      </c>
    </row>
    <row r="1967" spans="1:20" hidden="1" x14ac:dyDescent="0.3">
      <c r="A1967" t="s">
        <v>3040</v>
      </c>
      <c r="B1967" t="s">
        <v>235</v>
      </c>
      <c r="C1967" t="s">
        <v>185</v>
      </c>
      <c r="D1967" t="s">
        <v>2944</v>
      </c>
      <c r="E1967" t="s">
        <v>96</v>
      </c>
      <c r="F1967" t="s">
        <v>2666</v>
      </c>
      <c r="G1967" t="s">
        <v>163</v>
      </c>
      <c r="H1967" t="s">
        <v>41</v>
      </c>
      <c r="I1967">
        <v>3500</v>
      </c>
      <c r="J1967">
        <v>4550</v>
      </c>
      <c r="K1967">
        <v>4</v>
      </c>
      <c r="L1967">
        <v>14000</v>
      </c>
      <c r="M1967">
        <v>18200</v>
      </c>
      <c r="N1967" t="s">
        <v>42</v>
      </c>
      <c r="O1967">
        <f t="shared" si="60"/>
        <v>13650</v>
      </c>
      <c r="P1967" s="13">
        <f t="shared" si="61"/>
        <v>2091596</v>
      </c>
      <c r="Q1967" s="13">
        <f>SUMIFS(M:M,E:E,Online_eCommerce[[#This Row],[Status]])</f>
        <v>21233992</v>
      </c>
      <c r="R1967" s="13">
        <f>SUMIFS(L:L,H:H,Online_eCommerce[[#This Row],[Brand]])</f>
        <v>4260400</v>
      </c>
      <c r="S1967" s="13">
        <f>SUMIF(H:H,Online_eCommerce[[#This Row],[Brand]],M:M)</f>
        <v>5538520</v>
      </c>
      <c r="T1967" s="13">
        <f>SUMIF(N:N,Online_eCommerce[[#This Row],[Assigned Supervisor]],L:L)</f>
        <v>12261500</v>
      </c>
    </row>
    <row r="1968" spans="1:20" hidden="1" x14ac:dyDescent="0.3">
      <c r="A1968" t="s">
        <v>3041</v>
      </c>
      <c r="B1968" t="s">
        <v>235</v>
      </c>
      <c r="C1968" t="s">
        <v>189</v>
      </c>
      <c r="D1968" t="s">
        <v>2944</v>
      </c>
      <c r="E1968" t="s">
        <v>18</v>
      </c>
      <c r="F1968" t="s">
        <v>166</v>
      </c>
      <c r="G1968" t="s">
        <v>66</v>
      </c>
      <c r="H1968" t="s">
        <v>49</v>
      </c>
      <c r="I1968">
        <v>4500</v>
      </c>
      <c r="J1968">
        <v>5850</v>
      </c>
      <c r="K1968">
        <v>4</v>
      </c>
      <c r="L1968">
        <v>18000</v>
      </c>
      <c r="M1968">
        <v>23400</v>
      </c>
      <c r="N1968" t="s">
        <v>50</v>
      </c>
      <c r="O1968">
        <f t="shared" si="60"/>
        <v>1690</v>
      </c>
      <c r="P1968" s="13">
        <f t="shared" si="61"/>
        <v>2740777</v>
      </c>
      <c r="Q1968" s="13">
        <f>SUMIFS(M:M,E:E,Online_eCommerce[[#This Row],[Status]])</f>
        <v>28340455</v>
      </c>
      <c r="R1968" s="13">
        <f>SUMIFS(L:L,H:H,Online_eCommerce[[#This Row],[Brand]])</f>
        <v>4528350</v>
      </c>
      <c r="S1968" s="13">
        <f>SUMIF(H:H,Online_eCommerce[[#This Row],[Brand]],M:M)</f>
        <v>5886855</v>
      </c>
      <c r="T1968" s="13">
        <f>SUMIF(N:N,Online_eCommerce[[#This Row],[Assigned Supervisor]],L:L)</f>
        <v>12100590</v>
      </c>
    </row>
    <row r="1969" spans="1:20" hidden="1" x14ac:dyDescent="0.3">
      <c r="A1969" t="s">
        <v>3042</v>
      </c>
      <c r="B1969" t="s">
        <v>235</v>
      </c>
      <c r="C1969" t="s">
        <v>193</v>
      </c>
      <c r="D1969" t="s">
        <v>2944</v>
      </c>
      <c r="E1969" t="s">
        <v>161</v>
      </c>
      <c r="F1969" t="s">
        <v>3043</v>
      </c>
      <c r="G1969" t="s">
        <v>54</v>
      </c>
      <c r="H1969" t="s">
        <v>55</v>
      </c>
      <c r="I1969">
        <v>2100</v>
      </c>
      <c r="J1969">
        <v>2730</v>
      </c>
      <c r="K1969">
        <v>2</v>
      </c>
      <c r="L1969">
        <v>4200</v>
      </c>
      <c r="M1969">
        <v>5460</v>
      </c>
      <c r="N1969" t="s">
        <v>56</v>
      </c>
      <c r="O1969">
        <f t="shared" si="60"/>
        <v>2990</v>
      </c>
      <c r="P1969" s="13">
        <f t="shared" si="61"/>
        <v>2074774</v>
      </c>
      <c r="Q1969" s="13">
        <f>SUMIFS(M:M,E:E,Online_eCommerce[[#This Row],[Status]])</f>
        <v>21103186</v>
      </c>
      <c r="R1969" s="13">
        <f>SUMIFS(L:L,H:H,Online_eCommerce[[#This Row],[Brand]])</f>
        <v>2267380</v>
      </c>
      <c r="S1969" s="13">
        <f>SUMIF(H:H,Online_eCommerce[[#This Row],[Brand]],M:M)</f>
        <v>2947594</v>
      </c>
      <c r="T1969" s="13">
        <f>SUMIF(N:N,Online_eCommerce[[#This Row],[Assigned Supervisor]],L:L)</f>
        <v>11733610</v>
      </c>
    </row>
    <row r="1970" spans="1:20" x14ac:dyDescent="0.3">
      <c r="A1970" t="s">
        <v>3044</v>
      </c>
      <c r="B1970" t="s">
        <v>235</v>
      </c>
      <c r="C1970" t="s">
        <v>197</v>
      </c>
      <c r="D1970" t="s">
        <v>2944</v>
      </c>
      <c r="E1970" t="s">
        <v>46</v>
      </c>
      <c r="F1970" t="s">
        <v>174</v>
      </c>
      <c r="G1970" t="s">
        <v>60</v>
      </c>
      <c r="H1970" t="s">
        <v>61</v>
      </c>
      <c r="I1970">
        <v>1150</v>
      </c>
      <c r="J1970">
        <v>1495</v>
      </c>
      <c r="K1970">
        <v>2</v>
      </c>
      <c r="L1970">
        <v>2300</v>
      </c>
      <c r="M1970">
        <v>2990</v>
      </c>
      <c r="N1970" t="s">
        <v>22</v>
      </c>
      <c r="O1970">
        <f t="shared" si="60"/>
        <v>3315</v>
      </c>
      <c r="P1970" s="13">
        <f t="shared" si="61"/>
        <v>2829840</v>
      </c>
      <c r="Q1970" s="13">
        <f>SUMIFS(M:M,E:E,Online_eCommerce[[#This Row],[Status]])</f>
        <v>28620410</v>
      </c>
      <c r="R1970" s="13">
        <f>SUMIFS(L:L,H:H,Online_eCommerce[[#This Row],[Brand]])</f>
        <v>10950150</v>
      </c>
      <c r="S1970" s="13">
        <f>SUMIF(H:H,Online_eCommerce[[#This Row],[Brand]],M:M)</f>
        <v>14235195</v>
      </c>
      <c r="T1970" s="13">
        <f>SUMIF(N:N,Online_eCommerce[[#This Row],[Assigned Supervisor]],L:L)</f>
        <v>13693220</v>
      </c>
    </row>
    <row r="1971" spans="1:20" hidden="1" x14ac:dyDescent="0.3">
      <c r="A1971" t="s">
        <v>3045</v>
      </c>
      <c r="B1971" t="s">
        <v>235</v>
      </c>
      <c r="C1971" t="s">
        <v>199</v>
      </c>
      <c r="D1971" t="s">
        <v>2944</v>
      </c>
      <c r="E1971" t="s">
        <v>96</v>
      </c>
      <c r="F1971" t="s">
        <v>179</v>
      </c>
      <c r="G1971" t="s">
        <v>66</v>
      </c>
      <c r="H1971" t="s">
        <v>21</v>
      </c>
      <c r="I1971">
        <v>350</v>
      </c>
      <c r="J1971">
        <v>455</v>
      </c>
      <c r="K1971">
        <v>3</v>
      </c>
      <c r="L1971">
        <v>1050</v>
      </c>
      <c r="M1971">
        <v>1365</v>
      </c>
      <c r="N1971" t="s">
        <v>28</v>
      </c>
      <c r="O1971">
        <f t="shared" si="60"/>
        <v>1690</v>
      </c>
      <c r="P1971" s="13">
        <f t="shared" si="61"/>
        <v>1947361</v>
      </c>
      <c r="Q1971" s="13">
        <f>SUMIFS(M:M,E:E,Online_eCommerce[[#This Row],[Status]])</f>
        <v>21233992</v>
      </c>
      <c r="R1971" s="13">
        <f>SUMIFS(L:L,H:H,Online_eCommerce[[#This Row],[Brand]])</f>
        <v>12435650</v>
      </c>
      <c r="S1971" s="13">
        <f>SUMIF(H:H,Online_eCommerce[[#This Row],[Brand]],M:M)</f>
        <v>16166345</v>
      </c>
      <c r="T1971" s="13">
        <f>SUMIF(N:N,Online_eCommerce[[#This Row],[Assigned Supervisor]],L:L)</f>
        <v>12220830</v>
      </c>
    </row>
    <row r="1972" spans="1:20" hidden="1" x14ac:dyDescent="0.3">
      <c r="A1972" t="s">
        <v>3046</v>
      </c>
      <c r="B1972" t="s">
        <v>235</v>
      </c>
      <c r="C1972" t="s">
        <v>203</v>
      </c>
      <c r="D1972" t="s">
        <v>2944</v>
      </c>
      <c r="E1972" t="s">
        <v>18</v>
      </c>
      <c r="F1972" t="s">
        <v>183</v>
      </c>
      <c r="G1972" t="s">
        <v>71</v>
      </c>
      <c r="H1972" t="s">
        <v>61</v>
      </c>
      <c r="I1972">
        <v>9500</v>
      </c>
      <c r="J1972">
        <v>12350</v>
      </c>
      <c r="K1972">
        <v>4</v>
      </c>
      <c r="L1972">
        <v>38000</v>
      </c>
      <c r="M1972">
        <v>49400</v>
      </c>
      <c r="N1972" t="s">
        <v>35</v>
      </c>
      <c r="O1972">
        <f t="shared" si="60"/>
        <v>9750</v>
      </c>
      <c r="P1972" s="13">
        <f t="shared" si="61"/>
        <v>2559635</v>
      </c>
      <c r="Q1972" s="13">
        <f>SUMIFS(M:M,E:E,Online_eCommerce[[#This Row],[Status]])</f>
        <v>28340455</v>
      </c>
      <c r="R1972" s="13">
        <f>SUMIFS(L:L,H:H,Online_eCommerce[[#This Row],[Brand]])</f>
        <v>10950150</v>
      </c>
      <c r="S1972" s="13">
        <f>SUMIF(H:H,Online_eCommerce[[#This Row],[Brand]],M:M)</f>
        <v>14235195</v>
      </c>
      <c r="T1972" s="13">
        <f>SUMIF(N:N,Online_eCommerce[[#This Row],[Assigned Supervisor]],L:L)</f>
        <v>14373360</v>
      </c>
    </row>
    <row r="1973" spans="1:20" hidden="1" x14ac:dyDescent="0.3">
      <c r="A1973" t="s">
        <v>3047</v>
      </c>
      <c r="B1973" t="s">
        <v>235</v>
      </c>
      <c r="C1973" t="s">
        <v>205</v>
      </c>
      <c r="D1973" t="s">
        <v>2944</v>
      </c>
      <c r="E1973" t="s">
        <v>161</v>
      </c>
      <c r="F1973" t="s">
        <v>3048</v>
      </c>
      <c r="G1973" t="s">
        <v>77</v>
      </c>
      <c r="H1973" t="s">
        <v>142</v>
      </c>
      <c r="I1973">
        <v>10000</v>
      </c>
      <c r="J1973">
        <v>13000</v>
      </c>
      <c r="K1973">
        <v>3</v>
      </c>
      <c r="L1973">
        <v>30000</v>
      </c>
      <c r="M1973">
        <v>39000</v>
      </c>
      <c r="N1973" t="s">
        <v>42</v>
      </c>
      <c r="O1973">
        <f t="shared" si="60"/>
        <v>39000</v>
      </c>
      <c r="P1973" s="13">
        <f t="shared" si="61"/>
        <v>1983254</v>
      </c>
      <c r="Q1973" s="13">
        <f>SUMIFS(M:M,E:E,Online_eCommerce[[#This Row],[Status]])</f>
        <v>21103186</v>
      </c>
      <c r="R1973" s="13">
        <f>SUMIFS(L:L,H:H,Online_eCommerce[[#This Row],[Brand]])</f>
        <v>6192500</v>
      </c>
      <c r="S1973" s="13">
        <f>SUMIF(H:H,Online_eCommerce[[#This Row],[Brand]],M:M)</f>
        <v>8050250</v>
      </c>
      <c r="T1973" s="13">
        <f>SUMIF(N:N,Online_eCommerce[[#This Row],[Assigned Supervisor]],L:L)</f>
        <v>12261500</v>
      </c>
    </row>
    <row r="1974" spans="1:20" x14ac:dyDescent="0.3">
      <c r="A1974" t="s">
        <v>3049</v>
      </c>
      <c r="B1974" t="s">
        <v>235</v>
      </c>
      <c r="C1974" t="s">
        <v>208</v>
      </c>
      <c r="D1974" t="s">
        <v>2944</v>
      </c>
      <c r="E1974" t="s">
        <v>46</v>
      </c>
      <c r="F1974" t="s">
        <v>3050</v>
      </c>
      <c r="G1974" t="s">
        <v>20</v>
      </c>
      <c r="H1974" t="s">
        <v>21</v>
      </c>
      <c r="I1974">
        <v>6500</v>
      </c>
      <c r="J1974">
        <v>8450</v>
      </c>
      <c r="K1974">
        <v>3</v>
      </c>
      <c r="L1974">
        <v>19500</v>
      </c>
      <c r="M1974">
        <v>25350</v>
      </c>
      <c r="N1974" t="s">
        <v>50</v>
      </c>
      <c r="O1974">
        <f t="shared" si="60"/>
        <v>8450</v>
      </c>
      <c r="P1974" s="13">
        <f t="shared" si="61"/>
        <v>2746575</v>
      </c>
      <c r="Q1974" s="13">
        <f>SUMIFS(M:M,E:E,Online_eCommerce[[#This Row],[Status]])</f>
        <v>28620410</v>
      </c>
      <c r="R1974" s="13">
        <f>SUMIFS(L:L,H:H,Online_eCommerce[[#This Row],[Brand]])</f>
        <v>12435650</v>
      </c>
      <c r="S1974" s="13">
        <f>SUMIF(H:H,Online_eCommerce[[#This Row],[Brand]],M:M)</f>
        <v>16166345</v>
      </c>
      <c r="T1974" s="13">
        <f>SUMIF(N:N,Online_eCommerce[[#This Row],[Assigned Supervisor]],L:L)</f>
        <v>12100590</v>
      </c>
    </row>
    <row r="1975" spans="1:20" hidden="1" x14ac:dyDescent="0.3">
      <c r="A1975" t="s">
        <v>3051</v>
      </c>
      <c r="B1975" t="s">
        <v>235</v>
      </c>
      <c r="C1975" t="s">
        <v>211</v>
      </c>
      <c r="D1975" t="s">
        <v>2944</v>
      </c>
      <c r="E1975" t="s">
        <v>96</v>
      </c>
      <c r="F1975" t="s">
        <v>3052</v>
      </c>
      <c r="G1975" t="s">
        <v>26</v>
      </c>
      <c r="H1975" t="s">
        <v>27</v>
      </c>
      <c r="I1975">
        <v>8500</v>
      </c>
      <c r="J1975">
        <v>11050</v>
      </c>
      <c r="K1975">
        <v>1</v>
      </c>
      <c r="L1975">
        <v>8500</v>
      </c>
      <c r="M1975">
        <v>11050</v>
      </c>
      <c r="N1975" t="s">
        <v>56</v>
      </c>
      <c r="O1975">
        <f t="shared" si="60"/>
        <v>33150</v>
      </c>
      <c r="P1975" s="13">
        <f t="shared" si="61"/>
        <v>1809847</v>
      </c>
      <c r="Q1975" s="13">
        <f>SUMIFS(M:M,E:E,Online_eCommerce[[#This Row],[Status]])</f>
        <v>21233992</v>
      </c>
      <c r="R1975" s="13">
        <f>SUMIFS(L:L,H:H,Online_eCommerce[[#This Row],[Brand]])</f>
        <v>14431000</v>
      </c>
      <c r="S1975" s="13">
        <f>SUMIF(H:H,Online_eCommerce[[#This Row],[Brand]],M:M)</f>
        <v>18760300</v>
      </c>
      <c r="T1975" s="13">
        <f>SUMIF(N:N,Online_eCommerce[[#This Row],[Assigned Supervisor]],L:L)</f>
        <v>11733610</v>
      </c>
    </row>
    <row r="1976" spans="1:20" hidden="1" x14ac:dyDescent="0.3">
      <c r="A1976" t="s">
        <v>3053</v>
      </c>
      <c r="B1976" t="s">
        <v>235</v>
      </c>
      <c r="C1976" t="s">
        <v>16</v>
      </c>
      <c r="D1976" t="s">
        <v>2944</v>
      </c>
      <c r="E1976" t="s">
        <v>18</v>
      </c>
      <c r="F1976" t="s">
        <v>32</v>
      </c>
      <c r="G1976" t="s">
        <v>33</v>
      </c>
      <c r="H1976" t="s">
        <v>34</v>
      </c>
      <c r="I1976">
        <v>7000</v>
      </c>
      <c r="J1976">
        <v>9100</v>
      </c>
      <c r="K1976">
        <v>1</v>
      </c>
      <c r="L1976">
        <v>7000</v>
      </c>
      <c r="M1976">
        <v>9100</v>
      </c>
      <c r="N1976" t="s">
        <v>22</v>
      </c>
      <c r="O1976">
        <f t="shared" si="60"/>
        <v>18200</v>
      </c>
      <c r="P1976" s="13">
        <f t="shared" si="61"/>
        <v>2751814</v>
      </c>
      <c r="Q1976" s="13">
        <f>SUMIFS(M:M,E:E,Online_eCommerce[[#This Row],[Status]])</f>
        <v>28340455</v>
      </c>
      <c r="R1976" s="13">
        <f>SUMIFS(L:L,H:H,Online_eCommerce[[#This Row],[Brand]])</f>
        <v>10087000</v>
      </c>
      <c r="S1976" s="13">
        <f>SUMIF(H:H,Online_eCommerce[[#This Row],[Brand]],M:M)</f>
        <v>13113100</v>
      </c>
      <c r="T1976" s="13">
        <f>SUMIF(N:N,Online_eCommerce[[#This Row],[Assigned Supervisor]],L:L)</f>
        <v>13693220</v>
      </c>
    </row>
    <row r="1977" spans="1:20" hidden="1" x14ac:dyDescent="0.3">
      <c r="A1977" t="s">
        <v>3054</v>
      </c>
      <c r="B1977" t="s">
        <v>235</v>
      </c>
      <c r="C1977" t="s">
        <v>24</v>
      </c>
      <c r="D1977" t="s">
        <v>2944</v>
      </c>
      <c r="E1977" t="s">
        <v>161</v>
      </c>
      <c r="F1977" t="s">
        <v>3055</v>
      </c>
      <c r="G1977" t="s">
        <v>163</v>
      </c>
      <c r="H1977" t="s">
        <v>41</v>
      </c>
      <c r="I1977">
        <v>6550</v>
      </c>
      <c r="J1977">
        <v>8515</v>
      </c>
      <c r="K1977">
        <v>1</v>
      </c>
      <c r="L1977">
        <v>6550</v>
      </c>
      <c r="M1977">
        <v>8515</v>
      </c>
      <c r="N1977" t="s">
        <v>28</v>
      </c>
      <c r="O1977">
        <f t="shared" si="60"/>
        <v>13650</v>
      </c>
      <c r="P1977" s="13">
        <f t="shared" si="61"/>
        <v>2009540</v>
      </c>
      <c r="Q1977" s="13">
        <f>SUMIFS(M:M,E:E,Online_eCommerce[[#This Row],[Status]])</f>
        <v>21103186</v>
      </c>
      <c r="R1977" s="13">
        <f>SUMIFS(L:L,H:H,Online_eCommerce[[#This Row],[Brand]])</f>
        <v>4260400</v>
      </c>
      <c r="S1977" s="13">
        <f>SUMIF(H:H,Online_eCommerce[[#This Row],[Brand]],M:M)</f>
        <v>5538520</v>
      </c>
      <c r="T1977" s="13">
        <f>SUMIF(N:N,Online_eCommerce[[#This Row],[Assigned Supervisor]],L:L)</f>
        <v>12220830</v>
      </c>
    </row>
    <row r="1978" spans="1:20" x14ac:dyDescent="0.3">
      <c r="A1978" t="s">
        <v>3056</v>
      </c>
      <c r="B1978" t="s">
        <v>235</v>
      </c>
      <c r="C1978" t="s">
        <v>31</v>
      </c>
      <c r="D1978" t="s">
        <v>2944</v>
      </c>
      <c r="E1978" t="s">
        <v>46</v>
      </c>
      <c r="F1978" t="s">
        <v>47</v>
      </c>
      <c r="G1978" t="s">
        <v>66</v>
      </c>
      <c r="H1978" t="s">
        <v>49</v>
      </c>
      <c r="I1978">
        <v>7650</v>
      </c>
      <c r="J1978">
        <v>9945</v>
      </c>
      <c r="K1978">
        <v>2</v>
      </c>
      <c r="L1978">
        <v>15300</v>
      </c>
      <c r="M1978">
        <v>19890</v>
      </c>
      <c r="N1978" t="s">
        <v>35</v>
      </c>
      <c r="O1978">
        <f t="shared" si="60"/>
        <v>1690</v>
      </c>
      <c r="P1978" s="13">
        <f t="shared" si="61"/>
        <v>2865746</v>
      </c>
      <c r="Q1978" s="13">
        <f>SUMIFS(M:M,E:E,Online_eCommerce[[#This Row],[Status]])</f>
        <v>28620410</v>
      </c>
      <c r="R1978" s="13">
        <f>SUMIFS(L:L,H:H,Online_eCommerce[[#This Row],[Brand]])</f>
        <v>4528350</v>
      </c>
      <c r="S1978" s="13">
        <f>SUMIF(H:H,Online_eCommerce[[#This Row],[Brand]],M:M)</f>
        <v>5886855</v>
      </c>
      <c r="T1978" s="13">
        <f>SUMIF(N:N,Online_eCommerce[[#This Row],[Assigned Supervisor]],L:L)</f>
        <v>14373360</v>
      </c>
    </row>
    <row r="1979" spans="1:20" hidden="1" x14ac:dyDescent="0.3">
      <c r="A1979" t="s">
        <v>3057</v>
      </c>
      <c r="B1979" t="s">
        <v>235</v>
      </c>
      <c r="C1979" t="s">
        <v>38</v>
      </c>
      <c r="D1979" t="s">
        <v>2944</v>
      </c>
      <c r="E1979" t="s">
        <v>96</v>
      </c>
      <c r="F1979" t="s">
        <v>53</v>
      </c>
      <c r="G1979" t="s">
        <v>54</v>
      </c>
      <c r="H1979" t="s">
        <v>55</v>
      </c>
      <c r="I1979">
        <v>1150</v>
      </c>
      <c r="J1979">
        <v>1495</v>
      </c>
      <c r="K1979">
        <v>2</v>
      </c>
      <c r="L1979">
        <v>2300</v>
      </c>
      <c r="M1979">
        <v>2990</v>
      </c>
      <c r="N1979" t="s">
        <v>42</v>
      </c>
      <c r="O1979">
        <f t="shared" si="60"/>
        <v>2990</v>
      </c>
      <c r="P1979" s="13">
        <f t="shared" si="61"/>
        <v>1933997</v>
      </c>
      <c r="Q1979" s="13">
        <f>SUMIFS(M:M,E:E,Online_eCommerce[[#This Row],[Status]])</f>
        <v>21233992</v>
      </c>
      <c r="R1979" s="13">
        <f>SUMIFS(L:L,H:H,Online_eCommerce[[#This Row],[Brand]])</f>
        <v>2267380</v>
      </c>
      <c r="S1979" s="13">
        <f>SUMIF(H:H,Online_eCommerce[[#This Row],[Brand]],M:M)</f>
        <v>2947594</v>
      </c>
      <c r="T1979" s="13">
        <f>SUMIF(N:N,Online_eCommerce[[#This Row],[Assigned Supervisor]],L:L)</f>
        <v>12261500</v>
      </c>
    </row>
    <row r="1980" spans="1:20" hidden="1" x14ac:dyDescent="0.3">
      <c r="A1980" t="s">
        <v>3058</v>
      </c>
      <c r="B1980" t="s">
        <v>235</v>
      </c>
      <c r="C1980" t="s">
        <v>45</v>
      </c>
      <c r="D1980" t="s">
        <v>2944</v>
      </c>
      <c r="E1980" t="s">
        <v>18</v>
      </c>
      <c r="F1980" t="s">
        <v>59</v>
      </c>
      <c r="G1980" t="s">
        <v>60</v>
      </c>
      <c r="H1980" t="s">
        <v>61</v>
      </c>
      <c r="I1980">
        <v>850</v>
      </c>
      <c r="J1980">
        <v>1105</v>
      </c>
      <c r="K1980">
        <v>2</v>
      </c>
      <c r="L1980">
        <v>1700</v>
      </c>
      <c r="M1980">
        <v>2210</v>
      </c>
      <c r="N1980" t="s">
        <v>50</v>
      </c>
      <c r="O1980">
        <f t="shared" si="60"/>
        <v>3315</v>
      </c>
      <c r="P1980" s="13">
        <f t="shared" si="61"/>
        <v>2842554</v>
      </c>
      <c r="Q1980" s="13">
        <f>SUMIFS(M:M,E:E,Online_eCommerce[[#This Row],[Status]])</f>
        <v>28340455</v>
      </c>
      <c r="R1980" s="13">
        <f>SUMIFS(L:L,H:H,Online_eCommerce[[#This Row],[Brand]])</f>
        <v>10950150</v>
      </c>
      <c r="S1980" s="13">
        <f>SUMIF(H:H,Online_eCommerce[[#This Row],[Brand]],M:M)</f>
        <v>14235195</v>
      </c>
      <c r="T1980" s="13">
        <f>SUMIF(N:N,Online_eCommerce[[#This Row],[Assigned Supervisor]],L:L)</f>
        <v>12100590</v>
      </c>
    </row>
    <row r="1981" spans="1:20" hidden="1" x14ac:dyDescent="0.3">
      <c r="A1981" t="s">
        <v>3059</v>
      </c>
      <c r="B1981" t="s">
        <v>235</v>
      </c>
      <c r="C1981" t="s">
        <v>52</v>
      </c>
      <c r="D1981" t="s">
        <v>2944</v>
      </c>
      <c r="E1981" t="s">
        <v>161</v>
      </c>
      <c r="F1981" t="s">
        <v>65</v>
      </c>
      <c r="G1981" t="s">
        <v>66</v>
      </c>
      <c r="H1981" t="s">
        <v>21</v>
      </c>
      <c r="I1981">
        <v>650</v>
      </c>
      <c r="J1981">
        <v>845</v>
      </c>
      <c r="K1981">
        <v>1</v>
      </c>
      <c r="L1981">
        <v>650</v>
      </c>
      <c r="M1981">
        <v>845</v>
      </c>
      <c r="N1981" t="s">
        <v>56</v>
      </c>
      <c r="O1981">
        <f t="shared" si="60"/>
        <v>1690</v>
      </c>
      <c r="P1981" s="13">
        <f t="shared" si="61"/>
        <v>1955044</v>
      </c>
      <c r="Q1981" s="13">
        <f>SUMIFS(M:M,E:E,Online_eCommerce[[#This Row],[Status]])</f>
        <v>21103186</v>
      </c>
      <c r="R1981" s="13">
        <f>SUMIFS(L:L,H:H,Online_eCommerce[[#This Row],[Brand]])</f>
        <v>12435650</v>
      </c>
      <c r="S1981" s="13">
        <f>SUMIF(H:H,Online_eCommerce[[#This Row],[Brand]],M:M)</f>
        <v>16166345</v>
      </c>
      <c r="T1981" s="13">
        <f>SUMIF(N:N,Online_eCommerce[[#This Row],[Assigned Supervisor]],L:L)</f>
        <v>11733610</v>
      </c>
    </row>
    <row r="1982" spans="1:20" x14ac:dyDescent="0.3">
      <c r="A1982" t="s">
        <v>3060</v>
      </c>
      <c r="B1982" t="s">
        <v>235</v>
      </c>
      <c r="C1982" t="s">
        <v>58</v>
      </c>
      <c r="D1982" t="s">
        <v>2944</v>
      </c>
      <c r="E1982" t="s">
        <v>46</v>
      </c>
      <c r="F1982" t="s">
        <v>70</v>
      </c>
      <c r="G1982" t="s">
        <v>71</v>
      </c>
      <c r="H1982" t="s">
        <v>61</v>
      </c>
      <c r="I1982">
        <v>7500</v>
      </c>
      <c r="J1982">
        <v>9750</v>
      </c>
      <c r="K1982">
        <v>2</v>
      </c>
      <c r="L1982">
        <v>15000</v>
      </c>
      <c r="M1982">
        <v>19500</v>
      </c>
      <c r="N1982" t="s">
        <v>22</v>
      </c>
      <c r="O1982">
        <f t="shared" si="60"/>
        <v>9750</v>
      </c>
      <c r="P1982" s="13">
        <f t="shared" si="61"/>
        <v>2629211</v>
      </c>
      <c r="Q1982" s="13">
        <f>SUMIFS(M:M,E:E,Online_eCommerce[[#This Row],[Status]])</f>
        <v>28620410</v>
      </c>
      <c r="R1982" s="13">
        <f>SUMIFS(L:L,H:H,Online_eCommerce[[#This Row],[Brand]])</f>
        <v>10950150</v>
      </c>
      <c r="S1982" s="13">
        <f>SUMIF(H:H,Online_eCommerce[[#This Row],[Brand]],M:M)</f>
        <v>14235195</v>
      </c>
      <c r="T1982" s="13">
        <f>SUMIF(N:N,Online_eCommerce[[#This Row],[Assigned Supervisor]],L:L)</f>
        <v>13693220</v>
      </c>
    </row>
    <row r="1983" spans="1:20" hidden="1" x14ac:dyDescent="0.3">
      <c r="A1983" t="s">
        <v>3061</v>
      </c>
      <c r="B1983" t="s">
        <v>235</v>
      </c>
      <c r="C1983" t="s">
        <v>63</v>
      </c>
      <c r="D1983" t="s">
        <v>2944</v>
      </c>
      <c r="E1983" t="s">
        <v>96</v>
      </c>
      <c r="F1983" t="s">
        <v>3048</v>
      </c>
      <c r="G1983" t="s">
        <v>77</v>
      </c>
      <c r="H1983" t="s">
        <v>78</v>
      </c>
      <c r="I1983">
        <v>10000</v>
      </c>
      <c r="J1983">
        <v>13000</v>
      </c>
      <c r="K1983">
        <v>3</v>
      </c>
      <c r="L1983">
        <v>30000</v>
      </c>
      <c r="M1983">
        <v>39000</v>
      </c>
      <c r="N1983" t="s">
        <v>28</v>
      </c>
      <c r="O1983">
        <f t="shared" si="60"/>
        <v>39000</v>
      </c>
      <c r="P1983" s="13">
        <f t="shared" si="61"/>
        <v>2016131</v>
      </c>
      <c r="Q1983" s="13">
        <f>SUMIFS(M:M,E:E,Online_eCommerce[[#This Row],[Status]])</f>
        <v>21233992</v>
      </c>
      <c r="R1983" s="13">
        <f>SUMIFS(L:L,H:H,Online_eCommerce[[#This Row],[Brand]])</f>
        <v>3720000</v>
      </c>
      <c r="S1983" s="13">
        <f>SUMIF(H:H,Online_eCommerce[[#This Row],[Brand]],M:M)</f>
        <v>4836000</v>
      </c>
      <c r="T1983" s="13">
        <f>SUMIF(N:N,Online_eCommerce[[#This Row],[Assigned Supervisor]],L:L)</f>
        <v>12220830</v>
      </c>
    </row>
    <row r="1984" spans="1:20" hidden="1" x14ac:dyDescent="0.3">
      <c r="A1984" t="s">
        <v>3062</v>
      </c>
      <c r="B1984" t="s">
        <v>235</v>
      </c>
      <c r="C1984" t="s">
        <v>68</v>
      </c>
      <c r="D1984" t="s">
        <v>2944</v>
      </c>
      <c r="E1984" t="s">
        <v>18</v>
      </c>
      <c r="F1984" t="s">
        <v>3063</v>
      </c>
      <c r="G1984" t="s">
        <v>20</v>
      </c>
      <c r="H1984" t="s">
        <v>21</v>
      </c>
      <c r="I1984">
        <v>10500</v>
      </c>
      <c r="J1984">
        <v>13650</v>
      </c>
      <c r="K1984">
        <v>2</v>
      </c>
      <c r="L1984">
        <v>21000</v>
      </c>
      <c r="M1984">
        <v>27300</v>
      </c>
      <c r="N1984" t="s">
        <v>35</v>
      </c>
      <c r="O1984">
        <f t="shared" si="60"/>
        <v>8450</v>
      </c>
      <c r="P1984" s="13">
        <f t="shared" si="61"/>
        <v>2974621</v>
      </c>
      <c r="Q1984" s="13">
        <f>SUMIFS(M:M,E:E,Online_eCommerce[[#This Row],[Status]])</f>
        <v>28340455</v>
      </c>
      <c r="R1984" s="13">
        <f>SUMIFS(L:L,H:H,Online_eCommerce[[#This Row],[Brand]])</f>
        <v>12435650</v>
      </c>
      <c r="S1984" s="13">
        <f>SUMIF(H:H,Online_eCommerce[[#This Row],[Brand]],M:M)</f>
        <v>16166345</v>
      </c>
      <c r="T1984" s="13">
        <f>SUMIF(N:N,Online_eCommerce[[#This Row],[Assigned Supervisor]],L:L)</f>
        <v>14373360</v>
      </c>
    </row>
    <row r="1985" spans="1:20" hidden="1" x14ac:dyDescent="0.3">
      <c r="A1985" t="s">
        <v>3064</v>
      </c>
      <c r="B1985" t="s">
        <v>235</v>
      </c>
      <c r="C1985" t="s">
        <v>74</v>
      </c>
      <c r="D1985" t="s">
        <v>2944</v>
      </c>
      <c r="E1985" t="s">
        <v>161</v>
      </c>
      <c r="F1985" t="s">
        <v>88</v>
      </c>
      <c r="G1985" t="s">
        <v>26</v>
      </c>
      <c r="H1985" t="s">
        <v>27</v>
      </c>
      <c r="I1985">
        <v>8500</v>
      </c>
      <c r="J1985">
        <v>11050</v>
      </c>
      <c r="K1985">
        <v>4</v>
      </c>
      <c r="L1985">
        <v>34000</v>
      </c>
      <c r="M1985">
        <v>44200</v>
      </c>
      <c r="N1985" t="s">
        <v>42</v>
      </c>
      <c r="O1985">
        <f t="shared" si="60"/>
        <v>33150</v>
      </c>
      <c r="P1985" s="13">
        <f t="shared" si="61"/>
        <v>2144701</v>
      </c>
      <c r="Q1985" s="13">
        <f>SUMIFS(M:M,E:E,Online_eCommerce[[#This Row],[Status]])</f>
        <v>21103186</v>
      </c>
      <c r="R1985" s="13">
        <f>SUMIFS(L:L,H:H,Online_eCommerce[[#This Row],[Brand]])</f>
        <v>14431000</v>
      </c>
      <c r="S1985" s="13">
        <f>SUMIF(H:H,Online_eCommerce[[#This Row],[Brand]],M:M)</f>
        <v>18760300</v>
      </c>
      <c r="T1985" s="13">
        <f>SUMIF(N:N,Online_eCommerce[[#This Row],[Assigned Supervisor]],L:L)</f>
        <v>12261500</v>
      </c>
    </row>
    <row r="1986" spans="1:20" x14ac:dyDescent="0.3">
      <c r="A1986" t="s">
        <v>3065</v>
      </c>
      <c r="B1986" t="s">
        <v>235</v>
      </c>
      <c r="C1986" t="s">
        <v>81</v>
      </c>
      <c r="D1986" t="s">
        <v>2944</v>
      </c>
      <c r="E1986" t="s">
        <v>46</v>
      </c>
      <c r="F1986" t="s">
        <v>32</v>
      </c>
      <c r="G1986" t="s">
        <v>33</v>
      </c>
      <c r="H1986" t="s">
        <v>34</v>
      </c>
      <c r="I1986">
        <v>7000</v>
      </c>
      <c r="J1986">
        <v>9100</v>
      </c>
      <c r="K1986">
        <v>3</v>
      </c>
      <c r="L1986">
        <v>21000</v>
      </c>
      <c r="M1986">
        <v>27300</v>
      </c>
      <c r="N1986" t="s">
        <v>50</v>
      </c>
      <c r="O1986">
        <f t="shared" ref="O1986:O2049" si="62">VLOOKUP(G1986,G:M,7,FALSE)</f>
        <v>18200</v>
      </c>
      <c r="P1986" s="13">
        <f t="shared" ref="P1986:P2049" si="63">SUMIFS(M:M,C:C,C1986)</f>
        <v>2595632</v>
      </c>
      <c r="Q1986" s="13">
        <f>SUMIFS(M:M,E:E,Online_eCommerce[[#This Row],[Status]])</f>
        <v>28620410</v>
      </c>
      <c r="R1986" s="13">
        <f>SUMIFS(L:L,H:H,Online_eCommerce[[#This Row],[Brand]])</f>
        <v>10087000</v>
      </c>
      <c r="S1986" s="13">
        <f>SUMIF(H:H,Online_eCommerce[[#This Row],[Brand]],M:M)</f>
        <v>13113100</v>
      </c>
      <c r="T1986" s="13">
        <f>SUMIF(N:N,Online_eCommerce[[#This Row],[Assigned Supervisor]],L:L)</f>
        <v>12100590</v>
      </c>
    </row>
    <row r="1987" spans="1:20" hidden="1" x14ac:dyDescent="0.3">
      <c r="A1987" t="s">
        <v>3066</v>
      </c>
      <c r="B1987" t="s">
        <v>235</v>
      </c>
      <c r="C1987" t="s">
        <v>86</v>
      </c>
      <c r="D1987" t="s">
        <v>2944</v>
      </c>
      <c r="E1987" t="s">
        <v>96</v>
      </c>
      <c r="F1987" t="s">
        <v>3067</v>
      </c>
      <c r="G1987" t="s">
        <v>163</v>
      </c>
      <c r="H1987" t="s">
        <v>41</v>
      </c>
      <c r="I1987">
        <v>1680</v>
      </c>
      <c r="J1987">
        <v>2184</v>
      </c>
      <c r="K1987">
        <v>3</v>
      </c>
      <c r="L1987">
        <v>5040</v>
      </c>
      <c r="M1987">
        <v>6552</v>
      </c>
      <c r="N1987" t="s">
        <v>56</v>
      </c>
      <c r="O1987">
        <f t="shared" si="62"/>
        <v>13650</v>
      </c>
      <c r="P1987" s="13">
        <f t="shared" si="63"/>
        <v>1941225</v>
      </c>
      <c r="Q1987" s="13">
        <f>SUMIFS(M:M,E:E,Online_eCommerce[[#This Row],[Status]])</f>
        <v>21233992</v>
      </c>
      <c r="R1987" s="13">
        <f>SUMIFS(L:L,H:H,Online_eCommerce[[#This Row],[Brand]])</f>
        <v>4260400</v>
      </c>
      <c r="S1987" s="13">
        <f>SUMIF(H:H,Online_eCommerce[[#This Row],[Brand]],M:M)</f>
        <v>5538520</v>
      </c>
      <c r="T1987" s="13">
        <f>SUMIF(N:N,Online_eCommerce[[#This Row],[Assigned Supervisor]],L:L)</f>
        <v>11733610</v>
      </c>
    </row>
    <row r="1988" spans="1:20" hidden="1" x14ac:dyDescent="0.3">
      <c r="A1988" t="s">
        <v>3068</v>
      </c>
      <c r="B1988" t="s">
        <v>235</v>
      </c>
      <c r="C1988" t="s">
        <v>91</v>
      </c>
      <c r="D1988" t="s">
        <v>2944</v>
      </c>
      <c r="E1988" t="s">
        <v>18</v>
      </c>
      <c r="F1988" t="s">
        <v>101</v>
      </c>
      <c r="G1988" t="s">
        <v>66</v>
      </c>
      <c r="H1988" t="s">
        <v>102</v>
      </c>
      <c r="I1988">
        <v>6540</v>
      </c>
      <c r="J1988">
        <v>8502</v>
      </c>
      <c r="K1988">
        <v>3</v>
      </c>
      <c r="L1988">
        <v>19620</v>
      </c>
      <c r="M1988">
        <v>25506</v>
      </c>
      <c r="N1988" t="s">
        <v>22</v>
      </c>
      <c r="O1988">
        <f t="shared" si="62"/>
        <v>1690</v>
      </c>
      <c r="P1988" s="13">
        <f t="shared" si="63"/>
        <v>2731963</v>
      </c>
      <c r="Q1988" s="13">
        <f>SUMIFS(M:M,E:E,Online_eCommerce[[#This Row],[Status]])</f>
        <v>28340455</v>
      </c>
      <c r="R1988" s="13">
        <f>SUMIFS(L:L,H:H,Online_eCommerce[[#This Row],[Brand]])</f>
        <v>2465580</v>
      </c>
      <c r="S1988" s="13">
        <f>SUMIF(H:H,Online_eCommerce[[#This Row],[Brand]],M:M)</f>
        <v>3205254</v>
      </c>
      <c r="T1988" s="13">
        <f>SUMIF(N:N,Online_eCommerce[[#This Row],[Assigned Supervisor]],L:L)</f>
        <v>13693220</v>
      </c>
    </row>
    <row r="1989" spans="1:20" hidden="1" x14ac:dyDescent="0.3">
      <c r="A1989" t="s">
        <v>3069</v>
      </c>
      <c r="B1989" t="s">
        <v>235</v>
      </c>
      <c r="C1989" t="s">
        <v>94</v>
      </c>
      <c r="D1989" t="s">
        <v>2944</v>
      </c>
      <c r="E1989" t="s">
        <v>161</v>
      </c>
      <c r="F1989" t="s">
        <v>107</v>
      </c>
      <c r="G1989" t="s">
        <v>54</v>
      </c>
      <c r="H1989" t="s">
        <v>55</v>
      </c>
      <c r="I1989">
        <v>2680</v>
      </c>
      <c r="J1989">
        <v>3484</v>
      </c>
      <c r="K1989">
        <v>4</v>
      </c>
      <c r="L1989">
        <v>10720</v>
      </c>
      <c r="M1989">
        <v>13936</v>
      </c>
      <c r="N1989" t="s">
        <v>28</v>
      </c>
      <c r="O1989">
        <f t="shared" si="62"/>
        <v>2990</v>
      </c>
      <c r="P1989" s="13">
        <f t="shared" si="63"/>
        <v>1868256</v>
      </c>
      <c r="Q1989" s="13">
        <f>SUMIFS(M:M,E:E,Online_eCommerce[[#This Row],[Status]])</f>
        <v>21103186</v>
      </c>
      <c r="R1989" s="13">
        <f>SUMIFS(L:L,H:H,Online_eCommerce[[#This Row],[Brand]])</f>
        <v>2267380</v>
      </c>
      <c r="S1989" s="13">
        <f>SUMIF(H:H,Online_eCommerce[[#This Row],[Brand]],M:M)</f>
        <v>2947594</v>
      </c>
      <c r="T1989" s="13">
        <f>SUMIF(N:N,Online_eCommerce[[#This Row],[Assigned Supervisor]],L:L)</f>
        <v>12220830</v>
      </c>
    </row>
    <row r="1990" spans="1:20" x14ac:dyDescent="0.3">
      <c r="A1990" t="s">
        <v>3070</v>
      </c>
      <c r="B1990" t="s">
        <v>235</v>
      </c>
      <c r="C1990" t="s">
        <v>99</v>
      </c>
      <c r="D1990" t="s">
        <v>2944</v>
      </c>
      <c r="E1990" t="s">
        <v>46</v>
      </c>
      <c r="F1990" t="s">
        <v>112</v>
      </c>
      <c r="G1990" t="s">
        <v>71</v>
      </c>
      <c r="H1990" t="s">
        <v>21</v>
      </c>
      <c r="I1990">
        <v>8250</v>
      </c>
      <c r="J1990">
        <v>10725</v>
      </c>
      <c r="K1990">
        <v>1</v>
      </c>
      <c r="L1990">
        <v>8250</v>
      </c>
      <c r="M1990">
        <v>10725</v>
      </c>
      <c r="N1990" t="s">
        <v>35</v>
      </c>
      <c r="O1990">
        <f t="shared" si="62"/>
        <v>9750</v>
      </c>
      <c r="P1990" s="13">
        <f t="shared" si="63"/>
        <v>2651233</v>
      </c>
      <c r="Q1990" s="13">
        <f>SUMIFS(M:M,E:E,Online_eCommerce[[#This Row],[Status]])</f>
        <v>28620410</v>
      </c>
      <c r="R1990" s="13">
        <f>SUMIFS(L:L,H:H,Online_eCommerce[[#This Row],[Brand]])</f>
        <v>12435650</v>
      </c>
      <c r="S1990" s="13">
        <f>SUMIF(H:H,Online_eCommerce[[#This Row],[Brand]],M:M)</f>
        <v>16166345</v>
      </c>
      <c r="T1990" s="13">
        <f>SUMIF(N:N,Online_eCommerce[[#This Row],[Assigned Supervisor]],L:L)</f>
        <v>14373360</v>
      </c>
    </row>
    <row r="1991" spans="1:20" hidden="1" x14ac:dyDescent="0.3">
      <c r="A1991" t="s">
        <v>3071</v>
      </c>
      <c r="B1991" t="s">
        <v>235</v>
      </c>
      <c r="C1991" t="s">
        <v>105</v>
      </c>
      <c r="D1991" t="s">
        <v>2944</v>
      </c>
      <c r="E1991" t="s">
        <v>96</v>
      </c>
      <c r="F1991" t="s">
        <v>2666</v>
      </c>
      <c r="G1991" t="s">
        <v>40</v>
      </c>
      <c r="H1991" t="s">
        <v>21</v>
      </c>
      <c r="I1991">
        <v>2650</v>
      </c>
      <c r="J1991">
        <v>3445</v>
      </c>
      <c r="K1991">
        <v>2</v>
      </c>
      <c r="L1991">
        <v>5300</v>
      </c>
      <c r="M1991">
        <v>6890</v>
      </c>
      <c r="N1991" t="s">
        <v>42</v>
      </c>
      <c r="O1991">
        <f t="shared" si="62"/>
        <v>25545</v>
      </c>
      <c r="P1991" s="13">
        <f t="shared" si="63"/>
        <v>1866852</v>
      </c>
      <c r="Q1991" s="13">
        <f>SUMIFS(M:M,E:E,Online_eCommerce[[#This Row],[Status]])</f>
        <v>21233992</v>
      </c>
      <c r="R1991" s="13">
        <f>SUMIFS(L:L,H:H,Online_eCommerce[[#This Row],[Brand]])</f>
        <v>12435650</v>
      </c>
      <c r="S1991" s="13">
        <f>SUMIF(H:H,Online_eCommerce[[#This Row],[Brand]],M:M)</f>
        <v>16166345</v>
      </c>
      <c r="T1991" s="13">
        <f>SUMIF(N:N,Online_eCommerce[[#This Row],[Assigned Supervisor]],L:L)</f>
        <v>12261500</v>
      </c>
    </row>
    <row r="1992" spans="1:20" hidden="1" x14ac:dyDescent="0.3">
      <c r="A1992" t="s">
        <v>3072</v>
      </c>
      <c r="B1992" t="s">
        <v>235</v>
      </c>
      <c r="C1992" t="s">
        <v>110</v>
      </c>
      <c r="D1992" t="s">
        <v>2944</v>
      </c>
      <c r="E1992" t="s">
        <v>18</v>
      </c>
      <c r="F1992" t="s">
        <v>121</v>
      </c>
      <c r="G1992" t="s">
        <v>71</v>
      </c>
      <c r="H1992" t="s">
        <v>122</v>
      </c>
      <c r="I1992">
        <v>12550</v>
      </c>
      <c r="J1992">
        <v>16315</v>
      </c>
      <c r="K1992">
        <v>3</v>
      </c>
      <c r="L1992">
        <v>37650</v>
      </c>
      <c r="M1992">
        <v>48945</v>
      </c>
      <c r="N1992" t="s">
        <v>50</v>
      </c>
      <c r="O1992">
        <f t="shared" si="62"/>
        <v>9750</v>
      </c>
      <c r="P1992" s="13">
        <f t="shared" si="63"/>
        <v>2598635</v>
      </c>
      <c r="Q1992" s="13">
        <f>SUMIFS(M:M,E:E,Online_eCommerce[[#This Row],[Status]])</f>
        <v>28340455</v>
      </c>
      <c r="R1992" s="13">
        <f>SUMIFS(L:L,H:H,Online_eCommerce[[#This Row],[Brand]])</f>
        <v>5045100</v>
      </c>
      <c r="S1992" s="13">
        <f>SUMIF(H:H,Online_eCommerce[[#This Row],[Brand]],M:M)</f>
        <v>6558630</v>
      </c>
      <c r="T1992" s="13">
        <f>SUMIF(N:N,Online_eCommerce[[#This Row],[Assigned Supervisor]],L:L)</f>
        <v>12100590</v>
      </c>
    </row>
    <row r="1993" spans="1:20" hidden="1" x14ac:dyDescent="0.3">
      <c r="A1993" t="s">
        <v>3073</v>
      </c>
      <c r="B1993" t="s">
        <v>235</v>
      </c>
      <c r="C1993" t="s">
        <v>115</v>
      </c>
      <c r="D1993" t="s">
        <v>2944</v>
      </c>
      <c r="E1993" t="s">
        <v>161</v>
      </c>
      <c r="F1993" t="s">
        <v>126</v>
      </c>
      <c r="G1993" t="s">
        <v>26</v>
      </c>
      <c r="H1993" t="s">
        <v>27</v>
      </c>
      <c r="I1993">
        <v>14500</v>
      </c>
      <c r="J1993">
        <v>18850</v>
      </c>
      <c r="K1993">
        <v>3</v>
      </c>
      <c r="L1993">
        <v>43500</v>
      </c>
      <c r="M1993">
        <v>56550</v>
      </c>
      <c r="N1993" t="s">
        <v>56</v>
      </c>
      <c r="O1993">
        <f t="shared" si="62"/>
        <v>33150</v>
      </c>
      <c r="P1993" s="13">
        <f t="shared" si="63"/>
        <v>2050178</v>
      </c>
      <c r="Q1993" s="13">
        <f>SUMIFS(M:M,E:E,Online_eCommerce[[#This Row],[Status]])</f>
        <v>21103186</v>
      </c>
      <c r="R1993" s="13">
        <f>SUMIFS(L:L,H:H,Online_eCommerce[[#This Row],[Brand]])</f>
        <v>14431000</v>
      </c>
      <c r="S1993" s="13">
        <f>SUMIF(H:H,Online_eCommerce[[#This Row],[Brand]],M:M)</f>
        <v>18760300</v>
      </c>
      <c r="T1993" s="13">
        <f>SUMIF(N:N,Online_eCommerce[[#This Row],[Assigned Supervisor]],L:L)</f>
        <v>11733610</v>
      </c>
    </row>
    <row r="1994" spans="1:20" x14ac:dyDescent="0.3">
      <c r="A1994" t="s">
        <v>3074</v>
      </c>
      <c r="B1994" t="s">
        <v>235</v>
      </c>
      <c r="C1994" t="s">
        <v>120</v>
      </c>
      <c r="D1994" t="s">
        <v>2944</v>
      </c>
      <c r="E1994" t="s">
        <v>46</v>
      </c>
      <c r="F1994" t="s">
        <v>129</v>
      </c>
      <c r="G1994" t="s">
        <v>60</v>
      </c>
      <c r="H1994" t="s">
        <v>61</v>
      </c>
      <c r="I1994">
        <v>800</v>
      </c>
      <c r="J1994">
        <v>1040</v>
      </c>
      <c r="K1994">
        <v>2</v>
      </c>
      <c r="L1994">
        <v>1600</v>
      </c>
      <c r="M1994">
        <v>2080</v>
      </c>
      <c r="N1994" t="s">
        <v>22</v>
      </c>
      <c r="O1994">
        <f t="shared" si="62"/>
        <v>3315</v>
      </c>
      <c r="P1994" s="13">
        <f t="shared" si="63"/>
        <v>2734212</v>
      </c>
      <c r="Q1994" s="13">
        <f>SUMIFS(M:M,E:E,Online_eCommerce[[#This Row],[Status]])</f>
        <v>28620410</v>
      </c>
      <c r="R1994" s="13">
        <f>SUMIFS(L:L,H:H,Online_eCommerce[[#This Row],[Brand]])</f>
        <v>10950150</v>
      </c>
      <c r="S1994" s="13">
        <f>SUMIF(H:H,Online_eCommerce[[#This Row],[Brand]],M:M)</f>
        <v>14235195</v>
      </c>
      <c r="T1994" s="13">
        <f>SUMIF(N:N,Online_eCommerce[[#This Row],[Assigned Supervisor]],L:L)</f>
        <v>13693220</v>
      </c>
    </row>
    <row r="1995" spans="1:20" hidden="1" x14ac:dyDescent="0.3">
      <c r="A1995" t="s">
        <v>3075</v>
      </c>
      <c r="B1995" t="s">
        <v>235</v>
      </c>
      <c r="C1995" t="s">
        <v>125</v>
      </c>
      <c r="D1995" t="s">
        <v>2944</v>
      </c>
      <c r="E1995" t="s">
        <v>96</v>
      </c>
      <c r="F1995" t="s">
        <v>133</v>
      </c>
      <c r="G1995" t="s">
        <v>66</v>
      </c>
      <c r="H1995" t="s">
        <v>21</v>
      </c>
      <c r="I1995">
        <v>600</v>
      </c>
      <c r="J1995">
        <v>780</v>
      </c>
      <c r="K1995">
        <v>3</v>
      </c>
      <c r="L1995">
        <v>1800</v>
      </c>
      <c r="M1995">
        <v>2340</v>
      </c>
      <c r="N1995" t="s">
        <v>28</v>
      </c>
      <c r="O1995">
        <f t="shared" si="62"/>
        <v>1690</v>
      </c>
      <c r="P1995" s="13">
        <f t="shared" si="63"/>
        <v>2091154</v>
      </c>
      <c r="Q1995" s="13">
        <f>SUMIFS(M:M,E:E,Online_eCommerce[[#This Row],[Status]])</f>
        <v>21233992</v>
      </c>
      <c r="R1995" s="13">
        <f>SUMIFS(L:L,H:H,Online_eCommerce[[#This Row],[Brand]])</f>
        <v>12435650</v>
      </c>
      <c r="S1995" s="13">
        <f>SUMIF(H:H,Online_eCommerce[[#This Row],[Brand]],M:M)</f>
        <v>16166345</v>
      </c>
      <c r="T1995" s="13">
        <f>SUMIF(N:N,Online_eCommerce[[#This Row],[Assigned Supervisor]],L:L)</f>
        <v>12220830</v>
      </c>
    </row>
    <row r="1996" spans="1:20" hidden="1" x14ac:dyDescent="0.3">
      <c r="A1996" t="s">
        <v>3076</v>
      </c>
      <c r="B1996" t="s">
        <v>235</v>
      </c>
      <c r="C1996" t="s">
        <v>22</v>
      </c>
      <c r="D1996" t="s">
        <v>2944</v>
      </c>
      <c r="E1996" t="s">
        <v>18</v>
      </c>
      <c r="F1996" t="s">
        <v>137</v>
      </c>
      <c r="G1996" t="s">
        <v>71</v>
      </c>
      <c r="H1996" t="s">
        <v>61</v>
      </c>
      <c r="I1996">
        <v>10500</v>
      </c>
      <c r="J1996">
        <v>13650</v>
      </c>
      <c r="K1996">
        <v>3</v>
      </c>
      <c r="L1996">
        <v>31500</v>
      </c>
      <c r="M1996">
        <v>40950</v>
      </c>
      <c r="N1996" t="s">
        <v>35</v>
      </c>
      <c r="O1996">
        <f t="shared" si="62"/>
        <v>9750</v>
      </c>
      <c r="P1996" s="13">
        <f t="shared" si="63"/>
        <v>2551588</v>
      </c>
      <c r="Q1996" s="13">
        <f>SUMIFS(M:M,E:E,Online_eCommerce[[#This Row],[Status]])</f>
        <v>28340455</v>
      </c>
      <c r="R1996" s="13">
        <f>SUMIFS(L:L,H:H,Online_eCommerce[[#This Row],[Brand]])</f>
        <v>10950150</v>
      </c>
      <c r="S1996" s="13">
        <f>SUMIF(H:H,Online_eCommerce[[#This Row],[Brand]],M:M)</f>
        <v>14235195</v>
      </c>
      <c r="T1996" s="13">
        <f>SUMIF(N:N,Online_eCommerce[[#This Row],[Assigned Supervisor]],L:L)</f>
        <v>14373360</v>
      </c>
    </row>
    <row r="1997" spans="1:20" hidden="1" x14ac:dyDescent="0.3">
      <c r="A1997" t="s">
        <v>3077</v>
      </c>
      <c r="B1997" t="s">
        <v>235</v>
      </c>
      <c r="C1997" t="s">
        <v>132</v>
      </c>
      <c r="D1997" t="s">
        <v>2944</v>
      </c>
      <c r="E1997" t="s">
        <v>161</v>
      </c>
      <c r="F1997" t="s">
        <v>3048</v>
      </c>
      <c r="G1997" t="s">
        <v>77</v>
      </c>
      <c r="H1997" t="s">
        <v>142</v>
      </c>
      <c r="I1997">
        <v>6500</v>
      </c>
      <c r="J1997">
        <v>8450</v>
      </c>
      <c r="K1997">
        <v>4</v>
      </c>
      <c r="L1997">
        <v>26000</v>
      </c>
      <c r="M1997">
        <v>33800</v>
      </c>
      <c r="N1997" t="s">
        <v>42</v>
      </c>
      <c r="O1997">
        <f t="shared" si="62"/>
        <v>39000</v>
      </c>
      <c r="P1997" s="13">
        <f t="shared" si="63"/>
        <v>1989065</v>
      </c>
      <c r="Q1997" s="13">
        <f>SUMIFS(M:M,E:E,Online_eCommerce[[#This Row],[Status]])</f>
        <v>21103186</v>
      </c>
      <c r="R1997" s="13">
        <f>SUMIFS(L:L,H:H,Online_eCommerce[[#This Row],[Brand]])</f>
        <v>6192500</v>
      </c>
      <c r="S1997" s="13">
        <f>SUMIF(H:H,Online_eCommerce[[#This Row],[Brand]],M:M)</f>
        <v>8050250</v>
      </c>
      <c r="T1997" s="13">
        <f>SUMIF(N:N,Online_eCommerce[[#This Row],[Assigned Supervisor]],L:L)</f>
        <v>12261500</v>
      </c>
    </row>
    <row r="1998" spans="1:20" x14ac:dyDescent="0.3">
      <c r="A1998" t="s">
        <v>3078</v>
      </c>
      <c r="B1998" t="s">
        <v>235</v>
      </c>
      <c r="C1998" t="s">
        <v>136</v>
      </c>
      <c r="D1998" t="s">
        <v>2944</v>
      </c>
      <c r="E1998" t="s">
        <v>46</v>
      </c>
      <c r="F1998" t="s">
        <v>3079</v>
      </c>
      <c r="G1998" t="s">
        <v>20</v>
      </c>
      <c r="H1998" t="s">
        <v>21</v>
      </c>
      <c r="I1998">
        <v>4500</v>
      </c>
      <c r="J1998">
        <v>5850</v>
      </c>
      <c r="K1998">
        <v>4</v>
      </c>
      <c r="L1998">
        <v>18000</v>
      </c>
      <c r="M1998">
        <v>23400</v>
      </c>
      <c r="N1998" t="s">
        <v>50</v>
      </c>
      <c r="O1998">
        <f t="shared" si="62"/>
        <v>8450</v>
      </c>
      <c r="P1998" s="13">
        <f t="shared" si="63"/>
        <v>2775162</v>
      </c>
      <c r="Q1998" s="13">
        <f>SUMIFS(M:M,E:E,Online_eCommerce[[#This Row],[Status]])</f>
        <v>28620410</v>
      </c>
      <c r="R1998" s="13">
        <f>SUMIFS(L:L,H:H,Online_eCommerce[[#This Row],[Brand]])</f>
        <v>12435650</v>
      </c>
      <c r="S1998" s="13">
        <f>SUMIF(H:H,Online_eCommerce[[#This Row],[Brand]],M:M)</f>
        <v>16166345</v>
      </c>
      <c r="T1998" s="13">
        <f>SUMIF(N:N,Online_eCommerce[[#This Row],[Assigned Supervisor]],L:L)</f>
        <v>12100590</v>
      </c>
    </row>
    <row r="1999" spans="1:20" hidden="1" x14ac:dyDescent="0.3">
      <c r="A1999" t="s">
        <v>3080</v>
      </c>
      <c r="B1999" t="s">
        <v>235</v>
      </c>
      <c r="C1999" t="s">
        <v>140</v>
      </c>
      <c r="D1999" t="s">
        <v>2944</v>
      </c>
      <c r="E1999" t="s">
        <v>96</v>
      </c>
      <c r="F1999" t="s">
        <v>152</v>
      </c>
      <c r="G1999" t="s">
        <v>26</v>
      </c>
      <c r="H1999" t="s">
        <v>27</v>
      </c>
      <c r="I1999">
        <v>8500</v>
      </c>
      <c r="J1999">
        <v>11050</v>
      </c>
      <c r="K1999">
        <v>3</v>
      </c>
      <c r="L1999">
        <v>25500</v>
      </c>
      <c r="M1999">
        <v>33150</v>
      </c>
      <c r="N1999" t="s">
        <v>56</v>
      </c>
      <c r="O1999">
        <f t="shared" si="62"/>
        <v>33150</v>
      </c>
      <c r="P1999" s="13">
        <f t="shared" si="63"/>
        <v>2058264</v>
      </c>
      <c r="Q1999" s="13">
        <f>SUMIFS(M:M,E:E,Online_eCommerce[[#This Row],[Status]])</f>
        <v>21233992</v>
      </c>
      <c r="R1999" s="13">
        <f>SUMIFS(L:L,H:H,Online_eCommerce[[#This Row],[Brand]])</f>
        <v>14431000</v>
      </c>
      <c r="S1999" s="13">
        <f>SUMIF(H:H,Online_eCommerce[[#This Row],[Brand]],M:M)</f>
        <v>18760300</v>
      </c>
      <c r="T1999" s="13">
        <f>SUMIF(N:N,Online_eCommerce[[#This Row],[Assigned Supervisor]],L:L)</f>
        <v>11733610</v>
      </c>
    </row>
    <row r="2000" spans="1:20" hidden="1" x14ac:dyDescent="0.3">
      <c r="A2000" t="s">
        <v>3081</v>
      </c>
      <c r="B2000" t="s">
        <v>235</v>
      </c>
      <c r="C2000" t="s">
        <v>145</v>
      </c>
      <c r="D2000" t="s">
        <v>2944</v>
      </c>
      <c r="E2000" t="s">
        <v>18</v>
      </c>
      <c r="F2000" t="s">
        <v>157</v>
      </c>
      <c r="G2000" t="s">
        <v>33</v>
      </c>
      <c r="H2000" t="s">
        <v>34</v>
      </c>
      <c r="I2000">
        <v>12500</v>
      </c>
      <c r="J2000">
        <v>16250</v>
      </c>
      <c r="K2000">
        <v>4</v>
      </c>
      <c r="L2000">
        <v>50000</v>
      </c>
      <c r="M2000">
        <v>65000</v>
      </c>
      <c r="N2000" t="s">
        <v>22</v>
      </c>
      <c r="O2000">
        <f t="shared" si="62"/>
        <v>18200</v>
      </c>
      <c r="P2000" s="13">
        <f t="shared" si="63"/>
        <v>2757859</v>
      </c>
      <c r="Q2000" s="13">
        <f>SUMIFS(M:M,E:E,Online_eCommerce[[#This Row],[Status]])</f>
        <v>28340455</v>
      </c>
      <c r="R2000" s="13">
        <f>SUMIFS(L:L,H:H,Online_eCommerce[[#This Row],[Brand]])</f>
        <v>10087000</v>
      </c>
      <c r="S2000" s="13">
        <f>SUMIF(H:H,Online_eCommerce[[#This Row],[Brand]],M:M)</f>
        <v>13113100</v>
      </c>
      <c r="T2000" s="13">
        <f>SUMIF(N:N,Online_eCommerce[[#This Row],[Assigned Supervisor]],L:L)</f>
        <v>13693220</v>
      </c>
    </row>
    <row r="2001" spans="1:20" hidden="1" x14ac:dyDescent="0.3">
      <c r="A2001" t="s">
        <v>3082</v>
      </c>
      <c r="B2001" t="s">
        <v>235</v>
      </c>
      <c r="C2001" t="s">
        <v>150</v>
      </c>
      <c r="D2001" t="s">
        <v>3083</v>
      </c>
      <c r="E2001" t="s">
        <v>161</v>
      </c>
      <c r="F2001" t="s">
        <v>2738</v>
      </c>
      <c r="G2001" t="s">
        <v>256</v>
      </c>
      <c r="H2001" t="s">
        <v>41</v>
      </c>
      <c r="I2001">
        <v>3500</v>
      </c>
      <c r="J2001">
        <v>4550</v>
      </c>
      <c r="K2001">
        <v>1</v>
      </c>
      <c r="L2001">
        <v>3500</v>
      </c>
      <c r="M2001">
        <v>4550</v>
      </c>
      <c r="N2001" t="s">
        <v>28</v>
      </c>
      <c r="O2001">
        <f t="shared" si="62"/>
        <v>9100</v>
      </c>
      <c r="P2001" s="13">
        <f t="shared" si="63"/>
        <v>2154984</v>
      </c>
      <c r="Q2001" s="13">
        <f>SUMIFS(M:M,E:E,Online_eCommerce[[#This Row],[Status]])</f>
        <v>21103186</v>
      </c>
      <c r="R2001" s="13">
        <f>SUMIFS(L:L,H:H,Online_eCommerce[[#This Row],[Brand]])</f>
        <v>4260400</v>
      </c>
      <c r="S2001" s="13">
        <f>SUMIF(H:H,Online_eCommerce[[#This Row],[Brand]],M:M)</f>
        <v>5538520</v>
      </c>
      <c r="T2001" s="13">
        <f>SUMIF(N:N,Online_eCommerce[[#This Row],[Assigned Supervisor]],L:L)</f>
        <v>12220830</v>
      </c>
    </row>
    <row r="2002" spans="1:20" x14ac:dyDescent="0.3">
      <c r="A2002" t="s">
        <v>3084</v>
      </c>
      <c r="B2002" t="s">
        <v>235</v>
      </c>
      <c r="C2002" t="s">
        <v>155</v>
      </c>
      <c r="D2002" t="s">
        <v>3083</v>
      </c>
      <c r="E2002" t="s">
        <v>46</v>
      </c>
      <c r="F2002" t="s">
        <v>166</v>
      </c>
      <c r="G2002" t="s">
        <v>259</v>
      </c>
      <c r="H2002" t="s">
        <v>49</v>
      </c>
      <c r="I2002">
        <v>4500</v>
      </c>
      <c r="J2002">
        <v>5850</v>
      </c>
      <c r="K2002">
        <v>1</v>
      </c>
      <c r="L2002">
        <v>4500</v>
      </c>
      <c r="M2002">
        <v>5850</v>
      </c>
      <c r="N2002" t="s">
        <v>35</v>
      </c>
      <c r="O2002">
        <f t="shared" si="62"/>
        <v>11700</v>
      </c>
      <c r="P2002" s="13">
        <f t="shared" si="63"/>
        <v>2753348</v>
      </c>
      <c r="Q2002" s="13">
        <f>SUMIFS(M:M,E:E,Online_eCommerce[[#This Row],[Status]])</f>
        <v>28620410</v>
      </c>
      <c r="R2002" s="13">
        <f>SUMIFS(L:L,H:H,Online_eCommerce[[#This Row],[Brand]])</f>
        <v>4528350</v>
      </c>
      <c r="S2002" s="13">
        <f>SUMIF(H:H,Online_eCommerce[[#This Row],[Brand]],M:M)</f>
        <v>5886855</v>
      </c>
      <c r="T2002" s="13">
        <f>SUMIF(N:N,Online_eCommerce[[#This Row],[Assigned Supervisor]],L:L)</f>
        <v>14373360</v>
      </c>
    </row>
    <row r="2003" spans="1:20" hidden="1" x14ac:dyDescent="0.3">
      <c r="A2003" t="s">
        <v>3085</v>
      </c>
      <c r="B2003" t="s">
        <v>235</v>
      </c>
      <c r="C2003" t="s">
        <v>160</v>
      </c>
      <c r="D2003" t="s">
        <v>3083</v>
      </c>
      <c r="E2003" t="s">
        <v>96</v>
      </c>
      <c r="F2003" t="s">
        <v>3086</v>
      </c>
      <c r="G2003" t="s">
        <v>54</v>
      </c>
      <c r="H2003" t="s">
        <v>55</v>
      </c>
      <c r="I2003">
        <v>2100</v>
      </c>
      <c r="J2003">
        <v>2730</v>
      </c>
      <c r="K2003">
        <v>4</v>
      </c>
      <c r="L2003">
        <v>8400</v>
      </c>
      <c r="M2003">
        <v>10920</v>
      </c>
      <c r="N2003" t="s">
        <v>42</v>
      </c>
      <c r="O2003">
        <f t="shared" si="62"/>
        <v>2990</v>
      </c>
      <c r="P2003" s="13">
        <f t="shared" si="63"/>
        <v>2303483</v>
      </c>
      <c r="Q2003" s="13">
        <f>SUMIFS(M:M,E:E,Online_eCommerce[[#This Row],[Status]])</f>
        <v>21233992</v>
      </c>
      <c r="R2003" s="13">
        <f>SUMIFS(L:L,H:H,Online_eCommerce[[#This Row],[Brand]])</f>
        <v>2267380</v>
      </c>
      <c r="S2003" s="13">
        <f>SUMIF(H:H,Online_eCommerce[[#This Row],[Brand]],M:M)</f>
        <v>2947594</v>
      </c>
      <c r="T2003" s="13">
        <f>SUMIF(N:N,Online_eCommerce[[#This Row],[Assigned Supervisor]],L:L)</f>
        <v>12261500</v>
      </c>
    </row>
    <row r="2004" spans="1:20" hidden="1" x14ac:dyDescent="0.3">
      <c r="A2004" t="s">
        <v>3087</v>
      </c>
      <c r="B2004" t="s">
        <v>235</v>
      </c>
      <c r="C2004" t="s">
        <v>165</v>
      </c>
      <c r="D2004" t="s">
        <v>3083</v>
      </c>
      <c r="E2004" t="s">
        <v>18</v>
      </c>
      <c r="F2004" t="s">
        <v>174</v>
      </c>
      <c r="G2004" t="s">
        <v>60</v>
      </c>
      <c r="H2004" t="s">
        <v>61</v>
      </c>
      <c r="I2004">
        <v>1150</v>
      </c>
      <c r="J2004">
        <v>1495</v>
      </c>
      <c r="K2004">
        <v>2</v>
      </c>
      <c r="L2004">
        <v>2300</v>
      </c>
      <c r="M2004">
        <v>2990</v>
      </c>
      <c r="N2004" t="s">
        <v>50</v>
      </c>
      <c r="O2004">
        <f t="shared" si="62"/>
        <v>3315</v>
      </c>
      <c r="P2004" s="13">
        <f t="shared" si="63"/>
        <v>2674087</v>
      </c>
      <c r="Q2004" s="13">
        <f>SUMIFS(M:M,E:E,Online_eCommerce[[#This Row],[Status]])</f>
        <v>28340455</v>
      </c>
      <c r="R2004" s="13">
        <f>SUMIFS(L:L,H:H,Online_eCommerce[[#This Row],[Brand]])</f>
        <v>10950150</v>
      </c>
      <c r="S2004" s="13">
        <f>SUMIF(H:H,Online_eCommerce[[#This Row],[Brand]],M:M)</f>
        <v>14235195</v>
      </c>
      <c r="T2004" s="13">
        <f>SUMIF(N:N,Online_eCommerce[[#This Row],[Assigned Supervisor]],L:L)</f>
        <v>12100590</v>
      </c>
    </row>
    <row r="2005" spans="1:20" hidden="1" x14ac:dyDescent="0.3">
      <c r="A2005" t="s">
        <v>3088</v>
      </c>
      <c r="B2005" t="s">
        <v>235</v>
      </c>
      <c r="C2005" t="s">
        <v>168</v>
      </c>
      <c r="D2005" t="s">
        <v>3083</v>
      </c>
      <c r="E2005" t="s">
        <v>161</v>
      </c>
      <c r="F2005" t="s">
        <v>179</v>
      </c>
      <c r="G2005" t="s">
        <v>66</v>
      </c>
      <c r="H2005" t="s">
        <v>21</v>
      </c>
      <c r="I2005">
        <v>350</v>
      </c>
      <c r="J2005">
        <v>455</v>
      </c>
      <c r="K2005">
        <v>1</v>
      </c>
      <c r="L2005">
        <v>350</v>
      </c>
      <c r="M2005">
        <v>455</v>
      </c>
      <c r="N2005" t="s">
        <v>56</v>
      </c>
      <c r="O2005">
        <f t="shared" si="62"/>
        <v>1690</v>
      </c>
      <c r="P2005" s="13">
        <f t="shared" si="63"/>
        <v>1937780</v>
      </c>
      <c r="Q2005" s="13">
        <f>SUMIFS(M:M,E:E,Online_eCommerce[[#This Row],[Status]])</f>
        <v>21103186</v>
      </c>
      <c r="R2005" s="13">
        <f>SUMIFS(L:L,H:H,Online_eCommerce[[#This Row],[Brand]])</f>
        <v>12435650</v>
      </c>
      <c r="S2005" s="13">
        <f>SUMIF(H:H,Online_eCommerce[[#This Row],[Brand]],M:M)</f>
        <v>16166345</v>
      </c>
      <c r="T2005" s="13">
        <f>SUMIF(N:N,Online_eCommerce[[#This Row],[Assigned Supervisor]],L:L)</f>
        <v>11733610</v>
      </c>
    </row>
    <row r="2006" spans="1:20" x14ac:dyDescent="0.3">
      <c r="A2006" t="s">
        <v>3089</v>
      </c>
      <c r="B2006" t="s">
        <v>235</v>
      </c>
      <c r="C2006" t="s">
        <v>172</v>
      </c>
      <c r="D2006" t="s">
        <v>3083</v>
      </c>
      <c r="E2006" t="s">
        <v>46</v>
      </c>
      <c r="F2006" t="s">
        <v>183</v>
      </c>
      <c r="G2006" t="s">
        <v>71</v>
      </c>
      <c r="H2006" t="s">
        <v>61</v>
      </c>
      <c r="I2006">
        <v>9500</v>
      </c>
      <c r="J2006">
        <v>12350</v>
      </c>
      <c r="K2006">
        <v>1</v>
      </c>
      <c r="L2006">
        <v>9500</v>
      </c>
      <c r="M2006">
        <v>12350</v>
      </c>
      <c r="N2006" t="s">
        <v>22</v>
      </c>
      <c r="O2006">
        <f t="shared" si="62"/>
        <v>9750</v>
      </c>
      <c r="P2006" s="13">
        <f t="shared" si="63"/>
        <v>2640274</v>
      </c>
      <c r="Q2006" s="13">
        <f>SUMIFS(M:M,E:E,Online_eCommerce[[#This Row],[Status]])</f>
        <v>28620410</v>
      </c>
      <c r="R2006" s="13">
        <f>SUMIFS(L:L,H:H,Online_eCommerce[[#This Row],[Brand]])</f>
        <v>10950150</v>
      </c>
      <c r="S2006" s="13">
        <f>SUMIF(H:H,Online_eCommerce[[#This Row],[Brand]],M:M)</f>
        <v>14235195</v>
      </c>
      <c r="T2006" s="13">
        <f>SUMIF(N:N,Online_eCommerce[[#This Row],[Assigned Supervisor]],L:L)</f>
        <v>13693220</v>
      </c>
    </row>
    <row r="2007" spans="1:20" hidden="1" x14ac:dyDescent="0.3">
      <c r="A2007" t="s">
        <v>3090</v>
      </c>
      <c r="B2007" t="s">
        <v>235</v>
      </c>
      <c r="C2007" t="s">
        <v>177</v>
      </c>
      <c r="D2007" t="s">
        <v>3083</v>
      </c>
      <c r="E2007" t="s">
        <v>96</v>
      </c>
      <c r="F2007" t="s">
        <v>3091</v>
      </c>
      <c r="G2007" t="s">
        <v>77</v>
      </c>
      <c r="H2007" t="s">
        <v>142</v>
      </c>
      <c r="I2007">
        <v>10000</v>
      </c>
      <c r="J2007">
        <v>13000</v>
      </c>
      <c r="K2007">
        <v>2</v>
      </c>
      <c r="L2007">
        <v>20000</v>
      </c>
      <c r="M2007">
        <v>26000</v>
      </c>
      <c r="N2007" t="s">
        <v>28</v>
      </c>
      <c r="O2007">
        <f t="shared" si="62"/>
        <v>39000</v>
      </c>
      <c r="P2007" s="13">
        <f t="shared" si="63"/>
        <v>1863810</v>
      </c>
      <c r="Q2007" s="13">
        <f>SUMIFS(M:M,E:E,Online_eCommerce[[#This Row],[Status]])</f>
        <v>21233992</v>
      </c>
      <c r="R2007" s="13">
        <f>SUMIFS(L:L,H:H,Online_eCommerce[[#This Row],[Brand]])</f>
        <v>6192500</v>
      </c>
      <c r="S2007" s="13">
        <f>SUMIF(H:H,Online_eCommerce[[#This Row],[Brand]],M:M)</f>
        <v>8050250</v>
      </c>
      <c r="T2007" s="13">
        <f>SUMIF(N:N,Online_eCommerce[[#This Row],[Assigned Supervisor]],L:L)</f>
        <v>12220830</v>
      </c>
    </row>
    <row r="2008" spans="1:20" hidden="1" x14ac:dyDescent="0.3">
      <c r="A2008" t="s">
        <v>3092</v>
      </c>
      <c r="B2008" t="s">
        <v>235</v>
      </c>
      <c r="C2008" t="s">
        <v>181</v>
      </c>
      <c r="D2008" t="s">
        <v>3083</v>
      </c>
      <c r="E2008" t="s">
        <v>18</v>
      </c>
      <c r="F2008" t="s">
        <v>3093</v>
      </c>
      <c r="G2008" t="s">
        <v>20</v>
      </c>
      <c r="H2008" t="s">
        <v>21</v>
      </c>
      <c r="I2008">
        <v>6500</v>
      </c>
      <c r="J2008">
        <v>8450</v>
      </c>
      <c r="K2008">
        <v>3</v>
      </c>
      <c r="L2008">
        <v>19500</v>
      </c>
      <c r="M2008">
        <v>25350</v>
      </c>
      <c r="N2008" t="s">
        <v>35</v>
      </c>
      <c r="O2008">
        <f t="shared" si="62"/>
        <v>8450</v>
      </c>
      <c r="P2008" s="13">
        <f t="shared" si="63"/>
        <v>2577458</v>
      </c>
      <c r="Q2008" s="13">
        <f>SUMIFS(M:M,E:E,Online_eCommerce[[#This Row],[Status]])</f>
        <v>28340455</v>
      </c>
      <c r="R2008" s="13">
        <f>SUMIFS(L:L,H:H,Online_eCommerce[[#This Row],[Brand]])</f>
        <v>12435650</v>
      </c>
      <c r="S2008" s="13">
        <f>SUMIF(H:H,Online_eCommerce[[#This Row],[Brand]],M:M)</f>
        <v>16166345</v>
      </c>
      <c r="T2008" s="13">
        <f>SUMIF(N:N,Online_eCommerce[[#This Row],[Assigned Supervisor]],L:L)</f>
        <v>14373360</v>
      </c>
    </row>
    <row r="2009" spans="1:20" hidden="1" x14ac:dyDescent="0.3">
      <c r="A2009" t="s">
        <v>3094</v>
      </c>
      <c r="B2009" t="s">
        <v>235</v>
      </c>
      <c r="C2009" t="s">
        <v>185</v>
      </c>
      <c r="D2009" t="s">
        <v>3083</v>
      </c>
      <c r="E2009" t="s">
        <v>161</v>
      </c>
      <c r="F2009" t="s">
        <v>3095</v>
      </c>
      <c r="G2009" t="s">
        <v>26</v>
      </c>
      <c r="H2009" t="s">
        <v>27</v>
      </c>
      <c r="I2009">
        <v>8500</v>
      </c>
      <c r="J2009">
        <v>11050</v>
      </c>
      <c r="K2009">
        <v>2</v>
      </c>
      <c r="L2009">
        <v>17000</v>
      </c>
      <c r="M2009">
        <v>22100</v>
      </c>
      <c r="N2009" t="s">
        <v>42</v>
      </c>
      <c r="O2009">
        <f t="shared" si="62"/>
        <v>33150</v>
      </c>
      <c r="P2009" s="13">
        <f t="shared" si="63"/>
        <v>2091596</v>
      </c>
      <c r="Q2009" s="13">
        <f>SUMIFS(M:M,E:E,Online_eCommerce[[#This Row],[Status]])</f>
        <v>21103186</v>
      </c>
      <c r="R2009" s="13">
        <f>SUMIFS(L:L,H:H,Online_eCommerce[[#This Row],[Brand]])</f>
        <v>14431000</v>
      </c>
      <c r="S2009" s="13">
        <f>SUMIF(H:H,Online_eCommerce[[#This Row],[Brand]],M:M)</f>
        <v>18760300</v>
      </c>
      <c r="T2009" s="13">
        <f>SUMIF(N:N,Online_eCommerce[[#This Row],[Assigned Supervisor]],L:L)</f>
        <v>12261500</v>
      </c>
    </row>
    <row r="2010" spans="1:20" x14ac:dyDescent="0.3">
      <c r="A2010" t="s">
        <v>3096</v>
      </c>
      <c r="B2010" t="s">
        <v>235</v>
      </c>
      <c r="C2010" t="s">
        <v>189</v>
      </c>
      <c r="D2010" t="s">
        <v>3083</v>
      </c>
      <c r="E2010" t="s">
        <v>46</v>
      </c>
      <c r="F2010" t="s">
        <v>32</v>
      </c>
      <c r="G2010" t="s">
        <v>33</v>
      </c>
      <c r="H2010" t="s">
        <v>34</v>
      </c>
      <c r="I2010">
        <v>7000</v>
      </c>
      <c r="J2010">
        <v>9100</v>
      </c>
      <c r="K2010">
        <v>1</v>
      </c>
      <c r="L2010">
        <v>7000</v>
      </c>
      <c r="M2010">
        <v>9100</v>
      </c>
      <c r="N2010" t="s">
        <v>50</v>
      </c>
      <c r="O2010">
        <f t="shared" si="62"/>
        <v>18200</v>
      </c>
      <c r="P2010" s="13">
        <f t="shared" si="63"/>
        <v>2740777</v>
      </c>
      <c r="Q2010" s="13">
        <f>SUMIFS(M:M,E:E,Online_eCommerce[[#This Row],[Status]])</f>
        <v>28620410</v>
      </c>
      <c r="R2010" s="13">
        <f>SUMIFS(L:L,H:H,Online_eCommerce[[#This Row],[Brand]])</f>
        <v>10087000</v>
      </c>
      <c r="S2010" s="13">
        <f>SUMIF(H:H,Online_eCommerce[[#This Row],[Brand]],M:M)</f>
        <v>13113100</v>
      </c>
      <c r="T2010" s="13">
        <f>SUMIF(N:N,Online_eCommerce[[#This Row],[Assigned Supervisor]],L:L)</f>
        <v>12100590</v>
      </c>
    </row>
    <row r="2011" spans="1:20" hidden="1" x14ac:dyDescent="0.3">
      <c r="A2011" t="s">
        <v>3097</v>
      </c>
      <c r="B2011" t="s">
        <v>235</v>
      </c>
      <c r="C2011" t="s">
        <v>193</v>
      </c>
      <c r="D2011" t="s">
        <v>3083</v>
      </c>
      <c r="E2011" t="s">
        <v>96</v>
      </c>
      <c r="F2011" t="s">
        <v>3098</v>
      </c>
      <c r="G2011" t="s">
        <v>256</v>
      </c>
      <c r="H2011" t="s">
        <v>41</v>
      </c>
      <c r="I2011">
        <v>6550</v>
      </c>
      <c r="J2011">
        <v>8515</v>
      </c>
      <c r="K2011">
        <v>4</v>
      </c>
      <c r="L2011">
        <v>26200</v>
      </c>
      <c r="M2011">
        <v>34060</v>
      </c>
      <c r="N2011" t="s">
        <v>56</v>
      </c>
      <c r="O2011">
        <f t="shared" si="62"/>
        <v>9100</v>
      </c>
      <c r="P2011" s="13">
        <f t="shared" si="63"/>
        <v>2074774</v>
      </c>
      <c r="Q2011" s="13">
        <f>SUMIFS(M:M,E:E,Online_eCommerce[[#This Row],[Status]])</f>
        <v>21233992</v>
      </c>
      <c r="R2011" s="13">
        <f>SUMIFS(L:L,H:H,Online_eCommerce[[#This Row],[Brand]])</f>
        <v>4260400</v>
      </c>
      <c r="S2011" s="13">
        <f>SUMIF(H:H,Online_eCommerce[[#This Row],[Brand]],M:M)</f>
        <v>5538520</v>
      </c>
      <c r="T2011" s="13">
        <f>SUMIF(N:N,Online_eCommerce[[#This Row],[Assigned Supervisor]],L:L)</f>
        <v>11733610</v>
      </c>
    </row>
    <row r="2012" spans="1:20" hidden="1" x14ac:dyDescent="0.3">
      <c r="A2012" t="s">
        <v>3099</v>
      </c>
      <c r="B2012" t="s">
        <v>235</v>
      </c>
      <c r="C2012" t="s">
        <v>197</v>
      </c>
      <c r="D2012" t="s">
        <v>3083</v>
      </c>
      <c r="E2012" t="s">
        <v>18</v>
      </c>
      <c r="F2012" t="s">
        <v>47</v>
      </c>
      <c r="G2012" t="s">
        <v>259</v>
      </c>
      <c r="H2012" t="s">
        <v>49</v>
      </c>
      <c r="I2012">
        <v>7650</v>
      </c>
      <c r="J2012">
        <v>9945</v>
      </c>
      <c r="K2012">
        <v>4</v>
      </c>
      <c r="L2012">
        <v>30600</v>
      </c>
      <c r="M2012">
        <v>39780</v>
      </c>
      <c r="N2012" t="s">
        <v>22</v>
      </c>
      <c r="O2012">
        <f t="shared" si="62"/>
        <v>11700</v>
      </c>
      <c r="P2012" s="13">
        <f t="shared" si="63"/>
        <v>2829840</v>
      </c>
      <c r="Q2012" s="13">
        <f>SUMIFS(M:M,E:E,Online_eCommerce[[#This Row],[Status]])</f>
        <v>28340455</v>
      </c>
      <c r="R2012" s="13">
        <f>SUMIFS(L:L,H:H,Online_eCommerce[[#This Row],[Brand]])</f>
        <v>4528350</v>
      </c>
      <c r="S2012" s="13">
        <f>SUMIF(H:H,Online_eCommerce[[#This Row],[Brand]],M:M)</f>
        <v>5886855</v>
      </c>
      <c r="T2012" s="13">
        <f>SUMIF(N:N,Online_eCommerce[[#This Row],[Assigned Supervisor]],L:L)</f>
        <v>13693220</v>
      </c>
    </row>
    <row r="2013" spans="1:20" hidden="1" x14ac:dyDescent="0.3">
      <c r="A2013" t="s">
        <v>3100</v>
      </c>
      <c r="B2013" t="s">
        <v>235</v>
      </c>
      <c r="C2013" t="s">
        <v>199</v>
      </c>
      <c r="D2013" t="s">
        <v>3083</v>
      </c>
      <c r="E2013" t="s">
        <v>161</v>
      </c>
      <c r="F2013" t="s">
        <v>53</v>
      </c>
      <c r="G2013" t="s">
        <v>54</v>
      </c>
      <c r="H2013" t="s">
        <v>55</v>
      </c>
      <c r="I2013">
        <v>1150</v>
      </c>
      <c r="J2013">
        <v>1495</v>
      </c>
      <c r="K2013">
        <v>3</v>
      </c>
      <c r="L2013">
        <v>3450</v>
      </c>
      <c r="M2013">
        <v>4485</v>
      </c>
      <c r="N2013" t="s">
        <v>28</v>
      </c>
      <c r="O2013">
        <f t="shared" si="62"/>
        <v>2990</v>
      </c>
      <c r="P2013" s="13">
        <f t="shared" si="63"/>
        <v>1947361</v>
      </c>
      <c r="Q2013" s="13">
        <f>SUMIFS(M:M,E:E,Online_eCommerce[[#This Row],[Status]])</f>
        <v>21103186</v>
      </c>
      <c r="R2013" s="13">
        <f>SUMIFS(L:L,H:H,Online_eCommerce[[#This Row],[Brand]])</f>
        <v>2267380</v>
      </c>
      <c r="S2013" s="13">
        <f>SUMIF(H:H,Online_eCommerce[[#This Row],[Brand]],M:M)</f>
        <v>2947594</v>
      </c>
      <c r="T2013" s="13">
        <f>SUMIF(N:N,Online_eCommerce[[#This Row],[Assigned Supervisor]],L:L)</f>
        <v>12220830</v>
      </c>
    </row>
    <row r="2014" spans="1:20" x14ac:dyDescent="0.3">
      <c r="A2014" t="s">
        <v>3101</v>
      </c>
      <c r="B2014" t="s">
        <v>235</v>
      </c>
      <c r="C2014" t="s">
        <v>203</v>
      </c>
      <c r="D2014" t="s">
        <v>3083</v>
      </c>
      <c r="E2014" t="s">
        <v>46</v>
      </c>
      <c r="F2014" t="s">
        <v>59</v>
      </c>
      <c r="G2014" t="s">
        <v>60</v>
      </c>
      <c r="H2014" t="s">
        <v>61</v>
      </c>
      <c r="I2014">
        <v>850</v>
      </c>
      <c r="J2014">
        <v>1105</v>
      </c>
      <c r="K2014">
        <v>2</v>
      </c>
      <c r="L2014">
        <v>1700</v>
      </c>
      <c r="M2014">
        <v>2210</v>
      </c>
      <c r="N2014" t="s">
        <v>35</v>
      </c>
      <c r="O2014">
        <f t="shared" si="62"/>
        <v>3315</v>
      </c>
      <c r="P2014" s="13">
        <f t="shared" si="63"/>
        <v>2559635</v>
      </c>
      <c r="Q2014" s="13">
        <f>SUMIFS(M:M,E:E,Online_eCommerce[[#This Row],[Status]])</f>
        <v>28620410</v>
      </c>
      <c r="R2014" s="13">
        <f>SUMIFS(L:L,H:H,Online_eCommerce[[#This Row],[Brand]])</f>
        <v>10950150</v>
      </c>
      <c r="S2014" s="13">
        <f>SUMIF(H:H,Online_eCommerce[[#This Row],[Brand]],M:M)</f>
        <v>14235195</v>
      </c>
      <c r="T2014" s="13">
        <f>SUMIF(N:N,Online_eCommerce[[#This Row],[Assigned Supervisor]],L:L)</f>
        <v>14373360</v>
      </c>
    </row>
    <row r="2015" spans="1:20" hidden="1" x14ac:dyDescent="0.3">
      <c r="A2015" t="s">
        <v>3102</v>
      </c>
      <c r="B2015" t="s">
        <v>235</v>
      </c>
      <c r="C2015" t="s">
        <v>205</v>
      </c>
      <c r="D2015" t="s">
        <v>3083</v>
      </c>
      <c r="E2015" t="s">
        <v>96</v>
      </c>
      <c r="F2015" t="s">
        <v>65</v>
      </c>
      <c r="G2015" t="s">
        <v>66</v>
      </c>
      <c r="H2015" t="s">
        <v>21</v>
      </c>
      <c r="I2015">
        <v>650</v>
      </c>
      <c r="J2015">
        <v>845</v>
      </c>
      <c r="K2015">
        <v>1</v>
      </c>
      <c r="L2015">
        <v>650</v>
      </c>
      <c r="M2015">
        <v>845</v>
      </c>
      <c r="N2015" t="s">
        <v>42</v>
      </c>
      <c r="O2015">
        <f t="shared" si="62"/>
        <v>1690</v>
      </c>
      <c r="P2015" s="13">
        <f t="shared" si="63"/>
        <v>1983254</v>
      </c>
      <c r="Q2015" s="13">
        <f>SUMIFS(M:M,E:E,Online_eCommerce[[#This Row],[Status]])</f>
        <v>21233992</v>
      </c>
      <c r="R2015" s="13">
        <f>SUMIFS(L:L,H:H,Online_eCommerce[[#This Row],[Brand]])</f>
        <v>12435650</v>
      </c>
      <c r="S2015" s="13">
        <f>SUMIF(H:H,Online_eCommerce[[#This Row],[Brand]],M:M)</f>
        <v>16166345</v>
      </c>
      <c r="T2015" s="13">
        <f>SUMIF(N:N,Online_eCommerce[[#This Row],[Assigned Supervisor]],L:L)</f>
        <v>12261500</v>
      </c>
    </row>
    <row r="2016" spans="1:20" hidden="1" x14ac:dyDescent="0.3">
      <c r="A2016" t="s">
        <v>3103</v>
      </c>
      <c r="B2016" t="s">
        <v>235</v>
      </c>
      <c r="C2016" t="s">
        <v>208</v>
      </c>
      <c r="D2016" t="s">
        <v>3083</v>
      </c>
      <c r="E2016" t="s">
        <v>18</v>
      </c>
      <c r="F2016" t="s">
        <v>70</v>
      </c>
      <c r="G2016" t="s">
        <v>71</v>
      </c>
      <c r="H2016" t="s">
        <v>61</v>
      </c>
      <c r="I2016">
        <v>7500</v>
      </c>
      <c r="J2016">
        <v>9750</v>
      </c>
      <c r="K2016">
        <v>3</v>
      </c>
      <c r="L2016">
        <v>22500</v>
      </c>
      <c r="M2016">
        <v>29250</v>
      </c>
      <c r="N2016" t="s">
        <v>50</v>
      </c>
      <c r="O2016">
        <f t="shared" si="62"/>
        <v>9750</v>
      </c>
      <c r="P2016" s="13">
        <f t="shared" si="63"/>
        <v>2746575</v>
      </c>
      <c r="Q2016" s="13">
        <f>SUMIFS(M:M,E:E,Online_eCommerce[[#This Row],[Status]])</f>
        <v>28340455</v>
      </c>
      <c r="R2016" s="13">
        <f>SUMIFS(L:L,H:H,Online_eCommerce[[#This Row],[Brand]])</f>
        <v>10950150</v>
      </c>
      <c r="S2016" s="13">
        <f>SUMIF(H:H,Online_eCommerce[[#This Row],[Brand]],M:M)</f>
        <v>14235195</v>
      </c>
      <c r="T2016" s="13">
        <f>SUMIF(N:N,Online_eCommerce[[#This Row],[Assigned Supervisor]],L:L)</f>
        <v>12100590</v>
      </c>
    </row>
    <row r="2017" spans="1:20" hidden="1" x14ac:dyDescent="0.3">
      <c r="A2017" t="s">
        <v>3104</v>
      </c>
      <c r="B2017" t="s">
        <v>235</v>
      </c>
      <c r="C2017" t="s">
        <v>211</v>
      </c>
      <c r="D2017" t="s">
        <v>3083</v>
      </c>
      <c r="E2017" t="s">
        <v>161</v>
      </c>
      <c r="F2017" t="s">
        <v>3091</v>
      </c>
      <c r="G2017" t="s">
        <v>77</v>
      </c>
      <c r="H2017" t="s">
        <v>78</v>
      </c>
      <c r="I2017">
        <v>10000</v>
      </c>
      <c r="J2017">
        <v>13000</v>
      </c>
      <c r="K2017">
        <v>2</v>
      </c>
      <c r="L2017">
        <v>20000</v>
      </c>
      <c r="M2017">
        <v>26000</v>
      </c>
      <c r="N2017" t="s">
        <v>56</v>
      </c>
      <c r="O2017">
        <f t="shared" si="62"/>
        <v>39000</v>
      </c>
      <c r="P2017" s="13">
        <f t="shared" si="63"/>
        <v>1809847</v>
      </c>
      <c r="Q2017" s="13">
        <f>SUMIFS(M:M,E:E,Online_eCommerce[[#This Row],[Status]])</f>
        <v>21103186</v>
      </c>
      <c r="R2017" s="13">
        <f>SUMIFS(L:L,H:H,Online_eCommerce[[#This Row],[Brand]])</f>
        <v>3720000</v>
      </c>
      <c r="S2017" s="13">
        <f>SUMIF(H:H,Online_eCommerce[[#This Row],[Brand]],M:M)</f>
        <v>4836000</v>
      </c>
      <c r="T2017" s="13">
        <f>SUMIF(N:N,Online_eCommerce[[#This Row],[Assigned Supervisor]],L:L)</f>
        <v>11733610</v>
      </c>
    </row>
    <row r="2018" spans="1:20" x14ac:dyDescent="0.3">
      <c r="A2018" t="s">
        <v>3105</v>
      </c>
      <c r="B2018" t="s">
        <v>235</v>
      </c>
      <c r="C2018" t="s">
        <v>16</v>
      </c>
      <c r="D2018" t="s">
        <v>3083</v>
      </c>
      <c r="E2018" t="s">
        <v>46</v>
      </c>
      <c r="F2018" t="s">
        <v>3106</v>
      </c>
      <c r="G2018" t="s">
        <v>20</v>
      </c>
      <c r="H2018" t="s">
        <v>21</v>
      </c>
      <c r="I2018">
        <v>10500</v>
      </c>
      <c r="J2018">
        <v>13650</v>
      </c>
      <c r="K2018">
        <v>2</v>
      </c>
      <c r="L2018">
        <v>21000</v>
      </c>
      <c r="M2018">
        <v>27300</v>
      </c>
      <c r="N2018" t="s">
        <v>22</v>
      </c>
      <c r="O2018">
        <f t="shared" si="62"/>
        <v>8450</v>
      </c>
      <c r="P2018" s="13">
        <f t="shared" si="63"/>
        <v>2751814</v>
      </c>
      <c r="Q2018" s="13">
        <f>SUMIFS(M:M,E:E,Online_eCommerce[[#This Row],[Status]])</f>
        <v>28620410</v>
      </c>
      <c r="R2018" s="13">
        <f>SUMIFS(L:L,H:H,Online_eCommerce[[#This Row],[Brand]])</f>
        <v>12435650</v>
      </c>
      <c r="S2018" s="13">
        <f>SUMIF(H:H,Online_eCommerce[[#This Row],[Brand]],M:M)</f>
        <v>16166345</v>
      </c>
      <c r="T2018" s="13">
        <f>SUMIF(N:N,Online_eCommerce[[#This Row],[Assigned Supervisor]],L:L)</f>
        <v>13693220</v>
      </c>
    </row>
    <row r="2019" spans="1:20" hidden="1" x14ac:dyDescent="0.3">
      <c r="A2019" t="s">
        <v>3107</v>
      </c>
      <c r="B2019" t="s">
        <v>235</v>
      </c>
      <c r="C2019" t="s">
        <v>24</v>
      </c>
      <c r="D2019" t="s">
        <v>3083</v>
      </c>
      <c r="E2019" t="s">
        <v>96</v>
      </c>
      <c r="F2019" t="s">
        <v>88</v>
      </c>
      <c r="G2019" t="s">
        <v>26</v>
      </c>
      <c r="H2019" t="s">
        <v>27</v>
      </c>
      <c r="I2019">
        <v>8500</v>
      </c>
      <c r="J2019">
        <v>11050</v>
      </c>
      <c r="K2019">
        <v>2</v>
      </c>
      <c r="L2019">
        <v>17000</v>
      </c>
      <c r="M2019">
        <v>22100</v>
      </c>
      <c r="N2019" t="s">
        <v>28</v>
      </c>
      <c r="O2019">
        <f t="shared" si="62"/>
        <v>33150</v>
      </c>
      <c r="P2019" s="13">
        <f t="shared" si="63"/>
        <v>2009540</v>
      </c>
      <c r="Q2019" s="13">
        <f>SUMIFS(M:M,E:E,Online_eCommerce[[#This Row],[Status]])</f>
        <v>21233992</v>
      </c>
      <c r="R2019" s="13">
        <f>SUMIFS(L:L,H:H,Online_eCommerce[[#This Row],[Brand]])</f>
        <v>14431000</v>
      </c>
      <c r="S2019" s="13">
        <f>SUMIF(H:H,Online_eCommerce[[#This Row],[Brand]],M:M)</f>
        <v>18760300</v>
      </c>
      <c r="T2019" s="13">
        <f>SUMIF(N:N,Online_eCommerce[[#This Row],[Assigned Supervisor]],L:L)</f>
        <v>12220830</v>
      </c>
    </row>
    <row r="2020" spans="1:20" hidden="1" x14ac:dyDescent="0.3">
      <c r="A2020" t="s">
        <v>3108</v>
      </c>
      <c r="B2020" t="s">
        <v>235</v>
      </c>
      <c r="C2020" t="s">
        <v>31</v>
      </c>
      <c r="D2020" t="s">
        <v>3083</v>
      </c>
      <c r="E2020" t="s">
        <v>18</v>
      </c>
      <c r="F2020" t="s">
        <v>32</v>
      </c>
      <c r="G2020" t="s">
        <v>33</v>
      </c>
      <c r="H2020" t="s">
        <v>34</v>
      </c>
      <c r="I2020">
        <v>7000</v>
      </c>
      <c r="J2020">
        <v>9100</v>
      </c>
      <c r="K2020">
        <v>1</v>
      </c>
      <c r="L2020">
        <v>7000</v>
      </c>
      <c r="M2020">
        <v>9100</v>
      </c>
      <c r="N2020" t="s">
        <v>35</v>
      </c>
      <c r="O2020">
        <f t="shared" si="62"/>
        <v>18200</v>
      </c>
      <c r="P2020" s="13">
        <f t="shared" si="63"/>
        <v>2865746</v>
      </c>
      <c r="Q2020" s="13">
        <f>SUMIFS(M:M,E:E,Online_eCommerce[[#This Row],[Status]])</f>
        <v>28340455</v>
      </c>
      <c r="R2020" s="13">
        <f>SUMIFS(L:L,H:H,Online_eCommerce[[#This Row],[Brand]])</f>
        <v>10087000</v>
      </c>
      <c r="S2020" s="13">
        <f>SUMIF(H:H,Online_eCommerce[[#This Row],[Brand]],M:M)</f>
        <v>13113100</v>
      </c>
      <c r="T2020" s="13">
        <f>SUMIF(N:N,Online_eCommerce[[#This Row],[Assigned Supervisor]],L:L)</f>
        <v>14373360</v>
      </c>
    </row>
    <row r="2021" spans="1:20" hidden="1" x14ac:dyDescent="0.3">
      <c r="A2021" t="s">
        <v>3109</v>
      </c>
      <c r="B2021" t="s">
        <v>235</v>
      </c>
      <c r="C2021" t="s">
        <v>38</v>
      </c>
      <c r="D2021" t="s">
        <v>3083</v>
      </c>
      <c r="E2021" t="s">
        <v>161</v>
      </c>
      <c r="F2021" t="s">
        <v>3110</v>
      </c>
      <c r="G2021" t="s">
        <v>256</v>
      </c>
      <c r="H2021" t="s">
        <v>41</v>
      </c>
      <c r="I2021">
        <v>1680</v>
      </c>
      <c r="J2021">
        <v>2184</v>
      </c>
      <c r="K2021">
        <v>2</v>
      </c>
      <c r="L2021">
        <v>3360</v>
      </c>
      <c r="M2021">
        <v>4368</v>
      </c>
      <c r="N2021" t="s">
        <v>42</v>
      </c>
      <c r="O2021">
        <f t="shared" si="62"/>
        <v>9100</v>
      </c>
      <c r="P2021" s="13">
        <f t="shared" si="63"/>
        <v>1933997</v>
      </c>
      <c r="Q2021" s="13">
        <f>SUMIFS(M:M,E:E,Online_eCommerce[[#This Row],[Status]])</f>
        <v>21103186</v>
      </c>
      <c r="R2021" s="13">
        <f>SUMIFS(L:L,H:H,Online_eCommerce[[#This Row],[Brand]])</f>
        <v>4260400</v>
      </c>
      <c r="S2021" s="13">
        <f>SUMIF(H:H,Online_eCommerce[[#This Row],[Brand]],M:M)</f>
        <v>5538520</v>
      </c>
      <c r="T2021" s="13">
        <f>SUMIF(N:N,Online_eCommerce[[#This Row],[Assigned Supervisor]],L:L)</f>
        <v>12261500</v>
      </c>
    </row>
    <row r="2022" spans="1:20" x14ac:dyDescent="0.3">
      <c r="A2022" t="s">
        <v>3111</v>
      </c>
      <c r="B2022" t="s">
        <v>235</v>
      </c>
      <c r="C2022" t="s">
        <v>45</v>
      </c>
      <c r="D2022" t="s">
        <v>3083</v>
      </c>
      <c r="E2022" t="s">
        <v>46</v>
      </c>
      <c r="F2022" t="s">
        <v>101</v>
      </c>
      <c r="G2022" t="s">
        <v>259</v>
      </c>
      <c r="H2022" t="s">
        <v>102</v>
      </c>
      <c r="I2022">
        <v>6540</v>
      </c>
      <c r="J2022">
        <v>8502</v>
      </c>
      <c r="K2022">
        <v>4</v>
      </c>
      <c r="L2022">
        <v>26160</v>
      </c>
      <c r="M2022">
        <v>34008</v>
      </c>
      <c r="N2022" t="s">
        <v>50</v>
      </c>
      <c r="O2022">
        <f t="shared" si="62"/>
        <v>11700</v>
      </c>
      <c r="P2022" s="13">
        <f t="shared" si="63"/>
        <v>2842554</v>
      </c>
      <c r="Q2022" s="13">
        <f>SUMIFS(M:M,E:E,Online_eCommerce[[#This Row],[Status]])</f>
        <v>28620410</v>
      </c>
      <c r="R2022" s="13">
        <f>SUMIFS(L:L,H:H,Online_eCommerce[[#This Row],[Brand]])</f>
        <v>2465580</v>
      </c>
      <c r="S2022" s="13">
        <f>SUMIF(H:H,Online_eCommerce[[#This Row],[Brand]],M:M)</f>
        <v>3205254</v>
      </c>
      <c r="T2022" s="13">
        <f>SUMIF(N:N,Online_eCommerce[[#This Row],[Assigned Supervisor]],L:L)</f>
        <v>12100590</v>
      </c>
    </row>
    <row r="2023" spans="1:20" hidden="1" x14ac:dyDescent="0.3">
      <c r="A2023" t="s">
        <v>3112</v>
      </c>
      <c r="B2023" t="s">
        <v>235</v>
      </c>
      <c r="C2023" t="s">
        <v>52</v>
      </c>
      <c r="D2023" t="s">
        <v>3083</v>
      </c>
      <c r="E2023" t="s">
        <v>96</v>
      </c>
      <c r="F2023" t="s">
        <v>107</v>
      </c>
      <c r="G2023" t="s">
        <v>54</v>
      </c>
      <c r="H2023" t="s">
        <v>55</v>
      </c>
      <c r="I2023">
        <v>2680</v>
      </c>
      <c r="J2023">
        <v>3484</v>
      </c>
      <c r="K2023">
        <v>1</v>
      </c>
      <c r="L2023">
        <v>2680</v>
      </c>
      <c r="M2023">
        <v>3484</v>
      </c>
      <c r="N2023" t="s">
        <v>56</v>
      </c>
      <c r="O2023">
        <f t="shared" si="62"/>
        <v>2990</v>
      </c>
      <c r="P2023" s="13">
        <f t="shared" si="63"/>
        <v>1955044</v>
      </c>
      <c r="Q2023" s="13">
        <f>SUMIFS(M:M,E:E,Online_eCommerce[[#This Row],[Status]])</f>
        <v>21233992</v>
      </c>
      <c r="R2023" s="13">
        <f>SUMIFS(L:L,H:H,Online_eCommerce[[#This Row],[Brand]])</f>
        <v>2267380</v>
      </c>
      <c r="S2023" s="13">
        <f>SUMIF(H:H,Online_eCommerce[[#This Row],[Brand]],M:M)</f>
        <v>2947594</v>
      </c>
      <c r="T2023" s="13">
        <f>SUMIF(N:N,Online_eCommerce[[#This Row],[Assigned Supervisor]],L:L)</f>
        <v>11733610</v>
      </c>
    </row>
    <row r="2024" spans="1:20" hidden="1" x14ac:dyDescent="0.3">
      <c r="A2024" t="s">
        <v>3113</v>
      </c>
      <c r="B2024" t="s">
        <v>235</v>
      </c>
      <c r="C2024" t="s">
        <v>58</v>
      </c>
      <c r="D2024" t="s">
        <v>3083</v>
      </c>
      <c r="E2024" t="s">
        <v>18</v>
      </c>
      <c r="F2024" t="s">
        <v>112</v>
      </c>
      <c r="G2024" t="s">
        <v>71</v>
      </c>
      <c r="H2024" t="s">
        <v>21</v>
      </c>
      <c r="I2024">
        <v>8250</v>
      </c>
      <c r="J2024">
        <v>10725</v>
      </c>
      <c r="K2024">
        <v>2</v>
      </c>
      <c r="L2024">
        <v>16500</v>
      </c>
      <c r="M2024">
        <v>21450</v>
      </c>
      <c r="N2024" t="s">
        <v>22</v>
      </c>
      <c r="O2024">
        <f t="shared" si="62"/>
        <v>9750</v>
      </c>
      <c r="P2024" s="13">
        <f t="shared" si="63"/>
        <v>2629211</v>
      </c>
      <c r="Q2024" s="13">
        <f>SUMIFS(M:M,E:E,Online_eCommerce[[#This Row],[Status]])</f>
        <v>28340455</v>
      </c>
      <c r="R2024" s="13">
        <f>SUMIFS(L:L,H:H,Online_eCommerce[[#This Row],[Brand]])</f>
        <v>12435650</v>
      </c>
      <c r="S2024" s="13">
        <f>SUMIF(H:H,Online_eCommerce[[#This Row],[Brand]],M:M)</f>
        <v>16166345</v>
      </c>
      <c r="T2024" s="13">
        <f>SUMIF(N:N,Online_eCommerce[[#This Row],[Assigned Supervisor]],L:L)</f>
        <v>13693220</v>
      </c>
    </row>
    <row r="2025" spans="1:20" hidden="1" x14ac:dyDescent="0.3">
      <c r="A2025" t="s">
        <v>3114</v>
      </c>
      <c r="B2025" t="s">
        <v>235</v>
      </c>
      <c r="C2025" t="s">
        <v>63</v>
      </c>
      <c r="D2025" t="s">
        <v>3083</v>
      </c>
      <c r="E2025" t="s">
        <v>161</v>
      </c>
      <c r="F2025" t="s">
        <v>2738</v>
      </c>
      <c r="G2025" t="s">
        <v>40</v>
      </c>
      <c r="H2025" t="s">
        <v>21</v>
      </c>
      <c r="I2025">
        <v>2650</v>
      </c>
      <c r="J2025">
        <v>3445</v>
      </c>
      <c r="K2025">
        <v>1</v>
      </c>
      <c r="L2025">
        <v>2650</v>
      </c>
      <c r="M2025">
        <v>3445</v>
      </c>
      <c r="N2025" t="s">
        <v>28</v>
      </c>
      <c r="O2025">
        <f t="shared" si="62"/>
        <v>25545</v>
      </c>
      <c r="P2025" s="13">
        <f t="shared" si="63"/>
        <v>2016131</v>
      </c>
      <c r="Q2025" s="13">
        <f>SUMIFS(M:M,E:E,Online_eCommerce[[#This Row],[Status]])</f>
        <v>21103186</v>
      </c>
      <c r="R2025" s="13">
        <f>SUMIFS(L:L,H:H,Online_eCommerce[[#This Row],[Brand]])</f>
        <v>12435650</v>
      </c>
      <c r="S2025" s="13">
        <f>SUMIF(H:H,Online_eCommerce[[#This Row],[Brand]],M:M)</f>
        <v>16166345</v>
      </c>
      <c r="T2025" s="13">
        <f>SUMIF(N:N,Online_eCommerce[[#This Row],[Assigned Supervisor]],L:L)</f>
        <v>12220830</v>
      </c>
    </row>
    <row r="2026" spans="1:20" x14ac:dyDescent="0.3">
      <c r="A2026" t="s">
        <v>3115</v>
      </c>
      <c r="B2026" t="s">
        <v>235</v>
      </c>
      <c r="C2026" t="s">
        <v>68</v>
      </c>
      <c r="D2026" t="s">
        <v>3083</v>
      </c>
      <c r="E2026" t="s">
        <v>46</v>
      </c>
      <c r="F2026" t="s">
        <v>121</v>
      </c>
      <c r="G2026" t="s">
        <v>71</v>
      </c>
      <c r="H2026" t="s">
        <v>122</v>
      </c>
      <c r="I2026">
        <v>12550</v>
      </c>
      <c r="J2026">
        <v>16315</v>
      </c>
      <c r="K2026">
        <v>3</v>
      </c>
      <c r="L2026">
        <v>37650</v>
      </c>
      <c r="M2026">
        <v>48945</v>
      </c>
      <c r="N2026" t="s">
        <v>35</v>
      </c>
      <c r="O2026">
        <f t="shared" si="62"/>
        <v>9750</v>
      </c>
      <c r="P2026" s="13">
        <f t="shared" si="63"/>
        <v>2974621</v>
      </c>
      <c r="Q2026" s="13">
        <f>SUMIFS(M:M,E:E,Online_eCommerce[[#This Row],[Status]])</f>
        <v>28620410</v>
      </c>
      <c r="R2026" s="13">
        <f>SUMIFS(L:L,H:H,Online_eCommerce[[#This Row],[Brand]])</f>
        <v>5045100</v>
      </c>
      <c r="S2026" s="13">
        <f>SUMIF(H:H,Online_eCommerce[[#This Row],[Brand]],M:M)</f>
        <v>6558630</v>
      </c>
      <c r="T2026" s="13">
        <f>SUMIF(N:N,Online_eCommerce[[#This Row],[Assigned Supervisor]],L:L)</f>
        <v>14373360</v>
      </c>
    </row>
    <row r="2027" spans="1:20" hidden="1" x14ac:dyDescent="0.3">
      <c r="A2027" t="s">
        <v>3116</v>
      </c>
      <c r="B2027" t="s">
        <v>235</v>
      </c>
      <c r="C2027" t="s">
        <v>74</v>
      </c>
      <c r="D2027" t="s">
        <v>3083</v>
      </c>
      <c r="E2027" t="s">
        <v>96</v>
      </c>
      <c r="F2027" t="s">
        <v>126</v>
      </c>
      <c r="G2027" t="s">
        <v>26</v>
      </c>
      <c r="H2027" t="s">
        <v>27</v>
      </c>
      <c r="I2027">
        <v>14500</v>
      </c>
      <c r="J2027">
        <v>18850</v>
      </c>
      <c r="K2027">
        <v>4</v>
      </c>
      <c r="L2027">
        <v>58000</v>
      </c>
      <c r="M2027">
        <v>75400</v>
      </c>
      <c r="N2027" t="s">
        <v>42</v>
      </c>
      <c r="O2027">
        <f t="shared" si="62"/>
        <v>33150</v>
      </c>
      <c r="P2027" s="13">
        <f t="shared" si="63"/>
        <v>2144701</v>
      </c>
      <c r="Q2027" s="13">
        <f>SUMIFS(M:M,E:E,Online_eCommerce[[#This Row],[Status]])</f>
        <v>21233992</v>
      </c>
      <c r="R2027" s="13">
        <f>SUMIFS(L:L,H:H,Online_eCommerce[[#This Row],[Brand]])</f>
        <v>14431000</v>
      </c>
      <c r="S2027" s="13">
        <f>SUMIF(H:H,Online_eCommerce[[#This Row],[Brand]],M:M)</f>
        <v>18760300</v>
      </c>
      <c r="T2027" s="13">
        <f>SUMIF(N:N,Online_eCommerce[[#This Row],[Assigned Supervisor]],L:L)</f>
        <v>12261500</v>
      </c>
    </row>
    <row r="2028" spans="1:20" hidden="1" x14ac:dyDescent="0.3">
      <c r="A2028" t="s">
        <v>3117</v>
      </c>
      <c r="B2028" t="s">
        <v>235</v>
      </c>
      <c r="C2028" t="s">
        <v>81</v>
      </c>
      <c r="D2028" t="s">
        <v>3083</v>
      </c>
      <c r="E2028" t="s">
        <v>18</v>
      </c>
      <c r="F2028" t="s">
        <v>129</v>
      </c>
      <c r="G2028" t="s">
        <v>60</v>
      </c>
      <c r="H2028" t="s">
        <v>61</v>
      </c>
      <c r="I2028">
        <v>800</v>
      </c>
      <c r="J2028">
        <v>1040</v>
      </c>
      <c r="K2028">
        <v>1</v>
      </c>
      <c r="L2028">
        <v>800</v>
      </c>
      <c r="M2028">
        <v>1040</v>
      </c>
      <c r="N2028" t="s">
        <v>50</v>
      </c>
      <c r="O2028">
        <f t="shared" si="62"/>
        <v>3315</v>
      </c>
      <c r="P2028" s="13">
        <f t="shared" si="63"/>
        <v>2595632</v>
      </c>
      <c r="Q2028" s="13">
        <f>SUMIFS(M:M,E:E,Online_eCommerce[[#This Row],[Status]])</f>
        <v>28340455</v>
      </c>
      <c r="R2028" s="13">
        <f>SUMIFS(L:L,H:H,Online_eCommerce[[#This Row],[Brand]])</f>
        <v>10950150</v>
      </c>
      <c r="S2028" s="13">
        <f>SUMIF(H:H,Online_eCommerce[[#This Row],[Brand]],M:M)</f>
        <v>14235195</v>
      </c>
      <c r="T2028" s="13">
        <f>SUMIF(N:N,Online_eCommerce[[#This Row],[Assigned Supervisor]],L:L)</f>
        <v>12100590</v>
      </c>
    </row>
    <row r="2029" spans="1:20" hidden="1" x14ac:dyDescent="0.3">
      <c r="A2029" t="s">
        <v>3118</v>
      </c>
      <c r="B2029" t="s">
        <v>235</v>
      </c>
      <c r="C2029" t="s">
        <v>86</v>
      </c>
      <c r="D2029" t="s">
        <v>3083</v>
      </c>
      <c r="E2029" t="s">
        <v>161</v>
      </c>
      <c r="F2029" t="s">
        <v>133</v>
      </c>
      <c r="G2029" t="s">
        <v>66</v>
      </c>
      <c r="H2029" t="s">
        <v>21</v>
      </c>
      <c r="I2029">
        <v>600</v>
      </c>
      <c r="J2029">
        <v>780</v>
      </c>
      <c r="K2029">
        <v>2</v>
      </c>
      <c r="L2029">
        <v>1200</v>
      </c>
      <c r="M2029">
        <v>1560</v>
      </c>
      <c r="N2029" t="s">
        <v>56</v>
      </c>
      <c r="O2029">
        <f t="shared" si="62"/>
        <v>1690</v>
      </c>
      <c r="P2029" s="13">
        <f t="shared" si="63"/>
        <v>1941225</v>
      </c>
      <c r="Q2029" s="13">
        <f>SUMIFS(M:M,E:E,Online_eCommerce[[#This Row],[Status]])</f>
        <v>21103186</v>
      </c>
      <c r="R2029" s="13">
        <f>SUMIFS(L:L,H:H,Online_eCommerce[[#This Row],[Brand]])</f>
        <v>12435650</v>
      </c>
      <c r="S2029" s="13">
        <f>SUMIF(H:H,Online_eCommerce[[#This Row],[Brand]],M:M)</f>
        <v>16166345</v>
      </c>
      <c r="T2029" s="13">
        <f>SUMIF(N:N,Online_eCommerce[[#This Row],[Assigned Supervisor]],L:L)</f>
        <v>11733610</v>
      </c>
    </row>
    <row r="2030" spans="1:20" x14ac:dyDescent="0.3">
      <c r="A2030" t="s">
        <v>3119</v>
      </c>
      <c r="B2030" t="s">
        <v>235</v>
      </c>
      <c r="C2030" t="s">
        <v>91</v>
      </c>
      <c r="D2030" t="s">
        <v>3083</v>
      </c>
      <c r="E2030" t="s">
        <v>46</v>
      </c>
      <c r="F2030" t="s">
        <v>137</v>
      </c>
      <c r="G2030" t="s">
        <v>71</v>
      </c>
      <c r="H2030" t="s">
        <v>61</v>
      </c>
      <c r="I2030">
        <v>10500</v>
      </c>
      <c r="J2030">
        <v>13650</v>
      </c>
      <c r="K2030">
        <v>1</v>
      </c>
      <c r="L2030">
        <v>10500</v>
      </c>
      <c r="M2030">
        <v>13650</v>
      </c>
      <c r="N2030" t="s">
        <v>22</v>
      </c>
      <c r="O2030">
        <f t="shared" si="62"/>
        <v>9750</v>
      </c>
      <c r="P2030" s="13">
        <f t="shared" si="63"/>
        <v>2731963</v>
      </c>
      <c r="Q2030" s="13">
        <f>SUMIFS(M:M,E:E,Online_eCommerce[[#This Row],[Status]])</f>
        <v>28620410</v>
      </c>
      <c r="R2030" s="13">
        <f>SUMIFS(L:L,H:H,Online_eCommerce[[#This Row],[Brand]])</f>
        <v>10950150</v>
      </c>
      <c r="S2030" s="13">
        <f>SUMIF(H:H,Online_eCommerce[[#This Row],[Brand]],M:M)</f>
        <v>14235195</v>
      </c>
      <c r="T2030" s="13">
        <f>SUMIF(N:N,Online_eCommerce[[#This Row],[Assigned Supervisor]],L:L)</f>
        <v>13693220</v>
      </c>
    </row>
    <row r="2031" spans="1:20" hidden="1" x14ac:dyDescent="0.3">
      <c r="A2031" t="s">
        <v>3120</v>
      </c>
      <c r="B2031" t="s">
        <v>235</v>
      </c>
      <c r="C2031" t="s">
        <v>94</v>
      </c>
      <c r="D2031" t="s">
        <v>3083</v>
      </c>
      <c r="E2031" t="s">
        <v>96</v>
      </c>
      <c r="F2031" t="s">
        <v>3091</v>
      </c>
      <c r="G2031" t="s">
        <v>77</v>
      </c>
      <c r="H2031" t="s">
        <v>142</v>
      </c>
      <c r="I2031">
        <v>6500</v>
      </c>
      <c r="J2031">
        <v>8450</v>
      </c>
      <c r="K2031">
        <v>3</v>
      </c>
      <c r="L2031">
        <v>19500</v>
      </c>
      <c r="M2031">
        <v>25350</v>
      </c>
      <c r="N2031" t="s">
        <v>28</v>
      </c>
      <c r="O2031">
        <f t="shared" si="62"/>
        <v>39000</v>
      </c>
      <c r="P2031" s="13">
        <f t="shared" si="63"/>
        <v>1868256</v>
      </c>
      <c r="Q2031" s="13">
        <f>SUMIFS(M:M,E:E,Online_eCommerce[[#This Row],[Status]])</f>
        <v>21233992</v>
      </c>
      <c r="R2031" s="13">
        <f>SUMIFS(L:L,H:H,Online_eCommerce[[#This Row],[Brand]])</f>
        <v>6192500</v>
      </c>
      <c r="S2031" s="13">
        <f>SUMIF(H:H,Online_eCommerce[[#This Row],[Brand]],M:M)</f>
        <v>8050250</v>
      </c>
      <c r="T2031" s="13">
        <f>SUMIF(N:N,Online_eCommerce[[#This Row],[Assigned Supervisor]],L:L)</f>
        <v>12220830</v>
      </c>
    </row>
    <row r="2032" spans="1:20" hidden="1" x14ac:dyDescent="0.3">
      <c r="A2032" t="s">
        <v>3121</v>
      </c>
      <c r="B2032" t="s">
        <v>235</v>
      </c>
      <c r="C2032" t="s">
        <v>99</v>
      </c>
      <c r="D2032" t="s">
        <v>3083</v>
      </c>
      <c r="E2032" t="s">
        <v>18</v>
      </c>
      <c r="F2032" t="s">
        <v>3122</v>
      </c>
      <c r="G2032" t="s">
        <v>20</v>
      </c>
      <c r="H2032" t="s">
        <v>21</v>
      </c>
      <c r="I2032">
        <v>4500</v>
      </c>
      <c r="J2032">
        <v>5850</v>
      </c>
      <c r="K2032">
        <v>3</v>
      </c>
      <c r="L2032">
        <v>13500</v>
      </c>
      <c r="M2032">
        <v>17550</v>
      </c>
      <c r="N2032" t="s">
        <v>35</v>
      </c>
      <c r="O2032">
        <f t="shared" si="62"/>
        <v>8450</v>
      </c>
      <c r="P2032" s="13">
        <f t="shared" si="63"/>
        <v>2651233</v>
      </c>
      <c r="Q2032" s="13">
        <f>SUMIFS(M:M,E:E,Online_eCommerce[[#This Row],[Status]])</f>
        <v>28340455</v>
      </c>
      <c r="R2032" s="13">
        <f>SUMIFS(L:L,H:H,Online_eCommerce[[#This Row],[Brand]])</f>
        <v>12435650</v>
      </c>
      <c r="S2032" s="13">
        <f>SUMIF(H:H,Online_eCommerce[[#This Row],[Brand]],M:M)</f>
        <v>16166345</v>
      </c>
      <c r="T2032" s="13">
        <f>SUMIF(N:N,Online_eCommerce[[#This Row],[Assigned Supervisor]],L:L)</f>
        <v>14373360</v>
      </c>
    </row>
    <row r="2033" spans="1:20" hidden="1" x14ac:dyDescent="0.3">
      <c r="A2033" t="s">
        <v>3123</v>
      </c>
      <c r="B2033" t="s">
        <v>235</v>
      </c>
      <c r="C2033" t="s">
        <v>105</v>
      </c>
      <c r="D2033" t="s">
        <v>3083</v>
      </c>
      <c r="E2033" t="s">
        <v>161</v>
      </c>
      <c r="F2033" t="s">
        <v>152</v>
      </c>
      <c r="G2033" t="s">
        <v>26</v>
      </c>
      <c r="H2033" t="s">
        <v>27</v>
      </c>
      <c r="I2033">
        <v>8500</v>
      </c>
      <c r="J2033">
        <v>11050</v>
      </c>
      <c r="K2033">
        <v>2</v>
      </c>
      <c r="L2033">
        <v>17000</v>
      </c>
      <c r="M2033">
        <v>22100</v>
      </c>
      <c r="N2033" t="s">
        <v>42</v>
      </c>
      <c r="O2033">
        <f t="shared" si="62"/>
        <v>33150</v>
      </c>
      <c r="P2033" s="13">
        <f t="shared" si="63"/>
        <v>1866852</v>
      </c>
      <c r="Q2033" s="13">
        <f>SUMIFS(M:M,E:E,Online_eCommerce[[#This Row],[Status]])</f>
        <v>21103186</v>
      </c>
      <c r="R2033" s="13">
        <f>SUMIFS(L:L,H:H,Online_eCommerce[[#This Row],[Brand]])</f>
        <v>14431000</v>
      </c>
      <c r="S2033" s="13">
        <f>SUMIF(H:H,Online_eCommerce[[#This Row],[Brand]],M:M)</f>
        <v>18760300</v>
      </c>
      <c r="T2033" s="13">
        <f>SUMIF(N:N,Online_eCommerce[[#This Row],[Assigned Supervisor]],L:L)</f>
        <v>12261500</v>
      </c>
    </row>
    <row r="2034" spans="1:20" x14ac:dyDescent="0.3">
      <c r="A2034" t="s">
        <v>3124</v>
      </c>
      <c r="B2034" t="s">
        <v>235</v>
      </c>
      <c r="C2034" t="s">
        <v>110</v>
      </c>
      <c r="D2034" t="s">
        <v>3083</v>
      </c>
      <c r="E2034" t="s">
        <v>46</v>
      </c>
      <c r="F2034" t="s">
        <v>157</v>
      </c>
      <c r="G2034" t="s">
        <v>33</v>
      </c>
      <c r="H2034" t="s">
        <v>34</v>
      </c>
      <c r="I2034">
        <v>12500</v>
      </c>
      <c r="J2034">
        <v>16250</v>
      </c>
      <c r="K2034">
        <v>1</v>
      </c>
      <c r="L2034">
        <v>12500</v>
      </c>
      <c r="M2034">
        <v>16250</v>
      </c>
      <c r="N2034" t="s">
        <v>50</v>
      </c>
      <c r="O2034">
        <f t="shared" si="62"/>
        <v>18200</v>
      </c>
      <c r="P2034" s="13">
        <f t="shared" si="63"/>
        <v>2598635</v>
      </c>
      <c r="Q2034" s="13">
        <f>SUMIFS(M:M,E:E,Online_eCommerce[[#This Row],[Status]])</f>
        <v>28620410</v>
      </c>
      <c r="R2034" s="13">
        <f>SUMIFS(L:L,H:H,Online_eCommerce[[#This Row],[Brand]])</f>
        <v>10087000</v>
      </c>
      <c r="S2034" s="13">
        <f>SUMIF(H:H,Online_eCommerce[[#This Row],[Brand]],M:M)</f>
        <v>13113100</v>
      </c>
      <c r="T2034" s="13">
        <f>SUMIF(N:N,Online_eCommerce[[#This Row],[Assigned Supervisor]],L:L)</f>
        <v>12100590</v>
      </c>
    </row>
    <row r="2035" spans="1:20" hidden="1" x14ac:dyDescent="0.3">
      <c r="A2035" t="s">
        <v>3125</v>
      </c>
      <c r="B2035" t="s">
        <v>235</v>
      </c>
      <c r="C2035" t="s">
        <v>115</v>
      </c>
      <c r="D2035" t="s">
        <v>3083</v>
      </c>
      <c r="E2035" t="s">
        <v>96</v>
      </c>
      <c r="F2035" t="s">
        <v>2792</v>
      </c>
      <c r="G2035" t="s">
        <v>40</v>
      </c>
      <c r="H2035" t="s">
        <v>41</v>
      </c>
      <c r="I2035">
        <v>3500</v>
      </c>
      <c r="J2035">
        <v>4550</v>
      </c>
      <c r="K2035">
        <v>1</v>
      </c>
      <c r="L2035">
        <v>3500</v>
      </c>
      <c r="M2035">
        <v>4550</v>
      </c>
      <c r="N2035" t="s">
        <v>56</v>
      </c>
      <c r="O2035">
        <f t="shared" si="62"/>
        <v>25545</v>
      </c>
      <c r="P2035" s="13">
        <f t="shared" si="63"/>
        <v>2050178</v>
      </c>
      <c r="Q2035" s="13">
        <f>SUMIFS(M:M,E:E,Online_eCommerce[[#This Row],[Status]])</f>
        <v>21233992</v>
      </c>
      <c r="R2035" s="13">
        <f>SUMIFS(L:L,H:H,Online_eCommerce[[#This Row],[Brand]])</f>
        <v>4260400</v>
      </c>
      <c r="S2035" s="13">
        <f>SUMIF(H:H,Online_eCommerce[[#This Row],[Brand]],M:M)</f>
        <v>5538520</v>
      </c>
      <c r="T2035" s="13">
        <f>SUMIF(N:N,Online_eCommerce[[#This Row],[Assigned Supervisor]],L:L)</f>
        <v>11733610</v>
      </c>
    </row>
    <row r="2036" spans="1:20" hidden="1" x14ac:dyDescent="0.3">
      <c r="A2036" t="s">
        <v>3126</v>
      </c>
      <c r="B2036" t="s">
        <v>235</v>
      </c>
      <c r="C2036" t="s">
        <v>120</v>
      </c>
      <c r="D2036" t="s">
        <v>3083</v>
      </c>
      <c r="E2036" t="s">
        <v>18</v>
      </c>
      <c r="F2036" t="s">
        <v>166</v>
      </c>
      <c r="G2036" t="s">
        <v>334</v>
      </c>
      <c r="H2036" t="s">
        <v>49</v>
      </c>
      <c r="I2036">
        <v>4500</v>
      </c>
      <c r="J2036">
        <v>5850</v>
      </c>
      <c r="K2036">
        <v>3</v>
      </c>
      <c r="L2036">
        <v>13500</v>
      </c>
      <c r="M2036">
        <v>17550</v>
      </c>
      <c r="N2036" t="s">
        <v>22</v>
      </c>
      <c r="O2036">
        <f t="shared" si="62"/>
        <v>39780</v>
      </c>
      <c r="P2036" s="13">
        <f t="shared" si="63"/>
        <v>2734212</v>
      </c>
      <c r="Q2036" s="13">
        <f>SUMIFS(M:M,E:E,Online_eCommerce[[#This Row],[Status]])</f>
        <v>28340455</v>
      </c>
      <c r="R2036" s="13">
        <f>SUMIFS(L:L,H:H,Online_eCommerce[[#This Row],[Brand]])</f>
        <v>4528350</v>
      </c>
      <c r="S2036" s="13">
        <f>SUMIF(H:H,Online_eCommerce[[#This Row],[Brand]],M:M)</f>
        <v>5886855</v>
      </c>
      <c r="T2036" s="13">
        <f>SUMIF(N:N,Online_eCommerce[[#This Row],[Assigned Supervisor]],L:L)</f>
        <v>13693220</v>
      </c>
    </row>
    <row r="2037" spans="1:20" hidden="1" x14ac:dyDescent="0.3">
      <c r="A2037" t="s">
        <v>3127</v>
      </c>
      <c r="B2037" t="s">
        <v>235</v>
      </c>
      <c r="C2037" t="s">
        <v>125</v>
      </c>
      <c r="D2037" t="s">
        <v>3083</v>
      </c>
      <c r="E2037" t="s">
        <v>161</v>
      </c>
      <c r="F2037" t="s">
        <v>3128</v>
      </c>
      <c r="G2037" t="s">
        <v>54</v>
      </c>
      <c r="H2037" t="s">
        <v>55</v>
      </c>
      <c r="I2037">
        <v>2100</v>
      </c>
      <c r="J2037">
        <v>2730</v>
      </c>
      <c r="K2037">
        <v>2</v>
      </c>
      <c r="L2037">
        <v>4200</v>
      </c>
      <c r="M2037">
        <v>5460</v>
      </c>
      <c r="N2037" t="s">
        <v>28</v>
      </c>
      <c r="O2037">
        <f t="shared" si="62"/>
        <v>2990</v>
      </c>
      <c r="P2037" s="13">
        <f t="shared" si="63"/>
        <v>2091154</v>
      </c>
      <c r="Q2037" s="13">
        <f>SUMIFS(M:M,E:E,Online_eCommerce[[#This Row],[Status]])</f>
        <v>21103186</v>
      </c>
      <c r="R2037" s="13">
        <f>SUMIFS(L:L,H:H,Online_eCommerce[[#This Row],[Brand]])</f>
        <v>2267380</v>
      </c>
      <c r="S2037" s="13">
        <f>SUMIF(H:H,Online_eCommerce[[#This Row],[Brand]],M:M)</f>
        <v>2947594</v>
      </c>
      <c r="T2037" s="13">
        <f>SUMIF(N:N,Online_eCommerce[[#This Row],[Assigned Supervisor]],L:L)</f>
        <v>12220830</v>
      </c>
    </row>
    <row r="2038" spans="1:20" x14ac:dyDescent="0.3">
      <c r="A2038" t="s">
        <v>3129</v>
      </c>
      <c r="B2038" t="s">
        <v>235</v>
      </c>
      <c r="C2038" t="s">
        <v>22</v>
      </c>
      <c r="D2038" t="s">
        <v>3083</v>
      </c>
      <c r="E2038" t="s">
        <v>46</v>
      </c>
      <c r="F2038" t="s">
        <v>174</v>
      </c>
      <c r="G2038" t="s">
        <v>60</v>
      </c>
      <c r="H2038" t="s">
        <v>61</v>
      </c>
      <c r="I2038">
        <v>1150</v>
      </c>
      <c r="J2038">
        <v>1495</v>
      </c>
      <c r="K2038">
        <v>3</v>
      </c>
      <c r="L2038">
        <v>3450</v>
      </c>
      <c r="M2038">
        <v>4485</v>
      </c>
      <c r="N2038" t="s">
        <v>35</v>
      </c>
      <c r="O2038">
        <f t="shared" si="62"/>
        <v>3315</v>
      </c>
      <c r="P2038" s="13">
        <f t="shared" si="63"/>
        <v>2551588</v>
      </c>
      <c r="Q2038" s="13">
        <f>SUMIFS(M:M,E:E,Online_eCommerce[[#This Row],[Status]])</f>
        <v>28620410</v>
      </c>
      <c r="R2038" s="13">
        <f>SUMIFS(L:L,H:H,Online_eCommerce[[#This Row],[Brand]])</f>
        <v>10950150</v>
      </c>
      <c r="S2038" s="13">
        <f>SUMIF(H:H,Online_eCommerce[[#This Row],[Brand]],M:M)</f>
        <v>14235195</v>
      </c>
      <c r="T2038" s="13">
        <f>SUMIF(N:N,Online_eCommerce[[#This Row],[Assigned Supervisor]],L:L)</f>
        <v>14373360</v>
      </c>
    </row>
    <row r="2039" spans="1:20" hidden="1" x14ac:dyDescent="0.3">
      <c r="A2039" t="s">
        <v>3130</v>
      </c>
      <c r="B2039" t="s">
        <v>235</v>
      </c>
      <c r="C2039" t="s">
        <v>132</v>
      </c>
      <c r="D2039" t="s">
        <v>3083</v>
      </c>
      <c r="E2039" t="s">
        <v>96</v>
      </c>
      <c r="F2039" t="s">
        <v>179</v>
      </c>
      <c r="G2039" t="s">
        <v>66</v>
      </c>
      <c r="H2039" t="s">
        <v>21</v>
      </c>
      <c r="I2039">
        <v>350</v>
      </c>
      <c r="J2039">
        <v>455</v>
      </c>
      <c r="K2039">
        <v>4</v>
      </c>
      <c r="L2039">
        <v>1400</v>
      </c>
      <c r="M2039">
        <v>1820</v>
      </c>
      <c r="N2039" t="s">
        <v>42</v>
      </c>
      <c r="O2039">
        <f t="shared" si="62"/>
        <v>1690</v>
      </c>
      <c r="P2039" s="13">
        <f t="shared" si="63"/>
        <v>1989065</v>
      </c>
      <c r="Q2039" s="13">
        <f>SUMIFS(M:M,E:E,Online_eCommerce[[#This Row],[Status]])</f>
        <v>21233992</v>
      </c>
      <c r="R2039" s="13">
        <f>SUMIFS(L:L,H:H,Online_eCommerce[[#This Row],[Brand]])</f>
        <v>12435650</v>
      </c>
      <c r="S2039" s="13">
        <f>SUMIF(H:H,Online_eCommerce[[#This Row],[Brand]],M:M)</f>
        <v>16166345</v>
      </c>
      <c r="T2039" s="13">
        <f>SUMIF(N:N,Online_eCommerce[[#This Row],[Assigned Supervisor]],L:L)</f>
        <v>12261500</v>
      </c>
    </row>
    <row r="2040" spans="1:20" hidden="1" x14ac:dyDescent="0.3">
      <c r="A2040" t="s">
        <v>3131</v>
      </c>
      <c r="B2040" t="s">
        <v>235</v>
      </c>
      <c r="C2040" t="s">
        <v>136</v>
      </c>
      <c r="D2040" t="s">
        <v>3083</v>
      </c>
      <c r="E2040" t="s">
        <v>18</v>
      </c>
      <c r="F2040" t="s">
        <v>183</v>
      </c>
      <c r="G2040" t="s">
        <v>71</v>
      </c>
      <c r="H2040" t="s">
        <v>61</v>
      </c>
      <c r="I2040">
        <v>9500</v>
      </c>
      <c r="J2040">
        <v>12350</v>
      </c>
      <c r="K2040">
        <v>4</v>
      </c>
      <c r="L2040">
        <v>38000</v>
      </c>
      <c r="M2040">
        <v>49400</v>
      </c>
      <c r="N2040" t="s">
        <v>50</v>
      </c>
      <c r="O2040">
        <f t="shared" si="62"/>
        <v>9750</v>
      </c>
      <c r="P2040" s="13">
        <f t="shared" si="63"/>
        <v>2775162</v>
      </c>
      <c r="Q2040" s="13">
        <f>SUMIFS(M:M,E:E,Online_eCommerce[[#This Row],[Status]])</f>
        <v>28340455</v>
      </c>
      <c r="R2040" s="13">
        <f>SUMIFS(L:L,H:H,Online_eCommerce[[#This Row],[Brand]])</f>
        <v>10950150</v>
      </c>
      <c r="S2040" s="13">
        <f>SUMIF(H:H,Online_eCommerce[[#This Row],[Brand]],M:M)</f>
        <v>14235195</v>
      </c>
      <c r="T2040" s="13">
        <f>SUMIF(N:N,Online_eCommerce[[#This Row],[Assigned Supervisor]],L:L)</f>
        <v>12100590</v>
      </c>
    </row>
    <row r="2041" spans="1:20" hidden="1" x14ac:dyDescent="0.3">
      <c r="A2041" t="s">
        <v>3132</v>
      </c>
      <c r="B2041" t="s">
        <v>235</v>
      </c>
      <c r="C2041" t="s">
        <v>140</v>
      </c>
      <c r="D2041" t="s">
        <v>3083</v>
      </c>
      <c r="E2041" t="s">
        <v>161</v>
      </c>
      <c r="F2041" t="s">
        <v>3133</v>
      </c>
      <c r="G2041" t="s">
        <v>77</v>
      </c>
      <c r="H2041" t="s">
        <v>142</v>
      </c>
      <c r="I2041">
        <v>10000</v>
      </c>
      <c r="J2041">
        <v>13000</v>
      </c>
      <c r="K2041">
        <v>2</v>
      </c>
      <c r="L2041">
        <v>20000</v>
      </c>
      <c r="M2041">
        <v>26000</v>
      </c>
      <c r="N2041" t="s">
        <v>56</v>
      </c>
      <c r="O2041">
        <f t="shared" si="62"/>
        <v>39000</v>
      </c>
      <c r="P2041" s="13">
        <f t="shared" si="63"/>
        <v>2058264</v>
      </c>
      <c r="Q2041" s="13">
        <f>SUMIFS(M:M,E:E,Online_eCommerce[[#This Row],[Status]])</f>
        <v>21103186</v>
      </c>
      <c r="R2041" s="13">
        <f>SUMIFS(L:L,H:H,Online_eCommerce[[#This Row],[Brand]])</f>
        <v>6192500</v>
      </c>
      <c r="S2041" s="13">
        <f>SUMIF(H:H,Online_eCommerce[[#This Row],[Brand]],M:M)</f>
        <v>8050250</v>
      </c>
      <c r="T2041" s="13">
        <f>SUMIF(N:N,Online_eCommerce[[#This Row],[Assigned Supervisor]],L:L)</f>
        <v>11733610</v>
      </c>
    </row>
    <row r="2042" spans="1:20" x14ac:dyDescent="0.3">
      <c r="A2042" t="s">
        <v>3134</v>
      </c>
      <c r="B2042" t="s">
        <v>235</v>
      </c>
      <c r="C2042" t="s">
        <v>145</v>
      </c>
      <c r="D2042" t="s">
        <v>3083</v>
      </c>
      <c r="E2042" t="s">
        <v>46</v>
      </c>
      <c r="F2042" t="s">
        <v>3135</v>
      </c>
      <c r="G2042" t="s">
        <v>20</v>
      </c>
      <c r="H2042" t="s">
        <v>21</v>
      </c>
      <c r="I2042">
        <v>6500</v>
      </c>
      <c r="J2042">
        <v>8450</v>
      </c>
      <c r="K2042">
        <v>3</v>
      </c>
      <c r="L2042">
        <v>19500</v>
      </c>
      <c r="M2042">
        <v>25350</v>
      </c>
      <c r="N2042" t="s">
        <v>22</v>
      </c>
      <c r="O2042">
        <f t="shared" si="62"/>
        <v>8450</v>
      </c>
      <c r="P2042" s="13">
        <f t="shared" si="63"/>
        <v>2757859</v>
      </c>
      <c r="Q2042" s="13">
        <f>SUMIFS(M:M,E:E,Online_eCommerce[[#This Row],[Status]])</f>
        <v>28620410</v>
      </c>
      <c r="R2042" s="13">
        <f>SUMIFS(L:L,H:H,Online_eCommerce[[#This Row],[Brand]])</f>
        <v>12435650</v>
      </c>
      <c r="S2042" s="13">
        <f>SUMIF(H:H,Online_eCommerce[[#This Row],[Brand]],M:M)</f>
        <v>16166345</v>
      </c>
      <c r="T2042" s="13">
        <f>SUMIF(N:N,Online_eCommerce[[#This Row],[Assigned Supervisor]],L:L)</f>
        <v>13693220</v>
      </c>
    </row>
    <row r="2043" spans="1:20" hidden="1" x14ac:dyDescent="0.3">
      <c r="A2043" t="s">
        <v>3136</v>
      </c>
      <c r="B2043" t="s">
        <v>235</v>
      </c>
      <c r="C2043" t="s">
        <v>150</v>
      </c>
      <c r="D2043" t="s">
        <v>3083</v>
      </c>
      <c r="E2043" t="s">
        <v>96</v>
      </c>
      <c r="F2043" t="s">
        <v>3137</v>
      </c>
      <c r="G2043" t="s">
        <v>26</v>
      </c>
      <c r="H2043" t="s">
        <v>27</v>
      </c>
      <c r="I2043">
        <v>8500</v>
      </c>
      <c r="J2043">
        <v>11050</v>
      </c>
      <c r="K2043">
        <v>2</v>
      </c>
      <c r="L2043">
        <v>17000</v>
      </c>
      <c r="M2043">
        <v>22100</v>
      </c>
      <c r="N2043" t="s">
        <v>28</v>
      </c>
      <c r="O2043">
        <f t="shared" si="62"/>
        <v>33150</v>
      </c>
      <c r="P2043" s="13">
        <f t="shared" si="63"/>
        <v>2154984</v>
      </c>
      <c r="Q2043" s="13">
        <f>SUMIFS(M:M,E:E,Online_eCommerce[[#This Row],[Status]])</f>
        <v>21233992</v>
      </c>
      <c r="R2043" s="13">
        <f>SUMIFS(L:L,H:H,Online_eCommerce[[#This Row],[Brand]])</f>
        <v>14431000</v>
      </c>
      <c r="S2043" s="13">
        <f>SUMIF(H:H,Online_eCommerce[[#This Row],[Brand]],M:M)</f>
        <v>18760300</v>
      </c>
      <c r="T2043" s="13">
        <f>SUMIF(N:N,Online_eCommerce[[#This Row],[Assigned Supervisor]],L:L)</f>
        <v>12220830</v>
      </c>
    </row>
    <row r="2044" spans="1:20" hidden="1" x14ac:dyDescent="0.3">
      <c r="A2044" t="s">
        <v>3138</v>
      </c>
      <c r="B2044" t="s">
        <v>235</v>
      </c>
      <c r="C2044" t="s">
        <v>155</v>
      </c>
      <c r="D2044" t="s">
        <v>3083</v>
      </c>
      <c r="E2044" t="s">
        <v>18</v>
      </c>
      <c r="F2044" t="s">
        <v>32</v>
      </c>
      <c r="G2044" t="s">
        <v>33</v>
      </c>
      <c r="H2044" t="s">
        <v>34</v>
      </c>
      <c r="I2044">
        <v>7000</v>
      </c>
      <c r="J2044">
        <v>9100</v>
      </c>
      <c r="K2044">
        <v>2</v>
      </c>
      <c r="L2044">
        <v>14000</v>
      </c>
      <c r="M2044">
        <v>18200</v>
      </c>
      <c r="N2044" t="s">
        <v>35</v>
      </c>
      <c r="O2044">
        <f t="shared" si="62"/>
        <v>18200</v>
      </c>
      <c r="P2044" s="13">
        <f t="shared" si="63"/>
        <v>2753348</v>
      </c>
      <c r="Q2044" s="13">
        <f>SUMIFS(M:M,E:E,Online_eCommerce[[#This Row],[Status]])</f>
        <v>28340455</v>
      </c>
      <c r="R2044" s="13">
        <f>SUMIFS(L:L,H:H,Online_eCommerce[[#This Row],[Brand]])</f>
        <v>10087000</v>
      </c>
      <c r="S2044" s="13">
        <f>SUMIF(H:H,Online_eCommerce[[#This Row],[Brand]],M:M)</f>
        <v>13113100</v>
      </c>
      <c r="T2044" s="13">
        <f>SUMIF(N:N,Online_eCommerce[[#This Row],[Assigned Supervisor]],L:L)</f>
        <v>14373360</v>
      </c>
    </row>
    <row r="2045" spans="1:20" hidden="1" x14ac:dyDescent="0.3">
      <c r="A2045" t="s">
        <v>3139</v>
      </c>
      <c r="B2045" t="s">
        <v>235</v>
      </c>
      <c r="C2045" t="s">
        <v>160</v>
      </c>
      <c r="D2045" t="s">
        <v>3083</v>
      </c>
      <c r="E2045" t="s">
        <v>161</v>
      </c>
      <c r="F2045" t="s">
        <v>3140</v>
      </c>
      <c r="G2045" t="s">
        <v>40</v>
      </c>
      <c r="H2045" t="s">
        <v>41</v>
      </c>
      <c r="I2045">
        <v>6550</v>
      </c>
      <c r="J2045">
        <v>8515</v>
      </c>
      <c r="K2045">
        <v>2</v>
      </c>
      <c r="L2045">
        <v>13100</v>
      </c>
      <c r="M2045">
        <v>17030</v>
      </c>
      <c r="N2045" t="s">
        <v>42</v>
      </c>
      <c r="O2045">
        <f t="shared" si="62"/>
        <v>25545</v>
      </c>
      <c r="P2045" s="13">
        <f t="shared" si="63"/>
        <v>2303483</v>
      </c>
      <c r="Q2045" s="13">
        <f>SUMIFS(M:M,E:E,Online_eCommerce[[#This Row],[Status]])</f>
        <v>21103186</v>
      </c>
      <c r="R2045" s="13">
        <f>SUMIFS(L:L,H:H,Online_eCommerce[[#This Row],[Brand]])</f>
        <v>4260400</v>
      </c>
      <c r="S2045" s="13">
        <f>SUMIF(H:H,Online_eCommerce[[#This Row],[Brand]],M:M)</f>
        <v>5538520</v>
      </c>
      <c r="T2045" s="13">
        <f>SUMIF(N:N,Online_eCommerce[[#This Row],[Assigned Supervisor]],L:L)</f>
        <v>12261500</v>
      </c>
    </row>
    <row r="2046" spans="1:20" x14ac:dyDescent="0.3">
      <c r="A2046" t="s">
        <v>3141</v>
      </c>
      <c r="B2046" t="s">
        <v>235</v>
      </c>
      <c r="C2046" t="s">
        <v>165</v>
      </c>
      <c r="D2046" t="s">
        <v>3083</v>
      </c>
      <c r="E2046" t="s">
        <v>46</v>
      </c>
      <c r="F2046" t="s">
        <v>47</v>
      </c>
      <c r="G2046" t="s">
        <v>334</v>
      </c>
      <c r="H2046" t="s">
        <v>49</v>
      </c>
      <c r="I2046">
        <v>7650</v>
      </c>
      <c r="J2046">
        <v>9945</v>
      </c>
      <c r="K2046">
        <v>1</v>
      </c>
      <c r="L2046">
        <v>7650</v>
      </c>
      <c r="M2046">
        <v>9945</v>
      </c>
      <c r="N2046" t="s">
        <v>50</v>
      </c>
      <c r="O2046">
        <f t="shared" si="62"/>
        <v>39780</v>
      </c>
      <c r="P2046" s="13">
        <f t="shared" si="63"/>
        <v>2674087</v>
      </c>
      <c r="Q2046" s="13">
        <f>SUMIFS(M:M,E:E,Online_eCommerce[[#This Row],[Status]])</f>
        <v>28620410</v>
      </c>
      <c r="R2046" s="13">
        <f>SUMIFS(L:L,H:H,Online_eCommerce[[#This Row],[Brand]])</f>
        <v>4528350</v>
      </c>
      <c r="S2046" s="13">
        <f>SUMIF(H:H,Online_eCommerce[[#This Row],[Brand]],M:M)</f>
        <v>5886855</v>
      </c>
      <c r="T2046" s="13">
        <f>SUMIF(N:N,Online_eCommerce[[#This Row],[Assigned Supervisor]],L:L)</f>
        <v>12100590</v>
      </c>
    </row>
    <row r="2047" spans="1:20" hidden="1" x14ac:dyDescent="0.3">
      <c r="A2047" t="s">
        <v>3142</v>
      </c>
      <c r="B2047" t="s">
        <v>235</v>
      </c>
      <c r="C2047" t="s">
        <v>168</v>
      </c>
      <c r="D2047" t="s">
        <v>3083</v>
      </c>
      <c r="E2047" t="s">
        <v>96</v>
      </c>
      <c r="F2047" t="s">
        <v>53</v>
      </c>
      <c r="G2047" t="s">
        <v>54</v>
      </c>
      <c r="H2047" t="s">
        <v>55</v>
      </c>
      <c r="I2047">
        <v>1150</v>
      </c>
      <c r="J2047">
        <v>1495</v>
      </c>
      <c r="K2047">
        <v>2</v>
      </c>
      <c r="L2047">
        <v>2300</v>
      </c>
      <c r="M2047">
        <v>2990</v>
      </c>
      <c r="N2047" t="s">
        <v>56</v>
      </c>
      <c r="O2047">
        <f t="shared" si="62"/>
        <v>2990</v>
      </c>
      <c r="P2047" s="13">
        <f t="shared" si="63"/>
        <v>1937780</v>
      </c>
      <c r="Q2047" s="13">
        <f>SUMIFS(M:M,E:E,Online_eCommerce[[#This Row],[Status]])</f>
        <v>21233992</v>
      </c>
      <c r="R2047" s="13">
        <f>SUMIFS(L:L,H:H,Online_eCommerce[[#This Row],[Brand]])</f>
        <v>2267380</v>
      </c>
      <c r="S2047" s="13">
        <f>SUMIF(H:H,Online_eCommerce[[#This Row],[Brand]],M:M)</f>
        <v>2947594</v>
      </c>
      <c r="T2047" s="13">
        <f>SUMIF(N:N,Online_eCommerce[[#This Row],[Assigned Supervisor]],L:L)</f>
        <v>11733610</v>
      </c>
    </row>
    <row r="2048" spans="1:20" hidden="1" x14ac:dyDescent="0.3">
      <c r="A2048" t="s">
        <v>3143</v>
      </c>
      <c r="B2048" t="s">
        <v>235</v>
      </c>
      <c r="C2048" t="s">
        <v>172</v>
      </c>
      <c r="D2048" t="s">
        <v>3083</v>
      </c>
      <c r="E2048" t="s">
        <v>18</v>
      </c>
      <c r="F2048" t="s">
        <v>59</v>
      </c>
      <c r="G2048" t="s">
        <v>60</v>
      </c>
      <c r="H2048" t="s">
        <v>61</v>
      </c>
      <c r="I2048">
        <v>850</v>
      </c>
      <c r="J2048">
        <v>1105</v>
      </c>
      <c r="K2048">
        <v>4</v>
      </c>
      <c r="L2048">
        <v>3400</v>
      </c>
      <c r="M2048">
        <v>4420</v>
      </c>
      <c r="N2048" t="s">
        <v>22</v>
      </c>
      <c r="O2048">
        <f t="shared" si="62"/>
        <v>3315</v>
      </c>
      <c r="P2048" s="13">
        <f t="shared" si="63"/>
        <v>2640274</v>
      </c>
      <c r="Q2048" s="13">
        <f>SUMIFS(M:M,E:E,Online_eCommerce[[#This Row],[Status]])</f>
        <v>28340455</v>
      </c>
      <c r="R2048" s="13">
        <f>SUMIFS(L:L,H:H,Online_eCommerce[[#This Row],[Brand]])</f>
        <v>10950150</v>
      </c>
      <c r="S2048" s="13">
        <f>SUMIF(H:H,Online_eCommerce[[#This Row],[Brand]],M:M)</f>
        <v>14235195</v>
      </c>
      <c r="T2048" s="13">
        <f>SUMIF(N:N,Online_eCommerce[[#This Row],[Assigned Supervisor]],L:L)</f>
        <v>13693220</v>
      </c>
    </row>
    <row r="2049" spans="1:20" hidden="1" x14ac:dyDescent="0.3">
      <c r="A2049" t="s">
        <v>3144</v>
      </c>
      <c r="B2049" t="s">
        <v>235</v>
      </c>
      <c r="C2049" t="s">
        <v>177</v>
      </c>
      <c r="D2049" t="s">
        <v>3083</v>
      </c>
      <c r="E2049" t="s">
        <v>161</v>
      </c>
      <c r="F2049" t="s">
        <v>65</v>
      </c>
      <c r="G2049" t="s">
        <v>66</v>
      </c>
      <c r="H2049" t="s">
        <v>21</v>
      </c>
      <c r="I2049">
        <v>650</v>
      </c>
      <c r="J2049">
        <v>845</v>
      </c>
      <c r="K2049">
        <v>2</v>
      </c>
      <c r="L2049">
        <v>1300</v>
      </c>
      <c r="M2049">
        <v>1690</v>
      </c>
      <c r="N2049" t="s">
        <v>28</v>
      </c>
      <c r="O2049">
        <f t="shared" si="62"/>
        <v>1690</v>
      </c>
      <c r="P2049" s="13">
        <f t="shared" si="63"/>
        <v>1863810</v>
      </c>
      <c r="Q2049" s="13">
        <f>SUMIFS(M:M,E:E,Online_eCommerce[[#This Row],[Status]])</f>
        <v>21103186</v>
      </c>
      <c r="R2049" s="13">
        <f>SUMIFS(L:L,H:H,Online_eCommerce[[#This Row],[Brand]])</f>
        <v>12435650</v>
      </c>
      <c r="S2049" s="13">
        <f>SUMIF(H:H,Online_eCommerce[[#This Row],[Brand]],M:M)</f>
        <v>16166345</v>
      </c>
      <c r="T2049" s="13">
        <f>SUMIF(N:N,Online_eCommerce[[#This Row],[Assigned Supervisor]],L:L)</f>
        <v>12220830</v>
      </c>
    </row>
    <row r="2050" spans="1:20" x14ac:dyDescent="0.3">
      <c r="A2050" t="s">
        <v>3145</v>
      </c>
      <c r="B2050" t="s">
        <v>235</v>
      </c>
      <c r="C2050" t="s">
        <v>181</v>
      </c>
      <c r="D2050" t="s">
        <v>3083</v>
      </c>
      <c r="E2050" t="s">
        <v>46</v>
      </c>
      <c r="F2050" t="s">
        <v>70</v>
      </c>
      <c r="G2050" t="s">
        <v>71</v>
      </c>
      <c r="H2050" t="s">
        <v>61</v>
      </c>
      <c r="I2050">
        <v>7500</v>
      </c>
      <c r="J2050">
        <v>9750</v>
      </c>
      <c r="K2050">
        <v>1</v>
      </c>
      <c r="L2050">
        <v>7500</v>
      </c>
      <c r="M2050">
        <v>9750</v>
      </c>
      <c r="N2050" t="s">
        <v>35</v>
      </c>
      <c r="O2050">
        <f t="shared" ref="O2050:O2113" si="64">VLOOKUP(G2050,G:M,7,FALSE)</f>
        <v>9750</v>
      </c>
      <c r="P2050" s="13">
        <f t="shared" ref="P2050:P2113" si="65">SUMIFS(M:M,C:C,C2050)</f>
        <v>2577458</v>
      </c>
      <c r="Q2050" s="13">
        <f>SUMIFS(M:M,E:E,Online_eCommerce[[#This Row],[Status]])</f>
        <v>28620410</v>
      </c>
      <c r="R2050" s="13">
        <f>SUMIFS(L:L,H:H,Online_eCommerce[[#This Row],[Brand]])</f>
        <v>10950150</v>
      </c>
      <c r="S2050" s="13">
        <f>SUMIF(H:H,Online_eCommerce[[#This Row],[Brand]],M:M)</f>
        <v>14235195</v>
      </c>
      <c r="T2050" s="13">
        <f>SUMIF(N:N,Online_eCommerce[[#This Row],[Assigned Supervisor]],L:L)</f>
        <v>14373360</v>
      </c>
    </row>
    <row r="2051" spans="1:20" hidden="1" x14ac:dyDescent="0.3">
      <c r="A2051" t="s">
        <v>3146</v>
      </c>
      <c r="B2051" t="s">
        <v>235</v>
      </c>
      <c r="C2051" t="s">
        <v>185</v>
      </c>
      <c r="D2051" t="s">
        <v>3083</v>
      </c>
      <c r="E2051" t="s">
        <v>96</v>
      </c>
      <c r="F2051" t="s">
        <v>3133</v>
      </c>
      <c r="G2051" t="s">
        <v>77</v>
      </c>
      <c r="H2051" t="s">
        <v>78</v>
      </c>
      <c r="I2051">
        <v>10000</v>
      </c>
      <c r="J2051">
        <v>13000</v>
      </c>
      <c r="K2051">
        <v>2</v>
      </c>
      <c r="L2051">
        <v>20000</v>
      </c>
      <c r="M2051">
        <v>26000</v>
      </c>
      <c r="N2051" t="s">
        <v>42</v>
      </c>
      <c r="O2051">
        <f t="shared" si="64"/>
        <v>39000</v>
      </c>
      <c r="P2051" s="13">
        <f t="shared" si="65"/>
        <v>2091596</v>
      </c>
      <c r="Q2051" s="13">
        <f>SUMIFS(M:M,E:E,Online_eCommerce[[#This Row],[Status]])</f>
        <v>21233992</v>
      </c>
      <c r="R2051" s="13">
        <f>SUMIFS(L:L,H:H,Online_eCommerce[[#This Row],[Brand]])</f>
        <v>3720000</v>
      </c>
      <c r="S2051" s="13">
        <f>SUMIF(H:H,Online_eCommerce[[#This Row],[Brand]],M:M)</f>
        <v>4836000</v>
      </c>
      <c r="T2051" s="13">
        <f>SUMIF(N:N,Online_eCommerce[[#This Row],[Assigned Supervisor]],L:L)</f>
        <v>12261500</v>
      </c>
    </row>
    <row r="2052" spans="1:20" hidden="1" x14ac:dyDescent="0.3">
      <c r="A2052" t="s">
        <v>3147</v>
      </c>
      <c r="B2052" t="s">
        <v>235</v>
      </c>
      <c r="C2052" t="s">
        <v>189</v>
      </c>
      <c r="D2052" t="s">
        <v>3083</v>
      </c>
      <c r="E2052" t="s">
        <v>18</v>
      </c>
      <c r="F2052" t="s">
        <v>3148</v>
      </c>
      <c r="G2052" t="s">
        <v>20</v>
      </c>
      <c r="H2052" t="s">
        <v>21</v>
      </c>
      <c r="I2052">
        <v>10500</v>
      </c>
      <c r="J2052">
        <v>13650</v>
      </c>
      <c r="K2052">
        <v>1</v>
      </c>
      <c r="L2052">
        <v>10500</v>
      </c>
      <c r="M2052">
        <v>13650</v>
      </c>
      <c r="N2052" t="s">
        <v>50</v>
      </c>
      <c r="O2052">
        <f t="shared" si="64"/>
        <v>8450</v>
      </c>
      <c r="P2052" s="13">
        <f t="shared" si="65"/>
        <v>2740777</v>
      </c>
      <c r="Q2052" s="13">
        <f>SUMIFS(M:M,E:E,Online_eCommerce[[#This Row],[Status]])</f>
        <v>28340455</v>
      </c>
      <c r="R2052" s="13">
        <f>SUMIFS(L:L,H:H,Online_eCommerce[[#This Row],[Brand]])</f>
        <v>12435650</v>
      </c>
      <c r="S2052" s="13">
        <f>SUMIF(H:H,Online_eCommerce[[#This Row],[Brand]],M:M)</f>
        <v>16166345</v>
      </c>
      <c r="T2052" s="13">
        <f>SUMIF(N:N,Online_eCommerce[[#This Row],[Assigned Supervisor]],L:L)</f>
        <v>12100590</v>
      </c>
    </row>
    <row r="2053" spans="1:20" hidden="1" x14ac:dyDescent="0.3">
      <c r="A2053" t="s">
        <v>3149</v>
      </c>
      <c r="B2053" t="s">
        <v>235</v>
      </c>
      <c r="C2053" t="s">
        <v>193</v>
      </c>
      <c r="D2053" t="s">
        <v>3083</v>
      </c>
      <c r="E2053" t="s">
        <v>161</v>
      </c>
      <c r="F2053" t="s">
        <v>88</v>
      </c>
      <c r="G2053" t="s">
        <v>26</v>
      </c>
      <c r="H2053" t="s">
        <v>27</v>
      </c>
      <c r="I2053">
        <v>8500</v>
      </c>
      <c r="J2053">
        <v>11050</v>
      </c>
      <c r="K2053">
        <v>3</v>
      </c>
      <c r="L2053">
        <v>25500</v>
      </c>
      <c r="M2053">
        <v>33150</v>
      </c>
      <c r="N2053" t="s">
        <v>56</v>
      </c>
      <c r="O2053">
        <f t="shared" si="64"/>
        <v>33150</v>
      </c>
      <c r="P2053" s="13">
        <f t="shared" si="65"/>
        <v>2074774</v>
      </c>
      <c r="Q2053" s="13">
        <f>SUMIFS(M:M,E:E,Online_eCommerce[[#This Row],[Status]])</f>
        <v>21103186</v>
      </c>
      <c r="R2053" s="13">
        <f>SUMIFS(L:L,H:H,Online_eCommerce[[#This Row],[Brand]])</f>
        <v>14431000</v>
      </c>
      <c r="S2053" s="13">
        <f>SUMIF(H:H,Online_eCommerce[[#This Row],[Brand]],M:M)</f>
        <v>18760300</v>
      </c>
      <c r="T2053" s="13">
        <f>SUMIF(N:N,Online_eCommerce[[#This Row],[Assigned Supervisor]],L:L)</f>
        <v>11733610</v>
      </c>
    </row>
    <row r="2054" spans="1:20" x14ac:dyDescent="0.3">
      <c r="A2054" t="s">
        <v>3150</v>
      </c>
      <c r="B2054" t="s">
        <v>235</v>
      </c>
      <c r="C2054" t="s">
        <v>197</v>
      </c>
      <c r="D2054" t="s">
        <v>3083</v>
      </c>
      <c r="E2054" t="s">
        <v>46</v>
      </c>
      <c r="F2054" t="s">
        <v>32</v>
      </c>
      <c r="G2054" t="s">
        <v>33</v>
      </c>
      <c r="H2054" t="s">
        <v>34</v>
      </c>
      <c r="I2054">
        <v>7000</v>
      </c>
      <c r="J2054">
        <v>9100</v>
      </c>
      <c r="K2054">
        <v>1</v>
      </c>
      <c r="L2054">
        <v>7000</v>
      </c>
      <c r="M2054">
        <v>9100</v>
      </c>
      <c r="N2054" t="s">
        <v>22</v>
      </c>
      <c r="O2054">
        <f t="shared" si="64"/>
        <v>18200</v>
      </c>
      <c r="P2054" s="13">
        <f t="shared" si="65"/>
        <v>2829840</v>
      </c>
      <c r="Q2054" s="13">
        <f>SUMIFS(M:M,E:E,Online_eCommerce[[#This Row],[Status]])</f>
        <v>28620410</v>
      </c>
      <c r="R2054" s="13">
        <f>SUMIFS(L:L,H:H,Online_eCommerce[[#This Row],[Brand]])</f>
        <v>10087000</v>
      </c>
      <c r="S2054" s="13">
        <f>SUMIF(H:H,Online_eCommerce[[#This Row],[Brand]],M:M)</f>
        <v>13113100</v>
      </c>
      <c r="T2054" s="13">
        <f>SUMIF(N:N,Online_eCommerce[[#This Row],[Assigned Supervisor]],L:L)</f>
        <v>13693220</v>
      </c>
    </row>
    <row r="2055" spans="1:20" hidden="1" x14ac:dyDescent="0.3">
      <c r="A2055" t="s">
        <v>3151</v>
      </c>
      <c r="B2055" t="s">
        <v>235</v>
      </c>
      <c r="C2055" t="s">
        <v>199</v>
      </c>
      <c r="D2055" t="s">
        <v>3083</v>
      </c>
      <c r="E2055" t="s">
        <v>96</v>
      </c>
      <c r="F2055" t="s">
        <v>3152</v>
      </c>
      <c r="G2055" t="s">
        <v>40</v>
      </c>
      <c r="H2055" t="s">
        <v>41</v>
      </c>
      <c r="I2055">
        <v>1680</v>
      </c>
      <c r="J2055">
        <v>2184</v>
      </c>
      <c r="K2055">
        <v>1</v>
      </c>
      <c r="L2055">
        <v>1680</v>
      </c>
      <c r="M2055">
        <v>2184</v>
      </c>
      <c r="N2055" t="s">
        <v>28</v>
      </c>
      <c r="O2055">
        <f t="shared" si="64"/>
        <v>25545</v>
      </c>
      <c r="P2055" s="13">
        <f t="shared" si="65"/>
        <v>1947361</v>
      </c>
      <c r="Q2055" s="13">
        <f>SUMIFS(M:M,E:E,Online_eCommerce[[#This Row],[Status]])</f>
        <v>21233992</v>
      </c>
      <c r="R2055" s="13">
        <f>SUMIFS(L:L,H:H,Online_eCommerce[[#This Row],[Brand]])</f>
        <v>4260400</v>
      </c>
      <c r="S2055" s="13">
        <f>SUMIF(H:H,Online_eCommerce[[#This Row],[Brand]],M:M)</f>
        <v>5538520</v>
      </c>
      <c r="T2055" s="13">
        <f>SUMIF(N:N,Online_eCommerce[[#This Row],[Assigned Supervisor]],L:L)</f>
        <v>12220830</v>
      </c>
    </row>
    <row r="2056" spans="1:20" hidden="1" x14ac:dyDescent="0.3">
      <c r="A2056" t="s">
        <v>3153</v>
      </c>
      <c r="B2056" t="s">
        <v>235</v>
      </c>
      <c r="C2056" t="s">
        <v>203</v>
      </c>
      <c r="D2056" t="s">
        <v>3083</v>
      </c>
      <c r="E2056" t="s">
        <v>18</v>
      </c>
      <c r="F2056" t="s">
        <v>101</v>
      </c>
      <c r="G2056" t="s">
        <v>334</v>
      </c>
      <c r="H2056" t="s">
        <v>102</v>
      </c>
      <c r="I2056">
        <v>6540</v>
      </c>
      <c r="J2056">
        <v>8502</v>
      </c>
      <c r="K2056">
        <v>3</v>
      </c>
      <c r="L2056">
        <v>19620</v>
      </c>
      <c r="M2056">
        <v>25506</v>
      </c>
      <c r="N2056" t="s">
        <v>35</v>
      </c>
      <c r="O2056">
        <f t="shared" si="64"/>
        <v>39780</v>
      </c>
      <c r="P2056" s="13">
        <f t="shared" si="65"/>
        <v>2559635</v>
      </c>
      <c r="Q2056" s="13">
        <f>SUMIFS(M:M,E:E,Online_eCommerce[[#This Row],[Status]])</f>
        <v>28340455</v>
      </c>
      <c r="R2056" s="13">
        <f>SUMIFS(L:L,H:H,Online_eCommerce[[#This Row],[Brand]])</f>
        <v>2465580</v>
      </c>
      <c r="S2056" s="13">
        <f>SUMIF(H:H,Online_eCommerce[[#This Row],[Brand]],M:M)</f>
        <v>3205254</v>
      </c>
      <c r="T2056" s="13">
        <f>SUMIF(N:N,Online_eCommerce[[#This Row],[Assigned Supervisor]],L:L)</f>
        <v>14373360</v>
      </c>
    </row>
    <row r="2057" spans="1:20" hidden="1" x14ac:dyDescent="0.3">
      <c r="A2057" t="s">
        <v>3154</v>
      </c>
      <c r="B2057" t="s">
        <v>235</v>
      </c>
      <c r="C2057" t="s">
        <v>205</v>
      </c>
      <c r="D2057" t="s">
        <v>3083</v>
      </c>
      <c r="E2057" t="s">
        <v>161</v>
      </c>
      <c r="F2057" t="s">
        <v>107</v>
      </c>
      <c r="G2057" t="s">
        <v>54</v>
      </c>
      <c r="H2057" t="s">
        <v>55</v>
      </c>
      <c r="I2057">
        <v>2680</v>
      </c>
      <c r="J2057">
        <v>3484</v>
      </c>
      <c r="K2057">
        <v>4</v>
      </c>
      <c r="L2057">
        <v>10720</v>
      </c>
      <c r="M2057">
        <v>13936</v>
      </c>
      <c r="N2057" t="s">
        <v>42</v>
      </c>
      <c r="O2057">
        <f t="shared" si="64"/>
        <v>2990</v>
      </c>
      <c r="P2057" s="13">
        <f t="shared" si="65"/>
        <v>1983254</v>
      </c>
      <c r="Q2057" s="13">
        <f>SUMIFS(M:M,E:E,Online_eCommerce[[#This Row],[Status]])</f>
        <v>21103186</v>
      </c>
      <c r="R2057" s="13">
        <f>SUMIFS(L:L,H:H,Online_eCommerce[[#This Row],[Brand]])</f>
        <v>2267380</v>
      </c>
      <c r="S2057" s="13">
        <f>SUMIF(H:H,Online_eCommerce[[#This Row],[Brand]],M:M)</f>
        <v>2947594</v>
      </c>
      <c r="T2057" s="13">
        <f>SUMIF(N:N,Online_eCommerce[[#This Row],[Assigned Supervisor]],L:L)</f>
        <v>12261500</v>
      </c>
    </row>
    <row r="2058" spans="1:20" x14ac:dyDescent="0.3">
      <c r="A2058" t="s">
        <v>3155</v>
      </c>
      <c r="B2058" t="s">
        <v>235</v>
      </c>
      <c r="C2058" t="s">
        <v>208</v>
      </c>
      <c r="D2058" t="s">
        <v>3083</v>
      </c>
      <c r="E2058" t="s">
        <v>46</v>
      </c>
      <c r="F2058" t="s">
        <v>112</v>
      </c>
      <c r="G2058" t="s">
        <v>71</v>
      </c>
      <c r="H2058" t="s">
        <v>21</v>
      </c>
      <c r="I2058">
        <v>8250</v>
      </c>
      <c r="J2058">
        <v>10725</v>
      </c>
      <c r="K2058">
        <v>4</v>
      </c>
      <c r="L2058">
        <v>33000</v>
      </c>
      <c r="M2058">
        <v>42900</v>
      </c>
      <c r="N2058" t="s">
        <v>50</v>
      </c>
      <c r="O2058">
        <f t="shared" si="64"/>
        <v>9750</v>
      </c>
      <c r="P2058" s="13">
        <f t="shared" si="65"/>
        <v>2746575</v>
      </c>
      <c r="Q2058" s="13">
        <f>SUMIFS(M:M,E:E,Online_eCommerce[[#This Row],[Status]])</f>
        <v>28620410</v>
      </c>
      <c r="R2058" s="13">
        <f>SUMIFS(L:L,H:H,Online_eCommerce[[#This Row],[Brand]])</f>
        <v>12435650</v>
      </c>
      <c r="S2058" s="13">
        <f>SUMIF(H:H,Online_eCommerce[[#This Row],[Brand]],M:M)</f>
        <v>16166345</v>
      </c>
      <c r="T2058" s="13">
        <f>SUMIF(N:N,Online_eCommerce[[#This Row],[Assigned Supervisor]],L:L)</f>
        <v>12100590</v>
      </c>
    </row>
    <row r="2059" spans="1:20" hidden="1" x14ac:dyDescent="0.3">
      <c r="A2059" t="s">
        <v>3156</v>
      </c>
      <c r="B2059" t="s">
        <v>235</v>
      </c>
      <c r="C2059" t="s">
        <v>211</v>
      </c>
      <c r="D2059" t="s">
        <v>3083</v>
      </c>
      <c r="E2059" t="s">
        <v>96</v>
      </c>
      <c r="F2059" t="s">
        <v>2792</v>
      </c>
      <c r="G2059" t="s">
        <v>40</v>
      </c>
      <c r="H2059" t="s">
        <v>21</v>
      </c>
      <c r="I2059">
        <v>2650</v>
      </c>
      <c r="J2059">
        <v>3445</v>
      </c>
      <c r="K2059">
        <v>2</v>
      </c>
      <c r="L2059">
        <v>5300</v>
      </c>
      <c r="M2059">
        <v>6890</v>
      </c>
      <c r="N2059" t="s">
        <v>56</v>
      </c>
      <c r="O2059">
        <f t="shared" si="64"/>
        <v>25545</v>
      </c>
      <c r="P2059" s="13">
        <f t="shared" si="65"/>
        <v>1809847</v>
      </c>
      <c r="Q2059" s="13">
        <f>SUMIFS(M:M,E:E,Online_eCommerce[[#This Row],[Status]])</f>
        <v>21233992</v>
      </c>
      <c r="R2059" s="13">
        <f>SUMIFS(L:L,H:H,Online_eCommerce[[#This Row],[Brand]])</f>
        <v>12435650</v>
      </c>
      <c r="S2059" s="13">
        <f>SUMIF(H:H,Online_eCommerce[[#This Row],[Brand]],M:M)</f>
        <v>16166345</v>
      </c>
      <c r="T2059" s="13">
        <f>SUMIF(N:N,Online_eCommerce[[#This Row],[Assigned Supervisor]],L:L)</f>
        <v>11733610</v>
      </c>
    </row>
    <row r="2060" spans="1:20" hidden="1" x14ac:dyDescent="0.3">
      <c r="A2060" t="s">
        <v>3157</v>
      </c>
      <c r="B2060" t="s">
        <v>235</v>
      </c>
      <c r="C2060" t="s">
        <v>16</v>
      </c>
      <c r="D2060" t="s">
        <v>3083</v>
      </c>
      <c r="E2060" t="s">
        <v>18</v>
      </c>
      <c r="F2060" t="s">
        <v>121</v>
      </c>
      <c r="G2060" t="s">
        <v>71</v>
      </c>
      <c r="H2060" t="s">
        <v>122</v>
      </c>
      <c r="I2060">
        <v>12550</v>
      </c>
      <c r="J2060">
        <v>16315</v>
      </c>
      <c r="K2060">
        <v>3</v>
      </c>
      <c r="L2060">
        <v>37650</v>
      </c>
      <c r="M2060">
        <v>48945</v>
      </c>
      <c r="N2060" t="s">
        <v>22</v>
      </c>
      <c r="O2060">
        <f t="shared" si="64"/>
        <v>9750</v>
      </c>
      <c r="P2060" s="13">
        <f t="shared" si="65"/>
        <v>2751814</v>
      </c>
      <c r="Q2060" s="13">
        <f>SUMIFS(M:M,E:E,Online_eCommerce[[#This Row],[Status]])</f>
        <v>28340455</v>
      </c>
      <c r="R2060" s="13">
        <f>SUMIFS(L:L,H:H,Online_eCommerce[[#This Row],[Brand]])</f>
        <v>5045100</v>
      </c>
      <c r="S2060" s="13">
        <f>SUMIF(H:H,Online_eCommerce[[#This Row],[Brand]],M:M)</f>
        <v>6558630</v>
      </c>
      <c r="T2060" s="13">
        <f>SUMIF(N:N,Online_eCommerce[[#This Row],[Assigned Supervisor]],L:L)</f>
        <v>13693220</v>
      </c>
    </row>
    <row r="2061" spans="1:20" hidden="1" x14ac:dyDescent="0.3">
      <c r="A2061" t="s">
        <v>3158</v>
      </c>
      <c r="B2061" t="s">
        <v>235</v>
      </c>
      <c r="C2061" t="s">
        <v>24</v>
      </c>
      <c r="D2061" t="s">
        <v>3083</v>
      </c>
      <c r="E2061" t="s">
        <v>161</v>
      </c>
      <c r="F2061" t="s">
        <v>126</v>
      </c>
      <c r="G2061" t="s">
        <v>26</v>
      </c>
      <c r="H2061" t="s">
        <v>27</v>
      </c>
      <c r="I2061">
        <v>14500</v>
      </c>
      <c r="J2061">
        <v>18850</v>
      </c>
      <c r="K2061">
        <v>1</v>
      </c>
      <c r="L2061">
        <v>14500</v>
      </c>
      <c r="M2061">
        <v>18850</v>
      </c>
      <c r="N2061" t="s">
        <v>28</v>
      </c>
      <c r="O2061">
        <f t="shared" si="64"/>
        <v>33150</v>
      </c>
      <c r="P2061" s="13">
        <f t="shared" si="65"/>
        <v>2009540</v>
      </c>
      <c r="Q2061" s="13">
        <f>SUMIFS(M:M,E:E,Online_eCommerce[[#This Row],[Status]])</f>
        <v>21103186</v>
      </c>
      <c r="R2061" s="13">
        <f>SUMIFS(L:L,H:H,Online_eCommerce[[#This Row],[Brand]])</f>
        <v>14431000</v>
      </c>
      <c r="S2061" s="13">
        <f>SUMIF(H:H,Online_eCommerce[[#This Row],[Brand]],M:M)</f>
        <v>18760300</v>
      </c>
      <c r="T2061" s="13">
        <f>SUMIF(N:N,Online_eCommerce[[#This Row],[Assigned Supervisor]],L:L)</f>
        <v>12220830</v>
      </c>
    </row>
    <row r="2062" spans="1:20" x14ac:dyDescent="0.3">
      <c r="A2062" t="s">
        <v>3159</v>
      </c>
      <c r="B2062" t="s">
        <v>235</v>
      </c>
      <c r="C2062" t="s">
        <v>31</v>
      </c>
      <c r="D2062" t="s">
        <v>3083</v>
      </c>
      <c r="E2062" t="s">
        <v>46</v>
      </c>
      <c r="F2062" t="s">
        <v>129</v>
      </c>
      <c r="G2062" t="s">
        <v>60</v>
      </c>
      <c r="H2062" t="s">
        <v>61</v>
      </c>
      <c r="I2062">
        <v>800</v>
      </c>
      <c r="J2062">
        <v>1040</v>
      </c>
      <c r="K2062">
        <v>3</v>
      </c>
      <c r="L2062">
        <v>2400</v>
      </c>
      <c r="M2062">
        <v>3120</v>
      </c>
      <c r="N2062" t="s">
        <v>35</v>
      </c>
      <c r="O2062">
        <f t="shared" si="64"/>
        <v>3315</v>
      </c>
      <c r="P2062" s="13">
        <f t="shared" si="65"/>
        <v>2865746</v>
      </c>
      <c r="Q2062" s="13">
        <f>SUMIFS(M:M,E:E,Online_eCommerce[[#This Row],[Status]])</f>
        <v>28620410</v>
      </c>
      <c r="R2062" s="13">
        <f>SUMIFS(L:L,H:H,Online_eCommerce[[#This Row],[Brand]])</f>
        <v>10950150</v>
      </c>
      <c r="S2062" s="13">
        <f>SUMIF(H:H,Online_eCommerce[[#This Row],[Brand]],M:M)</f>
        <v>14235195</v>
      </c>
      <c r="T2062" s="13">
        <f>SUMIF(N:N,Online_eCommerce[[#This Row],[Assigned Supervisor]],L:L)</f>
        <v>14373360</v>
      </c>
    </row>
    <row r="2063" spans="1:20" hidden="1" x14ac:dyDescent="0.3">
      <c r="A2063" t="s">
        <v>3160</v>
      </c>
      <c r="B2063" t="s">
        <v>235</v>
      </c>
      <c r="C2063" t="s">
        <v>38</v>
      </c>
      <c r="D2063" t="s">
        <v>3083</v>
      </c>
      <c r="E2063" t="s">
        <v>96</v>
      </c>
      <c r="F2063" t="s">
        <v>133</v>
      </c>
      <c r="G2063" t="s">
        <v>66</v>
      </c>
      <c r="H2063" t="s">
        <v>21</v>
      </c>
      <c r="I2063">
        <v>600</v>
      </c>
      <c r="J2063">
        <v>780</v>
      </c>
      <c r="K2063">
        <v>4</v>
      </c>
      <c r="L2063">
        <v>2400</v>
      </c>
      <c r="M2063">
        <v>3120</v>
      </c>
      <c r="N2063" t="s">
        <v>42</v>
      </c>
      <c r="O2063">
        <f t="shared" si="64"/>
        <v>1690</v>
      </c>
      <c r="P2063" s="13">
        <f t="shared" si="65"/>
        <v>1933997</v>
      </c>
      <c r="Q2063" s="13">
        <f>SUMIFS(M:M,E:E,Online_eCommerce[[#This Row],[Status]])</f>
        <v>21233992</v>
      </c>
      <c r="R2063" s="13">
        <f>SUMIFS(L:L,H:H,Online_eCommerce[[#This Row],[Brand]])</f>
        <v>12435650</v>
      </c>
      <c r="S2063" s="13">
        <f>SUMIF(H:H,Online_eCommerce[[#This Row],[Brand]],M:M)</f>
        <v>16166345</v>
      </c>
      <c r="T2063" s="13">
        <f>SUMIF(N:N,Online_eCommerce[[#This Row],[Assigned Supervisor]],L:L)</f>
        <v>12261500</v>
      </c>
    </row>
    <row r="2064" spans="1:20" hidden="1" x14ac:dyDescent="0.3">
      <c r="A2064" t="s">
        <v>3161</v>
      </c>
      <c r="B2064" t="s">
        <v>235</v>
      </c>
      <c r="C2064" t="s">
        <v>45</v>
      </c>
      <c r="D2064" t="s">
        <v>3083</v>
      </c>
      <c r="E2064" t="s">
        <v>18</v>
      </c>
      <c r="F2064" t="s">
        <v>137</v>
      </c>
      <c r="G2064" t="s">
        <v>71</v>
      </c>
      <c r="H2064" t="s">
        <v>61</v>
      </c>
      <c r="I2064">
        <v>10500</v>
      </c>
      <c r="J2064">
        <v>13650</v>
      </c>
      <c r="K2064">
        <v>2</v>
      </c>
      <c r="L2064">
        <v>21000</v>
      </c>
      <c r="M2064">
        <v>27300</v>
      </c>
      <c r="N2064" t="s">
        <v>50</v>
      </c>
      <c r="O2064">
        <f t="shared" si="64"/>
        <v>9750</v>
      </c>
      <c r="P2064" s="13">
        <f t="shared" si="65"/>
        <v>2842554</v>
      </c>
      <c r="Q2064" s="13">
        <f>SUMIFS(M:M,E:E,Online_eCommerce[[#This Row],[Status]])</f>
        <v>28340455</v>
      </c>
      <c r="R2064" s="13">
        <f>SUMIFS(L:L,H:H,Online_eCommerce[[#This Row],[Brand]])</f>
        <v>10950150</v>
      </c>
      <c r="S2064" s="13">
        <f>SUMIF(H:H,Online_eCommerce[[#This Row],[Brand]],M:M)</f>
        <v>14235195</v>
      </c>
      <c r="T2064" s="13">
        <f>SUMIF(N:N,Online_eCommerce[[#This Row],[Assigned Supervisor]],L:L)</f>
        <v>12100590</v>
      </c>
    </row>
    <row r="2065" spans="1:20" hidden="1" x14ac:dyDescent="0.3">
      <c r="A2065" t="s">
        <v>3162</v>
      </c>
      <c r="B2065" t="s">
        <v>235</v>
      </c>
      <c r="C2065" t="s">
        <v>52</v>
      </c>
      <c r="D2065" t="s">
        <v>3083</v>
      </c>
      <c r="E2065" t="s">
        <v>161</v>
      </c>
      <c r="F2065" t="s">
        <v>3133</v>
      </c>
      <c r="G2065" t="s">
        <v>77</v>
      </c>
      <c r="H2065" t="s">
        <v>142</v>
      </c>
      <c r="I2065">
        <v>6500</v>
      </c>
      <c r="J2065">
        <v>8450</v>
      </c>
      <c r="K2065">
        <v>2</v>
      </c>
      <c r="L2065">
        <v>13000</v>
      </c>
      <c r="M2065">
        <v>16900</v>
      </c>
      <c r="N2065" t="s">
        <v>56</v>
      </c>
      <c r="O2065">
        <f t="shared" si="64"/>
        <v>39000</v>
      </c>
      <c r="P2065" s="13">
        <f t="shared" si="65"/>
        <v>1955044</v>
      </c>
      <c r="Q2065" s="13">
        <f>SUMIFS(M:M,E:E,Online_eCommerce[[#This Row],[Status]])</f>
        <v>21103186</v>
      </c>
      <c r="R2065" s="13">
        <f>SUMIFS(L:L,H:H,Online_eCommerce[[#This Row],[Brand]])</f>
        <v>6192500</v>
      </c>
      <c r="S2065" s="13">
        <f>SUMIF(H:H,Online_eCommerce[[#This Row],[Brand]],M:M)</f>
        <v>8050250</v>
      </c>
      <c r="T2065" s="13">
        <f>SUMIF(N:N,Online_eCommerce[[#This Row],[Assigned Supervisor]],L:L)</f>
        <v>11733610</v>
      </c>
    </row>
    <row r="2066" spans="1:20" x14ac:dyDescent="0.3">
      <c r="A2066" t="s">
        <v>3163</v>
      </c>
      <c r="B2066" t="s">
        <v>235</v>
      </c>
      <c r="C2066" t="s">
        <v>58</v>
      </c>
      <c r="D2066" t="s">
        <v>3083</v>
      </c>
      <c r="E2066" t="s">
        <v>46</v>
      </c>
      <c r="F2066" t="s">
        <v>3164</v>
      </c>
      <c r="G2066" t="s">
        <v>20</v>
      </c>
      <c r="H2066" t="s">
        <v>21</v>
      </c>
      <c r="I2066">
        <v>4500</v>
      </c>
      <c r="J2066">
        <v>5850</v>
      </c>
      <c r="K2066">
        <v>1</v>
      </c>
      <c r="L2066">
        <v>4500</v>
      </c>
      <c r="M2066">
        <v>5850</v>
      </c>
      <c r="N2066" t="s">
        <v>22</v>
      </c>
      <c r="O2066">
        <f t="shared" si="64"/>
        <v>8450</v>
      </c>
      <c r="P2066" s="13">
        <f t="shared" si="65"/>
        <v>2629211</v>
      </c>
      <c r="Q2066" s="13">
        <f>SUMIFS(M:M,E:E,Online_eCommerce[[#This Row],[Status]])</f>
        <v>28620410</v>
      </c>
      <c r="R2066" s="13">
        <f>SUMIFS(L:L,H:H,Online_eCommerce[[#This Row],[Brand]])</f>
        <v>12435650</v>
      </c>
      <c r="S2066" s="13">
        <f>SUMIF(H:H,Online_eCommerce[[#This Row],[Brand]],M:M)</f>
        <v>16166345</v>
      </c>
      <c r="T2066" s="13">
        <f>SUMIF(N:N,Online_eCommerce[[#This Row],[Assigned Supervisor]],L:L)</f>
        <v>13693220</v>
      </c>
    </row>
    <row r="2067" spans="1:20" hidden="1" x14ac:dyDescent="0.3">
      <c r="A2067" t="s">
        <v>3165</v>
      </c>
      <c r="B2067" t="s">
        <v>235</v>
      </c>
      <c r="C2067" t="s">
        <v>63</v>
      </c>
      <c r="D2067" t="s">
        <v>3083</v>
      </c>
      <c r="E2067" t="s">
        <v>96</v>
      </c>
      <c r="F2067" t="s">
        <v>152</v>
      </c>
      <c r="G2067" t="s">
        <v>26</v>
      </c>
      <c r="H2067" t="s">
        <v>27</v>
      </c>
      <c r="I2067">
        <v>8500</v>
      </c>
      <c r="J2067">
        <v>11050</v>
      </c>
      <c r="K2067">
        <v>4</v>
      </c>
      <c r="L2067">
        <v>34000</v>
      </c>
      <c r="M2067">
        <v>44200</v>
      </c>
      <c r="N2067" t="s">
        <v>28</v>
      </c>
      <c r="O2067">
        <f t="shared" si="64"/>
        <v>33150</v>
      </c>
      <c r="P2067" s="13">
        <f t="shared" si="65"/>
        <v>2016131</v>
      </c>
      <c r="Q2067" s="13">
        <f>SUMIFS(M:M,E:E,Online_eCommerce[[#This Row],[Status]])</f>
        <v>21233992</v>
      </c>
      <c r="R2067" s="13">
        <f>SUMIFS(L:L,H:H,Online_eCommerce[[#This Row],[Brand]])</f>
        <v>14431000</v>
      </c>
      <c r="S2067" s="13">
        <f>SUMIF(H:H,Online_eCommerce[[#This Row],[Brand]],M:M)</f>
        <v>18760300</v>
      </c>
      <c r="T2067" s="13">
        <f>SUMIF(N:N,Online_eCommerce[[#This Row],[Assigned Supervisor]],L:L)</f>
        <v>12220830</v>
      </c>
    </row>
    <row r="2068" spans="1:20" hidden="1" x14ac:dyDescent="0.3">
      <c r="A2068" t="s">
        <v>3166</v>
      </c>
      <c r="B2068" t="s">
        <v>235</v>
      </c>
      <c r="C2068" t="s">
        <v>68</v>
      </c>
      <c r="D2068" t="s">
        <v>3083</v>
      </c>
      <c r="E2068" t="s">
        <v>18</v>
      </c>
      <c r="F2068" t="s">
        <v>157</v>
      </c>
      <c r="G2068" t="s">
        <v>33</v>
      </c>
      <c r="H2068" t="s">
        <v>34</v>
      </c>
      <c r="I2068">
        <v>12500</v>
      </c>
      <c r="J2068">
        <v>16250</v>
      </c>
      <c r="K2068">
        <v>4</v>
      </c>
      <c r="L2068">
        <v>50000</v>
      </c>
      <c r="M2068">
        <v>65000</v>
      </c>
      <c r="N2068" t="s">
        <v>35</v>
      </c>
      <c r="O2068">
        <f t="shared" si="64"/>
        <v>18200</v>
      </c>
      <c r="P2068" s="13">
        <f t="shared" si="65"/>
        <v>2974621</v>
      </c>
      <c r="Q2068" s="13">
        <f>SUMIFS(M:M,E:E,Online_eCommerce[[#This Row],[Status]])</f>
        <v>28340455</v>
      </c>
      <c r="R2068" s="13">
        <f>SUMIFS(L:L,H:H,Online_eCommerce[[#This Row],[Brand]])</f>
        <v>10087000</v>
      </c>
      <c r="S2068" s="13">
        <f>SUMIF(H:H,Online_eCommerce[[#This Row],[Brand]],M:M)</f>
        <v>13113100</v>
      </c>
      <c r="T2068" s="13">
        <f>SUMIF(N:N,Online_eCommerce[[#This Row],[Assigned Supervisor]],L:L)</f>
        <v>14373360</v>
      </c>
    </row>
    <row r="2069" spans="1:20" hidden="1" x14ac:dyDescent="0.3">
      <c r="A2069" t="s">
        <v>3167</v>
      </c>
      <c r="B2069" t="s">
        <v>235</v>
      </c>
      <c r="C2069" t="s">
        <v>74</v>
      </c>
      <c r="D2069" t="s">
        <v>3083</v>
      </c>
      <c r="E2069" t="s">
        <v>161</v>
      </c>
      <c r="F2069" t="s">
        <v>2842</v>
      </c>
      <c r="G2069" t="s">
        <v>163</v>
      </c>
      <c r="H2069" t="s">
        <v>41</v>
      </c>
      <c r="I2069">
        <v>3500</v>
      </c>
      <c r="J2069">
        <v>4550</v>
      </c>
      <c r="K2069">
        <v>2</v>
      </c>
      <c r="L2069">
        <v>7000</v>
      </c>
      <c r="M2069">
        <v>9100</v>
      </c>
      <c r="N2069" t="s">
        <v>42</v>
      </c>
      <c r="O2069">
        <f t="shared" si="64"/>
        <v>13650</v>
      </c>
      <c r="P2069" s="13">
        <f t="shared" si="65"/>
        <v>2144701</v>
      </c>
      <c r="Q2069" s="13">
        <f>SUMIFS(M:M,E:E,Online_eCommerce[[#This Row],[Status]])</f>
        <v>21103186</v>
      </c>
      <c r="R2069" s="13">
        <f>SUMIFS(L:L,H:H,Online_eCommerce[[#This Row],[Brand]])</f>
        <v>4260400</v>
      </c>
      <c r="S2069" s="13">
        <f>SUMIF(H:H,Online_eCommerce[[#This Row],[Brand]],M:M)</f>
        <v>5538520</v>
      </c>
      <c r="T2069" s="13">
        <f>SUMIF(N:N,Online_eCommerce[[#This Row],[Assigned Supervisor]],L:L)</f>
        <v>12261500</v>
      </c>
    </row>
    <row r="2070" spans="1:20" x14ac:dyDescent="0.3">
      <c r="A2070" t="s">
        <v>3168</v>
      </c>
      <c r="B2070" t="s">
        <v>235</v>
      </c>
      <c r="C2070" t="s">
        <v>81</v>
      </c>
      <c r="D2070" t="s">
        <v>3083</v>
      </c>
      <c r="E2070" t="s">
        <v>46</v>
      </c>
      <c r="F2070" t="s">
        <v>166</v>
      </c>
      <c r="G2070" t="s">
        <v>66</v>
      </c>
      <c r="H2070" t="s">
        <v>49</v>
      </c>
      <c r="I2070">
        <v>4500</v>
      </c>
      <c r="J2070">
        <v>5850</v>
      </c>
      <c r="K2070">
        <v>3</v>
      </c>
      <c r="L2070">
        <v>13500</v>
      </c>
      <c r="M2070">
        <v>17550</v>
      </c>
      <c r="N2070" t="s">
        <v>50</v>
      </c>
      <c r="O2070">
        <f t="shared" si="64"/>
        <v>1690</v>
      </c>
      <c r="P2070" s="13">
        <f t="shared" si="65"/>
        <v>2595632</v>
      </c>
      <c r="Q2070" s="13">
        <f>SUMIFS(M:M,E:E,Online_eCommerce[[#This Row],[Status]])</f>
        <v>28620410</v>
      </c>
      <c r="R2070" s="13">
        <f>SUMIFS(L:L,H:H,Online_eCommerce[[#This Row],[Brand]])</f>
        <v>4528350</v>
      </c>
      <c r="S2070" s="13">
        <f>SUMIF(H:H,Online_eCommerce[[#This Row],[Brand]],M:M)</f>
        <v>5886855</v>
      </c>
      <c r="T2070" s="13">
        <f>SUMIF(N:N,Online_eCommerce[[#This Row],[Assigned Supervisor]],L:L)</f>
        <v>12100590</v>
      </c>
    </row>
    <row r="2071" spans="1:20" hidden="1" x14ac:dyDescent="0.3">
      <c r="A2071" t="s">
        <v>3169</v>
      </c>
      <c r="B2071" t="s">
        <v>235</v>
      </c>
      <c r="C2071" t="s">
        <v>86</v>
      </c>
      <c r="D2071" t="s">
        <v>3083</v>
      </c>
      <c r="E2071" t="s">
        <v>96</v>
      </c>
      <c r="F2071" t="s">
        <v>3170</v>
      </c>
      <c r="G2071" t="s">
        <v>54</v>
      </c>
      <c r="H2071" t="s">
        <v>55</v>
      </c>
      <c r="I2071">
        <v>2100</v>
      </c>
      <c r="J2071">
        <v>2730</v>
      </c>
      <c r="K2071">
        <v>4</v>
      </c>
      <c r="L2071">
        <v>8400</v>
      </c>
      <c r="M2071">
        <v>10920</v>
      </c>
      <c r="N2071" t="s">
        <v>56</v>
      </c>
      <c r="O2071">
        <f t="shared" si="64"/>
        <v>2990</v>
      </c>
      <c r="P2071" s="13">
        <f t="shared" si="65"/>
        <v>1941225</v>
      </c>
      <c r="Q2071" s="13">
        <f>SUMIFS(M:M,E:E,Online_eCommerce[[#This Row],[Status]])</f>
        <v>21233992</v>
      </c>
      <c r="R2071" s="13">
        <f>SUMIFS(L:L,H:H,Online_eCommerce[[#This Row],[Brand]])</f>
        <v>2267380</v>
      </c>
      <c r="S2071" s="13">
        <f>SUMIF(H:H,Online_eCommerce[[#This Row],[Brand]],M:M)</f>
        <v>2947594</v>
      </c>
      <c r="T2071" s="13">
        <f>SUMIF(N:N,Online_eCommerce[[#This Row],[Assigned Supervisor]],L:L)</f>
        <v>11733610</v>
      </c>
    </row>
    <row r="2072" spans="1:20" hidden="1" x14ac:dyDescent="0.3">
      <c r="A2072" t="s">
        <v>3171</v>
      </c>
      <c r="B2072" t="s">
        <v>235</v>
      </c>
      <c r="C2072" t="s">
        <v>91</v>
      </c>
      <c r="D2072" t="s">
        <v>3083</v>
      </c>
      <c r="E2072" t="s">
        <v>18</v>
      </c>
      <c r="F2072" t="s">
        <v>174</v>
      </c>
      <c r="G2072" t="s">
        <v>60</v>
      </c>
      <c r="H2072" t="s">
        <v>61</v>
      </c>
      <c r="I2072">
        <v>1150</v>
      </c>
      <c r="J2072">
        <v>1495</v>
      </c>
      <c r="K2072">
        <v>3</v>
      </c>
      <c r="L2072">
        <v>3450</v>
      </c>
      <c r="M2072">
        <v>4485</v>
      </c>
      <c r="N2072" t="s">
        <v>22</v>
      </c>
      <c r="O2072">
        <f t="shared" si="64"/>
        <v>3315</v>
      </c>
      <c r="P2072" s="13">
        <f t="shared" si="65"/>
        <v>2731963</v>
      </c>
      <c r="Q2072" s="13">
        <f>SUMIFS(M:M,E:E,Online_eCommerce[[#This Row],[Status]])</f>
        <v>28340455</v>
      </c>
      <c r="R2072" s="13">
        <f>SUMIFS(L:L,H:H,Online_eCommerce[[#This Row],[Brand]])</f>
        <v>10950150</v>
      </c>
      <c r="S2072" s="13">
        <f>SUMIF(H:H,Online_eCommerce[[#This Row],[Brand]],M:M)</f>
        <v>14235195</v>
      </c>
      <c r="T2072" s="13">
        <f>SUMIF(N:N,Online_eCommerce[[#This Row],[Assigned Supervisor]],L:L)</f>
        <v>13693220</v>
      </c>
    </row>
    <row r="2073" spans="1:20" hidden="1" x14ac:dyDescent="0.3">
      <c r="A2073" t="s">
        <v>3172</v>
      </c>
      <c r="B2073" t="s">
        <v>235</v>
      </c>
      <c r="C2073" t="s">
        <v>94</v>
      </c>
      <c r="D2073" t="s">
        <v>3083</v>
      </c>
      <c r="E2073" t="s">
        <v>161</v>
      </c>
      <c r="F2073" t="s">
        <v>179</v>
      </c>
      <c r="G2073" t="s">
        <v>66</v>
      </c>
      <c r="H2073" t="s">
        <v>21</v>
      </c>
      <c r="I2073">
        <v>350</v>
      </c>
      <c r="J2073">
        <v>455</v>
      </c>
      <c r="K2073">
        <v>1</v>
      </c>
      <c r="L2073">
        <v>350</v>
      </c>
      <c r="M2073">
        <v>455</v>
      </c>
      <c r="N2073" t="s">
        <v>28</v>
      </c>
      <c r="O2073">
        <f t="shared" si="64"/>
        <v>1690</v>
      </c>
      <c r="P2073" s="13">
        <f t="shared" si="65"/>
        <v>1868256</v>
      </c>
      <c r="Q2073" s="13">
        <f>SUMIFS(M:M,E:E,Online_eCommerce[[#This Row],[Status]])</f>
        <v>21103186</v>
      </c>
      <c r="R2073" s="13">
        <f>SUMIFS(L:L,H:H,Online_eCommerce[[#This Row],[Brand]])</f>
        <v>12435650</v>
      </c>
      <c r="S2073" s="13">
        <f>SUMIF(H:H,Online_eCommerce[[#This Row],[Brand]],M:M)</f>
        <v>16166345</v>
      </c>
      <c r="T2073" s="13">
        <f>SUMIF(N:N,Online_eCommerce[[#This Row],[Assigned Supervisor]],L:L)</f>
        <v>12220830</v>
      </c>
    </row>
    <row r="2074" spans="1:20" x14ac:dyDescent="0.3">
      <c r="A2074" t="s">
        <v>3173</v>
      </c>
      <c r="B2074" t="s">
        <v>235</v>
      </c>
      <c r="C2074" t="s">
        <v>99</v>
      </c>
      <c r="D2074" t="s">
        <v>3083</v>
      </c>
      <c r="E2074" t="s">
        <v>46</v>
      </c>
      <c r="F2074" t="s">
        <v>183</v>
      </c>
      <c r="G2074" t="s">
        <v>71</v>
      </c>
      <c r="H2074" t="s">
        <v>61</v>
      </c>
      <c r="I2074">
        <v>9500</v>
      </c>
      <c r="J2074">
        <v>12350</v>
      </c>
      <c r="K2074">
        <v>2</v>
      </c>
      <c r="L2074">
        <v>19000</v>
      </c>
      <c r="M2074">
        <v>24700</v>
      </c>
      <c r="N2074" t="s">
        <v>35</v>
      </c>
      <c r="O2074">
        <f t="shared" si="64"/>
        <v>9750</v>
      </c>
      <c r="P2074" s="13">
        <f t="shared" si="65"/>
        <v>2651233</v>
      </c>
      <c r="Q2074" s="13">
        <f>SUMIFS(M:M,E:E,Online_eCommerce[[#This Row],[Status]])</f>
        <v>28620410</v>
      </c>
      <c r="R2074" s="13">
        <f>SUMIFS(L:L,H:H,Online_eCommerce[[#This Row],[Brand]])</f>
        <v>10950150</v>
      </c>
      <c r="S2074" s="13">
        <f>SUMIF(H:H,Online_eCommerce[[#This Row],[Brand]],M:M)</f>
        <v>14235195</v>
      </c>
      <c r="T2074" s="13">
        <f>SUMIF(N:N,Online_eCommerce[[#This Row],[Assigned Supervisor]],L:L)</f>
        <v>14373360</v>
      </c>
    </row>
    <row r="2075" spans="1:20" hidden="1" x14ac:dyDescent="0.3">
      <c r="A2075" t="s">
        <v>3174</v>
      </c>
      <c r="B2075" t="s">
        <v>235</v>
      </c>
      <c r="C2075" t="s">
        <v>105</v>
      </c>
      <c r="D2075" t="s">
        <v>3083</v>
      </c>
      <c r="E2075" t="s">
        <v>96</v>
      </c>
      <c r="F2075" t="s">
        <v>3175</v>
      </c>
      <c r="G2075" t="s">
        <v>77</v>
      </c>
      <c r="H2075" t="s">
        <v>142</v>
      </c>
      <c r="I2075">
        <v>10000</v>
      </c>
      <c r="J2075">
        <v>13000</v>
      </c>
      <c r="K2075">
        <v>2</v>
      </c>
      <c r="L2075">
        <v>20000</v>
      </c>
      <c r="M2075">
        <v>26000</v>
      </c>
      <c r="N2075" t="s">
        <v>42</v>
      </c>
      <c r="O2075">
        <f t="shared" si="64"/>
        <v>39000</v>
      </c>
      <c r="P2075" s="13">
        <f t="shared" si="65"/>
        <v>1866852</v>
      </c>
      <c r="Q2075" s="13">
        <f>SUMIFS(M:M,E:E,Online_eCommerce[[#This Row],[Status]])</f>
        <v>21233992</v>
      </c>
      <c r="R2075" s="13">
        <f>SUMIFS(L:L,H:H,Online_eCommerce[[#This Row],[Brand]])</f>
        <v>6192500</v>
      </c>
      <c r="S2075" s="13">
        <f>SUMIF(H:H,Online_eCommerce[[#This Row],[Brand]],M:M)</f>
        <v>8050250</v>
      </c>
      <c r="T2075" s="13">
        <f>SUMIF(N:N,Online_eCommerce[[#This Row],[Assigned Supervisor]],L:L)</f>
        <v>12261500</v>
      </c>
    </row>
    <row r="2076" spans="1:20" hidden="1" x14ac:dyDescent="0.3">
      <c r="A2076" t="s">
        <v>3176</v>
      </c>
      <c r="B2076" t="s">
        <v>235</v>
      </c>
      <c r="C2076" t="s">
        <v>110</v>
      </c>
      <c r="D2076" t="s">
        <v>3083</v>
      </c>
      <c r="E2076" t="s">
        <v>18</v>
      </c>
      <c r="F2076" t="s">
        <v>3177</v>
      </c>
      <c r="G2076" t="s">
        <v>20</v>
      </c>
      <c r="H2076" t="s">
        <v>21</v>
      </c>
      <c r="I2076">
        <v>6500</v>
      </c>
      <c r="J2076">
        <v>8450</v>
      </c>
      <c r="K2076">
        <v>4</v>
      </c>
      <c r="L2076">
        <v>26000</v>
      </c>
      <c r="M2076">
        <v>33800</v>
      </c>
      <c r="N2076" t="s">
        <v>50</v>
      </c>
      <c r="O2076">
        <f t="shared" si="64"/>
        <v>8450</v>
      </c>
      <c r="P2076" s="13">
        <f t="shared" si="65"/>
        <v>2598635</v>
      </c>
      <c r="Q2076" s="13">
        <f>SUMIFS(M:M,E:E,Online_eCommerce[[#This Row],[Status]])</f>
        <v>28340455</v>
      </c>
      <c r="R2076" s="13">
        <f>SUMIFS(L:L,H:H,Online_eCommerce[[#This Row],[Brand]])</f>
        <v>12435650</v>
      </c>
      <c r="S2076" s="13">
        <f>SUMIF(H:H,Online_eCommerce[[#This Row],[Brand]],M:M)</f>
        <v>16166345</v>
      </c>
      <c r="T2076" s="13">
        <f>SUMIF(N:N,Online_eCommerce[[#This Row],[Assigned Supervisor]],L:L)</f>
        <v>12100590</v>
      </c>
    </row>
    <row r="2077" spans="1:20" hidden="1" x14ac:dyDescent="0.3">
      <c r="A2077" t="s">
        <v>3178</v>
      </c>
      <c r="B2077" t="s">
        <v>235</v>
      </c>
      <c r="C2077" t="s">
        <v>115</v>
      </c>
      <c r="D2077" t="s">
        <v>3083</v>
      </c>
      <c r="E2077" t="s">
        <v>161</v>
      </c>
      <c r="F2077" t="s">
        <v>3179</v>
      </c>
      <c r="G2077" t="s">
        <v>26</v>
      </c>
      <c r="H2077" t="s">
        <v>27</v>
      </c>
      <c r="I2077">
        <v>8500</v>
      </c>
      <c r="J2077">
        <v>11050</v>
      </c>
      <c r="K2077">
        <v>3</v>
      </c>
      <c r="L2077">
        <v>25500</v>
      </c>
      <c r="M2077">
        <v>33150</v>
      </c>
      <c r="N2077" t="s">
        <v>56</v>
      </c>
      <c r="O2077">
        <f t="shared" si="64"/>
        <v>33150</v>
      </c>
      <c r="P2077" s="13">
        <f t="shared" si="65"/>
        <v>2050178</v>
      </c>
      <c r="Q2077" s="13">
        <f>SUMIFS(M:M,E:E,Online_eCommerce[[#This Row],[Status]])</f>
        <v>21103186</v>
      </c>
      <c r="R2077" s="13">
        <f>SUMIFS(L:L,H:H,Online_eCommerce[[#This Row],[Brand]])</f>
        <v>14431000</v>
      </c>
      <c r="S2077" s="13">
        <f>SUMIF(H:H,Online_eCommerce[[#This Row],[Brand]],M:M)</f>
        <v>18760300</v>
      </c>
      <c r="T2077" s="13">
        <f>SUMIF(N:N,Online_eCommerce[[#This Row],[Assigned Supervisor]],L:L)</f>
        <v>11733610</v>
      </c>
    </row>
    <row r="2078" spans="1:20" x14ac:dyDescent="0.3">
      <c r="A2078" t="s">
        <v>3180</v>
      </c>
      <c r="B2078" t="s">
        <v>235</v>
      </c>
      <c r="C2078" t="s">
        <v>120</v>
      </c>
      <c r="D2078" t="s">
        <v>3083</v>
      </c>
      <c r="E2078" t="s">
        <v>46</v>
      </c>
      <c r="F2078" t="s">
        <v>32</v>
      </c>
      <c r="G2078" t="s">
        <v>33</v>
      </c>
      <c r="H2078" t="s">
        <v>34</v>
      </c>
      <c r="I2078">
        <v>7000</v>
      </c>
      <c r="J2078">
        <v>9100</v>
      </c>
      <c r="K2078">
        <v>4</v>
      </c>
      <c r="L2078">
        <v>28000</v>
      </c>
      <c r="M2078">
        <v>36400</v>
      </c>
      <c r="N2078" t="s">
        <v>22</v>
      </c>
      <c r="O2078">
        <f t="shared" si="64"/>
        <v>18200</v>
      </c>
      <c r="P2078" s="13">
        <f t="shared" si="65"/>
        <v>2734212</v>
      </c>
      <c r="Q2078" s="13">
        <f>SUMIFS(M:M,E:E,Online_eCommerce[[#This Row],[Status]])</f>
        <v>28620410</v>
      </c>
      <c r="R2078" s="13">
        <f>SUMIFS(L:L,H:H,Online_eCommerce[[#This Row],[Brand]])</f>
        <v>10087000</v>
      </c>
      <c r="S2078" s="13">
        <f>SUMIF(H:H,Online_eCommerce[[#This Row],[Brand]],M:M)</f>
        <v>13113100</v>
      </c>
      <c r="T2078" s="13">
        <f>SUMIF(N:N,Online_eCommerce[[#This Row],[Assigned Supervisor]],L:L)</f>
        <v>13693220</v>
      </c>
    </row>
    <row r="2079" spans="1:20" hidden="1" x14ac:dyDescent="0.3">
      <c r="A2079" t="s">
        <v>3181</v>
      </c>
      <c r="B2079" t="s">
        <v>235</v>
      </c>
      <c r="C2079" t="s">
        <v>125</v>
      </c>
      <c r="D2079" t="s">
        <v>3083</v>
      </c>
      <c r="E2079" t="s">
        <v>96</v>
      </c>
      <c r="F2079" t="s">
        <v>3182</v>
      </c>
      <c r="G2079" t="s">
        <v>163</v>
      </c>
      <c r="H2079" t="s">
        <v>41</v>
      </c>
      <c r="I2079">
        <v>6550</v>
      </c>
      <c r="J2079">
        <v>8515</v>
      </c>
      <c r="K2079">
        <v>2</v>
      </c>
      <c r="L2079">
        <v>13100</v>
      </c>
      <c r="M2079">
        <v>17030</v>
      </c>
      <c r="N2079" t="s">
        <v>28</v>
      </c>
      <c r="O2079">
        <f t="shared" si="64"/>
        <v>13650</v>
      </c>
      <c r="P2079" s="13">
        <f t="shared" si="65"/>
        <v>2091154</v>
      </c>
      <c r="Q2079" s="13">
        <f>SUMIFS(M:M,E:E,Online_eCommerce[[#This Row],[Status]])</f>
        <v>21233992</v>
      </c>
      <c r="R2079" s="13">
        <f>SUMIFS(L:L,H:H,Online_eCommerce[[#This Row],[Brand]])</f>
        <v>4260400</v>
      </c>
      <c r="S2079" s="13">
        <f>SUMIF(H:H,Online_eCommerce[[#This Row],[Brand]],M:M)</f>
        <v>5538520</v>
      </c>
      <c r="T2079" s="13">
        <f>SUMIF(N:N,Online_eCommerce[[#This Row],[Assigned Supervisor]],L:L)</f>
        <v>12220830</v>
      </c>
    </row>
    <row r="2080" spans="1:20" hidden="1" x14ac:dyDescent="0.3">
      <c r="A2080" t="s">
        <v>3183</v>
      </c>
      <c r="B2080" t="s">
        <v>235</v>
      </c>
      <c r="C2080" t="s">
        <v>22</v>
      </c>
      <c r="D2080" t="s">
        <v>3083</v>
      </c>
      <c r="E2080" t="s">
        <v>18</v>
      </c>
      <c r="F2080" t="s">
        <v>47</v>
      </c>
      <c r="G2080" t="s">
        <v>66</v>
      </c>
      <c r="H2080" t="s">
        <v>49</v>
      </c>
      <c r="I2080">
        <v>7650</v>
      </c>
      <c r="J2080">
        <v>9945</v>
      </c>
      <c r="K2080">
        <v>3</v>
      </c>
      <c r="L2080">
        <v>22950</v>
      </c>
      <c r="M2080">
        <v>29835</v>
      </c>
      <c r="N2080" t="s">
        <v>35</v>
      </c>
      <c r="O2080">
        <f t="shared" si="64"/>
        <v>1690</v>
      </c>
      <c r="P2080" s="13">
        <f t="shared" si="65"/>
        <v>2551588</v>
      </c>
      <c r="Q2080" s="13">
        <f>SUMIFS(M:M,E:E,Online_eCommerce[[#This Row],[Status]])</f>
        <v>28340455</v>
      </c>
      <c r="R2080" s="13">
        <f>SUMIFS(L:L,H:H,Online_eCommerce[[#This Row],[Brand]])</f>
        <v>4528350</v>
      </c>
      <c r="S2080" s="13">
        <f>SUMIF(H:H,Online_eCommerce[[#This Row],[Brand]],M:M)</f>
        <v>5886855</v>
      </c>
      <c r="T2080" s="13">
        <f>SUMIF(N:N,Online_eCommerce[[#This Row],[Assigned Supervisor]],L:L)</f>
        <v>14373360</v>
      </c>
    </row>
    <row r="2081" spans="1:20" hidden="1" x14ac:dyDescent="0.3">
      <c r="A2081" t="s">
        <v>3184</v>
      </c>
      <c r="B2081" t="s">
        <v>235</v>
      </c>
      <c r="C2081" t="s">
        <v>132</v>
      </c>
      <c r="D2081" t="s">
        <v>3083</v>
      </c>
      <c r="E2081" t="s">
        <v>161</v>
      </c>
      <c r="F2081" t="s">
        <v>53</v>
      </c>
      <c r="G2081" t="s">
        <v>54</v>
      </c>
      <c r="H2081" t="s">
        <v>55</v>
      </c>
      <c r="I2081">
        <v>1150</v>
      </c>
      <c r="J2081">
        <v>1495</v>
      </c>
      <c r="K2081">
        <v>4</v>
      </c>
      <c r="L2081">
        <v>4600</v>
      </c>
      <c r="M2081">
        <v>5980</v>
      </c>
      <c r="N2081" t="s">
        <v>42</v>
      </c>
      <c r="O2081">
        <f t="shared" si="64"/>
        <v>2990</v>
      </c>
      <c r="P2081" s="13">
        <f t="shared" si="65"/>
        <v>1989065</v>
      </c>
      <c r="Q2081" s="13">
        <f>SUMIFS(M:M,E:E,Online_eCommerce[[#This Row],[Status]])</f>
        <v>21103186</v>
      </c>
      <c r="R2081" s="13">
        <f>SUMIFS(L:L,H:H,Online_eCommerce[[#This Row],[Brand]])</f>
        <v>2267380</v>
      </c>
      <c r="S2081" s="13">
        <f>SUMIF(H:H,Online_eCommerce[[#This Row],[Brand]],M:M)</f>
        <v>2947594</v>
      </c>
      <c r="T2081" s="13">
        <f>SUMIF(N:N,Online_eCommerce[[#This Row],[Assigned Supervisor]],L:L)</f>
        <v>12261500</v>
      </c>
    </row>
    <row r="2082" spans="1:20" x14ac:dyDescent="0.3">
      <c r="A2082" t="s">
        <v>3185</v>
      </c>
      <c r="B2082" t="s">
        <v>235</v>
      </c>
      <c r="C2082" t="s">
        <v>136</v>
      </c>
      <c r="D2082" t="s">
        <v>3083</v>
      </c>
      <c r="E2082" t="s">
        <v>46</v>
      </c>
      <c r="F2082" t="s">
        <v>59</v>
      </c>
      <c r="G2082" t="s">
        <v>60</v>
      </c>
      <c r="H2082" t="s">
        <v>61</v>
      </c>
      <c r="I2082">
        <v>850</v>
      </c>
      <c r="J2082">
        <v>1105</v>
      </c>
      <c r="K2082">
        <v>2</v>
      </c>
      <c r="L2082">
        <v>1700</v>
      </c>
      <c r="M2082">
        <v>2210</v>
      </c>
      <c r="N2082" t="s">
        <v>50</v>
      </c>
      <c r="O2082">
        <f t="shared" si="64"/>
        <v>3315</v>
      </c>
      <c r="P2082" s="13">
        <f t="shared" si="65"/>
        <v>2775162</v>
      </c>
      <c r="Q2082" s="13">
        <f>SUMIFS(M:M,E:E,Online_eCommerce[[#This Row],[Status]])</f>
        <v>28620410</v>
      </c>
      <c r="R2082" s="13">
        <f>SUMIFS(L:L,H:H,Online_eCommerce[[#This Row],[Brand]])</f>
        <v>10950150</v>
      </c>
      <c r="S2082" s="13">
        <f>SUMIF(H:H,Online_eCommerce[[#This Row],[Brand]],M:M)</f>
        <v>14235195</v>
      </c>
      <c r="T2082" s="13">
        <f>SUMIF(N:N,Online_eCommerce[[#This Row],[Assigned Supervisor]],L:L)</f>
        <v>12100590</v>
      </c>
    </row>
    <row r="2083" spans="1:20" hidden="1" x14ac:dyDescent="0.3">
      <c r="A2083" t="s">
        <v>3186</v>
      </c>
      <c r="B2083" t="s">
        <v>235</v>
      </c>
      <c r="C2083" t="s">
        <v>140</v>
      </c>
      <c r="D2083" t="s">
        <v>3083</v>
      </c>
      <c r="E2083" t="s">
        <v>96</v>
      </c>
      <c r="F2083" t="s">
        <v>65</v>
      </c>
      <c r="G2083" t="s">
        <v>66</v>
      </c>
      <c r="H2083" t="s">
        <v>21</v>
      </c>
      <c r="I2083">
        <v>650</v>
      </c>
      <c r="J2083">
        <v>845</v>
      </c>
      <c r="K2083">
        <v>4</v>
      </c>
      <c r="L2083">
        <v>2600</v>
      </c>
      <c r="M2083">
        <v>3380</v>
      </c>
      <c r="N2083" t="s">
        <v>56</v>
      </c>
      <c r="O2083">
        <f t="shared" si="64"/>
        <v>1690</v>
      </c>
      <c r="P2083" s="13">
        <f t="shared" si="65"/>
        <v>2058264</v>
      </c>
      <c r="Q2083" s="13">
        <f>SUMIFS(M:M,E:E,Online_eCommerce[[#This Row],[Status]])</f>
        <v>21233992</v>
      </c>
      <c r="R2083" s="13">
        <f>SUMIFS(L:L,H:H,Online_eCommerce[[#This Row],[Brand]])</f>
        <v>12435650</v>
      </c>
      <c r="S2083" s="13">
        <f>SUMIF(H:H,Online_eCommerce[[#This Row],[Brand]],M:M)</f>
        <v>16166345</v>
      </c>
      <c r="T2083" s="13">
        <f>SUMIF(N:N,Online_eCommerce[[#This Row],[Assigned Supervisor]],L:L)</f>
        <v>11733610</v>
      </c>
    </row>
    <row r="2084" spans="1:20" hidden="1" x14ac:dyDescent="0.3">
      <c r="A2084" t="s">
        <v>3187</v>
      </c>
      <c r="B2084" t="s">
        <v>235</v>
      </c>
      <c r="C2084" t="s">
        <v>145</v>
      </c>
      <c r="D2084" t="s">
        <v>3083</v>
      </c>
      <c r="E2084" t="s">
        <v>18</v>
      </c>
      <c r="F2084" t="s">
        <v>70</v>
      </c>
      <c r="G2084" t="s">
        <v>71</v>
      </c>
      <c r="H2084" t="s">
        <v>61</v>
      </c>
      <c r="I2084">
        <v>7500</v>
      </c>
      <c r="J2084">
        <v>9750</v>
      </c>
      <c r="K2084">
        <v>1</v>
      </c>
      <c r="L2084">
        <v>7500</v>
      </c>
      <c r="M2084">
        <v>9750</v>
      </c>
      <c r="N2084" t="s">
        <v>22</v>
      </c>
      <c r="O2084">
        <f t="shared" si="64"/>
        <v>9750</v>
      </c>
      <c r="P2084" s="13">
        <f t="shared" si="65"/>
        <v>2757859</v>
      </c>
      <c r="Q2084" s="13">
        <f>SUMIFS(M:M,E:E,Online_eCommerce[[#This Row],[Status]])</f>
        <v>28340455</v>
      </c>
      <c r="R2084" s="13">
        <f>SUMIFS(L:L,H:H,Online_eCommerce[[#This Row],[Brand]])</f>
        <v>10950150</v>
      </c>
      <c r="S2084" s="13">
        <f>SUMIF(H:H,Online_eCommerce[[#This Row],[Brand]],M:M)</f>
        <v>14235195</v>
      </c>
      <c r="T2084" s="13">
        <f>SUMIF(N:N,Online_eCommerce[[#This Row],[Assigned Supervisor]],L:L)</f>
        <v>13693220</v>
      </c>
    </row>
    <row r="2085" spans="1:20" hidden="1" x14ac:dyDescent="0.3">
      <c r="A2085" t="s">
        <v>3188</v>
      </c>
      <c r="B2085" t="s">
        <v>235</v>
      </c>
      <c r="C2085" t="s">
        <v>150</v>
      </c>
      <c r="D2085" t="s">
        <v>3083</v>
      </c>
      <c r="E2085" t="s">
        <v>161</v>
      </c>
      <c r="F2085" t="s">
        <v>3175</v>
      </c>
      <c r="G2085" t="s">
        <v>77</v>
      </c>
      <c r="H2085" t="s">
        <v>78</v>
      </c>
      <c r="I2085">
        <v>10000</v>
      </c>
      <c r="J2085">
        <v>13000</v>
      </c>
      <c r="K2085">
        <v>4</v>
      </c>
      <c r="L2085">
        <v>40000</v>
      </c>
      <c r="M2085">
        <v>52000</v>
      </c>
      <c r="N2085" t="s">
        <v>28</v>
      </c>
      <c r="O2085">
        <f t="shared" si="64"/>
        <v>39000</v>
      </c>
      <c r="P2085" s="13">
        <f t="shared" si="65"/>
        <v>2154984</v>
      </c>
      <c r="Q2085" s="13">
        <f>SUMIFS(M:M,E:E,Online_eCommerce[[#This Row],[Status]])</f>
        <v>21103186</v>
      </c>
      <c r="R2085" s="13">
        <f>SUMIFS(L:L,H:H,Online_eCommerce[[#This Row],[Brand]])</f>
        <v>3720000</v>
      </c>
      <c r="S2085" s="13">
        <f>SUMIF(H:H,Online_eCommerce[[#This Row],[Brand]],M:M)</f>
        <v>4836000</v>
      </c>
      <c r="T2085" s="13">
        <f>SUMIF(N:N,Online_eCommerce[[#This Row],[Assigned Supervisor]],L:L)</f>
        <v>12220830</v>
      </c>
    </row>
    <row r="2086" spans="1:20" x14ac:dyDescent="0.3">
      <c r="A2086" t="s">
        <v>3189</v>
      </c>
      <c r="B2086" t="s">
        <v>235</v>
      </c>
      <c r="C2086" t="s">
        <v>155</v>
      </c>
      <c r="D2086" t="s">
        <v>3083</v>
      </c>
      <c r="E2086" t="s">
        <v>46</v>
      </c>
      <c r="F2086" t="s">
        <v>3190</v>
      </c>
      <c r="G2086" t="s">
        <v>20</v>
      </c>
      <c r="H2086" t="s">
        <v>21</v>
      </c>
      <c r="I2086">
        <v>10500</v>
      </c>
      <c r="J2086">
        <v>13650</v>
      </c>
      <c r="K2086">
        <v>4</v>
      </c>
      <c r="L2086">
        <v>42000</v>
      </c>
      <c r="M2086">
        <v>54600</v>
      </c>
      <c r="N2086" t="s">
        <v>35</v>
      </c>
      <c r="O2086">
        <f t="shared" si="64"/>
        <v>8450</v>
      </c>
      <c r="P2086" s="13">
        <f t="shared" si="65"/>
        <v>2753348</v>
      </c>
      <c r="Q2086" s="13">
        <f>SUMIFS(M:M,E:E,Online_eCommerce[[#This Row],[Status]])</f>
        <v>28620410</v>
      </c>
      <c r="R2086" s="13">
        <f>SUMIFS(L:L,H:H,Online_eCommerce[[#This Row],[Brand]])</f>
        <v>12435650</v>
      </c>
      <c r="S2086" s="13">
        <f>SUMIF(H:H,Online_eCommerce[[#This Row],[Brand]],M:M)</f>
        <v>16166345</v>
      </c>
      <c r="T2086" s="13">
        <f>SUMIF(N:N,Online_eCommerce[[#This Row],[Assigned Supervisor]],L:L)</f>
        <v>14373360</v>
      </c>
    </row>
    <row r="2087" spans="1:20" hidden="1" x14ac:dyDescent="0.3">
      <c r="A2087" t="s">
        <v>3191</v>
      </c>
      <c r="B2087" t="s">
        <v>235</v>
      </c>
      <c r="C2087" t="s">
        <v>160</v>
      </c>
      <c r="D2087" t="s">
        <v>3083</v>
      </c>
      <c r="E2087" t="s">
        <v>96</v>
      </c>
      <c r="F2087" t="s">
        <v>88</v>
      </c>
      <c r="G2087" t="s">
        <v>26</v>
      </c>
      <c r="H2087" t="s">
        <v>27</v>
      </c>
      <c r="I2087">
        <v>8500</v>
      </c>
      <c r="J2087">
        <v>11050</v>
      </c>
      <c r="K2087">
        <v>1</v>
      </c>
      <c r="L2087">
        <v>8500</v>
      </c>
      <c r="M2087">
        <v>11050</v>
      </c>
      <c r="N2087" t="s">
        <v>42</v>
      </c>
      <c r="O2087">
        <f t="shared" si="64"/>
        <v>33150</v>
      </c>
      <c r="P2087" s="13">
        <f t="shared" si="65"/>
        <v>2303483</v>
      </c>
      <c r="Q2087" s="13">
        <f>SUMIFS(M:M,E:E,Online_eCommerce[[#This Row],[Status]])</f>
        <v>21233992</v>
      </c>
      <c r="R2087" s="13">
        <f>SUMIFS(L:L,H:H,Online_eCommerce[[#This Row],[Brand]])</f>
        <v>14431000</v>
      </c>
      <c r="S2087" s="13">
        <f>SUMIF(H:H,Online_eCommerce[[#This Row],[Brand]],M:M)</f>
        <v>18760300</v>
      </c>
      <c r="T2087" s="13">
        <f>SUMIF(N:N,Online_eCommerce[[#This Row],[Assigned Supervisor]],L:L)</f>
        <v>12261500</v>
      </c>
    </row>
    <row r="2088" spans="1:20" hidden="1" x14ac:dyDescent="0.3">
      <c r="A2088" t="s">
        <v>3192</v>
      </c>
      <c r="B2088" t="s">
        <v>235</v>
      </c>
      <c r="C2088" t="s">
        <v>165</v>
      </c>
      <c r="D2088" t="s">
        <v>3083</v>
      </c>
      <c r="E2088" t="s">
        <v>18</v>
      </c>
      <c r="F2088" t="s">
        <v>32</v>
      </c>
      <c r="G2088" t="s">
        <v>33</v>
      </c>
      <c r="H2088" t="s">
        <v>34</v>
      </c>
      <c r="I2088">
        <v>7000</v>
      </c>
      <c r="J2088">
        <v>9100</v>
      </c>
      <c r="K2088">
        <v>1</v>
      </c>
      <c r="L2088">
        <v>7000</v>
      </c>
      <c r="M2088">
        <v>9100</v>
      </c>
      <c r="N2088" t="s">
        <v>50</v>
      </c>
      <c r="O2088">
        <f t="shared" si="64"/>
        <v>18200</v>
      </c>
      <c r="P2088" s="13">
        <f t="shared" si="65"/>
        <v>2674087</v>
      </c>
      <c r="Q2088" s="13">
        <f>SUMIFS(M:M,E:E,Online_eCommerce[[#This Row],[Status]])</f>
        <v>28340455</v>
      </c>
      <c r="R2088" s="13">
        <f>SUMIFS(L:L,H:H,Online_eCommerce[[#This Row],[Brand]])</f>
        <v>10087000</v>
      </c>
      <c r="S2088" s="13">
        <f>SUMIF(H:H,Online_eCommerce[[#This Row],[Brand]],M:M)</f>
        <v>13113100</v>
      </c>
      <c r="T2088" s="13">
        <f>SUMIF(N:N,Online_eCommerce[[#This Row],[Assigned Supervisor]],L:L)</f>
        <v>12100590</v>
      </c>
    </row>
    <row r="2089" spans="1:20" hidden="1" x14ac:dyDescent="0.3">
      <c r="A2089" t="s">
        <v>3193</v>
      </c>
      <c r="B2089" t="s">
        <v>235</v>
      </c>
      <c r="C2089" t="s">
        <v>168</v>
      </c>
      <c r="D2089" t="s">
        <v>3083</v>
      </c>
      <c r="E2089" t="s">
        <v>161</v>
      </c>
      <c r="F2089" t="s">
        <v>3194</v>
      </c>
      <c r="G2089" t="s">
        <v>163</v>
      </c>
      <c r="H2089" t="s">
        <v>41</v>
      </c>
      <c r="I2089">
        <v>1680</v>
      </c>
      <c r="J2089">
        <v>2184</v>
      </c>
      <c r="K2089">
        <v>4</v>
      </c>
      <c r="L2089">
        <v>6720</v>
      </c>
      <c r="M2089">
        <v>8736</v>
      </c>
      <c r="N2089" t="s">
        <v>56</v>
      </c>
      <c r="O2089">
        <f t="shared" si="64"/>
        <v>13650</v>
      </c>
      <c r="P2089" s="13">
        <f t="shared" si="65"/>
        <v>1937780</v>
      </c>
      <c r="Q2089" s="13">
        <f>SUMIFS(M:M,E:E,Online_eCommerce[[#This Row],[Status]])</f>
        <v>21103186</v>
      </c>
      <c r="R2089" s="13">
        <f>SUMIFS(L:L,H:H,Online_eCommerce[[#This Row],[Brand]])</f>
        <v>4260400</v>
      </c>
      <c r="S2089" s="13">
        <f>SUMIF(H:H,Online_eCommerce[[#This Row],[Brand]],M:M)</f>
        <v>5538520</v>
      </c>
      <c r="T2089" s="13">
        <f>SUMIF(N:N,Online_eCommerce[[#This Row],[Assigned Supervisor]],L:L)</f>
        <v>11733610</v>
      </c>
    </row>
    <row r="2090" spans="1:20" x14ac:dyDescent="0.3">
      <c r="A2090" t="s">
        <v>3195</v>
      </c>
      <c r="B2090" t="s">
        <v>235</v>
      </c>
      <c r="C2090" t="s">
        <v>172</v>
      </c>
      <c r="D2090" t="s">
        <v>3083</v>
      </c>
      <c r="E2090" t="s">
        <v>46</v>
      </c>
      <c r="F2090" t="s">
        <v>101</v>
      </c>
      <c r="G2090" t="s">
        <v>66</v>
      </c>
      <c r="H2090" t="s">
        <v>102</v>
      </c>
      <c r="I2090">
        <v>6540</v>
      </c>
      <c r="J2090">
        <v>8502</v>
      </c>
      <c r="K2090">
        <v>4</v>
      </c>
      <c r="L2090">
        <v>26160</v>
      </c>
      <c r="M2090">
        <v>34008</v>
      </c>
      <c r="N2090" t="s">
        <v>22</v>
      </c>
      <c r="O2090">
        <f t="shared" si="64"/>
        <v>1690</v>
      </c>
      <c r="P2090" s="13">
        <f t="shared" si="65"/>
        <v>2640274</v>
      </c>
      <c r="Q2090" s="13">
        <f>SUMIFS(M:M,E:E,Online_eCommerce[[#This Row],[Status]])</f>
        <v>28620410</v>
      </c>
      <c r="R2090" s="13">
        <f>SUMIFS(L:L,H:H,Online_eCommerce[[#This Row],[Brand]])</f>
        <v>2465580</v>
      </c>
      <c r="S2090" s="13">
        <f>SUMIF(H:H,Online_eCommerce[[#This Row],[Brand]],M:M)</f>
        <v>3205254</v>
      </c>
      <c r="T2090" s="13">
        <f>SUMIF(N:N,Online_eCommerce[[#This Row],[Assigned Supervisor]],L:L)</f>
        <v>13693220</v>
      </c>
    </row>
    <row r="2091" spans="1:20" hidden="1" x14ac:dyDescent="0.3">
      <c r="A2091" t="s">
        <v>3196</v>
      </c>
      <c r="B2091" t="s">
        <v>235</v>
      </c>
      <c r="C2091" t="s">
        <v>177</v>
      </c>
      <c r="D2091" t="s">
        <v>3083</v>
      </c>
      <c r="E2091" t="s">
        <v>96</v>
      </c>
      <c r="F2091" t="s">
        <v>107</v>
      </c>
      <c r="G2091" t="s">
        <v>54</v>
      </c>
      <c r="H2091" t="s">
        <v>55</v>
      </c>
      <c r="I2091">
        <v>2680</v>
      </c>
      <c r="J2091">
        <v>3484</v>
      </c>
      <c r="K2091">
        <v>3</v>
      </c>
      <c r="L2091">
        <v>8040</v>
      </c>
      <c r="M2091">
        <v>10452</v>
      </c>
      <c r="N2091" t="s">
        <v>28</v>
      </c>
      <c r="O2091">
        <f t="shared" si="64"/>
        <v>2990</v>
      </c>
      <c r="P2091" s="13">
        <f t="shared" si="65"/>
        <v>1863810</v>
      </c>
      <c r="Q2091" s="13">
        <f>SUMIFS(M:M,E:E,Online_eCommerce[[#This Row],[Status]])</f>
        <v>21233992</v>
      </c>
      <c r="R2091" s="13">
        <f>SUMIFS(L:L,H:H,Online_eCommerce[[#This Row],[Brand]])</f>
        <v>2267380</v>
      </c>
      <c r="S2091" s="13">
        <f>SUMIF(H:H,Online_eCommerce[[#This Row],[Brand]],M:M)</f>
        <v>2947594</v>
      </c>
      <c r="T2091" s="13">
        <f>SUMIF(N:N,Online_eCommerce[[#This Row],[Assigned Supervisor]],L:L)</f>
        <v>12220830</v>
      </c>
    </row>
    <row r="2092" spans="1:20" hidden="1" x14ac:dyDescent="0.3">
      <c r="A2092" t="s">
        <v>3197</v>
      </c>
      <c r="B2092" t="s">
        <v>235</v>
      </c>
      <c r="C2092" t="s">
        <v>181</v>
      </c>
      <c r="D2092" t="s">
        <v>3083</v>
      </c>
      <c r="E2092" t="s">
        <v>18</v>
      </c>
      <c r="F2092" t="s">
        <v>112</v>
      </c>
      <c r="G2092" t="s">
        <v>71</v>
      </c>
      <c r="H2092" t="s">
        <v>21</v>
      </c>
      <c r="I2092">
        <v>8250</v>
      </c>
      <c r="J2092">
        <v>10725</v>
      </c>
      <c r="K2092">
        <v>1</v>
      </c>
      <c r="L2092">
        <v>8250</v>
      </c>
      <c r="M2092">
        <v>10725</v>
      </c>
      <c r="N2092" t="s">
        <v>35</v>
      </c>
      <c r="O2092">
        <f t="shared" si="64"/>
        <v>9750</v>
      </c>
      <c r="P2092" s="13">
        <f t="shared" si="65"/>
        <v>2577458</v>
      </c>
      <c r="Q2092" s="13">
        <f>SUMIFS(M:M,E:E,Online_eCommerce[[#This Row],[Status]])</f>
        <v>28340455</v>
      </c>
      <c r="R2092" s="13">
        <f>SUMIFS(L:L,H:H,Online_eCommerce[[#This Row],[Brand]])</f>
        <v>12435650</v>
      </c>
      <c r="S2092" s="13">
        <f>SUMIF(H:H,Online_eCommerce[[#This Row],[Brand]],M:M)</f>
        <v>16166345</v>
      </c>
      <c r="T2092" s="13">
        <f>SUMIF(N:N,Online_eCommerce[[#This Row],[Assigned Supervisor]],L:L)</f>
        <v>14373360</v>
      </c>
    </row>
    <row r="2093" spans="1:20" hidden="1" x14ac:dyDescent="0.3">
      <c r="A2093" t="s">
        <v>3198</v>
      </c>
      <c r="B2093" t="s">
        <v>235</v>
      </c>
      <c r="C2093" t="s">
        <v>185</v>
      </c>
      <c r="D2093" t="s">
        <v>3083</v>
      </c>
      <c r="E2093" t="s">
        <v>161</v>
      </c>
      <c r="F2093" t="s">
        <v>2842</v>
      </c>
      <c r="G2093" t="s">
        <v>40</v>
      </c>
      <c r="H2093" t="s">
        <v>21</v>
      </c>
      <c r="I2093">
        <v>2650</v>
      </c>
      <c r="J2093">
        <v>3445</v>
      </c>
      <c r="K2093">
        <v>4</v>
      </c>
      <c r="L2093">
        <v>10600</v>
      </c>
      <c r="M2093">
        <v>13780</v>
      </c>
      <c r="N2093" t="s">
        <v>42</v>
      </c>
      <c r="O2093">
        <f t="shared" si="64"/>
        <v>25545</v>
      </c>
      <c r="P2093" s="13">
        <f t="shared" si="65"/>
        <v>2091596</v>
      </c>
      <c r="Q2093" s="13">
        <f>SUMIFS(M:M,E:E,Online_eCommerce[[#This Row],[Status]])</f>
        <v>21103186</v>
      </c>
      <c r="R2093" s="13">
        <f>SUMIFS(L:L,H:H,Online_eCommerce[[#This Row],[Brand]])</f>
        <v>12435650</v>
      </c>
      <c r="S2093" s="13">
        <f>SUMIF(H:H,Online_eCommerce[[#This Row],[Brand]],M:M)</f>
        <v>16166345</v>
      </c>
      <c r="T2093" s="13">
        <f>SUMIF(N:N,Online_eCommerce[[#This Row],[Assigned Supervisor]],L:L)</f>
        <v>12261500</v>
      </c>
    </row>
    <row r="2094" spans="1:20" x14ac:dyDescent="0.3">
      <c r="A2094" t="s">
        <v>3199</v>
      </c>
      <c r="B2094" t="s">
        <v>235</v>
      </c>
      <c r="C2094" t="s">
        <v>189</v>
      </c>
      <c r="D2094" t="s">
        <v>3083</v>
      </c>
      <c r="E2094" t="s">
        <v>46</v>
      </c>
      <c r="F2094" t="s">
        <v>121</v>
      </c>
      <c r="G2094" t="s">
        <v>71</v>
      </c>
      <c r="H2094" t="s">
        <v>122</v>
      </c>
      <c r="I2094">
        <v>12550</v>
      </c>
      <c r="J2094">
        <v>16315</v>
      </c>
      <c r="K2094">
        <v>4</v>
      </c>
      <c r="L2094">
        <v>50200</v>
      </c>
      <c r="M2094">
        <v>65260</v>
      </c>
      <c r="N2094" t="s">
        <v>50</v>
      </c>
      <c r="O2094">
        <f t="shared" si="64"/>
        <v>9750</v>
      </c>
      <c r="P2094" s="13">
        <f t="shared" si="65"/>
        <v>2740777</v>
      </c>
      <c r="Q2094" s="13">
        <f>SUMIFS(M:M,E:E,Online_eCommerce[[#This Row],[Status]])</f>
        <v>28620410</v>
      </c>
      <c r="R2094" s="13">
        <f>SUMIFS(L:L,H:H,Online_eCommerce[[#This Row],[Brand]])</f>
        <v>5045100</v>
      </c>
      <c r="S2094" s="13">
        <f>SUMIF(H:H,Online_eCommerce[[#This Row],[Brand]],M:M)</f>
        <v>6558630</v>
      </c>
      <c r="T2094" s="13">
        <f>SUMIF(N:N,Online_eCommerce[[#This Row],[Assigned Supervisor]],L:L)</f>
        <v>12100590</v>
      </c>
    </row>
    <row r="2095" spans="1:20" hidden="1" x14ac:dyDescent="0.3">
      <c r="A2095" t="s">
        <v>3200</v>
      </c>
      <c r="B2095" t="s">
        <v>235</v>
      </c>
      <c r="C2095" t="s">
        <v>193</v>
      </c>
      <c r="D2095" t="s">
        <v>3083</v>
      </c>
      <c r="E2095" t="s">
        <v>96</v>
      </c>
      <c r="F2095" t="s">
        <v>126</v>
      </c>
      <c r="G2095" t="s">
        <v>26</v>
      </c>
      <c r="H2095" t="s">
        <v>27</v>
      </c>
      <c r="I2095">
        <v>14500</v>
      </c>
      <c r="J2095">
        <v>18850</v>
      </c>
      <c r="K2095">
        <v>3</v>
      </c>
      <c r="L2095">
        <v>43500</v>
      </c>
      <c r="M2095">
        <v>56550</v>
      </c>
      <c r="N2095" t="s">
        <v>56</v>
      </c>
      <c r="O2095">
        <f t="shared" si="64"/>
        <v>33150</v>
      </c>
      <c r="P2095" s="13">
        <f t="shared" si="65"/>
        <v>2074774</v>
      </c>
      <c r="Q2095" s="13">
        <f>SUMIFS(M:M,E:E,Online_eCommerce[[#This Row],[Status]])</f>
        <v>21233992</v>
      </c>
      <c r="R2095" s="13">
        <f>SUMIFS(L:L,H:H,Online_eCommerce[[#This Row],[Brand]])</f>
        <v>14431000</v>
      </c>
      <c r="S2095" s="13">
        <f>SUMIF(H:H,Online_eCommerce[[#This Row],[Brand]],M:M)</f>
        <v>18760300</v>
      </c>
      <c r="T2095" s="13">
        <f>SUMIF(N:N,Online_eCommerce[[#This Row],[Assigned Supervisor]],L:L)</f>
        <v>11733610</v>
      </c>
    </row>
    <row r="2096" spans="1:20" hidden="1" x14ac:dyDescent="0.3">
      <c r="A2096" t="s">
        <v>3201</v>
      </c>
      <c r="B2096" t="s">
        <v>235</v>
      </c>
      <c r="C2096" t="s">
        <v>197</v>
      </c>
      <c r="D2096" t="s">
        <v>3083</v>
      </c>
      <c r="E2096" t="s">
        <v>18</v>
      </c>
      <c r="F2096" t="s">
        <v>129</v>
      </c>
      <c r="G2096" t="s">
        <v>60</v>
      </c>
      <c r="H2096" t="s">
        <v>61</v>
      </c>
      <c r="I2096">
        <v>800</v>
      </c>
      <c r="J2096">
        <v>1040</v>
      </c>
      <c r="K2096">
        <v>1</v>
      </c>
      <c r="L2096">
        <v>800</v>
      </c>
      <c r="M2096">
        <v>1040</v>
      </c>
      <c r="N2096" t="s">
        <v>22</v>
      </c>
      <c r="O2096">
        <f t="shared" si="64"/>
        <v>3315</v>
      </c>
      <c r="P2096" s="13">
        <f t="shared" si="65"/>
        <v>2829840</v>
      </c>
      <c r="Q2096" s="13">
        <f>SUMIFS(M:M,E:E,Online_eCommerce[[#This Row],[Status]])</f>
        <v>28340455</v>
      </c>
      <c r="R2096" s="13">
        <f>SUMIFS(L:L,H:H,Online_eCommerce[[#This Row],[Brand]])</f>
        <v>10950150</v>
      </c>
      <c r="S2096" s="13">
        <f>SUMIF(H:H,Online_eCommerce[[#This Row],[Brand]],M:M)</f>
        <v>14235195</v>
      </c>
      <c r="T2096" s="13">
        <f>SUMIF(N:N,Online_eCommerce[[#This Row],[Assigned Supervisor]],L:L)</f>
        <v>13693220</v>
      </c>
    </row>
    <row r="2097" spans="1:20" hidden="1" x14ac:dyDescent="0.3">
      <c r="A2097" t="s">
        <v>3202</v>
      </c>
      <c r="B2097" t="s">
        <v>235</v>
      </c>
      <c r="C2097" t="s">
        <v>199</v>
      </c>
      <c r="D2097" t="s">
        <v>3083</v>
      </c>
      <c r="E2097" t="s">
        <v>161</v>
      </c>
      <c r="F2097" t="s">
        <v>133</v>
      </c>
      <c r="G2097" t="s">
        <v>66</v>
      </c>
      <c r="H2097" t="s">
        <v>21</v>
      </c>
      <c r="I2097">
        <v>600</v>
      </c>
      <c r="J2097">
        <v>780</v>
      </c>
      <c r="K2097">
        <v>1</v>
      </c>
      <c r="L2097">
        <v>600</v>
      </c>
      <c r="M2097">
        <v>780</v>
      </c>
      <c r="N2097" t="s">
        <v>28</v>
      </c>
      <c r="O2097">
        <f t="shared" si="64"/>
        <v>1690</v>
      </c>
      <c r="P2097" s="13">
        <f t="shared" si="65"/>
        <v>1947361</v>
      </c>
      <c r="Q2097" s="13">
        <f>SUMIFS(M:M,E:E,Online_eCommerce[[#This Row],[Status]])</f>
        <v>21103186</v>
      </c>
      <c r="R2097" s="13">
        <f>SUMIFS(L:L,H:H,Online_eCommerce[[#This Row],[Brand]])</f>
        <v>12435650</v>
      </c>
      <c r="S2097" s="13">
        <f>SUMIF(H:H,Online_eCommerce[[#This Row],[Brand]],M:M)</f>
        <v>16166345</v>
      </c>
      <c r="T2097" s="13">
        <f>SUMIF(N:N,Online_eCommerce[[#This Row],[Assigned Supervisor]],L:L)</f>
        <v>12220830</v>
      </c>
    </row>
    <row r="2098" spans="1:20" x14ac:dyDescent="0.3">
      <c r="A2098" t="s">
        <v>3203</v>
      </c>
      <c r="B2098" t="s">
        <v>235</v>
      </c>
      <c r="C2098" t="s">
        <v>203</v>
      </c>
      <c r="D2098" t="s">
        <v>3083</v>
      </c>
      <c r="E2098" t="s">
        <v>46</v>
      </c>
      <c r="F2098" t="s">
        <v>137</v>
      </c>
      <c r="G2098" t="s">
        <v>71</v>
      </c>
      <c r="H2098" t="s">
        <v>61</v>
      </c>
      <c r="I2098">
        <v>10500</v>
      </c>
      <c r="J2098">
        <v>13650</v>
      </c>
      <c r="K2098">
        <v>3</v>
      </c>
      <c r="L2098">
        <v>31500</v>
      </c>
      <c r="M2098">
        <v>40950</v>
      </c>
      <c r="N2098" t="s">
        <v>35</v>
      </c>
      <c r="O2098">
        <f t="shared" si="64"/>
        <v>9750</v>
      </c>
      <c r="P2098" s="13">
        <f t="shared" si="65"/>
        <v>2559635</v>
      </c>
      <c r="Q2098" s="13">
        <f>SUMIFS(M:M,E:E,Online_eCommerce[[#This Row],[Status]])</f>
        <v>28620410</v>
      </c>
      <c r="R2098" s="13">
        <f>SUMIFS(L:L,H:H,Online_eCommerce[[#This Row],[Brand]])</f>
        <v>10950150</v>
      </c>
      <c r="S2098" s="13">
        <f>SUMIF(H:H,Online_eCommerce[[#This Row],[Brand]],M:M)</f>
        <v>14235195</v>
      </c>
      <c r="T2098" s="13">
        <f>SUMIF(N:N,Online_eCommerce[[#This Row],[Assigned Supervisor]],L:L)</f>
        <v>14373360</v>
      </c>
    </row>
    <row r="2099" spans="1:20" hidden="1" x14ac:dyDescent="0.3">
      <c r="A2099" t="s">
        <v>3204</v>
      </c>
      <c r="B2099" t="s">
        <v>235</v>
      </c>
      <c r="C2099" t="s">
        <v>205</v>
      </c>
      <c r="D2099" t="s">
        <v>3083</v>
      </c>
      <c r="E2099" t="s">
        <v>96</v>
      </c>
      <c r="F2099" t="s">
        <v>3175</v>
      </c>
      <c r="G2099" t="s">
        <v>77</v>
      </c>
      <c r="H2099" t="s">
        <v>142</v>
      </c>
      <c r="I2099">
        <v>6500</v>
      </c>
      <c r="J2099">
        <v>8450</v>
      </c>
      <c r="K2099">
        <v>1</v>
      </c>
      <c r="L2099">
        <v>6500</v>
      </c>
      <c r="M2099">
        <v>8450</v>
      </c>
      <c r="N2099" t="s">
        <v>42</v>
      </c>
      <c r="O2099">
        <f t="shared" si="64"/>
        <v>39000</v>
      </c>
      <c r="P2099" s="13">
        <f t="shared" si="65"/>
        <v>1983254</v>
      </c>
      <c r="Q2099" s="13">
        <f>SUMIFS(M:M,E:E,Online_eCommerce[[#This Row],[Status]])</f>
        <v>21233992</v>
      </c>
      <c r="R2099" s="13">
        <f>SUMIFS(L:L,H:H,Online_eCommerce[[#This Row],[Brand]])</f>
        <v>6192500</v>
      </c>
      <c r="S2099" s="13">
        <f>SUMIF(H:H,Online_eCommerce[[#This Row],[Brand]],M:M)</f>
        <v>8050250</v>
      </c>
      <c r="T2099" s="13">
        <f>SUMIF(N:N,Online_eCommerce[[#This Row],[Assigned Supervisor]],L:L)</f>
        <v>12261500</v>
      </c>
    </row>
    <row r="2100" spans="1:20" hidden="1" x14ac:dyDescent="0.3">
      <c r="A2100" t="s">
        <v>3205</v>
      </c>
      <c r="B2100" t="s">
        <v>235</v>
      </c>
      <c r="C2100" t="s">
        <v>208</v>
      </c>
      <c r="D2100" t="s">
        <v>3083</v>
      </c>
      <c r="E2100" t="s">
        <v>18</v>
      </c>
      <c r="F2100" t="s">
        <v>3206</v>
      </c>
      <c r="G2100" t="s">
        <v>20</v>
      </c>
      <c r="H2100" t="s">
        <v>21</v>
      </c>
      <c r="I2100">
        <v>4500</v>
      </c>
      <c r="J2100">
        <v>5850</v>
      </c>
      <c r="K2100">
        <v>4</v>
      </c>
      <c r="L2100">
        <v>18000</v>
      </c>
      <c r="M2100">
        <v>23400</v>
      </c>
      <c r="N2100" t="s">
        <v>50</v>
      </c>
      <c r="O2100">
        <f t="shared" si="64"/>
        <v>8450</v>
      </c>
      <c r="P2100" s="13">
        <f t="shared" si="65"/>
        <v>2746575</v>
      </c>
      <c r="Q2100" s="13">
        <f>SUMIFS(M:M,E:E,Online_eCommerce[[#This Row],[Status]])</f>
        <v>28340455</v>
      </c>
      <c r="R2100" s="13">
        <f>SUMIFS(L:L,H:H,Online_eCommerce[[#This Row],[Brand]])</f>
        <v>12435650</v>
      </c>
      <c r="S2100" s="13">
        <f>SUMIF(H:H,Online_eCommerce[[#This Row],[Brand]],M:M)</f>
        <v>16166345</v>
      </c>
      <c r="T2100" s="13">
        <f>SUMIF(N:N,Online_eCommerce[[#This Row],[Assigned Supervisor]],L:L)</f>
        <v>12100590</v>
      </c>
    </row>
    <row r="2101" spans="1:20" hidden="1" x14ac:dyDescent="0.3">
      <c r="A2101" t="s">
        <v>3207</v>
      </c>
      <c r="B2101" t="s">
        <v>235</v>
      </c>
      <c r="C2101" t="s">
        <v>211</v>
      </c>
      <c r="D2101" t="s">
        <v>3083</v>
      </c>
      <c r="E2101" t="s">
        <v>161</v>
      </c>
      <c r="F2101" t="s">
        <v>152</v>
      </c>
      <c r="G2101" t="s">
        <v>26</v>
      </c>
      <c r="H2101" t="s">
        <v>27</v>
      </c>
      <c r="I2101">
        <v>8500</v>
      </c>
      <c r="J2101">
        <v>11050</v>
      </c>
      <c r="K2101">
        <v>2</v>
      </c>
      <c r="L2101">
        <v>17000</v>
      </c>
      <c r="M2101">
        <v>22100</v>
      </c>
      <c r="N2101" t="s">
        <v>56</v>
      </c>
      <c r="O2101">
        <f t="shared" si="64"/>
        <v>33150</v>
      </c>
      <c r="P2101" s="13">
        <f t="shared" si="65"/>
        <v>1809847</v>
      </c>
      <c r="Q2101" s="13">
        <f>SUMIFS(M:M,E:E,Online_eCommerce[[#This Row],[Status]])</f>
        <v>21103186</v>
      </c>
      <c r="R2101" s="13">
        <f>SUMIFS(L:L,H:H,Online_eCommerce[[#This Row],[Brand]])</f>
        <v>14431000</v>
      </c>
      <c r="S2101" s="13">
        <f>SUMIF(H:H,Online_eCommerce[[#This Row],[Brand]],M:M)</f>
        <v>18760300</v>
      </c>
      <c r="T2101" s="13">
        <f>SUMIF(N:N,Online_eCommerce[[#This Row],[Assigned Supervisor]],L:L)</f>
        <v>11733610</v>
      </c>
    </row>
    <row r="2102" spans="1:20" x14ac:dyDescent="0.3">
      <c r="A2102" t="s">
        <v>3208</v>
      </c>
      <c r="B2102" t="s">
        <v>235</v>
      </c>
      <c r="C2102" t="s">
        <v>16</v>
      </c>
      <c r="D2102" t="s">
        <v>3083</v>
      </c>
      <c r="E2102" t="s">
        <v>46</v>
      </c>
      <c r="F2102" t="s">
        <v>157</v>
      </c>
      <c r="G2102" t="s">
        <v>33</v>
      </c>
      <c r="H2102" t="s">
        <v>34</v>
      </c>
      <c r="I2102">
        <v>12500</v>
      </c>
      <c r="J2102">
        <v>16250</v>
      </c>
      <c r="K2102">
        <v>4</v>
      </c>
      <c r="L2102">
        <v>50000</v>
      </c>
      <c r="M2102">
        <v>65000</v>
      </c>
      <c r="N2102" t="s">
        <v>22</v>
      </c>
      <c r="O2102">
        <f t="shared" si="64"/>
        <v>18200</v>
      </c>
      <c r="P2102" s="13">
        <f t="shared" si="65"/>
        <v>2751814</v>
      </c>
      <c r="Q2102" s="13">
        <f>SUMIFS(M:M,E:E,Online_eCommerce[[#This Row],[Status]])</f>
        <v>28620410</v>
      </c>
      <c r="R2102" s="13">
        <f>SUMIFS(L:L,H:H,Online_eCommerce[[#This Row],[Brand]])</f>
        <v>10087000</v>
      </c>
      <c r="S2102" s="13">
        <f>SUMIF(H:H,Online_eCommerce[[#This Row],[Brand]],M:M)</f>
        <v>13113100</v>
      </c>
      <c r="T2102" s="13">
        <f>SUMIF(N:N,Online_eCommerce[[#This Row],[Assigned Supervisor]],L:L)</f>
        <v>13693220</v>
      </c>
    </row>
    <row r="2103" spans="1:20" hidden="1" x14ac:dyDescent="0.3">
      <c r="A2103" t="s">
        <v>3209</v>
      </c>
      <c r="B2103" t="s">
        <v>235</v>
      </c>
      <c r="C2103" t="s">
        <v>24</v>
      </c>
      <c r="D2103" t="s">
        <v>3083</v>
      </c>
      <c r="E2103" t="s">
        <v>96</v>
      </c>
      <c r="F2103" t="s">
        <v>2885</v>
      </c>
      <c r="G2103" t="s">
        <v>256</v>
      </c>
      <c r="H2103" t="s">
        <v>41</v>
      </c>
      <c r="I2103">
        <v>3500</v>
      </c>
      <c r="J2103">
        <v>4550</v>
      </c>
      <c r="K2103">
        <v>4</v>
      </c>
      <c r="L2103">
        <v>14000</v>
      </c>
      <c r="M2103">
        <v>18200</v>
      </c>
      <c r="N2103" t="s">
        <v>28</v>
      </c>
      <c r="O2103">
        <f t="shared" si="64"/>
        <v>9100</v>
      </c>
      <c r="P2103" s="13">
        <f t="shared" si="65"/>
        <v>2009540</v>
      </c>
      <c r="Q2103" s="13">
        <f>SUMIFS(M:M,E:E,Online_eCommerce[[#This Row],[Status]])</f>
        <v>21233992</v>
      </c>
      <c r="R2103" s="13">
        <f>SUMIFS(L:L,H:H,Online_eCommerce[[#This Row],[Brand]])</f>
        <v>4260400</v>
      </c>
      <c r="S2103" s="13">
        <f>SUMIF(H:H,Online_eCommerce[[#This Row],[Brand]],M:M)</f>
        <v>5538520</v>
      </c>
      <c r="T2103" s="13">
        <f>SUMIF(N:N,Online_eCommerce[[#This Row],[Assigned Supervisor]],L:L)</f>
        <v>12220830</v>
      </c>
    </row>
    <row r="2104" spans="1:20" hidden="1" x14ac:dyDescent="0.3">
      <c r="A2104" t="s">
        <v>3210</v>
      </c>
      <c r="B2104" t="s">
        <v>235</v>
      </c>
      <c r="C2104" t="s">
        <v>31</v>
      </c>
      <c r="D2104" t="s">
        <v>3083</v>
      </c>
      <c r="E2104" t="s">
        <v>18</v>
      </c>
      <c r="F2104" t="s">
        <v>166</v>
      </c>
      <c r="G2104" t="s">
        <v>259</v>
      </c>
      <c r="H2104" t="s">
        <v>49</v>
      </c>
      <c r="I2104">
        <v>4500</v>
      </c>
      <c r="J2104">
        <v>5850</v>
      </c>
      <c r="K2104">
        <v>4</v>
      </c>
      <c r="L2104">
        <v>18000</v>
      </c>
      <c r="M2104">
        <v>23400</v>
      </c>
      <c r="N2104" t="s">
        <v>35</v>
      </c>
      <c r="O2104">
        <f t="shared" si="64"/>
        <v>11700</v>
      </c>
      <c r="P2104" s="13">
        <f t="shared" si="65"/>
        <v>2865746</v>
      </c>
      <c r="Q2104" s="13">
        <f>SUMIFS(M:M,E:E,Online_eCommerce[[#This Row],[Status]])</f>
        <v>28340455</v>
      </c>
      <c r="R2104" s="13">
        <f>SUMIFS(L:L,H:H,Online_eCommerce[[#This Row],[Brand]])</f>
        <v>4528350</v>
      </c>
      <c r="S2104" s="13">
        <f>SUMIF(H:H,Online_eCommerce[[#This Row],[Brand]],M:M)</f>
        <v>5886855</v>
      </c>
      <c r="T2104" s="13">
        <f>SUMIF(N:N,Online_eCommerce[[#This Row],[Assigned Supervisor]],L:L)</f>
        <v>14373360</v>
      </c>
    </row>
    <row r="2105" spans="1:20" hidden="1" x14ac:dyDescent="0.3">
      <c r="A2105" t="s">
        <v>3211</v>
      </c>
      <c r="B2105" t="s">
        <v>235</v>
      </c>
      <c r="C2105" t="s">
        <v>38</v>
      </c>
      <c r="D2105" t="s">
        <v>3083</v>
      </c>
      <c r="E2105" t="s">
        <v>161</v>
      </c>
      <c r="F2105" t="s">
        <v>3212</v>
      </c>
      <c r="G2105" t="s">
        <v>54</v>
      </c>
      <c r="H2105" t="s">
        <v>55</v>
      </c>
      <c r="I2105">
        <v>2100</v>
      </c>
      <c r="J2105">
        <v>2730</v>
      </c>
      <c r="K2105">
        <v>4</v>
      </c>
      <c r="L2105">
        <v>8400</v>
      </c>
      <c r="M2105">
        <v>10920</v>
      </c>
      <c r="N2105" t="s">
        <v>42</v>
      </c>
      <c r="O2105">
        <f t="shared" si="64"/>
        <v>2990</v>
      </c>
      <c r="P2105" s="13">
        <f t="shared" si="65"/>
        <v>1933997</v>
      </c>
      <c r="Q2105" s="13">
        <f>SUMIFS(M:M,E:E,Online_eCommerce[[#This Row],[Status]])</f>
        <v>21103186</v>
      </c>
      <c r="R2105" s="13">
        <f>SUMIFS(L:L,H:H,Online_eCommerce[[#This Row],[Brand]])</f>
        <v>2267380</v>
      </c>
      <c r="S2105" s="13">
        <f>SUMIF(H:H,Online_eCommerce[[#This Row],[Brand]],M:M)</f>
        <v>2947594</v>
      </c>
      <c r="T2105" s="13">
        <f>SUMIF(N:N,Online_eCommerce[[#This Row],[Assigned Supervisor]],L:L)</f>
        <v>12261500</v>
      </c>
    </row>
    <row r="2106" spans="1:20" x14ac:dyDescent="0.3">
      <c r="A2106" t="s">
        <v>3213</v>
      </c>
      <c r="B2106" t="s">
        <v>235</v>
      </c>
      <c r="C2106" t="s">
        <v>45</v>
      </c>
      <c r="D2106" t="s">
        <v>3083</v>
      </c>
      <c r="E2106" t="s">
        <v>46</v>
      </c>
      <c r="F2106" t="s">
        <v>174</v>
      </c>
      <c r="G2106" t="s">
        <v>60</v>
      </c>
      <c r="H2106" t="s">
        <v>61</v>
      </c>
      <c r="I2106">
        <v>1150</v>
      </c>
      <c r="J2106">
        <v>1495</v>
      </c>
      <c r="K2106">
        <v>2</v>
      </c>
      <c r="L2106">
        <v>2300</v>
      </c>
      <c r="M2106">
        <v>2990</v>
      </c>
      <c r="N2106" t="s">
        <v>50</v>
      </c>
      <c r="O2106">
        <f t="shared" si="64"/>
        <v>3315</v>
      </c>
      <c r="P2106" s="13">
        <f t="shared" si="65"/>
        <v>2842554</v>
      </c>
      <c r="Q2106" s="13">
        <f>SUMIFS(M:M,E:E,Online_eCommerce[[#This Row],[Status]])</f>
        <v>28620410</v>
      </c>
      <c r="R2106" s="13">
        <f>SUMIFS(L:L,H:H,Online_eCommerce[[#This Row],[Brand]])</f>
        <v>10950150</v>
      </c>
      <c r="S2106" s="13">
        <f>SUMIF(H:H,Online_eCommerce[[#This Row],[Brand]],M:M)</f>
        <v>14235195</v>
      </c>
      <c r="T2106" s="13">
        <f>SUMIF(N:N,Online_eCommerce[[#This Row],[Assigned Supervisor]],L:L)</f>
        <v>12100590</v>
      </c>
    </row>
    <row r="2107" spans="1:20" hidden="1" x14ac:dyDescent="0.3">
      <c r="A2107" t="s">
        <v>3214</v>
      </c>
      <c r="B2107" t="s">
        <v>235</v>
      </c>
      <c r="C2107" t="s">
        <v>52</v>
      </c>
      <c r="D2107" t="s">
        <v>3083</v>
      </c>
      <c r="E2107" t="s">
        <v>96</v>
      </c>
      <c r="F2107" t="s">
        <v>179</v>
      </c>
      <c r="G2107" t="s">
        <v>66</v>
      </c>
      <c r="H2107" t="s">
        <v>21</v>
      </c>
      <c r="I2107">
        <v>350</v>
      </c>
      <c r="J2107">
        <v>455</v>
      </c>
      <c r="K2107">
        <v>2</v>
      </c>
      <c r="L2107">
        <v>700</v>
      </c>
      <c r="M2107">
        <v>910</v>
      </c>
      <c r="N2107" t="s">
        <v>56</v>
      </c>
      <c r="O2107">
        <f t="shared" si="64"/>
        <v>1690</v>
      </c>
      <c r="P2107" s="13">
        <f t="shared" si="65"/>
        <v>1955044</v>
      </c>
      <c r="Q2107" s="13">
        <f>SUMIFS(M:M,E:E,Online_eCommerce[[#This Row],[Status]])</f>
        <v>21233992</v>
      </c>
      <c r="R2107" s="13">
        <f>SUMIFS(L:L,H:H,Online_eCommerce[[#This Row],[Brand]])</f>
        <v>12435650</v>
      </c>
      <c r="S2107" s="13">
        <f>SUMIF(H:H,Online_eCommerce[[#This Row],[Brand]],M:M)</f>
        <v>16166345</v>
      </c>
      <c r="T2107" s="13">
        <f>SUMIF(N:N,Online_eCommerce[[#This Row],[Assigned Supervisor]],L:L)</f>
        <v>11733610</v>
      </c>
    </row>
    <row r="2108" spans="1:20" hidden="1" x14ac:dyDescent="0.3">
      <c r="A2108" t="s">
        <v>3215</v>
      </c>
      <c r="B2108" t="s">
        <v>235</v>
      </c>
      <c r="C2108" t="s">
        <v>58</v>
      </c>
      <c r="D2108" t="s">
        <v>3083</v>
      </c>
      <c r="E2108" t="s">
        <v>18</v>
      </c>
      <c r="F2108" t="s">
        <v>183</v>
      </c>
      <c r="G2108" t="s">
        <v>71</v>
      </c>
      <c r="H2108" t="s">
        <v>61</v>
      </c>
      <c r="I2108">
        <v>9500</v>
      </c>
      <c r="J2108">
        <v>12350</v>
      </c>
      <c r="K2108">
        <v>2</v>
      </c>
      <c r="L2108">
        <v>19000</v>
      </c>
      <c r="M2108">
        <v>24700</v>
      </c>
      <c r="N2108" t="s">
        <v>22</v>
      </c>
      <c r="O2108">
        <f t="shared" si="64"/>
        <v>9750</v>
      </c>
      <c r="P2108" s="13">
        <f t="shared" si="65"/>
        <v>2629211</v>
      </c>
      <c r="Q2108" s="13">
        <f>SUMIFS(M:M,E:E,Online_eCommerce[[#This Row],[Status]])</f>
        <v>28340455</v>
      </c>
      <c r="R2108" s="13">
        <f>SUMIFS(L:L,H:H,Online_eCommerce[[#This Row],[Brand]])</f>
        <v>10950150</v>
      </c>
      <c r="S2108" s="13">
        <f>SUMIF(H:H,Online_eCommerce[[#This Row],[Brand]],M:M)</f>
        <v>14235195</v>
      </c>
      <c r="T2108" s="13">
        <f>SUMIF(N:N,Online_eCommerce[[#This Row],[Assigned Supervisor]],L:L)</f>
        <v>13693220</v>
      </c>
    </row>
    <row r="2109" spans="1:20" hidden="1" x14ac:dyDescent="0.3">
      <c r="A2109" t="s">
        <v>3216</v>
      </c>
      <c r="B2109" t="s">
        <v>235</v>
      </c>
      <c r="C2109" t="s">
        <v>63</v>
      </c>
      <c r="D2109" t="s">
        <v>3083</v>
      </c>
      <c r="E2109" t="s">
        <v>161</v>
      </c>
      <c r="F2109" t="s">
        <v>3217</v>
      </c>
      <c r="G2109" t="s">
        <v>77</v>
      </c>
      <c r="H2109" t="s">
        <v>142</v>
      </c>
      <c r="I2109">
        <v>10000</v>
      </c>
      <c r="J2109">
        <v>13000</v>
      </c>
      <c r="K2109">
        <v>4</v>
      </c>
      <c r="L2109">
        <v>40000</v>
      </c>
      <c r="M2109">
        <v>52000</v>
      </c>
      <c r="N2109" t="s">
        <v>28</v>
      </c>
      <c r="O2109">
        <f t="shared" si="64"/>
        <v>39000</v>
      </c>
      <c r="P2109" s="13">
        <f t="shared" si="65"/>
        <v>2016131</v>
      </c>
      <c r="Q2109" s="13">
        <f>SUMIFS(M:M,E:E,Online_eCommerce[[#This Row],[Status]])</f>
        <v>21103186</v>
      </c>
      <c r="R2109" s="13">
        <f>SUMIFS(L:L,H:H,Online_eCommerce[[#This Row],[Brand]])</f>
        <v>6192500</v>
      </c>
      <c r="S2109" s="13">
        <f>SUMIF(H:H,Online_eCommerce[[#This Row],[Brand]],M:M)</f>
        <v>8050250</v>
      </c>
      <c r="T2109" s="13">
        <f>SUMIF(N:N,Online_eCommerce[[#This Row],[Assigned Supervisor]],L:L)</f>
        <v>12220830</v>
      </c>
    </row>
    <row r="2110" spans="1:20" x14ac:dyDescent="0.3">
      <c r="A2110" t="s">
        <v>3218</v>
      </c>
      <c r="B2110" t="s">
        <v>235</v>
      </c>
      <c r="C2110" t="s">
        <v>68</v>
      </c>
      <c r="D2110" t="s">
        <v>3083</v>
      </c>
      <c r="E2110" t="s">
        <v>46</v>
      </c>
      <c r="F2110" t="s">
        <v>3219</v>
      </c>
      <c r="G2110" t="s">
        <v>20</v>
      </c>
      <c r="H2110" t="s">
        <v>21</v>
      </c>
      <c r="I2110">
        <v>6500</v>
      </c>
      <c r="J2110">
        <v>8450</v>
      </c>
      <c r="K2110">
        <v>3</v>
      </c>
      <c r="L2110">
        <v>19500</v>
      </c>
      <c r="M2110">
        <v>25350</v>
      </c>
      <c r="N2110" t="s">
        <v>35</v>
      </c>
      <c r="O2110">
        <f t="shared" si="64"/>
        <v>8450</v>
      </c>
      <c r="P2110" s="13">
        <f t="shared" si="65"/>
        <v>2974621</v>
      </c>
      <c r="Q2110" s="13">
        <f>SUMIFS(M:M,E:E,Online_eCommerce[[#This Row],[Status]])</f>
        <v>28620410</v>
      </c>
      <c r="R2110" s="13">
        <f>SUMIFS(L:L,H:H,Online_eCommerce[[#This Row],[Brand]])</f>
        <v>12435650</v>
      </c>
      <c r="S2110" s="13">
        <f>SUMIF(H:H,Online_eCommerce[[#This Row],[Brand]],M:M)</f>
        <v>16166345</v>
      </c>
      <c r="T2110" s="13">
        <f>SUMIF(N:N,Online_eCommerce[[#This Row],[Assigned Supervisor]],L:L)</f>
        <v>14373360</v>
      </c>
    </row>
    <row r="2111" spans="1:20" hidden="1" x14ac:dyDescent="0.3">
      <c r="A2111" t="s">
        <v>3220</v>
      </c>
      <c r="B2111" t="s">
        <v>235</v>
      </c>
      <c r="C2111" t="s">
        <v>74</v>
      </c>
      <c r="D2111" t="s">
        <v>3083</v>
      </c>
      <c r="E2111" t="s">
        <v>96</v>
      </c>
      <c r="F2111" t="s">
        <v>3221</v>
      </c>
      <c r="G2111" t="s">
        <v>26</v>
      </c>
      <c r="H2111" t="s">
        <v>27</v>
      </c>
      <c r="I2111">
        <v>8500</v>
      </c>
      <c r="J2111">
        <v>11050</v>
      </c>
      <c r="K2111">
        <v>1</v>
      </c>
      <c r="L2111">
        <v>8500</v>
      </c>
      <c r="M2111">
        <v>11050</v>
      </c>
      <c r="N2111" t="s">
        <v>42</v>
      </c>
      <c r="O2111">
        <f t="shared" si="64"/>
        <v>33150</v>
      </c>
      <c r="P2111" s="13">
        <f t="shared" si="65"/>
        <v>2144701</v>
      </c>
      <c r="Q2111" s="13">
        <f>SUMIFS(M:M,E:E,Online_eCommerce[[#This Row],[Status]])</f>
        <v>21233992</v>
      </c>
      <c r="R2111" s="13">
        <f>SUMIFS(L:L,H:H,Online_eCommerce[[#This Row],[Brand]])</f>
        <v>14431000</v>
      </c>
      <c r="S2111" s="13">
        <f>SUMIF(H:H,Online_eCommerce[[#This Row],[Brand]],M:M)</f>
        <v>18760300</v>
      </c>
      <c r="T2111" s="13">
        <f>SUMIF(N:N,Online_eCommerce[[#This Row],[Assigned Supervisor]],L:L)</f>
        <v>12261500</v>
      </c>
    </row>
    <row r="2112" spans="1:20" hidden="1" x14ac:dyDescent="0.3">
      <c r="A2112" t="s">
        <v>3222</v>
      </c>
      <c r="B2112" t="s">
        <v>235</v>
      </c>
      <c r="C2112" t="s">
        <v>81</v>
      </c>
      <c r="D2112" t="s">
        <v>3083</v>
      </c>
      <c r="E2112" t="s">
        <v>18</v>
      </c>
      <c r="F2112" t="s">
        <v>32</v>
      </c>
      <c r="G2112" t="s">
        <v>33</v>
      </c>
      <c r="H2112" t="s">
        <v>34</v>
      </c>
      <c r="I2112">
        <v>7000</v>
      </c>
      <c r="J2112">
        <v>9100</v>
      </c>
      <c r="K2112">
        <v>1</v>
      </c>
      <c r="L2112">
        <v>7000</v>
      </c>
      <c r="M2112">
        <v>9100</v>
      </c>
      <c r="N2112" t="s">
        <v>50</v>
      </c>
      <c r="O2112">
        <f t="shared" si="64"/>
        <v>18200</v>
      </c>
      <c r="P2112" s="13">
        <f t="shared" si="65"/>
        <v>2595632</v>
      </c>
      <c r="Q2112" s="13">
        <f>SUMIFS(M:M,E:E,Online_eCommerce[[#This Row],[Status]])</f>
        <v>28340455</v>
      </c>
      <c r="R2112" s="13">
        <f>SUMIFS(L:L,H:H,Online_eCommerce[[#This Row],[Brand]])</f>
        <v>10087000</v>
      </c>
      <c r="S2112" s="13">
        <f>SUMIF(H:H,Online_eCommerce[[#This Row],[Brand]],M:M)</f>
        <v>13113100</v>
      </c>
      <c r="T2112" s="13">
        <f>SUMIF(N:N,Online_eCommerce[[#This Row],[Assigned Supervisor]],L:L)</f>
        <v>12100590</v>
      </c>
    </row>
    <row r="2113" spans="1:20" hidden="1" x14ac:dyDescent="0.3">
      <c r="A2113" t="s">
        <v>3223</v>
      </c>
      <c r="B2113" t="s">
        <v>235</v>
      </c>
      <c r="C2113" t="s">
        <v>86</v>
      </c>
      <c r="D2113" t="s">
        <v>3083</v>
      </c>
      <c r="E2113" t="s">
        <v>161</v>
      </c>
      <c r="F2113" t="s">
        <v>3224</v>
      </c>
      <c r="G2113" t="s">
        <v>256</v>
      </c>
      <c r="H2113" t="s">
        <v>41</v>
      </c>
      <c r="I2113">
        <v>6550</v>
      </c>
      <c r="J2113">
        <v>8515</v>
      </c>
      <c r="K2113">
        <v>2</v>
      </c>
      <c r="L2113">
        <v>13100</v>
      </c>
      <c r="M2113">
        <v>17030</v>
      </c>
      <c r="N2113" t="s">
        <v>56</v>
      </c>
      <c r="O2113">
        <f t="shared" si="64"/>
        <v>9100</v>
      </c>
      <c r="P2113" s="13">
        <f t="shared" si="65"/>
        <v>1941225</v>
      </c>
      <c r="Q2113" s="13">
        <f>SUMIFS(M:M,E:E,Online_eCommerce[[#This Row],[Status]])</f>
        <v>21103186</v>
      </c>
      <c r="R2113" s="13">
        <f>SUMIFS(L:L,H:H,Online_eCommerce[[#This Row],[Brand]])</f>
        <v>4260400</v>
      </c>
      <c r="S2113" s="13">
        <f>SUMIF(H:H,Online_eCommerce[[#This Row],[Brand]],M:M)</f>
        <v>5538520</v>
      </c>
      <c r="T2113" s="13">
        <f>SUMIF(N:N,Online_eCommerce[[#This Row],[Assigned Supervisor]],L:L)</f>
        <v>11733610</v>
      </c>
    </row>
    <row r="2114" spans="1:20" x14ac:dyDescent="0.3">
      <c r="A2114" t="s">
        <v>3225</v>
      </c>
      <c r="B2114" t="s">
        <v>235</v>
      </c>
      <c r="C2114" t="s">
        <v>91</v>
      </c>
      <c r="D2114" t="s">
        <v>3083</v>
      </c>
      <c r="E2114" t="s">
        <v>46</v>
      </c>
      <c r="F2114" t="s">
        <v>47</v>
      </c>
      <c r="G2114" t="s">
        <v>259</v>
      </c>
      <c r="H2114" t="s">
        <v>49</v>
      </c>
      <c r="I2114">
        <v>7650</v>
      </c>
      <c r="J2114">
        <v>9945</v>
      </c>
      <c r="K2114">
        <v>2</v>
      </c>
      <c r="L2114">
        <v>15300</v>
      </c>
      <c r="M2114">
        <v>19890</v>
      </c>
      <c r="N2114" t="s">
        <v>22</v>
      </c>
      <c r="O2114">
        <f t="shared" ref="O2114:O2177" si="66">VLOOKUP(G2114,G:M,7,FALSE)</f>
        <v>11700</v>
      </c>
      <c r="P2114" s="13">
        <f t="shared" ref="P2114:P2177" si="67">SUMIFS(M:M,C:C,C2114)</f>
        <v>2731963</v>
      </c>
      <c r="Q2114" s="13">
        <f>SUMIFS(M:M,E:E,Online_eCommerce[[#This Row],[Status]])</f>
        <v>28620410</v>
      </c>
      <c r="R2114" s="13">
        <f>SUMIFS(L:L,H:H,Online_eCommerce[[#This Row],[Brand]])</f>
        <v>4528350</v>
      </c>
      <c r="S2114" s="13">
        <f>SUMIF(H:H,Online_eCommerce[[#This Row],[Brand]],M:M)</f>
        <v>5886855</v>
      </c>
      <c r="T2114" s="13">
        <f>SUMIF(N:N,Online_eCommerce[[#This Row],[Assigned Supervisor]],L:L)</f>
        <v>13693220</v>
      </c>
    </row>
    <row r="2115" spans="1:20" hidden="1" x14ac:dyDescent="0.3">
      <c r="A2115" t="s">
        <v>3226</v>
      </c>
      <c r="B2115" t="s">
        <v>235</v>
      </c>
      <c r="C2115" t="s">
        <v>94</v>
      </c>
      <c r="D2115" t="s">
        <v>3083</v>
      </c>
      <c r="E2115" t="s">
        <v>96</v>
      </c>
      <c r="F2115" t="s">
        <v>53</v>
      </c>
      <c r="G2115" t="s">
        <v>54</v>
      </c>
      <c r="H2115" t="s">
        <v>55</v>
      </c>
      <c r="I2115">
        <v>1150</v>
      </c>
      <c r="J2115">
        <v>1495</v>
      </c>
      <c r="K2115">
        <v>4</v>
      </c>
      <c r="L2115">
        <v>4600</v>
      </c>
      <c r="M2115">
        <v>5980</v>
      </c>
      <c r="N2115" t="s">
        <v>28</v>
      </c>
      <c r="O2115">
        <f t="shared" si="66"/>
        <v>2990</v>
      </c>
      <c r="P2115" s="13">
        <f t="shared" si="67"/>
        <v>1868256</v>
      </c>
      <c r="Q2115" s="13">
        <f>SUMIFS(M:M,E:E,Online_eCommerce[[#This Row],[Status]])</f>
        <v>21233992</v>
      </c>
      <c r="R2115" s="13">
        <f>SUMIFS(L:L,H:H,Online_eCommerce[[#This Row],[Brand]])</f>
        <v>2267380</v>
      </c>
      <c r="S2115" s="13">
        <f>SUMIF(H:H,Online_eCommerce[[#This Row],[Brand]],M:M)</f>
        <v>2947594</v>
      </c>
      <c r="T2115" s="13">
        <f>SUMIF(N:N,Online_eCommerce[[#This Row],[Assigned Supervisor]],L:L)</f>
        <v>12220830</v>
      </c>
    </row>
    <row r="2116" spans="1:20" hidden="1" x14ac:dyDescent="0.3">
      <c r="A2116" t="s">
        <v>3227</v>
      </c>
      <c r="B2116" t="s">
        <v>235</v>
      </c>
      <c r="C2116" t="s">
        <v>99</v>
      </c>
      <c r="D2116" t="s">
        <v>3083</v>
      </c>
      <c r="E2116" t="s">
        <v>18</v>
      </c>
      <c r="F2116" t="s">
        <v>59</v>
      </c>
      <c r="G2116" t="s">
        <v>60</v>
      </c>
      <c r="H2116" t="s">
        <v>61</v>
      </c>
      <c r="I2116">
        <v>850</v>
      </c>
      <c r="J2116">
        <v>1105</v>
      </c>
      <c r="K2116">
        <v>2</v>
      </c>
      <c r="L2116">
        <v>1700</v>
      </c>
      <c r="M2116">
        <v>2210</v>
      </c>
      <c r="N2116" t="s">
        <v>35</v>
      </c>
      <c r="O2116">
        <f t="shared" si="66"/>
        <v>3315</v>
      </c>
      <c r="P2116" s="13">
        <f t="shared" si="67"/>
        <v>2651233</v>
      </c>
      <c r="Q2116" s="13">
        <f>SUMIFS(M:M,E:E,Online_eCommerce[[#This Row],[Status]])</f>
        <v>28340455</v>
      </c>
      <c r="R2116" s="13">
        <f>SUMIFS(L:L,H:H,Online_eCommerce[[#This Row],[Brand]])</f>
        <v>10950150</v>
      </c>
      <c r="S2116" s="13">
        <f>SUMIF(H:H,Online_eCommerce[[#This Row],[Brand]],M:M)</f>
        <v>14235195</v>
      </c>
      <c r="T2116" s="13">
        <f>SUMIF(N:N,Online_eCommerce[[#This Row],[Assigned Supervisor]],L:L)</f>
        <v>14373360</v>
      </c>
    </row>
    <row r="2117" spans="1:20" hidden="1" x14ac:dyDescent="0.3">
      <c r="A2117" t="s">
        <v>3228</v>
      </c>
      <c r="B2117" t="s">
        <v>235</v>
      </c>
      <c r="C2117" t="s">
        <v>105</v>
      </c>
      <c r="D2117" t="s">
        <v>3083</v>
      </c>
      <c r="E2117" t="s">
        <v>161</v>
      </c>
      <c r="F2117" t="s">
        <v>65</v>
      </c>
      <c r="G2117" t="s">
        <v>66</v>
      </c>
      <c r="H2117" t="s">
        <v>21</v>
      </c>
      <c r="I2117">
        <v>650</v>
      </c>
      <c r="J2117">
        <v>845</v>
      </c>
      <c r="K2117">
        <v>2</v>
      </c>
      <c r="L2117">
        <v>1300</v>
      </c>
      <c r="M2117">
        <v>1690</v>
      </c>
      <c r="N2117" t="s">
        <v>42</v>
      </c>
      <c r="O2117">
        <f t="shared" si="66"/>
        <v>1690</v>
      </c>
      <c r="P2117" s="13">
        <f t="shared" si="67"/>
        <v>1866852</v>
      </c>
      <c r="Q2117" s="13">
        <f>SUMIFS(M:M,E:E,Online_eCommerce[[#This Row],[Status]])</f>
        <v>21103186</v>
      </c>
      <c r="R2117" s="13">
        <f>SUMIFS(L:L,H:H,Online_eCommerce[[#This Row],[Brand]])</f>
        <v>12435650</v>
      </c>
      <c r="S2117" s="13">
        <f>SUMIF(H:H,Online_eCommerce[[#This Row],[Brand]],M:M)</f>
        <v>16166345</v>
      </c>
      <c r="T2117" s="13">
        <f>SUMIF(N:N,Online_eCommerce[[#This Row],[Assigned Supervisor]],L:L)</f>
        <v>12261500</v>
      </c>
    </row>
    <row r="2118" spans="1:20" x14ac:dyDescent="0.3">
      <c r="A2118" t="s">
        <v>3229</v>
      </c>
      <c r="B2118" t="s">
        <v>235</v>
      </c>
      <c r="C2118" t="s">
        <v>110</v>
      </c>
      <c r="D2118" t="s">
        <v>3083</v>
      </c>
      <c r="E2118" t="s">
        <v>46</v>
      </c>
      <c r="F2118" t="s">
        <v>70</v>
      </c>
      <c r="G2118" t="s">
        <v>71</v>
      </c>
      <c r="H2118" t="s">
        <v>61</v>
      </c>
      <c r="I2118">
        <v>7500</v>
      </c>
      <c r="J2118">
        <v>9750</v>
      </c>
      <c r="K2118">
        <v>3</v>
      </c>
      <c r="L2118">
        <v>22500</v>
      </c>
      <c r="M2118">
        <v>29250</v>
      </c>
      <c r="N2118" t="s">
        <v>50</v>
      </c>
      <c r="O2118">
        <f t="shared" si="66"/>
        <v>9750</v>
      </c>
      <c r="P2118" s="13">
        <f t="shared" si="67"/>
        <v>2598635</v>
      </c>
      <c r="Q2118" s="13">
        <f>SUMIFS(M:M,E:E,Online_eCommerce[[#This Row],[Status]])</f>
        <v>28620410</v>
      </c>
      <c r="R2118" s="13">
        <f>SUMIFS(L:L,H:H,Online_eCommerce[[#This Row],[Brand]])</f>
        <v>10950150</v>
      </c>
      <c r="S2118" s="13">
        <f>SUMIF(H:H,Online_eCommerce[[#This Row],[Brand]],M:M)</f>
        <v>14235195</v>
      </c>
      <c r="T2118" s="13">
        <f>SUMIF(N:N,Online_eCommerce[[#This Row],[Assigned Supervisor]],L:L)</f>
        <v>12100590</v>
      </c>
    </row>
    <row r="2119" spans="1:20" hidden="1" x14ac:dyDescent="0.3">
      <c r="A2119" t="s">
        <v>3230</v>
      </c>
      <c r="B2119" t="s">
        <v>235</v>
      </c>
      <c r="C2119" t="s">
        <v>115</v>
      </c>
      <c r="D2119" t="s">
        <v>3083</v>
      </c>
      <c r="E2119" t="s">
        <v>96</v>
      </c>
      <c r="F2119" t="s">
        <v>3217</v>
      </c>
      <c r="G2119" t="s">
        <v>77</v>
      </c>
      <c r="H2119" t="s">
        <v>78</v>
      </c>
      <c r="I2119">
        <v>10000</v>
      </c>
      <c r="J2119">
        <v>13000</v>
      </c>
      <c r="K2119">
        <v>4</v>
      </c>
      <c r="L2119">
        <v>40000</v>
      </c>
      <c r="M2119">
        <v>52000</v>
      </c>
      <c r="N2119" t="s">
        <v>56</v>
      </c>
      <c r="O2119">
        <f t="shared" si="66"/>
        <v>39000</v>
      </c>
      <c r="P2119" s="13">
        <f t="shared" si="67"/>
        <v>2050178</v>
      </c>
      <c r="Q2119" s="13">
        <f>SUMIFS(M:M,E:E,Online_eCommerce[[#This Row],[Status]])</f>
        <v>21233992</v>
      </c>
      <c r="R2119" s="13">
        <f>SUMIFS(L:L,H:H,Online_eCommerce[[#This Row],[Brand]])</f>
        <v>3720000</v>
      </c>
      <c r="S2119" s="13">
        <f>SUMIF(H:H,Online_eCommerce[[#This Row],[Brand]],M:M)</f>
        <v>4836000</v>
      </c>
      <c r="T2119" s="13">
        <f>SUMIF(N:N,Online_eCommerce[[#This Row],[Assigned Supervisor]],L:L)</f>
        <v>11733610</v>
      </c>
    </row>
    <row r="2120" spans="1:20" hidden="1" x14ac:dyDescent="0.3">
      <c r="A2120" t="s">
        <v>3231</v>
      </c>
      <c r="B2120" t="s">
        <v>235</v>
      </c>
      <c r="C2120" t="s">
        <v>120</v>
      </c>
      <c r="D2120" t="s">
        <v>3083</v>
      </c>
      <c r="E2120" t="s">
        <v>18</v>
      </c>
      <c r="F2120" t="s">
        <v>3232</v>
      </c>
      <c r="G2120" t="s">
        <v>20</v>
      </c>
      <c r="H2120" t="s">
        <v>21</v>
      </c>
      <c r="I2120">
        <v>10500</v>
      </c>
      <c r="J2120">
        <v>13650</v>
      </c>
      <c r="K2120">
        <v>2</v>
      </c>
      <c r="L2120">
        <v>21000</v>
      </c>
      <c r="M2120">
        <v>27300</v>
      </c>
      <c r="N2120" t="s">
        <v>22</v>
      </c>
      <c r="O2120">
        <f t="shared" si="66"/>
        <v>8450</v>
      </c>
      <c r="P2120" s="13">
        <f t="shared" si="67"/>
        <v>2734212</v>
      </c>
      <c r="Q2120" s="13">
        <f>SUMIFS(M:M,E:E,Online_eCommerce[[#This Row],[Status]])</f>
        <v>28340455</v>
      </c>
      <c r="R2120" s="13">
        <f>SUMIFS(L:L,H:H,Online_eCommerce[[#This Row],[Brand]])</f>
        <v>12435650</v>
      </c>
      <c r="S2120" s="13">
        <f>SUMIF(H:H,Online_eCommerce[[#This Row],[Brand]],M:M)</f>
        <v>16166345</v>
      </c>
      <c r="T2120" s="13">
        <f>SUMIF(N:N,Online_eCommerce[[#This Row],[Assigned Supervisor]],L:L)</f>
        <v>13693220</v>
      </c>
    </row>
    <row r="2121" spans="1:20" hidden="1" x14ac:dyDescent="0.3">
      <c r="A2121" t="s">
        <v>3233</v>
      </c>
      <c r="B2121" t="s">
        <v>235</v>
      </c>
      <c r="C2121" t="s">
        <v>125</v>
      </c>
      <c r="D2121" t="s">
        <v>3083</v>
      </c>
      <c r="E2121" t="s">
        <v>161</v>
      </c>
      <c r="F2121" t="s">
        <v>88</v>
      </c>
      <c r="G2121" t="s">
        <v>26</v>
      </c>
      <c r="H2121" t="s">
        <v>27</v>
      </c>
      <c r="I2121">
        <v>8500</v>
      </c>
      <c r="J2121">
        <v>11050</v>
      </c>
      <c r="K2121">
        <v>4</v>
      </c>
      <c r="L2121">
        <v>34000</v>
      </c>
      <c r="M2121">
        <v>44200</v>
      </c>
      <c r="N2121" t="s">
        <v>28</v>
      </c>
      <c r="O2121">
        <f t="shared" si="66"/>
        <v>33150</v>
      </c>
      <c r="P2121" s="13">
        <f t="shared" si="67"/>
        <v>2091154</v>
      </c>
      <c r="Q2121" s="13">
        <f>SUMIFS(M:M,E:E,Online_eCommerce[[#This Row],[Status]])</f>
        <v>21103186</v>
      </c>
      <c r="R2121" s="13">
        <f>SUMIFS(L:L,H:H,Online_eCommerce[[#This Row],[Brand]])</f>
        <v>14431000</v>
      </c>
      <c r="S2121" s="13">
        <f>SUMIF(H:H,Online_eCommerce[[#This Row],[Brand]],M:M)</f>
        <v>18760300</v>
      </c>
      <c r="T2121" s="13">
        <f>SUMIF(N:N,Online_eCommerce[[#This Row],[Assigned Supervisor]],L:L)</f>
        <v>12220830</v>
      </c>
    </row>
    <row r="2122" spans="1:20" x14ac:dyDescent="0.3">
      <c r="A2122" t="s">
        <v>3234</v>
      </c>
      <c r="B2122" t="s">
        <v>235</v>
      </c>
      <c r="C2122" t="s">
        <v>22</v>
      </c>
      <c r="D2122" t="s">
        <v>3083</v>
      </c>
      <c r="E2122" t="s">
        <v>46</v>
      </c>
      <c r="F2122" t="s">
        <v>32</v>
      </c>
      <c r="G2122" t="s">
        <v>33</v>
      </c>
      <c r="H2122" t="s">
        <v>34</v>
      </c>
      <c r="I2122">
        <v>7000</v>
      </c>
      <c r="J2122">
        <v>9100</v>
      </c>
      <c r="K2122">
        <v>4</v>
      </c>
      <c r="L2122">
        <v>28000</v>
      </c>
      <c r="M2122">
        <v>36400</v>
      </c>
      <c r="N2122" t="s">
        <v>35</v>
      </c>
      <c r="O2122">
        <f t="shared" si="66"/>
        <v>18200</v>
      </c>
      <c r="P2122" s="13">
        <f t="shared" si="67"/>
        <v>2551588</v>
      </c>
      <c r="Q2122" s="13">
        <f>SUMIFS(M:M,E:E,Online_eCommerce[[#This Row],[Status]])</f>
        <v>28620410</v>
      </c>
      <c r="R2122" s="13">
        <f>SUMIFS(L:L,H:H,Online_eCommerce[[#This Row],[Brand]])</f>
        <v>10087000</v>
      </c>
      <c r="S2122" s="13">
        <f>SUMIF(H:H,Online_eCommerce[[#This Row],[Brand]],M:M)</f>
        <v>13113100</v>
      </c>
      <c r="T2122" s="13">
        <f>SUMIF(N:N,Online_eCommerce[[#This Row],[Assigned Supervisor]],L:L)</f>
        <v>14373360</v>
      </c>
    </row>
    <row r="2123" spans="1:20" hidden="1" x14ac:dyDescent="0.3">
      <c r="A2123" t="s">
        <v>3235</v>
      </c>
      <c r="B2123" t="s">
        <v>235</v>
      </c>
      <c r="C2123" t="s">
        <v>132</v>
      </c>
      <c r="D2123" t="s">
        <v>3083</v>
      </c>
      <c r="E2123" t="s">
        <v>96</v>
      </c>
      <c r="F2123" t="s">
        <v>3236</v>
      </c>
      <c r="G2123" t="s">
        <v>256</v>
      </c>
      <c r="H2123" t="s">
        <v>41</v>
      </c>
      <c r="I2123">
        <v>1680</v>
      </c>
      <c r="J2123">
        <v>2184</v>
      </c>
      <c r="K2123">
        <v>2</v>
      </c>
      <c r="L2123">
        <v>3360</v>
      </c>
      <c r="M2123">
        <v>4368</v>
      </c>
      <c r="N2123" t="s">
        <v>42</v>
      </c>
      <c r="O2123">
        <f t="shared" si="66"/>
        <v>9100</v>
      </c>
      <c r="P2123" s="13">
        <f t="shared" si="67"/>
        <v>1989065</v>
      </c>
      <c r="Q2123" s="13">
        <f>SUMIFS(M:M,E:E,Online_eCommerce[[#This Row],[Status]])</f>
        <v>21233992</v>
      </c>
      <c r="R2123" s="13">
        <f>SUMIFS(L:L,H:H,Online_eCommerce[[#This Row],[Brand]])</f>
        <v>4260400</v>
      </c>
      <c r="S2123" s="13">
        <f>SUMIF(H:H,Online_eCommerce[[#This Row],[Brand]],M:M)</f>
        <v>5538520</v>
      </c>
      <c r="T2123" s="13">
        <f>SUMIF(N:N,Online_eCommerce[[#This Row],[Assigned Supervisor]],L:L)</f>
        <v>12261500</v>
      </c>
    </row>
    <row r="2124" spans="1:20" hidden="1" x14ac:dyDescent="0.3">
      <c r="A2124" t="s">
        <v>3237</v>
      </c>
      <c r="B2124" t="s">
        <v>235</v>
      </c>
      <c r="C2124" t="s">
        <v>136</v>
      </c>
      <c r="D2124" t="s">
        <v>3083</v>
      </c>
      <c r="E2124" t="s">
        <v>18</v>
      </c>
      <c r="F2124" t="s">
        <v>101</v>
      </c>
      <c r="G2124" t="s">
        <v>259</v>
      </c>
      <c r="H2124" t="s">
        <v>102</v>
      </c>
      <c r="I2124">
        <v>6540</v>
      </c>
      <c r="J2124">
        <v>8502</v>
      </c>
      <c r="K2124">
        <v>3</v>
      </c>
      <c r="L2124">
        <v>19620</v>
      </c>
      <c r="M2124">
        <v>25506</v>
      </c>
      <c r="N2124" t="s">
        <v>50</v>
      </c>
      <c r="O2124">
        <f t="shared" si="66"/>
        <v>11700</v>
      </c>
      <c r="P2124" s="13">
        <f t="shared" si="67"/>
        <v>2775162</v>
      </c>
      <c r="Q2124" s="13">
        <f>SUMIFS(M:M,E:E,Online_eCommerce[[#This Row],[Status]])</f>
        <v>28340455</v>
      </c>
      <c r="R2124" s="13">
        <f>SUMIFS(L:L,H:H,Online_eCommerce[[#This Row],[Brand]])</f>
        <v>2465580</v>
      </c>
      <c r="S2124" s="13">
        <f>SUMIF(H:H,Online_eCommerce[[#This Row],[Brand]],M:M)</f>
        <v>3205254</v>
      </c>
      <c r="T2124" s="13">
        <f>SUMIF(N:N,Online_eCommerce[[#This Row],[Assigned Supervisor]],L:L)</f>
        <v>12100590</v>
      </c>
    </row>
    <row r="2125" spans="1:20" hidden="1" x14ac:dyDescent="0.3">
      <c r="A2125" t="s">
        <v>3238</v>
      </c>
      <c r="B2125" t="s">
        <v>235</v>
      </c>
      <c r="C2125" t="s">
        <v>140</v>
      </c>
      <c r="D2125" t="s">
        <v>3083</v>
      </c>
      <c r="E2125" t="s">
        <v>161</v>
      </c>
      <c r="F2125" t="s">
        <v>107</v>
      </c>
      <c r="G2125" t="s">
        <v>54</v>
      </c>
      <c r="H2125" t="s">
        <v>55</v>
      </c>
      <c r="I2125">
        <v>2680</v>
      </c>
      <c r="J2125">
        <v>3484</v>
      </c>
      <c r="K2125">
        <v>2</v>
      </c>
      <c r="L2125">
        <v>5360</v>
      </c>
      <c r="M2125">
        <v>6968</v>
      </c>
      <c r="N2125" t="s">
        <v>56</v>
      </c>
      <c r="O2125">
        <f t="shared" si="66"/>
        <v>2990</v>
      </c>
      <c r="P2125" s="13">
        <f t="shared" si="67"/>
        <v>2058264</v>
      </c>
      <c r="Q2125" s="13">
        <f>SUMIFS(M:M,E:E,Online_eCommerce[[#This Row],[Status]])</f>
        <v>21103186</v>
      </c>
      <c r="R2125" s="13">
        <f>SUMIFS(L:L,H:H,Online_eCommerce[[#This Row],[Brand]])</f>
        <v>2267380</v>
      </c>
      <c r="S2125" s="13">
        <f>SUMIF(H:H,Online_eCommerce[[#This Row],[Brand]],M:M)</f>
        <v>2947594</v>
      </c>
      <c r="T2125" s="13">
        <f>SUMIF(N:N,Online_eCommerce[[#This Row],[Assigned Supervisor]],L:L)</f>
        <v>11733610</v>
      </c>
    </row>
    <row r="2126" spans="1:20" x14ac:dyDescent="0.3">
      <c r="A2126" t="s">
        <v>3239</v>
      </c>
      <c r="B2126" t="s">
        <v>235</v>
      </c>
      <c r="C2126" t="s">
        <v>145</v>
      </c>
      <c r="D2126" t="s">
        <v>3083</v>
      </c>
      <c r="E2126" t="s">
        <v>46</v>
      </c>
      <c r="F2126" t="s">
        <v>112</v>
      </c>
      <c r="G2126" t="s">
        <v>71</v>
      </c>
      <c r="H2126" t="s">
        <v>21</v>
      </c>
      <c r="I2126">
        <v>8250</v>
      </c>
      <c r="J2126">
        <v>10725</v>
      </c>
      <c r="K2126">
        <v>1</v>
      </c>
      <c r="L2126">
        <v>8250</v>
      </c>
      <c r="M2126">
        <v>10725</v>
      </c>
      <c r="N2126" t="s">
        <v>22</v>
      </c>
      <c r="O2126">
        <f t="shared" si="66"/>
        <v>9750</v>
      </c>
      <c r="P2126" s="13">
        <f t="shared" si="67"/>
        <v>2757859</v>
      </c>
      <c r="Q2126" s="13">
        <f>SUMIFS(M:M,E:E,Online_eCommerce[[#This Row],[Status]])</f>
        <v>28620410</v>
      </c>
      <c r="R2126" s="13">
        <f>SUMIFS(L:L,H:H,Online_eCommerce[[#This Row],[Brand]])</f>
        <v>12435650</v>
      </c>
      <c r="S2126" s="13">
        <f>SUMIF(H:H,Online_eCommerce[[#This Row],[Brand]],M:M)</f>
        <v>16166345</v>
      </c>
      <c r="T2126" s="13">
        <f>SUMIF(N:N,Online_eCommerce[[#This Row],[Assigned Supervisor]],L:L)</f>
        <v>13693220</v>
      </c>
    </row>
    <row r="2127" spans="1:20" hidden="1" x14ac:dyDescent="0.3">
      <c r="A2127" t="s">
        <v>3240</v>
      </c>
      <c r="B2127" t="s">
        <v>235</v>
      </c>
      <c r="C2127" t="s">
        <v>150</v>
      </c>
      <c r="D2127" t="s">
        <v>3083</v>
      </c>
      <c r="E2127" t="s">
        <v>96</v>
      </c>
      <c r="F2127" t="s">
        <v>2885</v>
      </c>
      <c r="G2127" t="s">
        <v>40</v>
      </c>
      <c r="H2127" t="s">
        <v>21</v>
      </c>
      <c r="I2127">
        <v>2650</v>
      </c>
      <c r="J2127">
        <v>3445</v>
      </c>
      <c r="K2127">
        <v>4</v>
      </c>
      <c r="L2127">
        <v>10600</v>
      </c>
      <c r="M2127">
        <v>13780</v>
      </c>
      <c r="N2127" t="s">
        <v>28</v>
      </c>
      <c r="O2127">
        <f t="shared" si="66"/>
        <v>25545</v>
      </c>
      <c r="P2127" s="13">
        <f t="shared" si="67"/>
        <v>2154984</v>
      </c>
      <c r="Q2127" s="13">
        <f>SUMIFS(M:M,E:E,Online_eCommerce[[#This Row],[Status]])</f>
        <v>21233992</v>
      </c>
      <c r="R2127" s="13">
        <f>SUMIFS(L:L,H:H,Online_eCommerce[[#This Row],[Brand]])</f>
        <v>12435650</v>
      </c>
      <c r="S2127" s="13">
        <f>SUMIF(H:H,Online_eCommerce[[#This Row],[Brand]],M:M)</f>
        <v>16166345</v>
      </c>
      <c r="T2127" s="13">
        <f>SUMIF(N:N,Online_eCommerce[[#This Row],[Assigned Supervisor]],L:L)</f>
        <v>12220830</v>
      </c>
    </row>
    <row r="2128" spans="1:20" hidden="1" x14ac:dyDescent="0.3">
      <c r="A2128" t="s">
        <v>3241</v>
      </c>
      <c r="B2128" t="s">
        <v>235</v>
      </c>
      <c r="C2128" t="s">
        <v>155</v>
      </c>
      <c r="D2128" t="s">
        <v>3083</v>
      </c>
      <c r="E2128" t="s">
        <v>18</v>
      </c>
      <c r="F2128" t="s">
        <v>121</v>
      </c>
      <c r="G2128" t="s">
        <v>71</v>
      </c>
      <c r="H2128" t="s">
        <v>122</v>
      </c>
      <c r="I2128">
        <v>12550</v>
      </c>
      <c r="J2128">
        <v>16315</v>
      </c>
      <c r="K2128">
        <v>2</v>
      </c>
      <c r="L2128">
        <v>25100</v>
      </c>
      <c r="M2128">
        <v>32630</v>
      </c>
      <c r="N2128" t="s">
        <v>35</v>
      </c>
      <c r="O2128">
        <f t="shared" si="66"/>
        <v>9750</v>
      </c>
      <c r="P2128" s="13">
        <f t="shared" si="67"/>
        <v>2753348</v>
      </c>
      <c r="Q2128" s="13">
        <f>SUMIFS(M:M,E:E,Online_eCommerce[[#This Row],[Status]])</f>
        <v>28340455</v>
      </c>
      <c r="R2128" s="13">
        <f>SUMIFS(L:L,H:H,Online_eCommerce[[#This Row],[Brand]])</f>
        <v>5045100</v>
      </c>
      <c r="S2128" s="13">
        <f>SUMIF(H:H,Online_eCommerce[[#This Row],[Brand]],M:M)</f>
        <v>6558630</v>
      </c>
      <c r="T2128" s="13">
        <f>SUMIF(N:N,Online_eCommerce[[#This Row],[Assigned Supervisor]],L:L)</f>
        <v>14373360</v>
      </c>
    </row>
    <row r="2129" spans="1:20" hidden="1" x14ac:dyDescent="0.3">
      <c r="A2129" t="s">
        <v>3242</v>
      </c>
      <c r="B2129" t="s">
        <v>235</v>
      </c>
      <c r="C2129" t="s">
        <v>160</v>
      </c>
      <c r="D2129" t="s">
        <v>3083</v>
      </c>
      <c r="E2129" t="s">
        <v>161</v>
      </c>
      <c r="F2129" t="s">
        <v>126</v>
      </c>
      <c r="G2129" t="s">
        <v>26</v>
      </c>
      <c r="H2129" t="s">
        <v>27</v>
      </c>
      <c r="I2129">
        <v>14500</v>
      </c>
      <c r="J2129">
        <v>18850</v>
      </c>
      <c r="K2129">
        <v>4</v>
      </c>
      <c r="L2129">
        <v>58000</v>
      </c>
      <c r="M2129">
        <v>75400</v>
      </c>
      <c r="N2129" t="s">
        <v>42</v>
      </c>
      <c r="O2129">
        <f t="shared" si="66"/>
        <v>33150</v>
      </c>
      <c r="P2129" s="13">
        <f t="shared" si="67"/>
        <v>2303483</v>
      </c>
      <c r="Q2129" s="13">
        <f>SUMIFS(M:M,E:E,Online_eCommerce[[#This Row],[Status]])</f>
        <v>21103186</v>
      </c>
      <c r="R2129" s="13">
        <f>SUMIFS(L:L,H:H,Online_eCommerce[[#This Row],[Brand]])</f>
        <v>14431000</v>
      </c>
      <c r="S2129" s="13">
        <f>SUMIF(H:H,Online_eCommerce[[#This Row],[Brand]],M:M)</f>
        <v>18760300</v>
      </c>
      <c r="T2129" s="13">
        <f>SUMIF(N:N,Online_eCommerce[[#This Row],[Assigned Supervisor]],L:L)</f>
        <v>12261500</v>
      </c>
    </row>
    <row r="2130" spans="1:20" x14ac:dyDescent="0.3">
      <c r="A2130" t="s">
        <v>3243</v>
      </c>
      <c r="B2130" t="s">
        <v>235</v>
      </c>
      <c r="C2130" t="s">
        <v>165</v>
      </c>
      <c r="D2130" t="s">
        <v>3083</v>
      </c>
      <c r="E2130" t="s">
        <v>46</v>
      </c>
      <c r="F2130" t="s">
        <v>129</v>
      </c>
      <c r="G2130" t="s">
        <v>60</v>
      </c>
      <c r="H2130" t="s">
        <v>61</v>
      </c>
      <c r="I2130">
        <v>800</v>
      </c>
      <c r="J2130">
        <v>1040</v>
      </c>
      <c r="K2130">
        <v>1</v>
      </c>
      <c r="L2130">
        <v>800</v>
      </c>
      <c r="M2130">
        <v>1040</v>
      </c>
      <c r="N2130" t="s">
        <v>50</v>
      </c>
      <c r="O2130">
        <f t="shared" si="66"/>
        <v>3315</v>
      </c>
      <c r="P2130" s="13">
        <f t="shared" si="67"/>
        <v>2674087</v>
      </c>
      <c r="Q2130" s="13">
        <f>SUMIFS(M:M,E:E,Online_eCommerce[[#This Row],[Status]])</f>
        <v>28620410</v>
      </c>
      <c r="R2130" s="13">
        <f>SUMIFS(L:L,H:H,Online_eCommerce[[#This Row],[Brand]])</f>
        <v>10950150</v>
      </c>
      <c r="S2130" s="13">
        <f>SUMIF(H:H,Online_eCommerce[[#This Row],[Brand]],M:M)</f>
        <v>14235195</v>
      </c>
      <c r="T2130" s="13">
        <f>SUMIF(N:N,Online_eCommerce[[#This Row],[Assigned Supervisor]],L:L)</f>
        <v>12100590</v>
      </c>
    </row>
    <row r="2131" spans="1:20" hidden="1" x14ac:dyDescent="0.3">
      <c r="A2131" t="s">
        <v>3244</v>
      </c>
      <c r="B2131" t="s">
        <v>235</v>
      </c>
      <c r="C2131" t="s">
        <v>168</v>
      </c>
      <c r="D2131" t="s">
        <v>3083</v>
      </c>
      <c r="E2131" t="s">
        <v>96</v>
      </c>
      <c r="F2131" t="s">
        <v>133</v>
      </c>
      <c r="G2131" t="s">
        <v>66</v>
      </c>
      <c r="H2131" t="s">
        <v>21</v>
      </c>
      <c r="I2131">
        <v>600</v>
      </c>
      <c r="J2131">
        <v>780</v>
      </c>
      <c r="K2131">
        <v>1</v>
      </c>
      <c r="L2131">
        <v>600</v>
      </c>
      <c r="M2131">
        <v>780</v>
      </c>
      <c r="N2131" t="s">
        <v>56</v>
      </c>
      <c r="O2131">
        <f t="shared" si="66"/>
        <v>1690</v>
      </c>
      <c r="P2131" s="13">
        <f t="shared" si="67"/>
        <v>1937780</v>
      </c>
      <c r="Q2131" s="13">
        <f>SUMIFS(M:M,E:E,Online_eCommerce[[#This Row],[Status]])</f>
        <v>21233992</v>
      </c>
      <c r="R2131" s="13">
        <f>SUMIFS(L:L,H:H,Online_eCommerce[[#This Row],[Brand]])</f>
        <v>12435650</v>
      </c>
      <c r="S2131" s="13">
        <f>SUMIF(H:H,Online_eCommerce[[#This Row],[Brand]],M:M)</f>
        <v>16166345</v>
      </c>
      <c r="T2131" s="13">
        <f>SUMIF(N:N,Online_eCommerce[[#This Row],[Assigned Supervisor]],L:L)</f>
        <v>11733610</v>
      </c>
    </row>
    <row r="2132" spans="1:20" hidden="1" x14ac:dyDescent="0.3">
      <c r="A2132" t="s">
        <v>3245</v>
      </c>
      <c r="B2132" t="s">
        <v>235</v>
      </c>
      <c r="C2132" t="s">
        <v>172</v>
      </c>
      <c r="D2132" t="s">
        <v>3083</v>
      </c>
      <c r="E2132" t="s">
        <v>18</v>
      </c>
      <c r="F2132" t="s">
        <v>137</v>
      </c>
      <c r="G2132" t="s">
        <v>71</v>
      </c>
      <c r="H2132" t="s">
        <v>61</v>
      </c>
      <c r="I2132">
        <v>10500</v>
      </c>
      <c r="J2132">
        <v>13650</v>
      </c>
      <c r="K2132">
        <v>1</v>
      </c>
      <c r="L2132">
        <v>10500</v>
      </c>
      <c r="M2132">
        <v>13650</v>
      </c>
      <c r="N2132" t="s">
        <v>22</v>
      </c>
      <c r="O2132">
        <f t="shared" si="66"/>
        <v>9750</v>
      </c>
      <c r="P2132" s="13">
        <f t="shared" si="67"/>
        <v>2640274</v>
      </c>
      <c r="Q2132" s="13">
        <f>SUMIFS(M:M,E:E,Online_eCommerce[[#This Row],[Status]])</f>
        <v>28340455</v>
      </c>
      <c r="R2132" s="13">
        <f>SUMIFS(L:L,H:H,Online_eCommerce[[#This Row],[Brand]])</f>
        <v>10950150</v>
      </c>
      <c r="S2132" s="13">
        <f>SUMIF(H:H,Online_eCommerce[[#This Row],[Brand]],M:M)</f>
        <v>14235195</v>
      </c>
      <c r="T2132" s="13">
        <f>SUMIF(N:N,Online_eCommerce[[#This Row],[Assigned Supervisor]],L:L)</f>
        <v>13693220</v>
      </c>
    </row>
    <row r="2133" spans="1:20" hidden="1" x14ac:dyDescent="0.3">
      <c r="A2133" t="s">
        <v>3246</v>
      </c>
      <c r="B2133" t="s">
        <v>235</v>
      </c>
      <c r="C2133" t="s">
        <v>177</v>
      </c>
      <c r="D2133" t="s">
        <v>3083</v>
      </c>
      <c r="E2133" t="s">
        <v>161</v>
      </c>
      <c r="F2133" t="s">
        <v>3217</v>
      </c>
      <c r="G2133" t="s">
        <v>77</v>
      </c>
      <c r="H2133" t="s">
        <v>142</v>
      </c>
      <c r="I2133">
        <v>6500</v>
      </c>
      <c r="J2133">
        <v>8450</v>
      </c>
      <c r="K2133">
        <v>2</v>
      </c>
      <c r="L2133">
        <v>13000</v>
      </c>
      <c r="M2133">
        <v>16900</v>
      </c>
      <c r="N2133" t="s">
        <v>28</v>
      </c>
      <c r="O2133">
        <f t="shared" si="66"/>
        <v>39000</v>
      </c>
      <c r="P2133" s="13">
        <f t="shared" si="67"/>
        <v>1863810</v>
      </c>
      <c r="Q2133" s="13">
        <f>SUMIFS(M:M,E:E,Online_eCommerce[[#This Row],[Status]])</f>
        <v>21103186</v>
      </c>
      <c r="R2133" s="13">
        <f>SUMIFS(L:L,H:H,Online_eCommerce[[#This Row],[Brand]])</f>
        <v>6192500</v>
      </c>
      <c r="S2133" s="13">
        <f>SUMIF(H:H,Online_eCommerce[[#This Row],[Brand]],M:M)</f>
        <v>8050250</v>
      </c>
      <c r="T2133" s="13">
        <f>SUMIF(N:N,Online_eCommerce[[#This Row],[Assigned Supervisor]],L:L)</f>
        <v>12220830</v>
      </c>
    </row>
    <row r="2134" spans="1:20" x14ac:dyDescent="0.3">
      <c r="A2134" t="s">
        <v>3247</v>
      </c>
      <c r="B2134" t="s">
        <v>235</v>
      </c>
      <c r="C2134" t="s">
        <v>181</v>
      </c>
      <c r="D2134" t="s">
        <v>3083</v>
      </c>
      <c r="E2134" t="s">
        <v>46</v>
      </c>
      <c r="F2134" t="s">
        <v>3248</v>
      </c>
      <c r="G2134" t="s">
        <v>20</v>
      </c>
      <c r="H2134" t="s">
        <v>21</v>
      </c>
      <c r="I2134">
        <v>4500</v>
      </c>
      <c r="J2134">
        <v>5850</v>
      </c>
      <c r="K2134">
        <v>2</v>
      </c>
      <c r="L2134">
        <v>9000</v>
      </c>
      <c r="M2134">
        <v>11700</v>
      </c>
      <c r="N2134" t="s">
        <v>35</v>
      </c>
      <c r="O2134">
        <f t="shared" si="66"/>
        <v>8450</v>
      </c>
      <c r="P2134" s="13">
        <f t="shared" si="67"/>
        <v>2577458</v>
      </c>
      <c r="Q2134" s="13">
        <f>SUMIFS(M:M,E:E,Online_eCommerce[[#This Row],[Status]])</f>
        <v>28620410</v>
      </c>
      <c r="R2134" s="13">
        <f>SUMIFS(L:L,H:H,Online_eCommerce[[#This Row],[Brand]])</f>
        <v>12435650</v>
      </c>
      <c r="S2134" s="13">
        <f>SUMIF(H:H,Online_eCommerce[[#This Row],[Brand]],M:M)</f>
        <v>16166345</v>
      </c>
      <c r="T2134" s="13">
        <f>SUMIF(N:N,Online_eCommerce[[#This Row],[Assigned Supervisor]],L:L)</f>
        <v>14373360</v>
      </c>
    </row>
    <row r="2135" spans="1:20" hidden="1" x14ac:dyDescent="0.3">
      <c r="A2135" t="s">
        <v>3249</v>
      </c>
      <c r="B2135" t="s">
        <v>235</v>
      </c>
      <c r="C2135" t="s">
        <v>185</v>
      </c>
      <c r="D2135" t="s">
        <v>3083</v>
      </c>
      <c r="E2135" t="s">
        <v>96</v>
      </c>
      <c r="F2135" t="s">
        <v>152</v>
      </c>
      <c r="G2135" t="s">
        <v>26</v>
      </c>
      <c r="H2135" t="s">
        <v>27</v>
      </c>
      <c r="I2135">
        <v>8500</v>
      </c>
      <c r="J2135">
        <v>11050</v>
      </c>
      <c r="K2135">
        <v>2</v>
      </c>
      <c r="L2135">
        <v>17000</v>
      </c>
      <c r="M2135">
        <v>22100</v>
      </c>
      <c r="N2135" t="s">
        <v>42</v>
      </c>
      <c r="O2135">
        <f t="shared" si="66"/>
        <v>33150</v>
      </c>
      <c r="P2135" s="13">
        <f t="shared" si="67"/>
        <v>2091596</v>
      </c>
      <c r="Q2135" s="13">
        <f>SUMIFS(M:M,E:E,Online_eCommerce[[#This Row],[Status]])</f>
        <v>21233992</v>
      </c>
      <c r="R2135" s="13">
        <f>SUMIFS(L:L,H:H,Online_eCommerce[[#This Row],[Brand]])</f>
        <v>14431000</v>
      </c>
      <c r="S2135" s="13">
        <f>SUMIF(H:H,Online_eCommerce[[#This Row],[Brand]],M:M)</f>
        <v>18760300</v>
      </c>
      <c r="T2135" s="13">
        <f>SUMIF(N:N,Online_eCommerce[[#This Row],[Assigned Supervisor]],L:L)</f>
        <v>12261500</v>
      </c>
    </row>
    <row r="2136" spans="1:20" hidden="1" x14ac:dyDescent="0.3">
      <c r="A2136" t="s">
        <v>3250</v>
      </c>
      <c r="B2136" t="s">
        <v>235</v>
      </c>
      <c r="C2136" t="s">
        <v>189</v>
      </c>
      <c r="D2136" t="s">
        <v>3083</v>
      </c>
      <c r="E2136" t="s">
        <v>18</v>
      </c>
      <c r="F2136" t="s">
        <v>157</v>
      </c>
      <c r="G2136" t="s">
        <v>33</v>
      </c>
      <c r="H2136" t="s">
        <v>34</v>
      </c>
      <c r="I2136">
        <v>12500</v>
      </c>
      <c r="J2136">
        <v>16250</v>
      </c>
      <c r="K2136">
        <v>3</v>
      </c>
      <c r="L2136">
        <v>37500</v>
      </c>
      <c r="M2136">
        <v>48750</v>
      </c>
      <c r="N2136" t="s">
        <v>50</v>
      </c>
      <c r="O2136">
        <f t="shared" si="66"/>
        <v>18200</v>
      </c>
      <c r="P2136" s="13">
        <f t="shared" si="67"/>
        <v>2740777</v>
      </c>
      <c r="Q2136" s="13">
        <f>SUMIFS(M:M,E:E,Online_eCommerce[[#This Row],[Status]])</f>
        <v>28340455</v>
      </c>
      <c r="R2136" s="13">
        <f>SUMIFS(L:L,H:H,Online_eCommerce[[#This Row],[Brand]])</f>
        <v>10087000</v>
      </c>
      <c r="S2136" s="13">
        <f>SUMIF(H:H,Online_eCommerce[[#This Row],[Brand]],M:M)</f>
        <v>13113100</v>
      </c>
      <c r="T2136" s="13">
        <f>SUMIF(N:N,Online_eCommerce[[#This Row],[Assigned Supervisor]],L:L)</f>
        <v>12100590</v>
      </c>
    </row>
    <row r="2137" spans="1:20" hidden="1" x14ac:dyDescent="0.3">
      <c r="A2137" t="s">
        <v>3251</v>
      </c>
      <c r="B2137" t="s">
        <v>235</v>
      </c>
      <c r="C2137" t="s">
        <v>193</v>
      </c>
      <c r="D2137" t="s">
        <v>3083</v>
      </c>
      <c r="E2137" t="s">
        <v>161</v>
      </c>
      <c r="F2137" t="s">
        <v>2928</v>
      </c>
      <c r="G2137" t="s">
        <v>40</v>
      </c>
      <c r="H2137" t="s">
        <v>41</v>
      </c>
      <c r="I2137">
        <v>3500</v>
      </c>
      <c r="J2137">
        <v>4550</v>
      </c>
      <c r="K2137">
        <v>1</v>
      </c>
      <c r="L2137">
        <v>3500</v>
      </c>
      <c r="M2137">
        <v>4550</v>
      </c>
      <c r="N2137" t="s">
        <v>56</v>
      </c>
      <c r="O2137">
        <f t="shared" si="66"/>
        <v>25545</v>
      </c>
      <c r="P2137" s="13">
        <f t="shared" si="67"/>
        <v>2074774</v>
      </c>
      <c r="Q2137" s="13">
        <f>SUMIFS(M:M,E:E,Online_eCommerce[[#This Row],[Status]])</f>
        <v>21103186</v>
      </c>
      <c r="R2137" s="13">
        <f>SUMIFS(L:L,H:H,Online_eCommerce[[#This Row],[Brand]])</f>
        <v>4260400</v>
      </c>
      <c r="S2137" s="13">
        <f>SUMIF(H:H,Online_eCommerce[[#This Row],[Brand]],M:M)</f>
        <v>5538520</v>
      </c>
      <c r="T2137" s="13">
        <f>SUMIF(N:N,Online_eCommerce[[#This Row],[Assigned Supervisor]],L:L)</f>
        <v>11733610</v>
      </c>
    </row>
    <row r="2138" spans="1:20" x14ac:dyDescent="0.3">
      <c r="A2138" t="s">
        <v>3252</v>
      </c>
      <c r="B2138" t="s">
        <v>235</v>
      </c>
      <c r="C2138" t="s">
        <v>197</v>
      </c>
      <c r="D2138" t="s">
        <v>3083</v>
      </c>
      <c r="E2138" t="s">
        <v>46</v>
      </c>
      <c r="F2138" t="s">
        <v>166</v>
      </c>
      <c r="G2138" t="s">
        <v>334</v>
      </c>
      <c r="H2138" t="s">
        <v>49</v>
      </c>
      <c r="I2138">
        <v>4500</v>
      </c>
      <c r="J2138">
        <v>5850</v>
      </c>
      <c r="K2138">
        <v>1</v>
      </c>
      <c r="L2138">
        <v>4500</v>
      </c>
      <c r="M2138">
        <v>5850</v>
      </c>
      <c r="N2138" t="s">
        <v>22</v>
      </c>
      <c r="O2138">
        <f t="shared" si="66"/>
        <v>39780</v>
      </c>
      <c r="P2138" s="13">
        <f t="shared" si="67"/>
        <v>2829840</v>
      </c>
      <c r="Q2138" s="13">
        <f>SUMIFS(M:M,E:E,Online_eCommerce[[#This Row],[Status]])</f>
        <v>28620410</v>
      </c>
      <c r="R2138" s="13">
        <f>SUMIFS(L:L,H:H,Online_eCommerce[[#This Row],[Brand]])</f>
        <v>4528350</v>
      </c>
      <c r="S2138" s="13">
        <f>SUMIF(H:H,Online_eCommerce[[#This Row],[Brand]],M:M)</f>
        <v>5886855</v>
      </c>
      <c r="T2138" s="13">
        <f>SUMIF(N:N,Online_eCommerce[[#This Row],[Assigned Supervisor]],L:L)</f>
        <v>13693220</v>
      </c>
    </row>
    <row r="2139" spans="1:20" hidden="1" x14ac:dyDescent="0.3">
      <c r="A2139" t="s">
        <v>3253</v>
      </c>
      <c r="B2139" t="s">
        <v>235</v>
      </c>
      <c r="C2139" t="s">
        <v>199</v>
      </c>
      <c r="D2139" t="s">
        <v>3083</v>
      </c>
      <c r="E2139" t="s">
        <v>96</v>
      </c>
      <c r="F2139" t="s">
        <v>3254</v>
      </c>
      <c r="G2139" t="s">
        <v>54</v>
      </c>
      <c r="H2139" t="s">
        <v>55</v>
      </c>
      <c r="I2139">
        <v>2100</v>
      </c>
      <c r="J2139">
        <v>2730</v>
      </c>
      <c r="K2139">
        <v>2</v>
      </c>
      <c r="L2139">
        <v>4200</v>
      </c>
      <c r="M2139">
        <v>5460</v>
      </c>
      <c r="N2139" t="s">
        <v>28</v>
      </c>
      <c r="O2139">
        <f t="shared" si="66"/>
        <v>2990</v>
      </c>
      <c r="P2139" s="13">
        <f t="shared" si="67"/>
        <v>1947361</v>
      </c>
      <c r="Q2139" s="13">
        <f>SUMIFS(M:M,E:E,Online_eCommerce[[#This Row],[Status]])</f>
        <v>21233992</v>
      </c>
      <c r="R2139" s="13">
        <f>SUMIFS(L:L,H:H,Online_eCommerce[[#This Row],[Brand]])</f>
        <v>2267380</v>
      </c>
      <c r="S2139" s="13">
        <f>SUMIF(H:H,Online_eCommerce[[#This Row],[Brand]],M:M)</f>
        <v>2947594</v>
      </c>
      <c r="T2139" s="13">
        <f>SUMIF(N:N,Online_eCommerce[[#This Row],[Assigned Supervisor]],L:L)</f>
        <v>12220830</v>
      </c>
    </row>
    <row r="2140" spans="1:20" hidden="1" x14ac:dyDescent="0.3">
      <c r="A2140" t="s">
        <v>3255</v>
      </c>
      <c r="B2140" t="s">
        <v>235</v>
      </c>
      <c r="C2140" t="s">
        <v>203</v>
      </c>
      <c r="D2140" t="s">
        <v>3256</v>
      </c>
      <c r="E2140" t="s">
        <v>18</v>
      </c>
      <c r="F2140" t="s">
        <v>174</v>
      </c>
      <c r="G2140" t="s">
        <v>60</v>
      </c>
      <c r="H2140" t="s">
        <v>61</v>
      </c>
      <c r="I2140">
        <v>1150</v>
      </c>
      <c r="J2140">
        <v>1495</v>
      </c>
      <c r="K2140">
        <v>3</v>
      </c>
      <c r="L2140">
        <v>3450</v>
      </c>
      <c r="M2140">
        <v>4485</v>
      </c>
      <c r="N2140" t="s">
        <v>35</v>
      </c>
      <c r="O2140">
        <f t="shared" si="66"/>
        <v>3315</v>
      </c>
      <c r="P2140" s="13">
        <f t="shared" si="67"/>
        <v>2559635</v>
      </c>
      <c r="Q2140" s="13">
        <f>SUMIFS(M:M,E:E,Online_eCommerce[[#This Row],[Status]])</f>
        <v>28340455</v>
      </c>
      <c r="R2140" s="13">
        <f>SUMIFS(L:L,H:H,Online_eCommerce[[#This Row],[Brand]])</f>
        <v>10950150</v>
      </c>
      <c r="S2140" s="13">
        <f>SUMIF(H:H,Online_eCommerce[[#This Row],[Brand]],M:M)</f>
        <v>14235195</v>
      </c>
      <c r="T2140" s="13">
        <f>SUMIF(N:N,Online_eCommerce[[#This Row],[Assigned Supervisor]],L:L)</f>
        <v>14373360</v>
      </c>
    </row>
    <row r="2141" spans="1:20" hidden="1" x14ac:dyDescent="0.3">
      <c r="A2141" t="s">
        <v>3257</v>
      </c>
      <c r="B2141" t="s">
        <v>235</v>
      </c>
      <c r="C2141" t="s">
        <v>205</v>
      </c>
      <c r="D2141" t="s">
        <v>3256</v>
      </c>
      <c r="E2141" t="s">
        <v>161</v>
      </c>
      <c r="F2141" t="s">
        <v>179</v>
      </c>
      <c r="G2141" t="s">
        <v>66</v>
      </c>
      <c r="H2141" t="s">
        <v>21</v>
      </c>
      <c r="I2141">
        <v>350</v>
      </c>
      <c r="J2141">
        <v>455</v>
      </c>
      <c r="K2141">
        <v>4</v>
      </c>
      <c r="L2141">
        <v>1400</v>
      </c>
      <c r="M2141">
        <v>1820</v>
      </c>
      <c r="N2141" t="s">
        <v>42</v>
      </c>
      <c r="O2141">
        <f t="shared" si="66"/>
        <v>1690</v>
      </c>
      <c r="P2141" s="13">
        <f t="shared" si="67"/>
        <v>1983254</v>
      </c>
      <c r="Q2141" s="13">
        <f>SUMIFS(M:M,E:E,Online_eCommerce[[#This Row],[Status]])</f>
        <v>21103186</v>
      </c>
      <c r="R2141" s="13">
        <f>SUMIFS(L:L,H:H,Online_eCommerce[[#This Row],[Brand]])</f>
        <v>12435650</v>
      </c>
      <c r="S2141" s="13">
        <f>SUMIF(H:H,Online_eCommerce[[#This Row],[Brand]],M:M)</f>
        <v>16166345</v>
      </c>
      <c r="T2141" s="13">
        <f>SUMIF(N:N,Online_eCommerce[[#This Row],[Assigned Supervisor]],L:L)</f>
        <v>12261500</v>
      </c>
    </row>
    <row r="2142" spans="1:20" x14ac:dyDescent="0.3">
      <c r="A2142" t="s">
        <v>3258</v>
      </c>
      <c r="B2142" t="s">
        <v>235</v>
      </c>
      <c r="C2142" t="s">
        <v>208</v>
      </c>
      <c r="D2142" t="s">
        <v>3256</v>
      </c>
      <c r="E2142" t="s">
        <v>46</v>
      </c>
      <c r="F2142" t="s">
        <v>183</v>
      </c>
      <c r="G2142" t="s">
        <v>71</v>
      </c>
      <c r="H2142" t="s">
        <v>61</v>
      </c>
      <c r="I2142">
        <v>9500</v>
      </c>
      <c r="J2142">
        <v>12350</v>
      </c>
      <c r="K2142">
        <v>3</v>
      </c>
      <c r="L2142">
        <v>28500</v>
      </c>
      <c r="M2142">
        <v>37050</v>
      </c>
      <c r="N2142" t="s">
        <v>50</v>
      </c>
      <c r="O2142">
        <f t="shared" si="66"/>
        <v>9750</v>
      </c>
      <c r="P2142" s="13">
        <f t="shared" si="67"/>
        <v>2746575</v>
      </c>
      <c r="Q2142" s="13">
        <f>SUMIFS(M:M,E:E,Online_eCommerce[[#This Row],[Status]])</f>
        <v>28620410</v>
      </c>
      <c r="R2142" s="13">
        <f>SUMIFS(L:L,H:H,Online_eCommerce[[#This Row],[Brand]])</f>
        <v>10950150</v>
      </c>
      <c r="S2142" s="13">
        <f>SUMIF(H:H,Online_eCommerce[[#This Row],[Brand]],M:M)</f>
        <v>14235195</v>
      </c>
      <c r="T2142" s="13">
        <f>SUMIF(N:N,Online_eCommerce[[#This Row],[Assigned Supervisor]],L:L)</f>
        <v>12100590</v>
      </c>
    </row>
    <row r="2143" spans="1:20" hidden="1" x14ac:dyDescent="0.3">
      <c r="A2143" t="s">
        <v>3259</v>
      </c>
      <c r="B2143" t="s">
        <v>235</v>
      </c>
      <c r="C2143" t="s">
        <v>211</v>
      </c>
      <c r="D2143" t="s">
        <v>3256</v>
      </c>
      <c r="E2143" t="s">
        <v>96</v>
      </c>
      <c r="F2143" t="s">
        <v>3260</v>
      </c>
      <c r="G2143" t="s">
        <v>77</v>
      </c>
      <c r="H2143" t="s">
        <v>142</v>
      </c>
      <c r="I2143">
        <v>10000</v>
      </c>
      <c r="J2143">
        <v>13000</v>
      </c>
      <c r="K2143">
        <v>2</v>
      </c>
      <c r="L2143">
        <v>20000</v>
      </c>
      <c r="M2143">
        <v>26000</v>
      </c>
      <c r="N2143" t="s">
        <v>56</v>
      </c>
      <c r="O2143">
        <f t="shared" si="66"/>
        <v>39000</v>
      </c>
      <c r="P2143" s="13">
        <f t="shared" si="67"/>
        <v>1809847</v>
      </c>
      <c r="Q2143" s="13">
        <f>SUMIFS(M:M,E:E,Online_eCommerce[[#This Row],[Status]])</f>
        <v>21233992</v>
      </c>
      <c r="R2143" s="13">
        <f>SUMIFS(L:L,H:H,Online_eCommerce[[#This Row],[Brand]])</f>
        <v>6192500</v>
      </c>
      <c r="S2143" s="13">
        <f>SUMIF(H:H,Online_eCommerce[[#This Row],[Brand]],M:M)</f>
        <v>8050250</v>
      </c>
      <c r="T2143" s="13">
        <f>SUMIF(N:N,Online_eCommerce[[#This Row],[Assigned Supervisor]],L:L)</f>
        <v>11733610</v>
      </c>
    </row>
    <row r="2144" spans="1:20" hidden="1" x14ac:dyDescent="0.3">
      <c r="A2144" t="s">
        <v>3261</v>
      </c>
      <c r="B2144" t="s">
        <v>235</v>
      </c>
      <c r="C2144" t="s">
        <v>16</v>
      </c>
      <c r="D2144" t="s">
        <v>3256</v>
      </c>
      <c r="E2144" t="s">
        <v>18</v>
      </c>
      <c r="F2144" t="s">
        <v>3262</v>
      </c>
      <c r="G2144" t="s">
        <v>20</v>
      </c>
      <c r="H2144" t="s">
        <v>21</v>
      </c>
      <c r="I2144">
        <v>6500</v>
      </c>
      <c r="J2144">
        <v>8450</v>
      </c>
      <c r="K2144">
        <v>1</v>
      </c>
      <c r="L2144">
        <v>6500</v>
      </c>
      <c r="M2144">
        <v>8450</v>
      </c>
      <c r="N2144" t="s">
        <v>22</v>
      </c>
      <c r="O2144">
        <f t="shared" si="66"/>
        <v>8450</v>
      </c>
      <c r="P2144" s="13">
        <f t="shared" si="67"/>
        <v>2751814</v>
      </c>
      <c r="Q2144" s="13">
        <f>SUMIFS(M:M,E:E,Online_eCommerce[[#This Row],[Status]])</f>
        <v>28340455</v>
      </c>
      <c r="R2144" s="13">
        <f>SUMIFS(L:L,H:H,Online_eCommerce[[#This Row],[Brand]])</f>
        <v>12435650</v>
      </c>
      <c r="S2144" s="13">
        <f>SUMIF(H:H,Online_eCommerce[[#This Row],[Brand]],M:M)</f>
        <v>16166345</v>
      </c>
      <c r="T2144" s="13">
        <f>SUMIF(N:N,Online_eCommerce[[#This Row],[Assigned Supervisor]],L:L)</f>
        <v>13693220</v>
      </c>
    </row>
    <row r="2145" spans="1:20" hidden="1" x14ac:dyDescent="0.3">
      <c r="A2145" t="s">
        <v>3263</v>
      </c>
      <c r="B2145" t="s">
        <v>235</v>
      </c>
      <c r="C2145" t="s">
        <v>24</v>
      </c>
      <c r="D2145" t="s">
        <v>3256</v>
      </c>
      <c r="E2145" t="s">
        <v>161</v>
      </c>
      <c r="F2145" t="s">
        <v>3264</v>
      </c>
      <c r="G2145" t="s">
        <v>26</v>
      </c>
      <c r="H2145" t="s">
        <v>27</v>
      </c>
      <c r="I2145">
        <v>8500</v>
      </c>
      <c r="J2145">
        <v>11050</v>
      </c>
      <c r="K2145">
        <v>1</v>
      </c>
      <c r="L2145">
        <v>8500</v>
      </c>
      <c r="M2145">
        <v>11050</v>
      </c>
      <c r="N2145" t="s">
        <v>28</v>
      </c>
      <c r="O2145">
        <f t="shared" si="66"/>
        <v>33150</v>
      </c>
      <c r="P2145" s="13">
        <f t="shared" si="67"/>
        <v>2009540</v>
      </c>
      <c r="Q2145" s="13">
        <f>SUMIFS(M:M,E:E,Online_eCommerce[[#This Row],[Status]])</f>
        <v>21103186</v>
      </c>
      <c r="R2145" s="13">
        <f>SUMIFS(L:L,H:H,Online_eCommerce[[#This Row],[Brand]])</f>
        <v>14431000</v>
      </c>
      <c r="S2145" s="13">
        <f>SUMIF(H:H,Online_eCommerce[[#This Row],[Brand]],M:M)</f>
        <v>18760300</v>
      </c>
      <c r="T2145" s="13">
        <f>SUMIF(N:N,Online_eCommerce[[#This Row],[Assigned Supervisor]],L:L)</f>
        <v>12220830</v>
      </c>
    </row>
    <row r="2146" spans="1:20" x14ac:dyDescent="0.3">
      <c r="A2146" t="s">
        <v>3265</v>
      </c>
      <c r="B2146" t="s">
        <v>235</v>
      </c>
      <c r="C2146" t="s">
        <v>31</v>
      </c>
      <c r="D2146" t="s">
        <v>3256</v>
      </c>
      <c r="E2146" t="s">
        <v>46</v>
      </c>
      <c r="F2146" t="s">
        <v>32</v>
      </c>
      <c r="G2146" t="s">
        <v>33</v>
      </c>
      <c r="H2146" t="s">
        <v>34</v>
      </c>
      <c r="I2146">
        <v>7000</v>
      </c>
      <c r="J2146">
        <v>9100</v>
      </c>
      <c r="K2146">
        <v>3</v>
      </c>
      <c r="L2146">
        <v>21000</v>
      </c>
      <c r="M2146">
        <v>27300</v>
      </c>
      <c r="N2146" t="s">
        <v>35</v>
      </c>
      <c r="O2146">
        <f t="shared" si="66"/>
        <v>18200</v>
      </c>
      <c r="P2146" s="13">
        <f t="shared" si="67"/>
        <v>2865746</v>
      </c>
      <c r="Q2146" s="13">
        <f>SUMIFS(M:M,E:E,Online_eCommerce[[#This Row],[Status]])</f>
        <v>28620410</v>
      </c>
      <c r="R2146" s="13">
        <f>SUMIFS(L:L,H:H,Online_eCommerce[[#This Row],[Brand]])</f>
        <v>10087000</v>
      </c>
      <c r="S2146" s="13">
        <f>SUMIF(H:H,Online_eCommerce[[#This Row],[Brand]],M:M)</f>
        <v>13113100</v>
      </c>
      <c r="T2146" s="13">
        <f>SUMIF(N:N,Online_eCommerce[[#This Row],[Assigned Supervisor]],L:L)</f>
        <v>14373360</v>
      </c>
    </row>
    <row r="2147" spans="1:20" hidden="1" x14ac:dyDescent="0.3">
      <c r="A2147" t="s">
        <v>3266</v>
      </c>
      <c r="B2147" t="s">
        <v>235</v>
      </c>
      <c r="C2147" t="s">
        <v>38</v>
      </c>
      <c r="D2147" t="s">
        <v>3256</v>
      </c>
      <c r="E2147" t="s">
        <v>96</v>
      </c>
      <c r="F2147" t="s">
        <v>3267</v>
      </c>
      <c r="G2147" t="s">
        <v>40</v>
      </c>
      <c r="H2147" t="s">
        <v>41</v>
      </c>
      <c r="I2147">
        <v>6550</v>
      </c>
      <c r="J2147">
        <v>8515</v>
      </c>
      <c r="K2147">
        <v>4</v>
      </c>
      <c r="L2147">
        <v>26200</v>
      </c>
      <c r="M2147">
        <v>34060</v>
      </c>
      <c r="N2147" t="s">
        <v>42</v>
      </c>
      <c r="O2147">
        <f t="shared" si="66"/>
        <v>25545</v>
      </c>
      <c r="P2147" s="13">
        <f t="shared" si="67"/>
        <v>1933997</v>
      </c>
      <c r="Q2147" s="13">
        <f>SUMIFS(M:M,E:E,Online_eCommerce[[#This Row],[Status]])</f>
        <v>21233992</v>
      </c>
      <c r="R2147" s="13">
        <f>SUMIFS(L:L,H:H,Online_eCommerce[[#This Row],[Brand]])</f>
        <v>4260400</v>
      </c>
      <c r="S2147" s="13">
        <f>SUMIF(H:H,Online_eCommerce[[#This Row],[Brand]],M:M)</f>
        <v>5538520</v>
      </c>
      <c r="T2147" s="13">
        <f>SUMIF(N:N,Online_eCommerce[[#This Row],[Assigned Supervisor]],L:L)</f>
        <v>12261500</v>
      </c>
    </row>
    <row r="2148" spans="1:20" hidden="1" x14ac:dyDescent="0.3">
      <c r="A2148" t="s">
        <v>3268</v>
      </c>
      <c r="B2148" t="s">
        <v>235</v>
      </c>
      <c r="C2148" t="s">
        <v>45</v>
      </c>
      <c r="D2148" t="s">
        <v>3256</v>
      </c>
      <c r="E2148" t="s">
        <v>18</v>
      </c>
      <c r="F2148" t="s">
        <v>47</v>
      </c>
      <c r="G2148" t="s">
        <v>334</v>
      </c>
      <c r="H2148" t="s">
        <v>49</v>
      </c>
      <c r="I2148">
        <v>7650</v>
      </c>
      <c r="J2148">
        <v>9945</v>
      </c>
      <c r="K2148">
        <v>4</v>
      </c>
      <c r="L2148">
        <v>30600</v>
      </c>
      <c r="M2148">
        <v>39780</v>
      </c>
      <c r="N2148" t="s">
        <v>50</v>
      </c>
      <c r="O2148">
        <f t="shared" si="66"/>
        <v>39780</v>
      </c>
      <c r="P2148" s="13">
        <f t="shared" si="67"/>
        <v>2842554</v>
      </c>
      <c r="Q2148" s="13">
        <f>SUMIFS(M:M,E:E,Online_eCommerce[[#This Row],[Status]])</f>
        <v>28340455</v>
      </c>
      <c r="R2148" s="13">
        <f>SUMIFS(L:L,H:H,Online_eCommerce[[#This Row],[Brand]])</f>
        <v>4528350</v>
      </c>
      <c r="S2148" s="13">
        <f>SUMIF(H:H,Online_eCommerce[[#This Row],[Brand]],M:M)</f>
        <v>5886855</v>
      </c>
      <c r="T2148" s="13">
        <f>SUMIF(N:N,Online_eCommerce[[#This Row],[Assigned Supervisor]],L:L)</f>
        <v>12100590</v>
      </c>
    </row>
    <row r="2149" spans="1:20" hidden="1" x14ac:dyDescent="0.3">
      <c r="A2149" t="s">
        <v>3269</v>
      </c>
      <c r="B2149" t="s">
        <v>235</v>
      </c>
      <c r="C2149" t="s">
        <v>52</v>
      </c>
      <c r="D2149" t="s">
        <v>3256</v>
      </c>
      <c r="E2149" t="s">
        <v>161</v>
      </c>
      <c r="F2149" t="s">
        <v>53</v>
      </c>
      <c r="G2149" t="s">
        <v>54</v>
      </c>
      <c r="H2149" t="s">
        <v>55</v>
      </c>
      <c r="I2149">
        <v>1150</v>
      </c>
      <c r="J2149">
        <v>1495</v>
      </c>
      <c r="K2149">
        <v>3</v>
      </c>
      <c r="L2149">
        <v>3450</v>
      </c>
      <c r="M2149">
        <v>4485</v>
      </c>
      <c r="N2149" t="s">
        <v>56</v>
      </c>
      <c r="O2149">
        <f t="shared" si="66"/>
        <v>2990</v>
      </c>
      <c r="P2149" s="13">
        <f t="shared" si="67"/>
        <v>1955044</v>
      </c>
      <c r="Q2149" s="13">
        <f>SUMIFS(M:M,E:E,Online_eCommerce[[#This Row],[Status]])</f>
        <v>21103186</v>
      </c>
      <c r="R2149" s="13">
        <f>SUMIFS(L:L,H:H,Online_eCommerce[[#This Row],[Brand]])</f>
        <v>2267380</v>
      </c>
      <c r="S2149" s="13">
        <f>SUMIF(H:H,Online_eCommerce[[#This Row],[Brand]],M:M)</f>
        <v>2947594</v>
      </c>
      <c r="T2149" s="13">
        <f>SUMIF(N:N,Online_eCommerce[[#This Row],[Assigned Supervisor]],L:L)</f>
        <v>11733610</v>
      </c>
    </row>
    <row r="2150" spans="1:20" x14ac:dyDescent="0.3">
      <c r="A2150" t="s">
        <v>3270</v>
      </c>
      <c r="B2150" t="s">
        <v>235</v>
      </c>
      <c r="C2150" t="s">
        <v>58</v>
      </c>
      <c r="D2150" t="s">
        <v>3256</v>
      </c>
      <c r="E2150" t="s">
        <v>46</v>
      </c>
      <c r="F2150" t="s">
        <v>59</v>
      </c>
      <c r="G2150" t="s">
        <v>60</v>
      </c>
      <c r="H2150" t="s">
        <v>61</v>
      </c>
      <c r="I2150">
        <v>850</v>
      </c>
      <c r="J2150">
        <v>1105</v>
      </c>
      <c r="K2150">
        <v>2</v>
      </c>
      <c r="L2150">
        <v>1700</v>
      </c>
      <c r="M2150">
        <v>2210</v>
      </c>
      <c r="N2150" t="s">
        <v>22</v>
      </c>
      <c r="O2150">
        <f t="shared" si="66"/>
        <v>3315</v>
      </c>
      <c r="P2150" s="13">
        <f t="shared" si="67"/>
        <v>2629211</v>
      </c>
      <c r="Q2150" s="13">
        <f>SUMIFS(M:M,E:E,Online_eCommerce[[#This Row],[Status]])</f>
        <v>28620410</v>
      </c>
      <c r="R2150" s="13">
        <f>SUMIFS(L:L,H:H,Online_eCommerce[[#This Row],[Brand]])</f>
        <v>10950150</v>
      </c>
      <c r="S2150" s="13">
        <f>SUMIF(H:H,Online_eCommerce[[#This Row],[Brand]],M:M)</f>
        <v>14235195</v>
      </c>
      <c r="T2150" s="13">
        <f>SUMIF(N:N,Online_eCommerce[[#This Row],[Assigned Supervisor]],L:L)</f>
        <v>13693220</v>
      </c>
    </row>
    <row r="2151" spans="1:20" hidden="1" x14ac:dyDescent="0.3">
      <c r="A2151" t="s">
        <v>3271</v>
      </c>
      <c r="B2151" t="s">
        <v>235</v>
      </c>
      <c r="C2151" t="s">
        <v>63</v>
      </c>
      <c r="D2151" t="s">
        <v>3256</v>
      </c>
      <c r="E2151" t="s">
        <v>96</v>
      </c>
      <c r="F2151" t="s">
        <v>65</v>
      </c>
      <c r="G2151" t="s">
        <v>66</v>
      </c>
      <c r="H2151" t="s">
        <v>21</v>
      </c>
      <c r="I2151">
        <v>650</v>
      </c>
      <c r="J2151">
        <v>845</v>
      </c>
      <c r="K2151">
        <v>4</v>
      </c>
      <c r="L2151">
        <v>2600</v>
      </c>
      <c r="M2151">
        <v>3380</v>
      </c>
      <c r="N2151" t="s">
        <v>28</v>
      </c>
      <c r="O2151">
        <f t="shared" si="66"/>
        <v>1690</v>
      </c>
      <c r="P2151" s="13">
        <f t="shared" si="67"/>
        <v>2016131</v>
      </c>
      <c r="Q2151" s="13">
        <f>SUMIFS(M:M,E:E,Online_eCommerce[[#This Row],[Status]])</f>
        <v>21233992</v>
      </c>
      <c r="R2151" s="13">
        <f>SUMIFS(L:L,H:H,Online_eCommerce[[#This Row],[Brand]])</f>
        <v>12435650</v>
      </c>
      <c r="S2151" s="13">
        <f>SUMIF(H:H,Online_eCommerce[[#This Row],[Brand]],M:M)</f>
        <v>16166345</v>
      </c>
      <c r="T2151" s="13">
        <f>SUMIF(N:N,Online_eCommerce[[#This Row],[Assigned Supervisor]],L:L)</f>
        <v>12220830</v>
      </c>
    </row>
    <row r="2152" spans="1:20" hidden="1" x14ac:dyDescent="0.3">
      <c r="A2152" t="s">
        <v>3272</v>
      </c>
      <c r="B2152" t="s">
        <v>235</v>
      </c>
      <c r="C2152" t="s">
        <v>68</v>
      </c>
      <c r="D2152" t="s">
        <v>3256</v>
      </c>
      <c r="E2152" t="s">
        <v>18</v>
      </c>
      <c r="F2152" t="s">
        <v>70</v>
      </c>
      <c r="G2152" t="s">
        <v>71</v>
      </c>
      <c r="H2152" t="s">
        <v>61</v>
      </c>
      <c r="I2152">
        <v>7500</v>
      </c>
      <c r="J2152">
        <v>9750</v>
      </c>
      <c r="K2152">
        <v>4</v>
      </c>
      <c r="L2152">
        <v>30000</v>
      </c>
      <c r="M2152">
        <v>39000</v>
      </c>
      <c r="N2152" t="s">
        <v>35</v>
      </c>
      <c r="O2152">
        <f t="shared" si="66"/>
        <v>9750</v>
      </c>
      <c r="P2152" s="13">
        <f t="shared" si="67"/>
        <v>2974621</v>
      </c>
      <c r="Q2152" s="13">
        <f>SUMIFS(M:M,E:E,Online_eCommerce[[#This Row],[Status]])</f>
        <v>28340455</v>
      </c>
      <c r="R2152" s="13">
        <f>SUMIFS(L:L,H:H,Online_eCommerce[[#This Row],[Brand]])</f>
        <v>10950150</v>
      </c>
      <c r="S2152" s="13">
        <f>SUMIF(H:H,Online_eCommerce[[#This Row],[Brand]],M:M)</f>
        <v>14235195</v>
      </c>
      <c r="T2152" s="13">
        <f>SUMIF(N:N,Online_eCommerce[[#This Row],[Assigned Supervisor]],L:L)</f>
        <v>14373360</v>
      </c>
    </row>
    <row r="2153" spans="1:20" hidden="1" x14ac:dyDescent="0.3">
      <c r="A2153" t="s">
        <v>3273</v>
      </c>
      <c r="B2153" t="s">
        <v>235</v>
      </c>
      <c r="C2153" t="s">
        <v>74</v>
      </c>
      <c r="D2153" t="s">
        <v>3256</v>
      </c>
      <c r="E2153" t="s">
        <v>161</v>
      </c>
      <c r="F2153" t="s">
        <v>3260</v>
      </c>
      <c r="G2153" t="s">
        <v>77</v>
      </c>
      <c r="H2153" t="s">
        <v>78</v>
      </c>
      <c r="I2153">
        <v>10000</v>
      </c>
      <c r="J2153">
        <v>13000</v>
      </c>
      <c r="K2153">
        <v>1</v>
      </c>
      <c r="L2153">
        <v>10000</v>
      </c>
      <c r="M2153">
        <v>13000</v>
      </c>
      <c r="N2153" t="s">
        <v>42</v>
      </c>
      <c r="O2153">
        <f t="shared" si="66"/>
        <v>39000</v>
      </c>
      <c r="P2153" s="13">
        <f t="shared" si="67"/>
        <v>2144701</v>
      </c>
      <c r="Q2153" s="13">
        <f>SUMIFS(M:M,E:E,Online_eCommerce[[#This Row],[Status]])</f>
        <v>21103186</v>
      </c>
      <c r="R2153" s="13">
        <f>SUMIFS(L:L,H:H,Online_eCommerce[[#This Row],[Brand]])</f>
        <v>3720000</v>
      </c>
      <c r="S2153" s="13">
        <f>SUMIF(H:H,Online_eCommerce[[#This Row],[Brand]],M:M)</f>
        <v>4836000</v>
      </c>
      <c r="T2153" s="13">
        <f>SUMIF(N:N,Online_eCommerce[[#This Row],[Assigned Supervisor]],L:L)</f>
        <v>12261500</v>
      </c>
    </row>
    <row r="2154" spans="1:20" x14ac:dyDescent="0.3">
      <c r="A2154" t="s">
        <v>3274</v>
      </c>
      <c r="B2154" t="s">
        <v>235</v>
      </c>
      <c r="C2154" t="s">
        <v>81</v>
      </c>
      <c r="D2154" t="s">
        <v>3256</v>
      </c>
      <c r="E2154" t="s">
        <v>46</v>
      </c>
      <c r="F2154" t="s">
        <v>3275</v>
      </c>
      <c r="G2154" t="s">
        <v>20</v>
      </c>
      <c r="H2154" t="s">
        <v>21</v>
      </c>
      <c r="I2154">
        <v>10500</v>
      </c>
      <c r="J2154">
        <v>13650</v>
      </c>
      <c r="K2154">
        <v>1</v>
      </c>
      <c r="L2154">
        <v>10500</v>
      </c>
      <c r="M2154">
        <v>13650</v>
      </c>
      <c r="N2154" t="s">
        <v>50</v>
      </c>
      <c r="O2154">
        <f t="shared" si="66"/>
        <v>8450</v>
      </c>
      <c r="P2154" s="13">
        <f t="shared" si="67"/>
        <v>2595632</v>
      </c>
      <c r="Q2154" s="13">
        <f>SUMIFS(M:M,E:E,Online_eCommerce[[#This Row],[Status]])</f>
        <v>28620410</v>
      </c>
      <c r="R2154" s="13">
        <f>SUMIFS(L:L,H:H,Online_eCommerce[[#This Row],[Brand]])</f>
        <v>12435650</v>
      </c>
      <c r="S2154" s="13">
        <f>SUMIF(H:H,Online_eCommerce[[#This Row],[Brand]],M:M)</f>
        <v>16166345</v>
      </c>
      <c r="T2154" s="13">
        <f>SUMIF(N:N,Online_eCommerce[[#This Row],[Assigned Supervisor]],L:L)</f>
        <v>12100590</v>
      </c>
    </row>
    <row r="2155" spans="1:20" hidden="1" x14ac:dyDescent="0.3">
      <c r="A2155" t="s">
        <v>3276</v>
      </c>
      <c r="B2155" t="s">
        <v>235</v>
      </c>
      <c r="C2155" t="s">
        <v>86</v>
      </c>
      <c r="D2155" t="s">
        <v>3256</v>
      </c>
      <c r="E2155" t="s">
        <v>96</v>
      </c>
      <c r="F2155" t="s">
        <v>88</v>
      </c>
      <c r="G2155" t="s">
        <v>26</v>
      </c>
      <c r="H2155" t="s">
        <v>27</v>
      </c>
      <c r="I2155">
        <v>8500</v>
      </c>
      <c r="J2155">
        <v>11050</v>
      </c>
      <c r="K2155">
        <v>2</v>
      </c>
      <c r="L2155">
        <v>17000</v>
      </c>
      <c r="M2155">
        <v>22100</v>
      </c>
      <c r="N2155" t="s">
        <v>56</v>
      </c>
      <c r="O2155">
        <f t="shared" si="66"/>
        <v>33150</v>
      </c>
      <c r="P2155" s="13">
        <f t="shared" si="67"/>
        <v>1941225</v>
      </c>
      <c r="Q2155" s="13">
        <f>SUMIFS(M:M,E:E,Online_eCommerce[[#This Row],[Status]])</f>
        <v>21233992</v>
      </c>
      <c r="R2155" s="13">
        <f>SUMIFS(L:L,H:H,Online_eCommerce[[#This Row],[Brand]])</f>
        <v>14431000</v>
      </c>
      <c r="S2155" s="13">
        <f>SUMIF(H:H,Online_eCommerce[[#This Row],[Brand]],M:M)</f>
        <v>18760300</v>
      </c>
      <c r="T2155" s="13">
        <f>SUMIF(N:N,Online_eCommerce[[#This Row],[Assigned Supervisor]],L:L)</f>
        <v>11733610</v>
      </c>
    </row>
    <row r="2156" spans="1:20" hidden="1" x14ac:dyDescent="0.3">
      <c r="A2156" t="s">
        <v>3277</v>
      </c>
      <c r="B2156" t="s">
        <v>235</v>
      </c>
      <c r="C2156" t="s">
        <v>91</v>
      </c>
      <c r="D2156" t="s">
        <v>3256</v>
      </c>
      <c r="E2156" t="s">
        <v>18</v>
      </c>
      <c r="F2156" t="s">
        <v>32</v>
      </c>
      <c r="G2156" t="s">
        <v>33</v>
      </c>
      <c r="H2156" t="s">
        <v>34</v>
      </c>
      <c r="I2156">
        <v>7000</v>
      </c>
      <c r="J2156">
        <v>9100</v>
      </c>
      <c r="K2156">
        <v>2</v>
      </c>
      <c r="L2156">
        <v>14000</v>
      </c>
      <c r="M2156">
        <v>18200</v>
      </c>
      <c r="N2156" t="s">
        <v>22</v>
      </c>
      <c r="O2156">
        <f t="shared" si="66"/>
        <v>18200</v>
      </c>
      <c r="P2156" s="13">
        <f t="shared" si="67"/>
        <v>2731963</v>
      </c>
      <c r="Q2156" s="13">
        <f>SUMIFS(M:M,E:E,Online_eCommerce[[#This Row],[Status]])</f>
        <v>28340455</v>
      </c>
      <c r="R2156" s="13">
        <f>SUMIFS(L:L,H:H,Online_eCommerce[[#This Row],[Brand]])</f>
        <v>10087000</v>
      </c>
      <c r="S2156" s="13">
        <f>SUMIF(H:H,Online_eCommerce[[#This Row],[Brand]],M:M)</f>
        <v>13113100</v>
      </c>
      <c r="T2156" s="13">
        <f>SUMIF(N:N,Online_eCommerce[[#This Row],[Assigned Supervisor]],L:L)</f>
        <v>13693220</v>
      </c>
    </row>
    <row r="2157" spans="1:20" hidden="1" x14ac:dyDescent="0.3">
      <c r="A2157" t="s">
        <v>3278</v>
      </c>
      <c r="B2157" t="s">
        <v>235</v>
      </c>
      <c r="C2157" t="s">
        <v>94</v>
      </c>
      <c r="D2157" t="s">
        <v>3256</v>
      </c>
      <c r="E2157" t="s">
        <v>161</v>
      </c>
      <c r="F2157" t="s">
        <v>3279</v>
      </c>
      <c r="G2157" t="s">
        <v>40</v>
      </c>
      <c r="H2157" t="s">
        <v>41</v>
      </c>
      <c r="I2157">
        <v>1680</v>
      </c>
      <c r="J2157">
        <v>2184</v>
      </c>
      <c r="K2157">
        <v>3</v>
      </c>
      <c r="L2157">
        <v>5040</v>
      </c>
      <c r="M2157">
        <v>6552</v>
      </c>
      <c r="N2157" t="s">
        <v>28</v>
      </c>
      <c r="O2157">
        <f t="shared" si="66"/>
        <v>25545</v>
      </c>
      <c r="P2157" s="13">
        <f t="shared" si="67"/>
        <v>1868256</v>
      </c>
      <c r="Q2157" s="13">
        <f>SUMIFS(M:M,E:E,Online_eCommerce[[#This Row],[Status]])</f>
        <v>21103186</v>
      </c>
      <c r="R2157" s="13">
        <f>SUMIFS(L:L,H:H,Online_eCommerce[[#This Row],[Brand]])</f>
        <v>4260400</v>
      </c>
      <c r="S2157" s="13">
        <f>SUMIF(H:H,Online_eCommerce[[#This Row],[Brand]],M:M)</f>
        <v>5538520</v>
      </c>
      <c r="T2157" s="13">
        <f>SUMIF(N:N,Online_eCommerce[[#This Row],[Assigned Supervisor]],L:L)</f>
        <v>12220830</v>
      </c>
    </row>
    <row r="2158" spans="1:20" x14ac:dyDescent="0.3">
      <c r="A2158" t="s">
        <v>3280</v>
      </c>
      <c r="B2158" t="s">
        <v>235</v>
      </c>
      <c r="C2158" t="s">
        <v>99</v>
      </c>
      <c r="D2158" t="s">
        <v>3256</v>
      </c>
      <c r="E2158" t="s">
        <v>46</v>
      </c>
      <c r="F2158" t="s">
        <v>101</v>
      </c>
      <c r="G2158" t="s">
        <v>334</v>
      </c>
      <c r="H2158" t="s">
        <v>102</v>
      </c>
      <c r="I2158">
        <v>6540</v>
      </c>
      <c r="J2158">
        <v>8502</v>
      </c>
      <c r="K2158">
        <v>1</v>
      </c>
      <c r="L2158">
        <v>6540</v>
      </c>
      <c r="M2158">
        <v>8502</v>
      </c>
      <c r="N2158" t="s">
        <v>35</v>
      </c>
      <c r="O2158">
        <f t="shared" si="66"/>
        <v>39780</v>
      </c>
      <c r="P2158" s="13">
        <f t="shared" si="67"/>
        <v>2651233</v>
      </c>
      <c r="Q2158" s="13">
        <f>SUMIFS(M:M,E:E,Online_eCommerce[[#This Row],[Status]])</f>
        <v>28620410</v>
      </c>
      <c r="R2158" s="13">
        <f>SUMIFS(L:L,H:H,Online_eCommerce[[#This Row],[Brand]])</f>
        <v>2465580</v>
      </c>
      <c r="S2158" s="13">
        <f>SUMIF(H:H,Online_eCommerce[[#This Row],[Brand]],M:M)</f>
        <v>3205254</v>
      </c>
      <c r="T2158" s="13">
        <f>SUMIF(N:N,Online_eCommerce[[#This Row],[Assigned Supervisor]],L:L)</f>
        <v>14373360</v>
      </c>
    </row>
    <row r="2159" spans="1:20" hidden="1" x14ac:dyDescent="0.3">
      <c r="A2159" t="s">
        <v>3281</v>
      </c>
      <c r="B2159" t="s">
        <v>235</v>
      </c>
      <c r="C2159" t="s">
        <v>105</v>
      </c>
      <c r="D2159" t="s">
        <v>3256</v>
      </c>
      <c r="E2159" t="s">
        <v>96</v>
      </c>
      <c r="F2159" t="s">
        <v>107</v>
      </c>
      <c r="G2159" t="s">
        <v>54</v>
      </c>
      <c r="H2159" t="s">
        <v>55</v>
      </c>
      <c r="I2159">
        <v>2680</v>
      </c>
      <c r="J2159">
        <v>3484</v>
      </c>
      <c r="K2159">
        <v>2</v>
      </c>
      <c r="L2159">
        <v>5360</v>
      </c>
      <c r="M2159">
        <v>6968</v>
      </c>
      <c r="N2159" t="s">
        <v>42</v>
      </c>
      <c r="O2159">
        <f t="shared" si="66"/>
        <v>2990</v>
      </c>
      <c r="P2159" s="13">
        <f t="shared" si="67"/>
        <v>1866852</v>
      </c>
      <c r="Q2159" s="13">
        <f>SUMIFS(M:M,E:E,Online_eCommerce[[#This Row],[Status]])</f>
        <v>21233992</v>
      </c>
      <c r="R2159" s="13">
        <f>SUMIFS(L:L,H:H,Online_eCommerce[[#This Row],[Brand]])</f>
        <v>2267380</v>
      </c>
      <c r="S2159" s="13">
        <f>SUMIF(H:H,Online_eCommerce[[#This Row],[Brand]],M:M)</f>
        <v>2947594</v>
      </c>
      <c r="T2159" s="13">
        <f>SUMIF(N:N,Online_eCommerce[[#This Row],[Assigned Supervisor]],L:L)</f>
        <v>12261500</v>
      </c>
    </row>
    <row r="2160" spans="1:20" hidden="1" x14ac:dyDescent="0.3">
      <c r="A2160" t="s">
        <v>3282</v>
      </c>
      <c r="B2160" t="s">
        <v>235</v>
      </c>
      <c r="C2160" t="s">
        <v>110</v>
      </c>
      <c r="D2160" t="s">
        <v>3256</v>
      </c>
      <c r="E2160" t="s">
        <v>18</v>
      </c>
      <c r="F2160" t="s">
        <v>112</v>
      </c>
      <c r="G2160" t="s">
        <v>71</v>
      </c>
      <c r="H2160" t="s">
        <v>21</v>
      </c>
      <c r="I2160">
        <v>8250</v>
      </c>
      <c r="J2160">
        <v>10725</v>
      </c>
      <c r="K2160">
        <v>3</v>
      </c>
      <c r="L2160">
        <v>24750</v>
      </c>
      <c r="M2160">
        <v>32175</v>
      </c>
      <c r="N2160" t="s">
        <v>50</v>
      </c>
      <c r="O2160">
        <f t="shared" si="66"/>
        <v>9750</v>
      </c>
      <c r="P2160" s="13">
        <f t="shared" si="67"/>
        <v>2598635</v>
      </c>
      <c r="Q2160" s="13">
        <f>SUMIFS(M:M,E:E,Online_eCommerce[[#This Row],[Status]])</f>
        <v>28340455</v>
      </c>
      <c r="R2160" s="13">
        <f>SUMIFS(L:L,H:H,Online_eCommerce[[#This Row],[Brand]])</f>
        <v>12435650</v>
      </c>
      <c r="S2160" s="13">
        <f>SUMIF(H:H,Online_eCommerce[[#This Row],[Brand]],M:M)</f>
        <v>16166345</v>
      </c>
      <c r="T2160" s="13">
        <f>SUMIF(N:N,Online_eCommerce[[#This Row],[Assigned Supervisor]],L:L)</f>
        <v>12100590</v>
      </c>
    </row>
    <row r="2161" spans="1:20" hidden="1" x14ac:dyDescent="0.3">
      <c r="A2161" t="s">
        <v>3283</v>
      </c>
      <c r="B2161" t="s">
        <v>235</v>
      </c>
      <c r="C2161" t="s">
        <v>115</v>
      </c>
      <c r="D2161" t="s">
        <v>3256</v>
      </c>
      <c r="E2161" t="s">
        <v>161</v>
      </c>
      <c r="F2161" t="s">
        <v>2928</v>
      </c>
      <c r="G2161" t="s">
        <v>40</v>
      </c>
      <c r="H2161" t="s">
        <v>21</v>
      </c>
      <c r="I2161">
        <v>2650</v>
      </c>
      <c r="J2161">
        <v>3445</v>
      </c>
      <c r="K2161">
        <v>3</v>
      </c>
      <c r="L2161">
        <v>7950</v>
      </c>
      <c r="M2161">
        <v>10335</v>
      </c>
      <c r="N2161" t="s">
        <v>56</v>
      </c>
      <c r="O2161">
        <f t="shared" si="66"/>
        <v>25545</v>
      </c>
      <c r="P2161" s="13">
        <f t="shared" si="67"/>
        <v>2050178</v>
      </c>
      <c r="Q2161" s="13">
        <f>SUMIFS(M:M,E:E,Online_eCommerce[[#This Row],[Status]])</f>
        <v>21103186</v>
      </c>
      <c r="R2161" s="13">
        <f>SUMIFS(L:L,H:H,Online_eCommerce[[#This Row],[Brand]])</f>
        <v>12435650</v>
      </c>
      <c r="S2161" s="13">
        <f>SUMIF(H:H,Online_eCommerce[[#This Row],[Brand]],M:M)</f>
        <v>16166345</v>
      </c>
      <c r="T2161" s="13">
        <f>SUMIF(N:N,Online_eCommerce[[#This Row],[Assigned Supervisor]],L:L)</f>
        <v>11733610</v>
      </c>
    </row>
    <row r="2162" spans="1:20" x14ac:dyDescent="0.3">
      <c r="A2162" t="s">
        <v>3284</v>
      </c>
      <c r="B2162" t="s">
        <v>235</v>
      </c>
      <c r="C2162" t="s">
        <v>120</v>
      </c>
      <c r="D2162" t="s">
        <v>3256</v>
      </c>
      <c r="E2162" t="s">
        <v>46</v>
      </c>
      <c r="F2162" t="s">
        <v>121</v>
      </c>
      <c r="G2162" t="s">
        <v>71</v>
      </c>
      <c r="H2162" t="s">
        <v>122</v>
      </c>
      <c r="I2162">
        <v>12550</v>
      </c>
      <c r="J2162">
        <v>16315</v>
      </c>
      <c r="K2162">
        <v>4</v>
      </c>
      <c r="L2162">
        <v>50200</v>
      </c>
      <c r="M2162">
        <v>65260</v>
      </c>
      <c r="N2162" t="s">
        <v>22</v>
      </c>
      <c r="O2162">
        <f t="shared" si="66"/>
        <v>9750</v>
      </c>
      <c r="P2162" s="13">
        <f t="shared" si="67"/>
        <v>2734212</v>
      </c>
      <c r="Q2162" s="13">
        <f>SUMIFS(M:M,E:E,Online_eCommerce[[#This Row],[Status]])</f>
        <v>28620410</v>
      </c>
      <c r="R2162" s="13">
        <f>SUMIFS(L:L,H:H,Online_eCommerce[[#This Row],[Brand]])</f>
        <v>5045100</v>
      </c>
      <c r="S2162" s="13">
        <f>SUMIF(H:H,Online_eCommerce[[#This Row],[Brand]],M:M)</f>
        <v>6558630</v>
      </c>
      <c r="T2162" s="13">
        <f>SUMIF(N:N,Online_eCommerce[[#This Row],[Assigned Supervisor]],L:L)</f>
        <v>13693220</v>
      </c>
    </row>
    <row r="2163" spans="1:20" hidden="1" x14ac:dyDescent="0.3">
      <c r="A2163" t="s">
        <v>3285</v>
      </c>
      <c r="B2163" t="s">
        <v>235</v>
      </c>
      <c r="C2163" t="s">
        <v>125</v>
      </c>
      <c r="D2163" t="s">
        <v>3256</v>
      </c>
      <c r="E2163" t="s">
        <v>96</v>
      </c>
      <c r="F2163" t="s">
        <v>126</v>
      </c>
      <c r="G2163" t="s">
        <v>26</v>
      </c>
      <c r="H2163" t="s">
        <v>27</v>
      </c>
      <c r="I2163">
        <v>14500</v>
      </c>
      <c r="J2163">
        <v>18850</v>
      </c>
      <c r="K2163">
        <v>2</v>
      </c>
      <c r="L2163">
        <v>29000</v>
      </c>
      <c r="M2163">
        <v>37700</v>
      </c>
      <c r="N2163" t="s">
        <v>28</v>
      </c>
      <c r="O2163">
        <f t="shared" si="66"/>
        <v>33150</v>
      </c>
      <c r="P2163" s="13">
        <f t="shared" si="67"/>
        <v>2091154</v>
      </c>
      <c r="Q2163" s="13">
        <f>SUMIFS(M:M,E:E,Online_eCommerce[[#This Row],[Status]])</f>
        <v>21233992</v>
      </c>
      <c r="R2163" s="13">
        <f>SUMIFS(L:L,H:H,Online_eCommerce[[#This Row],[Brand]])</f>
        <v>14431000</v>
      </c>
      <c r="S2163" s="13">
        <f>SUMIF(H:H,Online_eCommerce[[#This Row],[Brand]],M:M)</f>
        <v>18760300</v>
      </c>
      <c r="T2163" s="13">
        <f>SUMIF(N:N,Online_eCommerce[[#This Row],[Assigned Supervisor]],L:L)</f>
        <v>12220830</v>
      </c>
    </row>
    <row r="2164" spans="1:20" hidden="1" x14ac:dyDescent="0.3">
      <c r="A2164" t="s">
        <v>3286</v>
      </c>
      <c r="B2164" t="s">
        <v>235</v>
      </c>
      <c r="C2164" t="s">
        <v>22</v>
      </c>
      <c r="D2164" t="s">
        <v>3256</v>
      </c>
      <c r="E2164" t="s">
        <v>18</v>
      </c>
      <c r="F2164" t="s">
        <v>129</v>
      </c>
      <c r="G2164" t="s">
        <v>60</v>
      </c>
      <c r="H2164" t="s">
        <v>61</v>
      </c>
      <c r="I2164">
        <v>800</v>
      </c>
      <c r="J2164">
        <v>1040</v>
      </c>
      <c r="K2164">
        <v>4</v>
      </c>
      <c r="L2164">
        <v>3200</v>
      </c>
      <c r="M2164">
        <v>4160</v>
      </c>
      <c r="N2164" t="s">
        <v>35</v>
      </c>
      <c r="O2164">
        <f t="shared" si="66"/>
        <v>3315</v>
      </c>
      <c r="P2164" s="13">
        <f t="shared" si="67"/>
        <v>2551588</v>
      </c>
      <c r="Q2164" s="13">
        <f>SUMIFS(M:M,E:E,Online_eCommerce[[#This Row],[Status]])</f>
        <v>28340455</v>
      </c>
      <c r="R2164" s="13">
        <f>SUMIFS(L:L,H:H,Online_eCommerce[[#This Row],[Brand]])</f>
        <v>10950150</v>
      </c>
      <c r="S2164" s="13">
        <f>SUMIF(H:H,Online_eCommerce[[#This Row],[Brand]],M:M)</f>
        <v>14235195</v>
      </c>
      <c r="T2164" s="13">
        <f>SUMIF(N:N,Online_eCommerce[[#This Row],[Assigned Supervisor]],L:L)</f>
        <v>14373360</v>
      </c>
    </row>
    <row r="2165" spans="1:20" hidden="1" x14ac:dyDescent="0.3">
      <c r="A2165" t="s">
        <v>3287</v>
      </c>
      <c r="B2165" t="s">
        <v>235</v>
      </c>
      <c r="C2165" t="s">
        <v>132</v>
      </c>
      <c r="D2165" t="s">
        <v>3256</v>
      </c>
      <c r="E2165" t="s">
        <v>161</v>
      </c>
      <c r="F2165" t="s">
        <v>133</v>
      </c>
      <c r="G2165" t="s">
        <v>66</v>
      </c>
      <c r="H2165" t="s">
        <v>21</v>
      </c>
      <c r="I2165">
        <v>600</v>
      </c>
      <c r="J2165">
        <v>780</v>
      </c>
      <c r="K2165">
        <v>1</v>
      </c>
      <c r="L2165">
        <v>600</v>
      </c>
      <c r="M2165">
        <v>780</v>
      </c>
      <c r="N2165" t="s">
        <v>42</v>
      </c>
      <c r="O2165">
        <f t="shared" si="66"/>
        <v>1690</v>
      </c>
      <c r="P2165" s="13">
        <f t="shared" si="67"/>
        <v>1989065</v>
      </c>
      <c r="Q2165" s="13">
        <f>SUMIFS(M:M,E:E,Online_eCommerce[[#This Row],[Status]])</f>
        <v>21103186</v>
      </c>
      <c r="R2165" s="13">
        <f>SUMIFS(L:L,H:H,Online_eCommerce[[#This Row],[Brand]])</f>
        <v>12435650</v>
      </c>
      <c r="S2165" s="13">
        <f>SUMIF(H:H,Online_eCommerce[[#This Row],[Brand]],M:M)</f>
        <v>16166345</v>
      </c>
      <c r="T2165" s="13">
        <f>SUMIF(N:N,Online_eCommerce[[#This Row],[Assigned Supervisor]],L:L)</f>
        <v>12261500</v>
      </c>
    </row>
    <row r="2166" spans="1:20" x14ac:dyDescent="0.3">
      <c r="A2166" t="s">
        <v>3288</v>
      </c>
      <c r="B2166" t="s">
        <v>235</v>
      </c>
      <c r="C2166" t="s">
        <v>136</v>
      </c>
      <c r="D2166" t="s">
        <v>3256</v>
      </c>
      <c r="E2166" t="s">
        <v>46</v>
      </c>
      <c r="F2166" t="s">
        <v>137</v>
      </c>
      <c r="G2166" t="s">
        <v>71</v>
      </c>
      <c r="H2166" t="s">
        <v>61</v>
      </c>
      <c r="I2166">
        <v>10500</v>
      </c>
      <c r="J2166">
        <v>13650</v>
      </c>
      <c r="K2166">
        <v>2</v>
      </c>
      <c r="L2166">
        <v>21000</v>
      </c>
      <c r="M2166">
        <v>27300</v>
      </c>
      <c r="N2166" t="s">
        <v>50</v>
      </c>
      <c r="O2166">
        <f t="shared" si="66"/>
        <v>9750</v>
      </c>
      <c r="P2166" s="13">
        <f t="shared" si="67"/>
        <v>2775162</v>
      </c>
      <c r="Q2166" s="13">
        <f>SUMIFS(M:M,E:E,Online_eCommerce[[#This Row],[Status]])</f>
        <v>28620410</v>
      </c>
      <c r="R2166" s="13">
        <f>SUMIFS(L:L,H:H,Online_eCommerce[[#This Row],[Brand]])</f>
        <v>10950150</v>
      </c>
      <c r="S2166" s="13">
        <f>SUMIF(H:H,Online_eCommerce[[#This Row],[Brand]],M:M)</f>
        <v>14235195</v>
      </c>
      <c r="T2166" s="13">
        <f>SUMIF(N:N,Online_eCommerce[[#This Row],[Assigned Supervisor]],L:L)</f>
        <v>12100590</v>
      </c>
    </row>
    <row r="2167" spans="1:20" hidden="1" x14ac:dyDescent="0.3">
      <c r="A2167" t="s">
        <v>3289</v>
      </c>
      <c r="B2167" t="s">
        <v>235</v>
      </c>
      <c r="C2167" t="s">
        <v>140</v>
      </c>
      <c r="D2167" t="s">
        <v>3256</v>
      </c>
      <c r="E2167" t="s">
        <v>96</v>
      </c>
      <c r="F2167" t="s">
        <v>3260</v>
      </c>
      <c r="G2167" t="s">
        <v>77</v>
      </c>
      <c r="H2167" t="s">
        <v>142</v>
      </c>
      <c r="I2167">
        <v>6500</v>
      </c>
      <c r="J2167">
        <v>8450</v>
      </c>
      <c r="K2167">
        <v>4</v>
      </c>
      <c r="L2167">
        <v>26000</v>
      </c>
      <c r="M2167">
        <v>33800</v>
      </c>
      <c r="N2167" t="s">
        <v>56</v>
      </c>
      <c r="O2167">
        <f t="shared" si="66"/>
        <v>39000</v>
      </c>
      <c r="P2167" s="13">
        <f t="shared" si="67"/>
        <v>2058264</v>
      </c>
      <c r="Q2167" s="13">
        <f>SUMIFS(M:M,E:E,Online_eCommerce[[#This Row],[Status]])</f>
        <v>21233992</v>
      </c>
      <c r="R2167" s="13">
        <f>SUMIFS(L:L,H:H,Online_eCommerce[[#This Row],[Brand]])</f>
        <v>6192500</v>
      </c>
      <c r="S2167" s="13">
        <f>SUMIF(H:H,Online_eCommerce[[#This Row],[Brand]],M:M)</f>
        <v>8050250</v>
      </c>
      <c r="T2167" s="13">
        <f>SUMIF(N:N,Online_eCommerce[[#This Row],[Assigned Supervisor]],L:L)</f>
        <v>11733610</v>
      </c>
    </row>
    <row r="2168" spans="1:20" hidden="1" x14ac:dyDescent="0.3">
      <c r="A2168" t="s">
        <v>3290</v>
      </c>
      <c r="B2168" t="s">
        <v>235</v>
      </c>
      <c r="C2168" t="s">
        <v>145</v>
      </c>
      <c r="D2168" t="s">
        <v>3256</v>
      </c>
      <c r="E2168" t="s">
        <v>18</v>
      </c>
      <c r="F2168" t="s">
        <v>3291</v>
      </c>
      <c r="G2168" t="s">
        <v>20</v>
      </c>
      <c r="H2168" t="s">
        <v>21</v>
      </c>
      <c r="I2168">
        <v>4500</v>
      </c>
      <c r="J2168">
        <v>5850</v>
      </c>
      <c r="K2168">
        <v>1</v>
      </c>
      <c r="L2168">
        <v>4500</v>
      </c>
      <c r="M2168">
        <v>5850</v>
      </c>
      <c r="N2168" t="s">
        <v>22</v>
      </c>
      <c r="O2168">
        <f t="shared" si="66"/>
        <v>8450</v>
      </c>
      <c r="P2168" s="13">
        <f t="shared" si="67"/>
        <v>2757859</v>
      </c>
      <c r="Q2168" s="13">
        <f>SUMIFS(M:M,E:E,Online_eCommerce[[#This Row],[Status]])</f>
        <v>28340455</v>
      </c>
      <c r="R2168" s="13">
        <f>SUMIFS(L:L,H:H,Online_eCommerce[[#This Row],[Brand]])</f>
        <v>12435650</v>
      </c>
      <c r="S2168" s="13">
        <f>SUMIF(H:H,Online_eCommerce[[#This Row],[Brand]],M:M)</f>
        <v>16166345</v>
      </c>
      <c r="T2168" s="13">
        <f>SUMIF(N:N,Online_eCommerce[[#This Row],[Assigned Supervisor]],L:L)</f>
        <v>13693220</v>
      </c>
    </row>
    <row r="2169" spans="1:20" hidden="1" x14ac:dyDescent="0.3">
      <c r="A2169" t="s">
        <v>3292</v>
      </c>
      <c r="B2169" t="s">
        <v>235</v>
      </c>
      <c r="C2169" t="s">
        <v>150</v>
      </c>
      <c r="D2169" t="s">
        <v>3256</v>
      </c>
      <c r="E2169" t="s">
        <v>161</v>
      </c>
      <c r="F2169" t="s">
        <v>152</v>
      </c>
      <c r="G2169" t="s">
        <v>26</v>
      </c>
      <c r="H2169" t="s">
        <v>27</v>
      </c>
      <c r="I2169">
        <v>8500</v>
      </c>
      <c r="J2169">
        <v>11050</v>
      </c>
      <c r="K2169">
        <v>1</v>
      </c>
      <c r="L2169">
        <v>8500</v>
      </c>
      <c r="M2169">
        <v>11050</v>
      </c>
      <c r="N2169" t="s">
        <v>28</v>
      </c>
      <c r="O2169">
        <f t="shared" si="66"/>
        <v>33150</v>
      </c>
      <c r="P2169" s="13">
        <f t="shared" si="67"/>
        <v>2154984</v>
      </c>
      <c r="Q2169" s="13">
        <f>SUMIFS(M:M,E:E,Online_eCommerce[[#This Row],[Status]])</f>
        <v>21103186</v>
      </c>
      <c r="R2169" s="13">
        <f>SUMIFS(L:L,H:H,Online_eCommerce[[#This Row],[Brand]])</f>
        <v>14431000</v>
      </c>
      <c r="S2169" s="13">
        <f>SUMIF(H:H,Online_eCommerce[[#This Row],[Brand]],M:M)</f>
        <v>18760300</v>
      </c>
      <c r="T2169" s="13">
        <f>SUMIF(N:N,Online_eCommerce[[#This Row],[Assigned Supervisor]],L:L)</f>
        <v>12220830</v>
      </c>
    </row>
    <row r="2170" spans="1:20" x14ac:dyDescent="0.3">
      <c r="A2170" t="s">
        <v>3293</v>
      </c>
      <c r="B2170" t="s">
        <v>235</v>
      </c>
      <c r="C2170" t="s">
        <v>155</v>
      </c>
      <c r="D2170" t="s">
        <v>3256</v>
      </c>
      <c r="E2170" t="s">
        <v>46</v>
      </c>
      <c r="F2170" t="s">
        <v>157</v>
      </c>
      <c r="G2170" t="s">
        <v>33</v>
      </c>
      <c r="H2170" t="s">
        <v>34</v>
      </c>
      <c r="I2170">
        <v>12500</v>
      </c>
      <c r="J2170">
        <v>16250</v>
      </c>
      <c r="K2170">
        <v>1</v>
      </c>
      <c r="L2170">
        <v>12500</v>
      </c>
      <c r="M2170">
        <v>16250</v>
      </c>
      <c r="N2170" t="s">
        <v>35</v>
      </c>
      <c r="O2170">
        <f t="shared" si="66"/>
        <v>18200</v>
      </c>
      <c r="P2170" s="13">
        <f t="shared" si="67"/>
        <v>2753348</v>
      </c>
      <c r="Q2170" s="13">
        <f>SUMIFS(M:M,E:E,Online_eCommerce[[#This Row],[Status]])</f>
        <v>28620410</v>
      </c>
      <c r="R2170" s="13">
        <f>SUMIFS(L:L,H:H,Online_eCommerce[[#This Row],[Brand]])</f>
        <v>10087000</v>
      </c>
      <c r="S2170" s="13">
        <f>SUMIF(H:H,Online_eCommerce[[#This Row],[Brand]],M:M)</f>
        <v>13113100</v>
      </c>
      <c r="T2170" s="13">
        <f>SUMIF(N:N,Online_eCommerce[[#This Row],[Assigned Supervisor]],L:L)</f>
        <v>14373360</v>
      </c>
    </row>
    <row r="2171" spans="1:20" hidden="1" x14ac:dyDescent="0.3">
      <c r="A2171" t="s">
        <v>3294</v>
      </c>
      <c r="B2171" t="s">
        <v>235</v>
      </c>
      <c r="C2171" t="s">
        <v>160</v>
      </c>
      <c r="D2171" t="s">
        <v>3256</v>
      </c>
      <c r="E2171" t="s">
        <v>96</v>
      </c>
      <c r="F2171" t="s">
        <v>2971</v>
      </c>
      <c r="G2171" t="s">
        <v>163</v>
      </c>
      <c r="H2171" t="s">
        <v>41</v>
      </c>
      <c r="I2171">
        <v>3500</v>
      </c>
      <c r="J2171">
        <v>4550</v>
      </c>
      <c r="K2171">
        <v>4</v>
      </c>
      <c r="L2171">
        <v>14000</v>
      </c>
      <c r="M2171">
        <v>18200</v>
      </c>
      <c r="N2171" t="s">
        <v>42</v>
      </c>
      <c r="O2171">
        <f t="shared" si="66"/>
        <v>13650</v>
      </c>
      <c r="P2171" s="13">
        <f t="shared" si="67"/>
        <v>2303483</v>
      </c>
      <c r="Q2171" s="13">
        <f>SUMIFS(M:M,E:E,Online_eCommerce[[#This Row],[Status]])</f>
        <v>21233992</v>
      </c>
      <c r="R2171" s="13">
        <f>SUMIFS(L:L,H:H,Online_eCommerce[[#This Row],[Brand]])</f>
        <v>4260400</v>
      </c>
      <c r="S2171" s="13">
        <f>SUMIF(H:H,Online_eCommerce[[#This Row],[Brand]],M:M)</f>
        <v>5538520</v>
      </c>
      <c r="T2171" s="13">
        <f>SUMIF(N:N,Online_eCommerce[[#This Row],[Assigned Supervisor]],L:L)</f>
        <v>12261500</v>
      </c>
    </row>
    <row r="2172" spans="1:20" hidden="1" x14ac:dyDescent="0.3">
      <c r="A2172" t="s">
        <v>3295</v>
      </c>
      <c r="B2172" t="s">
        <v>235</v>
      </c>
      <c r="C2172" t="s">
        <v>165</v>
      </c>
      <c r="D2172" t="s">
        <v>3256</v>
      </c>
      <c r="E2172" t="s">
        <v>18</v>
      </c>
      <c r="F2172" t="s">
        <v>166</v>
      </c>
      <c r="G2172" t="s">
        <v>66</v>
      </c>
      <c r="H2172" t="s">
        <v>49</v>
      </c>
      <c r="I2172">
        <v>4500</v>
      </c>
      <c r="J2172">
        <v>5850</v>
      </c>
      <c r="K2172">
        <v>1</v>
      </c>
      <c r="L2172">
        <v>4500</v>
      </c>
      <c r="M2172">
        <v>5850</v>
      </c>
      <c r="N2172" t="s">
        <v>50</v>
      </c>
      <c r="O2172">
        <f t="shared" si="66"/>
        <v>1690</v>
      </c>
      <c r="P2172" s="13">
        <f t="shared" si="67"/>
        <v>2674087</v>
      </c>
      <c r="Q2172" s="13">
        <f>SUMIFS(M:M,E:E,Online_eCommerce[[#This Row],[Status]])</f>
        <v>28340455</v>
      </c>
      <c r="R2172" s="13">
        <f>SUMIFS(L:L,H:H,Online_eCommerce[[#This Row],[Brand]])</f>
        <v>4528350</v>
      </c>
      <c r="S2172" s="13">
        <f>SUMIF(H:H,Online_eCommerce[[#This Row],[Brand]],M:M)</f>
        <v>5886855</v>
      </c>
      <c r="T2172" s="13">
        <f>SUMIF(N:N,Online_eCommerce[[#This Row],[Assigned Supervisor]],L:L)</f>
        <v>12100590</v>
      </c>
    </row>
    <row r="2173" spans="1:20" hidden="1" x14ac:dyDescent="0.3">
      <c r="A2173" t="s">
        <v>3296</v>
      </c>
      <c r="B2173" t="s">
        <v>235</v>
      </c>
      <c r="C2173" t="s">
        <v>168</v>
      </c>
      <c r="D2173" t="s">
        <v>3256</v>
      </c>
      <c r="E2173" t="s">
        <v>161</v>
      </c>
      <c r="F2173" t="s">
        <v>3297</v>
      </c>
      <c r="G2173" t="s">
        <v>54</v>
      </c>
      <c r="H2173" t="s">
        <v>55</v>
      </c>
      <c r="I2173">
        <v>2100</v>
      </c>
      <c r="J2173">
        <v>2730</v>
      </c>
      <c r="K2173">
        <v>4</v>
      </c>
      <c r="L2173">
        <v>8400</v>
      </c>
      <c r="M2173">
        <v>10920</v>
      </c>
      <c r="N2173" t="s">
        <v>56</v>
      </c>
      <c r="O2173">
        <f t="shared" si="66"/>
        <v>2990</v>
      </c>
      <c r="P2173" s="13">
        <f t="shared" si="67"/>
        <v>1937780</v>
      </c>
      <c r="Q2173" s="13">
        <f>SUMIFS(M:M,E:E,Online_eCommerce[[#This Row],[Status]])</f>
        <v>21103186</v>
      </c>
      <c r="R2173" s="13">
        <f>SUMIFS(L:L,H:H,Online_eCommerce[[#This Row],[Brand]])</f>
        <v>2267380</v>
      </c>
      <c r="S2173" s="13">
        <f>SUMIF(H:H,Online_eCommerce[[#This Row],[Brand]],M:M)</f>
        <v>2947594</v>
      </c>
      <c r="T2173" s="13">
        <f>SUMIF(N:N,Online_eCommerce[[#This Row],[Assigned Supervisor]],L:L)</f>
        <v>11733610</v>
      </c>
    </row>
    <row r="2174" spans="1:20" x14ac:dyDescent="0.3">
      <c r="A2174" t="s">
        <v>3298</v>
      </c>
      <c r="B2174" t="s">
        <v>139</v>
      </c>
      <c r="C2174" t="s">
        <v>172</v>
      </c>
      <c r="D2174" t="s">
        <v>3256</v>
      </c>
      <c r="E2174" t="s">
        <v>46</v>
      </c>
      <c r="F2174" t="s">
        <v>174</v>
      </c>
      <c r="G2174" t="s">
        <v>60</v>
      </c>
      <c r="H2174" t="s">
        <v>61</v>
      </c>
      <c r="I2174">
        <v>1150</v>
      </c>
      <c r="J2174">
        <v>1495</v>
      </c>
      <c r="K2174">
        <v>1</v>
      </c>
      <c r="L2174">
        <v>1150</v>
      </c>
      <c r="M2174">
        <v>1495</v>
      </c>
      <c r="N2174" t="s">
        <v>22</v>
      </c>
      <c r="O2174">
        <f t="shared" si="66"/>
        <v>3315</v>
      </c>
      <c r="P2174" s="13">
        <f t="shared" si="67"/>
        <v>2640274</v>
      </c>
      <c r="Q2174" s="13">
        <f>SUMIFS(M:M,E:E,Online_eCommerce[[#This Row],[Status]])</f>
        <v>28620410</v>
      </c>
      <c r="R2174" s="13">
        <f>SUMIFS(L:L,H:H,Online_eCommerce[[#This Row],[Brand]])</f>
        <v>10950150</v>
      </c>
      <c r="S2174" s="13">
        <f>SUMIF(H:H,Online_eCommerce[[#This Row],[Brand]],M:M)</f>
        <v>14235195</v>
      </c>
      <c r="T2174" s="13">
        <f>SUMIF(N:N,Online_eCommerce[[#This Row],[Assigned Supervisor]],L:L)</f>
        <v>13693220</v>
      </c>
    </row>
    <row r="2175" spans="1:20" hidden="1" x14ac:dyDescent="0.3">
      <c r="A2175" t="s">
        <v>3299</v>
      </c>
      <c r="B2175" t="s">
        <v>144</v>
      </c>
      <c r="C2175" t="s">
        <v>177</v>
      </c>
      <c r="D2175" t="s">
        <v>3256</v>
      </c>
      <c r="E2175" t="s">
        <v>96</v>
      </c>
      <c r="F2175" t="s">
        <v>179</v>
      </c>
      <c r="G2175" t="s">
        <v>66</v>
      </c>
      <c r="H2175" t="s">
        <v>21</v>
      </c>
      <c r="I2175">
        <v>350</v>
      </c>
      <c r="J2175">
        <v>455</v>
      </c>
      <c r="K2175">
        <v>4</v>
      </c>
      <c r="L2175">
        <v>1400</v>
      </c>
      <c r="M2175">
        <v>1820</v>
      </c>
      <c r="N2175" t="s">
        <v>28</v>
      </c>
      <c r="O2175">
        <f t="shared" si="66"/>
        <v>1690</v>
      </c>
      <c r="P2175" s="13">
        <f t="shared" si="67"/>
        <v>1863810</v>
      </c>
      <c r="Q2175" s="13">
        <f>SUMIFS(M:M,E:E,Online_eCommerce[[#This Row],[Status]])</f>
        <v>21233992</v>
      </c>
      <c r="R2175" s="13">
        <f>SUMIFS(L:L,H:H,Online_eCommerce[[#This Row],[Brand]])</f>
        <v>12435650</v>
      </c>
      <c r="S2175" s="13">
        <f>SUMIF(H:H,Online_eCommerce[[#This Row],[Brand]],M:M)</f>
        <v>16166345</v>
      </c>
      <c r="T2175" s="13">
        <f>SUMIF(N:N,Online_eCommerce[[#This Row],[Assigned Supervisor]],L:L)</f>
        <v>12220830</v>
      </c>
    </row>
    <row r="2176" spans="1:20" hidden="1" x14ac:dyDescent="0.3">
      <c r="A2176" t="s">
        <v>3300</v>
      </c>
      <c r="B2176" t="s">
        <v>171</v>
      </c>
      <c r="C2176" t="s">
        <v>181</v>
      </c>
      <c r="D2176" t="s">
        <v>3256</v>
      </c>
      <c r="E2176" t="s">
        <v>18</v>
      </c>
      <c r="F2176" t="s">
        <v>183</v>
      </c>
      <c r="G2176" t="s">
        <v>71</v>
      </c>
      <c r="H2176" t="s">
        <v>61</v>
      </c>
      <c r="I2176">
        <v>9500</v>
      </c>
      <c r="J2176">
        <v>12350</v>
      </c>
      <c r="K2176">
        <v>4</v>
      </c>
      <c r="L2176">
        <v>38000</v>
      </c>
      <c r="M2176">
        <v>49400</v>
      </c>
      <c r="N2176" t="s">
        <v>35</v>
      </c>
      <c r="O2176">
        <f t="shared" si="66"/>
        <v>9750</v>
      </c>
      <c r="P2176" s="13">
        <f t="shared" si="67"/>
        <v>2577458</v>
      </c>
      <c r="Q2176" s="13">
        <f>SUMIFS(M:M,E:E,Online_eCommerce[[#This Row],[Status]])</f>
        <v>28340455</v>
      </c>
      <c r="R2176" s="13">
        <f>SUMIFS(L:L,H:H,Online_eCommerce[[#This Row],[Brand]])</f>
        <v>10950150</v>
      </c>
      <c r="S2176" s="13">
        <f>SUMIF(H:H,Online_eCommerce[[#This Row],[Brand]],M:M)</f>
        <v>14235195</v>
      </c>
      <c r="T2176" s="13">
        <f>SUMIF(N:N,Online_eCommerce[[#This Row],[Assigned Supervisor]],L:L)</f>
        <v>14373360</v>
      </c>
    </row>
    <row r="2177" spans="1:20" hidden="1" x14ac:dyDescent="0.3">
      <c r="A2177" t="s">
        <v>3301</v>
      </c>
      <c r="B2177" t="s">
        <v>176</v>
      </c>
      <c r="C2177" t="s">
        <v>185</v>
      </c>
      <c r="D2177" t="s">
        <v>3256</v>
      </c>
      <c r="E2177" t="s">
        <v>161</v>
      </c>
      <c r="F2177" t="s">
        <v>3302</v>
      </c>
      <c r="G2177" t="s">
        <v>77</v>
      </c>
      <c r="H2177" t="s">
        <v>142</v>
      </c>
      <c r="I2177">
        <v>10000</v>
      </c>
      <c r="J2177">
        <v>13000</v>
      </c>
      <c r="K2177">
        <v>3</v>
      </c>
      <c r="L2177">
        <v>30000</v>
      </c>
      <c r="M2177">
        <v>39000</v>
      </c>
      <c r="N2177" t="s">
        <v>42</v>
      </c>
      <c r="O2177">
        <f t="shared" si="66"/>
        <v>39000</v>
      </c>
      <c r="P2177" s="13">
        <f t="shared" si="67"/>
        <v>2091596</v>
      </c>
      <c r="Q2177" s="13">
        <f>SUMIFS(M:M,E:E,Online_eCommerce[[#This Row],[Status]])</f>
        <v>21103186</v>
      </c>
      <c r="R2177" s="13">
        <f>SUMIFS(L:L,H:H,Online_eCommerce[[#This Row],[Brand]])</f>
        <v>6192500</v>
      </c>
      <c r="S2177" s="13">
        <f>SUMIF(H:H,Online_eCommerce[[#This Row],[Brand]],M:M)</f>
        <v>8050250</v>
      </c>
      <c r="T2177" s="13">
        <f>SUMIF(N:N,Online_eCommerce[[#This Row],[Assigned Supervisor]],L:L)</f>
        <v>12261500</v>
      </c>
    </row>
    <row r="2178" spans="1:20" x14ac:dyDescent="0.3">
      <c r="A2178" t="s">
        <v>3303</v>
      </c>
      <c r="B2178" t="s">
        <v>276</v>
      </c>
      <c r="C2178" t="s">
        <v>189</v>
      </c>
      <c r="D2178" t="s">
        <v>3256</v>
      </c>
      <c r="E2178" t="s">
        <v>46</v>
      </c>
      <c r="F2178" t="s">
        <v>3304</v>
      </c>
      <c r="G2178" t="s">
        <v>20</v>
      </c>
      <c r="H2178" t="s">
        <v>21</v>
      </c>
      <c r="I2178">
        <v>6500</v>
      </c>
      <c r="J2178">
        <v>8450</v>
      </c>
      <c r="K2178">
        <v>3</v>
      </c>
      <c r="L2178">
        <v>19500</v>
      </c>
      <c r="M2178">
        <v>25350</v>
      </c>
      <c r="N2178" t="s">
        <v>50</v>
      </c>
      <c r="O2178">
        <f t="shared" ref="O2178:O2241" si="68">VLOOKUP(G2178,G:M,7,FALSE)</f>
        <v>8450</v>
      </c>
      <c r="P2178" s="13">
        <f t="shared" ref="P2178:P2241" si="69">SUMIFS(M:M,C:C,C2178)</f>
        <v>2740777</v>
      </c>
      <c r="Q2178" s="13">
        <f>SUMIFS(M:M,E:E,Online_eCommerce[[#This Row],[Status]])</f>
        <v>28620410</v>
      </c>
      <c r="R2178" s="13">
        <f>SUMIFS(L:L,H:H,Online_eCommerce[[#This Row],[Brand]])</f>
        <v>12435650</v>
      </c>
      <c r="S2178" s="13">
        <f>SUMIF(H:H,Online_eCommerce[[#This Row],[Brand]],M:M)</f>
        <v>16166345</v>
      </c>
      <c r="T2178" s="13">
        <f>SUMIF(N:N,Online_eCommerce[[#This Row],[Assigned Supervisor]],L:L)</f>
        <v>12100590</v>
      </c>
    </row>
    <row r="2179" spans="1:20" hidden="1" x14ac:dyDescent="0.3">
      <c r="A2179" t="s">
        <v>3305</v>
      </c>
      <c r="B2179" t="s">
        <v>280</v>
      </c>
      <c r="C2179" t="s">
        <v>193</v>
      </c>
      <c r="D2179" t="s">
        <v>3256</v>
      </c>
      <c r="E2179" t="s">
        <v>96</v>
      </c>
      <c r="F2179" t="s">
        <v>3306</v>
      </c>
      <c r="G2179" t="s">
        <v>26</v>
      </c>
      <c r="H2179" t="s">
        <v>27</v>
      </c>
      <c r="I2179">
        <v>8500</v>
      </c>
      <c r="J2179">
        <v>11050</v>
      </c>
      <c r="K2179">
        <v>4</v>
      </c>
      <c r="L2179">
        <v>34000</v>
      </c>
      <c r="M2179">
        <v>44200</v>
      </c>
      <c r="N2179" t="s">
        <v>56</v>
      </c>
      <c r="O2179">
        <f t="shared" si="68"/>
        <v>33150</v>
      </c>
      <c r="P2179" s="13">
        <f t="shared" si="69"/>
        <v>2074774</v>
      </c>
      <c r="Q2179" s="13">
        <f>SUMIFS(M:M,E:E,Online_eCommerce[[#This Row],[Status]])</f>
        <v>21233992</v>
      </c>
      <c r="R2179" s="13">
        <f>SUMIFS(L:L,H:H,Online_eCommerce[[#This Row],[Brand]])</f>
        <v>14431000</v>
      </c>
      <c r="S2179" s="13">
        <f>SUMIF(H:H,Online_eCommerce[[#This Row],[Brand]],M:M)</f>
        <v>18760300</v>
      </c>
      <c r="T2179" s="13">
        <f>SUMIF(N:N,Online_eCommerce[[#This Row],[Assigned Supervisor]],L:L)</f>
        <v>11733610</v>
      </c>
    </row>
    <row r="2180" spans="1:20" hidden="1" x14ac:dyDescent="0.3">
      <c r="A2180" t="s">
        <v>3307</v>
      </c>
      <c r="B2180" t="s">
        <v>283</v>
      </c>
      <c r="C2180" t="s">
        <v>197</v>
      </c>
      <c r="D2180" t="s">
        <v>3256</v>
      </c>
      <c r="E2180" t="s">
        <v>18</v>
      </c>
      <c r="F2180" t="s">
        <v>32</v>
      </c>
      <c r="G2180" t="s">
        <v>33</v>
      </c>
      <c r="H2180" t="s">
        <v>34</v>
      </c>
      <c r="I2180">
        <v>7000</v>
      </c>
      <c r="J2180">
        <v>9100</v>
      </c>
      <c r="K2180">
        <v>2</v>
      </c>
      <c r="L2180">
        <v>14000</v>
      </c>
      <c r="M2180">
        <v>18200</v>
      </c>
      <c r="N2180" t="s">
        <v>22</v>
      </c>
      <c r="O2180">
        <f t="shared" si="68"/>
        <v>18200</v>
      </c>
      <c r="P2180" s="13">
        <f t="shared" si="69"/>
        <v>2829840</v>
      </c>
      <c r="Q2180" s="13">
        <f>SUMIFS(M:M,E:E,Online_eCommerce[[#This Row],[Status]])</f>
        <v>28340455</v>
      </c>
      <c r="R2180" s="13">
        <f>SUMIFS(L:L,H:H,Online_eCommerce[[#This Row],[Brand]])</f>
        <v>10087000</v>
      </c>
      <c r="S2180" s="13">
        <f>SUMIF(H:H,Online_eCommerce[[#This Row],[Brand]],M:M)</f>
        <v>13113100</v>
      </c>
      <c r="T2180" s="13">
        <f>SUMIF(N:N,Online_eCommerce[[#This Row],[Assigned Supervisor]],L:L)</f>
        <v>13693220</v>
      </c>
    </row>
    <row r="2181" spans="1:20" hidden="1" x14ac:dyDescent="0.3">
      <c r="A2181" t="s">
        <v>3308</v>
      </c>
      <c r="B2181" t="s">
        <v>287</v>
      </c>
      <c r="C2181" t="s">
        <v>199</v>
      </c>
      <c r="D2181" t="s">
        <v>3256</v>
      </c>
      <c r="E2181" t="s">
        <v>161</v>
      </c>
      <c r="F2181" t="s">
        <v>3309</v>
      </c>
      <c r="G2181" t="s">
        <v>163</v>
      </c>
      <c r="H2181" t="s">
        <v>41</v>
      </c>
      <c r="I2181">
        <v>6550</v>
      </c>
      <c r="J2181">
        <v>8515</v>
      </c>
      <c r="K2181">
        <v>2</v>
      </c>
      <c r="L2181">
        <v>13100</v>
      </c>
      <c r="M2181">
        <v>17030</v>
      </c>
      <c r="N2181" t="s">
        <v>28</v>
      </c>
      <c r="O2181">
        <f t="shared" si="68"/>
        <v>13650</v>
      </c>
      <c r="P2181" s="13">
        <f t="shared" si="69"/>
        <v>1947361</v>
      </c>
      <c r="Q2181" s="13">
        <f>SUMIFS(M:M,E:E,Online_eCommerce[[#This Row],[Status]])</f>
        <v>21103186</v>
      </c>
      <c r="R2181" s="13">
        <f>SUMIFS(L:L,H:H,Online_eCommerce[[#This Row],[Brand]])</f>
        <v>4260400</v>
      </c>
      <c r="S2181" s="13">
        <f>SUMIF(H:H,Online_eCommerce[[#This Row],[Brand]],M:M)</f>
        <v>5538520</v>
      </c>
      <c r="T2181" s="13">
        <f>SUMIF(N:N,Online_eCommerce[[#This Row],[Assigned Supervisor]],L:L)</f>
        <v>12220830</v>
      </c>
    </row>
    <row r="2182" spans="1:20" x14ac:dyDescent="0.3">
      <c r="A2182" t="s">
        <v>3310</v>
      </c>
      <c r="B2182" t="s">
        <v>290</v>
      </c>
      <c r="C2182" t="s">
        <v>203</v>
      </c>
      <c r="D2182" t="s">
        <v>3256</v>
      </c>
      <c r="E2182" t="s">
        <v>46</v>
      </c>
      <c r="F2182" t="s">
        <v>47</v>
      </c>
      <c r="G2182" t="s">
        <v>66</v>
      </c>
      <c r="H2182" t="s">
        <v>49</v>
      </c>
      <c r="I2182">
        <v>7650</v>
      </c>
      <c r="J2182">
        <v>9945</v>
      </c>
      <c r="K2182">
        <v>2</v>
      </c>
      <c r="L2182">
        <v>15300</v>
      </c>
      <c r="M2182">
        <v>19890</v>
      </c>
      <c r="N2182" t="s">
        <v>35</v>
      </c>
      <c r="O2182">
        <f t="shared" si="68"/>
        <v>1690</v>
      </c>
      <c r="P2182" s="13">
        <f t="shared" si="69"/>
        <v>2559635</v>
      </c>
      <c r="Q2182" s="13">
        <f>SUMIFS(M:M,E:E,Online_eCommerce[[#This Row],[Status]])</f>
        <v>28620410</v>
      </c>
      <c r="R2182" s="13">
        <f>SUMIFS(L:L,H:H,Online_eCommerce[[#This Row],[Brand]])</f>
        <v>4528350</v>
      </c>
      <c r="S2182" s="13">
        <f>SUMIF(H:H,Online_eCommerce[[#This Row],[Brand]],M:M)</f>
        <v>5886855</v>
      </c>
      <c r="T2182" s="13">
        <f>SUMIF(N:N,Online_eCommerce[[#This Row],[Assigned Supervisor]],L:L)</f>
        <v>14373360</v>
      </c>
    </row>
    <row r="2183" spans="1:20" hidden="1" x14ac:dyDescent="0.3">
      <c r="A2183" t="s">
        <v>3311</v>
      </c>
      <c r="B2183" t="s">
        <v>15</v>
      </c>
      <c r="C2183" t="s">
        <v>205</v>
      </c>
      <c r="D2183" t="s">
        <v>3256</v>
      </c>
      <c r="E2183" t="s">
        <v>96</v>
      </c>
      <c r="F2183" t="s">
        <v>53</v>
      </c>
      <c r="G2183" t="s">
        <v>54</v>
      </c>
      <c r="H2183" t="s">
        <v>55</v>
      </c>
      <c r="I2183">
        <v>1150</v>
      </c>
      <c r="J2183">
        <v>1495</v>
      </c>
      <c r="K2183">
        <v>3</v>
      </c>
      <c r="L2183">
        <v>3450</v>
      </c>
      <c r="M2183">
        <v>4485</v>
      </c>
      <c r="N2183" t="s">
        <v>42</v>
      </c>
      <c r="O2183">
        <f t="shared" si="68"/>
        <v>2990</v>
      </c>
      <c r="P2183" s="13">
        <f t="shared" si="69"/>
        <v>1983254</v>
      </c>
      <c r="Q2183" s="13">
        <f>SUMIFS(M:M,E:E,Online_eCommerce[[#This Row],[Status]])</f>
        <v>21233992</v>
      </c>
      <c r="R2183" s="13">
        <f>SUMIFS(L:L,H:H,Online_eCommerce[[#This Row],[Brand]])</f>
        <v>2267380</v>
      </c>
      <c r="S2183" s="13">
        <f>SUMIF(H:H,Online_eCommerce[[#This Row],[Brand]],M:M)</f>
        <v>2947594</v>
      </c>
      <c r="T2183" s="13">
        <f>SUMIF(N:N,Online_eCommerce[[#This Row],[Assigned Supervisor]],L:L)</f>
        <v>12261500</v>
      </c>
    </row>
    <row r="2184" spans="1:20" hidden="1" x14ac:dyDescent="0.3">
      <c r="A2184" t="s">
        <v>3312</v>
      </c>
      <c r="B2184" t="s">
        <v>202</v>
      </c>
      <c r="C2184" t="s">
        <v>208</v>
      </c>
      <c r="D2184" t="s">
        <v>3256</v>
      </c>
      <c r="E2184" t="s">
        <v>18</v>
      </c>
      <c r="F2184" t="s">
        <v>59</v>
      </c>
      <c r="G2184" t="s">
        <v>60</v>
      </c>
      <c r="H2184" t="s">
        <v>61</v>
      </c>
      <c r="I2184">
        <v>850</v>
      </c>
      <c r="J2184">
        <v>1105</v>
      </c>
      <c r="K2184">
        <v>4</v>
      </c>
      <c r="L2184">
        <v>3400</v>
      </c>
      <c r="M2184">
        <v>4420</v>
      </c>
      <c r="N2184" t="s">
        <v>50</v>
      </c>
      <c r="O2184">
        <f t="shared" si="68"/>
        <v>3315</v>
      </c>
      <c r="P2184" s="13">
        <f t="shared" si="69"/>
        <v>2746575</v>
      </c>
      <c r="Q2184" s="13">
        <f>SUMIFS(M:M,E:E,Online_eCommerce[[#This Row],[Status]])</f>
        <v>28340455</v>
      </c>
      <c r="R2184" s="13">
        <f>SUMIFS(L:L,H:H,Online_eCommerce[[#This Row],[Brand]])</f>
        <v>10950150</v>
      </c>
      <c r="S2184" s="13">
        <f>SUMIF(H:H,Online_eCommerce[[#This Row],[Brand]],M:M)</f>
        <v>14235195</v>
      </c>
      <c r="T2184" s="13">
        <f>SUMIF(N:N,Online_eCommerce[[#This Row],[Assigned Supervisor]],L:L)</f>
        <v>12100590</v>
      </c>
    </row>
    <row r="2185" spans="1:20" hidden="1" x14ac:dyDescent="0.3">
      <c r="A2185" t="s">
        <v>3313</v>
      </c>
      <c r="B2185" t="s">
        <v>30</v>
      </c>
      <c r="C2185" t="s">
        <v>211</v>
      </c>
      <c r="D2185" t="s">
        <v>3256</v>
      </c>
      <c r="E2185" t="s">
        <v>161</v>
      </c>
      <c r="F2185" t="s">
        <v>65</v>
      </c>
      <c r="G2185" t="s">
        <v>66</v>
      </c>
      <c r="H2185" t="s">
        <v>21</v>
      </c>
      <c r="I2185">
        <v>650</v>
      </c>
      <c r="J2185">
        <v>845</v>
      </c>
      <c r="K2185">
        <v>3</v>
      </c>
      <c r="L2185">
        <v>1950</v>
      </c>
      <c r="M2185">
        <v>2535</v>
      </c>
      <c r="N2185" t="s">
        <v>56</v>
      </c>
      <c r="O2185">
        <f t="shared" si="68"/>
        <v>1690</v>
      </c>
      <c r="P2185" s="13">
        <f t="shared" si="69"/>
        <v>1809847</v>
      </c>
      <c r="Q2185" s="13">
        <f>SUMIFS(M:M,E:E,Online_eCommerce[[#This Row],[Status]])</f>
        <v>21103186</v>
      </c>
      <c r="R2185" s="13">
        <f>SUMIFS(L:L,H:H,Online_eCommerce[[#This Row],[Brand]])</f>
        <v>12435650</v>
      </c>
      <c r="S2185" s="13">
        <f>SUMIF(H:H,Online_eCommerce[[#This Row],[Brand]],M:M)</f>
        <v>16166345</v>
      </c>
      <c r="T2185" s="13">
        <f>SUMIF(N:N,Online_eCommerce[[#This Row],[Assigned Supervisor]],L:L)</f>
        <v>11733610</v>
      </c>
    </row>
    <row r="2186" spans="1:20" x14ac:dyDescent="0.3">
      <c r="A2186" t="s">
        <v>3314</v>
      </c>
      <c r="B2186" t="s">
        <v>37</v>
      </c>
      <c r="C2186" t="s">
        <v>16</v>
      </c>
      <c r="D2186" t="s">
        <v>3256</v>
      </c>
      <c r="E2186" t="s">
        <v>46</v>
      </c>
      <c r="F2186" t="s">
        <v>70</v>
      </c>
      <c r="G2186" t="s">
        <v>71</v>
      </c>
      <c r="H2186" t="s">
        <v>61</v>
      </c>
      <c r="I2186">
        <v>7500</v>
      </c>
      <c r="J2186">
        <v>9750</v>
      </c>
      <c r="K2186">
        <v>4</v>
      </c>
      <c r="L2186">
        <v>30000</v>
      </c>
      <c r="M2186">
        <v>39000</v>
      </c>
      <c r="N2186" t="s">
        <v>22</v>
      </c>
      <c r="O2186">
        <f t="shared" si="68"/>
        <v>9750</v>
      </c>
      <c r="P2186" s="13">
        <f t="shared" si="69"/>
        <v>2751814</v>
      </c>
      <c r="Q2186" s="13">
        <f>SUMIFS(M:M,E:E,Online_eCommerce[[#This Row],[Status]])</f>
        <v>28620410</v>
      </c>
      <c r="R2186" s="13">
        <f>SUMIFS(L:L,H:H,Online_eCommerce[[#This Row],[Brand]])</f>
        <v>10950150</v>
      </c>
      <c r="S2186" s="13">
        <f>SUMIF(H:H,Online_eCommerce[[#This Row],[Brand]],M:M)</f>
        <v>14235195</v>
      </c>
      <c r="T2186" s="13">
        <f>SUMIF(N:N,Online_eCommerce[[#This Row],[Assigned Supervisor]],L:L)</f>
        <v>13693220</v>
      </c>
    </row>
    <row r="2187" spans="1:20" hidden="1" x14ac:dyDescent="0.3">
      <c r="A2187" t="s">
        <v>3315</v>
      </c>
      <c r="B2187" t="s">
        <v>44</v>
      </c>
      <c r="C2187" t="s">
        <v>24</v>
      </c>
      <c r="D2187" t="s">
        <v>3256</v>
      </c>
      <c r="E2187" t="s">
        <v>96</v>
      </c>
      <c r="F2187" t="s">
        <v>3302</v>
      </c>
      <c r="G2187" t="s">
        <v>77</v>
      </c>
      <c r="H2187" t="s">
        <v>78</v>
      </c>
      <c r="I2187">
        <v>10000</v>
      </c>
      <c r="J2187">
        <v>13000</v>
      </c>
      <c r="K2187">
        <v>2</v>
      </c>
      <c r="L2187">
        <v>20000</v>
      </c>
      <c r="M2187">
        <v>26000</v>
      </c>
      <c r="N2187" t="s">
        <v>28</v>
      </c>
      <c r="O2187">
        <f t="shared" si="68"/>
        <v>39000</v>
      </c>
      <c r="P2187" s="13">
        <f t="shared" si="69"/>
        <v>2009540</v>
      </c>
      <c r="Q2187" s="13">
        <f>SUMIFS(M:M,E:E,Online_eCommerce[[#This Row],[Status]])</f>
        <v>21233992</v>
      </c>
      <c r="R2187" s="13">
        <f>SUMIFS(L:L,H:H,Online_eCommerce[[#This Row],[Brand]])</f>
        <v>3720000</v>
      </c>
      <c r="S2187" s="13">
        <f>SUMIF(H:H,Online_eCommerce[[#This Row],[Brand]],M:M)</f>
        <v>4836000</v>
      </c>
      <c r="T2187" s="13">
        <f>SUMIF(N:N,Online_eCommerce[[#This Row],[Assigned Supervisor]],L:L)</f>
        <v>12220830</v>
      </c>
    </row>
    <row r="2188" spans="1:20" hidden="1" x14ac:dyDescent="0.3">
      <c r="A2188" t="s">
        <v>3316</v>
      </c>
      <c r="B2188" t="s">
        <v>213</v>
      </c>
      <c r="C2188" t="s">
        <v>31</v>
      </c>
      <c r="D2188" t="s">
        <v>3256</v>
      </c>
      <c r="E2188" t="s">
        <v>18</v>
      </c>
      <c r="F2188" t="s">
        <v>3317</v>
      </c>
      <c r="G2188" t="s">
        <v>20</v>
      </c>
      <c r="H2188" t="s">
        <v>21</v>
      </c>
      <c r="I2188">
        <v>10500</v>
      </c>
      <c r="J2188">
        <v>13650</v>
      </c>
      <c r="K2188">
        <v>2</v>
      </c>
      <c r="L2188">
        <v>21000</v>
      </c>
      <c r="M2188">
        <v>27300</v>
      </c>
      <c r="N2188" t="s">
        <v>35</v>
      </c>
      <c r="O2188">
        <f t="shared" si="68"/>
        <v>8450</v>
      </c>
      <c r="P2188" s="13">
        <f t="shared" si="69"/>
        <v>2865746</v>
      </c>
      <c r="Q2188" s="13">
        <f>SUMIFS(M:M,E:E,Online_eCommerce[[#This Row],[Status]])</f>
        <v>28340455</v>
      </c>
      <c r="R2188" s="13">
        <f>SUMIFS(L:L,H:H,Online_eCommerce[[#This Row],[Brand]])</f>
        <v>12435650</v>
      </c>
      <c r="S2188" s="13">
        <f>SUMIF(H:H,Online_eCommerce[[#This Row],[Brand]],M:M)</f>
        <v>16166345</v>
      </c>
      <c r="T2188" s="13">
        <f>SUMIF(N:N,Online_eCommerce[[#This Row],[Assigned Supervisor]],L:L)</f>
        <v>14373360</v>
      </c>
    </row>
    <row r="2189" spans="1:20" hidden="1" x14ac:dyDescent="0.3">
      <c r="A2189" t="s">
        <v>3318</v>
      </c>
      <c r="B2189" t="s">
        <v>215</v>
      </c>
      <c r="C2189" t="s">
        <v>38</v>
      </c>
      <c r="D2189" t="s">
        <v>3256</v>
      </c>
      <c r="E2189" t="s">
        <v>161</v>
      </c>
      <c r="F2189" t="s">
        <v>88</v>
      </c>
      <c r="G2189" t="s">
        <v>26</v>
      </c>
      <c r="H2189" t="s">
        <v>27</v>
      </c>
      <c r="I2189">
        <v>8500</v>
      </c>
      <c r="J2189">
        <v>11050</v>
      </c>
      <c r="K2189">
        <v>3</v>
      </c>
      <c r="L2189">
        <v>25500</v>
      </c>
      <c r="M2189">
        <v>33150</v>
      </c>
      <c r="N2189" t="s">
        <v>42</v>
      </c>
      <c r="O2189">
        <f t="shared" si="68"/>
        <v>33150</v>
      </c>
      <c r="P2189" s="13">
        <f t="shared" si="69"/>
        <v>1933997</v>
      </c>
      <c r="Q2189" s="13">
        <f>SUMIFS(M:M,E:E,Online_eCommerce[[#This Row],[Status]])</f>
        <v>21103186</v>
      </c>
      <c r="R2189" s="13">
        <f>SUMIFS(L:L,H:H,Online_eCommerce[[#This Row],[Brand]])</f>
        <v>14431000</v>
      </c>
      <c r="S2189" s="13">
        <f>SUMIF(H:H,Online_eCommerce[[#This Row],[Brand]],M:M)</f>
        <v>18760300</v>
      </c>
      <c r="T2189" s="13">
        <f>SUMIF(N:N,Online_eCommerce[[#This Row],[Assigned Supervisor]],L:L)</f>
        <v>12261500</v>
      </c>
    </row>
    <row r="2190" spans="1:20" x14ac:dyDescent="0.3">
      <c r="A2190" t="s">
        <v>3319</v>
      </c>
      <c r="B2190" t="s">
        <v>306</v>
      </c>
      <c r="C2190" t="s">
        <v>45</v>
      </c>
      <c r="D2190" t="s">
        <v>3256</v>
      </c>
      <c r="E2190" t="s">
        <v>46</v>
      </c>
      <c r="F2190" t="s">
        <v>32</v>
      </c>
      <c r="G2190" t="s">
        <v>33</v>
      </c>
      <c r="H2190" t="s">
        <v>34</v>
      </c>
      <c r="I2190">
        <v>7000</v>
      </c>
      <c r="J2190">
        <v>9100</v>
      </c>
      <c r="K2190">
        <v>3</v>
      </c>
      <c r="L2190">
        <v>21000</v>
      </c>
      <c r="M2190">
        <v>27300</v>
      </c>
      <c r="N2190" t="s">
        <v>50</v>
      </c>
      <c r="O2190">
        <f t="shared" si="68"/>
        <v>18200</v>
      </c>
      <c r="P2190" s="13">
        <f t="shared" si="69"/>
        <v>2842554</v>
      </c>
      <c r="Q2190" s="13">
        <f>SUMIFS(M:M,E:E,Online_eCommerce[[#This Row],[Status]])</f>
        <v>28620410</v>
      </c>
      <c r="R2190" s="13">
        <f>SUMIFS(L:L,H:H,Online_eCommerce[[#This Row],[Brand]])</f>
        <v>10087000</v>
      </c>
      <c r="S2190" s="13">
        <f>SUMIF(H:H,Online_eCommerce[[#This Row],[Brand]],M:M)</f>
        <v>13113100</v>
      </c>
      <c r="T2190" s="13">
        <f>SUMIF(N:N,Online_eCommerce[[#This Row],[Assigned Supervisor]],L:L)</f>
        <v>12100590</v>
      </c>
    </row>
    <row r="2191" spans="1:20" hidden="1" x14ac:dyDescent="0.3">
      <c r="A2191" t="s">
        <v>3320</v>
      </c>
      <c r="B2191" t="s">
        <v>528</v>
      </c>
      <c r="C2191" t="s">
        <v>52</v>
      </c>
      <c r="D2191" t="s">
        <v>3256</v>
      </c>
      <c r="E2191" t="s">
        <v>96</v>
      </c>
      <c r="F2191" t="s">
        <v>3321</v>
      </c>
      <c r="G2191" t="s">
        <v>163</v>
      </c>
      <c r="H2191" t="s">
        <v>41</v>
      </c>
      <c r="I2191">
        <v>1680</v>
      </c>
      <c r="J2191">
        <v>2184</v>
      </c>
      <c r="K2191">
        <v>4</v>
      </c>
      <c r="L2191">
        <v>6720</v>
      </c>
      <c r="M2191">
        <v>8736</v>
      </c>
      <c r="N2191" t="s">
        <v>56</v>
      </c>
      <c r="O2191">
        <f t="shared" si="68"/>
        <v>13650</v>
      </c>
      <c r="P2191" s="13">
        <f t="shared" si="69"/>
        <v>1955044</v>
      </c>
      <c r="Q2191" s="13">
        <f>SUMIFS(M:M,E:E,Online_eCommerce[[#This Row],[Status]])</f>
        <v>21233992</v>
      </c>
      <c r="R2191" s="13">
        <f>SUMIFS(L:L,H:H,Online_eCommerce[[#This Row],[Brand]])</f>
        <v>4260400</v>
      </c>
      <c r="S2191" s="13">
        <f>SUMIF(H:H,Online_eCommerce[[#This Row],[Brand]],M:M)</f>
        <v>5538520</v>
      </c>
      <c r="T2191" s="13">
        <f>SUMIF(N:N,Online_eCommerce[[#This Row],[Assigned Supervisor]],L:L)</f>
        <v>11733610</v>
      </c>
    </row>
    <row r="2192" spans="1:20" hidden="1" x14ac:dyDescent="0.3">
      <c r="A2192" t="s">
        <v>3322</v>
      </c>
      <c r="B2192" t="s">
        <v>73</v>
      </c>
      <c r="C2192" t="s">
        <v>58</v>
      </c>
      <c r="D2192" t="s">
        <v>3256</v>
      </c>
      <c r="E2192" t="s">
        <v>18</v>
      </c>
      <c r="F2192" t="s">
        <v>101</v>
      </c>
      <c r="G2192" t="s">
        <v>66</v>
      </c>
      <c r="H2192" t="s">
        <v>102</v>
      </c>
      <c r="I2192">
        <v>6540</v>
      </c>
      <c r="J2192">
        <v>8502</v>
      </c>
      <c r="K2192">
        <v>3</v>
      </c>
      <c r="L2192">
        <v>19620</v>
      </c>
      <c r="M2192">
        <v>25506</v>
      </c>
      <c r="N2192" t="s">
        <v>22</v>
      </c>
      <c r="O2192">
        <f t="shared" si="68"/>
        <v>1690</v>
      </c>
      <c r="P2192" s="13">
        <f t="shared" si="69"/>
        <v>2629211</v>
      </c>
      <c r="Q2192" s="13">
        <f>SUMIFS(M:M,E:E,Online_eCommerce[[#This Row],[Status]])</f>
        <v>28340455</v>
      </c>
      <c r="R2192" s="13">
        <f>SUMIFS(L:L,H:H,Online_eCommerce[[#This Row],[Brand]])</f>
        <v>2465580</v>
      </c>
      <c r="S2192" s="13">
        <f>SUMIF(H:H,Online_eCommerce[[#This Row],[Brand]],M:M)</f>
        <v>3205254</v>
      </c>
      <c r="T2192" s="13">
        <f>SUMIF(N:N,Online_eCommerce[[#This Row],[Assigned Supervisor]],L:L)</f>
        <v>13693220</v>
      </c>
    </row>
    <row r="2193" spans="1:20" hidden="1" x14ac:dyDescent="0.3">
      <c r="A2193" t="s">
        <v>3323</v>
      </c>
      <c r="B2193" t="s">
        <v>80</v>
      </c>
      <c r="C2193" t="s">
        <v>63</v>
      </c>
      <c r="D2193" t="s">
        <v>3256</v>
      </c>
      <c r="E2193" t="s">
        <v>161</v>
      </c>
      <c r="F2193" t="s">
        <v>107</v>
      </c>
      <c r="G2193" t="s">
        <v>54</v>
      </c>
      <c r="H2193" t="s">
        <v>55</v>
      </c>
      <c r="I2193">
        <v>2680</v>
      </c>
      <c r="J2193">
        <v>3484</v>
      </c>
      <c r="K2193">
        <v>1</v>
      </c>
      <c r="L2193">
        <v>2680</v>
      </c>
      <c r="M2193">
        <v>3484</v>
      </c>
      <c r="N2193" t="s">
        <v>28</v>
      </c>
      <c r="O2193">
        <f t="shared" si="68"/>
        <v>2990</v>
      </c>
      <c r="P2193" s="13">
        <f t="shared" si="69"/>
        <v>2016131</v>
      </c>
      <c r="Q2193" s="13">
        <f>SUMIFS(M:M,E:E,Online_eCommerce[[#This Row],[Status]])</f>
        <v>21103186</v>
      </c>
      <c r="R2193" s="13">
        <f>SUMIFS(L:L,H:H,Online_eCommerce[[#This Row],[Brand]])</f>
        <v>2267380</v>
      </c>
      <c r="S2193" s="13">
        <f>SUMIF(H:H,Online_eCommerce[[#This Row],[Brand]],M:M)</f>
        <v>2947594</v>
      </c>
      <c r="T2193" s="13">
        <f>SUMIF(N:N,Online_eCommerce[[#This Row],[Assigned Supervisor]],L:L)</f>
        <v>12220830</v>
      </c>
    </row>
    <row r="2194" spans="1:20" x14ac:dyDescent="0.3">
      <c r="A2194" t="s">
        <v>3324</v>
      </c>
      <c r="B2194" t="s">
        <v>85</v>
      </c>
      <c r="C2194" t="s">
        <v>68</v>
      </c>
      <c r="D2194" t="s">
        <v>3256</v>
      </c>
      <c r="E2194" t="s">
        <v>46</v>
      </c>
      <c r="F2194" t="s">
        <v>112</v>
      </c>
      <c r="G2194" t="s">
        <v>71</v>
      </c>
      <c r="H2194" t="s">
        <v>21</v>
      </c>
      <c r="I2194">
        <v>8250</v>
      </c>
      <c r="J2194">
        <v>10725</v>
      </c>
      <c r="K2194">
        <v>2</v>
      </c>
      <c r="L2194">
        <v>16500</v>
      </c>
      <c r="M2194">
        <v>21450</v>
      </c>
      <c r="N2194" t="s">
        <v>35</v>
      </c>
      <c r="O2194">
        <f t="shared" si="68"/>
        <v>9750</v>
      </c>
      <c r="P2194" s="13">
        <f t="shared" si="69"/>
        <v>2974621</v>
      </c>
      <c r="Q2194" s="13">
        <f>SUMIFS(M:M,E:E,Online_eCommerce[[#This Row],[Status]])</f>
        <v>28620410</v>
      </c>
      <c r="R2194" s="13">
        <f>SUMIFS(L:L,H:H,Online_eCommerce[[#This Row],[Brand]])</f>
        <v>12435650</v>
      </c>
      <c r="S2194" s="13">
        <f>SUMIF(H:H,Online_eCommerce[[#This Row],[Brand]],M:M)</f>
        <v>16166345</v>
      </c>
      <c r="T2194" s="13">
        <f>SUMIF(N:N,Online_eCommerce[[#This Row],[Assigned Supervisor]],L:L)</f>
        <v>14373360</v>
      </c>
    </row>
    <row r="2195" spans="1:20" hidden="1" x14ac:dyDescent="0.3">
      <c r="A2195" t="s">
        <v>3325</v>
      </c>
      <c r="B2195" t="s">
        <v>90</v>
      </c>
      <c r="C2195" t="s">
        <v>74</v>
      </c>
      <c r="D2195" t="s">
        <v>3256</v>
      </c>
      <c r="E2195" t="s">
        <v>96</v>
      </c>
      <c r="F2195" t="s">
        <v>2971</v>
      </c>
      <c r="G2195" t="s">
        <v>40</v>
      </c>
      <c r="H2195" t="s">
        <v>21</v>
      </c>
      <c r="I2195">
        <v>2650</v>
      </c>
      <c r="J2195">
        <v>3445</v>
      </c>
      <c r="K2195">
        <v>4</v>
      </c>
      <c r="L2195">
        <v>10600</v>
      </c>
      <c r="M2195">
        <v>13780</v>
      </c>
      <c r="N2195" t="s">
        <v>42</v>
      </c>
      <c r="O2195">
        <f t="shared" si="68"/>
        <v>25545</v>
      </c>
      <c r="P2195" s="13">
        <f t="shared" si="69"/>
        <v>2144701</v>
      </c>
      <c r="Q2195" s="13">
        <f>SUMIFS(M:M,E:E,Online_eCommerce[[#This Row],[Status]])</f>
        <v>21233992</v>
      </c>
      <c r="R2195" s="13">
        <f>SUMIFS(L:L,H:H,Online_eCommerce[[#This Row],[Brand]])</f>
        <v>12435650</v>
      </c>
      <c r="S2195" s="13">
        <f>SUMIF(H:H,Online_eCommerce[[#This Row],[Brand]],M:M)</f>
        <v>16166345</v>
      </c>
      <c r="T2195" s="13">
        <f>SUMIF(N:N,Online_eCommerce[[#This Row],[Assigned Supervisor]],L:L)</f>
        <v>12261500</v>
      </c>
    </row>
    <row r="2196" spans="1:20" hidden="1" x14ac:dyDescent="0.3">
      <c r="A2196" t="s">
        <v>3326</v>
      </c>
      <c r="B2196" t="s">
        <v>232</v>
      </c>
      <c r="C2196" t="s">
        <v>81</v>
      </c>
      <c r="D2196" t="s">
        <v>3256</v>
      </c>
      <c r="E2196" t="s">
        <v>18</v>
      </c>
      <c r="F2196" t="s">
        <v>121</v>
      </c>
      <c r="G2196" t="s">
        <v>71</v>
      </c>
      <c r="H2196" t="s">
        <v>122</v>
      </c>
      <c r="I2196">
        <v>12550</v>
      </c>
      <c r="J2196">
        <v>16315</v>
      </c>
      <c r="K2196">
        <v>2</v>
      </c>
      <c r="L2196">
        <v>25100</v>
      </c>
      <c r="M2196">
        <v>32630</v>
      </c>
      <c r="N2196" t="s">
        <v>50</v>
      </c>
      <c r="O2196">
        <f t="shared" si="68"/>
        <v>9750</v>
      </c>
      <c r="P2196" s="13">
        <f t="shared" si="69"/>
        <v>2595632</v>
      </c>
      <c r="Q2196" s="13">
        <f>SUMIFS(M:M,E:E,Online_eCommerce[[#This Row],[Status]])</f>
        <v>28340455</v>
      </c>
      <c r="R2196" s="13">
        <f>SUMIFS(L:L,H:H,Online_eCommerce[[#This Row],[Brand]])</f>
        <v>5045100</v>
      </c>
      <c r="S2196" s="13">
        <f>SUMIF(H:H,Online_eCommerce[[#This Row],[Brand]],M:M)</f>
        <v>6558630</v>
      </c>
      <c r="T2196" s="13">
        <f>SUMIF(N:N,Online_eCommerce[[#This Row],[Assigned Supervisor]],L:L)</f>
        <v>12100590</v>
      </c>
    </row>
    <row r="2197" spans="1:20" hidden="1" x14ac:dyDescent="0.3">
      <c r="A2197" t="s">
        <v>3327</v>
      </c>
      <c r="B2197" t="s">
        <v>235</v>
      </c>
      <c r="C2197" t="s">
        <v>86</v>
      </c>
      <c r="D2197" t="s">
        <v>3256</v>
      </c>
      <c r="E2197" t="s">
        <v>161</v>
      </c>
      <c r="F2197" t="s">
        <v>126</v>
      </c>
      <c r="G2197" t="s">
        <v>26</v>
      </c>
      <c r="H2197" t="s">
        <v>27</v>
      </c>
      <c r="I2197">
        <v>14500</v>
      </c>
      <c r="J2197">
        <v>18850</v>
      </c>
      <c r="K2197">
        <v>1</v>
      </c>
      <c r="L2197">
        <v>14500</v>
      </c>
      <c r="M2197">
        <v>18850</v>
      </c>
      <c r="N2197" t="s">
        <v>56</v>
      </c>
      <c r="O2197">
        <f t="shared" si="68"/>
        <v>33150</v>
      </c>
      <c r="P2197" s="13">
        <f t="shared" si="69"/>
        <v>1941225</v>
      </c>
      <c r="Q2197" s="13">
        <f>SUMIFS(M:M,E:E,Online_eCommerce[[#This Row],[Status]])</f>
        <v>21103186</v>
      </c>
      <c r="R2197" s="13">
        <f>SUMIFS(L:L,H:H,Online_eCommerce[[#This Row],[Brand]])</f>
        <v>14431000</v>
      </c>
      <c r="S2197" s="13">
        <f>SUMIF(H:H,Online_eCommerce[[#This Row],[Brand]],M:M)</f>
        <v>18760300</v>
      </c>
      <c r="T2197" s="13">
        <f>SUMIF(N:N,Online_eCommerce[[#This Row],[Assigned Supervisor]],L:L)</f>
        <v>11733610</v>
      </c>
    </row>
    <row r="2198" spans="1:20" x14ac:dyDescent="0.3">
      <c r="A2198" t="s">
        <v>3328</v>
      </c>
      <c r="B2198" t="s">
        <v>104</v>
      </c>
      <c r="C2198" t="s">
        <v>91</v>
      </c>
      <c r="D2198" t="s">
        <v>3256</v>
      </c>
      <c r="E2198" t="s">
        <v>46</v>
      </c>
      <c r="F2198" t="s">
        <v>129</v>
      </c>
      <c r="G2198" t="s">
        <v>60</v>
      </c>
      <c r="H2198" t="s">
        <v>61</v>
      </c>
      <c r="I2198">
        <v>800</v>
      </c>
      <c r="J2198">
        <v>1040</v>
      </c>
      <c r="K2198">
        <v>4</v>
      </c>
      <c r="L2198">
        <v>3200</v>
      </c>
      <c r="M2198">
        <v>4160</v>
      </c>
      <c r="N2198" t="s">
        <v>22</v>
      </c>
      <c r="O2198">
        <f t="shared" si="68"/>
        <v>3315</v>
      </c>
      <c r="P2198" s="13">
        <f t="shared" si="69"/>
        <v>2731963</v>
      </c>
      <c r="Q2198" s="13">
        <f>SUMIFS(M:M,E:E,Online_eCommerce[[#This Row],[Status]])</f>
        <v>28620410</v>
      </c>
      <c r="R2198" s="13">
        <f>SUMIFS(L:L,H:H,Online_eCommerce[[#This Row],[Brand]])</f>
        <v>10950150</v>
      </c>
      <c r="S2198" s="13">
        <f>SUMIF(H:H,Online_eCommerce[[#This Row],[Brand]],M:M)</f>
        <v>14235195</v>
      </c>
      <c r="T2198" s="13">
        <f>SUMIF(N:N,Online_eCommerce[[#This Row],[Assigned Supervisor]],L:L)</f>
        <v>13693220</v>
      </c>
    </row>
    <row r="2199" spans="1:20" hidden="1" x14ac:dyDescent="0.3">
      <c r="A2199" t="s">
        <v>3329</v>
      </c>
      <c r="B2199" t="s">
        <v>109</v>
      </c>
      <c r="C2199" t="s">
        <v>94</v>
      </c>
      <c r="D2199" t="s">
        <v>3256</v>
      </c>
      <c r="E2199" t="s">
        <v>96</v>
      </c>
      <c r="F2199" t="s">
        <v>133</v>
      </c>
      <c r="G2199" t="s">
        <v>66</v>
      </c>
      <c r="H2199" t="s">
        <v>21</v>
      </c>
      <c r="I2199">
        <v>600</v>
      </c>
      <c r="J2199">
        <v>780</v>
      </c>
      <c r="K2199">
        <v>3</v>
      </c>
      <c r="L2199">
        <v>1800</v>
      </c>
      <c r="M2199">
        <v>2340</v>
      </c>
      <c r="N2199" t="s">
        <v>28</v>
      </c>
      <c r="O2199">
        <f t="shared" si="68"/>
        <v>1690</v>
      </c>
      <c r="P2199" s="13">
        <f t="shared" si="69"/>
        <v>1868256</v>
      </c>
      <c r="Q2199" s="13">
        <f>SUMIFS(M:M,E:E,Online_eCommerce[[#This Row],[Status]])</f>
        <v>21233992</v>
      </c>
      <c r="R2199" s="13">
        <f>SUMIFS(L:L,H:H,Online_eCommerce[[#This Row],[Brand]])</f>
        <v>12435650</v>
      </c>
      <c r="S2199" s="13">
        <f>SUMIF(H:H,Online_eCommerce[[#This Row],[Brand]],M:M)</f>
        <v>16166345</v>
      </c>
      <c r="T2199" s="13">
        <f>SUMIF(N:N,Online_eCommerce[[#This Row],[Assigned Supervisor]],L:L)</f>
        <v>12220830</v>
      </c>
    </row>
    <row r="2200" spans="1:20" hidden="1" x14ac:dyDescent="0.3">
      <c r="A2200" t="s">
        <v>3330</v>
      </c>
      <c r="B2200" t="s">
        <v>114</v>
      </c>
      <c r="C2200" t="s">
        <v>99</v>
      </c>
      <c r="D2200" t="s">
        <v>3256</v>
      </c>
      <c r="E2200" t="s">
        <v>18</v>
      </c>
      <c r="F2200" t="s">
        <v>137</v>
      </c>
      <c r="G2200" t="s">
        <v>71</v>
      </c>
      <c r="H2200" t="s">
        <v>61</v>
      </c>
      <c r="I2200">
        <v>10500</v>
      </c>
      <c r="J2200">
        <v>13650</v>
      </c>
      <c r="K2200">
        <v>2</v>
      </c>
      <c r="L2200">
        <v>21000</v>
      </c>
      <c r="M2200">
        <v>27300</v>
      </c>
      <c r="N2200" t="s">
        <v>35</v>
      </c>
      <c r="O2200">
        <f t="shared" si="68"/>
        <v>9750</v>
      </c>
      <c r="P2200" s="13">
        <f t="shared" si="69"/>
        <v>2651233</v>
      </c>
      <c r="Q2200" s="13">
        <f>SUMIFS(M:M,E:E,Online_eCommerce[[#This Row],[Status]])</f>
        <v>28340455</v>
      </c>
      <c r="R2200" s="13">
        <f>SUMIFS(L:L,H:H,Online_eCommerce[[#This Row],[Brand]])</f>
        <v>10950150</v>
      </c>
      <c r="S2200" s="13">
        <f>SUMIF(H:H,Online_eCommerce[[#This Row],[Brand]],M:M)</f>
        <v>14235195</v>
      </c>
      <c r="T2200" s="13">
        <f>SUMIF(N:N,Online_eCommerce[[#This Row],[Assigned Supervisor]],L:L)</f>
        <v>14373360</v>
      </c>
    </row>
    <row r="2201" spans="1:20" hidden="1" x14ac:dyDescent="0.3">
      <c r="A2201" t="s">
        <v>3331</v>
      </c>
      <c r="B2201" t="s">
        <v>119</v>
      </c>
      <c r="C2201" t="s">
        <v>105</v>
      </c>
      <c r="D2201" t="s">
        <v>3256</v>
      </c>
      <c r="E2201" t="s">
        <v>161</v>
      </c>
      <c r="F2201" t="s">
        <v>3302</v>
      </c>
      <c r="G2201" t="s">
        <v>77</v>
      </c>
      <c r="H2201" t="s">
        <v>142</v>
      </c>
      <c r="I2201">
        <v>6500</v>
      </c>
      <c r="J2201">
        <v>8450</v>
      </c>
      <c r="K2201">
        <v>1</v>
      </c>
      <c r="L2201">
        <v>6500</v>
      </c>
      <c r="M2201">
        <v>8450</v>
      </c>
      <c r="N2201" t="s">
        <v>42</v>
      </c>
      <c r="O2201">
        <f t="shared" si="68"/>
        <v>39000</v>
      </c>
      <c r="P2201" s="13">
        <f t="shared" si="69"/>
        <v>1866852</v>
      </c>
      <c r="Q2201" s="13">
        <f>SUMIFS(M:M,E:E,Online_eCommerce[[#This Row],[Status]])</f>
        <v>21103186</v>
      </c>
      <c r="R2201" s="13">
        <f>SUMIFS(L:L,H:H,Online_eCommerce[[#This Row],[Brand]])</f>
        <v>6192500</v>
      </c>
      <c r="S2201" s="13">
        <f>SUMIF(H:H,Online_eCommerce[[#This Row],[Brand]],M:M)</f>
        <v>8050250</v>
      </c>
      <c r="T2201" s="13">
        <f>SUMIF(N:N,Online_eCommerce[[#This Row],[Assigned Supervisor]],L:L)</f>
        <v>12261500</v>
      </c>
    </row>
    <row r="2202" spans="1:20" x14ac:dyDescent="0.3">
      <c r="A2202" t="s">
        <v>3332</v>
      </c>
      <c r="B2202" t="s">
        <v>124</v>
      </c>
      <c r="C2202" t="s">
        <v>110</v>
      </c>
      <c r="D2202" t="s">
        <v>3256</v>
      </c>
      <c r="E2202" t="s">
        <v>46</v>
      </c>
      <c r="F2202" t="s">
        <v>3333</v>
      </c>
      <c r="G2202" t="s">
        <v>20</v>
      </c>
      <c r="H2202" t="s">
        <v>21</v>
      </c>
      <c r="I2202">
        <v>4500</v>
      </c>
      <c r="J2202">
        <v>5850</v>
      </c>
      <c r="K2202">
        <v>3</v>
      </c>
      <c r="L2202">
        <v>13500</v>
      </c>
      <c r="M2202">
        <v>17550</v>
      </c>
      <c r="N2202" t="s">
        <v>50</v>
      </c>
      <c r="O2202">
        <f t="shared" si="68"/>
        <v>8450</v>
      </c>
      <c r="P2202" s="13">
        <f t="shared" si="69"/>
        <v>2598635</v>
      </c>
      <c r="Q2202" s="13">
        <f>SUMIFS(M:M,E:E,Online_eCommerce[[#This Row],[Status]])</f>
        <v>28620410</v>
      </c>
      <c r="R2202" s="13">
        <f>SUMIFS(L:L,H:H,Online_eCommerce[[#This Row],[Brand]])</f>
        <v>12435650</v>
      </c>
      <c r="S2202" s="13">
        <f>SUMIF(H:H,Online_eCommerce[[#This Row],[Brand]],M:M)</f>
        <v>16166345</v>
      </c>
      <c r="T2202" s="13">
        <f>SUMIF(N:N,Online_eCommerce[[#This Row],[Assigned Supervisor]],L:L)</f>
        <v>12100590</v>
      </c>
    </row>
    <row r="2203" spans="1:20" hidden="1" x14ac:dyDescent="0.3">
      <c r="A2203" t="s">
        <v>3334</v>
      </c>
      <c r="B2203" t="s">
        <v>128</v>
      </c>
      <c r="C2203" t="s">
        <v>115</v>
      </c>
      <c r="D2203" t="s">
        <v>3256</v>
      </c>
      <c r="E2203" t="s">
        <v>96</v>
      </c>
      <c r="F2203" t="s">
        <v>152</v>
      </c>
      <c r="G2203" t="s">
        <v>26</v>
      </c>
      <c r="H2203" t="s">
        <v>27</v>
      </c>
      <c r="I2203">
        <v>8500</v>
      </c>
      <c r="J2203">
        <v>11050</v>
      </c>
      <c r="K2203">
        <v>1</v>
      </c>
      <c r="L2203">
        <v>8500</v>
      </c>
      <c r="M2203">
        <v>11050</v>
      </c>
      <c r="N2203" t="s">
        <v>56</v>
      </c>
      <c r="O2203">
        <f t="shared" si="68"/>
        <v>33150</v>
      </c>
      <c r="P2203" s="13">
        <f t="shared" si="69"/>
        <v>2050178</v>
      </c>
      <c r="Q2203" s="13">
        <f>SUMIFS(M:M,E:E,Online_eCommerce[[#This Row],[Status]])</f>
        <v>21233992</v>
      </c>
      <c r="R2203" s="13">
        <f>SUMIFS(L:L,H:H,Online_eCommerce[[#This Row],[Brand]])</f>
        <v>14431000</v>
      </c>
      <c r="S2203" s="13">
        <f>SUMIF(H:H,Online_eCommerce[[#This Row],[Brand]],M:M)</f>
        <v>18760300</v>
      </c>
      <c r="T2203" s="13">
        <f>SUMIF(N:N,Online_eCommerce[[#This Row],[Assigned Supervisor]],L:L)</f>
        <v>11733610</v>
      </c>
    </row>
    <row r="2204" spans="1:20" hidden="1" x14ac:dyDescent="0.3">
      <c r="A2204" t="s">
        <v>3335</v>
      </c>
      <c r="B2204" t="s">
        <v>131</v>
      </c>
      <c r="C2204" t="s">
        <v>120</v>
      </c>
      <c r="D2204" t="s">
        <v>3336</v>
      </c>
      <c r="E2204" t="s">
        <v>18</v>
      </c>
      <c r="F2204" t="s">
        <v>157</v>
      </c>
      <c r="G2204" t="s">
        <v>33</v>
      </c>
      <c r="H2204" t="s">
        <v>34</v>
      </c>
      <c r="I2204">
        <v>12500</v>
      </c>
      <c r="J2204">
        <v>16250</v>
      </c>
      <c r="K2204">
        <v>1</v>
      </c>
      <c r="L2204">
        <v>12500</v>
      </c>
      <c r="M2204">
        <v>16250</v>
      </c>
      <c r="N2204" t="s">
        <v>22</v>
      </c>
      <c r="O2204">
        <f t="shared" si="68"/>
        <v>18200</v>
      </c>
      <c r="P2204" s="13">
        <f t="shared" si="69"/>
        <v>2734212</v>
      </c>
      <c r="Q2204" s="13">
        <f>SUMIFS(M:M,E:E,Online_eCommerce[[#This Row],[Status]])</f>
        <v>28340455</v>
      </c>
      <c r="R2204" s="13">
        <f>SUMIFS(L:L,H:H,Online_eCommerce[[#This Row],[Brand]])</f>
        <v>10087000</v>
      </c>
      <c r="S2204" s="13">
        <f>SUMIF(H:H,Online_eCommerce[[#This Row],[Brand]],M:M)</f>
        <v>13113100</v>
      </c>
      <c r="T2204" s="13">
        <f>SUMIF(N:N,Online_eCommerce[[#This Row],[Assigned Supervisor]],L:L)</f>
        <v>13693220</v>
      </c>
    </row>
    <row r="2205" spans="1:20" hidden="1" x14ac:dyDescent="0.3">
      <c r="A2205" t="s">
        <v>3337</v>
      </c>
      <c r="B2205" t="s">
        <v>135</v>
      </c>
      <c r="C2205" t="s">
        <v>125</v>
      </c>
      <c r="D2205" t="s">
        <v>3338</v>
      </c>
      <c r="E2205" t="s">
        <v>161</v>
      </c>
      <c r="F2205" t="s">
        <v>3013</v>
      </c>
      <c r="G2205" t="s">
        <v>256</v>
      </c>
      <c r="H2205" t="s">
        <v>41</v>
      </c>
      <c r="I2205">
        <v>3500</v>
      </c>
      <c r="J2205">
        <v>4550</v>
      </c>
      <c r="K2205">
        <v>1</v>
      </c>
      <c r="L2205">
        <v>3500</v>
      </c>
      <c r="M2205">
        <v>4550</v>
      </c>
      <c r="N2205" t="s">
        <v>28</v>
      </c>
      <c r="O2205">
        <f t="shared" si="68"/>
        <v>9100</v>
      </c>
      <c r="P2205" s="13">
        <f t="shared" si="69"/>
        <v>2091154</v>
      </c>
      <c r="Q2205" s="13">
        <f>SUMIFS(M:M,E:E,Online_eCommerce[[#This Row],[Status]])</f>
        <v>21103186</v>
      </c>
      <c r="R2205" s="13">
        <f>SUMIFS(L:L,H:H,Online_eCommerce[[#This Row],[Brand]])</f>
        <v>4260400</v>
      </c>
      <c r="S2205" s="13">
        <f>SUMIF(H:H,Online_eCommerce[[#This Row],[Brand]],M:M)</f>
        <v>5538520</v>
      </c>
      <c r="T2205" s="13">
        <f>SUMIF(N:N,Online_eCommerce[[#This Row],[Assigned Supervisor]],L:L)</f>
        <v>12220830</v>
      </c>
    </row>
    <row r="2206" spans="1:20" x14ac:dyDescent="0.3">
      <c r="A2206" t="s">
        <v>3339</v>
      </c>
      <c r="B2206" t="s">
        <v>139</v>
      </c>
      <c r="C2206" t="s">
        <v>22</v>
      </c>
      <c r="D2206" t="s">
        <v>3340</v>
      </c>
      <c r="E2206" t="s">
        <v>46</v>
      </c>
      <c r="F2206" t="s">
        <v>166</v>
      </c>
      <c r="G2206" t="s">
        <v>259</v>
      </c>
      <c r="H2206" t="s">
        <v>49</v>
      </c>
      <c r="I2206">
        <v>4500</v>
      </c>
      <c r="J2206">
        <v>5850</v>
      </c>
      <c r="K2206">
        <v>2</v>
      </c>
      <c r="L2206">
        <v>9000</v>
      </c>
      <c r="M2206">
        <v>11700</v>
      </c>
      <c r="N2206" t="s">
        <v>35</v>
      </c>
      <c r="O2206">
        <f t="shared" si="68"/>
        <v>11700</v>
      </c>
      <c r="P2206" s="13">
        <f t="shared" si="69"/>
        <v>2551588</v>
      </c>
      <c r="Q2206" s="13">
        <f>SUMIFS(M:M,E:E,Online_eCommerce[[#This Row],[Status]])</f>
        <v>28620410</v>
      </c>
      <c r="R2206" s="13">
        <f>SUMIFS(L:L,H:H,Online_eCommerce[[#This Row],[Brand]])</f>
        <v>4528350</v>
      </c>
      <c r="S2206" s="13">
        <f>SUMIF(H:H,Online_eCommerce[[#This Row],[Brand]],M:M)</f>
        <v>5886855</v>
      </c>
      <c r="T2206" s="13">
        <f>SUMIF(N:N,Online_eCommerce[[#This Row],[Assigned Supervisor]],L:L)</f>
        <v>14373360</v>
      </c>
    </row>
    <row r="2207" spans="1:20" hidden="1" x14ac:dyDescent="0.3">
      <c r="A2207" t="s">
        <v>3341</v>
      </c>
      <c r="B2207" t="s">
        <v>235</v>
      </c>
      <c r="C2207" t="s">
        <v>132</v>
      </c>
      <c r="D2207" t="s">
        <v>3340</v>
      </c>
      <c r="E2207" t="s">
        <v>96</v>
      </c>
      <c r="F2207" t="s">
        <v>3342</v>
      </c>
      <c r="G2207" t="s">
        <v>54</v>
      </c>
      <c r="H2207" t="s">
        <v>55</v>
      </c>
      <c r="I2207">
        <v>2100</v>
      </c>
      <c r="J2207">
        <v>2730</v>
      </c>
      <c r="K2207">
        <v>1</v>
      </c>
      <c r="L2207">
        <v>2100</v>
      </c>
      <c r="M2207">
        <v>2730</v>
      </c>
      <c r="N2207" t="s">
        <v>42</v>
      </c>
      <c r="O2207">
        <f t="shared" si="68"/>
        <v>2990</v>
      </c>
      <c r="P2207" s="13">
        <f t="shared" si="69"/>
        <v>1989065</v>
      </c>
      <c r="Q2207" s="13">
        <f>SUMIFS(M:M,E:E,Online_eCommerce[[#This Row],[Status]])</f>
        <v>21233992</v>
      </c>
      <c r="R2207" s="13">
        <f>SUMIFS(L:L,H:H,Online_eCommerce[[#This Row],[Brand]])</f>
        <v>2267380</v>
      </c>
      <c r="S2207" s="13">
        <f>SUMIF(H:H,Online_eCommerce[[#This Row],[Brand]],M:M)</f>
        <v>2947594</v>
      </c>
      <c r="T2207" s="13">
        <f>SUMIF(N:N,Online_eCommerce[[#This Row],[Assigned Supervisor]],L:L)</f>
        <v>12261500</v>
      </c>
    </row>
    <row r="2208" spans="1:20" hidden="1" x14ac:dyDescent="0.3">
      <c r="A2208" t="s">
        <v>3343</v>
      </c>
      <c r="B2208" t="s">
        <v>235</v>
      </c>
      <c r="C2208" t="s">
        <v>136</v>
      </c>
      <c r="D2208" t="s">
        <v>3340</v>
      </c>
      <c r="E2208" t="s">
        <v>18</v>
      </c>
      <c r="F2208" t="s">
        <v>174</v>
      </c>
      <c r="G2208" t="s">
        <v>60</v>
      </c>
      <c r="H2208" t="s">
        <v>61</v>
      </c>
      <c r="I2208">
        <v>1150</v>
      </c>
      <c r="J2208">
        <v>1495</v>
      </c>
      <c r="K2208">
        <v>4</v>
      </c>
      <c r="L2208">
        <v>4600</v>
      </c>
      <c r="M2208">
        <v>5980</v>
      </c>
      <c r="N2208" t="s">
        <v>50</v>
      </c>
      <c r="O2208">
        <f t="shared" si="68"/>
        <v>3315</v>
      </c>
      <c r="P2208" s="13">
        <f t="shared" si="69"/>
        <v>2775162</v>
      </c>
      <c r="Q2208" s="13">
        <f>SUMIFS(M:M,E:E,Online_eCommerce[[#This Row],[Status]])</f>
        <v>28340455</v>
      </c>
      <c r="R2208" s="13">
        <f>SUMIFS(L:L,H:H,Online_eCommerce[[#This Row],[Brand]])</f>
        <v>10950150</v>
      </c>
      <c r="S2208" s="13">
        <f>SUMIF(H:H,Online_eCommerce[[#This Row],[Brand]],M:M)</f>
        <v>14235195</v>
      </c>
      <c r="T2208" s="13">
        <f>SUMIF(N:N,Online_eCommerce[[#This Row],[Assigned Supervisor]],L:L)</f>
        <v>12100590</v>
      </c>
    </row>
    <row r="2209" spans="1:20" hidden="1" x14ac:dyDescent="0.3">
      <c r="A2209" t="s">
        <v>3344</v>
      </c>
      <c r="B2209" t="s">
        <v>235</v>
      </c>
      <c r="C2209" t="s">
        <v>140</v>
      </c>
      <c r="D2209" t="s">
        <v>3340</v>
      </c>
      <c r="E2209" t="s">
        <v>161</v>
      </c>
      <c r="F2209" t="s">
        <v>179</v>
      </c>
      <c r="G2209" t="s">
        <v>66</v>
      </c>
      <c r="H2209" t="s">
        <v>21</v>
      </c>
      <c r="I2209">
        <v>350</v>
      </c>
      <c r="J2209">
        <v>455</v>
      </c>
      <c r="K2209">
        <v>1</v>
      </c>
      <c r="L2209">
        <v>350</v>
      </c>
      <c r="M2209">
        <v>455</v>
      </c>
      <c r="N2209" t="s">
        <v>56</v>
      </c>
      <c r="O2209">
        <f t="shared" si="68"/>
        <v>1690</v>
      </c>
      <c r="P2209" s="13">
        <f t="shared" si="69"/>
        <v>2058264</v>
      </c>
      <c r="Q2209" s="13">
        <f>SUMIFS(M:M,E:E,Online_eCommerce[[#This Row],[Status]])</f>
        <v>21103186</v>
      </c>
      <c r="R2209" s="13">
        <f>SUMIFS(L:L,H:H,Online_eCommerce[[#This Row],[Brand]])</f>
        <v>12435650</v>
      </c>
      <c r="S2209" s="13">
        <f>SUMIF(H:H,Online_eCommerce[[#This Row],[Brand]],M:M)</f>
        <v>16166345</v>
      </c>
      <c r="T2209" s="13">
        <f>SUMIF(N:N,Online_eCommerce[[#This Row],[Assigned Supervisor]],L:L)</f>
        <v>11733610</v>
      </c>
    </row>
    <row r="2210" spans="1:20" x14ac:dyDescent="0.3">
      <c r="A2210" t="s">
        <v>3345</v>
      </c>
      <c r="B2210" t="s">
        <v>235</v>
      </c>
      <c r="C2210" t="s">
        <v>145</v>
      </c>
      <c r="D2210" t="s">
        <v>3340</v>
      </c>
      <c r="E2210" t="s">
        <v>46</v>
      </c>
      <c r="F2210" t="s">
        <v>183</v>
      </c>
      <c r="G2210" t="s">
        <v>71</v>
      </c>
      <c r="H2210" t="s">
        <v>61</v>
      </c>
      <c r="I2210">
        <v>9500</v>
      </c>
      <c r="J2210">
        <v>12350</v>
      </c>
      <c r="K2210">
        <v>4</v>
      </c>
      <c r="L2210">
        <v>38000</v>
      </c>
      <c r="M2210">
        <v>49400</v>
      </c>
      <c r="N2210" t="s">
        <v>22</v>
      </c>
      <c r="O2210">
        <f t="shared" si="68"/>
        <v>9750</v>
      </c>
      <c r="P2210" s="13">
        <f t="shared" si="69"/>
        <v>2757859</v>
      </c>
      <c r="Q2210" s="13">
        <f>SUMIFS(M:M,E:E,Online_eCommerce[[#This Row],[Status]])</f>
        <v>28620410</v>
      </c>
      <c r="R2210" s="13">
        <f>SUMIFS(L:L,H:H,Online_eCommerce[[#This Row],[Brand]])</f>
        <v>10950150</v>
      </c>
      <c r="S2210" s="13">
        <f>SUMIF(H:H,Online_eCommerce[[#This Row],[Brand]],M:M)</f>
        <v>14235195</v>
      </c>
      <c r="T2210" s="13">
        <f>SUMIF(N:N,Online_eCommerce[[#This Row],[Assigned Supervisor]],L:L)</f>
        <v>13693220</v>
      </c>
    </row>
    <row r="2211" spans="1:20" hidden="1" x14ac:dyDescent="0.3">
      <c r="A2211" t="s">
        <v>3346</v>
      </c>
      <c r="B2211" t="s">
        <v>235</v>
      </c>
      <c r="C2211" t="s">
        <v>150</v>
      </c>
      <c r="D2211" t="s">
        <v>3340</v>
      </c>
      <c r="E2211" t="s">
        <v>96</v>
      </c>
      <c r="F2211" t="s">
        <v>3347</v>
      </c>
      <c r="G2211" t="s">
        <v>77</v>
      </c>
      <c r="H2211" t="s">
        <v>142</v>
      </c>
      <c r="I2211">
        <v>10000</v>
      </c>
      <c r="J2211">
        <v>13000</v>
      </c>
      <c r="K2211">
        <v>4</v>
      </c>
      <c r="L2211">
        <v>40000</v>
      </c>
      <c r="M2211">
        <v>52000</v>
      </c>
      <c r="N2211" t="s">
        <v>28</v>
      </c>
      <c r="O2211">
        <f t="shared" si="68"/>
        <v>39000</v>
      </c>
      <c r="P2211" s="13">
        <f t="shared" si="69"/>
        <v>2154984</v>
      </c>
      <c r="Q2211" s="13">
        <f>SUMIFS(M:M,E:E,Online_eCommerce[[#This Row],[Status]])</f>
        <v>21233992</v>
      </c>
      <c r="R2211" s="13">
        <f>SUMIFS(L:L,H:H,Online_eCommerce[[#This Row],[Brand]])</f>
        <v>6192500</v>
      </c>
      <c r="S2211" s="13">
        <f>SUMIF(H:H,Online_eCommerce[[#This Row],[Brand]],M:M)</f>
        <v>8050250</v>
      </c>
      <c r="T2211" s="13">
        <f>SUMIF(N:N,Online_eCommerce[[#This Row],[Assigned Supervisor]],L:L)</f>
        <v>12220830</v>
      </c>
    </row>
    <row r="2212" spans="1:20" hidden="1" x14ac:dyDescent="0.3">
      <c r="A2212" t="s">
        <v>3348</v>
      </c>
      <c r="B2212" t="s">
        <v>235</v>
      </c>
      <c r="C2212" t="s">
        <v>155</v>
      </c>
      <c r="D2212" t="s">
        <v>3340</v>
      </c>
      <c r="E2212" t="s">
        <v>18</v>
      </c>
      <c r="F2212" t="s">
        <v>3349</v>
      </c>
      <c r="G2212" t="s">
        <v>20</v>
      </c>
      <c r="H2212" t="s">
        <v>21</v>
      </c>
      <c r="I2212">
        <v>6500</v>
      </c>
      <c r="J2212">
        <v>8450</v>
      </c>
      <c r="K2212">
        <v>3</v>
      </c>
      <c r="L2212">
        <v>19500</v>
      </c>
      <c r="M2212">
        <v>25350</v>
      </c>
      <c r="N2212" t="s">
        <v>35</v>
      </c>
      <c r="O2212">
        <f t="shared" si="68"/>
        <v>8450</v>
      </c>
      <c r="P2212" s="13">
        <f t="shared" si="69"/>
        <v>2753348</v>
      </c>
      <c r="Q2212" s="13">
        <f>SUMIFS(M:M,E:E,Online_eCommerce[[#This Row],[Status]])</f>
        <v>28340455</v>
      </c>
      <c r="R2212" s="13">
        <f>SUMIFS(L:L,H:H,Online_eCommerce[[#This Row],[Brand]])</f>
        <v>12435650</v>
      </c>
      <c r="S2212" s="13">
        <f>SUMIF(H:H,Online_eCommerce[[#This Row],[Brand]],M:M)</f>
        <v>16166345</v>
      </c>
      <c r="T2212" s="13">
        <f>SUMIF(N:N,Online_eCommerce[[#This Row],[Assigned Supervisor]],L:L)</f>
        <v>14373360</v>
      </c>
    </row>
    <row r="2213" spans="1:20" hidden="1" x14ac:dyDescent="0.3">
      <c r="A2213" t="s">
        <v>3350</v>
      </c>
      <c r="B2213" t="s">
        <v>235</v>
      </c>
      <c r="C2213" t="s">
        <v>160</v>
      </c>
      <c r="D2213" t="s">
        <v>3340</v>
      </c>
      <c r="E2213" t="s">
        <v>161</v>
      </c>
      <c r="F2213" t="s">
        <v>3351</v>
      </c>
      <c r="G2213" t="s">
        <v>26</v>
      </c>
      <c r="H2213" t="s">
        <v>27</v>
      </c>
      <c r="I2213">
        <v>8500</v>
      </c>
      <c r="J2213">
        <v>11050</v>
      </c>
      <c r="K2213">
        <v>4</v>
      </c>
      <c r="L2213">
        <v>34000</v>
      </c>
      <c r="M2213">
        <v>44200</v>
      </c>
      <c r="N2213" t="s">
        <v>42</v>
      </c>
      <c r="O2213">
        <f t="shared" si="68"/>
        <v>33150</v>
      </c>
      <c r="P2213" s="13">
        <f t="shared" si="69"/>
        <v>2303483</v>
      </c>
      <c r="Q2213" s="13">
        <f>SUMIFS(M:M,E:E,Online_eCommerce[[#This Row],[Status]])</f>
        <v>21103186</v>
      </c>
      <c r="R2213" s="13">
        <f>SUMIFS(L:L,H:H,Online_eCommerce[[#This Row],[Brand]])</f>
        <v>14431000</v>
      </c>
      <c r="S2213" s="13">
        <f>SUMIF(H:H,Online_eCommerce[[#This Row],[Brand]],M:M)</f>
        <v>18760300</v>
      </c>
      <c r="T2213" s="13">
        <f>SUMIF(N:N,Online_eCommerce[[#This Row],[Assigned Supervisor]],L:L)</f>
        <v>12261500</v>
      </c>
    </row>
    <row r="2214" spans="1:20" x14ac:dyDescent="0.3">
      <c r="A2214" t="s">
        <v>3352</v>
      </c>
      <c r="B2214" t="s">
        <v>235</v>
      </c>
      <c r="C2214" t="s">
        <v>165</v>
      </c>
      <c r="D2214" t="s">
        <v>3340</v>
      </c>
      <c r="E2214" t="s">
        <v>46</v>
      </c>
      <c r="F2214" t="s">
        <v>32</v>
      </c>
      <c r="G2214" t="s">
        <v>33</v>
      </c>
      <c r="H2214" t="s">
        <v>34</v>
      </c>
      <c r="I2214">
        <v>7000</v>
      </c>
      <c r="J2214">
        <v>9100</v>
      </c>
      <c r="K2214">
        <v>3</v>
      </c>
      <c r="L2214">
        <v>21000</v>
      </c>
      <c r="M2214">
        <v>27300</v>
      </c>
      <c r="N2214" t="s">
        <v>50</v>
      </c>
      <c r="O2214">
        <f t="shared" si="68"/>
        <v>18200</v>
      </c>
      <c r="P2214" s="13">
        <f t="shared" si="69"/>
        <v>2674087</v>
      </c>
      <c r="Q2214" s="13">
        <f>SUMIFS(M:M,E:E,Online_eCommerce[[#This Row],[Status]])</f>
        <v>28620410</v>
      </c>
      <c r="R2214" s="13">
        <f>SUMIFS(L:L,H:H,Online_eCommerce[[#This Row],[Brand]])</f>
        <v>10087000</v>
      </c>
      <c r="S2214" s="13">
        <f>SUMIF(H:H,Online_eCommerce[[#This Row],[Brand]],M:M)</f>
        <v>13113100</v>
      </c>
      <c r="T2214" s="13">
        <f>SUMIF(N:N,Online_eCommerce[[#This Row],[Assigned Supervisor]],L:L)</f>
        <v>12100590</v>
      </c>
    </row>
    <row r="2215" spans="1:20" hidden="1" x14ac:dyDescent="0.3">
      <c r="A2215" t="s">
        <v>3353</v>
      </c>
      <c r="B2215" t="s">
        <v>235</v>
      </c>
      <c r="C2215" t="s">
        <v>168</v>
      </c>
      <c r="D2215" t="s">
        <v>3340</v>
      </c>
      <c r="E2215" t="s">
        <v>96</v>
      </c>
      <c r="F2215" t="s">
        <v>3354</v>
      </c>
      <c r="G2215" t="s">
        <v>256</v>
      </c>
      <c r="H2215" t="s">
        <v>41</v>
      </c>
      <c r="I2215">
        <v>6550</v>
      </c>
      <c r="J2215">
        <v>8515</v>
      </c>
      <c r="K2215">
        <v>3</v>
      </c>
      <c r="L2215">
        <v>19650</v>
      </c>
      <c r="M2215">
        <v>25545</v>
      </c>
      <c r="N2215" t="s">
        <v>56</v>
      </c>
      <c r="O2215">
        <f t="shared" si="68"/>
        <v>9100</v>
      </c>
      <c r="P2215" s="13">
        <f t="shared" si="69"/>
        <v>1937780</v>
      </c>
      <c r="Q2215" s="13">
        <f>SUMIFS(M:M,E:E,Online_eCommerce[[#This Row],[Status]])</f>
        <v>21233992</v>
      </c>
      <c r="R2215" s="13">
        <f>SUMIFS(L:L,H:H,Online_eCommerce[[#This Row],[Brand]])</f>
        <v>4260400</v>
      </c>
      <c r="S2215" s="13">
        <f>SUMIF(H:H,Online_eCommerce[[#This Row],[Brand]],M:M)</f>
        <v>5538520</v>
      </c>
      <c r="T2215" s="13">
        <f>SUMIF(N:N,Online_eCommerce[[#This Row],[Assigned Supervisor]],L:L)</f>
        <v>11733610</v>
      </c>
    </row>
    <row r="2216" spans="1:20" hidden="1" x14ac:dyDescent="0.3">
      <c r="A2216" t="s">
        <v>3355</v>
      </c>
      <c r="B2216" t="s">
        <v>235</v>
      </c>
      <c r="C2216" t="s">
        <v>172</v>
      </c>
      <c r="D2216" t="s">
        <v>3340</v>
      </c>
      <c r="E2216" t="s">
        <v>18</v>
      </c>
      <c r="F2216" t="s">
        <v>47</v>
      </c>
      <c r="G2216" t="s">
        <v>259</v>
      </c>
      <c r="H2216" t="s">
        <v>49</v>
      </c>
      <c r="I2216">
        <v>7650</v>
      </c>
      <c r="J2216">
        <v>9945</v>
      </c>
      <c r="K2216">
        <v>1</v>
      </c>
      <c r="L2216">
        <v>7650</v>
      </c>
      <c r="M2216">
        <v>9945</v>
      </c>
      <c r="N2216" t="s">
        <v>22</v>
      </c>
      <c r="O2216">
        <f t="shared" si="68"/>
        <v>11700</v>
      </c>
      <c r="P2216" s="13">
        <f t="shared" si="69"/>
        <v>2640274</v>
      </c>
      <c r="Q2216" s="13">
        <f>SUMIFS(M:M,E:E,Online_eCommerce[[#This Row],[Status]])</f>
        <v>28340455</v>
      </c>
      <c r="R2216" s="13">
        <f>SUMIFS(L:L,H:H,Online_eCommerce[[#This Row],[Brand]])</f>
        <v>4528350</v>
      </c>
      <c r="S2216" s="13">
        <f>SUMIF(H:H,Online_eCommerce[[#This Row],[Brand]],M:M)</f>
        <v>5886855</v>
      </c>
      <c r="T2216" s="13">
        <f>SUMIF(N:N,Online_eCommerce[[#This Row],[Assigned Supervisor]],L:L)</f>
        <v>13693220</v>
      </c>
    </row>
    <row r="2217" spans="1:20" hidden="1" x14ac:dyDescent="0.3">
      <c r="A2217" t="s">
        <v>3356</v>
      </c>
      <c r="B2217" t="s">
        <v>235</v>
      </c>
      <c r="C2217" t="s">
        <v>177</v>
      </c>
      <c r="D2217" t="s">
        <v>3340</v>
      </c>
      <c r="E2217" t="s">
        <v>161</v>
      </c>
      <c r="F2217" t="s">
        <v>53</v>
      </c>
      <c r="G2217" t="s">
        <v>54</v>
      </c>
      <c r="H2217" t="s">
        <v>55</v>
      </c>
      <c r="I2217">
        <v>1150</v>
      </c>
      <c r="J2217">
        <v>1495</v>
      </c>
      <c r="K2217">
        <v>2</v>
      </c>
      <c r="L2217">
        <v>2300</v>
      </c>
      <c r="M2217">
        <v>2990</v>
      </c>
      <c r="N2217" t="s">
        <v>28</v>
      </c>
      <c r="O2217">
        <f t="shared" si="68"/>
        <v>2990</v>
      </c>
      <c r="P2217" s="13">
        <f t="shared" si="69"/>
        <v>1863810</v>
      </c>
      <c r="Q2217" s="13">
        <f>SUMIFS(M:M,E:E,Online_eCommerce[[#This Row],[Status]])</f>
        <v>21103186</v>
      </c>
      <c r="R2217" s="13">
        <f>SUMIFS(L:L,H:H,Online_eCommerce[[#This Row],[Brand]])</f>
        <v>2267380</v>
      </c>
      <c r="S2217" s="13">
        <f>SUMIF(H:H,Online_eCommerce[[#This Row],[Brand]],M:M)</f>
        <v>2947594</v>
      </c>
      <c r="T2217" s="13">
        <f>SUMIF(N:N,Online_eCommerce[[#This Row],[Assigned Supervisor]],L:L)</f>
        <v>12220830</v>
      </c>
    </row>
    <row r="2218" spans="1:20" x14ac:dyDescent="0.3">
      <c r="A2218" t="s">
        <v>3357</v>
      </c>
      <c r="B2218" t="s">
        <v>235</v>
      </c>
      <c r="C2218" t="s">
        <v>181</v>
      </c>
      <c r="D2218" t="s">
        <v>3340</v>
      </c>
      <c r="E2218" t="s">
        <v>46</v>
      </c>
      <c r="F2218" t="s">
        <v>59</v>
      </c>
      <c r="G2218" t="s">
        <v>60</v>
      </c>
      <c r="H2218" t="s">
        <v>61</v>
      </c>
      <c r="I2218">
        <v>850</v>
      </c>
      <c r="J2218">
        <v>1105</v>
      </c>
      <c r="K2218">
        <v>4</v>
      </c>
      <c r="L2218">
        <v>3400</v>
      </c>
      <c r="M2218">
        <v>4420</v>
      </c>
      <c r="N2218" t="s">
        <v>35</v>
      </c>
      <c r="O2218">
        <f t="shared" si="68"/>
        <v>3315</v>
      </c>
      <c r="P2218" s="13">
        <f t="shared" si="69"/>
        <v>2577458</v>
      </c>
      <c r="Q2218" s="13">
        <f>SUMIFS(M:M,E:E,Online_eCommerce[[#This Row],[Status]])</f>
        <v>28620410</v>
      </c>
      <c r="R2218" s="13">
        <f>SUMIFS(L:L,H:H,Online_eCommerce[[#This Row],[Brand]])</f>
        <v>10950150</v>
      </c>
      <c r="S2218" s="13">
        <f>SUMIF(H:H,Online_eCommerce[[#This Row],[Brand]],M:M)</f>
        <v>14235195</v>
      </c>
      <c r="T2218" s="13">
        <f>SUMIF(N:N,Online_eCommerce[[#This Row],[Assigned Supervisor]],L:L)</f>
        <v>14373360</v>
      </c>
    </row>
    <row r="2219" spans="1:20" hidden="1" x14ac:dyDescent="0.3">
      <c r="A2219" t="s">
        <v>3358</v>
      </c>
      <c r="B2219" t="s">
        <v>235</v>
      </c>
      <c r="C2219" t="s">
        <v>185</v>
      </c>
      <c r="D2219" t="s">
        <v>3340</v>
      </c>
      <c r="E2219" t="s">
        <v>96</v>
      </c>
      <c r="F2219" t="s">
        <v>65</v>
      </c>
      <c r="G2219" t="s">
        <v>66</v>
      </c>
      <c r="H2219" t="s">
        <v>21</v>
      </c>
      <c r="I2219">
        <v>650</v>
      </c>
      <c r="J2219">
        <v>845</v>
      </c>
      <c r="K2219">
        <v>4</v>
      </c>
      <c r="L2219">
        <v>2600</v>
      </c>
      <c r="M2219">
        <v>3380</v>
      </c>
      <c r="N2219" t="s">
        <v>42</v>
      </c>
      <c r="O2219">
        <f t="shared" si="68"/>
        <v>1690</v>
      </c>
      <c r="P2219" s="13">
        <f t="shared" si="69"/>
        <v>2091596</v>
      </c>
      <c r="Q2219" s="13">
        <f>SUMIFS(M:M,E:E,Online_eCommerce[[#This Row],[Status]])</f>
        <v>21233992</v>
      </c>
      <c r="R2219" s="13">
        <f>SUMIFS(L:L,H:H,Online_eCommerce[[#This Row],[Brand]])</f>
        <v>12435650</v>
      </c>
      <c r="S2219" s="13">
        <f>SUMIF(H:H,Online_eCommerce[[#This Row],[Brand]],M:M)</f>
        <v>16166345</v>
      </c>
      <c r="T2219" s="13">
        <f>SUMIF(N:N,Online_eCommerce[[#This Row],[Assigned Supervisor]],L:L)</f>
        <v>12261500</v>
      </c>
    </row>
    <row r="2220" spans="1:20" hidden="1" x14ac:dyDescent="0.3">
      <c r="A2220" t="s">
        <v>3359</v>
      </c>
      <c r="B2220" t="s">
        <v>235</v>
      </c>
      <c r="C2220" t="s">
        <v>189</v>
      </c>
      <c r="D2220" t="s">
        <v>3340</v>
      </c>
      <c r="E2220" t="s">
        <v>18</v>
      </c>
      <c r="F2220" t="s">
        <v>70</v>
      </c>
      <c r="G2220" t="s">
        <v>71</v>
      </c>
      <c r="H2220" t="s">
        <v>61</v>
      </c>
      <c r="I2220">
        <v>7500</v>
      </c>
      <c r="J2220">
        <v>9750</v>
      </c>
      <c r="K2220">
        <v>3</v>
      </c>
      <c r="L2220">
        <v>22500</v>
      </c>
      <c r="M2220">
        <v>29250</v>
      </c>
      <c r="N2220" t="s">
        <v>50</v>
      </c>
      <c r="O2220">
        <f t="shared" si="68"/>
        <v>9750</v>
      </c>
      <c r="P2220" s="13">
        <f t="shared" si="69"/>
        <v>2740777</v>
      </c>
      <c r="Q2220" s="13">
        <f>SUMIFS(M:M,E:E,Online_eCommerce[[#This Row],[Status]])</f>
        <v>28340455</v>
      </c>
      <c r="R2220" s="13">
        <f>SUMIFS(L:L,H:H,Online_eCommerce[[#This Row],[Brand]])</f>
        <v>10950150</v>
      </c>
      <c r="S2220" s="13">
        <f>SUMIF(H:H,Online_eCommerce[[#This Row],[Brand]],M:M)</f>
        <v>14235195</v>
      </c>
      <c r="T2220" s="13">
        <f>SUMIF(N:N,Online_eCommerce[[#This Row],[Assigned Supervisor]],L:L)</f>
        <v>12100590</v>
      </c>
    </row>
    <row r="2221" spans="1:20" hidden="1" x14ac:dyDescent="0.3">
      <c r="A2221" t="s">
        <v>3360</v>
      </c>
      <c r="B2221" t="s">
        <v>235</v>
      </c>
      <c r="C2221" t="s">
        <v>193</v>
      </c>
      <c r="D2221" t="s">
        <v>3340</v>
      </c>
      <c r="E2221" t="s">
        <v>161</v>
      </c>
      <c r="F2221" t="s">
        <v>3347</v>
      </c>
      <c r="G2221" t="s">
        <v>77</v>
      </c>
      <c r="H2221" t="s">
        <v>78</v>
      </c>
      <c r="I2221">
        <v>10000</v>
      </c>
      <c r="J2221">
        <v>13000</v>
      </c>
      <c r="K2221">
        <v>2</v>
      </c>
      <c r="L2221">
        <v>20000</v>
      </c>
      <c r="M2221">
        <v>26000</v>
      </c>
      <c r="N2221" t="s">
        <v>56</v>
      </c>
      <c r="O2221">
        <f t="shared" si="68"/>
        <v>39000</v>
      </c>
      <c r="P2221" s="13">
        <f t="shared" si="69"/>
        <v>2074774</v>
      </c>
      <c r="Q2221" s="13">
        <f>SUMIFS(M:M,E:E,Online_eCommerce[[#This Row],[Status]])</f>
        <v>21103186</v>
      </c>
      <c r="R2221" s="13">
        <f>SUMIFS(L:L,H:H,Online_eCommerce[[#This Row],[Brand]])</f>
        <v>3720000</v>
      </c>
      <c r="S2221" s="13">
        <f>SUMIF(H:H,Online_eCommerce[[#This Row],[Brand]],M:M)</f>
        <v>4836000</v>
      </c>
      <c r="T2221" s="13">
        <f>SUMIF(N:N,Online_eCommerce[[#This Row],[Assigned Supervisor]],L:L)</f>
        <v>11733610</v>
      </c>
    </row>
    <row r="2222" spans="1:20" x14ac:dyDescent="0.3">
      <c r="A2222" t="s">
        <v>3361</v>
      </c>
      <c r="B2222" t="s">
        <v>235</v>
      </c>
      <c r="C2222" t="s">
        <v>197</v>
      </c>
      <c r="D2222" t="s">
        <v>3340</v>
      </c>
      <c r="E2222" t="s">
        <v>46</v>
      </c>
      <c r="F2222" t="s">
        <v>3362</v>
      </c>
      <c r="G2222" t="s">
        <v>20</v>
      </c>
      <c r="H2222" t="s">
        <v>21</v>
      </c>
      <c r="I2222">
        <v>10500</v>
      </c>
      <c r="J2222">
        <v>13650</v>
      </c>
      <c r="K2222">
        <v>4</v>
      </c>
      <c r="L2222">
        <v>42000</v>
      </c>
      <c r="M2222">
        <v>54600</v>
      </c>
      <c r="N2222" t="s">
        <v>22</v>
      </c>
      <c r="O2222">
        <f t="shared" si="68"/>
        <v>8450</v>
      </c>
      <c r="P2222" s="13">
        <f t="shared" si="69"/>
        <v>2829840</v>
      </c>
      <c r="Q2222" s="13">
        <f>SUMIFS(M:M,E:E,Online_eCommerce[[#This Row],[Status]])</f>
        <v>28620410</v>
      </c>
      <c r="R2222" s="13">
        <f>SUMIFS(L:L,H:H,Online_eCommerce[[#This Row],[Brand]])</f>
        <v>12435650</v>
      </c>
      <c r="S2222" s="13">
        <f>SUMIF(H:H,Online_eCommerce[[#This Row],[Brand]],M:M)</f>
        <v>16166345</v>
      </c>
      <c r="T2222" s="13">
        <f>SUMIF(N:N,Online_eCommerce[[#This Row],[Assigned Supervisor]],L:L)</f>
        <v>13693220</v>
      </c>
    </row>
    <row r="2223" spans="1:20" hidden="1" x14ac:dyDescent="0.3">
      <c r="A2223" t="s">
        <v>3363</v>
      </c>
      <c r="B2223" t="s">
        <v>235</v>
      </c>
      <c r="C2223" t="s">
        <v>199</v>
      </c>
      <c r="D2223" t="s">
        <v>3340</v>
      </c>
      <c r="E2223" t="s">
        <v>96</v>
      </c>
      <c r="F2223" t="s">
        <v>88</v>
      </c>
      <c r="G2223" t="s">
        <v>26</v>
      </c>
      <c r="H2223" t="s">
        <v>27</v>
      </c>
      <c r="I2223">
        <v>8500</v>
      </c>
      <c r="J2223">
        <v>11050</v>
      </c>
      <c r="K2223">
        <v>3</v>
      </c>
      <c r="L2223">
        <v>25500</v>
      </c>
      <c r="M2223">
        <v>33150</v>
      </c>
      <c r="N2223" t="s">
        <v>28</v>
      </c>
      <c r="O2223">
        <f t="shared" si="68"/>
        <v>33150</v>
      </c>
      <c r="P2223" s="13">
        <f t="shared" si="69"/>
        <v>1947361</v>
      </c>
      <c r="Q2223" s="13">
        <f>SUMIFS(M:M,E:E,Online_eCommerce[[#This Row],[Status]])</f>
        <v>21233992</v>
      </c>
      <c r="R2223" s="13">
        <f>SUMIFS(L:L,H:H,Online_eCommerce[[#This Row],[Brand]])</f>
        <v>14431000</v>
      </c>
      <c r="S2223" s="13">
        <f>SUMIF(H:H,Online_eCommerce[[#This Row],[Brand]],M:M)</f>
        <v>18760300</v>
      </c>
      <c r="T2223" s="13">
        <f>SUMIF(N:N,Online_eCommerce[[#This Row],[Assigned Supervisor]],L:L)</f>
        <v>12220830</v>
      </c>
    </row>
    <row r="2224" spans="1:20" hidden="1" x14ac:dyDescent="0.3">
      <c r="A2224" t="s">
        <v>3364</v>
      </c>
      <c r="B2224" t="s">
        <v>235</v>
      </c>
      <c r="C2224" t="s">
        <v>203</v>
      </c>
      <c r="D2224" t="s">
        <v>3340</v>
      </c>
      <c r="E2224" t="s">
        <v>18</v>
      </c>
      <c r="F2224" t="s">
        <v>32</v>
      </c>
      <c r="G2224" t="s">
        <v>33</v>
      </c>
      <c r="H2224" t="s">
        <v>34</v>
      </c>
      <c r="I2224">
        <v>7000</v>
      </c>
      <c r="J2224">
        <v>9100</v>
      </c>
      <c r="K2224">
        <v>1</v>
      </c>
      <c r="L2224">
        <v>7000</v>
      </c>
      <c r="M2224">
        <v>9100</v>
      </c>
      <c r="N2224" t="s">
        <v>35</v>
      </c>
      <c r="O2224">
        <f t="shared" si="68"/>
        <v>18200</v>
      </c>
      <c r="P2224" s="13">
        <f t="shared" si="69"/>
        <v>2559635</v>
      </c>
      <c r="Q2224" s="13">
        <f>SUMIFS(M:M,E:E,Online_eCommerce[[#This Row],[Status]])</f>
        <v>28340455</v>
      </c>
      <c r="R2224" s="13">
        <f>SUMIFS(L:L,H:H,Online_eCommerce[[#This Row],[Brand]])</f>
        <v>10087000</v>
      </c>
      <c r="S2224" s="13">
        <f>SUMIF(H:H,Online_eCommerce[[#This Row],[Brand]],M:M)</f>
        <v>13113100</v>
      </c>
      <c r="T2224" s="13">
        <f>SUMIF(N:N,Online_eCommerce[[#This Row],[Assigned Supervisor]],L:L)</f>
        <v>14373360</v>
      </c>
    </row>
    <row r="2225" spans="1:20" hidden="1" x14ac:dyDescent="0.3">
      <c r="A2225" t="s">
        <v>3365</v>
      </c>
      <c r="B2225" t="s">
        <v>235</v>
      </c>
      <c r="C2225" t="s">
        <v>205</v>
      </c>
      <c r="D2225" t="s">
        <v>3340</v>
      </c>
      <c r="E2225" t="s">
        <v>161</v>
      </c>
      <c r="F2225" t="s">
        <v>3366</v>
      </c>
      <c r="G2225" t="s">
        <v>256</v>
      </c>
      <c r="H2225" t="s">
        <v>41</v>
      </c>
      <c r="I2225">
        <v>1680</v>
      </c>
      <c r="J2225">
        <v>2184</v>
      </c>
      <c r="K2225">
        <v>1</v>
      </c>
      <c r="L2225">
        <v>1680</v>
      </c>
      <c r="M2225">
        <v>2184</v>
      </c>
      <c r="N2225" t="s">
        <v>42</v>
      </c>
      <c r="O2225">
        <f t="shared" si="68"/>
        <v>9100</v>
      </c>
      <c r="P2225" s="13">
        <f t="shared" si="69"/>
        <v>1983254</v>
      </c>
      <c r="Q2225" s="13">
        <f>SUMIFS(M:M,E:E,Online_eCommerce[[#This Row],[Status]])</f>
        <v>21103186</v>
      </c>
      <c r="R2225" s="13">
        <f>SUMIFS(L:L,H:H,Online_eCommerce[[#This Row],[Brand]])</f>
        <v>4260400</v>
      </c>
      <c r="S2225" s="13">
        <f>SUMIF(H:H,Online_eCommerce[[#This Row],[Brand]],M:M)</f>
        <v>5538520</v>
      </c>
      <c r="T2225" s="13">
        <f>SUMIF(N:N,Online_eCommerce[[#This Row],[Assigned Supervisor]],L:L)</f>
        <v>12261500</v>
      </c>
    </row>
    <row r="2226" spans="1:20" x14ac:dyDescent="0.3">
      <c r="A2226" t="s">
        <v>3367</v>
      </c>
      <c r="B2226" t="s">
        <v>235</v>
      </c>
      <c r="C2226" t="s">
        <v>208</v>
      </c>
      <c r="D2226" t="s">
        <v>3340</v>
      </c>
      <c r="E2226" t="s">
        <v>46</v>
      </c>
      <c r="F2226" t="s">
        <v>101</v>
      </c>
      <c r="G2226" t="s">
        <v>259</v>
      </c>
      <c r="H2226" t="s">
        <v>102</v>
      </c>
      <c r="I2226">
        <v>6540</v>
      </c>
      <c r="J2226">
        <v>8502</v>
      </c>
      <c r="K2226">
        <v>2</v>
      </c>
      <c r="L2226">
        <v>13080</v>
      </c>
      <c r="M2226">
        <v>17004</v>
      </c>
      <c r="N2226" t="s">
        <v>50</v>
      </c>
      <c r="O2226">
        <f t="shared" si="68"/>
        <v>11700</v>
      </c>
      <c r="P2226" s="13">
        <f t="shared" si="69"/>
        <v>2746575</v>
      </c>
      <c r="Q2226" s="13">
        <f>SUMIFS(M:M,E:E,Online_eCommerce[[#This Row],[Status]])</f>
        <v>28620410</v>
      </c>
      <c r="R2226" s="13">
        <f>SUMIFS(L:L,H:H,Online_eCommerce[[#This Row],[Brand]])</f>
        <v>2465580</v>
      </c>
      <c r="S2226" s="13">
        <f>SUMIF(H:H,Online_eCommerce[[#This Row],[Brand]],M:M)</f>
        <v>3205254</v>
      </c>
      <c r="T2226" s="13">
        <f>SUMIF(N:N,Online_eCommerce[[#This Row],[Assigned Supervisor]],L:L)</f>
        <v>12100590</v>
      </c>
    </row>
    <row r="2227" spans="1:20" hidden="1" x14ac:dyDescent="0.3">
      <c r="A2227" t="s">
        <v>3368</v>
      </c>
      <c r="B2227" t="s">
        <v>235</v>
      </c>
      <c r="C2227" t="s">
        <v>211</v>
      </c>
      <c r="D2227" t="s">
        <v>3340</v>
      </c>
      <c r="E2227" t="s">
        <v>96</v>
      </c>
      <c r="F2227" t="s">
        <v>107</v>
      </c>
      <c r="G2227" t="s">
        <v>54</v>
      </c>
      <c r="H2227" t="s">
        <v>55</v>
      </c>
      <c r="I2227">
        <v>2680</v>
      </c>
      <c r="J2227">
        <v>3484</v>
      </c>
      <c r="K2227">
        <v>1</v>
      </c>
      <c r="L2227">
        <v>2680</v>
      </c>
      <c r="M2227">
        <v>3484</v>
      </c>
      <c r="N2227" t="s">
        <v>56</v>
      </c>
      <c r="O2227">
        <f t="shared" si="68"/>
        <v>2990</v>
      </c>
      <c r="P2227" s="13">
        <f t="shared" si="69"/>
        <v>1809847</v>
      </c>
      <c r="Q2227" s="13">
        <f>SUMIFS(M:M,E:E,Online_eCommerce[[#This Row],[Status]])</f>
        <v>21233992</v>
      </c>
      <c r="R2227" s="13">
        <f>SUMIFS(L:L,H:H,Online_eCommerce[[#This Row],[Brand]])</f>
        <v>2267380</v>
      </c>
      <c r="S2227" s="13">
        <f>SUMIF(H:H,Online_eCommerce[[#This Row],[Brand]],M:M)</f>
        <v>2947594</v>
      </c>
      <c r="T2227" s="13">
        <f>SUMIF(N:N,Online_eCommerce[[#This Row],[Assigned Supervisor]],L:L)</f>
        <v>11733610</v>
      </c>
    </row>
    <row r="2228" spans="1:20" hidden="1" x14ac:dyDescent="0.3">
      <c r="A2228" t="s">
        <v>3369</v>
      </c>
      <c r="B2228" t="s">
        <v>235</v>
      </c>
      <c r="C2228" t="s">
        <v>16</v>
      </c>
      <c r="D2228" t="s">
        <v>3340</v>
      </c>
      <c r="E2228" t="s">
        <v>18</v>
      </c>
      <c r="F2228" t="s">
        <v>112</v>
      </c>
      <c r="G2228" t="s">
        <v>71</v>
      </c>
      <c r="H2228" t="s">
        <v>21</v>
      </c>
      <c r="I2228">
        <v>8250</v>
      </c>
      <c r="J2228">
        <v>10725</v>
      </c>
      <c r="K2228">
        <v>3</v>
      </c>
      <c r="L2228">
        <v>24750</v>
      </c>
      <c r="M2228">
        <v>32175</v>
      </c>
      <c r="N2228" t="s">
        <v>22</v>
      </c>
      <c r="O2228">
        <f t="shared" si="68"/>
        <v>9750</v>
      </c>
      <c r="P2228" s="13">
        <f t="shared" si="69"/>
        <v>2751814</v>
      </c>
      <c r="Q2228" s="13">
        <f>SUMIFS(M:M,E:E,Online_eCommerce[[#This Row],[Status]])</f>
        <v>28340455</v>
      </c>
      <c r="R2228" s="13">
        <f>SUMIFS(L:L,H:H,Online_eCommerce[[#This Row],[Brand]])</f>
        <v>12435650</v>
      </c>
      <c r="S2228" s="13">
        <f>SUMIF(H:H,Online_eCommerce[[#This Row],[Brand]],M:M)</f>
        <v>16166345</v>
      </c>
      <c r="T2228" s="13">
        <f>SUMIF(N:N,Online_eCommerce[[#This Row],[Assigned Supervisor]],L:L)</f>
        <v>13693220</v>
      </c>
    </row>
    <row r="2229" spans="1:20" hidden="1" x14ac:dyDescent="0.3">
      <c r="A2229" t="s">
        <v>3370</v>
      </c>
      <c r="B2229" t="s">
        <v>235</v>
      </c>
      <c r="C2229" t="s">
        <v>24</v>
      </c>
      <c r="D2229" t="s">
        <v>3340</v>
      </c>
      <c r="E2229" t="s">
        <v>161</v>
      </c>
      <c r="F2229" t="s">
        <v>3013</v>
      </c>
      <c r="G2229" t="s">
        <v>40</v>
      </c>
      <c r="H2229" t="s">
        <v>21</v>
      </c>
      <c r="I2229">
        <v>2650</v>
      </c>
      <c r="J2229">
        <v>3445</v>
      </c>
      <c r="K2229">
        <v>4</v>
      </c>
      <c r="L2229">
        <v>10600</v>
      </c>
      <c r="M2229">
        <v>13780</v>
      </c>
      <c r="N2229" t="s">
        <v>28</v>
      </c>
      <c r="O2229">
        <f t="shared" si="68"/>
        <v>25545</v>
      </c>
      <c r="P2229" s="13">
        <f t="shared" si="69"/>
        <v>2009540</v>
      </c>
      <c r="Q2229" s="13">
        <f>SUMIFS(M:M,E:E,Online_eCommerce[[#This Row],[Status]])</f>
        <v>21103186</v>
      </c>
      <c r="R2229" s="13">
        <f>SUMIFS(L:L,H:H,Online_eCommerce[[#This Row],[Brand]])</f>
        <v>12435650</v>
      </c>
      <c r="S2229" s="13">
        <f>SUMIF(H:H,Online_eCommerce[[#This Row],[Brand]],M:M)</f>
        <v>16166345</v>
      </c>
      <c r="T2229" s="13">
        <f>SUMIF(N:N,Online_eCommerce[[#This Row],[Assigned Supervisor]],L:L)</f>
        <v>12220830</v>
      </c>
    </row>
    <row r="2230" spans="1:20" x14ac:dyDescent="0.3">
      <c r="A2230" t="s">
        <v>3371</v>
      </c>
      <c r="B2230" t="s">
        <v>235</v>
      </c>
      <c r="C2230" t="s">
        <v>31</v>
      </c>
      <c r="D2230" t="s">
        <v>3340</v>
      </c>
      <c r="E2230" t="s">
        <v>46</v>
      </c>
      <c r="F2230" t="s">
        <v>121</v>
      </c>
      <c r="G2230" t="s">
        <v>71</v>
      </c>
      <c r="H2230" t="s">
        <v>122</v>
      </c>
      <c r="I2230">
        <v>12550</v>
      </c>
      <c r="J2230">
        <v>16315</v>
      </c>
      <c r="K2230">
        <v>3</v>
      </c>
      <c r="L2230">
        <v>37650</v>
      </c>
      <c r="M2230">
        <v>48945</v>
      </c>
      <c r="N2230" t="s">
        <v>35</v>
      </c>
      <c r="O2230">
        <f t="shared" si="68"/>
        <v>9750</v>
      </c>
      <c r="P2230" s="13">
        <f t="shared" si="69"/>
        <v>2865746</v>
      </c>
      <c r="Q2230" s="13">
        <f>SUMIFS(M:M,E:E,Online_eCommerce[[#This Row],[Status]])</f>
        <v>28620410</v>
      </c>
      <c r="R2230" s="13">
        <f>SUMIFS(L:L,H:H,Online_eCommerce[[#This Row],[Brand]])</f>
        <v>5045100</v>
      </c>
      <c r="S2230" s="13">
        <f>SUMIF(H:H,Online_eCommerce[[#This Row],[Brand]],M:M)</f>
        <v>6558630</v>
      </c>
      <c r="T2230" s="13">
        <f>SUMIF(N:N,Online_eCommerce[[#This Row],[Assigned Supervisor]],L:L)</f>
        <v>14373360</v>
      </c>
    </row>
    <row r="2231" spans="1:20" hidden="1" x14ac:dyDescent="0.3">
      <c r="A2231" t="s">
        <v>3372</v>
      </c>
      <c r="B2231" t="s">
        <v>235</v>
      </c>
      <c r="C2231" t="s">
        <v>38</v>
      </c>
      <c r="D2231" t="s">
        <v>3340</v>
      </c>
      <c r="E2231" t="s">
        <v>96</v>
      </c>
      <c r="F2231" t="s">
        <v>126</v>
      </c>
      <c r="G2231" t="s">
        <v>26</v>
      </c>
      <c r="H2231" t="s">
        <v>27</v>
      </c>
      <c r="I2231">
        <v>14500</v>
      </c>
      <c r="J2231">
        <v>18850</v>
      </c>
      <c r="K2231">
        <v>1</v>
      </c>
      <c r="L2231">
        <v>14500</v>
      </c>
      <c r="M2231">
        <v>18850</v>
      </c>
      <c r="N2231" t="s">
        <v>42</v>
      </c>
      <c r="O2231">
        <f t="shared" si="68"/>
        <v>33150</v>
      </c>
      <c r="P2231" s="13">
        <f t="shared" si="69"/>
        <v>1933997</v>
      </c>
      <c r="Q2231" s="13">
        <f>SUMIFS(M:M,E:E,Online_eCommerce[[#This Row],[Status]])</f>
        <v>21233992</v>
      </c>
      <c r="R2231" s="13">
        <f>SUMIFS(L:L,H:H,Online_eCommerce[[#This Row],[Brand]])</f>
        <v>14431000</v>
      </c>
      <c r="S2231" s="13">
        <f>SUMIF(H:H,Online_eCommerce[[#This Row],[Brand]],M:M)</f>
        <v>18760300</v>
      </c>
      <c r="T2231" s="13">
        <f>SUMIF(N:N,Online_eCommerce[[#This Row],[Assigned Supervisor]],L:L)</f>
        <v>12261500</v>
      </c>
    </row>
    <row r="2232" spans="1:20" hidden="1" x14ac:dyDescent="0.3">
      <c r="A2232" t="s">
        <v>3373</v>
      </c>
      <c r="B2232" t="s">
        <v>235</v>
      </c>
      <c r="C2232" t="s">
        <v>45</v>
      </c>
      <c r="D2232" t="s">
        <v>3340</v>
      </c>
      <c r="E2232" t="s">
        <v>18</v>
      </c>
      <c r="F2232" t="s">
        <v>129</v>
      </c>
      <c r="G2232" t="s">
        <v>60</v>
      </c>
      <c r="H2232" t="s">
        <v>61</v>
      </c>
      <c r="I2232">
        <v>800</v>
      </c>
      <c r="J2232">
        <v>1040</v>
      </c>
      <c r="K2232">
        <v>4</v>
      </c>
      <c r="L2232">
        <v>3200</v>
      </c>
      <c r="M2232">
        <v>4160</v>
      </c>
      <c r="N2232" t="s">
        <v>50</v>
      </c>
      <c r="O2232">
        <f t="shared" si="68"/>
        <v>3315</v>
      </c>
      <c r="P2232" s="13">
        <f t="shared" si="69"/>
        <v>2842554</v>
      </c>
      <c r="Q2232" s="13">
        <f>SUMIFS(M:M,E:E,Online_eCommerce[[#This Row],[Status]])</f>
        <v>28340455</v>
      </c>
      <c r="R2232" s="13">
        <f>SUMIFS(L:L,H:H,Online_eCommerce[[#This Row],[Brand]])</f>
        <v>10950150</v>
      </c>
      <c r="S2232" s="13">
        <f>SUMIF(H:H,Online_eCommerce[[#This Row],[Brand]],M:M)</f>
        <v>14235195</v>
      </c>
      <c r="T2232" s="13">
        <f>SUMIF(N:N,Online_eCommerce[[#This Row],[Assigned Supervisor]],L:L)</f>
        <v>12100590</v>
      </c>
    </row>
    <row r="2233" spans="1:20" hidden="1" x14ac:dyDescent="0.3">
      <c r="A2233" t="s">
        <v>3374</v>
      </c>
      <c r="B2233" t="s">
        <v>235</v>
      </c>
      <c r="C2233" t="s">
        <v>52</v>
      </c>
      <c r="D2233" t="s">
        <v>3340</v>
      </c>
      <c r="E2233" t="s">
        <v>161</v>
      </c>
      <c r="F2233" t="s">
        <v>133</v>
      </c>
      <c r="G2233" t="s">
        <v>66</v>
      </c>
      <c r="H2233" t="s">
        <v>21</v>
      </c>
      <c r="I2233">
        <v>600</v>
      </c>
      <c r="J2233">
        <v>780</v>
      </c>
      <c r="K2233">
        <v>2</v>
      </c>
      <c r="L2233">
        <v>1200</v>
      </c>
      <c r="M2233">
        <v>1560</v>
      </c>
      <c r="N2233" t="s">
        <v>56</v>
      </c>
      <c r="O2233">
        <f t="shared" si="68"/>
        <v>1690</v>
      </c>
      <c r="P2233" s="13">
        <f t="shared" si="69"/>
        <v>1955044</v>
      </c>
      <c r="Q2233" s="13">
        <f>SUMIFS(M:M,E:E,Online_eCommerce[[#This Row],[Status]])</f>
        <v>21103186</v>
      </c>
      <c r="R2233" s="13">
        <f>SUMIFS(L:L,H:H,Online_eCommerce[[#This Row],[Brand]])</f>
        <v>12435650</v>
      </c>
      <c r="S2233" s="13">
        <f>SUMIF(H:H,Online_eCommerce[[#This Row],[Brand]],M:M)</f>
        <v>16166345</v>
      </c>
      <c r="T2233" s="13">
        <f>SUMIF(N:N,Online_eCommerce[[#This Row],[Assigned Supervisor]],L:L)</f>
        <v>11733610</v>
      </c>
    </row>
    <row r="2234" spans="1:20" x14ac:dyDescent="0.3">
      <c r="A2234" t="s">
        <v>3375</v>
      </c>
      <c r="B2234" t="s">
        <v>235</v>
      </c>
      <c r="C2234" t="s">
        <v>58</v>
      </c>
      <c r="D2234" t="s">
        <v>3340</v>
      </c>
      <c r="E2234" t="s">
        <v>46</v>
      </c>
      <c r="F2234" t="s">
        <v>137</v>
      </c>
      <c r="G2234" t="s">
        <v>71</v>
      </c>
      <c r="H2234" t="s">
        <v>61</v>
      </c>
      <c r="I2234">
        <v>10500</v>
      </c>
      <c r="J2234">
        <v>13650</v>
      </c>
      <c r="K2234">
        <v>4</v>
      </c>
      <c r="L2234">
        <v>42000</v>
      </c>
      <c r="M2234">
        <v>54600</v>
      </c>
      <c r="N2234" t="s">
        <v>22</v>
      </c>
      <c r="O2234">
        <f t="shared" si="68"/>
        <v>9750</v>
      </c>
      <c r="P2234" s="13">
        <f t="shared" si="69"/>
        <v>2629211</v>
      </c>
      <c r="Q2234" s="13">
        <f>SUMIFS(M:M,E:E,Online_eCommerce[[#This Row],[Status]])</f>
        <v>28620410</v>
      </c>
      <c r="R2234" s="13">
        <f>SUMIFS(L:L,H:H,Online_eCommerce[[#This Row],[Brand]])</f>
        <v>10950150</v>
      </c>
      <c r="S2234" s="13">
        <f>SUMIF(H:H,Online_eCommerce[[#This Row],[Brand]],M:M)</f>
        <v>14235195</v>
      </c>
      <c r="T2234" s="13">
        <f>SUMIF(N:N,Online_eCommerce[[#This Row],[Assigned Supervisor]],L:L)</f>
        <v>13693220</v>
      </c>
    </row>
    <row r="2235" spans="1:20" hidden="1" x14ac:dyDescent="0.3">
      <c r="A2235" t="s">
        <v>3376</v>
      </c>
      <c r="B2235" t="s">
        <v>235</v>
      </c>
      <c r="C2235" t="s">
        <v>63</v>
      </c>
      <c r="D2235" t="s">
        <v>3340</v>
      </c>
      <c r="E2235" t="s">
        <v>96</v>
      </c>
      <c r="F2235" t="s">
        <v>3347</v>
      </c>
      <c r="G2235" t="s">
        <v>77</v>
      </c>
      <c r="H2235" t="s">
        <v>142</v>
      </c>
      <c r="I2235">
        <v>6500</v>
      </c>
      <c r="J2235">
        <v>8450</v>
      </c>
      <c r="K2235">
        <v>4</v>
      </c>
      <c r="L2235">
        <v>26000</v>
      </c>
      <c r="M2235">
        <v>33800</v>
      </c>
      <c r="N2235" t="s">
        <v>28</v>
      </c>
      <c r="O2235">
        <f t="shared" si="68"/>
        <v>39000</v>
      </c>
      <c r="P2235" s="13">
        <f t="shared" si="69"/>
        <v>2016131</v>
      </c>
      <c r="Q2235" s="13">
        <f>SUMIFS(M:M,E:E,Online_eCommerce[[#This Row],[Status]])</f>
        <v>21233992</v>
      </c>
      <c r="R2235" s="13">
        <f>SUMIFS(L:L,H:H,Online_eCommerce[[#This Row],[Brand]])</f>
        <v>6192500</v>
      </c>
      <c r="S2235" s="13">
        <f>SUMIF(H:H,Online_eCommerce[[#This Row],[Brand]],M:M)</f>
        <v>8050250</v>
      </c>
      <c r="T2235" s="13">
        <f>SUMIF(N:N,Online_eCommerce[[#This Row],[Assigned Supervisor]],L:L)</f>
        <v>12220830</v>
      </c>
    </row>
    <row r="2236" spans="1:20" hidden="1" x14ac:dyDescent="0.3">
      <c r="A2236" t="s">
        <v>3377</v>
      </c>
      <c r="B2236" t="s">
        <v>235</v>
      </c>
      <c r="C2236" t="s">
        <v>68</v>
      </c>
      <c r="D2236" t="s">
        <v>3340</v>
      </c>
      <c r="E2236" t="s">
        <v>18</v>
      </c>
      <c r="F2236" t="s">
        <v>3378</v>
      </c>
      <c r="G2236" t="s">
        <v>20</v>
      </c>
      <c r="H2236" t="s">
        <v>21</v>
      </c>
      <c r="I2236">
        <v>4500</v>
      </c>
      <c r="J2236">
        <v>5850</v>
      </c>
      <c r="K2236">
        <v>2</v>
      </c>
      <c r="L2236">
        <v>9000</v>
      </c>
      <c r="M2236">
        <v>11700</v>
      </c>
      <c r="N2236" t="s">
        <v>35</v>
      </c>
      <c r="O2236">
        <f t="shared" si="68"/>
        <v>8450</v>
      </c>
      <c r="P2236" s="13">
        <f t="shared" si="69"/>
        <v>2974621</v>
      </c>
      <c r="Q2236" s="13">
        <f>SUMIFS(M:M,E:E,Online_eCommerce[[#This Row],[Status]])</f>
        <v>28340455</v>
      </c>
      <c r="R2236" s="13">
        <f>SUMIFS(L:L,H:H,Online_eCommerce[[#This Row],[Brand]])</f>
        <v>12435650</v>
      </c>
      <c r="S2236" s="13">
        <f>SUMIF(H:H,Online_eCommerce[[#This Row],[Brand]],M:M)</f>
        <v>16166345</v>
      </c>
      <c r="T2236" s="13">
        <f>SUMIF(N:N,Online_eCommerce[[#This Row],[Assigned Supervisor]],L:L)</f>
        <v>14373360</v>
      </c>
    </row>
    <row r="2237" spans="1:20" hidden="1" x14ac:dyDescent="0.3">
      <c r="A2237" t="s">
        <v>3379</v>
      </c>
      <c r="B2237" t="s">
        <v>235</v>
      </c>
      <c r="C2237" t="s">
        <v>74</v>
      </c>
      <c r="D2237" t="s">
        <v>3340</v>
      </c>
      <c r="E2237" t="s">
        <v>161</v>
      </c>
      <c r="F2237" t="s">
        <v>152</v>
      </c>
      <c r="G2237" t="s">
        <v>26</v>
      </c>
      <c r="H2237" t="s">
        <v>27</v>
      </c>
      <c r="I2237">
        <v>8500</v>
      </c>
      <c r="J2237">
        <v>11050</v>
      </c>
      <c r="K2237">
        <v>3</v>
      </c>
      <c r="L2237">
        <v>25500</v>
      </c>
      <c r="M2237">
        <v>33150</v>
      </c>
      <c r="N2237" t="s">
        <v>42</v>
      </c>
      <c r="O2237">
        <f t="shared" si="68"/>
        <v>33150</v>
      </c>
      <c r="P2237" s="13">
        <f t="shared" si="69"/>
        <v>2144701</v>
      </c>
      <c r="Q2237" s="13">
        <f>SUMIFS(M:M,E:E,Online_eCommerce[[#This Row],[Status]])</f>
        <v>21103186</v>
      </c>
      <c r="R2237" s="13">
        <f>SUMIFS(L:L,H:H,Online_eCommerce[[#This Row],[Brand]])</f>
        <v>14431000</v>
      </c>
      <c r="S2237" s="13">
        <f>SUMIF(H:H,Online_eCommerce[[#This Row],[Brand]],M:M)</f>
        <v>18760300</v>
      </c>
      <c r="T2237" s="13">
        <f>SUMIF(N:N,Online_eCommerce[[#This Row],[Assigned Supervisor]],L:L)</f>
        <v>12261500</v>
      </c>
    </row>
    <row r="2238" spans="1:20" x14ac:dyDescent="0.3">
      <c r="A2238" t="s">
        <v>3380</v>
      </c>
      <c r="B2238" t="s">
        <v>235</v>
      </c>
      <c r="C2238" t="s">
        <v>81</v>
      </c>
      <c r="D2238" t="s">
        <v>3340</v>
      </c>
      <c r="E2238" t="s">
        <v>46</v>
      </c>
      <c r="F2238" t="s">
        <v>157</v>
      </c>
      <c r="G2238" t="s">
        <v>33</v>
      </c>
      <c r="H2238" t="s">
        <v>34</v>
      </c>
      <c r="I2238">
        <v>12500</v>
      </c>
      <c r="J2238">
        <v>16250</v>
      </c>
      <c r="K2238">
        <v>1</v>
      </c>
      <c r="L2238">
        <v>12500</v>
      </c>
      <c r="M2238">
        <v>16250</v>
      </c>
      <c r="N2238" t="s">
        <v>50</v>
      </c>
      <c r="O2238">
        <f t="shared" si="68"/>
        <v>18200</v>
      </c>
      <c r="P2238" s="13">
        <f t="shared" si="69"/>
        <v>2595632</v>
      </c>
      <c r="Q2238" s="13">
        <f>SUMIFS(M:M,E:E,Online_eCommerce[[#This Row],[Status]])</f>
        <v>28620410</v>
      </c>
      <c r="R2238" s="13">
        <f>SUMIFS(L:L,H:H,Online_eCommerce[[#This Row],[Brand]])</f>
        <v>10087000</v>
      </c>
      <c r="S2238" s="13">
        <f>SUMIF(H:H,Online_eCommerce[[#This Row],[Brand]],M:M)</f>
        <v>13113100</v>
      </c>
      <c r="T2238" s="13">
        <f>SUMIF(N:N,Online_eCommerce[[#This Row],[Assigned Supervisor]],L:L)</f>
        <v>12100590</v>
      </c>
    </row>
    <row r="2239" spans="1:20" hidden="1" x14ac:dyDescent="0.3">
      <c r="A2239" t="s">
        <v>3381</v>
      </c>
      <c r="B2239" t="s">
        <v>235</v>
      </c>
      <c r="C2239" t="s">
        <v>86</v>
      </c>
      <c r="D2239" t="s">
        <v>3340</v>
      </c>
      <c r="E2239" t="s">
        <v>96</v>
      </c>
      <c r="F2239" t="s">
        <v>3055</v>
      </c>
      <c r="G2239" t="s">
        <v>40</v>
      </c>
      <c r="H2239" t="s">
        <v>41</v>
      </c>
      <c r="I2239">
        <v>3500</v>
      </c>
      <c r="J2239">
        <v>4550</v>
      </c>
      <c r="K2239">
        <v>1</v>
      </c>
      <c r="L2239">
        <v>3500</v>
      </c>
      <c r="M2239">
        <v>4550</v>
      </c>
      <c r="N2239" t="s">
        <v>56</v>
      </c>
      <c r="O2239">
        <f t="shared" si="68"/>
        <v>25545</v>
      </c>
      <c r="P2239" s="13">
        <f t="shared" si="69"/>
        <v>1941225</v>
      </c>
      <c r="Q2239" s="13">
        <f>SUMIFS(M:M,E:E,Online_eCommerce[[#This Row],[Status]])</f>
        <v>21233992</v>
      </c>
      <c r="R2239" s="13">
        <f>SUMIFS(L:L,H:H,Online_eCommerce[[#This Row],[Brand]])</f>
        <v>4260400</v>
      </c>
      <c r="S2239" s="13">
        <f>SUMIF(H:H,Online_eCommerce[[#This Row],[Brand]],M:M)</f>
        <v>5538520</v>
      </c>
      <c r="T2239" s="13">
        <f>SUMIF(N:N,Online_eCommerce[[#This Row],[Assigned Supervisor]],L:L)</f>
        <v>11733610</v>
      </c>
    </row>
    <row r="2240" spans="1:20" hidden="1" x14ac:dyDescent="0.3">
      <c r="A2240" t="s">
        <v>3382</v>
      </c>
      <c r="B2240" t="s">
        <v>235</v>
      </c>
      <c r="C2240" t="s">
        <v>91</v>
      </c>
      <c r="D2240" t="s">
        <v>3340</v>
      </c>
      <c r="E2240" t="s">
        <v>18</v>
      </c>
      <c r="F2240" t="s">
        <v>166</v>
      </c>
      <c r="G2240" t="s">
        <v>334</v>
      </c>
      <c r="H2240" t="s">
        <v>49</v>
      </c>
      <c r="I2240">
        <v>4500</v>
      </c>
      <c r="J2240">
        <v>5850</v>
      </c>
      <c r="K2240">
        <v>3</v>
      </c>
      <c r="L2240">
        <v>13500</v>
      </c>
      <c r="M2240">
        <v>17550</v>
      </c>
      <c r="N2240" t="s">
        <v>22</v>
      </c>
      <c r="O2240">
        <f t="shared" si="68"/>
        <v>39780</v>
      </c>
      <c r="P2240" s="13">
        <f t="shared" si="69"/>
        <v>2731963</v>
      </c>
      <c r="Q2240" s="13">
        <f>SUMIFS(M:M,E:E,Online_eCommerce[[#This Row],[Status]])</f>
        <v>28340455</v>
      </c>
      <c r="R2240" s="13">
        <f>SUMIFS(L:L,H:H,Online_eCommerce[[#This Row],[Brand]])</f>
        <v>4528350</v>
      </c>
      <c r="S2240" s="13">
        <f>SUMIF(H:H,Online_eCommerce[[#This Row],[Brand]],M:M)</f>
        <v>5886855</v>
      </c>
      <c r="T2240" s="13">
        <f>SUMIF(N:N,Online_eCommerce[[#This Row],[Assigned Supervisor]],L:L)</f>
        <v>13693220</v>
      </c>
    </row>
    <row r="2241" spans="1:20" hidden="1" x14ac:dyDescent="0.3">
      <c r="A2241" t="s">
        <v>3383</v>
      </c>
      <c r="B2241" t="s">
        <v>235</v>
      </c>
      <c r="C2241" t="s">
        <v>94</v>
      </c>
      <c r="D2241" t="s">
        <v>3340</v>
      </c>
      <c r="E2241" t="s">
        <v>161</v>
      </c>
      <c r="F2241" t="s">
        <v>3384</v>
      </c>
      <c r="G2241" t="s">
        <v>54</v>
      </c>
      <c r="H2241" t="s">
        <v>55</v>
      </c>
      <c r="I2241">
        <v>2100</v>
      </c>
      <c r="J2241">
        <v>2730</v>
      </c>
      <c r="K2241">
        <v>3</v>
      </c>
      <c r="L2241">
        <v>6300</v>
      </c>
      <c r="M2241">
        <v>8190</v>
      </c>
      <c r="N2241" t="s">
        <v>28</v>
      </c>
      <c r="O2241">
        <f t="shared" si="68"/>
        <v>2990</v>
      </c>
      <c r="P2241" s="13">
        <f t="shared" si="69"/>
        <v>1868256</v>
      </c>
      <c r="Q2241" s="13">
        <f>SUMIFS(M:M,E:E,Online_eCommerce[[#This Row],[Status]])</f>
        <v>21103186</v>
      </c>
      <c r="R2241" s="13">
        <f>SUMIFS(L:L,H:H,Online_eCommerce[[#This Row],[Brand]])</f>
        <v>2267380</v>
      </c>
      <c r="S2241" s="13">
        <f>SUMIF(H:H,Online_eCommerce[[#This Row],[Brand]],M:M)</f>
        <v>2947594</v>
      </c>
      <c r="T2241" s="13">
        <f>SUMIF(N:N,Online_eCommerce[[#This Row],[Assigned Supervisor]],L:L)</f>
        <v>12220830</v>
      </c>
    </row>
    <row r="2242" spans="1:20" x14ac:dyDescent="0.3">
      <c r="A2242" t="s">
        <v>3385</v>
      </c>
      <c r="B2242" t="s">
        <v>235</v>
      </c>
      <c r="C2242" t="s">
        <v>99</v>
      </c>
      <c r="D2242" t="s">
        <v>3340</v>
      </c>
      <c r="E2242" t="s">
        <v>46</v>
      </c>
      <c r="F2242" t="s">
        <v>174</v>
      </c>
      <c r="G2242" t="s">
        <v>60</v>
      </c>
      <c r="H2242" t="s">
        <v>61</v>
      </c>
      <c r="I2242">
        <v>1150</v>
      </c>
      <c r="J2242">
        <v>1495</v>
      </c>
      <c r="K2242">
        <v>1</v>
      </c>
      <c r="L2242">
        <v>1150</v>
      </c>
      <c r="M2242">
        <v>1495</v>
      </c>
      <c r="N2242" t="s">
        <v>35</v>
      </c>
      <c r="O2242">
        <f t="shared" ref="O2242:O2305" si="70">VLOOKUP(G2242,G:M,7,FALSE)</f>
        <v>3315</v>
      </c>
      <c r="P2242" s="13">
        <f t="shared" ref="P2242:P2305" si="71">SUMIFS(M:M,C:C,C2242)</f>
        <v>2651233</v>
      </c>
      <c r="Q2242" s="13">
        <f>SUMIFS(M:M,E:E,Online_eCommerce[[#This Row],[Status]])</f>
        <v>28620410</v>
      </c>
      <c r="R2242" s="13">
        <f>SUMIFS(L:L,H:H,Online_eCommerce[[#This Row],[Brand]])</f>
        <v>10950150</v>
      </c>
      <c r="S2242" s="13">
        <f>SUMIF(H:H,Online_eCommerce[[#This Row],[Brand]],M:M)</f>
        <v>14235195</v>
      </c>
      <c r="T2242" s="13">
        <f>SUMIF(N:N,Online_eCommerce[[#This Row],[Assigned Supervisor]],L:L)</f>
        <v>14373360</v>
      </c>
    </row>
    <row r="2243" spans="1:20" hidden="1" x14ac:dyDescent="0.3">
      <c r="A2243" t="s">
        <v>3386</v>
      </c>
      <c r="B2243" t="s">
        <v>235</v>
      </c>
      <c r="C2243" t="s">
        <v>105</v>
      </c>
      <c r="D2243" t="s">
        <v>3340</v>
      </c>
      <c r="E2243" t="s">
        <v>96</v>
      </c>
      <c r="F2243" t="s">
        <v>179</v>
      </c>
      <c r="G2243" t="s">
        <v>66</v>
      </c>
      <c r="H2243" t="s">
        <v>21</v>
      </c>
      <c r="I2243">
        <v>350</v>
      </c>
      <c r="J2243">
        <v>455</v>
      </c>
      <c r="K2243">
        <v>2</v>
      </c>
      <c r="L2243">
        <v>700</v>
      </c>
      <c r="M2243">
        <v>910</v>
      </c>
      <c r="N2243" t="s">
        <v>42</v>
      </c>
      <c r="O2243">
        <f t="shared" si="70"/>
        <v>1690</v>
      </c>
      <c r="P2243" s="13">
        <f t="shared" si="71"/>
        <v>1866852</v>
      </c>
      <c r="Q2243" s="13">
        <f>SUMIFS(M:M,E:E,Online_eCommerce[[#This Row],[Status]])</f>
        <v>21233992</v>
      </c>
      <c r="R2243" s="13">
        <f>SUMIFS(L:L,H:H,Online_eCommerce[[#This Row],[Brand]])</f>
        <v>12435650</v>
      </c>
      <c r="S2243" s="13">
        <f>SUMIF(H:H,Online_eCommerce[[#This Row],[Brand]],M:M)</f>
        <v>16166345</v>
      </c>
      <c r="T2243" s="13">
        <f>SUMIF(N:N,Online_eCommerce[[#This Row],[Assigned Supervisor]],L:L)</f>
        <v>12261500</v>
      </c>
    </row>
    <row r="2244" spans="1:20" hidden="1" x14ac:dyDescent="0.3">
      <c r="A2244" t="s">
        <v>3387</v>
      </c>
      <c r="B2244" t="s">
        <v>235</v>
      </c>
      <c r="C2244" t="s">
        <v>110</v>
      </c>
      <c r="D2244" t="s">
        <v>3340</v>
      </c>
      <c r="E2244" t="s">
        <v>18</v>
      </c>
      <c r="F2244" t="s">
        <v>183</v>
      </c>
      <c r="G2244" t="s">
        <v>71</v>
      </c>
      <c r="H2244" t="s">
        <v>61</v>
      </c>
      <c r="I2244">
        <v>9500</v>
      </c>
      <c r="J2244">
        <v>12350</v>
      </c>
      <c r="K2244">
        <v>1</v>
      </c>
      <c r="L2244">
        <v>9500</v>
      </c>
      <c r="M2244">
        <v>12350</v>
      </c>
      <c r="N2244" t="s">
        <v>50</v>
      </c>
      <c r="O2244">
        <f t="shared" si="70"/>
        <v>9750</v>
      </c>
      <c r="P2244" s="13">
        <f t="shared" si="71"/>
        <v>2598635</v>
      </c>
      <c r="Q2244" s="13">
        <f>SUMIFS(M:M,E:E,Online_eCommerce[[#This Row],[Status]])</f>
        <v>28340455</v>
      </c>
      <c r="R2244" s="13">
        <f>SUMIFS(L:L,H:H,Online_eCommerce[[#This Row],[Brand]])</f>
        <v>10950150</v>
      </c>
      <c r="S2244" s="13">
        <f>SUMIF(H:H,Online_eCommerce[[#This Row],[Brand]],M:M)</f>
        <v>14235195</v>
      </c>
      <c r="T2244" s="13">
        <f>SUMIF(N:N,Online_eCommerce[[#This Row],[Assigned Supervisor]],L:L)</f>
        <v>12100590</v>
      </c>
    </row>
    <row r="2245" spans="1:20" hidden="1" x14ac:dyDescent="0.3">
      <c r="A2245" t="s">
        <v>3388</v>
      </c>
      <c r="B2245" t="s">
        <v>235</v>
      </c>
      <c r="C2245" t="s">
        <v>115</v>
      </c>
      <c r="D2245" t="s">
        <v>3340</v>
      </c>
      <c r="E2245" t="s">
        <v>161</v>
      </c>
      <c r="F2245" t="s">
        <v>3389</v>
      </c>
      <c r="G2245" t="s">
        <v>77</v>
      </c>
      <c r="H2245" t="s">
        <v>142</v>
      </c>
      <c r="I2245">
        <v>10000</v>
      </c>
      <c r="J2245">
        <v>13000</v>
      </c>
      <c r="K2245">
        <v>1</v>
      </c>
      <c r="L2245">
        <v>10000</v>
      </c>
      <c r="M2245">
        <v>13000</v>
      </c>
      <c r="N2245" t="s">
        <v>56</v>
      </c>
      <c r="O2245">
        <f t="shared" si="70"/>
        <v>39000</v>
      </c>
      <c r="P2245" s="13">
        <f t="shared" si="71"/>
        <v>2050178</v>
      </c>
      <c r="Q2245" s="13">
        <f>SUMIFS(M:M,E:E,Online_eCommerce[[#This Row],[Status]])</f>
        <v>21103186</v>
      </c>
      <c r="R2245" s="13">
        <f>SUMIFS(L:L,H:H,Online_eCommerce[[#This Row],[Brand]])</f>
        <v>6192500</v>
      </c>
      <c r="S2245" s="13">
        <f>SUMIF(H:H,Online_eCommerce[[#This Row],[Brand]],M:M)</f>
        <v>8050250</v>
      </c>
      <c r="T2245" s="13">
        <f>SUMIF(N:N,Online_eCommerce[[#This Row],[Assigned Supervisor]],L:L)</f>
        <v>11733610</v>
      </c>
    </row>
    <row r="2246" spans="1:20" x14ac:dyDescent="0.3">
      <c r="A2246" t="s">
        <v>3390</v>
      </c>
      <c r="B2246" t="s">
        <v>235</v>
      </c>
      <c r="C2246" t="s">
        <v>120</v>
      </c>
      <c r="D2246" t="s">
        <v>3340</v>
      </c>
      <c r="E2246" t="s">
        <v>46</v>
      </c>
      <c r="F2246" t="s">
        <v>3391</v>
      </c>
      <c r="G2246" t="s">
        <v>20</v>
      </c>
      <c r="H2246" t="s">
        <v>21</v>
      </c>
      <c r="I2246">
        <v>6500</v>
      </c>
      <c r="J2246">
        <v>8450</v>
      </c>
      <c r="K2246">
        <v>3</v>
      </c>
      <c r="L2246">
        <v>19500</v>
      </c>
      <c r="M2246">
        <v>25350</v>
      </c>
      <c r="N2246" t="s">
        <v>22</v>
      </c>
      <c r="O2246">
        <f t="shared" si="70"/>
        <v>8450</v>
      </c>
      <c r="P2246" s="13">
        <f t="shared" si="71"/>
        <v>2734212</v>
      </c>
      <c r="Q2246" s="13">
        <f>SUMIFS(M:M,E:E,Online_eCommerce[[#This Row],[Status]])</f>
        <v>28620410</v>
      </c>
      <c r="R2246" s="13">
        <f>SUMIFS(L:L,H:H,Online_eCommerce[[#This Row],[Brand]])</f>
        <v>12435650</v>
      </c>
      <c r="S2246" s="13">
        <f>SUMIF(H:H,Online_eCommerce[[#This Row],[Brand]],M:M)</f>
        <v>16166345</v>
      </c>
      <c r="T2246" s="13">
        <f>SUMIF(N:N,Online_eCommerce[[#This Row],[Assigned Supervisor]],L:L)</f>
        <v>13693220</v>
      </c>
    </row>
    <row r="2247" spans="1:20" hidden="1" x14ac:dyDescent="0.3">
      <c r="A2247" t="s">
        <v>3392</v>
      </c>
      <c r="B2247" t="s">
        <v>235</v>
      </c>
      <c r="C2247" t="s">
        <v>125</v>
      </c>
      <c r="D2247" t="s">
        <v>3340</v>
      </c>
      <c r="E2247" t="s">
        <v>96</v>
      </c>
      <c r="F2247" t="s">
        <v>3393</v>
      </c>
      <c r="G2247" t="s">
        <v>26</v>
      </c>
      <c r="H2247" t="s">
        <v>27</v>
      </c>
      <c r="I2247">
        <v>8500</v>
      </c>
      <c r="J2247">
        <v>11050</v>
      </c>
      <c r="K2247">
        <v>1</v>
      </c>
      <c r="L2247">
        <v>8500</v>
      </c>
      <c r="M2247">
        <v>11050</v>
      </c>
      <c r="N2247" t="s">
        <v>28</v>
      </c>
      <c r="O2247">
        <f t="shared" si="70"/>
        <v>33150</v>
      </c>
      <c r="P2247" s="13">
        <f t="shared" si="71"/>
        <v>2091154</v>
      </c>
      <c r="Q2247" s="13">
        <f>SUMIFS(M:M,E:E,Online_eCommerce[[#This Row],[Status]])</f>
        <v>21233992</v>
      </c>
      <c r="R2247" s="13">
        <f>SUMIFS(L:L,H:H,Online_eCommerce[[#This Row],[Brand]])</f>
        <v>14431000</v>
      </c>
      <c r="S2247" s="13">
        <f>SUMIF(H:H,Online_eCommerce[[#This Row],[Brand]],M:M)</f>
        <v>18760300</v>
      </c>
      <c r="T2247" s="13">
        <f>SUMIF(N:N,Online_eCommerce[[#This Row],[Assigned Supervisor]],L:L)</f>
        <v>12220830</v>
      </c>
    </row>
    <row r="2248" spans="1:20" hidden="1" x14ac:dyDescent="0.3">
      <c r="A2248" t="s">
        <v>3394</v>
      </c>
      <c r="B2248" t="s">
        <v>235</v>
      </c>
      <c r="C2248" t="s">
        <v>22</v>
      </c>
      <c r="D2248" t="s">
        <v>3340</v>
      </c>
      <c r="E2248" t="s">
        <v>18</v>
      </c>
      <c r="F2248" t="s">
        <v>32</v>
      </c>
      <c r="G2248" t="s">
        <v>33</v>
      </c>
      <c r="H2248" t="s">
        <v>34</v>
      </c>
      <c r="I2248">
        <v>7000</v>
      </c>
      <c r="J2248">
        <v>9100</v>
      </c>
      <c r="K2248">
        <v>2</v>
      </c>
      <c r="L2248">
        <v>14000</v>
      </c>
      <c r="M2248">
        <v>18200</v>
      </c>
      <c r="N2248" t="s">
        <v>35</v>
      </c>
      <c r="O2248">
        <f t="shared" si="70"/>
        <v>18200</v>
      </c>
      <c r="P2248" s="13">
        <f t="shared" si="71"/>
        <v>2551588</v>
      </c>
      <c r="Q2248" s="13">
        <f>SUMIFS(M:M,E:E,Online_eCommerce[[#This Row],[Status]])</f>
        <v>28340455</v>
      </c>
      <c r="R2248" s="13">
        <f>SUMIFS(L:L,H:H,Online_eCommerce[[#This Row],[Brand]])</f>
        <v>10087000</v>
      </c>
      <c r="S2248" s="13">
        <f>SUMIF(H:H,Online_eCommerce[[#This Row],[Brand]],M:M)</f>
        <v>13113100</v>
      </c>
      <c r="T2248" s="13">
        <f>SUMIF(N:N,Online_eCommerce[[#This Row],[Assigned Supervisor]],L:L)</f>
        <v>14373360</v>
      </c>
    </row>
    <row r="2249" spans="1:20" hidden="1" x14ac:dyDescent="0.3">
      <c r="A2249" t="s">
        <v>3395</v>
      </c>
      <c r="B2249" t="s">
        <v>235</v>
      </c>
      <c r="C2249" t="s">
        <v>132</v>
      </c>
      <c r="D2249" t="s">
        <v>3340</v>
      </c>
      <c r="E2249" t="s">
        <v>161</v>
      </c>
      <c r="F2249" t="s">
        <v>3396</v>
      </c>
      <c r="G2249" t="s">
        <v>40</v>
      </c>
      <c r="H2249" t="s">
        <v>41</v>
      </c>
      <c r="I2249">
        <v>6550</v>
      </c>
      <c r="J2249">
        <v>8515</v>
      </c>
      <c r="K2249">
        <v>1</v>
      </c>
      <c r="L2249">
        <v>6550</v>
      </c>
      <c r="M2249">
        <v>8515</v>
      </c>
      <c r="N2249" t="s">
        <v>42</v>
      </c>
      <c r="O2249">
        <f t="shared" si="70"/>
        <v>25545</v>
      </c>
      <c r="P2249" s="13">
        <f t="shared" si="71"/>
        <v>1989065</v>
      </c>
      <c r="Q2249" s="13">
        <f>SUMIFS(M:M,E:E,Online_eCommerce[[#This Row],[Status]])</f>
        <v>21103186</v>
      </c>
      <c r="R2249" s="13">
        <f>SUMIFS(L:L,H:H,Online_eCommerce[[#This Row],[Brand]])</f>
        <v>4260400</v>
      </c>
      <c r="S2249" s="13">
        <f>SUMIF(H:H,Online_eCommerce[[#This Row],[Brand]],M:M)</f>
        <v>5538520</v>
      </c>
      <c r="T2249" s="13">
        <f>SUMIF(N:N,Online_eCommerce[[#This Row],[Assigned Supervisor]],L:L)</f>
        <v>12261500</v>
      </c>
    </row>
    <row r="2250" spans="1:20" x14ac:dyDescent="0.3">
      <c r="A2250" t="s">
        <v>3397</v>
      </c>
      <c r="B2250" t="s">
        <v>235</v>
      </c>
      <c r="C2250" t="s">
        <v>136</v>
      </c>
      <c r="D2250" t="s">
        <v>3340</v>
      </c>
      <c r="E2250" t="s">
        <v>46</v>
      </c>
      <c r="F2250" t="s">
        <v>47</v>
      </c>
      <c r="G2250" t="s">
        <v>334</v>
      </c>
      <c r="H2250" t="s">
        <v>49</v>
      </c>
      <c r="I2250">
        <v>7650</v>
      </c>
      <c r="J2250">
        <v>9945</v>
      </c>
      <c r="K2250">
        <v>2</v>
      </c>
      <c r="L2250">
        <v>15300</v>
      </c>
      <c r="M2250">
        <v>19890</v>
      </c>
      <c r="N2250" t="s">
        <v>50</v>
      </c>
      <c r="O2250">
        <f t="shared" si="70"/>
        <v>39780</v>
      </c>
      <c r="P2250" s="13">
        <f t="shared" si="71"/>
        <v>2775162</v>
      </c>
      <c r="Q2250" s="13">
        <f>SUMIFS(M:M,E:E,Online_eCommerce[[#This Row],[Status]])</f>
        <v>28620410</v>
      </c>
      <c r="R2250" s="13">
        <f>SUMIFS(L:L,H:H,Online_eCommerce[[#This Row],[Brand]])</f>
        <v>4528350</v>
      </c>
      <c r="S2250" s="13">
        <f>SUMIF(H:H,Online_eCommerce[[#This Row],[Brand]],M:M)</f>
        <v>5886855</v>
      </c>
      <c r="T2250" s="13">
        <f>SUMIF(N:N,Online_eCommerce[[#This Row],[Assigned Supervisor]],L:L)</f>
        <v>12100590</v>
      </c>
    </row>
    <row r="2251" spans="1:20" hidden="1" x14ac:dyDescent="0.3">
      <c r="A2251" t="s">
        <v>3398</v>
      </c>
      <c r="B2251" t="s">
        <v>235</v>
      </c>
      <c r="C2251" t="s">
        <v>140</v>
      </c>
      <c r="D2251" t="s">
        <v>3340</v>
      </c>
      <c r="E2251" t="s">
        <v>96</v>
      </c>
      <c r="F2251" t="s">
        <v>53</v>
      </c>
      <c r="G2251" t="s">
        <v>54</v>
      </c>
      <c r="H2251" t="s">
        <v>55</v>
      </c>
      <c r="I2251">
        <v>1150</v>
      </c>
      <c r="J2251">
        <v>1495</v>
      </c>
      <c r="K2251">
        <v>1</v>
      </c>
      <c r="L2251">
        <v>1150</v>
      </c>
      <c r="M2251">
        <v>1495</v>
      </c>
      <c r="N2251" t="s">
        <v>56</v>
      </c>
      <c r="O2251">
        <f t="shared" si="70"/>
        <v>2990</v>
      </c>
      <c r="P2251" s="13">
        <f t="shared" si="71"/>
        <v>2058264</v>
      </c>
      <c r="Q2251" s="13">
        <f>SUMIFS(M:M,E:E,Online_eCommerce[[#This Row],[Status]])</f>
        <v>21233992</v>
      </c>
      <c r="R2251" s="13">
        <f>SUMIFS(L:L,H:H,Online_eCommerce[[#This Row],[Brand]])</f>
        <v>2267380</v>
      </c>
      <c r="S2251" s="13">
        <f>SUMIF(H:H,Online_eCommerce[[#This Row],[Brand]],M:M)</f>
        <v>2947594</v>
      </c>
      <c r="T2251" s="13">
        <f>SUMIF(N:N,Online_eCommerce[[#This Row],[Assigned Supervisor]],L:L)</f>
        <v>11733610</v>
      </c>
    </row>
    <row r="2252" spans="1:20" hidden="1" x14ac:dyDescent="0.3">
      <c r="A2252" t="s">
        <v>3399</v>
      </c>
      <c r="B2252" t="s">
        <v>235</v>
      </c>
      <c r="C2252" t="s">
        <v>145</v>
      </c>
      <c r="D2252" t="s">
        <v>3340</v>
      </c>
      <c r="E2252" t="s">
        <v>18</v>
      </c>
      <c r="F2252" t="s">
        <v>59</v>
      </c>
      <c r="G2252" t="s">
        <v>60</v>
      </c>
      <c r="H2252" t="s">
        <v>61</v>
      </c>
      <c r="I2252">
        <v>850</v>
      </c>
      <c r="J2252">
        <v>1105</v>
      </c>
      <c r="K2252">
        <v>1</v>
      </c>
      <c r="L2252">
        <v>850</v>
      </c>
      <c r="M2252">
        <v>1105</v>
      </c>
      <c r="N2252" t="s">
        <v>22</v>
      </c>
      <c r="O2252">
        <f t="shared" si="70"/>
        <v>3315</v>
      </c>
      <c r="P2252" s="13">
        <f t="shared" si="71"/>
        <v>2757859</v>
      </c>
      <c r="Q2252" s="13">
        <f>SUMIFS(M:M,E:E,Online_eCommerce[[#This Row],[Status]])</f>
        <v>28340455</v>
      </c>
      <c r="R2252" s="13">
        <f>SUMIFS(L:L,H:H,Online_eCommerce[[#This Row],[Brand]])</f>
        <v>10950150</v>
      </c>
      <c r="S2252" s="13">
        <f>SUMIF(H:H,Online_eCommerce[[#This Row],[Brand]],M:M)</f>
        <v>14235195</v>
      </c>
      <c r="T2252" s="13">
        <f>SUMIF(N:N,Online_eCommerce[[#This Row],[Assigned Supervisor]],L:L)</f>
        <v>13693220</v>
      </c>
    </row>
    <row r="2253" spans="1:20" hidden="1" x14ac:dyDescent="0.3">
      <c r="A2253" t="s">
        <v>3400</v>
      </c>
      <c r="B2253" t="s">
        <v>235</v>
      </c>
      <c r="C2253" t="s">
        <v>150</v>
      </c>
      <c r="D2253" t="s">
        <v>3340</v>
      </c>
      <c r="E2253" t="s">
        <v>161</v>
      </c>
      <c r="F2253" t="s">
        <v>65</v>
      </c>
      <c r="G2253" t="s">
        <v>66</v>
      </c>
      <c r="H2253" t="s">
        <v>21</v>
      </c>
      <c r="I2253">
        <v>650</v>
      </c>
      <c r="J2253">
        <v>845</v>
      </c>
      <c r="K2253">
        <v>2</v>
      </c>
      <c r="L2253">
        <v>1300</v>
      </c>
      <c r="M2253">
        <v>1690</v>
      </c>
      <c r="N2253" t="s">
        <v>28</v>
      </c>
      <c r="O2253">
        <f t="shared" si="70"/>
        <v>1690</v>
      </c>
      <c r="P2253" s="13">
        <f t="shared" si="71"/>
        <v>2154984</v>
      </c>
      <c r="Q2253" s="13">
        <f>SUMIFS(M:M,E:E,Online_eCommerce[[#This Row],[Status]])</f>
        <v>21103186</v>
      </c>
      <c r="R2253" s="13">
        <f>SUMIFS(L:L,H:H,Online_eCommerce[[#This Row],[Brand]])</f>
        <v>12435650</v>
      </c>
      <c r="S2253" s="13">
        <f>SUMIF(H:H,Online_eCommerce[[#This Row],[Brand]],M:M)</f>
        <v>16166345</v>
      </c>
      <c r="T2253" s="13">
        <f>SUMIF(N:N,Online_eCommerce[[#This Row],[Assigned Supervisor]],L:L)</f>
        <v>12220830</v>
      </c>
    </row>
    <row r="2254" spans="1:20" x14ac:dyDescent="0.3">
      <c r="A2254" t="s">
        <v>3401</v>
      </c>
      <c r="B2254" t="s">
        <v>235</v>
      </c>
      <c r="C2254" t="s">
        <v>155</v>
      </c>
      <c r="D2254" t="s">
        <v>3340</v>
      </c>
      <c r="E2254" t="s">
        <v>46</v>
      </c>
      <c r="F2254" t="s">
        <v>70</v>
      </c>
      <c r="G2254" t="s">
        <v>71</v>
      </c>
      <c r="H2254" t="s">
        <v>61</v>
      </c>
      <c r="I2254">
        <v>7500</v>
      </c>
      <c r="J2254">
        <v>9750</v>
      </c>
      <c r="K2254">
        <v>1</v>
      </c>
      <c r="L2254">
        <v>7500</v>
      </c>
      <c r="M2254">
        <v>9750</v>
      </c>
      <c r="N2254" t="s">
        <v>35</v>
      </c>
      <c r="O2254">
        <f t="shared" si="70"/>
        <v>9750</v>
      </c>
      <c r="P2254" s="13">
        <f t="shared" si="71"/>
        <v>2753348</v>
      </c>
      <c r="Q2254" s="13">
        <f>SUMIFS(M:M,E:E,Online_eCommerce[[#This Row],[Status]])</f>
        <v>28620410</v>
      </c>
      <c r="R2254" s="13">
        <f>SUMIFS(L:L,H:H,Online_eCommerce[[#This Row],[Brand]])</f>
        <v>10950150</v>
      </c>
      <c r="S2254" s="13">
        <f>SUMIF(H:H,Online_eCommerce[[#This Row],[Brand]],M:M)</f>
        <v>14235195</v>
      </c>
      <c r="T2254" s="13">
        <f>SUMIF(N:N,Online_eCommerce[[#This Row],[Assigned Supervisor]],L:L)</f>
        <v>14373360</v>
      </c>
    </row>
    <row r="2255" spans="1:20" hidden="1" x14ac:dyDescent="0.3">
      <c r="A2255" t="s">
        <v>3402</v>
      </c>
      <c r="B2255" t="s">
        <v>235</v>
      </c>
      <c r="C2255" t="s">
        <v>160</v>
      </c>
      <c r="D2255" t="s">
        <v>3340</v>
      </c>
      <c r="E2255" t="s">
        <v>96</v>
      </c>
      <c r="F2255" t="s">
        <v>3389</v>
      </c>
      <c r="G2255" t="s">
        <v>77</v>
      </c>
      <c r="H2255" t="s">
        <v>78</v>
      </c>
      <c r="I2255">
        <v>10000</v>
      </c>
      <c r="J2255">
        <v>13000</v>
      </c>
      <c r="K2255">
        <v>1</v>
      </c>
      <c r="L2255">
        <v>10000</v>
      </c>
      <c r="M2255">
        <v>13000</v>
      </c>
      <c r="N2255" t="s">
        <v>42</v>
      </c>
      <c r="O2255">
        <f t="shared" si="70"/>
        <v>39000</v>
      </c>
      <c r="P2255" s="13">
        <f t="shared" si="71"/>
        <v>2303483</v>
      </c>
      <c r="Q2255" s="13">
        <f>SUMIFS(M:M,E:E,Online_eCommerce[[#This Row],[Status]])</f>
        <v>21233992</v>
      </c>
      <c r="R2255" s="13">
        <f>SUMIFS(L:L,H:H,Online_eCommerce[[#This Row],[Brand]])</f>
        <v>3720000</v>
      </c>
      <c r="S2255" s="13">
        <f>SUMIF(H:H,Online_eCommerce[[#This Row],[Brand]],M:M)</f>
        <v>4836000</v>
      </c>
      <c r="T2255" s="13">
        <f>SUMIF(N:N,Online_eCommerce[[#This Row],[Assigned Supervisor]],L:L)</f>
        <v>12261500</v>
      </c>
    </row>
    <row r="2256" spans="1:20" hidden="1" x14ac:dyDescent="0.3">
      <c r="A2256" t="s">
        <v>3403</v>
      </c>
      <c r="B2256" t="s">
        <v>235</v>
      </c>
      <c r="C2256" t="s">
        <v>165</v>
      </c>
      <c r="D2256" t="s">
        <v>3340</v>
      </c>
      <c r="E2256" t="s">
        <v>18</v>
      </c>
      <c r="F2256" t="s">
        <v>3404</v>
      </c>
      <c r="G2256" t="s">
        <v>20</v>
      </c>
      <c r="H2256" t="s">
        <v>21</v>
      </c>
      <c r="I2256">
        <v>10500</v>
      </c>
      <c r="J2256">
        <v>13650</v>
      </c>
      <c r="K2256">
        <v>4</v>
      </c>
      <c r="L2256">
        <v>42000</v>
      </c>
      <c r="M2256">
        <v>54600</v>
      </c>
      <c r="N2256" t="s">
        <v>50</v>
      </c>
      <c r="O2256">
        <f t="shared" si="70"/>
        <v>8450</v>
      </c>
      <c r="P2256" s="13">
        <f t="shared" si="71"/>
        <v>2674087</v>
      </c>
      <c r="Q2256" s="13">
        <f>SUMIFS(M:M,E:E,Online_eCommerce[[#This Row],[Status]])</f>
        <v>28340455</v>
      </c>
      <c r="R2256" s="13">
        <f>SUMIFS(L:L,H:H,Online_eCommerce[[#This Row],[Brand]])</f>
        <v>12435650</v>
      </c>
      <c r="S2256" s="13">
        <f>SUMIF(H:H,Online_eCommerce[[#This Row],[Brand]],M:M)</f>
        <v>16166345</v>
      </c>
      <c r="T2256" s="13">
        <f>SUMIF(N:N,Online_eCommerce[[#This Row],[Assigned Supervisor]],L:L)</f>
        <v>12100590</v>
      </c>
    </row>
    <row r="2257" spans="1:20" hidden="1" x14ac:dyDescent="0.3">
      <c r="A2257" t="s">
        <v>3405</v>
      </c>
      <c r="B2257" t="s">
        <v>235</v>
      </c>
      <c r="C2257" t="s">
        <v>168</v>
      </c>
      <c r="D2257" t="s">
        <v>3340</v>
      </c>
      <c r="E2257" t="s">
        <v>161</v>
      </c>
      <c r="F2257" t="s">
        <v>88</v>
      </c>
      <c r="G2257" t="s">
        <v>26</v>
      </c>
      <c r="H2257" t="s">
        <v>27</v>
      </c>
      <c r="I2257">
        <v>8500</v>
      </c>
      <c r="J2257">
        <v>11050</v>
      </c>
      <c r="K2257">
        <v>1</v>
      </c>
      <c r="L2257">
        <v>8500</v>
      </c>
      <c r="M2257">
        <v>11050</v>
      </c>
      <c r="N2257" t="s">
        <v>56</v>
      </c>
      <c r="O2257">
        <f t="shared" si="70"/>
        <v>33150</v>
      </c>
      <c r="P2257" s="13">
        <f t="shared" si="71"/>
        <v>1937780</v>
      </c>
      <c r="Q2257" s="13">
        <f>SUMIFS(M:M,E:E,Online_eCommerce[[#This Row],[Status]])</f>
        <v>21103186</v>
      </c>
      <c r="R2257" s="13">
        <f>SUMIFS(L:L,H:H,Online_eCommerce[[#This Row],[Brand]])</f>
        <v>14431000</v>
      </c>
      <c r="S2257" s="13">
        <f>SUMIF(H:H,Online_eCommerce[[#This Row],[Brand]],M:M)</f>
        <v>18760300</v>
      </c>
      <c r="T2257" s="13">
        <f>SUMIF(N:N,Online_eCommerce[[#This Row],[Assigned Supervisor]],L:L)</f>
        <v>11733610</v>
      </c>
    </row>
    <row r="2258" spans="1:20" x14ac:dyDescent="0.3">
      <c r="A2258" t="s">
        <v>3406</v>
      </c>
      <c r="B2258" t="s">
        <v>235</v>
      </c>
      <c r="C2258" t="s">
        <v>172</v>
      </c>
      <c r="D2258" t="s">
        <v>3340</v>
      </c>
      <c r="E2258" t="s">
        <v>46</v>
      </c>
      <c r="F2258" t="s">
        <v>32</v>
      </c>
      <c r="G2258" t="s">
        <v>33</v>
      </c>
      <c r="H2258" t="s">
        <v>34</v>
      </c>
      <c r="I2258">
        <v>7000</v>
      </c>
      <c r="J2258">
        <v>9100</v>
      </c>
      <c r="K2258">
        <v>1</v>
      </c>
      <c r="L2258">
        <v>7000</v>
      </c>
      <c r="M2258">
        <v>9100</v>
      </c>
      <c r="N2258" t="s">
        <v>22</v>
      </c>
      <c r="O2258">
        <f t="shared" si="70"/>
        <v>18200</v>
      </c>
      <c r="P2258" s="13">
        <f t="shared" si="71"/>
        <v>2640274</v>
      </c>
      <c r="Q2258" s="13">
        <f>SUMIFS(M:M,E:E,Online_eCommerce[[#This Row],[Status]])</f>
        <v>28620410</v>
      </c>
      <c r="R2258" s="13">
        <f>SUMIFS(L:L,H:H,Online_eCommerce[[#This Row],[Brand]])</f>
        <v>10087000</v>
      </c>
      <c r="S2258" s="13">
        <f>SUMIF(H:H,Online_eCommerce[[#This Row],[Brand]],M:M)</f>
        <v>13113100</v>
      </c>
      <c r="T2258" s="13">
        <f>SUMIF(N:N,Online_eCommerce[[#This Row],[Assigned Supervisor]],L:L)</f>
        <v>13693220</v>
      </c>
    </row>
    <row r="2259" spans="1:20" hidden="1" x14ac:dyDescent="0.3">
      <c r="A2259" t="s">
        <v>3407</v>
      </c>
      <c r="B2259" t="s">
        <v>235</v>
      </c>
      <c r="C2259" t="s">
        <v>177</v>
      </c>
      <c r="D2259" t="s">
        <v>3340</v>
      </c>
      <c r="E2259" t="s">
        <v>96</v>
      </c>
      <c r="F2259" t="s">
        <v>3408</v>
      </c>
      <c r="G2259" t="s">
        <v>40</v>
      </c>
      <c r="H2259" t="s">
        <v>41</v>
      </c>
      <c r="I2259">
        <v>1680</v>
      </c>
      <c r="J2259">
        <v>2184</v>
      </c>
      <c r="K2259">
        <v>1</v>
      </c>
      <c r="L2259">
        <v>1680</v>
      </c>
      <c r="M2259">
        <v>2184</v>
      </c>
      <c r="N2259" t="s">
        <v>28</v>
      </c>
      <c r="O2259">
        <f t="shared" si="70"/>
        <v>25545</v>
      </c>
      <c r="P2259" s="13">
        <f t="shared" si="71"/>
        <v>1863810</v>
      </c>
      <c r="Q2259" s="13">
        <f>SUMIFS(M:M,E:E,Online_eCommerce[[#This Row],[Status]])</f>
        <v>21233992</v>
      </c>
      <c r="R2259" s="13">
        <f>SUMIFS(L:L,H:H,Online_eCommerce[[#This Row],[Brand]])</f>
        <v>4260400</v>
      </c>
      <c r="S2259" s="13">
        <f>SUMIF(H:H,Online_eCommerce[[#This Row],[Brand]],M:M)</f>
        <v>5538520</v>
      </c>
      <c r="T2259" s="13">
        <f>SUMIF(N:N,Online_eCommerce[[#This Row],[Assigned Supervisor]],L:L)</f>
        <v>12220830</v>
      </c>
    </row>
    <row r="2260" spans="1:20" hidden="1" x14ac:dyDescent="0.3">
      <c r="A2260" t="s">
        <v>3409</v>
      </c>
      <c r="B2260" t="s">
        <v>235</v>
      </c>
      <c r="C2260" t="s">
        <v>181</v>
      </c>
      <c r="D2260" t="s">
        <v>3340</v>
      </c>
      <c r="E2260" t="s">
        <v>18</v>
      </c>
      <c r="F2260" t="s">
        <v>101</v>
      </c>
      <c r="G2260" t="s">
        <v>334</v>
      </c>
      <c r="H2260" t="s">
        <v>102</v>
      </c>
      <c r="I2260">
        <v>6540</v>
      </c>
      <c r="J2260">
        <v>8502</v>
      </c>
      <c r="K2260">
        <v>2</v>
      </c>
      <c r="L2260">
        <v>13080</v>
      </c>
      <c r="M2260">
        <v>17004</v>
      </c>
      <c r="N2260" t="s">
        <v>35</v>
      </c>
      <c r="O2260">
        <f t="shared" si="70"/>
        <v>39780</v>
      </c>
      <c r="P2260" s="13">
        <f t="shared" si="71"/>
        <v>2577458</v>
      </c>
      <c r="Q2260" s="13">
        <f>SUMIFS(M:M,E:E,Online_eCommerce[[#This Row],[Status]])</f>
        <v>28340455</v>
      </c>
      <c r="R2260" s="13">
        <f>SUMIFS(L:L,H:H,Online_eCommerce[[#This Row],[Brand]])</f>
        <v>2465580</v>
      </c>
      <c r="S2260" s="13">
        <f>SUMIF(H:H,Online_eCommerce[[#This Row],[Brand]],M:M)</f>
        <v>3205254</v>
      </c>
      <c r="T2260" s="13">
        <f>SUMIF(N:N,Online_eCommerce[[#This Row],[Assigned Supervisor]],L:L)</f>
        <v>14373360</v>
      </c>
    </row>
    <row r="2261" spans="1:20" hidden="1" x14ac:dyDescent="0.3">
      <c r="A2261" t="s">
        <v>3410</v>
      </c>
      <c r="B2261" t="s">
        <v>235</v>
      </c>
      <c r="C2261" t="s">
        <v>185</v>
      </c>
      <c r="D2261" t="s">
        <v>3340</v>
      </c>
      <c r="E2261" t="s">
        <v>161</v>
      </c>
      <c r="F2261" t="s">
        <v>107</v>
      </c>
      <c r="G2261" t="s">
        <v>54</v>
      </c>
      <c r="H2261" t="s">
        <v>55</v>
      </c>
      <c r="I2261">
        <v>2680</v>
      </c>
      <c r="J2261">
        <v>3484</v>
      </c>
      <c r="K2261">
        <v>4</v>
      </c>
      <c r="L2261">
        <v>10720</v>
      </c>
      <c r="M2261">
        <v>13936</v>
      </c>
      <c r="N2261" t="s">
        <v>42</v>
      </c>
      <c r="O2261">
        <f t="shared" si="70"/>
        <v>2990</v>
      </c>
      <c r="P2261" s="13">
        <f t="shared" si="71"/>
        <v>2091596</v>
      </c>
      <c r="Q2261" s="13">
        <f>SUMIFS(M:M,E:E,Online_eCommerce[[#This Row],[Status]])</f>
        <v>21103186</v>
      </c>
      <c r="R2261" s="13">
        <f>SUMIFS(L:L,H:H,Online_eCommerce[[#This Row],[Brand]])</f>
        <v>2267380</v>
      </c>
      <c r="S2261" s="13">
        <f>SUMIF(H:H,Online_eCommerce[[#This Row],[Brand]],M:M)</f>
        <v>2947594</v>
      </c>
      <c r="T2261" s="13">
        <f>SUMIF(N:N,Online_eCommerce[[#This Row],[Assigned Supervisor]],L:L)</f>
        <v>12261500</v>
      </c>
    </row>
    <row r="2262" spans="1:20" x14ac:dyDescent="0.3">
      <c r="A2262" t="s">
        <v>3411</v>
      </c>
      <c r="B2262" t="s">
        <v>235</v>
      </c>
      <c r="C2262" t="s">
        <v>189</v>
      </c>
      <c r="D2262" t="s">
        <v>3340</v>
      </c>
      <c r="E2262" t="s">
        <v>46</v>
      </c>
      <c r="F2262" t="s">
        <v>112</v>
      </c>
      <c r="G2262" t="s">
        <v>71</v>
      </c>
      <c r="H2262" t="s">
        <v>21</v>
      </c>
      <c r="I2262">
        <v>8250</v>
      </c>
      <c r="J2262">
        <v>10725</v>
      </c>
      <c r="K2262">
        <v>1</v>
      </c>
      <c r="L2262">
        <v>8250</v>
      </c>
      <c r="M2262">
        <v>10725</v>
      </c>
      <c r="N2262" t="s">
        <v>50</v>
      </c>
      <c r="O2262">
        <f t="shared" si="70"/>
        <v>9750</v>
      </c>
      <c r="P2262" s="13">
        <f t="shared" si="71"/>
        <v>2740777</v>
      </c>
      <c r="Q2262" s="13">
        <f>SUMIFS(M:M,E:E,Online_eCommerce[[#This Row],[Status]])</f>
        <v>28620410</v>
      </c>
      <c r="R2262" s="13">
        <f>SUMIFS(L:L,H:H,Online_eCommerce[[#This Row],[Brand]])</f>
        <v>12435650</v>
      </c>
      <c r="S2262" s="13">
        <f>SUMIF(H:H,Online_eCommerce[[#This Row],[Brand]],M:M)</f>
        <v>16166345</v>
      </c>
      <c r="T2262" s="13">
        <f>SUMIF(N:N,Online_eCommerce[[#This Row],[Assigned Supervisor]],L:L)</f>
        <v>12100590</v>
      </c>
    </row>
    <row r="2263" spans="1:20" hidden="1" x14ac:dyDescent="0.3">
      <c r="A2263" t="s">
        <v>3412</v>
      </c>
      <c r="B2263" t="s">
        <v>235</v>
      </c>
      <c r="C2263" t="s">
        <v>193</v>
      </c>
      <c r="D2263" t="s">
        <v>3340</v>
      </c>
      <c r="E2263" t="s">
        <v>96</v>
      </c>
      <c r="F2263" t="s">
        <v>3055</v>
      </c>
      <c r="G2263" t="s">
        <v>40</v>
      </c>
      <c r="H2263" t="s">
        <v>21</v>
      </c>
      <c r="I2263">
        <v>2650</v>
      </c>
      <c r="J2263">
        <v>3445</v>
      </c>
      <c r="K2263">
        <v>4</v>
      </c>
      <c r="L2263">
        <v>10600</v>
      </c>
      <c r="M2263">
        <v>13780</v>
      </c>
      <c r="N2263" t="s">
        <v>56</v>
      </c>
      <c r="O2263">
        <f t="shared" si="70"/>
        <v>25545</v>
      </c>
      <c r="P2263" s="13">
        <f t="shared" si="71"/>
        <v>2074774</v>
      </c>
      <c r="Q2263" s="13">
        <f>SUMIFS(M:M,E:E,Online_eCommerce[[#This Row],[Status]])</f>
        <v>21233992</v>
      </c>
      <c r="R2263" s="13">
        <f>SUMIFS(L:L,H:H,Online_eCommerce[[#This Row],[Brand]])</f>
        <v>12435650</v>
      </c>
      <c r="S2263" s="13">
        <f>SUMIF(H:H,Online_eCommerce[[#This Row],[Brand]],M:M)</f>
        <v>16166345</v>
      </c>
      <c r="T2263" s="13">
        <f>SUMIF(N:N,Online_eCommerce[[#This Row],[Assigned Supervisor]],L:L)</f>
        <v>11733610</v>
      </c>
    </row>
    <row r="2264" spans="1:20" hidden="1" x14ac:dyDescent="0.3">
      <c r="A2264" t="s">
        <v>3413</v>
      </c>
      <c r="B2264" t="s">
        <v>235</v>
      </c>
      <c r="C2264" t="s">
        <v>197</v>
      </c>
      <c r="D2264" t="s">
        <v>3340</v>
      </c>
      <c r="E2264" t="s">
        <v>18</v>
      </c>
      <c r="F2264" t="s">
        <v>121</v>
      </c>
      <c r="G2264" t="s">
        <v>71</v>
      </c>
      <c r="H2264" t="s">
        <v>122</v>
      </c>
      <c r="I2264">
        <v>12550</v>
      </c>
      <c r="J2264">
        <v>16315</v>
      </c>
      <c r="K2264">
        <v>2</v>
      </c>
      <c r="L2264">
        <v>25100</v>
      </c>
      <c r="M2264">
        <v>32630</v>
      </c>
      <c r="N2264" t="s">
        <v>22</v>
      </c>
      <c r="O2264">
        <f t="shared" si="70"/>
        <v>9750</v>
      </c>
      <c r="P2264" s="13">
        <f t="shared" si="71"/>
        <v>2829840</v>
      </c>
      <c r="Q2264" s="13">
        <f>SUMIFS(M:M,E:E,Online_eCommerce[[#This Row],[Status]])</f>
        <v>28340455</v>
      </c>
      <c r="R2264" s="13">
        <f>SUMIFS(L:L,H:H,Online_eCommerce[[#This Row],[Brand]])</f>
        <v>5045100</v>
      </c>
      <c r="S2264" s="13">
        <f>SUMIF(H:H,Online_eCommerce[[#This Row],[Brand]],M:M)</f>
        <v>6558630</v>
      </c>
      <c r="T2264" s="13">
        <f>SUMIF(N:N,Online_eCommerce[[#This Row],[Assigned Supervisor]],L:L)</f>
        <v>13693220</v>
      </c>
    </row>
    <row r="2265" spans="1:20" hidden="1" x14ac:dyDescent="0.3">
      <c r="A2265" t="s">
        <v>3414</v>
      </c>
      <c r="B2265" t="s">
        <v>235</v>
      </c>
      <c r="C2265" t="s">
        <v>199</v>
      </c>
      <c r="D2265" t="s">
        <v>3340</v>
      </c>
      <c r="E2265" t="s">
        <v>161</v>
      </c>
      <c r="F2265" t="s">
        <v>126</v>
      </c>
      <c r="G2265" t="s">
        <v>26</v>
      </c>
      <c r="H2265" t="s">
        <v>27</v>
      </c>
      <c r="I2265">
        <v>14500</v>
      </c>
      <c r="J2265">
        <v>18850</v>
      </c>
      <c r="K2265">
        <v>3</v>
      </c>
      <c r="L2265">
        <v>43500</v>
      </c>
      <c r="M2265">
        <v>56550</v>
      </c>
      <c r="N2265" t="s">
        <v>22</v>
      </c>
      <c r="O2265">
        <f t="shared" si="70"/>
        <v>33150</v>
      </c>
      <c r="P2265" s="13">
        <f t="shared" si="71"/>
        <v>1947361</v>
      </c>
      <c r="Q2265" s="13">
        <f>SUMIFS(M:M,E:E,Online_eCommerce[[#This Row],[Status]])</f>
        <v>21103186</v>
      </c>
      <c r="R2265" s="13">
        <f>SUMIFS(L:L,H:H,Online_eCommerce[[#This Row],[Brand]])</f>
        <v>14431000</v>
      </c>
      <c r="S2265" s="13">
        <f>SUMIF(H:H,Online_eCommerce[[#This Row],[Brand]],M:M)</f>
        <v>18760300</v>
      </c>
      <c r="T2265" s="13">
        <f>SUMIF(N:N,Online_eCommerce[[#This Row],[Assigned Supervisor]],L:L)</f>
        <v>13693220</v>
      </c>
    </row>
    <row r="2266" spans="1:20" x14ac:dyDescent="0.3">
      <c r="A2266" t="s">
        <v>3415</v>
      </c>
      <c r="B2266" t="s">
        <v>235</v>
      </c>
      <c r="C2266" t="s">
        <v>203</v>
      </c>
      <c r="D2266" t="s">
        <v>3340</v>
      </c>
      <c r="E2266" t="s">
        <v>46</v>
      </c>
      <c r="F2266" t="s">
        <v>129</v>
      </c>
      <c r="G2266" t="s">
        <v>60</v>
      </c>
      <c r="H2266" t="s">
        <v>61</v>
      </c>
      <c r="I2266">
        <v>800</v>
      </c>
      <c r="J2266">
        <v>1040</v>
      </c>
      <c r="K2266">
        <v>3</v>
      </c>
      <c r="L2266">
        <v>2400</v>
      </c>
      <c r="M2266">
        <v>3120</v>
      </c>
      <c r="N2266" t="s">
        <v>28</v>
      </c>
      <c r="O2266">
        <f t="shared" si="70"/>
        <v>3315</v>
      </c>
      <c r="P2266" s="13">
        <f t="shared" si="71"/>
        <v>2559635</v>
      </c>
      <c r="Q2266" s="13">
        <f>SUMIFS(M:M,E:E,Online_eCommerce[[#This Row],[Status]])</f>
        <v>28620410</v>
      </c>
      <c r="R2266" s="13">
        <f>SUMIFS(L:L,H:H,Online_eCommerce[[#This Row],[Brand]])</f>
        <v>10950150</v>
      </c>
      <c r="S2266" s="13">
        <f>SUMIF(H:H,Online_eCommerce[[#This Row],[Brand]],M:M)</f>
        <v>14235195</v>
      </c>
      <c r="T2266" s="13">
        <f>SUMIF(N:N,Online_eCommerce[[#This Row],[Assigned Supervisor]],L:L)</f>
        <v>12220830</v>
      </c>
    </row>
    <row r="2267" spans="1:20" hidden="1" x14ac:dyDescent="0.3">
      <c r="A2267" t="s">
        <v>3416</v>
      </c>
      <c r="B2267" t="s">
        <v>235</v>
      </c>
      <c r="C2267" t="s">
        <v>205</v>
      </c>
      <c r="D2267" t="s">
        <v>3340</v>
      </c>
      <c r="E2267" t="s">
        <v>96</v>
      </c>
      <c r="F2267" t="s">
        <v>133</v>
      </c>
      <c r="G2267" t="s">
        <v>66</v>
      </c>
      <c r="H2267" t="s">
        <v>21</v>
      </c>
      <c r="I2267">
        <v>600</v>
      </c>
      <c r="J2267">
        <v>780</v>
      </c>
      <c r="K2267">
        <v>2</v>
      </c>
      <c r="L2267">
        <v>1200</v>
      </c>
      <c r="M2267">
        <v>1560</v>
      </c>
      <c r="N2267" t="s">
        <v>35</v>
      </c>
      <c r="O2267">
        <f t="shared" si="70"/>
        <v>1690</v>
      </c>
      <c r="P2267" s="13">
        <f t="shared" si="71"/>
        <v>1983254</v>
      </c>
      <c r="Q2267" s="13">
        <f>SUMIFS(M:M,E:E,Online_eCommerce[[#This Row],[Status]])</f>
        <v>21233992</v>
      </c>
      <c r="R2267" s="13">
        <f>SUMIFS(L:L,H:H,Online_eCommerce[[#This Row],[Brand]])</f>
        <v>12435650</v>
      </c>
      <c r="S2267" s="13">
        <f>SUMIF(H:H,Online_eCommerce[[#This Row],[Brand]],M:M)</f>
        <v>16166345</v>
      </c>
      <c r="T2267" s="13">
        <f>SUMIF(N:N,Online_eCommerce[[#This Row],[Assigned Supervisor]],L:L)</f>
        <v>14373360</v>
      </c>
    </row>
    <row r="2268" spans="1:20" hidden="1" x14ac:dyDescent="0.3">
      <c r="A2268" t="s">
        <v>3417</v>
      </c>
      <c r="B2268" t="s">
        <v>235</v>
      </c>
      <c r="C2268" t="s">
        <v>208</v>
      </c>
      <c r="D2268" t="s">
        <v>3340</v>
      </c>
      <c r="E2268" t="s">
        <v>18</v>
      </c>
      <c r="F2268" t="s">
        <v>137</v>
      </c>
      <c r="G2268" t="s">
        <v>71</v>
      </c>
      <c r="H2268" t="s">
        <v>61</v>
      </c>
      <c r="I2268">
        <v>10500</v>
      </c>
      <c r="J2268">
        <v>13650</v>
      </c>
      <c r="K2268">
        <v>4</v>
      </c>
      <c r="L2268">
        <v>42000</v>
      </c>
      <c r="M2268">
        <v>54600</v>
      </c>
      <c r="N2268" t="s">
        <v>42</v>
      </c>
      <c r="O2268">
        <f t="shared" si="70"/>
        <v>9750</v>
      </c>
      <c r="P2268" s="13">
        <f t="shared" si="71"/>
        <v>2746575</v>
      </c>
      <c r="Q2268" s="13">
        <f>SUMIFS(M:M,E:E,Online_eCommerce[[#This Row],[Status]])</f>
        <v>28340455</v>
      </c>
      <c r="R2268" s="13">
        <f>SUMIFS(L:L,H:H,Online_eCommerce[[#This Row],[Brand]])</f>
        <v>10950150</v>
      </c>
      <c r="S2268" s="13">
        <f>SUMIF(H:H,Online_eCommerce[[#This Row],[Brand]],M:M)</f>
        <v>14235195</v>
      </c>
      <c r="T2268" s="13">
        <f>SUMIF(N:N,Online_eCommerce[[#This Row],[Assigned Supervisor]],L:L)</f>
        <v>12261500</v>
      </c>
    </row>
    <row r="2269" spans="1:20" hidden="1" x14ac:dyDescent="0.3">
      <c r="A2269" t="s">
        <v>3418</v>
      </c>
      <c r="B2269" t="s">
        <v>235</v>
      </c>
      <c r="C2269" t="s">
        <v>211</v>
      </c>
      <c r="D2269" t="s">
        <v>3340</v>
      </c>
      <c r="E2269" t="s">
        <v>161</v>
      </c>
      <c r="F2269" t="s">
        <v>3389</v>
      </c>
      <c r="G2269" t="s">
        <v>77</v>
      </c>
      <c r="H2269" t="s">
        <v>142</v>
      </c>
      <c r="I2269">
        <v>6500</v>
      </c>
      <c r="J2269">
        <v>8450</v>
      </c>
      <c r="K2269">
        <v>2</v>
      </c>
      <c r="L2269">
        <v>13000</v>
      </c>
      <c r="M2269">
        <v>16900</v>
      </c>
      <c r="N2269" t="s">
        <v>50</v>
      </c>
      <c r="O2269">
        <f t="shared" si="70"/>
        <v>39000</v>
      </c>
      <c r="P2269" s="13">
        <f t="shared" si="71"/>
        <v>1809847</v>
      </c>
      <c r="Q2269" s="13">
        <f>SUMIFS(M:M,E:E,Online_eCommerce[[#This Row],[Status]])</f>
        <v>21103186</v>
      </c>
      <c r="R2269" s="13">
        <f>SUMIFS(L:L,H:H,Online_eCommerce[[#This Row],[Brand]])</f>
        <v>6192500</v>
      </c>
      <c r="S2269" s="13">
        <f>SUMIF(H:H,Online_eCommerce[[#This Row],[Brand]],M:M)</f>
        <v>8050250</v>
      </c>
      <c r="T2269" s="13">
        <f>SUMIF(N:N,Online_eCommerce[[#This Row],[Assigned Supervisor]],L:L)</f>
        <v>12100590</v>
      </c>
    </row>
    <row r="2270" spans="1:20" x14ac:dyDescent="0.3">
      <c r="A2270" t="s">
        <v>3419</v>
      </c>
      <c r="B2270" t="s">
        <v>235</v>
      </c>
      <c r="C2270" t="s">
        <v>16</v>
      </c>
      <c r="D2270" t="s">
        <v>3340</v>
      </c>
      <c r="E2270" t="s">
        <v>46</v>
      </c>
      <c r="F2270" t="s">
        <v>3420</v>
      </c>
      <c r="G2270" t="s">
        <v>20</v>
      </c>
      <c r="H2270" t="s">
        <v>21</v>
      </c>
      <c r="I2270">
        <v>4500</v>
      </c>
      <c r="J2270">
        <v>5850</v>
      </c>
      <c r="K2270">
        <v>3</v>
      </c>
      <c r="L2270">
        <v>13500</v>
      </c>
      <c r="M2270">
        <v>17550</v>
      </c>
      <c r="N2270" t="s">
        <v>56</v>
      </c>
      <c r="O2270">
        <f t="shared" si="70"/>
        <v>8450</v>
      </c>
      <c r="P2270" s="13">
        <f t="shared" si="71"/>
        <v>2751814</v>
      </c>
      <c r="Q2270" s="13">
        <f>SUMIFS(M:M,E:E,Online_eCommerce[[#This Row],[Status]])</f>
        <v>28620410</v>
      </c>
      <c r="R2270" s="13">
        <f>SUMIFS(L:L,H:H,Online_eCommerce[[#This Row],[Brand]])</f>
        <v>12435650</v>
      </c>
      <c r="S2270" s="13">
        <f>SUMIF(H:H,Online_eCommerce[[#This Row],[Brand]],M:M)</f>
        <v>16166345</v>
      </c>
      <c r="T2270" s="13">
        <f>SUMIF(N:N,Online_eCommerce[[#This Row],[Assigned Supervisor]],L:L)</f>
        <v>11733610</v>
      </c>
    </row>
    <row r="2271" spans="1:20" hidden="1" x14ac:dyDescent="0.3">
      <c r="A2271" t="s">
        <v>3421</v>
      </c>
      <c r="B2271" t="s">
        <v>235</v>
      </c>
      <c r="C2271" t="s">
        <v>24</v>
      </c>
      <c r="D2271" t="s">
        <v>3340</v>
      </c>
      <c r="E2271" t="s">
        <v>96</v>
      </c>
      <c r="F2271" t="s">
        <v>152</v>
      </c>
      <c r="G2271" t="s">
        <v>26</v>
      </c>
      <c r="H2271" t="s">
        <v>27</v>
      </c>
      <c r="I2271">
        <v>8500</v>
      </c>
      <c r="J2271">
        <v>11050</v>
      </c>
      <c r="K2271">
        <v>3</v>
      </c>
      <c r="L2271">
        <v>25500</v>
      </c>
      <c r="M2271">
        <v>33150</v>
      </c>
      <c r="N2271" t="s">
        <v>22</v>
      </c>
      <c r="O2271">
        <f t="shared" si="70"/>
        <v>33150</v>
      </c>
      <c r="P2271" s="13">
        <f t="shared" si="71"/>
        <v>2009540</v>
      </c>
      <c r="Q2271" s="13">
        <f>SUMIFS(M:M,E:E,Online_eCommerce[[#This Row],[Status]])</f>
        <v>21233992</v>
      </c>
      <c r="R2271" s="13">
        <f>SUMIFS(L:L,H:H,Online_eCommerce[[#This Row],[Brand]])</f>
        <v>14431000</v>
      </c>
      <c r="S2271" s="13">
        <f>SUMIF(H:H,Online_eCommerce[[#This Row],[Brand]],M:M)</f>
        <v>18760300</v>
      </c>
      <c r="T2271" s="13">
        <f>SUMIF(N:N,Online_eCommerce[[#This Row],[Assigned Supervisor]],L:L)</f>
        <v>13693220</v>
      </c>
    </row>
    <row r="2272" spans="1:20" hidden="1" x14ac:dyDescent="0.3">
      <c r="A2272" t="s">
        <v>3422</v>
      </c>
      <c r="B2272" t="s">
        <v>235</v>
      </c>
      <c r="C2272" t="s">
        <v>31</v>
      </c>
      <c r="D2272" t="s">
        <v>3340</v>
      </c>
      <c r="E2272" t="s">
        <v>18</v>
      </c>
      <c r="F2272" t="s">
        <v>157</v>
      </c>
      <c r="G2272" t="s">
        <v>33</v>
      </c>
      <c r="H2272" t="s">
        <v>34</v>
      </c>
      <c r="I2272">
        <v>12500</v>
      </c>
      <c r="J2272">
        <v>16250</v>
      </c>
      <c r="K2272">
        <v>4</v>
      </c>
      <c r="L2272">
        <v>50000</v>
      </c>
      <c r="M2272">
        <v>65000</v>
      </c>
      <c r="N2272" t="s">
        <v>28</v>
      </c>
      <c r="O2272">
        <f t="shared" si="70"/>
        <v>18200</v>
      </c>
      <c r="P2272" s="13">
        <f t="shared" si="71"/>
        <v>2865746</v>
      </c>
      <c r="Q2272" s="13">
        <f>SUMIFS(M:M,E:E,Online_eCommerce[[#This Row],[Status]])</f>
        <v>28340455</v>
      </c>
      <c r="R2272" s="13">
        <f>SUMIFS(L:L,H:H,Online_eCommerce[[#This Row],[Brand]])</f>
        <v>10087000</v>
      </c>
      <c r="S2272" s="13">
        <f>SUMIF(H:H,Online_eCommerce[[#This Row],[Brand]],M:M)</f>
        <v>13113100</v>
      </c>
      <c r="T2272" s="13">
        <f>SUMIF(N:N,Online_eCommerce[[#This Row],[Assigned Supervisor]],L:L)</f>
        <v>12220830</v>
      </c>
    </row>
    <row r="2273" spans="1:20" hidden="1" x14ac:dyDescent="0.3">
      <c r="A2273" t="s">
        <v>3423</v>
      </c>
      <c r="B2273" t="s">
        <v>235</v>
      </c>
      <c r="C2273" t="s">
        <v>38</v>
      </c>
      <c r="D2273" t="s">
        <v>3340</v>
      </c>
      <c r="E2273" t="s">
        <v>161</v>
      </c>
      <c r="F2273" t="s">
        <v>3098</v>
      </c>
      <c r="G2273" t="s">
        <v>163</v>
      </c>
      <c r="H2273" t="s">
        <v>41</v>
      </c>
      <c r="I2273">
        <v>3500</v>
      </c>
      <c r="J2273">
        <v>4550</v>
      </c>
      <c r="K2273">
        <v>1</v>
      </c>
      <c r="L2273">
        <v>3500</v>
      </c>
      <c r="M2273">
        <v>4550</v>
      </c>
      <c r="N2273" t="s">
        <v>35</v>
      </c>
      <c r="O2273">
        <f t="shared" si="70"/>
        <v>13650</v>
      </c>
      <c r="P2273" s="13">
        <f t="shared" si="71"/>
        <v>1933997</v>
      </c>
      <c r="Q2273" s="13">
        <f>SUMIFS(M:M,E:E,Online_eCommerce[[#This Row],[Status]])</f>
        <v>21103186</v>
      </c>
      <c r="R2273" s="13">
        <f>SUMIFS(L:L,H:H,Online_eCommerce[[#This Row],[Brand]])</f>
        <v>4260400</v>
      </c>
      <c r="S2273" s="13">
        <f>SUMIF(H:H,Online_eCommerce[[#This Row],[Brand]],M:M)</f>
        <v>5538520</v>
      </c>
      <c r="T2273" s="13">
        <f>SUMIF(N:N,Online_eCommerce[[#This Row],[Assigned Supervisor]],L:L)</f>
        <v>14373360</v>
      </c>
    </row>
    <row r="2274" spans="1:20" x14ac:dyDescent="0.3">
      <c r="A2274" t="s">
        <v>3424</v>
      </c>
      <c r="B2274" t="s">
        <v>235</v>
      </c>
      <c r="C2274" t="s">
        <v>45</v>
      </c>
      <c r="D2274" t="s">
        <v>3340</v>
      </c>
      <c r="E2274" t="s">
        <v>46</v>
      </c>
      <c r="F2274" t="s">
        <v>166</v>
      </c>
      <c r="G2274" t="s">
        <v>66</v>
      </c>
      <c r="H2274" t="s">
        <v>49</v>
      </c>
      <c r="I2274">
        <v>4500</v>
      </c>
      <c r="J2274">
        <v>5850</v>
      </c>
      <c r="K2274">
        <v>1</v>
      </c>
      <c r="L2274">
        <v>4500</v>
      </c>
      <c r="M2274">
        <v>5850</v>
      </c>
      <c r="N2274" t="s">
        <v>42</v>
      </c>
      <c r="O2274">
        <f t="shared" si="70"/>
        <v>1690</v>
      </c>
      <c r="P2274" s="13">
        <f t="shared" si="71"/>
        <v>2842554</v>
      </c>
      <c r="Q2274" s="13">
        <f>SUMIFS(M:M,E:E,Online_eCommerce[[#This Row],[Status]])</f>
        <v>28620410</v>
      </c>
      <c r="R2274" s="13">
        <f>SUMIFS(L:L,H:H,Online_eCommerce[[#This Row],[Brand]])</f>
        <v>4528350</v>
      </c>
      <c r="S2274" s="13">
        <f>SUMIF(H:H,Online_eCommerce[[#This Row],[Brand]],M:M)</f>
        <v>5886855</v>
      </c>
      <c r="T2274" s="13">
        <f>SUMIF(N:N,Online_eCommerce[[#This Row],[Assigned Supervisor]],L:L)</f>
        <v>12261500</v>
      </c>
    </row>
    <row r="2275" spans="1:20" hidden="1" x14ac:dyDescent="0.3">
      <c r="A2275" t="s">
        <v>3425</v>
      </c>
      <c r="B2275" t="s">
        <v>235</v>
      </c>
      <c r="C2275" t="s">
        <v>52</v>
      </c>
      <c r="D2275" t="s">
        <v>3340</v>
      </c>
      <c r="E2275" t="s">
        <v>96</v>
      </c>
      <c r="F2275" t="s">
        <v>3426</v>
      </c>
      <c r="G2275" t="s">
        <v>54</v>
      </c>
      <c r="H2275" t="s">
        <v>55</v>
      </c>
      <c r="I2275">
        <v>2100</v>
      </c>
      <c r="J2275">
        <v>2730</v>
      </c>
      <c r="K2275">
        <v>4</v>
      </c>
      <c r="L2275">
        <v>8400</v>
      </c>
      <c r="M2275">
        <v>10920</v>
      </c>
      <c r="N2275" t="s">
        <v>50</v>
      </c>
      <c r="O2275">
        <f t="shared" si="70"/>
        <v>2990</v>
      </c>
      <c r="P2275" s="13">
        <f t="shared" si="71"/>
        <v>1955044</v>
      </c>
      <c r="Q2275" s="13">
        <f>SUMIFS(M:M,E:E,Online_eCommerce[[#This Row],[Status]])</f>
        <v>21233992</v>
      </c>
      <c r="R2275" s="13">
        <f>SUMIFS(L:L,H:H,Online_eCommerce[[#This Row],[Brand]])</f>
        <v>2267380</v>
      </c>
      <c r="S2275" s="13">
        <f>SUMIF(H:H,Online_eCommerce[[#This Row],[Brand]],M:M)</f>
        <v>2947594</v>
      </c>
      <c r="T2275" s="13">
        <f>SUMIF(N:N,Online_eCommerce[[#This Row],[Assigned Supervisor]],L:L)</f>
        <v>12100590</v>
      </c>
    </row>
    <row r="2276" spans="1:20" hidden="1" x14ac:dyDescent="0.3">
      <c r="A2276" t="s">
        <v>3427</v>
      </c>
      <c r="B2276" t="s">
        <v>235</v>
      </c>
      <c r="C2276" t="s">
        <v>58</v>
      </c>
      <c r="D2276" t="s">
        <v>3340</v>
      </c>
      <c r="E2276" t="s">
        <v>18</v>
      </c>
      <c r="F2276" t="s">
        <v>174</v>
      </c>
      <c r="G2276" t="s">
        <v>60</v>
      </c>
      <c r="H2276" t="s">
        <v>61</v>
      </c>
      <c r="I2276">
        <v>1150</v>
      </c>
      <c r="J2276">
        <v>1495</v>
      </c>
      <c r="K2276">
        <v>1</v>
      </c>
      <c r="L2276">
        <v>1150</v>
      </c>
      <c r="M2276">
        <v>1495</v>
      </c>
      <c r="N2276" t="s">
        <v>56</v>
      </c>
      <c r="O2276">
        <f t="shared" si="70"/>
        <v>3315</v>
      </c>
      <c r="P2276" s="13">
        <f t="shared" si="71"/>
        <v>2629211</v>
      </c>
      <c r="Q2276" s="13">
        <f>SUMIFS(M:M,E:E,Online_eCommerce[[#This Row],[Status]])</f>
        <v>28340455</v>
      </c>
      <c r="R2276" s="13">
        <f>SUMIFS(L:L,H:H,Online_eCommerce[[#This Row],[Brand]])</f>
        <v>10950150</v>
      </c>
      <c r="S2276" s="13">
        <f>SUMIF(H:H,Online_eCommerce[[#This Row],[Brand]],M:M)</f>
        <v>14235195</v>
      </c>
      <c r="T2276" s="13">
        <f>SUMIF(N:N,Online_eCommerce[[#This Row],[Assigned Supervisor]],L:L)</f>
        <v>11733610</v>
      </c>
    </row>
    <row r="2277" spans="1:20" hidden="1" x14ac:dyDescent="0.3">
      <c r="A2277" t="s">
        <v>3428</v>
      </c>
      <c r="B2277" t="s">
        <v>235</v>
      </c>
      <c r="C2277" t="s">
        <v>63</v>
      </c>
      <c r="D2277" t="s">
        <v>3340</v>
      </c>
      <c r="E2277" t="s">
        <v>161</v>
      </c>
      <c r="F2277" t="s">
        <v>179</v>
      </c>
      <c r="G2277" t="s">
        <v>66</v>
      </c>
      <c r="H2277" t="s">
        <v>21</v>
      </c>
      <c r="I2277">
        <v>350</v>
      </c>
      <c r="J2277">
        <v>455</v>
      </c>
      <c r="K2277">
        <v>4</v>
      </c>
      <c r="L2277">
        <v>1400</v>
      </c>
      <c r="M2277">
        <v>1820</v>
      </c>
      <c r="N2277" t="s">
        <v>22</v>
      </c>
      <c r="O2277">
        <f t="shared" si="70"/>
        <v>1690</v>
      </c>
      <c r="P2277" s="13">
        <f t="shared" si="71"/>
        <v>2016131</v>
      </c>
      <c r="Q2277" s="13">
        <f>SUMIFS(M:M,E:E,Online_eCommerce[[#This Row],[Status]])</f>
        <v>21103186</v>
      </c>
      <c r="R2277" s="13">
        <f>SUMIFS(L:L,H:H,Online_eCommerce[[#This Row],[Brand]])</f>
        <v>12435650</v>
      </c>
      <c r="S2277" s="13">
        <f>SUMIF(H:H,Online_eCommerce[[#This Row],[Brand]],M:M)</f>
        <v>16166345</v>
      </c>
      <c r="T2277" s="13">
        <f>SUMIF(N:N,Online_eCommerce[[#This Row],[Assigned Supervisor]],L:L)</f>
        <v>13693220</v>
      </c>
    </row>
    <row r="2278" spans="1:20" x14ac:dyDescent="0.3">
      <c r="A2278" t="s">
        <v>3429</v>
      </c>
      <c r="B2278" t="s">
        <v>235</v>
      </c>
      <c r="C2278" t="s">
        <v>68</v>
      </c>
      <c r="D2278" t="s">
        <v>3340</v>
      </c>
      <c r="E2278" t="s">
        <v>46</v>
      </c>
      <c r="F2278" t="s">
        <v>183</v>
      </c>
      <c r="G2278" t="s">
        <v>71</v>
      </c>
      <c r="H2278" t="s">
        <v>61</v>
      </c>
      <c r="I2278">
        <v>9500</v>
      </c>
      <c r="J2278">
        <v>12350</v>
      </c>
      <c r="K2278">
        <v>1</v>
      </c>
      <c r="L2278">
        <v>9500</v>
      </c>
      <c r="M2278">
        <v>12350</v>
      </c>
      <c r="N2278" t="s">
        <v>28</v>
      </c>
      <c r="O2278">
        <f t="shared" si="70"/>
        <v>9750</v>
      </c>
      <c r="P2278" s="13">
        <f t="shared" si="71"/>
        <v>2974621</v>
      </c>
      <c r="Q2278" s="13">
        <f>SUMIFS(M:M,E:E,Online_eCommerce[[#This Row],[Status]])</f>
        <v>28620410</v>
      </c>
      <c r="R2278" s="13">
        <f>SUMIFS(L:L,H:H,Online_eCommerce[[#This Row],[Brand]])</f>
        <v>10950150</v>
      </c>
      <c r="S2278" s="13">
        <f>SUMIF(H:H,Online_eCommerce[[#This Row],[Brand]],M:M)</f>
        <v>14235195</v>
      </c>
      <c r="T2278" s="13">
        <f>SUMIF(N:N,Online_eCommerce[[#This Row],[Assigned Supervisor]],L:L)</f>
        <v>12220830</v>
      </c>
    </row>
    <row r="2279" spans="1:20" hidden="1" x14ac:dyDescent="0.3">
      <c r="A2279" t="s">
        <v>3430</v>
      </c>
      <c r="B2279" t="s">
        <v>235</v>
      </c>
      <c r="C2279" t="s">
        <v>74</v>
      </c>
      <c r="D2279" t="s">
        <v>3340</v>
      </c>
      <c r="E2279" t="s">
        <v>96</v>
      </c>
      <c r="F2279" t="s">
        <v>3431</v>
      </c>
      <c r="G2279" t="s">
        <v>77</v>
      </c>
      <c r="H2279" t="s">
        <v>142</v>
      </c>
      <c r="I2279">
        <v>10000</v>
      </c>
      <c r="J2279">
        <v>13000</v>
      </c>
      <c r="K2279">
        <v>3</v>
      </c>
      <c r="L2279">
        <v>30000</v>
      </c>
      <c r="M2279">
        <v>39000</v>
      </c>
      <c r="N2279" t="s">
        <v>35</v>
      </c>
      <c r="O2279">
        <f t="shared" si="70"/>
        <v>39000</v>
      </c>
      <c r="P2279" s="13">
        <f t="shared" si="71"/>
        <v>2144701</v>
      </c>
      <c r="Q2279" s="13">
        <f>SUMIFS(M:M,E:E,Online_eCommerce[[#This Row],[Status]])</f>
        <v>21233992</v>
      </c>
      <c r="R2279" s="13">
        <f>SUMIFS(L:L,H:H,Online_eCommerce[[#This Row],[Brand]])</f>
        <v>6192500</v>
      </c>
      <c r="S2279" s="13">
        <f>SUMIF(H:H,Online_eCommerce[[#This Row],[Brand]],M:M)</f>
        <v>8050250</v>
      </c>
      <c r="T2279" s="13">
        <f>SUMIF(N:N,Online_eCommerce[[#This Row],[Assigned Supervisor]],L:L)</f>
        <v>14373360</v>
      </c>
    </row>
    <row r="2280" spans="1:20" hidden="1" x14ac:dyDescent="0.3">
      <c r="A2280" t="s">
        <v>3432</v>
      </c>
      <c r="B2280" t="s">
        <v>235</v>
      </c>
      <c r="C2280" t="s">
        <v>81</v>
      </c>
      <c r="D2280" t="s">
        <v>3340</v>
      </c>
      <c r="E2280" t="s">
        <v>18</v>
      </c>
      <c r="F2280" t="s">
        <v>3433</v>
      </c>
      <c r="G2280" t="s">
        <v>20</v>
      </c>
      <c r="H2280" t="s">
        <v>21</v>
      </c>
      <c r="I2280">
        <v>6500</v>
      </c>
      <c r="J2280">
        <v>8450</v>
      </c>
      <c r="K2280">
        <v>3</v>
      </c>
      <c r="L2280">
        <v>19500</v>
      </c>
      <c r="M2280">
        <v>25350</v>
      </c>
      <c r="N2280" t="s">
        <v>42</v>
      </c>
      <c r="O2280">
        <f t="shared" si="70"/>
        <v>8450</v>
      </c>
      <c r="P2280" s="13">
        <f t="shared" si="71"/>
        <v>2595632</v>
      </c>
      <c r="Q2280" s="13">
        <f>SUMIFS(M:M,E:E,Online_eCommerce[[#This Row],[Status]])</f>
        <v>28340455</v>
      </c>
      <c r="R2280" s="13">
        <f>SUMIFS(L:L,H:H,Online_eCommerce[[#This Row],[Brand]])</f>
        <v>12435650</v>
      </c>
      <c r="S2280" s="13">
        <f>SUMIF(H:H,Online_eCommerce[[#This Row],[Brand]],M:M)</f>
        <v>16166345</v>
      </c>
      <c r="T2280" s="13">
        <f>SUMIF(N:N,Online_eCommerce[[#This Row],[Assigned Supervisor]],L:L)</f>
        <v>12261500</v>
      </c>
    </row>
    <row r="2281" spans="1:20" hidden="1" x14ac:dyDescent="0.3">
      <c r="A2281" t="s">
        <v>3434</v>
      </c>
      <c r="B2281" t="s">
        <v>235</v>
      </c>
      <c r="C2281" t="s">
        <v>86</v>
      </c>
      <c r="D2281" t="s">
        <v>3340</v>
      </c>
      <c r="E2281" t="s">
        <v>161</v>
      </c>
      <c r="F2281" t="s">
        <v>3435</v>
      </c>
      <c r="G2281" t="s">
        <v>26</v>
      </c>
      <c r="H2281" t="s">
        <v>27</v>
      </c>
      <c r="I2281">
        <v>8500</v>
      </c>
      <c r="J2281">
        <v>11050</v>
      </c>
      <c r="K2281">
        <v>2</v>
      </c>
      <c r="L2281">
        <v>17000</v>
      </c>
      <c r="M2281">
        <v>22100</v>
      </c>
      <c r="N2281" t="s">
        <v>50</v>
      </c>
      <c r="O2281">
        <f t="shared" si="70"/>
        <v>33150</v>
      </c>
      <c r="P2281" s="13">
        <f t="shared" si="71"/>
        <v>1941225</v>
      </c>
      <c r="Q2281" s="13">
        <f>SUMIFS(M:M,E:E,Online_eCommerce[[#This Row],[Status]])</f>
        <v>21103186</v>
      </c>
      <c r="R2281" s="13">
        <f>SUMIFS(L:L,H:H,Online_eCommerce[[#This Row],[Brand]])</f>
        <v>14431000</v>
      </c>
      <c r="S2281" s="13">
        <f>SUMIF(H:H,Online_eCommerce[[#This Row],[Brand]],M:M)</f>
        <v>18760300</v>
      </c>
      <c r="T2281" s="13">
        <f>SUMIF(N:N,Online_eCommerce[[#This Row],[Assigned Supervisor]],L:L)</f>
        <v>12100590</v>
      </c>
    </row>
    <row r="2282" spans="1:20" x14ac:dyDescent="0.3">
      <c r="A2282" t="s">
        <v>3436</v>
      </c>
      <c r="B2282" t="s">
        <v>235</v>
      </c>
      <c r="C2282" t="s">
        <v>91</v>
      </c>
      <c r="D2282" t="s">
        <v>3340</v>
      </c>
      <c r="E2282" t="s">
        <v>46</v>
      </c>
      <c r="F2282" t="s">
        <v>32</v>
      </c>
      <c r="G2282" t="s">
        <v>33</v>
      </c>
      <c r="H2282" t="s">
        <v>34</v>
      </c>
      <c r="I2282">
        <v>7000</v>
      </c>
      <c r="J2282">
        <v>9100</v>
      </c>
      <c r="K2282">
        <v>1</v>
      </c>
      <c r="L2282">
        <v>7000</v>
      </c>
      <c r="M2282">
        <v>9100</v>
      </c>
      <c r="N2282" t="s">
        <v>56</v>
      </c>
      <c r="O2282">
        <f t="shared" si="70"/>
        <v>18200</v>
      </c>
      <c r="P2282" s="13">
        <f t="shared" si="71"/>
        <v>2731963</v>
      </c>
      <c r="Q2282" s="13">
        <f>SUMIFS(M:M,E:E,Online_eCommerce[[#This Row],[Status]])</f>
        <v>28620410</v>
      </c>
      <c r="R2282" s="13">
        <f>SUMIFS(L:L,H:H,Online_eCommerce[[#This Row],[Brand]])</f>
        <v>10087000</v>
      </c>
      <c r="S2282" s="13">
        <f>SUMIF(H:H,Online_eCommerce[[#This Row],[Brand]],M:M)</f>
        <v>13113100</v>
      </c>
      <c r="T2282" s="13">
        <f>SUMIF(N:N,Online_eCommerce[[#This Row],[Assigned Supervisor]],L:L)</f>
        <v>11733610</v>
      </c>
    </row>
    <row r="2283" spans="1:20" hidden="1" x14ac:dyDescent="0.3">
      <c r="A2283" t="s">
        <v>3437</v>
      </c>
      <c r="B2283" t="s">
        <v>235</v>
      </c>
      <c r="C2283" t="s">
        <v>94</v>
      </c>
      <c r="D2283" t="s">
        <v>3340</v>
      </c>
      <c r="E2283" t="s">
        <v>96</v>
      </c>
      <c r="F2283" t="s">
        <v>3438</v>
      </c>
      <c r="G2283" t="s">
        <v>163</v>
      </c>
      <c r="H2283" t="s">
        <v>41</v>
      </c>
      <c r="I2283">
        <v>6550</v>
      </c>
      <c r="J2283">
        <v>8515</v>
      </c>
      <c r="K2283">
        <v>3</v>
      </c>
      <c r="L2283">
        <v>19650</v>
      </c>
      <c r="M2283">
        <v>25545</v>
      </c>
      <c r="N2283" t="s">
        <v>22</v>
      </c>
      <c r="O2283">
        <f t="shared" si="70"/>
        <v>13650</v>
      </c>
      <c r="P2283" s="13">
        <f t="shared" si="71"/>
        <v>1868256</v>
      </c>
      <c r="Q2283" s="13">
        <f>SUMIFS(M:M,E:E,Online_eCommerce[[#This Row],[Status]])</f>
        <v>21233992</v>
      </c>
      <c r="R2283" s="13">
        <f>SUMIFS(L:L,H:H,Online_eCommerce[[#This Row],[Brand]])</f>
        <v>4260400</v>
      </c>
      <c r="S2283" s="13">
        <f>SUMIF(H:H,Online_eCommerce[[#This Row],[Brand]],M:M)</f>
        <v>5538520</v>
      </c>
      <c r="T2283" s="13">
        <f>SUMIF(N:N,Online_eCommerce[[#This Row],[Assigned Supervisor]],L:L)</f>
        <v>13693220</v>
      </c>
    </row>
    <row r="2284" spans="1:20" hidden="1" x14ac:dyDescent="0.3">
      <c r="A2284" t="s">
        <v>3439</v>
      </c>
      <c r="B2284" t="s">
        <v>235</v>
      </c>
      <c r="C2284" t="s">
        <v>99</v>
      </c>
      <c r="D2284" t="s">
        <v>3340</v>
      </c>
      <c r="E2284" t="s">
        <v>18</v>
      </c>
      <c r="F2284" t="s">
        <v>47</v>
      </c>
      <c r="G2284" t="s">
        <v>66</v>
      </c>
      <c r="H2284" t="s">
        <v>49</v>
      </c>
      <c r="I2284">
        <v>7650</v>
      </c>
      <c r="J2284">
        <v>9945</v>
      </c>
      <c r="K2284">
        <v>1</v>
      </c>
      <c r="L2284">
        <v>7650</v>
      </c>
      <c r="M2284">
        <v>9945</v>
      </c>
      <c r="N2284" t="s">
        <v>28</v>
      </c>
      <c r="O2284">
        <f t="shared" si="70"/>
        <v>1690</v>
      </c>
      <c r="P2284" s="13">
        <f t="shared" si="71"/>
        <v>2651233</v>
      </c>
      <c r="Q2284" s="13">
        <f>SUMIFS(M:M,E:E,Online_eCommerce[[#This Row],[Status]])</f>
        <v>28340455</v>
      </c>
      <c r="R2284" s="13">
        <f>SUMIFS(L:L,H:H,Online_eCommerce[[#This Row],[Brand]])</f>
        <v>4528350</v>
      </c>
      <c r="S2284" s="13">
        <f>SUMIF(H:H,Online_eCommerce[[#This Row],[Brand]],M:M)</f>
        <v>5886855</v>
      </c>
      <c r="T2284" s="13">
        <f>SUMIF(N:N,Online_eCommerce[[#This Row],[Assigned Supervisor]],L:L)</f>
        <v>12220830</v>
      </c>
    </row>
    <row r="2285" spans="1:20" hidden="1" x14ac:dyDescent="0.3">
      <c r="A2285" t="s">
        <v>3440</v>
      </c>
      <c r="B2285" t="s">
        <v>235</v>
      </c>
      <c r="C2285" t="s">
        <v>105</v>
      </c>
      <c r="D2285" t="s">
        <v>3340</v>
      </c>
      <c r="E2285" t="s">
        <v>161</v>
      </c>
      <c r="F2285" t="s">
        <v>53</v>
      </c>
      <c r="G2285" t="s">
        <v>54</v>
      </c>
      <c r="H2285" t="s">
        <v>55</v>
      </c>
      <c r="I2285">
        <v>1150</v>
      </c>
      <c r="J2285">
        <v>1495</v>
      </c>
      <c r="K2285">
        <v>4</v>
      </c>
      <c r="L2285">
        <v>4600</v>
      </c>
      <c r="M2285">
        <v>5980</v>
      </c>
      <c r="N2285" t="s">
        <v>35</v>
      </c>
      <c r="O2285">
        <f t="shared" si="70"/>
        <v>2990</v>
      </c>
      <c r="P2285" s="13">
        <f t="shared" si="71"/>
        <v>1866852</v>
      </c>
      <c r="Q2285" s="13">
        <f>SUMIFS(M:M,E:E,Online_eCommerce[[#This Row],[Status]])</f>
        <v>21103186</v>
      </c>
      <c r="R2285" s="13">
        <f>SUMIFS(L:L,H:H,Online_eCommerce[[#This Row],[Brand]])</f>
        <v>2267380</v>
      </c>
      <c r="S2285" s="13">
        <f>SUMIF(H:H,Online_eCommerce[[#This Row],[Brand]],M:M)</f>
        <v>2947594</v>
      </c>
      <c r="T2285" s="13">
        <f>SUMIF(N:N,Online_eCommerce[[#This Row],[Assigned Supervisor]],L:L)</f>
        <v>14373360</v>
      </c>
    </row>
    <row r="2286" spans="1:20" x14ac:dyDescent="0.3">
      <c r="A2286" t="s">
        <v>3441</v>
      </c>
      <c r="B2286" t="s">
        <v>235</v>
      </c>
      <c r="C2286" t="s">
        <v>110</v>
      </c>
      <c r="D2286" t="s">
        <v>3340</v>
      </c>
      <c r="E2286" t="s">
        <v>46</v>
      </c>
      <c r="F2286" t="s">
        <v>59</v>
      </c>
      <c r="G2286" t="s">
        <v>60</v>
      </c>
      <c r="H2286" t="s">
        <v>61</v>
      </c>
      <c r="I2286">
        <v>850</v>
      </c>
      <c r="J2286">
        <v>1105</v>
      </c>
      <c r="K2286">
        <v>1</v>
      </c>
      <c r="L2286">
        <v>850</v>
      </c>
      <c r="M2286">
        <v>1105</v>
      </c>
      <c r="N2286" t="s">
        <v>42</v>
      </c>
      <c r="O2286">
        <f t="shared" si="70"/>
        <v>3315</v>
      </c>
      <c r="P2286" s="13">
        <f t="shared" si="71"/>
        <v>2598635</v>
      </c>
      <c r="Q2286" s="13">
        <f>SUMIFS(M:M,E:E,Online_eCommerce[[#This Row],[Status]])</f>
        <v>28620410</v>
      </c>
      <c r="R2286" s="13">
        <f>SUMIFS(L:L,H:H,Online_eCommerce[[#This Row],[Brand]])</f>
        <v>10950150</v>
      </c>
      <c r="S2286" s="13">
        <f>SUMIF(H:H,Online_eCommerce[[#This Row],[Brand]],M:M)</f>
        <v>14235195</v>
      </c>
      <c r="T2286" s="13">
        <f>SUMIF(N:N,Online_eCommerce[[#This Row],[Assigned Supervisor]],L:L)</f>
        <v>12261500</v>
      </c>
    </row>
    <row r="2287" spans="1:20" hidden="1" x14ac:dyDescent="0.3">
      <c r="A2287" t="s">
        <v>3442</v>
      </c>
      <c r="B2287" t="s">
        <v>235</v>
      </c>
      <c r="C2287" t="s">
        <v>115</v>
      </c>
      <c r="D2287" t="s">
        <v>3340</v>
      </c>
      <c r="E2287" t="s">
        <v>96</v>
      </c>
      <c r="F2287" t="s">
        <v>65</v>
      </c>
      <c r="G2287" t="s">
        <v>66</v>
      </c>
      <c r="H2287" t="s">
        <v>21</v>
      </c>
      <c r="I2287">
        <v>650</v>
      </c>
      <c r="J2287">
        <v>845</v>
      </c>
      <c r="K2287">
        <v>3</v>
      </c>
      <c r="L2287">
        <v>1950</v>
      </c>
      <c r="M2287">
        <v>2535</v>
      </c>
      <c r="N2287" t="s">
        <v>50</v>
      </c>
      <c r="O2287">
        <f t="shared" si="70"/>
        <v>1690</v>
      </c>
      <c r="P2287" s="13">
        <f t="shared" si="71"/>
        <v>2050178</v>
      </c>
      <c r="Q2287" s="13">
        <f>SUMIFS(M:M,E:E,Online_eCommerce[[#This Row],[Status]])</f>
        <v>21233992</v>
      </c>
      <c r="R2287" s="13">
        <f>SUMIFS(L:L,H:H,Online_eCommerce[[#This Row],[Brand]])</f>
        <v>12435650</v>
      </c>
      <c r="S2287" s="13">
        <f>SUMIF(H:H,Online_eCommerce[[#This Row],[Brand]],M:M)</f>
        <v>16166345</v>
      </c>
      <c r="T2287" s="13">
        <f>SUMIF(N:N,Online_eCommerce[[#This Row],[Assigned Supervisor]],L:L)</f>
        <v>12100590</v>
      </c>
    </row>
    <row r="2288" spans="1:20" hidden="1" x14ac:dyDescent="0.3">
      <c r="A2288" t="s">
        <v>3443</v>
      </c>
      <c r="B2288" t="s">
        <v>235</v>
      </c>
      <c r="C2288" t="s">
        <v>120</v>
      </c>
      <c r="D2288" t="s">
        <v>3340</v>
      </c>
      <c r="E2288" t="s">
        <v>18</v>
      </c>
      <c r="F2288" t="s">
        <v>70</v>
      </c>
      <c r="G2288" t="s">
        <v>71</v>
      </c>
      <c r="H2288" t="s">
        <v>61</v>
      </c>
      <c r="I2288">
        <v>7500</v>
      </c>
      <c r="J2288">
        <v>9750</v>
      </c>
      <c r="K2288">
        <v>2</v>
      </c>
      <c r="L2288">
        <v>15000</v>
      </c>
      <c r="M2288">
        <v>19500</v>
      </c>
      <c r="N2288" t="s">
        <v>56</v>
      </c>
      <c r="O2288">
        <f t="shared" si="70"/>
        <v>9750</v>
      </c>
      <c r="P2288" s="13">
        <f t="shared" si="71"/>
        <v>2734212</v>
      </c>
      <c r="Q2288" s="13">
        <f>SUMIFS(M:M,E:E,Online_eCommerce[[#This Row],[Status]])</f>
        <v>28340455</v>
      </c>
      <c r="R2288" s="13">
        <f>SUMIFS(L:L,H:H,Online_eCommerce[[#This Row],[Brand]])</f>
        <v>10950150</v>
      </c>
      <c r="S2288" s="13">
        <f>SUMIF(H:H,Online_eCommerce[[#This Row],[Brand]],M:M)</f>
        <v>14235195</v>
      </c>
      <c r="T2288" s="13">
        <f>SUMIF(N:N,Online_eCommerce[[#This Row],[Assigned Supervisor]],L:L)</f>
        <v>11733610</v>
      </c>
    </row>
    <row r="2289" spans="1:20" hidden="1" x14ac:dyDescent="0.3">
      <c r="A2289" t="s">
        <v>3444</v>
      </c>
      <c r="B2289" t="s">
        <v>235</v>
      </c>
      <c r="C2289" t="s">
        <v>125</v>
      </c>
      <c r="D2289" t="s">
        <v>3340</v>
      </c>
      <c r="E2289" t="s">
        <v>161</v>
      </c>
      <c r="F2289" t="s">
        <v>3431</v>
      </c>
      <c r="G2289" t="s">
        <v>77</v>
      </c>
      <c r="H2289" t="s">
        <v>78</v>
      </c>
      <c r="I2289">
        <v>10000</v>
      </c>
      <c r="J2289">
        <v>13000</v>
      </c>
      <c r="K2289">
        <v>2</v>
      </c>
      <c r="L2289">
        <v>20000</v>
      </c>
      <c r="M2289">
        <v>26000</v>
      </c>
      <c r="N2289" t="s">
        <v>22</v>
      </c>
      <c r="O2289">
        <f t="shared" si="70"/>
        <v>39000</v>
      </c>
      <c r="P2289" s="13">
        <f t="shared" si="71"/>
        <v>2091154</v>
      </c>
      <c r="Q2289" s="13">
        <f>SUMIFS(M:M,E:E,Online_eCommerce[[#This Row],[Status]])</f>
        <v>21103186</v>
      </c>
      <c r="R2289" s="13">
        <f>SUMIFS(L:L,H:H,Online_eCommerce[[#This Row],[Brand]])</f>
        <v>3720000</v>
      </c>
      <c r="S2289" s="13">
        <f>SUMIF(H:H,Online_eCommerce[[#This Row],[Brand]],M:M)</f>
        <v>4836000</v>
      </c>
      <c r="T2289" s="13">
        <f>SUMIF(N:N,Online_eCommerce[[#This Row],[Assigned Supervisor]],L:L)</f>
        <v>13693220</v>
      </c>
    </row>
    <row r="2290" spans="1:20" x14ac:dyDescent="0.3">
      <c r="A2290" t="s">
        <v>3445</v>
      </c>
      <c r="B2290" t="s">
        <v>235</v>
      </c>
      <c r="C2290" t="s">
        <v>22</v>
      </c>
      <c r="D2290" t="s">
        <v>3340</v>
      </c>
      <c r="E2290" t="s">
        <v>46</v>
      </c>
      <c r="F2290" t="s">
        <v>3446</v>
      </c>
      <c r="G2290" t="s">
        <v>20</v>
      </c>
      <c r="H2290" t="s">
        <v>21</v>
      </c>
      <c r="I2290">
        <v>10500</v>
      </c>
      <c r="J2290">
        <v>13650</v>
      </c>
      <c r="K2290">
        <v>1</v>
      </c>
      <c r="L2290">
        <v>10500</v>
      </c>
      <c r="M2290">
        <v>13650</v>
      </c>
      <c r="N2290" t="s">
        <v>28</v>
      </c>
      <c r="O2290">
        <f t="shared" si="70"/>
        <v>8450</v>
      </c>
      <c r="P2290" s="13">
        <f t="shared" si="71"/>
        <v>2551588</v>
      </c>
      <c r="Q2290" s="13">
        <f>SUMIFS(M:M,E:E,Online_eCommerce[[#This Row],[Status]])</f>
        <v>28620410</v>
      </c>
      <c r="R2290" s="13">
        <f>SUMIFS(L:L,H:H,Online_eCommerce[[#This Row],[Brand]])</f>
        <v>12435650</v>
      </c>
      <c r="S2290" s="13">
        <f>SUMIF(H:H,Online_eCommerce[[#This Row],[Brand]],M:M)</f>
        <v>16166345</v>
      </c>
      <c r="T2290" s="13">
        <f>SUMIF(N:N,Online_eCommerce[[#This Row],[Assigned Supervisor]],L:L)</f>
        <v>12220830</v>
      </c>
    </row>
    <row r="2291" spans="1:20" hidden="1" x14ac:dyDescent="0.3">
      <c r="A2291" t="s">
        <v>3447</v>
      </c>
      <c r="B2291" t="s">
        <v>235</v>
      </c>
      <c r="C2291" t="s">
        <v>132</v>
      </c>
      <c r="D2291" t="s">
        <v>3340</v>
      </c>
      <c r="E2291" t="s">
        <v>96</v>
      </c>
      <c r="F2291" t="s">
        <v>88</v>
      </c>
      <c r="G2291" t="s">
        <v>26</v>
      </c>
      <c r="H2291" t="s">
        <v>27</v>
      </c>
      <c r="I2291">
        <v>8500</v>
      </c>
      <c r="J2291">
        <v>11050</v>
      </c>
      <c r="K2291">
        <v>2</v>
      </c>
      <c r="L2291">
        <v>17000</v>
      </c>
      <c r="M2291">
        <v>22100</v>
      </c>
      <c r="N2291" t="s">
        <v>35</v>
      </c>
      <c r="O2291">
        <f t="shared" si="70"/>
        <v>33150</v>
      </c>
      <c r="P2291" s="13">
        <f t="shared" si="71"/>
        <v>1989065</v>
      </c>
      <c r="Q2291" s="13">
        <f>SUMIFS(M:M,E:E,Online_eCommerce[[#This Row],[Status]])</f>
        <v>21233992</v>
      </c>
      <c r="R2291" s="13">
        <f>SUMIFS(L:L,H:H,Online_eCommerce[[#This Row],[Brand]])</f>
        <v>14431000</v>
      </c>
      <c r="S2291" s="13">
        <f>SUMIF(H:H,Online_eCommerce[[#This Row],[Brand]],M:M)</f>
        <v>18760300</v>
      </c>
      <c r="T2291" s="13">
        <f>SUMIF(N:N,Online_eCommerce[[#This Row],[Assigned Supervisor]],L:L)</f>
        <v>14373360</v>
      </c>
    </row>
    <row r="2292" spans="1:20" hidden="1" x14ac:dyDescent="0.3">
      <c r="A2292" t="s">
        <v>3448</v>
      </c>
      <c r="B2292" t="s">
        <v>235</v>
      </c>
      <c r="C2292" t="s">
        <v>136</v>
      </c>
      <c r="D2292" t="s">
        <v>3340</v>
      </c>
      <c r="E2292" t="s">
        <v>18</v>
      </c>
      <c r="F2292" t="s">
        <v>32</v>
      </c>
      <c r="G2292" t="s">
        <v>33</v>
      </c>
      <c r="H2292" t="s">
        <v>34</v>
      </c>
      <c r="I2292">
        <v>7000</v>
      </c>
      <c r="J2292">
        <v>9100</v>
      </c>
      <c r="K2292">
        <v>3</v>
      </c>
      <c r="L2292">
        <v>21000</v>
      </c>
      <c r="M2292">
        <v>27300</v>
      </c>
      <c r="N2292" t="s">
        <v>42</v>
      </c>
      <c r="O2292">
        <f t="shared" si="70"/>
        <v>18200</v>
      </c>
      <c r="P2292" s="13">
        <f t="shared" si="71"/>
        <v>2775162</v>
      </c>
      <c r="Q2292" s="13">
        <f>SUMIFS(M:M,E:E,Online_eCommerce[[#This Row],[Status]])</f>
        <v>28340455</v>
      </c>
      <c r="R2292" s="13">
        <f>SUMIFS(L:L,H:H,Online_eCommerce[[#This Row],[Brand]])</f>
        <v>10087000</v>
      </c>
      <c r="S2292" s="13">
        <f>SUMIF(H:H,Online_eCommerce[[#This Row],[Brand]],M:M)</f>
        <v>13113100</v>
      </c>
      <c r="T2292" s="13">
        <f>SUMIF(N:N,Online_eCommerce[[#This Row],[Assigned Supervisor]],L:L)</f>
        <v>12261500</v>
      </c>
    </row>
    <row r="2293" spans="1:20" hidden="1" x14ac:dyDescent="0.3">
      <c r="A2293" t="s">
        <v>3449</v>
      </c>
      <c r="B2293" t="s">
        <v>235</v>
      </c>
      <c r="C2293" t="s">
        <v>140</v>
      </c>
      <c r="D2293" t="s">
        <v>3340</v>
      </c>
      <c r="E2293" t="s">
        <v>161</v>
      </c>
      <c r="F2293" t="s">
        <v>3450</v>
      </c>
      <c r="G2293" t="s">
        <v>163</v>
      </c>
      <c r="H2293" t="s">
        <v>41</v>
      </c>
      <c r="I2293">
        <v>1680</v>
      </c>
      <c r="J2293">
        <v>2184</v>
      </c>
      <c r="K2293">
        <v>3</v>
      </c>
      <c r="L2293">
        <v>5040</v>
      </c>
      <c r="M2293">
        <v>6552</v>
      </c>
      <c r="N2293" t="s">
        <v>50</v>
      </c>
      <c r="O2293">
        <f t="shared" si="70"/>
        <v>13650</v>
      </c>
      <c r="P2293" s="13">
        <f t="shared" si="71"/>
        <v>2058264</v>
      </c>
      <c r="Q2293" s="13">
        <f>SUMIFS(M:M,E:E,Online_eCommerce[[#This Row],[Status]])</f>
        <v>21103186</v>
      </c>
      <c r="R2293" s="13">
        <f>SUMIFS(L:L,H:H,Online_eCommerce[[#This Row],[Brand]])</f>
        <v>4260400</v>
      </c>
      <c r="S2293" s="13">
        <f>SUMIF(H:H,Online_eCommerce[[#This Row],[Brand]],M:M)</f>
        <v>5538520</v>
      </c>
      <c r="T2293" s="13">
        <f>SUMIF(N:N,Online_eCommerce[[#This Row],[Assigned Supervisor]],L:L)</f>
        <v>12100590</v>
      </c>
    </row>
    <row r="2294" spans="1:20" x14ac:dyDescent="0.3">
      <c r="A2294" t="s">
        <v>3451</v>
      </c>
      <c r="B2294" t="s">
        <v>235</v>
      </c>
      <c r="C2294" t="s">
        <v>145</v>
      </c>
      <c r="D2294" t="s">
        <v>3340</v>
      </c>
      <c r="E2294" t="s">
        <v>46</v>
      </c>
      <c r="F2294" t="s">
        <v>101</v>
      </c>
      <c r="G2294" t="s">
        <v>66</v>
      </c>
      <c r="H2294" t="s">
        <v>102</v>
      </c>
      <c r="I2294">
        <v>6540</v>
      </c>
      <c r="J2294">
        <v>8502</v>
      </c>
      <c r="K2294">
        <v>1</v>
      </c>
      <c r="L2294">
        <v>6540</v>
      </c>
      <c r="M2294">
        <v>8502</v>
      </c>
      <c r="N2294" t="s">
        <v>56</v>
      </c>
      <c r="O2294">
        <f t="shared" si="70"/>
        <v>1690</v>
      </c>
      <c r="P2294" s="13">
        <f t="shared" si="71"/>
        <v>2757859</v>
      </c>
      <c r="Q2294" s="13">
        <f>SUMIFS(M:M,E:E,Online_eCommerce[[#This Row],[Status]])</f>
        <v>28620410</v>
      </c>
      <c r="R2294" s="13">
        <f>SUMIFS(L:L,H:H,Online_eCommerce[[#This Row],[Brand]])</f>
        <v>2465580</v>
      </c>
      <c r="S2294" s="13">
        <f>SUMIF(H:H,Online_eCommerce[[#This Row],[Brand]],M:M)</f>
        <v>3205254</v>
      </c>
      <c r="T2294" s="13">
        <f>SUMIF(N:N,Online_eCommerce[[#This Row],[Assigned Supervisor]],L:L)</f>
        <v>11733610</v>
      </c>
    </row>
    <row r="2295" spans="1:20" hidden="1" x14ac:dyDescent="0.3">
      <c r="A2295" t="s">
        <v>3452</v>
      </c>
      <c r="B2295" t="s">
        <v>235</v>
      </c>
      <c r="C2295" t="s">
        <v>150</v>
      </c>
      <c r="D2295" t="s">
        <v>3340</v>
      </c>
      <c r="E2295" t="s">
        <v>96</v>
      </c>
      <c r="F2295" t="s">
        <v>107</v>
      </c>
      <c r="G2295" t="s">
        <v>54</v>
      </c>
      <c r="H2295" t="s">
        <v>55</v>
      </c>
      <c r="I2295">
        <v>2680</v>
      </c>
      <c r="J2295">
        <v>3484</v>
      </c>
      <c r="K2295">
        <v>2</v>
      </c>
      <c r="L2295">
        <v>5360</v>
      </c>
      <c r="M2295">
        <v>6968</v>
      </c>
      <c r="N2295" t="s">
        <v>22</v>
      </c>
      <c r="O2295">
        <f t="shared" si="70"/>
        <v>2990</v>
      </c>
      <c r="P2295" s="13">
        <f t="shared" si="71"/>
        <v>2154984</v>
      </c>
      <c r="Q2295" s="13">
        <f>SUMIFS(M:M,E:E,Online_eCommerce[[#This Row],[Status]])</f>
        <v>21233992</v>
      </c>
      <c r="R2295" s="13">
        <f>SUMIFS(L:L,H:H,Online_eCommerce[[#This Row],[Brand]])</f>
        <v>2267380</v>
      </c>
      <c r="S2295" s="13">
        <f>SUMIF(H:H,Online_eCommerce[[#This Row],[Brand]],M:M)</f>
        <v>2947594</v>
      </c>
      <c r="T2295" s="13">
        <f>SUMIF(N:N,Online_eCommerce[[#This Row],[Assigned Supervisor]],L:L)</f>
        <v>13693220</v>
      </c>
    </row>
    <row r="2296" spans="1:20" hidden="1" x14ac:dyDescent="0.3">
      <c r="A2296" t="s">
        <v>3453</v>
      </c>
      <c r="B2296" t="s">
        <v>235</v>
      </c>
      <c r="C2296" t="s">
        <v>155</v>
      </c>
      <c r="D2296" t="s">
        <v>3340</v>
      </c>
      <c r="E2296" t="s">
        <v>18</v>
      </c>
      <c r="F2296" t="s">
        <v>112</v>
      </c>
      <c r="G2296" t="s">
        <v>71</v>
      </c>
      <c r="H2296" t="s">
        <v>21</v>
      </c>
      <c r="I2296">
        <v>8250</v>
      </c>
      <c r="J2296">
        <v>10725</v>
      </c>
      <c r="K2296">
        <v>1</v>
      </c>
      <c r="L2296">
        <v>8250</v>
      </c>
      <c r="M2296">
        <v>10725</v>
      </c>
      <c r="N2296" t="s">
        <v>28</v>
      </c>
      <c r="O2296">
        <f t="shared" si="70"/>
        <v>9750</v>
      </c>
      <c r="P2296" s="13">
        <f t="shared" si="71"/>
        <v>2753348</v>
      </c>
      <c r="Q2296" s="13">
        <f>SUMIFS(M:M,E:E,Online_eCommerce[[#This Row],[Status]])</f>
        <v>28340455</v>
      </c>
      <c r="R2296" s="13">
        <f>SUMIFS(L:L,H:H,Online_eCommerce[[#This Row],[Brand]])</f>
        <v>12435650</v>
      </c>
      <c r="S2296" s="13">
        <f>SUMIF(H:H,Online_eCommerce[[#This Row],[Brand]],M:M)</f>
        <v>16166345</v>
      </c>
      <c r="T2296" s="13">
        <f>SUMIF(N:N,Online_eCommerce[[#This Row],[Assigned Supervisor]],L:L)</f>
        <v>12220830</v>
      </c>
    </row>
    <row r="2297" spans="1:20" hidden="1" x14ac:dyDescent="0.3">
      <c r="A2297" t="s">
        <v>3454</v>
      </c>
      <c r="B2297" t="s">
        <v>235</v>
      </c>
      <c r="C2297" t="s">
        <v>160</v>
      </c>
      <c r="D2297" t="s">
        <v>3340</v>
      </c>
      <c r="E2297" t="s">
        <v>161</v>
      </c>
      <c r="F2297" t="s">
        <v>3098</v>
      </c>
      <c r="G2297" t="s">
        <v>40</v>
      </c>
      <c r="H2297" t="s">
        <v>21</v>
      </c>
      <c r="I2297">
        <v>2650</v>
      </c>
      <c r="J2297">
        <v>3445</v>
      </c>
      <c r="K2297">
        <v>3</v>
      </c>
      <c r="L2297">
        <v>7950</v>
      </c>
      <c r="M2297">
        <v>10335</v>
      </c>
      <c r="N2297" t="s">
        <v>35</v>
      </c>
      <c r="O2297">
        <f t="shared" si="70"/>
        <v>25545</v>
      </c>
      <c r="P2297" s="13">
        <f t="shared" si="71"/>
        <v>2303483</v>
      </c>
      <c r="Q2297" s="13">
        <f>SUMIFS(M:M,E:E,Online_eCommerce[[#This Row],[Status]])</f>
        <v>21103186</v>
      </c>
      <c r="R2297" s="13">
        <f>SUMIFS(L:L,H:H,Online_eCommerce[[#This Row],[Brand]])</f>
        <v>12435650</v>
      </c>
      <c r="S2297" s="13">
        <f>SUMIF(H:H,Online_eCommerce[[#This Row],[Brand]],M:M)</f>
        <v>16166345</v>
      </c>
      <c r="T2297" s="13">
        <f>SUMIF(N:N,Online_eCommerce[[#This Row],[Assigned Supervisor]],L:L)</f>
        <v>14373360</v>
      </c>
    </row>
    <row r="2298" spans="1:20" x14ac:dyDescent="0.3">
      <c r="A2298" t="s">
        <v>3455</v>
      </c>
      <c r="B2298" t="s">
        <v>235</v>
      </c>
      <c r="C2298" t="s">
        <v>165</v>
      </c>
      <c r="D2298" t="s">
        <v>3340</v>
      </c>
      <c r="E2298" t="s">
        <v>46</v>
      </c>
      <c r="F2298" t="s">
        <v>121</v>
      </c>
      <c r="G2298" t="s">
        <v>71</v>
      </c>
      <c r="H2298" t="s">
        <v>122</v>
      </c>
      <c r="I2298">
        <v>12550</v>
      </c>
      <c r="J2298">
        <v>16315</v>
      </c>
      <c r="K2298">
        <v>4</v>
      </c>
      <c r="L2298">
        <v>50200</v>
      </c>
      <c r="M2298">
        <v>65260</v>
      </c>
      <c r="N2298" t="s">
        <v>42</v>
      </c>
      <c r="O2298">
        <f t="shared" si="70"/>
        <v>9750</v>
      </c>
      <c r="P2298" s="13">
        <f t="shared" si="71"/>
        <v>2674087</v>
      </c>
      <c r="Q2298" s="13">
        <f>SUMIFS(M:M,E:E,Online_eCommerce[[#This Row],[Status]])</f>
        <v>28620410</v>
      </c>
      <c r="R2298" s="13">
        <f>SUMIFS(L:L,H:H,Online_eCommerce[[#This Row],[Brand]])</f>
        <v>5045100</v>
      </c>
      <c r="S2298" s="13">
        <f>SUMIF(H:H,Online_eCommerce[[#This Row],[Brand]],M:M)</f>
        <v>6558630</v>
      </c>
      <c r="T2298" s="13">
        <f>SUMIF(N:N,Online_eCommerce[[#This Row],[Assigned Supervisor]],L:L)</f>
        <v>12261500</v>
      </c>
    </row>
    <row r="2299" spans="1:20" hidden="1" x14ac:dyDescent="0.3">
      <c r="A2299" t="s">
        <v>3456</v>
      </c>
      <c r="B2299" t="s">
        <v>235</v>
      </c>
      <c r="C2299" t="s">
        <v>168</v>
      </c>
      <c r="D2299" t="s">
        <v>3340</v>
      </c>
      <c r="E2299" t="s">
        <v>96</v>
      </c>
      <c r="F2299" t="s">
        <v>126</v>
      </c>
      <c r="G2299" t="s">
        <v>26</v>
      </c>
      <c r="H2299" t="s">
        <v>27</v>
      </c>
      <c r="I2299">
        <v>14500</v>
      </c>
      <c r="J2299">
        <v>18850</v>
      </c>
      <c r="K2299">
        <v>2</v>
      </c>
      <c r="L2299">
        <v>29000</v>
      </c>
      <c r="M2299">
        <v>37700</v>
      </c>
      <c r="N2299" t="s">
        <v>50</v>
      </c>
      <c r="O2299">
        <f t="shared" si="70"/>
        <v>33150</v>
      </c>
      <c r="P2299" s="13">
        <f t="shared" si="71"/>
        <v>1937780</v>
      </c>
      <c r="Q2299" s="13">
        <f>SUMIFS(M:M,E:E,Online_eCommerce[[#This Row],[Status]])</f>
        <v>21233992</v>
      </c>
      <c r="R2299" s="13">
        <f>SUMIFS(L:L,H:H,Online_eCommerce[[#This Row],[Brand]])</f>
        <v>14431000</v>
      </c>
      <c r="S2299" s="13">
        <f>SUMIF(H:H,Online_eCommerce[[#This Row],[Brand]],M:M)</f>
        <v>18760300</v>
      </c>
      <c r="T2299" s="13">
        <f>SUMIF(N:N,Online_eCommerce[[#This Row],[Assigned Supervisor]],L:L)</f>
        <v>12100590</v>
      </c>
    </row>
    <row r="2300" spans="1:20" hidden="1" x14ac:dyDescent="0.3">
      <c r="A2300" t="s">
        <v>3457</v>
      </c>
      <c r="B2300" t="s">
        <v>235</v>
      </c>
      <c r="C2300" t="s">
        <v>172</v>
      </c>
      <c r="D2300" t="s">
        <v>3340</v>
      </c>
      <c r="E2300" t="s">
        <v>18</v>
      </c>
      <c r="F2300" t="s">
        <v>129</v>
      </c>
      <c r="G2300" t="s">
        <v>60</v>
      </c>
      <c r="H2300" t="s">
        <v>61</v>
      </c>
      <c r="I2300">
        <v>800</v>
      </c>
      <c r="J2300">
        <v>1040</v>
      </c>
      <c r="K2300">
        <v>4</v>
      </c>
      <c r="L2300">
        <v>3200</v>
      </c>
      <c r="M2300">
        <v>4160</v>
      </c>
      <c r="N2300" t="s">
        <v>56</v>
      </c>
      <c r="O2300">
        <f t="shared" si="70"/>
        <v>3315</v>
      </c>
      <c r="P2300" s="13">
        <f t="shared" si="71"/>
        <v>2640274</v>
      </c>
      <c r="Q2300" s="13">
        <f>SUMIFS(M:M,E:E,Online_eCommerce[[#This Row],[Status]])</f>
        <v>28340455</v>
      </c>
      <c r="R2300" s="13">
        <f>SUMIFS(L:L,H:H,Online_eCommerce[[#This Row],[Brand]])</f>
        <v>10950150</v>
      </c>
      <c r="S2300" s="13">
        <f>SUMIF(H:H,Online_eCommerce[[#This Row],[Brand]],M:M)</f>
        <v>14235195</v>
      </c>
      <c r="T2300" s="13">
        <f>SUMIF(N:N,Online_eCommerce[[#This Row],[Assigned Supervisor]],L:L)</f>
        <v>11733610</v>
      </c>
    </row>
    <row r="2301" spans="1:20" hidden="1" x14ac:dyDescent="0.3">
      <c r="A2301" t="s">
        <v>3458</v>
      </c>
      <c r="B2301" t="s">
        <v>235</v>
      </c>
      <c r="C2301" t="s">
        <v>177</v>
      </c>
      <c r="D2301" t="s">
        <v>3340</v>
      </c>
      <c r="E2301" t="s">
        <v>161</v>
      </c>
      <c r="F2301" t="s">
        <v>133</v>
      </c>
      <c r="G2301" t="s">
        <v>66</v>
      </c>
      <c r="H2301" t="s">
        <v>21</v>
      </c>
      <c r="I2301">
        <v>600</v>
      </c>
      <c r="J2301">
        <v>780</v>
      </c>
      <c r="K2301">
        <v>2</v>
      </c>
      <c r="L2301">
        <v>1200</v>
      </c>
      <c r="M2301">
        <v>1560</v>
      </c>
      <c r="N2301" t="s">
        <v>22</v>
      </c>
      <c r="O2301">
        <f t="shared" si="70"/>
        <v>1690</v>
      </c>
      <c r="P2301" s="13">
        <f t="shared" si="71"/>
        <v>1863810</v>
      </c>
      <c r="Q2301" s="13">
        <f>SUMIFS(M:M,E:E,Online_eCommerce[[#This Row],[Status]])</f>
        <v>21103186</v>
      </c>
      <c r="R2301" s="13">
        <f>SUMIFS(L:L,H:H,Online_eCommerce[[#This Row],[Brand]])</f>
        <v>12435650</v>
      </c>
      <c r="S2301" s="13">
        <f>SUMIF(H:H,Online_eCommerce[[#This Row],[Brand]],M:M)</f>
        <v>16166345</v>
      </c>
      <c r="T2301" s="13">
        <f>SUMIF(N:N,Online_eCommerce[[#This Row],[Assigned Supervisor]],L:L)</f>
        <v>13693220</v>
      </c>
    </row>
    <row r="2302" spans="1:20" x14ac:dyDescent="0.3">
      <c r="A2302" t="s">
        <v>3459</v>
      </c>
      <c r="B2302" t="s">
        <v>235</v>
      </c>
      <c r="C2302" t="s">
        <v>181</v>
      </c>
      <c r="D2302" t="s">
        <v>3340</v>
      </c>
      <c r="E2302" t="s">
        <v>46</v>
      </c>
      <c r="F2302" t="s">
        <v>137</v>
      </c>
      <c r="G2302" t="s">
        <v>71</v>
      </c>
      <c r="H2302" t="s">
        <v>61</v>
      </c>
      <c r="I2302">
        <v>10500</v>
      </c>
      <c r="J2302">
        <v>13650</v>
      </c>
      <c r="K2302">
        <v>1</v>
      </c>
      <c r="L2302">
        <v>10500</v>
      </c>
      <c r="M2302">
        <v>13650</v>
      </c>
      <c r="N2302" t="s">
        <v>28</v>
      </c>
      <c r="O2302">
        <f t="shared" si="70"/>
        <v>9750</v>
      </c>
      <c r="P2302" s="13">
        <f t="shared" si="71"/>
        <v>2577458</v>
      </c>
      <c r="Q2302" s="13">
        <f>SUMIFS(M:M,E:E,Online_eCommerce[[#This Row],[Status]])</f>
        <v>28620410</v>
      </c>
      <c r="R2302" s="13">
        <f>SUMIFS(L:L,H:H,Online_eCommerce[[#This Row],[Brand]])</f>
        <v>10950150</v>
      </c>
      <c r="S2302" s="13">
        <f>SUMIF(H:H,Online_eCommerce[[#This Row],[Brand]],M:M)</f>
        <v>14235195</v>
      </c>
      <c r="T2302" s="13">
        <f>SUMIF(N:N,Online_eCommerce[[#This Row],[Assigned Supervisor]],L:L)</f>
        <v>12220830</v>
      </c>
    </row>
    <row r="2303" spans="1:20" hidden="1" x14ac:dyDescent="0.3">
      <c r="A2303" t="s">
        <v>3460</v>
      </c>
      <c r="B2303" t="s">
        <v>235</v>
      </c>
      <c r="C2303" t="s">
        <v>185</v>
      </c>
      <c r="D2303" t="s">
        <v>3340</v>
      </c>
      <c r="E2303" t="s">
        <v>96</v>
      </c>
      <c r="F2303" t="s">
        <v>3431</v>
      </c>
      <c r="G2303" t="s">
        <v>77</v>
      </c>
      <c r="H2303" t="s">
        <v>142</v>
      </c>
      <c r="I2303">
        <v>6500</v>
      </c>
      <c r="J2303">
        <v>8450</v>
      </c>
      <c r="K2303">
        <v>2</v>
      </c>
      <c r="L2303">
        <v>13000</v>
      </c>
      <c r="M2303">
        <v>16900</v>
      </c>
      <c r="N2303" t="s">
        <v>35</v>
      </c>
      <c r="O2303">
        <f t="shared" si="70"/>
        <v>39000</v>
      </c>
      <c r="P2303" s="13">
        <f t="shared" si="71"/>
        <v>2091596</v>
      </c>
      <c r="Q2303" s="13">
        <f>SUMIFS(M:M,E:E,Online_eCommerce[[#This Row],[Status]])</f>
        <v>21233992</v>
      </c>
      <c r="R2303" s="13">
        <f>SUMIFS(L:L,H:H,Online_eCommerce[[#This Row],[Brand]])</f>
        <v>6192500</v>
      </c>
      <c r="S2303" s="13">
        <f>SUMIF(H:H,Online_eCommerce[[#This Row],[Brand]],M:M)</f>
        <v>8050250</v>
      </c>
      <c r="T2303" s="13">
        <f>SUMIF(N:N,Online_eCommerce[[#This Row],[Assigned Supervisor]],L:L)</f>
        <v>14373360</v>
      </c>
    </row>
    <row r="2304" spans="1:20" hidden="1" x14ac:dyDescent="0.3">
      <c r="A2304" t="s">
        <v>3461</v>
      </c>
      <c r="B2304" t="s">
        <v>235</v>
      </c>
      <c r="C2304" t="s">
        <v>189</v>
      </c>
      <c r="D2304" t="s">
        <v>3340</v>
      </c>
      <c r="E2304" t="s">
        <v>18</v>
      </c>
      <c r="F2304" t="s">
        <v>3462</v>
      </c>
      <c r="G2304" t="s">
        <v>20</v>
      </c>
      <c r="H2304" t="s">
        <v>21</v>
      </c>
      <c r="I2304">
        <v>4500</v>
      </c>
      <c r="J2304">
        <v>5850</v>
      </c>
      <c r="K2304">
        <v>1</v>
      </c>
      <c r="L2304">
        <v>4500</v>
      </c>
      <c r="M2304">
        <v>5850</v>
      </c>
      <c r="N2304" t="s">
        <v>42</v>
      </c>
      <c r="O2304">
        <f t="shared" si="70"/>
        <v>8450</v>
      </c>
      <c r="P2304" s="13">
        <f t="shared" si="71"/>
        <v>2740777</v>
      </c>
      <c r="Q2304" s="13">
        <f>SUMIFS(M:M,E:E,Online_eCommerce[[#This Row],[Status]])</f>
        <v>28340455</v>
      </c>
      <c r="R2304" s="13">
        <f>SUMIFS(L:L,H:H,Online_eCommerce[[#This Row],[Brand]])</f>
        <v>12435650</v>
      </c>
      <c r="S2304" s="13">
        <f>SUMIF(H:H,Online_eCommerce[[#This Row],[Brand]],M:M)</f>
        <v>16166345</v>
      </c>
      <c r="T2304" s="13">
        <f>SUMIF(N:N,Online_eCommerce[[#This Row],[Assigned Supervisor]],L:L)</f>
        <v>12261500</v>
      </c>
    </row>
    <row r="2305" spans="1:20" hidden="1" x14ac:dyDescent="0.3">
      <c r="A2305" t="s">
        <v>3463</v>
      </c>
      <c r="B2305" t="s">
        <v>235</v>
      </c>
      <c r="C2305" t="s">
        <v>193</v>
      </c>
      <c r="D2305" t="s">
        <v>3340</v>
      </c>
      <c r="E2305" t="s">
        <v>161</v>
      </c>
      <c r="F2305" t="s">
        <v>152</v>
      </c>
      <c r="G2305" t="s">
        <v>26</v>
      </c>
      <c r="H2305" t="s">
        <v>27</v>
      </c>
      <c r="I2305">
        <v>8500</v>
      </c>
      <c r="J2305">
        <v>11050</v>
      </c>
      <c r="K2305">
        <v>4</v>
      </c>
      <c r="L2305">
        <v>34000</v>
      </c>
      <c r="M2305">
        <v>44200</v>
      </c>
      <c r="N2305" t="s">
        <v>50</v>
      </c>
      <c r="O2305">
        <f t="shared" si="70"/>
        <v>33150</v>
      </c>
      <c r="P2305" s="13">
        <f t="shared" si="71"/>
        <v>2074774</v>
      </c>
      <c r="Q2305" s="13">
        <f>SUMIFS(M:M,E:E,Online_eCommerce[[#This Row],[Status]])</f>
        <v>21103186</v>
      </c>
      <c r="R2305" s="13">
        <f>SUMIFS(L:L,H:H,Online_eCommerce[[#This Row],[Brand]])</f>
        <v>14431000</v>
      </c>
      <c r="S2305" s="13">
        <f>SUMIF(H:H,Online_eCommerce[[#This Row],[Brand]],M:M)</f>
        <v>18760300</v>
      </c>
      <c r="T2305" s="13">
        <f>SUMIF(N:N,Online_eCommerce[[#This Row],[Assigned Supervisor]],L:L)</f>
        <v>12100590</v>
      </c>
    </row>
    <row r="2306" spans="1:20" x14ac:dyDescent="0.3">
      <c r="A2306" t="s">
        <v>3464</v>
      </c>
      <c r="B2306" t="s">
        <v>235</v>
      </c>
      <c r="C2306" t="s">
        <v>197</v>
      </c>
      <c r="D2306" t="s">
        <v>3340</v>
      </c>
      <c r="E2306" t="s">
        <v>46</v>
      </c>
      <c r="F2306" t="s">
        <v>157</v>
      </c>
      <c r="G2306" t="s">
        <v>33</v>
      </c>
      <c r="H2306" t="s">
        <v>34</v>
      </c>
      <c r="I2306">
        <v>12500</v>
      </c>
      <c r="J2306">
        <v>16250</v>
      </c>
      <c r="K2306">
        <v>1</v>
      </c>
      <c r="L2306">
        <v>12500</v>
      </c>
      <c r="M2306">
        <v>16250</v>
      </c>
      <c r="N2306" t="s">
        <v>56</v>
      </c>
      <c r="O2306">
        <f t="shared" ref="O2306:O2369" si="72">VLOOKUP(G2306,G:M,7,FALSE)</f>
        <v>18200</v>
      </c>
      <c r="P2306" s="13">
        <f t="shared" ref="P2306:P2369" si="73">SUMIFS(M:M,C:C,C2306)</f>
        <v>2829840</v>
      </c>
      <c r="Q2306" s="13">
        <f>SUMIFS(M:M,E:E,Online_eCommerce[[#This Row],[Status]])</f>
        <v>28620410</v>
      </c>
      <c r="R2306" s="13">
        <f>SUMIFS(L:L,H:H,Online_eCommerce[[#This Row],[Brand]])</f>
        <v>10087000</v>
      </c>
      <c r="S2306" s="13">
        <f>SUMIF(H:H,Online_eCommerce[[#This Row],[Brand]],M:M)</f>
        <v>13113100</v>
      </c>
      <c r="T2306" s="13">
        <f>SUMIF(N:N,Online_eCommerce[[#This Row],[Assigned Supervisor]],L:L)</f>
        <v>11733610</v>
      </c>
    </row>
    <row r="2307" spans="1:20" hidden="1" x14ac:dyDescent="0.3">
      <c r="A2307" t="s">
        <v>3465</v>
      </c>
      <c r="B2307" t="s">
        <v>235</v>
      </c>
      <c r="C2307" t="s">
        <v>199</v>
      </c>
      <c r="D2307" t="s">
        <v>3340</v>
      </c>
      <c r="E2307" t="s">
        <v>96</v>
      </c>
      <c r="F2307" t="s">
        <v>3140</v>
      </c>
      <c r="G2307" t="s">
        <v>256</v>
      </c>
      <c r="H2307" t="s">
        <v>41</v>
      </c>
      <c r="I2307">
        <v>3500</v>
      </c>
      <c r="J2307">
        <v>4550</v>
      </c>
      <c r="K2307">
        <v>4</v>
      </c>
      <c r="L2307">
        <v>14000</v>
      </c>
      <c r="M2307">
        <v>18200</v>
      </c>
      <c r="N2307" t="s">
        <v>22</v>
      </c>
      <c r="O2307">
        <f t="shared" si="72"/>
        <v>9100</v>
      </c>
      <c r="P2307" s="13">
        <f t="shared" si="73"/>
        <v>1947361</v>
      </c>
      <c r="Q2307" s="13">
        <f>SUMIFS(M:M,E:E,Online_eCommerce[[#This Row],[Status]])</f>
        <v>21233992</v>
      </c>
      <c r="R2307" s="13">
        <f>SUMIFS(L:L,H:H,Online_eCommerce[[#This Row],[Brand]])</f>
        <v>4260400</v>
      </c>
      <c r="S2307" s="13">
        <f>SUMIF(H:H,Online_eCommerce[[#This Row],[Brand]],M:M)</f>
        <v>5538520</v>
      </c>
      <c r="T2307" s="13">
        <f>SUMIF(N:N,Online_eCommerce[[#This Row],[Assigned Supervisor]],L:L)</f>
        <v>13693220</v>
      </c>
    </row>
    <row r="2308" spans="1:20" hidden="1" x14ac:dyDescent="0.3">
      <c r="A2308" t="s">
        <v>3466</v>
      </c>
      <c r="B2308" t="s">
        <v>235</v>
      </c>
      <c r="C2308" t="s">
        <v>203</v>
      </c>
      <c r="D2308" t="s">
        <v>3340</v>
      </c>
      <c r="E2308" t="s">
        <v>18</v>
      </c>
      <c r="F2308" t="s">
        <v>166</v>
      </c>
      <c r="G2308" t="s">
        <v>259</v>
      </c>
      <c r="H2308" t="s">
        <v>49</v>
      </c>
      <c r="I2308">
        <v>4500</v>
      </c>
      <c r="J2308">
        <v>5850</v>
      </c>
      <c r="K2308">
        <v>3</v>
      </c>
      <c r="L2308">
        <v>13500</v>
      </c>
      <c r="M2308">
        <v>17550</v>
      </c>
      <c r="N2308" t="s">
        <v>28</v>
      </c>
      <c r="O2308">
        <f t="shared" si="72"/>
        <v>11700</v>
      </c>
      <c r="P2308" s="13">
        <f t="shared" si="73"/>
        <v>2559635</v>
      </c>
      <c r="Q2308" s="13">
        <f>SUMIFS(M:M,E:E,Online_eCommerce[[#This Row],[Status]])</f>
        <v>28340455</v>
      </c>
      <c r="R2308" s="13">
        <f>SUMIFS(L:L,H:H,Online_eCommerce[[#This Row],[Brand]])</f>
        <v>4528350</v>
      </c>
      <c r="S2308" s="13">
        <f>SUMIF(H:H,Online_eCommerce[[#This Row],[Brand]],M:M)</f>
        <v>5886855</v>
      </c>
      <c r="T2308" s="13">
        <f>SUMIF(N:N,Online_eCommerce[[#This Row],[Assigned Supervisor]],L:L)</f>
        <v>12220830</v>
      </c>
    </row>
    <row r="2309" spans="1:20" hidden="1" x14ac:dyDescent="0.3">
      <c r="A2309" t="s">
        <v>3467</v>
      </c>
      <c r="B2309" t="s">
        <v>235</v>
      </c>
      <c r="C2309" t="s">
        <v>205</v>
      </c>
      <c r="D2309" t="s">
        <v>3340</v>
      </c>
      <c r="E2309" t="s">
        <v>161</v>
      </c>
      <c r="F2309" t="s">
        <v>3468</v>
      </c>
      <c r="G2309" t="s">
        <v>54</v>
      </c>
      <c r="H2309" t="s">
        <v>55</v>
      </c>
      <c r="I2309">
        <v>2100</v>
      </c>
      <c r="J2309">
        <v>2730</v>
      </c>
      <c r="K2309">
        <v>3</v>
      </c>
      <c r="L2309">
        <v>6300</v>
      </c>
      <c r="M2309">
        <v>8190</v>
      </c>
      <c r="N2309" t="s">
        <v>35</v>
      </c>
      <c r="O2309">
        <f t="shared" si="72"/>
        <v>2990</v>
      </c>
      <c r="P2309" s="13">
        <f t="shared" si="73"/>
        <v>1983254</v>
      </c>
      <c r="Q2309" s="13">
        <f>SUMIFS(M:M,E:E,Online_eCommerce[[#This Row],[Status]])</f>
        <v>21103186</v>
      </c>
      <c r="R2309" s="13">
        <f>SUMIFS(L:L,H:H,Online_eCommerce[[#This Row],[Brand]])</f>
        <v>2267380</v>
      </c>
      <c r="S2309" s="13">
        <f>SUMIF(H:H,Online_eCommerce[[#This Row],[Brand]],M:M)</f>
        <v>2947594</v>
      </c>
      <c r="T2309" s="13">
        <f>SUMIF(N:N,Online_eCommerce[[#This Row],[Assigned Supervisor]],L:L)</f>
        <v>14373360</v>
      </c>
    </row>
    <row r="2310" spans="1:20" x14ac:dyDescent="0.3">
      <c r="A2310" t="s">
        <v>3469</v>
      </c>
      <c r="B2310" t="s">
        <v>235</v>
      </c>
      <c r="C2310" t="s">
        <v>208</v>
      </c>
      <c r="D2310" t="s">
        <v>3340</v>
      </c>
      <c r="E2310" t="s">
        <v>46</v>
      </c>
      <c r="F2310" t="s">
        <v>174</v>
      </c>
      <c r="G2310" t="s">
        <v>60</v>
      </c>
      <c r="H2310" t="s">
        <v>61</v>
      </c>
      <c r="I2310">
        <v>1150</v>
      </c>
      <c r="J2310">
        <v>1495</v>
      </c>
      <c r="K2310">
        <v>4</v>
      </c>
      <c r="L2310">
        <v>4600</v>
      </c>
      <c r="M2310">
        <v>5980</v>
      </c>
      <c r="N2310" t="s">
        <v>42</v>
      </c>
      <c r="O2310">
        <f t="shared" si="72"/>
        <v>3315</v>
      </c>
      <c r="P2310" s="13">
        <f t="shared" si="73"/>
        <v>2746575</v>
      </c>
      <c r="Q2310" s="13">
        <f>SUMIFS(M:M,E:E,Online_eCommerce[[#This Row],[Status]])</f>
        <v>28620410</v>
      </c>
      <c r="R2310" s="13">
        <f>SUMIFS(L:L,H:H,Online_eCommerce[[#This Row],[Brand]])</f>
        <v>10950150</v>
      </c>
      <c r="S2310" s="13">
        <f>SUMIF(H:H,Online_eCommerce[[#This Row],[Brand]],M:M)</f>
        <v>14235195</v>
      </c>
      <c r="T2310" s="13">
        <f>SUMIF(N:N,Online_eCommerce[[#This Row],[Assigned Supervisor]],L:L)</f>
        <v>12261500</v>
      </c>
    </row>
    <row r="2311" spans="1:20" hidden="1" x14ac:dyDescent="0.3">
      <c r="A2311" t="s">
        <v>3470</v>
      </c>
      <c r="B2311" t="s">
        <v>235</v>
      </c>
      <c r="C2311" t="s">
        <v>211</v>
      </c>
      <c r="D2311" t="s">
        <v>3340</v>
      </c>
      <c r="E2311" t="s">
        <v>96</v>
      </c>
      <c r="F2311" t="s">
        <v>179</v>
      </c>
      <c r="G2311" t="s">
        <v>66</v>
      </c>
      <c r="H2311" t="s">
        <v>21</v>
      </c>
      <c r="I2311">
        <v>350</v>
      </c>
      <c r="J2311">
        <v>455</v>
      </c>
      <c r="K2311">
        <v>2</v>
      </c>
      <c r="L2311">
        <v>700</v>
      </c>
      <c r="M2311">
        <v>910</v>
      </c>
      <c r="N2311" t="s">
        <v>50</v>
      </c>
      <c r="O2311">
        <f t="shared" si="72"/>
        <v>1690</v>
      </c>
      <c r="P2311" s="13">
        <f t="shared" si="73"/>
        <v>1809847</v>
      </c>
      <c r="Q2311" s="13">
        <f>SUMIFS(M:M,E:E,Online_eCommerce[[#This Row],[Status]])</f>
        <v>21233992</v>
      </c>
      <c r="R2311" s="13">
        <f>SUMIFS(L:L,H:H,Online_eCommerce[[#This Row],[Brand]])</f>
        <v>12435650</v>
      </c>
      <c r="S2311" s="13">
        <f>SUMIF(H:H,Online_eCommerce[[#This Row],[Brand]],M:M)</f>
        <v>16166345</v>
      </c>
      <c r="T2311" s="13">
        <f>SUMIF(N:N,Online_eCommerce[[#This Row],[Assigned Supervisor]],L:L)</f>
        <v>12100590</v>
      </c>
    </row>
    <row r="2312" spans="1:20" hidden="1" x14ac:dyDescent="0.3">
      <c r="A2312" t="s">
        <v>3471</v>
      </c>
      <c r="B2312" t="s">
        <v>235</v>
      </c>
      <c r="C2312" t="s">
        <v>16</v>
      </c>
      <c r="D2312" t="s">
        <v>3340</v>
      </c>
      <c r="E2312" t="s">
        <v>18</v>
      </c>
      <c r="F2312" t="s">
        <v>183</v>
      </c>
      <c r="G2312" t="s">
        <v>71</v>
      </c>
      <c r="H2312" t="s">
        <v>61</v>
      </c>
      <c r="I2312">
        <v>9500</v>
      </c>
      <c r="J2312">
        <v>12350</v>
      </c>
      <c r="K2312">
        <v>2</v>
      </c>
      <c r="L2312">
        <v>19000</v>
      </c>
      <c r="M2312">
        <v>24700</v>
      </c>
      <c r="N2312" t="s">
        <v>56</v>
      </c>
      <c r="O2312">
        <f t="shared" si="72"/>
        <v>9750</v>
      </c>
      <c r="P2312" s="13">
        <f t="shared" si="73"/>
        <v>2751814</v>
      </c>
      <c r="Q2312" s="13">
        <f>SUMIFS(M:M,E:E,Online_eCommerce[[#This Row],[Status]])</f>
        <v>28340455</v>
      </c>
      <c r="R2312" s="13">
        <f>SUMIFS(L:L,H:H,Online_eCommerce[[#This Row],[Brand]])</f>
        <v>10950150</v>
      </c>
      <c r="S2312" s="13">
        <f>SUMIF(H:H,Online_eCommerce[[#This Row],[Brand]],M:M)</f>
        <v>14235195</v>
      </c>
      <c r="T2312" s="13">
        <f>SUMIF(N:N,Online_eCommerce[[#This Row],[Assigned Supervisor]],L:L)</f>
        <v>11733610</v>
      </c>
    </row>
    <row r="2313" spans="1:20" hidden="1" x14ac:dyDescent="0.3">
      <c r="A2313" t="s">
        <v>3472</v>
      </c>
      <c r="B2313" t="s">
        <v>235</v>
      </c>
      <c r="C2313" t="s">
        <v>24</v>
      </c>
      <c r="D2313" t="s">
        <v>3340</v>
      </c>
      <c r="E2313" t="s">
        <v>161</v>
      </c>
      <c r="F2313" t="s">
        <v>3473</v>
      </c>
      <c r="G2313" t="s">
        <v>77</v>
      </c>
      <c r="H2313" t="s">
        <v>142</v>
      </c>
      <c r="I2313">
        <v>10000</v>
      </c>
      <c r="J2313">
        <v>13000</v>
      </c>
      <c r="K2313">
        <v>1</v>
      </c>
      <c r="L2313">
        <v>10000</v>
      </c>
      <c r="M2313">
        <v>13000</v>
      </c>
      <c r="N2313" t="s">
        <v>22</v>
      </c>
      <c r="O2313">
        <f t="shared" si="72"/>
        <v>39000</v>
      </c>
      <c r="P2313" s="13">
        <f t="shared" si="73"/>
        <v>2009540</v>
      </c>
      <c r="Q2313" s="13">
        <f>SUMIFS(M:M,E:E,Online_eCommerce[[#This Row],[Status]])</f>
        <v>21103186</v>
      </c>
      <c r="R2313" s="13">
        <f>SUMIFS(L:L,H:H,Online_eCommerce[[#This Row],[Brand]])</f>
        <v>6192500</v>
      </c>
      <c r="S2313" s="13">
        <f>SUMIF(H:H,Online_eCommerce[[#This Row],[Brand]],M:M)</f>
        <v>8050250</v>
      </c>
      <c r="T2313" s="13">
        <f>SUMIF(N:N,Online_eCommerce[[#This Row],[Assigned Supervisor]],L:L)</f>
        <v>13693220</v>
      </c>
    </row>
    <row r="2314" spans="1:20" x14ac:dyDescent="0.3">
      <c r="A2314" t="s">
        <v>3474</v>
      </c>
      <c r="B2314" t="s">
        <v>235</v>
      </c>
      <c r="C2314" t="s">
        <v>31</v>
      </c>
      <c r="D2314" t="s">
        <v>3340</v>
      </c>
      <c r="E2314" t="s">
        <v>46</v>
      </c>
      <c r="F2314" t="s">
        <v>3475</v>
      </c>
      <c r="G2314" t="s">
        <v>20</v>
      </c>
      <c r="H2314" t="s">
        <v>21</v>
      </c>
      <c r="I2314">
        <v>6500</v>
      </c>
      <c r="J2314">
        <v>8450</v>
      </c>
      <c r="K2314">
        <v>1</v>
      </c>
      <c r="L2314">
        <v>6500</v>
      </c>
      <c r="M2314">
        <v>8450</v>
      </c>
      <c r="N2314" t="s">
        <v>28</v>
      </c>
      <c r="O2314">
        <f t="shared" si="72"/>
        <v>8450</v>
      </c>
      <c r="P2314" s="13">
        <f t="shared" si="73"/>
        <v>2865746</v>
      </c>
      <c r="Q2314" s="13">
        <f>SUMIFS(M:M,E:E,Online_eCommerce[[#This Row],[Status]])</f>
        <v>28620410</v>
      </c>
      <c r="R2314" s="13">
        <f>SUMIFS(L:L,H:H,Online_eCommerce[[#This Row],[Brand]])</f>
        <v>12435650</v>
      </c>
      <c r="S2314" s="13">
        <f>SUMIF(H:H,Online_eCommerce[[#This Row],[Brand]],M:M)</f>
        <v>16166345</v>
      </c>
      <c r="T2314" s="13">
        <f>SUMIF(N:N,Online_eCommerce[[#This Row],[Assigned Supervisor]],L:L)</f>
        <v>12220830</v>
      </c>
    </row>
    <row r="2315" spans="1:20" hidden="1" x14ac:dyDescent="0.3">
      <c r="A2315" t="s">
        <v>3476</v>
      </c>
      <c r="B2315" t="s">
        <v>235</v>
      </c>
      <c r="C2315" t="s">
        <v>38</v>
      </c>
      <c r="D2315" t="s">
        <v>3340</v>
      </c>
      <c r="E2315" t="s">
        <v>96</v>
      </c>
      <c r="F2315" t="s">
        <v>3477</v>
      </c>
      <c r="G2315" t="s">
        <v>26</v>
      </c>
      <c r="H2315" t="s">
        <v>27</v>
      </c>
      <c r="I2315">
        <v>8500</v>
      </c>
      <c r="J2315">
        <v>11050</v>
      </c>
      <c r="K2315">
        <v>2</v>
      </c>
      <c r="L2315">
        <v>17000</v>
      </c>
      <c r="M2315">
        <v>22100</v>
      </c>
      <c r="N2315" t="s">
        <v>35</v>
      </c>
      <c r="O2315">
        <f t="shared" si="72"/>
        <v>33150</v>
      </c>
      <c r="P2315" s="13">
        <f t="shared" si="73"/>
        <v>1933997</v>
      </c>
      <c r="Q2315" s="13">
        <f>SUMIFS(M:M,E:E,Online_eCommerce[[#This Row],[Status]])</f>
        <v>21233992</v>
      </c>
      <c r="R2315" s="13">
        <f>SUMIFS(L:L,H:H,Online_eCommerce[[#This Row],[Brand]])</f>
        <v>14431000</v>
      </c>
      <c r="S2315" s="13">
        <f>SUMIF(H:H,Online_eCommerce[[#This Row],[Brand]],M:M)</f>
        <v>18760300</v>
      </c>
      <c r="T2315" s="13">
        <f>SUMIF(N:N,Online_eCommerce[[#This Row],[Assigned Supervisor]],L:L)</f>
        <v>14373360</v>
      </c>
    </row>
    <row r="2316" spans="1:20" hidden="1" x14ac:dyDescent="0.3">
      <c r="A2316" t="s">
        <v>3478</v>
      </c>
      <c r="B2316" t="s">
        <v>235</v>
      </c>
      <c r="C2316" t="s">
        <v>45</v>
      </c>
      <c r="D2316" t="s">
        <v>3340</v>
      </c>
      <c r="E2316" t="s">
        <v>18</v>
      </c>
      <c r="F2316" t="s">
        <v>32</v>
      </c>
      <c r="G2316" t="s">
        <v>33</v>
      </c>
      <c r="H2316" t="s">
        <v>34</v>
      </c>
      <c r="I2316">
        <v>7000</v>
      </c>
      <c r="J2316">
        <v>9100</v>
      </c>
      <c r="K2316">
        <v>4</v>
      </c>
      <c r="L2316">
        <v>28000</v>
      </c>
      <c r="M2316">
        <v>36400</v>
      </c>
      <c r="N2316" t="s">
        <v>42</v>
      </c>
      <c r="O2316">
        <f t="shared" si="72"/>
        <v>18200</v>
      </c>
      <c r="P2316" s="13">
        <f t="shared" si="73"/>
        <v>2842554</v>
      </c>
      <c r="Q2316" s="13">
        <f>SUMIFS(M:M,E:E,Online_eCommerce[[#This Row],[Status]])</f>
        <v>28340455</v>
      </c>
      <c r="R2316" s="13">
        <f>SUMIFS(L:L,H:H,Online_eCommerce[[#This Row],[Brand]])</f>
        <v>10087000</v>
      </c>
      <c r="S2316" s="13">
        <f>SUMIF(H:H,Online_eCommerce[[#This Row],[Brand]],M:M)</f>
        <v>13113100</v>
      </c>
      <c r="T2316" s="13">
        <f>SUMIF(N:N,Online_eCommerce[[#This Row],[Assigned Supervisor]],L:L)</f>
        <v>12261500</v>
      </c>
    </row>
    <row r="2317" spans="1:20" hidden="1" x14ac:dyDescent="0.3">
      <c r="A2317" t="s">
        <v>3479</v>
      </c>
      <c r="B2317" t="s">
        <v>235</v>
      </c>
      <c r="C2317" t="s">
        <v>52</v>
      </c>
      <c r="D2317" t="s">
        <v>3340</v>
      </c>
      <c r="E2317" t="s">
        <v>161</v>
      </c>
      <c r="F2317" t="s">
        <v>3480</v>
      </c>
      <c r="G2317" t="s">
        <v>256</v>
      </c>
      <c r="H2317" t="s">
        <v>41</v>
      </c>
      <c r="I2317">
        <v>6550</v>
      </c>
      <c r="J2317">
        <v>8515</v>
      </c>
      <c r="K2317">
        <v>3</v>
      </c>
      <c r="L2317">
        <v>19650</v>
      </c>
      <c r="M2317">
        <v>25545</v>
      </c>
      <c r="N2317" t="s">
        <v>50</v>
      </c>
      <c r="O2317">
        <f t="shared" si="72"/>
        <v>9100</v>
      </c>
      <c r="P2317" s="13">
        <f t="shared" si="73"/>
        <v>1955044</v>
      </c>
      <c r="Q2317" s="13">
        <f>SUMIFS(M:M,E:E,Online_eCommerce[[#This Row],[Status]])</f>
        <v>21103186</v>
      </c>
      <c r="R2317" s="13">
        <f>SUMIFS(L:L,H:H,Online_eCommerce[[#This Row],[Brand]])</f>
        <v>4260400</v>
      </c>
      <c r="S2317" s="13">
        <f>SUMIF(H:H,Online_eCommerce[[#This Row],[Brand]],M:M)</f>
        <v>5538520</v>
      </c>
      <c r="T2317" s="13">
        <f>SUMIF(N:N,Online_eCommerce[[#This Row],[Assigned Supervisor]],L:L)</f>
        <v>12100590</v>
      </c>
    </row>
    <row r="2318" spans="1:20" x14ac:dyDescent="0.3">
      <c r="A2318" t="s">
        <v>3481</v>
      </c>
      <c r="B2318" t="s">
        <v>235</v>
      </c>
      <c r="C2318" t="s">
        <v>58</v>
      </c>
      <c r="D2318" t="s">
        <v>3340</v>
      </c>
      <c r="E2318" t="s">
        <v>46</v>
      </c>
      <c r="F2318" t="s">
        <v>47</v>
      </c>
      <c r="G2318" t="s">
        <v>259</v>
      </c>
      <c r="H2318" t="s">
        <v>49</v>
      </c>
      <c r="I2318">
        <v>7650</v>
      </c>
      <c r="J2318">
        <v>9945</v>
      </c>
      <c r="K2318">
        <v>3</v>
      </c>
      <c r="L2318">
        <v>22950</v>
      </c>
      <c r="M2318">
        <v>29835</v>
      </c>
      <c r="N2318" t="s">
        <v>56</v>
      </c>
      <c r="O2318">
        <f t="shared" si="72"/>
        <v>11700</v>
      </c>
      <c r="P2318" s="13">
        <f t="shared" si="73"/>
        <v>2629211</v>
      </c>
      <c r="Q2318" s="13">
        <f>SUMIFS(M:M,E:E,Online_eCommerce[[#This Row],[Status]])</f>
        <v>28620410</v>
      </c>
      <c r="R2318" s="13">
        <f>SUMIFS(L:L,H:H,Online_eCommerce[[#This Row],[Brand]])</f>
        <v>4528350</v>
      </c>
      <c r="S2318" s="13">
        <f>SUMIF(H:H,Online_eCommerce[[#This Row],[Brand]],M:M)</f>
        <v>5886855</v>
      </c>
      <c r="T2318" s="13">
        <f>SUMIF(N:N,Online_eCommerce[[#This Row],[Assigned Supervisor]],L:L)</f>
        <v>11733610</v>
      </c>
    </row>
    <row r="2319" spans="1:20" hidden="1" x14ac:dyDescent="0.3">
      <c r="A2319" t="s">
        <v>3482</v>
      </c>
      <c r="B2319" t="s">
        <v>235</v>
      </c>
      <c r="C2319" t="s">
        <v>63</v>
      </c>
      <c r="D2319" t="s">
        <v>3340</v>
      </c>
      <c r="E2319" t="s">
        <v>96</v>
      </c>
      <c r="F2319" t="s">
        <v>53</v>
      </c>
      <c r="G2319" t="s">
        <v>54</v>
      </c>
      <c r="H2319" t="s">
        <v>55</v>
      </c>
      <c r="I2319">
        <v>1150</v>
      </c>
      <c r="J2319">
        <v>1495</v>
      </c>
      <c r="K2319">
        <v>4</v>
      </c>
      <c r="L2319">
        <v>4600</v>
      </c>
      <c r="M2319">
        <v>5980</v>
      </c>
      <c r="N2319" t="s">
        <v>22</v>
      </c>
      <c r="O2319">
        <f t="shared" si="72"/>
        <v>2990</v>
      </c>
      <c r="P2319" s="13">
        <f t="shared" si="73"/>
        <v>2016131</v>
      </c>
      <c r="Q2319" s="13">
        <f>SUMIFS(M:M,E:E,Online_eCommerce[[#This Row],[Status]])</f>
        <v>21233992</v>
      </c>
      <c r="R2319" s="13">
        <f>SUMIFS(L:L,H:H,Online_eCommerce[[#This Row],[Brand]])</f>
        <v>2267380</v>
      </c>
      <c r="S2319" s="13">
        <f>SUMIF(H:H,Online_eCommerce[[#This Row],[Brand]],M:M)</f>
        <v>2947594</v>
      </c>
      <c r="T2319" s="13">
        <f>SUMIF(N:N,Online_eCommerce[[#This Row],[Assigned Supervisor]],L:L)</f>
        <v>13693220</v>
      </c>
    </row>
    <row r="2320" spans="1:20" hidden="1" x14ac:dyDescent="0.3">
      <c r="A2320" t="s">
        <v>3483</v>
      </c>
      <c r="B2320" t="s">
        <v>235</v>
      </c>
      <c r="C2320" t="s">
        <v>68</v>
      </c>
      <c r="D2320" t="s">
        <v>3340</v>
      </c>
      <c r="E2320" t="s">
        <v>18</v>
      </c>
      <c r="F2320" t="s">
        <v>59</v>
      </c>
      <c r="G2320" t="s">
        <v>60</v>
      </c>
      <c r="H2320" t="s">
        <v>61</v>
      </c>
      <c r="I2320">
        <v>850</v>
      </c>
      <c r="J2320">
        <v>1105</v>
      </c>
      <c r="K2320">
        <v>1</v>
      </c>
      <c r="L2320">
        <v>850</v>
      </c>
      <c r="M2320">
        <v>1105</v>
      </c>
      <c r="N2320" t="s">
        <v>28</v>
      </c>
      <c r="O2320">
        <f t="shared" si="72"/>
        <v>3315</v>
      </c>
      <c r="P2320" s="13">
        <f t="shared" si="73"/>
        <v>2974621</v>
      </c>
      <c r="Q2320" s="13">
        <f>SUMIFS(M:M,E:E,Online_eCommerce[[#This Row],[Status]])</f>
        <v>28340455</v>
      </c>
      <c r="R2320" s="13">
        <f>SUMIFS(L:L,H:H,Online_eCommerce[[#This Row],[Brand]])</f>
        <v>10950150</v>
      </c>
      <c r="S2320" s="13">
        <f>SUMIF(H:H,Online_eCommerce[[#This Row],[Brand]],M:M)</f>
        <v>14235195</v>
      </c>
      <c r="T2320" s="13">
        <f>SUMIF(N:N,Online_eCommerce[[#This Row],[Assigned Supervisor]],L:L)</f>
        <v>12220830</v>
      </c>
    </row>
    <row r="2321" spans="1:20" hidden="1" x14ac:dyDescent="0.3">
      <c r="A2321" t="s">
        <v>3484</v>
      </c>
      <c r="B2321" t="s">
        <v>235</v>
      </c>
      <c r="C2321" t="s">
        <v>74</v>
      </c>
      <c r="D2321" t="s">
        <v>3340</v>
      </c>
      <c r="E2321" t="s">
        <v>161</v>
      </c>
      <c r="F2321" t="s">
        <v>65</v>
      </c>
      <c r="G2321" t="s">
        <v>66</v>
      </c>
      <c r="H2321" t="s">
        <v>21</v>
      </c>
      <c r="I2321">
        <v>650</v>
      </c>
      <c r="J2321">
        <v>845</v>
      </c>
      <c r="K2321">
        <v>1</v>
      </c>
      <c r="L2321">
        <v>650</v>
      </c>
      <c r="M2321">
        <v>845</v>
      </c>
      <c r="N2321" t="s">
        <v>35</v>
      </c>
      <c r="O2321">
        <f t="shared" si="72"/>
        <v>1690</v>
      </c>
      <c r="P2321" s="13">
        <f t="shared" si="73"/>
        <v>2144701</v>
      </c>
      <c r="Q2321" s="13">
        <f>SUMIFS(M:M,E:E,Online_eCommerce[[#This Row],[Status]])</f>
        <v>21103186</v>
      </c>
      <c r="R2321" s="13">
        <f>SUMIFS(L:L,H:H,Online_eCommerce[[#This Row],[Brand]])</f>
        <v>12435650</v>
      </c>
      <c r="S2321" s="13">
        <f>SUMIF(H:H,Online_eCommerce[[#This Row],[Brand]],M:M)</f>
        <v>16166345</v>
      </c>
      <c r="T2321" s="13">
        <f>SUMIF(N:N,Online_eCommerce[[#This Row],[Assigned Supervisor]],L:L)</f>
        <v>14373360</v>
      </c>
    </row>
    <row r="2322" spans="1:20" x14ac:dyDescent="0.3">
      <c r="A2322" t="s">
        <v>3485</v>
      </c>
      <c r="B2322" t="s">
        <v>235</v>
      </c>
      <c r="C2322" t="s">
        <v>81</v>
      </c>
      <c r="D2322" t="s">
        <v>3340</v>
      </c>
      <c r="E2322" t="s">
        <v>46</v>
      </c>
      <c r="F2322" t="s">
        <v>70</v>
      </c>
      <c r="G2322" t="s">
        <v>71</v>
      </c>
      <c r="H2322" t="s">
        <v>61</v>
      </c>
      <c r="I2322">
        <v>7500</v>
      </c>
      <c r="J2322">
        <v>9750</v>
      </c>
      <c r="K2322">
        <v>4</v>
      </c>
      <c r="L2322">
        <v>30000</v>
      </c>
      <c r="M2322">
        <v>39000</v>
      </c>
      <c r="N2322" t="s">
        <v>42</v>
      </c>
      <c r="O2322">
        <f t="shared" si="72"/>
        <v>9750</v>
      </c>
      <c r="P2322" s="13">
        <f t="shared" si="73"/>
        <v>2595632</v>
      </c>
      <c r="Q2322" s="13">
        <f>SUMIFS(M:M,E:E,Online_eCommerce[[#This Row],[Status]])</f>
        <v>28620410</v>
      </c>
      <c r="R2322" s="13">
        <f>SUMIFS(L:L,H:H,Online_eCommerce[[#This Row],[Brand]])</f>
        <v>10950150</v>
      </c>
      <c r="S2322" s="13">
        <f>SUMIF(H:H,Online_eCommerce[[#This Row],[Brand]],M:M)</f>
        <v>14235195</v>
      </c>
      <c r="T2322" s="13">
        <f>SUMIF(N:N,Online_eCommerce[[#This Row],[Assigned Supervisor]],L:L)</f>
        <v>12261500</v>
      </c>
    </row>
    <row r="2323" spans="1:20" hidden="1" x14ac:dyDescent="0.3">
      <c r="A2323" t="s">
        <v>3486</v>
      </c>
      <c r="B2323" t="s">
        <v>235</v>
      </c>
      <c r="C2323" t="s">
        <v>86</v>
      </c>
      <c r="D2323" t="s">
        <v>3340</v>
      </c>
      <c r="E2323" t="s">
        <v>96</v>
      </c>
      <c r="F2323" t="s">
        <v>3473</v>
      </c>
      <c r="G2323" t="s">
        <v>77</v>
      </c>
      <c r="H2323" t="s">
        <v>78</v>
      </c>
      <c r="I2323">
        <v>10000</v>
      </c>
      <c r="J2323">
        <v>13000</v>
      </c>
      <c r="K2323">
        <v>2</v>
      </c>
      <c r="L2323">
        <v>20000</v>
      </c>
      <c r="M2323">
        <v>26000</v>
      </c>
      <c r="N2323" t="s">
        <v>50</v>
      </c>
      <c r="O2323">
        <f t="shared" si="72"/>
        <v>39000</v>
      </c>
      <c r="P2323" s="13">
        <f t="shared" si="73"/>
        <v>1941225</v>
      </c>
      <c r="Q2323" s="13">
        <f>SUMIFS(M:M,E:E,Online_eCommerce[[#This Row],[Status]])</f>
        <v>21233992</v>
      </c>
      <c r="R2323" s="13">
        <f>SUMIFS(L:L,H:H,Online_eCommerce[[#This Row],[Brand]])</f>
        <v>3720000</v>
      </c>
      <c r="S2323" s="13">
        <f>SUMIF(H:H,Online_eCommerce[[#This Row],[Brand]],M:M)</f>
        <v>4836000</v>
      </c>
      <c r="T2323" s="13">
        <f>SUMIF(N:N,Online_eCommerce[[#This Row],[Assigned Supervisor]],L:L)</f>
        <v>12100590</v>
      </c>
    </row>
    <row r="2324" spans="1:20" hidden="1" x14ac:dyDescent="0.3">
      <c r="A2324" t="s">
        <v>3487</v>
      </c>
      <c r="B2324" t="s">
        <v>235</v>
      </c>
      <c r="C2324" t="s">
        <v>91</v>
      </c>
      <c r="D2324" t="s">
        <v>3340</v>
      </c>
      <c r="E2324" t="s">
        <v>18</v>
      </c>
      <c r="F2324" t="s">
        <v>3488</v>
      </c>
      <c r="G2324" t="s">
        <v>20</v>
      </c>
      <c r="H2324" t="s">
        <v>21</v>
      </c>
      <c r="I2324">
        <v>10500</v>
      </c>
      <c r="J2324">
        <v>13650</v>
      </c>
      <c r="K2324">
        <v>3</v>
      </c>
      <c r="L2324">
        <v>31500</v>
      </c>
      <c r="M2324">
        <v>40950</v>
      </c>
      <c r="N2324" t="s">
        <v>56</v>
      </c>
      <c r="O2324">
        <f t="shared" si="72"/>
        <v>8450</v>
      </c>
      <c r="P2324" s="13">
        <f t="shared" si="73"/>
        <v>2731963</v>
      </c>
      <c r="Q2324" s="13">
        <f>SUMIFS(M:M,E:E,Online_eCommerce[[#This Row],[Status]])</f>
        <v>28340455</v>
      </c>
      <c r="R2324" s="13">
        <f>SUMIFS(L:L,H:H,Online_eCommerce[[#This Row],[Brand]])</f>
        <v>12435650</v>
      </c>
      <c r="S2324" s="13">
        <f>SUMIF(H:H,Online_eCommerce[[#This Row],[Brand]],M:M)</f>
        <v>16166345</v>
      </c>
      <c r="T2324" s="13">
        <f>SUMIF(N:N,Online_eCommerce[[#This Row],[Assigned Supervisor]],L:L)</f>
        <v>11733610</v>
      </c>
    </row>
    <row r="2325" spans="1:20" hidden="1" x14ac:dyDescent="0.3">
      <c r="A2325" t="s">
        <v>3489</v>
      </c>
      <c r="B2325" t="s">
        <v>235</v>
      </c>
      <c r="C2325" t="s">
        <v>94</v>
      </c>
      <c r="D2325" t="s">
        <v>3340</v>
      </c>
      <c r="E2325" t="s">
        <v>161</v>
      </c>
      <c r="F2325" t="s">
        <v>88</v>
      </c>
      <c r="G2325" t="s">
        <v>26</v>
      </c>
      <c r="H2325" t="s">
        <v>27</v>
      </c>
      <c r="I2325">
        <v>8500</v>
      </c>
      <c r="J2325">
        <v>11050</v>
      </c>
      <c r="K2325">
        <v>2</v>
      </c>
      <c r="L2325">
        <v>17000</v>
      </c>
      <c r="M2325">
        <v>22100</v>
      </c>
      <c r="N2325" t="s">
        <v>22</v>
      </c>
      <c r="O2325">
        <f t="shared" si="72"/>
        <v>33150</v>
      </c>
      <c r="P2325" s="13">
        <f t="shared" si="73"/>
        <v>1868256</v>
      </c>
      <c r="Q2325" s="13">
        <f>SUMIFS(M:M,E:E,Online_eCommerce[[#This Row],[Status]])</f>
        <v>21103186</v>
      </c>
      <c r="R2325" s="13">
        <f>SUMIFS(L:L,H:H,Online_eCommerce[[#This Row],[Brand]])</f>
        <v>14431000</v>
      </c>
      <c r="S2325" s="13">
        <f>SUMIF(H:H,Online_eCommerce[[#This Row],[Brand]],M:M)</f>
        <v>18760300</v>
      </c>
      <c r="T2325" s="13">
        <f>SUMIF(N:N,Online_eCommerce[[#This Row],[Assigned Supervisor]],L:L)</f>
        <v>13693220</v>
      </c>
    </row>
    <row r="2326" spans="1:20" x14ac:dyDescent="0.3">
      <c r="A2326" t="s">
        <v>3490</v>
      </c>
      <c r="B2326" t="s">
        <v>235</v>
      </c>
      <c r="C2326" t="s">
        <v>99</v>
      </c>
      <c r="D2326" t="s">
        <v>3340</v>
      </c>
      <c r="E2326" t="s">
        <v>46</v>
      </c>
      <c r="F2326" t="s">
        <v>32</v>
      </c>
      <c r="G2326" t="s">
        <v>33</v>
      </c>
      <c r="H2326" t="s">
        <v>34</v>
      </c>
      <c r="I2326">
        <v>7000</v>
      </c>
      <c r="J2326">
        <v>9100</v>
      </c>
      <c r="K2326">
        <v>1</v>
      </c>
      <c r="L2326">
        <v>7000</v>
      </c>
      <c r="M2326">
        <v>9100</v>
      </c>
      <c r="N2326" t="s">
        <v>28</v>
      </c>
      <c r="O2326">
        <f t="shared" si="72"/>
        <v>18200</v>
      </c>
      <c r="P2326" s="13">
        <f t="shared" si="73"/>
        <v>2651233</v>
      </c>
      <c r="Q2326" s="13">
        <f>SUMIFS(M:M,E:E,Online_eCommerce[[#This Row],[Status]])</f>
        <v>28620410</v>
      </c>
      <c r="R2326" s="13">
        <f>SUMIFS(L:L,H:H,Online_eCommerce[[#This Row],[Brand]])</f>
        <v>10087000</v>
      </c>
      <c r="S2326" s="13">
        <f>SUMIF(H:H,Online_eCommerce[[#This Row],[Brand]],M:M)</f>
        <v>13113100</v>
      </c>
      <c r="T2326" s="13">
        <f>SUMIF(N:N,Online_eCommerce[[#This Row],[Assigned Supervisor]],L:L)</f>
        <v>12220830</v>
      </c>
    </row>
    <row r="2327" spans="1:20" hidden="1" x14ac:dyDescent="0.3">
      <c r="A2327" t="s">
        <v>3491</v>
      </c>
      <c r="B2327" t="s">
        <v>235</v>
      </c>
      <c r="C2327" t="s">
        <v>105</v>
      </c>
      <c r="D2327" t="s">
        <v>3340</v>
      </c>
      <c r="E2327" t="s">
        <v>96</v>
      </c>
      <c r="F2327" t="s">
        <v>3492</v>
      </c>
      <c r="G2327" t="s">
        <v>256</v>
      </c>
      <c r="H2327" t="s">
        <v>41</v>
      </c>
      <c r="I2327">
        <v>1680</v>
      </c>
      <c r="J2327">
        <v>2184</v>
      </c>
      <c r="K2327">
        <v>4</v>
      </c>
      <c r="L2327">
        <v>6720</v>
      </c>
      <c r="M2327">
        <v>8736</v>
      </c>
      <c r="N2327" t="s">
        <v>35</v>
      </c>
      <c r="O2327">
        <f t="shared" si="72"/>
        <v>9100</v>
      </c>
      <c r="P2327" s="13">
        <f t="shared" si="73"/>
        <v>1866852</v>
      </c>
      <c r="Q2327" s="13">
        <f>SUMIFS(M:M,E:E,Online_eCommerce[[#This Row],[Status]])</f>
        <v>21233992</v>
      </c>
      <c r="R2327" s="13">
        <f>SUMIFS(L:L,H:H,Online_eCommerce[[#This Row],[Brand]])</f>
        <v>4260400</v>
      </c>
      <c r="S2327" s="13">
        <f>SUMIF(H:H,Online_eCommerce[[#This Row],[Brand]],M:M)</f>
        <v>5538520</v>
      </c>
      <c r="T2327" s="13">
        <f>SUMIF(N:N,Online_eCommerce[[#This Row],[Assigned Supervisor]],L:L)</f>
        <v>14373360</v>
      </c>
    </row>
    <row r="2328" spans="1:20" hidden="1" x14ac:dyDescent="0.3">
      <c r="A2328" t="s">
        <v>3493</v>
      </c>
      <c r="B2328" t="s">
        <v>235</v>
      </c>
      <c r="C2328" t="s">
        <v>110</v>
      </c>
      <c r="D2328" t="s">
        <v>3340</v>
      </c>
      <c r="E2328" t="s">
        <v>18</v>
      </c>
      <c r="F2328" t="s">
        <v>101</v>
      </c>
      <c r="G2328" t="s">
        <v>259</v>
      </c>
      <c r="H2328" t="s">
        <v>102</v>
      </c>
      <c r="I2328">
        <v>6540</v>
      </c>
      <c r="J2328">
        <v>8502</v>
      </c>
      <c r="K2328">
        <v>1</v>
      </c>
      <c r="L2328">
        <v>6540</v>
      </c>
      <c r="M2328">
        <v>8502</v>
      </c>
      <c r="N2328" t="s">
        <v>42</v>
      </c>
      <c r="O2328">
        <f t="shared" si="72"/>
        <v>11700</v>
      </c>
      <c r="P2328" s="13">
        <f t="shared" si="73"/>
        <v>2598635</v>
      </c>
      <c r="Q2328" s="13">
        <f>SUMIFS(M:M,E:E,Online_eCommerce[[#This Row],[Status]])</f>
        <v>28340455</v>
      </c>
      <c r="R2328" s="13">
        <f>SUMIFS(L:L,H:H,Online_eCommerce[[#This Row],[Brand]])</f>
        <v>2465580</v>
      </c>
      <c r="S2328" s="13">
        <f>SUMIF(H:H,Online_eCommerce[[#This Row],[Brand]],M:M)</f>
        <v>3205254</v>
      </c>
      <c r="T2328" s="13">
        <f>SUMIF(N:N,Online_eCommerce[[#This Row],[Assigned Supervisor]],L:L)</f>
        <v>12261500</v>
      </c>
    </row>
    <row r="2329" spans="1:20" hidden="1" x14ac:dyDescent="0.3">
      <c r="A2329" t="s">
        <v>3494</v>
      </c>
      <c r="B2329" t="s">
        <v>235</v>
      </c>
      <c r="C2329" t="s">
        <v>115</v>
      </c>
      <c r="D2329" t="s">
        <v>3340</v>
      </c>
      <c r="E2329" t="s">
        <v>161</v>
      </c>
      <c r="F2329" t="s">
        <v>107</v>
      </c>
      <c r="G2329" t="s">
        <v>54</v>
      </c>
      <c r="H2329" t="s">
        <v>55</v>
      </c>
      <c r="I2329">
        <v>2680</v>
      </c>
      <c r="J2329">
        <v>3484</v>
      </c>
      <c r="K2329">
        <v>4</v>
      </c>
      <c r="L2329">
        <v>10720</v>
      </c>
      <c r="M2329">
        <v>13936</v>
      </c>
      <c r="N2329" t="s">
        <v>50</v>
      </c>
      <c r="O2329">
        <f t="shared" si="72"/>
        <v>2990</v>
      </c>
      <c r="P2329" s="13">
        <f t="shared" si="73"/>
        <v>2050178</v>
      </c>
      <c r="Q2329" s="13">
        <f>SUMIFS(M:M,E:E,Online_eCommerce[[#This Row],[Status]])</f>
        <v>21103186</v>
      </c>
      <c r="R2329" s="13">
        <f>SUMIFS(L:L,H:H,Online_eCommerce[[#This Row],[Brand]])</f>
        <v>2267380</v>
      </c>
      <c r="S2329" s="13">
        <f>SUMIF(H:H,Online_eCommerce[[#This Row],[Brand]],M:M)</f>
        <v>2947594</v>
      </c>
      <c r="T2329" s="13">
        <f>SUMIF(N:N,Online_eCommerce[[#This Row],[Assigned Supervisor]],L:L)</f>
        <v>12100590</v>
      </c>
    </row>
    <row r="2330" spans="1:20" x14ac:dyDescent="0.3">
      <c r="A2330" t="s">
        <v>3495</v>
      </c>
      <c r="B2330" t="s">
        <v>235</v>
      </c>
      <c r="C2330" t="s">
        <v>120</v>
      </c>
      <c r="D2330" t="s">
        <v>3340</v>
      </c>
      <c r="E2330" t="s">
        <v>46</v>
      </c>
      <c r="F2330" t="s">
        <v>112</v>
      </c>
      <c r="G2330" t="s">
        <v>71</v>
      </c>
      <c r="H2330" t="s">
        <v>21</v>
      </c>
      <c r="I2330">
        <v>8250</v>
      </c>
      <c r="J2330">
        <v>10725</v>
      </c>
      <c r="K2330">
        <v>4</v>
      </c>
      <c r="L2330">
        <v>33000</v>
      </c>
      <c r="M2330">
        <v>42900</v>
      </c>
      <c r="N2330" t="s">
        <v>56</v>
      </c>
      <c r="O2330">
        <f t="shared" si="72"/>
        <v>9750</v>
      </c>
      <c r="P2330" s="13">
        <f t="shared" si="73"/>
        <v>2734212</v>
      </c>
      <c r="Q2330" s="13">
        <f>SUMIFS(M:M,E:E,Online_eCommerce[[#This Row],[Status]])</f>
        <v>28620410</v>
      </c>
      <c r="R2330" s="13">
        <f>SUMIFS(L:L,H:H,Online_eCommerce[[#This Row],[Brand]])</f>
        <v>12435650</v>
      </c>
      <c r="S2330" s="13">
        <f>SUMIF(H:H,Online_eCommerce[[#This Row],[Brand]],M:M)</f>
        <v>16166345</v>
      </c>
      <c r="T2330" s="13">
        <f>SUMIF(N:N,Online_eCommerce[[#This Row],[Assigned Supervisor]],L:L)</f>
        <v>11733610</v>
      </c>
    </row>
    <row r="2331" spans="1:20" hidden="1" x14ac:dyDescent="0.3">
      <c r="A2331" t="s">
        <v>3496</v>
      </c>
      <c r="B2331" t="s">
        <v>235</v>
      </c>
      <c r="C2331" t="s">
        <v>125</v>
      </c>
      <c r="D2331" t="s">
        <v>3340</v>
      </c>
      <c r="E2331" t="s">
        <v>96</v>
      </c>
      <c r="F2331" t="s">
        <v>3140</v>
      </c>
      <c r="G2331" t="s">
        <v>40</v>
      </c>
      <c r="H2331" t="s">
        <v>21</v>
      </c>
      <c r="I2331">
        <v>2650</v>
      </c>
      <c r="J2331">
        <v>3445</v>
      </c>
      <c r="K2331">
        <v>1</v>
      </c>
      <c r="L2331">
        <v>2650</v>
      </c>
      <c r="M2331">
        <v>3445</v>
      </c>
      <c r="N2331" t="s">
        <v>22</v>
      </c>
      <c r="O2331">
        <f t="shared" si="72"/>
        <v>25545</v>
      </c>
      <c r="P2331" s="13">
        <f t="shared" si="73"/>
        <v>2091154</v>
      </c>
      <c r="Q2331" s="13">
        <f>SUMIFS(M:M,E:E,Online_eCommerce[[#This Row],[Status]])</f>
        <v>21233992</v>
      </c>
      <c r="R2331" s="13">
        <f>SUMIFS(L:L,H:H,Online_eCommerce[[#This Row],[Brand]])</f>
        <v>12435650</v>
      </c>
      <c r="S2331" s="13">
        <f>SUMIF(H:H,Online_eCommerce[[#This Row],[Brand]],M:M)</f>
        <v>16166345</v>
      </c>
      <c r="T2331" s="13">
        <f>SUMIF(N:N,Online_eCommerce[[#This Row],[Assigned Supervisor]],L:L)</f>
        <v>13693220</v>
      </c>
    </row>
    <row r="2332" spans="1:20" hidden="1" x14ac:dyDescent="0.3">
      <c r="A2332" t="s">
        <v>3497</v>
      </c>
      <c r="B2332" t="s">
        <v>235</v>
      </c>
      <c r="C2332" t="s">
        <v>22</v>
      </c>
      <c r="D2332" t="s">
        <v>3340</v>
      </c>
      <c r="E2332" t="s">
        <v>18</v>
      </c>
      <c r="F2332" t="s">
        <v>121</v>
      </c>
      <c r="G2332" t="s">
        <v>71</v>
      </c>
      <c r="H2332" t="s">
        <v>122</v>
      </c>
      <c r="I2332">
        <v>12550</v>
      </c>
      <c r="J2332">
        <v>16315</v>
      </c>
      <c r="K2332">
        <v>3</v>
      </c>
      <c r="L2332">
        <v>37650</v>
      </c>
      <c r="M2332">
        <v>48945</v>
      </c>
      <c r="N2332" t="s">
        <v>28</v>
      </c>
      <c r="O2332">
        <f t="shared" si="72"/>
        <v>9750</v>
      </c>
      <c r="P2332" s="13">
        <f t="shared" si="73"/>
        <v>2551588</v>
      </c>
      <c r="Q2332" s="13">
        <f>SUMIFS(M:M,E:E,Online_eCommerce[[#This Row],[Status]])</f>
        <v>28340455</v>
      </c>
      <c r="R2332" s="13">
        <f>SUMIFS(L:L,H:H,Online_eCommerce[[#This Row],[Brand]])</f>
        <v>5045100</v>
      </c>
      <c r="S2332" s="13">
        <f>SUMIF(H:H,Online_eCommerce[[#This Row],[Brand]],M:M)</f>
        <v>6558630</v>
      </c>
      <c r="T2332" s="13">
        <f>SUMIF(N:N,Online_eCommerce[[#This Row],[Assigned Supervisor]],L:L)</f>
        <v>12220830</v>
      </c>
    </row>
    <row r="2333" spans="1:20" hidden="1" x14ac:dyDescent="0.3">
      <c r="A2333" t="s">
        <v>3498</v>
      </c>
      <c r="B2333" t="s">
        <v>235</v>
      </c>
      <c r="C2333" t="s">
        <v>132</v>
      </c>
      <c r="D2333" t="s">
        <v>3340</v>
      </c>
      <c r="E2333" t="s">
        <v>161</v>
      </c>
      <c r="F2333" t="s">
        <v>126</v>
      </c>
      <c r="G2333" t="s">
        <v>26</v>
      </c>
      <c r="H2333" t="s">
        <v>27</v>
      </c>
      <c r="I2333">
        <v>14500</v>
      </c>
      <c r="J2333">
        <v>18850</v>
      </c>
      <c r="K2333">
        <v>1</v>
      </c>
      <c r="L2333">
        <v>14500</v>
      </c>
      <c r="M2333">
        <v>18850</v>
      </c>
      <c r="N2333" t="s">
        <v>35</v>
      </c>
      <c r="O2333">
        <f t="shared" si="72"/>
        <v>33150</v>
      </c>
      <c r="P2333" s="13">
        <f t="shared" si="73"/>
        <v>1989065</v>
      </c>
      <c r="Q2333" s="13">
        <f>SUMIFS(M:M,E:E,Online_eCommerce[[#This Row],[Status]])</f>
        <v>21103186</v>
      </c>
      <c r="R2333" s="13">
        <f>SUMIFS(L:L,H:H,Online_eCommerce[[#This Row],[Brand]])</f>
        <v>14431000</v>
      </c>
      <c r="S2333" s="13">
        <f>SUMIF(H:H,Online_eCommerce[[#This Row],[Brand]],M:M)</f>
        <v>18760300</v>
      </c>
      <c r="T2333" s="13">
        <f>SUMIF(N:N,Online_eCommerce[[#This Row],[Assigned Supervisor]],L:L)</f>
        <v>14373360</v>
      </c>
    </row>
    <row r="2334" spans="1:20" x14ac:dyDescent="0.3">
      <c r="A2334" t="s">
        <v>3499</v>
      </c>
      <c r="B2334" t="s">
        <v>235</v>
      </c>
      <c r="C2334" t="s">
        <v>136</v>
      </c>
      <c r="D2334" t="s">
        <v>3340</v>
      </c>
      <c r="E2334" t="s">
        <v>46</v>
      </c>
      <c r="F2334" t="s">
        <v>129</v>
      </c>
      <c r="G2334" t="s">
        <v>60</v>
      </c>
      <c r="H2334" t="s">
        <v>61</v>
      </c>
      <c r="I2334">
        <v>800</v>
      </c>
      <c r="J2334">
        <v>1040</v>
      </c>
      <c r="K2334">
        <v>4</v>
      </c>
      <c r="L2334">
        <v>3200</v>
      </c>
      <c r="M2334">
        <v>4160</v>
      </c>
      <c r="N2334" t="s">
        <v>42</v>
      </c>
      <c r="O2334">
        <f t="shared" si="72"/>
        <v>3315</v>
      </c>
      <c r="P2334" s="13">
        <f t="shared" si="73"/>
        <v>2775162</v>
      </c>
      <c r="Q2334" s="13">
        <f>SUMIFS(M:M,E:E,Online_eCommerce[[#This Row],[Status]])</f>
        <v>28620410</v>
      </c>
      <c r="R2334" s="13">
        <f>SUMIFS(L:L,H:H,Online_eCommerce[[#This Row],[Brand]])</f>
        <v>10950150</v>
      </c>
      <c r="S2334" s="13">
        <f>SUMIF(H:H,Online_eCommerce[[#This Row],[Brand]],M:M)</f>
        <v>14235195</v>
      </c>
      <c r="T2334" s="13">
        <f>SUMIF(N:N,Online_eCommerce[[#This Row],[Assigned Supervisor]],L:L)</f>
        <v>12261500</v>
      </c>
    </row>
    <row r="2335" spans="1:20" hidden="1" x14ac:dyDescent="0.3">
      <c r="A2335" t="s">
        <v>3500</v>
      </c>
      <c r="B2335" t="s">
        <v>235</v>
      </c>
      <c r="C2335" t="s">
        <v>140</v>
      </c>
      <c r="D2335" t="s">
        <v>3340</v>
      </c>
      <c r="E2335" t="s">
        <v>96</v>
      </c>
      <c r="F2335" t="s">
        <v>133</v>
      </c>
      <c r="G2335" t="s">
        <v>66</v>
      </c>
      <c r="H2335" t="s">
        <v>21</v>
      </c>
      <c r="I2335">
        <v>600</v>
      </c>
      <c r="J2335">
        <v>780</v>
      </c>
      <c r="K2335">
        <v>2</v>
      </c>
      <c r="L2335">
        <v>1200</v>
      </c>
      <c r="M2335">
        <v>1560</v>
      </c>
      <c r="N2335" t="s">
        <v>50</v>
      </c>
      <c r="O2335">
        <f t="shared" si="72"/>
        <v>1690</v>
      </c>
      <c r="P2335" s="13">
        <f t="shared" si="73"/>
        <v>2058264</v>
      </c>
      <c r="Q2335" s="13">
        <f>SUMIFS(M:M,E:E,Online_eCommerce[[#This Row],[Status]])</f>
        <v>21233992</v>
      </c>
      <c r="R2335" s="13">
        <f>SUMIFS(L:L,H:H,Online_eCommerce[[#This Row],[Brand]])</f>
        <v>12435650</v>
      </c>
      <c r="S2335" s="13">
        <f>SUMIF(H:H,Online_eCommerce[[#This Row],[Brand]],M:M)</f>
        <v>16166345</v>
      </c>
      <c r="T2335" s="13">
        <f>SUMIF(N:N,Online_eCommerce[[#This Row],[Assigned Supervisor]],L:L)</f>
        <v>12100590</v>
      </c>
    </row>
    <row r="2336" spans="1:20" hidden="1" x14ac:dyDescent="0.3">
      <c r="A2336" t="s">
        <v>3501</v>
      </c>
      <c r="B2336" t="s">
        <v>235</v>
      </c>
      <c r="C2336" t="s">
        <v>145</v>
      </c>
      <c r="D2336" t="s">
        <v>3340</v>
      </c>
      <c r="E2336" t="s">
        <v>18</v>
      </c>
      <c r="F2336" t="s">
        <v>137</v>
      </c>
      <c r="G2336" t="s">
        <v>71</v>
      </c>
      <c r="H2336" t="s">
        <v>61</v>
      </c>
      <c r="I2336">
        <v>10500</v>
      </c>
      <c r="J2336">
        <v>13650</v>
      </c>
      <c r="K2336">
        <v>1</v>
      </c>
      <c r="L2336">
        <v>10500</v>
      </c>
      <c r="M2336">
        <v>13650</v>
      </c>
      <c r="N2336" t="s">
        <v>56</v>
      </c>
      <c r="O2336">
        <f t="shared" si="72"/>
        <v>9750</v>
      </c>
      <c r="P2336" s="13">
        <f t="shared" si="73"/>
        <v>2757859</v>
      </c>
      <c r="Q2336" s="13">
        <f>SUMIFS(M:M,E:E,Online_eCommerce[[#This Row],[Status]])</f>
        <v>28340455</v>
      </c>
      <c r="R2336" s="13">
        <f>SUMIFS(L:L,H:H,Online_eCommerce[[#This Row],[Brand]])</f>
        <v>10950150</v>
      </c>
      <c r="S2336" s="13">
        <f>SUMIF(H:H,Online_eCommerce[[#This Row],[Brand]],M:M)</f>
        <v>14235195</v>
      </c>
      <c r="T2336" s="13">
        <f>SUMIF(N:N,Online_eCommerce[[#This Row],[Assigned Supervisor]],L:L)</f>
        <v>11733610</v>
      </c>
    </row>
    <row r="2337" spans="1:20" hidden="1" x14ac:dyDescent="0.3">
      <c r="A2337" t="s">
        <v>3502</v>
      </c>
      <c r="B2337" t="s">
        <v>235</v>
      </c>
      <c r="C2337" t="s">
        <v>150</v>
      </c>
      <c r="D2337" t="s">
        <v>3340</v>
      </c>
      <c r="E2337" t="s">
        <v>161</v>
      </c>
      <c r="F2337" t="s">
        <v>3473</v>
      </c>
      <c r="G2337" t="s">
        <v>77</v>
      </c>
      <c r="H2337" t="s">
        <v>142</v>
      </c>
      <c r="I2337">
        <v>6500</v>
      </c>
      <c r="J2337">
        <v>8450</v>
      </c>
      <c r="K2337">
        <v>2</v>
      </c>
      <c r="L2337">
        <v>13000</v>
      </c>
      <c r="M2337">
        <v>16900</v>
      </c>
      <c r="N2337" t="s">
        <v>22</v>
      </c>
      <c r="O2337">
        <f t="shared" si="72"/>
        <v>39000</v>
      </c>
      <c r="P2337" s="13">
        <f t="shared" si="73"/>
        <v>2154984</v>
      </c>
      <c r="Q2337" s="13">
        <f>SUMIFS(M:M,E:E,Online_eCommerce[[#This Row],[Status]])</f>
        <v>21103186</v>
      </c>
      <c r="R2337" s="13">
        <f>SUMIFS(L:L,H:H,Online_eCommerce[[#This Row],[Brand]])</f>
        <v>6192500</v>
      </c>
      <c r="S2337" s="13">
        <f>SUMIF(H:H,Online_eCommerce[[#This Row],[Brand]],M:M)</f>
        <v>8050250</v>
      </c>
      <c r="T2337" s="13">
        <f>SUMIF(N:N,Online_eCommerce[[#This Row],[Assigned Supervisor]],L:L)</f>
        <v>13693220</v>
      </c>
    </row>
    <row r="2338" spans="1:20" x14ac:dyDescent="0.3">
      <c r="A2338" t="s">
        <v>3503</v>
      </c>
      <c r="B2338" t="s">
        <v>235</v>
      </c>
      <c r="C2338" t="s">
        <v>155</v>
      </c>
      <c r="D2338" t="s">
        <v>3340</v>
      </c>
      <c r="E2338" t="s">
        <v>46</v>
      </c>
      <c r="F2338" t="s">
        <v>3504</v>
      </c>
      <c r="G2338" t="s">
        <v>20</v>
      </c>
      <c r="H2338" t="s">
        <v>21</v>
      </c>
      <c r="I2338">
        <v>4500</v>
      </c>
      <c r="J2338">
        <v>5850</v>
      </c>
      <c r="K2338">
        <v>3</v>
      </c>
      <c r="L2338">
        <v>13500</v>
      </c>
      <c r="M2338">
        <v>17550</v>
      </c>
      <c r="N2338" t="s">
        <v>28</v>
      </c>
      <c r="O2338">
        <f t="shared" si="72"/>
        <v>8450</v>
      </c>
      <c r="P2338" s="13">
        <f t="shared" si="73"/>
        <v>2753348</v>
      </c>
      <c r="Q2338" s="13">
        <f>SUMIFS(M:M,E:E,Online_eCommerce[[#This Row],[Status]])</f>
        <v>28620410</v>
      </c>
      <c r="R2338" s="13">
        <f>SUMIFS(L:L,H:H,Online_eCommerce[[#This Row],[Brand]])</f>
        <v>12435650</v>
      </c>
      <c r="S2338" s="13">
        <f>SUMIF(H:H,Online_eCommerce[[#This Row],[Brand]],M:M)</f>
        <v>16166345</v>
      </c>
      <c r="T2338" s="13">
        <f>SUMIF(N:N,Online_eCommerce[[#This Row],[Assigned Supervisor]],L:L)</f>
        <v>12220830</v>
      </c>
    </row>
    <row r="2339" spans="1:20" hidden="1" x14ac:dyDescent="0.3">
      <c r="A2339" t="s">
        <v>3505</v>
      </c>
      <c r="B2339" t="s">
        <v>235</v>
      </c>
      <c r="C2339" t="s">
        <v>160</v>
      </c>
      <c r="D2339" t="s">
        <v>3340</v>
      </c>
      <c r="E2339" t="s">
        <v>96</v>
      </c>
      <c r="F2339" t="s">
        <v>152</v>
      </c>
      <c r="G2339" t="s">
        <v>26</v>
      </c>
      <c r="H2339" t="s">
        <v>27</v>
      </c>
      <c r="I2339">
        <v>8500</v>
      </c>
      <c r="J2339">
        <v>11050</v>
      </c>
      <c r="K2339">
        <v>4</v>
      </c>
      <c r="L2339">
        <v>34000</v>
      </c>
      <c r="M2339">
        <v>44200</v>
      </c>
      <c r="N2339" t="s">
        <v>35</v>
      </c>
      <c r="O2339">
        <f t="shared" si="72"/>
        <v>33150</v>
      </c>
      <c r="P2339" s="13">
        <f t="shared" si="73"/>
        <v>2303483</v>
      </c>
      <c r="Q2339" s="13">
        <f>SUMIFS(M:M,E:E,Online_eCommerce[[#This Row],[Status]])</f>
        <v>21233992</v>
      </c>
      <c r="R2339" s="13">
        <f>SUMIFS(L:L,H:H,Online_eCommerce[[#This Row],[Brand]])</f>
        <v>14431000</v>
      </c>
      <c r="S2339" s="13">
        <f>SUMIF(H:H,Online_eCommerce[[#This Row],[Brand]],M:M)</f>
        <v>18760300</v>
      </c>
      <c r="T2339" s="13">
        <f>SUMIF(N:N,Online_eCommerce[[#This Row],[Assigned Supervisor]],L:L)</f>
        <v>14373360</v>
      </c>
    </row>
    <row r="2340" spans="1:20" hidden="1" x14ac:dyDescent="0.3">
      <c r="A2340" t="s">
        <v>3506</v>
      </c>
      <c r="B2340" t="s">
        <v>235</v>
      </c>
      <c r="C2340" t="s">
        <v>165</v>
      </c>
      <c r="D2340" t="s">
        <v>3340</v>
      </c>
      <c r="E2340" t="s">
        <v>18</v>
      </c>
      <c r="F2340" t="s">
        <v>157</v>
      </c>
      <c r="G2340" t="s">
        <v>33</v>
      </c>
      <c r="H2340" t="s">
        <v>34</v>
      </c>
      <c r="I2340">
        <v>12500</v>
      </c>
      <c r="J2340">
        <v>16250</v>
      </c>
      <c r="K2340">
        <v>4</v>
      </c>
      <c r="L2340">
        <v>50000</v>
      </c>
      <c r="M2340">
        <v>65000</v>
      </c>
      <c r="N2340" t="s">
        <v>42</v>
      </c>
      <c r="O2340">
        <f t="shared" si="72"/>
        <v>18200</v>
      </c>
      <c r="P2340" s="13">
        <f t="shared" si="73"/>
        <v>2674087</v>
      </c>
      <c r="Q2340" s="13">
        <f>SUMIFS(M:M,E:E,Online_eCommerce[[#This Row],[Status]])</f>
        <v>28340455</v>
      </c>
      <c r="R2340" s="13">
        <f>SUMIFS(L:L,H:H,Online_eCommerce[[#This Row],[Brand]])</f>
        <v>10087000</v>
      </c>
      <c r="S2340" s="13">
        <f>SUMIF(H:H,Online_eCommerce[[#This Row],[Brand]],M:M)</f>
        <v>13113100</v>
      </c>
      <c r="T2340" s="13">
        <f>SUMIF(N:N,Online_eCommerce[[#This Row],[Assigned Supervisor]],L:L)</f>
        <v>12261500</v>
      </c>
    </row>
    <row r="2341" spans="1:20" hidden="1" x14ac:dyDescent="0.3">
      <c r="A2341" t="s">
        <v>3507</v>
      </c>
      <c r="B2341" t="s">
        <v>235</v>
      </c>
      <c r="C2341" t="s">
        <v>168</v>
      </c>
      <c r="D2341" t="s">
        <v>3340</v>
      </c>
      <c r="E2341" t="s">
        <v>161</v>
      </c>
      <c r="F2341" t="s">
        <v>3182</v>
      </c>
      <c r="G2341" t="s">
        <v>40</v>
      </c>
      <c r="H2341" t="s">
        <v>41</v>
      </c>
      <c r="I2341">
        <v>3500</v>
      </c>
      <c r="J2341">
        <v>4550</v>
      </c>
      <c r="K2341">
        <v>4</v>
      </c>
      <c r="L2341">
        <v>14000</v>
      </c>
      <c r="M2341">
        <v>18200</v>
      </c>
      <c r="N2341" t="s">
        <v>50</v>
      </c>
      <c r="O2341">
        <f t="shared" si="72"/>
        <v>25545</v>
      </c>
      <c r="P2341" s="13">
        <f t="shared" si="73"/>
        <v>1937780</v>
      </c>
      <c r="Q2341" s="13">
        <f>SUMIFS(M:M,E:E,Online_eCommerce[[#This Row],[Status]])</f>
        <v>21103186</v>
      </c>
      <c r="R2341" s="13">
        <f>SUMIFS(L:L,H:H,Online_eCommerce[[#This Row],[Brand]])</f>
        <v>4260400</v>
      </c>
      <c r="S2341" s="13">
        <f>SUMIF(H:H,Online_eCommerce[[#This Row],[Brand]],M:M)</f>
        <v>5538520</v>
      </c>
      <c r="T2341" s="13">
        <f>SUMIF(N:N,Online_eCommerce[[#This Row],[Assigned Supervisor]],L:L)</f>
        <v>12100590</v>
      </c>
    </row>
    <row r="2342" spans="1:20" x14ac:dyDescent="0.3">
      <c r="A2342" t="s">
        <v>3508</v>
      </c>
      <c r="B2342" t="s">
        <v>235</v>
      </c>
      <c r="C2342" t="s">
        <v>172</v>
      </c>
      <c r="D2342" t="s">
        <v>3340</v>
      </c>
      <c r="E2342" t="s">
        <v>46</v>
      </c>
      <c r="F2342" t="s">
        <v>166</v>
      </c>
      <c r="G2342" t="s">
        <v>334</v>
      </c>
      <c r="H2342" t="s">
        <v>49</v>
      </c>
      <c r="I2342">
        <v>4500</v>
      </c>
      <c r="J2342">
        <v>5850</v>
      </c>
      <c r="K2342">
        <v>2</v>
      </c>
      <c r="L2342">
        <v>9000</v>
      </c>
      <c r="M2342">
        <v>11700</v>
      </c>
      <c r="N2342" t="s">
        <v>56</v>
      </c>
      <c r="O2342">
        <f t="shared" si="72"/>
        <v>39780</v>
      </c>
      <c r="P2342" s="13">
        <f t="shared" si="73"/>
        <v>2640274</v>
      </c>
      <c r="Q2342" s="13">
        <f>SUMIFS(M:M,E:E,Online_eCommerce[[#This Row],[Status]])</f>
        <v>28620410</v>
      </c>
      <c r="R2342" s="13">
        <f>SUMIFS(L:L,H:H,Online_eCommerce[[#This Row],[Brand]])</f>
        <v>4528350</v>
      </c>
      <c r="S2342" s="13">
        <f>SUMIF(H:H,Online_eCommerce[[#This Row],[Brand]],M:M)</f>
        <v>5886855</v>
      </c>
      <c r="T2342" s="13">
        <f>SUMIF(N:N,Online_eCommerce[[#This Row],[Assigned Supervisor]],L:L)</f>
        <v>11733610</v>
      </c>
    </row>
    <row r="2343" spans="1:20" hidden="1" x14ac:dyDescent="0.3">
      <c r="A2343" t="s">
        <v>3509</v>
      </c>
      <c r="B2343" t="s">
        <v>235</v>
      </c>
      <c r="C2343" t="s">
        <v>177</v>
      </c>
      <c r="D2343" t="s">
        <v>3340</v>
      </c>
      <c r="E2343" t="s">
        <v>96</v>
      </c>
      <c r="F2343" t="s">
        <v>3510</v>
      </c>
      <c r="G2343" t="s">
        <v>54</v>
      </c>
      <c r="H2343" t="s">
        <v>55</v>
      </c>
      <c r="I2343">
        <v>2100</v>
      </c>
      <c r="J2343">
        <v>2730</v>
      </c>
      <c r="K2343">
        <v>3</v>
      </c>
      <c r="L2343">
        <v>6300</v>
      </c>
      <c r="M2343">
        <v>8190</v>
      </c>
      <c r="N2343" t="s">
        <v>22</v>
      </c>
      <c r="O2343">
        <f t="shared" si="72"/>
        <v>2990</v>
      </c>
      <c r="P2343" s="13">
        <f t="shared" si="73"/>
        <v>1863810</v>
      </c>
      <c r="Q2343" s="13">
        <f>SUMIFS(M:M,E:E,Online_eCommerce[[#This Row],[Status]])</f>
        <v>21233992</v>
      </c>
      <c r="R2343" s="13">
        <f>SUMIFS(L:L,H:H,Online_eCommerce[[#This Row],[Brand]])</f>
        <v>2267380</v>
      </c>
      <c r="S2343" s="13">
        <f>SUMIF(H:H,Online_eCommerce[[#This Row],[Brand]],M:M)</f>
        <v>2947594</v>
      </c>
      <c r="T2343" s="13">
        <f>SUMIF(N:N,Online_eCommerce[[#This Row],[Assigned Supervisor]],L:L)</f>
        <v>13693220</v>
      </c>
    </row>
    <row r="2344" spans="1:20" hidden="1" x14ac:dyDescent="0.3">
      <c r="A2344" t="s">
        <v>3511</v>
      </c>
      <c r="B2344" t="s">
        <v>235</v>
      </c>
      <c r="C2344" t="s">
        <v>181</v>
      </c>
      <c r="D2344" t="s">
        <v>3340</v>
      </c>
      <c r="E2344" t="s">
        <v>18</v>
      </c>
      <c r="F2344" t="s">
        <v>174</v>
      </c>
      <c r="G2344" t="s">
        <v>60</v>
      </c>
      <c r="H2344" t="s">
        <v>61</v>
      </c>
      <c r="I2344">
        <v>1150</v>
      </c>
      <c r="J2344">
        <v>1495</v>
      </c>
      <c r="K2344">
        <v>2</v>
      </c>
      <c r="L2344">
        <v>2300</v>
      </c>
      <c r="M2344">
        <v>2990</v>
      </c>
      <c r="N2344" t="s">
        <v>28</v>
      </c>
      <c r="O2344">
        <f t="shared" si="72"/>
        <v>3315</v>
      </c>
      <c r="P2344" s="13">
        <f t="shared" si="73"/>
        <v>2577458</v>
      </c>
      <c r="Q2344" s="13">
        <f>SUMIFS(M:M,E:E,Online_eCommerce[[#This Row],[Status]])</f>
        <v>28340455</v>
      </c>
      <c r="R2344" s="13">
        <f>SUMIFS(L:L,H:H,Online_eCommerce[[#This Row],[Brand]])</f>
        <v>10950150</v>
      </c>
      <c r="S2344" s="13">
        <f>SUMIF(H:H,Online_eCommerce[[#This Row],[Brand]],M:M)</f>
        <v>14235195</v>
      </c>
      <c r="T2344" s="13">
        <f>SUMIF(N:N,Online_eCommerce[[#This Row],[Assigned Supervisor]],L:L)</f>
        <v>12220830</v>
      </c>
    </row>
    <row r="2345" spans="1:20" hidden="1" x14ac:dyDescent="0.3">
      <c r="A2345" t="s">
        <v>3512</v>
      </c>
      <c r="B2345" t="s">
        <v>235</v>
      </c>
      <c r="C2345" t="s">
        <v>185</v>
      </c>
      <c r="D2345" t="s">
        <v>3340</v>
      </c>
      <c r="E2345" t="s">
        <v>161</v>
      </c>
      <c r="F2345" t="s">
        <v>179</v>
      </c>
      <c r="G2345" t="s">
        <v>66</v>
      </c>
      <c r="H2345" t="s">
        <v>21</v>
      </c>
      <c r="I2345">
        <v>350</v>
      </c>
      <c r="J2345">
        <v>455</v>
      </c>
      <c r="K2345">
        <v>1</v>
      </c>
      <c r="L2345">
        <v>350</v>
      </c>
      <c r="M2345">
        <v>455</v>
      </c>
      <c r="N2345" t="s">
        <v>35</v>
      </c>
      <c r="O2345">
        <f t="shared" si="72"/>
        <v>1690</v>
      </c>
      <c r="P2345" s="13">
        <f t="shared" si="73"/>
        <v>2091596</v>
      </c>
      <c r="Q2345" s="13">
        <f>SUMIFS(M:M,E:E,Online_eCommerce[[#This Row],[Status]])</f>
        <v>21103186</v>
      </c>
      <c r="R2345" s="13">
        <f>SUMIFS(L:L,H:H,Online_eCommerce[[#This Row],[Brand]])</f>
        <v>12435650</v>
      </c>
      <c r="S2345" s="13">
        <f>SUMIF(H:H,Online_eCommerce[[#This Row],[Brand]],M:M)</f>
        <v>16166345</v>
      </c>
      <c r="T2345" s="13">
        <f>SUMIF(N:N,Online_eCommerce[[#This Row],[Assigned Supervisor]],L:L)</f>
        <v>14373360</v>
      </c>
    </row>
    <row r="2346" spans="1:20" x14ac:dyDescent="0.3">
      <c r="A2346" t="s">
        <v>3513</v>
      </c>
      <c r="B2346" t="s">
        <v>235</v>
      </c>
      <c r="C2346" t="s">
        <v>189</v>
      </c>
      <c r="D2346" t="s">
        <v>3340</v>
      </c>
      <c r="E2346" t="s">
        <v>46</v>
      </c>
      <c r="F2346" t="s">
        <v>183</v>
      </c>
      <c r="G2346" t="s">
        <v>71</v>
      </c>
      <c r="H2346" t="s">
        <v>61</v>
      </c>
      <c r="I2346">
        <v>9500</v>
      </c>
      <c r="J2346">
        <v>12350</v>
      </c>
      <c r="K2346">
        <v>4</v>
      </c>
      <c r="L2346">
        <v>38000</v>
      </c>
      <c r="M2346">
        <v>49400</v>
      </c>
      <c r="N2346" t="s">
        <v>42</v>
      </c>
      <c r="O2346">
        <f t="shared" si="72"/>
        <v>9750</v>
      </c>
      <c r="P2346" s="13">
        <f t="shared" si="73"/>
        <v>2740777</v>
      </c>
      <c r="Q2346" s="13">
        <f>SUMIFS(M:M,E:E,Online_eCommerce[[#This Row],[Status]])</f>
        <v>28620410</v>
      </c>
      <c r="R2346" s="13">
        <f>SUMIFS(L:L,H:H,Online_eCommerce[[#This Row],[Brand]])</f>
        <v>10950150</v>
      </c>
      <c r="S2346" s="13">
        <f>SUMIF(H:H,Online_eCommerce[[#This Row],[Brand]],M:M)</f>
        <v>14235195</v>
      </c>
      <c r="T2346" s="13">
        <f>SUMIF(N:N,Online_eCommerce[[#This Row],[Assigned Supervisor]],L:L)</f>
        <v>12261500</v>
      </c>
    </row>
    <row r="2347" spans="1:20" hidden="1" x14ac:dyDescent="0.3">
      <c r="A2347" t="s">
        <v>3514</v>
      </c>
      <c r="B2347" t="s">
        <v>235</v>
      </c>
      <c r="C2347" t="s">
        <v>193</v>
      </c>
      <c r="D2347" t="s">
        <v>3340</v>
      </c>
      <c r="E2347" t="s">
        <v>96</v>
      </c>
      <c r="F2347" t="s">
        <v>3515</v>
      </c>
      <c r="G2347" t="s">
        <v>77</v>
      </c>
      <c r="H2347" t="s">
        <v>142</v>
      </c>
      <c r="I2347">
        <v>10000</v>
      </c>
      <c r="J2347">
        <v>13000</v>
      </c>
      <c r="K2347">
        <v>2</v>
      </c>
      <c r="L2347">
        <v>20000</v>
      </c>
      <c r="M2347">
        <v>26000</v>
      </c>
      <c r="N2347" t="s">
        <v>50</v>
      </c>
      <c r="O2347">
        <f t="shared" si="72"/>
        <v>39000</v>
      </c>
      <c r="P2347" s="13">
        <f t="shared" si="73"/>
        <v>2074774</v>
      </c>
      <c r="Q2347" s="13">
        <f>SUMIFS(M:M,E:E,Online_eCommerce[[#This Row],[Status]])</f>
        <v>21233992</v>
      </c>
      <c r="R2347" s="13">
        <f>SUMIFS(L:L,H:H,Online_eCommerce[[#This Row],[Brand]])</f>
        <v>6192500</v>
      </c>
      <c r="S2347" s="13">
        <f>SUMIF(H:H,Online_eCommerce[[#This Row],[Brand]],M:M)</f>
        <v>8050250</v>
      </c>
      <c r="T2347" s="13">
        <f>SUMIF(N:N,Online_eCommerce[[#This Row],[Assigned Supervisor]],L:L)</f>
        <v>12100590</v>
      </c>
    </row>
    <row r="2348" spans="1:20" hidden="1" x14ac:dyDescent="0.3">
      <c r="A2348" t="s">
        <v>3516</v>
      </c>
      <c r="B2348" t="s">
        <v>235</v>
      </c>
      <c r="C2348" t="s">
        <v>197</v>
      </c>
      <c r="D2348" t="s">
        <v>3340</v>
      </c>
      <c r="E2348" t="s">
        <v>18</v>
      </c>
      <c r="F2348" t="s">
        <v>3517</v>
      </c>
      <c r="G2348" t="s">
        <v>20</v>
      </c>
      <c r="H2348" t="s">
        <v>21</v>
      </c>
      <c r="I2348">
        <v>6500</v>
      </c>
      <c r="J2348">
        <v>8450</v>
      </c>
      <c r="K2348">
        <v>2</v>
      </c>
      <c r="L2348">
        <v>13000</v>
      </c>
      <c r="M2348">
        <v>16900</v>
      </c>
      <c r="N2348" t="s">
        <v>56</v>
      </c>
      <c r="O2348">
        <f t="shared" si="72"/>
        <v>8450</v>
      </c>
      <c r="P2348" s="13">
        <f t="shared" si="73"/>
        <v>2829840</v>
      </c>
      <c r="Q2348" s="13">
        <f>SUMIFS(M:M,E:E,Online_eCommerce[[#This Row],[Status]])</f>
        <v>28340455</v>
      </c>
      <c r="R2348" s="13">
        <f>SUMIFS(L:L,H:H,Online_eCommerce[[#This Row],[Brand]])</f>
        <v>12435650</v>
      </c>
      <c r="S2348" s="13">
        <f>SUMIF(H:H,Online_eCommerce[[#This Row],[Brand]],M:M)</f>
        <v>16166345</v>
      </c>
      <c r="T2348" s="13">
        <f>SUMIF(N:N,Online_eCommerce[[#This Row],[Assigned Supervisor]],L:L)</f>
        <v>11733610</v>
      </c>
    </row>
    <row r="2349" spans="1:20" hidden="1" x14ac:dyDescent="0.3">
      <c r="A2349" t="s">
        <v>3518</v>
      </c>
      <c r="B2349" t="s">
        <v>235</v>
      </c>
      <c r="C2349" t="s">
        <v>199</v>
      </c>
      <c r="D2349" t="s">
        <v>3340</v>
      </c>
      <c r="E2349" t="s">
        <v>161</v>
      </c>
      <c r="F2349" t="s">
        <v>3519</v>
      </c>
      <c r="G2349" t="s">
        <v>26</v>
      </c>
      <c r="H2349" t="s">
        <v>27</v>
      </c>
      <c r="I2349">
        <v>8500</v>
      </c>
      <c r="J2349">
        <v>11050</v>
      </c>
      <c r="K2349">
        <v>2</v>
      </c>
      <c r="L2349">
        <v>17000</v>
      </c>
      <c r="M2349">
        <v>22100</v>
      </c>
      <c r="N2349" t="s">
        <v>22</v>
      </c>
      <c r="O2349">
        <f t="shared" si="72"/>
        <v>33150</v>
      </c>
      <c r="P2349" s="13">
        <f t="shared" si="73"/>
        <v>1947361</v>
      </c>
      <c r="Q2349" s="13">
        <f>SUMIFS(M:M,E:E,Online_eCommerce[[#This Row],[Status]])</f>
        <v>21103186</v>
      </c>
      <c r="R2349" s="13">
        <f>SUMIFS(L:L,H:H,Online_eCommerce[[#This Row],[Brand]])</f>
        <v>14431000</v>
      </c>
      <c r="S2349" s="13">
        <f>SUMIF(H:H,Online_eCommerce[[#This Row],[Brand]],M:M)</f>
        <v>18760300</v>
      </c>
      <c r="T2349" s="13">
        <f>SUMIF(N:N,Online_eCommerce[[#This Row],[Assigned Supervisor]],L:L)</f>
        <v>13693220</v>
      </c>
    </row>
    <row r="2350" spans="1:20" x14ac:dyDescent="0.3">
      <c r="A2350" t="s">
        <v>3520</v>
      </c>
      <c r="B2350" t="s">
        <v>235</v>
      </c>
      <c r="C2350" t="s">
        <v>203</v>
      </c>
      <c r="D2350" t="s">
        <v>3340</v>
      </c>
      <c r="E2350" t="s">
        <v>46</v>
      </c>
      <c r="F2350" t="s">
        <v>32</v>
      </c>
      <c r="G2350" t="s">
        <v>33</v>
      </c>
      <c r="H2350" t="s">
        <v>34</v>
      </c>
      <c r="I2350">
        <v>7000</v>
      </c>
      <c r="J2350">
        <v>9100</v>
      </c>
      <c r="K2350">
        <v>2</v>
      </c>
      <c r="L2350">
        <v>14000</v>
      </c>
      <c r="M2350">
        <v>18200</v>
      </c>
      <c r="N2350" t="s">
        <v>28</v>
      </c>
      <c r="O2350">
        <f t="shared" si="72"/>
        <v>18200</v>
      </c>
      <c r="P2350" s="13">
        <f t="shared" si="73"/>
        <v>2559635</v>
      </c>
      <c r="Q2350" s="13">
        <f>SUMIFS(M:M,E:E,Online_eCommerce[[#This Row],[Status]])</f>
        <v>28620410</v>
      </c>
      <c r="R2350" s="13">
        <f>SUMIFS(L:L,H:H,Online_eCommerce[[#This Row],[Brand]])</f>
        <v>10087000</v>
      </c>
      <c r="S2350" s="13">
        <f>SUMIF(H:H,Online_eCommerce[[#This Row],[Brand]],M:M)</f>
        <v>13113100</v>
      </c>
      <c r="T2350" s="13">
        <f>SUMIF(N:N,Online_eCommerce[[#This Row],[Assigned Supervisor]],L:L)</f>
        <v>12220830</v>
      </c>
    </row>
    <row r="2351" spans="1:20" hidden="1" x14ac:dyDescent="0.3">
      <c r="A2351" t="s">
        <v>3521</v>
      </c>
      <c r="B2351" t="s">
        <v>235</v>
      </c>
      <c r="C2351" t="s">
        <v>205</v>
      </c>
      <c r="D2351" t="s">
        <v>3340</v>
      </c>
      <c r="E2351" t="s">
        <v>96</v>
      </c>
      <c r="F2351" t="s">
        <v>3522</v>
      </c>
      <c r="G2351" t="s">
        <v>40</v>
      </c>
      <c r="H2351" t="s">
        <v>41</v>
      </c>
      <c r="I2351">
        <v>6550</v>
      </c>
      <c r="J2351">
        <v>8515</v>
      </c>
      <c r="K2351">
        <v>1</v>
      </c>
      <c r="L2351">
        <v>6550</v>
      </c>
      <c r="M2351">
        <v>8515</v>
      </c>
      <c r="N2351" t="s">
        <v>35</v>
      </c>
      <c r="O2351">
        <f t="shared" si="72"/>
        <v>25545</v>
      </c>
      <c r="P2351" s="13">
        <f t="shared" si="73"/>
        <v>1983254</v>
      </c>
      <c r="Q2351" s="13">
        <f>SUMIFS(M:M,E:E,Online_eCommerce[[#This Row],[Status]])</f>
        <v>21233992</v>
      </c>
      <c r="R2351" s="13">
        <f>SUMIFS(L:L,H:H,Online_eCommerce[[#This Row],[Brand]])</f>
        <v>4260400</v>
      </c>
      <c r="S2351" s="13">
        <f>SUMIF(H:H,Online_eCommerce[[#This Row],[Brand]],M:M)</f>
        <v>5538520</v>
      </c>
      <c r="T2351" s="13">
        <f>SUMIF(N:N,Online_eCommerce[[#This Row],[Assigned Supervisor]],L:L)</f>
        <v>14373360</v>
      </c>
    </row>
    <row r="2352" spans="1:20" hidden="1" x14ac:dyDescent="0.3">
      <c r="A2352" t="s">
        <v>3523</v>
      </c>
      <c r="B2352" t="s">
        <v>235</v>
      </c>
      <c r="C2352" t="s">
        <v>208</v>
      </c>
      <c r="D2352" t="s">
        <v>3340</v>
      </c>
      <c r="E2352" t="s">
        <v>18</v>
      </c>
      <c r="F2352" t="s">
        <v>47</v>
      </c>
      <c r="G2352" t="s">
        <v>334</v>
      </c>
      <c r="H2352" t="s">
        <v>49</v>
      </c>
      <c r="I2352">
        <v>7650</v>
      </c>
      <c r="J2352">
        <v>9945</v>
      </c>
      <c r="K2352">
        <v>1</v>
      </c>
      <c r="L2352">
        <v>7650</v>
      </c>
      <c r="M2352">
        <v>9945</v>
      </c>
      <c r="N2352" t="s">
        <v>42</v>
      </c>
      <c r="O2352">
        <f t="shared" si="72"/>
        <v>39780</v>
      </c>
      <c r="P2352" s="13">
        <f t="shared" si="73"/>
        <v>2746575</v>
      </c>
      <c r="Q2352" s="13">
        <f>SUMIFS(M:M,E:E,Online_eCommerce[[#This Row],[Status]])</f>
        <v>28340455</v>
      </c>
      <c r="R2352" s="13">
        <f>SUMIFS(L:L,H:H,Online_eCommerce[[#This Row],[Brand]])</f>
        <v>4528350</v>
      </c>
      <c r="S2352" s="13">
        <f>SUMIF(H:H,Online_eCommerce[[#This Row],[Brand]],M:M)</f>
        <v>5886855</v>
      </c>
      <c r="T2352" s="13">
        <f>SUMIF(N:N,Online_eCommerce[[#This Row],[Assigned Supervisor]],L:L)</f>
        <v>12261500</v>
      </c>
    </row>
    <row r="2353" spans="1:20" hidden="1" x14ac:dyDescent="0.3">
      <c r="A2353" t="s">
        <v>3524</v>
      </c>
      <c r="B2353" t="s">
        <v>235</v>
      </c>
      <c r="C2353" t="s">
        <v>211</v>
      </c>
      <c r="D2353" t="s">
        <v>3340</v>
      </c>
      <c r="E2353" t="s">
        <v>161</v>
      </c>
      <c r="F2353" t="s">
        <v>53</v>
      </c>
      <c r="G2353" t="s">
        <v>54</v>
      </c>
      <c r="H2353" t="s">
        <v>55</v>
      </c>
      <c r="I2353">
        <v>1150</v>
      </c>
      <c r="J2353">
        <v>1495</v>
      </c>
      <c r="K2353">
        <v>3</v>
      </c>
      <c r="L2353">
        <v>3450</v>
      </c>
      <c r="M2353">
        <v>4485</v>
      </c>
      <c r="N2353" t="s">
        <v>50</v>
      </c>
      <c r="O2353">
        <f t="shared" si="72"/>
        <v>2990</v>
      </c>
      <c r="P2353" s="13">
        <f t="shared" si="73"/>
        <v>1809847</v>
      </c>
      <c r="Q2353" s="13">
        <f>SUMIFS(M:M,E:E,Online_eCommerce[[#This Row],[Status]])</f>
        <v>21103186</v>
      </c>
      <c r="R2353" s="13">
        <f>SUMIFS(L:L,H:H,Online_eCommerce[[#This Row],[Brand]])</f>
        <v>2267380</v>
      </c>
      <c r="S2353" s="13">
        <f>SUMIF(H:H,Online_eCommerce[[#This Row],[Brand]],M:M)</f>
        <v>2947594</v>
      </c>
      <c r="T2353" s="13">
        <f>SUMIF(N:N,Online_eCommerce[[#This Row],[Assigned Supervisor]],L:L)</f>
        <v>12100590</v>
      </c>
    </row>
    <row r="2354" spans="1:20" x14ac:dyDescent="0.3">
      <c r="A2354" t="s">
        <v>3525</v>
      </c>
      <c r="B2354" t="s">
        <v>235</v>
      </c>
      <c r="C2354" t="s">
        <v>16</v>
      </c>
      <c r="D2354" t="s">
        <v>3340</v>
      </c>
      <c r="E2354" t="s">
        <v>46</v>
      </c>
      <c r="F2354" t="s">
        <v>59</v>
      </c>
      <c r="G2354" t="s">
        <v>60</v>
      </c>
      <c r="H2354" t="s">
        <v>61</v>
      </c>
      <c r="I2354">
        <v>850</v>
      </c>
      <c r="J2354">
        <v>1105</v>
      </c>
      <c r="K2354">
        <v>1</v>
      </c>
      <c r="L2354">
        <v>850</v>
      </c>
      <c r="M2354">
        <v>1105</v>
      </c>
      <c r="N2354" t="s">
        <v>56</v>
      </c>
      <c r="O2354">
        <f t="shared" si="72"/>
        <v>3315</v>
      </c>
      <c r="P2354" s="13">
        <f t="shared" si="73"/>
        <v>2751814</v>
      </c>
      <c r="Q2354" s="13">
        <f>SUMIFS(M:M,E:E,Online_eCommerce[[#This Row],[Status]])</f>
        <v>28620410</v>
      </c>
      <c r="R2354" s="13">
        <f>SUMIFS(L:L,H:H,Online_eCommerce[[#This Row],[Brand]])</f>
        <v>10950150</v>
      </c>
      <c r="S2354" s="13">
        <f>SUMIF(H:H,Online_eCommerce[[#This Row],[Brand]],M:M)</f>
        <v>14235195</v>
      </c>
      <c r="T2354" s="13">
        <f>SUMIF(N:N,Online_eCommerce[[#This Row],[Assigned Supervisor]],L:L)</f>
        <v>11733610</v>
      </c>
    </row>
    <row r="2355" spans="1:20" hidden="1" x14ac:dyDescent="0.3">
      <c r="A2355" t="s">
        <v>3526</v>
      </c>
      <c r="B2355" t="s">
        <v>235</v>
      </c>
      <c r="C2355" t="s">
        <v>24</v>
      </c>
      <c r="D2355" t="s">
        <v>3340</v>
      </c>
      <c r="E2355" t="s">
        <v>96</v>
      </c>
      <c r="F2355" t="s">
        <v>65</v>
      </c>
      <c r="G2355" t="s">
        <v>66</v>
      </c>
      <c r="H2355" t="s">
        <v>21</v>
      </c>
      <c r="I2355">
        <v>650</v>
      </c>
      <c r="J2355">
        <v>845</v>
      </c>
      <c r="K2355">
        <v>2</v>
      </c>
      <c r="L2355">
        <v>1300</v>
      </c>
      <c r="M2355">
        <v>1690</v>
      </c>
      <c r="N2355" t="s">
        <v>22</v>
      </c>
      <c r="O2355">
        <f t="shared" si="72"/>
        <v>1690</v>
      </c>
      <c r="P2355" s="13">
        <f t="shared" si="73"/>
        <v>2009540</v>
      </c>
      <c r="Q2355" s="13">
        <f>SUMIFS(M:M,E:E,Online_eCommerce[[#This Row],[Status]])</f>
        <v>21233992</v>
      </c>
      <c r="R2355" s="13">
        <f>SUMIFS(L:L,H:H,Online_eCommerce[[#This Row],[Brand]])</f>
        <v>12435650</v>
      </c>
      <c r="S2355" s="13">
        <f>SUMIF(H:H,Online_eCommerce[[#This Row],[Brand]],M:M)</f>
        <v>16166345</v>
      </c>
      <c r="T2355" s="13">
        <f>SUMIF(N:N,Online_eCommerce[[#This Row],[Assigned Supervisor]],L:L)</f>
        <v>13693220</v>
      </c>
    </row>
    <row r="2356" spans="1:20" hidden="1" x14ac:dyDescent="0.3">
      <c r="A2356" t="s">
        <v>3527</v>
      </c>
      <c r="B2356" t="s">
        <v>235</v>
      </c>
      <c r="C2356" t="s">
        <v>31</v>
      </c>
      <c r="D2356" t="s">
        <v>3340</v>
      </c>
      <c r="E2356" t="s">
        <v>18</v>
      </c>
      <c r="F2356" t="s">
        <v>70</v>
      </c>
      <c r="G2356" t="s">
        <v>71</v>
      </c>
      <c r="H2356" t="s">
        <v>61</v>
      </c>
      <c r="I2356">
        <v>7500</v>
      </c>
      <c r="J2356">
        <v>9750</v>
      </c>
      <c r="K2356">
        <v>1</v>
      </c>
      <c r="L2356">
        <v>7500</v>
      </c>
      <c r="M2356">
        <v>9750</v>
      </c>
      <c r="N2356" t="s">
        <v>28</v>
      </c>
      <c r="O2356">
        <f t="shared" si="72"/>
        <v>9750</v>
      </c>
      <c r="P2356" s="13">
        <f t="shared" si="73"/>
        <v>2865746</v>
      </c>
      <c r="Q2356" s="13">
        <f>SUMIFS(M:M,E:E,Online_eCommerce[[#This Row],[Status]])</f>
        <v>28340455</v>
      </c>
      <c r="R2356" s="13">
        <f>SUMIFS(L:L,H:H,Online_eCommerce[[#This Row],[Brand]])</f>
        <v>10950150</v>
      </c>
      <c r="S2356" s="13">
        <f>SUMIF(H:H,Online_eCommerce[[#This Row],[Brand]],M:M)</f>
        <v>14235195</v>
      </c>
      <c r="T2356" s="13">
        <f>SUMIF(N:N,Online_eCommerce[[#This Row],[Assigned Supervisor]],L:L)</f>
        <v>12220830</v>
      </c>
    </row>
    <row r="2357" spans="1:20" hidden="1" x14ac:dyDescent="0.3">
      <c r="A2357" t="s">
        <v>3528</v>
      </c>
      <c r="B2357" t="s">
        <v>235</v>
      </c>
      <c r="C2357" t="s">
        <v>38</v>
      </c>
      <c r="D2357" t="s">
        <v>3340</v>
      </c>
      <c r="E2357" t="s">
        <v>161</v>
      </c>
      <c r="F2357" t="s">
        <v>3515</v>
      </c>
      <c r="G2357" t="s">
        <v>77</v>
      </c>
      <c r="H2357" t="s">
        <v>78</v>
      </c>
      <c r="I2357">
        <v>10000</v>
      </c>
      <c r="J2357">
        <v>13000</v>
      </c>
      <c r="K2357">
        <v>1</v>
      </c>
      <c r="L2357">
        <v>10000</v>
      </c>
      <c r="M2357">
        <v>13000</v>
      </c>
      <c r="N2357" t="s">
        <v>35</v>
      </c>
      <c r="O2357">
        <f t="shared" si="72"/>
        <v>39000</v>
      </c>
      <c r="P2357" s="13">
        <f t="shared" si="73"/>
        <v>1933997</v>
      </c>
      <c r="Q2357" s="13">
        <f>SUMIFS(M:M,E:E,Online_eCommerce[[#This Row],[Status]])</f>
        <v>21103186</v>
      </c>
      <c r="R2357" s="13">
        <f>SUMIFS(L:L,H:H,Online_eCommerce[[#This Row],[Brand]])</f>
        <v>3720000</v>
      </c>
      <c r="S2357" s="13">
        <f>SUMIF(H:H,Online_eCommerce[[#This Row],[Brand]],M:M)</f>
        <v>4836000</v>
      </c>
      <c r="T2357" s="13">
        <f>SUMIF(N:N,Online_eCommerce[[#This Row],[Assigned Supervisor]],L:L)</f>
        <v>14373360</v>
      </c>
    </row>
    <row r="2358" spans="1:20" x14ac:dyDescent="0.3">
      <c r="A2358" t="s">
        <v>3529</v>
      </c>
      <c r="B2358" t="s">
        <v>235</v>
      </c>
      <c r="C2358" t="s">
        <v>45</v>
      </c>
      <c r="D2358" t="s">
        <v>3340</v>
      </c>
      <c r="E2358" t="s">
        <v>46</v>
      </c>
      <c r="F2358" t="s">
        <v>3530</v>
      </c>
      <c r="G2358" t="s">
        <v>20</v>
      </c>
      <c r="H2358" t="s">
        <v>21</v>
      </c>
      <c r="I2358">
        <v>10500</v>
      </c>
      <c r="J2358">
        <v>13650</v>
      </c>
      <c r="K2358">
        <v>1</v>
      </c>
      <c r="L2358">
        <v>10500</v>
      </c>
      <c r="M2358">
        <v>13650</v>
      </c>
      <c r="N2358" t="s">
        <v>42</v>
      </c>
      <c r="O2358">
        <f t="shared" si="72"/>
        <v>8450</v>
      </c>
      <c r="P2358" s="13">
        <f t="shared" si="73"/>
        <v>2842554</v>
      </c>
      <c r="Q2358" s="13">
        <f>SUMIFS(M:M,E:E,Online_eCommerce[[#This Row],[Status]])</f>
        <v>28620410</v>
      </c>
      <c r="R2358" s="13">
        <f>SUMIFS(L:L,H:H,Online_eCommerce[[#This Row],[Brand]])</f>
        <v>12435650</v>
      </c>
      <c r="S2358" s="13">
        <f>SUMIF(H:H,Online_eCommerce[[#This Row],[Brand]],M:M)</f>
        <v>16166345</v>
      </c>
      <c r="T2358" s="13">
        <f>SUMIF(N:N,Online_eCommerce[[#This Row],[Assigned Supervisor]],L:L)</f>
        <v>12261500</v>
      </c>
    </row>
    <row r="2359" spans="1:20" hidden="1" x14ac:dyDescent="0.3">
      <c r="A2359" t="s">
        <v>3531</v>
      </c>
      <c r="B2359" t="s">
        <v>235</v>
      </c>
      <c r="C2359" t="s">
        <v>52</v>
      </c>
      <c r="D2359" t="s">
        <v>3340</v>
      </c>
      <c r="E2359" t="s">
        <v>96</v>
      </c>
      <c r="F2359" t="s">
        <v>88</v>
      </c>
      <c r="G2359" t="s">
        <v>26</v>
      </c>
      <c r="H2359" t="s">
        <v>27</v>
      </c>
      <c r="I2359">
        <v>8500</v>
      </c>
      <c r="J2359">
        <v>11050</v>
      </c>
      <c r="K2359">
        <v>1</v>
      </c>
      <c r="L2359">
        <v>8500</v>
      </c>
      <c r="M2359">
        <v>11050</v>
      </c>
      <c r="N2359" t="s">
        <v>50</v>
      </c>
      <c r="O2359">
        <f t="shared" si="72"/>
        <v>33150</v>
      </c>
      <c r="P2359" s="13">
        <f t="shared" si="73"/>
        <v>1955044</v>
      </c>
      <c r="Q2359" s="13">
        <f>SUMIFS(M:M,E:E,Online_eCommerce[[#This Row],[Status]])</f>
        <v>21233992</v>
      </c>
      <c r="R2359" s="13">
        <f>SUMIFS(L:L,H:H,Online_eCommerce[[#This Row],[Brand]])</f>
        <v>14431000</v>
      </c>
      <c r="S2359" s="13">
        <f>SUMIF(H:H,Online_eCommerce[[#This Row],[Brand]],M:M)</f>
        <v>18760300</v>
      </c>
      <c r="T2359" s="13">
        <f>SUMIF(N:N,Online_eCommerce[[#This Row],[Assigned Supervisor]],L:L)</f>
        <v>12100590</v>
      </c>
    </row>
    <row r="2360" spans="1:20" hidden="1" x14ac:dyDescent="0.3">
      <c r="A2360" t="s">
        <v>3532</v>
      </c>
      <c r="B2360" t="s">
        <v>235</v>
      </c>
      <c r="C2360" t="s">
        <v>58</v>
      </c>
      <c r="D2360" t="s">
        <v>3340</v>
      </c>
      <c r="E2360" t="s">
        <v>18</v>
      </c>
      <c r="F2360" t="s">
        <v>32</v>
      </c>
      <c r="G2360" t="s">
        <v>33</v>
      </c>
      <c r="H2360" t="s">
        <v>34</v>
      </c>
      <c r="I2360">
        <v>7000</v>
      </c>
      <c r="J2360">
        <v>9100</v>
      </c>
      <c r="K2360">
        <v>3</v>
      </c>
      <c r="L2360">
        <v>21000</v>
      </c>
      <c r="M2360">
        <v>27300</v>
      </c>
      <c r="N2360" t="s">
        <v>56</v>
      </c>
      <c r="O2360">
        <f t="shared" si="72"/>
        <v>18200</v>
      </c>
      <c r="P2360" s="13">
        <f t="shared" si="73"/>
        <v>2629211</v>
      </c>
      <c r="Q2360" s="13">
        <f>SUMIFS(M:M,E:E,Online_eCommerce[[#This Row],[Status]])</f>
        <v>28340455</v>
      </c>
      <c r="R2360" s="13">
        <f>SUMIFS(L:L,H:H,Online_eCommerce[[#This Row],[Brand]])</f>
        <v>10087000</v>
      </c>
      <c r="S2360" s="13">
        <f>SUMIF(H:H,Online_eCommerce[[#This Row],[Brand]],M:M)</f>
        <v>13113100</v>
      </c>
      <c r="T2360" s="13">
        <f>SUMIF(N:N,Online_eCommerce[[#This Row],[Assigned Supervisor]],L:L)</f>
        <v>11733610</v>
      </c>
    </row>
    <row r="2361" spans="1:20" hidden="1" x14ac:dyDescent="0.3">
      <c r="A2361" t="s">
        <v>3533</v>
      </c>
      <c r="B2361" t="s">
        <v>235</v>
      </c>
      <c r="C2361" t="s">
        <v>63</v>
      </c>
      <c r="D2361" t="s">
        <v>3340</v>
      </c>
      <c r="E2361" t="s">
        <v>161</v>
      </c>
      <c r="F2361" t="s">
        <v>3534</v>
      </c>
      <c r="G2361" t="s">
        <v>40</v>
      </c>
      <c r="H2361" t="s">
        <v>41</v>
      </c>
      <c r="I2361">
        <v>1680</v>
      </c>
      <c r="J2361">
        <v>2184</v>
      </c>
      <c r="K2361">
        <v>3</v>
      </c>
      <c r="L2361">
        <v>5040</v>
      </c>
      <c r="M2361">
        <v>6552</v>
      </c>
      <c r="N2361" t="s">
        <v>22</v>
      </c>
      <c r="O2361">
        <f t="shared" si="72"/>
        <v>25545</v>
      </c>
      <c r="P2361" s="13">
        <f t="shared" si="73"/>
        <v>2016131</v>
      </c>
      <c r="Q2361" s="13">
        <f>SUMIFS(M:M,E:E,Online_eCommerce[[#This Row],[Status]])</f>
        <v>21103186</v>
      </c>
      <c r="R2361" s="13">
        <f>SUMIFS(L:L,H:H,Online_eCommerce[[#This Row],[Brand]])</f>
        <v>4260400</v>
      </c>
      <c r="S2361" s="13">
        <f>SUMIF(H:H,Online_eCommerce[[#This Row],[Brand]],M:M)</f>
        <v>5538520</v>
      </c>
      <c r="T2361" s="13">
        <f>SUMIF(N:N,Online_eCommerce[[#This Row],[Assigned Supervisor]],L:L)</f>
        <v>13693220</v>
      </c>
    </row>
    <row r="2362" spans="1:20" x14ac:dyDescent="0.3">
      <c r="A2362" t="s">
        <v>3535</v>
      </c>
      <c r="B2362" t="s">
        <v>235</v>
      </c>
      <c r="C2362" t="s">
        <v>68</v>
      </c>
      <c r="D2362" t="s">
        <v>3340</v>
      </c>
      <c r="E2362" t="s">
        <v>46</v>
      </c>
      <c r="F2362" t="s">
        <v>101</v>
      </c>
      <c r="G2362" t="s">
        <v>334</v>
      </c>
      <c r="H2362" t="s">
        <v>102</v>
      </c>
      <c r="I2362">
        <v>6540</v>
      </c>
      <c r="J2362">
        <v>8502</v>
      </c>
      <c r="K2362">
        <v>3</v>
      </c>
      <c r="L2362">
        <v>19620</v>
      </c>
      <c r="M2362">
        <v>25506</v>
      </c>
      <c r="N2362" t="s">
        <v>28</v>
      </c>
      <c r="O2362">
        <f t="shared" si="72"/>
        <v>39780</v>
      </c>
      <c r="P2362" s="13">
        <f t="shared" si="73"/>
        <v>2974621</v>
      </c>
      <c r="Q2362" s="13">
        <f>SUMIFS(M:M,E:E,Online_eCommerce[[#This Row],[Status]])</f>
        <v>28620410</v>
      </c>
      <c r="R2362" s="13">
        <f>SUMIFS(L:L,H:H,Online_eCommerce[[#This Row],[Brand]])</f>
        <v>2465580</v>
      </c>
      <c r="S2362" s="13">
        <f>SUMIF(H:H,Online_eCommerce[[#This Row],[Brand]],M:M)</f>
        <v>3205254</v>
      </c>
      <c r="T2362" s="13">
        <f>SUMIF(N:N,Online_eCommerce[[#This Row],[Assigned Supervisor]],L:L)</f>
        <v>12220830</v>
      </c>
    </row>
    <row r="2363" spans="1:20" hidden="1" x14ac:dyDescent="0.3">
      <c r="A2363" t="s">
        <v>3536</v>
      </c>
      <c r="B2363" t="s">
        <v>235</v>
      </c>
      <c r="C2363" t="s">
        <v>74</v>
      </c>
      <c r="D2363" t="s">
        <v>3340</v>
      </c>
      <c r="E2363" t="s">
        <v>96</v>
      </c>
      <c r="F2363" t="s">
        <v>107</v>
      </c>
      <c r="G2363" t="s">
        <v>54</v>
      </c>
      <c r="H2363" t="s">
        <v>55</v>
      </c>
      <c r="I2363">
        <v>2680</v>
      </c>
      <c r="J2363">
        <v>3484</v>
      </c>
      <c r="K2363">
        <v>3</v>
      </c>
      <c r="L2363">
        <v>8040</v>
      </c>
      <c r="M2363">
        <v>10452</v>
      </c>
      <c r="N2363" t="s">
        <v>35</v>
      </c>
      <c r="O2363">
        <f t="shared" si="72"/>
        <v>2990</v>
      </c>
      <c r="P2363" s="13">
        <f t="shared" si="73"/>
        <v>2144701</v>
      </c>
      <c r="Q2363" s="13">
        <f>SUMIFS(M:M,E:E,Online_eCommerce[[#This Row],[Status]])</f>
        <v>21233992</v>
      </c>
      <c r="R2363" s="13">
        <f>SUMIFS(L:L,H:H,Online_eCommerce[[#This Row],[Brand]])</f>
        <v>2267380</v>
      </c>
      <c r="S2363" s="13">
        <f>SUMIF(H:H,Online_eCommerce[[#This Row],[Brand]],M:M)</f>
        <v>2947594</v>
      </c>
      <c r="T2363" s="13">
        <f>SUMIF(N:N,Online_eCommerce[[#This Row],[Assigned Supervisor]],L:L)</f>
        <v>14373360</v>
      </c>
    </row>
    <row r="2364" spans="1:20" hidden="1" x14ac:dyDescent="0.3">
      <c r="A2364" t="s">
        <v>3537</v>
      </c>
      <c r="B2364" t="s">
        <v>235</v>
      </c>
      <c r="C2364" t="s">
        <v>81</v>
      </c>
      <c r="D2364" t="s">
        <v>3340</v>
      </c>
      <c r="E2364" t="s">
        <v>18</v>
      </c>
      <c r="F2364" t="s">
        <v>112</v>
      </c>
      <c r="G2364" t="s">
        <v>71</v>
      </c>
      <c r="H2364" t="s">
        <v>21</v>
      </c>
      <c r="I2364">
        <v>8250</v>
      </c>
      <c r="J2364">
        <v>10725</v>
      </c>
      <c r="K2364">
        <v>2</v>
      </c>
      <c r="L2364">
        <v>16500</v>
      </c>
      <c r="M2364">
        <v>21450</v>
      </c>
      <c r="N2364" t="s">
        <v>42</v>
      </c>
      <c r="O2364">
        <f t="shared" si="72"/>
        <v>9750</v>
      </c>
      <c r="P2364" s="13">
        <f t="shared" si="73"/>
        <v>2595632</v>
      </c>
      <c r="Q2364" s="13">
        <f>SUMIFS(M:M,E:E,Online_eCommerce[[#This Row],[Status]])</f>
        <v>28340455</v>
      </c>
      <c r="R2364" s="13">
        <f>SUMIFS(L:L,H:H,Online_eCommerce[[#This Row],[Brand]])</f>
        <v>12435650</v>
      </c>
      <c r="S2364" s="13">
        <f>SUMIF(H:H,Online_eCommerce[[#This Row],[Brand]],M:M)</f>
        <v>16166345</v>
      </c>
      <c r="T2364" s="13">
        <f>SUMIF(N:N,Online_eCommerce[[#This Row],[Assigned Supervisor]],L:L)</f>
        <v>12261500</v>
      </c>
    </row>
    <row r="2365" spans="1:20" hidden="1" x14ac:dyDescent="0.3">
      <c r="A2365" t="s">
        <v>3538</v>
      </c>
      <c r="B2365" t="s">
        <v>235</v>
      </c>
      <c r="C2365" t="s">
        <v>86</v>
      </c>
      <c r="D2365" t="s">
        <v>3340</v>
      </c>
      <c r="E2365" t="s">
        <v>161</v>
      </c>
      <c r="F2365" t="s">
        <v>3182</v>
      </c>
      <c r="G2365" t="s">
        <v>40</v>
      </c>
      <c r="H2365" t="s">
        <v>21</v>
      </c>
      <c r="I2365">
        <v>2650</v>
      </c>
      <c r="J2365">
        <v>3445</v>
      </c>
      <c r="K2365">
        <v>4</v>
      </c>
      <c r="L2365">
        <v>10600</v>
      </c>
      <c r="M2365">
        <v>13780</v>
      </c>
      <c r="N2365" t="s">
        <v>50</v>
      </c>
      <c r="O2365">
        <f t="shared" si="72"/>
        <v>25545</v>
      </c>
      <c r="P2365" s="13">
        <f t="shared" si="73"/>
        <v>1941225</v>
      </c>
      <c r="Q2365" s="13">
        <f>SUMIFS(M:M,E:E,Online_eCommerce[[#This Row],[Status]])</f>
        <v>21103186</v>
      </c>
      <c r="R2365" s="13">
        <f>SUMIFS(L:L,H:H,Online_eCommerce[[#This Row],[Brand]])</f>
        <v>12435650</v>
      </c>
      <c r="S2365" s="13">
        <f>SUMIF(H:H,Online_eCommerce[[#This Row],[Brand]],M:M)</f>
        <v>16166345</v>
      </c>
      <c r="T2365" s="13">
        <f>SUMIF(N:N,Online_eCommerce[[#This Row],[Assigned Supervisor]],L:L)</f>
        <v>12100590</v>
      </c>
    </row>
    <row r="2366" spans="1:20" x14ac:dyDescent="0.3">
      <c r="A2366" t="s">
        <v>3539</v>
      </c>
      <c r="B2366" t="s">
        <v>235</v>
      </c>
      <c r="C2366" t="s">
        <v>91</v>
      </c>
      <c r="D2366" t="s">
        <v>3340</v>
      </c>
      <c r="E2366" t="s">
        <v>46</v>
      </c>
      <c r="F2366" t="s">
        <v>121</v>
      </c>
      <c r="G2366" t="s">
        <v>71</v>
      </c>
      <c r="H2366" t="s">
        <v>122</v>
      </c>
      <c r="I2366">
        <v>12550</v>
      </c>
      <c r="J2366">
        <v>16315</v>
      </c>
      <c r="K2366">
        <v>1</v>
      </c>
      <c r="L2366">
        <v>12550</v>
      </c>
      <c r="M2366">
        <v>16315</v>
      </c>
      <c r="N2366" t="s">
        <v>56</v>
      </c>
      <c r="O2366">
        <f t="shared" si="72"/>
        <v>9750</v>
      </c>
      <c r="P2366" s="13">
        <f t="shared" si="73"/>
        <v>2731963</v>
      </c>
      <c r="Q2366" s="13">
        <f>SUMIFS(M:M,E:E,Online_eCommerce[[#This Row],[Status]])</f>
        <v>28620410</v>
      </c>
      <c r="R2366" s="13">
        <f>SUMIFS(L:L,H:H,Online_eCommerce[[#This Row],[Brand]])</f>
        <v>5045100</v>
      </c>
      <c r="S2366" s="13">
        <f>SUMIF(H:H,Online_eCommerce[[#This Row],[Brand]],M:M)</f>
        <v>6558630</v>
      </c>
      <c r="T2366" s="13">
        <f>SUMIF(N:N,Online_eCommerce[[#This Row],[Assigned Supervisor]],L:L)</f>
        <v>11733610</v>
      </c>
    </row>
    <row r="2367" spans="1:20" hidden="1" x14ac:dyDescent="0.3">
      <c r="A2367" t="s">
        <v>3540</v>
      </c>
      <c r="B2367" t="s">
        <v>235</v>
      </c>
      <c r="C2367" t="s">
        <v>94</v>
      </c>
      <c r="D2367" t="s">
        <v>3340</v>
      </c>
      <c r="E2367" t="s">
        <v>96</v>
      </c>
      <c r="F2367" t="s">
        <v>126</v>
      </c>
      <c r="G2367" t="s">
        <v>26</v>
      </c>
      <c r="H2367" t="s">
        <v>27</v>
      </c>
      <c r="I2367">
        <v>14500</v>
      </c>
      <c r="J2367">
        <v>18850</v>
      </c>
      <c r="K2367">
        <v>3</v>
      </c>
      <c r="L2367">
        <v>43500</v>
      </c>
      <c r="M2367">
        <v>56550</v>
      </c>
      <c r="N2367" t="s">
        <v>22</v>
      </c>
      <c r="O2367">
        <f t="shared" si="72"/>
        <v>33150</v>
      </c>
      <c r="P2367" s="13">
        <f t="shared" si="73"/>
        <v>1868256</v>
      </c>
      <c r="Q2367" s="13">
        <f>SUMIFS(M:M,E:E,Online_eCommerce[[#This Row],[Status]])</f>
        <v>21233992</v>
      </c>
      <c r="R2367" s="13">
        <f>SUMIFS(L:L,H:H,Online_eCommerce[[#This Row],[Brand]])</f>
        <v>14431000</v>
      </c>
      <c r="S2367" s="13">
        <f>SUMIF(H:H,Online_eCommerce[[#This Row],[Brand]],M:M)</f>
        <v>18760300</v>
      </c>
      <c r="T2367" s="13">
        <f>SUMIF(N:N,Online_eCommerce[[#This Row],[Assigned Supervisor]],L:L)</f>
        <v>13693220</v>
      </c>
    </row>
    <row r="2368" spans="1:20" hidden="1" x14ac:dyDescent="0.3">
      <c r="A2368" t="s">
        <v>3541</v>
      </c>
      <c r="B2368" t="s">
        <v>235</v>
      </c>
      <c r="C2368" t="s">
        <v>99</v>
      </c>
      <c r="D2368" t="s">
        <v>3340</v>
      </c>
      <c r="E2368" t="s">
        <v>18</v>
      </c>
      <c r="F2368" t="s">
        <v>129</v>
      </c>
      <c r="G2368" t="s">
        <v>60</v>
      </c>
      <c r="H2368" t="s">
        <v>61</v>
      </c>
      <c r="I2368">
        <v>800</v>
      </c>
      <c r="J2368">
        <v>1040</v>
      </c>
      <c r="K2368">
        <v>4</v>
      </c>
      <c r="L2368">
        <v>3200</v>
      </c>
      <c r="M2368">
        <v>4160</v>
      </c>
      <c r="N2368" t="s">
        <v>28</v>
      </c>
      <c r="O2368">
        <f t="shared" si="72"/>
        <v>3315</v>
      </c>
      <c r="P2368" s="13">
        <f t="shared" si="73"/>
        <v>2651233</v>
      </c>
      <c r="Q2368" s="13">
        <f>SUMIFS(M:M,E:E,Online_eCommerce[[#This Row],[Status]])</f>
        <v>28340455</v>
      </c>
      <c r="R2368" s="13">
        <f>SUMIFS(L:L,H:H,Online_eCommerce[[#This Row],[Brand]])</f>
        <v>10950150</v>
      </c>
      <c r="S2368" s="13">
        <f>SUMIF(H:H,Online_eCommerce[[#This Row],[Brand]],M:M)</f>
        <v>14235195</v>
      </c>
      <c r="T2368" s="13">
        <f>SUMIF(N:N,Online_eCommerce[[#This Row],[Assigned Supervisor]],L:L)</f>
        <v>12220830</v>
      </c>
    </row>
    <row r="2369" spans="1:20" hidden="1" x14ac:dyDescent="0.3">
      <c r="A2369" t="s">
        <v>3542</v>
      </c>
      <c r="B2369" t="s">
        <v>235</v>
      </c>
      <c r="C2369" t="s">
        <v>105</v>
      </c>
      <c r="D2369" t="s">
        <v>3340</v>
      </c>
      <c r="E2369" t="s">
        <v>161</v>
      </c>
      <c r="F2369" t="s">
        <v>133</v>
      </c>
      <c r="G2369" t="s">
        <v>66</v>
      </c>
      <c r="H2369" t="s">
        <v>21</v>
      </c>
      <c r="I2369">
        <v>600</v>
      </c>
      <c r="J2369">
        <v>780</v>
      </c>
      <c r="K2369">
        <v>2</v>
      </c>
      <c r="L2369">
        <v>1200</v>
      </c>
      <c r="M2369">
        <v>1560</v>
      </c>
      <c r="N2369" t="s">
        <v>35</v>
      </c>
      <c r="O2369">
        <f t="shared" si="72"/>
        <v>1690</v>
      </c>
      <c r="P2369" s="13">
        <f t="shared" si="73"/>
        <v>1866852</v>
      </c>
      <c r="Q2369" s="13">
        <f>SUMIFS(M:M,E:E,Online_eCommerce[[#This Row],[Status]])</f>
        <v>21103186</v>
      </c>
      <c r="R2369" s="13">
        <f>SUMIFS(L:L,H:H,Online_eCommerce[[#This Row],[Brand]])</f>
        <v>12435650</v>
      </c>
      <c r="S2369" s="13">
        <f>SUMIF(H:H,Online_eCommerce[[#This Row],[Brand]],M:M)</f>
        <v>16166345</v>
      </c>
      <c r="T2369" s="13">
        <f>SUMIF(N:N,Online_eCommerce[[#This Row],[Assigned Supervisor]],L:L)</f>
        <v>14373360</v>
      </c>
    </row>
    <row r="2370" spans="1:20" x14ac:dyDescent="0.3">
      <c r="A2370" t="s">
        <v>3543</v>
      </c>
      <c r="B2370" t="s">
        <v>235</v>
      </c>
      <c r="C2370" t="s">
        <v>110</v>
      </c>
      <c r="D2370" t="s">
        <v>3340</v>
      </c>
      <c r="E2370" t="s">
        <v>46</v>
      </c>
      <c r="F2370" t="s">
        <v>137</v>
      </c>
      <c r="G2370" t="s">
        <v>71</v>
      </c>
      <c r="H2370" t="s">
        <v>61</v>
      </c>
      <c r="I2370">
        <v>10500</v>
      </c>
      <c r="J2370">
        <v>13650</v>
      </c>
      <c r="K2370">
        <v>2</v>
      </c>
      <c r="L2370">
        <v>21000</v>
      </c>
      <c r="M2370">
        <v>27300</v>
      </c>
      <c r="N2370" t="s">
        <v>42</v>
      </c>
      <c r="O2370">
        <f t="shared" ref="O2370:O2433" si="74">VLOOKUP(G2370,G:M,7,FALSE)</f>
        <v>9750</v>
      </c>
      <c r="P2370" s="13">
        <f t="shared" ref="P2370:P2433" si="75">SUMIFS(M:M,C:C,C2370)</f>
        <v>2598635</v>
      </c>
      <c r="Q2370" s="13">
        <f>SUMIFS(M:M,E:E,Online_eCommerce[[#This Row],[Status]])</f>
        <v>28620410</v>
      </c>
      <c r="R2370" s="13">
        <f>SUMIFS(L:L,H:H,Online_eCommerce[[#This Row],[Brand]])</f>
        <v>10950150</v>
      </c>
      <c r="S2370" s="13">
        <f>SUMIF(H:H,Online_eCommerce[[#This Row],[Brand]],M:M)</f>
        <v>14235195</v>
      </c>
      <c r="T2370" s="13">
        <f>SUMIF(N:N,Online_eCommerce[[#This Row],[Assigned Supervisor]],L:L)</f>
        <v>12261500</v>
      </c>
    </row>
    <row r="2371" spans="1:20" hidden="1" x14ac:dyDescent="0.3">
      <c r="A2371" t="s">
        <v>3544</v>
      </c>
      <c r="B2371" t="s">
        <v>235</v>
      </c>
      <c r="C2371" t="s">
        <v>115</v>
      </c>
      <c r="D2371" t="s">
        <v>3340</v>
      </c>
      <c r="E2371" t="s">
        <v>96</v>
      </c>
      <c r="F2371" t="s">
        <v>3515</v>
      </c>
      <c r="G2371" t="s">
        <v>77</v>
      </c>
      <c r="H2371" t="s">
        <v>142</v>
      </c>
      <c r="I2371">
        <v>6500</v>
      </c>
      <c r="J2371">
        <v>8450</v>
      </c>
      <c r="K2371">
        <v>2</v>
      </c>
      <c r="L2371">
        <v>13000</v>
      </c>
      <c r="M2371">
        <v>16900</v>
      </c>
      <c r="N2371" t="s">
        <v>50</v>
      </c>
      <c r="O2371">
        <f t="shared" si="74"/>
        <v>39000</v>
      </c>
      <c r="P2371" s="13">
        <f t="shared" si="75"/>
        <v>2050178</v>
      </c>
      <c r="Q2371" s="13">
        <f>SUMIFS(M:M,E:E,Online_eCommerce[[#This Row],[Status]])</f>
        <v>21233992</v>
      </c>
      <c r="R2371" s="13">
        <f>SUMIFS(L:L,H:H,Online_eCommerce[[#This Row],[Brand]])</f>
        <v>6192500</v>
      </c>
      <c r="S2371" s="13">
        <f>SUMIF(H:H,Online_eCommerce[[#This Row],[Brand]],M:M)</f>
        <v>8050250</v>
      </c>
      <c r="T2371" s="13">
        <f>SUMIF(N:N,Online_eCommerce[[#This Row],[Assigned Supervisor]],L:L)</f>
        <v>12100590</v>
      </c>
    </row>
    <row r="2372" spans="1:20" hidden="1" x14ac:dyDescent="0.3">
      <c r="A2372" t="s">
        <v>3545</v>
      </c>
      <c r="B2372" t="s">
        <v>235</v>
      </c>
      <c r="C2372" t="s">
        <v>120</v>
      </c>
      <c r="D2372" t="s">
        <v>3340</v>
      </c>
      <c r="E2372" t="s">
        <v>18</v>
      </c>
      <c r="F2372" t="s">
        <v>3546</v>
      </c>
      <c r="G2372" t="s">
        <v>20</v>
      </c>
      <c r="H2372" t="s">
        <v>21</v>
      </c>
      <c r="I2372">
        <v>4500</v>
      </c>
      <c r="J2372">
        <v>5850</v>
      </c>
      <c r="K2372">
        <v>4</v>
      </c>
      <c r="L2372">
        <v>18000</v>
      </c>
      <c r="M2372">
        <v>23400</v>
      </c>
      <c r="N2372" t="s">
        <v>56</v>
      </c>
      <c r="O2372">
        <f t="shared" si="74"/>
        <v>8450</v>
      </c>
      <c r="P2372" s="13">
        <f t="shared" si="75"/>
        <v>2734212</v>
      </c>
      <c r="Q2372" s="13">
        <f>SUMIFS(M:M,E:E,Online_eCommerce[[#This Row],[Status]])</f>
        <v>28340455</v>
      </c>
      <c r="R2372" s="13">
        <f>SUMIFS(L:L,H:H,Online_eCommerce[[#This Row],[Brand]])</f>
        <v>12435650</v>
      </c>
      <c r="S2372" s="13">
        <f>SUMIF(H:H,Online_eCommerce[[#This Row],[Brand]],M:M)</f>
        <v>16166345</v>
      </c>
      <c r="T2372" s="13">
        <f>SUMIF(N:N,Online_eCommerce[[#This Row],[Assigned Supervisor]],L:L)</f>
        <v>11733610</v>
      </c>
    </row>
    <row r="2373" spans="1:20" hidden="1" x14ac:dyDescent="0.3">
      <c r="A2373" t="s">
        <v>3547</v>
      </c>
      <c r="B2373" t="s">
        <v>235</v>
      </c>
      <c r="C2373" t="s">
        <v>125</v>
      </c>
      <c r="D2373" t="s">
        <v>3340</v>
      </c>
      <c r="E2373" t="s">
        <v>161</v>
      </c>
      <c r="F2373" t="s">
        <v>152</v>
      </c>
      <c r="G2373" t="s">
        <v>26</v>
      </c>
      <c r="H2373" t="s">
        <v>27</v>
      </c>
      <c r="I2373">
        <v>8500</v>
      </c>
      <c r="J2373">
        <v>11050</v>
      </c>
      <c r="K2373">
        <v>3</v>
      </c>
      <c r="L2373">
        <v>25500</v>
      </c>
      <c r="M2373">
        <v>33150</v>
      </c>
      <c r="N2373" t="s">
        <v>22</v>
      </c>
      <c r="O2373">
        <f t="shared" si="74"/>
        <v>33150</v>
      </c>
      <c r="P2373" s="13">
        <f t="shared" si="75"/>
        <v>2091154</v>
      </c>
      <c r="Q2373" s="13">
        <f>SUMIFS(M:M,E:E,Online_eCommerce[[#This Row],[Status]])</f>
        <v>21103186</v>
      </c>
      <c r="R2373" s="13">
        <f>SUMIFS(L:L,H:H,Online_eCommerce[[#This Row],[Brand]])</f>
        <v>14431000</v>
      </c>
      <c r="S2373" s="13">
        <f>SUMIF(H:H,Online_eCommerce[[#This Row],[Brand]],M:M)</f>
        <v>18760300</v>
      </c>
      <c r="T2373" s="13">
        <f>SUMIF(N:N,Online_eCommerce[[#This Row],[Assigned Supervisor]],L:L)</f>
        <v>13693220</v>
      </c>
    </row>
    <row r="2374" spans="1:20" x14ac:dyDescent="0.3">
      <c r="A2374" t="s">
        <v>3548</v>
      </c>
      <c r="B2374" t="s">
        <v>235</v>
      </c>
      <c r="C2374" t="s">
        <v>22</v>
      </c>
      <c r="D2374" t="s">
        <v>3340</v>
      </c>
      <c r="E2374" t="s">
        <v>46</v>
      </c>
      <c r="F2374" t="s">
        <v>157</v>
      </c>
      <c r="G2374" t="s">
        <v>33</v>
      </c>
      <c r="H2374" t="s">
        <v>34</v>
      </c>
      <c r="I2374">
        <v>12500</v>
      </c>
      <c r="J2374">
        <v>16250</v>
      </c>
      <c r="K2374">
        <v>2</v>
      </c>
      <c r="L2374">
        <v>25000</v>
      </c>
      <c r="M2374">
        <v>32500</v>
      </c>
      <c r="N2374" t="s">
        <v>28</v>
      </c>
      <c r="O2374">
        <f t="shared" si="74"/>
        <v>18200</v>
      </c>
      <c r="P2374" s="13">
        <f t="shared" si="75"/>
        <v>2551588</v>
      </c>
      <c r="Q2374" s="13">
        <f>SUMIFS(M:M,E:E,Online_eCommerce[[#This Row],[Status]])</f>
        <v>28620410</v>
      </c>
      <c r="R2374" s="13">
        <f>SUMIFS(L:L,H:H,Online_eCommerce[[#This Row],[Brand]])</f>
        <v>10087000</v>
      </c>
      <c r="S2374" s="13">
        <f>SUMIF(H:H,Online_eCommerce[[#This Row],[Brand]],M:M)</f>
        <v>13113100</v>
      </c>
      <c r="T2374" s="13">
        <f>SUMIF(N:N,Online_eCommerce[[#This Row],[Assigned Supervisor]],L:L)</f>
        <v>12220830</v>
      </c>
    </row>
    <row r="2375" spans="1:20" hidden="1" x14ac:dyDescent="0.3">
      <c r="A2375" t="s">
        <v>3549</v>
      </c>
      <c r="B2375" t="s">
        <v>235</v>
      </c>
      <c r="C2375" t="s">
        <v>132</v>
      </c>
      <c r="D2375" t="s">
        <v>3340</v>
      </c>
      <c r="E2375" t="s">
        <v>96</v>
      </c>
      <c r="F2375" t="s">
        <v>3224</v>
      </c>
      <c r="G2375" t="s">
        <v>163</v>
      </c>
      <c r="H2375" t="s">
        <v>41</v>
      </c>
      <c r="I2375">
        <v>3500</v>
      </c>
      <c r="J2375">
        <v>4550</v>
      </c>
      <c r="K2375">
        <v>2</v>
      </c>
      <c r="L2375">
        <v>7000</v>
      </c>
      <c r="M2375">
        <v>9100</v>
      </c>
      <c r="N2375" t="s">
        <v>35</v>
      </c>
      <c r="O2375">
        <f t="shared" si="74"/>
        <v>13650</v>
      </c>
      <c r="P2375" s="13">
        <f t="shared" si="75"/>
        <v>1989065</v>
      </c>
      <c r="Q2375" s="13">
        <f>SUMIFS(M:M,E:E,Online_eCommerce[[#This Row],[Status]])</f>
        <v>21233992</v>
      </c>
      <c r="R2375" s="13">
        <f>SUMIFS(L:L,H:H,Online_eCommerce[[#This Row],[Brand]])</f>
        <v>4260400</v>
      </c>
      <c r="S2375" s="13">
        <f>SUMIF(H:H,Online_eCommerce[[#This Row],[Brand]],M:M)</f>
        <v>5538520</v>
      </c>
      <c r="T2375" s="13">
        <f>SUMIF(N:N,Online_eCommerce[[#This Row],[Assigned Supervisor]],L:L)</f>
        <v>14373360</v>
      </c>
    </row>
    <row r="2376" spans="1:20" hidden="1" x14ac:dyDescent="0.3">
      <c r="A2376" t="s">
        <v>3550</v>
      </c>
      <c r="B2376" t="s">
        <v>235</v>
      </c>
      <c r="C2376" t="s">
        <v>136</v>
      </c>
      <c r="D2376" t="s">
        <v>3340</v>
      </c>
      <c r="E2376" t="s">
        <v>18</v>
      </c>
      <c r="F2376" t="s">
        <v>166</v>
      </c>
      <c r="G2376" t="s">
        <v>66</v>
      </c>
      <c r="H2376" t="s">
        <v>49</v>
      </c>
      <c r="I2376">
        <v>4500</v>
      </c>
      <c r="J2376">
        <v>5850</v>
      </c>
      <c r="K2376">
        <v>4</v>
      </c>
      <c r="L2376">
        <v>18000</v>
      </c>
      <c r="M2376">
        <v>23400</v>
      </c>
      <c r="N2376" t="s">
        <v>42</v>
      </c>
      <c r="O2376">
        <f t="shared" si="74"/>
        <v>1690</v>
      </c>
      <c r="P2376" s="13">
        <f t="shared" si="75"/>
        <v>2775162</v>
      </c>
      <c r="Q2376" s="13">
        <f>SUMIFS(M:M,E:E,Online_eCommerce[[#This Row],[Status]])</f>
        <v>28340455</v>
      </c>
      <c r="R2376" s="13">
        <f>SUMIFS(L:L,H:H,Online_eCommerce[[#This Row],[Brand]])</f>
        <v>4528350</v>
      </c>
      <c r="S2376" s="13">
        <f>SUMIF(H:H,Online_eCommerce[[#This Row],[Brand]],M:M)</f>
        <v>5886855</v>
      </c>
      <c r="T2376" s="13">
        <f>SUMIF(N:N,Online_eCommerce[[#This Row],[Assigned Supervisor]],L:L)</f>
        <v>12261500</v>
      </c>
    </row>
    <row r="2377" spans="1:20" hidden="1" x14ac:dyDescent="0.3">
      <c r="A2377" t="s">
        <v>3551</v>
      </c>
      <c r="B2377" t="s">
        <v>235</v>
      </c>
      <c r="C2377" t="s">
        <v>140</v>
      </c>
      <c r="D2377" t="s">
        <v>3340</v>
      </c>
      <c r="E2377" t="s">
        <v>161</v>
      </c>
      <c r="F2377" t="s">
        <v>3552</v>
      </c>
      <c r="G2377" t="s">
        <v>54</v>
      </c>
      <c r="H2377" t="s">
        <v>55</v>
      </c>
      <c r="I2377">
        <v>2100</v>
      </c>
      <c r="J2377">
        <v>2730</v>
      </c>
      <c r="K2377">
        <v>1</v>
      </c>
      <c r="L2377">
        <v>2100</v>
      </c>
      <c r="M2377">
        <v>2730</v>
      </c>
      <c r="N2377" t="s">
        <v>50</v>
      </c>
      <c r="O2377">
        <f t="shared" si="74"/>
        <v>2990</v>
      </c>
      <c r="P2377" s="13">
        <f t="shared" si="75"/>
        <v>2058264</v>
      </c>
      <c r="Q2377" s="13">
        <f>SUMIFS(M:M,E:E,Online_eCommerce[[#This Row],[Status]])</f>
        <v>21103186</v>
      </c>
      <c r="R2377" s="13">
        <f>SUMIFS(L:L,H:H,Online_eCommerce[[#This Row],[Brand]])</f>
        <v>2267380</v>
      </c>
      <c r="S2377" s="13">
        <f>SUMIF(H:H,Online_eCommerce[[#This Row],[Brand]],M:M)</f>
        <v>2947594</v>
      </c>
      <c r="T2377" s="13">
        <f>SUMIF(N:N,Online_eCommerce[[#This Row],[Assigned Supervisor]],L:L)</f>
        <v>12100590</v>
      </c>
    </row>
    <row r="2378" spans="1:20" x14ac:dyDescent="0.3">
      <c r="A2378" t="s">
        <v>3553</v>
      </c>
      <c r="B2378" t="s">
        <v>235</v>
      </c>
      <c r="C2378" t="s">
        <v>145</v>
      </c>
      <c r="D2378" t="s">
        <v>3340</v>
      </c>
      <c r="E2378" t="s">
        <v>46</v>
      </c>
      <c r="F2378" t="s">
        <v>174</v>
      </c>
      <c r="G2378" t="s">
        <v>60</v>
      </c>
      <c r="H2378" t="s">
        <v>61</v>
      </c>
      <c r="I2378">
        <v>1150</v>
      </c>
      <c r="J2378">
        <v>1495</v>
      </c>
      <c r="K2378">
        <v>2</v>
      </c>
      <c r="L2378">
        <v>2300</v>
      </c>
      <c r="M2378">
        <v>2990</v>
      </c>
      <c r="N2378" t="s">
        <v>56</v>
      </c>
      <c r="O2378">
        <f t="shared" si="74"/>
        <v>3315</v>
      </c>
      <c r="P2378" s="13">
        <f t="shared" si="75"/>
        <v>2757859</v>
      </c>
      <c r="Q2378" s="13">
        <f>SUMIFS(M:M,E:E,Online_eCommerce[[#This Row],[Status]])</f>
        <v>28620410</v>
      </c>
      <c r="R2378" s="13">
        <f>SUMIFS(L:L,H:H,Online_eCommerce[[#This Row],[Brand]])</f>
        <v>10950150</v>
      </c>
      <c r="S2378" s="13">
        <f>SUMIF(H:H,Online_eCommerce[[#This Row],[Brand]],M:M)</f>
        <v>14235195</v>
      </c>
      <c r="T2378" s="13">
        <f>SUMIF(N:N,Online_eCommerce[[#This Row],[Assigned Supervisor]],L:L)</f>
        <v>11733610</v>
      </c>
    </row>
    <row r="2379" spans="1:20" hidden="1" x14ac:dyDescent="0.3">
      <c r="A2379" t="s">
        <v>3554</v>
      </c>
      <c r="B2379" t="s">
        <v>235</v>
      </c>
      <c r="C2379" t="s">
        <v>150</v>
      </c>
      <c r="D2379" t="s">
        <v>3340</v>
      </c>
      <c r="E2379" t="s">
        <v>96</v>
      </c>
      <c r="F2379" t="s">
        <v>179</v>
      </c>
      <c r="G2379" t="s">
        <v>66</v>
      </c>
      <c r="H2379" t="s">
        <v>21</v>
      </c>
      <c r="I2379">
        <v>350</v>
      </c>
      <c r="J2379">
        <v>455</v>
      </c>
      <c r="K2379">
        <v>2</v>
      </c>
      <c r="L2379">
        <v>700</v>
      </c>
      <c r="M2379">
        <v>910</v>
      </c>
      <c r="N2379" t="s">
        <v>22</v>
      </c>
      <c r="O2379">
        <f t="shared" si="74"/>
        <v>1690</v>
      </c>
      <c r="P2379" s="13">
        <f t="shared" si="75"/>
        <v>2154984</v>
      </c>
      <c r="Q2379" s="13">
        <f>SUMIFS(M:M,E:E,Online_eCommerce[[#This Row],[Status]])</f>
        <v>21233992</v>
      </c>
      <c r="R2379" s="13">
        <f>SUMIFS(L:L,H:H,Online_eCommerce[[#This Row],[Brand]])</f>
        <v>12435650</v>
      </c>
      <c r="S2379" s="13">
        <f>SUMIF(H:H,Online_eCommerce[[#This Row],[Brand]],M:M)</f>
        <v>16166345</v>
      </c>
      <c r="T2379" s="13">
        <f>SUMIF(N:N,Online_eCommerce[[#This Row],[Assigned Supervisor]],L:L)</f>
        <v>13693220</v>
      </c>
    </row>
    <row r="2380" spans="1:20" hidden="1" x14ac:dyDescent="0.3">
      <c r="A2380" t="s">
        <v>3555</v>
      </c>
      <c r="B2380" t="s">
        <v>235</v>
      </c>
      <c r="C2380" t="s">
        <v>155</v>
      </c>
      <c r="D2380" t="s">
        <v>3340</v>
      </c>
      <c r="E2380" t="s">
        <v>18</v>
      </c>
      <c r="F2380" t="s">
        <v>183</v>
      </c>
      <c r="G2380" t="s">
        <v>71</v>
      </c>
      <c r="H2380" t="s">
        <v>61</v>
      </c>
      <c r="I2380">
        <v>9500</v>
      </c>
      <c r="J2380">
        <v>12350</v>
      </c>
      <c r="K2380">
        <v>2</v>
      </c>
      <c r="L2380">
        <v>19000</v>
      </c>
      <c r="M2380">
        <v>24700</v>
      </c>
      <c r="N2380" t="s">
        <v>28</v>
      </c>
      <c r="O2380">
        <f t="shared" si="74"/>
        <v>9750</v>
      </c>
      <c r="P2380" s="13">
        <f t="shared" si="75"/>
        <v>2753348</v>
      </c>
      <c r="Q2380" s="13">
        <f>SUMIFS(M:M,E:E,Online_eCommerce[[#This Row],[Status]])</f>
        <v>28340455</v>
      </c>
      <c r="R2380" s="13">
        <f>SUMIFS(L:L,H:H,Online_eCommerce[[#This Row],[Brand]])</f>
        <v>10950150</v>
      </c>
      <c r="S2380" s="13">
        <f>SUMIF(H:H,Online_eCommerce[[#This Row],[Brand]],M:M)</f>
        <v>14235195</v>
      </c>
      <c r="T2380" s="13">
        <f>SUMIF(N:N,Online_eCommerce[[#This Row],[Assigned Supervisor]],L:L)</f>
        <v>12220830</v>
      </c>
    </row>
    <row r="2381" spans="1:20" hidden="1" x14ac:dyDescent="0.3">
      <c r="A2381" t="s">
        <v>3556</v>
      </c>
      <c r="B2381" t="s">
        <v>235</v>
      </c>
      <c r="C2381" t="s">
        <v>160</v>
      </c>
      <c r="D2381" t="s">
        <v>3340</v>
      </c>
      <c r="E2381" t="s">
        <v>161</v>
      </c>
      <c r="F2381" t="s">
        <v>3557</v>
      </c>
      <c r="G2381" t="s">
        <v>77</v>
      </c>
      <c r="H2381" t="s">
        <v>142</v>
      </c>
      <c r="I2381">
        <v>10000</v>
      </c>
      <c r="J2381">
        <v>13000</v>
      </c>
      <c r="K2381">
        <v>4</v>
      </c>
      <c r="L2381">
        <v>40000</v>
      </c>
      <c r="M2381">
        <v>52000</v>
      </c>
      <c r="N2381" t="s">
        <v>35</v>
      </c>
      <c r="O2381">
        <f t="shared" si="74"/>
        <v>39000</v>
      </c>
      <c r="P2381" s="13">
        <f t="shared" si="75"/>
        <v>2303483</v>
      </c>
      <c r="Q2381" s="13">
        <f>SUMIFS(M:M,E:E,Online_eCommerce[[#This Row],[Status]])</f>
        <v>21103186</v>
      </c>
      <c r="R2381" s="13">
        <f>SUMIFS(L:L,H:H,Online_eCommerce[[#This Row],[Brand]])</f>
        <v>6192500</v>
      </c>
      <c r="S2381" s="13">
        <f>SUMIF(H:H,Online_eCommerce[[#This Row],[Brand]],M:M)</f>
        <v>8050250</v>
      </c>
      <c r="T2381" s="13">
        <f>SUMIF(N:N,Online_eCommerce[[#This Row],[Assigned Supervisor]],L:L)</f>
        <v>14373360</v>
      </c>
    </row>
    <row r="2382" spans="1:20" x14ac:dyDescent="0.3">
      <c r="A2382" t="s">
        <v>3558</v>
      </c>
      <c r="B2382" t="s">
        <v>235</v>
      </c>
      <c r="C2382" t="s">
        <v>165</v>
      </c>
      <c r="D2382" t="s">
        <v>3340</v>
      </c>
      <c r="E2382" t="s">
        <v>46</v>
      </c>
      <c r="F2382" t="s">
        <v>3559</v>
      </c>
      <c r="G2382" t="s">
        <v>20</v>
      </c>
      <c r="H2382" t="s">
        <v>21</v>
      </c>
      <c r="I2382">
        <v>6500</v>
      </c>
      <c r="J2382">
        <v>8450</v>
      </c>
      <c r="K2382">
        <v>1</v>
      </c>
      <c r="L2382">
        <v>6500</v>
      </c>
      <c r="M2382">
        <v>8450</v>
      </c>
      <c r="N2382" t="s">
        <v>42</v>
      </c>
      <c r="O2382">
        <f t="shared" si="74"/>
        <v>8450</v>
      </c>
      <c r="P2382" s="13">
        <f t="shared" si="75"/>
        <v>2674087</v>
      </c>
      <c r="Q2382" s="13">
        <f>SUMIFS(M:M,E:E,Online_eCommerce[[#This Row],[Status]])</f>
        <v>28620410</v>
      </c>
      <c r="R2382" s="13">
        <f>SUMIFS(L:L,H:H,Online_eCommerce[[#This Row],[Brand]])</f>
        <v>12435650</v>
      </c>
      <c r="S2382" s="13">
        <f>SUMIF(H:H,Online_eCommerce[[#This Row],[Brand]],M:M)</f>
        <v>16166345</v>
      </c>
      <c r="T2382" s="13">
        <f>SUMIF(N:N,Online_eCommerce[[#This Row],[Assigned Supervisor]],L:L)</f>
        <v>12261500</v>
      </c>
    </row>
    <row r="2383" spans="1:20" hidden="1" x14ac:dyDescent="0.3">
      <c r="A2383" t="s">
        <v>3560</v>
      </c>
      <c r="B2383" t="s">
        <v>235</v>
      </c>
      <c r="C2383" t="s">
        <v>168</v>
      </c>
      <c r="D2383" t="s">
        <v>3340</v>
      </c>
      <c r="E2383" t="s">
        <v>96</v>
      </c>
      <c r="F2383" t="s">
        <v>3561</v>
      </c>
      <c r="G2383" t="s">
        <v>26</v>
      </c>
      <c r="H2383" t="s">
        <v>27</v>
      </c>
      <c r="I2383">
        <v>8500</v>
      </c>
      <c r="J2383">
        <v>11050</v>
      </c>
      <c r="K2383">
        <v>2</v>
      </c>
      <c r="L2383">
        <v>17000</v>
      </c>
      <c r="M2383">
        <v>22100</v>
      </c>
      <c r="N2383" t="s">
        <v>50</v>
      </c>
      <c r="O2383">
        <f t="shared" si="74"/>
        <v>33150</v>
      </c>
      <c r="P2383" s="13">
        <f t="shared" si="75"/>
        <v>1937780</v>
      </c>
      <c r="Q2383" s="13">
        <f>SUMIFS(M:M,E:E,Online_eCommerce[[#This Row],[Status]])</f>
        <v>21233992</v>
      </c>
      <c r="R2383" s="13">
        <f>SUMIFS(L:L,H:H,Online_eCommerce[[#This Row],[Brand]])</f>
        <v>14431000</v>
      </c>
      <c r="S2383" s="13">
        <f>SUMIF(H:H,Online_eCommerce[[#This Row],[Brand]],M:M)</f>
        <v>18760300</v>
      </c>
      <c r="T2383" s="13">
        <f>SUMIF(N:N,Online_eCommerce[[#This Row],[Assigned Supervisor]],L:L)</f>
        <v>12100590</v>
      </c>
    </row>
    <row r="2384" spans="1:20" hidden="1" x14ac:dyDescent="0.3">
      <c r="A2384" t="s">
        <v>3562</v>
      </c>
      <c r="B2384" t="s">
        <v>235</v>
      </c>
      <c r="C2384" t="s">
        <v>172</v>
      </c>
      <c r="D2384" t="s">
        <v>3340</v>
      </c>
      <c r="E2384" t="s">
        <v>18</v>
      </c>
      <c r="F2384" t="s">
        <v>32</v>
      </c>
      <c r="G2384" t="s">
        <v>33</v>
      </c>
      <c r="H2384" t="s">
        <v>34</v>
      </c>
      <c r="I2384">
        <v>7000</v>
      </c>
      <c r="J2384">
        <v>9100</v>
      </c>
      <c r="K2384">
        <v>4</v>
      </c>
      <c r="L2384">
        <v>28000</v>
      </c>
      <c r="M2384">
        <v>36400</v>
      </c>
      <c r="N2384" t="s">
        <v>56</v>
      </c>
      <c r="O2384">
        <f t="shared" si="74"/>
        <v>18200</v>
      </c>
      <c r="P2384" s="13">
        <f t="shared" si="75"/>
        <v>2640274</v>
      </c>
      <c r="Q2384" s="13">
        <f>SUMIFS(M:M,E:E,Online_eCommerce[[#This Row],[Status]])</f>
        <v>28340455</v>
      </c>
      <c r="R2384" s="13">
        <f>SUMIFS(L:L,H:H,Online_eCommerce[[#This Row],[Brand]])</f>
        <v>10087000</v>
      </c>
      <c r="S2384" s="13">
        <f>SUMIF(H:H,Online_eCommerce[[#This Row],[Brand]],M:M)</f>
        <v>13113100</v>
      </c>
      <c r="T2384" s="13">
        <f>SUMIF(N:N,Online_eCommerce[[#This Row],[Assigned Supervisor]],L:L)</f>
        <v>11733610</v>
      </c>
    </row>
    <row r="2385" spans="1:20" hidden="1" x14ac:dyDescent="0.3">
      <c r="A2385" t="s">
        <v>3563</v>
      </c>
      <c r="B2385" t="s">
        <v>235</v>
      </c>
      <c r="C2385" t="s">
        <v>177</v>
      </c>
      <c r="D2385" t="s">
        <v>3340</v>
      </c>
      <c r="E2385" t="s">
        <v>161</v>
      </c>
      <c r="F2385" t="s">
        <v>3564</v>
      </c>
      <c r="G2385" t="s">
        <v>163</v>
      </c>
      <c r="H2385" t="s">
        <v>41</v>
      </c>
      <c r="I2385">
        <v>6550</v>
      </c>
      <c r="J2385">
        <v>8515</v>
      </c>
      <c r="K2385">
        <v>3</v>
      </c>
      <c r="L2385">
        <v>19650</v>
      </c>
      <c r="M2385">
        <v>25545</v>
      </c>
      <c r="N2385" t="s">
        <v>22</v>
      </c>
      <c r="O2385">
        <f t="shared" si="74"/>
        <v>13650</v>
      </c>
      <c r="P2385" s="13">
        <f t="shared" si="75"/>
        <v>1863810</v>
      </c>
      <c r="Q2385" s="13">
        <f>SUMIFS(M:M,E:E,Online_eCommerce[[#This Row],[Status]])</f>
        <v>21103186</v>
      </c>
      <c r="R2385" s="13">
        <f>SUMIFS(L:L,H:H,Online_eCommerce[[#This Row],[Brand]])</f>
        <v>4260400</v>
      </c>
      <c r="S2385" s="13">
        <f>SUMIF(H:H,Online_eCommerce[[#This Row],[Brand]],M:M)</f>
        <v>5538520</v>
      </c>
      <c r="T2385" s="13">
        <f>SUMIF(N:N,Online_eCommerce[[#This Row],[Assigned Supervisor]],L:L)</f>
        <v>13693220</v>
      </c>
    </row>
    <row r="2386" spans="1:20" x14ac:dyDescent="0.3">
      <c r="A2386" t="s">
        <v>3565</v>
      </c>
      <c r="B2386" t="s">
        <v>235</v>
      </c>
      <c r="C2386" t="s">
        <v>181</v>
      </c>
      <c r="D2386" t="s">
        <v>3340</v>
      </c>
      <c r="E2386" t="s">
        <v>46</v>
      </c>
      <c r="F2386" t="s">
        <v>47</v>
      </c>
      <c r="G2386" t="s">
        <v>66</v>
      </c>
      <c r="H2386" t="s">
        <v>49</v>
      </c>
      <c r="I2386">
        <v>7650</v>
      </c>
      <c r="J2386">
        <v>9945</v>
      </c>
      <c r="K2386">
        <v>1</v>
      </c>
      <c r="L2386">
        <v>7650</v>
      </c>
      <c r="M2386">
        <v>9945</v>
      </c>
      <c r="N2386" t="s">
        <v>28</v>
      </c>
      <c r="O2386">
        <f t="shared" si="74"/>
        <v>1690</v>
      </c>
      <c r="P2386" s="13">
        <f t="shared" si="75"/>
        <v>2577458</v>
      </c>
      <c r="Q2386" s="13">
        <f>SUMIFS(M:M,E:E,Online_eCommerce[[#This Row],[Status]])</f>
        <v>28620410</v>
      </c>
      <c r="R2386" s="13">
        <f>SUMIFS(L:L,H:H,Online_eCommerce[[#This Row],[Brand]])</f>
        <v>4528350</v>
      </c>
      <c r="S2386" s="13">
        <f>SUMIF(H:H,Online_eCommerce[[#This Row],[Brand]],M:M)</f>
        <v>5886855</v>
      </c>
      <c r="T2386" s="13">
        <f>SUMIF(N:N,Online_eCommerce[[#This Row],[Assigned Supervisor]],L:L)</f>
        <v>12220830</v>
      </c>
    </row>
    <row r="2387" spans="1:20" hidden="1" x14ac:dyDescent="0.3">
      <c r="A2387" t="s">
        <v>3566</v>
      </c>
      <c r="B2387" t="s">
        <v>235</v>
      </c>
      <c r="C2387" t="s">
        <v>185</v>
      </c>
      <c r="D2387" t="s">
        <v>3567</v>
      </c>
      <c r="E2387" t="s">
        <v>96</v>
      </c>
      <c r="F2387" t="s">
        <v>53</v>
      </c>
      <c r="G2387" t="s">
        <v>54</v>
      </c>
      <c r="H2387" t="s">
        <v>55</v>
      </c>
      <c r="I2387">
        <v>1150</v>
      </c>
      <c r="J2387">
        <v>1495</v>
      </c>
      <c r="K2387">
        <v>4</v>
      </c>
      <c r="L2387">
        <v>4600</v>
      </c>
      <c r="M2387">
        <v>5980</v>
      </c>
      <c r="N2387" t="s">
        <v>35</v>
      </c>
      <c r="O2387">
        <f t="shared" si="74"/>
        <v>2990</v>
      </c>
      <c r="P2387" s="13">
        <f t="shared" si="75"/>
        <v>2091596</v>
      </c>
      <c r="Q2387" s="13">
        <f>SUMIFS(M:M,E:E,Online_eCommerce[[#This Row],[Status]])</f>
        <v>21233992</v>
      </c>
      <c r="R2387" s="13">
        <f>SUMIFS(L:L,H:H,Online_eCommerce[[#This Row],[Brand]])</f>
        <v>2267380</v>
      </c>
      <c r="S2387" s="13">
        <f>SUMIF(H:H,Online_eCommerce[[#This Row],[Brand]],M:M)</f>
        <v>2947594</v>
      </c>
      <c r="T2387" s="13">
        <f>SUMIF(N:N,Online_eCommerce[[#This Row],[Assigned Supervisor]],L:L)</f>
        <v>14373360</v>
      </c>
    </row>
    <row r="2388" spans="1:20" hidden="1" x14ac:dyDescent="0.3">
      <c r="A2388" t="s">
        <v>3568</v>
      </c>
      <c r="B2388" t="s">
        <v>235</v>
      </c>
      <c r="C2388" t="s">
        <v>189</v>
      </c>
      <c r="D2388" t="s">
        <v>3569</v>
      </c>
      <c r="E2388" t="s">
        <v>18</v>
      </c>
      <c r="F2388" t="s">
        <v>59</v>
      </c>
      <c r="G2388" t="s">
        <v>60</v>
      </c>
      <c r="H2388" t="s">
        <v>61</v>
      </c>
      <c r="I2388">
        <v>850</v>
      </c>
      <c r="J2388">
        <v>1105</v>
      </c>
      <c r="K2388">
        <v>1</v>
      </c>
      <c r="L2388">
        <v>850</v>
      </c>
      <c r="M2388">
        <v>1105</v>
      </c>
      <c r="N2388" t="s">
        <v>42</v>
      </c>
      <c r="O2388">
        <f t="shared" si="74"/>
        <v>3315</v>
      </c>
      <c r="P2388" s="13">
        <f t="shared" si="75"/>
        <v>2740777</v>
      </c>
      <c r="Q2388" s="13">
        <f>SUMIFS(M:M,E:E,Online_eCommerce[[#This Row],[Status]])</f>
        <v>28340455</v>
      </c>
      <c r="R2388" s="13">
        <f>SUMIFS(L:L,H:H,Online_eCommerce[[#This Row],[Brand]])</f>
        <v>10950150</v>
      </c>
      <c r="S2388" s="13">
        <f>SUMIF(H:H,Online_eCommerce[[#This Row],[Brand]],M:M)</f>
        <v>14235195</v>
      </c>
      <c r="T2388" s="13">
        <f>SUMIF(N:N,Online_eCommerce[[#This Row],[Assigned Supervisor]],L:L)</f>
        <v>12261500</v>
      </c>
    </row>
    <row r="2389" spans="1:20" hidden="1" x14ac:dyDescent="0.3">
      <c r="A2389" t="s">
        <v>3570</v>
      </c>
      <c r="B2389" t="s">
        <v>235</v>
      </c>
      <c r="C2389" t="s">
        <v>193</v>
      </c>
      <c r="D2389" t="s">
        <v>3571</v>
      </c>
      <c r="E2389" t="s">
        <v>161</v>
      </c>
      <c r="F2389" t="s">
        <v>65</v>
      </c>
      <c r="G2389" t="s">
        <v>66</v>
      </c>
      <c r="H2389" t="s">
        <v>21</v>
      </c>
      <c r="I2389">
        <v>650</v>
      </c>
      <c r="J2389">
        <v>845</v>
      </c>
      <c r="K2389">
        <v>2</v>
      </c>
      <c r="L2389">
        <v>1300</v>
      </c>
      <c r="M2389">
        <v>1690</v>
      </c>
      <c r="N2389" t="s">
        <v>50</v>
      </c>
      <c r="O2389">
        <f t="shared" si="74"/>
        <v>1690</v>
      </c>
      <c r="P2389" s="13">
        <f t="shared" si="75"/>
        <v>2074774</v>
      </c>
      <c r="Q2389" s="13">
        <f>SUMIFS(M:M,E:E,Online_eCommerce[[#This Row],[Status]])</f>
        <v>21103186</v>
      </c>
      <c r="R2389" s="13">
        <f>SUMIFS(L:L,H:H,Online_eCommerce[[#This Row],[Brand]])</f>
        <v>12435650</v>
      </c>
      <c r="S2389" s="13">
        <f>SUMIF(H:H,Online_eCommerce[[#This Row],[Brand]],M:M)</f>
        <v>16166345</v>
      </c>
      <c r="T2389" s="13">
        <f>SUMIF(N:N,Online_eCommerce[[#This Row],[Assigned Supervisor]],L:L)</f>
        <v>12100590</v>
      </c>
    </row>
    <row r="2390" spans="1:20" x14ac:dyDescent="0.3">
      <c r="A2390" t="s">
        <v>3572</v>
      </c>
      <c r="B2390" t="s">
        <v>235</v>
      </c>
      <c r="C2390" t="s">
        <v>197</v>
      </c>
      <c r="D2390" t="s">
        <v>3573</v>
      </c>
      <c r="E2390" t="s">
        <v>46</v>
      </c>
      <c r="F2390" t="s">
        <v>70</v>
      </c>
      <c r="G2390" t="s">
        <v>71</v>
      </c>
      <c r="H2390" t="s">
        <v>61</v>
      </c>
      <c r="I2390">
        <v>7500</v>
      </c>
      <c r="J2390">
        <v>9750</v>
      </c>
      <c r="K2390">
        <v>4</v>
      </c>
      <c r="L2390">
        <v>30000</v>
      </c>
      <c r="M2390">
        <v>39000</v>
      </c>
      <c r="N2390" t="s">
        <v>56</v>
      </c>
      <c r="O2390">
        <f t="shared" si="74"/>
        <v>9750</v>
      </c>
      <c r="P2390" s="13">
        <f t="shared" si="75"/>
        <v>2829840</v>
      </c>
      <c r="Q2390" s="13">
        <f>SUMIFS(M:M,E:E,Online_eCommerce[[#This Row],[Status]])</f>
        <v>28620410</v>
      </c>
      <c r="R2390" s="13">
        <f>SUMIFS(L:L,H:H,Online_eCommerce[[#This Row],[Brand]])</f>
        <v>10950150</v>
      </c>
      <c r="S2390" s="13">
        <f>SUMIF(H:H,Online_eCommerce[[#This Row],[Brand]],M:M)</f>
        <v>14235195</v>
      </c>
      <c r="T2390" s="13">
        <f>SUMIF(N:N,Online_eCommerce[[#This Row],[Assigned Supervisor]],L:L)</f>
        <v>11733610</v>
      </c>
    </row>
    <row r="2391" spans="1:20" hidden="1" x14ac:dyDescent="0.3">
      <c r="A2391" t="s">
        <v>3574</v>
      </c>
      <c r="B2391" t="s">
        <v>235</v>
      </c>
      <c r="C2391" t="s">
        <v>199</v>
      </c>
      <c r="D2391" t="s">
        <v>3575</v>
      </c>
      <c r="E2391" t="s">
        <v>96</v>
      </c>
      <c r="F2391" t="s">
        <v>3557</v>
      </c>
      <c r="G2391" t="s">
        <v>77</v>
      </c>
      <c r="H2391" t="s">
        <v>78</v>
      </c>
      <c r="I2391">
        <v>10000</v>
      </c>
      <c r="J2391">
        <v>13000</v>
      </c>
      <c r="K2391">
        <v>4</v>
      </c>
      <c r="L2391">
        <v>40000</v>
      </c>
      <c r="M2391">
        <v>52000</v>
      </c>
      <c r="N2391" t="s">
        <v>22</v>
      </c>
      <c r="O2391">
        <f t="shared" si="74"/>
        <v>39000</v>
      </c>
      <c r="P2391" s="13">
        <f t="shared" si="75"/>
        <v>1947361</v>
      </c>
      <c r="Q2391" s="13">
        <f>SUMIFS(M:M,E:E,Online_eCommerce[[#This Row],[Status]])</f>
        <v>21233992</v>
      </c>
      <c r="R2391" s="13">
        <f>SUMIFS(L:L,H:H,Online_eCommerce[[#This Row],[Brand]])</f>
        <v>3720000</v>
      </c>
      <c r="S2391" s="13">
        <f>SUMIF(H:H,Online_eCommerce[[#This Row],[Brand]],M:M)</f>
        <v>4836000</v>
      </c>
      <c r="T2391" s="13">
        <f>SUMIF(N:N,Online_eCommerce[[#This Row],[Assigned Supervisor]],L:L)</f>
        <v>13693220</v>
      </c>
    </row>
    <row r="2392" spans="1:20" hidden="1" x14ac:dyDescent="0.3">
      <c r="A2392" t="s">
        <v>3576</v>
      </c>
      <c r="B2392" t="s">
        <v>235</v>
      </c>
      <c r="C2392" t="s">
        <v>203</v>
      </c>
      <c r="D2392" t="s">
        <v>3577</v>
      </c>
      <c r="E2392" t="s">
        <v>18</v>
      </c>
      <c r="F2392" t="s">
        <v>3578</v>
      </c>
      <c r="G2392" t="s">
        <v>20</v>
      </c>
      <c r="H2392" t="s">
        <v>21</v>
      </c>
      <c r="I2392">
        <v>10500</v>
      </c>
      <c r="J2392">
        <v>13650</v>
      </c>
      <c r="K2392">
        <v>3</v>
      </c>
      <c r="L2392">
        <v>31500</v>
      </c>
      <c r="M2392">
        <v>40950</v>
      </c>
      <c r="N2392" t="s">
        <v>28</v>
      </c>
      <c r="O2392">
        <f t="shared" si="74"/>
        <v>8450</v>
      </c>
      <c r="P2392" s="13">
        <f t="shared" si="75"/>
        <v>2559635</v>
      </c>
      <c r="Q2392" s="13">
        <f>SUMIFS(M:M,E:E,Online_eCommerce[[#This Row],[Status]])</f>
        <v>28340455</v>
      </c>
      <c r="R2392" s="13">
        <f>SUMIFS(L:L,H:H,Online_eCommerce[[#This Row],[Brand]])</f>
        <v>12435650</v>
      </c>
      <c r="S2392" s="13">
        <f>SUMIF(H:H,Online_eCommerce[[#This Row],[Brand]],M:M)</f>
        <v>16166345</v>
      </c>
      <c r="T2392" s="13">
        <f>SUMIF(N:N,Online_eCommerce[[#This Row],[Assigned Supervisor]],L:L)</f>
        <v>12220830</v>
      </c>
    </row>
    <row r="2393" spans="1:20" hidden="1" x14ac:dyDescent="0.3">
      <c r="A2393" t="s">
        <v>3579</v>
      </c>
      <c r="B2393" t="s">
        <v>235</v>
      </c>
      <c r="C2393" t="s">
        <v>205</v>
      </c>
      <c r="D2393" t="s">
        <v>3580</v>
      </c>
      <c r="E2393" t="s">
        <v>161</v>
      </c>
      <c r="F2393" t="s">
        <v>88</v>
      </c>
      <c r="G2393" t="s">
        <v>26</v>
      </c>
      <c r="H2393" t="s">
        <v>27</v>
      </c>
      <c r="I2393">
        <v>8500</v>
      </c>
      <c r="J2393">
        <v>11050</v>
      </c>
      <c r="K2393">
        <v>1</v>
      </c>
      <c r="L2393">
        <v>8500</v>
      </c>
      <c r="M2393">
        <v>11050</v>
      </c>
      <c r="N2393" t="s">
        <v>35</v>
      </c>
      <c r="O2393">
        <f t="shared" si="74"/>
        <v>33150</v>
      </c>
      <c r="P2393" s="13">
        <f t="shared" si="75"/>
        <v>1983254</v>
      </c>
      <c r="Q2393" s="13">
        <f>SUMIFS(M:M,E:E,Online_eCommerce[[#This Row],[Status]])</f>
        <v>21103186</v>
      </c>
      <c r="R2393" s="13">
        <f>SUMIFS(L:L,H:H,Online_eCommerce[[#This Row],[Brand]])</f>
        <v>14431000</v>
      </c>
      <c r="S2393" s="13">
        <f>SUMIF(H:H,Online_eCommerce[[#This Row],[Brand]],M:M)</f>
        <v>18760300</v>
      </c>
      <c r="T2393" s="13">
        <f>SUMIF(N:N,Online_eCommerce[[#This Row],[Assigned Supervisor]],L:L)</f>
        <v>14373360</v>
      </c>
    </row>
    <row r="2394" spans="1:20" x14ac:dyDescent="0.3">
      <c r="A2394" t="s">
        <v>3581</v>
      </c>
      <c r="B2394" t="s">
        <v>235</v>
      </c>
      <c r="C2394" t="s">
        <v>208</v>
      </c>
      <c r="D2394" t="s">
        <v>3580</v>
      </c>
      <c r="E2394" t="s">
        <v>46</v>
      </c>
      <c r="F2394" t="s">
        <v>32</v>
      </c>
      <c r="G2394" t="s">
        <v>33</v>
      </c>
      <c r="H2394" t="s">
        <v>34</v>
      </c>
      <c r="I2394">
        <v>7000</v>
      </c>
      <c r="J2394">
        <v>9100</v>
      </c>
      <c r="K2394">
        <v>2</v>
      </c>
      <c r="L2394">
        <v>14000</v>
      </c>
      <c r="M2394">
        <v>18200</v>
      </c>
      <c r="N2394" t="s">
        <v>42</v>
      </c>
      <c r="O2394">
        <f t="shared" si="74"/>
        <v>18200</v>
      </c>
      <c r="P2394" s="13">
        <f t="shared" si="75"/>
        <v>2746575</v>
      </c>
      <c r="Q2394" s="13">
        <f>SUMIFS(M:M,E:E,Online_eCommerce[[#This Row],[Status]])</f>
        <v>28620410</v>
      </c>
      <c r="R2394" s="13">
        <f>SUMIFS(L:L,H:H,Online_eCommerce[[#This Row],[Brand]])</f>
        <v>10087000</v>
      </c>
      <c r="S2394" s="13">
        <f>SUMIF(H:H,Online_eCommerce[[#This Row],[Brand]],M:M)</f>
        <v>13113100</v>
      </c>
      <c r="T2394" s="13">
        <f>SUMIF(N:N,Online_eCommerce[[#This Row],[Assigned Supervisor]],L:L)</f>
        <v>12261500</v>
      </c>
    </row>
    <row r="2395" spans="1:20" hidden="1" x14ac:dyDescent="0.3">
      <c r="A2395" t="s">
        <v>3582</v>
      </c>
      <c r="B2395" t="s">
        <v>235</v>
      </c>
      <c r="C2395" t="s">
        <v>211</v>
      </c>
      <c r="D2395" t="s">
        <v>3580</v>
      </c>
      <c r="E2395" t="s">
        <v>96</v>
      </c>
      <c r="F2395" t="s">
        <v>3583</v>
      </c>
      <c r="G2395" t="s">
        <v>163</v>
      </c>
      <c r="H2395" t="s">
        <v>41</v>
      </c>
      <c r="I2395">
        <v>1680</v>
      </c>
      <c r="J2395">
        <v>2184</v>
      </c>
      <c r="K2395">
        <v>2</v>
      </c>
      <c r="L2395">
        <v>3360</v>
      </c>
      <c r="M2395">
        <v>4368</v>
      </c>
      <c r="N2395" t="s">
        <v>50</v>
      </c>
      <c r="O2395">
        <f t="shared" si="74"/>
        <v>13650</v>
      </c>
      <c r="P2395" s="13">
        <f t="shared" si="75"/>
        <v>1809847</v>
      </c>
      <c r="Q2395" s="13">
        <f>SUMIFS(M:M,E:E,Online_eCommerce[[#This Row],[Status]])</f>
        <v>21233992</v>
      </c>
      <c r="R2395" s="13">
        <f>SUMIFS(L:L,H:H,Online_eCommerce[[#This Row],[Brand]])</f>
        <v>4260400</v>
      </c>
      <c r="S2395" s="13">
        <f>SUMIF(H:H,Online_eCommerce[[#This Row],[Brand]],M:M)</f>
        <v>5538520</v>
      </c>
      <c r="T2395" s="13">
        <f>SUMIF(N:N,Online_eCommerce[[#This Row],[Assigned Supervisor]],L:L)</f>
        <v>12100590</v>
      </c>
    </row>
    <row r="2396" spans="1:20" hidden="1" x14ac:dyDescent="0.3">
      <c r="A2396" t="s">
        <v>3584</v>
      </c>
      <c r="B2396" t="s">
        <v>235</v>
      </c>
      <c r="C2396" t="s">
        <v>16</v>
      </c>
      <c r="D2396" t="s">
        <v>3580</v>
      </c>
      <c r="E2396" t="s">
        <v>18</v>
      </c>
      <c r="F2396" t="s">
        <v>101</v>
      </c>
      <c r="G2396" t="s">
        <v>66</v>
      </c>
      <c r="H2396" t="s">
        <v>102</v>
      </c>
      <c r="I2396">
        <v>6540</v>
      </c>
      <c r="J2396">
        <v>8502</v>
      </c>
      <c r="K2396">
        <v>4</v>
      </c>
      <c r="L2396">
        <v>26160</v>
      </c>
      <c r="M2396">
        <v>34008</v>
      </c>
      <c r="N2396" t="s">
        <v>56</v>
      </c>
      <c r="O2396">
        <f t="shared" si="74"/>
        <v>1690</v>
      </c>
      <c r="P2396" s="13">
        <f t="shared" si="75"/>
        <v>2751814</v>
      </c>
      <c r="Q2396" s="13">
        <f>SUMIFS(M:M,E:E,Online_eCommerce[[#This Row],[Status]])</f>
        <v>28340455</v>
      </c>
      <c r="R2396" s="13">
        <f>SUMIFS(L:L,H:H,Online_eCommerce[[#This Row],[Brand]])</f>
        <v>2465580</v>
      </c>
      <c r="S2396" s="13">
        <f>SUMIF(H:H,Online_eCommerce[[#This Row],[Brand]],M:M)</f>
        <v>3205254</v>
      </c>
      <c r="T2396" s="13">
        <f>SUMIF(N:N,Online_eCommerce[[#This Row],[Assigned Supervisor]],L:L)</f>
        <v>11733610</v>
      </c>
    </row>
    <row r="2397" spans="1:20" hidden="1" x14ac:dyDescent="0.3">
      <c r="A2397" t="s">
        <v>3585</v>
      </c>
      <c r="B2397" t="s">
        <v>235</v>
      </c>
      <c r="C2397" t="s">
        <v>24</v>
      </c>
      <c r="D2397" t="s">
        <v>3580</v>
      </c>
      <c r="E2397" t="s">
        <v>161</v>
      </c>
      <c r="F2397" t="s">
        <v>107</v>
      </c>
      <c r="G2397" t="s">
        <v>54</v>
      </c>
      <c r="H2397" t="s">
        <v>55</v>
      </c>
      <c r="I2397">
        <v>2680</v>
      </c>
      <c r="J2397">
        <v>3484</v>
      </c>
      <c r="K2397">
        <v>1</v>
      </c>
      <c r="L2397">
        <v>2680</v>
      </c>
      <c r="M2397">
        <v>3484</v>
      </c>
      <c r="N2397" t="s">
        <v>22</v>
      </c>
      <c r="O2397">
        <f t="shared" si="74"/>
        <v>2990</v>
      </c>
      <c r="P2397" s="13">
        <f t="shared" si="75"/>
        <v>2009540</v>
      </c>
      <c r="Q2397" s="13">
        <f>SUMIFS(M:M,E:E,Online_eCommerce[[#This Row],[Status]])</f>
        <v>21103186</v>
      </c>
      <c r="R2397" s="13">
        <f>SUMIFS(L:L,H:H,Online_eCommerce[[#This Row],[Brand]])</f>
        <v>2267380</v>
      </c>
      <c r="S2397" s="13">
        <f>SUMIF(H:H,Online_eCommerce[[#This Row],[Brand]],M:M)</f>
        <v>2947594</v>
      </c>
      <c r="T2397" s="13">
        <f>SUMIF(N:N,Online_eCommerce[[#This Row],[Assigned Supervisor]],L:L)</f>
        <v>13693220</v>
      </c>
    </row>
    <row r="2398" spans="1:20" x14ac:dyDescent="0.3">
      <c r="A2398" t="s">
        <v>3586</v>
      </c>
      <c r="B2398" t="s">
        <v>235</v>
      </c>
      <c r="C2398" t="s">
        <v>31</v>
      </c>
      <c r="D2398" t="s">
        <v>3580</v>
      </c>
      <c r="E2398" t="s">
        <v>46</v>
      </c>
      <c r="F2398" t="s">
        <v>112</v>
      </c>
      <c r="G2398" t="s">
        <v>71</v>
      </c>
      <c r="H2398" t="s">
        <v>21</v>
      </c>
      <c r="I2398">
        <v>8250</v>
      </c>
      <c r="J2398">
        <v>10725</v>
      </c>
      <c r="K2398">
        <v>4</v>
      </c>
      <c r="L2398">
        <v>33000</v>
      </c>
      <c r="M2398">
        <v>42900</v>
      </c>
      <c r="N2398" t="s">
        <v>28</v>
      </c>
      <c r="O2398">
        <f t="shared" si="74"/>
        <v>9750</v>
      </c>
      <c r="P2398" s="13">
        <f t="shared" si="75"/>
        <v>2865746</v>
      </c>
      <c r="Q2398" s="13">
        <f>SUMIFS(M:M,E:E,Online_eCommerce[[#This Row],[Status]])</f>
        <v>28620410</v>
      </c>
      <c r="R2398" s="13">
        <f>SUMIFS(L:L,H:H,Online_eCommerce[[#This Row],[Brand]])</f>
        <v>12435650</v>
      </c>
      <c r="S2398" s="13">
        <f>SUMIF(H:H,Online_eCommerce[[#This Row],[Brand]],M:M)</f>
        <v>16166345</v>
      </c>
      <c r="T2398" s="13">
        <f>SUMIF(N:N,Online_eCommerce[[#This Row],[Assigned Supervisor]],L:L)</f>
        <v>12220830</v>
      </c>
    </row>
    <row r="2399" spans="1:20" hidden="1" x14ac:dyDescent="0.3">
      <c r="A2399" t="s">
        <v>3587</v>
      </c>
      <c r="B2399" t="s">
        <v>235</v>
      </c>
      <c r="C2399" t="s">
        <v>38</v>
      </c>
      <c r="D2399" t="s">
        <v>3580</v>
      </c>
      <c r="E2399" t="s">
        <v>96</v>
      </c>
      <c r="F2399" t="s">
        <v>3224</v>
      </c>
      <c r="G2399" t="s">
        <v>40</v>
      </c>
      <c r="H2399" t="s">
        <v>21</v>
      </c>
      <c r="I2399">
        <v>2650</v>
      </c>
      <c r="J2399">
        <v>3445</v>
      </c>
      <c r="K2399">
        <v>2</v>
      </c>
      <c r="L2399">
        <v>5300</v>
      </c>
      <c r="M2399">
        <v>6890</v>
      </c>
      <c r="N2399" t="s">
        <v>35</v>
      </c>
      <c r="O2399">
        <f t="shared" si="74"/>
        <v>25545</v>
      </c>
      <c r="P2399" s="13">
        <f t="shared" si="75"/>
        <v>1933997</v>
      </c>
      <c r="Q2399" s="13">
        <f>SUMIFS(M:M,E:E,Online_eCommerce[[#This Row],[Status]])</f>
        <v>21233992</v>
      </c>
      <c r="R2399" s="13">
        <f>SUMIFS(L:L,H:H,Online_eCommerce[[#This Row],[Brand]])</f>
        <v>12435650</v>
      </c>
      <c r="S2399" s="13">
        <f>SUMIF(H:H,Online_eCommerce[[#This Row],[Brand]],M:M)</f>
        <v>16166345</v>
      </c>
      <c r="T2399" s="13">
        <f>SUMIF(N:N,Online_eCommerce[[#This Row],[Assigned Supervisor]],L:L)</f>
        <v>14373360</v>
      </c>
    </row>
    <row r="2400" spans="1:20" hidden="1" x14ac:dyDescent="0.3">
      <c r="A2400" t="s">
        <v>3588</v>
      </c>
      <c r="B2400" t="s">
        <v>235</v>
      </c>
      <c r="C2400" t="s">
        <v>45</v>
      </c>
      <c r="D2400" t="s">
        <v>3580</v>
      </c>
      <c r="E2400" t="s">
        <v>18</v>
      </c>
      <c r="F2400" t="s">
        <v>121</v>
      </c>
      <c r="G2400" t="s">
        <v>71</v>
      </c>
      <c r="H2400" t="s">
        <v>122</v>
      </c>
      <c r="I2400">
        <v>12550</v>
      </c>
      <c r="J2400">
        <v>16315</v>
      </c>
      <c r="K2400">
        <v>4</v>
      </c>
      <c r="L2400">
        <v>50200</v>
      </c>
      <c r="M2400">
        <v>65260</v>
      </c>
      <c r="N2400" t="s">
        <v>42</v>
      </c>
      <c r="O2400">
        <f t="shared" si="74"/>
        <v>9750</v>
      </c>
      <c r="P2400" s="13">
        <f t="shared" si="75"/>
        <v>2842554</v>
      </c>
      <c r="Q2400" s="13">
        <f>SUMIFS(M:M,E:E,Online_eCommerce[[#This Row],[Status]])</f>
        <v>28340455</v>
      </c>
      <c r="R2400" s="13">
        <f>SUMIFS(L:L,H:H,Online_eCommerce[[#This Row],[Brand]])</f>
        <v>5045100</v>
      </c>
      <c r="S2400" s="13">
        <f>SUMIF(H:H,Online_eCommerce[[#This Row],[Brand]],M:M)</f>
        <v>6558630</v>
      </c>
      <c r="T2400" s="13">
        <f>SUMIF(N:N,Online_eCommerce[[#This Row],[Assigned Supervisor]],L:L)</f>
        <v>12261500</v>
      </c>
    </row>
    <row r="2401" spans="1:20" hidden="1" x14ac:dyDescent="0.3">
      <c r="A2401" t="s">
        <v>3589</v>
      </c>
      <c r="B2401" t="s">
        <v>235</v>
      </c>
      <c r="C2401" t="s">
        <v>52</v>
      </c>
      <c r="D2401" t="s">
        <v>3580</v>
      </c>
      <c r="E2401" t="s">
        <v>161</v>
      </c>
      <c r="F2401" t="s">
        <v>126</v>
      </c>
      <c r="G2401" t="s">
        <v>26</v>
      </c>
      <c r="H2401" t="s">
        <v>27</v>
      </c>
      <c r="I2401">
        <v>14500</v>
      </c>
      <c r="J2401">
        <v>18850</v>
      </c>
      <c r="K2401">
        <v>2</v>
      </c>
      <c r="L2401">
        <v>29000</v>
      </c>
      <c r="M2401">
        <v>37700</v>
      </c>
      <c r="N2401" t="s">
        <v>50</v>
      </c>
      <c r="O2401">
        <f t="shared" si="74"/>
        <v>33150</v>
      </c>
      <c r="P2401" s="13">
        <f t="shared" si="75"/>
        <v>1955044</v>
      </c>
      <c r="Q2401" s="13">
        <f>SUMIFS(M:M,E:E,Online_eCommerce[[#This Row],[Status]])</f>
        <v>21103186</v>
      </c>
      <c r="R2401" s="13">
        <f>SUMIFS(L:L,H:H,Online_eCommerce[[#This Row],[Brand]])</f>
        <v>14431000</v>
      </c>
      <c r="S2401" s="13">
        <f>SUMIF(H:H,Online_eCommerce[[#This Row],[Brand]],M:M)</f>
        <v>18760300</v>
      </c>
      <c r="T2401" s="13">
        <f>SUMIF(N:N,Online_eCommerce[[#This Row],[Assigned Supervisor]],L:L)</f>
        <v>12100590</v>
      </c>
    </row>
    <row r="2402" spans="1:20" x14ac:dyDescent="0.3">
      <c r="A2402" t="s">
        <v>3590</v>
      </c>
      <c r="B2402" t="s">
        <v>235</v>
      </c>
      <c r="C2402" t="s">
        <v>58</v>
      </c>
      <c r="D2402" t="s">
        <v>3580</v>
      </c>
      <c r="E2402" t="s">
        <v>46</v>
      </c>
      <c r="F2402" t="s">
        <v>129</v>
      </c>
      <c r="G2402" t="s">
        <v>60</v>
      </c>
      <c r="H2402" t="s">
        <v>61</v>
      </c>
      <c r="I2402">
        <v>800</v>
      </c>
      <c r="J2402">
        <v>1040</v>
      </c>
      <c r="K2402">
        <v>2</v>
      </c>
      <c r="L2402">
        <v>1600</v>
      </c>
      <c r="M2402">
        <v>2080</v>
      </c>
      <c r="N2402" t="s">
        <v>56</v>
      </c>
      <c r="O2402">
        <f t="shared" si="74"/>
        <v>3315</v>
      </c>
      <c r="P2402" s="13">
        <f t="shared" si="75"/>
        <v>2629211</v>
      </c>
      <c r="Q2402" s="13">
        <f>SUMIFS(M:M,E:E,Online_eCommerce[[#This Row],[Status]])</f>
        <v>28620410</v>
      </c>
      <c r="R2402" s="13">
        <f>SUMIFS(L:L,H:H,Online_eCommerce[[#This Row],[Brand]])</f>
        <v>10950150</v>
      </c>
      <c r="S2402" s="13">
        <f>SUMIF(H:H,Online_eCommerce[[#This Row],[Brand]],M:M)</f>
        <v>14235195</v>
      </c>
      <c r="T2402" s="13">
        <f>SUMIF(N:N,Online_eCommerce[[#This Row],[Assigned Supervisor]],L:L)</f>
        <v>11733610</v>
      </c>
    </row>
    <row r="2403" spans="1:20" hidden="1" x14ac:dyDescent="0.3">
      <c r="A2403" t="s">
        <v>3591</v>
      </c>
      <c r="B2403" t="s">
        <v>235</v>
      </c>
      <c r="C2403" t="s">
        <v>63</v>
      </c>
      <c r="D2403" t="s">
        <v>3580</v>
      </c>
      <c r="E2403" t="s">
        <v>96</v>
      </c>
      <c r="F2403" t="s">
        <v>133</v>
      </c>
      <c r="G2403" t="s">
        <v>66</v>
      </c>
      <c r="H2403" t="s">
        <v>21</v>
      </c>
      <c r="I2403">
        <v>600</v>
      </c>
      <c r="J2403">
        <v>780</v>
      </c>
      <c r="K2403">
        <v>4</v>
      </c>
      <c r="L2403">
        <v>2400</v>
      </c>
      <c r="M2403">
        <v>3120</v>
      </c>
      <c r="N2403" t="s">
        <v>22</v>
      </c>
      <c r="O2403">
        <f t="shared" si="74"/>
        <v>1690</v>
      </c>
      <c r="P2403" s="13">
        <f t="shared" si="75"/>
        <v>2016131</v>
      </c>
      <c r="Q2403" s="13">
        <f>SUMIFS(M:M,E:E,Online_eCommerce[[#This Row],[Status]])</f>
        <v>21233992</v>
      </c>
      <c r="R2403" s="13">
        <f>SUMIFS(L:L,H:H,Online_eCommerce[[#This Row],[Brand]])</f>
        <v>12435650</v>
      </c>
      <c r="S2403" s="13">
        <f>SUMIF(H:H,Online_eCommerce[[#This Row],[Brand]],M:M)</f>
        <v>16166345</v>
      </c>
      <c r="T2403" s="13">
        <f>SUMIF(N:N,Online_eCommerce[[#This Row],[Assigned Supervisor]],L:L)</f>
        <v>13693220</v>
      </c>
    </row>
    <row r="2404" spans="1:20" hidden="1" x14ac:dyDescent="0.3">
      <c r="A2404" t="s">
        <v>3592</v>
      </c>
      <c r="B2404" t="s">
        <v>235</v>
      </c>
      <c r="C2404" t="s">
        <v>68</v>
      </c>
      <c r="D2404" t="s">
        <v>3580</v>
      </c>
      <c r="E2404" t="s">
        <v>18</v>
      </c>
      <c r="F2404" t="s">
        <v>137</v>
      </c>
      <c r="G2404" t="s">
        <v>71</v>
      </c>
      <c r="H2404" t="s">
        <v>61</v>
      </c>
      <c r="I2404">
        <v>10500</v>
      </c>
      <c r="J2404">
        <v>13650</v>
      </c>
      <c r="K2404">
        <v>2</v>
      </c>
      <c r="L2404">
        <v>21000</v>
      </c>
      <c r="M2404">
        <v>27300</v>
      </c>
      <c r="N2404" t="s">
        <v>28</v>
      </c>
      <c r="O2404">
        <f t="shared" si="74"/>
        <v>9750</v>
      </c>
      <c r="P2404" s="13">
        <f t="shared" si="75"/>
        <v>2974621</v>
      </c>
      <c r="Q2404" s="13">
        <f>SUMIFS(M:M,E:E,Online_eCommerce[[#This Row],[Status]])</f>
        <v>28340455</v>
      </c>
      <c r="R2404" s="13">
        <f>SUMIFS(L:L,H:H,Online_eCommerce[[#This Row],[Brand]])</f>
        <v>10950150</v>
      </c>
      <c r="S2404" s="13">
        <f>SUMIF(H:H,Online_eCommerce[[#This Row],[Brand]],M:M)</f>
        <v>14235195</v>
      </c>
      <c r="T2404" s="13">
        <f>SUMIF(N:N,Online_eCommerce[[#This Row],[Assigned Supervisor]],L:L)</f>
        <v>12220830</v>
      </c>
    </row>
    <row r="2405" spans="1:20" hidden="1" x14ac:dyDescent="0.3">
      <c r="A2405" t="s">
        <v>3593</v>
      </c>
      <c r="B2405" t="s">
        <v>235</v>
      </c>
      <c r="C2405" t="s">
        <v>74</v>
      </c>
      <c r="D2405" t="s">
        <v>3580</v>
      </c>
      <c r="E2405" t="s">
        <v>161</v>
      </c>
      <c r="F2405" t="s">
        <v>3557</v>
      </c>
      <c r="G2405" t="s">
        <v>77</v>
      </c>
      <c r="H2405" t="s">
        <v>142</v>
      </c>
      <c r="I2405">
        <v>6500</v>
      </c>
      <c r="J2405">
        <v>8450</v>
      </c>
      <c r="K2405">
        <v>2</v>
      </c>
      <c r="L2405">
        <v>13000</v>
      </c>
      <c r="M2405">
        <v>16900</v>
      </c>
      <c r="N2405" t="s">
        <v>35</v>
      </c>
      <c r="O2405">
        <f t="shared" si="74"/>
        <v>39000</v>
      </c>
      <c r="P2405" s="13">
        <f t="shared" si="75"/>
        <v>2144701</v>
      </c>
      <c r="Q2405" s="13">
        <f>SUMIFS(M:M,E:E,Online_eCommerce[[#This Row],[Status]])</f>
        <v>21103186</v>
      </c>
      <c r="R2405" s="13">
        <f>SUMIFS(L:L,H:H,Online_eCommerce[[#This Row],[Brand]])</f>
        <v>6192500</v>
      </c>
      <c r="S2405" s="13">
        <f>SUMIF(H:H,Online_eCommerce[[#This Row],[Brand]],M:M)</f>
        <v>8050250</v>
      </c>
      <c r="T2405" s="13">
        <f>SUMIF(N:N,Online_eCommerce[[#This Row],[Assigned Supervisor]],L:L)</f>
        <v>14373360</v>
      </c>
    </row>
    <row r="2406" spans="1:20" x14ac:dyDescent="0.3">
      <c r="A2406" t="s">
        <v>3594</v>
      </c>
      <c r="B2406" t="s">
        <v>235</v>
      </c>
      <c r="C2406" t="s">
        <v>81</v>
      </c>
      <c r="D2406" t="s">
        <v>3580</v>
      </c>
      <c r="E2406" t="s">
        <v>46</v>
      </c>
      <c r="F2406" t="s">
        <v>3595</v>
      </c>
      <c r="G2406" t="s">
        <v>20</v>
      </c>
      <c r="H2406" t="s">
        <v>21</v>
      </c>
      <c r="I2406">
        <v>4500</v>
      </c>
      <c r="J2406">
        <v>5850</v>
      </c>
      <c r="K2406">
        <v>4</v>
      </c>
      <c r="L2406">
        <v>18000</v>
      </c>
      <c r="M2406">
        <v>23400</v>
      </c>
      <c r="N2406" t="s">
        <v>42</v>
      </c>
      <c r="O2406">
        <f t="shared" si="74"/>
        <v>8450</v>
      </c>
      <c r="P2406" s="13">
        <f t="shared" si="75"/>
        <v>2595632</v>
      </c>
      <c r="Q2406" s="13">
        <f>SUMIFS(M:M,E:E,Online_eCommerce[[#This Row],[Status]])</f>
        <v>28620410</v>
      </c>
      <c r="R2406" s="13">
        <f>SUMIFS(L:L,H:H,Online_eCommerce[[#This Row],[Brand]])</f>
        <v>12435650</v>
      </c>
      <c r="S2406" s="13">
        <f>SUMIF(H:H,Online_eCommerce[[#This Row],[Brand]],M:M)</f>
        <v>16166345</v>
      </c>
      <c r="T2406" s="13">
        <f>SUMIF(N:N,Online_eCommerce[[#This Row],[Assigned Supervisor]],L:L)</f>
        <v>12261500</v>
      </c>
    </row>
    <row r="2407" spans="1:20" hidden="1" x14ac:dyDescent="0.3">
      <c r="A2407" t="s">
        <v>3596</v>
      </c>
      <c r="B2407" t="s">
        <v>235</v>
      </c>
      <c r="C2407" t="s">
        <v>86</v>
      </c>
      <c r="D2407" t="s">
        <v>3580</v>
      </c>
      <c r="E2407" t="s">
        <v>96</v>
      </c>
      <c r="F2407" t="s">
        <v>152</v>
      </c>
      <c r="G2407" t="s">
        <v>26</v>
      </c>
      <c r="H2407" t="s">
        <v>27</v>
      </c>
      <c r="I2407">
        <v>8500</v>
      </c>
      <c r="J2407">
        <v>11050</v>
      </c>
      <c r="K2407">
        <v>4</v>
      </c>
      <c r="L2407">
        <v>34000</v>
      </c>
      <c r="M2407">
        <v>44200</v>
      </c>
      <c r="N2407" t="s">
        <v>50</v>
      </c>
      <c r="O2407">
        <f t="shared" si="74"/>
        <v>33150</v>
      </c>
      <c r="P2407" s="13">
        <f t="shared" si="75"/>
        <v>1941225</v>
      </c>
      <c r="Q2407" s="13">
        <f>SUMIFS(M:M,E:E,Online_eCommerce[[#This Row],[Status]])</f>
        <v>21233992</v>
      </c>
      <c r="R2407" s="13">
        <f>SUMIFS(L:L,H:H,Online_eCommerce[[#This Row],[Brand]])</f>
        <v>14431000</v>
      </c>
      <c r="S2407" s="13">
        <f>SUMIF(H:H,Online_eCommerce[[#This Row],[Brand]],M:M)</f>
        <v>18760300</v>
      </c>
      <c r="T2407" s="13">
        <f>SUMIF(N:N,Online_eCommerce[[#This Row],[Assigned Supervisor]],L:L)</f>
        <v>12100590</v>
      </c>
    </row>
    <row r="2408" spans="1:20" hidden="1" x14ac:dyDescent="0.3">
      <c r="A2408" t="s">
        <v>3597</v>
      </c>
      <c r="B2408" t="s">
        <v>235</v>
      </c>
      <c r="C2408" t="s">
        <v>91</v>
      </c>
      <c r="D2408" t="s">
        <v>3580</v>
      </c>
      <c r="E2408" t="s">
        <v>18</v>
      </c>
      <c r="F2408" t="s">
        <v>157</v>
      </c>
      <c r="G2408" t="s">
        <v>33</v>
      </c>
      <c r="H2408" t="s">
        <v>34</v>
      </c>
      <c r="I2408">
        <v>12500</v>
      </c>
      <c r="J2408">
        <v>16250</v>
      </c>
      <c r="K2408">
        <v>2</v>
      </c>
      <c r="L2408">
        <v>25000</v>
      </c>
      <c r="M2408">
        <v>32500</v>
      </c>
      <c r="N2408" t="s">
        <v>56</v>
      </c>
      <c r="O2408">
        <f t="shared" si="74"/>
        <v>18200</v>
      </c>
      <c r="P2408" s="13">
        <f t="shared" si="75"/>
        <v>2731963</v>
      </c>
      <c r="Q2408" s="13">
        <f>SUMIFS(M:M,E:E,Online_eCommerce[[#This Row],[Status]])</f>
        <v>28340455</v>
      </c>
      <c r="R2408" s="13">
        <f>SUMIFS(L:L,H:H,Online_eCommerce[[#This Row],[Brand]])</f>
        <v>10087000</v>
      </c>
      <c r="S2408" s="13">
        <f>SUMIF(H:H,Online_eCommerce[[#This Row],[Brand]],M:M)</f>
        <v>13113100</v>
      </c>
      <c r="T2408" s="13">
        <f>SUMIF(N:N,Online_eCommerce[[#This Row],[Assigned Supervisor]],L:L)</f>
        <v>11733610</v>
      </c>
    </row>
    <row r="2409" spans="1:20" hidden="1" x14ac:dyDescent="0.3">
      <c r="A2409" t="s">
        <v>3598</v>
      </c>
      <c r="B2409" t="s">
        <v>235</v>
      </c>
      <c r="C2409" t="s">
        <v>94</v>
      </c>
      <c r="D2409" t="s">
        <v>3580</v>
      </c>
      <c r="E2409" t="s">
        <v>161</v>
      </c>
      <c r="F2409" t="s">
        <v>3267</v>
      </c>
      <c r="G2409" t="s">
        <v>256</v>
      </c>
      <c r="H2409" t="s">
        <v>41</v>
      </c>
      <c r="I2409">
        <v>3500</v>
      </c>
      <c r="J2409">
        <v>4550</v>
      </c>
      <c r="K2409">
        <v>3</v>
      </c>
      <c r="L2409">
        <v>10500</v>
      </c>
      <c r="M2409">
        <v>13650</v>
      </c>
      <c r="N2409" t="s">
        <v>22</v>
      </c>
      <c r="O2409">
        <f t="shared" si="74"/>
        <v>9100</v>
      </c>
      <c r="P2409" s="13">
        <f t="shared" si="75"/>
        <v>1868256</v>
      </c>
      <c r="Q2409" s="13">
        <f>SUMIFS(M:M,E:E,Online_eCommerce[[#This Row],[Status]])</f>
        <v>21103186</v>
      </c>
      <c r="R2409" s="13">
        <f>SUMIFS(L:L,H:H,Online_eCommerce[[#This Row],[Brand]])</f>
        <v>4260400</v>
      </c>
      <c r="S2409" s="13">
        <f>SUMIF(H:H,Online_eCommerce[[#This Row],[Brand]],M:M)</f>
        <v>5538520</v>
      </c>
      <c r="T2409" s="13">
        <f>SUMIF(N:N,Online_eCommerce[[#This Row],[Assigned Supervisor]],L:L)</f>
        <v>13693220</v>
      </c>
    </row>
    <row r="2410" spans="1:20" x14ac:dyDescent="0.3">
      <c r="A2410" t="s">
        <v>3599</v>
      </c>
      <c r="B2410" t="s">
        <v>235</v>
      </c>
      <c r="C2410" t="s">
        <v>99</v>
      </c>
      <c r="D2410" t="s">
        <v>3580</v>
      </c>
      <c r="E2410" t="s">
        <v>46</v>
      </c>
      <c r="F2410" t="s">
        <v>166</v>
      </c>
      <c r="G2410" t="s">
        <v>259</v>
      </c>
      <c r="H2410" t="s">
        <v>49</v>
      </c>
      <c r="I2410">
        <v>4500</v>
      </c>
      <c r="J2410">
        <v>5850</v>
      </c>
      <c r="K2410">
        <v>2</v>
      </c>
      <c r="L2410">
        <v>9000</v>
      </c>
      <c r="M2410">
        <v>11700</v>
      </c>
      <c r="N2410" t="s">
        <v>28</v>
      </c>
      <c r="O2410">
        <f t="shared" si="74"/>
        <v>11700</v>
      </c>
      <c r="P2410" s="13">
        <f t="shared" si="75"/>
        <v>2651233</v>
      </c>
      <c r="Q2410" s="13">
        <f>SUMIFS(M:M,E:E,Online_eCommerce[[#This Row],[Status]])</f>
        <v>28620410</v>
      </c>
      <c r="R2410" s="13">
        <f>SUMIFS(L:L,H:H,Online_eCommerce[[#This Row],[Brand]])</f>
        <v>4528350</v>
      </c>
      <c r="S2410" s="13">
        <f>SUMIF(H:H,Online_eCommerce[[#This Row],[Brand]],M:M)</f>
        <v>5886855</v>
      </c>
      <c r="T2410" s="13">
        <f>SUMIF(N:N,Online_eCommerce[[#This Row],[Assigned Supervisor]],L:L)</f>
        <v>12220830</v>
      </c>
    </row>
    <row r="2411" spans="1:20" hidden="1" x14ac:dyDescent="0.3">
      <c r="A2411" t="s">
        <v>3600</v>
      </c>
      <c r="B2411" t="s">
        <v>235</v>
      </c>
      <c r="C2411" t="s">
        <v>105</v>
      </c>
      <c r="D2411" t="s">
        <v>3580</v>
      </c>
      <c r="E2411" t="s">
        <v>96</v>
      </c>
      <c r="F2411" t="s">
        <v>3601</v>
      </c>
      <c r="G2411" t="s">
        <v>54</v>
      </c>
      <c r="H2411" t="s">
        <v>55</v>
      </c>
      <c r="I2411">
        <v>2100</v>
      </c>
      <c r="J2411">
        <v>2730</v>
      </c>
      <c r="K2411">
        <v>1</v>
      </c>
      <c r="L2411">
        <v>2100</v>
      </c>
      <c r="M2411">
        <v>2730</v>
      </c>
      <c r="N2411" t="s">
        <v>35</v>
      </c>
      <c r="O2411">
        <f t="shared" si="74"/>
        <v>2990</v>
      </c>
      <c r="P2411" s="13">
        <f t="shared" si="75"/>
        <v>1866852</v>
      </c>
      <c r="Q2411" s="13">
        <f>SUMIFS(M:M,E:E,Online_eCommerce[[#This Row],[Status]])</f>
        <v>21233992</v>
      </c>
      <c r="R2411" s="13">
        <f>SUMIFS(L:L,H:H,Online_eCommerce[[#This Row],[Brand]])</f>
        <v>2267380</v>
      </c>
      <c r="S2411" s="13">
        <f>SUMIF(H:H,Online_eCommerce[[#This Row],[Brand]],M:M)</f>
        <v>2947594</v>
      </c>
      <c r="T2411" s="13">
        <f>SUMIF(N:N,Online_eCommerce[[#This Row],[Assigned Supervisor]],L:L)</f>
        <v>14373360</v>
      </c>
    </row>
    <row r="2412" spans="1:20" hidden="1" x14ac:dyDescent="0.3">
      <c r="A2412" t="s">
        <v>3602</v>
      </c>
      <c r="B2412" t="s">
        <v>235</v>
      </c>
      <c r="C2412" t="s">
        <v>110</v>
      </c>
      <c r="D2412" t="s">
        <v>3580</v>
      </c>
      <c r="E2412" t="s">
        <v>18</v>
      </c>
      <c r="F2412" t="s">
        <v>174</v>
      </c>
      <c r="G2412" t="s">
        <v>60</v>
      </c>
      <c r="H2412" t="s">
        <v>61</v>
      </c>
      <c r="I2412">
        <v>1150</v>
      </c>
      <c r="J2412">
        <v>1495</v>
      </c>
      <c r="K2412">
        <v>4</v>
      </c>
      <c r="L2412">
        <v>4600</v>
      </c>
      <c r="M2412">
        <v>5980</v>
      </c>
      <c r="N2412" t="s">
        <v>42</v>
      </c>
      <c r="O2412">
        <f t="shared" si="74"/>
        <v>3315</v>
      </c>
      <c r="P2412" s="13">
        <f t="shared" si="75"/>
        <v>2598635</v>
      </c>
      <c r="Q2412" s="13">
        <f>SUMIFS(M:M,E:E,Online_eCommerce[[#This Row],[Status]])</f>
        <v>28340455</v>
      </c>
      <c r="R2412" s="13">
        <f>SUMIFS(L:L,H:H,Online_eCommerce[[#This Row],[Brand]])</f>
        <v>10950150</v>
      </c>
      <c r="S2412" s="13">
        <f>SUMIF(H:H,Online_eCommerce[[#This Row],[Brand]],M:M)</f>
        <v>14235195</v>
      </c>
      <c r="T2412" s="13">
        <f>SUMIF(N:N,Online_eCommerce[[#This Row],[Assigned Supervisor]],L:L)</f>
        <v>12261500</v>
      </c>
    </row>
    <row r="2413" spans="1:20" hidden="1" x14ac:dyDescent="0.3">
      <c r="A2413" t="s">
        <v>3603</v>
      </c>
      <c r="B2413" t="s">
        <v>235</v>
      </c>
      <c r="C2413" t="s">
        <v>115</v>
      </c>
      <c r="D2413" t="s">
        <v>3580</v>
      </c>
      <c r="E2413" t="s">
        <v>161</v>
      </c>
      <c r="F2413" t="s">
        <v>179</v>
      </c>
      <c r="G2413" t="s">
        <v>66</v>
      </c>
      <c r="H2413" t="s">
        <v>21</v>
      </c>
      <c r="I2413">
        <v>350</v>
      </c>
      <c r="J2413">
        <v>455</v>
      </c>
      <c r="K2413">
        <v>1</v>
      </c>
      <c r="L2413">
        <v>350</v>
      </c>
      <c r="M2413">
        <v>455</v>
      </c>
      <c r="N2413" t="s">
        <v>50</v>
      </c>
      <c r="O2413">
        <f t="shared" si="74"/>
        <v>1690</v>
      </c>
      <c r="P2413" s="13">
        <f t="shared" si="75"/>
        <v>2050178</v>
      </c>
      <c r="Q2413" s="13">
        <f>SUMIFS(M:M,E:E,Online_eCommerce[[#This Row],[Status]])</f>
        <v>21103186</v>
      </c>
      <c r="R2413" s="13">
        <f>SUMIFS(L:L,H:H,Online_eCommerce[[#This Row],[Brand]])</f>
        <v>12435650</v>
      </c>
      <c r="S2413" s="13">
        <f>SUMIF(H:H,Online_eCommerce[[#This Row],[Brand]],M:M)</f>
        <v>16166345</v>
      </c>
      <c r="T2413" s="13">
        <f>SUMIF(N:N,Online_eCommerce[[#This Row],[Assigned Supervisor]],L:L)</f>
        <v>12100590</v>
      </c>
    </row>
    <row r="2414" spans="1:20" x14ac:dyDescent="0.3">
      <c r="A2414" t="s">
        <v>3604</v>
      </c>
      <c r="B2414" t="s">
        <v>235</v>
      </c>
      <c r="C2414" t="s">
        <v>120</v>
      </c>
      <c r="D2414" t="s">
        <v>3580</v>
      </c>
      <c r="E2414" t="s">
        <v>46</v>
      </c>
      <c r="F2414" t="s">
        <v>183</v>
      </c>
      <c r="G2414" t="s">
        <v>71</v>
      </c>
      <c r="H2414" t="s">
        <v>61</v>
      </c>
      <c r="I2414">
        <v>9500</v>
      </c>
      <c r="J2414">
        <v>12350</v>
      </c>
      <c r="K2414">
        <v>1</v>
      </c>
      <c r="L2414">
        <v>9500</v>
      </c>
      <c r="M2414">
        <v>12350</v>
      </c>
      <c r="N2414" t="s">
        <v>56</v>
      </c>
      <c r="O2414">
        <f t="shared" si="74"/>
        <v>9750</v>
      </c>
      <c r="P2414" s="13">
        <f t="shared" si="75"/>
        <v>2734212</v>
      </c>
      <c r="Q2414" s="13">
        <f>SUMIFS(M:M,E:E,Online_eCommerce[[#This Row],[Status]])</f>
        <v>28620410</v>
      </c>
      <c r="R2414" s="13">
        <f>SUMIFS(L:L,H:H,Online_eCommerce[[#This Row],[Brand]])</f>
        <v>10950150</v>
      </c>
      <c r="S2414" s="13">
        <f>SUMIF(H:H,Online_eCommerce[[#This Row],[Brand]],M:M)</f>
        <v>14235195</v>
      </c>
      <c r="T2414" s="13">
        <f>SUMIF(N:N,Online_eCommerce[[#This Row],[Assigned Supervisor]],L:L)</f>
        <v>11733610</v>
      </c>
    </row>
    <row r="2415" spans="1:20" hidden="1" x14ac:dyDescent="0.3">
      <c r="A2415" t="s">
        <v>3605</v>
      </c>
      <c r="B2415" t="s">
        <v>235</v>
      </c>
      <c r="C2415" t="s">
        <v>125</v>
      </c>
      <c r="D2415" t="s">
        <v>3580</v>
      </c>
      <c r="E2415" t="s">
        <v>96</v>
      </c>
      <c r="F2415" t="s">
        <v>3606</v>
      </c>
      <c r="G2415" t="s">
        <v>77</v>
      </c>
      <c r="H2415" t="s">
        <v>142</v>
      </c>
      <c r="I2415">
        <v>10000</v>
      </c>
      <c r="J2415">
        <v>13000</v>
      </c>
      <c r="K2415">
        <v>1</v>
      </c>
      <c r="L2415">
        <v>10000</v>
      </c>
      <c r="M2415">
        <v>13000</v>
      </c>
      <c r="N2415" t="s">
        <v>22</v>
      </c>
      <c r="O2415">
        <f t="shared" si="74"/>
        <v>39000</v>
      </c>
      <c r="P2415" s="13">
        <f t="shared" si="75"/>
        <v>2091154</v>
      </c>
      <c r="Q2415" s="13">
        <f>SUMIFS(M:M,E:E,Online_eCommerce[[#This Row],[Status]])</f>
        <v>21233992</v>
      </c>
      <c r="R2415" s="13">
        <f>SUMIFS(L:L,H:H,Online_eCommerce[[#This Row],[Brand]])</f>
        <v>6192500</v>
      </c>
      <c r="S2415" s="13">
        <f>SUMIF(H:H,Online_eCommerce[[#This Row],[Brand]],M:M)</f>
        <v>8050250</v>
      </c>
      <c r="T2415" s="13">
        <f>SUMIF(N:N,Online_eCommerce[[#This Row],[Assigned Supervisor]],L:L)</f>
        <v>13693220</v>
      </c>
    </row>
    <row r="2416" spans="1:20" hidden="1" x14ac:dyDescent="0.3">
      <c r="A2416" t="s">
        <v>3607</v>
      </c>
      <c r="B2416" t="s">
        <v>235</v>
      </c>
      <c r="C2416" t="s">
        <v>22</v>
      </c>
      <c r="D2416" t="s">
        <v>3580</v>
      </c>
      <c r="E2416" t="s">
        <v>18</v>
      </c>
      <c r="F2416" t="s">
        <v>3608</v>
      </c>
      <c r="G2416" t="s">
        <v>20</v>
      </c>
      <c r="H2416" t="s">
        <v>21</v>
      </c>
      <c r="I2416">
        <v>6500</v>
      </c>
      <c r="J2416">
        <v>8450</v>
      </c>
      <c r="K2416">
        <v>1</v>
      </c>
      <c r="L2416">
        <v>6500</v>
      </c>
      <c r="M2416">
        <v>8450</v>
      </c>
      <c r="N2416" t="s">
        <v>28</v>
      </c>
      <c r="O2416">
        <f t="shared" si="74"/>
        <v>8450</v>
      </c>
      <c r="P2416" s="13">
        <f t="shared" si="75"/>
        <v>2551588</v>
      </c>
      <c r="Q2416" s="13">
        <f>SUMIFS(M:M,E:E,Online_eCommerce[[#This Row],[Status]])</f>
        <v>28340455</v>
      </c>
      <c r="R2416" s="13">
        <f>SUMIFS(L:L,H:H,Online_eCommerce[[#This Row],[Brand]])</f>
        <v>12435650</v>
      </c>
      <c r="S2416" s="13">
        <f>SUMIF(H:H,Online_eCommerce[[#This Row],[Brand]],M:M)</f>
        <v>16166345</v>
      </c>
      <c r="T2416" s="13">
        <f>SUMIF(N:N,Online_eCommerce[[#This Row],[Assigned Supervisor]],L:L)</f>
        <v>12220830</v>
      </c>
    </row>
    <row r="2417" spans="1:20" hidden="1" x14ac:dyDescent="0.3">
      <c r="A2417" t="s">
        <v>3609</v>
      </c>
      <c r="B2417" t="s">
        <v>235</v>
      </c>
      <c r="C2417" t="s">
        <v>132</v>
      </c>
      <c r="D2417" t="s">
        <v>3580</v>
      </c>
      <c r="E2417" t="s">
        <v>161</v>
      </c>
      <c r="F2417" t="s">
        <v>3610</v>
      </c>
      <c r="G2417" t="s">
        <v>26</v>
      </c>
      <c r="H2417" t="s">
        <v>27</v>
      </c>
      <c r="I2417">
        <v>8500</v>
      </c>
      <c r="J2417">
        <v>11050</v>
      </c>
      <c r="K2417">
        <v>1</v>
      </c>
      <c r="L2417">
        <v>8500</v>
      </c>
      <c r="M2417">
        <v>11050</v>
      </c>
      <c r="N2417" t="s">
        <v>35</v>
      </c>
      <c r="O2417">
        <f t="shared" si="74"/>
        <v>33150</v>
      </c>
      <c r="P2417" s="13">
        <f t="shared" si="75"/>
        <v>1989065</v>
      </c>
      <c r="Q2417" s="13">
        <f>SUMIFS(M:M,E:E,Online_eCommerce[[#This Row],[Status]])</f>
        <v>21103186</v>
      </c>
      <c r="R2417" s="13">
        <f>SUMIFS(L:L,H:H,Online_eCommerce[[#This Row],[Brand]])</f>
        <v>14431000</v>
      </c>
      <c r="S2417" s="13">
        <f>SUMIF(H:H,Online_eCommerce[[#This Row],[Brand]],M:M)</f>
        <v>18760300</v>
      </c>
      <c r="T2417" s="13">
        <f>SUMIF(N:N,Online_eCommerce[[#This Row],[Assigned Supervisor]],L:L)</f>
        <v>14373360</v>
      </c>
    </row>
    <row r="2418" spans="1:20" x14ac:dyDescent="0.3">
      <c r="A2418" t="s">
        <v>3611</v>
      </c>
      <c r="B2418" t="s">
        <v>235</v>
      </c>
      <c r="C2418" t="s">
        <v>136</v>
      </c>
      <c r="D2418" t="s">
        <v>3580</v>
      </c>
      <c r="E2418" t="s">
        <v>46</v>
      </c>
      <c r="F2418" t="s">
        <v>32</v>
      </c>
      <c r="G2418" t="s">
        <v>33</v>
      </c>
      <c r="H2418" t="s">
        <v>34</v>
      </c>
      <c r="I2418">
        <v>7000</v>
      </c>
      <c r="J2418">
        <v>9100</v>
      </c>
      <c r="K2418">
        <v>4</v>
      </c>
      <c r="L2418">
        <v>28000</v>
      </c>
      <c r="M2418">
        <v>36400</v>
      </c>
      <c r="N2418" t="s">
        <v>42</v>
      </c>
      <c r="O2418">
        <f t="shared" si="74"/>
        <v>18200</v>
      </c>
      <c r="P2418" s="13">
        <f t="shared" si="75"/>
        <v>2775162</v>
      </c>
      <c r="Q2418" s="13">
        <f>SUMIFS(M:M,E:E,Online_eCommerce[[#This Row],[Status]])</f>
        <v>28620410</v>
      </c>
      <c r="R2418" s="13">
        <f>SUMIFS(L:L,H:H,Online_eCommerce[[#This Row],[Brand]])</f>
        <v>10087000</v>
      </c>
      <c r="S2418" s="13">
        <f>SUMIF(H:H,Online_eCommerce[[#This Row],[Brand]],M:M)</f>
        <v>13113100</v>
      </c>
      <c r="T2418" s="13">
        <f>SUMIF(N:N,Online_eCommerce[[#This Row],[Assigned Supervisor]],L:L)</f>
        <v>12261500</v>
      </c>
    </row>
    <row r="2419" spans="1:20" hidden="1" x14ac:dyDescent="0.3">
      <c r="A2419" t="s">
        <v>3612</v>
      </c>
      <c r="B2419" t="s">
        <v>235</v>
      </c>
      <c r="C2419" t="s">
        <v>140</v>
      </c>
      <c r="D2419" t="s">
        <v>3580</v>
      </c>
      <c r="E2419" t="s">
        <v>96</v>
      </c>
      <c r="F2419" t="s">
        <v>3613</v>
      </c>
      <c r="G2419" t="s">
        <v>256</v>
      </c>
      <c r="H2419" t="s">
        <v>41</v>
      </c>
      <c r="I2419">
        <v>6550</v>
      </c>
      <c r="J2419">
        <v>8515</v>
      </c>
      <c r="K2419">
        <v>2</v>
      </c>
      <c r="L2419">
        <v>13100</v>
      </c>
      <c r="M2419">
        <v>17030</v>
      </c>
      <c r="N2419" t="s">
        <v>50</v>
      </c>
      <c r="O2419">
        <f t="shared" si="74"/>
        <v>9100</v>
      </c>
      <c r="P2419" s="13">
        <f t="shared" si="75"/>
        <v>2058264</v>
      </c>
      <c r="Q2419" s="13">
        <f>SUMIFS(M:M,E:E,Online_eCommerce[[#This Row],[Status]])</f>
        <v>21233992</v>
      </c>
      <c r="R2419" s="13">
        <f>SUMIFS(L:L,H:H,Online_eCommerce[[#This Row],[Brand]])</f>
        <v>4260400</v>
      </c>
      <c r="S2419" s="13">
        <f>SUMIF(H:H,Online_eCommerce[[#This Row],[Brand]],M:M)</f>
        <v>5538520</v>
      </c>
      <c r="T2419" s="13">
        <f>SUMIF(N:N,Online_eCommerce[[#This Row],[Assigned Supervisor]],L:L)</f>
        <v>12100590</v>
      </c>
    </row>
    <row r="2420" spans="1:20" hidden="1" x14ac:dyDescent="0.3">
      <c r="A2420" t="s">
        <v>3614</v>
      </c>
      <c r="B2420" t="s">
        <v>235</v>
      </c>
      <c r="C2420" t="s">
        <v>145</v>
      </c>
      <c r="D2420" t="s">
        <v>3580</v>
      </c>
      <c r="E2420" t="s">
        <v>18</v>
      </c>
      <c r="F2420" t="s">
        <v>47</v>
      </c>
      <c r="G2420" t="s">
        <v>259</v>
      </c>
      <c r="H2420" t="s">
        <v>49</v>
      </c>
      <c r="I2420">
        <v>7650</v>
      </c>
      <c r="J2420">
        <v>9945</v>
      </c>
      <c r="K2420">
        <v>1</v>
      </c>
      <c r="L2420">
        <v>7650</v>
      </c>
      <c r="M2420">
        <v>9945</v>
      </c>
      <c r="N2420" t="s">
        <v>56</v>
      </c>
      <c r="O2420">
        <f t="shared" si="74"/>
        <v>11700</v>
      </c>
      <c r="P2420" s="13">
        <f t="shared" si="75"/>
        <v>2757859</v>
      </c>
      <c r="Q2420" s="13">
        <f>SUMIFS(M:M,E:E,Online_eCommerce[[#This Row],[Status]])</f>
        <v>28340455</v>
      </c>
      <c r="R2420" s="13">
        <f>SUMIFS(L:L,H:H,Online_eCommerce[[#This Row],[Brand]])</f>
        <v>4528350</v>
      </c>
      <c r="S2420" s="13">
        <f>SUMIF(H:H,Online_eCommerce[[#This Row],[Brand]],M:M)</f>
        <v>5886855</v>
      </c>
      <c r="T2420" s="13">
        <f>SUMIF(N:N,Online_eCommerce[[#This Row],[Assigned Supervisor]],L:L)</f>
        <v>11733610</v>
      </c>
    </row>
    <row r="2421" spans="1:20" hidden="1" x14ac:dyDescent="0.3">
      <c r="A2421" t="s">
        <v>3615</v>
      </c>
      <c r="B2421" t="s">
        <v>235</v>
      </c>
      <c r="C2421" t="s">
        <v>150</v>
      </c>
      <c r="D2421" t="s">
        <v>3616</v>
      </c>
      <c r="E2421" t="s">
        <v>161</v>
      </c>
      <c r="F2421" t="s">
        <v>53</v>
      </c>
      <c r="G2421" t="s">
        <v>54</v>
      </c>
      <c r="H2421" t="s">
        <v>55</v>
      </c>
      <c r="I2421">
        <v>1150</v>
      </c>
      <c r="J2421">
        <v>1495</v>
      </c>
      <c r="K2421">
        <v>1</v>
      </c>
      <c r="L2421">
        <v>1150</v>
      </c>
      <c r="M2421">
        <v>1495</v>
      </c>
      <c r="N2421" t="s">
        <v>22</v>
      </c>
      <c r="O2421">
        <f t="shared" si="74"/>
        <v>2990</v>
      </c>
      <c r="P2421" s="13">
        <f t="shared" si="75"/>
        <v>2154984</v>
      </c>
      <c r="Q2421" s="13">
        <f>SUMIFS(M:M,E:E,Online_eCommerce[[#This Row],[Status]])</f>
        <v>21103186</v>
      </c>
      <c r="R2421" s="13">
        <f>SUMIFS(L:L,H:H,Online_eCommerce[[#This Row],[Brand]])</f>
        <v>2267380</v>
      </c>
      <c r="S2421" s="13">
        <f>SUMIF(H:H,Online_eCommerce[[#This Row],[Brand]],M:M)</f>
        <v>2947594</v>
      </c>
      <c r="T2421" s="13">
        <f>SUMIF(N:N,Online_eCommerce[[#This Row],[Assigned Supervisor]],L:L)</f>
        <v>13693220</v>
      </c>
    </row>
    <row r="2422" spans="1:20" x14ac:dyDescent="0.3">
      <c r="A2422" t="s">
        <v>3617</v>
      </c>
      <c r="B2422" t="s">
        <v>235</v>
      </c>
      <c r="C2422" t="s">
        <v>155</v>
      </c>
      <c r="D2422" t="s">
        <v>3618</v>
      </c>
      <c r="E2422" t="s">
        <v>46</v>
      </c>
      <c r="F2422" t="s">
        <v>59</v>
      </c>
      <c r="G2422" t="s">
        <v>60</v>
      </c>
      <c r="H2422" t="s">
        <v>61</v>
      </c>
      <c r="I2422">
        <v>850</v>
      </c>
      <c r="J2422">
        <v>1105</v>
      </c>
      <c r="K2422">
        <v>3</v>
      </c>
      <c r="L2422">
        <v>2550</v>
      </c>
      <c r="M2422">
        <v>3315</v>
      </c>
      <c r="N2422" t="s">
        <v>28</v>
      </c>
      <c r="O2422">
        <f t="shared" si="74"/>
        <v>3315</v>
      </c>
      <c r="P2422" s="13">
        <f t="shared" si="75"/>
        <v>2753348</v>
      </c>
      <c r="Q2422" s="13">
        <f>SUMIFS(M:M,E:E,Online_eCommerce[[#This Row],[Status]])</f>
        <v>28620410</v>
      </c>
      <c r="R2422" s="13">
        <f>SUMIFS(L:L,H:H,Online_eCommerce[[#This Row],[Brand]])</f>
        <v>10950150</v>
      </c>
      <c r="S2422" s="13">
        <f>SUMIF(H:H,Online_eCommerce[[#This Row],[Brand]],M:M)</f>
        <v>14235195</v>
      </c>
      <c r="T2422" s="13">
        <f>SUMIF(N:N,Online_eCommerce[[#This Row],[Assigned Supervisor]],L:L)</f>
        <v>12220830</v>
      </c>
    </row>
    <row r="2423" spans="1:20" hidden="1" x14ac:dyDescent="0.3">
      <c r="A2423" t="s">
        <v>3619</v>
      </c>
      <c r="B2423" t="s">
        <v>235</v>
      </c>
      <c r="C2423" t="s">
        <v>160</v>
      </c>
      <c r="D2423" t="s">
        <v>3620</v>
      </c>
      <c r="E2423" t="s">
        <v>96</v>
      </c>
      <c r="F2423" t="s">
        <v>65</v>
      </c>
      <c r="G2423" t="s">
        <v>66</v>
      </c>
      <c r="H2423" t="s">
        <v>21</v>
      </c>
      <c r="I2423">
        <v>650</v>
      </c>
      <c r="J2423">
        <v>845</v>
      </c>
      <c r="K2423">
        <v>3</v>
      </c>
      <c r="L2423">
        <v>1950</v>
      </c>
      <c r="M2423">
        <v>2535</v>
      </c>
      <c r="N2423" t="s">
        <v>35</v>
      </c>
      <c r="O2423">
        <f t="shared" si="74"/>
        <v>1690</v>
      </c>
      <c r="P2423" s="13">
        <f t="shared" si="75"/>
        <v>2303483</v>
      </c>
      <c r="Q2423" s="13">
        <f>SUMIFS(M:M,E:E,Online_eCommerce[[#This Row],[Status]])</f>
        <v>21233992</v>
      </c>
      <c r="R2423" s="13">
        <f>SUMIFS(L:L,H:H,Online_eCommerce[[#This Row],[Brand]])</f>
        <v>12435650</v>
      </c>
      <c r="S2423" s="13">
        <f>SUMIF(H:H,Online_eCommerce[[#This Row],[Brand]],M:M)</f>
        <v>16166345</v>
      </c>
      <c r="T2423" s="13">
        <f>SUMIF(N:N,Online_eCommerce[[#This Row],[Assigned Supervisor]],L:L)</f>
        <v>14373360</v>
      </c>
    </row>
    <row r="2424" spans="1:20" hidden="1" x14ac:dyDescent="0.3">
      <c r="A2424" t="s">
        <v>3621</v>
      </c>
      <c r="B2424" t="s">
        <v>235</v>
      </c>
      <c r="C2424" t="s">
        <v>165</v>
      </c>
      <c r="D2424" t="s">
        <v>3622</v>
      </c>
      <c r="E2424" t="s">
        <v>18</v>
      </c>
      <c r="F2424" t="s">
        <v>70</v>
      </c>
      <c r="G2424" t="s">
        <v>71</v>
      </c>
      <c r="H2424" t="s">
        <v>61</v>
      </c>
      <c r="I2424">
        <v>7500</v>
      </c>
      <c r="J2424">
        <v>9750</v>
      </c>
      <c r="K2424">
        <v>1</v>
      </c>
      <c r="L2424">
        <v>7500</v>
      </c>
      <c r="M2424">
        <v>9750</v>
      </c>
      <c r="N2424" t="s">
        <v>42</v>
      </c>
      <c r="O2424">
        <f t="shared" si="74"/>
        <v>9750</v>
      </c>
      <c r="P2424" s="13">
        <f t="shared" si="75"/>
        <v>2674087</v>
      </c>
      <c r="Q2424" s="13">
        <f>SUMIFS(M:M,E:E,Online_eCommerce[[#This Row],[Status]])</f>
        <v>28340455</v>
      </c>
      <c r="R2424" s="13">
        <f>SUMIFS(L:L,H:H,Online_eCommerce[[#This Row],[Brand]])</f>
        <v>10950150</v>
      </c>
      <c r="S2424" s="13">
        <f>SUMIF(H:H,Online_eCommerce[[#This Row],[Brand]],M:M)</f>
        <v>14235195</v>
      </c>
      <c r="T2424" s="13">
        <f>SUMIF(N:N,Online_eCommerce[[#This Row],[Assigned Supervisor]],L:L)</f>
        <v>12261500</v>
      </c>
    </row>
    <row r="2425" spans="1:20" hidden="1" x14ac:dyDescent="0.3">
      <c r="A2425" t="s">
        <v>3623</v>
      </c>
      <c r="B2425" t="s">
        <v>235</v>
      </c>
      <c r="C2425" t="s">
        <v>168</v>
      </c>
      <c r="D2425" t="s">
        <v>3624</v>
      </c>
      <c r="E2425" t="s">
        <v>161</v>
      </c>
      <c r="F2425" t="s">
        <v>3606</v>
      </c>
      <c r="G2425" t="s">
        <v>77</v>
      </c>
      <c r="H2425" t="s">
        <v>78</v>
      </c>
      <c r="I2425">
        <v>10000</v>
      </c>
      <c r="J2425">
        <v>13000</v>
      </c>
      <c r="K2425">
        <v>1</v>
      </c>
      <c r="L2425">
        <v>10000</v>
      </c>
      <c r="M2425">
        <v>13000</v>
      </c>
      <c r="N2425" t="s">
        <v>50</v>
      </c>
      <c r="O2425">
        <f t="shared" si="74"/>
        <v>39000</v>
      </c>
      <c r="P2425" s="13">
        <f t="shared" si="75"/>
        <v>1937780</v>
      </c>
      <c r="Q2425" s="13">
        <f>SUMIFS(M:M,E:E,Online_eCommerce[[#This Row],[Status]])</f>
        <v>21103186</v>
      </c>
      <c r="R2425" s="13">
        <f>SUMIFS(L:L,H:H,Online_eCommerce[[#This Row],[Brand]])</f>
        <v>3720000</v>
      </c>
      <c r="S2425" s="13">
        <f>SUMIF(H:H,Online_eCommerce[[#This Row],[Brand]],M:M)</f>
        <v>4836000</v>
      </c>
      <c r="T2425" s="13">
        <f>SUMIF(N:N,Online_eCommerce[[#This Row],[Assigned Supervisor]],L:L)</f>
        <v>12100590</v>
      </c>
    </row>
    <row r="2426" spans="1:20" x14ac:dyDescent="0.3">
      <c r="A2426" t="s">
        <v>3625</v>
      </c>
      <c r="B2426" t="s">
        <v>235</v>
      </c>
      <c r="C2426" t="s">
        <v>172</v>
      </c>
      <c r="D2426" t="s">
        <v>3626</v>
      </c>
      <c r="E2426" t="s">
        <v>46</v>
      </c>
      <c r="F2426" t="s">
        <v>3627</v>
      </c>
      <c r="G2426" t="s">
        <v>20</v>
      </c>
      <c r="H2426" t="s">
        <v>21</v>
      </c>
      <c r="I2426">
        <v>10500</v>
      </c>
      <c r="J2426">
        <v>13650</v>
      </c>
      <c r="K2426">
        <v>4</v>
      </c>
      <c r="L2426">
        <v>42000</v>
      </c>
      <c r="M2426">
        <v>54600</v>
      </c>
      <c r="N2426" t="s">
        <v>56</v>
      </c>
      <c r="O2426">
        <f t="shared" si="74"/>
        <v>8450</v>
      </c>
      <c r="P2426" s="13">
        <f t="shared" si="75"/>
        <v>2640274</v>
      </c>
      <c r="Q2426" s="13">
        <f>SUMIFS(M:M,E:E,Online_eCommerce[[#This Row],[Status]])</f>
        <v>28620410</v>
      </c>
      <c r="R2426" s="13">
        <f>SUMIFS(L:L,H:H,Online_eCommerce[[#This Row],[Brand]])</f>
        <v>12435650</v>
      </c>
      <c r="S2426" s="13">
        <f>SUMIF(H:H,Online_eCommerce[[#This Row],[Brand]],M:M)</f>
        <v>16166345</v>
      </c>
      <c r="T2426" s="13">
        <f>SUMIF(N:N,Online_eCommerce[[#This Row],[Assigned Supervisor]],L:L)</f>
        <v>11733610</v>
      </c>
    </row>
    <row r="2427" spans="1:20" hidden="1" x14ac:dyDescent="0.3">
      <c r="A2427" t="s">
        <v>3628</v>
      </c>
      <c r="B2427" t="s">
        <v>235</v>
      </c>
      <c r="C2427" t="s">
        <v>177</v>
      </c>
      <c r="D2427" t="s">
        <v>3626</v>
      </c>
      <c r="E2427" t="s">
        <v>96</v>
      </c>
      <c r="F2427" t="s">
        <v>88</v>
      </c>
      <c r="G2427" t="s">
        <v>26</v>
      </c>
      <c r="H2427" t="s">
        <v>27</v>
      </c>
      <c r="I2427">
        <v>8500</v>
      </c>
      <c r="J2427">
        <v>11050</v>
      </c>
      <c r="K2427">
        <v>2</v>
      </c>
      <c r="L2427">
        <v>17000</v>
      </c>
      <c r="M2427">
        <v>22100</v>
      </c>
      <c r="N2427" t="s">
        <v>22</v>
      </c>
      <c r="O2427">
        <f t="shared" si="74"/>
        <v>33150</v>
      </c>
      <c r="P2427" s="13">
        <f t="shared" si="75"/>
        <v>1863810</v>
      </c>
      <c r="Q2427" s="13">
        <f>SUMIFS(M:M,E:E,Online_eCommerce[[#This Row],[Status]])</f>
        <v>21233992</v>
      </c>
      <c r="R2427" s="13">
        <f>SUMIFS(L:L,H:H,Online_eCommerce[[#This Row],[Brand]])</f>
        <v>14431000</v>
      </c>
      <c r="S2427" s="13">
        <f>SUMIF(H:H,Online_eCommerce[[#This Row],[Brand]],M:M)</f>
        <v>18760300</v>
      </c>
      <c r="T2427" s="13">
        <f>SUMIF(N:N,Online_eCommerce[[#This Row],[Assigned Supervisor]],L:L)</f>
        <v>13693220</v>
      </c>
    </row>
    <row r="2428" spans="1:20" hidden="1" x14ac:dyDescent="0.3">
      <c r="A2428" t="s">
        <v>3629</v>
      </c>
      <c r="B2428" t="s">
        <v>235</v>
      </c>
      <c r="C2428" t="s">
        <v>181</v>
      </c>
      <c r="D2428" t="s">
        <v>3626</v>
      </c>
      <c r="E2428" t="s">
        <v>18</v>
      </c>
      <c r="F2428" t="s">
        <v>32</v>
      </c>
      <c r="G2428" t="s">
        <v>33</v>
      </c>
      <c r="H2428" t="s">
        <v>34</v>
      </c>
      <c r="I2428">
        <v>7000</v>
      </c>
      <c r="J2428">
        <v>9100</v>
      </c>
      <c r="K2428">
        <v>1</v>
      </c>
      <c r="L2428">
        <v>7000</v>
      </c>
      <c r="M2428">
        <v>9100</v>
      </c>
      <c r="N2428" t="s">
        <v>28</v>
      </c>
      <c r="O2428">
        <f t="shared" si="74"/>
        <v>18200</v>
      </c>
      <c r="P2428" s="13">
        <f t="shared" si="75"/>
        <v>2577458</v>
      </c>
      <c r="Q2428" s="13">
        <f>SUMIFS(M:M,E:E,Online_eCommerce[[#This Row],[Status]])</f>
        <v>28340455</v>
      </c>
      <c r="R2428" s="13">
        <f>SUMIFS(L:L,H:H,Online_eCommerce[[#This Row],[Brand]])</f>
        <v>10087000</v>
      </c>
      <c r="S2428" s="13">
        <f>SUMIF(H:H,Online_eCommerce[[#This Row],[Brand]],M:M)</f>
        <v>13113100</v>
      </c>
      <c r="T2428" s="13">
        <f>SUMIF(N:N,Online_eCommerce[[#This Row],[Assigned Supervisor]],L:L)</f>
        <v>12220830</v>
      </c>
    </row>
    <row r="2429" spans="1:20" hidden="1" x14ac:dyDescent="0.3">
      <c r="A2429" t="s">
        <v>3630</v>
      </c>
      <c r="B2429" t="s">
        <v>235</v>
      </c>
      <c r="C2429" t="s">
        <v>185</v>
      </c>
      <c r="D2429" t="s">
        <v>3626</v>
      </c>
      <c r="E2429" t="s">
        <v>161</v>
      </c>
      <c r="F2429" t="s">
        <v>3631</v>
      </c>
      <c r="G2429" t="s">
        <v>256</v>
      </c>
      <c r="H2429" t="s">
        <v>41</v>
      </c>
      <c r="I2429">
        <v>1680</v>
      </c>
      <c r="J2429">
        <v>2184</v>
      </c>
      <c r="K2429">
        <v>4</v>
      </c>
      <c r="L2429">
        <v>6720</v>
      </c>
      <c r="M2429">
        <v>8736</v>
      </c>
      <c r="N2429" t="s">
        <v>35</v>
      </c>
      <c r="O2429">
        <f t="shared" si="74"/>
        <v>9100</v>
      </c>
      <c r="P2429" s="13">
        <f t="shared" si="75"/>
        <v>2091596</v>
      </c>
      <c r="Q2429" s="13">
        <f>SUMIFS(M:M,E:E,Online_eCommerce[[#This Row],[Status]])</f>
        <v>21103186</v>
      </c>
      <c r="R2429" s="13">
        <f>SUMIFS(L:L,H:H,Online_eCommerce[[#This Row],[Brand]])</f>
        <v>4260400</v>
      </c>
      <c r="S2429" s="13">
        <f>SUMIF(H:H,Online_eCommerce[[#This Row],[Brand]],M:M)</f>
        <v>5538520</v>
      </c>
      <c r="T2429" s="13">
        <f>SUMIF(N:N,Online_eCommerce[[#This Row],[Assigned Supervisor]],L:L)</f>
        <v>14373360</v>
      </c>
    </row>
    <row r="2430" spans="1:20" x14ac:dyDescent="0.3">
      <c r="A2430" t="s">
        <v>3632</v>
      </c>
      <c r="B2430" t="s">
        <v>235</v>
      </c>
      <c r="C2430" t="s">
        <v>189</v>
      </c>
      <c r="D2430" t="s">
        <v>3626</v>
      </c>
      <c r="E2430" t="s">
        <v>46</v>
      </c>
      <c r="F2430" t="s">
        <v>101</v>
      </c>
      <c r="G2430" t="s">
        <v>259</v>
      </c>
      <c r="H2430" t="s">
        <v>102</v>
      </c>
      <c r="I2430">
        <v>6540</v>
      </c>
      <c r="J2430">
        <v>8502</v>
      </c>
      <c r="K2430">
        <v>2</v>
      </c>
      <c r="L2430">
        <v>13080</v>
      </c>
      <c r="M2430">
        <v>17004</v>
      </c>
      <c r="N2430" t="s">
        <v>42</v>
      </c>
      <c r="O2430">
        <f t="shared" si="74"/>
        <v>11700</v>
      </c>
      <c r="P2430" s="13">
        <f t="shared" si="75"/>
        <v>2740777</v>
      </c>
      <c r="Q2430" s="13">
        <f>SUMIFS(M:M,E:E,Online_eCommerce[[#This Row],[Status]])</f>
        <v>28620410</v>
      </c>
      <c r="R2430" s="13">
        <f>SUMIFS(L:L,H:H,Online_eCommerce[[#This Row],[Brand]])</f>
        <v>2465580</v>
      </c>
      <c r="S2430" s="13">
        <f>SUMIF(H:H,Online_eCommerce[[#This Row],[Brand]],M:M)</f>
        <v>3205254</v>
      </c>
      <c r="T2430" s="13">
        <f>SUMIF(N:N,Online_eCommerce[[#This Row],[Assigned Supervisor]],L:L)</f>
        <v>12261500</v>
      </c>
    </row>
    <row r="2431" spans="1:20" hidden="1" x14ac:dyDescent="0.3">
      <c r="A2431" t="s">
        <v>3633</v>
      </c>
      <c r="B2431" t="s">
        <v>235</v>
      </c>
      <c r="C2431" t="s">
        <v>193</v>
      </c>
      <c r="D2431" t="s">
        <v>3626</v>
      </c>
      <c r="E2431" t="s">
        <v>96</v>
      </c>
      <c r="F2431" t="s">
        <v>107</v>
      </c>
      <c r="G2431" t="s">
        <v>54</v>
      </c>
      <c r="H2431" t="s">
        <v>55</v>
      </c>
      <c r="I2431">
        <v>2680</v>
      </c>
      <c r="J2431">
        <v>3484</v>
      </c>
      <c r="K2431">
        <v>2</v>
      </c>
      <c r="L2431">
        <v>5360</v>
      </c>
      <c r="M2431">
        <v>6968</v>
      </c>
      <c r="N2431" t="s">
        <v>50</v>
      </c>
      <c r="O2431">
        <f t="shared" si="74"/>
        <v>2990</v>
      </c>
      <c r="P2431" s="13">
        <f t="shared" si="75"/>
        <v>2074774</v>
      </c>
      <c r="Q2431" s="13">
        <f>SUMIFS(M:M,E:E,Online_eCommerce[[#This Row],[Status]])</f>
        <v>21233992</v>
      </c>
      <c r="R2431" s="13">
        <f>SUMIFS(L:L,H:H,Online_eCommerce[[#This Row],[Brand]])</f>
        <v>2267380</v>
      </c>
      <c r="S2431" s="13">
        <f>SUMIF(H:H,Online_eCommerce[[#This Row],[Brand]],M:M)</f>
        <v>2947594</v>
      </c>
      <c r="T2431" s="13">
        <f>SUMIF(N:N,Online_eCommerce[[#This Row],[Assigned Supervisor]],L:L)</f>
        <v>12100590</v>
      </c>
    </row>
    <row r="2432" spans="1:20" hidden="1" x14ac:dyDescent="0.3">
      <c r="A2432" t="s">
        <v>3634</v>
      </c>
      <c r="B2432" t="s">
        <v>235</v>
      </c>
      <c r="C2432" t="s">
        <v>197</v>
      </c>
      <c r="D2432" t="s">
        <v>3626</v>
      </c>
      <c r="E2432" t="s">
        <v>18</v>
      </c>
      <c r="F2432" t="s">
        <v>112</v>
      </c>
      <c r="G2432" t="s">
        <v>71</v>
      </c>
      <c r="H2432" t="s">
        <v>21</v>
      </c>
      <c r="I2432">
        <v>8250</v>
      </c>
      <c r="J2432">
        <v>10725</v>
      </c>
      <c r="K2432">
        <v>2</v>
      </c>
      <c r="L2432">
        <v>16500</v>
      </c>
      <c r="M2432">
        <v>21450</v>
      </c>
      <c r="N2432" t="s">
        <v>56</v>
      </c>
      <c r="O2432">
        <f t="shared" si="74"/>
        <v>9750</v>
      </c>
      <c r="P2432" s="13">
        <f t="shared" si="75"/>
        <v>2829840</v>
      </c>
      <c r="Q2432" s="13">
        <f>SUMIFS(M:M,E:E,Online_eCommerce[[#This Row],[Status]])</f>
        <v>28340455</v>
      </c>
      <c r="R2432" s="13">
        <f>SUMIFS(L:L,H:H,Online_eCommerce[[#This Row],[Brand]])</f>
        <v>12435650</v>
      </c>
      <c r="S2432" s="13">
        <f>SUMIF(H:H,Online_eCommerce[[#This Row],[Brand]],M:M)</f>
        <v>16166345</v>
      </c>
      <c r="T2432" s="13">
        <f>SUMIF(N:N,Online_eCommerce[[#This Row],[Assigned Supervisor]],L:L)</f>
        <v>11733610</v>
      </c>
    </row>
    <row r="2433" spans="1:20" hidden="1" x14ac:dyDescent="0.3">
      <c r="A2433" t="s">
        <v>3635</v>
      </c>
      <c r="B2433" t="s">
        <v>235</v>
      </c>
      <c r="C2433" t="s">
        <v>199</v>
      </c>
      <c r="D2433" t="s">
        <v>3626</v>
      </c>
      <c r="E2433" t="s">
        <v>161</v>
      </c>
      <c r="F2433" t="s">
        <v>3267</v>
      </c>
      <c r="G2433" t="s">
        <v>40</v>
      </c>
      <c r="H2433" t="s">
        <v>21</v>
      </c>
      <c r="I2433">
        <v>2650</v>
      </c>
      <c r="J2433">
        <v>3445</v>
      </c>
      <c r="K2433">
        <v>4</v>
      </c>
      <c r="L2433">
        <v>10600</v>
      </c>
      <c r="M2433">
        <v>13780</v>
      </c>
      <c r="N2433" t="s">
        <v>22</v>
      </c>
      <c r="O2433">
        <f t="shared" si="74"/>
        <v>25545</v>
      </c>
      <c r="P2433" s="13">
        <f t="shared" si="75"/>
        <v>1947361</v>
      </c>
      <c r="Q2433" s="13">
        <f>SUMIFS(M:M,E:E,Online_eCommerce[[#This Row],[Status]])</f>
        <v>21103186</v>
      </c>
      <c r="R2433" s="13">
        <f>SUMIFS(L:L,H:H,Online_eCommerce[[#This Row],[Brand]])</f>
        <v>12435650</v>
      </c>
      <c r="S2433" s="13">
        <f>SUMIF(H:H,Online_eCommerce[[#This Row],[Brand]],M:M)</f>
        <v>16166345</v>
      </c>
      <c r="T2433" s="13">
        <f>SUMIF(N:N,Online_eCommerce[[#This Row],[Assigned Supervisor]],L:L)</f>
        <v>13693220</v>
      </c>
    </row>
    <row r="2434" spans="1:20" x14ac:dyDescent="0.3">
      <c r="A2434" t="s">
        <v>3636</v>
      </c>
      <c r="B2434" t="s">
        <v>235</v>
      </c>
      <c r="C2434" t="s">
        <v>203</v>
      </c>
      <c r="D2434" t="s">
        <v>3626</v>
      </c>
      <c r="E2434" t="s">
        <v>46</v>
      </c>
      <c r="F2434" t="s">
        <v>121</v>
      </c>
      <c r="G2434" t="s">
        <v>71</v>
      </c>
      <c r="H2434" t="s">
        <v>122</v>
      </c>
      <c r="I2434">
        <v>12550</v>
      </c>
      <c r="J2434">
        <v>16315</v>
      </c>
      <c r="K2434">
        <v>1</v>
      </c>
      <c r="L2434">
        <v>12550</v>
      </c>
      <c r="M2434">
        <v>16315</v>
      </c>
      <c r="N2434" t="s">
        <v>28</v>
      </c>
      <c r="O2434">
        <f t="shared" ref="O2434:O2497" si="76">VLOOKUP(G2434,G:M,7,FALSE)</f>
        <v>9750</v>
      </c>
      <c r="P2434" s="13">
        <f t="shared" ref="P2434:P2497" si="77">SUMIFS(M:M,C:C,C2434)</f>
        <v>2559635</v>
      </c>
      <c r="Q2434" s="13">
        <f>SUMIFS(M:M,E:E,Online_eCommerce[[#This Row],[Status]])</f>
        <v>28620410</v>
      </c>
      <c r="R2434" s="13">
        <f>SUMIFS(L:L,H:H,Online_eCommerce[[#This Row],[Brand]])</f>
        <v>5045100</v>
      </c>
      <c r="S2434" s="13">
        <f>SUMIF(H:H,Online_eCommerce[[#This Row],[Brand]],M:M)</f>
        <v>6558630</v>
      </c>
      <c r="T2434" s="13">
        <f>SUMIF(N:N,Online_eCommerce[[#This Row],[Assigned Supervisor]],L:L)</f>
        <v>12220830</v>
      </c>
    </row>
    <row r="2435" spans="1:20" hidden="1" x14ac:dyDescent="0.3">
      <c r="A2435" t="s">
        <v>3637</v>
      </c>
      <c r="B2435" t="s">
        <v>235</v>
      </c>
      <c r="C2435" t="s">
        <v>205</v>
      </c>
      <c r="D2435" t="s">
        <v>3626</v>
      </c>
      <c r="E2435" t="s">
        <v>96</v>
      </c>
      <c r="F2435" t="s">
        <v>126</v>
      </c>
      <c r="G2435" t="s">
        <v>26</v>
      </c>
      <c r="H2435" t="s">
        <v>27</v>
      </c>
      <c r="I2435">
        <v>14500</v>
      </c>
      <c r="J2435">
        <v>18850</v>
      </c>
      <c r="K2435">
        <v>4</v>
      </c>
      <c r="L2435">
        <v>58000</v>
      </c>
      <c r="M2435">
        <v>75400</v>
      </c>
      <c r="N2435" t="s">
        <v>35</v>
      </c>
      <c r="O2435">
        <f t="shared" si="76"/>
        <v>33150</v>
      </c>
      <c r="P2435" s="13">
        <f t="shared" si="77"/>
        <v>1983254</v>
      </c>
      <c r="Q2435" s="13">
        <f>SUMIFS(M:M,E:E,Online_eCommerce[[#This Row],[Status]])</f>
        <v>21233992</v>
      </c>
      <c r="R2435" s="13">
        <f>SUMIFS(L:L,H:H,Online_eCommerce[[#This Row],[Brand]])</f>
        <v>14431000</v>
      </c>
      <c r="S2435" s="13">
        <f>SUMIF(H:H,Online_eCommerce[[#This Row],[Brand]],M:M)</f>
        <v>18760300</v>
      </c>
      <c r="T2435" s="13">
        <f>SUMIF(N:N,Online_eCommerce[[#This Row],[Assigned Supervisor]],L:L)</f>
        <v>14373360</v>
      </c>
    </row>
    <row r="2436" spans="1:20" hidden="1" x14ac:dyDescent="0.3">
      <c r="A2436" t="s">
        <v>3638</v>
      </c>
      <c r="B2436" t="s">
        <v>235</v>
      </c>
      <c r="C2436" t="s">
        <v>208</v>
      </c>
      <c r="D2436" t="s">
        <v>3626</v>
      </c>
      <c r="E2436" t="s">
        <v>18</v>
      </c>
      <c r="F2436" t="s">
        <v>129</v>
      </c>
      <c r="G2436" t="s">
        <v>60</v>
      </c>
      <c r="H2436" t="s">
        <v>61</v>
      </c>
      <c r="I2436">
        <v>800</v>
      </c>
      <c r="J2436">
        <v>1040</v>
      </c>
      <c r="K2436">
        <v>1</v>
      </c>
      <c r="L2436">
        <v>800</v>
      </c>
      <c r="M2436">
        <v>1040</v>
      </c>
      <c r="N2436" t="s">
        <v>42</v>
      </c>
      <c r="O2436">
        <f t="shared" si="76"/>
        <v>3315</v>
      </c>
      <c r="P2436" s="13">
        <f t="shared" si="77"/>
        <v>2746575</v>
      </c>
      <c r="Q2436" s="13">
        <f>SUMIFS(M:M,E:E,Online_eCommerce[[#This Row],[Status]])</f>
        <v>28340455</v>
      </c>
      <c r="R2436" s="13">
        <f>SUMIFS(L:L,H:H,Online_eCommerce[[#This Row],[Brand]])</f>
        <v>10950150</v>
      </c>
      <c r="S2436" s="13">
        <f>SUMIF(H:H,Online_eCommerce[[#This Row],[Brand]],M:M)</f>
        <v>14235195</v>
      </c>
      <c r="T2436" s="13">
        <f>SUMIF(N:N,Online_eCommerce[[#This Row],[Assigned Supervisor]],L:L)</f>
        <v>12261500</v>
      </c>
    </row>
    <row r="2437" spans="1:20" hidden="1" x14ac:dyDescent="0.3">
      <c r="A2437" t="s">
        <v>3639</v>
      </c>
      <c r="B2437" t="s">
        <v>235</v>
      </c>
      <c r="C2437" t="s">
        <v>211</v>
      </c>
      <c r="D2437" t="s">
        <v>3626</v>
      </c>
      <c r="E2437" t="s">
        <v>161</v>
      </c>
      <c r="F2437" t="s">
        <v>133</v>
      </c>
      <c r="G2437" t="s">
        <v>66</v>
      </c>
      <c r="H2437" t="s">
        <v>21</v>
      </c>
      <c r="I2437">
        <v>600</v>
      </c>
      <c r="J2437">
        <v>780</v>
      </c>
      <c r="K2437">
        <v>2</v>
      </c>
      <c r="L2437">
        <v>1200</v>
      </c>
      <c r="M2437">
        <v>1560</v>
      </c>
      <c r="N2437" t="s">
        <v>50</v>
      </c>
      <c r="O2437">
        <f t="shared" si="76"/>
        <v>1690</v>
      </c>
      <c r="P2437" s="13">
        <f t="shared" si="77"/>
        <v>1809847</v>
      </c>
      <c r="Q2437" s="13">
        <f>SUMIFS(M:M,E:E,Online_eCommerce[[#This Row],[Status]])</f>
        <v>21103186</v>
      </c>
      <c r="R2437" s="13">
        <f>SUMIFS(L:L,H:H,Online_eCommerce[[#This Row],[Brand]])</f>
        <v>12435650</v>
      </c>
      <c r="S2437" s="13">
        <f>SUMIF(H:H,Online_eCommerce[[#This Row],[Brand]],M:M)</f>
        <v>16166345</v>
      </c>
      <c r="T2437" s="13">
        <f>SUMIF(N:N,Online_eCommerce[[#This Row],[Assigned Supervisor]],L:L)</f>
        <v>12100590</v>
      </c>
    </row>
    <row r="2438" spans="1:20" x14ac:dyDescent="0.3">
      <c r="A2438" t="s">
        <v>3640</v>
      </c>
      <c r="B2438" t="s">
        <v>235</v>
      </c>
      <c r="C2438" t="s">
        <v>16</v>
      </c>
      <c r="D2438" t="s">
        <v>3626</v>
      </c>
      <c r="E2438" t="s">
        <v>46</v>
      </c>
      <c r="F2438" t="s">
        <v>137</v>
      </c>
      <c r="G2438" t="s">
        <v>71</v>
      </c>
      <c r="H2438" t="s">
        <v>61</v>
      </c>
      <c r="I2438">
        <v>10500</v>
      </c>
      <c r="J2438">
        <v>13650</v>
      </c>
      <c r="K2438">
        <v>4</v>
      </c>
      <c r="L2438">
        <v>42000</v>
      </c>
      <c r="M2438">
        <v>54600</v>
      </c>
      <c r="N2438" t="s">
        <v>56</v>
      </c>
      <c r="O2438">
        <f t="shared" si="76"/>
        <v>9750</v>
      </c>
      <c r="P2438" s="13">
        <f t="shared" si="77"/>
        <v>2751814</v>
      </c>
      <c r="Q2438" s="13">
        <f>SUMIFS(M:M,E:E,Online_eCommerce[[#This Row],[Status]])</f>
        <v>28620410</v>
      </c>
      <c r="R2438" s="13">
        <f>SUMIFS(L:L,H:H,Online_eCommerce[[#This Row],[Brand]])</f>
        <v>10950150</v>
      </c>
      <c r="S2438" s="13">
        <f>SUMIF(H:H,Online_eCommerce[[#This Row],[Brand]],M:M)</f>
        <v>14235195</v>
      </c>
      <c r="T2438" s="13">
        <f>SUMIF(N:N,Online_eCommerce[[#This Row],[Assigned Supervisor]],L:L)</f>
        <v>11733610</v>
      </c>
    </row>
    <row r="2439" spans="1:20" hidden="1" x14ac:dyDescent="0.3">
      <c r="A2439" t="s">
        <v>3641</v>
      </c>
      <c r="B2439" t="s">
        <v>235</v>
      </c>
      <c r="C2439" t="s">
        <v>24</v>
      </c>
      <c r="D2439" t="s">
        <v>3626</v>
      </c>
      <c r="E2439" t="s">
        <v>96</v>
      </c>
      <c r="F2439" t="s">
        <v>3606</v>
      </c>
      <c r="G2439" t="s">
        <v>77</v>
      </c>
      <c r="H2439" t="s">
        <v>142</v>
      </c>
      <c r="I2439">
        <v>6500</v>
      </c>
      <c r="J2439">
        <v>8450</v>
      </c>
      <c r="K2439">
        <v>4</v>
      </c>
      <c r="L2439">
        <v>26000</v>
      </c>
      <c r="M2439">
        <v>33800</v>
      </c>
      <c r="N2439" t="s">
        <v>22</v>
      </c>
      <c r="O2439">
        <f t="shared" si="76"/>
        <v>39000</v>
      </c>
      <c r="P2439" s="13">
        <f t="shared" si="77"/>
        <v>2009540</v>
      </c>
      <c r="Q2439" s="13">
        <f>SUMIFS(M:M,E:E,Online_eCommerce[[#This Row],[Status]])</f>
        <v>21233992</v>
      </c>
      <c r="R2439" s="13">
        <f>SUMIFS(L:L,H:H,Online_eCommerce[[#This Row],[Brand]])</f>
        <v>6192500</v>
      </c>
      <c r="S2439" s="13">
        <f>SUMIF(H:H,Online_eCommerce[[#This Row],[Brand]],M:M)</f>
        <v>8050250</v>
      </c>
      <c r="T2439" s="13">
        <f>SUMIF(N:N,Online_eCommerce[[#This Row],[Assigned Supervisor]],L:L)</f>
        <v>13693220</v>
      </c>
    </row>
    <row r="2440" spans="1:20" hidden="1" x14ac:dyDescent="0.3">
      <c r="A2440" t="s">
        <v>3642</v>
      </c>
      <c r="B2440" t="s">
        <v>235</v>
      </c>
      <c r="C2440" t="s">
        <v>31</v>
      </c>
      <c r="D2440" t="s">
        <v>3626</v>
      </c>
      <c r="E2440" t="s">
        <v>18</v>
      </c>
      <c r="F2440" t="s">
        <v>3643</v>
      </c>
      <c r="G2440" t="s">
        <v>20</v>
      </c>
      <c r="H2440" t="s">
        <v>21</v>
      </c>
      <c r="I2440">
        <v>4500</v>
      </c>
      <c r="J2440">
        <v>5850</v>
      </c>
      <c r="K2440">
        <v>3</v>
      </c>
      <c r="L2440">
        <v>13500</v>
      </c>
      <c r="M2440">
        <v>17550</v>
      </c>
      <c r="N2440" t="s">
        <v>28</v>
      </c>
      <c r="O2440">
        <f t="shared" si="76"/>
        <v>8450</v>
      </c>
      <c r="P2440" s="13">
        <f t="shared" si="77"/>
        <v>2865746</v>
      </c>
      <c r="Q2440" s="13">
        <f>SUMIFS(M:M,E:E,Online_eCommerce[[#This Row],[Status]])</f>
        <v>28340455</v>
      </c>
      <c r="R2440" s="13">
        <f>SUMIFS(L:L,H:H,Online_eCommerce[[#This Row],[Brand]])</f>
        <v>12435650</v>
      </c>
      <c r="S2440" s="13">
        <f>SUMIF(H:H,Online_eCommerce[[#This Row],[Brand]],M:M)</f>
        <v>16166345</v>
      </c>
      <c r="T2440" s="13">
        <f>SUMIF(N:N,Online_eCommerce[[#This Row],[Assigned Supervisor]],L:L)</f>
        <v>12220830</v>
      </c>
    </row>
    <row r="2441" spans="1:20" hidden="1" x14ac:dyDescent="0.3">
      <c r="A2441" t="s">
        <v>3644</v>
      </c>
      <c r="B2441" t="s">
        <v>235</v>
      </c>
      <c r="C2441" t="s">
        <v>38</v>
      </c>
      <c r="D2441" t="s">
        <v>3626</v>
      </c>
      <c r="E2441" t="s">
        <v>161</v>
      </c>
      <c r="F2441" t="s">
        <v>152</v>
      </c>
      <c r="G2441" t="s">
        <v>26</v>
      </c>
      <c r="H2441" t="s">
        <v>27</v>
      </c>
      <c r="I2441">
        <v>8500</v>
      </c>
      <c r="J2441">
        <v>11050</v>
      </c>
      <c r="K2441">
        <v>1</v>
      </c>
      <c r="L2441">
        <v>8500</v>
      </c>
      <c r="M2441">
        <v>11050</v>
      </c>
      <c r="N2441" t="s">
        <v>35</v>
      </c>
      <c r="O2441">
        <f t="shared" si="76"/>
        <v>33150</v>
      </c>
      <c r="P2441" s="13">
        <f t="shared" si="77"/>
        <v>1933997</v>
      </c>
      <c r="Q2441" s="13">
        <f>SUMIFS(M:M,E:E,Online_eCommerce[[#This Row],[Status]])</f>
        <v>21103186</v>
      </c>
      <c r="R2441" s="13">
        <f>SUMIFS(L:L,H:H,Online_eCommerce[[#This Row],[Brand]])</f>
        <v>14431000</v>
      </c>
      <c r="S2441" s="13">
        <f>SUMIF(H:H,Online_eCommerce[[#This Row],[Brand]],M:M)</f>
        <v>18760300</v>
      </c>
      <c r="T2441" s="13">
        <f>SUMIF(N:N,Online_eCommerce[[#This Row],[Assigned Supervisor]],L:L)</f>
        <v>14373360</v>
      </c>
    </row>
    <row r="2442" spans="1:20" x14ac:dyDescent="0.3">
      <c r="A2442" t="s">
        <v>3645</v>
      </c>
      <c r="B2442" t="s">
        <v>235</v>
      </c>
      <c r="C2442" t="s">
        <v>45</v>
      </c>
      <c r="D2442" t="s">
        <v>3626</v>
      </c>
      <c r="E2442" t="s">
        <v>46</v>
      </c>
      <c r="F2442" t="s">
        <v>157</v>
      </c>
      <c r="G2442" t="s">
        <v>33</v>
      </c>
      <c r="H2442" t="s">
        <v>34</v>
      </c>
      <c r="I2442">
        <v>12500</v>
      </c>
      <c r="J2442">
        <v>16250</v>
      </c>
      <c r="K2442">
        <v>2</v>
      </c>
      <c r="L2442">
        <v>25000</v>
      </c>
      <c r="M2442">
        <v>32500</v>
      </c>
      <c r="N2442" t="s">
        <v>42</v>
      </c>
      <c r="O2442">
        <f t="shared" si="76"/>
        <v>18200</v>
      </c>
      <c r="P2442" s="13">
        <f t="shared" si="77"/>
        <v>2842554</v>
      </c>
      <c r="Q2442" s="13">
        <f>SUMIFS(M:M,E:E,Online_eCommerce[[#This Row],[Status]])</f>
        <v>28620410</v>
      </c>
      <c r="R2442" s="13">
        <f>SUMIFS(L:L,H:H,Online_eCommerce[[#This Row],[Brand]])</f>
        <v>10087000</v>
      </c>
      <c r="S2442" s="13">
        <f>SUMIF(H:H,Online_eCommerce[[#This Row],[Brand]],M:M)</f>
        <v>13113100</v>
      </c>
      <c r="T2442" s="13">
        <f>SUMIF(N:N,Online_eCommerce[[#This Row],[Assigned Supervisor]],L:L)</f>
        <v>12261500</v>
      </c>
    </row>
    <row r="2443" spans="1:20" hidden="1" x14ac:dyDescent="0.3">
      <c r="A2443" t="s">
        <v>3646</v>
      </c>
      <c r="B2443" t="s">
        <v>202</v>
      </c>
      <c r="C2443" t="s">
        <v>52</v>
      </c>
      <c r="D2443" t="s">
        <v>3626</v>
      </c>
      <c r="E2443" t="s">
        <v>96</v>
      </c>
      <c r="F2443" t="s">
        <v>3309</v>
      </c>
      <c r="G2443" t="s">
        <v>40</v>
      </c>
      <c r="H2443" t="s">
        <v>41</v>
      </c>
      <c r="I2443">
        <v>3500</v>
      </c>
      <c r="J2443">
        <v>4550</v>
      </c>
      <c r="K2443">
        <v>1</v>
      </c>
      <c r="L2443">
        <v>3500</v>
      </c>
      <c r="M2443">
        <v>4550</v>
      </c>
      <c r="N2443" t="s">
        <v>50</v>
      </c>
      <c r="O2443">
        <f t="shared" si="76"/>
        <v>25545</v>
      </c>
      <c r="P2443" s="13">
        <f t="shared" si="77"/>
        <v>1955044</v>
      </c>
      <c r="Q2443" s="13">
        <f>SUMIFS(M:M,E:E,Online_eCommerce[[#This Row],[Status]])</f>
        <v>21233992</v>
      </c>
      <c r="R2443" s="13">
        <f>SUMIFS(L:L,H:H,Online_eCommerce[[#This Row],[Brand]])</f>
        <v>4260400</v>
      </c>
      <c r="S2443" s="13">
        <f>SUMIF(H:H,Online_eCommerce[[#This Row],[Brand]],M:M)</f>
        <v>5538520</v>
      </c>
      <c r="T2443" s="13">
        <f>SUMIF(N:N,Online_eCommerce[[#This Row],[Assigned Supervisor]],L:L)</f>
        <v>12100590</v>
      </c>
    </row>
    <row r="2444" spans="1:20" hidden="1" x14ac:dyDescent="0.3">
      <c r="A2444" t="s">
        <v>3647</v>
      </c>
      <c r="B2444" t="s">
        <v>30</v>
      </c>
      <c r="C2444" t="s">
        <v>58</v>
      </c>
      <c r="D2444" t="s">
        <v>3626</v>
      </c>
      <c r="E2444" t="s">
        <v>18</v>
      </c>
      <c r="F2444" t="s">
        <v>166</v>
      </c>
      <c r="G2444" t="s">
        <v>334</v>
      </c>
      <c r="H2444" t="s">
        <v>49</v>
      </c>
      <c r="I2444">
        <v>4500</v>
      </c>
      <c r="J2444">
        <v>5850</v>
      </c>
      <c r="K2444">
        <v>1</v>
      </c>
      <c r="L2444">
        <v>4500</v>
      </c>
      <c r="M2444">
        <v>5850</v>
      </c>
      <c r="N2444" t="s">
        <v>56</v>
      </c>
      <c r="O2444">
        <f t="shared" si="76"/>
        <v>39780</v>
      </c>
      <c r="P2444" s="13">
        <f t="shared" si="77"/>
        <v>2629211</v>
      </c>
      <c r="Q2444" s="13">
        <f>SUMIFS(M:M,E:E,Online_eCommerce[[#This Row],[Status]])</f>
        <v>28340455</v>
      </c>
      <c r="R2444" s="13">
        <f>SUMIFS(L:L,H:H,Online_eCommerce[[#This Row],[Brand]])</f>
        <v>4528350</v>
      </c>
      <c r="S2444" s="13">
        <f>SUMIF(H:H,Online_eCommerce[[#This Row],[Brand]],M:M)</f>
        <v>5886855</v>
      </c>
      <c r="T2444" s="13">
        <f>SUMIF(N:N,Online_eCommerce[[#This Row],[Assigned Supervisor]],L:L)</f>
        <v>11733610</v>
      </c>
    </row>
    <row r="2445" spans="1:20" hidden="1" x14ac:dyDescent="0.3">
      <c r="A2445" t="s">
        <v>3648</v>
      </c>
      <c r="B2445" t="s">
        <v>37</v>
      </c>
      <c r="C2445" t="s">
        <v>63</v>
      </c>
      <c r="D2445" t="s">
        <v>3626</v>
      </c>
      <c r="E2445" t="s">
        <v>161</v>
      </c>
      <c r="F2445" t="s">
        <v>3649</v>
      </c>
      <c r="G2445" t="s">
        <v>54</v>
      </c>
      <c r="H2445" t="s">
        <v>55</v>
      </c>
      <c r="I2445">
        <v>2100</v>
      </c>
      <c r="J2445">
        <v>2730</v>
      </c>
      <c r="K2445">
        <v>2</v>
      </c>
      <c r="L2445">
        <v>4200</v>
      </c>
      <c r="M2445">
        <v>5460</v>
      </c>
      <c r="N2445" t="s">
        <v>22</v>
      </c>
      <c r="O2445">
        <f t="shared" si="76"/>
        <v>2990</v>
      </c>
      <c r="P2445" s="13">
        <f t="shared" si="77"/>
        <v>2016131</v>
      </c>
      <c r="Q2445" s="13">
        <f>SUMIFS(M:M,E:E,Online_eCommerce[[#This Row],[Status]])</f>
        <v>21103186</v>
      </c>
      <c r="R2445" s="13">
        <f>SUMIFS(L:L,H:H,Online_eCommerce[[#This Row],[Brand]])</f>
        <v>2267380</v>
      </c>
      <c r="S2445" s="13">
        <f>SUMIF(H:H,Online_eCommerce[[#This Row],[Brand]],M:M)</f>
        <v>2947594</v>
      </c>
      <c r="T2445" s="13">
        <f>SUMIF(N:N,Online_eCommerce[[#This Row],[Assigned Supervisor]],L:L)</f>
        <v>13693220</v>
      </c>
    </row>
    <row r="2446" spans="1:20" x14ac:dyDescent="0.3">
      <c r="A2446" t="s">
        <v>3650</v>
      </c>
      <c r="B2446" t="s">
        <v>44</v>
      </c>
      <c r="C2446" t="s">
        <v>68</v>
      </c>
      <c r="D2446" t="s">
        <v>3626</v>
      </c>
      <c r="E2446" t="s">
        <v>46</v>
      </c>
      <c r="F2446" t="s">
        <v>174</v>
      </c>
      <c r="G2446" t="s">
        <v>60</v>
      </c>
      <c r="H2446" t="s">
        <v>61</v>
      </c>
      <c r="I2446">
        <v>1150</v>
      </c>
      <c r="J2446">
        <v>1495</v>
      </c>
      <c r="K2446">
        <v>4</v>
      </c>
      <c r="L2446">
        <v>4600</v>
      </c>
      <c r="M2446">
        <v>5980</v>
      </c>
      <c r="N2446" t="s">
        <v>28</v>
      </c>
      <c r="O2446">
        <f t="shared" si="76"/>
        <v>3315</v>
      </c>
      <c r="P2446" s="13">
        <f t="shared" si="77"/>
        <v>2974621</v>
      </c>
      <c r="Q2446" s="13">
        <f>SUMIFS(M:M,E:E,Online_eCommerce[[#This Row],[Status]])</f>
        <v>28620410</v>
      </c>
      <c r="R2446" s="13">
        <f>SUMIFS(L:L,H:H,Online_eCommerce[[#This Row],[Brand]])</f>
        <v>10950150</v>
      </c>
      <c r="S2446" s="13">
        <f>SUMIF(H:H,Online_eCommerce[[#This Row],[Brand]],M:M)</f>
        <v>14235195</v>
      </c>
      <c r="T2446" s="13">
        <f>SUMIF(N:N,Online_eCommerce[[#This Row],[Assigned Supervisor]],L:L)</f>
        <v>12220830</v>
      </c>
    </row>
    <row r="2447" spans="1:20" hidden="1" x14ac:dyDescent="0.3">
      <c r="A2447" t="s">
        <v>3651</v>
      </c>
      <c r="B2447" t="s">
        <v>213</v>
      </c>
      <c r="C2447" t="s">
        <v>74</v>
      </c>
      <c r="D2447" t="s">
        <v>3626</v>
      </c>
      <c r="E2447" t="s">
        <v>96</v>
      </c>
      <c r="F2447" t="s">
        <v>179</v>
      </c>
      <c r="G2447" t="s">
        <v>66</v>
      </c>
      <c r="H2447" t="s">
        <v>21</v>
      </c>
      <c r="I2447">
        <v>350</v>
      </c>
      <c r="J2447">
        <v>455</v>
      </c>
      <c r="K2447">
        <v>3</v>
      </c>
      <c r="L2447">
        <v>1050</v>
      </c>
      <c r="M2447">
        <v>1365</v>
      </c>
      <c r="N2447" t="s">
        <v>35</v>
      </c>
      <c r="O2447">
        <f t="shared" si="76"/>
        <v>1690</v>
      </c>
      <c r="P2447" s="13">
        <f t="shared" si="77"/>
        <v>2144701</v>
      </c>
      <c r="Q2447" s="13">
        <f>SUMIFS(M:M,E:E,Online_eCommerce[[#This Row],[Status]])</f>
        <v>21233992</v>
      </c>
      <c r="R2447" s="13">
        <f>SUMIFS(L:L,H:H,Online_eCommerce[[#This Row],[Brand]])</f>
        <v>12435650</v>
      </c>
      <c r="S2447" s="13">
        <f>SUMIF(H:H,Online_eCommerce[[#This Row],[Brand]],M:M)</f>
        <v>16166345</v>
      </c>
      <c r="T2447" s="13">
        <f>SUMIF(N:N,Online_eCommerce[[#This Row],[Assigned Supervisor]],L:L)</f>
        <v>14373360</v>
      </c>
    </row>
    <row r="2448" spans="1:20" hidden="1" x14ac:dyDescent="0.3">
      <c r="A2448" t="s">
        <v>3652</v>
      </c>
      <c r="B2448" t="s">
        <v>215</v>
      </c>
      <c r="C2448" t="s">
        <v>81</v>
      </c>
      <c r="D2448" t="s">
        <v>3626</v>
      </c>
      <c r="E2448" t="s">
        <v>18</v>
      </c>
      <c r="F2448" t="s">
        <v>183</v>
      </c>
      <c r="G2448" t="s">
        <v>71</v>
      </c>
      <c r="H2448" t="s">
        <v>61</v>
      </c>
      <c r="I2448">
        <v>9500</v>
      </c>
      <c r="J2448">
        <v>12350</v>
      </c>
      <c r="K2448">
        <v>2</v>
      </c>
      <c r="L2448">
        <v>19000</v>
      </c>
      <c r="M2448">
        <v>24700</v>
      </c>
      <c r="N2448" t="s">
        <v>42</v>
      </c>
      <c r="O2448">
        <f t="shared" si="76"/>
        <v>9750</v>
      </c>
      <c r="P2448" s="13">
        <f t="shared" si="77"/>
        <v>2595632</v>
      </c>
      <c r="Q2448" s="13">
        <f>SUMIFS(M:M,E:E,Online_eCommerce[[#This Row],[Status]])</f>
        <v>28340455</v>
      </c>
      <c r="R2448" s="13">
        <f>SUMIFS(L:L,H:H,Online_eCommerce[[#This Row],[Brand]])</f>
        <v>10950150</v>
      </c>
      <c r="S2448" s="13">
        <f>SUMIF(H:H,Online_eCommerce[[#This Row],[Brand]],M:M)</f>
        <v>14235195</v>
      </c>
      <c r="T2448" s="13">
        <f>SUMIF(N:N,Online_eCommerce[[#This Row],[Assigned Supervisor]],L:L)</f>
        <v>12261500</v>
      </c>
    </row>
    <row r="2449" spans="1:20" hidden="1" x14ac:dyDescent="0.3">
      <c r="A2449" t="s">
        <v>3653</v>
      </c>
      <c r="B2449" t="s">
        <v>306</v>
      </c>
      <c r="C2449" t="s">
        <v>86</v>
      </c>
      <c r="D2449" t="s">
        <v>3626</v>
      </c>
      <c r="E2449" t="s">
        <v>161</v>
      </c>
      <c r="F2449" t="s">
        <v>3654</v>
      </c>
      <c r="G2449" t="s">
        <v>77</v>
      </c>
      <c r="H2449" t="s">
        <v>142</v>
      </c>
      <c r="I2449">
        <v>10000</v>
      </c>
      <c r="J2449">
        <v>13000</v>
      </c>
      <c r="K2449">
        <v>4</v>
      </c>
      <c r="L2449">
        <v>40000</v>
      </c>
      <c r="M2449">
        <v>52000</v>
      </c>
      <c r="N2449" t="s">
        <v>50</v>
      </c>
      <c r="O2449">
        <f t="shared" si="76"/>
        <v>39000</v>
      </c>
      <c r="P2449" s="13">
        <f t="shared" si="77"/>
        <v>1941225</v>
      </c>
      <c r="Q2449" s="13">
        <f>SUMIFS(M:M,E:E,Online_eCommerce[[#This Row],[Status]])</f>
        <v>21103186</v>
      </c>
      <c r="R2449" s="13">
        <f>SUMIFS(L:L,H:H,Online_eCommerce[[#This Row],[Brand]])</f>
        <v>6192500</v>
      </c>
      <c r="S2449" s="13">
        <f>SUMIF(H:H,Online_eCommerce[[#This Row],[Brand]],M:M)</f>
        <v>8050250</v>
      </c>
      <c r="T2449" s="13">
        <f>SUMIF(N:N,Online_eCommerce[[#This Row],[Assigned Supervisor]],L:L)</f>
        <v>12100590</v>
      </c>
    </row>
    <row r="2450" spans="1:20" x14ac:dyDescent="0.3">
      <c r="A2450" t="s">
        <v>3655</v>
      </c>
      <c r="B2450" t="s">
        <v>528</v>
      </c>
      <c r="C2450" t="s">
        <v>91</v>
      </c>
      <c r="D2450" t="s">
        <v>3626</v>
      </c>
      <c r="E2450" t="s">
        <v>46</v>
      </c>
      <c r="F2450" t="s">
        <v>3656</v>
      </c>
      <c r="G2450" t="s">
        <v>20</v>
      </c>
      <c r="H2450" t="s">
        <v>21</v>
      </c>
      <c r="I2450">
        <v>6500</v>
      </c>
      <c r="J2450">
        <v>8450</v>
      </c>
      <c r="K2450">
        <v>3</v>
      </c>
      <c r="L2450">
        <v>19500</v>
      </c>
      <c r="M2450">
        <v>25350</v>
      </c>
      <c r="N2450" t="s">
        <v>56</v>
      </c>
      <c r="O2450">
        <f t="shared" si="76"/>
        <v>8450</v>
      </c>
      <c r="P2450" s="13">
        <f t="shared" si="77"/>
        <v>2731963</v>
      </c>
      <c r="Q2450" s="13">
        <f>SUMIFS(M:M,E:E,Online_eCommerce[[#This Row],[Status]])</f>
        <v>28620410</v>
      </c>
      <c r="R2450" s="13">
        <f>SUMIFS(L:L,H:H,Online_eCommerce[[#This Row],[Brand]])</f>
        <v>12435650</v>
      </c>
      <c r="S2450" s="13">
        <f>SUMIF(H:H,Online_eCommerce[[#This Row],[Brand]],M:M)</f>
        <v>16166345</v>
      </c>
      <c r="T2450" s="13">
        <f>SUMIF(N:N,Online_eCommerce[[#This Row],[Assigned Supervisor]],L:L)</f>
        <v>11733610</v>
      </c>
    </row>
    <row r="2451" spans="1:20" hidden="1" x14ac:dyDescent="0.3">
      <c r="A2451" t="s">
        <v>3657</v>
      </c>
      <c r="B2451" t="s">
        <v>73</v>
      </c>
      <c r="C2451" t="s">
        <v>94</v>
      </c>
      <c r="D2451" t="s">
        <v>3626</v>
      </c>
      <c r="E2451" t="s">
        <v>96</v>
      </c>
      <c r="F2451" t="s">
        <v>3658</v>
      </c>
      <c r="G2451" t="s">
        <v>26</v>
      </c>
      <c r="H2451" t="s">
        <v>27</v>
      </c>
      <c r="I2451">
        <v>8500</v>
      </c>
      <c r="J2451">
        <v>11050</v>
      </c>
      <c r="K2451">
        <v>2</v>
      </c>
      <c r="L2451">
        <v>17000</v>
      </c>
      <c r="M2451">
        <v>22100</v>
      </c>
      <c r="N2451" t="s">
        <v>22</v>
      </c>
      <c r="O2451">
        <f t="shared" si="76"/>
        <v>33150</v>
      </c>
      <c r="P2451" s="13">
        <f t="shared" si="77"/>
        <v>1868256</v>
      </c>
      <c r="Q2451" s="13">
        <f>SUMIFS(M:M,E:E,Online_eCommerce[[#This Row],[Status]])</f>
        <v>21233992</v>
      </c>
      <c r="R2451" s="13">
        <f>SUMIFS(L:L,H:H,Online_eCommerce[[#This Row],[Brand]])</f>
        <v>14431000</v>
      </c>
      <c r="S2451" s="13">
        <f>SUMIF(H:H,Online_eCommerce[[#This Row],[Brand]],M:M)</f>
        <v>18760300</v>
      </c>
      <c r="T2451" s="13">
        <f>SUMIF(N:N,Online_eCommerce[[#This Row],[Assigned Supervisor]],L:L)</f>
        <v>13693220</v>
      </c>
    </row>
    <row r="2452" spans="1:20" hidden="1" x14ac:dyDescent="0.3">
      <c r="A2452" t="s">
        <v>3659</v>
      </c>
      <c r="B2452" t="s">
        <v>80</v>
      </c>
      <c r="C2452" t="s">
        <v>99</v>
      </c>
      <c r="D2452" t="s">
        <v>3626</v>
      </c>
      <c r="E2452" t="s">
        <v>18</v>
      </c>
      <c r="F2452" t="s">
        <v>32</v>
      </c>
      <c r="G2452" t="s">
        <v>33</v>
      </c>
      <c r="H2452" t="s">
        <v>34</v>
      </c>
      <c r="I2452">
        <v>7000</v>
      </c>
      <c r="J2452">
        <v>9100</v>
      </c>
      <c r="K2452">
        <v>3</v>
      </c>
      <c r="L2452">
        <v>21000</v>
      </c>
      <c r="M2452">
        <v>27300</v>
      </c>
      <c r="N2452" t="s">
        <v>28</v>
      </c>
      <c r="O2452">
        <f t="shared" si="76"/>
        <v>18200</v>
      </c>
      <c r="P2452" s="13">
        <f t="shared" si="77"/>
        <v>2651233</v>
      </c>
      <c r="Q2452" s="13">
        <f>SUMIFS(M:M,E:E,Online_eCommerce[[#This Row],[Status]])</f>
        <v>28340455</v>
      </c>
      <c r="R2452" s="13">
        <f>SUMIFS(L:L,H:H,Online_eCommerce[[#This Row],[Brand]])</f>
        <v>10087000</v>
      </c>
      <c r="S2452" s="13">
        <f>SUMIF(H:H,Online_eCommerce[[#This Row],[Brand]],M:M)</f>
        <v>13113100</v>
      </c>
      <c r="T2452" s="13">
        <f>SUMIF(N:N,Online_eCommerce[[#This Row],[Assigned Supervisor]],L:L)</f>
        <v>12220830</v>
      </c>
    </row>
    <row r="2453" spans="1:20" hidden="1" x14ac:dyDescent="0.3">
      <c r="A2453" t="s">
        <v>3660</v>
      </c>
      <c r="B2453" t="s">
        <v>85</v>
      </c>
      <c r="C2453" t="s">
        <v>105</v>
      </c>
      <c r="D2453" t="s">
        <v>3626</v>
      </c>
      <c r="E2453" t="s">
        <v>161</v>
      </c>
      <c r="F2453" t="s">
        <v>3661</v>
      </c>
      <c r="G2453" t="s">
        <v>40</v>
      </c>
      <c r="H2453" t="s">
        <v>41</v>
      </c>
      <c r="I2453">
        <v>6550</v>
      </c>
      <c r="J2453">
        <v>8515</v>
      </c>
      <c r="K2453">
        <v>4</v>
      </c>
      <c r="L2453">
        <v>26200</v>
      </c>
      <c r="M2453">
        <v>34060</v>
      </c>
      <c r="N2453" t="s">
        <v>35</v>
      </c>
      <c r="O2453">
        <f t="shared" si="76"/>
        <v>25545</v>
      </c>
      <c r="P2453" s="13">
        <f t="shared" si="77"/>
        <v>1866852</v>
      </c>
      <c r="Q2453" s="13">
        <f>SUMIFS(M:M,E:E,Online_eCommerce[[#This Row],[Status]])</f>
        <v>21103186</v>
      </c>
      <c r="R2453" s="13">
        <f>SUMIFS(L:L,H:H,Online_eCommerce[[#This Row],[Brand]])</f>
        <v>4260400</v>
      </c>
      <c r="S2453" s="13">
        <f>SUMIF(H:H,Online_eCommerce[[#This Row],[Brand]],M:M)</f>
        <v>5538520</v>
      </c>
      <c r="T2453" s="13">
        <f>SUMIF(N:N,Online_eCommerce[[#This Row],[Assigned Supervisor]],L:L)</f>
        <v>14373360</v>
      </c>
    </row>
    <row r="2454" spans="1:20" x14ac:dyDescent="0.3">
      <c r="A2454" t="s">
        <v>3662</v>
      </c>
      <c r="B2454" t="s">
        <v>90</v>
      </c>
      <c r="C2454" t="s">
        <v>110</v>
      </c>
      <c r="D2454" t="s">
        <v>3626</v>
      </c>
      <c r="E2454" t="s">
        <v>46</v>
      </c>
      <c r="F2454" t="s">
        <v>47</v>
      </c>
      <c r="G2454" t="s">
        <v>334</v>
      </c>
      <c r="H2454" t="s">
        <v>49</v>
      </c>
      <c r="I2454">
        <v>7650</v>
      </c>
      <c r="J2454">
        <v>9945</v>
      </c>
      <c r="K2454">
        <v>2</v>
      </c>
      <c r="L2454">
        <v>15300</v>
      </c>
      <c r="M2454">
        <v>19890</v>
      </c>
      <c r="N2454" t="s">
        <v>42</v>
      </c>
      <c r="O2454">
        <f t="shared" si="76"/>
        <v>39780</v>
      </c>
      <c r="P2454" s="13">
        <f t="shared" si="77"/>
        <v>2598635</v>
      </c>
      <c r="Q2454" s="13">
        <f>SUMIFS(M:M,E:E,Online_eCommerce[[#This Row],[Status]])</f>
        <v>28620410</v>
      </c>
      <c r="R2454" s="13">
        <f>SUMIFS(L:L,H:H,Online_eCommerce[[#This Row],[Brand]])</f>
        <v>4528350</v>
      </c>
      <c r="S2454" s="13">
        <f>SUMIF(H:H,Online_eCommerce[[#This Row],[Brand]],M:M)</f>
        <v>5886855</v>
      </c>
      <c r="T2454" s="13">
        <f>SUMIF(N:N,Online_eCommerce[[#This Row],[Assigned Supervisor]],L:L)</f>
        <v>12261500</v>
      </c>
    </row>
    <row r="2455" spans="1:20" hidden="1" x14ac:dyDescent="0.3">
      <c r="A2455" t="s">
        <v>3663</v>
      </c>
      <c r="B2455" t="s">
        <v>232</v>
      </c>
      <c r="C2455" t="s">
        <v>115</v>
      </c>
      <c r="D2455" t="s">
        <v>3626</v>
      </c>
      <c r="E2455" t="s">
        <v>96</v>
      </c>
      <c r="F2455" t="s">
        <v>53</v>
      </c>
      <c r="G2455" t="s">
        <v>54</v>
      </c>
      <c r="H2455" t="s">
        <v>55</v>
      </c>
      <c r="I2455">
        <v>1150</v>
      </c>
      <c r="J2455">
        <v>1495</v>
      </c>
      <c r="K2455">
        <v>3</v>
      </c>
      <c r="L2455">
        <v>3450</v>
      </c>
      <c r="M2455">
        <v>4485</v>
      </c>
      <c r="N2455" t="s">
        <v>50</v>
      </c>
      <c r="O2455">
        <f t="shared" si="76"/>
        <v>2990</v>
      </c>
      <c r="P2455" s="13">
        <f t="shared" si="77"/>
        <v>2050178</v>
      </c>
      <c r="Q2455" s="13">
        <f>SUMIFS(M:M,E:E,Online_eCommerce[[#This Row],[Status]])</f>
        <v>21233992</v>
      </c>
      <c r="R2455" s="13">
        <f>SUMIFS(L:L,H:H,Online_eCommerce[[#This Row],[Brand]])</f>
        <v>2267380</v>
      </c>
      <c r="S2455" s="13">
        <f>SUMIF(H:H,Online_eCommerce[[#This Row],[Brand]],M:M)</f>
        <v>2947594</v>
      </c>
      <c r="T2455" s="13">
        <f>SUMIF(N:N,Online_eCommerce[[#This Row],[Assigned Supervisor]],L:L)</f>
        <v>12100590</v>
      </c>
    </row>
    <row r="2456" spans="1:20" hidden="1" x14ac:dyDescent="0.3">
      <c r="A2456" t="s">
        <v>3664</v>
      </c>
      <c r="B2456" t="s">
        <v>235</v>
      </c>
      <c r="C2456" t="s">
        <v>120</v>
      </c>
      <c r="D2456" t="s">
        <v>3626</v>
      </c>
      <c r="E2456" t="s">
        <v>18</v>
      </c>
      <c r="F2456" t="s">
        <v>59</v>
      </c>
      <c r="G2456" t="s">
        <v>60</v>
      </c>
      <c r="H2456" t="s">
        <v>61</v>
      </c>
      <c r="I2456">
        <v>850</v>
      </c>
      <c r="J2456">
        <v>1105</v>
      </c>
      <c r="K2456">
        <v>3</v>
      </c>
      <c r="L2456">
        <v>2550</v>
      </c>
      <c r="M2456">
        <v>3315</v>
      </c>
      <c r="N2456" t="s">
        <v>56</v>
      </c>
      <c r="O2456">
        <f t="shared" si="76"/>
        <v>3315</v>
      </c>
      <c r="P2456" s="13">
        <f t="shared" si="77"/>
        <v>2734212</v>
      </c>
      <c r="Q2456" s="13">
        <f>SUMIFS(M:M,E:E,Online_eCommerce[[#This Row],[Status]])</f>
        <v>28340455</v>
      </c>
      <c r="R2456" s="13">
        <f>SUMIFS(L:L,H:H,Online_eCommerce[[#This Row],[Brand]])</f>
        <v>10950150</v>
      </c>
      <c r="S2456" s="13">
        <f>SUMIF(H:H,Online_eCommerce[[#This Row],[Brand]],M:M)</f>
        <v>14235195</v>
      </c>
      <c r="T2456" s="13">
        <f>SUMIF(N:N,Online_eCommerce[[#This Row],[Assigned Supervisor]],L:L)</f>
        <v>11733610</v>
      </c>
    </row>
    <row r="2457" spans="1:20" hidden="1" x14ac:dyDescent="0.3">
      <c r="A2457" t="s">
        <v>3665</v>
      </c>
      <c r="B2457" t="s">
        <v>104</v>
      </c>
      <c r="C2457" t="s">
        <v>125</v>
      </c>
      <c r="D2457" t="s">
        <v>3626</v>
      </c>
      <c r="E2457" t="s">
        <v>161</v>
      </c>
      <c r="F2457" t="s">
        <v>65</v>
      </c>
      <c r="G2457" t="s">
        <v>66</v>
      </c>
      <c r="H2457" t="s">
        <v>21</v>
      </c>
      <c r="I2457">
        <v>650</v>
      </c>
      <c r="J2457">
        <v>845</v>
      </c>
      <c r="K2457">
        <v>4</v>
      </c>
      <c r="L2457">
        <v>2600</v>
      </c>
      <c r="M2457">
        <v>3380</v>
      </c>
      <c r="N2457" t="s">
        <v>22</v>
      </c>
      <c r="O2457">
        <f t="shared" si="76"/>
        <v>1690</v>
      </c>
      <c r="P2457" s="13">
        <f t="shared" si="77"/>
        <v>2091154</v>
      </c>
      <c r="Q2457" s="13">
        <f>SUMIFS(M:M,E:E,Online_eCommerce[[#This Row],[Status]])</f>
        <v>21103186</v>
      </c>
      <c r="R2457" s="13">
        <f>SUMIFS(L:L,H:H,Online_eCommerce[[#This Row],[Brand]])</f>
        <v>12435650</v>
      </c>
      <c r="S2457" s="13">
        <f>SUMIF(H:H,Online_eCommerce[[#This Row],[Brand]],M:M)</f>
        <v>16166345</v>
      </c>
      <c r="T2457" s="13">
        <f>SUMIF(N:N,Online_eCommerce[[#This Row],[Assigned Supervisor]],L:L)</f>
        <v>13693220</v>
      </c>
    </row>
    <row r="2458" spans="1:20" x14ac:dyDescent="0.3">
      <c r="A2458" t="s">
        <v>3666</v>
      </c>
      <c r="B2458" t="s">
        <v>109</v>
      </c>
      <c r="C2458" t="s">
        <v>22</v>
      </c>
      <c r="D2458" t="s">
        <v>3626</v>
      </c>
      <c r="E2458" t="s">
        <v>46</v>
      </c>
      <c r="F2458" t="s">
        <v>70</v>
      </c>
      <c r="G2458" t="s">
        <v>71</v>
      </c>
      <c r="H2458" t="s">
        <v>61</v>
      </c>
      <c r="I2458">
        <v>7500</v>
      </c>
      <c r="J2458">
        <v>9750</v>
      </c>
      <c r="K2458">
        <v>2</v>
      </c>
      <c r="L2458">
        <v>15000</v>
      </c>
      <c r="M2458">
        <v>19500</v>
      </c>
      <c r="N2458" t="s">
        <v>28</v>
      </c>
      <c r="O2458">
        <f t="shared" si="76"/>
        <v>9750</v>
      </c>
      <c r="P2458" s="13">
        <f t="shared" si="77"/>
        <v>2551588</v>
      </c>
      <c r="Q2458" s="13">
        <f>SUMIFS(M:M,E:E,Online_eCommerce[[#This Row],[Status]])</f>
        <v>28620410</v>
      </c>
      <c r="R2458" s="13">
        <f>SUMIFS(L:L,H:H,Online_eCommerce[[#This Row],[Brand]])</f>
        <v>10950150</v>
      </c>
      <c r="S2458" s="13">
        <f>SUMIF(H:H,Online_eCommerce[[#This Row],[Brand]],M:M)</f>
        <v>14235195</v>
      </c>
      <c r="T2458" s="13">
        <f>SUMIF(N:N,Online_eCommerce[[#This Row],[Assigned Supervisor]],L:L)</f>
        <v>12220830</v>
      </c>
    </row>
    <row r="2459" spans="1:20" hidden="1" x14ac:dyDescent="0.3">
      <c r="A2459" t="s">
        <v>3667</v>
      </c>
      <c r="B2459" t="s">
        <v>114</v>
      </c>
      <c r="C2459" t="s">
        <v>132</v>
      </c>
      <c r="D2459" t="s">
        <v>3626</v>
      </c>
      <c r="E2459" t="s">
        <v>96</v>
      </c>
      <c r="F2459" t="s">
        <v>3654</v>
      </c>
      <c r="G2459" t="s">
        <v>77</v>
      </c>
      <c r="H2459" t="s">
        <v>78</v>
      </c>
      <c r="I2459">
        <v>10000</v>
      </c>
      <c r="J2459">
        <v>13000</v>
      </c>
      <c r="K2459">
        <v>4</v>
      </c>
      <c r="L2459">
        <v>40000</v>
      </c>
      <c r="M2459">
        <v>52000</v>
      </c>
      <c r="N2459" t="s">
        <v>35</v>
      </c>
      <c r="O2459">
        <f t="shared" si="76"/>
        <v>39000</v>
      </c>
      <c r="P2459" s="13">
        <f t="shared" si="77"/>
        <v>1989065</v>
      </c>
      <c r="Q2459" s="13">
        <f>SUMIFS(M:M,E:E,Online_eCommerce[[#This Row],[Status]])</f>
        <v>21233992</v>
      </c>
      <c r="R2459" s="13">
        <f>SUMIFS(L:L,H:H,Online_eCommerce[[#This Row],[Brand]])</f>
        <v>3720000</v>
      </c>
      <c r="S2459" s="13">
        <f>SUMIF(H:H,Online_eCommerce[[#This Row],[Brand]],M:M)</f>
        <v>4836000</v>
      </c>
      <c r="T2459" s="13">
        <f>SUMIF(N:N,Online_eCommerce[[#This Row],[Assigned Supervisor]],L:L)</f>
        <v>14373360</v>
      </c>
    </row>
    <row r="2460" spans="1:20" hidden="1" x14ac:dyDescent="0.3">
      <c r="A2460" t="s">
        <v>3668</v>
      </c>
      <c r="B2460" t="s">
        <v>119</v>
      </c>
      <c r="C2460" t="s">
        <v>136</v>
      </c>
      <c r="D2460" t="s">
        <v>3626</v>
      </c>
      <c r="E2460" t="s">
        <v>18</v>
      </c>
      <c r="F2460" t="s">
        <v>3669</v>
      </c>
      <c r="G2460" t="s">
        <v>20</v>
      </c>
      <c r="H2460" t="s">
        <v>21</v>
      </c>
      <c r="I2460">
        <v>10500</v>
      </c>
      <c r="J2460">
        <v>13650</v>
      </c>
      <c r="K2460">
        <v>2</v>
      </c>
      <c r="L2460">
        <v>21000</v>
      </c>
      <c r="M2460">
        <v>27300</v>
      </c>
      <c r="N2460" t="s">
        <v>42</v>
      </c>
      <c r="O2460">
        <f t="shared" si="76"/>
        <v>8450</v>
      </c>
      <c r="P2460" s="13">
        <f t="shared" si="77"/>
        <v>2775162</v>
      </c>
      <c r="Q2460" s="13">
        <f>SUMIFS(M:M,E:E,Online_eCommerce[[#This Row],[Status]])</f>
        <v>28340455</v>
      </c>
      <c r="R2460" s="13">
        <f>SUMIFS(L:L,H:H,Online_eCommerce[[#This Row],[Brand]])</f>
        <v>12435650</v>
      </c>
      <c r="S2460" s="13">
        <f>SUMIF(H:H,Online_eCommerce[[#This Row],[Brand]],M:M)</f>
        <v>16166345</v>
      </c>
      <c r="T2460" s="13">
        <f>SUMIF(N:N,Online_eCommerce[[#This Row],[Assigned Supervisor]],L:L)</f>
        <v>12261500</v>
      </c>
    </row>
    <row r="2461" spans="1:20" hidden="1" x14ac:dyDescent="0.3">
      <c r="A2461" t="s">
        <v>3670</v>
      </c>
      <c r="B2461" t="s">
        <v>124</v>
      </c>
      <c r="C2461" t="s">
        <v>140</v>
      </c>
      <c r="D2461" t="s">
        <v>3626</v>
      </c>
      <c r="E2461" t="s">
        <v>161</v>
      </c>
      <c r="F2461" t="s">
        <v>88</v>
      </c>
      <c r="G2461" t="s">
        <v>26</v>
      </c>
      <c r="H2461" t="s">
        <v>27</v>
      </c>
      <c r="I2461">
        <v>8500</v>
      </c>
      <c r="J2461">
        <v>11050</v>
      </c>
      <c r="K2461">
        <v>3</v>
      </c>
      <c r="L2461">
        <v>25500</v>
      </c>
      <c r="M2461">
        <v>33150</v>
      </c>
      <c r="N2461" t="s">
        <v>50</v>
      </c>
      <c r="O2461">
        <f t="shared" si="76"/>
        <v>33150</v>
      </c>
      <c r="P2461" s="13">
        <f t="shared" si="77"/>
        <v>2058264</v>
      </c>
      <c r="Q2461" s="13">
        <f>SUMIFS(M:M,E:E,Online_eCommerce[[#This Row],[Status]])</f>
        <v>21103186</v>
      </c>
      <c r="R2461" s="13">
        <f>SUMIFS(L:L,H:H,Online_eCommerce[[#This Row],[Brand]])</f>
        <v>14431000</v>
      </c>
      <c r="S2461" s="13">
        <f>SUMIF(H:H,Online_eCommerce[[#This Row],[Brand]],M:M)</f>
        <v>18760300</v>
      </c>
      <c r="T2461" s="13">
        <f>SUMIF(N:N,Online_eCommerce[[#This Row],[Assigned Supervisor]],L:L)</f>
        <v>12100590</v>
      </c>
    </row>
    <row r="2462" spans="1:20" x14ac:dyDescent="0.3">
      <c r="A2462" t="s">
        <v>3671</v>
      </c>
      <c r="B2462" t="s">
        <v>128</v>
      </c>
      <c r="C2462" t="s">
        <v>145</v>
      </c>
      <c r="D2462" t="s">
        <v>3626</v>
      </c>
      <c r="E2462" t="s">
        <v>46</v>
      </c>
      <c r="F2462" t="s">
        <v>32</v>
      </c>
      <c r="G2462" t="s">
        <v>33</v>
      </c>
      <c r="H2462" t="s">
        <v>34</v>
      </c>
      <c r="I2462">
        <v>7000</v>
      </c>
      <c r="J2462">
        <v>9100</v>
      </c>
      <c r="K2462">
        <v>2</v>
      </c>
      <c r="L2462">
        <v>14000</v>
      </c>
      <c r="M2462">
        <v>18200</v>
      </c>
      <c r="N2462" t="s">
        <v>56</v>
      </c>
      <c r="O2462">
        <f t="shared" si="76"/>
        <v>18200</v>
      </c>
      <c r="P2462" s="13">
        <f t="shared" si="77"/>
        <v>2757859</v>
      </c>
      <c r="Q2462" s="13">
        <f>SUMIFS(M:M,E:E,Online_eCommerce[[#This Row],[Status]])</f>
        <v>28620410</v>
      </c>
      <c r="R2462" s="13">
        <f>SUMIFS(L:L,H:H,Online_eCommerce[[#This Row],[Brand]])</f>
        <v>10087000</v>
      </c>
      <c r="S2462" s="13">
        <f>SUMIF(H:H,Online_eCommerce[[#This Row],[Brand]],M:M)</f>
        <v>13113100</v>
      </c>
      <c r="T2462" s="13">
        <f>SUMIF(N:N,Online_eCommerce[[#This Row],[Assigned Supervisor]],L:L)</f>
        <v>11733610</v>
      </c>
    </row>
    <row r="2463" spans="1:20" hidden="1" x14ac:dyDescent="0.3">
      <c r="A2463" t="s">
        <v>3672</v>
      </c>
      <c r="B2463" t="s">
        <v>131</v>
      </c>
      <c r="C2463" t="s">
        <v>150</v>
      </c>
      <c r="D2463" t="s">
        <v>3626</v>
      </c>
      <c r="E2463" t="s">
        <v>96</v>
      </c>
      <c r="F2463" t="s">
        <v>3673</v>
      </c>
      <c r="G2463" t="s">
        <v>40</v>
      </c>
      <c r="H2463" t="s">
        <v>41</v>
      </c>
      <c r="I2463">
        <v>1680</v>
      </c>
      <c r="J2463">
        <v>2184</v>
      </c>
      <c r="K2463">
        <v>2</v>
      </c>
      <c r="L2463">
        <v>3360</v>
      </c>
      <c r="M2463">
        <v>4368</v>
      </c>
      <c r="N2463" t="s">
        <v>22</v>
      </c>
      <c r="O2463">
        <f t="shared" si="76"/>
        <v>25545</v>
      </c>
      <c r="P2463" s="13">
        <f t="shared" si="77"/>
        <v>2154984</v>
      </c>
      <c r="Q2463" s="13">
        <f>SUMIFS(M:M,E:E,Online_eCommerce[[#This Row],[Status]])</f>
        <v>21233992</v>
      </c>
      <c r="R2463" s="13">
        <f>SUMIFS(L:L,H:H,Online_eCommerce[[#This Row],[Brand]])</f>
        <v>4260400</v>
      </c>
      <c r="S2463" s="13">
        <f>SUMIF(H:H,Online_eCommerce[[#This Row],[Brand]],M:M)</f>
        <v>5538520</v>
      </c>
      <c r="T2463" s="13">
        <f>SUMIF(N:N,Online_eCommerce[[#This Row],[Assigned Supervisor]],L:L)</f>
        <v>13693220</v>
      </c>
    </row>
    <row r="2464" spans="1:20" hidden="1" x14ac:dyDescent="0.3">
      <c r="A2464" t="s">
        <v>3674</v>
      </c>
      <c r="B2464" t="s">
        <v>135</v>
      </c>
      <c r="C2464" t="s">
        <v>155</v>
      </c>
      <c r="D2464" t="s">
        <v>3626</v>
      </c>
      <c r="E2464" t="s">
        <v>18</v>
      </c>
      <c r="F2464" t="s">
        <v>101</v>
      </c>
      <c r="G2464" t="s">
        <v>334</v>
      </c>
      <c r="H2464" t="s">
        <v>102</v>
      </c>
      <c r="I2464">
        <v>6540</v>
      </c>
      <c r="J2464">
        <v>8502</v>
      </c>
      <c r="K2464">
        <v>3</v>
      </c>
      <c r="L2464">
        <v>19620</v>
      </c>
      <c r="M2464">
        <v>25506</v>
      </c>
      <c r="N2464" t="s">
        <v>28</v>
      </c>
      <c r="O2464">
        <f t="shared" si="76"/>
        <v>39780</v>
      </c>
      <c r="P2464" s="13">
        <f t="shared" si="77"/>
        <v>2753348</v>
      </c>
      <c r="Q2464" s="13">
        <f>SUMIFS(M:M,E:E,Online_eCommerce[[#This Row],[Status]])</f>
        <v>28340455</v>
      </c>
      <c r="R2464" s="13">
        <f>SUMIFS(L:L,H:H,Online_eCommerce[[#This Row],[Brand]])</f>
        <v>2465580</v>
      </c>
      <c r="S2464" s="13">
        <f>SUMIF(H:H,Online_eCommerce[[#This Row],[Brand]],M:M)</f>
        <v>3205254</v>
      </c>
      <c r="T2464" s="13">
        <f>SUMIF(N:N,Online_eCommerce[[#This Row],[Assigned Supervisor]],L:L)</f>
        <v>12220830</v>
      </c>
    </row>
    <row r="2465" spans="1:20" hidden="1" x14ac:dyDescent="0.3">
      <c r="A2465" t="s">
        <v>3675</v>
      </c>
      <c r="B2465" t="s">
        <v>139</v>
      </c>
      <c r="C2465" t="s">
        <v>160</v>
      </c>
      <c r="D2465" t="s">
        <v>3626</v>
      </c>
      <c r="E2465" t="s">
        <v>161</v>
      </c>
      <c r="F2465" t="s">
        <v>107</v>
      </c>
      <c r="G2465" t="s">
        <v>54</v>
      </c>
      <c r="H2465" t="s">
        <v>55</v>
      </c>
      <c r="I2465">
        <v>2680</v>
      </c>
      <c r="J2465">
        <v>3484</v>
      </c>
      <c r="K2465">
        <v>2</v>
      </c>
      <c r="L2465">
        <v>5360</v>
      </c>
      <c r="M2465">
        <v>6968</v>
      </c>
      <c r="N2465" t="s">
        <v>35</v>
      </c>
      <c r="O2465">
        <f t="shared" si="76"/>
        <v>2990</v>
      </c>
      <c r="P2465" s="13">
        <f t="shared" si="77"/>
        <v>2303483</v>
      </c>
      <c r="Q2465" s="13">
        <f>SUMIFS(M:M,E:E,Online_eCommerce[[#This Row],[Status]])</f>
        <v>21103186</v>
      </c>
      <c r="R2465" s="13">
        <f>SUMIFS(L:L,H:H,Online_eCommerce[[#This Row],[Brand]])</f>
        <v>2267380</v>
      </c>
      <c r="S2465" s="13">
        <f>SUMIF(H:H,Online_eCommerce[[#This Row],[Brand]],M:M)</f>
        <v>2947594</v>
      </c>
      <c r="T2465" s="13">
        <f>SUMIF(N:N,Online_eCommerce[[#This Row],[Assigned Supervisor]],L:L)</f>
        <v>14373360</v>
      </c>
    </row>
    <row r="2466" spans="1:20" x14ac:dyDescent="0.3">
      <c r="A2466" t="s">
        <v>3676</v>
      </c>
      <c r="B2466" t="s">
        <v>144</v>
      </c>
      <c r="C2466" t="s">
        <v>165</v>
      </c>
      <c r="D2466" t="s">
        <v>3626</v>
      </c>
      <c r="E2466" t="s">
        <v>46</v>
      </c>
      <c r="F2466" t="s">
        <v>112</v>
      </c>
      <c r="G2466" t="s">
        <v>71</v>
      </c>
      <c r="H2466" t="s">
        <v>21</v>
      </c>
      <c r="I2466">
        <v>8250</v>
      </c>
      <c r="J2466">
        <v>10725</v>
      </c>
      <c r="K2466">
        <v>2</v>
      </c>
      <c r="L2466">
        <v>16500</v>
      </c>
      <c r="M2466">
        <v>21450</v>
      </c>
      <c r="N2466" t="s">
        <v>42</v>
      </c>
      <c r="O2466">
        <f t="shared" si="76"/>
        <v>9750</v>
      </c>
      <c r="P2466" s="13">
        <f t="shared" si="77"/>
        <v>2674087</v>
      </c>
      <c r="Q2466" s="13">
        <f>SUMIFS(M:M,E:E,Online_eCommerce[[#This Row],[Status]])</f>
        <v>28620410</v>
      </c>
      <c r="R2466" s="13">
        <f>SUMIFS(L:L,H:H,Online_eCommerce[[#This Row],[Brand]])</f>
        <v>12435650</v>
      </c>
      <c r="S2466" s="13">
        <f>SUMIF(H:H,Online_eCommerce[[#This Row],[Brand]],M:M)</f>
        <v>16166345</v>
      </c>
      <c r="T2466" s="13">
        <f>SUMIF(N:N,Online_eCommerce[[#This Row],[Assigned Supervisor]],L:L)</f>
        <v>12261500</v>
      </c>
    </row>
    <row r="2467" spans="1:20" hidden="1" x14ac:dyDescent="0.3">
      <c r="A2467" t="s">
        <v>3677</v>
      </c>
      <c r="B2467" t="s">
        <v>149</v>
      </c>
      <c r="C2467" t="s">
        <v>168</v>
      </c>
      <c r="D2467" t="s">
        <v>3626</v>
      </c>
      <c r="E2467" t="s">
        <v>96</v>
      </c>
      <c r="F2467" t="s">
        <v>3309</v>
      </c>
      <c r="G2467" t="s">
        <v>40</v>
      </c>
      <c r="H2467" t="s">
        <v>21</v>
      </c>
      <c r="I2467">
        <v>2650</v>
      </c>
      <c r="J2467">
        <v>3445</v>
      </c>
      <c r="K2467">
        <v>4</v>
      </c>
      <c r="L2467">
        <v>10600</v>
      </c>
      <c r="M2467">
        <v>13780</v>
      </c>
      <c r="N2467" t="s">
        <v>50</v>
      </c>
      <c r="O2467">
        <f t="shared" si="76"/>
        <v>25545</v>
      </c>
      <c r="P2467" s="13">
        <f t="shared" si="77"/>
        <v>1937780</v>
      </c>
      <c r="Q2467" s="13">
        <f>SUMIFS(M:M,E:E,Online_eCommerce[[#This Row],[Status]])</f>
        <v>21233992</v>
      </c>
      <c r="R2467" s="13">
        <f>SUMIFS(L:L,H:H,Online_eCommerce[[#This Row],[Brand]])</f>
        <v>12435650</v>
      </c>
      <c r="S2467" s="13">
        <f>SUMIF(H:H,Online_eCommerce[[#This Row],[Brand]],M:M)</f>
        <v>16166345</v>
      </c>
      <c r="T2467" s="13">
        <f>SUMIF(N:N,Online_eCommerce[[#This Row],[Assigned Supervisor]],L:L)</f>
        <v>12100590</v>
      </c>
    </row>
    <row r="2468" spans="1:20" hidden="1" x14ac:dyDescent="0.3">
      <c r="A2468" t="s">
        <v>3678</v>
      </c>
      <c r="B2468" t="s">
        <v>154</v>
      </c>
      <c r="C2468" t="s">
        <v>172</v>
      </c>
      <c r="D2468" t="s">
        <v>3626</v>
      </c>
      <c r="E2468" t="s">
        <v>18</v>
      </c>
      <c r="F2468" t="s">
        <v>121</v>
      </c>
      <c r="G2468" t="s">
        <v>71</v>
      </c>
      <c r="H2468" t="s">
        <v>122</v>
      </c>
      <c r="I2468">
        <v>12550</v>
      </c>
      <c r="J2468">
        <v>16315</v>
      </c>
      <c r="K2468">
        <v>4</v>
      </c>
      <c r="L2468">
        <v>50200</v>
      </c>
      <c r="M2468">
        <v>65260</v>
      </c>
      <c r="N2468" t="s">
        <v>56</v>
      </c>
      <c r="O2468">
        <f t="shared" si="76"/>
        <v>9750</v>
      </c>
      <c r="P2468" s="13">
        <f t="shared" si="77"/>
        <v>2640274</v>
      </c>
      <c r="Q2468" s="13">
        <f>SUMIFS(M:M,E:E,Online_eCommerce[[#This Row],[Status]])</f>
        <v>28340455</v>
      </c>
      <c r="R2468" s="13">
        <f>SUMIFS(L:L,H:H,Online_eCommerce[[#This Row],[Brand]])</f>
        <v>5045100</v>
      </c>
      <c r="S2468" s="13">
        <f>SUMIF(H:H,Online_eCommerce[[#This Row],[Brand]],M:M)</f>
        <v>6558630</v>
      </c>
      <c r="T2468" s="13">
        <f>SUMIF(N:N,Online_eCommerce[[#This Row],[Assigned Supervisor]],L:L)</f>
        <v>11733610</v>
      </c>
    </row>
    <row r="2469" spans="1:20" hidden="1" x14ac:dyDescent="0.3">
      <c r="A2469" t="s">
        <v>3679</v>
      </c>
      <c r="B2469" t="s">
        <v>154</v>
      </c>
      <c r="C2469" t="s">
        <v>177</v>
      </c>
      <c r="D2469" t="s">
        <v>3626</v>
      </c>
      <c r="E2469" t="s">
        <v>161</v>
      </c>
      <c r="F2469" t="s">
        <v>126</v>
      </c>
      <c r="G2469" t="s">
        <v>26</v>
      </c>
      <c r="H2469" t="s">
        <v>27</v>
      </c>
      <c r="I2469">
        <v>14500</v>
      </c>
      <c r="J2469">
        <v>18850</v>
      </c>
      <c r="K2469">
        <v>3</v>
      </c>
      <c r="L2469">
        <v>43500</v>
      </c>
      <c r="M2469">
        <v>56550</v>
      </c>
      <c r="N2469" t="s">
        <v>22</v>
      </c>
      <c r="O2469">
        <f t="shared" si="76"/>
        <v>33150</v>
      </c>
      <c r="P2469" s="13">
        <f t="shared" si="77"/>
        <v>1863810</v>
      </c>
      <c r="Q2469" s="13">
        <f>SUMIFS(M:M,E:E,Online_eCommerce[[#This Row],[Status]])</f>
        <v>21103186</v>
      </c>
      <c r="R2469" s="13">
        <f>SUMIFS(L:L,H:H,Online_eCommerce[[#This Row],[Brand]])</f>
        <v>14431000</v>
      </c>
      <c r="S2469" s="13">
        <f>SUMIF(H:H,Online_eCommerce[[#This Row],[Brand]],M:M)</f>
        <v>18760300</v>
      </c>
      <c r="T2469" s="13">
        <f>SUMIF(N:N,Online_eCommerce[[#This Row],[Assigned Supervisor]],L:L)</f>
        <v>13693220</v>
      </c>
    </row>
    <row r="2470" spans="1:20" x14ac:dyDescent="0.3">
      <c r="A2470" t="s">
        <v>3680</v>
      </c>
      <c r="B2470" t="s">
        <v>154</v>
      </c>
      <c r="C2470" t="s">
        <v>181</v>
      </c>
      <c r="D2470" t="s">
        <v>3626</v>
      </c>
      <c r="E2470" t="s">
        <v>46</v>
      </c>
      <c r="F2470" t="s">
        <v>129</v>
      </c>
      <c r="G2470" t="s">
        <v>60</v>
      </c>
      <c r="H2470" t="s">
        <v>61</v>
      </c>
      <c r="I2470">
        <v>800</v>
      </c>
      <c r="J2470">
        <v>1040</v>
      </c>
      <c r="K2470">
        <v>3</v>
      </c>
      <c r="L2470">
        <v>2400</v>
      </c>
      <c r="M2470">
        <v>3120</v>
      </c>
      <c r="N2470" t="s">
        <v>28</v>
      </c>
      <c r="O2470">
        <f t="shared" si="76"/>
        <v>3315</v>
      </c>
      <c r="P2470" s="13">
        <f t="shared" si="77"/>
        <v>2577458</v>
      </c>
      <c r="Q2470" s="13">
        <f>SUMIFS(M:M,E:E,Online_eCommerce[[#This Row],[Status]])</f>
        <v>28620410</v>
      </c>
      <c r="R2470" s="13">
        <f>SUMIFS(L:L,H:H,Online_eCommerce[[#This Row],[Brand]])</f>
        <v>10950150</v>
      </c>
      <c r="S2470" s="13">
        <f>SUMIF(H:H,Online_eCommerce[[#This Row],[Brand]],M:M)</f>
        <v>14235195</v>
      </c>
      <c r="T2470" s="13">
        <f>SUMIF(N:N,Online_eCommerce[[#This Row],[Assigned Supervisor]],L:L)</f>
        <v>12220830</v>
      </c>
    </row>
    <row r="2471" spans="1:20" hidden="1" x14ac:dyDescent="0.3">
      <c r="A2471" t="s">
        <v>3681</v>
      </c>
      <c r="B2471" t="s">
        <v>154</v>
      </c>
      <c r="C2471" t="s">
        <v>185</v>
      </c>
      <c r="D2471" t="s">
        <v>3626</v>
      </c>
      <c r="E2471" t="s">
        <v>96</v>
      </c>
      <c r="F2471" t="s">
        <v>133</v>
      </c>
      <c r="G2471" t="s">
        <v>66</v>
      </c>
      <c r="H2471" t="s">
        <v>21</v>
      </c>
      <c r="I2471">
        <v>600</v>
      </c>
      <c r="J2471">
        <v>780</v>
      </c>
      <c r="K2471">
        <v>1</v>
      </c>
      <c r="L2471">
        <v>600</v>
      </c>
      <c r="M2471">
        <v>780</v>
      </c>
      <c r="N2471" t="s">
        <v>35</v>
      </c>
      <c r="O2471">
        <f t="shared" si="76"/>
        <v>1690</v>
      </c>
      <c r="P2471" s="13">
        <f t="shared" si="77"/>
        <v>2091596</v>
      </c>
      <c r="Q2471" s="13">
        <f>SUMIFS(M:M,E:E,Online_eCommerce[[#This Row],[Status]])</f>
        <v>21233992</v>
      </c>
      <c r="R2471" s="13">
        <f>SUMIFS(L:L,H:H,Online_eCommerce[[#This Row],[Brand]])</f>
        <v>12435650</v>
      </c>
      <c r="S2471" s="13">
        <f>SUMIF(H:H,Online_eCommerce[[#This Row],[Brand]],M:M)</f>
        <v>16166345</v>
      </c>
      <c r="T2471" s="13">
        <f>SUMIF(N:N,Online_eCommerce[[#This Row],[Assigned Supervisor]],L:L)</f>
        <v>14373360</v>
      </c>
    </row>
    <row r="2472" spans="1:20" hidden="1" x14ac:dyDescent="0.3">
      <c r="A2472" t="s">
        <v>3682</v>
      </c>
      <c r="B2472" t="s">
        <v>154</v>
      </c>
      <c r="C2472" t="s">
        <v>189</v>
      </c>
      <c r="D2472" t="s">
        <v>3626</v>
      </c>
      <c r="E2472" t="s">
        <v>18</v>
      </c>
      <c r="F2472" t="s">
        <v>137</v>
      </c>
      <c r="G2472" t="s">
        <v>71</v>
      </c>
      <c r="H2472" t="s">
        <v>61</v>
      </c>
      <c r="I2472">
        <v>10500</v>
      </c>
      <c r="J2472">
        <v>13650</v>
      </c>
      <c r="K2472">
        <v>1</v>
      </c>
      <c r="L2472">
        <v>10500</v>
      </c>
      <c r="M2472">
        <v>13650</v>
      </c>
      <c r="N2472" t="s">
        <v>42</v>
      </c>
      <c r="O2472">
        <f t="shared" si="76"/>
        <v>9750</v>
      </c>
      <c r="P2472" s="13">
        <f t="shared" si="77"/>
        <v>2740777</v>
      </c>
      <c r="Q2472" s="13">
        <f>SUMIFS(M:M,E:E,Online_eCommerce[[#This Row],[Status]])</f>
        <v>28340455</v>
      </c>
      <c r="R2472" s="13">
        <f>SUMIFS(L:L,H:H,Online_eCommerce[[#This Row],[Brand]])</f>
        <v>10950150</v>
      </c>
      <c r="S2472" s="13">
        <f>SUMIF(H:H,Online_eCommerce[[#This Row],[Brand]],M:M)</f>
        <v>14235195</v>
      </c>
      <c r="T2472" s="13">
        <f>SUMIF(N:N,Online_eCommerce[[#This Row],[Assigned Supervisor]],L:L)</f>
        <v>12261500</v>
      </c>
    </row>
    <row r="2473" spans="1:20" hidden="1" x14ac:dyDescent="0.3">
      <c r="A2473" t="s">
        <v>3683</v>
      </c>
      <c r="B2473" t="s">
        <v>154</v>
      </c>
      <c r="C2473" t="s">
        <v>193</v>
      </c>
      <c r="D2473" t="s">
        <v>3626</v>
      </c>
      <c r="E2473" t="s">
        <v>161</v>
      </c>
      <c r="F2473" t="s">
        <v>3654</v>
      </c>
      <c r="G2473" t="s">
        <v>77</v>
      </c>
      <c r="H2473" t="s">
        <v>142</v>
      </c>
      <c r="I2473">
        <v>6500</v>
      </c>
      <c r="J2473">
        <v>8450</v>
      </c>
      <c r="K2473">
        <v>4</v>
      </c>
      <c r="L2473">
        <v>26000</v>
      </c>
      <c r="M2473">
        <v>33800</v>
      </c>
      <c r="N2473" t="s">
        <v>50</v>
      </c>
      <c r="O2473">
        <f t="shared" si="76"/>
        <v>39000</v>
      </c>
      <c r="P2473" s="13">
        <f t="shared" si="77"/>
        <v>2074774</v>
      </c>
      <c r="Q2473" s="13">
        <f>SUMIFS(M:M,E:E,Online_eCommerce[[#This Row],[Status]])</f>
        <v>21103186</v>
      </c>
      <c r="R2473" s="13">
        <f>SUMIFS(L:L,H:H,Online_eCommerce[[#This Row],[Brand]])</f>
        <v>6192500</v>
      </c>
      <c r="S2473" s="13">
        <f>SUMIF(H:H,Online_eCommerce[[#This Row],[Brand]],M:M)</f>
        <v>8050250</v>
      </c>
      <c r="T2473" s="13">
        <f>SUMIF(N:N,Online_eCommerce[[#This Row],[Assigned Supervisor]],L:L)</f>
        <v>12100590</v>
      </c>
    </row>
    <row r="2474" spans="1:20" x14ac:dyDescent="0.3">
      <c r="A2474" t="s">
        <v>3684</v>
      </c>
      <c r="B2474" t="s">
        <v>154</v>
      </c>
      <c r="C2474" t="s">
        <v>197</v>
      </c>
      <c r="D2474" t="s">
        <v>3626</v>
      </c>
      <c r="E2474" t="s">
        <v>46</v>
      </c>
      <c r="F2474" t="s">
        <v>3685</v>
      </c>
      <c r="G2474" t="s">
        <v>20</v>
      </c>
      <c r="H2474" t="s">
        <v>21</v>
      </c>
      <c r="I2474">
        <v>4500</v>
      </c>
      <c r="J2474">
        <v>5850</v>
      </c>
      <c r="K2474">
        <v>2</v>
      </c>
      <c r="L2474">
        <v>9000</v>
      </c>
      <c r="M2474">
        <v>11700</v>
      </c>
      <c r="N2474" t="s">
        <v>56</v>
      </c>
      <c r="O2474">
        <f t="shared" si="76"/>
        <v>8450</v>
      </c>
      <c r="P2474" s="13">
        <f t="shared" si="77"/>
        <v>2829840</v>
      </c>
      <c r="Q2474" s="13">
        <f>SUMIFS(M:M,E:E,Online_eCommerce[[#This Row],[Status]])</f>
        <v>28620410</v>
      </c>
      <c r="R2474" s="13">
        <f>SUMIFS(L:L,H:H,Online_eCommerce[[#This Row],[Brand]])</f>
        <v>12435650</v>
      </c>
      <c r="S2474" s="13">
        <f>SUMIF(H:H,Online_eCommerce[[#This Row],[Brand]],M:M)</f>
        <v>16166345</v>
      </c>
      <c r="T2474" s="13">
        <f>SUMIF(N:N,Online_eCommerce[[#This Row],[Assigned Supervisor]],L:L)</f>
        <v>11733610</v>
      </c>
    </row>
    <row r="2475" spans="1:20" hidden="1" x14ac:dyDescent="0.3">
      <c r="A2475" t="s">
        <v>3686</v>
      </c>
      <c r="B2475" t="s">
        <v>154</v>
      </c>
      <c r="C2475" t="s">
        <v>199</v>
      </c>
      <c r="D2475" t="s">
        <v>3687</v>
      </c>
      <c r="E2475" t="s">
        <v>96</v>
      </c>
      <c r="F2475" t="s">
        <v>152</v>
      </c>
      <c r="G2475" t="s">
        <v>26</v>
      </c>
      <c r="H2475" t="s">
        <v>27</v>
      </c>
      <c r="I2475">
        <v>8500</v>
      </c>
      <c r="J2475">
        <v>11050</v>
      </c>
      <c r="K2475">
        <v>2</v>
      </c>
      <c r="L2475">
        <v>17000</v>
      </c>
      <c r="M2475">
        <v>22100</v>
      </c>
      <c r="N2475" t="s">
        <v>22</v>
      </c>
      <c r="O2475">
        <f t="shared" si="76"/>
        <v>33150</v>
      </c>
      <c r="P2475" s="13">
        <f t="shared" si="77"/>
        <v>1947361</v>
      </c>
      <c r="Q2475" s="13">
        <f>SUMIFS(M:M,E:E,Online_eCommerce[[#This Row],[Status]])</f>
        <v>21233992</v>
      </c>
      <c r="R2475" s="13">
        <f>SUMIFS(L:L,H:H,Online_eCommerce[[#This Row],[Brand]])</f>
        <v>14431000</v>
      </c>
      <c r="S2475" s="13">
        <f>SUMIF(H:H,Online_eCommerce[[#This Row],[Brand]],M:M)</f>
        <v>18760300</v>
      </c>
      <c r="T2475" s="13">
        <f>SUMIF(N:N,Online_eCommerce[[#This Row],[Assigned Supervisor]],L:L)</f>
        <v>13693220</v>
      </c>
    </row>
    <row r="2476" spans="1:20" hidden="1" x14ac:dyDescent="0.3">
      <c r="A2476" t="s">
        <v>3688</v>
      </c>
      <c r="B2476" t="s">
        <v>154</v>
      </c>
      <c r="C2476" t="s">
        <v>203</v>
      </c>
      <c r="D2476" t="s">
        <v>3687</v>
      </c>
      <c r="E2476" t="s">
        <v>18</v>
      </c>
      <c r="F2476" t="s">
        <v>157</v>
      </c>
      <c r="G2476" t="s">
        <v>33</v>
      </c>
      <c r="H2476" t="s">
        <v>34</v>
      </c>
      <c r="I2476">
        <v>12500</v>
      </c>
      <c r="J2476">
        <v>16250</v>
      </c>
      <c r="K2476">
        <v>4</v>
      </c>
      <c r="L2476">
        <v>50000</v>
      </c>
      <c r="M2476">
        <v>65000</v>
      </c>
      <c r="N2476" t="s">
        <v>28</v>
      </c>
      <c r="O2476">
        <f t="shared" si="76"/>
        <v>18200</v>
      </c>
      <c r="P2476" s="13">
        <f t="shared" si="77"/>
        <v>2559635</v>
      </c>
      <c r="Q2476" s="13">
        <f>SUMIFS(M:M,E:E,Online_eCommerce[[#This Row],[Status]])</f>
        <v>28340455</v>
      </c>
      <c r="R2476" s="13">
        <f>SUMIFS(L:L,H:H,Online_eCommerce[[#This Row],[Brand]])</f>
        <v>10087000</v>
      </c>
      <c r="S2476" s="13">
        <f>SUMIF(H:H,Online_eCommerce[[#This Row],[Brand]],M:M)</f>
        <v>13113100</v>
      </c>
      <c r="T2476" s="13">
        <f>SUMIF(N:N,Online_eCommerce[[#This Row],[Assigned Supervisor]],L:L)</f>
        <v>12220830</v>
      </c>
    </row>
    <row r="2477" spans="1:20" hidden="1" x14ac:dyDescent="0.3">
      <c r="A2477" t="s">
        <v>3689</v>
      </c>
      <c r="B2477" t="s">
        <v>154</v>
      </c>
      <c r="C2477" t="s">
        <v>205</v>
      </c>
      <c r="D2477" t="s">
        <v>3687</v>
      </c>
      <c r="E2477" t="s">
        <v>161</v>
      </c>
      <c r="F2477" t="s">
        <v>3354</v>
      </c>
      <c r="G2477" t="s">
        <v>163</v>
      </c>
      <c r="H2477" t="s">
        <v>41</v>
      </c>
      <c r="I2477">
        <v>3500</v>
      </c>
      <c r="J2477">
        <v>4550</v>
      </c>
      <c r="K2477">
        <v>1</v>
      </c>
      <c r="L2477">
        <v>3500</v>
      </c>
      <c r="M2477">
        <v>4550</v>
      </c>
      <c r="N2477" t="s">
        <v>35</v>
      </c>
      <c r="O2477">
        <f t="shared" si="76"/>
        <v>13650</v>
      </c>
      <c r="P2477" s="13">
        <f t="shared" si="77"/>
        <v>1983254</v>
      </c>
      <c r="Q2477" s="13">
        <f>SUMIFS(M:M,E:E,Online_eCommerce[[#This Row],[Status]])</f>
        <v>21103186</v>
      </c>
      <c r="R2477" s="13">
        <f>SUMIFS(L:L,H:H,Online_eCommerce[[#This Row],[Brand]])</f>
        <v>4260400</v>
      </c>
      <c r="S2477" s="13">
        <f>SUMIF(H:H,Online_eCommerce[[#This Row],[Brand]],M:M)</f>
        <v>5538520</v>
      </c>
      <c r="T2477" s="13">
        <f>SUMIF(N:N,Online_eCommerce[[#This Row],[Assigned Supervisor]],L:L)</f>
        <v>14373360</v>
      </c>
    </row>
    <row r="2478" spans="1:20" x14ac:dyDescent="0.3">
      <c r="A2478" t="s">
        <v>3690</v>
      </c>
      <c r="B2478" t="s">
        <v>290</v>
      </c>
      <c r="C2478" t="s">
        <v>208</v>
      </c>
      <c r="D2478" t="s">
        <v>3687</v>
      </c>
      <c r="E2478" t="s">
        <v>46</v>
      </c>
      <c r="F2478" t="s">
        <v>166</v>
      </c>
      <c r="G2478" t="s">
        <v>66</v>
      </c>
      <c r="H2478" t="s">
        <v>49</v>
      </c>
      <c r="I2478">
        <v>4500</v>
      </c>
      <c r="J2478">
        <v>5850</v>
      </c>
      <c r="K2478">
        <v>1</v>
      </c>
      <c r="L2478">
        <v>4500</v>
      </c>
      <c r="M2478">
        <v>5850</v>
      </c>
      <c r="N2478" t="s">
        <v>42</v>
      </c>
      <c r="O2478">
        <f t="shared" si="76"/>
        <v>1690</v>
      </c>
      <c r="P2478" s="13">
        <f t="shared" si="77"/>
        <v>2746575</v>
      </c>
      <c r="Q2478" s="13">
        <f>SUMIFS(M:M,E:E,Online_eCommerce[[#This Row],[Status]])</f>
        <v>28620410</v>
      </c>
      <c r="R2478" s="13">
        <f>SUMIFS(L:L,H:H,Online_eCommerce[[#This Row],[Brand]])</f>
        <v>4528350</v>
      </c>
      <c r="S2478" s="13">
        <f>SUMIF(H:H,Online_eCommerce[[#This Row],[Brand]],M:M)</f>
        <v>5886855</v>
      </c>
      <c r="T2478" s="13">
        <f>SUMIF(N:N,Online_eCommerce[[#This Row],[Assigned Supervisor]],L:L)</f>
        <v>12261500</v>
      </c>
    </row>
    <row r="2479" spans="1:20" hidden="1" x14ac:dyDescent="0.3">
      <c r="A2479" t="s">
        <v>3691</v>
      </c>
      <c r="B2479" t="s">
        <v>15</v>
      </c>
      <c r="C2479" t="s">
        <v>211</v>
      </c>
      <c r="D2479" t="s">
        <v>3687</v>
      </c>
      <c r="E2479" t="s">
        <v>96</v>
      </c>
      <c r="F2479" t="s">
        <v>3692</v>
      </c>
      <c r="G2479" t="s">
        <v>54</v>
      </c>
      <c r="H2479" t="s">
        <v>55</v>
      </c>
      <c r="I2479">
        <v>2100</v>
      </c>
      <c r="J2479">
        <v>2730</v>
      </c>
      <c r="K2479">
        <v>2</v>
      </c>
      <c r="L2479">
        <v>4200</v>
      </c>
      <c r="M2479">
        <v>5460</v>
      </c>
      <c r="N2479" t="s">
        <v>50</v>
      </c>
      <c r="O2479">
        <f t="shared" si="76"/>
        <v>2990</v>
      </c>
      <c r="P2479" s="13">
        <f t="shared" si="77"/>
        <v>1809847</v>
      </c>
      <c r="Q2479" s="13">
        <f>SUMIFS(M:M,E:E,Online_eCommerce[[#This Row],[Status]])</f>
        <v>21233992</v>
      </c>
      <c r="R2479" s="13">
        <f>SUMIFS(L:L,H:H,Online_eCommerce[[#This Row],[Brand]])</f>
        <v>2267380</v>
      </c>
      <c r="S2479" s="13">
        <f>SUMIF(H:H,Online_eCommerce[[#This Row],[Brand]],M:M)</f>
        <v>2947594</v>
      </c>
      <c r="T2479" s="13">
        <f>SUMIF(N:N,Online_eCommerce[[#This Row],[Assigned Supervisor]],L:L)</f>
        <v>12100590</v>
      </c>
    </row>
    <row r="2480" spans="1:20" hidden="1" x14ac:dyDescent="0.3">
      <c r="A2480" t="s">
        <v>3693</v>
      </c>
      <c r="B2480" t="s">
        <v>202</v>
      </c>
      <c r="C2480" t="s">
        <v>16</v>
      </c>
      <c r="D2480" t="s">
        <v>3687</v>
      </c>
      <c r="E2480" t="s">
        <v>18</v>
      </c>
      <c r="F2480" t="s">
        <v>174</v>
      </c>
      <c r="G2480" t="s">
        <v>60</v>
      </c>
      <c r="H2480" t="s">
        <v>61</v>
      </c>
      <c r="I2480">
        <v>1150</v>
      </c>
      <c r="J2480">
        <v>1495</v>
      </c>
      <c r="K2480">
        <v>1</v>
      </c>
      <c r="L2480">
        <v>1150</v>
      </c>
      <c r="M2480">
        <v>1495</v>
      </c>
      <c r="N2480" t="s">
        <v>56</v>
      </c>
      <c r="O2480">
        <f t="shared" si="76"/>
        <v>3315</v>
      </c>
      <c r="P2480" s="13">
        <f t="shared" si="77"/>
        <v>2751814</v>
      </c>
      <c r="Q2480" s="13">
        <f>SUMIFS(M:M,E:E,Online_eCommerce[[#This Row],[Status]])</f>
        <v>28340455</v>
      </c>
      <c r="R2480" s="13">
        <f>SUMIFS(L:L,H:H,Online_eCommerce[[#This Row],[Brand]])</f>
        <v>10950150</v>
      </c>
      <c r="S2480" s="13">
        <f>SUMIF(H:H,Online_eCommerce[[#This Row],[Brand]],M:M)</f>
        <v>14235195</v>
      </c>
      <c r="T2480" s="13">
        <f>SUMIF(N:N,Online_eCommerce[[#This Row],[Assigned Supervisor]],L:L)</f>
        <v>11733610</v>
      </c>
    </row>
    <row r="2481" spans="1:20" hidden="1" x14ac:dyDescent="0.3">
      <c r="A2481" t="s">
        <v>3694</v>
      </c>
      <c r="B2481" t="s">
        <v>154</v>
      </c>
      <c r="C2481" t="s">
        <v>24</v>
      </c>
      <c r="D2481" t="s">
        <v>3687</v>
      </c>
      <c r="E2481" t="s">
        <v>161</v>
      </c>
      <c r="F2481" t="s">
        <v>179</v>
      </c>
      <c r="G2481" t="s">
        <v>66</v>
      </c>
      <c r="H2481" t="s">
        <v>21</v>
      </c>
      <c r="I2481">
        <v>350</v>
      </c>
      <c r="J2481">
        <v>455</v>
      </c>
      <c r="K2481">
        <v>1</v>
      </c>
      <c r="L2481">
        <v>350</v>
      </c>
      <c r="M2481">
        <v>455</v>
      </c>
      <c r="N2481" t="s">
        <v>22</v>
      </c>
      <c r="O2481">
        <f t="shared" si="76"/>
        <v>1690</v>
      </c>
      <c r="P2481" s="13">
        <f t="shared" si="77"/>
        <v>2009540</v>
      </c>
      <c r="Q2481" s="13">
        <f>SUMIFS(M:M,E:E,Online_eCommerce[[#This Row],[Status]])</f>
        <v>21103186</v>
      </c>
      <c r="R2481" s="13">
        <f>SUMIFS(L:L,H:H,Online_eCommerce[[#This Row],[Brand]])</f>
        <v>12435650</v>
      </c>
      <c r="S2481" s="13">
        <f>SUMIF(H:H,Online_eCommerce[[#This Row],[Brand]],M:M)</f>
        <v>16166345</v>
      </c>
      <c r="T2481" s="13">
        <f>SUMIF(N:N,Online_eCommerce[[#This Row],[Assigned Supervisor]],L:L)</f>
        <v>13693220</v>
      </c>
    </row>
    <row r="2482" spans="1:20" x14ac:dyDescent="0.3">
      <c r="A2482" t="s">
        <v>3695</v>
      </c>
      <c r="B2482" t="s">
        <v>154</v>
      </c>
      <c r="C2482" t="s">
        <v>31</v>
      </c>
      <c r="D2482" t="s">
        <v>3687</v>
      </c>
      <c r="E2482" t="s">
        <v>46</v>
      </c>
      <c r="F2482" t="s">
        <v>183</v>
      </c>
      <c r="G2482" t="s">
        <v>71</v>
      </c>
      <c r="H2482" t="s">
        <v>61</v>
      </c>
      <c r="I2482">
        <v>9500</v>
      </c>
      <c r="J2482">
        <v>12350</v>
      </c>
      <c r="K2482">
        <v>1</v>
      </c>
      <c r="L2482">
        <v>9500</v>
      </c>
      <c r="M2482">
        <v>12350</v>
      </c>
      <c r="N2482" t="s">
        <v>28</v>
      </c>
      <c r="O2482">
        <f t="shared" si="76"/>
        <v>9750</v>
      </c>
      <c r="P2482" s="13">
        <f t="shared" si="77"/>
        <v>2865746</v>
      </c>
      <c r="Q2482" s="13">
        <f>SUMIFS(M:M,E:E,Online_eCommerce[[#This Row],[Status]])</f>
        <v>28620410</v>
      </c>
      <c r="R2482" s="13">
        <f>SUMIFS(L:L,H:H,Online_eCommerce[[#This Row],[Brand]])</f>
        <v>10950150</v>
      </c>
      <c r="S2482" s="13">
        <f>SUMIF(H:H,Online_eCommerce[[#This Row],[Brand]],M:M)</f>
        <v>14235195</v>
      </c>
      <c r="T2482" s="13">
        <f>SUMIF(N:N,Online_eCommerce[[#This Row],[Assigned Supervisor]],L:L)</f>
        <v>12220830</v>
      </c>
    </row>
    <row r="2483" spans="1:20" hidden="1" x14ac:dyDescent="0.3">
      <c r="A2483" t="s">
        <v>3696</v>
      </c>
      <c r="B2483" t="s">
        <v>154</v>
      </c>
      <c r="C2483" t="s">
        <v>38</v>
      </c>
      <c r="D2483" t="s">
        <v>3687</v>
      </c>
      <c r="E2483" t="s">
        <v>96</v>
      </c>
      <c r="F2483" t="s">
        <v>3697</v>
      </c>
      <c r="G2483" t="s">
        <v>77</v>
      </c>
      <c r="H2483" t="s">
        <v>142</v>
      </c>
      <c r="I2483">
        <v>10000</v>
      </c>
      <c r="J2483">
        <v>13000</v>
      </c>
      <c r="K2483">
        <v>1</v>
      </c>
      <c r="L2483">
        <v>10000</v>
      </c>
      <c r="M2483">
        <v>13000</v>
      </c>
      <c r="N2483" t="s">
        <v>35</v>
      </c>
      <c r="O2483">
        <f t="shared" si="76"/>
        <v>39000</v>
      </c>
      <c r="P2483" s="13">
        <f t="shared" si="77"/>
        <v>1933997</v>
      </c>
      <c r="Q2483" s="13">
        <f>SUMIFS(M:M,E:E,Online_eCommerce[[#This Row],[Status]])</f>
        <v>21233992</v>
      </c>
      <c r="R2483" s="13">
        <f>SUMIFS(L:L,H:H,Online_eCommerce[[#This Row],[Brand]])</f>
        <v>6192500</v>
      </c>
      <c r="S2483" s="13">
        <f>SUMIF(H:H,Online_eCommerce[[#This Row],[Brand]],M:M)</f>
        <v>8050250</v>
      </c>
      <c r="T2483" s="13">
        <f>SUMIF(N:N,Online_eCommerce[[#This Row],[Assigned Supervisor]],L:L)</f>
        <v>14373360</v>
      </c>
    </row>
    <row r="2484" spans="1:20" hidden="1" x14ac:dyDescent="0.3">
      <c r="A2484" t="s">
        <v>3698</v>
      </c>
      <c r="B2484" t="s">
        <v>154</v>
      </c>
      <c r="C2484" t="s">
        <v>45</v>
      </c>
      <c r="D2484" t="s">
        <v>3687</v>
      </c>
      <c r="E2484" t="s">
        <v>18</v>
      </c>
      <c r="F2484" t="s">
        <v>3699</v>
      </c>
      <c r="G2484" t="s">
        <v>20</v>
      </c>
      <c r="H2484" t="s">
        <v>21</v>
      </c>
      <c r="I2484">
        <v>6500</v>
      </c>
      <c r="J2484">
        <v>8450</v>
      </c>
      <c r="K2484">
        <v>4</v>
      </c>
      <c r="L2484">
        <v>26000</v>
      </c>
      <c r="M2484">
        <v>33800</v>
      </c>
      <c r="N2484" t="s">
        <v>42</v>
      </c>
      <c r="O2484">
        <f t="shared" si="76"/>
        <v>8450</v>
      </c>
      <c r="P2484" s="13">
        <f t="shared" si="77"/>
        <v>2842554</v>
      </c>
      <c r="Q2484" s="13">
        <f>SUMIFS(M:M,E:E,Online_eCommerce[[#This Row],[Status]])</f>
        <v>28340455</v>
      </c>
      <c r="R2484" s="13">
        <f>SUMIFS(L:L,H:H,Online_eCommerce[[#This Row],[Brand]])</f>
        <v>12435650</v>
      </c>
      <c r="S2484" s="13">
        <f>SUMIF(H:H,Online_eCommerce[[#This Row],[Brand]],M:M)</f>
        <v>16166345</v>
      </c>
      <c r="T2484" s="13">
        <f>SUMIF(N:N,Online_eCommerce[[#This Row],[Assigned Supervisor]],L:L)</f>
        <v>12261500</v>
      </c>
    </row>
    <row r="2485" spans="1:20" hidden="1" x14ac:dyDescent="0.3">
      <c r="A2485" t="s">
        <v>3700</v>
      </c>
      <c r="B2485" t="s">
        <v>154</v>
      </c>
      <c r="C2485" t="s">
        <v>52</v>
      </c>
      <c r="D2485" t="s">
        <v>3687</v>
      </c>
      <c r="E2485" t="s">
        <v>161</v>
      </c>
      <c r="F2485" t="s">
        <v>3701</v>
      </c>
      <c r="G2485" t="s">
        <v>26</v>
      </c>
      <c r="H2485" t="s">
        <v>27</v>
      </c>
      <c r="I2485">
        <v>8500</v>
      </c>
      <c r="J2485">
        <v>11050</v>
      </c>
      <c r="K2485">
        <v>4</v>
      </c>
      <c r="L2485">
        <v>34000</v>
      </c>
      <c r="M2485">
        <v>44200</v>
      </c>
      <c r="N2485" t="s">
        <v>50</v>
      </c>
      <c r="O2485">
        <f t="shared" si="76"/>
        <v>33150</v>
      </c>
      <c r="P2485" s="13">
        <f t="shared" si="77"/>
        <v>1955044</v>
      </c>
      <c r="Q2485" s="13">
        <f>SUMIFS(M:M,E:E,Online_eCommerce[[#This Row],[Status]])</f>
        <v>21103186</v>
      </c>
      <c r="R2485" s="13">
        <f>SUMIFS(L:L,H:H,Online_eCommerce[[#This Row],[Brand]])</f>
        <v>14431000</v>
      </c>
      <c r="S2485" s="13">
        <f>SUMIF(H:H,Online_eCommerce[[#This Row],[Brand]],M:M)</f>
        <v>18760300</v>
      </c>
      <c r="T2485" s="13">
        <f>SUMIF(N:N,Online_eCommerce[[#This Row],[Assigned Supervisor]],L:L)</f>
        <v>12100590</v>
      </c>
    </row>
    <row r="2486" spans="1:20" x14ac:dyDescent="0.3">
      <c r="A2486" t="s">
        <v>3702</v>
      </c>
      <c r="B2486" t="s">
        <v>154</v>
      </c>
      <c r="C2486" t="s">
        <v>58</v>
      </c>
      <c r="D2486" t="s">
        <v>3703</v>
      </c>
      <c r="E2486" t="s">
        <v>46</v>
      </c>
      <c r="F2486" t="s">
        <v>32</v>
      </c>
      <c r="G2486" t="s">
        <v>33</v>
      </c>
      <c r="H2486" t="s">
        <v>34</v>
      </c>
      <c r="I2486">
        <v>7000</v>
      </c>
      <c r="J2486">
        <v>9100</v>
      </c>
      <c r="K2486">
        <v>3</v>
      </c>
      <c r="L2486">
        <v>21000</v>
      </c>
      <c r="M2486">
        <v>27300</v>
      </c>
      <c r="N2486" t="s">
        <v>56</v>
      </c>
      <c r="O2486">
        <f t="shared" si="76"/>
        <v>18200</v>
      </c>
      <c r="P2486" s="13">
        <f t="shared" si="77"/>
        <v>2629211</v>
      </c>
      <c r="Q2486" s="13">
        <f>SUMIFS(M:M,E:E,Online_eCommerce[[#This Row],[Status]])</f>
        <v>28620410</v>
      </c>
      <c r="R2486" s="13">
        <f>SUMIFS(L:L,H:H,Online_eCommerce[[#This Row],[Brand]])</f>
        <v>10087000</v>
      </c>
      <c r="S2486" s="13">
        <f>SUMIF(H:H,Online_eCommerce[[#This Row],[Brand]],M:M)</f>
        <v>13113100</v>
      </c>
      <c r="T2486" s="13">
        <f>SUMIF(N:N,Online_eCommerce[[#This Row],[Assigned Supervisor]],L:L)</f>
        <v>11733610</v>
      </c>
    </row>
    <row r="2487" spans="1:20" hidden="1" x14ac:dyDescent="0.3">
      <c r="A2487" t="s">
        <v>3704</v>
      </c>
      <c r="B2487" t="s">
        <v>154</v>
      </c>
      <c r="C2487" t="s">
        <v>63</v>
      </c>
      <c r="D2487" t="s">
        <v>3703</v>
      </c>
      <c r="E2487" t="s">
        <v>96</v>
      </c>
      <c r="F2487" t="s">
        <v>3705</v>
      </c>
      <c r="G2487" t="s">
        <v>163</v>
      </c>
      <c r="H2487" t="s">
        <v>41</v>
      </c>
      <c r="I2487">
        <v>6550</v>
      </c>
      <c r="J2487">
        <v>8515</v>
      </c>
      <c r="K2487">
        <v>3</v>
      </c>
      <c r="L2487">
        <v>19650</v>
      </c>
      <c r="M2487">
        <v>25545</v>
      </c>
      <c r="N2487" t="s">
        <v>22</v>
      </c>
      <c r="O2487">
        <f t="shared" si="76"/>
        <v>13650</v>
      </c>
      <c r="P2487" s="13">
        <f t="shared" si="77"/>
        <v>2016131</v>
      </c>
      <c r="Q2487" s="13">
        <f>SUMIFS(M:M,E:E,Online_eCommerce[[#This Row],[Status]])</f>
        <v>21233992</v>
      </c>
      <c r="R2487" s="13">
        <f>SUMIFS(L:L,H:H,Online_eCommerce[[#This Row],[Brand]])</f>
        <v>4260400</v>
      </c>
      <c r="S2487" s="13">
        <f>SUMIF(H:H,Online_eCommerce[[#This Row],[Brand]],M:M)</f>
        <v>5538520</v>
      </c>
      <c r="T2487" s="13">
        <f>SUMIF(N:N,Online_eCommerce[[#This Row],[Assigned Supervisor]],L:L)</f>
        <v>13693220</v>
      </c>
    </row>
    <row r="2488" spans="1:20" hidden="1" x14ac:dyDescent="0.3">
      <c r="A2488" t="s">
        <v>3706</v>
      </c>
      <c r="B2488" t="s">
        <v>154</v>
      </c>
      <c r="C2488" t="s">
        <v>68</v>
      </c>
      <c r="D2488" t="s">
        <v>3703</v>
      </c>
      <c r="E2488" t="s">
        <v>18</v>
      </c>
      <c r="F2488" t="s">
        <v>47</v>
      </c>
      <c r="G2488" t="s">
        <v>66</v>
      </c>
      <c r="H2488" t="s">
        <v>49</v>
      </c>
      <c r="I2488">
        <v>7650</v>
      </c>
      <c r="J2488">
        <v>9945</v>
      </c>
      <c r="K2488">
        <v>2</v>
      </c>
      <c r="L2488">
        <v>15300</v>
      </c>
      <c r="M2488">
        <v>19890</v>
      </c>
      <c r="N2488" t="s">
        <v>28</v>
      </c>
      <c r="O2488">
        <f t="shared" si="76"/>
        <v>1690</v>
      </c>
      <c r="P2488" s="13">
        <f t="shared" si="77"/>
        <v>2974621</v>
      </c>
      <c r="Q2488" s="13">
        <f>SUMIFS(M:M,E:E,Online_eCommerce[[#This Row],[Status]])</f>
        <v>28340455</v>
      </c>
      <c r="R2488" s="13">
        <f>SUMIFS(L:L,H:H,Online_eCommerce[[#This Row],[Brand]])</f>
        <v>4528350</v>
      </c>
      <c r="S2488" s="13">
        <f>SUMIF(H:H,Online_eCommerce[[#This Row],[Brand]],M:M)</f>
        <v>5886855</v>
      </c>
      <c r="T2488" s="13">
        <f>SUMIF(N:N,Online_eCommerce[[#This Row],[Assigned Supervisor]],L:L)</f>
        <v>12220830</v>
      </c>
    </row>
    <row r="2489" spans="1:20" hidden="1" x14ac:dyDescent="0.3">
      <c r="A2489" t="s">
        <v>3707</v>
      </c>
      <c r="B2489" t="s">
        <v>154</v>
      </c>
      <c r="C2489" t="s">
        <v>74</v>
      </c>
      <c r="D2489" t="s">
        <v>3703</v>
      </c>
      <c r="E2489" t="s">
        <v>161</v>
      </c>
      <c r="F2489" t="s">
        <v>53</v>
      </c>
      <c r="G2489" t="s">
        <v>54</v>
      </c>
      <c r="H2489" t="s">
        <v>55</v>
      </c>
      <c r="I2489">
        <v>1150</v>
      </c>
      <c r="J2489">
        <v>1495</v>
      </c>
      <c r="K2489">
        <v>2</v>
      </c>
      <c r="L2489">
        <v>2300</v>
      </c>
      <c r="M2489">
        <v>2990</v>
      </c>
      <c r="N2489" t="s">
        <v>35</v>
      </c>
      <c r="O2489">
        <f t="shared" si="76"/>
        <v>2990</v>
      </c>
      <c r="P2489" s="13">
        <f t="shared" si="77"/>
        <v>2144701</v>
      </c>
      <c r="Q2489" s="13">
        <f>SUMIFS(M:M,E:E,Online_eCommerce[[#This Row],[Status]])</f>
        <v>21103186</v>
      </c>
      <c r="R2489" s="13">
        <f>SUMIFS(L:L,H:H,Online_eCommerce[[#This Row],[Brand]])</f>
        <v>2267380</v>
      </c>
      <c r="S2489" s="13">
        <f>SUMIF(H:H,Online_eCommerce[[#This Row],[Brand]],M:M)</f>
        <v>2947594</v>
      </c>
      <c r="T2489" s="13">
        <f>SUMIF(N:N,Online_eCommerce[[#This Row],[Assigned Supervisor]],L:L)</f>
        <v>14373360</v>
      </c>
    </row>
    <row r="2490" spans="1:20" x14ac:dyDescent="0.3">
      <c r="A2490" t="s">
        <v>3708</v>
      </c>
      <c r="B2490" t="s">
        <v>154</v>
      </c>
      <c r="C2490" t="s">
        <v>81</v>
      </c>
      <c r="D2490" t="s">
        <v>3703</v>
      </c>
      <c r="E2490" t="s">
        <v>46</v>
      </c>
      <c r="F2490" t="s">
        <v>59</v>
      </c>
      <c r="G2490" t="s">
        <v>60</v>
      </c>
      <c r="H2490" t="s">
        <v>61</v>
      </c>
      <c r="I2490">
        <v>850</v>
      </c>
      <c r="J2490">
        <v>1105</v>
      </c>
      <c r="K2490">
        <v>3</v>
      </c>
      <c r="L2490">
        <v>2550</v>
      </c>
      <c r="M2490">
        <v>3315</v>
      </c>
      <c r="N2490" t="s">
        <v>42</v>
      </c>
      <c r="O2490">
        <f t="shared" si="76"/>
        <v>3315</v>
      </c>
      <c r="P2490" s="13">
        <f t="shared" si="77"/>
        <v>2595632</v>
      </c>
      <c r="Q2490" s="13">
        <f>SUMIFS(M:M,E:E,Online_eCommerce[[#This Row],[Status]])</f>
        <v>28620410</v>
      </c>
      <c r="R2490" s="13">
        <f>SUMIFS(L:L,H:H,Online_eCommerce[[#This Row],[Brand]])</f>
        <v>10950150</v>
      </c>
      <c r="S2490" s="13">
        <f>SUMIF(H:H,Online_eCommerce[[#This Row],[Brand]],M:M)</f>
        <v>14235195</v>
      </c>
      <c r="T2490" s="13">
        <f>SUMIF(N:N,Online_eCommerce[[#This Row],[Assigned Supervisor]],L:L)</f>
        <v>12261500</v>
      </c>
    </row>
    <row r="2491" spans="1:20" hidden="1" x14ac:dyDescent="0.3">
      <c r="A2491" t="s">
        <v>3709</v>
      </c>
      <c r="B2491" t="s">
        <v>90</v>
      </c>
      <c r="C2491" t="s">
        <v>86</v>
      </c>
      <c r="D2491" t="s">
        <v>3703</v>
      </c>
      <c r="E2491" t="s">
        <v>96</v>
      </c>
      <c r="F2491" t="s">
        <v>65</v>
      </c>
      <c r="G2491" t="s">
        <v>66</v>
      </c>
      <c r="H2491" t="s">
        <v>21</v>
      </c>
      <c r="I2491">
        <v>650</v>
      </c>
      <c r="J2491">
        <v>845</v>
      </c>
      <c r="K2491">
        <v>2</v>
      </c>
      <c r="L2491">
        <v>1300</v>
      </c>
      <c r="M2491">
        <v>1690</v>
      </c>
      <c r="N2491" t="s">
        <v>50</v>
      </c>
      <c r="O2491">
        <f t="shared" si="76"/>
        <v>1690</v>
      </c>
      <c r="P2491" s="13">
        <f t="shared" si="77"/>
        <v>1941225</v>
      </c>
      <c r="Q2491" s="13">
        <f>SUMIFS(M:M,E:E,Online_eCommerce[[#This Row],[Status]])</f>
        <v>21233992</v>
      </c>
      <c r="R2491" s="13">
        <f>SUMIFS(L:L,H:H,Online_eCommerce[[#This Row],[Brand]])</f>
        <v>12435650</v>
      </c>
      <c r="S2491" s="13">
        <f>SUMIF(H:H,Online_eCommerce[[#This Row],[Brand]],M:M)</f>
        <v>16166345</v>
      </c>
      <c r="T2491" s="13">
        <f>SUMIF(N:N,Online_eCommerce[[#This Row],[Assigned Supervisor]],L:L)</f>
        <v>12100590</v>
      </c>
    </row>
    <row r="2492" spans="1:20" hidden="1" x14ac:dyDescent="0.3">
      <c r="A2492" t="s">
        <v>3710</v>
      </c>
      <c r="B2492" t="s">
        <v>232</v>
      </c>
      <c r="C2492" t="s">
        <v>91</v>
      </c>
      <c r="D2492" t="s">
        <v>3703</v>
      </c>
      <c r="E2492" t="s">
        <v>18</v>
      </c>
      <c r="F2492" t="s">
        <v>70</v>
      </c>
      <c r="G2492" t="s">
        <v>71</v>
      </c>
      <c r="H2492" t="s">
        <v>61</v>
      </c>
      <c r="I2492">
        <v>7500</v>
      </c>
      <c r="J2492">
        <v>9750</v>
      </c>
      <c r="K2492">
        <v>2</v>
      </c>
      <c r="L2492">
        <v>15000</v>
      </c>
      <c r="M2492">
        <v>19500</v>
      </c>
      <c r="N2492" t="s">
        <v>56</v>
      </c>
      <c r="O2492">
        <f t="shared" si="76"/>
        <v>9750</v>
      </c>
      <c r="P2492" s="13">
        <f t="shared" si="77"/>
        <v>2731963</v>
      </c>
      <c r="Q2492" s="13">
        <f>SUMIFS(M:M,E:E,Online_eCommerce[[#This Row],[Status]])</f>
        <v>28340455</v>
      </c>
      <c r="R2492" s="13">
        <f>SUMIFS(L:L,H:H,Online_eCommerce[[#This Row],[Brand]])</f>
        <v>10950150</v>
      </c>
      <c r="S2492" s="13">
        <f>SUMIF(H:H,Online_eCommerce[[#This Row],[Brand]],M:M)</f>
        <v>14235195</v>
      </c>
      <c r="T2492" s="13">
        <f>SUMIF(N:N,Online_eCommerce[[#This Row],[Assigned Supervisor]],L:L)</f>
        <v>11733610</v>
      </c>
    </row>
    <row r="2493" spans="1:20" hidden="1" x14ac:dyDescent="0.3">
      <c r="A2493" t="s">
        <v>3711</v>
      </c>
      <c r="B2493" t="s">
        <v>235</v>
      </c>
      <c r="C2493" t="s">
        <v>94</v>
      </c>
      <c r="D2493" t="s">
        <v>3703</v>
      </c>
      <c r="E2493" t="s">
        <v>161</v>
      </c>
      <c r="F2493" t="s">
        <v>3697</v>
      </c>
      <c r="G2493" t="s">
        <v>77</v>
      </c>
      <c r="H2493" t="s">
        <v>78</v>
      </c>
      <c r="I2493">
        <v>10000</v>
      </c>
      <c r="J2493">
        <v>13000</v>
      </c>
      <c r="K2493">
        <v>3</v>
      </c>
      <c r="L2493">
        <v>30000</v>
      </c>
      <c r="M2493">
        <v>39000</v>
      </c>
      <c r="N2493" t="s">
        <v>22</v>
      </c>
      <c r="O2493">
        <f t="shared" si="76"/>
        <v>39000</v>
      </c>
      <c r="P2493" s="13">
        <f t="shared" si="77"/>
        <v>1868256</v>
      </c>
      <c r="Q2493" s="13">
        <f>SUMIFS(M:M,E:E,Online_eCommerce[[#This Row],[Status]])</f>
        <v>21103186</v>
      </c>
      <c r="R2493" s="13">
        <f>SUMIFS(L:L,H:H,Online_eCommerce[[#This Row],[Brand]])</f>
        <v>3720000</v>
      </c>
      <c r="S2493" s="13">
        <f>SUMIF(H:H,Online_eCommerce[[#This Row],[Brand]],M:M)</f>
        <v>4836000</v>
      </c>
      <c r="T2493" s="13">
        <f>SUMIF(N:N,Online_eCommerce[[#This Row],[Assigned Supervisor]],L:L)</f>
        <v>13693220</v>
      </c>
    </row>
    <row r="2494" spans="1:20" x14ac:dyDescent="0.3">
      <c r="A2494" t="s">
        <v>3712</v>
      </c>
      <c r="B2494" t="s">
        <v>104</v>
      </c>
      <c r="C2494" t="s">
        <v>99</v>
      </c>
      <c r="D2494" t="s">
        <v>3703</v>
      </c>
      <c r="E2494" t="s">
        <v>46</v>
      </c>
      <c r="F2494" t="s">
        <v>3713</v>
      </c>
      <c r="G2494" t="s">
        <v>20</v>
      </c>
      <c r="H2494" t="s">
        <v>21</v>
      </c>
      <c r="I2494">
        <v>10500</v>
      </c>
      <c r="J2494">
        <v>13650</v>
      </c>
      <c r="K2494">
        <v>4</v>
      </c>
      <c r="L2494">
        <v>42000</v>
      </c>
      <c r="M2494">
        <v>54600</v>
      </c>
      <c r="N2494" t="s">
        <v>28</v>
      </c>
      <c r="O2494">
        <f t="shared" si="76"/>
        <v>8450</v>
      </c>
      <c r="P2494" s="13">
        <f t="shared" si="77"/>
        <v>2651233</v>
      </c>
      <c r="Q2494" s="13">
        <f>SUMIFS(M:M,E:E,Online_eCommerce[[#This Row],[Status]])</f>
        <v>28620410</v>
      </c>
      <c r="R2494" s="13">
        <f>SUMIFS(L:L,H:H,Online_eCommerce[[#This Row],[Brand]])</f>
        <v>12435650</v>
      </c>
      <c r="S2494" s="13">
        <f>SUMIF(H:H,Online_eCommerce[[#This Row],[Brand]],M:M)</f>
        <v>16166345</v>
      </c>
      <c r="T2494" s="13">
        <f>SUMIF(N:N,Online_eCommerce[[#This Row],[Assigned Supervisor]],L:L)</f>
        <v>12220830</v>
      </c>
    </row>
    <row r="2495" spans="1:20" hidden="1" x14ac:dyDescent="0.3">
      <c r="A2495" t="s">
        <v>3714</v>
      </c>
      <c r="B2495" t="s">
        <v>109</v>
      </c>
      <c r="C2495" t="s">
        <v>105</v>
      </c>
      <c r="D2495" t="s">
        <v>3703</v>
      </c>
      <c r="E2495" t="s">
        <v>96</v>
      </c>
      <c r="F2495" t="s">
        <v>88</v>
      </c>
      <c r="G2495" t="s">
        <v>26</v>
      </c>
      <c r="H2495" t="s">
        <v>27</v>
      </c>
      <c r="I2495">
        <v>8500</v>
      </c>
      <c r="J2495">
        <v>11050</v>
      </c>
      <c r="K2495">
        <v>1</v>
      </c>
      <c r="L2495">
        <v>8500</v>
      </c>
      <c r="M2495">
        <v>11050</v>
      </c>
      <c r="N2495" t="s">
        <v>35</v>
      </c>
      <c r="O2495">
        <f t="shared" si="76"/>
        <v>33150</v>
      </c>
      <c r="P2495" s="13">
        <f t="shared" si="77"/>
        <v>1866852</v>
      </c>
      <c r="Q2495" s="13">
        <f>SUMIFS(M:M,E:E,Online_eCommerce[[#This Row],[Status]])</f>
        <v>21233992</v>
      </c>
      <c r="R2495" s="13">
        <f>SUMIFS(L:L,H:H,Online_eCommerce[[#This Row],[Brand]])</f>
        <v>14431000</v>
      </c>
      <c r="S2495" s="13">
        <f>SUMIF(H:H,Online_eCommerce[[#This Row],[Brand]],M:M)</f>
        <v>18760300</v>
      </c>
      <c r="T2495" s="13">
        <f>SUMIF(N:N,Online_eCommerce[[#This Row],[Assigned Supervisor]],L:L)</f>
        <v>14373360</v>
      </c>
    </row>
    <row r="2496" spans="1:20" hidden="1" x14ac:dyDescent="0.3">
      <c r="A2496" t="s">
        <v>3715</v>
      </c>
      <c r="B2496" t="s">
        <v>114</v>
      </c>
      <c r="C2496" t="s">
        <v>110</v>
      </c>
      <c r="D2496" t="s">
        <v>3703</v>
      </c>
      <c r="E2496" t="s">
        <v>18</v>
      </c>
      <c r="F2496" t="s">
        <v>32</v>
      </c>
      <c r="G2496" t="s">
        <v>33</v>
      </c>
      <c r="H2496" t="s">
        <v>34</v>
      </c>
      <c r="I2496">
        <v>7000</v>
      </c>
      <c r="J2496">
        <v>9100</v>
      </c>
      <c r="K2496">
        <v>3</v>
      </c>
      <c r="L2496">
        <v>21000</v>
      </c>
      <c r="M2496">
        <v>27300</v>
      </c>
      <c r="N2496" t="s">
        <v>42</v>
      </c>
      <c r="O2496">
        <f t="shared" si="76"/>
        <v>18200</v>
      </c>
      <c r="P2496" s="13">
        <f t="shared" si="77"/>
        <v>2598635</v>
      </c>
      <c r="Q2496" s="13">
        <f>SUMIFS(M:M,E:E,Online_eCommerce[[#This Row],[Status]])</f>
        <v>28340455</v>
      </c>
      <c r="R2496" s="13">
        <f>SUMIFS(L:L,H:H,Online_eCommerce[[#This Row],[Brand]])</f>
        <v>10087000</v>
      </c>
      <c r="S2496" s="13">
        <f>SUMIF(H:H,Online_eCommerce[[#This Row],[Brand]],M:M)</f>
        <v>13113100</v>
      </c>
      <c r="T2496" s="13">
        <f>SUMIF(N:N,Online_eCommerce[[#This Row],[Assigned Supervisor]],L:L)</f>
        <v>12261500</v>
      </c>
    </row>
    <row r="2497" spans="1:20" hidden="1" x14ac:dyDescent="0.3">
      <c r="A2497" t="s">
        <v>3716</v>
      </c>
      <c r="B2497" t="s">
        <v>119</v>
      </c>
      <c r="C2497" t="s">
        <v>115</v>
      </c>
      <c r="D2497" t="s">
        <v>3703</v>
      </c>
      <c r="E2497" t="s">
        <v>161</v>
      </c>
      <c r="F2497" t="s">
        <v>3717</v>
      </c>
      <c r="G2497" t="s">
        <v>163</v>
      </c>
      <c r="H2497" t="s">
        <v>41</v>
      </c>
      <c r="I2497">
        <v>1680</v>
      </c>
      <c r="J2497">
        <v>2184</v>
      </c>
      <c r="K2497">
        <v>4</v>
      </c>
      <c r="L2497">
        <v>6720</v>
      </c>
      <c r="M2497">
        <v>8736</v>
      </c>
      <c r="N2497" t="s">
        <v>50</v>
      </c>
      <c r="O2497">
        <f t="shared" si="76"/>
        <v>13650</v>
      </c>
      <c r="P2497" s="13">
        <f t="shared" si="77"/>
        <v>2050178</v>
      </c>
      <c r="Q2497" s="13">
        <f>SUMIFS(M:M,E:E,Online_eCommerce[[#This Row],[Status]])</f>
        <v>21103186</v>
      </c>
      <c r="R2497" s="13">
        <f>SUMIFS(L:L,H:H,Online_eCommerce[[#This Row],[Brand]])</f>
        <v>4260400</v>
      </c>
      <c r="S2497" s="13">
        <f>SUMIF(H:H,Online_eCommerce[[#This Row],[Brand]],M:M)</f>
        <v>5538520</v>
      </c>
      <c r="T2497" s="13">
        <f>SUMIF(N:N,Online_eCommerce[[#This Row],[Assigned Supervisor]],L:L)</f>
        <v>12100590</v>
      </c>
    </row>
    <row r="2498" spans="1:20" x14ac:dyDescent="0.3">
      <c r="A2498" t="s">
        <v>3718</v>
      </c>
      <c r="B2498" t="s">
        <v>124</v>
      </c>
      <c r="C2498" t="s">
        <v>120</v>
      </c>
      <c r="D2498" t="s">
        <v>3703</v>
      </c>
      <c r="E2498" t="s">
        <v>46</v>
      </c>
      <c r="F2498" t="s">
        <v>101</v>
      </c>
      <c r="G2498" t="s">
        <v>66</v>
      </c>
      <c r="H2498" t="s">
        <v>102</v>
      </c>
      <c r="I2498">
        <v>6540</v>
      </c>
      <c r="J2498">
        <v>8502</v>
      </c>
      <c r="K2498">
        <v>4</v>
      </c>
      <c r="L2498">
        <v>26160</v>
      </c>
      <c r="M2498">
        <v>34008</v>
      </c>
      <c r="N2498" t="s">
        <v>56</v>
      </c>
      <c r="O2498">
        <f t="shared" ref="O2498:O2561" si="78">VLOOKUP(G2498,G:M,7,FALSE)</f>
        <v>1690</v>
      </c>
      <c r="P2498" s="13">
        <f t="shared" ref="P2498:P2561" si="79">SUMIFS(M:M,C:C,C2498)</f>
        <v>2734212</v>
      </c>
      <c r="Q2498" s="13">
        <f>SUMIFS(M:M,E:E,Online_eCommerce[[#This Row],[Status]])</f>
        <v>28620410</v>
      </c>
      <c r="R2498" s="13">
        <f>SUMIFS(L:L,H:H,Online_eCommerce[[#This Row],[Brand]])</f>
        <v>2465580</v>
      </c>
      <c r="S2498" s="13">
        <f>SUMIF(H:H,Online_eCommerce[[#This Row],[Brand]],M:M)</f>
        <v>3205254</v>
      </c>
      <c r="T2498" s="13">
        <f>SUMIF(N:N,Online_eCommerce[[#This Row],[Assigned Supervisor]],L:L)</f>
        <v>11733610</v>
      </c>
    </row>
    <row r="2499" spans="1:20" hidden="1" x14ac:dyDescent="0.3">
      <c r="A2499" t="s">
        <v>3719</v>
      </c>
      <c r="B2499" t="s">
        <v>128</v>
      </c>
      <c r="C2499" t="s">
        <v>125</v>
      </c>
      <c r="D2499" t="s">
        <v>3703</v>
      </c>
      <c r="E2499" t="s">
        <v>96</v>
      </c>
      <c r="F2499" t="s">
        <v>107</v>
      </c>
      <c r="G2499" t="s">
        <v>54</v>
      </c>
      <c r="H2499" t="s">
        <v>55</v>
      </c>
      <c r="I2499">
        <v>2680</v>
      </c>
      <c r="J2499">
        <v>3484</v>
      </c>
      <c r="K2499">
        <v>2</v>
      </c>
      <c r="L2499">
        <v>5360</v>
      </c>
      <c r="M2499">
        <v>6968</v>
      </c>
      <c r="N2499" t="s">
        <v>22</v>
      </c>
      <c r="O2499">
        <f t="shared" si="78"/>
        <v>2990</v>
      </c>
      <c r="P2499" s="13">
        <f t="shared" si="79"/>
        <v>2091154</v>
      </c>
      <c r="Q2499" s="13">
        <f>SUMIFS(M:M,E:E,Online_eCommerce[[#This Row],[Status]])</f>
        <v>21233992</v>
      </c>
      <c r="R2499" s="13">
        <f>SUMIFS(L:L,H:H,Online_eCommerce[[#This Row],[Brand]])</f>
        <v>2267380</v>
      </c>
      <c r="S2499" s="13">
        <f>SUMIF(H:H,Online_eCommerce[[#This Row],[Brand]],M:M)</f>
        <v>2947594</v>
      </c>
      <c r="T2499" s="13">
        <f>SUMIF(N:N,Online_eCommerce[[#This Row],[Assigned Supervisor]],L:L)</f>
        <v>13693220</v>
      </c>
    </row>
    <row r="2500" spans="1:20" hidden="1" x14ac:dyDescent="0.3">
      <c r="A2500" t="s">
        <v>3720</v>
      </c>
      <c r="B2500" t="s">
        <v>131</v>
      </c>
      <c r="C2500" t="s">
        <v>22</v>
      </c>
      <c r="D2500" t="s">
        <v>3703</v>
      </c>
      <c r="E2500" t="s">
        <v>18</v>
      </c>
      <c r="F2500" t="s">
        <v>112</v>
      </c>
      <c r="G2500" t="s">
        <v>71</v>
      </c>
      <c r="H2500" t="s">
        <v>21</v>
      </c>
      <c r="I2500">
        <v>8250</v>
      </c>
      <c r="J2500">
        <v>10725</v>
      </c>
      <c r="K2500">
        <v>3</v>
      </c>
      <c r="L2500">
        <v>24750</v>
      </c>
      <c r="M2500">
        <v>32175</v>
      </c>
      <c r="N2500" t="s">
        <v>28</v>
      </c>
      <c r="O2500">
        <f t="shared" si="78"/>
        <v>9750</v>
      </c>
      <c r="P2500" s="13">
        <f t="shared" si="79"/>
        <v>2551588</v>
      </c>
      <c r="Q2500" s="13">
        <f>SUMIFS(M:M,E:E,Online_eCommerce[[#This Row],[Status]])</f>
        <v>28340455</v>
      </c>
      <c r="R2500" s="13">
        <f>SUMIFS(L:L,H:H,Online_eCommerce[[#This Row],[Brand]])</f>
        <v>12435650</v>
      </c>
      <c r="S2500" s="13">
        <f>SUMIF(H:H,Online_eCommerce[[#This Row],[Brand]],M:M)</f>
        <v>16166345</v>
      </c>
      <c r="T2500" s="13">
        <f>SUMIF(N:N,Online_eCommerce[[#This Row],[Assigned Supervisor]],L:L)</f>
        <v>12220830</v>
      </c>
    </row>
    <row r="2501" spans="1:20" hidden="1" x14ac:dyDescent="0.3">
      <c r="A2501" t="s">
        <v>3721</v>
      </c>
      <c r="B2501" t="s">
        <v>135</v>
      </c>
      <c r="C2501" t="s">
        <v>132</v>
      </c>
      <c r="D2501" t="s">
        <v>3703</v>
      </c>
      <c r="E2501" t="s">
        <v>161</v>
      </c>
      <c r="F2501" t="s">
        <v>3354</v>
      </c>
      <c r="G2501" t="s">
        <v>40</v>
      </c>
      <c r="H2501" t="s">
        <v>21</v>
      </c>
      <c r="I2501">
        <v>2650</v>
      </c>
      <c r="J2501">
        <v>3445</v>
      </c>
      <c r="K2501">
        <v>3</v>
      </c>
      <c r="L2501">
        <v>7950</v>
      </c>
      <c r="M2501">
        <v>10335</v>
      </c>
      <c r="N2501" t="s">
        <v>35</v>
      </c>
      <c r="O2501">
        <f t="shared" si="78"/>
        <v>25545</v>
      </c>
      <c r="P2501" s="13">
        <f t="shared" si="79"/>
        <v>1989065</v>
      </c>
      <c r="Q2501" s="13">
        <f>SUMIFS(M:M,E:E,Online_eCommerce[[#This Row],[Status]])</f>
        <v>21103186</v>
      </c>
      <c r="R2501" s="13">
        <f>SUMIFS(L:L,H:H,Online_eCommerce[[#This Row],[Brand]])</f>
        <v>12435650</v>
      </c>
      <c r="S2501" s="13">
        <f>SUMIF(H:H,Online_eCommerce[[#This Row],[Brand]],M:M)</f>
        <v>16166345</v>
      </c>
      <c r="T2501" s="13">
        <f>SUMIF(N:N,Online_eCommerce[[#This Row],[Assigned Supervisor]],L:L)</f>
        <v>14373360</v>
      </c>
    </row>
    <row r="2502" spans="1:20" x14ac:dyDescent="0.3">
      <c r="A2502" t="s">
        <v>3722</v>
      </c>
      <c r="B2502" t="s">
        <v>139</v>
      </c>
      <c r="C2502" t="s">
        <v>136</v>
      </c>
      <c r="D2502" t="s">
        <v>3703</v>
      </c>
      <c r="E2502" t="s">
        <v>46</v>
      </c>
      <c r="F2502" t="s">
        <v>121</v>
      </c>
      <c r="G2502" t="s">
        <v>71</v>
      </c>
      <c r="H2502" t="s">
        <v>122</v>
      </c>
      <c r="I2502">
        <v>12550</v>
      </c>
      <c r="J2502">
        <v>16315</v>
      </c>
      <c r="K2502">
        <v>1</v>
      </c>
      <c r="L2502">
        <v>12550</v>
      </c>
      <c r="M2502">
        <v>16315</v>
      </c>
      <c r="N2502" t="s">
        <v>42</v>
      </c>
      <c r="O2502">
        <f t="shared" si="78"/>
        <v>9750</v>
      </c>
      <c r="P2502" s="13">
        <f t="shared" si="79"/>
        <v>2775162</v>
      </c>
      <c r="Q2502" s="13">
        <f>SUMIFS(M:M,E:E,Online_eCommerce[[#This Row],[Status]])</f>
        <v>28620410</v>
      </c>
      <c r="R2502" s="13">
        <f>SUMIFS(L:L,H:H,Online_eCommerce[[#This Row],[Brand]])</f>
        <v>5045100</v>
      </c>
      <c r="S2502" s="13">
        <f>SUMIF(H:H,Online_eCommerce[[#This Row],[Brand]],M:M)</f>
        <v>6558630</v>
      </c>
      <c r="T2502" s="13">
        <f>SUMIF(N:N,Online_eCommerce[[#This Row],[Assigned Supervisor]],L:L)</f>
        <v>12261500</v>
      </c>
    </row>
    <row r="2503" spans="1:20" hidden="1" x14ac:dyDescent="0.3">
      <c r="A2503" t="s">
        <v>3723</v>
      </c>
      <c r="B2503" t="s">
        <v>144</v>
      </c>
      <c r="C2503" t="s">
        <v>140</v>
      </c>
      <c r="D2503" t="s">
        <v>3703</v>
      </c>
      <c r="E2503" t="s">
        <v>96</v>
      </c>
      <c r="F2503" t="s">
        <v>126</v>
      </c>
      <c r="G2503" t="s">
        <v>26</v>
      </c>
      <c r="H2503" t="s">
        <v>27</v>
      </c>
      <c r="I2503">
        <v>14500</v>
      </c>
      <c r="J2503">
        <v>18850</v>
      </c>
      <c r="K2503">
        <v>3</v>
      </c>
      <c r="L2503">
        <v>43500</v>
      </c>
      <c r="M2503">
        <v>56550</v>
      </c>
      <c r="N2503" t="s">
        <v>50</v>
      </c>
      <c r="O2503">
        <f t="shared" si="78"/>
        <v>33150</v>
      </c>
      <c r="P2503" s="13">
        <f t="shared" si="79"/>
        <v>2058264</v>
      </c>
      <c r="Q2503" s="13">
        <f>SUMIFS(M:M,E:E,Online_eCommerce[[#This Row],[Status]])</f>
        <v>21233992</v>
      </c>
      <c r="R2503" s="13">
        <f>SUMIFS(L:L,H:H,Online_eCommerce[[#This Row],[Brand]])</f>
        <v>14431000</v>
      </c>
      <c r="S2503" s="13">
        <f>SUMIF(H:H,Online_eCommerce[[#This Row],[Brand]],M:M)</f>
        <v>18760300</v>
      </c>
      <c r="T2503" s="13">
        <f>SUMIF(N:N,Online_eCommerce[[#This Row],[Assigned Supervisor]],L:L)</f>
        <v>12100590</v>
      </c>
    </row>
    <row r="2504" spans="1:20" hidden="1" x14ac:dyDescent="0.3">
      <c r="A2504" t="s">
        <v>3724</v>
      </c>
      <c r="B2504" t="s">
        <v>149</v>
      </c>
      <c r="C2504" t="s">
        <v>145</v>
      </c>
      <c r="D2504" t="s">
        <v>3703</v>
      </c>
      <c r="E2504" t="s">
        <v>18</v>
      </c>
      <c r="F2504" t="s">
        <v>129</v>
      </c>
      <c r="G2504" t="s">
        <v>60</v>
      </c>
      <c r="H2504" t="s">
        <v>61</v>
      </c>
      <c r="I2504">
        <v>800</v>
      </c>
      <c r="J2504">
        <v>1040</v>
      </c>
      <c r="K2504">
        <v>4</v>
      </c>
      <c r="L2504">
        <v>3200</v>
      </c>
      <c r="M2504">
        <v>4160</v>
      </c>
      <c r="N2504" t="s">
        <v>56</v>
      </c>
      <c r="O2504">
        <f t="shared" si="78"/>
        <v>3315</v>
      </c>
      <c r="P2504" s="13">
        <f t="shared" si="79"/>
        <v>2757859</v>
      </c>
      <c r="Q2504" s="13">
        <f>SUMIFS(M:M,E:E,Online_eCommerce[[#This Row],[Status]])</f>
        <v>28340455</v>
      </c>
      <c r="R2504" s="13">
        <f>SUMIFS(L:L,H:H,Online_eCommerce[[#This Row],[Brand]])</f>
        <v>10950150</v>
      </c>
      <c r="S2504" s="13">
        <f>SUMIF(H:H,Online_eCommerce[[#This Row],[Brand]],M:M)</f>
        <v>14235195</v>
      </c>
      <c r="T2504" s="13">
        <f>SUMIF(N:N,Online_eCommerce[[#This Row],[Assigned Supervisor]],L:L)</f>
        <v>11733610</v>
      </c>
    </row>
    <row r="2505" spans="1:20" hidden="1" x14ac:dyDescent="0.3">
      <c r="A2505" t="s">
        <v>3725</v>
      </c>
      <c r="B2505" t="s">
        <v>154</v>
      </c>
      <c r="C2505" t="s">
        <v>150</v>
      </c>
      <c r="D2505" t="s">
        <v>3703</v>
      </c>
      <c r="E2505" t="s">
        <v>161</v>
      </c>
      <c r="F2505" t="s">
        <v>133</v>
      </c>
      <c r="G2505" t="s">
        <v>66</v>
      </c>
      <c r="H2505" t="s">
        <v>21</v>
      </c>
      <c r="I2505">
        <v>600</v>
      </c>
      <c r="J2505">
        <v>780</v>
      </c>
      <c r="K2505">
        <v>3</v>
      </c>
      <c r="L2505">
        <v>1800</v>
      </c>
      <c r="M2505">
        <v>2340</v>
      </c>
      <c r="N2505" t="s">
        <v>22</v>
      </c>
      <c r="O2505">
        <f t="shared" si="78"/>
        <v>1690</v>
      </c>
      <c r="P2505" s="13">
        <f t="shared" si="79"/>
        <v>2154984</v>
      </c>
      <c r="Q2505" s="13">
        <f>SUMIFS(M:M,E:E,Online_eCommerce[[#This Row],[Status]])</f>
        <v>21103186</v>
      </c>
      <c r="R2505" s="13">
        <f>SUMIFS(L:L,H:H,Online_eCommerce[[#This Row],[Brand]])</f>
        <v>12435650</v>
      </c>
      <c r="S2505" s="13">
        <f>SUMIF(H:H,Online_eCommerce[[#This Row],[Brand]],M:M)</f>
        <v>16166345</v>
      </c>
      <c r="T2505" s="13">
        <f>SUMIF(N:N,Online_eCommerce[[#This Row],[Assigned Supervisor]],L:L)</f>
        <v>13693220</v>
      </c>
    </row>
    <row r="2506" spans="1:20" x14ac:dyDescent="0.3">
      <c r="A2506" t="s">
        <v>3726</v>
      </c>
      <c r="B2506" t="s">
        <v>159</v>
      </c>
      <c r="C2506" t="s">
        <v>155</v>
      </c>
      <c r="D2506" t="s">
        <v>3703</v>
      </c>
      <c r="E2506" t="s">
        <v>46</v>
      </c>
      <c r="F2506" t="s">
        <v>137</v>
      </c>
      <c r="G2506" t="s">
        <v>71</v>
      </c>
      <c r="H2506" t="s">
        <v>61</v>
      </c>
      <c r="I2506">
        <v>10500</v>
      </c>
      <c r="J2506">
        <v>13650</v>
      </c>
      <c r="K2506">
        <v>1</v>
      </c>
      <c r="L2506">
        <v>10500</v>
      </c>
      <c r="M2506">
        <v>13650</v>
      </c>
      <c r="N2506" t="s">
        <v>28</v>
      </c>
      <c r="O2506">
        <f t="shared" si="78"/>
        <v>9750</v>
      </c>
      <c r="P2506" s="13">
        <f t="shared" si="79"/>
        <v>2753348</v>
      </c>
      <c r="Q2506" s="13">
        <f>SUMIFS(M:M,E:E,Online_eCommerce[[#This Row],[Status]])</f>
        <v>28620410</v>
      </c>
      <c r="R2506" s="13">
        <f>SUMIFS(L:L,H:H,Online_eCommerce[[#This Row],[Brand]])</f>
        <v>10950150</v>
      </c>
      <c r="S2506" s="13">
        <f>SUMIF(H:H,Online_eCommerce[[#This Row],[Brand]],M:M)</f>
        <v>14235195</v>
      </c>
      <c r="T2506" s="13">
        <f>SUMIF(N:N,Online_eCommerce[[#This Row],[Assigned Supervisor]],L:L)</f>
        <v>12220830</v>
      </c>
    </row>
    <row r="2507" spans="1:20" hidden="1" x14ac:dyDescent="0.3">
      <c r="A2507" t="s">
        <v>3727</v>
      </c>
      <c r="B2507" t="s">
        <v>139</v>
      </c>
      <c r="C2507" t="s">
        <v>160</v>
      </c>
      <c r="D2507" t="s">
        <v>3703</v>
      </c>
      <c r="E2507" t="s">
        <v>96</v>
      </c>
      <c r="F2507" t="s">
        <v>3697</v>
      </c>
      <c r="G2507" t="s">
        <v>77</v>
      </c>
      <c r="H2507" t="s">
        <v>142</v>
      </c>
      <c r="I2507">
        <v>6500</v>
      </c>
      <c r="J2507">
        <v>8450</v>
      </c>
      <c r="K2507">
        <v>3</v>
      </c>
      <c r="L2507">
        <v>19500</v>
      </c>
      <c r="M2507">
        <v>25350</v>
      </c>
      <c r="N2507" t="s">
        <v>35</v>
      </c>
      <c r="O2507">
        <f t="shared" si="78"/>
        <v>39000</v>
      </c>
      <c r="P2507" s="13">
        <f t="shared" si="79"/>
        <v>2303483</v>
      </c>
      <c r="Q2507" s="13">
        <f>SUMIFS(M:M,E:E,Online_eCommerce[[#This Row],[Status]])</f>
        <v>21233992</v>
      </c>
      <c r="R2507" s="13">
        <f>SUMIFS(L:L,H:H,Online_eCommerce[[#This Row],[Brand]])</f>
        <v>6192500</v>
      </c>
      <c r="S2507" s="13">
        <f>SUMIF(H:H,Online_eCommerce[[#This Row],[Brand]],M:M)</f>
        <v>8050250</v>
      </c>
      <c r="T2507" s="13">
        <f>SUMIF(N:N,Online_eCommerce[[#This Row],[Assigned Supervisor]],L:L)</f>
        <v>14373360</v>
      </c>
    </row>
    <row r="2508" spans="1:20" hidden="1" x14ac:dyDescent="0.3">
      <c r="A2508" t="s">
        <v>3728</v>
      </c>
      <c r="B2508" t="s">
        <v>144</v>
      </c>
      <c r="C2508" t="s">
        <v>165</v>
      </c>
      <c r="D2508" t="s">
        <v>3703</v>
      </c>
      <c r="E2508" t="s">
        <v>18</v>
      </c>
      <c r="F2508" t="s">
        <v>3729</v>
      </c>
      <c r="G2508" t="s">
        <v>20</v>
      </c>
      <c r="H2508" t="s">
        <v>21</v>
      </c>
      <c r="I2508">
        <v>4500</v>
      </c>
      <c r="J2508">
        <v>5850</v>
      </c>
      <c r="K2508">
        <v>1</v>
      </c>
      <c r="L2508">
        <v>4500</v>
      </c>
      <c r="M2508">
        <v>5850</v>
      </c>
      <c r="N2508" t="s">
        <v>42</v>
      </c>
      <c r="O2508">
        <f t="shared" si="78"/>
        <v>8450</v>
      </c>
      <c r="P2508" s="13">
        <f t="shared" si="79"/>
        <v>2674087</v>
      </c>
      <c r="Q2508" s="13">
        <f>SUMIFS(M:M,E:E,Online_eCommerce[[#This Row],[Status]])</f>
        <v>28340455</v>
      </c>
      <c r="R2508" s="13">
        <f>SUMIFS(L:L,H:H,Online_eCommerce[[#This Row],[Brand]])</f>
        <v>12435650</v>
      </c>
      <c r="S2508" s="13">
        <f>SUMIF(H:H,Online_eCommerce[[#This Row],[Brand]],M:M)</f>
        <v>16166345</v>
      </c>
      <c r="T2508" s="13">
        <f>SUMIF(N:N,Online_eCommerce[[#This Row],[Assigned Supervisor]],L:L)</f>
        <v>12261500</v>
      </c>
    </row>
    <row r="2509" spans="1:20" hidden="1" x14ac:dyDescent="0.3">
      <c r="A2509" t="s">
        <v>3730</v>
      </c>
      <c r="B2509" t="s">
        <v>171</v>
      </c>
      <c r="C2509" t="s">
        <v>168</v>
      </c>
      <c r="D2509" t="s">
        <v>3731</v>
      </c>
      <c r="E2509" t="s">
        <v>161</v>
      </c>
      <c r="F2509" t="s">
        <v>152</v>
      </c>
      <c r="G2509" t="s">
        <v>26</v>
      </c>
      <c r="H2509" t="s">
        <v>27</v>
      </c>
      <c r="I2509">
        <v>8500</v>
      </c>
      <c r="J2509">
        <v>11050</v>
      </c>
      <c r="K2509">
        <v>4</v>
      </c>
      <c r="L2509">
        <v>34000</v>
      </c>
      <c r="M2509">
        <v>44200</v>
      </c>
      <c r="N2509" t="s">
        <v>50</v>
      </c>
      <c r="O2509">
        <f t="shared" si="78"/>
        <v>33150</v>
      </c>
      <c r="P2509" s="13">
        <f t="shared" si="79"/>
        <v>1937780</v>
      </c>
      <c r="Q2509" s="13">
        <f>SUMIFS(M:M,E:E,Online_eCommerce[[#This Row],[Status]])</f>
        <v>21103186</v>
      </c>
      <c r="R2509" s="13">
        <f>SUMIFS(L:L,H:H,Online_eCommerce[[#This Row],[Brand]])</f>
        <v>14431000</v>
      </c>
      <c r="S2509" s="13">
        <f>SUMIF(H:H,Online_eCommerce[[#This Row],[Brand]],M:M)</f>
        <v>18760300</v>
      </c>
      <c r="T2509" s="13">
        <f>SUMIF(N:N,Online_eCommerce[[#This Row],[Assigned Supervisor]],L:L)</f>
        <v>12100590</v>
      </c>
    </row>
    <row r="2510" spans="1:20" x14ac:dyDescent="0.3">
      <c r="A2510" t="s">
        <v>3732</v>
      </c>
      <c r="B2510" t="s">
        <v>176</v>
      </c>
      <c r="C2510" t="s">
        <v>172</v>
      </c>
      <c r="D2510" t="s">
        <v>3733</v>
      </c>
      <c r="E2510" t="s">
        <v>46</v>
      </c>
      <c r="F2510" t="s">
        <v>157</v>
      </c>
      <c r="G2510" t="s">
        <v>33</v>
      </c>
      <c r="H2510" t="s">
        <v>34</v>
      </c>
      <c r="I2510">
        <v>12500</v>
      </c>
      <c r="J2510">
        <v>16250</v>
      </c>
      <c r="K2510">
        <v>3</v>
      </c>
      <c r="L2510">
        <v>37500</v>
      </c>
      <c r="M2510">
        <v>48750</v>
      </c>
      <c r="N2510" t="s">
        <v>56</v>
      </c>
      <c r="O2510">
        <f t="shared" si="78"/>
        <v>18200</v>
      </c>
      <c r="P2510" s="13">
        <f t="shared" si="79"/>
        <v>2640274</v>
      </c>
      <c r="Q2510" s="13">
        <f>SUMIFS(M:M,E:E,Online_eCommerce[[#This Row],[Status]])</f>
        <v>28620410</v>
      </c>
      <c r="R2510" s="13">
        <f>SUMIFS(L:L,H:H,Online_eCommerce[[#This Row],[Brand]])</f>
        <v>10087000</v>
      </c>
      <c r="S2510" s="13">
        <f>SUMIF(H:H,Online_eCommerce[[#This Row],[Brand]],M:M)</f>
        <v>13113100</v>
      </c>
      <c r="T2510" s="13">
        <f>SUMIF(N:N,Online_eCommerce[[#This Row],[Assigned Supervisor]],L:L)</f>
        <v>11733610</v>
      </c>
    </row>
    <row r="2511" spans="1:20" hidden="1" x14ac:dyDescent="0.3">
      <c r="A2511" t="s">
        <v>3734</v>
      </c>
      <c r="B2511" t="s">
        <v>276</v>
      </c>
      <c r="C2511" t="s">
        <v>177</v>
      </c>
      <c r="D2511" t="s">
        <v>3735</v>
      </c>
      <c r="E2511" t="s">
        <v>96</v>
      </c>
      <c r="F2511" t="s">
        <v>3396</v>
      </c>
      <c r="G2511" t="s">
        <v>256</v>
      </c>
      <c r="H2511" t="s">
        <v>41</v>
      </c>
      <c r="I2511">
        <v>3500</v>
      </c>
      <c r="J2511">
        <v>4550</v>
      </c>
      <c r="K2511">
        <v>3</v>
      </c>
      <c r="L2511">
        <v>10500</v>
      </c>
      <c r="M2511">
        <v>13650</v>
      </c>
      <c r="N2511" t="s">
        <v>22</v>
      </c>
      <c r="O2511">
        <f t="shared" si="78"/>
        <v>9100</v>
      </c>
      <c r="P2511" s="13">
        <f t="shared" si="79"/>
        <v>1863810</v>
      </c>
      <c r="Q2511" s="13">
        <f>SUMIFS(M:M,E:E,Online_eCommerce[[#This Row],[Status]])</f>
        <v>21233992</v>
      </c>
      <c r="R2511" s="13">
        <f>SUMIFS(L:L,H:H,Online_eCommerce[[#This Row],[Brand]])</f>
        <v>4260400</v>
      </c>
      <c r="S2511" s="13">
        <f>SUMIF(H:H,Online_eCommerce[[#This Row],[Brand]],M:M)</f>
        <v>5538520</v>
      </c>
      <c r="T2511" s="13">
        <f>SUMIF(N:N,Online_eCommerce[[#This Row],[Assigned Supervisor]],L:L)</f>
        <v>13693220</v>
      </c>
    </row>
    <row r="2512" spans="1:20" hidden="1" x14ac:dyDescent="0.3">
      <c r="A2512" t="s">
        <v>3736</v>
      </c>
      <c r="B2512" t="s">
        <v>280</v>
      </c>
      <c r="C2512" t="s">
        <v>181</v>
      </c>
      <c r="D2512" t="s">
        <v>3737</v>
      </c>
      <c r="E2512" t="s">
        <v>18</v>
      </c>
      <c r="F2512" t="s">
        <v>166</v>
      </c>
      <c r="G2512" t="s">
        <v>259</v>
      </c>
      <c r="H2512" t="s">
        <v>49</v>
      </c>
      <c r="I2512">
        <v>4500</v>
      </c>
      <c r="J2512">
        <v>5850</v>
      </c>
      <c r="K2512">
        <v>3</v>
      </c>
      <c r="L2512">
        <v>13500</v>
      </c>
      <c r="M2512">
        <v>17550</v>
      </c>
      <c r="N2512" t="s">
        <v>28</v>
      </c>
      <c r="O2512">
        <f t="shared" si="78"/>
        <v>11700</v>
      </c>
      <c r="P2512" s="13">
        <f t="shared" si="79"/>
        <v>2577458</v>
      </c>
      <c r="Q2512" s="13">
        <f>SUMIFS(M:M,E:E,Online_eCommerce[[#This Row],[Status]])</f>
        <v>28340455</v>
      </c>
      <c r="R2512" s="13">
        <f>SUMIFS(L:L,H:H,Online_eCommerce[[#This Row],[Brand]])</f>
        <v>4528350</v>
      </c>
      <c r="S2512" s="13">
        <f>SUMIF(H:H,Online_eCommerce[[#This Row],[Brand]],M:M)</f>
        <v>5886855</v>
      </c>
      <c r="T2512" s="13">
        <f>SUMIF(N:N,Online_eCommerce[[#This Row],[Assigned Supervisor]],L:L)</f>
        <v>12220830</v>
      </c>
    </row>
    <row r="2513" spans="1:20" hidden="1" x14ac:dyDescent="0.3">
      <c r="A2513" t="s">
        <v>3738</v>
      </c>
      <c r="B2513" t="s">
        <v>283</v>
      </c>
      <c r="C2513" t="s">
        <v>185</v>
      </c>
      <c r="D2513" t="s">
        <v>3739</v>
      </c>
      <c r="E2513" t="s">
        <v>161</v>
      </c>
      <c r="F2513" t="s">
        <v>3740</v>
      </c>
      <c r="G2513" t="s">
        <v>54</v>
      </c>
      <c r="H2513" t="s">
        <v>55</v>
      </c>
      <c r="I2513">
        <v>2100</v>
      </c>
      <c r="J2513">
        <v>2730</v>
      </c>
      <c r="K2513">
        <v>3</v>
      </c>
      <c r="L2513">
        <v>6300</v>
      </c>
      <c r="M2513">
        <v>8190</v>
      </c>
      <c r="N2513" t="s">
        <v>35</v>
      </c>
      <c r="O2513">
        <f t="shared" si="78"/>
        <v>2990</v>
      </c>
      <c r="P2513" s="13">
        <f t="shared" si="79"/>
        <v>2091596</v>
      </c>
      <c r="Q2513" s="13">
        <f>SUMIFS(M:M,E:E,Online_eCommerce[[#This Row],[Status]])</f>
        <v>21103186</v>
      </c>
      <c r="R2513" s="13">
        <f>SUMIFS(L:L,H:H,Online_eCommerce[[#This Row],[Brand]])</f>
        <v>2267380</v>
      </c>
      <c r="S2513" s="13">
        <f>SUMIF(H:H,Online_eCommerce[[#This Row],[Brand]],M:M)</f>
        <v>2947594</v>
      </c>
      <c r="T2513" s="13">
        <f>SUMIF(N:N,Online_eCommerce[[#This Row],[Assigned Supervisor]],L:L)</f>
        <v>14373360</v>
      </c>
    </row>
    <row r="2514" spans="1:20" x14ac:dyDescent="0.3">
      <c r="A2514" t="s">
        <v>3741</v>
      </c>
      <c r="B2514" t="s">
        <v>287</v>
      </c>
      <c r="C2514" t="s">
        <v>189</v>
      </c>
      <c r="D2514" t="s">
        <v>3742</v>
      </c>
      <c r="E2514" t="s">
        <v>46</v>
      </c>
      <c r="F2514" t="s">
        <v>174</v>
      </c>
      <c r="G2514" t="s">
        <v>60</v>
      </c>
      <c r="H2514" t="s">
        <v>61</v>
      </c>
      <c r="I2514">
        <v>1150</v>
      </c>
      <c r="J2514">
        <v>1495</v>
      </c>
      <c r="K2514">
        <v>4</v>
      </c>
      <c r="L2514">
        <v>4600</v>
      </c>
      <c r="M2514">
        <v>5980</v>
      </c>
      <c r="N2514" t="s">
        <v>42</v>
      </c>
      <c r="O2514">
        <f t="shared" si="78"/>
        <v>3315</v>
      </c>
      <c r="P2514" s="13">
        <f t="shared" si="79"/>
        <v>2740777</v>
      </c>
      <c r="Q2514" s="13">
        <f>SUMIFS(M:M,E:E,Online_eCommerce[[#This Row],[Status]])</f>
        <v>28620410</v>
      </c>
      <c r="R2514" s="13">
        <f>SUMIFS(L:L,H:H,Online_eCommerce[[#This Row],[Brand]])</f>
        <v>10950150</v>
      </c>
      <c r="S2514" s="13">
        <f>SUMIF(H:H,Online_eCommerce[[#This Row],[Brand]],M:M)</f>
        <v>14235195</v>
      </c>
      <c r="T2514" s="13">
        <f>SUMIF(N:N,Online_eCommerce[[#This Row],[Assigned Supervisor]],L:L)</f>
        <v>12261500</v>
      </c>
    </row>
    <row r="2515" spans="1:20" hidden="1" x14ac:dyDescent="0.3">
      <c r="A2515" t="s">
        <v>3743</v>
      </c>
      <c r="B2515" t="s">
        <v>290</v>
      </c>
      <c r="C2515" t="s">
        <v>193</v>
      </c>
      <c r="D2515" t="s">
        <v>3744</v>
      </c>
      <c r="E2515" t="s">
        <v>96</v>
      </c>
      <c r="F2515" t="s">
        <v>179</v>
      </c>
      <c r="G2515" t="s">
        <v>66</v>
      </c>
      <c r="H2515" t="s">
        <v>21</v>
      </c>
      <c r="I2515">
        <v>350</v>
      </c>
      <c r="J2515">
        <v>455</v>
      </c>
      <c r="K2515">
        <v>1</v>
      </c>
      <c r="L2515">
        <v>350</v>
      </c>
      <c r="M2515">
        <v>455</v>
      </c>
      <c r="N2515" t="s">
        <v>50</v>
      </c>
      <c r="O2515">
        <f t="shared" si="78"/>
        <v>1690</v>
      </c>
      <c r="P2515" s="13">
        <f t="shared" si="79"/>
        <v>2074774</v>
      </c>
      <c r="Q2515" s="13">
        <f>SUMIFS(M:M,E:E,Online_eCommerce[[#This Row],[Status]])</f>
        <v>21233992</v>
      </c>
      <c r="R2515" s="13">
        <f>SUMIFS(L:L,H:H,Online_eCommerce[[#This Row],[Brand]])</f>
        <v>12435650</v>
      </c>
      <c r="S2515" s="13">
        <f>SUMIF(H:H,Online_eCommerce[[#This Row],[Brand]],M:M)</f>
        <v>16166345</v>
      </c>
      <c r="T2515" s="13">
        <f>SUMIF(N:N,Online_eCommerce[[#This Row],[Assigned Supervisor]],L:L)</f>
        <v>12100590</v>
      </c>
    </row>
    <row r="2516" spans="1:20" hidden="1" x14ac:dyDescent="0.3">
      <c r="A2516" t="s">
        <v>3745</v>
      </c>
      <c r="B2516" t="s">
        <v>15</v>
      </c>
      <c r="C2516" t="s">
        <v>197</v>
      </c>
      <c r="D2516" t="s">
        <v>3746</v>
      </c>
      <c r="E2516" t="s">
        <v>18</v>
      </c>
      <c r="F2516" t="s">
        <v>183</v>
      </c>
      <c r="G2516" t="s">
        <v>71</v>
      </c>
      <c r="H2516" t="s">
        <v>61</v>
      </c>
      <c r="I2516">
        <v>9500</v>
      </c>
      <c r="J2516">
        <v>12350</v>
      </c>
      <c r="K2516">
        <v>4</v>
      </c>
      <c r="L2516">
        <v>38000</v>
      </c>
      <c r="M2516">
        <v>49400</v>
      </c>
      <c r="N2516" t="s">
        <v>56</v>
      </c>
      <c r="O2516">
        <f t="shared" si="78"/>
        <v>9750</v>
      </c>
      <c r="P2516" s="13">
        <f t="shared" si="79"/>
        <v>2829840</v>
      </c>
      <c r="Q2516" s="13">
        <f>SUMIFS(M:M,E:E,Online_eCommerce[[#This Row],[Status]])</f>
        <v>28340455</v>
      </c>
      <c r="R2516" s="13">
        <f>SUMIFS(L:L,H:H,Online_eCommerce[[#This Row],[Brand]])</f>
        <v>10950150</v>
      </c>
      <c r="S2516" s="13">
        <f>SUMIF(H:H,Online_eCommerce[[#This Row],[Brand]],M:M)</f>
        <v>14235195</v>
      </c>
      <c r="T2516" s="13">
        <f>SUMIF(N:N,Online_eCommerce[[#This Row],[Assigned Supervisor]],L:L)</f>
        <v>11733610</v>
      </c>
    </row>
    <row r="2517" spans="1:20" hidden="1" x14ac:dyDescent="0.3">
      <c r="A2517" t="s">
        <v>3747</v>
      </c>
      <c r="B2517" t="s">
        <v>202</v>
      </c>
      <c r="C2517" t="s">
        <v>199</v>
      </c>
      <c r="D2517" t="s">
        <v>3746</v>
      </c>
      <c r="E2517" t="s">
        <v>161</v>
      </c>
      <c r="F2517" t="s">
        <v>3748</v>
      </c>
      <c r="G2517" t="s">
        <v>77</v>
      </c>
      <c r="H2517" t="s">
        <v>142</v>
      </c>
      <c r="I2517">
        <v>10000</v>
      </c>
      <c r="J2517">
        <v>13000</v>
      </c>
      <c r="K2517">
        <v>1</v>
      </c>
      <c r="L2517">
        <v>10000</v>
      </c>
      <c r="M2517">
        <v>13000</v>
      </c>
      <c r="N2517" t="s">
        <v>22</v>
      </c>
      <c r="O2517">
        <f t="shared" si="78"/>
        <v>39000</v>
      </c>
      <c r="P2517" s="13">
        <f t="shared" si="79"/>
        <v>1947361</v>
      </c>
      <c r="Q2517" s="13">
        <f>SUMIFS(M:M,E:E,Online_eCommerce[[#This Row],[Status]])</f>
        <v>21103186</v>
      </c>
      <c r="R2517" s="13">
        <f>SUMIFS(L:L,H:H,Online_eCommerce[[#This Row],[Brand]])</f>
        <v>6192500</v>
      </c>
      <c r="S2517" s="13">
        <f>SUMIF(H:H,Online_eCommerce[[#This Row],[Brand]],M:M)</f>
        <v>8050250</v>
      </c>
      <c r="T2517" s="13">
        <f>SUMIF(N:N,Online_eCommerce[[#This Row],[Assigned Supervisor]],L:L)</f>
        <v>13693220</v>
      </c>
    </row>
    <row r="2518" spans="1:20" x14ac:dyDescent="0.3">
      <c r="A2518" t="s">
        <v>3749</v>
      </c>
      <c r="B2518" t="s">
        <v>30</v>
      </c>
      <c r="C2518" t="s">
        <v>203</v>
      </c>
      <c r="D2518" t="s">
        <v>3746</v>
      </c>
      <c r="E2518" t="s">
        <v>46</v>
      </c>
      <c r="F2518" t="s">
        <v>3750</v>
      </c>
      <c r="G2518" t="s">
        <v>20</v>
      </c>
      <c r="H2518" t="s">
        <v>21</v>
      </c>
      <c r="I2518">
        <v>6500</v>
      </c>
      <c r="J2518">
        <v>8450</v>
      </c>
      <c r="K2518">
        <v>4</v>
      </c>
      <c r="L2518">
        <v>26000</v>
      </c>
      <c r="M2518">
        <v>33800</v>
      </c>
      <c r="N2518" t="s">
        <v>28</v>
      </c>
      <c r="O2518">
        <f t="shared" si="78"/>
        <v>8450</v>
      </c>
      <c r="P2518" s="13">
        <f t="shared" si="79"/>
        <v>2559635</v>
      </c>
      <c r="Q2518" s="13">
        <f>SUMIFS(M:M,E:E,Online_eCommerce[[#This Row],[Status]])</f>
        <v>28620410</v>
      </c>
      <c r="R2518" s="13">
        <f>SUMIFS(L:L,H:H,Online_eCommerce[[#This Row],[Brand]])</f>
        <v>12435650</v>
      </c>
      <c r="S2518" s="13">
        <f>SUMIF(H:H,Online_eCommerce[[#This Row],[Brand]],M:M)</f>
        <v>16166345</v>
      </c>
      <c r="T2518" s="13">
        <f>SUMIF(N:N,Online_eCommerce[[#This Row],[Assigned Supervisor]],L:L)</f>
        <v>12220830</v>
      </c>
    </row>
    <row r="2519" spans="1:20" hidden="1" x14ac:dyDescent="0.3">
      <c r="A2519" t="s">
        <v>3751</v>
      </c>
      <c r="B2519" t="s">
        <v>37</v>
      </c>
      <c r="C2519" t="s">
        <v>205</v>
      </c>
      <c r="D2519" t="s">
        <v>3746</v>
      </c>
      <c r="E2519" t="s">
        <v>96</v>
      </c>
      <c r="F2519" t="s">
        <v>3752</v>
      </c>
      <c r="G2519" t="s">
        <v>26</v>
      </c>
      <c r="H2519" t="s">
        <v>27</v>
      </c>
      <c r="I2519">
        <v>8500</v>
      </c>
      <c r="J2519">
        <v>11050</v>
      </c>
      <c r="K2519">
        <v>2</v>
      </c>
      <c r="L2519">
        <v>17000</v>
      </c>
      <c r="M2519">
        <v>22100</v>
      </c>
      <c r="N2519" t="s">
        <v>35</v>
      </c>
      <c r="O2519">
        <f t="shared" si="78"/>
        <v>33150</v>
      </c>
      <c r="P2519" s="13">
        <f t="shared" si="79"/>
        <v>1983254</v>
      </c>
      <c r="Q2519" s="13">
        <f>SUMIFS(M:M,E:E,Online_eCommerce[[#This Row],[Status]])</f>
        <v>21233992</v>
      </c>
      <c r="R2519" s="13">
        <f>SUMIFS(L:L,H:H,Online_eCommerce[[#This Row],[Brand]])</f>
        <v>14431000</v>
      </c>
      <c r="S2519" s="13">
        <f>SUMIF(H:H,Online_eCommerce[[#This Row],[Brand]],M:M)</f>
        <v>18760300</v>
      </c>
      <c r="T2519" s="13">
        <f>SUMIF(N:N,Online_eCommerce[[#This Row],[Assigned Supervisor]],L:L)</f>
        <v>14373360</v>
      </c>
    </row>
    <row r="2520" spans="1:20" hidden="1" x14ac:dyDescent="0.3">
      <c r="A2520" t="s">
        <v>3753</v>
      </c>
      <c r="B2520" t="s">
        <v>44</v>
      </c>
      <c r="C2520" t="s">
        <v>208</v>
      </c>
      <c r="D2520" t="s">
        <v>3746</v>
      </c>
      <c r="E2520" t="s">
        <v>18</v>
      </c>
      <c r="F2520" t="s">
        <v>32</v>
      </c>
      <c r="G2520" t="s">
        <v>33</v>
      </c>
      <c r="H2520" t="s">
        <v>34</v>
      </c>
      <c r="I2520">
        <v>7000</v>
      </c>
      <c r="J2520">
        <v>9100</v>
      </c>
      <c r="K2520">
        <v>3</v>
      </c>
      <c r="L2520">
        <v>21000</v>
      </c>
      <c r="M2520">
        <v>27300</v>
      </c>
      <c r="N2520" t="s">
        <v>42</v>
      </c>
      <c r="O2520">
        <f t="shared" si="78"/>
        <v>18200</v>
      </c>
      <c r="P2520" s="13">
        <f t="shared" si="79"/>
        <v>2746575</v>
      </c>
      <c r="Q2520" s="13">
        <f>SUMIFS(M:M,E:E,Online_eCommerce[[#This Row],[Status]])</f>
        <v>28340455</v>
      </c>
      <c r="R2520" s="13">
        <f>SUMIFS(L:L,H:H,Online_eCommerce[[#This Row],[Brand]])</f>
        <v>10087000</v>
      </c>
      <c r="S2520" s="13">
        <f>SUMIF(H:H,Online_eCommerce[[#This Row],[Brand]],M:M)</f>
        <v>13113100</v>
      </c>
      <c r="T2520" s="13">
        <f>SUMIF(N:N,Online_eCommerce[[#This Row],[Assigned Supervisor]],L:L)</f>
        <v>12261500</v>
      </c>
    </row>
    <row r="2521" spans="1:20" hidden="1" x14ac:dyDescent="0.3">
      <c r="A2521" t="s">
        <v>3754</v>
      </c>
      <c r="B2521" t="s">
        <v>213</v>
      </c>
      <c r="C2521" t="s">
        <v>211</v>
      </c>
      <c r="D2521" t="s">
        <v>3746</v>
      </c>
      <c r="E2521" t="s">
        <v>161</v>
      </c>
      <c r="F2521" t="s">
        <v>3755</v>
      </c>
      <c r="G2521" t="s">
        <v>256</v>
      </c>
      <c r="H2521" t="s">
        <v>41</v>
      </c>
      <c r="I2521">
        <v>6550</v>
      </c>
      <c r="J2521">
        <v>8515</v>
      </c>
      <c r="K2521">
        <v>3</v>
      </c>
      <c r="L2521">
        <v>19650</v>
      </c>
      <c r="M2521">
        <v>25545</v>
      </c>
      <c r="N2521" t="s">
        <v>50</v>
      </c>
      <c r="O2521">
        <f t="shared" si="78"/>
        <v>9100</v>
      </c>
      <c r="P2521" s="13">
        <f t="shared" si="79"/>
        <v>1809847</v>
      </c>
      <c r="Q2521" s="13">
        <f>SUMIFS(M:M,E:E,Online_eCommerce[[#This Row],[Status]])</f>
        <v>21103186</v>
      </c>
      <c r="R2521" s="13">
        <f>SUMIFS(L:L,H:H,Online_eCommerce[[#This Row],[Brand]])</f>
        <v>4260400</v>
      </c>
      <c r="S2521" s="13">
        <f>SUMIF(H:H,Online_eCommerce[[#This Row],[Brand]],M:M)</f>
        <v>5538520</v>
      </c>
      <c r="T2521" s="13">
        <f>SUMIF(N:N,Online_eCommerce[[#This Row],[Assigned Supervisor]],L:L)</f>
        <v>12100590</v>
      </c>
    </row>
    <row r="2522" spans="1:20" x14ac:dyDescent="0.3">
      <c r="A2522" t="s">
        <v>3756</v>
      </c>
      <c r="B2522" t="s">
        <v>215</v>
      </c>
      <c r="C2522" t="s">
        <v>16</v>
      </c>
      <c r="D2522" t="s">
        <v>3746</v>
      </c>
      <c r="E2522" t="s">
        <v>46</v>
      </c>
      <c r="F2522" t="s">
        <v>47</v>
      </c>
      <c r="G2522" t="s">
        <v>259</v>
      </c>
      <c r="H2522" t="s">
        <v>49</v>
      </c>
      <c r="I2522">
        <v>7650</v>
      </c>
      <c r="J2522">
        <v>9945</v>
      </c>
      <c r="K2522">
        <v>3</v>
      </c>
      <c r="L2522">
        <v>22950</v>
      </c>
      <c r="M2522">
        <v>29835</v>
      </c>
      <c r="N2522" t="s">
        <v>56</v>
      </c>
      <c r="O2522">
        <f t="shared" si="78"/>
        <v>11700</v>
      </c>
      <c r="P2522" s="13">
        <f t="shared" si="79"/>
        <v>2751814</v>
      </c>
      <c r="Q2522" s="13">
        <f>SUMIFS(M:M,E:E,Online_eCommerce[[#This Row],[Status]])</f>
        <v>28620410</v>
      </c>
      <c r="R2522" s="13">
        <f>SUMIFS(L:L,H:H,Online_eCommerce[[#This Row],[Brand]])</f>
        <v>4528350</v>
      </c>
      <c r="S2522" s="13">
        <f>SUMIF(H:H,Online_eCommerce[[#This Row],[Brand]],M:M)</f>
        <v>5886855</v>
      </c>
      <c r="T2522" s="13">
        <f>SUMIF(N:N,Online_eCommerce[[#This Row],[Assigned Supervisor]],L:L)</f>
        <v>11733610</v>
      </c>
    </row>
    <row r="2523" spans="1:20" hidden="1" x14ac:dyDescent="0.3">
      <c r="A2523" t="s">
        <v>3757</v>
      </c>
      <c r="B2523" t="s">
        <v>154</v>
      </c>
      <c r="C2523" t="s">
        <v>24</v>
      </c>
      <c r="D2523" t="s">
        <v>3746</v>
      </c>
      <c r="E2523" t="s">
        <v>96</v>
      </c>
      <c r="F2523" t="s">
        <v>53</v>
      </c>
      <c r="G2523" t="s">
        <v>54</v>
      </c>
      <c r="H2523" t="s">
        <v>55</v>
      </c>
      <c r="I2523">
        <v>1150</v>
      </c>
      <c r="J2523">
        <v>1495</v>
      </c>
      <c r="K2523">
        <v>4</v>
      </c>
      <c r="L2523">
        <v>4600</v>
      </c>
      <c r="M2523">
        <v>5980</v>
      </c>
      <c r="N2523" t="s">
        <v>22</v>
      </c>
      <c r="O2523">
        <f t="shared" si="78"/>
        <v>2990</v>
      </c>
      <c r="P2523" s="13">
        <f t="shared" si="79"/>
        <v>2009540</v>
      </c>
      <c r="Q2523" s="13">
        <f>SUMIFS(M:M,E:E,Online_eCommerce[[#This Row],[Status]])</f>
        <v>21233992</v>
      </c>
      <c r="R2523" s="13">
        <f>SUMIFS(L:L,H:H,Online_eCommerce[[#This Row],[Brand]])</f>
        <v>2267380</v>
      </c>
      <c r="S2523" s="13">
        <f>SUMIF(H:H,Online_eCommerce[[#This Row],[Brand]],M:M)</f>
        <v>2947594</v>
      </c>
      <c r="T2523" s="13">
        <f>SUMIF(N:N,Online_eCommerce[[#This Row],[Assigned Supervisor]],L:L)</f>
        <v>13693220</v>
      </c>
    </row>
    <row r="2524" spans="1:20" hidden="1" x14ac:dyDescent="0.3">
      <c r="A2524" t="s">
        <v>3758</v>
      </c>
      <c r="B2524" t="s">
        <v>154</v>
      </c>
      <c r="C2524" t="s">
        <v>31</v>
      </c>
      <c r="D2524" t="s">
        <v>3746</v>
      </c>
      <c r="E2524" t="s">
        <v>18</v>
      </c>
      <c r="F2524" t="s">
        <v>59</v>
      </c>
      <c r="G2524" t="s">
        <v>60</v>
      </c>
      <c r="H2524" t="s">
        <v>61</v>
      </c>
      <c r="I2524">
        <v>850</v>
      </c>
      <c r="J2524">
        <v>1105</v>
      </c>
      <c r="K2524">
        <v>4</v>
      </c>
      <c r="L2524">
        <v>3400</v>
      </c>
      <c r="M2524">
        <v>4420</v>
      </c>
      <c r="N2524" t="s">
        <v>28</v>
      </c>
      <c r="O2524">
        <f t="shared" si="78"/>
        <v>3315</v>
      </c>
      <c r="P2524" s="13">
        <f t="shared" si="79"/>
        <v>2865746</v>
      </c>
      <c r="Q2524" s="13">
        <f>SUMIFS(M:M,E:E,Online_eCommerce[[#This Row],[Status]])</f>
        <v>28340455</v>
      </c>
      <c r="R2524" s="13">
        <f>SUMIFS(L:L,H:H,Online_eCommerce[[#This Row],[Brand]])</f>
        <v>10950150</v>
      </c>
      <c r="S2524" s="13">
        <f>SUMIF(H:H,Online_eCommerce[[#This Row],[Brand]],M:M)</f>
        <v>14235195</v>
      </c>
      <c r="T2524" s="13">
        <f>SUMIF(N:N,Online_eCommerce[[#This Row],[Assigned Supervisor]],L:L)</f>
        <v>12220830</v>
      </c>
    </row>
    <row r="2525" spans="1:20" hidden="1" x14ac:dyDescent="0.3">
      <c r="A2525" t="s">
        <v>3759</v>
      </c>
      <c r="B2525" t="s">
        <v>154</v>
      </c>
      <c r="C2525" t="s">
        <v>38</v>
      </c>
      <c r="D2525" t="s">
        <v>3746</v>
      </c>
      <c r="E2525" t="s">
        <v>161</v>
      </c>
      <c r="F2525" t="s">
        <v>65</v>
      </c>
      <c r="G2525" t="s">
        <v>66</v>
      </c>
      <c r="H2525" t="s">
        <v>21</v>
      </c>
      <c r="I2525">
        <v>650</v>
      </c>
      <c r="J2525">
        <v>845</v>
      </c>
      <c r="K2525">
        <v>2</v>
      </c>
      <c r="L2525">
        <v>1300</v>
      </c>
      <c r="M2525">
        <v>1690</v>
      </c>
      <c r="N2525" t="s">
        <v>35</v>
      </c>
      <c r="O2525">
        <f t="shared" si="78"/>
        <v>1690</v>
      </c>
      <c r="P2525" s="13">
        <f t="shared" si="79"/>
        <v>1933997</v>
      </c>
      <c r="Q2525" s="13">
        <f>SUMIFS(M:M,E:E,Online_eCommerce[[#This Row],[Status]])</f>
        <v>21103186</v>
      </c>
      <c r="R2525" s="13">
        <f>SUMIFS(L:L,H:H,Online_eCommerce[[#This Row],[Brand]])</f>
        <v>12435650</v>
      </c>
      <c r="S2525" s="13">
        <f>SUMIF(H:H,Online_eCommerce[[#This Row],[Brand]],M:M)</f>
        <v>16166345</v>
      </c>
      <c r="T2525" s="13">
        <f>SUMIF(N:N,Online_eCommerce[[#This Row],[Assigned Supervisor]],L:L)</f>
        <v>14373360</v>
      </c>
    </row>
    <row r="2526" spans="1:20" x14ac:dyDescent="0.3">
      <c r="A2526" t="s">
        <v>3760</v>
      </c>
      <c r="B2526" t="s">
        <v>154</v>
      </c>
      <c r="C2526" t="s">
        <v>45</v>
      </c>
      <c r="D2526" t="s">
        <v>3746</v>
      </c>
      <c r="E2526" t="s">
        <v>46</v>
      </c>
      <c r="F2526" t="s">
        <v>70</v>
      </c>
      <c r="G2526" t="s">
        <v>71</v>
      </c>
      <c r="H2526" t="s">
        <v>61</v>
      </c>
      <c r="I2526">
        <v>7500</v>
      </c>
      <c r="J2526">
        <v>9750</v>
      </c>
      <c r="K2526">
        <v>1</v>
      </c>
      <c r="L2526">
        <v>7500</v>
      </c>
      <c r="M2526">
        <v>9750</v>
      </c>
      <c r="N2526" t="s">
        <v>42</v>
      </c>
      <c r="O2526">
        <f t="shared" si="78"/>
        <v>9750</v>
      </c>
      <c r="P2526" s="13">
        <f t="shared" si="79"/>
        <v>2842554</v>
      </c>
      <c r="Q2526" s="13">
        <f>SUMIFS(M:M,E:E,Online_eCommerce[[#This Row],[Status]])</f>
        <v>28620410</v>
      </c>
      <c r="R2526" s="13">
        <f>SUMIFS(L:L,H:H,Online_eCommerce[[#This Row],[Brand]])</f>
        <v>10950150</v>
      </c>
      <c r="S2526" s="13">
        <f>SUMIF(H:H,Online_eCommerce[[#This Row],[Brand]],M:M)</f>
        <v>14235195</v>
      </c>
      <c r="T2526" s="13">
        <f>SUMIF(N:N,Online_eCommerce[[#This Row],[Assigned Supervisor]],L:L)</f>
        <v>12261500</v>
      </c>
    </row>
    <row r="2527" spans="1:20" hidden="1" x14ac:dyDescent="0.3">
      <c r="A2527" t="s">
        <v>3761</v>
      </c>
      <c r="B2527" t="s">
        <v>154</v>
      </c>
      <c r="C2527" t="s">
        <v>52</v>
      </c>
      <c r="D2527" t="s">
        <v>3746</v>
      </c>
      <c r="E2527" t="s">
        <v>96</v>
      </c>
      <c r="F2527" t="s">
        <v>3748</v>
      </c>
      <c r="G2527" t="s">
        <v>77</v>
      </c>
      <c r="H2527" t="s">
        <v>78</v>
      </c>
      <c r="I2527">
        <v>10000</v>
      </c>
      <c r="J2527">
        <v>13000</v>
      </c>
      <c r="K2527">
        <v>4</v>
      </c>
      <c r="L2527">
        <v>40000</v>
      </c>
      <c r="M2527">
        <v>52000</v>
      </c>
      <c r="N2527" t="s">
        <v>50</v>
      </c>
      <c r="O2527">
        <f t="shared" si="78"/>
        <v>39000</v>
      </c>
      <c r="P2527" s="13">
        <f t="shared" si="79"/>
        <v>1955044</v>
      </c>
      <c r="Q2527" s="13">
        <f>SUMIFS(M:M,E:E,Online_eCommerce[[#This Row],[Status]])</f>
        <v>21233992</v>
      </c>
      <c r="R2527" s="13">
        <f>SUMIFS(L:L,H:H,Online_eCommerce[[#This Row],[Brand]])</f>
        <v>3720000</v>
      </c>
      <c r="S2527" s="13">
        <f>SUMIF(H:H,Online_eCommerce[[#This Row],[Brand]],M:M)</f>
        <v>4836000</v>
      </c>
      <c r="T2527" s="13">
        <f>SUMIF(N:N,Online_eCommerce[[#This Row],[Assigned Supervisor]],L:L)</f>
        <v>12100590</v>
      </c>
    </row>
    <row r="2528" spans="1:20" hidden="1" x14ac:dyDescent="0.3">
      <c r="A2528" t="s">
        <v>3762</v>
      </c>
      <c r="B2528" t="s">
        <v>154</v>
      </c>
      <c r="C2528" t="s">
        <v>58</v>
      </c>
      <c r="D2528" t="s">
        <v>3746</v>
      </c>
      <c r="E2528" t="s">
        <v>18</v>
      </c>
      <c r="F2528" t="s">
        <v>3763</v>
      </c>
      <c r="G2528" t="s">
        <v>20</v>
      </c>
      <c r="H2528" t="s">
        <v>21</v>
      </c>
      <c r="I2528">
        <v>10500</v>
      </c>
      <c r="J2528">
        <v>13650</v>
      </c>
      <c r="K2528">
        <v>2</v>
      </c>
      <c r="L2528">
        <v>21000</v>
      </c>
      <c r="M2528">
        <v>27300</v>
      </c>
      <c r="N2528" t="s">
        <v>56</v>
      </c>
      <c r="O2528">
        <f t="shared" si="78"/>
        <v>8450</v>
      </c>
      <c r="P2528" s="13">
        <f t="shared" si="79"/>
        <v>2629211</v>
      </c>
      <c r="Q2528" s="13">
        <f>SUMIFS(M:M,E:E,Online_eCommerce[[#This Row],[Status]])</f>
        <v>28340455</v>
      </c>
      <c r="R2528" s="13">
        <f>SUMIFS(L:L,H:H,Online_eCommerce[[#This Row],[Brand]])</f>
        <v>12435650</v>
      </c>
      <c r="S2528" s="13">
        <f>SUMIF(H:H,Online_eCommerce[[#This Row],[Brand]],M:M)</f>
        <v>16166345</v>
      </c>
      <c r="T2528" s="13">
        <f>SUMIF(N:N,Online_eCommerce[[#This Row],[Assigned Supervisor]],L:L)</f>
        <v>11733610</v>
      </c>
    </row>
    <row r="2529" spans="1:20" hidden="1" x14ac:dyDescent="0.3">
      <c r="A2529" t="s">
        <v>3764</v>
      </c>
      <c r="B2529" t="s">
        <v>154</v>
      </c>
      <c r="C2529" t="s">
        <v>63</v>
      </c>
      <c r="D2529" t="s">
        <v>3746</v>
      </c>
      <c r="E2529" t="s">
        <v>161</v>
      </c>
      <c r="F2529" t="s">
        <v>88</v>
      </c>
      <c r="G2529" t="s">
        <v>26</v>
      </c>
      <c r="H2529" t="s">
        <v>27</v>
      </c>
      <c r="I2529">
        <v>8500</v>
      </c>
      <c r="J2529">
        <v>11050</v>
      </c>
      <c r="K2529">
        <v>1</v>
      </c>
      <c r="L2529">
        <v>8500</v>
      </c>
      <c r="M2529">
        <v>11050</v>
      </c>
      <c r="N2529" t="s">
        <v>22</v>
      </c>
      <c r="O2529">
        <f t="shared" si="78"/>
        <v>33150</v>
      </c>
      <c r="P2529" s="13">
        <f t="shared" si="79"/>
        <v>2016131</v>
      </c>
      <c r="Q2529" s="13">
        <f>SUMIFS(M:M,E:E,Online_eCommerce[[#This Row],[Status]])</f>
        <v>21103186</v>
      </c>
      <c r="R2529" s="13">
        <f>SUMIFS(L:L,H:H,Online_eCommerce[[#This Row],[Brand]])</f>
        <v>14431000</v>
      </c>
      <c r="S2529" s="13">
        <f>SUMIF(H:H,Online_eCommerce[[#This Row],[Brand]],M:M)</f>
        <v>18760300</v>
      </c>
      <c r="T2529" s="13">
        <f>SUMIF(N:N,Online_eCommerce[[#This Row],[Assigned Supervisor]],L:L)</f>
        <v>13693220</v>
      </c>
    </row>
    <row r="2530" spans="1:20" x14ac:dyDescent="0.3">
      <c r="A2530" t="s">
        <v>3765</v>
      </c>
      <c r="B2530" t="s">
        <v>154</v>
      </c>
      <c r="C2530" t="s">
        <v>68</v>
      </c>
      <c r="D2530" t="s">
        <v>3746</v>
      </c>
      <c r="E2530" t="s">
        <v>46</v>
      </c>
      <c r="F2530" t="s">
        <v>32</v>
      </c>
      <c r="G2530" t="s">
        <v>33</v>
      </c>
      <c r="H2530" t="s">
        <v>34</v>
      </c>
      <c r="I2530">
        <v>7000</v>
      </c>
      <c r="J2530">
        <v>9100</v>
      </c>
      <c r="K2530">
        <v>4</v>
      </c>
      <c r="L2530">
        <v>28000</v>
      </c>
      <c r="M2530">
        <v>36400</v>
      </c>
      <c r="N2530" t="s">
        <v>28</v>
      </c>
      <c r="O2530">
        <f t="shared" si="78"/>
        <v>18200</v>
      </c>
      <c r="P2530" s="13">
        <f t="shared" si="79"/>
        <v>2974621</v>
      </c>
      <c r="Q2530" s="13">
        <f>SUMIFS(M:M,E:E,Online_eCommerce[[#This Row],[Status]])</f>
        <v>28620410</v>
      </c>
      <c r="R2530" s="13">
        <f>SUMIFS(L:L,H:H,Online_eCommerce[[#This Row],[Brand]])</f>
        <v>10087000</v>
      </c>
      <c r="S2530" s="13">
        <f>SUMIF(H:H,Online_eCommerce[[#This Row],[Brand]],M:M)</f>
        <v>13113100</v>
      </c>
      <c r="T2530" s="13">
        <f>SUMIF(N:N,Online_eCommerce[[#This Row],[Assigned Supervisor]],L:L)</f>
        <v>12220830</v>
      </c>
    </row>
    <row r="2531" spans="1:20" hidden="1" x14ac:dyDescent="0.3">
      <c r="A2531" t="s">
        <v>3766</v>
      </c>
      <c r="B2531" t="s">
        <v>154</v>
      </c>
      <c r="C2531" t="s">
        <v>74</v>
      </c>
      <c r="D2531" t="s">
        <v>3746</v>
      </c>
      <c r="E2531" t="s">
        <v>96</v>
      </c>
      <c r="F2531" t="s">
        <v>3767</v>
      </c>
      <c r="G2531" t="s">
        <v>256</v>
      </c>
      <c r="H2531" t="s">
        <v>41</v>
      </c>
      <c r="I2531">
        <v>1680</v>
      </c>
      <c r="J2531">
        <v>2184</v>
      </c>
      <c r="K2531">
        <v>4</v>
      </c>
      <c r="L2531">
        <v>6720</v>
      </c>
      <c r="M2531">
        <v>8736</v>
      </c>
      <c r="N2531" t="s">
        <v>35</v>
      </c>
      <c r="O2531">
        <f t="shared" si="78"/>
        <v>9100</v>
      </c>
      <c r="P2531" s="13">
        <f t="shared" si="79"/>
        <v>2144701</v>
      </c>
      <c r="Q2531" s="13">
        <f>SUMIFS(M:M,E:E,Online_eCommerce[[#This Row],[Status]])</f>
        <v>21233992</v>
      </c>
      <c r="R2531" s="13">
        <f>SUMIFS(L:L,H:H,Online_eCommerce[[#This Row],[Brand]])</f>
        <v>4260400</v>
      </c>
      <c r="S2531" s="13">
        <f>SUMIF(H:H,Online_eCommerce[[#This Row],[Brand]],M:M)</f>
        <v>5538520</v>
      </c>
      <c r="T2531" s="13">
        <f>SUMIF(N:N,Online_eCommerce[[#This Row],[Assigned Supervisor]],L:L)</f>
        <v>14373360</v>
      </c>
    </row>
    <row r="2532" spans="1:20" hidden="1" x14ac:dyDescent="0.3">
      <c r="A2532" t="s">
        <v>3768</v>
      </c>
      <c r="B2532" t="s">
        <v>154</v>
      </c>
      <c r="C2532" t="s">
        <v>81</v>
      </c>
      <c r="D2532" t="s">
        <v>3746</v>
      </c>
      <c r="E2532" t="s">
        <v>18</v>
      </c>
      <c r="F2532" t="s">
        <v>101</v>
      </c>
      <c r="G2532" t="s">
        <v>259</v>
      </c>
      <c r="H2532" t="s">
        <v>102</v>
      </c>
      <c r="I2532">
        <v>6540</v>
      </c>
      <c r="J2532">
        <v>8502</v>
      </c>
      <c r="K2532">
        <v>1</v>
      </c>
      <c r="L2532">
        <v>6540</v>
      </c>
      <c r="M2532">
        <v>8502</v>
      </c>
      <c r="N2532" t="s">
        <v>42</v>
      </c>
      <c r="O2532">
        <f t="shared" si="78"/>
        <v>11700</v>
      </c>
      <c r="P2532" s="13">
        <f t="shared" si="79"/>
        <v>2595632</v>
      </c>
      <c r="Q2532" s="13">
        <f>SUMIFS(M:M,E:E,Online_eCommerce[[#This Row],[Status]])</f>
        <v>28340455</v>
      </c>
      <c r="R2532" s="13">
        <f>SUMIFS(L:L,H:H,Online_eCommerce[[#This Row],[Brand]])</f>
        <v>2465580</v>
      </c>
      <c r="S2532" s="13">
        <f>SUMIF(H:H,Online_eCommerce[[#This Row],[Brand]],M:M)</f>
        <v>3205254</v>
      </c>
      <c r="T2532" s="13">
        <f>SUMIF(N:N,Online_eCommerce[[#This Row],[Assigned Supervisor]],L:L)</f>
        <v>12261500</v>
      </c>
    </row>
    <row r="2533" spans="1:20" hidden="1" x14ac:dyDescent="0.3">
      <c r="A2533" t="s">
        <v>3769</v>
      </c>
      <c r="B2533" t="s">
        <v>114</v>
      </c>
      <c r="C2533" t="s">
        <v>86</v>
      </c>
      <c r="D2533" t="s">
        <v>3746</v>
      </c>
      <c r="E2533" t="s">
        <v>161</v>
      </c>
      <c r="F2533" t="s">
        <v>107</v>
      </c>
      <c r="G2533" t="s">
        <v>54</v>
      </c>
      <c r="H2533" t="s">
        <v>55</v>
      </c>
      <c r="I2533">
        <v>2680</v>
      </c>
      <c r="J2533">
        <v>3484</v>
      </c>
      <c r="K2533">
        <v>4</v>
      </c>
      <c r="L2533">
        <v>10720</v>
      </c>
      <c r="M2533">
        <v>13936</v>
      </c>
      <c r="N2533" t="s">
        <v>50</v>
      </c>
      <c r="O2533">
        <f t="shared" si="78"/>
        <v>2990</v>
      </c>
      <c r="P2533" s="13">
        <f t="shared" si="79"/>
        <v>1941225</v>
      </c>
      <c r="Q2533" s="13">
        <f>SUMIFS(M:M,E:E,Online_eCommerce[[#This Row],[Status]])</f>
        <v>21103186</v>
      </c>
      <c r="R2533" s="13">
        <f>SUMIFS(L:L,H:H,Online_eCommerce[[#This Row],[Brand]])</f>
        <v>2267380</v>
      </c>
      <c r="S2533" s="13">
        <f>SUMIF(H:H,Online_eCommerce[[#This Row],[Brand]],M:M)</f>
        <v>2947594</v>
      </c>
      <c r="T2533" s="13">
        <f>SUMIF(N:N,Online_eCommerce[[#This Row],[Assigned Supervisor]],L:L)</f>
        <v>12100590</v>
      </c>
    </row>
    <row r="2534" spans="1:20" x14ac:dyDescent="0.3">
      <c r="A2534" t="s">
        <v>3770</v>
      </c>
      <c r="B2534" t="s">
        <v>119</v>
      </c>
      <c r="C2534" t="s">
        <v>91</v>
      </c>
      <c r="D2534" t="s">
        <v>3746</v>
      </c>
      <c r="E2534" t="s">
        <v>46</v>
      </c>
      <c r="F2534" t="s">
        <v>112</v>
      </c>
      <c r="G2534" t="s">
        <v>71</v>
      </c>
      <c r="H2534" t="s">
        <v>21</v>
      </c>
      <c r="I2534">
        <v>8250</v>
      </c>
      <c r="J2534">
        <v>10725</v>
      </c>
      <c r="K2534">
        <v>4</v>
      </c>
      <c r="L2534">
        <v>33000</v>
      </c>
      <c r="M2534">
        <v>42900</v>
      </c>
      <c r="N2534" t="s">
        <v>56</v>
      </c>
      <c r="O2534">
        <f t="shared" si="78"/>
        <v>9750</v>
      </c>
      <c r="P2534" s="13">
        <f t="shared" si="79"/>
        <v>2731963</v>
      </c>
      <c r="Q2534" s="13">
        <f>SUMIFS(M:M,E:E,Online_eCommerce[[#This Row],[Status]])</f>
        <v>28620410</v>
      </c>
      <c r="R2534" s="13">
        <f>SUMIFS(L:L,H:H,Online_eCommerce[[#This Row],[Brand]])</f>
        <v>12435650</v>
      </c>
      <c r="S2534" s="13">
        <f>SUMIF(H:H,Online_eCommerce[[#This Row],[Brand]],M:M)</f>
        <v>16166345</v>
      </c>
      <c r="T2534" s="13">
        <f>SUMIF(N:N,Online_eCommerce[[#This Row],[Assigned Supervisor]],L:L)</f>
        <v>11733610</v>
      </c>
    </row>
    <row r="2535" spans="1:20" hidden="1" x14ac:dyDescent="0.3">
      <c r="A2535" t="s">
        <v>3771</v>
      </c>
      <c r="B2535" t="s">
        <v>154</v>
      </c>
      <c r="C2535" t="s">
        <v>94</v>
      </c>
      <c r="D2535" t="s">
        <v>3746</v>
      </c>
      <c r="E2535" t="s">
        <v>96</v>
      </c>
      <c r="F2535" t="s">
        <v>3396</v>
      </c>
      <c r="G2535" t="s">
        <v>40</v>
      </c>
      <c r="H2535" t="s">
        <v>21</v>
      </c>
      <c r="I2535">
        <v>2650</v>
      </c>
      <c r="J2535">
        <v>3445</v>
      </c>
      <c r="K2535">
        <v>3</v>
      </c>
      <c r="L2535">
        <v>7950</v>
      </c>
      <c r="M2535">
        <v>10335</v>
      </c>
      <c r="N2535" t="s">
        <v>22</v>
      </c>
      <c r="O2535">
        <f t="shared" si="78"/>
        <v>25545</v>
      </c>
      <c r="P2535" s="13">
        <f t="shared" si="79"/>
        <v>1868256</v>
      </c>
      <c r="Q2535" s="13">
        <f>SUMIFS(M:M,E:E,Online_eCommerce[[#This Row],[Status]])</f>
        <v>21233992</v>
      </c>
      <c r="R2535" s="13">
        <f>SUMIFS(L:L,H:H,Online_eCommerce[[#This Row],[Brand]])</f>
        <v>12435650</v>
      </c>
      <c r="S2535" s="13">
        <f>SUMIF(H:H,Online_eCommerce[[#This Row],[Brand]],M:M)</f>
        <v>16166345</v>
      </c>
      <c r="T2535" s="13">
        <f>SUMIF(N:N,Online_eCommerce[[#This Row],[Assigned Supervisor]],L:L)</f>
        <v>13693220</v>
      </c>
    </row>
    <row r="2536" spans="1:20" hidden="1" x14ac:dyDescent="0.3">
      <c r="A2536" t="s">
        <v>3772</v>
      </c>
      <c r="B2536" t="s">
        <v>154</v>
      </c>
      <c r="C2536" t="s">
        <v>99</v>
      </c>
      <c r="D2536" t="s">
        <v>3773</v>
      </c>
      <c r="E2536" t="s">
        <v>18</v>
      </c>
      <c r="F2536" t="s">
        <v>121</v>
      </c>
      <c r="G2536" t="s">
        <v>71</v>
      </c>
      <c r="H2536" t="s">
        <v>122</v>
      </c>
      <c r="I2536">
        <v>12550</v>
      </c>
      <c r="J2536">
        <v>16315</v>
      </c>
      <c r="K2536">
        <v>2</v>
      </c>
      <c r="L2536">
        <v>25100</v>
      </c>
      <c r="M2536">
        <v>32630</v>
      </c>
      <c r="N2536" t="s">
        <v>28</v>
      </c>
      <c r="O2536">
        <f t="shared" si="78"/>
        <v>9750</v>
      </c>
      <c r="P2536" s="13">
        <f t="shared" si="79"/>
        <v>2651233</v>
      </c>
      <c r="Q2536" s="13">
        <f>SUMIFS(M:M,E:E,Online_eCommerce[[#This Row],[Status]])</f>
        <v>28340455</v>
      </c>
      <c r="R2536" s="13">
        <f>SUMIFS(L:L,H:H,Online_eCommerce[[#This Row],[Brand]])</f>
        <v>5045100</v>
      </c>
      <c r="S2536" s="13">
        <f>SUMIF(H:H,Online_eCommerce[[#This Row],[Brand]],M:M)</f>
        <v>6558630</v>
      </c>
      <c r="T2536" s="13">
        <f>SUMIF(N:N,Online_eCommerce[[#This Row],[Assigned Supervisor]],L:L)</f>
        <v>12220830</v>
      </c>
    </row>
    <row r="2537" spans="1:20" hidden="1" x14ac:dyDescent="0.3">
      <c r="A2537" t="s">
        <v>3774</v>
      </c>
      <c r="B2537" t="s">
        <v>154</v>
      </c>
      <c r="C2537" t="s">
        <v>105</v>
      </c>
      <c r="D2537" t="s">
        <v>3773</v>
      </c>
      <c r="E2537" t="s">
        <v>161</v>
      </c>
      <c r="F2537" t="s">
        <v>126</v>
      </c>
      <c r="G2537" t="s">
        <v>26</v>
      </c>
      <c r="H2537" t="s">
        <v>27</v>
      </c>
      <c r="I2537">
        <v>14500</v>
      </c>
      <c r="J2537">
        <v>18850</v>
      </c>
      <c r="K2537">
        <v>3</v>
      </c>
      <c r="L2537">
        <v>43500</v>
      </c>
      <c r="M2537">
        <v>56550</v>
      </c>
      <c r="N2537" t="s">
        <v>35</v>
      </c>
      <c r="O2537">
        <f t="shared" si="78"/>
        <v>33150</v>
      </c>
      <c r="P2537" s="13">
        <f t="shared" si="79"/>
        <v>1866852</v>
      </c>
      <c r="Q2537" s="13">
        <f>SUMIFS(M:M,E:E,Online_eCommerce[[#This Row],[Status]])</f>
        <v>21103186</v>
      </c>
      <c r="R2537" s="13">
        <f>SUMIFS(L:L,H:H,Online_eCommerce[[#This Row],[Brand]])</f>
        <v>14431000</v>
      </c>
      <c r="S2537" s="13">
        <f>SUMIF(H:H,Online_eCommerce[[#This Row],[Brand]],M:M)</f>
        <v>18760300</v>
      </c>
      <c r="T2537" s="13">
        <f>SUMIF(N:N,Online_eCommerce[[#This Row],[Assigned Supervisor]],L:L)</f>
        <v>14373360</v>
      </c>
    </row>
    <row r="2538" spans="1:20" x14ac:dyDescent="0.3">
      <c r="A2538" t="s">
        <v>3775</v>
      </c>
      <c r="B2538" t="s">
        <v>154</v>
      </c>
      <c r="C2538" t="s">
        <v>110</v>
      </c>
      <c r="D2538" t="s">
        <v>3773</v>
      </c>
      <c r="E2538" t="s">
        <v>46</v>
      </c>
      <c r="F2538" t="s">
        <v>129</v>
      </c>
      <c r="G2538" t="s">
        <v>60</v>
      </c>
      <c r="H2538" t="s">
        <v>61</v>
      </c>
      <c r="I2538">
        <v>800</v>
      </c>
      <c r="J2538">
        <v>1040</v>
      </c>
      <c r="K2538">
        <v>3</v>
      </c>
      <c r="L2538">
        <v>2400</v>
      </c>
      <c r="M2538">
        <v>3120</v>
      </c>
      <c r="N2538" t="s">
        <v>42</v>
      </c>
      <c r="O2538">
        <f t="shared" si="78"/>
        <v>3315</v>
      </c>
      <c r="P2538" s="13">
        <f t="shared" si="79"/>
        <v>2598635</v>
      </c>
      <c r="Q2538" s="13">
        <f>SUMIFS(M:M,E:E,Online_eCommerce[[#This Row],[Status]])</f>
        <v>28620410</v>
      </c>
      <c r="R2538" s="13">
        <f>SUMIFS(L:L,H:H,Online_eCommerce[[#This Row],[Brand]])</f>
        <v>10950150</v>
      </c>
      <c r="S2538" s="13">
        <f>SUMIF(H:H,Online_eCommerce[[#This Row],[Brand]],M:M)</f>
        <v>14235195</v>
      </c>
      <c r="T2538" s="13">
        <f>SUMIF(N:N,Online_eCommerce[[#This Row],[Assigned Supervisor]],L:L)</f>
        <v>12261500</v>
      </c>
    </row>
    <row r="2539" spans="1:20" hidden="1" x14ac:dyDescent="0.3">
      <c r="A2539" t="s">
        <v>3776</v>
      </c>
      <c r="B2539" t="s">
        <v>154</v>
      </c>
      <c r="C2539" t="s">
        <v>115</v>
      </c>
      <c r="D2539" t="s">
        <v>3773</v>
      </c>
      <c r="E2539" t="s">
        <v>96</v>
      </c>
      <c r="F2539" t="s">
        <v>133</v>
      </c>
      <c r="G2539" t="s">
        <v>66</v>
      </c>
      <c r="H2539" t="s">
        <v>21</v>
      </c>
      <c r="I2539">
        <v>600</v>
      </c>
      <c r="J2539">
        <v>780</v>
      </c>
      <c r="K2539">
        <v>4</v>
      </c>
      <c r="L2539">
        <v>2400</v>
      </c>
      <c r="M2539">
        <v>3120</v>
      </c>
      <c r="N2539" t="s">
        <v>50</v>
      </c>
      <c r="O2539">
        <f t="shared" si="78"/>
        <v>1690</v>
      </c>
      <c r="P2539" s="13">
        <f t="shared" si="79"/>
        <v>2050178</v>
      </c>
      <c r="Q2539" s="13">
        <f>SUMIFS(M:M,E:E,Online_eCommerce[[#This Row],[Status]])</f>
        <v>21233992</v>
      </c>
      <c r="R2539" s="13">
        <f>SUMIFS(L:L,H:H,Online_eCommerce[[#This Row],[Brand]])</f>
        <v>12435650</v>
      </c>
      <c r="S2539" s="13">
        <f>SUMIF(H:H,Online_eCommerce[[#This Row],[Brand]],M:M)</f>
        <v>16166345</v>
      </c>
      <c r="T2539" s="13">
        <f>SUMIF(N:N,Online_eCommerce[[#This Row],[Assigned Supervisor]],L:L)</f>
        <v>12100590</v>
      </c>
    </row>
    <row r="2540" spans="1:20" hidden="1" x14ac:dyDescent="0.3">
      <c r="A2540" t="s">
        <v>3777</v>
      </c>
      <c r="B2540" t="s">
        <v>154</v>
      </c>
      <c r="C2540" t="s">
        <v>120</v>
      </c>
      <c r="D2540" t="s">
        <v>3773</v>
      </c>
      <c r="E2540" t="s">
        <v>18</v>
      </c>
      <c r="F2540" t="s">
        <v>137</v>
      </c>
      <c r="G2540" t="s">
        <v>71</v>
      </c>
      <c r="H2540" t="s">
        <v>61</v>
      </c>
      <c r="I2540">
        <v>10500</v>
      </c>
      <c r="J2540">
        <v>13650</v>
      </c>
      <c r="K2540">
        <v>3</v>
      </c>
      <c r="L2540">
        <v>31500</v>
      </c>
      <c r="M2540">
        <v>40950</v>
      </c>
      <c r="N2540" t="s">
        <v>56</v>
      </c>
      <c r="O2540">
        <f t="shared" si="78"/>
        <v>9750</v>
      </c>
      <c r="P2540" s="13">
        <f t="shared" si="79"/>
        <v>2734212</v>
      </c>
      <c r="Q2540" s="13">
        <f>SUMIFS(M:M,E:E,Online_eCommerce[[#This Row],[Status]])</f>
        <v>28340455</v>
      </c>
      <c r="R2540" s="13">
        <f>SUMIFS(L:L,H:H,Online_eCommerce[[#This Row],[Brand]])</f>
        <v>10950150</v>
      </c>
      <c r="S2540" s="13">
        <f>SUMIF(H:H,Online_eCommerce[[#This Row],[Brand]],M:M)</f>
        <v>14235195</v>
      </c>
      <c r="T2540" s="13">
        <f>SUMIF(N:N,Online_eCommerce[[#This Row],[Assigned Supervisor]],L:L)</f>
        <v>11733610</v>
      </c>
    </row>
    <row r="2541" spans="1:20" hidden="1" x14ac:dyDescent="0.3">
      <c r="A2541" t="s">
        <v>3778</v>
      </c>
      <c r="B2541" t="s">
        <v>154</v>
      </c>
      <c r="C2541" t="s">
        <v>125</v>
      </c>
      <c r="D2541" t="s">
        <v>3773</v>
      </c>
      <c r="E2541" t="s">
        <v>161</v>
      </c>
      <c r="F2541" t="s">
        <v>3748</v>
      </c>
      <c r="G2541" t="s">
        <v>77</v>
      </c>
      <c r="H2541" t="s">
        <v>142</v>
      </c>
      <c r="I2541">
        <v>6500</v>
      </c>
      <c r="J2541">
        <v>8450</v>
      </c>
      <c r="K2541">
        <v>2</v>
      </c>
      <c r="L2541">
        <v>13000</v>
      </c>
      <c r="M2541">
        <v>16900</v>
      </c>
      <c r="N2541" t="s">
        <v>22</v>
      </c>
      <c r="O2541">
        <f t="shared" si="78"/>
        <v>39000</v>
      </c>
      <c r="P2541" s="13">
        <f t="shared" si="79"/>
        <v>2091154</v>
      </c>
      <c r="Q2541" s="13">
        <f>SUMIFS(M:M,E:E,Online_eCommerce[[#This Row],[Status]])</f>
        <v>21103186</v>
      </c>
      <c r="R2541" s="13">
        <f>SUMIFS(L:L,H:H,Online_eCommerce[[#This Row],[Brand]])</f>
        <v>6192500</v>
      </c>
      <c r="S2541" s="13">
        <f>SUMIF(H:H,Online_eCommerce[[#This Row],[Brand]],M:M)</f>
        <v>8050250</v>
      </c>
      <c r="T2541" s="13">
        <f>SUMIF(N:N,Online_eCommerce[[#This Row],[Assigned Supervisor]],L:L)</f>
        <v>13693220</v>
      </c>
    </row>
    <row r="2542" spans="1:20" x14ac:dyDescent="0.3">
      <c r="A2542" t="s">
        <v>3779</v>
      </c>
      <c r="B2542" t="s">
        <v>154</v>
      </c>
      <c r="C2542" t="s">
        <v>22</v>
      </c>
      <c r="D2542" t="s">
        <v>3773</v>
      </c>
      <c r="E2542" t="s">
        <v>46</v>
      </c>
      <c r="F2542" t="s">
        <v>3780</v>
      </c>
      <c r="G2542" t="s">
        <v>20</v>
      </c>
      <c r="H2542" t="s">
        <v>21</v>
      </c>
      <c r="I2542">
        <v>4500</v>
      </c>
      <c r="J2542">
        <v>5850</v>
      </c>
      <c r="K2542">
        <v>3</v>
      </c>
      <c r="L2542">
        <v>13500</v>
      </c>
      <c r="M2542">
        <v>17550</v>
      </c>
      <c r="N2542" t="s">
        <v>28</v>
      </c>
      <c r="O2542">
        <f t="shared" si="78"/>
        <v>8450</v>
      </c>
      <c r="P2542" s="13">
        <f t="shared" si="79"/>
        <v>2551588</v>
      </c>
      <c r="Q2542" s="13">
        <f>SUMIFS(M:M,E:E,Online_eCommerce[[#This Row],[Status]])</f>
        <v>28620410</v>
      </c>
      <c r="R2542" s="13">
        <f>SUMIFS(L:L,H:H,Online_eCommerce[[#This Row],[Brand]])</f>
        <v>12435650</v>
      </c>
      <c r="S2542" s="13">
        <f>SUMIF(H:H,Online_eCommerce[[#This Row],[Brand]],M:M)</f>
        <v>16166345</v>
      </c>
      <c r="T2542" s="13">
        <f>SUMIF(N:N,Online_eCommerce[[#This Row],[Assigned Supervisor]],L:L)</f>
        <v>12220830</v>
      </c>
    </row>
    <row r="2543" spans="1:20" hidden="1" x14ac:dyDescent="0.3">
      <c r="A2543" t="s">
        <v>3781</v>
      </c>
      <c r="B2543" t="s">
        <v>154</v>
      </c>
      <c r="C2543" t="s">
        <v>132</v>
      </c>
      <c r="D2543" t="s">
        <v>3773</v>
      </c>
      <c r="E2543" t="s">
        <v>96</v>
      </c>
      <c r="F2543" t="s">
        <v>152</v>
      </c>
      <c r="G2543" t="s">
        <v>26</v>
      </c>
      <c r="H2543" t="s">
        <v>27</v>
      </c>
      <c r="I2543">
        <v>8500</v>
      </c>
      <c r="J2543">
        <v>11050</v>
      </c>
      <c r="K2543">
        <v>2</v>
      </c>
      <c r="L2543">
        <v>17000</v>
      </c>
      <c r="M2543">
        <v>22100</v>
      </c>
      <c r="N2543" t="s">
        <v>35</v>
      </c>
      <c r="O2543">
        <f t="shared" si="78"/>
        <v>33150</v>
      </c>
      <c r="P2543" s="13">
        <f t="shared" si="79"/>
        <v>1989065</v>
      </c>
      <c r="Q2543" s="13">
        <f>SUMIFS(M:M,E:E,Online_eCommerce[[#This Row],[Status]])</f>
        <v>21233992</v>
      </c>
      <c r="R2543" s="13">
        <f>SUMIFS(L:L,H:H,Online_eCommerce[[#This Row],[Brand]])</f>
        <v>14431000</v>
      </c>
      <c r="S2543" s="13">
        <f>SUMIF(H:H,Online_eCommerce[[#This Row],[Brand]],M:M)</f>
        <v>18760300</v>
      </c>
      <c r="T2543" s="13">
        <f>SUMIF(N:N,Online_eCommerce[[#This Row],[Assigned Supervisor]],L:L)</f>
        <v>14373360</v>
      </c>
    </row>
    <row r="2544" spans="1:20" hidden="1" x14ac:dyDescent="0.3">
      <c r="A2544" t="s">
        <v>3782</v>
      </c>
      <c r="B2544" t="s">
        <v>154</v>
      </c>
      <c r="C2544" t="s">
        <v>136</v>
      </c>
      <c r="D2544" t="s">
        <v>3773</v>
      </c>
      <c r="E2544" t="s">
        <v>18</v>
      </c>
      <c r="F2544" t="s">
        <v>157</v>
      </c>
      <c r="G2544" t="s">
        <v>33</v>
      </c>
      <c r="H2544" t="s">
        <v>34</v>
      </c>
      <c r="I2544">
        <v>12500</v>
      </c>
      <c r="J2544">
        <v>16250</v>
      </c>
      <c r="K2544">
        <v>3</v>
      </c>
      <c r="L2544">
        <v>37500</v>
      </c>
      <c r="M2544">
        <v>48750</v>
      </c>
      <c r="N2544" t="s">
        <v>42</v>
      </c>
      <c r="O2544">
        <f t="shared" si="78"/>
        <v>18200</v>
      </c>
      <c r="P2544" s="13">
        <f t="shared" si="79"/>
        <v>2775162</v>
      </c>
      <c r="Q2544" s="13">
        <f>SUMIFS(M:M,E:E,Online_eCommerce[[#This Row],[Status]])</f>
        <v>28340455</v>
      </c>
      <c r="R2544" s="13">
        <f>SUMIFS(L:L,H:H,Online_eCommerce[[#This Row],[Brand]])</f>
        <v>10087000</v>
      </c>
      <c r="S2544" s="13">
        <f>SUMIF(H:H,Online_eCommerce[[#This Row],[Brand]],M:M)</f>
        <v>13113100</v>
      </c>
      <c r="T2544" s="13">
        <f>SUMIF(N:N,Online_eCommerce[[#This Row],[Assigned Supervisor]],L:L)</f>
        <v>12261500</v>
      </c>
    </row>
    <row r="2545" spans="1:20" hidden="1" x14ac:dyDescent="0.3">
      <c r="A2545" t="s">
        <v>3783</v>
      </c>
      <c r="B2545" t="s">
        <v>144</v>
      </c>
      <c r="C2545" t="s">
        <v>140</v>
      </c>
      <c r="D2545" t="s">
        <v>3773</v>
      </c>
      <c r="E2545" t="s">
        <v>161</v>
      </c>
      <c r="F2545" t="s">
        <v>3438</v>
      </c>
      <c r="G2545" t="s">
        <v>40</v>
      </c>
      <c r="H2545" t="s">
        <v>41</v>
      </c>
      <c r="I2545">
        <v>3500</v>
      </c>
      <c r="J2545">
        <v>4550</v>
      </c>
      <c r="K2545">
        <v>1</v>
      </c>
      <c r="L2545">
        <v>3500</v>
      </c>
      <c r="M2545">
        <v>4550</v>
      </c>
      <c r="N2545" t="s">
        <v>50</v>
      </c>
      <c r="O2545">
        <f t="shared" si="78"/>
        <v>25545</v>
      </c>
      <c r="P2545" s="13">
        <f t="shared" si="79"/>
        <v>2058264</v>
      </c>
      <c r="Q2545" s="13">
        <f>SUMIFS(M:M,E:E,Online_eCommerce[[#This Row],[Status]])</f>
        <v>21103186</v>
      </c>
      <c r="R2545" s="13">
        <f>SUMIFS(L:L,H:H,Online_eCommerce[[#This Row],[Brand]])</f>
        <v>4260400</v>
      </c>
      <c r="S2545" s="13">
        <f>SUMIF(H:H,Online_eCommerce[[#This Row],[Brand]],M:M)</f>
        <v>5538520</v>
      </c>
      <c r="T2545" s="13">
        <f>SUMIF(N:N,Online_eCommerce[[#This Row],[Assigned Supervisor]],L:L)</f>
        <v>12100590</v>
      </c>
    </row>
    <row r="2546" spans="1:20" x14ac:dyDescent="0.3">
      <c r="A2546" t="s">
        <v>3784</v>
      </c>
      <c r="B2546" t="s">
        <v>171</v>
      </c>
      <c r="C2546" t="s">
        <v>145</v>
      </c>
      <c r="D2546" t="s">
        <v>3773</v>
      </c>
      <c r="E2546" t="s">
        <v>46</v>
      </c>
      <c r="F2546" t="s">
        <v>166</v>
      </c>
      <c r="G2546" t="s">
        <v>334</v>
      </c>
      <c r="H2546" t="s">
        <v>49</v>
      </c>
      <c r="I2546">
        <v>4500</v>
      </c>
      <c r="J2546">
        <v>5850</v>
      </c>
      <c r="K2546">
        <v>4</v>
      </c>
      <c r="L2546">
        <v>18000</v>
      </c>
      <c r="M2546">
        <v>23400</v>
      </c>
      <c r="N2546" t="s">
        <v>56</v>
      </c>
      <c r="O2546">
        <f t="shared" si="78"/>
        <v>39780</v>
      </c>
      <c r="P2546" s="13">
        <f t="shared" si="79"/>
        <v>2757859</v>
      </c>
      <c r="Q2546" s="13">
        <f>SUMIFS(M:M,E:E,Online_eCommerce[[#This Row],[Status]])</f>
        <v>28620410</v>
      </c>
      <c r="R2546" s="13">
        <f>SUMIFS(L:L,H:H,Online_eCommerce[[#This Row],[Brand]])</f>
        <v>4528350</v>
      </c>
      <c r="S2546" s="13">
        <f>SUMIF(H:H,Online_eCommerce[[#This Row],[Brand]],M:M)</f>
        <v>5886855</v>
      </c>
      <c r="T2546" s="13">
        <f>SUMIF(N:N,Online_eCommerce[[#This Row],[Assigned Supervisor]],L:L)</f>
        <v>11733610</v>
      </c>
    </row>
    <row r="2547" spans="1:20" hidden="1" x14ac:dyDescent="0.3">
      <c r="A2547" t="s">
        <v>3785</v>
      </c>
      <c r="B2547" t="s">
        <v>176</v>
      </c>
      <c r="C2547" t="s">
        <v>150</v>
      </c>
      <c r="D2547" t="s">
        <v>3773</v>
      </c>
      <c r="E2547" t="s">
        <v>96</v>
      </c>
      <c r="F2547" t="s">
        <v>3786</v>
      </c>
      <c r="G2547" t="s">
        <v>54</v>
      </c>
      <c r="H2547" t="s">
        <v>55</v>
      </c>
      <c r="I2547">
        <v>2100</v>
      </c>
      <c r="J2547">
        <v>2730</v>
      </c>
      <c r="K2547">
        <v>1</v>
      </c>
      <c r="L2547">
        <v>2100</v>
      </c>
      <c r="M2547">
        <v>2730</v>
      </c>
      <c r="N2547" t="s">
        <v>22</v>
      </c>
      <c r="O2547">
        <f t="shared" si="78"/>
        <v>2990</v>
      </c>
      <c r="P2547" s="13">
        <f t="shared" si="79"/>
        <v>2154984</v>
      </c>
      <c r="Q2547" s="13">
        <f>SUMIFS(M:M,E:E,Online_eCommerce[[#This Row],[Status]])</f>
        <v>21233992</v>
      </c>
      <c r="R2547" s="13">
        <f>SUMIFS(L:L,H:H,Online_eCommerce[[#This Row],[Brand]])</f>
        <v>2267380</v>
      </c>
      <c r="S2547" s="13">
        <f>SUMIF(H:H,Online_eCommerce[[#This Row],[Brand]],M:M)</f>
        <v>2947594</v>
      </c>
      <c r="T2547" s="13">
        <f>SUMIF(N:N,Online_eCommerce[[#This Row],[Assigned Supervisor]],L:L)</f>
        <v>13693220</v>
      </c>
    </row>
    <row r="2548" spans="1:20" hidden="1" x14ac:dyDescent="0.3">
      <c r="A2548" t="s">
        <v>3787</v>
      </c>
      <c r="B2548" t="s">
        <v>276</v>
      </c>
      <c r="C2548" t="s">
        <v>155</v>
      </c>
      <c r="D2548" t="s">
        <v>3773</v>
      </c>
      <c r="E2548" t="s">
        <v>18</v>
      </c>
      <c r="F2548" t="s">
        <v>174</v>
      </c>
      <c r="G2548" t="s">
        <v>60</v>
      </c>
      <c r="H2548" t="s">
        <v>61</v>
      </c>
      <c r="I2548">
        <v>1150</v>
      </c>
      <c r="J2548">
        <v>1495</v>
      </c>
      <c r="K2548">
        <v>4</v>
      </c>
      <c r="L2548">
        <v>4600</v>
      </c>
      <c r="M2548">
        <v>5980</v>
      </c>
      <c r="N2548" t="s">
        <v>28</v>
      </c>
      <c r="O2548">
        <f t="shared" si="78"/>
        <v>3315</v>
      </c>
      <c r="P2548" s="13">
        <f t="shared" si="79"/>
        <v>2753348</v>
      </c>
      <c r="Q2548" s="13">
        <f>SUMIFS(M:M,E:E,Online_eCommerce[[#This Row],[Status]])</f>
        <v>28340455</v>
      </c>
      <c r="R2548" s="13">
        <f>SUMIFS(L:L,H:H,Online_eCommerce[[#This Row],[Brand]])</f>
        <v>10950150</v>
      </c>
      <c r="S2548" s="13">
        <f>SUMIF(H:H,Online_eCommerce[[#This Row],[Brand]],M:M)</f>
        <v>14235195</v>
      </c>
      <c r="T2548" s="13">
        <f>SUMIF(N:N,Online_eCommerce[[#This Row],[Assigned Supervisor]],L:L)</f>
        <v>12220830</v>
      </c>
    </row>
    <row r="2549" spans="1:20" hidden="1" x14ac:dyDescent="0.3">
      <c r="A2549" t="s">
        <v>3788</v>
      </c>
      <c r="B2549" t="s">
        <v>280</v>
      </c>
      <c r="C2549" t="s">
        <v>160</v>
      </c>
      <c r="D2549" t="s">
        <v>3773</v>
      </c>
      <c r="E2549" t="s">
        <v>161</v>
      </c>
      <c r="F2549" t="s">
        <v>179</v>
      </c>
      <c r="G2549" t="s">
        <v>66</v>
      </c>
      <c r="H2549" t="s">
        <v>21</v>
      </c>
      <c r="I2549">
        <v>350</v>
      </c>
      <c r="J2549">
        <v>455</v>
      </c>
      <c r="K2549">
        <v>3</v>
      </c>
      <c r="L2549">
        <v>1050</v>
      </c>
      <c r="M2549">
        <v>1365</v>
      </c>
      <c r="N2549" t="s">
        <v>35</v>
      </c>
      <c r="O2549">
        <f t="shared" si="78"/>
        <v>1690</v>
      </c>
      <c r="P2549" s="13">
        <f t="shared" si="79"/>
        <v>2303483</v>
      </c>
      <c r="Q2549" s="13">
        <f>SUMIFS(M:M,E:E,Online_eCommerce[[#This Row],[Status]])</f>
        <v>21103186</v>
      </c>
      <c r="R2549" s="13">
        <f>SUMIFS(L:L,H:H,Online_eCommerce[[#This Row],[Brand]])</f>
        <v>12435650</v>
      </c>
      <c r="S2549" s="13">
        <f>SUMIF(H:H,Online_eCommerce[[#This Row],[Brand]],M:M)</f>
        <v>16166345</v>
      </c>
      <c r="T2549" s="13">
        <f>SUMIF(N:N,Online_eCommerce[[#This Row],[Assigned Supervisor]],L:L)</f>
        <v>14373360</v>
      </c>
    </row>
    <row r="2550" spans="1:20" x14ac:dyDescent="0.3">
      <c r="A2550" t="s">
        <v>3789</v>
      </c>
      <c r="B2550" t="s">
        <v>283</v>
      </c>
      <c r="C2550" t="s">
        <v>165</v>
      </c>
      <c r="D2550" t="s">
        <v>3773</v>
      </c>
      <c r="E2550" t="s">
        <v>46</v>
      </c>
      <c r="F2550" t="s">
        <v>183</v>
      </c>
      <c r="G2550" t="s">
        <v>71</v>
      </c>
      <c r="H2550" t="s">
        <v>61</v>
      </c>
      <c r="I2550">
        <v>9500</v>
      </c>
      <c r="J2550">
        <v>12350</v>
      </c>
      <c r="K2550">
        <v>3</v>
      </c>
      <c r="L2550">
        <v>28500</v>
      </c>
      <c r="M2550">
        <v>37050</v>
      </c>
      <c r="N2550" t="s">
        <v>42</v>
      </c>
      <c r="O2550">
        <f t="shared" si="78"/>
        <v>9750</v>
      </c>
      <c r="P2550" s="13">
        <f t="shared" si="79"/>
        <v>2674087</v>
      </c>
      <c r="Q2550" s="13">
        <f>SUMIFS(M:M,E:E,Online_eCommerce[[#This Row],[Status]])</f>
        <v>28620410</v>
      </c>
      <c r="R2550" s="13">
        <f>SUMIFS(L:L,H:H,Online_eCommerce[[#This Row],[Brand]])</f>
        <v>10950150</v>
      </c>
      <c r="S2550" s="13">
        <f>SUMIF(H:H,Online_eCommerce[[#This Row],[Brand]],M:M)</f>
        <v>14235195</v>
      </c>
      <c r="T2550" s="13">
        <f>SUMIF(N:N,Online_eCommerce[[#This Row],[Assigned Supervisor]],L:L)</f>
        <v>12261500</v>
      </c>
    </row>
    <row r="2551" spans="1:20" hidden="1" x14ac:dyDescent="0.3">
      <c r="A2551" t="s">
        <v>3790</v>
      </c>
      <c r="B2551" t="s">
        <v>287</v>
      </c>
      <c r="C2551" t="s">
        <v>168</v>
      </c>
      <c r="D2551" t="s">
        <v>3773</v>
      </c>
      <c r="E2551" t="s">
        <v>96</v>
      </c>
      <c r="F2551" t="s">
        <v>3791</v>
      </c>
      <c r="G2551" t="s">
        <v>77</v>
      </c>
      <c r="H2551" t="s">
        <v>142</v>
      </c>
      <c r="I2551">
        <v>10000</v>
      </c>
      <c r="J2551">
        <v>13000</v>
      </c>
      <c r="K2551">
        <v>3</v>
      </c>
      <c r="L2551">
        <v>30000</v>
      </c>
      <c r="M2551">
        <v>39000</v>
      </c>
      <c r="N2551" t="s">
        <v>50</v>
      </c>
      <c r="O2551">
        <f t="shared" si="78"/>
        <v>39000</v>
      </c>
      <c r="P2551" s="13">
        <f t="shared" si="79"/>
        <v>1937780</v>
      </c>
      <c r="Q2551" s="13">
        <f>SUMIFS(M:M,E:E,Online_eCommerce[[#This Row],[Status]])</f>
        <v>21233992</v>
      </c>
      <c r="R2551" s="13">
        <f>SUMIFS(L:L,H:H,Online_eCommerce[[#This Row],[Brand]])</f>
        <v>6192500</v>
      </c>
      <c r="S2551" s="13">
        <f>SUMIF(H:H,Online_eCommerce[[#This Row],[Brand]],M:M)</f>
        <v>8050250</v>
      </c>
      <c r="T2551" s="13">
        <f>SUMIF(N:N,Online_eCommerce[[#This Row],[Assigned Supervisor]],L:L)</f>
        <v>12100590</v>
      </c>
    </row>
    <row r="2552" spans="1:20" hidden="1" x14ac:dyDescent="0.3">
      <c r="A2552" t="s">
        <v>3792</v>
      </c>
      <c r="B2552" t="s">
        <v>290</v>
      </c>
      <c r="C2552" t="s">
        <v>172</v>
      </c>
      <c r="D2552" t="s">
        <v>3773</v>
      </c>
      <c r="E2552" t="s">
        <v>18</v>
      </c>
      <c r="F2552" t="s">
        <v>3793</v>
      </c>
      <c r="G2552" t="s">
        <v>20</v>
      </c>
      <c r="H2552" t="s">
        <v>21</v>
      </c>
      <c r="I2552">
        <v>6500</v>
      </c>
      <c r="J2552">
        <v>8450</v>
      </c>
      <c r="K2552">
        <v>2</v>
      </c>
      <c r="L2552">
        <v>13000</v>
      </c>
      <c r="M2552">
        <v>16900</v>
      </c>
      <c r="N2552" t="s">
        <v>56</v>
      </c>
      <c r="O2552">
        <f t="shared" si="78"/>
        <v>8450</v>
      </c>
      <c r="P2552" s="13">
        <f t="shared" si="79"/>
        <v>2640274</v>
      </c>
      <c r="Q2552" s="13">
        <f>SUMIFS(M:M,E:E,Online_eCommerce[[#This Row],[Status]])</f>
        <v>28340455</v>
      </c>
      <c r="R2552" s="13">
        <f>SUMIFS(L:L,H:H,Online_eCommerce[[#This Row],[Brand]])</f>
        <v>12435650</v>
      </c>
      <c r="S2552" s="13">
        <f>SUMIF(H:H,Online_eCommerce[[#This Row],[Brand]],M:M)</f>
        <v>16166345</v>
      </c>
      <c r="T2552" s="13">
        <f>SUMIF(N:N,Online_eCommerce[[#This Row],[Assigned Supervisor]],L:L)</f>
        <v>11733610</v>
      </c>
    </row>
    <row r="2553" spans="1:20" hidden="1" x14ac:dyDescent="0.3">
      <c r="A2553" t="s">
        <v>3794</v>
      </c>
      <c r="B2553" t="s">
        <v>15</v>
      </c>
      <c r="C2553" t="s">
        <v>177</v>
      </c>
      <c r="D2553" t="s">
        <v>3795</v>
      </c>
      <c r="E2553" t="s">
        <v>161</v>
      </c>
      <c r="F2553" t="s">
        <v>3796</v>
      </c>
      <c r="G2553" t="s">
        <v>26</v>
      </c>
      <c r="H2553" t="s">
        <v>27</v>
      </c>
      <c r="I2553">
        <v>8500</v>
      </c>
      <c r="J2553">
        <v>11050</v>
      </c>
      <c r="K2553">
        <v>1</v>
      </c>
      <c r="L2553">
        <v>8500</v>
      </c>
      <c r="M2553">
        <v>11050</v>
      </c>
      <c r="N2553" t="s">
        <v>22</v>
      </c>
      <c r="O2553">
        <f t="shared" si="78"/>
        <v>33150</v>
      </c>
      <c r="P2553" s="13">
        <f t="shared" si="79"/>
        <v>1863810</v>
      </c>
      <c r="Q2553" s="13">
        <f>SUMIFS(M:M,E:E,Online_eCommerce[[#This Row],[Status]])</f>
        <v>21103186</v>
      </c>
      <c r="R2553" s="13">
        <f>SUMIFS(L:L,H:H,Online_eCommerce[[#This Row],[Brand]])</f>
        <v>14431000</v>
      </c>
      <c r="S2553" s="13">
        <f>SUMIF(H:H,Online_eCommerce[[#This Row],[Brand]],M:M)</f>
        <v>18760300</v>
      </c>
      <c r="T2553" s="13">
        <f>SUMIF(N:N,Online_eCommerce[[#This Row],[Assigned Supervisor]],L:L)</f>
        <v>13693220</v>
      </c>
    </row>
    <row r="2554" spans="1:20" x14ac:dyDescent="0.3">
      <c r="A2554" t="s">
        <v>3797</v>
      </c>
      <c r="B2554" t="s">
        <v>154</v>
      </c>
      <c r="C2554" t="s">
        <v>181</v>
      </c>
      <c r="D2554" t="s">
        <v>3798</v>
      </c>
      <c r="E2554" t="s">
        <v>46</v>
      </c>
      <c r="F2554" t="s">
        <v>32</v>
      </c>
      <c r="G2554" t="s">
        <v>33</v>
      </c>
      <c r="H2554" t="s">
        <v>34</v>
      </c>
      <c r="I2554">
        <v>7000</v>
      </c>
      <c r="J2554">
        <v>9100</v>
      </c>
      <c r="K2554">
        <v>3</v>
      </c>
      <c r="L2554">
        <v>21000</v>
      </c>
      <c r="M2554">
        <v>27300</v>
      </c>
      <c r="N2554" t="s">
        <v>28</v>
      </c>
      <c r="O2554">
        <f t="shared" si="78"/>
        <v>18200</v>
      </c>
      <c r="P2554" s="13">
        <f t="shared" si="79"/>
        <v>2577458</v>
      </c>
      <c r="Q2554" s="13">
        <f>SUMIFS(M:M,E:E,Online_eCommerce[[#This Row],[Status]])</f>
        <v>28620410</v>
      </c>
      <c r="R2554" s="13">
        <f>SUMIFS(L:L,H:H,Online_eCommerce[[#This Row],[Brand]])</f>
        <v>10087000</v>
      </c>
      <c r="S2554" s="13">
        <f>SUMIF(H:H,Online_eCommerce[[#This Row],[Brand]],M:M)</f>
        <v>13113100</v>
      </c>
      <c r="T2554" s="13">
        <f>SUMIF(N:N,Online_eCommerce[[#This Row],[Assigned Supervisor]],L:L)</f>
        <v>12220830</v>
      </c>
    </row>
    <row r="2555" spans="1:20" hidden="1" x14ac:dyDescent="0.3">
      <c r="A2555" t="s">
        <v>3799</v>
      </c>
      <c r="B2555" t="s">
        <v>154</v>
      </c>
      <c r="C2555" t="s">
        <v>185</v>
      </c>
      <c r="D2555" t="s">
        <v>3800</v>
      </c>
      <c r="E2555" t="s">
        <v>96</v>
      </c>
      <c r="F2555" t="s">
        <v>3801</v>
      </c>
      <c r="G2555" t="s">
        <v>40</v>
      </c>
      <c r="H2555" t="s">
        <v>41</v>
      </c>
      <c r="I2555">
        <v>6550</v>
      </c>
      <c r="J2555">
        <v>8515</v>
      </c>
      <c r="K2555">
        <v>1</v>
      </c>
      <c r="L2555">
        <v>6550</v>
      </c>
      <c r="M2555">
        <v>8515</v>
      </c>
      <c r="N2555" t="s">
        <v>35</v>
      </c>
      <c r="O2555">
        <f t="shared" si="78"/>
        <v>25545</v>
      </c>
      <c r="P2555" s="13">
        <f t="shared" si="79"/>
        <v>2091596</v>
      </c>
      <c r="Q2555" s="13">
        <f>SUMIFS(M:M,E:E,Online_eCommerce[[#This Row],[Status]])</f>
        <v>21233992</v>
      </c>
      <c r="R2555" s="13">
        <f>SUMIFS(L:L,H:H,Online_eCommerce[[#This Row],[Brand]])</f>
        <v>4260400</v>
      </c>
      <c r="S2555" s="13">
        <f>SUMIF(H:H,Online_eCommerce[[#This Row],[Brand]],M:M)</f>
        <v>5538520</v>
      </c>
      <c r="T2555" s="13">
        <f>SUMIF(N:N,Online_eCommerce[[#This Row],[Assigned Supervisor]],L:L)</f>
        <v>14373360</v>
      </c>
    </row>
    <row r="2556" spans="1:20" hidden="1" x14ac:dyDescent="0.3">
      <c r="A2556" t="s">
        <v>3802</v>
      </c>
      <c r="B2556" t="s">
        <v>154</v>
      </c>
      <c r="C2556" t="s">
        <v>189</v>
      </c>
      <c r="D2556" t="s">
        <v>3800</v>
      </c>
      <c r="E2556" t="s">
        <v>18</v>
      </c>
      <c r="F2556" t="s">
        <v>47</v>
      </c>
      <c r="G2556" t="s">
        <v>334</v>
      </c>
      <c r="H2556" t="s">
        <v>49</v>
      </c>
      <c r="I2556">
        <v>7650</v>
      </c>
      <c r="J2556">
        <v>9945</v>
      </c>
      <c r="K2556">
        <v>3</v>
      </c>
      <c r="L2556">
        <v>22950</v>
      </c>
      <c r="M2556">
        <v>29835</v>
      </c>
      <c r="N2556" t="s">
        <v>42</v>
      </c>
      <c r="O2556">
        <f t="shared" si="78"/>
        <v>39780</v>
      </c>
      <c r="P2556" s="13">
        <f t="shared" si="79"/>
        <v>2740777</v>
      </c>
      <c r="Q2556" s="13">
        <f>SUMIFS(M:M,E:E,Online_eCommerce[[#This Row],[Status]])</f>
        <v>28340455</v>
      </c>
      <c r="R2556" s="13">
        <f>SUMIFS(L:L,H:H,Online_eCommerce[[#This Row],[Brand]])</f>
        <v>4528350</v>
      </c>
      <c r="S2556" s="13">
        <f>SUMIF(H:H,Online_eCommerce[[#This Row],[Brand]],M:M)</f>
        <v>5886855</v>
      </c>
      <c r="T2556" s="13">
        <f>SUMIF(N:N,Online_eCommerce[[#This Row],[Assigned Supervisor]],L:L)</f>
        <v>12261500</v>
      </c>
    </row>
    <row r="2557" spans="1:20" hidden="1" x14ac:dyDescent="0.3">
      <c r="A2557" t="s">
        <v>3803</v>
      </c>
      <c r="B2557" t="s">
        <v>154</v>
      </c>
      <c r="C2557" t="s">
        <v>193</v>
      </c>
      <c r="D2557" t="s">
        <v>3800</v>
      </c>
      <c r="E2557" t="s">
        <v>161</v>
      </c>
      <c r="F2557" t="s">
        <v>53</v>
      </c>
      <c r="G2557" t="s">
        <v>54</v>
      </c>
      <c r="H2557" t="s">
        <v>55</v>
      </c>
      <c r="I2557">
        <v>1150</v>
      </c>
      <c r="J2557">
        <v>1495</v>
      </c>
      <c r="K2557">
        <v>1</v>
      </c>
      <c r="L2557">
        <v>1150</v>
      </c>
      <c r="M2557">
        <v>1495</v>
      </c>
      <c r="N2557" t="s">
        <v>50</v>
      </c>
      <c r="O2557">
        <f t="shared" si="78"/>
        <v>2990</v>
      </c>
      <c r="P2557" s="13">
        <f t="shared" si="79"/>
        <v>2074774</v>
      </c>
      <c r="Q2557" s="13">
        <f>SUMIFS(M:M,E:E,Online_eCommerce[[#This Row],[Status]])</f>
        <v>21103186</v>
      </c>
      <c r="R2557" s="13">
        <f>SUMIFS(L:L,H:H,Online_eCommerce[[#This Row],[Brand]])</f>
        <v>2267380</v>
      </c>
      <c r="S2557" s="13">
        <f>SUMIF(H:H,Online_eCommerce[[#This Row],[Brand]],M:M)</f>
        <v>2947594</v>
      </c>
      <c r="T2557" s="13">
        <f>SUMIF(N:N,Online_eCommerce[[#This Row],[Assigned Supervisor]],L:L)</f>
        <v>12100590</v>
      </c>
    </row>
    <row r="2558" spans="1:20" x14ac:dyDescent="0.3">
      <c r="A2558" t="s">
        <v>3804</v>
      </c>
      <c r="B2558" t="s">
        <v>154</v>
      </c>
      <c r="C2558" t="s">
        <v>197</v>
      </c>
      <c r="D2558" t="s">
        <v>3800</v>
      </c>
      <c r="E2558" t="s">
        <v>46</v>
      </c>
      <c r="F2558" t="s">
        <v>59</v>
      </c>
      <c r="G2558" t="s">
        <v>60</v>
      </c>
      <c r="H2558" t="s">
        <v>61</v>
      </c>
      <c r="I2558">
        <v>850</v>
      </c>
      <c r="J2558">
        <v>1105</v>
      </c>
      <c r="K2558">
        <v>4</v>
      </c>
      <c r="L2558">
        <v>3400</v>
      </c>
      <c r="M2558">
        <v>4420</v>
      </c>
      <c r="N2558" t="s">
        <v>56</v>
      </c>
      <c r="O2558">
        <f t="shared" si="78"/>
        <v>3315</v>
      </c>
      <c r="P2558" s="13">
        <f t="shared" si="79"/>
        <v>2829840</v>
      </c>
      <c r="Q2558" s="13">
        <f>SUMIFS(M:M,E:E,Online_eCommerce[[#This Row],[Status]])</f>
        <v>28620410</v>
      </c>
      <c r="R2558" s="13">
        <f>SUMIFS(L:L,H:H,Online_eCommerce[[#This Row],[Brand]])</f>
        <v>10950150</v>
      </c>
      <c r="S2558" s="13">
        <f>SUMIF(H:H,Online_eCommerce[[#This Row],[Brand]],M:M)</f>
        <v>14235195</v>
      </c>
      <c r="T2558" s="13">
        <f>SUMIF(N:N,Online_eCommerce[[#This Row],[Assigned Supervisor]],L:L)</f>
        <v>11733610</v>
      </c>
    </row>
    <row r="2559" spans="1:20" hidden="1" x14ac:dyDescent="0.3">
      <c r="A2559" t="s">
        <v>3805</v>
      </c>
      <c r="B2559" t="s">
        <v>154</v>
      </c>
      <c r="C2559" t="s">
        <v>199</v>
      </c>
      <c r="D2559" t="s">
        <v>3800</v>
      </c>
      <c r="E2559" t="s">
        <v>96</v>
      </c>
      <c r="F2559" t="s">
        <v>65</v>
      </c>
      <c r="G2559" t="s">
        <v>66</v>
      </c>
      <c r="H2559" t="s">
        <v>21</v>
      </c>
      <c r="I2559">
        <v>650</v>
      </c>
      <c r="J2559">
        <v>845</v>
      </c>
      <c r="K2559">
        <v>1</v>
      </c>
      <c r="L2559">
        <v>650</v>
      </c>
      <c r="M2559">
        <v>845</v>
      </c>
      <c r="N2559" t="s">
        <v>22</v>
      </c>
      <c r="O2559">
        <f t="shared" si="78"/>
        <v>1690</v>
      </c>
      <c r="P2559" s="13">
        <f t="shared" si="79"/>
        <v>1947361</v>
      </c>
      <c r="Q2559" s="13">
        <f>SUMIFS(M:M,E:E,Online_eCommerce[[#This Row],[Status]])</f>
        <v>21233992</v>
      </c>
      <c r="R2559" s="13">
        <f>SUMIFS(L:L,H:H,Online_eCommerce[[#This Row],[Brand]])</f>
        <v>12435650</v>
      </c>
      <c r="S2559" s="13">
        <f>SUMIF(H:H,Online_eCommerce[[#This Row],[Brand]],M:M)</f>
        <v>16166345</v>
      </c>
      <c r="T2559" s="13">
        <f>SUMIF(N:N,Online_eCommerce[[#This Row],[Assigned Supervisor]],L:L)</f>
        <v>13693220</v>
      </c>
    </row>
    <row r="2560" spans="1:20" hidden="1" x14ac:dyDescent="0.3">
      <c r="A2560" t="s">
        <v>3806</v>
      </c>
      <c r="B2560" t="s">
        <v>154</v>
      </c>
      <c r="C2560" t="s">
        <v>203</v>
      </c>
      <c r="D2560" t="s">
        <v>3800</v>
      </c>
      <c r="E2560" t="s">
        <v>18</v>
      </c>
      <c r="F2560" t="s">
        <v>70</v>
      </c>
      <c r="G2560" t="s">
        <v>71</v>
      </c>
      <c r="H2560" t="s">
        <v>61</v>
      </c>
      <c r="I2560">
        <v>7500</v>
      </c>
      <c r="J2560">
        <v>9750</v>
      </c>
      <c r="K2560">
        <v>1</v>
      </c>
      <c r="L2560">
        <v>7500</v>
      </c>
      <c r="M2560">
        <v>9750</v>
      </c>
      <c r="N2560" t="s">
        <v>28</v>
      </c>
      <c r="O2560">
        <f t="shared" si="78"/>
        <v>9750</v>
      </c>
      <c r="P2560" s="13">
        <f t="shared" si="79"/>
        <v>2559635</v>
      </c>
      <c r="Q2560" s="13">
        <f>SUMIFS(M:M,E:E,Online_eCommerce[[#This Row],[Status]])</f>
        <v>28340455</v>
      </c>
      <c r="R2560" s="13">
        <f>SUMIFS(L:L,H:H,Online_eCommerce[[#This Row],[Brand]])</f>
        <v>10950150</v>
      </c>
      <c r="S2560" s="13">
        <f>SUMIF(H:H,Online_eCommerce[[#This Row],[Brand]],M:M)</f>
        <v>14235195</v>
      </c>
      <c r="T2560" s="13">
        <f>SUMIF(N:N,Online_eCommerce[[#This Row],[Assigned Supervisor]],L:L)</f>
        <v>12220830</v>
      </c>
    </row>
    <row r="2561" spans="1:20" hidden="1" x14ac:dyDescent="0.3">
      <c r="A2561" t="s">
        <v>3807</v>
      </c>
      <c r="B2561" t="s">
        <v>154</v>
      </c>
      <c r="C2561" t="s">
        <v>205</v>
      </c>
      <c r="D2561" t="s">
        <v>3800</v>
      </c>
      <c r="E2561" t="s">
        <v>161</v>
      </c>
      <c r="F2561" t="s">
        <v>3791</v>
      </c>
      <c r="G2561" t="s">
        <v>77</v>
      </c>
      <c r="H2561" t="s">
        <v>78</v>
      </c>
      <c r="I2561">
        <v>10000</v>
      </c>
      <c r="J2561">
        <v>13000</v>
      </c>
      <c r="K2561">
        <v>3</v>
      </c>
      <c r="L2561">
        <v>30000</v>
      </c>
      <c r="M2561">
        <v>39000</v>
      </c>
      <c r="N2561" t="s">
        <v>35</v>
      </c>
      <c r="O2561">
        <f t="shared" si="78"/>
        <v>39000</v>
      </c>
      <c r="P2561" s="13">
        <f t="shared" si="79"/>
        <v>1983254</v>
      </c>
      <c r="Q2561" s="13">
        <f>SUMIFS(M:M,E:E,Online_eCommerce[[#This Row],[Status]])</f>
        <v>21103186</v>
      </c>
      <c r="R2561" s="13">
        <f>SUMIFS(L:L,H:H,Online_eCommerce[[#This Row],[Brand]])</f>
        <v>3720000</v>
      </c>
      <c r="S2561" s="13">
        <f>SUMIF(H:H,Online_eCommerce[[#This Row],[Brand]],M:M)</f>
        <v>4836000</v>
      </c>
      <c r="T2561" s="13">
        <f>SUMIF(N:N,Online_eCommerce[[#This Row],[Assigned Supervisor]],L:L)</f>
        <v>14373360</v>
      </c>
    </row>
    <row r="2562" spans="1:20" x14ac:dyDescent="0.3">
      <c r="A2562" t="s">
        <v>3808</v>
      </c>
      <c r="B2562" t="s">
        <v>154</v>
      </c>
      <c r="C2562" t="s">
        <v>208</v>
      </c>
      <c r="D2562" t="s">
        <v>3800</v>
      </c>
      <c r="E2562" t="s">
        <v>46</v>
      </c>
      <c r="F2562" t="s">
        <v>3809</v>
      </c>
      <c r="G2562" t="s">
        <v>20</v>
      </c>
      <c r="H2562" t="s">
        <v>21</v>
      </c>
      <c r="I2562">
        <v>10500</v>
      </c>
      <c r="J2562">
        <v>13650</v>
      </c>
      <c r="K2562">
        <v>1</v>
      </c>
      <c r="L2562">
        <v>10500</v>
      </c>
      <c r="M2562">
        <v>13650</v>
      </c>
      <c r="N2562" t="s">
        <v>42</v>
      </c>
      <c r="O2562">
        <f t="shared" ref="O2562:O2625" si="80">VLOOKUP(G2562,G:M,7,FALSE)</f>
        <v>8450</v>
      </c>
      <c r="P2562" s="13">
        <f t="shared" ref="P2562:P2625" si="81">SUMIFS(M:M,C:C,C2562)</f>
        <v>2746575</v>
      </c>
      <c r="Q2562" s="13">
        <f>SUMIFS(M:M,E:E,Online_eCommerce[[#This Row],[Status]])</f>
        <v>28620410</v>
      </c>
      <c r="R2562" s="13">
        <f>SUMIFS(L:L,H:H,Online_eCommerce[[#This Row],[Brand]])</f>
        <v>12435650</v>
      </c>
      <c r="S2562" s="13">
        <f>SUMIF(H:H,Online_eCommerce[[#This Row],[Brand]],M:M)</f>
        <v>16166345</v>
      </c>
      <c r="T2562" s="13">
        <f>SUMIF(N:N,Online_eCommerce[[#This Row],[Assigned Supervisor]],L:L)</f>
        <v>12261500</v>
      </c>
    </row>
    <row r="2563" spans="1:20" hidden="1" x14ac:dyDescent="0.3">
      <c r="A2563" t="s">
        <v>3810</v>
      </c>
      <c r="B2563" t="s">
        <v>154</v>
      </c>
      <c r="C2563" t="s">
        <v>211</v>
      </c>
      <c r="D2563" t="s">
        <v>3800</v>
      </c>
      <c r="E2563" t="s">
        <v>96</v>
      </c>
      <c r="F2563" t="s">
        <v>88</v>
      </c>
      <c r="G2563" t="s">
        <v>26</v>
      </c>
      <c r="H2563" t="s">
        <v>27</v>
      </c>
      <c r="I2563">
        <v>8500</v>
      </c>
      <c r="J2563">
        <v>11050</v>
      </c>
      <c r="K2563">
        <v>1</v>
      </c>
      <c r="L2563">
        <v>8500</v>
      </c>
      <c r="M2563">
        <v>11050</v>
      </c>
      <c r="N2563" t="s">
        <v>50</v>
      </c>
      <c r="O2563">
        <f t="shared" si="80"/>
        <v>33150</v>
      </c>
      <c r="P2563" s="13">
        <f t="shared" si="81"/>
        <v>1809847</v>
      </c>
      <c r="Q2563" s="13">
        <f>SUMIFS(M:M,E:E,Online_eCommerce[[#This Row],[Status]])</f>
        <v>21233992</v>
      </c>
      <c r="R2563" s="13">
        <f>SUMIFS(L:L,H:H,Online_eCommerce[[#This Row],[Brand]])</f>
        <v>14431000</v>
      </c>
      <c r="S2563" s="13">
        <f>SUMIF(H:H,Online_eCommerce[[#This Row],[Brand]],M:M)</f>
        <v>18760300</v>
      </c>
      <c r="T2563" s="13">
        <f>SUMIF(N:N,Online_eCommerce[[#This Row],[Assigned Supervisor]],L:L)</f>
        <v>12100590</v>
      </c>
    </row>
    <row r="2564" spans="1:20" hidden="1" x14ac:dyDescent="0.3">
      <c r="A2564" t="s">
        <v>3811</v>
      </c>
      <c r="B2564" t="s">
        <v>85</v>
      </c>
      <c r="C2564" t="s">
        <v>16</v>
      </c>
      <c r="D2564" t="s">
        <v>3800</v>
      </c>
      <c r="E2564" t="s">
        <v>18</v>
      </c>
      <c r="F2564" t="s">
        <v>32</v>
      </c>
      <c r="G2564" t="s">
        <v>33</v>
      </c>
      <c r="H2564" t="s">
        <v>34</v>
      </c>
      <c r="I2564">
        <v>7000</v>
      </c>
      <c r="J2564">
        <v>9100</v>
      </c>
      <c r="K2564">
        <v>4</v>
      </c>
      <c r="L2564">
        <v>28000</v>
      </c>
      <c r="M2564">
        <v>36400</v>
      </c>
      <c r="N2564" t="s">
        <v>56</v>
      </c>
      <c r="O2564">
        <f t="shared" si="80"/>
        <v>18200</v>
      </c>
      <c r="P2564" s="13">
        <f t="shared" si="81"/>
        <v>2751814</v>
      </c>
      <c r="Q2564" s="13">
        <f>SUMIFS(M:M,E:E,Online_eCommerce[[#This Row],[Status]])</f>
        <v>28340455</v>
      </c>
      <c r="R2564" s="13">
        <f>SUMIFS(L:L,H:H,Online_eCommerce[[#This Row],[Brand]])</f>
        <v>10087000</v>
      </c>
      <c r="S2564" s="13">
        <f>SUMIF(H:H,Online_eCommerce[[#This Row],[Brand]],M:M)</f>
        <v>13113100</v>
      </c>
      <c r="T2564" s="13">
        <f>SUMIF(N:N,Online_eCommerce[[#This Row],[Assigned Supervisor]],L:L)</f>
        <v>11733610</v>
      </c>
    </row>
    <row r="2565" spans="1:20" hidden="1" x14ac:dyDescent="0.3">
      <c r="A2565" t="s">
        <v>3812</v>
      </c>
      <c r="B2565" t="s">
        <v>90</v>
      </c>
      <c r="C2565" t="s">
        <v>24</v>
      </c>
      <c r="D2565" t="s">
        <v>3800</v>
      </c>
      <c r="E2565" t="s">
        <v>161</v>
      </c>
      <c r="F2565" t="s">
        <v>3813</v>
      </c>
      <c r="G2565" t="s">
        <v>40</v>
      </c>
      <c r="H2565" t="s">
        <v>41</v>
      </c>
      <c r="I2565">
        <v>1680</v>
      </c>
      <c r="J2565">
        <v>2184</v>
      </c>
      <c r="K2565">
        <v>2</v>
      </c>
      <c r="L2565">
        <v>3360</v>
      </c>
      <c r="M2565">
        <v>4368</v>
      </c>
      <c r="N2565" t="s">
        <v>22</v>
      </c>
      <c r="O2565">
        <f t="shared" si="80"/>
        <v>25545</v>
      </c>
      <c r="P2565" s="13">
        <f t="shared" si="81"/>
        <v>2009540</v>
      </c>
      <c r="Q2565" s="13">
        <f>SUMIFS(M:M,E:E,Online_eCommerce[[#This Row],[Status]])</f>
        <v>21103186</v>
      </c>
      <c r="R2565" s="13">
        <f>SUMIFS(L:L,H:H,Online_eCommerce[[#This Row],[Brand]])</f>
        <v>4260400</v>
      </c>
      <c r="S2565" s="13">
        <f>SUMIF(H:H,Online_eCommerce[[#This Row],[Brand]],M:M)</f>
        <v>5538520</v>
      </c>
      <c r="T2565" s="13">
        <f>SUMIF(N:N,Online_eCommerce[[#This Row],[Assigned Supervisor]],L:L)</f>
        <v>13693220</v>
      </c>
    </row>
    <row r="2566" spans="1:20" x14ac:dyDescent="0.3">
      <c r="A2566" t="s">
        <v>3814</v>
      </c>
      <c r="B2566" t="s">
        <v>232</v>
      </c>
      <c r="C2566" t="s">
        <v>31</v>
      </c>
      <c r="D2566" t="s">
        <v>3800</v>
      </c>
      <c r="E2566" t="s">
        <v>46</v>
      </c>
      <c r="F2566" t="s">
        <v>101</v>
      </c>
      <c r="G2566" t="s">
        <v>334</v>
      </c>
      <c r="H2566" t="s">
        <v>102</v>
      </c>
      <c r="I2566">
        <v>6540</v>
      </c>
      <c r="J2566">
        <v>8502</v>
      </c>
      <c r="K2566">
        <v>4</v>
      </c>
      <c r="L2566">
        <v>26160</v>
      </c>
      <c r="M2566">
        <v>34008</v>
      </c>
      <c r="N2566" t="s">
        <v>28</v>
      </c>
      <c r="O2566">
        <f t="shared" si="80"/>
        <v>39780</v>
      </c>
      <c r="P2566" s="13">
        <f t="shared" si="81"/>
        <v>2865746</v>
      </c>
      <c r="Q2566" s="13">
        <f>SUMIFS(M:M,E:E,Online_eCommerce[[#This Row],[Status]])</f>
        <v>28620410</v>
      </c>
      <c r="R2566" s="13">
        <f>SUMIFS(L:L,H:H,Online_eCommerce[[#This Row],[Brand]])</f>
        <v>2465580</v>
      </c>
      <c r="S2566" s="13">
        <f>SUMIF(H:H,Online_eCommerce[[#This Row],[Brand]],M:M)</f>
        <v>3205254</v>
      </c>
      <c r="T2566" s="13">
        <f>SUMIF(N:N,Online_eCommerce[[#This Row],[Assigned Supervisor]],L:L)</f>
        <v>12220830</v>
      </c>
    </row>
    <row r="2567" spans="1:20" hidden="1" x14ac:dyDescent="0.3">
      <c r="A2567" t="s">
        <v>3815</v>
      </c>
      <c r="B2567" t="s">
        <v>235</v>
      </c>
      <c r="C2567" t="s">
        <v>38</v>
      </c>
      <c r="D2567" t="s">
        <v>3800</v>
      </c>
      <c r="E2567" t="s">
        <v>96</v>
      </c>
      <c r="F2567" t="s">
        <v>107</v>
      </c>
      <c r="G2567" t="s">
        <v>54</v>
      </c>
      <c r="H2567" t="s">
        <v>55</v>
      </c>
      <c r="I2567">
        <v>2680</v>
      </c>
      <c r="J2567">
        <v>3484</v>
      </c>
      <c r="K2567">
        <v>4</v>
      </c>
      <c r="L2567">
        <v>10720</v>
      </c>
      <c r="M2567">
        <v>13936</v>
      </c>
      <c r="N2567" t="s">
        <v>35</v>
      </c>
      <c r="O2567">
        <f t="shared" si="80"/>
        <v>2990</v>
      </c>
      <c r="P2567" s="13">
        <f t="shared" si="81"/>
        <v>1933997</v>
      </c>
      <c r="Q2567" s="13">
        <f>SUMIFS(M:M,E:E,Online_eCommerce[[#This Row],[Status]])</f>
        <v>21233992</v>
      </c>
      <c r="R2567" s="13">
        <f>SUMIFS(L:L,H:H,Online_eCommerce[[#This Row],[Brand]])</f>
        <v>2267380</v>
      </c>
      <c r="S2567" s="13">
        <f>SUMIF(H:H,Online_eCommerce[[#This Row],[Brand]],M:M)</f>
        <v>2947594</v>
      </c>
      <c r="T2567" s="13">
        <f>SUMIF(N:N,Online_eCommerce[[#This Row],[Assigned Supervisor]],L:L)</f>
        <v>14373360</v>
      </c>
    </row>
    <row r="2568" spans="1:20" hidden="1" x14ac:dyDescent="0.3">
      <c r="A2568" t="s">
        <v>3816</v>
      </c>
      <c r="B2568" t="s">
        <v>104</v>
      </c>
      <c r="C2568" t="s">
        <v>45</v>
      </c>
      <c r="D2568" t="s">
        <v>3800</v>
      </c>
      <c r="E2568" t="s">
        <v>18</v>
      </c>
      <c r="F2568" t="s">
        <v>112</v>
      </c>
      <c r="G2568" t="s">
        <v>71</v>
      </c>
      <c r="H2568" t="s">
        <v>21</v>
      </c>
      <c r="I2568">
        <v>8250</v>
      </c>
      <c r="J2568">
        <v>10725</v>
      </c>
      <c r="K2568">
        <v>2</v>
      </c>
      <c r="L2568">
        <v>16500</v>
      </c>
      <c r="M2568">
        <v>21450</v>
      </c>
      <c r="N2568" t="s">
        <v>42</v>
      </c>
      <c r="O2568">
        <f t="shared" si="80"/>
        <v>9750</v>
      </c>
      <c r="P2568" s="13">
        <f t="shared" si="81"/>
        <v>2842554</v>
      </c>
      <c r="Q2568" s="13">
        <f>SUMIFS(M:M,E:E,Online_eCommerce[[#This Row],[Status]])</f>
        <v>28340455</v>
      </c>
      <c r="R2568" s="13">
        <f>SUMIFS(L:L,H:H,Online_eCommerce[[#This Row],[Brand]])</f>
        <v>12435650</v>
      </c>
      <c r="S2568" s="13">
        <f>SUMIF(H:H,Online_eCommerce[[#This Row],[Brand]],M:M)</f>
        <v>16166345</v>
      </c>
      <c r="T2568" s="13">
        <f>SUMIF(N:N,Online_eCommerce[[#This Row],[Assigned Supervisor]],L:L)</f>
        <v>12261500</v>
      </c>
    </row>
    <row r="2569" spans="1:20" hidden="1" x14ac:dyDescent="0.3">
      <c r="A2569" t="s">
        <v>3817</v>
      </c>
      <c r="B2569" t="s">
        <v>109</v>
      </c>
      <c r="C2569" t="s">
        <v>52</v>
      </c>
      <c r="D2569" t="s">
        <v>3800</v>
      </c>
      <c r="E2569" t="s">
        <v>161</v>
      </c>
      <c r="F2569" t="s">
        <v>3438</v>
      </c>
      <c r="G2569" t="s">
        <v>40</v>
      </c>
      <c r="H2569" t="s">
        <v>21</v>
      </c>
      <c r="I2569">
        <v>2650</v>
      </c>
      <c r="J2569">
        <v>3445</v>
      </c>
      <c r="K2569">
        <v>4</v>
      </c>
      <c r="L2569">
        <v>10600</v>
      </c>
      <c r="M2569">
        <v>13780</v>
      </c>
      <c r="N2569" t="s">
        <v>50</v>
      </c>
      <c r="O2569">
        <f t="shared" si="80"/>
        <v>25545</v>
      </c>
      <c r="P2569" s="13">
        <f t="shared" si="81"/>
        <v>1955044</v>
      </c>
      <c r="Q2569" s="13">
        <f>SUMIFS(M:M,E:E,Online_eCommerce[[#This Row],[Status]])</f>
        <v>21103186</v>
      </c>
      <c r="R2569" s="13">
        <f>SUMIFS(L:L,H:H,Online_eCommerce[[#This Row],[Brand]])</f>
        <v>12435650</v>
      </c>
      <c r="S2569" s="13">
        <f>SUMIF(H:H,Online_eCommerce[[#This Row],[Brand]],M:M)</f>
        <v>16166345</v>
      </c>
      <c r="T2569" s="13">
        <f>SUMIF(N:N,Online_eCommerce[[#This Row],[Assigned Supervisor]],L:L)</f>
        <v>12100590</v>
      </c>
    </row>
    <row r="2570" spans="1:20" x14ac:dyDescent="0.3">
      <c r="A2570" t="s">
        <v>3818</v>
      </c>
      <c r="B2570" t="s">
        <v>114</v>
      </c>
      <c r="C2570" t="s">
        <v>58</v>
      </c>
      <c r="D2570" t="s">
        <v>3800</v>
      </c>
      <c r="E2570" t="s">
        <v>46</v>
      </c>
      <c r="F2570" t="s">
        <v>121</v>
      </c>
      <c r="G2570" t="s">
        <v>71</v>
      </c>
      <c r="H2570" t="s">
        <v>122</v>
      </c>
      <c r="I2570">
        <v>12550</v>
      </c>
      <c r="J2570">
        <v>16315</v>
      </c>
      <c r="K2570">
        <v>4</v>
      </c>
      <c r="L2570">
        <v>50200</v>
      </c>
      <c r="M2570">
        <v>65260</v>
      </c>
      <c r="N2570" t="s">
        <v>56</v>
      </c>
      <c r="O2570">
        <f t="shared" si="80"/>
        <v>9750</v>
      </c>
      <c r="P2570" s="13">
        <f t="shared" si="81"/>
        <v>2629211</v>
      </c>
      <c r="Q2570" s="13">
        <f>SUMIFS(M:M,E:E,Online_eCommerce[[#This Row],[Status]])</f>
        <v>28620410</v>
      </c>
      <c r="R2570" s="13">
        <f>SUMIFS(L:L,H:H,Online_eCommerce[[#This Row],[Brand]])</f>
        <v>5045100</v>
      </c>
      <c r="S2570" s="13">
        <f>SUMIF(H:H,Online_eCommerce[[#This Row],[Brand]],M:M)</f>
        <v>6558630</v>
      </c>
      <c r="T2570" s="13">
        <f>SUMIF(N:N,Online_eCommerce[[#This Row],[Assigned Supervisor]],L:L)</f>
        <v>11733610</v>
      </c>
    </row>
    <row r="2571" spans="1:20" hidden="1" x14ac:dyDescent="0.3">
      <c r="A2571" t="s">
        <v>3819</v>
      </c>
      <c r="B2571" t="s">
        <v>119</v>
      </c>
      <c r="C2571" t="s">
        <v>63</v>
      </c>
      <c r="D2571" t="s">
        <v>3800</v>
      </c>
      <c r="E2571" t="s">
        <v>96</v>
      </c>
      <c r="F2571" t="s">
        <v>126</v>
      </c>
      <c r="G2571" t="s">
        <v>26</v>
      </c>
      <c r="H2571" t="s">
        <v>27</v>
      </c>
      <c r="I2571">
        <v>14500</v>
      </c>
      <c r="J2571">
        <v>18850</v>
      </c>
      <c r="K2571">
        <v>2</v>
      </c>
      <c r="L2571">
        <v>29000</v>
      </c>
      <c r="M2571">
        <v>37700</v>
      </c>
      <c r="N2571" t="s">
        <v>22</v>
      </c>
      <c r="O2571">
        <f t="shared" si="80"/>
        <v>33150</v>
      </c>
      <c r="P2571" s="13">
        <f t="shared" si="81"/>
        <v>2016131</v>
      </c>
      <c r="Q2571" s="13">
        <f>SUMIFS(M:M,E:E,Online_eCommerce[[#This Row],[Status]])</f>
        <v>21233992</v>
      </c>
      <c r="R2571" s="13">
        <f>SUMIFS(L:L,H:H,Online_eCommerce[[#This Row],[Brand]])</f>
        <v>14431000</v>
      </c>
      <c r="S2571" s="13">
        <f>SUMIF(H:H,Online_eCommerce[[#This Row],[Brand]],M:M)</f>
        <v>18760300</v>
      </c>
      <c r="T2571" s="13">
        <f>SUMIF(N:N,Online_eCommerce[[#This Row],[Assigned Supervisor]],L:L)</f>
        <v>13693220</v>
      </c>
    </row>
    <row r="2572" spans="1:20" hidden="1" x14ac:dyDescent="0.3">
      <c r="A2572" t="s">
        <v>3820</v>
      </c>
      <c r="B2572" t="s">
        <v>124</v>
      </c>
      <c r="C2572" t="s">
        <v>68</v>
      </c>
      <c r="D2572" t="s">
        <v>3800</v>
      </c>
      <c r="E2572" t="s">
        <v>18</v>
      </c>
      <c r="F2572" t="s">
        <v>129</v>
      </c>
      <c r="G2572" t="s">
        <v>60</v>
      </c>
      <c r="H2572" t="s">
        <v>61</v>
      </c>
      <c r="I2572">
        <v>800</v>
      </c>
      <c r="J2572">
        <v>1040</v>
      </c>
      <c r="K2572">
        <v>1</v>
      </c>
      <c r="L2572">
        <v>800</v>
      </c>
      <c r="M2572">
        <v>1040</v>
      </c>
      <c r="N2572" t="s">
        <v>28</v>
      </c>
      <c r="O2572">
        <f t="shared" si="80"/>
        <v>3315</v>
      </c>
      <c r="P2572" s="13">
        <f t="shared" si="81"/>
        <v>2974621</v>
      </c>
      <c r="Q2572" s="13">
        <f>SUMIFS(M:M,E:E,Online_eCommerce[[#This Row],[Status]])</f>
        <v>28340455</v>
      </c>
      <c r="R2572" s="13">
        <f>SUMIFS(L:L,H:H,Online_eCommerce[[#This Row],[Brand]])</f>
        <v>10950150</v>
      </c>
      <c r="S2572" s="13">
        <f>SUMIF(H:H,Online_eCommerce[[#This Row],[Brand]],M:M)</f>
        <v>14235195</v>
      </c>
      <c r="T2572" s="13">
        <f>SUMIF(N:N,Online_eCommerce[[#This Row],[Assigned Supervisor]],L:L)</f>
        <v>12220830</v>
      </c>
    </row>
    <row r="2573" spans="1:20" hidden="1" x14ac:dyDescent="0.3">
      <c r="A2573" t="s">
        <v>3821</v>
      </c>
      <c r="B2573" t="s">
        <v>128</v>
      </c>
      <c r="C2573" t="s">
        <v>74</v>
      </c>
      <c r="D2573" t="s">
        <v>3800</v>
      </c>
      <c r="E2573" t="s">
        <v>161</v>
      </c>
      <c r="F2573" t="s">
        <v>133</v>
      </c>
      <c r="G2573" t="s">
        <v>66</v>
      </c>
      <c r="H2573" t="s">
        <v>21</v>
      </c>
      <c r="I2573">
        <v>600</v>
      </c>
      <c r="J2573">
        <v>780</v>
      </c>
      <c r="K2573">
        <v>1</v>
      </c>
      <c r="L2573">
        <v>600</v>
      </c>
      <c r="M2573">
        <v>780</v>
      </c>
      <c r="N2573" t="s">
        <v>35</v>
      </c>
      <c r="O2573">
        <f t="shared" si="80"/>
        <v>1690</v>
      </c>
      <c r="P2573" s="13">
        <f t="shared" si="81"/>
        <v>2144701</v>
      </c>
      <c r="Q2573" s="13">
        <f>SUMIFS(M:M,E:E,Online_eCommerce[[#This Row],[Status]])</f>
        <v>21103186</v>
      </c>
      <c r="R2573" s="13">
        <f>SUMIFS(L:L,H:H,Online_eCommerce[[#This Row],[Brand]])</f>
        <v>12435650</v>
      </c>
      <c r="S2573" s="13">
        <f>SUMIF(H:H,Online_eCommerce[[#This Row],[Brand]],M:M)</f>
        <v>16166345</v>
      </c>
      <c r="T2573" s="13">
        <f>SUMIF(N:N,Online_eCommerce[[#This Row],[Assigned Supervisor]],L:L)</f>
        <v>14373360</v>
      </c>
    </row>
    <row r="2574" spans="1:20" x14ac:dyDescent="0.3">
      <c r="A2574" t="s">
        <v>3822</v>
      </c>
      <c r="B2574" t="s">
        <v>131</v>
      </c>
      <c r="C2574" t="s">
        <v>81</v>
      </c>
      <c r="D2574" t="s">
        <v>3800</v>
      </c>
      <c r="E2574" t="s">
        <v>46</v>
      </c>
      <c r="F2574" t="s">
        <v>137</v>
      </c>
      <c r="G2574" t="s">
        <v>71</v>
      </c>
      <c r="H2574" t="s">
        <v>61</v>
      </c>
      <c r="I2574">
        <v>10500</v>
      </c>
      <c r="J2574">
        <v>13650</v>
      </c>
      <c r="K2574">
        <v>2</v>
      </c>
      <c r="L2574">
        <v>21000</v>
      </c>
      <c r="M2574">
        <v>27300</v>
      </c>
      <c r="N2574" t="s">
        <v>42</v>
      </c>
      <c r="O2574">
        <f t="shared" si="80"/>
        <v>9750</v>
      </c>
      <c r="P2574" s="13">
        <f t="shared" si="81"/>
        <v>2595632</v>
      </c>
      <c r="Q2574" s="13">
        <f>SUMIFS(M:M,E:E,Online_eCommerce[[#This Row],[Status]])</f>
        <v>28620410</v>
      </c>
      <c r="R2574" s="13">
        <f>SUMIFS(L:L,H:H,Online_eCommerce[[#This Row],[Brand]])</f>
        <v>10950150</v>
      </c>
      <c r="S2574" s="13">
        <f>SUMIF(H:H,Online_eCommerce[[#This Row],[Brand]],M:M)</f>
        <v>14235195</v>
      </c>
      <c r="T2574" s="13">
        <f>SUMIF(N:N,Online_eCommerce[[#This Row],[Assigned Supervisor]],L:L)</f>
        <v>12261500</v>
      </c>
    </row>
    <row r="2575" spans="1:20" hidden="1" x14ac:dyDescent="0.3">
      <c r="A2575" t="s">
        <v>3823</v>
      </c>
      <c r="B2575" t="s">
        <v>135</v>
      </c>
      <c r="C2575" t="s">
        <v>86</v>
      </c>
      <c r="D2575" t="s">
        <v>3800</v>
      </c>
      <c r="E2575" t="s">
        <v>96</v>
      </c>
      <c r="F2575" t="s">
        <v>3791</v>
      </c>
      <c r="G2575" t="s">
        <v>77</v>
      </c>
      <c r="H2575" t="s">
        <v>142</v>
      </c>
      <c r="I2575">
        <v>6500</v>
      </c>
      <c r="J2575">
        <v>8450</v>
      </c>
      <c r="K2575">
        <v>4</v>
      </c>
      <c r="L2575">
        <v>26000</v>
      </c>
      <c r="M2575">
        <v>33800</v>
      </c>
      <c r="N2575" t="s">
        <v>50</v>
      </c>
      <c r="O2575">
        <f t="shared" si="80"/>
        <v>39000</v>
      </c>
      <c r="P2575" s="13">
        <f t="shared" si="81"/>
        <v>1941225</v>
      </c>
      <c r="Q2575" s="13">
        <f>SUMIFS(M:M,E:E,Online_eCommerce[[#This Row],[Status]])</f>
        <v>21233992</v>
      </c>
      <c r="R2575" s="13">
        <f>SUMIFS(L:L,H:H,Online_eCommerce[[#This Row],[Brand]])</f>
        <v>6192500</v>
      </c>
      <c r="S2575" s="13">
        <f>SUMIF(H:H,Online_eCommerce[[#This Row],[Brand]],M:M)</f>
        <v>8050250</v>
      </c>
      <c r="T2575" s="13">
        <f>SUMIF(N:N,Online_eCommerce[[#This Row],[Assigned Supervisor]],L:L)</f>
        <v>12100590</v>
      </c>
    </row>
    <row r="2576" spans="1:20" hidden="1" x14ac:dyDescent="0.3">
      <c r="A2576" t="s">
        <v>3824</v>
      </c>
      <c r="B2576" t="s">
        <v>154</v>
      </c>
      <c r="C2576" t="s">
        <v>91</v>
      </c>
      <c r="D2576" t="s">
        <v>3800</v>
      </c>
      <c r="E2576" t="s">
        <v>18</v>
      </c>
      <c r="F2576" t="s">
        <v>3825</v>
      </c>
      <c r="G2576" t="s">
        <v>20</v>
      </c>
      <c r="H2576" t="s">
        <v>21</v>
      </c>
      <c r="I2576">
        <v>4500</v>
      </c>
      <c r="J2576">
        <v>5850</v>
      </c>
      <c r="K2576">
        <v>1</v>
      </c>
      <c r="L2576">
        <v>4500</v>
      </c>
      <c r="M2576">
        <v>5850</v>
      </c>
      <c r="N2576" t="s">
        <v>56</v>
      </c>
      <c r="O2576">
        <f t="shared" si="80"/>
        <v>8450</v>
      </c>
      <c r="P2576" s="13">
        <f t="shared" si="81"/>
        <v>2731963</v>
      </c>
      <c r="Q2576" s="13">
        <f>SUMIFS(M:M,E:E,Online_eCommerce[[#This Row],[Status]])</f>
        <v>28340455</v>
      </c>
      <c r="R2576" s="13">
        <f>SUMIFS(L:L,H:H,Online_eCommerce[[#This Row],[Brand]])</f>
        <v>12435650</v>
      </c>
      <c r="S2576" s="13">
        <f>SUMIF(H:H,Online_eCommerce[[#This Row],[Brand]],M:M)</f>
        <v>16166345</v>
      </c>
      <c r="T2576" s="13">
        <f>SUMIF(N:N,Online_eCommerce[[#This Row],[Assigned Supervisor]],L:L)</f>
        <v>11733610</v>
      </c>
    </row>
    <row r="2577" spans="1:20" hidden="1" x14ac:dyDescent="0.3">
      <c r="A2577" t="s">
        <v>3826</v>
      </c>
      <c r="B2577" t="s">
        <v>154</v>
      </c>
      <c r="C2577" t="s">
        <v>94</v>
      </c>
      <c r="D2577" t="s">
        <v>3800</v>
      </c>
      <c r="E2577" t="s">
        <v>161</v>
      </c>
      <c r="F2577" t="s">
        <v>152</v>
      </c>
      <c r="G2577" t="s">
        <v>26</v>
      </c>
      <c r="H2577" t="s">
        <v>27</v>
      </c>
      <c r="I2577">
        <v>8500</v>
      </c>
      <c r="J2577">
        <v>11050</v>
      </c>
      <c r="K2577">
        <v>3</v>
      </c>
      <c r="L2577">
        <v>25500</v>
      </c>
      <c r="M2577">
        <v>33150</v>
      </c>
      <c r="N2577" t="s">
        <v>22</v>
      </c>
      <c r="O2577">
        <f t="shared" si="80"/>
        <v>33150</v>
      </c>
      <c r="P2577" s="13">
        <f t="shared" si="81"/>
        <v>1868256</v>
      </c>
      <c r="Q2577" s="13">
        <f>SUMIFS(M:M,E:E,Online_eCommerce[[#This Row],[Status]])</f>
        <v>21103186</v>
      </c>
      <c r="R2577" s="13">
        <f>SUMIFS(L:L,H:H,Online_eCommerce[[#This Row],[Brand]])</f>
        <v>14431000</v>
      </c>
      <c r="S2577" s="13">
        <f>SUMIF(H:H,Online_eCommerce[[#This Row],[Brand]],M:M)</f>
        <v>18760300</v>
      </c>
      <c r="T2577" s="13">
        <f>SUMIF(N:N,Online_eCommerce[[#This Row],[Assigned Supervisor]],L:L)</f>
        <v>13693220</v>
      </c>
    </row>
    <row r="2578" spans="1:20" x14ac:dyDescent="0.3">
      <c r="A2578" t="s">
        <v>3827</v>
      </c>
      <c r="B2578" t="s">
        <v>154</v>
      </c>
      <c r="C2578" t="s">
        <v>99</v>
      </c>
      <c r="D2578" t="s">
        <v>3800</v>
      </c>
      <c r="E2578" t="s">
        <v>46</v>
      </c>
      <c r="F2578" t="s">
        <v>157</v>
      </c>
      <c r="G2578" t="s">
        <v>33</v>
      </c>
      <c r="H2578" t="s">
        <v>34</v>
      </c>
      <c r="I2578">
        <v>12500</v>
      </c>
      <c r="J2578">
        <v>16250</v>
      </c>
      <c r="K2578">
        <v>4</v>
      </c>
      <c r="L2578">
        <v>50000</v>
      </c>
      <c r="M2578">
        <v>65000</v>
      </c>
      <c r="N2578" t="s">
        <v>28</v>
      </c>
      <c r="O2578">
        <f t="shared" si="80"/>
        <v>18200</v>
      </c>
      <c r="P2578" s="13">
        <f t="shared" si="81"/>
        <v>2651233</v>
      </c>
      <c r="Q2578" s="13">
        <f>SUMIFS(M:M,E:E,Online_eCommerce[[#This Row],[Status]])</f>
        <v>28620410</v>
      </c>
      <c r="R2578" s="13">
        <f>SUMIFS(L:L,H:H,Online_eCommerce[[#This Row],[Brand]])</f>
        <v>10087000</v>
      </c>
      <c r="S2578" s="13">
        <f>SUMIF(H:H,Online_eCommerce[[#This Row],[Brand]],M:M)</f>
        <v>13113100</v>
      </c>
      <c r="T2578" s="13">
        <f>SUMIF(N:N,Online_eCommerce[[#This Row],[Assigned Supervisor]],L:L)</f>
        <v>12220830</v>
      </c>
    </row>
    <row r="2579" spans="1:20" hidden="1" x14ac:dyDescent="0.3">
      <c r="A2579" t="s">
        <v>3828</v>
      </c>
      <c r="B2579" t="s">
        <v>154</v>
      </c>
      <c r="C2579" t="s">
        <v>105</v>
      </c>
      <c r="D2579" t="s">
        <v>3800</v>
      </c>
      <c r="E2579" t="s">
        <v>96</v>
      </c>
      <c r="F2579" t="s">
        <v>3480</v>
      </c>
      <c r="G2579" t="s">
        <v>163</v>
      </c>
      <c r="H2579" t="s">
        <v>41</v>
      </c>
      <c r="I2579">
        <v>3500</v>
      </c>
      <c r="J2579">
        <v>4550</v>
      </c>
      <c r="K2579">
        <v>1</v>
      </c>
      <c r="L2579">
        <v>3500</v>
      </c>
      <c r="M2579">
        <v>4550</v>
      </c>
      <c r="N2579" t="s">
        <v>35</v>
      </c>
      <c r="O2579">
        <f t="shared" si="80"/>
        <v>13650</v>
      </c>
      <c r="P2579" s="13">
        <f t="shared" si="81"/>
        <v>1866852</v>
      </c>
      <c r="Q2579" s="13">
        <f>SUMIFS(M:M,E:E,Online_eCommerce[[#This Row],[Status]])</f>
        <v>21233992</v>
      </c>
      <c r="R2579" s="13">
        <f>SUMIFS(L:L,H:H,Online_eCommerce[[#This Row],[Brand]])</f>
        <v>4260400</v>
      </c>
      <c r="S2579" s="13">
        <f>SUMIF(H:H,Online_eCommerce[[#This Row],[Brand]],M:M)</f>
        <v>5538520</v>
      </c>
      <c r="T2579" s="13">
        <f>SUMIF(N:N,Online_eCommerce[[#This Row],[Assigned Supervisor]],L:L)</f>
        <v>14373360</v>
      </c>
    </row>
    <row r="2580" spans="1:20" hidden="1" x14ac:dyDescent="0.3">
      <c r="A2580" t="s">
        <v>3829</v>
      </c>
      <c r="B2580" t="s">
        <v>154</v>
      </c>
      <c r="C2580" t="s">
        <v>110</v>
      </c>
      <c r="D2580" t="s">
        <v>3800</v>
      </c>
      <c r="E2580" t="s">
        <v>18</v>
      </c>
      <c r="F2580" t="s">
        <v>166</v>
      </c>
      <c r="G2580" t="s">
        <v>66</v>
      </c>
      <c r="H2580" t="s">
        <v>49</v>
      </c>
      <c r="I2580">
        <v>4500</v>
      </c>
      <c r="J2580">
        <v>5850</v>
      </c>
      <c r="K2580">
        <v>1</v>
      </c>
      <c r="L2580">
        <v>4500</v>
      </c>
      <c r="M2580">
        <v>5850</v>
      </c>
      <c r="N2580" t="s">
        <v>42</v>
      </c>
      <c r="O2580">
        <f t="shared" si="80"/>
        <v>1690</v>
      </c>
      <c r="P2580" s="13">
        <f t="shared" si="81"/>
        <v>2598635</v>
      </c>
      <c r="Q2580" s="13">
        <f>SUMIFS(M:M,E:E,Online_eCommerce[[#This Row],[Status]])</f>
        <v>28340455</v>
      </c>
      <c r="R2580" s="13">
        <f>SUMIFS(L:L,H:H,Online_eCommerce[[#This Row],[Brand]])</f>
        <v>4528350</v>
      </c>
      <c r="S2580" s="13">
        <f>SUMIF(H:H,Online_eCommerce[[#This Row],[Brand]],M:M)</f>
        <v>5886855</v>
      </c>
      <c r="T2580" s="13">
        <f>SUMIF(N:N,Online_eCommerce[[#This Row],[Assigned Supervisor]],L:L)</f>
        <v>12261500</v>
      </c>
    </row>
    <row r="2581" spans="1:20" hidden="1" x14ac:dyDescent="0.3">
      <c r="A2581" t="s">
        <v>3830</v>
      </c>
      <c r="B2581" t="s">
        <v>154</v>
      </c>
      <c r="C2581" t="s">
        <v>115</v>
      </c>
      <c r="D2581" t="s">
        <v>3800</v>
      </c>
      <c r="E2581" t="s">
        <v>161</v>
      </c>
      <c r="F2581" t="s">
        <v>3831</v>
      </c>
      <c r="G2581" t="s">
        <v>54</v>
      </c>
      <c r="H2581" t="s">
        <v>55</v>
      </c>
      <c r="I2581">
        <v>2100</v>
      </c>
      <c r="J2581">
        <v>2730</v>
      </c>
      <c r="K2581">
        <v>1</v>
      </c>
      <c r="L2581">
        <v>2100</v>
      </c>
      <c r="M2581">
        <v>2730</v>
      </c>
      <c r="N2581" t="s">
        <v>50</v>
      </c>
      <c r="O2581">
        <f t="shared" si="80"/>
        <v>2990</v>
      </c>
      <c r="P2581" s="13">
        <f t="shared" si="81"/>
        <v>2050178</v>
      </c>
      <c r="Q2581" s="13">
        <f>SUMIFS(M:M,E:E,Online_eCommerce[[#This Row],[Status]])</f>
        <v>21103186</v>
      </c>
      <c r="R2581" s="13">
        <f>SUMIFS(L:L,H:H,Online_eCommerce[[#This Row],[Brand]])</f>
        <v>2267380</v>
      </c>
      <c r="S2581" s="13">
        <f>SUMIF(H:H,Online_eCommerce[[#This Row],[Brand]],M:M)</f>
        <v>2947594</v>
      </c>
      <c r="T2581" s="13">
        <f>SUMIF(N:N,Online_eCommerce[[#This Row],[Assigned Supervisor]],L:L)</f>
        <v>12100590</v>
      </c>
    </row>
    <row r="2582" spans="1:20" x14ac:dyDescent="0.3">
      <c r="A2582" t="s">
        <v>3832</v>
      </c>
      <c r="B2582" t="s">
        <v>154</v>
      </c>
      <c r="C2582" t="s">
        <v>120</v>
      </c>
      <c r="D2582" t="s">
        <v>3800</v>
      </c>
      <c r="E2582" t="s">
        <v>46</v>
      </c>
      <c r="F2582" t="s">
        <v>174</v>
      </c>
      <c r="G2582" t="s">
        <v>60</v>
      </c>
      <c r="H2582" t="s">
        <v>61</v>
      </c>
      <c r="I2582">
        <v>1150</v>
      </c>
      <c r="J2582">
        <v>1495</v>
      </c>
      <c r="K2582">
        <v>3</v>
      </c>
      <c r="L2582">
        <v>3450</v>
      </c>
      <c r="M2582">
        <v>4485</v>
      </c>
      <c r="N2582" t="s">
        <v>56</v>
      </c>
      <c r="O2582">
        <f t="shared" si="80"/>
        <v>3315</v>
      </c>
      <c r="P2582" s="13">
        <f t="shared" si="81"/>
        <v>2734212</v>
      </c>
      <c r="Q2582" s="13">
        <f>SUMIFS(M:M,E:E,Online_eCommerce[[#This Row],[Status]])</f>
        <v>28620410</v>
      </c>
      <c r="R2582" s="13">
        <f>SUMIFS(L:L,H:H,Online_eCommerce[[#This Row],[Brand]])</f>
        <v>10950150</v>
      </c>
      <c r="S2582" s="13">
        <f>SUMIF(H:H,Online_eCommerce[[#This Row],[Brand]],M:M)</f>
        <v>14235195</v>
      </c>
      <c r="T2582" s="13">
        <f>SUMIF(N:N,Online_eCommerce[[#This Row],[Assigned Supervisor]],L:L)</f>
        <v>11733610</v>
      </c>
    </row>
    <row r="2583" spans="1:20" hidden="1" x14ac:dyDescent="0.3">
      <c r="A2583" t="s">
        <v>3833</v>
      </c>
      <c r="B2583" t="s">
        <v>154</v>
      </c>
      <c r="C2583" t="s">
        <v>125</v>
      </c>
      <c r="D2583" t="s">
        <v>3800</v>
      </c>
      <c r="E2583" t="s">
        <v>96</v>
      </c>
      <c r="F2583" t="s">
        <v>179</v>
      </c>
      <c r="G2583" t="s">
        <v>66</v>
      </c>
      <c r="H2583" t="s">
        <v>21</v>
      </c>
      <c r="I2583">
        <v>350</v>
      </c>
      <c r="J2583">
        <v>455</v>
      </c>
      <c r="K2583">
        <v>2</v>
      </c>
      <c r="L2583">
        <v>700</v>
      </c>
      <c r="M2583">
        <v>910</v>
      </c>
      <c r="N2583" t="s">
        <v>22</v>
      </c>
      <c r="O2583">
        <f t="shared" si="80"/>
        <v>1690</v>
      </c>
      <c r="P2583" s="13">
        <f t="shared" si="81"/>
        <v>2091154</v>
      </c>
      <c r="Q2583" s="13">
        <f>SUMIFS(M:M,E:E,Online_eCommerce[[#This Row],[Status]])</f>
        <v>21233992</v>
      </c>
      <c r="R2583" s="13">
        <f>SUMIFS(L:L,H:H,Online_eCommerce[[#This Row],[Brand]])</f>
        <v>12435650</v>
      </c>
      <c r="S2583" s="13">
        <f>SUMIF(H:H,Online_eCommerce[[#This Row],[Brand]],M:M)</f>
        <v>16166345</v>
      </c>
      <c r="T2583" s="13">
        <f>SUMIF(N:N,Online_eCommerce[[#This Row],[Assigned Supervisor]],L:L)</f>
        <v>13693220</v>
      </c>
    </row>
    <row r="2584" spans="1:20" hidden="1" x14ac:dyDescent="0.3">
      <c r="A2584" t="s">
        <v>3834</v>
      </c>
      <c r="B2584" t="s">
        <v>154</v>
      </c>
      <c r="C2584" t="s">
        <v>22</v>
      </c>
      <c r="D2584" t="s">
        <v>3800</v>
      </c>
      <c r="E2584" t="s">
        <v>18</v>
      </c>
      <c r="F2584" t="s">
        <v>183</v>
      </c>
      <c r="G2584" t="s">
        <v>71</v>
      </c>
      <c r="H2584" t="s">
        <v>61</v>
      </c>
      <c r="I2584">
        <v>9500</v>
      </c>
      <c r="J2584">
        <v>12350</v>
      </c>
      <c r="K2584">
        <v>2</v>
      </c>
      <c r="L2584">
        <v>19000</v>
      </c>
      <c r="M2584">
        <v>24700</v>
      </c>
      <c r="N2584" t="s">
        <v>28</v>
      </c>
      <c r="O2584">
        <f t="shared" si="80"/>
        <v>9750</v>
      </c>
      <c r="P2584" s="13">
        <f t="shared" si="81"/>
        <v>2551588</v>
      </c>
      <c r="Q2584" s="13">
        <f>SUMIFS(M:M,E:E,Online_eCommerce[[#This Row],[Status]])</f>
        <v>28340455</v>
      </c>
      <c r="R2584" s="13">
        <f>SUMIFS(L:L,H:H,Online_eCommerce[[#This Row],[Brand]])</f>
        <v>10950150</v>
      </c>
      <c r="S2584" s="13">
        <f>SUMIF(H:H,Online_eCommerce[[#This Row],[Brand]],M:M)</f>
        <v>14235195</v>
      </c>
      <c r="T2584" s="13">
        <f>SUMIF(N:N,Online_eCommerce[[#This Row],[Assigned Supervisor]],L:L)</f>
        <v>12220830</v>
      </c>
    </row>
    <row r="2585" spans="1:20" hidden="1" x14ac:dyDescent="0.3">
      <c r="A2585" t="s">
        <v>3835</v>
      </c>
      <c r="B2585" t="s">
        <v>154</v>
      </c>
      <c r="C2585" t="s">
        <v>132</v>
      </c>
      <c r="D2585" t="s">
        <v>3800</v>
      </c>
      <c r="E2585" t="s">
        <v>161</v>
      </c>
      <c r="F2585" t="s">
        <v>3836</v>
      </c>
      <c r="G2585" t="s">
        <v>77</v>
      </c>
      <c r="H2585" t="s">
        <v>142</v>
      </c>
      <c r="I2585">
        <v>10000</v>
      </c>
      <c r="J2585">
        <v>13000</v>
      </c>
      <c r="K2585">
        <v>1</v>
      </c>
      <c r="L2585">
        <v>10000</v>
      </c>
      <c r="M2585">
        <v>13000</v>
      </c>
      <c r="N2585" t="s">
        <v>35</v>
      </c>
      <c r="O2585">
        <f t="shared" si="80"/>
        <v>39000</v>
      </c>
      <c r="P2585" s="13">
        <f t="shared" si="81"/>
        <v>1989065</v>
      </c>
      <c r="Q2585" s="13">
        <f>SUMIFS(M:M,E:E,Online_eCommerce[[#This Row],[Status]])</f>
        <v>21103186</v>
      </c>
      <c r="R2585" s="13">
        <f>SUMIFS(L:L,H:H,Online_eCommerce[[#This Row],[Brand]])</f>
        <v>6192500</v>
      </c>
      <c r="S2585" s="13">
        <f>SUMIF(H:H,Online_eCommerce[[#This Row],[Brand]],M:M)</f>
        <v>8050250</v>
      </c>
      <c r="T2585" s="13">
        <f>SUMIF(N:N,Online_eCommerce[[#This Row],[Assigned Supervisor]],L:L)</f>
        <v>14373360</v>
      </c>
    </row>
    <row r="2586" spans="1:20" x14ac:dyDescent="0.3">
      <c r="A2586" t="s">
        <v>3837</v>
      </c>
      <c r="B2586" t="s">
        <v>280</v>
      </c>
      <c r="C2586" t="s">
        <v>136</v>
      </c>
      <c r="D2586" t="s">
        <v>3800</v>
      </c>
      <c r="E2586" t="s">
        <v>46</v>
      </c>
      <c r="F2586" t="s">
        <v>3838</v>
      </c>
      <c r="G2586" t="s">
        <v>20</v>
      </c>
      <c r="H2586" t="s">
        <v>21</v>
      </c>
      <c r="I2586">
        <v>6500</v>
      </c>
      <c r="J2586">
        <v>8450</v>
      </c>
      <c r="K2586">
        <v>1</v>
      </c>
      <c r="L2586">
        <v>6500</v>
      </c>
      <c r="M2586">
        <v>8450</v>
      </c>
      <c r="N2586" t="s">
        <v>42</v>
      </c>
      <c r="O2586">
        <f t="shared" si="80"/>
        <v>8450</v>
      </c>
      <c r="P2586" s="13">
        <f t="shared" si="81"/>
        <v>2775162</v>
      </c>
      <c r="Q2586" s="13">
        <f>SUMIFS(M:M,E:E,Online_eCommerce[[#This Row],[Status]])</f>
        <v>28620410</v>
      </c>
      <c r="R2586" s="13">
        <f>SUMIFS(L:L,H:H,Online_eCommerce[[#This Row],[Brand]])</f>
        <v>12435650</v>
      </c>
      <c r="S2586" s="13">
        <f>SUMIF(H:H,Online_eCommerce[[#This Row],[Brand]],M:M)</f>
        <v>16166345</v>
      </c>
      <c r="T2586" s="13">
        <f>SUMIF(N:N,Online_eCommerce[[#This Row],[Assigned Supervisor]],L:L)</f>
        <v>12261500</v>
      </c>
    </row>
    <row r="2587" spans="1:20" hidden="1" x14ac:dyDescent="0.3">
      <c r="A2587" t="s">
        <v>3839</v>
      </c>
      <c r="B2587" t="s">
        <v>283</v>
      </c>
      <c r="C2587" t="s">
        <v>140</v>
      </c>
      <c r="D2587" t="s">
        <v>3800</v>
      </c>
      <c r="E2587" t="s">
        <v>96</v>
      </c>
      <c r="F2587" t="s">
        <v>3840</v>
      </c>
      <c r="G2587" t="s">
        <v>26</v>
      </c>
      <c r="H2587" t="s">
        <v>27</v>
      </c>
      <c r="I2587">
        <v>8500</v>
      </c>
      <c r="J2587">
        <v>11050</v>
      </c>
      <c r="K2587">
        <v>2</v>
      </c>
      <c r="L2587">
        <v>17000</v>
      </c>
      <c r="M2587">
        <v>22100</v>
      </c>
      <c r="N2587" t="s">
        <v>50</v>
      </c>
      <c r="O2587">
        <f t="shared" si="80"/>
        <v>33150</v>
      </c>
      <c r="P2587" s="13">
        <f t="shared" si="81"/>
        <v>2058264</v>
      </c>
      <c r="Q2587" s="13">
        <f>SUMIFS(M:M,E:E,Online_eCommerce[[#This Row],[Status]])</f>
        <v>21233992</v>
      </c>
      <c r="R2587" s="13">
        <f>SUMIFS(L:L,H:H,Online_eCommerce[[#This Row],[Brand]])</f>
        <v>14431000</v>
      </c>
      <c r="S2587" s="13">
        <f>SUMIF(H:H,Online_eCommerce[[#This Row],[Brand]],M:M)</f>
        <v>18760300</v>
      </c>
      <c r="T2587" s="13">
        <f>SUMIF(N:N,Online_eCommerce[[#This Row],[Assigned Supervisor]],L:L)</f>
        <v>12100590</v>
      </c>
    </row>
    <row r="2588" spans="1:20" hidden="1" x14ac:dyDescent="0.3">
      <c r="A2588" t="s">
        <v>3841</v>
      </c>
      <c r="B2588" t="s">
        <v>287</v>
      </c>
      <c r="C2588" t="s">
        <v>145</v>
      </c>
      <c r="D2588" t="s">
        <v>3800</v>
      </c>
      <c r="E2588" t="s">
        <v>18</v>
      </c>
      <c r="F2588" t="s">
        <v>32</v>
      </c>
      <c r="G2588" t="s">
        <v>33</v>
      </c>
      <c r="H2588" t="s">
        <v>34</v>
      </c>
      <c r="I2588">
        <v>7000</v>
      </c>
      <c r="J2588">
        <v>9100</v>
      </c>
      <c r="K2588">
        <v>2</v>
      </c>
      <c r="L2588">
        <v>14000</v>
      </c>
      <c r="M2588">
        <v>18200</v>
      </c>
      <c r="N2588" t="s">
        <v>56</v>
      </c>
      <c r="O2588">
        <f t="shared" si="80"/>
        <v>18200</v>
      </c>
      <c r="P2588" s="13">
        <f t="shared" si="81"/>
        <v>2757859</v>
      </c>
      <c r="Q2588" s="13">
        <f>SUMIFS(M:M,E:E,Online_eCommerce[[#This Row],[Status]])</f>
        <v>28340455</v>
      </c>
      <c r="R2588" s="13">
        <f>SUMIFS(L:L,H:H,Online_eCommerce[[#This Row],[Brand]])</f>
        <v>10087000</v>
      </c>
      <c r="S2588" s="13">
        <f>SUMIF(H:H,Online_eCommerce[[#This Row],[Brand]],M:M)</f>
        <v>13113100</v>
      </c>
      <c r="T2588" s="13">
        <f>SUMIF(N:N,Online_eCommerce[[#This Row],[Assigned Supervisor]],L:L)</f>
        <v>11733610</v>
      </c>
    </row>
    <row r="2589" spans="1:20" hidden="1" x14ac:dyDescent="0.3">
      <c r="A2589" t="s">
        <v>3842</v>
      </c>
      <c r="B2589" t="s">
        <v>290</v>
      </c>
      <c r="C2589" t="s">
        <v>150</v>
      </c>
      <c r="D2589" t="s">
        <v>3800</v>
      </c>
      <c r="E2589" t="s">
        <v>161</v>
      </c>
      <c r="F2589" t="s">
        <v>3843</v>
      </c>
      <c r="G2589" t="s">
        <v>163</v>
      </c>
      <c r="H2589" t="s">
        <v>41</v>
      </c>
      <c r="I2589">
        <v>6550</v>
      </c>
      <c r="J2589">
        <v>8515</v>
      </c>
      <c r="K2589">
        <v>3</v>
      </c>
      <c r="L2589">
        <v>19650</v>
      </c>
      <c r="M2589">
        <v>25545</v>
      </c>
      <c r="N2589" t="s">
        <v>22</v>
      </c>
      <c r="O2589">
        <f t="shared" si="80"/>
        <v>13650</v>
      </c>
      <c r="P2589" s="13">
        <f t="shared" si="81"/>
        <v>2154984</v>
      </c>
      <c r="Q2589" s="13">
        <f>SUMIFS(M:M,E:E,Online_eCommerce[[#This Row],[Status]])</f>
        <v>21103186</v>
      </c>
      <c r="R2589" s="13">
        <f>SUMIFS(L:L,H:H,Online_eCommerce[[#This Row],[Brand]])</f>
        <v>4260400</v>
      </c>
      <c r="S2589" s="13">
        <f>SUMIF(H:H,Online_eCommerce[[#This Row],[Brand]],M:M)</f>
        <v>5538520</v>
      </c>
      <c r="T2589" s="13">
        <f>SUMIF(N:N,Online_eCommerce[[#This Row],[Assigned Supervisor]],L:L)</f>
        <v>13693220</v>
      </c>
    </row>
    <row r="2590" spans="1:20" x14ac:dyDescent="0.3">
      <c r="A2590" t="s">
        <v>3844</v>
      </c>
      <c r="B2590" t="s">
        <v>15</v>
      </c>
      <c r="C2590" t="s">
        <v>155</v>
      </c>
      <c r="D2590" t="s">
        <v>3800</v>
      </c>
      <c r="E2590" t="s">
        <v>46</v>
      </c>
      <c r="F2590" t="s">
        <v>47</v>
      </c>
      <c r="G2590" t="s">
        <v>66</v>
      </c>
      <c r="H2590" t="s">
        <v>49</v>
      </c>
      <c r="I2590">
        <v>7650</v>
      </c>
      <c r="J2590">
        <v>9945</v>
      </c>
      <c r="K2590">
        <v>2</v>
      </c>
      <c r="L2590">
        <v>15300</v>
      </c>
      <c r="M2590">
        <v>19890</v>
      </c>
      <c r="N2590" t="s">
        <v>28</v>
      </c>
      <c r="O2590">
        <f t="shared" si="80"/>
        <v>1690</v>
      </c>
      <c r="P2590" s="13">
        <f t="shared" si="81"/>
        <v>2753348</v>
      </c>
      <c r="Q2590" s="13">
        <f>SUMIFS(M:M,E:E,Online_eCommerce[[#This Row],[Status]])</f>
        <v>28620410</v>
      </c>
      <c r="R2590" s="13">
        <f>SUMIFS(L:L,H:H,Online_eCommerce[[#This Row],[Brand]])</f>
        <v>4528350</v>
      </c>
      <c r="S2590" s="13">
        <f>SUMIF(H:H,Online_eCommerce[[#This Row],[Brand]],M:M)</f>
        <v>5886855</v>
      </c>
      <c r="T2590" s="13">
        <f>SUMIF(N:N,Online_eCommerce[[#This Row],[Assigned Supervisor]],L:L)</f>
        <v>12220830</v>
      </c>
    </row>
    <row r="2591" spans="1:20" hidden="1" x14ac:dyDescent="0.3">
      <c r="A2591" t="s">
        <v>3845</v>
      </c>
      <c r="B2591" t="s">
        <v>202</v>
      </c>
      <c r="C2591" t="s">
        <v>160</v>
      </c>
      <c r="D2591" t="s">
        <v>3846</v>
      </c>
      <c r="E2591" t="s">
        <v>96</v>
      </c>
      <c r="F2591" t="s">
        <v>53</v>
      </c>
      <c r="G2591" t="s">
        <v>54</v>
      </c>
      <c r="H2591" t="s">
        <v>55</v>
      </c>
      <c r="I2591">
        <v>1150</v>
      </c>
      <c r="J2591">
        <v>1495</v>
      </c>
      <c r="K2591">
        <v>2</v>
      </c>
      <c r="L2591">
        <v>2300</v>
      </c>
      <c r="M2591">
        <v>2990</v>
      </c>
      <c r="N2591" t="s">
        <v>35</v>
      </c>
      <c r="O2591">
        <f t="shared" si="80"/>
        <v>2990</v>
      </c>
      <c r="P2591" s="13">
        <f t="shared" si="81"/>
        <v>2303483</v>
      </c>
      <c r="Q2591" s="13">
        <f>SUMIFS(M:M,E:E,Online_eCommerce[[#This Row],[Status]])</f>
        <v>21233992</v>
      </c>
      <c r="R2591" s="13">
        <f>SUMIFS(L:L,H:H,Online_eCommerce[[#This Row],[Brand]])</f>
        <v>2267380</v>
      </c>
      <c r="S2591" s="13">
        <f>SUMIF(H:H,Online_eCommerce[[#This Row],[Brand]],M:M)</f>
        <v>2947594</v>
      </c>
      <c r="T2591" s="13">
        <f>SUMIF(N:N,Online_eCommerce[[#This Row],[Assigned Supervisor]],L:L)</f>
        <v>14373360</v>
      </c>
    </row>
    <row r="2592" spans="1:20" hidden="1" x14ac:dyDescent="0.3">
      <c r="A2592" t="s">
        <v>3847</v>
      </c>
      <c r="B2592" t="s">
        <v>30</v>
      </c>
      <c r="C2592" t="s">
        <v>165</v>
      </c>
      <c r="D2592" t="s">
        <v>3848</v>
      </c>
      <c r="E2592" t="s">
        <v>18</v>
      </c>
      <c r="F2592" t="s">
        <v>59</v>
      </c>
      <c r="G2592" t="s">
        <v>60</v>
      </c>
      <c r="H2592" t="s">
        <v>61</v>
      </c>
      <c r="I2592">
        <v>850</v>
      </c>
      <c r="J2592">
        <v>1105</v>
      </c>
      <c r="K2592">
        <v>3</v>
      </c>
      <c r="L2592">
        <v>2550</v>
      </c>
      <c r="M2592">
        <v>3315</v>
      </c>
      <c r="N2592" t="s">
        <v>42</v>
      </c>
      <c r="O2592">
        <f t="shared" si="80"/>
        <v>3315</v>
      </c>
      <c r="P2592" s="13">
        <f t="shared" si="81"/>
        <v>2674087</v>
      </c>
      <c r="Q2592" s="13">
        <f>SUMIFS(M:M,E:E,Online_eCommerce[[#This Row],[Status]])</f>
        <v>28340455</v>
      </c>
      <c r="R2592" s="13">
        <f>SUMIFS(L:L,H:H,Online_eCommerce[[#This Row],[Brand]])</f>
        <v>10950150</v>
      </c>
      <c r="S2592" s="13">
        <f>SUMIF(H:H,Online_eCommerce[[#This Row],[Brand]],M:M)</f>
        <v>14235195</v>
      </c>
      <c r="T2592" s="13">
        <f>SUMIF(N:N,Online_eCommerce[[#This Row],[Assigned Supervisor]],L:L)</f>
        <v>12261500</v>
      </c>
    </row>
    <row r="2593" spans="1:20" hidden="1" x14ac:dyDescent="0.3">
      <c r="A2593" t="s">
        <v>3849</v>
      </c>
      <c r="B2593" t="s">
        <v>37</v>
      </c>
      <c r="C2593" t="s">
        <v>168</v>
      </c>
      <c r="D2593" t="s">
        <v>3850</v>
      </c>
      <c r="E2593" t="s">
        <v>161</v>
      </c>
      <c r="F2593" t="s">
        <v>65</v>
      </c>
      <c r="G2593" t="s">
        <v>66</v>
      </c>
      <c r="H2593" t="s">
        <v>21</v>
      </c>
      <c r="I2593">
        <v>650</v>
      </c>
      <c r="J2593">
        <v>845</v>
      </c>
      <c r="K2593">
        <v>4</v>
      </c>
      <c r="L2593">
        <v>2600</v>
      </c>
      <c r="M2593">
        <v>3380</v>
      </c>
      <c r="N2593" t="s">
        <v>50</v>
      </c>
      <c r="O2593">
        <f t="shared" si="80"/>
        <v>1690</v>
      </c>
      <c r="P2593" s="13">
        <f t="shared" si="81"/>
        <v>1937780</v>
      </c>
      <c r="Q2593" s="13">
        <f>SUMIFS(M:M,E:E,Online_eCommerce[[#This Row],[Status]])</f>
        <v>21103186</v>
      </c>
      <c r="R2593" s="13">
        <f>SUMIFS(L:L,H:H,Online_eCommerce[[#This Row],[Brand]])</f>
        <v>12435650</v>
      </c>
      <c r="S2593" s="13">
        <f>SUMIF(H:H,Online_eCommerce[[#This Row],[Brand]],M:M)</f>
        <v>16166345</v>
      </c>
      <c r="T2593" s="13">
        <f>SUMIF(N:N,Online_eCommerce[[#This Row],[Assigned Supervisor]],L:L)</f>
        <v>12100590</v>
      </c>
    </row>
    <row r="2594" spans="1:20" x14ac:dyDescent="0.3">
      <c r="A2594" t="s">
        <v>3851</v>
      </c>
      <c r="B2594" t="s">
        <v>44</v>
      </c>
      <c r="C2594" t="s">
        <v>172</v>
      </c>
      <c r="D2594" t="s">
        <v>3852</v>
      </c>
      <c r="E2594" t="s">
        <v>46</v>
      </c>
      <c r="F2594" t="s">
        <v>70</v>
      </c>
      <c r="G2594" t="s">
        <v>71</v>
      </c>
      <c r="H2594" t="s">
        <v>61</v>
      </c>
      <c r="I2594">
        <v>7500</v>
      </c>
      <c r="J2594">
        <v>9750</v>
      </c>
      <c r="K2594">
        <v>3</v>
      </c>
      <c r="L2594">
        <v>22500</v>
      </c>
      <c r="M2594">
        <v>29250</v>
      </c>
      <c r="N2594" t="s">
        <v>56</v>
      </c>
      <c r="O2594">
        <f t="shared" si="80"/>
        <v>9750</v>
      </c>
      <c r="P2594" s="13">
        <f t="shared" si="81"/>
        <v>2640274</v>
      </c>
      <c r="Q2594" s="13">
        <f>SUMIFS(M:M,E:E,Online_eCommerce[[#This Row],[Status]])</f>
        <v>28620410</v>
      </c>
      <c r="R2594" s="13">
        <f>SUMIFS(L:L,H:H,Online_eCommerce[[#This Row],[Brand]])</f>
        <v>10950150</v>
      </c>
      <c r="S2594" s="13">
        <f>SUMIF(H:H,Online_eCommerce[[#This Row],[Brand]],M:M)</f>
        <v>14235195</v>
      </c>
      <c r="T2594" s="13">
        <f>SUMIF(N:N,Online_eCommerce[[#This Row],[Assigned Supervisor]],L:L)</f>
        <v>11733610</v>
      </c>
    </row>
    <row r="2595" spans="1:20" hidden="1" x14ac:dyDescent="0.3">
      <c r="A2595" t="s">
        <v>3853</v>
      </c>
      <c r="B2595" t="s">
        <v>213</v>
      </c>
      <c r="C2595" t="s">
        <v>177</v>
      </c>
      <c r="D2595" t="s">
        <v>3854</v>
      </c>
      <c r="E2595" t="s">
        <v>96</v>
      </c>
      <c r="F2595" t="s">
        <v>3836</v>
      </c>
      <c r="G2595" t="s">
        <v>77</v>
      </c>
      <c r="H2595" t="s">
        <v>78</v>
      </c>
      <c r="I2595">
        <v>10000</v>
      </c>
      <c r="J2595">
        <v>13000</v>
      </c>
      <c r="K2595">
        <v>4</v>
      </c>
      <c r="L2595">
        <v>40000</v>
      </c>
      <c r="M2595">
        <v>52000</v>
      </c>
      <c r="N2595" t="s">
        <v>22</v>
      </c>
      <c r="O2595">
        <f t="shared" si="80"/>
        <v>39000</v>
      </c>
      <c r="P2595" s="13">
        <f t="shared" si="81"/>
        <v>1863810</v>
      </c>
      <c r="Q2595" s="13">
        <f>SUMIFS(M:M,E:E,Online_eCommerce[[#This Row],[Status]])</f>
        <v>21233992</v>
      </c>
      <c r="R2595" s="13">
        <f>SUMIFS(L:L,H:H,Online_eCommerce[[#This Row],[Brand]])</f>
        <v>3720000</v>
      </c>
      <c r="S2595" s="13">
        <f>SUMIF(H:H,Online_eCommerce[[#This Row],[Brand]],M:M)</f>
        <v>4836000</v>
      </c>
      <c r="T2595" s="13">
        <f>SUMIF(N:N,Online_eCommerce[[#This Row],[Assigned Supervisor]],L:L)</f>
        <v>13693220</v>
      </c>
    </row>
    <row r="2596" spans="1:20" hidden="1" x14ac:dyDescent="0.3">
      <c r="A2596" t="s">
        <v>3855</v>
      </c>
      <c r="B2596" t="s">
        <v>215</v>
      </c>
      <c r="C2596" t="s">
        <v>181</v>
      </c>
      <c r="D2596" t="s">
        <v>3854</v>
      </c>
      <c r="E2596" t="s">
        <v>18</v>
      </c>
      <c r="F2596" t="s">
        <v>3856</v>
      </c>
      <c r="G2596" t="s">
        <v>20</v>
      </c>
      <c r="H2596" t="s">
        <v>21</v>
      </c>
      <c r="I2596">
        <v>10500</v>
      </c>
      <c r="J2596">
        <v>13650</v>
      </c>
      <c r="K2596">
        <v>4</v>
      </c>
      <c r="L2596">
        <v>42000</v>
      </c>
      <c r="M2596">
        <v>54600</v>
      </c>
      <c r="N2596" t="s">
        <v>28</v>
      </c>
      <c r="O2596">
        <f t="shared" si="80"/>
        <v>8450</v>
      </c>
      <c r="P2596" s="13">
        <f t="shared" si="81"/>
        <v>2577458</v>
      </c>
      <c r="Q2596" s="13">
        <f>SUMIFS(M:M,E:E,Online_eCommerce[[#This Row],[Status]])</f>
        <v>28340455</v>
      </c>
      <c r="R2596" s="13">
        <f>SUMIFS(L:L,H:H,Online_eCommerce[[#This Row],[Brand]])</f>
        <v>12435650</v>
      </c>
      <c r="S2596" s="13">
        <f>SUMIF(H:H,Online_eCommerce[[#This Row],[Brand]],M:M)</f>
        <v>16166345</v>
      </c>
      <c r="T2596" s="13">
        <f>SUMIF(N:N,Online_eCommerce[[#This Row],[Assigned Supervisor]],L:L)</f>
        <v>12220830</v>
      </c>
    </row>
    <row r="2597" spans="1:20" hidden="1" x14ac:dyDescent="0.3">
      <c r="A2597" t="s">
        <v>3857</v>
      </c>
      <c r="B2597" t="s">
        <v>154</v>
      </c>
      <c r="C2597" t="s">
        <v>185</v>
      </c>
      <c r="D2597" t="s">
        <v>3854</v>
      </c>
      <c r="E2597" t="s">
        <v>161</v>
      </c>
      <c r="F2597" t="s">
        <v>88</v>
      </c>
      <c r="G2597" t="s">
        <v>26</v>
      </c>
      <c r="H2597" t="s">
        <v>27</v>
      </c>
      <c r="I2597">
        <v>8500</v>
      </c>
      <c r="J2597">
        <v>11050</v>
      </c>
      <c r="K2597">
        <v>3</v>
      </c>
      <c r="L2597">
        <v>25500</v>
      </c>
      <c r="M2597">
        <v>33150</v>
      </c>
      <c r="N2597" t="s">
        <v>35</v>
      </c>
      <c r="O2597">
        <f t="shared" si="80"/>
        <v>33150</v>
      </c>
      <c r="P2597" s="13">
        <f t="shared" si="81"/>
        <v>2091596</v>
      </c>
      <c r="Q2597" s="13">
        <f>SUMIFS(M:M,E:E,Online_eCommerce[[#This Row],[Status]])</f>
        <v>21103186</v>
      </c>
      <c r="R2597" s="13">
        <f>SUMIFS(L:L,H:H,Online_eCommerce[[#This Row],[Brand]])</f>
        <v>14431000</v>
      </c>
      <c r="S2597" s="13">
        <f>SUMIF(H:H,Online_eCommerce[[#This Row],[Brand]],M:M)</f>
        <v>18760300</v>
      </c>
      <c r="T2597" s="13">
        <f>SUMIF(N:N,Online_eCommerce[[#This Row],[Assigned Supervisor]],L:L)</f>
        <v>14373360</v>
      </c>
    </row>
    <row r="2598" spans="1:20" x14ac:dyDescent="0.3">
      <c r="A2598" t="s">
        <v>3858</v>
      </c>
      <c r="B2598" t="s">
        <v>154</v>
      </c>
      <c r="C2598" t="s">
        <v>189</v>
      </c>
      <c r="D2598" t="s">
        <v>3854</v>
      </c>
      <c r="E2598" t="s">
        <v>46</v>
      </c>
      <c r="F2598" t="s">
        <v>32</v>
      </c>
      <c r="G2598" t="s">
        <v>33</v>
      </c>
      <c r="H2598" t="s">
        <v>34</v>
      </c>
      <c r="I2598">
        <v>7000</v>
      </c>
      <c r="J2598">
        <v>9100</v>
      </c>
      <c r="K2598">
        <v>2</v>
      </c>
      <c r="L2598">
        <v>14000</v>
      </c>
      <c r="M2598">
        <v>18200</v>
      </c>
      <c r="N2598" t="s">
        <v>42</v>
      </c>
      <c r="O2598">
        <f t="shared" si="80"/>
        <v>18200</v>
      </c>
      <c r="P2598" s="13">
        <f t="shared" si="81"/>
        <v>2740777</v>
      </c>
      <c r="Q2598" s="13">
        <f>SUMIFS(M:M,E:E,Online_eCommerce[[#This Row],[Status]])</f>
        <v>28620410</v>
      </c>
      <c r="R2598" s="13">
        <f>SUMIFS(L:L,H:H,Online_eCommerce[[#This Row],[Brand]])</f>
        <v>10087000</v>
      </c>
      <c r="S2598" s="13">
        <f>SUMIF(H:H,Online_eCommerce[[#This Row],[Brand]],M:M)</f>
        <v>13113100</v>
      </c>
      <c r="T2598" s="13">
        <f>SUMIF(N:N,Online_eCommerce[[#This Row],[Assigned Supervisor]],L:L)</f>
        <v>12261500</v>
      </c>
    </row>
    <row r="2599" spans="1:20" hidden="1" x14ac:dyDescent="0.3">
      <c r="A2599" t="s">
        <v>3859</v>
      </c>
      <c r="B2599" t="s">
        <v>154</v>
      </c>
      <c r="C2599" t="s">
        <v>193</v>
      </c>
      <c r="D2599" t="s">
        <v>3854</v>
      </c>
      <c r="E2599" t="s">
        <v>96</v>
      </c>
      <c r="F2599" t="s">
        <v>3860</v>
      </c>
      <c r="G2599" t="s">
        <v>163</v>
      </c>
      <c r="H2599" t="s">
        <v>41</v>
      </c>
      <c r="I2599">
        <v>1680</v>
      </c>
      <c r="J2599">
        <v>2184</v>
      </c>
      <c r="K2599">
        <v>1</v>
      </c>
      <c r="L2599">
        <v>1680</v>
      </c>
      <c r="M2599">
        <v>2184</v>
      </c>
      <c r="N2599" t="s">
        <v>50</v>
      </c>
      <c r="O2599">
        <f t="shared" si="80"/>
        <v>13650</v>
      </c>
      <c r="P2599" s="13">
        <f t="shared" si="81"/>
        <v>2074774</v>
      </c>
      <c r="Q2599" s="13">
        <f>SUMIFS(M:M,E:E,Online_eCommerce[[#This Row],[Status]])</f>
        <v>21233992</v>
      </c>
      <c r="R2599" s="13">
        <f>SUMIFS(L:L,H:H,Online_eCommerce[[#This Row],[Brand]])</f>
        <v>4260400</v>
      </c>
      <c r="S2599" s="13">
        <f>SUMIF(H:H,Online_eCommerce[[#This Row],[Brand]],M:M)</f>
        <v>5538520</v>
      </c>
      <c r="T2599" s="13">
        <f>SUMIF(N:N,Online_eCommerce[[#This Row],[Assigned Supervisor]],L:L)</f>
        <v>12100590</v>
      </c>
    </row>
    <row r="2600" spans="1:20" hidden="1" x14ac:dyDescent="0.3">
      <c r="A2600" t="s">
        <v>3861</v>
      </c>
      <c r="B2600" t="s">
        <v>154</v>
      </c>
      <c r="C2600" t="s">
        <v>197</v>
      </c>
      <c r="D2600" t="s">
        <v>3854</v>
      </c>
      <c r="E2600" t="s">
        <v>18</v>
      </c>
      <c r="F2600" t="s">
        <v>101</v>
      </c>
      <c r="G2600" t="s">
        <v>66</v>
      </c>
      <c r="H2600" t="s">
        <v>102</v>
      </c>
      <c r="I2600">
        <v>6540</v>
      </c>
      <c r="J2600">
        <v>8502</v>
      </c>
      <c r="K2600">
        <v>1</v>
      </c>
      <c r="L2600">
        <v>6540</v>
      </c>
      <c r="M2600">
        <v>8502</v>
      </c>
      <c r="N2600" t="s">
        <v>56</v>
      </c>
      <c r="O2600">
        <f t="shared" si="80"/>
        <v>1690</v>
      </c>
      <c r="P2600" s="13">
        <f t="shared" si="81"/>
        <v>2829840</v>
      </c>
      <c r="Q2600" s="13">
        <f>SUMIFS(M:M,E:E,Online_eCommerce[[#This Row],[Status]])</f>
        <v>28340455</v>
      </c>
      <c r="R2600" s="13">
        <f>SUMIFS(L:L,H:H,Online_eCommerce[[#This Row],[Brand]])</f>
        <v>2465580</v>
      </c>
      <c r="S2600" s="13">
        <f>SUMIF(H:H,Online_eCommerce[[#This Row],[Brand]],M:M)</f>
        <v>3205254</v>
      </c>
      <c r="T2600" s="13">
        <f>SUMIF(N:N,Online_eCommerce[[#This Row],[Assigned Supervisor]],L:L)</f>
        <v>11733610</v>
      </c>
    </row>
    <row r="2601" spans="1:20" hidden="1" x14ac:dyDescent="0.3">
      <c r="A2601" t="s">
        <v>3862</v>
      </c>
      <c r="B2601" t="s">
        <v>154</v>
      </c>
      <c r="C2601" t="s">
        <v>199</v>
      </c>
      <c r="D2601" t="s">
        <v>3854</v>
      </c>
      <c r="E2601" t="s">
        <v>161</v>
      </c>
      <c r="F2601" t="s">
        <v>107</v>
      </c>
      <c r="G2601" t="s">
        <v>54</v>
      </c>
      <c r="H2601" t="s">
        <v>55</v>
      </c>
      <c r="I2601">
        <v>2680</v>
      </c>
      <c r="J2601">
        <v>3484</v>
      </c>
      <c r="K2601">
        <v>4</v>
      </c>
      <c r="L2601">
        <v>10720</v>
      </c>
      <c r="M2601">
        <v>13936</v>
      </c>
      <c r="N2601" t="s">
        <v>22</v>
      </c>
      <c r="O2601">
        <f t="shared" si="80"/>
        <v>2990</v>
      </c>
      <c r="P2601" s="13">
        <f t="shared" si="81"/>
        <v>1947361</v>
      </c>
      <c r="Q2601" s="13">
        <f>SUMIFS(M:M,E:E,Online_eCommerce[[#This Row],[Status]])</f>
        <v>21103186</v>
      </c>
      <c r="R2601" s="13">
        <f>SUMIFS(L:L,H:H,Online_eCommerce[[#This Row],[Brand]])</f>
        <v>2267380</v>
      </c>
      <c r="S2601" s="13">
        <f>SUMIF(H:H,Online_eCommerce[[#This Row],[Brand]],M:M)</f>
        <v>2947594</v>
      </c>
      <c r="T2601" s="13">
        <f>SUMIF(N:N,Online_eCommerce[[#This Row],[Assigned Supervisor]],L:L)</f>
        <v>13693220</v>
      </c>
    </row>
    <row r="2602" spans="1:20" x14ac:dyDescent="0.3">
      <c r="A2602" t="s">
        <v>3863</v>
      </c>
      <c r="B2602" t="s">
        <v>154</v>
      </c>
      <c r="C2602" t="s">
        <v>203</v>
      </c>
      <c r="D2602" t="s">
        <v>3854</v>
      </c>
      <c r="E2602" t="s">
        <v>46</v>
      </c>
      <c r="F2602" t="s">
        <v>112</v>
      </c>
      <c r="G2602" t="s">
        <v>71</v>
      </c>
      <c r="H2602" t="s">
        <v>21</v>
      </c>
      <c r="I2602">
        <v>8250</v>
      </c>
      <c r="J2602">
        <v>10725</v>
      </c>
      <c r="K2602">
        <v>1</v>
      </c>
      <c r="L2602">
        <v>8250</v>
      </c>
      <c r="M2602">
        <v>10725</v>
      </c>
      <c r="N2602" t="s">
        <v>28</v>
      </c>
      <c r="O2602">
        <f t="shared" si="80"/>
        <v>9750</v>
      </c>
      <c r="P2602" s="13">
        <f t="shared" si="81"/>
        <v>2559635</v>
      </c>
      <c r="Q2602" s="13">
        <f>SUMIFS(M:M,E:E,Online_eCommerce[[#This Row],[Status]])</f>
        <v>28620410</v>
      </c>
      <c r="R2602" s="13">
        <f>SUMIFS(L:L,H:H,Online_eCommerce[[#This Row],[Brand]])</f>
        <v>12435650</v>
      </c>
      <c r="S2602" s="13">
        <f>SUMIF(H:H,Online_eCommerce[[#This Row],[Brand]],M:M)</f>
        <v>16166345</v>
      </c>
      <c r="T2602" s="13">
        <f>SUMIF(N:N,Online_eCommerce[[#This Row],[Assigned Supervisor]],L:L)</f>
        <v>12220830</v>
      </c>
    </row>
    <row r="2603" spans="1:20" hidden="1" x14ac:dyDescent="0.3">
      <c r="A2603" t="s">
        <v>3864</v>
      </c>
      <c r="B2603" t="s">
        <v>154</v>
      </c>
      <c r="C2603" t="s">
        <v>205</v>
      </c>
      <c r="D2603" t="s">
        <v>3854</v>
      </c>
      <c r="E2603" t="s">
        <v>96</v>
      </c>
      <c r="F2603" t="s">
        <v>3480</v>
      </c>
      <c r="G2603" t="s">
        <v>40</v>
      </c>
      <c r="H2603" t="s">
        <v>21</v>
      </c>
      <c r="I2603">
        <v>2650</v>
      </c>
      <c r="J2603">
        <v>3445</v>
      </c>
      <c r="K2603">
        <v>3</v>
      </c>
      <c r="L2603">
        <v>7950</v>
      </c>
      <c r="M2603">
        <v>10335</v>
      </c>
      <c r="N2603" t="s">
        <v>35</v>
      </c>
      <c r="O2603">
        <f t="shared" si="80"/>
        <v>25545</v>
      </c>
      <c r="P2603" s="13">
        <f t="shared" si="81"/>
        <v>1983254</v>
      </c>
      <c r="Q2603" s="13">
        <f>SUMIFS(M:M,E:E,Online_eCommerce[[#This Row],[Status]])</f>
        <v>21233992</v>
      </c>
      <c r="R2603" s="13">
        <f>SUMIFS(L:L,H:H,Online_eCommerce[[#This Row],[Brand]])</f>
        <v>12435650</v>
      </c>
      <c r="S2603" s="13">
        <f>SUMIF(H:H,Online_eCommerce[[#This Row],[Brand]],M:M)</f>
        <v>16166345</v>
      </c>
      <c r="T2603" s="13">
        <f>SUMIF(N:N,Online_eCommerce[[#This Row],[Assigned Supervisor]],L:L)</f>
        <v>14373360</v>
      </c>
    </row>
    <row r="2604" spans="1:20" hidden="1" x14ac:dyDescent="0.3">
      <c r="A2604" t="s">
        <v>3865</v>
      </c>
      <c r="B2604" t="s">
        <v>154</v>
      </c>
      <c r="C2604" t="s">
        <v>208</v>
      </c>
      <c r="D2604" t="s">
        <v>3866</v>
      </c>
      <c r="E2604" t="s">
        <v>18</v>
      </c>
      <c r="F2604" t="s">
        <v>121</v>
      </c>
      <c r="G2604" t="s">
        <v>71</v>
      </c>
      <c r="H2604" t="s">
        <v>122</v>
      </c>
      <c r="I2604">
        <v>12550</v>
      </c>
      <c r="J2604">
        <v>16315</v>
      </c>
      <c r="K2604">
        <v>2</v>
      </c>
      <c r="L2604">
        <v>25100</v>
      </c>
      <c r="M2604">
        <v>32630</v>
      </c>
      <c r="N2604" t="s">
        <v>42</v>
      </c>
      <c r="O2604">
        <f t="shared" si="80"/>
        <v>9750</v>
      </c>
      <c r="P2604" s="13">
        <f t="shared" si="81"/>
        <v>2746575</v>
      </c>
      <c r="Q2604" s="13">
        <f>SUMIFS(M:M,E:E,Online_eCommerce[[#This Row],[Status]])</f>
        <v>28340455</v>
      </c>
      <c r="R2604" s="13">
        <f>SUMIFS(L:L,H:H,Online_eCommerce[[#This Row],[Brand]])</f>
        <v>5045100</v>
      </c>
      <c r="S2604" s="13">
        <f>SUMIF(H:H,Online_eCommerce[[#This Row],[Brand]],M:M)</f>
        <v>6558630</v>
      </c>
      <c r="T2604" s="13">
        <f>SUMIF(N:N,Online_eCommerce[[#This Row],[Assigned Supervisor]],L:L)</f>
        <v>12261500</v>
      </c>
    </row>
    <row r="2605" spans="1:20" hidden="1" x14ac:dyDescent="0.3">
      <c r="A2605" t="s">
        <v>3867</v>
      </c>
      <c r="B2605" t="s">
        <v>154</v>
      </c>
      <c r="C2605" t="s">
        <v>211</v>
      </c>
      <c r="D2605" t="s">
        <v>3868</v>
      </c>
      <c r="E2605" t="s">
        <v>161</v>
      </c>
      <c r="F2605" t="s">
        <v>126</v>
      </c>
      <c r="G2605" t="s">
        <v>26</v>
      </c>
      <c r="H2605" t="s">
        <v>27</v>
      </c>
      <c r="I2605">
        <v>14500</v>
      </c>
      <c r="J2605">
        <v>18850</v>
      </c>
      <c r="K2605">
        <v>3</v>
      </c>
      <c r="L2605">
        <v>43500</v>
      </c>
      <c r="M2605">
        <v>56550</v>
      </c>
      <c r="N2605" t="s">
        <v>50</v>
      </c>
      <c r="O2605">
        <f t="shared" si="80"/>
        <v>33150</v>
      </c>
      <c r="P2605" s="13">
        <f t="shared" si="81"/>
        <v>1809847</v>
      </c>
      <c r="Q2605" s="13">
        <f>SUMIFS(M:M,E:E,Online_eCommerce[[#This Row],[Status]])</f>
        <v>21103186</v>
      </c>
      <c r="R2605" s="13">
        <f>SUMIFS(L:L,H:H,Online_eCommerce[[#This Row],[Brand]])</f>
        <v>14431000</v>
      </c>
      <c r="S2605" s="13">
        <f>SUMIF(H:H,Online_eCommerce[[#This Row],[Brand]],M:M)</f>
        <v>18760300</v>
      </c>
      <c r="T2605" s="13">
        <f>SUMIF(N:N,Online_eCommerce[[#This Row],[Assigned Supervisor]],L:L)</f>
        <v>12100590</v>
      </c>
    </row>
    <row r="2606" spans="1:20" x14ac:dyDescent="0.3">
      <c r="A2606" t="s">
        <v>3869</v>
      </c>
      <c r="B2606" t="s">
        <v>154</v>
      </c>
      <c r="C2606" t="s">
        <v>16</v>
      </c>
      <c r="D2606" t="s">
        <v>3870</v>
      </c>
      <c r="E2606" t="s">
        <v>46</v>
      </c>
      <c r="F2606" t="s">
        <v>129</v>
      </c>
      <c r="G2606" t="s">
        <v>60</v>
      </c>
      <c r="H2606" t="s">
        <v>61</v>
      </c>
      <c r="I2606">
        <v>800</v>
      </c>
      <c r="J2606">
        <v>1040</v>
      </c>
      <c r="K2606">
        <v>3</v>
      </c>
      <c r="L2606">
        <v>2400</v>
      </c>
      <c r="M2606">
        <v>3120</v>
      </c>
      <c r="N2606" t="s">
        <v>56</v>
      </c>
      <c r="O2606">
        <f t="shared" si="80"/>
        <v>3315</v>
      </c>
      <c r="P2606" s="13">
        <f t="shared" si="81"/>
        <v>2751814</v>
      </c>
      <c r="Q2606" s="13">
        <f>SUMIFS(M:M,E:E,Online_eCommerce[[#This Row],[Status]])</f>
        <v>28620410</v>
      </c>
      <c r="R2606" s="13">
        <f>SUMIFS(L:L,H:H,Online_eCommerce[[#This Row],[Brand]])</f>
        <v>10950150</v>
      </c>
      <c r="S2606" s="13">
        <f>SUMIF(H:H,Online_eCommerce[[#This Row],[Brand]],M:M)</f>
        <v>14235195</v>
      </c>
      <c r="T2606" s="13">
        <f>SUMIF(N:N,Online_eCommerce[[#This Row],[Assigned Supervisor]],L:L)</f>
        <v>11733610</v>
      </c>
    </row>
    <row r="2607" spans="1:20" hidden="1" x14ac:dyDescent="0.3">
      <c r="A2607" t="s">
        <v>3871</v>
      </c>
      <c r="B2607" t="s">
        <v>114</v>
      </c>
      <c r="C2607" t="s">
        <v>24</v>
      </c>
      <c r="D2607" t="s">
        <v>3872</v>
      </c>
      <c r="E2607" t="s">
        <v>96</v>
      </c>
      <c r="F2607" t="s">
        <v>133</v>
      </c>
      <c r="G2607" t="s">
        <v>66</v>
      </c>
      <c r="H2607" t="s">
        <v>21</v>
      </c>
      <c r="I2607">
        <v>600</v>
      </c>
      <c r="J2607">
        <v>780</v>
      </c>
      <c r="K2607">
        <v>1</v>
      </c>
      <c r="L2607">
        <v>600</v>
      </c>
      <c r="M2607">
        <v>780</v>
      </c>
      <c r="N2607" t="s">
        <v>22</v>
      </c>
      <c r="O2607">
        <f t="shared" si="80"/>
        <v>1690</v>
      </c>
      <c r="P2607" s="13">
        <f t="shared" si="81"/>
        <v>2009540</v>
      </c>
      <c r="Q2607" s="13">
        <f>SUMIFS(M:M,E:E,Online_eCommerce[[#This Row],[Status]])</f>
        <v>21233992</v>
      </c>
      <c r="R2607" s="13">
        <f>SUMIFS(L:L,H:H,Online_eCommerce[[#This Row],[Brand]])</f>
        <v>12435650</v>
      </c>
      <c r="S2607" s="13">
        <f>SUMIF(H:H,Online_eCommerce[[#This Row],[Brand]],M:M)</f>
        <v>16166345</v>
      </c>
      <c r="T2607" s="13">
        <f>SUMIF(N:N,Online_eCommerce[[#This Row],[Assigned Supervisor]],L:L)</f>
        <v>13693220</v>
      </c>
    </row>
    <row r="2608" spans="1:20" hidden="1" x14ac:dyDescent="0.3">
      <c r="A2608" t="s">
        <v>3873</v>
      </c>
      <c r="B2608" t="s">
        <v>119</v>
      </c>
      <c r="C2608" t="s">
        <v>31</v>
      </c>
      <c r="D2608" t="s">
        <v>3872</v>
      </c>
      <c r="E2608" t="s">
        <v>18</v>
      </c>
      <c r="F2608" t="s">
        <v>137</v>
      </c>
      <c r="G2608" t="s">
        <v>71</v>
      </c>
      <c r="H2608" t="s">
        <v>61</v>
      </c>
      <c r="I2608">
        <v>10500</v>
      </c>
      <c r="J2608">
        <v>13650</v>
      </c>
      <c r="K2608">
        <v>1</v>
      </c>
      <c r="L2608">
        <v>10500</v>
      </c>
      <c r="M2608">
        <v>13650</v>
      </c>
      <c r="N2608" t="s">
        <v>28</v>
      </c>
      <c r="O2608">
        <f t="shared" si="80"/>
        <v>9750</v>
      </c>
      <c r="P2608" s="13">
        <f t="shared" si="81"/>
        <v>2865746</v>
      </c>
      <c r="Q2608" s="13">
        <f>SUMIFS(M:M,E:E,Online_eCommerce[[#This Row],[Status]])</f>
        <v>28340455</v>
      </c>
      <c r="R2608" s="13">
        <f>SUMIFS(L:L,H:H,Online_eCommerce[[#This Row],[Brand]])</f>
        <v>10950150</v>
      </c>
      <c r="S2608" s="13">
        <f>SUMIF(H:H,Online_eCommerce[[#This Row],[Brand]],M:M)</f>
        <v>14235195</v>
      </c>
      <c r="T2608" s="13">
        <f>SUMIF(N:N,Online_eCommerce[[#This Row],[Assigned Supervisor]],L:L)</f>
        <v>12220830</v>
      </c>
    </row>
    <row r="2609" spans="1:20" hidden="1" x14ac:dyDescent="0.3">
      <c r="A2609" t="s">
        <v>3874</v>
      </c>
      <c r="B2609" t="s">
        <v>124</v>
      </c>
      <c r="C2609" t="s">
        <v>38</v>
      </c>
      <c r="D2609" t="s">
        <v>3872</v>
      </c>
      <c r="E2609" t="s">
        <v>161</v>
      </c>
      <c r="F2609" t="s">
        <v>3836</v>
      </c>
      <c r="G2609" t="s">
        <v>77</v>
      </c>
      <c r="H2609" t="s">
        <v>142</v>
      </c>
      <c r="I2609">
        <v>6500</v>
      </c>
      <c r="J2609">
        <v>8450</v>
      </c>
      <c r="K2609">
        <v>1</v>
      </c>
      <c r="L2609">
        <v>6500</v>
      </c>
      <c r="M2609">
        <v>8450</v>
      </c>
      <c r="N2609" t="s">
        <v>35</v>
      </c>
      <c r="O2609">
        <f t="shared" si="80"/>
        <v>39000</v>
      </c>
      <c r="P2609" s="13">
        <f t="shared" si="81"/>
        <v>1933997</v>
      </c>
      <c r="Q2609" s="13">
        <f>SUMIFS(M:M,E:E,Online_eCommerce[[#This Row],[Status]])</f>
        <v>21103186</v>
      </c>
      <c r="R2609" s="13">
        <f>SUMIFS(L:L,H:H,Online_eCommerce[[#This Row],[Brand]])</f>
        <v>6192500</v>
      </c>
      <c r="S2609" s="13">
        <f>SUMIF(H:H,Online_eCommerce[[#This Row],[Brand]],M:M)</f>
        <v>8050250</v>
      </c>
      <c r="T2609" s="13">
        <f>SUMIF(N:N,Online_eCommerce[[#This Row],[Assigned Supervisor]],L:L)</f>
        <v>14373360</v>
      </c>
    </row>
    <row r="2610" spans="1:20" x14ac:dyDescent="0.3">
      <c r="A2610" t="s">
        <v>3875</v>
      </c>
      <c r="B2610" t="s">
        <v>128</v>
      </c>
      <c r="C2610" t="s">
        <v>45</v>
      </c>
      <c r="D2610" t="s">
        <v>3872</v>
      </c>
      <c r="E2610" t="s">
        <v>46</v>
      </c>
      <c r="F2610" t="s">
        <v>3876</v>
      </c>
      <c r="G2610" t="s">
        <v>20</v>
      </c>
      <c r="H2610" t="s">
        <v>21</v>
      </c>
      <c r="I2610">
        <v>4500</v>
      </c>
      <c r="J2610">
        <v>5850</v>
      </c>
      <c r="K2610">
        <v>3</v>
      </c>
      <c r="L2610">
        <v>13500</v>
      </c>
      <c r="M2610">
        <v>17550</v>
      </c>
      <c r="N2610" t="s">
        <v>42</v>
      </c>
      <c r="O2610">
        <f t="shared" si="80"/>
        <v>8450</v>
      </c>
      <c r="P2610" s="13">
        <f t="shared" si="81"/>
        <v>2842554</v>
      </c>
      <c r="Q2610" s="13">
        <f>SUMIFS(M:M,E:E,Online_eCommerce[[#This Row],[Status]])</f>
        <v>28620410</v>
      </c>
      <c r="R2610" s="13">
        <f>SUMIFS(L:L,H:H,Online_eCommerce[[#This Row],[Brand]])</f>
        <v>12435650</v>
      </c>
      <c r="S2610" s="13">
        <f>SUMIF(H:H,Online_eCommerce[[#This Row],[Brand]],M:M)</f>
        <v>16166345</v>
      </c>
      <c r="T2610" s="13">
        <f>SUMIF(N:N,Online_eCommerce[[#This Row],[Assigned Supervisor]],L:L)</f>
        <v>12261500</v>
      </c>
    </row>
    <row r="2611" spans="1:20" hidden="1" x14ac:dyDescent="0.3">
      <c r="A2611" t="s">
        <v>3877</v>
      </c>
      <c r="B2611" t="s">
        <v>131</v>
      </c>
      <c r="C2611" t="s">
        <v>52</v>
      </c>
      <c r="D2611" t="s">
        <v>3872</v>
      </c>
      <c r="E2611" t="s">
        <v>96</v>
      </c>
      <c r="F2611" t="s">
        <v>152</v>
      </c>
      <c r="G2611" t="s">
        <v>26</v>
      </c>
      <c r="H2611" t="s">
        <v>27</v>
      </c>
      <c r="I2611">
        <v>8500</v>
      </c>
      <c r="J2611">
        <v>11050</v>
      </c>
      <c r="K2611">
        <v>2</v>
      </c>
      <c r="L2611">
        <v>17000</v>
      </c>
      <c r="M2611">
        <v>22100</v>
      </c>
      <c r="N2611" t="s">
        <v>50</v>
      </c>
      <c r="O2611">
        <f t="shared" si="80"/>
        <v>33150</v>
      </c>
      <c r="P2611" s="13">
        <f t="shared" si="81"/>
        <v>1955044</v>
      </c>
      <c r="Q2611" s="13">
        <f>SUMIFS(M:M,E:E,Online_eCommerce[[#This Row],[Status]])</f>
        <v>21233992</v>
      </c>
      <c r="R2611" s="13">
        <f>SUMIFS(L:L,H:H,Online_eCommerce[[#This Row],[Brand]])</f>
        <v>14431000</v>
      </c>
      <c r="S2611" s="13">
        <f>SUMIF(H:H,Online_eCommerce[[#This Row],[Brand]],M:M)</f>
        <v>18760300</v>
      </c>
      <c r="T2611" s="13">
        <f>SUMIF(N:N,Online_eCommerce[[#This Row],[Assigned Supervisor]],L:L)</f>
        <v>12100590</v>
      </c>
    </row>
    <row r="2612" spans="1:20" hidden="1" x14ac:dyDescent="0.3">
      <c r="A2612" t="s">
        <v>3878</v>
      </c>
      <c r="B2612" t="s">
        <v>135</v>
      </c>
      <c r="C2612" t="s">
        <v>58</v>
      </c>
      <c r="D2612" t="s">
        <v>3872</v>
      </c>
      <c r="E2612" t="s">
        <v>18</v>
      </c>
      <c r="F2612" t="s">
        <v>157</v>
      </c>
      <c r="G2612" t="s">
        <v>33</v>
      </c>
      <c r="H2612" t="s">
        <v>34</v>
      </c>
      <c r="I2612">
        <v>12500</v>
      </c>
      <c r="J2612">
        <v>16250</v>
      </c>
      <c r="K2612">
        <v>1</v>
      </c>
      <c r="L2612">
        <v>12500</v>
      </c>
      <c r="M2612">
        <v>16250</v>
      </c>
      <c r="N2612" t="s">
        <v>56</v>
      </c>
      <c r="O2612">
        <f t="shared" si="80"/>
        <v>18200</v>
      </c>
      <c r="P2612" s="13">
        <f t="shared" si="81"/>
        <v>2629211</v>
      </c>
      <c r="Q2612" s="13">
        <f>SUMIFS(M:M,E:E,Online_eCommerce[[#This Row],[Status]])</f>
        <v>28340455</v>
      </c>
      <c r="R2612" s="13">
        <f>SUMIFS(L:L,H:H,Online_eCommerce[[#This Row],[Brand]])</f>
        <v>10087000</v>
      </c>
      <c r="S2612" s="13">
        <f>SUMIF(H:H,Online_eCommerce[[#This Row],[Brand]],M:M)</f>
        <v>13113100</v>
      </c>
      <c r="T2612" s="13">
        <f>SUMIF(N:N,Online_eCommerce[[#This Row],[Assigned Supervisor]],L:L)</f>
        <v>11733610</v>
      </c>
    </row>
    <row r="2613" spans="1:20" hidden="1" x14ac:dyDescent="0.3">
      <c r="A2613" t="s">
        <v>3879</v>
      </c>
      <c r="B2613" t="s">
        <v>139</v>
      </c>
      <c r="C2613" t="s">
        <v>63</v>
      </c>
      <c r="D2613" t="s">
        <v>3872</v>
      </c>
      <c r="E2613" t="s">
        <v>161</v>
      </c>
      <c r="F2613" t="s">
        <v>3522</v>
      </c>
      <c r="G2613" t="s">
        <v>256</v>
      </c>
      <c r="H2613" t="s">
        <v>41</v>
      </c>
      <c r="I2613">
        <v>3500</v>
      </c>
      <c r="J2613">
        <v>4550</v>
      </c>
      <c r="K2613">
        <v>2</v>
      </c>
      <c r="L2613">
        <v>7000</v>
      </c>
      <c r="M2613">
        <v>9100</v>
      </c>
      <c r="N2613" t="s">
        <v>22</v>
      </c>
      <c r="O2613">
        <f t="shared" si="80"/>
        <v>9100</v>
      </c>
      <c r="P2613" s="13">
        <f t="shared" si="81"/>
        <v>2016131</v>
      </c>
      <c r="Q2613" s="13">
        <f>SUMIFS(M:M,E:E,Online_eCommerce[[#This Row],[Status]])</f>
        <v>21103186</v>
      </c>
      <c r="R2613" s="13">
        <f>SUMIFS(L:L,H:H,Online_eCommerce[[#This Row],[Brand]])</f>
        <v>4260400</v>
      </c>
      <c r="S2613" s="13">
        <f>SUMIF(H:H,Online_eCommerce[[#This Row],[Brand]],M:M)</f>
        <v>5538520</v>
      </c>
      <c r="T2613" s="13">
        <f>SUMIF(N:N,Online_eCommerce[[#This Row],[Assigned Supervisor]],L:L)</f>
        <v>13693220</v>
      </c>
    </row>
    <row r="2614" spans="1:20" x14ac:dyDescent="0.3">
      <c r="A2614" t="s">
        <v>3880</v>
      </c>
      <c r="B2614" t="s">
        <v>144</v>
      </c>
      <c r="C2614" t="s">
        <v>68</v>
      </c>
      <c r="D2614" t="s">
        <v>3872</v>
      </c>
      <c r="E2614" t="s">
        <v>46</v>
      </c>
      <c r="F2614" t="s">
        <v>166</v>
      </c>
      <c r="G2614" t="s">
        <v>259</v>
      </c>
      <c r="H2614" t="s">
        <v>49</v>
      </c>
      <c r="I2614">
        <v>4500</v>
      </c>
      <c r="J2614">
        <v>5850</v>
      </c>
      <c r="K2614">
        <v>4</v>
      </c>
      <c r="L2614">
        <v>18000</v>
      </c>
      <c r="M2614">
        <v>23400</v>
      </c>
      <c r="N2614" t="s">
        <v>28</v>
      </c>
      <c r="O2614">
        <f t="shared" si="80"/>
        <v>11700</v>
      </c>
      <c r="P2614" s="13">
        <f t="shared" si="81"/>
        <v>2974621</v>
      </c>
      <c r="Q2614" s="13">
        <f>SUMIFS(M:M,E:E,Online_eCommerce[[#This Row],[Status]])</f>
        <v>28620410</v>
      </c>
      <c r="R2614" s="13">
        <f>SUMIFS(L:L,H:H,Online_eCommerce[[#This Row],[Brand]])</f>
        <v>4528350</v>
      </c>
      <c r="S2614" s="13">
        <f>SUMIF(H:H,Online_eCommerce[[#This Row],[Brand]],M:M)</f>
        <v>5886855</v>
      </c>
      <c r="T2614" s="13">
        <f>SUMIF(N:N,Online_eCommerce[[#This Row],[Assigned Supervisor]],L:L)</f>
        <v>12220830</v>
      </c>
    </row>
    <row r="2615" spans="1:20" hidden="1" x14ac:dyDescent="0.3">
      <c r="A2615" t="s">
        <v>3881</v>
      </c>
      <c r="B2615" t="s">
        <v>149</v>
      </c>
      <c r="C2615" t="s">
        <v>74</v>
      </c>
      <c r="D2615" t="s">
        <v>3872</v>
      </c>
      <c r="E2615" t="s">
        <v>96</v>
      </c>
      <c r="F2615" t="s">
        <v>3882</v>
      </c>
      <c r="G2615" t="s">
        <v>54</v>
      </c>
      <c r="H2615" t="s">
        <v>55</v>
      </c>
      <c r="I2615">
        <v>2100</v>
      </c>
      <c r="J2615">
        <v>2730</v>
      </c>
      <c r="K2615">
        <v>3</v>
      </c>
      <c r="L2615">
        <v>6300</v>
      </c>
      <c r="M2615">
        <v>8190</v>
      </c>
      <c r="N2615" t="s">
        <v>35</v>
      </c>
      <c r="O2615">
        <f t="shared" si="80"/>
        <v>2990</v>
      </c>
      <c r="P2615" s="13">
        <f t="shared" si="81"/>
        <v>2144701</v>
      </c>
      <c r="Q2615" s="13">
        <f>SUMIFS(M:M,E:E,Online_eCommerce[[#This Row],[Status]])</f>
        <v>21233992</v>
      </c>
      <c r="R2615" s="13">
        <f>SUMIFS(L:L,H:H,Online_eCommerce[[#This Row],[Brand]])</f>
        <v>2267380</v>
      </c>
      <c r="S2615" s="13">
        <f>SUMIF(H:H,Online_eCommerce[[#This Row],[Brand]],M:M)</f>
        <v>2947594</v>
      </c>
      <c r="T2615" s="13">
        <f>SUMIF(N:N,Online_eCommerce[[#This Row],[Assigned Supervisor]],L:L)</f>
        <v>14373360</v>
      </c>
    </row>
    <row r="2616" spans="1:20" hidden="1" x14ac:dyDescent="0.3">
      <c r="A2616" t="s">
        <v>3883</v>
      </c>
      <c r="B2616" t="s">
        <v>154</v>
      </c>
      <c r="C2616" t="s">
        <v>81</v>
      </c>
      <c r="D2616" t="s">
        <v>3872</v>
      </c>
      <c r="E2616" t="s">
        <v>18</v>
      </c>
      <c r="F2616" t="s">
        <v>174</v>
      </c>
      <c r="G2616" t="s">
        <v>60</v>
      </c>
      <c r="H2616" t="s">
        <v>61</v>
      </c>
      <c r="I2616">
        <v>1150</v>
      </c>
      <c r="J2616">
        <v>1495</v>
      </c>
      <c r="K2616">
        <v>4</v>
      </c>
      <c r="L2616">
        <v>4600</v>
      </c>
      <c r="M2616">
        <v>5980</v>
      </c>
      <c r="N2616" t="s">
        <v>42</v>
      </c>
      <c r="O2616">
        <f t="shared" si="80"/>
        <v>3315</v>
      </c>
      <c r="P2616" s="13">
        <f t="shared" si="81"/>
        <v>2595632</v>
      </c>
      <c r="Q2616" s="13">
        <f>SUMIFS(M:M,E:E,Online_eCommerce[[#This Row],[Status]])</f>
        <v>28340455</v>
      </c>
      <c r="R2616" s="13">
        <f>SUMIFS(L:L,H:H,Online_eCommerce[[#This Row],[Brand]])</f>
        <v>10950150</v>
      </c>
      <c r="S2616" s="13">
        <f>SUMIF(H:H,Online_eCommerce[[#This Row],[Brand]],M:M)</f>
        <v>14235195</v>
      </c>
      <c r="T2616" s="13">
        <f>SUMIF(N:N,Online_eCommerce[[#This Row],[Assigned Supervisor]],L:L)</f>
        <v>12261500</v>
      </c>
    </row>
    <row r="2617" spans="1:20" hidden="1" x14ac:dyDescent="0.3">
      <c r="A2617" t="s">
        <v>3884</v>
      </c>
      <c r="B2617" t="s">
        <v>159</v>
      </c>
      <c r="C2617" t="s">
        <v>86</v>
      </c>
      <c r="D2617" t="s">
        <v>3872</v>
      </c>
      <c r="E2617" t="s">
        <v>161</v>
      </c>
      <c r="F2617" t="s">
        <v>179</v>
      </c>
      <c r="G2617" t="s">
        <v>66</v>
      </c>
      <c r="H2617" t="s">
        <v>21</v>
      </c>
      <c r="I2617">
        <v>350</v>
      </c>
      <c r="J2617">
        <v>455</v>
      </c>
      <c r="K2617">
        <v>2</v>
      </c>
      <c r="L2617">
        <v>700</v>
      </c>
      <c r="M2617">
        <v>910</v>
      </c>
      <c r="N2617" t="s">
        <v>50</v>
      </c>
      <c r="O2617">
        <f t="shared" si="80"/>
        <v>1690</v>
      </c>
      <c r="P2617" s="13">
        <f t="shared" si="81"/>
        <v>1941225</v>
      </c>
      <c r="Q2617" s="13">
        <f>SUMIFS(M:M,E:E,Online_eCommerce[[#This Row],[Status]])</f>
        <v>21103186</v>
      </c>
      <c r="R2617" s="13">
        <f>SUMIFS(L:L,H:H,Online_eCommerce[[#This Row],[Brand]])</f>
        <v>12435650</v>
      </c>
      <c r="S2617" s="13">
        <f>SUMIF(H:H,Online_eCommerce[[#This Row],[Brand]],M:M)</f>
        <v>16166345</v>
      </c>
      <c r="T2617" s="13">
        <f>SUMIF(N:N,Online_eCommerce[[#This Row],[Assigned Supervisor]],L:L)</f>
        <v>12100590</v>
      </c>
    </row>
    <row r="2618" spans="1:20" x14ac:dyDescent="0.3">
      <c r="A2618" t="s">
        <v>3885</v>
      </c>
      <c r="B2618" t="s">
        <v>139</v>
      </c>
      <c r="C2618" t="s">
        <v>91</v>
      </c>
      <c r="D2618" t="s">
        <v>3872</v>
      </c>
      <c r="E2618" t="s">
        <v>46</v>
      </c>
      <c r="F2618" t="s">
        <v>183</v>
      </c>
      <c r="G2618" t="s">
        <v>71</v>
      </c>
      <c r="H2618" t="s">
        <v>61</v>
      </c>
      <c r="I2618">
        <v>9500</v>
      </c>
      <c r="J2618">
        <v>12350</v>
      </c>
      <c r="K2618">
        <v>1</v>
      </c>
      <c r="L2618">
        <v>9500</v>
      </c>
      <c r="M2618">
        <v>12350</v>
      </c>
      <c r="N2618" t="s">
        <v>56</v>
      </c>
      <c r="O2618">
        <f t="shared" si="80"/>
        <v>9750</v>
      </c>
      <c r="P2618" s="13">
        <f t="shared" si="81"/>
        <v>2731963</v>
      </c>
      <c r="Q2618" s="13">
        <f>SUMIFS(M:M,E:E,Online_eCommerce[[#This Row],[Status]])</f>
        <v>28620410</v>
      </c>
      <c r="R2618" s="13">
        <f>SUMIFS(L:L,H:H,Online_eCommerce[[#This Row],[Brand]])</f>
        <v>10950150</v>
      </c>
      <c r="S2618" s="13">
        <f>SUMIF(H:H,Online_eCommerce[[#This Row],[Brand]],M:M)</f>
        <v>14235195</v>
      </c>
      <c r="T2618" s="13">
        <f>SUMIF(N:N,Online_eCommerce[[#This Row],[Assigned Supervisor]],L:L)</f>
        <v>11733610</v>
      </c>
    </row>
    <row r="2619" spans="1:20" hidden="1" x14ac:dyDescent="0.3">
      <c r="A2619" t="s">
        <v>3886</v>
      </c>
      <c r="B2619" t="s">
        <v>144</v>
      </c>
      <c r="C2619" t="s">
        <v>94</v>
      </c>
      <c r="D2619" t="s">
        <v>3872</v>
      </c>
      <c r="E2619" t="s">
        <v>96</v>
      </c>
      <c r="F2619" t="s">
        <v>3887</v>
      </c>
      <c r="G2619" t="s">
        <v>77</v>
      </c>
      <c r="H2619" t="s">
        <v>142</v>
      </c>
      <c r="I2619">
        <v>10000</v>
      </c>
      <c r="J2619">
        <v>13000</v>
      </c>
      <c r="K2619">
        <v>4</v>
      </c>
      <c r="L2619">
        <v>40000</v>
      </c>
      <c r="M2619">
        <v>52000</v>
      </c>
      <c r="N2619" t="s">
        <v>22</v>
      </c>
      <c r="O2619">
        <f t="shared" si="80"/>
        <v>39000</v>
      </c>
      <c r="P2619" s="13">
        <f t="shared" si="81"/>
        <v>1868256</v>
      </c>
      <c r="Q2619" s="13">
        <f>SUMIFS(M:M,E:E,Online_eCommerce[[#This Row],[Status]])</f>
        <v>21233992</v>
      </c>
      <c r="R2619" s="13">
        <f>SUMIFS(L:L,H:H,Online_eCommerce[[#This Row],[Brand]])</f>
        <v>6192500</v>
      </c>
      <c r="S2619" s="13">
        <f>SUMIF(H:H,Online_eCommerce[[#This Row],[Brand]],M:M)</f>
        <v>8050250</v>
      </c>
      <c r="T2619" s="13">
        <f>SUMIF(N:N,Online_eCommerce[[#This Row],[Assigned Supervisor]],L:L)</f>
        <v>13693220</v>
      </c>
    </row>
    <row r="2620" spans="1:20" hidden="1" x14ac:dyDescent="0.3">
      <c r="A2620" t="s">
        <v>3888</v>
      </c>
      <c r="B2620" t="s">
        <v>235</v>
      </c>
      <c r="C2620" t="s">
        <v>99</v>
      </c>
      <c r="D2620" t="s">
        <v>3872</v>
      </c>
      <c r="E2620" t="s">
        <v>18</v>
      </c>
      <c r="F2620" t="s">
        <v>3889</v>
      </c>
      <c r="G2620" t="s">
        <v>20</v>
      </c>
      <c r="H2620" t="s">
        <v>21</v>
      </c>
      <c r="I2620">
        <v>6500</v>
      </c>
      <c r="J2620">
        <v>8450</v>
      </c>
      <c r="K2620">
        <v>4</v>
      </c>
      <c r="L2620">
        <v>26000</v>
      </c>
      <c r="M2620">
        <v>33800</v>
      </c>
      <c r="N2620" t="s">
        <v>28</v>
      </c>
      <c r="O2620">
        <f t="shared" si="80"/>
        <v>8450</v>
      </c>
      <c r="P2620" s="13">
        <f t="shared" si="81"/>
        <v>2651233</v>
      </c>
      <c r="Q2620" s="13">
        <f>SUMIFS(M:M,E:E,Online_eCommerce[[#This Row],[Status]])</f>
        <v>28340455</v>
      </c>
      <c r="R2620" s="13">
        <f>SUMIFS(L:L,H:H,Online_eCommerce[[#This Row],[Brand]])</f>
        <v>12435650</v>
      </c>
      <c r="S2620" s="13">
        <f>SUMIF(H:H,Online_eCommerce[[#This Row],[Brand]],M:M)</f>
        <v>16166345</v>
      </c>
      <c r="T2620" s="13">
        <f>SUMIF(N:N,Online_eCommerce[[#This Row],[Assigned Supervisor]],L:L)</f>
        <v>12220830</v>
      </c>
    </row>
    <row r="2621" spans="1:20" hidden="1" x14ac:dyDescent="0.3">
      <c r="A2621" t="s">
        <v>3890</v>
      </c>
      <c r="B2621" t="s">
        <v>176</v>
      </c>
      <c r="C2621" t="s">
        <v>105</v>
      </c>
      <c r="D2621" t="s">
        <v>3872</v>
      </c>
      <c r="E2621" t="s">
        <v>161</v>
      </c>
      <c r="F2621" t="s">
        <v>3891</v>
      </c>
      <c r="G2621" t="s">
        <v>26</v>
      </c>
      <c r="H2621" t="s">
        <v>27</v>
      </c>
      <c r="I2621">
        <v>8500</v>
      </c>
      <c r="J2621">
        <v>11050</v>
      </c>
      <c r="K2621">
        <v>2</v>
      </c>
      <c r="L2621">
        <v>17000</v>
      </c>
      <c r="M2621">
        <v>22100</v>
      </c>
      <c r="N2621" t="s">
        <v>35</v>
      </c>
      <c r="O2621">
        <f t="shared" si="80"/>
        <v>33150</v>
      </c>
      <c r="P2621" s="13">
        <f t="shared" si="81"/>
        <v>1866852</v>
      </c>
      <c r="Q2621" s="13">
        <f>SUMIFS(M:M,E:E,Online_eCommerce[[#This Row],[Status]])</f>
        <v>21103186</v>
      </c>
      <c r="R2621" s="13">
        <f>SUMIFS(L:L,H:H,Online_eCommerce[[#This Row],[Brand]])</f>
        <v>14431000</v>
      </c>
      <c r="S2621" s="13">
        <f>SUMIF(H:H,Online_eCommerce[[#This Row],[Brand]],M:M)</f>
        <v>18760300</v>
      </c>
      <c r="T2621" s="13">
        <f>SUMIF(N:N,Online_eCommerce[[#This Row],[Assigned Supervisor]],L:L)</f>
        <v>14373360</v>
      </c>
    </row>
    <row r="2622" spans="1:20" x14ac:dyDescent="0.3">
      <c r="A2622" t="s">
        <v>3892</v>
      </c>
      <c r="B2622" t="s">
        <v>276</v>
      </c>
      <c r="C2622" t="s">
        <v>110</v>
      </c>
      <c r="D2622" t="s">
        <v>3872</v>
      </c>
      <c r="E2622" t="s">
        <v>46</v>
      </c>
      <c r="F2622" t="s">
        <v>32</v>
      </c>
      <c r="G2622" t="s">
        <v>33</v>
      </c>
      <c r="H2622" t="s">
        <v>34</v>
      </c>
      <c r="I2622">
        <v>7000</v>
      </c>
      <c r="J2622">
        <v>9100</v>
      </c>
      <c r="K2622">
        <v>1</v>
      </c>
      <c r="L2622">
        <v>7000</v>
      </c>
      <c r="M2622">
        <v>9100</v>
      </c>
      <c r="N2622" t="s">
        <v>42</v>
      </c>
      <c r="O2622">
        <f t="shared" si="80"/>
        <v>18200</v>
      </c>
      <c r="P2622" s="13">
        <f t="shared" si="81"/>
        <v>2598635</v>
      </c>
      <c r="Q2622" s="13">
        <f>SUMIFS(M:M,E:E,Online_eCommerce[[#This Row],[Status]])</f>
        <v>28620410</v>
      </c>
      <c r="R2622" s="13">
        <f>SUMIFS(L:L,H:H,Online_eCommerce[[#This Row],[Brand]])</f>
        <v>10087000</v>
      </c>
      <c r="S2622" s="13">
        <f>SUMIF(H:H,Online_eCommerce[[#This Row],[Brand]],M:M)</f>
        <v>13113100</v>
      </c>
      <c r="T2622" s="13">
        <f>SUMIF(N:N,Online_eCommerce[[#This Row],[Assigned Supervisor]],L:L)</f>
        <v>12261500</v>
      </c>
    </row>
    <row r="2623" spans="1:20" hidden="1" x14ac:dyDescent="0.3">
      <c r="A2623" t="s">
        <v>3893</v>
      </c>
      <c r="B2623" t="s">
        <v>280</v>
      </c>
      <c r="C2623" t="s">
        <v>115</v>
      </c>
      <c r="D2623" t="s">
        <v>3872</v>
      </c>
      <c r="E2623" t="s">
        <v>96</v>
      </c>
      <c r="F2623" t="s">
        <v>3894</v>
      </c>
      <c r="G2623" t="s">
        <v>256</v>
      </c>
      <c r="H2623" t="s">
        <v>41</v>
      </c>
      <c r="I2623">
        <v>6550</v>
      </c>
      <c r="J2623">
        <v>8515</v>
      </c>
      <c r="K2623">
        <v>1</v>
      </c>
      <c r="L2623">
        <v>6550</v>
      </c>
      <c r="M2623">
        <v>8515</v>
      </c>
      <c r="N2623" t="s">
        <v>50</v>
      </c>
      <c r="O2623">
        <f t="shared" si="80"/>
        <v>9100</v>
      </c>
      <c r="P2623" s="13">
        <f t="shared" si="81"/>
        <v>2050178</v>
      </c>
      <c r="Q2623" s="13">
        <f>SUMIFS(M:M,E:E,Online_eCommerce[[#This Row],[Status]])</f>
        <v>21233992</v>
      </c>
      <c r="R2623" s="13">
        <f>SUMIFS(L:L,H:H,Online_eCommerce[[#This Row],[Brand]])</f>
        <v>4260400</v>
      </c>
      <c r="S2623" s="13">
        <f>SUMIF(H:H,Online_eCommerce[[#This Row],[Brand]],M:M)</f>
        <v>5538520</v>
      </c>
      <c r="T2623" s="13">
        <f>SUMIF(N:N,Online_eCommerce[[#This Row],[Assigned Supervisor]],L:L)</f>
        <v>12100590</v>
      </c>
    </row>
    <row r="2624" spans="1:20" hidden="1" x14ac:dyDescent="0.3">
      <c r="A2624" t="s">
        <v>3895</v>
      </c>
      <c r="B2624" t="s">
        <v>283</v>
      </c>
      <c r="C2624" t="s">
        <v>120</v>
      </c>
      <c r="D2624" t="s">
        <v>3872</v>
      </c>
      <c r="E2624" t="s">
        <v>18</v>
      </c>
      <c r="F2624" t="s">
        <v>47</v>
      </c>
      <c r="G2624" t="s">
        <v>259</v>
      </c>
      <c r="H2624" t="s">
        <v>49</v>
      </c>
      <c r="I2624">
        <v>7650</v>
      </c>
      <c r="J2624">
        <v>9945</v>
      </c>
      <c r="K2624">
        <v>1</v>
      </c>
      <c r="L2624">
        <v>7650</v>
      </c>
      <c r="M2624">
        <v>9945</v>
      </c>
      <c r="N2624" t="s">
        <v>56</v>
      </c>
      <c r="O2624">
        <f t="shared" si="80"/>
        <v>11700</v>
      </c>
      <c r="P2624" s="13">
        <f t="shared" si="81"/>
        <v>2734212</v>
      </c>
      <c r="Q2624" s="13">
        <f>SUMIFS(M:M,E:E,Online_eCommerce[[#This Row],[Status]])</f>
        <v>28340455</v>
      </c>
      <c r="R2624" s="13">
        <f>SUMIFS(L:L,H:H,Online_eCommerce[[#This Row],[Brand]])</f>
        <v>4528350</v>
      </c>
      <c r="S2624" s="13">
        <f>SUMIF(H:H,Online_eCommerce[[#This Row],[Brand]],M:M)</f>
        <v>5886855</v>
      </c>
      <c r="T2624" s="13">
        <f>SUMIF(N:N,Online_eCommerce[[#This Row],[Assigned Supervisor]],L:L)</f>
        <v>11733610</v>
      </c>
    </row>
    <row r="2625" spans="1:20" hidden="1" x14ac:dyDescent="0.3">
      <c r="A2625" t="s">
        <v>3896</v>
      </c>
      <c r="B2625" t="s">
        <v>287</v>
      </c>
      <c r="C2625" t="s">
        <v>125</v>
      </c>
      <c r="D2625" t="s">
        <v>3872</v>
      </c>
      <c r="E2625" t="s">
        <v>161</v>
      </c>
      <c r="F2625" t="s">
        <v>53</v>
      </c>
      <c r="G2625" t="s">
        <v>54</v>
      </c>
      <c r="H2625" t="s">
        <v>55</v>
      </c>
      <c r="I2625">
        <v>1150</v>
      </c>
      <c r="J2625">
        <v>1495</v>
      </c>
      <c r="K2625">
        <v>4</v>
      </c>
      <c r="L2625">
        <v>4600</v>
      </c>
      <c r="M2625">
        <v>5980</v>
      </c>
      <c r="N2625" t="s">
        <v>22</v>
      </c>
      <c r="O2625">
        <f t="shared" si="80"/>
        <v>2990</v>
      </c>
      <c r="P2625" s="13">
        <f t="shared" si="81"/>
        <v>2091154</v>
      </c>
      <c r="Q2625" s="13">
        <f>SUMIFS(M:M,E:E,Online_eCommerce[[#This Row],[Status]])</f>
        <v>21103186</v>
      </c>
      <c r="R2625" s="13">
        <f>SUMIFS(L:L,H:H,Online_eCommerce[[#This Row],[Brand]])</f>
        <v>2267380</v>
      </c>
      <c r="S2625" s="13">
        <f>SUMIF(H:H,Online_eCommerce[[#This Row],[Brand]],M:M)</f>
        <v>2947594</v>
      </c>
      <c r="T2625" s="13">
        <f>SUMIF(N:N,Online_eCommerce[[#This Row],[Assigned Supervisor]],L:L)</f>
        <v>13693220</v>
      </c>
    </row>
    <row r="2626" spans="1:20" x14ac:dyDescent="0.3">
      <c r="A2626" t="s">
        <v>3897</v>
      </c>
      <c r="B2626" t="s">
        <v>290</v>
      </c>
      <c r="C2626" t="s">
        <v>22</v>
      </c>
      <c r="D2626" t="s">
        <v>3872</v>
      </c>
      <c r="E2626" t="s">
        <v>46</v>
      </c>
      <c r="F2626" t="s">
        <v>59</v>
      </c>
      <c r="G2626" t="s">
        <v>60</v>
      </c>
      <c r="H2626" t="s">
        <v>61</v>
      </c>
      <c r="I2626">
        <v>850</v>
      </c>
      <c r="J2626">
        <v>1105</v>
      </c>
      <c r="K2626">
        <v>1</v>
      </c>
      <c r="L2626">
        <v>850</v>
      </c>
      <c r="M2626">
        <v>1105</v>
      </c>
      <c r="N2626" t="s">
        <v>28</v>
      </c>
      <c r="O2626">
        <f t="shared" ref="O2626:O2689" si="82">VLOOKUP(G2626,G:M,7,FALSE)</f>
        <v>3315</v>
      </c>
      <c r="P2626" s="13">
        <f t="shared" ref="P2626:P2689" si="83">SUMIFS(M:M,C:C,C2626)</f>
        <v>2551588</v>
      </c>
      <c r="Q2626" s="13">
        <f>SUMIFS(M:M,E:E,Online_eCommerce[[#This Row],[Status]])</f>
        <v>28620410</v>
      </c>
      <c r="R2626" s="13">
        <f>SUMIFS(L:L,H:H,Online_eCommerce[[#This Row],[Brand]])</f>
        <v>10950150</v>
      </c>
      <c r="S2626" s="13">
        <f>SUMIF(H:H,Online_eCommerce[[#This Row],[Brand]],M:M)</f>
        <v>14235195</v>
      </c>
      <c r="T2626" s="13">
        <f>SUMIF(N:N,Online_eCommerce[[#This Row],[Assigned Supervisor]],L:L)</f>
        <v>12220830</v>
      </c>
    </row>
    <row r="2627" spans="1:20" hidden="1" x14ac:dyDescent="0.3">
      <c r="A2627" t="s">
        <v>3898</v>
      </c>
      <c r="B2627" t="s">
        <v>15</v>
      </c>
      <c r="C2627" t="s">
        <v>132</v>
      </c>
      <c r="D2627" t="s">
        <v>3872</v>
      </c>
      <c r="E2627" t="s">
        <v>96</v>
      </c>
      <c r="F2627" t="s">
        <v>65</v>
      </c>
      <c r="G2627" t="s">
        <v>66</v>
      </c>
      <c r="H2627" t="s">
        <v>21</v>
      </c>
      <c r="I2627">
        <v>650</v>
      </c>
      <c r="J2627">
        <v>845</v>
      </c>
      <c r="K2627">
        <v>4</v>
      </c>
      <c r="L2627">
        <v>2600</v>
      </c>
      <c r="M2627">
        <v>3380</v>
      </c>
      <c r="N2627" t="s">
        <v>35</v>
      </c>
      <c r="O2627">
        <f t="shared" si="82"/>
        <v>1690</v>
      </c>
      <c r="P2627" s="13">
        <f t="shared" si="83"/>
        <v>1989065</v>
      </c>
      <c r="Q2627" s="13">
        <f>SUMIFS(M:M,E:E,Online_eCommerce[[#This Row],[Status]])</f>
        <v>21233992</v>
      </c>
      <c r="R2627" s="13">
        <f>SUMIFS(L:L,H:H,Online_eCommerce[[#This Row],[Brand]])</f>
        <v>12435650</v>
      </c>
      <c r="S2627" s="13">
        <f>SUMIF(H:H,Online_eCommerce[[#This Row],[Brand]],M:M)</f>
        <v>16166345</v>
      </c>
      <c r="T2627" s="13">
        <f>SUMIF(N:N,Online_eCommerce[[#This Row],[Assigned Supervisor]],L:L)</f>
        <v>14373360</v>
      </c>
    </row>
    <row r="2628" spans="1:20" hidden="1" x14ac:dyDescent="0.3">
      <c r="A2628" t="s">
        <v>3899</v>
      </c>
      <c r="B2628" t="s">
        <v>202</v>
      </c>
      <c r="C2628" t="s">
        <v>136</v>
      </c>
      <c r="D2628" t="s">
        <v>3872</v>
      </c>
      <c r="E2628" t="s">
        <v>18</v>
      </c>
      <c r="F2628" t="s">
        <v>70</v>
      </c>
      <c r="G2628" t="s">
        <v>71</v>
      </c>
      <c r="H2628" t="s">
        <v>61</v>
      </c>
      <c r="I2628">
        <v>7500</v>
      </c>
      <c r="J2628">
        <v>9750</v>
      </c>
      <c r="K2628">
        <v>3</v>
      </c>
      <c r="L2628">
        <v>22500</v>
      </c>
      <c r="M2628">
        <v>29250</v>
      </c>
      <c r="N2628" t="s">
        <v>42</v>
      </c>
      <c r="O2628">
        <f t="shared" si="82"/>
        <v>9750</v>
      </c>
      <c r="P2628" s="13">
        <f t="shared" si="83"/>
        <v>2775162</v>
      </c>
      <c r="Q2628" s="13">
        <f>SUMIFS(M:M,E:E,Online_eCommerce[[#This Row],[Status]])</f>
        <v>28340455</v>
      </c>
      <c r="R2628" s="13">
        <f>SUMIFS(L:L,H:H,Online_eCommerce[[#This Row],[Brand]])</f>
        <v>10950150</v>
      </c>
      <c r="S2628" s="13">
        <f>SUMIF(H:H,Online_eCommerce[[#This Row],[Brand]],M:M)</f>
        <v>14235195</v>
      </c>
      <c r="T2628" s="13">
        <f>SUMIF(N:N,Online_eCommerce[[#This Row],[Assigned Supervisor]],L:L)</f>
        <v>12261500</v>
      </c>
    </row>
    <row r="2629" spans="1:20" hidden="1" x14ac:dyDescent="0.3">
      <c r="A2629" t="s">
        <v>3900</v>
      </c>
      <c r="B2629" t="s">
        <v>30</v>
      </c>
      <c r="C2629" t="s">
        <v>140</v>
      </c>
      <c r="D2629" t="s">
        <v>3872</v>
      </c>
      <c r="E2629" t="s">
        <v>161</v>
      </c>
      <c r="F2629" t="s">
        <v>3887</v>
      </c>
      <c r="G2629" t="s">
        <v>77</v>
      </c>
      <c r="H2629" t="s">
        <v>78</v>
      </c>
      <c r="I2629">
        <v>10000</v>
      </c>
      <c r="J2629">
        <v>13000</v>
      </c>
      <c r="K2629">
        <v>4</v>
      </c>
      <c r="L2629">
        <v>40000</v>
      </c>
      <c r="M2629">
        <v>52000</v>
      </c>
      <c r="N2629" t="s">
        <v>50</v>
      </c>
      <c r="O2629">
        <f t="shared" si="82"/>
        <v>39000</v>
      </c>
      <c r="P2629" s="13">
        <f t="shared" si="83"/>
        <v>2058264</v>
      </c>
      <c r="Q2629" s="13">
        <f>SUMIFS(M:M,E:E,Online_eCommerce[[#This Row],[Status]])</f>
        <v>21103186</v>
      </c>
      <c r="R2629" s="13">
        <f>SUMIFS(L:L,H:H,Online_eCommerce[[#This Row],[Brand]])</f>
        <v>3720000</v>
      </c>
      <c r="S2629" s="13">
        <f>SUMIF(H:H,Online_eCommerce[[#This Row],[Brand]],M:M)</f>
        <v>4836000</v>
      </c>
      <c r="T2629" s="13">
        <f>SUMIF(N:N,Online_eCommerce[[#This Row],[Assigned Supervisor]],L:L)</f>
        <v>12100590</v>
      </c>
    </row>
    <row r="2630" spans="1:20" x14ac:dyDescent="0.3">
      <c r="A2630" t="s">
        <v>3901</v>
      </c>
      <c r="B2630" t="s">
        <v>37</v>
      </c>
      <c r="C2630" t="s">
        <v>145</v>
      </c>
      <c r="D2630" t="s">
        <v>3872</v>
      </c>
      <c r="E2630" t="s">
        <v>46</v>
      </c>
      <c r="F2630" t="s">
        <v>3902</v>
      </c>
      <c r="G2630" t="s">
        <v>20</v>
      </c>
      <c r="H2630" t="s">
        <v>21</v>
      </c>
      <c r="I2630">
        <v>10500</v>
      </c>
      <c r="J2630">
        <v>13650</v>
      </c>
      <c r="K2630">
        <v>2</v>
      </c>
      <c r="L2630">
        <v>21000</v>
      </c>
      <c r="M2630">
        <v>27300</v>
      </c>
      <c r="N2630" t="s">
        <v>56</v>
      </c>
      <c r="O2630">
        <f t="shared" si="82"/>
        <v>8450</v>
      </c>
      <c r="P2630" s="13">
        <f t="shared" si="83"/>
        <v>2757859</v>
      </c>
      <c r="Q2630" s="13">
        <f>SUMIFS(M:M,E:E,Online_eCommerce[[#This Row],[Status]])</f>
        <v>28620410</v>
      </c>
      <c r="R2630" s="13">
        <f>SUMIFS(L:L,H:H,Online_eCommerce[[#This Row],[Brand]])</f>
        <v>12435650</v>
      </c>
      <c r="S2630" s="13">
        <f>SUMIF(H:H,Online_eCommerce[[#This Row],[Brand]],M:M)</f>
        <v>16166345</v>
      </c>
      <c r="T2630" s="13">
        <f>SUMIF(N:N,Online_eCommerce[[#This Row],[Assigned Supervisor]],L:L)</f>
        <v>11733610</v>
      </c>
    </row>
    <row r="2631" spans="1:20" hidden="1" x14ac:dyDescent="0.3">
      <c r="A2631" t="s">
        <v>3903</v>
      </c>
      <c r="B2631" t="s">
        <v>44</v>
      </c>
      <c r="C2631" t="s">
        <v>150</v>
      </c>
      <c r="D2631" t="s">
        <v>3872</v>
      </c>
      <c r="E2631" t="s">
        <v>96</v>
      </c>
      <c r="F2631" t="s">
        <v>88</v>
      </c>
      <c r="G2631" t="s">
        <v>26</v>
      </c>
      <c r="H2631" t="s">
        <v>27</v>
      </c>
      <c r="I2631">
        <v>8500</v>
      </c>
      <c r="J2631">
        <v>11050</v>
      </c>
      <c r="K2631">
        <v>4</v>
      </c>
      <c r="L2631">
        <v>34000</v>
      </c>
      <c r="M2631">
        <v>44200</v>
      </c>
      <c r="N2631" t="s">
        <v>22</v>
      </c>
      <c r="O2631">
        <f t="shared" si="82"/>
        <v>33150</v>
      </c>
      <c r="P2631" s="13">
        <f t="shared" si="83"/>
        <v>2154984</v>
      </c>
      <c r="Q2631" s="13">
        <f>SUMIFS(M:M,E:E,Online_eCommerce[[#This Row],[Status]])</f>
        <v>21233992</v>
      </c>
      <c r="R2631" s="13">
        <f>SUMIFS(L:L,H:H,Online_eCommerce[[#This Row],[Brand]])</f>
        <v>14431000</v>
      </c>
      <c r="S2631" s="13">
        <f>SUMIF(H:H,Online_eCommerce[[#This Row],[Brand]],M:M)</f>
        <v>18760300</v>
      </c>
      <c r="T2631" s="13">
        <f>SUMIF(N:N,Online_eCommerce[[#This Row],[Assigned Supervisor]],L:L)</f>
        <v>13693220</v>
      </c>
    </row>
    <row r="2632" spans="1:20" hidden="1" x14ac:dyDescent="0.3">
      <c r="A2632" t="s">
        <v>3904</v>
      </c>
      <c r="B2632" t="s">
        <v>213</v>
      </c>
      <c r="C2632" t="s">
        <v>155</v>
      </c>
      <c r="D2632" t="s">
        <v>3872</v>
      </c>
      <c r="E2632" t="s">
        <v>18</v>
      </c>
      <c r="F2632" t="s">
        <v>32</v>
      </c>
      <c r="G2632" t="s">
        <v>33</v>
      </c>
      <c r="H2632" t="s">
        <v>34</v>
      </c>
      <c r="I2632">
        <v>7000</v>
      </c>
      <c r="J2632">
        <v>9100</v>
      </c>
      <c r="K2632">
        <v>2</v>
      </c>
      <c r="L2632">
        <v>14000</v>
      </c>
      <c r="M2632">
        <v>18200</v>
      </c>
      <c r="N2632" t="s">
        <v>28</v>
      </c>
      <c r="O2632">
        <f t="shared" si="82"/>
        <v>18200</v>
      </c>
      <c r="P2632" s="13">
        <f t="shared" si="83"/>
        <v>2753348</v>
      </c>
      <c r="Q2632" s="13">
        <f>SUMIFS(M:M,E:E,Online_eCommerce[[#This Row],[Status]])</f>
        <v>28340455</v>
      </c>
      <c r="R2632" s="13">
        <f>SUMIFS(L:L,H:H,Online_eCommerce[[#This Row],[Brand]])</f>
        <v>10087000</v>
      </c>
      <c r="S2632" s="13">
        <f>SUMIF(H:H,Online_eCommerce[[#This Row],[Brand]],M:M)</f>
        <v>13113100</v>
      </c>
      <c r="T2632" s="13">
        <f>SUMIF(N:N,Online_eCommerce[[#This Row],[Assigned Supervisor]],L:L)</f>
        <v>12220830</v>
      </c>
    </row>
    <row r="2633" spans="1:20" hidden="1" x14ac:dyDescent="0.3">
      <c r="A2633" t="s">
        <v>3905</v>
      </c>
      <c r="B2633" t="s">
        <v>215</v>
      </c>
      <c r="C2633" t="s">
        <v>160</v>
      </c>
      <c r="D2633" t="s">
        <v>3872</v>
      </c>
      <c r="E2633" t="s">
        <v>161</v>
      </c>
      <c r="F2633" t="s">
        <v>3906</v>
      </c>
      <c r="G2633" t="s">
        <v>256</v>
      </c>
      <c r="H2633" t="s">
        <v>41</v>
      </c>
      <c r="I2633">
        <v>1680</v>
      </c>
      <c r="J2633">
        <v>2184</v>
      </c>
      <c r="K2633">
        <v>1</v>
      </c>
      <c r="L2633">
        <v>1680</v>
      </c>
      <c r="M2633">
        <v>2184</v>
      </c>
      <c r="N2633" t="s">
        <v>35</v>
      </c>
      <c r="O2633">
        <f t="shared" si="82"/>
        <v>9100</v>
      </c>
      <c r="P2633" s="13">
        <f t="shared" si="83"/>
        <v>2303483</v>
      </c>
      <c r="Q2633" s="13">
        <f>SUMIFS(M:M,E:E,Online_eCommerce[[#This Row],[Status]])</f>
        <v>21103186</v>
      </c>
      <c r="R2633" s="13">
        <f>SUMIFS(L:L,H:H,Online_eCommerce[[#This Row],[Brand]])</f>
        <v>4260400</v>
      </c>
      <c r="S2633" s="13">
        <f>SUMIF(H:H,Online_eCommerce[[#This Row],[Brand]],M:M)</f>
        <v>5538520</v>
      </c>
      <c r="T2633" s="13">
        <f>SUMIF(N:N,Online_eCommerce[[#This Row],[Assigned Supervisor]],L:L)</f>
        <v>14373360</v>
      </c>
    </row>
    <row r="2634" spans="1:20" x14ac:dyDescent="0.3">
      <c r="A2634" t="s">
        <v>3907</v>
      </c>
      <c r="B2634" t="s">
        <v>306</v>
      </c>
      <c r="C2634" t="s">
        <v>165</v>
      </c>
      <c r="D2634" t="s">
        <v>3872</v>
      </c>
      <c r="E2634" t="s">
        <v>46</v>
      </c>
      <c r="F2634" t="s">
        <v>101</v>
      </c>
      <c r="G2634" t="s">
        <v>259</v>
      </c>
      <c r="H2634" t="s">
        <v>102</v>
      </c>
      <c r="I2634">
        <v>6540</v>
      </c>
      <c r="J2634">
        <v>8502</v>
      </c>
      <c r="K2634">
        <v>3</v>
      </c>
      <c r="L2634">
        <v>19620</v>
      </c>
      <c r="M2634">
        <v>25506</v>
      </c>
      <c r="N2634" t="s">
        <v>42</v>
      </c>
      <c r="O2634">
        <f t="shared" si="82"/>
        <v>11700</v>
      </c>
      <c r="P2634" s="13">
        <f t="shared" si="83"/>
        <v>2674087</v>
      </c>
      <c r="Q2634" s="13">
        <f>SUMIFS(M:M,E:E,Online_eCommerce[[#This Row],[Status]])</f>
        <v>28620410</v>
      </c>
      <c r="R2634" s="13">
        <f>SUMIFS(L:L,H:H,Online_eCommerce[[#This Row],[Brand]])</f>
        <v>2465580</v>
      </c>
      <c r="S2634" s="13">
        <f>SUMIF(H:H,Online_eCommerce[[#This Row],[Brand]],M:M)</f>
        <v>3205254</v>
      </c>
      <c r="T2634" s="13">
        <f>SUMIF(N:N,Online_eCommerce[[#This Row],[Assigned Supervisor]],L:L)</f>
        <v>12261500</v>
      </c>
    </row>
    <row r="2635" spans="1:20" hidden="1" x14ac:dyDescent="0.3">
      <c r="A2635" t="s">
        <v>3908</v>
      </c>
      <c r="B2635" t="s">
        <v>528</v>
      </c>
      <c r="C2635" t="s">
        <v>168</v>
      </c>
      <c r="D2635" t="s">
        <v>3872</v>
      </c>
      <c r="E2635" t="s">
        <v>96</v>
      </c>
      <c r="F2635" t="s">
        <v>107</v>
      </c>
      <c r="G2635" t="s">
        <v>54</v>
      </c>
      <c r="H2635" t="s">
        <v>55</v>
      </c>
      <c r="I2635">
        <v>2680</v>
      </c>
      <c r="J2635">
        <v>3484</v>
      </c>
      <c r="K2635">
        <v>4</v>
      </c>
      <c r="L2635">
        <v>10720</v>
      </c>
      <c r="M2635">
        <v>13936</v>
      </c>
      <c r="N2635" t="s">
        <v>50</v>
      </c>
      <c r="O2635">
        <f t="shared" si="82"/>
        <v>2990</v>
      </c>
      <c r="P2635" s="13">
        <f t="shared" si="83"/>
        <v>1937780</v>
      </c>
      <c r="Q2635" s="13">
        <f>SUMIFS(M:M,E:E,Online_eCommerce[[#This Row],[Status]])</f>
        <v>21233992</v>
      </c>
      <c r="R2635" s="13">
        <f>SUMIFS(L:L,H:H,Online_eCommerce[[#This Row],[Brand]])</f>
        <v>2267380</v>
      </c>
      <c r="S2635" s="13">
        <f>SUMIF(H:H,Online_eCommerce[[#This Row],[Brand]],M:M)</f>
        <v>2947594</v>
      </c>
      <c r="T2635" s="13">
        <f>SUMIF(N:N,Online_eCommerce[[#This Row],[Assigned Supervisor]],L:L)</f>
        <v>12100590</v>
      </c>
    </row>
    <row r="2636" spans="1:20" hidden="1" x14ac:dyDescent="0.3">
      <c r="A2636" t="s">
        <v>3909</v>
      </c>
      <c r="B2636" t="s">
        <v>73</v>
      </c>
      <c r="C2636" t="s">
        <v>172</v>
      </c>
      <c r="D2636" t="s">
        <v>3872</v>
      </c>
      <c r="E2636" t="s">
        <v>18</v>
      </c>
      <c r="F2636" t="s">
        <v>112</v>
      </c>
      <c r="G2636" t="s">
        <v>71</v>
      </c>
      <c r="H2636" t="s">
        <v>21</v>
      </c>
      <c r="I2636">
        <v>8250</v>
      </c>
      <c r="J2636">
        <v>10725</v>
      </c>
      <c r="K2636">
        <v>1</v>
      </c>
      <c r="L2636">
        <v>8250</v>
      </c>
      <c r="M2636">
        <v>10725</v>
      </c>
      <c r="N2636" t="s">
        <v>56</v>
      </c>
      <c r="O2636">
        <f t="shared" si="82"/>
        <v>9750</v>
      </c>
      <c r="P2636" s="13">
        <f t="shared" si="83"/>
        <v>2640274</v>
      </c>
      <c r="Q2636" s="13">
        <f>SUMIFS(M:M,E:E,Online_eCommerce[[#This Row],[Status]])</f>
        <v>28340455</v>
      </c>
      <c r="R2636" s="13">
        <f>SUMIFS(L:L,H:H,Online_eCommerce[[#This Row],[Brand]])</f>
        <v>12435650</v>
      </c>
      <c r="S2636" s="13">
        <f>SUMIF(H:H,Online_eCommerce[[#This Row],[Brand]],M:M)</f>
        <v>16166345</v>
      </c>
      <c r="T2636" s="13">
        <f>SUMIF(N:N,Online_eCommerce[[#This Row],[Assigned Supervisor]],L:L)</f>
        <v>11733610</v>
      </c>
    </row>
    <row r="2637" spans="1:20" hidden="1" x14ac:dyDescent="0.3">
      <c r="A2637" t="s">
        <v>3910</v>
      </c>
      <c r="B2637" t="s">
        <v>80</v>
      </c>
      <c r="C2637" t="s">
        <v>177</v>
      </c>
      <c r="D2637" t="s">
        <v>3872</v>
      </c>
      <c r="E2637" t="s">
        <v>161</v>
      </c>
      <c r="F2637" t="s">
        <v>3522</v>
      </c>
      <c r="G2637" t="s">
        <v>40</v>
      </c>
      <c r="H2637" t="s">
        <v>21</v>
      </c>
      <c r="I2637">
        <v>2650</v>
      </c>
      <c r="J2637">
        <v>3445</v>
      </c>
      <c r="K2637">
        <v>4</v>
      </c>
      <c r="L2637">
        <v>10600</v>
      </c>
      <c r="M2637">
        <v>13780</v>
      </c>
      <c r="N2637" t="s">
        <v>22</v>
      </c>
      <c r="O2637">
        <f t="shared" si="82"/>
        <v>25545</v>
      </c>
      <c r="P2637" s="13">
        <f t="shared" si="83"/>
        <v>1863810</v>
      </c>
      <c r="Q2637" s="13">
        <f>SUMIFS(M:M,E:E,Online_eCommerce[[#This Row],[Status]])</f>
        <v>21103186</v>
      </c>
      <c r="R2637" s="13">
        <f>SUMIFS(L:L,H:H,Online_eCommerce[[#This Row],[Brand]])</f>
        <v>12435650</v>
      </c>
      <c r="S2637" s="13">
        <f>SUMIF(H:H,Online_eCommerce[[#This Row],[Brand]],M:M)</f>
        <v>16166345</v>
      </c>
      <c r="T2637" s="13">
        <f>SUMIF(N:N,Online_eCommerce[[#This Row],[Assigned Supervisor]],L:L)</f>
        <v>13693220</v>
      </c>
    </row>
    <row r="2638" spans="1:20" x14ac:dyDescent="0.3">
      <c r="A2638" t="s">
        <v>3911</v>
      </c>
      <c r="B2638" t="s">
        <v>85</v>
      </c>
      <c r="C2638" t="s">
        <v>181</v>
      </c>
      <c r="D2638" t="s">
        <v>3872</v>
      </c>
      <c r="E2638" t="s">
        <v>46</v>
      </c>
      <c r="F2638" t="s">
        <v>121</v>
      </c>
      <c r="G2638" t="s">
        <v>71</v>
      </c>
      <c r="H2638" t="s">
        <v>122</v>
      </c>
      <c r="I2638">
        <v>12550</v>
      </c>
      <c r="J2638">
        <v>16315</v>
      </c>
      <c r="K2638">
        <v>3</v>
      </c>
      <c r="L2638">
        <v>37650</v>
      </c>
      <c r="M2638">
        <v>48945</v>
      </c>
      <c r="N2638" t="s">
        <v>22</v>
      </c>
      <c r="O2638">
        <f t="shared" si="82"/>
        <v>9750</v>
      </c>
      <c r="P2638" s="13">
        <f t="shared" si="83"/>
        <v>2577458</v>
      </c>
      <c r="Q2638" s="13">
        <f>SUMIFS(M:M,E:E,Online_eCommerce[[#This Row],[Status]])</f>
        <v>28620410</v>
      </c>
      <c r="R2638" s="13">
        <f>SUMIFS(L:L,H:H,Online_eCommerce[[#This Row],[Brand]])</f>
        <v>5045100</v>
      </c>
      <c r="S2638" s="13">
        <f>SUMIF(H:H,Online_eCommerce[[#This Row],[Brand]],M:M)</f>
        <v>6558630</v>
      </c>
      <c r="T2638" s="13">
        <f>SUMIF(N:N,Online_eCommerce[[#This Row],[Assigned Supervisor]],L:L)</f>
        <v>13693220</v>
      </c>
    </row>
    <row r="2639" spans="1:20" hidden="1" x14ac:dyDescent="0.3">
      <c r="A2639" t="s">
        <v>3912</v>
      </c>
      <c r="B2639" t="s">
        <v>90</v>
      </c>
      <c r="C2639" t="s">
        <v>185</v>
      </c>
      <c r="D2639" t="s">
        <v>3872</v>
      </c>
      <c r="E2639" t="s">
        <v>96</v>
      </c>
      <c r="F2639" t="s">
        <v>126</v>
      </c>
      <c r="G2639" t="s">
        <v>26</v>
      </c>
      <c r="H2639" t="s">
        <v>27</v>
      </c>
      <c r="I2639">
        <v>14500</v>
      </c>
      <c r="J2639">
        <v>18850</v>
      </c>
      <c r="K2639">
        <v>3</v>
      </c>
      <c r="L2639">
        <v>43500</v>
      </c>
      <c r="M2639">
        <v>56550</v>
      </c>
      <c r="N2639" t="s">
        <v>28</v>
      </c>
      <c r="O2639">
        <f t="shared" si="82"/>
        <v>33150</v>
      </c>
      <c r="P2639" s="13">
        <f t="shared" si="83"/>
        <v>2091596</v>
      </c>
      <c r="Q2639" s="13">
        <f>SUMIFS(M:M,E:E,Online_eCommerce[[#This Row],[Status]])</f>
        <v>21233992</v>
      </c>
      <c r="R2639" s="13">
        <f>SUMIFS(L:L,H:H,Online_eCommerce[[#This Row],[Brand]])</f>
        <v>14431000</v>
      </c>
      <c r="S2639" s="13">
        <f>SUMIF(H:H,Online_eCommerce[[#This Row],[Brand]],M:M)</f>
        <v>18760300</v>
      </c>
      <c r="T2639" s="13">
        <f>SUMIF(N:N,Online_eCommerce[[#This Row],[Assigned Supervisor]],L:L)</f>
        <v>12220830</v>
      </c>
    </row>
    <row r="2640" spans="1:20" hidden="1" x14ac:dyDescent="0.3">
      <c r="A2640" t="s">
        <v>3913</v>
      </c>
      <c r="B2640" t="s">
        <v>232</v>
      </c>
      <c r="C2640" t="s">
        <v>189</v>
      </c>
      <c r="D2640" t="s">
        <v>3872</v>
      </c>
      <c r="E2640" t="s">
        <v>18</v>
      </c>
      <c r="F2640" t="s">
        <v>129</v>
      </c>
      <c r="G2640" t="s">
        <v>60</v>
      </c>
      <c r="H2640" t="s">
        <v>61</v>
      </c>
      <c r="I2640">
        <v>800</v>
      </c>
      <c r="J2640">
        <v>1040</v>
      </c>
      <c r="K2640">
        <v>2</v>
      </c>
      <c r="L2640">
        <v>1600</v>
      </c>
      <c r="M2640">
        <v>2080</v>
      </c>
      <c r="N2640" t="s">
        <v>35</v>
      </c>
      <c r="O2640">
        <f t="shared" si="82"/>
        <v>3315</v>
      </c>
      <c r="P2640" s="13">
        <f t="shared" si="83"/>
        <v>2740777</v>
      </c>
      <c r="Q2640" s="13">
        <f>SUMIFS(M:M,E:E,Online_eCommerce[[#This Row],[Status]])</f>
        <v>28340455</v>
      </c>
      <c r="R2640" s="13">
        <f>SUMIFS(L:L,H:H,Online_eCommerce[[#This Row],[Brand]])</f>
        <v>10950150</v>
      </c>
      <c r="S2640" s="13">
        <f>SUMIF(H:H,Online_eCommerce[[#This Row],[Brand]],M:M)</f>
        <v>14235195</v>
      </c>
      <c r="T2640" s="13">
        <f>SUMIF(N:N,Online_eCommerce[[#This Row],[Assigned Supervisor]],L:L)</f>
        <v>14373360</v>
      </c>
    </row>
    <row r="2641" spans="1:20" hidden="1" x14ac:dyDescent="0.3">
      <c r="A2641" t="s">
        <v>3914</v>
      </c>
      <c r="B2641" t="s">
        <v>235</v>
      </c>
      <c r="C2641" t="s">
        <v>193</v>
      </c>
      <c r="D2641" t="s">
        <v>3872</v>
      </c>
      <c r="E2641" t="s">
        <v>161</v>
      </c>
      <c r="F2641" t="s">
        <v>133</v>
      </c>
      <c r="G2641" t="s">
        <v>66</v>
      </c>
      <c r="H2641" t="s">
        <v>21</v>
      </c>
      <c r="I2641">
        <v>600</v>
      </c>
      <c r="J2641">
        <v>780</v>
      </c>
      <c r="K2641">
        <v>3</v>
      </c>
      <c r="L2641">
        <v>1800</v>
      </c>
      <c r="M2641">
        <v>2340</v>
      </c>
      <c r="N2641" t="s">
        <v>42</v>
      </c>
      <c r="O2641">
        <f t="shared" si="82"/>
        <v>1690</v>
      </c>
      <c r="P2641" s="13">
        <f t="shared" si="83"/>
        <v>2074774</v>
      </c>
      <c r="Q2641" s="13">
        <f>SUMIFS(M:M,E:E,Online_eCommerce[[#This Row],[Status]])</f>
        <v>21103186</v>
      </c>
      <c r="R2641" s="13">
        <f>SUMIFS(L:L,H:H,Online_eCommerce[[#This Row],[Brand]])</f>
        <v>12435650</v>
      </c>
      <c r="S2641" s="13">
        <f>SUMIF(H:H,Online_eCommerce[[#This Row],[Brand]],M:M)</f>
        <v>16166345</v>
      </c>
      <c r="T2641" s="13">
        <f>SUMIF(N:N,Online_eCommerce[[#This Row],[Assigned Supervisor]],L:L)</f>
        <v>12261500</v>
      </c>
    </row>
    <row r="2642" spans="1:20" x14ac:dyDescent="0.3">
      <c r="A2642" t="s">
        <v>3915</v>
      </c>
      <c r="B2642" t="s">
        <v>104</v>
      </c>
      <c r="C2642" t="s">
        <v>197</v>
      </c>
      <c r="D2642" t="s">
        <v>3872</v>
      </c>
      <c r="E2642" t="s">
        <v>46</v>
      </c>
      <c r="F2642" t="s">
        <v>137</v>
      </c>
      <c r="G2642" t="s">
        <v>71</v>
      </c>
      <c r="H2642" t="s">
        <v>61</v>
      </c>
      <c r="I2642">
        <v>10500</v>
      </c>
      <c r="J2642">
        <v>13650</v>
      </c>
      <c r="K2642">
        <v>3</v>
      </c>
      <c r="L2642">
        <v>31500</v>
      </c>
      <c r="M2642">
        <v>40950</v>
      </c>
      <c r="N2642" t="s">
        <v>50</v>
      </c>
      <c r="O2642">
        <f t="shared" si="82"/>
        <v>9750</v>
      </c>
      <c r="P2642" s="13">
        <f t="shared" si="83"/>
        <v>2829840</v>
      </c>
      <c r="Q2642" s="13">
        <f>SUMIFS(M:M,E:E,Online_eCommerce[[#This Row],[Status]])</f>
        <v>28620410</v>
      </c>
      <c r="R2642" s="13">
        <f>SUMIFS(L:L,H:H,Online_eCommerce[[#This Row],[Brand]])</f>
        <v>10950150</v>
      </c>
      <c r="S2642" s="13">
        <f>SUMIF(H:H,Online_eCommerce[[#This Row],[Brand]],M:M)</f>
        <v>14235195</v>
      </c>
      <c r="T2642" s="13">
        <f>SUMIF(N:N,Online_eCommerce[[#This Row],[Assigned Supervisor]],L:L)</f>
        <v>12100590</v>
      </c>
    </row>
    <row r="2643" spans="1:20" hidden="1" x14ac:dyDescent="0.3">
      <c r="A2643" t="s">
        <v>3916</v>
      </c>
      <c r="B2643" t="s">
        <v>109</v>
      </c>
      <c r="C2643" t="s">
        <v>199</v>
      </c>
      <c r="D2643" t="s">
        <v>3872</v>
      </c>
      <c r="E2643" t="s">
        <v>96</v>
      </c>
      <c r="F2643" t="s">
        <v>3887</v>
      </c>
      <c r="G2643" t="s">
        <v>77</v>
      </c>
      <c r="H2643" t="s">
        <v>142</v>
      </c>
      <c r="I2643">
        <v>6500</v>
      </c>
      <c r="J2643">
        <v>8450</v>
      </c>
      <c r="K2643">
        <v>1</v>
      </c>
      <c r="L2643">
        <v>6500</v>
      </c>
      <c r="M2643">
        <v>8450</v>
      </c>
      <c r="N2643" t="s">
        <v>56</v>
      </c>
      <c r="O2643">
        <f t="shared" si="82"/>
        <v>39000</v>
      </c>
      <c r="P2643" s="13">
        <f t="shared" si="83"/>
        <v>1947361</v>
      </c>
      <c r="Q2643" s="13">
        <f>SUMIFS(M:M,E:E,Online_eCommerce[[#This Row],[Status]])</f>
        <v>21233992</v>
      </c>
      <c r="R2643" s="13">
        <f>SUMIFS(L:L,H:H,Online_eCommerce[[#This Row],[Brand]])</f>
        <v>6192500</v>
      </c>
      <c r="S2643" s="13">
        <f>SUMIF(H:H,Online_eCommerce[[#This Row],[Brand]],M:M)</f>
        <v>8050250</v>
      </c>
      <c r="T2643" s="13">
        <f>SUMIF(N:N,Online_eCommerce[[#This Row],[Assigned Supervisor]],L:L)</f>
        <v>11733610</v>
      </c>
    </row>
    <row r="2644" spans="1:20" hidden="1" x14ac:dyDescent="0.3">
      <c r="A2644" t="s">
        <v>3917</v>
      </c>
      <c r="B2644" t="s">
        <v>114</v>
      </c>
      <c r="C2644" t="s">
        <v>203</v>
      </c>
      <c r="D2644" t="s">
        <v>3872</v>
      </c>
      <c r="E2644" t="s">
        <v>18</v>
      </c>
      <c r="F2644" t="s">
        <v>3918</v>
      </c>
      <c r="G2644" t="s">
        <v>20</v>
      </c>
      <c r="H2644" t="s">
        <v>21</v>
      </c>
      <c r="I2644">
        <v>4500</v>
      </c>
      <c r="J2644">
        <v>5850</v>
      </c>
      <c r="K2644">
        <v>2</v>
      </c>
      <c r="L2644">
        <v>9000</v>
      </c>
      <c r="M2644">
        <v>11700</v>
      </c>
      <c r="N2644" t="s">
        <v>22</v>
      </c>
      <c r="O2644">
        <f t="shared" si="82"/>
        <v>8450</v>
      </c>
      <c r="P2644" s="13">
        <f t="shared" si="83"/>
        <v>2559635</v>
      </c>
      <c r="Q2644" s="13">
        <f>SUMIFS(M:M,E:E,Online_eCommerce[[#This Row],[Status]])</f>
        <v>28340455</v>
      </c>
      <c r="R2644" s="13">
        <f>SUMIFS(L:L,H:H,Online_eCommerce[[#This Row],[Brand]])</f>
        <v>12435650</v>
      </c>
      <c r="S2644" s="13">
        <f>SUMIF(H:H,Online_eCommerce[[#This Row],[Brand]],M:M)</f>
        <v>16166345</v>
      </c>
      <c r="T2644" s="13">
        <f>SUMIF(N:N,Online_eCommerce[[#This Row],[Assigned Supervisor]],L:L)</f>
        <v>13693220</v>
      </c>
    </row>
    <row r="2645" spans="1:20" hidden="1" x14ac:dyDescent="0.3">
      <c r="A2645" t="s">
        <v>3919</v>
      </c>
      <c r="B2645" t="s">
        <v>119</v>
      </c>
      <c r="C2645" t="s">
        <v>205</v>
      </c>
      <c r="D2645" t="s">
        <v>3920</v>
      </c>
      <c r="E2645" t="s">
        <v>161</v>
      </c>
      <c r="F2645" t="s">
        <v>152</v>
      </c>
      <c r="G2645" t="s">
        <v>26</v>
      </c>
      <c r="H2645" t="s">
        <v>27</v>
      </c>
      <c r="I2645">
        <v>8500</v>
      </c>
      <c r="J2645">
        <v>11050</v>
      </c>
      <c r="K2645">
        <v>1</v>
      </c>
      <c r="L2645">
        <v>8500</v>
      </c>
      <c r="M2645">
        <v>11050</v>
      </c>
      <c r="N2645" t="s">
        <v>28</v>
      </c>
      <c r="O2645">
        <f t="shared" si="82"/>
        <v>33150</v>
      </c>
      <c r="P2645" s="13">
        <f t="shared" si="83"/>
        <v>1983254</v>
      </c>
      <c r="Q2645" s="13">
        <f>SUMIFS(M:M,E:E,Online_eCommerce[[#This Row],[Status]])</f>
        <v>21103186</v>
      </c>
      <c r="R2645" s="13">
        <f>SUMIFS(L:L,H:H,Online_eCommerce[[#This Row],[Brand]])</f>
        <v>14431000</v>
      </c>
      <c r="S2645" s="13">
        <f>SUMIF(H:H,Online_eCommerce[[#This Row],[Brand]],M:M)</f>
        <v>18760300</v>
      </c>
      <c r="T2645" s="13">
        <f>SUMIF(N:N,Online_eCommerce[[#This Row],[Assigned Supervisor]],L:L)</f>
        <v>12220830</v>
      </c>
    </row>
    <row r="2646" spans="1:20" x14ac:dyDescent="0.3">
      <c r="A2646" t="s">
        <v>3921</v>
      </c>
      <c r="B2646" t="s">
        <v>124</v>
      </c>
      <c r="C2646" t="s">
        <v>208</v>
      </c>
      <c r="D2646" t="s">
        <v>3920</v>
      </c>
      <c r="E2646" t="s">
        <v>46</v>
      </c>
      <c r="F2646" t="s">
        <v>157</v>
      </c>
      <c r="G2646" t="s">
        <v>33</v>
      </c>
      <c r="H2646" t="s">
        <v>34</v>
      </c>
      <c r="I2646">
        <v>12500</v>
      </c>
      <c r="J2646">
        <v>16250</v>
      </c>
      <c r="K2646">
        <v>3</v>
      </c>
      <c r="L2646">
        <v>37500</v>
      </c>
      <c r="M2646">
        <v>48750</v>
      </c>
      <c r="N2646" t="s">
        <v>35</v>
      </c>
      <c r="O2646">
        <f t="shared" si="82"/>
        <v>18200</v>
      </c>
      <c r="P2646" s="13">
        <f t="shared" si="83"/>
        <v>2746575</v>
      </c>
      <c r="Q2646" s="13">
        <f>SUMIFS(M:M,E:E,Online_eCommerce[[#This Row],[Status]])</f>
        <v>28620410</v>
      </c>
      <c r="R2646" s="13">
        <f>SUMIFS(L:L,H:H,Online_eCommerce[[#This Row],[Brand]])</f>
        <v>10087000</v>
      </c>
      <c r="S2646" s="13">
        <f>SUMIF(H:H,Online_eCommerce[[#This Row],[Brand]],M:M)</f>
        <v>13113100</v>
      </c>
      <c r="T2646" s="13">
        <f>SUMIF(N:N,Online_eCommerce[[#This Row],[Assigned Supervisor]],L:L)</f>
        <v>14373360</v>
      </c>
    </row>
    <row r="2647" spans="1:20" hidden="1" x14ac:dyDescent="0.3">
      <c r="A2647" t="s">
        <v>3922</v>
      </c>
      <c r="B2647" t="s">
        <v>128</v>
      </c>
      <c r="C2647" t="s">
        <v>211</v>
      </c>
      <c r="D2647" t="s">
        <v>3920</v>
      </c>
      <c r="E2647" t="s">
        <v>96</v>
      </c>
      <c r="F2647" t="s">
        <v>3564</v>
      </c>
      <c r="G2647" t="s">
        <v>40</v>
      </c>
      <c r="H2647" t="s">
        <v>41</v>
      </c>
      <c r="I2647">
        <v>3500</v>
      </c>
      <c r="J2647">
        <v>4550</v>
      </c>
      <c r="K2647">
        <v>2</v>
      </c>
      <c r="L2647">
        <v>7000</v>
      </c>
      <c r="M2647">
        <v>9100</v>
      </c>
      <c r="N2647" t="s">
        <v>42</v>
      </c>
      <c r="O2647">
        <f t="shared" si="82"/>
        <v>25545</v>
      </c>
      <c r="P2647" s="13">
        <f t="shared" si="83"/>
        <v>1809847</v>
      </c>
      <c r="Q2647" s="13">
        <f>SUMIFS(M:M,E:E,Online_eCommerce[[#This Row],[Status]])</f>
        <v>21233992</v>
      </c>
      <c r="R2647" s="13">
        <f>SUMIFS(L:L,H:H,Online_eCommerce[[#This Row],[Brand]])</f>
        <v>4260400</v>
      </c>
      <c r="S2647" s="13">
        <f>SUMIF(H:H,Online_eCommerce[[#This Row],[Brand]],M:M)</f>
        <v>5538520</v>
      </c>
      <c r="T2647" s="13">
        <f>SUMIF(N:N,Online_eCommerce[[#This Row],[Assigned Supervisor]],L:L)</f>
        <v>12261500</v>
      </c>
    </row>
    <row r="2648" spans="1:20" hidden="1" x14ac:dyDescent="0.3">
      <c r="A2648" t="s">
        <v>3923</v>
      </c>
      <c r="B2648" t="s">
        <v>131</v>
      </c>
      <c r="C2648" t="s">
        <v>16</v>
      </c>
      <c r="D2648" t="s">
        <v>3920</v>
      </c>
      <c r="E2648" t="s">
        <v>18</v>
      </c>
      <c r="F2648" t="s">
        <v>166</v>
      </c>
      <c r="G2648" t="s">
        <v>334</v>
      </c>
      <c r="H2648" t="s">
        <v>49</v>
      </c>
      <c r="I2648">
        <v>4500</v>
      </c>
      <c r="J2648">
        <v>5850</v>
      </c>
      <c r="K2648">
        <v>1</v>
      </c>
      <c r="L2648">
        <v>4500</v>
      </c>
      <c r="M2648">
        <v>5850</v>
      </c>
      <c r="N2648" t="s">
        <v>50</v>
      </c>
      <c r="O2648">
        <f t="shared" si="82"/>
        <v>39780</v>
      </c>
      <c r="P2648" s="13">
        <f t="shared" si="83"/>
        <v>2751814</v>
      </c>
      <c r="Q2648" s="13">
        <f>SUMIFS(M:M,E:E,Online_eCommerce[[#This Row],[Status]])</f>
        <v>28340455</v>
      </c>
      <c r="R2648" s="13">
        <f>SUMIFS(L:L,H:H,Online_eCommerce[[#This Row],[Brand]])</f>
        <v>4528350</v>
      </c>
      <c r="S2648" s="13">
        <f>SUMIF(H:H,Online_eCommerce[[#This Row],[Brand]],M:M)</f>
        <v>5886855</v>
      </c>
      <c r="T2648" s="13">
        <f>SUMIF(N:N,Online_eCommerce[[#This Row],[Assigned Supervisor]],L:L)</f>
        <v>12100590</v>
      </c>
    </row>
    <row r="2649" spans="1:20" hidden="1" x14ac:dyDescent="0.3">
      <c r="A2649" t="s">
        <v>3924</v>
      </c>
      <c r="B2649" t="s">
        <v>135</v>
      </c>
      <c r="C2649" t="s">
        <v>24</v>
      </c>
      <c r="D2649" t="s">
        <v>3920</v>
      </c>
      <c r="E2649" t="s">
        <v>161</v>
      </c>
      <c r="F2649" t="s">
        <v>3925</v>
      </c>
      <c r="G2649" t="s">
        <v>54</v>
      </c>
      <c r="H2649" t="s">
        <v>55</v>
      </c>
      <c r="I2649">
        <v>2100</v>
      </c>
      <c r="J2649">
        <v>2730</v>
      </c>
      <c r="K2649">
        <v>1</v>
      </c>
      <c r="L2649">
        <v>2100</v>
      </c>
      <c r="M2649">
        <v>2730</v>
      </c>
      <c r="N2649" t="s">
        <v>56</v>
      </c>
      <c r="O2649">
        <f t="shared" si="82"/>
        <v>2990</v>
      </c>
      <c r="P2649" s="13">
        <f t="shared" si="83"/>
        <v>2009540</v>
      </c>
      <c r="Q2649" s="13">
        <f>SUMIFS(M:M,E:E,Online_eCommerce[[#This Row],[Status]])</f>
        <v>21103186</v>
      </c>
      <c r="R2649" s="13">
        <f>SUMIFS(L:L,H:H,Online_eCommerce[[#This Row],[Brand]])</f>
        <v>2267380</v>
      </c>
      <c r="S2649" s="13">
        <f>SUMIF(H:H,Online_eCommerce[[#This Row],[Brand]],M:M)</f>
        <v>2947594</v>
      </c>
      <c r="T2649" s="13">
        <f>SUMIF(N:N,Online_eCommerce[[#This Row],[Assigned Supervisor]],L:L)</f>
        <v>11733610</v>
      </c>
    </row>
    <row r="2650" spans="1:20" x14ac:dyDescent="0.3">
      <c r="A2650" t="s">
        <v>3926</v>
      </c>
      <c r="B2650" t="s">
        <v>139</v>
      </c>
      <c r="C2650" t="s">
        <v>31</v>
      </c>
      <c r="D2650" t="s">
        <v>3920</v>
      </c>
      <c r="E2650" t="s">
        <v>46</v>
      </c>
      <c r="F2650" t="s">
        <v>174</v>
      </c>
      <c r="G2650" t="s">
        <v>60</v>
      </c>
      <c r="H2650" t="s">
        <v>61</v>
      </c>
      <c r="I2650">
        <v>1150</v>
      </c>
      <c r="J2650">
        <v>1495</v>
      </c>
      <c r="K2650">
        <v>2</v>
      </c>
      <c r="L2650">
        <v>2300</v>
      </c>
      <c r="M2650">
        <v>2990</v>
      </c>
      <c r="N2650" t="s">
        <v>22</v>
      </c>
      <c r="O2650">
        <f t="shared" si="82"/>
        <v>3315</v>
      </c>
      <c r="P2650" s="13">
        <f t="shared" si="83"/>
        <v>2865746</v>
      </c>
      <c r="Q2650" s="13">
        <f>SUMIFS(M:M,E:E,Online_eCommerce[[#This Row],[Status]])</f>
        <v>28620410</v>
      </c>
      <c r="R2650" s="13">
        <f>SUMIFS(L:L,H:H,Online_eCommerce[[#This Row],[Brand]])</f>
        <v>10950150</v>
      </c>
      <c r="S2650" s="13">
        <f>SUMIF(H:H,Online_eCommerce[[#This Row],[Brand]],M:M)</f>
        <v>14235195</v>
      </c>
      <c r="T2650" s="13">
        <f>SUMIF(N:N,Online_eCommerce[[#This Row],[Assigned Supervisor]],L:L)</f>
        <v>13693220</v>
      </c>
    </row>
    <row r="2651" spans="1:20" hidden="1" x14ac:dyDescent="0.3">
      <c r="A2651" t="s">
        <v>3927</v>
      </c>
      <c r="B2651" t="s">
        <v>144</v>
      </c>
      <c r="C2651" t="s">
        <v>38</v>
      </c>
      <c r="D2651" t="s">
        <v>3920</v>
      </c>
      <c r="E2651" t="s">
        <v>96</v>
      </c>
      <c r="F2651" t="s">
        <v>179</v>
      </c>
      <c r="G2651" t="s">
        <v>66</v>
      </c>
      <c r="H2651" t="s">
        <v>21</v>
      </c>
      <c r="I2651">
        <v>350</v>
      </c>
      <c r="J2651">
        <v>455</v>
      </c>
      <c r="K2651">
        <v>3</v>
      </c>
      <c r="L2651">
        <v>1050</v>
      </c>
      <c r="M2651">
        <v>1365</v>
      </c>
      <c r="N2651" t="s">
        <v>28</v>
      </c>
      <c r="O2651">
        <f t="shared" si="82"/>
        <v>1690</v>
      </c>
      <c r="P2651" s="13">
        <f t="shared" si="83"/>
        <v>1933997</v>
      </c>
      <c r="Q2651" s="13">
        <f>SUMIFS(M:M,E:E,Online_eCommerce[[#This Row],[Status]])</f>
        <v>21233992</v>
      </c>
      <c r="R2651" s="13">
        <f>SUMIFS(L:L,H:H,Online_eCommerce[[#This Row],[Brand]])</f>
        <v>12435650</v>
      </c>
      <c r="S2651" s="13">
        <f>SUMIF(H:H,Online_eCommerce[[#This Row],[Brand]],M:M)</f>
        <v>16166345</v>
      </c>
      <c r="T2651" s="13">
        <f>SUMIF(N:N,Online_eCommerce[[#This Row],[Assigned Supervisor]],L:L)</f>
        <v>12220830</v>
      </c>
    </row>
    <row r="2652" spans="1:20" hidden="1" x14ac:dyDescent="0.3">
      <c r="A2652" t="s">
        <v>3928</v>
      </c>
      <c r="B2652" t="s">
        <v>149</v>
      </c>
      <c r="C2652" t="s">
        <v>45</v>
      </c>
      <c r="D2652" t="s">
        <v>3920</v>
      </c>
      <c r="E2652" t="s">
        <v>18</v>
      </c>
      <c r="F2652" t="s">
        <v>183</v>
      </c>
      <c r="G2652" t="s">
        <v>71</v>
      </c>
      <c r="H2652" t="s">
        <v>61</v>
      </c>
      <c r="I2652">
        <v>9500</v>
      </c>
      <c r="J2652">
        <v>12350</v>
      </c>
      <c r="K2652">
        <v>1</v>
      </c>
      <c r="L2652">
        <v>9500</v>
      </c>
      <c r="M2652">
        <v>12350</v>
      </c>
      <c r="N2652" t="s">
        <v>35</v>
      </c>
      <c r="O2652">
        <f t="shared" si="82"/>
        <v>9750</v>
      </c>
      <c r="P2652" s="13">
        <f t="shared" si="83"/>
        <v>2842554</v>
      </c>
      <c r="Q2652" s="13">
        <f>SUMIFS(M:M,E:E,Online_eCommerce[[#This Row],[Status]])</f>
        <v>28340455</v>
      </c>
      <c r="R2652" s="13">
        <f>SUMIFS(L:L,H:H,Online_eCommerce[[#This Row],[Brand]])</f>
        <v>10950150</v>
      </c>
      <c r="S2652" s="13">
        <f>SUMIF(H:H,Online_eCommerce[[#This Row],[Brand]],M:M)</f>
        <v>14235195</v>
      </c>
      <c r="T2652" s="13">
        <f>SUMIF(N:N,Online_eCommerce[[#This Row],[Assigned Supervisor]],L:L)</f>
        <v>14373360</v>
      </c>
    </row>
    <row r="2653" spans="1:20" hidden="1" x14ac:dyDescent="0.3">
      <c r="A2653" t="s">
        <v>3929</v>
      </c>
      <c r="B2653" t="s">
        <v>154</v>
      </c>
      <c r="C2653" t="s">
        <v>52</v>
      </c>
      <c r="D2653" t="s">
        <v>3920</v>
      </c>
      <c r="E2653" t="s">
        <v>161</v>
      </c>
      <c r="F2653" t="s">
        <v>3930</v>
      </c>
      <c r="G2653" t="s">
        <v>77</v>
      </c>
      <c r="H2653" t="s">
        <v>142</v>
      </c>
      <c r="I2653">
        <v>10000</v>
      </c>
      <c r="J2653">
        <v>13000</v>
      </c>
      <c r="K2653">
        <v>3</v>
      </c>
      <c r="L2653">
        <v>30000</v>
      </c>
      <c r="M2653">
        <v>39000</v>
      </c>
      <c r="N2653" t="s">
        <v>42</v>
      </c>
      <c r="O2653">
        <f t="shared" si="82"/>
        <v>39000</v>
      </c>
      <c r="P2653" s="13">
        <f t="shared" si="83"/>
        <v>1955044</v>
      </c>
      <c r="Q2653" s="13">
        <f>SUMIFS(M:M,E:E,Online_eCommerce[[#This Row],[Status]])</f>
        <v>21103186</v>
      </c>
      <c r="R2653" s="13">
        <f>SUMIFS(L:L,H:H,Online_eCommerce[[#This Row],[Brand]])</f>
        <v>6192500</v>
      </c>
      <c r="S2653" s="13">
        <f>SUMIF(H:H,Online_eCommerce[[#This Row],[Brand]],M:M)</f>
        <v>8050250</v>
      </c>
      <c r="T2653" s="13">
        <f>SUMIF(N:N,Online_eCommerce[[#This Row],[Assigned Supervisor]],L:L)</f>
        <v>12261500</v>
      </c>
    </row>
    <row r="2654" spans="1:20" x14ac:dyDescent="0.3">
      <c r="A2654" t="s">
        <v>3931</v>
      </c>
      <c r="B2654" t="s">
        <v>159</v>
      </c>
      <c r="C2654" t="s">
        <v>58</v>
      </c>
      <c r="D2654" t="s">
        <v>3920</v>
      </c>
      <c r="E2654" t="s">
        <v>46</v>
      </c>
      <c r="F2654" t="s">
        <v>3932</v>
      </c>
      <c r="G2654" t="s">
        <v>20</v>
      </c>
      <c r="H2654" t="s">
        <v>21</v>
      </c>
      <c r="I2654">
        <v>6500</v>
      </c>
      <c r="J2654">
        <v>8450</v>
      </c>
      <c r="K2654">
        <v>1</v>
      </c>
      <c r="L2654">
        <v>6500</v>
      </c>
      <c r="M2654">
        <v>8450</v>
      </c>
      <c r="N2654" t="s">
        <v>50</v>
      </c>
      <c r="O2654">
        <f t="shared" si="82"/>
        <v>8450</v>
      </c>
      <c r="P2654" s="13">
        <f t="shared" si="83"/>
        <v>2629211</v>
      </c>
      <c r="Q2654" s="13">
        <f>SUMIFS(M:M,E:E,Online_eCommerce[[#This Row],[Status]])</f>
        <v>28620410</v>
      </c>
      <c r="R2654" s="13">
        <f>SUMIFS(L:L,H:H,Online_eCommerce[[#This Row],[Brand]])</f>
        <v>12435650</v>
      </c>
      <c r="S2654" s="13">
        <f>SUMIF(H:H,Online_eCommerce[[#This Row],[Brand]],M:M)</f>
        <v>16166345</v>
      </c>
      <c r="T2654" s="13">
        <f>SUMIF(N:N,Online_eCommerce[[#This Row],[Assigned Supervisor]],L:L)</f>
        <v>12100590</v>
      </c>
    </row>
    <row r="2655" spans="1:20" hidden="1" x14ac:dyDescent="0.3">
      <c r="A2655" t="s">
        <v>3933</v>
      </c>
      <c r="B2655" t="s">
        <v>139</v>
      </c>
      <c r="C2655" t="s">
        <v>63</v>
      </c>
      <c r="D2655" t="s">
        <v>3920</v>
      </c>
      <c r="E2655" t="s">
        <v>96</v>
      </c>
      <c r="F2655" t="s">
        <v>3934</v>
      </c>
      <c r="G2655" t="s">
        <v>26</v>
      </c>
      <c r="H2655" t="s">
        <v>27</v>
      </c>
      <c r="I2655">
        <v>8500</v>
      </c>
      <c r="J2655">
        <v>11050</v>
      </c>
      <c r="K2655">
        <v>1</v>
      </c>
      <c r="L2655">
        <v>8500</v>
      </c>
      <c r="M2655">
        <v>11050</v>
      </c>
      <c r="N2655" t="s">
        <v>56</v>
      </c>
      <c r="O2655">
        <f t="shared" si="82"/>
        <v>33150</v>
      </c>
      <c r="P2655" s="13">
        <f t="shared" si="83"/>
        <v>2016131</v>
      </c>
      <c r="Q2655" s="13">
        <f>SUMIFS(M:M,E:E,Online_eCommerce[[#This Row],[Status]])</f>
        <v>21233992</v>
      </c>
      <c r="R2655" s="13">
        <f>SUMIFS(L:L,H:H,Online_eCommerce[[#This Row],[Brand]])</f>
        <v>14431000</v>
      </c>
      <c r="S2655" s="13">
        <f>SUMIF(H:H,Online_eCommerce[[#This Row],[Brand]],M:M)</f>
        <v>18760300</v>
      </c>
      <c r="T2655" s="13">
        <f>SUMIF(N:N,Online_eCommerce[[#This Row],[Assigned Supervisor]],L:L)</f>
        <v>11733610</v>
      </c>
    </row>
    <row r="2656" spans="1:20" hidden="1" x14ac:dyDescent="0.3">
      <c r="A2656" t="s">
        <v>3935</v>
      </c>
      <c r="B2656" t="s">
        <v>144</v>
      </c>
      <c r="C2656" t="s">
        <v>68</v>
      </c>
      <c r="D2656" t="s">
        <v>3920</v>
      </c>
      <c r="E2656" t="s">
        <v>18</v>
      </c>
      <c r="F2656" t="s">
        <v>32</v>
      </c>
      <c r="G2656" t="s">
        <v>33</v>
      </c>
      <c r="H2656" t="s">
        <v>34</v>
      </c>
      <c r="I2656">
        <v>7000</v>
      </c>
      <c r="J2656">
        <v>9100</v>
      </c>
      <c r="K2656">
        <v>2</v>
      </c>
      <c r="L2656">
        <v>14000</v>
      </c>
      <c r="M2656">
        <v>18200</v>
      </c>
      <c r="N2656" t="s">
        <v>22</v>
      </c>
      <c r="O2656">
        <f t="shared" si="82"/>
        <v>18200</v>
      </c>
      <c r="P2656" s="13">
        <f t="shared" si="83"/>
        <v>2974621</v>
      </c>
      <c r="Q2656" s="13">
        <f>SUMIFS(M:M,E:E,Online_eCommerce[[#This Row],[Status]])</f>
        <v>28340455</v>
      </c>
      <c r="R2656" s="13">
        <f>SUMIFS(L:L,H:H,Online_eCommerce[[#This Row],[Brand]])</f>
        <v>10087000</v>
      </c>
      <c r="S2656" s="13">
        <f>SUMIF(H:H,Online_eCommerce[[#This Row],[Brand]],M:M)</f>
        <v>13113100</v>
      </c>
      <c r="T2656" s="13">
        <f>SUMIF(N:N,Online_eCommerce[[#This Row],[Assigned Supervisor]],L:L)</f>
        <v>13693220</v>
      </c>
    </row>
    <row r="2657" spans="1:20" hidden="1" x14ac:dyDescent="0.3">
      <c r="A2657" t="s">
        <v>3936</v>
      </c>
      <c r="B2657" t="s">
        <v>235</v>
      </c>
      <c r="C2657" t="s">
        <v>74</v>
      </c>
      <c r="D2657" t="s">
        <v>3920</v>
      </c>
      <c r="E2657" t="s">
        <v>161</v>
      </c>
      <c r="F2657" t="s">
        <v>3937</v>
      </c>
      <c r="G2657" t="s">
        <v>40</v>
      </c>
      <c r="H2657" t="s">
        <v>41</v>
      </c>
      <c r="I2657">
        <v>6550</v>
      </c>
      <c r="J2657">
        <v>8515</v>
      </c>
      <c r="K2657">
        <v>1</v>
      </c>
      <c r="L2657">
        <v>6550</v>
      </c>
      <c r="M2657">
        <v>8515</v>
      </c>
      <c r="N2657" t="s">
        <v>28</v>
      </c>
      <c r="O2657">
        <f t="shared" si="82"/>
        <v>25545</v>
      </c>
      <c r="P2657" s="13">
        <f t="shared" si="83"/>
        <v>2144701</v>
      </c>
      <c r="Q2657" s="13">
        <f>SUMIFS(M:M,E:E,Online_eCommerce[[#This Row],[Status]])</f>
        <v>21103186</v>
      </c>
      <c r="R2657" s="13">
        <f>SUMIFS(L:L,H:H,Online_eCommerce[[#This Row],[Brand]])</f>
        <v>4260400</v>
      </c>
      <c r="S2657" s="13">
        <f>SUMIF(H:H,Online_eCommerce[[#This Row],[Brand]],M:M)</f>
        <v>5538520</v>
      </c>
      <c r="T2657" s="13">
        <f>SUMIF(N:N,Online_eCommerce[[#This Row],[Assigned Supervisor]],L:L)</f>
        <v>12220830</v>
      </c>
    </row>
    <row r="2658" spans="1:20" x14ac:dyDescent="0.3">
      <c r="A2658" t="s">
        <v>3938</v>
      </c>
      <c r="B2658" t="s">
        <v>176</v>
      </c>
      <c r="C2658" t="s">
        <v>81</v>
      </c>
      <c r="D2658" t="s">
        <v>3920</v>
      </c>
      <c r="E2658" t="s">
        <v>46</v>
      </c>
      <c r="F2658" t="s">
        <v>47</v>
      </c>
      <c r="G2658" t="s">
        <v>334</v>
      </c>
      <c r="H2658" t="s">
        <v>49</v>
      </c>
      <c r="I2658">
        <v>7650</v>
      </c>
      <c r="J2658">
        <v>9945</v>
      </c>
      <c r="K2658">
        <v>3</v>
      </c>
      <c r="L2658">
        <v>22950</v>
      </c>
      <c r="M2658">
        <v>29835</v>
      </c>
      <c r="N2658" t="s">
        <v>35</v>
      </c>
      <c r="O2658">
        <f t="shared" si="82"/>
        <v>39780</v>
      </c>
      <c r="P2658" s="13">
        <f t="shared" si="83"/>
        <v>2595632</v>
      </c>
      <c r="Q2658" s="13">
        <f>SUMIFS(M:M,E:E,Online_eCommerce[[#This Row],[Status]])</f>
        <v>28620410</v>
      </c>
      <c r="R2658" s="13">
        <f>SUMIFS(L:L,H:H,Online_eCommerce[[#This Row],[Brand]])</f>
        <v>4528350</v>
      </c>
      <c r="S2658" s="13">
        <f>SUMIF(H:H,Online_eCommerce[[#This Row],[Brand]],M:M)</f>
        <v>5886855</v>
      </c>
      <c r="T2658" s="13">
        <f>SUMIF(N:N,Online_eCommerce[[#This Row],[Assigned Supervisor]],L:L)</f>
        <v>14373360</v>
      </c>
    </row>
    <row r="2659" spans="1:20" hidden="1" x14ac:dyDescent="0.3">
      <c r="A2659" t="s">
        <v>3939</v>
      </c>
      <c r="B2659" t="s">
        <v>276</v>
      </c>
      <c r="C2659" t="s">
        <v>86</v>
      </c>
      <c r="D2659" t="s">
        <v>3920</v>
      </c>
      <c r="E2659" t="s">
        <v>96</v>
      </c>
      <c r="F2659" t="s">
        <v>53</v>
      </c>
      <c r="G2659" t="s">
        <v>54</v>
      </c>
      <c r="H2659" t="s">
        <v>55</v>
      </c>
      <c r="I2659">
        <v>1150</v>
      </c>
      <c r="J2659">
        <v>1495</v>
      </c>
      <c r="K2659">
        <v>2</v>
      </c>
      <c r="L2659">
        <v>2300</v>
      </c>
      <c r="M2659">
        <v>2990</v>
      </c>
      <c r="N2659" t="s">
        <v>42</v>
      </c>
      <c r="O2659">
        <f t="shared" si="82"/>
        <v>2990</v>
      </c>
      <c r="P2659" s="13">
        <f t="shared" si="83"/>
        <v>1941225</v>
      </c>
      <c r="Q2659" s="13">
        <f>SUMIFS(M:M,E:E,Online_eCommerce[[#This Row],[Status]])</f>
        <v>21233992</v>
      </c>
      <c r="R2659" s="13">
        <f>SUMIFS(L:L,H:H,Online_eCommerce[[#This Row],[Brand]])</f>
        <v>2267380</v>
      </c>
      <c r="S2659" s="13">
        <f>SUMIF(H:H,Online_eCommerce[[#This Row],[Brand]],M:M)</f>
        <v>2947594</v>
      </c>
      <c r="T2659" s="13">
        <f>SUMIF(N:N,Online_eCommerce[[#This Row],[Assigned Supervisor]],L:L)</f>
        <v>12261500</v>
      </c>
    </row>
    <row r="2660" spans="1:20" hidden="1" x14ac:dyDescent="0.3">
      <c r="A2660" t="s">
        <v>3940</v>
      </c>
      <c r="B2660" t="s">
        <v>280</v>
      </c>
      <c r="C2660" t="s">
        <v>91</v>
      </c>
      <c r="D2660" t="s">
        <v>3920</v>
      </c>
      <c r="E2660" t="s">
        <v>18</v>
      </c>
      <c r="F2660" t="s">
        <v>59</v>
      </c>
      <c r="G2660" t="s">
        <v>60</v>
      </c>
      <c r="H2660" t="s">
        <v>61</v>
      </c>
      <c r="I2660">
        <v>850</v>
      </c>
      <c r="J2660">
        <v>1105</v>
      </c>
      <c r="K2660">
        <v>2</v>
      </c>
      <c r="L2660">
        <v>1700</v>
      </c>
      <c r="M2660">
        <v>2210</v>
      </c>
      <c r="N2660" t="s">
        <v>50</v>
      </c>
      <c r="O2660">
        <f t="shared" si="82"/>
        <v>3315</v>
      </c>
      <c r="P2660" s="13">
        <f t="shared" si="83"/>
        <v>2731963</v>
      </c>
      <c r="Q2660" s="13">
        <f>SUMIFS(M:M,E:E,Online_eCommerce[[#This Row],[Status]])</f>
        <v>28340455</v>
      </c>
      <c r="R2660" s="13">
        <f>SUMIFS(L:L,H:H,Online_eCommerce[[#This Row],[Brand]])</f>
        <v>10950150</v>
      </c>
      <c r="S2660" s="13">
        <f>SUMIF(H:H,Online_eCommerce[[#This Row],[Brand]],M:M)</f>
        <v>14235195</v>
      </c>
      <c r="T2660" s="13">
        <f>SUMIF(N:N,Online_eCommerce[[#This Row],[Assigned Supervisor]],L:L)</f>
        <v>12100590</v>
      </c>
    </row>
    <row r="2661" spans="1:20" hidden="1" x14ac:dyDescent="0.3">
      <c r="A2661" t="s">
        <v>3941</v>
      </c>
      <c r="B2661" t="s">
        <v>283</v>
      </c>
      <c r="C2661" t="s">
        <v>94</v>
      </c>
      <c r="D2661" t="s">
        <v>3920</v>
      </c>
      <c r="E2661" t="s">
        <v>161</v>
      </c>
      <c r="F2661" t="s">
        <v>65</v>
      </c>
      <c r="G2661" t="s">
        <v>66</v>
      </c>
      <c r="H2661" t="s">
        <v>21</v>
      </c>
      <c r="I2661">
        <v>650</v>
      </c>
      <c r="J2661">
        <v>845</v>
      </c>
      <c r="K2661">
        <v>2</v>
      </c>
      <c r="L2661">
        <v>1300</v>
      </c>
      <c r="M2661">
        <v>1690</v>
      </c>
      <c r="N2661" t="s">
        <v>56</v>
      </c>
      <c r="O2661">
        <f t="shared" si="82"/>
        <v>1690</v>
      </c>
      <c r="P2661" s="13">
        <f t="shared" si="83"/>
        <v>1868256</v>
      </c>
      <c r="Q2661" s="13">
        <f>SUMIFS(M:M,E:E,Online_eCommerce[[#This Row],[Status]])</f>
        <v>21103186</v>
      </c>
      <c r="R2661" s="13">
        <f>SUMIFS(L:L,H:H,Online_eCommerce[[#This Row],[Brand]])</f>
        <v>12435650</v>
      </c>
      <c r="S2661" s="13">
        <f>SUMIF(H:H,Online_eCommerce[[#This Row],[Brand]],M:M)</f>
        <v>16166345</v>
      </c>
      <c r="T2661" s="13">
        <f>SUMIF(N:N,Online_eCommerce[[#This Row],[Assigned Supervisor]],L:L)</f>
        <v>11733610</v>
      </c>
    </row>
    <row r="2662" spans="1:20" x14ac:dyDescent="0.3">
      <c r="A2662" t="s">
        <v>3942</v>
      </c>
      <c r="B2662" t="s">
        <v>287</v>
      </c>
      <c r="C2662" t="s">
        <v>99</v>
      </c>
      <c r="D2662" t="s">
        <v>3920</v>
      </c>
      <c r="E2662" t="s">
        <v>46</v>
      </c>
      <c r="F2662" t="s">
        <v>70</v>
      </c>
      <c r="G2662" t="s">
        <v>71</v>
      </c>
      <c r="H2662" t="s">
        <v>61</v>
      </c>
      <c r="I2662">
        <v>7500</v>
      </c>
      <c r="J2662">
        <v>9750</v>
      </c>
      <c r="K2662">
        <v>3</v>
      </c>
      <c r="L2662">
        <v>22500</v>
      </c>
      <c r="M2662">
        <v>29250</v>
      </c>
      <c r="N2662" t="s">
        <v>22</v>
      </c>
      <c r="O2662">
        <f t="shared" si="82"/>
        <v>9750</v>
      </c>
      <c r="P2662" s="13">
        <f t="shared" si="83"/>
        <v>2651233</v>
      </c>
      <c r="Q2662" s="13">
        <f>SUMIFS(M:M,E:E,Online_eCommerce[[#This Row],[Status]])</f>
        <v>28620410</v>
      </c>
      <c r="R2662" s="13">
        <f>SUMIFS(L:L,H:H,Online_eCommerce[[#This Row],[Brand]])</f>
        <v>10950150</v>
      </c>
      <c r="S2662" s="13">
        <f>SUMIF(H:H,Online_eCommerce[[#This Row],[Brand]],M:M)</f>
        <v>14235195</v>
      </c>
      <c r="T2662" s="13">
        <f>SUMIF(N:N,Online_eCommerce[[#This Row],[Assigned Supervisor]],L:L)</f>
        <v>13693220</v>
      </c>
    </row>
    <row r="2663" spans="1:20" hidden="1" x14ac:dyDescent="0.3">
      <c r="A2663" t="s">
        <v>3943</v>
      </c>
      <c r="B2663" t="s">
        <v>290</v>
      </c>
      <c r="C2663" t="s">
        <v>105</v>
      </c>
      <c r="D2663" t="s">
        <v>3920</v>
      </c>
      <c r="E2663" t="s">
        <v>96</v>
      </c>
      <c r="F2663" t="s">
        <v>3930</v>
      </c>
      <c r="G2663" t="s">
        <v>77</v>
      </c>
      <c r="H2663" t="s">
        <v>78</v>
      </c>
      <c r="I2663">
        <v>10000</v>
      </c>
      <c r="J2663">
        <v>13000</v>
      </c>
      <c r="K2663">
        <v>1</v>
      </c>
      <c r="L2663">
        <v>10000</v>
      </c>
      <c r="M2663">
        <v>13000</v>
      </c>
      <c r="N2663" t="s">
        <v>28</v>
      </c>
      <c r="O2663">
        <f t="shared" si="82"/>
        <v>39000</v>
      </c>
      <c r="P2663" s="13">
        <f t="shared" si="83"/>
        <v>1866852</v>
      </c>
      <c r="Q2663" s="13">
        <f>SUMIFS(M:M,E:E,Online_eCommerce[[#This Row],[Status]])</f>
        <v>21233992</v>
      </c>
      <c r="R2663" s="13">
        <f>SUMIFS(L:L,H:H,Online_eCommerce[[#This Row],[Brand]])</f>
        <v>3720000</v>
      </c>
      <c r="S2663" s="13">
        <f>SUMIF(H:H,Online_eCommerce[[#This Row],[Brand]],M:M)</f>
        <v>4836000</v>
      </c>
      <c r="T2663" s="13">
        <f>SUMIF(N:N,Online_eCommerce[[#This Row],[Assigned Supervisor]],L:L)</f>
        <v>12220830</v>
      </c>
    </row>
    <row r="2664" spans="1:20" hidden="1" x14ac:dyDescent="0.3">
      <c r="A2664" t="s">
        <v>3944</v>
      </c>
      <c r="B2664" t="s">
        <v>15</v>
      </c>
      <c r="C2664" t="s">
        <v>110</v>
      </c>
      <c r="D2664" t="s">
        <v>3920</v>
      </c>
      <c r="E2664" t="s">
        <v>18</v>
      </c>
      <c r="F2664" t="s">
        <v>3945</v>
      </c>
      <c r="G2664" t="s">
        <v>20</v>
      </c>
      <c r="H2664" t="s">
        <v>21</v>
      </c>
      <c r="I2664">
        <v>10500</v>
      </c>
      <c r="J2664">
        <v>13650</v>
      </c>
      <c r="K2664">
        <v>3</v>
      </c>
      <c r="L2664">
        <v>31500</v>
      </c>
      <c r="M2664">
        <v>40950</v>
      </c>
      <c r="N2664" t="s">
        <v>35</v>
      </c>
      <c r="O2664">
        <f t="shared" si="82"/>
        <v>8450</v>
      </c>
      <c r="P2664" s="13">
        <f t="shared" si="83"/>
        <v>2598635</v>
      </c>
      <c r="Q2664" s="13">
        <f>SUMIFS(M:M,E:E,Online_eCommerce[[#This Row],[Status]])</f>
        <v>28340455</v>
      </c>
      <c r="R2664" s="13">
        <f>SUMIFS(L:L,H:H,Online_eCommerce[[#This Row],[Brand]])</f>
        <v>12435650</v>
      </c>
      <c r="S2664" s="13">
        <f>SUMIF(H:H,Online_eCommerce[[#This Row],[Brand]],M:M)</f>
        <v>16166345</v>
      </c>
      <c r="T2664" s="13">
        <f>SUMIF(N:N,Online_eCommerce[[#This Row],[Assigned Supervisor]],L:L)</f>
        <v>14373360</v>
      </c>
    </row>
    <row r="2665" spans="1:20" hidden="1" x14ac:dyDescent="0.3">
      <c r="A2665" t="s">
        <v>3946</v>
      </c>
      <c r="B2665" t="s">
        <v>202</v>
      </c>
      <c r="C2665" t="s">
        <v>115</v>
      </c>
      <c r="D2665" t="s">
        <v>3920</v>
      </c>
      <c r="E2665" t="s">
        <v>161</v>
      </c>
      <c r="F2665" t="s">
        <v>88</v>
      </c>
      <c r="G2665" t="s">
        <v>26</v>
      </c>
      <c r="H2665" t="s">
        <v>27</v>
      </c>
      <c r="I2665">
        <v>8500</v>
      </c>
      <c r="J2665">
        <v>11050</v>
      </c>
      <c r="K2665">
        <v>4</v>
      </c>
      <c r="L2665">
        <v>34000</v>
      </c>
      <c r="M2665">
        <v>44200</v>
      </c>
      <c r="N2665" t="s">
        <v>42</v>
      </c>
      <c r="O2665">
        <f t="shared" si="82"/>
        <v>33150</v>
      </c>
      <c r="P2665" s="13">
        <f t="shared" si="83"/>
        <v>2050178</v>
      </c>
      <c r="Q2665" s="13">
        <f>SUMIFS(M:M,E:E,Online_eCommerce[[#This Row],[Status]])</f>
        <v>21103186</v>
      </c>
      <c r="R2665" s="13">
        <f>SUMIFS(L:L,H:H,Online_eCommerce[[#This Row],[Brand]])</f>
        <v>14431000</v>
      </c>
      <c r="S2665" s="13">
        <f>SUMIF(H:H,Online_eCommerce[[#This Row],[Brand]],M:M)</f>
        <v>18760300</v>
      </c>
      <c r="T2665" s="13">
        <f>SUMIF(N:N,Online_eCommerce[[#This Row],[Assigned Supervisor]],L:L)</f>
        <v>12261500</v>
      </c>
    </row>
    <row r="2666" spans="1:20" x14ac:dyDescent="0.3">
      <c r="A2666" t="s">
        <v>3947</v>
      </c>
      <c r="B2666" t="s">
        <v>30</v>
      </c>
      <c r="C2666" t="s">
        <v>120</v>
      </c>
      <c r="D2666" t="s">
        <v>3920</v>
      </c>
      <c r="E2666" t="s">
        <v>46</v>
      </c>
      <c r="F2666" t="s">
        <v>32</v>
      </c>
      <c r="G2666" t="s">
        <v>33</v>
      </c>
      <c r="H2666" t="s">
        <v>34</v>
      </c>
      <c r="I2666">
        <v>7000</v>
      </c>
      <c r="J2666">
        <v>9100</v>
      </c>
      <c r="K2666">
        <v>3</v>
      </c>
      <c r="L2666">
        <v>21000</v>
      </c>
      <c r="M2666">
        <v>27300</v>
      </c>
      <c r="N2666" t="s">
        <v>50</v>
      </c>
      <c r="O2666">
        <f t="shared" si="82"/>
        <v>18200</v>
      </c>
      <c r="P2666" s="13">
        <f t="shared" si="83"/>
        <v>2734212</v>
      </c>
      <c r="Q2666" s="13">
        <f>SUMIFS(M:M,E:E,Online_eCommerce[[#This Row],[Status]])</f>
        <v>28620410</v>
      </c>
      <c r="R2666" s="13">
        <f>SUMIFS(L:L,H:H,Online_eCommerce[[#This Row],[Brand]])</f>
        <v>10087000</v>
      </c>
      <c r="S2666" s="13">
        <f>SUMIF(H:H,Online_eCommerce[[#This Row],[Brand]],M:M)</f>
        <v>13113100</v>
      </c>
      <c r="T2666" s="13">
        <f>SUMIF(N:N,Online_eCommerce[[#This Row],[Assigned Supervisor]],L:L)</f>
        <v>12100590</v>
      </c>
    </row>
    <row r="2667" spans="1:20" hidden="1" x14ac:dyDescent="0.3">
      <c r="A2667" t="s">
        <v>3948</v>
      </c>
      <c r="B2667" t="s">
        <v>37</v>
      </c>
      <c r="C2667" t="s">
        <v>125</v>
      </c>
      <c r="D2667" t="s">
        <v>3920</v>
      </c>
      <c r="E2667" t="s">
        <v>96</v>
      </c>
      <c r="F2667" t="s">
        <v>3949</v>
      </c>
      <c r="G2667" t="s">
        <v>40</v>
      </c>
      <c r="H2667" t="s">
        <v>41</v>
      </c>
      <c r="I2667">
        <v>1680</v>
      </c>
      <c r="J2667">
        <v>2184</v>
      </c>
      <c r="K2667">
        <v>2</v>
      </c>
      <c r="L2667">
        <v>3360</v>
      </c>
      <c r="M2667">
        <v>4368</v>
      </c>
      <c r="N2667" t="s">
        <v>56</v>
      </c>
      <c r="O2667">
        <f t="shared" si="82"/>
        <v>25545</v>
      </c>
      <c r="P2667" s="13">
        <f t="shared" si="83"/>
        <v>2091154</v>
      </c>
      <c r="Q2667" s="13">
        <f>SUMIFS(M:M,E:E,Online_eCommerce[[#This Row],[Status]])</f>
        <v>21233992</v>
      </c>
      <c r="R2667" s="13">
        <f>SUMIFS(L:L,H:H,Online_eCommerce[[#This Row],[Brand]])</f>
        <v>4260400</v>
      </c>
      <c r="S2667" s="13">
        <f>SUMIF(H:H,Online_eCommerce[[#This Row],[Brand]],M:M)</f>
        <v>5538520</v>
      </c>
      <c r="T2667" s="13">
        <f>SUMIF(N:N,Online_eCommerce[[#This Row],[Assigned Supervisor]],L:L)</f>
        <v>11733610</v>
      </c>
    </row>
    <row r="2668" spans="1:20" hidden="1" x14ac:dyDescent="0.3">
      <c r="A2668" t="s">
        <v>3950</v>
      </c>
      <c r="B2668" t="s">
        <v>44</v>
      </c>
      <c r="C2668" t="s">
        <v>22</v>
      </c>
      <c r="D2668" t="s">
        <v>3920</v>
      </c>
      <c r="E2668" t="s">
        <v>18</v>
      </c>
      <c r="F2668" t="s">
        <v>101</v>
      </c>
      <c r="G2668" t="s">
        <v>334</v>
      </c>
      <c r="H2668" t="s">
        <v>102</v>
      </c>
      <c r="I2668">
        <v>6540</v>
      </c>
      <c r="J2668">
        <v>8502</v>
      </c>
      <c r="K2668">
        <v>3</v>
      </c>
      <c r="L2668">
        <v>19620</v>
      </c>
      <c r="M2668">
        <v>25506</v>
      </c>
      <c r="N2668" t="s">
        <v>22</v>
      </c>
      <c r="O2668">
        <f t="shared" si="82"/>
        <v>39780</v>
      </c>
      <c r="P2668" s="13">
        <f t="shared" si="83"/>
        <v>2551588</v>
      </c>
      <c r="Q2668" s="13">
        <f>SUMIFS(M:M,E:E,Online_eCommerce[[#This Row],[Status]])</f>
        <v>28340455</v>
      </c>
      <c r="R2668" s="13">
        <f>SUMIFS(L:L,H:H,Online_eCommerce[[#This Row],[Brand]])</f>
        <v>2465580</v>
      </c>
      <c r="S2668" s="13">
        <f>SUMIF(H:H,Online_eCommerce[[#This Row],[Brand]],M:M)</f>
        <v>3205254</v>
      </c>
      <c r="T2668" s="13">
        <f>SUMIF(N:N,Online_eCommerce[[#This Row],[Assigned Supervisor]],L:L)</f>
        <v>13693220</v>
      </c>
    </row>
    <row r="2669" spans="1:20" hidden="1" x14ac:dyDescent="0.3">
      <c r="A2669" t="s">
        <v>3951</v>
      </c>
      <c r="B2669" t="s">
        <v>213</v>
      </c>
      <c r="C2669" t="s">
        <v>132</v>
      </c>
      <c r="D2669" t="s">
        <v>3920</v>
      </c>
      <c r="E2669" t="s">
        <v>161</v>
      </c>
      <c r="F2669" t="s">
        <v>107</v>
      </c>
      <c r="G2669" t="s">
        <v>54</v>
      </c>
      <c r="H2669" t="s">
        <v>55</v>
      </c>
      <c r="I2669">
        <v>2680</v>
      </c>
      <c r="J2669">
        <v>3484</v>
      </c>
      <c r="K2669">
        <v>3</v>
      </c>
      <c r="L2669">
        <v>8040</v>
      </c>
      <c r="M2669">
        <v>10452</v>
      </c>
      <c r="N2669" t="s">
        <v>28</v>
      </c>
      <c r="O2669">
        <f t="shared" si="82"/>
        <v>2990</v>
      </c>
      <c r="P2669" s="13">
        <f t="shared" si="83"/>
        <v>1989065</v>
      </c>
      <c r="Q2669" s="13">
        <f>SUMIFS(M:M,E:E,Online_eCommerce[[#This Row],[Status]])</f>
        <v>21103186</v>
      </c>
      <c r="R2669" s="13">
        <f>SUMIFS(L:L,H:H,Online_eCommerce[[#This Row],[Brand]])</f>
        <v>2267380</v>
      </c>
      <c r="S2669" s="13">
        <f>SUMIF(H:H,Online_eCommerce[[#This Row],[Brand]],M:M)</f>
        <v>2947594</v>
      </c>
      <c r="T2669" s="13">
        <f>SUMIF(N:N,Online_eCommerce[[#This Row],[Assigned Supervisor]],L:L)</f>
        <v>12220830</v>
      </c>
    </row>
    <row r="2670" spans="1:20" x14ac:dyDescent="0.3">
      <c r="A2670" t="s">
        <v>3952</v>
      </c>
      <c r="B2670" t="s">
        <v>215</v>
      </c>
      <c r="C2670" t="s">
        <v>136</v>
      </c>
      <c r="D2670" t="s">
        <v>3920</v>
      </c>
      <c r="E2670" t="s">
        <v>46</v>
      </c>
      <c r="F2670" t="s">
        <v>112</v>
      </c>
      <c r="G2670" t="s">
        <v>71</v>
      </c>
      <c r="H2670" t="s">
        <v>21</v>
      </c>
      <c r="I2670">
        <v>8250</v>
      </c>
      <c r="J2670">
        <v>10725</v>
      </c>
      <c r="K2670">
        <v>2</v>
      </c>
      <c r="L2670">
        <v>16500</v>
      </c>
      <c r="M2670">
        <v>21450</v>
      </c>
      <c r="N2670" t="s">
        <v>35</v>
      </c>
      <c r="O2670">
        <f t="shared" si="82"/>
        <v>9750</v>
      </c>
      <c r="P2670" s="13">
        <f t="shared" si="83"/>
        <v>2775162</v>
      </c>
      <c r="Q2670" s="13">
        <f>SUMIFS(M:M,E:E,Online_eCommerce[[#This Row],[Status]])</f>
        <v>28620410</v>
      </c>
      <c r="R2670" s="13">
        <f>SUMIFS(L:L,H:H,Online_eCommerce[[#This Row],[Brand]])</f>
        <v>12435650</v>
      </c>
      <c r="S2670" s="13">
        <f>SUMIF(H:H,Online_eCommerce[[#This Row],[Brand]],M:M)</f>
        <v>16166345</v>
      </c>
      <c r="T2670" s="13">
        <f>SUMIF(N:N,Online_eCommerce[[#This Row],[Assigned Supervisor]],L:L)</f>
        <v>14373360</v>
      </c>
    </row>
    <row r="2671" spans="1:20" hidden="1" x14ac:dyDescent="0.3">
      <c r="A2671" t="s">
        <v>3953</v>
      </c>
      <c r="B2671" t="s">
        <v>306</v>
      </c>
      <c r="C2671" t="s">
        <v>140</v>
      </c>
      <c r="D2671" t="s">
        <v>3920</v>
      </c>
      <c r="E2671" t="s">
        <v>96</v>
      </c>
      <c r="F2671" t="s">
        <v>3564</v>
      </c>
      <c r="G2671" t="s">
        <v>40</v>
      </c>
      <c r="H2671" t="s">
        <v>21</v>
      </c>
      <c r="I2671">
        <v>2650</v>
      </c>
      <c r="J2671">
        <v>3445</v>
      </c>
      <c r="K2671">
        <v>4</v>
      </c>
      <c r="L2671">
        <v>10600</v>
      </c>
      <c r="M2671">
        <v>13780</v>
      </c>
      <c r="N2671" t="s">
        <v>42</v>
      </c>
      <c r="O2671">
        <f t="shared" si="82"/>
        <v>25545</v>
      </c>
      <c r="P2671" s="13">
        <f t="shared" si="83"/>
        <v>2058264</v>
      </c>
      <c r="Q2671" s="13">
        <f>SUMIFS(M:M,E:E,Online_eCommerce[[#This Row],[Status]])</f>
        <v>21233992</v>
      </c>
      <c r="R2671" s="13">
        <f>SUMIFS(L:L,H:H,Online_eCommerce[[#This Row],[Brand]])</f>
        <v>12435650</v>
      </c>
      <c r="S2671" s="13">
        <f>SUMIF(H:H,Online_eCommerce[[#This Row],[Brand]],M:M)</f>
        <v>16166345</v>
      </c>
      <c r="T2671" s="13">
        <f>SUMIF(N:N,Online_eCommerce[[#This Row],[Assigned Supervisor]],L:L)</f>
        <v>12261500</v>
      </c>
    </row>
    <row r="2672" spans="1:20" hidden="1" x14ac:dyDescent="0.3">
      <c r="A2672" t="s">
        <v>3954</v>
      </c>
      <c r="B2672" t="s">
        <v>528</v>
      </c>
      <c r="C2672" t="s">
        <v>145</v>
      </c>
      <c r="D2672" t="s">
        <v>3920</v>
      </c>
      <c r="E2672" t="s">
        <v>18</v>
      </c>
      <c r="F2672" t="s">
        <v>121</v>
      </c>
      <c r="G2672" t="s">
        <v>71</v>
      </c>
      <c r="H2672" t="s">
        <v>122</v>
      </c>
      <c r="I2672">
        <v>12550</v>
      </c>
      <c r="J2672">
        <v>16315</v>
      </c>
      <c r="K2672">
        <v>4</v>
      </c>
      <c r="L2672">
        <v>50200</v>
      </c>
      <c r="M2672">
        <v>65260</v>
      </c>
      <c r="N2672" t="s">
        <v>50</v>
      </c>
      <c r="O2672">
        <f t="shared" si="82"/>
        <v>9750</v>
      </c>
      <c r="P2672" s="13">
        <f t="shared" si="83"/>
        <v>2757859</v>
      </c>
      <c r="Q2672" s="13">
        <f>SUMIFS(M:M,E:E,Online_eCommerce[[#This Row],[Status]])</f>
        <v>28340455</v>
      </c>
      <c r="R2672" s="13">
        <f>SUMIFS(L:L,H:H,Online_eCommerce[[#This Row],[Brand]])</f>
        <v>5045100</v>
      </c>
      <c r="S2672" s="13">
        <f>SUMIF(H:H,Online_eCommerce[[#This Row],[Brand]],M:M)</f>
        <v>6558630</v>
      </c>
      <c r="T2672" s="13">
        <f>SUMIF(N:N,Online_eCommerce[[#This Row],[Assigned Supervisor]],L:L)</f>
        <v>12100590</v>
      </c>
    </row>
    <row r="2673" spans="1:20" hidden="1" x14ac:dyDescent="0.3">
      <c r="A2673" t="s">
        <v>3955</v>
      </c>
      <c r="B2673" t="s">
        <v>73</v>
      </c>
      <c r="C2673" t="s">
        <v>150</v>
      </c>
      <c r="D2673" t="s">
        <v>3920</v>
      </c>
      <c r="E2673" t="s">
        <v>161</v>
      </c>
      <c r="F2673" t="s">
        <v>126</v>
      </c>
      <c r="G2673" t="s">
        <v>26</v>
      </c>
      <c r="H2673" t="s">
        <v>27</v>
      </c>
      <c r="I2673">
        <v>14500</v>
      </c>
      <c r="J2673">
        <v>18850</v>
      </c>
      <c r="K2673">
        <v>4</v>
      </c>
      <c r="L2673">
        <v>58000</v>
      </c>
      <c r="M2673">
        <v>75400</v>
      </c>
      <c r="N2673" t="s">
        <v>56</v>
      </c>
      <c r="O2673">
        <f t="shared" si="82"/>
        <v>33150</v>
      </c>
      <c r="P2673" s="13">
        <f t="shared" si="83"/>
        <v>2154984</v>
      </c>
      <c r="Q2673" s="13">
        <f>SUMIFS(M:M,E:E,Online_eCommerce[[#This Row],[Status]])</f>
        <v>21103186</v>
      </c>
      <c r="R2673" s="13">
        <f>SUMIFS(L:L,H:H,Online_eCommerce[[#This Row],[Brand]])</f>
        <v>14431000</v>
      </c>
      <c r="S2673" s="13">
        <f>SUMIF(H:H,Online_eCommerce[[#This Row],[Brand]],M:M)</f>
        <v>18760300</v>
      </c>
      <c r="T2673" s="13">
        <f>SUMIF(N:N,Online_eCommerce[[#This Row],[Assigned Supervisor]],L:L)</f>
        <v>11733610</v>
      </c>
    </row>
    <row r="2674" spans="1:20" x14ac:dyDescent="0.3">
      <c r="A2674" t="s">
        <v>3956</v>
      </c>
      <c r="B2674" t="s">
        <v>80</v>
      </c>
      <c r="C2674" t="s">
        <v>155</v>
      </c>
      <c r="D2674" t="s">
        <v>3920</v>
      </c>
      <c r="E2674" t="s">
        <v>46</v>
      </c>
      <c r="F2674" t="s">
        <v>129</v>
      </c>
      <c r="G2674" t="s">
        <v>60</v>
      </c>
      <c r="H2674" t="s">
        <v>61</v>
      </c>
      <c r="I2674">
        <v>800</v>
      </c>
      <c r="J2674">
        <v>1040</v>
      </c>
      <c r="K2674">
        <v>4</v>
      </c>
      <c r="L2674">
        <v>3200</v>
      </c>
      <c r="M2674">
        <v>4160</v>
      </c>
      <c r="N2674" t="s">
        <v>22</v>
      </c>
      <c r="O2674">
        <f t="shared" si="82"/>
        <v>3315</v>
      </c>
      <c r="P2674" s="13">
        <f t="shared" si="83"/>
        <v>2753348</v>
      </c>
      <c r="Q2674" s="13">
        <f>SUMIFS(M:M,E:E,Online_eCommerce[[#This Row],[Status]])</f>
        <v>28620410</v>
      </c>
      <c r="R2674" s="13">
        <f>SUMIFS(L:L,H:H,Online_eCommerce[[#This Row],[Brand]])</f>
        <v>10950150</v>
      </c>
      <c r="S2674" s="13">
        <f>SUMIF(H:H,Online_eCommerce[[#This Row],[Brand]],M:M)</f>
        <v>14235195</v>
      </c>
      <c r="T2674" s="13">
        <f>SUMIF(N:N,Online_eCommerce[[#This Row],[Assigned Supervisor]],L:L)</f>
        <v>13693220</v>
      </c>
    </row>
    <row r="2675" spans="1:20" hidden="1" x14ac:dyDescent="0.3">
      <c r="A2675" t="s">
        <v>3957</v>
      </c>
      <c r="B2675" t="s">
        <v>85</v>
      </c>
      <c r="C2675" t="s">
        <v>160</v>
      </c>
      <c r="D2675" t="s">
        <v>3920</v>
      </c>
      <c r="E2675" t="s">
        <v>96</v>
      </c>
      <c r="F2675" t="s">
        <v>133</v>
      </c>
      <c r="G2675" t="s">
        <v>66</v>
      </c>
      <c r="H2675" t="s">
        <v>21</v>
      </c>
      <c r="I2675">
        <v>600</v>
      </c>
      <c r="J2675">
        <v>780</v>
      </c>
      <c r="K2675">
        <v>4</v>
      </c>
      <c r="L2675">
        <v>2400</v>
      </c>
      <c r="M2675">
        <v>3120</v>
      </c>
      <c r="N2675" t="s">
        <v>28</v>
      </c>
      <c r="O2675">
        <f t="shared" si="82"/>
        <v>1690</v>
      </c>
      <c r="P2675" s="13">
        <f t="shared" si="83"/>
        <v>2303483</v>
      </c>
      <c r="Q2675" s="13">
        <f>SUMIFS(M:M,E:E,Online_eCommerce[[#This Row],[Status]])</f>
        <v>21233992</v>
      </c>
      <c r="R2675" s="13">
        <f>SUMIFS(L:L,H:H,Online_eCommerce[[#This Row],[Brand]])</f>
        <v>12435650</v>
      </c>
      <c r="S2675" s="13">
        <f>SUMIF(H:H,Online_eCommerce[[#This Row],[Brand]],M:M)</f>
        <v>16166345</v>
      </c>
      <c r="T2675" s="13">
        <f>SUMIF(N:N,Online_eCommerce[[#This Row],[Assigned Supervisor]],L:L)</f>
        <v>12220830</v>
      </c>
    </row>
    <row r="2676" spans="1:20" hidden="1" x14ac:dyDescent="0.3">
      <c r="A2676" t="s">
        <v>3958</v>
      </c>
      <c r="B2676" t="s">
        <v>90</v>
      </c>
      <c r="C2676" t="s">
        <v>165</v>
      </c>
      <c r="D2676" t="s">
        <v>3959</v>
      </c>
      <c r="E2676" t="s">
        <v>18</v>
      </c>
      <c r="F2676" t="s">
        <v>137</v>
      </c>
      <c r="G2676" t="s">
        <v>71</v>
      </c>
      <c r="H2676" t="s">
        <v>61</v>
      </c>
      <c r="I2676">
        <v>10500</v>
      </c>
      <c r="J2676">
        <v>13650</v>
      </c>
      <c r="K2676">
        <v>2</v>
      </c>
      <c r="L2676">
        <v>21000</v>
      </c>
      <c r="M2676">
        <v>27300</v>
      </c>
      <c r="N2676" t="s">
        <v>35</v>
      </c>
      <c r="O2676">
        <f t="shared" si="82"/>
        <v>9750</v>
      </c>
      <c r="P2676" s="13">
        <f t="shared" si="83"/>
        <v>2674087</v>
      </c>
      <c r="Q2676" s="13">
        <f>SUMIFS(M:M,E:E,Online_eCommerce[[#This Row],[Status]])</f>
        <v>28340455</v>
      </c>
      <c r="R2676" s="13">
        <f>SUMIFS(L:L,H:H,Online_eCommerce[[#This Row],[Brand]])</f>
        <v>10950150</v>
      </c>
      <c r="S2676" s="13">
        <f>SUMIF(H:H,Online_eCommerce[[#This Row],[Brand]],M:M)</f>
        <v>14235195</v>
      </c>
      <c r="T2676" s="13">
        <f>SUMIF(N:N,Online_eCommerce[[#This Row],[Assigned Supervisor]],L:L)</f>
        <v>14373360</v>
      </c>
    </row>
    <row r="2677" spans="1:20" hidden="1" x14ac:dyDescent="0.3">
      <c r="A2677" t="s">
        <v>3960</v>
      </c>
      <c r="B2677" t="s">
        <v>232</v>
      </c>
      <c r="C2677" t="s">
        <v>168</v>
      </c>
      <c r="D2677" t="s">
        <v>3959</v>
      </c>
      <c r="E2677" t="s">
        <v>161</v>
      </c>
      <c r="F2677" t="s">
        <v>3930</v>
      </c>
      <c r="G2677" t="s">
        <v>77</v>
      </c>
      <c r="H2677" t="s">
        <v>142</v>
      </c>
      <c r="I2677">
        <v>6500</v>
      </c>
      <c r="J2677">
        <v>8450</v>
      </c>
      <c r="K2677">
        <v>2</v>
      </c>
      <c r="L2677">
        <v>13000</v>
      </c>
      <c r="M2677">
        <v>16900</v>
      </c>
      <c r="N2677" t="s">
        <v>42</v>
      </c>
      <c r="O2677">
        <f t="shared" si="82"/>
        <v>39000</v>
      </c>
      <c r="P2677" s="13">
        <f t="shared" si="83"/>
        <v>1937780</v>
      </c>
      <c r="Q2677" s="13">
        <f>SUMIFS(M:M,E:E,Online_eCommerce[[#This Row],[Status]])</f>
        <v>21103186</v>
      </c>
      <c r="R2677" s="13">
        <f>SUMIFS(L:L,H:H,Online_eCommerce[[#This Row],[Brand]])</f>
        <v>6192500</v>
      </c>
      <c r="S2677" s="13">
        <f>SUMIF(H:H,Online_eCommerce[[#This Row],[Brand]],M:M)</f>
        <v>8050250</v>
      </c>
      <c r="T2677" s="13">
        <f>SUMIF(N:N,Online_eCommerce[[#This Row],[Assigned Supervisor]],L:L)</f>
        <v>12261500</v>
      </c>
    </row>
    <row r="2678" spans="1:20" x14ac:dyDescent="0.3">
      <c r="A2678" t="s">
        <v>3961</v>
      </c>
      <c r="B2678" t="s">
        <v>235</v>
      </c>
      <c r="C2678" t="s">
        <v>172</v>
      </c>
      <c r="D2678" t="s">
        <v>3959</v>
      </c>
      <c r="E2678" t="s">
        <v>46</v>
      </c>
      <c r="F2678" t="s">
        <v>3962</v>
      </c>
      <c r="G2678" t="s">
        <v>20</v>
      </c>
      <c r="H2678" t="s">
        <v>21</v>
      </c>
      <c r="I2678">
        <v>4500</v>
      </c>
      <c r="J2678">
        <v>5850</v>
      </c>
      <c r="K2678">
        <v>2</v>
      </c>
      <c r="L2678">
        <v>9000</v>
      </c>
      <c r="M2678">
        <v>11700</v>
      </c>
      <c r="N2678" t="s">
        <v>50</v>
      </c>
      <c r="O2678">
        <f t="shared" si="82"/>
        <v>8450</v>
      </c>
      <c r="P2678" s="13">
        <f t="shared" si="83"/>
        <v>2640274</v>
      </c>
      <c r="Q2678" s="13">
        <f>SUMIFS(M:M,E:E,Online_eCommerce[[#This Row],[Status]])</f>
        <v>28620410</v>
      </c>
      <c r="R2678" s="13">
        <f>SUMIFS(L:L,H:H,Online_eCommerce[[#This Row],[Brand]])</f>
        <v>12435650</v>
      </c>
      <c r="S2678" s="13">
        <f>SUMIF(H:H,Online_eCommerce[[#This Row],[Brand]],M:M)</f>
        <v>16166345</v>
      </c>
      <c r="T2678" s="13">
        <f>SUMIF(N:N,Online_eCommerce[[#This Row],[Assigned Supervisor]],L:L)</f>
        <v>12100590</v>
      </c>
    </row>
    <row r="2679" spans="1:20" hidden="1" x14ac:dyDescent="0.3">
      <c r="A2679" t="s">
        <v>3963</v>
      </c>
      <c r="B2679" t="s">
        <v>104</v>
      </c>
      <c r="C2679" t="s">
        <v>177</v>
      </c>
      <c r="D2679" t="s">
        <v>3959</v>
      </c>
      <c r="E2679" t="s">
        <v>96</v>
      </c>
      <c r="F2679" t="s">
        <v>152</v>
      </c>
      <c r="G2679" t="s">
        <v>26</v>
      </c>
      <c r="H2679" t="s">
        <v>27</v>
      </c>
      <c r="I2679">
        <v>8500</v>
      </c>
      <c r="J2679">
        <v>11050</v>
      </c>
      <c r="K2679">
        <v>2</v>
      </c>
      <c r="L2679">
        <v>17000</v>
      </c>
      <c r="M2679">
        <v>22100</v>
      </c>
      <c r="N2679" t="s">
        <v>56</v>
      </c>
      <c r="O2679">
        <f t="shared" si="82"/>
        <v>33150</v>
      </c>
      <c r="P2679" s="13">
        <f t="shared" si="83"/>
        <v>1863810</v>
      </c>
      <c r="Q2679" s="13">
        <f>SUMIFS(M:M,E:E,Online_eCommerce[[#This Row],[Status]])</f>
        <v>21233992</v>
      </c>
      <c r="R2679" s="13">
        <f>SUMIFS(L:L,H:H,Online_eCommerce[[#This Row],[Brand]])</f>
        <v>14431000</v>
      </c>
      <c r="S2679" s="13">
        <f>SUMIF(H:H,Online_eCommerce[[#This Row],[Brand]],M:M)</f>
        <v>18760300</v>
      </c>
      <c r="T2679" s="13">
        <f>SUMIF(N:N,Online_eCommerce[[#This Row],[Assigned Supervisor]],L:L)</f>
        <v>11733610</v>
      </c>
    </row>
    <row r="2680" spans="1:20" hidden="1" x14ac:dyDescent="0.3">
      <c r="A2680" t="s">
        <v>3964</v>
      </c>
      <c r="B2680" t="s">
        <v>109</v>
      </c>
      <c r="C2680" t="s">
        <v>181</v>
      </c>
      <c r="D2680" t="s">
        <v>3959</v>
      </c>
      <c r="E2680" t="s">
        <v>18</v>
      </c>
      <c r="F2680" t="s">
        <v>157</v>
      </c>
      <c r="G2680" t="s">
        <v>33</v>
      </c>
      <c r="H2680" t="s">
        <v>34</v>
      </c>
      <c r="I2680">
        <v>12500</v>
      </c>
      <c r="J2680">
        <v>16250</v>
      </c>
      <c r="K2680">
        <v>2</v>
      </c>
      <c r="L2680">
        <v>25000</v>
      </c>
      <c r="M2680">
        <v>32500</v>
      </c>
      <c r="N2680" t="s">
        <v>22</v>
      </c>
      <c r="O2680">
        <f t="shared" si="82"/>
        <v>18200</v>
      </c>
      <c r="P2680" s="13">
        <f t="shared" si="83"/>
        <v>2577458</v>
      </c>
      <c r="Q2680" s="13">
        <f>SUMIFS(M:M,E:E,Online_eCommerce[[#This Row],[Status]])</f>
        <v>28340455</v>
      </c>
      <c r="R2680" s="13">
        <f>SUMIFS(L:L,H:H,Online_eCommerce[[#This Row],[Brand]])</f>
        <v>10087000</v>
      </c>
      <c r="S2680" s="13">
        <f>SUMIF(H:H,Online_eCommerce[[#This Row],[Brand]],M:M)</f>
        <v>13113100</v>
      </c>
      <c r="T2680" s="13">
        <f>SUMIF(N:N,Online_eCommerce[[#This Row],[Assigned Supervisor]],L:L)</f>
        <v>13693220</v>
      </c>
    </row>
    <row r="2681" spans="1:20" hidden="1" x14ac:dyDescent="0.3">
      <c r="A2681" t="s">
        <v>3965</v>
      </c>
      <c r="B2681" t="s">
        <v>114</v>
      </c>
      <c r="C2681" t="s">
        <v>185</v>
      </c>
      <c r="D2681" t="s">
        <v>3959</v>
      </c>
      <c r="E2681" t="s">
        <v>161</v>
      </c>
      <c r="F2681" t="s">
        <v>3613</v>
      </c>
      <c r="G2681" t="s">
        <v>163</v>
      </c>
      <c r="H2681" t="s">
        <v>41</v>
      </c>
      <c r="I2681">
        <v>3500</v>
      </c>
      <c r="J2681">
        <v>4550</v>
      </c>
      <c r="K2681">
        <v>3</v>
      </c>
      <c r="L2681">
        <v>10500</v>
      </c>
      <c r="M2681">
        <v>13650</v>
      </c>
      <c r="N2681" t="s">
        <v>28</v>
      </c>
      <c r="O2681">
        <f t="shared" si="82"/>
        <v>13650</v>
      </c>
      <c r="P2681" s="13">
        <f t="shared" si="83"/>
        <v>2091596</v>
      </c>
      <c r="Q2681" s="13">
        <f>SUMIFS(M:M,E:E,Online_eCommerce[[#This Row],[Status]])</f>
        <v>21103186</v>
      </c>
      <c r="R2681" s="13">
        <f>SUMIFS(L:L,H:H,Online_eCommerce[[#This Row],[Brand]])</f>
        <v>4260400</v>
      </c>
      <c r="S2681" s="13">
        <f>SUMIF(H:H,Online_eCommerce[[#This Row],[Brand]],M:M)</f>
        <v>5538520</v>
      </c>
      <c r="T2681" s="13">
        <f>SUMIF(N:N,Online_eCommerce[[#This Row],[Assigned Supervisor]],L:L)</f>
        <v>12220830</v>
      </c>
    </row>
    <row r="2682" spans="1:20" x14ac:dyDescent="0.3">
      <c r="A2682" t="s">
        <v>3966</v>
      </c>
      <c r="B2682" t="s">
        <v>119</v>
      </c>
      <c r="C2682" t="s">
        <v>189</v>
      </c>
      <c r="D2682" t="s">
        <v>3959</v>
      </c>
      <c r="E2682" t="s">
        <v>46</v>
      </c>
      <c r="F2682" t="s">
        <v>166</v>
      </c>
      <c r="G2682" t="s">
        <v>66</v>
      </c>
      <c r="H2682" t="s">
        <v>49</v>
      </c>
      <c r="I2682">
        <v>4500</v>
      </c>
      <c r="J2682">
        <v>5850</v>
      </c>
      <c r="K2682">
        <v>3</v>
      </c>
      <c r="L2682">
        <v>13500</v>
      </c>
      <c r="M2682">
        <v>17550</v>
      </c>
      <c r="N2682" t="s">
        <v>35</v>
      </c>
      <c r="O2682">
        <f t="shared" si="82"/>
        <v>1690</v>
      </c>
      <c r="P2682" s="13">
        <f t="shared" si="83"/>
        <v>2740777</v>
      </c>
      <c r="Q2682" s="13">
        <f>SUMIFS(M:M,E:E,Online_eCommerce[[#This Row],[Status]])</f>
        <v>28620410</v>
      </c>
      <c r="R2682" s="13">
        <f>SUMIFS(L:L,H:H,Online_eCommerce[[#This Row],[Brand]])</f>
        <v>4528350</v>
      </c>
      <c r="S2682" s="13">
        <f>SUMIF(H:H,Online_eCommerce[[#This Row],[Brand]],M:M)</f>
        <v>5886855</v>
      </c>
      <c r="T2682" s="13">
        <f>SUMIF(N:N,Online_eCommerce[[#This Row],[Assigned Supervisor]],L:L)</f>
        <v>14373360</v>
      </c>
    </row>
    <row r="2683" spans="1:20" hidden="1" x14ac:dyDescent="0.3">
      <c r="A2683" t="s">
        <v>3967</v>
      </c>
      <c r="B2683" t="s">
        <v>124</v>
      </c>
      <c r="C2683" t="s">
        <v>193</v>
      </c>
      <c r="D2683" t="s">
        <v>3959</v>
      </c>
      <c r="E2683" t="s">
        <v>96</v>
      </c>
      <c r="F2683" t="s">
        <v>3968</v>
      </c>
      <c r="G2683" t="s">
        <v>54</v>
      </c>
      <c r="H2683" t="s">
        <v>55</v>
      </c>
      <c r="I2683">
        <v>2100</v>
      </c>
      <c r="J2683">
        <v>2730</v>
      </c>
      <c r="K2683">
        <v>4</v>
      </c>
      <c r="L2683">
        <v>8400</v>
      </c>
      <c r="M2683">
        <v>10920</v>
      </c>
      <c r="N2683" t="s">
        <v>42</v>
      </c>
      <c r="O2683">
        <f t="shared" si="82"/>
        <v>2990</v>
      </c>
      <c r="P2683" s="13">
        <f t="shared" si="83"/>
        <v>2074774</v>
      </c>
      <c r="Q2683" s="13">
        <f>SUMIFS(M:M,E:E,Online_eCommerce[[#This Row],[Status]])</f>
        <v>21233992</v>
      </c>
      <c r="R2683" s="13">
        <f>SUMIFS(L:L,H:H,Online_eCommerce[[#This Row],[Brand]])</f>
        <v>2267380</v>
      </c>
      <c r="S2683" s="13">
        <f>SUMIF(H:H,Online_eCommerce[[#This Row],[Brand]],M:M)</f>
        <v>2947594</v>
      </c>
      <c r="T2683" s="13">
        <f>SUMIF(N:N,Online_eCommerce[[#This Row],[Assigned Supervisor]],L:L)</f>
        <v>12261500</v>
      </c>
    </row>
    <row r="2684" spans="1:20" hidden="1" x14ac:dyDescent="0.3">
      <c r="A2684" t="s">
        <v>3969</v>
      </c>
      <c r="B2684" t="s">
        <v>128</v>
      </c>
      <c r="C2684" t="s">
        <v>197</v>
      </c>
      <c r="D2684" t="s">
        <v>3959</v>
      </c>
      <c r="E2684" t="s">
        <v>18</v>
      </c>
      <c r="F2684" t="s">
        <v>174</v>
      </c>
      <c r="G2684" t="s">
        <v>60</v>
      </c>
      <c r="H2684" t="s">
        <v>61</v>
      </c>
      <c r="I2684">
        <v>1150</v>
      </c>
      <c r="J2684">
        <v>1495</v>
      </c>
      <c r="K2684">
        <v>3</v>
      </c>
      <c r="L2684">
        <v>3450</v>
      </c>
      <c r="M2684">
        <v>4485</v>
      </c>
      <c r="N2684" t="s">
        <v>50</v>
      </c>
      <c r="O2684">
        <f t="shared" si="82"/>
        <v>3315</v>
      </c>
      <c r="P2684" s="13">
        <f t="shared" si="83"/>
        <v>2829840</v>
      </c>
      <c r="Q2684" s="13">
        <f>SUMIFS(M:M,E:E,Online_eCommerce[[#This Row],[Status]])</f>
        <v>28340455</v>
      </c>
      <c r="R2684" s="13">
        <f>SUMIFS(L:L,H:H,Online_eCommerce[[#This Row],[Brand]])</f>
        <v>10950150</v>
      </c>
      <c r="S2684" s="13">
        <f>SUMIF(H:H,Online_eCommerce[[#This Row],[Brand]],M:M)</f>
        <v>14235195</v>
      </c>
      <c r="T2684" s="13">
        <f>SUMIF(N:N,Online_eCommerce[[#This Row],[Assigned Supervisor]],L:L)</f>
        <v>12100590</v>
      </c>
    </row>
    <row r="2685" spans="1:20" hidden="1" x14ac:dyDescent="0.3">
      <c r="A2685" t="s">
        <v>3970</v>
      </c>
      <c r="B2685" t="s">
        <v>131</v>
      </c>
      <c r="C2685" t="s">
        <v>199</v>
      </c>
      <c r="D2685" t="s">
        <v>3959</v>
      </c>
      <c r="E2685" t="s">
        <v>161</v>
      </c>
      <c r="F2685" t="s">
        <v>179</v>
      </c>
      <c r="G2685" t="s">
        <v>66</v>
      </c>
      <c r="H2685" t="s">
        <v>21</v>
      </c>
      <c r="I2685">
        <v>350</v>
      </c>
      <c r="J2685">
        <v>455</v>
      </c>
      <c r="K2685">
        <v>4</v>
      </c>
      <c r="L2685">
        <v>1400</v>
      </c>
      <c r="M2685">
        <v>1820</v>
      </c>
      <c r="N2685" t="s">
        <v>56</v>
      </c>
      <c r="O2685">
        <f t="shared" si="82"/>
        <v>1690</v>
      </c>
      <c r="P2685" s="13">
        <f t="shared" si="83"/>
        <v>1947361</v>
      </c>
      <c r="Q2685" s="13">
        <f>SUMIFS(M:M,E:E,Online_eCommerce[[#This Row],[Status]])</f>
        <v>21103186</v>
      </c>
      <c r="R2685" s="13">
        <f>SUMIFS(L:L,H:H,Online_eCommerce[[#This Row],[Brand]])</f>
        <v>12435650</v>
      </c>
      <c r="S2685" s="13">
        <f>SUMIF(H:H,Online_eCommerce[[#This Row],[Brand]],M:M)</f>
        <v>16166345</v>
      </c>
      <c r="T2685" s="13">
        <f>SUMIF(N:N,Online_eCommerce[[#This Row],[Assigned Supervisor]],L:L)</f>
        <v>11733610</v>
      </c>
    </row>
    <row r="2686" spans="1:20" x14ac:dyDescent="0.3">
      <c r="A2686" t="s">
        <v>3971</v>
      </c>
      <c r="B2686" t="s">
        <v>135</v>
      </c>
      <c r="C2686" t="s">
        <v>203</v>
      </c>
      <c r="D2686" t="s">
        <v>3959</v>
      </c>
      <c r="E2686" t="s">
        <v>46</v>
      </c>
      <c r="F2686" t="s">
        <v>183</v>
      </c>
      <c r="G2686" t="s">
        <v>71</v>
      </c>
      <c r="H2686" t="s">
        <v>61</v>
      </c>
      <c r="I2686">
        <v>9500</v>
      </c>
      <c r="J2686">
        <v>12350</v>
      </c>
      <c r="K2686">
        <v>3</v>
      </c>
      <c r="L2686">
        <v>28500</v>
      </c>
      <c r="M2686">
        <v>37050</v>
      </c>
      <c r="N2686" t="s">
        <v>22</v>
      </c>
      <c r="O2686">
        <f t="shared" si="82"/>
        <v>9750</v>
      </c>
      <c r="P2686" s="13">
        <f t="shared" si="83"/>
        <v>2559635</v>
      </c>
      <c r="Q2686" s="13">
        <f>SUMIFS(M:M,E:E,Online_eCommerce[[#This Row],[Status]])</f>
        <v>28620410</v>
      </c>
      <c r="R2686" s="13">
        <f>SUMIFS(L:L,H:H,Online_eCommerce[[#This Row],[Brand]])</f>
        <v>10950150</v>
      </c>
      <c r="S2686" s="13">
        <f>SUMIF(H:H,Online_eCommerce[[#This Row],[Brand]],M:M)</f>
        <v>14235195</v>
      </c>
      <c r="T2686" s="13">
        <f>SUMIF(N:N,Online_eCommerce[[#This Row],[Assigned Supervisor]],L:L)</f>
        <v>13693220</v>
      </c>
    </row>
    <row r="2687" spans="1:20" hidden="1" x14ac:dyDescent="0.3">
      <c r="A2687" t="s">
        <v>3972</v>
      </c>
      <c r="B2687" t="s">
        <v>139</v>
      </c>
      <c r="C2687" t="s">
        <v>205</v>
      </c>
      <c r="D2687" t="s">
        <v>3959</v>
      </c>
      <c r="E2687" t="s">
        <v>96</v>
      </c>
      <c r="F2687" t="s">
        <v>3973</v>
      </c>
      <c r="G2687" t="s">
        <v>77</v>
      </c>
      <c r="H2687" t="s">
        <v>142</v>
      </c>
      <c r="I2687">
        <v>10000</v>
      </c>
      <c r="J2687">
        <v>13000</v>
      </c>
      <c r="K2687">
        <v>3</v>
      </c>
      <c r="L2687">
        <v>30000</v>
      </c>
      <c r="M2687">
        <v>39000</v>
      </c>
      <c r="N2687" t="s">
        <v>28</v>
      </c>
      <c r="O2687">
        <f t="shared" si="82"/>
        <v>39000</v>
      </c>
      <c r="P2687" s="13">
        <f t="shared" si="83"/>
        <v>1983254</v>
      </c>
      <c r="Q2687" s="13">
        <f>SUMIFS(M:M,E:E,Online_eCommerce[[#This Row],[Status]])</f>
        <v>21233992</v>
      </c>
      <c r="R2687" s="13">
        <f>SUMIFS(L:L,H:H,Online_eCommerce[[#This Row],[Brand]])</f>
        <v>6192500</v>
      </c>
      <c r="S2687" s="13">
        <f>SUMIF(H:H,Online_eCommerce[[#This Row],[Brand]],M:M)</f>
        <v>8050250</v>
      </c>
      <c r="T2687" s="13">
        <f>SUMIF(N:N,Online_eCommerce[[#This Row],[Assigned Supervisor]],L:L)</f>
        <v>12220830</v>
      </c>
    </row>
    <row r="2688" spans="1:20" hidden="1" x14ac:dyDescent="0.3">
      <c r="A2688" t="s">
        <v>3974</v>
      </c>
      <c r="B2688" t="s">
        <v>144</v>
      </c>
      <c r="C2688" t="s">
        <v>208</v>
      </c>
      <c r="D2688" t="s">
        <v>3959</v>
      </c>
      <c r="E2688" t="s">
        <v>18</v>
      </c>
      <c r="F2688" t="s">
        <v>3975</v>
      </c>
      <c r="G2688" t="s">
        <v>20</v>
      </c>
      <c r="H2688" t="s">
        <v>21</v>
      </c>
      <c r="I2688">
        <v>6500</v>
      </c>
      <c r="J2688">
        <v>8450</v>
      </c>
      <c r="K2688">
        <v>3</v>
      </c>
      <c r="L2688">
        <v>19500</v>
      </c>
      <c r="M2688">
        <v>25350</v>
      </c>
      <c r="N2688" t="s">
        <v>35</v>
      </c>
      <c r="O2688">
        <f t="shared" si="82"/>
        <v>8450</v>
      </c>
      <c r="P2688" s="13">
        <f t="shared" si="83"/>
        <v>2746575</v>
      </c>
      <c r="Q2688" s="13">
        <f>SUMIFS(M:M,E:E,Online_eCommerce[[#This Row],[Status]])</f>
        <v>28340455</v>
      </c>
      <c r="R2688" s="13">
        <f>SUMIFS(L:L,H:H,Online_eCommerce[[#This Row],[Brand]])</f>
        <v>12435650</v>
      </c>
      <c r="S2688" s="13">
        <f>SUMIF(H:H,Online_eCommerce[[#This Row],[Brand]],M:M)</f>
        <v>16166345</v>
      </c>
      <c r="T2688" s="13">
        <f>SUMIF(N:N,Online_eCommerce[[#This Row],[Assigned Supervisor]],L:L)</f>
        <v>14373360</v>
      </c>
    </row>
    <row r="2689" spans="1:20" hidden="1" x14ac:dyDescent="0.3">
      <c r="A2689" t="s">
        <v>3976</v>
      </c>
      <c r="B2689" t="s">
        <v>149</v>
      </c>
      <c r="C2689" t="s">
        <v>211</v>
      </c>
      <c r="D2689" t="s">
        <v>3959</v>
      </c>
      <c r="E2689" t="s">
        <v>161</v>
      </c>
      <c r="F2689" t="s">
        <v>3977</v>
      </c>
      <c r="G2689" t="s">
        <v>26</v>
      </c>
      <c r="H2689" t="s">
        <v>27</v>
      </c>
      <c r="I2689">
        <v>8500</v>
      </c>
      <c r="J2689">
        <v>11050</v>
      </c>
      <c r="K2689">
        <v>4</v>
      </c>
      <c r="L2689">
        <v>34000</v>
      </c>
      <c r="M2689">
        <v>44200</v>
      </c>
      <c r="N2689" t="s">
        <v>42</v>
      </c>
      <c r="O2689">
        <f t="shared" si="82"/>
        <v>33150</v>
      </c>
      <c r="P2689" s="13">
        <f t="shared" si="83"/>
        <v>1809847</v>
      </c>
      <c r="Q2689" s="13">
        <f>SUMIFS(M:M,E:E,Online_eCommerce[[#This Row],[Status]])</f>
        <v>21103186</v>
      </c>
      <c r="R2689" s="13">
        <f>SUMIFS(L:L,H:H,Online_eCommerce[[#This Row],[Brand]])</f>
        <v>14431000</v>
      </c>
      <c r="S2689" s="13">
        <f>SUMIF(H:H,Online_eCommerce[[#This Row],[Brand]],M:M)</f>
        <v>18760300</v>
      </c>
      <c r="T2689" s="13">
        <f>SUMIF(N:N,Online_eCommerce[[#This Row],[Assigned Supervisor]],L:L)</f>
        <v>12261500</v>
      </c>
    </row>
    <row r="2690" spans="1:20" x14ac:dyDescent="0.3">
      <c r="A2690" t="s">
        <v>3978</v>
      </c>
      <c r="B2690" t="s">
        <v>154</v>
      </c>
      <c r="C2690" t="s">
        <v>16</v>
      </c>
      <c r="D2690" t="s">
        <v>3959</v>
      </c>
      <c r="E2690" t="s">
        <v>46</v>
      </c>
      <c r="F2690" t="s">
        <v>32</v>
      </c>
      <c r="G2690" t="s">
        <v>33</v>
      </c>
      <c r="H2690" t="s">
        <v>34</v>
      </c>
      <c r="I2690">
        <v>7000</v>
      </c>
      <c r="J2690">
        <v>9100</v>
      </c>
      <c r="K2690">
        <v>4</v>
      </c>
      <c r="L2690">
        <v>28000</v>
      </c>
      <c r="M2690">
        <v>36400</v>
      </c>
      <c r="N2690" t="s">
        <v>50</v>
      </c>
      <c r="O2690">
        <f t="shared" ref="O2690:O2753" si="84">VLOOKUP(G2690,G:M,7,FALSE)</f>
        <v>18200</v>
      </c>
      <c r="P2690" s="13">
        <f t="shared" ref="P2690:P2753" si="85">SUMIFS(M:M,C:C,C2690)</f>
        <v>2751814</v>
      </c>
      <c r="Q2690" s="13">
        <f>SUMIFS(M:M,E:E,Online_eCommerce[[#This Row],[Status]])</f>
        <v>28620410</v>
      </c>
      <c r="R2690" s="13">
        <f>SUMIFS(L:L,H:H,Online_eCommerce[[#This Row],[Brand]])</f>
        <v>10087000</v>
      </c>
      <c r="S2690" s="13">
        <f>SUMIF(H:H,Online_eCommerce[[#This Row],[Brand]],M:M)</f>
        <v>13113100</v>
      </c>
      <c r="T2690" s="13">
        <f>SUMIF(N:N,Online_eCommerce[[#This Row],[Assigned Supervisor]],L:L)</f>
        <v>12100590</v>
      </c>
    </row>
    <row r="2691" spans="1:20" hidden="1" x14ac:dyDescent="0.3">
      <c r="A2691" t="s">
        <v>3979</v>
      </c>
      <c r="B2691" t="s">
        <v>159</v>
      </c>
      <c r="C2691" t="s">
        <v>24</v>
      </c>
      <c r="D2691" t="s">
        <v>3959</v>
      </c>
      <c r="E2691" t="s">
        <v>96</v>
      </c>
      <c r="F2691" t="s">
        <v>3980</v>
      </c>
      <c r="G2691" t="s">
        <v>163</v>
      </c>
      <c r="H2691" t="s">
        <v>41</v>
      </c>
      <c r="I2691">
        <v>6550</v>
      </c>
      <c r="J2691">
        <v>8515</v>
      </c>
      <c r="K2691">
        <v>1</v>
      </c>
      <c r="L2691">
        <v>6550</v>
      </c>
      <c r="M2691">
        <v>8515</v>
      </c>
      <c r="N2691" t="s">
        <v>56</v>
      </c>
      <c r="O2691">
        <f t="shared" si="84"/>
        <v>13650</v>
      </c>
      <c r="P2691" s="13">
        <f t="shared" si="85"/>
        <v>2009540</v>
      </c>
      <c r="Q2691" s="13">
        <f>SUMIFS(M:M,E:E,Online_eCommerce[[#This Row],[Status]])</f>
        <v>21233992</v>
      </c>
      <c r="R2691" s="13">
        <f>SUMIFS(L:L,H:H,Online_eCommerce[[#This Row],[Brand]])</f>
        <v>4260400</v>
      </c>
      <c r="S2691" s="13">
        <f>SUMIF(H:H,Online_eCommerce[[#This Row],[Brand]],M:M)</f>
        <v>5538520</v>
      </c>
      <c r="T2691" s="13">
        <f>SUMIF(N:N,Online_eCommerce[[#This Row],[Assigned Supervisor]],L:L)</f>
        <v>11733610</v>
      </c>
    </row>
    <row r="2692" spans="1:20" hidden="1" x14ac:dyDescent="0.3">
      <c r="A2692" t="s">
        <v>3981</v>
      </c>
      <c r="B2692" t="s">
        <v>139</v>
      </c>
      <c r="C2692" t="s">
        <v>31</v>
      </c>
      <c r="D2692" t="s">
        <v>3959</v>
      </c>
      <c r="E2692" t="s">
        <v>18</v>
      </c>
      <c r="F2692" t="s">
        <v>47</v>
      </c>
      <c r="G2692" t="s">
        <v>66</v>
      </c>
      <c r="H2692" t="s">
        <v>49</v>
      </c>
      <c r="I2692">
        <v>7650</v>
      </c>
      <c r="J2692">
        <v>9945</v>
      </c>
      <c r="K2692">
        <v>3</v>
      </c>
      <c r="L2692">
        <v>22950</v>
      </c>
      <c r="M2692">
        <v>29835</v>
      </c>
      <c r="N2692" t="s">
        <v>22</v>
      </c>
      <c r="O2692">
        <f t="shared" si="84"/>
        <v>1690</v>
      </c>
      <c r="P2692" s="13">
        <f t="shared" si="85"/>
        <v>2865746</v>
      </c>
      <c r="Q2692" s="13">
        <f>SUMIFS(M:M,E:E,Online_eCommerce[[#This Row],[Status]])</f>
        <v>28340455</v>
      </c>
      <c r="R2692" s="13">
        <f>SUMIFS(L:L,H:H,Online_eCommerce[[#This Row],[Brand]])</f>
        <v>4528350</v>
      </c>
      <c r="S2692" s="13">
        <f>SUMIF(H:H,Online_eCommerce[[#This Row],[Brand]],M:M)</f>
        <v>5886855</v>
      </c>
      <c r="T2692" s="13">
        <f>SUMIF(N:N,Online_eCommerce[[#This Row],[Assigned Supervisor]],L:L)</f>
        <v>13693220</v>
      </c>
    </row>
    <row r="2693" spans="1:20" hidden="1" x14ac:dyDescent="0.3">
      <c r="A2693" t="s">
        <v>3982</v>
      </c>
      <c r="B2693" t="s">
        <v>144</v>
      </c>
      <c r="C2693" t="s">
        <v>38</v>
      </c>
      <c r="D2693" t="s">
        <v>3959</v>
      </c>
      <c r="E2693" t="s">
        <v>161</v>
      </c>
      <c r="F2693" t="s">
        <v>53</v>
      </c>
      <c r="G2693" t="s">
        <v>54</v>
      </c>
      <c r="H2693" t="s">
        <v>55</v>
      </c>
      <c r="I2693">
        <v>1150</v>
      </c>
      <c r="J2693">
        <v>1495</v>
      </c>
      <c r="K2693">
        <v>4</v>
      </c>
      <c r="L2693">
        <v>4600</v>
      </c>
      <c r="M2693">
        <v>5980</v>
      </c>
      <c r="N2693" t="s">
        <v>28</v>
      </c>
      <c r="O2693">
        <f t="shared" si="84"/>
        <v>2990</v>
      </c>
      <c r="P2693" s="13">
        <f t="shared" si="85"/>
        <v>1933997</v>
      </c>
      <c r="Q2693" s="13">
        <f>SUMIFS(M:M,E:E,Online_eCommerce[[#This Row],[Status]])</f>
        <v>21103186</v>
      </c>
      <c r="R2693" s="13">
        <f>SUMIFS(L:L,H:H,Online_eCommerce[[#This Row],[Brand]])</f>
        <v>2267380</v>
      </c>
      <c r="S2693" s="13">
        <f>SUMIF(H:H,Online_eCommerce[[#This Row],[Brand]],M:M)</f>
        <v>2947594</v>
      </c>
      <c r="T2693" s="13">
        <f>SUMIF(N:N,Online_eCommerce[[#This Row],[Assigned Supervisor]],L:L)</f>
        <v>12220830</v>
      </c>
    </row>
    <row r="2694" spans="1:20" x14ac:dyDescent="0.3">
      <c r="A2694" t="s">
        <v>3983</v>
      </c>
      <c r="B2694" t="s">
        <v>235</v>
      </c>
      <c r="C2694" t="s">
        <v>45</v>
      </c>
      <c r="D2694" t="s">
        <v>3959</v>
      </c>
      <c r="E2694" t="s">
        <v>46</v>
      </c>
      <c r="F2694" t="s">
        <v>59</v>
      </c>
      <c r="G2694" t="s">
        <v>60</v>
      </c>
      <c r="H2694" t="s">
        <v>61</v>
      </c>
      <c r="I2694">
        <v>850</v>
      </c>
      <c r="J2694">
        <v>1105</v>
      </c>
      <c r="K2694">
        <v>4</v>
      </c>
      <c r="L2694">
        <v>3400</v>
      </c>
      <c r="M2694">
        <v>4420</v>
      </c>
      <c r="N2694" t="s">
        <v>35</v>
      </c>
      <c r="O2694">
        <f t="shared" si="84"/>
        <v>3315</v>
      </c>
      <c r="P2694" s="13">
        <f t="shared" si="85"/>
        <v>2842554</v>
      </c>
      <c r="Q2694" s="13">
        <f>SUMIFS(M:M,E:E,Online_eCommerce[[#This Row],[Status]])</f>
        <v>28620410</v>
      </c>
      <c r="R2694" s="13">
        <f>SUMIFS(L:L,H:H,Online_eCommerce[[#This Row],[Brand]])</f>
        <v>10950150</v>
      </c>
      <c r="S2694" s="13">
        <f>SUMIF(H:H,Online_eCommerce[[#This Row],[Brand]],M:M)</f>
        <v>14235195</v>
      </c>
      <c r="T2694" s="13">
        <f>SUMIF(N:N,Online_eCommerce[[#This Row],[Assigned Supervisor]],L:L)</f>
        <v>14373360</v>
      </c>
    </row>
    <row r="2695" spans="1:20" hidden="1" x14ac:dyDescent="0.3">
      <c r="A2695" t="s">
        <v>3984</v>
      </c>
      <c r="B2695" t="s">
        <v>176</v>
      </c>
      <c r="C2695" t="s">
        <v>52</v>
      </c>
      <c r="D2695" t="s">
        <v>3959</v>
      </c>
      <c r="E2695" t="s">
        <v>96</v>
      </c>
      <c r="F2695" t="s">
        <v>65</v>
      </c>
      <c r="G2695" t="s">
        <v>66</v>
      </c>
      <c r="H2695" t="s">
        <v>21</v>
      </c>
      <c r="I2695">
        <v>650</v>
      </c>
      <c r="J2695">
        <v>845</v>
      </c>
      <c r="K2695">
        <v>1</v>
      </c>
      <c r="L2695">
        <v>650</v>
      </c>
      <c r="M2695">
        <v>845</v>
      </c>
      <c r="N2695" t="s">
        <v>42</v>
      </c>
      <c r="O2695">
        <f t="shared" si="84"/>
        <v>1690</v>
      </c>
      <c r="P2695" s="13">
        <f t="shared" si="85"/>
        <v>1955044</v>
      </c>
      <c r="Q2695" s="13">
        <f>SUMIFS(M:M,E:E,Online_eCommerce[[#This Row],[Status]])</f>
        <v>21233992</v>
      </c>
      <c r="R2695" s="13">
        <f>SUMIFS(L:L,H:H,Online_eCommerce[[#This Row],[Brand]])</f>
        <v>12435650</v>
      </c>
      <c r="S2695" s="13">
        <f>SUMIF(H:H,Online_eCommerce[[#This Row],[Brand]],M:M)</f>
        <v>16166345</v>
      </c>
      <c r="T2695" s="13">
        <f>SUMIF(N:N,Online_eCommerce[[#This Row],[Assigned Supervisor]],L:L)</f>
        <v>12261500</v>
      </c>
    </row>
    <row r="2696" spans="1:20" hidden="1" x14ac:dyDescent="0.3">
      <c r="A2696" t="s">
        <v>3985</v>
      </c>
      <c r="B2696" t="s">
        <v>276</v>
      </c>
      <c r="C2696" t="s">
        <v>58</v>
      </c>
      <c r="D2696" t="s">
        <v>3959</v>
      </c>
      <c r="E2696" t="s">
        <v>18</v>
      </c>
      <c r="F2696" t="s">
        <v>70</v>
      </c>
      <c r="G2696" t="s">
        <v>71</v>
      </c>
      <c r="H2696" t="s">
        <v>61</v>
      </c>
      <c r="I2696">
        <v>7500</v>
      </c>
      <c r="J2696">
        <v>9750</v>
      </c>
      <c r="K2696">
        <v>1</v>
      </c>
      <c r="L2696">
        <v>7500</v>
      </c>
      <c r="M2696">
        <v>9750</v>
      </c>
      <c r="N2696" t="s">
        <v>50</v>
      </c>
      <c r="O2696">
        <f t="shared" si="84"/>
        <v>9750</v>
      </c>
      <c r="P2696" s="13">
        <f t="shared" si="85"/>
        <v>2629211</v>
      </c>
      <c r="Q2696" s="13">
        <f>SUMIFS(M:M,E:E,Online_eCommerce[[#This Row],[Status]])</f>
        <v>28340455</v>
      </c>
      <c r="R2696" s="13">
        <f>SUMIFS(L:L,H:H,Online_eCommerce[[#This Row],[Brand]])</f>
        <v>10950150</v>
      </c>
      <c r="S2696" s="13">
        <f>SUMIF(H:H,Online_eCommerce[[#This Row],[Brand]],M:M)</f>
        <v>14235195</v>
      </c>
      <c r="T2696" s="13">
        <f>SUMIF(N:N,Online_eCommerce[[#This Row],[Assigned Supervisor]],L:L)</f>
        <v>12100590</v>
      </c>
    </row>
    <row r="2697" spans="1:20" hidden="1" x14ac:dyDescent="0.3">
      <c r="A2697" t="s">
        <v>3986</v>
      </c>
      <c r="B2697" t="s">
        <v>280</v>
      </c>
      <c r="C2697" t="s">
        <v>63</v>
      </c>
      <c r="D2697" t="s">
        <v>3959</v>
      </c>
      <c r="E2697" t="s">
        <v>161</v>
      </c>
      <c r="F2697" t="s">
        <v>3973</v>
      </c>
      <c r="G2697" t="s">
        <v>77</v>
      </c>
      <c r="H2697" t="s">
        <v>78</v>
      </c>
      <c r="I2697">
        <v>10000</v>
      </c>
      <c r="J2697">
        <v>13000</v>
      </c>
      <c r="K2697">
        <v>1</v>
      </c>
      <c r="L2697">
        <v>10000</v>
      </c>
      <c r="M2697">
        <v>13000</v>
      </c>
      <c r="N2697" t="s">
        <v>56</v>
      </c>
      <c r="O2697">
        <f t="shared" si="84"/>
        <v>39000</v>
      </c>
      <c r="P2697" s="13">
        <f t="shared" si="85"/>
        <v>2016131</v>
      </c>
      <c r="Q2697" s="13">
        <f>SUMIFS(M:M,E:E,Online_eCommerce[[#This Row],[Status]])</f>
        <v>21103186</v>
      </c>
      <c r="R2697" s="13">
        <f>SUMIFS(L:L,H:H,Online_eCommerce[[#This Row],[Brand]])</f>
        <v>3720000</v>
      </c>
      <c r="S2697" s="13">
        <f>SUMIF(H:H,Online_eCommerce[[#This Row],[Brand]],M:M)</f>
        <v>4836000</v>
      </c>
      <c r="T2697" s="13">
        <f>SUMIF(N:N,Online_eCommerce[[#This Row],[Assigned Supervisor]],L:L)</f>
        <v>11733610</v>
      </c>
    </row>
    <row r="2698" spans="1:20" x14ac:dyDescent="0.3">
      <c r="A2698" t="s">
        <v>3987</v>
      </c>
      <c r="B2698" t="s">
        <v>283</v>
      </c>
      <c r="C2698" t="s">
        <v>68</v>
      </c>
      <c r="D2698" t="s">
        <v>3959</v>
      </c>
      <c r="E2698" t="s">
        <v>46</v>
      </c>
      <c r="F2698" t="s">
        <v>3988</v>
      </c>
      <c r="G2698" t="s">
        <v>20</v>
      </c>
      <c r="H2698" t="s">
        <v>21</v>
      </c>
      <c r="I2698">
        <v>10500</v>
      </c>
      <c r="J2698">
        <v>13650</v>
      </c>
      <c r="K2698">
        <v>3</v>
      </c>
      <c r="L2698">
        <v>31500</v>
      </c>
      <c r="M2698">
        <v>40950</v>
      </c>
      <c r="N2698" t="s">
        <v>22</v>
      </c>
      <c r="O2698">
        <f t="shared" si="84"/>
        <v>8450</v>
      </c>
      <c r="P2698" s="13">
        <f t="shared" si="85"/>
        <v>2974621</v>
      </c>
      <c r="Q2698" s="13">
        <f>SUMIFS(M:M,E:E,Online_eCommerce[[#This Row],[Status]])</f>
        <v>28620410</v>
      </c>
      <c r="R2698" s="13">
        <f>SUMIFS(L:L,H:H,Online_eCommerce[[#This Row],[Brand]])</f>
        <v>12435650</v>
      </c>
      <c r="S2698" s="13">
        <f>SUMIF(H:H,Online_eCommerce[[#This Row],[Brand]],M:M)</f>
        <v>16166345</v>
      </c>
      <c r="T2698" s="13">
        <f>SUMIF(N:N,Online_eCommerce[[#This Row],[Assigned Supervisor]],L:L)</f>
        <v>13693220</v>
      </c>
    </row>
    <row r="2699" spans="1:20" hidden="1" x14ac:dyDescent="0.3">
      <c r="A2699" t="s">
        <v>3989</v>
      </c>
      <c r="B2699" t="s">
        <v>287</v>
      </c>
      <c r="C2699" t="s">
        <v>74</v>
      </c>
      <c r="D2699" t="s">
        <v>3959</v>
      </c>
      <c r="E2699" t="s">
        <v>96</v>
      </c>
      <c r="F2699" t="s">
        <v>88</v>
      </c>
      <c r="G2699" t="s">
        <v>26</v>
      </c>
      <c r="H2699" t="s">
        <v>27</v>
      </c>
      <c r="I2699">
        <v>8500</v>
      </c>
      <c r="J2699">
        <v>11050</v>
      </c>
      <c r="K2699">
        <v>4</v>
      </c>
      <c r="L2699">
        <v>34000</v>
      </c>
      <c r="M2699">
        <v>44200</v>
      </c>
      <c r="N2699" t="s">
        <v>28</v>
      </c>
      <c r="O2699">
        <f t="shared" si="84"/>
        <v>33150</v>
      </c>
      <c r="P2699" s="13">
        <f t="shared" si="85"/>
        <v>2144701</v>
      </c>
      <c r="Q2699" s="13">
        <f>SUMIFS(M:M,E:E,Online_eCommerce[[#This Row],[Status]])</f>
        <v>21233992</v>
      </c>
      <c r="R2699" s="13">
        <f>SUMIFS(L:L,H:H,Online_eCommerce[[#This Row],[Brand]])</f>
        <v>14431000</v>
      </c>
      <c r="S2699" s="13">
        <f>SUMIF(H:H,Online_eCommerce[[#This Row],[Brand]],M:M)</f>
        <v>18760300</v>
      </c>
      <c r="T2699" s="13">
        <f>SUMIF(N:N,Online_eCommerce[[#This Row],[Assigned Supervisor]],L:L)</f>
        <v>12220830</v>
      </c>
    </row>
    <row r="2700" spans="1:20" hidden="1" x14ac:dyDescent="0.3">
      <c r="A2700" t="s">
        <v>3990</v>
      </c>
      <c r="B2700" t="s">
        <v>290</v>
      </c>
      <c r="C2700" t="s">
        <v>81</v>
      </c>
      <c r="D2700" t="s">
        <v>3959</v>
      </c>
      <c r="E2700" t="s">
        <v>18</v>
      </c>
      <c r="F2700" t="s">
        <v>32</v>
      </c>
      <c r="G2700" t="s">
        <v>33</v>
      </c>
      <c r="H2700" t="s">
        <v>34</v>
      </c>
      <c r="I2700">
        <v>7000</v>
      </c>
      <c r="J2700">
        <v>9100</v>
      </c>
      <c r="K2700">
        <v>2</v>
      </c>
      <c r="L2700">
        <v>14000</v>
      </c>
      <c r="M2700">
        <v>18200</v>
      </c>
      <c r="N2700" t="s">
        <v>35</v>
      </c>
      <c r="O2700">
        <f t="shared" si="84"/>
        <v>18200</v>
      </c>
      <c r="P2700" s="13">
        <f t="shared" si="85"/>
        <v>2595632</v>
      </c>
      <c r="Q2700" s="13">
        <f>SUMIFS(M:M,E:E,Online_eCommerce[[#This Row],[Status]])</f>
        <v>28340455</v>
      </c>
      <c r="R2700" s="13">
        <f>SUMIFS(L:L,H:H,Online_eCommerce[[#This Row],[Brand]])</f>
        <v>10087000</v>
      </c>
      <c r="S2700" s="13">
        <f>SUMIF(H:H,Online_eCommerce[[#This Row],[Brand]],M:M)</f>
        <v>13113100</v>
      </c>
      <c r="T2700" s="13">
        <f>SUMIF(N:N,Online_eCommerce[[#This Row],[Assigned Supervisor]],L:L)</f>
        <v>14373360</v>
      </c>
    </row>
    <row r="2701" spans="1:20" hidden="1" x14ac:dyDescent="0.3">
      <c r="A2701" t="s">
        <v>3991</v>
      </c>
      <c r="B2701" t="s">
        <v>15</v>
      </c>
      <c r="C2701" t="s">
        <v>86</v>
      </c>
      <c r="D2701" t="s">
        <v>3959</v>
      </c>
      <c r="E2701" t="s">
        <v>161</v>
      </c>
      <c r="F2701" t="s">
        <v>3992</v>
      </c>
      <c r="G2701" t="s">
        <v>163</v>
      </c>
      <c r="H2701" t="s">
        <v>41</v>
      </c>
      <c r="I2701">
        <v>1680</v>
      </c>
      <c r="J2701">
        <v>2184</v>
      </c>
      <c r="K2701">
        <v>2</v>
      </c>
      <c r="L2701">
        <v>3360</v>
      </c>
      <c r="M2701">
        <v>4368</v>
      </c>
      <c r="N2701" t="s">
        <v>42</v>
      </c>
      <c r="O2701">
        <f t="shared" si="84"/>
        <v>13650</v>
      </c>
      <c r="P2701" s="13">
        <f t="shared" si="85"/>
        <v>1941225</v>
      </c>
      <c r="Q2701" s="13">
        <f>SUMIFS(M:M,E:E,Online_eCommerce[[#This Row],[Status]])</f>
        <v>21103186</v>
      </c>
      <c r="R2701" s="13">
        <f>SUMIFS(L:L,H:H,Online_eCommerce[[#This Row],[Brand]])</f>
        <v>4260400</v>
      </c>
      <c r="S2701" s="13">
        <f>SUMIF(H:H,Online_eCommerce[[#This Row],[Brand]],M:M)</f>
        <v>5538520</v>
      </c>
      <c r="T2701" s="13">
        <f>SUMIF(N:N,Online_eCommerce[[#This Row],[Assigned Supervisor]],L:L)</f>
        <v>12261500</v>
      </c>
    </row>
    <row r="2702" spans="1:20" x14ac:dyDescent="0.3">
      <c r="A2702" t="s">
        <v>3993</v>
      </c>
      <c r="B2702" t="s">
        <v>202</v>
      </c>
      <c r="C2702" t="s">
        <v>91</v>
      </c>
      <c r="D2702" t="s">
        <v>3959</v>
      </c>
      <c r="E2702" t="s">
        <v>46</v>
      </c>
      <c r="F2702" t="s">
        <v>101</v>
      </c>
      <c r="G2702" t="s">
        <v>66</v>
      </c>
      <c r="H2702" t="s">
        <v>102</v>
      </c>
      <c r="I2702">
        <v>6540</v>
      </c>
      <c r="J2702">
        <v>8502</v>
      </c>
      <c r="K2702">
        <v>1</v>
      </c>
      <c r="L2702">
        <v>6540</v>
      </c>
      <c r="M2702">
        <v>8502</v>
      </c>
      <c r="N2702" t="s">
        <v>50</v>
      </c>
      <c r="O2702">
        <f t="shared" si="84"/>
        <v>1690</v>
      </c>
      <c r="P2702" s="13">
        <f t="shared" si="85"/>
        <v>2731963</v>
      </c>
      <c r="Q2702" s="13">
        <f>SUMIFS(M:M,E:E,Online_eCommerce[[#This Row],[Status]])</f>
        <v>28620410</v>
      </c>
      <c r="R2702" s="13">
        <f>SUMIFS(L:L,H:H,Online_eCommerce[[#This Row],[Brand]])</f>
        <v>2465580</v>
      </c>
      <c r="S2702" s="13">
        <f>SUMIF(H:H,Online_eCommerce[[#This Row],[Brand]],M:M)</f>
        <v>3205254</v>
      </c>
      <c r="T2702" s="13">
        <f>SUMIF(N:N,Online_eCommerce[[#This Row],[Assigned Supervisor]],L:L)</f>
        <v>12100590</v>
      </c>
    </row>
    <row r="2703" spans="1:20" hidden="1" x14ac:dyDescent="0.3">
      <c r="A2703" t="s">
        <v>3994</v>
      </c>
      <c r="B2703" t="s">
        <v>30</v>
      </c>
      <c r="C2703" t="s">
        <v>94</v>
      </c>
      <c r="D2703" t="s">
        <v>3959</v>
      </c>
      <c r="E2703" t="s">
        <v>96</v>
      </c>
      <c r="F2703" t="s">
        <v>107</v>
      </c>
      <c r="G2703" t="s">
        <v>54</v>
      </c>
      <c r="H2703" t="s">
        <v>55</v>
      </c>
      <c r="I2703">
        <v>2680</v>
      </c>
      <c r="J2703">
        <v>3484</v>
      </c>
      <c r="K2703">
        <v>4</v>
      </c>
      <c r="L2703">
        <v>10720</v>
      </c>
      <c r="M2703">
        <v>13936</v>
      </c>
      <c r="N2703" t="s">
        <v>56</v>
      </c>
      <c r="O2703">
        <f t="shared" si="84"/>
        <v>2990</v>
      </c>
      <c r="P2703" s="13">
        <f t="shared" si="85"/>
        <v>1868256</v>
      </c>
      <c r="Q2703" s="13">
        <f>SUMIFS(M:M,E:E,Online_eCommerce[[#This Row],[Status]])</f>
        <v>21233992</v>
      </c>
      <c r="R2703" s="13">
        <f>SUMIFS(L:L,H:H,Online_eCommerce[[#This Row],[Brand]])</f>
        <v>2267380</v>
      </c>
      <c r="S2703" s="13">
        <f>SUMIF(H:H,Online_eCommerce[[#This Row],[Brand]],M:M)</f>
        <v>2947594</v>
      </c>
      <c r="T2703" s="13">
        <f>SUMIF(N:N,Online_eCommerce[[#This Row],[Assigned Supervisor]],L:L)</f>
        <v>11733610</v>
      </c>
    </row>
    <row r="2704" spans="1:20" hidden="1" x14ac:dyDescent="0.3">
      <c r="A2704" t="s">
        <v>3995</v>
      </c>
      <c r="B2704" t="s">
        <v>37</v>
      </c>
      <c r="C2704" t="s">
        <v>99</v>
      </c>
      <c r="D2704" t="s">
        <v>3959</v>
      </c>
      <c r="E2704" t="s">
        <v>18</v>
      </c>
      <c r="F2704" t="s">
        <v>112</v>
      </c>
      <c r="G2704" t="s">
        <v>71</v>
      </c>
      <c r="H2704" t="s">
        <v>21</v>
      </c>
      <c r="I2704">
        <v>8250</v>
      </c>
      <c r="J2704">
        <v>10725</v>
      </c>
      <c r="K2704">
        <v>3</v>
      </c>
      <c r="L2704">
        <v>24750</v>
      </c>
      <c r="M2704">
        <v>32175</v>
      </c>
      <c r="N2704" t="s">
        <v>22</v>
      </c>
      <c r="O2704">
        <f t="shared" si="84"/>
        <v>9750</v>
      </c>
      <c r="P2704" s="13">
        <f t="shared" si="85"/>
        <v>2651233</v>
      </c>
      <c r="Q2704" s="13">
        <f>SUMIFS(M:M,E:E,Online_eCommerce[[#This Row],[Status]])</f>
        <v>28340455</v>
      </c>
      <c r="R2704" s="13">
        <f>SUMIFS(L:L,H:H,Online_eCommerce[[#This Row],[Brand]])</f>
        <v>12435650</v>
      </c>
      <c r="S2704" s="13">
        <f>SUMIF(H:H,Online_eCommerce[[#This Row],[Brand]],M:M)</f>
        <v>16166345</v>
      </c>
      <c r="T2704" s="13">
        <f>SUMIF(N:N,Online_eCommerce[[#This Row],[Assigned Supervisor]],L:L)</f>
        <v>13693220</v>
      </c>
    </row>
    <row r="2705" spans="1:20" hidden="1" x14ac:dyDescent="0.3">
      <c r="A2705" t="s">
        <v>3996</v>
      </c>
      <c r="B2705" t="s">
        <v>44</v>
      </c>
      <c r="C2705" t="s">
        <v>105</v>
      </c>
      <c r="D2705" t="s">
        <v>3959</v>
      </c>
      <c r="E2705" t="s">
        <v>161</v>
      </c>
      <c r="F2705" t="s">
        <v>3613</v>
      </c>
      <c r="G2705" t="s">
        <v>40</v>
      </c>
      <c r="H2705" t="s">
        <v>21</v>
      </c>
      <c r="I2705">
        <v>2650</v>
      </c>
      <c r="J2705">
        <v>3445</v>
      </c>
      <c r="K2705">
        <v>3</v>
      </c>
      <c r="L2705">
        <v>7950</v>
      </c>
      <c r="M2705">
        <v>10335</v>
      </c>
      <c r="N2705" t="s">
        <v>28</v>
      </c>
      <c r="O2705">
        <f t="shared" si="84"/>
        <v>25545</v>
      </c>
      <c r="P2705" s="13">
        <f t="shared" si="85"/>
        <v>1866852</v>
      </c>
      <c r="Q2705" s="13">
        <f>SUMIFS(M:M,E:E,Online_eCommerce[[#This Row],[Status]])</f>
        <v>21103186</v>
      </c>
      <c r="R2705" s="13">
        <f>SUMIFS(L:L,H:H,Online_eCommerce[[#This Row],[Brand]])</f>
        <v>12435650</v>
      </c>
      <c r="S2705" s="13">
        <f>SUMIF(H:H,Online_eCommerce[[#This Row],[Brand]],M:M)</f>
        <v>16166345</v>
      </c>
      <c r="T2705" s="13">
        <f>SUMIF(N:N,Online_eCommerce[[#This Row],[Assigned Supervisor]],L:L)</f>
        <v>12220830</v>
      </c>
    </row>
    <row r="2706" spans="1:20" x14ac:dyDescent="0.3">
      <c r="A2706" t="s">
        <v>3997</v>
      </c>
      <c r="B2706" t="s">
        <v>213</v>
      </c>
      <c r="C2706" t="s">
        <v>110</v>
      </c>
      <c r="D2706" t="s">
        <v>3959</v>
      </c>
      <c r="E2706" t="s">
        <v>46</v>
      </c>
      <c r="F2706" t="s">
        <v>121</v>
      </c>
      <c r="G2706" t="s">
        <v>71</v>
      </c>
      <c r="H2706" t="s">
        <v>122</v>
      </c>
      <c r="I2706">
        <v>12550</v>
      </c>
      <c r="J2706">
        <v>16315</v>
      </c>
      <c r="K2706">
        <v>2</v>
      </c>
      <c r="L2706">
        <v>25100</v>
      </c>
      <c r="M2706">
        <v>32630</v>
      </c>
      <c r="N2706" t="s">
        <v>35</v>
      </c>
      <c r="O2706">
        <f t="shared" si="84"/>
        <v>9750</v>
      </c>
      <c r="P2706" s="13">
        <f t="shared" si="85"/>
        <v>2598635</v>
      </c>
      <c r="Q2706" s="13">
        <f>SUMIFS(M:M,E:E,Online_eCommerce[[#This Row],[Status]])</f>
        <v>28620410</v>
      </c>
      <c r="R2706" s="13">
        <f>SUMIFS(L:L,H:H,Online_eCommerce[[#This Row],[Brand]])</f>
        <v>5045100</v>
      </c>
      <c r="S2706" s="13">
        <f>SUMIF(H:H,Online_eCommerce[[#This Row],[Brand]],M:M)</f>
        <v>6558630</v>
      </c>
      <c r="T2706" s="13">
        <f>SUMIF(N:N,Online_eCommerce[[#This Row],[Assigned Supervisor]],L:L)</f>
        <v>14373360</v>
      </c>
    </row>
    <row r="2707" spans="1:20" hidden="1" x14ac:dyDescent="0.3">
      <c r="A2707" t="s">
        <v>3998</v>
      </c>
      <c r="B2707" t="s">
        <v>215</v>
      </c>
      <c r="C2707" t="s">
        <v>115</v>
      </c>
      <c r="D2707" t="s">
        <v>3959</v>
      </c>
      <c r="E2707" t="s">
        <v>96</v>
      </c>
      <c r="F2707" t="s">
        <v>126</v>
      </c>
      <c r="G2707" t="s">
        <v>26</v>
      </c>
      <c r="H2707" t="s">
        <v>27</v>
      </c>
      <c r="I2707">
        <v>14500</v>
      </c>
      <c r="J2707">
        <v>18850</v>
      </c>
      <c r="K2707">
        <v>4</v>
      </c>
      <c r="L2707">
        <v>58000</v>
      </c>
      <c r="M2707">
        <v>75400</v>
      </c>
      <c r="N2707" t="s">
        <v>42</v>
      </c>
      <c r="O2707">
        <f t="shared" si="84"/>
        <v>33150</v>
      </c>
      <c r="P2707" s="13">
        <f t="shared" si="85"/>
        <v>2050178</v>
      </c>
      <c r="Q2707" s="13">
        <f>SUMIFS(M:M,E:E,Online_eCommerce[[#This Row],[Status]])</f>
        <v>21233992</v>
      </c>
      <c r="R2707" s="13">
        <f>SUMIFS(L:L,H:H,Online_eCommerce[[#This Row],[Brand]])</f>
        <v>14431000</v>
      </c>
      <c r="S2707" s="13">
        <f>SUMIF(H:H,Online_eCommerce[[#This Row],[Brand]],M:M)</f>
        <v>18760300</v>
      </c>
      <c r="T2707" s="13">
        <f>SUMIF(N:N,Online_eCommerce[[#This Row],[Assigned Supervisor]],L:L)</f>
        <v>12261500</v>
      </c>
    </row>
    <row r="2708" spans="1:20" hidden="1" x14ac:dyDescent="0.3">
      <c r="A2708" t="s">
        <v>3999</v>
      </c>
      <c r="B2708" t="s">
        <v>306</v>
      </c>
      <c r="C2708" t="s">
        <v>120</v>
      </c>
      <c r="D2708" t="s">
        <v>3959</v>
      </c>
      <c r="E2708" t="s">
        <v>18</v>
      </c>
      <c r="F2708" t="s">
        <v>129</v>
      </c>
      <c r="G2708" t="s">
        <v>60</v>
      </c>
      <c r="H2708" t="s">
        <v>61</v>
      </c>
      <c r="I2708">
        <v>800</v>
      </c>
      <c r="J2708">
        <v>1040</v>
      </c>
      <c r="K2708">
        <v>1</v>
      </c>
      <c r="L2708">
        <v>800</v>
      </c>
      <c r="M2708">
        <v>1040</v>
      </c>
      <c r="N2708" t="s">
        <v>50</v>
      </c>
      <c r="O2708">
        <f t="shared" si="84"/>
        <v>3315</v>
      </c>
      <c r="P2708" s="13">
        <f t="shared" si="85"/>
        <v>2734212</v>
      </c>
      <c r="Q2708" s="13">
        <f>SUMIFS(M:M,E:E,Online_eCommerce[[#This Row],[Status]])</f>
        <v>28340455</v>
      </c>
      <c r="R2708" s="13">
        <f>SUMIFS(L:L,H:H,Online_eCommerce[[#This Row],[Brand]])</f>
        <v>10950150</v>
      </c>
      <c r="S2708" s="13">
        <f>SUMIF(H:H,Online_eCommerce[[#This Row],[Brand]],M:M)</f>
        <v>14235195</v>
      </c>
      <c r="T2708" s="13">
        <f>SUMIF(N:N,Online_eCommerce[[#This Row],[Assigned Supervisor]],L:L)</f>
        <v>12100590</v>
      </c>
    </row>
    <row r="2709" spans="1:20" hidden="1" x14ac:dyDescent="0.3">
      <c r="A2709" t="s">
        <v>4000</v>
      </c>
      <c r="B2709" t="s">
        <v>528</v>
      </c>
      <c r="C2709" t="s">
        <v>125</v>
      </c>
      <c r="D2709" t="s">
        <v>3959</v>
      </c>
      <c r="E2709" t="s">
        <v>161</v>
      </c>
      <c r="F2709" t="s">
        <v>133</v>
      </c>
      <c r="G2709" t="s">
        <v>66</v>
      </c>
      <c r="H2709" t="s">
        <v>21</v>
      </c>
      <c r="I2709">
        <v>600</v>
      </c>
      <c r="J2709">
        <v>780</v>
      </c>
      <c r="K2709">
        <v>4</v>
      </c>
      <c r="L2709">
        <v>2400</v>
      </c>
      <c r="M2709">
        <v>3120</v>
      </c>
      <c r="N2709" t="s">
        <v>56</v>
      </c>
      <c r="O2709">
        <f t="shared" si="84"/>
        <v>1690</v>
      </c>
      <c r="P2709" s="13">
        <f t="shared" si="85"/>
        <v>2091154</v>
      </c>
      <c r="Q2709" s="13">
        <f>SUMIFS(M:M,E:E,Online_eCommerce[[#This Row],[Status]])</f>
        <v>21103186</v>
      </c>
      <c r="R2709" s="13">
        <f>SUMIFS(L:L,H:H,Online_eCommerce[[#This Row],[Brand]])</f>
        <v>12435650</v>
      </c>
      <c r="S2709" s="13">
        <f>SUMIF(H:H,Online_eCommerce[[#This Row],[Brand]],M:M)</f>
        <v>16166345</v>
      </c>
      <c r="T2709" s="13">
        <f>SUMIF(N:N,Online_eCommerce[[#This Row],[Assigned Supervisor]],L:L)</f>
        <v>11733610</v>
      </c>
    </row>
    <row r="2710" spans="1:20" x14ac:dyDescent="0.3">
      <c r="A2710" t="s">
        <v>4001</v>
      </c>
      <c r="B2710" t="s">
        <v>73</v>
      </c>
      <c r="C2710" t="s">
        <v>22</v>
      </c>
      <c r="D2710" t="s">
        <v>3959</v>
      </c>
      <c r="E2710" t="s">
        <v>46</v>
      </c>
      <c r="F2710" t="s">
        <v>137</v>
      </c>
      <c r="G2710" t="s">
        <v>71</v>
      </c>
      <c r="H2710" t="s">
        <v>61</v>
      </c>
      <c r="I2710">
        <v>10500</v>
      </c>
      <c r="J2710">
        <v>13650</v>
      </c>
      <c r="K2710">
        <v>3</v>
      </c>
      <c r="L2710">
        <v>31500</v>
      </c>
      <c r="M2710">
        <v>40950</v>
      </c>
      <c r="N2710" t="s">
        <v>22</v>
      </c>
      <c r="O2710">
        <f t="shared" si="84"/>
        <v>9750</v>
      </c>
      <c r="P2710" s="13">
        <f t="shared" si="85"/>
        <v>2551588</v>
      </c>
      <c r="Q2710" s="13">
        <f>SUMIFS(M:M,E:E,Online_eCommerce[[#This Row],[Status]])</f>
        <v>28620410</v>
      </c>
      <c r="R2710" s="13">
        <f>SUMIFS(L:L,H:H,Online_eCommerce[[#This Row],[Brand]])</f>
        <v>10950150</v>
      </c>
      <c r="S2710" s="13">
        <f>SUMIF(H:H,Online_eCommerce[[#This Row],[Brand]],M:M)</f>
        <v>14235195</v>
      </c>
      <c r="T2710" s="13">
        <f>SUMIF(N:N,Online_eCommerce[[#This Row],[Assigned Supervisor]],L:L)</f>
        <v>13693220</v>
      </c>
    </row>
    <row r="2711" spans="1:20" hidden="1" x14ac:dyDescent="0.3">
      <c r="A2711" t="s">
        <v>4002</v>
      </c>
      <c r="B2711" t="s">
        <v>80</v>
      </c>
      <c r="C2711" t="s">
        <v>132</v>
      </c>
      <c r="D2711" t="s">
        <v>3959</v>
      </c>
      <c r="E2711" t="s">
        <v>96</v>
      </c>
      <c r="F2711" t="s">
        <v>3973</v>
      </c>
      <c r="G2711" t="s">
        <v>77</v>
      </c>
      <c r="H2711" t="s">
        <v>142</v>
      </c>
      <c r="I2711">
        <v>6500</v>
      </c>
      <c r="J2711">
        <v>8450</v>
      </c>
      <c r="K2711">
        <v>4</v>
      </c>
      <c r="L2711">
        <v>26000</v>
      </c>
      <c r="M2711">
        <v>33800</v>
      </c>
      <c r="N2711" t="s">
        <v>28</v>
      </c>
      <c r="O2711">
        <f t="shared" si="84"/>
        <v>39000</v>
      </c>
      <c r="P2711" s="13">
        <f t="shared" si="85"/>
        <v>1989065</v>
      </c>
      <c r="Q2711" s="13">
        <f>SUMIFS(M:M,E:E,Online_eCommerce[[#This Row],[Status]])</f>
        <v>21233992</v>
      </c>
      <c r="R2711" s="13">
        <f>SUMIFS(L:L,H:H,Online_eCommerce[[#This Row],[Brand]])</f>
        <v>6192500</v>
      </c>
      <c r="S2711" s="13">
        <f>SUMIF(H:H,Online_eCommerce[[#This Row],[Brand]],M:M)</f>
        <v>8050250</v>
      </c>
      <c r="T2711" s="13">
        <f>SUMIF(N:N,Online_eCommerce[[#This Row],[Assigned Supervisor]],L:L)</f>
        <v>12220830</v>
      </c>
    </row>
    <row r="2712" spans="1:20" hidden="1" x14ac:dyDescent="0.3">
      <c r="A2712" t="s">
        <v>4003</v>
      </c>
      <c r="B2712" t="s">
        <v>85</v>
      </c>
      <c r="C2712" t="s">
        <v>136</v>
      </c>
      <c r="D2712" t="s">
        <v>3959</v>
      </c>
      <c r="E2712" t="s">
        <v>18</v>
      </c>
      <c r="F2712" t="s">
        <v>4004</v>
      </c>
      <c r="G2712" t="s">
        <v>20</v>
      </c>
      <c r="H2712" t="s">
        <v>21</v>
      </c>
      <c r="I2712">
        <v>4500</v>
      </c>
      <c r="J2712">
        <v>5850</v>
      </c>
      <c r="K2712">
        <v>1</v>
      </c>
      <c r="L2712">
        <v>4500</v>
      </c>
      <c r="M2712">
        <v>5850</v>
      </c>
      <c r="N2712" t="s">
        <v>35</v>
      </c>
      <c r="O2712">
        <f t="shared" si="84"/>
        <v>8450</v>
      </c>
      <c r="P2712" s="13">
        <f t="shared" si="85"/>
        <v>2775162</v>
      </c>
      <c r="Q2712" s="13">
        <f>SUMIFS(M:M,E:E,Online_eCommerce[[#This Row],[Status]])</f>
        <v>28340455</v>
      </c>
      <c r="R2712" s="13">
        <f>SUMIFS(L:L,H:H,Online_eCommerce[[#This Row],[Brand]])</f>
        <v>12435650</v>
      </c>
      <c r="S2712" s="13">
        <f>SUMIF(H:H,Online_eCommerce[[#This Row],[Brand]],M:M)</f>
        <v>16166345</v>
      </c>
      <c r="T2712" s="13">
        <f>SUMIF(N:N,Online_eCommerce[[#This Row],[Assigned Supervisor]],L:L)</f>
        <v>14373360</v>
      </c>
    </row>
    <row r="2713" spans="1:20" hidden="1" x14ac:dyDescent="0.3">
      <c r="A2713" t="s">
        <v>4005</v>
      </c>
      <c r="B2713" t="s">
        <v>90</v>
      </c>
      <c r="C2713" t="s">
        <v>140</v>
      </c>
      <c r="D2713" t="s">
        <v>3959</v>
      </c>
      <c r="E2713" t="s">
        <v>161</v>
      </c>
      <c r="F2713" t="s">
        <v>152</v>
      </c>
      <c r="G2713" t="s">
        <v>26</v>
      </c>
      <c r="H2713" t="s">
        <v>27</v>
      </c>
      <c r="I2713">
        <v>8500</v>
      </c>
      <c r="J2713">
        <v>11050</v>
      </c>
      <c r="K2713">
        <v>4</v>
      </c>
      <c r="L2713">
        <v>34000</v>
      </c>
      <c r="M2713">
        <v>44200</v>
      </c>
      <c r="N2713" t="s">
        <v>42</v>
      </c>
      <c r="O2713">
        <f t="shared" si="84"/>
        <v>33150</v>
      </c>
      <c r="P2713" s="13">
        <f t="shared" si="85"/>
        <v>2058264</v>
      </c>
      <c r="Q2713" s="13">
        <f>SUMIFS(M:M,E:E,Online_eCommerce[[#This Row],[Status]])</f>
        <v>21103186</v>
      </c>
      <c r="R2713" s="13">
        <f>SUMIFS(L:L,H:H,Online_eCommerce[[#This Row],[Brand]])</f>
        <v>14431000</v>
      </c>
      <c r="S2713" s="13">
        <f>SUMIF(H:H,Online_eCommerce[[#This Row],[Brand]],M:M)</f>
        <v>18760300</v>
      </c>
      <c r="T2713" s="13">
        <f>SUMIF(N:N,Online_eCommerce[[#This Row],[Assigned Supervisor]],L:L)</f>
        <v>12261500</v>
      </c>
    </row>
    <row r="2714" spans="1:20" x14ac:dyDescent="0.3">
      <c r="A2714" t="s">
        <v>4006</v>
      </c>
      <c r="B2714" t="s">
        <v>232</v>
      </c>
      <c r="C2714" t="s">
        <v>145</v>
      </c>
      <c r="D2714" t="s">
        <v>3959</v>
      </c>
      <c r="E2714" t="s">
        <v>46</v>
      </c>
      <c r="F2714" t="s">
        <v>157</v>
      </c>
      <c r="G2714" t="s">
        <v>33</v>
      </c>
      <c r="H2714" t="s">
        <v>34</v>
      </c>
      <c r="I2714">
        <v>12500</v>
      </c>
      <c r="J2714">
        <v>16250</v>
      </c>
      <c r="K2714">
        <v>4</v>
      </c>
      <c r="L2714">
        <v>50000</v>
      </c>
      <c r="M2714">
        <v>65000</v>
      </c>
      <c r="N2714" t="s">
        <v>50</v>
      </c>
      <c r="O2714">
        <f t="shared" si="84"/>
        <v>18200</v>
      </c>
      <c r="P2714" s="13">
        <f t="shared" si="85"/>
        <v>2757859</v>
      </c>
      <c r="Q2714" s="13">
        <f>SUMIFS(M:M,E:E,Online_eCommerce[[#This Row],[Status]])</f>
        <v>28620410</v>
      </c>
      <c r="R2714" s="13">
        <f>SUMIFS(L:L,H:H,Online_eCommerce[[#This Row],[Brand]])</f>
        <v>10087000</v>
      </c>
      <c r="S2714" s="13">
        <f>SUMIF(H:H,Online_eCommerce[[#This Row],[Brand]],M:M)</f>
        <v>13113100</v>
      </c>
      <c r="T2714" s="13">
        <f>SUMIF(N:N,Online_eCommerce[[#This Row],[Assigned Supervisor]],L:L)</f>
        <v>12100590</v>
      </c>
    </row>
    <row r="2715" spans="1:20" hidden="1" x14ac:dyDescent="0.3">
      <c r="A2715" t="s">
        <v>4007</v>
      </c>
      <c r="B2715" t="s">
        <v>235</v>
      </c>
      <c r="C2715" t="s">
        <v>150</v>
      </c>
      <c r="D2715" t="s">
        <v>3959</v>
      </c>
      <c r="E2715" t="s">
        <v>96</v>
      </c>
      <c r="F2715" t="s">
        <v>3661</v>
      </c>
      <c r="G2715" t="s">
        <v>256</v>
      </c>
      <c r="H2715" t="s">
        <v>41</v>
      </c>
      <c r="I2715">
        <v>3500</v>
      </c>
      <c r="J2715">
        <v>4550</v>
      </c>
      <c r="K2715">
        <v>3</v>
      </c>
      <c r="L2715">
        <v>10500</v>
      </c>
      <c r="M2715">
        <v>13650</v>
      </c>
      <c r="N2715" t="s">
        <v>56</v>
      </c>
      <c r="O2715">
        <f t="shared" si="84"/>
        <v>9100</v>
      </c>
      <c r="P2715" s="13">
        <f t="shared" si="85"/>
        <v>2154984</v>
      </c>
      <c r="Q2715" s="13">
        <f>SUMIFS(M:M,E:E,Online_eCommerce[[#This Row],[Status]])</f>
        <v>21233992</v>
      </c>
      <c r="R2715" s="13">
        <f>SUMIFS(L:L,H:H,Online_eCommerce[[#This Row],[Brand]])</f>
        <v>4260400</v>
      </c>
      <c r="S2715" s="13">
        <f>SUMIF(H:H,Online_eCommerce[[#This Row],[Brand]],M:M)</f>
        <v>5538520</v>
      </c>
      <c r="T2715" s="13">
        <f>SUMIF(N:N,Online_eCommerce[[#This Row],[Assigned Supervisor]],L:L)</f>
        <v>11733610</v>
      </c>
    </row>
    <row r="2716" spans="1:20" hidden="1" x14ac:dyDescent="0.3">
      <c r="A2716" t="s">
        <v>4008</v>
      </c>
      <c r="B2716" t="s">
        <v>104</v>
      </c>
      <c r="C2716" t="s">
        <v>155</v>
      </c>
      <c r="D2716" t="s">
        <v>3959</v>
      </c>
      <c r="E2716" t="s">
        <v>18</v>
      </c>
      <c r="F2716" t="s">
        <v>166</v>
      </c>
      <c r="G2716" t="s">
        <v>259</v>
      </c>
      <c r="H2716" t="s">
        <v>49</v>
      </c>
      <c r="I2716">
        <v>4500</v>
      </c>
      <c r="J2716">
        <v>5850</v>
      </c>
      <c r="K2716">
        <v>4</v>
      </c>
      <c r="L2716">
        <v>18000</v>
      </c>
      <c r="M2716">
        <v>23400</v>
      </c>
      <c r="N2716" t="s">
        <v>22</v>
      </c>
      <c r="O2716">
        <f t="shared" si="84"/>
        <v>11700</v>
      </c>
      <c r="P2716" s="13">
        <f t="shared" si="85"/>
        <v>2753348</v>
      </c>
      <c r="Q2716" s="13">
        <f>SUMIFS(M:M,E:E,Online_eCommerce[[#This Row],[Status]])</f>
        <v>28340455</v>
      </c>
      <c r="R2716" s="13">
        <f>SUMIFS(L:L,H:H,Online_eCommerce[[#This Row],[Brand]])</f>
        <v>4528350</v>
      </c>
      <c r="S2716" s="13">
        <f>SUMIF(H:H,Online_eCommerce[[#This Row],[Brand]],M:M)</f>
        <v>5886855</v>
      </c>
      <c r="T2716" s="13">
        <f>SUMIF(N:N,Online_eCommerce[[#This Row],[Assigned Supervisor]],L:L)</f>
        <v>13693220</v>
      </c>
    </row>
    <row r="2717" spans="1:20" hidden="1" x14ac:dyDescent="0.3">
      <c r="A2717" t="s">
        <v>4009</v>
      </c>
      <c r="B2717" t="s">
        <v>109</v>
      </c>
      <c r="C2717" t="s">
        <v>160</v>
      </c>
      <c r="D2717" t="s">
        <v>3959</v>
      </c>
      <c r="E2717" t="s">
        <v>161</v>
      </c>
      <c r="F2717" t="s">
        <v>4010</v>
      </c>
      <c r="G2717" t="s">
        <v>54</v>
      </c>
      <c r="H2717" t="s">
        <v>55</v>
      </c>
      <c r="I2717">
        <v>2100</v>
      </c>
      <c r="J2717">
        <v>2730</v>
      </c>
      <c r="K2717">
        <v>4</v>
      </c>
      <c r="L2717">
        <v>8400</v>
      </c>
      <c r="M2717">
        <v>10920</v>
      </c>
      <c r="N2717" t="s">
        <v>28</v>
      </c>
      <c r="O2717">
        <f t="shared" si="84"/>
        <v>2990</v>
      </c>
      <c r="P2717" s="13">
        <f t="shared" si="85"/>
        <v>2303483</v>
      </c>
      <c r="Q2717" s="13">
        <f>SUMIFS(M:M,E:E,Online_eCommerce[[#This Row],[Status]])</f>
        <v>21103186</v>
      </c>
      <c r="R2717" s="13">
        <f>SUMIFS(L:L,H:H,Online_eCommerce[[#This Row],[Brand]])</f>
        <v>2267380</v>
      </c>
      <c r="S2717" s="13">
        <f>SUMIF(H:H,Online_eCommerce[[#This Row],[Brand]],M:M)</f>
        <v>2947594</v>
      </c>
      <c r="T2717" s="13">
        <f>SUMIF(N:N,Online_eCommerce[[#This Row],[Assigned Supervisor]],L:L)</f>
        <v>12220830</v>
      </c>
    </row>
    <row r="2718" spans="1:20" x14ac:dyDescent="0.3">
      <c r="A2718" t="s">
        <v>4011</v>
      </c>
      <c r="B2718" t="s">
        <v>114</v>
      </c>
      <c r="C2718" t="s">
        <v>165</v>
      </c>
      <c r="D2718" t="s">
        <v>3959</v>
      </c>
      <c r="E2718" t="s">
        <v>46</v>
      </c>
      <c r="F2718" t="s">
        <v>174</v>
      </c>
      <c r="G2718" t="s">
        <v>60</v>
      </c>
      <c r="H2718" t="s">
        <v>61</v>
      </c>
      <c r="I2718">
        <v>1150</v>
      </c>
      <c r="J2718">
        <v>1495</v>
      </c>
      <c r="K2718">
        <v>2</v>
      </c>
      <c r="L2718">
        <v>2300</v>
      </c>
      <c r="M2718">
        <v>2990</v>
      </c>
      <c r="N2718" t="s">
        <v>35</v>
      </c>
      <c r="O2718">
        <f t="shared" si="84"/>
        <v>3315</v>
      </c>
      <c r="P2718" s="13">
        <f t="shared" si="85"/>
        <v>2674087</v>
      </c>
      <c r="Q2718" s="13">
        <f>SUMIFS(M:M,E:E,Online_eCommerce[[#This Row],[Status]])</f>
        <v>28620410</v>
      </c>
      <c r="R2718" s="13">
        <f>SUMIFS(L:L,H:H,Online_eCommerce[[#This Row],[Brand]])</f>
        <v>10950150</v>
      </c>
      <c r="S2718" s="13">
        <f>SUMIF(H:H,Online_eCommerce[[#This Row],[Brand]],M:M)</f>
        <v>14235195</v>
      </c>
      <c r="T2718" s="13">
        <f>SUMIF(N:N,Online_eCommerce[[#This Row],[Assigned Supervisor]],L:L)</f>
        <v>14373360</v>
      </c>
    </row>
    <row r="2719" spans="1:20" hidden="1" x14ac:dyDescent="0.3">
      <c r="A2719" t="s">
        <v>4012</v>
      </c>
      <c r="B2719" t="s">
        <v>119</v>
      </c>
      <c r="C2719" t="s">
        <v>168</v>
      </c>
      <c r="D2719" t="s">
        <v>3959</v>
      </c>
      <c r="E2719" t="s">
        <v>96</v>
      </c>
      <c r="F2719" t="s">
        <v>179</v>
      </c>
      <c r="G2719" t="s">
        <v>66</v>
      </c>
      <c r="H2719" t="s">
        <v>21</v>
      </c>
      <c r="I2719">
        <v>350</v>
      </c>
      <c r="J2719">
        <v>455</v>
      </c>
      <c r="K2719">
        <v>2</v>
      </c>
      <c r="L2719">
        <v>700</v>
      </c>
      <c r="M2719">
        <v>910</v>
      </c>
      <c r="N2719" t="s">
        <v>42</v>
      </c>
      <c r="O2719">
        <f t="shared" si="84"/>
        <v>1690</v>
      </c>
      <c r="P2719" s="13">
        <f t="shared" si="85"/>
        <v>1937780</v>
      </c>
      <c r="Q2719" s="13">
        <f>SUMIFS(M:M,E:E,Online_eCommerce[[#This Row],[Status]])</f>
        <v>21233992</v>
      </c>
      <c r="R2719" s="13">
        <f>SUMIFS(L:L,H:H,Online_eCommerce[[#This Row],[Brand]])</f>
        <v>12435650</v>
      </c>
      <c r="S2719" s="13">
        <f>SUMIF(H:H,Online_eCommerce[[#This Row],[Brand]],M:M)</f>
        <v>16166345</v>
      </c>
      <c r="T2719" s="13">
        <f>SUMIF(N:N,Online_eCommerce[[#This Row],[Assigned Supervisor]],L:L)</f>
        <v>12261500</v>
      </c>
    </row>
    <row r="2720" spans="1:20" hidden="1" x14ac:dyDescent="0.3">
      <c r="A2720" t="s">
        <v>4013</v>
      </c>
      <c r="B2720" t="s">
        <v>124</v>
      </c>
      <c r="C2720" t="s">
        <v>172</v>
      </c>
      <c r="D2720" t="s">
        <v>3959</v>
      </c>
      <c r="E2720" t="s">
        <v>18</v>
      </c>
      <c r="F2720" t="s">
        <v>183</v>
      </c>
      <c r="G2720" t="s">
        <v>71</v>
      </c>
      <c r="H2720" t="s">
        <v>61</v>
      </c>
      <c r="I2720">
        <v>9500</v>
      </c>
      <c r="J2720">
        <v>12350</v>
      </c>
      <c r="K2720">
        <v>3</v>
      </c>
      <c r="L2720">
        <v>28500</v>
      </c>
      <c r="M2720">
        <v>37050</v>
      </c>
      <c r="N2720" t="s">
        <v>50</v>
      </c>
      <c r="O2720">
        <f t="shared" si="84"/>
        <v>9750</v>
      </c>
      <c r="P2720" s="13">
        <f t="shared" si="85"/>
        <v>2640274</v>
      </c>
      <c r="Q2720" s="13">
        <f>SUMIFS(M:M,E:E,Online_eCommerce[[#This Row],[Status]])</f>
        <v>28340455</v>
      </c>
      <c r="R2720" s="13">
        <f>SUMIFS(L:L,H:H,Online_eCommerce[[#This Row],[Brand]])</f>
        <v>10950150</v>
      </c>
      <c r="S2720" s="13">
        <f>SUMIF(H:H,Online_eCommerce[[#This Row],[Brand]],M:M)</f>
        <v>14235195</v>
      </c>
      <c r="T2720" s="13">
        <f>SUMIF(N:N,Online_eCommerce[[#This Row],[Assigned Supervisor]],L:L)</f>
        <v>12100590</v>
      </c>
    </row>
    <row r="2721" spans="1:20" hidden="1" x14ac:dyDescent="0.3">
      <c r="A2721" t="s">
        <v>4014</v>
      </c>
      <c r="B2721" t="s">
        <v>128</v>
      </c>
      <c r="C2721" t="s">
        <v>177</v>
      </c>
      <c r="D2721" t="s">
        <v>3959</v>
      </c>
      <c r="E2721" t="s">
        <v>161</v>
      </c>
      <c r="F2721" t="s">
        <v>4015</v>
      </c>
      <c r="G2721" t="s">
        <v>77</v>
      </c>
      <c r="H2721" t="s">
        <v>142</v>
      </c>
      <c r="I2721">
        <v>10000</v>
      </c>
      <c r="J2721">
        <v>13000</v>
      </c>
      <c r="K2721">
        <v>4</v>
      </c>
      <c r="L2721">
        <v>40000</v>
      </c>
      <c r="M2721">
        <v>52000</v>
      </c>
      <c r="N2721" t="s">
        <v>56</v>
      </c>
      <c r="O2721">
        <f t="shared" si="84"/>
        <v>39000</v>
      </c>
      <c r="P2721" s="13">
        <f t="shared" si="85"/>
        <v>1863810</v>
      </c>
      <c r="Q2721" s="13">
        <f>SUMIFS(M:M,E:E,Online_eCommerce[[#This Row],[Status]])</f>
        <v>21103186</v>
      </c>
      <c r="R2721" s="13">
        <f>SUMIFS(L:L,H:H,Online_eCommerce[[#This Row],[Brand]])</f>
        <v>6192500</v>
      </c>
      <c r="S2721" s="13">
        <f>SUMIF(H:H,Online_eCommerce[[#This Row],[Brand]],M:M)</f>
        <v>8050250</v>
      </c>
      <c r="T2721" s="13">
        <f>SUMIF(N:N,Online_eCommerce[[#This Row],[Assigned Supervisor]],L:L)</f>
        <v>11733610</v>
      </c>
    </row>
    <row r="2722" spans="1:20" x14ac:dyDescent="0.3">
      <c r="A2722" t="s">
        <v>4016</v>
      </c>
      <c r="B2722" t="s">
        <v>131</v>
      </c>
      <c r="C2722" t="s">
        <v>181</v>
      </c>
      <c r="D2722" t="s">
        <v>3959</v>
      </c>
      <c r="E2722" t="s">
        <v>46</v>
      </c>
      <c r="F2722" t="s">
        <v>4017</v>
      </c>
      <c r="G2722" t="s">
        <v>20</v>
      </c>
      <c r="H2722" t="s">
        <v>21</v>
      </c>
      <c r="I2722">
        <v>6500</v>
      </c>
      <c r="J2722">
        <v>8450</v>
      </c>
      <c r="K2722">
        <v>4</v>
      </c>
      <c r="L2722">
        <v>26000</v>
      </c>
      <c r="M2722">
        <v>33800</v>
      </c>
      <c r="N2722" t="s">
        <v>22</v>
      </c>
      <c r="O2722">
        <f t="shared" si="84"/>
        <v>8450</v>
      </c>
      <c r="P2722" s="13">
        <f t="shared" si="85"/>
        <v>2577458</v>
      </c>
      <c r="Q2722" s="13">
        <f>SUMIFS(M:M,E:E,Online_eCommerce[[#This Row],[Status]])</f>
        <v>28620410</v>
      </c>
      <c r="R2722" s="13">
        <f>SUMIFS(L:L,H:H,Online_eCommerce[[#This Row],[Brand]])</f>
        <v>12435650</v>
      </c>
      <c r="S2722" s="13">
        <f>SUMIF(H:H,Online_eCommerce[[#This Row],[Brand]],M:M)</f>
        <v>16166345</v>
      </c>
      <c r="T2722" s="13">
        <f>SUMIF(N:N,Online_eCommerce[[#This Row],[Assigned Supervisor]],L:L)</f>
        <v>13693220</v>
      </c>
    </row>
    <row r="2723" spans="1:20" hidden="1" x14ac:dyDescent="0.3">
      <c r="A2723" t="s">
        <v>4018</v>
      </c>
      <c r="B2723" t="s">
        <v>135</v>
      </c>
      <c r="C2723" t="s">
        <v>185</v>
      </c>
      <c r="D2723" t="s">
        <v>3959</v>
      </c>
      <c r="E2723" t="s">
        <v>96</v>
      </c>
      <c r="F2723" t="s">
        <v>4019</v>
      </c>
      <c r="G2723" t="s">
        <v>26</v>
      </c>
      <c r="H2723" t="s">
        <v>27</v>
      </c>
      <c r="I2723">
        <v>8500</v>
      </c>
      <c r="J2723">
        <v>11050</v>
      </c>
      <c r="K2723">
        <v>3</v>
      </c>
      <c r="L2723">
        <v>25500</v>
      </c>
      <c r="M2723">
        <v>33150</v>
      </c>
      <c r="N2723" t="s">
        <v>28</v>
      </c>
      <c r="O2723">
        <f t="shared" si="84"/>
        <v>33150</v>
      </c>
      <c r="P2723" s="13">
        <f t="shared" si="85"/>
        <v>2091596</v>
      </c>
      <c r="Q2723" s="13">
        <f>SUMIFS(M:M,E:E,Online_eCommerce[[#This Row],[Status]])</f>
        <v>21233992</v>
      </c>
      <c r="R2723" s="13">
        <f>SUMIFS(L:L,H:H,Online_eCommerce[[#This Row],[Brand]])</f>
        <v>14431000</v>
      </c>
      <c r="S2723" s="13">
        <f>SUMIF(H:H,Online_eCommerce[[#This Row],[Brand]],M:M)</f>
        <v>18760300</v>
      </c>
      <c r="T2723" s="13">
        <f>SUMIF(N:N,Online_eCommerce[[#This Row],[Assigned Supervisor]],L:L)</f>
        <v>12220830</v>
      </c>
    </row>
    <row r="2724" spans="1:20" hidden="1" x14ac:dyDescent="0.3">
      <c r="A2724" t="s">
        <v>4020</v>
      </c>
      <c r="B2724" t="s">
        <v>139</v>
      </c>
      <c r="C2724" t="s">
        <v>189</v>
      </c>
      <c r="D2724" t="s">
        <v>4021</v>
      </c>
      <c r="E2724" t="s">
        <v>18</v>
      </c>
      <c r="F2724" t="s">
        <v>32</v>
      </c>
      <c r="G2724" t="s">
        <v>33</v>
      </c>
      <c r="H2724" t="s">
        <v>34</v>
      </c>
      <c r="I2724">
        <v>7000</v>
      </c>
      <c r="J2724">
        <v>9100</v>
      </c>
      <c r="K2724">
        <v>1</v>
      </c>
      <c r="L2724">
        <v>7000</v>
      </c>
      <c r="M2724">
        <v>9100</v>
      </c>
      <c r="N2724" t="s">
        <v>35</v>
      </c>
      <c r="O2724">
        <f t="shared" si="84"/>
        <v>18200</v>
      </c>
      <c r="P2724" s="13">
        <f t="shared" si="85"/>
        <v>2740777</v>
      </c>
      <c r="Q2724" s="13">
        <f>SUMIFS(M:M,E:E,Online_eCommerce[[#This Row],[Status]])</f>
        <v>28340455</v>
      </c>
      <c r="R2724" s="13">
        <f>SUMIFS(L:L,H:H,Online_eCommerce[[#This Row],[Brand]])</f>
        <v>10087000</v>
      </c>
      <c r="S2724" s="13">
        <f>SUMIF(H:H,Online_eCommerce[[#This Row],[Brand]],M:M)</f>
        <v>13113100</v>
      </c>
      <c r="T2724" s="13">
        <f>SUMIF(N:N,Online_eCommerce[[#This Row],[Assigned Supervisor]],L:L)</f>
        <v>14373360</v>
      </c>
    </row>
    <row r="2725" spans="1:20" hidden="1" x14ac:dyDescent="0.3">
      <c r="A2725" t="s">
        <v>4022</v>
      </c>
      <c r="B2725" t="s">
        <v>144</v>
      </c>
      <c r="C2725" t="s">
        <v>193</v>
      </c>
      <c r="D2725" t="s">
        <v>4023</v>
      </c>
      <c r="E2725" t="s">
        <v>161</v>
      </c>
      <c r="F2725" t="s">
        <v>4024</v>
      </c>
      <c r="G2725" t="s">
        <v>256</v>
      </c>
      <c r="H2725" t="s">
        <v>41</v>
      </c>
      <c r="I2725">
        <v>6550</v>
      </c>
      <c r="J2725">
        <v>8515</v>
      </c>
      <c r="K2725">
        <v>1</v>
      </c>
      <c r="L2725">
        <v>6550</v>
      </c>
      <c r="M2725">
        <v>8515</v>
      </c>
      <c r="N2725" t="s">
        <v>42</v>
      </c>
      <c r="O2725">
        <f t="shared" si="84"/>
        <v>9100</v>
      </c>
      <c r="P2725" s="13">
        <f t="shared" si="85"/>
        <v>2074774</v>
      </c>
      <c r="Q2725" s="13">
        <f>SUMIFS(M:M,E:E,Online_eCommerce[[#This Row],[Status]])</f>
        <v>21103186</v>
      </c>
      <c r="R2725" s="13">
        <f>SUMIFS(L:L,H:H,Online_eCommerce[[#This Row],[Brand]])</f>
        <v>4260400</v>
      </c>
      <c r="S2725" s="13">
        <f>SUMIF(H:H,Online_eCommerce[[#This Row],[Brand]],M:M)</f>
        <v>5538520</v>
      </c>
      <c r="T2725" s="13">
        <f>SUMIF(N:N,Online_eCommerce[[#This Row],[Assigned Supervisor]],L:L)</f>
        <v>12261500</v>
      </c>
    </row>
    <row r="2726" spans="1:20" x14ac:dyDescent="0.3">
      <c r="A2726" t="s">
        <v>4025</v>
      </c>
      <c r="B2726" t="s">
        <v>149</v>
      </c>
      <c r="C2726" t="s">
        <v>197</v>
      </c>
      <c r="D2726" t="s">
        <v>4026</v>
      </c>
      <c r="E2726" t="s">
        <v>46</v>
      </c>
      <c r="F2726" t="s">
        <v>47</v>
      </c>
      <c r="G2726" t="s">
        <v>259</v>
      </c>
      <c r="H2726" t="s">
        <v>49</v>
      </c>
      <c r="I2726">
        <v>7650</v>
      </c>
      <c r="J2726">
        <v>9945</v>
      </c>
      <c r="K2726">
        <v>2</v>
      </c>
      <c r="L2726">
        <v>15300</v>
      </c>
      <c r="M2726">
        <v>19890</v>
      </c>
      <c r="N2726" t="s">
        <v>50</v>
      </c>
      <c r="O2726">
        <f t="shared" si="84"/>
        <v>11700</v>
      </c>
      <c r="P2726" s="13">
        <f t="shared" si="85"/>
        <v>2829840</v>
      </c>
      <c r="Q2726" s="13">
        <f>SUMIFS(M:M,E:E,Online_eCommerce[[#This Row],[Status]])</f>
        <v>28620410</v>
      </c>
      <c r="R2726" s="13">
        <f>SUMIFS(L:L,H:H,Online_eCommerce[[#This Row],[Brand]])</f>
        <v>4528350</v>
      </c>
      <c r="S2726" s="13">
        <f>SUMIF(H:H,Online_eCommerce[[#This Row],[Brand]],M:M)</f>
        <v>5886855</v>
      </c>
      <c r="T2726" s="13">
        <f>SUMIF(N:N,Online_eCommerce[[#This Row],[Assigned Supervisor]],L:L)</f>
        <v>12100590</v>
      </c>
    </row>
    <row r="2727" spans="1:20" hidden="1" x14ac:dyDescent="0.3">
      <c r="A2727" t="s">
        <v>4027</v>
      </c>
      <c r="B2727" t="s">
        <v>154</v>
      </c>
      <c r="C2727" t="s">
        <v>199</v>
      </c>
      <c r="D2727" t="s">
        <v>4028</v>
      </c>
      <c r="E2727" t="s">
        <v>96</v>
      </c>
      <c r="F2727" t="s">
        <v>53</v>
      </c>
      <c r="G2727" t="s">
        <v>54</v>
      </c>
      <c r="H2727" t="s">
        <v>55</v>
      </c>
      <c r="I2727">
        <v>1150</v>
      </c>
      <c r="J2727">
        <v>1495</v>
      </c>
      <c r="K2727">
        <v>4</v>
      </c>
      <c r="L2727">
        <v>4600</v>
      </c>
      <c r="M2727">
        <v>5980</v>
      </c>
      <c r="N2727" t="s">
        <v>56</v>
      </c>
      <c r="O2727">
        <f t="shared" si="84"/>
        <v>2990</v>
      </c>
      <c r="P2727" s="13">
        <f t="shared" si="85"/>
        <v>1947361</v>
      </c>
      <c r="Q2727" s="13">
        <f>SUMIFS(M:M,E:E,Online_eCommerce[[#This Row],[Status]])</f>
        <v>21233992</v>
      </c>
      <c r="R2727" s="13">
        <f>SUMIFS(L:L,H:H,Online_eCommerce[[#This Row],[Brand]])</f>
        <v>2267380</v>
      </c>
      <c r="S2727" s="13">
        <f>SUMIF(H:H,Online_eCommerce[[#This Row],[Brand]],M:M)</f>
        <v>2947594</v>
      </c>
      <c r="T2727" s="13">
        <f>SUMIF(N:N,Online_eCommerce[[#This Row],[Assigned Supervisor]],L:L)</f>
        <v>11733610</v>
      </c>
    </row>
    <row r="2728" spans="1:20" hidden="1" x14ac:dyDescent="0.3">
      <c r="A2728" t="s">
        <v>4029</v>
      </c>
      <c r="B2728" t="s">
        <v>159</v>
      </c>
      <c r="C2728" t="s">
        <v>203</v>
      </c>
      <c r="D2728" t="s">
        <v>4030</v>
      </c>
      <c r="E2728" t="s">
        <v>18</v>
      </c>
      <c r="F2728" t="s">
        <v>59</v>
      </c>
      <c r="G2728" t="s">
        <v>60</v>
      </c>
      <c r="H2728" t="s">
        <v>61</v>
      </c>
      <c r="I2728">
        <v>850</v>
      </c>
      <c r="J2728">
        <v>1105</v>
      </c>
      <c r="K2728">
        <v>1</v>
      </c>
      <c r="L2728">
        <v>850</v>
      </c>
      <c r="M2728">
        <v>1105</v>
      </c>
      <c r="N2728" t="s">
        <v>22</v>
      </c>
      <c r="O2728">
        <f t="shared" si="84"/>
        <v>3315</v>
      </c>
      <c r="P2728" s="13">
        <f t="shared" si="85"/>
        <v>2559635</v>
      </c>
      <c r="Q2728" s="13">
        <f>SUMIFS(M:M,E:E,Online_eCommerce[[#This Row],[Status]])</f>
        <v>28340455</v>
      </c>
      <c r="R2728" s="13">
        <f>SUMIFS(L:L,H:H,Online_eCommerce[[#This Row],[Brand]])</f>
        <v>10950150</v>
      </c>
      <c r="S2728" s="13">
        <f>SUMIF(H:H,Online_eCommerce[[#This Row],[Brand]],M:M)</f>
        <v>14235195</v>
      </c>
      <c r="T2728" s="13">
        <f>SUMIF(N:N,Online_eCommerce[[#This Row],[Assigned Supervisor]],L:L)</f>
        <v>13693220</v>
      </c>
    </row>
    <row r="2729" spans="1:20" hidden="1" x14ac:dyDescent="0.3">
      <c r="A2729" t="s">
        <v>4031</v>
      </c>
      <c r="B2729" t="s">
        <v>139</v>
      </c>
      <c r="C2729" t="s">
        <v>205</v>
      </c>
      <c r="D2729" t="s">
        <v>4032</v>
      </c>
      <c r="E2729" t="s">
        <v>161</v>
      </c>
      <c r="F2729" t="s">
        <v>65</v>
      </c>
      <c r="G2729" t="s">
        <v>66</v>
      </c>
      <c r="H2729" t="s">
        <v>21</v>
      </c>
      <c r="I2729">
        <v>650</v>
      </c>
      <c r="J2729">
        <v>845</v>
      </c>
      <c r="K2729">
        <v>4</v>
      </c>
      <c r="L2729">
        <v>2600</v>
      </c>
      <c r="M2729">
        <v>3380</v>
      </c>
      <c r="N2729" t="s">
        <v>28</v>
      </c>
      <c r="O2729">
        <f t="shared" si="84"/>
        <v>1690</v>
      </c>
      <c r="P2729" s="13">
        <f t="shared" si="85"/>
        <v>1983254</v>
      </c>
      <c r="Q2729" s="13">
        <f>SUMIFS(M:M,E:E,Online_eCommerce[[#This Row],[Status]])</f>
        <v>21103186</v>
      </c>
      <c r="R2729" s="13">
        <f>SUMIFS(L:L,H:H,Online_eCommerce[[#This Row],[Brand]])</f>
        <v>12435650</v>
      </c>
      <c r="S2729" s="13">
        <f>SUMIF(H:H,Online_eCommerce[[#This Row],[Brand]],M:M)</f>
        <v>16166345</v>
      </c>
      <c r="T2729" s="13">
        <f>SUMIF(N:N,Online_eCommerce[[#This Row],[Assigned Supervisor]],L:L)</f>
        <v>12220830</v>
      </c>
    </row>
    <row r="2730" spans="1:20" x14ac:dyDescent="0.3">
      <c r="A2730" t="s">
        <v>4033</v>
      </c>
      <c r="B2730" t="s">
        <v>144</v>
      </c>
      <c r="C2730" t="s">
        <v>208</v>
      </c>
      <c r="D2730" t="s">
        <v>4034</v>
      </c>
      <c r="E2730" t="s">
        <v>46</v>
      </c>
      <c r="F2730" t="s">
        <v>70</v>
      </c>
      <c r="G2730" t="s">
        <v>71</v>
      </c>
      <c r="H2730" t="s">
        <v>61</v>
      </c>
      <c r="I2730">
        <v>7500</v>
      </c>
      <c r="J2730">
        <v>9750</v>
      </c>
      <c r="K2730">
        <v>1</v>
      </c>
      <c r="L2730">
        <v>7500</v>
      </c>
      <c r="M2730">
        <v>9750</v>
      </c>
      <c r="N2730" t="s">
        <v>35</v>
      </c>
      <c r="O2730">
        <f t="shared" si="84"/>
        <v>9750</v>
      </c>
      <c r="P2730" s="13">
        <f t="shared" si="85"/>
        <v>2746575</v>
      </c>
      <c r="Q2730" s="13">
        <f>SUMIFS(M:M,E:E,Online_eCommerce[[#This Row],[Status]])</f>
        <v>28620410</v>
      </c>
      <c r="R2730" s="13">
        <f>SUMIFS(L:L,H:H,Online_eCommerce[[#This Row],[Brand]])</f>
        <v>10950150</v>
      </c>
      <c r="S2730" s="13">
        <f>SUMIF(H:H,Online_eCommerce[[#This Row],[Brand]],M:M)</f>
        <v>14235195</v>
      </c>
      <c r="T2730" s="13">
        <f>SUMIF(N:N,Online_eCommerce[[#This Row],[Assigned Supervisor]],L:L)</f>
        <v>14373360</v>
      </c>
    </row>
    <row r="2731" spans="1:20" hidden="1" x14ac:dyDescent="0.3">
      <c r="A2731" t="s">
        <v>4035</v>
      </c>
      <c r="B2731" t="s">
        <v>235</v>
      </c>
      <c r="C2731" t="s">
        <v>211</v>
      </c>
      <c r="D2731" t="s">
        <v>4036</v>
      </c>
      <c r="E2731" t="s">
        <v>96</v>
      </c>
      <c r="F2731" t="s">
        <v>4015</v>
      </c>
      <c r="G2731" t="s">
        <v>77</v>
      </c>
      <c r="H2731" t="s">
        <v>78</v>
      </c>
      <c r="I2731">
        <v>10000</v>
      </c>
      <c r="J2731">
        <v>13000</v>
      </c>
      <c r="K2731">
        <v>3</v>
      </c>
      <c r="L2731">
        <v>30000</v>
      </c>
      <c r="M2731">
        <v>39000</v>
      </c>
      <c r="N2731" t="s">
        <v>42</v>
      </c>
      <c r="O2731">
        <f t="shared" si="84"/>
        <v>39000</v>
      </c>
      <c r="P2731" s="13">
        <f t="shared" si="85"/>
        <v>1809847</v>
      </c>
      <c r="Q2731" s="13">
        <f>SUMIFS(M:M,E:E,Online_eCommerce[[#This Row],[Status]])</f>
        <v>21233992</v>
      </c>
      <c r="R2731" s="13">
        <f>SUMIFS(L:L,H:H,Online_eCommerce[[#This Row],[Brand]])</f>
        <v>3720000</v>
      </c>
      <c r="S2731" s="13">
        <f>SUMIF(H:H,Online_eCommerce[[#This Row],[Brand]],M:M)</f>
        <v>4836000</v>
      </c>
      <c r="T2731" s="13">
        <f>SUMIF(N:N,Online_eCommerce[[#This Row],[Assigned Supervisor]],L:L)</f>
        <v>12261500</v>
      </c>
    </row>
    <row r="2732" spans="1:20" hidden="1" x14ac:dyDescent="0.3">
      <c r="A2732" t="s">
        <v>4037</v>
      </c>
      <c r="B2732" t="s">
        <v>176</v>
      </c>
      <c r="C2732" t="s">
        <v>16</v>
      </c>
      <c r="D2732" t="s">
        <v>4036</v>
      </c>
      <c r="E2732" t="s">
        <v>18</v>
      </c>
      <c r="F2732" t="s">
        <v>4038</v>
      </c>
      <c r="G2732" t="s">
        <v>20</v>
      </c>
      <c r="H2732" t="s">
        <v>21</v>
      </c>
      <c r="I2732">
        <v>10500</v>
      </c>
      <c r="J2732">
        <v>13650</v>
      </c>
      <c r="K2732">
        <v>1</v>
      </c>
      <c r="L2732">
        <v>10500</v>
      </c>
      <c r="M2732">
        <v>13650</v>
      </c>
      <c r="N2732" t="s">
        <v>50</v>
      </c>
      <c r="O2732">
        <f t="shared" si="84"/>
        <v>8450</v>
      </c>
      <c r="P2732" s="13">
        <f t="shared" si="85"/>
        <v>2751814</v>
      </c>
      <c r="Q2732" s="13">
        <f>SUMIFS(M:M,E:E,Online_eCommerce[[#This Row],[Status]])</f>
        <v>28340455</v>
      </c>
      <c r="R2732" s="13">
        <f>SUMIFS(L:L,H:H,Online_eCommerce[[#This Row],[Brand]])</f>
        <v>12435650</v>
      </c>
      <c r="S2732" s="13">
        <f>SUMIF(H:H,Online_eCommerce[[#This Row],[Brand]],M:M)</f>
        <v>16166345</v>
      </c>
      <c r="T2732" s="13">
        <f>SUMIF(N:N,Online_eCommerce[[#This Row],[Assigned Supervisor]],L:L)</f>
        <v>12100590</v>
      </c>
    </row>
    <row r="2733" spans="1:20" hidden="1" x14ac:dyDescent="0.3">
      <c r="A2733" t="s">
        <v>4039</v>
      </c>
      <c r="B2733" t="s">
        <v>276</v>
      </c>
      <c r="C2733" t="s">
        <v>24</v>
      </c>
      <c r="D2733" t="s">
        <v>4036</v>
      </c>
      <c r="E2733" t="s">
        <v>161</v>
      </c>
      <c r="F2733" t="s">
        <v>88</v>
      </c>
      <c r="G2733" t="s">
        <v>26</v>
      </c>
      <c r="H2733" t="s">
        <v>27</v>
      </c>
      <c r="I2733">
        <v>8500</v>
      </c>
      <c r="J2733">
        <v>11050</v>
      </c>
      <c r="K2733">
        <v>4</v>
      </c>
      <c r="L2733">
        <v>34000</v>
      </c>
      <c r="M2733">
        <v>44200</v>
      </c>
      <c r="N2733" t="s">
        <v>56</v>
      </c>
      <c r="O2733">
        <f t="shared" si="84"/>
        <v>33150</v>
      </c>
      <c r="P2733" s="13">
        <f t="shared" si="85"/>
        <v>2009540</v>
      </c>
      <c r="Q2733" s="13">
        <f>SUMIFS(M:M,E:E,Online_eCommerce[[#This Row],[Status]])</f>
        <v>21103186</v>
      </c>
      <c r="R2733" s="13">
        <f>SUMIFS(L:L,H:H,Online_eCommerce[[#This Row],[Brand]])</f>
        <v>14431000</v>
      </c>
      <c r="S2733" s="13">
        <f>SUMIF(H:H,Online_eCommerce[[#This Row],[Brand]],M:M)</f>
        <v>18760300</v>
      </c>
      <c r="T2733" s="13">
        <f>SUMIF(N:N,Online_eCommerce[[#This Row],[Assigned Supervisor]],L:L)</f>
        <v>11733610</v>
      </c>
    </row>
    <row r="2734" spans="1:20" x14ac:dyDescent="0.3">
      <c r="A2734" t="s">
        <v>4040</v>
      </c>
      <c r="B2734" t="s">
        <v>280</v>
      </c>
      <c r="C2734" t="s">
        <v>31</v>
      </c>
      <c r="D2734" t="s">
        <v>4036</v>
      </c>
      <c r="E2734" t="s">
        <v>46</v>
      </c>
      <c r="F2734" t="s">
        <v>32</v>
      </c>
      <c r="G2734" t="s">
        <v>33</v>
      </c>
      <c r="H2734" t="s">
        <v>34</v>
      </c>
      <c r="I2734">
        <v>7000</v>
      </c>
      <c r="J2734">
        <v>9100</v>
      </c>
      <c r="K2734">
        <v>2</v>
      </c>
      <c r="L2734">
        <v>14000</v>
      </c>
      <c r="M2734">
        <v>18200</v>
      </c>
      <c r="N2734" t="s">
        <v>22</v>
      </c>
      <c r="O2734">
        <f t="shared" si="84"/>
        <v>18200</v>
      </c>
      <c r="P2734" s="13">
        <f t="shared" si="85"/>
        <v>2865746</v>
      </c>
      <c r="Q2734" s="13">
        <f>SUMIFS(M:M,E:E,Online_eCommerce[[#This Row],[Status]])</f>
        <v>28620410</v>
      </c>
      <c r="R2734" s="13">
        <f>SUMIFS(L:L,H:H,Online_eCommerce[[#This Row],[Brand]])</f>
        <v>10087000</v>
      </c>
      <c r="S2734" s="13">
        <f>SUMIF(H:H,Online_eCommerce[[#This Row],[Brand]],M:M)</f>
        <v>13113100</v>
      </c>
      <c r="T2734" s="13">
        <f>SUMIF(N:N,Online_eCommerce[[#This Row],[Assigned Supervisor]],L:L)</f>
        <v>13693220</v>
      </c>
    </row>
    <row r="2735" spans="1:20" hidden="1" x14ac:dyDescent="0.3">
      <c r="A2735" t="s">
        <v>4041</v>
      </c>
      <c r="B2735" t="s">
        <v>283</v>
      </c>
      <c r="C2735" t="s">
        <v>38</v>
      </c>
      <c r="D2735" t="s">
        <v>4036</v>
      </c>
      <c r="E2735" t="s">
        <v>96</v>
      </c>
      <c r="F2735" t="s">
        <v>4042</v>
      </c>
      <c r="G2735" t="s">
        <v>256</v>
      </c>
      <c r="H2735" t="s">
        <v>41</v>
      </c>
      <c r="I2735">
        <v>1680</v>
      </c>
      <c r="J2735">
        <v>2184</v>
      </c>
      <c r="K2735">
        <v>3</v>
      </c>
      <c r="L2735">
        <v>5040</v>
      </c>
      <c r="M2735">
        <v>6552</v>
      </c>
      <c r="N2735" t="s">
        <v>28</v>
      </c>
      <c r="O2735">
        <f t="shared" si="84"/>
        <v>9100</v>
      </c>
      <c r="P2735" s="13">
        <f t="shared" si="85"/>
        <v>1933997</v>
      </c>
      <c r="Q2735" s="13">
        <f>SUMIFS(M:M,E:E,Online_eCommerce[[#This Row],[Status]])</f>
        <v>21233992</v>
      </c>
      <c r="R2735" s="13">
        <f>SUMIFS(L:L,H:H,Online_eCommerce[[#This Row],[Brand]])</f>
        <v>4260400</v>
      </c>
      <c r="S2735" s="13">
        <f>SUMIF(H:H,Online_eCommerce[[#This Row],[Brand]],M:M)</f>
        <v>5538520</v>
      </c>
      <c r="T2735" s="13">
        <f>SUMIF(N:N,Online_eCommerce[[#This Row],[Assigned Supervisor]],L:L)</f>
        <v>12220830</v>
      </c>
    </row>
    <row r="2736" spans="1:20" hidden="1" x14ac:dyDescent="0.3">
      <c r="A2736" t="s">
        <v>4043</v>
      </c>
      <c r="B2736" t="s">
        <v>287</v>
      </c>
      <c r="C2736" t="s">
        <v>45</v>
      </c>
      <c r="D2736" t="s">
        <v>4036</v>
      </c>
      <c r="E2736" t="s">
        <v>18</v>
      </c>
      <c r="F2736" t="s">
        <v>101</v>
      </c>
      <c r="G2736" t="s">
        <v>259</v>
      </c>
      <c r="H2736" t="s">
        <v>102</v>
      </c>
      <c r="I2736">
        <v>6540</v>
      </c>
      <c r="J2736">
        <v>8502</v>
      </c>
      <c r="K2736">
        <v>2</v>
      </c>
      <c r="L2736">
        <v>13080</v>
      </c>
      <c r="M2736">
        <v>17004</v>
      </c>
      <c r="N2736" t="s">
        <v>35</v>
      </c>
      <c r="O2736">
        <f t="shared" si="84"/>
        <v>11700</v>
      </c>
      <c r="P2736" s="13">
        <f t="shared" si="85"/>
        <v>2842554</v>
      </c>
      <c r="Q2736" s="13">
        <f>SUMIFS(M:M,E:E,Online_eCommerce[[#This Row],[Status]])</f>
        <v>28340455</v>
      </c>
      <c r="R2736" s="13">
        <f>SUMIFS(L:L,H:H,Online_eCommerce[[#This Row],[Brand]])</f>
        <v>2465580</v>
      </c>
      <c r="S2736" s="13">
        <f>SUMIF(H:H,Online_eCommerce[[#This Row],[Brand]],M:M)</f>
        <v>3205254</v>
      </c>
      <c r="T2736" s="13">
        <f>SUMIF(N:N,Online_eCommerce[[#This Row],[Assigned Supervisor]],L:L)</f>
        <v>14373360</v>
      </c>
    </row>
    <row r="2737" spans="1:20" hidden="1" x14ac:dyDescent="0.3">
      <c r="A2737" t="s">
        <v>4044</v>
      </c>
      <c r="B2737" t="s">
        <v>290</v>
      </c>
      <c r="C2737" t="s">
        <v>52</v>
      </c>
      <c r="D2737" t="s">
        <v>4036</v>
      </c>
      <c r="E2737" t="s">
        <v>161</v>
      </c>
      <c r="F2737" t="s">
        <v>107</v>
      </c>
      <c r="G2737" t="s">
        <v>54</v>
      </c>
      <c r="H2737" t="s">
        <v>55</v>
      </c>
      <c r="I2737">
        <v>2680</v>
      </c>
      <c r="J2737">
        <v>3484</v>
      </c>
      <c r="K2737">
        <v>4</v>
      </c>
      <c r="L2737">
        <v>10720</v>
      </c>
      <c r="M2737">
        <v>13936</v>
      </c>
      <c r="N2737" t="s">
        <v>42</v>
      </c>
      <c r="O2737">
        <f t="shared" si="84"/>
        <v>2990</v>
      </c>
      <c r="P2737" s="13">
        <f t="shared" si="85"/>
        <v>1955044</v>
      </c>
      <c r="Q2737" s="13">
        <f>SUMIFS(M:M,E:E,Online_eCommerce[[#This Row],[Status]])</f>
        <v>21103186</v>
      </c>
      <c r="R2737" s="13">
        <f>SUMIFS(L:L,H:H,Online_eCommerce[[#This Row],[Brand]])</f>
        <v>2267380</v>
      </c>
      <c r="S2737" s="13">
        <f>SUMIF(H:H,Online_eCommerce[[#This Row],[Brand]],M:M)</f>
        <v>2947594</v>
      </c>
      <c r="T2737" s="13">
        <f>SUMIF(N:N,Online_eCommerce[[#This Row],[Assigned Supervisor]],L:L)</f>
        <v>12261500</v>
      </c>
    </row>
    <row r="2738" spans="1:20" x14ac:dyDescent="0.3">
      <c r="A2738" t="s">
        <v>4045</v>
      </c>
      <c r="B2738" t="s">
        <v>15</v>
      </c>
      <c r="C2738" t="s">
        <v>58</v>
      </c>
      <c r="D2738" t="s">
        <v>4036</v>
      </c>
      <c r="E2738" t="s">
        <v>46</v>
      </c>
      <c r="F2738" t="s">
        <v>112</v>
      </c>
      <c r="G2738" t="s">
        <v>71</v>
      </c>
      <c r="H2738" t="s">
        <v>21</v>
      </c>
      <c r="I2738">
        <v>8250</v>
      </c>
      <c r="J2738">
        <v>10725</v>
      </c>
      <c r="K2738">
        <v>3</v>
      </c>
      <c r="L2738">
        <v>24750</v>
      </c>
      <c r="M2738">
        <v>32175</v>
      </c>
      <c r="N2738" t="s">
        <v>50</v>
      </c>
      <c r="O2738">
        <f t="shared" si="84"/>
        <v>9750</v>
      </c>
      <c r="P2738" s="13">
        <f t="shared" si="85"/>
        <v>2629211</v>
      </c>
      <c r="Q2738" s="13">
        <f>SUMIFS(M:M,E:E,Online_eCommerce[[#This Row],[Status]])</f>
        <v>28620410</v>
      </c>
      <c r="R2738" s="13">
        <f>SUMIFS(L:L,H:H,Online_eCommerce[[#This Row],[Brand]])</f>
        <v>12435650</v>
      </c>
      <c r="S2738" s="13">
        <f>SUMIF(H:H,Online_eCommerce[[#This Row],[Brand]],M:M)</f>
        <v>16166345</v>
      </c>
      <c r="T2738" s="13">
        <f>SUMIF(N:N,Online_eCommerce[[#This Row],[Assigned Supervisor]],L:L)</f>
        <v>12100590</v>
      </c>
    </row>
    <row r="2739" spans="1:20" hidden="1" x14ac:dyDescent="0.3">
      <c r="A2739" t="s">
        <v>4046</v>
      </c>
      <c r="B2739" t="s">
        <v>202</v>
      </c>
      <c r="C2739" t="s">
        <v>63</v>
      </c>
      <c r="D2739" t="s">
        <v>4036</v>
      </c>
      <c r="E2739" t="s">
        <v>96</v>
      </c>
      <c r="F2739" t="s">
        <v>3661</v>
      </c>
      <c r="G2739" t="s">
        <v>40</v>
      </c>
      <c r="H2739" t="s">
        <v>21</v>
      </c>
      <c r="I2739">
        <v>2650</v>
      </c>
      <c r="J2739">
        <v>3445</v>
      </c>
      <c r="K2739">
        <v>2</v>
      </c>
      <c r="L2739">
        <v>5300</v>
      </c>
      <c r="M2739">
        <v>6890</v>
      </c>
      <c r="N2739" t="s">
        <v>56</v>
      </c>
      <c r="O2739">
        <f t="shared" si="84"/>
        <v>25545</v>
      </c>
      <c r="P2739" s="13">
        <f t="shared" si="85"/>
        <v>2016131</v>
      </c>
      <c r="Q2739" s="13">
        <f>SUMIFS(M:M,E:E,Online_eCommerce[[#This Row],[Status]])</f>
        <v>21233992</v>
      </c>
      <c r="R2739" s="13">
        <f>SUMIFS(L:L,H:H,Online_eCommerce[[#This Row],[Brand]])</f>
        <v>12435650</v>
      </c>
      <c r="S2739" s="13">
        <f>SUMIF(H:H,Online_eCommerce[[#This Row],[Brand]],M:M)</f>
        <v>16166345</v>
      </c>
      <c r="T2739" s="13">
        <f>SUMIF(N:N,Online_eCommerce[[#This Row],[Assigned Supervisor]],L:L)</f>
        <v>11733610</v>
      </c>
    </row>
    <row r="2740" spans="1:20" hidden="1" x14ac:dyDescent="0.3">
      <c r="A2740" t="s">
        <v>4047</v>
      </c>
      <c r="B2740" t="s">
        <v>30</v>
      </c>
      <c r="C2740" t="s">
        <v>68</v>
      </c>
      <c r="D2740" t="s">
        <v>4036</v>
      </c>
      <c r="E2740" t="s">
        <v>18</v>
      </c>
      <c r="F2740" t="s">
        <v>121</v>
      </c>
      <c r="G2740" t="s">
        <v>71</v>
      </c>
      <c r="H2740" t="s">
        <v>122</v>
      </c>
      <c r="I2740">
        <v>12550</v>
      </c>
      <c r="J2740">
        <v>16315</v>
      </c>
      <c r="K2740">
        <v>1</v>
      </c>
      <c r="L2740">
        <v>12550</v>
      </c>
      <c r="M2740">
        <v>16315</v>
      </c>
      <c r="N2740" t="s">
        <v>22</v>
      </c>
      <c r="O2740">
        <f t="shared" si="84"/>
        <v>9750</v>
      </c>
      <c r="P2740" s="13">
        <f t="shared" si="85"/>
        <v>2974621</v>
      </c>
      <c r="Q2740" s="13">
        <f>SUMIFS(M:M,E:E,Online_eCommerce[[#This Row],[Status]])</f>
        <v>28340455</v>
      </c>
      <c r="R2740" s="13">
        <f>SUMIFS(L:L,H:H,Online_eCommerce[[#This Row],[Brand]])</f>
        <v>5045100</v>
      </c>
      <c r="S2740" s="13">
        <f>SUMIF(H:H,Online_eCommerce[[#This Row],[Brand]],M:M)</f>
        <v>6558630</v>
      </c>
      <c r="T2740" s="13">
        <f>SUMIF(N:N,Online_eCommerce[[#This Row],[Assigned Supervisor]],L:L)</f>
        <v>13693220</v>
      </c>
    </row>
    <row r="2741" spans="1:20" hidden="1" x14ac:dyDescent="0.3">
      <c r="A2741" t="s">
        <v>4048</v>
      </c>
      <c r="B2741" t="s">
        <v>37</v>
      </c>
      <c r="C2741" t="s">
        <v>74</v>
      </c>
      <c r="D2741" t="s">
        <v>4036</v>
      </c>
      <c r="E2741" t="s">
        <v>161</v>
      </c>
      <c r="F2741" t="s">
        <v>126</v>
      </c>
      <c r="G2741" t="s">
        <v>26</v>
      </c>
      <c r="H2741" t="s">
        <v>27</v>
      </c>
      <c r="I2741">
        <v>14500</v>
      </c>
      <c r="J2741">
        <v>18850</v>
      </c>
      <c r="K2741">
        <v>3</v>
      </c>
      <c r="L2741">
        <v>43500</v>
      </c>
      <c r="M2741">
        <v>56550</v>
      </c>
      <c r="N2741" t="s">
        <v>28</v>
      </c>
      <c r="O2741">
        <f t="shared" si="84"/>
        <v>33150</v>
      </c>
      <c r="P2741" s="13">
        <f t="shared" si="85"/>
        <v>2144701</v>
      </c>
      <c r="Q2741" s="13">
        <f>SUMIFS(M:M,E:E,Online_eCommerce[[#This Row],[Status]])</f>
        <v>21103186</v>
      </c>
      <c r="R2741" s="13">
        <f>SUMIFS(L:L,H:H,Online_eCommerce[[#This Row],[Brand]])</f>
        <v>14431000</v>
      </c>
      <c r="S2741" s="13">
        <f>SUMIF(H:H,Online_eCommerce[[#This Row],[Brand]],M:M)</f>
        <v>18760300</v>
      </c>
      <c r="T2741" s="13">
        <f>SUMIF(N:N,Online_eCommerce[[#This Row],[Assigned Supervisor]],L:L)</f>
        <v>12220830</v>
      </c>
    </row>
    <row r="2742" spans="1:20" x14ac:dyDescent="0.3">
      <c r="A2742" t="s">
        <v>4049</v>
      </c>
      <c r="B2742" t="s">
        <v>44</v>
      </c>
      <c r="C2742" t="s">
        <v>81</v>
      </c>
      <c r="D2742" t="s">
        <v>4036</v>
      </c>
      <c r="E2742" t="s">
        <v>46</v>
      </c>
      <c r="F2742" t="s">
        <v>129</v>
      </c>
      <c r="G2742" t="s">
        <v>60</v>
      </c>
      <c r="H2742" t="s">
        <v>61</v>
      </c>
      <c r="I2742">
        <v>800</v>
      </c>
      <c r="J2742">
        <v>1040</v>
      </c>
      <c r="K2742">
        <v>3</v>
      </c>
      <c r="L2742">
        <v>2400</v>
      </c>
      <c r="M2742">
        <v>3120</v>
      </c>
      <c r="N2742" t="s">
        <v>35</v>
      </c>
      <c r="O2742">
        <f t="shared" si="84"/>
        <v>3315</v>
      </c>
      <c r="P2742" s="13">
        <f t="shared" si="85"/>
        <v>2595632</v>
      </c>
      <c r="Q2742" s="13">
        <f>SUMIFS(M:M,E:E,Online_eCommerce[[#This Row],[Status]])</f>
        <v>28620410</v>
      </c>
      <c r="R2742" s="13">
        <f>SUMIFS(L:L,H:H,Online_eCommerce[[#This Row],[Brand]])</f>
        <v>10950150</v>
      </c>
      <c r="S2742" s="13">
        <f>SUMIF(H:H,Online_eCommerce[[#This Row],[Brand]],M:M)</f>
        <v>14235195</v>
      </c>
      <c r="T2742" s="13">
        <f>SUMIF(N:N,Online_eCommerce[[#This Row],[Assigned Supervisor]],L:L)</f>
        <v>14373360</v>
      </c>
    </row>
    <row r="2743" spans="1:20" hidden="1" x14ac:dyDescent="0.3">
      <c r="A2743" t="s">
        <v>4050</v>
      </c>
      <c r="B2743" t="s">
        <v>213</v>
      </c>
      <c r="C2743" t="s">
        <v>86</v>
      </c>
      <c r="D2743" t="s">
        <v>4036</v>
      </c>
      <c r="E2743" t="s">
        <v>96</v>
      </c>
      <c r="F2743" t="s">
        <v>133</v>
      </c>
      <c r="G2743" t="s">
        <v>66</v>
      </c>
      <c r="H2743" t="s">
        <v>21</v>
      </c>
      <c r="I2743">
        <v>600</v>
      </c>
      <c r="J2743">
        <v>780</v>
      </c>
      <c r="K2743">
        <v>1</v>
      </c>
      <c r="L2743">
        <v>600</v>
      </c>
      <c r="M2743">
        <v>780</v>
      </c>
      <c r="N2743" t="s">
        <v>42</v>
      </c>
      <c r="O2743">
        <f t="shared" si="84"/>
        <v>1690</v>
      </c>
      <c r="P2743" s="13">
        <f t="shared" si="85"/>
        <v>1941225</v>
      </c>
      <c r="Q2743" s="13">
        <f>SUMIFS(M:M,E:E,Online_eCommerce[[#This Row],[Status]])</f>
        <v>21233992</v>
      </c>
      <c r="R2743" s="13">
        <f>SUMIFS(L:L,H:H,Online_eCommerce[[#This Row],[Brand]])</f>
        <v>12435650</v>
      </c>
      <c r="S2743" s="13">
        <f>SUMIF(H:H,Online_eCommerce[[#This Row],[Brand]],M:M)</f>
        <v>16166345</v>
      </c>
      <c r="T2743" s="13">
        <f>SUMIF(N:N,Online_eCommerce[[#This Row],[Assigned Supervisor]],L:L)</f>
        <v>12261500</v>
      </c>
    </row>
    <row r="2744" spans="1:20" hidden="1" x14ac:dyDescent="0.3">
      <c r="A2744" t="s">
        <v>4051</v>
      </c>
      <c r="B2744" t="s">
        <v>215</v>
      </c>
      <c r="C2744" t="s">
        <v>91</v>
      </c>
      <c r="D2744" t="s">
        <v>4036</v>
      </c>
      <c r="E2744" t="s">
        <v>18</v>
      </c>
      <c r="F2744" t="s">
        <v>137</v>
      </c>
      <c r="G2744" t="s">
        <v>71</v>
      </c>
      <c r="H2744" t="s">
        <v>61</v>
      </c>
      <c r="I2744">
        <v>10500</v>
      </c>
      <c r="J2744">
        <v>13650</v>
      </c>
      <c r="K2744">
        <v>3</v>
      </c>
      <c r="L2744">
        <v>31500</v>
      </c>
      <c r="M2744">
        <v>40950</v>
      </c>
      <c r="N2744" t="s">
        <v>50</v>
      </c>
      <c r="O2744">
        <f t="shared" si="84"/>
        <v>9750</v>
      </c>
      <c r="P2744" s="13">
        <f t="shared" si="85"/>
        <v>2731963</v>
      </c>
      <c r="Q2744" s="13">
        <f>SUMIFS(M:M,E:E,Online_eCommerce[[#This Row],[Status]])</f>
        <v>28340455</v>
      </c>
      <c r="R2744" s="13">
        <f>SUMIFS(L:L,H:H,Online_eCommerce[[#This Row],[Brand]])</f>
        <v>10950150</v>
      </c>
      <c r="S2744" s="13">
        <f>SUMIF(H:H,Online_eCommerce[[#This Row],[Brand]],M:M)</f>
        <v>14235195</v>
      </c>
      <c r="T2744" s="13">
        <f>SUMIF(N:N,Online_eCommerce[[#This Row],[Assigned Supervisor]],L:L)</f>
        <v>12100590</v>
      </c>
    </row>
    <row r="2745" spans="1:20" hidden="1" x14ac:dyDescent="0.3">
      <c r="A2745" t="s">
        <v>4052</v>
      </c>
      <c r="B2745" t="s">
        <v>306</v>
      </c>
      <c r="C2745" t="s">
        <v>94</v>
      </c>
      <c r="D2745" t="s">
        <v>4036</v>
      </c>
      <c r="E2745" t="s">
        <v>161</v>
      </c>
      <c r="F2745" t="s">
        <v>4015</v>
      </c>
      <c r="G2745" t="s">
        <v>77</v>
      </c>
      <c r="H2745" t="s">
        <v>142</v>
      </c>
      <c r="I2745">
        <v>6500</v>
      </c>
      <c r="J2745">
        <v>8450</v>
      </c>
      <c r="K2745">
        <v>4</v>
      </c>
      <c r="L2745">
        <v>26000</v>
      </c>
      <c r="M2745">
        <v>33800</v>
      </c>
      <c r="N2745" t="s">
        <v>56</v>
      </c>
      <c r="O2745">
        <f t="shared" si="84"/>
        <v>39000</v>
      </c>
      <c r="P2745" s="13">
        <f t="shared" si="85"/>
        <v>1868256</v>
      </c>
      <c r="Q2745" s="13">
        <f>SUMIFS(M:M,E:E,Online_eCommerce[[#This Row],[Status]])</f>
        <v>21103186</v>
      </c>
      <c r="R2745" s="13">
        <f>SUMIFS(L:L,H:H,Online_eCommerce[[#This Row],[Brand]])</f>
        <v>6192500</v>
      </c>
      <c r="S2745" s="13">
        <f>SUMIF(H:H,Online_eCommerce[[#This Row],[Brand]],M:M)</f>
        <v>8050250</v>
      </c>
      <c r="T2745" s="13">
        <f>SUMIF(N:N,Online_eCommerce[[#This Row],[Assigned Supervisor]],L:L)</f>
        <v>11733610</v>
      </c>
    </row>
    <row r="2746" spans="1:20" x14ac:dyDescent="0.3">
      <c r="A2746" t="s">
        <v>4053</v>
      </c>
      <c r="B2746" t="s">
        <v>528</v>
      </c>
      <c r="C2746" t="s">
        <v>99</v>
      </c>
      <c r="D2746" t="s">
        <v>4036</v>
      </c>
      <c r="E2746" t="s">
        <v>46</v>
      </c>
      <c r="F2746" t="s">
        <v>4054</v>
      </c>
      <c r="G2746" t="s">
        <v>20</v>
      </c>
      <c r="H2746" t="s">
        <v>21</v>
      </c>
      <c r="I2746">
        <v>4500</v>
      </c>
      <c r="J2746">
        <v>5850</v>
      </c>
      <c r="K2746">
        <v>3</v>
      </c>
      <c r="L2746">
        <v>13500</v>
      </c>
      <c r="M2746">
        <v>17550</v>
      </c>
      <c r="N2746" t="s">
        <v>22</v>
      </c>
      <c r="O2746">
        <f t="shared" si="84"/>
        <v>8450</v>
      </c>
      <c r="P2746" s="13">
        <f t="shared" si="85"/>
        <v>2651233</v>
      </c>
      <c r="Q2746" s="13">
        <f>SUMIFS(M:M,E:E,Online_eCommerce[[#This Row],[Status]])</f>
        <v>28620410</v>
      </c>
      <c r="R2746" s="13">
        <f>SUMIFS(L:L,H:H,Online_eCommerce[[#This Row],[Brand]])</f>
        <v>12435650</v>
      </c>
      <c r="S2746" s="13">
        <f>SUMIF(H:H,Online_eCommerce[[#This Row],[Brand]],M:M)</f>
        <v>16166345</v>
      </c>
      <c r="T2746" s="13">
        <f>SUMIF(N:N,Online_eCommerce[[#This Row],[Assigned Supervisor]],L:L)</f>
        <v>13693220</v>
      </c>
    </row>
    <row r="2747" spans="1:20" hidden="1" x14ac:dyDescent="0.3">
      <c r="A2747" t="s">
        <v>4055</v>
      </c>
      <c r="B2747" t="s">
        <v>73</v>
      </c>
      <c r="C2747" t="s">
        <v>105</v>
      </c>
      <c r="D2747" t="s">
        <v>4036</v>
      </c>
      <c r="E2747" t="s">
        <v>96</v>
      </c>
      <c r="F2747" t="s">
        <v>152</v>
      </c>
      <c r="G2747" t="s">
        <v>26</v>
      </c>
      <c r="H2747" t="s">
        <v>27</v>
      </c>
      <c r="I2747">
        <v>8500</v>
      </c>
      <c r="J2747">
        <v>11050</v>
      </c>
      <c r="K2747">
        <v>3</v>
      </c>
      <c r="L2747">
        <v>25500</v>
      </c>
      <c r="M2747">
        <v>33150</v>
      </c>
      <c r="N2747" t="s">
        <v>28</v>
      </c>
      <c r="O2747">
        <f t="shared" si="84"/>
        <v>33150</v>
      </c>
      <c r="P2747" s="13">
        <f t="shared" si="85"/>
        <v>1866852</v>
      </c>
      <c r="Q2747" s="13">
        <f>SUMIFS(M:M,E:E,Online_eCommerce[[#This Row],[Status]])</f>
        <v>21233992</v>
      </c>
      <c r="R2747" s="13">
        <f>SUMIFS(L:L,H:H,Online_eCommerce[[#This Row],[Brand]])</f>
        <v>14431000</v>
      </c>
      <c r="S2747" s="13">
        <f>SUMIF(H:H,Online_eCommerce[[#This Row],[Brand]],M:M)</f>
        <v>18760300</v>
      </c>
      <c r="T2747" s="13">
        <f>SUMIF(N:N,Online_eCommerce[[#This Row],[Assigned Supervisor]],L:L)</f>
        <v>12220830</v>
      </c>
    </row>
    <row r="2748" spans="1:20" hidden="1" x14ac:dyDescent="0.3">
      <c r="A2748" t="s">
        <v>4056</v>
      </c>
      <c r="B2748" t="s">
        <v>80</v>
      </c>
      <c r="C2748" t="s">
        <v>110</v>
      </c>
      <c r="D2748" t="s">
        <v>4036</v>
      </c>
      <c r="E2748" t="s">
        <v>18</v>
      </c>
      <c r="F2748" t="s">
        <v>157</v>
      </c>
      <c r="G2748" t="s">
        <v>33</v>
      </c>
      <c r="H2748" t="s">
        <v>34</v>
      </c>
      <c r="I2748">
        <v>12500</v>
      </c>
      <c r="J2748">
        <v>16250</v>
      </c>
      <c r="K2748">
        <v>1</v>
      </c>
      <c r="L2748">
        <v>12500</v>
      </c>
      <c r="M2748">
        <v>16250</v>
      </c>
      <c r="N2748" t="s">
        <v>35</v>
      </c>
      <c r="O2748">
        <f t="shared" si="84"/>
        <v>18200</v>
      </c>
      <c r="P2748" s="13">
        <f t="shared" si="85"/>
        <v>2598635</v>
      </c>
      <c r="Q2748" s="13">
        <f>SUMIFS(M:M,E:E,Online_eCommerce[[#This Row],[Status]])</f>
        <v>28340455</v>
      </c>
      <c r="R2748" s="13">
        <f>SUMIFS(L:L,H:H,Online_eCommerce[[#This Row],[Brand]])</f>
        <v>10087000</v>
      </c>
      <c r="S2748" s="13">
        <f>SUMIF(H:H,Online_eCommerce[[#This Row],[Brand]],M:M)</f>
        <v>13113100</v>
      </c>
      <c r="T2748" s="13">
        <f>SUMIF(N:N,Online_eCommerce[[#This Row],[Assigned Supervisor]],L:L)</f>
        <v>14373360</v>
      </c>
    </row>
    <row r="2749" spans="1:20" hidden="1" x14ac:dyDescent="0.3">
      <c r="A2749" t="s">
        <v>4057</v>
      </c>
      <c r="B2749" t="s">
        <v>85</v>
      </c>
      <c r="C2749" t="s">
        <v>115</v>
      </c>
      <c r="D2749" t="s">
        <v>4036</v>
      </c>
      <c r="E2749" t="s">
        <v>161</v>
      </c>
      <c r="F2749" t="s">
        <v>3705</v>
      </c>
      <c r="G2749" t="s">
        <v>40</v>
      </c>
      <c r="H2749" t="s">
        <v>41</v>
      </c>
      <c r="I2749">
        <v>3500</v>
      </c>
      <c r="J2749">
        <v>4550</v>
      </c>
      <c r="K2749">
        <v>1</v>
      </c>
      <c r="L2749">
        <v>3500</v>
      </c>
      <c r="M2749">
        <v>4550</v>
      </c>
      <c r="N2749" t="s">
        <v>42</v>
      </c>
      <c r="O2749">
        <f t="shared" si="84"/>
        <v>25545</v>
      </c>
      <c r="P2749" s="13">
        <f t="shared" si="85"/>
        <v>2050178</v>
      </c>
      <c r="Q2749" s="13">
        <f>SUMIFS(M:M,E:E,Online_eCommerce[[#This Row],[Status]])</f>
        <v>21103186</v>
      </c>
      <c r="R2749" s="13">
        <f>SUMIFS(L:L,H:H,Online_eCommerce[[#This Row],[Brand]])</f>
        <v>4260400</v>
      </c>
      <c r="S2749" s="13">
        <f>SUMIF(H:H,Online_eCommerce[[#This Row],[Brand]],M:M)</f>
        <v>5538520</v>
      </c>
      <c r="T2749" s="13">
        <f>SUMIF(N:N,Online_eCommerce[[#This Row],[Assigned Supervisor]],L:L)</f>
        <v>12261500</v>
      </c>
    </row>
    <row r="2750" spans="1:20" x14ac:dyDescent="0.3">
      <c r="A2750" t="s">
        <v>4058</v>
      </c>
      <c r="B2750" t="s">
        <v>90</v>
      </c>
      <c r="C2750" t="s">
        <v>120</v>
      </c>
      <c r="D2750" t="s">
        <v>4036</v>
      </c>
      <c r="E2750" t="s">
        <v>46</v>
      </c>
      <c r="F2750" t="s">
        <v>166</v>
      </c>
      <c r="G2750" t="s">
        <v>334</v>
      </c>
      <c r="H2750" t="s">
        <v>49</v>
      </c>
      <c r="I2750">
        <v>4500</v>
      </c>
      <c r="J2750">
        <v>5850</v>
      </c>
      <c r="K2750">
        <v>2</v>
      </c>
      <c r="L2750">
        <v>9000</v>
      </c>
      <c r="M2750">
        <v>11700</v>
      </c>
      <c r="N2750" t="s">
        <v>50</v>
      </c>
      <c r="O2750">
        <f t="shared" si="84"/>
        <v>39780</v>
      </c>
      <c r="P2750" s="13">
        <f t="shared" si="85"/>
        <v>2734212</v>
      </c>
      <c r="Q2750" s="13">
        <f>SUMIFS(M:M,E:E,Online_eCommerce[[#This Row],[Status]])</f>
        <v>28620410</v>
      </c>
      <c r="R2750" s="13">
        <f>SUMIFS(L:L,H:H,Online_eCommerce[[#This Row],[Brand]])</f>
        <v>4528350</v>
      </c>
      <c r="S2750" s="13">
        <f>SUMIF(H:H,Online_eCommerce[[#This Row],[Brand]],M:M)</f>
        <v>5886855</v>
      </c>
      <c r="T2750" s="13">
        <f>SUMIF(N:N,Online_eCommerce[[#This Row],[Assigned Supervisor]],L:L)</f>
        <v>12100590</v>
      </c>
    </row>
    <row r="2751" spans="1:20" hidden="1" x14ac:dyDescent="0.3">
      <c r="A2751" t="s">
        <v>4059</v>
      </c>
      <c r="B2751" t="s">
        <v>232</v>
      </c>
      <c r="C2751" t="s">
        <v>125</v>
      </c>
      <c r="D2751" t="s">
        <v>4036</v>
      </c>
      <c r="E2751" t="s">
        <v>96</v>
      </c>
      <c r="F2751" t="s">
        <v>4060</v>
      </c>
      <c r="G2751" t="s">
        <v>54</v>
      </c>
      <c r="H2751" t="s">
        <v>55</v>
      </c>
      <c r="I2751">
        <v>2100</v>
      </c>
      <c r="J2751">
        <v>2730</v>
      </c>
      <c r="K2751">
        <v>1</v>
      </c>
      <c r="L2751">
        <v>2100</v>
      </c>
      <c r="M2751">
        <v>2730</v>
      </c>
      <c r="N2751" t="s">
        <v>56</v>
      </c>
      <c r="O2751">
        <f t="shared" si="84"/>
        <v>2990</v>
      </c>
      <c r="P2751" s="13">
        <f t="shared" si="85"/>
        <v>2091154</v>
      </c>
      <c r="Q2751" s="13">
        <f>SUMIFS(M:M,E:E,Online_eCommerce[[#This Row],[Status]])</f>
        <v>21233992</v>
      </c>
      <c r="R2751" s="13">
        <f>SUMIFS(L:L,H:H,Online_eCommerce[[#This Row],[Brand]])</f>
        <v>2267380</v>
      </c>
      <c r="S2751" s="13">
        <f>SUMIF(H:H,Online_eCommerce[[#This Row],[Brand]],M:M)</f>
        <v>2947594</v>
      </c>
      <c r="T2751" s="13">
        <f>SUMIF(N:N,Online_eCommerce[[#This Row],[Assigned Supervisor]],L:L)</f>
        <v>11733610</v>
      </c>
    </row>
    <row r="2752" spans="1:20" hidden="1" x14ac:dyDescent="0.3">
      <c r="A2752" t="s">
        <v>4061</v>
      </c>
      <c r="B2752" t="s">
        <v>235</v>
      </c>
      <c r="C2752" t="s">
        <v>22</v>
      </c>
      <c r="D2752" t="s">
        <v>4036</v>
      </c>
      <c r="E2752" t="s">
        <v>18</v>
      </c>
      <c r="F2752" t="s">
        <v>174</v>
      </c>
      <c r="G2752" t="s">
        <v>60</v>
      </c>
      <c r="H2752" t="s">
        <v>61</v>
      </c>
      <c r="I2752">
        <v>1150</v>
      </c>
      <c r="J2752">
        <v>1495</v>
      </c>
      <c r="K2752">
        <v>3</v>
      </c>
      <c r="L2752">
        <v>3450</v>
      </c>
      <c r="M2752">
        <v>4485</v>
      </c>
      <c r="N2752" t="s">
        <v>22</v>
      </c>
      <c r="O2752">
        <f t="shared" si="84"/>
        <v>3315</v>
      </c>
      <c r="P2752" s="13">
        <f t="shared" si="85"/>
        <v>2551588</v>
      </c>
      <c r="Q2752" s="13">
        <f>SUMIFS(M:M,E:E,Online_eCommerce[[#This Row],[Status]])</f>
        <v>28340455</v>
      </c>
      <c r="R2752" s="13">
        <f>SUMIFS(L:L,H:H,Online_eCommerce[[#This Row],[Brand]])</f>
        <v>10950150</v>
      </c>
      <c r="S2752" s="13">
        <f>SUMIF(H:H,Online_eCommerce[[#This Row],[Brand]],M:M)</f>
        <v>14235195</v>
      </c>
      <c r="T2752" s="13">
        <f>SUMIF(N:N,Online_eCommerce[[#This Row],[Assigned Supervisor]],L:L)</f>
        <v>13693220</v>
      </c>
    </row>
    <row r="2753" spans="1:20" hidden="1" x14ac:dyDescent="0.3">
      <c r="A2753" t="s">
        <v>4062</v>
      </c>
      <c r="B2753" t="s">
        <v>104</v>
      </c>
      <c r="C2753" t="s">
        <v>132</v>
      </c>
      <c r="D2753" t="s">
        <v>4036</v>
      </c>
      <c r="E2753" t="s">
        <v>161</v>
      </c>
      <c r="F2753" t="s">
        <v>179</v>
      </c>
      <c r="G2753" t="s">
        <v>66</v>
      </c>
      <c r="H2753" t="s">
        <v>21</v>
      </c>
      <c r="I2753">
        <v>350</v>
      </c>
      <c r="J2753">
        <v>455</v>
      </c>
      <c r="K2753">
        <v>3</v>
      </c>
      <c r="L2753">
        <v>1050</v>
      </c>
      <c r="M2753">
        <v>1365</v>
      </c>
      <c r="N2753" t="s">
        <v>28</v>
      </c>
      <c r="O2753">
        <f t="shared" si="84"/>
        <v>1690</v>
      </c>
      <c r="P2753" s="13">
        <f t="shared" si="85"/>
        <v>1989065</v>
      </c>
      <c r="Q2753" s="13">
        <f>SUMIFS(M:M,E:E,Online_eCommerce[[#This Row],[Status]])</f>
        <v>21103186</v>
      </c>
      <c r="R2753" s="13">
        <f>SUMIFS(L:L,H:H,Online_eCommerce[[#This Row],[Brand]])</f>
        <v>12435650</v>
      </c>
      <c r="S2753" s="13">
        <f>SUMIF(H:H,Online_eCommerce[[#This Row],[Brand]],M:M)</f>
        <v>16166345</v>
      </c>
      <c r="T2753" s="13">
        <f>SUMIF(N:N,Online_eCommerce[[#This Row],[Assigned Supervisor]],L:L)</f>
        <v>12220830</v>
      </c>
    </row>
    <row r="2754" spans="1:20" x14ac:dyDescent="0.3">
      <c r="A2754" t="s">
        <v>4063</v>
      </c>
      <c r="B2754" t="s">
        <v>109</v>
      </c>
      <c r="C2754" t="s">
        <v>136</v>
      </c>
      <c r="D2754" t="s">
        <v>4036</v>
      </c>
      <c r="E2754" t="s">
        <v>46</v>
      </c>
      <c r="F2754" t="s">
        <v>183</v>
      </c>
      <c r="G2754" t="s">
        <v>71</v>
      </c>
      <c r="H2754" t="s">
        <v>61</v>
      </c>
      <c r="I2754">
        <v>9500</v>
      </c>
      <c r="J2754">
        <v>12350</v>
      </c>
      <c r="K2754">
        <v>2</v>
      </c>
      <c r="L2754">
        <v>19000</v>
      </c>
      <c r="M2754">
        <v>24700</v>
      </c>
      <c r="N2754" t="s">
        <v>35</v>
      </c>
      <c r="O2754">
        <f t="shared" ref="O2754:O2817" si="86">VLOOKUP(G2754,G:M,7,FALSE)</f>
        <v>9750</v>
      </c>
      <c r="P2754" s="13">
        <f t="shared" ref="P2754:P2817" si="87">SUMIFS(M:M,C:C,C2754)</f>
        <v>2775162</v>
      </c>
      <c r="Q2754" s="13">
        <f>SUMIFS(M:M,E:E,Online_eCommerce[[#This Row],[Status]])</f>
        <v>28620410</v>
      </c>
      <c r="R2754" s="13">
        <f>SUMIFS(L:L,H:H,Online_eCommerce[[#This Row],[Brand]])</f>
        <v>10950150</v>
      </c>
      <c r="S2754" s="13">
        <f>SUMIF(H:H,Online_eCommerce[[#This Row],[Brand]],M:M)</f>
        <v>14235195</v>
      </c>
      <c r="T2754" s="13">
        <f>SUMIF(N:N,Online_eCommerce[[#This Row],[Assigned Supervisor]],L:L)</f>
        <v>14373360</v>
      </c>
    </row>
    <row r="2755" spans="1:20" hidden="1" x14ac:dyDescent="0.3">
      <c r="A2755" t="s">
        <v>4064</v>
      </c>
      <c r="B2755" t="s">
        <v>114</v>
      </c>
      <c r="C2755" t="s">
        <v>140</v>
      </c>
      <c r="D2755" t="s">
        <v>4036</v>
      </c>
      <c r="E2755" t="s">
        <v>96</v>
      </c>
      <c r="F2755" t="s">
        <v>4065</v>
      </c>
      <c r="G2755" t="s">
        <v>77</v>
      </c>
      <c r="H2755" t="s">
        <v>142</v>
      </c>
      <c r="I2755">
        <v>10000</v>
      </c>
      <c r="J2755">
        <v>13000</v>
      </c>
      <c r="K2755">
        <v>3</v>
      </c>
      <c r="L2755">
        <v>30000</v>
      </c>
      <c r="M2755">
        <v>39000</v>
      </c>
      <c r="N2755" t="s">
        <v>42</v>
      </c>
      <c r="O2755">
        <f t="shared" si="86"/>
        <v>39000</v>
      </c>
      <c r="P2755" s="13">
        <f t="shared" si="87"/>
        <v>2058264</v>
      </c>
      <c r="Q2755" s="13">
        <f>SUMIFS(M:M,E:E,Online_eCommerce[[#This Row],[Status]])</f>
        <v>21233992</v>
      </c>
      <c r="R2755" s="13">
        <f>SUMIFS(L:L,H:H,Online_eCommerce[[#This Row],[Brand]])</f>
        <v>6192500</v>
      </c>
      <c r="S2755" s="13">
        <f>SUMIF(H:H,Online_eCommerce[[#This Row],[Brand]],M:M)</f>
        <v>8050250</v>
      </c>
      <c r="T2755" s="13">
        <f>SUMIF(N:N,Online_eCommerce[[#This Row],[Assigned Supervisor]],L:L)</f>
        <v>12261500</v>
      </c>
    </row>
    <row r="2756" spans="1:20" hidden="1" x14ac:dyDescent="0.3">
      <c r="A2756" t="s">
        <v>4066</v>
      </c>
      <c r="B2756" t="s">
        <v>119</v>
      </c>
      <c r="C2756" t="s">
        <v>145</v>
      </c>
      <c r="D2756" t="s">
        <v>4036</v>
      </c>
      <c r="E2756" t="s">
        <v>18</v>
      </c>
      <c r="F2756" t="s">
        <v>4067</v>
      </c>
      <c r="G2756" t="s">
        <v>20</v>
      </c>
      <c r="H2756" t="s">
        <v>21</v>
      </c>
      <c r="I2756">
        <v>6500</v>
      </c>
      <c r="J2756">
        <v>8450</v>
      </c>
      <c r="K2756">
        <v>1</v>
      </c>
      <c r="L2756">
        <v>6500</v>
      </c>
      <c r="M2756">
        <v>8450</v>
      </c>
      <c r="N2756" t="s">
        <v>50</v>
      </c>
      <c r="O2756">
        <f t="shared" si="86"/>
        <v>8450</v>
      </c>
      <c r="P2756" s="13">
        <f t="shared" si="87"/>
        <v>2757859</v>
      </c>
      <c r="Q2756" s="13">
        <f>SUMIFS(M:M,E:E,Online_eCommerce[[#This Row],[Status]])</f>
        <v>28340455</v>
      </c>
      <c r="R2756" s="13">
        <f>SUMIFS(L:L,H:H,Online_eCommerce[[#This Row],[Brand]])</f>
        <v>12435650</v>
      </c>
      <c r="S2756" s="13">
        <f>SUMIF(H:H,Online_eCommerce[[#This Row],[Brand]],M:M)</f>
        <v>16166345</v>
      </c>
      <c r="T2756" s="13">
        <f>SUMIF(N:N,Online_eCommerce[[#This Row],[Assigned Supervisor]],L:L)</f>
        <v>12100590</v>
      </c>
    </row>
    <row r="2757" spans="1:20" hidden="1" x14ac:dyDescent="0.3">
      <c r="A2757" t="s">
        <v>4068</v>
      </c>
      <c r="B2757" t="s">
        <v>124</v>
      </c>
      <c r="C2757" t="s">
        <v>150</v>
      </c>
      <c r="D2757" t="s">
        <v>4036</v>
      </c>
      <c r="E2757" t="s">
        <v>161</v>
      </c>
      <c r="F2757" t="s">
        <v>4069</v>
      </c>
      <c r="G2757" t="s">
        <v>26</v>
      </c>
      <c r="H2757" t="s">
        <v>27</v>
      </c>
      <c r="I2757">
        <v>8500</v>
      </c>
      <c r="J2757">
        <v>11050</v>
      </c>
      <c r="K2757">
        <v>3</v>
      </c>
      <c r="L2757">
        <v>25500</v>
      </c>
      <c r="M2757">
        <v>33150</v>
      </c>
      <c r="N2757" t="s">
        <v>56</v>
      </c>
      <c r="O2757">
        <f t="shared" si="86"/>
        <v>33150</v>
      </c>
      <c r="P2757" s="13">
        <f t="shared" si="87"/>
        <v>2154984</v>
      </c>
      <c r="Q2757" s="13">
        <f>SUMIFS(M:M,E:E,Online_eCommerce[[#This Row],[Status]])</f>
        <v>21103186</v>
      </c>
      <c r="R2757" s="13">
        <f>SUMIFS(L:L,H:H,Online_eCommerce[[#This Row],[Brand]])</f>
        <v>14431000</v>
      </c>
      <c r="S2757" s="13">
        <f>SUMIF(H:H,Online_eCommerce[[#This Row],[Brand]],M:M)</f>
        <v>18760300</v>
      </c>
      <c r="T2757" s="13">
        <f>SUMIF(N:N,Online_eCommerce[[#This Row],[Assigned Supervisor]],L:L)</f>
        <v>11733610</v>
      </c>
    </row>
    <row r="2758" spans="1:20" x14ac:dyDescent="0.3">
      <c r="A2758" t="s">
        <v>4070</v>
      </c>
      <c r="B2758" t="s">
        <v>128</v>
      </c>
      <c r="C2758" t="s">
        <v>155</v>
      </c>
      <c r="D2758" t="s">
        <v>4036</v>
      </c>
      <c r="E2758" t="s">
        <v>46</v>
      </c>
      <c r="F2758" t="s">
        <v>32</v>
      </c>
      <c r="G2758" t="s">
        <v>33</v>
      </c>
      <c r="H2758" t="s">
        <v>34</v>
      </c>
      <c r="I2758">
        <v>7000</v>
      </c>
      <c r="J2758">
        <v>9100</v>
      </c>
      <c r="K2758">
        <v>3</v>
      </c>
      <c r="L2758">
        <v>21000</v>
      </c>
      <c r="M2758">
        <v>27300</v>
      </c>
      <c r="N2758" t="s">
        <v>22</v>
      </c>
      <c r="O2758">
        <f t="shared" si="86"/>
        <v>18200</v>
      </c>
      <c r="P2758" s="13">
        <f t="shared" si="87"/>
        <v>2753348</v>
      </c>
      <c r="Q2758" s="13">
        <f>SUMIFS(M:M,E:E,Online_eCommerce[[#This Row],[Status]])</f>
        <v>28620410</v>
      </c>
      <c r="R2758" s="13">
        <f>SUMIFS(L:L,H:H,Online_eCommerce[[#This Row],[Brand]])</f>
        <v>10087000</v>
      </c>
      <c r="S2758" s="13">
        <f>SUMIF(H:H,Online_eCommerce[[#This Row],[Brand]],M:M)</f>
        <v>13113100</v>
      </c>
      <c r="T2758" s="13">
        <f>SUMIF(N:N,Online_eCommerce[[#This Row],[Assigned Supervisor]],L:L)</f>
        <v>13693220</v>
      </c>
    </row>
    <row r="2759" spans="1:20" hidden="1" x14ac:dyDescent="0.3">
      <c r="A2759" t="s">
        <v>4071</v>
      </c>
      <c r="B2759" t="s">
        <v>131</v>
      </c>
      <c r="C2759" t="s">
        <v>160</v>
      </c>
      <c r="D2759" t="s">
        <v>4036</v>
      </c>
      <c r="E2759" t="s">
        <v>96</v>
      </c>
      <c r="F2759" t="s">
        <v>4072</v>
      </c>
      <c r="G2759" t="s">
        <v>40</v>
      </c>
      <c r="H2759" t="s">
        <v>41</v>
      </c>
      <c r="I2759">
        <v>6550</v>
      </c>
      <c r="J2759">
        <v>8515</v>
      </c>
      <c r="K2759">
        <v>3</v>
      </c>
      <c r="L2759">
        <v>19650</v>
      </c>
      <c r="M2759">
        <v>25545</v>
      </c>
      <c r="N2759" t="s">
        <v>28</v>
      </c>
      <c r="O2759">
        <f t="shared" si="86"/>
        <v>25545</v>
      </c>
      <c r="P2759" s="13">
        <f t="shared" si="87"/>
        <v>2303483</v>
      </c>
      <c r="Q2759" s="13">
        <f>SUMIFS(M:M,E:E,Online_eCommerce[[#This Row],[Status]])</f>
        <v>21233992</v>
      </c>
      <c r="R2759" s="13">
        <f>SUMIFS(L:L,H:H,Online_eCommerce[[#This Row],[Brand]])</f>
        <v>4260400</v>
      </c>
      <c r="S2759" s="13">
        <f>SUMIF(H:H,Online_eCommerce[[#This Row],[Brand]],M:M)</f>
        <v>5538520</v>
      </c>
      <c r="T2759" s="13">
        <f>SUMIF(N:N,Online_eCommerce[[#This Row],[Assigned Supervisor]],L:L)</f>
        <v>12220830</v>
      </c>
    </row>
    <row r="2760" spans="1:20" hidden="1" x14ac:dyDescent="0.3">
      <c r="A2760" t="s">
        <v>4073</v>
      </c>
      <c r="B2760" t="s">
        <v>135</v>
      </c>
      <c r="C2760" t="s">
        <v>165</v>
      </c>
      <c r="D2760" t="s">
        <v>4036</v>
      </c>
      <c r="E2760" t="s">
        <v>18</v>
      </c>
      <c r="F2760" t="s">
        <v>47</v>
      </c>
      <c r="G2760" t="s">
        <v>334</v>
      </c>
      <c r="H2760" t="s">
        <v>49</v>
      </c>
      <c r="I2760">
        <v>7650</v>
      </c>
      <c r="J2760">
        <v>9945</v>
      </c>
      <c r="K2760">
        <v>4</v>
      </c>
      <c r="L2760">
        <v>30600</v>
      </c>
      <c r="M2760">
        <v>39780</v>
      </c>
      <c r="N2760" t="s">
        <v>35</v>
      </c>
      <c r="O2760">
        <f t="shared" si="86"/>
        <v>39780</v>
      </c>
      <c r="P2760" s="13">
        <f t="shared" si="87"/>
        <v>2674087</v>
      </c>
      <c r="Q2760" s="13">
        <f>SUMIFS(M:M,E:E,Online_eCommerce[[#This Row],[Status]])</f>
        <v>28340455</v>
      </c>
      <c r="R2760" s="13">
        <f>SUMIFS(L:L,H:H,Online_eCommerce[[#This Row],[Brand]])</f>
        <v>4528350</v>
      </c>
      <c r="S2760" s="13">
        <f>SUMIF(H:H,Online_eCommerce[[#This Row],[Brand]],M:M)</f>
        <v>5886855</v>
      </c>
      <c r="T2760" s="13">
        <f>SUMIF(N:N,Online_eCommerce[[#This Row],[Assigned Supervisor]],L:L)</f>
        <v>14373360</v>
      </c>
    </row>
    <row r="2761" spans="1:20" hidden="1" x14ac:dyDescent="0.3">
      <c r="A2761" t="s">
        <v>4074</v>
      </c>
      <c r="B2761" t="s">
        <v>139</v>
      </c>
      <c r="C2761" t="s">
        <v>168</v>
      </c>
      <c r="D2761" t="s">
        <v>4036</v>
      </c>
      <c r="E2761" t="s">
        <v>161</v>
      </c>
      <c r="F2761" t="s">
        <v>53</v>
      </c>
      <c r="G2761" t="s">
        <v>54</v>
      </c>
      <c r="H2761" t="s">
        <v>55</v>
      </c>
      <c r="I2761">
        <v>1150</v>
      </c>
      <c r="J2761">
        <v>1495</v>
      </c>
      <c r="K2761">
        <v>2</v>
      </c>
      <c r="L2761">
        <v>2300</v>
      </c>
      <c r="M2761">
        <v>2990</v>
      </c>
      <c r="N2761" t="s">
        <v>42</v>
      </c>
      <c r="O2761">
        <f t="shared" si="86"/>
        <v>2990</v>
      </c>
      <c r="P2761" s="13">
        <f t="shared" si="87"/>
        <v>1937780</v>
      </c>
      <c r="Q2761" s="13">
        <f>SUMIFS(M:M,E:E,Online_eCommerce[[#This Row],[Status]])</f>
        <v>21103186</v>
      </c>
      <c r="R2761" s="13">
        <f>SUMIFS(L:L,H:H,Online_eCommerce[[#This Row],[Brand]])</f>
        <v>2267380</v>
      </c>
      <c r="S2761" s="13">
        <f>SUMIF(H:H,Online_eCommerce[[#This Row],[Brand]],M:M)</f>
        <v>2947594</v>
      </c>
      <c r="T2761" s="13">
        <f>SUMIF(N:N,Online_eCommerce[[#This Row],[Assigned Supervisor]],L:L)</f>
        <v>12261500</v>
      </c>
    </row>
    <row r="2762" spans="1:20" x14ac:dyDescent="0.3">
      <c r="A2762" t="s">
        <v>4075</v>
      </c>
      <c r="B2762" t="s">
        <v>144</v>
      </c>
      <c r="C2762" t="s">
        <v>172</v>
      </c>
      <c r="D2762" t="s">
        <v>4036</v>
      </c>
      <c r="E2762" t="s">
        <v>46</v>
      </c>
      <c r="F2762" t="s">
        <v>59</v>
      </c>
      <c r="G2762" t="s">
        <v>60</v>
      </c>
      <c r="H2762" t="s">
        <v>61</v>
      </c>
      <c r="I2762">
        <v>850</v>
      </c>
      <c r="J2762">
        <v>1105</v>
      </c>
      <c r="K2762">
        <v>1</v>
      </c>
      <c r="L2762">
        <v>850</v>
      </c>
      <c r="M2762">
        <v>1105</v>
      </c>
      <c r="N2762" t="s">
        <v>50</v>
      </c>
      <c r="O2762">
        <f t="shared" si="86"/>
        <v>3315</v>
      </c>
      <c r="P2762" s="13">
        <f t="shared" si="87"/>
        <v>2640274</v>
      </c>
      <c r="Q2762" s="13">
        <f>SUMIFS(M:M,E:E,Online_eCommerce[[#This Row],[Status]])</f>
        <v>28620410</v>
      </c>
      <c r="R2762" s="13">
        <f>SUMIFS(L:L,H:H,Online_eCommerce[[#This Row],[Brand]])</f>
        <v>10950150</v>
      </c>
      <c r="S2762" s="13">
        <f>SUMIF(H:H,Online_eCommerce[[#This Row],[Brand]],M:M)</f>
        <v>14235195</v>
      </c>
      <c r="T2762" s="13">
        <f>SUMIF(N:N,Online_eCommerce[[#This Row],[Assigned Supervisor]],L:L)</f>
        <v>12100590</v>
      </c>
    </row>
    <row r="2763" spans="1:20" hidden="1" x14ac:dyDescent="0.3">
      <c r="A2763" t="s">
        <v>4076</v>
      </c>
      <c r="B2763" t="s">
        <v>149</v>
      </c>
      <c r="C2763" t="s">
        <v>177</v>
      </c>
      <c r="D2763" t="s">
        <v>4036</v>
      </c>
      <c r="E2763" t="s">
        <v>96</v>
      </c>
      <c r="F2763" t="s">
        <v>65</v>
      </c>
      <c r="G2763" t="s">
        <v>66</v>
      </c>
      <c r="H2763" t="s">
        <v>21</v>
      </c>
      <c r="I2763">
        <v>650</v>
      </c>
      <c r="J2763">
        <v>845</v>
      </c>
      <c r="K2763">
        <v>2</v>
      </c>
      <c r="L2763">
        <v>1300</v>
      </c>
      <c r="M2763">
        <v>1690</v>
      </c>
      <c r="N2763" t="s">
        <v>56</v>
      </c>
      <c r="O2763">
        <f t="shared" si="86"/>
        <v>1690</v>
      </c>
      <c r="P2763" s="13">
        <f t="shared" si="87"/>
        <v>1863810</v>
      </c>
      <c r="Q2763" s="13">
        <f>SUMIFS(M:M,E:E,Online_eCommerce[[#This Row],[Status]])</f>
        <v>21233992</v>
      </c>
      <c r="R2763" s="13">
        <f>SUMIFS(L:L,H:H,Online_eCommerce[[#This Row],[Brand]])</f>
        <v>12435650</v>
      </c>
      <c r="S2763" s="13">
        <f>SUMIF(H:H,Online_eCommerce[[#This Row],[Brand]],M:M)</f>
        <v>16166345</v>
      </c>
      <c r="T2763" s="13">
        <f>SUMIF(N:N,Online_eCommerce[[#This Row],[Assigned Supervisor]],L:L)</f>
        <v>11733610</v>
      </c>
    </row>
    <row r="2764" spans="1:20" hidden="1" x14ac:dyDescent="0.3">
      <c r="A2764" t="s">
        <v>4077</v>
      </c>
      <c r="B2764" t="s">
        <v>154</v>
      </c>
      <c r="C2764" t="s">
        <v>181</v>
      </c>
      <c r="D2764" t="s">
        <v>4036</v>
      </c>
      <c r="E2764" t="s">
        <v>18</v>
      </c>
      <c r="F2764" t="s">
        <v>70</v>
      </c>
      <c r="G2764" t="s">
        <v>71</v>
      </c>
      <c r="H2764" t="s">
        <v>61</v>
      </c>
      <c r="I2764">
        <v>7500</v>
      </c>
      <c r="J2764">
        <v>9750</v>
      </c>
      <c r="K2764">
        <v>1</v>
      </c>
      <c r="L2764">
        <v>7500</v>
      </c>
      <c r="M2764">
        <v>9750</v>
      </c>
      <c r="N2764" t="s">
        <v>22</v>
      </c>
      <c r="O2764">
        <f t="shared" si="86"/>
        <v>9750</v>
      </c>
      <c r="P2764" s="13">
        <f t="shared" si="87"/>
        <v>2577458</v>
      </c>
      <c r="Q2764" s="13">
        <f>SUMIFS(M:M,E:E,Online_eCommerce[[#This Row],[Status]])</f>
        <v>28340455</v>
      </c>
      <c r="R2764" s="13">
        <f>SUMIFS(L:L,H:H,Online_eCommerce[[#This Row],[Brand]])</f>
        <v>10950150</v>
      </c>
      <c r="S2764" s="13">
        <f>SUMIF(H:H,Online_eCommerce[[#This Row],[Brand]],M:M)</f>
        <v>14235195</v>
      </c>
      <c r="T2764" s="13">
        <f>SUMIF(N:N,Online_eCommerce[[#This Row],[Assigned Supervisor]],L:L)</f>
        <v>13693220</v>
      </c>
    </row>
    <row r="2765" spans="1:20" hidden="1" x14ac:dyDescent="0.3">
      <c r="A2765" t="s">
        <v>4078</v>
      </c>
      <c r="B2765" t="s">
        <v>159</v>
      </c>
      <c r="C2765" t="s">
        <v>185</v>
      </c>
      <c r="D2765" t="s">
        <v>4036</v>
      </c>
      <c r="E2765" t="s">
        <v>161</v>
      </c>
      <c r="F2765" t="s">
        <v>4065</v>
      </c>
      <c r="G2765" t="s">
        <v>77</v>
      </c>
      <c r="H2765" t="s">
        <v>78</v>
      </c>
      <c r="I2765">
        <v>10000</v>
      </c>
      <c r="J2765">
        <v>13000</v>
      </c>
      <c r="K2765">
        <v>4</v>
      </c>
      <c r="L2765">
        <v>40000</v>
      </c>
      <c r="M2765">
        <v>52000</v>
      </c>
      <c r="N2765" t="s">
        <v>28</v>
      </c>
      <c r="O2765">
        <f t="shared" si="86"/>
        <v>39000</v>
      </c>
      <c r="P2765" s="13">
        <f t="shared" si="87"/>
        <v>2091596</v>
      </c>
      <c r="Q2765" s="13">
        <f>SUMIFS(M:M,E:E,Online_eCommerce[[#This Row],[Status]])</f>
        <v>21103186</v>
      </c>
      <c r="R2765" s="13">
        <f>SUMIFS(L:L,H:H,Online_eCommerce[[#This Row],[Brand]])</f>
        <v>3720000</v>
      </c>
      <c r="S2765" s="13">
        <f>SUMIF(H:H,Online_eCommerce[[#This Row],[Brand]],M:M)</f>
        <v>4836000</v>
      </c>
      <c r="T2765" s="13">
        <f>SUMIF(N:N,Online_eCommerce[[#This Row],[Assigned Supervisor]],L:L)</f>
        <v>12220830</v>
      </c>
    </row>
    <row r="2766" spans="1:20" x14ac:dyDescent="0.3">
      <c r="A2766" t="s">
        <v>4079</v>
      </c>
      <c r="B2766" t="s">
        <v>139</v>
      </c>
      <c r="C2766" t="s">
        <v>189</v>
      </c>
      <c r="D2766" t="s">
        <v>4036</v>
      </c>
      <c r="E2766" t="s">
        <v>46</v>
      </c>
      <c r="F2766" t="s">
        <v>4080</v>
      </c>
      <c r="G2766" t="s">
        <v>20</v>
      </c>
      <c r="H2766" t="s">
        <v>21</v>
      </c>
      <c r="I2766">
        <v>10500</v>
      </c>
      <c r="J2766">
        <v>13650</v>
      </c>
      <c r="K2766">
        <v>4</v>
      </c>
      <c r="L2766">
        <v>42000</v>
      </c>
      <c r="M2766">
        <v>54600</v>
      </c>
      <c r="N2766" t="s">
        <v>35</v>
      </c>
      <c r="O2766">
        <f t="shared" si="86"/>
        <v>8450</v>
      </c>
      <c r="P2766" s="13">
        <f t="shared" si="87"/>
        <v>2740777</v>
      </c>
      <c r="Q2766" s="13">
        <f>SUMIFS(M:M,E:E,Online_eCommerce[[#This Row],[Status]])</f>
        <v>28620410</v>
      </c>
      <c r="R2766" s="13">
        <f>SUMIFS(L:L,H:H,Online_eCommerce[[#This Row],[Brand]])</f>
        <v>12435650</v>
      </c>
      <c r="S2766" s="13">
        <f>SUMIF(H:H,Online_eCommerce[[#This Row],[Brand]],M:M)</f>
        <v>16166345</v>
      </c>
      <c r="T2766" s="13">
        <f>SUMIF(N:N,Online_eCommerce[[#This Row],[Assigned Supervisor]],L:L)</f>
        <v>14373360</v>
      </c>
    </row>
    <row r="2767" spans="1:20" hidden="1" x14ac:dyDescent="0.3">
      <c r="A2767" t="s">
        <v>4081</v>
      </c>
      <c r="B2767" t="s">
        <v>144</v>
      </c>
      <c r="C2767" t="s">
        <v>193</v>
      </c>
      <c r="D2767" t="s">
        <v>4036</v>
      </c>
      <c r="E2767" t="s">
        <v>96</v>
      </c>
      <c r="F2767" t="s">
        <v>88</v>
      </c>
      <c r="G2767" t="s">
        <v>26</v>
      </c>
      <c r="H2767" t="s">
        <v>27</v>
      </c>
      <c r="I2767">
        <v>8500</v>
      </c>
      <c r="J2767">
        <v>11050</v>
      </c>
      <c r="K2767">
        <v>4</v>
      </c>
      <c r="L2767">
        <v>34000</v>
      </c>
      <c r="M2767">
        <v>44200</v>
      </c>
      <c r="N2767" t="s">
        <v>42</v>
      </c>
      <c r="O2767">
        <f t="shared" si="86"/>
        <v>33150</v>
      </c>
      <c r="P2767" s="13">
        <f t="shared" si="87"/>
        <v>2074774</v>
      </c>
      <c r="Q2767" s="13">
        <f>SUMIFS(M:M,E:E,Online_eCommerce[[#This Row],[Status]])</f>
        <v>21233992</v>
      </c>
      <c r="R2767" s="13">
        <f>SUMIFS(L:L,H:H,Online_eCommerce[[#This Row],[Brand]])</f>
        <v>14431000</v>
      </c>
      <c r="S2767" s="13">
        <f>SUMIF(H:H,Online_eCommerce[[#This Row],[Brand]],M:M)</f>
        <v>18760300</v>
      </c>
      <c r="T2767" s="13">
        <f>SUMIF(N:N,Online_eCommerce[[#This Row],[Assigned Supervisor]],L:L)</f>
        <v>12261500</v>
      </c>
    </row>
    <row r="2768" spans="1:20" hidden="1" x14ac:dyDescent="0.3">
      <c r="A2768" t="s">
        <v>4082</v>
      </c>
      <c r="B2768" t="s">
        <v>235</v>
      </c>
      <c r="C2768" t="s">
        <v>197</v>
      </c>
      <c r="D2768" t="s">
        <v>4036</v>
      </c>
      <c r="E2768" t="s">
        <v>18</v>
      </c>
      <c r="F2768" t="s">
        <v>32</v>
      </c>
      <c r="G2768" t="s">
        <v>33</v>
      </c>
      <c r="H2768" t="s">
        <v>34</v>
      </c>
      <c r="I2768">
        <v>7000</v>
      </c>
      <c r="J2768">
        <v>9100</v>
      </c>
      <c r="K2768">
        <v>1</v>
      </c>
      <c r="L2768">
        <v>7000</v>
      </c>
      <c r="M2768">
        <v>9100</v>
      </c>
      <c r="N2768" t="s">
        <v>50</v>
      </c>
      <c r="O2768">
        <f t="shared" si="86"/>
        <v>18200</v>
      </c>
      <c r="P2768" s="13">
        <f t="shared" si="87"/>
        <v>2829840</v>
      </c>
      <c r="Q2768" s="13">
        <f>SUMIFS(M:M,E:E,Online_eCommerce[[#This Row],[Status]])</f>
        <v>28340455</v>
      </c>
      <c r="R2768" s="13">
        <f>SUMIFS(L:L,H:H,Online_eCommerce[[#This Row],[Brand]])</f>
        <v>10087000</v>
      </c>
      <c r="S2768" s="13">
        <f>SUMIF(H:H,Online_eCommerce[[#This Row],[Brand]],M:M)</f>
        <v>13113100</v>
      </c>
      <c r="T2768" s="13">
        <f>SUMIF(N:N,Online_eCommerce[[#This Row],[Assigned Supervisor]],L:L)</f>
        <v>12100590</v>
      </c>
    </row>
    <row r="2769" spans="1:20" hidden="1" x14ac:dyDescent="0.3">
      <c r="A2769" t="s">
        <v>4083</v>
      </c>
      <c r="B2769" t="s">
        <v>176</v>
      </c>
      <c r="C2769" t="s">
        <v>199</v>
      </c>
      <c r="D2769" t="s">
        <v>4084</v>
      </c>
      <c r="E2769" t="s">
        <v>161</v>
      </c>
      <c r="F2769" t="s">
        <v>4085</v>
      </c>
      <c r="G2769" t="s">
        <v>40</v>
      </c>
      <c r="H2769" t="s">
        <v>41</v>
      </c>
      <c r="I2769">
        <v>1680</v>
      </c>
      <c r="J2769">
        <v>2184</v>
      </c>
      <c r="K2769">
        <v>4</v>
      </c>
      <c r="L2769">
        <v>6720</v>
      </c>
      <c r="M2769">
        <v>8736</v>
      </c>
      <c r="N2769" t="s">
        <v>56</v>
      </c>
      <c r="O2769">
        <f t="shared" si="86"/>
        <v>25545</v>
      </c>
      <c r="P2769" s="13">
        <f t="shared" si="87"/>
        <v>1947361</v>
      </c>
      <c r="Q2769" s="13">
        <f>SUMIFS(M:M,E:E,Online_eCommerce[[#This Row],[Status]])</f>
        <v>21103186</v>
      </c>
      <c r="R2769" s="13">
        <f>SUMIFS(L:L,H:H,Online_eCommerce[[#This Row],[Brand]])</f>
        <v>4260400</v>
      </c>
      <c r="S2769" s="13">
        <f>SUMIF(H:H,Online_eCommerce[[#This Row],[Brand]],M:M)</f>
        <v>5538520</v>
      </c>
      <c r="T2769" s="13">
        <f>SUMIF(N:N,Online_eCommerce[[#This Row],[Assigned Supervisor]],L:L)</f>
        <v>11733610</v>
      </c>
    </row>
    <row r="2770" spans="1:20" x14ac:dyDescent="0.3">
      <c r="A2770" t="s">
        <v>4086</v>
      </c>
      <c r="B2770" t="s">
        <v>276</v>
      </c>
      <c r="C2770" t="s">
        <v>203</v>
      </c>
      <c r="D2770" t="s">
        <v>4087</v>
      </c>
      <c r="E2770" t="s">
        <v>46</v>
      </c>
      <c r="F2770" t="s">
        <v>101</v>
      </c>
      <c r="G2770" t="s">
        <v>334</v>
      </c>
      <c r="H2770" t="s">
        <v>102</v>
      </c>
      <c r="I2770">
        <v>6540</v>
      </c>
      <c r="J2770">
        <v>8502</v>
      </c>
      <c r="K2770">
        <v>1</v>
      </c>
      <c r="L2770">
        <v>6540</v>
      </c>
      <c r="M2770">
        <v>8502</v>
      </c>
      <c r="N2770" t="s">
        <v>22</v>
      </c>
      <c r="O2770">
        <f t="shared" si="86"/>
        <v>39780</v>
      </c>
      <c r="P2770" s="13">
        <f t="shared" si="87"/>
        <v>2559635</v>
      </c>
      <c r="Q2770" s="13">
        <f>SUMIFS(M:M,E:E,Online_eCommerce[[#This Row],[Status]])</f>
        <v>28620410</v>
      </c>
      <c r="R2770" s="13">
        <f>SUMIFS(L:L,H:H,Online_eCommerce[[#This Row],[Brand]])</f>
        <v>2465580</v>
      </c>
      <c r="S2770" s="13">
        <f>SUMIF(H:H,Online_eCommerce[[#This Row],[Brand]],M:M)</f>
        <v>3205254</v>
      </c>
      <c r="T2770" s="13">
        <f>SUMIF(N:N,Online_eCommerce[[#This Row],[Assigned Supervisor]],L:L)</f>
        <v>13693220</v>
      </c>
    </row>
    <row r="2771" spans="1:20" hidden="1" x14ac:dyDescent="0.3">
      <c r="A2771" t="s">
        <v>4088</v>
      </c>
      <c r="B2771" t="s">
        <v>280</v>
      </c>
      <c r="C2771" t="s">
        <v>205</v>
      </c>
      <c r="D2771" t="s">
        <v>4089</v>
      </c>
      <c r="E2771" t="s">
        <v>96</v>
      </c>
      <c r="F2771" t="s">
        <v>107</v>
      </c>
      <c r="G2771" t="s">
        <v>54</v>
      </c>
      <c r="H2771" t="s">
        <v>55</v>
      </c>
      <c r="I2771">
        <v>2680</v>
      </c>
      <c r="J2771">
        <v>3484</v>
      </c>
      <c r="K2771">
        <v>1</v>
      </c>
      <c r="L2771">
        <v>2680</v>
      </c>
      <c r="M2771">
        <v>3484</v>
      </c>
      <c r="N2771" t="s">
        <v>28</v>
      </c>
      <c r="O2771">
        <f t="shared" si="86"/>
        <v>2990</v>
      </c>
      <c r="P2771" s="13">
        <f t="shared" si="87"/>
        <v>1983254</v>
      </c>
      <c r="Q2771" s="13">
        <f>SUMIFS(M:M,E:E,Online_eCommerce[[#This Row],[Status]])</f>
        <v>21233992</v>
      </c>
      <c r="R2771" s="13">
        <f>SUMIFS(L:L,H:H,Online_eCommerce[[#This Row],[Brand]])</f>
        <v>2267380</v>
      </c>
      <c r="S2771" s="13">
        <f>SUMIF(H:H,Online_eCommerce[[#This Row],[Brand]],M:M)</f>
        <v>2947594</v>
      </c>
      <c r="T2771" s="13">
        <f>SUMIF(N:N,Online_eCommerce[[#This Row],[Assigned Supervisor]],L:L)</f>
        <v>12220830</v>
      </c>
    </row>
    <row r="2772" spans="1:20" hidden="1" x14ac:dyDescent="0.3">
      <c r="A2772" t="s">
        <v>4090</v>
      </c>
      <c r="B2772" t="s">
        <v>283</v>
      </c>
      <c r="C2772" t="s">
        <v>208</v>
      </c>
      <c r="D2772" t="s">
        <v>4091</v>
      </c>
      <c r="E2772" t="s">
        <v>18</v>
      </c>
      <c r="F2772" t="s">
        <v>112</v>
      </c>
      <c r="G2772" t="s">
        <v>71</v>
      </c>
      <c r="H2772" t="s">
        <v>21</v>
      </c>
      <c r="I2772">
        <v>8250</v>
      </c>
      <c r="J2772">
        <v>10725</v>
      </c>
      <c r="K2772">
        <v>4</v>
      </c>
      <c r="L2772">
        <v>33000</v>
      </c>
      <c r="M2772">
        <v>42900</v>
      </c>
      <c r="N2772" t="s">
        <v>35</v>
      </c>
      <c r="O2772">
        <f t="shared" si="86"/>
        <v>9750</v>
      </c>
      <c r="P2772" s="13">
        <f t="shared" si="87"/>
        <v>2746575</v>
      </c>
      <c r="Q2772" s="13">
        <f>SUMIFS(M:M,E:E,Online_eCommerce[[#This Row],[Status]])</f>
        <v>28340455</v>
      </c>
      <c r="R2772" s="13">
        <f>SUMIFS(L:L,H:H,Online_eCommerce[[#This Row],[Brand]])</f>
        <v>12435650</v>
      </c>
      <c r="S2772" s="13">
        <f>SUMIF(H:H,Online_eCommerce[[#This Row],[Brand]],M:M)</f>
        <v>16166345</v>
      </c>
      <c r="T2772" s="13">
        <f>SUMIF(N:N,Online_eCommerce[[#This Row],[Assigned Supervisor]],L:L)</f>
        <v>14373360</v>
      </c>
    </row>
    <row r="2773" spans="1:20" hidden="1" x14ac:dyDescent="0.3">
      <c r="A2773" t="s">
        <v>4092</v>
      </c>
      <c r="B2773" t="s">
        <v>287</v>
      </c>
      <c r="C2773" t="s">
        <v>211</v>
      </c>
      <c r="D2773" t="s">
        <v>4093</v>
      </c>
      <c r="E2773" t="s">
        <v>161</v>
      </c>
      <c r="F2773" t="s">
        <v>3705</v>
      </c>
      <c r="G2773" t="s">
        <v>40</v>
      </c>
      <c r="H2773" t="s">
        <v>21</v>
      </c>
      <c r="I2773">
        <v>2650</v>
      </c>
      <c r="J2773">
        <v>3445</v>
      </c>
      <c r="K2773">
        <v>2</v>
      </c>
      <c r="L2773">
        <v>5300</v>
      </c>
      <c r="M2773">
        <v>6890</v>
      </c>
      <c r="N2773" t="s">
        <v>42</v>
      </c>
      <c r="O2773">
        <f t="shared" si="86"/>
        <v>25545</v>
      </c>
      <c r="P2773" s="13">
        <f t="shared" si="87"/>
        <v>1809847</v>
      </c>
      <c r="Q2773" s="13">
        <f>SUMIFS(M:M,E:E,Online_eCommerce[[#This Row],[Status]])</f>
        <v>21103186</v>
      </c>
      <c r="R2773" s="13">
        <f>SUMIFS(L:L,H:H,Online_eCommerce[[#This Row],[Brand]])</f>
        <v>12435650</v>
      </c>
      <c r="S2773" s="13">
        <f>SUMIF(H:H,Online_eCommerce[[#This Row],[Brand]],M:M)</f>
        <v>16166345</v>
      </c>
      <c r="T2773" s="13">
        <f>SUMIF(N:N,Online_eCommerce[[#This Row],[Assigned Supervisor]],L:L)</f>
        <v>12261500</v>
      </c>
    </row>
    <row r="2774" spans="1:20" x14ac:dyDescent="0.3">
      <c r="A2774" t="s">
        <v>4094</v>
      </c>
      <c r="B2774" t="s">
        <v>290</v>
      </c>
      <c r="C2774" t="s">
        <v>16</v>
      </c>
      <c r="D2774" t="s">
        <v>4093</v>
      </c>
      <c r="E2774" t="s">
        <v>46</v>
      </c>
      <c r="F2774" t="s">
        <v>121</v>
      </c>
      <c r="G2774" t="s">
        <v>71</v>
      </c>
      <c r="H2774" t="s">
        <v>122</v>
      </c>
      <c r="I2774">
        <v>12550</v>
      </c>
      <c r="J2774">
        <v>16315</v>
      </c>
      <c r="K2774">
        <v>3</v>
      </c>
      <c r="L2774">
        <v>37650</v>
      </c>
      <c r="M2774">
        <v>48945</v>
      </c>
      <c r="N2774" t="s">
        <v>50</v>
      </c>
      <c r="O2774">
        <f t="shared" si="86"/>
        <v>9750</v>
      </c>
      <c r="P2774" s="13">
        <f t="shared" si="87"/>
        <v>2751814</v>
      </c>
      <c r="Q2774" s="13">
        <f>SUMIFS(M:M,E:E,Online_eCommerce[[#This Row],[Status]])</f>
        <v>28620410</v>
      </c>
      <c r="R2774" s="13">
        <f>SUMIFS(L:L,H:H,Online_eCommerce[[#This Row],[Brand]])</f>
        <v>5045100</v>
      </c>
      <c r="S2774" s="13">
        <f>SUMIF(H:H,Online_eCommerce[[#This Row],[Brand]],M:M)</f>
        <v>6558630</v>
      </c>
      <c r="T2774" s="13">
        <f>SUMIF(N:N,Online_eCommerce[[#This Row],[Assigned Supervisor]],L:L)</f>
        <v>12100590</v>
      </c>
    </row>
    <row r="2775" spans="1:20" hidden="1" x14ac:dyDescent="0.3">
      <c r="A2775" t="s">
        <v>4095</v>
      </c>
      <c r="B2775" t="s">
        <v>15</v>
      </c>
      <c r="C2775" t="s">
        <v>24</v>
      </c>
      <c r="D2775" t="s">
        <v>4093</v>
      </c>
      <c r="E2775" t="s">
        <v>96</v>
      </c>
      <c r="F2775" t="s">
        <v>126</v>
      </c>
      <c r="G2775" t="s">
        <v>26</v>
      </c>
      <c r="H2775" t="s">
        <v>27</v>
      </c>
      <c r="I2775">
        <v>14500</v>
      </c>
      <c r="J2775">
        <v>18850</v>
      </c>
      <c r="K2775">
        <v>3</v>
      </c>
      <c r="L2775">
        <v>43500</v>
      </c>
      <c r="M2775">
        <v>56550</v>
      </c>
      <c r="N2775" t="s">
        <v>56</v>
      </c>
      <c r="O2775">
        <f t="shared" si="86"/>
        <v>33150</v>
      </c>
      <c r="P2775" s="13">
        <f t="shared" si="87"/>
        <v>2009540</v>
      </c>
      <c r="Q2775" s="13">
        <f>SUMIFS(M:M,E:E,Online_eCommerce[[#This Row],[Status]])</f>
        <v>21233992</v>
      </c>
      <c r="R2775" s="13">
        <f>SUMIFS(L:L,H:H,Online_eCommerce[[#This Row],[Brand]])</f>
        <v>14431000</v>
      </c>
      <c r="S2775" s="13">
        <f>SUMIF(H:H,Online_eCommerce[[#This Row],[Brand]],M:M)</f>
        <v>18760300</v>
      </c>
      <c r="T2775" s="13">
        <f>SUMIF(N:N,Online_eCommerce[[#This Row],[Assigned Supervisor]],L:L)</f>
        <v>11733610</v>
      </c>
    </row>
    <row r="2776" spans="1:20" hidden="1" x14ac:dyDescent="0.3">
      <c r="A2776" t="s">
        <v>4096</v>
      </c>
      <c r="B2776" t="s">
        <v>202</v>
      </c>
      <c r="C2776" t="s">
        <v>31</v>
      </c>
      <c r="D2776" t="s">
        <v>4093</v>
      </c>
      <c r="E2776" t="s">
        <v>18</v>
      </c>
      <c r="F2776" t="s">
        <v>129</v>
      </c>
      <c r="G2776" t="s">
        <v>60</v>
      </c>
      <c r="H2776" t="s">
        <v>61</v>
      </c>
      <c r="I2776">
        <v>800</v>
      </c>
      <c r="J2776">
        <v>1040</v>
      </c>
      <c r="K2776">
        <v>3</v>
      </c>
      <c r="L2776">
        <v>2400</v>
      </c>
      <c r="M2776">
        <v>3120</v>
      </c>
      <c r="N2776" t="s">
        <v>22</v>
      </c>
      <c r="O2776">
        <f t="shared" si="86"/>
        <v>3315</v>
      </c>
      <c r="P2776" s="13">
        <f t="shared" si="87"/>
        <v>2865746</v>
      </c>
      <c r="Q2776" s="13">
        <f>SUMIFS(M:M,E:E,Online_eCommerce[[#This Row],[Status]])</f>
        <v>28340455</v>
      </c>
      <c r="R2776" s="13">
        <f>SUMIFS(L:L,H:H,Online_eCommerce[[#This Row],[Brand]])</f>
        <v>10950150</v>
      </c>
      <c r="S2776" s="13">
        <f>SUMIF(H:H,Online_eCommerce[[#This Row],[Brand]],M:M)</f>
        <v>14235195</v>
      </c>
      <c r="T2776" s="13">
        <f>SUMIF(N:N,Online_eCommerce[[#This Row],[Assigned Supervisor]],L:L)</f>
        <v>13693220</v>
      </c>
    </row>
    <row r="2777" spans="1:20" hidden="1" x14ac:dyDescent="0.3">
      <c r="A2777" t="s">
        <v>4097</v>
      </c>
      <c r="B2777" t="s">
        <v>30</v>
      </c>
      <c r="C2777" t="s">
        <v>38</v>
      </c>
      <c r="D2777" t="s">
        <v>4093</v>
      </c>
      <c r="E2777" t="s">
        <v>161</v>
      </c>
      <c r="F2777" t="s">
        <v>133</v>
      </c>
      <c r="G2777" t="s">
        <v>66</v>
      </c>
      <c r="H2777" t="s">
        <v>21</v>
      </c>
      <c r="I2777">
        <v>600</v>
      </c>
      <c r="J2777">
        <v>780</v>
      </c>
      <c r="K2777">
        <v>3</v>
      </c>
      <c r="L2777">
        <v>1800</v>
      </c>
      <c r="M2777">
        <v>2340</v>
      </c>
      <c r="N2777" t="s">
        <v>28</v>
      </c>
      <c r="O2777">
        <f t="shared" si="86"/>
        <v>1690</v>
      </c>
      <c r="P2777" s="13">
        <f t="shared" si="87"/>
        <v>1933997</v>
      </c>
      <c r="Q2777" s="13">
        <f>SUMIFS(M:M,E:E,Online_eCommerce[[#This Row],[Status]])</f>
        <v>21103186</v>
      </c>
      <c r="R2777" s="13">
        <f>SUMIFS(L:L,H:H,Online_eCommerce[[#This Row],[Brand]])</f>
        <v>12435650</v>
      </c>
      <c r="S2777" s="13">
        <f>SUMIF(H:H,Online_eCommerce[[#This Row],[Brand]],M:M)</f>
        <v>16166345</v>
      </c>
      <c r="T2777" s="13">
        <f>SUMIF(N:N,Online_eCommerce[[#This Row],[Assigned Supervisor]],L:L)</f>
        <v>12220830</v>
      </c>
    </row>
    <row r="2778" spans="1:20" x14ac:dyDescent="0.3">
      <c r="A2778" t="s">
        <v>4098</v>
      </c>
      <c r="B2778" t="s">
        <v>37</v>
      </c>
      <c r="C2778" t="s">
        <v>45</v>
      </c>
      <c r="D2778" t="s">
        <v>4093</v>
      </c>
      <c r="E2778" t="s">
        <v>46</v>
      </c>
      <c r="F2778" t="s">
        <v>137</v>
      </c>
      <c r="G2778" t="s">
        <v>71</v>
      </c>
      <c r="H2778" t="s">
        <v>61</v>
      </c>
      <c r="I2778">
        <v>10500</v>
      </c>
      <c r="J2778">
        <v>13650</v>
      </c>
      <c r="K2778">
        <v>1</v>
      </c>
      <c r="L2778">
        <v>10500</v>
      </c>
      <c r="M2778">
        <v>13650</v>
      </c>
      <c r="N2778" t="s">
        <v>35</v>
      </c>
      <c r="O2778">
        <f t="shared" si="86"/>
        <v>9750</v>
      </c>
      <c r="P2778" s="13">
        <f t="shared" si="87"/>
        <v>2842554</v>
      </c>
      <c r="Q2778" s="13">
        <f>SUMIFS(M:M,E:E,Online_eCommerce[[#This Row],[Status]])</f>
        <v>28620410</v>
      </c>
      <c r="R2778" s="13">
        <f>SUMIFS(L:L,H:H,Online_eCommerce[[#This Row],[Brand]])</f>
        <v>10950150</v>
      </c>
      <c r="S2778" s="13">
        <f>SUMIF(H:H,Online_eCommerce[[#This Row],[Brand]],M:M)</f>
        <v>14235195</v>
      </c>
      <c r="T2778" s="13">
        <f>SUMIF(N:N,Online_eCommerce[[#This Row],[Assigned Supervisor]],L:L)</f>
        <v>14373360</v>
      </c>
    </row>
    <row r="2779" spans="1:20" hidden="1" x14ac:dyDescent="0.3">
      <c r="A2779" t="s">
        <v>4099</v>
      </c>
      <c r="B2779" t="s">
        <v>44</v>
      </c>
      <c r="C2779" t="s">
        <v>52</v>
      </c>
      <c r="D2779" t="s">
        <v>4093</v>
      </c>
      <c r="E2779" t="s">
        <v>96</v>
      </c>
      <c r="F2779" t="s">
        <v>4065</v>
      </c>
      <c r="G2779" t="s">
        <v>77</v>
      </c>
      <c r="H2779" t="s">
        <v>142</v>
      </c>
      <c r="I2779">
        <v>6500</v>
      </c>
      <c r="J2779">
        <v>8450</v>
      </c>
      <c r="K2779">
        <v>3</v>
      </c>
      <c r="L2779">
        <v>19500</v>
      </c>
      <c r="M2779">
        <v>25350</v>
      </c>
      <c r="N2779" t="s">
        <v>42</v>
      </c>
      <c r="O2779">
        <f t="shared" si="86"/>
        <v>39000</v>
      </c>
      <c r="P2779" s="13">
        <f t="shared" si="87"/>
        <v>1955044</v>
      </c>
      <c r="Q2779" s="13">
        <f>SUMIFS(M:M,E:E,Online_eCommerce[[#This Row],[Status]])</f>
        <v>21233992</v>
      </c>
      <c r="R2779" s="13">
        <f>SUMIFS(L:L,H:H,Online_eCommerce[[#This Row],[Brand]])</f>
        <v>6192500</v>
      </c>
      <c r="S2779" s="13">
        <f>SUMIF(H:H,Online_eCommerce[[#This Row],[Brand]],M:M)</f>
        <v>8050250</v>
      </c>
      <c r="T2779" s="13">
        <f>SUMIF(N:N,Online_eCommerce[[#This Row],[Assigned Supervisor]],L:L)</f>
        <v>12261500</v>
      </c>
    </row>
    <row r="2780" spans="1:20" hidden="1" x14ac:dyDescent="0.3">
      <c r="A2780" t="s">
        <v>4100</v>
      </c>
      <c r="B2780" t="s">
        <v>213</v>
      </c>
      <c r="C2780" t="s">
        <v>58</v>
      </c>
      <c r="D2780" t="s">
        <v>4093</v>
      </c>
      <c r="E2780" t="s">
        <v>18</v>
      </c>
      <c r="F2780" t="s">
        <v>4101</v>
      </c>
      <c r="G2780" t="s">
        <v>20</v>
      </c>
      <c r="H2780" t="s">
        <v>21</v>
      </c>
      <c r="I2780">
        <v>4500</v>
      </c>
      <c r="J2780">
        <v>5850</v>
      </c>
      <c r="K2780">
        <v>4</v>
      </c>
      <c r="L2780">
        <v>18000</v>
      </c>
      <c r="M2780">
        <v>23400</v>
      </c>
      <c r="N2780" t="s">
        <v>50</v>
      </c>
      <c r="O2780">
        <f t="shared" si="86"/>
        <v>8450</v>
      </c>
      <c r="P2780" s="13">
        <f t="shared" si="87"/>
        <v>2629211</v>
      </c>
      <c r="Q2780" s="13">
        <f>SUMIFS(M:M,E:E,Online_eCommerce[[#This Row],[Status]])</f>
        <v>28340455</v>
      </c>
      <c r="R2780" s="13">
        <f>SUMIFS(L:L,H:H,Online_eCommerce[[#This Row],[Brand]])</f>
        <v>12435650</v>
      </c>
      <c r="S2780" s="13">
        <f>SUMIF(H:H,Online_eCommerce[[#This Row],[Brand]],M:M)</f>
        <v>16166345</v>
      </c>
      <c r="T2780" s="13">
        <f>SUMIF(N:N,Online_eCommerce[[#This Row],[Assigned Supervisor]],L:L)</f>
        <v>12100590</v>
      </c>
    </row>
    <row r="2781" spans="1:20" hidden="1" x14ac:dyDescent="0.3">
      <c r="A2781" t="s">
        <v>4102</v>
      </c>
      <c r="B2781" t="s">
        <v>215</v>
      </c>
      <c r="C2781" t="s">
        <v>63</v>
      </c>
      <c r="D2781" t="s">
        <v>4093</v>
      </c>
      <c r="E2781" t="s">
        <v>161</v>
      </c>
      <c r="F2781" t="s">
        <v>152</v>
      </c>
      <c r="G2781" t="s">
        <v>26</v>
      </c>
      <c r="H2781" t="s">
        <v>27</v>
      </c>
      <c r="I2781">
        <v>8500</v>
      </c>
      <c r="J2781">
        <v>11050</v>
      </c>
      <c r="K2781">
        <v>4</v>
      </c>
      <c r="L2781">
        <v>34000</v>
      </c>
      <c r="M2781">
        <v>44200</v>
      </c>
      <c r="N2781" t="s">
        <v>56</v>
      </c>
      <c r="O2781">
        <f t="shared" si="86"/>
        <v>33150</v>
      </c>
      <c r="P2781" s="13">
        <f t="shared" si="87"/>
        <v>2016131</v>
      </c>
      <c r="Q2781" s="13">
        <f>SUMIFS(M:M,E:E,Online_eCommerce[[#This Row],[Status]])</f>
        <v>21103186</v>
      </c>
      <c r="R2781" s="13">
        <f>SUMIFS(L:L,H:H,Online_eCommerce[[#This Row],[Brand]])</f>
        <v>14431000</v>
      </c>
      <c r="S2781" s="13">
        <f>SUMIF(H:H,Online_eCommerce[[#This Row],[Brand]],M:M)</f>
        <v>18760300</v>
      </c>
      <c r="T2781" s="13">
        <f>SUMIF(N:N,Online_eCommerce[[#This Row],[Assigned Supervisor]],L:L)</f>
        <v>11733610</v>
      </c>
    </row>
    <row r="2782" spans="1:20" x14ac:dyDescent="0.3">
      <c r="A2782" t="s">
        <v>4103</v>
      </c>
      <c r="B2782" t="s">
        <v>306</v>
      </c>
      <c r="C2782" t="s">
        <v>68</v>
      </c>
      <c r="D2782" t="s">
        <v>4093</v>
      </c>
      <c r="E2782" t="s">
        <v>46</v>
      </c>
      <c r="F2782" t="s">
        <v>157</v>
      </c>
      <c r="G2782" t="s">
        <v>33</v>
      </c>
      <c r="H2782" t="s">
        <v>34</v>
      </c>
      <c r="I2782">
        <v>12500</v>
      </c>
      <c r="J2782">
        <v>16250</v>
      </c>
      <c r="K2782">
        <v>3</v>
      </c>
      <c r="L2782">
        <v>37500</v>
      </c>
      <c r="M2782">
        <v>48750</v>
      </c>
      <c r="N2782" t="s">
        <v>22</v>
      </c>
      <c r="O2782">
        <f t="shared" si="86"/>
        <v>18200</v>
      </c>
      <c r="P2782" s="13">
        <f t="shared" si="87"/>
        <v>2974621</v>
      </c>
      <c r="Q2782" s="13">
        <f>SUMIFS(M:M,E:E,Online_eCommerce[[#This Row],[Status]])</f>
        <v>28620410</v>
      </c>
      <c r="R2782" s="13">
        <f>SUMIFS(L:L,H:H,Online_eCommerce[[#This Row],[Brand]])</f>
        <v>10087000</v>
      </c>
      <c r="S2782" s="13">
        <f>SUMIF(H:H,Online_eCommerce[[#This Row],[Brand]],M:M)</f>
        <v>13113100</v>
      </c>
      <c r="T2782" s="13">
        <f>SUMIF(N:N,Online_eCommerce[[#This Row],[Assigned Supervisor]],L:L)</f>
        <v>13693220</v>
      </c>
    </row>
    <row r="2783" spans="1:20" hidden="1" x14ac:dyDescent="0.3">
      <c r="A2783" t="s">
        <v>4104</v>
      </c>
      <c r="B2783" t="s">
        <v>528</v>
      </c>
      <c r="C2783" t="s">
        <v>74</v>
      </c>
      <c r="D2783" t="s">
        <v>4093</v>
      </c>
      <c r="E2783" t="s">
        <v>96</v>
      </c>
      <c r="F2783" t="s">
        <v>3755</v>
      </c>
      <c r="G2783" t="s">
        <v>163</v>
      </c>
      <c r="H2783" t="s">
        <v>41</v>
      </c>
      <c r="I2783">
        <v>3500</v>
      </c>
      <c r="J2783">
        <v>4550</v>
      </c>
      <c r="K2783">
        <v>4</v>
      </c>
      <c r="L2783">
        <v>14000</v>
      </c>
      <c r="M2783">
        <v>18200</v>
      </c>
      <c r="N2783" t="s">
        <v>28</v>
      </c>
      <c r="O2783">
        <f t="shared" si="86"/>
        <v>13650</v>
      </c>
      <c r="P2783" s="13">
        <f t="shared" si="87"/>
        <v>2144701</v>
      </c>
      <c r="Q2783" s="13">
        <f>SUMIFS(M:M,E:E,Online_eCommerce[[#This Row],[Status]])</f>
        <v>21233992</v>
      </c>
      <c r="R2783" s="13">
        <f>SUMIFS(L:L,H:H,Online_eCommerce[[#This Row],[Brand]])</f>
        <v>4260400</v>
      </c>
      <c r="S2783" s="13">
        <f>SUMIF(H:H,Online_eCommerce[[#This Row],[Brand]],M:M)</f>
        <v>5538520</v>
      </c>
      <c r="T2783" s="13">
        <f>SUMIF(N:N,Online_eCommerce[[#This Row],[Assigned Supervisor]],L:L)</f>
        <v>12220830</v>
      </c>
    </row>
    <row r="2784" spans="1:20" hidden="1" x14ac:dyDescent="0.3">
      <c r="A2784" t="s">
        <v>4105</v>
      </c>
      <c r="B2784" t="s">
        <v>73</v>
      </c>
      <c r="C2784" t="s">
        <v>81</v>
      </c>
      <c r="D2784" t="s">
        <v>4093</v>
      </c>
      <c r="E2784" t="s">
        <v>18</v>
      </c>
      <c r="F2784" t="s">
        <v>166</v>
      </c>
      <c r="G2784" t="s">
        <v>66</v>
      </c>
      <c r="H2784" t="s">
        <v>49</v>
      </c>
      <c r="I2784">
        <v>4500</v>
      </c>
      <c r="J2784">
        <v>5850</v>
      </c>
      <c r="K2784">
        <v>2</v>
      </c>
      <c r="L2784">
        <v>9000</v>
      </c>
      <c r="M2784">
        <v>11700</v>
      </c>
      <c r="N2784" t="s">
        <v>35</v>
      </c>
      <c r="O2784">
        <f t="shared" si="86"/>
        <v>1690</v>
      </c>
      <c r="P2784" s="13">
        <f t="shared" si="87"/>
        <v>2595632</v>
      </c>
      <c r="Q2784" s="13">
        <f>SUMIFS(M:M,E:E,Online_eCommerce[[#This Row],[Status]])</f>
        <v>28340455</v>
      </c>
      <c r="R2784" s="13">
        <f>SUMIFS(L:L,H:H,Online_eCommerce[[#This Row],[Brand]])</f>
        <v>4528350</v>
      </c>
      <c r="S2784" s="13">
        <f>SUMIF(H:H,Online_eCommerce[[#This Row],[Brand]],M:M)</f>
        <v>5886855</v>
      </c>
      <c r="T2784" s="13">
        <f>SUMIF(N:N,Online_eCommerce[[#This Row],[Assigned Supervisor]],L:L)</f>
        <v>14373360</v>
      </c>
    </row>
    <row r="2785" spans="1:20" hidden="1" x14ac:dyDescent="0.3">
      <c r="A2785" t="s">
        <v>4106</v>
      </c>
      <c r="B2785" t="s">
        <v>80</v>
      </c>
      <c r="C2785" t="s">
        <v>86</v>
      </c>
      <c r="D2785" t="s">
        <v>4093</v>
      </c>
      <c r="E2785" t="s">
        <v>161</v>
      </c>
      <c r="F2785" t="s">
        <v>4107</v>
      </c>
      <c r="G2785" t="s">
        <v>54</v>
      </c>
      <c r="H2785" t="s">
        <v>55</v>
      </c>
      <c r="I2785">
        <v>2100</v>
      </c>
      <c r="J2785">
        <v>2730</v>
      </c>
      <c r="K2785">
        <v>1</v>
      </c>
      <c r="L2785">
        <v>2100</v>
      </c>
      <c r="M2785">
        <v>2730</v>
      </c>
      <c r="N2785" t="s">
        <v>42</v>
      </c>
      <c r="O2785">
        <f t="shared" si="86"/>
        <v>2990</v>
      </c>
      <c r="P2785" s="13">
        <f t="shared" si="87"/>
        <v>1941225</v>
      </c>
      <c r="Q2785" s="13">
        <f>SUMIFS(M:M,E:E,Online_eCommerce[[#This Row],[Status]])</f>
        <v>21103186</v>
      </c>
      <c r="R2785" s="13">
        <f>SUMIFS(L:L,H:H,Online_eCommerce[[#This Row],[Brand]])</f>
        <v>2267380</v>
      </c>
      <c r="S2785" s="13">
        <f>SUMIF(H:H,Online_eCommerce[[#This Row],[Brand]],M:M)</f>
        <v>2947594</v>
      </c>
      <c r="T2785" s="13">
        <f>SUMIF(N:N,Online_eCommerce[[#This Row],[Assigned Supervisor]],L:L)</f>
        <v>12261500</v>
      </c>
    </row>
    <row r="2786" spans="1:20" x14ac:dyDescent="0.3">
      <c r="A2786" t="s">
        <v>4108</v>
      </c>
      <c r="B2786" t="s">
        <v>85</v>
      </c>
      <c r="C2786" t="s">
        <v>91</v>
      </c>
      <c r="D2786" t="s">
        <v>4093</v>
      </c>
      <c r="E2786" t="s">
        <v>46</v>
      </c>
      <c r="F2786" t="s">
        <v>174</v>
      </c>
      <c r="G2786" t="s">
        <v>60</v>
      </c>
      <c r="H2786" t="s">
        <v>61</v>
      </c>
      <c r="I2786">
        <v>1150</v>
      </c>
      <c r="J2786">
        <v>1495</v>
      </c>
      <c r="K2786">
        <v>1</v>
      </c>
      <c r="L2786">
        <v>1150</v>
      </c>
      <c r="M2786">
        <v>1495</v>
      </c>
      <c r="N2786" t="s">
        <v>50</v>
      </c>
      <c r="O2786">
        <f t="shared" si="86"/>
        <v>3315</v>
      </c>
      <c r="P2786" s="13">
        <f t="shared" si="87"/>
        <v>2731963</v>
      </c>
      <c r="Q2786" s="13">
        <f>SUMIFS(M:M,E:E,Online_eCommerce[[#This Row],[Status]])</f>
        <v>28620410</v>
      </c>
      <c r="R2786" s="13">
        <f>SUMIFS(L:L,H:H,Online_eCommerce[[#This Row],[Brand]])</f>
        <v>10950150</v>
      </c>
      <c r="S2786" s="13">
        <f>SUMIF(H:H,Online_eCommerce[[#This Row],[Brand]],M:M)</f>
        <v>14235195</v>
      </c>
      <c r="T2786" s="13">
        <f>SUMIF(N:N,Online_eCommerce[[#This Row],[Assigned Supervisor]],L:L)</f>
        <v>12100590</v>
      </c>
    </row>
    <row r="2787" spans="1:20" hidden="1" x14ac:dyDescent="0.3">
      <c r="A2787" t="s">
        <v>4109</v>
      </c>
      <c r="B2787" t="s">
        <v>90</v>
      </c>
      <c r="C2787" t="s">
        <v>94</v>
      </c>
      <c r="D2787" t="s">
        <v>4110</v>
      </c>
      <c r="E2787" t="s">
        <v>96</v>
      </c>
      <c r="F2787" t="s">
        <v>179</v>
      </c>
      <c r="G2787" t="s">
        <v>66</v>
      </c>
      <c r="H2787" t="s">
        <v>21</v>
      </c>
      <c r="I2787">
        <v>350</v>
      </c>
      <c r="J2787">
        <v>455</v>
      </c>
      <c r="K2787">
        <v>3</v>
      </c>
      <c r="L2787">
        <v>1050</v>
      </c>
      <c r="M2787">
        <v>1365</v>
      </c>
      <c r="N2787" t="s">
        <v>56</v>
      </c>
      <c r="O2787">
        <f t="shared" si="86"/>
        <v>1690</v>
      </c>
      <c r="P2787" s="13">
        <f t="shared" si="87"/>
        <v>1868256</v>
      </c>
      <c r="Q2787" s="13">
        <f>SUMIFS(M:M,E:E,Online_eCommerce[[#This Row],[Status]])</f>
        <v>21233992</v>
      </c>
      <c r="R2787" s="13">
        <f>SUMIFS(L:L,H:H,Online_eCommerce[[#This Row],[Brand]])</f>
        <v>12435650</v>
      </c>
      <c r="S2787" s="13">
        <f>SUMIF(H:H,Online_eCommerce[[#This Row],[Brand]],M:M)</f>
        <v>16166345</v>
      </c>
      <c r="T2787" s="13">
        <f>SUMIF(N:N,Online_eCommerce[[#This Row],[Assigned Supervisor]],L:L)</f>
        <v>11733610</v>
      </c>
    </row>
    <row r="2788" spans="1:20" hidden="1" x14ac:dyDescent="0.3">
      <c r="A2788" t="s">
        <v>4111</v>
      </c>
      <c r="B2788" t="s">
        <v>232</v>
      </c>
      <c r="C2788" t="s">
        <v>99</v>
      </c>
      <c r="D2788" t="s">
        <v>4112</v>
      </c>
      <c r="E2788" t="s">
        <v>18</v>
      </c>
      <c r="F2788" t="s">
        <v>183</v>
      </c>
      <c r="G2788" t="s">
        <v>71</v>
      </c>
      <c r="H2788" t="s">
        <v>61</v>
      </c>
      <c r="I2788">
        <v>9500</v>
      </c>
      <c r="J2788">
        <v>12350</v>
      </c>
      <c r="K2788">
        <v>2</v>
      </c>
      <c r="L2788">
        <v>19000</v>
      </c>
      <c r="M2788">
        <v>24700</v>
      </c>
      <c r="N2788" t="s">
        <v>22</v>
      </c>
      <c r="O2788">
        <f t="shared" si="86"/>
        <v>9750</v>
      </c>
      <c r="P2788" s="13">
        <f t="shared" si="87"/>
        <v>2651233</v>
      </c>
      <c r="Q2788" s="13">
        <f>SUMIFS(M:M,E:E,Online_eCommerce[[#This Row],[Status]])</f>
        <v>28340455</v>
      </c>
      <c r="R2788" s="13">
        <f>SUMIFS(L:L,H:H,Online_eCommerce[[#This Row],[Brand]])</f>
        <v>10950150</v>
      </c>
      <c r="S2788" s="13">
        <f>SUMIF(H:H,Online_eCommerce[[#This Row],[Brand]],M:M)</f>
        <v>14235195</v>
      </c>
      <c r="T2788" s="13">
        <f>SUMIF(N:N,Online_eCommerce[[#This Row],[Assigned Supervisor]],L:L)</f>
        <v>13693220</v>
      </c>
    </row>
    <row r="2789" spans="1:20" hidden="1" x14ac:dyDescent="0.3">
      <c r="A2789" t="s">
        <v>4113</v>
      </c>
      <c r="B2789" t="s">
        <v>235</v>
      </c>
      <c r="C2789" t="s">
        <v>105</v>
      </c>
      <c r="D2789" t="s">
        <v>4114</v>
      </c>
      <c r="E2789" t="s">
        <v>161</v>
      </c>
      <c r="F2789" t="s">
        <v>4115</v>
      </c>
      <c r="G2789" t="s">
        <v>77</v>
      </c>
      <c r="H2789" t="s">
        <v>142</v>
      </c>
      <c r="I2789">
        <v>10000</v>
      </c>
      <c r="J2789">
        <v>13000</v>
      </c>
      <c r="K2789">
        <v>2</v>
      </c>
      <c r="L2789">
        <v>20000</v>
      </c>
      <c r="M2789">
        <v>26000</v>
      </c>
      <c r="N2789" t="s">
        <v>28</v>
      </c>
      <c r="O2789">
        <f t="shared" si="86"/>
        <v>39000</v>
      </c>
      <c r="P2789" s="13">
        <f t="shared" si="87"/>
        <v>1866852</v>
      </c>
      <c r="Q2789" s="13">
        <f>SUMIFS(M:M,E:E,Online_eCommerce[[#This Row],[Status]])</f>
        <v>21103186</v>
      </c>
      <c r="R2789" s="13">
        <f>SUMIFS(L:L,H:H,Online_eCommerce[[#This Row],[Brand]])</f>
        <v>6192500</v>
      </c>
      <c r="S2789" s="13">
        <f>SUMIF(H:H,Online_eCommerce[[#This Row],[Brand]],M:M)</f>
        <v>8050250</v>
      </c>
      <c r="T2789" s="13">
        <f>SUMIF(N:N,Online_eCommerce[[#This Row],[Assigned Supervisor]],L:L)</f>
        <v>12220830</v>
      </c>
    </row>
    <row r="2790" spans="1:20" x14ac:dyDescent="0.3">
      <c r="A2790" t="s">
        <v>4116</v>
      </c>
      <c r="B2790" t="s">
        <v>104</v>
      </c>
      <c r="C2790" t="s">
        <v>110</v>
      </c>
      <c r="D2790" t="s">
        <v>4114</v>
      </c>
      <c r="E2790" t="s">
        <v>46</v>
      </c>
      <c r="F2790" t="s">
        <v>4117</v>
      </c>
      <c r="G2790" t="s">
        <v>20</v>
      </c>
      <c r="H2790" t="s">
        <v>21</v>
      </c>
      <c r="I2790">
        <v>6500</v>
      </c>
      <c r="J2790">
        <v>8450</v>
      </c>
      <c r="K2790">
        <v>4</v>
      </c>
      <c r="L2790">
        <v>26000</v>
      </c>
      <c r="M2790">
        <v>33800</v>
      </c>
      <c r="N2790" t="s">
        <v>35</v>
      </c>
      <c r="O2790">
        <f t="shared" si="86"/>
        <v>8450</v>
      </c>
      <c r="P2790" s="13">
        <f t="shared" si="87"/>
        <v>2598635</v>
      </c>
      <c r="Q2790" s="13">
        <f>SUMIFS(M:M,E:E,Online_eCommerce[[#This Row],[Status]])</f>
        <v>28620410</v>
      </c>
      <c r="R2790" s="13">
        <f>SUMIFS(L:L,H:H,Online_eCommerce[[#This Row],[Brand]])</f>
        <v>12435650</v>
      </c>
      <c r="S2790" s="13">
        <f>SUMIF(H:H,Online_eCommerce[[#This Row],[Brand]],M:M)</f>
        <v>16166345</v>
      </c>
      <c r="T2790" s="13">
        <f>SUMIF(N:N,Online_eCommerce[[#This Row],[Assigned Supervisor]],L:L)</f>
        <v>14373360</v>
      </c>
    </row>
    <row r="2791" spans="1:20" hidden="1" x14ac:dyDescent="0.3">
      <c r="A2791" t="s">
        <v>4118</v>
      </c>
      <c r="B2791" t="s">
        <v>109</v>
      </c>
      <c r="C2791" t="s">
        <v>115</v>
      </c>
      <c r="D2791" t="s">
        <v>4114</v>
      </c>
      <c r="E2791" t="s">
        <v>96</v>
      </c>
      <c r="F2791" t="s">
        <v>4119</v>
      </c>
      <c r="G2791" t="s">
        <v>26</v>
      </c>
      <c r="H2791" t="s">
        <v>27</v>
      </c>
      <c r="I2791">
        <v>8500</v>
      </c>
      <c r="J2791">
        <v>11050</v>
      </c>
      <c r="K2791">
        <v>2</v>
      </c>
      <c r="L2791">
        <v>17000</v>
      </c>
      <c r="M2791">
        <v>22100</v>
      </c>
      <c r="N2791" t="s">
        <v>42</v>
      </c>
      <c r="O2791">
        <f t="shared" si="86"/>
        <v>33150</v>
      </c>
      <c r="P2791" s="13">
        <f t="shared" si="87"/>
        <v>2050178</v>
      </c>
      <c r="Q2791" s="13">
        <f>SUMIFS(M:M,E:E,Online_eCommerce[[#This Row],[Status]])</f>
        <v>21233992</v>
      </c>
      <c r="R2791" s="13">
        <f>SUMIFS(L:L,H:H,Online_eCommerce[[#This Row],[Brand]])</f>
        <v>14431000</v>
      </c>
      <c r="S2791" s="13">
        <f>SUMIF(H:H,Online_eCommerce[[#This Row],[Brand]],M:M)</f>
        <v>18760300</v>
      </c>
      <c r="T2791" s="13">
        <f>SUMIF(N:N,Online_eCommerce[[#This Row],[Assigned Supervisor]],L:L)</f>
        <v>12261500</v>
      </c>
    </row>
    <row r="2792" spans="1:20" hidden="1" x14ac:dyDescent="0.3">
      <c r="A2792" t="s">
        <v>4120</v>
      </c>
      <c r="B2792" t="s">
        <v>114</v>
      </c>
      <c r="C2792" t="s">
        <v>120</v>
      </c>
      <c r="D2792" t="s">
        <v>4114</v>
      </c>
      <c r="E2792" t="s">
        <v>18</v>
      </c>
      <c r="F2792" t="s">
        <v>32</v>
      </c>
      <c r="G2792" t="s">
        <v>33</v>
      </c>
      <c r="H2792" t="s">
        <v>34</v>
      </c>
      <c r="I2792">
        <v>7000</v>
      </c>
      <c r="J2792">
        <v>9100</v>
      </c>
      <c r="K2792">
        <v>3</v>
      </c>
      <c r="L2792">
        <v>21000</v>
      </c>
      <c r="M2792">
        <v>27300</v>
      </c>
      <c r="N2792" t="s">
        <v>50</v>
      </c>
      <c r="O2792">
        <f t="shared" si="86"/>
        <v>18200</v>
      </c>
      <c r="P2792" s="13">
        <f t="shared" si="87"/>
        <v>2734212</v>
      </c>
      <c r="Q2792" s="13">
        <f>SUMIFS(M:M,E:E,Online_eCommerce[[#This Row],[Status]])</f>
        <v>28340455</v>
      </c>
      <c r="R2792" s="13">
        <f>SUMIFS(L:L,H:H,Online_eCommerce[[#This Row],[Brand]])</f>
        <v>10087000</v>
      </c>
      <c r="S2792" s="13">
        <f>SUMIF(H:H,Online_eCommerce[[#This Row],[Brand]],M:M)</f>
        <v>13113100</v>
      </c>
      <c r="T2792" s="13">
        <f>SUMIF(N:N,Online_eCommerce[[#This Row],[Assigned Supervisor]],L:L)</f>
        <v>12100590</v>
      </c>
    </row>
    <row r="2793" spans="1:20" hidden="1" x14ac:dyDescent="0.3">
      <c r="A2793" t="s">
        <v>4121</v>
      </c>
      <c r="B2793" t="s">
        <v>119</v>
      </c>
      <c r="C2793" t="s">
        <v>125</v>
      </c>
      <c r="D2793" t="s">
        <v>4114</v>
      </c>
      <c r="E2793" t="s">
        <v>161</v>
      </c>
      <c r="F2793" t="s">
        <v>4122</v>
      </c>
      <c r="G2793" t="s">
        <v>163</v>
      </c>
      <c r="H2793" t="s">
        <v>41</v>
      </c>
      <c r="I2793">
        <v>6550</v>
      </c>
      <c r="J2793">
        <v>8515</v>
      </c>
      <c r="K2793">
        <v>4</v>
      </c>
      <c r="L2793">
        <v>26200</v>
      </c>
      <c r="M2793">
        <v>34060</v>
      </c>
      <c r="N2793" t="s">
        <v>56</v>
      </c>
      <c r="O2793">
        <f t="shared" si="86"/>
        <v>13650</v>
      </c>
      <c r="P2793" s="13">
        <f t="shared" si="87"/>
        <v>2091154</v>
      </c>
      <c r="Q2793" s="13">
        <f>SUMIFS(M:M,E:E,Online_eCommerce[[#This Row],[Status]])</f>
        <v>21103186</v>
      </c>
      <c r="R2793" s="13">
        <f>SUMIFS(L:L,H:H,Online_eCommerce[[#This Row],[Brand]])</f>
        <v>4260400</v>
      </c>
      <c r="S2793" s="13">
        <f>SUMIF(H:H,Online_eCommerce[[#This Row],[Brand]],M:M)</f>
        <v>5538520</v>
      </c>
      <c r="T2793" s="13">
        <f>SUMIF(N:N,Online_eCommerce[[#This Row],[Assigned Supervisor]],L:L)</f>
        <v>11733610</v>
      </c>
    </row>
    <row r="2794" spans="1:20" x14ac:dyDescent="0.3">
      <c r="A2794" t="s">
        <v>4123</v>
      </c>
      <c r="B2794" t="s">
        <v>124</v>
      </c>
      <c r="C2794" t="s">
        <v>22</v>
      </c>
      <c r="D2794" t="s">
        <v>4114</v>
      </c>
      <c r="E2794" t="s">
        <v>46</v>
      </c>
      <c r="F2794" t="s">
        <v>47</v>
      </c>
      <c r="G2794" t="s">
        <v>66</v>
      </c>
      <c r="H2794" t="s">
        <v>49</v>
      </c>
      <c r="I2794">
        <v>7650</v>
      </c>
      <c r="J2794">
        <v>9945</v>
      </c>
      <c r="K2794">
        <v>1</v>
      </c>
      <c r="L2794">
        <v>7650</v>
      </c>
      <c r="M2794">
        <v>9945</v>
      </c>
      <c r="N2794" t="s">
        <v>22</v>
      </c>
      <c r="O2794">
        <f t="shared" si="86"/>
        <v>1690</v>
      </c>
      <c r="P2794" s="13">
        <f t="shared" si="87"/>
        <v>2551588</v>
      </c>
      <c r="Q2794" s="13">
        <f>SUMIFS(M:M,E:E,Online_eCommerce[[#This Row],[Status]])</f>
        <v>28620410</v>
      </c>
      <c r="R2794" s="13">
        <f>SUMIFS(L:L,H:H,Online_eCommerce[[#This Row],[Brand]])</f>
        <v>4528350</v>
      </c>
      <c r="S2794" s="13">
        <f>SUMIF(H:H,Online_eCommerce[[#This Row],[Brand]],M:M)</f>
        <v>5886855</v>
      </c>
      <c r="T2794" s="13">
        <f>SUMIF(N:N,Online_eCommerce[[#This Row],[Assigned Supervisor]],L:L)</f>
        <v>13693220</v>
      </c>
    </row>
    <row r="2795" spans="1:20" hidden="1" x14ac:dyDescent="0.3">
      <c r="A2795" t="s">
        <v>4124</v>
      </c>
      <c r="B2795" t="s">
        <v>128</v>
      </c>
      <c r="C2795" t="s">
        <v>132</v>
      </c>
      <c r="D2795" t="s">
        <v>4114</v>
      </c>
      <c r="E2795" t="s">
        <v>96</v>
      </c>
      <c r="F2795" t="s">
        <v>53</v>
      </c>
      <c r="G2795" t="s">
        <v>54</v>
      </c>
      <c r="H2795" t="s">
        <v>55</v>
      </c>
      <c r="I2795">
        <v>1150</v>
      </c>
      <c r="J2795">
        <v>1495</v>
      </c>
      <c r="K2795">
        <v>4</v>
      </c>
      <c r="L2795">
        <v>4600</v>
      </c>
      <c r="M2795">
        <v>5980</v>
      </c>
      <c r="N2795" t="s">
        <v>28</v>
      </c>
      <c r="O2795">
        <f t="shared" si="86"/>
        <v>2990</v>
      </c>
      <c r="P2795" s="13">
        <f t="shared" si="87"/>
        <v>1989065</v>
      </c>
      <c r="Q2795" s="13">
        <f>SUMIFS(M:M,E:E,Online_eCommerce[[#This Row],[Status]])</f>
        <v>21233992</v>
      </c>
      <c r="R2795" s="13">
        <f>SUMIFS(L:L,H:H,Online_eCommerce[[#This Row],[Brand]])</f>
        <v>2267380</v>
      </c>
      <c r="S2795" s="13">
        <f>SUMIF(H:H,Online_eCommerce[[#This Row],[Brand]],M:M)</f>
        <v>2947594</v>
      </c>
      <c r="T2795" s="13">
        <f>SUMIF(N:N,Online_eCommerce[[#This Row],[Assigned Supervisor]],L:L)</f>
        <v>12220830</v>
      </c>
    </row>
    <row r="2796" spans="1:20" hidden="1" x14ac:dyDescent="0.3">
      <c r="A2796" t="s">
        <v>4125</v>
      </c>
      <c r="B2796" t="s">
        <v>131</v>
      </c>
      <c r="C2796" t="s">
        <v>136</v>
      </c>
      <c r="D2796" t="s">
        <v>4114</v>
      </c>
      <c r="E2796" t="s">
        <v>18</v>
      </c>
      <c r="F2796" t="s">
        <v>59</v>
      </c>
      <c r="G2796" t="s">
        <v>60</v>
      </c>
      <c r="H2796" t="s">
        <v>61</v>
      </c>
      <c r="I2796">
        <v>850</v>
      </c>
      <c r="J2796">
        <v>1105</v>
      </c>
      <c r="K2796">
        <v>4</v>
      </c>
      <c r="L2796">
        <v>3400</v>
      </c>
      <c r="M2796">
        <v>4420</v>
      </c>
      <c r="N2796" t="s">
        <v>35</v>
      </c>
      <c r="O2796">
        <f t="shared" si="86"/>
        <v>3315</v>
      </c>
      <c r="P2796" s="13">
        <f t="shared" si="87"/>
        <v>2775162</v>
      </c>
      <c r="Q2796" s="13">
        <f>SUMIFS(M:M,E:E,Online_eCommerce[[#This Row],[Status]])</f>
        <v>28340455</v>
      </c>
      <c r="R2796" s="13">
        <f>SUMIFS(L:L,H:H,Online_eCommerce[[#This Row],[Brand]])</f>
        <v>10950150</v>
      </c>
      <c r="S2796" s="13">
        <f>SUMIF(H:H,Online_eCommerce[[#This Row],[Brand]],M:M)</f>
        <v>14235195</v>
      </c>
      <c r="T2796" s="13">
        <f>SUMIF(N:N,Online_eCommerce[[#This Row],[Assigned Supervisor]],L:L)</f>
        <v>14373360</v>
      </c>
    </row>
    <row r="2797" spans="1:20" hidden="1" x14ac:dyDescent="0.3">
      <c r="A2797" t="s">
        <v>4126</v>
      </c>
      <c r="B2797" t="s">
        <v>135</v>
      </c>
      <c r="C2797" t="s">
        <v>140</v>
      </c>
      <c r="D2797" t="s">
        <v>4114</v>
      </c>
      <c r="E2797" t="s">
        <v>161</v>
      </c>
      <c r="F2797" t="s">
        <v>65</v>
      </c>
      <c r="G2797" t="s">
        <v>66</v>
      </c>
      <c r="H2797" t="s">
        <v>21</v>
      </c>
      <c r="I2797">
        <v>650</v>
      </c>
      <c r="J2797">
        <v>845</v>
      </c>
      <c r="K2797">
        <v>2</v>
      </c>
      <c r="L2797">
        <v>1300</v>
      </c>
      <c r="M2797">
        <v>1690</v>
      </c>
      <c r="N2797" t="s">
        <v>42</v>
      </c>
      <c r="O2797">
        <f t="shared" si="86"/>
        <v>1690</v>
      </c>
      <c r="P2797" s="13">
        <f t="shared" si="87"/>
        <v>2058264</v>
      </c>
      <c r="Q2797" s="13">
        <f>SUMIFS(M:M,E:E,Online_eCommerce[[#This Row],[Status]])</f>
        <v>21103186</v>
      </c>
      <c r="R2797" s="13">
        <f>SUMIFS(L:L,H:H,Online_eCommerce[[#This Row],[Brand]])</f>
        <v>12435650</v>
      </c>
      <c r="S2797" s="13">
        <f>SUMIF(H:H,Online_eCommerce[[#This Row],[Brand]],M:M)</f>
        <v>16166345</v>
      </c>
      <c r="T2797" s="13">
        <f>SUMIF(N:N,Online_eCommerce[[#This Row],[Assigned Supervisor]],L:L)</f>
        <v>12261500</v>
      </c>
    </row>
    <row r="2798" spans="1:20" x14ac:dyDescent="0.3">
      <c r="A2798" t="s">
        <v>4127</v>
      </c>
      <c r="B2798" t="s">
        <v>139</v>
      </c>
      <c r="C2798" t="s">
        <v>145</v>
      </c>
      <c r="D2798" t="s">
        <v>4114</v>
      </c>
      <c r="E2798" t="s">
        <v>46</v>
      </c>
      <c r="F2798" t="s">
        <v>70</v>
      </c>
      <c r="G2798" t="s">
        <v>71</v>
      </c>
      <c r="H2798" t="s">
        <v>61</v>
      </c>
      <c r="I2798">
        <v>7500</v>
      </c>
      <c r="J2798">
        <v>9750</v>
      </c>
      <c r="K2798">
        <v>4</v>
      </c>
      <c r="L2798">
        <v>30000</v>
      </c>
      <c r="M2798">
        <v>39000</v>
      </c>
      <c r="N2798" t="s">
        <v>50</v>
      </c>
      <c r="O2798">
        <f t="shared" si="86"/>
        <v>9750</v>
      </c>
      <c r="P2798" s="13">
        <f t="shared" si="87"/>
        <v>2757859</v>
      </c>
      <c r="Q2798" s="13">
        <f>SUMIFS(M:M,E:E,Online_eCommerce[[#This Row],[Status]])</f>
        <v>28620410</v>
      </c>
      <c r="R2798" s="13">
        <f>SUMIFS(L:L,H:H,Online_eCommerce[[#This Row],[Brand]])</f>
        <v>10950150</v>
      </c>
      <c r="S2798" s="13">
        <f>SUMIF(H:H,Online_eCommerce[[#This Row],[Brand]],M:M)</f>
        <v>14235195</v>
      </c>
      <c r="T2798" s="13">
        <f>SUMIF(N:N,Online_eCommerce[[#This Row],[Assigned Supervisor]],L:L)</f>
        <v>12100590</v>
      </c>
    </row>
    <row r="2799" spans="1:20" hidden="1" x14ac:dyDescent="0.3">
      <c r="A2799" t="s">
        <v>4128</v>
      </c>
      <c r="B2799" t="s">
        <v>144</v>
      </c>
      <c r="C2799" t="s">
        <v>150</v>
      </c>
      <c r="D2799" t="s">
        <v>4129</v>
      </c>
      <c r="E2799" t="s">
        <v>96</v>
      </c>
      <c r="F2799" t="s">
        <v>4115</v>
      </c>
      <c r="G2799" t="s">
        <v>77</v>
      </c>
      <c r="H2799" t="s">
        <v>78</v>
      </c>
      <c r="I2799">
        <v>10000</v>
      </c>
      <c r="J2799">
        <v>13000</v>
      </c>
      <c r="K2799">
        <v>2</v>
      </c>
      <c r="L2799">
        <v>20000</v>
      </c>
      <c r="M2799">
        <v>26000</v>
      </c>
      <c r="N2799" t="s">
        <v>56</v>
      </c>
      <c r="O2799">
        <f t="shared" si="86"/>
        <v>39000</v>
      </c>
      <c r="P2799" s="13">
        <f t="shared" si="87"/>
        <v>2154984</v>
      </c>
      <c r="Q2799" s="13">
        <f>SUMIFS(M:M,E:E,Online_eCommerce[[#This Row],[Status]])</f>
        <v>21233992</v>
      </c>
      <c r="R2799" s="13">
        <f>SUMIFS(L:L,H:H,Online_eCommerce[[#This Row],[Brand]])</f>
        <v>3720000</v>
      </c>
      <c r="S2799" s="13">
        <f>SUMIF(H:H,Online_eCommerce[[#This Row],[Brand]],M:M)</f>
        <v>4836000</v>
      </c>
      <c r="T2799" s="13">
        <f>SUMIF(N:N,Online_eCommerce[[#This Row],[Assigned Supervisor]],L:L)</f>
        <v>11733610</v>
      </c>
    </row>
    <row r="2800" spans="1:20" hidden="1" x14ac:dyDescent="0.3">
      <c r="A2800" t="s">
        <v>4130</v>
      </c>
      <c r="B2800" t="s">
        <v>149</v>
      </c>
      <c r="C2800" t="s">
        <v>155</v>
      </c>
      <c r="D2800" t="s">
        <v>4131</v>
      </c>
      <c r="E2800" t="s">
        <v>18</v>
      </c>
      <c r="F2800" t="s">
        <v>4132</v>
      </c>
      <c r="G2800" t="s">
        <v>20</v>
      </c>
      <c r="H2800" t="s">
        <v>21</v>
      </c>
      <c r="I2800">
        <v>10500</v>
      </c>
      <c r="J2800">
        <v>13650</v>
      </c>
      <c r="K2800">
        <v>3</v>
      </c>
      <c r="L2800">
        <v>31500</v>
      </c>
      <c r="M2800">
        <v>40950</v>
      </c>
      <c r="N2800" t="s">
        <v>22</v>
      </c>
      <c r="O2800">
        <f t="shared" si="86"/>
        <v>8450</v>
      </c>
      <c r="P2800" s="13">
        <f t="shared" si="87"/>
        <v>2753348</v>
      </c>
      <c r="Q2800" s="13">
        <f>SUMIFS(M:M,E:E,Online_eCommerce[[#This Row],[Status]])</f>
        <v>28340455</v>
      </c>
      <c r="R2800" s="13">
        <f>SUMIFS(L:L,H:H,Online_eCommerce[[#This Row],[Brand]])</f>
        <v>12435650</v>
      </c>
      <c r="S2800" s="13">
        <f>SUMIF(H:H,Online_eCommerce[[#This Row],[Brand]],M:M)</f>
        <v>16166345</v>
      </c>
      <c r="T2800" s="13">
        <f>SUMIF(N:N,Online_eCommerce[[#This Row],[Assigned Supervisor]],L:L)</f>
        <v>13693220</v>
      </c>
    </row>
    <row r="2801" spans="1:20" hidden="1" x14ac:dyDescent="0.3">
      <c r="A2801" t="s">
        <v>4133</v>
      </c>
      <c r="B2801" t="s">
        <v>154</v>
      </c>
      <c r="C2801" t="s">
        <v>160</v>
      </c>
      <c r="D2801" t="s">
        <v>4134</v>
      </c>
      <c r="E2801" t="s">
        <v>161</v>
      </c>
      <c r="F2801" t="s">
        <v>88</v>
      </c>
      <c r="G2801" t="s">
        <v>26</v>
      </c>
      <c r="H2801" t="s">
        <v>27</v>
      </c>
      <c r="I2801">
        <v>8500</v>
      </c>
      <c r="J2801">
        <v>11050</v>
      </c>
      <c r="K2801">
        <v>1</v>
      </c>
      <c r="L2801">
        <v>8500</v>
      </c>
      <c r="M2801">
        <v>11050</v>
      </c>
      <c r="N2801" t="s">
        <v>28</v>
      </c>
      <c r="O2801">
        <f t="shared" si="86"/>
        <v>33150</v>
      </c>
      <c r="P2801" s="13">
        <f t="shared" si="87"/>
        <v>2303483</v>
      </c>
      <c r="Q2801" s="13">
        <f>SUMIFS(M:M,E:E,Online_eCommerce[[#This Row],[Status]])</f>
        <v>21103186</v>
      </c>
      <c r="R2801" s="13">
        <f>SUMIFS(L:L,H:H,Online_eCommerce[[#This Row],[Brand]])</f>
        <v>14431000</v>
      </c>
      <c r="S2801" s="13">
        <f>SUMIF(H:H,Online_eCommerce[[#This Row],[Brand]],M:M)</f>
        <v>18760300</v>
      </c>
      <c r="T2801" s="13">
        <f>SUMIF(N:N,Online_eCommerce[[#This Row],[Assigned Supervisor]],L:L)</f>
        <v>12220830</v>
      </c>
    </row>
    <row r="2802" spans="1:20" x14ac:dyDescent="0.3">
      <c r="A2802" t="s">
        <v>4135</v>
      </c>
      <c r="B2802" t="s">
        <v>159</v>
      </c>
      <c r="C2802" t="s">
        <v>165</v>
      </c>
      <c r="D2802" t="s">
        <v>4136</v>
      </c>
      <c r="E2802" t="s">
        <v>46</v>
      </c>
      <c r="F2802" t="s">
        <v>32</v>
      </c>
      <c r="G2802" t="s">
        <v>33</v>
      </c>
      <c r="H2802" t="s">
        <v>34</v>
      </c>
      <c r="I2802">
        <v>7000</v>
      </c>
      <c r="J2802">
        <v>9100</v>
      </c>
      <c r="K2802">
        <v>1</v>
      </c>
      <c r="L2802">
        <v>7000</v>
      </c>
      <c r="M2802">
        <v>9100</v>
      </c>
      <c r="N2802" t="s">
        <v>35</v>
      </c>
      <c r="O2802">
        <f t="shared" si="86"/>
        <v>18200</v>
      </c>
      <c r="P2802" s="13">
        <f t="shared" si="87"/>
        <v>2674087</v>
      </c>
      <c r="Q2802" s="13">
        <f>SUMIFS(M:M,E:E,Online_eCommerce[[#This Row],[Status]])</f>
        <v>28620410</v>
      </c>
      <c r="R2802" s="13">
        <f>SUMIFS(L:L,H:H,Online_eCommerce[[#This Row],[Brand]])</f>
        <v>10087000</v>
      </c>
      <c r="S2802" s="13">
        <f>SUMIF(H:H,Online_eCommerce[[#This Row],[Brand]],M:M)</f>
        <v>13113100</v>
      </c>
      <c r="T2802" s="13">
        <f>SUMIF(N:N,Online_eCommerce[[#This Row],[Assigned Supervisor]],L:L)</f>
        <v>14373360</v>
      </c>
    </row>
    <row r="2803" spans="1:20" hidden="1" x14ac:dyDescent="0.3">
      <c r="A2803" t="s">
        <v>4137</v>
      </c>
      <c r="B2803" t="s">
        <v>139</v>
      </c>
      <c r="C2803" t="s">
        <v>168</v>
      </c>
      <c r="D2803" t="s">
        <v>4138</v>
      </c>
      <c r="E2803" t="s">
        <v>96</v>
      </c>
      <c r="F2803" t="s">
        <v>4139</v>
      </c>
      <c r="G2803" t="s">
        <v>163</v>
      </c>
      <c r="H2803" t="s">
        <v>41</v>
      </c>
      <c r="I2803">
        <v>1680</v>
      </c>
      <c r="J2803">
        <v>2184</v>
      </c>
      <c r="K2803">
        <v>2</v>
      </c>
      <c r="L2803">
        <v>3360</v>
      </c>
      <c r="M2803">
        <v>4368</v>
      </c>
      <c r="N2803" t="s">
        <v>42</v>
      </c>
      <c r="O2803">
        <f t="shared" si="86"/>
        <v>13650</v>
      </c>
      <c r="P2803" s="13">
        <f t="shared" si="87"/>
        <v>1937780</v>
      </c>
      <c r="Q2803" s="13">
        <f>SUMIFS(M:M,E:E,Online_eCommerce[[#This Row],[Status]])</f>
        <v>21233992</v>
      </c>
      <c r="R2803" s="13">
        <f>SUMIFS(L:L,H:H,Online_eCommerce[[#This Row],[Brand]])</f>
        <v>4260400</v>
      </c>
      <c r="S2803" s="13">
        <f>SUMIF(H:H,Online_eCommerce[[#This Row],[Brand]],M:M)</f>
        <v>5538520</v>
      </c>
      <c r="T2803" s="13">
        <f>SUMIF(N:N,Online_eCommerce[[#This Row],[Assigned Supervisor]],L:L)</f>
        <v>12261500</v>
      </c>
    </row>
    <row r="2804" spans="1:20" hidden="1" x14ac:dyDescent="0.3">
      <c r="A2804" t="s">
        <v>4140</v>
      </c>
      <c r="B2804" t="s">
        <v>144</v>
      </c>
      <c r="C2804" t="s">
        <v>172</v>
      </c>
      <c r="D2804" t="s">
        <v>4141</v>
      </c>
      <c r="E2804" t="s">
        <v>18</v>
      </c>
      <c r="F2804" t="s">
        <v>101</v>
      </c>
      <c r="G2804" t="s">
        <v>66</v>
      </c>
      <c r="H2804" t="s">
        <v>102</v>
      </c>
      <c r="I2804">
        <v>6540</v>
      </c>
      <c r="J2804">
        <v>8502</v>
      </c>
      <c r="K2804">
        <v>1</v>
      </c>
      <c r="L2804">
        <v>6540</v>
      </c>
      <c r="M2804">
        <v>8502</v>
      </c>
      <c r="N2804" t="s">
        <v>50</v>
      </c>
      <c r="O2804">
        <f t="shared" si="86"/>
        <v>1690</v>
      </c>
      <c r="P2804" s="13">
        <f t="shared" si="87"/>
        <v>2640274</v>
      </c>
      <c r="Q2804" s="13">
        <f>SUMIFS(M:M,E:E,Online_eCommerce[[#This Row],[Status]])</f>
        <v>28340455</v>
      </c>
      <c r="R2804" s="13">
        <f>SUMIFS(L:L,H:H,Online_eCommerce[[#This Row],[Brand]])</f>
        <v>2465580</v>
      </c>
      <c r="S2804" s="13">
        <f>SUMIF(H:H,Online_eCommerce[[#This Row],[Brand]],M:M)</f>
        <v>3205254</v>
      </c>
      <c r="T2804" s="13">
        <f>SUMIF(N:N,Online_eCommerce[[#This Row],[Assigned Supervisor]],L:L)</f>
        <v>12100590</v>
      </c>
    </row>
    <row r="2805" spans="1:20" hidden="1" x14ac:dyDescent="0.3">
      <c r="A2805" t="s">
        <v>4142</v>
      </c>
      <c r="B2805" t="s">
        <v>235</v>
      </c>
      <c r="C2805" t="s">
        <v>177</v>
      </c>
      <c r="D2805" t="s">
        <v>4143</v>
      </c>
      <c r="E2805" t="s">
        <v>161</v>
      </c>
      <c r="F2805" t="s">
        <v>107</v>
      </c>
      <c r="G2805" t="s">
        <v>54</v>
      </c>
      <c r="H2805" t="s">
        <v>55</v>
      </c>
      <c r="I2805">
        <v>2680</v>
      </c>
      <c r="J2805">
        <v>3484</v>
      </c>
      <c r="K2805">
        <v>1</v>
      </c>
      <c r="L2805">
        <v>2680</v>
      </c>
      <c r="M2805">
        <v>3484</v>
      </c>
      <c r="N2805" t="s">
        <v>56</v>
      </c>
      <c r="O2805">
        <f t="shared" si="86"/>
        <v>2990</v>
      </c>
      <c r="P2805" s="13">
        <f t="shared" si="87"/>
        <v>1863810</v>
      </c>
      <c r="Q2805" s="13">
        <f>SUMIFS(M:M,E:E,Online_eCommerce[[#This Row],[Status]])</f>
        <v>21103186</v>
      </c>
      <c r="R2805" s="13">
        <f>SUMIFS(L:L,H:H,Online_eCommerce[[#This Row],[Brand]])</f>
        <v>2267380</v>
      </c>
      <c r="S2805" s="13">
        <f>SUMIF(H:H,Online_eCommerce[[#This Row],[Brand]],M:M)</f>
        <v>2947594</v>
      </c>
      <c r="T2805" s="13">
        <f>SUMIF(N:N,Online_eCommerce[[#This Row],[Assigned Supervisor]],L:L)</f>
        <v>11733610</v>
      </c>
    </row>
    <row r="2806" spans="1:20" x14ac:dyDescent="0.3">
      <c r="A2806" t="s">
        <v>4144</v>
      </c>
      <c r="B2806" t="s">
        <v>176</v>
      </c>
      <c r="C2806" t="s">
        <v>181</v>
      </c>
      <c r="D2806" t="s">
        <v>4145</v>
      </c>
      <c r="E2806" t="s">
        <v>46</v>
      </c>
      <c r="F2806" t="s">
        <v>112</v>
      </c>
      <c r="G2806" t="s">
        <v>71</v>
      </c>
      <c r="H2806" t="s">
        <v>21</v>
      </c>
      <c r="I2806">
        <v>8250</v>
      </c>
      <c r="J2806">
        <v>10725</v>
      </c>
      <c r="K2806">
        <v>1</v>
      </c>
      <c r="L2806">
        <v>8250</v>
      </c>
      <c r="M2806">
        <v>10725</v>
      </c>
      <c r="N2806" t="s">
        <v>22</v>
      </c>
      <c r="O2806">
        <f t="shared" si="86"/>
        <v>9750</v>
      </c>
      <c r="P2806" s="13">
        <f t="shared" si="87"/>
        <v>2577458</v>
      </c>
      <c r="Q2806" s="13">
        <f>SUMIFS(M:M,E:E,Online_eCommerce[[#This Row],[Status]])</f>
        <v>28620410</v>
      </c>
      <c r="R2806" s="13">
        <f>SUMIFS(L:L,H:H,Online_eCommerce[[#This Row],[Brand]])</f>
        <v>12435650</v>
      </c>
      <c r="S2806" s="13">
        <f>SUMIF(H:H,Online_eCommerce[[#This Row],[Brand]],M:M)</f>
        <v>16166345</v>
      </c>
      <c r="T2806" s="13">
        <f>SUMIF(N:N,Online_eCommerce[[#This Row],[Assigned Supervisor]],L:L)</f>
        <v>13693220</v>
      </c>
    </row>
    <row r="2807" spans="1:20" hidden="1" x14ac:dyDescent="0.3">
      <c r="A2807" t="s">
        <v>4146</v>
      </c>
      <c r="B2807" t="s">
        <v>276</v>
      </c>
      <c r="C2807" t="s">
        <v>185</v>
      </c>
      <c r="D2807" t="s">
        <v>4147</v>
      </c>
      <c r="E2807" t="s">
        <v>96</v>
      </c>
      <c r="F2807" t="s">
        <v>3755</v>
      </c>
      <c r="G2807" t="s">
        <v>40</v>
      </c>
      <c r="H2807" t="s">
        <v>21</v>
      </c>
      <c r="I2807">
        <v>2650</v>
      </c>
      <c r="J2807">
        <v>3445</v>
      </c>
      <c r="K2807">
        <v>2</v>
      </c>
      <c r="L2807">
        <v>5300</v>
      </c>
      <c r="M2807">
        <v>6890</v>
      </c>
      <c r="N2807" t="s">
        <v>28</v>
      </c>
      <c r="O2807">
        <f t="shared" si="86"/>
        <v>25545</v>
      </c>
      <c r="P2807" s="13">
        <f t="shared" si="87"/>
        <v>2091596</v>
      </c>
      <c r="Q2807" s="13">
        <f>SUMIFS(M:M,E:E,Online_eCommerce[[#This Row],[Status]])</f>
        <v>21233992</v>
      </c>
      <c r="R2807" s="13">
        <f>SUMIFS(L:L,H:H,Online_eCommerce[[#This Row],[Brand]])</f>
        <v>12435650</v>
      </c>
      <c r="S2807" s="13">
        <f>SUMIF(H:H,Online_eCommerce[[#This Row],[Brand]],M:M)</f>
        <v>16166345</v>
      </c>
      <c r="T2807" s="13">
        <f>SUMIF(N:N,Online_eCommerce[[#This Row],[Assigned Supervisor]],L:L)</f>
        <v>12220830</v>
      </c>
    </row>
    <row r="2808" spans="1:20" hidden="1" x14ac:dyDescent="0.3">
      <c r="A2808" t="s">
        <v>4148</v>
      </c>
      <c r="B2808" t="s">
        <v>280</v>
      </c>
      <c r="C2808" t="s">
        <v>189</v>
      </c>
      <c r="D2808" t="s">
        <v>4149</v>
      </c>
      <c r="E2808" t="s">
        <v>18</v>
      </c>
      <c r="F2808" t="s">
        <v>121</v>
      </c>
      <c r="G2808" t="s">
        <v>71</v>
      </c>
      <c r="H2808" t="s">
        <v>122</v>
      </c>
      <c r="I2808">
        <v>12550</v>
      </c>
      <c r="J2808">
        <v>16315</v>
      </c>
      <c r="K2808">
        <v>3</v>
      </c>
      <c r="L2808">
        <v>37650</v>
      </c>
      <c r="M2808">
        <v>48945</v>
      </c>
      <c r="N2808" t="s">
        <v>35</v>
      </c>
      <c r="O2808">
        <f t="shared" si="86"/>
        <v>9750</v>
      </c>
      <c r="P2808" s="13">
        <f t="shared" si="87"/>
        <v>2740777</v>
      </c>
      <c r="Q2808" s="13">
        <f>SUMIFS(M:M,E:E,Online_eCommerce[[#This Row],[Status]])</f>
        <v>28340455</v>
      </c>
      <c r="R2808" s="13">
        <f>SUMIFS(L:L,H:H,Online_eCommerce[[#This Row],[Brand]])</f>
        <v>5045100</v>
      </c>
      <c r="S2808" s="13">
        <f>SUMIF(H:H,Online_eCommerce[[#This Row],[Brand]],M:M)</f>
        <v>6558630</v>
      </c>
      <c r="T2808" s="13">
        <f>SUMIF(N:N,Online_eCommerce[[#This Row],[Assigned Supervisor]],L:L)</f>
        <v>14373360</v>
      </c>
    </row>
    <row r="2809" spans="1:20" hidden="1" x14ac:dyDescent="0.3">
      <c r="A2809" t="s">
        <v>4150</v>
      </c>
      <c r="B2809" t="s">
        <v>283</v>
      </c>
      <c r="C2809" t="s">
        <v>193</v>
      </c>
      <c r="D2809" t="s">
        <v>4151</v>
      </c>
      <c r="E2809" t="s">
        <v>161</v>
      </c>
      <c r="F2809" t="s">
        <v>126</v>
      </c>
      <c r="G2809" t="s">
        <v>26</v>
      </c>
      <c r="H2809" t="s">
        <v>27</v>
      </c>
      <c r="I2809">
        <v>14500</v>
      </c>
      <c r="J2809">
        <v>18850</v>
      </c>
      <c r="K2809">
        <v>1</v>
      </c>
      <c r="L2809">
        <v>14500</v>
      </c>
      <c r="M2809">
        <v>18850</v>
      </c>
      <c r="N2809" t="s">
        <v>42</v>
      </c>
      <c r="O2809">
        <f t="shared" si="86"/>
        <v>33150</v>
      </c>
      <c r="P2809" s="13">
        <f t="shared" si="87"/>
        <v>2074774</v>
      </c>
      <c r="Q2809" s="13">
        <f>SUMIFS(M:M,E:E,Online_eCommerce[[#This Row],[Status]])</f>
        <v>21103186</v>
      </c>
      <c r="R2809" s="13">
        <f>SUMIFS(L:L,H:H,Online_eCommerce[[#This Row],[Brand]])</f>
        <v>14431000</v>
      </c>
      <c r="S2809" s="13">
        <f>SUMIF(H:H,Online_eCommerce[[#This Row],[Brand]],M:M)</f>
        <v>18760300</v>
      </c>
      <c r="T2809" s="13">
        <f>SUMIF(N:N,Online_eCommerce[[#This Row],[Assigned Supervisor]],L:L)</f>
        <v>12261500</v>
      </c>
    </row>
    <row r="2810" spans="1:20" x14ac:dyDescent="0.3">
      <c r="A2810" t="s">
        <v>4152</v>
      </c>
      <c r="B2810" t="s">
        <v>287</v>
      </c>
      <c r="C2810" t="s">
        <v>197</v>
      </c>
      <c r="D2810" t="s">
        <v>4153</v>
      </c>
      <c r="E2810" t="s">
        <v>46</v>
      </c>
      <c r="F2810" t="s">
        <v>129</v>
      </c>
      <c r="G2810" t="s">
        <v>60</v>
      </c>
      <c r="H2810" t="s">
        <v>61</v>
      </c>
      <c r="I2810">
        <v>800</v>
      </c>
      <c r="J2810">
        <v>1040</v>
      </c>
      <c r="K2810">
        <v>2</v>
      </c>
      <c r="L2810">
        <v>1600</v>
      </c>
      <c r="M2810">
        <v>2080</v>
      </c>
      <c r="N2810" t="s">
        <v>50</v>
      </c>
      <c r="O2810">
        <f t="shared" si="86"/>
        <v>3315</v>
      </c>
      <c r="P2810" s="13">
        <f t="shared" si="87"/>
        <v>2829840</v>
      </c>
      <c r="Q2810" s="13">
        <f>SUMIFS(M:M,E:E,Online_eCommerce[[#This Row],[Status]])</f>
        <v>28620410</v>
      </c>
      <c r="R2810" s="13">
        <f>SUMIFS(L:L,H:H,Online_eCommerce[[#This Row],[Brand]])</f>
        <v>10950150</v>
      </c>
      <c r="S2810" s="13">
        <f>SUMIF(H:H,Online_eCommerce[[#This Row],[Brand]],M:M)</f>
        <v>14235195</v>
      </c>
      <c r="T2810" s="13">
        <f>SUMIF(N:N,Online_eCommerce[[#This Row],[Assigned Supervisor]],L:L)</f>
        <v>12100590</v>
      </c>
    </row>
    <row r="2811" spans="1:20" hidden="1" x14ac:dyDescent="0.3">
      <c r="A2811" t="s">
        <v>4154</v>
      </c>
      <c r="B2811" t="s">
        <v>290</v>
      </c>
      <c r="C2811" t="s">
        <v>199</v>
      </c>
      <c r="D2811" t="s">
        <v>4155</v>
      </c>
      <c r="E2811" t="s">
        <v>96</v>
      </c>
      <c r="F2811" t="s">
        <v>133</v>
      </c>
      <c r="G2811" t="s">
        <v>66</v>
      </c>
      <c r="H2811" t="s">
        <v>21</v>
      </c>
      <c r="I2811">
        <v>600</v>
      </c>
      <c r="J2811">
        <v>780</v>
      </c>
      <c r="K2811">
        <v>2</v>
      </c>
      <c r="L2811">
        <v>1200</v>
      </c>
      <c r="M2811">
        <v>1560</v>
      </c>
      <c r="N2811" t="s">
        <v>56</v>
      </c>
      <c r="O2811">
        <f t="shared" si="86"/>
        <v>1690</v>
      </c>
      <c r="P2811" s="13">
        <f t="shared" si="87"/>
        <v>1947361</v>
      </c>
      <c r="Q2811" s="13">
        <f>SUMIFS(M:M,E:E,Online_eCommerce[[#This Row],[Status]])</f>
        <v>21233992</v>
      </c>
      <c r="R2811" s="13">
        <f>SUMIFS(L:L,H:H,Online_eCommerce[[#This Row],[Brand]])</f>
        <v>12435650</v>
      </c>
      <c r="S2811" s="13">
        <f>SUMIF(H:H,Online_eCommerce[[#This Row],[Brand]],M:M)</f>
        <v>16166345</v>
      </c>
      <c r="T2811" s="13">
        <f>SUMIF(N:N,Online_eCommerce[[#This Row],[Assigned Supervisor]],L:L)</f>
        <v>11733610</v>
      </c>
    </row>
    <row r="2812" spans="1:20" hidden="1" x14ac:dyDescent="0.3">
      <c r="A2812" t="s">
        <v>4156</v>
      </c>
      <c r="B2812" t="s">
        <v>15</v>
      </c>
      <c r="C2812" t="s">
        <v>203</v>
      </c>
      <c r="D2812" t="s">
        <v>4157</v>
      </c>
      <c r="E2812" t="s">
        <v>18</v>
      </c>
      <c r="F2812" t="s">
        <v>137</v>
      </c>
      <c r="G2812" t="s">
        <v>71</v>
      </c>
      <c r="H2812" t="s">
        <v>61</v>
      </c>
      <c r="I2812">
        <v>10500</v>
      </c>
      <c r="J2812">
        <v>13650</v>
      </c>
      <c r="K2812">
        <v>2</v>
      </c>
      <c r="L2812">
        <v>21000</v>
      </c>
      <c r="M2812">
        <v>27300</v>
      </c>
      <c r="N2812" t="s">
        <v>22</v>
      </c>
      <c r="O2812">
        <f t="shared" si="86"/>
        <v>9750</v>
      </c>
      <c r="P2812" s="13">
        <f t="shared" si="87"/>
        <v>2559635</v>
      </c>
      <c r="Q2812" s="13">
        <f>SUMIFS(M:M,E:E,Online_eCommerce[[#This Row],[Status]])</f>
        <v>28340455</v>
      </c>
      <c r="R2812" s="13">
        <f>SUMIFS(L:L,H:H,Online_eCommerce[[#This Row],[Brand]])</f>
        <v>10950150</v>
      </c>
      <c r="S2812" s="13">
        <f>SUMIF(H:H,Online_eCommerce[[#This Row],[Brand]],M:M)</f>
        <v>14235195</v>
      </c>
      <c r="T2812" s="13">
        <f>SUMIF(N:N,Online_eCommerce[[#This Row],[Assigned Supervisor]],L:L)</f>
        <v>13693220</v>
      </c>
    </row>
    <row r="2813" spans="1:20" hidden="1" x14ac:dyDescent="0.3">
      <c r="A2813" t="s">
        <v>4158</v>
      </c>
      <c r="B2813" t="s">
        <v>202</v>
      </c>
      <c r="C2813" t="s">
        <v>205</v>
      </c>
      <c r="D2813" t="s">
        <v>4159</v>
      </c>
      <c r="E2813" t="s">
        <v>161</v>
      </c>
      <c r="F2813" t="s">
        <v>4115</v>
      </c>
      <c r="G2813" t="s">
        <v>77</v>
      </c>
      <c r="H2813" t="s">
        <v>142</v>
      </c>
      <c r="I2813">
        <v>6500</v>
      </c>
      <c r="J2813">
        <v>8450</v>
      </c>
      <c r="K2813">
        <v>2</v>
      </c>
      <c r="L2813">
        <v>13000</v>
      </c>
      <c r="M2813">
        <v>16900</v>
      </c>
      <c r="N2813" t="s">
        <v>28</v>
      </c>
      <c r="O2813">
        <f t="shared" si="86"/>
        <v>39000</v>
      </c>
      <c r="P2813" s="13">
        <f t="shared" si="87"/>
        <v>1983254</v>
      </c>
      <c r="Q2813" s="13">
        <f>SUMIFS(M:M,E:E,Online_eCommerce[[#This Row],[Status]])</f>
        <v>21103186</v>
      </c>
      <c r="R2813" s="13">
        <f>SUMIFS(L:L,H:H,Online_eCommerce[[#This Row],[Brand]])</f>
        <v>6192500</v>
      </c>
      <c r="S2813" s="13">
        <f>SUMIF(H:H,Online_eCommerce[[#This Row],[Brand]],M:M)</f>
        <v>8050250</v>
      </c>
      <c r="T2813" s="13">
        <f>SUMIF(N:N,Online_eCommerce[[#This Row],[Assigned Supervisor]],L:L)</f>
        <v>12220830</v>
      </c>
    </row>
    <row r="2814" spans="1:20" x14ac:dyDescent="0.3">
      <c r="A2814" t="s">
        <v>4160</v>
      </c>
      <c r="B2814" t="s">
        <v>30</v>
      </c>
      <c r="C2814" t="s">
        <v>208</v>
      </c>
      <c r="D2814" t="s">
        <v>4161</v>
      </c>
      <c r="E2814" t="s">
        <v>46</v>
      </c>
      <c r="F2814" t="s">
        <v>4162</v>
      </c>
      <c r="G2814" t="s">
        <v>20</v>
      </c>
      <c r="H2814" t="s">
        <v>21</v>
      </c>
      <c r="I2814">
        <v>4500</v>
      </c>
      <c r="J2814">
        <v>5850</v>
      </c>
      <c r="K2814">
        <v>2</v>
      </c>
      <c r="L2814">
        <v>9000</v>
      </c>
      <c r="M2814">
        <v>11700</v>
      </c>
      <c r="N2814" t="s">
        <v>35</v>
      </c>
      <c r="O2814">
        <f t="shared" si="86"/>
        <v>8450</v>
      </c>
      <c r="P2814" s="13">
        <f t="shared" si="87"/>
        <v>2746575</v>
      </c>
      <c r="Q2814" s="13">
        <f>SUMIFS(M:M,E:E,Online_eCommerce[[#This Row],[Status]])</f>
        <v>28620410</v>
      </c>
      <c r="R2814" s="13">
        <f>SUMIFS(L:L,H:H,Online_eCommerce[[#This Row],[Brand]])</f>
        <v>12435650</v>
      </c>
      <c r="S2814" s="13">
        <f>SUMIF(H:H,Online_eCommerce[[#This Row],[Brand]],M:M)</f>
        <v>16166345</v>
      </c>
      <c r="T2814" s="13">
        <f>SUMIF(N:N,Online_eCommerce[[#This Row],[Assigned Supervisor]],L:L)</f>
        <v>14373360</v>
      </c>
    </row>
    <row r="2815" spans="1:20" hidden="1" x14ac:dyDescent="0.3">
      <c r="A2815" t="s">
        <v>4163</v>
      </c>
      <c r="B2815" t="s">
        <v>37</v>
      </c>
      <c r="C2815" t="s">
        <v>211</v>
      </c>
      <c r="D2815" t="s">
        <v>4164</v>
      </c>
      <c r="E2815" t="s">
        <v>96</v>
      </c>
      <c r="F2815" t="s">
        <v>152</v>
      </c>
      <c r="G2815" t="s">
        <v>26</v>
      </c>
      <c r="H2815" t="s">
        <v>27</v>
      </c>
      <c r="I2815">
        <v>8500</v>
      </c>
      <c r="J2815">
        <v>11050</v>
      </c>
      <c r="K2815">
        <v>2</v>
      </c>
      <c r="L2815">
        <v>17000</v>
      </c>
      <c r="M2815">
        <v>22100</v>
      </c>
      <c r="N2815" t="s">
        <v>42</v>
      </c>
      <c r="O2815">
        <f t="shared" si="86"/>
        <v>33150</v>
      </c>
      <c r="P2815" s="13">
        <f t="shared" si="87"/>
        <v>1809847</v>
      </c>
      <c r="Q2815" s="13">
        <f>SUMIFS(M:M,E:E,Online_eCommerce[[#This Row],[Status]])</f>
        <v>21233992</v>
      </c>
      <c r="R2815" s="13">
        <f>SUMIFS(L:L,H:H,Online_eCommerce[[#This Row],[Brand]])</f>
        <v>14431000</v>
      </c>
      <c r="S2815" s="13">
        <f>SUMIF(H:H,Online_eCommerce[[#This Row],[Brand]],M:M)</f>
        <v>18760300</v>
      </c>
      <c r="T2815" s="13">
        <f>SUMIF(N:N,Online_eCommerce[[#This Row],[Assigned Supervisor]],L:L)</f>
        <v>12261500</v>
      </c>
    </row>
    <row r="2816" spans="1:20" hidden="1" x14ac:dyDescent="0.3">
      <c r="A2816" t="s">
        <v>4165</v>
      </c>
      <c r="B2816" t="s">
        <v>44</v>
      </c>
      <c r="C2816" t="s">
        <v>16</v>
      </c>
      <c r="D2816" t="s">
        <v>4166</v>
      </c>
      <c r="E2816" t="s">
        <v>18</v>
      </c>
      <c r="F2816" t="s">
        <v>157</v>
      </c>
      <c r="G2816" t="s">
        <v>33</v>
      </c>
      <c r="H2816" t="s">
        <v>34</v>
      </c>
      <c r="I2816">
        <v>12500</v>
      </c>
      <c r="J2816">
        <v>16250</v>
      </c>
      <c r="K2816">
        <v>2</v>
      </c>
      <c r="L2816">
        <v>25000</v>
      </c>
      <c r="M2816">
        <v>32500</v>
      </c>
      <c r="N2816" t="s">
        <v>50</v>
      </c>
      <c r="O2816">
        <f t="shared" si="86"/>
        <v>18200</v>
      </c>
      <c r="P2816" s="13">
        <f t="shared" si="87"/>
        <v>2751814</v>
      </c>
      <c r="Q2816" s="13">
        <f>SUMIFS(M:M,E:E,Online_eCommerce[[#This Row],[Status]])</f>
        <v>28340455</v>
      </c>
      <c r="R2816" s="13">
        <f>SUMIFS(L:L,H:H,Online_eCommerce[[#This Row],[Brand]])</f>
        <v>10087000</v>
      </c>
      <c r="S2816" s="13">
        <f>SUMIF(H:H,Online_eCommerce[[#This Row],[Brand]],M:M)</f>
        <v>13113100</v>
      </c>
      <c r="T2816" s="13">
        <f>SUMIF(N:N,Online_eCommerce[[#This Row],[Assigned Supervisor]],L:L)</f>
        <v>12100590</v>
      </c>
    </row>
    <row r="2817" spans="1:20" hidden="1" x14ac:dyDescent="0.3">
      <c r="A2817" t="s">
        <v>4167</v>
      </c>
      <c r="B2817" t="s">
        <v>213</v>
      </c>
      <c r="C2817" t="s">
        <v>24</v>
      </c>
      <c r="D2817" t="s">
        <v>4168</v>
      </c>
      <c r="E2817" t="s">
        <v>161</v>
      </c>
      <c r="F2817" t="s">
        <v>3801</v>
      </c>
      <c r="G2817" t="s">
        <v>256</v>
      </c>
      <c r="H2817" t="s">
        <v>41</v>
      </c>
      <c r="I2817">
        <v>3500</v>
      </c>
      <c r="J2817">
        <v>4550</v>
      </c>
      <c r="K2817">
        <v>1</v>
      </c>
      <c r="L2817">
        <v>3500</v>
      </c>
      <c r="M2817">
        <v>4550</v>
      </c>
      <c r="N2817" t="s">
        <v>56</v>
      </c>
      <c r="O2817">
        <f t="shared" si="86"/>
        <v>9100</v>
      </c>
      <c r="P2817" s="13">
        <f t="shared" si="87"/>
        <v>2009540</v>
      </c>
      <c r="Q2817" s="13">
        <f>SUMIFS(M:M,E:E,Online_eCommerce[[#This Row],[Status]])</f>
        <v>21103186</v>
      </c>
      <c r="R2817" s="13">
        <f>SUMIFS(L:L,H:H,Online_eCommerce[[#This Row],[Brand]])</f>
        <v>4260400</v>
      </c>
      <c r="S2817" s="13">
        <f>SUMIF(H:H,Online_eCommerce[[#This Row],[Brand]],M:M)</f>
        <v>5538520</v>
      </c>
      <c r="T2817" s="13">
        <f>SUMIF(N:N,Online_eCommerce[[#This Row],[Assigned Supervisor]],L:L)</f>
        <v>11733610</v>
      </c>
    </row>
    <row r="2818" spans="1:20" x14ac:dyDescent="0.3">
      <c r="A2818" t="s">
        <v>4169</v>
      </c>
      <c r="B2818" t="s">
        <v>215</v>
      </c>
      <c r="C2818" t="s">
        <v>31</v>
      </c>
      <c r="D2818" t="s">
        <v>4170</v>
      </c>
      <c r="E2818" t="s">
        <v>46</v>
      </c>
      <c r="F2818" t="s">
        <v>166</v>
      </c>
      <c r="G2818" t="s">
        <v>259</v>
      </c>
      <c r="H2818" t="s">
        <v>49</v>
      </c>
      <c r="I2818">
        <v>4500</v>
      </c>
      <c r="J2818">
        <v>5850</v>
      </c>
      <c r="K2818">
        <v>3</v>
      </c>
      <c r="L2818">
        <v>13500</v>
      </c>
      <c r="M2818">
        <v>17550</v>
      </c>
      <c r="N2818" t="s">
        <v>22</v>
      </c>
      <c r="O2818">
        <f t="shared" ref="O2818:O2881" si="88">VLOOKUP(G2818,G:M,7,FALSE)</f>
        <v>11700</v>
      </c>
      <c r="P2818" s="13">
        <f t="shared" ref="P2818:P2881" si="89">SUMIFS(M:M,C:C,C2818)</f>
        <v>2865746</v>
      </c>
      <c r="Q2818" s="13">
        <f>SUMIFS(M:M,E:E,Online_eCommerce[[#This Row],[Status]])</f>
        <v>28620410</v>
      </c>
      <c r="R2818" s="13">
        <f>SUMIFS(L:L,H:H,Online_eCommerce[[#This Row],[Brand]])</f>
        <v>4528350</v>
      </c>
      <c r="S2818" s="13">
        <f>SUMIF(H:H,Online_eCommerce[[#This Row],[Brand]],M:M)</f>
        <v>5886855</v>
      </c>
      <c r="T2818" s="13">
        <f>SUMIF(N:N,Online_eCommerce[[#This Row],[Assigned Supervisor]],L:L)</f>
        <v>13693220</v>
      </c>
    </row>
    <row r="2819" spans="1:20" hidden="1" x14ac:dyDescent="0.3">
      <c r="A2819" t="s">
        <v>4171</v>
      </c>
      <c r="B2819" t="s">
        <v>306</v>
      </c>
      <c r="C2819" t="s">
        <v>38</v>
      </c>
      <c r="D2819" t="s">
        <v>4172</v>
      </c>
      <c r="E2819" t="s">
        <v>96</v>
      </c>
      <c r="F2819" t="s">
        <v>4173</v>
      </c>
      <c r="G2819" t="s">
        <v>54</v>
      </c>
      <c r="H2819" t="s">
        <v>55</v>
      </c>
      <c r="I2819">
        <v>2100</v>
      </c>
      <c r="J2819">
        <v>2730</v>
      </c>
      <c r="K2819">
        <v>4</v>
      </c>
      <c r="L2819">
        <v>8400</v>
      </c>
      <c r="M2819">
        <v>10920</v>
      </c>
      <c r="N2819" t="s">
        <v>28</v>
      </c>
      <c r="O2819">
        <f t="shared" si="88"/>
        <v>2990</v>
      </c>
      <c r="P2819" s="13">
        <f t="shared" si="89"/>
        <v>1933997</v>
      </c>
      <c r="Q2819" s="13">
        <f>SUMIFS(M:M,E:E,Online_eCommerce[[#This Row],[Status]])</f>
        <v>21233992</v>
      </c>
      <c r="R2819" s="13">
        <f>SUMIFS(L:L,H:H,Online_eCommerce[[#This Row],[Brand]])</f>
        <v>2267380</v>
      </c>
      <c r="S2819" s="13">
        <f>SUMIF(H:H,Online_eCommerce[[#This Row],[Brand]],M:M)</f>
        <v>2947594</v>
      </c>
      <c r="T2819" s="13">
        <f>SUMIF(N:N,Online_eCommerce[[#This Row],[Assigned Supervisor]],L:L)</f>
        <v>12220830</v>
      </c>
    </row>
    <row r="2820" spans="1:20" hidden="1" x14ac:dyDescent="0.3">
      <c r="A2820" t="s">
        <v>4174</v>
      </c>
      <c r="B2820" t="s">
        <v>528</v>
      </c>
      <c r="C2820" t="s">
        <v>45</v>
      </c>
      <c r="D2820" t="s">
        <v>4175</v>
      </c>
      <c r="E2820" t="s">
        <v>18</v>
      </c>
      <c r="F2820" t="s">
        <v>174</v>
      </c>
      <c r="G2820" t="s">
        <v>60</v>
      </c>
      <c r="H2820" t="s">
        <v>61</v>
      </c>
      <c r="I2820">
        <v>1150</v>
      </c>
      <c r="J2820">
        <v>1495</v>
      </c>
      <c r="K2820">
        <v>1</v>
      </c>
      <c r="L2820">
        <v>1150</v>
      </c>
      <c r="M2820">
        <v>1495</v>
      </c>
      <c r="N2820" t="s">
        <v>35</v>
      </c>
      <c r="O2820">
        <f t="shared" si="88"/>
        <v>3315</v>
      </c>
      <c r="P2820" s="13">
        <f t="shared" si="89"/>
        <v>2842554</v>
      </c>
      <c r="Q2820" s="13">
        <f>SUMIFS(M:M,E:E,Online_eCommerce[[#This Row],[Status]])</f>
        <v>28340455</v>
      </c>
      <c r="R2820" s="13">
        <f>SUMIFS(L:L,H:H,Online_eCommerce[[#This Row],[Brand]])</f>
        <v>10950150</v>
      </c>
      <c r="S2820" s="13">
        <f>SUMIF(H:H,Online_eCommerce[[#This Row],[Brand]],M:M)</f>
        <v>14235195</v>
      </c>
      <c r="T2820" s="13">
        <f>SUMIF(N:N,Online_eCommerce[[#This Row],[Assigned Supervisor]],L:L)</f>
        <v>14373360</v>
      </c>
    </row>
    <row r="2821" spans="1:20" hidden="1" x14ac:dyDescent="0.3">
      <c r="A2821" t="s">
        <v>4176</v>
      </c>
      <c r="B2821" t="s">
        <v>73</v>
      </c>
      <c r="C2821" t="s">
        <v>52</v>
      </c>
      <c r="D2821" t="s">
        <v>4177</v>
      </c>
      <c r="E2821" t="s">
        <v>161</v>
      </c>
      <c r="F2821" t="s">
        <v>179</v>
      </c>
      <c r="G2821" t="s">
        <v>66</v>
      </c>
      <c r="H2821" t="s">
        <v>21</v>
      </c>
      <c r="I2821">
        <v>350</v>
      </c>
      <c r="J2821">
        <v>455</v>
      </c>
      <c r="K2821">
        <v>3</v>
      </c>
      <c r="L2821">
        <v>1050</v>
      </c>
      <c r="M2821">
        <v>1365</v>
      </c>
      <c r="N2821" t="s">
        <v>42</v>
      </c>
      <c r="O2821">
        <f t="shared" si="88"/>
        <v>1690</v>
      </c>
      <c r="P2821" s="13">
        <f t="shared" si="89"/>
        <v>1955044</v>
      </c>
      <c r="Q2821" s="13">
        <f>SUMIFS(M:M,E:E,Online_eCommerce[[#This Row],[Status]])</f>
        <v>21103186</v>
      </c>
      <c r="R2821" s="13">
        <f>SUMIFS(L:L,H:H,Online_eCommerce[[#This Row],[Brand]])</f>
        <v>12435650</v>
      </c>
      <c r="S2821" s="13">
        <f>SUMIF(H:H,Online_eCommerce[[#This Row],[Brand]],M:M)</f>
        <v>16166345</v>
      </c>
      <c r="T2821" s="13">
        <f>SUMIF(N:N,Online_eCommerce[[#This Row],[Assigned Supervisor]],L:L)</f>
        <v>12261500</v>
      </c>
    </row>
    <row r="2822" spans="1:20" x14ac:dyDescent="0.3">
      <c r="A2822" t="s">
        <v>4178</v>
      </c>
      <c r="B2822" t="s">
        <v>80</v>
      </c>
      <c r="C2822" t="s">
        <v>58</v>
      </c>
      <c r="D2822" t="s">
        <v>4179</v>
      </c>
      <c r="E2822" t="s">
        <v>46</v>
      </c>
      <c r="F2822" t="s">
        <v>183</v>
      </c>
      <c r="G2822" t="s">
        <v>71</v>
      </c>
      <c r="H2822" t="s">
        <v>61</v>
      </c>
      <c r="I2822">
        <v>9500</v>
      </c>
      <c r="J2822">
        <v>12350</v>
      </c>
      <c r="K2822">
        <v>3</v>
      </c>
      <c r="L2822">
        <v>28500</v>
      </c>
      <c r="M2822">
        <v>37050</v>
      </c>
      <c r="N2822" t="s">
        <v>50</v>
      </c>
      <c r="O2822">
        <f t="shared" si="88"/>
        <v>9750</v>
      </c>
      <c r="P2822" s="13">
        <f t="shared" si="89"/>
        <v>2629211</v>
      </c>
      <c r="Q2822" s="13">
        <f>SUMIFS(M:M,E:E,Online_eCommerce[[#This Row],[Status]])</f>
        <v>28620410</v>
      </c>
      <c r="R2822" s="13">
        <f>SUMIFS(L:L,H:H,Online_eCommerce[[#This Row],[Brand]])</f>
        <v>10950150</v>
      </c>
      <c r="S2822" s="13">
        <f>SUMIF(H:H,Online_eCommerce[[#This Row],[Brand]],M:M)</f>
        <v>14235195</v>
      </c>
      <c r="T2822" s="13">
        <f>SUMIF(N:N,Online_eCommerce[[#This Row],[Assigned Supervisor]],L:L)</f>
        <v>12100590</v>
      </c>
    </row>
    <row r="2823" spans="1:20" hidden="1" x14ac:dyDescent="0.3">
      <c r="A2823" t="s">
        <v>4180</v>
      </c>
      <c r="B2823" t="s">
        <v>85</v>
      </c>
      <c r="C2823" t="s">
        <v>63</v>
      </c>
      <c r="D2823" t="s">
        <v>4179</v>
      </c>
      <c r="E2823" t="s">
        <v>96</v>
      </c>
      <c r="F2823" t="s">
        <v>4181</v>
      </c>
      <c r="G2823" t="s">
        <v>77</v>
      </c>
      <c r="H2823" t="s">
        <v>142</v>
      </c>
      <c r="I2823">
        <v>10000</v>
      </c>
      <c r="J2823">
        <v>13000</v>
      </c>
      <c r="K2823">
        <v>2</v>
      </c>
      <c r="L2823">
        <v>20000</v>
      </c>
      <c r="M2823">
        <v>26000</v>
      </c>
      <c r="N2823" t="s">
        <v>56</v>
      </c>
      <c r="O2823">
        <f t="shared" si="88"/>
        <v>39000</v>
      </c>
      <c r="P2823" s="13">
        <f t="shared" si="89"/>
        <v>2016131</v>
      </c>
      <c r="Q2823" s="13">
        <f>SUMIFS(M:M,E:E,Online_eCommerce[[#This Row],[Status]])</f>
        <v>21233992</v>
      </c>
      <c r="R2823" s="13">
        <f>SUMIFS(L:L,H:H,Online_eCommerce[[#This Row],[Brand]])</f>
        <v>6192500</v>
      </c>
      <c r="S2823" s="13">
        <f>SUMIF(H:H,Online_eCommerce[[#This Row],[Brand]],M:M)</f>
        <v>8050250</v>
      </c>
      <c r="T2823" s="13">
        <f>SUMIF(N:N,Online_eCommerce[[#This Row],[Assigned Supervisor]],L:L)</f>
        <v>11733610</v>
      </c>
    </row>
    <row r="2824" spans="1:20" hidden="1" x14ac:dyDescent="0.3">
      <c r="A2824" t="s">
        <v>4182</v>
      </c>
      <c r="B2824" t="s">
        <v>90</v>
      </c>
      <c r="C2824" t="s">
        <v>68</v>
      </c>
      <c r="D2824" t="s">
        <v>4179</v>
      </c>
      <c r="E2824" t="s">
        <v>18</v>
      </c>
      <c r="F2824" t="s">
        <v>4183</v>
      </c>
      <c r="G2824" t="s">
        <v>20</v>
      </c>
      <c r="H2824" t="s">
        <v>21</v>
      </c>
      <c r="I2824">
        <v>6500</v>
      </c>
      <c r="J2824">
        <v>8450</v>
      </c>
      <c r="K2824">
        <v>2</v>
      </c>
      <c r="L2824">
        <v>13000</v>
      </c>
      <c r="M2824">
        <v>16900</v>
      </c>
      <c r="N2824" t="s">
        <v>22</v>
      </c>
      <c r="O2824">
        <f t="shared" si="88"/>
        <v>8450</v>
      </c>
      <c r="P2824" s="13">
        <f t="shared" si="89"/>
        <v>2974621</v>
      </c>
      <c r="Q2824" s="13">
        <f>SUMIFS(M:M,E:E,Online_eCommerce[[#This Row],[Status]])</f>
        <v>28340455</v>
      </c>
      <c r="R2824" s="13">
        <f>SUMIFS(L:L,H:H,Online_eCommerce[[#This Row],[Brand]])</f>
        <v>12435650</v>
      </c>
      <c r="S2824" s="13">
        <f>SUMIF(H:H,Online_eCommerce[[#This Row],[Brand]],M:M)</f>
        <v>16166345</v>
      </c>
      <c r="T2824" s="13">
        <f>SUMIF(N:N,Online_eCommerce[[#This Row],[Assigned Supervisor]],L:L)</f>
        <v>13693220</v>
      </c>
    </row>
    <row r="2825" spans="1:20" hidden="1" x14ac:dyDescent="0.3">
      <c r="A2825" t="s">
        <v>4184</v>
      </c>
      <c r="B2825" t="s">
        <v>232</v>
      </c>
      <c r="C2825" t="s">
        <v>74</v>
      </c>
      <c r="D2825" t="s">
        <v>4179</v>
      </c>
      <c r="E2825" t="s">
        <v>161</v>
      </c>
      <c r="F2825" t="s">
        <v>4185</v>
      </c>
      <c r="G2825" t="s">
        <v>26</v>
      </c>
      <c r="H2825" t="s">
        <v>27</v>
      </c>
      <c r="I2825">
        <v>8500</v>
      </c>
      <c r="J2825">
        <v>11050</v>
      </c>
      <c r="K2825">
        <v>4</v>
      </c>
      <c r="L2825">
        <v>34000</v>
      </c>
      <c r="M2825">
        <v>44200</v>
      </c>
      <c r="N2825" t="s">
        <v>28</v>
      </c>
      <c r="O2825">
        <f t="shared" si="88"/>
        <v>33150</v>
      </c>
      <c r="P2825" s="13">
        <f t="shared" si="89"/>
        <v>2144701</v>
      </c>
      <c r="Q2825" s="13">
        <f>SUMIFS(M:M,E:E,Online_eCommerce[[#This Row],[Status]])</f>
        <v>21103186</v>
      </c>
      <c r="R2825" s="13">
        <f>SUMIFS(L:L,H:H,Online_eCommerce[[#This Row],[Brand]])</f>
        <v>14431000</v>
      </c>
      <c r="S2825" s="13">
        <f>SUMIF(H:H,Online_eCommerce[[#This Row],[Brand]],M:M)</f>
        <v>18760300</v>
      </c>
      <c r="T2825" s="13">
        <f>SUMIF(N:N,Online_eCommerce[[#This Row],[Assigned Supervisor]],L:L)</f>
        <v>12220830</v>
      </c>
    </row>
    <row r="2826" spans="1:20" x14ac:dyDescent="0.3">
      <c r="A2826" t="s">
        <v>4186</v>
      </c>
      <c r="B2826" t="s">
        <v>235</v>
      </c>
      <c r="C2826" t="s">
        <v>81</v>
      </c>
      <c r="D2826" t="s">
        <v>4179</v>
      </c>
      <c r="E2826" t="s">
        <v>46</v>
      </c>
      <c r="F2826" t="s">
        <v>32</v>
      </c>
      <c r="G2826" t="s">
        <v>33</v>
      </c>
      <c r="H2826" t="s">
        <v>34</v>
      </c>
      <c r="I2826">
        <v>7000</v>
      </c>
      <c r="J2826">
        <v>9100</v>
      </c>
      <c r="K2826">
        <v>4</v>
      </c>
      <c r="L2826">
        <v>28000</v>
      </c>
      <c r="M2826">
        <v>36400</v>
      </c>
      <c r="N2826" t="s">
        <v>35</v>
      </c>
      <c r="O2826">
        <f t="shared" si="88"/>
        <v>18200</v>
      </c>
      <c r="P2826" s="13">
        <f t="shared" si="89"/>
        <v>2595632</v>
      </c>
      <c r="Q2826" s="13">
        <f>SUMIFS(M:M,E:E,Online_eCommerce[[#This Row],[Status]])</f>
        <v>28620410</v>
      </c>
      <c r="R2826" s="13">
        <f>SUMIFS(L:L,H:H,Online_eCommerce[[#This Row],[Brand]])</f>
        <v>10087000</v>
      </c>
      <c r="S2826" s="13">
        <f>SUMIF(H:H,Online_eCommerce[[#This Row],[Brand]],M:M)</f>
        <v>13113100</v>
      </c>
      <c r="T2826" s="13">
        <f>SUMIF(N:N,Online_eCommerce[[#This Row],[Assigned Supervisor]],L:L)</f>
        <v>14373360</v>
      </c>
    </row>
    <row r="2827" spans="1:20" hidden="1" x14ac:dyDescent="0.3">
      <c r="A2827" t="s">
        <v>4187</v>
      </c>
      <c r="B2827" t="s">
        <v>104</v>
      </c>
      <c r="C2827" t="s">
        <v>86</v>
      </c>
      <c r="D2827" t="s">
        <v>4179</v>
      </c>
      <c r="E2827" t="s">
        <v>96</v>
      </c>
      <c r="F2827" t="s">
        <v>4188</v>
      </c>
      <c r="G2827" t="s">
        <v>256</v>
      </c>
      <c r="H2827" t="s">
        <v>41</v>
      </c>
      <c r="I2827">
        <v>6550</v>
      </c>
      <c r="J2827">
        <v>8515</v>
      </c>
      <c r="K2827">
        <v>2</v>
      </c>
      <c r="L2827">
        <v>13100</v>
      </c>
      <c r="M2827">
        <v>17030</v>
      </c>
      <c r="N2827" t="s">
        <v>42</v>
      </c>
      <c r="O2827">
        <f t="shared" si="88"/>
        <v>9100</v>
      </c>
      <c r="P2827" s="13">
        <f t="shared" si="89"/>
        <v>1941225</v>
      </c>
      <c r="Q2827" s="13">
        <f>SUMIFS(M:M,E:E,Online_eCommerce[[#This Row],[Status]])</f>
        <v>21233992</v>
      </c>
      <c r="R2827" s="13">
        <f>SUMIFS(L:L,H:H,Online_eCommerce[[#This Row],[Brand]])</f>
        <v>4260400</v>
      </c>
      <c r="S2827" s="13">
        <f>SUMIF(H:H,Online_eCommerce[[#This Row],[Brand]],M:M)</f>
        <v>5538520</v>
      </c>
      <c r="T2827" s="13">
        <f>SUMIF(N:N,Online_eCommerce[[#This Row],[Assigned Supervisor]],L:L)</f>
        <v>12261500</v>
      </c>
    </row>
    <row r="2828" spans="1:20" hidden="1" x14ac:dyDescent="0.3">
      <c r="A2828" t="s">
        <v>4189</v>
      </c>
      <c r="B2828" t="s">
        <v>109</v>
      </c>
      <c r="C2828" t="s">
        <v>91</v>
      </c>
      <c r="D2828" t="s">
        <v>4179</v>
      </c>
      <c r="E2828" t="s">
        <v>18</v>
      </c>
      <c r="F2828" t="s">
        <v>47</v>
      </c>
      <c r="G2828" t="s">
        <v>259</v>
      </c>
      <c r="H2828" t="s">
        <v>49</v>
      </c>
      <c r="I2828">
        <v>7650</v>
      </c>
      <c r="J2828">
        <v>9945</v>
      </c>
      <c r="K2828">
        <v>4</v>
      </c>
      <c r="L2828">
        <v>30600</v>
      </c>
      <c r="M2828">
        <v>39780</v>
      </c>
      <c r="N2828" t="s">
        <v>50</v>
      </c>
      <c r="O2828">
        <f t="shared" si="88"/>
        <v>11700</v>
      </c>
      <c r="P2828" s="13">
        <f t="shared" si="89"/>
        <v>2731963</v>
      </c>
      <c r="Q2828" s="13">
        <f>SUMIFS(M:M,E:E,Online_eCommerce[[#This Row],[Status]])</f>
        <v>28340455</v>
      </c>
      <c r="R2828" s="13">
        <f>SUMIFS(L:L,H:H,Online_eCommerce[[#This Row],[Brand]])</f>
        <v>4528350</v>
      </c>
      <c r="S2828" s="13">
        <f>SUMIF(H:H,Online_eCommerce[[#This Row],[Brand]],M:M)</f>
        <v>5886855</v>
      </c>
      <c r="T2828" s="13">
        <f>SUMIF(N:N,Online_eCommerce[[#This Row],[Assigned Supervisor]],L:L)</f>
        <v>12100590</v>
      </c>
    </row>
    <row r="2829" spans="1:20" hidden="1" x14ac:dyDescent="0.3">
      <c r="A2829" t="s">
        <v>4190</v>
      </c>
      <c r="B2829" t="s">
        <v>114</v>
      </c>
      <c r="C2829" t="s">
        <v>94</v>
      </c>
      <c r="D2829" t="s">
        <v>4191</v>
      </c>
      <c r="E2829" t="s">
        <v>161</v>
      </c>
      <c r="F2829" t="s">
        <v>53</v>
      </c>
      <c r="G2829" t="s">
        <v>54</v>
      </c>
      <c r="H2829" t="s">
        <v>55</v>
      </c>
      <c r="I2829">
        <v>1150</v>
      </c>
      <c r="J2829">
        <v>1495</v>
      </c>
      <c r="K2829">
        <v>3</v>
      </c>
      <c r="L2829">
        <v>3450</v>
      </c>
      <c r="M2829">
        <v>4485</v>
      </c>
      <c r="N2829" t="s">
        <v>56</v>
      </c>
      <c r="O2829">
        <f t="shared" si="88"/>
        <v>2990</v>
      </c>
      <c r="P2829" s="13">
        <f t="shared" si="89"/>
        <v>1868256</v>
      </c>
      <c r="Q2829" s="13">
        <f>SUMIFS(M:M,E:E,Online_eCommerce[[#This Row],[Status]])</f>
        <v>21103186</v>
      </c>
      <c r="R2829" s="13">
        <f>SUMIFS(L:L,H:H,Online_eCommerce[[#This Row],[Brand]])</f>
        <v>2267380</v>
      </c>
      <c r="S2829" s="13">
        <f>SUMIF(H:H,Online_eCommerce[[#This Row],[Brand]],M:M)</f>
        <v>2947594</v>
      </c>
      <c r="T2829" s="13">
        <f>SUMIF(N:N,Online_eCommerce[[#This Row],[Assigned Supervisor]],L:L)</f>
        <v>11733610</v>
      </c>
    </row>
    <row r="2830" spans="1:20" x14ac:dyDescent="0.3">
      <c r="A2830" t="s">
        <v>4192</v>
      </c>
      <c r="B2830" t="s">
        <v>119</v>
      </c>
      <c r="C2830" t="s">
        <v>99</v>
      </c>
      <c r="D2830" t="s">
        <v>4193</v>
      </c>
      <c r="E2830" t="s">
        <v>46</v>
      </c>
      <c r="F2830" t="s">
        <v>59</v>
      </c>
      <c r="G2830" t="s">
        <v>60</v>
      </c>
      <c r="H2830" t="s">
        <v>61</v>
      </c>
      <c r="I2830">
        <v>850</v>
      </c>
      <c r="J2830">
        <v>1105</v>
      </c>
      <c r="K2830">
        <v>4</v>
      </c>
      <c r="L2830">
        <v>3400</v>
      </c>
      <c r="M2830">
        <v>4420</v>
      </c>
      <c r="N2830" t="s">
        <v>22</v>
      </c>
      <c r="O2830">
        <f t="shared" si="88"/>
        <v>3315</v>
      </c>
      <c r="P2830" s="13">
        <f t="shared" si="89"/>
        <v>2651233</v>
      </c>
      <c r="Q2830" s="13">
        <f>SUMIFS(M:M,E:E,Online_eCommerce[[#This Row],[Status]])</f>
        <v>28620410</v>
      </c>
      <c r="R2830" s="13">
        <f>SUMIFS(L:L,H:H,Online_eCommerce[[#This Row],[Brand]])</f>
        <v>10950150</v>
      </c>
      <c r="S2830" s="13">
        <f>SUMIF(H:H,Online_eCommerce[[#This Row],[Brand]],M:M)</f>
        <v>14235195</v>
      </c>
      <c r="T2830" s="13">
        <f>SUMIF(N:N,Online_eCommerce[[#This Row],[Assigned Supervisor]],L:L)</f>
        <v>13693220</v>
      </c>
    </row>
    <row r="2831" spans="1:20" hidden="1" x14ac:dyDescent="0.3">
      <c r="A2831" t="s">
        <v>4194</v>
      </c>
      <c r="B2831" t="s">
        <v>124</v>
      </c>
      <c r="C2831" t="s">
        <v>105</v>
      </c>
      <c r="D2831" t="s">
        <v>4195</v>
      </c>
      <c r="E2831" t="s">
        <v>96</v>
      </c>
      <c r="F2831" t="s">
        <v>65</v>
      </c>
      <c r="G2831" t="s">
        <v>66</v>
      </c>
      <c r="H2831" t="s">
        <v>21</v>
      </c>
      <c r="I2831">
        <v>650</v>
      </c>
      <c r="J2831">
        <v>845</v>
      </c>
      <c r="K2831">
        <v>3</v>
      </c>
      <c r="L2831">
        <v>1950</v>
      </c>
      <c r="M2831">
        <v>2535</v>
      </c>
      <c r="N2831" t="s">
        <v>28</v>
      </c>
      <c r="O2831">
        <f t="shared" si="88"/>
        <v>1690</v>
      </c>
      <c r="P2831" s="13">
        <f t="shared" si="89"/>
        <v>1866852</v>
      </c>
      <c r="Q2831" s="13">
        <f>SUMIFS(M:M,E:E,Online_eCommerce[[#This Row],[Status]])</f>
        <v>21233992</v>
      </c>
      <c r="R2831" s="13">
        <f>SUMIFS(L:L,H:H,Online_eCommerce[[#This Row],[Brand]])</f>
        <v>12435650</v>
      </c>
      <c r="S2831" s="13">
        <f>SUMIF(H:H,Online_eCommerce[[#This Row],[Brand]],M:M)</f>
        <v>16166345</v>
      </c>
      <c r="T2831" s="13">
        <f>SUMIF(N:N,Online_eCommerce[[#This Row],[Assigned Supervisor]],L:L)</f>
        <v>12220830</v>
      </c>
    </row>
    <row r="2832" spans="1:20" hidden="1" x14ac:dyDescent="0.3">
      <c r="A2832" t="s">
        <v>4196</v>
      </c>
      <c r="B2832" t="s">
        <v>128</v>
      </c>
      <c r="C2832" t="s">
        <v>110</v>
      </c>
      <c r="D2832" t="s">
        <v>4197</v>
      </c>
      <c r="E2832" t="s">
        <v>18</v>
      </c>
      <c r="F2832" t="s">
        <v>70</v>
      </c>
      <c r="G2832" t="s">
        <v>71</v>
      </c>
      <c r="H2832" t="s">
        <v>61</v>
      </c>
      <c r="I2832">
        <v>7500</v>
      </c>
      <c r="J2832">
        <v>9750</v>
      </c>
      <c r="K2832">
        <v>1</v>
      </c>
      <c r="L2832">
        <v>7500</v>
      </c>
      <c r="M2832">
        <v>9750</v>
      </c>
      <c r="N2832" t="s">
        <v>35</v>
      </c>
      <c r="O2832">
        <f t="shared" si="88"/>
        <v>9750</v>
      </c>
      <c r="P2832" s="13">
        <f t="shared" si="89"/>
        <v>2598635</v>
      </c>
      <c r="Q2832" s="13">
        <f>SUMIFS(M:M,E:E,Online_eCommerce[[#This Row],[Status]])</f>
        <v>28340455</v>
      </c>
      <c r="R2832" s="13">
        <f>SUMIFS(L:L,H:H,Online_eCommerce[[#This Row],[Brand]])</f>
        <v>10950150</v>
      </c>
      <c r="S2832" s="13">
        <f>SUMIF(H:H,Online_eCommerce[[#This Row],[Brand]],M:M)</f>
        <v>14235195</v>
      </c>
      <c r="T2832" s="13">
        <f>SUMIF(N:N,Online_eCommerce[[#This Row],[Assigned Supervisor]],L:L)</f>
        <v>14373360</v>
      </c>
    </row>
    <row r="2833" spans="1:20" hidden="1" x14ac:dyDescent="0.3">
      <c r="A2833" t="s">
        <v>4198</v>
      </c>
      <c r="B2833" t="s">
        <v>131</v>
      </c>
      <c r="C2833" t="s">
        <v>115</v>
      </c>
      <c r="D2833" t="s">
        <v>4199</v>
      </c>
      <c r="E2833" t="s">
        <v>161</v>
      </c>
      <c r="F2833" t="s">
        <v>4181</v>
      </c>
      <c r="G2833" t="s">
        <v>77</v>
      </c>
      <c r="H2833" t="s">
        <v>78</v>
      </c>
      <c r="I2833">
        <v>10000</v>
      </c>
      <c r="J2833">
        <v>13000</v>
      </c>
      <c r="K2833">
        <v>2</v>
      </c>
      <c r="L2833">
        <v>20000</v>
      </c>
      <c r="M2833">
        <v>26000</v>
      </c>
      <c r="N2833" t="s">
        <v>42</v>
      </c>
      <c r="O2833">
        <f t="shared" si="88"/>
        <v>39000</v>
      </c>
      <c r="P2833" s="13">
        <f t="shared" si="89"/>
        <v>2050178</v>
      </c>
      <c r="Q2833" s="13">
        <f>SUMIFS(M:M,E:E,Online_eCommerce[[#This Row],[Status]])</f>
        <v>21103186</v>
      </c>
      <c r="R2833" s="13">
        <f>SUMIFS(L:L,H:H,Online_eCommerce[[#This Row],[Brand]])</f>
        <v>3720000</v>
      </c>
      <c r="S2833" s="13">
        <f>SUMIF(H:H,Online_eCommerce[[#This Row],[Brand]],M:M)</f>
        <v>4836000</v>
      </c>
      <c r="T2833" s="13">
        <f>SUMIF(N:N,Online_eCommerce[[#This Row],[Assigned Supervisor]],L:L)</f>
        <v>12261500</v>
      </c>
    </row>
    <row r="2834" spans="1:20" x14ac:dyDescent="0.3">
      <c r="A2834" t="s">
        <v>4200</v>
      </c>
      <c r="B2834" t="s">
        <v>135</v>
      </c>
      <c r="C2834" t="s">
        <v>120</v>
      </c>
      <c r="D2834" t="s">
        <v>4201</v>
      </c>
      <c r="E2834" t="s">
        <v>46</v>
      </c>
      <c r="F2834" t="s">
        <v>4202</v>
      </c>
      <c r="G2834" t="s">
        <v>20</v>
      </c>
      <c r="H2834" t="s">
        <v>21</v>
      </c>
      <c r="I2834">
        <v>10500</v>
      </c>
      <c r="J2834">
        <v>13650</v>
      </c>
      <c r="K2834">
        <v>2</v>
      </c>
      <c r="L2834">
        <v>21000</v>
      </c>
      <c r="M2834">
        <v>27300</v>
      </c>
      <c r="N2834" t="s">
        <v>50</v>
      </c>
      <c r="O2834">
        <f t="shared" si="88"/>
        <v>8450</v>
      </c>
      <c r="P2834" s="13">
        <f t="shared" si="89"/>
        <v>2734212</v>
      </c>
      <c r="Q2834" s="13">
        <f>SUMIFS(M:M,E:E,Online_eCommerce[[#This Row],[Status]])</f>
        <v>28620410</v>
      </c>
      <c r="R2834" s="13">
        <f>SUMIFS(L:L,H:H,Online_eCommerce[[#This Row],[Brand]])</f>
        <v>12435650</v>
      </c>
      <c r="S2834" s="13">
        <f>SUMIF(H:H,Online_eCommerce[[#This Row],[Brand]],M:M)</f>
        <v>16166345</v>
      </c>
      <c r="T2834" s="13">
        <f>SUMIF(N:N,Online_eCommerce[[#This Row],[Assigned Supervisor]],L:L)</f>
        <v>12100590</v>
      </c>
    </row>
    <row r="2835" spans="1:20" hidden="1" x14ac:dyDescent="0.3">
      <c r="A2835" t="s">
        <v>4203</v>
      </c>
      <c r="B2835" t="s">
        <v>139</v>
      </c>
      <c r="C2835" t="s">
        <v>125</v>
      </c>
      <c r="D2835" t="s">
        <v>4201</v>
      </c>
      <c r="E2835" t="s">
        <v>96</v>
      </c>
      <c r="F2835" t="s">
        <v>88</v>
      </c>
      <c r="G2835" t="s">
        <v>26</v>
      </c>
      <c r="H2835" t="s">
        <v>27</v>
      </c>
      <c r="I2835">
        <v>8500</v>
      </c>
      <c r="J2835">
        <v>11050</v>
      </c>
      <c r="K2835">
        <v>3</v>
      </c>
      <c r="L2835">
        <v>25500</v>
      </c>
      <c r="M2835">
        <v>33150</v>
      </c>
      <c r="N2835" t="s">
        <v>56</v>
      </c>
      <c r="O2835">
        <f t="shared" si="88"/>
        <v>33150</v>
      </c>
      <c r="P2835" s="13">
        <f t="shared" si="89"/>
        <v>2091154</v>
      </c>
      <c r="Q2835" s="13">
        <f>SUMIFS(M:M,E:E,Online_eCommerce[[#This Row],[Status]])</f>
        <v>21233992</v>
      </c>
      <c r="R2835" s="13">
        <f>SUMIFS(L:L,H:H,Online_eCommerce[[#This Row],[Brand]])</f>
        <v>14431000</v>
      </c>
      <c r="S2835" s="13">
        <f>SUMIF(H:H,Online_eCommerce[[#This Row],[Brand]],M:M)</f>
        <v>18760300</v>
      </c>
      <c r="T2835" s="13">
        <f>SUMIF(N:N,Online_eCommerce[[#This Row],[Assigned Supervisor]],L:L)</f>
        <v>11733610</v>
      </c>
    </row>
    <row r="2836" spans="1:20" hidden="1" x14ac:dyDescent="0.3">
      <c r="A2836" t="s">
        <v>4204</v>
      </c>
      <c r="B2836" t="s">
        <v>144</v>
      </c>
      <c r="C2836" t="s">
        <v>22</v>
      </c>
      <c r="D2836" t="s">
        <v>4201</v>
      </c>
      <c r="E2836" t="s">
        <v>18</v>
      </c>
      <c r="F2836" t="s">
        <v>32</v>
      </c>
      <c r="G2836" t="s">
        <v>33</v>
      </c>
      <c r="H2836" t="s">
        <v>34</v>
      </c>
      <c r="I2836">
        <v>7000</v>
      </c>
      <c r="J2836">
        <v>9100</v>
      </c>
      <c r="K2836">
        <v>2</v>
      </c>
      <c r="L2836">
        <v>14000</v>
      </c>
      <c r="M2836">
        <v>18200</v>
      </c>
      <c r="N2836" t="s">
        <v>22</v>
      </c>
      <c r="O2836">
        <f t="shared" si="88"/>
        <v>18200</v>
      </c>
      <c r="P2836" s="13">
        <f t="shared" si="89"/>
        <v>2551588</v>
      </c>
      <c r="Q2836" s="13">
        <f>SUMIFS(M:M,E:E,Online_eCommerce[[#This Row],[Status]])</f>
        <v>28340455</v>
      </c>
      <c r="R2836" s="13">
        <f>SUMIFS(L:L,H:H,Online_eCommerce[[#This Row],[Brand]])</f>
        <v>10087000</v>
      </c>
      <c r="S2836" s="13">
        <f>SUMIF(H:H,Online_eCommerce[[#This Row],[Brand]],M:M)</f>
        <v>13113100</v>
      </c>
      <c r="T2836" s="13">
        <f>SUMIF(N:N,Online_eCommerce[[#This Row],[Assigned Supervisor]],L:L)</f>
        <v>13693220</v>
      </c>
    </row>
    <row r="2837" spans="1:20" hidden="1" x14ac:dyDescent="0.3">
      <c r="A2837" t="s">
        <v>4205</v>
      </c>
      <c r="B2837" t="s">
        <v>149</v>
      </c>
      <c r="C2837" t="s">
        <v>132</v>
      </c>
      <c r="D2837" t="s">
        <v>4201</v>
      </c>
      <c r="E2837" t="s">
        <v>161</v>
      </c>
      <c r="F2837" t="s">
        <v>4206</v>
      </c>
      <c r="G2837" t="s">
        <v>256</v>
      </c>
      <c r="H2837" t="s">
        <v>41</v>
      </c>
      <c r="I2837">
        <v>1680</v>
      </c>
      <c r="J2837">
        <v>2184</v>
      </c>
      <c r="K2837">
        <v>2</v>
      </c>
      <c r="L2837">
        <v>3360</v>
      </c>
      <c r="M2837">
        <v>4368</v>
      </c>
      <c r="N2837" t="s">
        <v>28</v>
      </c>
      <c r="O2837">
        <f t="shared" si="88"/>
        <v>9100</v>
      </c>
      <c r="P2837" s="13">
        <f t="shared" si="89"/>
        <v>1989065</v>
      </c>
      <c r="Q2837" s="13">
        <f>SUMIFS(M:M,E:E,Online_eCommerce[[#This Row],[Status]])</f>
        <v>21103186</v>
      </c>
      <c r="R2837" s="13">
        <f>SUMIFS(L:L,H:H,Online_eCommerce[[#This Row],[Brand]])</f>
        <v>4260400</v>
      </c>
      <c r="S2837" s="13">
        <f>SUMIF(H:H,Online_eCommerce[[#This Row],[Brand]],M:M)</f>
        <v>5538520</v>
      </c>
      <c r="T2837" s="13">
        <f>SUMIF(N:N,Online_eCommerce[[#This Row],[Assigned Supervisor]],L:L)</f>
        <v>12220830</v>
      </c>
    </row>
    <row r="2838" spans="1:20" x14ac:dyDescent="0.3">
      <c r="A2838" t="s">
        <v>4207</v>
      </c>
      <c r="B2838" t="s">
        <v>154</v>
      </c>
      <c r="C2838" t="s">
        <v>136</v>
      </c>
      <c r="D2838" t="s">
        <v>4201</v>
      </c>
      <c r="E2838" t="s">
        <v>46</v>
      </c>
      <c r="F2838" t="s">
        <v>101</v>
      </c>
      <c r="G2838" t="s">
        <v>259</v>
      </c>
      <c r="H2838" t="s">
        <v>102</v>
      </c>
      <c r="I2838">
        <v>6540</v>
      </c>
      <c r="J2838">
        <v>8502</v>
      </c>
      <c r="K2838">
        <v>3</v>
      </c>
      <c r="L2838">
        <v>19620</v>
      </c>
      <c r="M2838">
        <v>25506</v>
      </c>
      <c r="N2838" t="s">
        <v>35</v>
      </c>
      <c r="O2838">
        <f t="shared" si="88"/>
        <v>11700</v>
      </c>
      <c r="P2838" s="13">
        <f t="shared" si="89"/>
        <v>2775162</v>
      </c>
      <c r="Q2838" s="13">
        <f>SUMIFS(M:M,E:E,Online_eCommerce[[#This Row],[Status]])</f>
        <v>28620410</v>
      </c>
      <c r="R2838" s="13">
        <f>SUMIFS(L:L,H:H,Online_eCommerce[[#This Row],[Brand]])</f>
        <v>2465580</v>
      </c>
      <c r="S2838" s="13">
        <f>SUMIF(H:H,Online_eCommerce[[#This Row],[Brand]],M:M)</f>
        <v>3205254</v>
      </c>
      <c r="T2838" s="13">
        <f>SUMIF(N:N,Online_eCommerce[[#This Row],[Assigned Supervisor]],L:L)</f>
        <v>14373360</v>
      </c>
    </row>
    <row r="2839" spans="1:20" hidden="1" x14ac:dyDescent="0.3">
      <c r="A2839" t="s">
        <v>4208</v>
      </c>
      <c r="B2839" t="s">
        <v>159</v>
      </c>
      <c r="C2839" t="s">
        <v>140</v>
      </c>
      <c r="D2839" t="s">
        <v>4201</v>
      </c>
      <c r="E2839" t="s">
        <v>96</v>
      </c>
      <c r="F2839" t="s">
        <v>107</v>
      </c>
      <c r="G2839" t="s">
        <v>54</v>
      </c>
      <c r="H2839" t="s">
        <v>55</v>
      </c>
      <c r="I2839">
        <v>2680</v>
      </c>
      <c r="J2839">
        <v>3484</v>
      </c>
      <c r="K2839">
        <v>2</v>
      </c>
      <c r="L2839">
        <v>5360</v>
      </c>
      <c r="M2839">
        <v>6968</v>
      </c>
      <c r="N2839" t="s">
        <v>42</v>
      </c>
      <c r="O2839">
        <f t="shared" si="88"/>
        <v>2990</v>
      </c>
      <c r="P2839" s="13">
        <f t="shared" si="89"/>
        <v>2058264</v>
      </c>
      <c r="Q2839" s="13">
        <f>SUMIFS(M:M,E:E,Online_eCommerce[[#This Row],[Status]])</f>
        <v>21233992</v>
      </c>
      <c r="R2839" s="13">
        <f>SUMIFS(L:L,H:H,Online_eCommerce[[#This Row],[Brand]])</f>
        <v>2267380</v>
      </c>
      <c r="S2839" s="13">
        <f>SUMIF(H:H,Online_eCommerce[[#This Row],[Brand]],M:M)</f>
        <v>2947594</v>
      </c>
      <c r="T2839" s="13">
        <f>SUMIF(N:N,Online_eCommerce[[#This Row],[Assigned Supervisor]],L:L)</f>
        <v>12261500</v>
      </c>
    </row>
    <row r="2840" spans="1:20" hidden="1" x14ac:dyDescent="0.3">
      <c r="A2840" t="s">
        <v>4209</v>
      </c>
      <c r="B2840" t="s">
        <v>139</v>
      </c>
      <c r="C2840" t="s">
        <v>145</v>
      </c>
      <c r="D2840" t="s">
        <v>4201</v>
      </c>
      <c r="E2840" t="s">
        <v>18</v>
      </c>
      <c r="F2840" t="s">
        <v>112</v>
      </c>
      <c r="G2840" t="s">
        <v>71</v>
      </c>
      <c r="H2840" t="s">
        <v>21</v>
      </c>
      <c r="I2840">
        <v>8250</v>
      </c>
      <c r="J2840">
        <v>10725</v>
      </c>
      <c r="K2840">
        <v>3</v>
      </c>
      <c r="L2840">
        <v>24750</v>
      </c>
      <c r="M2840">
        <v>32175</v>
      </c>
      <c r="N2840" t="s">
        <v>50</v>
      </c>
      <c r="O2840">
        <f t="shared" si="88"/>
        <v>9750</v>
      </c>
      <c r="P2840" s="13">
        <f t="shared" si="89"/>
        <v>2757859</v>
      </c>
      <c r="Q2840" s="13">
        <f>SUMIFS(M:M,E:E,Online_eCommerce[[#This Row],[Status]])</f>
        <v>28340455</v>
      </c>
      <c r="R2840" s="13">
        <f>SUMIFS(L:L,H:H,Online_eCommerce[[#This Row],[Brand]])</f>
        <v>12435650</v>
      </c>
      <c r="S2840" s="13">
        <f>SUMIF(H:H,Online_eCommerce[[#This Row],[Brand]],M:M)</f>
        <v>16166345</v>
      </c>
      <c r="T2840" s="13">
        <f>SUMIF(N:N,Online_eCommerce[[#This Row],[Assigned Supervisor]],L:L)</f>
        <v>12100590</v>
      </c>
    </row>
    <row r="2841" spans="1:20" hidden="1" x14ac:dyDescent="0.3">
      <c r="A2841" t="s">
        <v>4210</v>
      </c>
      <c r="B2841" t="s">
        <v>144</v>
      </c>
      <c r="C2841" t="s">
        <v>150</v>
      </c>
      <c r="D2841" t="s">
        <v>4201</v>
      </c>
      <c r="E2841" t="s">
        <v>161</v>
      </c>
      <c r="F2841" t="s">
        <v>3801</v>
      </c>
      <c r="G2841" t="s">
        <v>40</v>
      </c>
      <c r="H2841" t="s">
        <v>21</v>
      </c>
      <c r="I2841">
        <v>2650</v>
      </c>
      <c r="J2841">
        <v>3445</v>
      </c>
      <c r="K2841">
        <v>3</v>
      </c>
      <c r="L2841">
        <v>7950</v>
      </c>
      <c r="M2841">
        <v>10335</v>
      </c>
      <c r="N2841" t="s">
        <v>56</v>
      </c>
      <c r="O2841">
        <f t="shared" si="88"/>
        <v>25545</v>
      </c>
      <c r="P2841" s="13">
        <f t="shared" si="89"/>
        <v>2154984</v>
      </c>
      <c r="Q2841" s="13">
        <f>SUMIFS(M:M,E:E,Online_eCommerce[[#This Row],[Status]])</f>
        <v>21103186</v>
      </c>
      <c r="R2841" s="13">
        <f>SUMIFS(L:L,H:H,Online_eCommerce[[#This Row],[Brand]])</f>
        <v>12435650</v>
      </c>
      <c r="S2841" s="13">
        <f>SUMIF(H:H,Online_eCommerce[[#This Row],[Brand]],M:M)</f>
        <v>16166345</v>
      </c>
      <c r="T2841" s="13">
        <f>SUMIF(N:N,Online_eCommerce[[#This Row],[Assigned Supervisor]],L:L)</f>
        <v>11733610</v>
      </c>
    </row>
    <row r="2842" spans="1:20" x14ac:dyDescent="0.3">
      <c r="A2842" t="s">
        <v>4211</v>
      </c>
      <c r="B2842" t="s">
        <v>235</v>
      </c>
      <c r="C2842" t="s">
        <v>155</v>
      </c>
      <c r="D2842" t="s">
        <v>4201</v>
      </c>
      <c r="E2842" t="s">
        <v>46</v>
      </c>
      <c r="F2842" t="s">
        <v>121</v>
      </c>
      <c r="G2842" t="s">
        <v>71</v>
      </c>
      <c r="H2842" t="s">
        <v>122</v>
      </c>
      <c r="I2842">
        <v>12550</v>
      </c>
      <c r="J2842">
        <v>16315</v>
      </c>
      <c r="K2842">
        <v>2</v>
      </c>
      <c r="L2842">
        <v>25100</v>
      </c>
      <c r="M2842">
        <v>32630</v>
      </c>
      <c r="N2842" t="s">
        <v>22</v>
      </c>
      <c r="O2842">
        <f t="shared" si="88"/>
        <v>9750</v>
      </c>
      <c r="P2842" s="13">
        <f t="shared" si="89"/>
        <v>2753348</v>
      </c>
      <c r="Q2842" s="13">
        <f>SUMIFS(M:M,E:E,Online_eCommerce[[#This Row],[Status]])</f>
        <v>28620410</v>
      </c>
      <c r="R2842" s="13">
        <f>SUMIFS(L:L,H:H,Online_eCommerce[[#This Row],[Brand]])</f>
        <v>5045100</v>
      </c>
      <c r="S2842" s="13">
        <f>SUMIF(H:H,Online_eCommerce[[#This Row],[Brand]],M:M)</f>
        <v>6558630</v>
      </c>
      <c r="T2842" s="13">
        <f>SUMIF(N:N,Online_eCommerce[[#This Row],[Assigned Supervisor]],L:L)</f>
        <v>13693220</v>
      </c>
    </row>
    <row r="2843" spans="1:20" hidden="1" x14ac:dyDescent="0.3">
      <c r="A2843" t="s">
        <v>4212</v>
      </c>
      <c r="B2843" t="s">
        <v>176</v>
      </c>
      <c r="C2843" t="s">
        <v>160</v>
      </c>
      <c r="D2843" t="s">
        <v>4201</v>
      </c>
      <c r="E2843" t="s">
        <v>96</v>
      </c>
      <c r="F2843" t="s">
        <v>126</v>
      </c>
      <c r="G2843" t="s">
        <v>26</v>
      </c>
      <c r="H2843" t="s">
        <v>27</v>
      </c>
      <c r="I2843">
        <v>14500</v>
      </c>
      <c r="J2843">
        <v>18850</v>
      </c>
      <c r="K2843">
        <v>4</v>
      </c>
      <c r="L2843">
        <v>58000</v>
      </c>
      <c r="M2843">
        <v>75400</v>
      </c>
      <c r="N2843" t="s">
        <v>28</v>
      </c>
      <c r="O2843">
        <f t="shared" si="88"/>
        <v>33150</v>
      </c>
      <c r="P2843" s="13">
        <f t="shared" si="89"/>
        <v>2303483</v>
      </c>
      <c r="Q2843" s="13">
        <f>SUMIFS(M:M,E:E,Online_eCommerce[[#This Row],[Status]])</f>
        <v>21233992</v>
      </c>
      <c r="R2843" s="13">
        <f>SUMIFS(L:L,H:H,Online_eCommerce[[#This Row],[Brand]])</f>
        <v>14431000</v>
      </c>
      <c r="S2843" s="13">
        <f>SUMIF(H:H,Online_eCommerce[[#This Row],[Brand]],M:M)</f>
        <v>18760300</v>
      </c>
      <c r="T2843" s="13">
        <f>SUMIF(N:N,Online_eCommerce[[#This Row],[Assigned Supervisor]],L:L)</f>
        <v>12220830</v>
      </c>
    </row>
    <row r="2844" spans="1:20" hidden="1" x14ac:dyDescent="0.3">
      <c r="A2844" t="s">
        <v>4213</v>
      </c>
      <c r="B2844" t="s">
        <v>276</v>
      </c>
      <c r="C2844" t="s">
        <v>165</v>
      </c>
      <c r="D2844" t="s">
        <v>4201</v>
      </c>
      <c r="E2844" t="s">
        <v>18</v>
      </c>
      <c r="F2844" t="s">
        <v>129</v>
      </c>
      <c r="G2844" t="s">
        <v>60</v>
      </c>
      <c r="H2844" t="s">
        <v>61</v>
      </c>
      <c r="I2844">
        <v>800</v>
      </c>
      <c r="J2844">
        <v>1040</v>
      </c>
      <c r="K2844">
        <v>3</v>
      </c>
      <c r="L2844">
        <v>2400</v>
      </c>
      <c r="M2844">
        <v>3120</v>
      </c>
      <c r="N2844" t="s">
        <v>35</v>
      </c>
      <c r="O2844">
        <f t="shared" si="88"/>
        <v>3315</v>
      </c>
      <c r="P2844" s="13">
        <f t="shared" si="89"/>
        <v>2674087</v>
      </c>
      <c r="Q2844" s="13">
        <f>SUMIFS(M:M,E:E,Online_eCommerce[[#This Row],[Status]])</f>
        <v>28340455</v>
      </c>
      <c r="R2844" s="13">
        <f>SUMIFS(L:L,H:H,Online_eCommerce[[#This Row],[Brand]])</f>
        <v>10950150</v>
      </c>
      <c r="S2844" s="13">
        <f>SUMIF(H:H,Online_eCommerce[[#This Row],[Brand]],M:M)</f>
        <v>14235195</v>
      </c>
      <c r="T2844" s="13">
        <f>SUMIF(N:N,Online_eCommerce[[#This Row],[Assigned Supervisor]],L:L)</f>
        <v>14373360</v>
      </c>
    </row>
    <row r="2845" spans="1:20" hidden="1" x14ac:dyDescent="0.3">
      <c r="A2845" t="s">
        <v>4214</v>
      </c>
      <c r="B2845" t="s">
        <v>280</v>
      </c>
      <c r="C2845" t="s">
        <v>168</v>
      </c>
      <c r="D2845" t="s">
        <v>4201</v>
      </c>
      <c r="E2845" t="s">
        <v>161</v>
      </c>
      <c r="F2845" t="s">
        <v>133</v>
      </c>
      <c r="G2845" t="s">
        <v>66</v>
      </c>
      <c r="H2845" t="s">
        <v>21</v>
      </c>
      <c r="I2845">
        <v>600</v>
      </c>
      <c r="J2845">
        <v>780</v>
      </c>
      <c r="K2845">
        <v>4</v>
      </c>
      <c r="L2845">
        <v>2400</v>
      </c>
      <c r="M2845">
        <v>3120</v>
      </c>
      <c r="N2845" t="s">
        <v>42</v>
      </c>
      <c r="O2845">
        <f t="shared" si="88"/>
        <v>1690</v>
      </c>
      <c r="P2845" s="13">
        <f t="shared" si="89"/>
        <v>1937780</v>
      </c>
      <c r="Q2845" s="13">
        <f>SUMIFS(M:M,E:E,Online_eCommerce[[#This Row],[Status]])</f>
        <v>21103186</v>
      </c>
      <c r="R2845" s="13">
        <f>SUMIFS(L:L,H:H,Online_eCommerce[[#This Row],[Brand]])</f>
        <v>12435650</v>
      </c>
      <c r="S2845" s="13">
        <f>SUMIF(H:H,Online_eCommerce[[#This Row],[Brand]],M:M)</f>
        <v>16166345</v>
      </c>
      <c r="T2845" s="13">
        <f>SUMIF(N:N,Online_eCommerce[[#This Row],[Assigned Supervisor]],L:L)</f>
        <v>12261500</v>
      </c>
    </row>
    <row r="2846" spans="1:20" x14ac:dyDescent="0.3">
      <c r="A2846" t="s">
        <v>4215</v>
      </c>
      <c r="B2846" t="s">
        <v>283</v>
      </c>
      <c r="C2846" t="s">
        <v>172</v>
      </c>
      <c r="D2846" t="s">
        <v>4201</v>
      </c>
      <c r="E2846" t="s">
        <v>46</v>
      </c>
      <c r="F2846" t="s">
        <v>137</v>
      </c>
      <c r="G2846" t="s">
        <v>71</v>
      </c>
      <c r="H2846" t="s">
        <v>61</v>
      </c>
      <c r="I2846">
        <v>10500</v>
      </c>
      <c r="J2846">
        <v>13650</v>
      </c>
      <c r="K2846">
        <v>4</v>
      </c>
      <c r="L2846">
        <v>42000</v>
      </c>
      <c r="M2846">
        <v>54600</v>
      </c>
      <c r="N2846" t="s">
        <v>50</v>
      </c>
      <c r="O2846">
        <f t="shared" si="88"/>
        <v>9750</v>
      </c>
      <c r="P2846" s="13">
        <f t="shared" si="89"/>
        <v>2640274</v>
      </c>
      <c r="Q2846" s="13">
        <f>SUMIFS(M:M,E:E,Online_eCommerce[[#This Row],[Status]])</f>
        <v>28620410</v>
      </c>
      <c r="R2846" s="13">
        <f>SUMIFS(L:L,H:H,Online_eCommerce[[#This Row],[Brand]])</f>
        <v>10950150</v>
      </c>
      <c r="S2846" s="13">
        <f>SUMIF(H:H,Online_eCommerce[[#This Row],[Brand]],M:M)</f>
        <v>14235195</v>
      </c>
      <c r="T2846" s="13">
        <f>SUMIF(N:N,Online_eCommerce[[#This Row],[Assigned Supervisor]],L:L)</f>
        <v>12100590</v>
      </c>
    </row>
    <row r="2847" spans="1:20" hidden="1" x14ac:dyDescent="0.3">
      <c r="A2847" t="s">
        <v>4216</v>
      </c>
      <c r="B2847" t="s">
        <v>287</v>
      </c>
      <c r="C2847" t="s">
        <v>177</v>
      </c>
      <c r="D2847" t="s">
        <v>4201</v>
      </c>
      <c r="E2847" t="s">
        <v>96</v>
      </c>
      <c r="F2847" t="s">
        <v>4181</v>
      </c>
      <c r="G2847" t="s">
        <v>77</v>
      </c>
      <c r="H2847" t="s">
        <v>142</v>
      </c>
      <c r="I2847">
        <v>6500</v>
      </c>
      <c r="J2847">
        <v>8450</v>
      </c>
      <c r="K2847">
        <v>4</v>
      </c>
      <c r="L2847">
        <v>26000</v>
      </c>
      <c r="M2847">
        <v>33800</v>
      </c>
      <c r="N2847" t="s">
        <v>56</v>
      </c>
      <c r="O2847">
        <f t="shared" si="88"/>
        <v>39000</v>
      </c>
      <c r="P2847" s="13">
        <f t="shared" si="89"/>
        <v>1863810</v>
      </c>
      <c r="Q2847" s="13">
        <f>SUMIFS(M:M,E:E,Online_eCommerce[[#This Row],[Status]])</f>
        <v>21233992</v>
      </c>
      <c r="R2847" s="13">
        <f>SUMIFS(L:L,H:H,Online_eCommerce[[#This Row],[Brand]])</f>
        <v>6192500</v>
      </c>
      <c r="S2847" s="13">
        <f>SUMIF(H:H,Online_eCommerce[[#This Row],[Brand]],M:M)</f>
        <v>8050250</v>
      </c>
      <c r="T2847" s="13">
        <f>SUMIF(N:N,Online_eCommerce[[#This Row],[Assigned Supervisor]],L:L)</f>
        <v>11733610</v>
      </c>
    </row>
    <row r="2848" spans="1:20" hidden="1" x14ac:dyDescent="0.3">
      <c r="A2848" t="s">
        <v>4217</v>
      </c>
      <c r="B2848" t="s">
        <v>290</v>
      </c>
      <c r="C2848" t="s">
        <v>181</v>
      </c>
      <c r="D2848" t="s">
        <v>4201</v>
      </c>
      <c r="E2848" t="s">
        <v>18</v>
      </c>
      <c r="F2848" t="s">
        <v>4218</v>
      </c>
      <c r="G2848" t="s">
        <v>20</v>
      </c>
      <c r="H2848" t="s">
        <v>21</v>
      </c>
      <c r="I2848">
        <v>4500</v>
      </c>
      <c r="J2848">
        <v>5850</v>
      </c>
      <c r="K2848">
        <v>1</v>
      </c>
      <c r="L2848">
        <v>4500</v>
      </c>
      <c r="M2848">
        <v>5850</v>
      </c>
      <c r="N2848" t="s">
        <v>22</v>
      </c>
      <c r="O2848">
        <f t="shared" si="88"/>
        <v>8450</v>
      </c>
      <c r="P2848" s="13">
        <f t="shared" si="89"/>
        <v>2577458</v>
      </c>
      <c r="Q2848" s="13">
        <f>SUMIFS(M:M,E:E,Online_eCommerce[[#This Row],[Status]])</f>
        <v>28340455</v>
      </c>
      <c r="R2848" s="13">
        <f>SUMIFS(L:L,H:H,Online_eCommerce[[#This Row],[Brand]])</f>
        <v>12435650</v>
      </c>
      <c r="S2848" s="13">
        <f>SUMIF(H:H,Online_eCommerce[[#This Row],[Brand]],M:M)</f>
        <v>16166345</v>
      </c>
      <c r="T2848" s="13">
        <f>SUMIF(N:N,Online_eCommerce[[#This Row],[Assigned Supervisor]],L:L)</f>
        <v>13693220</v>
      </c>
    </row>
    <row r="2849" spans="1:20" hidden="1" x14ac:dyDescent="0.3">
      <c r="A2849" t="s">
        <v>4219</v>
      </c>
      <c r="B2849" t="s">
        <v>15</v>
      </c>
      <c r="C2849" t="s">
        <v>185</v>
      </c>
      <c r="D2849" t="s">
        <v>4220</v>
      </c>
      <c r="E2849" t="s">
        <v>161</v>
      </c>
      <c r="F2849" t="s">
        <v>152</v>
      </c>
      <c r="G2849" t="s">
        <v>26</v>
      </c>
      <c r="H2849" t="s">
        <v>27</v>
      </c>
      <c r="I2849">
        <v>8500</v>
      </c>
      <c r="J2849">
        <v>11050</v>
      </c>
      <c r="K2849">
        <v>3</v>
      </c>
      <c r="L2849">
        <v>25500</v>
      </c>
      <c r="M2849">
        <v>33150</v>
      </c>
      <c r="N2849" t="s">
        <v>28</v>
      </c>
      <c r="O2849">
        <f t="shared" si="88"/>
        <v>33150</v>
      </c>
      <c r="P2849" s="13">
        <f t="shared" si="89"/>
        <v>2091596</v>
      </c>
      <c r="Q2849" s="13">
        <f>SUMIFS(M:M,E:E,Online_eCommerce[[#This Row],[Status]])</f>
        <v>21103186</v>
      </c>
      <c r="R2849" s="13">
        <f>SUMIFS(L:L,H:H,Online_eCommerce[[#This Row],[Brand]])</f>
        <v>14431000</v>
      </c>
      <c r="S2849" s="13">
        <f>SUMIF(H:H,Online_eCommerce[[#This Row],[Brand]],M:M)</f>
        <v>18760300</v>
      </c>
      <c r="T2849" s="13">
        <f>SUMIF(N:N,Online_eCommerce[[#This Row],[Assigned Supervisor]],L:L)</f>
        <v>12220830</v>
      </c>
    </row>
    <row r="2850" spans="1:20" x14ac:dyDescent="0.3">
      <c r="A2850" t="s">
        <v>4221</v>
      </c>
      <c r="B2850" t="s">
        <v>202</v>
      </c>
      <c r="C2850" t="s">
        <v>189</v>
      </c>
      <c r="D2850" t="s">
        <v>4220</v>
      </c>
      <c r="E2850" t="s">
        <v>46</v>
      </c>
      <c r="F2850" t="s">
        <v>157</v>
      </c>
      <c r="G2850" t="s">
        <v>33</v>
      </c>
      <c r="H2850" t="s">
        <v>34</v>
      </c>
      <c r="I2850">
        <v>12500</v>
      </c>
      <c r="J2850">
        <v>16250</v>
      </c>
      <c r="K2850">
        <v>1</v>
      </c>
      <c r="L2850">
        <v>12500</v>
      </c>
      <c r="M2850">
        <v>16250</v>
      </c>
      <c r="N2850" t="s">
        <v>35</v>
      </c>
      <c r="O2850">
        <f t="shared" si="88"/>
        <v>18200</v>
      </c>
      <c r="P2850" s="13">
        <f t="shared" si="89"/>
        <v>2740777</v>
      </c>
      <c r="Q2850" s="13">
        <f>SUMIFS(M:M,E:E,Online_eCommerce[[#This Row],[Status]])</f>
        <v>28620410</v>
      </c>
      <c r="R2850" s="13">
        <f>SUMIFS(L:L,H:H,Online_eCommerce[[#This Row],[Brand]])</f>
        <v>10087000</v>
      </c>
      <c r="S2850" s="13">
        <f>SUMIF(H:H,Online_eCommerce[[#This Row],[Brand]],M:M)</f>
        <v>13113100</v>
      </c>
      <c r="T2850" s="13">
        <f>SUMIF(N:N,Online_eCommerce[[#This Row],[Assigned Supervisor]],L:L)</f>
        <v>14373360</v>
      </c>
    </row>
    <row r="2851" spans="1:20" hidden="1" x14ac:dyDescent="0.3">
      <c r="A2851" t="s">
        <v>4222</v>
      </c>
      <c r="B2851" t="s">
        <v>30</v>
      </c>
      <c r="C2851" t="s">
        <v>193</v>
      </c>
      <c r="D2851" t="s">
        <v>4220</v>
      </c>
      <c r="E2851" t="s">
        <v>96</v>
      </c>
      <c r="F2851" t="s">
        <v>3843</v>
      </c>
      <c r="G2851" t="s">
        <v>40</v>
      </c>
      <c r="H2851" t="s">
        <v>41</v>
      </c>
      <c r="I2851">
        <v>3500</v>
      </c>
      <c r="J2851">
        <v>4550</v>
      </c>
      <c r="K2851">
        <v>1</v>
      </c>
      <c r="L2851">
        <v>3500</v>
      </c>
      <c r="M2851">
        <v>4550</v>
      </c>
      <c r="N2851" t="s">
        <v>42</v>
      </c>
      <c r="O2851">
        <f t="shared" si="88"/>
        <v>25545</v>
      </c>
      <c r="P2851" s="13">
        <f t="shared" si="89"/>
        <v>2074774</v>
      </c>
      <c r="Q2851" s="13">
        <f>SUMIFS(M:M,E:E,Online_eCommerce[[#This Row],[Status]])</f>
        <v>21233992</v>
      </c>
      <c r="R2851" s="13">
        <f>SUMIFS(L:L,H:H,Online_eCommerce[[#This Row],[Brand]])</f>
        <v>4260400</v>
      </c>
      <c r="S2851" s="13">
        <f>SUMIF(H:H,Online_eCommerce[[#This Row],[Brand]],M:M)</f>
        <v>5538520</v>
      </c>
      <c r="T2851" s="13">
        <f>SUMIF(N:N,Online_eCommerce[[#This Row],[Assigned Supervisor]],L:L)</f>
        <v>12261500</v>
      </c>
    </row>
    <row r="2852" spans="1:20" hidden="1" x14ac:dyDescent="0.3">
      <c r="A2852" t="s">
        <v>4223</v>
      </c>
      <c r="B2852" t="s">
        <v>37</v>
      </c>
      <c r="C2852" t="s">
        <v>197</v>
      </c>
      <c r="D2852" t="s">
        <v>4220</v>
      </c>
      <c r="E2852" t="s">
        <v>18</v>
      </c>
      <c r="F2852" t="s">
        <v>166</v>
      </c>
      <c r="G2852" t="s">
        <v>334</v>
      </c>
      <c r="H2852" t="s">
        <v>49</v>
      </c>
      <c r="I2852">
        <v>4500</v>
      </c>
      <c r="J2852">
        <v>5850</v>
      </c>
      <c r="K2852">
        <v>2</v>
      </c>
      <c r="L2852">
        <v>9000</v>
      </c>
      <c r="M2852">
        <v>11700</v>
      </c>
      <c r="N2852" t="s">
        <v>50</v>
      </c>
      <c r="O2852">
        <f t="shared" si="88"/>
        <v>39780</v>
      </c>
      <c r="P2852" s="13">
        <f t="shared" si="89"/>
        <v>2829840</v>
      </c>
      <c r="Q2852" s="13">
        <f>SUMIFS(M:M,E:E,Online_eCommerce[[#This Row],[Status]])</f>
        <v>28340455</v>
      </c>
      <c r="R2852" s="13">
        <f>SUMIFS(L:L,H:H,Online_eCommerce[[#This Row],[Brand]])</f>
        <v>4528350</v>
      </c>
      <c r="S2852" s="13">
        <f>SUMIF(H:H,Online_eCommerce[[#This Row],[Brand]],M:M)</f>
        <v>5886855</v>
      </c>
      <c r="T2852" s="13">
        <f>SUMIF(N:N,Online_eCommerce[[#This Row],[Assigned Supervisor]],L:L)</f>
        <v>12100590</v>
      </c>
    </row>
    <row r="2853" spans="1:20" hidden="1" x14ac:dyDescent="0.3">
      <c r="A2853" t="s">
        <v>4224</v>
      </c>
      <c r="B2853" t="s">
        <v>44</v>
      </c>
      <c r="C2853" t="s">
        <v>199</v>
      </c>
      <c r="D2853" t="s">
        <v>4220</v>
      </c>
      <c r="E2853" t="s">
        <v>161</v>
      </c>
      <c r="F2853" t="s">
        <v>4225</v>
      </c>
      <c r="G2853" t="s">
        <v>54</v>
      </c>
      <c r="H2853" t="s">
        <v>55</v>
      </c>
      <c r="I2853">
        <v>2100</v>
      </c>
      <c r="J2853">
        <v>2730</v>
      </c>
      <c r="K2853">
        <v>3</v>
      </c>
      <c r="L2853">
        <v>6300</v>
      </c>
      <c r="M2853">
        <v>8190</v>
      </c>
      <c r="N2853" t="s">
        <v>56</v>
      </c>
      <c r="O2853">
        <f t="shared" si="88"/>
        <v>2990</v>
      </c>
      <c r="P2853" s="13">
        <f t="shared" si="89"/>
        <v>1947361</v>
      </c>
      <c r="Q2853" s="13">
        <f>SUMIFS(M:M,E:E,Online_eCommerce[[#This Row],[Status]])</f>
        <v>21103186</v>
      </c>
      <c r="R2853" s="13">
        <f>SUMIFS(L:L,H:H,Online_eCommerce[[#This Row],[Brand]])</f>
        <v>2267380</v>
      </c>
      <c r="S2853" s="13">
        <f>SUMIF(H:H,Online_eCommerce[[#This Row],[Brand]],M:M)</f>
        <v>2947594</v>
      </c>
      <c r="T2853" s="13">
        <f>SUMIF(N:N,Online_eCommerce[[#This Row],[Assigned Supervisor]],L:L)</f>
        <v>11733610</v>
      </c>
    </row>
    <row r="2854" spans="1:20" x14ac:dyDescent="0.3">
      <c r="A2854" t="s">
        <v>4226</v>
      </c>
      <c r="B2854" t="s">
        <v>213</v>
      </c>
      <c r="C2854" t="s">
        <v>203</v>
      </c>
      <c r="D2854" t="s">
        <v>4220</v>
      </c>
      <c r="E2854" t="s">
        <v>46</v>
      </c>
      <c r="F2854" t="s">
        <v>174</v>
      </c>
      <c r="G2854" t="s">
        <v>60</v>
      </c>
      <c r="H2854" t="s">
        <v>61</v>
      </c>
      <c r="I2854">
        <v>1150</v>
      </c>
      <c r="J2854">
        <v>1495</v>
      </c>
      <c r="K2854">
        <v>2</v>
      </c>
      <c r="L2854">
        <v>2300</v>
      </c>
      <c r="M2854">
        <v>2990</v>
      </c>
      <c r="N2854" t="s">
        <v>22</v>
      </c>
      <c r="O2854">
        <f t="shared" si="88"/>
        <v>3315</v>
      </c>
      <c r="P2854" s="13">
        <f t="shared" si="89"/>
        <v>2559635</v>
      </c>
      <c r="Q2854" s="13">
        <f>SUMIFS(M:M,E:E,Online_eCommerce[[#This Row],[Status]])</f>
        <v>28620410</v>
      </c>
      <c r="R2854" s="13">
        <f>SUMIFS(L:L,H:H,Online_eCommerce[[#This Row],[Brand]])</f>
        <v>10950150</v>
      </c>
      <c r="S2854" s="13">
        <f>SUMIF(H:H,Online_eCommerce[[#This Row],[Brand]],M:M)</f>
        <v>14235195</v>
      </c>
      <c r="T2854" s="13">
        <f>SUMIF(N:N,Online_eCommerce[[#This Row],[Assigned Supervisor]],L:L)</f>
        <v>13693220</v>
      </c>
    </row>
    <row r="2855" spans="1:20" hidden="1" x14ac:dyDescent="0.3">
      <c r="A2855" t="s">
        <v>4227</v>
      </c>
      <c r="B2855" t="s">
        <v>215</v>
      </c>
      <c r="C2855" t="s">
        <v>205</v>
      </c>
      <c r="D2855" t="s">
        <v>4220</v>
      </c>
      <c r="E2855" t="s">
        <v>96</v>
      </c>
      <c r="F2855" t="s">
        <v>179</v>
      </c>
      <c r="G2855" t="s">
        <v>66</v>
      </c>
      <c r="H2855" t="s">
        <v>21</v>
      </c>
      <c r="I2855">
        <v>350</v>
      </c>
      <c r="J2855">
        <v>455</v>
      </c>
      <c r="K2855">
        <v>2</v>
      </c>
      <c r="L2855">
        <v>700</v>
      </c>
      <c r="M2855">
        <v>910</v>
      </c>
      <c r="N2855" t="s">
        <v>28</v>
      </c>
      <c r="O2855">
        <f t="shared" si="88"/>
        <v>1690</v>
      </c>
      <c r="P2855" s="13">
        <f t="shared" si="89"/>
        <v>1983254</v>
      </c>
      <c r="Q2855" s="13">
        <f>SUMIFS(M:M,E:E,Online_eCommerce[[#This Row],[Status]])</f>
        <v>21233992</v>
      </c>
      <c r="R2855" s="13">
        <f>SUMIFS(L:L,H:H,Online_eCommerce[[#This Row],[Brand]])</f>
        <v>12435650</v>
      </c>
      <c r="S2855" s="13">
        <f>SUMIF(H:H,Online_eCommerce[[#This Row],[Brand]],M:M)</f>
        <v>16166345</v>
      </c>
      <c r="T2855" s="13">
        <f>SUMIF(N:N,Online_eCommerce[[#This Row],[Assigned Supervisor]],L:L)</f>
        <v>12220830</v>
      </c>
    </row>
    <row r="2856" spans="1:20" hidden="1" x14ac:dyDescent="0.3">
      <c r="A2856" t="s">
        <v>4228</v>
      </c>
      <c r="B2856" t="s">
        <v>306</v>
      </c>
      <c r="C2856" t="s">
        <v>208</v>
      </c>
      <c r="D2856" t="s">
        <v>4220</v>
      </c>
      <c r="E2856" t="s">
        <v>18</v>
      </c>
      <c r="F2856" t="s">
        <v>183</v>
      </c>
      <c r="G2856" t="s">
        <v>71</v>
      </c>
      <c r="H2856" t="s">
        <v>61</v>
      </c>
      <c r="I2856">
        <v>9500</v>
      </c>
      <c r="J2856">
        <v>12350</v>
      </c>
      <c r="K2856">
        <v>2</v>
      </c>
      <c r="L2856">
        <v>19000</v>
      </c>
      <c r="M2856">
        <v>24700</v>
      </c>
      <c r="N2856" t="s">
        <v>35</v>
      </c>
      <c r="O2856">
        <f t="shared" si="88"/>
        <v>9750</v>
      </c>
      <c r="P2856" s="13">
        <f t="shared" si="89"/>
        <v>2746575</v>
      </c>
      <c r="Q2856" s="13">
        <f>SUMIFS(M:M,E:E,Online_eCommerce[[#This Row],[Status]])</f>
        <v>28340455</v>
      </c>
      <c r="R2856" s="13">
        <f>SUMIFS(L:L,H:H,Online_eCommerce[[#This Row],[Brand]])</f>
        <v>10950150</v>
      </c>
      <c r="S2856" s="13">
        <f>SUMIF(H:H,Online_eCommerce[[#This Row],[Brand]],M:M)</f>
        <v>14235195</v>
      </c>
      <c r="T2856" s="13">
        <f>SUMIF(N:N,Online_eCommerce[[#This Row],[Assigned Supervisor]],L:L)</f>
        <v>14373360</v>
      </c>
    </row>
    <row r="2857" spans="1:20" hidden="1" x14ac:dyDescent="0.3">
      <c r="A2857" t="s">
        <v>4229</v>
      </c>
      <c r="B2857" t="s">
        <v>528</v>
      </c>
      <c r="C2857" t="s">
        <v>211</v>
      </c>
      <c r="D2857" t="s">
        <v>4220</v>
      </c>
      <c r="E2857" t="s">
        <v>161</v>
      </c>
      <c r="F2857" t="s">
        <v>4230</v>
      </c>
      <c r="G2857" t="s">
        <v>77</v>
      </c>
      <c r="H2857" t="s">
        <v>142</v>
      </c>
      <c r="I2857">
        <v>10000</v>
      </c>
      <c r="J2857">
        <v>13000</v>
      </c>
      <c r="K2857">
        <v>2</v>
      </c>
      <c r="L2857">
        <v>20000</v>
      </c>
      <c r="M2857">
        <v>26000</v>
      </c>
      <c r="N2857" t="s">
        <v>42</v>
      </c>
      <c r="O2857">
        <f t="shared" si="88"/>
        <v>39000</v>
      </c>
      <c r="P2857" s="13">
        <f t="shared" si="89"/>
        <v>1809847</v>
      </c>
      <c r="Q2857" s="13">
        <f>SUMIFS(M:M,E:E,Online_eCommerce[[#This Row],[Status]])</f>
        <v>21103186</v>
      </c>
      <c r="R2857" s="13">
        <f>SUMIFS(L:L,H:H,Online_eCommerce[[#This Row],[Brand]])</f>
        <v>6192500</v>
      </c>
      <c r="S2857" s="13">
        <f>SUMIF(H:H,Online_eCommerce[[#This Row],[Brand]],M:M)</f>
        <v>8050250</v>
      </c>
      <c r="T2857" s="13">
        <f>SUMIF(N:N,Online_eCommerce[[#This Row],[Assigned Supervisor]],L:L)</f>
        <v>12261500</v>
      </c>
    </row>
    <row r="2858" spans="1:20" x14ac:dyDescent="0.3">
      <c r="A2858" t="s">
        <v>4231</v>
      </c>
      <c r="B2858" t="s">
        <v>73</v>
      </c>
      <c r="C2858" t="s">
        <v>16</v>
      </c>
      <c r="D2858" t="s">
        <v>4220</v>
      </c>
      <c r="E2858" t="s">
        <v>46</v>
      </c>
      <c r="F2858" t="s">
        <v>4232</v>
      </c>
      <c r="G2858" t="s">
        <v>20</v>
      </c>
      <c r="H2858" t="s">
        <v>21</v>
      </c>
      <c r="I2858">
        <v>6500</v>
      </c>
      <c r="J2858">
        <v>8450</v>
      </c>
      <c r="K2858">
        <v>1</v>
      </c>
      <c r="L2858">
        <v>6500</v>
      </c>
      <c r="M2858">
        <v>8450</v>
      </c>
      <c r="N2858" t="s">
        <v>50</v>
      </c>
      <c r="O2858">
        <f t="shared" si="88"/>
        <v>8450</v>
      </c>
      <c r="P2858" s="13">
        <f t="shared" si="89"/>
        <v>2751814</v>
      </c>
      <c r="Q2858" s="13">
        <f>SUMIFS(M:M,E:E,Online_eCommerce[[#This Row],[Status]])</f>
        <v>28620410</v>
      </c>
      <c r="R2858" s="13">
        <f>SUMIFS(L:L,H:H,Online_eCommerce[[#This Row],[Brand]])</f>
        <v>12435650</v>
      </c>
      <c r="S2858" s="13">
        <f>SUMIF(H:H,Online_eCommerce[[#This Row],[Brand]],M:M)</f>
        <v>16166345</v>
      </c>
      <c r="T2858" s="13">
        <f>SUMIF(N:N,Online_eCommerce[[#This Row],[Assigned Supervisor]],L:L)</f>
        <v>12100590</v>
      </c>
    </row>
    <row r="2859" spans="1:20" hidden="1" x14ac:dyDescent="0.3">
      <c r="A2859" t="s">
        <v>4233</v>
      </c>
      <c r="B2859" t="s">
        <v>80</v>
      </c>
      <c r="C2859" t="s">
        <v>24</v>
      </c>
      <c r="D2859" t="s">
        <v>4234</v>
      </c>
      <c r="E2859" t="s">
        <v>96</v>
      </c>
      <c r="F2859" t="s">
        <v>4235</v>
      </c>
      <c r="G2859" t="s">
        <v>26</v>
      </c>
      <c r="H2859" t="s">
        <v>27</v>
      </c>
      <c r="I2859">
        <v>8500</v>
      </c>
      <c r="J2859">
        <v>11050</v>
      </c>
      <c r="K2859">
        <v>3</v>
      </c>
      <c r="L2859">
        <v>25500</v>
      </c>
      <c r="M2859">
        <v>33150</v>
      </c>
      <c r="N2859" t="s">
        <v>56</v>
      </c>
      <c r="O2859">
        <f t="shared" si="88"/>
        <v>33150</v>
      </c>
      <c r="P2859" s="13">
        <f t="shared" si="89"/>
        <v>2009540</v>
      </c>
      <c r="Q2859" s="13">
        <f>SUMIFS(M:M,E:E,Online_eCommerce[[#This Row],[Status]])</f>
        <v>21233992</v>
      </c>
      <c r="R2859" s="13">
        <f>SUMIFS(L:L,H:H,Online_eCommerce[[#This Row],[Brand]])</f>
        <v>14431000</v>
      </c>
      <c r="S2859" s="13">
        <f>SUMIF(H:H,Online_eCommerce[[#This Row],[Brand]],M:M)</f>
        <v>18760300</v>
      </c>
      <c r="T2859" s="13">
        <f>SUMIF(N:N,Online_eCommerce[[#This Row],[Assigned Supervisor]],L:L)</f>
        <v>11733610</v>
      </c>
    </row>
    <row r="2860" spans="1:20" hidden="1" x14ac:dyDescent="0.3">
      <c r="A2860" t="s">
        <v>4236</v>
      </c>
      <c r="B2860" t="s">
        <v>85</v>
      </c>
      <c r="C2860" t="s">
        <v>31</v>
      </c>
      <c r="D2860" t="s">
        <v>4237</v>
      </c>
      <c r="E2860" t="s">
        <v>18</v>
      </c>
      <c r="F2860" t="s">
        <v>32</v>
      </c>
      <c r="G2860" t="s">
        <v>33</v>
      </c>
      <c r="H2860" t="s">
        <v>34</v>
      </c>
      <c r="I2860">
        <v>7000</v>
      </c>
      <c r="J2860">
        <v>9100</v>
      </c>
      <c r="K2860">
        <v>3</v>
      </c>
      <c r="L2860">
        <v>21000</v>
      </c>
      <c r="M2860">
        <v>27300</v>
      </c>
      <c r="N2860" t="s">
        <v>22</v>
      </c>
      <c r="O2860">
        <f t="shared" si="88"/>
        <v>18200</v>
      </c>
      <c r="P2860" s="13">
        <f t="shared" si="89"/>
        <v>2865746</v>
      </c>
      <c r="Q2860" s="13">
        <f>SUMIFS(M:M,E:E,Online_eCommerce[[#This Row],[Status]])</f>
        <v>28340455</v>
      </c>
      <c r="R2860" s="13">
        <f>SUMIFS(L:L,H:H,Online_eCommerce[[#This Row],[Brand]])</f>
        <v>10087000</v>
      </c>
      <c r="S2860" s="13">
        <f>SUMIF(H:H,Online_eCommerce[[#This Row],[Brand]],M:M)</f>
        <v>13113100</v>
      </c>
      <c r="T2860" s="13">
        <f>SUMIF(N:N,Online_eCommerce[[#This Row],[Assigned Supervisor]],L:L)</f>
        <v>13693220</v>
      </c>
    </row>
    <row r="2861" spans="1:20" hidden="1" x14ac:dyDescent="0.3">
      <c r="A2861" t="s">
        <v>4238</v>
      </c>
      <c r="B2861" t="s">
        <v>90</v>
      </c>
      <c r="C2861" t="s">
        <v>38</v>
      </c>
      <c r="D2861" t="s">
        <v>4239</v>
      </c>
      <c r="E2861" t="s">
        <v>161</v>
      </c>
      <c r="F2861" t="s">
        <v>4240</v>
      </c>
      <c r="G2861" t="s">
        <v>40</v>
      </c>
      <c r="H2861" t="s">
        <v>41</v>
      </c>
      <c r="I2861">
        <v>6550</v>
      </c>
      <c r="J2861">
        <v>8515</v>
      </c>
      <c r="K2861">
        <v>2</v>
      </c>
      <c r="L2861">
        <v>13100</v>
      </c>
      <c r="M2861">
        <v>17030</v>
      </c>
      <c r="N2861" t="s">
        <v>28</v>
      </c>
      <c r="O2861">
        <f t="shared" si="88"/>
        <v>25545</v>
      </c>
      <c r="P2861" s="13">
        <f t="shared" si="89"/>
        <v>1933997</v>
      </c>
      <c r="Q2861" s="13">
        <f>SUMIFS(M:M,E:E,Online_eCommerce[[#This Row],[Status]])</f>
        <v>21103186</v>
      </c>
      <c r="R2861" s="13">
        <f>SUMIFS(L:L,H:H,Online_eCommerce[[#This Row],[Brand]])</f>
        <v>4260400</v>
      </c>
      <c r="S2861" s="13">
        <f>SUMIF(H:H,Online_eCommerce[[#This Row],[Brand]],M:M)</f>
        <v>5538520</v>
      </c>
      <c r="T2861" s="13">
        <f>SUMIF(N:N,Online_eCommerce[[#This Row],[Assigned Supervisor]],L:L)</f>
        <v>12220830</v>
      </c>
    </row>
    <row r="2862" spans="1:20" x14ac:dyDescent="0.3">
      <c r="A2862" t="s">
        <v>4241</v>
      </c>
      <c r="B2862" t="s">
        <v>232</v>
      </c>
      <c r="C2862" t="s">
        <v>45</v>
      </c>
      <c r="D2862" t="s">
        <v>4242</v>
      </c>
      <c r="E2862" t="s">
        <v>46</v>
      </c>
      <c r="F2862" t="s">
        <v>47</v>
      </c>
      <c r="G2862" t="s">
        <v>334</v>
      </c>
      <c r="H2862" t="s">
        <v>49</v>
      </c>
      <c r="I2862">
        <v>7650</v>
      </c>
      <c r="J2862">
        <v>9945</v>
      </c>
      <c r="K2862">
        <v>2</v>
      </c>
      <c r="L2862">
        <v>15300</v>
      </c>
      <c r="M2862">
        <v>19890</v>
      </c>
      <c r="N2862" t="s">
        <v>35</v>
      </c>
      <c r="O2862">
        <f t="shared" si="88"/>
        <v>39780</v>
      </c>
      <c r="P2862" s="13">
        <f t="shared" si="89"/>
        <v>2842554</v>
      </c>
      <c r="Q2862" s="13">
        <f>SUMIFS(M:M,E:E,Online_eCommerce[[#This Row],[Status]])</f>
        <v>28620410</v>
      </c>
      <c r="R2862" s="13">
        <f>SUMIFS(L:L,H:H,Online_eCommerce[[#This Row],[Brand]])</f>
        <v>4528350</v>
      </c>
      <c r="S2862" s="13">
        <f>SUMIF(H:H,Online_eCommerce[[#This Row],[Brand]],M:M)</f>
        <v>5886855</v>
      </c>
      <c r="T2862" s="13">
        <f>SUMIF(N:N,Online_eCommerce[[#This Row],[Assigned Supervisor]],L:L)</f>
        <v>14373360</v>
      </c>
    </row>
    <row r="2863" spans="1:20" hidden="1" x14ac:dyDescent="0.3">
      <c r="A2863" t="s">
        <v>4243</v>
      </c>
      <c r="B2863" t="s">
        <v>235</v>
      </c>
      <c r="C2863" t="s">
        <v>52</v>
      </c>
      <c r="D2863" t="s">
        <v>4244</v>
      </c>
      <c r="E2863" t="s">
        <v>96</v>
      </c>
      <c r="F2863" t="s">
        <v>53</v>
      </c>
      <c r="G2863" t="s">
        <v>54</v>
      </c>
      <c r="H2863" t="s">
        <v>55</v>
      </c>
      <c r="I2863">
        <v>1150</v>
      </c>
      <c r="J2863">
        <v>1495</v>
      </c>
      <c r="K2863">
        <v>1</v>
      </c>
      <c r="L2863">
        <v>1150</v>
      </c>
      <c r="M2863">
        <v>1495</v>
      </c>
      <c r="N2863" t="s">
        <v>42</v>
      </c>
      <c r="O2863">
        <f t="shared" si="88"/>
        <v>2990</v>
      </c>
      <c r="P2863" s="13">
        <f t="shared" si="89"/>
        <v>1955044</v>
      </c>
      <c r="Q2863" s="13">
        <f>SUMIFS(M:M,E:E,Online_eCommerce[[#This Row],[Status]])</f>
        <v>21233992</v>
      </c>
      <c r="R2863" s="13">
        <f>SUMIFS(L:L,H:H,Online_eCommerce[[#This Row],[Brand]])</f>
        <v>2267380</v>
      </c>
      <c r="S2863" s="13">
        <f>SUMIF(H:H,Online_eCommerce[[#This Row],[Brand]],M:M)</f>
        <v>2947594</v>
      </c>
      <c r="T2863" s="13">
        <f>SUMIF(N:N,Online_eCommerce[[#This Row],[Assigned Supervisor]],L:L)</f>
        <v>12261500</v>
      </c>
    </row>
    <row r="2864" spans="1:20" hidden="1" x14ac:dyDescent="0.3">
      <c r="A2864" t="s">
        <v>4245</v>
      </c>
      <c r="B2864" t="s">
        <v>104</v>
      </c>
      <c r="C2864" t="s">
        <v>58</v>
      </c>
      <c r="D2864" t="s">
        <v>4246</v>
      </c>
      <c r="E2864" t="s">
        <v>18</v>
      </c>
      <c r="F2864" t="s">
        <v>59</v>
      </c>
      <c r="G2864" t="s">
        <v>60</v>
      </c>
      <c r="H2864" t="s">
        <v>61</v>
      </c>
      <c r="I2864">
        <v>850</v>
      </c>
      <c r="J2864">
        <v>1105</v>
      </c>
      <c r="K2864">
        <v>2</v>
      </c>
      <c r="L2864">
        <v>1700</v>
      </c>
      <c r="M2864">
        <v>2210</v>
      </c>
      <c r="N2864" t="s">
        <v>50</v>
      </c>
      <c r="O2864">
        <f t="shared" si="88"/>
        <v>3315</v>
      </c>
      <c r="P2864" s="13">
        <f t="shared" si="89"/>
        <v>2629211</v>
      </c>
      <c r="Q2864" s="13">
        <f>SUMIFS(M:M,E:E,Online_eCommerce[[#This Row],[Status]])</f>
        <v>28340455</v>
      </c>
      <c r="R2864" s="13">
        <f>SUMIFS(L:L,H:H,Online_eCommerce[[#This Row],[Brand]])</f>
        <v>10950150</v>
      </c>
      <c r="S2864" s="13">
        <f>SUMIF(H:H,Online_eCommerce[[#This Row],[Brand]],M:M)</f>
        <v>14235195</v>
      </c>
      <c r="T2864" s="13">
        <f>SUMIF(N:N,Online_eCommerce[[#This Row],[Assigned Supervisor]],L:L)</f>
        <v>12100590</v>
      </c>
    </row>
    <row r="2865" spans="1:20" hidden="1" x14ac:dyDescent="0.3">
      <c r="A2865" t="s">
        <v>4247</v>
      </c>
      <c r="B2865" t="s">
        <v>109</v>
      </c>
      <c r="C2865" t="s">
        <v>63</v>
      </c>
      <c r="D2865" t="s">
        <v>4248</v>
      </c>
      <c r="E2865" t="s">
        <v>161</v>
      </c>
      <c r="F2865" t="s">
        <v>65</v>
      </c>
      <c r="G2865" t="s">
        <v>66</v>
      </c>
      <c r="H2865" t="s">
        <v>21</v>
      </c>
      <c r="I2865">
        <v>650</v>
      </c>
      <c r="J2865">
        <v>845</v>
      </c>
      <c r="K2865">
        <v>4</v>
      </c>
      <c r="L2865">
        <v>2600</v>
      </c>
      <c r="M2865">
        <v>3380</v>
      </c>
      <c r="N2865" t="s">
        <v>56</v>
      </c>
      <c r="O2865">
        <f t="shared" si="88"/>
        <v>1690</v>
      </c>
      <c r="P2865" s="13">
        <f t="shared" si="89"/>
        <v>2016131</v>
      </c>
      <c r="Q2865" s="13">
        <f>SUMIFS(M:M,E:E,Online_eCommerce[[#This Row],[Status]])</f>
        <v>21103186</v>
      </c>
      <c r="R2865" s="13">
        <f>SUMIFS(L:L,H:H,Online_eCommerce[[#This Row],[Brand]])</f>
        <v>12435650</v>
      </c>
      <c r="S2865" s="13">
        <f>SUMIF(H:H,Online_eCommerce[[#This Row],[Brand]],M:M)</f>
        <v>16166345</v>
      </c>
      <c r="T2865" s="13">
        <f>SUMIF(N:N,Online_eCommerce[[#This Row],[Assigned Supervisor]],L:L)</f>
        <v>11733610</v>
      </c>
    </row>
    <row r="2866" spans="1:20" x14ac:dyDescent="0.3">
      <c r="A2866" t="s">
        <v>4249</v>
      </c>
      <c r="B2866" t="s">
        <v>114</v>
      </c>
      <c r="C2866" t="s">
        <v>68</v>
      </c>
      <c r="D2866" t="s">
        <v>4250</v>
      </c>
      <c r="E2866" t="s">
        <v>46</v>
      </c>
      <c r="F2866" t="s">
        <v>70</v>
      </c>
      <c r="G2866" t="s">
        <v>71</v>
      </c>
      <c r="H2866" t="s">
        <v>61</v>
      </c>
      <c r="I2866">
        <v>7500</v>
      </c>
      <c r="J2866">
        <v>9750</v>
      </c>
      <c r="K2866">
        <v>2</v>
      </c>
      <c r="L2866">
        <v>15000</v>
      </c>
      <c r="M2866">
        <v>19500</v>
      </c>
      <c r="N2866" t="s">
        <v>22</v>
      </c>
      <c r="O2866">
        <f t="shared" si="88"/>
        <v>9750</v>
      </c>
      <c r="P2866" s="13">
        <f t="shared" si="89"/>
        <v>2974621</v>
      </c>
      <c r="Q2866" s="13">
        <f>SUMIFS(M:M,E:E,Online_eCommerce[[#This Row],[Status]])</f>
        <v>28620410</v>
      </c>
      <c r="R2866" s="13">
        <f>SUMIFS(L:L,H:H,Online_eCommerce[[#This Row],[Brand]])</f>
        <v>10950150</v>
      </c>
      <c r="S2866" s="13">
        <f>SUMIF(H:H,Online_eCommerce[[#This Row],[Brand]],M:M)</f>
        <v>14235195</v>
      </c>
      <c r="T2866" s="13">
        <f>SUMIF(N:N,Online_eCommerce[[#This Row],[Assigned Supervisor]],L:L)</f>
        <v>13693220</v>
      </c>
    </row>
    <row r="2867" spans="1:20" hidden="1" x14ac:dyDescent="0.3">
      <c r="A2867" t="s">
        <v>4251</v>
      </c>
      <c r="B2867" t="s">
        <v>119</v>
      </c>
      <c r="C2867" t="s">
        <v>74</v>
      </c>
      <c r="D2867" t="s">
        <v>4252</v>
      </c>
      <c r="E2867" t="s">
        <v>96</v>
      </c>
      <c r="F2867" t="s">
        <v>4230</v>
      </c>
      <c r="G2867" t="s">
        <v>77</v>
      </c>
      <c r="H2867" t="s">
        <v>78</v>
      </c>
      <c r="I2867">
        <v>10000</v>
      </c>
      <c r="J2867">
        <v>13000</v>
      </c>
      <c r="K2867">
        <v>1</v>
      </c>
      <c r="L2867">
        <v>10000</v>
      </c>
      <c r="M2867">
        <v>13000</v>
      </c>
      <c r="N2867" t="s">
        <v>28</v>
      </c>
      <c r="O2867">
        <f t="shared" si="88"/>
        <v>39000</v>
      </c>
      <c r="P2867" s="13">
        <f t="shared" si="89"/>
        <v>2144701</v>
      </c>
      <c r="Q2867" s="13">
        <f>SUMIFS(M:M,E:E,Online_eCommerce[[#This Row],[Status]])</f>
        <v>21233992</v>
      </c>
      <c r="R2867" s="13">
        <f>SUMIFS(L:L,H:H,Online_eCommerce[[#This Row],[Brand]])</f>
        <v>3720000</v>
      </c>
      <c r="S2867" s="13">
        <f>SUMIF(H:H,Online_eCommerce[[#This Row],[Brand]],M:M)</f>
        <v>4836000</v>
      </c>
      <c r="T2867" s="13">
        <f>SUMIF(N:N,Online_eCommerce[[#This Row],[Assigned Supervisor]],L:L)</f>
        <v>12220830</v>
      </c>
    </row>
    <row r="2868" spans="1:20" hidden="1" x14ac:dyDescent="0.3">
      <c r="A2868" t="s">
        <v>4253</v>
      </c>
      <c r="B2868" t="s">
        <v>124</v>
      </c>
      <c r="C2868" t="s">
        <v>81</v>
      </c>
      <c r="D2868" t="s">
        <v>4254</v>
      </c>
      <c r="E2868" t="s">
        <v>18</v>
      </c>
      <c r="F2868" t="s">
        <v>4255</v>
      </c>
      <c r="G2868" t="s">
        <v>20</v>
      </c>
      <c r="H2868" t="s">
        <v>21</v>
      </c>
      <c r="I2868">
        <v>10500</v>
      </c>
      <c r="J2868">
        <v>13650</v>
      </c>
      <c r="K2868">
        <v>3</v>
      </c>
      <c r="L2868">
        <v>31500</v>
      </c>
      <c r="M2868">
        <v>40950</v>
      </c>
      <c r="N2868" t="s">
        <v>35</v>
      </c>
      <c r="O2868">
        <f t="shared" si="88"/>
        <v>8450</v>
      </c>
      <c r="P2868" s="13">
        <f t="shared" si="89"/>
        <v>2595632</v>
      </c>
      <c r="Q2868" s="13">
        <f>SUMIFS(M:M,E:E,Online_eCommerce[[#This Row],[Status]])</f>
        <v>28340455</v>
      </c>
      <c r="R2868" s="13">
        <f>SUMIFS(L:L,H:H,Online_eCommerce[[#This Row],[Brand]])</f>
        <v>12435650</v>
      </c>
      <c r="S2868" s="13">
        <f>SUMIF(H:H,Online_eCommerce[[#This Row],[Brand]],M:M)</f>
        <v>16166345</v>
      </c>
      <c r="T2868" s="13">
        <f>SUMIF(N:N,Online_eCommerce[[#This Row],[Assigned Supervisor]],L:L)</f>
        <v>14373360</v>
      </c>
    </row>
    <row r="2869" spans="1:20" hidden="1" x14ac:dyDescent="0.3">
      <c r="A2869" t="s">
        <v>4256</v>
      </c>
      <c r="B2869" t="s">
        <v>128</v>
      </c>
      <c r="C2869" t="s">
        <v>86</v>
      </c>
      <c r="D2869" t="s">
        <v>4254</v>
      </c>
      <c r="E2869" t="s">
        <v>161</v>
      </c>
      <c r="F2869" t="s">
        <v>88</v>
      </c>
      <c r="G2869" t="s">
        <v>26</v>
      </c>
      <c r="H2869" t="s">
        <v>27</v>
      </c>
      <c r="I2869">
        <v>8500</v>
      </c>
      <c r="J2869">
        <v>11050</v>
      </c>
      <c r="K2869">
        <v>2</v>
      </c>
      <c r="L2869">
        <v>17000</v>
      </c>
      <c r="M2869">
        <v>22100</v>
      </c>
      <c r="N2869" t="s">
        <v>42</v>
      </c>
      <c r="O2869">
        <f t="shared" si="88"/>
        <v>33150</v>
      </c>
      <c r="P2869" s="13">
        <f t="shared" si="89"/>
        <v>1941225</v>
      </c>
      <c r="Q2869" s="13">
        <f>SUMIFS(M:M,E:E,Online_eCommerce[[#This Row],[Status]])</f>
        <v>21103186</v>
      </c>
      <c r="R2869" s="13">
        <f>SUMIFS(L:L,H:H,Online_eCommerce[[#This Row],[Brand]])</f>
        <v>14431000</v>
      </c>
      <c r="S2869" s="13">
        <f>SUMIF(H:H,Online_eCommerce[[#This Row],[Brand]],M:M)</f>
        <v>18760300</v>
      </c>
      <c r="T2869" s="13">
        <f>SUMIF(N:N,Online_eCommerce[[#This Row],[Assigned Supervisor]],L:L)</f>
        <v>12261500</v>
      </c>
    </row>
    <row r="2870" spans="1:20" x14ac:dyDescent="0.3">
      <c r="A2870" t="s">
        <v>4257</v>
      </c>
      <c r="B2870" t="s">
        <v>131</v>
      </c>
      <c r="C2870" t="s">
        <v>91</v>
      </c>
      <c r="D2870" t="s">
        <v>4254</v>
      </c>
      <c r="E2870" t="s">
        <v>46</v>
      </c>
      <c r="F2870" t="s">
        <v>32</v>
      </c>
      <c r="G2870" t="s">
        <v>33</v>
      </c>
      <c r="H2870" t="s">
        <v>34</v>
      </c>
      <c r="I2870">
        <v>7000</v>
      </c>
      <c r="J2870">
        <v>9100</v>
      </c>
      <c r="K2870">
        <v>4</v>
      </c>
      <c r="L2870">
        <v>28000</v>
      </c>
      <c r="M2870">
        <v>36400</v>
      </c>
      <c r="N2870" t="s">
        <v>50</v>
      </c>
      <c r="O2870">
        <f t="shared" si="88"/>
        <v>18200</v>
      </c>
      <c r="P2870" s="13">
        <f t="shared" si="89"/>
        <v>2731963</v>
      </c>
      <c r="Q2870" s="13">
        <f>SUMIFS(M:M,E:E,Online_eCommerce[[#This Row],[Status]])</f>
        <v>28620410</v>
      </c>
      <c r="R2870" s="13">
        <f>SUMIFS(L:L,H:H,Online_eCommerce[[#This Row],[Brand]])</f>
        <v>10087000</v>
      </c>
      <c r="S2870" s="13">
        <f>SUMIF(H:H,Online_eCommerce[[#This Row],[Brand]],M:M)</f>
        <v>13113100</v>
      </c>
      <c r="T2870" s="13">
        <f>SUMIF(N:N,Online_eCommerce[[#This Row],[Assigned Supervisor]],L:L)</f>
        <v>12100590</v>
      </c>
    </row>
    <row r="2871" spans="1:20" hidden="1" x14ac:dyDescent="0.3">
      <c r="A2871" t="s">
        <v>4258</v>
      </c>
      <c r="B2871" t="s">
        <v>135</v>
      </c>
      <c r="C2871" t="s">
        <v>94</v>
      </c>
      <c r="D2871" t="s">
        <v>4254</v>
      </c>
      <c r="E2871" t="s">
        <v>96</v>
      </c>
      <c r="F2871" t="s">
        <v>4259</v>
      </c>
      <c r="G2871" t="s">
        <v>40</v>
      </c>
      <c r="H2871" t="s">
        <v>41</v>
      </c>
      <c r="I2871">
        <v>1680</v>
      </c>
      <c r="J2871">
        <v>2184</v>
      </c>
      <c r="K2871">
        <v>2</v>
      </c>
      <c r="L2871">
        <v>3360</v>
      </c>
      <c r="M2871">
        <v>4368</v>
      </c>
      <c r="N2871" t="s">
        <v>56</v>
      </c>
      <c r="O2871">
        <f t="shared" si="88"/>
        <v>25545</v>
      </c>
      <c r="P2871" s="13">
        <f t="shared" si="89"/>
        <v>1868256</v>
      </c>
      <c r="Q2871" s="13">
        <f>SUMIFS(M:M,E:E,Online_eCommerce[[#This Row],[Status]])</f>
        <v>21233992</v>
      </c>
      <c r="R2871" s="13">
        <f>SUMIFS(L:L,H:H,Online_eCommerce[[#This Row],[Brand]])</f>
        <v>4260400</v>
      </c>
      <c r="S2871" s="13">
        <f>SUMIF(H:H,Online_eCommerce[[#This Row],[Brand]],M:M)</f>
        <v>5538520</v>
      </c>
      <c r="T2871" s="13">
        <f>SUMIF(N:N,Online_eCommerce[[#This Row],[Assigned Supervisor]],L:L)</f>
        <v>11733610</v>
      </c>
    </row>
    <row r="2872" spans="1:20" hidden="1" x14ac:dyDescent="0.3">
      <c r="A2872" t="s">
        <v>4260</v>
      </c>
      <c r="B2872" t="s">
        <v>139</v>
      </c>
      <c r="C2872" t="s">
        <v>99</v>
      </c>
      <c r="D2872" t="s">
        <v>4254</v>
      </c>
      <c r="E2872" t="s">
        <v>18</v>
      </c>
      <c r="F2872" t="s">
        <v>101</v>
      </c>
      <c r="G2872" t="s">
        <v>334</v>
      </c>
      <c r="H2872" t="s">
        <v>102</v>
      </c>
      <c r="I2872">
        <v>6540</v>
      </c>
      <c r="J2872">
        <v>8502</v>
      </c>
      <c r="K2872">
        <v>1</v>
      </c>
      <c r="L2872">
        <v>6540</v>
      </c>
      <c r="M2872">
        <v>8502</v>
      </c>
      <c r="N2872" t="s">
        <v>22</v>
      </c>
      <c r="O2872">
        <f t="shared" si="88"/>
        <v>39780</v>
      </c>
      <c r="P2872" s="13">
        <f t="shared" si="89"/>
        <v>2651233</v>
      </c>
      <c r="Q2872" s="13">
        <f>SUMIFS(M:M,E:E,Online_eCommerce[[#This Row],[Status]])</f>
        <v>28340455</v>
      </c>
      <c r="R2872" s="13">
        <f>SUMIFS(L:L,H:H,Online_eCommerce[[#This Row],[Brand]])</f>
        <v>2465580</v>
      </c>
      <c r="S2872" s="13">
        <f>SUMIF(H:H,Online_eCommerce[[#This Row],[Brand]],M:M)</f>
        <v>3205254</v>
      </c>
      <c r="T2872" s="13">
        <f>SUMIF(N:N,Online_eCommerce[[#This Row],[Assigned Supervisor]],L:L)</f>
        <v>13693220</v>
      </c>
    </row>
    <row r="2873" spans="1:20" hidden="1" x14ac:dyDescent="0.3">
      <c r="A2873" t="s">
        <v>4261</v>
      </c>
      <c r="B2873" t="s">
        <v>144</v>
      </c>
      <c r="C2873" t="s">
        <v>105</v>
      </c>
      <c r="D2873" t="s">
        <v>4254</v>
      </c>
      <c r="E2873" t="s">
        <v>161</v>
      </c>
      <c r="F2873" t="s">
        <v>107</v>
      </c>
      <c r="G2873" t="s">
        <v>54</v>
      </c>
      <c r="H2873" t="s">
        <v>55</v>
      </c>
      <c r="I2873">
        <v>2680</v>
      </c>
      <c r="J2873">
        <v>3484</v>
      </c>
      <c r="K2873">
        <v>4</v>
      </c>
      <c r="L2873">
        <v>10720</v>
      </c>
      <c r="M2873">
        <v>13936</v>
      </c>
      <c r="N2873" t="s">
        <v>28</v>
      </c>
      <c r="O2873">
        <f t="shared" si="88"/>
        <v>2990</v>
      </c>
      <c r="P2873" s="13">
        <f t="shared" si="89"/>
        <v>1866852</v>
      </c>
      <c r="Q2873" s="13">
        <f>SUMIFS(M:M,E:E,Online_eCommerce[[#This Row],[Status]])</f>
        <v>21103186</v>
      </c>
      <c r="R2873" s="13">
        <f>SUMIFS(L:L,H:H,Online_eCommerce[[#This Row],[Brand]])</f>
        <v>2267380</v>
      </c>
      <c r="S2873" s="13">
        <f>SUMIF(H:H,Online_eCommerce[[#This Row],[Brand]],M:M)</f>
        <v>2947594</v>
      </c>
      <c r="T2873" s="13">
        <f>SUMIF(N:N,Online_eCommerce[[#This Row],[Assigned Supervisor]],L:L)</f>
        <v>12220830</v>
      </c>
    </row>
    <row r="2874" spans="1:20" x14ac:dyDescent="0.3">
      <c r="A2874" t="s">
        <v>4262</v>
      </c>
      <c r="B2874" t="s">
        <v>149</v>
      </c>
      <c r="C2874" t="s">
        <v>110</v>
      </c>
      <c r="D2874" t="s">
        <v>4254</v>
      </c>
      <c r="E2874" t="s">
        <v>46</v>
      </c>
      <c r="F2874" t="s">
        <v>112</v>
      </c>
      <c r="G2874" t="s">
        <v>71</v>
      </c>
      <c r="H2874" t="s">
        <v>21</v>
      </c>
      <c r="I2874">
        <v>8250</v>
      </c>
      <c r="J2874">
        <v>10725</v>
      </c>
      <c r="K2874">
        <v>1</v>
      </c>
      <c r="L2874">
        <v>8250</v>
      </c>
      <c r="M2874">
        <v>10725</v>
      </c>
      <c r="N2874" t="s">
        <v>35</v>
      </c>
      <c r="O2874">
        <f t="shared" si="88"/>
        <v>9750</v>
      </c>
      <c r="P2874" s="13">
        <f t="shared" si="89"/>
        <v>2598635</v>
      </c>
      <c r="Q2874" s="13">
        <f>SUMIFS(M:M,E:E,Online_eCommerce[[#This Row],[Status]])</f>
        <v>28620410</v>
      </c>
      <c r="R2874" s="13">
        <f>SUMIFS(L:L,H:H,Online_eCommerce[[#This Row],[Brand]])</f>
        <v>12435650</v>
      </c>
      <c r="S2874" s="13">
        <f>SUMIF(H:H,Online_eCommerce[[#This Row],[Brand]],M:M)</f>
        <v>16166345</v>
      </c>
      <c r="T2874" s="13">
        <f>SUMIF(N:N,Online_eCommerce[[#This Row],[Assigned Supervisor]],L:L)</f>
        <v>14373360</v>
      </c>
    </row>
    <row r="2875" spans="1:20" hidden="1" x14ac:dyDescent="0.3">
      <c r="A2875" t="s">
        <v>4263</v>
      </c>
      <c r="B2875" t="s">
        <v>154</v>
      </c>
      <c r="C2875" t="s">
        <v>115</v>
      </c>
      <c r="D2875" t="s">
        <v>4254</v>
      </c>
      <c r="E2875" t="s">
        <v>96</v>
      </c>
      <c r="F2875" t="s">
        <v>3843</v>
      </c>
      <c r="G2875" t="s">
        <v>40</v>
      </c>
      <c r="H2875" t="s">
        <v>21</v>
      </c>
      <c r="I2875">
        <v>2650</v>
      </c>
      <c r="J2875">
        <v>3445</v>
      </c>
      <c r="K2875">
        <v>2</v>
      </c>
      <c r="L2875">
        <v>5300</v>
      </c>
      <c r="M2875">
        <v>6890</v>
      </c>
      <c r="N2875" t="s">
        <v>42</v>
      </c>
      <c r="O2875">
        <f t="shared" si="88"/>
        <v>25545</v>
      </c>
      <c r="P2875" s="13">
        <f t="shared" si="89"/>
        <v>2050178</v>
      </c>
      <c r="Q2875" s="13">
        <f>SUMIFS(M:M,E:E,Online_eCommerce[[#This Row],[Status]])</f>
        <v>21233992</v>
      </c>
      <c r="R2875" s="13">
        <f>SUMIFS(L:L,H:H,Online_eCommerce[[#This Row],[Brand]])</f>
        <v>12435650</v>
      </c>
      <c r="S2875" s="13">
        <f>SUMIF(H:H,Online_eCommerce[[#This Row],[Brand]],M:M)</f>
        <v>16166345</v>
      </c>
      <c r="T2875" s="13">
        <f>SUMIF(N:N,Online_eCommerce[[#This Row],[Assigned Supervisor]],L:L)</f>
        <v>12261500</v>
      </c>
    </row>
    <row r="2876" spans="1:20" hidden="1" x14ac:dyDescent="0.3">
      <c r="A2876" t="s">
        <v>4264</v>
      </c>
      <c r="B2876" t="s">
        <v>159</v>
      </c>
      <c r="C2876" t="s">
        <v>120</v>
      </c>
      <c r="D2876" t="s">
        <v>4254</v>
      </c>
      <c r="E2876" t="s">
        <v>18</v>
      </c>
      <c r="F2876" t="s">
        <v>121</v>
      </c>
      <c r="G2876" t="s">
        <v>71</v>
      </c>
      <c r="H2876" t="s">
        <v>122</v>
      </c>
      <c r="I2876">
        <v>12550</v>
      </c>
      <c r="J2876">
        <v>16315</v>
      </c>
      <c r="K2876">
        <v>4</v>
      </c>
      <c r="L2876">
        <v>50200</v>
      </c>
      <c r="M2876">
        <v>65260</v>
      </c>
      <c r="N2876" t="s">
        <v>50</v>
      </c>
      <c r="O2876">
        <f t="shared" si="88"/>
        <v>9750</v>
      </c>
      <c r="P2876" s="13">
        <f t="shared" si="89"/>
        <v>2734212</v>
      </c>
      <c r="Q2876" s="13">
        <f>SUMIFS(M:M,E:E,Online_eCommerce[[#This Row],[Status]])</f>
        <v>28340455</v>
      </c>
      <c r="R2876" s="13">
        <f>SUMIFS(L:L,H:H,Online_eCommerce[[#This Row],[Brand]])</f>
        <v>5045100</v>
      </c>
      <c r="S2876" s="13">
        <f>SUMIF(H:H,Online_eCommerce[[#This Row],[Brand]],M:M)</f>
        <v>6558630</v>
      </c>
      <c r="T2876" s="13">
        <f>SUMIF(N:N,Online_eCommerce[[#This Row],[Assigned Supervisor]],L:L)</f>
        <v>12100590</v>
      </c>
    </row>
    <row r="2877" spans="1:20" hidden="1" x14ac:dyDescent="0.3">
      <c r="A2877" t="s">
        <v>4265</v>
      </c>
      <c r="B2877" t="s">
        <v>139</v>
      </c>
      <c r="C2877" t="s">
        <v>125</v>
      </c>
      <c r="D2877" t="s">
        <v>4254</v>
      </c>
      <c r="E2877" t="s">
        <v>161</v>
      </c>
      <c r="F2877" t="s">
        <v>126</v>
      </c>
      <c r="G2877" t="s">
        <v>26</v>
      </c>
      <c r="H2877" t="s">
        <v>27</v>
      </c>
      <c r="I2877">
        <v>14500</v>
      </c>
      <c r="J2877">
        <v>18850</v>
      </c>
      <c r="K2877">
        <v>2</v>
      </c>
      <c r="L2877">
        <v>29000</v>
      </c>
      <c r="M2877">
        <v>37700</v>
      </c>
      <c r="N2877" t="s">
        <v>56</v>
      </c>
      <c r="O2877">
        <f t="shared" si="88"/>
        <v>33150</v>
      </c>
      <c r="P2877" s="13">
        <f t="shared" si="89"/>
        <v>2091154</v>
      </c>
      <c r="Q2877" s="13">
        <f>SUMIFS(M:M,E:E,Online_eCommerce[[#This Row],[Status]])</f>
        <v>21103186</v>
      </c>
      <c r="R2877" s="13">
        <f>SUMIFS(L:L,H:H,Online_eCommerce[[#This Row],[Brand]])</f>
        <v>14431000</v>
      </c>
      <c r="S2877" s="13">
        <f>SUMIF(H:H,Online_eCommerce[[#This Row],[Brand]],M:M)</f>
        <v>18760300</v>
      </c>
      <c r="T2877" s="13">
        <f>SUMIF(N:N,Online_eCommerce[[#This Row],[Assigned Supervisor]],L:L)</f>
        <v>11733610</v>
      </c>
    </row>
    <row r="2878" spans="1:20" x14ac:dyDescent="0.3">
      <c r="A2878" t="s">
        <v>4266</v>
      </c>
      <c r="B2878" t="s">
        <v>144</v>
      </c>
      <c r="C2878" t="s">
        <v>22</v>
      </c>
      <c r="D2878" t="s">
        <v>4254</v>
      </c>
      <c r="E2878" t="s">
        <v>46</v>
      </c>
      <c r="F2878" t="s">
        <v>129</v>
      </c>
      <c r="G2878" t="s">
        <v>60</v>
      </c>
      <c r="H2878" t="s">
        <v>61</v>
      </c>
      <c r="I2878">
        <v>800</v>
      </c>
      <c r="J2878">
        <v>1040</v>
      </c>
      <c r="K2878">
        <v>3</v>
      </c>
      <c r="L2878">
        <v>2400</v>
      </c>
      <c r="M2878">
        <v>3120</v>
      </c>
      <c r="N2878" t="s">
        <v>22</v>
      </c>
      <c r="O2878">
        <f t="shared" si="88"/>
        <v>3315</v>
      </c>
      <c r="P2878" s="13">
        <f t="shared" si="89"/>
        <v>2551588</v>
      </c>
      <c r="Q2878" s="13">
        <f>SUMIFS(M:M,E:E,Online_eCommerce[[#This Row],[Status]])</f>
        <v>28620410</v>
      </c>
      <c r="R2878" s="13">
        <f>SUMIFS(L:L,H:H,Online_eCommerce[[#This Row],[Brand]])</f>
        <v>10950150</v>
      </c>
      <c r="S2878" s="13">
        <f>SUMIF(H:H,Online_eCommerce[[#This Row],[Brand]],M:M)</f>
        <v>14235195</v>
      </c>
      <c r="T2878" s="13">
        <f>SUMIF(N:N,Online_eCommerce[[#This Row],[Assigned Supervisor]],L:L)</f>
        <v>13693220</v>
      </c>
    </row>
    <row r="2879" spans="1:20" hidden="1" x14ac:dyDescent="0.3">
      <c r="A2879" t="s">
        <v>4267</v>
      </c>
      <c r="B2879" t="s">
        <v>235</v>
      </c>
      <c r="C2879" t="s">
        <v>132</v>
      </c>
      <c r="D2879" t="s">
        <v>4254</v>
      </c>
      <c r="E2879" t="s">
        <v>96</v>
      </c>
      <c r="F2879" t="s">
        <v>133</v>
      </c>
      <c r="G2879" t="s">
        <v>66</v>
      </c>
      <c r="H2879" t="s">
        <v>21</v>
      </c>
      <c r="I2879">
        <v>600</v>
      </c>
      <c r="J2879">
        <v>780</v>
      </c>
      <c r="K2879">
        <v>1</v>
      </c>
      <c r="L2879">
        <v>600</v>
      </c>
      <c r="M2879">
        <v>780</v>
      </c>
      <c r="N2879" t="s">
        <v>28</v>
      </c>
      <c r="O2879">
        <f t="shared" si="88"/>
        <v>1690</v>
      </c>
      <c r="P2879" s="13">
        <f t="shared" si="89"/>
        <v>1989065</v>
      </c>
      <c r="Q2879" s="13">
        <f>SUMIFS(M:M,E:E,Online_eCommerce[[#This Row],[Status]])</f>
        <v>21233992</v>
      </c>
      <c r="R2879" s="13">
        <f>SUMIFS(L:L,H:H,Online_eCommerce[[#This Row],[Brand]])</f>
        <v>12435650</v>
      </c>
      <c r="S2879" s="13">
        <f>SUMIF(H:H,Online_eCommerce[[#This Row],[Brand]],M:M)</f>
        <v>16166345</v>
      </c>
      <c r="T2879" s="13">
        <f>SUMIF(N:N,Online_eCommerce[[#This Row],[Assigned Supervisor]],L:L)</f>
        <v>12220830</v>
      </c>
    </row>
    <row r="2880" spans="1:20" hidden="1" x14ac:dyDescent="0.3">
      <c r="A2880" t="s">
        <v>4268</v>
      </c>
      <c r="B2880" t="s">
        <v>176</v>
      </c>
      <c r="C2880" t="s">
        <v>136</v>
      </c>
      <c r="D2880" t="s">
        <v>4269</v>
      </c>
      <c r="E2880" t="s">
        <v>18</v>
      </c>
      <c r="F2880" t="s">
        <v>137</v>
      </c>
      <c r="G2880" t="s">
        <v>71</v>
      </c>
      <c r="H2880" t="s">
        <v>61</v>
      </c>
      <c r="I2880">
        <v>10500</v>
      </c>
      <c r="J2880">
        <v>13650</v>
      </c>
      <c r="K2880">
        <v>1</v>
      </c>
      <c r="L2880">
        <v>10500</v>
      </c>
      <c r="M2880">
        <v>13650</v>
      </c>
      <c r="N2880" t="s">
        <v>35</v>
      </c>
      <c r="O2880">
        <f t="shared" si="88"/>
        <v>9750</v>
      </c>
      <c r="P2880" s="13">
        <f t="shared" si="89"/>
        <v>2775162</v>
      </c>
      <c r="Q2880" s="13">
        <f>SUMIFS(M:M,E:E,Online_eCommerce[[#This Row],[Status]])</f>
        <v>28340455</v>
      </c>
      <c r="R2880" s="13">
        <f>SUMIFS(L:L,H:H,Online_eCommerce[[#This Row],[Brand]])</f>
        <v>10950150</v>
      </c>
      <c r="S2880" s="13">
        <f>SUMIF(H:H,Online_eCommerce[[#This Row],[Brand]],M:M)</f>
        <v>14235195</v>
      </c>
      <c r="T2880" s="13">
        <f>SUMIF(N:N,Online_eCommerce[[#This Row],[Assigned Supervisor]],L:L)</f>
        <v>14373360</v>
      </c>
    </row>
    <row r="2881" spans="1:20" hidden="1" x14ac:dyDescent="0.3">
      <c r="A2881" t="s">
        <v>4270</v>
      </c>
      <c r="B2881" t="s">
        <v>276</v>
      </c>
      <c r="C2881" t="s">
        <v>140</v>
      </c>
      <c r="D2881" t="s">
        <v>4271</v>
      </c>
      <c r="E2881" t="s">
        <v>161</v>
      </c>
      <c r="F2881" t="s">
        <v>4230</v>
      </c>
      <c r="G2881" t="s">
        <v>77</v>
      </c>
      <c r="H2881" t="s">
        <v>142</v>
      </c>
      <c r="I2881">
        <v>6500</v>
      </c>
      <c r="J2881">
        <v>8450</v>
      </c>
      <c r="K2881">
        <v>4</v>
      </c>
      <c r="L2881">
        <v>26000</v>
      </c>
      <c r="M2881">
        <v>33800</v>
      </c>
      <c r="N2881" t="s">
        <v>42</v>
      </c>
      <c r="O2881">
        <f t="shared" si="88"/>
        <v>39000</v>
      </c>
      <c r="P2881" s="13">
        <f t="shared" si="89"/>
        <v>2058264</v>
      </c>
      <c r="Q2881" s="13">
        <f>SUMIFS(M:M,E:E,Online_eCommerce[[#This Row],[Status]])</f>
        <v>21103186</v>
      </c>
      <c r="R2881" s="13">
        <f>SUMIFS(L:L,H:H,Online_eCommerce[[#This Row],[Brand]])</f>
        <v>6192500</v>
      </c>
      <c r="S2881" s="13">
        <f>SUMIF(H:H,Online_eCommerce[[#This Row],[Brand]],M:M)</f>
        <v>8050250</v>
      </c>
      <c r="T2881" s="13">
        <f>SUMIF(N:N,Online_eCommerce[[#This Row],[Assigned Supervisor]],L:L)</f>
        <v>12261500</v>
      </c>
    </row>
    <row r="2882" spans="1:20" x14ac:dyDescent="0.3">
      <c r="A2882" t="s">
        <v>4272</v>
      </c>
      <c r="B2882" t="s">
        <v>280</v>
      </c>
      <c r="C2882" t="s">
        <v>145</v>
      </c>
      <c r="D2882" t="s">
        <v>4273</v>
      </c>
      <c r="E2882" t="s">
        <v>46</v>
      </c>
      <c r="F2882" t="s">
        <v>4274</v>
      </c>
      <c r="G2882" t="s">
        <v>20</v>
      </c>
      <c r="H2882" t="s">
        <v>21</v>
      </c>
      <c r="I2882">
        <v>4500</v>
      </c>
      <c r="J2882">
        <v>5850</v>
      </c>
      <c r="K2882">
        <v>4</v>
      </c>
      <c r="L2882">
        <v>18000</v>
      </c>
      <c r="M2882">
        <v>23400</v>
      </c>
      <c r="N2882" t="s">
        <v>50</v>
      </c>
      <c r="O2882">
        <f t="shared" ref="O2882:O2945" si="90">VLOOKUP(G2882,G:M,7,FALSE)</f>
        <v>8450</v>
      </c>
      <c r="P2882" s="13">
        <f t="shared" ref="P2882:P2945" si="91">SUMIFS(M:M,C:C,C2882)</f>
        <v>2757859</v>
      </c>
      <c r="Q2882" s="13">
        <f>SUMIFS(M:M,E:E,Online_eCommerce[[#This Row],[Status]])</f>
        <v>28620410</v>
      </c>
      <c r="R2882" s="13">
        <f>SUMIFS(L:L,H:H,Online_eCommerce[[#This Row],[Brand]])</f>
        <v>12435650</v>
      </c>
      <c r="S2882" s="13">
        <f>SUMIF(H:H,Online_eCommerce[[#This Row],[Brand]],M:M)</f>
        <v>16166345</v>
      </c>
      <c r="T2882" s="13">
        <f>SUMIF(N:N,Online_eCommerce[[#This Row],[Assigned Supervisor]],L:L)</f>
        <v>12100590</v>
      </c>
    </row>
    <row r="2883" spans="1:20" hidden="1" x14ac:dyDescent="0.3">
      <c r="A2883" t="s">
        <v>4275</v>
      </c>
      <c r="B2883" t="s">
        <v>283</v>
      </c>
      <c r="C2883" t="s">
        <v>150</v>
      </c>
      <c r="D2883" t="s">
        <v>4276</v>
      </c>
      <c r="E2883" t="s">
        <v>96</v>
      </c>
      <c r="F2883" t="s">
        <v>152</v>
      </c>
      <c r="G2883" t="s">
        <v>26</v>
      </c>
      <c r="H2883" t="s">
        <v>27</v>
      </c>
      <c r="I2883">
        <v>8500</v>
      </c>
      <c r="J2883">
        <v>11050</v>
      </c>
      <c r="K2883">
        <v>2</v>
      </c>
      <c r="L2883">
        <v>17000</v>
      </c>
      <c r="M2883">
        <v>22100</v>
      </c>
      <c r="N2883" t="s">
        <v>56</v>
      </c>
      <c r="O2883">
        <f t="shared" si="90"/>
        <v>33150</v>
      </c>
      <c r="P2883" s="13">
        <f t="shared" si="91"/>
        <v>2154984</v>
      </c>
      <c r="Q2883" s="13">
        <f>SUMIFS(M:M,E:E,Online_eCommerce[[#This Row],[Status]])</f>
        <v>21233992</v>
      </c>
      <c r="R2883" s="13">
        <f>SUMIFS(L:L,H:H,Online_eCommerce[[#This Row],[Brand]])</f>
        <v>14431000</v>
      </c>
      <c r="S2883" s="13">
        <f>SUMIF(H:H,Online_eCommerce[[#This Row],[Brand]],M:M)</f>
        <v>18760300</v>
      </c>
      <c r="T2883" s="13">
        <f>SUMIF(N:N,Online_eCommerce[[#This Row],[Assigned Supervisor]],L:L)</f>
        <v>11733610</v>
      </c>
    </row>
    <row r="2884" spans="1:20" hidden="1" x14ac:dyDescent="0.3">
      <c r="A2884" t="s">
        <v>4277</v>
      </c>
      <c r="B2884" t="s">
        <v>287</v>
      </c>
      <c r="C2884" t="s">
        <v>155</v>
      </c>
      <c r="D2884" t="s">
        <v>4278</v>
      </c>
      <c r="E2884" t="s">
        <v>18</v>
      </c>
      <c r="F2884" t="s">
        <v>157</v>
      </c>
      <c r="G2884" t="s">
        <v>33</v>
      </c>
      <c r="H2884" t="s">
        <v>34</v>
      </c>
      <c r="I2884">
        <v>12500</v>
      </c>
      <c r="J2884">
        <v>16250</v>
      </c>
      <c r="K2884">
        <v>4</v>
      </c>
      <c r="L2884">
        <v>50000</v>
      </c>
      <c r="M2884">
        <v>65000</v>
      </c>
      <c r="N2884" t="s">
        <v>22</v>
      </c>
      <c r="O2884">
        <f t="shared" si="90"/>
        <v>18200</v>
      </c>
      <c r="P2884" s="13">
        <f t="shared" si="91"/>
        <v>2753348</v>
      </c>
      <c r="Q2884" s="13">
        <f>SUMIFS(M:M,E:E,Online_eCommerce[[#This Row],[Status]])</f>
        <v>28340455</v>
      </c>
      <c r="R2884" s="13">
        <f>SUMIFS(L:L,H:H,Online_eCommerce[[#This Row],[Brand]])</f>
        <v>10087000</v>
      </c>
      <c r="S2884" s="13">
        <f>SUMIF(H:H,Online_eCommerce[[#This Row],[Brand]],M:M)</f>
        <v>13113100</v>
      </c>
      <c r="T2884" s="13">
        <f>SUMIF(N:N,Online_eCommerce[[#This Row],[Assigned Supervisor]],L:L)</f>
        <v>13693220</v>
      </c>
    </row>
    <row r="2885" spans="1:20" hidden="1" x14ac:dyDescent="0.3">
      <c r="A2885" t="s">
        <v>4279</v>
      </c>
      <c r="B2885" t="s">
        <v>290</v>
      </c>
      <c r="C2885" t="s">
        <v>160</v>
      </c>
      <c r="D2885" t="s">
        <v>4280</v>
      </c>
      <c r="E2885" t="s">
        <v>161</v>
      </c>
      <c r="F2885" t="s">
        <v>3894</v>
      </c>
      <c r="G2885" t="s">
        <v>163</v>
      </c>
      <c r="H2885" t="s">
        <v>41</v>
      </c>
      <c r="I2885">
        <v>3500</v>
      </c>
      <c r="J2885">
        <v>4550</v>
      </c>
      <c r="K2885">
        <v>2</v>
      </c>
      <c r="L2885">
        <v>7000</v>
      </c>
      <c r="M2885">
        <v>9100</v>
      </c>
      <c r="N2885" t="s">
        <v>28</v>
      </c>
      <c r="O2885">
        <f t="shared" si="90"/>
        <v>13650</v>
      </c>
      <c r="P2885" s="13">
        <f t="shared" si="91"/>
        <v>2303483</v>
      </c>
      <c r="Q2885" s="13">
        <f>SUMIFS(M:M,E:E,Online_eCommerce[[#This Row],[Status]])</f>
        <v>21103186</v>
      </c>
      <c r="R2885" s="13">
        <f>SUMIFS(L:L,H:H,Online_eCommerce[[#This Row],[Brand]])</f>
        <v>4260400</v>
      </c>
      <c r="S2885" s="13">
        <f>SUMIF(H:H,Online_eCommerce[[#This Row],[Brand]],M:M)</f>
        <v>5538520</v>
      </c>
      <c r="T2885" s="13">
        <f>SUMIF(N:N,Online_eCommerce[[#This Row],[Assigned Supervisor]],L:L)</f>
        <v>12220830</v>
      </c>
    </row>
    <row r="2886" spans="1:20" x14ac:dyDescent="0.3">
      <c r="A2886" t="s">
        <v>4281</v>
      </c>
      <c r="B2886" t="s">
        <v>15</v>
      </c>
      <c r="C2886" t="s">
        <v>165</v>
      </c>
      <c r="D2886" t="s">
        <v>4282</v>
      </c>
      <c r="E2886" t="s">
        <v>46</v>
      </c>
      <c r="F2886" t="s">
        <v>166</v>
      </c>
      <c r="G2886" t="s">
        <v>66</v>
      </c>
      <c r="H2886" t="s">
        <v>49</v>
      </c>
      <c r="I2886">
        <v>4500</v>
      </c>
      <c r="J2886">
        <v>5850</v>
      </c>
      <c r="K2886">
        <v>1</v>
      </c>
      <c r="L2886">
        <v>4500</v>
      </c>
      <c r="M2886">
        <v>5850</v>
      </c>
      <c r="N2886" t="s">
        <v>35</v>
      </c>
      <c r="O2886">
        <f t="shared" si="90"/>
        <v>1690</v>
      </c>
      <c r="P2886" s="13">
        <f t="shared" si="91"/>
        <v>2674087</v>
      </c>
      <c r="Q2886" s="13">
        <f>SUMIFS(M:M,E:E,Online_eCommerce[[#This Row],[Status]])</f>
        <v>28620410</v>
      </c>
      <c r="R2886" s="13">
        <f>SUMIFS(L:L,H:H,Online_eCommerce[[#This Row],[Brand]])</f>
        <v>4528350</v>
      </c>
      <c r="S2886" s="13">
        <f>SUMIF(H:H,Online_eCommerce[[#This Row],[Brand]],M:M)</f>
        <v>5886855</v>
      </c>
      <c r="T2886" s="13">
        <f>SUMIF(N:N,Online_eCommerce[[#This Row],[Assigned Supervisor]],L:L)</f>
        <v>14373360</v>
      </c>
    </row>
    <row r="2887" spans="1:20" hidden="1" x14ac:dyDescent="0.3">
      <c r="A2887" t="s">
        <v>4283</v>
      </c>
      <c r="B2887" t="s">
        <v>202</v>
      </c>
      <c r="C2887" t="s">
        <v>168</v>
      </c>
      <c r="D2887" t="s">
        <v>4284</v>
      </c>
      <c r="E2887" t="s">
        <v>96</v>
      </c>
      <c r="F2887" t="s">
        <v>4285</v>
      </c>
      <c r="G2887" t="s">
        <v>54</v>
      </c>
      <c r="H2887" t="s">
        <v>55</v>
      </c>
      <c r="I2887">
        <v>2100</v>
      </c>
      <c r="J2887">
        <v>2730</v>
      </c>
      <c r="K2887">
        <v>2</v>
      </c>
      <c r="L2887">
        <v>4200</v>
      </c>
      <c r="M2887">
        <v>5460</v>
      </c>
      <c r="N2887" t="s">
        <v>42</v>
      </c>
      <c r="O2887">
        <f t="shared" si="90"/>
        <v>2990</v>
      </c>
      <c r="P2887" s="13">
        <f t="shared" si="91"/>
        <v>1937780</v>
      </c>
      <c r="Q2887" s="13">
        <f>SUMIFS(M:M,E:E,Online_eCommerce[[#This Row],[Status]])</f>
        <v>21233992</v>
      </c>
      <c r="R2887" s="13">
        <f>SUMIFS(L:L,H:H,Online_eCommerce[[#This Row],[Brand]])</f>
        <v>2267380</v>
      </c>
      <c r="S2887" s="13">
        <f>SUMIF(H:H,Online_eCommerce[[#This Row],[Brand]],M:M)</f>
        <v>2947594</v>
      </c>
      <c r="T2887" s="13">
        <f>SUMIF(N:N,Online_eCommerce[[#This Row],[Assigned Supervisor]],L:L)</f>
        <v>12261500</v>
      </c>
    </row>
    <row r="2888" spans="1:20" hidden="1" x14ac:dyDescent="0.3">
      <c r="A2888" t="s">
        <v>4286</v>
      </c>
      <c r="B2888" t="s">
        <v>30</v>
      </c>
      <c r="C2888" t="s">
        <v>172</v>
      </c>
      <c r="D2888" t="s">
        <v>4287</v>
      </c>
      <c r="E2888" t="s">
        <v>18</v>
      </c>
      <c r="F2888" t="s">
        <v>174</v>
      </c>
      <c r="G2888" t="s">
        <v>60</v>
      </c>
      <c r="H2888" t="s">
        <v>61</v>
      </c>
      <c r="I2888">
        <v>1150</v>
      </c>
      <c r="J2888">
        <v>1495</v>
      </c>
      <c r="K2888">
        <v>3</v>
      </c>
      <c r="L2888">
        <v>3450</v>
      </c>
      <c r="M2888">
        <v>4485</v>
      </c>
      <c r="N2888" t="s">
        <v>50</v>
      </c>
      <c r="O2888">
        <f t="shared" si="90"/>
        <v>3315</v>
      </c>
      <c r="P2888" s="13">
        <f t="shared" si="91"/>
        <v>2640274</v>
      </c>
      <c r="Q2888" s="13">
        <f>SUMIFS(M:M,E:E,Online_eCommerce[[#This Row],[Status]])</f>
        <v>28340455</v>
      </c>
      <c r="R2888" s="13">
        <f>SUMIFS(L:L,H:H,Online_eCommerce[[#This Row],[Brand]])</f>
        <v>10950150</v>
      </c>
      <c r="S2888" s="13">
        <f>SUMIF(H:H,Online_eCommerce[[#This Row],[Brand]],M:M)</f>
        <v>14235195</v>
      </c>
      <c r="T2888" s="13">
        <f>SUMIF(N:N,Online_eCommerce[[#This Row],[Assigned Supervisor]],L:L)</f>
        <v>12100590</v>
      </c>
    </row>
    <row r="2889" spans="1:20" hidden="1" x14ac:dyDescent="0.3">
      <c r="A2889" t="s">
        <v>4288</v>
      </c>
      <c r="B2889" t="s">
        <v>37</v>
      </c>
      <c r="C2889" t="s">
        <v>177</v>
      </c>
      <c r="D2889" t="s">
        <v>4289</v>
      </c>
      <c r="E2889" t="s">
        <v>161</v>
      </c>
      <c r="F2889" t="s">
        <v>179</v>
      </c>
      <c r="G2889" t="s">
        <v>66</v>
      </c>
      <c r="H2889" t="s">
        <v>21</v>
      </c>
      <c r="I2889">
        <v>350</v>
      </c>
      <c r="J2889">
        <v>455</v>
      </c>
      <c r="K2889">
        <v>3</v>
      </c>
      <c r="L2889">
        <v>1050</v>
      </c>
      <c r="M2889">
        <v>1365</v>
      </c>
      <c r="N2889" t="s">
        <v>56</v>
      </c>
      <c r="O2889">
        <f t="shared" si="90"/>
        <v>1690</v>
      </c>
      <c r="P2889" s="13">
        <f t="shared" si="91"/>
        <v>1863810</v>
      </c>
      <c r="Q2889" s="13">
        <f>SUMIFS(M:M,E:E,Online_eCommerce[[#This Row],[Status]])</f>
        <v>21103186</v>
      </c>
      <c r="R2889" s="13">
        <f>SUMIFS(L:L,H:H,Online_eCommerce[[#This Row],[Brand]])</f>
        <v>12435650</v>
      </c>
      <c r="S2889" s="13">
        <f>SUMIF(H:H,Online_eCommerce[[#This Row],[Brand]],M:M)</f>
        <v>16166345</v>
      </c>
      <c r="T2889" s="13">
        <f>SUMIF(N:N,Online_eCommerce[[#This Row],[Assigned Supervisor]],L:L)</f>
        <v>11733610</v>
      </c>
    </row>
    <row r="2890" spans="1:20" x14ac:dyDescent="0.3">
      <c r="A2890" t="s">
        <v>4290</v>
      </c>
      <c r="B2890" t="s">
        <v>44</v>
      </c>
      <c r="C2890" t="s">
        <v>181</v>
      </c>
      <c r="D2890" t="s">
        <v>4291</v>
      </c>
      <c r="E2890" t="s">
        <v>46</v>
      </c>
      <c r="F2890" t="s">
        <v>183</v>
      </c>
      <c r="G2890" t="s">
        <v>71</v>
      </c>
      <c r="H2890" t="s">
        <v>61</v>
      </c>
      <c r="I2890">
        <v>9500</v>
      </c>
      <c r="J2890">
        <v>12350</v>
      </c>
      <c r="K2890">
        <v>4</v>
      </c>
      <c r="L2890">
        <v>38000</v>
      </c>
      <c r="M2890">
        <v>49400</v>
      </c>
      <c r="N2890" t="s">
        <v>22</v>
      </c>
      <c r="O2890">
        <f t="shared" si="90"/>
        <v>9750</v>
      </c>
      <c r="P2890" s="13">
        <f t="shared" si="91"/>
        <v>2577458</v>
      </c>
      <c r="Q2890" s="13">
        <f>SUMIFS(M:M,E:E,Online_eCommerce[[#This Row],[Status]])</f>
        <v>28620410</v>
      </c>
      <c r="R2890" s="13">
        <f>SUMIFS(L:L,H:H,Online_eCommerce[[#This Row],[Brand]])</f>
        <v>10950150</v>
      </c>
      <c r="S2890" s="13">
        <f>SUMIF(H:H,Online_eCommerce[[#This Row],[Brand]],M:M)</f>
        <v>14235195</v>
      </c>
      <c r="T2890" s="13">
        <f>SUMIF(N:N,Online_eCommerce[[#This Row],[Assigned Supervisor]],L:L)</f>
        <v>13693220</v>
      </c>
    </row>
    <row r="2891" spans="1:20" hidden="1" x14ac:dyDescent="0.3">
      <c r="A2891" t="s">
        <v>4292</v>
      </c>
      <c r="B2891" t="s">
        <v>213</v>
      </c>
      <c r="C2891" t="s">
        <v>185</v>
      </c>
      <c r="D2891" t="s">
        <v>4293</v>
      </c>
      <c r="E2891" t="s">
        <v>96</v>
      </c>
      <c r="F2891" t="s">
        <v>4294</v>
      </c>
      <c r="G2891" t="s">
        <v>77</v>
      </c>
      <c r="H2891" t="s">
        <v>142</v>
      </c>
      <c r="I2891">
        <v>10000</v>
      </c>
      <c r="J2891">
        <v>13000</v>
      </c>
      <c r="K2891">
        <v>1</v>
      </c>
      <c r="L2891">
        <v>10000</v>
      </c>
      <c r="M2891">
        <v>13000</v>
      </c>
      <c r="N2891" t="s">
        <v>28</v>
      </c>
      <c r="O2891">
        <f t="shared" si="90"/>
        <v>39000</v>
      </c>
      <c r="P2891" s="13">
        <f t="shared" si="91"/>
        <v>2091596</v>
      </c>
      <c r="Q2891" s="13">
        <f>SUMIFS(M:M,E:E,Online_eCommerce[[#This Row],[Status]])</f>
        <v>21233992</v>
      </c>
      <c r="R2891" s="13">
        <f>SUMIFS(L:L,H:H,Online_eCommerce[[#This Row],[Brand]])</f>
        <v>6192500</v>
      </c>
      <c r="S2891" s="13">
        <f>SUMIF(H:H,Online_eCommerce[[#This Row],[Brand]],M:M)</f>
        <v>8050250</v>
      </c>
      <c r="T2891" s="13">
        <f>SUMIF(N:N,Online_eCommerce[[#This Row],[Assigned Supervisor]],L:L)</f>
        <v>12220830</v>
      </c>
    </row>
    <row r="2892" spans="1:20" hidden="1" x14ac:dyDescent="0.3">
      <c r="A2892" t="s">
        <v>4295</v>
      </c>
      <c r="B2892" t="s">
        <v>215</v>
      </c>
      <c r="C2892" t="s">
        <v>189</v>
      </c>
      <c r="D2892" t="s">
        <v>4296</v>
      </c>
      <c r="E2892" t="s">
        <v>18</v>
      </c>
      <c r="F2892" t="s">
        <v>4297</v>
      </c>
      <c r="G2892" t="s">
        <v>20</v>
      </c>
      <c r="H2892" t="s">
        <v>21</v>
      </c>
      <c r="I2892">
        <v>6500</v>
      </c>
      <c r="J2892">
        <v>8450</v>
      </c>
      <c r="K2892">
        <v>3</v>
      </c>
      <c r="L2892">
        <v>19500</v>
      </c>
      <c r="M2892">
        <v>25350</v>
      </c>
      <c r="N2892" t="s">
        <v>35</v>
      </c>
      <c r="O2892">
        <f t="shared" si="90"/>
        <v>8450</v>
      </c>
      <c r="P2892" s="13">
        <f t="shared" si="91"/>
        <v>2740777</v>
      </c>
      <c r="Q2892" s="13">
        <f>SUMIFS(M:M,E:E,Online_eCommerce[[#This Row],[Status]])</f>
        <v>28340455</v>
      </c>
      <c r="R2892" s="13">
        <f>SUMIFS(L:L,H:H,Online_eCommerce[[#This Row],[Brand]])</f>
        <v>12435650</v>
      </c>
      <c r="S2892" s="13">
        <f>SUMIF(H:H,Online_eCommerce[[#This Row],[Brand]],M:M)</f>
        <v>16166345</v>
      </c>
      <c r="T2892" s="13">
        <f>SUMIF(N:N,Online_eCommerce[[#This Row],[Assigned Supervisor]],L:L)</f>
        <v>14373360</v>
      </c>
    </row>
    <row r="2893" spans="1:20" hidden="1" x14ac:dyDescent="0.3">
      <c r="A2893" t="s">
        <v>4298</v>
      </c>
      <c r="B2893" t="s">
        <v>306</v>
      </c>
      <c r="C2893" t="s">
        <v>193</v>
      </c>
      <c r="D2893" t="s">
        <v>4299</v>
      </c>
      <c r="E2893" t="s">
        <v>161</v>
      </c>
      <c r="F2893" t="s">
        <v>4300</v>
      </c>
      <c r="G2893" t="s">
        <v>26</v>
      </c>
      <c r="H2893" t="s">
        <v>27</v>
      </c>
      <c r="I2893">
        <v>8500</v>
      </c>
      <c r="J2893">
        <v>11050</v>
      </c>
      <c r="K2893">
        <v>2</v>
      </c>
      <c r="L2893">
        <v>17000</v>
      </c>
      <c r="M2893">
        <v>22100</v>
      </c>
      <c r="N2893" t="s">
        <v>42</v>
      </c>
      <c r="O2893">
        <f t="shared" si="90"/>
        <v>33150</v>
      </c>
      <c r="P2893" s="13">
        <f t="shared" si="91"/>
        <v>2074774</v>
      </c>
      <c r="Q2893" s="13">
        <f>SUMIFS(M:M,E:E,Online_eCommerce[[#This Row],[Status]])</f>
        <v>21103186</v>
      </c>
      <c r="R2893" s="13">
        <f>SUMIFS(L:L,H:H,Online_eCommerce[[#This Row],[Brand]])</f>
        <v>14431000</v>
      </c>
      <c r="S2893" s="13">
        <f>SUMIF(H:H,Online_eCommerce[[#This Row],[Brand]],M:M)</f>
        <v>18760300</v>
      </c>
      <c r="T2893" s="13">
        <f>SUMIF(N:N,Online_eCommerce[[#This Row],[Assigned Supervisor]],L:L)</f>
        <v>12261500</v>
      </c>
    </row>
    <row r="2894" spans="1:20" x14ac:dyDescent="0.3">
      <c r="A2894" t="s">
        <v>4301</v>
      </c>
      <c r="B2894" t="s">
        <v>528</v>
      </c>
      <c r="C2894" t="s">
        <v>197</v>
      </c>
      <c r="D2894" t="s">
        <v>4302</v>
      </c>
      <c r="E2894" t="s">
        <v>46</v>
      </c>
      <c r="F2894" t="s">
        <v>32</v>
      </c>
      <c r="G2894" t="s">
        <v>33</v>
      </c>
      <c r="H2894" t="s">
        <v>34</v>
      </c>
      <c r="I2894">
        <v>7000</v>
      </c>
      <c r="J2894">
        <v>9100</v>
      </c>
      <c r="K2894">
        <v>3</v>
      </c>
      <c r="L2894">
        <v>21000</v>
      </c>
      <c r="M2894">
        <v>27300</v>
      </c>
      <c r="N2894" t="s">
        <v>50</v>
      </c>
      <c r="O2894">
        <f t="shared" si="90"/>
        <v>18200</v>
      </c>
      <c r="P2894" s="13">
        <f t="shared" si="91"/>
        <v>2829840</v>
      </c>
      <c r="Q2894" s="13">
        <f>SUMIFS(M:M,E:E,Online_eCommerce[[#This Row],[Status]])</f>
        <v>28620410</v>
      </c>
      <c r="R2894" s="13">
        <f>SUMIFS(L:L,H:H,Online_eCommerce[[#This Row],[Brand]])</f>
        <v>10087000</v>
      </c>
      <c r="S2894" s="13">
        <f>SUMIF(H:H,Online_eCommerce[[#This Row],[Brand]],M:M)</f>
        <v>13113100</v>
      </c>
      <c r="T2894" s="13">
        <f>SUMIF(N:N,Online_eCommerce[[#This Row],[Assigned Supervisor]],L:L)</f>
        <v>12100590</v>
      </c>
    </row>
    <row r="2895" spans="1:20" hidden="1" x14ac:dyDescent="0.3">
      <c r="A2895" t="s">
        <v>4303</v>
      </c>
      <c r="B2895" t="s">
        <v>73</v>
      </c>
      <c r="C2895" t="s">
        <v>199</v>
      </c>
      <c r="D2895" t="s">
        <v>4302</v>
      </c>
      <c r="E2895" t="s">
        <v>96</v>
      </c>
      <c r="F2895" t="s">
        <v>4304</v>
      </c>
      <c r="G2895" t="s">
        <v>163</v>
      </c>
      <c r="H2895" t="s">
        <v>41</v>
      </c>
      <c r="I2895">
        <v>6550</v>
      </c>
      <c r="J2895">
        <v>8515</v>
      </c>
      <c r="K2895">
        <v>2</v>
      </c>
      <c r="L2895">
        <v>13100</v>
      </c>
      <c r="M2895">
        <v>17030</v>
      </c>
      <c r="N2895" t="s">
        <v>56</v>
      </c>
      <c r="O2895">
        <f t="shared" si="90"/>
        <v>13650</v>
      </c>
      <c r="P2895" s="13">
        <f t="shared" si="91"/>
        <v>1947361</v>
      </c>
      <c r="Q2895" s="13">
        <f>SUMIFS(M:M,E:E,Online_eCommerce[[#This Row],[Status]])</f>
        <v>21233992</v>
      </c>
      <c r="R2895" s="13">
        <f>SUMIFS(L:L,H:H,Online_eCommerce[[#This Row],[Brand]])</f>
        <v>4260400</v>
      </c>
      <c r="S2895" s="13">
        <f>SUMIF(H:H,Online_eCommerce[[#This Row],[Brand]],M:M)</f>
        <v>5538520</v>
      </c>
      <c r="T2895" s="13">
        <f>SUMIF(N:N,Online_eCommerce[[#This Row],[Assigned Supervisor]],L:L)</f>
        <v>11733610</v>
      </c>
    </row>
    <row r="2896" spans="1:20" hidden="1" x14ac:dyDescent="0.3">
      <c r="A2896" t="s">
        <v>4305</v>
      </c>
      <c r="B2896" t="s">
        <v>80</v>
      </c>
      <c r="C2896" t="s">
        <v>203</v>
      </c>
      <c r="D2896" t="s">
        <v>4302</v>
      </c>
      <c r="E2896" t="s">
        <v>18</v>
      </c>
      <c r="F2896" t="s">
        <v>47</v>
      </c>
      <c r="G2896" t="s">
        <v>66</v>
      </c>
      <c r="H2896" t="s">
        <v>49</v>
      </c>
      <c r="I2896">
        <v>7650</v>
      </c>
      <c r="J2896">
        <v>9945</v>
      </c>
      <c r="K2896">
        <v>2</v>
      </c>
      <c r="L2896">
        <v>15300</v>
      </c>
      <c r="M2896">
        <v>19890</v>
      </c>
      <c r="N2896" t="s">
        <v>22</v>
      </c>
      <c r="O2896">
        <f t="shared" si="90"/>
        <v>1690</v>
      </c>
      <c r="P2896" s="13">
        <f t="shared" si="91"/>
        <v>2559635</v>
      </c>
      <c r="Q2896" s="13">
        <f>SUMIFS(M:M,E:E,Online_eCommerce[[#This Row],[Status]])</f>
        <v>28340455</v>
      </c>
      <c r="R2896" s="13">
        <f>SUMIFS(L:L,H:H,Online_eCommerce[[#This Row],[Brand]])</f>
        <v>4528350</v>
      </c>
      <c r="S2896" s="13">
        <f>SUMIF(H:H,Online_eCommerce[[#This Row],[Brand]],M:M)</f>
        <v>5886855</v>
      </c>
      <c r="T2896" s="13">
        <f>SUMIF(N:N,Online_eCommerce[[#This Row],[Assigned Supervisor]],L:L)</f>
        <v>13693220</v>
      </c>
    </row>
    <row r="2897" spans="1:20" hidden="1" x14ac:dyDescent="0.3">
      <c r="A2897" t="s">
        <v>4306</v>
      </c>
      <c r="B2897" t="s">
        <v>85</v>
      </c>
      <c r="C2897" t="s">
        <v>205</v>
      </c>
      <c r="D2897" t="s">
        <v>4302</v>
      </c>
      <c r="E2897" t="s">
        <v>161</v>
      </c>
      <c r="F2897" t="s">
        <v>53</v>
      </c>
      <c r="G2897" t="s">
        <v>54</v>
      </c>
      <c r="H2897" t="s">
        <v>55</v>
      </c>
      <c r="I2897">
        <v>1150</v>
      </c>
      <c r="J2897">
        <v>1495</v>
      </c>
      <c r="K2897">
        <v>3</v>
      </c>
      <c r="L2897">
        <v>3450</v>
      </c>
      <c r="M2897">
        <v>4485</v>
      </c>
      <c r="N2897" t="s">
        <v>28</v>
      </c>
      <c r="O2897">
        <f t="shared" si="90"/>
        <v>2990</v>
      </c>
      <c r="P2897" s="13">
        <f t="shared" si="91"/>
        <v>1983254</v>
      </c>
      <c r="Q2897" s="13">
        <f>SUMIFS(M:M,E:E,Online_eCommerce[[#This Row],[Status]])</f>
        <v>21103186</v>
      </c>
      <c r="R2897" s="13">
        <f>SUMIFS(L:L,H:H,Online_eCommerce[[#This Row],[Brand]])</f>
        <v>2267380</v>
      </c>
      <c r="S2897" s="13">
        <f>SUMIF(H:H,Online_eCommerce[[#This Row],[Brand]],M:M)</f>
        <v>2947594</v>
      </c>
      <c r="T2897" s="13">
        <f>SUMIF(N:N,Online_eCommerce[[#This Row],[Assigned Supervisor]],L:L)</f>
        <v>12220830</v>
      </c>
    </row>
    <row r="2898" spans="1:20" x14ac:dyDescent="0.3">
      <c r="A2898" t="s">
        <v>4307</v>
      </c>
      <c r="B2898" t="s">
        <v>90</v>
      </c>
      <c r="C2898" t="s">
        <v>208</v>
      </c>
      <c r="D2898" t="s">
        <v>4302</v>
      </c>
      <c r="E2898" t="s">
        <v>46</v>
      </c>
      <c r="F2898" t="s">
        <v>59</v>
      </c>
      <c r="G2898" t="s">
        <v>60</v>
      </c>
      <c r="H2898" t="s">
        <v>61</v>
      </c>
      <c r="I2898">
        <v>850</v>
      </c>
      <c r="J2898">
        <v>1105</v>
      </c>
      <c r="K2898">
        <v>2</v>
      </c>
      <c r="L2898">
        <v>1700</v>
      </c>
      <c r="M2898">
        <v>2210</v>
      </c>
      <c r="N2898" t="s">
        <v>35</v>
      </c>
      <c r="O2898">
        <f t="shared" si="90"/>
        <v>3315</v>
      </c>
      <c r="P2898" s="13">
        <f t="shared" si="91"/>
        <v>2746575</v>
      </c>
      <c r="Q2898" s="13">
        <f>SUMIFS(M:M,E:E,Online_eCommerce[[#This Row],[Status]])</f>
        <v>28620410</v>
      </c>
      <c r="R2898" s="13">
        <f>SUMIFS(L:L,H:H,Online_eCommerce[[#This Row],[Brand]])</f>
        <v>10950150</v>
      </c>
      <c r="S2898" s="13">
        <f>SUMIF(H:H,Online_eCommerce[[#This Row],[Brand]],M:M)</f>
        <v>14235195</v>
      </c>
      <c r="T2898" s="13">
        <f>SUMIF(N:N,Online_eCommerce[[#This Row],[Assigned Supervisor]],L:L)</f>
        <v>14373360</v>
      </c>
    </row>
    <row r="2899" spans="1:20" hidden="1" x14ac:dyDescent="0.3">
      <c r="A2899" t="s">
        <v>4308</v>
      </c>
      <c r="B2899" t="s">
        <v>232</v>
      </c>
      <c r="C2899" t="s">
        <v>211</v>
      </c>
      <c r="D2899" t="s">
        <v>4309</v>
      </c>
      <c r="E2899" t="s">
        <v>96</v>
      </c>
      <c r="F2899" t="s">
        <v>65</v>
      </c>
      <c r="G2899" t="s">
        <v>66</v>
      </c>
      <c r="H2899" t="s">
        <v>21</v>
      </c>
      <c r="I2899">
        <v>650</v>
      </c>
      <c r="J2899">
        <v>845</v>
      </c>
      <c r="K2899">
        <v>2</v>
      </c>
      <c r="L2899">
        <v>1300</v>
      </c>
      <c r="M2899">
        <v>1690</v>
      </c>
      <c r="N2899" t="s">
        <v>42</v>
      </c>
      <c r="O2899">
        <f t="shared" si="90"/>
        <v>1690</v>
      </c>
      <c r="P2899" s="13">
        <f t="shared" si="91"/>
        <v>1809847</v>
      </c>
      <c r="Q2899" s="13">
        <f>SUMIFS(M:M,E:E,Online_eCommerce[[#This Row],[Status]])</f>
        <v>21233992</v>
      </c>
      <c r="R2899" s="13">
        <f>SUMIFS(L:L,H:H,Online_eCommerce[[#This Row],[Brand]])</f>
        <v>12435650</v>
      </c>
      <c r="S2899" s="13">
        <f>SUMIF(H:H,Online_eCommerce[[#This Row],[Brand]],M:M)</f>
        <v>16166345</v>
      </c>
      <c r="T2899" s="13">
        <f>SUMIF(N:N,Online_eCommerce[[#This Row],[Assigned Supervisor]],L:L)</f>
        <v>12261500</v>
      </c>
    </row>
    <row r="2900" spans="1:20" hidden="1" x14ac:dyDescent="0.3">
      <c r="A2900" t="s">
        <v>4310</v>
      </c>
      <c r="B2900" t="s">
        <v>235</v>
      </c>
      <c r="C2900" t="s">
        <v>16</v>
      </c>
      <c r="D2900" t="s">
        <v>4311</v>
      </c>
      <c r="E2900" t="s">
        <v>18</v>
      </c>
      <c r="F2900" t="s">
        <v>70</v>
      </c>
      <c r="G2900" t="s">
        <v>71</v>
      </c>
      <c r="H2900" t="s">
        <v>61</v>
      </c>
      <c r="I2900">
        <v>7500</v>
      </c>
      <c r="J2900">
        <v>9750</v>
      </c>
      <c r="K2900">
        <v>4</v>
      </c>
      <c r="L2900">
        <v>30000</v>
      </c>
      <c r="M2900">
        <v>39000</v>
      </c>
      <c r="N2900" t="s">
        <v>50</v>
      </c>
      <c r="O2900">
        <f t="shared" si="90"/>
        <v>9750</v>
      </c>
      <c r="P2900" s="13">
        <f t="shared" si="91"/>
        <v>2751814</v>
      </c>
      <c r="Q2900" s="13">
        <f>SUMIFS(M:M,E:E,Online_eCommerce[[#This Row],[Status]])</f>
        <v>28340455</v>
      </c>
      <c r="R2900" s="13">
        <f>SUMIFS(L:L,H:H,Online_eCommerce[[#This Row],[Brand]])</f>
        <v>10950150</v>
      </c>
      <c r="S2900" s="13">
        <f>SUMIF(H:H,Online_eCommerce[[#This Row],[Brand]],M:M)</f>
        <v>14235195</v>
      </c>
      <c r="T2900" s="13">
        <f>SUMIF(N:N,Online_eCommerce[[#This Row],[Assigned Supervisor]],L:L)</f>
        <v>12100590</v>
      </c>
    </row>
    <row r="2901" spans="1:20" hidden="1" x14ac:dyDescent="0.3">
      <c r="A2901" t="s">
        <v>4312</v>
      </c>
      <c r="B2901" t="s">
        <v>104</v>
      </c>
      <c r="C2901" t="s">
        <v>24</v>
      </c>
      <c r="D2901" t="s">
        <v>4313</v>
      </c>
      <c r="E2901" t="s">
        <v>161</v>
      </c>
      <c r="F2901" t="s">
        <v>4294</v>
      </c>
      <c r="G2901" t="s">
        <v>77</v>
      </c>
      <c r="H2901" t="s">
        <v>78</v>
      </c>
      <c r="I2901">
        <v>10000</v>
      </c>
      <c r="J2901">
        <v>13000</v>
      </c>
      <c r="K2901">
        <v>3</v>
      </c>
      <c r="L2901">
        <v>30000</v>
      </c>
      <c r="M2901">
        <v>39000</v>
      </c>
      <c r="N2901" t="s">
        <v>56</v>
      </c>
      <c r="O2901">
        <f t="shared" si="90"/>
        <v>39000</v>
      </c>
      <c r="P2901" s="13">
        <f t="shared" si="91"/>
        <v>2009540</v>
      </c>
      <c r="Q2901" s="13">
        <f>SUMIFS(M:M,E:E,Online_eCommerce[[#This Row],[Status]])</f>
        <v>21103186</v>
      </c>
      <c r="R2901" s="13">
        <f>SUMIFS(L:L,H:H,Online_eCommerce[[#This Row],[Brand]])</f>
        <v>3720000</v>
      </c>
      <c r="S2901" s="13">
        <f>SUMIF(H:H,Online_eCommerce[[#This Row],[Brand]],M:M)</f>
        <v>4836000</v>
      </c>
      <c r="T2901" s="13">
        <f>SUMIF(N:N,Online_eCommerce[[#This Row],[Assigned Supervisor]],L:L)</f>
        <v>11733610</v>
      </c>
    </row>
    <row r="2902" spans="1:20" x14ac:dyDescent="0.3">
      <c r="A2902" t="s">
        <v>4314</v>
      </c>
      <c r="B2902" t="s">
        <v>109</v>
      </c>
      <c r="C2902" t="s">
        <v>31</v>
      </c>
      <c r="D2902" t="s">
        <v>4315</v>
      </c>
      <c r="E2902" t="s">
        <v>46</v>
      </c>
      <c r="F2902" t="s">
        <v>4316</v>
      </c>
      <c r="G2902" t="s">
        <v>20</v>
      </c>
      <c r="H2902" t="s">
        <v>21</v>
      </c>
      <c r="I2902">
        <v>10500</v>
      </c>
      <c r="J2902">
        <v>13650</v>
      </c>
      <c r="K2902">
        <v>2</v>
      </c>
      <c r="L2902">
        <v>21000</v>
      </c>
      <c r="M2902">
        <v>27300</v>
      </c>
      <c r="N2902" t="s">
        <v>22</v>
      </c>
      <c r="O2902">
        <f t="shared" si="90"/>
        <v>8450</v>
      </c>
      <c r="P2902" s="13">
        <f t="shared" si="91"/>
        <v>2865746</v>
      </c>
      <c r="Q2902" s="13">
        <f>SUMIFS(M:M,E:E,Online_eCommerce[[#This Row],[Status]])</f>
        <v>28620410</v>
      </c>
      <c r="R2902" s="13">
        <f>SUMIFS(L:L,H:H,Online_eCommerce[[#This Row],[Brand]])</f>
        <v>12435650</v>
      </c>
      <c r="S2902" s="13">
        <f>SUMIF(H:H,Online_eCommerce[[#This Row],[Brand]],M:M)</f>
        <v>16166345</v>
      </c>
      <c r="T2902" s="13">
        <f>SUMIF(N:N,Online_eCommerce[[#This Row],[Assigned Supervisor]],L:L)</f>
        <v>13693220</v>
      </c>
    </row>
    <row r="2903" spans="1:20" hidden="1" x14ac:dyDescent="0.3">
      <c r="A2903" t="s">
        <v>4317</v>
      </c>
      <c r="B2903" t="s">
        <v>114</v>
      </c>
      <c r="C2903" t="s">
        <v>38</v>
      </c>
      <c r="D2903" t="s">
        <v>4318</v>
      </c>
      <c r="E2903" t="s">
        <v>96</v>
      </c>
      <c r="F2903" t="s">
        <v>88</v>
      </c>
      <c r="G2903" t="s">
        <v>26</v>
      </c>
      <c r="H2903" t="s">
        <v>27</v>
      </c>
      <c r="I2903">
        <v>8500</v>
      </c>
      <c r="J2903">
        <v>11050</v>
      </c>
      <c r="K2903">
        <v>4</v>
      </c>
      <c r="L2903">
        <v>34000</v>
      </c>
      <c r="M2903">
        <v>44200</v>
      </c>
      <c r="N2903" t="s">
        <v>28</v>
      </c>
      <c r="O2903">
        <f t="shared" si="90"/>
        <v>33150</v>
      </c>
      <c r="P2903" s="13">
        <f t="shared" si="91"/>
        <v>1933997</v>
      </c>
      <c r="Q2903" s="13">
        <f>SUMIFS(M:M,E:E,Online_eCommerce[[#This Row],[Status]])</f>
        <v>21233992</v>
      </c>
      <c r="R2903" s="13">
        <f>SUMIFS(L:L,H:H,Online_eCommerce[[#This Row],[Brand]])</f>
        <v>14431000</v>
      </c>
      <c r="S2903" s="13">
        <f>SUMIF(H:H,Online_eCommerce[[#This Row],[Brand]],M:M)</f>
        <v>18760300</v>
      </c>
      <c r="T2903" s="13">
        <f>SUMIF(N:N,Online_eCommerce[[#This Row],[Assigned Supervisor]],L:L)</f>
        <v>12220830</v>
      </c>
    </row>
    <row r="2904" spans="1:20" hidden="1" x14ac:dyDescent="0.3">
      <c r="A2904" t="s">
        <v>4319</v>
      </c>
      <c r="B2904" t="s">
        <v>119</v>
      </c>
      <c r="C2904" t="s">
        <v>45</v>
      </c>
      <c r="D2904" t="s">
        <v>4320</v>
      </c>
      <c r="E2904" t="s">
        <v>18</v>
      </c>
      <c r="F2904" t="s">
        <v>32</v>
      </c>
      <c r="G2904" t="s">
        <v>33</v>
      </c>
      <c r="H2904" t="s">
        <v>34</v>
      </c>
      <c r="I2904">
        <v>7000</v>
      </c>
      <c r="J2904">
        <v>9100</v>
      </c>
      <c r="K2904">
        <v>3</v>
      </c>
      <c r="L2904">
        <v>21000</v>
      </c>
      <c r="M2904">
        <v>27300</v>
      </c>
      <c r="N2904" t="s">
        <v>35</v>
      </c>
      <c r="O2904">
        <f t="shared" si="90"/>
        <v>18200</v>
      </c>
      <c r="P2904" s="13">
        <f t="shared" si="91"/>
        <v>2842554</v>
      </c>
      <c r="Q2904" s="13">
        <f>SUMIFS(M:M,E:E,Online_eCommerce[[#This Row],[Status]])</f>
        <v>28340455</v>
      </c>
      <c r="R2904" s="13">
        <f>SUMIFS(L:L,H:H,Online_eCommerce[[#This Row],[Brand]])</f>
        <v>10087000</v>
      </c>
      <c r="S2904" s="13">
        <f>SUMIF(H:H,Online_eCommerce[[#This Row],[Brand]],M:M)</f>
        <v>13113100</v>
      </c>
      <c r="T2904" s="13">
        <f>SUMIF(N:N,Online_eCommerce[[#This Row],[Assigned Supervisor]],L:L)</f>
        <v>14373360</v>
      </c>
    </row>
    <row r="2905" spans="1:20" hidden="1" x14ac:dyDescent="0.3">
      <c r="A2905" t="s">
        <v>4321</v>
      </c>
      <c r="B2905" t="s">
        <v>124</v>
      </c>
      <c r="C2905" t="s">
        <v>52</v>
      </c>
      <c r="D2905" t="s">
        <v>4322</v>
      </c>
      <c r="E2905" t="s">
        <v>161</v>
      </c>
      <c r="F2905" t="s">
        <v>4323</v>
      </c>
      <c r="G2905" t="s">
        <v>163</v>
      </c>
      <c r="H2905" t="s">
        <v>41</v>
      </c>
      <c r="I2905">
        <v>1680</v>
      </c>
      <c r="J2905">
        <v>2184</v>
      </c>
      <c r="K2905">
        <v>3</v>
      </c>
      <c r="L2905">
        <v>5040</v>
      </c>
      <c r="M2905">
        <v>6552</v>
      </c>
      <c r="N2905" t="s">
        <v>42</v>
      </c>
      <c r="O2905">
        <f t="shared" si="90"/>
        <v>13650</v>
      </c>
      <c r="P2905" s="13">
        <f t="shared" si="91"/>
        <v>1955044</v>
      </c>
      <c r="Q2905" s="13">
        <f>SUMIFS(M:M,E:E,Online_eCommerce[[#This Row],[Status]])</f>
        <v>21103186</v>
      </c>
      <c r="R2905" s="13">
        <f>SUMIFS(L:L,H:H,Online_eCommerce[[#This Row],[Brand]])</f>
        <v>4260400</v>
      </c>
      <c r="S2905" s="13">
        <f>SUMIF(H:H,Online_eCommerce[[#This Row],[Brand]],M:M)</f>
        <v>5538520</v>
      </c>
      <c r="T2905" s="13">
        <f>SUMIF(N:N,Online_eCommerce[[#This Row],[Assigned Supervisor]],L:L)</f>
        <v>12261500</v>
      </c>
    </row>
    <row r="2906" spans="1:20" x14ac:dyDescent="0.3">
      <c r="A2906" t="s">
        <v>4324</v>
      </c>
      <c r="B2906" t="s">
        <v>128</v>
      </c>
      <c r="C2906" t="s">
        <v>58</v>
      </c>
      <c r="D2906" t="s">
        <v>4325</v>
      </c>
      <c r="E2906" t="s">
        <v>46</v>
      </c>
      <c r="F2906" t="s">
        <v>101</v>
      </c>
      <c r="G2906" t="s">
        <v>66</v>
      </c>
      <c r="H2906" t="s">
        <v>102</v>
      </c>
      <c r="I2906">
        <v>6540</v>
      </c>
      <c r="J2906">
        <v>8502</v>
      </c>
      <c r="K2906">
        <v>3</v>
      </c>
      <c r="L2906">
        <v>19620</v>
      </c>
      <c r="M2906">
        <v>25506</v>
      </c>
      <c r="N2906" t="s">
        <v>50</v>
      </c>
      <c r="O2906">
        <f t="shared" si="90"/>
        <v>1690</v>
      </c>
      <c r="P2906" s="13">
        <f t="shared" si="91"/>
        <v>2629211</v>
      </c>
      <c r="Q2906" s="13">
        <f>SUMIFS(M:M,E:E,Online_eCommerce[[#This Row],[Status]])</f>
        <v>28620410</v>
      </c>
      <c r="R2906" s="13">
        <f>SUMIFS(L:L,H:H,Online_eCommerce[[#This Row],[Brand]])</f>
        <v>2465580</v>
      </c>
      <c r="S2906" s="13">
        <f>SUMIF(H:H,Online_eCommerce[[#This Row],[Brand]],M:M)</f>
        <v>3205254</v>
      </c>
      <c r="T2906" s="13">
        <f>SUMIF(N:N,Online_eCommerce[[#This Row],[Assigned Supervisor]],L:L)</f>
        <v>12100590</v>
      </c>
    </row>
    <row r="2907" spans="1:20" hidden="1" x14ac:dyDescent="0.3">
      <c r="A2907" t="s">
        <v>4326</v>
      </c>
      <c r="B2907" t="s">
        <v>131</v>
      </c>
      <c r="C2907" t="s">
        <v>63</v>
      </c>
      <c r="D2907" t="s">
        <v>4327</v>
      </c>
      <c r="E2907" t="s">
        <v>96</v>
      </c>
      <c r="F2907" t="s">
        <v>107</v>
      </c>
      <c r="G2907" t="s">
        <v>54</v>
      </c>
      <c r="H2907" t="s">
        <v>55</v>
      </c>
      <c r="I2907">
        <v>2680</v>
      </c>
      <c r="J2907">
        <v>3484</v>
      </c>
      <c r="K2907">
        <v>4</v>
      </c>
      <c r="L2907">
        <v>10720</v>
      </c>
      <c r="M2907">
        <v>13936</v>
      </c>
      <c r="N2907" t="s">
        <v>56</v>
      </c>
      <c r="O2907">
        <f t="shared" si="90"/>
        <v>2990</v>
      </c>
      <c r="P2907" s="13">
        <f t="shared" si="91"/>
        <v>2016131</v>
      </c>
      <c r="Q2907" s="13">
        <f>SUMIFS(M:M,E:E,Online_eCommerce[[#This Row],[Status]])</f>
        <v>21233992</v>
      </c>
      <c r="R2907" s="13">
        <f>SUMIFS(L:L,H:H,Online_eCommerce[[#This Row],[Brand]])</f>
        <v>2267380</v>
      </c>
      <c r="S2907" s="13">
        <f>SUMIF(H:H,Online_eCommerce[[#This Row],[Brand]],M:M)</f>
        <v>2947594</v>
      </c>
      <c r="T2907" s="13">
        <f>SUMIF(N:N,Online_eCommerce[[#This Row],[Assigned Supervisor]],L:L)</f>
        <v>11733610</v>
      </c>
    </row>
    <row r="2908" spans="1:20" hidden="1" x14ac:dyDescent="0.3">
      <c r="A2908" t="s">
        <v>4328</v>
      </c>
      <c r="B2908" t="s">
        <v>135</v>
      </c>
      <c r="C2908" t="s">
        <v>68</v>
      </c>
      <c r="D2908" t="s">
        <v>4329</v>
      </c>
      <c r="E2908" t="s">
        <v>18</v>
      </c>
      <c r="F2908" t="s">
        <v>112</v>
      </c>
      <c r="G2908" t="s">
        <v>71</v>
      </c>
      <c r="H2908" t="s">
        <v>21</v>
      </c>
      <c r="I2908">
        <v>8250</v>
      </c>
      <c r="J2908">
        <v>10725</v>
      </c>
      <c r="K2908">
        <v>3</v>
      </c>
      <c r="L2908">
        <v>24750</v>
      </c>
      <c r="M2908">
        <v>32175</v>
      </c>
      <c r="N2908" t="s">
        <v>22</v>
      </c>
      <c r="O2908">
        <f t="shared" si="90"/>
        <v>9750</v>
      </c>
      <c r="P2908" s="13">
        <f t="shared" si="91"/>
        <v>2974621</v>
      </c>
      <c r="Q2908" s="13">
        <f>SUMIFS(M:M,E:E,Online_eCommerce[[#This Row],[Status]])</f>
        <v>28340455</v>
      </c>
      <c r="R2908" s="13">
        <f>SUMIFS(L:L,H:H,Online_eCommerce[[#This Row],[Brand]])</f>
        <v>12435650</v>
      </c>
      <c r="S2908" s="13">
        <f>SUMIF(H:H,Online_eCommerce[[#This Row],[Brand]],M:M)</f>
        <v>16166345</v>
      </c>
      <c r="T2908" s="13">
        <f>SUMIF(N:N,Online_eCommerce[[#This Row],[Assigned Supervisor]],L:L)</f>
        <v>13693220</v>
      </c>
    </row>
    <row r="2909" spans="1:20" hidden="1" x14ac:dyDescent="0.3">
      <c r="A2909" t="s">
        <v>4330</v>
      </c>
      <c r="B2909" t="s">
        <v>139</v>
      </c>
      <c r="C2909" t="s">
        <v>74</v>
      </c>
      <c r="D2909" t="s">
        <v>4331</v>
      </c>
      <c r="E2909" t="s">
        <v>161</v>
      </c>
      <c r="F2909" t="s">
        <v>3894</v>
      </c>
      <c r="G2909" t="s">
        <v>40</v>
      </c>
      <c r="H2909" t="s">
        <v>21</v>
      </c>
      <c r="I2909">
        <v>2650</v>
      </c>
      <c r="J2909">
        <v>3445</v>
      </c>
      <c r="K2909">
        <v>2</v>
      </c>
      <c r="L2909">
        <v>5300</v>
      </c>
      <c r="M2909">
        <v>6890</v>
      </c>
      <c r="N2909" t="s">
        <v>28</v>
      </c>
      <c r="O2909">
        <f t="shared" si="90"/>
        <v>25545</v>
      </c>
      <c r="P2909" s="13">
        <f t="shared" si="91"/>
        <v>2144701</v>
      </c>
      <c r="Q2909" s="13">
        <f>SUMIFS(M:M,E:E,Online_eCommerce[[#This Row],[Status]])</f>
        <v>21103186</v>
      </c>
      <c r="R2909" s="13">
        <f>SUMIFS(L:L,H:H,Online_eCommerce[[#This Row],[Brand]])</f>
        <v>12435650</v>
      </c>
      <c r="S2909" s="13">
        <f>SUMIF(H:H,Online_eCommerce[[#This Row],[Brand]],M:M)</f>
        <v>16166345</v>
      </c>
      <c r="T2909" s="13">
        <f>SUMIF(N:N,Online_eCommerce[[#This Row],[Assigned Supervisor]],L:L)</f>
        <v>12220830</v>
      </c>
    </row>
    <row r="2910" spans="1:20" x14ac:dyDescent="0.3">
      <c r="A2910" t="s">
        <v>4332</v>
      </c>
      <c r="B2910" t="s">
        <v>144</v>
      </c>
      <c r="C2910" t="s">
        <v>81</v>
      </c>
      <c r="D2910" t="s">
        <v>4333</v>
      </c>
      <c r="E2910" t="s">
        <v>46</v>
      </c>
      <c r="F2910" t="s">
        <v>121</v>
      </c>
      <c r="G2910" t="s">
        <v>71</v>
      </c>
      <c r="H2910" t="s">
        <v>122</v>
      </c>
      <c r="I2910">
        <v>12550</v>
      </c>
      <c r="J2910">
        <v>16315</v>
      </c>
      <c r="K2910">
        <v>4</v>
      </c>
      <c r="L2910">
        <v>50200</v>
      </c>
      <c r="M2910">
        <v>65260</v>
      </c>
      <c r="N2910" t="s">
        <v>35</v>
      </c>
      <c r="O2910">
        <f t="shared" si="90"/>
        <v>9750</v>
      </c>
      <c r="P2910" s="13">
        <f t="shared" si="91"/>
        <v>2595632</v>
      </c>
      <c r="Q2910" s="13">
        <f>SUMIFS(M:M,E:E,Online_eCommerce[[#This Row],[Status]])</f>
        <v>28620410</v>
      </c>
      <c r="R2910" s="13">
        <f>SUMIFS(L:L,H:H,Online_eCommerce[[#This Row],[Brand]])</f>
        <v>5045100</v>
      </c>
      <c r="S2910" s="13">
        <f>SUMIF(H:H,Online_eCommerce[[#This Row],[Brand]],M:M)</f>
        <v>6558630</v>
      </c>
      <c r="T2910" s="13">
        <f>SUMIF(N:N,Online_eCommerce[[#This Row],[Assigned Supervisor]],L:L)</f>
        <v>14373360</v>
      </c>
    </row>
    <row r="2911" spans="1:20" hidden="1" x14ac:dyDescent="0.3">
      <c r="A2911" t="s">
        <v>4334</v>
      </c>
      <c r="B2911" t="s">
        <v>149</v>
      </c>
      <c r="C2911" t="s">
        <v>86</v>
      </c>
      <c r="D2911" t="s">
        <v>4335</v>
      </c>
      <c r="E2911" t="s">
        <v>96</v>
      </c>
      <c r="F2911" t="s">
        <v>126</v>
      </c>
      <c r="G2911" t="s">
        <v>26</v>
      </c>
      <c r="H2911" t="s">
        <v>27</v>
      </c>
      <c r="I2911">
        <v>14500</v>
      </c>
      <c r="J2911">
        <v>18850</v>
      </c>
      <c r="K2911">
        <v>3</v>
      </c>
      <c r="L2911">
        <v>43500</v>
      </c>
      <c r="M2911">
        <v>56550</v>
      </c>
      <c r="N2911" t="s">
        <v>42</v>
      </c>
      <c r="O2911">
        <f t="shared" si="90"/>
        <v>33150</v>
      </c>
      <c r="P2911" s="13">
        <f t="shared" si="91"/>
        <v>1941225</v>
      </c>
      <c r="Q2911" s="13">
        <f>SUMIFS(M:M,E:E,Online_eCommerce[[#This Row],[Status]])</f>
        <v>21233992</v>
      </c>
      <c r="R2911" s="13">
        <f>SUMIFS(L:L,H:H,Online_eCommerce[[#This Row],[Brand]])</f>
        <v>14431000</v>
      </c>
      <c r="S2911" s="13">
        <f>SUMIF(H:H,Online_eCommerce[[#This Row],[Brand]],M:M)</f>
        <v>18760300</v>
      </c>
      <c r="T2911" s="13">
        <f>SUMIF(N:N,Online_eCommerce[[#This Row],[Assigned Supervisor]],L:L)</f>
        <v>12261500</v>
      </c>
    </row>
    <row r="2912" spans="1:20" hidden="1" x14ac:dyDescent="0.3">
      <c r="A2912" t="s">
        <v>4336</v>
      </c>
      <c r="B2912" t="s">
        <v>154</v>
      </c>
      <c r="C2912" t="s">
        <v>91</v>
      </c>
      <c r="D2912" t="s">
        <v>4337</v>
      </c>
      <c r="E2912" t="s">
        <v>18</v>
      </c>
      <c r="F2912" t="s">
        <v>129</v>
      </c>
      <c r="G2912" t="s">
        <v>60</v>
      </c>
      <c r="H2912" t="s">
        <v>61</v>
      </c>
      <c r="I2912">
        <v>800</v>
      </c>
      <c r="J2912">
        <v>1040</v>
      </c>
      <c r="K2912">
        <v>1</v>
      </c>
      <c r="L2912">
        <v>800</v>
      </c>
      <c r="M2912">
        <v>1040</v>
      </c>
      <c r="N2912" t="s">
        <v>50</v>
      </c>
      <c r="O2912">
        <f t="shared" si="90"/>
        <v>3315</v>
      </c>
      <c r="P2912" s="13">
        <f t="shared" si="91"/>
        <v>2731963</v>
      </c>
      <c r="Q2912" s="13">
        <f>SUMIFS(M:M,E:E,Online_eCommerce[[#This Row],[Status]])</f>
        <v>28340455</v>
      </c>
      <c r="R2912" s="13">
        <f>SUMIFS(L:L,H:H,Online_eCommerce[[#This Row],[Brand]])</f>
        <v>10950150</v>
      </c>
      <c r="S2912" s="13">
        <f>SUMIF(H:H,Online_eCommerce[[#This Row],[Brand]],M:M)</f>
        <v>14235195</v>
      </c>
      <c r="T2912" s="13">
        <f>SUMIF(N:N,Online_eCommerce[[#This Row],[Assigned Supervisor]],L:L)</f>
        <v>12100590</v>
      </c>
    </row>
    <row r="2913" spans="1:20" hidden="1" x14ac:dyDescent="0.3">
      <c r="A2913" t="s">
        <v>4338</v>
      </c>
      <c r="B2913" t="s">
        <v>159</v>
      </c>
      <c r="C2913" t="s">
        <v>94</v>
      </c>
      <c r="D2913" t="s">
        <v>4339</v>
      </c>
      <c r="E2913" t="s">
        <v>161</v>
      </c>
      <c r="F2913" t="s">
        <v>133</v>
      </c>
      <c r="G2913" t="s">
        <v>66</v>
      </c>
      <c r="H2913" t="s">
        <v>21</v>
      </c>
      <c r="I2913">
        <v>600</v>
      </c>
      <c r="J2913">
        <v>780</v>
      </c>
      <c r="K2913">
        <v>3</v>
      </c>
      <c r="L2913">
        <v>1800</v>
      </c>
      <c r="M2913">
        <v>2340</v>
      </c>
      <c r="N2913" t="s">
        <v>56</v>
      </c>
      <c r="O2913">
        <f t="shared" si="90"/>
        <v>1690</v>
      </c>
      <c r="P2913" s="13">
        <f t="shared" si="91"/>
        <v>1868256</v>
      </c>
      <c r="Q2913" s="13">
        <f>SUMIFS(M:M,E:E,Online_eCommerce[[#This Row],[Status]])</f>
        <v>21103186</v>
      </c>
      <c r="R2913" s="13">
        <f>SUMIFS(L:L,H:H,Online_eCommerce[[#This Row],[Brand]])</f>
        <v>12435650</v>
      </c>
      <c r="S2913" s="13">
        <f>SUMIF(H:H,Online_eCommerce[[#This Row],[Brand]],M:M)</f>
        <v>16166345</v>
      </c>
      <c r="T2913" s="13">
        <f>SUMIF(N:N,Online_eCommerce[[#This Row],[Assigned Supervisor]],L:L)</f>
        <v>11733610</v>
      </c>
    </row>
    <row r="2914" spans="1:20" x14ac:dyDescent="0.3">
      <c r="A2914" t="s">
        <v>4340</v>
      </c>
      <c r="B2914" t="s">
        <v>139</v>
      </c>
      <c r="C2914" t="s">
        <v>99</v>
      </c>
      <c r="D2914" t="s">
        <v>4341</v>
      </c>
      <c r="E2914" t="s">
        <v>46</v>
      </c>
      <c r="F2914" t="s">
        <v>137</v>
      </c>
      <c r="G2914" t="s">
        <v>71</v>
      </c>
      <c r="H2914" t="s">
        <v>61</v>
      </c>
      <c r="I2914">
        <v>10500</v>
      </c>
      <c r="J2914">
        <v>13650</v>
      </c>
      <c r="K2914">
        <v>2</v>
      </c>
      <c r="L2914">
        <v>21000</v>
      </c>
      <c r="M2914">
        <v>27300</v>
      </c>
      <c r="N2914" t="s">
        <v>22</v>
      </c>
      <c r="O2914">
        <f t="shared" si="90"/>
        <v>9750</v>
      </c>
      <c r="P2914" s="13">
        <f t="shared" si="91"/>
        <v>2651233</v>
      </c>
      <c r="Q2914" s="13">
        <f>SUMIFS(M:M,E:E,Online_eCommerce[[#This Row],[Status]])</f>
        <v>28620410</v>
      </c>
      <c r="R2914" s="13">
        <f>SUMIFS(L:L,H:H,Online_eCommerce[[#This Row],[Brand]])</f>
        <v>10950150</v>
      </c>
      <c r="S2914" s="13">
        <f>SUMIF(H:H,Online_eCommerce[[#This Row],[Brand]],M:M)</f>
        <v>14235195</v>
      </c>
      <c r="T2914" s="13">
        <f>SUMIF(N:N,Online_eCommerce[[#This Row],[Assigned Supervisor]],L:L)</f>
        <v>13693220</v>
      </c>
    </row>
    <row r="2915" spans="1:20" hidden="1" x14ac:dyDescent="0.3">
      <c r="A2915" t="s">
        <v>4342</v>
      </c>
      <c r="B2915" t="s">
        <v>144</v>
      </c>
      <c r="C2915" t="s">
        <v>105</v>
      </c>
      <c r="D2915" t="s">
        <v>4343</v>
      </c>
      <c r="E2915" t="s">
        <v>96</v>
      </c>
      <c r="F2915" t="s">
        <v>4294</v>
      </c>
      <c r="G2915" t="s">
        <v>77</v>
      </c>
      <c r="H2915" t="s">
        <v>142</v>
      </c>
      <c r="I2915">
        <v>6500</v>
      </c>
      <c r="J2915">
        <v>8450</v>
      </c>
      <c r="K2915">
        <v>2</v>
      </c>
      <c r="L2915">
        <v>13000</v>
      </c>
      <c r="M2915">
        <v>16900</v>
      </c>
      <c r="N2915" t="s">
        <v>28</v>
      </c>
      <c r="O2915">
        <f t="shared" si="90"/>
        <v>39000</v>
      </c>
      <c r="P2915" s="13">
        <f t="shared" si="91"/>
        <v>1866852</v>
      </c>
      <c r="Q2915" s="13">
        <f>SUMIFS(M:M,E:E,Online_eCommerce[[#This Row],[Status]])</f>
        <v>21233992</v>
      </c>
      <c r="R2915" s="13">
        <f>SUMIFS(L:L,H:H,Online_eCommerce[[#This Row],[Brand]])</f>
        <v>6192500</v>
      </c>
      <c r="S2915" s="13">
        <f>SUMIF(H:H,Online_eCommerce[[#This Row],[Brand]],M:M)</f>
        <v>8050250</v>
      </c>
      <c r="T2915" s="13">
        <f>SUMIF(N:N,Online_eCommerce[[#This Row],[Assigned Supervisor]],L:L)</f>
        <v>12220830</v>
      </c>
    </row>
    <row r="2916" spans="1:20" hidden="1" x14ac:dyDescent="0.3">
      <c r="A2916" t="s">
        <v>4344</v>
      </c>
      <c r="B2916" t="s">
        <v>235</v>
      </c>
      <c r="C2916" t="s">
        <v>110</v>
      </c>
      <c r="D2916" t="s">
        <v>4345</v>
      </c>
      <c r="E2916" t="s">
        <v>18</v>
      </c>
      <c r="F2916" t="s">
        <v>4346</v>
      </c>
      <c r="G2916" t="s">
        <v>20</v>
      </c>
      <c r="H2916" t="s">
        <v>21</v>
      </c>
      <c r="I2916">
        <v>4500</v>
      </c>
      <c r="J2916">
        <v>5850</v>
      </c>
      <c r="K2916">
        <v>3</v>
      </c>
      <c r="L2916">
        <v>13500</v>
      </c>
      <c r="M2916">
        <v>17550</v>
      </c>
      <c r="N2916" t="s">
        <v>35</v>
      </c>
      <c r="O2916">
        <f t="shared" si="90"/>
        <v>8450</v>
      </c>
      <c r="P2916" s="13">
        <f t="shared" si="91"/>
        <v>2598635</v>
      </c>
      <c r="Q2916" s="13">
        <f>SUMIFS(M:M,E:E,Online_eCommerce[[#This Row],[Status]])</f>
        <v>28340455</v>
      </c>
      <c r="R2916" s="13">
        <f>SUMIFS(L:L,H:H,Online_eCommerce[[#This Row],[Brand]])</f>
        <v>12435650</v>
      </c>
      <c r="S2916" s="13">
        <f>SUMIF(H:H,Online_eCommerce[[#This Row],[Brand]],M:M)</f>
        <v>16166345</v>
      </c>
      <c r="T2916" s="13">
        <f>SUMIF(N:N,Online_eCommerce[[#This Row],[Assigned Supervisor]],L:L)</f>
        <v>14373360</v>
      </c>
    </row>
    <row r="2917" spans="1:20" hidden="1" x14ac:dyDescent="0.3">
      <c r="A2917" t="s">
        <v>4347</v>
      </c>
      <c r="B2917" t="s">
        <v>176</v>
      </c>
      <c r="C2917" t="s">
        <v>115</v>
      </c>
      <c r="D2917" t="s">
        <v>4348</v>
      </c>
      <c r="E2917" t="s">
        <v>161</v>
      </c>
      <c r="F2917" t="s">
        <v>152</v>
      </c>
      <c r="G2917" t="s">
        <v>26</v>
      </c>
      <c r="H2917" t="s">
        <v>27</v>
      </c>
      <c r="I2917">
        <v>8500</v>
      </c>
      <c r="J2917">
        <v>11050</v>
      </c>
      <c r="K2917">
        <v>3</v>
      </c>
      <c r="L2917">
        <v>25500</v>
      </c>
      <c r="M2917">
        <v>33150</v>
      </c>
      <c r="N2917" t="s">
        <v>42</v>
      </c>
      <c r="O2917">
        <f t="shared" si="90"/>
        <v>33150</v>
      </c>
      <c r="P2917" s="13">
        <f t="shared" si="91"/>
        <v>2050178</v>
      </c>
      <c r="Q2917" s="13">
        <f>SUMIFS(M:M,E:E,Online_eCommerce[[#This Row],[Status]])</f>
        <v>21103186</v>
      </c>
      <c r="R2917" s="13">
        <f>SUMIFS(L:L,H:H,Online_eCommerce[[#This Row],[Brand]])</f>
        <v>14431000</v>
      </c>
      <c r="S2917" s="13">
        <f>SUMIF(H:H,Online_eCommerce[[#This Row],[Brand]],M:M)</f>
        <v>18760300</v>
      </c>
      <c r="T2917" s="13">
        <f>SUMIF(N:N,Online_eCommerce[[#This Row],[Assigned Supervisor]],L:L)</f>
        <v>12261500</v>
      </c>
    </row>
    <row r="2918" spans="1:20" x14ac:dyDescent="0.3">
      <c r="A2918" t="s">
        <v>4349</v>
      </c>
      <c r="B2918" t="s">
        <v>276</v>
      </c>
      <c r="C2918" t="s">
        <v>120</v>
      </c>
      <c r="D2918" t="s">
        <v>4350</v>
      </c>
      <c r="E2918" t="s">
        <v>46</v>
      </c>
      <c r="F2918" t="s">
        <v>157</v>
      </c>
      <c r="G2918" t="s">
        <v>33</v>
      </c>
      <c r="H2918" t="s">
        <v>34</v>
      </c>
      <c r="I2918">
        <v>12500</v>
      </c>
      <c r="J2918">
        <v>16250</v>
      </c>
      <c r="K2918">
        <v>1</v>
      </c>
      <c r="L2918">
        <v>12500</v>
      </c>
      <c r="M2918">
        <v>16250</v>
      </c>
      <c r="N2918" t="s">
        <v>50</v>
      </c>
      <c r="O2918">
        <f t="shared" si="90"/>
        <v>18200</v>
      </c>
      <c r="P2918" s="13">
        <f t="shared" si="91"/>
        <v>2734212</v>
      </c>
      <c r="Q2918" s="13">
        <f>SUMIFS(M:M,E:E,Online_eCommerce[[#This Row],[Status]])</f>
        <v>28620410</v>
      </c>
      <c r="R2918" s="13">
        <f>SUMIFS(L:L,H:H,Online_eCommerce[[#This Row],[Brand]])</f>
        <v>10087000</v>
      </c>
      <c r="S2918" s="13">
        <f>SUMIF(H:H,Online_eCommerce[[#This Row],[Brand]],M:M)</f>
        <v>13113100</v>
      </c>
      <c r="T2918" s="13">
        <f>SUMIF(N:N,Online_eCommerce[[#This Row],[Assigned Supervisor]],L:L)</f>
        <v>12100590</v>
      </c>
    </row>
    <row r="2919" spans="1:20" hidden="1" x14ac:dyDescent="0.3">
      <c r="A2919" t="s">
        <v>4351</v>
      </c>
      <c r="B2919" t="s">
        <v>280</v>
      </c>
      <c r="C2919" t="s">
        <v>125</v>
      </c>
      <c r="D2919" t="s">
        <v>4352</v>
      </c>
      <c r="E2919" t="s">
        <v>96</v>
      </c>
      <c r="F2919" t="s">
        <v>3937</v>
      </c>
      <c r="G2919" t="s">
        <v>256</v>
      </c>
      <c r="H2919" t="s">
        <v>41</v>
      </c>
      <c r="I2919">
        <v>3500</v>
      </c>
      <c r="J2919">
        <v>4550</v>
      </c>
      <c r="K2919">
        <v>1</v>
      </c>
      <c r="L2919">
        <v>3500</v>
      </c>
      <c r="M2919">
        <v>4550</v>
      </c>
      <c r="N2919" t="s">
        <v>56</v>
      </c>
      <c r="O2919">
        <f t="shared" si="90"/>
        <v>9100</v>
      </c>
      <c r="P2919" s="13">
        <f t="shared" si="91"/>
        <v>2091154</v>
      </c>
      <c r="Q2919" s="13">
        <f>SUMIFS(M:M,E:E,Online_eCommerce[[#This Row],[Status]])</f>
        <v>21233992</v>
      </c>
      <c r="R2919" s="13">
        <f>SUMIFS(L:L,H:H,Online_eCommerce[[#This Row],[Brand]])</f>
        <v>4260400</v>
      </c>
      <c r="S2919" s="13">
        <f>SUMIF(H:H,Online_eCommerce[[#This Row],[Brand]],M:M)</f>
        <v>5538520</v>
      </c>
      <c r="T2919" s="13">
        <f>SUMIF(N:N,Online_eCommerce[[#This Row],[Assigned Supervisor]],L:L)</f>
        <v>11733610</v>
      </c>
    </row>
    <row r="2920" spans="1:20" hidden="1" x14ac:dyDescent="0.3">
      <c r="A2920" t="s">
        <v>4353</v>
      </c>
      <c r="B2920" t="s">
        <v>283</v>
      </c>
      <c r="C2920" t="s">
        <v>22</v>
      </c>
      <c r="D2920" t="s">
        <v>4354</v>
      </c>
      <c r="E2920" t="s">
        <v>18</v>
      </c>
      <c r="F2920" t="s">
        <v>166</v>
      </c>
      <c r="G2920" t="s">
        <v>259</v>
      </c>
      <c r="H2920" t="s">
        <v>49</v>
      </c>
      <c r="I2920">
        <v>4500</v>
      </c>
      <c r="J2920">
        <v>5850</v>
      </c>
      <c r="K2920">
        <v>4</v>
      </c>
      <c r="L2920">
        <v>18000</v>
      </c>
      <c r="M2920">
        <v>23400</v>
      </c>
      <c r="N2920" t="s">
        <v>22</v>
      </c>
      <c r="O2920">
        <f t="shared" si="90"/>
        <v>11700</v>
      </c>
      <c r="P2920" s="13">
        <f t="shared" si="91"/>
        <v>2551588</v>
      </c>
      <c r="Q2920" s="13">
        <f>SUMIFS(M:M,E:E,Online_eCommerce[[#This Row],[Status]])</f>
        <v>28340455</v>
      </c>
      <c r="R2920" s="13">
        <f>SUMIFS(L:L,H:H,Online_eCommerce[[#This Row],[Brand]])</f>
        <v>4528350</v>
      </c>
      <c r="S2920" s="13">
        <f>SUMIF(H:H,Online_eCommerce[[#This Row],[Brand]],M:M)</f>
        <v>5886855</v>
      </c>
      <c r="T2920" s="13">
        <f>SUMIF(N:N,Online_eCommerce[[#This Row],[Assigned Supervisor]],L:L)</f>
        <v>13693220</v>
      </c>
    </row>
    <row r="2921" spans="1:20" hidden="1" x14ac:dyDescent="0.3">
      <c r="A2921" t="s">
        <v>4355</v>
      </c>
      <c r="B2921" t="s">
        <v>287</v>
      </c>
      <c r="C2921" t="s">
        <v>132</v>
      </c>
      <c r="D2921" t="s">
        <v>4356</v>
      </c>
      <c r="E2921" t="s">
        <v>161</v>
      </c>
      <c r="F2921" t="s">
        <v>4357</v>
      </c>
      <c r="G2921" t="s">
        <v>54</v>
      </c>
      <c r="H2921" t="s">
        <v>55</v>
      </c>
      <c r="I2921">
        <v>2100</v>
      </c>
      <c r="J2921">
        <v>2730</v>
      </c>
      <c r="K2921">
        <v>4</v>
      </c>
      <c r="L2921">
        <v>8400</v>
      </c>
      <c r="M2921">
        <v>10920</v>
      </c>
      <c r="N2921" t="s">
        <v>28</v>
      </c>
      <c r="O2921">
        <f t="shared" si="90"/>
        <v>2990</v>
      </c>
      <c r="P2921" s="13">
        <f t="shared" si="91"/>
        <v>1989065</v>
      </c>
      <c r="Q2921" s="13">
        <f>SUMIFS(M:M,E:E,Online_eCommerce[[#This Row],[Status]])</f>
        <v>21103186</v>
      </c>
      <c r="R2921" s="13">
        <f>SUMIFS(L:L,H:H,Online_eCommerce[[#This Row],[Brand]])</f>
        <v>2267380</v>
      </c>
      <c r="S2921" s="13">
        <f>SUMIF(H:H,Online_eCommerce[[#This Row],[Brand]],M:M)</f>
        <v>2947594</v>
      </c>
      <c r="T2921" s="13">
        <f>SUMIF(N:N,Online_eCommerce[[#This Row],[Assigned Supervisor]],L:L)</f>
        <v>12220830</v>
      </c>
    </row>
    <row r="2922" spans="1:20" x14ac:dyDescent="0.3">
      <c r="A2922" t="s">
        <v>4358</v>
      </c>
      <c r="B2922" t="s">
        <v>290</v>
      </c>
      <c r="C2922" t="s">
        <v>136</v>
      </c>
      <c r="D2922" t="s">
        <v>4359</v>
      </c>
      <c r="E2922" t="s">
        <v>46</v>
      </c>
      <c r="F2922" t="s">
        <v>174</v>
      </c>
      <c r="G2922" t="s">
        <v>60</v>
      </c>
      <c r="H2922" t="s">
        <v>61</v>
      </c>
      <c r="I2922">
        <v>1150</v>
      </c>
      <c r="J2922">
        <v>1495</v>
      </c>
      <c r="K2922">
        <v>4</v>
      </c>
      <c r="L2922">
        <v>4600</v>
      </c>
      <c r="M2922">
        <v>5980</v>
      </c>
      <c r="N2922" t="s">
        <v>35</v>
      </c>
      <c r="O2922">
        <f t="shared" si="90"/>
        <v>3315</v>
      </c>
      <c r="P2922" s="13">
        <f t="shared" si="91"/>
        <v>2775162</v>
      </c>
      <c r="Q2922" s="13">
        <f>SUMIFS(M:M,E:E,Online_eCommerce[[#This Row],[Status]])</f>
        <v>28620410</v>
      </c>
      <c r="R2922" s="13">
        <f>SUMIFS(L:L,H:H,Online_eCommerce[[#This Row],[Brand]])</f>
        <v>10950150</v>
      </c>
      <c r="S2922" s="13">
        <f>SUMIF(H:H,Online_eCommerce[[#This Row],[Brand]],M:M)</f>
        <v>14235195</v>
      </c>
      <c r="T2922" s="13">
        <f>SUMIF(N:N,Online_eCommerce[[#This Row],[Assigned Supervisor]],L:L)</f>
        <v>14373360</v>
      </c>
    </row>
    <row r="2923" spans="1:20" hidden="1" x14ac:dyDescent="0.3">
      <c r="A2923" t="s">
        <v>4360</v>
      </c>
      <c r="B2923" t="s">
        <v>15</v>
      </c>
      <c r="C2923" t="s">
        <v>140</v>
      </c>
      <c r="D2923" t="s">
        <v>4361</v>
      </c>
      <c r="E2923" t="s">
        <v>96</v>
      </c>
      <c r="F2923" t="s">
        <v>179</v>
      </c>
      <c r="G2923" t="s">
        <v>66</v>
      </c>
      <c r="H2923" t="s">
        <v>21</v>
      </c>
      <c r="I2923">
        <v>350</v>
      </c>
      <c r="J2923">
        <v>455</v>
      </c>
      <c r="K2923">
        <v>2</v>
      </c>
      <c r="L2923">
        <v>700</v>
      </c>
      <c r="M2923">
        <v>910</v>
      </c>
      <c r="N2923" t="s">
        <v>42</v>
      </c>
      <c r="O2923">
        <f t="shared" si="90"/>
        <v>1690</v>
      </c>
      <c r="P2923" s="13">
        <f t="shared" si="91"/>
        <v>2058264</v>
      </c>
      <c r="Q2923" s="13">
        <f>SUMIFS(M:M,E:E,Online_eCommerce[[#This Row],[Status]])</f>
        <v>21233992</v>
      </c>
      <c r="R2923" s="13">
        <f>SUMIFS(L:L,H:H,Online_eCommerce[[#This Row],[Brand]])</f>
        <v>12435650</v>
      </c>
      <c r="S2923" s="13">
        <f>SUMIF(H:H,Online_eCommerce[[#This Row],[Brand]],M:M)</f>
        <v>16166345</v>
      </c>
      <c r="T2923" s="13">
        <f>SUMIF(N:N,Online_eCommerce[[#This Row],[Assigned Supervisor]],L:L)</f>
        <v>12261500</v>
      </c>
    </row>
    <row r="2924" spans="1:20" hidden="1" x14ac:dyDescent="0.3">
      <c r="A2924" t="s">
        <v>4362</v>
      </c>
      <c r="B2924" t="s">
        <v>202</v>
      </c>
      <c r="C2924" t="s">
        <v>145</v>
      </c>
      <c r="D2924" t="s">
        <v>4363</v>
      </c>
      <c r="E2924" t="s">
        <v>18</v>
      </c>
      <c r="F2924" t="s">
        <v>183</v>
      </c>
      <c r="G2924" t="s">
        <v>71</v>
      </c>
      <c r="H2924" t="s">
        <v>61</v>
      </c>
      <c r="I2924">
        <v>9500</v>
      </c>
      <c r="J2924">
        <v>12350</v>
      </c>
      <c r="K2924">
        <v>4</v>
      </c>
      <c r="L2924">
        <v>38000</v>
      </c>
      <c r="M2924">
        <v>49400</v>
      </c>
      <c r="N2924" t="s">
        <v>50</v>
      </c>
      <c r="O2924">
        <f t="shared" si="90"/>
        <v>9750</v>
      </c>
      <c r="P2924" s="13">
        <f t="shared" si="91"/>
        <v>2757859</v>
      </c>
      <c r="Q2924" s="13">
        <f>SUMIFS(M:M,E:E,Online_eCommerce[[#This Row],[Status]])</f>
        <v>28340455</v>
      </c>
      <c r="R2924" s="13">
        <f>SUMIFS(L:L,H:H,Online_eCommerce[[#This Row],[Brand]])</f>
        <v>10950150</v>
      </c>
      <c r="S2924" s="13">
        <f>SUMIF(H:H,Online_eCommerce[[#This Row],[Brand]],M:M)</f>
        <v>14235195</v>
      </c>
      <c r="T2924" s="13">
        <f>SUMIF(N:N,Online_eCommerce[[#This Row],[Assigned Supervisor]],L:L)</f>
        <v>12100590</v>
      </c>
    </row>
    <row r="2925" spans="1:20" hidden="1" x14ac:dyDescent="0.3">
      <c r="A2925" t="s">
        <v>4364</v>
      </c>
      <c r="B2925" t="s">
        <v>30</v>
      </c>
      <c r="C2925" t="s">
        <v>150</v>
      </c>
      <c r="D2925" t="s">
        <v>4365</v>
      </c>
      <c r="E2925" t="s">
        <v>161</v>
      </c>
      <c r="F2925" t="s">
        <v>4366</v>
      </c>
      <c r="G2925" t="s">
        <v>77</v>
      </c>
      <c r="H2925" t="s">
        <v>142</v>
      </c>
      <c r="I2925">
        <v>10000</v>
      </c>
      <c r="J2925">
        <v>13000</v>
      </c>
      <c r="K2925">
        <v>2</v>
      </c>
      <c r="L2925">
        <v>20000</v>
      </c>
      <c r="M2925">
        <v>26000</v>
      </c>
      <c r="N2925" t="s">
        <v>56</v>
      </c>
      <c r="O2925">
        <f t="shared" si="90"/>
        <v>39000</v>
      </c>
      <c r="P2925" s="13">
        <f t="shared" si="91"/>
        <v>2154984</v>
      </c>
      <c r="Q2925" s="13">
        <f>SUMIFS(M:M,E:E,Online_eCommerce[[#This Row],[Status]])</f>
        <v>21103186</v>
      </c>
      <c r="R2925" s="13">
        <f>SUMIFS(L:L,H:H,Online_eCommerce[[#This Row],[Brand]])</f>
        <v>6192500</v>
      </c>
      <c r="S2925" s="13">
        <f>SUMIF(H:H,Online_eCommerce[[#This Row],[Brand]],M:M)</f>
        <v>8050250</v>
      </c>
      <c r="T2925" s="13">
        <f>SUMIF(N:N,Online_eCommerce[[#This Row],[Assigned Supervisor]],L:L)</f>
        <v>11733610</v>
      </c>
    </row>
    <row r="2926" spans="1:20" x14ac:dyDescent="0.3">
      <c r="A2926" t="s">
        <v>4367</v>
      </c>
      <c r="B2926" t="s">
        <v>37</v>
      </c>
      <c r="C2926" t="s">
        <v>155</v>
      </c>
      <c r="D2926" t="s">
        <v>4368</v>
      </c>
      <c r="E2926" t="s">
        <v>46</v>
      </c>
      <c r="F2926" t="s">
        <v>4369</v>
      </c>
      <c r="G2926" t="s">
        <v>20</v>
      </c>
      <c r="H2926" t="s">
        <v>21</v>
      </c>
      <c r="I2926">
        <v>6500</v>
      </c>
      <c r="J2926">
        <v>8450</v>
      </c>
      <c r="K2926">
        <v>1</v>
      </c>
      <c r="L2926">
        <v>6500</v>
      </c>
      <c r="M2926">
        <v>8450</v>
      </c>
      <c r="N2926" t="s">
        <v>22</v>
      </c>
      <c r="O2926">
        <f t="shared" si="90"/>
        <v>8450</v>
      </c>
      <c r="P2926" s="13">
        <f t="shared" si="91"/>
        <v>2753348</v>
      </c>
      <c r="Q2926" s="13">
        <f>SUMIFS(M:M,E:E,Online_eCommerce[[#This Row],[Status]])</f>
        <v>28620410</v>
      </c>
      <c r="R2926" s="13">
        <f>SUMIFS(L:L,H:H,Online_eCommerce[[#This Row],[Brand]])</f>
        <v>12435650</v>
      </c>
      <c r="S2926" s="13">
        <f>SUMIF(H:H,Online_eCommerce[[#This Row],[Brand]],M:M)</f>
        <v>16166345</v>
      </c>
      <c r="T2926" s="13">
        <f>SUMIF(N:N,Online_eCommerce[[#This Row],[Assigned Supervisor]],L:L)</f>
        <v>13693220</v>
      </c>
    </row>
    <row r="2927" spans="1:20" hidden="1" x14ac:dyDescent="0.3">
      <c r="A2927" t="s">
        <v>4370</v>
      </c>
      <c r="B2927" t="s">
        <v>44</v>
      </c>
      <c r="C2927" t="s">
        <v>160</v>
      </c>
      <c r="D2927" t="s">
        <v>4371</v>
      </c>
      <c r="E2927" t="s">
        <v>96</v>
      </c>
      <c r="F2927" t="s">
        <v>4372</v>
      </c>
      <c r="G2927" t="s">
        <v>26</v>
      </c>
      <c r="H2927" t="s">
        <v>27</v>
      </c>
      <c r="I2927">
        <v>8500</v>
      </c>
      <c r="J2927">
        <v>11050</v>
      </c>
      <c r="K2927">
        <v>4</v>
      </c>
      <c r="L2927">
        <v>34000</v>
      </c>
      <c r="M2927">
        <v>44200</v>
      </c>
      <c r="N2927" t="s">
        <v>28</v>
      </c>
      <c r="O2927">
        <f t="shared" si="90"/>
        <v>33150</v>
      </c>
      <c r="P2927" s="13">
        <f t="shared" si="91"/>
        <v>2303483</v>
      </c>
      <c r="Q2927" s="13">
        <f>SUMIFS(M:M,E:E,Online_eCommerce[[#This Row],[Status]])</f>
        <v>21233992</v>
      </c>
      <c r="R2927" s="13">
        <f>SUMIFS(L:L,H:H,Online_eCommerce[[#This Row],[Brand]])</f>
        <v>14431000</v>
      </c>
      <c r="S2927" s="13">
        <f>SUMIF(H:H,Online_eCommerce[[#This Row],[Brand]],M:M)</f>
        <v>18760300</v>
      </c>
      <c r="T2927" s="13">
        <f>SUMIF(N:N,Online_eCommerce[[#This Row],[Assigned Supervisor]],L:L)</f>
        <v>12220830</v>
      </c>
    </row>
    <row r="2928" spans="1:20" hidden="1" x14ac:dyDescent="0.3">
      <c r="A2928" t="s">
        <v>4373</v>
      </c>
      <c r="B2928" t="s">
        <v>213</v>
      </c>
      <c r="C2928" t="s">
        <v>165</v>
      </c>
      <c r="D2928" t="s">
        <v>4374</v>
      </c>
      <c r="E2928" t="s">
        <v>18</v>
      </c>
      <c r="F2928" t="s">
        <v>32</v>
      </c>
      <c r="G2928" t="s">
        <v>33</v>
      </c>
      <c r="H2928" t="s">
        <v>34</v>
      </c>
      <c r="I2928">
        <v>7000</v>
      </c>
      <c r="J2928">
        <v>9100</v>
      </c>
      <c r="K2928">
        <v>2</v>
      </c>
      <c r="L2928">
        <v>14000</v>
      </c>
      <c r="M2928">
        <v>18200</v>
      </c>
      <c r="N2928" t="s">
        <v>35</v>
      </c>
      <c r="O2928">
        <f t="shared" si="90"/>
        <v>18200</v>
      </c>
      <c r="P2928" s="13">
        <f t="shared" si="91"/>
        <v>2674087</v>
      </c>
      <c r="Q2928" s="13">
        <f>SUMIFS(M:M,E:E,Online_eCommerce[[#This Row],[Status]])</f>
        <v>28340455</v>
      </c>
      <c r="R2928" s="13">
        <f>SUMIFS(L:L,H:H,Online_eCommerce[[#This Row],[Brand]])</f>
        <v>10087000</v>
      </c>
      <c r="S2928" s="13">
        <f>SUMIF(H:H,Online_eCommerce[[#This Row],[Brand]],M:M)</f>
        <v>13113100</v>
      </c>
      <c r="T2928" s="13">
        <f>SUMIF(N:N,Online_eCommerce[[#This Row],[Assigned Supervisor]],L:L)</f>
        <v>14373360</v>
      </c>
    </row>
    <row r="2929" spans="1:20" hidden="1" x14ac:dyDescent="0.3">
      <c r="A2929" t="s">
        <v>4375</v>
      </c>
      <c r="B2929" t="s">
        <v>215</v>
      </c>
      <c r="C2929" t="s">
        <v>168</v>
      </c>
      <c r="D2929" t="s">
        <v>4376</v>
      </c>
      <c r="E2929" t="s">
        <v>161</v>
      </c>
      <c r="F2929" t="s">
        <v>4377</v>
      </c>
      <c r="G2929" t="s">
        <v>256</v>
      </c>
      <c r="H2929" t="s">
        <v>41</v>
      </c>
      <c r="I2929">
        <v>6550</v>
      </c>
      <c r="J2929">
        <v>8515</v>
      </c>
      <c r="K2929">
        <v>2</v>
      </c>
      <c r="L2929">
        <v>13100</v>
      </c>
      <c r="M2929">
        <v>17030</v>
      </c>
      <c r="N2929" t="s">
        <v>42</v>
      </c>
      <c r="O2929">
        <f t="shared" si="90"/>
        <v>9100</v>
      </c>
      <c r="P2929" s="13">
        <f t="shared" si="91"/>
        <v>1937780</v>
      </c>
      <c r="Q2929" s="13">
        <f>SUMIFS(M:M,E:E,Online_eCommerce[[#This Row],[Status]])</f>
        <v>21103186</v>
      </c>
      <c r="R2929" s="13">
        <f>SUMIFS(L:L,H:H,Online_eCommerce[[#This Row],[Brand]])</f>
        <v>4260400</v>
      </c>
      <c r="S2929" s="13">
        <f>SUMIF(H:H,Online_eCommerce[[#This Row],[Brand]],M:M)</f>
        <v>5538520</v>
      </c>
      <c r="T2929" s="13">
        <f>SUMIF(N:N,Online_eCommerce[[#This Row],[Assigned Supervisor]],L:L)</f>
        <v>12261500</v>
      </c>
    </row>
    <row r="2930" spans="1:20" x14ac:dyDescent="0.3">
      <c r="A2930" t="s">
        <v>4378</v>
      </c>
      <c r="B2930" t="s">
        <v>306</v>
      </c>
      <c r="C2930" t="s">
        <v>172</v>
      </c>
      <c r="D2930" t="s">
        <v>4379</v>
      </c>
      <c r="E2930" t="s">
        <v>46</v>
      </c>
      <c r="F2930" t="s">
        <v>47</v>
      </c>
      <c r="G2930" t="s">
        <v>259</v>
      </c>
      <c r="H2930" t="s">
        <v>49</v>
      </c>
      <c r="I2930">
        <v>7650</v>
      </c>
      <c r="J2930">
        <v>9945</v>
      </c>
      <c r="K2930">
        <v>3</v>
      </c>
      <c r="L2930">
        <v>22950</v>
      </c>
      <c r="M2930">
        <v>29835</v>
      </c>
      <c r="N2930" t="s">
        <v>50</v>
      </c>
      <c r="O2930">
        <f t="shared" si="90"/>
        <v>11700</v>
      </c>
      <c r="P2930" s="13">
        <f t="shared" si="91"/>
        <v>2640274</v>
      </c>
      <c r="Q2930" s="13">
        <f>SUMIFS(M:M,E:E,Online_eCommerce[[#This Row],[Status]])</f>
        <v>28620410</v>
      </c>
      <c r="R2930" s="13">
        <f>SUMIFS(L:L,H:H,Online_eCommerce[[#This Row],[Brand]])</f>
        <v>4528350</v>
      </c>
      <c r="S2930" s="13">
        <f>SUMIF(H:H,Online_eCommerce[[#This Row],[Brand]],M:M)</f>
        <v>5886855</v>
      </c>
      <c r="T2930" s="13">
        <f>SUMIF(N:N,Online_eCommerce[[#This Row],[Assigned Supervisor]],L:L)</f>
        <v>12100590</v>
      </c>
    </row>
    <row r="2931" spans="1:20" hidden="1" x14ac:dyDescent="0.3">
      <c r="A2931" t="s">
        <v>4380</v>
      </c>
      <c r="B2931" t="s">
        <v>528</v>
      </c>
      <c r="C2931" t="s">
        <v>177</v>
      </c>
      <c r="D2931" t="s">
        <v>4381</v>
      </c>
      <c r="E2931" t="s">
        <v>96</v>
      </c>
      <c r="F2931" t="s">
        <v>53</v>
      </c>
      <c r="G2931" t="s">
        <v>54</v>
      </c>
      <c r="H2931" t="s">
        <v>55</v>
      </c>
      <c r="I2931">
        <v>1150</v>
      </c>
      <c r="J2931">
        <v>1495</v>
      </c>
      <c r="K2931">
        <v>4</v>
      </c>
      <c r="L2931">
        <v>4600</v>
      </c>
      <c r="M2931">
        <v>5980</v>
      </c>
      <c r="N2931" t="s">
        <v>56</v>
      </c>
      <c r="O2931">
        <f t="shared" si="90"/>
        <v>2990</v>
      </c>
      <c r="P2931" s="13">
        <f t="shared" si="91"/>
        <v>1863810</v>
      </c>
      <c r="Q2931" s="13">
        <f>SUMIFS(M:M,E:E,Online_eCommerce[[#This Row],[Status]])</f>
        <v>21233992</v>
      </c>
      <c r="R2931" s="13">
        <f>SUMIFS(L:L,H:H,Online_eCommerce[[#This Row],[Brand]])</f>
        <v>2267380</v>
      </c>
      <c r="S2931" s="13">
        <f>SUMIF(H:H,Online_eCommerce[[#This Row],[Brand]],M:M)</f>
        <v>2947594</v>
      </c>
      <c r="T2931" s="13">
        <f>SUMIF(N:N,Online_eCommerce[[#This Row],[Assigned Supervisor]],L:L)</f>
        <v>11733610</v>
      </c>
    </row>
    <row r="2932" spans="1:20" hidden="1" x14ac:dyDescent="0.3">
      <c r="A2932" t="s">
        <v>4382</v>
      </c>
      <c r="B2932" t="s">
        <v>73</v>
      </c>
      <c r="C2932" t="s">
        <v>181</v>
      </c>
      <c r="D2932" t="s">
        <v>4383</v>
      </c>
      <c r="E2932" t="s">
        <v>18</v>
      </c>
      <c r="F2932" t="s">
        <v>59</v>
      </c>
      <c r="G2932" t="s">
        <v>60</v>
      </c>
      <c r="H2932" t="s">
        <v>61</v>
      </c>
      <c r="I2932">
        <v>850</v>
      </c>
      <c r="J2932">
        <v>1105</v>
      </c>
      <c r="K2932">
        <v>3</v>
      </c>
      <c r="L2932">
        <v>2550</v>
      </c>
      <c r="M2932">
        <v>3315</v>
      </c>
      <c r="N2932" t="s">
        <v>22</v>
      </c>
      <c r="O2932">
        <f t="shared" si="90"/>
        <v>3315</v>
      </c>
      <c r="P2932" s="13">
        <f t="shared" si="91"/>
        <v>2577458</v>
      </c>
      <c r="Q2932" s="13">
        <f>SUMIFS(M:M,E:E,Online_eCommerce[[#This Row],[Status]])</f>
        <v>28340455</v>
      </c>
      <c r="R2932" s="13">
        <f>SUMIFS(L:L,H:H,Online_eCommerce[[#This Row],[Brand]])</f>
        <v>10950150</v>
      </c>
      <c r="S2932" s="13">
        <f>SUMIF(H:H,Online_eCommerce[[#This Row],[Brand]],M:M)</f>
        <v>14235195</v>
      </c>
      <c r="T2932" s="13">
        <f>SUMIF(N:N,Online_eCommerce[[#This Row],[Assigned Supervisor]],L:L)</f>
        <v>13693220</v>
      </c>
    </row>
    <row r="2933" spans="1:20" hidden="1" x14ac:dyDescent="0.3">
      <c r="A2933" t="s">
        <v>4384</v>
      </c>
      <c r="B2933" t="s">
        <v>80</v>
      </c>
      <c r="C2933" t="s">
        <v>185</v>
      </c>
      <c r="D2933" t="s">
        <v>4385</v>
      </c>
      <c r="E2933" t="s">
        <v>161</v>
      </c>
      <c r="F2933" t="s">
        <v>65</v>
      </c>
      <c r="G2933" t="s">
        <v>66</v>
      </c>
      <c r="H2933" t="s">
        <v>21</v>
      </c>
      <c r="I2933">
        <v>650</v>
      </c>
      <c r="J2933">
        <v>845</v>
      </c>
      <c r="K2933">
        <v>1</v>
      </c>
      <c r="L2933">
        <v>650</v>
      </c>
      <c r="M2933">
        <v>845</v>
      </c>
      <c r="N2933" t="s">
        <v>28</v>
      </c>
      <c r="O2933">
        <f t="shared" si="90"/>
        <v>1690</v>
      </c>
      <c r="P2933" s="13">
        <f t="shared" si="91"/>
        <v>2091596</v>
      </c>
      <c r="Q2933" s="13">
        <f>SUMIFS(M:M,E:E,Online_eCommerce[[#This Row],[Status]])</f>
        <v>21103186</v>
      </c>
      <c r="R2933" s="13">
        <f>SUMIFS(L:L,H:H,Online_eCommerce[[#This Row],[Brand]])</f>
        <v>12435650</v>
      </c>
      <c r="S2933" s="13">
        <f>SUMIF(H:H,Online_eCommerce[[#This Row],[Brand]],M:M)</f>
        <v>16166345</v>
      </c>
      <c r="T2933" s="13">
        <f>SUMIF(N:N,Online_eCommerce[[#This Row],[Assigned Supervisor]],L:L)</f>
        <v>12220830</v>
      </c>
    </row>
    <row r="2934" spans="1:20" x14ac:dyDescent="0.3">
      <c r="A2934" t="s">
        <v>4386</v>
      </c>
      <c r="B2934" t="s">
        <v>85</v>
      </c>
      <c r="C2934" t="s">
        <v>189</v>
      </c>
      <c r="D2934" t="s">
        <v>4387</v>
      </c>
      <c r="E2934" t="s">
        <v>46</v>
      </c>
      <c r="F2934" t="s">
        <v>70</v>
      </c>
      <c r="G2934" t="s">
        <v>71</v>
      </c>
      <c r="H2934" t="s">
        <v>61</v>
      </c>
      <c r="I2934">
        <v>7500</v>
      </c>
      <c r="J2934">
        <v>9750</v>
      </c>
      <c r="K2934">
        <v>3</v>
      </c>
      <c r="L2934">
        <v>22500</v>
      </c>
      <c r="M2934">
        <v>29250</v>
      </c>
      <c r="N2934" t="s">
        <v>35</v>
      </c>
      <c r="O2934">
        <f t="shared" si="90"/>
        <v>9750</v>
      </c>
      <c r="P2934" s="13">
        <f t="shared" si="91"/>
        <v>2740777</v>
      </c>
      <c r="Q2934" s="13">
        <f>SUMIFS(M:M,E:E,Online_eCommerce[[#This Row],[Status]])</f>
        <v>28620410</v>
      </c>
      <c r="R2934" s="13">
        <f>SUMIFS(L:L,H:H,Online_eCommerce[[#This Row],[Brand]])</f>
        <v>10950150</v>
      </c>
      <c r="S2934" s="13">
        <f>SUMIF(H:H,Online_eCommerce[[#This Row],[Brand]],M:M)</f>
        <v>14235195</v>
      </c>
      <c r="T2934" s="13">
        <f>SUMIF(N:N,Online_eCommerce[[#This Row],[Assigned Supervisor]],L:L)</f>
        <v>14373360</v>
      </c>
    </row>
    <row r="2935" spans="1:20" hidden="1" x14ac:dyDescent="0.3">
      <c r="A2935" t="s">
        <v>4388</v>
      </c>
      <c r="B2935" t="s">
        <v>90</v>
      </c>
      <c r="C2935" t="s">
        <v>193</v>
      </c>
      <c r="D2935" t="s">
        <v>4389</v>
      </c>
      <c r="E2935" t="s">
        <v>96</v>
      </c>
      <c r="F2935" t="s">
        <v>4366</v>
      </c>
      <c r="G2935" t="s">
        <v>77</v>
      </c>
      <c r="H2935" t="s">
        <v>78</v>
      </c>
      <c r="I2935">
        <v>10000</v>
      </c>
      <c r="J2935">
        <v>13000</v>
      </c>
      <c r="K2935">
        <v>2</v>
      </c>
      <c r="L2935">
        <v>20000</v>
      </c>
      <c r="M2935">
        <v>26000</v>
      </c>
      <c r="N2935" t="s">
        <v>42</v>
      </c>
      <c r="O2935">
        <f t="shared" si="90"/>
        <v>39000</v>
      </c>
      <c r="P2935" s="13">
        <f t="shared" si="91"/>
        <v>2074774</v>
      </c>
      <c r="Q2935" s="13">
        <f>SUMIFS(M:M,E:E,Online_eCommerce[[#This Row],[Status]])</f>
        <v>21233992</v>
      </c>
      <c r="R2935" s="13">
        <f>SUMIFS(L:L,H:H,Online_eCommerce[[#This Row],[Brand]])</f>
        <v>3720000</v>
      </c>
      <c r="S2935" s="13">
        <f>SUMIF(H:H,Online_eCommerce[[#This Row],[Brand]],M:M)</f>
        <v>4836000</v>
      </c>
      <c r="T2935" s="13">
        <f>SUMIF(N:N,Online_eCommerce[[#This Row],[Assigned Supervisor]],L:L)</f>
        <v>12261500</v>
      </c>
    </row>
    <row r="2936" spans="1:20" hidden="1" x14ac:dyDescent="0.3">
      <c r="A2936" t="s">
        <v>4390</v>
      </c>
      <c r="B2936" t="s">
        <v>232</v>
      </c>
      <c r="C2936" t="s">
        <v>197</v>
      </c>
      <c r="D2936" t="s">
        <v>4391</v>
      </c>
      <c r="E2936" t="s">
        <v>18</v>
      </c>
      <c r="F2936" t="s">
        <v>4392</v>
      </c>
      <c r="G2936" t="s">
        <v>20</v>
      </c>
      <c r="H2936" t="s">
        <v>21</v>
      </c>
      <c r="I2936">
        <v>10500</v>
      </c>
      <c r="J2936">
        <v>13650</v>
      </c>
      <c r="K2936">
        <v>4</v>
      </c>
      <c r="L2936">
        <v>42000</v>
      </c>
      <c r="M2936">
        <v>54600</v>
      </c>
      <c r="N2936" t="s">
        <v>50</v>
      </c>
      <c r="O2936">
        <f t="shared" si="90"/>
        <v>8450</v>
      </c>
      <c r="P2936" s="13">
        <f t="shared" si="91"/>
        <v>2829840</v>
      </c>
      <c r="Q2936" s="13">
        <f>SUMIFS(M:M,E:E,Online_eCommerce[[#This Row],[Status]])</f>
        <v>28340455</v>
      </c>
      <c r="R2936" s="13">
        <f>SUMIFS(L:L,H:H,Online_eCommerce[[#This Row],[Brand]])</f>
        <v>12435650</v>
      </c>
      <c r="S2936" s="13">
        <f>SUMIF(H:H,Online_eCommerce[[#This Row],[Brand]],M:M)</f>
        <v>16166345</v>
      </c>
      <c r="T2936" s="13">
        <f>SUMIF(N:N,Online_eCommerce[[#This Row],[Assigned Supervisor]],L:L)</f>
        <v>12100590</v>
      </c>
    </row>
    <row r="2937" spans="1:20" hidden="1" x14ac:dyDescent="0.3">
      <c r="A2937" t="s">
        <v>4393</v>
      </c>
      <c r="B2937" t="s">
        <v>235</v>
      </c>
      <c r="C2937" t="s">
        <v>199</v>
      </c>
      <c r="D2937" t="s">
        <v>4394</v>
      </c>
      <c r="E2937" t="s">
        <v>161</v>
      </c>
      <c r="F2937" t="s">
        <v>88</v>
      </c>
      <c r="G2937" t="s">
        <v>26</v>
      </c>
      <c r="H2937" t="s">
        <v>27</v>
      </c>
      <c r="I2937">
        <v>8500</v>
      </c>
      <c r="J2937">
        <v>11050</v>
      </c>
      <c r="K2937">
        <v>2</v>
      </c>
      <c r="L2937">
        <v>17000</v>
      </c>
      <c r="M2937">
        <v>22100</v>
      </c>
      <c r="N2937" t="s">
        <v>56</v>
      </c>
      <c r="O2937">
        <f t="shared" si="90"/>
        <v>33150</v>
      </c>
      <c r="P2937" s="13">
        <f t="shared" si="91"/>
        <v>1947361</v>
      </c>
      <c r="Q2937" s="13">
        <f>SUMIFS(M:M,E:E,Online_eCommerce[[#This Row],[Status]])</f>
        <v>21103186</v>
      </c>
      <c r="R2937" s="13">
        <f>SUMIFS(L:L,H:H,Online_eCommerce[[#This Row],[Brand]])</f>
        <v>14431000</v>
      </c>
      <c r="S2937" s="13">
        <f>SUMIF(H:H,Online_eCommerce[[#This Row],[Brand]],M:M)</f>
        <v>18760300</v>
      </c>
      <c r="T2937" s="13">
        <f>SUMIF(N:N,Online_eCommerce[[#This Row],[Assigned Supervisor]],L:L)</f>
        <v>11733610</v>
      </c>
    </row>
    <row r="2938" spans="1:20" x14ac:dyDescent="0.3">
      <c r="A2938" t="s">
        <v>4395</v>
      </c>
      <c r="B2938" t="s">
        <v>104</v>
      </c>
      <c r="C2938" t="s">
        <v>203</v>
      </c>
      <c r="D2938" t="s">
        <v>4396</v>
      </c>
      <c r="E2938" t="s">
        <v>46</v>
      </c>
      <c r="F2938" t="s">
        <v>32</v>
      </c>
      <c r="G2938" t="s">
        <v>33</v>
      </c>
      <c r="H2938" t="s">
        <v>34</v>
      </c>
      <c r="I2938">
        <v>7000</v>
      </c>
      <c r="J2938">
        <v>9100</v>
      </c>
      <c r="K2938">
        <v>1</v>
      </c>
      <c r="L2938">
        <v>7000</v>
      </c>
      <c r="M2938">
        <v>9100</v>
      </c>
      <c r="N2938" t="s">
        <v>22</v>
      </c>
      <c r="O2938">
        <f t="shared" si="90"/>
        <v>18200</v>
      </c>
      <c r="P2938" s="13">
        <f t="shared" si="91"/>
        <v>2559635</v>
      </c>
      <c r="Q2938" s="13">
        <f>SUMIFS(M:M,E:E,Online_eCommerce[[#This Row],[Status]])</f>
        <v>28620410</v>
      </c>
      <c r="R2938" s="13">
        <f>SUMIFS(L:L,H:H,Online_eCommerce[[#This Row],[Brand]])</f>
        <v>10087000</v>
      </c>
      <c r="S2938" s="13">
        <f>SUMIF(H:H,Online_eCommerce[[#This Row],[Brand]],M:M)</f>
        <v>13113100</v>
      </c>
      <c r="T2938" s="13">
        <f>SUMIF(N:N,Online_eCommerce[[#This Row],[Assigned Supervisor]],L:L)</f>
        <v>13693220</v>
      </c>
    </row>
    <row r="2939" spans="1:20" hidden="1" x14ac:dyDescent="0.3">
      <c r="A2939" t="s">
        <v>4397</v>
      </c>
      <c r="B2939" t="s">
        <v>109</v>
      </c>
      <c r="C2939" t="s">
        <v>205</v>
      </c>
      <c r="D2939" t="s">
        <v>4398</v>
      </c>
      <c r="E2939" t="s">
        <v>96</v>
      </c>
      <c r="F2939" t="s">
        <v>4399</v>
      </c>
      <c r="G2939" t="s">
        <v>256</v>
      </c>
      <c r="H2939" t="s">
        <v>41</v>
      </c>
      <c r="I2939">
        <v>1680</v>
      </c>
      <c r="J2939">
        <v>2184</v>
      </c>
      <c r="K2939">
        <v>4</v>
      </c>
      <c r="L2939">
        <v>6720</v>
      </c>
      <c r="M2939">
        <v>8736</v>
      </c>
      <c r="N2939" t="s">
        <v>28</v>
      </c>
      <c r="O2939">
        <f t="shared" si="90"/>
        <v>9100</v>
      </c>
      <c r="P2939" s="13">
        <f t="shared" si="91"/>
        <v>1983254</v>
      </c>
      <c r="Q2939" s="13">
        <f>SUMIFS(M:M,E:E,Online_eCommerce[[#This Row],[Status]])</f>
        <v>21233992</v>
      </c>
      <c r="R2939" s="13">
        <f>SUMIFS(L:L,H:H,Online_eCommerce[[#This Row],[Brand]])</f>
        <v>4260400</v>
      </c>
      <c r="S2939" s="13">
        <f>SUMIF(H:H,Online_eCommerce[[#This Row],[Brand]],M:M)</f>
        <v>5538520</v>
      </c>
      <c r="T2939" s="13">
        <f>SUMIF(N:N,Online_eCommerce[[#This Row],[Assigned Supervisor]],L:L)</f>
        <v>12220830</v>
      </c>
    </row>
    <row r="2940" spans="1:20" hidden="1" x14ac:dyDescent="0.3">
      <c r="A2940" t="s">
        <v>4400</v>
      </c>
      <c r="B2940" t="s">
        <v>114</v>
      </c>
      <c r="C2940" t="s">
        <v>208</v>
      </c>
      <c r="D2940" t="s">
        <v>4401</v>
      </c>
      <c r="E2940" t="s">
        <v>18</v>
      </c>
      <c r="F2940" t="s">
        <v>101</v>
      </c>
      <c r="G2940" t="s">
        <v>259</v>
      </c>
      <c r="H2940" t="s">
        <v>102</v>
      </c>
      <c r="I2940">
        <v>6540</v>
      </c>
      <c r="J2940">
        <v>8502</v>
      </c>
      <c r="K2940">
        <v>4</v>
      </c>
      <c r="L2940">
        <v>26160</v>
      </c>
      <c r="M2940">
        <v>34008</v>
      </c>
      <c r="N2940" t="s">
        <v>35</v>
      </c>
      <c r="O2940">
        <f t="shared" si="90"/>
        <v>11700</v>
      </c>
      <c r="P2940" s="13">
        <f t="shared" si="91"/>
        <v>2746575</v>
      </c>
      <c r="Q2940" s="13">
        <f>SUMIFS(M:M,E:E,Online_eCommerce[[#This Row],[Status]])</f>
        <v>28340455</v>
      </c>
      <c r="R2940" s="13">
        <f>SUMIFS(L:L,H:H,Online_eCommerce[[#This Row],[Brand]])</f>
        <v>2465580</v>
      </c>
      <c r="S2940" s="13">
        <f>SUMIF(H:H,Online_eCommerce[[#This Row],[Brand]],M:M)</f>
        <v>3205254</v>
      </c>
      <c r="T2940" s="13">
        <f>SUMIF(N:N,Online_eCommerce[[#This Row],[Assigned Supervisor]],L:L)</f>
        <v>14373360</v>
      </c>
    </row>
    <row r="2941" spans="1:20" hidden="1" x14ac:dyDescent="0.3">
      <c r="A2941" t="s">
        <v>4402</v>
      </c>
      <c r="B2941" t="s">
        <v>119</v>
      </c>
      <c r="C2941" t="s">
        <v>211</v>
      </c>
      <c r="D2941" t="s">
        <v>4403</v>
      </c>
      <c r="E2941" t="s">
        <v>161</v>
      </c>
      <c r="F2941" t="s">
        <v>107</v>
      </c>
      <c r="G2941" t="s">
        <v>54</v>
      </c>
      <c r="H2941" t="s">
        <v>55</v>
      </c>
      <c r="I2941">
        <v>2680</v>
      </c>
      <c r="J2941">
        <v>3484</v>
      </c>
      <c r="K2941">
        <v>1</v>
      </c>
      <c r="L2941">
        <v>2680</v>
      </c>
      <c r="M2941">
        <v>3484</v>
      </c>
      <c r="N2941" t="s">
        <v>42</v>
      </c>
      <c r="O2941">
        <f t="shared" si="90"/>
        <v>2990</v>
      </c>
      <c r="P2941" s="13">
        <f t="shared" si="91"/>
        <v>1809847</v>
      </c>
      <c r="Q2941" s="13">
        <f>SUMIFS(M:M,E:E,Online_eCommerce[[#This Row],[Status]])</f>
        <v>21103186</v>
      </c>
      <c r="R2941" s="13">
        <f>SUMIFS(L:L,H:H,Online_eCommerce[[#This Row],[Brand]])</f>
        <v>2267380</v>
      </c>
      <c r="S2941" s="13">
        <f>SUMIF(H:H,Online_eCommerce[[#This Row],[Brand]],M:M)</f>
        <v>2947594</v>
      </c>
      <c r="T2941" s="13">
        <f>SUMIF(N:N,Online_eCommerce[[#This Row],[Assigned Supervisor]],L:L)</f>
        <v>12261500</v>
      </c>
    </row>
    <row r="2942" spans="1:20" x14ac:dyDescent="0.3">
      <c r="A2942" t="s">
        <v>4404</v>
      </c>
      <c r="B2942" t="s">
        <v>124</v>
      </c>
      <c r="C2942" t="s">
        <v>16</v>
      </c>
      <c r="D2942" t="s">
        <v>4405</v>
      </c>
      <c r="E2942" t="s">
        <v>46</v>
      </c>
      <c r="F2942" t="s">
        <v>112</v>
      </c>
      <c r="G2942" t="s">
        <v>71</v>
      </c>
      <c r="H2942" t="s">
        <v>21</v>
      </c>
      <c r="I2942">
        <v>8250</v>
      </c>
      <c r="J2942">
        <v>10725</v>
      </c>
      <c r="K2942">
        <v>1</v>
      </c>
      <c r="L2942">
        <v>8250</v>
      </c>
      <c r="M2942">
        <v>10725</v>
      </c>
      <c r="N2942" t="s">
        <v>50</v>
      </c>
      <c r="O2942">
        <f t="shared" si="90"/>
        <v>9750</v>
      </c>
      <c r="P2942" s="13">
        <f t="shared" si="91"/>
        <v>2751814</v>
      </c>
      <c r="Q2942" s="13">
        <f>SUMIFS(M:M,E:E,Online_eCommerce[[#This Row],[Status]])</f>
        <v>28620410</v>
      </c>
      <c r="R2942" s="13">
        <f>SUMIFS(L:L,H:H,Online_eCommerce[[#This Row],[Brand]])</f>
        <v>12435650</v>
      </c>
      <c r="S2942" s="13">
        <f>SUMIF(H:H,Online_eCommerce[[#This Row],[Brand]],M:M)</f>
        <v>16166345</v>
      </c>
      <c r="T2942" s="13">
        <f>SUMIF(N:N,Online_eCommerce[[#This Row],[Assigned Supervisor]],L:L)</f>
        <v>12100590</v>
      </c>
    </row>
    <row r="2943" spans="1:20" hidden="1" x14ac:dyDescent="0.3">
      <c r="A2943" t="s">
        <v>4406</v>
      </c>
      <c r="B2943" t="s">
        <v>128</v>
      </c>
      <c r="C2943" t="s">
        <v>24</v>
      </c>
      <c r="D2943" t="s">
        <v>4407</v>
      </c>
      <c r="E2943" t="s">
        <v>96</v>
      </c>
      <c r="F2943" t="s">
        <v>3937</v>
      </c>
      <c r="G2943" t="s">
        <v>40</v>
      </c>
      <c r="H2943" t="s">
        <v>21</v>
      </c>
      <c r="I2943">
        <v>2650</v>
      </c>
      <c r="J2943">
        <v>3445</v>
      </c>
      <c r="K2943">
        <v>4</v>
      </c>
      <c r="L2943">
        <v>10600</v>
      </c>
      <c r="M2943">
        <v>13780</v>
      </c>
      <c r="N2943" t="s">
        <v>56</v>
      </c>
      <c r="O2943">
        <f t="shared" si="90"/>
        <v>25545</v>
      </c>
      <c r="P2943" s="13">
        <f t="shared" si="91"/>
        <v>2009540</v>
      </c>
      <c r="Q2943" s="13">
        <f>SUMIFS(M:M,E:E,Online_eCommerce[[#This Row],[Status]])</f>
        <v>21233992</v>
      </c>
      <c r="R2943" s="13">
        <f>SUMIFS(L:L,H:H,Online_eCommerce[[#This Row],[Brand]])</f>
        <v>12435650</v>
      </c>
      <c r="S2943" s="13">
        <f>SUMIF(H:H,Online_eCommerce[[#This Row],[Brand]],M:M)</f>
        <v>16166345</v>
      </c>
      <c r="T2943" s="13">
        <f>SUMIF(N:N,Online_eCommerce[[#This Row],[Assigned Supervisor]],L:L)</f>
        <v>11733610</v>
      </c>
    </row>
    <row r="2944" spans="1:20" hidden="1" x14ac:dyDescent="0.3">
      <c r="A2944" t="s">
        <v>4408</v>
      </c>
      <c r="B2944" t="s">
        <v>131</v>
      </c>
      <c r="C2944" t="s">
        <v>31</v>
      </c>
      <c r="D2944" t="s">
        <v>4409</v>
      </c>
      <c r="E2944" t="s">
        <v>18</v>
      </c>
      <c r="F2944" t="s">
        <v>121</v>
      </c>
      <c r="G2944" t="s">
        <v>71</v>
      </c>
      <c r="H2944" t="s">
        <v>122</v>
      </c>
      <c r="I2944">
        <v>12550</v>
      </c>
      <c r="J2944">
        <v>16315</v>
      </c>
      <c r="K2944">
        <v>4</v>
      </c>
      <c r="L2944">
        <v>50200</v>
      </c>
      <c r="M2944">
        <v>65260</v>
      </c>
      <c r="N2944" t="s">
        <v>22</v>
      </c>
      <c r="O2944">
        <f t="shared" si="90"/>
        <v>9750</v>
      </c>
      <c r="P2944" s="13">
        <f t="shared" si="91"/>
        <v>2865746</v>
      </c>
      <c r="Q2944" s="13">
        <f>SUMIFS(M:M,E:E,Online_eCommerce[[#This Row],[Status]])</f>
        <v>28340455</v>
      </c>
      <c r="R2944" s="13">
        <f>SUMIFS(L:L,H:H,Online_eCommerce[[#This Row],[Brand]])</f>
        <v>5045100</v>
      </c>
      <c r="S2944" s="13">
        <f>SUMIF(H:H,Online_eCommerce[[#This Row],[Brand]],M:M)</f>
        <v>6558630</v>
      </c>
      <c r="T2944" s="13">
        <f>SUMIF(N:N,Online_eCommerce[[#This Row],[Assigned Supervisor]],L:L)</f>
        <v>13693220</v>
      </c>
    </row>
    <row r="2945" spans="1:20" hidden="1" x14ac:dyDescent="0.3">
      <c r="A2945" t="s">
        <v>4410</v>
      </c>
      <c r="B2945" t="s">
        <v>135</v>
      </c>
      <c r="C2945" t="s">
        <v>38</v>
      </c>
      <c r="D2945" t="s">
        <v>4411</v>
      </c>
      <c r="E2945" t="s">
        <v>161</v>
      </c>
      <c r="F2945" t="s">
        <v>126</v>
      </c>
      <c r="G2945" t="s">
        <v>26</v>
      </c>
      <c r="H2945" t="s">
        <v>27</v>
      </c>
      <c r="I2945">
        <v>14500</v>
      </c>
      <c r="J2945">
        <v>18850</v>
      </c>
      <c r="K2945">
        <v>3</v>
      </c>
      <c r="L2945">
        <v>43500</v>
      </c>
      <c r="M2945">
        <v>56550</v>
      </c>
      <c r="N2945" t="s">
        <v>28</v>
      </c>
      <c r="O2945">
        <f t="shared" si="90"/>
        <v>33150</v>
      </c>
      <c r="P2945" s="13">
        <f t="shared" si="91"/>
        <v>1933997</v>
      </c>
      <c r="Q2945" s="13">
        <f>SUMIFS(M:M,E:E,Online_eCommerce[[#This Row],[Status]])</f>
        <v>21103186</v>
      </c>
      <c r="R2945" s="13">
        <f>SUMIFS(L:L,H:H,Online_eCommerce[[#This Row],[Brand]])</f>
        <v>14431000</v>
      </c>
      <c r="S2945" s="13">
        <f>SUMIF(H:H,Online_eCommerce[[#This Row],[Brand]],M:M)</f>
        <v>18760300</v>
      </c>
      <c r="T2945" s="13">
        <f>SUMIF(N:N,Online_eCommerce[[#This Row],[Assigned Supervisor]],L:L)</f>
        <v>12220830</v>
      </c>
    </row>
    <row r="2946" spans="1:20" x14ac:dyDescent="0.3">
      <c r="A2946" t="s">
        <v>4412</v>
      </c>
      <c r="B2946" t="s">
        <v>139</v>
      </c>
      <c r="C2946" t="s">
        <v>45</v>
      </c>
      <c r="D2946" t="s">
        <v>4411</v>
      </c>
      <c r="E2946" t="s">
        <v>46</v>
      </c>
      <c r="F2946" t="s">
        <v>129</v>
      </c>
      <c r="G2946" t="s">
        <v>60</v>
      </c>
      <c r="H2946" t="s">
        <v>61</v>
      </c>
      <c r="I2946">
        <v>800</v>
      </c>
      <c r="J2946">
        <v>1040</v>
      </c>
      <c r="K2946">
        <v>1</v>
      </c>
      <c r="L2946">
        <v>800</v>
      </c>
      <c r="M2946">
        <v>1040</v>
      </c>
      <c r="N2946" t="s">
        <v>35</v>
      </c>
      <c r="O2946">
        <f t="shared" ref="O2946:O3009" si="92">VLOOKUP(G2946,G:M,7,FALSE)</f>
        <v>3315</v>
      </c>
      <c r="P2946" s="13">
        <f t="shared" ref="P2946:P3009" si="93">SUMIFS(M:M,C:C,C2946)</f>
        <v>2842554</v>
      </c>
      <c r="Q2946" s="13">
        <f>SUMIFS(M:M,E:E,Online_eCommerce[[#This Row],[Status]])</f>
        <v>28620410</v>
      </c>
      <c r="R2946" s="13">
        <f>SUMIFS(L:L,H:H,Online_eCommerce[[#This Row],[Brand]])</f>
        <v>10950150</v>
      </c>
      <c r="S2946" s="13">
        <f>SUMIF(H:H,Online_eCommerce[[#This Row],[Brand]],M:M)</f>
        <v>14235195</v>
      </c>
      <c r="T2946" s="13">
        <f>SUMIF(N:N,Online_eCommerce[[#This Row],[Assigned Supervisor]],L:L)</f>
        <v>14373360</v>
      </c>
    </row>
    <row r="2947" spans="1:20" hidden="1" x14ac:dyDescent="0.3">
      <c r="A2947" t="s">
        <v>4413</v>
      </c>
      <c r="B2947" t="s">
        <v>144</v>
      </c>
      <c r="C2947" t="s">
        <v>52</v>
      </c>
      <c r="D2947" t="s">
        <v>4411</v>
      </c>
      <c r="E2947" t="s">
        <v>96</v>
      </c>
      <c r="F2947" t="s">
        <v>133</v>
      </c>
      <c r="G2947" t="s">
        <v>66</v>
      </c>
      <c r="H2947" t="s">
        <v>21</v>
      </c>
      <c r="I2947">
        <v>600</v>
      </c>
      <c r="J2947">
        <v>780</v>
      </c>
      <c r="K2947">
        <v>1</v>
      </c>
      <c r="L2947">
        <v>600</v>
      </c>
      <c r="M2947">
        <v>780</v>
      </c>
      <c r="N2947" t="s">
        <v>42</v>
      </c>
      <c r="O2947">
        <f t="shared" si="92"/>
        <v>1690</v>
      </c>
      <c r="P2947" s="13">
        <f t="shared" si="93"/>
        <v>1955044</v>
      </c>
      <c r="Q2947" s="13">
        <f>SUMIFS(M:M,E:E,Online_eCommerce[[#This Row],[Status]])</f>
        <v>21233992</v>
      </c>
      <c r="R2947" s="13">
        <f>SUMIFS(L:L,H:H,Online_eCommerce[[#This Row],[Brand]])</f>
        <v>12435650</v>
      </c>
      <c r="S2947" s="13">
        <f>SUMIF(H:H,Online_eCommerce[[#This Row],[Brand]],M:M)</f>
        <v>16166345</v>
      </c>
      <c r="T2947" s="13">
        <f>SUMIF(N:N,Online_eCommerce[[#This Row],[Assigned Supervisor]],L:L)</f>
        <v>12261500</v>
      </c>
    </row>
    <row r="2948" spans="1:20" hidden="1" x14ac:dyDescent="0.3">
      <c r="A2948" t="s">
        <v>4414</v>
      </c>
      <c r="B2948" t="s">
        <v>149</v>
      </c>
      <c r="C2948" t="s">
        <v>58</v>
      </c>
      <c r="D2948" t="s">
        <v>4411</v>
      </c>
      <c r="E2948" t="s">
        <v>18</v>
      </c>
      <c r="F2948" t="s">
        <v>137</v>
      </c>
      <c r="G2948" t="s">
        <v>71</v>
      </c>
      <c r="H2948" t="s">
        <v>61</v>
      </c>
      <c r="I2948">
        <v>10500</v>
      </c>
      <c r="J2948">
        <v>13650</v>
      </c>
      <c r="K2948">
        <v>4</v>
      </c>
      <c r="L2948">
        <v>42000</v>
      </c>
      <c r="M2948">
        <v>54600</v>
      </c>
      <c r="N2948" t="s">
        <v>50</v>
      </c>
      <c r="O2948">
        <f t="shared" si="92"/>
        <v>9750</v>
      </c>
      <c r="P2948" s="13">
        <f t="shared" si="93"/>
        <v>2629211</v>
      </c>
      <c r="Q2948" s="13">
        <f>SUMIFS(M:M,E:E,Online_eCommerce[[#This Row],[Status]])</f>
        <v>28340455</v>
      </c>
      <c r="R2948" s="13">
        <f>SUMIFS(L:L,H:H,Online_eCommerce[[#This Row],[Brand]])</f>
        <v>10950150</v>
      </c>
      <c r="S2948" s="13">
        <f>SUMIF(H:H,Online_eCommerce[[#This Row],[Brand]],M:M)</f>
        <v>14235195</v>
      </c>
      <c r="T2948" s="13">
        <f>SUMIF(N:N,Online_eCommerce[[#This Row],[Assigned Supervisor]],L:L)</f>
        <v>12100590</v>
      </c>
    </row>
    <row r="2949" spans="1:20" hidden="1" x14ac:dyDescent="0.3">
      <c r="A2949" t="s">
        <v>4415</v>
      </c>
      <c r="B2949" t="s">
        <v>154</v>
      </c>
      <c r="C2949" t="s">
        <v>63</v>
      </c>
      <c r="D2949" t="s">
        <v>4411</v>
      </c>
      <c r="E2949" t="s">
        <v>161</v>
      </c>
      <c r="F2949" t="s">
        <v>4366</v>
      </c>
      <c r="G2949" t="s">
        <v>77</v>
      </c>
      <c r="H2949" t="s">
        <v>142</v>
      </c>
      <c r="I2949">
        <v>6500</v>
      </c>
      <c r="J2949">
        <v>8450</v>
      </c>
      <c r="K2949">
        <v>1</v>
      </c>
      <c r="L2949">
        <v>6500</v>
      </c>
      <c r="M2949">
        <v>8450</v>
      </c>
      <c r="N2949" t="s">
        <v>56</v>
      </c>
      <c r="O2949">
        <f t="shared" si="92"/>
        <v>39000</v>
      </c>
      <c r="P2949" s="13">
        <f t="shared" si="93"/>
        <v>2016131</v>
      </c>
      <c r="Q2949" s="13">
        <f>SUMIFS(M:M,E:E,Online_eCommerce[[#This Row],[Status]])</f>
        <v>21103186</v>
      </c>
      <c r="R2949" s="13">
        <f>SUMIFS(L:L,H:H,Online_eCommerce[[#This Row],[Brand]])</f>
        <v>6192500</v>
      </c>
      <c r="S2949" s="13">
        <f>SUMIF(H:H,Online_eCommerce[[#This Row],[Brand]],M:M)</f>
        <v>8050250</v>
      </c>
      <c r="T2949" s="13">
        <f>SUMIF(N:N,Online_eCommerce[[#This Row],[Assigned Supervisor]],L:L)</f>
        <v>11733610</v>
      </c>
    </row>
    <row r="2950" spans="1:20" x14ac:dyDescent="0.3">
      <c r="A2950" t="s">
        <v>4416</v>
      </c>
      <c r="B2950" t="s">
        <v>159</v>
      </c>
      <c r="C2950" t="s">
        <v>68</v>
      </c>
      <c r="D2950" t="s">
        <v>4411</v>
      </c>
      <c r="E2950" t="s">
        <v>46</v>
      </c>
      <c r="F2950" t="s">
        <v>4417</v>
      </c>
      <c r="G2950" t="s">
        <v>20</v>
      </c>
      <c r="H2950" t="s">
        <v>21</v>
      </c>
      <c r="I2950">
        <v>4500</v>
      </c>
      <c r="J2950">
        <v>5850</v>
      </c>
      <c r="K2950">
        <v>4</v>
      </c>
      <c r="L2950">
        <v>18000</v>
      </c>
      <c r="M2950">
        <v>23400</v>
      </c>
      <c r="N2950" t="s">
        <v>22</v>
      </c>
      <c r="O2950">
        <f t="shared" si="92"/>
        <v>8450</v>
      </c>
      <c r="P2950" s="13">
        <f t="shared" si="93"/>
        <v>2974621</v>
      </c>
      <c r="Q2950" s="13">
        <f>SUMIFS(M:M,E:E,Online_eCommerce[[#This Row],[Status]])</f>
        <v>28620410</v>
      </c>
      <c r="R2950" s="13">
        <f>SUMIFS(L:L,H:H,Online_eCommerce[[#This Row],[Brand]])</f>
        <v>12435650</v>
      </c>
      <c r="S2950" s="13">
        <f>SUMIF(H:H,Online_eCommerce[[#This Row],[Brand]],M:M)</f>
        <v>16166345</v>
      </c>
      <c r="T2950" s="13">
        <f>SUMIF(N:N,Online_eCommerce[[#This Row],[Assigned Supervisor]],L:L)</f>
        <v>13693220</v>
      </c>
    </row>
    <row r="2951" spans="1:20" hidden="1" x14ac:dyDescent="0.3">
      <c r="A2951" t="s">
        <v>4418</v>
      </c>
      <c r="B2951" t="s">
        <v>139</v>
      </c>
      <c r="C2951" t="s">
        <v>74</v>
      </c>
      <c r="D2951" t="s">
        <v>4411</v>
      </c>
      <c r="E2951" t="s">
        <v>96</v>
      </c>
      <c r="F2951" t="s">
        <v>152</v>
      </c>
      <c r="G2951" t="s">
        <v>26</v>
      </c>
      <c r="H2951" t="s">
        <v>27</v>
      </c>
      <c r="I2951">
        <v>8500</v>
      </c>
      <c r="J2951">
        <v>11050</v>
      </c>
      <c r="K2951">
        <v>1</v>
      </c>
      <c r="L2951">
        <v>8500</v>
      </c>
      <c r="M2951">
        <v>11050</v>
      </c>
      <c r="N2951" t="s">
        <v>28</v>
      </c>
      <c r="O2951">
        <f t="shared" si="92"/>
        <v>33150</v>
      </c>
      <c r="P2951" s="13">
        <f t="shared" si="93"/>
        <v>2144701</v>
      </c>
      <c r="Q2951" s="13">
        <f>SUMIFS(M:M,E:E,Online_eCommerce[[#This Row],[Status]])</f>
        <v>21233992</v>
      </c>
      <c r="R2951" s="13">
        <f>SUMIFS(L:L,H:H,Online_eCommerce[[#This Row],[Brand]])</f>
        <v>14431000</v>
      </c>
      <c r="S2951" s="13">
        <f>SUMIF(H:H,Online_eCommerce[[#This Row],[Brand]],M:M)</f>
        <v>18760300</v>
      </c>
      <c r="T2951" s="13">
        <f>SUMIF(N:N,Online_eCommerce[[#This Row],[Assigned Supervisor]],L:L)</f>
        <v>12220830</v>
      </c>
    </row>
    <row r="2952" spans="1:20" hidden="1" x14ac:dyDescent="0.3">
      <c r="A2952" t="s">
        <v>4419</v>
      </c>
      <c r="B2952" t="s">
        <v>144</v>
      </c>
      <c r="C2952" t="s">
        <v>81</v>
      </c>
      <c r="D2952" t="s">
        <v>4411</v>
      </c>
      <c r="E2952" t="s">
        <v>18</v>
      </c>
      <c r="F2952" t="s">
        <v>157</v>
      </c>
      <c r="G2952" t="s">
        <v>33</v>
      </c>
      <c r="H2952" t="s">
        <v>34</v>
      </c>
      <c r="I2952">
        <v>12500</v>
      </c>
      <c r="J2952">
        <v>16250</v>
      </c>
      <c r="K2952">
        <v>1</v>
      </c>
      <c r="L2952">
        <v>12500</v>
      </c>
      <c r="M2952">
        <v>16250</v>
      </c>
      <c r="N2952" t="s">
        <v>35</v>
      </c>
      <c r="O2952">
        <f t="shared" si="92"/>
        <v>18200</v>
      </c>
      <c r="P2952" s="13">
        <f t="shared" si="93"/>
        <v>2595632</v>
      </c>
      <c r="Q2952" s="13">
        <f>SUMIFS(M:M,E:E,Online_eCommerce[[#This Row],[Status]])</f>
        <v>28340455</v>
      </c>
      <c r="R2952" s="13">
        <f>SUMIFS(L:L,H:H,Online_eCommerce[[#This Row],[Brand]])</f>
        <v>10087000</v>
      </c>
      <c r="S2952" s="13">
        <f>SUMIF(H:H,Online_eCommerce[[#This Row],[Brand]],M:M)</f>
        <v>13113100</v>
      </c>
      <c r="T2952" s="13">
        <f>SUMIF(N:N,Online_eCommerce[[#This Row],[Assigned Supervisor]],L:L)</f>
        <v>14373360</v>
      </c>
    </row>
    <row r="2953" spans="1:20" hidden="1" x14ac:dyDescent="0.3">
      <c r="A2953" t="s">
        <v>4420</v>
      </c>
      <c r="B2953" t="s">
        <v>235</v>
      </c>
      <c r="C2953" t="s">
        <v>86</v>
      </c>
      <c r="D2953" t="s">
        <v>4411</v>
      </c>
      <c r="E2953" t="s">
        <v>161</v>
      </c>
      <c r="F2953" t="s">
        <v>3980</v>
      </c>
      <c r="G2953" t="s">
        <v>40</v>
      </c>
      <c r="H2953" t="s">
        <v>41</v>
      </c>
      <c r="I2953">
        <v>3500</v>
      </c>
      <c r="J2953">
        <v>4550</v>
      </c>
      <c r="K2953">
        <v>2</v>
      </c>
      <c r="L2953">
        <v>7000</v>
      </c>
      <c r="M2953">
        <v>9100</v>
      </c>
      <c r="N2953" t="s">
        <v>42</v>
      </c>
      <c r="O2953">
        <f t="shared" si="92"/>
        <v>25545</v>
      </c>
      <c r="P2953" s="13">
        <f t="shared" si="93"/>
        <v>1941225</v>
      </c>
      <c r="Q2953" s="13">
        <f>SUMIFS(M:M,E:E,Online_eCommerce[[#This Row],[Status]])</f>
        <v>21103186</v>
      </c>
      <c r="R2953" s="13">
        <f>SUMIFS(L:L,H:H,Online_eCommerce[[#This Row],[Brand]])</f>
        <v>4260400</v>
      </c>
      <c r="S2953" s="13">
        <f>SUMIF(H:H,Online_eCommerce[[#This Row],[Brand]],M:M)</f>
        <v>5538520</v>
      </c>
      <c r="T2953" s="13">
        <f>SUMIF(N:N,Online_eCommerce[[#This Row],[Assigned Supervisor]],L:L)</f>
        <v>12261500</v>
      </c>
    </row>
    <row r="2954" spans="1:20" x14ac:dyDescent="0.3">
      <c r="A2954" t="s">
        <v>4421</v>
      </c>
      <c r="B2954" t="s">
        <v>176</v>
      </c>
      <c r="C2954" t="s">
        <v>91</v>
      </c>
      <c r="D2954" t="s">
        <v>4411</v>
      </c>
      <c r="E2954" t="s">
        <v>46</v>
      </c>
      <c r="F2954" t="s">
        <v>166</v>
      </c>
      <c r="G2954" t="s">
        <v>334</v>
      </c>
      <c r="H2954" t="s">
        <v>49</v>
      </c>
      <c r="I2954">
        <v>4500</v>
      </c>
      <c r="J2954">
        <v>5850</v>
      </c>
      <c r="K2954">
        <v>4</v>
      </c>
      <c r="L2954">
        <v>18000</v>
      </c>
      <c r="M2954">
        <v>23400</v>
      </c>
      <c r="N2954" t="s">
        <v>50</v>
      </c>
      <c r="O2954">
        <f t="shared" si="92"/>
        <v>39780</v>
      </c>
      <c r="P2954" s="13">
        <f t="shared" si="93"/>
        <v>2731963</v>
      </c>
      <c r="Q2954" s="13">
        <f>SUMIFS(M:M,E:E,Online_eCommerce[[#This Row],[Status]])</f>
        <v>28620410</v>
      </c>
      <c r="R2954" s="13">
        <f>SUMIFS(L:L,H:H,Online_eCommerce[[#This Row],[Brand]])</f>
        <v>4528350</v>
      </c>
      <c r="S2954" s="13">
        <f>SUMIF(H:H,Online_eCommerce[[#This Row],[Brand]],M:M)</f>
        <v>5886855</v>
      </c>
      <c r="T2954" s="13">
        <f>SUMIF(N:N,Online_eCommerce[[#This Row],[Assigned Supervisor]],L:L)</f>
        <v>12100590</v>
      </c>
    </row>
    <row r="2955" spans="1:20" hidden="1" x14ac:dyDescent="0.3">
      <c r="A2955" t="s">
        <v>4422</v>
      </c>
      <c r="B2955" t="s">
        <v>276</v>
      </c>
      <c r="C2955" t="s">
        <v>94</v>
      </c>
      <c r="D2955" t="s">
        <v>4411</v>
      </c>
      <c r="E2955" t="s">
        <v>96</v>
      </c>
      <c r="F2955" t="s">
        <v>4423</v>
      </c>
      <c r="G2955" t="s">
        <v>54</v>
      </c>
      <c r="H2955" t="s">
        <v>55</v>
      </c>
      <c r="I2955">
        <v>2100</v>
      </c>
      <c r="J2955">
        <v>2730</v>
      </c>
      <c r="K2955">
        <v>2</v>
      </c>
      <c r="L2955">
        <v>4200</v>
      </c>
      <c r="M2955">
        <v>5460</v>
      </c>
      <c r="N2955" t="s">
        <v>56</v>
      </c>
      <c r="O2955">
        <f t="shared" si="92"/>
        <v>2990</v>
      </c>
      <c r="P2955" s="13">
        <f t="shared" si="93"/>
        <v>1868256</v>
      </c>
      <c r="Q2955" s="13">
        <f>SUMIFS(M:M,E:E,Online_eCommerce[[#This Row],[Status]])</f>
        <v>21233992</v>
      </c>
      <c r="R2955" s="13">
        <f>SUMIFS(L:L,H:H,Online_eCommerce[[#This Row],[Brand]])</f>
        <v>2267380</v>
      </c>
      <c r="S2955" s="13">
        <f>SUMIF(H:H,Online_eCommerce[[#This Row],[Brand]],M:M)</f>
        <v>2947594</v>
      </c>
      <c r="T2955" s="13">
        <f>SUMIF(N:N,Online_eCommerce[[#This Row],[Assigned Supervisor]],L:L)</f>
        <v>11733610</v>
      </c>
    </row>
    <row r="2956" spans="1:20" hidden="1" x14ac:dyDescent="0.3">
      <c r="A2956" t="s">
        <v>4424</v>
      </c>
      <c r="B2956" t="s">
        <v>280</v>
      </c>
      <c r="C2956" t="s">
        <v>99</v>
      </c>
      <c r="D2956" t="s">
        <v>4411</v>
      </c>
      <c r="E2956" t="s">
        <v>18</v>
      </c>
      <c r="F2956" t="s">
        <v>174</v>
      </c>
      <c r="G2956" t="s">
        <v>60</v>
      </c>
      <c r="H2956" t="s">
        <v>61</v>
      </c>
      <c r="I2956">
        <v>1150</v>
      </c>
      <c r="J2956">
        <v>1495</v>
      </c>
      <c r="K2956">
        <v>1</v>
      </c>
      <c r="L2956">
        <v>1150</v>
      </c>
      <c r="M2956">
        <v>1495</v>
      </c>
      <c r="N2956" t="s">
        <v>22</v>
      </c>
      <c r="O2956">
        <f t="shared" si="92"/>
        <v>3315</v>
      </c>
      <c r="P2956" s="13">
        <f t="shared" si="93"/>
        <v>2651233</v>
      </c>
      <c r="Q2956" s="13">
        <f>SUMIFS(M:M,E:E,Online_eCommerce[[#This Row],[Status]])</f>
        <v>28340455</v>
      </c>
      <c r="R2956" s="13">
        <f>SUMIFS(L:L,H:H,Online_eCommerce[[#This Row],[Brand]])</f>
        <v>10950150</v>
      </c>
      <c r="S2956" s="13">
        <f>SUMIF(H:H,Online_eCommerce[[#This Row],[Brand]],M:M)</f>
        <v>14235195</v>
      </c>
      <c r="T2956" s="13">
        <f>SUMIF(N:N,Online_eCommerce[[#This Row],[Assigned Supervisor]],L:L)</f>
        <v>13693220</v>
      </c>
    </row>
    <row r="2957" spans="1:20" hidden="1" x14ac:dyDescent="0.3">
      <c r="A2957" t="s">
        <v>4425</v>
      </c>
      <c r="B2957" t="s">
        <v>283</v>
      </c>
      <c r="C2957" t="s">
        <v>105</v>
      </c>
      <c r="D2957" t="s">
        <v>4411</v>
      </c>
      <c r="E2957" t="s">
        <v>161</v>
      </c>
      <c r="F2957" t="s">
        <v>179</v>
      </c>
      <c r="G2957" t="s">
        <v>66</v>
      </c>
      <c r="H2957" t="s">
        <v>21</v>
      </c>
      <c r="I2957">
        <v>350</v>
      </c>
      <c r="J2957">
        <v>455</v>
      </c>
      <c r="K2957">
        <v>1</v>
      </c>
      <c r="L2957">
        <v>350</v>
      </c>
      <c r="M2957">
        <v>455</v>
      </c>
      <c r="N2957" t="s">
        <v>28</v>
      </c>
      <c r="O2957">
        <f t="shared" si="92"/>
        <v>1690</v>
      </c>
      <c r="P2957" s="13">
        <f t="shared" si="93"/>
        <v>1866852</v>
      </c>
      <c r="Q2957" s="13">
        <f>SUMIFS(M:M,E:E,Online_eCommerce[[#This Row],[Status]])</f>
        <v>21103186</v>
      </c>
      <c r="R2957" s="13">
        <f>SUMIFS(L:L,H:H,Online_eCommerce[[#This Row],[Brand]])</f>
        <v>12435650</v>
      </c>
      <c r="S2957" s="13">
        <f>SUMIF(H:H,Online_eCommerce[[#This Row],[Brand]],M:M)</f>
        <v>16166345</v>
      </c>
      <c r="T2957" s="13">
        <f>SUMIF(N:N,Online_eCommerce[[#This Row],[Assigned Supervisor]],L:L)</f>
        <v>12220830</v>
      </c>
    </row>
    <row r="2958" spans="1:20" x14ac:dyDescent="0.3">
      <c r="A2958" t="s">
        <v>4426</v>
      </c>
      <c r="B2958" t="s">
        <v>287</v>
      </c>
      <c r="C2958" t="s">
        <v>110</v>
      </c>
      <c r="D2958" t="s">
        <v>4411</v>
      </c>
      <c r="E2958" t="s">
        <v>46</v>
      </c>
      <c r="F2958" t="s">
        <v>183</v>
      </c>
      <c r="G2958" t="s">
        <v>71</v>
      </c>
      <c r="H2958" t="s">
        <v>61</v>
      </c>
      <c r="I2958">
        <v>9500</v>
      </c>
      <c r="J2958">
        <v>12350</v>
      </c>
      <c r="K2958">
        <v>4</v>
      </c>
      <c r="L2958">
        <v>38000</v>
      </c>
      <c r="M2958">
        <v>49400</v>
      </c>
      <c r="N2958" t="s">
        <v>35</v>
      </c>
      <c r="O2958">
        <f t="shared" si="92"/>
        <v>9750</v>
      </c>
      <c r="P2958" s="13">
        <f t="shared" si="93"/>
        <v>2598635</v>
      </c>
      <c r="Q2958" s="13">
        <f>SUMIFS(M:M,E:E,Online_eCommerce[[#This Row],[Status]])</f>
        <v>28620410</v>
      </c>
      <c r="R2958" s="13">
        <f>SUMIFS(L:L,H:H,Online_eCommerce[[#This Row],[Brand]])</f>
        <v>10950150</v>
      </c>
      <c r="S2958" s="13">
        <f>SUMIF(H:H,Online_eCommerce[[#This Row],[Brand]],M:M)</f>
        <v>14235195</v>
      </c>
      <c r="T2958" s="13">
        <f>SUMIF(N:N,Online_eCommerce[[#This Row],[Assigned Supervisor]],L:L)</f>
        <v>14373360</v>
      </c>
    </row>
    <row r="2959" spans="1:20" hidden="1" x14ac:dyDescent="0.3">
      <c r="A2959" t="s">
        <v>4427</v>
      </c>
      <c r="B2959" t="s">
        <v>290</v>
      </c>
      <c r="C2959" t="s">
        <v>115</v>
      </c>
      <c r="D2959" t="s">
        <v>4411</v>
      </c>
      <c r="E2959" t="s">
        <v>96</v>
      </c>
      <c r="F2959" t="s">
        <v>4428</v>
      </c>
      <c r="G2959" t="s">
        <v>77</v>
      </c>
      <c r="H2959" t="s">
        <v>142</v>
      </c>
      <c r="I2959">
        <v>10000</v>
      </c>
      <c r="J2959">
        <v>13000</v>
      </c>
      <c r="K2959">
        <v>3</v>
      </c>
      <c r="L2959">
        <v>30000</v>
      </c>
      <c r="M2959">
        <v>39000</v>
      </c>
      <c r="N2959" t="s">
        <v>42</v>
      </c>
      <c r="O2959">
        <f t="shared" si="92"/>
        <v>39000</v>
      </c>
      <c r="P2959" s="13">
        <f t="shared" si="93"/>
        <v>2050178</v>
      </c>
      <c r="Q2959" s="13">
        <f>SUMIFS(M:M,E:E,Online_eCommerce[[#This Row],[Status]])</f>
        <v>21233992</v>
      </c>
      <c r="R2959" s="13">
        <f>SUMIFS(L:L,H:H,Online_eCommerce[[#This Row],[Brand]])</f>
        <v>6192500</v>
      </c>
      <c r="S2959" s="13">
        <f>SUMIF(H:H,Online_eCommerce[[#This Row],[Brand]],M:M)</f>
        <v>8050250</v>
      </c>
      <c r="T2959" s="13">
        <f>SUMIF(N:N,Online_eCommerce[[#This Row],[Assigned Supervisor]],L:L)</f>
        <v>12261500</v>
      </c>
    </row>
    <row r="2960" spans="1:20" hidden="1" x14ac:dyDescent="0.3">
      <c r="A2960" t="s">
        <v>4429</v>
      </c>
      <c r="B2960" t="s">
        <v>15</v>
      </c>
      <c r="C2960" t="s">
        <v>120</v>
      </c>
      <c r="D2960" t="s">
        <v>4411</v>
      </c>
      <c r="E2960" t="s">
        <v>18</v>
      </c>
      <c r="F2960" t="s">
        <v>4430</v>
      </c>
      <c r="G2960" t="s">
        <v>20</v>
      </c>
      <c r="H2960" t="s">
        <v>21</v>
      </c>
      <c r="I2960">
        <v>6500</v>
      </c>
      <c r="J2960">
        <v>8450</v>
      </c>
      <c r="K2960">
        <v>1</v>
      </c>
      <c r="L2960">
        <v>6500</v>
      </c>
      <c r="M2960">
        <v>8450</v>
      </c>
      <c r="N2960" t="s">
        <v>50</v>
      </c>
      <c r="O2960">
        <f t="shared" si="92"/>
        <v>8450</v>
      </c>
      <c r="P2960" s="13">
        <f t="shared" si="93"/>
        <v>2734212</v>
      </c>
      <c r="Q2960" s="13">
        <f>SUMIFS(M:M,E:E,Online_eCommerce[[#This Row],[Status]])</f>
        <v>28340455</v>
      </c>
      <c r="R2960" s="13">
        <f>SUMIFS(L:L,H:H,Online_eCommerce[[#This Row],[Brand]])</f>
        <v>12435650</v>
      </c>
      <c r="S2960" s="13">
        <f>SUMIF(H:H,Online_eCommerce[[#This Row],[Brand]],M:M)</f>
        <v>16166345</v>
      </c>
      <c r="T2960" s="13">
        <f>SUMIF(N:N,Online_eCommerce[[#This Row],[Assigned Supervisor]],L:L)</f>
        <v>12100590</v>
      </c>
    </row>
    <row r="2961" spans="1:20" hidden="1" x14ac:dyDescent="0.3">
      <c r="A2961" t="s">
        <v>4431</v>
      </c>
      <c r="B2961" t="s">
        <v>202</v>
      </c>
      <c r="C2961" t="s">
        <v>125</v>
      </c>
      <c r="D2961" t="s">
        <v>4411</v>
      </c>
      <c r="E2961" t="s">
        <v>161</v>
      </c>
      <c r="F2961" t="s">
        <v>4432</v>
      </c>
      <c r="G2961" t="s">
        <v>26</v>
      </c>
      <c r="H2961" t="s">
        <v>27</v>
      </c>
      <c r="I2961">
        <v>8500</v>
      </c>
      <c r="J2961">
        <v>11050</v>
      </c>
      <c r="K2961">
        <v>3</v>
      </c>
      <c r="L2961">
        <v>25500</v>
      </c>
      <c r="M2961">
        <v>33150</v>
      </c>
      <c r="N2961" t="s">
        <v>56</v>
      </c>
      <c r="O2961">
        <f t="shared" si="92"/>
        <v>33150</v>
      </c>
      <c r="P2961" s="13">
        <f t="shared" si="93"/>
        <v>2091154</v>
      </c>
      <c r="Q2961" s="13">
        <f>SUMIFS(M:M,E:E,Online_eCommerce[[#This Row],[Status]])</f>
        <v>21103186</v>
      </c>
      <c r="R2961" s="13">
        <f>SUMIFS(L:L,H:H,Online_eCommerce[[#This Row],[Brand]])</f>
        <v>14431000</v>
      </c>
      <c r="S2961" s="13">
        <f>SUMIF(H:H,Online_eCommerce[[#This Row],[Brand]],M:M)</f>
        <v>18760300</v>
      </c>
      <c r="T2961" s="13">
        <f>SUMIF(N:N,Online_eCommerce[[#This Row],[Assigned Supervisor]],L:L)</f>
        <v>11733610</v>
      </c>
    </row>
    <row r="2962" spans="1:20" x14ac:dyDescent="0.3">
      <c r="A2962" t="s">
        <v>4433</v>
      </c>
      <c r="B2962" t="s">
        <v>30</v>
      </c>
      <c r="C2962" t="s">
        <v>22</v>
      </c>
      <c r="D2962" t="s">
        <v>4411</v>
      </c>
      <c r="E2962" t="s">
        <v>46</v>
      </c>
      <c r="F2962" t="s">
        <v>32</v>
      </c>
      <c r="G2962" t="s">
        <v>33</v>
      </c>
      <c r="H2962" t="s">
        <v>34</v>
      </c>
      <c r="I2962">
        <v>7000</v>
      </c>
      <c r="J2962">
        <v>9100</v>
      </c>
      <c r="K2962">
        <v>4</v>
      </c>
      <c r="L2962">
        <v>28000</v>
      </c>
      <c r="M2962">
        <v>36400</v>
      </c>
      <c r="N2962" t="s">
        <v>22</v>
      </c>
      <c r="O2962">
        <f t="shared" si="92"/>
        <v>18200</v>
      </c>
      <c r="P2962" s="13">
        <f t="shared" si="93"/>
        <v>2551588</v>
      </c>
      <c r="Q2962" s="13">
        <f>SUMIFS(M:M,E:E,Online_eCommerce[[#This Row],[Status]])</f>
        <v>28620410</v>
      </c>
      <c r="R2962" s="13">
        <f>SUMIFS(L:L,H:H,Online_eCommerce[[#This Row],[Brand]])</f>
        <v>10087000</v>
      </c>
      <c r="S2962" s="13">
        <f>SUMIF(H:H,Online_eCommerce[[#This Row],[Brand]],M:M)</f>
        <v>13113100</v>
      </c>
      <c r="T2962" s="13">
        <f>SUMIF(N:N,Online_eCommerce[[#This Row],[Assigned Supervisor]],L:L)</f>
        <v>13693220</v>
      </c>
    </row>
    <row r="2963" spans="1:20" hidden="1" x14ac:dyDescent="0.3">
      <c r="A2963" t="s">
        <v>4434</v>
      </c>
      <c r="B2963" t="s">
        <v>37</v>
      </c>
      <c r="C2963" t="s">
        <v>132</v>
      </c>
      <c r="D2963" t="s">
        <v>4411</v>
      </c>
      <c r="E2963" t="s">
        <v>96</v>
      </c>
      <c r="F2963" t="s">
        <v>4435</v>
      </c>
      <c r="G2963" t="s">
        <v>40</v>
      </c>
      <c r="H2963" t="s">
        <v>41</v>
      </c>
      <c r="I2963">
        <v>6550</v>
      </c>
      <c r="J2963">
        <v>8515</v>
      </c>
      <c r="K2963">
        <v>4</v>
      </c>
      <c r="L2963">
        <v>26200</v>
      </c>
      <c r="M2963">
        <v>34060</v>
      </c>
      <c r="N2963" t="s">
        <v>28</v>
      </c>
      <c r="O2963">
        <f t="shared" si="92"/>
        <v>25545</v>
      </c>
      <c r="P2963" s="13">
        <f t="shared" si="93"/>
        <v>1989065</v>
      </c>
      <c r="Q2963" s="13">
        <f>SUMIFS(M:M,E:E,Online_eCommerce[[#This Row],[Status]])</f>
        <v>21233992</v>
      </c>
      <c r="R2963" s="13">
        <f>SUMIFS(L:L,H:H,Online_eCommerce[[#This Row],[Brand]])</f>
        <v>4260400</v>
      </c>
      <c r="S2963" s="13">
        <f>SUMIF(H:H,Online_eCommerce[[#This Row],[Brand]],M:M)</f>
        <v>5538520</v>
      </c>
      <c r="T2963" s="13">
        <f>SUMIF(N:N,Online_eCommerce[[#This Row],[Assigned Supervisor]],L:L)</f>
        <v>12220830</v>
      </c>
    </row>
    <row r="2964" spans="1:20" hidden="1" x14ac:dyDescent="0.3">
      <c r="A2964" t="s">
        <v>4436</v>
      </c>
      <c r="B2964" t="s">
        <v>44</v>
      </c>
      <c r="C2964" t="s">
        <v>136</v>
      </c>
      <c r="D2964" t="s">
        <v>4411</v>
      </c>
      <c r="E2964" t="s">
        <v>18</v>
      </c>
      <c r="F2964" t="s">
        <v>47</v>
      </c>
      <c r="G2964" t="s">
        <v>334</v>
      </c>
      <c r="H2964" t="s">
        <v>49</v>
      </c>
      <c r="I2964">
        <v>7650</v>
      </c>
      <c r="J2964">
        <v>9945</v>
      </c>
      <c r="K2964">
        <v>2</v>
      </c>
      <c r="L2964">
        <v>15300</v>
      </c>
      <c r="M2964">
        <v>19890</v>
      </c>
      <c r="N2964" t="s">
        <v>35</v>
      </c>
      <c r="O2964">
        <f t="shared" si="92"/>
        <v>39780</v>
      </c>
      <c r="P2964" s="13">
        <f t="shared" si="93"/>
        <v>2775162</v>
      </c>
      <c r="Q2964" s="13">
        <f>SUMIFS(M:M,E:E,Online_eCommerce[[#This Row],[Status]])</f>
        <v>28340455</v>
      </c>
      <c r="R2964" s="13">
        <f>SUMIFS(L:L,H:H,Online_eCommerce[[#This Row],[Brand]])</f>
        <v>4528350</v>
      </c>
      <c r="S2964" s="13">
        <f>SUMIF(H:H,Online_eCommerce[[#This Row],[Brand]],M:M)</f>
        <v>5886855</v>
      </c>
      <c r="T2964" s="13">
        <f>SUMIF(N:N,Online_eCommerce[[#This Row],[Assigned Supervisor]],L:L)</f>
        <v>14373360</v>
      </c>
    </row>
    <row r="2965" spans="1:20" hidden="1" x14ac:dyDescent="0.3">
      <c r="A2965" t="s">
        <v>4437</v>
      </c>
      <c r="B2965" t="s">
        <v>213</v>
      </c>
      <c r="C2965" t="s">
        <v>140</v>
      </c>
      <c r="D2965" t="s">
        <v>4411</v>
      </c>
      <c r="E2965" t="s">
        <v>161</v>
      </c>
      <c r="F2965" t="s">
        <v>53</v>
      </c>
      <c r="G2965" t="s">
        <v>54</v>
      </c>
      <c r="H2965" t="s">
        <v>55</v>
      </c>
      <c r="I2965">
        <v>1150</v>
      </c>
      <c r="J2965">
        <v>1495</v>
      </c>
      <c r="K2965">
        <v>1</v>
      </c>
      <c r="L2965">
        <v>1150</v>
      </c>
      <c r="M2965">
        <v>1495</v>
      </c>
      <c r="N2965" t="s">
        <v>42</v>
      </c>
      <c r="O2965">
        <f t="shared" si="92"/>
        <v>2990</v>
      </c>
      <c r="P2965" s="13">
        <f t="shared" si="93"/>
        <v>2058264</v>
      </c>
      <c r="Q2965" s="13">
        <f>SUMIFS(M:M,E:E,Online_eCommerce[[#This Row],[Status]])</f>
        <v>21103186</v>
      </c>
      <c r="R2965" s="13">
        <f>SUMIFS(L:L,H:H,Online_eCommerce[[#This Row],[Brand]])</f>
        <v>2267380</v>
      </c>
      <c r="S2965" s="13">
        <f>SUMIF(H:H,Online_eCommerce[[#This Row],[Brand]],M:M)</f>
        <v>2947594</v>
      </c>
      <c r="T2965" s="13">
        <f>SUMIF(N:N,Online_eCommerce[[#This Row],[Assigned Supervisor]],L:L)</f>
        <v>12261500</v>
      </c>
    </row>
    <row r="2966" spans="1:20" x14ac:dyDescent="0.3">
      <c r="A2966" t="s">
        <v>4438</v>
      </c>
      <c r="B2966" t="s">
        <v>215</v>
      </c>
      <c r="C2966" t="s">
        <v>145</v>
      </c>
      <c r="D2966" t="s">
        <v>4411</v>
      </c>
      <c r="E2966" t="s">
        <v>46</v>
      </c>
      <c r="F2966" t="s">
        <v>59</v>
      </c>
      <c r="G2966" t="s">
        <v>60</v>
      </c>
      <c r="H2966" t="s">
        <v>61</v>
      </c>
      <c r="I2966">
        <v>850</v>
      </c>
      <c r="J2966">
        <v>1105</v>
      </c>
      <c r="K2966">
        <v>4</v>
      </c>
      <c r="L2966">
        <v>3400</v>
      </c>
      <c r="M2966">
        <v>4420</v>
      </c>
      <c r="N2966" t="s">
        <v>50</v>
      </c>
      <c r="O2966">
        <f t="shared" si="92"/>
        <v>3315</v>
      </c>
      <c r="P2966" s="13">
        <f t="shared" si="93"/>
        <v>2757859</v>
      </c>
      <c r="Q2966" s="13">
        <f>SUMIFS(M:M,E:E,Online_eCommerce[[#This Row],[Status]])</f>
        <v>28620410</v>
      </c>
      <c r="R2966" s="13">
        <f>SUMIFS(L:L,H:H,Online_eCommerce[[#This Row],[Brand]])</f>
        <v>10950150</v>
      </c>
      <c r="S2966" s="13">
        <f>SUMIF(H:H,Online_eCommerce[[#This Row],[Brand]],M:M)</f>
        <v>14235195</v>
      </c>
      <c r="T2966" s="13">
        <f>SUMIF(N:N,Online_eCommerce[[#This Row],[Assigned Supervisor]],L:L)</f>
        <v>12100590</v>
      </c>
    </row>
    <row r="2967" spans="1:20" hidden="1" x14ac:dyDescent="0.3">
      <c r="A2967" t="s">
        <v>4439</v>
      </c>
      <c r="B2967" t="s">
        <v>306</v>
      </c>
      <c r="C2967" t="s">
        <v>150</v>
      </c>
      <c r="D2967" t="s">
        <v>4411</v>
      </c>
      <c r="E2967" t="s">
        <v>96</v>
      </c>
      <c r="F2967" t="s">
        <v>65</v>
      </c>
      <c r="G2967" t="s">
        <v>66</v>
      </c>
      <c r="H2967" t="s">
        <v>21</v>
      </c>
      <c r="I2967">
        <v>650</v>
      </c>
      <c r="J2967">
        <v>845</v>
      </c>
      <c r="K2967">
        <v>2</v>
      </c>
      <c r="L2967">
        <v>1300</v>
      </c>
      <c r="M2967">
        <v>1690</v>
      </c>
      <c r="N2967" t="s">
        <v>56</v>
      </c>
      <c r="O2967">
        <f t="shared" si="92"/>
        <v>1690</v>
      </c>
      <c r="P2967" s="13">
        <f t="shared" si="93"/>
        <v>2154984</v>
      </c>
      <c r="Q2967" s="13">
        <f>SUMIFS(M:M,E:E,Online_eCommerce[[#This Row],[Status]])</f>
        <v>21233992</v>
      </c>
      <c r="R2967" s="13">
        <f>SUMIFS(L:L,H:H,Online_eCommerce[[#This Row],[Brand]])</f>
        <v>12435650</v>
      </c>
      <c r="S2967" s="13">
        <f>SUMIF(H:H,Online_eCommerce[[#This Row],[Brand]],M:M)</f>
        <v>16166345</v>
      </c>
      <c r="T2967" s="13">
        <f>SUMIF(N:N,Online_eCommerce[[#This Row],[Assigned Supervisor]],L:L)</f>
        <v>11733610</v>
      </c>
    </row>
    <row r="2968" spans="1:20" hidden="1" x14ac:dyDescent="0.3">
      <c r="A2968" t="s">
        <v>4440</v>
      </c>
      <c r="B2968" t="s">
        <v>528</v>
      </c>
      <c r="C2968" t="s">
        <v>155</v>
      </c>
      <c r="D2968" t="s">
        <v>4411</v>
      </c>
      <c r="E2968" t="s">
        <v>18</v>
      </c>
      <c r="F2968" t="s">
        <v>70</v>
      </c>
      <c r="G2968" t="s">
        <v>71</v>
      </c>
      <c r="H2968" t="s">
        <v>61</v>
      </c>
      <c r="I2968">
        <v>7500</v>
      </c>
      <c r="J2968">
        <v>9750</v>
      </c>
      <c r="K2968">
        <v>3</v>
      </c>
      <c r="L2968">
        <v>22500</v>
      </c>
      <c r="M2968">
        <v>29250</v>
      </c>
      <c r="N2968" t="s">
        <v>22</v>
      </c>
      <c r="O2968">
        <f t="shared" si="92"/>
        <v>9750</v>
      </c>
      <c r="P2968" s="13">
        <f t="shared" si="93"/>
        <v>2753348</v>
      </c>
      <c r="Q2968" s="13">
        <f>SUMIFS(M:M,E:E,Online_eCommerce[[#This Row],[Status]])</f>
        <v>28340455</v>
      </c>
      <c r="R2968" s="13">
        <f>SUMIFS(L:L,H:H,Online_eCommerce[[#This Row],[Brand]])</f>
        <v>10950150</v>
      </c>
      <c r="S2968" s="13">
        <f>SUMIF(H:H,Online_eCommerce[[#This Row],[Brand]],M:M)</f>
        <v>14235195</v>
      </c>
      <c r="T2968" s="13">
        <f>SUMIF(N:N,Online_eCommerce[[#This Row],[Assigned Supervisor]],L:L)</f>
        <v>13693220</v>
      </c>
    </row>
    <row r="2969" spans="1:20" hidden="1" x14ac:dyDescent="0.3">
      <c r="A2969" t="s">
        <v>4441</v>
      </c>
      <c r="B2969" t="s">
        <v>73</v>
      </c>
      <c r="C2969" t="s">
        <v>160</v>
      </c>
      <c r="D2969" t="s">
        <v>4411</v>
      </c>
      <c r="E2969" t="s">
        <v>161</v>
      </c>
      <c r="F2969" t="s">
        <v>4428</v>
      </c>
      <c r="G2969" t="s">
        <v>77</v>
      </c>
      <c r="H2969" t="s">
        <v>78</v>
      </c>
      <c r="I2969">
        <v>10000</v>
      </c>
      <c r="J2969">
        <v>13000</v>
      </c>
      <c r="K2969">
        <v>2</v>
      </c>
      <c r="L2969">
        <v>20000</v>
      </c>
      <c r="M2969">
        <v>26000</v>
      </c>
      <c r="N2969" t="s">
        <v>28</v>
      </c>
      <c r="O2969">
        <f t="shared" si="92"/>
        <v>39000</v>
      </c>
      <c r="P2969" s="13">
        <f t="shared" si="93"/>
        <v>2303483</v>
      </c>
      <c r="Q2969" s="13">
        <f>SUMIFS(M:M,E:E,Online_eCommerce[[#This Row],[Status]])</f>
        <v>21103186</v>
      </c>
      <c r="R2969" s="13">
        <f>SUMIFS(L:L,H:H,Online_eCommerce[[#This Row],[Brand]])</f>
        <v>3720000</v>
      </c>
      <c r="S2969" s="13">
        <f>SUMIF(H:H,Online_eCommerce[[#This Row],[Brand]],M:M)</f>
        <v>4836000</v>
      </c>
      <c r="T2969" s="13">
        <f>SUMIF(N:N,Online_eCommerce[[#This Row],[Assigned Supervisor]],L:L)</f>
        <v>12220830</v>
      </c>
    </row>
    <row r="2970" spans="1:20" x14ac:dyDescent="0.3">
      <c r="A2970" t="s">
        <v>4442</v>
      </c>
      <c r="B2970" t="s">
        <v>80</v>
      </c>
      <c r="C2970" t="s">
        <v>165</v>
      </c>
      <c r="D2970" t="s">
        <v>4411</v>
      </c>
      <c r="E2970" t="s">
        <v>46</v>
      </c>
      <c r="F2970" t="s">
        <v>4443</v>
      </c>
      <c r="G2970" t="s">
        <v>20</v>
      </c>
      <c r="H2970" t="s">
        <v>21</v>
      </c>
      <c r="I2970">
        <v>10500</v>
      </c>
      <c r="J2970">
        <v>13650</v>
      </c>
      <c r="K2970">
        <v>2</v>
      </c>
      <c r="L2970">
        <v>21000</v>
      </c>
      <c r="M2970">
        <v>27300</v>
      </c>
      <c r="N2970" t="s">
        <v>35</v>
      </c>
      <c r="O2970">
        <f t="shared" si="92"/>
        <v>8450</v>
      </c>
      <c r="P2970" s="13">
        <f t="shared" si="93"/>
        <v>2674087</v>
      </c>
      <c r="Q2970" s="13">
        <f>SUMIFS(M:M,E:E,Online_eCommerce[[#This Row],[Status]])</f>
        <v>28620410</v>
      </c>
      <c r="R2970" s="13">
        <f>SUMIFS(L:L,H:H,Online_eCommerce[[#This Row],[Brand]])</f>
        <v>12435650</v>
      </c>
      <c r="S2970" s="13">
        <f>SUMIF(H:H,Online_eCommerce[[#This Row],[Brand]],M:M)</f>
        <v>16166345</v>
      </c>
      <c r="T2970" s="13">
        <f>SUMIF(N:N,Online_eCommerce[[#This Row],[Assigned Supervisor]],L:L)</f>
        <v>14373360</v>
      </c>
    </row>
    <row r="2971" spans="1:20" hidden="1" x14ac:dyDescent="0.3">
      <c r="A2971" t="s">
        <v>4444</v>
      </c>
      <c r="B2971" t="s">
        <v>85</v>
      </c>
      <c r="C2971" t="s">
        <v>168</v>
      </c>
      <c r="D2971" t="s">
        <v>4411</v>
      </c>
      <c r="E2971" t="s">
        <v>96</v>
      </c>
      <c r="F2971" t="s">
        <v>88</v>
      </c>
      <c r="G2971" t="s">
        <v>26</v>
      </c>
      <c r="H2971" t="s">
        <v>27</v>
      </c>
      <c r="I2971">
        <v>8500</v>
      </c>
      <c r="J2971">
        <v>11050</v>
      </c>
      <c r="K2971">
        <v>2</v>
      </c>
      <c r="L2971">
        <v>17000</v>
      </c>
      <c r="M2971">
        <v>22100</v>
      </c>
      <c r="N2971" t="s">
        <v>42</v>
      </c>
      <c r="O2971">
        <f t="shared" si="92"/>
        <v>33150</v>
      </c>
      <c r="P2971" s="13">
        <f t="shared" si="93"/>
        <v>1937780</v>
      </c>
      <c r="Q2971" s="13">
        <f>SUMIFS(M:M,E:E,Online_eCommerce[[#This Row],[Status]])</f>
        <v>21233992</v>
      </c>
      <c r="R2971" s="13">
        <f>SUMIFS(L:L,H:H,Online_eCommerce[[#This Row],[Brand]])</f>
        <v>14431000</v>
      </c>
      <c r="S2971" s="13">
        <f>SUMIF(H:H,Online_eCommerce[[#This Row],[Brand]],M:M)</f>
        <v>18760300</v>
      </c>
      <c r="T2971" s="13">
        <f>SUMIF(N:N,Online_eCommerce[[#This Row],[Assigned Supervisor]],L:L)</f>
        <v>12261500</v>
      </c>
    </row>
    <row r="2972" spans="1:20" hidden="1" x14ac:dyDescent="0.3">
      <c r="A2972" t="s">
        <v>4445</v>
      </c>
      <c r="B2972" t="s">
        <v>90</v>
      </c>
      <c r="C2972" t="s">
        <v>172</v>
      </c>
      <c r="D2972" t="s">
        <v>4411</v>
      </c>
      <c r="E2972" t="s">
        <v>18</v>
      </c>
      <c r="F2972" t="s">
        <v>32</v>
      </c>
      <c r="G2972" t="s">
        <v>33</v>
      </c>
      <c r="H2972" t="s">
        <v>34</v>
      </c>
      <c r="I2972">
        <v>7000</v>
      </c>
      <c r="J2972">
        <v>9100</v>
      </c>
      <c r="K2972">
        <v>1</v>
      </c>
      <c r="L2972">
        <v>7000</v>
      </c>
      <c r="M2972">
        <v>9100</v>
      </c>
      <c r="N2972" t="s">
        <v>50</v>
      </c>
      <c r="O2972">
        <f t="shared" si="92"/>
        <v>18200</v>
      </c>
      <c r="P2972" s="13">
        <f t="shared" si="93"/>
        <v>2640274</v>
      </c>
      <c r="Q2972" s="13">
        <f>SUMIFS(M:M,E:E,Online_eCommerce[[#This Row],[Status]])</f>
        <v>28340455</v>
      </c>
      <c r="R2972" s="13">
        <f>SUMIFS(L:L,H:H,Online_eCommerce[[#This Row],[Brand]])</f>
        <v>10087000</v>
      </c>
      <c r="S2972" s="13">
        <f>SUMIF(H:H,Online_eCommerce[[#This Row],[Brand]],M:M)</f>
        <v>13113100</v>
      </c>
      <c r="T2972" s="13">
        <f>SUMIF(N:N,Online_eCommerce[[#This Row],[Assigned Supervisor]],L:L)</f>
        <v>12100590</v>
      </c>
    </row>
    <row r="2973" spans="1:20" hidden="1" x14ac:dyDescent="0.3">
      <c r="A2973" t="s">
        <v>4446</v>
      </c>
      <c r="B2973" t="s">
        <v>232</v>
      </c>
      <c r="C2973" t="s">
        <v>177</v>
      </c>
      <c r="D2973" t="s">
        <v>4411</v>
      </c>
      <c r="E2973" t="s">
        <v>161</v>
      </c>
      <c r="F2973" t="s">
        <v>4447</v>
      </c>
      <c r="G2973" t="s">
        <v>40</v>
      </c>
      <c r="H2973" t="s">
        <v>41</v>
      </c>
      <c r="I2973">
        <v>1680</v>
      </c>
      <c r="J2973">
        <v>2184</v>
      </c>
      <c r="K2973">
        <v>4</v>
      </c>
      <c r="L2973">
        <v>6720</v>
      </c>
      <c r="M2973">
        <v>8736</v>
      </c>
      <c r="N2973" t="s">
        <v>56</v>
      </c>
      <c r="O2973">
        <f t="shared" si="92"/>
        <v>25545</v>
      </c>
      <c r="P2973" s="13">
        <f t="shared" si="93"/>
        <v>1863810</v>
      </c>
      <c r="Q2973" s="13">
        <f>SUMIFS(M:M,E:E,Online_eCommerce[[#This Row],[Status]])</f>
        <v>21103186</v>
      </c>
      <c r="R2973" s="13">
        <f>SUMIFS(L:L,H:H,Online_eCommerce[[#This Row],[Brand]])</f>
        <v>4260400</v>
      </c>
      <c r="S2973" s="13">
        <f>SUMIF(H:H,Online_eCommerce[[#This Row],[Brand]],M:M)</f>
        <v>5538520</v>
      </c>
      <c r="T2973" s="13">
        <f>SUMIF(N:N,Online_eCommerce[[#This Row],[Assigned Supervisor]],L:L)</f>
        <v>11733610</v>
      </c>
    </row>
    <row r="2974" spans="1:20" x14ac:dyDescent="0.3">
      <c r="A2974" t="s">
        <v>4448</v>
      </c>
      <c r="B2974" t="s">
        <v>235</v>
      </c>
      <c r="C2974" t="s">
        <v>181</v>
      </c>
      <c r="D2974" t="s">
        <v>4411</v>
      </c>
      <c r="E2974" t="s">
        <v>46</v>
      </c>
      <c r="F2974" t="s">
        <v>101</v>
      </c>
      <c r="G2974" t="s">
        <v>334</v>
      </c>
      <c r="H2974" t="s">
        <v>102</v>
      </c>
      <c r="I2974">
        <v>6540</v>
      </c>
      <c r="J2974">
        <v>8502</v>
      </c>
      <c r="K2974">
        <v>3</v>
      </c>
      <c r="L2974">
        <v>19620</v>
      </c>
      <c r="M2974">
        <v>25506</v>
      </c>
      <c r="N2974" t="s">
        <v>22</v>
      </c>
      <c r="O2974">
        <f t="shared" si="92"/>
        <v>39780</v>
      </c>
      <c r="P2974" s="13">
        <f t="shared" si="93"/>
        <v>2577458</v>
      </c>
      <c r="Q2974" s="13">
        <f>SUMIFS(M:M,E:E,Online_eCommerce[[#This Row],[Status]])</f>
        <v>28620410</v>
      </c>
      <c r="R2974" s="13">
        <f>SUMIFS(L:L,H:H,Online_eCommerce[[#This Row],[Brand]])</f>
        <v>2465580</v>
      </c>
      <c r="S2974" s="13">
        <f>SUMIF(H:H,Online_eCommerce[[#This Row],[Brand]],M:M)</f>
        <v>3205254</v>
      </c>
      <c r="T2974" s="13">
        <f>SUMIF(N:N,Online_eCommerce[[#This Row],[Assigned Supervisor]],L:L)</f>
        <v>13693220</v>
      </c>
    </row>
    <row r="2975" spans="1:20" hidden="1" x14ac:dyDescent="0.3">
      <c r="A2975" t="s">
        <v>4449</v>
      </c>
      <c r="B2975" t="s">
        <v>104</v>
      </c>
      <c r="C2975" t="s">
        <v>185</v>
      </c>
      <c r="D2975" t="s">
        <v>4411</v>
      </c>
      <c r="E2975" t="s">
        <v>96</v>
      </c>
      <c r="F2975" t="s">
        <v>107</v>
      </c>
      <c r="G2975" t="s">
        <v>54</v>
      </c>
      <c r="H2975" t="s">
        <v>55</v>
      </c>
      <c r="I2975">
        <v>2680</v>
      </c>
      <c r="J2975">
        <v>3484</v>
      </c>
      <c r="K2975">
        <v>3</v>
      </c>
      <c r="L2975">
        <v>8040</v>
      </c>
      <c r="M2975">
        <v>10452</v>
      </c>
      <c r="N2975" t="s">
        <v>28</v>
      </c>
      <c r="O2975">
        <f t="shared" si="92"/>
        <v>2990</v>
      </c>
      <c r="P2975" s="13">
        <f t="shared" si="93"/>
        <v>2091596</v>
      </c>
      <c r="Q2975" s="13">
        <f>SUMIFS(M:M,E:E,Online_eCommerce[[#This Row],[Status]])</f>
        <v>21233992</v>
      </c>
      <c r="R2975" s="13">
        <f>SUMIFS(L:L,H:H,Online_eCommerce[[#This Row],[Brand]])</f>
        <v>2267380</v>
      </c>
      <c r="S2975" s="13">
        <f>SUMIF(H:H,Online_eCommerce[[#This Row],[Brand]],M:M)</f>
        <v>2947594</v>
      </c>
      <c r="T2975" s="13">
        <f>SUMIF(N:N,Online_eCommerce[[#This Row],[Assigned Supervisor]],L:L)</f>
        <v>12220830</v>
      </c>
    </row>
    <row r="2976" spans="1:20" hidden="1" x14ac:dyDescent="0.3">
      <c r="A2976" t="s">
        <v>4450</v>
      </c>
      <c r="B2976" t="s">
        <v>109</v>
      </c>
      <c r="C2976" t="s">
        <v>189</v>
      </c>
      <c r="D2976" t="s">
        <v>4411</v>
      </c>
      <c r="E2976" t="s">
        <v>18</v>
      </c>
      <c r="F2976" t="s">
        <v>112</v>
      </c>
      <c r="G2976" t="s">
        <v>71</v>
      </c>
      <c r="H2976" t="s">
        <v>21</v>
      </c>
      <c r="I2976">
        <v>8250</v>
      </c>
      <c r="J2976">
        <v>10725</v>
      </c>
      <c r="K2976">
        <v>1</v>
      </c>
      <c r="L2976">
        <v>8250</v>
      </c>
      <c r="M2976">
        <v>10725</v>
      </c>
      <c r="N2976" t="s">
        <v>35</v>
      </c>
      <c r="O2976">
        <f t="shared" si="92"/>
        <v>9750</v>
      </c>
      <c r="P2976" s="13">
        <f t="shared" si="93"/>
        <v>2740777</v>
      </c>
      <c r="Q2976" s="13">
        <f>SUMIFS(M:M,E:E,Online_eCommerce[[#This Row],[Status]])</f>
        <v>28340455</v>
      </c>
      <c r="R2976" s="13">
        <f>SUMIFS(L:L,H:H,Online_eCommerce[[#This Row],[Brand]])</f>
        <v>12435650</v>
      </c>
      <c r="S2976" s="13">
        <f>SUMIF(H:H,Online_eCommerce[[#This Row],[Brand]],M:M)</f>
        <v>16166345</v>
      </c>
      <c r="T2976" s="13">
        <f>SUMIF(N:N,Online_eCommerce[[#This Row],[Assigned Supervisor]],L:L)</f>
        <v>14373360</v>
      </c>
    </row>
    <row r="2977" spans="1:20" hidden="1" x14ac:dyDescent="0.3">
      <c r="A2977" t="s">
        <v>4451</v>
      </c>
      <c r="B2977" t="s">
        <v>114</v>
      </c>
      <c r="C2977" t="s">
        <v>193</v>
      </c>
      <c r="D2977" t="s">
        <v>4411</v>
      </c>
      <c r="E2977" t="s">
        <v>161</v>
      </c>
      <c r="F2977" t="s">
        <v>3980</v>
      </c>
      <c r="G2977" t="s">
        <v>40</v>
      </c>
      <c r="H2977" t="s">
        <v>21</v>
      </c>
      <c r="I2977">
        <v>2650</v>
      </c>
      <c r="J2977">
        <v>3445</v>
      </c>
      <c r="K2977">
        <v>2</v>
      </c>
      <c r="L2977">
        <v>5300</v>
      </c>
      <c r="M2977">
        <v>6890</v>
      </c>
      <c r="N2977" t="s">
        <v>42</v>
      </c>
      <c r="O2977">
        <f t="shared" si="92"/>
        <v>25545</v>
      </c>
      <c r="P2977" s="13">
        <f t="shared" si="93"/>
        <v>2074774</v>
      </c>
      <c r="Q2977" s="13">
        <f>SUMIFS(M:M,E:E,Online_eCommerce[[#This Row],[Status]])</f>
        <v>21103186</v>
      </c>
      <c r="R2977" s="13">
        <f>SUMIFS(L:L,H:H,Online_eCommerce[[#This Row],[Brand]])</f>
        <v>12435650</v>
      </c>
      <c r="S2977" s="13">
        <f>SUMIF(H:H,Online_eCommerce[[#This Row],[Brand]],M:M)</f>
        <v>16166345</v>
      </c>
      <c r="T2977" s="13">
        <f>SUMIF(N:N,Online_eCommerce[[#This Row],[Assigned Supervisor]],L:L)</f>
        <v>12261500</v>
      </c>
    </row>
    <row r="2978" spans="1:20" x14ac:dyDescent="0.3">
      <c r="A2978" t="s">
        <v>4452</v>
      </c>
      <c r="B2978" t="s">
        <v>119</v>
      </c>
      <c r="C2978" t="s">
        <v>197</v>
      </c>
      <c r="D2978" t="s">
        <v>4411</v>
      </c>
      <c r="E2978" t="s">
        <v>46</v>
      </c>
      <c r="F2978" t="s">
        <v>121</v>
      </c>
      <c r="G2978" t="s">
        <v>71</v>
      </c>
      <c r="H2978" t="s">
        <v>122</v>
      </c>
      <c r="I2978">
        <v>12550</v>
      </c>
      <c r="J2978">
        <v>16315</v>
      </c>
      <c r="K2978">
        <v>3</v>
      </c>
      <c r="L2978">
        <v>37650</v>
      </c>
      <c r="M2978">
        <v>48945</v>
      </c>
      <c r="N2978" t="s">
        <v>50</v>
      </c>
      <c r="O2978">
        <f t="shared" si="92"/>
        <v>9750</v>
      </c>
      <c r="P2978" s="13">
        <f t="shared" si="93"/>
        <v>2829840</v>
      </c>
      <c r="Q2978" s="13">
        <f>SUMIFS(M:M,E:E,Online_eCommerce[[#This Row],[Status]])</f>
        <v>28620410</v>
      </c>
      <c r="R2978" s="13">
        <f>SUMIFS(L:L,H:H,Online_eCommerce[[#This Row],[Brand]])</f>
        <v>5045100</v>
      </c>
      <c r="S2978" s="13">
        <f>SUMIF(H:H,Online_eCommerce[[#This Row],[Brand]],M:M)</f>
        <v>6558630</v>
      </c>
      <c r="T2978" s="13">
        <f>SUMIF(N:N,Online_eCommerce[[#This Row],[Assigned Supervisor]],L:L)</f>
        <v>12100590</v>
      </c>
    </row>
    <row r="2979" spans="1:20" hidden="1" x14ac:dyDescent="0.3">
      <c r="A2979" t="s">
        <v>4453</v>
      </c>
      <c r="B2979" t="s">
        <v>124</v>
      </c>
      <c r="C2979" t="s">
        <v>199</v>
      </c>
      <c r="D2979" t="s">
        <v>4411</v>
      </c>
      <c r="E2979" t="s">
        <v>96</v>
      </c>
      <c r="F2979" t="s">
        <v>126</v>
      </c>
      <c r="G2979" t="s">
        <v>26</v>
      </c>
      <c r="H2979" t="s">
        <v>27</v>
      </c>
      <c r="I2979">
        <v>14500</v>
      </c>
      <c r="J2979">
        <v>18850</v>
      </c>
      <c r="K2979">
        <v>3</v>
      </c>
      <c r="L2979">
        <v>43500</v>
      </c>
      <c r="M2979">
        <v>56550</v>
      </c>
      <c r="N2979" t="s">
        <v>56</v>
      </c>
      <c r="O2979">
        <f t="shared" si="92"/>
        <v>33150</v>
      </c>
      <c r="P2979" s="13">
        <f t="shared" si="93"/>
        <v>1947361</v>
      </c>
      <c r="Q2979" s="13">
        <f>SUMIFS(M:M,E:E,Online_eCommerce[[#This Row],[Status]])</f>
        <v>21233992</v>
      </c>
      <c r="R2979" s="13">
        <f>SUMIFS(L:L,H:H,Online_eCommerce[[#This Row],[Brand]])</f>
        <v>14431000</v>
      </c>
      <c r="S2979" s="13">
        <f>SUMIF(H:H,Online_eCommerce[[#This Row],[Brand]],M:M)</f>
        <v>18760300</v>
      </c>
      <c r="T2979" s="13">
        <f>SUMIF(N:N,Online_eCommerce[[#This Row],[Assigned Supervisor]],L:L)</f>
        <v>11733610</v>
      </c>
    </row>
    <row r="2980" spans="1:20" hidden="1" x14ac:dyDescent="0.3">
      <c r="A2980" t="s">
        <v>4454</v>
      </c>
      <c r="B2980" t="s">
        <v>128</v>
      </c>
      <c r="C2980" t="s">
        <v>203</v>
      </c>
      <c r="D2980" t="s">
        <v>4411</v>
      </c>
      <c r="E2980" t="s">
        <v>18</v>
      </c>
      <c r="F2980" t="s">
        <v>129</v>
      </c>
      <c r="G2980" t="s">
        <v>60</v>
      </c>
      <c r="H2980" t="s">
        <v>61</v>
      </c>
      <c r="I2980">
        <v>800</v>
      </c>
      <c r="J2980">
        <v>1040</v>
      </c>
      <c r="K2980">
        <v>1</v>
      </c>
      <c r="L2980">
        <v>800</v>
      </c>
      <c r="M2980">
        <v>1040</v>
      </c>
      <c r="N2980" t="s">
        <v>22</v>
      </c>
      <c r="O2980">
        <f t="shared" si="92"/>
        <v>3315</v>
      </c>
      <c r="P2980" s="13">
        <f t="shared" si="93"/>
        <v>2559635</v>
      </c>
      <c r="Q2980" s="13">
        <f>SUMIFS(M:M,E:E,Online_eCommerce[[#This Row],[Status]])</f>
        <v>28340455</v>
      </c>
      <c r="R2980" s="13">
        <f>SUMIFS(L:L,H:H,Online_eCommerce[[#This Row],[Brand]])</f>
        <v>10950150</v>
      </c>
      <c r="S2980" s="13">
        <f>SUMIF(H:H,Online_eCommerce[[#This Row],[Brand]],M:M)</f>
        <v>14235195</v>
      </c>
      <c r="T2980" s="13">
        <f>SUMIF(N:N,Online_eCommerce[[#This Row],[Assigned Supervisor]],L:L)</f>
        <v>13693220</v>
      </c>
    </row>
    <row r="2981" spans="1:20" hidden="1" x14ac:dyDescent="0.3">
      <c r="A2981" t="s">
        <v>4455</v>
      </c>
      <c r="B2981" t="s">
        <v>131</v>
      </c>
      <c r="C2981" t="s">
        <v>205</v>
      </c>
      <c r="D2981" t="s">
        <v>4411</v>
      </c>
      <c r="E2981" t="s">
        <v>161</v>
      </c>
      <c r="F2981" t="s">
        <v>133</v>
      </c>
      <c r="G2981" t="s">
        <v>66</v>
      </c>
      <c r="H2981" t="s">
        <v>21</v>
      </c>
      <c r="I2981">
        <v>600</v>
      </c>
      <c r="J2981">
        <v>780</v>
      </c>
      <c r="K2981">
        <v>2</v>
      </c>
      <c r="L2981">
        <v>1200</v>
      </c>
      <c r="M2981">
        <v>1560</v>
      </c>
      <c r="N2981" t="s">
        <v>28</v>
      </c>
      <c r="O2981">
        <f t="shared" si="92"/>
        <v>1690</v>
      </c>
      <c r="P2981" s="13">
        <f t="shared" si="93"/>
        <v>1983254</v>
      </c>
      <c r="Q2981" s="13">
        <f>SUMIFS(M:M,E:E,Online_eCommerce[[#This Row],[Status]])</f>
        <v>21103186</v>
      </c>
      <c r="R2981" s="13">
        <f>SUMIFS(L:L,H:H,Online_eCommerce[[#This Row],[Brand]])</f>
        <v>12435650</v>
      </c>
      <c r="S2981" s="13">
        <f>SUMIF(H:H,Online_eCommerce[[#This Row],[Brand]],M:M)</f>
        <v>16166345</v>
      </c>
      <c r="T2981" s="13">
        <f>SUMIF(N:N,Online_eCommerce[[#This Row],[Assigned Supervisor]],L:L)</f>
        <v>12220830</v>
      </c>
    </row>
    <row r="2982" spans="1:20" x14ac:dyDescent="0.3">
      <c r="A2982" t="s">
        <v>4456</v>
      </c>
      <c r="B2982" t="s">
        <v>135</v>
      </c>
      <c r="C2982" t="s">
        <v>208</v>
      </c>
      <c r="D2982" t="s">
        <v>4411</v>
      </c>
      <c r="E2982" t="s">
        <v>46</v>
      </c>
      <c r="F2982" t="s">
        <v>137</v>
      </c>
      <c r="G2982" t="s">
        <v>71</v>
      </c>
      <c r="H2982" t="s">
        <v>61</v>
      </c>
      <c r="I2982">
        <v>10500</v>
      </c>
      <c r="J2982">
        <v>13650</v>
      </c>
      <c r="K2982">
        <v>1</v>
      </c>
      <c r="L2982">
        <v>10500</v>
      </c>
      <c r="M2982">
        <v>13650</v>
      </c>
      <c r="N2982" t="s">
        <v>35</v>
      </c>
      <c r="O2982">
        <f t="shared" si="92"/>
        <v>9750</v>
      </c>
      <c r="P2982" s="13">
        <f t="shared" si="93"/>
        <v>2746575</v>
      </c>
      <c r="Q2982" s="13">
        <f>SUMIFS(M:M,E:E,Online_eCommerce[[#This Row],[Status]])</f>
        <v>28620410</v>
      </c>
      <c r="R2982" s="13">
        <f>SUMIFS(L:L,H:H,Online_eCommerce[[#This Row],[Brand]])</f>
        <v>10950150</v>
      </c>
      <c r="S2982" s="13">
        <f>SUMIF(H:H,Online_eCommerce[[#This Row],[Brand]],M:M)</f>
        <v>14235195</v>
      </c>
      <c r="T2982" s="13">
        <f>SUMIF(N:N,Online_eCommerce[[#This Row],[Assigned Supervisor]],L:L)</f>
        <v>14373360</v>
      </c>
    </row>
    <row r="2983" spans="1:20" hidden="1" x14ac:dyDescent="0.3">
      <c r="A2983" t="s">
        <v>4457</v>
      </c>
      <c r="B2983" t="s">
        <v>139</v>
      </c>
      <c r="C2983" t="s">
        <v>211</v>
      </c>
      <c r="D2983" t="s">
        <v>4411</v>
      </c>
      <c r="E2983" t="s">
        <v>96</v>
      </c>
      <c r="F2983" t="s">
        <v>4428</v>
      </c>
      <c r="G2983" t="s">
        <v>77</v>
      </c>
      <c r="H2983" t="s">
        <v>142</v>
      </c>
      <c r="I2983">
        <v>6500</v>
      </c>
      <c r="J2983">
        <v>8450</v>
      </c>
      <c r="K2983">
        <v>4</v>
      </c>
      <c r="L2983">
        <v>26000</v>
      </c>
      <c r="M2983">
        <v>33800</v>
      </c>
      <c r="N2983" t="s">
        <v>42</v>
      </c>
      <c r="O2983">
        <f t="shared" si="92"/>
        <v>39000</v>
      </c>
      <c r="P2983" s="13">
        <f t="shared" si="93"/>
        <v>1809847</v>
      </c>
      <c r="Q2983" s="13">
        <f>SUMIFS(M:M,E:E,Online_eCommerce[[#This Row],[Status]])</f>
        <v>21233992</v>
      </c>
      <c r="R2983" s="13">
        <f>SUMIFS(L:L,H:H,Online_eCommerce[[#This Row],[Brand]])</f>
        <v>6192500</v>
      </c>
      <c r="S2983" s="13">
        <f>SUMIF(H:H,Online_eCommerce[[#This Row],[Brand]],M:M)</f>
        <v>8050250</v>
      </c>
      <c r="T2983" s="13">
        <f>SUMIF(N:N,Online_eCommerce[[#This Row],[Assigned Supervisor]],L:L)</f>
        <v>12261500</v>
      </c>
    </row>
    <row r="2984" spans="1:20" hidden="1" x14ac:dyDescent="0.3">
      <c r="A2984" t="s">
        <v>4458</v>
      </c>
      <c r="B2984" t="s">
        <v>144</v>
      </c>
      <c r="C2984" t="s">
        <v>16</v>
      </c>
      <c r="D2984" t="s">
        <v>4411</v>
      </c>
      <c r="E2984" t="s">
        <v>18</v>
      </c>
      <c r="F2984" t="s">
        <v>4459</v>
      </c>
      <c r="G2984" t="s">
        <v>20</v>
      </c>
      <c r="H2984" t="s">
        <v>21</v>
      </c>
      <c r="I2984">
        <v>4500</v>
      </c>
      <c r="J2984">
        <v>5850</v>
      </c>
      <c r="K2984">
        <v>3</v>
      </c>
      <c r="L2984">
        <v>13500</v>
      </c>
      <c r="M2984">
        <v>17550</v>
      </c>
      <c r="N2984" t="s">
        <v>50</v>
      </c>
      <c r="O2984">
        <f t="shared" si="92"/>
        <v>8450</v>
      </c>
      <c r="P2984" s="13">
        <f t="shared" si="93"/>
        <v>2751814</v>
      </c>
      <c r="Q2984" s="13">
        <f>SUMIFS(M:M,E:E,Online_eCommerce[[#This Row],[Status]])</f>
        <v>28340455</v>
      </c>
      <c r="R2984" s="13">
        <f>SUMIFS(L:L,H:H,Online_eCommerce[[#This Row],[Brand]])</f>
        <v>12435650</v>
      </c>
      <c r="S2984" s="13">
        <f>SUMIF(H:H,Online_eCommerce[[#This Row],[Brand]],M:M)</f>
        <v>16166345</v>
      </c>
      <c r="T2984" s="13">
        <f>SUMIF(N:N,Online_eCommerce[[#This Row],[Assigned Supervisor]],L:L)</f>
        <v>12100590</v>
      </c>
    </row>
    <row r="2985" spans="1:20" hidden="1" x14ac:dyDescent="0.3">
      <c r="A2985" t="s">
        <v>4460</v>
      </c>
      <c r="B2985" t="s">
        <v>149</v>
      </c>
      <c r="C2985" t="s">
        <v>24</v>
      </c>
      <c r="D2985" t="s">
        <v>4411</v>
      </c>
      <c r="E2985" t="s">
        <v>161</v>
      </c>
      <c r="F2985" t="s">
        <v>152</v>
      </c>
      <c r="G2985" t="s">
        <v>26</v>
      </c>
      <c r="H2985" t="s">
        <v>27</v>
      </c>
      <c r="I2985">
        <v>8500</v>
      </c>
      <c r="J2985">
        <v>11050</v>
      </c>
      <c r="K2985">
        <v>2</v>
      </c>
      <c r="L2985">
        <v>17000</v>
      </c>
      <c r="M2985">
        <v>22100</v>
      </c>
      <c r="N2985" t="s">
        <v>56</v>
      </c>
      <c r="O2985">
        <f t="shared" si="92"/>
        <v>33150</v>
      </c>
      <c r="P2985" s="13">
        <f t="shared" si="93"/>
        <v>2009540</v>
      </c>
      <c r="Q2985" s="13">
        <f>SUMIFS(M:M,E:E,Online_eCommerce[[#This Row],[Status]])</f>
        <v>21103186</v>
      </c>
      <c r="R2985" s="13">
        <f>SUMIFS(L:L,H:H,Online_eCommerce[[#This Row],[Brand]])</f>
        <v>14431000</v>
      </c>
      <c r="S2985" s="13">
        <f>SUMIF(H:H,Online_eCommerce[[#This Row],[Brand]],M:M)</f>
        <v>18760300</v>
      </c>
      <c r="T2985" s="13">
        <f>SUMIF(N:N,Online_eCommerce[[#This Row],[Assigned Supervisor]],L:L)</f>
        <v>11733610</v>
      </c>
    </row>
    <row r="2986" spans="1:20" x14ac:dyDescent="0.3">
      <c r="A2986" t="s">
        <v>4461</v>
      </c>
      <c r="B2986" t="s">
        <v>154</v>
      </c>
      <c r="C2986" t="s">
        <v>31</v>
      </c>
      <c r="D2986" t="s">
        <v>4411</v>
      </c>
      <c r="E2986" t="s">
        <v>46</v>
      </c>
      <c r="F2986" t="s">
        <v>157</v>
      </c>
      <c r="G2986" t="s">
        <v>33</v>
      </c>
      <c r="H2986" t="s">
        <v>34</v>
      </c>
      <c r="I2986">
        <v>12500</v>
      </c>
      <c r="J2986">
        <v>16250</v>
      </c>
      <c r="K2986">
        <v>2</v>
      </c>
      <c r="L2986">
        <v>25000</v>
      </c>
      <c r="M2986">
        <v>32500</v>
      </c>
      <c r="N2986" t="s">
        <v>22</v>
      </c>
      <c r="O2986">
        <f t="shared" si="92"/>
        <v>18200</v>
      </c>
      <c r="P2986" s="13">
        <f t="shared" si="93"/>
        <v>2865746</v>
      </c>
      <c r="Q2986" s="13">
        <f>SUMIFS(M:M,E:E,Online_eCommerce[[#This Row],[Status]])</f>
        <v>28620410</v>
      </c>
      <c r="R2986" s="13">
        <f>SUMIFS(L:L,H:H,Online_eCommerce[[#This Row],[Brand]])</f>
        <v>10087000</v>
      </c>
      <c r="S2986" s="13">
        <f>SUMIF(H:H,Online_eCommerce[[#This Row],[Brand]],M:M)</f>
        <v>13113100</v>
      </c>
      <c r="T2986" s="13">
        <f>SUMIF(N:N,Online_eCommerce[[#This Row],[Assigned Supervisor]],L:L)</f>
        <v>13693220</v>
      </c>
    </row>
    <row r="2987" spans="1:20" hidden="1" x14ac:dyDescent="0.3">
      <c r="A2987" t="s">
        <v>4462</v>
      </c>
      <c r="B2987" t="s">
        <v>159</v>
      </c>
      <c r="C2987" t="s">
        <v>38</v>
      </c>
      <c r="D2987" t="s">
        <v>4411</v>
      </c>
      <c r="E2987" t="s">
        <v>96</v>
      </c>
      <c r="F2987" t="s">
        <v>4024</v>
      </c>
      <c r="G2987" t="s">
        <v>163</v>
      </c>
      <c r="H2987" t="s">
        <v>41</v>
      </c>
      <c r="I2987">
        <v>3500</v>
      </c>
      <c r="J2987">
        <v>4550</v>
      </c>
      <c r="K2987">
        <v>4</v>
      </c>
      <c r="L2987">
        <v>14000</v>
      </c>
      <c r="M2987">
        <v>18200</v>
      </c>
      <c r="N2987" t="s">
        <v>28</v>
      </c>
      <c r="O2987">
        <f t="shared" si="92"/>
        <v>13650</v>
      </c>
      <c r="P2987" s="13">
        <f t="shared" si="93"/>
        <v>1933997</v>
      </c>
      <c r="Q2987" s="13">
        <f>SUMIFS(M:M,E:E,Online_eCommerce[[#This Row],[Status]])</f>
        <v>21233992</v>
      </c>
      <c r="R2987" s="13">
        <f>SUMIFS(L:L,H:H,Online_eCommerce[[#This Row],[Brand]])</f>
        <v>4260400</v>
      </c>
      <c r="S2987" s="13">
        <f>SUMIF(H:H,Online_eCommerce[[#This Row],[Brand]],M:M)</f>
        <v>5538520</v>
      </c>
      <c r="T2987" s="13">
        <f>SUMIF(N:N,Online_eCommerce[[#This Row],[Assigned Supervisor]],L:L)</f>
        <v>12220830</v>
      </c>
    </row>
    <row r="2988" spans="1:20" hidden="1" x14ac:dyDescent="0.3">
      <c r="A2988" t="s">
        <v>4463</v>
      </c>
      <c r="B2988" t="s">
        <v>139</v>
      </c>
      <c r="C2988" t="s">
        <v>45</v>
      </c>
      <c r="D2988" t="s">
        <v>4411</v>
      </c>
      <c r="E2988" t="s">
        <v>18</v>
      </c>
      <c r="F2988" t="s">
        <v>166</v>
      </c>
      <c r="G2988" t="s">
        <v>66</v>
      </c>
      <c r="H2988" t="s">
        <v>49</v>
      </c>
      <c r="I2988">
        <v>4500</v>
      </c>
      <c r="J2988">
        <v>5850</v>
      </c>
      <c r="K2988">
        <v>3</v>
      </c>
      <c r="L2988">
        <v>13500</v>
      </c>
      <c r="M2988">
        <v>17550</v>
      </c>
      <c r="N2988" t="s">
        <v>35</v>
      </c>
      <c r="O2988">
        <f t="shared" si="92"/>
        <v>1690</v>
      </c>
      <c r="P2988" s="13">
        <f t="shared" si="93"/>
        <v>2842554</v>
      </c>
      <c r="Q2988" s="13">
        <f>SUMIFS(M:M,E:E,Online_eCommerce[[#This Row],[Status]])</f>
        <v>28340455</v>
      </c>
      <c r="R2988" s="13">
        <f>SUMIFS(L:L,H:H,Online_eCommerce[[#This Row],[Brand]])</f>
        <v>4528350</v>
      </c>
      <c r="S2988" s="13">
        <f>SUMIF(H:H,Online_eCommerce[[#This Row],[Brand]],M:M)</f>
        <v>5886855</v>
      </c>
      <c r="T2988" s="13">
        <f>SUMIF(N:N,Online_eCommerce[[#This Row],[Assigned Supervisor]],L:L)</f>
        <v>14373360</v>
      </c>
    </row>
    <row r="2989" spans="1:20" hidden="1" x14ac:dyDescent="0.3">
      <c r="A2989" t="s">
        <v>4464</v>
      </c>
      <c r="B2989" t="s">
        <v>144</v>
      </c>
      <c r="C2989" t="s">
        <v>52</v>
      </c>
      <c r="D2989" t="s">
        <v>4411</v>
      </c>
      <c r="E2989" t="s">
        <v>161</v>
      </c>
      <c r="F2989" t="s">
        <v>4465</v>
      </c>
      <c r="G2989" t="s">
        <v>54</v>
      </c>
      <c r="H2989" t="s">
        <v>55</v>
      </c>
      <c r="I2989">
        <v>2100</v>
      </c>
      <c r="J2989">
        <v>2730</v>
      </c>
      <c r="K2989">
        <v>1</v>
      </c>
      <c r="L2989">
        <v>2100</v>
      </c>
      <c r="M2989">
        <v>2730</v>
      </c>
      <c r="N2989" t="s">
        <v>42</v>
      </c>
      <c r="O2989">
        <f t="shared" si="92"/>
        <v>2990</v>
      </c>
      <c r="P2989" s="13">
        <f t="shared" si="93"/>
        <v>1955044</v>
      </c>
      <c r="Q2989" s="13">
        <f>SUMIFS(M:M,E:E,Online_eCommerce[[#This Row],[Status]])</f>
        <v>21103186</v>
      </c>
      <c r="R2989" s="13">
        <f>SUMIFS(L:L,H:H,Online_eCommerce[[#This Row],[Brand]])</f>
        <v>2267380</v>
      </c>
      <c r="S2989" s="13">
        <f>SUMIF(H:H,Online_eCommerce[[#This Row],[Brand]],M:M)</f>
        <v>2947594</v>
      </c>
      <c r="T2989" s="13">
        <f>SUMIF(N:N,Online_eCommerce[[#This Row],[Assigned Supervisor]],L:L)</f>
        <v>12261500</v>
      </c>
    </row>
    <row r="2990" spans="1:20" x14ac:dyDescent="0.3">
      <c r="A2990" t="s">
        <v>4466</v>
      </c>
      <c r="B2990" t="s">
        <v>235</v>
      </c>
      <c r="C2990" t="s">
        <v>58</v>
      </c>
      <c r="D2990" t="s">
        <v>4411</v>
      </c>
      <c r="E2990" t="s">
        <v>46</v>
      </c>
      <c r="F2990" t="s">
        <v>174</v>
      </c>
      <c r="G2990" t="s">
        <v>60</v>
      </c>
      <c r="H2990" t="s">
        <v>61</v>
      </c>
      <c r="I2990">
        <v>1150</v>
      </c>
      <c r="J2990">
        <v>1495</v>
      </c>
      <c r="K2990">
        <v>1</v>
      </c>
      <c r="L2990">
        <v>1150</v>
      </c>
      <c r="M2990">
        <v>1495</v>
      </c>
      <c r="N2990" t="s">
        <v>50</v>
      </c>
      <c r="O2990">
        <f t="shared" si="92"/>
        <v>3315</v>
      </c>
      <c r="P2990" s="13">
        <f t="shared" si="93"/>
        <v>2629211</v>
      </c>
      <c r="Q2990" s="13">
        <f>SUMIFS(M:M,E:E,Online_eCommerce[[#This Row],[Status]])</f>
        <v>28620410</v>
      </c>
      <c r="R2990" s="13">
        <f>SUMIFS(L:L,H:H,Online_eCommerce[[#This Row],[Brand]])</f>
        <v>10950150</v>
      </c>
      <c r="S2990" s="13">
        <f>SUMIF(H:H,Online_eCommerce[[#This Row],[Brand]],M:M)</f>
        <v>14235195</v>
      </c>
      <c r="T2990" s="13">
        <f>SUMIF(N:N,Online_eCommerce[[#This Row],[Assigned Supervisor]],L:L)</f>
        <v>12100590</v>
      </c>
    </row>
    <row r="2991" spans="1:20" hidden="1" x14ac:dyDescent="0.3">
      <c r="A2991" t="s">
        <v>4467</v>
      </c>
      <c r="B2991" t="s">
        <v>176</v>
      </c>
      <c r="C2991" t="s">
        <v>63</v>
      </c>
      <c r="D2991" t="s">
        <v>4411</v>
      </c>
      <c r="E2991" t="s">
        <v>96</v>
      </c>
      <c r="F2991" t="s">
        <v>179</v>
      </c>
      <c r="G2991" t="s">
        <v>66</v>
      </c>
      <c r="H2991" t="s">
        <v>21</v>
      </c>
      <c r="I2991">
        <v>350</v>
      </c>
      <c r="J2991">
        <v>455</v>
      </c>
      <c r="K2991">
        <v>2</v>
      </c>
      <c r="L2991">
        <v>700</v>
      </c>
      <c r="M2991">
        <v>910</v>
      </c>
      <c r="N2991" t="s">
        <v>56</v>
      </c>
      <c r="O2991">
        <f t="shared" si="92"/>
        <v>1690</v>
      </c>
      <c r="P2991" s="13">
        <f t="shared" si="93"/>
        <v>2016131</v>
      </c>
      <c r="Q2991" s="13">
        <f>SUMIFS(M:M,E:E,Online_eCommerce[[#This Row],[Status]])</f>
        <v>21233992</v>
      </c>
      <c r="R2991" s="13">
        <f>SUMIFS(L:L,H:H,Online_eCommerce[[#This Row],[Brand]])</f>
        <v>12435650</v>
      </c>
      <c r="S2991" s="13">
        <f>SUMIF(H:H,Online_eCommerce[[#This Row],[Brand]],M:M)</f>
        <v>16166345</v>
      </c>
      <c r="T2991" s="13">
        <f>SUMIF(N:N,Online_eCommerce[[#This Row],[Assigned Supervisor]],L:L)</f>
        <v>11733610</v>
      </c>
    </row>
    <row r="2992" spans="1:20" hidden="1" x14ac:dyDescent="0.3">
      <c r="A2992" t="s">
        <v>4468</v>
      </c>
      <c r="B2992" t="s">
        <v>276</v>
      </c>
      <c r="C2992" t="s">
        <v>68</v>
      </c>
      <c r="D2992" t="s">
        <v>4411</v>
      </c>
      <c r="E2992" t="s">
        <v>18</v>
      </c>
      <c r="F2992" t="s">
        <v>183</v>
      </c>
      <c r="G2992" t="s">
        <v>71</v>
      </c>
      <c r="H2992" t="s">
        <v>61</v>
      </c>
      <c r="I2992">
        <v>9500</v>
      </c>
      <c r="J2992">
        <v>12350</v>
      </c>
      <c r="K2992">
        <v>3</v>
      </c>
      <c r="L2992">
        <v>28500</v>
      </c>
      <c r="M2992">
        <v>37050</v>
      </c>
      <c r="N2992" t="s">
        <v>22</v>
      </c>
      <c r="O2992">
        <f t="shared" si="92"/>
        <v>9750</v>
      </c>
      <c r="P2992" s="13">
        <f t="shared" si="93"/>
        <v>2974621</v>
      </c>
      <c r="Q2992" s="13">
        <f>SUMIFS(M:M,E:E,Online_eCommerce[[#This Row],[Status]])</f>
        <v>28340455</v>
      </c>
      <c r="R2992" s="13">
        <f>SUMIFS(L:L,H:H,Online_eCommerce[[#This Row],[Brand]])</f>
        <v>10950150</v>
      </c>
      <c r="S2992" s="13">
        <f>SUMIF(H:H,Online_eCommerce[[#This Row],[Brand]],M:M)</f>
        <v>14235195</v>
      </c>
      <c r="T2992" s="13">
        <f>SUMIF(N:N,Online_eCommerce[[#This Row],[Assigned Supervisor]],L:L)</f>
        <v>13693220</v>
      </c>
    </row>
    <row r="2993" spans="1:20" hidden="1" x14ac:dyDescent="0.3">
      <c r="A2993" t="s">
        <v>4469</v>
      </c>
      <c r="B2993" t="s">
        <v>280</v>
      </c>
      <c r="C2993" t="s">
        <v>74</v>
      </c>
      <c r="D2993" t="s">
        <v>4411</v>
      </c>
      <c r="E2993" t="s">
        <v>161</v>
      </c>
      <c r="F2993" t="s">
        <v>4470</v>
      </c>
      <c r="G2993" t="s">
        <v>77</v>
      </c>
      <c r="H2993" t="s">
        <v>142</v>
      </c>
      <c r="I2993">
        <v>10000</v>
      </c>
      <c r="J2993">
        <v>13000</v>
      </c>
      <c r="K2993">
        <v>4</v>
      </c>
      <c r="L2993">
        <v>40000</v>
      </c>
      <c r="M2993">
        <v>52000</v>
      </c>
      <c r="N2993" t="s">
        <v>28</v>
      </c>
      <c r="O2993">
        <f t="shared" si="92"/>
        <v>39000</v>
      </c>
      <c r="P2993" s="13">
        <f t="shared" si="93"/>
        <v>2144701</v>
      </c>
      <c r="Q2993" s="13">
        <f>SUMIFS(M:M,E:E,Online_eCommerce[[#This Row],[Status]])</f>
        <v>21103186</v>
      </c>
      <c r="R2993" s="13">
        <f>SUMIFS(L:L,H:H,Online_eCommerce[[#This Row],[Brand]])</f>
        <v>6192500</v>
      </c>
      <c r="S2993" s="13">
        <f>SUMIF(H:H,Online_eCommerce[[#This Row],[Brand]],M:M)</f>
        <v>8050250</v>
      </c>
      <c r="T2993" s="13">
        <f>SUMIF(N:N,Online_eCommerce[[#This Row],[Assigned Supervisor]],L:L)</f>
        <v>12220830</v>
      </c>
    </row>
    <row r="2994" spans="1:20" x14ac:dyDescent="0.3">
      <c r="A2994" t="s">
        <v>4471</v>
      </c>
      <c r="B2994" t="s">
        <v>283</v>
      </c>
      <c r="C2994" t="s">
        <v>81</v>
      </c>
      <c r="D2994" t="s">
        <v>4411</v>
      </c>
      <c r="E2994" t="s">
        <v>46</v>
      </c>
      <c r="F2994" t="s">
        <v>4472</v>
      </c>
      <c r="G2994" t="s">
        <v>20</v>
      </c>
      <c r="H2994" t="s">
        <v>21</v>
      </c>
      <c r="I2994">
        <v>6500</v>
      </c>
      <c r="J2994">
        <v>8450</v>
      </c>
      <c r="K2994">
        <v>3</v>
      </c>
      <c r="L2994">
        <v>19500</v>
      </c>
      <c r="M2994">
        <v>25350</v>
      </c>
      <c r="N2994" t="s">
        <v>35</v>
      </c>
      <c r="O2994">
        <f t="shared" si="92"/>
        <v>8450</v>
      </c>
      <c r="P2994" s="13">
        <f t="shared" si="93"/>
        <v>2595632</v>
      </c>
      <c r="Q2994" s="13">
        <f>SUMIFS(M:M,E:E,Online_eCommerce[[#This Row],[Status]])</f>
        <v>28620410</v>
      </c>
      <c r="R2994" s="13">
        <f>SUMIFS(L:L,H:H,Online_eCommerce[[#This Row],[Brand]])</f>
        <v>12435650</v>
      </c>
      <c r="S2994" s="13">
        <f>SUMIF(H:H,Online_eCommerce[[#This Row],[Brand]],M:M)</f>
        <v>16166345</v>
      </c>
      <c r="T2994" s="13">
        <f>SUMIF(N:N,Online_eCommerce[[#This Row],[Assigned Supervisor]],L:L)</f>
        <v>14373360</v>
      </c>
    </row>
    <row r="2995" spans="1:20" hidden="1" x14ac:dyDescent="0.3">
      <c r="A2995" t="s">
        <v>4473</v>
      </c>
      <c r="B2995" t="s">
        <v>287</v>
      </c>
      <c r="C2995" t="s">
        <v>86</v>
      </c>
      <c r="D2995" t="s">
        <v>4411</v>
      </c>
      <c r="E2995" t="s">
        <v>96</v>
      </c>
      <c r="F2995" t="s">
        <v>4474</v>
      </c>
      <c r="G2995" t="s">
        <v>26</v>
      </c>
      <c r="H2995" t="s">
        <v>27</v>
      </c>
      <c r="I2995">
        <v>8500</v>
      </c>
      <c r="J2995">
        <v>11050</v>
      </c>
      <c r="K2995">
        <v>2</v>
      </c>
      <c r="L2995">
        <v>17000</v>
      </c>
      <c r="M2995">
        <v>22100</v>
      </c>
      <c r="N2995" t="s">
        <v>42</v>
      </c>
      <c r="O2995">
        <f t="shared" si="92"/>
        <v>33150</v>
      </c>
      <c r="P2995" s="13">
        <f t="shared" si="93"/>
        <v>1941225</v>
      </c>
      <c r="Q2995" s="13">
        <f>SUMIFS(M:M,E:E,Online_eCommerce[[#This Row],[Status]])</f>
        <v>21233992</v>
      </c>
      <c r="R2995" s="13">
        <f>SUMIFS(L:L,H:H,Online_eCommerce[[#This Row],[Brand]])</f>
        <v>14431000</v>
      </c>
      <c r="S2995" s="13">
        <f>SUMIF(H:H,Online_eCommerce[[#This Row],[Brand]],M:M)</f>
        <v>18760300</v>
      </c>
      <c r="T2995" s="13">
        <f>SUMIF(N:N,Online_eCommerce[[#This Row],[Assigned Supervisor]],L:L)</f>
        <v>12261500</v>
      </c>
    </row>
    <row r="2996" spans="1:20" hidden="1" x14ac:dyDescent="0.3">
      <c r="A2996" t="s">
        <v>4475</v>
      </c>
      <c r="B2996" t="s">
        <v>290</v>
      </c>
      <c r="C2996" t="s">
        <v>91</v>
      </c>
      <c r="D2996" t="s">
        <v>4411</v>
      </c>
      <c r="E2996" t="s">
        <v>18</v>
      </c>
      <c r="F2996" t="s">
        <v>32</v>
      </c>
      <c r="G2996" t="s">
        <v>33</v>
      </c>
      <c r="H2996" t="s">
        <v>34</v>
      </c>
      <c r="I2996">
        <v>7000</v>
      </c>
      <c r="J2996">
        <v>9100</v>
      </c>
      <c r="K2996">
        <v>3</v>
      </c>
      <c r="L2996">
        <v>21000</v>
      </c>
      <c r="M2996">
        <v>27300</v>
      </c>
      <c r="N2996" t="s">
        <v>50</v>
      </c>
      <c r="O2996">
        <f t="shared" si="92"/>
        <v>18200</v>
      </c>
      <c r="P2996" s="13">
        <f t="shared" si="93"/>
        <v>2731963</v>
      </c>
      <c r="Q2996" s="13">
        <f>SUMIFS(M:M,E:E,Online_eCommerce[[#This Row],[Status]])</f>
        <v>28340455</v>
      </c>
      <c r="R2996" s="13">
        <f>SUMIFS(L:L,H:H,Online_eCommerce[[#This Row],[Brand]])</f>
        <v>10087000</v>
      </c>
      <c r="S2996" s="13">
        <f>SUMIF(H:H,Online_eCommerce[[#This Row],[Brand]],M:M)</f>
        <v>13113100</v>
      </c>
      <c r="T2996" s="13">
        <f>SUMIF(N:N,Online_eCommerce[[#This Row],[Assigned Supervisor]],L:L)</f>
        <v>12100590</v>
      </c>
    </row>
    <row r="2997" spans="1:20" hidden="1" x14ac:dyDescent="0.3">
      <c r="A2997" t="s">
        <v>4476</v>
      </c>
      <c r="B2997" t="s">
        <v>15</v>
      </c>
      <c r="C2997" t="s">
        <v>94</v>
      </c>
      <c r="D2997" t="s">
        <v>4411</v>
      </c>
      <c r="E2997" t="s">
        <v>161</v>
      </c>
      <c r="F2997" t="s">
        <v>4477</v>
      </c>
      <c r="G2997" t="s">
        <v>163</v>
      </c>
      <c r="H2997" t="s">
        <v>41</v>
      </c>
      <c r="I2997">
        <v>6550</v>
      </c>
      <c r="J2997">
        <v>8515</v>
      </c>
      <c r="K2997">
        <v>2</v>
      </c>
      <c r="L2997">
        <v>13100</v>
      </c>
      <c r="M2997">
        <v>17030</v>
      </c>
      <c r="N2997" t="s">
        <v>56</v>
      </c>
      <c r="O2997">
        <f t="shared" si="92"/>
        <v>13650</v>
      </c>
      <c r="P2997" s="13">
        <f t="shared" si="93"/>
        <v>1868256</v>
      </c>
      <c r="Q2997" s="13">
        <f>SUMIFS(M:M,E:E,Online_eCommerce[[#This Row],[Status]])</f>
        <v>21103186</v>
      </c>
      <c r="R2997" s="13">
        <f>SUMIFS(L:L,H:H,Online_eCommerce[[#This Row],[Brand]])</f>
        <v>4260400</v>
      </c>
      <c r="S2997" s="13">
        <f>SUMIF(H:H,Online_eCommerce[[#This Row],[Brand]],M:M)</f>
        <v>5538520</v>
      </c>
      <c r="T2997" s="13">
        <f>SUMIF(N:N,Online_eCommerce[[#This Row],[Assigned Supervisor]],L:L)</f>
        <v>11733610</v>
      </c>
    </row>
    <row r="2998" spans="1:20" x14ac:dyDescent="0.3">
      <c r="A2998" t="s">
        <v>4478</v>
      </c>
      <c r="B2998" t="s">
        <v>202</v>
      </c>
      <c r="C2998" t="s">
        <v>99</v>
      </c>
      <c r="D2998" t="s">
        <v>4411</v>
      </c>
      <c r="E2998" t="s">
        <v>46</v>
      </c>
      <c r="F2998" t="s">
        <v>47</v>
      </c>
      <c r="G2998" t="s">
        <v>66</v>
      </c>
      <c r="H2998" t="s">
        <v>49</v>
      </c>
      <c r="I2998">
        <v>7650</v>
      </c>
      <c r="J2998">
        <v>9945</v>
      </c>
      <c r="K2998">
        <v>2</v>
      </c>
      <c r="L2998">
        <v>15300</v>
      </c>
      <c r="M2998">
        <v>19890</v>
      </c>
      <c r="N2998" t="s">
        <v>22</v>
      </c>
      <c r="O2998">
        <f t="shared" si="92"/>
        <v>1690</v>
      </c>
      <c r="P2998" s="13">
        <f t="shared" si="93"/>
        <v>2651233</v>
      </c>
      <c r="Q2998" s="13">
        <f>SUMIFS(M:M,E:E,Online_eCommerce[[#This Row],[Status]])</f>
        <v>28620410</v>
      </c>
      <c r="R2998" s="13">
        <f>SUMIFS(L:L,H:H,Online_eCommerce[[#This Row],[Brand]])</f>
        <v>4528350</v>
      </c>
      <c r="S2998" s="13">
        <f>SUMIF(H:H,Online_eCommerce[[#This Row],[Brand]],M:M)</f>
        <v>5886855</v>
      </c>
      <c r="T2998" s="13">
        <f>SUMIF(N:N,Online_eCommerce[[#This Row],[Assigned Supervisor]],L:L)</f>
        <v>13693220</v>
      </c>
    </row>
    <row r="2999" spans="1:20" hidden="1" x14ac:dyDescent="0.3">
      <c r="A2999" t="s">
        <v>4479</v>
      </c>
      <c r="B2999" t="s">
        <v>30</v>
      </c>
      <c r="C2999" t="s">
        <v>105</v>
      </c>
      <c r="D2999" t="s">
        <v>4411</v>
      </c>
      <c r="E2999" t="s">
        <v>96</v>
      </c>
      <c r="F2999" t="s">
        <v>53</v>
      </c>
      <c r="G2999" t="s">
        <v>54</v>
      </c>
      <c r="H2999" t="s">
        <v>55</v>
      </c>
      <c r="I2999">
        <v>1150</v>
      </c>
      <c r="J2999">
        <v>1495</v>
      </c>
      <c r="K2999">
        <v>1</v>
      </c>
      <c r="L2999">
        <v>1150</v>
      </c>
      <c r="M2999">
        <v>1495</v>
      </c>
      <c r="N2999" t="s">
        <v>28</v>
      </c>
      <c r="O2999">
        <f t="shared" si="92"/>
        <v>2990</v>
      </c>
      <c r="P2999" s="13">
        <f t="shared" si="93"/>
        <v>1866852</v>
      </c>
      <c r="Q2999" s="13">
        <f>SUMIFS(M:M,E:E,Online_eCommerce[[#This Row],[Status]])</f>
        <v>21233992</v>
      </c>
      <c r="R2999" s="13">
        <f>SUMIFS(L:L,H:H,Online_eCommerce[[#This Row],[Brand]])</f>
        <v>2267380</v>
      </c>
      <c r="S2999" s="13">
        <f>SUMIF(H:H,Online_eCommerce[[#This Row],[Brand]],M:M)</f>
        <v>2947594</v>
      </c>
      <c r="T2999" s="13">
        <f>SUMIF(N:N,Online_eCommerce[[#This Row],[Assigned Supervisor]],L:L)</f>
        <v>12220830</v>
      </c>
    </row>
    <row r="3000" spans="1:20" hidden="1" x14ac:dyDescent="0.3">
      <c r="A3000" t="s">
        <v>4480</v>
      </c>
      <c r="B3000" t="s">
        <v>37</v>
      </c>
      <c r="C3000" t="s">
        <v>110</v>
      </c>
      <c r="D3000" t="s">
        <v>4411</v>
      </c>
      <c r="E3000" t="s">
        <v>18</v>
      </c>
      <c r="F3000" t="s">
        <v>59</v>
      </c>
      <c r="G3000" t="s">
        <v>60</v>
      </c>
      <c r="H3000" t="s">
        <v>61</v>
      </c>
      <c r="I3000">
        <v>850</v>
      </c>
      <c r="J3000">
        <v>1105</v>
      </c>
      <c r="K3000">
        <v>2</v>
      </c>
      <c r="L3000">
        <v>1700</v>
      </c>
      <c r="M3000">
        <v>2210</v>
      </c>
      <c r="N3000" t="s">
        <v>35</v>
      </c>
      <c r="O3000">
        <f t="shared" si="92"/>
        <v>3315</v>
      </c>
      <c r="P3000" s="13">
        <f t="shared" si="93"/>
        <v>2598635</v>
      </c>
      <c r="Q3000" s="13">
        <f>SUMIFS(M:M,E:E,Online_eCommerce[[#This Row],[Status]])</f>
        <v>28340455</v>
      </c>
      <c r="R3000" s="13">
        <f>SUMIFS(L:L,H:H,Online_eCommerce[[#This Row],[Brand]])</f>
        <v>10950150</v>
      </c>
      <c r="S3000" s="13">
        <f>SUMIF(H:H,Online_eCommerce[[#This Row],[Brand]],M:M)</f>
        <v>14235195</v>
      </c>
      <c r="T3000" s="13">
        <f>SUMIF(N:N,Online_eCommerce[[#This Row],[Assigned Supervisor]],L:L)</f>
        <v>14373360</v>
      </c>
    </row>
    <row r="3001" spans="1:20" hidden="1" x14ac:dyDescent="0.3">
      <c r="A3001" t="s">
        <v>4481</v>
      </c>
      <c r="B3001" t="s">
        <v>44</v>
      </c>
      <c r="C3001" t="s">
        <v>115</v>
      </c>
      <c r="D3001" t="s">
        <v>4411</v>
      </c>
      <c r="E3001" t="s">
        <v>161</v>
      </c>
      <c r="F3001" t="s">
        <v>65</v>
      </c>
      <c r="G3001" t="s">
        <v>66</v>
      </c>
      <c r="H3001" t="s">
        <v>21</v>
      </c>
      <c r="I3001">
        <v>650</v>
      </c>
      <c r="J3001">
        <v>845</v>
      </c>
      <c r="K3001">
        <v>2</v>
      </c>
      <c r="L3001">
        <v>1300</v>
      </c>
      <c r="M3001">
        <v>1690</v>
      </c>
      <c r="N3001" t="s">
        <v>42</v>
      </c>
      <c r="O3001">
        <f t="shared" si="92"/>
        <v>1690</v>
      </c>
      <c r="P3001" s="13">
        <f t="shared" si="93"/>
        <v>2050178</v>
      </c>
      <c r="Q3001" s="13">
        <f>SUMIFS(M:M,E:E,Online_eCommerce[[#This Row],[Status]])</f>
        <v>21103186</v>
      </c>
      <c r="R3001" s="13">
        <f>SUMIFS(L:L,H:H,Online_eCommerce[[#This Row],[Brand]])</f>
        <v>12435650</v>
      </c>
      <c r="S3001" s="13">
        <f>SUMIF(H:H,Online_eCommerce[[#This Row],[Brand]],M:M)</f>
        <v>16166345</v>
      </c>
      <c r="T3001" s="13">
        <f>SUMIF(N:N,Online_eCommerce[[#This Row],[Assigned Supervisor]],L:L)</f>
        <v>12261500</v>
      </c>
    </row>
    <row r="3002" spans="1:20" x14ac:dyDescent="0.3">
      <c r="A3002" t="s">
        <v>4482</v>
      </c>
      <c r="B3002" t="s">
        <v>213</v>
      </c>
      <c r="C3002" t="s">
        <v>120</v>
      </c>
      <c r="D3002" t="s">
        <v>4411</v>
      </c>
      <c r="E3002" t="s">
        <v>46</v>
      </c>
      <c r="F3002" t="s">
        <v>70</v>
      </c>
      <c r="G3002" t="s">
        <v>71</v>
      </c>
      <c r="H3002" t="s">
        <v>61</v>
      </c>
      <c r="I3002">
        <v>7500</v>
      </c>
      <c r="J3002">
        <v>9750</v>
      </c>
      <c r="K3002">
        <v>1</v>
      </c>
      <c r="L3002">
        <v>7500</v>
      </c>
      <c r="M3002">
        <v>9750</v>
      </c>
      <c r="N3002" t="s">
        <v>50</v>
      </c>
      <c r="O3002">
        <f t="shared" si="92"/>
        <v>9750</v>
      </c>
      <c r="P3002" s="13">
        <f t="shared" si="93"/>
        <v>2734212</v>
      </c>
      <c r="Q3002" s="13">
        <f>SUMIFS(M:M,E:E,Online_eCommerce[[#This Row],[Status]])</f>
        <v>28620410</v>
      </c>
      <c r="R3002" s="13">
        <f>SUMIFS(L:L,H:H,Online_eCommerce[[#This Row],[Brand]])</f>
        <v>10950150</v>
      </c>
      <c r="S3002" s="13">
        <f>SUMIF(H:H,Online_eCommerce[[#This Row],[Brand]],M:M)</f>
        <v>14235195</v>
      </c>
      <c r="T3002" s="13">
        <f>SUMIF(N:N,Online_eCommerce[[#This Row],[Assigned Supervisor]],L:L)</f>
        <v>12100590</v>
      </c>
    </row>
    <row r="3003" spans="1:20" hidden="1" x14ac:dyDescent="0.3">
      <c r="A3003" t="s">
        <v>4483</v>
      </c>
      <c r="B3003" t="s">
        <v>215</v>
      </c>
      <c r="C3003" t="s">
        <v>125</v>
      </c>
      <c r="D3003" t="s">
        <v>4411</v>
      </c>
      <c r="E3003" t="s">
        <v>96</v>
      </c>
      <c r="F3003" t="s">
        <v>4470</v>
      </c>
      <c r="G3003" t="s">
        <v>77</v>
      </c>
      <c r="H3003" t="s">
        <v>78</v>
      </c>
      <c r="I3003">
        <v>10000</v>
      </c>
      <c r="J3003">
        <v>13000</v>
      </c>
      <c r="K3003">
        <v>1</v>
      </c>
      <c r="L3003">
        <v>10000</v>
      </c>
      <c r="M3003">
        <v>13000</v>
      </c>
      <c r="N3003" t="s">
        <v>56</v>
      </c>
      <c r="O3003">
        <f t="shared" si="92"/>
        <v>39000</v>
      </c>
      <c r="P3003" s="13">
        <f t="shared" si="93"/>
        <v>2091154</v>
      </c>
      <c r="Q3003" s="13">
        <f>SUMIFS(M:M,E:E,Online_eCommerce[[#This Row],[Status]])</f>
        <v>21233992</v>
      </c>
      <c r="R3003" s="13">
        <f>SUMIFS(L:L,H:H,Online_eCommerce[[#This Row],[Brand]])</f>
        <v>3720000</v>
      </c>
      <c r="S3003" s="13">
        <f>SUMIF(H:H,Online_eCommerce[[#This Row],[Brand]],M:M)</f>
        <v>4836000</v>
      </c>
      <c r="T3003" s="13">
        <f>SUMIF(N:N,Online_eCommerce[[#This Row],[Assigned Supervisor]],L:L)</f>
        <v>11733610</v>
      </c>
    </row>
    <row r="3004" spans="1:20" hidden="1" x14ac:dyDescent="0.3">
      <c r="A3004" t="s">
        <v>4484</v>
      </c>
      <c r="B3004" t="s">
        <v>306</v>
      </c>
      <c r="C3004" t="s">
        <v>22</v>
      </c>
      <c r="D3004" t="s">
        <v>4411</v>
      </c>
      <c r="E3004" t="s">
        <v>18</v>
      </c>
      <c r="F3004" t="s">
        <v>4485</v>
      </c>
      <c r="G3004" t="s">
        <v>20</v>
      </c>
      <c r="H3004" t="s">
        <v>21</v>
      </c>
      <c r="I3004">
        <v>10500</v>
      </c>
      <c r="J3004">
        <v>13650</v>
      </c>
      <c r="K3004">
        <v>1</v>
      </c>
      <c r="L3004">
        <v>10500</v>
      </c>
      <c r="M3004">
        <v>13650</v>
      </c>
      <c r="N3004" t="s">
        <v>22</v>
      </c>
      <c r="O3004">
        <f t="shared" si="92"/>
        <v>8450</v>
      </c>
      <c r="P3004" s="13">
        <f t="shared" si="93"/>
        <v>2551588</v>
      </c>
      <c r="Q3004" s="13">
        <f>SUMIFS(M:M,E:E,Online_eCommerce[[#This Row],[Status]])</f>
        <v>28340455</v>
      </c>
      <c r="R3004" s="13">
        <f>SUMIFS(L:L,H:H,Online_eCommerce[[#This Row],[Brand]])</f>
        <v>12435650</v>
      </c>
      <c r="S3004" s="13">
        <f>SUMIF(H:H,Online_eCommerce[[#This Row],[Brand]],M:M)</f>
        <v>16166345</v>
      </c>
      <c r="T3004" s="13">
        <f>SUMIF(N:N,Online_eCommerce[[#This Row],[Assigned Supervisor]],L:L)</f>
        <v>13693220</v>
      </c>
    </row>
    <row r="3005" spans="1:20" hidden="1" x14ac:dyDescent="0.3">
      <c r="A3005" t="s">
        <v>4486</v>
      </c>
      <c r="B3005" t="s">
        <v>528</v>
      </c>
      <c r="C3005" t="s">
        <v>132</v>
      </c>
      <c r="D3005" t="s">
        <v>4411</v>
      </c>
      <c r="E3005" t="s">
        <v>161</v>
      </c>
      <c r="F3005" t="s">
        <v>88</v>
      </c>
      <c r="G3005" t="s">
        <v>26</v>
      </c>
      <c r="H3005" t="s">
        <v>27</v>
      </c>
      <c r="I3005">
        <v>8500</v>
      </c>
      <c r="J3005">
        <v>11050</v>
      </c>
      <c r="K3005">
        <v>3</v>
      </c>
      <c r="L3005">
        <v>25500</v>
      </c>
      <c r="M3005">
        <v>33150</v>
      </c>
      <c r="N3005" t="s">
        <v>28</v>
      </c>
      <c r="O3005">
        <f t="shared" si="92"/>
        <v>33150</v>
      </c>
      <c r="P3005" s="13">
        <f t="shared" si="93"/>
        <v>1989065</v>
      </c>
      <c r="Q3005" s="13">
        <f>SUMIFS(M:M,E:E,Online_eCommerce[[#This Row],[Status]])</f>
        <v>21103186</v>
      </c>
      <c r="R3005" s="13">
        <f>SUMIFS(L:L,H:H,Online_eCommerce[[#This Row],[Brand]])</f>
        <v>14431000</v>
      </c>
      <c r="S3005" s="13">
        <f>SUMIF(H:H,Online_eCommerce[[#This Row],[Brand]],M:M)</f>
        <v>18760300</v>
      </c>
      <c r="T3005" s="13">
        <f>SUMIF(N:N,Online_eCommerce[[#This Row],[Assigned Supervisor]],L:L)</f>
        <v>12220830</v>
      </c>
    </row>
    <row r="3006" spans="1:20" x14ac:dyDescent="0.3">
      <c r="A3006" t="s">
        <v>4487</v>
      </c>
      <c r="B3006" t="s">
        <v>73</v>
      </c>
      <c r="C3006" t="s">
        <v>136</v>
      </c>
      <c r="D3006" t="s">
        <v>4411</v>
      </c>
      <c r="E3006" t="s">
        <v>46</v>
      </c>
      <c r="F3006" t="s">
        <v>32</v>
      </c>
      <c r="G3006" t="s">
        <v>33</v>
      </c>
      <c r="H3006" t="s">
        <v>34</v>
      </c>
      <c r="I3006">
        <v>7000</v>
      </c>
      <c r="J3006">
        <v>9100</v>
      </c>
      <c r="K3006">
        <v>3</v>
      </c>
      <c r="L3006">
        <v>21000</v>
      </c>
      <c r="M3006">
        <v>27300</v>
      </c>
      <c r="N3006" t="s">
        <v>35</v>
      </c>
      <c r="O3006">
        <f t="shared" si="92"/>
        <v>18200</v>
      </c>
      <c r="P3006" s="13">
        <f t="shared" si="93"/>
        <v>2775162</v>
      </c>
      <c r="Q3006" s="13">
        <f>SUMIFS(M:M,E:E,Online_eCommerce[[#This Row],[Status]])</f>
        <v>28620410</v>
      </c>
      <c r="R3006" s="13">
        <f>SUMIFS(L:L,H:H,Online_eCommerce[[#This Row],[Brand]])</f>
        <v>10087000</v>
      </c>
      <c r="S3006" s="13">
        <f>SUMIF(H:H,Online_eCommerce[[#This Row],[Brand]],M:M)</f>
        <v>13113100</v>
      </c>
      <c r="T3006" s="13">
        <f>SUMIF(N:N,Online_eCommerce[[#This Row],[Assigned Supervisor]],L:L)</f>
        <v>14373360</v>
      </c>
    </row>
    <row r="3007" spans="1:20" hidden="1" x14ac:dyDescent="0.3">
      <c r="A3007" t="s">
        <v>4488</v>
      </c>
      <c r="B3007" t="s">
        <v>80</v>
      </c>
      <c r="C3007" t="s">
        <v>140</v>
      </c>
      <c r="D3007" t="s">
        <v>4411</v>
      </c>
      <c r="E3007" t="s">
        <v>96</v>
      </c>
      <c r="F3007" t="s">
        <v>4489</v>
      </c>
      <c r="G3007" t="s">
        <v>163</v>
      </c>
      <c r="H3007" t="s">
        <v>41</v>
      </c>
      <c r="I3007">
        <v>1680</v>
      </c>
      <c r="J3007">
        <v>2184</v>
      </c>
      <c r="K3007">
        <v>1</v>
      </c>
      <c r="L3007">
        <v>1680</v>
      </c>
      <c r="M3007">
        <v>2184</v>
      </c>
      <c r="N3007" t="s">
        <v>42</v>
      </c>
      <c r="O3007">
        <f t="shared" si="92"/>
        <v>13650</v>
      </c>
      <c r="P3007" s="13">
        <f t="shared" si="93"/>
        <v>2058264</v>
      </c>
      <c r="Q3007" s="13">
        <f>SUMIFS(M:M,E:E,Online_eCommerce[[#This Row],[Status]])</f>
        <v>21233992</v>
      </c>
      <c r="R3007" s="13">
        <f>SUMIFS(L:L,H:H,Online_eCommerce[[#This Row],[Brand]])</f>
        <v>4260400</v>
      </c>
      <c r="S3007" s="13">
        <f>SUMIF(H:H,Online_eCommerce[[#This Row],[Brand]],M:M)</f>
        <v>5538520</v>
      </c>
      <c r="T3007" s="13">
        <f>SUMIF(N:N,Online_eCommerce[[#This Row],[Assigned Supervisor]],L:L)</f>
        <v>12261500</v>
      </c>
    </row>
    <row r="3008" spans="1:20" hidden="1" x14ac:dyDescent="0.3">
      <c r="A3008" t="s">
        <v>4490</v>
      </c>
      <c r="B3008" t="s">
        <v>85</v>
      </c>
      <c r="C3008" t="s">
        <v>145</v>
      </c>
      <c r="D3008" t="s">
        <v>4411</v>
      </c>
      <c r="E3008" t="s">
        <v>18</v>
      </c>
      <c r="F3008" t="s">
        <v>101</v>
      </c>
      <c r="G3008" t="s">
        <v>66</v>
      </c>
      <c r="H3008" t="s">
        <v>102</v>
      </c>
      <c r="I3008">
        <v>6540</v>
      </c>
      <c r="J3008">
        <v>8502</v>
      </c>
      <c r="K3008">
        <v>4</v>
      </c>
      <c r="L3008">
        <v>26160</v>
      </c>
      <c r="M3008">
        <v>34008</v>
      </c>
      <c r="N3008" t="s">
        <v>50</v>
      </c>
      <c r="O3008">
        <f t="shared" si="92"/>
        <v>1690</v>
      </c>
      <c r="P3008" s="13">
        <f t="shared" si="93"/>
        <v>2757859</v>
      </c>
      <c r="Q3008" s="13">
        <f>SUMIFS(M:M,E:E,Online_eCommerce[[#This Row],[Status]])</f>
        <v>28340455</v>
      </c>
      <c r="R3008" s="13">
        <f>SUMIFS(L:L,H:H,Online_eCommerce[[#This Row],[Brand]])</f>
        <v>2465580</v>
      </c>
      <c r="S3008" s="13">
        <f>SUMIF(H:H,Online_eCommerce[[#This Row],[Brand]],M:M)</f>
        <v>3205254</v>
      </c>
      <c r="T3008" s="13">
        <f>SUMIF(N:N,Online_eCommerce[[#This Row],[Assigned Supervisor]],L:L)</f>
        <v>12100590</v>
      </c>
    </row>
    <row r="3009" spans="1:20" hidden="1" x14ac:dyDescent="0.3">
      <c r="A3009" t="s">
        <v>4491</v>
      </c>
      <c r="B3009" t="s">
        <v>90</v>
      </c>
      <c r="C3009" t="s">
        <v>150</v>
      </c>
      <c r="D3009" t="s">
        <v>4411</v>
      </c>
      <c r="E3009" t="s">
        <v>161</v>
      </c>
      <c r="F3009" t="s">
        <v>107</v>
      </c>
      <c r="G3009" t="s">
        <v>54</v>
      </c>
      <c r="H3009" t="s">
        <v>55</v>
      </c>
      <c r="I3009">
        <v>2680</v>
      </c>
      <c r="J3009">
        <v>3484</v>
      </c>
      <c r="K3009">
        <v>3</v>
      </c>
      <c r="L3009">
        <v>8040</v>
      </c>
      <c r="M3009">
        <v>10452</v>
      </c>
      <c r="N3009" t="s">
        <v>56</v>
      </c>
      <c r="O3009">
        <f t="shared" si="92"/>
        <v>2990</v>
      </c>
      <c r="P3009" s="13">
        <f t="shared" si="93"/>
        <v>2154984</v>
      </c>
      <c r="Q3009" s="13">
        <f>SUMIFS(M:M,E:E,Online_eCommerce[[#This Row],[Status]])</f>
        <v>21103186</v>
      </c>
      <c r="R3009" s="13">
        <f>SUMIFS(L:L,H:H,Online_eCommerce[[#This Row],[Brand]])</f>
        <v>2267380</v>
      </c>
      <c r="S3009" s="13">
        <f>SUMIF(H:H,Online_eCommerce[[#This Row],[Brand]],M:M)</f>
        <v>2947594</v>
      </c>
      <c r="T3009" s="13">
        <f>SUMIF(N:N,Online_eCommerce[[#This Row],[Assigned Supervisor]],L:L)</f>
        <v>11733610</v>
      </c>
    </row>
    <row r="3010" spans="1:20" x14ac:dyDescent="0.3">
      <c r="A3010" t="s">
        <v>4492</v>
      </c>
      <c r="B3010" t="s">
        <v>232</v>
      </c>
      <c r="C3010" t="s">
        <v>155</v>
      </c>
      <c r="D3010" t="s">
        <v>4411</v>
      </c>
      <c r="E3010" t="s">
        <v>46</v>
      </c>
      <c r="F3010" t="s">
        <v>112</v>
      </c>
      <c r="G3010" t="s">
        <v>71</v>
      </c>
      <c r="H3010" t="s">
        <v>21</v>
      </c>
      <c r="I3010">
        <v>8250</v>
      </c>
      <c r="J3010">
        <v>10725</v>
      </c>
      <c r="K3010">
        <v>2</v>
      </c>
      <c r="L3010">
        <v>16500</v>
      </c>
      <c r="M3010">
        <v>21450</v>
      </c>
      <c r="N3010" t="s">
        <v>22</v>
      </c>
      <c r="O3010">
        <f t="shared" ref="O3010:O3073" si="94">VLOOKUP(G3010,G:M,7,FALSE)</f>
        <v>9750</v>
      </c>
      <c r="P3010" s="13">
        <f t="shared" ref="P3010:P3073" si="95">SUMIFS(M:M,C:C,C3010)</f>
        <v>2753348</v>
      </c>
      <c r="Q3010" s="13">
        <f>SUMIFS(M:M,E:E,Online_eCommerce[[#This Row],[Status]])</f>
        <v>28620410</v>
      </c>
      <c r="R3010" s="13">
        <f>SUMIFS(L:L,H:H,Online_eCommerce[[#This Row],[Brand]])</f>
        <v>12435650</v>
      </c>
      <c r="S3010" s="13">
        <f>SUMIF(H:H,Online_eCommerce[[#This Row],[Brand]],M:M)</f>
        <v>16166345</v>
      </c>
      <c r="T3010" s="13">
        <f>SUMIF(N:N,Online_eCommerce[[#This Row],[Assigned Supervisor]],L:L)</f>
        <v>13693220</v>
      </c>
    </row>
    <row r="3011" spans="1:20" hidden="1" x14ac:dyDescent="0.3">
      <c r="A3011" t="s">
        <v>4493</v>
      </c>
      <c r="B3011" t="s">
        <v>235</v>
      </c>
      <c r="C3011" t="s">
        <v>160</v>
      </c>
      <c r="D3011" t="s">
        <v>4411</v>
      </c>
      <c r="E3011" t="s">
        <v>96</v>
      </c>
      <c r="F3011" t="s">
        <v>4024</v>
      </c>
      <c r="G3011" t="s">
        <v>40</v>
      </c>
      <c r="H3011" t="s">
        <v>21</v>
      </c>
      <c r="I3011">
        <v>2650</v>
      </c>
      <c r="J3011">
        <v>3445</v>
      </c>
      <c r="K3011">
        <v>1</v>
      </c>
      <c r="L3011">
        <v>2650</v>
      </c>
      <c r="M3011">
        <v>3445</v>
      </c>
      <c r="N3011" t="s">
        <v>22</v>
      </c>
      <c r="O3011">
        <f t="shared" si="94"/>
        <v>25545</v>
      </c>
      <c r="P3011" s="13">
        <f t="shared" si="95"/>
        <v>2303483</v>
      </c>
      <c r="Q3011" s="13">
        <f>SUMIFS(M:M,E:E,Online_eCommerce[[#This Row],[Status]])</f>
        <v>21233992</v>
      </c>
      <c r="R3011" s="13">
        <f>SUMIFS(L:L,H:H,Online_eCommerce[[#This Row],[Brand]])</f>
        <v>12435650</v>
      </c>
      <c r="S3011" s="13">
        <f>SUMIF(H:H,Online_eCommerce[[#This Row],[Brand]],M:M)</f>
        <v>16166345</v>
      </c>
      <c r="T3011" s="13">
        <f>SUMIF(N:N,Online_eCommerce[[#This Row],[Assigned Supervisor]],L:L)</f>
        <v>13693220</v>
      </c>
    </row>
    <row r="3012" spans="1:20" hidden="1" x14ac:dyDescent="0.3">
      <c r="A3012" t="s">
        <v>4494</v>
      </c>
      <c r="B3012" t="s">
        <v>104</v>
      </c>
      <c r="C3012" t="s">
        <v>165</v>
      </c>
      <c r="D3012" t="s">
        <v>4411</v>
      </c>
      <c r="E3012" t="s">
        <v>18</v>
      </c>
      <c r="F3012" t="s">
        <v>121</v>
      </c>
      <c r="G3012" t="s">
        <v>71</v>
      </c>
      <c r="H3012" t="s">
        <v>122</v>
      </c>
      <c r="I3012">
        <v>12550</v>
      </c>
      <c r="J3012">
        <v>16315</v>
      </c>
      <c r="K3012">
        <v>4</v>
      </c>
      <c r="L3012">
        <v>50200</v>
      </c>
      <c r="M3012">
        <v>65260</v>
      </c>
      <c r="N3012" t="s">
        <v>28</v>
      </c>
      <c r="O3012">
        <f t="shared" si="94"/>
        <v>9750</v>
      </c>
      <c r="P3012" s="13">
        <f t="shared" si="95"/>
        <v>2674087</v>
      </c>
      <c r="Q3012" s="13">
        <f>SUMIFS(M:M,E:E,Online_eCommerce[[#This Row],[Status]])</f>
        <v>28340455</v>
      </c>
      <c r="R3012" s="13">
        <f>SUMIFS(L:L,H:H,Online_eCommerce[[#This Row],[Brand]])</f>
        <v>5045100</v>
      </c>
      <c r="S3012" s="13">
        <f>SUMIF(H:H,Online_eCommerce[[#This Row],[Brand]],M:M)</f>
        <v>6558630</v>
      </c>
      <c r="T3012" s="13">
        <f>SUMIF(N:N,Online_eCommerce[[#This Row],[Assigned Supervisor]],L:L)</f>
        <v>12220830</v>
      </c>
    </row>
    <row r="3013" spans="1:20" hidden="1" x14ac:dyDescent="0.3">
      <c r="A3013" t="s">
        <v>4495</v>
      </c>
      <c r="B3013" t="s">
        <v>109</v>
      </c>
      <c r="C3013" t="s">
        <v>168</v>
      </c>
      <c r="D3013" t="s">
        <v>4411</v>
      </c>
      <c r="E3013" t="s">
        <v>161</v>
      </c>
      <c r="F3013" t="s">
        <v>126</v>
      </c>
      <c r="G3013" t="s">
        <v>26</v>
      </c>
      <c r="H3013" t="s">
        <v>27</v>
      </c>
      <c r="I3013">
        <v>14500</v>
      </c>
      <c r="J3013">
        <v>18850</v>
      </c>
      <c r="K3013">
        <v>4</v>
      </c>
      <c r="L3013">
        <v>58000</v>
      </c>
      <c r="M3013">
        <v>75400</v>
      </c>
      <c r="N3013" t="s">
        <v>35</v>
      </c>
      <c r="O3013">
        <f t="shared" si="94"/>
        <v>33150</v>
      </c>
      <c r="P3013" s="13">
        <f t="shared" si="95"/>
        <v>1937780</v>
      </c>
      <c r="Q3013" s="13">
        <f>SUMIFS(M:M,E:E,Online_eCommerce[[#This Row],[Status]])</f>
        <v>21103186</v>
      </c>
      <c r="R3013" s="13">
        <f>SUMIFS(L:L,H:H,Online_eCommerce[[#This Row],[Brand]])</f>
        <v>14431000</v>
      </c>
      <c r="S3013" s="13">
        <f>SUMIF(H:H,Online_eCommerce[[#This Row],[Brand]],M:M)</f>
        <v>18760300</v>
      </c>
      <c r="T3013" s="13">
        <f>SUMIF(N:N,Online_eCommerce[[#This Row],[Assigned Supervisor]],L:L)</f>
        <v>14373360</v>
      </c>
    </row>
    <row r="3014" spans="1:20" x14ac:dyDescent="0.3">
      <c r="A3014" t="s">
        <v>4496</v>
      </c>
      <c r="B3014" t="s">
        <v>114</v>
      </c>
      <c r="C3014" t="s">
        <v>172</v>
      </c>
      <c r="D3014" t="s">
        <v>4411</v>
      </c>
      <c r="E3014" t="s">
        <v>46</v>
      </c>
      <c r="F3014" t="s">
        <v>129</v>
      </c>
      <c r="G3014" t="s">
        <v>60</v>
      </c>
      <c r="H3014" t="s">
        <v>61</v>
      </c>
      <c r="I3014">
        <v>800</v>
      </c>
      <c r="J3014">
        <v>1040</v>
      </c>
      <c r="K3014">
        <v>2</v>
      </c>
      <c r="L3014">
        <v>1600</v>
      </c>
      <c r="M3014">
        <v>2080</v>
      </c>
      <c r="N3014" t="s">
        <v>42</v>
      </c>
      <c r="O3014">
        <f t="shared" si="94"/>
        <v>3315</v>
      </c>
      <c r="P3014" s="13">
        <f t="shared" si="95"/>
        <v>2640274</v>
      </c>
      <c r="Q3014" s="13">
        <f>SUMIFS(M:M,E:E,Online_eCommerce[[#This Row],[Status]])</f>
        <v>28620410</v>
      </c>
      <c r="R3014" s="13">
        <f>SUMIFS(L:L,H:H,Online_eCommerce[[#This Row],[Brand]])</f>
        <v>10950150</v>
      </c>
      <c r="S3014" s="13">
        <f>SUMIF(H:H,Online_eCommerce[[#This Row],[Brand]],M:M)</f>
        <v>14235195</v>
      </c>
      <c r="T3014" s="13">
        <f>SUMIF(N:N,Online_eCommerce[[#This Row],[Assigned Supervisor]],L:L)</f>
        <v>12261500</v>
      </c>
    </row>
    <row r="3015" spans="1:20" hidden="1" x14ac:dyDescent="0.3">
      <c r="A3015" t="s">
        <v>4497</v>
      </c>
      <c r="B3015" t="s">
        <v>119</v>
      </c>
      <c r="C3015" t="s">
        <v>177</v>
      </c>
      <c r="D3015" t="s">
        <v>4411</v>
      </c>
      <c r="E3015" t="s">
        <v>96</v>
      </c>
      <c r="F3015" t="s">
        <v>133</v>
      </c>
      <c r="G3015" t="s">
        <v>66</v>
      </c>
      <c r="H3015" t="s">
        <v>21</v>
      </c>
      <c r="I3015">
        <v>600</v>
      </c>
      <c r="J3015">
        <v>780</v>
      </c>
      <c r="K3015">
        <v>4</v>
      </c>
      <c r="L3015">
        <v>2400</v>
      </c>
      <c r="M3015">
        <v>3120</v>
      </c>
      <c r="N3015" t="s">
        <v>50</v>
      </c>
      <c r="O3015">
        <f t="shared" si="94"/>
        <v>1690</v>
      </c>
      <c r="P3015" s="13">
        <f t="shared" si="95"/>
        <v>1863810</v>
      </c>
      <c r="Q3015" s="13">
        <f>SUMIFS(M:M,E:E,Online_eCommerce[[#This Row],[Status]])</f>
        <v>21233992</v>
      </c>
      <c r="R3015" s="13">
        <f>SUMIFS(L:L,H:H,Online_eCommerce[[#This Row],[Brand]])</f>
        <v>12435650</v>
      </c>
      <c r="S3015" s="13">
        <f>SUMIF(H:H,Online_eCommerce[[#This Row],[Brand]],M:M)</f>
        <v>16166345</v>
      </c>
      <c r="T3015" s="13">
        <f>SUMIF(N:N,Online_eCommerce[[#This Row],[Assigned Supervisor]],L:L)</f>
        <v>12100590</v>
      </c>
    </row>
    <row r="3016" spans="1:20" hidden="1" x14ac:dyDescent="0.3">
      <c r="A3016" t="s">
        <v>4498</v>
      </c>
      <c r="B3016" t="s">
        <v>124</v>
      </c>
      <c r="C3016" t="s">
        <v>181</v>
      </c>
      <c r="D3016" t="s">
        <v>4411</v>
      </c>
      <c r="E3016" t="s">
        <v>18</v>
      </c>
      <c r="F3016" t="s">
        <v>137</v>
      </c>
      <c r="G3016" t="s">
        <v>71</v>
      </c>
      <c r="H3016" t="s">
        <v>61</v>
      </c>
      <c r="I3016">
        <v>10500</v>
      </c>
      <c r="J3016">
        <v>13650</v>
      </c>
      <c r="K3016">
        <v>1</v>
      </c>
      <c r="L3016">
        <v>10500</v>
      </c>
      <c r="M3016">
        <v>13650</v>
      </c>
      <c r="N3016" t="s">
        <v>56</v>
      </c>
      <c r="O3016">
        <f t="shared" si="94"/>
        <v>9750</v>
      </c>
      <c r="P3016" s="13">
        <f t="shared" si="95"/>
        <v>2577458</v>
      </c>
      <c r="Q3016" s="13">
        <f>SUMIFS(M:M,E:E,Online_eCommerce[[#This Row],[Status]])</f>
        <v>28340455</v>
      </c>
      <c r="R3016" s="13">
        <f>SUMIFS(L:L,H:H,Online_eCommerce[[#This Row],[Brand]])</f>
        <v>10950150</v>
      </c>
      <c r="S3016" s="13">
        <f>SUMIF(H:H,Online_eCommerce[[#This Row],[Brand]],M:M)</f>
        <v>14235195</v>
      </c>
      <c r="T3016" s="13">
        <f>SUMIF(N:N,Online_eCommerce[[#This Row],[Assigned Supervisor]],L:L)</f>
        <v>11733610</v>
      </c>
    </row>
    <row r="3017" spans="1:20" hidden="1" x14ac:dyDescent="0.3">
      <c r="A3017" t="s">
        <v>4499</v>
      </c>
      <c r="B3017" t="s">
        <v>128</v>
      </c>
      <c r="C3017" t="s">
        <v>185</v>
      </c>
      <c r="D3017" t="s">
        <v>4411</v>
      </c>
      <c r="E3017" t="s">
        <v>161</v>
      </c>
      <c r="F3017" t="s">
        <v>4470</v>
      </c>
      <c r="G3017" t="s">
        <v>77</v>
      </c>
      <c r="H3017" t="s">
        <v>142</v>
      </c>
      <c r="I3017">
        <v>6500</v>
      </c>
      <c r="J3017">
        <v>8450</v>
      </c>
      <c r="K3017">
        <v>1</v>
      </c>
      <c r="L3017">
        <v>6500</v>
      </c>
      <c r="M3017">
        <v>8450</v>
      </c>
      <c r="N3017" t="s">
        <v>22</v>
      </c>
      <c r="O3017">
        <f t="shared" si="94"/>
        <v>39000</v>
      </c>
      <c r="P3017" s="13">
        <f t="shared" si="95"/>
        <v>2091596</v>
      </c>
      <c r="Q3017" s="13">
        <f>SUMIFS(M:M,E:E,Online_eCommerce[[#This Row],[Status]])</f>
        <v>21103186</v>
      </c>
      <c r="R3017" s="13">
        <f>SUMIFS(L:L,H:H,Online_eCommerce[[#This Row],[Brand]])</f>
        <v>6192500</v>
      </c>
      <c r="S3017" s="13">
        <f>SUMIF(H:H,Online_eCommerce[[#This Row],[Brand]],M:M)</f>
        <v>8050250</v>
      </c>
      <c r="T3017" s="13">
        <f>SUMIF(N:N,Online_eCommerce[[#This Row],[Assigned Supervisor]],L:L)</f>
        <v>13693220</v>
      </c>
    </row>
    <row r="3018" spans="1:20" x14ac:dyDescent="0.3">
      <c r="A3018" t="s">
        <v>4500</v>
      </c>
      <c r="B3018" t="s">
        <v>131</v>
      </c>
      <c r="C3018" t="s">
        <v>189</v>
      </c>
      <c r="D3018" t="s">
        <v>4411</v>
      </c>
      <c r="E3018" t="s">
        <v>46</v>
      </c>
      <c r="F3018" t="s">
        <v>4501</v>
      </c>
      <c r="G3018" t="s">
        <v>20</v>
      </c>
      <c r="H3018" t="s">
        <v>21</v>
      </c>
      <c r="I3018">
        <v>4500</v>
      </c>
      <c r="J3018">
        <v>5850</v>
      </c>
      <c r="K3018">
        <v>2</v>
      </c>
      <c r="L3018">
        <v>9000</v>
      </c>
      <c r="M3018">
        <v>11700</v>
      </c>
      <c r="N3018" t="s">
        <v>28</v>
      </c>
      <c r="O3018">
        <f t="shared" si="94"/>
        <v>8450</v>
      </c>
      <c r="P3018" s="13">
        <f t="shared" si="95"/>
        <v>2740777</v>
      </c>
      <c r="Q3018" s="13">
        <f>SUMIFS(M:M,E:E,Online_eCommerce[[#This Row],[Status]])</f>
        <v>28620410</v>
      </c>
      <c r="R3018" s="13">
        <f>SUMIFS(L:L,H:H,Online_eCommerce[[#This Row],[Brand]])</f>
        <v>12435650</v>
      </c>
      <c r="S3018" s="13">
        <f>SUMIF(H:H,Online_eCommerce[[#This Row],[Brand]],M:M)</f>
        <v>16166345</v>
      </c>
      <c r="T3018" s="13">
        <f>SUMIF(N:N,Online_eCommerce[[#This Row],[Assigned Supervisor]],L:L)</f>
        <v>12220830</v>
      </c>
    </row>
    <row r="3019" spans="1:20" hidden="1" x14ac:dyDescent="0.3">
      <c r="A3019" t="s">
        <v>4502</v>
      </c>
      <c r="B3019" t="s">
        <v>135</v>
      </c>
      <c r="C3019" t="s">
        <v>193</v>
      </c>
      <c r="D3019" t="s">
        <v>4411</v>
      </c>
      <c r="E3019" t="s">
        <v>96</v>
      </c>
      <c r="F3019" t="s">
        <v>152</v>
      </c>
      <c r="G3019" t="s">
        <v>26</v>
      </c>
      <c r="H3019" t="s">
        <v>27</v>
      </c>
      <c r="I3019">
        <v>8500</v>
      </c>
      <c r="J3019">
        <v>11050</v>
      </c>
      <c r="K3019">
        <v>4</v>
      </c>
      <c r="L3019">
        <v>34000</v>
      </c>
      <c r="M3019">
        <v>44200</v>
      </c>
      <c r="N3019" t="s">
        <v>35</v>
      </c>
      <c r="O3019">
        <f t="shared" si="94"/>
        <v>33150</v>
      </c>
      <c r="P3019" s="13">
        <f t="shared" si="95"/>
        <v>2074774</v>
      </c>
      <c r="Q3019" s="13">
        <f>SUMIFS(M:M,E:E,Online_eCommerce[[#This Row],[Status]])</f>
        <v>21233992</v>
      </c>
      <c r="R3019" s="13">
        <f>SUMIFS(L:L,H:H,Online_eCommerce[[#This Row],[Brand]])</f>
        <v>14431000</v>
      </c>
      <c r="S3019" s="13">
        <f>SUMIF(H:H,Online_eCommerce[[#This Row],[Brand]],M:M)</f>
        <v>18760300</v>
      </c>
      <c r="T3019" s="13">
        <f>SUMIF(N:N,Online_eCommerce[[#This Row],[Assigned Supervisor]],L:L)</f>
        <v>14373360</v>
      </c>
    </row>
    <row r="3020" spans="1:20" hidden="1" x14ac:dyDescent="0.3">
      <c r="A3020" t="s">
        <v>4503</v>
      </c>
      <c r="B3020" t="s">
        <v>139</v>
      </c>
      <c r="C3020" t="s">
        <v>197</v>
      </c>
      <c r="D3020" t="s">
        <v>4411</v>
      </c>
      <c r="E3020" t="s">
        <v>18</v>
      </c>
      <c r="F3020" t="s">
        <v>157</v>
      </c>
      <c r="G3020" t="s">
        <v>33</v>
      </c>
      <c r="H3020" t="s">
        <v>34</v>
      </c>
      <c r="I3020">
        <v>12500</v>
      </c>
      <c r="J3020">
        <v>16250</v>
      </c>
      <c r="K3020">
        <v>4</v>
      </c>
      <c r="L3020">
        <v>50000</v>
      </c>
      <c r="M3020">
        <v>65000</v>
      </c>
      <c r="N3020" t="s">
        <v>42</v>
      </c>
      <c r="O3020">
        <f t="shared" si="94"/>
        <v>18200</v>
      </c>
      <c r="P3020" s="13">
        <f t="shared" si="95"/>
        <v>2829840</v>
      </c>
      <c r="Q3020" s="13">
        <f>SUMIFS(M:M,E:E,Online_eCommerce[[#This Row],[Status]])</f>
        <v>28340455</v>
      </c>
      <c r="R3020" s="13">
        <f>SUMIFS(L:L,H:H,Online_eCommerce[[#This Row],[Brand]])</f>
        <v>10087000</v>
      </c>
      <c r="S3020" s="13">
        <f>SUMIF(H:H,Online_eCommerce[[#This Row],[Brand]],M:M)</f>
        <v>13113100</v>
      </c>
      <c r="T3020" s="13">
        <f>SUMIF(N:N,Online_eCommerce[[#This Row],[Assigned Supervisor]],L:L)</f>
        <v>12261500</v>
      </c>
    </row>
    <row r="3021" spans="1:20" hidden="1" x14ac:dyDescent="0.3">
      <c r="A3021" t="s">
        <v>4504</v>
      </c>
      <c r="B3021" t="s">
        <v>144</v>
      </c>
      <c r="C3021" t="s">
        <v>199</v>
      </c>
      <c r="D3021" t="s">
        <v>4411</v>
      </c>
      <c r="E3021" t="s">
        <v>161</v>
      </c>
      <c r="F3021" t="s">
        <v>4072</v>
      </c>
      <c r="G3021" t="s">
        <v>256</v>
      </c>
      <c r="H3021" t="s">
        <v>41</v>
      </c>
      <c r="I3021">
        <v>3500</v>
      </c>
      <c r="J3021">
        <v>4550</v>
      </c>
      <c r="K3021">
        <v>3</v>
      </c>
      <c r="L3021">
        <v>10500</v>
      </c>
      <c r="M3021">
        <v>13650</v>
      </c>
      <c r="N3021" t="s">
        <v>50</v>
      </c>
      <c r="O3021">
        <f t="shared" si="94"/>
        <v>9100</v>
      </c>
      <c r="P3021" s="13">
        <f t="shared" si="95"/>
        <v>1947361</v>
      </c>
      <c r="Q3021" s="13">
        <f>SUMIFS(M:M,E:E,Online_eCommerce[[#This Row],[Status]])</f>
        <v>21103186</v>
      </c>
      <c r="R3021" s="13">
        <f>SUMIFS(L:L,H:H,Online_eCommerce[[#This Row],[Brand]])</f>
        <v>4260400</v>
      </c>
      <c r="S3021" s="13">
        <f>SUMIF(H:H,Online_eCommerce[[#This Row],[Brand]],M:M)</f>
        <v>5538520</v>
      </c>
      <c r="T3021" s="13">
        <f>SUMIF(N:N,Online_eCommerce[[#This Row],[Assigned Supervisor]],L:L)</f>
        <v>12100590</v>
      </c>
    </row>
    <row r="3022" spans="1:20" x14ac:dyDescent="0.3">
      <c r="A3022" t="s">
        <v>4505</v>
      </c>
      <c r="B3022" t="s">
        <v>149</v>
      </c>
      <c r="C3022" t="s">
        <v>203</v>
      </c>
      <c r="D3022" t="s">
        <v>4411</v>
      </c>
      <c r="E3022" t="s">
        <v>46</v>
      </c>
      <c r="F3022" t="s">
        <v>166</v>
      </c>
      <c r="G3022" t="s">
        <v>259</v>
      </c>
      <c r="H3022" t="s">
        <v>49</v>
      </c>
      <c r="I3022">
        <v>4500</v>
      </c>
      <c r="J3022">
        <v>5850</v>
      </c>
      <c r="K3022">
        <v>1</v>
      </c>
      <c r="L3022">
        <v>4500</v>
      </c>
      <c r="M3022">
        <v>5850</v>
      </c>
      <c r="N3022" t="s">
        <v>56</v>
      </c>
      <c r="O3022">
        <f t="shared" si="94"/>
        <v>11700</v>
      </c>
      <c r="P3022" s="13">
        <f t="shared" si="95"/>
        <v>2559635</v>
      </c>
      <c r="Q3022" s="13">
        <f>SUMIFS(M:M,E:E,Online_eCommerce[[#This Row],[Status]])</f>
        <v>28620410</v>
      </c>
      <c r="R3022" s="13">
        <f>SUMIFS(L:L,H:H,Online_eCommerce[[#This Row],[Brand]])</f>
        <v>4528350</v>
      </c>
      <c r="S3022" s="13">
        <f>SUMIF(H:H,Online_eCommerce[[#This Row],[Brand]],M:M)</f>
        <v>5886855</v>
      </c>
      <c r="T3022" s="13">
        <f>SUMIF(N:N,Online_eCommerce[[#This Row],[Assigned Supervisor]],L:L)</f>
        <v>11733610</v>
      </c>
    </row>
    <row r="3023" spans="1:20" hidden="1" x14ac:dyDescent="0.3">
      <c r="A3023" t="s">
        <v>4506</v>
      </c>
      <c r="B3023" t="s">
        <v>154</v>
      </c>
      <c r="C3023" t="s">
        <v>205</v>
      </c>
      <c r="D3023" t="s">
        <v>4411</v>
      </c>
      <c r="E3023" t="s">
        <v>96</v>
      </c>
      <c r="F3023" t="s">
        <v>4507</v>
      </c>
      <c r="G3023" t="s">
        <v>54</v>
      </c>
      <c r="H3023" t="s">
        <v>55</v>
      </c>
      <c r="I3023">
        <v>2100</v>
      </c>
      <c r="J3023">
        <v>2730</v>
      </c>
      <c r="K3023">
        <v>3</v>
      </c>
      <c r="L3023">
        <v>6300</v>
      </c>
      <c r="M3023">
        <v>8190</v>
      </c>
      <c r="N3023" t="s">
        <v>22</v>
      </c>
      <c r="O3023">
        <f t="shared" si="94"/>
        <v>2990</v>
      </c>
      <c r="P3023" s="13">
        <f t="shared" si="95"/>
        <v>1983254</v>
      </c>
      <c r="Q3023" s="13">
        <f>SUMIFS(M:M,E:E,Online_eCommerce[[#This Row],[Status]])</f>
        <v>21233992</v>
      </c>
      <c r="R3023" s="13">
        <f>SUMIFS(L:L,H:H,Online_eCommerce[[#This Row],[Brand]])</f>
        <v>2267380</v>
      </c>
      <c r="S3023" s="13">
        <f>SUMIF(H:H,Online_eCommerce[[#This Row],[Brand]],M:M)</f>
        <v>2947594</v>
      </c>
      <c r="T3023" s="13">
        <f>SUMIF(N:N,Online_eCommerce[[#This Row],[Assigned Supervisor]],L:L)</f>
        <v>13693220</v>
      </c>
    </row>
    <row r="3024" spans="1:20" hidden="1" x14ac:dyDescent="0.3">
      <c r="A3024" t="s">
        <v>4508</v>
      </c>
      <c r="B3024" t="s">
        <v>159</v>
      </c>
      <c r="C3024" t="s">
        <v>208</v>
      </c>
      <c r="D3024" t="s">
        <v>4411</v>
      </c>
      <c r="E3024" t="s">
        <v>18</v>
      </c>
      <c r="F3024" t="s">
        <v>174</v>
      </c>
      <c r="G3024" t="s">
        <v>60</v>
      </c>
      <c r="H3024" t="s">
        <v>61</v>
      </c>
      <c r="I3024">
        <v>1150</v>
      </c>
      <c r="J3024">
        <v>1495</v>
      </c>
      <c r="K3024">
        <v>3</v>
      </c>
      <c r="L3024">
        <v>3450</v>
      </c>
      <c r="M3024">
        <v>4485</v>
      </c>
      <c r="N3024" t="s">
        <v>28</v>
      </c>
      <c r="O3024">
        <f t="shared" si="94"/>
        <v>3315</v>
      </c>
      <c r="P3024" s="13">
        <f t="shared" si="95"/>
        <v>2746575</v>
      </c>
      <c r="Q3024" s="13">
        <f>SUMIFS(M:M,E:E,Online_eCommerce[[#This Row],[Status]])</f>
        <v>28340455</v>
      </c>
      <c r="R3024" s="13">
        <f>SUMIFS(L:L,H:H,Online_eCommerce[[#This Row],[Brand]])</f>
        <v>10950150</v>
      </c>
      <c r="S3024" s="13">
        <f>SUMIF(H:H,Online_eCommerce[[#This Row],[Brand]],M:M)</f>
        <v>14235195</v>
      </c>
      <c r="T3024" s="13">
        <f>SUMIF(N:N,Online_eCommerce[[#This Row],[Assigned Supervisor]],L:L)</f>
        <v>12220830</v>
      </c>
    </row>
    <row r="3025" spans="1:20" hidden="1" x14ac:dyDescent="0.3">
      <c r="A3025" t="s">
        <v>4509</v>
      </c>
      <c r="B3025" t="s">
        <v>139</v>
      </c>
      <c r="C3025" t="s">
        <v>211</v>
      </c>
      <c r="D3025" t="s">
        <v>4411</v>
      </c>
      <c r="E3025" t="s">
        <v>161</v>
      </c>
      <c r="F3025" t="s">
        <v>179</v>
      </c>
      <c r="G3025" t="s">
        <v>66</v>
      </c>
      <c r="H3025" t="s">
        <v>21</v>
      </c>
      <c r="I3025">
        <v>350</v>
      </c>
      <c r="J3025">
        <v>455</v>
      </c>
      <c r="K3025">
        <v>2</v>
      </c>
      <c r="L3025">
        <v>700</v>
      </c>
      <c r="M3025">
        <v>910</v>
      </c>
      <c r="N3025" t="s">
        <v>35</v>
      </c>
      <c r="O3025">
        <f t="shared" si="94"/>
        <v>1690</v>
      </c>
      <c r="P3025" s="13">
        <f t="shared" si="95"/>
        <v>1809847</v>
      </c>
      <c r="Q3025" s="13">
        <f>SUMIFS(M:M,E:E,Online_eCommerce[[#This Row],[Status]])</f>
        <v>21103186</v>
      </c>
      <c r="R3025" s="13">
        <f>SUMIFS(L:L,H:H,Online_eCommerce[[#This Row],[Brand]])</f>
        <v>12435650</v>
      </c>
      <c r="S3025" s="13">
        <f>SUMIF(H:H,Online_eCommerce[[#This Row],[Brand]],M:M)</f>
        <v>16166345</v>
      </c>
      <c r="T3025" s="13">
        <f>SUMIF(N:N,Online_eCommerce[[#This Row],[Assigned Supervisor]],L:L)</f>
        <v>14373360</v>
      </c>
    </row>
    <row r="3026" spans="1:20" x14ac:dyDescent="0.3">
      <c r="A3026" t="s">
        <v>4510</v>
      </c>
      <c r="B3026" t="s">
        <v>144</v>
      </c>
      <c r="C3026" t="s">
        <v>16</v>
      </c>
      <c r="D3026" t="s">
        <v>4411</v>
      </c>
      <c r="E3026" t="s">
        <v>46</v>
      </c>
      <c r="F3026" t="s">
        <v>183</v>
      </c>
      <c r="G3026" t="s">
        <v>71</v>
      </c>
      <c r="H3026" t="s">
        <v>61</v>
      </c>
      <c r="I3026">
        <v>9500</v>
      </c>
      <c r="J3026">
        <v>12350</v>
      </c>
      <c r="K3026">
        <v>2</v>
      </c>
      <c r="L3026">
        <v>19000</v>
      </c>
      <c r="M3026">
        <v>24700</v>
      </c>
      <c r="N3026" t="s">
        <v>42</v>
      </c>
      <c r="O3026">
        <f t="shared" si="94"/>
        <v>9750</v>
      </c>
      <c r="P3026" s="13">
        <f t="shared" si="95"/>
        <v>2751814</v>
      </c>
      <c r="Q3026" s="13">
        <f>SUMIFS(M:M,E:E,Online_eCommerce[[#This Row],[Status]])</f>
        <v>28620410</v>
      </c>
      <c r="R3026" s="13">
        <f>SUMIFS(L:L,H:H,Online_eCommerce[[#This Row],[Brand]])</f>
        <v>10950150</v>
      </c>
      <c r="S3026" s="13">
        <f>SUMIF(H:H,Online_eCommerce[[#This Row],[Brand]],M:M)</f>
        <v>14235195</v>
      </c>
      <c r="T3026" s="13">
        <f>SUMIF(N:N,Online_eCommerce[[#This Row],[Assigned Supervisor]],L:L)</f>
        <v>12261500</v>
      </c>
    </row>
    <row r="3027" spans="1:20" hidden="1" x14ac:dyDescent="0.3">
      <c r="A3027" t="s">
        <v>4511</v>
      </c>
      <c r="B3027" t="s">
        <v>235</v>
      </c>
      <c r="C3027" t="s">
        <v>24</v>
      </c>
      <c r="D3027" t="s">
        <v>4411</v>
      </c>
      <c r="E3027" t="s">
        <v>96</v>
      </c>
      <c r="F3027" t="s">
        <v>4512</v>
      </c>
      <c r="G3027" t="s">
        <v>77</v>
      </c>
      <c r="H3027" t="s">
        <v>142</v>
      </c>
      <c r="I3027">
        <v>10000</v>
      </c>
      <c r="J3027">
        <v>13000</v>
      </c>
      <c r="K3027">
        <v>1</v>
      </c>
      <c r="L3027">
        <v>10000</v>
      </c>
      <c r="M3027">
        <v>13000</v>
      </c>
      <c r="N3027" t="s">
        <v>50</v>
      </c>
      <c r="O3027">
        <f t="shared" si="94"/>
        <v>39000</v>
      </c>
      <c r="P3027" s="13">
        <f t="shared" si="95"/>
        <v>2009540</v>
      </c>
      <c r="Q3027" s="13">
        <f>SUMIFS(M:M,E:E,Online_eCommerce[[#This Row],[Status]])</f>
        <v>21233992</v>
      </c>
      <c r="R3027" s="13">
        <f>SUMIFS(L:L,H:H,Online_eCommerce[[#This Row],[Brand]])</f>
        <v>6192500</v>
      </c>
      <c r="S3027" s="13">
        <f>SUMIF(H:H,Online_eCommerce[[#This Row],[Brand]],M:M)</f>
        <v>8050250</v>
      </c>
      <c r="T3027" s="13">
        <f>SUMIF(N:N,Online_eCommerce[[#This Row],[Assigned Supervisor]],L:L)</f>
        <v>12100590</v>
      </c>
    </row>
    <row r="3028" spans="1:20" hidden="1" x14ac:dyDescent="0.3">
      <c r="A3028" t="s">
        <v>4513</v>
      </c>
      <c r="B3028" t="s">
        <v>176</v>
      </c>
      <c r="C3028" t="s">
        <v>31</v>
      </c>
      <c r="D3028" t="s">
        <v>4411</v>
      </c>
      <c r="E3028" t="s">
        <v>18</v>
      </c>
      <c r="F3028" t="s">
        <v>4514</v>
      </c>
      <c r="G3028" t="s">
        <v>20</v>
      </c>
      <c r="H3028" t="s">
        <v>21</v>
      </c>
      <c r="I3028">
        <v>6500</v>
      </c>
      <c r="J3028">
        <v>8450</v>
      </c>
      <c r="K3028">
        <v>3</v>
      </c>
      <c r="L3028">
        <v>19500</v>
      </c>
      <c r="M3028">
        <v>25350</v>
      </c>
      <c r="N3028" t="s">
        <v>56</v>
      </c>
      <c r="O3028">
        <f t="shared" si="94"/>
        <v>8450</v>
      </c>
      <c r="P3028" s="13">
        <f t="shared" si="95"/>
        <v>2865746</v>
      </c>
      <c r="Q3028" s="13">
        <f>SUMIFS(M:M,E:E,Online_eCommerce[[#This Row],[Status]])</f>
        <v>28340455</v>
      </c>
      <c r="R3028" s="13">
        <f>SUMIFS(L:L,H:H,Online_eCommerce[[#This Row],[Brand]])</f>
        <v>12435650</v>
      </c>
      <c r="S3028" s="13">
        <f>SUMIF(H:H,Online_eCommerce[[#This Row],[Brand]],M:M)</f>
        <v>16166345</v>
      </c>
      <c r="T3028" s="13">
        <f>SUMIF(N:N,Online_eCommerce[[#This Row],[Assigned Supervisor]],L:L)</f>
        <v>11733610</v>
      </c>
    </row>
    <row r="3029" spans="1:20" hidden="1" x14ac:dyDescent="0.3">
      <c r="A3029" t="s">
        <v>4515</v>
      </c>
      <c r="B3029" t="s">
        <v>276</v>
      </c>
      <c r="C3029" t="s">
        <v>38</v>
      </c>
      <c r="D3029" t="s">
        <v>4411</v>
      </c>
      <c r="E3029" t="s">
        <v>161</v>
      </c>
      <c r="F3029" t="s">
        <v>4516</v>
      </c>
      <c r="G3029" t="s">
        <v>26</v>
      </c>
      <c r="H3029" t="s">
        <v>27</v>
      </c>
      <c r="I3029">
        <v>8500</v>
      </c>
      <c r="J3029">
        <v>11050</v>
      </c>
      <c r="K3029">
        <v>4</v>
      </c>
      <c r="L3029">
        <v>34000</v>
      </c>
      <c r="M3029">
        <v>44200</v>
      </c>
      <c r="N3029" t="s">
        <v>22</v>
      </c>
      <c r="O3029">
        <f t="shared" si="94"/>
        <v>33150</v>
      </c>
      <c r="P3029" s="13">
        <f t="shared" si="95"/>
        <v>1933997</v>
      </c>
      <c r="Q3029" s="13">
        <f>SUMIFS(M:M,E:E,Online_eCommerce[[#This Row],[Status]])</f>
        <v>21103186</v>
      </c>
      <c r="R3029" s="13">
        <f>SUMIFS(L:L,H:H,Online_eCommerce[[#This Row],[Brand]])</f>
        <v>14431000</v>
      </c>
      <c r="S3029" s="13">
        <f>SUMIF(H:H,Online_eCommerce[[#This Row],[Brand]],M:M)</f>
        <v>18760300</v>
      </c>
      <c r="T3029" s="13">
        <f>SUMIF(N:N,Online_eCommerce[[#This Row],[Assigned Supervisor]],L:L)</f>
        <v>13693220</v>
      </c>
    </row>
    <row r="3030" spans="1:20" x14ac:dyDescent="0.3">
      <c r="A3030" t="s">
        <v>4517</v>
      </c>
      <c r="B3030" t="s">
        <v>280</v>
      </c>
      <c r="C3030" t="s">
        <v>45</v>
      </c>
      <c r="D3030" t="s">
        <v>4411</v>
      </c>
      <c r="E3030" t="s">
        <v>46</v>
      </c>
      <c r="F3030" t="s">
        <v>32</v>
      </c>
      <c r="G3030" t="s">
        <v>33</v>
      </c>
      <c r="H3030" t="s">
        <v>34</v>
      </c>
      <c r="I3030">
        <v>7000</v>
      </c>
      <c r="J3030">
        <v>9100</v>
      </c>
      <c r="K3030">
        <v>4</v>
      </c>
      <c r="L3030">
        <v>28000</v>
      </c>
      <c r="M3030">
        <v>36400</v>
      </c>
      <c r="N3030" t="s">
        <v>28</v>
      </c>
      <c r="O3030">
        <f t="shared" si="94"/>
        <v>18200</v>
      </c>
      <c r="P3030" s="13">
        <f t="shared" si="95"/>
        <v>2842554</v>
      </c>
      <c r="Q3030" s="13">
        <f>SUMIFS(M:M,E:E,Online_eCommerce[[#This Row],[Status]])</f>
        <v>28620410</v>
      </c>
      <c r="R3030" s="13">
        <f>SUMIFS(L:L,H:H,Online_eCommerce[[#This Row],[Brand]])</f>
        <v>10087000</v>
      </c>
      <c r="S3030" s="13">
        <f>SUMIF(H:H,Online_eCommerce[[#This Row],[Brand]],M:M)</f>
        <v>13113100</v>
      </c>
      <c r="T3030" s="13">
        <f>SUMIF(N:N,Online_eCommerce[[#This Row],[Assigned Supervisor]],L:L)</f>
        <v>12220830</v>
      </c>
    </row>
    <row r="3031" spans="1:20" hidden="1" x14ac:dyDescent="0.3">
      <c r="A3031" t="s">
        <v>4518</v>
      </c>
      <c r="B3031" t="s">
        <v>283</v>
      </c>
      <c r="C3031" t="s">
        <v>52</v>
      </c>
      <c r="D3031" t="s">
        <v>4411</v>
      </c>
      <c r="E3031" t="s">
        <v>96</v>
      </c>
      <c r="F3031" t="s">
        <v>4519</v>
      </c>
      <c r="G3031" t="s">
        <v>256</v>
      </c>
      <c r="H3031" t="s">
        <v>41</v>
      </c>
      <c r="I3031">
        <v>6550</v>
      </c>
      <c r="J3031">
        <v>8515</v>
      </c>
      <c r="K3031">
        <v>1</v>
      </c>
      <c r="L3031">
        <v>6550</v>
      </c>
      <c r="M3031">
        <v>8515</v>
      </c>
      <c r="N3031" t="s">
        <v>35</v>
      </c>
      <c r="O3031">
        <f t="shared" si="94"/>
        <v>9100</v>
      </c>
      <c r="P3031" s="13">
        <f t="shared" si="95"/>
        <v>1955044</v>
      </c>
      <c r="Q3031" s="13">
        <f>SUMIFS(M:M,E:E,Online_eCommerce[[#This Row],[Status]])</f>
        <v>21233992</v>
      </c>
      <c r="R3031" s="13">
        <f>SUMIFS(L:L,H:H,Online_eCommerce[[#This Row],[Brand]])</f>
        <v>4260400</v>
      </c>
      <c r="S3031" s="13">
        <f>SUMIF(H:H,Online_eCommerce[[#This Row],[Brand]],M:M)</f>
        <v>5538520</v>
      </c>
      <c r="T3031" s="13">
        <f>SUMIF(N:N,Online_eCommerce[[#This Row],[Assigned Supervisor]],L:L)</f>
        <v>14373360</v>
      </c>
    </row>
    <row r="3032" spans="1:20" hidden="1" x14ac:dyDescent="0.3">
      <c r="A3032" t="s">
        <v>4520</v>
      </c>
      <c r="B3032" t="s">
        <v>287</v>
      </c>
      <c r="C3032" t="s">
        <v>58</v>
      </c>
      <c r="D3032" t="s">
        <v>4411</v>
      </c>
      <c r="E3032" t="s">
        <v>18</v>
      </c>
      <c r="F3032" t="s">
        <v>47</v>
      </c>
      <c r="G3032" t="s">
        <v>259</v>
      </c>
      <c r="H3032" t="s">
        <v>49</v>
      </c>
      <c r="I3032">
        <v>7650</v>
      </c>
      <c r="J3032">
        <v>9945</v>
      </c>
      <c r="K3032">
        <v>3</v>
      </c>
      <c r="L3032">
        <v>22950</v>
      </c>
      <c r="M3032">
        <v>29835</v>
      </c>
      <c r="N3032" t="s">
        <v>42</v>
      </c>
      <c r="O3032">
        <f t="shared" si="94"/>
        <v>11700</v>
      </c>
      <c r="P3032" s="13">
        <f t="shared" si="95"/>
        <v>2629211</v>
      </c>
      <c r="Q3032" s="13">
        <f>SUMIFS(M:M,E:E,Online_eCommerce[[#This Row],[Status]])</f>
        <v>28340455</v>
      </c>
      <c r="R3032" s="13">
        <f>SUMIFS(L:L,H:H,Online_eCommerce[[#This Row],[Brand]])</f>
        <v>4528350</v>
      </c>
      <c r="S3032" s="13">
        <f>SUMIF(H:H,Online_eCommerce[[#This Row],[Brand]],M:M)</f>
        <v>5886855</v>
      </c>
      <c r="T3032" s="13">
        <f>SUMIF(N:N,Online_eCommerce[[#This Row],[Assigned Supervisor]],L:L)</f>
        <v>12261500</v>
      </c>
    </row>
    <row r="3033" spans="1:20" hidden="1" x14ac:dyDescent="0.3">
      <c r="A3033" t="s">
        <v>4521</v>
      </c>
      <c r="B3033" t="s">
        <v>290</v>
      </c>
      <c r="C3033" t="s">
        <v>63</v>
      </c>
      <c r="D3033" t="s">
        <v>4411</v>
      </c>
      <c r="E3033" t="s">
        <v>161</v>
      </c>
      <c r="F3033" t="s">
        <v>53</v>
      </c>
      <c r="G3033" t="s">
        <v>54</v>
      </c>
      <c r="H3033" t="s">
        <v>55</v>
      </c>
      <c r="I3033">
        <v>1150</v>
      </c>
      <c r="J3033">
        <v>1495</v>
      </c>
      <c r="K3033">
        <v>4</v>
      </c>
      <c r="L3033">
        <v>4600</v>
      </c>
      <c r="M3033">
        <v>5980</v>
      </c>
      <c r="N3033" t="s">
        <v>50</v>
      </c>
      <c r="O3033">
        <f t="shared" si="94"/>
        <v>2990</v>
      </c>
      <c r="P3033" s="13">
        <f t="shared" si="95"/>
        <v>2016131</v>
      </c>
      <c r="Q3033" s="13">
        <f>SUMIFS(M:M,E:E,Online_eCommerce[[#This Row],[Status]])</f>
        <v>21103186</v>
      </c>
      <c r="R3033" s="13">
        <f>SUMIFS(L:L,H:H,Online_eCommerce[[#This Row],[Brand]])</f>
        <v>2267380</v>
      </c>
      <c r="S3033" s="13">
        <f>SUMIF(H:H,Online_eCommerce[[#This Row],[Brand]],M:M)</f>
        <v>2947594</v>
      </c>
      <c r="T3033" s="13">
        <f>SUMIF(N:N,Online_eCommerce[[#This Row],[Assigned Supervisor]],L:L)</f>
        <v>12100590</v>
      </c>
    </row>
    <row r="3034" spans="1:20" x14ac:dyDescent="0.3">
      <c r="A3034" t="s">
        <v>4522</v>
      </c>
      <c r="B3034" t="s">
        <v>15</v>
      </c>
      <c r="C3034" t="s">
        <v>68</v>
      </c>
      <c r="D3034" t="s">
        <v>4411</v>
      </c>
      <c r="E3034" t="s">
        <v>46</v>
      </c>
      <c r="F3034" t="s">
        <v>59</v>
      </c>
      <c r="G3034" t="s">
        <v>60</v>
      </c>
      <c r="H3034" t="s">
        <v>61</v>
      </c>
      <c r="I3034">
        <v>850</v>
      </c>
      <c r="J3034">
        <v>1105</v>
      </c>
      <c r="K3034">
        <v>1</v>
      </c>
      <c r="L3034">
        <v>850</v>
      </c>
      <c r="M3034">
        <v>1105</v>
      </c>
      <c r="N3034" t="s">
        <v>56</v>
      </c>
      <c r="O3034">
        <f t="shared" si="94"/>
        <v>3315</v>
      </c>
      <c r="P3034" s="13">
        <f t="shared" si="95"/>
        <v>2974621</v>
      </c>
      <c r="Q3034" s="13">
        <f>SUMIFS(M:M,E:E,Online_eCommerce[[#This Row],[Status]])</f>
        <v>28620410</v>
      </c>
      <c r="R3034" s="13">
        <f>SUMIFS(L:L,H:H,Online_eCommerce[[#This Row],[Brand]])</f>
        <v>10950150</v>
      </c>
      <c r="S3034" s="13">
        <f>SUMIF(H:H,Online_eCommerce[[#This Row],[Brand]],M:M)</f>
        <v>14235195</v>
      </c>
      <c r="T3034" s="13">
        <f>SUMIF(N:N,Online_eCommerce[[#This Row],[Assigned Supervisor]],L:L)</f>
        <v>11733610</v>
      </c>
    </row>
    <row r="3035" spans="1:20" hidden="1" x14ac:dyDescent="0.3">
      <c r="A3035" t="s">
        <v>4523</v>
      </c>
      <c r="B3035" t="s">
        <v>202</v>
      </c>
      <c r="C3035" t="s">
        <v>74</v>
      </c>
      <c r="D3035" t="s">
        <v>4411</v>
      </c>
      <c r="E3035" t="s">
        <v>96</v>
      </c>
      <c r="F3035" t="s">
        <v>65</v>
      </c>
      <c r="G3035" t="s">
        <v>66</v>
      </c>
      <c r="H3035" t="s">
        <v>21</v>
      </c>
      <c r="I3035">
        <v>650</v>
      </c>
      <c r="J3035">
        <v>845</v>
      </c>
      <c r="K3035">
        <v>3</v>
      </c>
      <c r="L3035">
        <v>1950</v>
      </c>
      <c r="M3035">
        <v>2535</v>
      </c>
      <c r="N3035" t="s">
        <v>22</v>
      </c>
      <c r="O3035">
        <f t="shared" si="94"/>
        <v>1690</v>
      </c>
      <c r="P3035" s="13">
        <f t="shared" si="95"/>
        <v>2144701</v>
      </c>
      <c r="Q3035" s="13">
        <f>SUMIFS(M:M,E:E,Online_eCommerce[[#This Row],[Status]])</f>
        <v>21233992</v>
      </c>
      <c r="R3035" s="13">
        <f>SUMIFS(L:L,H:H,Online_eCommerce[[#This Row],[Brand]])</f>
        <v>12435650</v>
      </c>
      <c r="S3035" s="13">
        <f>SUMIF(H:H,Online_eCommerce[[#This Row],[Brand]],M:M)</f>
        <v>16166345</v>
      </c>
      <c r="T3035" s="13">
        <f>SUMIF(N:N,Online_eCommerce[[#This Row],[Assigned Supervisor]],L:L)</f>
        <v>13693220</v>
      </c>
    </row>
    <row r="3036" spans="1:20" hidden="1" x14ac:dyDescent="0.3">
      <c r="A3036" t="s">
        <v>4524</v>
      </c>
      <c r="B3036" t="s">
        <v>30</v>
      </c>
      <c r="C3036" t="s">
        <v>81</v>
      </c>
      <c r="D3036" t="s">
        <v>4411</v>
      </c>
      <c r="E3036" t="s">
        <v>18</v>
      </c>
      <c r="F3036" t="s">
        <v>70</v>
      </c>
      <c r="G3036" t="s">
        <v>71</v>
      </c>
      <c r="H3036" t="s">
        <v>61</v>
      </c>
      <c r="I3036">
        <v>7500</v>
      </c>
      <c r="J3036">
        <v>9750</v>
      </c>
      <c r="K3036">
        <v>3</v>
      </c>
      <c r="L3036">
        <v>22500</v>
      </c>
      <c r="M3036">
        <v>29250</v>
      </c>
      <c r="N3036" t="s">
        <v>28</v>
      </c>
      <c r="O3036">
        <f t="shared" si="94"/>
        <v>9750</v>
      </c>
      <c r="P3036" s="13">
        <f t="shared" si="95"/>
        <v>2595632</v>
      </c>
      <c r="Q3036" s="13">
        <f>SUMIFS(M:M,E:E,Online_eCommerce[[#This Row],[Status]])</f>
        <v>28340455</v>
      </c>
      <c r="R3036" s="13">
        <f>SUMIFS(L:L,H:H,Online_eCommerce[[#This Row],[Brand]])</f>
        <v>10950150</v>
      </c>
      <c r="S3036" s="13">
        <f>SUMIF(H:H,Online_eCommerce[[#This Row],[Brand]],M:M)</f>
        <v>14235195</v>
      </c>
      <c r="T3036" s="13">
        <f>SUMIF(N:N,Online_eCommerce[[#This Row],[Assigned Supervisor]],L:L)</f>
        <v>12220830</v>
      </c>
    </row>
    <row r="3037" spans="1:20" hidden="1" x14ac:dyDescent="0.3">
      <c r="A3037" t="s">
        <v>4525</v>
      </c>
      <c r="B3037" t="s">
        <v>37</v>
      </c>
      <c r="C3037" t="s">
        <v>86</v>
      </c>
      <c r="D3037" t="s">
        <v>4411</v>
      </c>
      <c r="E3037" t="s">
        <v>161</v>
      </c>
      <c r="F3037" t="s">
        <v>4512</v>
      </c>
      <c r="G3037" t="s">
        <v>77</v>
      </c>
      <c r="H3037" t="s">
        <v>78</v>
      </c>
      <c r="I3037">
        <v>10000</v>
      </c>
      <c r="J3037">
        <v>13000</v>
      </c>
      <c r="K3037">
        <v>2</v>
      </c>
      <c r="L3037">
        <v>20000</v>
      </c>
      <c r="M3037">
        <v>26000</v>
      </c>
      <c r="N3037" t="s">
        <v>35</v>
      </c>
      <c r="O3037">
        <f t="shared" si="94"/>
        <v>39000</v>
      </c>
      <c r="P3037" s="13">
        <f t="shared" si="95"/>
        <v>1941225</v>
      </c>
      <c r="Q3037" s="13">
        <f>SUMIFS(M:M,E:E,Online_eCommerce[[#This Row],[Status]])</f>
        <v>21103186</v>
      </c>
      <c r="R3037" s="13">
        <f>SUMIFS(L:L,H:H,Online_eCommerce[[#This Row],[Brand]])</f>
        <v>3720000</v>
      </c>
      <c r="S3037" s="13">
        <f>SUMIF(H:H,Online_eCommerce[[#This Row],[Brand]],M:M)</f>
        <v>4836000</v>
      </c>
      <c r="T3037" s="13">
        <f>SUMIF(N:N,Online_eCommerce[[#This Row],[Assigned Supervisor]],L:L)</f>
        <v>14373360</v>
      </c>
    </row>
    <row r="3038" spans="1:20" x14ac:dyDescent="0.3">
      <c r="A3038" t="s">
        <v>4526</v>
      </c>
      <c r="B3038" t="s">
        <v>44</v>
      </c>
      <c r="C3038" t="s">
        <v>91</v>
      </c>
      <c r="D3038" t="s">
        <v>4411</v>
      </c>
      <c r="E3038" t="s">
        <v>46</v>
      </c>
      <c r="F3038" t="s">
        <v>4527</v>
      </c>
      <c r="G3038" t="s">
        <v>20</v>
      </c>
      <c r="H3038" t="s">
        <v>21</v>
      </c>
      <c r="I3038">
        <v>10500</v>
      </c>
      <c r="J3038">
        <v>13650</v>
      </c>
      <c r="K3038">
        <v>3</v>
      </c>
      <c r="L3038">
        <v>31500</v>
      </c>
      <c r="M3038">
        <v>40950</v>
      </c>
      <c r="N3038" t="s">
        <v>42</v>
      </c>
      <c r="O3038">
        <f t="shared" si="94"/>
        <v>8450</v>
      </c>
      <c r="P3038" s="13">
        <f t="shared" si="95"/>
        <v>2731963</v>
      </c>
      <c r="Q3038" s="13">
        <f>SUMIFS(M:M,E:E,Online_eCommerce[[#This Row],[Status]])</f>
        <v>28620410</v>
      </c>
      <c r="R3038" s="13">
        <f>SUMIFS(L:L,H:H,Online_eCommerce[[#This Row],[Brand]])</f>
        <v>12435650</v>
      </c>
      <c r="S3038" s="13">
        <f>SUMIF(H:H,Online_eCommerce[[#This Row],[Brand]],M:M)</f>
        <v>16166345</v>
      </c>
      <c r="T3038" s="13">
        <f>SUMIF(N:N,Online_eCommerce[[#This Row],[Assigned Supervisor]],L:L)</f>
        <v>12261500</v>
      </c>
    </row>
    <row r="3039" spans="1:20" hidden="1" x14ac:dyDescent="0.3">
      <c r="A3039" t="s">
        <v>4528</v>
      </c>
      <c r="B3039" t="s">
        <v>213</v>
      </c>
      <c r="C3039" t="s">
        <v>94</v>
      </c>
      <c r="D3039" t="s">
        <v>4411</v>
      </c>
      <c r="E3039" t="s">
        <v>96</v>
      </c>
      <c r="F3039" t="s">
        <v>88</v>
      </c>
      <c r="G3039" t="s">
        <v>26</v>
      </c>
      <c r="H3039" t="s">
        <v>27</v>
      </c>
      <c r="I3039">
        <v>8500</v>
      </c>
      <c r="J3039">
        <v>11050</v>
      </c>
      <c r="K3039">
        <v>1</v>
      </c>
      <c r="L3039">
        <v>8500</v>
      </c>
      <c r="M3039">
        <v>11050</v>
      </c>
      <c r="N3039" t="s">
        <v>50</v>
      </c>
      <c r="O3039">
        <f t="shared" si="94"/>
        <v>33150</v>
      </c>
      <c r="P3039" s="13">
        <f t="shared" si="95"/>
        <v>1868256</v>
      </c>
      <c r="Q3039" s="13">
        <f>SUMIFS(M:M,E:E,Online_eCommerce[[#This Row],[Status]])</f>
        <v>21233992</v>
      </c>
      <c r="R3039" s="13">
        <f>SUMIFS(L:L,H:H,Online_eCommerce[[#This Row],[Brand]])</f>
        <v>14431000</v>
      </c>
      <c r="S3039" s="13">
        <f>SUMIF(H:H,Online_eCommerce[[#This Row],[Brand]],M:M)</f>
        <v>18760300</v>
      </c>
      <c r="T3039" s="13">
        <f>SUMIF(N:N,Online_eCommerce[[#This Row],[Assigned Supervisor]],L:L)</f>
        <v>12100590</v>
      </c>
    </row>
    <row r="3040" spans="1:20" hidden="1" x14ac:dyDescent="0.3">
      <c r="A3040" t="s">
        <v>4529</v>
      </c>
      <c r="B3040" t="s">
        <v>215</v>
      </c>
      <c r="C3040" t="s">
        <v>99</v>
      </c>
      <c r="D3040" t="s">
        <v>4411</v>
      </c>
      <c r="E3040" t="s">
        <v>18</v>
      </c>
      <c r="F3040" t="s">
        <v>32</v>
      </c>
      <c r="G3040" t="s">
        <v>33</v>
      </c>
      <c r="H3040" t="s">
        <v>34</v>
      </c>
      <c r="I3040">
        <v>7000</v>
      </c>
      <c r="J3040">
        <v>9100</v>
      </c>
      <c r="K3040">
        <v>4</v>
      </c>
      <c r="L3040">
        <v>28000</v>
      </c>
      <c r="M3040">
        <v>36400</v>
      </c>
      <c r="N3040" t="s">
        <v>56</v>
      </c>
      <c r="O3040">
        <f t="shared" si="94"/>
        <v>18200</v>
      </c>
      <c r="P3040" s="13">
        <f t="shared" si="95"/>
        <v>2651233</v>
      </c>
      <c r="Q3040" s="13">
        <f>SUMIFS(M:M,E:E,Online_eCommerce[[#This Row],[Status]])</f>
        <v>28340455</v>
      </c>
      <c r="R3040" s="13">
        <f>SUMIFS(L:L,H:H,Online_eCommerce[[#This Row],[Brand]])</f>
        <v>10087000</v>
      </c>
      <c r="S3040" s="13">
        <f>SUMIF(H:H,Online_eCommerce[[#This Row],[Brand]],M:M)</f>
        <v>13113100</v>
      </c>
      <c r="T3040" s="13">
        <f>SUMIF(N:N,Online_eCommerce[[#This Row],[Assigned Supervisor]],L:L)</f>
        <v>11733610</v>
      </c>
    </row>
    <row r="3041" spans="1:20" hidden="1" x14ac:dyDescent="0.3">
      <c r="A3041" t="s">
        <v>4530</v>
      </c>
      <c r="B3041" t="s">
        <v>306</v>
      </c>
      <c r="C3041" t="s">
        <v>105</v>
      </c>
      <c r="D3041" t="s">
        <v>4531</v>
      </c>
      <c r="E3041" t="s">
        <v>161</v>
      </c>
      <c r="F3041" t="s">
        <v>4532</v>
      </c>
      <c r="G3041" t="s">
        <v>256</v>
      </c>
      <c r="H3041" t="s">
        <v>41</v>
      </c>
      <c r="I3041">
        <v>1680</v>
      </c>
      <c r="J3041">
        <v>2184</v>
      </c>
      <c r="K3041">
        <v>4</v>
      </c>
      <c r="L3041">
        <v>6720</v>
      </c>
      <c r="M3041">
        <v>8736</v>
      </c>
      <c r="N3041" t="s">
        <v>22</v>
      </c>
      <c r="O3041">
        <f t="shared" si="94"/>
        <v>9100</v>
      </c>
      <c r="P3041" s="13">
        <f t="shared" si="95"/>
        <v>1866852</v>
      </c>
      <c r="Q3041" s="13">
        <f>SUMIFS(M:M,E:E,Online_eCommerce[[#This Row],[Status]])</f>
        <v>21103186</v>
      </c>
      <c r="R3041" s="13">
        <f>SUMIFS(L:L,H:H,Online_eCommerce[[#This Row],[Brand]])</f>
        <v>4260400</v>
      </c>
      <c r="S3041" s="13">
        <f>SUMIF(H:H,Online_eCommerce[[#This Row],[Brand]],M:M)</f>
        <v>5538520</v>
      </c>
      <c r="T3041" s="13">
        <f>SUMIF(N:N,Online_eCommerce[[#This Row],[Assigned Supervisor]],L:L)</f>
        <v>13693220</v>
      </c>
    </row>
    <row r="3042" spans="1:20" x14ac:dyDescent="0.3">
      <c r="A3042" t="s">
        <v>4533</v>
      </c>
      <c r="B3042" t="s">
        <v>528</v>
      </c>
      <c r="C3042" t="s">
        <v>110</v>
      </c>
      <c r="D3042" t="s">
        <v>4534</v>
      </c>
      <c r="E3042" t="s">
        <v>46</v>
      </c>
      <c r="F3042" t="s">
        <v>101</v>
      </c>
      <c r="G3042" t="s">
        <v>259</v>
      </c>
      <c r="H3042" t="s">
        <v>102</v>
      </c>
      <c r="I3042">
        <v>6540</v>
      </c>
      <c r="J3042">
        <v>8502</v>
      </c>
      <c r="K3042">
        <v>4</v>
      </c>
      <c r="L3042">
        <v>26160</v>
      </c>
      <c r="M3042">
        <v>34008</v>
      </c>
      <c r="N3042" t="s">
        <v>28</v>
      </c>
      <c r="O3042">
        <f t="shared" si="94"/>
        <v>11700</v>
      </c>
      <c r="P3042" s="13">
        <f t="shared" si="95"/>
        <v>2598635</v>
      </c>
      <c r="Q3042" s="13">
        <f>SUMIFS(M:M,E:E,Online_eCommerce[[#This Row],[Status]])</f>
        <v>28620410</v>
      </c>
      <c r="R3042" s="13">
        <f>SUMIFS(L:L,H:H,Online_eCommerce[[#This Row],[Brand]])</f>
        <v>2465580</v>
      </c>
      <c r="S3042" s="13">
        <f>SUMIF(H:H,Online_eCommerce[[#This Row],[Brand]],M:M)</f>
        <v>3205254</v>
      </c>
      <c r="T3042" s="13">
        <f>SUMIF(N:N,Online_eCommerce[[#This Row],[Assigned Supervisor]],L:L)</f>
        <v>12220830</v>
      </c>
    </row>
    <row r="3043" spans="1:20" hidden="1" x14ac:dyDescent="0.3">
      <c r="A3043" t="s">
        <v>4535</v>
      </c>
      <c r="B3043" t="s">
        <v>73</v>
      </c>
      <c r="C3043" t="s">
        <v>115</v>
      </c>
      <c r="D3043" t="s">
        <v>4536</v>
      </c>
      <c r="E3043" t="s">
        <v>96</v>
      </c>
      <c r="F3043" t="s">
        <v>107</v>
      </c>
      <c r="G3043" t="s">
        <v>54</v>
      </c>
      <c r="H3043" t="s">
        <v>55</v>
      </c>
      <c r="I3043">
        <v>2680</v>
      </c>
      <c r="J3043">
        <v>3484</v>
      </c>
      <c r="K3043">
        <v>1</v>
      </c>
      <c r="L3043">
        <v>2680</v>
      </c>
      <c r="M3043">
        <v>3484</v>
      </c>
      <c r="N3043" t="s">
        <v>35</v>
      </c>
      <c r="O3043">
        <f t="shared" si="94"/>
        <v>2990</v>
      </c>
      <c r="P3043" s="13">
        <f t="shared" si="95"/>
        <v>2050178</v>
      </c>
      <c r="Q3043" s="13">
        <f>SUMIFS(M:M,E:E,Online_eCommerce[[#This Row],[Status]])</f>
        <v>21233992</v>
      </c>
      <c r="R3043" s="13">
        <f>SUMIFS(L:L,H:H,Online_eCommerce[[#This Row],[Brand]])</f>
        <v>2267380</v>
      </c>
      <c r="S3043" s="13">
        <f>SUMIF(H:H,Online_eCommerce[[#This Row],[Brand]],M:M)</f>
        <v>2947594</v>
      </c>
      <c r="T3043" s="13">
        <f>SUMIF(N:N,Online_eCommerce[[#This Row],[Assigned Supervisor]],L:L)</f>
        <v>14373360</v>
      </c>
    </row>
    <row r="3044" spans="1:20" hidden="1" x14ac:dyDescent="0.3">
      <c r="A3044" t="s">
        <v>4537</v>
      </c>
      <c r="B3044" t="s">
        <v>80</v>
      </c>
      <c r="C3044" t="s">
        <v>120</v>
      </c>
      <c r="D3044" t="s">
        <v>4536</v>
      </c>
      <c r="E3044" t="s">
        <v>18</v>
      </c>
      <c r="F3044" t="s">
        <v>112</v>
      </c>
      <c r="G3044" t="s">
        <v>71</v>
      </c>
      <c r="H3044" t="s">
        <v>21</v>
      </c>
      <c r="I3044">
        <v>8250</v>
      </c>
      <c r="J3044">
        <v>10725</v>
      </c>
      <c r="K3044">
        <v>1</v>
      </c>
      <c r="L3044">
        <v>8250</v>
      </c>
      <c r="M3044">
        <v>10725</v>
      </c>
      <c r="N3044" t="s">
        <v>42</v>
      </c>
      <c r="O3044">
        <f t="shared" si="94"/>
        <v>9750</v>
      </c>
      <c r="P3044" s="13">
        <f t="shared" si="95"/>
        <v>2734212</v>
      </c>
      <c r="Q3044" s="13">
        <f>SUMIFS(M:M,E:E,Online_eCommerce[[#This Row],[Status]])</f>
        <v>28340455</v>
      </c>
      <c r="R3044" s="13">
        <f>SUMIFS(L:L,H:H,Online_eCommerce[[#This Row],[Brand]])</f>
        <v>12435650</v>
      </c>
      <c r="S3044" s="13">
        <f>SUMIF(H:H,Online_eCommerce[[#This Row],[Brand]],M:M)</f>
        <v>16166345</v>
      </c>
      <c r="T3044" s="13">
        <f>SUMIF(N:N,Online_eCommerce[[#This Row],[Assigned Supervisor]],L:L)</f>
        <v>12261500</v>
      </c>
    </row>
    <row r="3045" spans="1:20" hidden="1" x14ac:dyDescent="0.3">
      <c r="A3045" t="s">
        <v>4538</v>
      </c>
      <c r="B3045" t="s">
        <v>85</v>
      </c>
      <c r="C3045" t="s">
        <v>125</v>
      </c>
      <c r="D3045" t="s">
        <v>4536</v>
      </c>
      <c r="E3045" t="s">
        <v>161</v>
      </c>
      <c r="F3045" t="s">
        <v>4072</v>
      </c>
      <c r="G3045" t="s">
        <v>40</v>
      </c>
      <c r="H3045" t="s">
        <v>21</v>
      </c>
      <c r="I3045">
        <v>2650</v>
      </c>
      <c r="J3045">
        <v>3445</v>
      </c>
      <c r="K3045">
        <v>1</v>
      </c>
      <c r="L3045">
        <v>2650</v>
      </c>
      <c r="M3045">
        <v>3445</v>
      </c>
      <c r="N3045" t="s">
        <v>50</v>
      </c>
      <c r="O3045">
        <f t="shared" si="94"/>
        <v>25545</v>
      </c>
      <c r="P3045" s="13">
        <f t="shared" si="95"/>
        <v>2091154</v>
      </c>
      <c r="Q3045" s="13">
        <f>SUMIFS(M:M,E:E,Online_eCommerce[[#This Row],[Status]])</f>
        <v>21103186</v>
      </c>
      <c r="R3045" s="13">
        <f>SUMIFS(L:L,H:H,Online_eCommerce[[#This Row],[Brand]])</f>
        <v>12435650</v>
      </c>
      <c r="S3045" s="13">
        <f>SUMIF(H:H,Online_eCommerce[[#This Row],[Brand]],M:M)</f>
        <v>16166345</v>
      </c>
      <c r="T3045" s="13">
        <f>SUMIF(N:N,Online_eCommerce[[#This Row],[Assigned Supervisor]],L:L)</f>
        <v>12100590</v>
      </c>
    </row>
    <row r="3046" spans="1:20" x14ac:dyDescent="0.3">
      <c r="A3046" t="s">
        <v>4539</v>
      </c>
      <c r="B3046" t="s">
        <v>90</v>
      </c>
      <c r="C3046" t="s">
        <v>22</v>
      </c>
      <c r="D3046" t="s">
        <v>4536</v>
      </c>
      <c r="E3046" t="s">
        <v>46</v>
      </c>
      <c r="F3046" t="s">
        <v>121</v>
      </c>
      <c r="G3046" t="s">
        <v>71</v>
      </c>
      <c r="H3046" t="s">
        <v>122</v>
      </c>
      <c r="I3046">
        <v>12550</v>
      </c>
      <c r="J3046">
        <v>16315</v>
      </c>
      <c r="K3046">
        <v>2</v>
      </c>
      <c r="L3046">
        <v>25100</v>
      </c>
      <c r="M3046">
        <v>32630</v>
      </c>
      <c r="N3046" t="s">
        <v>56</v>
      </c>
      <c r="O3046">
        <f t="shared" si="94"/>
        <v>9750</v>
      </c>
      <c r="P3046" s="13">
        <f t="shared" si="95"/>
        <v>2551588</v>
      </c>
      <c r="Q3046" s="13">
        <f>SUMIFS(M:M,E:E,Online_eCommerce[[#This Row],[Status]])</f>
        <v>28620410</v>
      </c>
      <c r="R3046" s="13">
        <f>SUMIFS(L:L,H:H,Online_eCommerce[[#This Row],[Brand]])</f>
        <v>5045100</v>
      </c>
      <c r="S3046" s="13">
        <f>SUMIF(H:H,Online_eCommerce[[#This Row],[Brand]],M:M)</f>
        <v>6558630</v>
      </c>
      <c r="T3046" s="13">
        <f>SUMIF(N:N,Online_eCommerce[[#This Row],[Assigned Supervisor]],L:L)</f>
        <v>11733610</v>
      </c>
    </row>
    <row r="3047" spans="1:20" hidden="1" x14ac:dyDescent="0.3">
      <c r="A3047" t="s">
        <v>4540</v>
      </c>
      <c r="B3047" t="s">
        <v>232</v>
      </c>
      <c r="C3047" t="s">
        <v>132</v>
      </c>
      <c r="D3047" t="s">
        <v>4536</v>
      </c>
      <c r="E3047" t="s">
        <v>96</v>
      </c>
      <c r="F3047" t="s">
        <v>126</v>
      </c>
      <c r="G3047" t="s">
        <v>26</v>
      </c>
      <c r="H3047" t="s">
        <v>27</v>
      </c>
      <c r="I3047">
        <v>14500</v>
      </c>
      <c r="J3047">
        <v>18850</v>
      </c>
      <c r="K3047">
        <v>3</v>
      </c>
      <c r="L3047">
        <v>43500</v>
      </c>
      <c r="M3047">
        <v>56550</v>
      </c>
      <c r="N3047" t="s">
        <v>22</v>
      </c>
      <c r="O3047">
        <f t="shared" si="94"/>
        <v>33150</v>
      </c>
      <c r="P3047" s="13">
        <f t="shared" si="95"/>
        <v>1989065</v>
      </c>
      <c r="Q3047" s="13">
        <f>SUMIFS(M:M,E:E,Online_eCommerce[[#This Row],[Status]])</f>
        <v>21233992</v>
      </c>
      <c r="R3047" s="13">
        <f>SUMIFS(L:L,H:H,Online_eCommerce[[#This Row],[Brand]])</f>
        <v>14431000</v>
      </c>
      <c r="S3047" s="13">
        <f>SUMIF(H:H,Online_eCommerce[[#This Row],[Brand]],M:M)</f>
        <v>18760300</v>
      </c>
      <c r="T3047" s="13">
        <f>SUMIF(N:N,Online_eCommerce[[#This Row],[Assigned Supervisor]],L:L)</f>
        <v>13693220</v>
      </c>
    </row>
    <row r="3048" spans="1:20" hidden="1" x14ac:dyDescent="0.3">
      <c r="A3048" t="s">
        <v>4541</v>
      </c>
      <c r="B3048" t="s">
        <v>235</v>
      </c>
      <c r="C3048" t="s">
        <v>136</v>
      </c>
      <c r="D3048" t="s">
        <v>4536</v>
      </c>
      <c r="E3048" t="s">
        <v>18</v>
      </c>
      <c r="F3048" t="s">
        <v>129</v>
      </c>
      <c r="G3048" t="s">
        <v>60</v>
      </c>
      <c r="H3048" t="s">
        <v>61</v>
      </c>
      <c r="I3048">
        <v>800</v>
      </c>
      <c r="J3048">
        <v>1040</v>
      </c>
      <c r="K3048">
        <v>2</v>
      </c>
      <c r="L3048">
        <v>1600</v>
      </c>
      <c r="M3048">
        <v>2080</v>
      </c>
      <c r="N3048" t="s">
        <v>28</v>
      </c>
      <c r="O3048">
        <f t="shared" si="94"/>
        <v>3315</v>
      </c>
      <c r="P3048" s="13">
        <f t="shared" si="95"/>
        <v>2775162</v>
      </c>
      <c r="Q3048" s="13">
        <f>SUMIFS(M:M,E:E,Online_eCommerce[[#This Row],[Status]])</f>
        <v>28340455</v>
      </c>
      <c r="R3048" s="13">
        <f>SUMIFS(L:L,H:H,Online_eCommerce[[#This Row],[Brand]])</f>
        <v>10950150</v>
      </c>
      <c r="S3048" s="13">
        <f>SUMIF(H:H,Online_eCommerce[[#This Row],[Brand]],M:M)</f>
        <v>14235195</v>
      </c>
      <c r="T3048" s="13">
        <f>SUMIF(N:N,Online_eCommerce[[#This Row],[Assigned Supervisor]],L:L)</f>
        <v>12220830</v>
      </c>
    </row>
    <row r="3049" spans="1:20" hidden="1" x14ac:dyDescent="0.3">
      <c r="A3049" t="s">
        <v>4542</v>
      </c>
      <c r="B3049" t="s">
        <v>104</v>
      </c>
      <c r="C3049" t="s">
        <v>140</v>
      </c>
      <c r="D3049" t="s">
        <v>4536</v>
      </c>
      <c r="E3049" t="s">
        <v>161</v>
      </c>
      <c r="F3049" t="s">
        <v>133</v>
      </c>
      <c r="G3049" t="s">
        <v>66</v>
      </c>
      <c r="H3049" t="s">
        <v>21</v>
      </c>
      <c r="I3049">
        <v>600</v>
      </c>
      <c r="J3049">
        <v>780</v>
      </c>
      <c r="K3049">
        <v>3</v>
      </c>
      <c r="L3049">
        <v>1800</v>
      </c>
      <c r="M3049">
        <v>2340</v>
      </c>
      <c r="N3049" t="s">
        <v>35</v>
      </c>
      <c r="O3049">
        <f t="shared" si="94"/>
        <v>1690</v>
      </c>
      <c r="P3049" s="13">
        <f t="shared" si="95"/>
        <v>2058264</v>
      </c>
      <c r="Q3049" s="13">
        <f>SUMIFS(M:M,E:E,Online_eCommerce[[#This Row],[Status]])</f>
        <v>21103186</v>
      </c>
      <c r="R3049" s="13">
        <f>SUMIFS(L:L,H:H,Online_eCommerce[[#This Row],[Brand]])</f>
        <v>12435650</v>
      </c>
      <c r="S3049" s="13">
        <f>SUMIF(H:H,Online_eCommerce[[#This Row],[Brand]],M:M)</f>
        <v>16166345</v>
      </c>
      <c r="T3049" s="13">
        <f>SUMIF(N:N,Online_eCommerce[[#This Row],[Assigned Supervisor]],L:L)</f>
        <v>14373360</v>
      </c>
    </row>
    <row r="3050" spans="1:20" x14ac:dyDescent="0.3">
      <c r="A3050" t="s">
        <v>4543</v>
      </c>
      <c r="B3050" t="s">
        <v>109</v>
      </c>
      <c r="C3050" t="s">
        <v>145</v>
      </c>
      <c r="D3050" t="s">
        <v>4536</v>
      </c>
      <c r="E3050" t="s">
        <v>46</v>
      </c>
      <c r="F3050" t="s">
        <v>137</v>
      </c>
      <c r="G3050" t="s">
        <v>71</v>
      </c>
      <c r="H3050" t="s">
        <v>61</v>
      </c>
      <c r="I3050">
        <v>10500</v>
      </c>
      <c r="J3050">
        <v>13650</v>
      </c>
      <c r="K3050">
        <v>3</v>
      </c>
      <c r="L3050">
        <v>31500</v>
      </c>
      <c r="M3050">
        <v>40950</v>
      </c>
      <c r="N3050" t="s">
        <v>42</v>
      </c>
      <c r="O3050">
        <f t="shared" si="94"/>
        <v>9750</v>
      </c>
      <c r="P3050" s="13">
        <f t="shared" si="95"/>
        <v>2757859</v>
      </c>
      <c r="Q3050" s="13">
        <f>SUMIFS(M:M,E:E,Online_eCommerce[[#This Row],[Status]])</f>
        <v>28620410</v>
      </c>
      <c r="R3050" s="13">
        <f>SUMIFS(L:L,H:H,Online_eCommerce[[#This Row],[Brand]])</f>
        <v>10950150</v>
      </c>
      <c r="S3050" s="13">
        <f>SUMIF(H:H,Online_eCommerce[[#This Row],[Brand]],M:M)</f>
        <v>14235195</v>
      </c>
      <c r="T3050" s="13">
        <f>SUMIF(N:N,Online_eCommerce[[#This Row],[Assigned Supervisor]],L:L)</f>
        <v>12261500</v>
      </c>
    </row>
    <row r="3051" spans="1:20" hidden="1" x14ac:dyDescent="0.3">
      <c r="A3051" t="s">
        <v>4544</v>
      </c>
      <c r="B3051" t="s">
        <v>114</v>
      </c>
      <c r="C3051" t="s">
        <v>150</v>
      </c>
      <c r="D3051" t="s">
        <v>4536</v>
      </c>
      <c r="E3051" t="s">
        <v>96</v>
      </c>
      <c r="F3051" t="s">
        <v>4512</v>
      </c>
      <c r="G3051" t="s">
        <v>77</v>
      </c>
      <c r="H3051" t="s">
        <v>142</v>
      </c>
      <c r="I3051">
        <v>6500</v>
      </c>
      <c r="J3051">
        <v>8450</v>
      </c>
      <c r="K3051">
        <v>4</v>
      </c>
      <c r="L3051">
        <v>26000</v>
      </c>
      <c r="M3051">
        <v>33800</v>
      </c>
      <c r="N3051" t="s">
        <v>50</v>
      </c>
      <c r="O3051">
        <f t="shared" si="94"/>
        <v>39000</v>
      </c>
      <c r="P3051" s="13">
        <f t="shared" si="95"/>
        <v>2154984</v>
      </c>
      <c r="Q3051" s="13">
        <f>SUMIFS(M:M,E:E,Online_eCommerce[[#This Row],[Status]])</f>
        <v>21233992</v>
      </c>
      <c r="R3051" s="13">
        <f>SUMIFS(L:L,H:H,Online_eCommerce[[#This Row],[Brand]])</f>
        <v>6192500</v>
      </c>
      <c r="S3051" s="13">
        <f>SUMIF(H:H,Online_eCommerce[[#This Row],[Brand]],M:M)</f>
        <v>8050250</v>
      </c>
      <c r="T3051" s="13">
        <f>SUMIF(N:N,Online_eCommerce[[#This Row],[Assigned Supervisor]],L:L)</f>
        <v>12100590</v>
      </c>
    </row>
    <row r="3052" spans="1:20" hidden="1" x14ac:dyDescent="0.3">
      <c r="A3052" t="s">
        <v>4545</v>
      </c>
      <c r="B3052" t="s">
        <v>119</v>
      </c>
      <c r="C3052" t="s">
        <v>155</v>
      </c>
      <c r="D3052" t="s">
        <v>4536</v>
      </c>
      <c r="E3052" t="s">
        <v>18</v>
      </c>
      <c r="F3052" t="s">
        <v>4546</v>
      </c>
      <c r="G3052" t="s">
        <v>20</v>
      </c>
      <c r="H3052" t="s">
        <v>21</v>
      </c>
      <c r="I3052">
        <v>4500</v>
      </c>
      <c r="J3052">
        <v>5850</v>
      </c>
      <c r="K3052">
        <v>4</v>
      </c>
      <c r="L3052">
        <v>18000</v>
      </c>
      <c r="M3052">
        <v>23400</v>
      </c>
      <c r="N3052" t="s">
        <v>56</v>
      </c>
      <c r="O3052">
        <f t="shared" si="94"/>
        <v>8450</v>
      </c>
      <c r="P3052" s="13">
        <f t="shared" si="95"/>
        <v>2753348</v>
      </c>
      <c r="Q3052" s="13">
        <f>SUMIFS(M:M,E:E,Online_eCommerce[[#This Row],[Status]])</f>
        <v>28340455</v>
      </c>
      <c r="R3052" s="13">
        <f>SUMIFS(L:L,H:H,Online_eCommerce[[#This Row],[Brand]])</f>
        <v>12435650</v>
      </c>
      <c r="S3052" s="13">
        <f>SUMIF(H:H,Online_eCommerce[[#This Row],[Brand]],M:M)</f>
        <v>16166345</v>
      </c>
      <c r="T3052" s="13">
        <f>SUMIF(N:N,Online_eCommerce[[#This Row],[Assigned Supervisor]],L:L)</f>
        <v>11733610</v>
      </c>
    </row>
    <row r="3053" spans="1:20" hidden="1" x14ac:dyDescent="0.3">
      <c r="A3053" t="s">
        <v>4547</v>
      </c>
      <c r="B3053" t="s">
        <v>124</v>
      </c>
      <c r="C3053" t="s">
        <v>160</v>
      </c>
      <c r="D3053" t="s">
        <v>4536</v>
      </c>
      <c r="E3053" t="s">
        <v>161</v>
      </c>
      <c r="F3053" t="s">
        <v>152</v>
      </c>
      <c r="G3053" t="s">
        <v>26</v>
      </c>
      <c r="H3053" t="s">
        <v>27</v>
      </c>
      <c r="I3053">
        <v>8500</v>
      </c>
      <c r="J3053">
        <v>11050</v>
      </c>
      <c r="K3053">
        <v>1</v>
      </c>
      <c r="L3053">
        <v>8500</v>
      </c>
      <c r="M3053">
        <v>11050</v>
      </c>
      <c r="N3053" t="s">
        <v>22</v>
      </c>
      <c r="O3053">
        <f t="shared" si="94"/>
        <v>33150</v>
      </c>
      <c r="P3053" s="13">
        <f t="shared" si="95"/>
        <v>2303483</v>
      </c>
      <c r="Q3053" s="13">
        <f>SUMIFS(M:M,E:E,Online_eCommerce[[#This Row],[Status]])</f>
        <v>21103186</v>
      </c>
      <c r="R3053" s="13">
        <f>SUMIFS(L:L,H:H,Online_eCommerce[[#This Row],[Brand]])</f>
        <v>14431000</v>
      </c>
      <c r="S3053" s="13">
        <f>SUMIF(H:H,Online_eCommerce[[#This Row],[Brand]],M:M)</f>
        <v>18760300</v>
      </c>
      <c r="T3053" s="13">
        <f>SUMIF(N:N,Online_eCommerce[[#This Row],[Assigned Supervisor]],L:L)</f>
        <v>13693220</v>
      </c>
    </row>
    <row r="3054" spans="1:20" x14ac:dyDescent="0.3">
      <c r="A3054" t="s">
        <v>4548</v>
      </c>
      <c r="B3054" t="s">
        <v>128</v>
      </c>
      <c r="C3054" t="s">
        <v>165</v>
      </c>
      <c r="D3054" t="s">
        <v>4536</v>
      </c>
      <c r="E3054" t="s">
        <v>46</v>
      </c>
      <c r="F3054" t="s">
        <v>157</v>
      </c>
      <c r="G3054" t="s">
        <v>33</v>
      </c>
      <c r="H3054" t="s">
        <v>34</v>
      </c>
      <c r="I3054">
        <v>12500</v>
      </c>
      <c r="J3054">
        <v>16250</v>
      </c>
      <c r="K3054">
        <v>2</v>
      </c>
      <c r="L3054">
        <v>25000</v>
      </c>
      <c r="M3054">
        <v>32500</v>
      </c>
      <c r="N3054" t="s">
        <v>28</v>
      </c>
      <c r="O3054">
        <f t="shared" si="94"/>
        <v>18200</v>
      </c>
      <c r="P3054" s="13">
        <f t="shared" si="95"/>
        <v>2674087</v>
      </c>
      <c r="Q3054" s="13">
        <f>SUMIFS(M:M,E:E,Online_eCommerce[[#This Row],[Status]])</f>
        <v>28620410</v>
      </c>
      <c r="R3054" s="13">
        <f>SUMIFS(L:L,H:H,Online_eCommerce[[#This Row],[Brand]])</f>
        <v>10087000</v>
      </c>
      <c r="S3054" s="13">
        <f>SUMIF(H:H,Online_eCommerce[[#This Row],[Brand]],M:M)</f>
        <v>13113100</v>
      </c>
      <c r="T3054" s="13">
        <f>SUMIF(N:N,Online_eCommerce[[#This Row],[Assigned Supervisor]],L:L)</f>
        <v>12220830</v>
      </c>
    </row>
    <row r="3055" spans="1:20" hidden="1" x14ac:dyDescent="0.3">
      <c r="A3055" t="s">
        <v>4549</v>
      </c>
      <c r="B3055" t="s">
        <v>131</v>
      </c>
      <c r="C3055" t="s">
        <v>168</v>
      </c>
      <c r="D3055" t="s">
        <v>4536</v>
      </c>
      <c r="E3055" t="s">
        <v>96</v>
      </c>
      <c r="F3055" t="s">
        <v>4122</v>
      </c>
      <c r="G3055" t="s">
        <v>40</v>
      </c>
      <c r="H3055" t="s">
        <v>41</v>
      </c>
      <c r="I3055">
        <v>3500</v>
      </c>
      <c r="J3055">
        <v>4550</v>
      </c>
      <c r="K3055">
        <v>1</v>
      </c>
      <c r="L3055">
        <v>3500</v>
      </c>
      <c r="M3055">
        <v>4550</v>
      </c>
      <c r="N3055" t="s">
        <v>35</v>
      </c>
      <c r="O3055">
        <f t="shared" si="94"/>
        <v>25545</v>
      </c>
      <c r="P3055" s="13">
        <f t="shared" si="95"/>
        <v>1937780</v>
      </c>
      <c r="Q3055" s="13">
        <f>SUMIFS(M:M,E:E,Online_eCommerce[[#This Row],[Status]])</f>
        <v>21233992</v>
      </c>
      <c r="R3055" s="13">
        <f>SUMIFS(L:L,H:H,Online_eCommerce[[#This Row],[Brand]])</f>
        <v>4260400</v>
      </c>
      <c r="S3055" s="13">
        <f>SUMIF(H:H,Online_eCommerce[[#This Row],[Brand]],M:M)</f>
        <v>5538520</v>
      </c>
      <c r="T3055" s="13">
        <f>SUMIF(N:N,Online_eCommerce[[#This Row],[Assigned Supervisor]],L:L)</f>
        <v>14373360</v>
      </c>
    </row>
    <row r="3056" spans="1:20" hidden="1" x14ac:dyDescent="0.3">
      <c r="A3056" t="s">
        <v>4550</v>
      </c>
      <c r="B3056" t="s">
        <v>135</v>
      </c>
      <c r="C3056" t="s">
        <v>172</v>
      </c>
      <c r="D3056" t="s">
        <v>4536</v>
      </c>
      <c r="E3056" t="s">
        <v>18</v>
      </c>
      <c r="F3056" t="s">
        <v>166</v>
      </c>
      <c r="G3056" t="s">
        <v>334</v>
      </c>
      <c r="H3056" t="s">
        <v>49</v>
      </c>
      <c r="I3056">
        <v>4500</v>
      </c>
      <c r="J3056">
        <v>5850</v>
      </c>
      <c r="K3056">
        <v>4</v>
      </c>
      <c r="L3056">
        <v>18000</v>
      </c>
      <c r="M3056">
        <v>23400</v>
      </c>
      <c r="N3056" t="s">
        <v>42</v>
      </c>
      <c r="O3056">
        <f t="shared" si="94"/>
        <v>39780</v>
      </c>
      <c r="P3056" s="13">
        <f t="shared" si="95"/>
        <v>2640274</v>
      </c>
      <c r="Q3056" s="13">
        <f>SUMIFS(M:M,E:E,Online_eCommerce[[#This Row],[Status]])</f>
        <v>28340455</v>
      </c>
      <c r="R3056" s="13">
        <f>SUMIFS(L:L,H:H,Online_eCommerce[[#This Row],[Brand]])</f>
        <v>4528350</v>
      </c>
      <c r="S3056" s="13">
        <f>SUMIF(H:H,Online_eCommerce[[#This Row],[Brand]],M:M)</f>
        <v>5886855</v>
      </c>
      <c r="T3056" s="13">
        <f>SUMIF(N:N,Online_eCommerce[[#This Row],[Assigned Supervisor]],L:L)</f>
        <v>12261500</v>
      </c>
    </row>
    <row r="3057" spans="1:20" hidden="1" x14ac:dyDescent="0.3">
      <c r="A3057" t="s">
        <v>4551</v>
      </c>
      <c r="B3057" t="s">
        <v>139</v>
      </c>
      <c r="C3057" t="s">
        <v>177</v>
      </c>
      <c r="D3057" t="s">
        <v>4536</v>
      </c>
      <c r="E3057" t="s">
        <v>161</v>
      </c>
      <c r="F3057" t="s">
        <v>4552</v>
      </c>
      <c r="G3057" t="s">
        <v>54</v>
      </c>
      <c r="H3057" t="s">
        <v>55</v>
      </c>
      <c r="I3057">
        <v>2100</v>
      </c>
      <c r="J3057">
        <v>2730</v>
      </c>
      <c r="K3057">
        <v>4</v>
      </c>
      <c r="L3057">
        <v>8400</v>
      </c>
      <c r="M3057">
        <v>10920</v>
      </c>
      <c r="N3057" t="s">
        <v>50</v>
      </c>
      <c r="O3057">
        <f t="shared" si="94"/>
        <v>2990</v>
      </c>
      <c r="P3057" s="13">
        <f t="shared" si="95"/>
        <v>1863810</v>
      </c>
      <c r="Q3057" s="13">
        <f>SUMIFS(M:M,E:E,Online_eCommerce[[#This Row],[Status]])</f>
        <v>21103186</v>
      </c>
      <c r="R3057" s="13">
        <f>SUMIFS(L:L,H:H,Online_eCommerce[[#This Row],[Brand]])</f>
        <v>2267380</v>
      </c>
      <c r="S3057" s="13">
        <f>SUMIF(H:H,Online_eCommerce[[#This Row],[Brand]],M:M)</f>
        <v>2947594</v>
      </c>
      <c r="T3057" s="13">
        <f>SUMIF(N:N,Online_eCommerce[[#This Row],[Assigned Supervisor]],L:L)</f>
        <v>12100590</v>
      </c>
    </row>
    <row r="3058" spans="1:20" x14ac:dyDescent="0.3">
      <c r="A3058" t="s">
        <v>4553</v>
      </c>
      <c r="B3058" t="s">
        <v>144</v>
      </c>
      <c r="C3058" t="s">
        <v>181</v>
      </c>
      <c r="D3058" t="s">
        <v>4536</v>
      </c>
      <c r="E3058" t="s">
        <v>46</v>
      </c>
      <c r="F3058" t="s">
        <v>174</v>
      </c>
      <c r="G3058" t="s">
        <v>60</v>
      </c>
      <c r="H3058" t="s">
        <v>61</v>
      </c>
      <c r="I3058">
        <v>1150</v>
      </c>
      <c r="J3058">
        <v>1495</v>
      </c>
      <c r="K3058">
        <v>1</v>
      </c>
      <c r="L3058">
        <v>1150</v>
      </c>
      <c r="M3058">
        <v>1495</v>
      </c>
      <c r="N3058" t="s">
        <v>56</v>
      </c>
      <c r="O3058">
        <f t="shared" si="94"/>
        <v>3315</v>
      </c>
      <c r="P3058" s="13">
        <f t="shared" si="95"/>
        <v>2577458</v>
      </c>
      <c r="Q3058" s="13">
        <f>SUMIFS(M:M,E:E,Online_eCommerce[[#This Row],[Status]])</f>
        <v>28620410</v>
      </c>
      <c r="R3058" s="13">
        <f>SUMIFS(L:L,H:H,Online_eCommerce[[#This Row],[Brand]])</f>
        <v>10950150</v>
      </c>
      <c r="S3058" s="13">
        <f>SUMIF(H:H,Online_eCommerce[[#This Row],[Brand]],M:M)</f>
        <v>14235195</v>
      </c>
      <c r="T3058" s="13">
        <f>SUMIF(N:N,Online_eCommerce[[#This Row],[Assigned Supervisor]],L:L)</f>
        <v>11733610</v>
      </c>
    </row>
    <row r="3059" spans="1:20" hidden="1" x14ac:dyDescent="0.3">
      <c r="A3059" t="s">
        <v>4554</v>
      </c>
      <c r="B3059" t="s">
        <v>149</v>
      </c>
      <c r="C3059" t="s">
        <v>185</v>
      </c>
      <c r="D3059" t="s">
        <v>4536</v>
      </c>
      <c r="E3059" t="s">
        <v>96</v>
      </c>
      <c r="F3059" t="s">
        <v>179</v>
      </c>
      <c r="G3059" t="s">
        <v>66</v>
      </c>
      <c r="H3059" t="s">
        <v>21</v>
      </c>
      <c r="I3059">
        <v>350</v>
      </c>
      <c r="J3059">
        <v>455</v>
      </c>
      <c r="K3059">
        <v>3</v>
      </c>
      <c r="L3059">
        <v>1050</v>
      </c>
      <c r="M3059">
        <v>1365</v>
      </c>
      <c r="N3059" t="s">
        <v>22</v>
      </c>
      <c r="O3059">
        <f t="shared" si="94"/>
        <v>1690</v>
      </c>
      <c r="P3059" s="13">
        <f t="shared" si="95"/>
        <v>2091596</v>
      </c>
      <c r="Q3059" s="13">
        <f>SUMIFS(M:M,E:E,Online_eCommerce[[#This Row],[Status]])</f>
        <v>21233992</v>
      </c>
      <c r="R3059" s="13">
        <f>SUMIFS(L:L,H:H,Online_eCommerce[[#This Row],[Brand]])</f>
        <v>12435650</v>
      </c>
      <c r="S3059" s="13">
        <f>SUMIF(H:H,Online_eCommerce[[#This Row],[Brand]],M:M)</f>
        <v>16166345</v>
      </c>
      <c r="T3059" s="13">
        <f>SUMIF(N:N,Online_eCommerce[[#This Row],[Assigned Supervisor]],L:L)</f>
        <v>13693220</v>
      </c>
    </row>
    <row r="3060" spans="1:20" hidden="1" x14ac:dyDescent="0.3">
      <c r="A3060" t="s">
        <v>4555</v>
      </c>
      <c r="B3060" t="s">
        <v>154</v>
      </c>
      <c r="C3060" t="s">
        <v>189</v>
      </c>
      <c r="D3060" t="s">
        <v>4536</v>
      </c>
      <c r="E3060" t="s">
        <v>18</v>
      </c>
      <c r="F3060" t="s">
        <v>183</v>
      </c>
      <c r="G3060" t="s">
        <v>71</v>
      </c>
      <c r="H3060" t="s">
        <v>61</v>
      </c>
      <c r="I3060">
        <v>9500</v>
      </c>
      <c r="J3060">
        <v>12350</v>
      </c>
      <c r="K3060">
        <v>3</v>
      </c>
      <c r="L3060">
        <v>28500</v>
      </c>
      <c r="M3060">
        <v>37050</v>
      </c>
      <c r="N3060" t="s">
        <v>28</v>
      </c>
      <c r="O3060">
        <f t="shared" si="94"/>
        <v>9750</v>
      </c>
      <c r="P3060" s="13">
        <f t="shared" si="95"/>
        <v>2740777</v>
      </c>
      <c r="Q3060" s="13">
        <f>SUMIFS(M:M,E:E,Online_eCommerce[[#This Row],[Status]])</f>
        <v>28340455</v>
      </c>
      <c r="R3060" s="13">
        <f>SUMIFS(L:L,H:H,Online_eCommerce[[#This Row],[Brand]])</f>
        <v>10950150</v>
      </c>
      <c r="S3060" s="13">
        <f>SUMIF(H:H,Online_eCommerce[[#This Row],[Brand]],M:M)</f>
        <v>14235195</v>
      </c>
      <c r="T3060" s="13">
        <f>SUMIF(N:N,Online_eCommerce[[#This Row],[Assigned Supervisor]],L:L)</f>
        <v>12220830</v>
      </c>
    </row>
    <row r="3061" spans="1:20" hidden="1" x14ac:dyDescent="0.3">
      <c r="A3061" t="s">
        <v>4556</v>
      </c>
      <c r="B3061" t="s">
        <v>159</v>
      </c>
      <c r="C3061" t="s">
        <v>193</v>
      </c>
      <c r="D3061" t="s">
        <v>4536</v>
      </c>
      <c r="E3061" t="s">
        <v>161</v>
      </c>
      <c r="F3061" t="s">
        <v>4557</v>
      </c>
      <c r="G3061" t="s">
        <v>77</v>
      </c>
      <c r="H3061" t="s">
        <v>142</v>
      </c>
      <c r="I3061">
        <v>10000</v>
      </c>
      <c r="J3061">
        <v>13000</v>
      </c>
      <c r="K3061">
        <v>1</v>
      </c>
      <c r="L3061">
        <v>10000</v>
      </c>
      <c r="M3061">
        <v>13000</v>
      </c>
      <c r="N3061" t="s">
        <v>35</v>
      </c>
      <c r="O3061">
        <f t="shared" si="94"/>
        <v>39000</v>
      </c>
      <c r="P3061" s="13">
        <f t="shared" si="95"/>
        <v>2074774</v>
      </c>
      <c r="Q3061" s="13">
        <f>SUMIFS(M:M,E:E,Online_eCommerce[[#This Row],[Status]])</f>
        <v>21103186</v>
      </c>
      <c r="R3061" s="13">
        <f>SUMIFS(L:L,H:H,Online_eCommerce[[#This Row],[Brand]])</f>
        <v>6192500</v>
      </c>
      <c r="S3061" s="13">
        <f>SUMIF(H:H,Online_eCommerce[[#This Row],[Brand]],M:M)</f>
        <v>8050250</v>
      </c>
      <c r="T3061" s="13">
        <f>SUMIF(N:N,Online_eCommerce[[#This Row],[Assigned Supervisor]],L:L)</f>
        <v>14373360</v>
      </c>
    </row>
    <row r="3062" spans="1:20" x14ac:dyDescent="0.3">
      <c r="A3062" t="s">
        <v>4558</v>
      </c>
      <c r="B3062" t="s">
        <v>139</v>
      </c>
      <c r="C3062" t="s">
        <v>197</v>
      </c>
      <c r="D3062" t="s">
        <v>4536</v>
      </c>
      <c r="E3062" t="s">
        <v>46</v>
      </c>
      <c r="F3062" t="s">
        <v>4559</v>
      </c>
      <c r="G3062" t="s">
        <v>20</v>
      </c>
      <c r="H3062" t="s">
        <v>21</v>
      </c>
      <c r="I3062">
        <v>6500</v>
      </c>
      <c r="J3062">
        <v>8450</v>
      </c>
      <c r="K3062">
        <v>2</v>
      </c>
      <c r="L3062">
        <v>13000</v>
      </c>
      <c r="M3062">
        <v>16900</v>
      </c>
      <c r="N3062" t="s">
        <v>42</v>
      </c>
      <c r="O3062">
        <f t="shared" si="94"/>
        <v>8450</v>
      </c>
      <c r="P3062" s="13">
        <f t="shared" si="95"/>
        <v>2829840</v>
      </c>
      <c r="Q3062" s="13">
        <f>SUMIFS(M:M,E:E,Online_eCommerce[[#This Row],[Status]])</f>
        <v>28620410</v>
      </c>
      <c r="R3062" s="13">
        <f>SUMIFS(L:L,H:H,Online_eCommerce[[#This Row],[Brand]])</f>
        <v>12435650</v>
      </c>
      <c r="S3062" s="13">
        <f>SUMIF(H:H,Online_eCommerce[[#This Row],[Brand]],M:M)</f>
        <v>16166345</v>
      </c>
      <c r="T3062" s="13">
        <f>SUMIF(N:N,Online_eCommerce[[#This Row],[Assigned Supervisor]],L:L)</f>
        <v>12261500</v>
      </c>
    </row>
    <row r="3063" spans="1:20" hidden="1" x14ac:dyDescent="0.3">
      <c r="A3063" t="s">
        <v>4560</v>
      </c>
      <c r="B3063" t="s">
        <v>144</v>
      </c>
      <c r="C3063" t="s">
        <v>199</v>
      </c>
      <c r="D3063" t="s">
        <v>4536</v>
      </c>
      <c r="E3063" t="s">
        <v>96</v>
      </c>
      <c r="F3063" t="s">
        <v>4561</v>
      </c>
      <c r="G3063" t="s">
        <v>26</v>
      </c>
      <c r="H3063" t="s">
        <v>27</v>
      </c>
      <c r="I3063">
        <v>8500</v>
      </c>
      <c r="J3063">
        <v>11050</v>
      </c>
      <c r="K3063">
        <v>3</v>
      </c>
      <c r="L3063">
        <v>25500</v>
      </c>
      <c r="M3063">
        <v>33150</v>
      </c>
      <c r="N3063" t="s">
        <v>50</v>
      </c>
      <c r="O3063">
        <f t="shared" si="94"/>
        <v>33150</v>
      </c>
      <c r="P3063" s="13">
        <f t="shared" si="95"/>
        <v>1947361</v>
      </c>
      <c r="Q3063" s="13">
        <f>SUMIFS(M:M,E:E,Online_eCommerce[[#This Row],[Status]])</f>
        <v>21233992</v>
      </c>
      <c r="R3063" s="13">
        <f>SUMIFS(L:L,H:H,Online_eCommerce[[#This Row],[Brand]])</f>
        <v>14431000</v>
      </c>
      <c r="S3063" s="13">
        <f>SUMIF(H:H,Online_eCommerce[[#This Row],[Brand]],M:M)</f>
        <v>18760300</v>
      </c>
      <c r="T3063" s="13">
        <f>SUMIF(N:N,Online_eCommerce[[#This Row],[Assigned Supervisor]],L:L)</f>
        <v>12100590</v>
      </c>
    </row>
    <row r="3064" spans="1:20" hidden="1" x14ac:dyDescent="0.3">
      <c r="A3064" t="s">
        <v>4562</v>
      </c>
      <c r="B3064" t="s">
        <v>235</v>
      </c>
      <c r="C3064" t="s">
        <v>203</v>
      </c>
      <c r="D3064" t="s">
        <v>4536</v>
      </c>
      <c r="E3064" t="s">
        <v>18</v>
      </c>
      <c r="F3064" t="s">
        <v>32</v>
      </c>
      <c r="G3064" t="s">
        <v>33</v>
      </c>
      <c r="H3064" t="s">
        <v>34</v>
      </c>
      <c r="I3064">
        <v>7000</v>
      </c>
      <c r="J3064">
        <v>9100</v>
      </c>
      <c r="K3064">
        <v>1</v>
      </c>
      <c r="L3064">
        <v>7000</v>
      </c>
      <c r="M3064">
        <v>9100</v>
      </c>
      <c r="N3064" t="s">
        <v>56</v>
      </c>
      <c r="O3064">
        <f t="shared" si="94"/>
        <v>18200</v>
      </c>
      <c r="P3064" s="13">
        <f t="shared" si="95"/>
        <v>2559635</v>
      </c>
      <c r="Q3064" s="13">
        <f>SUMIFS(M:M,E:E,Online_eCommerce[[#This Row],[Status]])</f>
        <v>28340455</v>
      </c>
      <c r="R3064" s="13">
        <f>SUMIFS(L:L,H:H,Online_eCommerce[[#This Row],[Brand]])</f>
        <v>10087000</v>
      </c>
      <c r="S3064" s="13">
        <f>SUMIF(H:H,Online_eCommerce[[#This Row],[Brand]],M:M)</f>
        <v>13113100</v>
      </c>
      <c r="T3064" s="13">
        <f>SUMIF(N:N,Online_eCommerce[[#This Row],[Assigned Supervisor]],L:L)</f>
        <v>11733610</v>
      </c>
    </row>
    <row r="3065" spans="1:20" hidden="1" x14ac:dyDescent="0.3">
      <c r="A3065" t="s">
        <v>4563</v>
      </c>
      <c r="B3065" t="s">
        <v>176</v>
      </c>
      <c r="C3065" t="s">
        <v>205</v>
      </c>
      <c r="D3065" t="s">
        <v>4536</v>
      </c>
      <c r="E3065" t="s">
        <v>161</v>
      </c>
      <c r="F3065" t="s">
        <v>4564</v>
      </c>
      <c r="G3065" t="s">
        <v>40</v>
      </c>
      <c r="H3065" t="s">
        <v>41</v>
      </c>
      <c r="I3065">
        <v>6550</v>
      </c>
      <c r="J3065">
        <v>8515</v>
      </c>
      <c r="K3065">
        <v>3</v>
      </c>
      <c r="L3065">
        <v>19650</v>
      </c>
      <c r="M3065">
        <v>25545</v>
      </c>
      <c r="N3065" t="s">
        <v>22</v>
      </c>
      <c r="O3065">
        <f t="shared" si="94"/>
        <v>25545</v>
      </c>
      <c r="P3065" s="13">
        <f t="shared" si="95"/>
        <v>1983254</v>
      </c>
      <c r="Q3065" s="13">
        <f>SUMIFS(M:M,E:E,Online_eCommerce[[#This Row],[Status]])</f>
        <v>21103186</v>
      </c>
      <c r="R3065" s="13">
        <f>SUMIFS(L:L,H:H,Online_eCommerce[[#This Row],[Brand]])</f>
        <v>4260400</v>
      </c>
      <c r="S3065" s="13">
        <f>SUMIF(H:H,Online_eCommerce[[#This Row],[Brand]],M:M)</f>
        <v>5538520</v>
      </c>
      <c r="T3065" s="13">
        <f>SUMIF(N:N,Online_eCommerce[[#This Row],[Assigned Supervisor]],L:L)</f>
        <v>13693220</v>
      </c>
    </row>
    <row r="3066" spans="1:20" x14ac:dyDescent="0.3">
      <c r="A3066" t="s">
        <v>4565</v>
      </c>
      <c r="B3066" t="s">
        <v>276</v>
      </c>
      <c r="C3066" t="s">
        <v>208</v>
      </c>
      <c r="D3066" t="s">
        <v>4536</v>
      </c>
      <c r="E3066" t="s">
        <v>46</v>
      </c>
      <c r="F3066" t="s">
        <v>47</v>
      </c>
      <c r="G3066" t="s">
        <v>334</v>
      </c>
      <c r="H3066" t="s">
        <v>49</v>
      </c>
      <c r="I3066">
        <v>7650</v>
      </c>
      <c r="J3066">
        <v>9945</v>
      </c>
      <c r="K3066">
        <v>3</v>
      </c>
      <c r="L3066">
        <v>22950</v>
      </c>
      <c r="M3066">
        <v>29835</v>
      </c>
      <c r="N3066" t="s">
        <v>28</v>
      </c>
      <c r="O3066">
        <f t="shared" si="94"/>
        <v>39780</v>
      </c>
      <c r="P3066" s="13">
        <f t="shared" si="95"/>
        <v>2746575</v>
      </c>
      <c r="Q3066" s="13">
        <f>SUMIFS(M:M,E:E,Online_eCommerce[[#This Row],[Status]])</f>
        <v>28620410</v>
      </c>
      <c r="R3066" s="13">
        <f>SUMIFS(L:L,H:H,Online_eCommerce[[#This Row],[Brand]])</f>
        <v>4528350</v>
      </c>
      <c r="S3066" s="13">
        <f>SUMIF(H:H,Online_eCommerce[[#This Row],[Brand]],M:M)</f>
        <v>5886855</v>
      </c>
      <c r="T3066" s="13">
        <f>SUMIF(N:N,Online_eCommerce[[#This Row],[Assigned Supervisor]],L:L)</f>
        <v>12220830</v>
      </c>
    </row>
    <row r="3067" spans="1:20" hidden="1" x14ac:dyDescent="0.3">
      <c r="A3067" t="s">
        <v>4566</v>
      </c>
      <c r="B3067" t="s">
        <v>280</v>
      </c>
      <c r="C3067" t="s">
        <v>211</v>
      </c>
      <c r="D3067" t="s">
        <v>4536</v>
      </c>
      <c r="E3067" t="s">
        <v>96</v>
      </c>
      <c r="F3067" t="s">
        <v>53</v>
      </c>
      <c r="G3067" t="s">
        <v>54</v>
      </c>
      <c r="H3067" t="s">
        <v>55</v>
      </c>
      <c r="I3067">
        <v>1150</v>
      </c>
      <c r="J3067">
        <v>1495</v>
      </c>
      <c r="K3067">
        <v>4</v>
      </c>
      <c r="L3067">
        <v>4600</v>
      </c>
      <c r="M3067">
        <v>5980</v>
      </c>
      <c r="N3067" t="s">
        <v>35</v>
      </c>
      <c r="O3067">
        <f t="shared" si="94"/>
        <v>2990</v>
      </c>
      <c r="P3067" s="13">
        <f t="shared" si="95"/>
        <v>1809847</v>
      </c>
      <c r="Q3067" s="13">
        <f>SUMIFS(M:M,E:E,Online_eCommerce[[#This Row],[Status]])</f>
        <v>21233992</v>
      </c>
      <c r="R3067" s="13">
        <f>SUMIFS(L:L,H:H,Online_eCommerce[[#This Row],[Brand]])</f>
        <v>2267380</v>
      </c>
      <c r="S3067" s="13">
        <f>SUMIF(H:H,Online_eCommerce[[#This Row],[Brand]],M:M)</f>
        <v>2947594</v>
      </c>
      <c r="T3067" s="13">
        <f>SUMIF(N:N,Online_eCommerce[[#This Row],[Assigned Supervisor]],L:L)</f>
        <v>14373360</v>
      </c>
    </row>
    <row r="3068" spans="1:20" hidden="1" x14ac:dyDescent="0.3">
      <c r="A3068" t="s">
        <v>4567</v>
      </c>
      <c r="B3068" t="s">
        <v>283</v>
      </c>
      <c r="C3068" t="s">
        <v>16</v>
      </c>
      <c r="D3068" t="s">
        <v>4536</v>
      </c>
      <c r="E3068" t="s">
        <v>18</v>
      </c>
      <c r="F3068" t="s">
        <v>59</v>
      </c>
      <c r="G3068" t="s">
        <v>60</v>
      </c>
      <c r="H3068" t="s">
        <v>61</v>
      </c>
      <c r="I3068">
        <v>850</v>
      </c>
      <c r="J3068">
        <v>1105</v>
      </c>
      <c r="K3068">
        <v>2</v>
      </c>
      <c r="L3068">
        <v>1700</v>
      </c>
      <c r="M3068">
        <v>2210</v>
      </c>
      <c r="N3068" t="s">
        <v>42</v>
      </c>
      <c r="O3068">
        <f t="shared" si="94"/>
        <v>3315</v>
      </c>
      <c r="P3068" s="13">
        <f t="shared" si="95"/>
        <v>2751814</v>
      </c>
      <c r="Q3068" s="13">
        <f>SUMIFS(M:M,E:E,Online_eCommerce[[#This Row],[Status]])</f>
        <v>28340455</v>
      </c>
      <c r="R3068" s="13">
        <f>SUMIFS(L:L,H:H,Online_eCommerce[[#This Row],[Brand]])</f>
        <v>10950150</v>
      </c>
      <c r="S3068" s="13">
        <f>SUMIF(H:H,Online_eCommerce[[#This Row],[Brand]],M:M)</f>
        <v>14235195</v>
      </c>
      <c r="T3068" s="13">
        <f>SUMIF(N:N,Online_eCommerce[[#This Row],[Assigned Supervisor]],L:L)</f>
        <v>12261500</v>
      </c>
    </row>
    <row r="3069" spans="1:20" hidden="1" x14ac:dyDescent="0.3">
      <c r="A3069" t="s">
        <v>4568</v>
      </c>
      <c r="B3069" t="s">
        <v>287</v>
      </c>
      <c r="C3069" t="s">
        <v>24</v>
      </c>
      <c r="D3069" t="s">
        <v>4536</v>
      </c>
      <c r="E3069" t="s">
        <v>161</v>
      </c>
      <c r="F3069" t="s">
        <v>65</v>
      </c>
      <c r="G3069" t="s">
        <v>66</v>
      </c>
      <c r="H3069" t="s">
        <v>21</v>
      </c>
      <c r="I3069">
        <v>650</v>
      </c>
      <c r="J3069">
        <v>845</v>
      </c>
      <c r="K3069">
        <v>2</v>
      </c>
      <c r="L3069">
        <v>1300</v>
      </c>
      <c r="M3069">
        <v>1690</v>
      </c>
      <c r="N3069" t="s">
        <v>50</v>
      </c>
      <c r="O3069">
        <f t="shared" si="94"/>
        <v>1690</v>
      </c>
      <c r="P3069" s="13">
        <f t="shared" si="95"/>
        <v>2009540</v>
      </c>
      <c r="Q3069" s="13">
        <f>SUMIFS(M:M,E:E,Online_eCommerce[[#This Row],[Status]])</f>
        <v>21103186</v>
      </c>
      <c r="R3069" s="13">
        <f>SUMIFS(L:L,H:H,Online_eCommerce[[#This Row],[Brand]])</f>
        <v>12435650</v>
      </c>
      <c r="S3069" s="13">
        <f>SUMIF(H:H,Online_eCommerce[[#This Row],[Brand]],M:M)</f>
        <v>16166345</v>
      </c>
      <c r="T3069" s="13">
        <f>SUMIF(N:N,Online_eCommerce[[#This Row],[Assigned Supervisor]],L:L)</f>
        <v>12100590</v>
      </c>
    </row>
    <row r="3070" spans="1:20" x14ac:dyDescent="0.3">
      <c r="A3070" t="s">
        <v>4569</v>
      </c>
      <c r="B3070" t="s">
        <v>290</v>
      </c>
      <c r="C3070" t="s">
        <v>31</v>
      </c>
      <c r="D3070" t="s">
        <v>4536</v>
      </c>
      <c r="E3070" t="s">
        <v>46</v>
      </c>
      <c r="F3070" t="s">
        <v>70</v>
      </c>
      <c r="G3070" t="s">
        <v>71</v>
      </c>
      <c r="H3070" t="s">
        <v>61</v>
      </c>
      <c r="I3070">
        <v>7500</v>
      </c>
      <c r="J3070">
        <v>9750</v>
      </c>
      <c r="K3070">
        <v>2</v>
      </c>
      <c r="L3070">
        <v>15000</v>
      </c>
      <c r="M3070">
        <v>19500</v>
      </c>
      <c r="N3070" t="s">
        <v>56</v>
      </c>
      <c r="O3070">
        <f t="shared" si="94"/>
        <v>9750</v>
      </c>
      <c r="P3070" s="13">
        <f t="shared" si="95"/>
        <v>2865746</v>
      </c>
      <c r="Q3070" s="13">
        <f>SUMIFS(M:M,E:E,Online_eCommerce[[#This Row],[Status]])</f>
        <v>28620410</v>
      </c>
      <c r="R3070" s="13">
        <f>SUMIFS(L:L,H:H,Online_eCommerce[[#This Row],[Brand]])</f>
        <v>10950150</v>
      </c>
      <c r="S3070" s="13">
        <f>SUMIF(H:H,Online_eCommerce[[#This Row],[Brand]],M:M)</f>
        <v>14235195</v>
      </c>
      <c r="T3070" s="13">
        <f>SUMIF(N:N,Online_eCommerce[[#This Row],[Assigned Supervisor]],L:L)</f>
        <v>11733610</v>
      </c>
    </row>
    <row r="3071" spans="1:20" hidden="1" x14ac:dyDescent="0.3">
      <c r="A3071" t="s">
        <v>4570</v>
      </c>
      <c r="B3071" t="s">
        <v>15</v>
      </c>
      <c r="C3071" t="s">
        <v>38</v>
      </c>
      <c r="D3071" t="s">
        <v>4536</v>
      </c>
      <c r="E3071" t="s">
        <v>96</v>
      </c>
      <c r="F3071" t="s">
        <v>4557</v>
      </c>
      <c r="G3071" t="s">
        <v>77</v>
      </c>
      <c r="H3071" t="s">
        <v>78</v>
      </c>
      <c r="I3071">
        <v>10000</v>
      </c>
      <c r="J3071">
        <v>13000</v>
      </c>
      <c r="K3071">
        <v>1</v>
      </c>
      <c r="L3071">
        <v>10000</v>
      </c>
      <c r="M3071">
        <v>13000</v>
      </c>
      <c r="N3071" t="s">
        <v>22</v>
      </c>
      <c r="O3071">
        <f t="shared" si="94"/>
        <v>39000</v>
      </c>
      <c r="P3071" s="13">
        <f t="shared" si="95"/>
        <v>1933997</v>
      </c>
      <c r="Q3071" s="13">
        <f>SUMIFS(M:M,E:E,Online_eCommerce[[#This Row],[Status]])</f>
        <v>21233992</v>
      </c>
      <c r="R3071" s="13">
        <f>SUMIFS(L:L,H:H,Online_eCommerce[[#This Row],[Brand]])</f>
        <v>3720000</v>
      </c>
      <c r="S3071" s="13">
        <f>SUMIF(H:H,Online_eCommerce[[#This Row],[Brand]],M:M)</f>
        <v>4836000</v>
      </c>
      <c r="T3071" s="13">
        <f>SUMIF(N:N,Online_eCommerce[[#This Row],[Assigned Supervisor]],L:L)</f>
        <v>13693220</v>
      </c>
    </row>
    <row r="3072" spans="1:20" hidden="1" x14ac:dyDescent="0.3">
      <c r="A3072" t="s">
        <v>4571</v>
      </c>
      <c r="B3072" t="s">
        <v>202</v>
      </c>
      <c r="C3072" t="s">
        <v>45</v>
      </c>
      <c r="D3072" t="s">
        <v>4536</v>
      </c>
      <c r="E3072" t="s">
        <v>18</v>
      </c>
      <c r="F3072" t="s">
        <v>4572</v>
      </c>
      <c r="G3072" t="s">
        <v>20</v>
      </c>
      <c r="H3072" t="s">
        <v>21</v>
      </c>
      <c r="I3072">
        <v>10500</v>
      </c>
      <c r="J3072">
        <v>13650</v>
      </c>
      <c r="K3072">
        <v>1</v>
      </c>
      <c r="L3072">
        <v>10500</v>
      </c>
      <c r="M3072">
        <v>13650</v>
      </c>
      <c r="N3072" t="s">
        <v>28</v>
      </c>
      <c r="O3072">
        <f t="shared" si="94"/>
        <v>8450</v>
      </c>
      <c r="P3072" s="13">
        <f t="shared" si="95"/>
        <v>2842554</v>
      </c>
      <c r="Q3072" s="13">
        <f>SUMIFS(M:M,E:E,Online_eCommerce[[#This Row],[Status]])</f>
        <v>28340455</v>
      </c>
      <c r="R3072" s="13">
        <f>SUMIFS(L:L,H:H,Online_eCommerce[[#This Row],[Brand]])</f>
        <v>12435650</v>
      </c>
      <c r="S3072" s="13">
        <f>SUMIF(H:H,Online_eCommerce[[#This Row],[Brand]],M:M)</f>
        <v>16166345</v>
      </c>
      <c r="T3072" s="13">
        <f>SUMIF(N:N,Online_eCommerce[[#This Row],[Assigned Supervisor]],L:L)</f>
        <v>12220830</v>
      </c>
    </row>
    <row r="3073" spans="1:20" hidden="1" x14ac:dyDescent="0.3">
      <c r="A3073" t="s">
        <v>4573</v>
      </c>
      <c r="B3073" t="s">
        <v>30</v>
      </c>
      <c r="C3073" t="s">
        <v>52</v>
      </c>
      <c r="D3073" t="s">
        <v>4536</v>
      </c>
      <c r="E3073" t="s">
        <v>161</v>
      </c>
      <c r="F3073" t="s">
        <v>88</v>
      </c>
      <c r="G3073" t="s">
        <v>26</v>
      </c>
      <c r="H3073" t="s">
        <v>27</v>
      </c>
      <c r="I3073">
        <v>8500</v>
      </c>
      <c r="J3073">
        <v>11050</v>
      </c>
      <c r="K3073">
        <v>2</v>
      </c>
      <c r="L3073">
        <v>17000</v>
      </c>
      <c r="M3073">
        <v>22100</v>
      </c>
      <c r="N3073" t="s">
        <v>35</v>
      </c>
      <c r="O3073">
        <f t="shared" si="94"/>
        <v>33150</v>
      </c>
      <c r="P3073" s="13">
        <f t="shared" si="95"/>
        <v>1955044</v>
      </c>
      <c r="Q3073" s="13">
        <f>SUMIFS(M:M,E:E,Online_eCommerce[[#This Row],[Status]])</f>
        <v>21103186</v>
      </c>
      <c r="R3073" s="13">
        <f>SUMIFS(L:L,H:H,Online_eCommerce[[#This Row],[Brand]])</f>
        <v>14431000</v>
      </c>
      <c r="S3073" s="13">
        <f>SUMIF(H:H,Online_eCommerce[[#This Row],[Brand]],M:M)</f>
        <v>18760300</v>
      </c>
      <c r="T3073" s="13">
        <f>SUMIF(N:N,Online_eCommerce[[#This Row],[Assigned Supervisor]],L:L)</f>
        <v>14373360</v>
      </c>
    </row>
    <row r="3074" spans="1:20" x14ac:dyDescent="0.3">
      <c r="A3074" t="s">
        <v>4574</v>
      </c>
      <c r="B3074" t="s">
        <v>37</v>
      </c>
      <c r="C3074" t="s">
        <v>58</v>
      </c>
      <c r="D3074" t="s">
        <v>4536</v>
      </c>
      <c r="E3074" t="s">
        <v>46</v>
      </c>
      <c r="F3074" t="s">
        <v>32</v>
      </c>
      <c r="G3074" t="s">
        <v>33</v>
      </c>
      <c r="H3074" t="s">
        <v>34</v>
      </c>
      <c r="I3074">
        <v>7000</v>
      </c>
      <c r="J3074">
        <v>9100</v>
      </c>
      <c r="K3074">
        <v>4</v>
      </c>
      <c r="L3074">
        <v>28000</v>
      </c>
      <c r="M3074">
        <v>36400</v>
      </c>
      <c r="N3074" t="s">
        <v>42</v>
      </c>
      <c r="O3074">
        <f t="shared" ref="O3074:O3137" si="96">VLOOKUP(G3074,G:M,7,FALSE)</f>
        <v>18200</v>
      </c>
      <c r="P3074" s="13">
        <f t="shared" ref="P3074:P3137" si="97">SUMIFS(M:M,C:C,C3074)</f>
        <v>2629211</v>
      </c>
      <c r="Q3074" s="13">
        <f>SUMIFS(M:M,E:E,Online_eCommerce[[#This Row],[Status]])</f>
        <v>28620410</v>
      </c>
      <c r="R3074" s="13">
        <f>SUMIFS(L:L,H:H,Online_eCommerce[[#This Row],[Brand]])</f>
        <v>10087000</v>
      </c>
      <c r="S3074" s="13">
        <f>SUMIF(H:H,Online_eCommerce[[#This Row],[Brand]],M:M)</f>
        <v>13113100</v>
      </c>
      <c r="T3074" s="13">
        <f>SUMIF(N:N,Online_eCommerce[[#This Row],[Assigned Supervisor]],L:L)</f>
        <v>12261500</v>
      </c>
    </row>
    <row r="3075" spans="1:20" hidden="1" x14ac:dyDescent="0.3">
      <c r="A3075" t="s">
        <v>4575</v>
      </c>
      <c r="B3075" t="s">
        <v>44</v>
      </c>
      <c r="C3075" t="s">
        <v>63</v>
      </c>
      <c r="D3075" t="s">
        <v>4536</v>
      </c>
      <c r="E3075" t="s">
        <v>96</v>
      </c>
      <c r="F3075" t="s">
        <v>4576</v>
      </c>
      <c r="G3075" t="s">
        <v>40</v>
      </c>
      <c r="H3075" t="s">
        <v>41</v>
      </c>
      <c r="I3075">
        <v>1680</v>
      </c>
      <c r="J3075">
        <v>2184</v>
      </c>
      <c r="K3075">
        <v>4</v>
      </c>
      <c r="L3075">
        <v>6720</v>
      </c>
      <c r="M3075">
        <v>8736</v>
      </c>
      <c r="N3075" t="s">
        <v>50</v>
      </c>
      <c r="O3075">
        <f t="shared" si="96"/>
        <v>25545</v>
      </c>
      <c r="P3075" s="13">
        <f t="shared" si="97"/>
        <v>2016131</v>
      </c>
      <c r="Q3075" s="13">
        <f>SUMIFS(M:M,E:E,Online_eCommerce[[#This Row],[Status]])</f>
        <v>21233992</v>
      </c>
      <c r="R3075" s="13">
        <f>SUMIFS(L:L,H:H,Online_eCommerce[[#This Row],[Brand]])</f>
        <v>4260400</v>
      </c>
      <c r="S3075" s="13">
        <f>SUMIF(H:H,Online_eCommerce[[#This Row],[Brand]],M:M)</f>
        <v>5538520</v>
      </c>
      <c r="T3075" s="13">
        <f>SUMIF(N:N,Online_eCommerce[[#This Row],[Assigned Supervisor]],L:L)</f>
        <v>12100590</v>
      </c>
    </row>
    <row r="3076" spans="1:20" hidden="1" x14ac:dyDescent="0.3">
      <c r="A3076" t="s">
        <v>4577</v>
      </c>
      <c r="B3076" t="s">
        <v>213</v>
      </c>
      <c r="C3076" t="s">
        <v>68</v>
      </c>
      <c r="D3076" t="s">
        <v>4536</v>
      </c>
      <c r="E3076" t="s">
        <v>18</v>
      </c>
      <c r="F3076" t="s">
        <v>101</v>
      </c>
      <c r="G3076" t="s">
        <v>334</v>
      </c>
      <c r="H3076" t="s">
        <v>102</v>
      </c>
      <c r="I3076">
        <v>6540</v>
      </c>
      <c r="J3076">
        <v>8502</v>
      </c>
      <c r="K3076">
        <v>3</v>
      </c>
      <c r="L3076">
        <v>19620</v>
      </c>
      <c r="M3076">
        <v>25506</v>
      </c>
      <c r="N3076" t="s">
        <v>56</v>
      </c>
      <c r="O3076">
        <f t="shared" si="96"/>
        <v>39780</v>
      </c>
      <c r="P3076" s="13">
        <f t="shared" si="97"/>
        <v>2974621</v>
      </c>
      <c r="Q3076" s="13">
        <f>SUMIFS(M:M,E:E,Online_eCommerce[[#This Row],[Status]])</f>
        <v>28340455</v>
      </c>
      <c r="R3076" s="13">
        <f>SUMIFS(L:L,H:H,Online_eCommerce[[#This Row],[Brand]])</f>
        <v>2465580</v>
      </c>
      <c r="S3076" s="13">
        <f>SUMIF(H:H,Online_eCommerce[[#This Row],[Brand]],M:M)</f>
        <v>3205254</v>
      </c>
      <c r="T3076" s="13">
        <f>SUMIF(N:N,Online_eCommerce[[#This Row],[Assigned Supervisor]],L:L)</f>
        <v>11733610</v>
      </c>
    </row>
    <row r="3077" spans="1:20" hidden="1" x14ac:dyDescent="0.3">
      <c r="A3077" t="s">
        <v>4578</v>
      </c>
      <c r="B3077" t="s">
        <v>215</v>
      </c>
      <c r="C3077" t="s">
        <v>74</v>
      </c>
      <c r="D3077" t="s">
        <v>4536</v>
      </c>
      <c r="E3077" t="s">
        <v>161</v>
      </c>
      <c r="F3077" t="s">
        <v>107</v>
      </c>
      <c r="G3077" t="s">
        <v>54</v>
      </c>
      <c r="H3077" t="s">
        <v>55</v>
      </c>
      <c r="I3077">
        <v>2680</v>
      </c>
      <c r="J3077">
        <v>3484</v>
      </c>
      <c r="K3077">
        <v>4</v>
      </c>
      <c r="L3077">
        <v>10720</v>
      </c>
      <c r="M3077">
        <v>13936</v>
      </c>
      <c r="N3077" t="s">
        <v>22</v>
      </c>
      <c r="O3077">
        <f t="shared" si="96"/>
        <v>2990</v>
      </c>
      <c r="P3077" s="13">
        <f t="shared" si="97"/>
        <v>2144701</v>
      </c>
      <c r="Q3077" s="13">
        <f>SUMIFS(M:M,E:E,Online_eCommerce[[#This Row],[Status]])</f>
        <v>21103186</v>
      </c>
      <c r="R3077" s="13">
        <f>SUMIFS(L:L,H:H,Online_eCommerce[[#This Row],[Brand]])</f>
        <v>2267380</v>
      </c>
      <c r="S3077" s="13">
        <f>SUMIF(H:H,Online_eCommerce[[#This Row],[Brand]],M:M)</f>
        <v>2947594</v>
      </c>
      <c r="T3077" s="13">
        <f>SUMIF(N:N,Online_eCommerce[[#This Row],[Assigned Supervisor]],L:L)</f>
        <v>13693220</v>
      </c>
    </row>
    <row r="3078" spans="1:20" x14ac:dyDescent="0.3">
      <c r="A3078" t="s">
        <v>4579</v>
      </c>
      <c r="B3078" t="s">
        <v>306</v>
      </c>
      <c r="C3078" t="s">
        <v>81</v>
      </c>
      <c r="D3078" t="s">
        <v>4536</v>
      </c>
      <c r="E3078" t="s">
        <v>46</v>
      </c>
      <c r="F3078" t="s">
        <v>112</v>
      </c>
      <c r="G3078" t="s">
        <v>71</v>
      </c>
      <c r="H3078" t="s">
        <v>21</v>
      </c>
      <c r="I3078">
        <v>8250</v>
      </c>
      <c r="J3078">
        <v>10725</v>
      </c>
      <c r="K3078">
        <v>2</v>
      </c>
      <c r="L3078">
        <v>16500</v>
      </c>
      <c r="M3078">
        <v>21450</v>
      </c>
      <c r="N3078" t="s">
        <v>28</v>
      </c>
      <c r="O3078">
        <f t="shared" si="96"/>
        <v>9750</v>
      </c>
      <c r="P3078" s="13">
        <f t="shared" si="97"/>
        <v>2595632</v>
      </c>
      <c r="Q3078" s="13">
        <f>SUMIFS(M:M,E:E,Online_eCommerce[[#This Row],[Status]])</f>
        <v>28620410</v>
      </c>
      <c r="R3078" s="13">
        <f>SUMIFS(L:L,H:H,Online_eCommerce[[#This Row],[Brand]])</f>
        <v>12435650</v>
      </c>
      <c r="S3078" s="13">
        <f>SUMIF(H:H,Online_eCommerce[[#This Row],[Brand]],M:M)</f>
        <v>16166345</v>
      </c>
      <c r="T3078" s="13">
        <f>SUMIF(N:N,Online_eCommerce[[#This Row],[Assigned Supervisor]],L:L)</f>
        <v>12220830</v>
      </c>
    </row>
    <row r="3079" spans="1:20" hidden="1" x14ac:dyDescent="0.3">
      <c r="A3079" t="s">
        <v>4580</v>
      </c>
      <c r="B3079" t="s">
        <v>528</v>
      </c>
      <c r="C3079" t="s">
        <v>86</v>
      </c>
      <c r="D3079" t="s">
        <v>4536</v>
      </c>
      <c r="E3079" t="s">
        <v>96</v>
      </c>
      <c r="F3079" t="s">
        <v>4122</v>
      </c>
      <c r="G3079" t="s">
        <v>40</v>
      </c>
      <c r="H3079" t="s">
        <v>21</v>
      </c>
      <c r="I3079">
        <v>2650</v>
      </c>
      <c r="J3079">
        <v>3445</v>
      </c>
      <c r="K3079">
        <v>3</v>
      </c>
      <c r="L3079">
        <v>7950</v>
      </c>
      <c r="M3079">
        <v>10335</v>
      </c>
      <c r="N3079" t="s">
        <v>35</v>
      </c>
      <c r="O3079">
        <f t="shared" si="96"/>
        <v>25545</v>
      </c>
      <c r="P3079" s="13">
        <f t="shared" si="97"/>
        <v>1941225</v>
      </c>
      <c r="Q3079" s="13">
        <f>SUMIFS(M:M,E:E,Online_eCommerce[[#This Row],[Status]])</f>
        <v>21233992</v>
      </c>
      <c r="R3079" s="13">
        <f>SUMIFS(L:L,H:H,Online_eCommerce[[#This Row],[Brand]])</f>
        <v>12435650</v>
      </c>
      <c r="S3079" s="13">
        <f>SUMIF(H:H,Online_eCommerce[[#This Row],[Brand]],M:M)</f>
        <v>16166345</v>
      </c>
      <c r="T3079" s="13">
        <f>SUMIF(N:N,Online_eCommerce[[#This Row],[Assigned Supervisor]],L:L)</f>
        <v>14373360</v>
      </c>
    </row>
    <row r="3080" spans="1:20" hidden="1" x14ac:dyDescent="0.3">
      <c r="A3080" t="s">
        <v>4581</v>
      </c>
      <c r="B3080" t="s">
        <v>73</v>
      </c>
      <c r="C3080" t="s">
        <v>91</v>
      </c>
      <c r="D3080" t="s">
        <v>4536</v>
      </c>
      <c r="E3080" t="s">
        <v>18</v>
      </c>
      <c r="F3080" t="s">
        <v>121</v>
      </c>
      <c r="G3080" t="s">
        <v>71</v>
      </c>
      <c r="H3080" t="s">
        <v>122</v>
      </c>
      <c r="I3080">
        <v>12550</v>
      </c>
      <c r="J3080">
        <v>16315</v>
      </c>
      <c r="K3080">
        <v>4</v>
      </c>
      <c r="L3080">
        <v>50200</v>
      </c>
      <c r="M3080">
        <v>65260</v>
      </c>
      <c r="N3080" t="s">
        <v>42</v>
      </c>
      <c r="O3080">
        <f t="shared" si="96"/>
        <v>9750</v>
      </c>
      <c r="P3080" s="13">
        <f t="shared" si="97"/>
        <v>2731963</v>
      </c>
      <c r="Q3080" s="13">
        <f>SUMIFS(M:M,E:E,Online_eCommerce[[#This Row],[Status]])</f>
        <v>28340455</v>
      </c>
      <c r="R3080" s="13">
        <f>SUMIFS(L:L,H:H,Online_eCommerce[[#This Row],[Brand]])</f>
        <v>5045100</v>
      </c>
      <c r="S3080" s="13">
        <f>SUMIF(H:H,Online_eCommerce[[#This Row],[Brand]],M:M)</f>
        <v>6558630</v>
      </c>
      <c r="T3080" s="13">
        <f>SUMIF(N:N,Online_eCommerce[[#This Row],[Assigned Supervisor]],L:L)</f>
        <v>12261500</v>
      </c>
    </row>
    <row r="3081" spans="1:20" hidden="1" x14ac:dyDescent="0.3">
      <c r="A3081" t="s">
        <v>4582</v>
      </c>
      <c r="B3081" t="s">
        <v>80</v>
      </c>
      <c r="C3081" t="s">
        <v>94</v>
      </c>
      <c r="D3081" t="s">
        <v>4536</v>
      </c>
      <c r="E3081" t="s">
        <v>161</v>
      </c>
      <c r="F3081" t="s">
        <v>126</v>
      </c>
      <c r="G3081" t="s">
        <v>26</v>
      </c>
      <c r="H3081" t="s">
        <v>27</v>
      </c>
      <c r="I3081">
        <v>14500</v>
      </c>
      <c r="J3081">
        <v>18850</v>
      </c>
      <c r="K3081">
        <v>1</v>
      </c>
      <c r="L3081">
        <v>14500</v>
      </c>
      <c r="M3081">
        <v>18850</v>
      </c>
      <c r="N3081" t="s">
        <v>50</v>
      </c>
      <c r="O3081">
        <f t="shared" si="96"/>
        <v>33150</v>
      </c>
      <c r="P3081" s="13">
        <f t="shared" si="97"/>
        <v>1868256</v>
      </c>
      <c r="Q3081" s="13">
        <f>SUMIFS(M:M,E:E,Online_eCommerce[[#This Row],[Status]])</f>
        <v>21103186</v>
      </c>
      <c r="R3081" s="13">
        <f>SUMIFS(L:L,H:H,Online_eCommerce[[#This Row],[Brand]])</f>
        <v>14431000</v>
      </c>
      <c r="S3081" s="13">
        <f>SUMIF(H:H,Online_eCommerce[[#This Row],[Brand]],M:M)</f>
        <v>18760300</v>
      </c>
      <c r="T3081" s="13">
        <f>SUMIF(N:N,Online_eCommerce[[#This Row],[Assigned Supervisor]],L:L)</f>
        <v>12100590</v>
      </c>
    </row>
    <row r="3082" spans="1:20" x14ac:dyDescent="0.3">
      <c r="A3082" t="s">
        <v>4583</v>
      </c>
      <c r="B3082" t="s">
        <v>85</v>
      </c>
      <c r="C3082" t="s">
        <v>99</v>
      </c>
      <c r="D3082" t="s">
        <v>4536</v>
      </c>
      <c r="E3082" t="s">
        <v>46</v>
      </c>
      <c r="F3082" t="s">
        <v>129</v>
      </c>
      <c r="G3082" t="s">
        <v>60</v>
      </c>
      <c r="H3082" t="s">
        <v>61</v>
      </c>
      <c r="I3082">
        <v>800</v>
      </c>
      <c r="J3082">
        <v>1040</v>
      </c>
      <c r="K3082">
        <v>3</v>
      </c>
      <c r="L3082">
        <v>2400</v>
      </c>
      <c r="M3082">
        <v>3120</v>
      </c>
      <c r="N3082" t="s">
        <v>56</v>
      </c>
      <c r="O3082">
        <f t="shared" si="96"/>
        <v>3315</v>
      </c>
      <c r="P3082" s="13">
        <f t="shared" si="97"/>
        <v>2651233</v>
      </c>
      <c r="Q3082" s="13">
        <f>SUMIFS(M:M,E:E,Online_eCommerce[[#This Row],[Status]])</f>
        <v>28620410</v>
      </c>
      <c r="R3082" s="13">
        <f>SUMIFS(L:L,H:H,Online_eCommerce[[#This Row],[Brand]])</f>
        <v>10950150</v>
      </c>
      <c r="S3082" s="13">
        <f>SUMIF(H:H,Online_eCommerce[[#This Row],[Brand]],M:M)</f>
        <v>14235195</v>
      </c>
      <c r="T3082" s="13">
        <f>SUMIF(N:N,Online_eCommerce[[#This Row],[Assigned Supervisor]],L:L)</f>
        <v>11733610</v>
      </c>
    </row>
    <row r="3083" spans="1:20" hidden="1" x14ac:dyDescent="0.3">
      <c r="A3083" t="s">
        <v>4584</v>
      </c>
      <c r="B3083" t="s">
        <v>90</v>
      </c>
      <c r="C3083" t="s">
        <v>105</v>
      </c>
      <c r="D3083" t="s">
        <v>4585</v>
      </c>
      <c r="E3083" t="s">
        <v>96</v>
      </c>
      <c r="F3083" t="s">
        <v>133</v>
      </c>
      <c r="G3083" t="s">
        <v>66</v>
      </c>
      <c r="H3083" t="s">
        <v>21</v>
      </c>
      <c r="I3083">
        <v>600</v>
      </c>
      <c r="J3083">
        <v>780</v>
      </c>
      <c r="K3083">
        <v>2</v>
      </c>
      <c r="L3083">
        <v>1200</v>
      </c>
      <c r="M3083">
        <v>1560</v>
      </c>
      <c r="N3083" t="s">
        <v>22</v>
      </c>
      <c r="O3083">
        <f t="shared" si="96"/>
        <v>1690</v>
      </c>
      <c r="P3083" s="13">
        <f t="shared" si="97"/>
        <v>1866852</v>
      </c>
      <c r="Q3083" s="13">
        <f>SUMIFS(M:M,E:E,Online_eCommerce[[#This Row],[Status]])</f>
        <v>21233992</v>
      </c>
      <c r="R3083" s="13">
        <f>SUMIFS(L:L,H:H,Online_eCommerce[[#This Row],[Brand]])</f>
        <v>12435650</v>
      </c>
      <c r="S3083" s="13">
        <f>SUMIF(H:H,Online_eCommerce[[#This Row],[Brand]],M:M)</f>
        <v>16166345</v>
      </c>
      <c r="T3083" s="13">
        <f>SUMIF(N:N,Online_eCommerce[[#This Row],[Assigned Supervisor]],L:L)</f>
        <v>13693220</v>
      </c>
    </row>
    <row r="3084" spans="1:20" hidden="1" x14ac:dyDescent="0.3">
      <c r="A3084" t="s">
        <v>4586</v>
      </c>
      <c r="B3084" t="s">
        <v>232</v>
      </c>
      <c r="C3084" t="s">
        <v>110</v>
      </c>
      <c r="D3084" t="s">
        <v>4587</v>
      </c>
      <c r="E3084" t="s">
        <v>18</v>
      </c>
      <c r="F3084" t="s">
        <v>137</v>
      </c>
      <c r="G3084" t="s">
        <v>71</v>
      </c>
      <c r="H3084" t="s">
        <v>61</v>
      </c>
      <c r="I3084">
        <v>10500</v>
      </c>
      <c r="J3084">
        <v>13650</v>
      </c>
      <c r="K3084">
        <v>2</v>
      </c>
      <c r="L3084">
        <v>21000</v>
      </c>
      <c r="M3084">
        <v>27300</v>
      </c>
      <c r="N3084" t="s">
        <v>28</v>
      </c>
      <c r="O3084">
        <f t="shared" si="96"/>
        <v>9750</v>
      </c>
      <c r="P3084" s="13">
        <f t="shared" si="97"/>
        <v>2598635</v>
      </c>
      <c r="Q3084" s="13">
        <f>SUMIFS(M:M,E:E,Online_eCommerce[[#This Row],[Status]])</f>
        <v>28340455</v>
      </c>
      <c r="R3084" s="13">
        <f>SUMIFS(L:L,H:H,Online_eCommerce[[#This Row],[Brand]])</f>
        <v>10950150</v>
      </c>
      <c r="S3084" s="13">
        <f>SUMIF(H:H,Online_eCommerce[[#This Row],[Brand]],M:M)</f>
        <v>14235195</v>
      </c>
      <c r="T3084" s="13">
        <f>SUMIF(N:N,Online_eCommerce[[#This Row],[Assigned Supervisor]],L:L)</f>
        <v>12220830</v>
      </c>
    </row>
    <row r="3085" spans="1:20" hidden="1" x14ac:dyDescent="0.3">
      <c r="A3085" t="s">
        <v>4588</v>
      </c>
      <c r="B3085" t="s">
        <v>235</v>
      </c>
      <c r="C3085" t="s">
        <v>115</v>
      </c>
      <c r="D3085" t="s">
        <v>4589</v>
      </c>
      <c r="E3085" t="s">
        <v>161</v>
      </c>
      <c r="F3085" t="s">
        <v>4557</v>
      </c>
      <c r="G3085" t="s">
        <v>77</v>
      </c>
      <c r="H3085" t="s">
        <v>142</v>
      </c>
      <c r="I3085">
        <v>6500</v>
      </c>
      <c r="J3085">
        <v>8450</v>
      </c>
      <c r="K3085">
        <v>2</v>
      </c>
      <c r="L3085">
        <v>13000</v>
      </c>
      <c r="M3085">
        <v>16900</v>
      </c>
      <c r="N3085" t="s">
        <v>35</v>
      </c>
      <c r="O3085">
        <f t="shared" si="96"/>
        <v>39000</v>
      </c>
      <c r="P3085" s="13">
        <f t="shared" si="97"/>
        <v>2050178</v>
      </c>
      <c r="Q3085" s="13">
        <f>SUMIFS(M:M,E:E,Online_eCommerce[[#This Row],[Status]])</f>
        <v>21103186</v>
      </c>
      <c r="R3085" s="13">
        <f>SUMIFS(L:L,H:H,Online_eCommerce[[#This Row],[Brand]])</f>
        <v>6192500</v>
      </c>
      <c r="S3085" s="13">
        <f>SUMIF(H:H,Online_eCommerce[[#This Row],[Brand]],M:M)</f>
        <v>8050250</v>
      </c>
      <c r="T3085" s="13">
        <f>SUMIF(N:N,Online_eCommerce[[#This Row],[Assigned Supervisor]],L:L)</f>
        <v>14373360</v>
      </c>
    </row>
    <row r="3086" spans="1:20" x14ac:dyDescent="0.3">
      <c r="A3086" t="s">
        <v>4590</v>
      </c>
      <c r="B3086" t="s">
        <v>104</v>
      </c>
      <c r="C3086" t="s">
        <v>120</v>
      </c>
      <c r="D3086" t="s">
        <v>4591</v>
      </c>
      <c r="E3086" t="s">
        <v>46</v>
      </c>
      <c r="F3086" t="s">
        <v>4592</v>
      </c>
      <c r="G3086" t="s">
        <v>20</v>
      </c>
      <c r="H3086" t="s">
        <v>21</v>
      </c>
      <c r="I3086">
        <v>4500</v>
      </c>
      <c r="J3086">
        <v>5850</v>
      </c>
      <c r="K3086">
        <v>1</v>
      </c>
      <c r="L3086">
        <v>4500</v>
      </c>
      <c r="M3086">
        <v>5850</v>
      </c>
      <c r="N3086" t="s">
        <v>42</v>
      </c>
      <c r="O3086">
        <f t="shared" si="96"/>
        <v>8450</v>
      </c>
      <c r="P3086" s="13">
        <f t="shared" si="97"/>
        <v>2734212</v>
      </c>
      <c r="Q3086" s="13">
        <f>SUMIFS(M:M,E:E,Online_eCommerce[[#This Row],[Status]])</f>
        <v>28620410</v>
      </c>
      <c r="R3086" s="13">
        <f>SUMIFS(L:L,H:H,Online_eCommerce[[#This Row],[Brand]])</f>
        <v>12435650</v>
      </c>
      <c r="S3086" s="13">
        <f>SUMIF(H:H,Online_eCommerce[[#This Row],[Brand]],M:M)</f>
        <v>16166345</v>
      </c>
      <c r="T3086" s="13">
        <f>SUMIF(N:N,Online_eCommerce[[#This Row],[Assigned Supervisor]],L:L)</f>
        <v>12261500</v>
      </c>
    </row>
    <row r="3087" spans="1:20" hidden="1" x14ac:dyDescent="0.3">
      <c r="A3087" t="s">
        <v>4593</v>
      </c>
      <c r="B3087" t="s">
        <v>109</v>
      </c>
      <c r="C3087" t="s">
        <v>125</v>
      </c>
      <c r="D3087" t="s">
        <v>4594</v>
      </c>
      <c r="E3087" t="s">
        <v>96</v>
      </c>
      <c r="F3087" t="s">
        <v>152</v>
      </c>
      <c r="G3087" t="s">
        <v>26</v>
      </c>
      <c r="H3087" t="s">
        <v>27</v>
      </c>
      <c r="I3087">
        <v>8500</v>
      </c>
      <c r="J3087">
        <v>11050</v>
      </c>
      <c r="K3087">
        <v>2</v>
      </c>
      <c r="L3087">
        <v>17000</v>
      </c>
      <c r="M3087">
        <v>22100</v>
      </c>
      <c r="N3087" t="s">
        <v>50</v>
      </c>
      <c r="O3087">
        <f t="shared" si="96"/>
        <v>33150</v>
      </c>
      <c r="P3087" s="13">
        <f t="shared" si="97"/>
        <v>2091154</v>
      </c>
      <c r="Q3087" s="13">
        <f>SUMIFS(M:M,E:E,Online_eCommerce[[#This Row],[Status]])</f>
        <v>21233992</v>
      </c>
      <c r="R3087" s="13">
        <f>SUMIFS(L:L,H:H,Online_eCommerce[[#This Row],[Brand]])</f>
        <v>14431000</v>
      </c>
      <c r="S3087" s="13">
        <f>SUMIF(H:H,Online_eCommerce[[#This Row],[Brand]],M:M)</f>
        <v>18760300</v>
      </c>
      <c r="T3087" s="13">
        <f>SUMIF(N:N,Online_eCommerce[[#This Row],[Assigned Supervisor]],L:L)</f>
        <v>12100590</v>
      </c>
    </row>
    <row r="3088" spans="1:20" hidden="1" x14ac:dyDescent="0.3">
      <c r="A3088" t="s">
        <v>4595</v>
      </c>
      <c r="B3088" t="s">
        <v>114</v>
      </c>
      <c r="C3088" t="s">
        <v>22</v>
      </c>
      <c r="D3088" t="s">
        <v>4596</v>
      </c>
      <c r="E3088" t="s">
        <v>18</v>
      </c>
      <c r="F3088" t="s">
        <v>157</v>
      </c>
      <c r="G3088" t="s">
        <v>33</v>
      </c>
      <c r="H3088" t="s">
        <v>34</v>
      </c>
      <c r="I3088">
        <v>12500</v>
      </c>
      <c r="J3088">
        <v>16250</v>
      </c>
      <c r="K3088">
        <v>4</v>
      </c>
      <c r="L3088">
        <v>50000</v>
      </c>
      <c r="M3088">
        <v>65000</v>
      </c>
      <c r="N3088" t="s">
        <v>56</v>
      </c>
      <c r="O3088">
        <f t="shared" si="96"/>
        <v>18200</v>
      </c>
      <c r="P3088" s="13">
        <f t="shared" si="97"/>
        <v>2551588</v>
      </c>
      <c r="Q3088" s="13">
        <f>SUMIFS(M:M,E:E,Online_eCommerce[[#This Row],[Status]])</f>
        <v>28340455</v>
      </c>
      <c r="R3088" s="13">
        <f>SUMIFS(L:L,H:H,Online_eCommerce[[#This Row],[Brand]])</f>
        <v>10087000</v>
      </c>
      <c r="S3088" s="13">
        <f>SUMIF(H:H,Online_eCommerce[[#This Row],[Brand]],M:M)</f>
        <v>13113100</v>
      </c>
      <c r="T3088" s="13">
        <f>SUMIF(N:N,Online_eCommerce[[#This Row],[Assigned Supervisor]],L:L)</f>
        <v>11733610</v>
      </c>
    </row>
    <row r="3089" spans="1:20" hidden="1" x14ac:dyDescent="0.3">
      <c r="A3089" t="s">
        <v>4597</v>
      </c>
      <c r="B3089" t="s">
        <v>119</v>
      </c>
      <c r="C3089" t="s">
        <v>132</v>
      </c>
      <c r="D3089" t="s">
        <v>4598</v>
      </c>
      <c r="E3089" t="s">
        <v>161</v>
      </c>
      <c r="F3089" t="s">
        <v>4188</v>
      </c>
      <c r="G3089" t="s">
        <v>163</v>
      </c>
      <c r="H3089" t="s">
        <v>41</v>
      </c>
      <c r="I3089">
        <v>3500</v>
      </c>
      <c r="J3089">
        <v>4550</v>
      </c>
      <c r="K3089">
        <v>4</v>
      </c>
      <c r="L3089">
        <v>14000</v>
      </c>
      <c r="M3089">
        <v>18200</v>
      </c>
      <c r="N3089" t="s">
        <v>22</v>
      </c>
      <c r="O3089">
        <f t="shared" si="96"/>
        <v>13650</v>
      </c>
      <c r="P3089" s="13">
        <f t="shared" si="97"/>
        <v>1989065</v>
      </c>
      <c r="Q3089" s="13">
        <f>SUMIFS(M:M,E:E,Online_eCommerce[[#This Row],[Status]])</f>
        <v>21103186</v>
      </c>
      <c r="R3089" s="13">
        <f>SUMIFS(L:L,H:H,Online_eCommerce[[#This Row],[Brand]])</f>
        <v>4260400</v>
      </c>
      <c r="S3089" s="13">
        <f>SUMIF(H:H,Online_eCommerce[[#This Row],[Brand]],M:M)</f>
        <v>5538520</v>
      </c>
      <c r="T3089" s="13">
        <f>SUMIF(N:N,Online_eCommerce[[#This Row],[Assigned Supervisor]],L:L)</f>
        <v>13693220</v>
      </c>
    </row>
    <row r="3090" spans="1:20" x14ac:dyDescent="0.3">
      <c r="A3090" t="s">
        <v>4599</v>
      </c>
      <c r="B3090" t="s">
        <v>124</v>
      </c>
      <c r="C3090" t="s">
        <v>136</v>
      </c>
      <c r="D3090" t="s">
        <v>4600</v>
      </c>
      <c r="E3090" t="s">
        <v>46</v>
      </c>
      <c r="F3090" t="s">
        <v>166</v>
      </c>
      <c r="G3090" t="s">
        <v>66</v>
      </c>
      <c r="H3090" t="s">
        <v>49</v>
      </c>
      <c r="I3090">
        <v>4500</v>
      </c>
      <c r="J3090">
        <v>5850</v>
      </c>
      <c r="K3090">
        <v>2</v>
      </c>
      <c r="L3090">
        <v>9000</v>
      </c>
      <c r="M3090">
        <v>11700</v>
      </c>
      <c r="N3090" t="s">
        <v>28</v>
      </c>
      <c r="O3090">
        <f t="shared" si="96"/>
        <v>1690</v>
      </c>
      <c r="P3090" s="13">
        <f t="shared" si="97"/>
        <v>2775162</v>
      </c>
      <c r="Q3090" s="13">
        <f>SUMIFS(M:M,E:E,Online_eCommerce[[#This Row],[Status]])</f>
        <v>28620410</v>
      </c>
      <c r="R3090" s="13">
        <f>SUMIFS(L:L,H:H,Online_eCommerce[[#This Row],[Brand]])</f>
        <v>4528350</v>
      </c>
      <c r="S3090" s="13">
        <f>SUMIF(H:H,Online_eCommerce[[#This Row],[Brand]],M:M)</f>
        <v>5886855</v>
      </c>
      <c r="T3090" s="13">
        <f>SUMIF(N:N,Online_eCommerce[[#This Row],[Assigned Supervisor]],L:L)</f>
        <v>12220830</v>
      </c>
    </row>
    <row r="3091" spans="1:20" hidden="1" x14ac:dyDescent="0.3">
      <c r="A3091" t="s">
        <v>4601</v>
      </c>
      <c r="B3091" t="s">
        <v>128</v>
      </c>
      <c r="C3091" t="s">
        <v>140</v>
      </c>
      <c r="D3091" t="s">
        <v>4602</v>
      </c>
      <c r="E3091" t="s">
        <v>96</v>
      </c>
      <c r="F3091" t="s">
        <v>4603</v>
      </c>
      <c r="G3091" t="s">
        <v>54</v>
      </c>
      <c r="H3091" t="s">
        <v>55</v>
      </c>
      <c r="I3091">
        <v>2100</v>
      </c>
      <c r="J3091">
        <v>2730</v>
      </c>
      <c r="K3091">
        <v>2</v>
      </c>
      <c r="L3091">
        <v>4200</v>
      </c>
      <c r="M3091">
        <v>5460</v>
      </c>
      <c r="N3091" t="s">
        <v>35</v>
      </c>
      <c r="O3091">
        <f t="shared" si="96"/>
        <v>2990</v>
      </c>
      <c r="P3091" s="13">
        <f t="shared" si="97"/>
        <v>2058264</v>
      </c>
      <c r="Q3091" s="13">
        <f>SUMIFS(M:M,E:E,Online_eCommerce[[#This Row],[Status]])</f>
        <v>21233992</v>
      </c>
      <c r="R3091" s="13">
        <f>SUMIFS(L:L,H:H,Online_eCommerce[[#This Row],[Brand]])</f>
        <v>2267380</v>
      </c>
      <c r="S3091" s="13">
        <f>SUMIF(H:H,Online_eCommerce[[#This Row],[Brand]],M:M)</f>
        <v>2947594</v>
      </c>
      <c r="T3091" s="13">
        <f>SUMIF(N:N,Online_eCommerce[[#This Row],[Assigned Supervisor]],L:L)</f>
        <v>14373360</v>
      </c>
    </row>
    <row r="3092" spans="1:20" hidden="1" x14ac:dyDescent="0.3">
      <c r="A3092" t="s">
        <v>4604</v>
      </c>
      <c r="B3092" t="s">
        <v>131</v>
      </c>
      <c r="C3092" t="s">
        <v>145</v>
      </c>
      <c r="D3092" t="s">
        <v>4605</v>
      </c>
      <c r="E3092" t="s">
        <v>18</v>
      </c>
      <c r="F3092" t="s">
        <v>174</v>
      </c>
      <c r="G3092" t="s">
        <v>60</v>
      </c>
      <c r="H3092" t="s">
        <v>61</v>
      </c>
      <c r="I3092">
        <v>1150</v>
      </c>
      <c r="J3092">
        <v>1495</v>
      </c>
      <c r="K3092">
        <v>1</v>
      </c>
      <c r="L3092">
        <v>1150</v>
      </c>
      <c r="M3092">
        <v>1495</v>
      </c>
      <c r="N3092" t="s">
        <v>42</v>
      </c>
      <c r="O3092">
        <f t="shared" si="96"/>
        <v>3315</v>
      </c>
      <c r="P3092" s="13">
        <f t="shared" si="97"/>
        <v>2757859</v>
      </c>
      <c r="Q3092" s="13">
        <f>SUMIFS(M:M,E:E,Online_eCommerce[[#This Row],[Status]])</f>
        <v>28340455</v>
      </c>
      <c r="R3092" s="13">
        <f>SUMIFS(L:L,H:H,Online_eCommerce[[#This Row],[Brand]])</f>
        <v>10950150</v>
      </c>
      <c r="S3092" s="13">
        <f>SUMIF(H:H,Online_eCommerce[[#This Row],[Brand]],M:M)</f>
        <v>14235195</v>
      </c>
      <c r="T3092" s="13">
        <f>SUMIF(N:N,Online_eCommerce[[#This Row],[Assigned Supervisor]],L:L)</f>
        <v>12261500</v>
      </c>
    </row>
    <row r="3093" spans="1:20" hidden="1" x14ac:dyDescent="0.3">
      <c r="A3093" t="s">
        <v>4606</v>
      </c>
      <c r="B3093" t="s">
        <v>135</v>
      </c>
      <c r="C3093" t="s">
        <v>150</v>
      </c>
      <c r="D3093" t="s">
        <v>4607</v>
      </c>
      <c r="E3093" t="s">
        <v>161</v>
      </c>
      <c r="F3093" t="s">
        <v>179</v>
      </c>
      <c r="G3093" t="s">
        <v>66</v>
      </c>
      <c r="H3093" t="s">
        <v>21</v>
      </c>
      <c r="I3093">
        <v>350</v>
      </c>
      <c r="J3093">
        <v>455</v>
      </c>
      <c r="K3093">
        <v>4</v>
      </c>
      <c r="L3093">
        <v>1400</v>
      </c>
      <c r="M3093">
        <v>1820</v>
      </c>
      <c r="N3093" t="s">
        <v>50</v>
      </c>
      <c r="O3093">
        <f t="shared" si="96"/>
        <v>1690</v>
      </c>
      <c r="P3093" s="13">
        <f t="shared" si="97"/>
        <v>2154984</v>
      </c>
      <c r="Q3093" s="13">
        <f>SUMIFS(M:M,E:E,Online_eCommerce[[#This Row],[Status]])</f>
        <v>21103186</v>
      </c>
      <c r="R3093" s="13">
        <f>SUMIFS(L:L,H:H,Online_eCommerce[[#This Row],[Brand]])</f>
        <v>12435650</v>
      </c>
      <c r="S3093" s="13">
        <f>SUMIF(H:H,Online_eCommerce[[#This Row],[Brand]],M:M)</f>
        <v>16166345</v>
      </c>
      <c r="T3093" s="13">
        <f>SUMIF(N:N,Online_eCommerce[[#This Row],[Assigned Supervisor]],L:L)</f>
        <v>12100590</v>
      </c>
    </row>
    <row r="3094" spans="1:20" x14ac:dyDescent="0.3">
      <c r="A3094" t="s">
        <v>4608</v>
      </c>
      <c r="B3094" t="s">
        <v>139</v>
      </c>
      <c r="C3094" t="s">
        <v>155</v>
      </c>
      <c r="D3094" t="s">
        <v>4609</v>
      </c>
      <c r="E3094" t="s">
        <v>46</v>
      </c>
      <c r="F3094" t="s">
        <v>183</v>
      </c>
      <c r="G3094" t="s">
        <v>71</v>
      </c>
      <c r="H3094" t="s">
        <v>61</v>
      </c>
      <c r="I3094">
        <v>9500</v>
      </c>
      <c r="J3094">
        <v>12350</v>
      </c>
      <c r="K3094">
        <v>2</v>
      </c>
      <c r="L3094">
        <v>19000</v>
      </c>
      <c r="M3094">
        <v>24700</v>
      </c>
      <c r="N3094" t="s">
        <v>56</v>
      </c>
      <c r="O3094">
        <f t="shared" si="96"/>
        <v>9750</v>
      </c>
      <c r="P3094" s="13">
        <f t="shared" si="97"/>
        <v>2753348</v>
      </c>
      <c r="Q3094" s="13">
        <f>SUMIFS(M:M,E:E,Online_eCommerce[[#This Row],[Status]])</f>
        <v>28620410</v>
      </c>
      <c r="R3094" s="13">
        <f>SUMIFS(L:L,H:H,Online_eCommerce[[#This Row],[Brand]])</f>
        <v>10950150</v>
      </c>
      <c r="S3094" s="13">
        <f>SUMIF(H:H,Online_eCommerce[[#This Row],[Brand]],M:M)</f>
        <v>14235195</v>
      </c>
      <c r="T3094" s="13">
        <f>SUMIF(N:N,Online_eCommerce[[#This Row],[Assigned Supervisor]],L:L)</f>
        <v>11733610</v>
      </c>
    </row>
    <row r="3095" spans="1:20" hidden="1" x14ac:dyDescent="0.3">
      <c r="A3095" t="s">
        <v>4610</v>
      </c>
      <c r="B3095" t="s">
        <v>144</v>
      </c>
      <c r="C3095" t="s">
        <v>160</v>
      </c>
      <c r="D3095" t="s">
        <v>4611</v>
      </c>
      <c r="E3095" t="s">
        <v>96</v>
      </c>
      <c r="F3095" t="s">
        <v>4612</v>
      </c>
      <c r="G3095" t="s">
        <v>77</v>
      </c>
      <c r="H3095" t="s">
        <v>142</v>
      </c>
      <c r="I3095">
        <v>10000</v>
      </c>
      <c r="J3095">
        <v>13000</v>
      </c>
      <c r="K3095">
        <v>4</v>
      </c>
      <c r="L3095">
        <v>40000</v>
      </c>
      <c r="M3095">
        <v>52000</v>
      </c>
      <c r="N3095" t="s">
        <v>22</v>
      </c>
      <c r="O3095">
        <f t="shared" si="96"/>
        <v>39000</v>
      </c>
      <c r="P3095" s="13">
        <f t="shared" si="97"/>
        <v>2303483</v>
      </c>
      <c r="Q3095" s="13">
        <f>SUMIFS(M:M,E:E,Online_eCommerce[[#This Row],[Status]])</f>
        <v>21233992</v>
      </c>
      <c r="R3095" s="13">
        <f>SUMIFS(L:L,H:H,Online_eCommerce[[#This Row],[Brand]])</f>
        <v>6192500</v>
      </c>
      <c r="S3095" s="13">
        <f>SUMIF(H:H,Online_eCommerce[[#This Row],[Brand]],M:M)</f>
        <v>8050250</v>
      </c>
      <c r="T3095" s="13">
        <f>SUMIF(N:N,Online_eCommerce[[#This Row],[Assigned Supervisor]],L:L)</f>
        <v>13693220</v>
      </c>
    </row>
    <row r="3096" spans="1:20" hidden="1" x14ac:dyDescent="0.3">
      <c r="A3096" t="s">
        <v>4613</v>
      </c>
      <c r="B3096" t="s">
        <v>149</v>
      </c>
      <c r="C3096" t="s">
        <v>165</v>
      </c>
      <c r="D3096" t="s">
        <v>4614</v>
      </c>
      <c r="E3096" t="s">
        <v>18</v>
      </c>
      <c r="F3096" t="s">
        <v>4615</v>
      </c>
      <c r="G3096" t="s">
        <v>20</v>
      </c>
      <c r="H3096" t="s">
        <v>21</v>
      </c>
      <c r="I3096">
        <v>6500</v>
      </c>
      <c r="J3096">
        <v>8450</v>
      </c>
      <c r="K3096">
        <v>4</v>
      </c>
      <c r="L3096">
        <v>26000</v>
      </c>
      <c r="M3096">
        <v>33800</v>
      </c>
      <c r="N3096" t="s">
        <v>28</v>
      </c>
      <c r="O3096">
        <f t="shared" si="96"/>
        <v>8450</v>
      </c>
      <c r="P3096" s="13">
        <f t="shared" si="97"/>
        <v>2674087</v>
      </c>
      <c r="Q3096" s="13">
        <f>SUMIFS(M:M,E:E,Online_eCommerce[[#This Row],[Status]])</f>
        <v>28340455</v>
      </c>
      <c r="R3096" s="13">
        <f>SUMIFS(L:L,H:H,Online_eCommerce[[#This Row],[Brand]])</f>
        <v>12435650</v>
      </c>
      <c r="S3096" s="13">
        <f>SUMIF(H:H,Online_eCommerce[[#This Row],[Brand]],M:M)</f>
        <v>16166345</v>
      </c>
      <c r="T3096" s="13">
        <f>SUMIF(N:N,Online_eCommerce[[#This Row],[Assigned Supervisor]],L:L)</f>
        <v>12220830</v>
      </c>
    </row>
    <row r="3097" spans="1:20" hidden="1" x14ac:dyDescent="0.3">
      <c r="A3097" t="s">
        <v>4616</v>
      </c>
      <c r="B3097" t="s">
        <v>154</v>
      </c>
      <c r="C3097" t="s">
        <v>168</v>
      </c>
      <c r="D3097" t="s">
        <v>4617</v>
      </c>
      <c r="E3097" t="s">
        <v>161</v>
      </c>
      <c r="F3097" t="s">
        <v>4618</v>
      </c>
      <c r="G3097" t="s">
        <v>26</v>
      </c>
      <c r="H3097" t="s">
        <v>27</v>
      </c>
      <c r="I3097">
        <v>8500</v>
      </c>
      <c r="J3097">
        <v>11050</v>
      </c>
      <c r="K3097">
        <v>2</v>
      </c>
      <c r="L3097">
        <v>17000</v>
      </c>
      <c r="M3097">
        <v>22100</v>
      </c>
      <c r="N3097" t="s">
        <v>35</v>
      </c>
      <c r="O3097">
        <f t="shared" si="96"/>
        <v>33150</v>
      </c>
      <c r="P3097" s="13">
        <f t="shared" si="97"/>
        <v>1937780</v>
      </c>
      <c r="Q3097" s="13">
        <f>SUMIFS(M:M,E:E,Online_eCommerce[[#This Row],[Status]])</f>
        <v>21103186</v>
      </c>
      <c r="R3097" s="13">
        <f>SUMIFS(L:L,H:H,Online_eCommerce[[#This Row],[Brand]])</f>
        <v>14431000</v>
      </c>
      <c r="S3097" s="13">
        <f>SUMIF(H:H,Online_eCommerce[[#This Row],[Brand]],M:M)</f>
        <v>18760300</v>
      </c>
      <c r="T3097" s="13">
        <f>SUMIF(N:N,Online_eCommerce[[#This Row],[Assigned Supervisor]],L:L)</f>
        <v>14373360</v>
      </c>
    </row>
    <row r="3098" spans="1:20" x14ac:dyDescent="0.3">
      <c r="A3098" t="s">
        <v>4619</v>
      </c>
      <c r="B3098" t="s">
        <v>159</v>
      </c>
      <c r="C3098" t="s">
        <v>172</v>
      </c>
      <c r="D3098" t="s">
        <v>4620</v>
      </c>
      <c r="E3098" t="s">
        <v>46</v>
      </c>
      <c r="F3098" t="s">
        <v>32</v>
      </c>
      <c r="G3098" t="s">
        <v>33</v>
      </c>
      <c r="H3098" t="s">
        <v>34</v>
      </c>
      <c r="I3098">
        <v>7000</v>
      </c>
      <c r="J3098">
        <v>9100</v>
      </c>
      <c r="K3098">
        <v>2</v>
      </c>
      <c r="L3098">
        <v>14000</v>
      </c>
      <c r="M3098">
        <v>18200</v>
      </c>
      <c r="N3098" t="s">
        <v>42</v>
      </c>
      <c r="O3098">
        <f t="shared" si="96"/>
        <v>18200</v>
      </c>
      <c r="P3098" s="13">
        <f t="shared" si="97"/>
        <v>2640274</v>
      </c>
      <c r="Q3098" s="13">
        <f>SUMIFS(M:M,E:E,Online_eCommerce[[#This Row],[Status]])</f>
        <v>28620410</v>
      </c>
      <c r="R3098" s="13">
        <f>SUMIFS(L:L,H:H,Online_eCommerce[[#This Row],[Brand]])</f>
        <v>10087000</v>
      </c>
      <c r="S3098" s="13">
        <f>SUMIF(H:H,Online_eCommerce[[#This Row],[Brand]],M:M)</f>
        <v>13113100</v>
      </c>
      <c r="T3098" s="13">
        <f>SUMIF(N:N,Online_eCommerce[[#This Row],[Assigned Supervisor]],L:L)</f>
        <v>12261500</v>
      </c>
    </row>
    <row r="3099" spans="1:20" hidden="1" x14ac:dyDescent="0.3">
      <c r="A3099" t="s">
        <v>4621</v>
      </c>
      <c r="B3099" t="s">
        <v>139</v>
      </c>
      <c r="C3099" t="s">
        <v>177</v>
      </c>
      <c r="D3099" t="s">
        <v>4622</v>
      </c>
      <c r="E3099" t="s">
        <v>96</v>
      </c>
      <c r="F3099" t="s">
        <v>4623</v>
      </c>
      <c r="G3099" t="s">
        <v>163</v>
      </c>
      <c r="H3099" t="s">
        <v>41</v>
      </c>
      <c r="I3099">
        <v>6550</v>
      </c>
      <c r="J3099">
        <v>8515</v>
      </c>
      <c r="K3099">
        <v>1</v>
      </c>
      <c r="L3099">
        <v>6550</v>
      </c>
      <c r="M3099">
        <v>8515</v>
      </c>
      <c r="N3099" t="s">
        <v>50</v>
      </c>
      <c r="O3099">
        <f t="shared" si="96"/>
        <v>13650</v>
      </c>
      <c r="P3099" s="13">
        <f t="shared" si="97"/>
        <v>1863810</v>
      </c>
      <c r="Q3099" s="13">
        <f>SUMIFS(M:M,E:E,Online_eCommerce[[#This Row],[Status]])</f>
        <v>21233992</v>
      </c>
      <c r="R3099" s="13">
        <f>SUMIFS(L:L,H:H,Online_eCommerce[[#This Row],[Brand]])</f>
        <v>4260400</v>
      </c>
      <c r="S3099" s="13">
        <f>SUMIF(H:H,Online_eCommerce[[#This Row],[Brand]],M:M)</f>
        <v>5538520</v>
      </c>
      <c r="T3099" s="13">
        <f>SUMIF(N:N,Online_eCommerce[[#This Row],[Assigned Supervisor]],L:L)</f>
        <v>12100590</v>
      </c>
    </row>
    <row r="3100" spans="1:20" hidden="1" x14ac:dyDescent="0.3">
      <c r="A3100" t="s">
        <v>4624</v>
      </c>
      <c r="B3100" t="s">
        <v>144</v>
      </c>
      <c r="C3100" t="s">
        <v>181</v>
      </c>
      <c r="D3100" t="s">
        <v>4625</v>
      </c>
      <c r="E3100" t="s">
        <v>18</v>
      </c>
      <c r="F3100" t="s">
        <v>47</v>
      </c>
      <c r="G3100" t="s">
        <v>66</v>
      </c>
      <c r="H3100" t="s">
        <v>49</v>
      </c>
      <c r="I3100">
        <v>7650</v>
      </c>
      <c r="J3100">
        <v>9945</v>
      </c>
      <c r="K3100">
        <v>3</v>
      </c>
      <c r="L3100">
        <v>22950</v>
      </c>
      <c r="M3100">
        <v>29835</v>
      </c>
      <c r="N3100" t="s">
        <v>56</v>
      </c>
      <c r="O3100">
        <f t="shared" si="96"/>
        <v>1690</v>
      </c>
      <c r="P3100" s="13">
        <f t="shared" si="97"/>
        <v>2577458</v>
      </c>
      <c r="Q3100" s="13">
        <f>SUMIFS(M:M,E:E,Online_eCommerce[[#This Row],[Status]])</f>
        <v>28340455</v>
      </c>
      <c r="R3100" s="13">
        <f>SUMIFS(L:L,H:H,Online_eCommerce[[#This Row],[Brand]])</f>
        <v>4528350</v>
      </c>
      <c r="S3100" s="13">
        <f>SUMIF(H:H,Online_eCommerce[[#This Row],[Brand]],M:M)</f>
        <v>5886855</v>
      </c>
      <c r="T3100" s="13">
        <f>SUMIF(N:N,Online_eCommerce[[#This Row],[Assigned Supervisor]],L:L)</f>
        <v>11733610</v>
      </c>
    </row>
    <row r="3101" spans="1:20" hidden="1" x14ac:dyDescent="0.3">
      <c r="A3101" t="s">
        <v>4626</v>
      </c>
      <c r="B3101" t="s">
        <v>235</v>
      </c>
      <c r="C3101" t="s">
        <v>185</v>
      </c>
      <c r="D3101" t="s">
        <v>4627</v>
      </c>
      <c r="E3101" t="s">
        <v>161</v>
      </c>
      <c r="F3101" t="s">
        <v>53</v>
      </c>
      <c r="G3101" t="s">
        <v>54</v>
      </c>
      <c r="H3101" t="s">
        <v>55</v>
      </c>
      <c r="I3101">
        <v>1150</v>
      </c>
      <c r="J3101">
        <v>1495</v>
      </c>
      <c r="K3101">
        <v>1</v>
      </c>
      <c r="L3101">
        <v>1150</v>
      </c>
      <c r="M3101">
        <v>1495</v>
      </c>
      <c r="N3101" t="s">
        <v>22</v>
      </c>
      <c r="O3101">
        <f t="shared" si="96"/>
        <v>2990</v>
      </c>
      <c r="P3101" s="13">
        <f t="shared" si="97"/>
        <v>2091596</v>
      </c>
      <c r="Q3101" s="13">
        <f>SUMIFS(M:M,E:E,Online_eCommerce[[#This Row],[Status]])</f>
        <v>21103186</v>
      </c>
      <c r="R3101" s="13">
        <f>SUMIFS(L:L,H:H,Online_eCommerce[[#This Row],[Brand]])</f>
        <v>2267380</v>
      </c>
      <c r="S3101" s="13">
        <f>SUMIF(H:H,Online_eCommerce[[#This Row],[Brand]],M:M)</f>
        <v>2947594</v>
      </c>
      <c r="T3101" s="13">
        <f>SUMIF(N:N,Online_eCommerce[[#This Row],[Assigned Supervisor]],L:L)</f>
        <v>13693220</v>
      </c>
    </row>
    <row r="3102" spans="1:20" x14ac:dyDescent="0.3">
      <c r="A3102" t="s">
        <v>4628</v>
      </c>
      <c r="B3102" t="s">
        <v>176</v>
      </c>
      <c r="C3102" t="s">
        <v>189</v>
      </c>
      <c r="D3102" t="s">
        <v>4629</v>
      </c>
      <c r="E3102" t="s">
        <v>46</v>
      </c>
      <c r="F3102" t="s">
        <v>59</v>
      </c>
      <c r="G3102" t="s">
        <v>60</v>
      </c>
      <c r="H3102" t="s">
        <v>61</v>
      </c>
      <c r="I3102">
        <v>850</v>
      </c>
      <c r="J3102">
        <v>1105</v>
      </c>
      <c r="K3102">
        <v>3</v>
      </c>
      <c r="L3102">
        <v>2550</v>
      </c>
      <c r="M3102">
        <v>3315</v>
      </c>
      <c r="N3102" t="s">
        <v>28</v>
      </c>
      <c r="O3102">
        <f t="shared" si="96"/>
        <v>3315</v>
      </c>
      <c r="P3102" s="13">
        <f t="shared" si="97"/>
        <v>2740777</v>
      </c>
      <c r="Q3102" s="13">
        <f>SUMIFS(M:M,E:E,Online_eCommerce[[#This Row],[Status]])</f>
        <v>28620410</v>
      </c>
      <c r="R3102" s="13">
        <f>SUMIFS(L:L,H:H,Online_eCommerce[[#This Row],[Brand]])</f>
        <v>10950150</v>
      </c>
      <c r="S3102" s="13">
        <f>SUMIF(H:H,Online_eCommerce[[#This Row],[Brand]],M:M)</f>
        <v>14235195</v>
      </c>
      <c r="T3102" s="13">
        <f>SUMIF(N:N,Online_eCommerce[[#This Row],[Assigned Supervisor]],L:L)</f>
        <v>12220830</v>
      </c>
    </row>
    <row r="3103" spans="1:20" hidden="1" x14ac:dyDescent="0.3">
      <c r="A3103" t="s">
        <v>4630</v>
      </c>
      <c r="B3103" t="s">
        <v>276</v>
      </c>
      <c r="C3103" t="s">
        <v>193</v>
      </c>
      <c r="D3103" t="s">
        <v>4631</v>
      </c>
      <c r="E3103" t="s">
        <v>96</v>
      </c>
      <c r="F3103" t="s">
        <v>65</v>
      </c>
      <c r="G3103" t="s">
        <v>66</v>
      </c>
      <c r="H3103" t="s">
        <v>21</v>
      </c>
      <c r="I3103">
        <v>650</v>
      </c>
      <c r="J3103">
        <v>845</v>
      </c>
      <c r="K3103">
        <v>2</v>
      </c>
      <c r="L3103">
        <v>1300</v>
      </c>
      <c r="M3103">
        <v>1690</v>
      </c>
      <c r="N3103" t="s">
        <v>35</v>
      </c>
      <c r="O3103">
        <f t="shared" si="96"/>
        <v>1690</v>
      </c>
      <c r="P3103" s="13">
        <f t="shared" si="97"/>
        <v>2074774</v>
      </c>
      <c r="Q3103" s="13">
        <f>SUMIFS(M:M,E:E,Online_eCommerce[[#This Row],[Status]])</f>
        <v>21233992</v>
      </c>
      <c r="R3103" s="13">
        <f>SUMIFS(L:L,H:H,Online_eCommerce[[#This Row],[Brand]])</f>
        <v>12435650</v>
      </c>
      <c r="S3103" s="13">
        <f>SUMIF(H:H,Online_eCommerce[[#This Row],[Brand]],M:M)</f>
        <v>16166345</v>
      </c>
      <c r="T3103" s="13">
        <f>SUMIF(N:N,Online_eCommerce[[#This Row],[Assigned Supervisor]],L:L)</f>
        <v>14373360</v>
      </c>
    </row>
    <row r="3104" spans="1:20" hidden="1" x14ac:dyDescent="0.3">
      <c r="A3104" t="s">
        <v>4632</v>
      </c>
      <c r="B3104" t="s">
        <v>280</v>
      </c>
      <c r="C3104" t="s">
        <v>197</v>
      </c>
      <c r="D3104" t="s">
        <v>4633</v>
      </c>
      <c r="E3104" t="s">
        <v>18</v>
      </c>
      <c r="F3104" t="s">
        <v>70</v>
      </c>
      <c r="G3104" t="s">
        <v>71</v>
      </c>
      <c r="H3104" t="s">
        <v>61</v>
      </c>
      <c r="I3104">
        <v>7500</v>
      </c>
      <c r="J3104">
        <v>9750</v>
      </c>
      <c r="K3104">
        <v>3</v>
      </c>
      <c r="L3104">
        <v>22500</v>
      </c>
      <c r="M3104">
        <v>29250</v>
      </c>
      <c r="N3104" t="s">
        <v>42</v>
      </c>
      <c r="O3104">
        <f t="shared" si="96"/>
        <v>9750</v>
      </c>
      <c r="P3104" s="13">
        <f t="shared" si="97"/>
        <v>2829840</v>
      </c>
      <c r="Q3104" s="13">
        <f>SUMIFS(M:M,E:E,Online_eCommerce[[#This Row],[Status]])</f>
        <v>28340455</v>
      </c>
      <c r="R3104" s="13">
        <f>SUMIFS(L:L,H:H,Online_eCommerce[[#This Row],[Brand]])</f>
        <v>10950150</v>
      </c>
      <c r="S3104" s="13">
        <f>SUMIF(H:H,Online_eCommerce[[#This Row],[Brand]],M:M)</f>
        <v>14235195</v>
      </c>
      <c r="T3104" s="13">
        <f>SUMIF(N:N,Online_eCommerce[[#This Row],[Assigned Supervisor]],L:L)</f>
        <v>12261500</v>
      </c>
    </row>
    <row r="3105" spans="1:20" hidden="1" x14ac:dyDescent="0.3">
      <c r="A3105" t="s">
        <v>4634</v>
      </c>
      <c r="B3105" t="s">
        <v>283</v>
      </c>
      <c r="C3105" t="s">
        <v>199</v>
      </c>
      <c r="D3105" t="s">
        <v>4635</v>
      </c>
      <c r="E3105" t="s">
        <v>161</v>
      </c>
      <c r="F3105" t="s">
        <v>4612</v>
      </c>
      <c r="G3105" t="s">
        <v>77</v>
      </c>
      <c r="H3105" t="s">
        <v>78</v>
      </c>
      <c r="I3105">
        <v>10000</v>
      </c>
      <c r="J3105">
        <v>13000</v>
      </c>
      <c r="K3105">
        <v>3</v>
      </c>
      <c r="L3105">
        <v>30000</v>
      </c>
      <c r="M3105">
        <v>39000</v>
      </c>
      <c r="N3105" t="s">
        <v>50</v>
      </c>
      <c r="O3105">
        <f t="shared" si="96"/>
        <v>39000</v>
      </c>
      <c r="P3105" s="13">
        <f t="shared" si="97"/>
        <v>1947361</v>
      </c>
      <c r="Q3105" s="13">
        <f>SUMIFS(M:M,E:E,Online_eCommerce[[#This Row],[Status]])</f>
        <v>21103186</v>
      </c>
      <c r="R3105" s="13">
        <f>SUMIFS(L:L,H:H,Online_eCommerce[[#This Row],[Brand]])</f>
        <v>3720000</v>
      </c>
      <c r="S3105" s="13">
        <f>SUMIF(H:H,Online_eCommerce[[#This Row],[Brand]],M:M)</f>
        <v>4836000</v>
      </c>
      <c r="T3105" s="13">
        <f>SUMIF(N:N,Online_eCommerce[[#This Row],[Assigned Supervisor]],L:L)</f>
        <v>12100590</v>
      </c>
    </row>
    <row r="3106" spans="1:20" x14ac:dyDescent="0.3">
      <c r="A3106" t="s">
        <v>4636</v>
      </c>
      <c r="B3106" t="s">
        <v>287</v>
      </c>
      <c r="C3106" t="s">
        <v>203</v>
      </c>
      <c r="D3106" t="s">
        <v>4637</v>
      </c>
      <c r="E3106" t="s">
        <v>46</v>
      </c>
      <c r="F3106" t="s">
        <v>4638</v>
      </c>
      <c r="G3106" t="s">
        <v>20</v>
      </c>
      <c r="H3106" t="s">
        <v>21</v>
      </c>
      <c r="I3106">
        <v>10500</v>
      </c>
      <c r="J3106">
        <v>13650</v>
      </c>
      <c r="K3106">
        <v>4</v>
      </c>
      <c r="L3106">
        <v>42000</v>
      </c>
      <c r="M3106">
        <v>54600</v>
      </c>
      <c r="N3106" t="s">
        <v>56</v>
      </c>
      <c r="O3106">
        <f t="shared" si="96"/>
        <v>8450</v>
      </c>
      <c r="P3106" s="13">
        <f t="shared" si="97"/>
        <v>2559635</v>
      </c>
      <c r="Q3106" s="13">
        <f>SUMIFS(M:M,E:E,Online_eCommerce[[#This Row],[Status]])</f>
        <v>28620410</v>
      </c>
      <c r="R3106" s="13">
        <f>SUMIFS(L:L,H:H,Online_eCommerce[[#This Row],[Brand]])</f>
        <v>12435650</v>
      </c>
      <c r="S3106" s="13">
        <f>SUMIF(H:H,Online_eCommerce[[#This Row],[Brand]],M:M)</f>
        <v>16166345</v>
      </c>
      <c r="T3106" s="13">
        <f>SUMIF(N:N,Online_eCommerce[[#This Row],[Assigned Supervisor]],L:L)</f>
        <v>11733610</v>
      </c>
    </row>
    <row r="3107" spans="1:20" hidden="1" x14ac:dyDescent="0.3">
      <c r="A3107" t="s">
        <v>4639</v>
      </c>
      <c r="B3107" t="s">
        <v>290</v>
      </c>
      <c r="C3107" t="s">
        <v>205</v>
      </c>
      <c r="D3107" t="s">
        <v>4640</v>
      </c>
      <c r="E3107" t="s">
        <v>96</v>
      </c>
      <c r="F3107" t="s">
        <v>88</v>
      </c>
      <c r="G3107" t="s">
        <v>26</v>
      </c>
      <c r="H3107" t="s">
        <v>27</v>
      </c>
      <c r="I3107">
        <v>8500</v>
      </c>
      <c r="J3107">
        <v>11050</v>
      </c>
      <c r="K3107">
        <v>4</v>
      </c>
      <c r="L3107">
        <v>34000</v>
      </c>
      <c r="M3107">
        <v>44200</v>
      </c>
      <c r="N3107" t="s">
        <v>22</v>
      </c>
      <c r="O3107">
        <f t="shared" si="96"/>
        <v>33150</v>
      </c>
      <c r="P3107" s="13">
        <f t="shared" si="97"/>
        <v>1983254</v>
      </c>
      <c r="Q3107" s="13">
        <f>SUMIFS(M:M,E:E,Online_eCommerce[[#This Row],[Status]])</f>
        <v>21233992</v>
      </c>
      <c r="R3107" s="13">
        <f>SUMIFS(L:L,H:H,Online_eCommerce[[#This Row],[Brand]])</f>
        <v>14431000</v>
      </c>
      <c r="S3107" s="13">
        <f>SUMIF(H:H,Online_eCommerce[[#This Row],[Brand]],M:M)</f>
        <v>18760300</v>
      </c>
      <c r="T3107" s="13">
        <f>SUMIF(N:N,Online_eCommerce[[#This Row],[Assigned Supervisor]],L:L)</f>
        <v>13693220</v>
      </c>
    </row>
    <row r="3108" spans="1:20" hidden="1" x14ac:dyDescent="0.3">
      <c r="A3108" t="s">
        <v>4641</v>
      </c>
      <c r="B3108" t="s">
        <v>15</v>
      </c>
      <c r="C3108" t="s">
        <v>208</v>
      </c>
      <c r="D3108" t="s">
        <v>4642</v>
      </c>
      <c r="E3108" t="s">
        <v>18</v>
      </c>
      <c r="F3108" t="s">
        <v>32</v>
      </c>
      <c r="G3108" t="s">
        <v>33</v>
      </c>
      <c r="H3108" t="s">
        <v>34</v>
      </c>
      <c r="I3108">
        <v>7000</v>
      </c>
      <c r="J3108">
        <v>9100</v>
      </c>
      <c r="K3108">
        <v>3</v>
      </c>
      <c r="L3108">
        <v>21000</v>
      </c>
      <c r="M3108">
        <v>27300</v>
      </c>
      <c r="N3108" t="s">
        <v>28</v>
      </c>
      <c r="O3108">
        <f t="shared" si="96"/>
        <v>18200</v>
      </c>
      <c r="P3108" s="13">
        <f t="shared" si="97"/>
        <v>2746575</v>
      </c>
      <c r="Q3108" s="13">
        <f>SUMIFS(M:M,E:E,Online_eCommerce[[#This Row],[Status]])</f>
        <v>28340455</v>
      </c>
      <c r="R3108" s="13">
        <f>SUMIFS(L:L,H:H,Online_eCommerce[[#This Row],[Brand]])</f>
        <v>10087000</v>
      </c>
      <c r="S3108" s="13">
        <f>SUMIF(H:H,Online_eCommerce[[#This Row],[Brand]],M:M)</f>
        <v>13113100</v>
      </c>
      <c r="T3108" s="13">
        <f>SUMIF(N:N,Online_eCommerce[[#This Row],[Assigned Supervisor]],L:L)</f>
        <v>12220830</v>
      </c>
    </row>
    <row r="3109" spans="1:20" hidden="1" x14ac:dyDescent="0.3">
      <c r="A3109" t="s">
        <v>4643</v>
      </c>
      <c r="B3109" t="s">
        <v>202</v>
      </c>
      <c r="C3109" t="s">
        <v>211</v>
      </c>
      <c r="D3109" t="s">
        <v>4644</v>
      </c>
      <c r="E3109" t="s">
        <v>161</v>
      </c>
      <c r="F3109" t="s">
        <v>4645</v>
      </c>
      <c r="G3109" t="s">
        <v>163</v>
      </c>
      <c r="H3109" t="s">
        <v>41</v>
      </c>
      <c r="I3109">
        <v>1680</v>
      </c>
      <c r="J3109">
        <v>2184</v>
      </c>
      <c r="K3109">
        <v>1</v>
      </c>
      <c r="L3109">
        <v>1680</v>
      </c>
      <c r="M3109">
        <v>2184</v>
      </c>
      <c r="N3109" t="s">
        <v>35</v>
      </c>
      <c r="O3109">
        <f t="shared" si="96"/>
        <v>13650</v>
      </c>
      <c r="P3109" s="13">
        <f t="shared" si="97"/>
        <v>1809847</v>
      </c>
      <c r="Q3109" s="13">
        <f>SUMIFS(M:M,E:E,Online_eCommerce[[#This Row],[Status]])</f>
        <v>21103186</v>
      </c>
      <c r="R3109" s="13">
        <f>SUMIFS(L:L,H:H,Online_eCommerce[[#This Row],[Brand]])</f>
        <v>4260400</v>
      </c>
      <c r="S3109" s="13">
        <f>SUMIF(H:H,Online_eCommerce[[#This Row],[Brand]],M:M)</f>
        <v>5538520</v>
      </c>
      <c r="T3109" s="13">
        <f>SUMIF(N:N,Online_eCommerce[[#This Row],[Assigned Supervisor]],L:L)</f>
        <v>14373360</v>
      </c>
    </row>
    <row r="3110" spans="1:20" x14ac:dyDescent="0.3">
      <c r="A3110" t="s">
        <v>4646</v>
      </c>
      <c r="B3110" t="s">
        <v>30</v>
      </c>
      <c r="C3110" t="s">
        <v>16</v>
      </c>
      <c r="D3110" t="s">
        <v>4647</v>
      </c>
      <c r="E3110" t="s">
        <v>46</v>
      </c>
      <c r="F3110" t="s">
        <v>101</v>
      </c>
      <c r="G3110" t="s">
        <v>66</v>
      </c>
      <c r="H3110" t="s">
        <v>102</v>
      </c>
      <c r="I3110">
        <v>6540</v>
      </c>
      <c r="J3110">
        <v>8502</v>
      </c>
      <c r="K3110">
        <v>3</v>
      </c>
      <c r="L3110">
        <v>19620</v>
      </c>
      <c r="M3110">
        <v>25506</v>
      </c>
      <c r="N3110" t="s">
        <v>42</v>
      </c>
      <c r="O3110">
        <f t="shared" si="96"/>
        <v>1690</v>
      </c>
      <c r="P3110" s="13">
        <f t="shared" si="97"/>
        <v>2751814</v>
      </c>
      <c r="Q3110" s="13">
        <f>SUMIFS(M:M,E:E,Online_eCommerce[[#This Row],[Status]])</f>
        <v>28620410</v>
      </c>
      <c r="R3110" s="13">
        <f>SUMIFS(L:L,H:H,Online_eCommerce[[#This Row],[Brand]])</f>
        <v>2465580</v>
      </c>
      <c r="S3110" s="13">
        <f>SUMIF(H:H,Online_eCommerce[[#This Row],[Brand]],M:M)</f>
        <v>3205254</v>
      </c>
      <c r="T3110" s="13">
        <f>SUMIF(N:N,Online_eCommerce[[#This Row],[Assigned Supervisor]],L:L)</f>
        <v>12261500</v>
      </c>
    </row>
    <row r="3111" spans="1:20" hidden="1" x14ac:dyDescent="0.3">
      <c r="A3111" t="s">
        <v>4648</v>
      </c>
      <c r="B3111" t="s">
        <v>37</v>
      </c>
      <c r="C3111" t="s">
        <v>24</v>
      </c>
      <c r="D3111" t="s">
        <v>4649</v>
      </c>
      <c r="E3111" t="s">
        <v>96</v>
      </c>
      <c r="F3111" t="s">
        <v>107</v>
      </c>
      <c r="G3111" t="s">
        <v>54</v>
      </c>
      <c r="H3111" t="s">
        <v>55</v>
      </c>
      <c r="I3111">
        <v>2680</v>
      </c>
      <c r="J3111">
        <v>3484</v>
      </c>
      <c r="K3111">
        <v>1</v>
      </c>
      <c r="L3111">
        <v>2680</v>
      </c>
      <c r="M3111">
        <v>3484</v>
      </c>
      <c r="N3111" t="s">
        <v>50</v>
      </c>
      <c r="O3111">
        <f t="shared" si="96"/>
        <v>2990</v>
      </c>
      <c r="P3111" s="13">
        <f t="shared" si="97"/>
        <v>2009540</v>
      </c>
      <c r="Q3111" s="13">
        <f>SUMIFS(M:M,E:E,Online_eCommerce[[#This Row],[Status]])</f>
        <v>21233992</v>
      </c>
      <c r="R3111" s="13">
        <f>SUMIFS(L:L,H:H,Online_eCommerce[[#This Row],[Brand]])</f>
        <v>2267380</v>
      </c>
      <c r="S3111" s="13">
        <f>SUMIF(H:H,Online_eCommerce[[#This Row],[Brand]],M:M)</f>
        <v>2947594</v>
      </c>
      <c r="T3111" s="13">
        <f>SUMIF(N:N,Online_eCommerce[[#This Row],[Assigned Supervisor]],L:L)</f>
        <v>12100590</v>
      </c>
    </row>
    <row r="3112" spans="1:20" hidden="1" x14ac:dyDescent="0.3">
      <c r="A3112" t="s">
        <v>4650</v>
      </c>
      <c r="B3112" t="s">
        <v>44</v>
      </c>
      <c r="C3112" t="s">
        <v>31</v>
      </c>
      <c r="D3112" t="s">
        <v>4651</v>
      </c>
      <c r="E3112" t="s">
        <v>18</v>
      </c>
      <c r="F3112" t="s">
        <v>112</v>
      </c>
      <c r="G3112" t="s">
        <v>71</v>
      </c>
      <c r="H3112" t="s">
        <v>21</v>
      </c>
      <c r="I3112">
        <v>8250</v>
      </c>
      <c r="J3112">
        <v>10725</v>
      </c>
      <c r="K3112">
        <v>2</v>
      </c>
      <c r="L3112">
        <v>16500</v>
      </c>
      <c r="M3112">
        <v>21450</v>
      </c>
      <c r="N3112" t="s">
        <v>56</v>
      </c>
      <c r="O3112">
        <f t="shared" si="96"/>
        <v>9750</v>
      </c>
      <c r="P3112" s="13">
        <f t="shared" si="97"/>
        <v>2865746</v>
      </c>
      <c r="Q3112" s="13">
        <f>SUMIFS(M:M,E:E,Online_eCommerce[[#This Row],[Status]])</f>
        <v>28340455</v>
      </c>
      <c r="R3112" s="13">
        <f>SUMIFS(L:L,H:H,Online_eCommerce[[#This Row],[Brand]])</f>
        <v>12435650</v>
      </c>
      <c r="S3112" s="13">
        <f>SUMIF(H:H,Online_eCommerce[[#This Row],[Brand]],M:M)</f>
        <v>16166345</v>
      </c>
      <c r="T3112" s="13">
        <f>SUMIF(N:N,Online_eCommerce[[#This Row],[Assigned Supervisor]],L:L)</f>
        <v>11733610</v>
      </c>
    </row>
    <row r="3113" spans="1:20" hidden="1" x14ac:dyDescent="0.3">
      <c r="A3113" t="s">
        <v>4652</v>
      </c>
      <c r="B3113" t="s">
        <v>213</v>
      </c>
      <c r="C3113" t="s">
        <v>38</v>
      </c>
      <c r="D3113" t="s">
        <v>4653</v>
      </c>
      <c r="E3113" t="s">
        <v>161</v>
      </c>
      <c r="F3113" t="s">
        <v>4188</v>
      </c>
      <c r="G3113" t="s">
        <v>40</v>
      </c>
      <c r="H3113" t="s">
        <v>21</v>
      </c>
      <c r="I3113">
        <v>2650</v>
      </c>
      <c r="J3113">
        <v>3445</v>
      </c>
      <c r="K3113">
        <v>2</v>
      </c>
      <c r="L3113">
        <v>5300</v>
      </c>
      <c r="M3113">
        <v>6890</v>
      </c>
      <c r="N3113" t="s">
        <v>22</v>
      </c>
      <c r="O3113">
        <f t="shared" si="96"/>
        <v>25545</v>
      </c>
      <c r="P3113" s="13">
        <f t="shared" si="97"/>
        <v>1933997</v>
      </c>
      <c r="Q3113" s="13">
        <f>SUMIFS(M:M,E:E,Online_eCommerce[[#This Row],[Status]])</f>
        <v>21103186</v>
      </c>
      <c r="R3113" s="13">
        <f>SUMIFS(L:L,H:H,Online_eCommerce[[#This Row],[Brand]])</f>
        <v>12435650</v>
      </c>
      <c r="S3113" s="13">
        <f>SUMIF(H:H,Online_eCommerce[[#This Row],[Brand]],M:M)</f>
        <v>16166345</v>
      </c>
      <c r="T3113" s="13">
        <f>SUMIF(N:N,Online_eCommerce[[#This Row],[Assigned Supervisor]],L:L)</f>
        <v>13693220</v>
      </c>
    </row>
    <row r="3114" spans="1:20" x14ac:dyDescent="0.3">
      <c r="A3114" t="s">
        <v>4654</v>
      </c>
      <c r="B3114" t="s">
        <v>215</v>
      </c>
      <c r="C3114" t="s">
        <v>45</v>
      </c>
      <c r="D3114" t="s">
        <v>4655</v>
      </c>
      <c r="E3114" t="s">
        <v>46</v>
      </c>
      <c r="F3114" t="s">
        <v>121</v>
      </c>
      <c r="G3114" t="s">
        <v>71</v>
      </c>
      <c r="H3114" t="s">
        <v>122</v>
      </c>
      <c r="I3114">
        <v>12550</v>
      </c>
      <c r="J3114">
        <v>16315</v>
      </c>
      <c r="K3114">
        <v>2</v>
      </c>
      <c r="L3114">
        <v>25100</v>
      </c>
      <c r="M3114">
        <v>32630</v>
      </c>
      <c r="N3114" t="s">
        <v>28</v>
      </c>
      <c r="O3114">
        <f t="shared" si="96"/>
        <v>9750</v>
      </c>
      <c r="P3114" s="13">
        <f t="shared" si="97"/>
        <v>2842554</v>
      </c>
      <c r="Q3114" s="13">
        <f>SUMIFS(M:M,E:E,Online_eCommerce[[#This Row],[Status]])</f>
        <v>28620410</v>
      </c>
      <c r="R3114" s="13">
        <f>SUMIFS(L:L,H:H,Online_eCommerce[[#This Row],[Brand]])</f>
        <v>5045100</v>
      </c>
      <c r="S3114" s="13">
        <f>SUMIF(H:H,Online_eCommerce[[#This Row],[Brand]],M:M)</f>
        <v>6558630</v>
      </c>
      <c r="T3114" s="13">
        <f>SUMIF(N:N,Online_eCommerce[[#This Row],[Assigned Supervisor]],L:L)</f>
        <v>12220830</v>
      </c>
    </row>
    <row r="3115" spans="1:20" hidden="1" x14ac:dyDescent="0.3">
      <c r="A3115" t="s">
        <v>4656</v>
      </c>
      <c r="B3115" t="s">
        <v>306</v>
      </c>
      <c r="C3115" t="s">
        <v>52</v>
      </c>
      <c r="D3115" t="s">
        <v>4657</v>
      </c>
      <c r="E3115" t="s">
        <v>96</v>
      </c>
      <c r="F3115" t="s">
        <v>126</v>
      </c>
      <c r="G3115" t="s">
        <v>26</v>
      </c>
      <c r="H3115" t="s">
        <v>27</v>
      </c>
      <c r="I3115">
        <v>14500</v>
      </c>
      <c r="J3115">
        <v>18850</v>
      </c>
      <c r="K3115">
        <v>1</v>
      </c>
      <c r="L3115">
        <v>14500</v>
      </c>
      <c r="M3115">
        <v>18850</v>
      </c>
      <c r="N3115" t="s">
        <v>35</v>
      </c>
      <c r="O3115">
        <f t="shared" si="96"/>
        <v>33150</v>
      </c>
      <c r="P3115" s="13">
        <f t="shared" si="97"/>
        <v>1955044</v>
      </c>
      <c r="Q3115" s="13">
        <f>SUMIFS(M:M,E:E,Online_eCommerce[[#This Row],[Status]])</f>
        <v>21233992</v>
      </c>
      <c r="R3115" s="13">
        <f>SUMIFS(L:L,H:H,Online_eCommerce[[#This Row],[Brand]])</f>
        <v>14431000</v>
      </c>
      <c r="S3115" s="13">
        <f>SUMIF(H:H,Online_eCommerce[[#This Row],[Brand]],M:M)</f>
        <v>18760300</v>
      </c>
      <c r="T3115" s="13">
        <f>SUMIF(N:N,Online_eCommerce[[#This Row],[Assigned Supervisor]],L:L)</f>
        <v>14373360</v>
      </c>
    </row>
    <row r="3116" spans="1:20" hidden="1" x14ac:dyDescent="0.3">
      <c r="A3116" t="s">
        <v>4658</v>
      </c>
      <c r="B3116" t="s">
        <v>528</v>
      </c>
      <c r="C3116" t="s">
        <v>58</v>
      </c>
      <c r="D3116" t="s">
        <v>4659</v>
      </c>
      <c r="E3116" t="s">
        <v>18</v>
      </c>
      <c r="F3116" t="s">
        <v>129</v>
      </c>
      <c r="G3116" t="s">
        <v>60</v>
      </c>
      <c r="H3116" t="s">
        <v>61</v>
      </c>
      <c r="I3116">
        <v>800</v>
      </c>
      <c r="J3116">
        <v>1040</v>
      </c>
      <c r="K3116">
        <v>1</v>
      </c>
      <c r="L3116">
        <v>800</v>
      </c>
      <c r="M3116">
        <v>1040</v>
      </c>
      <c r="N3116" t="s">
        <v>42</v>
      </c>
      <c r="O3116">
        <f t="shared" si="96"/>
        <v>3315</v>
      </c>
      <c r="P3116" s="13">
        <f t="shared" si="97"/>
        <v>2629211</v>
      </c>
      <c r="Q3116" s="13">
        <f>SUMIFS(M:M,E:E,Online_eCommerce[[#This Row],[Status]])</f>
        <v>28340455</v>
      </c>
      <c r="R3116" s="13">
        <f>SUMIFS(L:L,H:H,Online_eCommerce[[#This Row],[Brand]])</f>
        <v>10950150</v>
      </c>
      <c r="S3116" s="13">
        <f>SUMIF(H:H,Online_eCommerce[[#This Row],[Brand]],M:M)</f>
        <v>14235195</v>
      </c>
      <c r="T3116" s="13">
        <f>SUMIF(N:N,Online_eCommerce[[#This Row],[Assigned Supervisor]],L:L)</f>
        <v>12261500</v>
      </c>
    </row>
    <row r="3117" spans="1:20" hidden="1" x14ac:dyDescent="0.3">
      <c r="A3117" t="s">
        <v>4660</v>
      </c>
      <c r="B3117" t="s">
        <v>73</v>
      </c>
      <c r="C3117" t="s">
        <v>63</v>
      </c>
      <c r="D3117" t="s">
        <v>4661</v>
      </c>
      <c r="E3117" t="s">
        <v>161</v>
      </c>
      <c r="F3117" t="s">
        <v>133</v>
      </c>
      <c r="G3117" t="s">
        <v>66</v>
      </c>
      <c r="H3117" t="s">
        <v>21</v>
      </c>
      <c r="I3117">
        <v>600</v>
      </c>
      <c r="J3117">
        <v>780</v>
      </c>
      <c r="K3117">
        <v>2</v>
      </c>
      <c r="L3117">
        <v>1200</v>
      </c>
      <c r="M3117">
        <v>1560</v>
      </c>
      <c r="N3117" t="s">
        <v>50</v>
      </c>
      <c r="O3117">
        <f t="shared" si="96"/>
        <v>1690</v>
      </c>
      <c r="P3117" s="13">
        <f t="shared" si="97"/>
        <v>2016131</v>
      </c>
      <c r="Q3117" s="13">
        <f>SUMIFS(M:M,E:E,Online_eCommerce[[#This Row],[Status]])</f>
        <v>21103186</v>
      </c>
      <c r="R3117" s="13">
        <f>SUMIFS(L:L,H:H,Online_eCommerce[[#This Row],[Brand]])</f>
        <v>12435650</v>
      </c>
      <c r="S3117" s="13">
        <f>SUMIF(H:H,Online_eCommerce[[#This Row],[Brand]],M:M)</f>
        <v>16166345</v>
      </c>
      <c r="T3117" s="13">
        <f>SUMIF(N:N,Online_eCommerce[[#This Row],[Assigned Supervisor]],L:L)</f>
        <v>12100590</v>
      </c>
    </row>
    <row r="3118" spans="1:20" x14ac:dyDescent="0.3">
      <c r="A3118" t="s">
        <v>4662</v>
      </c>
      <c r="B3118" t="s">
        <v>80</v>
      </c>
      <c r="C3118" t="s">
        <v>68</v>
      </c>
      <c r="D3118" t="s">
        <v>4663</v>
      </c>
      <c r="E3118" t="s">
        <v>46</v>
      </c>
      <c r="F3118" t="s">
        <v>137</v>
      </c>
      <c r="G3118" t="s">
        <v>71</v>
      </c>
      <c r="H3118" t="s">
        <v>61</v>
      </c>
      <c r="I3118">
        <v>10500</v>
      </c>
      <c r="J3118">
        <v>13650</v>
      </c>
      <c r="K3118">
        <v>4</v>
      </c>
      <c r="L3118">
        <v>42000</v>
      </c>
      <c r="M3118">
        <v>54600</v>
      </c>
      <c r="N3118" t="s">
        <v>56</v>
      </c>
      <c r="O3118">
        <f t="shared" si="96"/>
        <v>9750</v>
      </c>
      <c r="P3118" s="13">
        <f t="shared" si="97"/>
        <v>2974621</v>
      </c>
      <c r="Q3118" s="13">
        <f>SUMIFS(M:M,E:E,Online_eCommerce[[#This Row],[Status]])</f>
        <v>28620410</v>
      </c>
      <c r="R3118" s="13">
        <f>SUMIFS(L:L,H:H,Online_eCommerce[[#This Row],[Brand]])</f>
        <v>10950150</v>
      </c>
      <c r="S3118" s="13">
        <f>SUMIF(H:H,Online_eCommerce[[#This Row],[Brand]],M:M)</f>
        <v>14235195</v>
      </c>
      <c r="T3118" s="13">
        <f>SUMIF(N:N,Online_eCommerce[[#This Row],[Assigned Supervisor]],L:L)</f>
        <v>11733610</v>
      </c>
    </row>
    <row r="3119" spans="1:20" hidden="1" x14ac:dyDescent="0.3">
      <c r="A3119" t="s">
        <v>4664</v>
      </c>
      <c r="B3119" t="s">
        <v>85</v>
      </c>
      <c r="C3119" t="s">
        <v>74</v>
      </c>
      <c r="D3119" t="s">
        <v>4665</v>
      </c>
      <c r="E3119" t="s">
        <v>96</v>
      </c>
      <c r="F3119" t="s">
        <v>4612</v>
      </c>
      <c r="G3119" t="s">
        <v>77</v>
      </c>
      <c r="H3119" t="s">
        <v>142</v>
      </c>
      <c r="I3119">
        <v>6500</v>
      </c>
      <c r="J3119">
        <v>8450</v>
      </c>
      <c r="K3119">
        <v>3</v>
      </c>
      <c r="L3119">
        <v>19500</v>
      </c>
      <c r="M3119">
        <v>25350</v>
      </c>
      <c r="N3119" t="s">
        <v>22</v>
      </c>
      <c r="O3119">
        <f t="shared" si="96"/>
        <v>39000</v>
      </c>
      <c r="P3119" s="13">
        <f t="shared" si="97"/>
        <v>2144701</v>
      </c>
      <c r="Q3119" s="13">
        <f>SUMIFS(M:M,E:E,Online_eCommerce[[#This Row],[Status]])</f>
        <v>21233992</v>
      </c>
      <c r="R3119" s="13">
        <f>SUMIFS(L:L,H:H,Online_eCommerce[[#This Row],[Brand]])</f>
        <v>6192500</v>
      </c>
      <c r="S3119" s="13">
        <f>SUMIF(H:H,Online_eCommerce[[#This Row],[Brand]],M:M)</f>
        <v>8050250</v>
      </c>
      <c r="T3119" s="13">
        <f>SUMIF(N:N,Online_eCommerce[[#This Row],[Assigned Supervisor]],L:L)</f>
        <v>13693220</v>
      </c>
    </row>
    <row r="3120" spans="1:20" hidden="1" x14ac:dyDescent="0.3">
      <c r="A3120" t="s">
        <v>4666</v>
      </c>
      <c r="B3120" t="s">
        <v>90</v>
      </c>
      <c r="C3120" t="s">
        <v>81</v>
      </c>
      <c r="D3120" t="s">
        <v>4667</v>
      </c>
      <c r="E3120" t="s">
        <v>18</v>
      </c>
      <c r="F3120" t="s">
        <v>4668</v>
      </c>
      <c r="G3120" t="s">
        <v>20</v>
      </c>
      <c r="H3120" t="s">
        <v>21</v>
      </c>
      <c r="I3120">
        <v>4500</v>
      </c>
      <c r="J3120">
        <v>5850</v>
      </c>
      <c r="K3120">
        <v>2</v>
      </c>
      <c r="L3120">
        <v>9000</v>
      </c>
      <c r="M3120">
        <v>11700</v>
      </c>
      <c r="N3120" t="s">
        <v>28</v>
      </c>
      <c r="O3120">
        <f t="shared" si="96"/>
        <v>8450</v>
      </c>
      <c r="P3120" s="13">
        <f t="shared" si="97"/>
        <v>2595632</v>
      </c>
      <c r="Q3120" s="13">
        <f>SUMIFS(M:M,E:E,Online_eCommerce[[#This Row],[Status]])</f>
        <v>28340455</v>
      </c>
      <c r="R3120" s="13">
        <f>SUMIFS(L:L,H:H,Online_eCommerce[[#This Row],[Brand]])</f>
        <v>12435650</v>
      </c>
      <c r="S3120" s="13">
        <f>SUMIF(H:H,Online_eCommerce[[#This Row],[Brand]],M:M)</f>
        <v>16166345</v>
      </c>
      <c r="T3120" s="13">
        <f>SUMIF(N:N,Online_eCommerce[[#This Row],[Assigned Supervisor]],L:L)</f>
        <v>12220830</v>
      </c>
    </row>
    <row r="3121" spans="1:20" hidden="1" x14ac:dyDescent="0.3">
      <c r="A3121" t="s">
        <v>4669</v>
      </c>
      <c r="B3121" t="s">
        <v>232</v>
      </c>
      <c r="C3121" t="s">
        <v>86</v>
      </c>
      <c r="D3121" t="s">
        <v>4670</v>
      </c>
      <c r="E3121" t="s">
        <v>161</v>
      </c>
      <c r="F3121" t="s">
        <v>152</v>
      </c>
      <c r="G3121" t="s">
        <v>26</v>
      </c>
      <c r="H3121" t="s">
        <v>27</v>
      </c>
      <c r="I3121">
        <v>8500</v>
      </c>
      <c r="J3121">
        <v>11050</v>
      </c>
      <c r="K3121">
        <v>3</v>
      </c>
      <c r="L3121">
        <v>25500</v>
      </c>
      <c r="M3121">
        <v>33150</v>
      </c>
      <c r="N3121" t="s">
        <v>35</v>
      </c>
      <c r="O3121">
        <f t="shared" si="96"/>
        <v>33150</v>
      </c>
      <c r="P3121" s="13">
        <f t="shared" si="97"/>
        <v>1941225</v>
      </c>
      <c r="Q3121" s="13">
        <f>SUMIFS(M:M,E:E,Online_eCommerce[[#This Row],[Status]])</f>
        <v>21103186</v>
      </c>
      <c r="R3121" s="13">
        <f>SUMIFS(L:L,H:H,Online_eCommerce[[#This Row],[Brand]])</f>
        <v>14431000</v>
      </c>
      <c r="S3121" s="13">
        <f>SUMIF(H:H,Online_eCommerce[[#This Row],[Brand]],M:M)</f>
        <v>18760300</v>
      </c>
      <c r="T3121" s="13">
        <f>SUMIF(N:N,Online_eCommerce[[#This Row],[Assigned Supervisor]],L:L)</f>
        <v>14373360</v>
      </c>
    </row>
    <row r="3122" spans="1:20" x14ac:dyDescent="0.3">
      <c r="A3122" t="s">
        <v>4671</v>
      </c>
      <c r="B3122" t="s">
        <v>235</v>
      </c>
      <c r="C3122" t="s">
        <v>91</v>
      </c>
      <c r="D3122" t="s">
        <v>4672</v>
      </c>
      <c r="E3122" t="s">
        <v>46</v>
      </c>
      <c r="F3122" t="s">
        <v>157</v>
      </c>
      <c r="G3122" t="s">
        <v>33</v>
      </c>
      <c r="H3122" t="s">
        <v>34</v>
      </c>
      <c r="I3122">
        <v>12500</v>
      </c>
      <c r="J3122">
        <v>16250</v>
      </c>
      <c r="K3122">
        <v>2</v>
      </c>
      <c r="L3122">
        <v>25000</v>
      </c>
      <c r="M3122">
        <v>32500</v>
      </c>
      <c r="N3122" t="s">
        <v>42</v>
      </c>
      <c r="O3122">
        <f t="shared" si="96"/>
        <v>18200</v>
      </c>
      <c r="P3122" s="13">
        <f t="shared" si="97"/>
        <v>2731963</v>
      </c>
      <c r="Q3122" s="13">
        <f>SUMIFS(M:M,E:E,Online_eCommerce[[#This Row],[Status]])</f>
        <v>28620410</v>
      </c>
      <c r="R3122" s="13">
        <f>SUMIFS(L:L,H:H,Online_eCommerce[[#This Row],[Brand]])</f>
        <v>10087000</v>
      </c>
      <c r="S3122" s="13">
        <f>SUMIF(H:H,Online_eCommerce[[#This Row],[Brand]],M:M)</f>
        <v>13113100</v>
      </c>
      <c r="T3122" s="13">
        <f>SUMIF(N:N,Online_eCommerce[[#This Row],[Assigned Supervisor]],L:L)</f>
        <v>12261500</v>
      </c>
    </row>
    <row r="3123" spans="1:20" hidden="1" x14ac:dyDescent="0.3">
      <c r="A3123" t="s">
        <v>4673</v>
      </c>
      <c r="B3123" t="s">
        <v>104</v>
      </c>
      <c r="C3123" t="s">
        <v>94</v>
      </c>
      <c r="D3123" t="s">
        <v>4674</v>
      </c>
      <c r="E3123" t="s">
        <v>96</v>
      </c>
      <c r="F3123" t="s">
        <v>4240</v>
      </c>
      <c r="G3123" t="s">
        <v>256</v>
      </c>
      <c r="H3123" t="s">
        <v>41</v>
      </c>
      <c r="I3123">
        <v>3500</v>
      </c>
      <c r="J3123">
        <v>4550</v>
      </c>
      <c r="K3123">
        <v>1</v>
      </c>
      <c r="L3123">
        <v>3500</v>
      </c>
      <c r="M3123">
        <v>4550</v>
      </c>
      <c r="N3123" t="s">
        <v>50</v>
      </c>
      <c r="O3123">
        <f t="shared" si="96"/>
        <v>9100</v>
      </c>
      <c r="P3123" s="13">
        <f t="shared" si="97"/>
        <v>1868256</v>
      </c>
      <c r="Q3123" s="13">
        <f>SUMIFS(M:M,E:E,Online_eCommerce[[#This Row],[Status]])</f>
        <v>21233992</v>
      </c>
      <c r="R3123" s="13">
        <f>SUMIFS(L:L,H:H,Online_eCommerce[[#This Row],[Brand]])</f>
        <v>4260400</v>
      </c>
      <c r="S3123" s="13">
        <f>SUMIF(H:H,Online_eCommerce[[#This Row],[Brand]],M:M)</f>
        <v>5538520</v>
      </c>
      <c r="T3123" s="13">
        <f>SUMIF(N:N,Online_eCommerce[[#This Row],[Assigned Supervisor]],L:L)</f>
        <v>12100590</v>
      </c>
    </row>
    <row r="3124" spans="1:20" hidden="1" x14ac:dyDescent="0.3">
      <c r="A3124" t="s">
        <v>4675</v>
      </c>
      <c r="B3124" t="s">
        <v>109</v>
      </c>
      <c r="C3124" t="s">
        <v>99</v>
      </c>
      <c r="D3124" t="s">
        <v>4676</v>
      </c>
      <c r="E3124" t="s">
        <v>18</v>
      </c>
      <c r="F3124" t="s">
        <v>166</v>
      </c>
      <c r="G3124" t="s">
        <v>259</v>
      </c>
      <c r="H3124" t="s">
        <v>49</v>
      </c>
      <c r="I3124">
        <v>4500</v>
      </c>
      <c r="J3124">
        <v>5850</v>
      </c>
      <c r="K3124">
        <v>1</v>
      </c>
      <c r="L3124">
        <v>4500</v>
      </c>
      <c r="M3124">
        <v>5850</v>
      </c>
      <c r="N3124" t="s">
        <v>56</v>
      </c>
      <c r="O3124">
        <f t="shared" si="96"/>
        <v>11700</v>
      </c>
      <c r="P3124" s="13">
        <f t="shared" si="97"/>
        <v>2651233</v>
      </c>
      <c r="Q3124" s="13">
        <f>SUMIFS(M:M,E:E,Online_eCommerce[[#This Row],[Status]])</f>
        <v>28340455</v>
      </c>
      <c r="R3124" s="13">
        <f>SUMIFS(L:L,H:H,Online_eCommerce[[#This Row],[Brand]])</f>
        <v>4528350</v>
      </c>
      <c r="S3124" s="13">
        <f>SUMIF(H:H,Online_eCommerce[[#This Row],[Brand]],M:M)</f>
        <v>5886855</v>
      </c>
      <c r="T3124" s="13">
        <f>SUMIF(N:N,Online_eCommerce[[#This Row],[Assigned Supervisor]],L:L)</f>
        <v>11733610</v>
      </c>
    </row>
    <row r="3125" spans="1:20" hidden="1" x14ac:dyDescent="0.3">
      <c r="A3125" t="s">
        <v>4677</v>
      </c>
      <c r="B3125" t="s">
        <v>114</v>
      </c>
      <c r="C3125" t="s">
        <v>105</v>
      </c>
      <c r="D3125" t="s">
        <v>4678</v>
      </c>
      <c r="E3125" t="s">
        <v>161</v>
      </c>
      <c r="F3125" t="s">
        <v>4679</v>
      </c>
      <c r="G3125" t="s">
        <v>54</v>
      </c>
      <c r="H3125" t="s">
        <v>55</v>
      </c>
      <c r="I3125">
        <v>2100</v>
      </c>
      <c r="J3125">
        <v>2730</v>
      </c>
      <c r="K3125">
        <v>4</v>
      </c>
      <c r="L3125">
        <v>8400</v>
      </c>
      <c r="M3125">
        <v>10920</v>
      </c>
      <c r="N3125" t="s">
        <v>22</v>
      </c>
      <c r="O3125">
        <f t="shared" si="96"/>
        <v>2990</v>
      </c>
      <c r="P3125" s="13">
        <f t="shared" si="97"/>
        <v>1866852</v>
      </c>
      <c r="Q3125" s="13">
        <f>SUMIFS(M:M,E:E,Online_eCommerce[[#This Row],[Status]])</f>
        <v>21103186</v>
      </c>
      <c r="R3125" s="13">
        <f>SUMIFS(L:L,H:H,Online_eCommerce[[#This Row],[Brand]])</f>
        <v>2267380</v>
      </c>
      <c r="S3125" s="13">
        <f>SUMIF(H:H,Online_eCommerce[[#This Row],[Brand]],M:M)</f>
        <v>2947594</v>
      </c>
      <c r="T3125" s="13">
        <f>SUMIF(N:N,Online_eCommerce[[#This Row],[Assigned Supervisor]],L:L)</f>
        <v>13693220</v>
      </c>
    </row>
    <row r="3126" spans="1:20" x14ac:dyDescent="0.3">
      <c r="A3126" t="s">
        <v>4680</v>
      </c>
      <c r="B3126" t="s">
        <v>119</v>
      </c>
      <c r="C3126" t="s">
        <v>110</v>
      </c>
      <c r="D3126" t="s">
        <v>4681</v>
      </c>
      <c r="E3126" t="s">
        <v>46</v>
      </c>
      <c r="F3126" t="s">
        <v>174</v>
      </c>
      <c r="G3126" t="s">
        <v>60</v>
      </c>
      <c r="H3126" t="s">
        <v>61</v>
      </c>
      <c r="I3126">
        <v>1150</v>
      </c>
      <c r="J3126">
        <v>1495</v>
      </c>
      <c r="K3126">
        <v>3</v>
      </c>
      <c r="L3126">
        <v>3450</v>
      </c>
      <c r="M3126">
        <v>4485</v>
      </c>
      <c r="N3126" t="s">
        <v>28</v>
      </c>
      <c r="O3126">
        <f t="shared" si="96"/>
        <v>3315</v>
      </c>
      <c r="P3126" s="13">
        <f t="shared" si="97"/>
        <v>2598635</v>
      </c>
      <c r="Q3126" s="13">
        <f>SUMIFS(M:M,E:E,Online_eCommerce[[#This Row],[Status]])</f>
        <v>28620410</v>
      </c>
      <c r="R3126" s="13">
        <f>SUMIFS(L:L,H:H,Online_eCommerce[[#This Row],[Brand]])</f>
        <v>10950150</v>
      </c>
      <c r="S3126" s="13">
        <f>SUMIF(H:H,Online_eCommerce[[#This Row],[Brand]],M:M)</f>
        <v>14235195</v>
      </c>
      <c r="T3126" s="13">
        <f>SUMIF(N:N,Online_eCommerce[[#This Row],[Assigned Supervisor]],L:L)</f>
        <v>12220830</v>
      </c>
    </row>
    <row r="3127" spans="1:20" hidden="1" x14ac:dyDescent="0.3">
      <c r="A3127" t="s">
        <v>4682</v>
      </c>
      <c r="B3127" t="s">
        <v>124</v>
      </c>
      <c r="C3127" t="s">
        <v>115</v>
      </c>
      <c r="D3127" t="s">
        <v>4683</v>
      </c>
      <c r="E3127" t="s">
        <v>96</v>
      </c>
      <c r="F3127" t="s">
        <v>179</v>
      </c>
      <c r="G3127" t="s">
        <v>66</v>
      </c>
      <c r="H3127" t="s">
        <v>21</v>
      </c>
      <c r="I3127">
        <v>350</v>
      </c>
      <c r="J3127">
        <v>455</v>
      </c>
      <c r="K3127">
        <v>1</v>
      </c>
      <c r="L3127">
        <v>350</v>
      </c>
      <c r="M3127">
        <v>455</v>
      </c>
      <c r="N3127" t="s">
        <v>35</v>
      </c>
      <c r="O3127">
        <f t="shared" si="96"/>
        <v>1690</v>
      </c>
      <c r="P3127" s="13">
        <f t="shared" si="97"/>
        <v>2050178</v>
      </c>
      <c r="Q3127" s="13">
        <f>SUMIFS(M:M,E:E,Online_eCommerce[[#This Row],[Status]])</f>
        <v>21233992</v>
      </c>
      <c r="R3127" s="13">
        <f>SUMIFS(L:L,H:H,Online_eCommerce[[#This Row],[Brand]])</f>
        <v>12435650</v>
      </c>
      <c r="S3127" s="13">
        <f>SUMIF(H:H,Online_eCommerce[[#This Row],[Brand]],M:M)</f>
        <v>16166345</v>
      </c>
      <c r="T3127" s="13">
        <f>SUMIF(N:N,Online_eCommerce[[#This Row],[Assigned Supervisor]],L:L)</f>
        <v>14373360</v>
      </c>
    </row>
    <row r="3128" spans="1:20" hidden="1" x14ac:dyDescent="0.3">
      <c r="A3128" t="s">
        <v>4684</v>
      </c>
      <c r="B3128" t="s">
        <v>128</v>
      </c>
      <c r="C3128" t="s">
        <v>120</v>
      </c>
      <c r="D3128" t="s">
        <v>4683</v>
      </c>
      <c r="E3128" t="s">
        <v>18</v>
      </c>
      <c r="F3128" t="s">
        <v>183</v>
      </c>
      <c r="G3128" t="s">
        <v>71</v>
      </c>
      <c r="H3128" t="s">
        <v>61</v>
      </c>
      <c r="I3128">
        <v>9500</v>
      </c>
      <c r="J3128">
        <v>12350</v>
      </c>
      <c r="K3128">
        <v>3</v>
      </c>
      <c r="L3128">
        <v>28500</v>
      </c>
      <c r="M3128">
        <v>37050</v>
      </c>
      <c r="N3128" t="s">
        <v>42</v>
      </c>
      <c r="O3128">
        <f t="shared" si="96"/>
        <v>9750</v>
      </c>
      <c r="P3128" s="13">
        <f t="shared" si="97"/>
        <v>2734212</v>
      </c>
      <c r="Q3128" s="13">
        <f>SUMIFS(M:M,E:E,Online_eCommerce[[#This Row],[Status]])</f>
        <v>28340455</v>
      </c>
      <c r="R3128" s="13">
        <f>SUMIFS(L:L,H:H,Online_eCommerce[[#This Row],[Brand]])</f>
        <v>10950150</v>
      </c>
      <c r="S3128" s="13">
        <f>SUMIF(H:H,Online_eCommerce[[#This Row],[Brand]],M:M)</f>
        <v>14235195</v>
      </c>
      <c r="T3128" s="13">
        <f>SUMIF(N:N,Online_eCommerce[[#This Row],[Assigned Supervisor]],L:L)</f>
        <v>12261500</v>
      </c>
    </row>
    <row r="3129" spans="1:20" hidden="1" x14ac:dyDescent="0.3">
      <c r="A3129" t="s">
        <v>4685</v>
      </c>
      <c r="B3129" t="s">
        <v>131</v>
      </c>
      <c r="C3129" t="s">
        <v>125</v>
      </c>
      <c r="D3129" t="s">
        <v>4683</v>
      </c>
      <c r="E3129" t="s">
        <v>161</v>
      </c>
      <c r="F3129" t="s">
        <v>4686</v>
      </c>
      <c r="G3129" t="s">
        <v>77</v>
      </c>
      <c r="H3129" t="s">
        <v>142</v>
      </c>
      <c r="I3129">
        <v>10000</v>
      </c>
      <c r="J3129">
        <v>13000</v>
      </c>
      <c r="K3129">
        <v>4</v>
      </c>
      <c r="L3129">
        <v>40000</v>
      </c>
      <c r="M3129">
        <v>52000</v>
      </c>
      <c r="N3129" t="s">
        <v>50</v>
      </c>
      <c r="O3129">
        <f t="shared" si="96"/>
        <v>39000</v>
      </c>
      <c r="P3129" s="13">
        <f t="shared" si="97"/>
        <v>2091154</v>
      </c>
      <c r="Q3129" s="13">
        <f>SUMIFS(M:M,E:E,Online_eCommerce[[#This Row],[Status]])</f>
        <v>21103186</v>
      </c>
      <c r="R3129" s="13">
        <f>SUMIFS(L:L,H:H,Online_eCommerce[[#This Row],[Brand]])</f>
        <v>6192500</v>
      </c>
      <c r="S3129" s="13">
        <f>SUMIF(H:H,Online_eCommerce[[#This Row],[Brand]],M:M)</f>
        <v>8050250</v>
      </c>
      <c r="T3129" s="13">
        <f>SUMIF(N:N,Online_eCommerce[[#This Row],[Assigned Supervisor]],L:L)</f>
        <v>12100590</v>
      </c>
    </row>
    <row r="3130" spans="1:20" x14ac:dyDescent="0.3">
      <c r="A3130" t="s">
        <v>4687</v>
      </c>
      <c r="B3130" t="s">
        <v>135</v>
      </c>
      <c r="C3130" t="s">
        <v>22</v>
      </c>
      <c r="D3130" t="s">
        <v>4683</v>
      </c>
      <c r="E3130" t="s">
        <v>46</v>
      </c>
      <c r="F3130" t="s">
        <v>4688</v>
      </c>
      <c r="G3130" t="s">
        <v>20</v>
      </c>
      <c r="H3130" t="s">
        <v>21</v>
      </c>
      <c r="I3130">
        <v>6500</v>
      </c>
      <c r="J3130">
        <v>8450</v>
      </c>
      <c r="K3130">
        <v>1</v>
      </c>
      <c r="L3130">
        <v>6500</v>
      </c>
      <c r="M3130">
        <v>8450</v>
      </c>
      <c r="N3130" t="s">
        <v>56</v>
      </c>
      <c r="O3130">
        <f t="shared" si="96"/>
        <v>8450</v>
      </c>
      <c r="P3130" s="13">
        <f t="shared" si="97"/>
        <v>2551588</v>
      </c>
      <c r="Q3130" s="13">
        <f>SUMIFS(M:M,E:E,Online_eCommerce[[#This Row],[Status]])</f>
        <v>28620410</v>
      </c>
      <c r="R3130" s="13">
        <f>SUMIFS(L:L,H:H,Online_eCommerce[[#This Row],[Brand]])</f>
        <v>12435650</v>
      </c>
      <c r="S3130" s="13">
        <f>SUMIF(H:H,Online_eCommerce[[#This Row],[Brand]],M:M)</f>
        <v>16166345</v>
      </c>
      <c r="T3130" s="13">
        <f>SUMIF(N:N,Online_eCommerce[[#This Row],[Assigned Supervisor]],L:L)</f>
        <v>11733610</v>
      </c>
    </row>
    <row r="3131" spans="1:20" hidden="1" x14ac:dyDescent="0.3">
      <c r="A3131" t="s">
        <v>4689</v>
      </c>
      <c r="B3131" t="s">
        <v>139</v>
      </c>
      <c r="C3131" t="s">
        <v>132</v>
      </c>
      <c r="D3131" t="s">
        <v>4683</v>
      </c>
      <c r="E3131" t="s">
        <v>96</v>
      </c>
      <c r="F3131" t="s">
        <v>4690</v>
      </c>
      <c r="G3131" t="s">
        <v>26</v>
      </c>
      <c r="H3131" t="s">
        <v>27</v>
      </c>
      <c r="I3131">
        <v>8500</v>
      </c>
      <c r="J3131">
        <v>11050</v>
      </c>
      <c r="K3131">
        <v>1</v>
      </c>
      <c r="L3131">
        <v>8500</v>
      </c>
      <c r="M3131">
        <v>11050</v>
      </c>
      <c r="N3131" t="s">
        <v>22</v>
      </c>
      <c r="O3131">
        <f t="shared" si="96"/>
        <v>33150</v>
      </c>
      <c r="P3131" s="13">
        <f t="shared" si="97"/>
        <v>1989065</v>
      </c>
      <c r="Q3131" s="13">
        <f>SUMIFS(M:M,E:E,Online_eCommerce[[#This Row],[Status]])</f>
        <v>21233992</v>
      </c>
      <c r="R3131" s="13">
        <f>SUMIFS(L:L,H:H,Online_eCommerce[[#This Row],[Brand]])</f>
        <v>14431000</v>
      </c>
      <c r="S3131" s="13">
        <f>SUMIF(H:H,Online_eCommerce[[#This Row],[Brand]],M:M)</f>
        <v>18760300</v>
      </c>
      <c r="T3131" s="13">
        <f>SUMIF(N:N,Online_eCommerce[[#This Row],[Assigned Supervisor]],L:L)</f>
        <v>13693220</v>
      </c>
    </row>
    <row r="3132" spans="1:20" hidden="1" x14ac:dyDescent="0.3">
      <c r="A3132" t="s">
        <v>4691</v>
      </c>
      <c r="B3132" t="s">
        <v>144</v>
      </c>
      <c r="C3132" t="s">
        <v>136</v>
      </c>
      <c r="D3132" t="s">
        <v>4683</v>
      </c>
      <c r="E3132" t="s">
        <v>18</v>
      </c>
      <c r="F3132" t="s">
        <v>32</v>
      </c>
      <c r="G3132" t="s">
        <v>33</v>
      </c>
      <c r="H3132" t="s">
        <v>34</v>
      </c>
      <c r="I3132">
        <v>7000</v>
      </c>
      <c r="J3132">
        <v>9100</v>
      </c>
      <c r="K3132">
        <v>3</v>
      </c>
      <c r="L3132">
        <v>21000</v>
      </c>
      <c r="M3132">
        <v>27300</v>
      </c>
      <c r="N3132" t="s">
        <v>28</v>
      </c>
      <c r="O3132">
        <f t="shared" si="96"/>
        <v>18200</v>
      </c>
      <c r="P3132" s="13">
        <f t="shared" si="97"/>
        <v>2775162</v>
      </c>
      <c r="Q3132" s="13">
        <f>SUMIFS(M:M,E:E,Online_eCommerce[[#This Row],[Status]])</f>
        <v>28340455</v>
      </c>
      <c r="R3132" s="13">
        <f>SUMIFS(L:L,H:H,Online_eCommerce[[#This Row],[Brand]])</f>
        <v>10087000</v>
      </c>
      <c r="S3132" s="13">
        <f>SUMIF(H:H,Online_eCommerce[[#This Row],[Brand]],M:M)</f>
        <v>13113100</v>
      </c>
      <c r="T3132" s="13">
        <f>SUMIF(N:N,Online_eCommerce[[#This Row],[Assigned Supervisor]],L:L)</f>
        <v>12220830</v>
      </c>
    </row>
    <row r="3133" spans="1:20" hidden="1" x14ac:dyDescent="0.3">
      <c r="A3133" t="s">
        <v>4692</v>
      </c>
      <c r="B3133" t="s">
        <v>149</v>
      </c>
      <c r="C3133" t="s">
        <v>140</v>
      </c>
      <c r="D3133" t="s">
        <v>4683</v>
      </c>
      <c r="E3133" t="s">
        <v>161</v>
      </c>
      <c r="F3133" t="s">
        <v>4693</v>
      </c>
      <c r="G3133" t="s">
        <v>256</v>
      </c>
      <c r="H3133" t="s">
        <v>41</v>
      </c>
      <c r="I3133">
        <v>6550</v>
      </c>
      <c r="J3133">
        <v>8515</v>
      </c>
      <c r="K3133">
        <v>2</v>
      </c>
      <c r="L3133">
        <v>13100</v>
      </c>
      <c r="M3133">
        <v>17030</v>
      </c>
      <c r="N3133" t="s">
        <v>35</v>
      </c>
      <c r="O3133">
        <f t="shared" si="96"/>
        <v>9100</v>
      </c>
      <c r="P3133" s="13">
        <f t="shared" si="97"/>
        <v>2058264</v>
      </c>
      <c r="Q3133" s="13">
        <f>SUMIFS(M:M,E:E,Online_eCommerce[[#This Row],[Status]])</f>
        <v>21103186</v>
      </c>
      <c r="R3133" s="13">
        <f>SUMIFS(L:L,H:H,Online_eCommerce[[#This Row],[Brand]])</f>
        <v>4260400</v>
      </c>
      <c r="S3133" s="13">
        <f>SUMIF(H:H,Online_eCommerce[[#This Row],[Brand]],M:M)</f>
        <v>5538520</v>
      </c>
      <c r="T3133" s="13">
        <f>SUMIF(N:N,Online_eCommerce[[#This Row],[Assigned Supervisor]],L:L)</f>
        <v>14373360</v>
      </c>
    </row>
    <row r="3134" spans="1:20" x14ac:dyDescent="0.3">
      <c r="A3134" t="s">
        <v>4694</v>
      </c>
      <c r="B3134" t="s">
        <v>154</v>
      </c>
      <c r="C3134" t="s">
        <v>145</v>
      </c>
      <c r="D3134" t="s">
        <v>4683</v>
      </c>
      <c r="E3134" t="s">
        <v>46</v>
      </c>
      <c r="F3134" t="s">
        <v>47</v>
      </c>
      <c r="G3134" t="s">
        <v>259</v>
      </c>
      <c r="H3134" t="s">
        <v>49</v>
      </c>
      <c r="I3134">
        <v>7650</v>
      </c>
      <c r="J3134">
        <v>9945</v>
      </c>
      <c r="K3134">
        <v>3</v>
      </c>
      <c r="L3134">
        <v>22950</v>
      </c>
      <c r="M3134">
        <v>29835</v>
      </c>
      <c r="N3134" t="s">
        <v>42</v>
      </c>
      <c r="O3134">
        <f t="shared" si="96"/>
        <v>11700</v>
      </c>
      <c r="P3134" s="13">
        <f t="shared" si="97"/>
        <v>2757859</v>
      </c>
      <c r="Q3134" s="13">
        <f>SUMIFS(M:M,E:E,Online_eCommerce[[#This Row],[Status]])</f>
        <v>28620410</v>
      </c>
      <c r="R3134" s="13">
        <f>SUMIFS(L:L,H:H,Online_eCommerce[[#This Row],[Brand]])</f>
        <v>4528350</v>
      </c>
      <c r="S3134" s="13">
        <f>SUMIF(H:H,Online_eCommerce[[#This Row],[Brand]],M:M)</f>
        <v>5886855</v>
      </c>
      <c r="T3134" s="13">
        <f>SUMIF(N:N,Online_eCommerce[[#This Row],[Assigned Supervisor]],L:L)</f>
        <v>12261500</v>
      </c>
    </row>
    <row r="3135" spans="1:20" hidden="1" x14ac:dyDescent="0.3">
      <c r="A3135" t="s">
        <v>4695</v>
      </c>
      <c r="B3135" t="s">
        <v>159</v>
      </c>
      <c r="C3135" t="s">
        <v>150</v>
      </c>
      <c r="D3135" t="s">
        <v>4696</v>
      </c>
      <c r="E3135" t="s">
        <v>96</v>
      </c>
      <c r="F3135" t="s">
        <v>53</v>
      </c>
      <c r="G3135" t="s">
        <v>54</v>
      </c>
      <c r="H3135" t="s">
        <v>55</v>
      </c>
      <c r="I3135">
        <v>1150</v>
      </c>
      <c r="J3135">
        <v>1495</v>
      </c>
      <c r="K3135">
        <v>3</v>
      </c>
      <c r="L3135">
        <v>3450</v>
      </c>
      <c r="M3135">
        <v>4485</v>
      </c>
      <c r="N3135" t="s">
        <v>50</v>
      </c>
      <c r="O3135">
        <f t="shared" si="96"/>
        <v>2990</v>
      </c>
      <c r="P3135" s="13">
        <f t="shared" si="97"/>
        <v>2154984</v>
      </c>
      <c r="Q3135" s="13">
        <f>SUMIFS(M:M,E:E,Online_eCommerce[[#This Row],[Status]])</f>
        <v>21233992</v>
      </c>
      <c r="R3135" s="13">
        <f>SUMIFS(L:L,H:H,Online_eCommerce[[#This Row],[Brand]])</f>
        <v>2267380</v>
      </c>
      <c r="S3135" s="13">
        <f>SUMIF(H:H,Online_eCommerce[[#This Row],[Brand]],M:M)</f>
        <v>2947594</v>
      </c>
      <c r="T3135" s="13">
        <f>SUMIF(N:N,Online_eCommerce[[#This Row],[Assigned Supervisor]],L:L)</f>
        <v>12100590</v>
      </c>
    </row>
    <row r="3136" spans="1:20" hidden="1" x14ac:dyDescent="0.3">
      <c r="A3136" t="s">
        <v>4697</v>
      </c>
      <c r="B3136" t="s">
        <v>139</v>
      </c>
      <c r="C3136" t="s">
        <v>155</v>
      </c>
      <c r="D3136" t="s">
        <v>4698</v>
      </c>
      <c r="E3136" t="s">
        <v>18</v>
      </c>
      <c r="F3136" t="s">
        <v>59</v>
      </c>
      <c r="G3136" t="s">
        <v>60</v>
      </c>
      <c r="H3136" t="s">
        <v>61</v>
      </c>
      <c r="I3136">
        <v>850</v>
      </c>
      <c r="J3136">
        <v>1105</v>
      </c>
      <c r="K3136">
        <v>2</v>
      </c>
      <c r="L3136">
        <v>1700</v>
      </c>
      <c r="M3136">
        <v>2210</v>
      </c>
      <c r="N3136" t="s">
        <v>56</v>
      </c>
      <c r="O3136">
        <f t="shared" si="96"/>
        <v>3315</v>
      </c>
      <c r="P3136" s="13">
        <f t="shared" si="97"/>
        <v>2753348</v>
      </c>
      <c r="Q3136" s="13">
        <f>SUMIFS(M:M,E:E,Online_eCommerce[[#This Row],[Status]])</f>
        <v>28340455</v>
      </c>
      <c r="R3136" s="13">
        <f>SUMIFS(L:L,H:H,Online_eCommerce[[#This Row],[Brand]])</f>
        <v>10950150</v>
      </c>
      <c r="S3136" s="13">
        <f>SUMIF(H:H,Online_eCommerce[[#This Row],[Brand]],M:M)</f>
        <v>14235195</v>
      </c>
      <c r="T3136" s="13">
        <f>SUMIF(N:N,Online_eCommerce[[#This Row],[Assigned Supervisor]],L:L)</f>
        <v>11733610</v>
      </c>
    </row>
    <row r="3137" spans="1:20" hidden="1" x14ac:dyDescent="0.3">
      <c r="A3137" t="s">
        <v>4699</v>
      </c>
      <c r="B3137" t="s">
        <v>144</v>
      </c>
      <c r="C3137" t="s">
        <v>160</v>
      </c>
      <c r="D3137" t="s">
        <v>4700</v>
      </c>
      <c r="E3137" t="s">
        <v>161</v>
      </c>
      <c r="F3137" t="s">
        <v>65</v>
      </c>
      <c r="G3137" t="s">
        <v>66</v>
      </c>
      <c r="H3137" t="s">
        <v>21</v>
      </c>
      <c r="I3137">
        <v>650</v>
      </c>
      <c r="J3137">
        <v>845</v>
      </c>
      <c r="K3137">
        <v>1</v>
      </c>
      <c r="L3137">
        <v>650</v>
      </c>
      <c r="M3137">
        <v>845</v>
      </c>
      <c r="N3137" t="s">
        <v>22</v>
      </c>
      <c r="O3137">
        <f t="shared" si="96"/>
        <v>1690</v>
      </c>
      <c r="P3137" s="13">
        <f t="shared" si="97"/>
        <v>2303483</v>
      </c>
      <c r="Q3137" s="13">
        <f>SUMIFS(M:M,E:E,Online_eCommerce[[#This Row],[Status]])</f>
        <v>21103186</v>
      </c>
      <c r="R3137" s="13">
        <f>SUMIFS(L:L,H:H,Online_eCommerce[[#This Row],[Brand]])</f>
        <v>12435650</v>
      </c>
      <c r="S3137" s="13">
        <f>SUMIF(H:H,Online_eCommerce[[#This Row],[Brand]],M:M)</f>
        <v>16166345</v>
      </c>
      <c r="T3137" s="13">
        <f>SUMIF(N:N,Online_eCommerce[[#This Row],[Assigned Supervisor]],L:L)</f>
        <v>13693220</v>
      </c>
    </row>
    <row r="3138" spans="1:20" x14ac:dyDescent="0.3">
      <c r="A3138" t="s">
        <v>4701</v>
      </c>
      <c r="B3138" t="s">
        <v>235</v>
      </c>
      <c r="C3138" t="s">
        <v>165</v>
      </c>
      <c r="D3138" t="s">
        <v>4702</v>
      </c>
      <c r="E3138" t="s">
        <v>46</v>
      </c>
      <c r="F3138" t="s">
        <v>70</v>
      </c>
      <c r="G3138" t="s">
        <v>71</v>
      </c>
      <c r="H3138" t="s">
        <v>61</v>
      </c>
      <c r="I3138">
        <v>7500</v>
      </c>
      <c r="J3138">
        <v>9750</v>
      </c>
      <c r="K3138">
        <v>2</v>
      </c>
      <c r="L3138">
        <v>15000</v>
      </c>
      <c r="M3138">
        <v>19500</v>
      </c>
      <c r="N3138" t="s">
        <v>28</v>
      </c>
      <c r="O3138">
        <f t="shared" ref="O3138:O3201" si="98">VLOOKUP(G3138,G:M,7,FALSE)</f>
        <v>9750</v>
      </c>
      <c r="P3138" s="13">
        <f t="shared" ref="P3138:P3201" si="99">SUMIFS(M:M,C:C,C3138)</f>
        <v>2674087</v>
      </c>
      <c r="Q3138" s="13">
        <f>SUMIFS(M:M,E:E,Online_eCommerce[[#This Row],[Status]])</f>
        <v>28620410</v>
      </c>
      <c r="R3138" s="13">
        <f>SUMIFS(L:L,H:H,Online_eCommerce[[#This Row],[Brand]])</f>
        <v>10950150</v>
      </c>
      <c r="S3138" s="13">
        <f>SUMIF(H:H,Online_eCommerce[[#This Row],[Brand]],M:M)</f>
        <v>14235195</v>
      </c>
      <c r="T3138" s="13">
        <f>SUMIF(N:N,Online_eCommerce[[#This Row],[Assigned Supervisor]],L:L)</f>
        <v>12220830</v>
      </c>
    </row>
    <row r="3139" spans="1:20" hidden="1" x14ac:dyDescent="0.3">
      <c r="A3139" t="s">
        <v>4703</v>
      </c>
      <c r="B3139" t="s">
        <v>176</v>
      </c>
      <c r="C3139" t="s">
        <v>168</v>
      </c>
      <c r="D3139" t="s">
        <v>4704</v>
      </c>
      <c r="E3139" t="s">
        <v>96</v>
      </c>
      <c r="F3139" t="s">
        <v>4686</v>
      </c>
      <c r="G3139" t="s">
        <v>77</v>
      </c>
      <c r="H3139" t="s">
        <v>78</v>
      </c>
      <c r="I3139">
        <v>10000</v>
      </c>
      <c r="J3139">
        <v>13000</v>
      </c>
      <c r="K3139">
        <v>4</v>
      </c>
      <c r="L3139">
        <v>40000</v>
      </c>
      <c r="M3139">
        <v>52000</v>
      </c>
      <c r="N3139" t="s">
        <v>35</v>
      </c>
      <c r="O3139">
        <f t="shared" si="98"/>
        <v>39000</v>
      </c>
      <c r="P3139" s="13">
        <f t="shared" si="99"/>
        <v>1937780</v>
      </c>
      <c r="Q3139" s="13">
        <f>SUMIFS(M:M,E:E,Online_eCommerce[[#This Row],[Status]])</f>
        <v>21233992</v>
      </c>
      <c r="R3139" s="13">
        <f>SUMIFS(L:L,H:H,Online_eCommerce[[#This Row],[Brand]])</f>
        <v>3720000</v>
      </c>
      <c r="S3139" s="13">
        <f>SUMIF(H:H,Online_eCommerce[[#This Row],[Brand]],M:M)</f>
        <v>4836000</v>
      </c>
      <c r="T3139" s="13">
        <f>SUMIF(N:N,Online_eCommerce[[#This Row],[Assigned Supervisor]],L:L)</f>
        <v>14373360</v>
      </c>
    </row>
    <row r="3140" spans="1:20" hidden="1" x14ac:dyDescent="0.3">
      <c r="A3140" t="s">
        <v>4705</v>
      </c>
      <c r="B3140" t="s">
        <v>276</v>
      </c>
      <c r="C3140" t="s">
        <v>172</v>
      </c>
      <c r="D3140" t="s">
        <v>4706</v>
      </c>
      <c r="E3140" t="s">
        <v>18</v>
      </c>
      <c r="F3140" t="s">
        <v>4707</v>
      </c>
      <c r="G3140" t="s">
        <v>20</v>
      </c>
      <c r="H3140" t="s">
        <v>21</v>
      </c>
      <c r="I3140">
        <v>10500</v>
      </c>
      <c r="J3140">
        <v>13650</v>
      </c>
      <c r="K3140">
        <v>1</v>
      </c>
      <c r="L3140">
        <v>10500</v>
      </c>
      <c r="M3140">
        <v>13650</v>
      </c>
      <c r="N3140" t="s">
        <v>42</v>
      </c>
      <c r="O3140">
        <f t="shared" si="98"/>
        <v>8450</v>
      </c>
      <c r="P3140" s="13">
        <f t="shared" si="99"/>
        <v>2640274</v>
      </c>
      <c r="Q3140" s="13">
        <f>SUMIFS(M:M,E:E,Online_eCommerce[[#This Row],[Status]])</f>
        <v>28340455</v>
      </c>
      <c r="R3140" s="13">
        <f>SUMIFS(L:L,H:H,Online_eCommerce[[#This Row],[Brand]])</f>
        <v>12435650</v>
      </c>
      <c r="S3140" s="13">
        <f>SUMIF(H:H,Online_eCommerce[[#This Row],[Brand]],M:M)</f>
        <v>16166345</v>
      </c>
      <c r="T3140" s="13">
        <f>SUMIF(N:N,Online_eCommerce[[#This Row],[Assigned Supervisor]],L:L)</f>
        <v>12261500</v>
      </c>
    </row>
    <row r="3141" spans="1:20" hidden="1" x14ac:dyDescent="0.3">
      <c r="A3141" t="s">
        <v>4708</v>
      </c>
      <c r="B3141" t="s">
        <v>280</v>
      </c>
      <c r="C3141" t="s">
        <v>177</v>
      </c>
      <c r="D3141" t="s">
        <v>4709</v>
      </c>
      <c r="E3141" t="s">
        <v>161</v>
      </c>
      <c r="F3141" t="s">
        <v>88</v>
      </c>
      <c r="G3141" t="s">
        <v>26</v>
      </c>
      <c r="H3141" t="s">
        <v>27</v>
      </c>
      <c r="I3141">
        <v>8500</v>
      </c>
      <c r="J3141">
        <v>11050</v>
      </c>
      <c r="K3141">
        <v>2</v>
      </c>
      <c r="L3141">
        <v>17000</v>
      </c>
      <c r="M3141">
        <v>22100</v>
      </c>
      <c r="N3141" t="s">
        <v>50</v>
      </c>
      <c r="O3141">
        <f t="shared" si="98"/>
        <v>33150</v>
      </c>
      <c r="P3141" s="13">
        <f t="shared" si="99"/>
        <v>1863810</v>
      </c>
      <c r="Q3141" s="13">
        <f>SUMIFS(M:M,E:E,Online_eCommerce[[#This Row],[Status]])</f>
        <v>21103186</v>
      </c>
      <c r="R3141" s="13">
        <f>SUMIFS(L:L,H:H,Online_eCommerce[[#This Row],[Brand]])</f>
        <v>14431000</v>
      </c>
      <c r="S3141" s="13">
        <f>SUMIF(H:H,Online_eCommerce[[#This Row],[Brand]],M:M)</f>
        <v>18760300</v>
      </c>
      <c r="T3141" s="13">
        <f>SUMIF(N:N,Online_eCommerce[[#This Row],[Assigned Supervisor]],L:L)</f>
        <v>12100590</v>
      </c>
    </row>
    <row r="3142" spans="1:20" x14ac:dyDescent="0.3">
      <c r="A3142" t="s">
        <v>4710</v>
      </c>
      <c r="B3142" t="s">
        <v>283</v>
      </c>
      <c r="C3142" t="s">
        <v>181</v>
      </c>
      <c r="D3142" t="s">
        <v>4711</v>
      </c>
      <c r="E3142" t="s">
        <v>46</v>
      </c>
      <c r="F3142" t="s">
        <v>32</v>
      </c>
      <c r="G3142" t="s">
        <v>33</v>
      </c>
      <c r="H3142" t="s">
        <v>34</v>
      </c>
      <c r="I3142">
        <v>7000</v>
      </c>
      <c r="J3142">
        <v>9100</v>
      </c>
      <c r="K3142">
        <v>4</v>
      </c>
      <c r="L3142">
        <v>28000</v>
      </c>
      <c r="M3142">
        <v>36400</v>
      </c>
      <c r="N3142" t="s">
        <v>56</v>
      </c>
      <c r="O3142">
        <f t="shared" si="98"/>
        <v>18200</v>
      </c>
      <c r="P3142" s="13">
        <f t="shared" si="99"/>
        <v>2577458</v>
      </c>
      <c r="Q3142" s="13">
        <f>SUMIFS(M:M,E:E,Online_eCommerce[[#This Row],[Status]])</f>
        <v>28620410</v>
      </c>
      <c r="R3142" s="13">
        <f>SUMIFS(L:L,H:H,Online_eCommerce[[#This Row],[Brand]])</f>
        <v>10087000</v>
      </c>
      <c r="S3142" s="13">
        <f>SUMIF(H:H,Online_eCommerce[[#This Row],[Brand]],M:M)</f>
        <v>13113100</v>
      </c>
      <c r="T3142" s="13">
        <f>SUMIF(N:N,Online_eCommerce[[#This Row],[Assigned Supervisor]],L:L)</f>
        <v>11733610</v>
      </c>
    </row>
    <row r="3143" spans="1:20" hidden="1" x14ac:dyDescent="0.3">
      <c r="A3143" t="s">
        <v>4712</v>
      </c>
      <c r="B3143" t="s">
        <v>287</v>
      </c>
      <c r="C3143" t="s">
        <v>185</v>
      </c>
      <c r="D3143" t="s">
        <v>4713</v>
      </c>
      <c r="E3143" t="s">
        <v>96</v>
      </c>
      <c r="F3143" t="s">
        <v>4714</v>
      </c>
      <c r="G3143" t="s">
        <v>256</v>
      </c>
      <c r="H3143" t="s">
        <v>41</v>
      </c>
      <c r="I3143">
        <v>1680</v>
      </c>
      <c r="J3143">
        <v>2184</v>
      </c>
      <c r="K3143">
        <v>1</v>
      </c>
      <c r="L3143">
        <v>1680</v>
      </c>
      <c r="M3143">
        <v>2184</v>
      </c>
      <c r="N3143" t="s">
        <v>22</v>
      </c>
      <c r="O3143">
        <f t="shared" si="98"/>
        <v>9100</v>
      </c>
      <c r="P3143" s="13">
        <f t="shared" si="99"/>
        <v>2091596</v>
      </c>
      <c r="Q3143" s="13">
        <f>SUMIFS(M:M,E:E,Online_eCommerce[[#This Row],[Status]])</f>
        <v>21233992</v>
      </c>
      <c r="R3143" s="13">
        <f>SUMIFS(L:L,H:H,Online_eCommerce[[#This Row],[Brand]])</f>
        <v>4260400</v>
      </c>
      <c r="S3143" s="13">
        <f>SUMIF(H:H,Online_eCommerce[[#This Row],[Brand]],M:M)</f>
        <v>5538520</v>
      </c>
      <c r="T3143" s="13">
        <f>SUMIF(N:N,Online_eCommerce[[#This Row],[Assigned Supervisor]],L:L)</f>
        <v>13693220</v>
      </c>
    </row>
    <row r="3144" spans="1:20" hidden="1" x14ac:dyDescent="0.3">
      <c r="A3144" t="s">
        <v>4715</v>
      </c>
      <c r="B3144" t="s">
        <v>290</v>
      </c>
      <c r="C3144" t="s">
        <v>189</v>
      </c>
      <c r="D3144" t="s">
        <v>4716</v>
      </c>
      <c r="E3144" t="s">
        <v>18</v>
      </c>
      <c r="F3144" t="s">
        <v>101</v>
      </c>
      <c r="G3144" t="s">
        <v>259</v>
      </c>
      <c r="H3144" t="s">
        <v>102</v>
      </c>
      <c r="I3144">
        <v>6540</v>
      </c>
      <c r="J3144">
        <v>8502</v>
      </c>
      <c r="K3144">
        <v>4</v>
      </c>
      <c r="L3144">
        <v>26160</v>
      </c>
      <c r="M3144">
        <v>34008</v>
      </c>
      <c r="N3144" t="s">
        <v>28</v>
      </c>
      <c r="O3144">
        <f t="shared" si="98"/>
        <v>11700</v>
      </c>
      <c r="P3144" s="13">
        <f t="shared" si="99"/>
        <v>2740777</v>
      </c>
      <c r="Q3144" s="13">
        <f>SUMIFS(M:M,E:E,Online_eCommerce[[#This Row],[Status]])</f>
        <v>28340455</v>
      </c>
      <c r="R3144" s="13">
        <f>SUMIFS(L:L,H:H,Online_eCommerce[[#This Row],[Brand]])</f>
        <v>2465580</v>
      </c>
      <c r="S3144" s="13">
        <f>SUMIF(H:H,Online_eCommerce[[#This Row],[Brand]],M:M)</f>
        <v>3205254</v>
      </c>
      <c r="T3144" s="13">
        <f>SUMIF(N:N,Online_eCommerce[[#This Row],[Assigned Supervisor]],L:L)</f>
        <v>12220830</v>
      </c>
    </row>
    <row r="3145" spans="1:20" hidden="1" x14ac:dyDescent="0.3">
      <c r="A3145" t="s">
        <v>4717</v>
      </c>
      <c r="B3145" t="s">
        <v>15</v>
      </c>
      <c r="C3145" t="s">
        <v>193</v>
      </c>
      <c r="D3145" t="s">
        <v>4718</v>
      </c>
      <c r="E3145" t="s">
        <v>161</v>
      </c>
      <c r="F3145" t="s">
        <v>107</v>
      </c>
      <c r="G3145" t="s">
        <v>54</v>
      </c>
      <c r="H3145" t="s">
        <v>55</v>
      </c>
      <c r="I3145">
        <v>2680</v>
      </c>
      <c r="J3145">
        <v>3484</v>
      </c>
      <c r="K3145">
        <v>2</v>
      </c>
      <c r="L3145">
        <v>5360</v>
      </c>
      <c r="M3145">
        <v>6968</v>
      </c>
      <c r="N3145" t="s">
        <v>35</v>
      </c>
      <c r="O3145">
        <f t="shared" si="98"/>
        <v>2990</v>
      </c>
      <c r="P3145" s="13">
        <f t="shared" si="99"/>
        <v>2074774</v>
      </c>
      <c r="Q3145" s="13">
        <f>SUMIFS(M:M,E:E,Online_eCommerce[[#This Row],[Status]])</f>
        <v>21103186</v>
      </c>
      <c r="R3145" s="13">
        <f>SUMIFS(L:L,H:H,Online_eCommerce[[#This Row],[Brand]])</f>
        <v>2267380</v>
      </c>
      <c r="S3145" s="13">
        <f>SUMIF(H:H,Online_eCommerce[[#This Row],[Brand]],M:M)</f>
        <v>2947594</v>
      </c>
      <c r="T3145" s="13">
        <f>SUMIF(N:N,Online_eCommerce[[#This Row],[Assigned Supervisor]],L:L)</f>
        <v>14373360</v>
      </c>
    </row>
    <row r="3146" spans="1:20" x14ac:dyDescent="0.3">
      <c r="A3146" t="s">
        <v>4719</v>
      </c>
      <c r="B3146" t="s">
        <v>202</v>
      </c>
      <c r="C3146" t="s">
        <v>197</v>
      </c>
      <c r="D3146" t="s">
        <v>4718</v>
      </c>
      <c r="E3146" t="s">
        <v>46</v>
      </c>
      <c r="F3146" t="s">
        <v>112</v>
      </c>
      <c r="G3146" t="s">
        <v>71</v>
      </c>
      <c r="H3146" t="s">
        <v>21</v>
      </c>
      <c r="I3146">
        <v>8250</v>
      </c>
      <c r="J3146">
        <v>10725</v>
      </c>
      <c r="K3146">
        <v>2</v>
      </c>
      <c r="L3146">
        <v>16500</v>
      </c>
      <c r="M3146">
        <v>21450</v>
      </c>
      <c r="N3146" t="s">
        <v>42</v>
      </c>
      <c r="O3146">
        <f t="shared" si="98"/>
        <v>9750</v>
      </c>
      <c r="P3146" s="13">
        <f t="shared" si="99"/>
        <v>2829840</v>
      </c>
      <c r="Q3146" s="13">
        <f>SUMIFS(M:M,E:E,Online_eCommerce[[#This Row],[Status]])</f>
        <v>28620410</v>
      </c>
      <c r="R3146" s="13">
        <f>SUMIFS(L:L,H:H,Online_eCommerce[[#This Row],[Brand]])</f>
        <v>12435650</v>
      </c>
      <c r="S3146" s="13">
        <f>SUMIF(H:H,Online_eCommerce[[#This Row],[Brand]],M:M)</f>
        <v>16166345</v>
      </c>
      <c r="T3146" s="13">
        <f>SUMIF(N:N,Online_eCommerce[[#This Row],[Assigned Supervisor]],L:L)</f>
        <v>12261500</v>
      </c>
    </row>
    <row r="3147" spans="1:20" hidden="1" x14ac:dyDescent="0.3">
      <c r="A3147" t="s">
        <v>4720</v>
      </c>
      <c r="B3147" t="s">
        <v>30</v>
      </c>
      <c r="C3147" t="s">
        <v>199</v>
      </c>
      <c r="D3147" t="s">
        <v>4718</v>
      </c>
      <c r="E3147" t="s">
        <v>96</v>
      </c>
      <c r="F3147" t="s">
        <v>4240</v>
      </c>
      <c r="G3147" t="s">
        <v>40</v>
      </c>
      <c r="H3147" t="s">
        <v>21</v>
      </c>
      <c r="I3147">
        <v>2650</v>
      </c>
      <c r="J3147">
        <v>3445</v>
      </c>
      <c r="K3147">
        <v>1</v>
      </c>
      <c r="L3147">
        <v>2650</v>
      </c>
      <c r="M3147">
        <v>3445</v>
      </c>
      <c r="N3147" t="s">
        <v>50</v>
      </c>
      <c r="O3147">
        <f t="shared" si="98"/>
        <v>25545</v>
      </c>
      <c r="P3147" s="13">
        <f t="shared" si="99"/>
        <v>1947361</v>
      </c>
      <c r="Q3147" s="13">
        <f>SUMIFS(M:M,E:E,Online_eCommerce[[#This Row],[Status]])</f>
        <v>21233992</v>
      </c>
      <c r="R3147" s="13">
        <f>SUMIFS(L:L,H:H,Online_eCommerce[[#This Row],[Brand]])</f>
        <v>12435650</v>
      </c>
      <c r="S3147" s="13">
        <f>SUMIF(H:H,Online_eCommerce[[#This Row],[Brand]],M:M)</f>
        <v>16166345</v>
      </c>
      <c r="T3147" s="13">
        <f>SUMIF(N:N,Online_eCommerce[[#This Row],[Assigned Supervisor]],L:L)</f>
        <v>12100590</v>
      </c>
    </row>
    <row r="3148" spans="1:20" hidden="1" x14ac:dyDescent="0.3">
      <c r="A3148" t="s">
        <v>4721</v>
      </c>
      <c r="B3148" t="s">
        <v>37</v>
      </c>
      <c r="C3148" t="s">
        <v>203</v>
      </c>
      <c r="D3148" t="s">
        <v>4718</v>
      </c>
      <c r="E3148" t="s">
        <v>18</v>
      </c>
      <c r="F3148" t="s">
        <v>121</v>
      </c>
      <c r="G3148" t="s">
        <v>71</v>
      </c>
      <c r="H3148" t="s">
        <v>122</v>
      </c>
      <c r="I3148">
        <v>12550</v>
      </c>
      <c r="J3148">
        <v>16315</v>
      </c>
      <c r="K3148">
        <v>3</v>
      </c>
      <c r="L3148">
        <v>37650</v>
      </c>
      <c r="M3148">
        <v>48945</v>
      </c>
      <c r="N3148" t="s">
        <v>56</v>
      </c>
      <c r="O3148">
        <f t="shared" si="98"/>
        <v>9750</v>
      </c>
      <c r="P3148" s="13">
        <f t="shared" si="99"/>
        <v>2559635</v>
      </c>
      <c r="Q3148" s="13">
        <f>SUMIFS(M:M,E:E,Online_eCommerce[[#This Row],[Status]])</f>
        <v>28340455</v>
      </c>
      <c r="R3148" s="13">
        <f>SUMIFS(L:L,H:H,Online_eCommerce[[#This Row],[Brand]])</f>
        <v>5045100</v>
      </c>
      <c r="S3148" s="13">
        <f>SUMIF(H:H,Online_eCommerce[[#This Row],[Brand]],M:M)</f>
        <v>6558630</v>
      </c>
      <c r="T3148" s="13">
        <f>SUMIF(N:N,Online_eCommerce[[#This Row],[Assigned Supervisor]],L:L)</f>
        <v>11733610</v>
      </c>
    </row>
    <row r="3149" spans="1:20" hidden="1" x14ac:dyDescent="0.3">
      <c r="A3149" t="s">
        <v>4722</v>
      </c>
      <c r="B3149" t="s">
        <v>44</v>
      </c>
      <c r="C3149" t="s">
        <v>205</v>
      </c>
      <c r="D3149" t="s">
        <v>4718</v>
      </c>
      <c r="E3149" t="s">
        <v>161</v>
      </c>
      <c r="F3149" t="s">
        <v>126</v>
      </c>
      <c r="G3149" t="s">
        <v>26</v>
      </c>
      <c r="H3149" t="s">
        <v>27</v>
      </c>
      <c r="I3149">
        <v>14500</v>
      </c>
      <c r="J3149">
        <v>18850</v>
      </c>
      <c r="K3149">
        <v>1</v>
      </c>
      <c r="L3149">
        <v>14500</v>
      </c>
      <c r="M3149">
        <v>18850</v>
      </c>
      <c r="N3149" t="s">
        <v>22</v>
      </c>
      <c r="O3149">
        <f t="shared" si="98"/>
        <v>33150</v>
      </c>
      <c r="P3149" s="13">
        <f t="shared" si="99"/>
        <v>1983254</v>
      </c>
      <c r="Q3149" s="13">
        <f>SUMIFS(M:M,E:E,Online_eCommerce[[#This Row],[Status]])</f>
        <v>21103186</v>
      </c>
      <c r="R3149" s="13">
        <f>SUMIFS(L:L,H:H,Online_eCommerce[[#This Row],[Brand]])</f>
        <v>14431000</v>
      </c>
      <c r="S3149" s="13">
        <f>SUMIF(H:H,Online_eCommerce[[#This Row],[Brand]],M:M)</f>
        <v>18760300</v>
      </c>
      <c r="T3149" s="13">
        <f>SUMIF(N:N,Online_eCommerce[[#This Row],[Assigned Supervisor]],L:L)</f>
        <v>13693220</v>
      </c>
    </row>
    <row r="3150" spans="1:20" x14ac:dyDescent="0.3">
      <c r="A3150" t="s">
        <v>4723</v>
      </c>
      <c r="B3150" t="s">
        <v>213</v>
      </c>
      <c r="C3150" t="s">
        <v>208</v>
      </c>
      <c r="D3150" t="s">
        <v>4718</v>
      </c>
      <c r="E3150" t="s">
        <v>46</v>
      </c>
      <c r="F3150" t="s">
        <v>129</v>
      </c>
      <c r="G3150" t="s">
        <v>60</v>
      </c>
      <c r="H3150" t="s">
        <v>61</v>
      </c>
      <c r="I3150">
        <v>800</v>
      </c>
      <c r="J3150">
        <v>1040</v>
      </c>
      <c r="K3150">
        <v>3</v>
      </c>
      <c r="L3150">
        <v>2400</v>
      </c>
      <c r="M3150">
        <v>3120</v>
      </c>
      <c r="N3150" t="s">
        <v>28</v>
      </c>
      <c r="O3150">
        <f t="shared" si="98"/>
        <v>3315</v>
      </c>
      <c r="P3150" s="13">
        <f t="shared" si="99"/>
        <v>2746575</v>
      </c>
      <c r="Q3150" s="13">
        <f>SUMIFS(M:M,E:E,Online_eCommerce[[#This Row],[Status]])</f>
        <v>28620410</v>
      </c>
      <c r="R3150" s="13">
        <f>SUMIFS(L:L,H:H,Online_eCommerce[[#This Row],[Brand]])</f>
        <v>10950150</v>
      </c>
      <c r="S3150" s="13">
        <f>SUMIF(H:H,Online_eCommerce[[#This Row],[Brand]],M:M)</f>
        <v>14235195</v>
      </c>
      <c r="T3150" s="13">
        <f>SUMIF(N:N,Online_eCommerce[[#This Row],[Assigned Supervisor]],L:L)</f>
        <v>12220830</v>
      </c>
    </row>
    <row r="3151" spans="1:20" hidden="1" x14ac:dyDescent="0.3">
      <c r="A3151" t="s">
        <v>4724</v>
      </c>
      <c r="B3151" t="s">
        <v>215</v>
      </c>
      <c r="C3151" t="s">
        <v>211</v>
      </c>
      <c r="D3151" t="s">
        <v>4718</v>
      </c>
      <c r="E3151" t="s">
        <v>96</v>
      </c>
      <c r="F3151" t="s">
        <v>133</v>
      </c>
      <c r="G3151" t="s">
        <v>66</v>
      </c>
      <c r="H3151" t="s">
        <v>21</v>
      </c>
      <c r="I3151">
        <v>600</v>
      </c>
      <c r="J3151">
        <v>780</v>
      </c>
      <c r="K3151">
        <v>4</v>
      </c>
      <c r="L3151">
        <v>2400</v>
      </c>
      <c r="M3151">
        <v>3120</v>
      </c>
      <c r="N3151" t="s">
        <v>35</v>
      </c>
      <c r="O3151">
        <f t="shared" si="98"/>
        <v>1690</v>
      </c>
      <c r="P3151" s="13">
        <f t="shared" si="99"/>
        <v>1809847</v>
      </c>
      <c r="Q3151" s="13">
        <f>SUMIFS(M:M,E:E,Online_eCommerce[[#This Row],[Status]])</f>
        <v>21233992</v>
      </c>
      <c r="R3151" s="13">
        <f>SUMIFS(L:L,H:H,Online_eCommerce[[#This Row],[Brand]])</f>
        <v>12435650</v>
      </c>
      <c r="S3151" s="13">
        <f>SUMIF(H:H,Online_eCommerce[[#This Row],[Brand]],M:M)</f>
        <v>16166345</v>
      </c>
      <c r="T3151" s="13">
        <f>SUMIF(N:N,Online_eCommerce[[#This Row],[Assigned Supervisor]],L:L)</f>
        <v>14373360</v>
      </c>
    </row>
    <row r="3152" spans="1:20" hidden="1" x14ac:dyDescent="0.3">
      <c r="A3152" t="s">
        <v>4725</v>
      </c>
      <c r="B3152" t="s">
        <v>306</v>
      </c>
      <c r="C3152" t="s">
        <v>16</v>
      </c>
      <c r="D3152" t="s">
        <v>4718</v>
      </c>
      <c r="E3152" t="s">
        <v>18</v>
      </c>
      <c r="F3152" t="s">
        <v>137</v>
      </c>
      <c r="G3152" t="s">
        <v>71</v>
      </c>
      <c r="H3152" t="s">
        <v>61</v>
      </c>
      <c r="I3152">
        <v>10500</v>
      </c>
      <c r="J3152">
        <v>13650</v>
      </c>
      <c r="K3152">
        <v>1</v>
      </c>
      <c r="L3152">
        <v>10500</v>
      </c>
      <c r="M3152">
        <v>13650</v>
      </c>
      <c r="N3152" t="s">
        <v>42</v>
      </c>
      <c r="O3152">
        <f t="shared" si="98"/>
        <v>9750</v>
      </c>
      <c r="P3152" s="13">
        <f t="shared" si="99"/>
        <v>2751814</v>
      </c>
      <c r="Q3152" s="13">
        <f>SUMIFS(M:M,E:E,Online_eCommerce[[#This Row],[Status]])</f>
        <v>28340455</v>
      </c>
      <c r="R3152" s="13">
        <f>SUMIFS(L:L,H:H,Online_eCommerce[[#This Row],[Brand]])</f>
        <v>10950150</v>
      </c>
      <c r="S3152" s="13">
        <f>SUMIF(H:H,Online_eCommerce[[#This Row],[Brand]],M:M)</f>
        <v>14235195</v>
      </c>
      <c r="T3152" s="13">
        <f>SUMIF(N:N,Online_eCommerce[[#This Row],[Assigned Supervisor]],L:L)</f>
        <v>12261500</v>
      </c>
    </row>
    <row r="3153" spans="1:20" hidden="1" x14ac:dyDescent="0.3">
      <c r="A3153" t="s">
        <v>4726</v>
      </c>
      <c r="B3153" t="s">
        <v>528</v>
      </c>
      <c r="C3153" t="s">
        <v>24</v>
      </c>
      <c r="D3153" t="s">
        <v>4718</v>
      </c>
      <c r="E3153" t="s">
        <v>161</v>
      </c>
      <c r="F3153" t="s">
        <v>4686</v>
      </c>
      <c r="G3153" t="s">
        <v>77</v>
      </c>
      <c r="H3153" t="s">
        <v>142</v>
      </c>
      <c r="I3153">
        <v>6500</v>
      </c>
      <c r="J3153">
        <v>8450</v>
      </c>
      <c r="K3153">
        <v>4</v>
      </c>
      <c r="L3153">
        <v>26000</v>
      </c>
      <c r="M3153">
        <v>33800</v>
      </c>
      <c r="N3153" t="s">
        <v>50</v>
      </c>
      <c r="O3153">
        <f t="shared" si="98"/>
        <v>39000</v>
      </c>
      <c r="P3153" s="13">
        <f t="shared" si="99"/>
        <v>2009540</v>
      </c>
      <c r="Q3153" s="13">
        <f>SUMIFS(M:M,E:E,Online_eCommerce[[#This Row],[Status]])</f>
        <v>21103186</v>
      </c>
      <c r="R3153" s="13">
        <f>SUMIFS(L:L,H:H,Online_eCommerce[[#This Row],[Brand]])</f>
        <v>6192500</v>
      </c>
      <c r="S3153" s="13">
        <f>SUMIF(H:H,Online_eCommerce[[#This Row],[Brand]],M:M)</f>
        <v>8050250</v>
      </c>
      <c r="T3153" s="13">
        <f>SUMIF(N:N,Online_eCommerce[[#This Row],[Assigned Supervisor]],L:L)</f>
        <v>12100590</v>
      </c>
    </row>
    <row r="3154" spans="1:20" x14ac:dyDescent="0.3">
      <c r="A3154" t="s">
        <v>4727</v>
      </c>
      <c r="B3154" t="s">
        <v>73</v>
      </c>
      <c r="C3154" t="s">
        <v>31</v>
      </c>
      <c r="D3154" t="s">
        <v>4718</v>
      </c>
      <c r="E3154" t="s">
        <v>46</v>
      </c>
      <c r="F3154" t="s">
        <v>4728</v>
      </c>
      <c r="G3154" t="s">
        <v>20</v>
      </c>
      <c r="H3154" t="s">
        <v>21</v>
      </c>
      <c r="I3154">
        <v>4500</v>
      </c>
      <c r="J3154">
        <v>5850</v>
      </c>
      <c r="K3154">
        <v>2</v>
      </c>
      <c r="L3154">
        <v>9000</v>
      </c>
      <c r="M3154">
        <v>11700</v>
      </c>
      <c r="N3154" t="s">
        <v>56</v>
      </c>
      <c r="O3154">
        <f t="shared" si="98"/>
        <v>8450</v>
      </c>
      <c r="P3154" s="13">
        <f t="shared" si="99"/>
        <v>2865746</v>
      </c>
      <c r="Q3154" s="13">
        <f>SUMIFS(M:M,E:E,Online_eCommerce[[#This Row],[Status]])</f>
        <v>28620410</v>
      </c>
      <c r="R3154" s="13">
        <f>SUMIFS(L:L,H:H,Online_eCommerce[[#This Row],[Brand]])</f>
        <v>12435650</v>
      </c>
      <c r="S3154" s="13">
        <f>SUMIF(H:H,Online_eCommerce[[#This Row],[Brand]],M:M)</f>
        <v>16166345</v>
      </c>
      <c r="T3154" s="13">
        <f>SUMIF(N:N,Online_eCommerce[[#This Row],[Assigned Supervisor]],L:L)</f>
        <v>11733610</v>
      </c>
    </row>
    <row r="3155" spans="1:20" hidden="1" x14ac:dyDescent="0.3">
      <c r="A3155" t="s">
        <v>4729</v>
      </c>
      <c r="B3155" t="s">
        <v>80</v>
      </c>
      <c r="C3155" t="s">
        <v>38</v>
      </c>
      <c r="D3155" t="s">
        <v>4718</v>
      </c>
      <c r="E3155" t="s">
        <v>96</v>
      </c>
      <c r="F3155" t="s">
        <v>152</v>
      </c>
      <c r="G3155" t="s">
        <v>26</v>
      </c>
      <c r="H3155" t="s">
        <v>27</v>
      </c>
      <c r="I3155">
        <v>8500</v>
      </c>
      <c r="J3155">
        <v>11050</v>
      </c>
      <c r="K3155">
        <v>2</v>
      </c>
      <c r="L3155">
        <v>17000</v>
      </c>
      <c r="M3155">
        <v>22100</v>
      </c>
      <c r="N3155" t="s">
        <v>22</v>
      </c>
      <c r="O3155">
        <f t="shared" si="98"/>
        <v>33150</v>
      </c>
      <c r="P3155" s="13">
        <f t="shared" si="99"/>
        <v>1933997</v>
      </c>
      <c r="Q3155" s="13">
        <f>SUMIFS(M:M,E:E,Online_eCommerce[[#This Row],[Status]])</f>
        <v>21233992</v>
      </c>
      <c r="R3155" s="13">
        <f>SUMIFS(L:L,H:H,Online_eCommerce[[#This Row],[Brand]])</f>
        <v>14431000</v>
      </c>
      <c r="S3155" s="13">
        <f>SUMIF(H:H,Online_eCommerce[[#This Row],[Brand]],M:M)</f>
        <v>18760300</v>
      </c>
      <c r="T3155" s="13">
        <f>SUMIF(N:N,Online_eCommerce[[#This Row],[Assigned Supervisor]],L:L)</f>
        <v>13693220</v>
      </c>
    </row>
    <row r="3156" spans="1:20" hidden="1" x14ac:dyDescent="0.3">
      <c r="A3156" t="s">
        <v>4730</v>
      </c>
      <c r="B3156" t="s">
        <v>85</v>
      </c>
      <c r="C3156" t="s">
        <v>45</v>
      </c>
      <c r="D3156" t="s">
        <v>4718</v>
      </c>
      <c r="E3156" t="s">
        <v>18</v>
      </c>
      <c r="F3156" t="s">
        <v>157</v>
      </c>
      <c r="G3156" t="s">
        <v>33</v>
      </c>
      <c r="H3156" t="s">
        <v>34</v>
      </c>
      <c r="I3156">
        <v>12500</v>
      </c>
      <c r="J3156">
        <v>16250</v>
      </c>
      <c r="K3156">
        <v>1</v>
      </c>
      <c r="L3156">
        <v>12500</v>
      </c>
      <c r="M3156">
        <v>16250</v>
      </c>
      <c r="N3156" t="s">
        <v>28</v>
      </c>
      <c r="O3156">
        <f t="shared" si="98"/>
        <v>18200</v>
      </c>
      <c r="P3156" s="13">
        <f t="shared" si="99"/>
        <v>2842554</v>
      </c>
      <c r="Q3156" s="13">
        <f>SUMIFS(M:M,E:E,Online_eCommerce[[#This Row],[Status]])</f>
        <v>28340455</v>
      </c>
      <c r="R3156" s="13">
        <f>SUMIFS(L:L,H:H,Online_eCommerce[[#This Row],[Brand]])</f>
        <v>10087000</v>
      </c>
      <c r="S3156" s="13">
        <f>SUMIF(H:H,Online_eCommerce[[#This Row],[Brand]],M:M)</f>
        <v>13113100</v>
      </c>
      <c r="T3156" s="13">
        <f>SUMIF(N:N,Online_eCommerce[[#This Row],[Assigned Supervisor]],L:L)</f>
        <v>12220830</v>
      </c>
    </row>
    <row r="3157" spans="1:20" hidden="1" x14ac:dyDescent="0.3">
      <c r="A3157" t="s">
        <v>4731</v>
      </c>
      <c r="B3157" t="s">
        <v>90</v>
      </c>
      <c r="C3157" t="s">
        <v>52</v>
      </c>
      <c r="D3157" t="s">
        <v>4718</v>
      </c>
      <c r="E3157" t="s">
        <v>161</v>
      </c>
      <c r="F3157" t="s">
        <v>4304</v>
      </c>
      <c r="G3157" t="s">
        <v>40</v>
      </c>
      <c r="H3157" t="s">
        <v>41</v>
      </c>
      <c r="I3157">
        <v>3500</v>
      </c>
      <c r="J3157">
        <v>4550</v>
      </c>
      <c r="K3157">
        <v>3</v>
      </c>
      <c r="L3157">
        <v>10500</v>
      </c>
      <c r="M3157">
        <v>13650</v>
      </c>
      <c r="N3157" t="s">
        <v>35</v>
      </c>
      <c r="O3157">
        <f t="shared" si="98"/>
        <v>25545</v>
      </c>
      <c r="P3157" s="13">
        <f t="shared" si="99"/>
        <v>1955044</v>
      </c>
      <c r="Q3157" s="13">
        <f>SUMIFS(M:M,E:E,Online_eCommerce[[#This Row],[Status]])</f>
        <v>21103186</v>
      </c>
      <c r="R3157" s="13">
        <f>SUMIFS(L:L,H:H,Online_eCommerce[[#This Row],[Brand]])</f>
        <v>4260400</v>
      </c>
      <c r="S3157" s="13">
        <f>SUMIF(H:H,Online_eCommerce[[#This Row],[Brand]],M:M)</f>
        <v>5538520</v>
      </c>
      <c r="T3157" s="13">
        <f>SUMIF(N:N,Online_eCommerce[[#This Row],[Assigned Supervisor]],L:L)</f>
        <v>14373360</v>
      </c>
    </row>
    <row r="3158" spans="1:20" x14ac:dyDescent="0.3">
      <c r="A3158" t="s">
        <v>4732</v>
      </c>
      <c r="B3158" t="s">
        <v>232</v>
      </c>
      <c r="C3158" t="s">
        <v>58</v>
      </c>
      <c r="D3158" t="s">
        <v>4718</v>
      </c>
      <c r="E3158" t="s">
        <v>46</v>
      </c>
      <c r="F3158" t="s">
        <v>166</v>
      </c>
      <c r="G3158" t="s">
        <v>334</v>
      </c>
      <c r="H3158" t="s">
        <v>49</v>
      </c>
      <c r="I3158">
        <v>4500</v>
      </c>
      <c r="J3158">
        <v>5850</v>
      </c>
      <c r="K3158">
        <v>3</v>
      </c>
      <c r="L3158">
        <v>13500</v>
      </c>
      <c r="M3158">
        <v>17550</v>
      </c>
      <c r="N3158" t="s">
        <v>42</v>
      </c>
      <c r="O3158">
        <f t="shared" si="98"/>
        <v>39780</v>
      </c>
      <c r="P3158" s="13">
        <f t="shared" si="99"/>
        <v>2629211</v>
      </c>
      <c r="Q3158" s="13">
        <f>SUMIFS(M:M,E:E,Online_eCommerce[[#This Row],[Status]])</f>
        <v>28620410</v>
      </c>
      <c r="R3158" s="13">
        <f>SUMIFS(L:L,H:H,Online_eCommerce[[#This Row],[Brand]])</f>
        <v>4528350</v>
      </c>
      <c r="S3158" s="13">
        <f>SUMIF(H:H,Online_eCommerce[[#This Row],[Brand]],M:M)</f>
        <v>5886855</v>
      </c>
      <c r="T3158" s="13">
        <f>SUMIF(N:N,Online_eCommerce[[#This Row],[Assigned Supervisor]],L:L)</f>
        <v>12261500</v>
      </c>
    </row>
    <row r="3159" spans="1:20" hidden="1" x14ac:dyDescent="0.3">
      <c r="A3159" t="s">
        <v>4733</v>
      </c>
      <c r="B3159" t="s">
        <v>235</v>
      </c>
      <c r="C3159" t="s">
        <v>63</v>
      </c>
      <c r="D3159" t="s">
        <v>4718</v>
      </c>
      <c r="E3159" t="s">
        <v>96</v>
      </c>
      <c r="F3159" t="s">
        <v>4734</v>
      </c>
      <c r="G3159" t="s">
        <v>54</v>
      </c>
      <c r="H3159" t="s">
        <v>55</v>
      </c>
      <c r="I3159">
        <v>2100</v>
      </c>
      <c r="J3159">
        <v>2730</v>
      </c>
      <c r="K3159">
        <v>4</v>
      </c>
      <c r="L3159">
        <v>8400</v>
      </c>
      <c r="M3159">
        <v>10920</v>
      </c>
      <c r="N3159" t="s">
        <v>50</v>
      </c>
      <c r="O3159">
        <f t="shared" si="98"/>
        <v>2990</v>
      </c>
      <c r="P3159" s="13">
        <f t="shared" si="99"/>
        <v>2016131</v>
      </c>
      <c r="Q3159" s="13">
        <f>SUMIFS(M:M,E:E,Online_eCommerce[[#This Row],[Status]])</f>
        <v>21233992</v>
      </c>
      <c r="R3159" s="13">
        <f>SUMIFS(L:L,H:H,Online_eCommerce[[#This Row],[Brand]])</f>
        <v>2267380</v>
      </c>
      <c r="S3159" s="13">
        <f>SUMIF(H:H,Online_eCommerce[[#This Row],[Brand]],M:M)</f>
        <v>2947594</v>
      </c>
      <c r="T3159" s="13">
        <f>SUMIF(N:N,Online_eCommerce[[#This Row],[Assigned Supervisor]],L:L)</f>
        <v>12100590</v>
      </c>
    </row>
    <row r="3160" spans="1:20" hidden="1" x14ac:dyDescent="0.3">
      <c r="A3160" t="s">
        <v>4735</v>
      </c>
      <c r="B3160" t="s">
        <v>104</v>
      </c>
      <c r="C3160" t="s">
        <v>68</v>
      </c>
      <c r="D3160" t="s">
        <v>4718</v>
      </c>
      <c r="E3160" t="s">
        <v>18</v>
      </c>
      <c r="F3160" t="s">
        <v>174</v>
      </c>
      <c r="G3160" t="s">
        <v>60</v>
      </c>
      <c r="H3160" t="s">
        <v>61</v>
      </c>
      <c r="I3160">
        <v>1150</v>
      </c>
      <c r="J3160">
        <v>1495</v>
      </c>
      <c r="K3160">
        <v>4</v>
      </c>
      <c r="L3160">
        <v>4600</v>
      </c>
      <c r="M3160">
        <v>5980</v>
      </c>
      <c r="N3160" t="s">
        <v>56</v>
      </c>
      <c r="O3160">
        <f t="shared" si="98"/>
        <v>3315</v>
      </c>
      <c r="P3160" s="13">
        <f t="shared" si="99"/>
        <v>2974621</v>
      </c>
      <c r="Q3160" s="13">
        <f>SUMIFS(M:M,E:E,Online_eCommerce[[#This Row],[Status]])</f>
        <v>28340455</v>
      </c>
      <c r="R3160" s="13">
        <f>SUMIFS(L:L,H:H,Online_eCommerce[[#This Row],[Brand]])</f>
        <v>10950150</v>
      </c>
      <c r="S3160" s="13">
        <f>SUMIF(H:H,Online_eCommerce[[#This Row],[Brand]],M:M)</f>
        <v>14235195</v>
      </c>
      <c r="T3160" s="13">
        <f>SUMIF(N:N,Online_eCommerce[[#This Row],[Assigned Supervisor]],L:L)</f>
        <v>11733610</v>
      </c>
    </row>
    <row r="3161" spans="1:20" hidden="1" x14ac:dyDescent="0.3">
      <c r="A3161" t="s">
        <v>4736</v>
      </c>
      <c r="B3161" t="s">
        <v>109</v>
      </c>
      <c r="C3161" t="s">
        <v>74</v>
      </c>
      <c r="D3161" t="s">
        <v>4718</v>
      </c>
      <c r="E3161" t="s">
        <v>161</v>
      </c>
      <c r="F3161" t="s">
        <v>179</v>
      </c>
      <c r="G3161" t="s">
        <v>66</v>
      </c>
      <c r="H3161" t="s">
        <v>21</v>
      </c>
      <c r="I3161">
        <v>350</v>
      </c>
      <c r="J3161">
        <v>455</v>
      </c>
      <c r="K3161">
        <v>2</v>
      </c>
      <c r="L3161">
        <v>700</v>
      </c>
      <c r="M3161">
        <v>910</v>
      </c>
      <c r="N3161" t="s">
        <v>22</v>
      </c>
      <c r="O3161">
        <f t="shared" si="98"/>
        <v>1690</v>
      </c>
      <c r="P3161" s="13">
        <f t="shared" si="99"/>
        <v>2144701</v>
      </c>
      <c r="Q3161" s="13">
        <f>SUMIFS(M:M,E:E,Online_eCommerce[[#This Row],[Status]])</f>
        <v>21103186</v>
      </c>
      <c r="R3161" s="13">
        <f>SUMIFS(L:L,H:H,Online_eCommerce[[#This Row],[Brand]])</f>
        <v>12435650</v>
      </c>
      <c r="S3161" s="13">
        <f>SUMIF(H:H,Online_eCommerce[[#This Row],[Brand]],M:M)</f>
        <v>16166345</v>
      </c>
      <c r="T3161" s="13">
        <f>SUMIF(N:N,Online_eCommerce[[#This Row],[Assigned Supervisor]],L:L)</f>
        <v>13693220</v>
      </c>
    </row>
    <row r="3162" spans="1:20" x14ac:dyDescent="0.3">
      <c r="A3162" t="s">
        <v>4737</v>
      </c>
      <c r="B3162" t="s">
        <v>114</v>
      </c>
      <c r="C3162" t="s">
        <v>81</v>
      </c>
      <c r="D3162" t="s">
        <v>4718</v>
      </c>
      <c r="E3162" t="s">
        <v>46</v>
      </c>
      <c r="F3162" t="s">
        <v>183</v>
      </c>
      <c r="G3162" t="s">
        <v>71</v>
      </c>
      <c r="H3162" t="s">
        <v>61</v>
      </c>
      <c r="I3162">
        <v>9500</v>
      </c>
      <c r="J3162">
        <v>12350</v>
      </c>
      <c r="K3162">
        <v>2</v>
      </c>
      <c r="L3162">
        <v>19000</v>
      </c>
      <c r="M3162">
        <v>24700</v>
      </c>
      <c r="N3162" t="s">
        <v>28</v>
      </c>
      <c r="O3162">
        <f t="shared" si="98"/>
        <v>9750</v>
      </c>
      <c r="P3162" s="13">
        <f t="shared" si="99"/>
        <v>2595632</v>
      </c>
      <c r="Q3162" s="13">
        <f>SUMIFS(M:M,E:E,Online_eCommerce[[#This Row],[Status]])</f>
        <v>28620410</v>
      </c>
      <c r="R3162" s="13">
        <f>SUMIFS(L:L,H:H,Online_eCommerce[[#This Row],[Brand]])</f>
        <v>10950150</v>
      </c>
      <c r="S3162" s="13">
        <f>SUMIF(H:H,Online_eCommerce[[#This Row],[Brand]],M:M)</f>
        <v>14235195</v>
      </c>
      <c r="T3162" s="13">
        <f>SUMIF(N:N,Online_eCommerce[[#This Row],[Assigned Supervisor]],L:L)</f>
        <v>12220830</v>
      </c>
    </row>
    <row r="3163" spans="1:20" hidden="1" x14ac:dyDescent="0.3">
      <c r="A3163" t="s">
        <v>4738</v>
      </c>
      <c r="B3163" t="s">
        <v>119</v>
      </c>
      <c r="C3163" t="s">
        <v>86</v>
      </c>
      <c r="D3163" t="s">
        <v>4718</v>
      </c>
      <c r="E3163" t="s">
        <v>96</v>
      </c>
      <c r="F3163" t="s">
        <v>4739</v>
      </c>
      <c r="G3163" t="s">
        <v>77</v>
      </c>
      <c r="H3163" t="s">
        <v>142</v>
      </c>
      <c r="I3163">
        <v>10000</v>
      </c>
      <c r="J3163">
        <v>13000</v>
      </c>
      <c r="K3163">
        <v>2</v>
      </c>
      <c r="L3163">
        <v>20000</v>
      </c>
      <c r="M3163">
        <v>26000</v>
      </c>
      <c r="N3163" t="s">
        <v>35</v>
      </c>
      <c r="O3163">
        <f t="shared" si="98"/>
        <v>39000</v>
      </c>
      <c r="P3163" s="13">
        <f t="shared" si="99"/>
        <v>1941225</v>
      </c>
      <c r="Q3163" s="13">
        <f>SUMIFS(M:M,E:E,Online_eCommerce[[#This Row],[Status]])</f>
        <v>21233992</v>
      </c>
      <c r="R3163" s="13">
        <f>SUMIFS(L:L,H:H,Online_eCommerce[[#This Row],[Brand]])</f>
        <v>6192500</v>
      </c>
      <c r="S3163" s="13">
        <f>SUMIF(H:H,Online_eCommerce[[#This Row],[Brand]],M:M)</f>
        <v>8050250</v>
      </c>
      <c r="T3163" s="13">
        <f>SUMIF(N:N,Online_eCommerce[[#This Row],[Assigned Supervisor]],L:L)</f>
        <v>14373360</v>
      </c>
    </row>
    <row r="3164" spans="1:20" hidden="1" x14ac:dyDescent="0.3">
      <c r="A3164" t="s">
        <v>4740</v>
      </c>
      <c r="B3164" t="s">
        <v>124</v>
      </c>
      <c r="C3164" t="s">
        <v>91</v>
      </c>
      <c r="D3164" t="s">
        <v>4718</v>
      </c>
      <c r="E3164" t="s">
        <v>18</v>
      </c>
      <c r="F3164" t="s">
        <v>4741</v>
      </c>
      <c r="G3164" t="s">
        <v>20</v>
      </c>
      <c r="H3164" t="s">
        <v>21</v>
      </c>
      <c r="I3164">
        <v>6500</v>
      </c>
      <c r="J3164">
        <v>8450</v>
      </c>
      <c r="K3164">
        <v>3</v>
      </c>
      <c r="L3164">
        <v>19500</v>
      </c>
      <c r="M3164">
        <v>25350</v>
      </c>
      <c r="N3164" t="s">
        <v>42</v>
      </c>
      <c r="O3164">
        <f t="shared" si="98"/>
        <v>8450</v>
      </c>
      <c r="P3164" s="13">
        <f t="shared" si="99"/>
        <v>2731963</v>
      </c>
      <c r="Q3164" s="13">
        <f>SUMIFS(M:M,E:E,Online_eCommerce[[#This Row],[Status]])</f>
        <v>28340455</v>
      </c>
      <c r="R3164" s="13">
        <f>SUMIFS(L:L,H:H,Online_eCommerce[[#This Row],[Brand]])</f>
        <v>12435650</v>
      </c>
      <c r="S3164" s="13">
        <f>SUMIF(H:H,Online_eCommerce[[#This Row],[Brand]],M:M)</f>
        <v>16166345</v>
      </c>
      <c r="T3164" s="13">
        <f>SUMIF(N:N,Online_eCommerce[[#This Row],[Assigned Supervisor]],L:L)</f>
        <v>12261500</v>
      </c>
    </row>
    <row r="3165" spans="1:20" hidden="1" x14ac:dyDescent="0.3">
      <c r="A3165" t="s">
        <v>4742</v>
      </c>
      <c r="B3165" t="s">
        <v>128</v>
      </c>
      <c r="C3165" t="s">
        <v>94</v>
      </c>
      <c r="D3165" t="s">
        <v>4718</v>
      </c>
      <c r="E3165" t="s">
        <v>161</v>
      </c>
      <c r="F3165" t="s">
        <v>4743</v>
      </c>
      <c r="G3165" t="s">
        <v>26</v>
      </c>
      <c r="H3165" t="s">
        <v>27</v>
      </c>
      <c r="I3165">
        <v>8500</v>
      </c>
      <c r="J3165">
        <v>11050</v>
      </c>
      <c r="K3165">
        <v>2</v>
      </c>
      <c r="L3165">
        <v>17000</v>
      </c>
      <c r="M3165">
        <v>22100</v>
      </c>
      <c r="N3165" t="s">
        <v>50</v>
      </c>
      <c r="O3165">
        <f t="shared" si="98"/>
        <v>33150</v>
      </c>
      <c r="P3165" s="13">
        <f t="shared" si="99"/>
        <v>1868256</v>
      </c>
      <c r="Q3165" s="13">
        <f>SUMIFS(M:M,E:E,Online_eCommerce[[#This Row],[Status]])</f>
        <v>21103186</v>
      </c>
      <c r="R3165" s="13">
        <f>SUMIFS(L:L,H:H,Online_eCommerce[[#This Row],[Brand]])</f>
        <v>14431000</v>
      </c>
      <c r="S3165" s="13">
        <f>SUMIF(H:H,Online_eCommerce[[#This Row],[Brand]],M:M)</f>
        <v>18760300</v>
      </c>
      <c r="T3165" s="13">
        <f>SUMIF(N:N,Online_eCommerce[[#This Row],[Assigned Supervisor]],L:L)</f>
        <v>12100590</v>
      </c>
    </row>
    <row r="3166" spans="1:20" x14ac:dyDescent="0.3">
      <c r="A3166" t="s">
        <v>4744</v>
      </c>
      <c r="B3166" t="s">
        <v>131</v>
      </c>
      <c r="C3166" t="s">
        <v>99</v>
      </c>
      <c r="D3166" t="s">
        <v>4718</v>
      </c>
      <c r="E3166" t="s">
        <v>46</v>
      </c>
      <c r="F3166" t="s">
        <v>32</v>
      </c>
      <c r="G3166" t="s">
        <v>33</v>
      </c>
      <c r="H3166" t="s">
        <v>34</v>
      </c>
      <c r="I3166">
        <v>7000</v>
      </c>
      <c r="J3166">
        <v>9100</v>
      </c>
      <c r="K3166">
        <v>4</v>
      </c>
      <c r="L3166">
        <v>28000</v>
      </c>
      <c r="M3166">
        <v>36400</v>
      </c>
      <c r="N3166" t="s">
        <v>56</v>
      </c>
      <c r="O3166">
        <f t="shared" si="98"/>
        <v>18200</v>
      </c>
      <c r="P3166" s="13">
        <f t="shared" si="99"/>
        <v>2651233</v>
      </c>
      <c r="Q3166" s="13">
        <f>SUMIFS(M:M,E:E,Online_eCommerce[[#This Row],[Status]])</f>
        <v>28620410</v>
      </c>
      <c r="R3166" s="13">
        <f>SUMIFS(L:L,H:H,Online_eCommerce[[#This Row],[Brand]])</f>
        <v>10087000</v>
      </c>
      <c r="S3166" s="13">
        <f>SUMIF(H:H,Online_eCommerce[[#This Row],[Brand]],M:M)</f>
        <v>13113100</v>
      </c>
      <c r="T3166" s="13">
        <f>SUMIF(N:N,Online_eCommerce[[#This Row],[Assigned Supervisor]],L:L)</f>
        <v>11733610</v>
      </c>
    </row>
    <row r="3167" spans="1:20" hidden="1" x14ac:dyDescent="0.3">
      <c r="A3167" t="s">
        <v>4745</v>
      </c>
      <c r="B3167" t="s">
        <v>135</v>
      </c>
      <c r="C3167" t="s">
        <v>105</v>
      </c>
      <c r="D3167" t="s">
        <v>4718</v>
      </c>
      <c r="E3167" t="s">
        <v>96</v>
      </c>
      <c r="F3167" t="s">
        <v>4746</v>
      </c>
      <c r="G3167" t="s">
        <v>40</v>
      </c>
      <c r="H3167" t="s">
        <v>41</v>
      </c>
      <c r="I3167">
        <v>6550</v>
      </c>
      <c r="J3167">
        <v>8515</v>
      </c>
      <c r="K3167">
        <v>3</v>
      </c>
      <c r="L3167">
        <v>19650</v>
      </c>
      <c r="M3167">
        <v>25545</v>
      </c>
      <c r="N3167" t="s">
        <v>22</v>
      </c>
      <c r="O3167">
        <f t="shared" si="98"/>
        <v>25545</v>
      </c>
      <c r="P3167" s="13">
        <f t="shared" si="99"/>
        <v>1866852</v>
      </c>
      <c r="Q3167" s="13">
        <f>SUMIFS(M:M,E:E,Online_eCommerce[[#This Row],[Status]])</f>
        <v>21233992</v>
      </c>
      <c r="R3167" s="13">
        <f>SUMIFS(L:L,H:H,Online_eCommerce[[#This Row],[Brand]])</f>
        <v>4260400</v>
      </c>
      <c r="S3167" s="13">
        <f>SUMIF(H:H,Online_eCommerce[[#This Row],[Brand]],M:M)</f>
        <v>5538520</v>
      </c>
      <c r="T3167" s="13">
        <f>SUMIF(N:N,Online_eCommerce[[#This Row],[Assigned Supervisor]],L:L)</f>
        <v>13693220</v>
      </c>
    </row>
    <row r="3168" spans="1:20" hidden="1" x14ac:dyDescent="0.3">
      <c r="A3168" t="s">
        <v>4747</v>
      </c>
      <c r="B3168" t="s">
        <v>139</v>
      </c>
      <c r="C3168" t="s">
        <v>110</v>
      </c>
      <c r="D3168" t="s">
        <v>4718</v>
      </c>
      <c r="E3168" t="s">
        <v>18</v>
      </c>
      <c r="F3168" t="s">
        <v>47</v>
      </c>
      <c r="G3168" t="s">
        <v>334</v>
      </c>
      <c r="H3168" t="s">
        <v>49</v>
      </c>
      <c r="I3168">
        <v>7650</v>
      </c>
      <c r="J3168">
        <v>9945</v>
      </c>
      <c r="K3168">
        <v>2</v>
      </c>
      <c r="L3168">
        <v>15300</v>
      </c>
      <c r="M3168">
        <v>19890</v>
      </c>
      <c r="N3168" t="s">
        <v>28</v>
      </c>
      <c r="O3168">
        <f t="shared" si="98"/>
        <v>39780</v>
      </c>
      <c r="P3168" s="13">
        <f t="shared" si="99"/>
        <v>2598635</v>
      </c>
      <c r="Q3168" s="13">
        <f>SUMIFS(M:M,E:E,Online_eCommerce[[#This Row],[Status]])</f>
        <v>28340455</v>
      </c>
      <c r="R3168" s="13">
        <f>SUMIFS(L:L,H:H,Online_eCommerce[[#This Row],[Brand]])</f>
        <v>4528350</v>
      </c>
      <c r="S3168" s="13">
        <f>SUMIF(H:H,Online_eCommerce[[#This Row],[Brand]],M:M)</f>
        <v>5886855</v>
      </c>
      <c r="T3168" s="13">
        <f>SUMIF(N:N,Online_eCommerce[[#This Row],[Assigned Supervisor]],L:L)</f>
        <v>12220830</v>
      </c>
    </row>
    <row r="3169" spans="1:20" hidden="1" x14ac:dyDescent="0.3">
      <c r="A3169" t="s">
        <v>4748</v>
      </c>
      <c r="B3169" t="s">
        <v>144</v>
      </c>
      <c r="C3169" t="s">
        <v>115</v>
      </c>
      <c r="D3169" t="s">
        <v>4718</v>
      </c>
      <c r="E3169" t="s">
        <v>161</v>
      </c>
      <c r="F3169" t="s">
        <v>53</v>
      </c>
      <c r="G3169" t="s">
        <v>54</v>
      </c>
      <c r="H3169" t="s">
        <v>55</v>
      </c>
      <c r="I3169">
        <v>1150</v>
      </c>
      <c r="J3169">
        <v>1495</v>
      </c>
      <c r="K3169">
        <v>1</v>
      </c>
      <c r="L3169">
        <v>1150</v>
      </c>
      <c r="M3169">
        <v>1495</v>
      </c>
      <c r="N3169" t="s">
        <v>35</v>
      </c>
      <c r="O3169">
        <f t="shared" si="98"/>
        <v>2990</v>
      </c>
      <c r="P3169" s="13">
        <f t="shared" si="99"/>
        <v>2050178</v>
      </c>
      <c r="Q3169" s="13">
        <f>SUMIFS(M:M,E:E,Online_eCommerce[[#This Row],[Status]])</f>
        <v>21103186</v>
      </c>
      <c r="R3169" s="13">
        <f>SUMIFS(L:L,H:H,Online_eCommerce[[#This Row],[Brand]])</f>
        <v>2267380</v>
      </c>
      <c r="S3169" s="13">
        <f>SUMIF(H:H,Online_eCommerce[[#This Row],[Brand]],M:M)</f>
        <v>2947594</v>
      </c>
      <c r="T3169" s="13">
        <f>SUMIF(N:N,Online_eCommerce[[#This Row],[Assigned Supervisor]],L:L)</f>
        <v>14373360</v>
      </c>
    </row>
    <row r="3170" spans="1:20" x14ac:dyDescent="0.3">
      <c r="A3170" t="s">
        <v>4749</v>
      </c>
      <c r="B3170" t="s">
        <v>149</v>
      </c>
      <c r="C3170" t="s">
        <v>120</v>
      </c>
      <c r="D3170" t="s">
        <v>4718</v>
      </c>
      <c r="E3170" t="s">
        <v>46</v>
      </c>
      <c r="F3170" t="s">
        <v>59</v>
      </c>
      <c r="G3170" t="s">
        <v>60</v>
      </c>
      <c r="H3170" t="s">
        <v>61</v>
      </c>
      <c r="I3170">
        <v>850</v>
      </c>
      <c r="J3170">
        <v>1105</v>
      </c>
      <c r="K3170">
        <v>2</v>
      </c>
      <c r="L3170">
        <v>1700</v>
      </c>
      <c r="M3170">
        <v>2210</v>
      </c>
      <c r="N3170" t="s">
        <v>42</v>
      </c>
      <c r="O3170">
        <f t="shared" si="98"/>
        <v>3315</v>
      </c>
      <c r="P3170" s="13">
        <f t="shared" si="99"/>
        <v>2734212</v>
      </c>
      <c r="Q3170" s="13">
        <f>SUMIFS(M:M,E:E,Online_eCommerce[[#This Row],[Status]])</f>
        <v>28620410</v>
      </c>
      <c r="R3170" s="13">
        <f>SUMIFS(L:L,H:H,Online_eCommerce[[#This Row],[Brand]])</f>
        <v>10950150</v>
      </c>
      <c r="S3170" s="13">
        <f>SUMIF(H:H,Online_eCommerce[[#This Row],[Brand]],M:M)</f>
        <v>14235195</v>
      </c>
      <c r="T3170" s="13">
        <f>SUMIF(N:N,Online_eCommerce[[#This Row],[Assigned Supervisor]],L:L)</f>
        <v>12261500</v>
      </c>
    </row>
    <row r="3171" spans="1:20" hidden="1" x14ac:dyDescent="0.3">
      <c r="A3171" t="s">
        <v>4750</v>
      </c>
      <c r="B3171" t="s">
        <v>154</v>
      </c>
      <c r="C3171" t="s">
        <v>125</v>
      </c>
      <c r="D3171" t="s">
        <v>4718</v>
      </c>
      <c r="E3171" t="s">
        <v>96</v>
      </c>
      <c r="F3171" t="s">
        <v>65</v>
      </c>
      <c r="G3171" t="s">
        <v>66</v>
      </c>
      <c r="H3171" t="s">
        <v>21</v>
      </c>
      <c r="I3171">
        <v>650</v>
      </c>
      <c r="J3171">
        <v>845</v>
      </c>
      <c r="K3171">
        <v>2</v>
      </c>
      <c r="L3171">
        <v>1300</v>
      </c>
      <c r="M3171">
        <v>1690</v>
      </c>
      <c r="N3171" t="s">
        <v>50</v>
      </c>
      <c r="O3171">
        <f t="shared" si="98"/>
        <v>1690</v>
      </c>
      <c r="P3171" s="13">
        <f t="shared" si="99"/>
        <v>2091154</v>
      </c>
      <c r="Q3171" s="13">
        <f>SUMIFS(M:M,E:E,Online_eCommerce[[#This Row],[Status]])</f>
        <v>21233992</v>
      </c>
      <c r="R3171" s="13">
        <f>SUMIFS(L:L,H:H,Online_eCommerce[[#This Row],[Brand]])</f>
        <v>12435650</v>
      </c>
      <c r="S3171" s="13">
        <f>SUMIF(H:H,Online_eCommerce[[#This Row],[Brand]],M:M)</f>
        <v>16166345</v>
      </c>
      <c r="T3171" s="13">
        <f>SUMIF(N:N,Online_eCommerce[[#This Row],[Assigned Supervisor]],L:L)</f>
        <v>12100590</v>
      </c>
    </row>
    <row r="3172" spans="1:20" hidden="1" x14ac:dyDescent="0.3">
      <c r="A3172" t="s">
        <v>4751</v>
      </c>
      <c r="B3172" t="s">
        <v>159</v>
      </c>
      <c r="C3172" t="s">
        <v>22</v>
      </c>
      <c r="D3172" t="s">
        <v>4718</v>
      </c>
      <c r="E3172" t="s">
        <v>18</v>
      </c>
      <c r="F3172" t="s">
        <v>70</v>
      </c>
      <c r="G3172" t="s">
        <v>71</v>
      </c>
      <c r="H3172" t="s">
        <v>61</v>
      </c>
      <c r="I3172">
        <v>7500</v>
      </c>
      <c r="J3172">
        <v>9750</v>
      </c>
      <c r="K3172">
        <v>2</v>
      </c>
      <c r="L3172">
        <v>15000</v>
      </c>
      <c r="M3172">
        <v>19500</v>
      </c>
      <c r="N3172" t="s">
        <v>56</v>
      </c>
      <c r="O3172">
        <f t="shared" si="98"/>
        <v>9750</v>
      </c>
      <c r="P3172" s="13">
        <f t="shared" si="99"/>
        <v>2551588</v>
      </c>
      <c r="Q3172" s="13">
        <f>SUMIFS(M:M,E:E,Online_eCommerce[[#This Row],[Status]])</f>
        <v>28340455</v>
      </c>
      <c r="R3172" s="13">
        <f>SUMIFS(L:L,H:H,Online_eCommerce[[#This Row],[Brand]])</f>
        <v>10950150</v>
      </c>
      <c r="S3172" s="13">
        <f>SUMIF(H:H,Online_eCommerce[[#This Row],[Brand]],M:M)</f>
        <v>14235195</v>
      </c>
      <c r="T3172" s="13">
        <f>SUMIF(N:N,Online_eCommerce[[#This Row],[Assigned Supervisor]],L:L)</f>
        <v>11733610</v>
      </c>
    </row>
    <row r="3173" spans="1:20" hidden="1" x14ac:dyDescent="0.3">
      <c r="A3173" t="s">
        <v>4752</v>
      </c>
      <c r="B3173" t="s">
        <v>139</v>
      </c>
      <c r="C3173" t="s">
        <v>132</v>
      </c>
      <c r="D3173" t="s">
        <v>4718</v>
      </c>
      <c r="E3173" t="s">
        <v>161</v>
      </c>
      <c r="F3173" t="s">
        <v>4739</v>
      </c>
      <c r="G3173" t="s">
        <v>77</v>
      </c>
      <c r="H3173" t="s">
        <v>78</v>
      </c>
      <c r="I3173">
        <v>10000</v>
      </c>
      <c r="J3173">
        <v>13000</v>
      </c>
      <c r="K3173">
        <v>2</v>
      </c>
      <c r="L3173">
        <v>20000</v>
      </c>
      <c r="M3173">
        <v>26000</v>
      </c>
      <c r="N3173" t="s">
        <v>22</v>
      </c>
      <c r="O3173">
        <f t="shared" si="98"/>
        <v>39000</v>
      </c>
      <c r="P3173" s="13">
        <f t="shared" si="99"/>
        <v>1989065</v>
      </c>
      <c r="Q3173" s="13">
        <f>SUMIFS(M:M,E:E,Online_eCommerce[[#This Row],[Status]])</f>
        <v>21103186</v>
      </c>
      <c r="R3173" s="13">
        <f>SUMIFS(L:L,H:H,Online_eCommerce[[#This Row],[Brand]])</f>
        <v>3720000</v>
      </c>
      <c r="S3173" s="13">
        <f>SUMIF(H:H,Online_eCommerce[[#This Row],[Brand]],M:M)</f>
        <v>4836000</v>
      </c>
      <c r="T3173" s="13">
        <f>SUMIF(N:N,Online_eCommerce[[#This Row],[Assigned Supervisor]],L:L)</f>
        <v>13693220</v>
      </c>
    </row>
    <row r="3174" spans="1:20" x14ac:dyDescent="0.3">
      <c r="A3174" t="s">
        <v>4753</v>
      </c>
      <c r="B3174" t="s">
        <v>144</v>
      </c>
      <c r="C3174" t="s">
        <v>136</v>
      </c>
      <c r="D3174" t="s">
        <v>4718</v>
      </c>
      <c r="E3174" t="s">
        <v>46</v>
      </c>
      <c r="F3174" t="s">
        <v>4754</v>
      </c>
      <c r="G3174" t="s">
        <v>20</v>
      </c>
      <c r="H3174" t="s">
        <v>21</v>
      </c>
      <c r="I3174">
        <v>10500</v>
      </c>
      <c r="J3174">
        <v>13650</v>
      </c>
      <c r="K3174">
        <v>1</v>
      </c>
      <c r="L3174">
        <v>10500</v>
      </c>
      <c r="M3174">
        <v>13650</v>
      </c>
      <c r="N3174" t="s">
        <v>28</v>
      </c>
      <c r="O3174">
        <f t="shared" si="98"/>
        <v>8450</v>
      </c>
      <c r="P3174" s="13">
        <f t="shared" si="99"/>
        <v>2775162</v>
      </c>
      <c r="Q3174" s="13">
        <f>SUMIFS(M:M,E:E,Online_eCommerce[[#This Row],[Status]])</f>
        <v>28620410</v>
      </c>
      <c r="R3174" s="13">
        <f>SUMIFS(L:L,H:H,Online_eCommerce[[#This Row],[Brand]])</f>
        <v>12435650</v>
      </c>
      <c r="S3174" s="13">
        <f>SUMIF(H:H,Online_eCommerce[[#This Row],[Brand]],M:M)</f>
        <v>16166345</v>
      </c>
      <c r="T3174" s="13">
        <f>SUMIF(N:N,Online_eCommerce[[#This Row],[Assigned Supervisor]],L:L)</f>
        <v>12220830</v>
      </c>
    </row>
    <row r="3175" spans="1:20" hidden="1" x14ac:dyDescent="0.3">
      <c r="A3175" t="s">
        <v>4755</v>
      </c>
      <c r="B3175" t="s">
        <v>235</v>
      </c>
      <c r="C3175" t="s">
        <v>140</v>
      </c>
      <c r="D3175" t="s">
        <v>4718</v>
      </c>
      <c r="E3175" t="s">
        <v>96</v>
      </c>
      <c r="F3175" t="s">
        <v>88</v>
      </c>
      <c r="G3175" t="s">
        <v>26</v>
      </c>
      <c r="H3175" t="s">
        <v>27</v>
      </c>
      <c r="I3175">
        <v>8500</v>
      </c>
      <c r="J3175">
        <v>11050</v>
      </c>
      <c r="K3175">
        <v>1</v>
      </c>
      <c r="L3175">
        <v>8500</v>
      </c>
      <c r="M3175">
        <v>11050</v>
      </c>
      <c r="N3175" t="s">
        <v>35</v>
      </c>
      <c r="O3175">
        <f t="shared" si="98"/>
        <v>33150</v>
      </c>
      <c r="P3175" s="13">
        <f t="shared" si="99"/>
        <v>2058264</v>
      </c>
      <c r="Q3175" s="13">
        <f>SUMIFS(M:M,E:E,Online_eCommerce[[#This Row],[Status]])</f>
        <v>21233992</v>
      </c>
      <c r="R3175" s="13">
        <f>SUMIFS(L:L,H:H,Online_eCommerce[[#This Row],[Brand]])</f>
        <v>14431000</v>
      </c>
      <c r="S3175" s="13">
        <f>SUMIF(H:H,Online_eCommerce[[#This Row],[Brand]],M:M)</f>
        <v>18760300</v>
      </c>
      <c r="T3175" s="13">
        <f>SUMIF(N:N,Online_eCommerce[[#This Row],[Assigned Supervisor]],L:L)</f>
        <v>14373360</v>
      </c>
    </row>
    <row r="3176" spans="1:20" hidden="1" x14ac:dyDescent="0.3">
      <c r="A3176" t="s">
        <v>4756</v>
      </c>
      <c r="B3176" t="s">
        <v>176</v>
      </c>
      <c r="C3176" t="s">
        <v>145</v>
      </c>
      <c r="D3176" t="s">
        <v>4757</v>
      </c>
      <c r="E3176" t="s">
        <v>18</v>
      </c>
      <c r="F3176" t="s">
        <v>32</v>
      </c>
      <c r="G3176" t="s">
        <v>33</v>
      </c>
      <c r="H3176" t="s">
        <v>34</v>
      </c>
      <c r="I3176">
        <v>7000</v>
      </c>
      <c r="J3176">
        <v>9100</v>
      </c>
      <c r="K3176">
        <v>4</v>
      </c>
      <c r="L3176">
        <v>28000</v>
      </c>
      <c r="M3176">
        <v>36400</v>
      </c>
      <c r="N3176" t="s">
        <v>42</v>
      </c>
      <c r="O3176">
        <f t="shared" si="98"/>
        <v>18200</v>
      </c>
      <c r="P3176" s="13">
        <f t="shared" si="99"/>
        <v>2757859</v>
      </c>
      <c r="Q3176" s="13">
        <f>SUMIFS(M:M,E:E,Online_eCommerce[[#This Row],[Status]])</f>
        <v>28340455</v>
      </c>
      <c r="R3176" s="13">
        <f>SUMIFS(L:L,H:H,Online_eCommerce[[#This Row],[Brand]])</f>
        <v>10087000</v>
      </c>
      <c r="S3176" s="13">
        <f>SUMIF(H:H,Online_eCommerce[[#This Row],[Brand]],M:M)</f>
        <v>13113100</v>
      </c>
      <c r="T3176" s="13">
        <f>SUMIF(N:N,Online_eCommerce[[#This Row],[Assigned Supervisor]],L:L)</f>
        <v>12261500</v>
      </c>
    </row>
    <row r="3177" spans="1:20" hidden="1" x14ac:dyDescent="0.3">
      <c r="A3177" t="s">
        <v>4758</v>
      </c>
      <c r="B3177" t="s">
        <v>276</v>
      </c>
      <c r="C3177" t="s">
        <v>150</v>
      </c>
      <c r="D3177" t="s">
        <v>4759</v>
      </c>
      <c r="E3177" t="s">
        <v>161</v>
      </c>
      <c r="F3177" t="s">
        <v>4760</v>
      </c>
      <c r="G3177" t="s">
        <v>40</v>
      </c>
      <c r="H3177" t="s">
        <v>41</v>
      </c>
      <c r="I3177">
        <v>1680</v>
      </c>
      <c r="J3177">
        <v>2184</v>
      </c>
      <c r="K3177">
        <v>1</v>
      </c>
      <c r="L3177">
        <v>1680</v>
      </c>
      <c r="M3177">
        <v>2184</v>
      </c>
      <c r="N3177" t="s">
        <v>50</v>
      </c>
      <c r="O3177">
        <f t="shared" si="98"/>
        <v>25545</v>
      </c>
      <c r="P3177" s="13">
        <f t="shared" si="99"/>
        <v>2154984</v>
      </c>
      <c r="Q3177" s="13">
        <f>SUMIFS(M:M,E:E,Online_eCommerce[[#This Row],[Status]])</f>
        <v>21103186</v>
      </c>
      <c r="R3177" s="13">
        <f>SUMIFS(L:L,H:H,Online_eCommerce[[#This Row],[Brand]])</f>
        <v>4260400</v>
      </c>
      <c r="S3177" s="13">
        <f>SUMIF(H:H,Online_eCommerce[[#This Row],[Brand]],M:M)</f>
        <v>5538520</v>
      </c>
      <c r="T3177" s="13">
        <f>SUMIF(N:N,Online_eCommerce[[#This Row],[Assigned Supervisor]],L:L)</f>
        <v>12100590</v>
      </c>
    </row>
    <row r="3178" spans="1:20" x14ac:dyDescent="0.3">
      <c r="A3178" t="s">
        <v>4761</v>
      </c>
      <c r="B3178" t="s">
        <v>280</v>
      </c>
      <c r="C3178" t="s">
        <v>155</v>
      </c>
      <c r="D3178" t="s">
        <v>4762</v>
      </c>
      <c r="E3178" t="s">
        <v>46</v>
      </c>
      <c r="F3178" t="s">
        <v>101</v>
      </c>
      <c r="G3178" t="s">
        <v>334</v>
      </c>
      <c r="H3178" t="s">
        <v>102</v>
      </c>
      <c r="I3178">
        <v>6540</v>
      </c>
      <c r="J3178">
        <v>8502</v>
      </c>
      <c r="K3178">
        <v>3</v>
      </c>
      <c r="L3178">
        <v>19620</v>
      </c>
      <c r="M3178">
        <v>25506</v>
      </c>
      <c r="N3178" t="s">
        <v>56</v>
      </c>
      <c r="O3178">
        <f t="shared" si="98"/>
        <v>39780</v>
      </c>
      <c r="P3178" s="13">
        <f t="shared" si="99"/>
        <v>2753348</v>
      </c>
      <c r="Q3178" s="13">
        <f>SUMIFS(M:M,E:E,Online_eCommerce[[#This Row],[Status]])</f>
        <v>28620410</v>
      </c>
      <c r="R3178" s="13">
        <f>SUMIFS(L:L,H:H,Online_eCommerce[[#This Row],[Brand]])</f>
        <v>2465580</v>
      </c>
      <c r="S3178" s="13">
        <f>SUMIF(H:H,Online_eCommerce[[#This Row],[Brand]],M:M)</f>
        <v>3205254</v>
      </c>
      <c r="T3178" s="13">
        <f>SUMIF(N:N,Online_eCommerce[[#This Row],[Assigned Supervisor]],L:L)</f>
        <v>11733610</v>
      </c>
    </row>
    <row r="3179" spans="1:20" hidden="1" x14ac:dyDescent="0.3">
      <c r="A3179" t="s">
        <v>4763</v>
      </c>
      <c r="B3179" t="s">
        <v>283</v>
      </c>
      <c r="C3179" t="s">
        <v>160</v>
      </c>
      <c r="D3179" t="s">
        <v>4764</v>
      </c>
      <c r="E3179" t="s">
        <v>96</v>
      </c>
      <c r="F3179" t="s">
        <v>107</v>
      </c>
      <c r="G3179" t="s">
        <v>54</v>
      </c>
      <c r="H3179" t="s">
        <v>55</v>
      </c>
      <c r="I3179">
        <v>2680</v>
      </c>
      <c r="J3179">
        <v>3484</v>
      </c>
      <c r="K3179">
        <v>3</v>
      </c>
      <c r="L3179">
        <v>8040</v>
      </c>
      <c r="M3179">
        <v>10452</v>
      </c>
      <c r="N3179" t="s">
        <v>22</v>
      </c>
      <c r="O3179">
        <f t="shared" si="98"/>
        <v>2990</v>
      </c>
      <c r="P3179" s="13">
        <f t="shared" si="99"/>
        <v>2303483</v>
      </c>
      <c r="Q3179" s="13">
        <f>SUMIFS(M:M,E:E,Online_eCommerce[[#This Row],[Status]])</f>
        <v>21233992</v>
      </c>
      <c r="R3179" s="13">
        <f>SUMIFS(L:L,H:H,Online_eCommerce[[#This Row],[Brand]])</f>
        <v>2267380</v>
      </c>
      <c r="S3179" s="13">
        <f>SUMIF(H:H,Online_eCommerce[[#This Row],[Brand]],M:M)</f>
        <v>2947594</v>
      </c>
      <c r="T3179" s="13">
        <f>SUMIF(N:N,Online_eCommerce[[#This Row],[Assigned Supervisor]],L:L)</f>
        <v>13693220</v>
      </c>
    </row>
    <row r="3180" spans="1:20" hidden="1" x14ac:dyDescent="0.3">
      <c r="A3180" t="s">
        <v>4765</v>
      </c>
      <c r="B3180" t="s">
        <v>287</v>
      </c>
      <c r="C3180" t="s">
        <v>165</v>
      </c>
      <c r="D3180" t="s">
        <v>4766</v>
      </c>
      <c r="E3180" t="s">
        <v>18</v>
      </c>
      <c r="F3180" t="s">
        <v>112</v>
      </c>
      <c r="G3180" t="s">
        <v>71</v>
      </c>
      <c r="H3180" t="s">
        <v>21</v>
      </c>
      <c r="I3180">
        <v>8250</v>
      </c>
      <c r="J3180">
        <v>10725</v>
      </c>
      <c r="K3180">
        <v>2</v>
      </c>
      <c r="L3180">
        <v>16500</v>
      </c>
      <c r="M3180">
        <v>21450</v>
      </c>
      <c r="N3180" t="s">
        <v>28</v>
      </c>
      <c r="O3180">
        <f t="shared" si="98"/>
        <v>9750</v>
      </c>
      <c r="P3180" s="13">
        <f t="shared" si="99"/>
        <v>2674087</v>
      </c>
      <c r="Q3180" s="13">
        <f>SUMIFS(M:M,E:E,Online_eCommerce[[#This Row],[Status]])</f>
        <v>28340455</v>
      </c>
      <c r="R3180" s="13">
        <f>SUMIFS(L:L,H:H,Online_eCommerce[[#This Row],[Brand]])</f>
        <v>12435650</v>
      </c>
      <c r="S3180" s="13">
        <f>SUMIF(H:H,Online_eCommerce[[#This Row],[Brand]],M:M)</f>
        <v>16166345</v>
      </c>
      <c r="T3180" s="13">
        <f>SUMIF(N:N,Online_eCommerce[[#This Row],[Assigned Supervisor]],L:L)</f>
        <v>12220830</v>
      </c>
    </row>
    <row r="3181" spans="1:20" hidden="1" x14ac:dyDescent="0.3">
      <c r="A3181" t="s">
        <v>4767</v>
      </c>
      <c r="B3181" t="s">
        <v>290</v>
      </c>
      <c r="C3181" t="s">
        <v>168</v>
      </c>
      <c r="D3181" t="s">
        <v>4768</v>
      </c>
      <c r="E3181" t="s">
        <v>161</v>
      </c>
      <c r="F3181" t="s">
        <v>4304</v>
      </c>
      <c r="G3181" t="s">
        <v>40</v>
      </c>
      <c r="H3181" t="s">
        <v>21</v>
      </c>
      <c r="I3181">
        <v>2650</v>
      </c>
      <c r="J3181">
        <v>3445</v>
      </c>
      <c r="K3181">
        <v>1</v>
      </c>
      <c r="L3181">
        <v>2650</v>
      </c>
      <c r="M3181">
        <v>3445</v>
      </c>
      <c r="N3181" t="s">
        <v>35</v>
      </c>
      <c r="O3181">
        <f t="shared" si="98"/>
        <v>25545</v>
      </c>
      <c r="P3181" s="13">
        <f t="shared" si="99"/>
        <v>1937780</v>
      </c>
      <c r="Q3181" s="13">
        <f>SUMIFS(M:M,E:E,Online_eCommerce[[#This Row],[Status]])</f>
        <v>21103186</v>
      </c>
      <c r="R3181" s="13">
        <f>SUMIFS(L:L,H:H,Online_eCommerce[[#This Row],[Brand]])</f>
        <v>12435650</v>
      </c>
      <c r="S3181" s="13">
        <f>SUMIF(H:H,Online_eCommerce[[#This Row],[Brand]],M:M)</f>
        <v>16166345</v>
      </c>
      <c r="T3181" s="13">
        <f>SUMIF(N:N,Online_eCommerce[[#This Row],[Assigned Supervisor]],L:L)</f>
        <v>14373360</v>
      </c>
    </row>
    <row r="3182" spans="1:20" x14ac:dyDescent="0.3">
      <c r="A3182" t="s">
        <v>4769</v>
      </c>
      <c r="B3182" t="s">
        <v>15</v>
      </c>
      <c r="C3182" t="s">
        <v>172</v>
      </c>
      <c r="D3182" t="s">
        <v>4770</v>
      </c>
      <c r="E3182" t="s">
        <v>46</v>
      </c>
      <c r="F3182" t="s">
        <v>121</v>
      </c>
      <c r="G3182" t="s">
        <v>71</v>
      </c>
      <c r="H3182" t="s">
        <v>122</v>
      </c>
      <c r="I3182">
        <v>12550</v>
      </c>
      <c r="J3182">
        <v>16315</v>
      </c>
      <c r="K3182">
        <v>1</v>
      </c>
      <c r="L3182">
        <v>12550</v>
      </c>
      <c r="M3182">
        <v>16315</v>
      </c>
      <c r="N3182" t="s">
        <v>42</v>
      </c>
      <c r="O3182">
        <f t="shared" si="98"/>
        <v>9750</v>
      </c>
      <c r="P3182" s="13">
        <f t="shared" si="99"/>
        <v>2640274</v>
      </c>
      <c r="Q3182" s="13">
        <f>SUMIFS(M:M,E:E,Online_eCommerce[[#This Row],[Status]])</f>
        <v>28620410</v>
      </c>
      <c r="R3182" s="13">
        <f>SUMIFS(L:L,H:H,Online_eCommerce[[#This Row],[Brand]])</f>
        <v>5045100</v>
      </c>
      <c r="S3182" s="13">
        <f>SUMIF(H:H,Online_eCommerce[[#This Row],[Brand]],M:M)</f>
        <v>6558630</v>
      </c>
      <c r="T3182" s="13">
        <f>SUMIF(N:N,Online_eCommerce[[#This Row],[Assigned Supervisor]],L:L)</f>
        <v>12261500</v>
      </c>
    </row>
    <row r="3183" spans="1:20" hidden="1" x14ac:dyDescent="0.3">
      <c r="A3183" t="s">
        <v>4771</v>
      </c>
      <c r="B3183" t="s">
        <v>202</v>
      </c>
      <c r="C3183" t="s">
        <v>177</v>
      </c>
      <c r="D3183" t="s">
        <v>4772</v>
      </c>
      <c r="E3183" t="s">
        <v>96</v>
      </c>
      <c r="F3183" t="s">
        <v>126</v>
      </c>
      <c r="G3183" t="s">
        <v>26</v>
      </c>
      <c r="H3183" t="s">
        <v>27</v>
      </c>
      <c r="I3183">
        <v>14500</v>
      </c>
      <c r="J3183">
        <v>18850</v>
      </c>
      <c r="K3183">
        <v>2</v>
      </c>
      <c r="L3183">
        <v>29000</v>
      </c>
      <c r="M3183">
        <v>37700</v>
      </c>
      <c r="N3183" t="s">
        <v>50</v>
      </c>
      <c r="O3183">
        <f t="shared" si="98"/>
        <v>33150</v>
      </c>
      <c r="P3183" s="13">
        <f t="shared" si="99"/>
        <v>1863810</v>
      </c>
      <c r="Q3183" s="13">
        <f>SUMIFS(M:M,E:E,Online_eCommerce[[#This Row],[Status]])</f>
        <v>21233992</v>
      </c>
      <c r="R3183" s="13">
        <f>SUMIFS(L:L,H:H,Online_eCommerce[[#This Row],[Brand]])</f>
        <v>14431000</v>
      </c>
      <c r="S3183" s="13">
        <f>SUMIF(H:H,Online_eCommerce[[#This Row],[Brand]],M:M)</f>
        <v>18760300</v>
      </c>
      <c r="T3183" s="13">
        <f>SUMIF(N:N,Online_eCommerce[[#This Row],[Assigned Supervisor]],L:L)</f>
        <v>12100590</v>
      </c>
    </row>
    <row r="3184" spans="1:20" hidden="1" x14ac:dyDescent="0.3">
      <c r="A3184" t="s">
        <v>4773</v>
      </c>
      <c r="B3184" t="s">
        <v>30</v>
      </c>
      <c r="C3184" t="s">
        <v>181</v>
      </c>
      <c r="D3184" t="s">
        <v>4774</v>
      </c>
      <c r="E3184" t="s">
        <v>18</v>
      </c>
      <c r="F3184" t="s">
        <v>129</v>
      </c>
      <c r="G3184" t="s">
        <v>60</v>
      </c>
      <c r="H3184" t="s">
        <v>61</v>
      </c>
      <c r="I3184">
        <v>800</v>
      </c>
      <c r="J3184">
        <v>1040</v>
      </c>
      <c r="K3184">
        <v>2</v>
      </c>
      <c r="L3184">
        <v>1600</v>
      </c>
      <c r="M3184">
        <v>2080</v>
      </c>
      <c r="N3184" t="s">
        <v>56</v>
      </c>
      <c r="O3184">
        <f t="shared" si="98"/>
        <v>3315</v>
      </c>
      <c r="P3184" s="13">
        <f t="shared" si="99"/>
        <v>2577458</v>
      </c>
      <c r="Q3184" s="13">
        <f>SUMIFS(M:M,E:E,Online_eCommerce[[#This Row],[Status]])</f>
        <v>28340455</v>
      </c>
      <c r="R3184" s="13">
        <f>SUMIFS(L:L,H:H,Online_eCommerce[[#This Row],[Brand]])</f>
        <v>10950150</v>
      </c>
      <c r="S3184" s="13">
        <f>SUMIF(H:H,Online_eCommerce[[#This Row],[Brand]],M:M)</f>
        <v>14235195</v>
      </c>
      <c r="T3184" s="13">
        <f>SUMIF(N:N,Online_eCommerce[[#This Row],[Assigned Supervisor]],L:L)</f>
        <v>11733610</v>
      </c>
    </row>
    <row r="3185" spans="1:20" hidden="1" x14ac:dyDescent="0.3">
      <c r="A3185" t="s">
        <v>4775</v>
      </c>
      <c r="B3185" t="s">
        <v>37</v>
      </c>
      <c r="C3185" t="s">
        <v>185</v>
      </c>
      <c r="D3185" t="s">
        <v>4776</v>
      </c>
      <c r="E3185" t="s">
        <v>161</v>
      </c>
      <c r="F3185" t="s">
        <v>133</v>
      </c>
      <c r="G3185" t="s">
        <v>66</v>
      </c>
      <c r="H3185" t="s">
        <v>21</v>
      </c>
      <c r="I3185">
        <v>600</v>
      </c>
      <c r="J3185">
        <v>780</v>
      </c>
      <c r="K3185">
        <v>3</v>
      </c>
      <c r="L3185">
        <v>1800</v>
      </c>
      <c r="M3185">
        <v>2340</v>
      </c>
      <c r="N3185" t="s">
        <v>22</v>
      </c>
      <c r="O3185">
        <f t="shared" si="98"/>
        <v>1690</v>
      </c>
      <c r="P3185" s="13">
        <f t="shared" si="99"/>
        <v>2091596</v>
      </c>
      <c r="Q3185" s="13">
        <f>SUMIFS(M:M,E:E,Online_eCommerce[[#This Row],[Status]])</f>
        <v>21103186</v>
      </c>
      <c r="R3185" s="13">
        <f>SUMIFS(L:L,H:H,Online_eCommerce[[#This Row],[Brand]])</f>
        <v>12435650</v>
      </c>
      <c r="S3185" s="13">
        <f>SUMIF(H:H,Online_eCommerce[[#This Row],[Brand]],M:M)</f>
        <v>16166345</v>
      </c>
      <c r="T3185" s="13">
        <f>SUMIF(N:N,Online_eCommerce[[#This Row],[Assigned Supervisor]],L:L)</f>
        <v>13693220</v>
      </c>
    </row>
    <row r="3186" spans="1:20" x14ac:dyDescent="0.3">
      <c r="A3186" t="s">
        <v>4777</v>
      </c>
      <c r="B3186" t="s">
        <v>44</v>
      </c>
      <c r="C3186" t="s">
        <v>189</v>
      </c>
      <c r="D3186" t="s">
        <v>4778</v>
      </c>
      <c r="E3186" t="s">
        <v>46</v>
      </c>
      <c r="F3186" t="s">
        <v>137</v>
      </c>
      <c r="G3186" t="s">
        <v>71</v>
      </c>
      <c r="H3186" t="s">
        <v>61</v>
      </c>
      <c r="I3186">
        <v>10500</v>
      </c>
      <c r="J3186">
        <v>13650</v>
      </c>
      <c r="K3186">
        <v>4</v>
      </c>
      <c r="L3186">
        <v>42000</v>
      </c>
      <c r="M3186">
        <v>54600</v>
      </c>
      <c r="N3186" t="s">
        <v>28</v>
      </c>
      <c r="O3186">
        <f t="shared" si="98"/>
        <v>9750</v>
      </c>
      <c r="P3186" s="13">
        <f t="shared" si="99"/>
        <v>2740777</v>
      </c>
      <c r="Q3186" s="13">
        <f>SUMIFS(M:M,E:E,Online_eCommerce[[#This Row],[Status]])</f>
        <v>28620410</v>
      </c>
      <c r="R3186" s="13">
        <f>SUMIFS(L:L,H:H,Online_eCommerce[[#This Row],[Brand]])</f>
        <v>10950150</v>
      </c>
      <c r="S3186" s="13">
        <f>SUMIF(H:H,Online_eCommerce[[#This Row],[Brand]],M:M)</f>
        <v>14235195</v>
      </c>
      <c r="T3186" s="13">
        <f>SUMIF(N:N,Online_eCommerce[[#This Row],[Assigned Supervisor]],L:L)</f>
        <v>12220830</v>
      </c>
    </row>
    <row r="3187" spans="1:20" hidden="1" x14ac:dyDescent="0.3">
      <c r="A3187" t="s">
        <v>4779</v>
      </c>
      <c r="B3187" t="s">
        <v>213</v>
      </c>
      <c r="C3187" t="s">
        <v>193</v>
      </c>
      <c r="D3187" t="s">
        <v>4780</v>
      </c>
      <c r="E3187" t="s">
        <v>96</v>
      </c>
      <c r="F3187" t="s">
        <v>4739</v>
      </c>
      <c r="G3187" t="s">
        <v>77</v>
      </c>
      <c r="H3187" t="s">
        <v>142</v>
      </c>
      <c r="I3187">
        <v>6500</v>
      </c>
      <c r="J3187">
        <v>8450</v>
      </c>
      <c r="K3187">
        <v>3</v>
      </c>
      <c r="L3187">
        <v>19500</v>
      </c>
      <c r="M3187">
        <v>25350</v>
      </c>
      <c r="N3187" t="s">
        <v>35</v>
      </c>
      <c r="O3187">
        <f t="shared" si="98"/>
        <v>39000</v>
      </c>
      <c r="P3187" s="13">
        <f t="shared" si="99"/>
        <v>2074774</v>
      </c>
      <c r="Q3187" s="13">
        <f>SUMIFS(M:M,E:E,Online_eCommerce[[#This Row],[Status]])</f>
        <v>21233992</v>
      </c>
      <c r="R3187" s="13">
        <f>SUMIFS(L:L,H:H,Online_eCommerce[[#This Row],[Brand]])</f>
        <v>6192500</v>
      </c>
      <c r="S3187" s="13">
        <f>SUMIF(H:H,Online_eCommerce[[#This Row],[Brand]],M:M)</f>
        <v>8050250</v>
      </c>
      <c r="T3187" s="13">
        <f>SUMIF(N:N,Online_eCommerce[[#This Row],[Assigned Supervisor]],L:L)</f>
        <v>14373360</v>
      </c>
    </row>
    <row r="3188" spans="1:20" hidden="1" x14ac:dyDescent="0.3">
      <c r="A3188" t="s">
        <v>4781</v>
      </c>
      <c r="B3188" t="s">
        <v>215</v>
      </c>
      <c r="C3188" t="s">
        <v>197</v>
      </c>
      <c r="D3188" t="s">
        <v>4782</v>
      </c>
      <c r="E3188" t="s">
        <v>18</v>
      </c>
      <c r="F3188" t="s">
        <v>4783</v>
      </c>
      <c r="G3188" t="s">
        <v>20</v>
      </c>
      <c r="H3188" t="s">
        <v>21</v>
      </c>
      <c r="I3188">
        <v>4500</v>
      </c>
      <c r="J3188">
        <v>5850</v>
      </c>
      <c r="K3188">
        <v>1</v>
      </c>
      <c r="L3188">
        <v>4500</v>
      </c>
      <c r="M3188">
        <v>5850</v>
      </c>
      <c r="N3188" t="s">
        <v>42</v>
      </c>
      <c r="O3188">
        <f t="shared" si="98"/>
        <v>8450</v>
      </c>
      <c r="P3188" s="13">
        <f t="shared" si="99"/>
        <v>2829840</v>
      </c>
      <c r="Q3188" s="13">
        <f>SUMIFS(M:M,E:E,Online_eCommerce[[#This Row],[Status]])</f>
        <v>28340455</v>
      </c>
      <c r="R3188" s="13">
        <f>SUMIFS(L:L,H:H,Online_eCommerce[[#This Row],[Brand]])</f>
        <v>12435650</v>
      </c>
      <c r="S3188" s="13">
        <f>SUMIF(H:H,Online_eCommerce[[#This Row],[Brand]],M:M)</f>
        <v>16166345</v>
      </c>
      <c r="T3188" s="13">
        <f>SUMIF(N:N,Online_eCommerce[[#This Row],[Assigned Supervisor]],L:L)</f>
        <v>12261500</v>
      </c>
    </row>
    <row r="3189" spans="1:20" hidden="1" x14ac:dyDescent="0.3">
      <c r="A3189" t="s">
        <v>4784</v>
      </c>
      <c r="B3189" t="s">
        <v>306</v>
      </c>
      <c r="C3189" t="s">
        <v>199</v>
      </c>
      <c r="D3189" t="s">
        <v>4785</v>
      </c>
      <c r="E3189" t="s">
        <v>161</v>
      </c>
      <c r="F3189" t="s">
        <v>152</v>
      </c>
      <c r="G3189" t="s">
        <v>26</v>
      </c>
      <c r="H3189" t="s">
        <v>27</v>
      </c>
      <c r="I3189">
        <v>8500</v>
      </c>
      <c r="J3189">
        <v>11050</v>
      </c>
      <c r="K3189">
        <v>2</v>
      </c>
      <c r="L3189">
        <v>17000</v>
      </c>
      <c r="M3189">
        <v>22100</v>
      </c>
      <c r="N3189" t="s">
        <v>50</v>
      </c>
      <c r="O3189">
        <f t="shared" si="98"/>
        <v>33150</v>
      </c>
      <c r="P3189" s="13">
        <f t="shared" si="99"/>
        <v>1947361</v>
      </c>
      <c r="Q3189" s="13">
        <f>SUMIFS(M:M,E:E,Online_eCommerce[[#This Row],[Status]])</f>
        <v>21103186</v>
      </c>
      <c r="R3189" s="13">
        <f>SUMIFS(L:L,H:H,Online_eCommerce[[#This Row],[Brand]])</f>
        <v>14431000</v>
      </c>
      <c r="S3189" s="13">
        <f>SUMIF(H:H,Online_eCommerce[[#This Row],[Brand]],M:M)</f>
        <v>18760300</v>
      </c>
      <c r="T3189" s="13">
        <f>SUMIF(N:N,Online_eCommerce[[#This Row],[Assigned Supervisor]],L:L)</f>
        <v>12100590</v>
      </c>
    </row>
    <row r="3190" spans="1:20" x14ac:dyDescent="0.3">
      <c r="A3190" t="s">
        <v>4786</v>
      </c>
      <c r="B3190" t="s">
        <v>528</v>
      </c>
      <c r="C3190" t="s">
        <v>203</v>
      </c>
      <c r="D3190" t="s">
        <v>4787</v>
      </c>
      <c r="E3190" t="s">
        <v>46</v>
      </c>
      <c r="F3190" t="s">
        <v>157</v>
      </c>
      <c r="G3190" t="s">
        <v>33</v>
      </c>
      <c r="H3190" t="s">
        <v>34</v>
      </c>
      <c r="I3190">
        <v>12500</v>
      </c>
      <c r="J3190">
        <v>16250</v>
      </c>
      <c r="K3190">
        <v>1</v>
      </c>
      <c r="L3190">
        <v>12500</v>
      </c>
      <c r="M3190">
        <v>16250</v>
      </c>
      <c r="N3190" t="s">
        <v>56</v>
      </c>
      <c r="O3190">
        <f t="shared" si="98"/>
        <v>18200</v>
      </c>
      <c r="P3190" s="13">
        <f t="shared" si="99"/>
        <v>2559635</v>
      </c>
      <c r="Q3190" s="13">
        <f>SUMIFS(M:M,E:E,Online_eCommerce[[#This Row],[Status]])</f>
        <v>28620410</v>
      </c>
      <c r="R3190" s="13">
        <f>SUMIFS(L:L,H:H,Online_eCommerce[[#This Row],[Brand]])</f>
        <v>10087000</v>
      </c>
      <c r="S3190" s="13">
        <f>SUMIF(H:H,Online_eCommerce[[#This Row],[Brand]],M:M)</f>
        <v>13113100</v>
      </c>
      <c r="T3190" s="13">
        <f>SUMIF(N:N,Online_eCommerce[[#This Row],[Assigned Supervisor]],L:L)</f>
        <v>11733610</v>
      </c>
    </row>
    <row r="3191" spans="1:20" hidden="1" x14ac:dyDescent="0.3">
      <c r="A3191" t="s">
        <v>4788</v>
      </c>
      <c r="B3191" t="s">
        <v>73</v>
      </c>
      <c r="C3191" t="s">
        <v>205</v>
      </c>
      <c r="D3191" t="s">
        <v>4789</v>
      </c>
      <c r="E3191" t="s">
        <v>96</v>
      </c>
      <c r="F3191" t="s">
        <v>4377</v>
      </c>
      <c r="G3191" t="s">
        <v>163</v>
      </c>
      <c r="H3191" t="s">
        <v>41</v>
      </c>
      <c r="I3191">
        <v>3500</v>
      </c>
      <c r="J3191">
        <v>4550</v>
      </c>
      <c r="K3191">
        <v>1</v>
      </c>
      <c r="L3191">
        <v>3500</v>
      </c>
      <c r="M3191">
        <v>4550</v>
      </c>
      <c r="N3191" t="s">
        <v>22</v>
      </c>
      <c r="O3191">
        <f t="shared" si="98"/>
        <v>13650</v>
      </c>
      <c r="P3191" s="13">
        <f t="shared" si="99"/>
        <v>1983254</v>
      </c>
      <c r="Q3191" s="13">
        <f>SUMIFS(M:M,E:E,Online_eCommerce[[#This Row],[Status]])</f>
        <v>21233992</v>
      </c>
      <c r="R3191" s="13">
        <f>SUMIFS(L:L,H:H,Online_eCommerce[[#This Row],[Brand]])</f>
        <v>4260400</v>
      </c>
      <c r="S3191" s="13">
        <f>SUMIF(H:H,Online_eCommerce[[#This Row],[Brand]],M:M)</f>
        <v>5538520</v>
      </c>
      <c r="T3191" s="13">
        <f>SUMIF(N:N,Online_eCommerce[[#This Row],[Assigned Supervisor]],L:L)</f>
        <v>13693220</v>
      </c>
    </row>
    <row r="3192" spans="1:20" hidden="1" x14ac:dyDescent="0.3">
      <c r="A3192" t="s">
        <v>4790</v>
      </c>
      <c r="B3192" t="s">
        <v>80</v>
      </c>
      <c r="C3192" t="s">
        <v>208</v>
      </c>
      <c r="D3192" t="s">
        <v>4791</v>
      </c>
      <c r="E3192" t="s">
        <v>18</v>
      </c>
      <c r="F3192" t="s">
        <v>166</v>
      </c>
      <c r="G3192" t="s">
        <v>66</v>
      </c>
      <c r="H3192" t="s">
        <v>49</v>
      </c>
      <c r="I3192">
        <v>4500</v>
      </c>
      <c r="J3192">
        <v>5850</v>
      </c>
      <c r="K3192">
        <v>2</v>
      </c>
      <c r="L3192">
        <v>9000</v>
      </c>
      <c r="M3192">
        <v>11700</v>
      </c>
      <c r="N3192" t="s">
        <v>28</v>
      </c>
      <c r="O3192">
        <f t="shared" si="98"/>
        <v>1690</v>
      </c>
      <c r="P3192" s="13">
        <f t="shared" si="99"/>
        <v>2746575</v>
      </c>
      <c r="Q3192" s="13">
        <f>SUMIFS(M:M,E:E,Online_eCommerce[[#This Row],[Status]])</f>
        <v>28340455</v>
      </c>
      <c r="R3192" s="13">
        <f>SUMIFS(L:L,H:H,Online_eCommerce[[#This Row],[Brand]])</f>
        <v>4528350</v>
      </c>
      <c r="S3192" s="13">
        <f>SUMIF(H:H,Online_eCommerce[[#This Row],[Brand]],M:M)</f>
        <v>5886855</v>
      </c>
      <c r="T3192" s="13">
        <f>SUMIF(N:N,Online_eCommerce[[#This Row],[Assigned Supervisor]],L:L)</f>
        <v>12220830</v>
      </c>
    </row>
    <row r="3193" spans="1:20" hidden="1" x14ac:dyDescent="0.3">
      <c r="A3193" t="s">
        <v>4792</v>
      </c>
      <c r="B3193" t="s">
        <v>85</v>
      </c>
      <c r="C3193" t="s">
        <v>211</v>
      </c>
      <c r="D3193" t="s">
        <v>4791</v>
      </c>
      <c r="E3193" t="s">
        <v>161</v>
      </c>
      <c r="F3193" t="s">
        <v>4793</v>
      </c>
      <c r="G3193" t="s">
        <v>54</v>
      </c>
      <c r="H3193" t="s">
        <v>55</v>
      </c>
      <c r="I3193">
        <v>2100</v>
      </c>
      <c r="J3193">
        <v>2730</v>
      </c>
      <c r="K3193">
        <v>3</v>
      </c>
      <c r="L3193">
        <v>6300</v>
      </c>
      <c r="M3193">
        <v>8190</v>
      </c>
      <c r="N3193" t="s">
        <v>35</v>
      </c>
      <c r="O3193">
        <f t="shared" si="98"/>
        <v>2990</v>
      </c>
      <c r="P3193" s="13">
        <f t="shared" si="99"/>
        <v>1809847</v>
      </c>
      <c r="Q3193" s="13">
        <f>SUMIFS(M:M,E:E,Online_eCommerce[[#This Row],[Status]])</f>
        <v>21103186</v>
      </c>
      <c r="R3193" s="13">
        <f>SUMIFS(L:L,H:H,Online_eCommerce[[#This Row],[Brand]])</f>
        <v>2267380</v>
      </c>
      <c r="S3193" s="13">
        <f>SUMIF(H:H,Online_eCommerce[[#This Row],[Brand]],M:M)</f>
        <v>2947594</v>
      </c>
      <c r="T3193" s="13">
        <f>SUMIF(N:N,Online_eCommerce[[#This Row],[Assigned Supervisor]],L:L)</f>
        <v>14373360</v>
      </c>
    </row>
    <row r="3194" spans="1:20" x14ac:dyDescent="0.3">
      <c r="A3194" t="s">
        <v>4794</v>
      </c>
      <c r="B3194" t="s">
        <v>90</v>
      </c>
      <c r="C3194" t="s">
        <v>16</v>
      </c>
      <c r="D3194" t="s">
        <v>4791</v>
      </c>
      <c r="E3194" t="s">
        <v>46</v>
      </c>
      <c r="F3194" t="s">
        <v>174</v>
      </c>
      <c r="G3194" t="s">
        <v>60</v>
      </c>
      <c r="H3194" t="s">
        <v>61</v>
      </c>
      <c r="I3194">
        <v>1150</v>
      </c>
      <c r="J3194">
        <v>1495</v>
      </c>
      <c r="K3194">
        <v>4</v>
      </c>
      <c r="L3194">
        <v>4600</v>
      </c>
      <c r="M3194">
        <v>5980</v>
      </c>
      <c r="N3194" t="s">
        <v>42</v>
      </c>
      <c r="O3194">
        <f t="shared" si="98"/>
        <v>3315</v>
      </c>
      <c r="P3194" s="13">
        <f t="shared" si="99"/>
        <v>2751814</v>
      </c>
      <c r="Q3194" s="13">
        <f>SUMIFS(M:M,E:E,Online_eCommerce[[#This Row],[Status]])</f>
        <v>28620410</v>
      </c>
      <c r="R3194" s="13">
        <f>SUMIFS(L:L,H:H,Online_eCommerce[[#This Row],[Brand]])</f>
        <v>10950150</v>
      </c>
      <c r="S3194" s="13">
        <f>SUMIF(H:H,Online_eCommerce[[#This Row],[Brand]],M:M)</f>
        <v>14235195</v>
      </c>
      <c r="T3194" s="13">
        <f>SUMIF(N:N,Online_eCommerce[[#This Row],[Assigned Supervisor]],L:L)</f>
        <v>12261500</v>
      </c>
    </row>
    <row r="3195" spans="1:20" hidden="1" x14ac:dyDescent="0.3">
      <c r="A3195" t="s">
        <v>4795</v>
      </c>
      <c r="B3195" t="s">
        <v>232</v>
      </c>
      <c r="C3195" t="s">
        <v>24</v>
      </c>
      <c r="D3195" t="s">
        <v>4791</v>
      </c>
      <c r="E3195" t="s">
        <v>96</v>
      </c>
      <c r="F3195" t="s">
        <v>179</v>
      </c>
      <c r="G3195" t="s">
        <v>66</v>
      </c>
      <c r="H3195" t="s">
        <v>21</v>
      </c>
      <c r="I3195">
        <v>350</v>
      </c>
      <c r="J3195">
        <v>455</v>
      </c>
      <c r="K3195">
        <v>1</v>
      </c>
      <c r="L3195">
        <v>350</v>
      </c>
      <c r="M3195">
        <v>455</v>
      </c>
      <c r="N3195" t="s">
        <v>50</v>
      </c>
      <c r="O3195">
        <f t="shared" si="98"/>
        <v>1690</v>
      </c>
      <c r="P3195" s="13">
        <f t="shared" si="99"/>
        <v>2009540</v>
      </c>
      <c r="Q3195" s="13">
        <f>SUMIFS(M:M,E:E,Online_eCommerce[[#This Row],[Status]])</f>
        <v>21233992</v>
      </c>
      <c r="R3195" s="13">
        <f>SUMIFS(L:L,H:H,Online_eCommerce[[#This Row],[Brand]])</f>
        <v>12435650</v>
      </c>
      <c r="S3195" s="13">
        <f>SUMIF(H:H,Online_eCommerce[[#This Row],[Brand]],M:M)</f>
        <v>16166345</v>
      </c>
      <c r="T3195" s="13">
        <f>SUMIF(N:N,Online_eCommerce[[#This Row],[Assigned Supervisor]],L:L)</f>
        <v>12100590</v>
      </c>
    </row>
    <row r="3196" spans="1:20" hidden="1" x14ac:dyDescent="0.3">
      <c r="A3196" t="s">
        <v>4796</v>
      </c>
      <c r="B3196" t="s">
        <v>235</v>
      </c>
      <c r="C3196" t="s">
        <v>31</v>
      </c>
      <c r="D3196" t="s">
        <v>4791</v>
      </c>
      <c r="E3196" t="s">
        <v>18</v>
      </c>
      <c r="F3196" t="s">
        <v>183</v>
      </c>
      <c r="G3196" t="s">
        <v>71</v>
      </c>
      <c r="H3196" t="s">
        <v>61</v>
      </c>
      <c r="I3196">
        <v>9500</v>
      </c>
      <c r="J3196">
        <v>12350</v>
      </c>
      <c r="K3196">
        <v>3</v>
      </c>
      <c r="L3196">
        <v>28500</v>
      </c>
      <c r="M3196">
        <v>37050</v>
      </c>
      <c r="N3196" t="s">
        <v>56</v>
      </c>
      <c r="O3196">
        <f t="shared" si="98"/>
        <v>9750</v>
      </c>
      <c r="P3196" s="13">
        <f t="shared" si="99"/>
        <v>2865746</v>
      </c>
      <c r="Q3196" s="13">
        <f>SUMIFS(M:M,E:E,Online_eCommerce[[#This Row],[Status]])</f>
        <v>28340455</v>
      </c>
      <c r="R3196" s="13">
        <f>SUMIFS(L:L,H:H,Online_eCommerce[[#This Row],[Brand]])</f>
        <v>10950150</v>
      </c>
      <c r="S3196" s="13">
        <f>SUMIF(H:H,Online_eCommerce[[#This Row],[Brand]],M:M)</f>
        <v>14235195</v>
      </c>
      <c r="T3196" s="13">
        <f>SUMIF(N:N,Online_eCommerce[[#This Row],[Assigned Supervisor]],L:L)</f>
        <v>11733610</v>
      </c>
    </row>
    <row r="3197" spans="1:20" hidden="1" x14ac:dyDescent="0.3">
      <c r="A3197" t="s">
        <v>4797</v>
      </c>
      <c r="B3197" t="s">
        <v>104</v>
      </c>
      <c r="C3197" t="s">
        <v>38</v>
      </c>
      <c r="D3197" t="s">
        <v>4791</v>
      </c>
      <c r="E3197" t="s">
        <v>161</v>
      </c>
      <c r="F3197" t="s">
        <v>4798</v>
      </c>
      <c r="G3197" t="s">
        <v>77</v>
      </c>
      <c r="H3197" t="s">
        <v>142</v>
      </c>
      <c r="I3197">
        <v>10000</v>
      </c>
      <c r="J3197">
        <v>13000</v>
      </c>
      <c r="K3197">
        <v>2</v>
      </c>
      <c r="L3197">
        <v>20000</v>
      </c>
      <c r="M3197">
        <v>26000</v>
      </c>
      <c r="N3197" t="s">
        <v>22</v>
      </c>
      <c r="O3197">
        <f t="shared" si="98"/>
        <v>39000</v>
      </c>
      <c r="P3197" s="13">
        <f t="shared" si="99"/>
        <v>1933997</v>
      </c>
      <c r="Q3197" s="13">
        <f>SUMIFS(M:M,E:E,Online_eCommerce[[#This Row],[Status]])</f>
        <v>21103186</v>
      </c>
      <c r="R3197" s="13">
        <f>SUMIFS(L:L,H:H,Online_eCommerce[[#This Row],[Brand]])</f>
        <v>6192500</v>
      </c>
      <c r="S3197" s="13">
        <f>SUMIF(H:H,Online_eCommerce[[#This Row],[Brand]],M:M)</f>
        <v>8050250</v>
      </c>
      <c r="T3197" s="13">
        <f>SUMIF(N:N,Online_eCommerce[[#This Row],[Assigned Supervisor]],L:L)</f>
        <v>13693220</v>
      </c>
    </row>
    <row r="3198" spans="1:20" x14ac:dyDescent="0.3">
      <c r="A3198" t="s">
        <v>4799</v>
      </c>
      <c r="B3198" t="s">
        <v>109</v>
      </c>
      <c r="C3198" t="s">
        <v>45</v>
      </c>
      <c r="D3198" t="s">
        <v>4791</v>
      </c>
      <c r="E3198" t="s">
        <v>46</v>
      </c>
      <c r="F3198" t="s">
        <v>4800</v>
      </c>
      <c r="G3198" t="s">
        <v>20</v>
      </c>
      <c r="H3198" t="s">
        <v>21</v>
      </c>
      <c r="I3198">
        <v>6500</v>
      </c>
      <c r="J3198">
        <v>8450</v>
      </c>
      <c r="K3198">
        <v>2</v>
      </c>
      <c r="L3198">
        <v>13000</v>
      </c>
      <c r="M3198">
        <v>16900</v>
      </c>
      <c r="N3198" t="s">
        <v>28</v>
      </c>
      <c r="O3198">
        <f t="shared" si="98"/>
        <v>8450</v>
      </c>
      <c r="P3198" s="13">
        <f t="shared" si="99"/>
        <v>2842554</v>
      </c>
      <c r="Q3198" s="13">
        <f>SUMIFS(M:M,E:E,Online_eCommerce[[#This Row],[Status]])</f>
        <v>28620410</v>
      </c>
      <c r="R3198" s="13">
        <f>SUMIFS(L:L,H:H,Online_eCommerce[[#This Row],[Brand]])</f>
        <v>12435650</v>
      </c>
      <c r="S3198" s="13">
        <f>SUMIF(H:H,Online_eCommerce[[#This Row],[Brand]],M:M)</f>
        <v>16166345</v>
      </c>
      <c r="T3198" s="13">
        <f>SUMIF(N:N,Online_eCommerce[[#This Row],[Assigned Supervisor]],L:L)</f>
        <v>12220830</v>
      </c>
    </row>
    <row r="3199" spans="1:20" hidden="1" x14ac:dyDescent="0.3">
      <c r="A3199" t="s">
        <v>4801</v>
      </c>
      <c r="B3199" t="s">
        <v>114</v>
      </c>
      <c r="C3199" t="s">
        <v>52</v>
      </c>
      <c r="D3199" t="s">
        <v>4791</v>
      </c>
      <c r="E3199" t="s">
        <v>96</v>
      </c>
      <c r="F3199" t="s">
        <v>4802</v>
      </c>
      <c r="G3199" t="s">
        <v>26</v>
      </c>
      <c r="H3199" t="s">
        <v>27</v>
      </c>
      <c r="I3199">
        <v>8500</v>
      </c>
      <c r="J3199">
        <v>11050</v>
      </c>
      <c r="K3199">
        <v>3</v>
      </c>
      <c r="L3199">
        <v>25500</v>
      </c>
      <c r="M3199">
        <v>33150</v>
      </c>
      <c r="N3199" t="s">
        <v>35</v>
      </c>
      <c r="O3199">
        <f t="shared" si="98"/>
        <v>33150</v>
      </c>
      <c r="P3199" s="13">
        <f t="shared" si="99"/>
        <v>1955044</v>
      </c>
      <c r="Q3199" s="13">
        <f>SUMIFS(M:M,E:E,Online_eCommerce[[#This Row],[Status]])</f>
        <v>21233992</v>
      </c>
      <c r="R3199" s="13">
        <f>SUMIFS(L:L,H:H,Online_eCommerce[[#This Row],[Brand]])</f>
        <v>14431000</v>
      </c>
      <c r="S3199" s="13">
        <f>SUMIF(H:H,Online_eCommerce[[#This Row],[Brand]],M:M)</f>
        <v>18760300</v>
      </c>
      <c r="T3199" s="13">
        <f>SUMIF(N:N,Online_eCommerce[[#This Row],[Assigned Supervisor]],L:L)</f>
        <v>14373360</v>
      </c>
    </row>
    <row r="3200" spans="1:20" hidden="1" x14ac:dyDescent="0.3">
      <c r="A3200" t="s">
        <v>4803</v>
      </c>
      <c r="B3200" t="s">
        <v>119</v>
      </c>
      <c r="C3200" t="s">
        <v>58</v>
      </c>
      <c r="D3200" t="s">
        <v>4791</v>
      </c>
      <c r="E3200" t="s">
        <v>18</v>
      </c>
      <c r="F3200" t="s">
        <v>32</v>
      </c>
      <c r="G3200" t="s">
        <v>33</v>
      </c>
      <c r="H3200" t="s">
        <v>34</v>
      </c>
      <c r="I3200">
        <v>7000</v>
      </c>
      <c r="J3200">
        <v>9100</v>
      </c>
      <c r="K3200">
        <v>1</v>
      </c>
      <c r="L3200">
        <v>7000</v>
      </c>
      <c r="M3200">
        <v>9100</v>
      </c>
      <c r="N3200" t="s">
        <v>42</v>
      </c>
      <c r="O3200">
        <f t="shared" si="98"/>
        <v>18200</v>
      </c>
      <c r="P3200" s="13">
        <f t="shared" si="99"/>
        <v>2629211</v>
      </c>
      <c r="Q3200" s="13">
        <f>SUMIFS(M:M,E:E,Online_eCommerce[[#This Row],[Status]])</f>
        <v>28340455</v>
      </c>
      <c r="R3200" s="13">
        <f>SUMIFS(L:L,H:H,Online_eCommerce[[#This Row],[Brand]])</f>
        <v>10087000</v>
      </c>
      <c r="S3200" s="13">
        <f>SUMIF(H:H,Online_eCommerce[[#This Row],[Brand]],M:M)</f>
        <v>13113100</v>
      </c>
      <c r="T3200" s="13">
        <f>SUMIF(N:N,Online_eCommerce[[#This Row],[Assigned Supervisor]],L:L)</f>
        <v>12261500</v>
      </c>
    </row>
    <row r="3201" spans="1:20" hidden="1" x14ac:dyDescent="0.3">
      <c r="A3201" t="s">
        <v>4804</v>
      </c>
      <c r="B3201" t="s">
        <v>124</v>
      </c>
      <c r="C3201" t="s">
        <v>63</v>
      </c>
      <c r="D3201" t="s">
        <v>4791</v>
      </c>
      <c r="E3201" t="s">
        <v>161</v>
      </c>
      <c r="F3201" t="s">
        <v>4805</v>
      </c>
      <c r="G3201" t="s">
        <v>163</v>
      </c>
      <c r="H3201" t="s">
        <v>41</v>
      </c>
      <c r="I3201">
        <v>6550</v>
      </c>
      <c r="J3201">
        <v>8515</v>
      </c>
      <c r="K3201">
        <v>4</v>
      </c>
      <c r="L3201">
        <v>26200</v>
      </c>
      <c r="M3201">
        <v>34060</v>
      </c>
      <c r="N3201" t="s">
        <v>50</v>
      </c>
      <c r="O3201">
        <f t="shared" si="98"/>
        <v>13650</v>
      </c>
      <c r="P3201" s="13">
        <f t="shared" si="99"/>
        <v>2016131</v>
      </c>
      <c r="Q3201" s="13">
        <f>SUMIFS(M:M,E:E,Online_eCommerce[[#This Row],[Status]])</f>
        <v>21103186</v>
      </c>
      <c r="R3201" s="13">
        <f>SUMIFS(L:L,H:H,Online_eCommerce[[#This Row],[Brand]])</f>
        <v>4260400</v>
      </c>
      <c r="S3201" s="13">
        <f>SUMIF(H:H,Online_eCommerce[[#This Row],[Brand]],M:M)</f>
        <v>5538520</v>
      </c>
      <c r="T3201" s="13">
        <f>SUMIF(N:N,Online_eCommerce[[#This Row],[Assigned Supervisor]],L:L)</f>
        <v>12100590</v>
      </c>
    </row>
    <row r="3202" spans="1:20" x14ac:dyDescent="0.3">
      <c r="A3202" t="s">
        <v>4806</v>
      </c>
      <c r="B3202" t="s">
        <v>128</v>
      </c>
      <c r="C3202" t="s">
        <v>68</v>
      </c>
      <c r="D3202" t="s">
        <v>4791</v>
      </c>
      <c r="E3202" t="s">
        <v>46</v>
      </c>
      <c r="F3202" t="s">
        <v>47</v>
      </c>
      <c r="G3202" t="s">
        <v>66</v>
      </c>
      <c r="H3202" t="s">
        <v>49</v>
      </c>
      <c r="I3202">
        <v>7650</v>
      </c>
      <c r="J3202">
        <v>9945</v>
      </c>
      <c r="K3202">
        <v>1</v>
      </c>
      <c r="L3202">
        <v>7650</v>
      </c>
      <c r="M3202">
        <v>9945</v>
      </c>
      <c r="N3202" t="s">
        <v>56</v>
      </c>
      <c r="O3202">
        <f t="shared" ref="O3202:O3265" si="100">VLOOKUP(G3202,G:M,7,FALSE)</f>
        <v>1690</v>
      </c>
      <c r="P3202" s="13">
        <f t="shared" ref="P3202:P3265" si="101">SUMIFS(M:M,C:C,C3202)</f>
        <v>2974621</v>
      </c>
      <c r="Q3202" s="13">
        <f>SUMIFS(M:M,E:E,Online_eCommerce[[#This Row],[Status]])</f>
        <v>28620410</v>
      </c>
      <c r="R3202" s="13">
        <f>SUMIFS(L:L,H:H,Online_eCommerce[[#This Row],[Brand]])</f>
        <v>4528350</v>
      </c>
      <c r="S3202" s="13">
        <f>SUMIF(H:H,Online_eCommerce[[#This Row],[Brand]],M:M)</f>
        <v>5886855</v>
      </c>
      <c r="T3202" s="13">
        <f>SUMIF(N:N,Online_eCommerce[[#This Row],[Assigned Supervisor]],L:L)</f>
        <v>11733610</v>
      </c>
    </row>
    <row r="3203" spans="1:20" hidden="1" x14ac:dyDescent="0.3">
      <c r="A3203" t="s">
        <v>4807</v>
      </c>
      <c r="B3203" t="s">
        <v>131</v>
      </c>
      <c r="C3203" t="s">
        <v>74</v>
      </c>
      <c r="D3203" t="s">
        <v>4791</v>
      </c>
      <c r="E3203" t="s">
        <v>96</v>
      </c>
      <c r="F3203" t="s">
        <v>53</v>
      </c>
      <c r="G3203" t="s">
        <v>54</v>
      </c>
      <c r="H3203" t="s">
        <v>55</v>
      </c>
      <c r="I3203">
        <v>1150</v>
      </c>
      <c r="J3203">
        <v>1495</v>
      </c>
      <c r="K3203">
        <v>2</v>
      </c>
      <c r="L3203">
        <v>2300</v>
      </c>
      <c r="M3203">
        <v>2990</v>
      </c>
      <c r="N3203" t="s">
        <v>22</v>
      </c>
      <c r="O3203">
        <f t="shared" si="100"/>
        <v>2990</v>
      </c>
      <c r="P3203" s="13">
        <f t="shared" si="101"/>
        <v>2144701</v>
      </c>
      <c r="Q3203" s="13">
        <f>SUMIFS(M:M,E:E,Online_eCommerce[[#This Row],[Status]])</f>
        <v>21233992</v>
      </c>
      <c r="R3203" s="13">
        <f>SUMIFS(L:L,H:H,Online_eCommerce[[#This Row],[Brand]])</f>
        <v>2267380</v>
      </c>
      <c r="S3203" s="13">
        <f>SUMIF(H:H,Online_eCommerce[[#This Row],[Brand]],M:M)</f>
        <v>2947594</v>
      </c>
      <c r="T3203" s="13">
        <f>SUMIF(N:N,Online_eCommerce[[#This Row],[Assigned Supervisor]],L:L)</f>
        <v>13693220</v>
      </c>
    </row>
    <row r="3204" spans="1:20" hidden="1" x14ac:dyDescent="0.3">
      <c r="A3204" t="s">
        <v>4808</v>
      </c>
      <c r="B3204" t="s">
        <v>135</v>
      </c>
      <c r="C3204" t="s">
        <v>81</v>
      </c>
      <c r="D3204" t="s">
        <v>4791</v>
      </c>
      <c r="E3204" t="s">
        <v>18</v>
      </c>
      <c r="F3204" t="s">
        <v>59</v>
      </c>
      <c r="G3204" t="s">
        <v>60</v>
      </c>
      <c r="H3204" t="s">
        <v>61</v>
      </c>
      <c r="I3204">
        <v>850</v>
      </c>
      <c r="J3204">
        <v>1105</v>
      </c>
      <c r="K3204">
        <v>3</v>
      </c>
      <c r="L3204">
        <v>2550</v>
      </c>
      <c r="M3204">
        <v>3315</v>
      </c>
      <c r="N3204" t="s">
        <v>28</v>
      </c>
      <c r="O3204">
        <f t="shared" si="100"/>
        <v>3315</v>
      </c>
      <c r="P3204" s="13">
        <f t="shared" si="101"/>
        <v>2595632</v>
      </c>
      <c r="Q3204" s="13">
        <f>SUMIFS(M:M,E:E,Online_eCommerce[[#This Row],[Status]])</f>
        <v>28340455</v>
      </c>
      <c r="R3204" s="13">
        <f>SUMIFS(L:L,H:H,Online_eCommerce[[#This Row],[Brand]])</f>
        <v>10950150</v>
      </c>
      <c r="S3204" s="13">
        <f>SUMIF(H:H,Online_eCommerce[[#This Row],[Brand]],M:M)</f>
        <v>14235195</v>
      </c>
      <c r="T3204" s="13">
        <f>SUMIF(N:N,Online_eCommerce[[#This Row],[Assigned Supervisor]],L:L)</f>
        <v>12220830</v>
      </c>
    </row>
    <row r="3205" spans="1:20" hidden="1" x14ac:dyDescent="0.3">
      <c r="A3205" t="s">
        <v>4809</v>
      </c>
      <c r="B3205" t="s">
        <v>139</v>
      </c>
      <c r="C3205" t="s">
        <v>86</v>
      </c>
      <c r="D3205" t="s">
        <v>4791</v>
      </c>
      <c r="E3205" t="s">
        <v>161</v>
      </c>
      <c r="F3205" t="s">
        <v>65</v>
      </c>
      <c r="G3205" t="s">
        <v>66</v>
      </c>
      <c r="H3205" t="s">
        <v>21</v>
      </c>
      <c r="I3205">
        <v>650</v>
      </c>
      <c r="J3205">
        <v>845</v>
      </c>
      <c r="K3205">
        <v>4</v>
      </c>
      <c r="L3205">
        <v>2600</v>
      </c>
      <c r="M3205">
        <v>3380</v>
      </c>
      <c r="N3205" t="s">
        <v>35</v>
      </c>
      <c r="O3205">
        <f t="shared" si="100"/>
        <v>1690</v>
      </c>
      <c r="P3205" s="13">
        <f t="shared" si="101"/>
        <v>1941225</v>
      </c>
      <c r="Q3205" s="13">
        <f>SUMIFS(M:M,E:E,Online_eCommerce[[#This Row],[Status]])</f>
        <v>21103186</v>
      </c>
      <c r="R3205" s="13">
        <f>SUMIFS(L:L,H:H,Online_eCommerce[[#This Row],[Brand]])</f>
        <v>12435650</v>
      </c>
      <c r="S3205" s="13">
        <f>SUMIF(H:H,Online_eCommerce[[#This Row],[Brand]],M:M)</f>
        <v>16166345</v>
      </c>
      <c r="T3205" s="13">
        <f>SUMIF(N:N,Online_eCommerce[[#This Row],[Assigned Supervisor]],L:L)</f>
        <v>14373360</v>
      </c>
    </row>
    <row r="3206" spans="1:20" x14ac:dyDescent="0.3">
      <c r="A3206" t="s">
        <v>4810</v>
      </c>
      <c r="B3206" t="s">
        <v>144</v>
      </c>
      <c r="C3206" t="s">
        <v>91</v>
      </c>
      <c r="D3206" t="s">
        <v>4791</v>
      </c>
      <c r="E3206" t="s">
        <v>46</v>
      </c>
      <c r="F3206" t="s">
        <v>70</v>
      </c>
      <c r="G3206" t="s">
        <v>71</v>
      </c>
      <c r="H3206" t="s">
        <v>61</v>
      </c>
      <c r="I3206">
        <v>7500</v>
      </c>
      <c r="J3206">
        <v>9750</v>
      </c>
      <c r="K3206">
        <v>2</v>
      </c>
      <c r="L3206">
        <v>15000</v>
      </c>
      <c r="M3206">
        <v>19500</v>
      </c>
      <c r="N3206" t="s">
        <v>42</v>
      </c>
      <c r="O3206">
        <f t="shared" si="100"/>
        <v>9750</v>
      </c>
      <c r="P3206" s="13">
        <f t="shared" si="101"/>
        <v>2731963</v>
      </c>
      <c r="Q3206" s="13">
        <f>SUMIFS(M:M,E:E,Online_eCommerce[[#This Row],[Status]])</f>
        <v>28620410</v>
      </c>
      <c r="R3206" s="13">
        <f>SUMIFS(L:L,H:H,Online_eCommerce[[#This Row],[Brand]])</f>
        <v>10950150</v>
      </c>
      <c r="S3206" s="13">
        <f>SUMIF(H:H,Online_eCommerce[[#This Row],[Brand]],M:M)</f>
        <v>14235195</v>
      </c>
      <c r="T3206" s="13">
        <f>SUMIF(N:N,Online_eCommerce[[#This Row],[Assigned Supervisor]],L:L)</f>
        <v>12261500</v>
      </c>
    </row>
    <row r="3207" spans="1:20" hidden="1" x14ac:dyDescent="0.3">
      <c r="A3207" t="s">
        <v>4811</v>
      </c>
      <c r="B3207" t="s">
        <v>149</v>
      </c>
      <c r="C3207" t="s">
        <v>94</v>
      </c>
      <c r="D3207" t="s">
        <v>4791</v>
      </c>
      <c r="E3207" t="s">
        <v>96</v>
      </c>
      <c r="F3207" t="s">
        <v>4798</v>
      </c>
      <c r="G3207" t="s">
        <v>77</v>
      </c>
      <c r="H3207" t="s">
        <v>78</v>
      </c>
      <c r="I3207">
        <v>10000</v>
      </c>
      <c r="J3207">
        <v>13000</v>
      </c>
      <c r="K3207">
        <v>2</v>
      </c>
      <c r="L3207">
        <v>20000</v>
      </c>
      <c r="M3207">
        <v>26000</v>
      </c>
      <c r="N3207" t="s">
        <v>50</v>
      </c>
      <c r="O3207">
        <f t="shared" si="100"/>
        <v>39000</v>
      </c>
      <c r="P3207" s="13">
        <f t="shared" si="101"/>
        <v>1868256</v>
      </c>
      <c r="Q3207" s="13">
        <f>SUMIFS(M:M,E:E,Online_eCommerce[[#This Row],[Status]])</f>
        <v>21233992</v>
      </c>
      <c r="R3207" s="13">
        <f>SUMIFS(L:L,H:H,Online_eCommerce[[#This Row],[Brand]])</f>
        <v>3720000</v>
      </c>
      <c r="S3207" s="13">
        <f>SUMIF(H:H,Online_eCommerce[[#This Row],[Brand]],M:M)</f>
        <v>4836000</v>
      </c>
      <c r="T3207" s="13">
        <f>SUMIF(N:N,Online_eCommerce[[#This Row],[Assigned Supervisor]],L:L)</f>
        <v>12100590</v>
      </c>
    </row>
    <row r="3208" spans="1:20" hidden="1" x14ac:dyDescent="0.3">
      <c r="A3208" t="s">
        <v>4812</v>
      </c>
      <c r="B3208" t="s">
        <v>154</v>
      </c>
      <c r="C3208" t="s">
        <v>99</v>
      </c>
      <c r="D3208" t="s">
        <v>4791</v>
      </c>
      <c r="E3208" t="s">
        <v>18</v>
      </c>
      <c r="F3208" t="s">
        <v>4813</v>
      </c>
      <c r="G3208" t="s">
        <v>20</v>
      </c>
      <c r="H3208" t="s">
        <v>21</v>
      </c>
      <c r="I3208">
        <v>10500</v>
      </c>
      <c r="J3208">
        <v>13650</v>
      </c>
      <c r="K3208">
        <v>1</v>
      </c>
      <c r="L3208">
        <v>10500</v>
      </c>
      <c r="M3208">
        <v>13650</v>
      </c>
      <c r="N3208" t="s">
        <v>56</v>
      </c>
      <c r="O3208">
        <f t="shared" si="100"/>
        <v>8450</v>
      </c>
      <c r="P3208" s="13">
        <f t="shared" si="101"/>
        <v>2651233</v>
      </c>
      <c r="Q3208" s="13">
        <f>SUMIFS(M:M,E:E,Online_eCommerce[[#This Row],[Status]])</f>
        <v>28340455</v>
      </c>
      <c r="R3208" s="13">
        <f>SUMIFS(L:L,H:H,Online_eCommerce[[#This Row],[Brand]])</f>
        <v>12435650</v>
      </c>
      <c r="S3208" s="13">
        <f>SUMIF(H:H,Online_eCommerce[[#This Row],[Brand]],M:M)</f>
        <v>16166345</v>
      </c>
      <c r="T3208" s="13">
        <f>SUMIF(N:N,Online_eCommerce[[#This Row],[Assigned Supervisor]],L:L)</f>
        <v>11733610</v>
      </c>
    </row>
    <row r="3209" spans="1:20" hidden="1" x14ac:dyDescent="0.3">
      <c r="A3209" t="s">
        <v>4814</v>
      </c>
      <c r="B3209" t="s">
        <v>159</v>
      </c>
      <c r="C3209" t="s">
        <v>105</v>
      </c>
      <c r="D3209" t="s">
        <v>4791</v>
      </c>
      <c r="E3209" t="s">
        <v>161</v>
      </c>
      <c r="F3209" t="s">
        <v>88</v>
      </c>
      <c r="G3209" t="s">
        <v>26</v>
      </c>
      <c r="H3209" t="s">
        <v>27</v>
      </c>
      <c r="I3209">
        <v>8500</v>
      </c>
      <c r="J3209">
        <v>11050</v>
      </c>
      <c r="K3209">
        <v>4</v>
      </c>
      <c r="L3209">
        <v>34000</v>
      </c>
      <c r="M3209">
        <v>44200</v>
      </c>
      <c r="N3209" t="s">
        <v>22</v>
      </c>
      <c r="O3209">
        <f t="shared" si="100"/>
        <v>33150</v>
      </c>
      <c r="P3209" s="13">
        <f t="shared" si="101"/>
        <v>1866852</v>
      </c>
      <c r="Q3209" s="13">
        <f>SUMIFS(M:M,E:E,Online_eCommerce[[#This Row],[Status]])</f>
        <v>21103186</v>
      </c>
      <c r="R3209" s="13">
        <f>SUMIFS(L:L,H:H,Online_eCommerce[[#This Row],[Brand]])</f>
        <v>14431000</v>
      </c>
      <c r="S3209" s="13">
        <f>SUMIF(H:H,Online_eCommerce[[#This Row],[Brand]],M:M)</f>
        <v>18760300</v>
      </c>
      <c r="T3209" s="13">
        <f>SUMIF(N:N,Online_eCommerce[[#This Row],[Assigned Supervisor]],L:L)</f>
        <v>13693220</v>
      </c>
    </row>
    <row r="3210" spans="1:20" x14ac:dyDescent="0.3">
      <c r="A3210" t="s">
        <v>4815</v>
      </c>
      <c r="B3210" t="s">
        <v>139</v>
      </c>
      <c r="C3210" t="s">
        <v>110</v>
      </c>
      <c r="D3210" t="s">
        <v>4791</v>
      </c>
      <c r="E3210" t="s">
        <v>46</v>
      </c>
      <c r="F3210" t="s">
        <v>32</v>
      </c>
      <c r="G3210" t="s">
        <v>33</v>
      </c>
      <c r="H3210" t="s">
        <v>34</v>
      </c>
      <c r="I3210">
        <v>7000</v>
      </c>
      <c r="J3210">
        <v>9100</v>
      </c>
      <c r="K3210">
        <v>4</v>
      </c>
      <c r="L3210">
        <v>28000</v>
      </c>
      <c r="M3210">
        <v>36400</v>
      </c>
      <c r="N3210" t="s">
        <v>28</v>
      </c>
      <c r="O3210">
        <f t="shared" si="100"/>
        <v>18200</v>
      </c>
      <c r="P3210" s="13">
        <f t="shared" si="101"/>
        <v>2598635</v>
      </c>
      <c r="Q3210" s="13">
        <f>SUMIFS(M:M,E:E,Online_eCommerce[[#This Row],[Status]])</f>
        <v>28620410</v>
      </c>
      <c r="R3210" s="13">
        <f>SUMIFS(L:L,H:H,Online_eCommerce[[#This Row],[Brand]])</f>
        <v>10087000</v>
      </c>
      <c r="S3210" s="13">
        <f>SUMIF(H:H,Online_eCommerce[[#This Row],[Brand]],M:M)</f>
        <v>13113100</v>
      </c>
      <c r="T3210" s="13">
        <f>SUMIF(N:N,Online_eCommerce[[#This Row],[Assigned Supervisor]],L:L)</f>
        <v>12220830</v>
      </c>
    </row>
    <row r="3211" spans="1:20" hidden="1" x14ac:dyDescent="0.3">
      <c r="A3211" t="s">
        <v>4816</v>
      </c>
      <c r="B3211" t="s">
        <v>144</v>
      </c>
      <c r="C3211" t="s">
        <v>115</v>
      </c>
      <c r="D3211" t="s">
        <v>4817</v>
      </c>
      <c r="E3211" t="s">
        <v>96</v>
      </c>
      <c r="F3211" t="s">
        <v>4818</v>
      </c>
      <c r="G3211" t="s">
        <v>163</v>
      </c>
      <c r="H3211" t="s">
        <v>41</v>
      </c>
      <c r="I3211">
        <v>1680</v>
      </c>
      <c r="J3211">
        <v>2184</v>
      </c>
      <c r="K3211">
        <v>1</v>
      </c>
      <c r="L3211">
        <v>1680</v>
      </c>
      <c r="M3211">
        <v>2184</v>
      </c>
      <c r="N3211" t="s">
        <v>35</v>
      </c>
      <c r="O3211">
        <f t="shared" si="100"/>
        <v>13650</v>
      </c>
      <c r="P3211" s="13">
        <f t="shared" si="101"/>
        <v>2050178</v>
      </c>
      <c r="Q3211" s="13">
        <f>SUMIFS(M:M,E:E,Online_eCommerce[[#This Row],[Status]])</f>
        <v>21233992</v>
      </c>
      <c r="R3211" s="13">
        <f>SUMIFS(L:L,H:H,Online_eCommerce[[#This Row],[Brand]])</f>
        <v>4260400</v>
      </c>
      <c r="S3211" s="13">
        <f>SUMIF(H:H,Online_eCommerce[[#This Row],[Brand]],M:M)</f>
        <v>5538520</v>
      </c>
      <c r="T3211" s="13">
        <f>SUMIF(N:N,Online_eCommerce[[#This Row],[Assigned Supervisor]],L:L)</f>
        <v>14373360</v>
      </c>
    </row>
    <row r="3212" spans="1:20" hidden="1" x14ac:dyDescent="0.3">
      <c r="A3212" t="s">
        <v>4819</v>
      </c>
      <c r="B3212" t="s">
        <v>235</v>
      </c>
      <c r="C3212" t="s">
        <v>120</v>
      </c>
      <c r="D3212" t="s">
        <v>4820</v>
      </c>
      <c r="E3212" t="s">
        <v>18</v>
      </c>
      <c r="F3212" t="s">
        <v>101</v>
      </c>
      <c r="G3212" t="s">
        <v>66</v>
      </c>
      <c r="H3212" t="s">
        <v>102</v>
      </c>
      <c r="I3212">
        <v>6540</v>
      </c>
      <c r="J3212">
        <v>8502</v>
      </c>
      <c r="K3212">
        <v>1</v>
      </c>
      <c r="L3212">
        <v>6540</v>
      </c>
      <c r="M3212">
        <v>8502</v>
      </c>
      <c r="N3212" t="s">
        <v>42</v>
      </c>
      <c r="O3212">
        <f t="shared" si="100"/>
        <v>1690</v>
      </c>
      <c r="P3212" s="13">
        <f t="shared" si="101"/>
        <v>2734212</v>
      </c>
      <c r="Q3212" s="13">
        <f>SUMIFS(M:M,E:E,Online_eCommerce[[#This Row],[Status]])</f>
        <v>28340455</v>
      </c>
      <c r="R3212" s="13">
        <f>SUMIFS(L:L,H:H,Online_eCommerce[[#This Row],[Brand]])</f>
        <v>2465580</v>
      </c>
      <c r="S3212" s="13">
        <f>SUMIF(H:H,Online_eCommerce[[#This Row],[Brand]],M:M)</f>
        <v>3205254</v>
      </c>
      <c r="T3212" s="13">
        <f>SUMIF(N:N,Online_eCommerce[[#This Row],[Assigned Supervisor]],L:L)</f>
        <v>12261500</v>
      </c>
    </row>
    <row r="3213" spans="1:20" hidden="1" x14ac:dyDescent="0.3">
      <c r="A3213" t="s">
        <v>4821</v>
      </c>
      <c r="B3213" t="s">
        <v>176</v>
      </c>
      <c r="C3213" t="s">
        <v>125</v>
      </c>
      <c r="D3213" t="s">
        <v>4822</v>
      </c>
      <c r="E3213" t="s">
        <v>161</v>
      </c>
      <c r="F3213" t="s">
        <v>107</v>
      </c>
      <c r="G3213" t="s">
        <v>54</v>
      </c>
      <c r="H3213" t="s">
        <v>55</v>
      </c>
      <c r="I3213">
        <v>2680</v>
      </c>
      <c r="J3213">
        <v>3484</v>
      </c>
      <c r="K3213">
        <v>1</v>
      </c>
      <c r="L3213">
        <v>2680</v>
      </c>
      <c r="M3213">
        <v>3484</v>
      </c>
      <c r="N3213" t="s">
        <v>50</v>
      </c>
      <c r="O3213">
        <f t="shared" si="100"/>
        <v>2990</v>
      </c>
      <c r="P3213" s="13">
        <f t="shared" si="101"/>
        <v>2091154</v>
      </c>
      <c r="Q3213" s="13">
        <f>SUMIFS(M:M,E:E,Online_eCommerce[[#This Row],[Status]])</f>
        <v>21103186</v>
      </c>
      <c r="R3213" s="13">
        <f>SUMIFS(L:L,H:H,Online_eCommerce[[#This Row],[Brand]])</f>
        <v>2267380</v>
      </c>
      <c r="S3213" s="13">
        <f>SUMIF(H:H,Online_eCommerce[[#This Row],[Brand]],M:M)</f>
        <v>2947594</v>
      </c>
      <c r="T3213" s="13">
        <f>SUMIF(N:N,Online_eCommerce[[#This Row],[Assigned Supervisor]],L:L)</f>
        <v>12100590</v>
      </c>
    </row>
    <row r="3214" spans="1:20" x14ac:dyDescent="0.3">
      <c r="A3214" t="s">
        <v>4823</v>
      </c>
      <c r="B3214" t="s">
        <v>276</v>
      </c>
      <c r="C3214" t="s">
        <v>22</v>
      </c>
      <c r="D3214" t="s">
        <v>4824</v>
      </c>
      <c r="E3214" t="s">
        <v>46</v>
      </c>
      <c r="F3214" t="s">
        <v>112</v>
      </c>
      <c r="G3214" t="s">
        <v>71</v>
      </c>
      <c r="H3214" t="s">
        <v>21</v>
      </c>
      <c r="I3214">
        <v>8250</v>
      </c>
      <c r="J3214">
        <v>10725</v>
      </c>
      <c r="K3214">
        <v>3</v>
      </c>
      <c r="L3214">
        <v>24750</v>
      </c>
      <c r="M3214">
        <v>32175</v>
      </c>
      <c r="N3214" t="s">
        <v>56</v>
      </c>
      <c r="O3214">
        <f t="shared" si="100"/>
        <v>9750</v>
      </c>
      <c r="P3214" s="13">
        <f t="shared" si="101"/>
        <v>2551588</v>
      </c>
      <c r="Q3214" s="13">
        <f>SUMIFS(M:M,E:E,Online_eCommerce[[#This Row],[Status]])</f>
        <v>28620410</v>
      </c>
      <c r="R3214" s="13">
        <f>SUMIFS(L:L,H:H,Online_eCommerce[[#This Row],[Brand]])</f>
        <v>12435650</v>
      </c>
      <c r="S3214" s="13">
        <f>SUMIF(H:H,Online_eCommerce[[#This Row],[Brand]],M:M)</f>
        <v>16166345</v>
      </c>
      <c r="T3214" s="13">
        <f>SUMIF(N:N,Online_eCommerce[[#This Row],[Assigned Supervisor]],L:L)</f>
        <v>11733610</v>
      </c>
    </row>
    <row r="3215" spans="1:20" hidden="1" x14ac:dyDescent="0.3">
      <c r="A3215" t="s">
        <v>4825</v>
      </c>
      <c r="B3215" t="s">
        <v>280</v>
      </c>
      <c r="C3215" t="s">
        <v>132</v>
      </c>
      <c r="D3215" t="s">
        <v>4826</v>
      </c>
      <c r="E3215" t="s">
        <v>96</v>
      </c>
      <c r="F3215" t="s">
        <v>4377</v>
      </c>
      <c r="G3215" t="s">
        <v>40</v>
      </c>
      <c r="H3215" t="s">
        <v>21</v>
      </c>
      <c r="I3215">
        <v>2650</v>
      </c>
      <c r="J3215">
        <v>3445</v>
      </c>
      <c r="K3215">
        <v>1</v>
      </c>
      <c r="L3215">
        <v>2650</v>
      </c>
      <c r="M3215">
        <v>3445</v>
      </c>
      <c r="N3215" t="s">
        <v>22</v>
      </c>
      <c r="O3215">
        <f t="shared" si="100"/>
        <v>25545</v>
      </c>
      <c r="P3215" s="13">
        <f t="shared" si="101"/>
        <v>1989065</v>
      </c>
      <c r="Q3215" s="13">
        <f>SUMIFS(M:M,E:E,Online_eCommerce[[#This Row],[Status]])</f>
        <v>21233992</v>
      </c>
      <c r="R3215" s="13">
        <f>SUMIFS(L:L,H:H,Online_eCommerce[[#This Row],[Brand]])</f>
        <v>12435650</v>
      </c>
      <c r="S3215" s="13">
        <f>SUMIF(H:H,Online_eCommerce[[#This Row],[Brand]],M:M)</f>
        <v>16166345</v>
      </c>
      <c r="T3215" s="13">
        <f>SUMIF(N:N,Online_eCommerce[[#This Row],[Assigned Supervisor]],L:L)</f>
        <v>13693220</v>
      </c>
    </row>
    <row r="3216" spans="1:20" hidden="1" x14ac:dyDescent="0.3">
      <c r="A3216" t="s">
        <v>4827</v>
      </c>
      <c r="B3216" t="s">
        <v>283</v>
      </c>
      <c r="C3216" t="s">
        <v>136</v>
      </c>
      <c r="D3216" t="s">
        <v>4828</v>
      </c>
      <c r="E3216" t="s">
        <v>18</v>
      </c>
      <c r="F3216" t="s">
        <v>121</v>
      </c>
      <c r="G3216" t="s">
        <v>71</v>
      </c>
      <c r="H3216" t="s">
        <v>122</v>
      </c>
      <c r="I3216">
        <v>12550</v>
      </c>
      <c r="J3216">
        <v>16315</v>
      </c>
      <c r="K3216">
        <v>4</v>
      </c>
      <c r="L3216">
        <v>50200</v>
      </c>
      <c r="M3216">
        <v>65260</v>
      </c>
      <c r="N3216" t="s">
        <v>28</v>
      </c>
      <c r="O3216">
        <f t="shared" si="100"/>
        <v>9750</v>
      </c>
      <c r="P3216" s="13">
        <f t="shared" si="101"/>
        <v>2775162</v>
      </c>
      <c r="Q3216" s="13">
        <f>SUMIFS(M:M,E:E,Online_eCommerce[[#This Row],[Status]])</f>
        <v>28340455</v>
      </c>
      <c r="R3216" s="13">
        <f>SUMIFS(L:L,H:H,Online_eCommerce[[#This Row],[Brand]])</f>
        <v>5045100</v>
      </c>
      <c r="S3216" s="13">
        <f>SUMIF(H:H,Online_eCommerce[[#This Row],[Brand]],M:M)</f>
        <v>6558630</v>
      </c>
      <c r="T3216" s="13">
        <f>SUMIF(N:N,Online_eCommerce[[#This Row],[Assigned Supervisor]],L:L)</f>
        <v>12220830</v>
      </c>
    </row>
    <row r="3217" spans="1:20" hidden="1" x14ac:dyDescent="0.3">
      <c r="A3217" t="s">
        <v>4829</v>
      </c>
      <c r="B3217" t="s">
        <v>287</v>
      </c>
      <c r="C3217" t="s">
        <v>140</v>
      </c>
      <c r="D3217" t="s">
        <v>4830</v>
      </c>
      <c r="E3217" t="s">
        <v>161</v>
      </c>
      <c r="F3217" t="s">
        <v>126</v>
      </c>
      <c r="G3217" t="s">
        <v>26</v>
      </c>
      <c r="H3217" t="s">
        <v>27</v>
      </c>
      <c r="I3217">
        <v>14500</v>
      </c>
      <c r="J3217">
        <v>18850</v>
      </c>
      <c r="K3217">
        <v>2</v>
      </c>
      <c r="L3217">
        <v>29000</v>
      </c>
      <c r="M3217">
        <v>37700</v>
      </c>
      <c r="N3217" t="s">
        <v>35</v>
      </c>
      <c r="O3217">
        <f t="shared" si="100"/>
        <v>33150</v>
      </c>
      <c r="P3217" s="13">
        <f t="shared" si="101"/>
        <v>2058264</v>
      </c>
      <c r="Q3217" s="13">
        <f>SUMIFS(M:M,E:E,Online_eCommerce[[#This Row],[Status]])</f>
        <v>21103186</v>
      </c>
      <c r="R3217" s="13">
        <f>SUMIFS(L:L,H:H,Online_eCommerce[[#This Row],[Brand]])</f>
        <v>14431000</v>
      </c>
      <c r="S3217" s="13">
        <f>SUMIF(H:H,Online_eCommerce[[#This Row],[Brand]],M:M)</f>
        <v>18760300</v>
      </c>
      <c r="T3217" s="13">
        <f>SUMIF(N:N,Online_eCommerce[[#This Row],[Assigned Supervisor]],L:L)</f>
        <v>14373360</v>
      </c>
    </row>
    <row r="3218" spans="1:20" x14ac:dyDescent="0.3">
      <c r="A3218" t="s">
        <v>4831</v>
      </c>
      <c r="B3218" t="s">
        <v>290</v>
      </c>
      <c r="C3218" t="s">
        <v>145</v>
      </c>
      <c r="D3218" t="s">
        <v>4832</v>
      </c>
      <c r="E3218" t="s">
        <v>46</v>
      </c>
      <c r="F3218" t="s">
        <v>129</v>
      </c>
      <c r="G3218" t="s">
        <v>60</v>
      </c>
      <c r="H3218" t="s">
        <v>61</v>
      </c>
      <c r="I3218">
        <v>800</v>
      </c>
      <c r="J3218">
        <v>1040</v>
      </c>
      <c r="K3218">
        <v>3</v>
      </c>
      <c r="L3218">
        <v>2400</v>
      </c>
      <c r="M3218">
        <v>3120</v>
      </c>
      <c r="N3218" t="s">
        <v>42</v>
      </c>
      <c r="O3218">
        <f t="shared" si="100"/>
        <v>3315</v>
      </c>
      <c r="P3218" s="13">
        <f t="shared" si="101"/>
        <v>2757859</v>
      </c>
      <c r="Q3218" s="13">
        <f>SUMIFS(M:M,E:E,Online_eCommerce[[#This Row],[Status]])</f>
        <v>28620410</v>
      </c>
      <c r="R3218" s="13">
        <f>SUMIFS(L:L,H:H,Online_eCommerce[[#This Row],[Brand]])</f>
        <v>10950150</v>
      </c>
      <c r="S3218" s="13">
        <f>SUMIF(H:H,Online_eCommerce[[#This Row],[Brand]],M:M)</f>
        <v>14235195</v>
      </c>
      <c r="T3218" s="13">
        <f>SUMIF(N:N,Online_eCommerce[[#This Row],[Assigned Supervisor]],L:L)</f>
        <v>12261500</v>
      </c>
    </row>
    <row r="3219" spans="1:20" hidden="1" x14ac:dyDescent="0.3">
      <c r="A3219" t="s">
        <v>4833</v>
      </c>
      <c r="B3219" t="s">
        <v>15</v>
      </c>
      <c r="C3219" t="s">
        <v>150</v>
      </c>
      <c r="D3219" t="s">
        <v>4834</v>
      </c>
      <c r="E3219" t="s">
        <v>96</v>
      </c>
      <c r="F3219" t="s">
        <v>133</v>
      </c>
      <c r="G3219" t="s">
        <v>66</v>
      </c>
      <c r="H3219" t="s">
        <v>21</v>
      </c>
      <c r="I3219">
        <v>600</v>
      </c>
      <c r="J3219">
        <v>780</v>
      </c>
      <c r="K3219">
        <v>3</v>
      </c>
      <c r="L3219">
        <v>1800</v>
      </c>
      <c r="M3219">
        <v>2340</v>
      </c>
      <c r="N3219" t="s">
        <v>50</v>
      </c>
      <c r="O3219">
        <f t="shared" si="100"/>
        <v>1690</v>
      </c>
      <c r="P3219" s="13">
        <f t="shared" si="101"/>
        <v>2154984</v>
      </c>
      <c r="Q3219" s="13">
        <f>SUMIFS(M:M,E:E,Online_eCommerce[[#This Row],[Status]])</f>
        <v>21233992</v>
      </c>
      <c r="R3219" s="13">
        <f>SUMIFS(L:L,H:H,Online_eCommerce[[#This Row],[Brand]])</f>
        <v>12435650</v>
      </c>
      <c r="S3219" s="13">
        <f>SUMIF(H:H,Online_eCommerce[[#This Row],[Brand]],M:M)</f>
        <v>16166345</v>
      </c>
      <c r="T3219" s="13">
        <f>SUMIF(N:N,Online_eCommerce[[#This Row],[Assigned Supervisor]],L:L)</f>
        <v>12100590</v>
      </c>
    </row>
    <row r="3220" spans="1:20" hidden="1" x14ac:dyDescent="0.3">
      <c r="A3220" t="s">
        <v>4835</v>
      </c>
      <c r="B3220" t="s">
        <v>202</v>
      </c>
      <c r="C3220" t="s">
        <v>155</v>
      </c>
      <c r="D3220" t="s">
        <v>4836</v>
      </c>
      <c r="E3220" t="s">
        <v>18</v>
      </c>
      <c r="F3220" t="s">
        <v>137</v>
      </c>
      <c r="G3220" t="s">
        <v>71</v>
      </c>
      <c r="H3220" t="s">
        <v>61</v>
      </c>
      <c r="I3220">
        <v>10500</v>
      </c>
      <c r="J3220">
        <v>13650</v>
      </c>
      <c r="K3220">
        <v>4</v>
      </c>
      <c r="L3220">
        <v>42000</v>
      </c>
      <c r="M3220">
        <v>54600</v>
      </c>
      <c r="N3220" t="s">
        <v>56</v>
      </c>
      <c r="O3220">
        <f t="shared" si="100"/>
        <v>9750</v>
      </c>
      <c r="P3220" s="13">
        <f t="shared" si="101"/>
        <v>2753348</v>
      </c>
      <c r="Q3220" s="13">
        <f>SUMIFS(M:M,E:E,Online_eCommerce[[#This Row],[Status]])</f>
        <v>28340455</v>
      </c>
      <c r="R3220" s="13">
        <f>SUMIFS(L:L,H:H,Online_eCommerce[[#This Row],[Brand]])</f>
        <v>10950150</v>
      </c>
      <c r="S3220" s="13">
        <f>SUMIF(H:H,Online_eCommerce[[#This Row],[Brand]],M:M)</f>
        <v>14235195</v>
      </c>
      <c r="T3220" s="13">
        <f>SUMIF(N:N,Online_eCommerce[[#This Row],[Assigned Supervisor]],L:L)</f>
        <v>11733610</v>
      </c>
    </row>
    <row r="3221" spans="1:20" hidden="1" x14ac:dyDescent="0.3">
      <c r="A3221" t="s">
        <v>4837</v>
      </c>
      <c r="B3221" t="s">
        <v>30</v>
      </c>
      <c r="C3221" t="s">
        <v>160</v>
      </c>
      <c r="D3221" t="s">
        <v>4838</v>
      </c>
      <c r="E3221" t="s">
        <v>161</v>
      </c>
      <c r="F3221" t="s">
        <v>4798</v>
      </c>
      <c r="G3221" t="s">
        <v>77</v>
      </c>
      <c r="H3221" t="s">
        <v>142</v>
      </c>
      <c r="I3221">
        <v>6500</v>
      </c>
      <c r="J3221">
        <v>8450</v>
      </c>
      <c r="K3221">
        <v>4</v>
      </c>
      <c r="L3221">
        <v>26000</v>
      </c>
      <c r="M3221">
        <v>33800</v>
      </c>
      <c r="N3221" t="s">
        <v>22</v>
      </c>
      <c r="O3221">
        <f t="shared" si="100"/>
        <v>39000</v>
      </c>
      <c r="P3221" s="13">
        <f t="shared" si="101"/>
        <v>2303483</v>
      </c>
      <c r="Q3221" s="13">
        <f>SUMIFS(M:M,E:E,Online_eCommerce[[#This Row],[Status]])</f>
        <v>21103186</v>
      </c>
      <c r="R3221" s="13">
        <f>SUMIFS(L:L,H:H,Online_eCommerce[[#This Row],[Brand]])</f>
        <v>6192500</v>
      </c>
      <c r="S3221" s="13">
        <f>SUMIF(H:H,Online_eCommerce[[#This Row],[Brand]],M:M)</f>
        <v>8050250</v>
      </c>
      <c r="T3221" s="13">
        <f>SUMIF(N:N,Online_eCommerce[[#This Row],[Assigned Supervisor]],L:L)</f>
        <v>13693220</v>
      </c>
    </row>
    <row r="3222" spans="1:20" x14ac:dyDescent="0.3">
      <c r="A3222" t="s">
        <v>4839</v>
      </c>
      <c r="B3222" t="s">
        <v>37</v>
      </c>
      <c r="C3222" t="s">
        <v>165</v>
      </c>
      <c r="D3222" t="s">
        <v>4840</v>
      </c>
      <c r="E3222" t="s">
        <v>46</v>
      </c>
      <c r="F3222" t="s">
        <v>4841</v>
      </c>
      <c r="G3222" t="s">
        <v>20</v>
      </c>
      <c r="H3222" t="s">
        <v>21</v>
      </c>
      <c r="I3222">
        <v>4500</v>
      </c>
      <c r="J3222">
        <v>5850</v>
      </c>
      <c r="K3222">
        <v>1</v>
      </c>
      <c r="L3222">
        <v>4500</v>
      </c>
      <c r="M3222">
        <v>5850</v>
      </c>
      <c r="N3222" t="s">
        <v>28</v>
      </c>
      <c r="O3222">
        <f t="shared" si="100"/>
        <v>8450</v>
      </c>
      <c r="P3222" s="13">
        <f t="shared" si="101"/>
        <v>2674087</v>
      </c>
      <c r="Q3222" s="13">
        <f>SUMIFS(M:M,E:E,Online_eCommerce[[#This Row],[Status]])</f>
        <v>28620410</v>
      </c>
      <c r="R3222" s="13">
        <f>SUMIFS(L:L,H:H,Online_eCommerce[[#This Row],[Brand]])</f>
        <v>12435650</v>
      </c>
      <c r="S3222" s="13">
        <f>SUMIF(H:H,Online_eCommerce[[#This Row],[Brand]],M:M)</f>
        <v>16166345</v>
      </c>
      <c r="T3222" s="13">
        <f>SUMIF(N:N,Online_eCommerce[[#This Row],[Assigned Supervisor]],L:L)</f>
        <v>12220830</v>
      </c>
    </row>
    <row r="3223" spans="1:20" hidden="1" x14ac:dyDescent="0.3">
      <c r="A3223" t="s">
        <v>4842</v>
      </c>
      <c r="B3223" t="s">
        <v>44</v>
      </c>
      <c r="C3223" t="s">
        <v>168</v>
      </c>
      <c r="D3223" t="s">
        <v>4843</v>
      </c>
      <c r="E3223" t="s">
        <v>96</v>
      </c>
      <c r="F3223" t="s">
        <v>152</v>
      </c>
      <c r="G3223" t="s">
        <v>26</v>
      </c>
      <c r="H3223" t="s">
        <v>27</v>
      </c>
      <c r="I3223">
        <v>8500</v>
      </c>
      <c r="J3223">
        <v>11050</v>
      </c>
      <c r="K3223">
        <v>1</v>
      </c>
      <c r="L3223">
        <v>8500</v>
      </c>
      <c r="M3223">
        <v>11050</v>
      </c>
      <c r="N3223" t="s">
        <v>35</v>
      </c>
      <c r="O3223">
        <f t="shared" si="100"/>
        <v>33150</v>
      </c>
      <c r="P3223" s="13">
        <f t="shared" si="101"/>
        <v>1937780</v>
      </c>
      <c r="Q3223" s="13">
        <f>SUMIFS(M:M,E:E,Online_eCommerce[[#This Row],[Status]])</f>
        <v>21233992</v>
      </c>
      <c r="R3223" s="13">
        <f>SUMIFS(L:L,H:H,Online_eCommerce[[#This Row],[Brand]])</f>
        <v>14431000</v>
      </c>
      <c r="S3223" s="13">
        <f>SUMIF(H:H,Online_eCommerce[[#This Row],[Brand]],M:M)</f>
        <v>18760300</v>
      </c>
      <c r="T3223" s="13">
        <f>SUMIF(N:N,Online_eCommerce[[#This Row],[Assigned Supervisor]],L:L)</f>
        <v>14373360</v>
      </c>
    </row>
    <row r="3224" spans="1:20" hidden="1" x14ac:dyDescent="0.3">
      <c r="A3224" t="s">
        <v>4844</v>
      </c>
      <c r="B3224" t="s">
        <v>213</v>
      </c>
      <c r="C3224" t="s">
        <v>172</v>
      </c>
      <c r="D3224" t="s">
        <v>4845</v>
      </c>
      <c r="E3224" t="s">
        <v>18</v>
      </c>
      <c r="F3224" t="s">
        <v>157</v>
      </c>
      <c r="G3224" t="s">
        <v>33</v>
      </c>
      <c r="H3224" t="s">
        <v>34</v>
      </c>
      <c r="I3224">
        <v>12500</v>
      </c>
      <c r="J3224">
        <v>16250</v>
      </c>
      <c r="K3224">
        <v>3</v>
      </c>
      <c r="L3224">
        <v>37500</v>
      </c>
      <c r="M3224">
        <v>48750</v>
      </c>
      <c r="N3224" t="s">
        <v>42</v>
      </c>
      <c r="O3224">
        <f t="shared" si="100"/>
        <v>18200</v>
      </c>
      <c r="P3224" s="13">
        <f t="shared" si="101"/>
        <v>2640274</v>
      </c>
      <c r="Q3224" s="13">
        <f>SUMIFS(M:M,E:E,Online_eCommerce[[#This Row],[Status]])</f>
        <v>28340455</v>
      </c>
      <c r="R3224" s="13">
        <f>SUMIFS(L:L,H:H,Online_eCommerce[[#This Row],[Brand]])</f>
        <v>10087000</v>
      </c>
      <c r="S3224" s="13">
        <f>SUMIF(H:H,Online_eCommerce[[#This Row],[Brand]],M:M)</f>
        <v>13113100</v>
      </c>
      <c r="T3224" s="13">
        <f>SUMIF(N:N,Online_eCommerce[[#This Row],[Assigned Supervisor]],L:L)</f>
        <v>12261500</v>
      </c>
    </row>
    <row r="3225" spans="1:20" hidden="1" x14ac:dyDescent="0.3">
      <c r="A3225" t="s">
        <v>4846</v>
      </c>
      <c r="B3225" t="s">
        <v>215</v>
      </c>
      <c r="C3225" t="s">
        <v>177</v>
      </c>
      <c r="D3225" t="s">
        <v>4847</v>
      </c>
      <c r="E3225" t="s">
        <v>161</v>
      </c>
      <c r="F3225" t="s">
        <v>4435</v>
      </c>
      <c r="G3225" t="s">
        <v>256</v>
      </c>
      <c r="H3225" t="s">
        <v>41</v>
      </c>
      <c r="I3225">
        <v>3500</v>
      </c>
      <c r="J3225">
        <v>4550</v>
      </c>
      <c r="K3225">
        <v>2</v>
      </c>
      <c r="L3225">
        <v>7000</v>
      </c>
      <c r="M3225">
        <v>9100</v>
      </c>
      <c r="N3225" t="s">
        <v>50</v>
      </c>
      <c r="O3225">
        <f t="shared" si="100"/>
        <v>9100</v>
      </c>
      <c r="P3225" s="13">
        <f t="shared" si="101"/>
        <v>1863810</v>
      </c>
      <c r="Q3225" s="13">
        <f>SUMIFS(M:M,E:E,Online_eCommerce[[#This Row],[Status]])</f>
        <v>21103186</v>
      </c>
      <c r="R3225" s="13">
        <f>SUMIFS(L:L,H:H,Online_eCommerce[[#This Row],[Brand]])</f>
        <v>4260400</v>
      </c>
      <c r="S3225" s="13">
        <f>SUMIF(H:H,Online_eCommerce[[#This Row],[Brand]],M:M)</f>
        <v>5538520</v>
      </c>
      <c r="T3225" s="13">
        <f>SUMIF(N:N,Online_eCommerce[[#This Row],[Assigned Supervisor]],L:L)</f>
        <v>12100590</v>
      </c>
    </row>
    <row r="3226" spans="1:20" x14ac:dyDescent="0.3">
      <c r="A3226" t="s">
        <v>4848</v>
      </c>
      <c r="B3226" t="s">
        <v>306</v>
      </c>
      <c r="C3226" t="s">
        <v>181</v>
      </c>
      <c r="D3226" t="s">
        <v>4849</v>
      </c>
      <c r="E3226" t="s">
        <v>46</v>
      </c>
      <c r="F3226" t="s">
        <v>166</v>
      </c>
      <c r="G3226" t="s">
        <v>259</v>
      </c>
      <c r="H3226" t="s">
        <v>49</v>
      </c>
      <c r="I3226">
        <v>4500</v>
      </c>
      <c r="J3226">
        <v>5850</v>
      </c>
      <c r="K3226">
        <v>1</v>
      </c>
      <c r="L3226">
        <v>4500</v>
      </c>
      <c r="M3226">
        <v>5850</v>
      </c>
      <c r="N3226" t="s">
        <v>56</v>
      </c>
      <c r="O3226">
        <f t="shared" si="100"/>
        <v>11700</v>
      </c>
      <c r="P3226" s="13">
        <f t="shared" si="101"/>
        <v>2577458</v>
      </c>
      <c r="Q3226" s="13">
        <f>SUMIFS(M:M,E:E,Online_eCommerce[[#This Row],[Status]])</f>
        <v>28620410</v>
      </c>
      <c r="R3226" s="13">
        <f>SUMIFS(L:L,H:H,Online_eCommerce[[#This Row],[Brand]])</f>
        <v>4528350</v>
      </c>
      <c r="S3226" s="13">
        <f>SUMIF(H:H,Online_eCommerce[[#This Row],[Brand]],M:M)</f>
        <v>5886855</v>
      </c>
      <c r="T3226" s="13">
        <f>SUMIF(N:N,Online_eCommerce[[#This Row],[Assigned Supervisor]],L:L)</f>
        <v>11733610</v>
      </c>
    </row>
    <row r="3227" spans="1:20" hidden="1" x14ac:dyDescent="0.3">
      <c r="A3227" t="s">
        <v>4850</v>
      </c>
      <c r="B3227" t="s">
        <v>528</v>
      </c>
      <c r="C3227" t="s">
        <v>185</v>
      </c>
      <c r="D3227" t="s">
        <v>4851</v>
      </c>
      <c r="E3227" t="s">
        <v>96</v>
      </c>
      <c r="F3227" t="s">
        <v>4852</v>
      </c>
      <c r="G3227" t="s">
        <v>54</v>
      </c>
      <c r="H3227" t="s">
        <v>55</v>
      </c>
      <c r="I3227">
        <v>2100</v>
      </c>
      <c r="J3227">
        <v>2730</v>
      </c>
      <c r="K3227">
        <v>3</v>
      </c>
      <c r="L3227">
        <v>6300</v>
      </c>
      <c r="M3227">
        <v>8190</v>
      </c>
      <c r="N3227" t="s">
        <v>22</v>
      </c>
      <c r="O3227">
        <f t="shared" si="100"/>
        <v>2990</v>
      </c>
      <c r="P3227" s="13">
        <f t="shared" si="101"/>
        <v>2091596</v>
      </c>
      <c r="Q3227" s="13">
        <f>SUMIFS(M:M,E:E,Online_eCommerce[[#This Row],[Status]])</f>
        <v>21233992</v>
      </c>
      <c r="R3227" s="13">
        <f>SUMIFS(L:L,H:H,Online_eCommerce[[#This Row],[Brand]])</f>
        <v>2267380</v>
      </c>
      <c r="S3227" s="13">
        <f>SUMIF(H:H,Online_eCommerce[[#This Row],[Brand]],M:M)</f>
        <v>2947594</v>
      </c>
      <c r="T3227" s="13">
        <f>SUMIF(N:N,Online_eCommerce[[#This Row],[Assigned Supervisor]],L:L)</f>
        <v>13693220</v>
      </c>
    </row>
    <row r="3228" spans="1:20" hidden="1" x14ac:dyDescent="0.3">
      <c r="A3228" t="s">
        <v>4853</v>
      </c>
      <c r="B3228" t="s">
        <v>73</v>
      </c>
      <c r="C3228" t="s">
        <v>189</v>
      </c>
      <c r="D3228" t="s">
        <v>4854</v>
      </c>
      <c r="E3228" t="s">
        <v>18</v>
      </c>
      <c r="F3228" t="s">
        <v>174</v>
      </c>
      <c r="G3228" t="s">
        <v>60</v>
      </c>
      <c r="H3228" t="s">
        <v>61</v>
      </c>
      <c r="I3228">
        <v>1150</v>
      </c>
      <c r="J3228">
        <v>1495</v>
      </c>
      <c r="K3228">
        <v>4</v>
      </c>
      <c r="L3228">
        <v>4600</v>
      </c>
      <c r="M3228">
        <v>5980</v>
      </c>
      <c r="N3228" t="s">
        <v>28</v>
      </c>
      <c r="O3228">
        <f t="shared" si="100"/>
        <v>3315</v>
      </c>
      <c r="P3228" s="13">
        <f t="shared" si="101"/>
        <v>2740777</v>
      </c>
      <c r="Q3228" s="13">
        <f>SUMIFS(M:M,E:E,Online_eCommerce[[#This Row],[Status]])</f>
        <v>28340455</v>
      </c>
      <c r="R3228" s="13">
        <f>SUMIFS(L:L,H:H,Online_eCommerce[[#This Row],[Brand]])</f>
        <v>10950150</v>
      </c>
      <c r="S3228" s="13">
        <f>SUMIF(H:H,Online_eCommerce[[#This Row],[Brand]],M:M)</f>
        <v>14235195</v>
      </c>
      <c r="T3228" s="13">
        <f>SUMIF(N:N,Online_eCommerce[[#This Row],[Assigned Supervisor]],L:L)</f>
        <v>12220830</v>
      </c>
    </row>
    <row r="3229" spans="1:20" hidden="1" x14ac:dyDescent="0.3">
      <c r="A3229" t="s">
        <v>4855</v>
      </c>
      <c r="B3229" t="s">
        <v>80</v>
      </c>
      <c r="C3229" t="s">
        <v>193</v>
      </c>
      <c r="D3229" t="s">
        <v>4854</v>
      </c>
      <c r="E3229" t="s">
        <v>161</v>
      </c>
      <c r="F3229" t="s">
        <v>179</v>
      </c>
      <c r="G3229" t="s">
        <v>66</v>
      </c>
      <c r="H3229" t="s">
        <v>21</v>
      </c>
      <c r="I3229">
        <v>350</v>
      </c>
      <c r="J3229">
        <v>455</v>
      </c>
      <c r="K3229">
        <v>3</v>
      </c>
      <c r="L3229">
        <v>1050</v>
      </c>
      <c r="M3229">
        <v>1365</v>
      </c>
      <c r="N3229" t="s">
        <v>35</v>
      </c>
      <c r="O3229">
        <f t="shared" si="100"/>
        <v>1690</v>
      </c>
      <c r="P3229" s="13">
        <f t="shared" si="101"/>
        <v>2074774</v>
      </c>
      <c r="Q3229" s="13">
        <f>SUMIFS(M:M,E:E,Online_eCommerce[[#This Row],[Status]])</f>
        <v>21103186</v>
      </c>
      <c r="R3229" s="13">
        <f>SUMIFS(L:L,H:H,Online_eCommerce[[#This Row],[Brand]])</f>
        <v>12435650</v>
      </c>
      <c r="S3229" s="13">
        <f>SUMIF(H:H,Online_eCommerce[[#This Row],[Brand]],M:M)</f>
        <v>16166345</v>
      </c>
      <c r="T3229" s="13">
        <f>SUMIF(N:N,Online_eCommerce[[#This Row],[Assigned Supervisor]],L:L)</f>
        <v>14373360</v>
      </c>
    </row>
    <row r="3230" spans="1:20" x14ac:dyDescent="0.3">
      <c r="A3230" t="s">
        <v>4856</v>
      </c>
      <c r="B3230" t="s">
        <v>85</v>
      </c>
      <c r="C3230" t="s">
        <v>197</v>
      </c>
      <c r="D3230" t="s">
        <v>4854</v>
      </c>
      <c r="E3230" t="s">
        <v>46</v>
      </c>
      <c r="F3230" t="s">
        <v>183</v>
      </c>
      <c r="G3230" t="s">
        <v>71</v>
      </c>
      <c r="H3230" t="s">
        <v>61</v>
      </c>
      <c r="I3230">
        <v>9500</v>
      </c>
      <c r="J3230">
        <v>12350</v>
      </c>
      <c r="K3230">
        <v>2</v>
      </c>
      <c r="L3230">
        <v>19000</v>
      </c>
      <c r="M3230">
        <v>24700</v>
      </c>
      <c r="N3230" t="s">
        <v>42</v>
      </c>
      <c r="O3230">
        <f t="shared" si="100"/>
        <v>9750</v>
      </c>
      <c r="P3230" s="13">
        <f t="shared" si="101"/>
        <v>2829840</v>
      </c>
      <c r="Q3230" s="13">
        <f>SUMIFS(M:M,E:E,Online_eCommerce[[#This Row],[Status]])</f>
        <v>28620410</v>
      </c>
      <c r="R3230" s="13">
        <f>SUMIFS(L:L,H:H,Online_eCommerce[[#This Row],[Brand]])</f>
        <v>10950150</v>
      </c>
      <c r="S3230" s="13">
        <f>SUMIF(H:H,Online_eCommerce[[#This Row],[Brand]],M:M)</f>
        <v>14235195</v>
      </c>
      <c r="T3230" s="13">
        <f>SUMIF(N:N,Online_eCommerce[[#This Row],[Assigned Supervisor]],L:L)</f>
        <v>12261500</v>
      </c>
    </row>
    <row r="3231" spans="1:20" hidden="1" x14ac:dyDescent="0.3">
      <c r="A3231" t="s">
        <v>4857</v>
      </c>
      <c r="B3231" t="s">
        <v>90</v>
      </c>
      <c r="C3231" t="s">
        <v>199</v>
      </c>
      <c r="D3231" t="s">
        <v>4854</v>
      </c>
      <c r="E3231" t="s">
        <v>96</v>
      </c>
      <c r="F3231" t="s">
        <v>4858</v>
      </c>
      <c r="G3231" t="s">
        <v>77</v>
      </c>
      <c r="H3231" t="s">
        <v>142</v>
      </c>
      <c r="I3231">
        <v>10000</v>
      </c>
      <c r="J3231">
        <v>13000</v>
      </c>
      <c r="K3231">
        <v>4</v>
      </c>
      <c r="L3231">
        <v>40000</v>
      </c>
      <c r="M3231">
        <v>52000</v>
      </c>
      <c r="N3231" t="s">
        <v>50</v>
      </c>
      <c r="O3231">
        <f t="shared" si="100"/>
        <v>39000</v>
      </c>
      <c r="P3231" s="13">
        <f t="shared" si="101"/>
        <v>1947361</v>
      </c>
      <c r="Q3231" s="13">
        <f>SUMIFS(M:M,E:E,Online_eCommerce[[#This Row],[Status]])</f>
        <v>21233992</v>
      </c>
      <c r="R3231" s="13">
        <f>SUMIFS(L:L,H:H,Online_eCommerce[[#This Row],[Brand]])</f>
        <v>6192500</v>
      </c>
      <c r="S3231" s="13">
        <f>SUMIF(H:H,Online_eCommerce[[#This Row],[Brand]],M:M)</f>
        <v>8050250</v>
      </c>
      <c r="T3231" s="13">
        <f>SUMIF(N:N,Online_eCommerce[[#This Row],[Assigned Supervisor]],L:L)</f>
        <v>12100590</v>
      </c>
    </row>
    <row r="3232" spans="1:20" hidden="1" x14ac:dyDescent="0.3">
      <c r="A3232" t="s">
        <v>4859</v>
      </c>
      <c r="B3232" t="s">
        <v>232</v>
      </c>
      <c r="C3232" t="s">
        <v>203</v>
      </c>
      <c r="D3232" t="s">
        <v>4854</v>
      </c>
      <c r="E3232" t="s">
        <v>18</v>
      </c>
      <c r="F3232" t="s">
        <v>4860</v>
      </c>
      <c r="G3232" t="s">
        <v>20</v>
      </c>
      <c r="H3232" t="s">
        <v>21</v>
      </c>
      <c r="I3232">
        <v>6500</v>
      </c>
      <c r="J3232">
        <v>8450</v>
      </c>
      <c r="K3232">
        <v>4</v>
      </c>
      <c r="L3232">
        <v>26000</v>
      </c>
      <c r="M3232">
        <v>33800</v>
      </c>
      <c r="N3232" t="s">
        <v>56</v>
      </c>
      <c r="O3232">
        <f t="shared" si="100"/>
        <v>8450</v>
      </c>
      <c r="P3232" s="13">
        <f t="shared" si="101"/>
        <v>2559635</v>
      </c>
      <c r="Q3232" s="13">
        <f>SUMIFS(M:M,E:E,Online_eCommerce[[#This Row],[Status]])</f>
        <v>28340455</v>
      </c>
      <c r="R3232" s="13">
        <f>SUMIFS(L:L,H:H,Online_eCommerce[[#This Row],[Brand]])</f>
        <v>12435650</v>
      </c>
      <c r="S3232" s="13">
        <f>SUMIF(H:H,Online_eCommerce[[#This Row],[Brand]],M:M)</f>
        <v>16166345</v>
      </c>
      <c r="T3232" s="13">
        <f>SUMIF(N:N,Online_eCommerce[[#This Row],[Assigned Supervisor]],L:L)</f>
        <v>11733610</v>
      </c>
    </row>
    <row r="3233" spans="1:20" hidden="1" x14ac:dyDescent="0.3">
      <c r="A3233" t="s">
        <v>4861</v>
      </c>
      <c r="B3233" t="s">
        <v>235</v>
      </c>
      <c r="C3233" t="s">
        <v>205</v>
      </c>
      <c r="D3233" t="s">
        <v>4854</v>
      </c>
      <c r="E3233" t="s">
        <v>161</v>
      </c>
      <c r="F3233" t="s">
        <v>4862</v>
      </c>
      <c r="G3233" t="s">
        <v>26</v>
      </c>
      <c r="H3233" t="s">
        <v>27</v>
      </c>
      <c r="I3233">
        <v>8500</v>
      </c>
      <c r="J3233">
        <v>11050</v>
      </c>
      <c r="K3233">
        <v>1</v>
      </c>
      <c r="L3233">
        <v>8500</v>
      </c>
      <c r="M3233">
        <v>11050</v>
      </c>
      <c r="N3233" t="s">
        <v>22</v>
      </c>
      <c r="O3233">
        <f t="shared" si="100"/>
        <v>33150</v>
      </c>
      <c r="P3233" s="13">
        <f t="shared" si="101"/>
        <v>1983254</v>
      </c>
      <c r="Q3233" s="13">
        <f>SUMIFS(M:M,E:E,Online_eCommerce[[#This Row],[Status]])</f>
        <v>21103186</v>
      </c>
      <c r="R3233" s="13">
        <f>SUMIFS(L:L,H:H,Online_eCommerce[[#This Row],[Brand]])</f>
        <v>14431000</v>
      </c>
      <c r="S3233" s="13">
        <f>SUMIF(H:H,Online_eCommerce[[#This Row],[Brand]],M:M)</f>
        <v>18760300</v>
      </c>
      <c r="T3233" s="13">
        <f>SUMIF(N:N,Online_eCommerce[[#This Row],[Assigned Supervisor]],L:L)</f>
        <v>13693220</v>
      </c>
    </row>
    <row r="3234" spans="1:20" x14ac:dyDescent="0.3">
      <c r="A3234" t="s">
        <v>4863</v>
      </c>
      <c r="B3234" t="s">
        <v>104</v>
      </c>
      <c r="C3234" t="s">
        <v>208</v>
      </c>
      <c r="D3234" t="s">
        <v>4854</v>
      </c>
      <c r="E3234" t="s">
        <v>46</v>
      </c>
      <c r="F3234" t="s">
        <v>32</v>
      </c>
      <c r="G3234" t="s">
        <v>33</v>
      </c>
      <c r="H3234" t="s">
        <v>34</v>
      </c>
      <c r="I3234">
        <v>7000</v>
      </c>
      <c r="J3234">
        <v>9100</v>
      </c>
      <c r="K3234">
        <v>2</v>
      </c>
      <c r="L3234">
        <v>14000</v>
      </c>
      <c r="M3234">
        <v>18200</v>
      </c>
      <c r="N3234" t="s">
        <v>28</v>
      </c>
      <c r="O3234">
        <f t="shared" si="100"/>
        <v>18200</v>
      </c>
      <c r="P3234" s="13">
        <f t="shared" si="101"/>
        <v>2746575</v>
      </c>
      <c r="Q3234" s="13">
        <f>SUMIFS(M:M,E:E,Online_eCommerce[[#This Row],[Status]])</f>
        <v>28620410</v>
      </c>
      <c r="R3234" s="13">
        <f>SUMIFS(L:L,H:H,Online_eCommerce[[#This Row],[Brand]])</f>
        <v>10087000</v>
      </c>
      <c r="S3234" s="13">
        <f>SUMIF(H:H,Online_eCommerce[[#This Row],[Brand]],M:M)</f>
        <v>13113100</v>
      </c>
      <c r="T3234" s="13">
        <f>SUMIF(N:N,Online_eCommerce[[#This Row],[Assigned Supervisor]],L:L)</f>
        <v>12220830</v>
      </c>
    </row>
    <row r="3235" spans="1:20" hidden="1" x14ac:dyDescent="0.3">
      <c r="A3235" t="s">
        <v>4864</v>
      </c>
      <c r="B3235" t="s">
        <v>109</v>
      </c>
      <c r="C3235" t="s">
        <v>211</v>
      </c>
      <c r="D3235" t="s">
        <v>4865</v>
      </c>
      <c r="E3235" t="s">
        <v>96</v>
      </c>
      <c r="F3235" t="s">
        <v>4866</v>
      </c>
      <c r="G3235" t="s">
        <v>256</v>
      </c>
      <c r="H3235" t="s">
        <v>41</v>
      </c>
      <c r="I3235">
        <v>6550</v>
      </c>
      <c r="J3235">
        <v>8515</v>
      </c>
      <c r="K3235">
        <v>1</v>
      </c>
      <c r="L3235">
        <v>6550</v>
      </c>
      <c r="M3235">
        <v>8515</v>
      </c>
      <c r="N3235" t="s">
        <v>35</v>
      </c>
      <c r="O3235">
        <f t="shared" si="100"/>
        <v>9100</v>
      </c>
      <c r="P3235" s="13">
        <f t="shared" si="101"/>
        <v>1809847</v>
      </c>
      <c r="Q3235" s="13">
        <f>SUMIFS(M:M,E:E,Online_eCommerce[[#This Row],[Status]])</f>
        <v>21233992</v>
      </c>
      <c r="R3235" s="13">
        <f>SUMIFS(L:L,H:H,Online_eCommerce[[#This Row],[Brand]])</f>
        <v>4260400</v>
      </c>
      <c r="S3235" s="13">
        <f>SUMIF(H:H,Online_eCommerce[[#This Row],[Brand]],M:M)</f>
        <v>5538520</v>
      </c>
      <c r="T3235" s="13">
        <f>SUMIF(N:N,Online_eCommerce[[#This Row],[Assigned Supervisor]],L:L)</f>
        <v>14373360</v>
      </c>
    </row>
    <row r="3236" spans="1:20" hidden="1" x14ac:dyDescent="0.3">
      <c r="A3236" t="s">
        <v>4867</v>
      </c>
      <c r="B3236" t="s">
        <v>114</v>
      </c>
      <c r="C3236" t="s">
        <v>16</v>
      </c>
      <c r="D3236" t="s">
        <v>4868</v>
      </c>
      <c r="E3236" t="s">
        <v>18</v>
      </c>
      <c r="F3236" t="s">
        <v>47</v>
      </c>
      <c r="G3236" t="s">
        <v>259</v>
      </c>
      <c r="H3236" t="s">
        <v>49</v>
      </c>
      <c r="I3236">
        <v>7650</v>
      </c>
      <c r="J3236">
        <v>9945</v>
      </c>
      <c r="K3236">
        <v>1</v>
      </c>
      <c r="L3236">
        <v>7650</v>
      </c>
      <c r="M3236">
        <v>9945</v>
      </c>
      <c r="N3236" t="s">
        <v>42</v>
      </c>
      <c r="O3236">
        <f t="shared" si="100"/>
        <v>11700</v>
      </c>
      <c r="P3236" s="13">
        <f t="shared" si="101"/>
        <v>2751814</v>
      </c>
      <c r="Q3236" s="13">
        <f>SUMIFS(M:M,E:E,Online_eCommerce[[#This Row],[Status]])</f>
        <v>28340455</v>
      </c>
      <c r="R3236" s="13">
        <f>SUMIFS(L:L,H:H,Online_eCommerce[[#This Row],[Brand]])</f>
        <v>4528350</v>
      </c>
      <c r="S3236" s="13">
        <f>SUMIF(H:H,Online_eCommerce[[#This Row],[Brand]],M:M)</f>
        <v>5886855</v>
      </c>
      <c r="T3236" s="13">
        <f>SUMIF(N:N,Online_eCommerce[[#This Row],[Assigned Supervisor]],L:L)</f>
        <v>12261500</v>
      </c>
    </row>
    <row r="3237" spans="1:20" hidden="1" x14ac:dyDescent="0.3">
      <c r="A3237" t="s">
        <v>4869</v>
      </c>
      <c r="B3237" t="s">
        <v>119</v>
      </c>
      <c r="C3237" t="s">
        <v>24</v>
      </c>
      <c r="D3237" t="s">
        <v>4870</v>
      </c>
      <c r="E3237" t="s">
        <v>161</v>
      </c>
      <c r="F3237" t="s">
        <v>53</v>
      </c>
      <c r="G3237" t="s">
        <v>54</v>
      </c>
      <c r="H3237" t="s">
        <v>55</v>
      </c>
      <c r="I3237">
        <v>1150</v>
      </c>
      <c r="J3237">
        <v>1495</v>
      </c>
      <c r="K3237">
        <v>2</v>
      </c>
      <c r="L3237">
        <v>2300</v>
      </c>
      <c r="M3237">
        <v>2990</v>
      </c>
      <c r="N3237" t="s">
        <v>50</v>
      </c>
      <c r="O3237">
        <f t="shared" si="100"/>
        <v>2990</v>
      </c>
      <c r="P3237" s="13">
        <f t="shared" si="101"/>
        <v>2009540</v>
      </c>
      <c r="Q3237" s="13">
        <f>SUMIFS(M:M,E:E,Online_eCommerce[[#This Row],[Status]])</f>
        <v>21103186</v>
      </c>
      <c r="R3237" s="13">
        <f>SUMIFS(L:L,H:H,Online_eCommerce[[#This Row],[Brand]])</f>
        <v>2267380</v>
      </c>
      <c r="S3237" s="13">
        <f>SUMIF(H:H,Online_eCommerce[[#This Row],[Brand]],M:M)</f>
        <v>2947594</v>
      </c>
      <c r="T3237" s="13">
        <f>SUMIF(N:N,Online_eCommerce[[#This Row],[Assigned Supervisor]],L:L)</f>
        <v>12100590</v>
      </c>
    </row>
    <row r="3238" spans="1:20" x14ac:dyDescent="0.3">
      <c r="A3238" t="s">
        <v>4871</v>
      </c>
      <c r="B3238" t="s">
        <v>124</v>
      </c>
      <c r="C3238" t="s">
        <v>31</v>
      </c>
      <c r="D3238" t="s">
        <v>4872</v>
      </c>
      <c r="E3238" t="s">
        <v>46</v>
      </c>
      <c r="F3238" t="s">
        <v>59</v>
      </c>
      <c r="G3238" t="s">
        <v>60</v>
      </c>
      <c r="H3238" t="s">
        <v>61</v>
      </c>
      <c r="I3238">
        <v>850</v>
      </c>
      <c r="J3238">
        <v>1105</v>
      </c>
      <c r="K3238">
        <v>4</v>
      </c>
      <c r="L3238">
        <v>3400</v>
      </c>
      <c r="M3238">
        <v>4420</v>
      </c>
      <c r="N3238" t="s">
        <v>56</v>
      </c>
      <c r="O3238">
        <f t="shared" si="100"/>
        <v>3315</v>
      </c>
      <c r="P3238" s="13">
        <f t="shared" si="101"/>
        <v>2865746</v>
      </c>
      <c r="Q3238" s="13">
        <f>SUMIFS(M:M,E:E,Online_eCommerce[[#This Row],[Status]])</f>
        <v>28620410</v>
      </c>
      <c r="R3238" s="13">
        <f>SUMIFS(L:L,H:H,Online_eCommerce[[#This Row],[Brand]])</f>
        <v>10950150</v>
      </c>
      <c r="S3238" s="13">
        <f>SUMIF(H:H,Online_eCommerce[[#This Row],[Brand]],M:M)</f>
        <v>14235195</v>
      </c>
      <c r="T3238" s="13">
        <f>SUMIF(N:N,Online_eCommerce[[#This Row],[Assigned Supervisor]],L:L)</f>
        <v>11733610</v>
      </c>
    </row>
    <row r="3239" spans="1:20" hidden="1" x14ac:dyDescent="0.3">
      <c r="A3239" t="s">
        <v>4873</v>
      </c>
      <c r="B3239" t="s">
        <v>128</v>
      </c>
      <c r="C3239" t="s">
        <v>38</v>
      </c>
      <c r="D3239" t="s">
        <v>4874</v>
      </c>
      <c r="E3239" t="s">
        <v>96</v>
      </c>
      <c r="F3239" t="s">
        <v>65</v>
      </c>
      <c r="G3239" t="s">
        <v>66</v>
      </c>
      <c r="H3239" t="s">
        <v>21</v>
      </c>
      <c r="I3239">
        <v>650</v>
      </c>
      <c r="J3239">
        <v>845</v>
      </c>
      <c r="K3239">
        <v>1</v>
      </c>
      <c r="L3239">
        <v>650</v>
      </c>
      <c r="M3239">
        <v>845</v>
      </c>
      <c r="N3239" t="s">
        <v>22</v>
      </c>
      <c r="O3239">
        <f t="shared" si="100"/>
        <v>1690</v>
      </c>
      <c r="P3239" s="13">
        <f t="shared" si="101"/>
        <v>1933997</v>
      </c>
      <c r="Q3239" s="13">
        <f>SUMIFS(M:M,E:E,Online_eCommerce[[#This Row],[Status]])</f>
        <v>21233992</v>
      </c>
      <c r="R3239" s="13">
        <f>SUMIFS(L:L,H:H,Online_eCommerce[[#This Row],[Brand]])</f>
        <v>12435650</v>
      </c>
      <c r="S3239" s="13">
        <f>SUMIF(H:H,Online_eCommerce[[#This Row],[Brand]],M:M)</f>
        <v>16166345</v>
      </c>
      <c r="T3239" s="13">
        <f>SUMIF(N:N,Online_eCommerce[[#This Row],[Assigned Supervisor]],L:L)</f>
        <v>13693220</v>
      </c>
    </row>
    <row r="3240" spans="1:20" hidden="1" x14ac:dyDescent="0.3">
      <c r="A3240" t="s">
        <v>4875</v>
      </c>
      <c r="B3240" t="s">
        <v>131</v>
      </c>
      <c r="C3240" t="s">
        <v>45</v>
      </c>
      <c r="D3240" t="s">
        <v>4876</v>
      </c>
      <c r="E3240" t="s">
        <v>18</v>
      </c>
      <c r="F3240" t="s">
        <v>70</v>
      </c>
      <c r="G3240" t="s">
        <v>71</v>
      </c>
      <c r="H3240" t="s">
        <v>61</v>
      </c>
      <c r="I3240">
        <v>7500</v>
      </c>
      <c r="J3240">
        <v>9750</v>
      </c>
      <c r="K3240">
        <v>2</v>
      </c>
      <c r="L3240">
        <v>15000</v>
      </c>
      <c r="M3240">
        <v>19500</v>
      </c>
      <c r="N3240" t="s">
        <v>28</v>
      </c>
      <c r="O3240">
        <f t="shared" si="100"/>
        <v>9750</v>
      </c>
      <c r="P3240" s="13">
        <f t="shared" si="101"/>
        <v>2842554</v>
      </c>
      <c r="Q3240" s="13">
        <f>SUMIFS(M:M,E:E,Online_eCommerce[[#This Row],[Status]])</f>
        <v>28340455</v>
      </c>
      <c r="R3240" s="13">
        <f>SUMIFS(L:L,H:H,Online_eCommerce[[#This Row],[Brand]])</f>
        <v>10950150</v>
      </c>
      <c r="S3240" s="13">
        <f>SUMIF(H:H,Online_eCommerce[[#This Row],[Brand]],M:M)</f>
        <v>14235195</v>
      </c>
      <c r="T3240" s="13">
        <f>SUMIF(N:N,Online_eCommerce[[#This Row],[Assigned Supervisor]],L:L)</f>
        <v>12220830</v>
      </c>
    </row>
    <row r="3241" spans="1:20" hidden="1" x14ac:dyDescent="0.3">
      <c r="A3241" t="s">
        <v>4877</v>
      </c>
      <c r="B3241" t="s">
        <v>135</v>
      </c>
      <c r="C3241" t="s">
        <v>52</v>
      </c>
      <c r="D3241" t="s">
        <v>4878</v>
      </c>
      <c r="E3241" t="s">
        <v>161</v>
      </c>
      <c r="F3241" t="s">
        <v>4858</v>
      </c>
      <c r="G3241" t="s">
        <v>77</v>
      </c>
      <c r="H3241" t="s">
        <v>78</v>
      </c>
      <c r="I3241">
        <v>10000</v>
      </c>
      <c r="J3241">
        <v>13000</v>
      </c>
      <c r="K3241">
        <v>1</v>
      </c>
      <c r="L3241">
        <v>10000</v>
      </c>
      <c r="M3241">
        <v>13000</v>
      </c>
      <c r="N3241" t="s">
        <v>35</v>
      </c>
      <c r="O3241">
        <f t="shared" si="100"/>
        <v>39000</v>
      </c>
      <c r="P3241" s="13">
        <f t="shared" si="101"/>
        <v>1955044</v>
      </c>
      <c r="Q3241" s="13">
        <f>SUMIFS(M:M,E:E,Online_eCommerce[[#This Row],[Status]])</f>
        <v>21103186</v>
      </c>
      <c r="R3241" s="13">
        <f>SUMIFS(L:L,H:H,Online_eCommerce[[#This Row],[Brand]])</f>
        <v>3720000</v>
      </c>
      <c r="S3241" s="13">
        <f>SUMIF(H:H,Online_eCommerce[[#This Row],[Brand]],M:M)</f>
        <v>4836000</v>
      </c>
      <c r="T3241" s="13">
        <f>SUMIF(N:N,Online_eCommerce[[#This Row],[Assigned Supervisor]],L:L)</f>
        <v>14373360</v>
      </c>
    </row>
    <row r="3242" spans="1:20" x14ac:dyDescent="0.3">
      <c r="A3242" t="s">
        <v>4879</v>
      </c>
      <c r="B3242" t="s">
        <v>139</v>
      </c>
      <c r="C3242" t="s">
        <v>58</v>
      </c>
      <c r="D3242" t="s">
        <v>4878</v>
      </c>
      <c r="E3242" t="s">
        <v>46</v>
      </c>
      <c r="F3242" t="s">
        <v>4880</v>
      </c>
      <c r="G3242" t="s">
        <v>20</v>
      </c>
      <c r="H3242" t="s">
        <v>21</v>
      </c>
      <c r="I3242">
        <v>10500</v>
      </c>
      <c r="J3242">
        <v>13650</v>
      </c>
      <c r="K3242">
        <v>3</v>
      </c>
      <c r="L3242">
        <v>31500</v>
      </c>
      <c r="M3242">
        <v>40950</v>
      </c>
      <c r="N3242" t="s">
        <v>42</v>
      </c>
      <c r="O3242">
        <f t="shared" si="100"/>
        <v>8450</v>
      </c>
      <c r="P3242" s="13">
        <f t="shared" si="101"/>
        <v>2629211</v>
      </c>
      <c r="Q3242" s="13">
        <f>SUMIFS(M:M,E:E,Online_eCommerce[[#This Row],[Status]])</f>
        <v>28620410</v>
      </c>
      <c r="R3242" s="13">
        <f>SUMIFS(L:L,H:H,Online_eCommerce[[#This Row],[Brand]])</f>
        <v>12435650</v>
      </c>
      <c r="S3242" s="13">
        <f>SUMIF(H:H,Online_eCommerce[[#This Row],[Brand]],M:M)</f>
        <v>16166345</v>
      </c>
      <c r="T3242" s="13">
        <f>SUMIF(N:N,Online_eCommerce[[#This Row],[Assigned Supervisor]],L:L)</f>
        <v>12261500</v>
      </c>
    </row>
    <row r="3243" spans="1:20" hidden="1" x14ac:dyDescent="0.3">
      <c r="A3243" t="s">
        <v>4881</v>
      </c>
      <c r="B3243" t="s">
        <v>144</v>
      </c>
      <c r="C3243" t="s">
        <v>63</v>
      </c>
      <c r="D3243" t="s">
        <v>4878</v>
      </c>
      <c r="E3243" t="s">
        <v>96</v>
      </c>
      <c r="F3243" t="s">
        <v>88</v>
      </c>
      <c r="G3243" t="s">
        <v>26</v>
      </c>
      <c r="H3243" t="s">
        <v>27</v>
      </c>
      <c r="I3243">
        <v>8500</v>
      </c>
      <c r="J3243">
        <v>11050</v>
      </c>
      <c r="K3243">
        <v>2</v>
      </c>
      <c r="L3243">
        <v>17000</v>
      </c>
      <c r="M3243">
        <v>22100</v>
      </c>
      <c r="N3243" t="s">
        <v>50</v>
      </c>
      <c r="O3243">
        <f t="shared" si="100"/>
        <v>33150</v>
      </c>
      <c r="P3243" s="13">
        <f t="shared" si="101"/>
        <v>2016131</v>
      </c>
      <c r="Q3243" s="13">
        <f>SUMIFS(M:M,E:E,Online_eCommerce[[#This Row],[Status]])</f>
        <v>21233992</v>
      </c>
      <c r="R3243" s="13">
        <f>SUMIFS(L:L,H:H,Online_eCommerce[[#This Row],[Brand]])</f>
        <v>14431000</v>
      </c>
      <c r="S3243" s="13">
        <f>SUMIF(H:H,Online_eCommerce[[#This Row],[Brand]],M:M)</f>
        <v>18760300</v>
      </c>
      <c r="T3243" s="13">
        <f>SUMIF(N:N,Online_eCommerce[[#This Row],[Assigned Supervisor]],L:L)</f>
        <v>12100590</v>
      </c>
    </row>
    <row r="3244" spans="1:20" hidden="1" x14ac:dyDescent="0.3">
      <c r="A3244" t="s">
        <v>4882</v>
      </c>
      <c r="B3244" t="s">
        <v>149</v>
      </c>
      <c r="C3244" t="s">
        <v>68</v>
      </c>
      <c r="D3244" t="s">
        <v>4878</v>
      </c>
      <c r="E3244" t="s">
        <v>18</v>
      </c>
      <c r="F3244" t="s">
        <v>32</v>
      </c>
      <c r="G3244" t="s">
        <v>33</v>
      </c>
      <c r="H3244" t="s">
        <v>34</v>
      </c>
      <c r="I3244">
        <v>7000</v>
      </c>
      <c r="J3244">
        <v>9100</v>
      </c>
      <c r="K3244">
        <v>2</v>
      </c>
      <c r="L3244">
        <v>14000</v>
      </c>
      <c r="M3244">
        <v>18200</v>
      </c>
      <c r="N3244" t="s">
        <v>56</v>
      </c>
      <c r="O3244">
        <f t="shared" si="100"/>
        <v>18200</v>
      </c>
      <c r="P3244" s="13">
        <f t="shared" si="101"/>
        <v>2974621</v>
      </c>
      <c r="Q3244" s="13">
        <f>SUMIFS(M:M,E:E,Online_eCommerce[[#This Row],[Status]])</f>
        <v>28340455</v>
      </c>
      <c r="R3244" s="13">
        <f>SUMIFS(L:L,H:H,Online_eCommerce[[#This Row],[Brand]])</f>
        <v>10087000</v>
      </c>
      <c r="S3244" s="13">
        <f>SUMIF(H:H,Online_eCommerce[[#This Row],[Brand]],M:M)</f>
        <v>13113100</v>
      </c>
      <c r="T3244" s="13">
        <f>SUMIF(N:N,Online_eCommerce[[#This Row],[Assigned Supervisor]],L:L)</f>
        <v>11733610</v>
      </c>
    </row>
    <row r="3245" spans="1:20" hidden="1" x14ac:dyDescent="0.3">
      <c r="A3245" t="s">
        <v>4883</v>
      </c>
      <c r="B3245" t="s">
        <v>154</v>
      </c>
      <c r="C3245" t="s">
        <v>74</v>
      </c>
      <c r="D3245" t="s">
        <v>4878</v>
      </c>
      <c r="E3245" t="s">
        <v>161</v>
      </c>
      <c r="F3245" t="s">
        <v>4884</v>
      </c>
      <c r="G3245" t="s">
        <v>256</v>
      </c>
      <c r="H3245" t="s">
        <v>41</v>
      </c>
      <c r="I3245">
        <v>1680</v>
      </c>
      <c r="J3245">
        <v>2184</v>
      </c>
      <c r="K3245">
        <v>3</v>
      </c>
      <c r="L3245">
        <v>5040</v>
      </c>
      <c r="M3245">
        <v>6552</v>
      </c>
      <c r="N3245" t="s">
        <v>22</v>
      </c>
      <c r="O3245">
        <f t="shared" si="100"/>
        <v>9100</v>
      </c>
      <c r="P3245" s="13">
        <f t="shared" si="101"/>
        <v>2144701</v>
      </c>
      <c r="Q3245" s="13">
        <f>SUMIFS(M:M,E:E,Online_eCommerce[[#This Row],[Status]])</f>
        <v>21103186</v>
      </c>
      <c r="R3245" s="13">
        <f>SUMIFS(L:L,H:H,Online_eCommerce[[#This Row],[Brand]])</f>
        <v>4260400</v>
      </c>
      <c r="S3245" s="13">
        <f>SUMIF(H:H,Online_eCommerce[[#This Row],[Brand]],M:M)</f>
        <v>5538520</v>
      </c>
      <c r="T3245" s="13">
        <f>SUMIF(N:N,Online_eCommerce[[#This Row],[Assigned Supervisor]],L:L)</f>
        <v>13693220</v>
      </c>
    </row>
    <row r="3246" spans="1:20" x14ac:dyDescent="0.3">
      <c r="A3246" t="s">
        <v>4885</v>
      </c>
      <c r="B3246" t="s">
        <v>159</v>
      </c>
      <c r="C3246" t="s">
        <v>81</v>
      </c>
      <c r="D3246" t="s">
        <v>4878</v>
      </c>
      <c r="E3246" t="s">
        <v>46</v>
      </c>
      <c r="F3246" t="s">
        <v>101</v>
      </c>
      <c r="G3246" t="s">
        <v>259</v>
      </c>
      <c r="H3246" t="s">
        <v>102</v>
      </c>
      <c r="I3246">
        <v>6540</v>
      </c>
      <c r="J3246">
        <v>8502</v>
      </c>
      <c r="K3246">
        <v>1</v>
      </c>
      <c r="L3246">
        <v>6540</v>
      </c>
      <c r="M3246">
        <v>8502</v>
      </c>
      <c r="N3246" t="s">
        <v>28</v>
      </c>
      <c r="O3246">
        <f t="shared" si="100"/>
        <v>11700</v>
      </c>
      <c r="P3246" s="13">
        <f t="shared" si="101"/>
        <v>2595632</v>
      </c>
      <c r="Q3246" s="13">
        <f>SUMIFS(M:M,E:E,Online_eCommerce[[#This Row],[Status]])</f>
        <v>28620410</v>
      </c>
      <c r="R3246" s="13">
        <f>SUMIFS(L:L,H:H,Online_eCommerce[[#This Row],[Brand]])</f>
        <v>2465580</v>
      </c>
      <c r="S3246" s="13">
        <f>SUMIF(H:H,Online_eCommerce[[#This Row],[Brand]],M:M)</f>
        <v>3205254</v>
      </c>
      <c r="T3246" s="13">
        <f>SUMIF(N:N,Online_eCommerce[[#This Row],[Assigned Supervisor]],L:L)</f>
        <v>12220830</v>
      </c>
    </row>
    <row r="3247" spans="1:20" hidden="1" x14ac:dyDescent="0.3">
      <c r="A3247" t="s">
        <v>4886</v>
      </c>
      <c r="B3247" t="s">
        <v>139</v>
      </c>
      <c r="C3247" t="s">
        <v>86</v>
      </c>
      <c r="D3247" t="s">
        <v>4878</v>
      </c>
      <c r="E3247" t="s">
        <v>96</v>
      </c>
      <c r="F3247" t="s">
        <v>107</v>
      </c>
      <c r="G3247" t="s">
        <v>54</v>
      </c>
      <c r="H3247" t="s">
        <v>55</v>
      </c>
      <c r="I3247">
        <v>2680</v>
      </c>
      <c r="J3247">
        <v>3484</v>
      </c>
      <c r="K3247">
        <v>3</v>
      </c>
      <c r="L3247">
        <v>8040</v>
      </c>
      <c r="M3247">
        <v>10452</v>
      </c>
      <c r="N3247" t="s">
        <v>35</v>
      </c>
      <c r="O3247">
        <f t="shared" si="100"/>
        <v>2990</v>
      </c>
      <c r="P3247" s="13">
        <f t="shared" si="101"/>
        <v>1941225</v>
      </c>
      <c r="Q3247" s="13">
        <f>SUMIFS(M:M,E:E,Online_eCommerce[[#This Row],[Status]])</f>
        <v>21233992</v>
      </c>
      <c r="R3247" s="13">
        <f>SUMIFS(L:L,H:H,Online_eCommerce[[#This Row],[Brand]])</f>
        <v>2267380</v>
      </c>
      <c r="S3247" s="13">
        <f>SUMIF(H:H,Online_eCommerce[[#This Row],[Brand]],M:M)</f>
        <v>2947594</v>
      </c>
      <c r="T3247" s="13">
        <f>SUMIF(N:N,Online_eCommerce[[#This Row],[Assigned Supervisor]],L:L)</f>
        <v>14373360</v>
      </c>
    </row>
    <row r="3248" spans="1:20" hidden="1" x14ac:dyDescent="0.3">
      <c r="A3248" t="s">
        <v>4887</v>
      </c>
      <c r="B3248" t="s">
        <v>144</v>
      </c>
      <c r="C3248" t="s">
        <v>91</v>
      </c>
      <c r="D3248" t="s">
        <v>4878</v>
      </c>
      <c r="E3248" t="s">
        <v>18</v>
      </c>
      <c r="F3248" t="s">
        <v>112</v>
      </c>
      <c r="G3248" t="s">
        <v>71</v>
      </c>
      <c r="H3248" t="s">
        <v>21</v>
      </c>
      <c r="I3248">
        <v>8250</v>
      </c>
      <c r="J3248">
        <v>10725</v>
      </c>
      <c r="K3248">
        <v>2</v>
      </c>
      <c r="L3248">
        <v>16500</v>
      </c>
      <c r="M3248">
        <v>21450</v>
      </c>
      <c r="N3248" t="s">
        <v>42</v>
      </c>
      <c r="O3248">
        <f t="shared" si="100"/>
        <v>9750</v>
      </c>
      <c r="P3248" s="13">
        <f t="shared" si="101"/>
        <v>2731963</v>
      </c>
      <c r="Q3248" s="13">
        <f>SUMIFS(M:M,E:E,Online_eCommerce[[#This Row],[Status]])</f>
        <v>28340455</v>
      </c>
      <c r="R3248" s="13">
        <f>SUMIFS(L:L,H:H,Online_eCommerce[[#This Row],[Brand]])</f>
        <v>12435650</v>
      </c>
      <c r="S3248" s="13">
        <f>SUMIF(H:H,Online_eCommerce[[#This Row],[Brand]],M:M)</f>
        <v>16166345</v>
      </c>
      <c r="T3248" s="13">
        <f>SUMIF(N:N,Online_eCommerce[[#This Row],[Assigned Supervisor]],L:L)</f>
        <v>12261500</v>
      </c>
    </row>
    <row r="3249" spans="1:20" hidden="1" x14ac:dyDescent="0.3">
      <c r="A3249" t="s">
        <v>4888</v>
      </c>
      <c r="B3249" t="s">
        <v>235</v>
      </c>
      <c r="C3249" t="s">
        <v>94</v>
      </c>
      <c r="D3249" t="s">
        <v>4878</v>
      </c>
      <c r="E3249" t="s">
        <v>161</v>
      </c>
      <c r="F3249" t="s">
        <v>4435</v>
      </c>
      <c r="G3249" t="s">
        <v>40</v>
      </c>
      <c r="H3249" t="s">
        <v>21</v>
      </c>
      <c r="I3249">
        <v>2650</v>
      </c>
      <c r="J3249">
        <v>3445</v>
      </c>
      <c r="K3249">
        <v>3</v>
      </c>
      <c r="L3249">
        <v>7950</v>
      </c>
      <c r="M3249">
        <v>10335</v>
      </c>
      <c r="N3249" t="s">
        <v>50</v>
      </c>
      <c r="O3249">
        <f t="shared" si="100"/>
        <v>25545</v>
      </c>
      <c r="P3249" s="13">
        <f t="shared" si="101"/>
        <v>1868256</v>
      </c>
      <c r="Q3249" s="13">
        <f>SUMIFS(M:M,E:E,Online_eCommerce[[#This Row],[Status]])</f>
        <v>21103186</v>
      </c>
      <c r="R3249" s="13">
        <f>SUMIFS(L:L,H:H,Online_eCommerce[[#This Row],[Brand]])</f>
        <v>12435650</v>
      </c>
      <c r="S3249" s="13">
        <f>SUMIF(H:H,Online_eCommerce[[#This Row],[Brand]],M:M)</f>
        <v>16166345</v>
      </c>
      <c r="T3249" s="13">
        <f>SUMIF(N:N,Online_eCommerce[[#This Row],[Assigned Supervisor]],L:L)</f>
        <v>12100590</v>
      </c>
    </row>
    <row r="3250" spans="1:20" x14ac:dyDescent="0.3">
      <c r="A3250" t="s">
        <v>4889</v>
      </c>
      <c r="B3250" t="s">
        <v>176</v>
      </c>
      <c r="C3250" t="s">
        <v>99</v>
      </c>
      <c r="D3250" t="s">
        <v>4878</v>
      </c>
      <c r="E3250" t="s">
        <v>46</v>
      </c>
      <c r="F3250" t="s">
        <v>121</v>
      </c>
      <c r="G3250" t="s">
        <v>71</v>
      </c>
      <c r="H3250" t="s">
        <v>122</v>
      </c>
      <c r="I3250">
        <v>12550</v>
      </c>
      <c r="J3250">
        <v>16315</v>
      </c>
      <c r="K3250">
        <v>1</v>
      </c>
      <c r="L3250">
        <v>12550</v>
      </c>
      <c r="M3250">
        <v>16315</v>
      </c>
      <c r="N3250" t="s">
        <v>56</v>
      </c>
      <c r="O3250">
        <f t="shared" si="100"/>
        <v>9750</v>
      </c>
      <c r="P3250" s="13">
        <f t="shared" si="101"/>
        <v>2651233</v>
      </c>
      <c r="Q3250" s="13">
        <f>SUMIFS(M:M,E:E,Online_eCommerce[[#This Row],[Status]])</f>
        <v>28620410</v>
      </c>
      <c r="R3250" s="13">
        <f>SUMIFS(L:L,H:H,Online_eCommerce[[#This Row],[Brand]])</f>
        <v>5045100</v>
      </c>
      <c r="S3250" s="13">
        <f>SUMIF(H:H,Online_eCommerce[[#This Row],[Brand]],M:M)</f>
        <v>6558630</v>
      </c>
      <c r="T3250" s="13">
        <f>SUMIF(N:N,Online_eCommerce[[#This Row],[Assigned Supervisor]],L:L)</f>
        <v>11733610</v>
      </c>
    </row>
    <row r="3251" spans="1:20" hidden="1" x14ac:dyDescent="0.3">
      <c r="A3251" t="s">
        <v>4890</v>
      </c>
      <c r="B3251" t="s">
        <v>276</v>
      </c>
      <c r="C3251" t="s">
        <v>105</v>
      </c>
      <c r="D3251" t="s">
        <v>4878</v>
      </c>
      <c r="E3251" t="s">
        <v>96</v>
      </c>
      <c r="F3251" t="s">
        <v>126</v>
      </c>
      <c r="G3251" t="s">
        <v>26</v>
      </c>
      <c r="H3251" t="s">
        <v>27</v>
      </c>
      <c r="I3251">
        <v>14500</v>
      </c>
      <c r="J3251">
        <v>18850</v>
      </c>
      <c r="K3251">
        <v>3</v>
      </c>
      <c r="L3251">
        <v>43500</v>
      </c>
      <c r="M3251">
        <v>56550</v>
      </c>
      <c r="N3251" t="s">
        <v>22</v>
      </c>
      <c r="O3251">
        <f t="shared" si="100"/>
        <v>33150</v>
      </c>
      <c r="P3251" s="13">
        <f t="shared" si="101"/>
        <v>1866852</v>
      </c>
      <c r="Q3251" s="13">
        <f>SUMIFS(M:M,E:E,Online_eCommerce[[#This Row],[Status]])</f>
        <v>21233992</v>
      </c>
      <c r="R3251" s="13">
        <f>SUMIFS(L:L,H:H,Online_eCommerce[[#This Row],[Brand]])</f>
        <v>14431000</v>
      </c>
      <c r="S3251" s="13">
        <f>SUMIF(H:H,Online_eCommerce[[#This Row],[Brand]],M:M)</f>
        <v>18760300</v>
      </c>
      <c r="T3251" s="13">
        <f>SUMIF(N:N,Online_eCommerce[[#This Row],[Assigned Supervisor]],L:L)</f>
        <v>13693220</v>
      </c>
    </row>
    <row r="3252" spans="1:20" hidden="1" x14ac:dyDescent="0.3">
      <c r="A3252" t="s">
        <v>4891</v>
      </c>
      <c r="B3252" t="s">
        <v>280</v>
      </c>
      <c r="C3252" t="s">
        <v>110</v>
      </c>
      <c r="D3252" t="s">
        <v>4878</v>
      </c>
      <c r="E3252" t="s">
        <v>18</v>
      </c>
      <c r="F3252" t="s">
        <v>129</v>
      </c>
      <c r="G3252" t="s">
        <v>60</v>
      </c>
      <c r="H3252" t="s">
        <v>61</v>
      </c>
      <c r="I3252">
        <v>800</v>
      </c>
      <c r="J3252">
        <v>1040</v>
      </c>
      <c r="K3252">
        <v>3</v>
      </c>
      <c r="L3252">
        <v>2400</v>
      </c>
      <c r="M3252">
        <v>3120</v>
      </c>
      <c r="N3252" t="s">
        <v>28</v>
      </c>
      <c r="O3252">
        <f t="shared" si="100"/>
        <v>3315</v>
      </c>
      <c r="P3252" s="13">
        <f t="shared" si="101"/>
        <v>2598635</v>
      </c>
      <c r="Q3252" s="13">
        <f>SUMIFS(M:M,E:E,Online_eCommerce[[#This Row],[Status]])</f>
        <v>28340455</v>
      </c>
      <c r="R3252" s="13">
        <f>SUMIFS(L:L,H:H,Online_eCommerce[[#This Row],[Brand]])</f>
        <v>10950150</v>
      </c>
      <c r="S3252" s="13">
        <f>SUMIF(H:H,Online_eCommerce[[#This Row],[Brand]],M:M)</f>
        <v>14235195</v>
      </c>
      <c r="T3252" s="13">
        <f>SUMIF(N:N,Online_eCommerce[[#This Row],[Assigned Supervisor]],L:L)</f>
        <v>12220830</v>
      </c>
    </row>
    <row r="3253" spans="1:20" hidden="1" x14ac:dyDescent="0.3">
      <c r="A3253" t="s">
        <v>4892</v>
      </c>
      <c r="B3253" t="s">
        <v>283</v>
      </c>
      <c r="C3253" t="s">
        <v>115</v>
      </c>
      <c r="D3253" t="s">
        <v>4878</v>
      </c>
      <c r="E3253" t="s">
        <v>161</v>
      </c>
      <c r="F3253" t="s">
        <v>133</v>
      </c>
      <c r="G3253" t="s">
        <v>66</v>
      </c>
      <c r="H3253" t="s">
        <v>21</v>
      </c>
      <c r="I3253">
        <v>600</v>
      </c>
      <c r="J3253">
        <v>780</v>
      </c>
      <c r="K3253">
        <v>3</v>
      </c>
      <c r="L3253">
        <v>1800</v>
      </c>
      <c r="M3253">
        <v>2340</v>
      </c>
      <c r="N3253" t="s">
        <v>35</v>
      </c>
      <c r="O3253">
        <f t="shared" si="100"/>
        <v>1690</v>
      </c>
      <c r="P3253" s="13">
        <f t="shared" si="101"/>
        <v>2050178</v>
      </c>
      <c r="Q3253" s="13">
        <f>SUMIFS(M:M,E:E,Online_eCommerce[[#This Row],[Status]])</f>
        <v>21103186</v>
      </c>
      <c r="R3253" s="13">
        <f>SUMIFS(L:L,H:H,Online_eCommerce[[#This Row],[Brand]])</f>
        <v>12435650</v>
      </c>
      <c r="S3253" s="13">
        <f>SUMIF(H:H,Online_eCommerce[[#This Row],[Brand]],M:M)</f>
        <v>16166345</v>
      </c>
      <c r="T3253" s="13">
        <f>SUMIF(N:N,Online_eCommerce[[#This Row],[Assigned Supervisor]],L:L)</f>
        <v>14373360</v>
      </c>
    </row>
    <row r="3254" spans="1:20" x14ac:dyDescent="0.3">
      <c r="A3254" t="s">
        <v>4893</v>
      </c>
      <c r="B3254" t="s">
        <v>287</v>
      </c>
      <c r="C3254" t="s">
        <v>120</v>
      </c>
      <c r="D3254" t="s">
        <v>4894</v>
      </c>
      <c r="E3254" t="s">
        <v>46</v>
      </c>
      <c r="F3254" t="s">
        <v>137</v>
      </c>
      <c r="G3254" t="s">
        <v>71</v>
      </c>
      <c r="H3254" t="s">
        <v>61</v>
      </c>
      <c r="I3254">
        <v>10500</v>
      </c>
      <c r="J3254">
        <v>13650</v>
      </c>
      <c r="K3254">
        <v>2</v>
      </c>
      <c r="L3254">
        <v>21000</v>
      </c>
      <c r="M3254">
        <v>27300</v>
      </c>
      <c r="N3254" t="s">
        <v>42</v>
      </c>
      <c r="O3254">
        <f t="shared" si="100"/>
        <v>9750</v>
      </c>
      <c r="P3254" s="13">
        <f t="shared" si="101"/>
        <v>2734212</v>
      </c>
      <c r="Q3254" s="13">
        <f>SUMIFS(M:M,E:E,Online_eCommerce[[#This Row],[Status]])</f>
        <v>28620410</v>
      </c>
      <c r="R3254" s="13">
        <f>SUMIFS(L:L,H:H,Online_eCommerce[[#This Row],[Brand]])</f>
        <v>10950150</v>
      </c>
      <c r="S3254" s="13">
        <f>SUMIF(H:H,Online_eCommerce[[#This Row],[Brand]],M:M)</f>
        <v>14235195</v>
      </c>
      <c r="T3254" s="13">
        <f>SUMIF(N:N,Online_eCommerce[[#This Row],[Assigned Supervisor]],L:L)</f>
        <v>12261500</v>
      </c>
    </row>
    <row r="3255" spans="1:20" hidden="1" x14ac:dyDescent="0.3">
      <c r="A3255" t="s">
        <v>4895</v>
      </c>
      <c r="B3255" t="s">
        <v>290</v>
      </c>
      <c r="C3255" t="s">
        <v>125</v>
      </c>
      <c r="D3255" t="s">
        <v>4896</v>
      </c>
      <c r="E3255" t="s">
        <v>96</v>
      </c>
      <c r="F3255" t="s">
        <v>4858</v>
      </c>
      <c r="G3255" t="s">
        <v>77</v>
      </c>
      <c r="H3255" t="s">
        <v>142</v>
      </c>
      <c r="I3255">
        <v>6500</v>
      </c>
      <c r="J3255">
        <v>8450</v>
      </c>
      <c r="K3255">
        <v>3</v>
      </c>
      <c r="L3255">
        <v>19500</v>
      </c>
      <c r="M3255">
        <v>25350</v>
      </c>
      <c r="N3255" t="s">
        <v>50</v>
      </c>
      <c r="O3255">
        <f t="shared" si="100"/>
        <v>39000</v>
      </c>
      <c r="P3255" s="13">
        <f t="shared" si="101"/>
        <v>2091154</v>
      </c>
      <c r="Q3255" s="13">
        <f>SUMIFS(M:M,E:E,Online_eCommerce[[#This Row],[Status]])</f>
        <v>21233992</v>
      </c>
      <c r="R3255" s="13">
        <f>SUMIFS(L:L,H:H,Online_eCommerce[[#This Row],[Brand]])</f>
        <v>6192500</v>
      </c>
      <c r="S3255" s="13">
        <f>SUMIF(H:H,Online_eCommerce[[#This Row],[Brand]],M:M)</f>
        <v>8050250</v>
      </c>
      <c r="T3255" s="13">
        <f>SUMIF(N:N,Online_eCommerce[[#This Row],[Assigned Supervisor]],L:L)</f>
        <v>12100590</v>
      </c>
    </row>
    <row r="3256" spans="1:20" hidden="1" x14ac:dyDescent="0.3">
      <c r="A3256" t="s">
        <v>4897</v>
      </c>
      <c r="B3256" t="s">
        <v>15</v>
      </c>
      <c r="C3256" t="s">
        <v>22</v>
      </c>
      <c r="D3256" t="s">
        <v>4898</v>
      </c>
      <c r="E3256" t="s">
        <v>18</v>
      </c>
      <c r="F3256" t="s">
        <v>4899</v>
      </c>
      <c r="G3256" t="s">
        <v>20</v>
      </c>
      <c r="H3256" t="s">
        <v>21</v>
      </c>
      <c r="I3256">
        <v>4500</v>
      </c>
      <c r="J3256">
        <v>5850</v>
      </c>
      <c r="K3256">
        <v>3</v>
      </c>
      <c r="L3256">
        <v>13500</v>
      </c>
      <c r="M3256">
        <v>17550</v>
      </c>
      <c r="N3256" t="s">
        <v>56</v>
      </c>
      <c r="O3256">
        <f t="shared" si="100"/>
        <v>8450</v>
      </c>
      <c r="P3256" s="13">
        <f t="shared" si="101"/>
        <v>2551588</v>
      </c>
      <c r="Q3256" s="13">
        <f>SUMIFS(M:M,E:E,Online_eCommerce[[#This Row],[Status]])</f>
        <v>28340455</v>
      </c>
      <c r="R3256" s="13">
        <f>SUMIFS(L:L,H:H,Online_eCommerce[[#This Row],[Brand]])</f>
        <v>12435650</v>
      </c>
      <c r="S3256" s="13">
        <f>SUMIF(H:H,Online_eCommerce[[#This Row],[Brand]],M:M)</f>
        <v>16166345</v>
      </c>
      <c r="T3256" s="13">
        <f>SUMIF(N:N,Online_eCommerce[[#This Row],[Assigned Supervisor]],L:L)</f>
        <v>11733610</v>
      </c>
    </row>
    <row r="3257" spans="1:20" hidden="1" x14ac:dyDescent="0.3">
      <c r="A3257" t="s">
        <v>4900</v>
      </c>
      <c r="B3257" t="s">
        <v>202</v>
      </c>
      <c r="C3257" t="s">
        <v>132</v>
      </c>
      <c r="D3257" t="s">
        <v>4901</v>
      </c>
      <c r="E3257" t="s">
        <v>161</v>
      </c>
      <c r="F3257" t="s">
        <v>152</v>
      </c>
      <c r="G3257" t="s">
        <v>26</v>
      </c>
      <c r="H3257" t="s">
        <v>27</v>
      </c>
      <c r="I3257">
        <v>8500</v>
      </c>
      <c r="J3257">
        <v>11050</v>
      </c>
      <c r="K3257">
        <v>3</v>
      </c>
      <c r="L3257">
        <v>25500</v>
      </c>
      <c r="M3257">
        <v>33150</v>
      </c>
      <c r="N3257" t="s">
        <v>22</v>
      </c>
      <c r="O3257">
        <f t="shared" si="100"/>
        <v>33150</v>
      </c>
      <c r="P3257" s="13">
        <f t="shared" si="101"/>
        <v>1989065</v>
      </c>
      <c r="Q3257" s="13">
        <f>SUMIFS(M:M,E:E,Online_eCommerce[[#This Row],[Status]])</f>
        <v>21103186</v>
      </c>
      <c r="R3257" s="13">
        <f>SUMIFS(L:L,H:H,Online_eCommerce[[#This Row],[Brand]])</f>
        <v>14431000</v>
      </c>
      <c r="S3257" s="13">
        <f>SUMIF(H:H,Online_eCommerce[[#This Row],[Brand]],M:M)</f>
        <v>18760300</v>
      </c>
      <c r="T3257" s="13">
        <f>SUMIF(N:N,Online_eCommerce[[#This Row],[Assigned Supervisor]],L:L)</f>
        <v>13693220</v>
      </c>
    </row>
    <row r="3258" spans="1:20" x14ac:dyDescent="0.3">
      <c r="A3258" t="s">
        <v>4902</v>
      </c>
      <c r="B3258" t="s">
        <v>30</v>
      </c>
      <c r="C3258" t="s">
        <v>136</v>
      </c>
      <c r="D3258" t="s">
        <v>4903</v>
      </c>
      <c r="E3258" t="s">
        <v>46</v>
      </c>
      <c r="F3258" t="s">
        <v>157</v>
      </c>
      <c r="G3258" t="s">
        <v>33</v>
      </c>
      <c r="H3258" t="s">
        <v>34</v>
      </c>
      <c r="I3258">
        <v>12500</v>
      </c>
      <c r="J3258">
        <v>16250</v>
      </c>
      <c r="K3258">
        <v>2</v>
      </c>
      <c r="L3258">
        <v>25000</v>
      </c>
      <c r="M3258">
        <v>32500</v>
      </c>
      <c r="N3258" t="s">
        <v>28</v>
      </c>
      <c r="O3258">
        <f t="shared" si="100"/>
        <v>18200</v>
      </c>
      <c r="P3258" s="13">
        <f t="shared" si="101"/>
        <v>2775162</v>
      </c>
      <c r="Q3258" s="13">
        <f>SUMIFS(M:M,E:E,Online_eCommerce[[#This Row],[Status]])</f>
        <v>28620410</v>
      </c>
      <c r="R3258" s="13">
        <f>SUMIFS(L:L,H:H,Online_eCommerce[[#This Row],[Brand]])</f>
        <v>10087000</v>
      </c>
      <c r="S3258" s="13">
        <f>SUMIF(H:H,Online_eCommerce[[#This Row],[Brand]],M:M)</f>
        <v>13113100</v>
      </c>
      <c r="T3258" s="13">
        <f>SUMIF(N:N,Online_eCommerce[[#This Row],[Assigned Supervisor]],L:L)</f>
        <v>12220830</v>
      </c>
    </row>
    <row r="3259" spans="1:20" hidden="1" x14ac:dyDescent="0.3">
      <c r="A3259" t="s">
        <v>4904</v>
      </c>
      <c r="B3259" t="s">
        <v>37</v>
      </c>
      <c r="C3259" t="s">
        <v>140</v>
      </c>
      <c r="D3259" t="s">
        <v>4903</v>
      </c>
      <c r="E3259" t="s">
        <v>96</v>
      </c>
      <c r="F3259" t="s">
        <v>4477</v>
      </c>
      <c r="G3259" t="s">
        <v>40</v>
      </c>
      <c r="H3259" t="s">
        <v>41</v>
      </c>
      <c r="I3259">
        <v>3500</v>
      </c>
      <c r="J3259">
        <v>4550</v>
      </c>
      <c r="K3259">
        <v>1</v>
      </c>
      <c r="L3259">
        <v>3500</v>
      </c>
      <c r="M3259">
        <v>4550</v>
      </c>
      <c r="N3259" t="s">
        <v>35</v>
      </c>
      <c r="O3259">
        <f t="shared" si="100"/>
        <v>25545</v>
      </c>
      <c r="P3259" s="13">
        <f t="shared" si="101"/>
        <v>2058264</v>
      </c>
      <c r="Q3259" s="13">
        <f>SUMIFS(M:M,E:E,Online_eCommerce[[#This Row],[Status]])</f>
        <v>21233992</v>
      </c>
      <c r="R3259" s="13">
        <f>SUMIFS(L:L,H:H,Online_eCommerce[[#This Row],[Brand]])</f>
        <v>4260400</v>
      </c>
      <c r="S3259" s="13">
        <f>SUMIF(H:H,Online_eCommerce[[#This Row],[Brand]],M:M)</f>
        <v>5538520</v>
      </c>
      <c r="T3259" s="13">
        <f>SUMIF(N:N,Online_eCommerce[[#This Row],[Assigned Supervisor]],L:L)</f>
        <v>14373360</v>
      </c>
    </row>
    <row r="3260" spans="1:20" hidden="1" x14ac:dyDescent="0.3">
      <c r="A3260" t="s">
        <v>4905</v>
      </c>
      <c r="B3260" t="s">
        <v>44</v>
      </c>
      <c r="C3260" t="s">
        <v>145</v>
      </c>
      <c r="D3260" t="s">
        <v>4903</v>
      </c>
      <c r="E3260" t="s">
        <v>18</v>
      </c>
      <c r="F3260" t="s">
        <v>166</v>
      </c>
      <c r="G3260" t="s">
        <v>334</v>
      </c>
      <c r="H3260" t="s">
        <v>49</v>
      </c>
      <c r="I3260">
        <v>4500</v>
      </c>
      <c r="J3260">
        <v>5850</v>
      </c>
      <c r="K3260">
        <v>2</v>
      </c>
      <c r="L3260">
        <v>9000</v>
      </c>
      <c r="M3260">
        <v>11700</v>
      </c>
      <c r="N3260" t="s">
        <v>42</v>
      </c>
      <c r="O3260">
        <f t="shared" si="100"/>
        <v>39780</v>
      </c>
      <c r="P3260" s="13">
        <f t="shared" si="101"/>
        <v>2757859</v>
      </c>
      <c r="Q3260" s="13">
        <f>SUMIFS(M:M,E:E,Online_eCommerce[[#This Row],[Status]])</f>
        <v>28340455</v>
      </c>
      <c r="R3260" s="13">
        <f>SUMIFS(L:L,H:H,Online_eCommerce[[#This Row],[Brand]])</f>
        <v>4528350</v>
      </c>
      <c r="S3260" s="13">
        <f>SUMIF(H:H,Online_eCommerce[[#This Row],[Brand]],M:M)</f>
        <v>5886855</v>
      </c>
      <c r="T3260" s="13">
        <f>SUMIF(N:N,Online_eCommerce[[#This Row],[Assigned Supervisor]],L:L)</f>
        <v>12261500</v>
      </c>
    </row>
    <row r="3261" spans="1:20" hidden="1" x14ac:dyDescent="0.3">
      <c r="A3261" t="s">
        <v>4906</v>
      </c>
      <c r="B3261" t="s">
        <v>213</v>
      </c>
      <c r="C3261" t="s">
        <v>150</v>
      </c>
      <c r="D3261" t="s">
        <v>4903</v>
      </c>
      <c r="E3261" t="s">
        <v>161</v>
      </c>
      <c r="F3261" t="s">
        <v>4907</v>
      </c>
      <c r="G3261" t="s">
        <v>54</v>
      </c>
      <c r="H3261" t="s">
        <v>55</v>
      </c>
      <c r="I3261">
        <v>2100</v>
      </c>
      <c r="J3261">
        <v>2730</v>
      </c>
      <c r="K3261">
        <v>1</v>
      </c>
      <c r="L3261">
        <v>2100</v>
      </c>
      <c r="M3261">
        <v>2730</v>
      </c>
      <c r="N3261" t="s">
        <v>50</v>
      </c>
      <c r="O3261">
        <f t="shared" si="100"/>
        <v>2990</v>
      </c>
      <c r="P3261" s="13">
        <f t="shared" si="101"/>
        <v>2154984</v>
      </c>
      <c r="Q3261" s="13">
        <f>SUMIFS(M:M,E:E,Online_eCommerce[[#This Row],[Status]])</f>
        <v>21103186</v>
      </c>
      <c r="R3261" s="13">
        <f>SUMIFS(L:L,H:H,Online_eCommerce[[#This Row],[Brand]])</f>
        <v>2267380</v>
      </c>
      <c r="S3261" s="13">
        <f>SUMIF(H:H,Online_eCommerce[[#This Row],[Brand]],M:M)</f>
        <v>2947594</v>
      </c>
      <c r="T3261" s="13">
        <f>SUMIF(N:N,Online_eCommerce[[#This Row],[Assigned Supervisor]],L:L)</f>
        <v>12100590</v>
      </c>
    </row>
    <row r="3262" spans="1:20" x14ac:dyDescent="0.3">
      <c r="A3262" t="s">
        <v>4908</v>
      </c>
      <c r="B3262" t="s">
        <v>215</v>
      </c>
      <c r="C3262" t="s">
        <v>155</v>
      </c>
      <c r="D3262" t="s">
        <v>4903</v>
      </c>
      <c r="E3262" t="s">
        <v>46</v>
      </c>
      <c r="F3262" t="s">
        <v>174</v>
      </c>
      <c r="G3262" t="s">
        <v>60</v>
      </c>
      <c r="H3262" t="s">
        <v>61</v>
      </c>
      <c r="I3262">
        <v>1150</v>
      </c>
      <c r="J3262">
        <v>1495</v>
      </c>
      <c r="K3262">
        <v>3</v>
      </c>
      <c r="L3262">
        <v>3450</v>
      </c>
      <c r="M3262">
        <v>4485</v>
      </c>
      <c r="N3262" t="s">
        <v>56</v>
      </c>
      <c r="O3262">
        <f t="shared" si="100"/>
        <v>3315</v>
      </c>
      <c r="P3262" s="13">
        <f t="shared" si="101"/>
        <v>2753348</v>
      </c>
      <c r="Q3262" s="13">
        <f>SUMIFS(M:M,E:E,Online_eCommerce[[#This Row],[Status]])</f>
        <v>28620410</v>
      </c>
      <c r="R3262" s="13">
        <f>SUMIFS(L:L,H:H,Online_eCommerce[[#This Row],[Brand]])</f>
        <v>10950150</v>
      </c>
      <c r="S3262" s="13">
        <f>SUMIF(H:H,Online_eCommerce[[#This Row],[Brand]],M:M)</f>
        <v>14235195</v>
      </c>
      <c r="T3262" s="13">
        <f>SUMIF(N:N,Online_eCommerce[[#This Row],[Assigned Supervisor]],L:L)</f>
        <v>11733610</v>
      </c>
    </row>
    <row r="3263" spans="1:20" hidden="1" x14ac:dyDescent="0.3">
      <c r="A3263" t="s">
        <v>4909</v>
      </c>
      <c r="B3263" t="s">
        <v>306</v>
      </c>
      <c r="C3263" t="s">
        <v>160</v>
      </c>
      <c r="D3263" t="s">
        <v>4903</v>
      </c>
      <c r="E3263" t="s">
        <v>96</v>
      </c>
      <c r="F3263" t="s">
        <v>179</v>
      </c>
      <c r="G3263" t="s">
        <v>66</v>
      </c>
      <c r="H3263" t="s">
        <v>21</v>
      </c>
      <c r="I3263">
        <v>350</v>
      </c>
      <c r="J3263">
        <v>455</v>
      </c>
      <c r="K3263">
        <v>2</v>
      </c>
      <c r="L3263">
        <v>700</v>
      </c>
      <c r="M3263">
        <v>910</v>
      </c>
      <c r="N3263" t="s">
        <v>22</v>
      </c>
      <c r="O3263">
        <f t="shared" si="100"/>
        <v>1690</v>
      </c>
      <c r="P3263" s="13">
        <f t="shared" si="101"/>
        <v>2303483</v>
      </c>
      <c r="Q3263" s="13">
        <f>SUMIFS(M:M,E:E,Online_eCommerce[[#This Row],[Status]])</f>
        <v>21233992</v>
      </c>
      <c r="R3263" s="13">
        <f>SUMIFS(L:L,H:H,Online_eCommerce[[#This Row],[Brand]])</f>
        <v>12435650</v>
      </c>
      <c r="S3263" s="13">
        <f>SUMIF(H:H,Online_eCommerce[[#This Row],[Brand]],M:M)</f>
        <v>16166345</v>
      </c>
      <c r="T3263" s="13">
        <f>SUMIF(N:N,Online_eCommerce[[#This Row],[Assigned Supervisor]],L:L)</f>
        <v>13693220</v>
      </c>
    </row>
    <row r="3264" spans="1:20" hidden="1" x14ac:dyDescent="0.3">
      <c r="A3264" t="s">
        <v>4910</v>
      </c>
      <c r="B3264" t="s">
        <v>528</v>
      </c>
      <c r="C3264" t="s">
        <v>165</v>
      </c>
      <c r="D3264" t="s">
        <v>4903</v>
      </c>
      <c r="E3264" t="s">
        <v>18</v>
      </c>
      <c r="F3264" t="s">
        <v>183</v>
      </c>
      <c r="G3264" t="s">
        <v>71</v>
      </c>
      <c r="H3264" t="s">
        <v>61</v>
      </c>
      <c r="I3264">
        <v>9500</v>
      </c>
      <c r="J3264">
        <v>12350</v>
      </c>
      <c r="K3264">
        <v>4</v>
      </c>
      <c r="L3264">
        <v>38000</v>
      </c>
      <c r="M3264">
        <v>49400</v>
      </c>
      <c r="N3264" t="s">
        <v>28</v>
      </c>
      <c r="O3264">
        <f t="shared" si="100"/>
        <v>9750</v>
      </c>
      <c r="P3264" s="13">
        <f t="shared" si="101"/>
        <v>2674087</v>
      </c>
      <c r="Q3264" s="13">
        <f>SUMIFS(M:M,E:E,Online_eCommerce[[#This Row],[Status]])</f>
        <v>28340455</v>
      </c>
      <c r="R3264" s="13">
        <f>SUMIFS(L:L,H:H,Online_eCommerce[[#This Row],[Brand]])</f>
        <v>10950150</v>
      </c>
      <c r="S3264" s="13">
        <f>SUMIF(H:H,Online_eCommerce[[#This Row],[Brand]],M:M)</f>
        <v>14235195</v>
      </c>
      <c r="T3264" s="13">
        <f>SUMIF(N:N,Online_eCommerce[[#This Row],[Assigned Supervisor]],L:L)</f>
        <v>12220830</v>
      </c>
    </row>
    <row r="3265" spans="1:20" hidden="1" x14ac:dyDescent="0.3">
      <c r="A3265" t="s">
        <v>4911</v>
      </c>
      <c r="B3265" t="s">
        <v>73</v>
      </c>
      <c r="C3265" t="s">
        <v>168</v>
      </c>
      <c r="D3265" t="s">
        <v>4903</v>
      </c>
      <c r="E3265" t="s">
        <v>161</v>
      </c>
      <c r="F3265" t="s">
        <v>4912</v>
      </c>
      <c r="G3265" t="s">
        <v>77</v>
      </c>
      <c r="H3265" t="s">
        <v>142</v>
      </c>
      <c r="I3265">
        <v>10000</v>
      </c>
      <c r="J3265">
        <v>13000</v>
      </c>
      <c r="K3265">
        <v>4</v>
      </c>
      <c r="L3265">
        <v>40000</v>
      </c>
      <c r="M3265">
        <v>52000</v>
      </c>
      <c r="N3265" t="s">
        <v>35</v>
      </c>
      <c r="O3265">
        <f t="shared" si="100"/>
        <v>39000</v>
      </c>
      <c r="P3265" s="13">
        <f t="shared" si="101"/>
        <v>1937780</v>
      </c>
      <c r="Q3265" s="13">
        <f>SUMIFS(M:M,E:E,Online_eCommerce[[#This Row],[Status]])</f>
        <v>21103186</v>
      </c>
      <c r="R3265" s="13">
        <f>SUMIFS(L:L,H:H,Online_eCommerce[[#This Row],[Brand]])</f>
        <v>6192500</v>
      </c>
      <c r="S3265" s="13">
        <f>SUMIF(H:H,Online_eCommerce[[#This Row],[Brand]],M:M)</f>
        <v>8050250</v>
      </c>
      <c r="T3265" s="13">
        <f>SUMIF(N:N,Online_eCommerce[[#This Row],[Assigned Supervisor]],L:L)</f>
        <v>14373360</v>
      </c>
    </row>
    <row r="3266" spans="1:20" x14ac:dyDescent="0.3">
      <c r="A3266" t="s">
        <v>4913</v>
      </c>
      <c r="B3266" t="s">
        <v>80</v>
      </c>
      <c r="C3266" t="s">
        <v>172</v>
      </c>
      <c r="D3266" t="s">
        <v>4903</v>
      </c>
      <c r="E3266" t="s">
        <v>46</v>
      </c>
      <c r="F3266" t="s">
        <v>4914</v>
      </c>
      <c r="G3266" t="s">
        <v>20</v>
      </c>
      <c r="H3266" t="s">
        <v>21</v>
      </c>
      <c r="I3266">
        <v>6500</v>
      </c>
      <c r="J3266">
        <v>8450</v>
      </c>
      <c r="K3266">
        <v>1</v>
      </c>
      <c r="L3266">
        <v>6500</v>
      </c>
      <c r="M3266">
        <v>8450</v>
      </c>
      <c r="N3266" t="s">
        <v>42</v>
      </c>
      <c r="O3266">
        <f t="shared" ref="O3266:O3329" si="102">VLOOKUP(G3266,G:M,7,FALSE)</f>
        <v>8450</v>
      </c>
      <c r="P3266" s="13">
        <f t="shared" ref="P3266:P3329" si="103">SUMIFS(M:M,C:C,C3266)</f>
        <v>2640274</v>
      </c>
      <c r="Q3266" s="13">
        <f>SUMIFS(M:M,E:E,Online_eCommerce[[#This Row],[Status]])</f>
        <v>28620410</v>
      </c>
      <c r="R3266" s="13">
        <f>SUMIFS(L:L,H:H,Online_eCommerce[[#This Row],[Brand]])</f>
        <v>12435650</v>
      </c>
      <c r="S3266" s="13">
        <f>SUMIF(H:H,Online_eCommerce[[#This Row],[Brand]],M:M)</f>
        <v>16166345</v>
      </c>
      <c r="T3266" s="13">
        <f>SUMIF(N:N,Online_eCommerce[[#This Row],[Assigned Supervisor]],L:L)</f>
        <v>12261500</v>
      </c>
    </row>
    <row r="3267" spans="1:20" hidden="1" x14ac:dyDescent="0.3">
      <c r="A3267" t="s">
        <v>4915</v>
      </c>
      <c r="B3267" t="s">
        <v>85</v>
      </c>
      <c r="C3267" t="s">
        <v>177</v>
      </c>
      <c r="D3267" t="s">
        <v>4903</v>
      </c>
      <c r="E3267" t="s">
        <v>96</v>
      </c>
      <c r="F3267" t="s">
        <v>4916</v>
      </c>
      <c r="G3267" t="s">
        <v>26</v>
      </c>
      <c r="H3267" t="s">
        <v>27</v>
      </c>
      <c r="I3267">
        <v>8500</v>
      </c>
      <c r="J3267">
        <v>11050</v>
      </c>
      <c r="K3267">
        <v>4</v>
      </c>
      <c r="L3267">
        <v>34000</v>
      </c>
      <c r="M3267">
        <v>44200</v>
      </c>
      <c r="N3267" t="s">
        <v>50</v>
      </c>
      <c r="O3267">
        <f t="shared" si="102"/>
        <v>33150</v>
      </c>
      <c r="P3267" s="13">
        <f t="shared" si="103"/>
        <v>1863810</v>
      </c>
      <c r="Q3267" s="13">
        <f>SUMIFS(M:M,E:E,Online_eCommerce[[#This Row],[Status]])</f>
        <v>21233992</v>
      </c>
      <c r="R3267" s="13">
        <f>SUMIFS(L:L,H:H,Online_eCommerce[[#This Row],[Brand]])</f>
        <v>14431000</v>
      </c>
      <c r="S3267" s="13">
        <f>SUMIF(H:H,Online_eCommerce[[#This Row],[Brand]],M:M)</f>
        <v>18760300</v>
      </c>
      <c r="T3267" s="13">
        <f>SUMIF(N:N,Online_eCommerce[[#This Row],[Assigned Supervisor]],L:L)</f>
        <v>12100590</v>
      </c>
    </row>
    <row r="3268" spans="1:20" hidden="1" x14ac:dyDescent="0.3">
      <c r="A3268" t="s">
        <v>4917</v>
      </c>
      <c r="B3268" t="s">
        <v>90</v>
      </c>
      <c r="C3268" t="s">
        <v>181</v>
      </c>
      <c r="D3268" t="s">
        <v>4903</v>
      </c>
      <c r="E3268" t="s">
        <v>18</v>
      </c>
      <c r="F3268" t="s">
        <v>32</v>
      </c>
      <c r="G3268" t="s">
        <v>33</v>
      </c>
      <c r="H3268" t="s">
        <v>34</v>
      </c>
      <c r="I3268">
        <v>7000</v>
      </c>
      <c r="J3268">
        <v>9100</v>
      </c>
      <c r="K3268">
        <v>1</v>
      </c>
      <c r="L3268">
        <v>7000</v>
      </c>
      <c r="M3268">
        <v>9100</v>
      </c>
      <c r="N3268" t="s">
        <v>56</v>
      </c>
      <c r="O3268">
        <f t="shared" si="102"/>
        <v>18200</v>
      </c>
      <c r="P3268" s="13">
        <f t="shared" si="103"/>
        <v>2577458</v>
      </c>
      <c r="Q3268" s="13">
        <f>SUMIFS(M:M,E:E,Online_eCommerce[[#This Row],[Status]])</f>
        <v>28340455</v>
      </c>
      <c r="R3268" s="13">
        <f>SUMIFS(L:L,H:H,Online_eCommerce[[#This Row],[Brand]])</f>
        <v>10087000</v>
      </c>
      <c r="S3268" s="13">
        <f>SUMIF(H:H,Online_eCommerce[[#This Row],[Brand]],M:M)</f>
        <v>13113100</v>
      </c>
      <c r="T3268" s="13">
        <f>SUMIF(N:N,Online_eCommerce[[#This Row],[Assigned Supervisor]],L:L)</f>
        <v>11733610</v>
      </c>
    </row>
    <row r="3269" spans="1:20" hidden="1" x14ac:dyDescent="0.3">
      <c r="A3269" t="s">
        <v>4918</v>
      </c>
      <c r="B3269" t="s">
        <v>232</v>
      </c>
      <c r="C3269" t="s">
        <v>185</v>
      </c>
      <c r="D3269" t="s">
        <v>4903</v>
      </c>
      <c r="E3269" t="s">
        <v>161</v>
      </c>
      <c r="F3269" t="s">
        <v>4919</v>
      </c>
      <c r="G3269" t="s">
        <v>40</v>
      </c>
      <c r="H3269" t="s">
        <v>41</v>
      </c>
      <c r="I3269">
        <v>6550</v>
      </c>
      <c r="J3269">
        <v>8515</v>
      </c>
      <c r="K3269">
        <v>4</v>
      </c>
      <c r="L3269">
        <v>26200</v>
      </c>
      <c r="M3269">
        <v>34060</v>
      </c>
      <c r="N3269" t="s">
        <v>22</v>
      </c>
      <c r="O3269">
        <f t="shared" si="102"/>
        <v>25545</v>
      </c>
      <c r="P3269" s="13">
        <f t="shared" si="103"/>
        <v>2091596</v>
      </c>
      <c r="Q3269" s="13">
        <f>SUMIFS(M:M,E:E,Online_eCommerce[[#This Row],[Status]])</f>
        <v>21103186</v>
      </c>
      <c r="R3269" s="13">
        <f>SUMIFS(L:L,H:H,Online_eCommerce[[#This Row],[Brand]])</f>
        <v>4260400</v>
      </c>
      <c r="S3269" s="13">
        <f>SUMIF(H:H,Online_eCommerce[[#This Row],[Brand]],M:M)</f>
        <v>5538520</v>
      </c>
      <c r="T3269" s="13">
        <f>SUMIF(N:N,Online_eCommerce[[#This Row],[Assigned Supervisor]],L:L)</f>
        <v>13693220</v>
      </c>
    </row>
    <row r="3270" spans="1:20" x14ac:dyDescent="0.3">
      <c r="A3270" t="s">
        <v>4920</v>
      </c>
      <c r="B3270" t="s">
        <v>235</v>
      </c>
      <c r="C3270" t="s">
        <v>189</v>
      </c>
      <c r="D3270" t="s">
        <v>4903</v>
      </c>
      <c r="E3270" t="s">
        <v>46</v>
      </c>
      <c r="F3270" t="s">
        <v>47</v>
      </c>
      <c r="G3270" t="s">
        <v>334</v>
      </c>
      <c r="H3270" t="s">
        <v>49</v>
      </c>
      <c r="I3270">
        <v>7650</v>
      </c>
      <c r="J3270">
        <v>9945</v>
      </c>
      <c r="K3270">
        <v>4</v>
      </c>
      <c r="L3270">
        <v>30600</v>
      </c>
      <c r="M3270">
        <v>39780</v>
      </c>
      <c r="N3270" t="s">
        <v>28</v>
      </c>
      <c r="O3270">
        <f t="shared" si="102"/>
        <v>39780</v>
      </c>
      <c r="P3270" s="13">
        <f t="shared" si="103"/>
        <v>2740777</v>
      </c>
      <c r="Q3270" s="13">
        <f>SUMIFS(M:M,E:E,Online_eCommerce[[#This Row],[Status]])</f>
        <v>28620410</v>
      </c>
      <c r="R3270" s="13">
        <f>SUMIFS(L:L,H:H,Online_eCommerce[[#This Row],[Brand]])</f>
        <v>4528350</v>
      </c>
      <c r="S3270" s="13">
        <f>SUMIF(H:H,Online_eCommerce[[#This Row],[Brand]],M:M)</f>
        <v>5886855</v>
      </c>
      <c r="T3270" s="13">
        <f>SUMIF(N:N,Online_eCommerce[[#This Row],[Assigned Supervisor]],L:L)</f>
        <v>12220830</v>
      </c>
    </row>
    <row r="3271" spans="1:20" hidden="1" x14ac:dyDescent="0.3">
      <c r="A3271" t="s">
        <v>4921</v>
      </c>
      <c r="B3271" t="s">
        <v>104</v>
      </c>
      <c r="C3271" t="s">
        <v>193</v>
      </c>
      <c r="D3271" t="s">
        <v>4903</v>
      </c>
      <c r="E3271" t="s">
        <v>96</v>
      </c>
      <c r="F3271" t="s">
        <v>53</v>
      </c>
      <c r="G3271" t="s">
        <v>54</v>
      </c>
      <c r="H3271" t="s">
        <v>55</v>
      </c>
      <c r="I3271">
        <v>1150</v>
      </c>
      <c r="J3271">
        <v>1495</v>
      </c>
      <c r="K3271">
        <v>1</v>
      </c>
      <c r="L3271">
        <v>1150</v>
      </c>
      <c r="M3271">
        <v>1495</v>
      </c>
      <c r="N3271" t="s">
        <v>35</v>
      </c>
      <c r="O3271">
        <f t="shared" si="102"/>
        <v>2990</v>
      </c>
      <c r="P3271" s="13">
        <f t="shared" si="103"/>
        <v>2074774</v>
      </c>
      <c r="Q3271" s="13">
        <f>SUMIFS(M:M,E:E,Online_eCommerce[[#This Row],[Status]])</f>
        <v>21233992</v>
      </c>
      <c r="R3271" s="13">
        <f>SUMIFS(L:L,H:H,Online_eCommerce[[#This Row],[Brand]])</f>
        <v>2267380</v>
      </c>
      <c r="S3271" s="13">
        <f>SUMIF(H:H,Online_eCommerce[[#This Row],[Brand]],M:M)</f>
        <v>2947594</v>
      </c>
      <c r="T3271" s="13">
        <f>SUMIF(N:N,Online_eCommerce[[#This Row],[Assigned Supervisor]],L:L)</f>
        <v>14373360</v>
      </c>
    </row>
    <row r="3272" spans="1:20" hidden="1" x14ac:dyDescent="0.3">
      <c r="A3272" t="s">
        <v>4922</v>
      </c>
      <c r="B3272" t="s">
        <v>109</v>
      </c>
      <c r="C3272" t="s">
        <v>197</v>
      </c>
      <c r="D3272" t="s">
        <v>4903</v>
      </c>
      <c r="E3272" t="s">
        <v>18</v>
      </c>
      <c r="F3272" t="s">
        <v>59</v>
      </c>
      <c r="G3272" t="s">
        <v>60</v>
      </c>
      <c r="H3272" t="s">
        <v>61</v>
      </c>
      <c r="I3272">
        <v>850</v>
      </c>
      <c r="J3272">
        <v>1105</v>
      </c>
      <c r="K3272">
        <v>1</v>
      </c>
      <c r="L3272">
        <v>850</v>
      </c>
      <c r="M3272">
        <v>1105</v>
      </c>
      <c r="N3272" t="s">
        <v>42</v>
      </c>
      <c r="O3272">
        <f t="shared" si="102"/>
        <v>3315</v>
      </c>
      <c r="P3272" s="13">
        <f t="shared" si="103"/>
        <v>2829840</v>
      </c>
      <c r="Q3272" s="13">
        <f>SUMIFS(M:M,E:E,Online_eCommerce[[#This Row],[Status]])</f>
        <v>28340455</v>
      </c>
      <c r="R3272" s="13">
        <f>SUMIFS(L:L,H:H,Online_eCommerce[[#This Row],[Brand]])</f>
        <v>10950150</v>
      </c>
      <c r="S3272" s="13">
        <f>SUMIF(H:H,Online_eCommerce[[#This Row],[Brand]],M:M)</f>
        <v>14235195</v>
      </c>
      <c r="T3272" s="13">
        <f>SUMIF(N:N,Online_eCommerce[[#This Row],[Assigned Supervisor]],L:L)</f>
        <v>12261500</v>
      </c>
    </row>
    <row r="3273" spans="1:20" hidden="1" x14ac:dyDescent="0.3">
      <c r="A3273" t="s">
        <v>4923</v>
      </c>
      <c r="B3273" t="s">
        <v>114</v>
      </c>
      <c r="C3273" t="s">
        <v>199</v>
      </c>
      <c r="D3273" t="s">
        <v>4903</v>
      </c>
      <c r="E3273" t="s">
        <v>161</v>
      </c>
      <c r="F3273" t="s">
        <v>65</v>
      </c>
      <c r="G3273" t="s">
        <v>66</v>
      </c>
      <c r="H3273" t="s">
        <v>21</v>
      </c>
      <c r="I3273">
        <v>650</v>
      </c>
      <c r="J3273">
        <v>845</v>
      </c>
      <c r="K3273">
        <v>4</v>
      </c>
      <c r="L3273">
        <v>2600</v>
      </c>
      <c r="M3273">
        <v>3380</v>
      </c>
      <c r="N3273" t="s">
        <v>50</v>
      </c>
      <c r="O3273">
        <f t="shared" si="102"/>
        <v>1690</v>
      </c>
      <c r="P3273" s="13">
        <f t="shared" si="103"/>
        <v>1947361</v>
      </c>
      <c r="Q3273" s="13">
        <f>SUMIFS(M:M,E:E,Online_eCommerce[[#This Row],[Status]])</f>
        <v>21103186</v>
      </c>
      <c r="R3273" s="13">
        <f>SUMIFS(L:L,H:H,Online_eCommerce[[#This Row],[Brand]])</f>
        <v>12435650</v>
      </c>
      <c r="S3273" s="13">
        <f>SUMIF(H:H,Online_eCommerce[[#This Row],[Brand]],M:M)</f>
        <v>16166345</v>
      </c>
      <c r="T3273" s="13">
        <f>SUMIF(N:N,Online_eCommerce[[#This Row],[Assigned Supervisor]],L:L)</f>
        <v>12100590</v>
      </c>
    </row>
    <row r="3274" spans="1:20" x14ac:dyDescent="0.3">
      <c r="A3274" t="s">
        <v>4924</v>
      </c>
      <c r="B3274" t="s">
        <v>119</v>
      </c>
      <c r="C3274" t="s">
        <v>203</v>
      </c>
      <c r="D3274" t="s">
        <v>4903</v>
      </c>
      <c r="E3274" t="s">
        <v>46</v>
      </c>
      <c r="F3274" t="s">
        <v>70</v>
      </c>
      <c r="G3274" t="s">
        <v>71</v>
      </c>
      <c r="H3274" t="s">
        <v>61</v>
      </c>
      <c r="I3274">
        <v>7500</v>
      </c>
      <c r="J3274">
        <v>9750</v>
      </c>
      <c r="K3274">
        <v>2</v>
      </c>
      <c r="L3274">
        <v>15000</v>
      </c>
      <c r="M3274">
        <v>19500</v>
      </c>
      <c r="N3274" t="s">
        <v>56</v>
      </c>
      <c r="O3274">
        <f t="shared" si="102"/>
        <v>9750</v>
      </c>
      <c r="P3274" s="13">
        <f t="shared" si="103"/>
        <v>2559635</v>
      </c>
      <c r="Q3274" s="13">
        <f>SUMIFS(M:M,E:E,Online_eCommerce[[#This Row],[Status]])</f>
        <v>28620410</v>
      </c>
      <c r="R3274" s="13">
        <f>SUMIFS(L:L,H:H,Online_eCommerce[[#This Row],[Brand]])</f>
        <v>10950150</v>
      </c>
      <c r="S3274" s="13">
        <f>SUMIF(H:H,Online_eCommerce[[#This Row],[Brand]],M:M)</f>
        <v>14235195</v>
      </c>
      <c r="T3274" s="13">
        <f>SUMIF(N:N,Online_eCommerce[[#This Row],[Assigned Supervisor]],L:L)</f>
        <v>11733610</v>
      </c>
    </row>
    <row r="3275" spans="1:20" hidden="1" x14ac:dyDescent="0.3">
      <c r="A3275" t="s">
        <v>4925</v>
      </c>
      <c r="B3275" t="s">
        <v>124</v>
      </c>
      <c r="C3275" t="s">
        <v>205</v>
      </c>
      <c r="D3275" t="s">
        <v>4903</v>
      </c>
      <c r="E3275" t="s">
        <v>96</v>
      </c>
      <c r="F3275" t="s">
        <v>4912</v>
      </c>
      <c r="G3275" t="s">
        <v>77</v>
      </c>
      <c r="H3275" t="s">
        <v>78</v>
      </c>
      <c r="I3275">
        <v>10000</v>
      </c>
      <c r="J3275">
        <v>13000</v>
      </c>
      <c r="K3275">
        <v>3</v>
      </c>
      <c r="L3275">
        <v>30000</v>
      </c>
      <c r="M3275">
        <v>39000</v>
      </c>
      <c r="N3275" t="s">
        <v>22</v>
      </c>
      <c r="O3275">
        <f t="shared" si="102"/>
        <v>39000</v>
      </c>
      <c r="P3275" s="13">
        <f t="shared" si="103"/>
        <v>1983254</v>
      </c>
      <c r="Q3275" s="13">
        <f>SUMIFS(M:M,E:E,Online_eCommerce[[#This Row],[Status]])</f>
        <v>21233992</v>
      </c>
      <c r="R3275" s="13">
        <f>SUMIFS(L:L,H:H,Online_eCommerce[[#This Row],[Brand]])</f>
        <v>3720000</v>
      </c>
      <c r="S3275" s="13">
        <f>SUMIF(H:H,Online_eCommerce[[#This Row],[Brand]],M:M)</f>
        <v>4836000</v>
      </c>
      <c r="T3275" s="13">
        <f>SUMIF(N:N,Online_eCommerce[[#This Row],[Assigned Supervisor]],L:L)</f>
        <v>13693220</v>
      </c>
    </row>
    <row r="3276" spans="1:20" hidden="1" x14ac:dyDescent="0.3">
      <c r="A3276" t="s">
        <v>4926</v>
      </c>
      <c r="B3276" t="s">
        <v>128</v>
      </c>
      <c r="C3276" t="s">
        <v>208</v>
      </c>
      <c r="D3276" t="s">
        <v>4903</v>
      </c>
      <c r="E3276" t="s">
        <v>18</v>
      </c>
      <c r="F3276" t="s">
        <v>4927</v>
      </c>
      <c r="G3276" t="s">
        <v>20</v>
      </c>
      <c r="H3276" t="s">
        <v>21</v>
      </c>
      <c r="I3276">
        <v>10500</v>
      </c>
      <c r="J3276">
        <v>13650</v>
      </c>
      <c r="K3276">
        <v>2</v>
      </c>
      <c r="L3276">
        <v>21000</v>
      </c>
      <c r="M3276">
        <v>27300</v>
      </c>
      <c r="N3276" t="s">
        <v>28</v>
      </c>
      <c r="O3276">
        <f t="shared" si="102"/>
        <v>8450</v>
      </c>
      <c r="P3276" s="13">
        <f t="shared" si="103"/>
        <v>2746575</v>
      </c>
      <c r="Q3276" s="13">
        <f>SUMIFS(M:M,E:E,Online_eCommerce[[#This Row],[Status]])</f>
        <v>28340455</v>
      </c>
      <c r="R3276" s="13">
        <f>SUMIFS(L:L,H:H,Online_eCommerce[[#This Row],[Brand]])</f>
        <v>12435650</v>
      </c>
      <c r="S3276" s="13">
        <f>SUMIF(H:H,Online_eCommerce[[#This Row],[Brand]],M:M)</f>
        <v>16166345</v>
      </c>
      <c r="T3276" s="13">
        <f>SUMIF(N:N,Online_eCommerce[[#This Row],[Assigned Supervisor]],L:L)</f>
        <v>12220830</v>
      </c>
    </row>
    <row r="3277" spans="1:20" hidden="1" x14ac:dyDescent="0.3">
      <c r="A3277" t="s">
        <v>4928</v>
      </c>
      <c r="B3277" t="s">
        <v>131</v>
      </c>
      <c r="C3277" t="s">
        <v>211</v>
      </c>
      <c r="D3277" t="s">
        <v>4903</v>
      </c>
      <c r="E3277" t="s">
        <v>161</v>
      </c>
      <c r="F3277" t="s">
        <v>88</v>
      </c>
      <c r="G3277" t="s">
        <v>26</v>
      </c>
      <c r="H3277" t="s">
        <v>27</v>
      </c>
      <c r="I3277">
        <v>8500</v>
      </c>
      <c r="J3277">
        <v>11050</v>
      </c>
      <c r="K3277">
        <v>1</v>
      </c>
      <c r="L3277">
        <v>8500</v>
      </c>
      <c r="M3277">
        <v>11050</v>
      </c>
      <c r="N3277" t="s">
        <v>35</v>
      </c>
      <c r="O3277">
        <f t="shared" si="102"/>
        <v>33150</v>
      </c>
      <c r="P3277" s="13">
        <f t="shared" si="103"/>
        <v>1809847</v>
      </c>
      <c r="Q3277" s="13">
        <f>SUMIFS(M:M,E:E,Online_eCommerce[[#This Row],[Status]])</f>
        <v>21103186</v>
      </c>
      <c r="R3277" s="13">
        <f>SUMIFS(L:L,H:H,Online_eCommerce[[#This Row],[Brand]])</f>
        <v>14431000</v>
      </c>
      <c r="S3277" s="13">
        <f>SUMIF(H:H,Online_eCommerce[[#This Row],[Brand]],M:M)</f>
        <v>18760300</v>
      </c>
      <c r="T3277" s="13">
        <f>SUMIF(N:N,Online_eCommerce[[#This Row],[Assigned Supervisor]],L:L)</f>
        <v>14373360</v>
      </c>
    </row>
    <row r="3278" spans="1:20" x14ac:dyDescent="0.3">
      <c r="A3278" t="s">
        <v>4929</v>
      </c>
      <c r="B3278" t="s">
        <v>135</v>
      </c>
      <c r="C3278" t="s">
        <v>16</v>
      </c>
      <c r="D3278" t="s">
        <v>4930</v>
      </c>
      <c r="E3278" t="s">
        <v>46</v>
      </c>
      <c r="F3278" t="s">
        <v>32</v>
      </c>
      <c r="G3278" t="s">
        <v>33</v>
      </c>
      <c r="H3278" t="s">
        <v>34</v>
      </c>
      <c r="I3278">
        <v>7000</v>
      </c>
      <c r="J3278">
        <v>9100</v>
      </c>
      <c r="K3278">
        <v>2</v>
      </c>
      <c r="L3278">
        <v>14000</v>
      </c>
      <c r="M3278">
        <v>18200</v>
      </c>
      <c r="N3278" t="s">
        <v>42</v>
      </c>
      <c r="O3278">
        <f t="shared" si="102"/>
        <v>18200</v>
      </c>
      <c r="P3278" s="13">
        <f t="shared" si="103"/>
        <v>2751814</v>
      </c>
      <c r="Q3278" s="13">
        <f>SUMIFS(M:M,E:E,Online_eCommerce[[#This Row],[Status]])</f>
        <v>28620410</v>
      </c>
      <c r="R3278" s="13">
        <f>SUMIFS(L:L,H:H,Online_eCommerce[[#This Row],[Brand]])</f>
        <v>10087000</v>
      </c>
      <c r="S3278" s="13">
        <f>SUMIF(H:H,Online_eCommerce[[#This Row],[Brand]],M:M)</f>
        <v>13113100</v>
      </c>
      <c r="T3278" s="13">
        <f>SUMIF(N:N,Online_eCommerce[[#This Row],[Assigned Supervisor]],L:L)</f>
        <v>12261500</v>
      </c>
    </row>
    <row r="3279" spans="1:20" hidden="1" x14ac:dyDescent="0.3">
      <c r="A3279" t="s">
        <v>4931</v>
      </c>
      <c r="B3279" t="s">
        <v>139</v>
      </c>
      <c r="C3279" t="s">
        <v>24</v>
      </c>
      <c r="D3279" t="s">
        <v>4932</v>
      </c>
      <c r="E3279" t="s">
        <v>96</v>
      </c>
      <c r="F3279" t="s">
        <v>4933</v>
      </c>
      <c r="G3279" t="s">
        <v>40</v>
      </c>
      <c r="H3279" t="s">
        <v>41</v>
      </c>
      <c r="I3279">
        <v>1680</v>
      </c>
      <c r="J3279">
        <v>2184</v>
      </c>
      <c r="K3279">
        <v>4</v>
      </c>
      <c r="L3279">
        <v>6720</v>
      </c>
      <c r="M3279">
        <v>8736</v>
      </c>
      <c r="N3279" t="s">
        <v>50</v>
      </c>
      <c r="O3279">
        <f t="shared" si="102"/>
        <v>25545</v>
      </c>
      <c r="P3279" s="13">
        <f t="shared" si="103"/>
        <v>2009540</v>
      </c>
      <c r="Q3279" s="13">
        <f>SUMIFS(M:M,E:E,Online_eCommerce[[#This Row],[Status]])</f>
        <v>21233992</v>
      </c>
      <c r="R3279" s="13">
        <f>SUMIFS(L:L,H:H,Online_eCommerce[[#This Row],[Brand]])</f>
        <v>4260400</v>
      </c>
      <c r="S3279" s="13">
        <f>SUMIF(H:H,Online_eCommerce[[#This Row],[Brand]],M:M)</f>
        <v>5538520</v>
      </c>
      <c r="T3279" s="13">
        <f>SUMIF(N:N,Online_eCommerce[[#This Row],[Assigned Supervisor]],L:L)</f>
        <v>12100590</v>
      </c>
    </row>
    <row r="3280" spans="1:20" hidden="1" x14ac:dyDescent="0.3">
      <c r="A3280" t="s">
        <v>4934</v>
      </c>
      <c r="B3280" t="s">
        <v>144</v>
      </c>
      <c r="C3280" t="s">
        <v>31</v>
      </c>
      <c r="D3280" t="s">
        <v>4935</v>
      </c>
      <c r="E3280" t="s">
        <v>18</v>
      </c>
      <c r="F3280" t="s">
        <v>101</v>
      </c>
      <c r="G3280" t="s">
        <v>334</v>
      </c>
      <c r="H3280" t="s">
        <v>102</v>
      </c>
      <c r="I3280">
        <v>6540</v>
      </c>
      <c r="J3280">
        <v>8502</v>
      </c>
      <c r="K3280">
        <v>4</v>
      </c>
      <c r="L3280">
        <v>26160</v>
      </c>
      <c r="M3280">
        <v>34008</v>
      </c>
      <c r="N3280" t="s">
        <v>56</v>
      </c>
      <c r="O3280">
        <f t="shared" si="102"/>
        <v>39780</v>
      </c>
      <c r="P3280" s="13">
        <f t="shared" si="103"/>
        <v>2865746</v>
      </c>
      <c r="Q3280" s="13">
        <f>SUMIFS(M:M,E:E,Online_eCommerce[[#This Row],[Status]])</f>
        <v>28340455</v>
      </c>
      <c r="R3280" s="13">
        <f>SUMIFS(L:L,H:H,Online_eCommerce[[#This Row],[Brand]])</f>
        <v>2465580</v>
      </c>
      <c r="S3280" s="13">
        <f>SUMIF(H:H,Online_eCommerce[[#This Row],[Brand]],M:M)</f>
        <v>3205254</v>
      </c>
      <c r="T3280" s="13">
        <f>SUMIF(N:N,Online_eCommerce[[#This Row],[Assigned Supervisor]],L:L)</f>
        <v>11733610</v>
      </c>
    </row>
    <row r="3281" spans="1:20" hidden="1" x14ac:dyDescent="0.3">
      <c r="A3281" t="s">
        <v>4936</v>
      </c>
      <c r="B3281" t="s">
        <v>149</v>
      </c>
      <c r="C3281" t="s">
        <v>38</v>
      </c>
      <c r="D3281" t="s">
        <v>4937</v>
      </c>
      <c r="E3281" t="s">
        <v>161</v>
      </c>
      <c r="F3281" t="s">
        <v>107</v>
      </c>
      <c r="G3281" t="s">
        <v>54</v>
      </c>
      <c r="H3281" t="s">
        <v>55</v>
      </c>
      <c r="I3281">
        <v>2680</v>
      </c>
      <c r="J3281">
        <v>3484</v>
      </c>
      <c r="K3281">
        <v>4</v>
      </c>
      <c r="L3281">
        <v>10720</v>
      </c>
      <c r="M3281">
        <v>13936</v>
      </c>
      <c r="N3281" t="s">
        <v>22</v>
      </c>
      <c r="O3281">
        <f t="shared" si="102"/>
        <v>2990</v>
      </c>
      <c r="P3281" s="13">
        <f t="shared" si="103"/>
        <v>1933997</v>
      </c>
      <c r="Q3281" s="13">
        <f>SUMIFS(M:M,E:E,Online_eCommerce[[#This Row],[Status]])</f>
        <v>21103186</v>
      </c>
      <c r="R3281" s="13">
        <f>SUMIFS(L:L,H:H,Online_eCommerce[[#This Row],[Brand]])</f>
        <v>2267380</v>
      </c>
      <c r="S3281" s="13">
        <f>SUMIF(H:H,Online_eCommerce[[#This Row],[Brand]],M:M)</f>
        <v>2947594</v>
      </c>
      <c r="T3281" s="13">
        <f>SUMIF(N:N,Online_eCommerce[[#This Row],[Assigned Supervisor]],L:L)</f>
        <v>13693220</v>
      </c>
    </row>
    <row r="3282" spans="1:20" x14ac:dyDescent="0.3">
      <c r="A3282" t="s">
        <v>4938</v>
      </c>
      <c r="B3282" t="s">
        <v>154</v>
      </c>
      <c r="C3282" t="s">
        <v>45</v>
      </c>
      <c r="D3282" t="s">
        <v>4939</v>
      </c>
      <c r="E3282" t="s">
        <v>46</v>
      </c>
      <c r="F3282" t="s">
        <v>112</v>
      </c>
      <c r="G3282" t="s">
        <v>71</v>
      </c>
      <c r="H3282" t="s">
        <v>21</v>
      </c>
      <c r="I3282">
        <v>8250</v>
      </c>
      <c r="J3282">
        <v>10725</v>
      </c>
      <c r="K3282">
        <v>2</v>
      </c>
      <c r="L3282">
        <v>16500</v>
      </c>
      <c r="M3282">
        <v>21450</v>
      </c>
      <c r="N3282" t="s">
        <v>28</v>
      </c>
      <c r="O3282">
        <f t="shared" si="102"/>
        <v>9750</v>
      </c>
      <c r="P3282" s="13">
        <f t="shared" si="103"/>
        <v>2842554</v>
      </c>
      <c r="Q3282" s="13">
        <f>SUMIFS(M:M,E:E,Online_eCommerce[[#This Row],[Status]])</f>
        <v>28620410</v>
      </c>
      <c r="R3282" s="13">
        <f>SUMIFS(L:L,H:H,Online_eCommerce[[#This Row],[Brand]])</f>
        <v>12435650</v>
      </c>
      <c r="S3282" s="13">
        <f>SUMIF(H:H,Online_eCommerce[[#This Row],[Brand]],M:M)</f>
        <v>16166345</v>
      </c>
      <c r="T3282" s="13">
        <f>SUMIF(N:N,Online_eCommerce[[#This Row],[Assigned Supervisor]],L:L)</f>
        <v>12220830</v>
      </c>
    </row>
    <row r="3283" spans="1:20" hidden="1" x14ac:dyDescent="0.3">
      <c r="A3283" t="s">
        <v>4940</v>
      </c>
      <c r="B3283" t="s">
        <v>159</v>
      </c>
      <c r="C3283" t="s">
        <v>52</v>
      </c>
      <c r="D3283" t="s">
        <v>4939</v>
      </c>
      <c r="E3283" t="s">
        <v>96</v>
      </c>
      <c r="F3283" t="s">
        <v>4477</v>
      </c>
      <c r="G3283" t="s">
        <v>40</v>
      </c>
      <c r="H3283" t="s">
        <v>21</v>
      </c>
      <c r="I3283">
        <v>2650</v>
      </c>
      <c r="J3283">
        <v>3445</v>
      </c>
      <c r="K3283">
        <v>3</v>
      </c>
      <c r="L3283">
        <v>7950</v>
      </c>
      <c r="M3283">
        <v>10335</v>
      </c>
      <c r="N3283" t="s">
        <v>35</v>
      </c>
      <c r="O3283">
        <f t="shared" si="102"/>
        <v>25545</v>
      </c>
      <c r="P3283" s="13">
        <f t="shared" si="103"/>
        <v>1955044</v>
      </c>
      <c r="Q3283" s="13">
        <f>SUMIFS(M:M,E:E,Online_eCommerce[[#This Row],[Status]])</f>
        <v>21233992</v>
      </c>
      <c r="R3283" s="13">
        <f>SUMIFS(L:L,H:H,Online_eCommerce[[#This Row],[Brand]])</f>
        <v>12435650</v>
      </c>
      <c r="S3283" s="13">
        <f>SUMIF(H:H,Online_eCommerce[[#This Row],[Brand]],M:M)</f>
        <v>16166345</v>
      </c>
      <c r="T3283" s="13">
        <f>SUMIF(N:N,Online_eCommerce[[#This Row],[Assigned Supervisor]],L:L)</f>
        <v>14373360</v>
      </c>
    </row>
    <row r="3284" spans="1:20" hidden="1" x14ac:dyDescent="0.3">
      <c r="A3284" t="s">
        <v>4941</v>
      </c>
      <c r="B3284" t="s">
        <v>139</v>
      </c>
      <c r="C3284" t="s">
        <v>58</v>
      </c>
      <c r="D3284" t="s">
        <v>4939</v>
      </c>
      <c r="E3284" t="s">
        <v>18</v>
      </c>
      <c r="F3284" t="s">
        <v>121</v>
      </c>
      <c r="G3284" t="s">
        <v>71</v>
      </c>
      <c r="H3284" t="s">
        <v>122</v>
      </c>
      <c r="I3284">
        <v>12550</v>
      </c>
      <c r="J3284">
        <v>16315</v>
      </c>
      <c r="K3284">
        <v>1</v>
      </c>
      <c r="L3284">
        <v>12550</v>
      </c>
      <c r="M3284">
        <v>16315</v>
      </c>
      <c r="N3284" t="s">
        <v>42</v>
      </c>
      <c r="O3284">
        <f t="shared" si="102"/>
        <v>9750</v>
      </c>
      <c r="P3284" s="13">
        <f t="shared" si="103"/>
        <v>2629211</v>
      </c>
      <c r="Q3284" s="13">
        <f>SUMIFS(M:M,E:E,Online_eCommerce[[#This Row],[Status]])</f>
        <v>28340455</v>
      </c>
      <c r="R3284" s="13">
        <f>SUMIFS(L:L,H:H,Online_eCommerce[[#This Row],[Brand]])</f>
        <v>5045100</v>
      </c>
      <c r="S3284" s="13">
        <f>SUMIF(H:H,Online_eCommerce[[#This Row],[Brand]],M:M)</f>
        <v>6558630</v>
      </c>
      <c r="T3284" s="13">
        <f>SUMIF(N:N,Online_eCommerce[[#This Row],[Assigned Supervisor]],L:L)</f>
        <v>12261500</v>
      </c>
    </row>
    <row r="3285" spans="1:20" hidden="1" x14ac:dyDescent="0.3">
      <c r="A3285" t="s">
        <v>4942</v>
      </c>
      <c r="B3285" t="s">
        <v>144</v>
      </c>
      <c r="C3285" t="s">
        <v>63</v>
      </c>
      <c r="D3285" t="s">
        <v>4939</v>
      </c>
      <c r="E3285" t="s">
        <v>161</v>
      </c>
      <c r="F3285" t="s">
        <v>126</v>
      </c>
      <c r="G3285" t="s">
        <v>26</v>
      </c>
      <c r="H3285" t="s">
        <v>27</v>
      </c>
      <c r="I3285">
        <v>14500</v>
      </c>
      <c r="J3285">
        <v>18850</v>
      </c>
      <c r="K3285">
        <v>3</v>
      </c>
      <c r="L3285">
        <v>43500</v>
      </c>
      <c r="M3285">
        <v>56550</v>
      </c>
      <c r="N3285" t="s">
        <v>50</v>
      </c>
      <c r="O3285">
        <f t="shared" si="102"/>
        <v>33150</v>
      </c>
      <c r="P3285" s="13">
        <f t="shared" si="103"/>
        <v>2016131</v>
      </c>
      <c r="Q3285" s="13">
        <f>SUMIFS(M:M,E:E,Online_eCommerce[[#This Row],[Status]])</f>
        <v>21103186</v>
      </c>
      <c r="R3285" s="13">
        <f>SUMIFS(L:L,H:H,Online_eCommerce[[#This Row],[Brand]])</f>
        <v>14431000</v>
      </c>
      <c r="S3285" s="13">
        <f>SUMIF(H:H,Online_eCommerce[[#This Row],[Brand]],M:M)</f>
        <v>18760300</v>
      </c>
      <c r="T3285" s="13">
        <f>SUMIF(N:N,Online_eCommerce[[#This Row],[Assigned Supervisor]],L:L)</f>
        <v>12100590</v>
      </c>
    </row>
    <row r="3286" spans="1:20" x14ac:dyDescent="0.3">
      <c r="A3286" t="s">
        <v>4943</v>
      </c>
      <c r="B3286" t="s">
        <v>235</v>
      </c>
      <c r="C3286" t="s">
        <v>68</v>
      </c>
      <c r="D3286" t="s">
        <v>4939</v>
      </c>
      <c r="E3286" t="s">
        <v>46</v>
      </c>
      <c r="F3286" t="s">
        <v>129</v>
      </c>
      <c r="G3286" t="s">
        <v>60</v>
      </c>
      <c r="H3286" t="s">
        <v>61</v>
      </c>
      <c r="I3286">
        <v>800</v>
      </c>
      <c r="J3286">
        <v>1040</v>
      </c>
      <c r="K3286">
        <v>2</v>
      </c>
      <c r="L3286">
        <v>1600</v>
      </c>
      <c r="M3286">
        <v>2080</v>
      </c>
      <c r="N3286" t="s">
        <v>56</v>
      </c>
      <c r="O3286">
        <f t="shared" si="102"/>
        <v>3315</v>
      </c>
      <c r="P3286" s="13">
        <f t="shared" si="103"/>
        <v>2974621</v>
      </c>
      <c r="Q3286" s="13">
        <f>SUMIFS(M:M,E:E,Online_eCommerce[[#This Row],[Status]])</f>
        <v>28620410</v>
      </c>
      <c r="R3286" s="13">
        <f>SUMIFS(L:L,H:H,Online_eCommerce[[#This Row],[Brand]])</f>
        <v>10950150</v>
      </c>
      <c r="S3286" s="13">
        <f>SUMIF(H:H,Online_eCommerce[[#This Row],[Brand]],M:M)</f>
        <v>14235195</v>
      </c>
      <c r="T3286" s="13">
        <f>SUMIF(N:N,Online_eCommerce[[#This Row],[Assigned Supervisor]],L:L)</f>
        <v>11733610</v>
      </c>
    </row>
    <row r="3287" spans="1:20" hidden="1" x14ac:dyDescent="0.3">
      <c r="A3287" t="s">
        <v>4944</v>
      </c>
      <c r="B3287" t="s">
        <v>176</v>
      </c>
      <c r="C3287" t="s">
        <v>74</v>
      </c>
      <c r="D3287" t="s">
        <v>4939</v>
      </c>
      <c r="E3287" t="s">
        <v>96</v>
      </c>
      <c r="F3287" t="s">
        <v>133</v>
      </c>
      <c r="G3287" t="s">
        <v>66</v>
      </c>
      <c r="H3287" t="s">
        <v>21</v>
      </c>
      <c r="I3287">
        <v>600</v>
      </c>
      <c r="J3287">
        <v>780</v>
      </c>
      <c r="K3287">
        <v>4</v>
      </c>
      <c r="L3287">
        <v>2400</v>
      </c>
      <c r="M3287">
        <v>3120</v>
      </c>
      <c r="N3287" t="s">
        <v>22</v>
      </c>
      <c r="O3287">
        <f t="shared" si="102"/>
        <v>1690</v>
      </c>
      <c r="P3287" s="13">
        <f t="shared" si="103"/>
        <v>2144701</v>
      </c>
      <c r="Q3287" s="13">
        <f>SUMIFS(M:M,E:E,Online_eCommerce[[#This Row],[Status]])</f>
        <v>21233992</v>
      </c>
      <c r="R3287" s="13">
        <f>SUMIFS(L:L,H:H,Online_eCommerce[[#This Row],[Brand]])</f>
        <v>12435650</v>
      </c>
      <c r="S3287" s="13">
        <f>SUMIF(H:H,Online_eCommerce[[#This Row],[Brand]],M:M)</f>
        <v>16166345</v>
      </c>
      <c r="T3287" s="13">
        <f>SUMIF(N:N,Online_eCommerce[[#This Row],[Assigned Supervisor]],L:L)</f>
        <v>13693220</v>
      </c>
    </row>
    <row r="3288" spans="1:20" hidden="1" x14ac:dyDescent="0.3">
      <c r="A3288" t="s">
        <v>4945</v>
      </c>
      <c r="B3288" t="s">
        <v>276</v>
      </c>
      <c r="C3288" t="s">
        <v>81</v>
      </c>
      <c r="D3288" t="s">
        <v>4939</v>
      </c>
      <c r="E3288" t="s">
        <v>18</v>
      </c>
      <c r="F3288" t="s">
        <v>137</v>
      </c>
      <c r="G3288" t="s">
        <v>71</v>
      </c>
      <c r="H3288" t="s">
        <v>61</v>
      </c>
      <c r="I3288">
        <v>10500</v>
      </c>
      <c r="J3288">
        <v>13650</v>
      </c>
      <c r="K3288">
        <v>4</v>
      </c>
      <c r="L3288">
        <v>42000</v>
      </c>
      <c r="M3288">
        <v>54600</v>
      </c>
      <c r="N3288" t="s">
        <v>28</v>
      </c>
      <c r="O3288">
        <f t="shared" si="102"/>
        <v>9750</v>
      </c>
      <c r="P3288" s="13">
        <f t="shared" si="103"/>
        <v>2595632</v>
      </c>
      <c r="Q3288" s="13">
        <f>SUMIFS(M:M,E:E,Online_eCommerce[[#This Row],[Status]])</f>
        <v>28340455</v>
      </c>
      <c r="R3288" s="13">
        <f>SUMIFS(L:L,H:H,Online_eCommerce[[#This Row],[Brand]])</f>
        <v>10950150</v>
      </c>
      <c r="S3288" s="13">
        <f>SUMIF(H:H,Online_eCommerce[[#This Row],[Brand]],M:M)</f>
        <v>14235195</v>
      </c>
      <c r="T3288" s="13">
        <f>SUMIF(N:N,Online_eCommerce[[#This Row],[Assigned Supervisor]],L:L)</f>
        <v>12220830</v>
      </c>
    </row>
    <row r="3289" spans="1:20" hidden="1" x14ac:dyDescent="0.3">
      <c r="A3289" t="s">
        <v>4946</v>
      </c>
      <c r="B3289" t="s">
        <v>280</v>
      </c>
      <c r="C3289" t="s">
        <v>86</v>
      </c>
      <c r="D3289" t="s">
        <v>4939</v>
      </c>
      <c r="E3289" t="s">
        <v>161</v>
      </c>
      <c r="F3289" t="s">
        <v>4912</v>
      </c>
      <c r="G3289" t="s">
        <v>77</v>
      </c>
      <c r="H3289" t="s">
        <v>142</v>
      </c>
      <c r="I3289">
        <v>6500</v>
      </c>
      <c r="J3289">
        <v>8450</v>
      </c>
      <c r="K3289">
        <v>1</v>
      </c>
      <c r="L3289">
        <v>6500</v>
      </c>
      <c r="M3289">
        <v>8450</v>
      </c>
      <c r="N3289" t="s">
        <v>35</v>
      </c>
      <c r="O3289">
        <f t="shared" si="102"/>
        <v>39000</v>
      </c>
      <c r="P3289" s="13">
        <f t="shared" si="103"/>
        <v>1941225</v>
      </c>
      <c r="Q3289" s="13">
        <f>SUMIFS(M:M,E:E,Online_eCommerce[[#This Row],[Status]])</f>
        <v>21103186</v>
      </c>
      <c r="R3289" s="13">
        <f>SUMIFS(L:L,H:H,Online_eCommerce[[#This Row],[Brand]])</f>
        <v>6192500</v>
      </c>
      <c r="S3289" s="13">
        <f>SUMIF(H:H,Online_eCommerce[[#This Row],[Brand]],M:M)</f>
        <v>8050250</v>
      </c>
      <c r="T3289" s="13">
        <f>SUMIF(N:N,Online_eCommerce[[#This Row],[Assigned Supervisor]],L:L)</f>
        <v>14373360</v>
      </c>
    </row>
    <row r="3290" spans="1:20" x14ac:dyDescent="0.3">
      <c r="A3290" t="s">
        <v>4947</v>
      </c>
      <c r="B3290" t="s">
        <v>283</v>
      </c>
      <c r="C3290" t="s">
        <v>91</v>
      </c>
      <c r="D3290" t="s">
        <v>4939</v>
      </c>
      <c r="E3290" t="s">
        <v>46</v>
      </c>
      <c r="F3290" t="s">
        <v>4948</v>
      </c>
      <c r="G3290" t="s">
        <v>20</v>
      </c>
      <c r="H3290" t="s">
        <v>21</v>
      </c>
      <c r="I3290">
        <v>4500</v>
      </c>
      <c r="J3290">
        <v>5850</v>
      </c>
      <c r="K3290">
        <v>3</v>
      </c>
      <c r="L3290">
        <v>13500</v>
      </c>
      <c r="M3290">
        <v>17550</v>
      </c>
      <c r="N3290" t="s">
        <v>42</v>
      </c>
      <c r="O3290">
        <f t="shared" si="102"/>
        <v>8450</v>
      </c>
      <c r="P3290" s="13">
        <f t="shared" si="103"/>
        <v>2731963</v>
      </c>
      <c r="Q3290" s="13">
        <f>SUMIFS(M:M,E:E,Online_eCommerce[[#This Row],[Status]])</f>
        <v>28620410</v>
      </c>
      <c r="R3290" s="13">
        <f>SUMIFS(L:L,H:H,Online_eCommerce[[#This Row],[Brand]])</f>
        <v>12435650</v>
      </c>
      <c r="S3290" s="13">
        <f>SUMIF(H:H,Online_eCommerce[[#This Row],[Brand]],M:M)</f>
        <v>16166345</v>
      </c>
      <c r="T3290" s="13">
        <f>SUMIF(N:N,Online_eCommerce[[#This Row],[Assigned Supervisor]],L:L)</f>
        <v>12261500</v>
      </c>
    </row>
    <row r="3291" spans="1:20" hidden="1" x14ac:dyDescent="0.3">
      <c r="A3291" t="s">
        <v>4949</v>
      </c>
      <c r="B3291" t="s">
        <v>287</v>
      </c>
      <c r="C3291" t="s">
        <v>94</v>
      </c>
      <c r="D3291" t="s">
        <v>4939</v>
      </c>
      <c r="E3291" t="s">
        <v>96</v>
      </c>
      <c r="F3291" t="s">
        <v>152</v>
      </c>
      <c r="G3291" t="s">
        <v>26</v>
      </c>
      <c r="H3291" t="s">
        <v>27</v>
      </c>
      <c r="I3291">
        <v>8500</v>
      </c>
      <c r="J3291">
        <v>11050</v>
      </c>
      <c r="K3291">
        <v>1</v>
      </c>
      <c r="L3291">
        <v>8500</v>
      </c>
      <c r="M3291">
        <v>11050</v>
      </c>
      <c r="N3291" t="s">
        <v>50</v>
      </c>
      <c r="O3291">
        <f t="shared" si="102"/>
        <v>33150</v>
      </c>
      <c r="P3291" s="13">
        <f t="shared" si="103"/>
        <v>1868256</v>
      </c>
      <c r="Q3291" s="13">
        <f>SUMIFS(M:M,E:E,Online_eCommerce[[#This Row],[Status]])</f>
        <v>21233992</v>
      </c>
      <c r="R3291" s="13">
        <f>SUMIFS(L:L,H:H,Online_eCommerce[[#This Row],[Brand]])</f>
        <v>14431000</v>
      </c>
      <c r="S3291" s="13">
        <f>SUMIF(H:H,Online_eCommerce[[#This Row],[Brand]],M:M)</f>
        <v>18760300</v>
      </c>
      <c r="T3291" s="13">
        <f>SUMIF(N:N,Online_eCommerce[[#This Row],[Assigned Supervisor]],L:L)</f>
        <v>12100590</v>
      </c>
    </row>
    <row r="3292" spans="1:20" hidden="1" x14ac:dyDescent="0.3">
      <c r="A3292" t="s">
        <v>4950</v>
      </c>
      <c r="B3292" t="s">
        <v>290</v>
      </c>
      <c r="C3292" t="s">
        <v>99</v>
      </c>
      <c r="D3292" t="s">
        <v>4939</v>
      </c>
      <c r="E3292" t="s">
        <v>18</v>
      </c>
      <c r="F3292" t="s">
        <v>157</v>
      </c>
      <c r="G3292" t="s">
        <v>33</v>
      </c>
      <c r="H3292" t="s">
        <v>34</v>
      </c>
      <c r="I3292">
        <v>12500</v>
      </c>
      <c r="J3292">
        <v>16250</v>
      </c>
      <c r="K3292">
        <v>3</v>
      </c>
      <c r="L3292">
        <v>37500</v>
      </c>
      <c r="M3292">
        <v>48750</v>
      </c>
      <c r="N3292" t="s">
        <v>56</v>
      </c>
      <c r="O3292">
        <f t="shared" si="102"/>
        <v>18200</v>
      </c>
      <c r="P3292" s="13">
        <f t="shared" si="103"/>
        <v>2651233</v>
      </c>
      <c r="Q3292" s="13">
        <f>SUMIFS(M:M,E:E,Online_eCommerce[[#This Row],[Status]])</f>
        <v>28340455</v>
      </c>
      <c r="R3292" s="13">
        <f>SUMIFS(L:L,H:H,Online_eCommerce[[#This Row],[Brand]])</f>
        <v>10087000</v>
      </c>
      <c r="S3292" s="13">
        <f>SUMIF(H:H,Online_eCommerce[[#This Row],[Brand]],M:M)</f>
        <v>13113100</v>
      </c>
      <c r="T3292" s="13">
        <f>SUMIF(N:N,Online_eCommerce[[#This Row],[Assigned Supervisor]],L:L)</f>
        <v>11733610</v>
      </c>
    </row>
    <row r="3293" spans="1:20" hidden="1" x14ac:dyDescent="0.3">
      <c r="A3293" t="s">
        <v>4951</v>
      </c>
      <c r="B3293" t="s">
        <v>15</v>
      </c>
      <c r="C3293" t="s">
        <v>105</v>
      </c>
      <c r="D3293" t="s">
        <v>4939</v>
      </c>
      <c r="E3293" t="s">
        <v>161</v>
      </c>
      <c r="F3293" t="s">
        <v>4519</v>
      </c>
      <c r="G3293" t="s">
        <v>163</v>
      </c>
      <c r="H3293" t="s">
        <v>41</v>
      </c>
      <c r="I3293">
        <v>3500</v>
      </c>
      <c r="J3293">
        <v>4550</v>
      </c>
      <c r="K3293">
        <v>1</v>
      </c>
      <c r="L3293">
        <v>3500</v>
      </c>
      <c r="M3293">
        <v>4550</v>
      </c>
      <c r="N3293" t="s">
        <v>22</v>
      </c>
      <c r="O3293">
        <f t="shared" si="102"/>
        <v>13650</v>
      </c>
      <c r="P3293" s="13">
        <f t="shared" si="103"/>
        <v>1866852</v>
      </c>
      <c r="Q3293" s="13">
        <f>SUMIFS(M:M,E:E,Online_eCommerce[[#This Row],[Status]])</f>
        <v>21103186</v>
      </c>
      <c r="R3293" s="13">
        <f>SUMIFS(L:L,H:H,Online_eCommerce[[#This Row],[Brand]])</f>
        <v>4260400</v>
      </c>
      <c r="S3293" s="13">
        <f>SUMIF(H:H,Online_eCommerce[[#This Row],[Brand]],M:M)</f>
        <v>5538520</v>
      </c>
      <c r="T3293" s="13">
        <f>SUMIF(N:N,Online_eCommerce[[#This Row],[Assigned Supervisor]],L:L)</f>
        <v>13693220</v>
      </c>
    </row>
    <row r="3294" spans="1:20" x14ac:dyDescent="0.3">
      <c r="A3294" t="s">
        <v>4952</v>
      </c>
      <c r="B3294" t="s">
        <v>202</v>
      </c>
      <c r="C3294" t="s">
        <v>110</v>
      </c>
      <c r="D3294" t="s">
        <v>4939</v>
      </c>
      <c r="E3294" t="s">
        <v>46</v>
      </c>
      <c r="F3294" t="s">
        <v>166</v>
      </c>
      <c r="G3294" t="s">
        <v>66</v>
      </c>
      <c r="H3294" t="s">
        <v>49</v>
      </c>
      <c r="I3294">
        <v>4500</v>
      </c>
      <c r="J3294">
        <v>5850</v>
      </c>
      <c r="K3294">
        <v>2</v>
      </c>
      <c r="L3294">
        <v>9000</v>
      </c>
      <c r="M3294">
        <v>11700</v>
      </c>
      <c r="N3294" t="s">
        <v>28</v>
      </c>
      <c r="O3294">
        <f t="shared" si="102"/>
        <v>1690</v>
      </c>
      <c r="P3294" s="13">
        <f t="shared" si="103"/>
        <v>2598635</v>
      </c>
      <c r="Q3294" s="13">
        <f>SUMIFS(M:M,E:E,Online_eCommerce[[#This Row],[Status]])</f>
        <v>28620410</v>
      </c>
      <c r="R3294" s="13">
        <f>SUMIFS(L:L,H:H,Online_eCommerce[[#This Row],[Brand]])</f>
        <v>4528350</v>
      </c>
      <c r="S3294" s="13">
        <f>SUMIF(H:H,Online_eCommerce[[#This Row],[Brand]],M:M)</f>
        <v>5886855</v>
      </c>
      <c r="T3294" s="13">
        <f>SUMIF(N:N,Online_eCommerce[[#This Row],[Assigned Supervisor]],L:L)</f>
        <v>12220830</v>
      </c>
    </row>
    <row r="3295" spans="1:20" hidden="1" x14ac:dyDescent="0.3">
      <c r="A3295" t="s">
        <v>4953</v>
      </c>
      <c r="B3295" t="s">
        <v>30</v>
      </c>
      <c r="C3295" t="s">
        <v>115</v>
      </c>
      <c r="D3295" t="s">
        <v>4939</v>
      </c>
      <c r="E3295" t="s">
        <v>96</v>
      </c>
      <c r="F3295" t="s">
        <v>4954</v>
      </c>
      <c r="G3295" t="s">
        <v>54</v>
      </c>
      <c r="H3295" t="s">
        <v>55</v>
      </c>
      <c r="I3295">
        <v>2100</v>
      </c>
      <c r="J3295">
        <v>2730</v>
      </c>
      <c r="K3295">
        <v>4</v>
      </c>
      <c r="L3295">
        <v>8400</v>
      </c>
      <c r="M3295">
        <v>10920</v>
      </c>
      <c r="N3295" t="s">
        <v>35</v>
      </c>
      <c r="O3295">
        <f t="shared" si="102"/>
        <v>2990</v>
      </c>
      <c r="P3295" s="13">
        <f t="shared" si="103"/>
        <v>2050178</v>
      </c>
      <c r="Q3295" s="13">
        <f>SUMIFS(M:M,E:E,Online_eCommerce[[#This Row],[Status]])</f>
        <v>21233992</v>
      </c>
      <c r="R3295" s="13">
        <f>SUMIFS(L:L,H:H,Online_eCommerce[[#This Row],[Brand]])</f>
        <v>2267380</v>
      </c>
      <c r="S3295" s="13">
        <f>SUMIF(H:H,Online_eCommerce[[#This Row],[Brand]],M:M)</f>
        <v>2947594</v>
      </c>
      <c r="T3295" s="13">
        <f>SUMIF(N:N,Online_eCommerce[[#This Row],[Assigned Supervisor]],L:L)</f>
        <v>14373360</v>
      </c>
    </row>
    <row r="3296" spans="1:20" hidden="1" x14ac:dyDescent="0.3">
      <c r="A3296" t="s">
        <v>4955</v>
      </c>
      <c r="B3296" t="s">
        <v>37</v>
      </c>
      <c r="C3296" t="s">
        <v>120</v>
      </c>
      <c r="D3296" t="s">
        <v>4939</v>
      </c>
      <c r="E3296" t="s">
        <v>18</v>
      </c>
      <c r="F3296" t="s">
        <v>174</v>
      </c>
      <c r="G3296" t="s">
        <v>60</v>
      </c>
      <c r="H3296" t="s">
        <v>61</v>
      </c>
      <c r="I3296">
        <v>1150</v>
      </c>
      <c r="J3296">
        <v>1495</v>
      </c>
      <c r="K3296">
        <v>3</v>
      </c>
      <c r="L3296">
        <v>3450</v>
      </c>
      <c r="M3296">
        <v>4485</v>
      </c>
      <c r="N3296" t="s">
        <v>42</v>
      </c>
      <c r="O3296">
        <f t="shared" si="102"/>
        <v>3315</v>
      </c>
      <c r="P3296" s="13">
        <f t="shared" si="103"/>
        <v>2734212</v>
      </c>
      <c r="Q3296" s="13">
        <f>SUMIFS(M:M,E:E,Online_eCommerce[[#This Row],[Status]])</f>
        <v>28340455</v>
      </c>
      <c r="R3296" s="13">
        <f>SUMIFS(L:L,H:H,Online_eCommerce[[#This Row],[Brand]])</f>
        <v>10950150</v>
      </c>
      <c r="S3296" s="13">
        <f>SUMIF(H:H,Online_eCommerce[[#This Row],[Brand]],M:M)</f>
        <v>14235195</v>
      </c>
      <c r="T3296" s="13">
        <f>SUMIF(N:N,Online_eCommerce[[#This Row],[Assigned Supervisor]],L:L)</f>
        <v>12261500</v>
      </c>
    </row>
    <row r="3297" spans="1:20" hidden="1" x14ac:dyDescent="0.3">
      <c r="A3297" t="s">
        <v>4956</v>
      </c>
      <c r="B3297" t="s">
        <v>44</v>
      </c>
      <c r="C3297" t="s">
        <v>125</v>
      </c>
      <c r="D3297" t="s">
        <v>4939</v>
      </c>
      <c r="E3297" t="s">
        <v>161</v>
      </c>
      <c r="F3297" t="s">
        <v>179</v>
      </c>
      <c r="G3297" t="s">
        <v>66</v>
      </c>
      <c r="H3297" t="s">
        <v>21</v>
      </c>
      <c r="I3297">
        <v>350</v>
      </c>
      <c r="J3297">
        <v>455</v>
      </c>
      <c r="K3297">
        <v>4</v>
      </c>
      <c r="L3297">
        <v>1400</v>
      </c>
      <c r="M3297">
        <v>1820</v>
      </c>
      <c r="N3297" t="s">
        <v>50</v>
      </c>
      <c r="O3297">
        <f t="shared" si="102"/>
        <v>1690</v>
      </c>
      <c r="P3297" s="13">
        <f t="shared" si="103"/>
        <v>2091154</v>
      </c>
      <c r="Q3297" s="13">
        <f>SUMIFS(M:M,E:E,Online_eCommerce[[#This Row],[Status]])</f>
        <v>21103186</v>
      </c>
      <c r="R3297" s="13">
        <f>SUMIFS(L:L,H:H,Online_eCommerce[[#This Row],[Brand]])</f>
        <v>12435650</v>
      </c>
      <c r="S3297" s="13">
        <f>SUMIF(H:H,Online_eCommerce[[#This Row],[Brand]],M:M)</f>
        <v>16166345</v>
      </c>
      <c r="T3297" s="13">
        <f>SUMIF(N:N,Online_eCommerce[[#This Row],[Assigned Supervisor]],L:L)</f>
        <v>12100590</v>
      </c>
    </row>
    <row r="3298" spans="1:20" x14ac:dyDescent="0.3">
      <c r="A3298" t="s">
        <v>4957</v>
      </c>
      <c r="B3298" t="s">
        <v>213</v>
      </c>
      <c r="C3298" t="s">
        <v>22</v>
      </c>
      <c r="D3298" t="s">
        <v>4939</v>
      </c>
      <c r="E3298" t="s">
        <v>46</v>
      </c>
      <c r="F3298" t="s">
        <v>183</v>
      </c>
      <c r="G3298" t="s">
        <v>71</v>
      </c>
      <c r="H3298" t="s">
        <v>61</v>
      </c>
      <c r="I3298">
        <v>9500</v>
      </c>
      <c r="J3298">
        <v>12350</v>
      </c>
      <c r="K3298">
        <v>1</v>
      </c>
      <c r="L3298">
        <v>9500</v>
      </c>
      <c r="M3298">
        <v>12350</v>
      </c>
      <c r="N3298" t="s">
        <v>56</v>
      </c>
      <c r="O3298">
        <f t="shared" si="102"/>
        <v>9750</v>
      </c>
      <c r="P3298" s="13">
        <f t="shared" si="103"/>
        <v>2551588</v>
      </c>
      <c r="Q3298" s="13">
        <f>SUMIFS(M:M,E:E,Online_eCommerce[[#This Row],[Status]])</f>
        <v>28620410</v>
      </c>
      <c r="R3298" s="13">
        <f>SUMIFS(L:L,H:H,Online_eCommerce[[#This Row],[Brand]])</f>
        <v>10950150</v>
      </c>
      <c r="S3298" s="13">
        <f>SUMIF(H:H,Online_eCommerce[[#This Row],[Brand]],M:M)</f>
        <v>14235195</v>
      </c>
      <c r="T3298" s="13">
        <f>SUMIF(N:N,Online_eCommerce[[#This Row],[Assigned Supervisor]],L:L)</f>
        <v>11733610</v>
      </c>
    </row>
    <row r="3299" spans="1:20" hidden="1" x14ac:dyDescent="0.3">
      <c r="A3299" t="s">
        <v>4958</v>
      </c>
      <c r="B3299" t="s">
        <v>215</v>
      </c>
      <c r="C3299" t="s">
        <v>132</v>
      </c>
      <c r="D3299" t="s">
        <v>4939</v>
      </c>
      <c r="E3299" t="s">
        <v>96</v>
      </c>
      <c r="F3299" t="s">
        <v>4959</v>
      </c>
      <c r="G3299" t="s">
        <v>77</v>
      </c>
      <c r="H3299" t="s">
        <v>142</v>
      </c>
      <c r="I3299">
        <v>10000</v>
      </c>
      <c r="J3299">
        <v>13000</v>
      </c>
      <c r="K3299">
        <v>4</v>
      </c>
      <c r="L3299">
        <v>40000</v>
      </c>
      <c r="M3299">
        <v>52000</v>
      </c>
      <c r="N3299" t="s">
        <v>22</v>
      </c>
      <c r="O3299">
        <f t="shared" si="102"/>
        <v>39000</v>
      </c>
      <c r="P3299" s="13">
        <f t="shared" si="103"/>
        <v>1989065</v>
      </c>
      <c r="Q3299" s="13">
        <f>SUMIFS(M:M,E:E,Online_eCommerce[[#This Row],[Status]])</f>
        <v>21233992</v>
      </c>
      <c r="R3299" s="13">
        <f>SUMIFS(L:L,H:H,Online_eCommerce[[#This Row],[Brand]])</f>
        <v>6192500</v>
      </c>
      <c r="S3299" s="13">
        <f>SUMIF(H:H,Online_eCommerce[[#This Row],[Brand]],M:M)</f>
        <v>8050250</v>
      </c>
      <c r="T3299" s="13">
        <f>SUMIF(N:N,Online_eCommerce[[#This Row],[Assigned Supervisor]],L:L)</f>
        <v>13693220</v>
      </c>
    </row>
    <row r="3300" spans="1:20" hidden="1" x14ac:dyDescent="0.3">
      <c r="A3300" t="s">
        <v>4960</v>
      </c>
      <c r="B3300" t="s">
        <v>306</v>
      </c>
      <c r="C3300" t="s">
        <v>136</v>
      </c>
      <c r="D3300" t="s">
        <v>4939</v>
      </c>
      <c r="E3300" t="s">
        <v>18</v>
      </c>
      <c r="F3300" t="s">
        <v>4961</v>
      </c>
      <c r="G3300" t="s">
        <v>20</v>
      </c>
      <c r="H3300" t="s">
        <v>21</v>
      </c>
      <c r="I3300">
        <v>6500</v>
      </c>
      <c r="J3300">
        <v>8450</v>
      </c>
      <c r="K3300">
        <v>1</v>
      </c>
      <c r="L3300">
        <v>6500</v>
      </c>
      <c r="M3300">
        <v>8450</v>
      </c>
      <c r="N3300" t="s">
        <v>28</v>
      </c>
      <c r="O3300">
        <f t="shared" si="102"/>
        <v>8450</v>
      </c>
      <c r="P3300" s="13">
        <f t="shared" si="103"/>
        <v>2775162</v>
      </c>
      <c r="Q3300" s="13">
        <f>SUMIFS(M:M,E:E,Online_eCommerce[[#This Row],[Status]])</f>
        <v>28340455</v>
      </c>
      <c r="R3300" s="13">
        <f>SUMIFS(L:L,H:H,Online_eCommerce[[#This Row],[Brand]])</f>
        <v>12435650</v>
      </c>
      <c r="S3300" s="13">
        <f>SUMIF(H:H,Online_eCommerce[[#This Row],[Brand]],M:M)</f>
        <v>16166345</v>
      </c>
      <c r="T3300" s="13">
        <f>SUMIF(N:N,Online_eCommerce[[#This Row],[Assigned Supervisor]],L:L)</f>
        <v>12220830</v>
      </c>
    </row>
    <row r="3301" spans="1:20" hidden="1" x14ac:dyDescent="0.3">
      <c r="A3301" t="s">
        <v>4962</v>
      </c>
      <c r="B3301" t="s">
        <v>528</v>
      </c>
      <c r="C3301" t="s">
        <v>140</v>
      </c>
      <c r="D3301" t="s">
        <v>4939</v>
      </c>
      <c r="E3301" t="s">
        <v>161</v>
      </c>
      <c r="F3301" t="s">
        <v>4963</v>
      </c>
      <c r="G3301" t="s">
        <v>26</v>
      </c>
      <c r="H3301" t="s">
        <v>27</v>
      </c>
      <c r="I3301">
        <v>8500</v>
      </c>
      <c r="J3301">
        <v>11050</v>
      </c>
      <c r="K3301">
        <v>1</v>
      </c>
      <c r="L3301">
        <v>8500</v>
      </c>
      <c r="M3301">
        <v>11050</v>
      </c>
      <c r="N3301" t="s">
        <v>35</v>
      </c>
      <c r="O3301">
        <f t="shared" si="102"/>
        <v>33150</v>
      </c>
      <c r="P3301" s="13">
        <f t="shared" si="103"/>
        <v>2058264</v>
      </c>
      <c r="Q3301" s="13">
        <f>SUMIFS(M:M,E:E,Online_eCommerce[[#This Row],[Status]])</f>
        <v>21103186</v>
      </c>
      <c r="R3301" s="13">
        <f>SUMIFS(L:L,H:H,Online_eCommerce[[#This Row],[Brand]])</f>
        <v>14431000</v>
      </c>
      <c r="S3301" s="13">
        <f>SUMIF(H:H,Online_eCommerce[[#This Row],[Brand]],M:M)</f>
        <v>18760300</v>
      </c>
      <c r="T3301" s="13">
        <f>SUMIF(N:N,Online_eCommerce[[#This Row],[Assigned Supervisor]],L:L)</f>
        <v>14373360</v>
      </c>
    </row>
    <row r="3302" spans="1:20" x14ac:dyDescent="0.3">
      <c r="A3302" t="s">
        <v>4964</v>
      </c>
      <c r="B3302" t="s">
        <v>73</v>
      </c>
      <c r="C3302" t="s">
        <v>145</v>
      </c>
      <c r="D3302" t="s">
        <v>4939</v>
      </c>
      <c r="E3302" t="s">
        <v>46</v>
      </c>
      <c r="F3302" t="s">
        <v>32</v>
      </c>
      <c r="G3302" t="s">
        <v>33</v>
      </c>
      <c r="H3302" t="s">
        <v>34</v>
      </c>
      <c r="I3302">
        <v>7000</v>
      </c>
      <c r="J3302">
        <v>9100</v>
      </c>
      <c r="K3302">
        <v>1</v>
      </c>
      <c r="L3302">
        <v>7000</v>
      </c>
      <c r="M3302">
        <v>9100</v>
      </c>
      <c r="N3302" t="s">
        <v>42</v>
      </c>
      <c r="O3302">
        <f t="shared" si="102"/>
        <v>18200</v>
      </c>
      <c r="P3302" s="13">
        <f t="shared" si="103"/>
        <v>2757859</v>
      </c>
      <c r="Q3302" s="13">
        <f>SUMIFS(M:M,E:E,Online_eCommerce[[#This Row],[Status]])</f>
        <v>28620410</v>
      </c>
      <c r="R3302" s="13">
        <f>SUMIFS(L:L,H:H,Online_eCommerce[[#This Row],[Brand]])</f>
        <v>10087000</v>
      </c>
      <c r="S3302" s="13">
        <f>SUMIF(H:H,Online_eCommerce[[#This Row],[Brand]],M:M)</f>
        <v>13113100</v>
      </c>
      <c r="T3302" s="13">
        <f>SUMIF(N:N,Online_eCommerce[[#This Row],[Assigned Supervisor]],L:L)</f>
        <v>12261500</v>
      </c>
    </row>
    <row r="3303" spans="1:20" hidden="1" x14ac:dyDescent="0.3">
      <c r="A3303" t="s">
        <v>4965</v>
      </c>
      <c r="B3303" t="s">
        <v>80</v>
      </c>
      <c r="C3303" t="s">
        <v>150</v>
      </c>
      <c r="D3303" t="s">
        <v>4939</v>
      </c>
      <c r="E3303" t="s">
        <v>96</v>
      </c>
      <c r="F3303" t="s">
        <v>4966</v>
      </c>
      <c r="G3303" t="s">
        <v>163</v>
      </c>
      <c r="H3303" t="s">
        <v>41</v>
      </c>
      <c r="I3303">
        <v>6550</v>
      </c>
      <c r="J3303">
        <v>8515</v>
      </c>
      <c r="K3303">
        <v>3</v>
      </c>
      <c r="L3303">
        <v>19650</v>
      </c>
      <c r="M3303">
        <v>25545</v>
      </c>
      <c r="N3303" t="s">
        <v>50</v>
      </c>
      <c r="O3303">
        <f t="shared" si="102"/>
        <v>13650</v>
      </c>
      <c r="P3303" s="13">
        <f t="shared" si="103"/>
        <v>2154984</v>
      </c>
      <c r="Q3303" s="13">
        <f>SUMIFS(M:M,E:E,Online_eCommerce[[#This Row],[Status]])</f>
        <v>21233992</v>
      </c>
      <c r="R3303" s="13">
        <f>SUMIFS(L:L,H:H,Online_eCommerce[[#This Row],[Brand]])</f>
        <v>4260400</v>
      </c>
      <c r="S3303" s="13">
        <f>SUMIF(H:H,Online_eCommerce[[#This Row],[Brand]],M:M)</f>
        <v>5538520</v>
      </c>
      <c r="T3303" s="13">
        <f>SUMIF(N:N,Online_eCommerce[[#This Row],[Assigned Supervisor]],L:L)</f>
        <v>12100590</v>
      </c>
    </row>
    <row r="3304" spans="1:20" hidden="1" x14ac:dyDescent="0.3">
      <c r="A3304" t="s">
        <v>4967</v>
      </c>
      <c r="B3304" t="s">
        <v>85</v>
      </c>
      <c r="C3304" t="s">
        <v>155</v>
      </c>
      <c r="D3304" t="s">
        <v>4968</v>
      </c>
      <c r="E3304" t="s">
        <v>18</v>
      </c>
      <c r="F3304" t="s">
        <v>47</v>
      </c>
      <c r="G3304" t="s">
        <v>66</v>
      </c>
      <c r="H3304" t="s">
        <v>49</v>
      </c>
      <c r="I3304">
        <v>7650</v>
      </c>
      <c r="J3304">
        <v>9945</v>
      </c>
      <c r="K3304">
        <v>4</v>
      </c>
      <c r="L3304">
        <v>30600</v>
      </c>
      <c r="M3304">
        <v>39780</v>
      </c>
      <c r="N3304" t="s">
        <v>56</v>
      </c>
      <c r="O3304">
        <f t="shared" si="102"/>
        <v>1690</v>
      </c>
      <c r="P3304" s="13">
        <f t="shared" si="103"/>
        <v>2753348</v>
      </c>
      <c r="Q3304" s="13">
        <f>SUMIFS(M:M,E:E,Online_eCommerce[[#This Row],[Status]])</f>
        <v>28340455</v>
      </c>
      <c r="R3304" s="13">
        <f>SUMIFS(L:L,H:H,Online_eCommerce[[#This Row],[Brand]])</f>
        <v>4528350</v>
      </c>
      <c r="S3304" s="13">
        <f>SUMIF(H:H,Online_eCommerce[[#This Row],[Brand]],M:M)</f>
        <v>5886855</v>
      </c>
      <c r="T3304" s="13">
        <f>SUMIF(N:N,Online_eCommerce[[#This Row],[Assigned Supervisor]],L:L)</f>
        <v>11733610</v>
      </c>
    </row>
    <row r="3305" spans="1:20" hidden="1" x14ac:dyDescent="0.3">
      <c r="A3305" t="s">
        <v>4969</v>
      </c>
      <c r="B3305" t="s">
        <v>90</v>
      </c>
      <c r="C3305" t="s">
        <v>160</v>
      </c>
      <c r="D3305" t="s">
        <v>4970</v>
      </c>
      <c r="E3305" t="s">
        <v>161</v>
      </c>
      <c r="F3305" t="s">
        <v>53</v>
      </c>
      <c r="G3305" t="s">
        <v>54</v>
      </c>
      <c r="H3305" t="s">
        <v>55</v>
      </c>
      <c r="I3305">
        <v>1150</v>
      </c>
      <c r="J3305">
        <v>1495</v>
      </c>
      <c r="K3305">
        <v>4</v>
      </c>
      <c r="L3305">
        <v>4600</v>
      </c>
      <c r="M3305">
        <v>5980</v>
      </c>
      <c r="N3305" t="s">
        <v>22</v>
      </c>
      <c r="O3305">
        <f t="shared" si="102"/>
        <v>2990</v>
      </c>
      <c r="P3305" s="13">
        <f t="shared" si="103"/>
        <v>2303483</v>
      </c>
      <c r="Q3305" s="13">
        <f>SUMIFS(M:M,E:E,Online_eCommerce[[#This Row],[Status]])</f>
        <v>21103186</v>
      </c>
      <c r="R3305" s="13">
        <f>SUMIFS(L:L,H:H,Online_eCommerce[[#This Row],[Brand]])</f>
        <v>2267380</v>
      </c>
      <c r="S3305" s="13">
        <f>SUMIF(H:H,Online_eCommerce[[#This Row],[Brand]],M:M)</f>
        <v>2947594</v>
      </c>
      <c r="T3305" s="13">
        <f>SUMIF(N:N,Online_eCommerce[[#This Row],[Assigned Supervisor]],L:L)</f>
        <v>13693220</v>
      </c>
    </row>
    <row r="3306" spans="1:20" x14ac:dyDescent="0.3">
      <c r="A3306" t="s">
        <v>4971</v>
      </c>
      <c r="B3306" t="s">
        <v>232</v>
      </c>
      <c r="C3306" t="s">
        <v>165</v>
      </c>
      <c r="D3306" t="s">
        <v>4972</v>
      </c>
      <c r="E3306" t="s">
        <v>46</v>
      </c>
      <c r="F3306" t="s">
        <v>59</v>
      </c>
      <c r="G3306" t="s">
        <v>60</v>
      </c>
      <c r="H3306" t="s">
        <v>61</v>
      </c>
      <c r="I3306">
        <v>850</v>
      </c>
      <c r="J3306">
        <v>1105</v>
      </c>
      <c r="K3306">
        <v>1</v>
      </c>
      <c r="L3306">
        <v>850</v>
      </c>
      <c r="M3306">
        <v>1105</v>
      </c>
      <c r="N3306" t="s">
        <v>28</v>
      </c>
      <c r="O3306">
        <f t="shared" si="102"/>
        <v>3315</v>
      </c>
      <c r="P3306" s="13">
        <f t="shared" si="103"/>
        <v>2674087</v>
      </c>
      <c r="Q3306" s="13">
        <f>SUMIFS(M:M,E:E,Online_eCommerce[[#This Row],[Status]])</f>
        <v>28620410</v>
      </c>
      <c r="R3306" s="13">
        <f>SUMIFS(L:L,H:H,Online_eCommerce[[#This Row],[Brand]])</f>
        <v>10950150</v>
      </c>
      <c r="S3306" s="13">
        <f>SUMIF(H:H,Online_eCommerce[[#This Row],[Brand]],M:M)</f>
        <v>14235195</v>
      </c>
      <c r="T3306" s="13">
        <f>SUMIF(N:N,Online_eCommerce[[#This Row],[Assigned Supervisor]],L:L)</f>
        <v>12220830</v>
      </c>
    </row>
    <row r="3307" spans="1:20" hidden="1" x14ac:dyDescent="0.3">
      <c r="A3307" t="s">
        <v>4973</v>
      </c>
      <c r="B3307" t="s">
        <v>235</v>
      </c>
      <c r="C3307" t="s">
        <v>168</v>
      </c>
      <c r="D3307" t="s">
        <v>4974</v>
      </c>
      <c r="E3307" t="s">
        <v>96</v>
      </c>
      <c r="F3307" t="s">
        <v>65</v>
      </c>
      <c r="G3307" t="s">
        <v>66</v>
      </c>
      <c r="H3307" t="s">
        <v>21</v>
      </c>
      <c r="I3307">
        <v>650</v>
      </c>
      <c r="J3307">
        <v>845</v>
      </c>
      <c r="K3307">
        <v>2</v>
      </c>
      <c r="L3307">
        <v>1300</v>
      </c>
      <c r="M3307">
        <v>1690</v>
      </c>
      <c r="N3307" t="s">
        <v>35</v>
      </c>
      <c r="O3307">
        <f t="shared" si="102"/>
        <v>1690</v>
      </c>
      <c r="P3307" s="13">
        <f t="shared" si="103"/>
        <v>1937780</v>
      </c>
      <c r="Q3307" s="13">
        <f>SUMIFS(M:M,E:E,Online_eCommerce[[#This Row],[Status]])</f>
        <v>21233992</v>
      </c>
      <c r="R3307" s="13">
        <f>SUMIFS(L:L,H:H,Online_eCommerce[[#This Row],[Brand]])</f>
        <v>12435650</v>
      </c>
      <c r="S3307" s="13">
        <f>SUMIF(H:H,Online_eCommerce[[#This Row],[Brand]],M:M)</f>
        <v>16166345</v>
      </c>
      <c r="T3307" s="13">
        <f>SUMIF(N:N,Online_eCommerce[[#This Row],[Assigned Supervisor]],L:L)</f>
        <v>14373360</v>
      </c>
    </row>
    <row r="3308" spans="1:20" hidden="1" x14ac:dyDescent="0.3">
      <c r="A3308" t="s">
        <v>4975</v>
      </c>
      <c r="B3308" t="s">
        <v>104</v>
      </c>
      <c r="C3308" t="s">
        <v>172</v>
      </c>
      <c r="D3308" t="s">
        <v>4974</v>
      </c>
      <c r="E3308" t="s">
        <v>18</v>
      </c>
      <c r="F3308" t="s">
        <v>70</v>
      </c>
      <c r="G3308" t="s">
        <v>71</v>
      </c>
      <c r="H3308" t="s">
        <v>61</v>
      </c>
      <c r="I3308">
        <v>7500</v>
      </c>
      <c r="J3308">
        <v>9750</v>
      </c>
      <c r="K3308">
        <v>3</v>
      </c>
      <c r="L3308">
        <v>22500</v>
      </c>
      <c r="M3308">
        <v>29250</v>
      </c>
      <c r="N3308" t="s">
        <v>42</v>
      </c>
      <c r="O3308">
        <f t="shared" si="102"/>
        <v>9750</v>
      </c>
      <c r="P3308" s="13">
        <f t="shared" si="103"/>
        <v>2640274</v>
      </c>
      <c r="Q3308" s="13">
        <f>SUMIFS(M:M,E:E,Online_eCommerce[[#This Row],[Status]])</f>
        <v>28340455</v>
      </c>
      <c r="R3308" s="13">
        <f>SUMIFS(L:L,H:H,Online_eCommerce[[#This Row],[Brand]])</f>
        <v>10950150</v>
      </c>
      <c r="S3308" s="13">
        <f>SUMIF(H:H,Online_eCommerce[[#This Row],[Brand]],M:M)</f>
        <v>14235195</v>
      </c>
      <c r="T3308" s="13">
        <f>SUMIF(N:N,Online_eCommerce[[#This Row],[Assigned Supervisor]],L:L)</f>
        <v>12261500</v>
      </c>
    </row>
    <row r="3309" spans="1:20" hidden="1" x14ac:dyDescent="0.3">
      <c r="A3309" t="s">
        <v>4976</v>
      </c>
      <c r="B3309" t="s">
        <v>109</v>
      </c>
      <c r="C3309" t="s">
        <v>177</v>
      </c>
      <c r="D3309" t="s">
        <v>4974</v>
      </c>
      <c r="E3309" t="s">
        <v>161</v>
      </c>
      <c r="F3309" t="s">
        <v>4959</v>
      </c>
      <c r="G3309" t="s">
        <v>77</v>
      </c>
      <c r="H3309" t="s">
        <v>78</v>
      </c>
      <c r="I3309">
        <v>10000</v>
      </c>
      <c r="J3309">
        <v>13000</v>
      </c>
      <c r="K3309">
        <v>1</v>
      </c>
      <c r="L3309">
        <v>10000</v>
      </c>
      <c r="M3309">
        <v>13000</v>
      </c>
      <c r="N3309" t="s">
        <v>50</v>
      </c>
      <c r="O3309">
        <f t="shared" si="102"/>
        <v>39000</v>
      </c>
      <c r="P3309" s="13">
        <f t="shared" si="103"/>
        <v>1863810</v>
      </c>
      <c r="Q3309" s="13">
        <f>SUMIFS(M:M,E:E,Online_eCommerce[[#This Row],[Status]])</f>
        <v>21103186</v>
      </c>
      <c r="R3309" s="13">
        <f>SUMIFS(L:L,H:H,Online_eCommerce[[#This Row],[Brand]])</f>
        <v>3720000</v>
      </c>
      <c r="S3309" s="13">
        <f>SUMIF(H:H,Online_eCommerce[[#This Row],[Brand]],M:M)</f>
        <v>4836000</v>
      </c>
      <c r="T3309" s="13">
        <f>SUMIF(N:N,Online_eCommerce[[#This Row],[Assigned Supervisor]],L:L)</f>
        <v>12100590</v>
      </c>
    </row>
    <row r="3310" spans="1:20" x14ac:dyDescent="0.3">
      <c r="A3310" t="s">
        <v>4977</v>
      </c>
      <c r="B3310" t="s">
        <v>114</v>
      </c>
      <c r="C3310" t="s">
        <v>181</v>
      </c>
      <c r="D3310" t="s">
        <v>4974</v>
      </c>
      <c r="E3310" t="s">
        <v>46</v>
      </c>
      <c r="F3310" t="s">
        <v>4978</v>
      </c>
      <c r="G3310" t="s">
        <v>20</v>
      </c>
      <c r="H3310" t="s">
        <v>21</v>
      </c>
      <c r="I3310">
        <v>10500</v>
      </c>
      <c r="J3310">
        <v>13650</v>
      </c>
      <c r="K3310">
        <v>2</v>
      </c>
      <c r="L3310">
        <v>21000</v>
      </c>
      <c r="M3310">
        <v>27300</v>
      </c>
      <c r="N3310" t="s">
        <v>56</v>
      </c>
      <c r="O3310">
        <f t="shared" si="102"/>
        <v>8450</v>
      </c>
      <c r="P3310" s="13">
        <f t="shared" si="103"/>
        <v>2577458</v>
      </c>
      <c r="Q3310" s="13">
        <f>SUMIFS(M:M,E:E,Online_eCommerce[[#This Row],[Status]])</f>
        <v>28620410</v>
      </c>
      <c r="R3310" s="13">
        <f>SUMIFS(L:L,H:H,Online_eCommerce[[#This Row],[Brand]])</f>
        <v>12435650</v>
      </c>
      <c r="S3310" s="13">
        <f>SUMIF(H:H,Online_eCommerce[[#This Row],[Brand]],M:M)</f>
        <v>16166345</v>
      </c>
      <c r="T3310" s="13">
        <f>SUMIF(N:N,Online_eCommerce[[#This Row],[Assigned Supervisor]],L:L)</f>
        <v>11733610</v>
      </c>
    </row>
    <row r="3311" spans="1:20" hidden="1" x14ac:dyDescent="0.3">
      <c r="A3311" t="s">
        <v>4979</v>
      </c>
      <c r="B3311" t="s">
        <v>119</v>
      </c>
      <c r="C3311" t="s">
        <v>185</v>
      </c>
      <c r="D3311" t="s">
        <v>4974</v>
      </c>
      <c r="E3311" t="s">
        <v>96</v>
      </c>
      <c r="F3311" t="s">
        <v>88</v>
      </c>
      <c r="G3311" t="s">
        <v>26</v>
      </c>
      <c r="H3311" t="s">
        <v>27</v>
      </c>
      <c r="I3311">
        <v>8500</v>
      </c>
      <c r="J3311">
        <v>11050</v>
      </c>
      <c r="K3311">
        <v>1</v>
      </c>
      <c r="L3311">
        <v>8500</v>
      </c>
      <c r="M3311">
        <v>11050</v>
      </c>
      <c r="N3311" t="s">
        <v>22</v>
      </c>
      <c r="O3311">
        <f t="shared" si="102"/>
        <v>33150</v>
      </c>
      <c r="P3311" s="13">
        <f t="shared" si="103"/>
        <v>2091596</v>
      </c>
      <c r="Q3311" s="13">
        <f>SUMIFS(M:M,E:E,Online_eCommerce[[#This Row],[Status]])</f>
        <v>21233992</v>
      </c>
      <c r="R3311" s="13">
        <f>SUMIFS(L:L,H:H,Online_eCommerce[[#This Row],[Brand]])</f>
        <v>14431000</v>
      </c>
      <c r="S3311" s="13">
        <f>SUMIF(H:H,Online_eCommerce[[#This Row],[Brand]],M:M)</f>
        <v>18760300</v>
      </c>
      <c r="T3311" s="13">
        <f>SUMIF(N:N,Online_eCommerce[[#This Row],[Assigned Supervisor]],L:L)</f>
        <v>13693220</v>
      </c>
    </row>
    <row r="3312" spans="1:20" hidden="1" x14ac:dyDescent="0.3">
      <c r="A3312" t="s">
        <v>4980</v>
      </c>
      <c r="B3312" t="s">
        <v>124</v>
      </c>
      <c r="C3312" t="s">
        <v>189</v>
      </c>
      <c r="D3312" t="s">
        <v>4974</v>
      </c>
      <c r="E3312" t="s">
        <v>18</v>
      </c>
      <c r="F3312" t="s">
        <v>32</v>
      </c>
      <c r="G3312" t="s">
        <v>33</v>
      </c>
      <c r="H3312" t="s">
        <v>34</v>
      </c>
      <c r="I3312">
        <v>7000</v>
      </c>
      <c r="J3312">
        <v>9100</v>
      </c>
      <c r="K3312">
        <v>1</v>
      </c>
      <c r="L3312">
        <v>7000</v>
      </c>
      <c r="M3312">
        <v>9100</v>
      </c>
      <c r="N3312" t="s">
        <v>28</v>
      </c>
      <c r="O3312">
        <f t="shared" si="102"/>
        <v>18200</v>
      </c>
      <c r="P3312" s="13">
        <f t="shared" si="103"/>
        <v>2740777</v>
      </c>
      <c r="Q3312" s="13">
        <f>SUMIFS(M:M,E:E,Online_eCommerce[[#This Row],[Status]])</f>
        <v>28340455</v>
      </c>
      <c r="R3312" s="13">
        <f>SUMIFS(L:L,H:H,Online_eCommerce[[#This Row],[Brand]])</f>
        <v>10087000</v>
      </c>
      <c r="S3312" s="13">
        <f>SUMIF(H:H,Online_eCommerce[[#This Row],[Brand]],M:M)</f>
        <v>13113100</v>
      </c>
      <c r="T3312" s="13">
        <f>SUMIF(N:N,Online_eCommerce[[#This Row],[Assigned Supervisor]],L:L)</f>
        <v>12220830</v>
      </c>
    </row>
    <row r="3313" spans="1:20" hidden="1" x14ac:dyDescent="0.3">
      <c r="A3313" t="s">
        <v>4981</v>
      </c>
      <c r="B3313" t="s">
        <v>128</v>
      </c>
      <c r="C3313" t="s">
        <v>193</v>
      </c>
      <c r="D3313" t="s">
        <v>4974</v>
      </c>
      <c r="E3313" t="s">
        <v>161</v>
      </c>
      <c r="F3313" t="s">
        <v>4982</v>
      </c>
      <c r="G3313" t="s">
        <v>163</v>
      </c>
      <c r="H3313" t="s">
        <v>41</v>
      </c>
      <c r="I3313">
        <v>1680</v>
      </c>
      <c r="J3313">
        <v>2184</v>
      </c>
      <c r="K3313">
        <v>2</v>
      </c>
      <c r="L3313">
        <v>3360</v>
      </c>
      <c r="M3313">
        <v>4368</v>
      </c>
      <c r="N3313" t="s">
        <v>35</v>
      </c>
      <c r="O3313">
        <f t="shared" si="102"/>
        <v>13650</v>
      </c>
      <c r="P3313" s="13">
        <f t="shared" si="103"/>
        <v>2074774</v>
      </c>
      <c r="Q3313" s="13">
        <f>SUMIFS(M:M,E:E,Online_eCommerce[[#This Row],[Status]])</f>
        <v>21103186</v>
      </c>
      <c r="R3313" s="13">
        <f>SUMIFS(L:L,H:H,Online_eCommerce[[#This Row],[Brand]])</f>
        <v>4260400</v>
      </c>
      <c r="S3313" s="13">
        <f>SUMIF(H:H,Online_eCommerce[[#This Row],[Brand]],M:M)</f>
        <v>5538520</v>
      </c>
      <c r="T3313" s="13">
        <f>SUMIF(N:N,Online_eCommerce[[#This Row],[Assigned Supervisor]],L:L)</f>
        <v>14373360</v>
      </c>
    </row>
    <row r="3314" spans="1:20" x14ac:dyDescent="0.3">
      <c r="A3314" t="s">
        <v>4983</v>
      </c>
      <c r="B3314" t="s">
        <v>131</v>
      </c>
      <c r="C3314" t="s">
        <v>197</v>
      </c>
      <c r="D3314" t="s">
        <v>4974</v>
      </c>
      <c r="E3314" t="s">
        <v>46</v>
      </c>
      <c r="F3314" t="s">
        <v>101</v>
      </c>
      <c r="G3314" t="s">
        <v>66</v>
      </c>
      <c r="H3314" t="s">
        <v>102</v>
      </c>
      <c r="I3314">
        <v>6540</v>
      </c>
      <c r="J3314">
        <v>8502</v>
      </c>
      <c r="K3314">
        <v>4</v>
      </c>
      <c r="L3314">
        <v>26160</v>
      </c>
      <c r="M3314">
        <v>34008</v>
      </c>
      <c r="N3314" t="s">
        <v>42</v>
      </c>
      <c r="O3314">
        <f t="shared" si="102"/>
        <v>1690</v>
      </c>
      <c r="P3314" s="13">
        <f t="shared" si="103"/>
        <v>2829840</v>
      </c>
      <c r="Q3314" s="13">
        <f>SUMIFS(M:M,E:E,Online_eCommerce[[#This Row],[Status]])</f>
        <v>28620410</v>
      </c>
      <c r="R3314" s="13">
        <f>SUMIFS(L:L,H:H,Online_eCommerce[[#This Row],[Brand]])</f>
        <v>2465580</v>
      </c>
      <c r="S3314" s="13">
        <f>SUMIF(H:H,Online_eCommerce[[#This Row],[Brand]],M:M)</f>
        <v>3205254</v>
      </c>
      <c r="T3314" s="13">
        <f>SUMIF(N:N,Online_eCommerce[[#This Row],[Assigned Supervisor]],L:L)</f>
        <v>12261500</v>
      </c>
    </row>
    <row r="3315" spans="1:20" hidden="1" x14ac:dyDescent="0.3">
      <c r="A3315" t="s">
        <v>4984</v>
      </c>
      <c r="B3315" t="s">
        <v>135</v>
      </c>
      <c r="C3315" t="s">
        <v>199</v>
      </c>
      <c r="D3315" t="s">
        <v>4974</v>
      </c>
      <c r="E3315" t="s">
        <v>96</v>
      </c>
      <c r="F3315" t="s">
        <v>107</v>
      </c>
      <c r="G3315" t="s">
        <v>54</v>
      </c>
      <c r="H3315" t="s">
        <v>55</v>
      </c>
      <c r="I3315">
        <v>2680</v>
      </c>
      <c r="J3315">
        <v>3484</v>
      </c>
      <c r="K3315">
        <v>4</v>
      </c>
      <c r="L3315">
        <v>10720</v>
      </c>
      <c r="M3315">
        <v>13936</v>
      </c>
      <c r="N3315" t="s">
        <v>50</v>
      </c>
      <c r="O3315">
        <f t="shared" si="102"/>
        <v>2990</v>
      </c>
      <c r="P3315" s="13">
        <f t="shared" si="103"/>
        <v>1947361</v>
      </c>
      <c r="Q3315" s="13">
        <f>SUMIFS(M:M,E:E,Online_eCommerce[[#This Row],[Status]])</f>
        <v>21233992</v>
      </c>
      <c r="R3315" s="13">
        <f>SUMIFS(L:L,H:H,Online_eCommerce[[#This Row],[Brand]])</f>
        <v>2267380</v>
      </c>
      <c r="S3315" s="13">
        <f>SUMIF(H:H,Online_eCommerce[[#This Row],[Brand]],M:M)</f>
        <v>2947594</v>
      </c>
      <c r="T3315" s="13">
        <f>SUMIF(N:N,Online_eCommerce[[#This Row],[Assigned Supervisor]],L:L)</f>
        <v>12100590</v>
      </c>
    </row>
    <row r="3316" spans="1:20" hidden="1" x14ac:dyDescent="0.3">
      <c r="A3316" t="s">
        <v>4985</v>
      </c>
      <c r="B3316" t="s">
        <v>139</v>
      </c>
      <c r="C3316" t="s">
        <v>203</v>
      </c>
      <c r="D3316" t="s">
        <v>4974</v>
      </c>
      <c r="E3316" t="s">
        <v>18</v>
      </c>
      <c r="F3316" t="s">
        <v>112</v>
      </c>
      <c r="G3316" t="s">
        <v>71</v>
      </c>
      <c r="H3316" t="s">
        <v>21</v>
      </c>
      <c r="I3316">
        <v>8250</v>
      </c>
      <c r="J3316">
        <v>10725</v>
      </c>
      <c r="K3316">
        <v>4</v>
      </c>
      <c r="L3316">
        <v>33000</v>
      </c>
      <c r="M3316">
        <v>42900</v>
      </c>
      <c r="N3316" t="s">
        <v>56</v>
      </c>
      <c r="O3316">
        <f t="shared" si="102"/>
        <v>9750</v>
      </c>
      <c r="P3316" s="13">
        <f t="shared" si="103"/>
        <v>2559635</v>
      </c>
      <c r="Q3316" s="13">
        <f>SUMIFS(M:M,E:E,Online_eCommerce[[#This Row],[Status]])</f>
        <v>28340455</v>
      </c>
      <c r="R3316" s="13">
        <f>SUMIFS(L:L,H:H,Online_eCommerce[[#This Row],[Brand]])</f>
        <v>12435650</v>
      </c>
      <c r="S3316" s="13">
        <f>SUMIF(H:H,Online_eCommerce[[#This Row],[Brand]],M:M)</f>
        <v>16166345</v>
      </c>
      <c r="T3316" s="13">
        <f>SUMIF(N:N,Online_eCommerce[[#This Row],[Assigned Supervisor]],L:L)</f>
        <v>11733610</v>
      </c>
    </row>
    <row r="3317" spans="1:20" hidden="1" x14ac:dyDescent="0.3">
      <c r="A3317" t="s">
        <v>4986</v>
      </c>
      <c r="B3317" t="s">
        <v>144</v>
      </c>
      <c r="C3317" t="s">
        <v>205</v>
      </c>
      <c r="D3317" t="s">
        <v>4974</v>
      </c>
      <c r="E3317" t="s">
        <v>161</v>
      </c>
      <c r="F3317" t="s">
        <v>4519</v>
      </c>
      <c r="G3317" t="s">
        <v>40</v>
      </c>
      <c r="H3317" t="s">
        <v>21</v>
      </c>
      <c r="I3317">
        <v>2650</v>
      </c>
      <c r="J3317">
        <v>3445</v>
      </c>
      <c r="K3317">
        <v>1</v>
      </c>
      <c r="L3317">
        <v>2650</v>
      </c>
      <c r="M3317">
        <v>3445</v>
      </c>
      <c r="N3317" t="s">
        <v>22</v>
      </c>
      <c r="O3317">
        <f t="shared" si="102"/>
        <v>25545</v>
      </c>
      <c r="P3317" s="13">
        <f t="shared" si="103"/>
        <v>1983254</v>
      </c>
      <c r="Q3317" s="13">
        <f>SUMIFS(M:M,E:E,Online_eCommerce[[#This Row],[Status]])</f>
        <v>21103186</v>
      </c>
      <c r="R3317" s="13">
        <f>SUMIFS(L:L,H:H,Online_eCommerce[[#This Row],[Brand]])</f>
        <v>12435650</v>
      </c>
      <c r="S3317" s="13">
        <f>SUMIF(H:H,Online_eCommerce[[#This Row],[Brand]],M:M)</f>
        <v>16166345</v>
      </c>
      <c r="T3317" s="13">
        <f>SUMIF(N:N,Online_eCommerce[[#This Row],[Assigned Supervisor]],L:L)</f>
        <v>13693220</v>
      </c>
    </row>
    <row r="3318" spans="1:20" x14ac:dyDescent="0.3">
      <c r="A3318" t="s">
        <v>4987</v>
      </c>
      <c r="B3318" t="s">
        <v>149</v>
      </c>
      <c r="C3318" t="s">
        <v>208</v>
      </c>
      <c r="D3318" t="s">
        <v>4974</v>
      </c>
      <c r="E3318" t="s">
        <v>46</v>
      </c>
      <c r="F3318" t="s">
        <v>121</v>
      </c>
      <c r="G3318" t="s">
        <v>71</v>
      </c>
      <c r="H3318" t="s">
        <v>122</v>
      </c>
      <c r="I3318">
        <v>12550</v>
      </c>
      <c r="J3318">
        <v>16315</v>
      </c>
      <c r="K3318">
        <v>4</v>
      </c>
      <c r="L3318">
        <v>50200</v>
      </c>
      <c r="M3318">
        <v>65260</v>
      </c>
      <c r="N3318" t="s">
        <v>28</v>
      </c>
      <c r="O3318">
        <f t="shared" si="102"/>
        <v>9750</v>
      </c>
      <c r="P3318" s="13">
        <f t="shared" si="103"/>
        <v>2746575</v>
      </c>
      <c r="Q3318" s="13">
        <f>SUMIFS(M:M,E:E,Online_eCommerce[[#This Row],[Status]])</f>
        <v>28620410</v>
      </c>
      <c r="R3318" s="13">
        <f>SUMIFS(L:L,H:H,Online_eCommerce[[#This Row],[Brand]])</f>
        <v>5045100</v>
      </c>
      <c r="S3318" s="13">
        <f>SUMIF(H:H,Online_eCommerce[[#This Row],[Brand]],M:M)</f>
        <v>6558630</v>
      </c>
      <c r="T3318" s="13">
        <f>SUMIF(N:N,Online_eCommerce[[#This Row],[Assigned Supervisor]],L:L)</f>
        <v>12220830</v>
      </c>
    </row>
    <row r="3319" spans="1:20" hidden="1" x14ac:dyDescent="0.3">
      <c r="A3319" t="s">
        <v>4988</v>
      </c>
      <c r="B3319" t="s">
        <v>154</v>
      </c>
      <c r="C3319" t="s">
        <v>211</v>
      </c>
      <c r="D3319" t="s">
        <v>4974</v>
      </c>
      <c r="E3319" t="s">
        <v>96</v>
      </c>
      <c r="F3319" t="s">
        <v>126</v>
      </c>
      <c r="G3319" t="s">
        <v>26</v>
      </c>
      <c r="H3319" t="s">
        <v>27</v>
      </c>
      <c r="I3319">
        <v>14500</v>
      </c>
      <c r="J3319">
        <v>18850</v>
      </c>
      <c r="K3319">
        <v>2</v>
      </c>
      <c r="L3319">
        <v>29000</v>
      </c>
      <c r="M3319">
        <v>37700</v>
      </c>
      <c r="N3319" t="s">
        <v>35</v>
      </c>
      <c r="O3319">
        <f t="shared" si="102"/>
        <v>33150</v>
      </c>
      <c r="P3319" s="13">
        <f t="shared" si="103"/>
        <v>1809847</v>
      </c>
      <c r="Q3319" s="13">
        <f>SUMIFS(M:M,E:E,Online_eCommerce[[#This Row],[Status]])</f>
        <v>21233992</v>
      </c>
      <c r="R3319" s="13">
        <f>SUMIFS(L:L,H:H,Online_eCommerce[[#This Row],[Brand]])</f>
        <v>14431000</v>
      </c>
      <c r="S3319" s="13">
        <f>SUMIF(H:H,Online_eCommerce[[#This Row],[Brand]],M:M)</f>
        <v>18760300</v>
      </c>
      <c r="T3319" s="13">
        <f>SUMIF(N:N,Online_eCommerce[[#This Row],[Assigned Supervisor]],L:L)</f>
        <v>14373360</v>
      </c>
    </row>
    <row r="3320" spans="1:20" hidden="1" x14ac:dyDescent="0.3">
      <c r="A3320" t="s">
        <v>4989</v>
      </c>
      <c r="B3320" t="s">
        <v>159</v>
      </c>
      <c r="C3320" t="s">
        <v>16</v>
      </c>
      <c r="D3320" t="s">
        <v>4974</v>
      </c>
      <c r="E3320" t="s">
        <v>18</v>
      </c>
      <c r="F3320" t="s">
        <v>129</v>
      </c>
      <c r="G3320" t="s">
        <v>60</v>
      </c>
      <c r="H3320" t="s">
        <v>61</v>
      </c>
      <c r="I3320">
        <v>800</v>
      </c>
      <c r="J3320">
        <v>1040</v>
      </c>
      <c r="K3320">
        <v>2</v>
      </c>
      <c r="L3320">
        <v>1600</v>
      </c>
      <c r="M3320">
        <v>2080</v>
      </c>
      <c r="N3320" t="s">
        <v>42</v>
      </c>
      <c r="O3320">
        <f t="shared" si="102"/>
        <v>3315</v>
      </c>
      <c r="P3320" s="13">
        <f t="shared" si="103"/>
        <v>2751814</v>
      </c>
      <c r="Q3320" s="13">
        <f>SUMIFS(M:M,E:E,Online_eCommerce[[#This Row],[Status]])</f>
        <v>28340455</v>
      </c>
      <c r="R3320" s="13">
        <f>SUMIFS(L:L,H:H,Online_eCommerce[[#This Row],[Brand]])</f>
        <v>10950150</v>
      </c>
      <c r="S3320" s="13">
        <f>SUMIF(H:H,Online_eCommerce[[#This Row],[Brand]],M:M)</f>
        <v>14235195</v>
      </c>
      <c r="T3320" s="13">
        <f>SUMIF(N:N,Online_eCommerce[[#This Row],[Assigned Supervisor]],L:L)</f>
        <v>12261500</v>
      </c>
    </row>
    <row r="3321" spans="1:20" hidden="1" x14ac:dyDescent="0.3">
      <c r="A3321" t="s">
        <v>4990</v>
      </c>
      <c r="B3321" t="s">
        <v>139</v>
      </c>
      <c r="C3321" t="s">
        <v>24</v>
      </c>
      <c r="D3321" t="s">
        <v>4974</v>
      </c>
      <c r="E3321" t="s">
        <v>161</v>
      </c>
      <c r="F3321" t="s">
        <v>133</v>
      </c>
      <c r="G3321" t="s">
        <v>66</v>
      </c>
      <c r="H3321" t="s">
        <v>21</v>
      </c>
      <c r="I3321">
        <v>600</v>
      </c>
      <c r="J3321">
        <v>780</v>
      </c>
      <c r="K3321">
        <v>4</v>
      </c>
      <c r="L3321">
        <v>2400</v>
      </c>
      <c r="M3321">
        <v>3120</v>
      </c>
      <c r="N3321" t="s">
        <v>50</v>
      </c>
      <c r="O3321">
        <f t="shared" si="102"/>
        <v>1690</v>
      </c>
      <c r="P3321" s="13">
        <f t="shared" si="103"/>
        <v>2009540</v>
      </c>
      <c r="Q3321" s="13">
        <f>SUMIFS(M:M,E:E,Online_eCommerce[[#This Row],[Status]])</f>
        <v>21103186</v>
      </c>
      <c r="R3321" s="13">
        <f>SUMIFS(L:L,H:H,Online_eCommerce[[#This Row],[Brand]])</f>
        <v>12435650</v>
      </c>
      <c r="S3321" s="13">
        <f>SUMIF(H:H,Online_eCommerce[[#This Row],[Brand]],M:M)</f>
        <v>16166345</v>
      </c>
      <c r="T3321" s="13">
        <f>SUMIF(N:N,Online_eCommerce[[#This Row],[Assigned Supervisor]],L:L)</f>
        <v>12100590</v>
      </c>
    </row>
    <row r="3322" spans="1:20" x14ac:dyDescent="0.3">
      <c r="A3322" t="s">
        <v>4991</v>
      </c>
      <c r="B3322" t="s">
        <v>144</v>
      </c>
      <c r="C3322" t="s">
        <v>31</v>
      </c>
      <c r="D3322" t="s">
        <v>4974</v>
      </c>
      <c r="E3322" t="s">
        <v>46</v>
      </c>
      <c r="F3322" t="s">
        <v>137</v>
      </c>
      <c r="G3322" t="s">
        <v>71</v>
      </c>
      <c r="H3322" t="s">
        <v>61</v>
      </c>
      <c r="I3322">
        <v>10500</v>
      </c>
      <c r="J3322">
        <v>13650</v>
      </c>
      <c r="K3322">
        <v>2</v>
      </c>
      <c r="L3322">
        <v>21000</v>
      </c>
      <c r="M3322">
        <v>27300</v>
      </c>
      <c r="N3322" t="s">
        <v>56</v>
      </c>
      <c r="O3322">
        <f t="shared" si="102"/>
        <v>9750</v>
      </c>
      <c r="P3322" s="13">
        <f t="shared" si="103"/>
        <v>2865746</v>
      </c>
      <c r="Q3322" s="13">
        <f>SUMIFS(M:M,E:E,Online_eCommerce[[#This Row],[Status]])</f>
        <v>28620410</v>
      </c>
      <c r="R3322" s="13">
        <f>SUMIFS(L:L,H:H,Online_eCommerce[[#This Row],[Brand]])</f>
        <v>10950150</v>
      </c>
      <c r="S3322" s="13">
        <f>SUMIF(H:H,Online_eCommerce[[#This Row],[Brand]],M:M)</f>
        <v>14235195</v>
      </c>
      <c r="T3322" s="13">
        <f>SUMIF(N:N,Online_eCommerce[[#This Row],[Assigned Supervisor]],L:L)</f>
        <v>11733610</v>
      </c>
    </row>
    <row r="3323" spans="1:20" hidden="1" x14ac:dyDescent="0.3">
      <c r="A3323" t="s">
        <v>4992</v>
      </c>
      <c r="B3323" t="s">
        <v>235</v>
      </c>
      <c r="C3323" t="s">
        <v>38</v>
      </c>
      <c r="D3323" t="s">
        <v>4974</v>
      </c>
      <c r="E3323" t="s">
        <v>96</v>
      </c>
      <c r="F3323" t="s">
        <v>4959</v>
      </c>
      <c r="G3323" t="s">
        <v>77</v>
      </c>
      <c r="H3323" t="s">
        <v>142</v>
      </c>
      <c r="I3323">
        <v>6500</v>
      </c>
      <c r="J3323">
        <v>8450</v>
      </c>
      <c r="K3323">
        <v>4</v>
      </c>
      <c r="L3323">
        <v>26000</v>
      </c>
      <c r="M3323">
        <v>33800</v>
      </c>
      <c r="N3323" t="s">
        <v>22</v>
      </c>
      <c r="O3323">
        <f t="shared" si="102"/>
        <v>39000</v>
      </c>
      <c r="P3323" s="13">
        <f t="shared" si="103"/>
        <v>1933997</v>
      </c>
      <c r="Q3323" s="13">
        <f>SUMIFS(M:M,E:E,Online_eCommerce[[#This Row],[Status]])</f>
        <v>21233992</v>
      </c>
      <c r="R3323" s="13">
        <f>SUMIFS(L:L,H:H,Online_eCommerce[[#This Row],[Brand]])</f>
        <v>6192500</v>
      </c>
      <c r="S3323" s="13">
        <f>SUMIF(H:H,Online_eCommerce[[#This Row],[Brand]],M:M)</f>
        <v>8050250</v>
      </c>
      <c r="T3323" s="13">
        <f>SUMIF(N:N,Online_eCommerce[[#This Row],[Assigned Supervisor]],L:L)</f>
        <v>13693220</v>
      </c>
    </row>
    <row r="3324" spans="1:20" hidden="1" x14ac:dyDescent="0.3">
      <c r="A3324" t="s">
        <v>4993</v>
      </c>
      <c r="B3324" t="s">
        <v>176</v>
      </c>
      <c r="C3324" t="s">
        <v>45</v>
      </c>
      <c r="D3324" t="s">
        <v>4974</v>
      </c>
      <c r="E3324" t="s">
        <v>18</v>
      </c>
      <c r="F3324" t="s">
        <v>4994</v>
      </c>
      <c r="G3324" t="s">
        <v>20</v>
      </c>
      <c r="H3324" t="s">
        <v>21</v>
      </c>
      <c r="I3324">
        <v>4500</v>
      </c>
      <c r="J3324">
        <v>5850</v>
      </c>
      <c r="K3324">
        <v>4</v>
      </c>
      <c r="L3324">
        <v>18000</v>
      </c>
      <c r="M3324">
        <v>23400</v>
      </c>
      <c r="N3324" t="s">
        <v>28</v>
      </c>
      <c r="O3324">
        <f t="shared" si="102"/>
        <v>8450</v>
      </c>
      <c r="P3324" s="13">
        <f t="shared" si="103"/>
        <v>2842554</v>
      </c>
      <c r="Q3324" s="13">
        <f>SUMIFS(M:M,E:E,Online_eCommerce[[#This Row],[Status]])</f>
        <v>28340455</v>
      </c>
      <c r="R3324" s="13">
        <f>SUMIFS(L:L,H:H,Online_eCommerce[[#This Row],[Brand]])</f>
        <v>12435650</v>
      </c>
      <c r="S3324" s="13">
        <f>SUMIF(H:H,Online_eCommerce[[#This Row],[Brand]],M:M)</f>
        <v>16166345</v>
      </c>
      <c r="T3324" s="13">
        <f>SUMIF(N:N,Online_eCommerce[[#This Row],[Assigned Supervisor]],L:L)</f>
        <v>12220830</v>
      </c>
    </row>
    <row r="3325" spans="1:20" hidden="1" x14ac:dyDescent="0.3">
      <c r="A3325" t="s">
        <v>4995</v>
      </c>
      <c r="B3325" t="s">
        <v>276</v>
      </c>
      <c r="C3325" t="s">
        <v>52</v>
      </c>
      <c r="D3325" t="s">
        <v>4974</v>
      </c>
      <c r="E3325" t="s">
        <v>161</v>
      </c>
      <c r="F3325" t="s">
        <v>152</v>
      </c>
      <c r="G3325" t="s">
        <v>26</v>
      </c>
      <c r="H3325" t="s">
        <v>27</v>
      </c>
      <c r="I3325">
        <v>8500</v>
      </c>
      <c r="J3325">
        <v>11050</v>
      </c>
      <c r="K3325">
        <v>3</v>
      </c>
      <c r="L3325">
        <v>25500</v>
      </c>
      <c r="M3325">
        <v>33150</v>
      </c>
      <c r="N3325" t="s">
        <v>35</v>
      </c>
      <c r="O3325">
        <f t="shared" si="102"/>
        <v>33150</v>
      </c>
      <c r="P3325" s="13">
        <f t="shared" si="103"/>
        <v>1955044</v>
      </c>
      <c r="Q3325" s="13">
        <f>SUMIFS(M:M,E:E,Online_eCommerce[[#This Row],[Status]])</f>
        <v>21103186</v>
      </c>
      <c r="R3325" s="13">
        <f>SUMIFS(L:L,H:H,Online_eCommerce[[#This Row],[Brand]])</f>
        <v>14431000</v>
      </c>
      <c r="S3325" s="13">
        <f>SUMIF(H:H,Online_eCommerce[[#This Row],[Brand]],M:M)</f>
        <v>18760300</v>
      </c>
      <c r="T3325" s="13">
        <f>SUMIF(N:N,Online_eCommerce[[#This Row],[Assigned Supervisor]],L:L)</f>
        <v>14373360</v>
      </c>
    </row>
    <row r="3326" spans="1:20" x14ac:dyDescent="0.3">
      <c r="A3326" t="s">
        <v>4996</v>
      </c>
      <c r="B3326" t="s">
        <v>280</v>
      </c>
      <c r="C3326" t="s">
        <v>58</v>
      </c>
      <c r="D3326" t="s">
        <v>4974</v>
      </c>
      <c r="E3326" t="s">
        <v>46</v>
      </c>
      <c r="F3326" t="s">
        <v>157</v>
      </c>
      <c r="G3326" t="s">
        <v>33</v>
      </c>
      <c r="H3326" t="s">
        <v>34</v>
      </c>
      <c r="I3326">
        <v>12500</v>
      </c>
      <c r="J3326">
        <v>16250</v>
      </c>
      <c r="K3326">
        <v>1</v>
      </c>
      <c r="L3326">
        <v>12500</v>
      </c>
      <c r="M3326">
        <v>16250</v>
      </c>
      <c r="N3326" t="s">
        <v>42</v>
      </c>
      <c r="O3326">
        <f t="shared" si="102"/>
        <v>18200</v>
      </c>
      <c r="P3326" s="13">
        <f t="shared" si="103"/>
        <v>2629211</v>
      </c>
      <c r="Q3326" s="13">
        <f>SUMIFS(M:M,E:E,Online_eCommerce[[#This Row],[Status]])</f>
        <v>28620410</v>
      </c>
      <c r="R3326" s="13">
        <f>SUMIFS(L:L,H:H,Online_eCommerce[[#This Row],[Brand]])</f>
        <v>10087000</v>
      </c>
      <c r="S3326" s="13">
        <f>SUMIF(H:H,Online_eCommerce[[#This Row],[Brand]],M:M)</f>
        <v>13113100</v>
      </c>
      <c r="T3326" s="13">
        <f>SUMIF(N:N,Online_eCommerce[[#This Row],[Assigned Supervisor]],L:L)</f>
        <v>12261500</v>
      </c>
    </row>
    <row r="3327" spans="1:20" hidden="1" x14ac:dyDescent="0.3">
      <c r="A3327" t="s">
        <v>4997</v>
      </c>
      <c r="B3327" t="s">
        <v>283</v>
      </c>
      <c r="C3327" t="s">
        <v>63</v>
      </c>
      <c r="D3327" t="s">
        <v>4974</v>
      </c>
      <c r="E3327" t="s">
        <v>96</v>
      </c>
      <c r="F3327" t="s">
        <v>4564</v>
      </c>
      <c r="G3327" t="s">
        <v>256</v>
      </c>
      <c r="H3327" t="s">
        <v>41</v>
      </c>
      <c r="I3327">
        <v>3500</v>
      </c>
      <c r="J3327">
        <v>4550</v>
      </c>
      <c r="K3327">
        <v>3</v>
      </c>
      <c r="L3327">
        <v>10500</v>
      </c>
      <c r="M3327">
        <v>13650</v>
      </c>
      <c r="N3327" t="s">
        <v>50</v>
      </c>
      <c r="O3327">
        <f t="shared" si="102"/>
        <v>9100</v>
      </c>
      <c r="P3327" s="13">
        <f t="shared" si="103"/>
        <v>2016131</v>
      </c>
      <c r="Q3327" s="13">
        <f>SUMIFS(M:M,E:E,Online_eCommerce[[#This Row],[Status]])</f>
        <v>21233992</v>
      </c>
      <c r="R3327" s="13">
        <f>SUMIFS(L:L,H:H,Online_eCommerce[[#This Row],[Brand]])</f>
        <v>4260400</v>
      </c>
      <c r="S3327" s="13">
        <f>SUMIF(H:H,Online_eCommerce[[#This Row],[Brand]],M:M)</f>
        <v>5538520</v>
      </c>
      <c r="T3327" s="13">
        <f>SUMIF(N:N,Online_eCommerce[[#This Row],[Assigned Supervisor]],L:L)</f>
        <v>12100590</v>
      </c>
    </row>
    <row r="3328" spans="1:20" hidden="1" x14ac:dyDescent="0.3">
      <c r="A3328" t="s">
        <v>4998</v>
      </c>
      <c r="B3328" t="s">
        <v>287</v>
      </c>
      <c r="C3328" t="s">
        <v>68</v>
      </c>
      <c r="D3328" t="s">
        <v>4974</v>
      </c>
      <c r="E3328" t="s">
        <v>18</v>
      </c>
      <c r="F3328" t="s">
        <v>166</v>
      </c>
      <c r="G3328" t="s">
        <v>259</v>
      </c>
      <c r="H3328" t="s">
        <v>49</v>
      </c>
      <c r="I3328">
        <v>4500</v>
      </c>
      <c r="J3328">
        <v>5850</v>
      </c>
      <c r="K3328">
        <v>4</v>
      </c>
      <c r="L3328">
        <v>18000</v>
      </c>
      <c r="M3328">
        <v>23400</v>
      </c>
      <c r="N3328" t="s">
        <v>56</v>
      </c>
      <c r="O3328">
        <f t="shared" si="102"/>
        <v>11700</v>
      </c>
      <c r="P3328" s="13">
        <f t="shared" si="103"/>
        <v>2974621</v>
      </c>
      <c r="Q3328" s="13">
        <f>SUMIFS(M:M,E:E,Online_eCommerce[[#This Row],[Status]])</f>
        <v>28340455</v>
      </c>
      <c r="R3328" s="13">
        <f>SUMIFS(L:L,H:H,Online_eCommerce[[#This Row],[Brand]])</f>
        <v>4528350</v>
      </c>
      <c r="S3328" s="13">
        <f>SUMIF(H:H,Online_eCommerce[[#This Row],[Brand]],M:M)</f>
        <v>5886855</v>
      </c>
      <c r="T3328" s="13">
        <f>SUMIF(N:N,Online_eCommerce[[#This Row],[Assigned Supervisor]],L:L)</f>
        <v>11733610</v>
      </c>
    </row>
    <row r="3329" spans="1:20" hidden="1" x14ac:dyDescent="0.3">
      <c r="A3329" t="s">
        <v>4999</v>
      </c>
      <c r="B3329" t="s">
        <v>290</v>
      </c>
      <c r="C3329" t="s">
        <v>74</v>
      </c>
      <c r="D3329" t="s">
        <v>4974</v>
      </c>
      <c r="E3329" t="s">
        <v>161</v>
      </c>
      <c r="F3329" t="s">
        <v>5000</v>
      </c>
      <c r="G3329" t="s">
        <v>54</v>
      </c>
      <c r="H3329" t="s">
        <v>55</v>
      </c>
      <c r="I3329">
        <v>2100</v>
      </c>
      <c r="J3329">
        <v>2730</v>
      </c>
      <c r="K3329">
        <v>3</v>
      </c>
      <c r="L3329">
        <v>6300</v>
      </c>
      <c r="M3329">
        <v>8190</v>
      </c>
      <c r="N3329" t="s">
        <v>22</v>
      </c>
      <c r="O3329">
        <f t="shared" si="102"/>
        <v>2990</v>
      </c>
      <c r="P3329" s="13">
        <f t="shared" si="103"/>
        <v>2144701</v>
      </c>
      <c r="Q3329" s="13">
        <f>SUMIFS(M:M,E:E,Online_eCommerce[[#This Row],[Status]])</f>
        <v>21103186</v>
      </c>
      <c r="R3329" s="13">
        <f>SUMIFS(L:L,H:H,Online_eCommerce[[#This Row],[Brand]])</f>
        <v>2267380</v>
      </c>
      <c r="S3329" s="13">
        <f>SUMIF(H:H,Online_eCommerce[[#This Row],[Brand]],M:M)</f>
        <v>2947594</v>
      </c>
      <c r="T3329" s="13">
        <f>SUMIF(N:N,Online_eCommerce[[#This Row],[Assigned Supervisor]],L:L)</f>
        <v>13693220</v>
      </c>
    </row>
    <row r="3330" spans="1:20" x14ac:dyDescent="0.3">
      <c r="A3330" t="s">
        <v>5001</v>
      </c>
      <c r="B3330" t="s">
        <v>15</v>
      </c>
      <c r="C3330" t="s">
        <v>81</v>
      </c>
      <c r="D3330" t="s">
        <v>4974</v>
      </c>
      <c r="E3330" t="s">
        <v>46</v>
      </c>
      <c r="F3330" t="s">
        <v>174</v>
      </c>
      <c r="G3330" t="s">
        <v>60</v>
      </c>
      <c r="H3330" t="s">
        <v>61</v>
      </c>
      <c r="I3330">
        <v>1150</v>
      </c>
      <c r="J3330">
        <v>1495</v>
      </c>
      <c r="K3330">
        <v>4</v>
      </c>
      <c r="L3330">
        <v>4600</v>
      </c>
      <c r="M3330">
        <v>5980</v>
      </c>
      <c r="N3330" t="s">
        <v>28</v>
      </c>
      <c r="O3330">
        <f t="shared" ref="O3330:O3393" si="104">VLOOKUP(G3330,G:M,7,FALSE)</f>
        <v>3315</v>
      </c>
      <c r="P3330" s="13">
        <f t="shared" ref="P3330:P3393" si="105">SUMIFS(M:M,C:C,C3330)</f>
        <v>2595632</v>
      </c>
      <c r="Q3330" s="13">
        <f>SUMIFS(M:M,E:E,Online_eCommerce[[#This Row],[Status]])</f>
        <v>28620410</v>
      </c>
      <c r="R3330" s="13">
        <f>SUMIFS(L:L,H:H,Online_eCommerce[[#This Row],[Brand]])</f>
        <v>10950150</v>
      </c>
      <c r="S3330" s="13">
        <f>SUMIF(H:H,Online_eCommerce[[#This Row],[Brand]],M:M)</f>
        <v>14235195</v>
      </c>
      <c r="T3330" s="13">
        <f>SUMIF(N:N,Online_eCommerce[[#This Row],[Assigned Supervisor]],L:L)</f>
        <v>12220830</v>
      </c>
    </row>
    <row r="3331" spans="1:20" hidden="1" x14ac:dyDescent="0.3">
      <c r="A3331" t="s">
        <v>5002</v>
      </c>
      <c r="B3331" t="s">
        <v>202</v>
      </c>
      <c r="C3331" t="s">
        <v>86</v>
      </c>
      <c r="D3331" t="s">
        <v>4974</v>
      </c>
      <c r="E3331" t="s">
        <v>96</v>
      </c>
      <c r="F3331" t="s">
        <v>179</v>
      </c>
      <c r="G3331" t="s">
        <v>66</v>
      </c>
      <c r="H3331" t="s">
        <v>21</v>
      </c>
      <c r="I3331">
        <v>350</v>
      </c>
      <c r="J3331">
        <v>455</v>
      </c>
      <c r="K3331">
        <v>4</v>
      </c>
      <c r="L3331">
        <v>1400</v>
      </c>
      <c r="M3331">
        <v>1820</v>
      </c>
      <c r="N3331" t="s">
        <v>35</v>
      </c>
      <c r="O3331">
        <f t="shared" si="104"/>
        <v>1690</v>
      </c>
      <c r="P3331" s="13">
        <f t="shared" si="105"/>
        <v>1941225</v>
      </c>
      <c r="Q3331" s="13">
        <f>SUMIFS(M:M,E:E,Online_eCommerce[[#This Row],[Status]])</f>
        <v>21233992</v>
      </c>
      <c r="R3331" s="13">
        <f>SUMIFS(L:L,H:H,Online_eCommerce[[#This Row],[Brand]])</f>
        <v>12435650</v>
      </c>
      <c r="S3331" s="13">
        <f>SUMIF(H:H,Online_eCommerce[[#This Row],[Brand]],M:M)</f>
        <v>16166345</v>
      </c>
      <c r="T3331" s="13">
        <f>SUMIF(N:N,Online_eCommerce[[#This Row],[Assigned Supervisor]],L:L)</f>
        <v>14373360</v>
      </c>
    </row>
    <row r="3332" spans="1:20" hidden="1" x14ac:dyDescent="0.3">
      <c r="A3332" t="s">
        <v>5003</v>
      </c>
      <c r="B3332" t="s">
        <v>30</v>
      </c>
      <c r="C3332" t="s">
        <v>91</v>
      </c>
      <c r="D3332" t="s">
        <v>4974</v>
      </c>
      <c r="E3332" t="s">
        <v>18</v>
      </c>
      <c r="F3332" t="s">
        <v>183</v>
      </c>
      <c r="G3332" t="s">
        <v>71</v>
      </c>
      <c r="H3332" t="s">
        <v>61</v>
      </c>
      <c r="I3332">
        <v>9500</v>
      </c>
      <c r="J3332">
        <v>12350</v>
      </c>
      <c r="K3332">
        <v>2</v>
      </c>
      <c r="L3332">
        <v>19000</v>
      </c>
      <c r="M3332">
        <v>24700</v>
      </c>
      <c r="N3332" t="s">
        <v>42</v>
      </c>
      <c r="O3332">
        <f t="shared" si="104"/>
        <v>9750</v>
      </c>
      <c r="P3332" s="13">
        <f t="shared" si="105"/>
        <v>2731963</v>
      </c>
      <c r="Q3332" s="13">
        <f>SUMIFS(M:M,E:E,Online_eCommerce[[#This Row],[Status]])</f>
        <v>28340455</v>
      </c>
      <c r="R3332" s="13">
        <f>SUMIFS(L:L,H:H,Online_eCommerce[[#This Row],[Brand]])</f>
        <v>10950150</v>
      </c>
      <c r="S3332" s="13">
        <f>SUMIF(H:H,Online_eCommerce[[#This Row],[Brand]],M:M)</f>
        <v>14235195</v>
      </c>
      <c r="T3332" s="13">
        <f>SUMIF(N:N,Online_eCommerce[[#This Row],[Assigned Supervisor]],L:L)</f>
        <v>12261500</v>
      </c>
    </row>
    <row r="3333" spans="1:20" hidden="1" x14ac:dyDescent="0.3">
      <c r="A3333" t="s">
        <v>5004</v>
      </c>
      <c r="B3333" t="s">
        <v>37</v>
      </c>
      <c r="C3333" t="s">
        <v>94</v>
      </c>
      <c r="D3333" t="s">
        <v>4974</v>
      </c>
      <c r="E3333" t="s">
        <v>161</v>
      </c>
      <c r="F3333" t="s">
        <v>5005</v>
      </c>
      <c r="G3333" t="s">
        <v>77</v>
      </c>
      <c r="H3333" t="s">
        <v>142</v>
      </c>
      <c r="I3333">
        <v>10000</v>
      </c>
      <c r="J3333">
        <v>13000</v>
      </c>
      <c r="K3333">
        <v>2</v>
      </c>
      <c r="L3333">
        <v>20000</v>
      </c>
      <c r="M3333">
        <v>26000</v>
      </c>
      <c r="N3333" t="s">
        <v>50</v>
      </c>
      <c r="O3333">
        <f t="shared" si="104"/>
        <v>39000</v>
      </c>
      <c r="P3333" s="13">
        <f t="shared" si="105"/>
        <v>1868256</v>
      </c>
      <c r="Q3333" s="13">
        <f>SUMIFS(M:M,E:E,Online_eCommerce[[#This Row],[Status]])</f>
        <v>21103186</v>
      </c>
      <c r="R3333" s="13">
        <f>SUMIFS(L:L,H:H,Online_eCommerce[[#This Row],[Brand]])</f>
        <v>6192500</v>
      </c>
      <c r="S3333" s="13">
        <f>SUMIF(H:H,Online_eCommerce[[#This Row],[Brand]],M:M)</f>
        <v>8050250</v>
      </c>
      <c r="T3333" s="13">
        <f>SUMIF(N:N,Online_eCommerce[[#This Row],[Assigned Supervisor]],L:L)</f>
        <v>12100590</v>
      </c>
    </row>
    <row r="3334" spans="1:20" x14ac:dyDescent="0.3">
      <c r="A3334" t="s">
        <v>5006</v>
      </c>
      <c r="B3334" t="s">
        <v>44</v>
      </c>
      <c r="C3334" t="s">
        <v>99</v>
      </c>
      <c r="D3334" t="s">
        <v>4974</v>
      </c>
      <c r="E3334" t="s">
        <v>46</v>
      </c>
      <c r="F3334" t="s">
        <v>5007</v>
      </c>
      <c r="G3334" t="s">
        <v>20</v>
      </c>
      <c r="H3334" t="s">
        <v>21</v>
      </c>
      <c r="I3334">
        <v>6500</v>
      </c>
      <c r="J3334">
        <v>8450</v>
      </c>
      <c r="K3334">
        <v>1</v>
      </c>
      <c r="L3334">
        <v>6500</v>
      </c>
      <c r="M3334">
        <v>8450</v>
      </c>
      <c r="N3334" t="s">
        <v>56</v>
      </c>
      <c r="O3334">
        <f t="shared" si="104"/>
        <v>8450</v>
      </c>
      <c r="P3334" s="13">
        <f t="shared" si="105"/>
        <v>2651233</v>
      </c>
      <c r="Q3334" s="13">
        <f>SUMIFS(M:M,E:E,Online_eCommerce[[#This Row],[Status]])</f>
        <v>28620410</v>
      </c>
      <c r="R3334" s="13">
        <f>SUMIFS(L:L,H:H,Online_eCommerce[[#This Row],[Brand]])</f>
        <v>12435650</v>
      </c>
      <c r="S3334" s="13">
        <f>SUMIF(H:H,Online_eCommerce[[#This Row],[Brand]],M:M)</f>
        <v>16166345</v>
      </c>
      <c r="T3334" s="13">
        <f>SUMIF(N:N,Online_eCommerce[[#This Row],[Assigned Supervisor]],L:L)</f>
        <v>11733610</v>
      </c>
    </row>
    <row r="3335" spans="1:20" hidden="1" x14ac:dyDescent="0.3">
      <c r="A3335" t="s">
        <v>5008</v>
      </c>
      <c r="B3335" t="s">
        <v>213</v>
      </c>
      <c r="C3335" t="s">
        <v>105</v>
      </c>
      <c r="D3335" t="s">
        <v>4974</v>
      </c>
      <c r="E3335" t="s">
        <v>96</v>
      </c>
      <c r="F3335" t="s">
        <v>5009</v>
      </c>
      <c r="G3335" t="s">
        <v>26</v>
      </c>
      <c r="H3335" t="s">
        <v>27</v>
      </c>
      <c r="I3335">
        <v>8500</v>
      </c>
      <c r="J3335">
        <v>11050</v>
      </c>
      <c r="K3335">
        <v>3</v>
      </c>
      <c r="L3335">
        <v>25500</v>
      </c>
      <c r="M3335">
        <v>33150</v>
      </c>
      <c r="N3335" t="s">
        <v>22</v>
      </c>
      <c r="O3335">
        <f t="shared" si="104"/>
        <v>33150</v>
      </c>
      <c r="P3335" s="13">
        <f t="shared" si="105"/>
        <v>1866852</v>
      </c>
      <c r="Q3335" s="13">
        <f>SUMIFS(M:M,E:E,Online_eCommerce[[#This Row],[Status]])</f>
        <v>21233992</v>
      </c>
      <c r="R3335" s="13">
        <f>SUMIFS(L:L,H:H,Online_eCommerce[[#This Row],[Brand]])</f>
        <v>14431000</v>
      </c>
      <c r="S3335" s="13">
        <f>SUMIF(H:H,Online_eCommerce[[#This Row],[Brand]],M:M)</f>
        <v>18760300</v>
      </c>
      <c r="T3335" s="13">
        <f>SUMIF(N:N,Online_eCommerce[[#This Row],[Assigned Supervisor]],L:L)</f>
        <v>13693220</v>
      </c>
    </row>
    <row r="3336" spans="1:20" hidden="1" x14ac:dyDescent="0.3">
      <c r="A3336" t="s">
        <v>5010</v>
      </c>
      <c r="B3336" t="s">
        <v>215</v>
      </c>
      <c r="C3336" t="s">
        <v>110</v>
      </c>
      <c r="D3336" t="s">
        <v>4974</v>
      </c>
      <c r="E3336" t="s">
        <v>18</v>
      </c>
      <c r="F3336" t="s">
        <v>32</v>
      </c>
      <c r="G3336" t="s">
        <v>33</v>
      </c>
      <c r="H3336" t="s">
        <v>34</v>
      </c>
      <c r="I3336">
        <v>7000</v>
      </c>
      <c r="J3336">
        <v>9100</v>
      </c>
      <c r="K3336">
        <v>2</v>
      </c>
      <c r="L3336">
        <v>14000</v>
      </c>
      <c r="M3336">
        <v>18200</v>
      </c>
      <c r="N3336" t="s">
        <v>28</v>
      </c>
      <c r="O3336">
        <f t="shared" si="104"/>
        <v>18200</v>
      </c>
      <c r="P3336" s="13">
        <f t="shared" si="105"/>
        <v>2598635</v>
      </c>
      <c r="Q3336" s="13">
        <f>SUMIFS(M:M,E:E,Online_eCommerce[[#This Row],[Status]])</f>
        <v>28340455</v>
      </c>
      <c r="R3336" s="13">
        <f>SUMIFS(L:L,H:H,Online_eCommerce[[#This Row],[Brand]])</f>
        <v>10087000</v>
      </c>
      <c r="S3336" s="13">
        <f>SUMIF(H:H,Online_eCommerce[[#This Row],[Brand]],M:M)</f>
        <v>13113100</v>
      </c>
      <c r="T3336" s="13">
        <f>SUMIF(N:N,Online_eCommerce[[#This Row],[Assigned Supervisor]],L:L)</f>
        <v>12220830</v>
      </c>
    </row>
    <row r="3337" spans="1:20" hidden="1" x14ac:dyDescent="0.3">
      <c r="A3337" t="s">
        <v>5011</v>
      </c>
      <c r="B3337" t="s">
        <v>306</v>
      </c>
      <c r="C3337" t="s">
        <v>115</v>
      </c>
      <c r="D3337" t="s">
        <v>4974</v>
      </c>
      <c r="E3337" t="s">
        <v>161</v>
      </c>
      <c r="F3337" t="s">
        <v>5012</v>
      </c>
      <c r="G3337" t="s">
        <v>256</v>
      </c>
      <c r="H3337" t="s">
        <v>41</v>
      </c>
      <c r="I3337">
        <v>6550</v>
      </c>
      <c r="J3337">
        <v>8515</v>
      </c>
      <c r="K3337">
        <v>2</v>
      </c>
      <c r="L3337">
        <v>13100</v>
      </c>
      <c r="M3337">
        <v>17030</v>
      </c>
      <c r="N3337" t="s">
        <v>35</v>
      </c>
      <c r="O3337">
        <f t="shared" si="104"/>
        <v>9100</v>
      </c>
      <c r="P3337" s="13">
        <f t="shared" si="105"/>
        <v>2050178</v>
      </c>
      <c r="Q3337" s="13">
        <f>SUMIFS(M:M,E:E,Online_eCommerce[[#This Row],[Status]])</f>
        <v>21103186</v>
      </c>
      <c r="R3337" s="13">
        <f>SUMIFS(L:L,H:H,Online_eCommerce[[#This Row],[Brand]])</f>
        <v>4260400</v>
      </c>
      <c r="S3337" s="13">
        <f>SUMIF(H:H,Online_eCommerce[[#This Row],[Brand]],M:M)</f>
        <v>5538520</v>
      </c>
      <c r="T3337" s="13">
        <f>SUMIF(N:N,Online_eCommerce[[#This Row],[Assigned Supervisor]],L:L)</f>
        <v>14373360</v>
      </c>
    </row>
    <row r="3338" spans="1:20" x14ac:dyDescent="0.3">
      <c r="A3338" t="s">
        <v>5013</v>
      </c>
      <c r="B3338" t="s">
        <v>528</v>
      </c>
      <c r="C3338" t="s">
        <v>120</v>
      </c>
      <c r="D3338" t="s">
        <v>4974</v>
      </c>
      <c r="E3338" t="s">
        <v>46</v>
      </c>
      <c r="F3338" t="s">
        <v>47</v>
      </c>
      <c r="G3338" t="s">
        <v>259</v>
      </c>
      <c r="H3338" t="s">
        <v>49</v>
      </c>
      <c r="I3338">
        <v>7650</v>
      </c>
      <c r="J3338">
        <v>9945</v>
      </c>
      <c r="K3338">
        <v>1</v>
      </c>
      <c r="L3338">
        <v>7650</v>
      </c>
      <c r="M3338">
        <v>9945</v>
      </c>
      <c r="N3338" t="s">
        <v>42</v>
      </c>
      <c r="O3338">
        <f t="shared" si="104"/>
        <v>11700</v>
      </c>
      <c r="P3338" s="13">
        <f t="shared" si="105"/>
        <v>2734212</v>
      </c>
      <c r="Q3338" s="13">
        <f>SUMIFS(M:M,E:E,Online_eCommerce[[#This Row],[Status]])</f>
        <v>28620410</v>
      </c>
      <c r="R3338" s="13">
        <f>SUMIFS(L:L,H:H,Online_eCommerce[[#This Row],[Brand]])</f>
        <v>4528350</v>
      </c>
      <c r="S3338" s="13">
        <f>SUMIF(H:H,Online_eCommerce[[#This Row],[Brand]],M:M)</f>
        <v>5886855</v>
      </c>
      <c r="T3338" s="13">
        <f>SUMIF(N:N,Online_eCommerce[[#This Row],[Assigned Supervisor]],L:L)</f>
        <v>12261500</v>
      </c>
    </row>
    <row r="3339" spans="1:20" hidden="1" x14ac:dyDescent="0.3">
      <c r="A3339" t="s">
        <v>5014</v>
      </c>
      <c r="B3339" t="s">
        <v>73</v>
      </c>
      <c r="C3339" t="s">
        <v>125</v>
      </c>
      <c r="D3339" t="s">
        <v>4974</v>
      </c>
      <c r="E3339" t="s">
        <v>96</v>
      </c>
      <c r="F3339" t="s">
        <v>53</v>
      </c>
      <c r="G3339" t="s">
        <v>54</v>
      </c>
      <c r="H3339" t="s">
        <v>55</v>
      </c>
      <c r="I3339">
        <v>1150</v>
      </c>
      <c r="J3339">
        <v>1495</v>
      </c>
      <c r="K3339">
        <v>1</v>
      </c>
      <c r="L3339">
        <v>1150</v>
      </c>
      <c r="M3339">
        <v>1495</v>
      </c>
      <c r="N3339" t="s">
        <v>50</v>
      </c>
      <c r="O3339">
        <f t="shared" si="104"/>
        <v>2990</v>
      </c>
      <c r="P3339" s="13">
        <f t="shared" si="105"/>
        <v>2091154</v>
      </c>
      <c r="Q3339" s="13">
        <f>SUMIFS(M:M,E:E,Online_eCommerce[[#This Row],[Status]])</f>
        <v>21233992</v>
      </c>
      <c r="R3339" s="13">
        <f>SUMIFS(L:L,H:H,Online_eCommerce[[#This Row],[Brand]])</f>
        <v>2267380</v>
      </c>
      <c r="S3339" s="13">
        <f>SUMIF(H:H,Online_eCommerce[[#This Row],[Brand]],M:M)</f>
        <v>2947594</v>
      </c>
      <c r="T3339" s="13">
        <f>SUMIF(N:N,Online_eCommerce[[#This Row],[Assigned Supervisor]],L:L)</f>
        <v>12100590</v>
      </c>
    </row>
    <row r="3340" spans="1:20" hidden="1" x14ac:dyDescent="0.3">
      <c r="A3340" t="s">
        <v>5015</v>
      </c>
      <c r="B3340" t="s">
        <v>80</v>
      </c>
      <c r="C3340" t="s">
        <v>22</v>
      </c>
      <c r="D3340" t="s">
        <v>4974</v>
      </c>
      <c r="E3340" t="s">
        <v>18</v>
      </c>
      <c r="F3340" t="s">
        <v>59</v>
      </c>
      <c r="G3340" t="s">
        <v>60</v>
      </c>
      <c r="H3340" t="s">
        <v>61</v>
      </c>
      <c r="I3340">
        <v>850</v>
      </c>
      <c r="J3340">
        <v>1105</v>
      </c>
      <c r="K3340">
        <v>2</v>
      </c>
      <c r="L3340">
        <v>1700</v>
      </c>
      <c r="M3340">
        <v>2210</v>
      </c>
      <c r="N3340" t="s">
        <v>56</v>
      </c>
      <c r="O3340">
        <f t="shared" si="104"/>
        <v>3315</v>
      </c>
      <c r="P3340" s="13">
        <f t="shared" si="105"/>
        <v>2551588</v>
      </c>
      <c r="Q3340" s="13">
        <f>SUMIFS(M:M,E:E,Online_eCommerce[[#This Row],[Status]])</f>
        <v>28340455</v>
      </c>
      <c r="R3340" s="13">
        <f>SUMIFS(L:L,H:H,Online_eCommerce[[#This Row],[Brand]])</f>
        <v>10950150</v>
      </c>
      <c r="S3340" s="13">
        <f>SUMIF(H:H,Online_eCommerce[[#This Row],[Brand]],M:M)</f>
        <v>14235195</v>
      </c>
      <c r="T3340" s="13">
        <f>SUMIF(N:N,Online_eCommerce[[#This Row],[Assigned Supervisor]],L:L)</f>
        <v>11733610</v>
      </c>
    </row>
    <row r="3341" spans="1:20" hidden="1" x14ac:dyDescent="0.3">
      <c r="A3341" t="s">
        <v>5016</v>
      </c>
      <c r="B3341" t="s">
        <v>85</v>
      </c>
      <c r="C3341" t="s">
        <v>132</v>
      </c>
      <c r="D3341" t="s">
        <v>4974</v>
      </c>
      <c r="E3341" t="s">
        <v>161</v>
      </c>
      <c r="F3341" t="s">
        <v>65</v>
      </c>
      <c r="G3341" t="s">
        <v>66</v>
      </c>
      <c r="H3341" t="s">
        <v>21</v>
      </c>
      <c r="I3341">
        <v>650</v>
      </c>
      <c r="J3341">
        <v>845</v>
      </c>
      <c r="K3341">
        <v>1</v>
      </c>
      <c r="L3341">
        <v>650</v>
      </c>
      <c r="M3341">
        <v>845</v>
      </c>
      <c r="N3341" t="s">
        <v>22</v>
      </c>
      <c r="O3341">
        <f t="shared" si="104"/>
        <v>1690</v>
      </c>
      <c r="P3341" s="13">
        <f t="shared" si="105"/>
        <v>1989065</v>
      </c>
      <c r="Q3341" s="13">
        <f>SUMIFS(M:M,E:E,Online_eCommerce[[#This Row],[Status]])</f>
        <v>21103186</v>
      </c>
      <c r="R3341" s="13">
        <f>SUMIFS(L:L,H:H,Online_eCommerce[[#This Row],[Brand]])</f>
        <v>12435650</v>
      </c>
      <c r="S3341" s="13">
        <f>SUMIF(H:H,Online_eCommerce[[#This Row],[Brand]],M:M)</f>
        <v>16166345</v>
      </c>
      <c r="T3341" s="13">
        <f>SUMIF(N:N,Online_eCommerce[[#This Row],[Assigned Supervisor]],L:L)</f>
        <v>13693220</v>
      </c>
    </row>
    <row r="3342" spans="1:20" x14ac:dyDescent="0.3">
      <c r="A3342" t="s">
        <v>5017</v>
      </c>
      <c r="B3342" t="s">
        <v>90</v>
      </c>
      <c r="C3342" t="s">
        <v>136</v>
      </c>
      <c r="D3342" t="s">
        <v>4974</v>
      </c>
      <c r="E3342" t="s">
        <v>46</v>
      </c>
      <c r="F3342" t="s">
        <v>70</v>
      </c>
      <c r="G3342" t="s">
        <v>71</v>
      </c>
      <c r="H3342" t="s">
        <v>61</v>
      </c>
      <c r="I3342">
        <v>7500</v>
      </c>
      <c r="J3342">
        <v>9750</v>
      </c>
      <c r="K3342">
        <v>1</v>
      </c>
      <c r="L3342">
        <v>7500</v>
      </c>
      <c r="M3342">
        <v>9750</v>
      </c>
      <c r="N3342" t="s">
        <v>28</v>
      </c>
      <c r="O3342">
        <f t="shared" si="104"/>
        <v>9750</v>
      </c>
      <c r="P3342" s="13">
        <f t="shared" si="105"/>
        <v>2775162</v>
      </c>
      <c r="Q3342" s="13">
        <f>SUMIFS(M:M,E:E,Online_eCommerce[[#This Row],[Status]])</f>
        <v>28620410</v>
      </c>
      <c r="R3342" s="13">
        <f>SUMIFS(L:L,H:H,Online_eCommerce[[#This Row],[Brand]])</f>
        <v>10950150</v>
      </c>
      <c r="S3342" s="13">
        <f>SUMIF(H:H,Online_eCommerce[[#This Row],[Brand]],M:M)</f>
        <v>14235195</v>
      </c>
      <c r="T3342" s="13">
        <f>SUMIF(N:N,Online_eCommerce[[#This Row],[Assigned Supervisor]],L:L)</f>
        <v>12220830</v>
      </c>
    </row>
    <row r="3343" spans="1:20" hidden="1" x14ac:dyDescent="0.3">
      <c r="A3343" t="s">
        <v>5018</v>
      </c>
      <c r="B3343" t="s">
        <v>232</v>
      </c>
      <c r="C3343" t="s">
        <v>140</v>
      </c>
      <c r="D3343" t="s">
        <v>4974</v>
      </c>
      <c r="E3343" t="s">
        <v>96</v>
      </c>
      <c r="F3343" t="s">
        <v>5005</v>
      </c>
      <c r="G3343" t="s">
        <v>77</v>
      </c>
      <c r="H3343" t="s">
        <v>78</v>
      </c>
      <c r="I3343">
        <v>10000</v>
      </c>
      <c r="J3343">
        <v>13000</v>
      </c>
      <c r="K3343">
        <v>4</v>
      </c>
      <c r="L3343">
        <v>40000</v>
      </c>
      <c r="M3343">
        <v>52000</v>
      </c>
      <c r="N3343" t="s">
        <v>35</v>
      </c>
      <c r="O3343">
        <f t="shared" si="104"/>
        <v>39000</v>
      </c>
      <c r="P3343" s="13">
        <f t="shared" si="105"/>
        <v>2058264</v>
      </c>
      <c r="Q3343" s="13">
        <f>SUMIFS(M:M,E:E,Online_eCommerce[[#This Row],[Status]])</f>
        <v>21233992</v>
      </c>
      <c r="R3343" s="13">
        <f>SUMIFS(L:L,H:H,Online_eCommerce[[#This Row],[Brand]])</f>
        <v>3720000</v>
      </c>
      <c r="S3343" s="13">
        <f>SUMIF(H:H,Online_eCommerce[[#This Row],[Brand]],M:M)</f>
        <v>4836000</v>
      </c>
      <c r="T3343" s="13">
        <f>SUMIF(N:N,Online_eCommerce[[#This Row],[Assigned Supervisor]],L:L)</f>
        <v>14373360</v>
      </c>
    </row>
    <row r="3344" spans="1:20" hidden="1" x14ac:dyDescent="0.3">
      <c r="A3344" t="s">
        <v>5019</v>
      </c>
      <c r="B3344" t="s">
        <v>235</v>
      </c>
      <c r="C3344" t="s">
        <v>145</v>
      </c>
      <c r="D3344" t="s">
        <v>4974</v>
      </c>
      <c r="E3344" t="s">
        <v>18</v>
      </c>
      <c r="F3344" t="s">
        <v>5020</v>
      </c>
      <c r="G3344" t="s">
        <v>20</v>
      </c>
      <c r="H3344" t="s">
        <v>21</v>
      </c>
      <c r="I3344">
        <v>10500</v>
      </c>
      <c r="J3344">
        <v>13650</v>
      </c>
      <c r="K3344">
        <v>1</v>
      </c>
      <c r="L3344">
        <v>10500</v>
      </c>
      <c r="M3344">
        <v>13650</v>
      </c>
      <c r="N3344" t="s">
        <v>42</v>
      </c>
      <c r="O3344">
        <f t="shared" si="104"/>
        <v>8450</v>
      </c>
      <c r="P3344" s="13">
        <f t="shared" si="105"/>
        <v>2757859</v>
      </c>
      <c r="Q3344" s="13">
        <f>SUMIFS(M:M,E:E,Online_eCommerce[[#This Row],[Status]])</f>
        <v>28340455</v>
      </c>
      <c r="R3344" s="13">
        <f>SUMIFS(L:L,H:H,Online_eCommerce[[#This Row],[Brand]])</f>
        <v>12435650</v>
      </c>
      <c r="S3344" s="13">
        <f>SUMIF(H:H,Online_eCommerce[[#This Row],[Brand]],M:M)</f>
        <v>16166345</v>
      </c>
      <c r="T3344" s="13">
        <f>SUMIF(N:N,Online_eCommerce[[#This Row],[Assigned Supervisor]],L:L)</f>
        <v>12261500</v>
      </c>
    </row>
    <row r="3345" spans="1:20" hidden="1" x14ac:dyDescent="0.3">
      <c r="A3345" t="s">
        <v>5021</v>
      </c>
      <c r="B3345" t="s">
        <v>104</v>
      </c>
      <c r="C3345" t="s">
        <v>150</v>
      </c>
      <c r="D3345" t="s">
        <v>4974</v>
      </c>
      <c r="E3345" t="s">
        <v>161</v>
      </c>
      <c r="F3345" t="s">
        <v>88</v>
      </c>
      <c r="G3345" t="s">
        <v>26</v>
      </c>
      <c r="H3345" t="s">
        <v>27</v>
      </c>
      <c r="I3345">
        <v>8500</v>
      </c>
      <c r="J3345">
        <v>11050</v>
      </c>
      <c r="K3345">
        <v>1</v>
      </c>
      <c r="L3345">
        <v>8500</v>
      </c>
      <c r="M3345">
        <v>11050</v>
      </c>
      <c r="N3345" t="s">
        <v>50</v>
      </c>
      <c r="O3345">
        <f t="shared" si="104"/>
        <v>33150</v>
      </c>
      <c r="P3345" s="13">
        <f t="shared" si="105"/>
        <v>2154984</v>
      </c>
      <c r="Q3345" s="13">
        <f>SUMIFS(M:M,E:E,Online_eCommerce[[#This Row],[Status]])</f>
        <v>21103186</v>
      </c>
      <c r="R3345" s="13">
        <f>SUMIFS(L:L,H:H,Online_eCommerce[[#This Row],[Brand]])</f>
        <v>14431000</v>
      </c>
      <c r="S3345" s="13">
        <f>SUMIF(H:H,Online_eCommerce[[#This Row],[Brand]],M:M)</f>
        <v>18760300</v>
      </c>
      <c r="T3345" s="13">
        <f>SUMIF(N:N,Online_eCommerce[[#This Row],[Assigned Supervisor]],L:L)</f>
        <v>12100590</v>
      </c>
    </row>
    <row r="3346" spans="1:20" x14ac:dyDescent="0.3">
      <c r="A3346" t="s">
        <v>5022</v>
      </c>
      <c r="B3346" t="s">
        <v>109</v>
      </c>
      <c r="C3346" t="s">
        <v>155</v>
      </c>
      <c r="D3346" t="s">
        <v>4974</v>
      </c>
      <c r="E3346" t="s">
        <v>46</v>
      </c>
      <c r="F3346" t="s">
        <v>32</v>
      </c>
      <c r="G3346" t="s">
        <v>33</v>
      </c>
      <c r="H3346" t="s">
        <v>34</v>
      </c>
      <c r="I3346">
        <v>7000</v>
      </c>
      <c r="J3346">
        <v>9100</v>
      </c>
      <c r="K3346">
        <v>4</v>
      </c>
      <c r="L3346">
        <v>28000</v>
      </c>
      <c r="M3346">
        <v>36400</v>
      </c>
      <c r="N3346" t="s">
        <v>56</v>
      </c>
      <c r="O3346">
        <f t="shared" si="104"/>
        <v>18200</v>
      </c>
      <c r="P3346" s="13">
        <f t="shared" si="105"/>
        <v>2753348</v>
      </c>
      <c r="Q3346" s="13">
        <f>SUMIFS(M:M,E:E,Online_eCommerce[[#This Row],[Status]])</f>
        <v>28620410</v>
      </c>
      <c r="R3346" s="13">
        <f>SUMIFS(L:L,H:H,Online_eCommerce[[#This Row],[Brand]])</f>
        <v>10087000</v>
      </c>
      <c r="S3346" s="13">
        <f>SUMIF(H:H,Online_eCommerce[[#This Row],[Brand]],M:M)</f>
        <v>13113100</v>
      </c>
      <c r="T3346" s="13">
        <f>SUMIF(N:N,Online_eCommerce[[#This Row],[Assigned Supervisor]],L:L)</f>
        <v>11733610</v>
      </c>
    </row>
    <row r="3347" spans="1:20" hidden="1" x14ac:dyDescent="0.3">
      <c r="A3347" t="s">
        <v>5023</v>
      </c>
      <c r="B3347" t="s">
        <v>114</v>
      </c>
      <c r="C3347" t="s">
        <v>160</v>
      </c>
      <c r="D3347" t="s">
        <v>4974</v>
      </c>
      <c r="E3347" t="s">
        <v>96</v>
      </c>
      <c r="F3347" t="s">
        <v>5024</v>
      </c>
      <c r="G3347" t="s">
        <v>256</v>
      </c>
      <c r="H3347" t="s">
        <v>41</v>
      </c>
      <c r="I3347">
        <v>1680</v>
      </c>
      <c r="J3347">
        <v>2184</v>
      </c>
      <c r="K3347">
        <v>2</v>
      </c>
      <c r="L3347">
        <v>3360</v>
      </c>
      <c r="M3347">
        <v>4368</v>
      </c>
      <c r="N3347" t="s">
        <v>22</v>
      </c>
      <c r="O3347">
        <f t="shared" si="104"/>
        <v>9100</v>
      </c>
      <c r="P3347" s="13">
        <f t="shared" si="105"/>
        <v>2303483</v>
      </c>
      <c r="Q3347" s="13">
        <f>SUMIFS(M:M,E:E,Online_eCommerce[[#This Row],[Status]])</f>
        <v>21233992</v>
      </c>
      <c r="R3347" s="13">
        <f>SUMIFS(L:L,H:H,Online_eCommerce[[#This Row],[Brand]])</f>
        <v>4260400</v>
      </c>
      <c r="S3347" s="13">
        <f>SUMIF(H:H,Online_eCommerce[[#This Row],[Brand]],M:M)</f>
        <v>5538520</v>
      </c>
      <c r="T3347" s="13">
        <f>SUMIF(N:N,Online_eCommerce[[#This Row],[Assigned Supervisor]],L:L)</f>
        <v>13693220</v>
      </c>
    </row>
    <row r="3348" spans="1:20" hidden="1" x14ac:dyDescent="0.3">
      <c r="A3348" t="s">
        <v>5025</v>
      </c>
      <c r="B3348" t="s">
        <v>119</v>
      </c>
      <c r="C3348" t="s">
        <v>165</v>
      </c>
      <c r="D3348" t="s">
        <v>4974</v>
      </c>
      <c r="E3348" t="s">
        <v>18</v>
      </c>
      <c r="F3348" t="s">
        <v>101</v>
      </c>
      <c r="G3348" t="s">
        <v>259</v>
      </c>
      <c r="H3348" t="s">
        <v>102</v>
      </c>
      <c r="I3348">
        <v>6540</v>
      </c>
      <c r="J3348">
        <v>8502</v>
      </c>
      <c r="K3348">
        <v>2</v>
      </c>
      <c r="L3348">
        <v>13080</v>
      </c>
      <c r="M3348">
        <v>17004</v>
      </c>
      <c r="N3348" t="s">
        <v>28</v>
      </c>
      <c r="O3348">
        <f t="shared" si="104"/>
        <v>11700</v>
      </c>
      <c r="P3348" s="13">
        <f t="shared" si="105"/>
        <v>2674087</v>
      </c>
      <c r="Q3348" s="13">
        <f>SUMIFS(M:M,E:E,Online_eCommerce[[#This Row],[Status]])</f>
        <v>28340455</v>
      </c>
      <c r="R3348" s="13">
        <f>SUMIFS(L:L,H:H,Online_eCommerce[[#This Row],[Brand]])</f>
        <v>2465580</v>
      </c>
      <c r="S3348" s="13">
        <f>SUMIF(H:H,Online_eCommerce[[#This Row],[Brand]],M:M)</f>
        <v>3205254</v>
      </c>
      <c r="T3348" s="13">
        <f>SUMIF(N:N,Online_eCommerce[[#This Row],[Assigned Supervisor]],L:L)</f>
        <v>12220830</v>
      </c>
    </row>
    <row r="3349" spans="1:20" hidden="1" x14ac:dyDescent="0.3">
      <c r="A3349" t="s">
        <v>5026</v>
      </c>
      <c r="B3349" t="s">
        <v>124</v>
      </c>
      <c r="C3349" t="s">
        <v>168</v>
      </c>
      <c r="D3349" t="s">
        <v>4974</v>
      </c>
      <c r="E3349" t="s">
        <v>161</v>
      </c>
      <c r="F3349" t="s">
        <v>107</v>
      </c>
      <c r="G3349" t="s">
        <v>54</v>
      </c>
      <c r="H3349" t="s">
        <v>55</v>
      </c>
      <c r="I3349">
        <v>2680</v>
      </c>
      <c r="J3349">
        <v>3484</v>
      </c>
      <c r="K3349">
        <v>4</v>
      </c>
      <c r="L3349">
        <v>10720</v>
      </c>
      <c r="M3349">
        <v>13936</v>
      </c>
      <c r="N3349" t="s">
        <v>35</v>
      </c>
      <c r="O3349">
        <f t="shared" si="104"/>
        <v>2990</v>
      </c>
      <c r="P3349" s="13">
        <f t="shared" si="105"/>
        <v>1937780</v>
      </c>
      <c r="Q3349" s="13">
        <f>SUMIFS(M:M,E:E,Online_eCommerce[[#This Row],[Status]])</f>
        <v>21103186</v>
      </c>
      <c r="R3349" s="13">
        <f>SUMIFS(L:L,H:H,Online_eCommerce[[#This Row],[Brand]])</f>
        <v>2267380</v>
      </c>
      <c r="S3349" s="13">
        <f>SUMIF(H:H,Online_eCommerce[[#This Row],[Brand]],M:M)</f>
        <v>2947594</v>
      </c>
      <c r="T3349" s="13">
        <f>SUMIF(N:N,Online_eCommerce[[#This Row],[Assigned Supervisor]],L:L)</f>
        <v>14373360</v>
      </c>
    </row>
    <row r="3350" spans="1:20" x14ac:dyDescent="0.3">
      <c r="A3350" t="s">
        <v>5027</v>
      </c>
      <c r="B3350" t="s">
        <v>128</v>
      </c>
      <c r="C3350" t="s">
        <v>172</v>
      </c>
      <c r="D3350" t="s">
        <v>4974</v>
      </c>
      <c r="E3350" t="s">
        <v>46</v>
      </c>
      <c r="F3350" t="s">
        <v>112</v>
      </c>
      <c r="G3350" t="s">
        <v>71</v>
      </c>
      <c r="H3350" t="s">
        <v>21</v>
      </c>
      <c r="I3350">
        <v>8250</v>
      </c>
      <c r="J3350">
        <v>10725</v>
      </c>
      <c r="K3350">
        <v>4</v>
      </c>
      <c r="L3350">
        <v>33000</v>
      </c>
      <c r="M3350">
        <v>42900</v>
      </c>
      <c r="N3350" t="s">
        <v>42</v>
      </c>
      <c r="O3350">
        <f t="shared" si="104"/>
        <v>9750</v>
      </c>
      <c r="P3350" s="13">
        <f t="shared" si="105"/>
        <v>2640274</v>
      </c>
      <c r="Q3350" s="13">
        <f>SUMIFS(M:M,E:E,Online_eCommerce[[#This Row],[Status]])</f>
        <v>28620410</v>
      </c>
      <c r="R3350" s="13">
        <f>SUMIFS(L:L,H:H,Online_eCommerce[[#This Row],[Brand]])</f>
        <v>12435650</v>
      </c>
      <c r="S3350" s="13">
        <f>SUMIF(H:H,Online_eCommerce[[#This Row],[Brand]],M:M)</f>
        <v>16166345</v>
      </c>
      <c r="T3350" s="13">
        <f>SUMIF(N:N,Online_eCommerce[[#This Row],[Assigned Supervisor]],L:L)</f>
        <v>12261500</v>
      </c>
    </row>
    <row r="3351" spans="1:20" hidden="1" x14ac:dyDescent="0.3">
      <c r="A3351" t="s">
        <v>5028</v>
      </c>
      <c r="B3351" t="s">
        <v>131</v>
      </c>
      <c r="C3351" t="s">
        <v>177</v>
      </c>
      <c r="D3351" t="s">
        <v>4974</v>
      </c>
      <c r="E3351" t="s">
        <v>96</v>
      </c>
      <c r="F3351" t="s">
        <v>4564</v>
      </c>
      <c r="G3351" t="s">
        <v>40</v>
      </c>
      <c r="H3351" t="s">
        <v>21</v>
      </c>
      <c r="I3351">
        <v>2650</v>
      </c>
      <c r="J3351">
        <v>3445</v>
      </c>
      <c r="K3351">
        <v>1</v>
      </c>
      <c r="L3351">
        <v>2650</v>
      </c>
      <c r="M3351">
        <v>3445</v>
      </c>
      <c r="N3351" t="s">
        <v>50</v>
      </c>
      <c r="O3351">
        <f t="shared" si="104"/>
        <v>25545</v>
      </c>
      <c r="P3351" s="13">
        <f t="shared" si="105"/>
        <v>1863810</v>
      </c>
      <c r="Q3351" s="13">
        <f>SUMIFS(M:M,E:E,Online_eCommerce[[#This Row],[Status]])</f>
        <v>21233992</v>
      </c>
      <c r="R3351" s="13">
        <f>SUMIFS(L:L,H:H,Online_eCommerce[[#This Row],[Brand]])</f>
        <v>12435650</v>
      </c>
      <c r="S3351" s="13">
        <f>SUMIF(H:H,Online_eCommerce[[#This Row],[Brand]],M:M)</f>
        <v>16166345</v>
      </c>
      <c r="T3351" s="13">
        <f>SUMIF(N:N,Online_eCommerce[[#This Row],[Assigned Supervisor]],L:L)</f>
        <v>12100590</v>
      </c>
    </row>
    <row r="3352" spans="1:20" hidden="1" x14ac:dyDescent="0.3">
      <c r="A3352" t="s">
        <v>5029</v>
      </c>
      <c r="B3352" t="s">
        <v>135</v>
      </c>
      <c r="C3352" t="s">
        <v>181</v>
      </c>
      <c r="D3352" t="s">
        <v>4974</v>
      </c>
      <c r="E3352" t="s">
        <v>18</v>
      </c>
      <c r="F3352" t="s">
        <v>121</v>
      </c>
      <c r="G3352" t="s">
        <v>71</v>
      </c>
      <c r="H3352" t="s">
        <v>122</v>
      </c>
      <c r="I3352">
        <v>12550</v>
      </c>
      <c r="J3352">
        <v>16315</v>
      </c>
      <c r="K3352">
        <v>3</v>
      </c>
      <c r="L3352">
        <v>37650</v>
      </c>
      <c r="M3352">
        <v>48945</v>
      </c>
      <c r="N3352" t="s">
        <v>56</v>
      </c>
      <c r="O3352">
        <f t="shared" si="104"/>
        <v>9750</v>
      </c>
      <c r="P3352" s="13">
        <f t="shared" si="105"/>
        <v>2577458</v>
      </c>
      <c r="Q3352" s="13">
        <f>SUMIFS(M:M,E:E,Online_eCommerce[[#This Row],[Status]])</f>
        <v>28340455</v>
      </c>
      <c r="R3352" s="13">
        <f>SUMIFS(L:L,H:H,Online_eCommerce[[#This Row],[Brand]])</f>
        <v>5045100</v>
      </c>
      <c r="S3352" s="13">
        <f>SUMIF(H:H,Online_eCommerce[[#This Row],[Brand]],M:M)</f>
        <v>6558630</v>
      </c>
      <c r="T3352" s="13">
        <f>SUMIF(N:N,Online_eCommerce[[#This Row],[Assigned Supervisor]],L:L)</f>
        <v>11733610</v>
      </c>
    </row>
    <row r="3353" spans="1:20" hidden="1" x14ac:dyDescent="0.3">
      <c r="A3353" t="s">
        <v>5030</v>
      </c>
      <c r="B3353" t="s">
        <v>139</v>
      </c>
      <c r="C3353" t="s">
        <v>185</v>
      </c>
      <c r="D3353" t="s">
        <v>4974</v>
      </c>
      <c r="E3353" t="s">
        <v>161</v>
      </c>
      <c r="F3353" t="s">
        <v>126</v>
      </c>
      <c r="G3353" t="s">
        <v>26</v>
      </c>
      <c r="H3353" t="s">
        <v>27</v>
      </c>
      <c r="I3353">
        <v>14500</v>
      </c>
      <c r="J3353">
        <v>18850</v>
      </c>
      <c r="K3353">
        <v>2</v>
      </c>
      <c r="L3353">
        <v>29000</v>
      </c>
      <c r="M3353">
        <v>37700</v>
      </c>
      <c r="N3353" t="s">
        <v>22</v>
      </c>
      <c r="O3353">
        <f t="shared" si="104"/>
        <v>33150</v>
      </c>
      <c r="P3353" s="13">
        <f t="shared" si="105"/>
        <v>2091596</v>
      </c>
      <c r="Q3353" s="13">
        <f>SUMIFS(M:M,E:E,Online_eCommerce[[#This Row],[Status]])</f>
        <v>21103186</v>
      </c>
      <c r="R3353" s="13">
        <f>SUMIFS(L:L,H:H,Online_eCommerce[[#This Row],[Brand]])</f>
        <v>14431000</v>
      </c>
      <c r="S3353" s="13">
        <f>SUMIF(H:H,Online_eCommerce[[#This Row],[Brand]],M:M)</f>
        <v>18760300</v>
      </c>
      <c r="T3353" s="13">
        <f>SUMIF(N:N,Online_eCommerce[[#This Row],[Assigned Supervisor]],L:L)</f>
        <v>13693220</v>
      </c>
    </row>
    <row r="3354" spans="1:20" x14ac:dyDescent="0.3">
      <c r="A3354" t="s">
        <v>5031</v>
      </c>
      <c r="B3354" t="s">
        <v>144</v>
      </c>
      <c r="C3354" t="s">
        <v>189</v>
      </c>
      <c r="D3354" t="s">
        <v>4974</v>
      </c>
      <c r="E3354" t="s">
        <v>46</v>
      </c>
      <c r="F3354" t="s">
        <v>129</v>
      </c>
      <c r="G3354" t="s">
        <v>60</v>
      </c>
      <c r="H3354" t="s">
        <v>61</v>
      </c>
      <c r="I3354">
        <v>800</v>
      </c>
      <c r="J3354">
        <v>1040</v>
      </c>
      <c r="K3354">
        <v>1</v>
      </c>
      <c r="L3354">
        <v>800</v>
      </c>
      <c r="M3354">
        <v>1040</v>
      </c>
      <c r="N3354" t="s">
        <v>28</v>
      </c>
      <c r="O3354">
        <f t="shared" si="104"/>
        <v>3315</v>
      </c>
      <c r="P3354" s="13">
        <f t="shared" si="105"/>
        <v>2740777</v>
      </c>
      <c r="Q3354" s="13">
        <f>SUMIFS(M:M,E:E,Online_eCommerce[[#This Row],[Status]])</f>
        <v>28620410</v>
      </c>
      <c r="R3354" s="13">
        <f>SUMIFS(L:L,H:H,Online_eCommerce[[#This Row],[Brand]])</f>
        <v>10950150</v>
      </c>
      <c r="S3354" s="13">
        <f>SUMIF(H:H,Online_eCommerce[[#This Row],[Brand]],M:M)</f>
        <v>14235195</v>
      </c>
      <c r="T3354" s="13">
        <f>SUMIF(N:N,Online_eCommerce[[#This Row],[Assigned Supervisor]],L:L)</f>
        <v>12220830</v>
      </c>
    </row>
    <row r="3355" spans="1:20" hidden="1" x14ac:dyDescent="0.3">
      <c r="A3355" t="s">
        <v>5032</v>
      </c>
      <c r="B3355" t="s">
        <v>149</v>
      </c>
      <c r="C3355" t="s">
        <v>193</v>
      </c>
      <c r="D3355" t="s">
        <v>4974</v>
      </c>
      <c r="E3355" t="s">
        <v>96</v>
      </c>
      <c r="F3355" t="s">
        <v>133</v>
      </c>
      <c r="G3355" t="s">
        <v>66</v>
      </c>
      <c r="H3355" t="s">
        <v>21</v>
      </c>
      <c r="I3355">
        <v>600</v>
      </c>
      <c r="J3355">
        <v>780</v>
      </c>
      <c r="K3355">
        <v>3</v>
      </c>
      <c r="L3355">
        <v>1800</v>
      </c>
      <c r="M3355">
        <v>2340</v>
      </c>
      <c r="N3355" t="s">
        <v>35</v>
      </c>
      <c r="O3355">
        <f t="shared" si="104"/>
        <v>1690</v>
      </c>
      <c r="P3355" s="13">
        <f t="shared" si="105"/>
        <v>2074774</v>
      </c>
      <c r="Q3355" s="13">
        <f>SUMIFS(M:M,E:E,Online_eCommerce[[#This Row],[Status]])</f>
        <v>21233992</v>
      </c>
      <c r="R3355" s="13">
        <f>SUMIFS(L:L,H:H,Online_eCommerce[[#This Row],[Brand]])</f>
        <v>12435650</v>
      </c>
      <c r="S3355" s="13">
        <f>SUMIF(H:H,Online_eCommerce[[#This Row],[Brand]],M:M)</f>
        <v>16166345</v>
      </c>
      <c r="T3355" s="13">
        <f>SUMIF(N:N,Online_eCommerce[[#This Row],[Assigned Supervisor]],L:L)</f>
        <v>14373360</v>
      </c>
    </row>
    <row r="3356" spans="1:20" hidden="1" x14ac:dyDescent="0.3">
      <c r="A3356" t="s">
        <v>5033</v>
      </c>
      <c r="B3356" t="s">
        <v>154</v>
      </c>
      <c r="C3356" t="s">
        <v>197</v>
      </c>
      <c r="D3356" t="s">
        <v>4974</v>
      </c>
      <c r="E3356" t="s">
        <v>18</v>
      </c>
      <c r="F3356" t="s">
        <v>137</v>
      </c>
      <c r="G3356" t="s">
        <v>71</v>
      </c>
      <c r="H3356" t="s">
        <v>61</v>
      </c>
      <c r="I3356">
        <v>10500</v>
      </c>
      <c r="J3356">
        <v>13650</v>
      </c>
      <c r="K3356">
        <v>3</v>
      </c>
      <c r="L3356">
        <v>31500</v>
      </c>
      <c r="M3356">
        <v>40950</v>
      </c>
      <c r="N3356" t="s">
        <v>42</v>
      </c>
      <c r="O3356">
        <f t="shared" si="104"/>
        <v>9750</v>
      </c>
      <c r="P3356" s="13">
        <f t="shared" si="105"/>
        <v>2829840</v>
      </c>
      <c r="Q3356" s="13">
        <f>SUMIFS(M:M,E:E,Online_eCommerce[[#This Row],[Status]])</f>
        <v>28340455</v>
      </c>
      <c r="R3356" s="13">
        <f>SUMIFS(L:L,H:H,Online_eCommerce[[#This Row],[Brand]])</f>
        <v>10950150</v>
      </c>
      <c r="S3356" s="13">
        <f>SUMIF(H:H,Online_eCommerce[[#This Row],[Brand]],M:M)</f>
        <v>14235195</v>
      </c>
      <c r="T3356" s="13">
        <f>SUMIF(N:N,Online_eCommerce[[#This Row],[Assigned Supervisor]],L:L)</f>
        <v>12261500</v>
      </c>
    </row>
    <row r="3357" spans="1:20" hidden="1" x14ac:dyDescent="0.3">
      <c r="A3357" t="s">
        <v>5034</v>
      </c>
      <c r="B3357" t="s">
        <v>159</v>
      </c>
      <c r="C3357" t="s">
        <v>199</v>
      </c>
      <c r="D3357" t="s">
        <v>4974</v>
      </c>
      <c r="E3357" t="s">
        <v>161</v>
      </c>
      <c r="F3357" t="s">
        <v>5005</v>
      </c>
      <c r="G3357" t="s">
        <v>77</v>
      </c>
      <c r="H3357" t="s">
        <v>142</v>
      </c>
      <c r="I3357">
        <v>6500</v>
      </c>
      <c r="J3357">
        <v>8450</v>
      </c>
      <c r="K3357">
        <v>4</v>
      </c>
      <c r="L3357">
        <v>26000</v>
      </c>
      <c r="M3357">
        <v>33800</v>
      </c>
      <c r="N3357" t="s">
        <v>50</v>
      </c>
      <c r="O3357">
        <f t="shared" si="104"/>
        <v>39000</v>
      </c>
      <c r="P3357" s="13">
        <f t="shared" si="105"/>
        <v>1947361</v>
      </c>
      <c r="Q3357" s="13">
        <f>SUMIFS(M:M,E:E,Online_eCommerce[[#This Row],[Status]])</f>
        <v>21103186</v>
      </c>
      <c r="R3357" s="13">
        <f>SUMIFS(L:L,H:H,Online_eCommerce[[#This Row],[Brand]])</f>
        <v>6192500</v>
      </c>
      <c r="S3357" s="13">
        <f>SUMIF(H:H,Online_eCommerce[[#This Row],[Brand]],M:M)</f>
        <v>8050250</v>
      </c>
      <c r="T3357" s="13">
        <f>SUMIF(N:N,Online_eCommerce[[#This Row],[Assigned Supervisor]],L:L)</f>
        <v>12100590</v>
      </c>
    </row>
    <row r="3358" spans="1:20" x14ac:dyDescent="0.3">
      <c r="A3358" t="s">
        <v>5035</v>
      </c>
      <c r="B3358" t="s">
        <v>139</v>
      </c>
      <c r="C3358" t="s">
        <v>203</v>
      </c>
      <c r="D3358" t="s">
        <v>4974</v>
      </c>
      <c r="E3358" t="s">
        <v>46</v>
      </c>
      <c r="F3358" t="s">
        <v>5036</v>
      </c>
      <c r="G3358" t="s">
        <v>20</v>
      </c>
      <c r="H3358" t="s">
        <v>21</v>
      </c>
      <c r="I3358">
        <v>4500</v>
      </c>
      <c r="J3358">
        <v>5850</v>
      </c>
      <c r="K3358">
        <v>1</v>
      </c>
      <c r="L3358">
        <v>4500</v>
      </c>
      <c r="M3358">
        <v>5850</v>
      </c>
      <c r="N3358" t="s">
        <v>56</v>
      </c>
      <c r="O3358">
        <f t="shared" si="104"/>
        <v>8450</v>
      </c>
      <c r="P3358" s="13">
        <f t="shared" si="105"/>
        <v>2559635</v>
      </c>
      <c r="Q3358" s="13">
        <f>SUMIFS(M:M,E:E,Online_eCommerce[[#This Row],[Status]])</f>
        <v>28620410</v>
      </c>
      <c r="R3358" s="13">
        <f>SUMIFS(L:L,H:H,Online_eCommerce[[#This Row],[Brand]])</f>
        <v>12435650</v>
      </c>
      <c r="S3358" s="13">
        <f>SUMIF(H:H,Online_eCommerce[[#This Row],[Brand]],M:M)</f>
        <v>16166345</v>
      </c>
      <c r="T3358" s="13">
        <f>SUMIF(N:N,Online_eCommerce[[#This Row],[Assigned Supervisor]],L:L)</f>
        <v>11733610</v>
      </c>
    </row>
    <row r="3359" spans="1:20" hidden="1" x14ac:dyDescent="0.3">
      <c r="A3359" t="s">
        <v>5037</v>
      </c>
      <c r="B3359" t="s">
        <v>144</v>
      </c>
      <c r="C3359" t="s">
        <v>205</v>
      </c>
      <c r="D3359" t="s">
        <v>4974</v>
      </c>
      <c r="E3359" t="s">
        <v>96</v>
      </c>
      <c r="F3359" t="s">
        <v>152</v>
      </c>
      <c r="G3359" t="s">
        <v>26</v>
      </c>
      <c r="H3359" t="s">
        <v>27</v>
      </c>
      <c r="I3359">
        <v>8500</v>
      </c>
      <c r="J3359">
        <v>11050</v>
      </c>
      <c r="K3359">
        <v>2</v>
      </c>
      <c r="L3359">
        <v>17000</v>
      </c>
      <c r="M3359">
        <v>22100</v>
      </c>
      <c r="N3359" t="s">
        <v>22</v>
      </c>
      <c r="O3359">
        <f t="shared" si="104"/>
        <v>33150</v>
      </c>
      <c r="P3359" s="13">
        <f t="shared" si="105"/>
        <v>1983254</v>
      </c>
      <c r="Q3359" s="13">
        <f>SUMIFS(M:M,E:E,Online_eCommerce[[#This Row],[Status]])</f>
        <v>21233992</v>
      </c>
      <c r="R3359" s="13">
        <f>SUMIFS(L:L,H:H,Online_eCommerce[[#This Row],[Brand]])</f>
        <v>14431000</v>
      </c>
      <c r="S3359" s="13">
        <f>SUMIF(H:H,Online_eCommerce[[#This Row],[Brand]],M:M)</f>
        <v>18760300</v>
      </c>
      <c r="T3359" s="13">
        <f>SUMIF(N:N,Online_eCommerce[[#This Row],[Assigned Supervisor]],L:L)</f>
        <v>13693220</v>
      </c>
    </row>
    <row r="3360" spans="1:20" hidden="1" x14ac:dyDescent="0.3">
      <c r="A3360" t="s">
        <v>5038</v>
      </c>
      <c r="B3360" t="s">
        <v>235</v>
      </c>
      <c r="C3360" t="s">
        <v>208</v>
      </c>
      <c r="D3360" t="s">
        <v>4974</v>
      </c>
      <c r="E3360" t="s">
        <v>18</v>
      </c>
      <c r="F3360" t="s">
        <v>157</v>
      </c>
      <c r="G3360" t="s">
        <v>33</v>
      </c>
      <c r="H3360" t="s">
        <v>34</v>
      </c>
      <c r="I3360">
        <v>12500</v>
      </c>
      <c r="J3360">
        <v>16250</v>
      </c>
      <c r="K3360">
        <v>3</v>
      </c>
      <c r="L3360">
        <v>37500</v>
      </c>
      <c r="M3360">
        <v>48750</v>
      </c>
      <c r="N3360" t="s">
        <v>28</v>
      </c>
      <c r="O3360">
        <f t="shared" si="104"/>
        <v>18200</v>
      </c>
      <c r="P3360" s="13">
        <f t="shared" si="105"/>
        <v>2746575</v>
      </c>
      <c r="Q3360" s="13">
        <f>SUMIFS(M:M,E:E,Online_eCommerce[[#This Row],[Status]])</f>
        <v>28340455</v>
      </c>
      <c r="R3360" s="13">
        <f>SUMIFS(L:L,H:H,Online_eCommerce[[#This Row],[Brand]])</f>
        <v>10087000</v>
      </c>
      <c r="S3360" s="13">
        <f>SUMIF(H:H,Online_eCommerce[[#This Row],[Brand]],M:M)</f>
        <v>13113100</v>
      </c>
      <c r="T3360" s="13">
        <f>SUMIF(N:N,Online_eCommerce[[#This Row],[Assigned Supervisor]],L:L)</f>
        <v>12220830</v>
      </c>
    </row>
    <row r="3361" spans="1:20" hidden="1" x14ac:dyDescent="0.3">
      <c r="A3361" t="s">
        <v>5039</v>
      </c>
      <c r="B3361" t="s">
        <v>176</v>
      </c>
      <c r="C3361" t="s">
        <v>211</v>
      </c>
      <c r="D3361" t="s">
        <v>4974</v>
      </c>
      <c r="E3361" t="s">
        <v>161</v>
      </c>
      <c r="F3361" t="s">
        <v>4623</v>
      </c>
      <c r="G3361" t="s">
        <v>40</v>
      </c>
      <c r="H3361" t="s">
        <v>41</v>
      </c>
      <c r="I3361">
        <v>3500</v>
      </c>
      <c r="J3361">
        <v>4550</v>
      </c>
      <c r="K3361">
        <v>1</v>
      </c>
      <c r="L3361">
        <v>3500</v>
      </c>
      <c r="M3361">
        <v>4550</v>
      </c>
      <c r="N3361" t="s">
        <v>35</v>
      </c>
      <c r="O3361">
        <f t="shared" si="104"/>
        <v>25545</v>
      </c>
      <c r="P3361" s="13">
        <f t="shared" si="105"/>
        <v>1809847</v>
      </c>
      <c r="Q3361" s="13">
        <f>SUMIFS(M:M,E:E,Online_eCommerce[[#This Row],[Status]])</f>
        <v>21103186</v>
      </c>
      <c r="R3361" s="13">
        <f>SUMIFS(L:L,H:H,Online_eCommerce[[#This Row],[Brand]])</f>
        <v>4260400</v>
      </c>
      <c r="S3361" s="13">
        <f>SUMIF(H:H,Online_eCommerce[[#This Row],[Brand]],M:M)</f>
        <v>5538520</v>
      </c>
      <c r="T3361" s="13">
        <f>SUMIF(N:N,Online_eCommerce[[#This Row],[Assigned Supervisor]],L:L)</f>
        <v>14373360</v>
      </c>
    </row>
    <row r="3362" spans="1:20" x14ac:dyDescent="0.3">
      <c r="A3362" t="s">
        <v>5040</v>
      </c>
      <c r="B3362" t="s">
        <v>276</v>
      </c>
      <c r="C3362" t="s">
        <v>16</v>
      </c>
      <c r="D3362" t="s">
        <v>4974</v>
      </c>
      <c r="E3362" t="s">
        <v>46</v>
      </c>
      <c r="F3362" t="s">
        <v>166</v>
      </c>
      <c r="G3362" t="s">
        <v>334</v>
      </c>
      <c r="H3362" t="s">
        <v>49</v>
      </c>
      <c r="I3362">
        <v>4500</v>
      </c>
      <c r="J3362">
        <v>5850</v>
      </c>
      <c r="K3362">
        <v>3</v>
      </c>
      <c r="L3362">
        <v>13500</v>
      </c>
      <c r="M3362">
        <v>17550</v>
      </c>
      <c r="N3362" t="s">
        <v>42</v>
      </c>
      <c r="O3362">
        <f t="shared" si="104"/>
        <v>39780</v>
      </c>
      <c r="P3362" s="13">
        <f t="shared" si="105"/>
        <v>2751814</v>
      </c>
      <c r="Q3362" s="13">
        <f>SUMIFS(M:M,E:E,Online_eCommerce[[#This Row],[Status]])</f>
        <v>28620410</v>
      </c>
      <c r="R3362" s="13">
        <f>SUMIFS(L:L,H:H,Online_eCommerce[[#This Row],[Brand]])</f>
        <v>4528350</v>
      </c>
      <c r="S3362" s="13">
        <f>SUMIF(H:H,Online_eCommerce[[#This Row],[Brand]],M:M)</f>
        <v>5886855</v>
      </c>
      <c r="T3362" s="13">
        <f>SUMIF(N:N,Online_eCommerce[[#This Row],[Assigned Supervisor]],L:L)</f>
        <v>12261500</v>
      </c>
    </row>
    <row r="3363" spans="1:20" hidden="1" x14ac:dyDescent="0.3">
      <c r="A3363" t="s">
        <v>5041</v>
      </c>
      <c r="B3363" t="s">
        <v>280</v>
      </c>
      <c r="C3363" t="s">
        <v>24</v>
      </c>
      <c r="D3363" t="s">
        <v>4974</v>
      </c>
      <c r="E3363" t="s">
        <v>96</v>
      </c>
      <c r="F3363" t="s">
        <v>5042</v>
      </c>
      <c r="G3363" t="s">
        <v>54</v>
      </c>
      <c r="H3363" t="s">
        <v>55</v>
      </c>
      <c r="I3363">
        <v>2100</v>
      </c>
      <c r="J3363">
        <v>2730</v>
      </c>
      <c r="K3363">
        <v>2</v>
      </c>
      <c r="L3363">
        <v>4200</v>
      </c>
      <c r="M3363">
        <v>5460</v>
      </c>
      <c r="N3363" t="s">
        <v>50</v>
      </c>
      <c r="O3363">
        <f t="shared" si="104"/>
        <v>2990</v>
      </c>
      <c r="P3363" s="13">
        <f t="shared" si="105"/>
        <v>2009540</v>
      </c>
      <c r="Q3363" s="13">
        <f>SUMIFS(M:M,E:E,Online_eCommerce[[#This Row],[Status]])</f>
        <v>21233992</v>
      </c>
      <c r="R3363" s="13">
        <f>SUMIFS(L:L,H:H,Online_eCommerce[[#This Row],[Brand]])</f>
        <v>2267380</v>
      </c>
      <c r="S3363" s="13">
        <f>SUMIF(H:H,Online_eCommerce[[#This Row],[Brand]],M:M)</f>
        <v>2947594</v>
      </c>
      <c r="T3363" s="13">
        <f>SUMIF(N:N,Online_eCommerce[[#This Row],[Assigned Supervisor]],L:L)</f>
        <v>12100590</v>
      </c>
    </row>
    <row r="3364" spans="1:20" hidden="1" x14ac:dyDescent="0.3">
      <c r="A3364" t="s">
        <v>5043</v>
      </c>
      <c r="B3364" t="s">
        <v>283</v>
      </c>
      <c r="C3364" t="s">
        <v>31</v>
      </c>
      <c r="D3364" t="s">
        <v>4974</v>
      </c>
      <c r="E3364" t="s">
        <v>18</v>
      </c>
      <c r="F3364" t="s">
        <v>174</v>
      </c>
      <c r="G3364" t="s">
        <v>60</v>
      </c>
      <c r="H3364" t="s">
        <v>61</v>
      </c>
      <c r="I3364">
        <v>1150</v>
      </c>
      <c r="J3364">
        <v>1495</v>
      </c>
      <c r="K3364">
        <v>2</v>
      </c>
      <c r="L3364">
        <v>2300</v>
      </c>
      <c r="M3364">
        <v>2990</v>
      </c>
      <c r="N3364" t="s">
        <v>56</v>
      </c>
      <c r="O3364">
        <f t="shared" si="104"/>
        <v>3315</v>
      </c>
      <c r="P3364" s="13">
        <f t="shared" si="105"/>
        <v>2865746</v>
      </c>
      <c r="Q3364" s="13">
        <f>SUMIFS(M:M,E:E,Online_eCommerce[[#This Row],[Status]])</f>
        <v>28340455</v>
      </c>
      <c r="R3364" s="13">
        <f>SUMIFS(L:L,H:H,Online_eCommerce[[#This Row],[Brand]])</f>
        <v>10950150</v>
      </c>
      <c r="S3364" s="13">
        <f>SUMIF(H:H,Online_eCommerce[[#This Row],[Brand]],M:M)</f>
        <v>14235195</v>
      </c>
      <c r="T3364" s="13">
        <f>SUMIF(N:N,Online_eCommerce[[#This Row],[Assigned Supervisor]],L:L)</f>
        <v>11733610</v>
      </c>
    </row>
    <row r="3365" spans="1:20" hidden="1" x14ac:dyDescent="0.3">
      <c r="A3365" t="s">
        <v>5044</v>
      </c>
      <c r="B3365" t="s">
        <v>287</v>
      </c>
      <c r="C3365" t="s">
        <v>38</v>
      </c>
      <c r="D3365" t="s">
        <v>5045</v>
      </c>
      <c r="E3365" t="s">
        <v>161</v>
      </c>
      <c r="F3365" t="s">
        <v>179</v>
      </c>
      <c r="G3365" t="s">
        <v>66</v>
      </c>
      <c r="H3365" t="s">
        <v>21</v>
      </c>
      <c r="I3365">
        <v>350</v>
      </c>
      <c r="J3365">
        <v>455</v>
      </c>
      <c r="K3365">
        <v>4</v>
      </c>
      <c r="L3365">
        <v>1400</v>
      </c>
      <c r="M3365">
        <v>1820</v>
      </c>
      <c r="N3365" t="s">
        <v>22</v>
      </c>
      <c r="O3365">
        <f t="shared" si="104"/>
        <v>1690</v>
      </c>
      <c r="P3365" s="13">
        <f t="shared" si="105"/>
        <v>1933997</v>
      </c>
      <c r="Q3365" s="13">
        <f>SUMIFS(M:M,E:E,Online_eCommerce[[#This Row],[Status]])</f>
        <v>21103186</v>
      </c>
      <c r="R3365" s="13">
        <f>SUMIFS(L:L,H:H,Online_eCommerce[[#This Row],[Brand]])</f>
        <v>12435650</v>
      </c>
      <c r="S3365" s="13">
        <f>SUMIF(H:H,Online_eCommerce[[#This Row],[Brand]],M:M)</f>
        <v>16166345</v>
      </c>
      <c r="T3365" s="13">
        <f>SUMIF(N:N,Online_eCommerce[[#This Row],[Assigned Supervisor]],L:L)</f>
        <v>13693220</v>
      </c>
    </row>
    <row r="3366" spans="1:20" x14ac:dyDescent="0.3">
      <c r="A3366" t="s">
        <v>5046</v>
      </c>
      <c r="B3366" t="s">
        <v>290</v>
      </c>
      <c r="C3366" t="s">
        <v>45</v>
      </c>
      <c r="D3366" t="s">
        <v>5045</v>
      </c>
      <c r="E3366" t="s">
        <v>46</v>
      </c>
      <c r="F3366" t="s">
        <v>183</v>
      </c>
      <c r="G3366" t="s">
        <v>71</v>
      </c>
      <c r="H3366" t="s">
        <v>61</v>
      </c>
      <c r="I3366">
        <v>9500</v>
      </c>
      <c r="J3366">
        <v>12350</v>
      </c>
      <c r="K3366">
        <v>3</v>
      </c>
      <c r="L3366">
        <v>28500</v>
      </c>
      <c r="M3366">
        <v>37050</v>
      </c>
      <c r="N3366" t="s">
        <v>28</v>
      </c>
      <c r="O3366">
        <f t="shared" si="104"/>
        <v>9750</v>
      </c>
      <c r="P3366" s="13">
        <f t="shared" si="105"/>
        <v>2842554</v>
      </c>
      <c r="Q3366" s="13">
        <f>SUMIFS(M:M,E:E,Online_eCommerce[[#This Row],[Status]])</f>
        <v>28620410</v>
      </c>
      <c r="R3366" s="13">
        <f>SUMIFS(L:L,H:H,Online_eCommerce[[#This Row],[Brand]])</f>
        <v>10950150</v>
      </c>
      <c r="S3366" s="13">
        <f>SUMIF(H:H,Online_eCommerce[[#This Row],[Brand]],M:M)</f>
        <v>14235195</v>
      </c>
      <c r="T3366" s="13">
        <f>SUMIF(N:N,Online_eCommerce[[#This Row],[Assigned Supervisor]],L:L)</f>
        <v>12220830</v>
      </c>
    </row>
    <row r="3367" spans="1:20" hidden="1" x14ac:dyDescent="0.3">
      <c r="A3367" t="s">
        <v>5047</v>
      </c>
      <c r="B3367" t="s">
        <v>15</v>
      </c>
      <c r="C3367" t="s">
        <v>52</v>
      </c>
      <c r="D3367" t="s">
        <v>5045</v>
      </c>
      <c r="E3367" t="s">
        <v>96</v>
      </c>
      <c r="F3367" t="s">
        <v>5048</v>
      </c>
      <c r="G3367" t="s">
        <v>77</v>
      </c>
      <c r="H3367" t="s">
        <v>142</v>
      </c>
      <c r="I3367">
        <v>10000</v>
      </c>
      <c r="J3367">
        <v>13000</v>
      </c>
      <c r="K3367">
        <v>3</v>
      </c>
      <c r="L3367">
        <v>30000</v>
      </c>
      <c r="M3367">
        <v>39000</v>
      </c>
      <c r="N3367" t="s">
        <v>35</v>
      </c>
      <c r="O3367">
        <f t="shared" si="104"/>
        <v>39000</v>
      </c>
      <c r="P3367" s="13">
        <f t="shared" si="105"/>
        <v>1955044</v>
      </c>
      <c r="Q3367" s="13">
        <f>SUMIFS(M:M,E:E,Online_eCommerce[[#This Row],[Status]])</f>
        <v>21233992</v>
      </c>
      <c r="R3367" s="13">
        <f>SUMIFS(L:L,H:H,Online_eCommerce[[#This Row],[Brand]])</f>
        <v>6192500</v>
      </c>
      <c r="S3367" s="13">
        <f>SUMIF(H:H,Online_eCommerce[[#This Row],[Brand]],M:M)</f>
        <v>8050250</v>
      </c>
      <c r="T3367" s="13">
        <f>SUMIF(N:N,Online_eCommerce[[#This Row],[Assigned Supervisor]],L:L)</f>
        <v>14373360</v>
      </c>
    </row>
    <row r="3368" spans="1:20" hidden="1" x14ac:dyDescent="0.3">
      <c r="A3368" t="s">
        <v>5049</v>
      </c>
      <c r="B3368" t="s">
        <v>202</v>
      </c>
      <c r="C3368" t="s">
        <v>58</v>
      </c>
      <c r="D3368" t="s">
        <v>5045</v>
      </c>
      <c r="E3368" t="s">
        <v>18</v>
      </c>
      <c r="F3368" t="s">
        <v>5050</v>
      </c>
      <c r="G3368" t="s">
        <v>20</v>
      </c>
      <c r="H3368" t="s">
        <v>21</v>
      </c>
      <c r="I3368">
        <v>6500</v>
      </c>
      <c r="J3368">
        <v>8450</v>
      </c>
      <c r="K3368">
        <v>1</v>
      </c>
      <c r="L3368">
        <v>6500</v>
      </c>
      <c r="M3368">
        <v>8450</v>
      </c>
      <c r="N3368" t="s">
        <v>42</v>
      </c>
      <c r="O3368">
        <f t="shared" si="104"/>
        <v>8450</v>
      </c>
      <c r="P3368" s="13">
        <f t="shared" si="105"/>
        <v>2629211</v>
      </c>
      <c r="Q3368" s="13">
        <f>SUMIFS(M:M,E:E,Online_eCommerce[[#This Row],[Status]])</f>
        <v>28340455</v>
      </c>
      <c r="R3368" s="13">
        <f>SUMIFS(L:L,H:H,Online_eCommerce[[#This Row],[Brand]])</f>
        <v>12435650</v>
      </c>
      <c r="S3368" s="13">
        <f>SUMIF(H:H,Online_eCommerce[[#This Row],[Brand]],M:M)</f>
        <v>16166345</v>
      </c>
      <c r="T3368" s="13">
        <f>SUMIF(N:N,Online_eCommerce[[#This Row],[Assigned Supervisor]],L:L)</f>
        <v>12261500</v>
      </c>
    </row>
    <row r="3369" spans="1:20" hidden="1" x14ac:dyDescent="0.3">
      <c r="A3369" t="s">
        <v>5051</v>
      </c>
      <c r="B3369" t="s">
        <v>30</v>
      </c>
      <c r="C3369" t="s">
        <v>63</v>
      </c>
      <c r="D3369" t="s">
        <v>5045</v>
      </c>
      <c r="E3369" t="s">
        <v>161</v>
      </c>
      <c r="F3369" t="s">
        <v>5052</v>
      </c>
      <c r="G3369" t="s">
        <v>26</v>
      </c>
      <c r="H3369" t="s">
        <v>27</v>
      </c>
      <c r="I3369">
        <v>8500</v>
      </c>
      <c r="J3369">
        <v>11050</v>
      </c>
      <c r="K3369">
        <v>1</v>
      </c>
      <c r="L3369">
        <v>8500</v>
      </c>
      <c r="M3369">
        <v>11050</v>
      </c>
      <c r="N3369" t="s">
        <v>50</v>
      </c>
      <c r="O3369">
        <f t="shared" si="104"/>
        <v>33150</v>
      </c>
      <c r="P3369" s="13">
        <f t="shared" si="105"/>
        <v>2016131</v>
      </c>
      <c r="Q3369" s="13">
        <f>SUMIFS(M:M,E:E,Online_eCommerce[[#This Row],[Status]])</f>
        <v>21103186</v>
      </c>
      <c r="R3369" s="13">
        <f>SUMIFS(L:L,H:H,Online_eCommerce[[#This Row],[Brand]])</f>
        <v>14431000</v>
      </c>
      <c r="S3369" s="13">
        <f>SUMIF(H:H,Online_eCommerce[[#This Row],[Brand]],M:M)</f>
        <v>18760300</v>
      </c>
      <c r="T3369" s="13">
        <f>SUMIF(N:N,Online_eCommerce[[#This Row],[Assigned Supervisor]],L:L)</f>
        <v>12100590</v>
      </c>
    </row>
    <row r="3370" spans="1:20" x14ac:dyDescent="0.3">
      <c r="A3370" t="s">
        <v>5053</v>
      </c>
      <c r="B3370" t="s">
        <v>37</v>
      </c>
      <c r="C3370" t="s">
        <v>68</v>
      </c>
      <c r="D3370" t="s">
        <v>5045</v>
      </c>
      <c r="E3370" t="s">
        <v>46</v>
      </c>
      <c r="F3370" t="s">
        <v>32</v>
      </c>
      <c r="G3370" t="s">
        <v>33</v>
      </c>
      <c r="H3370" t="s">
        <v>34</v>
      </c>
      <c r="I3370">
        <v>7000</v>
      </c>
      <c r="J3370">
        <v>9100</v>
      </c>
      <c r="K3370">
        <v>3</v>
      </c>
      <c r="L3370">
        <v>21000</v>
      </c>
      <c r="M3370">
        <v>27300</v>
      </c>
      <c r="N3370" t="s">
        <v>56</v>
      </c>
      <c r="O3370">
        <f t="shared" si="104"/>
        <v>18200</v>
      </c>
      <c r="P3370" s="13">
        <f t="shared" si="105"/>
        <v>2974621</v>
      </c>
      <c r="Q3370" s="13">
        <f>SUMIFS(M:M,E:E,Online_eCommerce[[#This Row],[Status]])</f>
        <v>28620410</v>
      </c>
      <c r="R3370" s="13">
        <f>SUMIFS(L:L,H:H,Online_eCommerce[[#This Row],[Brand]])</f>
        <v>10087000</v>
      </c>
      <c r="S3370" s="13">
        <f>SUMIF(H:H,Online_eCommerce[[#This Row],[Brand]],M:M)</f>
        <v>13113100</v>
      </c>
      <c r="T3370" s="13">
        <f>SUMIF(N:N,Online_eCommerce[[#This Row],[Assigned Supervisor]],L:L)</f>
        <v>11733610</v>
      </c>
    </row>
    <row r="3371" spans="1:20" hidden="1" x14ac:dyDescent="0.3">
      <c r="A3371" t="s">
        <v>5054</v>
      </c>
      <c r="B3371" t="s">
        <v>44</v>
      </c>
      <c r="C3371" t="s">
        <v>74</v>
      </c>
      <c r="D3371" t="s">
        <v>5045</v>
      </c>
      <c r="E3371" t="s">
        <v>96</v>
      </c>
      <c r="F3371" t="s">
        <v>5055</v>
      </c>
      <c r="G3371" t="s">
        <v>40</v>
      </c>
      <c r="H3371" t="s">
        <v>41</v>
      </c>
      <c r="I3371">
        <v>6550</v>
      </c>
      <c r="J3371">
        <v>8515</v>
      </c>
      <c r="K3371">
        <v>1</v>
      </c>
      <c r="L3371">
        <v>6550</v>
      </c>
      <c r="M3371">
        <v>8515</v>
      </c>
      <c r="N3371" t="s">
        <v>22</v>
      </c>
      <c r="O3371">
        <f t="shared" si="104"/>
        <v>25545</v>
      </c>
      <c r="P3371" s="13">
        <f t="shared" si="105"/>
        <v>2144701</v>
      </c>
      <c r="Q3371" s="13">
        <f>SUMIFS(M:M,E:E,Online_eCommerce[[#This Row],[Status]])</f>
        <v>21233992</v>
      </c>
      <c r="R3371" s="13">
        <f>SUMIFS(L:L,H:H,Online_eCommerce[[#This Row],[Brand]])</f>
        <v>4260400</v>
      </c>
      <c r="S3371" s="13">
        <f>SUMIF(H:H,Online_eCommerce[[#This Row],[Brand]],M:M)</f>
        <v>5538520</v>
      </c>
      <c r="T3371" s="13">
        <f>SUMIF(N:N,Online_eCommerce[[#This Row],[Assigned Supervisor]],L:L)</f>
        <v>13693220</v>
      </c>
    </row>
    <row r="3372" spans="1:20" hidden="1" x14ac:dyDescent="0.3">
      <c r="A3372" t="s">
        <v>5056</v>
      </c>
      <c r="B3372" t="s">
        <v>213</v>
      </c>
      <c r="C3372" t="s">
        <v>81</v>
      </c>
      <c r="D3372" t="s">
        <v>5045</v>
      </c>
      <c r="E3372" t="s">
        <v>18</v>
      </c>
      <c r="F3372" t="s">
        <v>47</v>
      </c>
      <c r="G3372" t="s">
        <v>334</v>
      </c>
      <c r="H3372" t="s">
        <v>49</v>
      </c>
      <c r="I3372">
        <v>7650</v>
      </c>
      <c r="J3372">
        <v>9945</v>
      </c>
      <c r="K3372">
        <v>3</v>
      </c>
      <c r="L3372">
        <v>22950</v>
      </c>
      <c r="M3372">
        <v>29835</v>
      </c>
      <c r="N3372" t="s">
        <v>28</v>
      </c>
      <c r="O3372">
        <f t="shared" si="104"/>
        <v>39780</v>
      </c>
      <c r="P3372" s="13">
        <f t="shared" si="105"/>
        <v>2595632</v>
      </c>
      <c r="Q3372" s="13">
        <f>SUMIFS(M:M,E:E,Online_eCommerce[[#This Row],[Status]])</f>
        <v>28340455</v>
      </c>
      <c r="R3372" s="13">
        <f>SUMIFS(L:L,H:H,Online_eCommerce[[#This Row],[Brand]])</f>
        <v>4528350</v>
      </c>
      <c r="S3372" s="13">
        <f>SUMIF(H:H,Online_eCommerce[[#This Row],[Brand]],M:M)</f>
        <v>5886855</v>
      </c>
      <c r="T3372" s="13">
        <f>SUMIF(N:N,Online_eCommerce[[#This Row],[Assigned Supervisor]],L:L)</f>
        <v>12220830</v>
      </c>
    </row>
    <row r="3373" spans="1:20" hidden="1" x14ac:dyDescent="0.3">
      <c r="A3373" t="s">
        <v>5057</v>
      </c>
      <c r="B3373" t="s">
        <v>215</v>
      </c>
      <c r="C3373" t="s">
        <v>86</v>
      </c>
      <c r="D3373" t="s">
        <v>5045</v>
      </c>
      <c r="E3373" t="s">
        <v>161</v>
      </c>
      <c r="F3373" t="s">
        <v>53</v>
      </c>
      <c r="G3373" t="s">
        <v>54</v>
      </c>
      <c r="H3373" t="s">
        <v>55</v>
      </c>
      <c r="I3373">
        <v>1150</v>
      </c>
      <c r="J3373">
        <v>1495</v>
      </c>
      <c r="K3373">
        <v>2</v>
      </c>
      <c r="L3373">
        <v>2300</v>
      </c>
      <c r="M3373">
        <v>2990</v>
      </c>
      <c r="N3373" t="s">
        <v>35</v>
      </c>
      <c r="O3373">
        <f t="shared" si="104"/>
        <v>2990</v>
      </c>
      <c r="P3373" s="13">
        <f t="shared" si="105"/>
        <v>1941225</v>
      </c>
      <c r="Q3373" s="13">
        <f>SUMIFS(M:M,E:E,Online_eCommerce[[#This Row],[Status]])</f>
        <v>21103186</v>
      </c>
      <c r="R3373" s="13">
        <f>SUMIFS(L:L,H:H,Online_eCommerce[[#This Row],[Brand]])</f>
        <v>2267380</v>
      </c>
      <c r="S3373" s="13">
        <f>SUMIF(H:H,Online_eCommerce[[#This Row],[Brand]],M:M)</f>
        <v>2947594</v>
      </c>
      <c r="T3373" s="13">
        <f>SUMIF(N:N,Online_eCommerce[[#This Row],[Assigned Supervisor]],L:L)</f>
        <v>14373360</v>
      </c>
    </row>
    <row r="3374" spans="1:20" x14ac:dyDescent="0.3">
      <c r="A3374" t="s">
        <v>5058</v>
      </c>
      <c r="B3374" t="s">
        <v>306</v>
      </c>
      <c r="C3374" t="s">
        <v>91</v>
      </c>
      <c r="D3374" t="s">
        <v>5045</v>
      </c>
      <c r="E3374" t="s">
        <v>46</v>
      </c>
      <c r="F3374" t="s">
        <v>59</v>
      </c>
      <c r="G3374" t="s">
        <v>60</v>
      </c>
      <c r="H3374" t="s">
        <v>61</v>
      </c>
      <c r="I3374">
        <v>850</v>
      </c>
      <c r="J3374">
        <v>1105</v>
      </c>
      <c r="K3374">
        <v>4</v>
      </c>
      <c r="L3374">
        <v>3400</v>
      </c>
      <c r="M3374">
        <v>4420</v>
      </c>
      <c r="N3374" t="s">
        <v>42</v>
      </c>
      <c r="O3374">
        <f t="shared" si="104"/>
        <v>3315</v>
      </c>
      <c r="P3374" s="13">
        <f t="shared" si="105"/>
        <v>2731963</v>
      </c>
      <c r="Q3374" s="13">
        <f>SUMIFS(M:M,E:E,Online_eCommerce[[#This Row],[Status]])</f>
        <v>28620410</v>
      </c>
      <c r="R3374" s="13">
        <f>SUMIFS(L:L,H:H,Online_eCommerce[[#This Row],[Brand]])</f>
        <v>10950150</v>
      </c>
      <c r="S3374" s="13">
        <f>SUMIF(H:H,Online_eCommerce[[#This Row],[Brand]],M:M)</f>
        <v>14235195</v>
      </c>
      <c r="T3374" s="13">
        <f>SUMIF(N:N,Online_eCommerce[[#This Row],[Assigned Supervisor]],L:L)</f>
        <v>12261500</v>
      </c>
    </row>
    <row r="3375" spans="1:20" hidden="1" x14ac:dyDescent="0.3">
      <c r="A3375" t="s">
        <v>5059</v>
      </c>
      <c r="B3375" t="s">
        <v>528</v>
      </c>
      <c r="C3375" t="s">
        <v>94</v>
      </c>
      <c r="D3375" t="s">
        <v>5045</v>
      </c>
      <c r="E3375" t="s">
        <v>96</v>
      </c>
      <c r="F3375" t="s">
        <v>65</v>
      </c>
      <c r="G3375" t="s">
        <v>66</v>
      </c>
      <c r="H3375" t="s">
        <v>21</v>
      </c>
      <c r="I3375">
        <v>650</v>
      </c>
      <c r="J3375">
        <v>845</v>
      </c>
      <c r="K3375">
        <v>1</v>
      </c>
      <c r="L3375">
        <v>650</v>
      </c>
      <c r="M3375">
        <v>845</v>
      </c>
      <c r="N3375" t="s">
        <v>50</v>
      </c>
      <c r="O3375">
        <f t="shared" si="104"/>
        <v>1690</v>
      </c>
      <c r="P3375" s="13">
        <f t="shared" si="105"/>
        <v>1868256</v>
      </c>
      <c r="Q3375" s="13">
        <f>SUMIFS(M:M,E:E,Online_eCommerce[[#This Row],[Status]])</f>
        <v>21233992</v>
      </c>
      <c r="R3375" s="13">
        <f>SUMIFS(L:L,H:H,Online_eCommerce[[#This Row],[Brand]])</f>
        <v>12435650</v>
      </c>
      <c r="S3375" s="13">
        <f>SUMIF(H:H,Online_eCommerce[[#This Row],[Brand]],M:M)</f>
        <v>16166345</v>
      </c>
      <c r="T3375" s="13">
        <f>SUMIF(N:N,Online_eCommerce[[#This Row],[Assigned Supervisor]],L:L)</f>
        <v>12100590</v>
      </c>
    </row>
    <row r="3376" spans="1:20" hidden="1" x14ac:dyDescent="0.3">
      <c r="A3376" t="s">
        <v>5060</v>
      </c>
      <c r="B3376" t="s">
        <v>73</v>
      </c>
      <c r="C3376" t="s">
        <v>99</v>
      </c>
      <c r="D3376" t="s">
        <v>5045</v>
      </c>
      <c r="E3376" t="s">
        <v>18</v>
      </c>
      <c r="F3376" t="s">
        <v>70</v>
      </c>
      <c r="G3376" t="s">
        <v>71</v>
      </c>
      <c r="H3376" t="s">
        <v>61</v>
      </c>
      <c r="I3376">
        <v>7500</v>
      </c>
      <c r="J3376">
        <v>9750</v>
      </c>
      <c r="K3376">
        <v>3</v>
      </c>
      <c r="L3376">
        <v>22500</v>
      </c>
      <c r="M3376">
        <v>29250</v>
      </c>
      <c r="N3376" t="s">
        <v>56</v>
      </c>
      <c r="O3376">
        <f t="shared" si="104"/>
        <v>9750</v>
      </c>
      <c r="P3376" s="13">
        <f t="shared" si="105"/>
        <v>2651233</v>
      </c>
      <c r="Q3376" s="13">
        <f>SUMIFS(M:M,E:E,Online_eCommerce[[#This Row],[Status]])</f>
        <v>28340455</v>
      </c>
      <c r="R3376" s="13">
        <f>SUMIFS(L:L,H:H,Online_eCommerce[[#This Row],[Brand]])</f>
        <v>10950150</v>
      </c>
      <c r="S3376" s="13">
        <f>SUMIF(H:H,Online_eCommerce[[#This Row],[Brand]],M:M)</f>
        <v>14235195</v>
      </c>
      <c r="T3376" s="13">
        <f>SUMIF(N:N,Online_eCommerce[[#This Row],[Assigned Supervisor]],L:L)</f>
        <v>11733610</v>
      </c>
    </row>
    <row r="3377" spans="1:20" hidden="1" x14ac:dyDescent="0.3">
      <c r="A3377" t="s">
        <v>5061</v>
      </c>
      <c r="B3377" t="s">
        <v>80</v>
      </c>
      <c r="C3377" t="s">
        <v>105</v>
      </c>
      <c r="D3377" t="s">
        <v>5045</v>
      </c>
      <c r="E3377" t="s">
        <v>161</v>
      </c>
      <c r="F3377" t="s">
        <v>5048</v>
      </c>
      <c r="G3377" t="s">
        <v>77</v>
      </c>
      <c r="H3377" t="s">
        <v>78</v>
      </c>
      <c r="I3377">
        <v>10000</v>
      </c>
      <c r="J3377">
        <v>13000</v>
      </c>
      <c r="K3377">
        <v>1</v>
      </c>
      <c r="L3377">
        <v>10000</v>
      </c>
      <c r="M3377">
        <v>13000</v>
      </c>
      <c r="N3377" t="s">
        <v>22</v>
      </c>
      <c r="O3377">
        <f t="shared" si="104"/>
        <v>39000</v>
      </c>
      <c r="P3377" s="13">
        <f t="shared" si="105"/>
        <v>1866852</v>
      </c>
      <c r="Q3377" s="13">
        <f>SUMIFS(M:M,E:E,Online_eCommerce[[#This Row],[Status]])</f>
        <v>21103186</v>
      </c>
      <c r="R3377" s="13">
        <f>SUMIFS(L:L,H:H,Online_eCommerce[[#This Row],[Brand]])</f>
        <v>3720000</v>
      </c>
      <c r="S3377" s="13">
        <f>SUMIF(H:H,Online_eCommerce[[#This Row],[Brand]],M:M)</f>
        <v>4836000</v>
      </c>
      <c r="T3377" s="13">
        <f>SUMIF(N:N,Online_eCommerce[[#This Row],[Assigned Supervisor]],L:L)</f>
        <v>13693220</v>
      </c>
    </row>
    <row r="3378" spans="1:20" x14ac:dyDescent="0.3">
      <c r="A3378" t="s">
        <v>5062</v>
      </c>
      <c r="B3378" t="s">
        <v>85</v>
      </c>
      <c r="C3378" t="s">
        <v>110</v>
      </c>
      <c r="D3378" t="s">
        <v>5045</v>
      </c>
      <c r="E3378" t="s">
        <v>46</v>
      </c>
      <c r="F3378" t="s">
        <v>5063</v>
      </c>
      <c r="G3378" t="s">
        <v>20</v>
      </c>
      <c r="H3378" t="s">
        <v>21</v>
      </c>
      <c r="I3378">
        <v>10500</v>
      </c>
      <c r="J3378">
        <v>13650</v>
      </c>
      <c r="K3378">
        <v>1</v>
      </c>
      <c r="L3378">
        <v>10500</v>
      </c>
      <c r="M3378">
        <v>13650</v>
      </c>
      <c r="N3378" t="s">
        <v>28</v>
      </c>
      <c r="O3378">
        <f t="shared" si="104"/>
        <v>8450</v>
      </c>
      <c r="P3378" s="13">
        <f t="shared" si="105"/>
        <v>2598635</v>
      </c>
      <c r="Q3378" s="13">
        <f>SUMIFS(M:M,E:E,Online_eCommerce[[#This Row],[Status]])</f>
        <v>28620410</v>
      </c>
      <c r="R3378" s="13">
        <f>SUMIFS(L:L,H:H,Online_eCommerce[[#This Row],[Brand]])</f>
        <v>12435650</v>
      </c>
      <c r="S3378" s="13">
        <f>SUMIF(H:H,Online_eCommerce[[#This Row],[Brand]],M:M)</f>
        <v>16166345</v>
      </c>
      <c r="T3378" s="13">
        <f>SUMIF(N:N,Online_eCommerce[[#This Row],[Assigned Supervisor]],L:L)</f>
        <v>12220830</v>
      </c>
    </row>
    <row r="3379" spans="1:20" hidden="1" x14ac:dyDescent="0.3">
      <c r="A3379" t="s">
        <v>5064</v>
      </c>
      <c r="B3379" t="s">
        <v>90</v>
      </c>
      <c r="C3379" t="s">
        <v>115</v>
      </c>
      <c r="D3379" t="s">
        <v>5045</v>
      </c>
      <c r="E3379" t="s">
        <v>96</v>
      </c>
      <c r="F3379" t="s">
        <v>88</v>
      </c>
      <c r="G3379" t="s">
        <v>26</v>
      </c>
      <c r="H3379" t="s">
        <v>27</v>
      </c>
      <c r="I3379">
        <v>8500</v>
      </c>
      <c r="J3379">
        <v>11050</v>
      </c>
      <c r="K3379">
        <v>3</v>
      </c>
      <c r="L3379">
        <v>25500</v>
      </c>
      <c r="M3379">
        <v>33150</v>
      </c>
      <c r="N3379" t="s">
        <v>35</v>
      </c>
      <c r="O3379">
        <f t="shared" si="104"/>
        <v>33150</v>
      </c>
      <c r="P3379" s="13">
        <f t="shared" si="105"/>
        <v>2050178</v>
      </c>
      <c r="Q3379" s="13">
        <f>SUMIFS(M:M,E:E,Online_eCommerce[[#This Row],[Status]])</f>
        <v>21233992</v>
      </c>
      <c r="R3379" s="13">
        <f>SUMIFS(L:L,H:H,Online_eCommerce[[#This Row],[Brand]])</f>
        <v>14431000</v>
      </c>
      <c r="S3379" s="13">
        <f>SUMIF(H:H,Online_eCommerce[[#This Row],[Brand]],M:M)</f>
        <v>18760300</v>
      </c>
      <c r="T3379" s="13">
        <f>SUMIF(N:N,Online_eCommerce[[#This Row],[Assigned Supervisor]],L:L)</f>
        <v>14373360</v>
      </c>
    </row>
    <row r="3380" spans="1:20" hidden="1" x14ac:dyDescent="0.3">
      <c r="A3380" t="s">
        <v>5065</v>
      </c>
      <c r="B3380" t="s">
        <v>232</v>
      </c>
      <c r="C3380" t="s">
        <v>120</v>
      </c>
      <c r="D3380" t="s">
        <v>5045</v>
      </c>
      <c r="E3380" t="s">
        <v>18</v>
      </c>
      <c r="F3380" t="s">
        <v>32</v>
      </c>
      <c r="G3380" t="s">
        <v>33</v>
      </c>
      <c r="H3380" t="s">
        <v>34</v>
      </c>
      <c r="I3380">
        <v>7000</v>
      </c>
      <c r="J3380">
        <v>9100</v>
      </c>
      <c r="K3380">
        <v>3</v>
      </c>
      <c r="L3380">
        <v>21000</v>
      </c>
      <c r="M3380">
        <v>27300</v>
      </c>
      <c r="N3380" t="s">
        <v>42</v>
      </c>
      <c r="O3380">
        <f t="shared" si="104"/>
        <v>18200</v>
      </c>
      <c r="P3380" s="13">
        <f t="shared" si="105"/>
        <v>2734212</v>
      </c>
      <c r="Q3380" s="13">
        <f>SUMIFS(M:M,E:E,Online_eCommerce[[#This Row],[Status]])</f>
        <v>28340455</v>
      </c>
      <c r="R3380" s="13">
        <f>SUMIFS(L:L,H:H,Online_eCommerce[[#This Row],[Brand]])</f>
        <v>10087000</v>
      </c>
      <c r="S3380" s="13">
        <f>SUMIF(H:H,Online_eCommerce[[#This Row],[Brand]],M:M)</f>
        <v>13113100</v>
      </c>
      <c r="T3380" s="13">
        <f>SUMIF(N:N,Online_eCommerce[[#This Row],[Assigned Supervisor]],L:L)</f>
        <v>12261500</v>
      </c>
    </row>
    <row r="3381" spans="1:20" hidden="1" x14ac:dyDescent="0.3">
      <c r="A3381" t="s">
        <v>5066</v>
      </c>
      <c r="B3381" t="s">
        <v>235</v>
      </c>
      <c r="C3381" t="s">
        <v>125</v>
      </c>
      <c r="D3381" t="s">
        <v>5045</v>
      </c>
      <c r="E3381" t="s">
        <v>161</v>
      </c>
      <c r="F3381" t="s">
        <v>5067</v>
      </c>
      <c r="G3381" t="s">
        <v>40</v>
      </c>
      <c r="H3381" t="s">
        <v>41</v>
      </c>
      <c r="I3381">
        <v>1680</v>
      </c>
      <c r="J3381">
        <v>2184</v>
      </c>
      <c r="K3381">
        <v>2</v>
      </c>
      <c r="L3381">
        <v>3360</v>
      </c>
      <c r="M3381">
        <v>4368</v>
      </c>
      <c r="N3381" t="s">
        <v>50</v>
      </c>
      <c r="O3381">
        <f t="shared" si="104"/>
        <v>25545</v>
      </c>
      <c r="P3381" s="13">
        <f t="shared" si="105"/>
        <v>2091154</v>
      </c>
      <c r="Q3381" s="13">
        <f>SUMIFS(M:M,E:E,Online_eCommerce[[#This Row],[Status]])</f>
        <v>21103186</v>
      </c>
      <c r="R3381" s="13">
        <f>SUMIFS(L:L,H:H,Online_eCommerce[[#This Row],[Brand]])</f>
        <v>4260400</v>
      </c>
      <c r="S3381" s="13">
        <f>SUMIF(H:H,Online_eCommerce[[#This Row],[Brand]],M:M)</f>
        <v>5538520</v>
      </c>
      <c r="T3381" s="13">
        <f>SUMIF(N:N,Online_eCommerce[[#This Row],[Assigned Supervisor]],L:L)</f>
        <v>12100590</v>
      </c>
    </row>
    <row r="3382" spans="1:20" x14ac:dyDescent="0.3">
      <c r="A3382" t="s">
        <v>5068</v>
      </c>
      <c r="B3382" t="s">
        <v>104</v>
      </c>
      <c r="C3382" t="s">
        <v>22</v>
      </c>
      <c r="D3382" t="s">
        <v>5045</v>
      </c>
      <c r="E3382" t="s">
        <v>46</v>
      </c>
      <c r="F3382" t="s">
        <v>101</v>
      </c>
      <c r="G3382" t="s">
        <v>334</v>
      </c>
      <c r="H3382" t="s">
        <v>102</v>
      </c>
      <c r="I3382">
        <v>6540</v>
      </c>
      <c r="J3382">
        <v>8502</v>
      </c>
      <c r="K3382">
        <v>2</v>
      </c>
      <c r="L3382">
        <v>13080</v>
      </c>
      <c r="M3382">
        <v>17004</v>
      </c>
      <c r="N3382" t="s">
        <v>56</v>
      </c>
      <c r="O3382">
        <f t="shared" si="104"/>
        <v>39780</v>
      </c>
      <c r="P3382" s="13">
        <f t="shared" si="105"/>
        <v>2551588</v>
      </c>
      <c r="Q3382" s="13">
        <f>SUMIFS(M:M,E:E,Online_eCommerce[[#This Row],[Status]])</f>
        <v>28620410</v>
      </c>
      <c r="R3382" s="13">
        <f>SUMIFS(L:L,H:H,Online_eCommerce[[#This Row],[Brand]])</f>
        <v>2465580</v>
      </c>
      <c r="S3382" s="13">
        <f>SUMIF(H:H,Online_eCommerce[[#This Row],[Brand]],M:M)</f>
        <v>3205254</v>
      </c>
      <c r="T3382" s="13">
        <f>SUMIF(N:N,Online_eCommerce[[#This Row],[Assigned Supervisor]],L:L)</f>
        <v>11733610</v>
      </c>
    </row>
    <row r="3383" spans="1:20" hidden="1" x14ac:dyDescent="0.3">
      <c r="A3383" t="s">
        <v>5069</v>
      </c>
      <c r="B3383" t="s">
        <v>109</v>
      </c>
      <c r="C3383" t="s">
        <v>132</v>
      </c>
      <c r="D3383" t="s">
        <v>5070</v>
      </c>
      <c r="E3383" t="s">
        <v>96</v>
      </c>
      <c r="F3383" t="s">
        <v>107</v>
      </c>
      <c r="G3383" t="s">
        <v>54</v>
      </c>
      <c r="H3383" t="s">
        <v>55</v>
      </c>
      <c r="I3383">
        <v>2680</v>
      </c>
      <c r="J3383">
        <v>3484</v>
      </c>
      <c r="K3383">
        <v>4</v>
      </c>
      <c r="L3383">
        <v>10720</v>
      </c>
      <c r="M3383">
        <v>13936</v>
      </c>
      <c r="N3383" t="s">
        <v>22</v>
      </c>
      <c r="O3383">
        <f t="shared" si="104"/>
        <v>2990</v>
      </c>
      <c r="P3383" s="13">
        <f t="shared" si="105"/>
        <v>1989065</v>
      </c>
      <c r="Q3383" s="13">
        <f>SUMIFS(M:M,E:E,Online_eCommerce[[#This Row],[Status]])</f>
        <v>21233992</v>
      </c>
      <c r="R3383" s="13">
        <f>SUMIFS(L:L,H:H,Online_eCommerce[[#This Row],[Brand]])</f>
        <v>2267380</v>
      </c>
      <c r="S3383" s="13">
        <f>SUMIF(H:H,Online_eCommerce[[#This Row],[Brand]],M:M)</f>
        <v>2947594</v>
      </c>
      <c r="T3383" s="13">
        <f>SUMIF(N:N,Online_eCommerce[[#This Row],[Assigned Supervisor]],L:L)</f>
        <v>13693220</v>
      </c>
    </row>
    <row r="3384" spans="1:20" hidden="1" x14ac:dyDescent="0.3">
      <c r="A3384" t="s">
        <v>5071</v>
      </c>
      <c r="B3384" t="s">
        <v>114</v>
      </c>
      <c r="C3384" t="s">
        <v>136</v>
      </c>
      <c r="D3384" t="s">
        <v>5072</v>
      </c>
      <c r="E3384" t="s">
        <v>18</v>
      </c>
      <c r="F3384" t="s">
        <v>112</v>
      </c>
      <c r="G3384" t="s">
        <v>71</v>
      </c>
      <c r="H3384" t="s">
        <v>21</v>
      </c>
      <c r="I3384">
        <v>8250</v>
      </c>
      <c r="J3384">
        <v>10725</v>
      </c>
      <c r="K3384">
        <v>3</v>
      </c>
      <c r="L3384">
        <v>24750</v>
      </c>
      <c r="M3384">
        <v>32175</v>
      </c>
      <c r="N3384" t="s">
        <v>22</v>
      </c>
      <c r="O3384">
        <f t="shared" si="104"/>
        <v>9750</v>
      </c>
      <c r="P3384" s="13">
        <f t="shared" si="105"/>
        <v>2775162</v>
      </c>
      <c r="Q3384" s="13">
        <f>SUMIFS(M:M,E:E,Online_eCommerce[[#This Row],[Status]])</f>
        <v>28340455</v>
      </c>
      <c r="R3384" s="13">
        <f>SUMIFS(L:L,H:H,Online_eCommerce[[#This Row],[Brand]])</f>
        <v>12435650</v>
      </c>
      <c r="S3384" s="13">
        <f>SUMIF(H:H,Online_eCommerce[[#This Row],[Brand]],M:M)</f>
        <v>16166345</v>
      </c>
      <c r="T3384" s="13">
        <f>SUMIF(N:N,Online_eCommerce[[#This Row],[Assigned Supervisor]],L:L)</f>
        <v>13693220</v>
      </c>
    </row>
    <row r="3385" spans="1:20" hidden="1" x14ac:dyDescent="0.3">
      <c r="A3385" t="s">
        <v>5073</v>
      </c>
      <c r="B3385" t="s">
        <v>119</v>
      </c>
      <c r="C3385" t="s">
        <v>140</v>
      </c>
      <c r="D3385" t="s">
        <v>5074</v>
      </c>
      <c r="E3385" t="s">
        <v>161</v>
      </c>
      <c r="F3385" t="s">
        <v>4623</v>
      </c>
      <c r="G3385" t="s">
        <v>40</v>
      </c>
      <c r="H3385" t="s">
        <v>21</v>
      </c>
      <c r="I3385">
        <v>2650</v>
      </c>
      <c r="J3385">
        <v>3445</v>
      </c>
      <c r="K3385">
        <v>1</v>
      </c>
      <c r="L3385">
        <v>2650</v>
      </c>
      <c r="M3385">
        <v>3445</v>
      </c>
      <c r="N3385" t="s">
        <v>28</v>
      </c>
      <c r="O3385">
        <f t="shared" si="104"/>
        <v>25545</v>
      </c>
      <c r="P3385" s="13">
        <f t="shared" si="105"/>
        <v>2058264</v>
      </c>
      <c r="Q3385" s="13">
        <f>SUMIFS(M:M,E:E,Online_eCommerce[[#This Row],[Status]])</f>
        <v>21103186</v>
      </c>
      <c r="R3385" s="13">
        <f>SUMIFS(L:L,H:H,Online_eCommerce[[#This Row],[Brand]])</f>
        <v>12435650</v>
      </c>
      <c r="S3385" s="13">
        <f>SUMIF(H:H,Online_eCommerce[[#This Row],[Brand]],M:M)</f>
        <v>16166345</v>
      </c>
      <c r="T3385" s="13">
        <f>SUMIF(N:N,Online_eCommerce[[#This Row],[Assigned Supervisor]],L:L)</f>
        <v>12220830</v>
      </c>
    </row>
    <row r="3386" spans="1:20" x14ac:dyDescent="0.3">
      <c r="A3386" t="s">
        <v>5075</v>
      </c>
      <c r="B3386" t="s">
        <v>124</v>
      </c>
      <c r="C3386" t="s">
        <v>145</v>
      </c>
      <c r="D3386" t="s">
        <v>5076</v>
      </c>
      <c r="E3386" t="s">
        <v>46</v>
      </c>
      <c r="F3386" t="s">
        <v>121</v>
      </c>
      <c r="G3386" t="s">
        <v>71</v>
      </c>
      <c r="H3386" t="s">
        <v>122</v>
      </c>
      <c r="I3386">
        <v>12550</v>
      </c>
      <c r="J3386">
        <v>16315</v>
      </c>
      <c r="K3386">
        <v>3</v>
      </c>
      <c r="L3386">
        <v>37650</v>
      </c>
      <c r="M3386">
        <v>48945</v>
      </c>
      <c r="N3386" t="s">
        <v>35</v>
      </c>
      <c r="O3386">
        <f t="shared" si="104"/>
        <v>9750</v>
      </c>
      <c r="P3386" s="13">
        <f t="shared" si="105"/>
        <v>2757859</v>
      </c>
      <c r="Q3386" s="13">
        <f>SUMIFS(M:M,E:E,Online_eCommerce[[#This Row],[Status]])</f>
        <v>28620410</v>
      </c>
      <c r="R3386" s="13">
        <f>SUMIFS(L:L,H:H,Online_eCommerce[[#This Row],[Brand]])</f>
        <v>5045100</v>
      </c>
      <c r="S3386" s="13">
        <f>SUMIF(H:H,Online_eCommerce[[#This Row],[Brand]],M:M)</f>
        <v>6558630</v>
      </c>
      <c r="T3386" s="13">
        <f>SUMIF(N:N,Online_eCommerce[[#This Row],[Assigned Supervisor]],L:L)</f>
        <v>14373360</v>
      </c>
    </row>
    <row r="3387" spans="1:20" hidden="1" x14ac:dyDescent="0.3">
      <c r="A3387" t="s">
        <v>5077</v>
      </c>
      <c r="B3387" t="s">
        <v>128</v>
      </c>
      <c r="C3387" t="s">
        <v>150</v>
      </c>
      <c r="D3387" t="s">
        <v>5078</v>
      </c>
      <c r="E3387" t="s">
        <v>96</v>
      </c>
      <c r="F3387" t="s">
        <v>126</v>
      </c>
      <c r="G3387" t="s">
        <v>26</v>
      </c>
      <c r="H3387" t="s">
        <v>27</v>
      </c>
      <c r="I3387">
        <v>14500</v>
      </c>
      <c r="J3387">
        <v>18850</v>
      </c>
      <c r="K3387">
        <v>3</v>
      </c>
      <c r="L3387">
        <v>43500</v>
      </c>
      <c r="M3387">
        <v>56550</v>
      </c>
      <c r="N3387" t="s">
        <v>42</v>
      </c>
      <c r="O3387">
        <f t="shared" si="104"/>
        <v>33150</v>
      </c>
      <c r="P3387" s="13">
        <f t="shared" si="105"/>
        <v>2154984</v>
      </c>
      <c r="Q3387" s="13">
        <f>SUMIFS(M:M,E:E,Online_eCommerce[[#This Row],[Status]])</f>
        <v>21233992</v>
      </c>
      <c r="R3387" s="13">
        <f>SUMIFS(L:L,H:H,Online_eCommerce[[#This Row],[Brand]])</f>
        <v>14431000</v>
      </c>
      <c r="S3387" s="13">
        <f>SUMIF(H:H,Online_eCommerce[[#This Row],[Brand]],M:M)</f>
        <v>18760300</v>
      </c>
      <c r="T3387" s="13">
        <f>SUMIF(N:N,Online_eCommerce[[#This Row],[Assigned Supervisor]],L:L)</f>
        <v>12261500</v>
      </c>
    </row>
    <row r="3388" spans="1:20" hidden="1" x14ac:dyDescent="0.3">
      <c r="A3388" t="s">
        <v>5079</v>
      </c>
      <c r="B3388" t="s">
        <v>131</v>
      </c>
      <c r="C3388" t="s">
        <v>155</v>
      </c>
      <c r="D3388" t="s">
        <v>5080</v>
      </c>
      <c r="E3388" t="s">
        <v>18</v>
      </c>
      <c r="F3388" t="s">
        <v>129</v>
      </c>
      <c r="G3388" t="s">
        <v>60</v>
      </c>
      <c r="H3388" t="s">
        <v>61</v>
      </c>
      <c r="I3388">
        <v>800</v>
      </c>
      <c r="J3388">
        <v>1040</v>
      </c>
      <c r="K3388">
        <v>2</v>
      </c>
      <c r="L3388">
        <v>1600</v>
      </c>
      <c r="M3388">
        <v>2080</v>
      </c>
      <c r="N3388" t="s">
        <v>50</v>
      </c>
      <c r="O3388">
        <f t="shared" si="104"/>
        <v>3315</v>
      </c>
      <c r="P3388" s="13">
        <f t="shared" si="105"/>
        <v>2753348</v>
      </c>
      <c r="Q3388" s="13">
        <f>SUMIFS(M:M,E:E,Online_eCommerce[[#This Row],[Status]])</f>
        <v>28340455</v>
      </c>
      <c r="R3388" s="13">
        <f>SUMIFS(L:L,H:H,Online_eCommerce[[#This Row],[Brand]])</f>
        <v>10950150</v>
      </c>
      <c r="S3388" s="13">
        <f>SUMIF(H:H,Online_eCommerce[[#This Row],[Brand]],M:M)</f>
        <v>14235195</v>
      </c>
      <c r="T3388" s="13">
        <f>SUMIF(N:N,Online_eCommerce[[#This Row],[Assigned Supervisor]],L:L)</f>
        <v>12100590</v>
      </c>
    </row>
    <row r="3389" spans="1:20" hidden="1" x14ac:dyDescent="0.3">
      <c r="A3389" t="s">
        <v>5081</v>
      </c>
      <c r="B3389" t="s">
        <v>135</v>
      </c>
      <c r="C3389" t="s">
        <v>160</v>
      </c>
      <c r="D3389" t="s">
        <v>5082</v>
      </c>
      <c r="E3389" t="s">
        <v>161</v>
      </c>
      <c r="F3389" t="s">
        <v>133</v>
      </c>
      <c r="G3389" t="s">
        <v>66</v>
      </c>
      <c r="H3389" t="s">
        <v>21</v>
      </c>
      <c r="I3389">
        <v>600</v>
      </c>
      <c r="J3389">
        <v>780</v>
      </c>
      <c r="K3389">
        <v>3</v>
      </c>
      <c r="L3389">
        <v>1800</v>
      </c>
      <c r="M3389">
        <v>2340</v>
      </c>
      <c r="N3389" t="s">
        <v>56</v>
      </c>
      <c r="O3389">
        <f t="shared" si="104"/>
        <v>1690</v>
      </c>
      <c r="P3389" s="13">
        <f t="shared" si="105"/>
        <v>2303483</v>
      </c>
      <c r="Q3389" s="13">
        <f>SUMIFS(M:M,E:E,Online_eCommerce[[#This Row],[Status]])</f>
        <v>21103186</v>
      </c>
      <c r="R3389" s="13">
        <f>SUMIFS(L:L,H:H,Online_eCommerce[[#This Row],[Brand]])</f>
        <v>12435650</v>
      </c>
      <c r="S3389" s="13">
        <f>SUMIF(H:H,Online_eCommerce[[#This Row],[Brand]],M:M)</f>
        <v>16166345</v>
      </c>
      <c r="T3389" s="13">
        <f>SUMIF(N:N,Online_eCommerce[[#This Row],[Assigned Supervisor]],L:L)</f>
        <v>11733610</v>
      </c>
    </row>
    <row r="3390" spans="1:20" x14ac:dyDescent="0.3">
      <c r="A3390" t="s">
        <v>5083</v>
      </c>
      <c r="B3390" t="s">
        <v>139</v>
      </c>
      <c r="C3390" t="s">
        <v>165</v>
      </c>
      <c r="D3390" t="s">
        <v>5084</v>
      </c>
      <c r="E3390" t="s">
        <v>46</v>
      </c>
      <c r="F3390" t="s">
        <v>137</v>
      </c>
      <c r="G3390" t="s">
        <v>71</v>
      </c>
      <c r="H3390" t="s">
        <v>61</v>
      </c>
      <c r="I3390">
        <v>10500</v>
      </c>
      <c r="J3390">
        <v>13650</v>
      </c>
      <c r="K3390">
        <v>2</v>
      </c>
      <c r="L3390">
        <v>21000</v>
      </c>
      <c r="M3390">
        <v>27300</v>
      </c>
      <c r="N3390" t="s">
        <v>22</v>
      </c>
      <c r="O3390">
        <f t="shared" si="104"/>
        <v>9750</v>
      </c>
      <c r="P3390" s="13">
        <f t="shared" si="105"/>
        <v>2674087</v>
      </c>
      <c r="Q3390" s="13">
        <f>SUMIFS(M:M,E:E,Online_eCommerce[[#This Row],[Status]])</f>
        <v>28620410</v>
      </c>
      <c r="R3390" s="13">
        <f>SUMIFS(L:L,H:H,Online_eCommerce[[#This Row],[Brand]])</f>
        <v>10950150</v>
      </c>
      <c r="S3390" s="13">
        <f>SUMIF(H:H,Online_eCommerce[[#This Row],[Brand]],M:M)</f>
        <v>14235195</v>
      </c>
      <c r="T3390" s="13">
        <f>SUMIF(N:N,Online_eCommerce[[#This Row],[Assigned Supervisor]],L:L)</f>
        <v>13693220</v>
      </c>
    </row>
    <row r="3391" spans="1:20" hidden="1" x14ac:dyDescent="0.3">
      <c r="A3391" t="s">
        <v>5085</v>
      </c>
      <c r="B3391" t="s">
        <v>144</v>
      </c>
      <c r="C3391" t="s">
        <v>168</v>
      </c>
      <c r="D3391" t="s">
        <v>5086</v>
      </c>
      <c r="E3391" t="s">
        <v>96</v>
      </c>
      <c r="F3391" t="s">
        <v>5048</v>
      </c>
      <c r="G3391" t="s">
        <v>77</v>
      </c>
      <c r="H3391" t="s">
        <v>142</v>
      </c>
      <c r="I3391">
        <v>6500</v>
      </c>
      <c r="J3391">
        <v>8450</v>
      </c>
      <c r="K3391">
        <v>4</v>
      </c>
      <c r="L3391">
        <v>26000</v>
      </c>
      <c r="M3391">
        <v>33800</v>
      </c>
      <c r="N3391" t="s">
        <v>28</v>
      </c>
      <c r="O3391">
        <f t="shared" si="104"/>
        <v>39000</v>
      </c>
      <c r="P3391" s="13">
        <f t="shared" si="105"/>
        <v>1937780</v>
      </c>
      <c r="Q3391" s="13">
        <f>SUMIFS(M:M,E:E,Online_eCommerce[[#This Row],[Status]])</f>
        <v>21233992</v>
      </c>
      <c r="R3391" s="13">
        <f>SUMIFS(L:L,H:H,Online_eCommerce[[#This Row],[Brand]])</f>
        <v>6192500</v>
      </c>
      <c r="S3391" s="13">
        <f>SUMIF(H:H,Online_eCommerce[[#This Row],[Brand]],M:M)</f>
        <v>8050250</v>
      </c>
      <c r="T3391" s="13">
        <f>SUMIF(N:N,Online_eCommerce[[#This Row],[Assigned Supervisor]],L:L)</f>
        <v>12220830</v>
      </c>
    </row>
    <row r="3392" spans="1:20" hidden="1" x14ac:dyDescent="0.3">
      <c r="A3392" t="s">
        <v>5087</v>
      </c>
      <c r="B3392" t="s">
        <v>149</v>
      </c>
      <c r="C3392" t="s">
        <v>172</v>
      </c>
      <c r="D3392" t="s">
        <v>5088</v>
      </c>
      <c r="E3392" t="s">
        <v>18</v>
      </c>
      <c r="F3392" t="s">
        <v>5089</v>
      </c>
      <c r="G3392" t="s">
        <v>20</v>
      </c>
      <c r="H3392" t="s">
        <v>21</v>
      </c>
      <c r="I3392">
        <v>4500</v>
      </c>
      <c r="J3392">
        <v>5850</v>
      </c>
      <c r="K3392">
        <v>4</v>
      </c>
      <c r="L3392">
        <v>18000</v>
      </c>
      <c r="M3392">
        <v>23400</v>
      </c>
      <c r="N3392" t="s">
        <v>35</v>
      </c>
      <c r="O3392">
        <f t="shared" si="104"/>
        <v>8450</v>
      </c>
      <c r="P3392" s="13">
        <f t="shared" si="105"/>
        <v>2640274</v>
      </c>
      <c r="Q3392" s="13">
        <f>SUMIFS(M:M,E:E,Online_eCommerce[[#This Row],[Status]])</f>
        <v>28340455</v>
      </c>
      <c r="R3392" s="13">
        <f>SUMIFS(L:L,H:H,Online_eCommerce[[#This Row],[Brand]])</f>
        <v>12435650</v>
      </c>
      <c r="S3392" s="13">
        <f>SUMIF(H:H,Online_eCommerce[[#This Row],[Brand]],M:M)</f>
        <v>16166345</v>
      </c>
      <c r="T3392" s="13">
        <f>SUMIF(N:N,Online_eCommerce[[#This Row],[Assigned Supervisor]],L:L)</f>
        <v>14373360</v>
      </c>
    </row>
    <row r="3393" spans="1:20" hidden="1" x14ac:dyDescent="0.3">
      <c r="A3393" t="s">
        <v>5090</v>
      </c>
      <c r="B3393" t="s">
        <v>154</v>
      </c>
      <c r="C3393" t="s">
        <v>177</v>
      </c>
      <c r="D3393" t="s">
        <v>5091</v>
      </c>
      <c r="E3393" t="s">
        <v>161</v>
      </c>
      <c r="F3393" t="s">
        <v>152</v>
      </c>
      <c r="G3393" t="s">
        <v>26</v>
      </c>
      <c r="H3393" t="s">
        <v>27</v>
      </c>
      <c r="I3393">
        <v>8500</v>
      </c>
      <c r="J3393">
        <v>11050</v>
      </c>
      <c r="K3393">
        <v>2</v>
      </c>
      <c r="L3393">
        <v>17000</v>
      </c>
      <c r="M3393">
        <v>22100</v>
      </c>
      <c r="N3393" t="s">
        <v>42</v>
      </c>
      <c r="O3393">
        <f t="shared" si="104"/>
        <v>33150</v>
      </c>
      <c r="P3393" s="13">
        <f t="shared" si="105"/>
        <v>1863810</v>
      </c>
      <c r="Q3393" s="13">
        <f>SUMIFS(M:M,E:E,Online_eCommerce[[#This Row],[Status]])</f>
        <v>21103186</v>
      </c>
      <c r="R3393" s="13">
        <f>SUMIFS(L:L,H:H,Online_eCommerce[[#This Row],[Brand]])</f>
        <v>14431000</v>
      </c>
      <c r="S3393" s="13">
        <f>SUMIF(H:H,Online_eCommerce[[#This Row],[Brand]],M:M)</f>
        <v>18760300</v>
      </c>
      <c r="T3393" s="13">
        <f>SUMIF(N:N,Online_eCommerce[[#This Row],[Assigned Supervisor]],L:L)</f>
        <v>12261500</v>
      </c>
    </row>
    <row r="3394" spans="1:20" x14ac:dyDescent="0.3">
      <c r="A3394" t="s">
        <v>5092</v>
      </c>
      <c r="B3394" t="s">
        <v>159</v>
      </c>
      <c r="C3394" t="s">
        <v>181</v>
      </c>
      <c r="D3394" t="s">
        <v>5091</v>
      </c>
      <c r="E3394" t="s">
        <v>46</v>
      </c>
      <c r="F3394" t="s">
        <v>157</v>
      </c>
      <c r="G3394" t="s">
        <v>33</v>
      </c>
      <c r="H3394" t="s">
        <v>34</v>
      </c>
      <c r="I3394">
        <v>12500</v>
      </c>
      <c r="J3394">
        <v>16250</v>
      </c>
      <c r="K3394">
        <v>2</v>
      </c>
      <c r="L3394">
        <v>25000</v>
      </c>
      <c r="M3394">
        <v>32500</v>
      </c>
      <c r="N3394" t="s">
        <v>50</v>
      </c>
      <c r="O3394">
        <f t="shared" ref="O3394:O3457" si="106">VLOOKUP(G3394,G:M,7,FALSE)</f>
        <v>18200</v>
      </c>
      <c r="P3394" s="13">
        <f t="shared" ref="P3394:P3457" si="107">SUMIFS(M:M,C:C,C3394)</f>
        <v>2577458</v>
      </c>
      <c r="Q3394" s="13">
        <f>SUMIFS(M:M,E:E,Online_eCommerce[[#This Row],[Status]])</f>
        <v>28620410</v>
      </c>
      <c r="R3394" s="13">
        <f>SUMIFS(L:L,H:H,Online_eCommerce[[#This Row],[Brand]])</f>
        <v>10087000</v>
      </c>
      <c r="S3394" s="13">
        <f>SUMIF(H:H,Online_eCommerce[[#This Row],[Brand]],M:M)</f>
        <v>13113100</v>
      </c>
      <c r="T3394" s="13">
        <f>SUMIF(N:N,Online_eCommerce[[#This Row],[Assigned Supervisor]],L:L)</f>
        <v>12100590</v>
      </c>
    </row>
    <row r="3395" spans="1:20" hidden="1" x14ac:dyDescent="0.3">
      <c r="A3395" t="s">
        <v>5093</v>
      </c>
      <c r="B3395" t="s">
        <v>139</v>
      </c>
      <c r="C3395" t="s">
        <v>185</v>
      </c>
      <c r="D3395" t="s">
        <v>5091</v>
      </c>
      <c r="E3395" t="s">
        <v>96</v>
      </c>
      <c r="F3395" t="s">
        <v>4693</v>
      </c>
      <c r="G3395" t="s">
        <v>163</v>
      </c>
      <c r="H3395" t="s">
        <v>41</v>
      </c>
      <c r="I3395">
        <v>3500</v>
      </c>
      <c r="J3395">
        <v>4550</v>
      </c>
      <c r="K3395">
        <v>2</v>
      </c>
      <c r="L3395">
        <v>7000</v>
      </c>
      <c r="M3395">
        <v>9100</v>
      </c>
      <c r="N3395" t="s">
        <v>56</v>
      </c>
      <c r="O3395">
        <f t="shared" si="106"/>
        <v>13650</v>
      </c>
      <c r="P3395" s="13">
        <f t="shared" si="107"/>
        <v>2091596</v>
      </c>
      <c r="Q3395" s="13">
        <f>SUMIFS(M:M,E:E,Online_eCommerce[[#This Row],[Status]])</f>
        <v>21233992</v>
      </c>
      <c r="R3395" s="13">
        <f>SUMIFS(L:L,H:H,Online_eCommerce[[#This Row],[Brand]])</f>
        <v>4260400</v>
      </c>
      <c r="S3395" s="13">
        <f>SUMIF(H:H,Online_eCommerce[[#This Row],[Brand]],M:M)</f>
        <v>5538520</v>
      </c>
      <c r="T3395" s="13">
        <f>SUMIF(N:N,Online_eCommerce[[#This Row],[Assigned Supervisor]],L:L)</f>
        <v>11733610</v>
      </c>
    </row>
    <row r="3396" spans="1:20" hidden="1" x14ac:dyDescent="0.3">
      <c r="A3396" t="s">
        <v>5094</v>
      </c>
      <c r="B3396" t="s">
        <v>144</v>
      </c>
      <c r="C3396" t="s">
        <v>189</v>
      </c>
      <c r="D3396" t="s">
        <v>5091</v>
      </c>
      <c r="E3396" t="s">
        <v>18</v>
      </c>
      <c r="F3396" t="s">
        <v>166</v>
      </c>
      <c r="G3396" t="s">
        <v>66</v>
      </c>
      <c r="H3396" t="s">
        <v>49</v>
      </c>
      <c r="I3396">
        <v>4500</v>
      </c>
      <c r="J3396">
        <v>5850</v>
      </c>
      <c r="K3396">
        <v>4</v>
      </c>
      <c r="L3396">
        <v>18000</v>
      </c>
      <c r="M3396">
        <v>23400</v>
      </c>
      <c r="N3396" t="s">
        <v>22</v>
      </c>
      <c r="O3396">
        <f t="shared" si="106"/>
        <v>1690</v>
      </c>
      <c r="P3396" s="13">
        <f t="shared" si="107"/>
        <v>2740777</v>
      </c>
      <c r="Q3396" s="13">
        <f>SUMIFS(M:M,E:E,Online_eCommerce[[#This Row],[Status]])</f>
        <v>28340455</v>
      </c>
      <c r="R3396" s="13">
        <f>SUMIFS(L:L,H:H,Online_eCommerce[[#This Row],[Brand]])</f>
        <v>4528350</v>
      </c>
      <c r="S3396" s="13">
        <f>SUMIF(H:H,Online_eCommerce[[#This Row],[Brand]],M:M)</f>
        <v>5886855</v>
      </c>
      <c r="T3396" s="13">
        <f>SUMIF(N:N,Online_eCommerce[[#This Row],[Assigned Supervisor]],L:L)</f>
        <v>13693220</v>
      </c>
    </row>
    <row r="3397" spans="1:20" hidden="1" x14ac:dyDescent="0.3">
      <c r="A3397" t="s">
        <v>5095</v>
      </c>
      <c r="B3397" t="s">
        <v>235</v>
      </c>
      <c r="C3397" t="s">
        <v>193</v>
      </c>
      <c r="D3397" t="s">
        <v>5096</v>
      </c>
      <c r="E3397" t="s">
        <v>161</v>
      </c>
      <c r="F3397" t="s">
        <v>5097</v>
      </c>
      <c r="G3397" t="s">
        <v>54</v>
      </c>
      <c r="H3397" t="s">
        <v>55</v>
      </c>
      <c r="I3397">
        <v>2100</v>
      </c>
      <c r="J3397">
        <v>2730</v>
      </c>
      <c r="K3397">
        <v>1</v>
      </c>
      <c r="L3397">
        <v>2100</v>
      </c>
      <c r="M3397">
        <v>2730</v>
      </c>
      <c r="N3397" t="s">
        <v>28</v>
      </c>
      <c r="O3397">
        <f t="shared" si="106"/>
        <v>2990</v>
      </c>
      <c r="P3397" s="13">
        <f t="shared" si="107"/>
        <v>2074774</v>
      </c>
      <c r="Q3397" s="13">
        <f>SUMIFS(M:M,E:E,Online_eCommerce[[#This Row],[Status]])</f>
        <v>21103186</v>
      </c>
      <c r="R3397" s="13">
        <f>SUMIFS(L:L,H:H,Online_eCommerce[[#This Row],[Brand]])</f>
        <v>2267380</v>
      </c>
      <c r="S3397" s="13">
        <f>SUMIF(H:H,Online_eCommerce[[#This Row],[Brand]],M:M)</f>
        <v>2947594</v>
      </c>
      <c r="T3397" s="13">
        <f>SUMIF(N:N,Online_eCommerce[[#This Row],[Assigned Supervisor]],L:L)</f>
        <v>12220830</v>
      </c>
    </row>
    <row r="3398" spans="1:20" x14ac:dyDescent="0.3">
      <c r="A3398" t="s">
        <v>5098</v>
      </c>
      <c r="B3398" t="s">
        <v>176</v>
      </c>
      <c r="C3398" t="s">
        <v>197</v>
      </c>
      <c r="D3398" t="s">
        <v>5099</v>
      </c>
      <c r="E3398" t="s">
        <v>46</v>
      </c>
      <c r="F3398" t="s">
        <v>174</v>
      </c>
      <c r="G3398" t="s">
        <v>60</v>
      </c>
      <c r="H3398" t="s">
        <v>61</v>
      </c>
      <c r="I3398">
        <v>1150</v>
      </c>
      <c r="J3398">
        <v>1495</v>
      </c>
      <c r="K3398">
        <v>3</v>
      </c>
      <c r="L3398">
        <v>3450</v>
      </c>
      <c r="M3398">
        <v>4485</v>
      </c>
      <c r="N3398" t="s">
        <v>35</v>
      </c>
      <c r="O3398">
        <f t="shared" si="106"/>
        <v>3315</v>
      </c>
      <c r="P3398" s="13">
        <f t="shared" si="107"/>
        <v>2829840</v>
      </c>
      <c r="Q3398" s="13">
        <f>SUMIFS(M:M,E:E,Online_eCommerce[[#This Row],[Status]])</f>
        <v>28620410</v>
      </c>
      <c r="R3398" s="13">
        <f>SUMIFS(L:L,H:H,Online_eCommerce[[#This Row],[Brand]])</f>
        <v>10950150</v>
      </c>
      <c r="S3398" s="13">
        <f>SUMIF(H:H,Online_eCommerce[[#This Row],[Brand]],M:M)</f>
        <v>14235195</v>
      </c>
      <c r="T3398" s="13">
        <f>SUMIF(N:N,Online_eCommerce[[#This Row],[Assigned Supervisor]],L:L)</f>
        <v>14373360</v>
      </c>
    </row>
    <row r="3399" spans="1:20" hidden="1" x14ac:dyDescent="0.3">
      <c r="A3399" t="s">
        <v>5100</v>
      </c>
      <c r="B3399" t="s">
        <v>276</v>
      </c>
      <c r="C3399" t="s">
        <v>199</v>
      </c>
      <c r="D3399" t="s">
        <v>5101</v>
      </c>
      <c r="E3399" t="s">
        <v>96</v>
      </c>
      <c r="F3399" t="s">
        <v>179</v>
      </c>
      <c r="G3399" t="s">
        <v>66</v>
      </c>
      <c r="H3399" t="s">
        <v>21</v>
      </c>
      <c r="I3399">
        <v>350</v>
      </c>
      <c r="J3399">
        <v>455</v>
      </c>
      <c r="K3399">
        <v>2</v>
      </c>
      <c r="L3399">
        <v>700</v>
      </c>
      <c r="M3399">
        <v>910</v>
      </c>
      <c r="N3399" t="s">
        <v>42</v>
      </c>
      <c r="O3399">
        <f t="shared" si="106"/>
        <v>1690</v>
      </c>
      <c r="P3399" s="13">
        <f t="shared" si="107"/>
        <v>1947361</v>
      </c>
      <c r="Q3399" s="13">
        <f>SUMIFS(M:M,E:E,Online_eCommerce[[#This Row],[Status]])</f>
        <v>21233992</v>
      </c>
      <c r="R3399" s="13">
        <f>SUMIFS(L:L,H:H,Online_eCommerce[[#This Row],[Brand]])</f>
        <v>12435650</v>
      </c>
      <c r="S3399" s="13">
        <f>SUMIF(H:H,Online_eCommerce[[#This Row],[Brand]],M:M)</f>
        <v>16166345</v>
      </c>
      <c r="T3399" s="13">
        <f>SUMIF(N:N,Online_eCommerce[[#This Row],[Assigned Supervisor]],L:L)</f>
        <v>12261500</v>
      </c>
    </row>
    <row r="3400" spans="1:20" hidden="1" x14ac:dyDescent="0.3">
      <c r="A3400" t="s">
        <v>5102</v>
      </c>
      <c r="B3400" t="s">
        <v>280</v>
      </c>
      <c r="C3400" t="s">
        <v>203</v>
      </c>
      <c r="D3400" t="s">
        <v>5103</v>
      </c>
      <c r="E3400" t="s">
        <v>18</v>
      </c>
      <c r="F3400" t="s">
        <v>183</v>
      </c>
      <c r="G3400" t="s">
        <v>71</v>
      </c>
      <c r="H3400" t="s">
        <v>61</v>
      </c>
      <c r="I3400">
        <v>9500</v>
      </c>
      <c r="J3400">
        <v>12350</v>
      </c>
      <c r="K3400">
        <v>2</v>
      </c>
      <c r="L3400">
        <v>19000</v>
      </c>
      <c r="M3400">
        <v>24700</v>
      </c>
      <c r="N3400" t="s">
        <v>50</v>
      </c>
      <c r="O3400">
        <f t="shared" si="106"/>
        <v>9750</v>
      </c>
      <c r="P3400" s="13">
        <f t="shared" si="107"/>
        <v>2559635</v>
      </c>
      <c r="Q3400" s="13">
        <f>SUMIFS(M:M,E:E,Online_eCommerce[[#This Row],[Status]])</f>
        <v>28340455</v>
      </c>
      <c r="R3400" s="13">
        <f>SUMIFS(L:L,H:H,Online_eCommerce[[#This Row],[Brand]])</f>
        <v>10950150</v>
      </c>
      <c r="S3400" s="13">
        <f>SUMIF(H:H,Online_eCommerce[[#This Row],[Brand]],M:M)</f>
        <v>14235195</v>
      </c>
      <c r="T3400" s="13">
        <f>SUMIF(N:N,Online_eCommerce[[#This Row],[Assigned Supervisor]],L:L)</f>
        <v>12100590</v>
      </c>
    </row>
    <row r="3401" spans="1:20" hidden="1" x14ac:dyDescent="0.3">
      <c r="A3401" t="s">
        <v>5104</v>
      </c>
      <c r="B3401" t="s">
        <v>283</v>
      </c>
      <c r="C3401" t="s">
        <v>205</v>
      </c>
      <c r="D3401" t="s">
        <v>5105</v>
      </c>
      <c r="E3401" t="s">
        <v>161</v>
      </c>
      <c r="F3401" t="s">
        <v>5106</v>
      </c>
      <c r="G3401" t="s">
        <v>77</v>
      </c>
      <c r="H3401" t="s">
        <v>142</v>
      </c>
      <c r="I3401">
        <v>10000</v>
      </c>
      <c r="J3401">
        <v>13000</v>
      </c>
      <c r="K3401">
        <v>1</v>
      </c>
      <c r="L3401">
        <v>10000</v>
      </c>
      <c r="M3401">
        <v>13000</v>
      </c>
      <c r="N3401" t="s">
        <v>56</v>
      </c>
      <c r="O3401">
        <f t="shared" si="106"/>
        <v>39000</v>
      </c>
      <c r="P3401" s="13">
        <f t="shared" si="107"/>
        <v>1983254</v>
      </c>
      <c r="Q3401" s="13">
        <f>SUMIFS(M:M,E:E,Online_eCommerce[[#This Row],[Status]])</f>
        <v>21103186</v>
      </c>
      <c r="R3401" s="13">
        <f>SUMIFS(L:L,H:H,Online_eCommerce[[#This Row],[Brand]])</f>
        <v>6192500</v>
      </c>
      <c r="S3401" s="13">
        <f>SUMIF(H:H,Online_eCommerce[[#This Row],[Brand]],M:M)</f>
        <v>8050250</v>
      </c>
      <c r="T3401" s="13">
        <f>SUMIF(N:N,Online_eCommerce[[#This Row],[Assigned Supervisor]],L:L)</f>
        <v>11733610</v>
      </c>
    </row>
    <row r="3402" spans="1:20" x14ac:dyDescent="0.3">
      <c r="A3402" t="s">
        <v>5107</v>
      </c>
      <c r="B3402" t="s">
        <v>287</v>
      </c>
      <c r="C3402" t="s">
        <v>208</v>
      </c>
      <c r="D3402" t="s">
        <v>5108</v>
      </c>
      <c r="E3402" t="s">
        <v>46</v>
      </c>
      <c r="F3402" t="s">
        <v>5109</v>
      </c>
      <c r="G3402" t="s">
        <v>20</v>
      </c>
      <c r="H3402" t="s">
        <v>21</v>
      </c>
      <c r="I3402">
        <v>6500</v>
      </c>
      <c r="J3402">
        <v>8450</v>
      </c>
      <c r="K3402">
        <v>2</v>
      </c>
      <c r="L3402">
        <v>13000</v>
      </c>
      <c r="M3402">
        <v>16900</v>
      </c>
      <c r="N3402" t="s">
        <v>22</v>
      </c>
      <c r="O3402">
        <f t="shared" si="106"/>
        <v>8450</v>
      </c>
      <c r="P3402" s="13">
        <f t="shared" si="107"/>
        <v>2746575</v>
      </c>
      <c r="Q3402" s="13">
        <f>SUMIFS(M:M,E:E,Online_eCommerce[[#This Row],[Status]])</f>
        <v>28620410</v>
      </c>
      <c r="R3402" s="13">
        <f>SUMIFS(L:L,H:H,Online_eCommerce[[#This Row],[Brand]])</f>
        <v>12435650</v>
      </c>
      <c r="S3402" s="13">
        <f>SUMIF(H:H,Online_eCommerce[[#This Row],[Brand]],M:M)</f>
        <v>16166345</v>
      </c>
      <c r="T3402" s="13">
        <f>SUMIF(N:N,Online_eCommerce[[#This Row],[Assigned Supervisor]],L:L)</f>
        <v>13693220</v>
      </c>
    </row>
    <row r="3403" spans="1:20" hidden="1" x14ac:dyDescent="0.3">
      <c r="A3403" t="s">
        <v>5110</v>
      </c>
      <c r="B3403" t="s">
        <v>290</v>
      </c>
      <c r="C3403" t="s">
        <v>211</v>
      </c>
      <c r="D3403" t="s">
        <v>5111</v>
      </c>
      <c r="E3403" t="s">
        <v>96</v>
      </c>
      <c r="F3403" t="s">
        <v>5112</v>
      </c>
      <c r="G3403" t="s">
        <v>26</v>
      </c>
      <c r="H3403" t="s">
        <v>27</v>
      </c>
      <c r="I3403">
        <v>8500</v>
      </c>
      <c r="J3403">
        <v>11050</v>
      </c>
      <c r="K3403">
        <v>1</v>
      </c>
      <c r="L3403">
        <v>8500</v>
      </c>
      <c r="M3403">
        <v>11050</v>
      </c>
      <c r="N3403" t="s">
        <v>28</v>
      </c>
      <c r="O3403">
        <f t="shared" si="106"/>
        <v>33150</v>
      </c>
      <c r="P3403" s="13">
        <f t="shared" si="107"/>
        <v>1809847</v>
      </c>
      <c r="Q3403" s="13">
        <f>SUMIFS(M:M,E:E,Online_eCommerce[[#This Row],[Status]])</f>
        <v>21233992</v>
      </c>
      <c r="R3403" s="13">
        <f>SUMIFS(L:L,H:H,Online_eCommerce[[#This Row],[Brand]])</f>
        <v>14431000</v>
      </c>
      <c r="S3403" s="13">
        <f>SUMIF(H:H,Online_eCommerce[[#This Row],[Brand]],M:M)</f>
        <v>18760300</v>
      </c>
      <c r="T3403" s="13">
        <f>SUMIF(N:N,Online_eCommerce[[#This Row],[Assigned Supervisor]],L:L)</f>
        <v>12220830</v>
      </c>
    </row>
    <row r="3404" spans="1:20" hidden="1" x14ac:dyDescent="0.3">
      <c r="A3404" t="s">
        <v>5113</v>
      </c>
      <c r="B3404" t="s">
        <v>15</v>
      </c>
      <c r="C3404" t="s">
        <v>16</v>
      </c>
      <c r="D3404" t="s">
        <v>5114</v>
      </c>
      <c r="E3404" t="s">
        <v>18</v>
      </c>
      <c r="F3404" t="s">
        <v>32</v>
      </c>
      <c r="G3404" t="s">
        <v>33</v>
      </c>
      <c r="H3404" t="s">
        <v>34</v>
      </c>
      <c r="I3404">
        <v>7000</v>
      </c>
      <c r="J3404">
        <v>9100</v>
      </c>
      <c r="K3404">
        <v>1</v>
      </c>
      <c r="L3404">
        <v>7000</v>
      </c>
      <c r="M3404">
        <v>9100</v>
      </c>
      <c r="N3404" t="s">
        <v>35</v>
      </c>
      <c r="O3404">
        <f t="shared" si="106"/>
        <v>18200</v>
      </c>
      <c r="P3404" s="13">
        <f t="shared" si="107"/>
        <v>2751814</v>
      </c>
      <c r="Q3404" s="13">
        <f>SUMIFS(M:M,E:E,Online_eCommerce[[#This Row],[Status]])</f>
        <v>28340455</v>
      </c>
      <c r="R3404" s="13">
        <f>SUMIFS(L:L,H:H,Online_eCommerce[[#This Row],[Brand]])</f>
        <v>10087000</v>
      </c>
      <c r="S3404" s="13">
        <f>SUMIF(H:H,Online_eCommerce[[#This Row],[Brand]],M:M)</f>
        <v>13113100</v>
      </c>
      <c r="T3404" s="13">
        <f>SUMIF(N:N,Online_eCommerce[[#This Row],[Assigned Supervisor]],L:L)</f>
        <v>14373360</v>
      </c>
    </row>
    <row r="3405" spans="1:20" hidden="1" x14ac:dyDescent="0.3">
      <c r="A3405" t="s">
        <v>5115</v>
      </c>
      <c r="B3405" t="s">
        <v>202</v>
      </c>
      <c r="C3405" t="s">
        <v>24</v>
      </c>
      <c r="D3405" t="s">
        <v>5116</v>
      </c>
      <c r="E3405" t="s">
        <v>161</v>
      </c>
      <c r="F3405" t="s">
        <v>5117</v>
      </c>
      <c r="G3405" t="s">
        <v>163</v>
      </c>
      <c r="H3405" t="s">
        <v>41</v>
      </c>
      <c r="I3405">
        <v>6550</v>
      </c>
      <c r="J3405">
        <v>8515</v>
      </c>
      <c r="K3405">
        <v>1</v>
      </c>
      <c r="L3405">
        <v>6550</v>
      </c>
      <c r="M3405">
        <v>8515</v>
      </c>
      <c r="N3405" t="s">
        <v>42</v>
      </c>
      <c r="O3405">
        <f t="shared" si="106"/>
        <v>13650</v>
      </c>
      <c r="P3405" s="13">
        <f t="shared" si="107"/>
        <v>2009540</v>
      </c>
      <c r="Q3405" s="13">
        <f>SUMIFS(M:M,E:E,Online_eCommerce[[#This Row],[Status]])</f>
        <v>21103186</v>
      </c>
      <c r="R3405" s="13">
        <f>SUMIFS(L:L,H:H,Online_eCommerce[[#This Row],[Brand]])</f>
        <v>4260400</v>
      </c>
      <c r="S3405" s="13">
        <f>SUMIF(H:H,Online_eCommerce[[#This Row],[Brand]],M:M)</f>
        <v>5538520</v>
      </c>
      <c r="T3405" s="13">
        <f>SUMIF(N:N,Online_eCommerce[[#This Row],[Assigned Supervisor]],L:L)</f>
        <v>12261500</v>
      </c>
    </row>
    <row r="3406" spans="1:20" x14ac:dyDescent="0.3">
      <c r="A3406" t="s">
        <v>5118</v>
      </c>
      <c r="B3406" t="s">
        <v>30</v>
      </c>
      <c r="C3406" t="s">
        <v>31</v>
      </c>
      <c r="D3406" t="s">
        <v>5119</v>
      </c>
      <c r="E3406" t="s">
        <v>46</v>
      </c>
      <c r="F3406" t="s">
        <v>47</v>
      </c>
      <c r="G3406" t="s">
        <v>66</v>
      </c>
      <c r="H3406" t="s">
        <v>49</v>
      </c>
      <c r="I3406">
        <v>7650</v>
      </c>
      <c r="J3406">
        <v>9945</v>
      </c>
      <c r="K3406">
        <v>2</v>
      </c>
      <c r="L3406">
        <v>15300</v>
      </c>
      <c r="M3406">
        <v>19890</v>
      </c>
      <c r="N3406" t="s">
        <v>50</v>
      </c>
      <c r="O3406">
        <f t="shared" si="106"/>
        <v>1690</v>
      </c>
      <c r="P3406" s="13">
        <f t="shared" si="107"/>
        <v>2865746</v>
      </c>
      <c r="Q3406" s="13">
        <f>SUMIFS(M:M,E:E,Online_eCommerce[[#This Row],[Status]])</f>
        <v>28620410</v>
      </c>
      <c r="R3406" s="13">
        <f>SUMIFS(L:L,H:H,Online_eCommerce[[#This Row],[Brand]])</f>
        <v>4528350</v>
      </c>
      <c r="S3406" s="13">
        <f>SUMIF(H:H,Online_eCommerce[[#This Row],[Brand]],M:M)</f>
        <v>5886855</v>
      </c>
      <c r="T3406" s="13">
        <f>SUMIF(N:N,Online_eCommerce[[#This Row],[Assigned Supervisor]],L:L)</f>
        <v>12100590</v>
      </c>
    </row>
    <row r="3407" spans="1:20" hidden="1" x14ac:dyDescent="0.3">
      <c r="A3407" t="s">
        <v>5120</v>
      </c>
      <c r="B3407" t="s">
        <v>37</v>
      </c>
      <c r="C3407" t="s">
        <v>38</v>
      </c>
      <c r="D3407" t="s">
        <v>5121</v>
      </c>
      <c r="E3407" t="s">
        <v>96</v>
      </c>
      <c r="F3407" t="s">
        <v>53</v>
      </c>
      <c r="G3407" t="s">
        <v>54</v>
      </c>
      <c r="H3407" t="s">
        <v>55</v>
      </c>
      <c r="I3407">
        <v>1150</v>
      </c>
      <c r="J3407">
        <v>1495</v>
      </c>
      <c r="K3407">
        <v>1</v>
      </c>
      <c r="L3407">
        <v>1150</v>
      </c>
      <c r="M3407">
        <v>1495</v>
      </c>
      <c r="N3407" t="s">
        <v>56</v>
      </c>
      <c r="O3407">
        <f t="shared" si="106"/>
        <v>2990</v>
      </c>
      <c r="P3407" s="13">
        <f t="shared" si="107"/>
        <v>1933997</v>
      </c>
      <c r="Q3407" s="13">
        <f>SUMIFS(M:M,E:E,Online_eCommerce[[#This Row],[Status]])</f>
        <v>21233992</v>
      </c>
      <c r="R3407" s="13">
        <f>SUMIFS(L:L,H:H,Online_eCommerce[[#This Row],[Brand]])</f>
        <v>2267380</v>
      </c>
      <c r="S3407" s="13">
        <f>SUMIF(H:H,Online_eCommerce[[#This Row],[Brand]],M:M)</f>
        <v>2947594</v>
      </c>
      <c r="T3407" s="13">
        <f>SUMIF(N:N,Online_eCommerce[[#This Row],[Assigned Supervisor]],L:L)</f>
        <v>11733610</v>
      </c>
    </row>
    <row r="3408" spans="1:20" hidden="1" x14ac:dyDescent="0.3">
      <c r="A3408" t="s">
        <v>5122</v>
      </c>
      <c r="B3408" t="s">
        <v>44</v>
      </c>
      <c r="C3408" t="s">
        <v>45</v>
      </c>
      <c r="D3408" t="s">
        <v>5123</v>
      </c>
      <c r="E3408" t="s">
        <v>18</v>
      </c>
      <c r="F3408" t="s">
        <v>59</v>
      </c>
      <c r="G3408" t="s">
        <v>60</v>
      </c>
      <c r="H3408" t="s">
        <v>61</v>
      </c>
      <c r="I3408">
        <v>850</v>
      </c>
      <c r="J3408">
        <v>1105</v>
      </c>
      <c r="K3408">
        <v>2</v>
      </c>
      <c r="L3408">
        <v>1700</v>
      </c>
      <c r="M3408">
        <v>2210</v>
      </c>
      <c r="N3408" t="s">
        <v>22</v>
      </c>
      <c r="O3408">
        <f t="shared" si="106"/>
        <v>3315</v>
      </c>
      <c r="P3408" s="13">
        <f t="shared" si="107"/>
        <v>2842554</v>
      </c>
      <c r="Q3408" s="13">
        <f>SUMIFS(M:M,E:E,Online_eCommerce[[#This Row],[Status]])</f>
        <v>28340455</v>
      </c>
      <c r="R3408" s="13">
        <f>SUMIFS(L:L,H:H,Online_eCommerce[[#This Row],[Brand]])</f>
        <v>10950150</v>
      </c>
      <c r="S3408" s="13">
        <f>SUMIF(H:H,Online_eCommerce[[#This Row],[Brand]],M:M)</f>
        <v>14235195</v>
      </c>
      <c r="T3408" s="13">
        <f>SUMIF(N:N,Online_eCommerce[[#This Row],[Assigned Supervisor]],L:L)</f>
        <v>13693220</v>
      </c>
    </row>
    <row r="3409" spans="1:20" hidden="1" x14ac:dyDescent="0.3">
      <c r="A3409" t="s">
        <v>5124</v>
      </c>
      <c r="B3409" t="s">
        <v>213</v>
      </c>
      <c r="C3409" t="s">
        <v>52</v>
      </c>
      <c r="D3409" t="s">
        <v>5125</v>
      </c>
      <c r="E3409" t="s">
        <v>161</v>
      </c>
      <c r="F3409" t="s">
        <v>65</v>
      </c>
      <c r="G3409" t="s">
        <v>66</v>
      </c>
      <c r="H3409" t="s">
        <v>21</v>
      </c>
      <c r="I3409">
        <v>650</v>
      </c>
      <c r="J3409">
        <v>845</v>
      </c>
      <c r="K3409">
        <v>2</v>
      </c>
      <c r="L3409">
        <v>1300</v>
      </c>
      <c r="M3409">
        <v>1690</v>
      </c>
      <c r="N3409" t="s">
        <v>28</v>
      </c>
      <c r="O3409">
        <f t="shared" si="106"/>
        <v>1690</v>
      </c>
      <c r="P3409" s="13">
        <f t="shared" si="107"/>
        <v>1955044</v>
      </c>
      <c r="Q3409" s="13">
        <f>SUMIFS(M:M,E:E,Online_eCommerce[[#This Row],[Status]])</f>
        <v>21103186</v>
      </c>
      <c r="R3409" s="13">
        <f>SUMIFS(L:L,H:H,Online_eCommerce[[#This Row],[Brand]])</f>
        <v>12435650</v>
      </c>
      <c r="S3409" s="13">
        <f>SUMIF(H:H,Online_eCommerce[[#This Row],[Brand]],M:M)</f>
        <v>16166345</v>
      </c>
      <c r="T3409" s="13">
        <f>SUMIF(N:N,Online_eCommerce[[#This Row],[Assigned Supervisor]],L:L)</f>
        <v>12220830</v>
      </c>
    </row>
    <row r="3410" spans="1:20" x14ac:dyDescent="0.3">
      <c r="A3410" t="s">
        <v>5126</v>
      </c>
      <c r="B3410" t="s">
        <v>215</v>
      </c>
      <c r="C3410" t="s">
        <v>58</v>
      </c>
      <c r="D3410" t="s">
        <v>5127</v>
      </c>
      <c r="E3410" t="s">
        <v>46</v>
      </c>
      <c r="F3410" t="s">
        <v>70</v>
      </c>
      <c r="G3410" t="s">
        <v>71</v>
      </c>
      <c r="H3410" t="s">
        <v>61</v>
      </c>
      <c r="I3410">
        <v>7500</v>
      </c>
      <c r="J3410">
        <v>9750</v>
      </c>
      <c r="K3410">
        <v>3</v>
      </c>
      <c r="L3410">
        <v>22500</v>
      </c>
      <c r="M3410">
        <v>29250</v>
      </c>
      <c r="N3410" t="s">
        <v>35</v>
      </c>
      <c r="O3410">
        <f t="shared" si="106"/>
        <v>9750</v>
      </c>
      <c r="P3410" s="13">
        <f t="shared" si="107"/>
        <v>2629211</v>
      </c>
      <c r="Q3410" s="13">
        <f>SUMIFS(M:M,E:E,Online_eCommerce[[#This Row],[Status]])</f>
        <v>28620410</v>
      </c>
      <c r="R3410" s="13">
        <f>SUMIFS(L:L,H:H,Online_eCommerce[[#This Row],[Brand]])</f>
        <v>10950150</v>
      </c>
      <c r="S3410" s="13">
        <f>SUMIF(H:H,Online_eCommerce[[#This Row],[Brand]],M:M)</f>
        <v>14235195</v>
      </c>
      <c r="T3410" s="13">
        <f>SUMIF(N:N,Online_eCommerce[[#This Row],[Assigned Supervisor]],L:L)</f>
        <v>14373360</v>
      </c>
    </row>
    <row r="3411" spans="1:20" hidden="1" x14ac:dyDescent="0.3">
      <c r="A3411" t="s">
        <v>5128</v>
      </c>
      <c r="B3411" t="s">
        <v>306</v>
      </c>
      <c r="C3411" t="s">
        <v>63</v>
      </c>
      <c r="D3411" t="s">
        <v>5129</v>
      </c>
      <c r="E3411" t="s">
        <v>96</v>
      </c>
      <c r="F3411" t="s">
        <v>5106</v>
      </c>
      <c r="G3411" t="s">
        <v>77</v>
      </c>
      <c r="H3411" t="s">
        <v>78</v>
      </c>
      <c r="I3411">
        <v>10000</v>
      </c>
      <c r="J3411">
        <v>13000</v>
      </c>
      <c r="K3411">
        <v>2</v>
      </c>
      <c r="L3411">
        <v>20000</v>
      </c>
      <c r="M3411">
        <v>26000</v>
      </c>
      <c r="N3411" t="s">
        <v>42</v>
      </c>
      <c r="O3411">
        <f t="shared" si="106"/>
        <v>39000</v>
      </c>
      <c r="P3411" s="13">
        <f t="shared" si="107"/>
        <v>2016131</v>
      </c>
      <c r="Q3411" s="13">
        <f>SUMIFS(M:M,E:E,Online_eCommerce[[#This Row],[Status]])</f>
        <v>21233992</v>
      </c>
      <c r="R3411" s="13">
        <f>SUMIFS(L:L,H:H,Online_eCommerce[[#This Row],[Brand]])</f>
        <v>3720000</v>
      </c>
      <c r="S3411" s="13">
        <f>SUMIF(H:H,Online_eCommerce[[#This Row],[Brand]],M:M)</f>
        <v>4836000</v>
      </c>
      <c r="T3411" s="13">
        <f>SUMIF(N:N,Online_eCommerce[[#This Row],[Assigned Supervisor]],L:L)</f>
        <v>12261500</v>
      </c>
    </row>
    <row r="3412" spans="1:20" hidden="1" x14ac:dyDescent="0.3">
      <c r="A3412" t="s">
        <v>5130</v>
      </c>
      <c r="B3412" t="s">
        <v>528</v>
      </c>
      <c r="C3412" t="s">
        <v>68</v>
      </c>
      <c r="D3412" t="s">
        <v>5131</v>
      </c>
      <c r="E3412" t="s">
        <v>18</v>
      </c>
      <c r="F3412" t="s">
        <v>5132</v>
      </c>
      <c r="G3412" t="s">
        <v>20</v>
      </c>
      <c r="H3412" t="s">
        <v>21</v>
      </c>
      <c r="I3412">
        <v>10500</v>
      </c>
      <c r="J3412">
        <v>13650</v>
      </c>
      <c r="K3412">
        <v>4</v>
      </c>
      <c r="L3412">
        <v>42000</v>
      </c>
      <c r="M3412">
        <v>54600</v>
      </c>
      <c r="N3412" t="s">
        <v>50</v>
      </c>
      <c r="O3412">
        <f t="shared" si="106"/>
        <v>8450</v>
      </c>
      <c r="P3412" s="13">
        <f t="shared" si="107"/>
        <v>2974621</v>
      </c>
      <c r="Q3412" s="13">
        <f>SUMIFS(M:M,E:E,Online_eCommerce[[#This Row],[Status]])</f>
        <v>28340455</v>
      </c>
      <c r="R3412" s="13">
        <f>SUMIFS(L:L,H:H,Online_eCommerce[[#This Row],[Brand]])</f>
        <v>12435650</v>
      </c>
      <c r="S3412" s="13">
        <f>SUMIF(H:H,Online_eCommerce[[#This Row],[Brand]],M:M)</f>
        <v>16166345</v>
      </c>
      <c r="T3412" s="13">
        <f>SUMIF(N:N,Online_eCommerce[[#This Row],[Assigned Supervisor]],L:L)</f>
        <v>12100590</v>
      </c>
    </row>
    <row r="3413" spans="1:20" hidden="1" x14ac:dyDescent="0.3">
      <c r="A3413" t="s">
        <v>5133</v>
      </c>
      <c r="B3413" t="s">
        <v>73</v>
      </c>
      <c r="C3413" t="s">
        <v>74</v>
      </c>
      <c r="D3413" t="s">
        <v>5134</v>
      </c>
      <c r="E3413" t="s">
        <v>161</v>
      </c>
      <c r="F3413" t="s">
        <v>88</v>
      </c>
      <c r="G3413" t="s">
        <v>26</v>
      </c>
      <c r="H3413" t="s">
        <v>27</v>
      </c>
      <c r="I3413">
        <v>8500</v>
      </c>
      <c r="J3413">
        <v>11050</v>
      </c>
      <c r="K3413">
        <v>3</v>
      </c>
      <c r="L3413">
        <v>25500</v>
      </c>
      <c r="M3413">
        <v>33150</v>
      </c>
      <c r="N3413" t="s">
        <v>56</v>
      </c>
      <c r="O3413">
        <f t="shared" si="106"/>
        <v>33150</v>
      </c>
      <c r="P3413" s="13">
        <f t="shared" si="107"/>
        <v>2144701</v>
      </c>
      <c r="Q3413" s="13">
        <f>SUMIFS(M:M,E:E,Online_eCommerce[[#This Row],[Status]])</f>
        <v>21103186</v>
      </c>
      <c r="R3413" s="13">
        <f>SUMIFS(L:L,H:H,Online_eCommerce[[#This Row],[Brand]])</f>
        <v>14431000</v>
      </c>
      <c r="S3413" s="13">
        <f>SUMIF(H:H,Online_eCommerce[[#This Row],[Brand]],M:M)</f>
        <v>18760300</v>
      </c>
      <c r="T3413" s="13">
        <f>SUMIF(N:N,Online_eCommerce[[#This Row],[Assigned Supervisor]],L:L)</f>
        <v>11733610</v>
      </c>
    </row>
    <row r="3414" spans="1:20" x14ac:dyDescent="0.3">
      <c r="A3414" t="s">
        <v>5135</v>
      </c>
      <c r="B3414" t="s">
        <v>80</v>
      </c>
      <c r="C3414" t="s">
        <v>81</v>
      </c>
      <c r="D3414" t="s">
        <v>5136</v>
      </c>
      <c r="E3414" t="s">
        <v>46</v>
      </c>
      <c r="F3414" t="s">
        <v>32</v>
      </c>
      <c r="G3414" t="s">
        <v>33</v>
      </c>
      <c r="H3414" t="s">
        <v>34</v>
      </c>
      <c r="I3414">
        <v>7000</v>
      </c>
      <c r="J3414">
        <v>9100</v>
      </c>
      <c r="K3414">
        <v>3</v>
      </c>
      <c r="L3414">
        <v>21000</v>
      </c>
      <c r="M3414">
        <v>27300</v>
      </c>
      <c r="N3414" t="s">
        <v>22</v>
      </c>
      <c r="O3414">
        <f t="shared" si="106"/>
        <v>18200</v>
      </c>
      <c r="P3414" s="13">
        <f t="shared" si="107"/>
        <v>2595632</v>
      </c>
      <c r="Q3414" s="13">
        <f>SUMIFS(M:M,E:E,Online_eCommerce[[#This Row],[Status]])</f>
        <v>28620410</v>
      </c>
      <c r="R3414" s="13">
        <f>SUMIFS(L:L,H:H,Online_eCommerce[[#This Row],[Brand]])</f>
        <v>10087000</v>
      </c>
      <c r="S3414" s="13">
        <f>SUMIF(H:H,Online_eCommerce[[#This Row],[Brand]],M:M)</f>
        <v>13113100</v>
      </c>
      <c r="T3414" s="13">
        <f>SUMIF(N:N,Online_eCommerce[[#This Row],[Assigned Supervisor]],L:L)</f>
        <v>13693220</v>
      </c>
    </row>
    <row r="3415" spans="1:20" hidden="1" x14ac:dyDescent="0.3">
      <c r="A3415" t="s">
        <v>5137</v>
      </c>
      <c r="B3415" t="s">
        <v>85</v>
      </c>
      <c r="C3415" t="s">
        <v>86</v>
      </c>
      <c r="D3415" t="s">
        <v>5138</v>
      </c>
      <c r="E3415" t="s">
        <v>96</v>
      </c>
      <c r="F3415" t="s">
        <v>5139</v>
      </c>
      <c r="G3415" t="s">
        <v>163</v>
      </c>
      <c r="H3415" t="s">
        <v>41</v>
      </c>
      <c r="I3415">
        <v>1680</v>
      </c>
      <c r="J3415">
        <v>2184</v>
      </c>
      <c r="K3415">
        <v>2</v>
      </c>
      <c r="L3415">
        <v>3360</v>
      </c>
      <c r="M3415">
        <v>4368</v>
      </c>
      <c r="N3415" t="s">
        <v>28</v>
      </c>
      <c r="O3415">
        <f t="shared" si="106"/>
        <v>13650</v>
      </c>
      <c r="P3415" s="13">
        <f t="shared" si="107"/>
        <v>1941225</v>
      </c>
      <c r="Q3415" s="13">
        <f>SUMIFS(M:M,E:E,Online_eCommerce[[#This Row],[Status]])</f>
        <v>21233992</v>
      </c>
      <c r="R3415" s="13">
        <f>SUMIFS(L:L,H:H,Online_eCommerce[[#This Row],[Brand]])</f>
        <v>4260400</v>
      </c>
      <c r="S3415" s="13">
        <f>SUMIF(H:H,Online_eCommerce[[#This Row],[Brand]],M:M)</f>
        <v>5538520</v>
      </c>
      <c r="T3415" s="13">
        <f>SUMIF(N:N,Online_eCommerce[[#This Row],[Assigned Supervisor]],L:L)</f>
        <v>12220830</v>
      </c>
    </row>
    <row r="3416" spans="1:20" hidden="1" x14ac:dyDescent="0.3">
      <c r="A3416" t="s">
        <v>5140</v>
      </c>
      <c r="B3416" t="s">
        <v>90</v>
      </c>
      <c r="C3416" t="s">
        <v>91</v>
      </c>
      <c r="D3416" t="s">
        <v>5141</v>
      </c>
      <c r="E3416" t="s">
        <v>18</v>
      </c>
      <c r="F3416" t="s">
        <v>101</v>
      </c>
      <c r="G3416" t="s">
        <v>66</v>
      </c>
      <c r="H3416" t="s">
        <v>102</v>
      </c>
      <c r="I3416">
        <v>6540</v>
      </c>
      <c r="J3416">
        <v>8502</v>
      </c>
      <c r="K3416">
        <v>1</v>
      </c>
      <c r="L3416">
        <v>6540</v>
      </c>
      <c r="M3416">
        <v>8502</v>
      </c>
      <c r="N3416" t="s">
        <v>35</v>
      </c>
      <c r="O3416">
        <f t="shared" si="106"/>
        <v>1690</v>
      </c>
      <c r="P3416" s="13">
        <f t="shared" si="107"/>
        <v>2731963</v>
      </c>
      <c r="Q3416" s="13">
        <f>SUMIFS(M:M,E:E,Online_eCommerce[[#This Row],[Status]])</f>
        <v>28340455</v>
      </c>
      <c r="R3416" s="13">
        <f>SUMIFS(L:L,H:H,Online_eCommerce[[#This Row],[Brand]])</f>
        <v>2465580</v>
      </c>
      <c r="S3416" s="13">
        <f>SUMIF(H:H,Online_eCommerce[[#This Row],[Brand]],M:M)</f>
        <v>3205254</v>
      </c>
      <c r="T3416" s="13">
        <f>SUMIF(N:N,Online_eCommerce[[#This Row],[Assigned Supervisor]],L:L)</f>
        <v>14373360</v>
      </c>
    </row>
    <row r="3417" spans="1:20" hidden="1" x14ac:dyDescent="0.3">
      <c r="A3417" t="s">
        <v>5142</v>
      </c>
      <c r="B3417" t="s">
        <v>232</v>
      </c>
      <c r="C3417" t="s">
        <v>94</v>
      </c>
      <c r="D3417" t="s">
        <v>5141</v>
      </c>
      <c r="E3417" t="s">
        <v>161</v>
      </c>
      <c r="F3417" t="s">
        <v>107</v>
      </c>
      <c r="G3417" t="s">
        <v>54</v>
      </c>
      <c r="H3417" t="s">
        <v>55</v>
      </c>
      <c r="I3417">
        <v>2680</v>
      </c>
      <c r="J3417">
        <v>3484</v>
      </c>
      <c r="K3417">
        <v>4</v>
      </c>
      <c r="L3417">
        <v>10720</v>
      </c>
      <c r="M3417">
        <v>13936</v>
      </c>
      <c r="N3417" t="s">
        <v>42</v>
      </c>
      <c r="O3417">
        <f t="shared" si="106"/>
        <v>2990</v>
      </c>
      <c r="P3417" s="13">
        <f t="shared" si="107"/>
        <v>1868256</v>
      </c>
      <c r="Q3417" s="13">
        <f>SUMIFS(M:M,E:E,Online_eCommerce[[#This Row],[Status]])</f>
        <v>21103186</v>
      </c>
      <c r="R3417" s="13">
        <f>SUMIFS(L:L,H:H,Online_eCommerce[[#This Row],[Brand]])</f>
        <v>2267380</v>
      </c>
      <c r="S3417" s="13">
        <f>SUMIF(H:H,Online_eCommerce[[#This Row],[Brand]],M:M)</f>
        <v>2947594</v>
      </c>
      <c r="T3417" s="13">
        <f>SUMIF(N:N,Online_eCommerce[[#This Row],[Assigned Supervisor]],L:L)</f>
        <v>12261500</v>
      </c>
    </row>
    <row r="3418" spans="1:20" x14ac:dyDescent="0.3">
      <c r="A3418" t="s">
        <v>5143</v>
      </c>
      <c r="B3418" t="s">
        <v>235</v>
      </c>
      <c r="C3418" t="s">
        <v>99</v>
      </c>
      <c r="D3418" t="s">
        <v>5144</v>
      </c>
      <c r="E3418" t="s">
        <v>46</v>
      </c>
      <c r="F3418" t="s">
        <v>112</v>
      </c>
      <c r="G3418" t="s">
        <v>71</v>
      </c>
      <c r="H3418" t="s">
        <v>21</v>
      </c>
      <c r="I3418">
        <v>8250</v>
      </c>
      <c r="J3418">
        <v>10725</v>
      </c>
      <c r="K3418">
        <v>2</v>
      </c>
      <c r="L3418">
        <v>16500</v>
      </c>
      <c r="M3418">
        <v>21450</v>
      </c>
      <c r="N3418" t="s">
        <v>50</v>
      </c>
      <c r="O3418">
        <f t="shared" si="106"/>
        <v>9750</v>
      </c>
      <c r="P3418" s="13">
        <f t="shared" si="107"/>
        <v>2651233</v>
      </c>
      <c r="Q3418" s="13">
        <f>SUMIFS(M:M,E:E,Online_eCommerce[[#This Row],[Status]])</f>
        <v>28620410</v>
      </c>
      <c r="R3418" s="13">
        <f>SUMIFS(L:L,H:H,Online_eCommerce[[#This Row],[Brand]])</f>
        <v>12435650</v>
      </c>
      <c r="S3418" s="13">
        <f>SUMIF(H:H,Online_eCommerce[[#This Row],[Brand]],M:M)</f>
        <v>16166345</v>
      </c>
      <c r="T3418" s="13">
        <f>SUMIF(N:N,Online_eCommerce[[#This Row],[Assigned Supervisor]],L:L)</f>
        <v>12100590</v>
      </c>
    </row>
    <row r="3419" spans="1:20" hidden="1" x14ac:dyDescent="0.3">
      <c r="A3419" t="s">
        <v>5145</v>
      </c>
      <c r="B3419" t="s">
        <v>104</v>
      </c>
      <c r="C3419" t="s">
        <v>105</v>
      </c>
      <c r="D3419" t="s">
        <v>5146</v>
      </c>
      <c r="E3419" t="s">
        <v>96</v>
      </c>
      <c r="F3419" t="s">
        <v>4693</v>
      </c>
      <c r="G3419" t="s">
        <v>40</v>
      </c>
      <c r="H3419" t="s">
        <v>21</v>
      </c>
      <c r="I3419">
        <v>2650</v>
      </c>
      <c r="J3419">
        <v>3445</v>
      </c>
      <c r="K3419">
        <v>1</v>
      </c>
      <c r="L3419">
        <v>2650</v>
      </c>
      <c r="M3419">
        <v>3445</v>
      </c>
      <c r="N3419" t="s">
        <v>56</v>
      </c>
      <c r="O3419">
        <f t="shared" si="106"/>
        <v>25545</v>
      </c>
      <c r="P3419" s="13">
        <f t="shared" si="107"/>
        <v>1866852</v>
      </c>
      <c r="Q3419" s="13">
        <f>SUMIFS(M:M,E:E,Online_eCommerce[[#This Row],[Status]])</f>
        <v>21233992</v>
      </c>
      <c r="R3419" s="13">
        <f>SUMIFS(L:L,H:H,Online_eCommerce[[#This Row],[Brand]])</f>
        <v>12435650</v>
      </c>
      <c r="S3419" s="13">
        <f>SUMIF(H:H,Online_eCommerce[[#This Row],[Brand]],M:M)</f>
        <v>16166345</v>
      </c>
      <c r="T3419" s="13">
        <f>SUMIF(N:N,Online_eCommerce[[#This Row],[Assigned Supervisor]],L:L)</f>
        <v>11733610</v>
      </c>
    </row>
    <row r="3420" spans="1:20" hidden="1" x14ac:dyDescent="0.3">
      <c r="A3420" t="s">
        <v>5147</v>
      </c>
      <c r="B3420" t="s">
        <v>109</v>
      </c>
      <c r="C3420" t="s">
        <v>110</v>
      </c>
      <c r="D3420" t="s">
        <v>5146</v>
      </c>
      <c r="E3420" t="s">
        <v>18</v>
      </c>
      <c r="F3420" t="s">
        <v>121</v>
      </c>
      <c r="G3420" t="s">
        <v>71</v>
      </c>
      <c r="H3420" t="s">
        <v>122</v>
      </c>
      <c r="I3420">
        <v>12550</v>
      </c>
      <c r="J3420">
        <v>16315</v>
      </c>
      <c r="K3420">
        <v>2</v>
      </c>
      <c r="L3420">
        <v>25100</v>
      </c>
      <c r="M3420">
        <v>32630</v>
      </c>
      <c r="N3420" t="s">
        <v>22</v>
      </c>
      <c r="O3420">
        <f t="shared" si="106"/>
        <v>9750</v>
      </c>
      <c r="P3420" s="13">
        <f t="shared" si="107"/>
        <v>2598635</v>
      </c>
      <c r="Q3420" s="13">
        <f>SUMIFS(M:M,E:E,Online_eCommerce[[#This Row],[Status]])</f>
        <v>28340455</v>
      </c>
      <c r="R3420" s="13">
        <f>SUMIFS(L:L,H:H,Online_eCommerce[[#This Row],[Brand]])</f>
        <v>5045100</v>
      </c>
      <c r="S3420" s="13">
        <f>SUMIF(H:H,Online_eCommerce[[#This Row],[Brand]],M:M)</f>
        <v>6558630</v>
      </c>
      <c r="T3420" s="13">
        <f>SUMIF(N:N,Online_eCommerce[[#This Row],[Assigned Supervisor]],L:L)</f>
        <v>13693220</v>
      </c>
    </row>
    <row r="3421" spans="1:20" hidden="1" x14ac:dyDescent="0.3">
      <c r="A3421" t="s">
        <v>5148</v>
      </c>
      <c r="B3421" t="s">
        <v>114</v>
      </c>
      <c r="C3421" t="s">
        <v>115</v>
      </c>
      <c r="D3421" t="s">
        <v>5146</v>
      </c>
      <c r="E3421" t="s">
        <v>161</v>
      </c>
      <c r="F3421" t="s">
        <v>126</v>
      </c>
      <c r="G3421" t="s">
        <v>26</v>
      </c>
      <c r="H3421" t="s">
        <v>27</v>
      </c>
      <c r="I3421">
        <v>14500</v>
      </c>
      <c r="J3421">
        <v>18850</v>
      </c>
      <c r="K3421">
        <v>2</v>
      </c>
      <c r="L3421">
        <v>29000</v>
      </c>
      <c r="M3421">
        <v>37700</v>
      </c>
      <c r="N3421" t="s">
        <v>28</v>
      </c>
      <c r="O3421">
        <f t="shared" si="106"/>
        <v>33150</v>
      </c>
      <c r="P3421" s="13">
        <f t="shared" si="107"/>
        <v>2050178</v>
      </c>
      <c r="Q3421" s="13">
        <f>SUMIFS(M:M,E:E,Online_eCommerce[[#This Row],[Status]])</f>
        <v>21103186</v>
      </c>
      <c r="R3421" s="13">
        <f>SUMIFS(L:L,H:H,Online_eCommerce[[#This Row],[Brand]])</f>
        <v>14431000</v>
      </c>
      <c r="S3421" s="13">
        <f>SUMIF(H:H,Online_eCommerce[[#This Row],[Brand]],M:M)</f>
        <v>18760300</v>
      </c>
      <c r="T3421" s="13">
        <f>SUMIF(N:N,Online_eCommerce[[#This Row],[Assigned Supervisor]],L:L)</f>
        <v>12220830</v>
      </c>
    </row>
    <row r="3422" spans="1:20" x14ac:dyDescent="0.3">
      <c r="A3422" t="s">
        <v>5149</v>
      </c>
      <c r="B3422" t="s">
        <v>119</v>
      </c>
      <c r="C3422" t="s">
        <v>120</v>
      </c>
      <c r="D3422" t="s">
        <v>5150</v>
      </c>
      <c r="E3422" t="s">
        <v>46</v>
      </c>
      <c r="F3422" t="s">
        <v>129</v>
      </c>
      <c r="G3422" t="s">
        <v>60</v>
      </c>
      <c r="H3422" t="s">
        <v>61</v>
      </c>
      <c r="I3422">
        <v>800</v>
      </c>
      <c r="J3422">
        <v>1040</v>
      </c>
      <c r="K3422">
        <v>2</v>
      </c>
      <c r="L3422">
        <v>1600</v>
      </c>
      <c r="M3422">
        <v>2080</v>
      </c>
      <c r="N3422" t="s">
        <v>35</v>
      </c>
      <c r="O3422">
        <f t="shared" si="106"/>
        <v>3315</v>
      </c>
      <c r="P3422" s="13">
        <f t="shared" si="107"/>
        <v>2734212</v>
      </c>
      <c r="Q3422" s="13">
        <f>SUMIFS(M:M,E:E,Online_eCommerce[[#This Row],[Status]])</f>
        <v>28620410</v>
      </c>
      <c r="R3422" s="13">
        <f>SUMIFS(L:L,H:H,Online_eCommerce[[#This Row],[Brand]])</f>
        <v>10950150</v>
      </c>
      <c r="S3422" s="13">
        <f>SUMIF(H:H,Online_eCommerce[[#This Row],[Brand]],M:M)</f>
        <v>14235195</v>
      </c>
      <c r="T3422" s="13">
        <f>SUMIF(N:N,Online_eCommerce[[#This Row],[Assigned Supervisor]],L:L)</f>
        <v>14373360</v>
      </c>
    </row>
    <row r="3423" spans="1:20" hidden="1" x14ac:dyDescent="0.3">
      <c r="A3423" t="s">
        <v>5151</v>
      </c>
      <c r="B3423" t="s">
        <v>124</v>
      </c>
      <c r="C3423" t="s">
        <v>125</v>
      </c>
      <c r="D3423" t="s">
        <v>5152</v>
      </c>
      <c r="E3423" t="s">
        <v>96</v>
      </c>
      <c r="F3423" t="s">
        <v>133</v>
      </c>
      <c r="G3423" t="s">
        <v>66</v>
      </c>
      <c r="H3423" t="s">
        <v>21</v>
      </c>
      <c r="I3423">
        <v>600</v>
      </c>
      <c r="J3423">
        <v>780</v>
      </c>
      <c r="K3423">
        <v>2</v>
      </c>
      <c r="L3423">
        <v>1200</v>
      </c>
      <c r="M3423">
        <v>1560</v>
      </c>
      <c r="N3423" t="s">
        <v>42</v>
      </c>
      <c r="O3423">
        <f t="shared" si="106"/>
        <v>1690</v>
      </c>
      <c r="P3423" s="13">
        <f t="shared" si="107"/>
        <v>2091154</v>
      </c>
      <c r="Q3423" s="13">
        <f>SUMIFS(M:M,E:E,Online_eCommerce[[#This Row],[Status]])</f>
        <v>21233992</v>
      </c>
      <c r="R3423" s="13">
        <f>SUMIFS(L:L,H:H,Online_eCommerce[[#This Row],[Brand]])</f>
        <v>12435650</v>
      </c>
      <c r="S3423" s="13">
        <f>SUMIF(H:H,Online_eCommerce[[#This Row],[Brand]],M:M)</f>
        <v>16166345</v>
      </c>
      <c r="T3423" s="13">
        <f>SUMIF(N:N,Online_eCommerce[[#This Row],[Assigned Supervisor]],L:L)</f>
        <v>12261500</v>
      </c>
    </row>
    <row r="3424" spans="1:20" hidden="1" x14ac:dyDescent="0.3">
      <c r="A3424" t="s">
        <v>5153</v>
      </c>
      <c r="B3424" t="s">
        <v>128</v>
      </c>
      <c r="C3424" t="s">
        <v>22</v>
      </c>
      <c r="D3424" t="s">
        <v>5154</v>
      </c>
      <c r="E3424" t="s">
        <v>18</v>
      </c>
      <c r="F3424" t="s">
        <v>137</v>
      </c>
      <c r="G3424" t="s">
        <v>71</v>
      </c>
      <c r="H3424" t="s">
        <v>61</v>
      </c>
      <c r="I3424">
        <v>10500</v>
      </c>
      <c r="J3424">
        <v>13650</v>
      </c>
      <c r="K3424">
        <v>2</v>
      </c>
      <c r="L3424">
        <v>21000</v>
      </c>
      <c r="M3424">
        <v>27300</v>
      </c>
      <c r="N3424" t="s">
        <v>50</v>
      </c>
      <c r="O3424">
        <f t="shared" si="106"/>
        <v>9750</v>
      </c>
      <c r="P3424" s="13">
        <f t="shared" si="107"/>
        <v>2551588</v>
      </c>
      <c r="Q3424" s="13">
        <f>SUMIFS(M:M,E:E,Online_eCommerce[[#This Row],[Status]])</f>
        <v>28340455</v>
      </c>
      <c r="R3424" s="13">
        <f>SUMIFS(L:L,H:H,Online_eCommerce[[#This Row],[Brand]])</f>
        <v>10950150</v>
      </c>
      <c r="S3424" s="13">
        <f>SUMIF(H:H,Online_eCommerce[[#This Row],[Brand]],M:M)</f>
        <v>14235195</v>
      </c>
      <c r="T3424" s="13">
        <f>SUMIF(N:N,Online_eCommerce[[#This Row],[Assigned Supervisor]],L:L)</f>
        <v>12100590</v>
      </c>
    </row>
    <row r="3425" spans="1:20" hidden="1" x14ac:dyDescent="0.3">
      <c r="A3425" t="s">
        <v>5155</v>
      </c>
      <c r="B3425" t="s">
        <v>131</v>
      </c>
      <c r="C3425" t="s">
        <v>132</v>
      </c>
      <c r="D3425" t="s">
        <v>5156</v>
      </c>
      <c r="E3425" t="s">
        <v>161</v>
      </c>
      <c r="F3425" t="s">
        <v>5106</v>
      </c>
      <c r="G3425" t="s">
        <v>77</v>
      </c>
      <c r="H3425" t="s">
        <v>142</v>
      </c>
      <c r="I3425">
        <v>6500</v>
      </c>
      <c r="J3425">
        <v>8450</v>
      </c>
      <c r="K3425">
        <v>2</v>
      </c>
      <c r="L3425">
        <v>13000</v>
      </c>
      <c r="M3425">
        <v>16900</v>
      </c>
      <c r="N3425" t="s">
        <v>56</v>
      </c>
      <c r="O3425">
        <f t="shared" si="106"/>
        <v>39000</v>
      </c>
      <c r="P3425" s="13">
        <f t="shared" si="107"/>
        <v>1989065</v>
      </c>
      <c r="Q3425" s="13">
        <f>SUMIFS(M:M,E:E,Online_eCommerce[[#This Row],[Status]])</f>
        <v>21103186</v>
      </c>
      <c r="R3425" s="13">
        <f>SUMIFS(L:L,H:H,Online_eCommerce[[#This Row],[Brand]])</f>
        <v>6192500</v>
      </c>
      <c r="S3425" s="13">
        <f>SUMIF(H:H,Online_eCommerce[[#This Row],[Brand]],M:M)</f>
        <v>8050250</v>
      </c>
      <c r="T3425" s="13">
        <f>SUMIF(N:N,Online_eCommerce[[#This Row],[Assigned Supervisor]],L:L)</f>
        <v>11733610</v>
      </c>
    </row>
    <row r="3426" spans="1:20" x14ac:dyDescent="0.3">
      <c r="A3426" t="s">
        <v>5157</v>
      </c>
      <c r="B3426" t="s">
        <v>135</v>
      </c>
      <c r="C3426" t="s">
        <v>136</v>
      </c>
      <c r="D3426" t="s">
        <v>5158</v>
      </c>
      <c r="E3426" t="s">
        <v>46</v>
      </c>
      <c r="F3426" t="s">
        <v>5159</v>
      </c>
      <c r="G3426" t="s">
        <v>20</v>
      </c>
      <c r="H3426" t="s">
        <v>21</v>
      </c>
      <c r="I3426">
        <v>4500</v>
      </c>
      <c r="J3426">
        <v>5850</v>
      </c>
      <c r="K3426">
        <v>2</v>
      </c>
      <c r="L3426">
        <v>9000</v>
      </c>
      <c r="M3426">
        <v>11700</v>
      </c>
      <c r="N3426" t="s">
        <v>22</v>
      </c>
      <c r="O3426">
        <f t="shared" si="106"/>
        <v>8450</v>
      </c>
      <c r="P3426" s="13">
        <f t="shared" si="107"/>
        <v>2775162</v>
      </c>
      <c r="Q3426" s="13">
        <f>SUMIFS(M:M,E:E,Online_eCommerce[[#This Row],[Status]])</f>
        <v>28620410</v>
      </c>
      <c r="R3426" s="13">
        <f>SUMIFS(L:L,H:H,Online_eCommerce[[#This Row],[Brand]])</f>
        <v>12435650</v>
      </c>
      <c r="S3426" s="13">
        <f>SUMIF(H:H,Online_eCommerce[[#This Row],[Brand]],M:M)</f>
        <v>16166345</v>
      </c>
      <c r="T3426" s="13">
        <f>SUMIF(N:N,Online_eCommerce[[#This Row],[Assigned Supervisor]],L:L)</f>
        <v>13693220</v>
      </c>
    </row>
    <row r="3427" spans="1:20" hidden="1" x14ac:dyDescent="0.3">
      <c r="A3427" t="s">
        <v>5160</v>
      </c>
      <c r="B3427" t="s">
        <v>139</v>
      </c>
      <c r="C3427" t="s">
        <v>140</v>
      </c>
      <c r="D3427" t="s">
        <v>5161</v>
      </c>
      <c r="E3427" t="s">
        <v>96</v>
      </c>
      <c r="F3427" t="s">
        <v>152</v>
      </c>
      <c r="G3427" t="s">
        <v>26</v>
      </c>
      <c r="H3427" t="s">
        <v>27</v>
      </c>
      <c r="I3427">
        <v>8500</v>
      </c>
      <c r="J3427">
        <v>11050</v>
      </c>
      <c r="K3427">
        <v>1</v>
      </c>
      <c r="L3427">
        <v>8500</v>
      </c>
      <c r="M3427">
        <v>11050</v>
      </c>
      <c r="N3427" t="s">
        <v>28</v>
      </c>
      <c r="O3427">
        <f t="shared" si="106"/>
        <v>33150</v>
      </c>
      <c r="P3427" s="13">
        <f t="shared" si="107"/>
        <v>2058264</v>
      </c>
      <c r="Q3427" s="13">
        <f>SUMIFS(M:M,E:E,Online_eCommerce[[#This Row],[Status]])</f>
        <v>21233992</v>
      </c>
      <c r="R3427" s="13">
        <f>SUMIFS(L:L,H:H,Online_eCommerce[[#This Row],[Brand]])</f>
        <v>14431000</v>
      </c>
      <c r="S3427" s="13">
        <f>SUMIF(H:H,Online_eCommerce[[#This Row],[Brand]],M:M)</f>
        <v>18760300</v>
      </c>
      <c r="T3427" s="13">
        <f>SUMIF(N:N,Online_eCommerce[[#This Row],[Assigned Supervisor]],L:L)</f>
        <v>12220830</v>
      </c>
    </row>
    <row r="3428" spans="1:20" hidden="1" x14ac:dyDescent="0.3">
      <c r="A3428" t="s">
        <v>5162</v>
      </c>
      <c r="B3428" t="s">
        <v>144</v>
      </c>
      <c r="C3428" t="s">
        <v>145</v>
      </c>
      <c r="D3428" t="s">
        <v>5163</v>
      </c>
      <c r="E3428" t="s">
        <v>18</v>
      </c>
      <c r="F3428" t="s">
        <v>157</v>
      </c>
      <c r="G3428" t="s">
        <v>33</v>
      </c>
      <c r="H3428" t="s">
        <v>34</v>
      </c>
      <c r="I3428">
        <v>12500</v>
      </c>
      <c r="J3428">
        <v>16250</v>
      </c>
      <c r="K3428">
        <v>2</v>
      </c>
      <c r="L3428">
        <v>25000</v>
      </c>
      <c r="M3428">
        <v>32500</v>
      </c>
      <c r="N3428" t="s">
        <v>35</v>
      </c>
      <c r="O3428">
        <f t="shared" si="106"/>
        <v>18200</v>
      </c>
      <c r="P3428" s="13">
        <f t="shared" si="107"/>
        <v>2757859</v>
      </c>
      <c r="Q3428" s="13">
        <f>SUMIFS(M:M,E:E,Online_eCommerce[[#This Row],[Status]])</f>
        <v>28340455</v>
      </c>
      <c r="R3428" s="13">
        <f>SUMIFS(L:L,H:H,Online_eCommerce[[#This Row],[Brand]])</f>
        <v>10087000</v>
      </c>
      <c r="S3428" s="13">
        <f>SUMIF(H:H,Online_eCommerce[[#This Row],[Brand]],M:M)</f>
        <v>13113100</v>
      </c>
      <c r="T3428" s="13">
        <f>SUMIF(N:N,Online_eCommerce[[#This Row],[Assigned Supervisor]],L:L)</f>
        <v>14373360</v>
      </c>
    </row>
    <row r="3429" spans="1:20" hidden="1" x14ac:dyDescent="0.3">
      <c r="A3429" t="s">
        <v>5164</v>
      </c>
      <c r="B3429" t="s">
        <v>149</v>
      </c>
      <c r="C3429" t="s">
        <v>150</v>
      </c>
      <c r="D3429" t="s">
        <v>5165</v>
      </c>
      <c r="E3429" t="s">
        <v>161</v>
      </c>
      <c r="F3429" t="s">
        <v>4746</v>
      </c>
      <c r="G3429" t="s">
        <v>256</v>
      </c>
      <c r="H3429" t="s">
        <v>41</v>
      </c>
      <c r="I3429">
        <v>3500</v>
      </c>
      <c r="J3429">
        <v>4550</v>
      </c>
      <c r="K3429">
        <v>2</v>
      </c>
      <c r="L3429">
        <v>7000</v>
      </c>
      <c r="M3429">
        <v>9100</v>
      </c>
      <c r="N3429" t="s">
        <v>42</v>
      </c>
      <c r="O3429">
        <f t="shared" si="106"/>
        <v>9100</v>
      </c>
      <c r="P3429" s="13">
        <f t="shared" si="107"/>
        <v>2154984</v>
      </c>
      <c r="Q3429" s="13">
        <f>SUMIFS(M:M,E:E,Online_eCommerce[[#This Row],[Status]])</f>
        <v>21103186</v>
      </c>
      <c r="R3429" s="13">
        <f>SUMIFS(L:L,H:H,Online_eCommerce[[#This Row],[Brand]])</f>
        <v>4260400</v>
      </c>
      <c r="S3429" s="13">
        <f>SUMIF(H:H,Online_eCommerce[[#This Row],[Brand]],M:M)</f>
        <v>5538520</v>
      </c>
      <c r="T3429" s="13">
        <f>SUMIF(N:N,Online_eCommerce[[#This Row],[Assigned Supervisor]],L:L)</f>
        <v>12261500</v>
      </c>
    </row>
    <row r="3430" spans="1:20" x14ac:dyDescent="0.3">
      <c r="A3430" t="s">
        <v>5166</v>
      </c>
      <c r="B3430" t="s">
        <v>154</v>
      </c>
      <c r="C3430" t="s">
        <v>155</v>
      </c>
      <c r="D3430" t="s">
        <v>5167</v>
      </c>
      <c r="E3430" t="s">
        <v>46</v>
      </c>
      <c r="F3430" t="s">
        <v>166</v>
      </c>
      <c r="G3430" t="s">
        <v>259</v>
      </c>
      <c r="H3430" t="s">
        <v>49</v>
      </c>
      <c r="I3430">
        <v>4500</v>
      </c>
      <c r="J3430">
        <v>5850</v>
      </c>
      <c r="K3430">
        <v>2</v>
      </c>
      <c r="L3430">
        <v>9000</v>
      </c>
      <c r="M3430">
        <v>11700</v>
      </c>
      <c r="N3430" t="s">
        <v>50</v>
      </c>
      <c r="O3430">
        <f t="shared" si="106"/>
        <v>11700</v>
      </c>
      <c r="P3430" s="13">
        <f t="shared" si="107"/>
        <v>2753348</v>
      </c>
      <c r="Q3430" s="13">
        <f>SUMIFS(M:M,E:E,Online_eCommerce[[#This Row],[Status]])</f>
        <v>28620410</v>
      </c>
      <c r="R3430" s="13">
        <f>SUMIFS(L:L,H:H,Online_eCommerce[[#This Row],[Brand]])</f>
        <v>4528350</v>
      </c>
      <c r="S3430" s="13">
        <f>SUMIF(H:H,Online_eCommerce[[#This Row],[Brand]],M:M)</f>
        <v>5886855</v>
      </c>
      <c r="T3430" s="13">
        <f>SUMIF(N:N,Online_eCommerce[[#This Row],[Assigned Supervisor]],L:L)</f>
        <v>12100590</v>
      </c>
    </row>
    <row r="3431" spans="1:20" hidden="1" x14ac:dyDescent="0.3">
      <c r="A3431" t="s">
        <v>5168</v>
      </c>
      <c r="B3431" t="s">
        <v>159</v>
      </c>
      <c r="C3431" t="s">
        <v>160</v>
      </c>
      <c r="D3431" t="s">
        <v>5169</v>
      </c>
      <c r="E3431" t="s">
        <v>96</v>
      </c>
      <c r="F3431" t="s">
        <v>5170</v>
      </c>
      <c r="G3431" t="s">
        <v>54</v>
      </c>
      <c r="H3431" t="s">
        <v>55</v>
      </c>
      <c r="I3431">
        <v>2100</v>
      </c>
      <c r="J3431">
        <v>2730</v>
      </c>
      <c r="K3431">
        <v>3</v>
      </c>
      <c r="L3431">
        <v>6300</v>
      </c>
      <c r="M3431">
        <v>8190</v>
      </c>
      <c r="N3431" t="s">
        <v>56</v>
      </c>
      <c r="O3431">
        <f t="shared" si="106"/>
        <v>2990</v>
      </c>
      <c r="P3431" s="13">
        <f t="shared" si="107"/>
        <v>2303483</v>
      </c>
      <c r="Q3431" s="13">
        <f>SUMIFS(M:M,E:E,Online_eCommerce[[#This Row],[Status]])</f>
        <v>21233992</v>
      </c>
      <c r="R3431" s="13">
        <f>SUMIFS(L:L,H:H,Online_eCommerce[[#This Row],[Brand]])</f>
        <v>2267380</v>
      </c>
      <c r="S3431" s="13">
        <f>SUMIF(H:H,Online_eCommerce[[#This Row],[Brand]],M:M)</f>
        <v>2947594</v>
      </c>
      <c r="T3431" s="13">
        <f>SUMIF(N:N,Online_eCommerce[[#This Row],[Assigned Supervisor]],L:L)</f>
        <v>11733610</v>
      </c>
    </row>
    <row r="3432" spans="1:20" hidden="1" x14ac:dyDescent="0.3">
      <c r="A3432" t="s">
        <v>5171</v>
      </c>
      <c r="B3432" t="s">
        <v>139</v>
      </c>
      <c r="C3432" t="s">
        <v>165</v>
      </c>
      <c r="D3432" t="s">
        <v>5172</v>
      </c>
      <c r="E3432" t="s">
        <v>18</v>
      </c>
      <c r="F3432" t="s">
        <v>174</v>
      </c>
      <c r="G3432" t="s">
        <v>60</v>
      </c>
      <c r="H3432" t="s">
        <v>61</v>
      </c>
      <c r="I3432">
        <v>1150</v>
      </c>
      <c r="J3432">
        <v>1495</v>
      </c>
      <c r="K3432">
        <v>1</v>
      </c>
      <c r="L3432">
        <v>1150</v>
      </c>
      <c r="M3432">
        <v>1495</v>
      </c>
      <c r="N3432" t="s">
        <v>22</v>
      </c>
      <c r="O3432">
        <f t="shared" si="106"/>
        <v>3315</v>
      </c>
      <c r="P3432" s="13">
        <f t="shared" si="107"/>
        <v>2674087</v>
      </c>
      <c r="Q3432" s="13">
        <f>SUMIFS(M:M,E:E,Online_eCommerce[[#This Row],[Status]])</f>
        <v>28340455</v>
      </c>
      <c r="R3432" s="13">
        <f>SUMIFS(L:L,H:H,Online_eCommerce[[#This Row],[Brand]])</f>
        <v>10950150</v>
      </c>
      <c r="S3432" s="13">
        <f>SUMIF(H:H,Online_eCommerce[[#This Row],[Brand]],M:M)</f>
        <v>14235195</v>
      </c>
      <c r="T3432" s="13">
        <f>SUMIF(N:N,Online_eCommerce[[#This Row],[Assigned Supervisor]],L:L)</f>
        <v>13693220</v>
      </c>
    </row>
    <row r="3433" spans="1:20" hidden="1" x14ac:dyDescent="0.3">
      <c r="A3433" t="s">
        <v>5173</v>
      </c>
      <c r="B3433" t="s">
        <v>144</v>
      </c>
      <c r="C3433" t="s">
        <v>168</v>
      </c>
      <c r="D3433" t="s">
        <v>5174</v>
      </c>
      <c r="E3433" t="s">
        <v>161</v>
      </c>
      <c r="F3433" t="s">
        <v>179</v>
      </c>
      <c r="G3433" t="s">
        <v>66</v>
      </c>
      <c r="H3433" t="s">
        <v>21</v>
      </c>
      <c r="I3433">
        <v>350</v>
      </c>
      <c r="J3433">
        <v>455</v>
      </c>
      <c r="K3433">
        <v>3</v>
      </c>
      <c r="L3433">
        <v>1050</v>
      </c>
      <c r="M3433">
        <v>1365</v>
      </c>
      <c r="N3433" t="s">
        <v>28</v>
      </c>
      <c r="O3433">
        <f t="shared" si="106"/>
        <v>1690</v>
      </c>
      <c r="P3433" s="13">
        <f t="shared" si="107"/>
        <v>1937780</v>
      </c>
      <c r="Q3433" s="13">
        <f>SUMIFS(M:M,E:E,Online_eCommerce[[#This Row],[Status]])</f>
        <v>21103186</v>
      </c>
      <c r="R3433" s="13">
        <f>SUMIFS(L:L,H:H,Online_eCommerce[[#This Row],[Brand]])</f>
        <v>12435650</v>
      </c>
      <c r="S3433" s="13">
        <f>SUMIF(H:H,Online_eCommerce[[#This Row],[Brand]],M:M)</f>
        <v>16166345</v>
      </c>
      <c r="T3433" s="13">
        <f>SUMIF(N:N,Online_eCommerce[[#This Row],[Assigned Supervisor]],L:L)</f>
        <v>12220830</v>
      </c>
    </row>
    <row r="3434" spans="1:20" x14ac:dyDescent="0.3">
      <c r="A3434" t="s">
        <v>5175</v>
      </c>
      <c r="B3434" t="s">
        <v>235</v>
      </c>
      <c r="C3434" t="s">
        <v>172</v>
      </c>
      <c r="D3434" t="s">
        <v>5176</v>
      </c>
      <c r="E3434" t="s">
        <v>46</v>
      </c>
      <c r="F3434" t="s">
        <v>183</v>
      </c>
      <c r="G3434" t="s">
        <v>71</v>
      </c>
      <c r="H3434" t="s">
        <v>61</v>
      </c>
      <c r="I3434">
        <v>9500</v>
      </c>
      <c r="J3434">
        <v>12350</v>
      </c>
      <c r="K3434">
        <v>3</v>
      </c>
      <c r="L3434">
        <v>28500</v>
      </c>
      <c r="M3434">
        <v>37050</v>
      </c>
      <c r="N3434" t="s">
        <v>35</v>
      </c>
      <c r="O3434">
        <f t="shared" si="106"/>
        <v>9750</v>
      </c>
      <c r="P3434" s="13">
        <f t="shared" si="107"/>
        <v>2640274</v>
      </c>
      <c r="Q3434" s="13">
        <f>SUMIFS(M:M,E:E,Online_eCommerce[[#This Row],[Status]])</f>
        <v>28620410</v>
      </c>
      <c r="R3434" s="13">
        <f>SUMIFS(L:L,H:H,Online_eCommerce[[#This Row],[Brand]])</f>
        <v>10950150</v>
      </c>
      <c r="S3434" s="13">
        <f>SUMIF(H:H,Online_eCommerce[[#This Row],[Brand]],M:M)</f>
        <v>14235195</v>
      </c>
      <c r="T3434" s="13">
        <f>SUMIF(N:N,Online_eCommerce[[#This Row],[Assigned Supervisor]],L:L)</f>
        <v>14373360</v>
      </c>
    </row>
    <row r="3435" spans="1:20" hidden="1" x14ac:dyDescent="0.3">
      <c r="A3435" t="s">
        <v>5177</v>
      </c>
      <c r="B3435" t="s">
        <v>176</v>
      </c>
      <c r="C3435" t="s">
        <v>177</v>
      </c>
      <c r="D3435" t="s">
        <v>5178</v>
      </c>
      <c r="E3435" t="s">
        <v>96</v>
      </c>
      <c r="F3435" t="s">
        <v>5179</v>
      </c>
      <c r="G3435" t="s">
        <v>77</v>
      </c>
      <c r="H3435" t="s">
        <v>142</v>
      </c>
      <c r="I3435">
        <v>10000</v>
      </c>
      <c r="J3435">
        <v>13000</v>
      </c>
      <c r="K3435">
        <v>3</v>
      </c>
      <c r="L3435">
        <v>30000</v>
      </c>
      <c r="M3435">
        <v>39000</v>
      </c>
      <c r="N3435" t="s">
        <v>42</v>
      </c>
      <c r="O3435">
        <f t="shared" si="106"/>
        <v>39000</v>
      </c>
      <c r="P3435" s="13">
        <f t="shared" si="107"/>
        <v>1863810</v>
      </c>
      <c r="Q3435" s="13">
        <f>SUMIFS(M:M,E:E,Online_eCommerce[[#This Row],[Status]])</f>
        <v>21233992</v>
      </c>
      <c r="R3435" s="13">
        <f>SUMIFS(L:L,H:H,Online_eCommerce[[#This Row],[Brand]])</f>
        <v>6192500</v>
      </c>
      <c r="S3435" s="13">
        <f>SUMIF(H:H,Online_eCommerce[[#This Row],[Brand]],M:M)</f>
        <v>8050250</v>
      </c>
      <c r="T3435" s="13">
        <f>SUMIF(N:N,Online_eCommerce[[#This Row],[Assigned Supervisor]],L:L)</f>
        <v>12261500</v>
      </c>
    </row>
    <row r="3436" spans="1:20" hidden="1" x14ac:dyDescent="0.3">
      <c r="A3436" t="s">
        <v>5180</v>
      </c>
      <c r="B3436" t="s">
        <v>276</v>
      </c>
      <c r="C3436" t="s">
        <v>181</v>
      </c>
      <c r="D3436" t="s">
        <v>5181</v>
      </c>
      <c r="E3436" t="s">
        <v>18</v>
      </c>
      <c r="F3436" t="s">
        <v>5182</v>
      </c>
      <c r="G3436" t="s">
        <v>20</v>
      </c>
      <c r="H3436" t="s">
        <v>21</v>
      </c>
      <c r="I3436">
        <v>6500</v>
      </c>
      <c r="J3436">
        <v>8450</v>
      </c>
      <c r="K3436">
        <v>4</v>
      </c>
      <c r="L3436">
        <v>26000</v>
      </c>
      <c r="M3436">
        <v>33800</v>
      </c>
      <c r="N3436" t="s">
        <v>50</v>
      </c>
      <c r="O3436">
        <f t="shared" si="106"/>
        <v>8450</v>
      </c>
      <c r="P3436" s="13">
        <f t="shared" si="107"/>
        <v>2577458</v>
      </c>
      <c r="Q3436" s="13">
        <f>SUMIFS(M:M,E:E,Online_eCommerce[[#This Row],[Status]])</f>
        <v>28340455</v>
      </c>
      <c r="R3436" s="13">
        <f>SUMIFS(L:L,H:H,Online_eCommerce[[#This Row],[Brand]])</f>
        <v>12435650</v>
      </c>
      <c r="S3436" s="13">
        <f>SUMIF(H:H,Online_eCommerce[[#This Row],[Brand]],M:M)</f>
        <v>16166345</v>
      </c>
      <c r="T3436" s="13">
        <f>SUMIF(N:N,Online_eCommerce[[#This Row],[Assigned Supervisor]],L:L)</f>
        <v>12100590</v>
      </c>
    </row>
    <row r="3437" spans="1:20" hidden="1" x14ac:dyDescent="0.3">
      <c r="A3437" t="s">
        <v>5183</v>
      </c>
      <c r="B3437" t="s">
        <v>280</v>
      </c>
      <c r="C3437" t="s">
        <v>185</v>
      </c>
      <c r="D3437" t="s">
        <v>5184</v>
      </c>
      <c r="E3437" t="s">
        <v>161</v>
      </c>
      <c r="F3437" t="s">
        <v>5185</v>
      </c>
      <c r="G3437" t="s">
        <v>26</v>
      </c>
      <c r="H3437" t="s">
        <v>27</v>
      </c>
      <c r="I3437">
        <v>8500</v>
      </c>
      <c r="J3437">
        <v>11050</v>
      </c>
      <c r="K3437">
        <v>4</v>
      </c>
      <c r="L3437">
        <v>34000</v>
      </c>
      <c r="M3437">
        <v>44200</v>
      </c>
      <c r="N3437" t="s">
        <v>56</v>
      </c>
      <c r="O3437">
        <f t="shared" si="106"/>
        <v>33150</v>
      </c>
      <c r="P3437" s="13">
        <f t="shared" si="107"/>
        <v>2091596</v>
      </c>
      <c r="Q3437" s="13">
        <f>SUMIFS(M:M,E:E,Online_eCommerce[[#This Row],[Status]])</f>
        <v>21103186</v>
      </c>
      <c r="R3437" s="13">
        <f>SUMIFS(L:L,H:H,Online_eCommerce[[#This Row],[Brand]])</f>
        <v>14431000</v>
      </c>
      <c r="S3437" s="13">
        <f>SUMIF(H:H,Online_eCommerce[[#This Row],[Brand]],M:M)</f>
        <v>18760300</v>
      </c>
      <c r="T3437" s="13">
        <f>SUMIF(N:N,Online_eCommerce[[#This Row],[Assigned Supervisor]],L:L)</f>
        <v>11733610</v>
      </c>
    </row>
    <row r="3438" spans="1:20" x14ac:dyDescent="0.3">
      <c r="A3438" t="s">
        <v>5186</v>
      </c>
      <c r="B3438" t="s">
        <v>283</v>
      </c>
      <c r="C3438" t="s">
        <v>189</v>
      </c>
      <c r="D3438" t="s">
        <v>5184</v>
      </c>
      <c r="E3438" t="s">
        <v>46</v>
      </c>
      <c r="F3438" t="s">
        <v>32</v>
      </c>
      <c r="G3438" t="s">
        <v>33</v>
      </c>
      <c r="H3438" t="s">
        <v>34</v>
      </c>
      <c r="I3438">
        <v>7000</v>
      </c>
      <c r="J3438">
        <v>9100</v>
      </c>
      <c r="K3438">
        <v>1</v>
      </c>
      <c r="L3438">
        <v>7000</v>
      </c>
      <c r="M3438">
        <v>9100</v>
      </c>
      <c r="N3438" t="s">
        <v>22</v>
      </c>
      <c r="O3438">
        <f t="shared" si="106"/>
        <v>18200</v>
      </c>
      <c r="P3438" s="13">
        <f t="shared" si="107"/>
        <v>2740777</v>
      </c>
      <c r="Q3438" s="13">
        <f>SUMIFS(M:M,E:E,Online_eCommerce[[#This Row],[Status]])</f>
        <v>28620410</v>
      </c>
      <c r="R3438" s="13">
        <f>SUMIFS(L:L,H:H,Online_eCommerce[[#This Row],[Brand]])</f>
        <v>10087000</v>
      </c>
      <c r="S3438" s="13">
        <f>SUMIF(H:H,Online_eCommerce[[#This Row],[Brand]],M:M)</f>
        <v>13113100</v>
      </c>
      <c r="T3438" s="13">
        <f>SUMIF(N:N,Online_eCommerce[[#This Row],[Assigned Supervisor]],L:L)</f>
        <v>13693220</v>
      </c>
    </row>
    <row r="3439" spans="1:20" hidden="1" x14ac:dyDescent="0.3">
      <c r="A3439" t="s">
        <v>5187</v>
      </c>
      <c r="B3439" t="s">
        <v>287</v>
      </c>
      <c r="C3439" t="s">
        <v>193</v>
      </c>
      <c r="D3439" t="s">
        <v>5184</v>
      </c>
      <c r="E3439" t="s">
        <v>96</v>
      </c>
      <c r="F3439" t="s">
        <v>5188</v>
      </c>
      <c r="G3439" t="s">
        <v>256</v>
      </c>
      <c r="H3439" t="s">
        <v>41</v>
      </c>
      <c r="I3439">
        <v>6550</v>
      </c>
      <c r="J3439">
        <v>8515</v>
      </c>
      <c r="K3439">
        <v>4</v>
      </c>
      <c r="L3439">
        <v>26200</v>
      </c>
      <c r="M3439">
        <v>34060</v>
      </c>
      <c r="N3439" t="s">
        <v>28</v>
      </c>
      <c r="O3439">
        <f t="shared" si="106"/>
        <v>9100</v>
      </c>
      <c r="P3439" s="13">
        <f t="shared" si="107"/>
        <v>2074774</v>
      </c>
      <c r="Q3439" s="13">
        <f>SUMIFS(M:M,E:E,Online_eCommerce[[#This Row],[Status]])</f>
        <v>21233992</v>
      </c>
      <c r="R3439" s="13">
        <f>SUMIFS(L:L,H:H,Online_eCommerce[[#This Row],[Brand]])</f>
        <v>4260400</v>
      </c>
      <c r="S3439" s="13">
        <f>SUMIF(H:H,Online_eCommerce[[#This Row],[Brand]],M:M)</f>
        <v>5538520</v>
      </c>
      <c r="T3439" s="13">
        <f>SUMIF(N:N,Online_eCommerce[[#This Row],[Assigned Supervisor]],L:L)</f>
        <v>12220830</v>
      </c>
    </row>
    <row r="3440" spans="1:20" hidden="1" x14ac:dyDescent="0.3">
      <c r="A3440" t="s">
        <v>5189</v>
      </c>
      <c r="B3440" t="s">
        <v>290</v>
      </c>
      <c r="C3440" t="s">
        <v>197</v>
      </c>
      <c r="D3440" t="s">
        <v>5184</v>
      </c>
      <c r="E3440" t="s">
        <v>18</v>
      </c>
      <c r="F3440" t="s">
        <v>47</v>
      </c>
      <c r="G3440" t="s">
        <v>259</v>
      </c>
      <c r="H3440" t="s">
        <v>49</v>
      </c>
      <c r="I3440">
        <v>7650</v>
      </c>
      <c r="J3440">
        <v>9945</v>
      </c>
      <c r="K3440">
        <v>4</v>
      </c>
      <c r="L3440">
        <v>30600</v>
      </c>
      <c r="M3440">
        <v>39780</v>
      </c>
      <c r="N3440" t="s">
        <v>35</v>
      </c>
      <c r="O3440">
        <f t="shared" si="106"/>
        <v>11700</v>
      </c>
      <c r="P3440" s="13">
        <f t="shared" si="107"/>
        <v>2829840</v>
      </c>
      <c r="Q3440" s="13">
        <f>SUMIFS(M:M,E:E,Online_eCommerce[[#This Row],[Status]])</f>
        <v>28340455</v>
      </c>
      <c r="R3440" s="13">
        <f>SUMIFS(L:L,H:H,Online_eCommerce[[#This Row],[Brand]])</f>
        <v>4528350</v>
      </c>
      <c r="S3440" s="13">
        <f>SUMIF(H:H,Online_eCommerce[[#This Row],[Brand]],M:M)</f>
        <v>5886855</v>
      </c>
      <c r="T3440" s="13">
        <f>SUMIF(N:N,Online_eCommerce[[#This Row],[Assigned Supervisor]],L:L)</f>
        <v>14373360</v>
      </c>
    </row>
    <row r="3441" spans="1:20" hidden="1" x14ac:dyDescent="0.3">
      <c r="A3441" t="s">
        <v>5190</v>
      </c>
      <c r="B3441" t="s">
        <v>15</v>
      </c>
      <c r="C3441" t="s">
        <v>199</v>
      </c>
      <c r="D3441" t="s">
        <v>5191</v>
      </c>
      <c r="E3441" t="s">
        <v>161</v>
      </c>
      <c r="F3441" t="s">
        <v>53</v>
      </c>
      <c r="G3441" t="s">
        <v>54</v>
      </c>
      <c r="H3441" t="s">
        <v>55</v>
      </c>
      <c r="I3441">
        <v>1150</v>
      </c>
      <c r="J3441">
        <v>1495</v>
      </c>
      <c r="K3441">
        <v>4</v>
      </c>
      <c r="L3441">
        <v>4600</v>
      </c>
      <c r="M3441">
        <v>5980</v>
      </c>
      <c r="N3441" t="s">
        <v>42</v>
      </c>
      <c r="O3441">
        <f t="shared" si="106"/>
        <v>2990</v>
      </c>
      <c r="P3441" s="13">
        <f t="shared" si="107"/>
        <v>1947361</v>
      </c>
      <c r="Q3441" s="13">
        <f>SUMIFS(M:M,E:E,Online_eCommerce[[#This Row],[Status]])</f>
        <v>21103186</v>
      </c>
      <c r="R3441" s="13">
        <f>SUMIFS(L:L,H:H,Online_eCommerce[[#This Row],[Brand]])</f>
        <v>2267380</v>
      </c>
      <c r="S3441" s="13">
        <f>SUMIF(H:H,Online_eCommerce[[#This Row],[Brand]],M:M)</f>
        <v>2947594</v>
      </c>
      <c r="T3441" s="13">
        <f>SUMIF(N:N,Online_eCommerce[[#This Row],[Assigned Supervisor]],L:L)</f>
        <v>12261500</v>
      </c>
    </row>
    <row r="3442" spans="1:20" x14ac:dyDescent="0.3">
      <c r="A3442" t="s">
        <v>5192</v>
      </c>
      <c r="B3442" t="s">
        <v>202</v>
      </c>
      <c r="C3442" t="s">
        <v>203</v>
      </c>
      <c r="D3442" t="s">
        <v>5193</v>
      </c>
      <c r="E3442" t="s">
        <v>46</v>
      </c>
      <c r="F3442" t="s">
        <v>59</v>
      </c>
      <c r="G3442" t="s">
        <v>60</v>
      </c>
      <c r="H3442" t="s">
        <v>61</v>
      </c>
      <c r="I3442">
        <v>850</v>
      </c>
      <c r="J3442">
        <v>1105</v>
      </c>
      <c r="K3442">
        <v>2</v>
      </c>
      <c r="L3442">
        <v>1700</v>
      </c>
      <c r="M3442">
        <v>2210</v>
      </c>
      <c r="N3442" t="s">
        <v>50</v>
      </c>
      <c r="O3442">
        <f t="shared" si="106"/>
        <v>3315</v>
      </c>
      <c r="P3442" s="13">
        <f t="shared" si="107"/>
        <v>2559635</v>
      </c>
      <c r="Q3442" s="13">
        <f>SUMIFS(M:M,E:E,Online_eCommerce[[#This Row],[Status]])</f>
        <v>28620410</v>
      </c>
      <c r="R3442" s="13">
        <f>SUMIFS(L:L,H:H,Online_eCommerce[[#This Row],[Brand]])</f>
        <v>10950150</v>
      </c>
      <c r="S3442" s="13">
        <f>SUMIF(H:H,Online_eCommerce[[#This Row],[Brand]],M:M)</f>
        <v>14235195</v>
      </c>
      <c r="T3442" s="13">
        <f>SUMIF(N:N,Online_eCommerce[[#This Row],[Assigned Supervisor]],L:L)</f>
        <v>12100590</v>
      </c>
    </row>
    <row r="3443" spans="1:20" hidden="1" x14ac:dyDescent="0.3">
      <c r="A3443" t="s">
        <v>5194</v>
      </c>
      <c r="B3443" t="s">
        <v>30</v>
      </c>
      <c r="C3443" t="s">
        <v>205</v>
      </c>
      <c r="D3443" t="s">
        <v>5195</v>
      </c>
      <c r="E3443" t="s">
        <v>96</v>
      </c>
      <c r="F3443" t="s">
        <v>65</v>
      </c>
      <c r="G3443" t="s">
        <v>66</v>
      </c>
      <c r="H3443" t="s">
        <v>21</v>
      </c>
      <c r="I3443">
        <v>650</v>
      </c>
      <c r="J3443">
        <v>845</v>
      </c>
      <c r="K3443">
        <v>1</v>
      </c>
      <c r="L3443">
        <v>650</v>
      </c>
      <c r="M3443">
        <v>845</v>
      </c>
      <c r="N3443" t="s">
        <v>56</v>
      </c>
      <c r="O3443">
        <f t="shared" si="106"/>
        <v>1690</v>
      </c>
      <c r="P3443" s="13">
        <f t="shared" si="107"/>
        <v>1983254</v>
      </c>
      <c r="Q3443" s="13">
        <f>SUMIFS(M:M,E:E,Online_eCommerce[[#This Row],[Status]])</f>
        <v>21233992</v>
      </c>
      <c r="R3443" s="13">
        <f>SUMIFS(L:L,H:H,Online_eCommerce[[#This Row],[Brand]])</f>
        <v>12435650</v>
      </c>
      <c r="S3443" s="13">
        <f>SUMIF(H:H,Online_eCommerce[[#This Row],[Brand]],M:M)</f>
        <v>16166345</v>
      </c>
      <c r="T3443" s="13">
        <f>SUMIF(N:N,Online_eCommerce[[#This Row],[Assigned Supervisor]],L:L)</f>
        <v>11733610</v>
      </c>
    </row>
    <row r="3444" spans="1:20" hidden="1" x14ac:dyDescent="0.3">
      <c r="A3444" t="s">
        <v>5196</v>
      </c>
      <c r="B3444" t="s">
        <v>37</v>
      </c>
      <c r="C3444" t="s">
        <v>208</v>
      </c>
      <c r="D3444" t="s">
        <v>5197</v>
      </c>
      <c r="E3444" t="s">
        <v>18</v>
      </c>
      <c r="F3444" t="s">
        <v>70</v>
      </c>
      <c r="G3444" t="s">
        <v>71</v>
      </c>
      <c r="H3444" t="s">
        <v>61</v>
      </c>
      <c r="I3444">
        <v>7500</v>
      </c>
      <c r="J3444">
        <v>9750</v>
      </c>
      <c r="K3444">
        <v>1</v>
      </c>
      <c r="L3444">
        <v>7500</v>
      </c>
      <c r="M3444">
        <v>9750</v>
      </c>
      <c r="N3444" t="s">
        <v>22</v>
      </c>
      <c r="O3444">
        <f t="shared" si="106"/>
        <v>9750</v>
      </c>
      <c r="P3444" s="13">
        <f t="shared" si="107"/>
        <v>2746575</v>
      </c>
      <c r="Q3444" s="13">
        <f>SUMIFS(M:M,E:E,Online_eCommerce[[#This Row],[Status]])</f>
        <v>28340455</v>
      </c>
      <c r="R3444" s="13">
        <f>SUMIFS(L:L,H:H,Online_eCommerce[[#This Row],[Brand]])</f>
        <v>10950150</v>
      </c>
      <c r="S3444" s="13">
        <f>SUMIF(H:H,Online_eCommerce[[#This Row],[Brand]],M:M)</f>
        <v>14235195</v>
      </c>
      <c r="T3444" s="13">
        <f>SUMIF(N:N,Online_eCommerce[[#This Row],[Assigned Supervisor]],L:L)</f>
        <v>13693220</v>
      </c>
    </row>
    <row r="3445" spans="1:20" hidden="1" x14ac:dyDescent="0.3">
      <c r="A3445" t="s">
        <v>5198</v>
      </c>
      <c r="B3445" t="s">
        <v>44</v>
      </c>
      <c r="C3445" t="s">
        <v>211</v>
      </c>
      <c r="D3445" t="s">
        <v>5199</v>
      </c>
      <c r="E3445" t="s">
        <v>161</v>
      </c>
      <c r="F3445" t="s">
        <v>5179</v>
      </c>
      <c r="G3445" t="s">
        <v>77</v>
      </c>
      <c r="H3445" t="s">
        <v>78</v>
      </c>
      <c r="I3445">
        <v>10000</v>
      </c>
      <c r="J3445">
        <v>13000</v>
      </c>
      <c r="K3445">
        <v>4</v>
      </c>
      <c r="L3445">
        <v>40000</v>
      </c>
      <c r="M3445">
        <v>52000</v>
      </c>
      <c r="N3445" t="s">
        <v>28</v>
      </c>
      <c r="O3445">
        <f t="shared" si="106"/>
        <v>39000</v>
      </c>
      <c r="P3445" s="13">
        <f t="shared" si="107"/>
        <v>1809847</v>
      </c>
      <c r="Q3445" s="13">
        <f>SUMIFS(M:M,E:E,Online_eCommerce[[#This Row],[Status]])</f>
        <v>21103186</v>
      </c>
      <c r="R3445" s="13">
        <f>SUMIFS(L:L,H:H,Online_eCommerce[[#This Row],[Brand]])</f>
        <v>3720000</v>
      </c>
      <c r="S3445" s="13">
        <f>SUMIF(H:H,Online_eCommerce[[#This Row],[Brand]],M:M)</f>
        <v>4836000</v>
      </c>
      <c r="T3445" s="13">
        <f>SUMIF(N:N,Online_eCommerce[[#This Row],[Assigned Supervisor]],L:L)</f>
        <v>12220830</v>
      </c>
    </row>
    <row r="3446" spans="1:20" x14ac:dyDescent="0.3">
      <c r="A3446" t="s">
        <v>5200</v>
      </c>
      <c r="B3446" t="s">
        <v>213</v>
      </c>
      <c r="C3446" t="s">
        <v>16</v>
      </c>
      <c r="D3446" t="s">
        <v>5201</v>
      </c>
      <c r="E3446" t="s">
        <v>46</v>
      </c>
      <c r="F3446" t="s">
        <v>5202</v>
      </c>
      <c r="G3446" t="s">
        <v>20</v>
      </c>
      <c r="H3446" t="s">
        <v>21</v>
      </c>
      <c r="I3446">
        <v>10500</v>
      </c>
      <c r="J3446">
        <v>13650</v>
      </c>
      <c r="K3446">
        <v>4</v>
      </c>
      <c r="L3446">
        <v>42000</v>
      </c>
      <c r="M3446">
        <v>54600</v>
      </c>
      <c r="N3446" t="s">
        <v>35</v>
      </c>
      <c r="O3446">
        <f t="shared" si="106"/>
        <v>8450</v>
      </c>
      <c r="P3446" s="13">
        <f t="shared" si="107"/>
        <v>2751814</v>
      </c>
      <c r="Q3446" s="13">
        <f>SUMIFS(M:M,E:E,Online_eCommerce[[#This Row],[Status]])</f>
        <v>28620410</v>
      </c>
      <c r="R3446" s="13">
        <f>SUMIFS(L:L,H:H,Online_eCommerce[[#This Row],[Brand]])</f>
        <v>12435650</v>
      </c>
      <c r="S3446" s="13">
        <f>SUMIF(H:H,Online_eCommerce[[#This Row],[Brand]],M:M)</f>
        <v>16166345</v>
      </c>
      <c r="T3446" s="13">
        <f>SUMIF(N:N,Online_eCommerce[[#This Row],[Assigned Supervisor]],L:L)</f>
        <v>14373360</v>
      </c>
    </row>
    <row r="3447" spans="1:20" hidden="1" x14ac:dyDescent="0.3">
      <c r="A3447" t="s">
        <v>5203</v>
      </c>
      <c r="B3447" t="s">
        <v>215</v>
      </c>
      <c r="C3447" t="s">
        <v>24</v>
      </c>
      <c r="D3447" t="s">
        <v>5204</v>
      </c>
      <c r="E3447" t="s">
        <v>96</v>
      </c>
      <c r="F3447" t="s">
        <v>88</v>
      </c>
      <c r="G3447" t="s">
        <v>26</v>
      </c>
      <c r="H3447" t="s">
        <v>27</v>
      </c>
      <c r="I3447">
        <v>8500</v>
      </c>
      <c r="J3447">
        <v>11050</v>
      </c>
      <c r="K3447">
        <v>1</v>
      </c>
      <c r="L3447">
        <v>8500</v>
      </c>
      <c r="M3447">
        <v>11050</v>
      </c>
      <c r="N3447" t="s">
        <v>42</v>
      </c>
      <c r="O3447">
        <f t="shared" si="106"/>
        <v>33150</v>
      </c>
      <c r="P3447" s="13">
        <f t="shared" si="107"/>
        <v>2009540</v>
      </c>
      <c r="Q3447" s="13">
        <f>SUMIFS(M:M,E:E,Online_eCommerce[[#This Row],[Status]])</f>
        <v>21233992</v>
      </c>
      <c r="R3447" s="13">
        <f>SUMIFS(L:L,H:H,Online_eCommerce[[#This Row],[Brand]])</f>
        <v>14431000</v>
      </c>
      <c r="S3447" s="13">
        <f>SUMIF(H:H,Online_eCommerce[[#This Row],[Brand]],M:M)</f>
        <v>18760300</v>
      </c>
      <c r="T3447" s="13">
        <f>SUMIF(N:N,Online_eCommerce[[#This Row],[Assigned Supervisor]],L:L)</f>
        <v>12261500</v>
      </c>
    </row>
    <row r="3448" spans="1:20" hidden="1" x14ac:dyDescent="0.3">
      <c r="A3448" t="s">
        <v>5205</v>
      </c>
      <c r="B3448" t="s">
        <v>306</v>
      </c>
      <c r="C3448" t="s">
        <v>31</v>
      </c>
      <c r="D3448" t="s">
        <v>5206</v>
      </c>
      <c r="E3448" t="s">
        <v>18</v>
      </c>
      <c r="F3448" t="s">
        <v>32</v>
      </c>
      <c r="G3448" t="s">
        <v>33</v>
      </c>
      <c r="H3448" t="s">
        <v>34</v>
      </c>
      <c r="I3448">
        <v>7000</v>
      </c>
      <c r="J3448">
        <v>9100</v>
      </c>
      <c r="K3448">
        <v>3</v>
      </c>
      <c r="L3448">
        <v>21000</v>
      </c>
      <c r="M3448">
        <v>27300</v>
      </c>
      <c r="N3448" t="s">
        <v>50</v>
      </c>
      <c r="O3448">
        <f t="shared" si="106"/>
        <v>18200</v>
      </c>
      <c r="P3448" s="13">
        <f t="shared" si="107"/>
        <v>2865746</v>
      </c>
      <c r="Q3448" s="13">
        <f>SUMIFS(M:M,E:E,Online_eCommerce[[#This Row],[Status]])</f>
        <v>28340455</v>
      </c>
      <c r="R3448" s="13">
        <f>SUMIFS(L:L,H:H,Online_eCommerce[[#This Row],[Brand]])</f>
        <v>10087000</v>
      </c>
      <c r="S3448" s="13">
        <f>SUMIF(H:H,Online_eCommerce[[#This Row],[Brand]],M:M)</f>
        <v>13113100</v>
      </c>
      <c r="T3448" s="13">
        <f>SUMIF(N:N,Online_eCommerce[[#This Row],[Assigned Supervisor]],L:L)</f>
        <v>12100590</v>
      </c>
    </row>
    <row r="3449" spans="1:20" hidden="1" x14ac:dyDescent="0.3">
      <c r="A3449" t="s">
        <v>5207</v>
      </c>
      <c r="B3449" t="s">
        <v>528</v>
      </c>
      <c r="C3449" t="s">
        <v>38</v>
      </c>
      <c r="D3449" t="s">
        <v>5208</v>
      </c>
      <c r="E3449" t="s">
        <v>161</v>
      </c>
      <c r="F3449" t="s">
        <v>5209</v>
      </c>
      <c r="G3449" t="s">
        <v>256</v>
      </c>
      <c r="H3449" t="s">
        <v>41</v>
      </c>
      <c r="I3449">
        <v>1680</v>
      </c>
      <c r="J3449">
        <v>2184</v>
      </c>
      <c r="K3449">
        <v>2</v>
      </c>
      <c r="L3449">
        <v>3360</v>
      </c>
      <c r="M3449">
        <v>4368</v>
      </c>
      <c r="N3449" t="s">
        <v>56</v>
      </c>
      <c r="O3449">
        <f t="shared" si="106"/>
        <v>9100</v>
      </c>
      <c r="P3449" s="13">
        <f t="shared" si="107"/>
        <v>1933997</v>
      </c>
      <c r="Q3449" s="13">
        <f>SUMIFS(M:M,E:E,Online_eCommerce[[#This Row],[Status]])</f>
        <v>21103186</v>
      </c>
      <c r="R3449" s="13">
        <f>SUMIFS(L:L,H:H,Online_eCommerce[[#This Row],[Brand]])</f>
        <v>4260400</v>
      </c>
      <c r="S3449" s="13">
        <f>SUMIF(H:H,Online_eCommerce[[#This Row],[Brand]],M:M)</f>
        <v>5538520</v>
      </c>
      <c r="T3449" s="13">
        <f>SUMIF(N:N,Online_eCommerce[[#This Row],[Assigned Supervisor]],L:L)</f>
        <v>11733610</v>
      </c>
    </row>
    <row r="3450" spans="1:20" x14ac:dyDescent="0.3">
      <c r="A3450" t="s">
        <v>5210</v>
      </c>
      <c r="B3450" t="s">
        <v>73</v>
      </c>
      <c r="C3450" t="s">
        <v>45</v>
      </c>
      <c r="D3450" t="s">
        <v>5211</v>
      </c>
      <c r="E3450" t="s">
        <v>46</v>
      </c>
      <c r="F3450" t="s">
        <v>101</v>
      </c>
      <c r="G3450" t="s">
        <v>259</v>
      </c>
      <c r="H3450" t="s">
        <v>102</v>
      </c>
      <c r="I3450">
        <v>6540</v>
      </c>
      <c r="J3450">
        <v>8502</v>
      </c>
      <c r="K3450">
        <v>4</v>
      </c>
      <c r="L3450">
        <v>26160</v>
      </c>
      <c r="M3450">
        <v>34008</v>
      </c>
      <c r="N3450" t="s">
        <v>22</v>
      </c>
      <c r="O3450">
        <f t="shared" si="106"/>
        <v>11700</v>
      </c>
      <c r="P3450" s="13">
        <f t="shared" si="107"/>
        <v>2842554</v>
      </c>
      <c r="Q3450" s="13">
        <f>SUMIFS(M:M,E:E,Online_eCommerce[[#This Row],[Status]])</f>
        <v>28620410</v>
      </c>
      <c r="R3450" s="13">
        <f>SUMIFS(L:L,H:H,Online_eCommerce[[#This Row],[Brand]])</f>
        <v>2465580</v>
      </c>
      <c r="S3450" s="13">
        <f>SUMIF(H:H,Online_eCommerce[[#This Row],[Brand]],M:M)</f>
        <v>3205254</v>
      </c>
      <c r="T3450" s="13">
        <f>SUMIF(N:N,Online_eCommerce[[#This Row],[Assigned Supervisor]],L:L)</f>
        <v>13693220</v>
      </c>
    </row>
    <row r="3451" spans="1:20" hidden="1" x14ac:dyDescent="0.3">
      <c r="A3451" t="s">
        <v>5212</v>
      </c>
      <c r="B3451" t="s">
        <v>80</v>
      </c>
      <c r="C3451" t="s">
        <v>52</v>
      </c>
      <c r="D3451" t="s">
        <v>5213</v>
      </c>
      <c r="E3451" t="s">
        <v>96</v>
      </c>
      <c r="F3451" t="s">
        <v>107</v>
      </c>
      <c r="G3451" t="s">
        <v>54</v>
      </c>
      <c r="H3451" t="s">
        <v>55</v>
      </c>
      <c r="I3451">
        <v>2680</v>
      </c>
      <c r="J3451">
        <v>3484</v>
      </c>
      <c r="K3451">
        <v>2</v>
      </c>
      <c r="L3451">
        <v>5360</v>
      </c>
      <c r="M3451">
        <v>6968</v>
      </c>
      <c r="N3451" t="s">
        <v>28</v>
      </c>
      <c r="O3451">
        <f t="shared" si="106"/>
        <v>2990</v>
      </c>
      <c r="P3451" s="13">
        <f t="shared" si="107"/>
        <v>1955044</v>
      </c>
      <c r="Q3451" s="13">
        <f>SUMIFS(M:M,E:E,Online_eCommerce[[#This Row],[Status]])</f>
        <v>21233992</v>
      </c>
      <c r="R3451" s="13">
        <f>SUMIFS(L:L,H:H,Online_eCommerce[[#This Row],[Brand]])</f>
        <v>2267380</v>
      </c>
      <c r="S3451" s="13">
        <f>SUMIF(H:H,Online_eCommerce[[#This Row],[Brand]],M:M)</f>
        <v>2947594</v>
      </c>
      <c r="T3451" s="13">
        <f>SUMIF(N:N,Online_eCommerce[[#This Row],[Assigned Supervisor]],L:L)</f>
        <v>12220830</v>
      </c>
    </row>
    <row r="3452" spans="1:20" hidden="1" x14ac:dyDescent="0.3">
      <c r="A3452" t="s">
        <v>5214</v>
      </c>
      <c r="B3452" t="s">
        <v>85</v>
      </c>
      <c r="C3452" t="s">
        <v>58</v>
      </c>
      <c r="D3452" t="s">
        <v>5215</v>
      </c>
      <c r="E3452" t="s">
        <v>18</v>
      </c>
      <c r="F3452" t="s">
        <v>112</v>
      </c>
      <c r="G3452" t="s">
        <v>71</v>
      </c>
      <c r="H3452" t="s">
        <v>21</v>
      </c>
      <c r="I3452">
        <v>8250</v>
      </c>
      <c r="J3452">
        <v>10725</v>
      </c>
      <c r="K3452">
        <v>1</v>
      </c>
      <c r="L3452">
        <v>8250</v>
      </c>
      <c r="M3452">
        <v>10725</v>
      </c>
      <c r="N3452" t="s">
        <v>35</v>
      </c>
      <c r="O3452">
        <f t="shared" si="106"/>
        <v>9750</v>
      </c>
      <c r="P3452" s="13">
        <f t="shared" si="107"/>
        <v>2629211</v>
      </c>
      <c r="Q3452" s="13">
        <f>SUMIFS(M:M,E:E,Online_eCommerce[[#This Row],[Status]])</f>
        <v>28340455</v>
      </c>
      <c r="R3452" s="13">
        <f>SUMIFS(L:L,H:H,Online_eCommerce[[#This Row],[Brand]])</f>
        <v>12435650</v>
      </c>
      <c r="S3452" s="13">
        <f>SUMIF(H:H,Online_eCommerce[[#This Row],[Brand]],M:M)</f>
        <v>16166345</v>
      </c>
      <c r="T3452" s="13">
        <f>SUMIF(N:N,Online_eCommerce[[#This Row],[Assigned Supervisor]],L:L)</f>
        <v>14373360</v>
      </c>
    </row>
    <row r="3453" spans="1:20" hidden="1" x14ac:dyDescent="0.3">
      <c r="A3453" t="s">
        <v>5216</v>
      </c>
      <c r="B3453" t="s">
        <v>90</v>
      </c>
      <c r="C3453" t="s">
        <v>63</v>
      </c>
      <c r="D3453" t="s">
        <v>5217</v>
      </c>
      <c r="E3453" t="s">
        <v>161</v>
      </c>
      <c r="F3453" t="s">
        <v>4746</v>
      </c>
      <c r="G3453" t="s">
        <v>40</v>
      </c>
      <c r="H3453" t="s">
        <v>21</v>
      </c>
      <c r="I3453">
        <v>2650</v>
      </c>
      <c r="J3453">
        <v>3445</v>
      </c>
      <c r="K3453">
        <v>3</v>
      </c>
      <c r="L3453">
        <v>7950</v>
      </c>
      <c r="M3453">
        <v>10335</v>
      </c>
      <c r="N3453" t="s">
        <v>42</v>
      </c>
      <c r="O3453">
        <f t="shared" si="106"/>
        <v>25545</v>
      </c>
      <c r="P3453" s="13">
        <f t="shared" si="107"/>
        <v>2016131</v>
      </c>
      <c r="Q3453" s="13">
        <f>SUMIFS(M:M,E:E,Online_eCommerce[[#This Row],[Status]])</f>
        <v>21103186</v>
      </c>
      <c r="R3453" s="13">
        <f>SUMIFS(L:L,H:H,Online_eCommerce[[#This Row],[Brand]])</f>
        <v>12435650</v>
      </c>
      <c r="S3453" s="13">
        <f>SUMIF(H:H,Online_eCommerce[[#This Row],[Brand]],M:M)</f>
        <v>16166345</v>
      </c>
      <c r="T3453" s="13">
        <f>SUMIF(N:N,Online_eCommerce[[#This Row],[Assigned Supervisor]],L:L)</f>
        <v>12261500</v>
      </c>
    </row>
    <row r="3454" spans="1:20" x14ac:dyDescent="0.3">
      <c r="A3454" t="s">
        <v>5218</v>
      </c>
      <c r="B3454" t="s">
        <v>232</v>
      </c>
      <c r="C3454" t="s">
        <v>68</v>
      </c>
      <c r="D3454" t="s">
        <v>5219</v>
      </c>
      <c r="E3454" t="s">
        <v>46</v>
      </c>
      <c r="F3454" t="s">
        <v>121</v>
      </c>
      <c r="G3454" t="s">
        <v>71</v>
      </c>
      <c r="H3454" t="s">
        <v>122</v>
      </c>
      <c r="I3454">
        <v>12550</v>
      </c>
      <c r="J3454">
        <v>16315</v>
      </c>
      <c r="K3454">
        <v>4</v>
      </c>
      <c r="L3454">
        <v>50200</v>
      </c>
      <c r="M3454">
        <v>65260</v>
      </c>
      <c r="N3454" t="s">
        <v>50</v>
      </c>
      <c r="O3454">
        <f t="shared" si="106"/>
        <v>9750</v>
      </c>
      <c r="P3454" s="13">
        <f t="shared" si="107"/>
        <v>2974621</v>
      </c>
      <c r="Q3454" s="13">
        <f>SUMIFS(M:M,E:E,Online_eCommerce[[#This Row],[Status]])</f>
        <v>28620410</v>
      </c>
      <c r="R3454" s="13">
        <f>SUMIFS(L:L,H:H,Online_eCommerce[[#This Row],[Brand]])</f>
        <v>5045100</v>
      </c>
      <c r="S3454" s="13">
        <f>SUMIF(H:H,Online_eCommerce[[#This Row],[Brand]],M:M)</f>
        <v>6558630</v>
      </c>
      <c r="T3454" s="13">
        <f>SUMIF(N:N,Online_eCommerce[[#This Row],[Assigned Supervisor]],L:L)</f>
        <v>12100590</v>
      </c>
    </row>
    <row r="3455" spans="1:20" hidden="1" x14ac:dyDescent="0.3">
      <c r="A3455" t="s">
        <v>5220</v>
      </c>
      <c r="B3455" t="s">
        <v>235</v>
      </c>
      <c r="C3455" t="s">
        <v>74</v>
      </c>
      <c r="D3455" t="s">
        <v>5219</v>
      </c>
      <c r="E3455" t="s">
        <v>96</v>
      </c>
      <c r="F3455" t="s">
        <v>126</v>
      </c>
      <c r="G3455" t="s">
        <v>26</v>
      </c>
      <c r="H3455" t="s">
        <v>27</v>
      </c>
      <c r="I3455">
        <v>14500</v>
      </c>
      <c r="J3455">
        <v>18850</v>
      </c>
      <c r="K3455">
        <v>1</v>
      </c>
      <c r="L3455">
        <v>14500</v>
      </c>
      <c r="M3455">
        <v>18850</v>
      </c>
      <c r="N3455" t="s">
        <v>56</v>
      </c>
      <c r="O3455">
        <f t="shared" si="106"/>
        <v>33150</v>
      </c>
      <c r="P3455" s="13">
        <f t="shared" si="107"/>
        <v>2144701</v>
      </c>
      <c r="Q3455" s="13">
        <f>SUMIFS(M:M,E:E,Online_eCommerce[[#This Row],[Status]])</f>
        <v>21233992</v>
      </c>
      <c r="R3455" s="13">
        <f>SUMIFS(L:L,H:H,Online_eCommerce[[#This Row],[Brand]])</f>
        <v>14431000</v>
      </c>
      <c r="S3455" s="13">
        <f>SUMIF(H:H,Online_eCommerce[[#This Row],[Brand]],M:M)</f>
        <v>18760300</v>
      </c>
      <c r="T3455" s="13">
        <f>SUMIF(N:N,Online_eCommerce[[#This Row],[Assigned Supervisor]],L:L)</f>
        <v>11733610</v>
      </c>
    </row>
    <row r="3456" spans="1:20" hidden="1" x14ac:dyDescent="0.3">
      <c r="A3456" t="s">
        <v>5221</v>
      </c>
      <c r="B3456" t="s">
        <v>104</v>
      </c>
      <c r="C3456" t="s">
        <v>81</v>
      </c>
      <c r="D3456" t="s">
        <v>5222</v>
      </c>
      <c r="E3456" t="s">
        <v>18</v>
      </c>
      <c r="F3456" t="s">
        <v>129</v>
      </c>
      <c r="G3456" t="s">
        <v>60</v>
      </c>
      <c r="H3456" t="s">
        <v>61</v>
      </c>
      <c r="I3456">
        <v>800</v>
      </c>
      <c r="J3456">
        <v>1040</v>
      </c>
      <c r="K3456">
        <v>3</v>
      </c>
      <c r="L3456">
        <v>2400</v>
      </c>
      <c r="M3456">
        <v>3120</v>
      </c>
      <c r="N3456" t="s">
        <v>22</v>
      </c>
      <c r="O3456">
        <f t="shared" si="106"/>
        <v>3315</v>
      </c>
      <c r="P3456" s="13">
        <f t="shared" si="107"/>
        <v>2595632</v>
      </c>
      <c r="Q3456" s="13">
        <f>SUMIFS(M:M,E:E,Online_eCommerce[[#This Row],[Status]])</f>
        <v>28340455</v>
      </c>
      <c r="R3456" s="13">
        <f>SUMIFS(L:L,H:H,Online_eCommerce[[#This Row],[Brand]])</f>
        <v>10950150</v>
      </c>
      <c r="S3456" s="13">
        <f>SUMIF(H:H,Online_eCommerce[[#This Row],[Brand]],M:M)</f>
        <v>14235195</v>
      </c>
      <c r="T3456" s="13">
        <f>SUMIF(N:N,Online_eCommerce[[#This Row],[Assigned Supervisor]],L:L)</f>
        <v>13693220</v>
      </c>
    </row>
    <row r="3457" spans="1:20" hidden="1" x14ac:dyDescent="0.3">
      <c r="A3457" t="s">
        <v>5223</v>
      </c>
      <c r="B3457" t="s">
        <v>109</v>
      </c>
      <c r="C3457" t="s">
        <v>86</v>
      </c>
      <c r="D3457" t="s">
        <v>5224</v>
      </c>
      <c r="E3457" t="s">
        <v>161</v>
      </c>
      <c r="F3457" t="s">
        <v>133</v>
      </c>
      <c r="G3457" t="s">
        <v>66</v>
      </c>
      <c r="H3457" t="s">
        <v>21</v>
      </c>
      <c r="I3457">
        <v>600</v>
      </c>
      <c r="J3457">
        <v>780</v>
      </c>
      <c r="K3457">
        <v>1</v>
      </c>
      <c r="L3457">
        <v>600</v>
      </c>
      <c r="M3457">
        <v>780</v>
      </c>
      <c r="N3457" t="s">
        <v>28</v>
      </c>
      <c r="O3457">
        <f t="shared" si="106"/>
        <v>1690</v>
      </c>
      <c r="P3457" s="13">
        <f t="shared" si="107"/>
        <v>1941225</v>
      </c>
      <c r="Q3457" s="13">
        <f>SUMIFS(M:M,E:E,Online_eCommerce[[#This Row],[Status]])</f>
        <v>21103186</v>
      </c>
      <c r="R3457" s="13">
        <f>SUMIFS(L:L,H:H,Online_eCommerce[[#This Row],[Brand]])</f>
        <v>12435650</v>
      </c>
      <c r="S3457" s="13">
        <f>SUMIF(H:H,Online_eCommerce[[#This Row],[Brand]],M:M)</f>
        <v>16166345</v>
      </c>
      <c r="T3457" s="13">
        <f>SUMIF(N:N,Online_eCommerce[[#This Row],[Assigned Supervisor]],L:L)</f>
        <v>12220830</v>
      </c>
    </row>
    <row r="3458" spans="1:20" x14ac:dyDescent="0.3">
      <c r="A3458" t="s">
        <v>5225</v>
      </c>
      <c r="B3458" t="s">
        <v>114</v>
      </c>
      <c r="C3458" t="s">
        <v>91</v>
      </c>
      <c r="D3458" t="s">
        <v>5224</v>
      </c>
      <c r="E3458" t="s">
        <v>46</v>
      </c>
      <c r="F3458" t="s">
        <v>137</v>
      </c>
      <c r="G3458" t="s">
        <v>71</v>
      </c>
      <c r="H3458" t="s">
        <v>61</v>
      </c>
      <c r="I3458">
        <v>10500</v>
      </c>
      <c r="J3458">
        <v>13650</v>
      </c>
      <c r="K3458">
        <v>1</v>
      </c>
      <c r="L3458">
        <v>10500</v>
      </c>
      <c r="M3458">
        <v>13650</v>
      </c>
      <c r="N3458" t="s">
        <v>35</v>
      </c>
      <c r="O3458">
        <f t="shared" ref="O3458:O3521" si="108">VLOOKUP(G3458,G:M,7,FALSE)</f>
        <v>9750</v>
      </c>
      <c r="P3458" s="13">
        <f t="shared" ref="P3458:P3521" si="109">SUMIFS(M:M,C:C,C3458)</f>
        <v>2731963</v>
      </c>
      <c r="Q3458" s="13">
        <f>SUMIFS(M:M,E:E,Online_eCommerce[[#This Row],[Status]])</f>
        <v>28620410</v>
      </c>
      <c r="R3458" s="13">
        <f>SUMIFS(L:L,H:H,Online_eCommerce[[#This Row],[Brand]])</f>
        <v>10950150</v>
      </c>
      <c r="S3458" s="13">
        <f>SUMIF(H:H,Online_eCommerce[[#This Row],[Brand]],M:M)</f>
        <v>14235195</v>
      </c>
      <c r="T3458" s="13">
        <f>SUMIF(N:N,Online_eCommerce[[#This Row],[Assigned Supervisor]],L:L)</f>
        <v>14373360</v>
      </c>
    </row>
    <row r="3459" spans="1:20" hidden="1" x14ac:dyDescent="0.3">
      <c r="A3459" t="s">
        <v>5226</v>
      </c>
      <c r="B3459" t="s">
        <v>119</v>
      </c>
      <c r="C3459" t="s">
        <v>94</v>
      </c>
      <c r="D3459" t="s">
        <v>5224</v>
      </c>
      <c r="E3459" t="s">
        <v>96</v>
      </c>
      <c r="F3459" t="s">
        <v>5179</v>
      </c>
      <c r="G3459" t="s">
        <v>77</v>
      </c>
      <c r="H3459" t="s">
        <v>142</v>
      </c>
      <c r="I3459">
        <v>6500</v>
      </c>
      <c r="J3459">
        <v>8450</v>
      </c>
      <c r="K3459">
        <v>1</v>
      </c>
      <c r="L3459">
        <v>6500</v>
      </c>
      <c r="M3459">
        <v>8450</v>
      </c>
      <c r="N3459" t="s">
        <v>42</v>
      </c>
      <c r="O3459">
        <f t="shared" si="108"/>
        <v>39000</v>
      </c>
      <c r="P3459" s="13">
        <f t="shared" si="109"/>
        <v>1868256</v>
      </c>
      <c r="Q3459" s="13">
        <f>SUMIFS(M:M,E:E,Online_eCommerce[[#This Row],[Status]])</f>
        <v>21233992</v>
      </c>
      <c r="R3459" s="13">
        <f>SUMIFS(L:L,H:H,Online_eCommerce[[#This Row],[Brand]])</f>
        <v>6192500</v>
      </c>
      <c r="S3459" s="13">
        <f>SUMIF(H:H,Online_eCommerce[[#This Row],[Brand]],M:M)</f>
        <v>8050250</v>
      </c>
      <c r="T3459" s="13">
        <f>SUMIF(N:N,Online_eCommerce[[#This Row],[Assigned Supervisor]],L:L)</f>
        <v>12261500</v>
      </c>
    </row>
    <row r="3460" spans="1:20" hidden="1" x14ac:dyDescent="0.3">
      <c r="A3460" t="s">
        <v>5227</v>
      </c>
      <c r="B3460" t="s">
        <v>124</v>
      </c>
      <c r="C3460" t="s">
        <v>99</v>
      </c>
      <c r="D3460" t="s">
        <v>5224</v>
      </c>
      <c r="E3460" t="s">
        <v>18</v>
      </c>
      <c r="F3460" t="s">
        <v>5228</v>
      </c>
      <c r="G3460" t="s">
        <v>20</v>
      </c>
      <c r="H3460" t="s">
        <v>21</v>
      </c>
      <c r="I3460">
        <v>4500</v>
      </c>
      <c r="J3460">
        <v>5850</v>
      </c>
      <c r="K3460">
        <v>4</v>
      </c>
      <c r="L3460">
        <v>18000</v>
      </c>
      <c r="M3460">
        <v>23400</v>
      </c>
      <c r="N3460" t="s">
        <v>50</v>
      </c>
      <c r="O3460">
        <f t="shared" si="108"/>
        <v>8450</v>
      </c>
      <c r="P3460" s="13">
        <f t="shared" si="109"/>
        <v>2651233</v>
      </c>
      <c r="Q3460" s="13">
        <f>SUMIFS(M:M,E:E,Online_eCommerce[[#This Row],[Status]])</f>
        <v>28340455</v>
      </c>
      <c r="R3460" s="13">
        <f>SUMIFS(L:L,H:H,Online_eCommerce[[#This Row],[Brand]])</f>
        <v>12435650</v>
      </c>
      <c r="S3460" s="13">
        <f>SUMIF(H:H,Online_eCommerce[[#This Row],[Brand]],M:M)</f>
        <v>16166345</v>
      </c>
      <c r="T3460" s="13">
        <f>SUMIF(N:N,Online_eCommerce[[#This Row],[Assigned Supervisor]],L:L)</f>
        <v>12100590</v>
      </c>
    </row>
    <row r="3461" spans="1:20" hidden="1" x14ac:dyDescent="0.3">
      <c r="A3461" t="s">
        <v>5229</v>
      </c>
      <c r="B3461" t="s">
        <v>128</v>
      </c>
      <c r="C3461" t="s">
        <v>105</v>
      </c>
      <c r="D3461" t="s">
        <v>5224</v>
      </c>
      <c r="E3461" t="s">
        <v>161</v>
      </c>
      <c r="F3461" t="s">
        <v>152</v>
      </c>
      <c r="G3461" t="s">
        <v>26</v>
      </c>
      <c r="H3461" t="s">
        <v>27</v>
      </c>
      <c r="I3461">
        <v>8500</v>
      </c>
      <c r="J3461">
        <v>11050</v>
      </c>
      <c r="K3461">
        <v>2</v>
      </c>
      <c r="L3461">
        <v>17000</v>
      </c>
      <c r="M3461">
        <v>22100</v>
      </c>
      <c r="N3461" t="s">
        <v>56</v>
      </c>
      <c r="O3461">
        <f t="shared" si="108"/>
        <v>33150</v>
      </c>
      <c r="P3461" s="13">
        <f t="shared" si="109"/>
        <v>1866852</v>
      </c>
      <c r="Q3461" s="13">
        <f>SUMIFS(M:M,E:E,Online_eCommerce[[#This Row],[Status]])</f>
        <v>21103186</v>
      </c>
      <c r="R3461" s="13">
        <f>SUMIFS(L:L,H:H,Online_eCommerce[[#This Row],[Brand]])</f>
        <v>14431000</v>
      </c>
      <c r="S3461" s="13">
        <f>SUMIF(H:H,Online_eCommerce[[#This Row],[Brand]],M:M)</f>
        <v>18760300</v>
      </c>
      <c r="T3461" s="13">
        <f>SUMIF(N:N,Online_eCommerce[[#This Row],[Assigned Supervisor]],L:L)</f>
        <v>11733610</v>
      </c>
    </row>
    <row r="3462" spans="1:20" x14ac:dyDescent="0.3">
      <c r="A3462" t="s">
        <v>5230</v>
      </c>
      <c r="B3462" t="s">
        <v>131</v>
      </c>
      <c r="C3462" t="s">
        <v>110</v>
      </c>
      <c r="D3462" t="s">
        <v>5224</v>
      </c>
      <c r="E3462" t="s">
        <v>46</v>
      </c>
      <c r="F3462" t="s">
        <v>157</v>
      </c>
      <c r="G3462" t="s">
        <v>33</v>
      </c>
      <c r="H3462" t="s">
        <v>34</v>
      </c>
      <c r="I3462">
        <v>12500</v>
      </c>
      <c r="J3462">
        <v>16250</v>
      </c>
      <c r="K3462">
        <v>4</v>
      </c>
      <c r="L3462">
        <v>50000</v>
      </c>
      <c r="M3462">
        <v>65000</v>
      </c>
      <c r="N3462" t="s">
        <v>22</v>
      </c>
      <c r="O3462">
        <f t="shared" si="108"/>
        <v>18200</v>
      </c>
      <c r="P3462" s="13">
        <f t="shared" si="109"/>
        <v>2598635</v>
      </c>
      <c r="Q3462" s="13">
        <f>SUMIFS(M:M,E:E,Online_eCommerce[[#This Row],[Status]])</f>
        <v>28620410</v>
      </c>
      <c r="R3462" s="13">
        <f>SUMIFS(L:L,H:H,Online_eCommerce[[#This Row],[Brand]])</f>
        <v>10087000</v>
      </c>
      <c r="S3462" s="13">
        <f>SUMIF(H:H,Online_eCommerce[[#This Row],[Brand]],M:M)</f>
        <v>13113100</v>
      </c>
      <c r="T3462" s="13">
        <f>SUMIF(N:N,Online_eCommerce[[#This Row],[Assigned Supervisor]],L:L)</f>
        <v>13693220</v>
      </c>
    </row>
    <row r="3463" spans="1:20" hidden="1" x14ac:dyDescent="0.3">
      <c r="A3463" t="s">
        <v>5231</v>
      </c>
      <c r="B3463" t="s">
        <v>135</v>
      </c>
      <c r="C3463" t="s">
        <v>115</v>
      </c>
      <c r="D3463" t="s">
        <v>5224</v>
      </c>
      <c r="E3463" t="s">
        <v>96</v>
      </c>
      <c r="F3463" t="s">
        <v>4805</v>
      </c>
      <c r="G3463" t="s">
        <v>40</v>
      </c>
      <c r="H3463" t="s">
        <v>41</v>
      </c>
      <c r="I3463">
        <v>3500</v>
      </c>
      <c r="J3463">
        <v>4550</v>
      </c>
      <c r="K3463">
        <v>1</v>
      </c>
      <c r="L3463">
        <v>3500</v>
      </c>
      <c r="M3463">
        <v>4550</v>
      </c>
      <c r="N3463" t="s">
        <v>28</v>
      </c>
      <c r="O3463">
        <f t="shared" si="108"/>
        <v>25545</v>
      </c>
      <c r="P3463" s="13">
        <f t="shared" si="109"/>
        <v>2050178</v>
      </c>
      <c r="Q3463" s="13">
        <f>SUMIFS(M:M,E:E,Online_eCommerce[[#This Row],[Status]])</f>
        <v>21233992</v>
      </c>
      <c r="R3463" s="13">
        <f>SUMIFS(L:L,H:H,Online_eCommerce[[#This Row],[Brand]])</f>
        <v>4260400</v>
      </c>
      <c r="S3463" s="13">
        <f>SUMIF(H:H,Online_eCommerce[[#This Row],[Brand]],M:M)</f>
        <v>5538520</v>
      </c>
      <c r="T3463" s="13">
        <f>SUMIF(N:N,Online_eCommerce[[#This Row],[Assigned Supervisor]],L:L)</f>
        <v>12220830</v>
      </c>
    </row>
    <row r="3464" spans="1:20" hidden="1" x14ac:dyDescent="0.3">
      <c r="A3464" t="s">
        <v>5232</v>
      </c>
      <c r="B3464" t="s">
        <v>139</v>
      </c>
      <c r="C3464" t="s">
        <v>120</v>
      </c>
      <c r="D3464" t="s">
        <v>5233</v>
      </c>
      <c r="E3464" t="s">
        <v>18</v>
      </c>
      <c r="F3464" t="s">
        <v>166</v>
      </c>
      <c r="G3464" t="s">
        <v>334</v>
      </c>
      <c r="H3464" t="s">
        <v>49</v>
      </c>
      <c r="I3464">
        <v>4500</v>
      </c>
      <c r="J3464">
        <v>5850</v>
      </c>
      <c r="K3464">
        <v>1</v>
      </c>
      <c r="L3464">
        <v>4500</v>
      </c>
      <c r="M3464">
        <v>5850</v>
      </c>
      <c r="N3464" t="s">
        <v>35</v>
      </c>
      <c r="O3464">
        <f t="shared" si="108"/>
        <v>39780</v>
      </c>
      <c r="P3464" s="13">
        <f t="shared" si="109"/>
        <v>2734212</v>
      </c>
      <c r="Q3464" s="13">
        <f>SUMIFS(M:M,E:E,Online_eCommerce[[#This Row],[Status]])</f>
        <v>28340455</v>
      </c>
      <c r="R3464" s="13">
        <f>SUMIFS(L:L,H:H,Online_eCommerce[[#This Row],[Brand]])</f>
        <v>4528350</v>
      </c>
      <c r="S3464" s="13">
        <f>SUMIF(H:H,Online_eCommerce[[#This Row],[Brand]],M:M)</f>
        <v>5886855</v>
      </c>
      <c r="T3464" s="13">
        <f>SUMIF(N:N,Online_eCommerce[[#This Row],[Assigned Supervisor]],L:L)</f>
        <v>14373360</v>
      </c>
    </row>
    <row r="3465" spans="1:20" hidden="1" x14ac:dyDescent="0.3">
      <c r="A3465" t="s">
        <v>5234</v>
      </c>
      <c r="B3465" t="s">
        <v>144</v>
      </c>
      <c r="C3465" t="s">
        <v>125</v>
      </c>
      <c r="D3465" t="s">
        <v>5235</v>
      </c>
      <c r="E3465" t="s">
        <v>161</v>
      </c>
      <c r="F3465" t="s">
        <v>5236</v>
      </c>
      <c r="G3465" t="s">
        <v>54</v>
      </c>
      <c r="H3465" t="s">
        <v>55</v>
      </c>
      <c r="I3465">
        <v>2100</v>
      </c>
      <c r="J3465">
        <v>2730</v>
      </c>
      <c r="K3465">
        <v>4</v>
      </c>
      <c r="L3465">
        <v>8400</v>
      </c>
      <c r="M3465">
        <v>10920</v>
      </c>
      <c r="N3465" t="s">
        <v>42</v>
      </c>
      <c r="O3465">
        <f t="shared" si="108"/>
        <v>2990</v>
      </c>
      <c r="P3465" s="13">
        <f t="shared" si="109"/>
        <v>2091154</v>
      </c>
      <c r="Q3465" s="13">
        <f>SUMIFS(M:M,E:E,Online_eCommerce[[#This Row],[Status]])</f>
        <v>21103186</v>
      </c>
      <c r="R3465" s="13">
        <f>SUMIFS(L:L,H:H,Online_eCommerce[[#This Row],[Brand]])</f>
        <v>2267380</v>
      </c>
      <c r="S3465" s="13">
        <f>SUMIF(H:H,Online_eCommerce[[#This Row],[Brand]],M:M)</f>
        <v>2947594</v>
      </c>
      <c r="T3465" s="13">
        <f>SUMIF(N:N,Online_eCommerce[[#This Row],[Assigned Supervisor]],L:L)</f>
        <v>12261500</v>
      </c>
    </row>
    <row r="3466" spans="1:20" x14ac:dyDescent="0.3">
      <c r="A3466" t="s">
        <v>5237</v>
      </c>
      <c r="B3466" t="s">
        <v>149</v>
      </c>
      <c r="C3466" t="s">
        <v>22</v>
      </c>
      <c r="D3466" t="s">
        <v>5238</v>
      </c>
      <c r="E3466" t="s">
        <v>46</v>
      </c>
      <c r="F3466" t="s">
        <v>174</v>
      </c>
      <c r="G3466" t="s">
        <v>60</v>
      </c>
      <c r="H3466" t="s">
        <v>61</v>
      </c>
      <c r="I3466">
        <v>1150</v>
      </c>
      <c r="J3466">
        <v>1495</v>
      </c>
      <c r="K3466">
        <v>2</v>
      </c>
      <c r="L3466">
        <v>2300</v>
      </c>
      <c r="M3466">
        <v>2990</v>
      </c>
      <c r="N3466" t="s">
        <v>50</v>
      </c>
      <c r="O3466">
        <f t="shared" si="108"/>
        <v>3315</v>
      </c>
      <c r="P3466" s="13">
        <f t="shared" si="109"/>
        <v>2551588</v>
      </c>
      <c r="Q3466" s="13">
        <f>SUMIFS(M:M,E:E,Online_eCommerce[[#This Row],[Status]])</f>
        <v>28620410</v>
      </c>
      <c r="R3466" s="13">
        <f>SUMIFS(L:L,H:H,Online_eCommerce[[#This Row],[Brand]])</f>
        <v>10950150</v>
      </c>
      <c r="S3466" s="13">
        <f>SUMIF(H:H,Online_eCommerce[[#This Row],[Brand]],M:M)</f>
        <v>14235195</v>
      </c>
      <c r="T3466" s="13">
        <f>SUMIF(N:N,Online_eCommerce[[#This Row],[Assigned Supervisor]],L:L)</f>
        <v>12100590</v>
      </c>
    </row>
    <row r="3467" spans="1:20" hidden="1" x14ac:dyDescent="0.3">
      <c r="A3467" t="s">
        <v>5239</v>
      </c>
      <c r="B3467" t="s">
        <v>154</v>
      </c>
      <c r="C3467" t="s">
        <v>132</v>
      </c>
      <c r="D3467" t="s">
        <v>5238</v>
      </c>
      <c r="E3467" t="s">
        <v>96</v>
      </c>
      <c r="F3467" t="s">
        <v>179</v>
      </c>
      <c r="G3467" t="s">
        <v>66</v>
      </c>
      <c r="H3467" t="s">
        <v>21</v>
      </c>
      <c r="I3467">
        <v>350</v>
      </c>
      <c r="J3467">
        <v>455</v>
      </c>
      <c r="K3467">
        <v>4</v>
      </c>
      <c r="L3467">
        <v>1400</v>
      </c>
      <c r="M3467">
        <v>1820</v>
      </c>
      <c r="N3467" t="s">
        <v>56</v>
      </c>
      <c r="O3467">
        <f t="shared" si="108"/>
        <v>1690</v>
      </c>
      <c r="P3467" s="13">
        <f t="shared" si="109"/>
        <v>1989065</v>
      </c>
      <c r="Q3467" s="13">
        <f>SUMIFS(M:M,E:E,Online_eCommerce[[#This Row],[Status]])</f>
        <v>21233992</v>
      </c>
      <c r="R3467" s="13">
        <f>SUMIFS(L:L,H:H,Online_eCommerce[[#This Row],[Brand]])</f>
        <v>12435650</v>
      </c>
      <c r="S3467" s="13">
        <f>SUMIF(H:H,Online_eCommerce[[#This Row],[Brand]],M:M)</f>
        <v>16166345</v>
      </c>
      <c r="T3467" s="13">
        <f>SUMIF(N:N,Online_eCommerce[[#This Row],[Assigned Supervisor]],L:L)</f>
        <v>11733610</v>
      </c>
    </row>
    <row r="3468" spans="1:20" hidden="1" x14ac:dyDescent="0.3">
      <c r="A3468" t="s">
        <v>5240</v>
      </c>
      <c r="B3468" t="s">
        <v>159</v>
      </c>
      <c r="C3468" t="s">
        <v>136</v>
      </c>
      <c r="D3468" t="s">
        <v>5238</v>
      </c>
      <c r="E3468" t="s">
        <v>18</v>
      </c>
      <c r="F3468" t="s">
        <v>183</v>
      </c>
      <c r="G3468" t="s">
        <v>71</v>
      </c>
      <c r="H3468" t="s">
        <v>61</v>
      </c>
      <c r="I3468">
        <v>9500</v>
      </c>
      <c r="J3468">
        <v>12350</v>
      </c>
      <c r="K3468">
        <v>4</v>
      </c>
      <c r="L3468">
        <v>38000</v>
      </c>
      <c r="M3468">
        <v>49400</v>
      </c>
      <c r="N3468" t="s">
        <v>22</v>
      </c>
      <c r="O3468">
        <f t="shared" si="108"/>
        <v>9750</v>
      </c>
      <c r="P3468" s="13">
        <f t="shared" si="109"/>
        <v>2775162</v>
      </c>
      <c r="Q3468" s="13">
        <f>SUMIFS(M:M,E:E,Online_eCommerce[[#This Row],[Status]])</f>
        <v>28340455</v>
      </c>
      <c r="R3468" s="13">
        <f>SUMIFS(L:L,H:H,Online_eCommerce[[#This Row],[Brand]])</f>
        <v>10950150</v>
      </c>
      <c r="S3468" s="13">
        <f>SUMIF(H:H,Online_eCommerce[[#This Row],[Brand]],M:M)</f>
        <v>14235195</v>
      </c>
      <c r="T3468" s="13">
        <f>SUMIF(N:N,Online_eCommerce[[#This Row],[Assigned Supervisor]],L:L)</f>
        <v>13693220</v>
      </c>
    </row>
    <row r="3469" spans="1:20" hidden="1" x14ac:dyDescent="0.3">
      <c r="A3469" t="s">
        <v>5241</v>
      </c>
      <c r="B3469" t="s">
        <v>139</v>
      </c>
      <c r="C3469" t="s">
        <v>140</v>
      </c>
      <c r="D3469" t="s">
        <v>5238</v>
      </c>
      <c r="E3469" t="s">
        <v>161</v>
      </c>
      <c r="F3469" t="s">
        <v>5242</v>
      </c>
      <c r="G3469" t="s">
        <v>77</v>
      </c>
      <c r="H3469" t="s">
        <v>142</v>
      </c>
      <c r="I3469">
        <v>10000</v>
      </c>
      <c r="J3469">
        <v>13000</v>
      </c>
      <c r="K3469">
        <v>3</v>
      </c>
      <c r="L3469">
        <v>30000</v>
      </c>
      <c r="M3469">
        <v>39000</v>
      </c>
      <c r="N3469" t="s">
        <v>28</v>
      </c>
      <c r="O3469">
        <f t="shared" si="108"/>
        <v>39000</v>
      </c>
      <c r="P3469" s="13">
        <f t="shared" si="109"/>
        <v>2058264</v>
      </c>
      <c r="Q3469" s="13">
        <f>SUMIFS(M:M,E:E,Online_eCommerce[[#This Row],[Status]])</f>
        <v>21103186</v>
      </c>
      <c r="R3469" s="13">
        <f>SUMIFS(L:L,H:H,Online_eCommerce[[#This Row],[Brand]])</f>
        <v>6192500</v>
      </c>
      <c r="S3469" s="13">
        <f>SUMIF(H:H,Online_eCommerce[[#This Row],[Brand]],M:M)</f>
        <v>8050250</v>
      </c>
      <c r="T3469" s="13">
        <f>SUMIF(N:N,Online_eCommerce[[#This Row],[Assigned Supervisor]],L:L)</f>
        <v>12220830</v>
      </c>
    </row>
    <row r="3470" spans="1:20" x14ac:dyDescent="0.3">
      <c r="A3470" t="s">
        <v>5243</v>
      </c>
      <c r="B3470" t="s">
        <v>144</v>
      </c>
      <c r="C3470" t="s">
        <v>145</v>
      </c>
      <c r="D3470" t="s">
        <v>5238</v>
      </c>
      <c r="E3470" t="s">
        <v>46</v>
      </c>
      <c r="F3470" t="s">
        <v>5244</v>
      </c>
      <c r="G3470" t="s">
        <v>20</v>
      </c>
      <c r="H3470" t="s">
        <v>21</v>
      </c>
      <c r="I3470">
        <v>6500</v>
      </c>
      <c r="J3470">
        <v>8450</v>
      </c>
      <c r="K3470">
        <v>1</v>
      </c>
      <c r="L3470">
        <v>6500</v>
      </c>
      <c r="M3470">
        <v>8450</v>
      </c>
      <c r="N3470" t="s">
        <v>35</v>
      </c>
      <c r="O3470">
        <f t="shared" si="108"/>
        <v>8450</v>
      </c>
      <c r="P3470" s="13">
        <f t="shared" si="109"/>
        <v>2757859</v>
      </c>
      <c r="Q3470" s="13">
        <f>SUMIFS(M:M,E:E,Online_eCommerce[[#This Row],[Status]])</f>
        <v>28620410</v>
      </c>
      <c r="R3470" s="13">
        <f>SUMIFS(L:L,H:H,Online_eCommerce[[#This Row],[Brand]])</f>
        <v>12435650</v>
      </c>
      <c r="S3470" s="13">
        <f>SUMIF(H:H,Online_eCommerce[[#This Row],[Brand]],M:M)</f>
        <v>16166345</v>
      </c>
      <c r="T3470" s="13">
        <f>SUMIF(N:N,Online_eCommerce[[#This Row],[Assigned Supervisor]],L:L)</f>
        <v>14373360</v>
      </c>
    </row>
    <row r="3471" spans="1:20" hidden="1" x14ac:dyDescent="0.3">
      <c r="A3471" t="s">
        <v>5245</v>
      </c>
      <c r="B3471" t="s">
        <v>235</v>
      </c>
      <c r="C3471" t="s">
        <v>150</v>
      </c>
      <c r="D3471" t="s">
        <v>5238</v>
      </c>
      <c r="E3471" t="s">
        <v>96</v>
      </c>
      <c r="F3471" t="s">
        <v>5246</v>
      </c>
      <c r="G3471" t="s">
        <v>26</v>
      </c>
      <c r="H3471" t="s">
        <v>27</v>
      </c>
      <c r="I3471">
        <v>8500</v>
      </c>
      <c r="J3471">
        <v>11050</v>
      </c>
      <c r="K3471">
        <v>2</v>
      </c>
      <c r="L3471">
        <v>17000</v>
      </c>
      <c r="M3471">
        <v>22100</v>
      </c>
      <c r="N3471" t="s">
        <v>42</v>
      </c>
      <c r="O3471">
        <f t="shared" si="108"/>
        <v>33150</v>
      </c>
      <c r="P3471" s="13">
        <f t="shared" si="109"/>
        <v>2154984</v>
      </c>
      <c r="Q3471" s="13">
        <f>SUMIFS(M:M,E:E,Online_eCommerce[[#This Row],[Status]])</f>
        <v>21233992</v>
      </c>
      <c r="R3471" s="13">
        <f>SUMIFS(L:L,H:H,Online_eCommerce[[#This Row],[Brand]])</f>
        <v>14431000</v>
      </c>
      <c r="S3471" s="13">
        <f>SUMIF(H:H,Online_eCommerce[[#This Row],[Brand]],M:M)</f>
        <v>18760300</v>
      </c>
      <c r="T3471" s="13">
        <f>SUMIF(N:N,Online_eCommerce[[#This Row],[Assigned Supervisor]],L:L)</f>
        <v>12261500</v>
      </c>
    </row>
    <row r="3472" spans="1:20" hidden="1" x14ac:dyDescent="0.3">
      <c r="A3472" t="s">
        <v>5247</v>
      </c>
      <c r="B3472" t="s">
        <v>176</v>
      </c>
      <c r="C3472" t="s">
        <v>155</v>
      </c>
      <c r="D3472" t="s">
        <v>5238</v>
      </c>
      <c r="E3472" t="s">
        <v>18</v>
      </c>
      <c r="F3472" t="s">
        <v>32</v>
      </c>
      <c r="G3472" t="s">
        <v>33</v>
      </c>
      <c r="H3472" t="s">
        <v>34</v>
      </c>
      <c r="I3472">
        <v>7000</v>
      </c>
      <c r="J3472">
        <v>9100</v>
      </c>
      <c r="K3472">
        <v>4</v>
      </c>
      <c r="L3472">
        <v>28000</v>
      </c>
      <c r="M3472">
        <v>36400</v>
      </c>
      <c r="N3472" t="s">
        <v>50</v>
      </c>
      <c r="O3472">
        <f t="shared" si="108"/>
        <v>18200</v>
      </c>
      <c r="P3472" s="13">
        <f t="shared" si="109"/>
        <v>2753348</v>
      </c>
      <c r="Q3472" s="13">
        <f>SUMIFS(M:M,E:E,Online_eCommerce[[#This Row],[Status]])</f>
        <v>28340455</v>
      </c>
      <c r="R3472" s="13">
        <f>SUMIFS(L:L,H:H,Online_eCommerce[[#This Row],[Brand]])</f>
        <v>10087000</v>
      </c>
      <c r="S3472" s="13">
        <f>SUMIF(H:H,Online_eCommerce[[#This Row],[Brand]],M:M)</f>
        <v>13113100</v>
      </c>
      <c r="T3472" s="13">
        <f>SUMIF(N:N,Online_eCommerce[[#This Row],[Assigned Supervisor]],L:L)</f>
        <v>12100590</v>
      </c>
    </row>
    <row r="3473" spans="1:20" hidden="1" x14ac:dyDescent="0.3">
      <c r="A3473" t="s">
        <v>5248</v>
      </c>
      <c r="B3473" t="s">
        <v>276</v>
      </c>
      <c r="C3473" t="s">
        <v>160</v>
      </c>
      <c r="D3473" t="s">
        <v>5238</v>
      </c>
      <c r="E3473" t="s">
        <v>161</v>
      </c>
      <c r="F3473" t="s">
        <v>5249</v>
      </c>
      <c r="G3473" t="s">
        <v>40</v>
      </c>
      <c r="H3473" t="s">
        <v>41</v>
      </c>
      <c r="I3473">
        <v>6550</v>
      </c>
      <c r="J3473">
        <v>8515</v>
      </c>
      <c r="K3473">
        <v>4</v>
      </c>
      <c r="L3473">
        <v>26200</v>
      </c>
      <c r="M3473">
        <v>34060</v>
      </c>
      <c r="N3473" t="s">
        <v>56</v>
      </c>
      <c r="O3473">
        <f t="shared" si="108"/>
        <v>25545</v>
      </c>
      <c r="P3473" s="13">
        <f t="shared" si="109"/>
        <v>2303483</v>
      </c>
      <c r="Q3473" s="13">
        <f>SUMIFS(M:M,E:E,Online_eCommerce[[#This Row],[Status]])</f>
        <v>21103186</v>
      </c>
      <c r="R3473" s="13">
        <f>SUMIFS(L:L,H:H,Online_eCommerce[[#This Row],[Brand]])</f>
        <v>4260400</v>
      </c>
      <c r="S3473" s="13">
        <f>SUMIF(H:H,Online_eCommerce[[#This Row],[Brand]],M:M)</f>
        <v>5538520</v>
      </c>
      <c r="T3473" s="13">
        <f>SUMIF(N:N,Online_eCommerce[[#This Row],[Assigned Supervisor]],L:L)</f>
        <v>11733610</v>
      </c>
    </row>
    <row r="3474" spans="1:20" x14ac:dyDescent="0.3">
      <c r="A3474" t="s">
        <v>5250</v>
      </c>
      <c r="B3474" t="s">
        <v>280</v>
      </c>
      <c r="C3474" t="s">
        <v>165</v>
      </c>
      <c r="D3474" t="s">
        <v>5238</v>
      </c>
      <c r="E3474" t="s">
        <v>46</v>
      </c>
      <c r="F3474" t="s">
        <v>47</v>
      </c>
      <c r="G3474" t="s">
        <v>334</v>
      </c>
      <c r="H3474" t="s">
        <v>49</v>
      </c>
      <c r="I3474">
        <v>7650</v>
      </c>
      <c r="J3474">
        <v>9945</v>
      </c>
      <c r="K3474">
        <v>3</v>
      </c>
      <c r="L3474">
        <v>22950</v>
      </c>
      <c r="M3474">
        <v>29835</v>
      </c>
      <c r="N3474" t="s">
        <v>22</v>
      </c>
      <c r="O3474">
        <f t="shared" si="108"/>
        <v>39780</v>
      </c>
      <c r="P3474" s="13">
        <f t="shared" si="109"/>
        <v>2674087</v>
      </c>
      <c r="Q3474" s="13">
        <f>SUMIFS(M:M,E:E,Online_eCommerce[[#This Row],[Status]])</f>
        <v>28620410</v>
      </c>
      <c r="R3474" s="13">
        <f>SUMIFS(L:L,H:H,Online_eCommerce[[#This Row],[Brand]])</f>
        <v>4528350</v>
      </c>
      <c r="S3474" s="13">
        <f>SUMIF(H:H,Online_eCommerce[[#This Row],[Brand]],M:M)</f>
        <v>5886855</v>
      </c>
      <c r="T3474" s="13">
        <f>SUMIF(N:N,Online_eCommerce[[#This Row],[Assigned Supervisor]],L:L)</f>
        <v>13693220</v>
      </c>
    </row>
    <row r="3475" spans="1:20" hidden="1" x14ac:dyDescent="0.3">
      <c r="A3475" t="s">
        <v>5251</v>
      </c>
      <c r="B3475" t="s">
        <v>283</v>
      </c>
      <c r="C3475" t="s">
        <v>168</v>
      </c>
      <c r="D3475" t="s">
        <v>5238</v>
      </c>
      <c r="E3475" t="s">
        <v>96</v>
      </c>
      <c r="F3475" t="s">
        <v>53</v>
      </c>
      <c r="G3475" t="s">
        <v>54</v>
      </c>
      <c r="H3475" t="s">
        <v>55</v>
      </c>
      <c r="I3475">
        <v>1150</v>
      </c>
      <c r="J3475">
        <v>1495</v>
      </c>
      <c r="K3475">
        <v>2</v>
      </c>
      <c r="L3475">
        <v>2300</v>
      </c>
      <c r="M3475">
        <v>2990</v>
      </c>
      <c r="N3475" t="s">
        <v>28</v>
      </c>
      <c r="O3475">
        <f t="shared" si="108"/>
        <v>2990</v>
      </c>
      <c r="P3475" s="13">
        <f t="shared" si="109"/>
        <v>1937780</v>
      </c>
      <c r="Q3475" s="13">
        <f>SUMIFS(M:M,E:E,Online_eCommerce[[#This Row],[Status]])</f>
        <v>21233992</v>
      </c>
      <c r="R3475" s="13">
        <f>SUMIFS(L:L,H:H,Online_eCommerce[[#This Row],[Brand]])</f>
        <v>2267380</v>
      </c>
      <c r="S3475" s="13">
        <f>SUMIF(H:H,Online_eCommerce[[#This Row],[Brand]],M:M)</f>
        <v>2947594</v>
      </c>
      <c r="T3475" s="13">
        <f>SUMIF(N:N,Online_eCommerce[[#This Row],[Assigned Supervisor]],L:L)</f>
        <v>12220830</v>
      </c>
    </row>
    <row r="3476" spans="1:20" hidden="1" x14ac:dyDescent="0.3">
      <c r="A3476" t="s">
        <v>5252</v>
      </c>
      <c r="B3476" t="s">
        <v>287</v>
      </c>
      <c r="C3476" t="s">
        <v>172</v>
      </c>
      <c r="D3476" t="s">
        <v>5238</v>
      </c>
      <c r="E3476" t="s">
        <v>18</v>
      </c>
      <c r="F3476" t="s">
        <v>59</v>
      </c>
      <c r="G3476" t="s">
        <v>60</v>
      </c>
      <c r="H3476" t="s">
        <v>61</v>
      </c>
      <c r="I3476">
        <v>850</v>
      </c>
      <c r="J3476">
        <v>1105</v>
      </c>
      <c r="K3476">
        <v>2</v>
      </c>
      <c r="L3476">
        <v>1700</v>
      </c>
      <c r="M3476">
        <v>2210</v>
      </c>
      <c r="N3476" t="s">
        <v>35</v>
      </c>
      <c r="O3476">
        <f t="shared" si="108"/>
        <v>3315</v>
      </c>
      <c r="P3476" s="13">
        <f t="shared" si="109"/>
        <v>2640274</v>
      </c>
      <c r="Q3476" s="13">
        <f>SUMIFS(M:M,E:E,Online_eCommerce[[#This Row],[Status]])</f>
        <v>28340455</v>
      </c>
      <c r="R3476" s="13">
        <f>SUMIFS(L:L,H:H,Online_eCommerce[[#This Row],[Brand]])</f>
        <v>10950150</v>
      </c>
      <c r="S3476" s="13">
        <f>SUMIF(H:H,Online_eCommerce[[#This Row],[Brand]],M:M)</f>
        <v>14235195</v>
      </c>
      <c r="T3476" s="13">
        <f>SUMIF(N:N,Online_eCommerce[[#This Row],[Assigned Supervisor]],L:L)</f>
        <v>14373360</v>
      </c>
    </row>
    <row r="3477" spans="1:20" hidden="1" x14ac:dyDescent="0.3">
      <c r="A3477" t="s">
        <v>5253</v>
      </c>
      <c r="B3477" t="s">
        <v>290</v>
      </c>
      <c r="C3477" t="s">
        <v>177</v>
      </c>
      <c r="D3477" t="s">
        <v>5254</v>
      </c>
      <c r="E3477" t="s">
        <v>161</v>
      </c>
      <c r="F3477" t="s">
        <v>65</v>
      </c>
      <c r="G3477" t="s">
        <v>66</v>
      </c>
      <c r="H3477" t="s">
        <v>21</v>
      </c>
      <c r="I3477">
        <v>650</v>
      </c>
      <c r="J3477">
        <v>845</v>
      </c>
      <c r="K3477">
        <v>2</v>
      </c>
      <c r="L3477">
        <v>1300</v>
      </c>
      <c r="M3477">
        <v>1690</v>
      </c>
      <c r="N3477" t="s">
        <v>42</v>
      </c>
      <c r="O3477">
        <f t="shared" si="108"/>
        <v>1690</v>
      </c>
      <c r="P3477" s="13">
        <f t="shared" si="109"/>
        <v>1863810</v>
      </c>
      <c r="Q3477" s="13">
        <f>SUMIFS(M:M,E:E,Online_eCommerce[[#This Row],[Status]])</f>
        <v>21103186</v>
      </c>
      <c r="R3477" s="13">
        <f>SUMIFS(L:L,H:H,Online_eCommerce[[#This Row],[Brand]])</f>
        <v>12435650</v>
      </c>
      <c r="S3477" s="13">
        <f>SUMIF(H:H,Online_eCommerce[[#This Row],[Brand]],M:M)</f>
        <v>16166345</v>
      </c>
      <c r="T3477" s="13">
        <f>SUMIF(N:N,Online_eCommerce[[#This Row],[Assigned Supervisor]],L:L)</f>
        <v>12261500</v>
      </c>
    </row>
    <row r="3478" spans="1:20" x14ac:dyDescent="0.3">
      <c r="A3478" t="s">
        <v>5255</v>
      </c>
      <c r="B3478" t="s">
        <v>15</v>
      </c>
      <c r="C3478" t="s">
        <v>181</v>
      </c>
      <c r="D3478" t="s">
        <v>5256</v>
      </c>
      <c r="E3478" t="s">
        <v>46</v>
      </c>
      <c r="F3478" t="s">
        <v>70</v>
      </c>
      <c r="G3478" t="s">
        <v>71</v>
      </c>
      <c r="H3478" t="s">
        <v>61</v>
      </c>
      <c r="I3478">
        <v>7500</v>
      </c>
      <c r="J3478">
        <v>9750</v>
      </c>
      <c r="K3478">
        <v>1</v>
      </c>
      <c r="L3478">
        <v>7500</v>
      </c>
      <c r="M3478">
        <v>9750</v>
      </c>
      <c r="N3478" t="s">
        <v>50</v>
      </c>
      <c r="O3478">
        <f t="shared" si="108"/>
        <v>9750</v>
      </c>
      <c r="P3478" s="13">
        <f t="shared" si="109"/>
        <v>2577458</v>
      </c>
      <c r="Q3478" s="13">
        <f>SUMIFS(M:M,E:E,Online_eCommerce[[#This Row],[Status]])</f>
        <v>28620410</v>
      </c>
      <c r="R3478" s="13">
        <f>SUMIFS(L:L,H:H,Online_eCommerce[[#This Row],[Brand]])</f>
        <v>10950150</v>
      </c>
      <c r="S3478" s="13">
        <f>SUMIF(H:H,Online_eCommerce[[#This Row],[Brand]],M:M)</f>
        <v>14235195</v>
      </c>
      <c r="T3478" s="13">
        <f>SUMIF(N:N,Online_eCommerce[[#This Row],[Assigned Supervisor]],L:L)</f>
        <v>12100590</v>
      </c>
    </row>
    <row r="3479" spans="1:20" hidden="1" x14ac:dyDescent="0.3">
      <c r="A3479" t="s">
        <v>5257</v>
      </c>
      <c r="B3479" t="s">
        <v>202</v>
      </c>
      <c r="C3479" t="s">
        <v>185</v>
      </c>
      <c r="D3479" t="s">
        <v>5258</v>
      </c>
      <c r="E3479" t="s">
        <v>96</v>
      </c>
      <c r="F3479" t="s">
        <v>5242</v>
      </c>
      <c r="G3479" t="s">
        <v>77</v>
      </c>
      <c r="H3479" t="s">
        <v>78</v>
      </c>
      <c r="I3479">
        <v>10000</v>
      </c>
      <c r="J3479">
        <v>13000</v>
      </c>
      <c r="K3479">
        <v>3</v>
      </c>
      <c r="L3479">
        <v>30000</v>
      </c>
      <c r="M3479">
        <v>39000</v>
      </c>
      <c r="N3479" t="s">
        <v>56</v>
      </c>
      <c r="O3479">
        <f t="shared" si="108"/>
        <v>39000</v>
      </c>
      <c r="P3479" s="13">
        <f t="shared" si="109"/>
        <v>2091596</v>
      </c>
      <c r="Q3479" s="13">
        <f>SUMIFS(M:M,E:E,Online_eCommerce[[#This Row],[Status]])</f>
        <v>21233992</v>
      </c>
      <c r="R3479" s="13">
        <f>SUMIFS(L:L,H:H,Online_eCommerce[[#This Row],[Brand]])</f>
        <v>3720000</v>
      </c>
      <c r="S3479" s="13">
        <f>SUMIF(H:H,Online_eCommerce[[#This Row],[Brand]],M:M)</f>
        <v>4836000</v>
      </c>
      <c r="T3479" s="13">
        <f>SUMIF(N:N,Online_eCommerce[[#This Row],[Assigned Supervisor]],L:L)</f>
        <v>11733610</v>
      </c>
    </row>
    <row r="3480" spans="1:20" hidden="1" x14ac:dyDescent="0.3">
      <c r="A3480" t="s">
        <v>5259</v>
      </c>
      <c r="B3480" t="s">
        <v>30</v>
      </c>
      <c r="C3480" t="s">
        <v>189</v>
      </c>
      <c r="D3480" t="s">
        <v>5260</v>
      </c>
      <c r="E3480" t="s">
        <v>18</v>
      </c>
      <c r="F3480" t="s">
        <v>5261</v>
      </c>
      <c r="G3480" t="s">
        <v>20</v>
      </c>
      <c r="H3480" t="s">
        <v>21</v>
      </c>
      <c r="I3480">
        <v>10500</v>
      </c>
      <c r="J3480">
        <v>13650</v>
      </c>
      <c r="K3480">
        <v>3</v>
      </c>
      <c r="L3480">
        <v>31500</v>
      </c>
      <c r="M3480">
        <v>40950</v>
      </c>
      <c r="N3480" t="s">
        <v>22</v>
      </c>
      <c r="O3480">
        <f t="shared" si="108"/>
        <v>8450</v>
      </c>
      <c r="P3480" s="13">
        <f t="shared" si="109"/>
        <v>2740777</v>
      </c>
      <c r="Q3480" s="13">
        <f>SUMIFS(M:M,E:E,Online_eCommerce[[#This Row],[Status]])</f>
        <v>28340455</v>
      </c>
      <c r="R3480" s="13">
        <f>SUMIFS(L:L,H:H,Online_eCommerce[[#This Row],[Brand]])</f>
        <v>12435650</v>
      </c>
      <c r="S3480" s="13">
        <f>SUMIF(H:H,Online_eCommerce[[#This Row],[Brand]],M:M)</f>
        <v>16166345</v>
      </c>
      <c r="T3480" s="13">
        <f>SUMIF(N:N,Online_eCommerce[[#This Row],[Assigned Supervisor]],L:L)</f>
        <v>13693220</v>
      </c>
    </row>
    <row r="3481" spans="1:20" hidden="1" x14ac:dyDescent="0.3">
      <c r="A3481" t="s">
        <v>5262</v>
      </c>
      <c r="B3481" t="s">
        <v>37</v>
      </c>
      <c r="C3481" t="s">
        <v>193</v>
      </c>
      <c r="D3481" t="s">
        <v>5263</v>
      </c>
      <c r="E3481" t="s">
        <v>161</v>
      </c>
      <c r="F3481" t="s">
        <v>88</v>
      </c>
      <c r="G3481" t="s">
        <v>26</v>
      </c>
      <c r="H3481" t="s">
        <v>27</v>
      </c>
      <c r="I3481">
        <v>8500</v>
      </c>
      <c r="J3481">
        <v>11050</v>
      </c>
      <c r="K3481">
        <v>4</v>
      </c>
      <c r="L3481">
        <v>34000</v>
      </c>
      <c r="M3481">
        <v>44200</v>
      </c>
      <c r="N3481" t="s">
        <v>28</v>
      </c>
      <c r="O3481">
        <f t="shared" si="108"/>
        <v>33150</v>
      </c>
      <c r="P3481" s="13">
        <f t="shared" si="109"/>
        <v>2074774</v>
      </c>
      <c r="Q3481" s="13">
        <f>SUMIFS(M:M,E:E,Online_eCommerce[[#This Row],[Status]])</f>
        <v>21103186</v>
      </c>
      <c r="R3481" s="13">
        <f>SUMIFS(L:L,H:H,Online_eCommerce[[#This Row],[Brand]])</f>
        <v>14431000</v>
      </c>
      <c r="S3481" s="13">
        <f>SUMIF(H:H,Online_eCommerce[[#This Row],[Brand]],M:M)</f>
        <v>18760300</v>
      </c>
      <c r="T3481" s="13">
        <f>SUMIF(N:N,Online_eCommerce[[#This Row],[Assigned Supervisor]],L:L)</f>
        <v>12220830</v>
      </c>
    </row>
    <row r="3482" spans="1:20" x14ac:dyDescent="0.3">
      <c r="A3482" t="s">
        <v>5264</v>
      </c>
      <c r="B3482" t="s">
        <v>44</v>
      </c>
      <c r="C3482" t="s">
        <v>197</v>
      </c>
      <c r="D3482" t="s">
        <v>5265</v>
      </c>
      <c r="E3482" t="s">
        <v>46</v>
      </c>
      <c r="F3482" t="s">
        <v>32</v>
      </c>
      <c r="G3482" t="s">
        <v>33</v>
      </c>
      <c r="H3482" t="s">
        <v>34</v>
      </c>
      <c r="I3482">
        <v>7000</v>
      </c>
      <c r="J3482">
        <v>9100</v>
      </c>
      <c r="K3482">
        <v>4</v>
      </c>
      <c r="L3482">
        <v>28000</v>
      </c>
      <c r="M3482">
        <v>36400</v>
      </c>
      <c r="N3482" t="s">
        <v>35</v>
      </c>
      <c r="O3482">
        <f t="shared" si="108"/>
        <v>18200</v>
      </c>
      <c r="P3482" s="13">
        <f t="shared" si="109"/>
        <v>2829840</v>
      </c>
      <c r="Q3482" s="13">
        <f>SUMIFS(M:M,E:E,Online_eCommerce[[#This Row],[Status]])</f>
        <v>28620410</v>
      </c>
      <c r="R3482" s="13">
        <f>SUMIFS(L:L,H:H,Online_eCommerce[[#This Row],[Brand]])</f>
        <v>10087000</v>
      </c>
      <c r="S3482" s="13">
        <f>SUMIF(H:H,Online_eCommerce[[#This Row],[Brand]],M:M)</f>
        <v>13113100</v>
      </c>
      <c r="T3482" s="13">
        <f>SUMIF(N:N,Online_eCommerce[[#This Row],[Assigned Supervisor]],L:L)</f>
        <v>14373360</v>
      </c>
    </row>
    <row r="3483" spans="1:20" hidden="1" x14ac:dyDescent="0.3">
      <c r="A3483" t="s">
        <v>5266</v>
      </c>
      <c r="B3483" t="s">
        <v>213</v>
      </c>
      <c r="C3483" t="s">
        <v>199</v>
      </c>
      <c r="D3483" t="s">
        <v>5267</v>
      </c>
      <c r="E3483" t="s">
        <v>96</v>
      </c>
      <c r="F3483" t="s">
        <v>5268</v>
      </c>
      <c r="G3483" t="s">
        <v>40</v>
      </c>
      <c r="H3483" t="s">
        <v>41</v>
      </c>
      <c r="I3483">
        <v>1680</v>
      </c>
      <c r="J3483">
        <v>2184</v>
      </c>
      <c r="K3483">
        <v>2</v>
      </c>
      <c r="L3483">
        <v>3360</v>
      </c>
      <c r="M3483">
        <v>4368</v>
      </c>
      <c r="N3483" t="s">
        <v>42</v>
      </c>
      <c r="O3483">
        <f t="shared" si="108"/>
        <v>25545</v>
      </c>
      <c r="P3483" s="13">
        <f t="shared" si="109"/>
        <v>1947361</v>
      </c>
      <c r="Q3483" s="13">
        <f>SUMIFS(M:M,E:E,Online_eCommerce[[#This Row],[Status]])</f>
        <v>21233992</v>
      </c>
      <c r="R3483" s="13">
        <f>SUMIFS(L:L,H:H,Online_eCommerce[[#This Row],[Brand]])</f>
        <v>4260400</v>
      </c>
      <c r="S3483" s="13">
        <f>SUMIF(H:H,Online_eCommerce[[#This Row],[Brand]],M:M)</f>
        <v>5538520</v>
      </c>
      <c r="T3483" s="13">
        <f>SUMIF(N:N,Online_eCommerce[[#This Row],[Assigned Supervisor]],L:L)</f>
        <v>12261500</v>
      </c>
    </row>
    <row r="3484" spans="1:20" hidden="1" x14ac:dyDescent="0.3">
      <c r="A3484" t="s">
        <v>5269</v>
      </c>
      <c r="B3484" t="s">
        <v>215</v>
      </c>
      <c r="C3484" t="s">
        <v>203</v>
      </c>
      <c r="D3484" t="s">
        <v>5270</v>
      </c>
      <c r="E3484" t="s">
        <v>18</v>
      </c>
      <c r="F3484" t="s">
        <v>101</v>
      </c>
      <c r="G3484" t="s">
        <v>334</v>
      </c>
      <c r="H3484" t="s">
        <v>102</v>
      </c>
      <c r="I3484">
        <v>6540</v>
      </c>
      <c r="J3484">
        <v>8502</v>
      </c>
      <c r="K3484">
        <v>4</v>
      </c>
      <c r="L3484">
        <v>26160</v>
      </c>
      <c r="M3484">
        <v>34008</v>
      </c>
      <c r="N3484" t="s">
        <v>50</v>
      </c>
      <c r="O3484">
        <f t="shared" si="108"/>
        <v>39780</v>
      </c>
      <c r="P3484" s="13">
        <f t="shared" si="109"/>
        <v>2559635</v>
      </c>
      <c r="Q3484" s="13">
        <f>SUMIFS(M:M,E:E,Online_eCommerce[[#This Row],[Status]])</f>
        <v>28340455</v>
      </c>
      <c r="R3484" s="13">
        <f>SUMIFS(L:L,H:H,Online_eCommerce[[#This Row],[Brand]])</f>
        <v>2465580</v>
      </c>
      <c r="S3484" s="13">
        <f>SUMIF(H:H,Online_eCommerce[[#This Row],[Brand]],M:M)</f>
        <v>3205254</v>
      </c>
      <c r="T3484" s="13">
        <f>SUMIF(N:N,Online_eCommerce[[#This Row],[Assigned Supervisor]],L:L)</f>
        <v>12100590</v>
      </c>
    </row>
    <row r="3485" spans="1:20" hidden="1" x14ac:dyDescent="0.3">
      <c r="A3485" t="s">
        <v>5271</v>
      </c>
      <c r="B3485" t="s">
        <v>306</v>
      </c>
      <c r="C3485" t="s">
        <v>205</v>
      </c>
      <c r="D3485" t="s">
        <v>5270</v>
      </c>
      <c r="E3485" t="s">
        <v>161</v>
      </c>
      <c r="F3485" t="s">
        <v>107</v>
      </c>
      <c r="G3485" t="s">
        <v>54</v>
      </c>
      <c r="H3485" t="s">
        <v>55</v>
      </c>
      <c r="I3485">
        <v>2680</v>
      </c>
      <c r="J3485">
        <v>3484</v>
      </c>
      <c r="K3485">
        <v>2</v>
      </c>
      <c r="L3485">
        <v>5360</v>
      </c>
      <c r="M3485">
        <v>6968</v>
      </c>
      <c r="N3485" t="s">
        <v>56</v>
      </c>
      <c r="O3485">
        <f t="shared" si="108"/>
        <v>2990</v>
      </c>
      <c r="P3485" s="13">
        <f t="shared" si="109"/>
        <v>1983254</v>
      </c>
      <c r="Q3485" s="13">
        <f>SUMIFS(M:M,E:E,Online_eCommerce[[#This Row],[Status]])</f>
        <v>21103186</v>
      </c>
      <c r="R3485" s="13">
        <f>SUMIFS(L:L,H:H,Online_eCommerce[[#This Row],[Brand]])</f>
        <v>2267380</v>
      </c>
      <c r="S3485" s="13">
        <f>SUMIF(H:H,Online_eCommerce[[#This Row],[Brand]],M:M)</f>
        <v>2947594</v>
      </c>
      <c r="T3485" s="13">
        <f>SUMIF(N:N,Online_eCommerce[[#This Row],[Assigned Supervisor]],L:L)</f>
        <v>11733610</v>
      </c>
    </row>
    <row r="3486" spans="1:20" x14ac:dyDescent="0.3">
      <c r="A3486" t="s">
        <v>5272</v>
      </c>
      <c r="B3486" t="s">
        <v>528</v>
      </c>
      <c r="C3486" t="s">
        <v>208</v>
      </c>
      <c r="D3486" t="s">
        <v>5270</v>
      </c>
      <c r="E3486" t="s">
        <v>46</v>
      </c>
      <c r="F3486" t="s">
        <v>112</v>
      </c>
      <c r="G3486" t="s">
        <v>71</v>
      </c>
      <c r="H3486" t="s">
        <v>21</v>
      </c>
      <c r="I3486">
        <v>8250</v>
      </c>
      <c r="J3486">
        <v>10725</v>
      </c>
      <c r="K3486">
        <v>3</v>
      </c>
      <c r="L3486">
        <v>24750</v>
      </c>
      <c r="M3486">
        <v>32175</v>
      </c>
      <c r="N3486" t="s">
        <v>22</v>
      </c>
      <c r="O3486">
        <f t="shared" si="108"/>
        <v>9750</v>
      </c>
      <c r="P3486" s="13">
        <f t="shared" si="109"/>
        <v>2746575</v>
      </c>
      <c r="Q3486" s="13">
        <f>SUMIFS(M:M,E:E,Online_eCommerce[[#This Row],[Status]])</f>
        <v>28620410</v>
      </c>
      <c r="R3486" s="13">
        <f>SUMIFS(L:L,H:H,Online_eCommerce[[#This Row],[Brand]])</f>
        <v>12435650</v>
      </c>
      <c r="S3486" s="13">
        <f>SUMIF(H:H,Online_eCommerce[[#This Row],[Brand]],M:M)</f>
        <v>16166345</v>
      </c>
      <c r="T3486" s="13">
        <f>SUMIF(N:N,Online_eCommerce[[#This Row],[Assigned Supervisor]],L:L)</f>
        <v>13693220</v>
      </c>
    </row>
    <row r="3487" spans="1:20" hidden="1" x14ac:dyDescent="0.3">
      <c r="A3487" t="s">
        <v>5273</v>
      </c>
      <c r="B3487" t="s">
        <v>73</v>
      </c>
      <c r="C3487" t="s">
        <v>211</v>
      </c>
      <c r="D3487" t="s">
        <v>5270</v>
      </c>
      <c r="E3487" t="s">
        <v>96</v>
      </c>
      <c r="F3487" t="s">
        <v>4805</v>
      </c>
      <c r="G3487" t="s">
        <v>40</v>
      </c>
      <c r="H3487" t="s">
        <v>21</v>
      </c>
      <c r="I3487">
        <v>2650</v>
      </c>
      <c r="J3487">
        <v>3445</v>
      </c>
      <c r="K3487">
        <v>4</v>
      </c>
      <c r="L3487">
        <v>10600</v>
      </c>
      <c r="M3487">
        <v>13780</v>
      </c>
      <c r="N3487" t="s">
        <v>28</v>
      </c>
      <c r="O3487">
        <f t="shared" si="108"/>
        <v>25545</v>
      </c>
      <c r="P3487" s="13">
        <f t="shared" si="109"/>
        <v>1809847</v>
      </c>
      <c r="Q3487" s="13">
        <f>SUMIFS(M:M,E:E,Online_eCommerce[[#This Row],[Status]])</f>
        <v>21233992</v>
      </c>
      <c r="R3487" s="13">
        <f>SUMIFS(L:L,H:H,Online_eCommerce[[#This Row],[Brand]])</f>
        <v>12435650</v>
      </c>
      <c r="S3487" s="13">
        <f>SUMIF(H:H,Online_eCommerce[[#This Row],[Brand]],M:M)</f>
        <v>16166345</v>
      </c>
      <c r="T3487" s="13">
        <f>SUMIF(N:N,Online_eCommerce[[#This Row],[Assigned Supervisor]],L:L)</f>
        <v>12220830</v>
      </c>
    </row>
    <row r="3488" spans="1:20" hidden="1" x14ac:dyDescent="0.3">
      <c r="A3488" t="s">
        <v>5274</v>
      </c>
      <c r="B3488" t="s">
        <v>80</v>
      </c>
      <c r="C3488" t="s">
        <v>16</v>
      </c>
      <c r="D3488" t="s">
        <v>5270</v>
      </c>
      <c r="E3488" t="s">
        <v>18</v>
      </c>
      <c r="F3488" t="s">
        <v>121</v>
      </c>
      <c r="G3488" t="s">
        <v>71</v>
      </c>
      <c r="H3488" t="s">
        <v>122</v>
      </c>
      <c r="I3488">
        <v>12550</v>
      </c>
      <c r="J3488">
        <v>16315</v>
      </c>
      <c r="K3488">
        <v>4</v>
      </c>
      <c r="L3488">
        <v>50200</v>
      </c>
      <c r="M3488">
        <v>65260</v>
      </c>
      <c r="N3488" t="s">
        <v>35</v>
      </c>
      <c r="O3488">
        <f t="shared" si="108"/>
        <v>9750</v>
      </c>
      <c r="P3488" s="13">
        <f t="shared" si="109"/>
        <v>2751814</v>
      </c>
      <c r="Q3488" s="13">
        <f>SUMIFS(M:M,E:E,Online_eCommerce[[#This Row],[Status]])</f>
        <v>28340455</v>
      </c>
      <c r="R3488" s="13">
        <f>SUMIFS(L:L,H:H,Online_eCommerce[[#This Row],[Brand]])</f>
        <v>5045100</v>
      </c>
      <c r="S3488" s="13">
        <f>SUMIF(H:H,Online_eCommerce[[#This Row],[Brand]],M:M)</f>
        <v>6558630</v>
      </c>
      <c r="T3488" s="13">
        <f>SUMIF(N:N,Online_eCommerce[[#This Row],[Assigned Supervisor]],L:L)</f>
        <v>14373360</v>
      </c>
    </row>
    <row r="3489" spans="1:20" hidden="1" x14ac:dyDescent="0.3">
      <c r="A3489" t="s">
        <v>5275</v>
      </c>
      <c r="B3489" t="s">
        <v>85</v>
      </c>
      <c r="C3489" t="s">
        <v>24</v>
      </c>
      <c r="D3489" t="s">
        <v>5270</v>
      </c>
      <c r="E3489" t="s">
        <v>161</v>
      </c>
      <c r="F3489" t="s">
        <v>126</v>
      </c>
      <c r="G3489" t="s">
        <v>26</v>
      </c>
      <c r="H3489" t="s">
        <v>27</v>
      </c>
      <c r="I3489">
        <v>14500</v>
      </c>
      <c r="J3489">
        <v>18850</v>
      </c>
      <c r="K3489">
        <v>2</v>
      </c>
      <c r="L3489">
        <v>29000</v>
      </c>
      <c r="M3489">
        <v>37700</v>
      </c>
      <c r="N3489" t="s">
        <v>42</v>
      </c>
      <c r="O3489">
        <f t="shared" si="108"/>
        <v>33150</v>
      </c>
      <c r="P3489" s="13">
        <f t="shared" si="109"/>
        <v>2009540</v>
      </c>
      <c r="Q3489" s="13">
        <f>SUMIFS(M:M,E:E,Online_eCommerce[[#This Row],[Status]])</f>
        <v>21103186</v>
      </c>
      <c r="R3489" s="13">
        <f>SUMIFS(L:L,H:H,Online_eCommerce[[#This Row],[Brand]])</f>
        <v>14431000</v>
      </c>
      <c r="S3489" s="13">
        <f>SUMIF(H:H,Online_eCommerce[[#This Row],[Brand]],M:M)</f>
        <v>18760300</v>
      </c>
      <c r="T3489" s="13">
        <f>SUMIF(N:N,Online_eCommerce[[#This Row],[Assigned Supervisor]],L:L)</f>
        <v>12261500</v>
      </c>
    </row>
    <row r="3490" spans="1:20" x14ac:dyDescent="0.3">
      <c r="A3490" t="s">
        <v>5276</v>
      </c>
      <c r="B3490" t="s">
        <v>90</v>
      </c>
      <c r="C3490" t="s">
        <v>31</v>
      </c>
      <c r="D3490" t="s">
        <v>5270</v>
      </c>
      <c r="E3490" t="s">
        <v>46</v>
      </c>
      <c r="F3490" t="s">
        <v>129</v>
      </c>
      <c r="G3490" t="s">
        <v>60</v>
      </c>
      <c r="H3490" t="s">
        <v>61</v>
      </c>
      <c r="I3490">
        <v>800</v>
      </c>
      <c r="J3490">
        <v>1040</v>
      </c>
      <c r="K3490">
        <v>2</v>
      </c>
      <c r="L3490">
        <v>1600</v>
      </c>
      <c r="M3490">
        <v>2080</v>
      </c>
      <c r="N3490" t="s">
        <v>50</v>
      </c>
      <c r="O3490">
        <f t="shared" si="108"/>
        <v>3315</v>
      </c>
      <c r="P3490" s="13">
        <f t="shared" si="109"/>
        <v>2865746</v>
      </c>
      <c r="Q3490" s="13">
        <f>SUMIFS(M:M,E:E,Online_eCommerce[[#This Row],[Status]])</f>
        <v>28620410</v>
      </c>
      <c r="R3490" s="13">
        <f>SUMIFS(L:L,H:H,Online_eCommerce[[#This Row],[Brand]])</f>
        <v>10950150</v>
      </c>
      <c r="S3490" s="13">
        <f>SUMIF(H:H,Online_eCommerce[[#This Row],[Brand]],M:M)</f>
        <v>14235195</v>
      </c>
      <c r="T3490" s="13">
        <f>SUMIF(N:N,Online_eCommerce[[#This Row],[Assigned Supervisor]],L:L)</f>
        <v>12100590</v>
      </c>
    </row>
    <row r="3491" spans="1:20" hidden="1" x14ac:dyDescent="0.3">
      <c r="A3491" t="s">
        <v>5277</v>
      </c>
      <c r="B3491" t="s">
        <v>232</v>
      </c>
      <c r="C3491" t="s">
        <v>38</v>
      </c>
      <c r="D3491" t="s">
        <v>5278</v>
      </c>
      <c r="E3491" t="s">
        <v>96</v>
      </c>
      <c r="F3491" t="s">
        <v>133</v>
      </c>
      <c r="G3491" t="s">
        <v>66</v>
      </c>
      <c r="H3491" t="s">
        <v>21</v>
      </c>
      <c r="I3491">
        <v>600</v>
      </c>
      <c r="J3491">
        <v>780</v>
      </c>
      <c r="K3491">
        <v>4</v>
      </c>
      <c r="L3491">
        <v>2400</v>
      </c>
      <c r="M3491">
        <v>3120</v>
      </c>
      <c r="N3491" t="s">
        <v>56</v>
      </c>
      <c r="O3491">
        <f t="shared" si="108"/>
        <v>1690</v>
      </c>
      <c r="P3491" s="13">
        <f t="shared" si="109"/>
        <v>1933997</v>
      </c>
      <c r="Q3491" s="13">
        <f>SUMIFS(M:M,E:E,Online_eCommerce[[#This Row],[Status]])</f>
        <v>21233992</v>
      </c>
      <c r="R3491" s="13">
        <f>SUMIFS(L:L,H:H,Online_eCommerce[[#This Row],[Brand]])</f>
        <v>12435650</v>
      </c>
      <c r="S3491" s="13">
        <f>SUMIF(H:H,Online_eCommerce[[#This Row],[Brand]],M:M)</f>
        <v>16166345</v>
      </c>
      <c r="T3491" s="13">
        <f>SUMIF(N:N,Online_eCommerce[[#This Row],[Assigned Supervisor]],L:L)</f>
        <v>11733610</v>
      </c>
    </row>
    <row r="3492" spans="1:20" hidden="1" x14ac:dyDescent="0.3">
      <c r="A3492" t="s">
        <v>5279</v>
      </c>
      <c r="B3492" t="s">
        <v>235</v>
      </c>
      <c r="C3492" t="s">
        <v>45</v>
      </c>
      <c r="D3492" t="s">
        <v>5278</v>
      </c>
      <c r="E3492" t="s">
        <v>18</v>
      </c>
      <c r="F3492" t="s">
        <v>137</v>
      </c>
      <c r="G3492" t="s">
        <v>71</v>
      </c>
      <c r="H3492" t="s">
        <v>61</v>
      </c>
      <c r="I3492">
        <v>10500</v>
      </c>
      <c r="J3492">
        <v>13650</v>
      </c>
      <c r="K3492">
        <v>2</v>
      </c>
      <c r="L3492">
        <v>21000</v>
      </c>
      <c r="M3492">
        <v>27300</v>
      </c>
      <c r="N3492" t="s">
        <v>22</v>
      </c>
      <c r="O3492">
        <f t="shared" si="108"/>
        <v>9750</v>
      </c>
      <c r="P3492" s="13">
        <f t="shared" si="109"/>
        <v>2842554</v>
      </c>
      <c r="Q3492" s="13">
        <f>SUMIFS(M:M,E:E,Online_eCommerce[[#This Row],[Status]])</f>
        <v>28340455</v>
      </c>
      <c r="R3492" s="13">
        <f>SUMIFS(L:L,H:H,Online_eCommerce[[#This Row],[Brand]])</f>
        <v>10950150</v>
      </c>
      <c r="S3492" s="13">
        <f>SUMIF(H:H,Online_eCommerce[[#This Row],[Brand]],M:M)</f>
        <v>14235195</v>
      </c>
      <c r="T3492" s="13">
        <f>SUMIF(N:N,Online_eCommerce[[#This Row],[Assigned Supervisor]],L:L)</f>
        <v>13693220</v>
      </c>
    </row>
    <row r="3493" spans="1:20" hidden="1" x14ac:dyDescent="0.3">
      <c r="A3493" t="s">
        <v>5280</v>
      </c>
      <c r="B3493" t="s">
        <v>104</v>
      </c>
      <c r="C3493" t="s">
        <v>52</v>
      </c>
      <c r="D3493" t="s">
        <v>5278</v>
      </c>
      <c r="E3493" t="s">
        <v>161</v>
      </c>
      <c r="F3493" t="s">
        <v>5242</v>
      </c>
      <c r="G3493" t="s">
        <v>77</v>
      </c>
      <c r="H3493" t="s">
        <v>142</v>
      </c>
      <c r="I3493">
        <v>6500</v>
      </c>
      <c r="J3493">
        <v>8450</v>
      </c>
      <c r="K3493">
        <v>2</v>
      </c>
      <c r="L3493">
        <v>13000</v>
      </c>
      <c r="M3493">
        <v>16900</v>
      </c>
      <c r="N3493" t="s">
        <v>28</v>
      </c>
      <c r="O3493">
        <f t="shared" si="108"/>
        <v>39000</v>
      </c>
      <c r="P3493" s="13">
        <f t="shared" si="109"/>
        <v>1955044</v>
      </c>
      <c r="Q3493" s="13">
        <f>SUMIFS(M:M,E:E,Online_eCommerce[[#This Row],[Status]])</f>
        <v>21103186</v>
      </c>
      <c r="R3493" s="13">
        <f>SUMIFS(L:L,H:H,Online_eCommerce[[#This Row],[Brand]])</f>
        <v>6192500</v>
      </c>
      <c r="S3493" s="13">
        <f>SUMIF(H:H,Online_eCommerce[[#This Row],[Brand]],M:M)</f>
        <v>8050250</v>
      </c>
      <c r="T3493" s="13">
        <f>SUMIF(N:N,Online_eCommerce[[#This Row],[Assigned Supervisor]],L:L)</f>
        <v>12220830</v>
      </c>
    </row>
    <row r="3494" spans="1:20" x14ac:dyDescent="0.3">
      <c r="A3494" t="s">
        <v>5281</v>
      </c>
      <c r="B3494" t="s">
        <v>109</v>
      </c>
      <c r="C3494" t="s">
        <v>58</v>
      </c>
      <c r="D3494" t="s">
        <v>5278</v>
      </c>
      <c r="E3494" t="s">
        <v>46</v>
      </c>
      <c r="F3494" t="s">
        <v>5282</v>
      </c>
      <c r="G3494" t="s">
        <v>20</v>
      </c>
      <c r="H3494" t="s">
        <v>21</v>
      </c>
      <c r="I3494">
        <v>4500</v>
      </c>
      <c r="J3494">
        <v>5850</v>
      </c>
      <c r="K3494">
        <v>3</v>
      </c>
      <c r="L3494">
        <v>13500</v>
      </c>
      <c r="M3494">
        <v>17550</v>
      </c>
      <c r="N3494" t="s">
        <v>35</v>
      </c>
      <c r="O3494">
        <f t="shared" si="108"/>
        <v>8450</v>
      </c>
      <c r="P3494" s="13">
        <f t="shared" si="109"/>
        <v>2629211</v>
      </c>
      <c r="Q3494" s="13">
        <f>SUMIFS(M:M,E:E,Online_eCommerce[[#This Row],[Status]])</f>
        <v>28620410</v>
      </c>
      <c r="R3494" s="13">
        <f>SUMIFS(L:L,H:H,Online_eCommerce[[#This Row],[Brand]])</f>
        <v>12435650</v>
      </c>
      <c r="S3494" s="13">
        <f>SUMIF(H:H,Online_eCommerce[[#This Row],[Brand]],M:M)</f>
        <v>16166345</v>
      </c>
      <c r="T3494" s="13">
        <f>SUMIF(N:N,Online_eCommerce[[#This Row],[Assigned Supervisor]],L:L)</f>
        <v>14373360</v>
      </c>
    </row>
    <row r="3495" spans="1:20" hidden="1" x14ac:dyDescent="0.3">
      <c r="A3495" t="s">
        <v>5283</v>
      </c>
      <c r="B3495" t="s">
        <v>114</v>
      </c>
      <c r="C3495" t="s">
        <v>63</v>
      </c>
      <c r="D3495" t="s">
        <v>5278</v>
      </c>
      <c r="E3495" t="s">
        <v>96</v>
      </c>
      <c r="F3495" t="s">
        <v>152</v>
      </c>
      <c r="G3495" t="s">
        <v>26</v>
      </c>
      <c r="H3495" t="s">
        <v>27</v>
      </c>
      <c r="I3495">
        <v>8500</v>
      </c>
      <c r="J3495">
        <v>11050</v>
      </c>
      <c r="K3495">
        <v>3</v>
      </c>
      <c r="L3495">
        <v>25500</v>
      </c>
      <c r="M3495">
        <v>33150</v>
      </c>
      <c r="N3495" t="s">
        <v>42</v>
      </c>
      <c r="O3495">
        <f t="shared" si="108"/>
        <v>33150</v>
      </c>
      <c r="P3495" s="13">
        <f t="shared" si="109"/>
        <v>2016131</v>
      </c>
      <c r="Q3495" s="13">
        <f>SUMIFS(M:M,E:E,Online_eCommerce[[#This Row],[Status]])</f>
        <v>21233992</v>
      </c>
      <c r="R3495" s="13">
        <f>SUMIFS(L:L,H:H,Online_eCommerce[[#This Row],[Brand]])</f>
        <v>14431000</v>
      </c>
      <c r="S3495" s="13">
        <f>SUMIF(H:H,Online_eCommerce[[#This Row],[Brand]],M:M)</f>
        <v>18760300</v>
      </c>
      <c r="T3495" s="13">
        <f>SUMIF(N:N,Online_eCommerce[[#This Row],[Assigned Supervisor]],L:L)</f>
        <v>12261500</v>
      </c>
    </row>
    <row r="3496" spans="1:20" hidden="1" x14ac:dyDescent="0.3">
      <c r="A3496" t="s">
        <v>5284</v>
      </c>
      <c r="B3496" t="s">
        <v>119</v>
      </c>
      <c r="C3496" t="s">
        <v>68</v>
      </c>
      <c r="D3496" t="s">
        <v>5278</v>
      </c>
      <c r="E3496" t="s">
        <v>18</v>
      </c>
      <c r="F3496" t="s">
        <v>157</v>
      </c>
      <c r="G3496" t="s">
        <v>33</v>
      </c>
      <c r="H3496" t="s">
        <v>34</v>
      </c>
      <c r="I3496">
        <v>12500</v>
      </c>
      <c r="J3496">
        <v>16250</v>
      </c>
      <c r="K3496">
        <v>3</v>
      </c>
      <c r="L3496">
        <v>37500</v>
      </c>
      <c r="M3496">
        <v>48750</v>
      </c>
      <c r="N3496" t="s">
        <v>50</v>
      </c>
      <c r="O3496">
        <f t="shared" si="108"/>
        <v>18200</v>
      </c>
      <c r="P3496" s="13">
        <f t="shared" si="109"/>
        <v>2974621</v>
      </c>
      <c r="Q3496" s="13">
        <f>SUMIFS(M:M,E:E,Online_eCommerce[[#This Row],[Status]])</f>
        <v>28340455</v>
      </c>
      <c r="R3496" s="13">
        <f>SUMIFS(L:L,H:H,Online_eCommerce[[#This Row],[Brand]])</f>
        <v>10087000</v>
      </c>
      <c r="S3496" s="13">
        <f>SUMIF(H:H,Online_eCommerce[[#This Row],[Brand]],M:M)</f>
        <v>13113100</v>
      </c>
      <c r="T3496" s="13">
        <f>SUMIF(N:N,Online_eCommerce[[#This Row],[Assigned Supervisor]],L:L)</f>
        <v>12100590</v>
      </c>
    </row>
    <row r="3497" spans="1:20" hidden="1" x14ac:dyDescent="0.3">
      <c r="A3497" t="s">
        <v>5285</v>
      </c>
      <c r="B3497" t="s">
        <v>124</v>
      </c>
      <c r="C3497" t="s">
        <v>74</v>
      </c>
      <c r="D3497" t="s">
        <v>5278</v>
      </c>
      <c r="E3497" t="s">
        <v>161</v>
      </c>
      <c r="F3497" t="s">
        <v>4866</v>
      </c>
      <c r="G3497" t="s">
        <v>163</v>
      </c>
      <c r="H3497" t="s">
        <v>41</v>
      </c>
      <c r="I3497">
        <v>3500</v>
      </c>
      <c r="J3497">
        <v>4550</v>
      </c>
      <c r="K3497">
        <v>2</v>
      </c>
      <c r="L3497">
        <v>7000</v>
      </c>
      <c r="M3497">
        <v>9100</v>
      </c>
      <c r="N3497" t="s">
        <v>56</v>
      </c>
      <c r="O3497">
        <f t="shared" si="108"/>
        <v>13650</v>
      </c>
      <c r="P3497" s="13">
        <f t="shared" si="109"/>
        <v>2144701</v>
      </c>
      <c r="Q3497" s="13">
        <f>SUMIFS(M:M,E:E,Online_eCommerce[[#This Row],[Status]])</f>
        <v>21103186</v>
      </c>
      <c r="R3497" s="13">
        <f>SUMIFS(L:L,H:H,Online_eCommerce[[#This Row],[Brand]])</f>
        <v>4260400</v>
      </c>
      <c r="S3497" s="13">
        <f>SUMIF(H:H,Online_eCommerce[[#This Row],[Brand]],M:M)</f>
        <v>5538520</v>
      </c>
      <c r="T3497" s="13">
        <f>SUMIF(N:N,Online_eCommerce[[#This Row],[Assigned Supervisor]],L:L)</f>
        <v>11733610</v>
      </c>
    </row>
    <row r="3498" spans="1:20" x14ac:dyDescent="0.3">
      <c r="A3498" t="s">
        <v>5286</v>
      </c>
      <c r="B3498" t="s">
        <v>128</v>
      </c>
      <c r="C3498" t="s">
        <v>81</v>
      </c>
      <c r="D3498" t="s">
        <v>5287</v>
      </c>
      <c r="E3498" t="s">
        <v>46</v>
      </c>
      <c r="F3498" t="s">
        <v>166</v>
      </c>
      <c r="G3498" t="s">
        <v>66</v>
      </c>
      <c r="H3498" t="s">
        <v>49</v>
      </c>
      <c r="I3498">
        <v>4500</v>
      </c>
      <c r="J3498">
        <v>5850</v>
      </c>
      <c r="K3498">
        <v>3</v>
      </c>
      <c r="L3498">
        <v>13500</v>
      </c>
      <c r="M3498">
        <v>17550</v>
      </c>
      <c r="N3498" t="s">
        <v>22</v>
      </c>
      <c r="O3498">
        <f t="shared" si="108"/>
        <v>1690</v>
      </c>
      <c r="P3498" s="13">
        <f t="shared" si="109"/>
        <v>2595632</v>
      </c>
      <c r="Q3498" s="13">
        <f>SUMIFS(M:M,E:E,Online_eCommerce[[#This Row],[Status]])</f>
        <v>28620410</v>
      </c>
      <c r="R3498" s="13">
        <f>SUMIFS(L:L,H:H,Online_eCommerce[[#This Row],[Brand]])</f>
        <v>4528350</v>
      </c>
      <c r="S3498" s="13">
        <f>SUMIF(H:H,Online_eCommerce[[#This Row],[Brand]],M:M)</f>
        <v>5886855</v>
      </c>
      <c r="T3498" s="13">
        <f>SUMIF(N:N,Online_eCommerce[[#This Row],[Assigned Supervisor]],L:L)</f>
        <v>13693220</v>
      </c>
    </row>
    <row r="3499" spans="1:20" hidden="1" x14ac:dyDescent="0.3">
      <c r="A3499" t="s">
        <v>5288</v>
      </c>
      <c r="B3499" t="s">
        <v>131</v>
      </c>
      <c r="C3499" t="s">
        <v>86</v>
      </c>
      <c r="D3499" t="s">
        <v>5289</v>
      </c>
      <c r="E3499" t="s">
        <v>96</v>
      </c>
      <c r="F3499" t="s">
        <v>5290</v>
      </c>
      <c r="G3499" t="s">
        <v>54</v>
      </c>
      <c r="H3499" t="s">
        <v>55</v>
      </c>
      <c r="I3499">
        <v>2100</v>
      </c>
      <c r="J3499">
        <v>2730</v>
      </c>
      <c r="K3499">
        <v>2</v>
      </c>
      <c r="L3499">
        <v>4200</v>
      </c>
      <c r="M3499">
        <v>5460</v>
      </c>
      <c r="N3499" t="s">
        <v>28</v>
      </c>
      <c r="O3499">
        <f t="shared" si="108"/>
        <v>2990</v>
      </c>
      <c r="P3499" s="13">
        <f t="shared" si="109"/>
        <v>1941225</v>
      </c>
      <c r="Q3499" s="13">
        <f>SUMIFS(M:M,E:E,Online_eCommerce[[#This Row],[Status]])</f>
        <v>21233992</v>
      </c>
      <c r="R3499" s="13">
        <f>SUMIFS(L:L,H:H,Online_eCommerce[[#This Row],[Brand]])</f>
        <v>2267380</v>
      </c>
      <c r="S3499" s="13">
        <f>SUMIF(H:H,Online_eCommerce[[#This Row],[Brand]],M:M)</f>
        <v>2947594</v>
      </c>
      <c r="T3499" s="13">
        <f>SUMIF(N:N,Online_eCommerce[[#This Row],[Assigned Supervisor]],L:L)</f>
        <v>12220830</v>
      </c>
    </row>
    <row r="3500" spans="1:20" hidden="1" x14ac:dyDescent="0.3">
      <c r="A3500" t="s">
        <v>5291</v>
      </c>
      <c r="B3500" t="s">
        <v>135</v>
      </c>
      <c r="C3500" t="s">
        <v>91</v>
      </c>
      <c r="D3500" t="s">
        <v>5292</v>
      </c>
      <c r="E3500" t="s">
        <v>18</v>
      </c>
      <c r="F3500" t="s">
        <v>174</v>
      </c>
      <c r="G3500" t="s">
        <v>60</v>
      </c>
      <c r="H3500" t="s">
        <v>61</v>
      </c>
      <c r="I3500">
        <v>1150</v>
      </c>
      <c r="J3500">
        <v>1495</v>
      </c>
      <c r="K3500">
        <v>1</v>
      </c>
      <c r="L3500">
        <v>1150</v>
      </c>
      <c r="M3500">
        <v>1495</v>
      </c>
      <c r="N3500" t="s">
        <v>35</v>
      </c>
      <c r="O3500">
        <f t="shared" si="108"/>
        <v>3315</v>
      </c>
      <c r="P3500" s="13">
        <f t="shared" si="109"/>
        <v>2731963</v>
      </c>
      <c r="Q3500" s="13">
        <f>SUMIFS(M:M,E:E,Online_eCommerce[[#This Row],[Status]])</f>
        <v>28340455</v>
      </c>
      <c r="R3500" s="13">
        <f>SUMIFS(L:L,H:H,Online_eCommerce[[#This Row],[Brand]])</f>
        <v>10950150</v>
      </c>
      <c r="S3500" s="13">
        <f>SUMIF(H:H,Online_eCommerce[[#This Row],[Brand]],M:M)</f>
        <v>14235195</v>
      </c>
      <c r="T3500" s="13">
        <f>SUMIF(N:N,Online_eCommerce[[#This Row],[Assigned Supervisor]],L:L)</f>
        <v>14373360</v>
      </c>
    </row>
    <row r="3501" spans="1:20" hidden="1" x14ac:dyDescent="0.3">
      <c r="A3501" t="s">
        <v>5293</v>
      </c>
      <c r="B3501" t="s">
        <v>139</v>
      </c>
      <c r="C3501" t="s">
        <v>94</v>
      </c>
      <c r="D3501" t="s">
        <v>5294</v>
      </c>
      <c r="E3501" t="s">
        <v>161</v>
      </c>
      <c r="F3501" t="s">
        <v>179</v>
      </c>
      <c r="G3501" t="s">
        <v>66</v>
      </c>
      <c r="H3501" t="s">
        <v>21</v>
      </c>
      <c r="I3501">
        <v>350</v>
      </c>
      <c r="J3501">
        <v>455</v>
      </c>
      <c r="K3501">
        <v>2</v>
      </c>
      <c r="L3501">
        <v>700</v>
      </c>
      <c r="M3501">
        <v>910</v>
      </c>
      <c r="N3501" t="s">
        <v>42</v>
      </c>
      <c r="O3501">
        <f t="shared" si="108"/>
        <v>1690</v>
      </c>
      <c r="P3501" s="13">
        <f t="shared" si="109"/>
        <v>1868256</v>
      </c>
      <c r="Q3501" s="13">
        <f>SUMIFS(M:M,E:E,Online_eCommerce[[#This Row],[Status]])</f>
        <v>21103186</v>
      </c>
      <c r="R3501" s="13">
        <f>SUMIFS(L:L,H:H,Online_eCommerce[[#This Row],[Brand]])</f>
        <v>12435650</v>
      </c>
      <c r="S3501" s="13">
        <f>SUMIF(H:H,Online_eCommerce[[#This Row],[Brand]],M:M)</f>
        <v>16166345</v>
      </c>
      <c r="T3501" s="13">
        <f>SUMIF(N:N,Online_eCommerce[[#This Row],[Assigned Supervisor]],L:L)</f>
        <v>12261500</v>
      </c>
    </row>
    <row r="3502" spans="1:20" x14ac:dyDescent="0.3">
      <c r="A3502" t="s">
        <v>5295</v>
      </c>
      <c r="B3502" t="s">
        <v>144</v>
      </c>
      <c r="C3502" t="s">
        <v>99</v>
      </c>
      <c r="D3502" t="s">
        <v>5296</v>
      </c>
      <c r="E3502" t="s">
        <v>46</v>
      </c>
      <c r="F3502" t="s">
        <v>183</v>
      </c>
      <c r="G3502" t="s">
        <v>71</v>
      </c>
      <c r="H3502" t="s">
        <v>61</v>
      </c>
      <c r="I3502">
        <v>9500</v>
      </c>
      <c r="J3502">
        <v>12350</v>
      </c>
      <c r="K3502">
        <v>2</v>
      </c>
      <c r="L3502">
        <v>19000</v>
      </c>
      <c r="M3502">
        <v>24700</v>
      </c>
      <c r="N3502" t="s">
        <v>50</v>
      </c>
      <c r="O3502">
        <f t="shared" si="108"/>
        <v>9750</v>
      </c>
      <c r="P3502" s="13">
        <f t="shared" si="109"/>
        <v>2651233</v>
      </c>
      <c r="Q3502" s="13">
        <f>SUMIFS(M:M,E:E,Online_eCommerce[[#This Row],[Status]])</f>
        <v>28620410</v>
      </c>
      <c r="R3502" s="13">
        <f>SUMIFS(L:L,H:H,Online_eCommerce[[#This Row],[Brand]])</f>
        <v>10950150</v>
      </c>
      <c r="S3502" s="13">
        <f>SUMIF(H:H,Online_eCommerce[[#This Row],[Brand]],M:M)</f>
        <v>14235195</v>
      </c>
      <c r="T3502" s="13">
        <f>SUMIF(N:N,Online_eCommerce[[#This Row],[Assigned Supervisor]],L:L)</f>
        <v>12100590</v>
      </c>
    </row>
    <row r="3503" spans="1:20" hidden="1" x14ac:dyDescent="0.3">
      <c r="A3503" t="s">
        <v>5297</v>
      </c>
      <c r="B3503" t="s">
        <v>149</v>
      </c>
      <c r="C3503" t="s">
        <v>105</v>
      </c>
      <c r="D3503" t="s">
        <v>5296</v>
      </c>
      <c r="E3503" t="s">
        <v>96</v>
      </c>
      <c r="F3503" t="s">
        <v>5298</v>
      </c>
      <c r="G3503" t="s">
        <v>77</v>
      </c>
      <c r="H3503" t="s">
        <v>142</v>
      </c>
      <c r="I3503">
        <v>10000</v>
      </c>
      <c r="J3503">
        <v>13000</v>
      </c>
      <c r="K3503">
        <v>4</v>
      </c>
      <c r="L3503">
        <v>40000</v>
      </c>
      <c r="M3503">
        <v>52000</v>
      </c>
      <c r="N3503" t="s">
        <v>56</v>
      </c>
      <c r="O3503">
        <f t="shared" si="108"/>
        <v>39000</v>
      </c>
      <c r="P3503" s="13">
        <f t="shared" si="109"/>
        <v>1866852</v>
      </c>
      <c r="Q3503" s="13">
        <f>SUMIFS(M:M,E:E,Online_eCommerce[[#This Row],[Status]])</f>
        <v>21233992</v>
      </c>
      <c r="R3503" s="13">
        <f>SUMIFS(L:L,H:H,Online_eCommerce[[#This Row],[Brand]])</f>
        <v>6192500</v>
      </c>
      <c r="S3503" s="13">
        <f>SUMIF(H:H,Online_eCommerce[[#This Row],[Brand]],M:M)</f>
        <v>8050250</v>
      </c>
      <c r="T3503" s="13">
        <f>SUMIF(N:N,Online_eCommerce[[#This Row],[Assigned Supervisor]],L:L)</f>
        <v>11733610</v>
      </c>
    </row>
    <row r="3504" spans="1:20" hidden="1" x14ac:dyDescent="0.3">
      <c r="A3504" t="s">
        <v>5299</v>
      </c>
      <c r="B3504" t="s">
        <v>154</v>
      </c>
      <c r="C3504" t="s">
        <v>110</v>
      </c>
      <c r="D3504" t="s">
        <v>5296</v>
      </c>
      <c r="E3504" t="s">
        <v>18</v>
      </c>
      <c r="F3504" t="s">
        <v>5300</v>
      </c>
      <c r="G3504" t="s">
        <v>20</v>
      </c>
      <c r="H3504" t="s">
        <v>21</v>
      </c>
      <c r="I3504">
        <v>6500</v>
      </c>
      <c r="J3504">
        <v>8450</v>
      </c>
      <c r="K3504">
        <v>3</v>
      </c>
      <c r="L3504">
        <v>19500</v>
      </c>
      <c r="M3504">
        <v>25350</v>
      </c>
      <c r="N3504" t="s">
        <v>22</v>
      </c>
      <c r="O3504">
        <f t="shared" si="108"/>
        <v>8450</v>
      </c>
      <c r="P3504" s="13">
        <f t="shared" si="109"/>
        <v>2598635</v>
      </c>
      <c r="Q3504" s="13">
        <f>SUMIFS(M:M,E:E,Online_eCommerce[[#This Row],[Status]])</f>
        <v>28340455</v>
      </c>
      <c r="R3504" s="13">
        <f>SUMIFS(L:L,H:H,Online_eCommerce[[#This Row],[Brand]])</f>
        <v>12435650</v>
      </c>
      <c r="S3504" s="13">
        <f>SUMIF(H:H,Online_eCommerce[[#This Row],[Brand]],M:M)</f>
        <v>16166345</v>
      </c>
      <c r="T3504" s="13">
        <f>SUMIF(N:N,Online_eCommerce[[#This Row],[Assigned Supervisor]],L:L)</f>
        <v>13693220</v>
      </c>
    </row>
    <row r="3505" spans="1:20" hidden="1" x14ac:dyDescent="0.3">
      <c r="A3505" t="s">
        <v>5301</v>
      </c>
      <c r="B3505" t="s">
        <v>159</v>
      </c>
      <c r="C3505" t="s">
        <v>115</v>
      </c>
      <c r="D3505" t="s">
        <v>5296</v>
      </c>
      <c r="E3505" t="s">
        <v>161</v>
      </c>
      <c r="F3505" t="s">
        <v>5302</v>
      </c>
      <c r="G3505" t="s">
        <v>26</v>
      </c>
      <c r="H3505" t="s">
        <v>27</v>
      </c>
      <c r="I3505">
        <v>8500</v>
      </c>
      <c r="J3505">
        <v>11050</v>
      </c>
      <c r="K3505">
        <v>4</v>
      </c>
      <c r="L3505">
        <v>34000</v>
      </c>
      <c r="M3505">
        <v>44200</v>
      </c>
      <c r="N3505" t="s">
        <v>28</v>
      </c>
      <c r="O3505">
        <f t="shared" si="108"/>
        <v>33150</v>
      </c>
      <c r="P3505" s="13">
        <f t="shared" si="109"/>
        <v>2050178</v>
      </c>
      <c r="Q3505" s="13">
        <f>SUMIFS(M:M,E:E,Online_eCommerce[[#This Row],[Status]])</f>
        <v>21103186</v>
      </c>
      <c r="R3505" s="13">
        <f>SUMIFS(L:L,H:H,Online_eCommerce[[#This Row],[Brand]])</f>
        <v>14431000</v>
      </c>
      <c r="S3505" s="13">
        <f>SUMIF(H:H,Online_eCommerce[[#This Row],[Brand]],M:M)</f>
        <v>18760300</v>
      </c>
      <c r="T3505" s="13">
        <f>SUMIF(N:N,Online_eCommerce[[#This Row],[Assigned Supervisor]],L:L)</f>
        <v>12220830</v>
      </c>
    </row>
    <row r="3506" spans="1:20" x14ac:dyDescent="0.3">
      <c r="A3506" t="s">
        <v>5303</v>
      </c>
      <c r="B3506" t="s">
        <v>139</v>
      </c>
      <c r="C3506" t="s">
        <v>120</v>
      </c>
      <c r="D3506" t="s">
        <v>5296</v>
      </c>
      <c r="E3506" t="s">
        <v>46</v>
      </c>
      <c r="F3506" t="s">
        <v>32</v>
      </c>
      <c r="G3506" t="s">
        <v>33</v>
      </c>
      <c r="H3506" t="s">
        <v>34</v>
      </c>
      <c r="I3506">
        <v>7000</v>
      </c>
      <c r="J3506">
        <v>9100</v>
      </c>
      <c r="K3506">
        <v>4</v>
      </c>
      <c r="L3506">
        <v>28000</v>
      </c>
      <c r="M3506">
        <v>36400</v>
      </c>
      <c r="N3506" t="s">
        <v>35</v>
      </c>
      <c r="O3506">
        <f t="shared" si="108"/>
        <v>18200</v>
      </c>
      <c r="P3506" s="13">
        <f t="shared" si="109"/>
        <v>2734212</v>
      </c>
      <c r="Q3506" s="13">
        <f>SUMIFS(M:M,E:E,Online_eCommerce[[#This Row],[Status]])</f>
        <v>28620410</v>
      </c>
      <c r="R3506" s="13">
        <f>SUMIFS(L:L,H:H,Online_eCommerce[[#This Row],[Brand]])</f>
        <v>10087000</v>
      </c>
      <c r="S3506" s="13">
        <f>SUMIF(H:H,Online_eCommerce[[#This Row],[Brand]],M:M)</f>
        <v>13113100</v>
      </c>
      <c r="T3506" s="13">
        <f>SUMIF(N:N,Online_eCommerce[[#This Row],[Assigned Supervisor]],L:L)</f>
        <v>14373360</v>
      </c>
    </row>
    <row r="3507" spans="1:20" hidden="1" x14ac:dyDescent="0.3">
      <c r="A3507" t="s">
        <v>5304</v>
      </c>
      <c r="B3507" t="s">
        <v>144</v>
      </c>
      <c r="C3507" t="s">
        <v>125</v>
      </c>
      <c r="D3507" t="s">
        <v>5296</v>
      </c>
      <c r="E3507" t="s">
        <v>96</v>
      </c>
      <c r="F3507" t="s">
        <v>5305</v>
      </c>
      <c r="G3507" t="s">
        <v>163</v>
      </c>
      <c r="H3507" t="s">
        <v>41</v>
      </c>
      <c r="I3507">
        <v>6550</v>
      </c>
      <c r="J3507">
        <v>8515</v>
      </c>
      <c r="K3507">
        <v>1</v>
      </c>
      <c r="L3507">
        <v>6550</v>
      </c>
      <c r="M3507">
        <v>8515</v>
      </c>
      <c r="N3507" t="s">
        <v>42</v>
      </c>
      <c r="O3507">
        <f t="shared" si="108"/>
        <v>13650</v>
      </c>
      <c r="P3507" s="13">
        <f t="shared" si="109"/>
        <v>2091154</v>
      </c>
      <c r="Q3507" s="13">
        <f>SUMIFS(M:M,E:E,Online_eCommerce[[#This Row],[Status]])</f>
        <v>21233992</v>
      </c>
      <c r="R3507" s="13">
        <f>SUMIFS(L:L,H:H,Online_eCommerce[[#This Row],[Brand]])</f>
        <v>4260400</v>
      </c>
      <c r="S3507" s="13">
        <f>SUMIF(H:H,Online_eCommerce[[#This Row],[Brand]],M:M)</f>
        <v>5538520</v>
      </c>
      <c r="T3507" s="13">
        <f>SUMIF(N:N,Online_eCommerce[[#This Row],[Assigned Supervisor]],L:L)</f>
        <v>12261500</v>
      </c>
    </row>
    <row r="3508" spans="1:20" hidden="1" x14ac:dyDescent="0.3">
      <c r="A3508" t="s">
        <v>5306</v>
      </c>
      <c r="B3508" t="s">
        <v>235</v>
      </c>
      <c r="C3508" t="s">
        <v>22</v>
      </c>
      <c r="D3508" t="s">
        <v>5296</v>
      </c>
      <c r="E3508" t="s">
        <v>18</v>
      </c>
      <c r="F3508" t="s">
        <v>47</v>
      </c>
      <c r="G3508" t="s">
        <v>66</v>
      </c>
      <c r="H3508" t="s">
        <v>49</v>
      </c>
      <c r="I3508">
        <v>7650</v>
      </c>
      <c r="J3508">
        <v>9945</v>
      </c>
      <c r="K3508">
        <v>2</v>
      </c>
      <c r="L3508">
        <v>15300</v>
      </c>
      <c r="M3508">
        <v>19890</v>
      </c>
      <c r="N3508" t="s">
        <v>50</v>
      </c>
      <c r="O3508">
        <f t="shared" si="108"/>
        <v>1690</v>
      </c>
      <c r="P3508" s="13">
        <f t="shared" si="109"/>
        <v>2551588</v>
      </c>
      <c r="Q3508" s="13">
        <f>SUMIFS(M:M,E:E,Online_eCommerce[[#This Row],[Status]])</f>
        <v>28340455</v>
      </c>
      <c r="R3508" s="13">
        <f>SUMIFS(L:L,H:H,Online_eCommerce[[#This Row],[Brand]])</f>
        <v>4528350</v>
      </c>
      <c r="S3508" s="13">
        <f>SUMIF(H:H,Online_eCommerce[[#This Row],[Brand]],M:M)</f>
        <v>5886855</v>
      </c>
      <c r="T3508" s="13">
        <f>SUMIF(N:N,Online_eCommerce[[#This Row],[Assigned Supervisor]],L:L)</f>
        <v>12100590</v>
      </c>
    </row>
    <row r="3509" spans="1:20" hidden="1" x14ac:dyDescent="0.3">
      <c r="A3509" t="s">
        <v>5307</v>
      </c>
      <c r="B3509" t="s">
        <v>176</v>
      </c>
      <c r="C3509" t="s">
        <v>132</v>
      </c>
      <c r="D3509" t="s">
        <v>5296</v>
      </c>
      <c r="E3509" t="s">
        <v>161</v>
      </c>
      <c r="F3509" t="s">
        <v>53</v>
      </c>
      <c r="G3509" t="s">
        <v>54</v>
      </c>
      <c r="H3509" t="s">
        <v>55</v>
      </c>
      <c r="I3509">
        <v>1150</v>
      </c>
      <c r="J3509">
        <v>1495</v>
      </c>
      <c r="K3509">
        <v>1</v>
      </c>
      <c r="L3509">
        <v>1150</v>
      </c>
      <c r="M3509">
        <v>1495</v>
      </c>
      <c r="N3509" t="s">
        <v>56</v>
      </c>
      <c r="O3509">
        <f t="shared" si="108"/>
        <v>2990</v>
      </c>
      <c r="P3509" s="13">
        <f t="shared" si="109"/>
        <v>1989065</v>
      </c>
      <c r="Q3509" s="13">
        <f>SUMIFS(M:M,E:E,Online_eCommerce[[#This Row],[Status]])</f>
        <v>21103186</v>
      </c>
      <c r="R3509" s="13">
        <f>SUMIFS(L:L,H:H,Online_eCommerce[[#This Row],[Brand]])</f>
        <v>2267380</v>
      </c>
      <c r="S3509" s="13">
        <f>SUMIF(H:H,Online_eCommerce[[#This Row],[Brand]],M:M)</f>
        <v>2947594</v>
      </c>
      <c r="T3509" s="13">
        <f>SUMIF(N:N,Online_eCommerce[[#This Row],[Assigned Supervisor]],L:L)</f>
        <v>11733610</v>
      </c>
    </row>
    <row r="3510" spans="1:20" x14ac:dyDescent="0.3">
      <c r="A3510" t="s">
        <v>5308</v>
      </c>
      <c r="B3510" t="s">
        <v>276</v>
      </c>
      <c r="C3510" t="s">
        <v>136</v>
      </c>
      <c r="D3510" t="s">
        <v>5296</v>
      </c>
      <c r="E3510" t="s">
        <v>46</v>
      </c>
      <c r="F3510" t="s">
        <v>59</v>
      </c>
      <c r="G3510" t="s">
        <v>60</v>
      </c>
      <c r="H3510" t="s">
        <v>61</v>
      </c>
      <c r="I3510">
        <v>850</v>
      </c>
      <c r="J3510">
        <v>1105</v>
      </c>
      <c r="K3510">
        <v>3</v>
      </c>
      <c r="L3510">
        <v>2550</v>
      </c>
      <c r="M3510">
        <v>3315</v>
      </c>
      <c r="N3510" t="s">
        <v>22</v>
      </c>
      <c r="O3510">
        <f t="shared" si="108"/>
        <v>3315</v>
      </c>
      <c r="P3510" s="13">
        <f t="shared" si="109"/>
        <v>2775162</v>
      </c>
      <c r="Q3510" s="13">
        <f>SUMIFS(M:M,E:E,Online_eCommerce[[#This Row],[Status]])</f>
        <v>28620410</v>
      </c>
      <c r="R3510" s="13">
        <f>SUMIFS(L:L,H:H,Online_eCommerce[[#This Row],[Brand]])</f>
        <v>10950150</v>
      </c>
      <c r="S3510" s="13">
        <f>SUMIF(H:H,Online_eCommerce[[#This Row],[Brand]],M:M)</f>
        <v>14235195</v>
      </c>
      <c r="T3510" s="13">
        <f>SUMIF(N:N,Online_eCommerce[[#This Row],[Assigned Supervisor]],L:L)</f>
        <v>13693220</v>
      </c>
    </row>
    <row r="3511" spans="1:20" hidden="1" x14ac:dyDescent="0.3">
      <c r="A3511" t="s">
        <v>5309</v>
      </c>
      <c r="B3511" t="s">
        <v>280</v>
      </c>
      <c r="C3511" t="s">
        <v>140</v>
      </c>
      <c r="D3511" t="s">
        <v>5310</v>
      </c>
      <c r="E3511" t="s">
        <v>96</v>
      </c>
      <c r="F3511" t="s">
        <v>65</v>
      </c>
      <c r="G3511" t="s">
        <v>66</v>
      </c>
      <c r="H3511" t="s">
        <v>21</v>
      </c>
      <c r="I3511">
        <v>650</v>
      </c>
      <c r="J3511">
        <v>845</v>
      </c>
      <c r="K3511">
        <v>3</v>
      </c>
      <c r="L3511">
        <v>1950</v>
      </c>
      <c r="M3511">
        <v>2535</v>
      </c>
      <c r="N3511" t="s">
        <v>28</v>
      </c>
      <c r="O3511">
        <f t="shared" si="108"/>
        <v>1690</v>
      </c>
      <c r="P3511" s="13">
        <f t="shared" si="109"/>
        <v>2058264</v>
      </c>
      <c r="Q3511" s="13">
        <f>SUMIFS(M:M,E:E,Online_eCommerce[[#This Row],[Status]])</f>
        <v>21233992</v>
      </c>
      <c r="R3511" s="13">
        <f>SUMIFS(L:L,H:H,Online_eCommerce[[#This Row],[Brand]])</f>
        <v>12435650</v>
      </c>
      <c r="S3511" s="13">
        <f>SUMIF(H:H,Online_eCommerce[[#This Row],[Brand]],M:M)</f>
        <v>16166345</v>
      </c>
      <c r="T3511" s="13">
        <f>SUMIF(N:N,Online_eCommerce[[#This Row],[Assigned Supervisor]],L:L)</f>
        <v>12220830</v>
      </c>
    </row>
    <row r="3512" spans="1:20" hidden="1" x14ac:dyDescent="0.3">
      <c r="A3512" t="s">
        <v>5311</v>
      </c>
      <c r="B3512" t="s">
        <v>283</v>
      </c>
      <c r="C3512" t="s">
        <v>145</v>
      </c>
      <c r="D3512" t="s">
        <v>5310</v>
      </c>
      <c r="E3512" t="s">
        <v>18</v>
      </c>
      <c r="F3512" t="s">
        <v>70</v>
      </c>
      <c r="G3512" t="s">
        <v>71</v>
      </c>
      <c r="H3512" t="s">
        <v>61</v>
      </c>
      <c r="I3512">
        <v>7500</v>
      </c>
      <c r="J3512">
        <v>9750</v>
      </c>
      <c r="K3512">
        <v>3</v>
      </c>
      <c r="L3512">
        <v>22500</v>
      </c>
      <c r="M3512">
        <v>29250</v>
      </c>
      <c r="N3512" t="s">
        <v>35</v>
      </c>
      <c r="O3512">
        <f t="shared" si="108"/>
        <v>9750</v>
      </c>
      <c r="P3512" s="13">
        <f t="shared" si="109"/>
        <v>2757859</v>
      </c>
      <c r="Q3512" s="13">
        <f>SUMIFS(M:M,E:E,Online_eCommerce[[#This Row],[Status]])</f>
        <v>28340455</v>
      </c>
      <c r="R3512" s="13">
        <f>SUMIFS(L:L,H:H,Online_eCommerce[[#This Row],[Brand]])</f>
        <v>10950150</v>
      </c>
      <c r="S3512" s="13">
        <f>SUMIF(H:H,Online_eCommerce[[#This Row],[Brand]],M:M)</f>
        <v>14235195</v>
      </c>
      <c r="T3512" s="13">
        <f>SUMIF(N:N,Online_eCommerce[[#This Row],[Assigned Supervisor]],L:L)</f>
        <v>14373360</v>
      </c>
    </row>
    <row r="3513" spans="1:20" hidden="1" x14ac:dyDescent="0.3">
      <c r="A3513" t="s">
        <v>5312</v>
      </c>
      <c r="B3513" t="s">
        <v>287</v>
      </c>
      <c r="C3513" t="s">
        <v>150</v>
      </c>
      <c r="D3513" t="s">
        <v>5310</v>
      </c>
      <c r="E3513" t="s">
        <v>161</v>
      </c>
      <c r="F3513" t="s">
        <v>5298</v>
      </c>
      <c r="G3513" t="s">
        <v>77</v>
      </c>
      <c r="H3513" t="s">
        <v>78</v>
      </c>
      <c r="I3513">
        <v>10000</v>
      </c>
      <c r="J3513">
        <v>13000</v>
      </c>
      <c r="K3513">
        <v>1</v>
      </c>
      <c r="L3513">
        <v>10000</v>
      </c>
      <c r="M3513">
        <v>13000</v>
      </c>
      <c r="N3513" t="s">
        <v>42</v>
      </c>
      <c r="O3513">
        <f t="shared" si="108"/>
        <v>39000</v>
      </c>
      <c r="P3513" s="13">
        <f t="shared" si="109"/>
        <v>2154984</v>
      </c>
      <c r="Q3513" s="13">
        <f>SUMIFS(M:M,E:E,Online_eCommerce[[#This Row],[Status]])</f>
        <v>21103186</v>
      </c>
      <c r="R3513" s="13">
        <f>SUMIFS(L:L,H:H,Online_eCommerce[[#This Row],[Brand]])</f>
        <v>3720000</v>
      </c>
      <c r="S3513" s="13">
        <f>SUMIF(H:H,Online_eCommerce[[#This Row],[Brand]],M:M)</f>
        <v>4836000</v>
      </c>
      <c r="T3513" s="13">
        <f>SUMIF(N:N,Online_eCommerce[[#This Row],[Assigned Supervisor]],L:L)</f>
        <v>12261500</v>
      </c>
    </row>
    <row r="3514" spans="1:20" x14ac:dyDescent="0.3">
      <c r="A3514" t="s">
        <v>5313</v>
      </c>
      <c r="B3514" t="s">
        <v>290</v>
      </c>
      <c r="C3514" t="s">
        <v>155</v>
      </c>
      <c r="D3514" t="s">
        <v>5310</v>
      </c>
      <c r="E3514" t="s">
        <v>46</v>
      </c>
      <c r="F3514" t="s">
        <v>5314</v>
      </c>
      <c r="G3514" t="s">
        <v>20</v>
      </c>
      <c r="H3514" t="s">
        <v>21</v>
      </c>
      <c r="I3514">
        <v>10500</v>
      </c>
      <c r="J3514">
        <v>13650</v>
      </c>
      <c r="K3514">
        <v>4</v>
      </c>
      <c r="L3514">
        <v>42000</v>
      </c>
      <c r="M3514">
        <v>54600</v>
      </c>
      <c r="N3514" t="s">
        <v>50</v>
      </c>
      <c r="O3514">
        <f t="shared" si="108"/>
        <v>8450</v>
      </c>
      <c r="P3514" s="13">
        <f t="shared" si="109"/>
        <v>2753348</v>
      </c>
      <c r="Q3514" s="13">
        <f>SUMIFS(M:M,E:E,Online_eCommerce[[#This Row],[Status]])</f>
        <v>28620410</v>
      </c>
      <c r="R3514" s="13">
        <f>SUMIFS(L:L,H:H,Online_eCommerce[[#This Row],[Brand]])</f>
        <v>12435650</v>
      </c>
      <c r="S3514" s="13">
        <f>SUMIF(H:H,Online_eCommerce[[#This Row],[Brand]],M:M)</f>
        <v>16166345</v>
      </c>
      <c r="T3514" s="13">
        <f>SUMIF(N:N,Online_eCommerce[[#This Row],[Assigned Supervisor]],L:L)</f>
        <v>12100590</v>
      </c>
    </row>
    <row r="3515" spans="1:20" hidden="1" x14ac:dyDescent="0.3">
      <c r="A3515" t="s">
        <v>5315</v>
      </c>
      <c r="B3515" t="s">
        <v>15</v>
      </c>
      <c r="C3515" t="s">
        <v>160</v>
      </c>
      <c r="D3515" t="s">
        <v>5310</v>
      </c>
      <c r="E3515" t="s">
        <v>96</v>
      </c>
      <c r="F3515" t="s">
        <v>88</v>
      </c>
      <c r="G3515" t="s">
        <v>26</v>
      </c>
      <c r="H3515" t="s">
        <v>27</v>
      </c>
      <c r="I3515">
        <v>8500</v>
      </c>
      <c r="J3515">
        <v>11050</v>
      </c>
      <c r="K3515">
        <v>1</v>
      </c>
      <c r="L3515">
        <v>8500</v>
      </c>
      <c r="M3515">
        <v>11050</v>
      </c>
      <c r="N3515" t="s">
        <v>56</v>
      </c>
      <c r="O3515">
        <f t="shared" si="108"/>
        <v>33150</v>
      </c>
      <c r="P3515" s="13">
        <f t="shared" si="109"/>
        <v>2303483</v>
      </c>
      <c r="Q3515" s="13">
        <f>SUMIFS(M:M,E:E,Online_eCommerce[[#This Row],[Status]])</f>
        <v>21233992</v>
      </c>
      <c r="R3515" s="13">
        <f>SUMIFS(L:L,H:H,Online_eCommerce[[#This Row],[Brand]])</f>
        <v>14431000</v>
      </c>
      <c r="S3515" s="13">
        <f>SUMIF(H:H,Online_eCommerce[[#This Row],[Brand]],M:M)</f>
        <v>18760300</v>
      </c>
      <c r="T3515" s="13">
        <f>SUMIF(N:N,Online_eCommerce[[#This Row],[Assigned Supervisor]],L:L)</f>
        <v>11733610</v>
      </c>
    </row>
    <row r="3516" spans="1:20" hidden="1" x14ac:dyDescent="0.3">
      <c r="A3516" t="s">
        <v>5316</v>
      </c>
      <c r="B3516" t="s">
        <v>202</v>
      </c>
      <c r="C3516" t="s">
        <v>165</v>
      </c>
      <c r="D3516" t="s">
        <v>5310</v>
      </c>
      <c r="E3516" t="s">
        <v>18</v>
      </c>
      <c r="F3516" t="s">
        <v>32</v>
      </c>
      <c r="G3516" t="s">
        <v>33</v>
      </c>
      <c r="H3516" t="s">
        <v>34</v>
      </c>
      <c r="I3516">
        <v>7000</v>
      </c>
      <c r="J3516">
        <v>9100</v>
      </c>
      <c r="K3516">
        <v>1</v>
      </c>
      <c r="L3516">
        <v>7000</v>
      </c>
      <c r="M3516">
        <v>9100</v>
      </c>
      <c r="N3516" t="s">
        <v>22</v>
      </c>
      <c r="O3516">
        <f t="shared" si="108"/>
        <v>18200</v>
      </c>
      <c r="P3516" s="13">
        <f t="shared" si="109"/>
        <v>2674087</v>
      </c>
      <c r="Q3516" s="13">
        <f>SUMIFS(M:M,E:E,Online_eCommerce[[#This Row],[Status]])</f>
        <v>28340455</v>
      </c>
      <c r="R3516" s="13">
        <f>SUMIFS(L:L,H:H,Online_eCommerce[[#This Row],[Brand]])</f>
        <v>10087000</v>
      </c>
      <c r="S3516" s="13">
        <f>SUMIF(H:H,Online_eCommerce[[#This Row],[Brand]],M:M)</f>
        <v>13113100</v>
      </c>
      <c r="T3516" s="13">
        <f>SUMIF(N:N,Online_eCommerce[[#This Row],[Assigned Supervisor]],L:L)</f>
        <v>13693220</v>
      </c>
    </row>
    <row r="3517" spans="1:20" hidden="1" x14ac:dyDescent="0.3">
      <c r="A3517" t="s">
        <v>5317</v>
      </c>
      <c r="B3517" t="s">
        <v>30</v>
      </c>
      <c r="C3517" t="s">
        <v>168</v>
      </c>
      <c r="D3517" t="s">
        <v>5310</v>
      </c>
      <c r="E3517" t="s">
        <v>161</v>
      </c>
      <c r="F3517" t="s">
        <v>5318</v>
      </c>
      <c r="G3517" t="s">
        <v>163</v>
      </c>
      <c r="H3517" t="s">
        <v>41</v>
      </c>
      <c r="I3517">
        <v>1680</v>
      </c>
      <c r="J3517">
        <v>2184</v>
      </c>
      <c r="K3517">
        <v>3</v>
      </c>
      <c r="L3517">
        <v>5040</v>
      </c>
      <c r="M3517">
        <v>6552</v>
      </c>
      <c r="N3517" t="s">
        <v>28</v>
      </c>
      <c r="O3517">
        <f t="shared" si="108"/>
        <v>13650</v>
      </c>
      <c r="P3517" s="13">
        <f t="shared" si="109"/>
        <v>1937780</v>
      </c>
      <c r="Q3517" s="13">
        <f>SUMIFS(M:M,E:E,Online_eCommerce[[#This Row],[Status]])</f>
        <v>21103186</v>
      </c>
      <c r="R3517" s="13">
        <f>SUMIFS(L:L,H:H,Online_eCommerce[[#This Row],[Brand]])</f>
        <v>4260400</v>
      </c>
      <c r="S3517" s="13">
        <f>SUMIF(H:H,Online_eCommerce[[#This Row],[Brand]],M:M)</f>
        <v>5538520</v>
      </c>
      <c r="T3517" s="13">
        <f>SUMIF(N:N,Online_eCommerce[[#This Row],[Assigned Supervisor]],L:L)</f>
        <v>12220830</v>
      </c>
    </row>
    <row r="3518" spans="1:20" x14ac:dyDescent="0.3">
      <c r="A3518" t="s">
        <v>5319</v>
      </c>
      <c r="B3518" t="s">
        <v>37</v>
      </c>
      <c r="C3518" t="s">
        <v>172</v>
      </c>
      <c r="D3518" t="s">
        <v>5310</v>
      </c>
      <c r="E3518" t="s">
        <v>46</v>
      </c>
      <c r="F3518" t="s">
        <v>101</v>
      </c>
      <c r="G3518" t="s">
        <v>66</v>
      </c>
      <c r="H3518" t="s">
        <v>102</v>
      </c>
      <c r="I3518">
        <v>6540</v>
      </c>
      <c r="J3518">
        <v>8502</v>
      </c>
      <c r="K3518">
        <v>2</v>
      </c>
      <c r="L3518">
        <v>13080</v>
      </c>
      <c r="M3518">
        <v>17004</v>
      </c>
      <c r="N3518" t="s">
        <v>35</v>
      </c>
      <c r="O3518">
        <f t="shared" si="108"/>
        <v>1690</v>
      </c>
      <c r="P3518" s="13">
        <f t="shared" si="109"/>
        <v>2640274</v>
      </c>
      <c r="Q3518" s="13">
        <f>SUMIFS(M:M,E:E,Online_eCommerce[[#This Row],[Status]])</f>
        <v>28620410</v>
      </c>
      <c r="R3518" s="13">
        <f>SUMIFS(L:L,H:H,Online_eCommerce[[#This Row],[Brand]])</f>
        <v>2465580</v>
      </c>
      <c r="S3518" s="13">
        <f>SUMIF(H:H,Online_eCommerce[[#This Row],[Brand]],M:M)</f>
        <v>3205254</v>
      </c>
      <c r="T3518" s="13">
        <f>SUMIF(N:N,Online_eCommerce[[#This Row],[Assigned Supervisor]],L:L)</f>
        <v>14373360</v>
      </c>
    </row>
    <row r="3519" spans="1:20" hidden="1" x14ac:dyDescent="0.3">
      <c r="A3519" t="s">
        <v>5320</v>
      </c>
      <c r="B3519" t="s">
        <v>44</v>
      </c>
      <c r="C3519" t="s">
        <v>177</v>
      </c>
      <c r="D3519" t="s">
        <v>5310</v>
      </c>
      <c r="E3519" t="s">
        <v>96</v>
      </c>
      <c r="F3519" t="s">
        <v>107</v>
      </c>
      <c r="G3519" t="s">
        <v>54</v>
      </c>
      <c r="H3519" t="s">
        <v>55</v>
      </c>
      <c r="I3519">
        <v>2680</v>
      </c>
      <c r="J3519">
        <v>3484</v>
      </c>
      <c r="K3519">
        <v>2</v>
      </c>
      <c r="L3519">
        <v>5360</v>
      </c>
      <c r="M3519">
        <v>6968</v>
      </c>
      <c r="N3519" t="s">
        <v>42</v>
      </c>
      <c r="O3519">
        <f t="shared" si="108"/>
        <v>2990</v>
      </c>
      <c r="P3519" s="13">
        <f t="shared" si="109"/>
        <v>1863810</v>
      </c>
      <c r="Q3519" s="13">
        <f>SUMIFS(M:M,E:E,Online_eCommerce[[#This Row],[Status]])</f>
        <v>21233992</v>
      </c>
      <c r="R3519" s="13">
        <f>SUMIFS(L:L,H:H,Online_eCommerce[[#This Row],[Brand]])</f>
        <v>2267380</v>
      </c>
      <c r="S3519" s="13">
        <f>SUMIF(H:H,Online_eCommerce[[#This Row],[Brand]],M:M)</f>
        <v>2947594</v>
      </c>
      <c r="T3519" s="13">
        <f>SUMIF(N:N,Online_eCommerce[[#This Row],[Assigned Supervisor]],L:L)</f>
        <v>12261500</v>
      </c>
    </row>
    <row r="3520" spans="1:20" hidden="1" x14ac:dyDescent="0.3">
      <c r="A3520" t="s">
        <v>5321</v>
      </c>
      <c r="B3520" t="s">
        <v>213</v>
      </c>
      <c r="C3520" t="s">
        <v>181</v>
      </c>
      <c r="D3520" t="s">
        <v>5322</v>
      </c>
      <c r="E3520" t="s">
        <v>18</v>
      </c>
      <c r="F3520" t="s">
        <v>112</v>
      </c>
      <c r="G3520" t="s">
        <v>71</v>
      </c>
      <c r="H3520" t="s">
        <v>21</v>
      </c>
      <c r="I3520">
        <v>8250</v>
      </c>
      <c r="J3520">
        <v>10725</v>
      </c>
      <c r="K3520">
        <v>1</v>
      </c>
      <c r="L3520">
        <v>8250</v>
      </c>
      <c r="M3520">
        <v>10725</v>
      </c>
      <c r="N3520" t="s">
        <v>50</v>
      </c>
      <c r="O3520">
        <f t="shared" si="108"/>
        <v>9750</v>
      </c>
      <c r="P3520" s="13">
        <f t="shared" si="109"/>
        <v>2577458</v>
      </c>
      <c r="Q3520" s="13">
        <f>SUMIFS(M:M,E:E,Online_eCommerce[[#This Row],[Status]])</f>
        <v>28340455</v>
      </c>
      <c r="R3520" s="13">
        <f>SUMIFS(L:L,H:H,Online_eCommerce[[#This Row],[Brand]])</f>
        <v>12435650</v>
      </c>
      <c r="S3520" s="13">
        <f>SUMIF(H:H,Online_eCommerce[[#This Row],[Brand]],M:M)</f>
        <v>16166345</v>
      </c>
      <c r="T3520" s="13">
        <f>SUMIF(N:N,Online_eCommerce[[#This Row],[Assigned Supervisor]],L:L)</f>
        <v>12100590</v>
      </c>
    </row>
    <row r="3521" spans="1:20" hidden="1" x14ac:dyDescent="0.3">
      <c r="A3521" t="s">
        <v>5323</v>
      </c>
      <c r="B3521" t="s">
        <v>215</v>
      </c>
      <c r="C3521" t="s">
        <v>185</v>
      </c>
      <c r="D3521" t="s">
        <v>5322</v>
      </c>
      <c r="E3521" t="s">
        <v>161</v>
      </c>
      <c r="F3521" t="s">
        <v>4866</v>
      </c>
      <c r="G3521" t="s">
        <v>40</v>
      </c>
      <c r="H3521" t="s">
        <v>21</v>
      </c>
      <c r="I3521">
        <v>2650</v>
      </c>
      <c r="J3521">
        <v>3445</v>
      </c>
      <c r="K3521">
        <v>4</v>
      </c>
      <c r="L3521">
        <v>10600</v>
      </c>
      <c r="M3521">
        <v>13780</v>
      </c>
      <c r="N3521" t="s">
        <v>56</v>
      </c>
      <c r="O3521">
        <f t="shared" si="108"/>
        <v>25545</v>
      </c>
      <c r="P3521" s="13">
        <f t="shared" si="109"/>
        <v>2091596</v>
      </c>
      <c r="Q3521" s="13">
        <f>SUMIFS(M:M,E:E,Online_eCommerce[[#This Row],[Status]])</f>
        <v>21103186</v>
      </c>
      <c r="R3521" s="13">
        <f>SUMIFS(L:L,H:H,Online_eCommerce[[#This Row],[Brand]])</f>
        <v>12435650</v>
      </c>
      <c r="S3521" s="13">
        <f>SUMIF(H:H,Online_eCommerce[[#This Row],[Brand]],M:M)</f>
        <v>16166345</v>
      </c>
      <c r="T3521" s="13">
        <f>SUMIF(N:N,Online_eCommerce[[#This Row],[Assigned Supervisor]],L:L)</f>
        <v>11733610</v>
      </c>
    </row>
    <row r="3522" spans="1:20" x14ac:dyDescent="0.3">
      <c r="A3522" t="s">
        <v>5324</v>
      </c>
      <c r="B3522" t="s">
        <v>306</v>
      </c>
      <c r="C3522" t="s">
        <v>189</v>
      </c>
      <c r="D3522" t="s">
        <v>5322</v>
      </c>
      <c r="E3522" t="s">
        <v>46</v>
      </c>
      <c r="F3522" t="s">
        <v>121</v>
      </c>
      <c r="G3522" t="s">
        <v>71</v>
      </c>
      <c r="H3522" t="s">
        <v>122</v>
      </c>
      <c r="I3522">
        <v>12550</v>
      </c>
      <c r="J3522">
        <v>16315</v>
      </c>
      <c r="K3522">
        <v>1</v>
      </c>
      <c r="L3522">
        <v>12550</v>
      </c>
      <c r="M3522">
        <v>16315</v>
      </c>
      <c r="N3522" t="s">
        <v>22</v>
      </c>
      <c r="O3522">
        <f t="shared" ref="O3522:O3585" si="110">VLOOKUP(G3522,G:M,7,FALSE)</f>
        <v>9750</v>
      </c>
      <c r="P3522" s="13">
        <f t="shared" ref="P3522:P3585" si="111">SUMIFS(M:M,C:C,C3522)</f>
        <v>2740777</v>
      </c>
      <c r="Q3522" s="13">
        <f>SUMIFS(M:M,E:E,Online_eCommerce[[#This Row],[Status]])</f>
        <v>28620410</v>
      </c>
      <c r="R3522" s="13">
        <f>SUMIFS(L:L,H:H,Online_eCommerce[[#This Row],[Brand]])</f>
        <v>5045100</v>
      </c>
      <c r="S3522" s="13">
        <f>SUMIF(H:H,Online_eCommerce[[#This Row],[Brand]],M:M)</f>
        <v>6558630</v>
      </c>
      <c r="T3522" s="13">
        <f>SUMIF(N:N,Online_eCommerce[[#This Row],[Assigned Supervisor]],L:L)</f>
        <v>13693220</v>
      </c>
    </row>
    <row r="3523" spans="1:20" hidden="1" x14ac:dyDescent="0.3">
      <c r="A3523" t="s">
        <v>5325</v>
      </c>
      <c r="B3523" t="s">
        <v>528</v>
      </c>
      <c r="C3523" t="s">
        <v>193</v>
      </c>
      <c r="D3523" t="s">
        <v>5322</v>
      </c>
      <c r="E3523" t="s">
        <v>96</v>
      </c>
      <c r="F3523" t="s">
        <v>126</v>
      </c>
      <c r="G3523" t="s">
        <v>26</v>
      </c>
      <c r="H3523" t="s">
        <v>27</v>
      </c>
      <c r="I3523">
        <v>14500</v>
      </c>
      <c r="J3523">
        <v>18850</v>
      </c>
      <c r="K3523">
        <v>4</v>
      </c>
      <c r="L3523">
        <v>58000</v>
      </c>
      <c r="M3523">
        <v>75400</v>
      </c>
      <c r="N3523" t="s">
        <v>28</v>
      </c>
      <c r="O3523">
        <f t="shared" si="110"/>
        <v>33150</v>
      </c>
      <c r="P3523" s="13">
        <f t="shared" si="111"/>
        <v>2074774</v>
      </c>
      <c r="Q3523" s="13">
        <f>SUMIFS(M:M,E:E,Online_eCommerce[[#This Row],[Status]])</f>
        <v>21233992</v>
      </c>
      <c r="R3523" s="13">
        <f>SUMIFS(L:L,H:H,Online_eCommerce[[#This Row],[Brand]])</f>
        <v>14431000</v>
      </c>
      <c r="S3523" s="13">
        <f>SUMIF(H:H,Online_eCommerce[[#This Row],[Brand]],M:M)</f>
        <v>18760300</v>
      </c>
      <c r="T3523" s="13">
        <f>SUMIF(N:N,Online_eCommerce[[#This Row],[Assigned Supervisor]],L:L)</f>
        <v>12220830</v>
      </c>
    </row>
    <row r="3524" spans="1:20" hidden="1" x14ac:dyDescent="0.3">
      <c r="A3524" t="s">
        <v>5326</v>
      </c>
      <c r="B3524" t="s">
        <v>73</v>
      </c>
      <c r="C3524" t="s">
        <v>197</v>
      </c>
      <c r="D3524" t="s">
        <v>5322</v>
      </c>
      <c r="E3524" t="s">
        <v>18</v>
      </c>
      <c r="F3524" t="s">
        <v>129</v>
      </c>
      <c r="G3524" t="s">
        <v>60</v>
      </c>
      <c r="H3524" t="s">
        <v>61</v>
      </c>
      <c r="I3524">
        <v>800</v>
      </c>
      <c r="J3524">
        <v>1040</v>
      </c>
      <c r="K3524">
        <v>2</v>
      </c>
      <c r="L3524">
        <v>1600</v>
      </c>
      <c r="M3524">
        <v>2080</v>
      </c>
      <c r="N3524" t="s">
        <v>35</v>
      </c>
      <c r="O3524">
        <f t="shared" si="110"/>
        <v>3315</v>
      </c>
      <c r="P3524" s="13">
        <f t="shared" si="111"/>
        <v>2829840</v>
      </c>
      <c r="Q3524" s="13">
        <f>SUMIFS(M:M,E:E,Online_eCommerce[[#This Row],[Status]])</f>
        <v>28340455</v>
      </c>
      <c r="R3524" s="13">
        <f>SUMIFS(L:L,H:H,Online_eCommerce[[#This Row],[Brand]])</f>
        <v>10950150</v>
      </c>
      <c r="S3524" s="13">
        <f>SUMIF(H:H,Online_eCommerce[[#This Row],[Brand]],M:M)</f>
        <v>14235195</v>
      </c>
      <c r="T3524" s="13">
        <f>SUMIF(N:N,Online_eCommerce[[#This Row],[Assigned Supervisor]],L:L)</f>
        <v>14373360</v>
      </c>
    </row>
    <row r="3525" spans="1:20" hidden="1" x14ac:dyDescent="0.3">
      <c r="A3525" t="s">
        <v>5327</v>
      </c>
      <c r="B3525" t="s">
        <v>80</v>
      </c>
      <c r="C3525" t="s">
        <v>199</v>
      </c>
      <c r="D3525" t="s">
        <v>5322</v>
      </c>
      <c r="E3525" t="s">
        <v>161</v>
      </c>
      <c r="F3525" t="s">
        <v>133</v>
      </c>
      <c r="G3525" t="s">
        <v>66</v>
      </c>
      <c r="H3525" t="s">
        <v>21</v>
      </c>
      <c r="I3525">
        <v>600</v>
      </c>
      <c r="J3525">
        <v>780</v>
      </c>
      <c r="K3525">
        <v>4</v>
      </c>
      <c r="L3525">
        <v>2400</v>
      </c>
      <c r="M3525">
        <v>3120</v>
      </c>
      <c r="N3525" t="s">
        <v>42</v>
      </c>
      <c r="O3525">
        <f t="shared" si="110"/>
        <v>1690</v>
      </c>
      <c r="P3525" s="13">
        <f t="shared" si="111"/>
        <v>1947361</v>
      </c>
      <c r="Q3525" s="13">
        <f>SUMIFS(M:M,E:E,Online_eCommerce[[#This Row],[Status]])</f>
        <v>21103186</v>
      </c>
      <c r="R3525" s="13">
        <f>SUMIFS(L:L,H:H,Online_eCommerce[[#This Row],[Brand]])</f>
        <v>12435650</v>
      </c>
      <c r="S3525" s="13">
        <f>SUMIF(H:H,Online_eCommerce[[#This Row],[Brand]],M:M)</f>
        <v>16166345</v>
      </c>
      <c r="T3525" s="13">
        <f>SUMIF(N:N,Online_eCommerce[[#This Row],[Assigned Supervisor]],L:L)</f>
        <v>12261500</v>
      </c>
    </row>
    <row r="3526" spans="1:20" x14ac:dyDescent="0.3">
      <c r="A3526" t="s">
        <v>5328</v>
      </c>
      <c r="B3526" t="s">
        <v>85</v>
      </c>
      <c r="C3526" t="s">
        <v>203</v>
      </c>
      <c r="D3526" t="s">
        <v>5322</v>
      </c>
      <c r="E3526" t="s">
        <v>46</v>
      </c>
      <c r="F3526" t="s">
        <v>137</v>
      </c>
      <c r="G3526" t="s">
        <v>71</v>
      </c>
      <c r="H3526" t="s">
        <v>61</v>
      </c>
      <c r="I3526">
        <v>10500</v>
      </c>
      <c r="J3526">
        <v>13650</v>
      </c>
      <c r="K3526">
        <v>1</v>
      </c>
      <c r="L3526">
        <v>10500</v>
      </c>
      <c r="M3526">
        <v>13650</v>
      </c>
      <c r="N3526" t="s">
        <v>50</v>
      </c>
      <c r="O3526">
        <f t="shared" si="110"/>
        <v>9750</v>
      </c>
      <c r="P3526" s="13">
        <f t="shared" si="111"/>
        <v>2559635</v>
      </c>
      <c r="Q3526" s="13">
        <f>SUMIFS(M:M,E:E,Online_eCommerce[[#This Row],[Status]])</f>
        <v>28620410</v>
      </c>
      <c r="R3526" s="13">
        <f>SUMIFS(L:L,H:H,Online_eCommerce[[#This Row],[Brand]])</f>
        <v>10950150</v>
      </c>
      <c r="S3526" s="13">
        <f>SUMIF(H:H,Online_eCommerce[[#This Row],[Brand]],M:M)</f>
        <v>14235195</v>
      </c>
      <c r="T3526" s="13">
        <f>SUMIF(N:N,Online_eCommerce[[#This Row],[Assigned Supervisor]],L:L)</f>
        <v>12100590</v>
      </c>
    </row>
    <row r="3527" spans="1:20" hidden="1" x14ac:dyDescent="0.3">
      <c r="A3527" t="s">
        <v>5329</v>
      </c>
      <c r="B3527" t="s">
        <v>90</v>
      </c>
      <c r="C3527" t="s">
        <v>205</v>
      </c>
      <c r="D3527" t="s">
        <v>5322</v>
      </c>
      <c r="E3527" t="s">
        <v>96</v>
      </c>
      <c r="F3527" t="s">
        <v>5298</v>
      </c>
      <c r="G3527" t="s">
        <v>77</v>
      </c>
      <c r="H3527" t="s">
        <v>142</v>
      </c>
      <c r="I3527">
        <v>6500</v>
      </c>
      <c r="J3527">
        <v>8450</v>
      </c>
      <c r="K3527">
        <v>4</v>
      </c>
      <c r="L3527">
        <v>26000</v>
      </c>
      <c r="M3527">
        <v>33800</v>
      </c>
      <c r="N3527" t="s">
        <v>56</v>
      </c>
      <c r="O3527">
        <f t="shared" si="110"/>
        <v>39000</v>
      </c>
      <c r="P3527" s="13">
        <f t="shared" si="111"/>
        <v>1983254</v>
      </c>
      <c r="Q3527" s="13">
        <f>SUMIFS(M:M,E:E,Online_eCommerce[[#This Row],[Status]])</f>
        <v>21233992</v>
      </c>
      <c r="R3527" s="13">
        <f>SUMIFS(L:L,H:H,Online_eCommerce[[#This Row],[Brand]])</f>
        <v>6192500</v>
      </c>
      <c r="S3527" s="13">
        <f>SUMIF(H:H,Online_eCommerce[[#This Row],[Brand]],M:M)</f>
        <v>8050250</v>
      </c>
      <c r="T3527" s="13">
        <f>SUMIF(N:N,Online_eCommerce[[#This Row],[Assigned Supervisor]],L:L)</f>
        <v>11733610</v>
      </c>
    </row>
    <row r="3528" spans="1:20" hidden="1" x14ac:dyDescent="0.3">
      <c r="A3528" t="s">
        <v>5330</v>
      </c>
      <c r="B3528" t="s">
        <v>232</v>
      </c>
      <c r="C3528" t="s">
        <v>208</v>
      </c>
      <c r="D3528" t="s">
        <v>5322</v>
      </c>
      <c r="E3528" t="s">
        <v>18</v>
      </c>
      <c r="F3528" t="s">
        <v>5331</v>
      </c>
      <c r="G3528" t="s">
        <v>20</v>
      </c>
      <c r="H3528" t="s">
        <v>21</v>
      </c>
      <c r="I3528">
        <v>4500</v>
      </c>
      <c r="J3528">
        <v>5850</v>
      </c>
      <c r="K3528">
        <v>2</v>
      </c>
      <c r="L3528">
        <v>9000</v>
      </c>
      <c r="M3528">
        <v>11700</v>
      </c>
      <c r="N3528" t="s">
        <v>22</v>
      </c>
      <c r="O3528">
        <f t="shared" si="110"/>
        <v>8450</v>
      </c>
      <c r="P3528" s="13">
        <f t="shared" si="111"/>
        <v>2746575</v>
      </c>
      <c r="Q3528" s="13">
        <f>SUMIFS(M:M,E:E,Online_eCommerce[[#This Row],[Status]])</f>
        <v>28340455</v>
      </c>
      <c r="R3528" s="13">
        <f>SUMIFS(L:L,H:H,Online_eCommerce[[#This Row],[Brand]])</f>
        <v>12435650</v>
      </c>
      <c r="S3528" s="13">
        <f>SUMIF(H:H,Online_eCommerce[[#This Row],[Brand]],M:M)</f>
        <v>16166345</v>
      </c>
      <c r="T3528" s="13">
        <f>SUMIF(N:N,Online_eCommerce[[#This Row],[Assigned Supervisor]],L:L)</f>
        <v>13693220</v>
      </c>
    </row>
    <row r="3529" spans="1:20" hidden="1" x14ac:dyDescent="0.3">
      <c r="A3529" t="s">
        <v>5332</v>
      </c>
      <c r="B3529" t="s">
        <v>235</v>
      </c>
      <c r="C3529" t="s">
        <v>211</v>
      </c>
      <c r="D3529" t="s">
        <v>5322</v>
      </c>
      <c r="E3529" t="s">
        <v>161</v>
      </c>
      <c r="F3529" t="s">
        <v>152</v>
      </c>
      <c r="G3529" t="s">
        <v>26</v>
      </c>
      <c r="H3529" t="s">
        <v>27</v>
      </c>
      <c r="I3529">
        <v>8500</v>
      </c>
      <c r="J3529">
        <v>11050</v>
      </c>
      <c r="K3529">
        <v>2</v>
      </c>
      <c r="L3529">
        <v>17000</v>
      </c>
      <c r="M3529">
        <v>22100</v>
      </c>
      <c r="N3529" t="s">
        <v>28</v>
      </c>
      <c r="O3529">
        <f t="shared" si="110"/>
        <v>33150</v>
      </c>
      <c r="P3529" s="13">
        <f t="shared" si="111"/>
        <v>1809847</v>
      </c>
      <c r="Q3529" s="13">
        <f>SUMIFS(M:M,E:E,Online_eCommerce[[#This Row],[Status]])</f>
        <v>21103186</v>
      </c>
      <c r="R3529" s="13">
        <f>SUMIFS(L:L,H:H,Online_eCommerce[[#This Row],[Brand]])</f>
        <v>14431000</v>
      </c>
      <c r="S3529" s="13">
        <f>SUMIF(H:H,Online_eCommerce[[#This Row],[Brand]],M:M)</f>
        <v>18760300</v>
      </c>
      <c r="T3529" s="13">
        <f>SUMIF(N:N,Online_eCommerce[[#This Row],[Assigned Supervisor]],L:L)</f>
        <v>12220830</v>
      </c>
    </row>
    <row r="3530" spans="1:20" x14ac:dyDescent="0.3">
      <c r="A3530" t="s">
        <v>5333</v>
      </c>
      <c r="B3530" t="s">
        <v>104</v>
      </c>
      <c r="C3530" t="s">
        <v>16</v>
      </c>
      <c r="D3530" t="s">
        <v>5322</v>
      </c>
      <c r="E3530" t="s">
        <v>46</v>
      </c>
      <c r="F3530" t="s">
        <v>157</v>
      </c>
      <c r="G3530" t="s">
        <v>33</v>
      </c>
      <c r="H3530" t="s">
        <v>34</v>
      </c>
      <c r="I3530">
        <v>12500</v>
      </c>
      <c r="J3530">
        <v>16250</v>
      </c>
      <c r="K3530">
        <v>3</v>
      </c>
      <c r="L3530">
        <v>37500</v>
      </c>
      <c r="M3530">
        <v>48750</v>
      </c>
      <c r="N3530" t="s">
        <v>35</v>
      </c>
      <c r="O3530">
        <f t="shared" si="110"/>
        <v>18200</v>
      </c>
      <c r="P3530" s="13">
        <f t="shared" si="111"/>
        <v>2751814</v>
      </c>
      <c r="Q3530" s="13">
        <f>SUMIFS(M:M,E:E,Online_eCommerce[[#This Row],[Status]])</f>
        <v>28620410</v>
      </c>
      <c r="R3530" s="13">
        <f>SUMIFS(L:L,H:H,Online_eCommerce[[#This Row],[Brand]])</f>
        <v>10087000</v>
      </c>
      <c r="S3530" s="13">
        <f>SUMIF(H:H,Online_eCommerce[[#This Row],[Brand]],M:M)</f>
        <v>13113100</v>
      </c>
      <c r="T3530" s="13">
        <f>SUMIF(N:N,Online_eCommerce[[#This Row],[Assigned Supervisor]],L:L)</f>
        <v>14373360</v>
      </c>
    </row>
    <row r="3531" spans="1:20" hidden="1" x14ac:dyDescent="0.3">
      <c r="A3531" t="s">
        <v>5334</v>
      </c>
      <c r="B3531" t="s">
        <v>109</v>
      </c>
      <c r="C3531" t="s">
        <v>24</v>
      </c>
      <c r="D3531" t="s">
        <v>5322</v>
      </c>
      <c r="E3531" t="s">
        <v>96</v>
      </c>
      <c r="F3531" t="s">
        <v>4919</v>
      </c>
      <c r="G3531" t="s">
        <v>256</v>
      </c>
      <c r="H3531" t="s">
        <v>41</v>
      </c>
      <c r="I3531">
        <v>3500</v>
      </c>
      <c r="J3531">
        <v>4550</v>
      </c>
      <c r="K3531">
        <v>4</v>
      </c>
      <c r="L3531">
        <v>14000</v>
      </c>
      <c r="M3531">
        <v>18200</v>
      </c>
      <c r="N3531" t="s">
        <v>42</v>
      </c>
      <c r="O3531">
        <f t="shared" si="110"/>
        <v>9100</v>
      </c>
      <c r="P3531" s="13">
        <f t="shared" si="111"/>
        <v>2009540</v>
      </c>
      <c r="Q3531" s="13">
        <f>SUMIFS(M:M,E:E,Online_eCommerce[[#This Row],[Status]])</f>
        <v>21233992</v>
      </c>
      <c r="R3531" s="13">
        <f>SUMIFS(L:L,H:H,Online_eCommerce[[#This Row],[Brand]])</f>
        <v>4260400</v>
      </c>
      <c r="S3531" s="13">
        <f>SUMIF(H:H,Online_eCommerce[[#This Row],[Brand]],M:M)</f>
        <v>5538520</v>
      </c>
      <c r="T3531" s="13">
        <f>SUMIF(N:N,Online_eCommerce[[#This Row],[Assigned Supervisor]],L:L)</f>
        <v>12261500</v>
      </c>
    </row>
    <row r="3532" spans="1:20" hidden="1" x14ac:dyDescent="0.3">
      <c r="A3532" t="s">
        <v>5335</v>
      </c>
      <c r="B3532" t="s">
        <v>114</v>
      </c>
      <c r="C3532" t="s">
        <v>31</v>
      </c>
      <c r="D3532" t="s">
        <v>5322</v>
      </c>
      <c r="E3532" t="s">
        <v>18</v>
      </c>
      <c r="F3532" t="s">
        <v>166</v>
      </c>
      <c r="G3532" t="s">
        <v>259</v>
      </c>
      <c r="H3532" t="s">
        <v>49</v>
      </c>
      <c r="I3532">
        <v>4500</v>
      </c>
      <c r="J3532">
        <v>5850</v>
      </c>
      <c r="K3532">
        <v>4</v>
      </c>
      <c r="L3532">
        <v>18000</v>
      </c>
      <c r="M3532">
        <v>23400</v>
      </c>
      <c r="N3532" t="s">
        <v>50</v>
      </c>
      <c r="O3532">
        <f t="shared" si="110"/>
        <v>11700</v>
      </c>
      <c r="P3532" s="13">
        <f t="shared" si="111"/>
        <v>2865746</v>
      </c>
      <c r="Q3532" s="13">
        <f>SUMIFS(M:M,E:E,Online_eCommerce[[#This Row],[Status]])</f>
        <v>28340455</v>
      </c>
      <c r="R3532" s="13">
        <f>SUMIFS(L:L,H:H,Online_eCommerce[[#This Row],[Brand]])</f>
        <v>4528350</v>
      </c>
      <c r="S3532" s="13">
        <f>SUMIF(H:H,Online_eCommerce[[#This Row],[Brand]],M:M)</f>
        <v>5886855</v>
      </c>
      <c r="T3532" s="13">
        <f>SUMIF(N:N,Online_eCommerce[[#This Row],[Assigned Supervisor]],L:L)</f>
        <v>12100590</v>
      </c>
    </row>
    <row r="3533" spans="1:20" hidden="1" x14ac:dyDescent="0.3">
      <c r="A3533" t="s">
        <v>5336</v>
      </c>
      <c r="B3533" t="s">
        <v>119</v>
      </c>
      <c r="C3533" t="s">
        <v>38</v>
      </c>
      <c r="D3533" t="s">
        <v>5322</v>
      </c>
      <c r="E3533" t="s">
        <v>161</v>
      </c>
      <c r="F3533" t="s">
        <v>5337</v>
      </c>
      <c r="G3533" t="s">
        <v>54</v>
      </c>
      <c r="H3533" t="s">
        <v>55</v>
      </c>
      <c r="I3533">
        <v>2100</v>
      </c>
      <c r="J3533">
        <v>2730</v>
      </c>
      <c r="K3533">
        <v>2</v>
      </c>
      <c r="L3533">
        <v>4200</v>
      </c>
      <c r="M3533">
        <v>5460</v>
      </c>
      <c r="N3533" t="s">
        <v>56</v>
      </c>
      <c r="O3533">
        <f t="shared" si="110"/>
        <v>2990</v>
      </c>
      <c r="P3533" s="13">
        <f t="shared" si="111"/>
        <v>1933997</v>
      </c>
      <c r="Q3533" s="13">
        <f>SUMIFS(M:M,E:E,Online_eCommerce[[#This Row],[Status]])</f>
        <v>21103186</v>
      </c>
      <c r="R3533" s="13">
        <f>SUMIFS(L:L,H:H,Online_eCommerce[[#This Row],[Brand]])</f>
        <v>2267380</v>
      </c>
      <c r="S3533" s="13">
        <f>SUMIF(H:H,Online_eCommerce[[#This Row],[Brand]],M:M)</f>
        <v>2947594</v>
      </c>
      <c r="T3533" s="13">
        <f>SUMIF(N:N,Online_eCommerce[[#This Row],[Assigned Supervisor]],L:L)</f>
        <v>11733610</v>
      </c>
    </row>
    <row r="3534" spans="1:20" x14ac:dyDescent="0.3">
      <c r="A3534" t="s">
        <v>5338</v>
      </c>
      <c r="B3534" t="s">
        <v>124</v>
      </c>
      <c r="C3534" t="s">
        <v>45</v>
      </c>
      <c r="D3534" t="s">
        <v>5322</v>
      </c>
      <c r="E3534" t="s">
        <v>46</v>
      </c>
      <c r="F3534" t="s">
        <v>174</v>
      </c>
      <c r="G3534" t="s">
        <v>60</v>
      </c>
      <c r="H3534" t="s">
        <v>61</v>
      </c>
      <c r="I3534">
        <v>1150</v>
      </c>
      <c r="J3534">
        <v>1495</v>
      </c>
      <c r="K3534">
        <v>3</v>
      </c>
      <c r="L3534">
        <v>3450</v>
      </c>
      <c r="M3534">
        <v>4485</v>
      </c>
      <c r="N3534" t="s">
        <v>22</v>
      </c>
      <c r="O3534">
        <f t="shared" si="110"/>
        <v>3315</v>
      </c>
      <c r="P3534" s="13">
        <f t="shared" si="111"/>
        <v>2842554</v>
      </c>
      <c r="Q3534" s="13">
        <f>SUMIFS(M:M,E:E,Online_eCommerce[[#This Row],[Status]])</f>
        <v>28620410</v>
      </c>
      <c r="R3534" s="13">
        <f>SUMIFS(L:L,H:H,Online_eCommerce[[#This Row],[Brand]])</f>
        <v>10950150</v>
      </c>
      <c r="S3534" s="13">
        <f>SUMIF(H:H,Online_eCommerce[[#This Row],[Brand]],M:M)</f>
        <v>14235195</v>
      </c>
      <c r="T3534" s="13">
        <f>SUMIF(N:N,Online_eCommerce[[#This Row],[Assigned Supervisor]],L:L)</f>
        <v>13693220</v>
      </c>
    </row>
    <row r="3535" spans="1:20" hidden="1" x14ac:dyDescent="0.3">
      <c r="A3535" t="s">
        <v>5339</v>
      </c>
      <c r="B3535" t="s">
        <v>128</v>
      </c>
      <c r="C3535" t="s">
        <v>52</v>
      </c>
      <c r="D3535" t="s">
        <v>5340</v>
      </c>
      <c r="E3535" t="s">
        <v>96</v>
      </c>
      <c r="F3535" t="s">
        <v>179</v>
      </c>
      <c r="G3535" t="s">
        <v>66</v>
      </c>
      <c r="H3535" t="s">
        <v>21</v>
      </c>
      <c r="I3535">
        <v>350</v>
      </c>
      <c r="J3535">
        <v>455</v>
      </c>
      <c r="K3535">
        <v>4</v>
      </c>
      <c r="L3535">
        <v>1400</v>
      </c>
      <c r="M3535">
        <v>1820</v>
      </c>
      <c r="N3535" t="s">
        <v>28</v>
      </c>
      <c r="O3535">
        <f t="shared" si="110"/>
        <v>1690</v>
      </c>
      <c r="P3535" s="13">
        <f t="shared" si="111"/>
        <v>1955044</v>
      </c>
      <c r="Q3535" s="13">
        <f>SUMIFS(M:M,E:E,Online_eCommerce[[#This Row],[Status]])</f>
        <v>21233992</v>
      </c>
      <c r="R3535" s="13">
        <f>SUMIFS(L:L,H:H,Online_eCommerce[[#This Row],[Brand]])</f>
        <v>12435650</v>
      </c>
      <c r="S3535" s="13">
        <f>SUMIF(H:H,Online_eCommerce[[#This Row],[Brand]],M:M)</f>
        <v>16166345</v>
      </c>
      <c r="T3535" s="13">
        <f>SUMIF(N:N,Online_eCommerce[[#This Row],[Assigned Supervisor]],L:L)</f>
        <v>12220830</v>
      </c>
    </row>
    <row r="3536" spans="1:20" hidden="1" x14ac:dyDescent="0.3">
      <c r="A3536" t="s">
        <v>5341</v>
      </c>
      <c r="B3536" t="s">
        <v>131</v>
      </c>
      <c r="C3536" t="s">
        <v>58</v>
      </c>
      <c r="D3536" t="s">
        <v>5340</v>
      </c>
      <c r="E3536" t="s">
        <v>18</v>
      </c>
      <c r="F3536" t="s">
        <v>183</v>
      </c>
      <c r="G3536" t="s">
        <v>71</v>
      </c>
      <c r="H3536" t="s">
        <v>61</v>
      </c>
      <c r="I3536">
        <v>9500</v>
      </c>
      <c r="J3536">
        <v>12350</v>
      </c>
      <c r="K3536">
        <v>1</v>
      </c>
      <c r="L3536">
        <v>9500</v>
      </c>
      <c r="M3536">
        <v>12350</v>
      </c>
      <c r="N3536" t="s">
        <v>35</v>
      </c>
      <c r="O3536">
        <f t="shared" si="110"/>
        <v>9750</v>
      </c>
      <c r="P3536" s="13">
        <f t="shared" si="111"/>
        <v>2629211</v>
      </c>
      <c r="Q3536" s="13">
        <f>SUMIFS(M:M,E:E,Online_eCommerce[[#This Row],[Status]])</f>
        <v>28340455</v>
      </c>
      <c r="R3536" s="13">
        <f>SUMIFS(L:L,H:H,Online_eCommerce[[#This Row],[Brand]])</f>
        <v>10950150</v>
      </c>
      <c r="S3536" s="13">
        <f>SUMIF(H:H,Online_eCommerce[[#This Row],[Brand]],M:M)</f>
        <v>14235195</v>
      </c>
      <c r="T3536" s="13">
        <f>SUMIF(N:N,Online_eCommerce[[#This Row],[Assigned Supervisor]],L:L)</f>
        <v>14373360</v>
      </c>
    </row>
    <row r="3537" spans="1:20" hidden="1" x14ac:dyDescent="0.3">
      <c r="A3537" t="s">
        <v>5342</v>
      </c>
      <c r="B3537" t="s">
        <v>135</v>
      </c>
      <c r="C3537" t="s">
        <v>63</v>
      </c>
      <c r="D3537" t="s">
        <v>5340</v>
      </c>
      <c r="E3537" t="s">
        <v>161</v>
      </c>
      <c r="F3537" t="s">
        <v>5343</v>
      </c>
      <c r="G3537" t="s">
        <v>77</v>
      </c>
      <c r="H3537" t="s">
        <v>142</v>
      </c>
      <c r="I3537">
        <v>10000</v>
      </c>
      <c r="J3537">
        <v>13000</v>
      </c>
      <c r="K3537">
        <v>4</v>
      </c>
      <c r="L3537">
        <v>40000</v>
      </c>
      <c r="M3537">
        <v>52000</v>
      </c>
      <c r="N3537" t="s">
        <v>42</v>
      </c>
      <c r="O3537">
        <f t="shared" si="110"/>
        <v>39000</v>
      </c>
      <c r="P3537" s="13">
        <f t="shared" si="111"/>
        <v>2016131</v>
      </c>
      <c r="Q3537" s="13">
        <f>SUMIFS(M:M,E:E,Online_eCommerce[[#This Row],[Status]])</f>
        <v>21103186</v>
      </c>
      <c r="R3537" s="13">
        <f>SUMIFS(L:L,H:H,Online_eCommerce[[#This Row],[Brand]])</f>
        <v>6192500</v>
      </c>
      <c r="S3537" s="13">
        <f>SUMIF(H:H,Online_eCommerce[[#This Row],[Brand]],M:M)</f>
        <v>8050250</v>
      </c>
      <c r="T3537" s="13">
        <f>SUMIF(N:N,Online_eCommerce[[#This Row],[Assigned Supervisor]],L:L)</f>
        <v>12261500</v>
      </c>
    </row>
    <row r="3538" spans="1:20" x14ac:dyDescent="0.3">
      <c r="A3538" t="s">
        <v>5344</v>
      </c>
      <c r="B3538" t="s">
        <v>139</v>
      </c>
      <c r="C3538" t="s">
        <v>68</v>
      </c>
      <c r="D3538" t="s">
        <v>5340</v>
      </c>
      <c r="E3538" t="s">
        <v>46</v>
      </c>
      <c r="F3538" t="s">
        <v>5345</v>
      </c>
      <c r="G3538" t="s">
        <v>20</v>
      </c>
      <c r="H3538" t="s">
        <v>21</v>
      </c>
      <c r="I3538">
        <v>6500</v>
      </c>
      <c r="J3538">
        <v>8450</v>
      </c>
      <c r="K3538">
        <v>4</v>
      </c>
      <c r="L3538">
        <v>26000</v>
      </c>
      <c r="M3538">
        <v>33800</v>
      </c>
      <c r="N3538" t="s">
        <v>50</v>
      </c>
      <c r="O3538">
        <f t="shared" si="110"/>
        <v>8450</v>
      </c>
      <c r="P3538" s="13">
        <f t="shared" si="111"/>
        <v>2974621</v>
      </c>
      <c r="Q3538" s="13">
        <f>SUMIFS(M:M,E:E,Online_eCommerce[[#This Row],[Status]])</f>
        <v>28620410</v>
      </c>
      <c r="R3538" s="13">
        <f>SUMIFS(L:L,H:H,Online_eCommerce[[#This Row],[Brand]])</f>
        <v>12435650</v>
      </c>
      <c r="S3538" s="13">
        <f>SUMIF(H:H,Online_eCommerce[[#This Row],[Brand]],M:M)</f>
        <v>16166345</v>
      </c>
      <c r="T3538" s="13">
        <f>SUMIF(N:N,Online_eCommerce[[#This Row],[Assigned Supervisor]],L:L)</f>
        <v>12100590</v>
      </c>
    </row>
    <row r="3539" spans="1:20" hidden="1" x14ac:dyDescent="0.3">
      <c r="A3539" t="s">
        <v>5346</v>
      </c>
      <c r="B3539" t="s">
        <v>144</v>
      </c>
      <c r="C3539" t="s">
        <v>74</v>
      </c>
      <c r="D3539" t="s">
        <v>5340</v>
      </c>
      <c r="E3539" t="s">
        <v>96</v>
      </c>
      <c r="F3539" t="s">
        <v>5347</v>
      </c>
      <c r="G3539" t="s">
        <v>26</v>
      </c>
      <c r="H3539" t="s">
        <v>27</v>
      </c>
      <c r="I3539">
        <v>8500</v>
      </c>
      <c r="J3539">
        <v>11050</v>
      </c>
      <c r="K3539">
        <v>4</v>
      </c>
      <c r="L3539">
        <v>34000</v>
      </c>
      <c r="M3539">
        <v>44200</v>
      </c>
      <c r="N3539" t="s">
        <v>56</v>
      </c>
      <c r="O3539">
        <f t="shared" si="110"/>
        <v>33150</v>
      </c>
      <c r="P3539" s="13">
        <f t="shared" si="111"/>
        <v>2144701</v>
      </c>
      <c r="Q3539" s="13">
        <f>SUMIFS(M:M,E:E,Online_eCommerce[[#This Row],[Status]])</f>
        <v>21233992</v>
      </c>
      <c r="R3539" s="13">
        <f>SUMIFS(L:L,H:H,Online_eCommerce[[#This Row],[Brand]])</f>
        <v>14431000</v>
      </c>
      <c r="S3539" s="13">
        <f>SUMIF(H:H,Online_eCommerce[[#This Row],[Brand]],M:M)</f>
        <v>18760300</v>
      </c>
      <c r="T3539" s="13">
        <f>SUMIF(N:N,Online_eCommerce[[#This Row],[Assigned Supervisor]],L:L)</f>
        <v>11733610</v>
      </c>
    </row>
    <row r="3540" spans="1:20" hidden="1" x14ac:dyDescent="0.3">
      <c r="A3540" t="s">
        <v>5348</v>
      </c>
      <c r="B3540" t="s">
        <v>149</v>
      </c>
      <c r="C3540" t="s">
        <v>81</v>
      </c>
      <c r="D3540" t="s">
        <v>5340</v>
      </c>
      <c r="E3540" t="s">
        <v>18</v>
      </c>
      <c r="F3540" t="s">
        <v>32</v>
      </c>
      <c r="G3540" t="s">
        <v>33</v>
      </c>
      <c r="H3540" t="s">
        <v>34</v>
      </c>
      <c r="I3540">
        <v>7000</v>
      </c>
      <c r="J3540">
        <v>9100</v>
      </c>
      <c r="K3540">
        <v>4</v>
      </c>
      <c r="L3540">
        <v>28000</v>
      </c>
      <c r="M3540">
        <v>36400</v>
      </c>
      <c r="N3540" t="s">
        <v>22</v>
      </c>
      <c r="O3540">
        <f t="shared" si="110"/>
        <v>18200</v>
      </c>
      <c r="P3540" s="13">
        <f t="shared" si="111"/>
        <v>2595632</v>
      </c>
      <c r="Q3540" s="13">
        <f>SUMIFS(M:M,E:E,Online_eCommerce[[#This Row],[Status]])</f>
        <v>28340455</v>
      </c>
      <c r="R3540" s="13">
        <f>SUMIFS(L:L,H:H,Online_eCommerce[[#This Row],[Brand]])</f>
        <v>10087000</v>
      </c>
      <c r="S3540" s="13">
        <f>SUMIF(H:H,Online_eCommerce[[#This Row],[Brand]],M:M)</f>
        <v>13113100</v>
      </c>
      <c r="T3540" s="13">
        <f>SUMIF(N:N,Online_eCommerce[[#This Row],[Assigned Supervisor]],L:L)</f>
        <v>13693220</v>
      </c>
    </row>
    <row r="3541" spans="1:20" hidden="1" x14ac:dyDescent="0.3">
      <c r="A3541" t="s">
        <v>5349</v>
      </c>
      <c r="B3541" t="s">
        <v>154</v>
      </c>
      <c r="C3541" t="s">
        <v>86</v>
      </c>
      <c r="D3541" t="s">
        <v>5340</v>
      </c>
      <c r="E3541" t="s">
        <v>161</v>
      </c>
      <c r="F3541" t="s">
        <v>5350</v>
      </c>
      <c r="G3541" t="s">
        <v>256</v>
      </c>
      <c r="H3541" t="s">
        <v>41</v>
      </c>
      <c r="I3541">
        <v>6550</v>
      </c>
      <c r="J3541">
        <v>8515</v>
      </c>
      <c r="K3541">
        <v>4</v>
      </c>
      <c r="L3541">
        <v>26200</v>
      </c>
      <c r="M3541">
        <v>34060</v>
      </c>
      <c r="N3541" t="s">
        <v>28</v>
      </c>
      <c r="O3541">
        <f t="shared" si="110"/>
        <v>9100</v>
      </c>
      <c r="P3541" s="13">
        <f t="shared" si="111"/>
        <v>1941225</v>
      </c>
      <c r="Q3541" s="13">
        <f>SUMIFS(M:M,E:E,Online_eCommerce[[#This Row],[Status]])</f>
        <v>21103186</v>
      </c>
      <c r="R3541" s="13">
        <f>SUMIFS(L:L,H:H,Online_eCommerce[[#This Row],[Brand]])</f>
        <v>4260400</v>
      </c>
      <c r="S3541" s="13">
        <f>SUMIF(H:H,Online_eCommerce[[#This Row],[Brand]],M:M)</f>
        <v>5538520</v>
      </c>
      <c r="T3541" s="13">
        <f>SUMIF(N:N,Online_eCommerce[[#This Row],[Assigned Supervisor]],L:L)</f>
        <v>12220830</v>
      </c>
    </row>
    <row r="3542" spans="1:20" x14ac:dyDescent="0.3">
      <c r="A3542" t="s">
        <v>5351</v>
      </c>
      <c r="B3542" t="s">
        <v>159</v>
      </c>
      <c r="C3542" t="s">
        <v>91</v>
      </c>
      <c r="D3542" t="s">
        <v>5340</v>
      </c>
      <c r="E3542" t="s">
        <v>46</v>
      </c>
      <c r="F3542" t="s">
        <v>47</v>
      </c>
      <c r="G3542" t="s">
        <v>259</v>
      </c>
      <c r="H3542" t="s">
        <v>49</v>
      </c>
      <c r="I3542">
        <v>7650</v>
      </c>
      <c r="J3542">
        <v>9945</v>
      </c>
      <c r="K3542">
        <v>2</v>
      </c>
      <c r="L3542">
        <v>15300</v>
      </c>
      <c r="M3542">
        <v>19890</v>
      </c>
      <c r="N3542" t="s">
        <v>35</v>
      </c>
      <c r="O3542">
        <f t="shared" si="110"/>
        <v>11700</v>
      </c>
      <c r="P3542" s="13">
        <f t="shared" si="111"/>
        <v>2731963</v>
      </c>
      <c r="Q3542" s="13">
        <f>SUMIFS(M:M,E:E,Online_eCommerce[[#This Row],[Status]])</f>
        <v>28620410</v>
      </c>
      <c r="R3542" s="13">
        <f>SUMIFS(L:L,H:H,Online_eCommerce[[#This Row],[Brand]])</f>
        <v>4528350</v>
      </c>
      <c r="S3542" s="13">
        <f>SUMIF(H:H,Online_eCommerce[[#This Row],[Brand]],M:M)</f>
        <v>5886855</v>
      </c>
      <c r="T3542" s="13">
        <f>SUMIF(N:N,Online_eCommerce[[#This Row],[Assigned Supervisor]],L:L)</f>
        <v>14373360</v>
      </c>
    </row>
    <row r="3543" spans="1:20" hidden="1" x14ac:dyDescent="0.3">
      <c r="A3543" t="s">
        <v>5352</v>
      </c>
      <c r="B3543" t="s">
        <v>139</v>
      </c>
      <c r="C3543" t="s">
        <v>94</v>
      </c>
      <c r="D3543" t="s">
        <v>5340</v>
      </c>
      <c r="E3543" t="s">
        <v>96</v>
      </c>
      <c r="F3543" t="s">
        <v>53</v>
      </c>
      <c r="G3543" t="s">
        <v>54</v>
      </c>
      <c r="H3543" t="s">
        <v>55</v>
      </c>
      <c r="I3543">
        <v>1150</v>
      </c>
      <c r="J3543">
        <v>1495</v>
      </c>
      <c r="K3543">
        <v>1</v>
      </c>
      <c r="L3543">
        <v>1150</v>
      </c>
      <c r="M3543">
        <v>1495</v>
      </c>
      <c r="N3543" t="s">
        <v>42</v>
      </c>
      <c r="O3543">
        <f t="shared" si="110"/>
        <v>2990</v>
      </c>
      <c r="P3543" s="13">
        <f t="shared" si="111"/>
        <v>1868256</v>
      </c>
      <c r="Q3543" s="13">
        <f>SUMIFS(M:M,E:E,Online_eCommerce[[#This Row],[Status]])</f>
        <v>21233992</v>
      </c>
      <c r="R3543" s="13">
        <f>SUMIFS(L:L,H:H,Online_eCommerce[[#This Row],[Brand]])</f>
        <v>2267380</v>
      </c>
      <c r="S3543" s="13">
        <f>SUMIF(H:H,Online_eCommerce[[#This Row],[Brand]],M:M)</f>
        <v>2947594</v>
      </c>
      <c r="T3543" s="13">
        <f>SUMIF(N:N,Online_eCommerce[[#This Row],[Assigned Supervisor]],L:L)</f>
        <v>12261500</v>
      </c>
    </row>
    <row r="3544" spans="1:20" hidden="1" x14ac:dyDescent="0.3">
      <c r="A3544" t="s">
        <v>5353</v>
      </c>
      <c r="B3544" t="s">
        <v>144</v>
      </c>
      <c r="C3544" t="s">
        <v>99</v>
      </c>
      <c r="D3544" t="s">
        <v>5340</v>
      </c>
      <c r="E3544" t="s">
        <v>18</v>
      </c>
      <c r="F3544" t="s">
        <v>59</v>
      </c>
      <c r="G3544" t="s">
        <v>60</v>
      </c>
      <c r="H3544" t="s">
        <v>61</v>
      </c>
      <c r="I3544">
        <v>850</v>
      </c>
      <c r="J3544">
        <v>1105</v>
      </c>
      <c r="K3544">
        <v>3</v>
      </c>
      <c r="L3544">
        <v>2550</v>
      </c>
      <c r="M3544">
        <v>3315</v>
      </c>
      <c r="N3544" t="s">
        <v>50</v>
      </c>
      <c r="O3544">
        <f t="shared" si="110"/>
        <v>3315</v>
      </c>
      <c r="P3544" s="13">
        <f t="shared" si="111"/>
        <v>2651233</v>
      </c>
      <c r="Q3544" s="13">
        <f>SUMIFS(M:M,E:E,Online_eCommerce[[#This Row],[Status]])</f>
        <v>28340455</v>
      </c>
      <c r="R3544" s="13">
        <f>SUMIFS(L:L,H:H,Online_eCommerce[[#This Row],[Brand]])</f>
        <v>10950150</v>
      </c>
      <c r="S3544" s="13">
        <f>SUMIF(H:H,Online_eCommerce[[#This Row],[Brand]],M:M)</f>
        <v>14235195</v>
      </c>
      <c r="T3544" s="13">
        <f>SUMIF(N:N,Online_eCommerce[[#This Row],[Assigned Supervisor]],L:L)</f>
        <v>12100590</v>
      </c>
    </row>
    <row r="3545" spans="1:20" hidden="1" x14ac:dyDescent="0.3">
      <c r="A3545" t="s">
        <v>5354</v>
      </c>
      <c r="B3545" t="s">
        <v>235</v>
      </c>
      <c r="C3545" t="s">
        <v>105</v>
      </c>
      <c r="D3545" t="s">
        <v>5340</v>
      </c>
      <c r="E3545" t="s">
        <v>161</v>
      </c>
      <c r="F3545" t="s">
        <v>65</v>
      </c>
      <c r="G3545" t="s">
        <v>66</v>
      </c>
      <c r="H3545" t="s">
        <v>21</v>
      </c>
      <c r="I3545">
        <v>650</v>
      </c>
      <c r="J3545">
        <v>845</v>
      </c>
      <c r="K3545">
        <v>4</v>
      </c>
      <c r="L3545">
        <v>2600</v>
      </c>
      <c r="M3545">
        <v>3380</v>
      </c>
      <c r="N3545" t="s">
        <v>56</v>
      </c>
      <c r="O3545">
        <f t="shared" si="110"/>
        <v>1690</v>
      </c>
      <c r="P3545" s="13">
        <f t="shared" si="111"/>
        <v>1866852</v>
      </c>
      <c r="Q3545" s="13">
        <f>SUMIFS(M:M,E:E,Online_eCommerce[[#This Row],[Status]])</f>
        <v>21103186</v>
      </c>
      <c r="R3545" s="13">
        <f>SUMIFS(L:L,H:H,Online_eCommerce[[#This Row],[Brand]])</f>
        <v>12435650</v>
      </c>
      <c r="S3545" s="13">
        <f>SUMIF(H:H,Online_eCommerce[[#This Row],[Brand]],M:M)</f>
        <v>16166345</v>
      </c>
      <c r="T3545" s="13">
        <f>SUMIF(N:N,Online_eCommerce[[#This Row],[Assigned Supervisor]],L:L)</f>
        <v>11733610</v>
      </c>
    </row>
    <row r="3546" spans="1:20" x14ac:dyDescent="0.3">
      <c r="A3546" t="s">
        <v>5355</v>
      </c>
      <c r="B3546" t="s">
        <v>176</v>
      </c>
      <c r="C3546" t="s">
        <v>110</v>
      </c>
      <c r="D3546" t="s">
        <v>5340</v>
      </c>
      <c r="E3546" t="s">
        <v>46</v>
      </c>
      <c r="F3546" t="s">
        <v>70</v>
      </c>
      <c r="G3546" t="s">
        <v>71</v>
      </c>
      <c r="H3546" t="s">
        <v>61</v>
      </c>
      <c r="I3546">
        <v>7500</v>
      </c>
      <c r="J3546">
        <v>9750</v>
      </c>
      <c r="K3546">
        <v>3</v>
      </c>
      <c r="L3546">
        <v>22500</v>
      </c>
      <c r="M3546">
        <v>29250</v>
      </c>
      <c r="N3546" t="s">
        <v>22</v>
      </c>
      <c r="O3546">
        <f t="shared" si="110"/>
        <v>9750</v>
      </c>
      <c r="P3546" s="13">
        <f t="shared" si="111"/>
        <v>2598635</v>
      </c>
      <c r="Q3546" s="13">
        <f>SUMIFS(M:M,E:E,Online_eCommerce[[#This Row],[Status]])</f>
        <v>28620410</v>
      </c>
      <c r="R3546" s="13">
        <f>SUMIFS(L:L,H:H,Online_eCommerce[[#This Row],[Brand]])</f>
        <v>10950150</v>
      </c>
      <c r="S3546" s="13">
        <f>SUMIF(H:H,Online_eCommerce[[#This Row],[Brand]],M:M)</f>
        <v>14235195</v>
      </c>
      <c r="T3546" s="13">
        <f>SUMIF(N:N,Online_eCommerce[[#This Row],[Assigned Supervisor]],L:L)</f>
        <v>13693220</v>
      </c>
    </row>
    <row r="3547" spans="1:20" hidden="1" x14ac:dyDescent="0.3">
      <c r="A3547" t="s">
        <v>5356</v>
      </c>
      <c r="B3547" t="s">
        <v>276</v>
      </c>
      <c r="C3547" t="s">
        <v>115</v>
      </c>
      <c r="D3547" t="s">
        <v>5340</v>
      </c>
      <c r="E3547" t="s">
        <v>96</v>
      </c>
      <c r="F3547" t="s">
        <v>5343</v>
      </c>
      <c r="G3547" t="s">
        <v>77</v>
      </c>
      <c r="H3547" t="s">
        <v>78</v>
      </c>
      <c r="I3547">
        <v>10000</v>
      </c>
      <c r="J3547">
        <v>13000</v>
      </c>
      <c r="K3547">
        <v>4</v>
      </c>
      <c r="L3547">
        <v>40000</v>
      </c>
      <c r="M3547">
        <v>52000</v>
      </c>
      <c r="N3547" t="s">
        <v>28</v>
      </c>
      <c r="O3547">
        <f t="shared" si="110"/>
        <v>39000</v>
      </c>
      <c r="P3547" s="13">
        <f t="shared" si="111"/>
        <v>2050178</v>
      </c>
      <c r="Q3547" s="13">
        <f>SUMIFS(M:M,E:E,Online_eCommerce[[#This Row],[Status]])</f>
        <v>21233992</v>
      </c>
      <c r="R3547" s="13">
        <f>SUMIFS(L:L,H:H,Online_eCommerce[[#This Row],[Brand]])</f>
        <v>3720000</v>
      </c>
      <c r="S3547" s="13">
        <f>SUMIF(H:H,Online_eCommerce[[#This Row],[Brand]],M:M)</f>
        <v>4836000</v>
      </c>
      <c r="T3547" s="13">
        <f>SUMIF(N:N,Online_eCommerce[[#This Row],[Assigned Supervisor]],L:L)</f>
        <v>12220830</v>
      </c>
    </row>
    <row r="3548" spans="1:20" hidden="1" x14ac:dyDescent="0.3">
      <c r="A3548" t="s">
        <v>5357</v>
      </c>
      <c r="B3548" t="s">
        <v>280</v>
      </c>
      <c r="C3548" t="s">
        <v>120</v>
      </c>
      <c r="D3548" t="s">
        <v>5340</v>
      </c>
      <c r="E3548" t="s">
        <v>18</v>
      </c>
      <c r="F3548" t="s">
        <v>5358</v>
      </c>
      <c r="G3548" t="s">
        <v>20</v>
      </c>
      <c r="H3548" t="s">
        <v>21</v>
      </c>
      <c r="I3548">
        <v>10500</v>
      </c>
      <c r="J3548">
        <v>13650</v>
      </c>
      <c r="K3548">
        <v>3</v>
      </c>
      <c r="L3548">
        <v>31500</v>
      </c>
      <c r="M3548">
        <v>40950</v>
      </c>
      <c r="N3548" t="s">
        <v>35</v>
      </c>
      <c r="O3548">
        <f t="shared" si="110"/>
        <v>8450</v>
      </c>
      <c r="P3548" s="13">
        <f t="shared" si="111"/>
        <v>2734212</v>
      </c>
      <c r="Q3548" s="13">
        <f>SUMIFS(M:M,E:E,Online_eCommerce[[#This Row],[Status]])</f>
        <v>28340455</v>
      </c>
      <c r="R3548" s="13">
        <f>SUMIFS(L:L,H:H,Online_eCommerce[[#This Row],[Brand]])</f>
        <v>12435650</v>
      </c>
      <c r="S3548" s="13">
        <f>SUMIF(H:H,Online_eCommerce[[#This Row],[Brand]],M:M)</f>
        <v>16166345</v>
      </c>
      <c r="T3548" s="13">
        <f>SUMIF(N:N,Online_eCommerce[[#This Row],[Assigned Supervisor]],L:L)</f>
        <v>14373360</v>
      </c>
    </row>
    <row r="3549" spans="1:20" hidden="1" x14ac:dyDescent="0.3">
      <c r="A3549" t="s">
        <v>5359</v>
      </c>
      <c r="B3549" t="s">
        <v>283</v>
      </c>
      <c r="C3549" t="s">
        <v>125</v>
      </c>
      <c r="D3549" t="s">
        <v>5340</v>
      </c>
      <c r="E3549" t="s">
        <v>161</v>
      </c>
      <c r="F3549" t="s">
        <v>88</v>
      </c>
      <c r="G3549" t="s">
        <v>26</v>
      </c>
      <c r="H3549" t="s">
        <v>27</v>
      </c>
      <c r="I3549">
        <v>8500</v>
      </c>
      <c r="J3549">
        <v>11050</v>
      </c>
      <c r="K3549">
        <v>3</v>
      </c>
      <c r="L3549">
        <v>25500</v>
      </c>
      <c r="M3549">
        <v>33150</v>
      </c>
      <c r="N3549" t="s">
        <v>42</v>
      </c>
      <c r="O3549">
        <f t="shared" si="110"/>
        <v>33150</v>
      </c>
      <c r="P3549" s="13">
        <f t="shared" si="111"/>
        <v>2091154</v>
      </c>
      <c r="Q3549" s="13">
        <f>SUMIFS(M:M,E:E,Online_eCommerce[[#This Row],[Status]])</f>
        <v>21103186</v>
      </c>
      <c r="R3549" s="13">
        <f>SUMIFS(L:L,H:H,Online_eCommerce[[#This Row],[Brand]])</f>
        <v>14431000</v>
      </c>
      <c r="S3549" s="13">
        <f>SUMIF(H:H,Online_eCommerce[[#This Row],[Brand]],M:M)</f>
        <v>18760300</v>
      </c>
      <c r="T3549" s="13">
        <f>SUMIF(N:N,Online_eCommerce[[#This Row],[Assigned Supervisor]],L:L)</f>
        <v>12261500</v>
      </c>
    </row>
    <row r="3550" spans="1:20" x14ac:dyDescent="0.3">
      <c r="A3550" t="s">
        <v>5360</v>
      </c>
      <c r="B3550" t="s">
        <v>287</v>
      </c>
      <c r="C3550" t="s">
        <v>22</v>
      </c>
      <c r="D3550" t="s">
        <v>5340</v>
      </c>
      <c r="E3550" t="s">
        <v>46</v>
      </c>
      <c r="F3550" t="s">
        <v>32</v>
      </c>
      <c r="G3550" t="s">
        <v>33</v>
      </c>
      <c r="H3550" t="s">
        <v>34</v>
      </c>
      <c r="I3550">
        <v>7000</v>
      </c>
      <c r="J3550">
        <v>9100</v>
      </c>
      <c r="K3550">
        <v>3</v>
      </c>
      <c r="L3550">
        <v>21000</v>
      </c>
      <c r="M3550">
        <v>27300</v>
      </c>
      <c r="N3550" t="s">
        <v>50</v>
      </c>
      <c r="O3550">
        <f t="shared" si="110"/>
        <v>18200</v>
      </c>
      <c r="P3550" s="13">
        <f t="shared" si="111"/>
        <v>2551588</v>
      </c>
      <c r="Q3550" s="13">
        <f>SUMIFS(M:M,E:E,Online_eCommerce[[#This Row],[Status]])</f>
        <v>28620410</v>
      </c>
      <c r="R3550" s="13">
        <f>SUMIFS(L:L,H:H,Online_eCommerce[[#This Row],[Brand]])</f>
        <v>10087000</v>
      </c>
      <c r="S3550" s="13">
        <f>SUMIF(H:H,Online_eCommerce[[#This Row],[Brand]],M:M)</f>
        <v>13113100</v>
      </c>
      <c r="T3550" s="13">
        <f>SUMIF(N:N,Online_eCommerce[[#This Row],[Assigned Supervisor]],L:L)</f>
        <v>12100590</v>
      </c>
    </row>
    <row r="3551" spans="1:20" hidden="1" x14ac:dyDescent="0.3">
      <c r="A3551" t="s">
        <v>5361</v>
      </c>
      <c r="B3551" t="s">
        <v>290</v>
      </c>
      <c r="C3551" t="s">
        <v>132</v>
      </c>
      <c r="D3551" t="s">
        <v>5340</v>
      </c>
      <c r="E3551" t="s">
        <v>96</v>
      </c>
      <c r="F3551" t="s">
        <v>5362</v>
      </c>
      <c r="G3551" t="s">
        <v>256</v>
      </c>
      <c r="H3551" t="s">
        <v>41</v>
      </c>
      <c r="I3551">
        <v>1680</v>
      </c>
      <c r="J3551">
        <v>2184</v>
      </c>
      <c r="K3551">
        <v>1</v>
      </c>
      <c r="L3551">
        <v>1680</v>
      </c>
      <c r="M3551">
        <v>2184</v>
      </c>
      <c r="N3551" t="s">
        <v>56</v>
      </c>
      <c r="O3551">
        <f t="shared" si="110"/>
        <v>9100</v>
      </c>
      <c r="P3551" s="13">
        <f t="shared" si="111"/>
        <v>1989065</v>
      </c>
      <c r="Q3551" s="13">
        <f>SUMIFS(M:M,E:E,Online_eCommerce[[#This Row],[Status]])</f>
        <v>21233992</v>
      </c>
      <c r="R3551" s="13">
        <f>SUMIFS(L:L,H:H,Online_eCommerce[[#This Row],[Brand]])</f>
        <v>4260400</v>
      </c>
      <c r="S3551" s="13">
        <f>SUMIF(H:H,Online_eCommerce[[#This Row],[Brand]],M:M)</f>
        <v>5538520</v>
      </c>
      <c r="T3551" s="13">
        <f>SUMIF(N:N,Online_eCommerce[[#This Row],[Assigned Supervisor]],L:L)</f>
        <v>11733610</v>
      </c>
    </row>
    <row r="3552" spans="1:20" hidden="1" x14ac:dyDescent="0.3">
      <c r="A3552" t="s">
        <v>5363</v>
      </c>
      <c r="B3552" t="s">
        <v>15</v>
      </c>
      <c r="C3552" t="s">
        <v>136</v>
      </c>
      <c r="D3552" t="s">
        <v>5340</v>
      </c>
      <c r="E3552" t="s">
        <v>18</v>
      </c>
      <c r="F3552" t="s">
        <v>101</v>
      </c>
      <c r="G3552" t="s">
        <v>259</v>
      </c>
      <c r="H3552" t="s">
        <v>102</v>
      </c>
      <c r="I3552">
        <v>6540</v>
      </c>
      <c r="J3552">
        <v>8502</v>
      </c>
      <c r="K3552">
        <v>4</v>
      </c>
      <c r="L3552">
        <v>26160</v>
      </c>
      <c r="M3552">
        <v>34008</v>
      </c>
      <c r="N3552" t="s">
        <v>22</v>
      </c>
      <c r="O3552">
        <f t="shared" si="110"/>
        <v>11700</v>
      </c>
      <c r="P3552" s="13">
        <f t="shared" si="111"/>
        <v>2775162</v>
      </c>
      <c r="Q3552" s="13">
        <f>SUMIFS(M:M,E:E,Online_eCommerce[[#This Row],[Status]])</f>
        <v>28340455</v>
      </c>
      <c r="R3552" s="13">
        <f>SUMIFS(L:L,H:H,Online_eCommerce[[#This Row],[Brand]])</f>
        <v>2465580</v>
      </c>
      <c r="S3552" s="13">
        <f>SUMIF(H:H,Online_eCommerce[[#This Row],[Brand]],M:M)</f>
        <v>3205254</v>
      </c>
      <c r="T3552" s="13">
        <f>SUMIF(N:N,Online_eCommerce[[#This Row],[Assigned Supervisor]],L:L)</f>
        <v>13693220</v>
      </c>
    </row>
    <row r="3553" spans="1:20" hidden="1" x14ac:dyDescent="0.3">
      <c r="A3553" t="s">
        <v>5364</v>
      </c>
      <c r="B3553" t="s">
        <v>202</v>
      </c>
      <c r="C3553" t="s">
        <v>140</v>
      </c>
      <c r="D3553" t="s">
        <v>5340</v>
      </c>
      <c r="E3553" t="s">
        <v>161</v>
      </c>
      <c r="F3553" t="s">
        <v>107</v>
      </c>
      <c r="G3553" t="s">
        <v>54</v>
      </c>
      <c r="H3553" t="s">
        <v>55</v>
      </c>
      <c r="I3553">
        <v>2680</v>
      </c>
      <c r="J3553">
        <v>3484</v>
      </c>
      <c r="K3553">
        <v>2</v>
      </c>
      <c r="L3553">
        <v>5360</v>
      </c>
      <c r="M3553">
        <v>6968</v>
      </c>
      <c r="N3553" t="s">
        <v>28</v>
      </c>
      <c r="O3553">
        <f t="shared" si="110"/>
        <v>2990</v>
      </c>
      <c r="P3553" s="13">
        <f t="shared" si="111"/>
        <v>2058264</v>
      </c>
      <c r="Q3553" s="13">
        <f>SUMIFS(M:M,E:E,Online_eCommerce[[#This Row],[Status]])</f>
        <v>21103186</v>
      </c>
      <c r="R3553" s="13">
        <f>SUMIFS(L:L,H:H,Online_eCommerce[[#This Row],[Brand]])</f>
        <v>2267380</v>
      </c>
      <c r="S3553" s="13">
        <f>SUMIF(H:H,Online_eCommerce[[#This Row],[Brand]],M:M)</f>
        <v>2947594</v>
      </c>
      <c r="T3553" s="13">
        <f>SUMIF(N:N,Online_eCommerce[[#This Row],[Assigned Supervisor]],L:L)</f>
        <v>12220830</v>
      </c>
    </row>
    <row r="3554" spans="1:20" x14ac:dyDescent="0.3">
      <c r="A3554" t="s">
        <v>5365</v>
      </c>
      <c r="B3554" t="s">
        <v>30</v>
      </c>
      <c r="C3554" t="s">
        <v>145</v>
      </c>
      <c r="D3554" t="s">
        <v>5340</v>
      </c>
      <c r="E3554" t="s">
        <v>46</v>
      </c>
      <c r="F3554" t="s">
        <v>112</v>
      </c>
      <c r="G3554" t="s">
        <v>71</v>
      </c>
      <c r="H3554" t="s">
        <v>21</v>
      </c>
      <c r="I3554">
        <v>8250</v>
      </c>
      <c r="J3554">
        <v>10725</v>
      </c>
      <c r="K3554">
        <v>3</v>
      </c>
      <c r="L3554">
        <v>24750</v>
      </c>
      <c r="M3554">
        <v>32175</v>
      </c>
      <c r="N3554" t="s">
        <v>35</v>
      </c>
      <c r="O3554">
        <f t="shared" si="110"/>
        <v>9750</v>
      </c>
      <c r="P3554" s="13">
        <f t="shared" si="111"/>
        <v>2757859</v>
      </c>
      <c r="Q3554" s="13">
        <f>SUMIFS(M:M,E:E,Online_eCommerce[[#This Row],[Status]])</f>
        <v>28620410</v>
      </c>
      <c r="R3554" s="13">
        <f>SUMIFS(L:L,H:H,Online_eCommerce[[#This Row],[Brand]])</f>
        <v>12435650</v>
      </c>
      <c r="S3554" s="13">
        <f>SUMIF(H:H,Online_eCommerce[[#This Row],[Brand]],M:M)</f>
        <v>16166345</v>
      </c>
      <c r="T3554" s="13">
        <f>SUMIF(N:N,Online_eCommerce[[#This Row],[Assigned Supervisor]],L:L)</f>
        <v>14373360</v>
      </c>
    </row>
    <row r="3555" spans="1:20" hidden="1" x14ac:dyDescent="0.3">
      <c r="A3555" t="s">
        <v>5366</v>
      </c>
      <c r="B3555" t="s">
        <v>37</v>
      </c>
      <c r="C3555" t="s">
        <v>150</v>
      </c>
      <c r="D3555" t="s">
        <v>5340</v>
      </c>
      <c r="E3555" t="s">
        <v>96</v>
      </c>
      <c r="F3555" t="s">
        <v>4919</v>
      </c>
      <c r="G3555" t="s">
        <v>40</v>
      </c>
      <c r="H3555" t="s">
        <v>21</v>
      </c>
      <c r="I3555">
        <v>2650</v>
      </c>
      <c r="J3555">
        <v>3445</v>
      </c>
      <c r="K3555">
        <v>4</v>
      </c>
      <c r="L3555">
        <v>10600</v>
      </c>
      <c r="M3555">
        <v>13780</v>
      </c>
      <c r="N3555" t="s">
        <v>42</v>
      </c>
      <c r="O3555">
        <f t="shared" si="110"/>
        <v>25545</v>
      </c>
      <c r="P3555" s="13">
        <f t="shared" si="111"/>
        <v>2154984</v>
      </c>
      <c r="Q3555" s="13">
        <f>SUMIFS(M:M,E:E,Online_eCommerce[[#This Row],[Status]])</f>
        <v>21233992</v>
      </c>
      <c r="R3555" s="13">
        <f>SUMIFS(L:L,H:H,Online_eCommerce[[#This Row],[Brand]])</f>
        <v>12435650</v>
      </c>
      <c r="S3555" s="13">
        <f>SUMIF(H:H,Online_eCommerce[[#This Row],[Brand]],M:M)</f>
        <v>16166345</v>
      </c>
      <c r="T3555" s="13">
        <f>SUMIF(N:N,Online_eCommerce[[#This Row],[Assigned Supervisor]],L:L)</f>
        <v>12261500</v>
      </c>
    </row>
    <row r="3556" spans="1:20" hidden="1" x14ac:dyDescent="0.3">
      <c r="A3556" t="s">
        <v>5367</v>
      </c>
      <c r="B3556" t="s">
        <v>44</v>
      </c>
      <c r="C3556" t="s">
        <v>155</v>
      </c>
      <c r="D3556" t="s">
        <v>5340</v>
      </c>
      <c r="E3556" t="s">
        <v>18</v>
      </c>
      <c r="F3556" t="s">
        <v>121</v>
      </c>
      <c r="G3556" t="s">
        <v>71</v>
      </c>
      <c r="H3556" t="s">
        <v>122</v>
      </c>
      <c r="I3556">
        <v>12550</v>
      </c>
      <c r="J3556">
        <v>16315</v>
      </c>
      <c r="K3556">
        <v>3</v>
      </c>
      <c r="L3556">
        <v>37650</v>
      </c>
      <c r="M3556">
        <v>48945</v>
      </c>
      <c r="N3556" t="s">
        <v>50</v>
      </c>
      <c r="O3556">
        <f t="shared" si="110"/>
        <v>9750</v>
      </c>
      <c r="P3556" s="13">
        <f t="shared" si="111"/>
        <v>2753348</v>
      </c>
      <c r="Q3556" s="13">
        <f>SUMIFS(M:M,E:E,Online_eCommerce[[#This Row],[Status]])</f>
        <v>28340455</v>
      </c>
      <c r="R3556" s="13">
        <f>SUMIFS(L:L,H:H,Online_eCommerce[[#This Row],[Brand]])</f>
        <v>5045100</v>
      </c>
      <c r="S3556" s="13">
        <f>SUMIF(H:H,Online_eCommerce[[#This Row],[Brand]],M:M)</f>
        <v>6558630</v>
      </c>
      <c r="T3556" s="13">
        <f>SUMIF(N:N,Online_eCommerce[[#This Row],[Assigned Supervisor]],L:L)</f>
        <v>12100590</v>
      </c>
    </row>
    <row r="3557" spans="1:20" hidden="1" x14ac:dyDescent="0.3">
      <c r="A3557" t="s">
        <v>5368</v>
      </c>
      <c r="B3557" t="s">
        <v>213</v>
      </c>
      <c r="C3557" t="s">
        <v>160</v>
      </c>
      <c r="D3557" t="s">
        <v>5340</v>
      </c>
      <c r="E3557" t="s">
        <v>161</v>
      </c>
      <c r="F3557" t="s">
        <v>126</v>
      </c>
      <c r="G3557" t="s">
        <v>26</v>
      </c>
      <c r="H3557" t="s">
        <v>27</v>
      </c>
      <c r="I3557">
        <v>14500</v>
      </c>
      <c r="J3557">
        <v>18850</v>
      </c>
      <c r="K3557">
        <v>3</v>
      </c>
      <c r="L3557">
        <v>43500</v>
      </c>
      <c r="M3557">
        <v>56550</v>
      </c>
      <c r="N3557" t="s">
        <v>56</v>
      </c>
      <c r="O3557">
        <f t="shared" si="110"/>
        <v>33150</v>
      </c>
      <c r="P3557" s="13">
        <f t="shared" si="111"/>
        <v>2303483</v>
      </c>
      <c r="Q3557" s="13">
        <f>SUMIFS(M:M,E:E,Online_eCommerce[[#This Row],[Status]])</f>
        <v>21103186</v>
      </c>
      <c r="R3557" s="13">
        <f>SUMIFS(L:L,H:H,Online_eCommerce[[#This Row],[Brand]])</f>
        <v>14431000</v>
      </c>
      <c r="S3557" s="13">
        <f>SUMIF(H:H,Online_eCommerce[[#This Row],[Brand]],M:M)</f>
        <v>18760300</v>
      </c>
      <c r="T3557" s="13">
        <f>SUMIF(N:N,Online_eCommerce[[#This Row],[Assigned Supervisor]],L:L)</f>
        <v>11733610</v>
      </c>
    </row>
    <row r="3558" spans="1:20" x14ac:dyDescent="0.3">
      <c r="A3558" t="s">
        <v>5369</v>
      </c>
      <c r="B3558" t="s">
        <v>215</v>
      </c>
      <c r="C3558" t="s">
        <v>165</v>
      </c>
      <c r="D3558" t="s">
        <v>5340</v>
      </c>
      <c r="E3558" t="s">
        <v>46</v>
      </c>
      <c r="F3558" t="s">
        <v>129</v>
      </c>
      <c r="G3558" t="s">
        <v>60</v>
      </c>
      <c r="H3558" t="s">
        <v>61</v>
      </c>
      <c r="I3558">
        <v>800</v>
      </c>
      <c r="J3558">
        <v>1040</v>
      </c>
      <c r="K3558">
        <v>3</v>
      </c>
      <c r="L3558">
        <v>2400</v>
      </c>
      <c r="M3558">
        <v>3120</v>
      </c>
      <c r="N3558" t="s">
        <v>22</v>
      </c>
      <c r="O3558">
        <f t="shared" si="110"/>
        <v>3315</v>
      </c>
      <c r="P3558" s="13">
        <f t="shared" si="111"/>
        <v>2674087</v>
      </c>
      <c r="Q3558" s="13">
        <f>SUMIFS(M:M,E:E,Online_eCommerce[[#This Row],[Status]])</f>
        <v>28620410</v>
      </c>
      <c r="R3558" s="13">
        <f>SUMIFS(L:L,H:H,Online_eCommerce[[#This Row],[Brand]])</f>
        <v>10950150</v>
      </c>
      <c r="S3558" s="13">
        <f>SUMIF(H:H,Online_eCommerce[[#This Row],[Brand]],M:M)</f>
        <v>14235195</v>
      </c>
      <c r="T3558" s="13">
        <f>SUMIF(N:N,Online_eCommerce[[#This Row],[Assigned Supervisor]],L:L)</f>
        <v>13693220</v>
      </c>
    </row>
    <row r="3559" spans="1:20" hidden="1" x14ac:dyDescent="0.3">
      <c r="A3559" t="s">
        <v>5370</v>
      </c>
      <c r="B3559" t="s">
        <v>306</v>
      </c>
      <c r="C3559" t="s">
        <v>168</v>
      </c>
      <c r="D3559" t="s">
        <v>5340</v>
      </c>
      <c r="E3559" t="s">
        <v>96</v>
      </c>
      <c r="F3559" t="s">
        <v>133</v>
      </c>
      <c r="G3559" t="s">
        <v>66</v>
      </c>
      <c r="H3559" t="s">
        <v>21</v>
      </c>
      <c r="I3559">
        <v>600</v>
      </c>
      <c r="J3559">
        <v>780</v>
      </c>
      <c r="K3559">
        <v>1</v>
      </c>
      <c r="L3559">
        <v>600</v>
      </c>
      <c r="M3559">
        <v>780</v>
      </c>
      <c r="N3559" t="s">
        <v>28</v>
      </c>
      <c r="O3559">
        <f t="shared" si="110"/>
        <v>1690</v>
      </c>
      <c r="P3559" s="13">
        <f t="shared" si="111"/>
        <v>1937780</v>
      </c>
      <c r="Q3559" s="13">
        <f>SUMIFS(M:M,E:E,Online_eCommerce[[#This Row],[Status]])</f>
        <v>21233992</v>
      </c>
      <c r="R3559" s="13">
        <f>SUMIFS(L:L,H:H,Online_eCommerce[[#This Row],[Brand]])</f>
        <v>12435650</v>
      </c>
      <c r="S3559" s="13">
        <f>SUMIF(H:H,Online_eCommerce[[#This Row],[Brand]],M:M)</f>
        <v>16166345</v>
      </c>
      <c r="T3559" s="13">
        <f>SUMIF(N:N,Online_eCommerce[[#This Row],[Assigned Supervisor]],L:L)</f>
        <v>12220830</v>
      </c>
    </row>
    <row r="3560" spans="1:20" hidden="1" x14ac:dyDescent="0.3">
      <c r="A3560" t="s">
        <v>5371</v>
      </c>
      <c r="B3560" t="s">
        <v>528</v>
      </c>
      <c r="C3560" t="s">
        <v>172</v>
      </c>
      <c r="D3560" t="s">
        <v>5340</v>
      </c>
      <c r="E3560" t="s">
        <v>18</v>
      </c>
      <c r="F3560" t="s">
        <v>137</v>
      </c>
      <c r="G3560" t="s">
        <v>71</v>
      </c>
      <c r="H3560" t="s">
        <v>61</v>
      </c>
      <c r="I3560">
        <v>10500</v>
      </c>
      <c r="J3560">
        <v>13650</v>
      </c>
      <c r="K3560">
        <v>3</v>
      </c>
      <c r="L3560">
        <v>31500</v>
      </c>
      <c r="M3560">
        <v>40950</v>
      </c>
      <c r="N3560" t="s">
        <v>35</v>
      </c>
      <c r="O3560">
        <f t="shared" si="110"/>
        <v>9750</v>
      </c>
      <c r="P3560" s="13">
        <f t="shared" si="111"/>
        <v>2640274</v>
      </c>
      <c r="Q3560" s="13">
        <f>SUMIFS(M:M,E:E,Online_eCommerce[[#This Row],[Status]])</f>
        <v>28340455</v>
      </c>
      <c r="R3560" s="13">
        <f>SUMIFS(L:L,H:H,Online_eCommerce[[#This Row],[Brand]])</f>
        <v>10950150</v>
      </c>
      <c r="S3560" s="13">
        <f>SUMIF(H:H,Online_eCommerce[[#This Row],[Brand]],M:M)</f>
        <v>14235195</v>
      </c>
      <c r="T3560" s="13">
        <f>SUMIF(N:N,Online_eCommerce[[#This Row],[Assigned Supervisor]],L:L)</f>
        <v>14373360</v>
      </c>
    </row>
    <row r="3561" spans="1:20" hidden="1" x14ac:dyDescent="0.3">
      <c r="A3561" t="s">
        <v>5372</v>
      </c>
      <c r="B3561" t="s">
        <v>73</v>
      </c>
      <c r="C3561" t="s">
        <v>177</v>
      </c>
      <c r="D3561" t="s">
        <v>5340</v>
      </c>
      <c r="E3561" t="s">
        <v>161</v>
      </c>
      <c r="F3561" t="s">
        <v>5343</v>
      </c>
      <c r="G3561" t="s">
        <v>77</v>
      </c>
      <c r="H3561" t="s">
        <v>142</v>
      </c>
      <c r="I3561">
        <v>6500</v>
      </c>
      <c r="J3561">
        <v>8450</v>
      </c>
      <c r="K3561">
        <v>2</v>
      </c>
      <c r="L3561">
        <v>13000</v>
      </c>
      <c r="M3561">
        <v>16900</v>
      </c>
      <c r="N3561" t="s">
        <v>42</v>
      </c>
      <c r="O3561">
        <f t="shared" si="110"/>
        <v>39000</v>
      </c>
      <c r="P3561" s="13">
        <f t="shared" si="111"/>
        <v>1863810</v>
      </c>
      <c r="Q3561" s="13">
        <f>SUMIFS(M:M,E:E,Online_eCommerce[[#This Row],[Status]])</f>
        <v>21103186</v>
      </c>
      <c r="R3561" s="13">
        <f>SUMIFS(L:L,H:H,Online_eCommerce[[#This Row],[Brand]])</f>
        <v>6192500</v>
      </c>
      <c r="S3561" s="13">
        <f>SUMIF(H:H,Online_eCommerce[[#This Row],[Brand]],M:M)</f>
        <v>8050250</v>
      </c>
      <c r="T3561" s="13">
        <f>SUMIF(N:N,Online_eCommerce[[#This Row],[Assigned Supervisor]],L:L)</f>
        <v>12261500</v>
      </c>
    </row>
    <row r="3562" spans="1:20" x14ac:dyDescent="0.3">
      <c r="A3562" t="s">
        <v>5373</v>
      </c>
      <c r="B3562" t="s">
        <v>80</v>
      </c>
      <c r="C3562" t="s">
        <v>181</v>
      </c>
      <c r="D3562" t="s">
        <v>5340</v>
      </c>
      <c r="E3562" t="s">
        <v>46</v>
      </c>
      <c r="F3562" t="s">
        <v>5374</v>
      </c>
      <c r="G3562" t="s">
        <v>20</v>
      </c>
      <c r="H3562" t="s">
        <v>21</v>
      </c>
      <c r="I3562">
        <v>4500</v>
      </c>
      <c r="J3562">
        <v>5850</v>
      </c>
      <c r="K3562">
        <v>2</v>
      </c>
      <c r="L3562">
        <v>9000</v>
      </c>
      <c r="M3562">
        <v>11700</v>
      </c>
      <c r="N3562" t="s">
        <v>50</v>
      </c>
      <c r="O3562">
        <f t="shared" si="110"/>
        <v>8450</v>
      </c>
      <c r="P3562" s="13">
        <f t="shared" si="111"/>
        <v>2577458</v>
      </c>
      <c r="Q3562" s="13">
        <f>SUMIFS(M:M,E:E,Online_eCommerce[[#This Row],[Status]])</f>
        <v>28620410</v>
      </c>
      <c r="R3562" s="13">
        <f>SUMIFS(L:L,H:H,Online_eCommerce[[#This Row],[Brand]])</f>
        <v>12435650</v>
      </c>
      <c r="S3562" s="13">
        <f>SUMIF(H:H,Online_eCommerce[[#This Row],[Brand]],M:M)</f>
        <v>16166345</v>
      </c>
      <c r="T3562" s="13">
        <f>SUMIF(N:N,Online_eCommerce[[#This Row],[Assigned Supervisor]],L:L)</f>
        <v>12100590</v>
      </c>
    </row>
    <row r="3563" spans="1:20" hidden="1" x14ac:dyDescent="0.3">
      <c r="A3563" t="s">
        <v>5375</v>
      </c>
      <c r="B3563" t="s">
        <v>85</v>
      </c>
      <c r="C3563" t="s">
        <v>185</v>
      </c>
      <c r="D3563" t="s">
        <v>5340</v>
      </c>
      <c r="E3563" t="s">
        <v>96</v>
      </c>
      <c r="F3563" t="s">
        <v>152</v>
      </c>
      <c r="G3563" t="s">
        <v>26</v>
      </c>
      <c r="H3563" t="s">
        <v>27</v>
      </c>
      <c r="I3563">
        <v>8500</v>
      </c>
      <c r="J3563">
        <v>11050</v>
      </c>
      <c r="K3563">
        <v>3</v>
      </c>
      <c r="L3563">
        <v>25500</v>
      </c>
      <c r="M3563">
        <v>33150</v>
      </c>
      <c r="N3563" t="s">
        <v>56</v>
      </c>
      <c r="O3563">
        <f t="shared" si="110"/>
        <v>33150</v>
      </c>
      <c r="P3563" s="13">
        <f t="shared" si="111"/>
        <v>2091596</v>
      </c>
      <c r="Q3563" s="13">
        <f>SUMIFS(M:M,E:E,Online_eCommerce[[#This Row],[Status]])</f>
        <v>21233992</v>
      </c>
      <c r="R3563" s="13">
        <f>SUMIFS(L:L,H:H,Online_eCommerce[[#This Row],[Brand]])</f>
        <v>14431000</v>
      </c>
      <c r="S3563" s="13">
        <f>SUMIF(H:H,Online_eCommerce[[#This Row],[Brand]],M:M)</f>
        <v>18760300</v>
      </c>
      <c r="T3563" s="13">
        <f>SUMIF(N:N,Online_eCommerce[[#This Row],[Assigned Supervisor]],L:L)</f>
        <v>11733610</v>
      </c>
    </row>
    <row r="3564" spans="1:20" hidden="1" x14ac:dyDescent="0.3">
      <c r="A3564" t="s">
        <v>5376</v>
      </c>
      <c r="B3564" t="s">
        <v>90</v>
      </c>
      <c r="C3564" t="s">
        <v>189</v>
      </c>
      <c r="D3564" t="s">
        <v>5340</v>
      </c>
      <c r="E3564" t="s">
        <v>18</v>
      </c>
      <c r="F3564" t="s">
        <v>157</v>
      </c>
      <c r="G3564" t="s">
        <v>33</v>
      </c>
      <c r="H3564" t="s">
        <v>34</v>
      </c>
      <c r="I3564">
        <v>12500</v>
      </c>
      <c r="J3564">
        <v>16250</v>
      </c>
      <c r="K3564">
        <v>1</v>
      </c>
      <c r="L3564">
        <v>12500</v>
      </c>
      <c r="M3564">
        <v>16250</v>
      </c>
      <c r="N3564" t="s">
        <v>22</v>
      </c>
      <c r="O3564">
        <f t="shared" si="110"/>
        <v>18200</v>
      </c>
      <c r="P3564" s="13">
        <f t="shared" si="111"/>
        <v>2740777</v>
      </c>
      <c r="Q3564" s="13">
        <f>SUMIFS(M:M,E:E,Online_eCommerce[[#This Row],[Status]])</f>
        <v>28340455</v>
      </c>
      <c r="R3564" s="13">
        <f>SUMIFS(L:L,H:H,Online_eCommerce[[#This Row],[Brand]])</f>
        <v>10087000</v>
      </c>
      <c r="S3564" s="13">
        <f>SUMIF(H:H,Online_eCommerce[[#This Row],[Brand]],M:M)</f>
        <v>13113100</v>
      </c>
      <c r="T3564" s="13">
        <f>SUMIF(N:N,Online_eCommerce[[#This Row],[Assigned Supervisor]],L:L)</f>
        <v>13693220</v>
      </c>
    </row>
    <row r="3565" spans="1:20" hidden="1" x14ac:dyDescent="0.3">
      <c r="A3565" t="s">
        <v>5377</v>
      </c>
      <c r="B3565" t="s">
        <v>232</v>
      </c>
      <c r="C3565" t="s">
        <v>193</v>
      </c>
      <c r="D3565" t="s">
        <v>5340</v>
      </c>
      <c r="E3565" t="s">
        <v>161</v>
      </c>
      <c r="F3565" t="s">
        <v>4966</v>
      </c>
      <c r="G3565" t="s">
        <v>40</v>
      </c>
      <c r="H3565" t="s">
        <v>41</v>
      </c>
      <c r="I3565">
        <v>3500</v>
      </c>
      <c r="J3565">
        <v>4550</v>
      </c>
      <c r="K3565">
        <v>1</v>
      </c>
      <c r="L3565">
        <v>3500</v>
      </c>
      <c r="M3565">
        <v>4550</v>
      </c>
      <c r="N3565" t="s">
        <v>28</v>
      </c>
      <c r="O3565">
        <f t="shared" si="110"/>
        <v>25545</v>
      </c>
      <c r="P3565" s="13">
        <f t="shared" si="111"/>
        <v>2074774</v>
      </c>
      <c r="Q3565" s="13">
        <f>SUMIFS(M:M,E:E,Online_eCommerce[[#This Row],[Status]])</f>
        <v>21103186</v>
      </c>
      <c r="R3565" s="13">
        <f>SUMIFS(L:L,H:H,Online_eCommerce[[#This Row],[Brand]])</f>
        <v>4260400</v>
      </c>
      <c r="S3565" s="13">
        <f>SUMIF(H:H,Online_eCommerce[[#This Row],[Brand]],M:M)</f>
        <v>5538520</v>
      </c>
      <c r="T3565" s="13">
        <f>SUMIF(N:N,Online_eCommerce[[#This Row],[Assigned Supervisor]],L:L)</f>
        <v>12220830</v>
      </c>
    </row>
    <row r="3566" spans="1:20" x14ac:dyDescent="0.3">
      <c r="A3566" t="s">
        <v>5378</v>
      </c>
      <c r="B3566" t="s">
        <v>235</v>
      </c>
      <c r="C3566" t="s">
        <v>197</v>
      </c>
      <c r="D3566" t="s">
        <v>5340</v>
      </c>
      <c r="E3566" t="s">
        <v>46</v>
      </c>
      <c r="F3566" t="s">
        <v>166</v>
      </c>
      <c r="G3566" t="s">
        <v>334</v>
      </c>
      <c r="H3566" t="s">
        <v>49</v>
      </c>
      <c r="I3566">
        <v>4500</v>
      </c>
      <c r="J3566">
        <v>5850</v>
      </c>
      <c r="K3566">
        <v>3</v>
      </c>
      <c r="L3566">
        <v>13500</v>
      </c>
      <c r="M3566">
        <v>17550</v>
      </c>
      <c r="N3566" t="s">
        <v>35</v>
      </c>
      <c r="O3566">
        <f t="shared" si="110"/>
        <v>39780</v>
      </c>
      <c r="P3566" s="13">
        <f t="shared" si="111"/>
        <v>2829840</v>
      </c>
      <c r="Q3566" s="13">
        <f>SUMIFS(M:M,E:E,Online_eCommerce[[#This Row],[Status]])</f>
        <v>28620410</v>
      </c>
      <c r="R3566" s="13">
        <f>SUMIFS(L:L,H:H,Online_eCommerce[[#This Row],[Brand]])</f>
        <v>4528350</v>
      </c>
      <c r="S3566" s="13">
        <f>SUMIF(H:H,Online_eCommerce[[#This Row],[Brand]],M:M)</f>
        <v>5886855</v>
      </c>
      <c r="T3566" s="13">
        <f>SUMIF(N:N,Online_eCommerce[[#This Row],[Assigned Supervisor]],L:L)</f>
        <v>14373360</v>
      </c>
    </row>
    <row r="3567" spans="1:20" hidden="1" x14ac:dyDescent="0.3">
      <c r="A3567" t="s">
        <v>5379</v>
      </c>
      <c r="B3567" t="s">
        <v>104</v>
      </c>
      <c r="C3567" t="s">
        <v>199</v>
      </c>
      <c r="D3567" t="s">
        <v>5380</v>
      </c>
      <c r="E3567" t="s">
        <v>96</v>
      </c>
      <c r="F3567" t="s">
        <v>5381</v>
      </c>
      <c r="G3567" t="s">
        <v>54</v>
      </c>
      <c r="H3567" t="s">
        <v>55</v>
      </c>
      <c r="I3567">
        <v>2100</v>
      </c>
      <c r="J3567">
        <v>2730</v>
      </c>
      <c r="K3567">
        <v>1</v>
      </c>
      <c r="L3567">
        <v>2100</v>
      </c>
      <c r="M3567">
        <v>2730</v>
      </c>
      <c r="N3567" t="s">
        <v>42</v>
      </c>
      <c r="O3567">
        <f t="shared" si="110"/>
        <v>2990</v>
      </c>
      <c r="P3567" s="13">
        <f t="shared" si="111"/>
        <v>1947361</v>
      </c>
      <c r="Q3567" s="13">
        <f>SUMIFS(M:M,E:E,Online_eCommerce[[#This Row],[Status]])</f>
        <v>21233992</v>
      </c>
      <c r="R3567" s="13">
        <f>SUMIFS(L:L,H:H,Online_eCommerce[[#This Row],[Brand]])</f>
        <v>2267380</v>
      </c>
      <c r="S3567" s="13">
        <f>SUMIF(H:H,Online_eCommerce[[#This Row],[Brand]],M:M)</f>
        <v>2947594</v>
      </c>
      <c r="T3567" s="13">
        <f>SUMIF(N:N,Online_eCommerce[[#This Row],[Assigned Supervisor]],L:L)</f>
        <v>12261500</v>
      </c>
    </row>
    <row r="3568" spans="1:20" hidden="1" x14ac:dyDescent="0.3">
      <c r="A3568" t="s">
        <v>5382</v>
      </c>
      <c r="B3568" t="s">
        <v>109</v>
      </c>
      <c r="C3568" t="s">
        <v>203</v>
      </c>
      <c r="D3568" t="s">
        <v>5380</v>
      </c>
      <c r="E3568" t="s">
        <v>18</v>
      </c>
      <c r="F3568" t="s">
        <v>174</v>
      </c>
      <c r="G3568" t="s">
        <v>60</v>
      </c>
      <c r="H3568" t="s">
        <v>61</v>
      </c>
      <c r="I3568">
        <v>1150</v>
      </c>
      <c r="J3568">
        <v>1495</v>
      </c>
      <c r="K3568">
        <v>1</v>
      </c>
      <c r="L3568">
        <v>1150</v>
      </c>
      <c r="M3568">
        <v>1495</v>
      </c>
      <c r="N3568" t="s">
        <v>50</v>
      </c>
      <c r="O3568">
        <f t="shared" si="110"/>
        <v>3315</v>
      </c>
      <c r="P3568" s="13">
        <f t="shared" si="111"/>
        <v>2559635</v>
      </c>
      <c r="Q3568" s="13">
        <f>SUMIFS(M:M,E:E,Online_eCommerce[[#This Row],[Status]])</f>
        <v>28340455</v>
      </c>
      <c r="R3568" s="13">
        <f>SUMIFS(L:L,H:H,Online_eCommerce[[#This Row],[Brand]])</f>
        <v>10950150</v>
      </c>
      <c r="S3568" s="13">
        <f>SUMIF(H:H,Online_eCommerce[[#This Row],[Brand]],M:M)</f>
        <v>14235195</v>
      </c>
      <c r="T3568" s="13">
        <f>SUMIF(N:N,Online_eCommerce[[#This Row],[Assigned Supervisor]],L:L)</f>
        <v>12100590</v>
      </c>
    </row>
    <row r="3569" spans="1:20" hidden="1" x14ac:dyDescent="0.3">
      <c r="A3569" t="s">
        <v>5383</v>
      </c>
      <c r="B3569" t="s">
        <v>114</v>
      </c>
      <c r="C3569" t="s">
        <v>205</v>
      </c>
      <c r="D3569" t="s">
        <v>5380</v>
      </c>
      <c r="E3569" t="s">
        <v>161</v>
      </c>
      <c r="F3569" t="s">
        <v>179</v>
      </c>
      <c r="G3569" t="s">
        <v>66</v>
      </c>
      <c r="H3569" t="s">
        <v>21</v>
      </c>
      <c r="I3569">
        <v>350</v>
      </c>
      <c r="J3569">
        <v>455</v>
      </c>
      <c r="K3569">
        <v>2</v>
      </c>
      <c r="L3569">
        <v>700</v>
      </c>
      <c r="M3569">
        <v>910</v>
      </c>
      <c r="N3569" t="s">
        <v>56</v>
      </c>
      <c r="O3569">
        <f t="shared" si="110"/>
        <v>1690</v>
      </c>
      <c r="P3569" s="13">
        <f t="shared" si="111"/>
        <v>1983254</v>
      </c>
      <c r="Q3569" s="13">
        <f>SUMIFS(M:M,E:E,Online_eCommerce[[#This Row],[Status]])</f>
        <v>21103186</v>
      </c>
      <c r="R3569" s="13">
        <f>SUMIFS(L:L,H:H,Online_eCommerce[[#This Row],[Brand]])</f>
        <v>12435650</v>
      </c>
      <c r="S3569" s="13">
        <f>SUMIF(H:H,Online_eCommerce[[#This Row],[Brand]],M:M)</f>
        <v>16166345</v>
      </c>
      <c r="T3569" s="13">
        <f>SUMIF(N:N,Online_eCommerce[[#This Row],[Assigned Supervisor]],L:L)</f>
        <v>11733610</v>
      </c>
    </row>
    <row r="3570" spans="1:20" x14ac:dyDescent="0.3">
      <c r="A3570" t="s">
        <v>5384</v>
      </c>
      <c r="B3570" t="s">
        <v>119</v>
      </c>
      <c r="C3570" t="s">
        <v>208</v>
      </c>
      <c r="D3570" t="s">
        <v>5380</v>
      </c>
      <c r="E3570" t="s">
        <v>46</v>
      </c>
      <c r="F3570" t="s">
        <v>183</v>
      </c>
      <c r="G3570" t="s">
        <v>71</v>
      </c>
      <c r="H3570" t="s">
        <v>61</v>
      </c>
      <c r="I3570">
        <v>9500</v>
      </c>
      <c r="J3570">
        <v>12350</v>
      </c>
      <c r="K3570">
        <v>1</v>
      </c>
      <c r="L3570">
        <v>9500</v>
      </c>
      <c r="M3570">
        <v>12350</v>
      </c>
      <c r="N3570" t="s">
        <v>22</v>
      </c>
      <c r="O3570">
        <f t="shared" si="110"/>
        <v>9750</v>
      </c>
      <c r="P3570" s="13">
        <f t="shared" si="111"/>
        <v>2746575</v>
      </c>
      <c r="Q3570" s="13">
        <f>SUMIFS(M:M,E:E,Online_eCommerce[[#This Row],[Status]])</f>
        <v>28620410</v>
      </c>
      <c r="R3570" s="13">
        <f>SUMIFS(L:L,H:H,Online_eCommerce[[#This Row],[Brand]])</f>
        <v>10950150</v>
      </c>
      <c r="S3570" s="13">
        <f>SUMIF(H:H,Online_eCommerce[[#This Row],[Brand]],M:M)</f>
        <v>14235195</v>
      </c>
      <c r="T3570" s="13">
        <f>SUMIF(N:N,Online_eCommerce[[#This Row],[Assigned Supervisor]],L:L)</f>
        <v>13693220</v>
      </c>
    </row>
    <row r="3571" spans="1:20" hidden="1" x14ac:dyDescent="0.3">
      <c r="A3571" t="s">
        <v>5385</v>
      </c>
      <c r="B3571" t="s">
        <v>124</v>
      </c>
      <c r="C3571" t="s">
        <v>211</v>
      </c>
      <c r="D3571" t="s">
        <v>5380</v>
      </c>
      <c r="E3571" t="s">
        <v>96</v>
      </c>
      <c r="F3571" t="s">
        <v>5386</v>
      </c>
      <c r="G3571" t="s">
        <v>77</v>
      </c>
      <c r="H3571" t="s">
        <v>142</v>
      </c>
      <c r="I3571">
        <v>10000</v>
      </c>
      <c r="J3571">
        <v>13000</v>
      </c>
      <c r="K3571">
        <v>4</v>
      </c>
      <c r="L3571">
        <v>40000</v>
      </c>
      <c r="M3571">
        <v>52000</v>
      </c>
      <c r="N3571" t="s">
        <v>28</v>
      </c>
      <c r="O3571">
        <f t="shared" si="110"/>
        <v>39000</v>
      </c>
      <c r="P3571" s="13">
        <f t="shared" si="111"/>
        <v>1809847</v>
      </c>
      <c r="Q3571" s="13">
        <f>SUMIFS(M:M,E:E,Online_eCommerce[[#This Row],[Status]])</f>
        <v>21233992</v>
      </c>
      <c r="R3571" s="13">
        <f>SUMIFS(L:L,H:H,Online_eCommerce[[#This Row],[Brand]])</f>
        <v>6192500</v>
      </c>
      <c r="S3571" s="13">
        <f>SUMIF(H:H,Online_eCommerce[[#This Row],[Brand]],M:M)</f>
        <v>8050250</v>
      </c>
      <c r="T3571" s="13">
        <f>SUMIF(N:N,Online_eCommerce[[#This Row],[Assigned Supervisor]],L:L)</f>
        <v>12220830</v>
      </c>
    </row>
    <row r="3572" spans="1:20" hidden="1" x14ac:dyDescent="0.3">
      <c r="A3572" t="s">
        <v>5387</v>
      </c>
      <c r="B3572" t="s">
        <v>128</v>
      </c>
      <c r="C3572" t="s">
        <v>16</v>
      </c>
      <c r="D3572" t="s">
        <v>5380</v>
      </c>
      <c r="E3572" t="s">
        <v>18</v>
      </c>
      <c r="F3572" t="s">
        <v>5388</v>
      </c>
      <c r="G3572" t="s">
        <v>20</v>
      </c>
      <c r="H3572" t="s">
        <v>21</v>
      </c>
      <c r="I3572">
        <v>6500</v>
      </c>
      <c r="J3572">
        <v>8450</v>
      </c>
      <c r="K3572">
        <v>4</v>
      </c>
      <c r="L3572">
        <v>26000</v>
      </c>
      <c r="M3572">
        <v>33800</v>
      </c>
      <c r="N3572" t="s">
        <v>35</v>
      </c>
      <c r="O3572">
        <f t="shared" si="110"/>
        <v>8450</v>
      </c>
      <c r="P3572" s="13">
        <f t="shared" si="111"/>
        <v>2751814</v>
      </c>
      <c r="Q3572" s="13">
        <f>SUMIFS(M:M,E:E,Online_eCommerce[[#This Row],[Status]])</f>
        <v>28340455</v>
      </c>
      <c r="R3572" s="13">
        <f>SUMIFS(L:L,H:H,Online_eCommerce[[#This Row],[Brand]])</f>
        <v>12435650</v>
      </c>
      <c r="S3572" s="13">
        <f>SUMIF(H:H,Online_eCommerce[[#This Row],[Brand]],M:M)</f>
        <v>16166345</v>
      </c>
      <c r="T3572" s="13">
        <f>SUMIF(N:N,Online_eCommerce[[#This Row],[Assigned Supervisor]],L:L)</f>
        <v>14373360</v>
      </c>
    </row>
    <row r="3573" spans="1:20" hidden="1" x14ac:dyDescent="0.3">
      <c r="A3573" t="s">
        <v>5389</v>
      </c>
      <c r="B3573" t="s">
        <v>131</v>
      </c>
      <c r="C3573" t="s">
        <v>24</v>
      </c>
      <c r="D3573" t="s">
        <v>5380</v>
      </c>
      <c r="E3573" t="s">
        <v>161</v>
      </c>
      <c r="F3573" t="s">
        <v>5390</v>
      </c>
      <c r="G3573" t="s">
        <v>26</v>
      </c>
      <c r="H3573" t="s">
        <v>27</v>
      </c>
      <c r="I3573">
        <v>8500</v>
      </c>
      <c r="J3573">
        <v>11050</v>
      </c>
      <c r="K3573">
        <v>3</v>
      </c>
      <c r="L3573">
        <v>25500</v>
      </c>
      <c r="M3573">
        <v>33150</v>
      </c>
      <c r="N3573" t="s">
        <v>42</v>
      </c>
      <c r="O3573">
        <f t="shared" si="110"/>
        <v>33150</v>
      </c>
      <c r="P3573" s="13">
        <f t="shared" si="111"/>
        <v>2009540</v>
      </c>
      <c r="Q3573" s="13">
        <f>SUMIFS(M:M,E:E,Online_eCommerce[[#This Row],[Status]])</f>
        <v>21103186</v>
      </c>
      <c r="R3573" s="13">
        <f>SUMIFS(L:L,H:H,Online_eCommerce[[#This Row],[Brand]])</f>
        <v>14431000</v>
      </c>
      <c r="S3573" s="13">
        <f>SUMIF(H:H,Online_eCommerce[[#This Row],[Brand]],M:M)</f>
        <v>18760300</v>
      </c>
      <c r="T3573" s="13">
        <f>SUMIF(N:N,Online_eCommerce[[#This Row],[Assigned Supervisor]],L:L)</f>
        <v>12261500</v>
      </c>
    </row>
    <row r="3574" spans="1:20" x14ac:dyDescent="0.3">
      <c r="A3574" t="s">
        <v>5391</v>
      </c>
      <c r="B3574" t="s">
        <v>135</v>
      </c>
      <c r="C3574" t="s">
        <v>31</v>
      </c>
      <c r="D3574" t="s">
        <v>5380</v>
      </c>
      <c r="E3574" t="s">
        <v>46</v>
      </c>
      <c r="F3574" t="s">
        <v>32</v>
      </c>
      <c r="G3574" t="s">
        <v>33</v>
      </c>
      <c r="H3574" t="s">
        <v>34</v>
      </c>
      <c r="I3574">
        <v>7000</v>
      </c>
      <c r="J3574">
        <v>9100</v>
      </c>
      <c r="K3574">
        <v>3</v>
      </c>
      <c r="L3574">
        <v>21000</v>
      </c>
      <c r="M3574">
        <v>27300</v>
      </c>
      <c r="N3574" t="s">
        <v>50</v>
      </c>
      <c r="O3574">
        <f t="shared" si="110"/>
        <v>18200</v>
      </c>
      <c r="P3574" s="13">
        <f t="shared" si="111"/>
        <v>2865746</v>
      </c>
      <c r="Q3574" s="13">
        <f>SUMIFS(M:M,E:E,Online_eCommerce[[#This Row],[Status]])</f>
        <v>28620410</v>
      </c>
      <c r="R3574" s="13">
        <f>SUMIFS(L:L,H:H,Online_eCommerce[[#This Row],[Brand]])</f>
        <v>10087000</v>
      </c>
      <c r="S3574" s="13">
        <f>SUMIF(H:H,Online_eCommerce[[#This Row],[Brand]],M:M)</f>
        <v>13113100</v>
      </c>
      <c r="T3574" s="13">
        <f>SUMIF(N:N,Online_eCommerce[[#This Row],[Assigned Supervisor]],L:L)</f>
        <v>12100590</v>
      </c>
    </row>
    <row r="3575" spans="1:20" hidden="1" x14ac:dyDescent="0.3">
      <c r="A3575" t="s">
        <v>5392</v>
      </c>
      <c r="B3575" t="s">
        <v>139</v>
      </c>
      <c r="C3575" t="s">
        <v>38</v>
      </c>
      <c r="D3575" t="s">
        <v>5380</v>
      </c>
      <c r="E3575" t="s">
        <v>96</v>
      </c>
      <c r="F3575" t="s">
        <v>5393</v>
      </c>
      <c r="G3575" t="s">
        <v>40</v>
      </c>
      <c r="H3575" t="s">
        <v>41</v>
      </c>
      <c r="I3575">
        <v>6550</v>
      </c>
      <c r="J3575">
        <v>8515</v>
      </c>
      <c r="K3575">
        <v>1</v>
      </c>
      <c r="L3575">
        <v>6550</v>
      </c>
      <c r="M3575">
        <v>8515</v>
      </c>
      <c r="N3575" t="s">
        <v>56</v>
      </c>
      <c r="O3575">
        <f t="shared" si="110"/>
        <v>25545</v>
      </c>
      <c r="P3575" s="13">
        <f t="shared" si="111"/>
        <v>1933997</v>
      </c>
      <c r="Q3575" s="13">
        <f>SUMIFS(M:M,E:E,Online_eCommerce[[#This Row],[Status]])</f>
        <v>21233992</v>
      </c>
      <c r="R3575" s="13">
        <f>SUMIFS(L:L,H:H,Online_eCommerce[[#This Row],[Brand]])</f>
        <v>4260400</v>
      </c>
      <c r="S3575" s="13">
        <f>SUMIF(H:H,Online_eCommerce[[#This Row],[Brand]],M:M)</f>
        <v>5538520</v>
      </c>
      <c r="T3575" s="13">
        <f>SUMIF(N:N,Online_eCommerce[[#This Row],[Assigned Supervisor]],L:L)</f>
        <v>11733610</v>
      </c>
    </row>
    <row r="3576" spans="1:20" hidden="1" x14ac:dyDescent="0.3">
      <c r="A3576" t="s">
        <v>5394</v>
      </c>
      <c r="B3576" t="s">
        <v>144</v>
      </c>
      <c r="C3576" t="s">
        <v>45</v>
      </c>
      <c r="D3576" t="s">
        <v>5380</v>
      </c>
      <c r="E3576" t="s">
        <v>18</v>
      </c>
      <c r="F3576" t="s">
        <v>47</v>
      </c>
      <c r="G3576" t="s">
        <v>334</v>
      </c>
      <c r="H3576" t="s">
        <v>49</v>
      </c>
      <c r="I3576">
        <v>7650</v>
      </c>
      <c r="J3576">
        <v>9945</v>
      </c>
      <c r="K3576">
        <v>3</v>
      </c>
      <c r="L3576">
        <v>22950</v>
      </c>
      <c r="M3576">
        <v>29835</v>
      </c>
      <c r="N3576" t="s">
        <v>22</v>
      </c>
      <c r="O3576">
        <f t="shared" si="110"/>
        <v>39780</v>
      </c>
      <c r="P3576" s="13">
        <f t="shared" si="111"/>
        <v>2842554</v>
      </c>
      <c r="Q3576" s="13">
        <f>SUMIFS(M:M,E:E,Online_eCommerce[[#This Row],[Status]])</f>
        <v>28340455</v>
      </c>
      <c r="R3576" s="13">
        <f>SUMIFS(L:L,H:H,Online_eCommerce[[#This Row],[Brand]])</f>
        <v>4528350</v>
      </c>
      <c r="S3576" s="13">
        <f>SUMIF(H:H,Online_eCommerce[[#This Row],[Brand]],M:M)</f>
        <v>5886855</v>
      </c>
      <c r="T3576" s="13">
        <f>SUMIF(N:N,Online_eCommerce[[#This Row],[Assigned Supervisor]],L:L)</f>
        <v>13693220</v>
      </c>
    </row>
    <row r="3577" spans="1:20" hidden="1" x14ac:dyDescent="0.3">
      <c r="A3577" t="s">
        <v>5395</v>
      </c>
      <c r="B3577" t="s">
        <v>149</v>
      </c>
      <c r="C3577" t="s">
        <v>52</v>
      </c>
      <c r="D3577" t="s">
        <v>5380</v>
      </c>
      <c r="E3577" t="s">
        <v>161</v>
      </c>
      <c r="F3577" t="s">
        <v>53</v>
      </c>
      <c r="G3577" t="s">
        <v>54</v>
      </c>
      <c r="H3577" t="s">
        <v>55</v>
      </c>
      <c r="I3577">
        <v>1150</v>
      </c>
      <c r="J3577">
        <v>1495</v>
      </c>
      <c r="K3577">
        <v>2</v>
      </c>
      <c r="L3577">
        <v>2300</v>
      </c>
      <c r="M3577">
        <v>2990</v>
      </c>
      <c r="N3577" t="s">
        <v>28</v>
      </c>
      <c r="O3577">
        <f t="shared" si="110"/>
        <v>2990</v>
      </c>
      <c r="P3577" s="13">
        <f t="shared" si="111"/>
        <v>1955044</v>
      </c>
      <c r="Q3577" s="13">
        <f>SUMIFS(M:M,E:E,Online_eCommerce[[#This Row],[Status]])</f>
        <v>21103186</v>
      </c>
      <c r="R3577" s="13">
        <f>SUMIFS(L:L,H:H,Online_eCommerce[[#This Row],[Brand]])</f>
        <v>2267380</v>
      </c>
      <c r="S3577" s="13">
        <f>SUMIF(H:H,Online_eCommerce[[#This Row],[Brand]],M:M)</f>
        <v>2947594</v>
      </c>
      <c r="T3577" s="13">
        <f>SUMIF(N:N,Online_eCommerce[[#This Row],[Assigned Supervisor]],L:L)</f>
        <v>12220830</v>
      </c>
    </row>
    <row r="3578" spans="1:20" x14ac:dyDescent="0.3">
      <c r="A3578" t="s">
        <v>5396</v>
      </c>
      <c r="B3578" t="s">
        <v>154</v>
      </c>
      <c r="C3578" t="s">
        <v>58</v>
      </c>
      <c r="D3578" t="s">
        <v>5380</v>
      </c>
      <c r="E3578" t="s">
        <v>46</v>
      </c>
      <c r="F3578" t="s">
        <v>59</v>
      </c>
      <c r="G3578" t="s">
        <v>60</v>
      </c>
      <c r="H3578" t="s">
        <v>61</v>
      </c>
      <c r="I3578">
        <v>850</v>
      </c>
      <c r="J3578">
        <v>1105</v>
      </c>
      <c r="K3578">
        <v>4</v>
      </c>
      <c r="L3578">
        <v>3400</v>
      </c>
      <c r="M3578">
        <v>4420</v>
      </c>
      <c r="N3578" t="s">
        <v>35</v>
      </c>
      <c r="O3578">
        <f t="shared" si="110"/>
        <v>3315</v>
      </c>
      <c r="P3578" s="13">
        <f t="shared" si="111"/>
        <v>2629211</v>
      </c>
      <c r="Q3578" s="13">
        <f>SUMIFS(M:M,E:E,Online_eCommerce[[#This Row],[Status]])</f>
        <v>28620410</v>
      </c>
      <c r="R3578" s="13">
        <f>SUMIFS(L:L,H:H,Online_eCommerce[[#This Row],[Brand]])</f>
        <v>10950150</v>
      </c>
      <c r="S3578" s="13">
        <f>SUMIF(H:H,Online_eCommerce[[#This Row],[Brand]],M:M)</f>
        <v>14235195</v>
      </c>
      <c r="T3578" s="13">
        <f>SUMIF(N:N,Online_eCommerce[[#This Row],[Assigned Supervisor]],L:L)</f>
        <v>14373360</v>
      </c>
    </row>
    <row r="3579" spans="1:20" hidden="1" x14ac:dyDescent="0.3">
      <c r="A3579" t="s">
        <v>5397</v>
      </c>
      <c r="B3579" t="s">
        <v>159</v>
      </c>
      <c r="C3579" t="s">
        <v>63</v>
      </c>
      <c r="D3579" t="s">
        <v>5380</v>
      </c>
      <c r="E3579" t="s">
        <v>96</v>
      </c>
      <c r="F3579" t="s">
        <v>65</v>
      </c>
      <c r="G3579" t="s">
        <v>66</v>
      </c>
      <c r="H3579" t="s">
        <v>21</v>
      </c>
      <c r="I3579">
        <v>650</v>
      </c>
      <c r="J3579">
        <v>845</v>
      </c>
      <c r="K3579">
        <v>4</v>
      </c>
      <c r="L3579">
        <v>2600</v>
      </c>
      <c r="M3579">
        <v>3380</v>
      </c>
      <c r="N3579" t="s">
        <v>42</v>
      </c>
      <c r="O3579">
        <f t="shared" si="110"/>
        <v>1690</v>
      </c>
      <c r="P3579" s="13">
        <f t="shared" si="111"/>
        <v>2016131</v>
      </c>
      <c r="Q3579" s="13">
        <f>SUMIFS(M:M,E:E,Online_eCommerce[[#This Row],[Status]])</f>
        <v>21233992</v>
      </c>
      <c r="R3579" s="13">
        <f>SUMIFS(L:L,H:H,Online_eCommerce[[#This Row],[Brand]])</f>
        <v>12435650</v>
      </c>
      <c r="S3579" s="13">
        <f>SUMIF(H:H,Online_eCommerce[[#This Row],[Brand]],M:M)</f>
        <v>16166345</v>
      </c>
      <c r="T3579" s="13">
        <f>SUMIF(N:N,Online_eCommerce[[#This Row],[Assigned Supervisor]],L:L)</f>
        <v>12261500</v>
      </c>
    </row>
    <row r="3580" spans="1:20" hidden="1" x14ac:dyDescent="0.3">
      <c r="A3580" t="s">
        <v>5398</v>
      </c>
      <c r="B3580" t="s">
        <v>139</v>
      </c>
      <c r="C3580" t="s">
        <v>68</v>
      </c>
      <c r="D3580" t="s">
        <v>5380</v>
      </c>
      <c r="E3580" t="s">
        <v>18</v>
      </c>
      <c r="F3580" t="s">
        <v>70</v>
      </c>
      <c r="G3580" t="s">
        <v>71</v>
      </c>
      <c r="H3580" t="s">
        <v>61</v>
      </c>
      <c r="I3580">
        <v>7500</v>
      </c>
      <c r="J3580">
        <v>9750</v>
      </c>
      <c r="K3580">
        <v>2</v>
      </c>
      <c r="L3580">
        <v>15000</v>
      </c>
      <c r="M3580">
        <v>19500</v>
      </c>
      <c r="N3580" t="s">
        <v>50</v>
      </c>
      <c r="O3580">
        <f t="shared" si="110"/>
        <v>9750</v>
      </c>
      <c r="P3580" s="13">
        <f t="shared" si="111"/>
        <v>2974621</v>
      </c>
      <c r="Q3580" s="13">
        <f>SUMIFS(M:M,E:E,Online_eCommerce[[#This Row],[Status]])</f>
        <v>28340455</v>
      </c>
      <c r="R3580" s="13">
        <f>SUMIFS(L:L,H:H,Online_eCommerce[[#This Row],[Brand]])</f>
        <v>10950150</v>
      </c>
      <c r="S3580" s="13">
        <f>SUMIF(H:H,Online_eCommerce[[#This Row],[Brand]],M:M)</f>
        <v>14235195</v>
      </c>
      <c r="T3580" s="13">
        <f>SUMIF(N:N,Online_eCommerce[[#This Row],[Assigned Supervisor]],L:L)</f>
        <v>12100590</v>
      </c>
    </row>
    <row r="3581" spans="1:20" hidden="1" x14ac:dyDescent="0.3">
      <c r="A3581" t="s">
        <v>5399</v>
      </c>
      <c r="B3581" t="s">
        <v>144</v>
      </c>
      <c r="C3581" t="s">
        <v>74</v>
      </c>
      <c r="D3581" t="s">
        <v>5380</v>
      </c>
      <c r="E3581" t="s">
        <v>161</v>
      </c>
      <c r="F3581" t="s">
        <v>5386</v>
      </c>
      <c r="G3581" t="s">
        <v>77</v>
      </c>
      <c r="H3581" t="s">
        <v>78</v>
      </c>
      <c r="I3581">
        <v>10000</v>
      </c>
      <c r="J3581">
        <v>13000</v>
      </c>
      <c r="K3581">
        <v>2</v>
      </c>
      <c r="L3581">
        <v>20000</v>
      </c>
      <c r="M3581">
        <v>26000</v>
      </c>
      <c r="N3581" t="s">
        <v>56</v>
      </c>
      <c r="O3581">
        <f t="shared" si="110"/>
        <v>39000</v>
      </c>
      <c r="P3581" s="13">
        <f t="shared" si="111"/>
        <v>2144701</v>
      </c>
      <c r="Q3581" s="13">
        <f>SUMIFS(M:M,E:E,Online_eCommerce[[#This Row],[Status]])</f>
        <v>21103186</v>
      </c>
      <c r="R3581" s="13">
        <f>SUMIFS(L:L,H:H,Online_eCommerce[[#This Row],[Brand]])</f>
        <v>3720000</v>
      </c>
      <c r="S3581" s="13">
        <f>SUMIF(H:H,Online_eCommerce[[#This Row],[Brand]],M:M)</f>
        <v>4836000</v>
      </c>
      <c r="T3581" s="13">
        <f>SUMIF(N:N,Online_eCommerce[[#This Row],[Assigned Supervisor]],L:L)</f>
        <v>11733610</v>
      </c>
    </row>
    <row r="3582" spans="1:20" x14ac:dyDescent="0.3">
      <c r="A3582" t="s">
        <v>5400</v>
      </c>
      <c r="B3582" t="s">
        <v>235</v>
      </c>
      <c r="C3582" t="s">
        <v>81</v>
      </c>
      <c r="D3582" t="s">
        <v>5380</v>
      </c>
      <c r="E3582" t="s">
        <v>46</v>
      </c>
      <c r="F3582" t="s">
        <v>5401</v>
      </c>
      <c r="G3582" t="s">
        <v>20</v>
      </c>
      <c r="H3582" t="s">
        <v>21</v>
      </c>
      <c r="I3582">
        <v>10500</v>
      </c>
      <c r="J3582">
        <v>13650</v>
      </c>
      <c r="K3582">
        <v>2</v>
      </c>
      <c r="L3582">
        <v>21000</v>
      </c>
      <c r="M3582">
        <v>27300</v>
      </c>
      <c r="N3582" t="s">
        <v>22</v>
      </c>
      <c r="O3582">
        <f t="shared" si="110"/>
        <v>8450</v>
      </c>
      <c r="P3582" s="13">
        <f t="shared" si="111"/>
        <v>2595632</v>
      </c>
      <c r="Q3582" s="13">
        <f>SUMIFS(M:M,E:E,Online_eCommerce[[#This Row],[Status]])</f>
        <v>28620410</v>
      </c>
      <c r="R3582" s="13">
        <f>SUMIFS(L:L,H:H,Online_eCommerce[[#This Row],[Brand]])</f>
        <v>12435650</v>
      </c>
      <c r="S3582" s="13">
        <f>SUMIF(H:H,Online_eCommerce[[#This Row],[Brand]],M:M)</f>
        <v>16166345</v>
      </c>
      <c r="T3582" s="13">
        <f>SUMIF(N:N,Online_eCommerce[[#This Row],[Assigned Supervisor]],L:L)</f>
        <v>13693220</v>
      </c>
    </row>
    <row r="3583" spans="1:20" hidden="1" x14ac:dyDescent="0.3">
      <c r="A3583" t="s">
        <v>5402</v>
      </c>
      <c r="B3583" t="s">
        <v>176</v>
      </c>
      <c r="C3583" t="s">
        <v>86</v>
      </c>
      <c r="D3583" t="s">
        <v>5380</v>
      </c>
      <c r="E3583" t="s">
        <v>96</v>
      </c>
      <c r="F3583" t="s">
        <v>88</v>
      </c>
      <c r="G3583" t="s">
        <v>26</v>
      </c>
      <c r="H3583" t="s">
        <v>27</v>
      </c>
      <c r="I3583">
        <v>8500</v>
      </c>
      <c r="J3583">
        <v>11050</v>
      </c>
      <c r="K3583">
        <v>4</v>
      </c>
      <c r="L3583">
        <v>34000</v>
      </c>
      <c r="M3583">
        <v>44200</v>
      </c>
      <c r="N3583" t="s">
        <v>28</v>
      </c>
      <c r="O3583">
        <f t="shared" si="110"/>
        <v>33150</v>
      </c>
      <c r="P3583" s="13">
        <f t="shared" si="111"/>
        <v>1941225</v>
      </c>
      <c r="Q3583" s="13">
        <f>SUMIFS(M:M,E:E,Online_eCommerce[[#This Row],[Status]])</f>
        <v>21233992</v>
      </c>
      <c r="R3583" s="13">
        <f>SUMIFS(L:L,H:H,Online_eCommerce[[#This Row],[Brand]])</f>
        <v>14431000</v>
      </c>
      <c r="S3583" s="13">
        <f>SUMIF(H:H,Online_eCommerce[[#This Row],[Brand]],M:M)</f>
        <v>18760300</v>
      </c>
      <c r="T3583" s="13">
        <f>SUMIF(N:N,Online_eCommerce[[#This Row],[Assigned Supervisor]],L:L)</f>
        <v>12220830</v>
      </c>
    </row>
    <row r="3584" spans="1:20" hidden="1" x14ac:dyDescent="0.3">
      <c r="A3584" t="s">
        <v>5403</v>
      </c>
      <c r="B3584" t="s">
        <v>276</v>
      </c>
      <c r="C3584" t="s">
        <v>91</v>
      </c>
      <c r="D3584" t="s">
        <v>5380</v>
      </c>
      <c r="E3584" t="s">
        <v>18</v>
      </c>
      <c r="F3584" t="s">
        <v>32</v>
      </c>
      <c r="G3584" t="s">
        <v>33</v>
      </c>
      <c r="H3584" t="s">
        <v>34</v>
      </c>
      <c r="I3584">
        <v>7000</v>
      </c>
      <c r="J3584">
        <v>9100</v>
      </c>
      <c r="K3584">
        <v>2</v>
      </c>
      <c r="L3584">
        <v>14000</v>
      </c>
      <c r="M3584">
        <v>18200</v>
      </c>
      <c r="N3584" t="s">
        <v>35</v>
      </c>
      <c r="O3584">
        <f t="shared" si="110"/>
        <v>18200</v>
      </c>
      <c r="P3584" s="13">
        <f t="shared" si="111"/>
        <v>2731963</v>
      </c>
      <c r="Q3584" s="13">
        <f>SUMIFS(M:M,E:E,Online_eCommerce[[#This Row],[Status]])</f>
        <v>28340455</v>
      </c>
      <c r="R3584" s="13">
        <f>SUMIFS(L:L,H:H,Online_eCommerce[[#This Row],[Brand]])</f>
        <v>10087000</v>
      </c>
      <c r="S3584" s="13">
        <f>SUMIF(H:H,Online_eCommerce[[#This Row],[Brand]],M:M)</f>
        <v>13113100</v>
      </c>
      <c r="T3584" s="13">
        <f>SUMIF(N:N,Online_eCommerce[[#This Row],[Assigned Supervisor]],L:L)</f>
        <v>14373360</v>
      </c>
    </row>
    <row r="3585" spans="1:20" hidden="1" x14ac:dyDescent="0.3">
      <c r="A3585" t="s">
        <v>5404</v>
      </c>
      <c r="B3585" t="s">
        <v>280</v>
      </c>
      <c r="C3585" t="s">
        <v>94</v>
      </c>
      <c r="D3585" t="s">
        <v>5380</v>
      </c>
      <c r="E3585" t="s">
        <v>161</v>
      </c>
      <c r="F3585" t="s">
        <v>5405</v>
      </c>
      <c r="G3585" t="s">
        <v>40</v>
      </c>
      <c r="H3585" t="s">
        <v>41</v>
      </c>
      <c r="I3585">
        <v>1680</v>
      </c>
      <c r="J3585">
        <v>2184</v>
      </c>
      <c r="K3585">
        <v>3</v>
      </c>
      <c r="L3585">
        <v>5040</v>
      </c>
      <c r="M3585">
        <v>6552</v>
      </c>
      <c r="N3585" t="s">
        <v>42</v>
      </c>
      <c r="O3585">
        <f t="shared" si="110"/>
        <v>25545</v>
      </c>
      <c r="P3585" s="13">
        <f t="shared" si="111"/>
        <v>1868256</v>
      </c>
      <c r="Q3585" s="13">
        <f>SUMIFS(M:M,E:E,Online_eCommerce[[#This Row],[Status]])</f>
        <v>21103186</v>
      </c>
      <c r="R3585" s="13">
        <f>SUMIFS(L:L,H:H,Online_eCommerce[[#This Row],[Brand]])</f>
        <v>4260400</v>
      </c>
      <c r="S3585" s="13">
        <f>SUMIF(H:H,Online_eCommerce[[#This Row],[Brand]],M:M)</f>
        <v>5538520</v>
      </c>
      <c r="T3585" s="13">
        <f>SUMIF(N:N,Online_eCommerce[[#This Row],[Assigned Supervisor]],L:L)</f>
        <v>12261500</v>
      </c>
    </row>
    <row r="3586" spans="1:20" x14ac:dyDescent="0.3">
      <c r="A3586" t="s">
        <v>5406</v>
      </c>
      <c r="B3586" t="s">
        <v>283</v>
      </c>
      <c r="C3586" t="s">
        <v>99</v>
      </c>
      <c r="D3586" t="s">
        <v>5380</v>
      </c>
      <c r="E3586" t="s">
        <v>46</v>
      </c>
      <c r="F3586" t="s">
        <v>101</v>
      </c>
      <c r="G3586" t="s">
        <v>334</v>
      </c>
      <c r="H3586" t="s">
        <v>102</v>
      </c>
      <c r="I3586">
        <v>6540</v>
      </c>
      <c r="J3586">
        <v>8502</v>
      </c>
      <c r="K3586">
        <v>2</v>
      </c>
      <c r="L3586">
        <v>13080</v>
      </c>
      <c r="M3586">
        <v>17004</v>
      </c>
      <c r="N3586" t="s">
        <v>50</v>
      </c>
      <c r="O3586">
        <f t="shared" ref="O3586:O3649" si="112">VLOOKUP(G3586,G:M,7,FALSE)</f>
        <v>39780</v>
      </c>
      <c r="P3586" s="13">
        <f t="shared" ref="P3586:P3649" si="113">SUMIFS(M:M,C:C,C3586)</f>
        <v>2651233</v>
      </c>
      <c r="Q3586" s="13">
        <f>SUMIFS(M:M,E:E,Online_eCommerce[[#This Row],[Status]])</f>
        <v>28620410</v>
      </c>
      <c r="R3586" s="13">
        <f>SUMIFS(L:L,H:H,Online_eCommerce[[#This Row],[Brand]])</f>
        <v>2465580</v>
      </c>
      <c r="S3586" s="13">
        <f>SUMIF(H:H,Online_eCommerce[[#This Row],[Brand]],M:M)</f>
        <v>3205254</v>
      </c>
      <c r="T3586" s="13">
        <f>SUMIF(N:N,Online_eCommerce[[#This Row],[Assigned Supervisor]],L:L)</f>
        <v>12100590</v>
      </c>
    </row>
    <row r="3587" spans="1:20" hidden="1" x14ac:dyDescent="0.3">
      <c r="A3587" t="s">
        <v>5407</v>
      </c>
      <c r="B3587" t="s">
        <v>287</v>
      </c>
      <c r="C3587" t="s">
        <v>105</v>
      </c>
      <c r="D3587" t="s">
        <v>5380</v>
      </c>
      <c r="E3587" t="s">
        <v>96</v>
      </c>
      <c r="F3587" t="s">
        <v>107</v>
      </c>
      <c r="G3587" t="s">
        <v>54</v>
      </c>
      <c r="H3587" t="s">
        <v>55</v>
      </c>
      <c r="I3587">
        <v>2680</v>
      </c>
      <c r="J3587">
        <v>3484</v>
      </c>
      <c r="K3587">
        <v>3</v>
      </c>
      <c r="L3587">
        <v>8040</v>
      </c>
      <c r="M3587">
        <v>10452</v>
      </c>
      <c r="N3587" t="s">
        <v>56</v>
      </c>
      <c r="O3587">
        <f t="shared" si="112"/>
        <v>2990</v>
      </c>
      <c r="P3587" s="13">
        <f t="shared" si="113"/>
        <v>1866852</v>
      </c>
      <c r="Q3587" s="13">
        <f>SUMIFS(M:M,E:E,Online_eCommerce[[#This Row],[Status]])</f>
        <v>21233992</v>
      </c>
      <c r="R3587" s="13">
        <f>SUMIFS(L:L,H:H,Online_eCommerce[[#This Row],[Brand]])</f>
        <v>2267380</v>
      </c>
      <c r="S3587" s="13">
        <f>SUMIF(H:H,Online_eCommerce[[#This Row],[Brand]],M:M)</f>
        <v>2947594</v>
      </c>
      <c r="T3587" s="13">
        <f>SUMIF(N:N,Online_eCommerce[[#This Row],[Assigned Supervisor]],L:L)</f>
        <v>11733610</v>
      </c>
    </row>
    <row r="3588" spans="1:20" hidden="1" x14ac:dyDescent="0.3">
      <c r="A3588" t="s">
        <v>5408</v>
      </c>
      <c r="B3588" t="s">
        <v>290</v>
      </c>
      <c r="C3588" t="s">
        <v>110</v>
      </c>
      <c r="D3588" t="s">
        <v>5380</v>
      </c>
      <c r="E3588" t="s">
        <v>18</v>
      </c>
      <c r="F3588" t="s">
        <v>112</v>
      </c>
      <c r="G3588" t="s">
        <v>71</v>
      </c>
      <c r="H3588" t="s">
        <v>21</v>
      </c>
      <c r="I3588">
        <v>8250</v>
      </c>
      <c r="J3588">
        <v>10725</v>
      </c>
      <c r="K3588">
        <v>2</v>
      </c>
      <c r="L3588">
        <v>16500</v>
      </c>
      <c r="M3588">
        <v>21450</v>
      </c>
      <c r="N3588" t="s">
        <v>22</v>
      </c>
      <c r="O3588">
        <f t="shared" si="112"/>
        <v>9750</v>
      </c>
      <c r="P3588" s="13">
        <f t="shared" si="113"/>
        <v>2598635</v>
      </c>
      <c r="Q3588" s="13">
        <f>SUMIFS(M:M,E:E,Online_eCommerce[[#This Row],[Status]])</f>
        <v>28340455</v>
      </c>
      <c r="R3588" s="13">
        <f>SUMIFS(L:L,H:H,Online_eCommerce[[#This Row],[Brand]])</f>
        <v>12435650</v>
      </c>
      <c r="S3588" s="13">
        <f>SUMIF(H:H,Online_eCommerce[[#This Row],[Brand]],M:M)</f>
        <v>16166345</v>
      </c>
      <c r="T3588" s="13">
        <f>SUMIF(N:N,Online_eCommerce[[#This Row],[Assigned Supervisor]],L:L)</f>
        <v>13693220</v>
      </c>
    </row>
    <row r="3589" spans="1:20" hidden="1" x14ac:dyDescent="0.3">
      <c r="A3589" t="s">
        <v>5409</v>
      </c>
      <c r="B3589" t="s">
        <v>15</v>
      </c>
      <c r="C3589" t="s">
        <v>115</v>
      </c>
      <c r="D3589" t="s">
        <v>5380</v>
      </c>
      <c r="E3589" t="s">
        <v>161</v>
      </c>
      <c r="F3589" t="s">
        <v>4966</v>
      </c>
      <c r="G3589" t="s">
        <v>40</v>
      </c>
      <c r="H3589" t="s">
        <v>21</v>
      </c>
      <c r="I3589">
        <v>2650</v>
      </c>
      <c r="J3589">
        <v>3445</v>
      </c>
      <c r="K3589">
        <v>3</v>
      </c>
      <c r="L3589">
        <v>7950</v>
      </c>
      <c r="M3589">
        <v>10335</v>
      </c>
      <c r="N3589" t="s">
        <v>28</v>
      </c>
      <c r="O3589">
        <f t="shared" si="112"/>
        <v>25545</v>
      </c>
      <c r="P3589" s="13">
        <f t="shared" si="113"/>
        <v>2050178</v>
      </c>
      <c r="Q3589" s="13">
        <f>SUMIFS(M:M,E:E,Online_eCommerce[[#This Row],[Status]])</f>
        <v>21103186</v>
      </c>
      <c r="R3589" s="13">
        <f>SUMIFS(L:L,H:H,Online_eCommerce[[#This Row],[Brand]])</f>
        <v>12435650</v>
      </c>
      <c r="S3589" s="13">
        <f>SUMIF(H:H,Online_eCommerce[[#This Row],[Brand]],M:M)</f>
        <v>16166345</v>
      </c>
      <c r="T3589" s="13">
        <f>SUMIF(N:N,Online_eCommerce[[#This Row],[Assigned Supervisor]],L:L)</f>
        <v>12220830</v>
      </c>
    </row>
    <row r="3590" spans="1:20" x14ac:dyDescent="0.3">
      <c r="A3590" t="s">
        <v>5410</v>
      </c>
      <c r="B3590" t="s">
        <v>202</v>
      </c>
      <c r="C3590" t="s">
        <v>120</v>
      </c>
      <c r="D3590" t="s">
        <v>5380</v>
      </c>
      <c r="E3590" t="s">
        <v>46</v>
      </c>
      <c r="F3590" t="s">
        <v>121</v>
      </c>
      <c r="G3590" t="s">
        <v>71</v>
      </c>
      <c r="H3590" t="s">
        <v>122</v>
      </c>
      <c r="I3590">
        <v>12550</v>
      </c>
      <c r="J3590">
        <v>16315</v>
      </c>
      <c r="K3590">
        <v>4</v>
      </c>
      <c r="L3590">
        <v>50200</v>
      </c>
      <c r="M3590">
        <v>65260</v>
      </c>
      <c r="N3590" t="s">
        <v>35</v>
      </c>
      <c r="O3590">
        <f t="shared" si="112"/>
        <v>9750</v>
      </c>
      <c r="P3590" s="13">
        <f t="shared" si="113"/>
        <v>2734212</v>
      </c>
      <c r="Q3590" s="13">
        <f>SUMIFS(M:M,E:E,Online_eCommerce[[#This Row],[Status]])</f>
        <v>28620410</v>
      </c>
      <c r="R3590" s="13">
        <f>SUMIFS(L:L,H:H,Online_eCommerce[[#This Row],[Brand]])</f>
        <v>5045100</v>
      </c>
      <c r="S3590" s="13">
        <f>SUMIF(H:H,Online_eCommerce[[#This Row],[Brand]],M:M)</f>
        <v>6558630</v>
      </c>
      <c r="T3590" s="13">
        <f>SUMIF(N:N,Online_eCommerce[[#This Row],[Assigned Supervisor]],L:L)</f>
        <v>14373360</v>
      </c>
    </row>
    <row r="3591" spans="1:20" hidden="1" x14ac:dyDescent="0.3">
      <c r="A3591" t="s">
        <v>5411</v>
      </c>
      <c r="B3591" t="s">
        <v>30</v>
      </c>
      <c r="C3591" t="s">
        <v>125</v>
      </c>
      <c r="D3591" t="s">
        <v>5380</v>
      </c>
      <c r="E3591" t="s">
        <v>96</v>
      </c>
      <c r="F3591" t="s">
        <v>126</v>
      </c>
      <c r="G3591" t="s">
        <v>26</v>
      </c>
      <c r="H3591" t="s">
        <v>27</v>
      </c>
      <c r="I3591">
        <v>14500</v>
      </c>
      <c r="J3591">
        <v>18850</v>
      </c>
      <c r="K3591">
        <v>3</v>
      </c>
      <c r="L3591">
        <v>43500</v>
      </c>
      <c r="M3591">
        <v>56550</v>
      </c>
      <c r="N3591" t="s">
        <v>42</v>
      </c>
      <c r="O3591">
        <f t="shared" si="112"/>
        <v>33150</v>
      </c>
      <c r="P3591" s="13">
        <f t="shared" si="113"/>
        <v>2091154</v>
      </c>
      <c r="Q3591" s="13">
        <f>SUMIFS(M:M,E:E,Online_eCommerce[[#This Row],[Status]])</f>
        <v>21233992</v>
      </c>
      <c r="R3591" s="13">
        <f>SUMIFS(L:L,H:H,Online_eCommerce[[#This Row],[Brand]])</f>
        <v>14431000</v>
      </c>
      <c r="S3591" s="13">
        <f>SUMIF(H:H,Online_eCommerce[[#This Row],[Brand]],M:M)</f>
        <v>18760300</v>
      </c>
      <c r="T3591" s="13">
        <f>SUMIF(N:N,Online_eCommerce[[#This Row],[Assigned Supervisor]],L:L)</f>
        <v>12261500</v>
      </c>
    </row>
    <row r="3592" spans="1:20" hidden="1" x14ac:dyDescent="0.3">
      <c r="A3592" t="s">
        <v>5412</v>
      </c>
      <c r="B3592" t="s">
        <v>37</v>
      </c>
      <c r="C3592" t="s">
        <v>22</v>
      </c>
      <c r="D3592" t="s">
        <v>5380</v>
      </c>
      <c r="E3592" t="s">
        <v>18</v>
      </c>
      <c r="F3592" t="s">
        <v>129</v>
      </c>
      <c r="G3592" t="s">
        <v>60</v>
      </c>
      <c r="H3592" t="s">
        <v>61</v>
      </c>
      <c r="I3592">
        <v>800</v>
      </c>
      <c r="J3592">
        <v>1040</v>
      </c>
      <c r="K3592">
        <v>3</v>
      </c>
      <c r="L3592">
        <v>2400</v>
      </c>
      <c r="M3592">
        <v>3120</v>
      </c>
      <c r="N3592" t="s">
        <v>50</v>
      </c>
      <c r="O3592">
        <f t="shared" si="112"/>
        <v>3315</v>
      </c>
      <c r="P3592" s="13">
        <f t="shared" si="113"/>
        <v>2551588</v>
      </c>
      <c r="Q3592" s="13">
        <f>SUMIFS(M:M,E:E,Online_eCommerce[[#This Row],[Status]])</f>
        <v>28340455</v>
      </c>
      <c r="R3592" s="13">
        <f>SUMIFS(L:L,H:H,Online_eCommerce[[#This Row],[Brand]])</f>
        <v>10950150</v>
      </c>
      <c r="S3592" s="13">
        <f>SUMIF(H:H,Online_eCommerce[[#This Row],[Brand]],M:M)</f>
        <v>14235195</v>
      </c>
      <c r="T3592" s="13">
        <f>SUMIF(N:N,Online_eCommerce[[#This Row],[Assigned Supervisor]],L:L)</f>
        <v>12100590</v>
      </c>
    </row>
    <row r="3593" spans="1:20" hidden="1" x14ac:dyDescent="0.3">
      <c r="A3593" t="s">
        <v>5413</v>
      </c>
      <c r="B3593" t="s">
        <v>44</v>
      </c>
      <c r="C3593" t="s">
        <v>132</v>
      </c>
      <c r="D3593" t="s">
        <v>5380</v>
      </c>
      <c r="E3593" t="s">
        <v>161</v>
      </c>
      <c r="F3593" t="s">
        <v>133</v>
      </c>
      <c r="G3593" t="s">
        <v>66</v>
      </c>
      <c r="H3593" t="s">
        <v>21</v>
      </c>
      <c r="I3593">
        <v>600</v>
      </c>
      <c r="J3593">
        <v>780</v>
      </c>
      <c r="K3593">
        <v>2</v>
      </c>
      <c r="L3593">
        <v>1200</v>
      </c>
      <c r="M3593">
        <v>1560</v>
      </c>
      <c r="N3593" t="s">
        <v>56</v>
      </c>
      <c r="O3593">
        <f t="shared" si="112"/>
        <v>1690</v>
      </c>
      <c r="P3593" s="13">
        <f t="shared" si="113"/>
        <v>1989065</v>
      </c>
      <c r="Q3593" s="13">
        <f>SUMIFS(M:M,E:E,Online_eCommerce[[#This Row],[Status]])</f>
        <v>21103186</v>
      </c>
      <c r="R3593" s="13">
        <f>SUMIFS(L:L,H:H,Online_eCommerce[[#This Row],[Brand]])</f>
        <v>12435650</v>
      </c>
      <c r="S3593" s="13">
        <f>SUMIF(H:H,Online_eCommerce[[#This Row],[Brand]],M:M)</f>
        <v>16166345</v>
      </c>
      <c r="T3593" s="13">
        <f>SUMIF(N:N,Online_eCommerce[[#This Row],[Assigned Supervisor]],L:L)</f>
        <v>11733610</v>
      </c>
    </row>
    <row r="3594" spans="1:20" x14ac:dyDescent="0.3">
      <c r="A3594" t="s">
        <v>5414</v>
      </c>
      <c r="B3594" t="s">
        <v>213</v>
      </c>
      <c r="C3594" t="s">
        <v>136</v>
      </c>
      <c r="D3594" t="s">
        <v>5380</v>
      </c>
      <c r="E3594" t="s">
        <v>46</v>
      </c>
      <c r="F3594" t="s">
        <v>137</v>
      </c>
      <c r="G3594" t="s">
        <v>71</v>
      </c>
      <c r="H3594" t="s">
        <v>61</v>
      </c>
      <c r="I3594">
        <v>10500</v>
      </c>
      <c r="J3594">
        <v>13650</v>
      </c>
      <c r="K3594">
        <v>2</v>
      </c>
      <c r="L3594">
        <v>21000</v>
      </c>
      <c r="M3594">
        <v>27300</v>
      </c>
      <c r="N3594" t="s">
        <v>22</v>
      </c>
      <c r="O3594">
        <f t="shared" si="112"/>
        <v>9750</v>
      </c>
      <c r="P3594" s="13">
        <f t="shared" si="113"/>
        <v>2775162</v>
      </c>
      <c r="Q3594" s="13">
        <f>SUMIFS(M:M,E:E,Online_eCommerce[[#This Row],[Status]])</f>
        <v>28620410</v>
      </c>
      <c r="R3594" s="13">
        <f>SUMIFS(L:L,H:H,Online_eCommerce[[#This Row],[Brand]])</f>
        <v>10950150</v>
      </c>
      <c r="S3594" s="13">
        <f>SUMIF(H:H,Online_eCommerce[[#This Row],[Brand]],M:M)</f>
        <v>14235195</v>
      </c>
      <c r="T3594" s="13">
        <f>SUMIF(N:N,Online_eCommerce[[#This Row],[Assigned Supervisor]],L:L)</f>
        <v>13693220</v>
      </c>
    </row>
    <row r="3595" spans="1:20" hidden="1" x14ac:dyDescent="0.3">
      <c r="A3595" t="s">
        <v>5415</v>
      </c>
      <c r="B3595" t="s">
        <v>215</v>
      </c>
      <c r="C3595" t="s">
        <v>140</v>
      </c>
      <c r="D3595" t="s">
        <v>5380</v>
      </c>
      <c r="E3595" t="s">
        <v>96</v>
      </c>
      <c r="F3595" t="s">
        <v>5386</v>
      </c>
      <c r="G3595" t="s">
        <v>77</v>
      </c>
      <c r="H3595" t="s">
        <v>142</v>
      </c>
      <c r="I3595">
        <v>6500</v>
      </c>
      <c r="J3595">
        <v>8450</v>
      </c>
      <c r="K3595">
        <v>1</v>
      </c>
      <c r="L3595">
        <v>6500</v>
      </c>
      <c r="M3595">
        <v>8450</v>
      </c>
      <c r="N3595" t="s">
        <v>28</v>
      </c>
      <c r="O3595">
        <f t="shared" si="112"/>
        <v>39000</v>
      </c>
      <c r="P3595" s="13">
        <f t="shared" si="113"/>
        <v>2058264</v>
      </c>
      <c r="Q3595" s="13">
        <f>SUMIFS(M:M,E:E,Online_eCommerce[[#This Row],[Status]])</f>
        <v>21233992</v>
      </c>
      <c r="R3595" s="13">
        <f>SUMIFS(L:L,H:H,Online_eCommerce[[#This Row],[Brand]])</f>
        <v>6192500</v>
      </c>
      <c r="S3595" s="13">
        <f>SUMIF(H:H,Online_eCommerce[[#This Row],[Brand]],M:M)</f>
        <v>8050250</v>
      </c>
      <c r="T3595" s="13">
        <f>SUMIF(N:N,Online_eCommerce[[#This Row],[Assigned Supervisor]],L:L)</f>
        <v>12220830</v>
      </c>
    </row>
    <row r="3596" spans="1:20" hidden="1" x14ac:dyDescent="0.3">
      <c r="A3596" t="s">
        <v>5416</v>
      </c>
      <c r="B3596" t="s">
        <v>306</v>
      </c>
      <c r="C3596" t="s">
        <v>145</v>
      </c>
      <c r="D3596" t="s">
        <v>5380</v>
      </c>
      <c r="E3596" t="s">
        <v>18</v>
      </c>
      <c r="F3596" t="s">
        <v>5417</v>
      </c>
      <c r="G3596" t="s">
        <v>20</v>
      </c>
      <c r="H3596" t="s">
        <v>21</v>
      </c>
      <c r="I3596">
        <v>4500</v>
      </c>
      <c r="J3596">
        <v>5850</v>
      </c>
      <c r="K3596">
        <v>2</v>
      </c>
      <c r="L3596">
        <v>9000</v>
      </c>
      <c r="M3596">
        <v>11700</v>
      </c>
      <c r="N3596" t="s">
        <v>35</v>
      </c>
      <c r="O3596">
        <f t="shared" si="112"/>
        <v>8450</v>
      </c>
      <c r="P3596" s="13">
        <f t="shared" si="113"/>
        <v>2757859</v>
      </c>
      <c r="Q3596" s="13">
        <f>SUMIFS(M:M,E:E,Online_eCommerce[[#This Row],[Status]])</f>
        <v>28340455</v>
      </c>
      <c r="R3596" s="13">
        <f>SUMIFS(L:L,H:H,Online_eCommerce[[#This Row],[Brand]])</f>
        <v>12435650</v>
      </c>
      <c r="S3596" s="13">
        <f>SUMIF(H:H,Online_eCommerce[[#This Row],[Brand]],M:M)</f>
        <v>16166345</v>
      </c>
      <c r="T3596" s="13">
        <f>SUMIF(N:N,Online_eCommerce[[#This Row],[Assigned Supervisor]],L:L)</f>
        <v>14373360</v>
      </c>
    </row>
    <row r="3597" spans="1:20" hidden="1" x14ac:dyDescent="0.3">
      <c r="A3597" t="s">
        <v>5418</v>
      </c>
      <c r="B3597" t="s">
        <v>528</v>
      </c>
      <c r="C3597" t="s">
        <v>150</v>
      </c>
      <c r="D3597" t="s">
        <v>5380</v>
      </c>
      <c r="E3597" t="s">
        <v>161</v>
      </c>
      <c r="F3597" t="s">
        <v>152</v>
      </c>
      <c r="G3597" t="s">
        <v>26</v>
      </c>
      <c r="H3597" t="s">
        <v>27</v>
      </c>
      <c r="I3597">
        <v>8500</v>
      </c>
      <c r="J3597">
        <v>11050</v>
      </c>
      <c r="K3597">
        <v>2</v>
      </c>
      <c r="L3597">
        <v>17000</v>
      </c>
      <c r="M3597">
        <v>22100</v>
      </c>
      <c r="N3597" t="s">
        <v>42</v>
      </c>
      <c r="O3597">
        <f t="shared" si="112"/>
        <v>33150</v>
      </c>
      <c r="P3597" s="13">
        <f t="shared" si="113"/>
        <v>2154984</v>
      </c>
      <c r="Q3597" s="13">
        <f>SUMIFS(M:M,E:E,Online_eCommerce[[#This Row],[Status]])</f>
        <v>21103186</v>
      </c>
      <c r="R3597" s="13">
        <f>SUMIFS(L:L,H:H,Online_eCommerce[[#This Row],[Brand]])</f>
        <v>14431000</v>
      </c>
      <c r="S3597" s="13">
        <f>SUMIF(H:H,Online_eCommerce[[#This Row],[Brand]],M:M)</f>
        <v>18760300</v>
      </c>
      <c r="T3597" s="13">
        <f>SUMIF(N:N,Online_eCommerce[[#This Row],[Assigned Supervisor]],L:L)</f>
        <v>12261500</v>
      </c>
    </row>
    <row r="3598" spans="1:20" x14ac:dyDescent="0.3">
      <c r="A3598" t="s">
        <v>5419</v>
      </c>
      <c r="B3598" t="s">
        <v>73</v>
      </c>
      <c r="C3598" t="s">
        <v>155</v>
      </c>
      <c r="D3598" t="s">
        <v>5380</v>
      </c>
      <c r="E3598" t="s">
        <v>46</v>
      </c>
      <c r="F3598" t="s">
        <v>157</v>
      </c>
      <c r="G3598" t="s">
        <v>33</v>
      </c>
      <c r="H3598" t="s">
        <v>34</v>
      </c>
      <c r="I3598">
        <v>12500</v>
      </c>
      <c r="J3598">
        <v>16250</v>
      </c>
      <c r="K3598">
        <v>4</v>
      </c>
      <c r="L3598">
        <v>50000</v>
      </c>
      <c r="M3598">
        <v>65000</v>
      </c>
      <c r="N3598" t="s">
        <v>50</v>
      </c>
      <c r="O3598">
        <f t="shared" si="112"/>
        <v>18200</v>
      </c>
      <c r="P3598" s="13">
        <f t="shared" si="113"/>
        <v>2753348</v>
      </c>
      <c r="Q3598" s="13">
        <f>SUMIFS(M:M,E:E,Online_eCommerce[[#This Row],[Status]])</f>
        <v>28620410</v>
      </c>
      <c r="R3598" s="13">
        <f>SUMIFS(L:L,H:H,Online_eCommerce[[#This Row],[Brand]])</f>
        <v>10087000</v>
      </c>
      <c r="S3598" s="13">
        <f>SUMIF(H:H,Online_eCommerce[[#This Row],[Brand]],M:M)</f>
        <v>13113100</v>
      </c>
      <c r="T3598" s="13">
        <f>SUMIF(N:N,Online_eCommerce[[#This Row],[Assigned Supervisor]],L:L)</f>
        <v>12100590</v>
      </c>
    </row>
    <row r="3599" spans="1:20" hidden="1" x14ac:dyDescent="0.3">
      <c r="A3599" t="s">
        <v>5420</v>
      </c>
      <c r="B3599" t="s">
        <v>80</v>
      </c>
      <c r="C3599" t="s">
        <v>160</v>
      </c>
      <c r="D3599" t="s">
        <v>5380</v>
      </c>
      <c r="E3599" t="s">
        <v>96</v>
      </c>
      <c r="F3599" t="s">
        <v>5012</v>
      </c>
      <c r="G3599" t="s">
        <v>163</v>
      </c>
      <c r="H3599" t="s">
        <v>41</v>
      </c>
      <c r="I3599">
        <v>3500</v>
      </c>
      <c r="J3599">
        <v>4550</v>
      </c>
      <c r="K3599">
        <v>2</v>
      </c>
      <c r="L3599">
        <v>7000</v>
      </c>
      <c r="M3599">
        <v>9100</v>
      </c>
      <c r="N3599" t="s">
        <v>56</v>
      </c>
      <c r="O3599">
        <f t="shared" si="112"/>
        <v>13650</v>
      </c>
      <c r="P3599" s="13">
        <f t="shared" si="113"/>
        <v>2303483</v>
      </c>
      <c r="Q3599" s="13">
        <f>SUMIFS(M:M,E:E,Online_eCommerce[[#This Row],[Status]])</f>
        <v>21233992</v>
      </c>
      <c r="R3599" s="13">
        <f>SUMIFS(L:L,H:H,Online_eCommerce[[#This Row],[Brand]])</f>
        <v>4260400</v>
      </c>
      <c r="S3599" s="13">
        <f>SUMIF(H:H,Online_eCommerce[[#This Row],[Brand]],M:M)</f>
        <v>5538520</v>
      </c>
      <c r="T3599" s="13">
        <f>SUMIF(N:N,Online_eCommerce[[#This Row],[Assigned Supervisor]],L:L)</f>
        <v>11733610</v>
      </c>
    </row>
    <row r="3600" spans="1:20" hidden="1" x14ac:dyDescent="0.3">
      <c r="A3600" t="s">
        <v>5421</v>
      </c>
      <c r="B3600" t="s">
        <v>85</v>
      </c>
      <c r="C3600" t="s">
        <v>165</v>
      </c>
      <c r="D3600" t="s">
        <v>5380</v>
      </c>
      <c r="E3600" t="s">
        <v>18</v>
      </c>
      <c r="F3600" t="s">
        <v>166</v>
      </c>
      <c r="G3600" t="s">
        <v>66</v>
      </c>
      <c r="H3600" t="s">
        <v>49</v>
      </c>
      <c r="I3600">
        <v>4500</v>
      </c>
      <c r="J3600">
        <v>5850</v>
      </c>
      <c r="K3600">
        <v>4</v>
      </c>
      <c r="L3600">
        <v>18000</v>
      </c>
      <c r="M3600">
        <v>23400</v>
      </c>
      <c r="N3600" t="s">
        <v>22</v>
      </c>
      <c r="O3600">
        <f t="shared" si="112"/>
        <v>1690</v>
      </c>
      <c r="P3600" s="13">
        <f t="shared" si="113"/>
        <v>2674087</v>
      </c>
      <c r="Q3600" s="13">
        <f>SUMIFS(M:M,E:E,Online_eCommerce[[#This Row],[Status]])</f>
        <v>28340455</v>
      </c>
      <c r="R3600" s="13">
        <f>SUMIFS(L:L,H:H,Online_eCommerce[[#This Row],[Brand]])</f>
        <v>4528350</v>
      </c>
      <c r="S3600" s="13">
        <f>SUMIF(H:H,Online_eCommerce[[#This Row],[Brand]],M:M)</f>
        <v>5886855</v>
      </c>
      <c r="T3600" s="13">
        <f>SUMIF(N:N,Online_eCommerce[[#This Row],[Assigned Supervisor]],L:L)</f>
        <v>13693220</v>
      </c>
    </row>
    <row r="3601" spans="1:20" hidden="1" x14ac:dyDescent="0.3">
      <c r="A3601" t="s">
        <v>5422</v>
      </c>
      <c r="B3601" t="s">
        <v>90</v>
      </c>
      <c r="C3601" t="s">
        <v>168</v>
      </c>
      <c r="D3601" t="s">
        <v>5380</v>
      </c>
      <c r="E3601" t="s">
        <v>161</v>
      </c>
      <c r="F3601" t="s">
        <v>5423</v>
      </c>
      <c r="G3601" t="s">
        <v>54</v>
      </c>
      <c r="H3601" t="s">
        <v>55</v>
      </c>
      <c r="I3601">
        <v>2100</v>
      </c>
      <c r="J3601">
        <v>2730</v>
      </c>
      <c r="K3601">
        <v>1</v>
      </c>
      <c r="L3601">
        <v>2100</v>
      </c>
      <c r="M3601">
        <v>2730</v>
      </c>
      <c r="N3601" t="s">
        <v>28</v>
      </c>
      <c r="O3601">
        <f t="shared" si="112"/>
        <v>2990</v>
      </c>
      <c r="P3601" s="13">
        <f t="shared" si="113"/>
        <v>1937780</v>
      </c>
      <c r="Q3601" s="13">
        <f>SUMIFS(M:M,E:E,Online_eCommerce[[#This Row],[Status]])</f>
        <v>21103186</v>
      </c>
      <c r="R3601" s="13">
        <f>SUMIFS(L:L,H:H,Online_eCommerce[[#This Row],[Brand]])</f>
        <v>2267380</v>
      </c>
      <c r="S3601" s="13">
        <f>SUMIF(H:H,Online_eCommerce[[#This Row],[Brand]],M:M)</f>
        <v>2947594</v>
      </c>
      <c r="T3601" s="13">
        <f>SUMIF(N:N,Online_eCommerce[[#This Row],[Assigned Supervisor]],L:L)</f>
        <v>12220830</v>
      </c>
    </row>
    <row r="3602" spans="1:20" x14ac:dyDescent="0.3">
      <c r="A3602" t="s">
        <v>5424</v>
      </c>
      <c r="B3602" t="s">
        <v>232</v>
      </c>
      <c r="C3602" t="s">
        <v>172</v>
      </c>
      <c r="D3602" t="s">
        <v>5380</v>
      </c>
      <c r="E3602" t="s">
        <v>46</v>
      </c>
      <c r="F3602" t="s">
        <v>174</v>
      </c>
      <c r="G3602" t="s">
        <v>60</v>
      </c>
      <c r="H3602" t="s">
        <v>61</v>
      </c>
      <c r="I3602">
        <v>1150</v>
      </c>
      <c r="J3602">
        <v>1495</v>
      </c>
      <c r="K3602">
        <v>4</v>
      </c>
      <c r="L3602">
        <v>4600</v>
      </c>
      <c r="M3602">
        <v>5980</v>
      </c>
      <c r="N3602" t="s">
        <v>35</v>
      </c>
      <c r="O3602">
        <f t="shared" si="112"/>
        <v>3315</v>
      </c>
      <c r="P3602" s="13">
        <f t="shared" si="113"/>
        <v>2640274</v>
      </c>
      <c r="Q3602" s="13">
        <f>SUMIFS(M:M,E:E,Online_eCommerce[[#This Row],[Status]])</f>
        <v>28620410</v>
      </c>
      <c r="R3602" s="13">
        <f>SUMIFS(L:L,H:H,Online_eCommerce[[#This Row],[Brand]])</f>
        <v>10950150</v>
      </c>
      <c r="S3602" s="13">
        <f>SUMIF(H:H,Online_eCommerce[[#This Row],[Brand]],M:M)</f>
        <v>14235195</v>
      </c>
      <c r="T3602" s="13">
        <f>SUMIF(N:N,Online_eCommerce[[#This Row],[Assigned Supervisor]],L:L)</f>
        <v>14373360</v>
      </c>
    </row>
    <row r="3603" spans="1:20" hidden="1" x14ac:dyDescent="0.3">
      <c r="A3603" t="s">
        <v>5425</v>
      </c>
      <c r="B3603" t="s">
        <v>235</v>
      </c>
      <c r="C3603" t="s">
        <v>177</v>
      </c>
      <c r="D3603" t="s">
        <v>5380</v>
      </c>
      <c r="E3603" t="s">
        <v>96</v>
      </c>
      <c r="F3603" t="s">
        <v>179</v>
      </c>
      <c r="G3603" t="s">
        <v>66</v>
      </c>
      <c r="H3603" t="s">
        <v>21</v>
      </c>
      <c r="I3603">
        <v>350</v>
      </c>
      <c r="J3603">
        <v>455</v>
      </c>
      <c r="K3603">
        <v>4</v>
      </c>
      <c r="L3603">
        <v>1400</v>
      </c>
      <c r="M3603">
        <v>1820</v>
      </c>
      <c r="N3603" t="s">
        <v>42</v>
      </c>
      <c r="O3603">
        <f t="shared" si="112"/>
        <v>1690</v>
      </c>
      <c r="P3603" s="13">
        <f t="shared" si="113"/>
        <v>1863810</v>
      </c>
      <c r="Q3603" s="13">
        <f>SUMIFS(M:M,E:E,Online_eCommerce[[#This Row],[Status]])</f>
        <v>21233992</v>
      </c>
      <c r="R3603" s="13">
        <f>SUMIFS(L:L,H:H,Online_eCommerce[[#This Row],[Brand]])</f>
        <v>12435650</v>
      </c>
      <c r="S3603" s="13">
        <f>SUMIF(H:H,Online_eCommerce[[#This Row],[Brand]],M:M)</f>
        <v>16166345</v>
      </c>
      <c r="T3603" s="13">
        <f>SUMIF(N:N,Online_eCommerce[[#This Row],[Assigned Supervisor]],L:L)</f>
        <v>12261500</v>
      </c>
    </row>
    <row r="3604" spans="1:20" hidden="1" x14ac:dyDescent="0.3">
      <c r="A3604" t="s">
        <v>5426</v>
      </c>
      <c r="B3604" t="s">
        <v>104</v>
      </c>
      <c r="C3604" t="s">
        <v>181</v>
      </c>
      <c r="D3604" t="s">
        <v>5380</v>
      </c>
      <c r="E3604" t="s">
        <v>18</v>
      </c>
      <c r="F3604" t="s">
        <v>183</v>
      </c>
      <c r="G3604" t="s">
        <v>71</v>
      </c>
      <c r="H3604" t="s">
        <v>61</v>
      </c>
      <c r="I3604">
        <v>9500</v>
      </c>
      <c r="J3604">
        <v>12350</v>
      </c>
      <c r="K3604">
        <v>2</v>
      </c>
      <c r="L3604">
        <v>19000</v>
      </c>
      <c r="M3604">
        <v>24700</v>
      </c>
      <c r="N3604" t="s">
        <v>50</v>
      </c>
      <c r="O3604">
        <f t="shared" si="112"/>
        <v>9750</v>
      </c>
      <c r="P3604" s="13">
        <f t="shared" si="113"/>
        <v>2577458</v>
      </c>
      <c r="Q3604" s="13">
        <f>SUMIFS(M:M,E:E,Online_eCommerce[[#This Row],[Status]])</f>
        <v>28340455</v>
      </c>
      <c r="R3604" s="13">
        <f>SUMIFS(L:L,H:H,Online_eCommerce[[#This Row],[Brand]])</f>
        <v>10950150</v>
      </c>
      <c r="S3604" s="13">
        <f>SUMIF(H:H,Online_eCommerce[[#This Row],[Brand]],M:M)</f>
        <v>14235195</v>
      </c>
      <c r="T3604" s="13">
        <f>SUMIF(N:N,Online_eCommerce[[#This Row],[Assigned Supervisor]],L:L)</f>
        <v>12100590</v>
      </c>
    </row>
    <row r="3605" spans="1:20" hidden="1" x14ac:dyDescent="0.3">
      <c r="A3605" t="s">
        <v>5427</v>
      </c>
      <c r="B3605" t="s">
        <v>109</v>
      </c>
      <c r="C3605" t="s">
        <v>185</v>
      </c>
      <c r="D3605" t="s">
        <v>5428</v>
      </c>
      <c r="E3605" t="s">
        <v>161</v>
      </c>
      <c r="F3605" t="s">
        <v>5429</v>
      </c>
      <c r="G3605" t="s">
        <v>77</v>
      </c>
      <c r="H3605" t="s">
        <v>142</v>
      </c>
      <c r="I3605">
        <v>10000</v>
      </c>
      <c r="J3605">
        <v>13000</v>
      </c>
      <c r="K3605">
        <v>4</v>
      </c>
      <c r="L3605">
        <v>40000</v>
      </c>
      <c r="M3605">
        <v>52000</v>
      </c>
      <c r="N3605" t="s">
        <v>56</v>
      </c>
      <c r="O3605">
        <f t="shared" si="112"/>
        <v>39000</v>
      </c>
      <c r="P3605" s="13">
        <f t="shared" si="113"/>
        <v>2091596</v>
      </c>
      <c r="Q3605" s="13">
        <f>SUMIFS(M:M,E:E,Online_eCommerce[[#This Row],[Status]])</f>
        <v>21103186</v>
      </c>
      <c r="R3605" s="13">
        <f>SUMIFS(L:L,H:H,Online_eCommerce[[#This Row],[Brand]])</f>
        <v>6192500</v>
      </c>
      <c r="S3605" s="13">
        <f>SUMIF(H:H,Online_eCommerce[[#This Row],[Brand]],M:M)</f>
        <v>8050250</v>
      </c>
      <c r="T3605" s="13">
        <f>SUMIF(N:N,Online_eCommerce[[#This Row],[Assigned Supervisor]],L:L)</f>
        <v>11733610</v>
      </c>
    </row>
    <row r="3606" spans="1:20" x14ac:dyDescent="0.3">
      <c r="A3606" t="s">
        <v>5430</v>
      </c>
      <c r="B3606" t="s">
        <v>114</v>
      </c>
      <c r="C3606" t="s">
        <v>189</v>
      </c>
      <c r="D3606" t="s">
        <v>5428</v>
      </c>
      <c r="E3606" t="s">
        <v>46</v>
      </c>
      <c r="F3606" t="s">
        <v>5431</v>
      </c>
      <c r="G3606" t="s">
        <v>20</v>
      </c>
      <c r="H3606" t="s">
        <v>21</v>
      </c>
      <c r="I3606">
        <v>6500</v>
      </c>
      <c r="J3606">
        <v>8450</v>
      </c>
      <c r="K3606">
        <v>3</v>
      </c>
      <c r="L3606">
        <v>19500</v>
      </c>
      <c r="M3606">
        <v>25350</v>
      </c>
      <c r="N3606" t="s">
        <v>22</v>
      </c>
      <c r="O3606">
        <f t="shared" si="112"/>
        <v>8450</v>
      </c>
      <c r="P3606" s="13">
        <f t="shared" si="113"/>
        <v>2740777</v>
      </c>
      <c r="Q3606" s="13">
        <f>SUMIFS(M:M,E:E,Online_eCommerce[[#This Row],[Status]])</f>
        <v>28620410</v>
      </c>
      <c r="R3606" s="13">
        <f>SUMIFS(L:L,H:H,Online_eCommerce[[#This Row],[Brand]])</f>
        <v>12435650</v>
      </c>
      <c r="S3606" s="13">
        <f>SUMIF(H:H,Online_eCommerce[[#This Row],[Brand]],M:M)</f>
        <v>16166345</v>
      </c>
      <c r="T3606" s="13">
        <f>SUMIF(N:N,Online_eCommerce[[#This Row],[Assigned Supervisor]],L:L)</f>
        <v>13693220</v>
      </c>
    </row>
    <row r="3607" spans="1:20" hidden="1" x14ac:dyDescent="0.3">
      <c r="A3607" t="s">
        <v>5432</v>
      </c>
      <c r="B3607" t="s">
        <v>119</v>
      </c>
      <c r="C3607" t="s">
        <v>193</v>
      </c>
      <c r="D3607" t="s">
        <v>5428</v>
      </c>
      <c r="E3607" t="s">
        <v>96</v>
      </c>
      <c r="F3607" t="s">
        <v>5433</v>
      </c>
      <c r="G3607" t="s">
        <v>26</v>
      </c>
      <c r="H3607" t="s">
        <v>27</v>
      </c>
      <c r="I3607">
        <v>8500</v>
      </c>
      <c r="J3607">
        <v>11050</v>
      </c>
      <c r="K3607">
        <v>1</v>
      </c>
      <c r="L3607">
        <v>8500</v>
      </c>
      <c r="M3607">
        <v>11050</v>
      </c>
      <c r="N3607" t="s">
        <v>28</v>
      </c>
      <c r="O3607">
        <f t="shared" si="112"/>
        <v>33150</v>
      </c>
      <c r="P3607" s="13">
        <f t="shared" si="113"/>
        <v>2074774</v>
      </c>
      <c r="Q3607" s="13">
        <f>SUMIFS(M:M,E:E,Online_eCommerce[[#This Row],[Status]])</f>
        <v>21233992</v>
      </c>
      <c r="R3607" s="13">
        <f>SUMIFS(L:L,H:H,Online_eCommerce[[#This Row],[Brand]])</f>
        <v>14431000</v>
      </c>
      <c r="S3607" s="13">
        <f>SUMIF(H:H,Online_eCommerce[[#This Row],[Brand]],M:M)</f>
        <v>18760300</v>
      </c>
      <c r="T3607" s="13">
        <f>SUMIF(N:N,Online_eCommerce[[#This Row],[Assigned Supervisor]],L:L)</f>
        <v>12220830</v>
      </c>
    </row>
    <row r="3608" spans="1:20" hidden="1" x14ac:dyDescent="0.3">
      <c r="A3608" t="s">
        <v>5434</v>
      </c>
      <c r="B3608" t="s">
        <v>124</v>
      </c>
      <c r="C3608" t="s">
        <v>197</v>
      </c>
      <c r="D3608" t="s">
        <v>5428</v>
      </c>
      <c r="E3608" t="s">
        <v>18</v>
      </c>
      <c r="F3608" t="s">
        <v>32</v>
      </c>
      <c r="G3608" t="s">
        <v>33</v>
      </c>
      <c r="H3608" t="s">
        <v>34</v>
      </c>
      <c r="I3608">
        <v>7000</v>
      </c>
      <c r="J3608">
        <v>9100</v>
      </c>
      <c r="K3608">
        <v>2</v>
      </c>
      <c r="L3608">
        <v>14000</v>
      </c>
      <c r="M3608">
        <v>18200</v>
      </c>
      <c r="N3608" t="s">
        <v>35</v>
      </c>
      <c r="O3608">
        <f t="shared" si="112"/>
        <v>18200</v>
      </c>
      <c r="P3608" s="13">
        <f t="shared" si="113"/>
        <v>2829840</v>
      </c>
      <c r="Q3608" s="13">
        <f>SUMIFS(M:M,E:E,Online_eCommerce[[#This Row],[Status]])</f>
        <v>28340455</v>
      </c>
      <c r="R3608" s="13">
        <f>SUMIFS(L:L,H:H,Online_eCommerce[[#This Row],[Brand]])</f>
        <v>10087000</v>
      </c>
      <c r="S3608" s="13">
        <f>SUMIF(H:H,Online_eCommerce[[#This Row],[Brand]],M:M)</f>
        <v>13113100</v>
      </c>
      <c r="T3608" s="13">
        <f>SUMIF(N:N,Online_eCommerce[[#This Row],[Assigned Supervisor]],L:L)</f>
        <v>14373360</v>
      </c>
    </row>
    <row r="3609" spans="1:20" hidden="1" x14ac:dyDescent="0.3">
      <c r="A3609" t="s">
        <v>5435</v>
      </c>
      <c r="B3609" t="s">
        <v>128</v>
      </c>
      <c r="C3609" t="s">
        <v>199</v>
      </c>
      <c r="D3609" t="s">
        <v>5428</v>
      </c>
      <c r="E3609" t="s">
        <v>161</v>
      </c>
      <c r="F3609" t="s">
        <v>5436</v>
      </c>
      <c r="G3609" t="s">
        <v>163</v>
      </c>
      <c r="H3609" t="s">
        <v>41</v>
      </c>
      <c r="I3609">
        <v>6550</v>
      </c>
      <c r="J3609">
        <v>8515</v>
      </c>
      <c r="K3609">
        <v>2</v>
      </c>
      <c r="L3609">
        <v>13100</v>
      </c>
      <c r="M3609">
        <v>17030</v>
      </c>
      <c r="N3609" t="s">
        <v>42</v>
      </c>
      <c r="O3609">
        <f t="shared" si="112"/>
        <v>13650</v>
      </c>
      <c r="P3609" s="13">
        <f t="shared" si="113"/>
        <v>1947361</v>
      </c>
      <c r="Q3609" s="13">
        <f>SUMIFS(M:M,E:E,Online_eCommerce[[#This Row],[Status]])</f>
        <v>21103186</v>
      </c>
      <c r="R3609" s="13">
        <f>SUMIFS(L:L,H:H,Online_eCommerce[[#This Row],[Brand]])</f>
        <v>4260400</v>
      </c>
      <c r="S3609" s="13">
        <f>SUMIF(H:H,Online_eCommerce[[#This Row],[Brand]],M:M)</f>
        <v>5538520</v>
      </c>
      <c r="T3609" s="13">
        <f>SUMIF(N:N,Online_eCommerce[[#This Row],[Assigned Supervisor]],L:L)</f>
        <v>12261500</v>
      </c>
    </row>
    <row r="3610" spans="1:20" x14ac:dyDescent="0.3">
      <c r="A3610" t="s">
        <v>5437</v>
      </c>
      <c r="B3610" t="s">
        <v>131</v>
      </c>
      <c r="C3610" t="s">
        <v>203</v>
      </c>
      <c r="D3610" t="s">
        <v>5428</v>
      </c>
      <c r="E3610" t="s">
        <v>46</v>
      </c>
      <c r="F3610" t="s">
        <v>47</v>
      </c>
      <c r="G3610" t="s">
        <v>66</v>
      </c>
      <c r="H3610" t="s">
        <v>49</v>
      </c>
      <c r="I3610">
        <v>7650</v>
      </c>
      <c r="J3610">
        <v>9945</v>
      </c>
      <c r="K3610">
        <v>3</v>
      </c>
      <c r="L3610">
        <v>22950</v>
      </c>
      <c r="M3610">
        <v>29835</v>
      </c>
      <c r="N3610" t="s">
        <v>50</v>
      </c>
      <c r="O3610">
        <f t="shared" si="112"/>
        <v>1690</v>
      </c>
      <c r="P3610" s="13">
        <f t="shared" si="113"/>
        <v>2559635</v>
      </c>
      <c r="Q3610" s="13">
        <f>SUMIFS(M:M,E:E,Online_eCommerce[[#This Row],[Status]])</f>
        <v>28620410</v>
      </c>
      <c r="R3610" s="13">
        <f>SUMIFS(L:L,H:H,Online_eCommerce[[#This Row],[Brand]])</f>
        <v>4528350</v>
      </c>
      <c r="S3610" s="13">
        <f>SUMIF(H:H,Online_eCommerce[[#This Row],[Brand]],M:M)</f>
        <v>5886855</v>
      </c>
      <c r="T3610" s="13">
        <f>SUMIF(N:N,Online_eCommerce[[#This Row],[Assigned Supervisor]],L:L)</f>
        <v>12100590</v>
      </c>
    </row>
    <row r="3611" spans="1:20" hidden="1" x14ac:dyDescent="0.3">
      <c r="A3611" t="s">
        <v>5438</v>
      </c>
      <c r="B3611" t="s">
        <v>135</v>
      </c>
      <c r="C3611" t="s">
        <v>205</v>
      </c>
      <c r="D3611" t="s">
        <v>5428</v>
      </c>
      <c r="E3611" t="s">
        <v>96</v>
      </c>
      <c r="F3611" t="s">
        <v>53</v>
      </c>
      <c r="G3611" t="s">
        <v>54</v>
      </c>
      <c r="H3611" t="s">
        <v>55</v>
      </c>
      <c r="I3611">
        <v>1150</v>
      </c>
      <c r="J3611">
        <v>1495</v>
      </c>
      <c r="K3611">
        <v>1</v>
      </c>
      <c r="L3611">
        <v>1150</v>
      </c>
      <c r="M3611">
        <v>1495</v>
      </c>
      <c r="N3611" t="s">
        <v>56</v>
      </c>
      <c r="O3611">
        <f t="shared" si="112"/>
        <v>2990</v>
      </c>
      <c r="P3611" s="13">
        <f t="shared" si="113"/>
        <v>1983254</v>
      </c>
      <c r="Q3611" s="13">
        <f>SUMIFS(M:M,E:E,Online_eCommerce[[#This Row],[Status]])</f>
        <v>21233992</v>
      </c>
      <c r="R3611" s="13">
        <f>SUMIFS(L:L,H:H,Online_eCommerce[[#This Row],[Brand]])</f>
        <v>2267380</v>
      </c>
      <c r="S3611" s="13">
        <f>SUMIF(H:H,Online_eCommerce[[#This Row],[Brand]],M:M)</f>
        <v>2947594</v>
      </c>
      <c r="T3611" s="13">
        <f>SUMIF(N:N,Online_eCommerce[[#This Row],[Assigned Supervisor]],L:L)</f>
        <v>11733610</v>
      </c>
    </row>
    <row r="3612" spans="1:20" hidden="1" x14ac:dyDescent="0.3">
      <c r="A3612" t="s">
        <v>5439</v>
      </c>
      <c r="B3612" t="s">
        <v>139</v>
      </c>
      <c r="C3612" t="s">
        <v>208</v>
      </c>
      <c r="D3612" t="s">
        <v>5428</v>
      </c>
      <c r="E3612" t="s">
        <v>18</v>
      </c>
      <c r="F3612" t="s">
        <v>59</v>
      </c>
      <c r="G3612" t="s">
        <v>60</v>
      </c>
      <c r="H3612" t="s">
        <v>61</v>
      </c>
      <c r="I3612">
        <v>850</v>
      </c>
      <c r="J3612">
        <v>1105</v>
      </c>
      <c r="K3612">
        <v>3</v>
      </c>
      <c r="L3612">
        <v>2550</v>
      </c>
      <c r="M3612">
        <v>3315</v>
      </c>
      <c r="N3612" t="s">
        <v>22</v>
      </c>
      <c r="O3612">
        <f t="shared" si="112"/>
        <v>3315</v>
      </c>
      <c r="P3612" s="13">
        <f t="shared" si="113"/>
        <v>2746575</v>
      </c>
      <c r="Q3612" s="13">
        <f>SUMIFS(M:M,E:E,Online_eCommerce[[#This Row],[Status]])</f>
        <v>28340455</v>
      </c>
      <c r="R3612" s="13">
        <f>SUMIFS(L:L,H:H,Online_eCommerce[[#This Row],[Brand]])</f>
        <v>10950150</v>
      </c>
      <c r="S3612" s="13">
        <f>SUMIF(H:H,Online_eCommerce[[#This Row],[Brand]],M:M)</f>
        <v>14235195</v>
      </c>
      <c r="T3612" s="13">
        <f>SUMIF(N:N,Online_eCommerce[[#This Row],[Assigned Supervisor]],L:L)</f>
        <v>13693220</v>
      </c>
    </row>
    <row r="3613" spans="1:20" hidden="1" x14ac:dyDescent="0.3">
      <c r="A3613" t="s">
        <v>5440</v>
      </c>
      <c r="B3613" t="s">
        <v>144</v>
      </c>
      <c r="C3613" t="s">
        <v>211</v>
      </c>
      <c r="D3613" t="s">
        <v>5428</v>
      </c>
      <c r="E3613" t="s">
        <v>161</v>
      </c>
      <c r="F3613" t="s">
        <v>65</v>
      </c>
      <c r="G3613" t="s">
        <v>66</v>
      </c>
      <c r="H3613" t="s">
        <v>21</v>
      </c>
      <c r="I3613">
        <v>650</v>
      </c>
      <c r="J3613">
        <v>845</v>
      </c>
      <c r="K3613">
        <v>1</v>
      </c>
      <c r="L3613">
        <v>650</v>
      </c>
      <c r="M3613">
        <v>845</v>
      </c>
      <c r="N3613" t="s">
        <v>28</v>
      </c>
      <c r="O3613">
        <f t="shared" si="112"/>
        <v>1690</v>
      </c>
      <c r="P3613" s="13">
        <f t="shared" si="113"/>
        <v>1809847</v>
      </c>
      <c r="Q3613" s="13">
        <f>SUMIFS(M:M,E:E,Online_eCommerce[[#This Row],[Status]])</f>
        <v>21103186</v>
      </c>
      <c r="R3613" s="13">
        <f>SUMIFS(L:L,H:H,Online_eCommerce[[#This Row],[Brand]])</f>
        <v>12435650</v>
      </c>
      <c r="S3613" s="13">
        <f>SUMIF(H:H,Online_eCommerce[[#This Row],[Brand]],M:M)</f>
        <v>16166345</v>
      </c>
      <c r="T3613" s="13">
        <f>SUMIF(N:N,Online_eCommerce[[#This Row],[Assigned Supervisor]],L:L)</f>
        <v>12220830</v>
      </c>
    </row>
    <row r="3614" spans="1:20" x14ac:dyDescent="0.3">
      <c r="A3614" t="s">
        <v>5441</v>
      </c>
      <c r="B3614" t="s">
        <v>149</v>
      </c>
      <c r="C3614" t="s">
        <v>16</v>
      </c>
      <c r="D3614" t="s">
        <v>5428</v>
      </c>
      <c r="E3614" t="s">
        <v>46</v>
      </c>
      <c r="F3614" t="s">
        <v>70</v>
      </c>
      <c r="G3614" t="s">
        <v>71</v>
      </c>
      <c r="H3614" t="s">
        <v>61</v>
      </c>
      <c r="I3614">
        <v>7500</v>
      </c>
      <c r="J3614">
        <v>9750</v>
      </c>
      <c r="K3614">
        <v>2</v>
      </c>
      <c r="L3614">
        <v>15000</v>
      </c>
      <c r="M3614">
        <v>19500</v>
      </c>
      <c r="N3614" t="s">
        <v>35</v>
      </c>
      <c r="O3614">
        <f t="shared" si="112"/>
        <v>9750</v>
      </c>
      <c r="P3614" s="13">
        <f t="shared" si="113"/>
        <v>2751814</v>
      </c>
      <c r="Q3614" s="13">
        <f>SUMIFS(M:M,E:E,Online_eCommerce[[#This Row],[Status]])</f>
        <v>28620410</v>
      </c>
      <c r="R3614" s="13">
        <f>SUMIFS(L:L,H:H,Online_eCommerce[[#This Row],[Brand]])</f>
        <v>10950150</v>
      </c>
      <c r="S3614" s="13">
        <f>SUMIF(H:H,Online_eCommerce[[#This Row],[Brand]],M:M)</f>
        <v>14235195</v>
      </c>
      <c r="T3614" s="13">
        <f>SUMIF(N:N,Online_eCommerce[[#This Row],[Assigned Supervisor]],L:L)</f>
        <v>14373360</v>
      </c>
    </row>
    <row r="3615" spans="1:20" hidden="1" x14ac:dyDescent="0.3">
      <c r="A3615" t="s">
        <v>5442</v>
      </c>
      <c r="B3615" t="s">
        <v>154</v>
      </c>
      <c r="C3615" t="s">
        <v>24</v>
      </c>
      <c r="D3615" t="s">
        <v>5428</v>
      </c>
      <c r="E3615" t="s">
        <v>96</v>
      </c>
      <c r="F3615" t="s">
        <v>5429</v>
      </c>
      <c r="G3615" t="s">
        <v>77</v>
      </c>
      <c r="H3615" t="s">
        <v>78</v>
      </c>
      <c r="I3615">
        <v>10000</v>
      </c>
      <c r="J3615">
        <v>13000</v>
      </c>
      <c r="K3615">
        <v>4</v>
      </c>
      <c r="L3615">
        <v>40000</v>
      </c>
      <c r="M3615">
        <v>52000</v>
      </c>
      <c r="N3615" t="s">
        <v>42</v>
      </c>
      <c r="O3615">
        <f t="shared" si="112"/>
        <v>39000</v>
      </c>
      <c r="P3615" s="13">
        <f t="shared" si="113"/>
        <v>2009540</v>
      </c>
      <c r="Q3615" s="13">
        <f>SUMIFS(M:M,E:E,Online_eCommerce[[#This Row],[Status]])</f>
        <v>21233992</v>
      </c>
      <c r="R3615" s="13">
        <f>SUMIFS(L:L,H:H,Online_eCommerce[[#This Row],[Brand]])</f>
        <v>3720000</v>
      </c>
      <c r="S3615" s="13">
        <f>SUMIF(H:H,Online_eCommerce[[#This Row],[Brand]],M:M)</f>
        <v>4836000</v>
      </c>
      <c r="T3615" s="13">
        <f>SUMIF(N:N,Online_eCommerce[[#This Row],[Assigned Supervisor]],L:L)</f>
        <v>12261500</v>
      </c>
    </row>
    <row r="3616" spans="1:20" hidden="1" x14ac:dyDescent="0.3">
      <c r="A3616" t="s">
        <v>5443</v>
      </c>
      <c r="B3616" t="s">
        <v>159</v>
      </c>
      <c r="C3616" t="s">
        <v>31</v>
      </c>
      <c r="D3616" t="s">
        <v>5428</v>
      </c>
      <c r="E3616" t="s">
        <v>18</v>
      </c>
      <c r="F3616" t="s">
        <v>5444</v>
      </c>
      <c r="G3616" t="s">
        <v>20</v>
      </c>
      <c r="H3616" t="s">
        <v>21</v>
      </c>
      <c r="I3616">
        <v>10500</v>
      </c>
      <c r="J3616">
        <v>13650</v>
      </c>
      <c r="K3616">
        <v>2</v>
      </c>
      <c r="L3616">
        <v>21000</v>
      </c>
      <c r="M3616">
        <v>27300</v>
      </c>
      <c r="N3616" t="s">
        <v>50</v>
      </c>
      <c r="O3616">
        <f t="shared" si="112"/>
        <v>8450</v>
      </c>
      <c r="P3616" s="13">
        <f t="shared" si="113"/>
        <v>2865746</v>
      </c>
      <c r="Q3616" s="13">
        <f>SUMIFS(M:M,E:E,Online_eCommerce[[#This Row],[Status]])</f>
        <v>28340455</v>
      </c>
      <c r="R3616" s="13">
        <f>SUMIFS(L:L,H:H,Online_eCommerce[[#This Row],[Brand]])</f>
        <v>12435650</v>
      </c>
      <c r="S3616" s="13">
        <f>SUMIF(H:H,Online_eCommerce[[#This Row],[Brand]],M:M)</f>
        <v>16166345</v>
      </c>
      <c r="T3616" s="13">
        <f>SUMIF(N:N,Online_eCommerce[[#This Row],[Assigned Supervisor]],L:L)</f>
        <v>12100590</v>
      </c>
    </row>
    <row r="3617" spans="1:20" hidden="1" x14ac:dyDescent="0.3">
      <c r="A3617" t="s">
        <v>5445</v>
      </c>
      <c r="B3617" t="s">
        <v>139</v>
      </c>
      <c r="C3617" t="s">
        <v>38</v>
      </c>
      <c r="D3617" t="s">
        <v>5428</v>
      </c>
      <c r="E3617" t="s">
        <v>161</v>
      </c>
      <c r="F3617" t="s">
        <v>88</v>
      </c>
      <c r="G3617" t="s">
        <v>26</v>
      </c>
      <c r="H3617" t="s">
        <v>27</v>
      </c>
      <c r="I3617">
        <v>8500</v>
      </c>
      <c r="J3617">
        <v>11050</v>
      </c>
      <c r="K3617">
        <v>2</v>
      </c>
      <c r="L3617">
        <v>17000</v>
      </c>
      <c r="M3617">
        <v>22100</v>
      </c>
      <c r="N3617" t="s">
        <v>56</v>
      </c>
      <c r="O3617">
        <f t="shared" si="112"/>
        <v>33150</v>
      </c>
      <c r="P3617" s="13">
        <f t="shared" si="113"/>
        <v>1933997</v>
      </c>
      <c r="Q3617" s="13">
        <f>SUMIFS(M:M,E:E,Online_eCommerce[[#This Row],[Status]])</f>
        <v>21103186</v>
      </c>
      <c r="R3617" s="13">
        <f>SUMIFS(L:L,H:H,Online_eCommerce[[#This Row],[Brand]])</f>
        <v>14431000</v>
      </c>
      <c r="S3617" s="13">
        <f>SUMIF(H:H,Online_eCommerce[[#This Row],[Brand]],M:M)</f>
        <v>18760300</v>
      </c>
      <c r="T3617" s="13">
        <f>SUMIF(N:N,Online_eCommerce[[#This Row],[Assigned Supervisor]],L:L)</f>
        <v>11733610</v>
      </c>
    </row>
    <row r="3618" spans="1:20" x14ac:dyDescent="0.3">
      <c r="A3618" t="s">
        <v>5446</v>
      </c>
      <c r="B3618" t="s">
        <v>144</v>
      </c>
      <c r="C3618" t="s">
        <v>45</v>
      </c>
      <c r="D3618" t="s">
        <v>5428</v>
      </c>
      <c r="E3618" t="s">
        <v>46</v>
      </c>
      <c r="F3618" t="s">
        <v>32</v>
      </c>
      <c r="G3618" t="s">
        <v>33</v>
      </c>
      <c r="H3618" t="s">
        <v>34</v>
      </c>
      <c r="I3618">
        <v>7000</v>
      </c>
      <c r="J3618">
        <v>9100</v>
      </c>
      <c r="K3618">
        <v>4</v>
      </c>
      <c r="L3618">
        <v>28000</v>
      </c>
      <c r="M3618">
        <v>36400</v>
      </c>
      <c r="N3618" t="s">
        <v>22</v>
      </c>
      <c r="O3618">
        <f t="shared" si="112"/>
        <v>18200</v>
      </c>
      <c r="P3618" s="13">
        <f t="shared" si="113"/>
        <v>2842554</v>
      </c>
      <c r="Q3618" s="13">
        <f>SUMIFS(M:M,E:E,Online_eCommerce[[#This Row],[Status]])</f>
        <v>28620410</v>
      </c>
      <c r="R3618" s="13">
        <f>SUMIFS(L:L,H:H,Online_eCommerce[[#This Row],[Brand]])</f>
        <v>10087000</v>
      </c>
      <c r="S3618" s="13">
        <f>SUMIF(H:H,Online_eCommerce[[#This Row],[Brand]],M:M)</f>
        <v>13113100</v>
      </c>
      <c r="T3618" s="13">
        <f>SUMIF(N:N,Online_eCommerce[[#This Row],[Assigned Supervisor]],L:L)</f>
        <v>13693220</v>
      </c>
    </row>
    <row r="3619" spans="1:20" hidden="1" x14ac:dyDescent="0.3">
      <c r="A3619" t="s">
        <v>5447</v>
      </c>
      <c r="B3619" t="s">
        <v>235</v>
      </c>
      <c r="C3619" t="s">
        <v>52</v>
      </c>
      <c r="D3619" t="s">
        <v>5428</v>
      </c>
      <c r="E3619" t="s">
        <v>96</v>
      </c>
      <c r="F3619" t="s">
        <v>5448</v>
      </c>
      <c r="G3619" t="s">
        <v>163</v>
      </c>
      <c r="H3619" t="s">
        <v>41</v>
      </c>
      <c r="I3619">
        <v>1680</v>
      </c>
      <c r="J3619">
        <v>2184</v>
      </c>
      <c r="K3619">
        <v>4</v>
      </c>
      <c r="L3619">
        <v>6720</v>
      </c>
      <c r="M3619">
        <v>8736</v>
      </c>
      <c r="N3619" t="s">
        <v>28</v>
      </c>
      <c r="O3619">
        <f t="shared" si="112"/>
        <v>13650</v>
      </c>
      <c r="P3619" s="13">
        <f t="shared" si="113"/>
        <v>1955044</v>
      </c>
      <c r="Q3619" s="13">
        <f>SUMIFS(M:M,E:E,Online_eCommerce[[#This Row],[Status]])</f>
        <v>21233992</v>
      </c>
      <c r="R3619" s="13">
        <f>SUMIFS(L:L,H:H,Online_eCommerce[[#This Row],[Brand]])</f>
        <v>4260400</v>
      </c>
      <c r="S3619" s="13">
        <f>SUMIF(H:H,Online_eCommerce[[#This Row],[Brand]],M:M)</f>
        <v>5538520</v>
      </c>
      <c r="T3619" s="13">
        <f>SUMIF(N:N,Online_eCommerce[[#This Row],[Assigned Supervisor]],L:L)</f>
        <v>12220830</v>
      </c>
    </row>
    <row r="3620" spans="1:20" hidden="1" x14ac:dyDescent="0.3">
      <c r="A3620" t="s">
        <v>5449</v>
      </c>
      <c r="B3620" t="s">
        <v>176</v>
      </c>
      <c r="C3620" t="s">
        <v>58</v>
      </c>
      <c r="D3620" t="s">
        <v>5428</v>
      </c>
      <c r="E3620" t="s">
        <v>18</v>
      </c>
      <c r="F3620" t="s">
        <v>101</v>
      </c>
      <c r="G3620" t="s">
        <v>66</v>
      </c>
      <c r="H3620" t="s">
        <v>102</v>
      </c>
      <c r="I3620">
        <v>6540</v>
      </c>
      <c r="J3620">
        <v>8502</v>
      </c>
      <c r="K3620">
        <v>2</v>
      </c>
      <c r="L3620">
        <v>13080</v>
      </c>
      <c r="M3620">
        <v>17004</v>
      </c>
      <c r="N3620" t="s">
        <v>35</v>
      </c>
      <c r="O3620">
        <f t="shared" si="112"/>
        <v>1690</v>
      </c>
      <c r="P3620" s="13">
        <f t="shared" si="113"/>
        <v>2629211</v>
      </c>
      <c r="Q3620" s="13">
        <f>SUMIFS(M:M,E:E,Online_eCommerce[[#This Row],[Status]])</f>
        <v>28340455</v>
      </c>
      <c r="R3620" s="13">
        <f>SUMIFS(L:L,H:H,Online_eCommerce[[#This Row],[Brand]])</f>
        <v>2465580</v>
      </c>
      <c r="S3620" s="13">
        <f>SUMIF(H:H,Online_eCommerce[[#This Row],[Brand]],M:M)</f>
        <v>3205254</v>
      </c>
      <c r="T3620" s="13">
        <f>SUMIF(N:N,Online_eCommerce[[#This Row],[Assigned Supervisor]],L:L)</f>
        <v>14373360</v>
      </c>
    </row>
    <row r="3621" spans="1:20" hidden="1" x14ac:dyDescent="0.3">
      <c r="A3621" t="s">
        <v>5450</v>
      </c>
      <c r="B3621" t="s">
        <v>276</v>
      </c>
      <c r="C3621" t="s">
        <v>63</v>
      </c>
      <c r="D3621" t="s">
        <v>5428</v>
      </c>
      <c r="E3621" t="s">
        <v>161</v>
      </c>
      <c r="F3621" t="s">
        <v>107</v>
      </c>
      <c r="G3621" t="s">
        <v>54</v>
      </c>
      <c r="H3621" t="s">
        <v>55</v>
      </c>
      <c r="I3621">
        <v>2680</v>
      </c>
      <c r="J3621">
        <v>3484</v>
      </c>
      <c r="K3621">
        <v>1</v>
      </c>
      <c r="L3621">
        <v>2680</v>
      </c>
      <c r="M3621">
        <v>3484</v>
      </c>
      <c r="N3621" t="s">
        <v>42</v>
      </c>
      <c r="O3621">
        <f t="shared" si="112"/>
        <v>2990</v>
      </c>
      <c r="P3621" s="13">
        <f t="shared" si="113"/>
        <v>2016131</v>
      </c>
      <c r="Q3621" s="13">
        <f>SUMIFS(M:M,E:E,Online_eCommerce[[#This Row],[Status]])</f>
        <v>21103186</v>
      </c>
      <c r="R3621" s="13">
        <f>SUMIFS(L:L,H:H,Online_eCommerce[[#This Row],[Brand]])</f>
        <v>2267380</v>
      </c>
      <c r="S3621" s="13">
        <f>SUMIF(H:H,Online_eCommerce[[#This Row],[Brand]],M:M)</f>
        <v>2947594</v>
      </c>
      <c r="T3621" s="13">
        <f>SUMIF(N:N,Online_eCommerce[[#This Row],[Assigned Supervisor]],L:L)</f>
        <v>12261500</v>
      </c>
    </row>
    <row r="3622" spans="1:20" x14ac:dyDescent="0.3">
      <c r="A3622" t="s">
        <v>5451</v>
      </c>
      <c r="B3622" t="s">
        <v>280</v>
      </c>
      <c r="C3622" t="s">
        <v>68</v>
      </c>
      <c r="D3622" t="s">
        <v>5428</v>
      </c>
      <c r="E3622" t="s">
        <v>46</v>
      </c>
      <c r="F3622" t="s">
        <v>112</v>
      </c>
      <c r="G3622" t="s">
        <v>71</v>
      </c>
      <c r="H3622" t="s">
        <v>21</v>
      </c>
      <c r="I3622">
        <v>8250</v>
      </c>
      <c r="J3622">
        <v>10725</v>
      </c>
      <c r="K3622">
        <v>4</v>
      </c>
      <c r="L3622">
        <v>33000</v>
      </c>
      <c r="M3622">
        <v>42900</v>
      </c>
      <c r="N3622" t="s">
        <v>50</v>
      </c>
      <c r="O3622">
        <f t="shared" si="112"/>
        <v>9750</v>
      </c>
      <c r="P3622" s="13">
        <f t="shared" si="113"/>
        <v>2974621</v>
      </c>
      <c r="Q3622" s="13">
        <f>SUMIFS(M:M,E:E,Online_eCommerce[[#This Row],[Status]])</f>
        <v>28620410</v>
      </c>
      <c r="R3622" s="13">
        <f>SUMIFS(L:L,H:H,Online_eCommerce[[#This Row],[Brand]])</f>
        <v>12435650</v>
      </c>
      <c r="S3622" s="13">
        <f>SUMIF(H:H,Online_eCommerce[[#This Row],[Brand]],M:M)</f>
        <v>16166345</v>
      </c>
      <c r="T3622" s="13">
        <f>SUMIF(N:N,Online_eCommerce[[#This Row],[Assigned Supervisor]],L:L)</f>
        <v>12100590</v>
      </c>
    </row>
    <row r="3623" spans="1:20" hidden="1" x14ac:dyDescent="0.3">
      <c r="A3623" t="s">
        <v>5452</v>
      </c>
      <c r="B3623" t="s">
        <v>283</v>
      </c>
      <c r="C3623" t="s">
        <v>74</v>
      </c>
      <c r="D3623" t="s">
        <v>5428</v>
      </c>
      <c r="E3623" t="s">
        <v>96</v>
      </c>
      <c r="F3623" t="s">
        <v>5012</v>
      </c>
      <c r="G3623" t="s">
        <v>40</v>
      </c>
      <c r="H3623" t="s">
        <v>21</v>
      </c>
      <c r="I3623">
        <v>2650</v>
      </c>
      <c r="J3623">
        <v>3445</v>
      </c>
      <c r="K3623">
        <v>1</v>
      </c>
      <c r="L3623">
        <v>2650</v>
      </c>
      <c r="M3623">
        <v>3445</v>
      </c>
      <c r="N3623" t="s">
        <v>56</v>
      </c>
      <c r="O3623">
        <f t="shared" si="112"/>
        <v>25545</v>
      </c>
      <c r="P3623" s="13">
        <f t="shared" si="113"/>
        <v>2144701</v>
      </c>
      <c r="Q3623" s="13">
        <f>SUMIFS(M:M,E:E,Online_eCommerce[[#This Row],[Status]])</f>
        <v>21233992</v>
      </c>
      <c r="R3623" s="13">
        <f>SUMIFS(L:L,H:H,Online_eCommerce[[#This Row],[Brand]])</f>
        <v>12435650</v>
      </c>
      <c r="S3623" s="13">
        <f>SUMIF(H:H,Online_eCommerce[[#This Row],[Brand]],M:M)</f>
        <v>16166345</v>
      </c>
      <c r="T3623" s="13">
        <f>SUMIF(N:N,Online_eCommerce[[#This Row],[Assigned Supervisor]],L:L)</f>
        <v>11733610</v>
      </c>
    </row>
    <row r="3624" spans="1:20" hidden="1" x14ac:dyDescent="0.3">
      <c r="A3624" t="s">
        <v>5453</v>
      </c>
      <c r="B3624" t="s">
        <v>287</v>
      </c>
      <c r="C3624" t="s">
        <v>81</v>
      </c>
      <c r="D3624" t="s">
        <v>5428</v>
      </c>
      <c r="E3624" t="s">
        <v>18</v>
      </c>
      <c r="F3624" t="s">
        <v>121</v>
      </c>
      <c r="G3624" t="s">
        <v>71</v>
      </c>
      <c r="H3624" t="s">
        <v>122</v>
      </c>
      <c r="I3624">
        <v>12550</v>
      </c>
      <c r="J3624">
        <v>16315</v>
      </c>
      <c r="K3624">
        <v>2</v>
      </c>
      <c r="L3624">
        <v>25100</v>
      </c>
      <c r="M3624">
        <v>32630</v>
      </c>
      <c r="N3624" t="s">
        <v>22</v>
      </c>
      <c r="O3624">
        <f t="shared" si="112"/>
        <v>9750</v>
      </c>
      <c r="P3624" s="13">
        <f t="shared" si="113"/>
        <v>2595632</v>
      </c>
      <c r="Q3624" s="13">
        <f>SUMIFS(M:M,E:E,Online_eCommerce[[#This Row],[Status]])</f>
        <v>28340455</v>
      </c>
      <c r="R3624" s="13">
        <f>SUMIFS(L:L,H:H,Online_eCommerce[[#This Row],[Brand]])</f>
        <v>5045100</v>
      </c>
      <c r="S3624" s="13">
        <f>SUMIF(H:H,Online_eCommerce[[#This Row],[Brand]],M:M)</f>
        <v>6558630</v>
      </c>
      <c r="T3624" s="13">
        <f>SUMIF(N:N,Online_eCommerce[[#This Row],[Assigned Supervisor]],L:L)</f>
        <v>13693220</v>
      </c>
    </row>
    <row r="3625" spans="1:20" hidden="1" x14ac:dyDescent="0.3">
      <c r="A3625" t="s">
        <v>5454</v>
      </c>
      <c r="B3625" t="s">
        <v>290</v>
      </c>
      <c r="C3625" t="s">
        <v>86</v>
      </c>
      <c r="D3625" t="s">
        <v>5428</v>
      </c>
      <c r="E3625" t="s">
        <v>161</v>
      </c>
      <c r="F3625" t="s">
        <v>126</v>
      </c>
      <c r="G3625" t="s">
        <v>26</v>
      </c>
      <c r="H3625" t="s">
        <v>27</v>
      </c>
      <c r="I3625">
        <v>14500</v>
      </c>
      <c r="J3625">
        <v>18850</v>
      </c>
      <c r="K3625">
        <v>1</v>
      </c>
      <c r="L3625">
        <v>14500</v>
      </c>
      <c r="M3625">
        <v>18850</v>
      </c>
      <c r="N3625" t="s">
        <v>28</v>
      </c>
      <c r="O3625">
        <f t="shared" si="112"/>
        <v>33150</v>
      </c>
      <c r="P3625" s="13">
        <f t="shared" si="113"/>
        <v>1941225</v>
      </c>
      <c r="Q3625" s="13">
        <f>SUMIFS(M:M,E:E,Online_eCommerce[[#This Row],[Status]])</f>
        <v>21103186</v>
      </c>
      <c r="R3625" s="13">
        <f>SUMIFS(L:L,H:H,Online_eCommerce[[#This Row],[Brand]])</f>
        <v>14431000</v>
      </c>
      <c r="S3625" s="13">
        <f>SUMIF(H:H,Online_eCommerce[[#This Row],[Brand]],M:M)</f>
        <v>18760300</v>
      </c>
      <c r="T3625" s="13">
        <f>SUMIF(N:N,Online_eCommerce[[#This Row],[Assigned Supervisor]],L:L)</f>
        <v>12220830</v>
      </c>
    </row>
    <row r="3626" spans="1:20" x14ac:dyDescent="0.3">
      <c r="A3626" t="s">
        <v>5455</v>
      </c>
      <c r="B3626" t="s">
        <v>15</v>
      </c>
      <c r="C3626" t="s">
        <v>91</v>
      </c>
      <c r="D3626" t="s">
        <v>5428</v>
      </c>
      <c r="E3626" t="s">
        <v>46</v>
      </c>
      <c r="F3626" t="s">
        <v>129</v>
      </c>
      <c r="G3626" t="s">
        <v>60</v>
      </c>
      <c r="H3626" t="s">
        <v>61</v>
      </c>
      <c r="I3626">
        <v>800</v>
      </c>
      <c r="J3626">
        <v>1040</v>
      </c>
      <c r="K3626">
        <v>3</v>
      </c>
      <c r="L3626">
        <v>2400</v>
      </c>
      <c r="M3626">
        <v>3120</v>
      </c>
      <c r="N3626" t="s">
        <v>35</v>
      </c>
      <c r="O3626">
        <f t="shared" si="112"/>
        <v>3315</v>
      </c>
      <c r="P3626" s="13">
        <f t="shared" si="113"/>
        <v>2731963</v>
      </c>
      <c r="Q3626" s="13">
        <f>SUMIFS(M:M,E:E,Online_eCommerce[[#This Row],[Status]])</f>
        <v>28620410</v>
      </c>
      <c r="R3626" s="13">
        <f>SUMIFS(L:L,H:H,Online_eCommerce[[#This Row],[Brand]])</f>
        <v>10950150</v>
      </c>
      <c r="S3626" s="13">
        <f>SUMIF(H:H,Online_eCommerce[[#This Row],[Brand]],M:M)</f>
        <v>14235195</v>
      </c>
      <c r="T3626" s="13">
        <f>SUMIF(N:N,Online_eCommerce[[#This Row],[Assigned Supervisor]],L:L)</f>
        <v>14373360</v>
      </c>
    </row>
    <row r="3627" spans="1:20" hidden="1" x14ac:dyDescent="0.3">
      <c r="A3627" t="s">
        <v>5456</v>
      </c>
      <c r="B3627" t="s">
        <v>202</v>
      </c>
      <c r="C3627" t="s">
        <v>94</v>
      </c>
      <c r="D3627" t="s">
        <v>5428</v>
      </c>
      <c r="E3627" t="s">
        <v>96</v>
      </c>
      <c r="F3627" t="s">
        <v>133</v>
      </c>
      <c r="G3627" t="s">
        <v>66</v>
      </c>
      <c r="H3627" t="s">
        <v>21</v>
      </c>
      <c r="I3627">
        <v>600</v>
      </c>
      <c r="J3627">
        <v>780</v>
      </c>
      <c r="K3627">
        <v>4</v>
      </c>
      <c r="L3627">
        <v>2400</v>
      </c>
      <c r="M3627">
        <v>3120</v>
      </c>
      <c r="N3627" t="s">
        <v>42</v>
      </c>
      <c r="O3627">
        <f t="shared" si="112"/>
        <v>1690</v>
      </c>
      <c r="P3627" s="13">
        <f t="shared" si="113"/>
        <v>1868256</v>
      </c>
      <c r="Q3627" s="13">
        <f>SUMIFS(M:M,E:E,Online_eCommerce[[#This Row],[Status]])</f>
        <v>21233992</v>
      </c>
      <c r="R3627" s="13">
        <f>SUMIFS(L:L,H:H,Online_eCommerce[[#This Row],[Brand]])</f>
        <v>12435650</v>
      </c>
      <c r="S3627" s="13">
        <f>SUMIF(H:H,Online_eCommerce[[#This Row],[Brand]],M:M)</f>
        <v>16166345</v>
      </c>
      <c r="T3627" s="13">
        <f>SUMIF(N:N,Online_eCommerce[[#This Row],[Assigned Supervisor]],L:L)</f>
        <v>12261500</v>
      </c>
    </row>
    <row r="3628" spans="1:20" hidden="1" x14ac:dyDescent="0.3">
      <c r="A3628" t="s">
        <v>5457</v>
      </c>
      <c r="B3628" t="s">
        <v>30</v>
      </c>
      <c r="C3628" t="s">
        <v>99</v>
      </c>
      <c r="D3628" t="s">
        <v>5428</v>
      </c>
      <c r="E3628" t="s">
        <v>18</v>
      </c>
      <c r="F3628" t="s">
        <v>137</v>
      </c>
      <c r="G3628" t="s">
        <v>71</v>
      </c>
      <c r="H3628" t="s">
        <v>61</v>
      </c>
      <c r="I3628">
        <v>10500</v>
      </c>
      <c r="J3628">
        <v>13650</v>
      </c>
      <c r="K3628">
        <v>1</v>
      </c>
      <c r="L3628">
        <v>10500</v>
      </c>
      <c r="M3628">
        <v>13650</v>
      </c>
      <c r="N3628" t="s">
        <v>50</v>
      </c>
      <c r="O3628">
        <f t="shared" si="112"/>
        <v>9750</v>
      </c>
      <c r="P3628" s="13">
        <f t="shared" si="113"/>
        <v>2651233</v>
      </c>
      <c r="Q3628" s="13">
        <f>SUMIFS(M:M,E:E,Online_eCommerce[[#This Row],[Status]])</f>
        <v>28340455</v>
      </c>
      <c r="R3628" s="13">
        <f>SUMIFS(L:L,H:H,Online_eCommerce[[#This Row],[Brand]])</f>
        <v>10950150</v>
      </c>
      <c r="S3628" s="13">
        <f>SUMIF(H:H,Online_eCommerce[[#This Row],[Brand]],M:M)</f>
        <v>14235195</v>
      </c>
      <c r="T3628" s="13">
        <f>SUMIF(N:N,Online_eCommerce[[#This Row],[Assigned Supervisor]],L:L)</f>
        <v>12100590</v>
      </c>
    </row>
    <row r="3629" spans="1:20" hidden="1" x14ac:dyDescent="0.3">
      <c r="A3629" t="s">
        <v>5458</v>
      </c>
      <c r="B3629" t="s">
        <v>37</v>
      </c>
      <c r="C3629" t="s">
        <v>105</v>
      </c>
      <c r="D3629" t="s">
        <v>5428</v>
      </c>
      <c r="E3629" t="s">
        <v>161</v>
      </c>
      <c r="F3629" t="s">
        <v>5429</v>
      </c>
      <c r="G3629" t="s">
        <v>77</v>
      </c>
      <c r="H3629" t="s">
        <v>142</v>
      </c>
      <c r="I3629">
        <v>6500</v>
      </c>
      <c r="J3629">
        <v>8450</v>
      </c>
      <c r="K3629">
        <v>2</v>
      </c>
      <c r="L3629">
        <v>13000</v>
      </c>
      <c r="M3629">
        <v>16900</v>
      </c>
      <c r="N3629" t="s">
        <v>56</v>
      </c>
      <c r="O3629">
        <f t="shared" si="112"/>
        <v>39000</v>
      </c>
      <c r="P3629" s="13">
        <f t="shared" si="113"/>
        <v>1866852</v>
      </c>
      <c r="Q3629" s="13">
        <f>SUMIFS(M:M,E:E,Online_eCommerce[[#This Row],[Status]])</f>
        <v>21103186</v>
      </c>
      <c r="R3629" s="13">
        <f>SUMIFS(L:L,H:H,Online_eCommerce[[#This Row],[Brand]])</f>
        <v>6192500</v>
      </c>
      <c r="S3629" s="13">
        <f>SUMIF(H:H,Online_eCommerce[[#This Row],[Brand]],M:M)</f>
        <v>8050250</v>
      </c>
      <c r="T3629" s="13">
        <f>SUMIF(N:N,Online_eCommerce[[#This Row],[Assigned Supervisor]],L:L)</f>
        <v>11733610</v>
      </c>
    </row>
    <row r="3630" spans="1:20" x14ac:dyDescent="0.3">
      <c r="A3630" t="s">
        <v>5459</v>
      </c>
      <c r="B3630" t="s">
        <v>44</v>
      </c>
      <c r="C3630" t="s">
        <v>110</v>
      </c>
      <c r="D3630" t="s">
        <v>5428</v>
      </c>
      <c r="E3630" t="s">
        <v>46</v>
      </c>
      <c r="F3630" t="s">
        <v>5460</v>
      </c>
      <c r="G3630" t="s">
        <v>20</v>
      </c>
      <c r="H3630" t="s">
        <v>21</v>
      </c>
      <c r="I3630">
        <v>4500</v>
      </c>
      <c r="J3630">
        <v>5850</v>
      </c>
      <c r="K3630">
        <v>2</v>
      </c>
      <c r="L3630">
        <v>9000</v>
      </c>
      <c r="M3630">
        <v>11700</v>
      </c>
      <c r="N3630" t="s">
        <v>22</v>
      </c>
      <c r="O3630">
        <f t="shared" si="112"/>
        <v>8450</v>
      </c>
      <c r="P3630" s="13">
        <f t="shared" si="113"/>
        <v>2598635</v>
      </c>
      <c r="Q3630" s="13">
        <f>SUMIFS(M:M,E:E,Online_eCommerce[[#This Row],[Status]])</f>
        <v>28620410</v>
      </c>
      <c r="R3630" s="13">
        <f>SUMIFS(L:L,H:H,Online_eCommerce[[#This Row],[Brand]])</f>
        <v>12435650</v>
      </c>
      <c r="S3630" s="13">
        <f>SUMIF(H:H,Online_eCommerce[[#This Row],[Brand]],M:M)</f>
        <v>16166345</v>
      </c>
      <c r="T3630" s="13">
        <f>SUMIF(N:N,Online_eCommerce[[#This Row],[Assigned Supervisor]],L:L)</f>
        <v>13693220</v>
      </c>
    </row>
    <row r="3631" spans="1:20" hidden="1" x14ac:dyDescent="0.3">
      <c r="A3631" t="s">
        <v>5461</v>
      </c>
      <c r="B3631" t="s">
        <v>213</v>
      </c>
      <c r="C3631" t="s">
        <v>115</v>
      </c>
      <c r="D3631" t="s">
        <v>5428</v>
      </c>
      <c r="E3631" t="s">
        <v>96</v>
      </c>
      <c r="F3631" t="s">
        <v>152</v>
      </c>
      <c r="G3631" t="s">
        <v>26</v>
      </c>
      <c r="H3631" t="s">
        <v>27</v>
      </c>
      <c r="I3631">
        <v>8500</v>
      </c>
      <c r="J3631">
        <v>11050</v>
      </c>
      <c r="K3631">
        <v>3</v>
      </c>
      <c r="L3631">
        <v>25500</v>
      </c>
      <c r="M3631">
        <v>33150</v>
      </c>
      <c r="N3631" t="s">
        <v>28</v>
      </c>
      <c r="O3631">
        <f t="shared" si="112"/>
        <v>33150</v>
      </c>
      <c r="P3631" s="13">
        <f t="shared" si="113"/>
        <v>2050178</v>
      </c>
      <c r="Q3631" s="13">
        <f>SUMIFS(M:M,E:E,Online_eCommerce[[#This Row],[Status]])</f>
        <v>21233992</v>
      </c>
      <c r="R3631" s="13">
        <f>SUMIFS(L:L,H:H,Online_eCommerce[[#This Row],[Brand]])</f>
        <v>14431000</v>
      </c>
      <c r="S3631" s="13">
        <f>SUMIF(H:H,Online_eCommerce[[#This Row],[Brand]],M:M)</f>
        <v>18760300</v>
      </c>
      <c r="T3631" s="13">
        <f>SUMIF(N:N,Online_eCommerce[[#This Row],[Assigned Supervisor]],L:L)</f>
        <v>12220830</v>
      </c>
    </row>
    <row r="3632" spans="1:20" hidden="1" x14ac:dyDescent="0.3">
      <c r="A3632" t="s">
        <v>5462</v>
      </c>
      <c r="B3632" t="s">
        <v>215</v>
      </c>
      <c r="C3632" t="s">
        <v>120</v>
      </c>
      <c r="D3632" t="s">
        <v>5428</v>
      </c>
      <c r="E3632" t="s">
        <v>18</v>
      </c>
      <c r="F3632" t="s">
        <v>157</v>
      </c>
      <c r="G3632" t="s">
        <v>33</v>
      </c>
      <c r="H3632" t="s">
        <v>34</v>
      </c>
      <c r="I3632">
        <v>12500</v>
      </c>
      <c r="J3632">
        <v>16250</v>
      </c>
      <c r="K3632">
        <v>3</v>
      </c>
      <c r="L3632">
        <v>37500</v>
      </c>
      <c r="M3632">
        <v>48750</v>
      </c>
      <c r="N3632" t="s">
        <v>35</v>
      </c>
      <c r="O3632">
        <f t="shared" si="112"/>
        <v>18200</v>
      </c>
      <c r="P3632" s="13">
        <f t="shared" si="113"/>
        <v>2734212</v>
      </c>
      <c r="Q3632" s="13">
        <f>SUMIFS(M:M,E:E,Online_eCommerce[[#This Row],[Status]])</f>
        <v>28340455</v>
      </c>
      <c r="R3632" s="13">
        <f>SUMIFS(L:L,H:H,Online_eCommerce[[#This Row],[Brand]])</f>
        <v>10087000</v>
      </c>
      <c r="S3632" s="13">
        <f>SUMIF(H:H,Online_eCommerce[[#This Row],[Brand]],M:M)</f>
        <v>13113100</v>
      </c>
      <c r="T3632" s="13">
        <f>SUMIF(N:N,Online_eCommerce[[#This Row],[Assigned Supervisor]],L:L)</f>
        <v>14373360</v>
      </c>
    </row>
    <row r="3633" spans="1:20" hidden="1" x14ac:dyDescent="0.3">
      <c r="A3633" t="s">
        <v>5463</v>
      </c>
      <c r="B3633" t="s">
        <v>306</v>
      </c>
      <c r="C3633" t="s">
        <v>125</v>
      </c>
      <c r="D3633" t="s">
        <v>5428</v>
      </c>
      <c r="E3633" t="s">
        <v>161</v>
      </c>
      <c r="F3633" t="s">
        <v>5055</v>
      </c>
      <c r="G3633" t="s">
        <v>256</v>
      </c>
      <c r="H3633" t="s">
        <v>41</v>
      </c>
      <c r="I3633">
        <v>3500</v>
      </c>
      <c r="J3633">
        <v>4550</v>
      </c>
      <c r="K3633">
        <v>4</v>
      </c>
      <c r="L3633">
        <v>14000</v>
      </c>
      <c r="M3633">
        <v>18200</v>
      </c>
      <c r="N3633" t="s">
        <v>42</v>
      </c>
      <c r="O3633">
        <f t="shared" si="112"/>
        <v>9100</v>
      </c>
      <c r="P3633" s="13">
        <f t="shared" si="113"/>
        <v>2091154</v>
      </c>
      <c r="Q3633" s="13">
        <f>SUMIFS(M:M,E:E,Online_eCommerce[[#This Row],[Status]])</f>
        <v>21103186</v>
      </c>
      <c r="R3633" s="13">
        <f>SUMIFS(L:L,H:H,Online_eCommerce[[#This Row],[Brand]])</f>
        <v>4260400</v>
      </c>
      <c r="S3633" s="13">
        <f>SUMIF(H:H,Online_eCommerce[[#This Row],[Brand]],M:M)</f>
        <v>5538520</v>
      </c>
      <c r="T3633" s="13">
        <f>SUMIF(N:N,Online_eCommerce[[#This Row],[Assigned Supervisor]],L:L)</f>
        <v>12261500</v>
      </c>
    </row>
    <row r="3634" spans="1:20" x14ac:dyDescent="0.3">
      <c r="A3634" t="s">
        <v>5464</v>
      </c>
      <c r="B3634" t="s">
        <v>528</v>
      </c>
      <c r="C3634" t="s">
        <v>22</v>
      </c>
      <c r="D3634" t="s">
        <v>5428</v>
      </c>
      <c r="E3634" t="s">
        <v>46</v>
      </c>
      <c r="F3634" t="s">
        <v>166</v>
      </c>
      <c r="G3634" t="s">
        <v>259</v>
      </c>
      <c r="H3634" t="s">
        <v>49</v>
      </c>
      <c r="I3634">
        <v>4500</v>
      </c>
      <c r="J3634">
        <v>5850</v>
      </c>
      <c r="K3634">
        <v>1</v>
      </c>
      <c r="L3634">
        <v>4500</v>
      </c>
      <c r="M3634">
        <v>5850</v>
      </c>
      <c r="N3634" t="s">
        <v>50</v>
      </c>
      <c r="O3634">
        <f t="shared" si="112"/>
        <v>11700</v>
      </c>
      <c r="P3634" s="13">
        <f t="shared" si="113"/>
        <v>2551588</v>
      </c>
      <c r="Q3634" s="13">
        <f>SUMIFS(M:M,E:E,Online_eCommerce[[#This Row],[Status]])</f>
        <v>28620410</v>
      </c>
      <c r="R3634" s="13">
        <f>SUMIFS(L:L,H:H,Online_eCommerce[[#This Row],[Brand]])</f>
        <v>4528350</v>
      </c>
      <c r="S3634" s="13">
        <f>SUMIF(H:H,Online_eCommerce[[#This Row],[Brand]],M:M)</f>
        <v>5886855</v>
      </c>
      <c r="T3634" s="13">
        <f>SUMIF(N:N,Online_eCommerce[[#This Row],[Assigned Supervisor]],L:L)</f>
        <v>12100590</v>
      </c>
    </row>
    <row r="3635" spans="1:20" hidden="1" x14ac:dyDescent="0.3">
      <c r="A3635" t="s">
        <v>5465</v>
      </c>
      <c r="B3635" t="s">
        <v>73</v>
      </c>
      <c r="C3635" t="s">
        <v>132</v>
      </c>
      <c r="D3635" t="s">
        <v>5428</v>
      </c>
      <c r="E3635" t="s">
        <v>96</v>
      </c>
      <c r="F3635" t="s">
        <v>5466</v>
      </c>
      <c r="G3635" t="s">
        <v>54</v>
      </c>
      <c r="H3635" t="s">
        <v>55</v>
      </c>
      <c r="I3635">
        <v>2100</v>
      </c>
      <c r="J3635">
        <v>2730</v>
      </c>
      <c r="K3635">
        <v>1</v>
      </c>
      <c r="L3635">
        <v>2100</v>
      </c>
      <c r="M3635">
        <v>2730</v>
      </c>
      <c r="N3635" t="s">
        <v>56</v>
      </c>
      <c r="O3635">
        <f t="shared" si="112"/>
        <v>2990</v>
      </c>
      <c r="P3635" s="13">
        <f t="shared" si="113"/>
        <v>1989065</v>
      </c>
      <c r="Q3635" s="13">
        <f>SUMIFS(M:M,E:E,Online_eCommerce[[#This Row],[Status]])</f>
        <v>21233992</v>
      </c>
      <c r="R3635" s="13">
        <f>SUMIFS(L:L,H:H,Online_eCommerce[[#This Row],[Brand]])</f>
        <v>2267380</v>
      </c>
      <c r="S3635" s="13">
        <f>SUMIF(H:H,Online_eCommerce[[#This Row],[Brand]],M:M)</f>
        <v>2947594</v>
      </c>
      <c r="T3635" s="13">
        <f>SUMIF(N:N,Online_eCommerce[[#This Row],[Assigned Supervisor]],L:L)</f>
        <v>11733610</v>
      </c>
    </row>
    <row r="3636" spans="1:20" hidden="1" x14ac:dyDescent="0.3">
      <c r="A3636" t="s">
        <v>5467</v>
      </c>
      <c r="B3636" t="s">
        <v>80</v>
      </c>
      <c r="C3636" t="s">
        <v>136</v>
      </c>
      <c r="D3636" t="s">
        <v>5428</v>
      </c>
      <c r="E3636" t="s">
        <v>18</v>
      </c>
      <c r="F3636" t="s">
        <v>174</v>
      </c>
      <c r="G3636" t="s">
        <v>60</v>
      </c>
      <c r="H3636" t="s">
        <v>61</v>
      </c>
      <c r="I3636">
        <v>1150</v>
      </c>
      <c r="J3636">
        <v>1495</v>
      </c>
      <c r="K3636">
        <v>3</v>
      </c>
      <c r="L3636">
        <v>3450</v>
      </c>
      <c r="M3636">
        <v>4485</v>
      </c>
      <c r="N3636" t="s">
        <v>22</v>
      </c>
      <c r="O3636">
        <f t="shared" si="112"/>
        <v>3315</v>
      </c>
      <c r="P3636" s="13">
        <f t="shared" si="113"/>
        <v>2775162</v>
      </c>
      <c r="Q3636" s="13">
        <f>SUMIFS(M:M,E:E,Online_eCommerce[[#This Row],[Status]])</f>
        <v>28340455</v>
      </c>
      <c r="R3636" s="13">
        <f>SUMIFS(L:L,H:H,Online_eCommerce[[#This Row],[Brand]])</f>
        <v>10950150</v>
      </c>
      <c r="S3636" s="13">
        <f>SUMIF(H:H,Online_eCommerce[[#This Row],[Brand]],M:M)</f>
        <v>14235195</v>
      </c>
      <c r="T3636" s="13">
        <f>SUMIF(N:N,Online_eCommerce[[#This Row],[Assigned Supervisor]],L:L)</f>
        <v>13693220</v>
      </c>
    </row>
    <row r="3637" spans="1:20" hidden="1" x14ac:dyDescent="0.3">
      <c r="A3637" t="s">
        <v>5468</v>
      </c>
      <c r="B3637" t="s">
        <v>85</v>
      </c>
      <c r="C3637" t="s">
        <v>140</v>
      </c>
      <c r="D3637" t="s">
        <v>5428</v>
      </c>
      <c r="E3637" t="s">
        <v>161</v>
      </c>
      <c r="F3637" t="s">
        <v>179</v>
      </c>
      <c r="G3637" t="s">
        <v>66</v>
      </c>
      <c r="H3637" t="s">
        <v>21</v>
      </c>
      <c r="I3637">
        <v>350</v>
      </c>
      <c r="J3637">
        <v>455</v>
      </c>
      <c r="K3637">
        <v>2</v>
      </c>
      <c r="L3637">
        <v>700</v>
      </c>
      <c r="M3637">
        <v>910</v>
      </c>
      <c r="N3637" t="s">
        <v>28</v>
      </c>
      <c r="O3637">
        <f t="shared" si="112"/>
        <v>1690</v>
      </c>
      <c r="P3637" s="13">
        <f t="shared" si="113"/>
        <v>2058264</v>
      </c>
      <c r="Q3637" s="13">
        <f>SUMIFS(M:M,E:E,Online_eCommerce[[#This Row],[Status]])</f>
        <v>21103186</v>
      </c>
      <c r="R3637" s="13">
        <f>SUMIFS(L:L,H:H,Online_eCommerce[[#This Row],[Brand]])</f>
        <v>12435650</v>
      </c>
      <c r="S3637" s="13">
        <f>SUMIF(H:H,Online_eCommerce[[#This Row],[Brand]],M:M)</f>
        <v>16166345</v>
      </c>
      <c r="T3637" s="13">
        <f>SUMIF(N:N,Online_eCommerce[[#This Row],[Assigned Supervisor]],L:L)</f>
        <v>12220830</v>
      </c>
    </row>
    <row r="3638" spans="1:20" x14ac:dyDescent="0.3">
      <c r="A3638" t="s">
        <v>5469</v>
      </c>
      <c r="B3638" t="s">
        <v>90</v>
      </c>
      <c r="C3638" t="s">
        <v>145</v>
      </c>
      <c r="D3638" t="s">
        <v>5428</v>
      </c>
      <c r="E3638" t="s">
        <v>46</v>
      </c>
      <c r="F3638" t="s">
        <v>183</v>
      </c>
      <c r="G3638" t="s">
        <v>71</v>
      </c>
      <c r="H3638" t="s">
        <v>61</v>
      </c>
      <c r="I3638">
        <v>9500</v>
      </c>
      <c r="J3638">
        <v>12350</v>
      </c>
      <c r="K3638">
        <v>1</v>
      </c>
      <c r="L3638">
        <v>9500</v>
      </c>
      <c r="M3638">
        <v>12350</v>
      </c>
      <c r="N3638" t="s">
        <v>35</v>
      </c>
      <c r="O3638">
        <f t="shared" si="112"/>
        <v>9750</v>
      </c>
      <c r="P3638" s="13">
        <f t="shared" si="113"/>
        <v>2757859</v>
      </c>
      <c r="Q3638" s="13">
        <f>SUMIFS(M:M,E:E,Online_eCommerce[[#This Row],[Status]])</f>
        <v>28620410</v>
      </c>
      <c r="R3638" s="13">
        <f>SUMIFS(L:L,H:H,Online_eCommerce[[#This Row],[Brand]])</f>
        <v>10950150</v>
      </c>
      <c r="S3638" s="13">
        <f>SUMIF(H:H,Online_eCommerce[[#This Row],[Brand]],M:M)</f>
        <v>14235195</v>
      </c>
      <c r="T3638" s="13">
        <f>SUMIF(N:N,Online_eCommerce[[#This Row],[Assigned Supervisor]],L:L)</f>
        <v>14373360</v>
      </c>
    </row>
    <row r="3639" spans="1:20" hidden="1" x14ac:dyDescent="0.3">
      <c r="A3639" t="s">
        <v>5470</v>
      </c>
      <c r="B3639" t="s">
        <v>232</v>
      </c>
      <c r="C3639" t="s">
        <v>150</v>
      </c>
      <c r="D3639" t="s">
        <v>5428</v>
      </c>
      <c r="E3639" t="s">
        <v>96</v>
      </c>
      <c r="F3639" t="s">
        <v>5471</v>
      </c>
      <c r="G3639" t="s">
        <v>77</v>
      </c>
      <c r="H3639" t="s">
        <v>142</v>
      </c>
      <c r="I3639">
        <v>10000</v>
      </c>
      <c r="J3639">
        <v>13000</v>
      </c>
      <c r="K3639">
        <v>2</v>
      </c>
      <c r="L3639">
        <v>20000</v>
      </c>
      <c r="M3639">
        <v>26000</v>
      </c>
      <c r="N3639" t="s">
        <v>42</v>
      </c>
      <c r="O3639">
        <f t="shared" si="112"/>
        <v>39000</v>
      </c>
      <c r="P3639" s="13">
        <f t="shared" si="113"/>
        <v>2154984</v>
      </c>
      <c r="Q3639" s="13">
        <f>SUMIFS(M:M,E:E,Online_eCommerce[[#This Row],[Status]])</f>
        <v>21233992</v>
      </c>
      <c r="R3639" s="13">
        <f>SUMIFS(L:L,H:H,Online_eCommerce[[#This Row],[Brand]])</f>
        <v>6192500</v>
      </c>
      <c r="S3639" s="13">
        <f>SUMIF(H:H,Online_eCommerce[[#This Row],[Brand]],M:M)</f>
        <v>8050250</v>
      </c>
      <c r="T3639" s="13">
        <f>SUMIF(N:N,Online_eCommerce[[#This Row],[Assigned Supervisor]],L:L)</f>
        <v>12261500</v>
      </c>
    </row>
    <row r="3640" spans="1:20" hidden="1" x14ac:dyDescent="0.3">
      <c r="A3640" t="s">
        <v>5472</v>
      </c>
      <c r="B3640" t="s">
        <v>235</v>
      </c>
      <c r="C3640" t="s">
        <v>155</v>
      </c>
      <c r="D3640" t="s">
        <v>5428</v>
      </c>
      <c r="E3640" t="s">
        <v>18</v>
      </c>
      <c r="F3640" t="s">
        <v>5473</v>
      </c>
      <c r="G3640" t="s">
        <v>20</v>
      </c>
      <c r="H3640" t="s">
        <v>21</v>
      </c>
      <c r="I3640">
        <v>6500</v>
      </c>
      <c r="J3640">
        <v>8450</v>
      </c>
      <c r="K3640">
        <v>2</v>
      </c>
      <c r="L3640">
        <v>13000</v>
      </c>
      <c r="M3640">
        <v>16900</v>
      </c>
      <c r="N3640" t="s">
        <v>50</v>
      </c>
      <c r="O3640">
        <f t="shared" si="112"/>
        <v>8450</v>
      </c>
      <c r="P3640" s="13">
        <f t="shared" si="113"/>
        <v>2753348</v>
      </c>
      <c r="Q3640" s="13">
        <f>SUMIFS(M:M,E:E,Online_eCommerce[[#This Row],[Status]])</f>
        <v>28340455</v>
      </c>
      <c r="R3640" s="13">
        <f>SUMIFS(L:L,H:H,Online_eCommerce[[#This Row],[Brand]])</f>
        <v>12435650</v>
      </c>
      <c r="S3640" s="13">
        <f>SUMIF(H:H,Online_eCommerce[[#This Row],[Brand]],M:M)</f>
        <v>16166345</v>
      </c>
      <c r="T3640" s="13">
        <f>SUMIF(N:N,Online_eCommerce[[#This Row],[Assigned Supervisor]],L:L)</f>
        <v>12100590</v>
      </c>
    </row>
    <row r="3641" spans="1:20" hidden="1" x14ac:dyDescent="0.3">
      <c r="A3641" t="s">
        <v>5474</v>
      </c>
      <c r="B3641" t="s">
        <v>104</v>
      </c>
      <c r="C3641" t="s">
        <v>160</v>
      </c>
      <c r="D3641" t="s">
        <v>5428</v>
      </c>
      <c r="E3641" t="s">
        <v>161</v>
      </c>
      <c r="F3641" t="s">
        <v>5475</v>
      </c>
      <c r="G3641" t="s">
        <v>26</v>
      </c>
      <c r="H3641" t="s">
        <v>27</v>
      </c>
      <c r="I3641">
        <v>8500</v>
      </c>
      <c r="J3641">
        <v>11050</v>
      </c>
      <c r="K3641">
        <v>1</v>
      </c>
      <c r="L3641">
        <v>8500</v>
      </c>
      <c r="M3641">
        <v>11050</v>
      </c>
      <c r="N3641" t="s">
        <v>56</v>
      </c>
      <c r="O3641">
        <f t="shared" si="112"/>
        <v>33150</v>
      </c>
      <c r="P3641" s="13">
        <f t="shared" si="113"/>
        <v>2303483</v>
      </c>
      <c r="Q3641" s="13">
        <f>SUMIFS(M:M,E:E,Online_eCommerce[[#This Row],[Status]])</f>
        <v>21103186</v>
      </c>
      <c r="R3641" s="13">
        <f>SUMIFS(L:L,H:H,Online_eCommerce[[#This Row],[Brand]])</f>
        <v>14431000</v>
      </c>
      <c r="S3641" s="13">
        <f>SUMIF(H:H,Online_eCommerce[[#This Row],[Brand]],M:M)</f>
        <v>18760300</v>
      </c>
      <c r="T3641" s="13">
        <f>SUMIF(N:N,Online_eCommerce[[#This Row],[Assigned Supervisor]],L:L)</f>
        <v>11733610</v>
      </c>
    </row>
    <row r="3642" spans="1:20" x14ac:dyDescent="0.3">
      <c r="A3642" t="s">
        <v>5476</v>
      </c>
      <c r="B3642" t="s">
        <v>109</v>
      </c>
      <c r="C3642" t="s">
        <v>165</v>
      </c>
      <c r="D3642" t="s">
        <v>5428</v>
      </c>
      <c r="E3642" t="s">
        <v>46</v>
      </c>
      <c r="F3642" t="s">
        <v>32</v>
      </c>
      <c r="G3642" t="s">
        <v>33</v>
      </c>
      <c r="H3642" t="s">
        <v>34</v>
      </c>
      <c r="I3642">
        <v>7000</v>
      </c>
      <c r="J3642">
        <v>9100</v>
      </c>
      <c r="K3642">
        <v>1</v>
      </c>
      <c r="L3642">
        <v>7000</v>
      </c>
      <c r="M3642">
        <v>9100</v>
      </c>
      <c r="N3642" t="s">
        <v>22</v>
      </c>
      <c r="O3642">
        <f t="shared" si="112"/>
        <v>18200</v>
      </c>
      <c r="P3642" s="13">
        <f t="shared" si="113"/>
        <v>2674087</v>
      </c>
      <c r="Q3642" s="13">
        <f>SUMIFS(M:M,E:E,Online_eCommerce[[#This Row],[Status]])</f>
        <v>28620410</v>
      </c>
      <c r="R3642" s="13">
        <f>SUMIFS(L:L,H:H,Online_eCommerce[[#This Row],[Brand]])</f>
        <v>10087000</v>
      </c>
      <c r="S3642" s="13">
        <f>SUMIF(H:H,Online_eCommerce[[#This Row],[Brand]],M:M)</f>
        <v>13113100</v>
      </c>
      <c r="T3642" s="13">
        <f>SUMIF(N:N,Online_eCommerce[[#This Row],[Assigned Supervisor]],L:L)</f>
        <v>13693220</v>
      </c>
    </row>
    <row r="3643" spans="1:20" hidden="1" x14ac:dyDescent="0.3">
      <c r="A3643" t="s">
        <v>5477</v>
      </c>
      <c r="B3643" t="s">
        <v>114</v>
      </c>
      <c r="C3643" t="s">
        <v>168</v>
      </c>
      <c r="D3643" t="s">
        <v>5428</v>
      </c>
      <c r="E3643" t="s">
        <v>96</v>
      </c>
      <c r="F3643" t="s">
        <v>5478</v>
      </c>
      <c r="G3643" t="s">
        <v>256</v>
      </c>
      <c r="H3643" t="s">
        <v>41</v>
      </c>
      <c r="I3643">
        <v>6550</v>
      </c>
      <c r="J3643">
        <v>8515</v>
      </c>
      <c r="K3643">
        <v>4</v>
      </c>
      <c r="L3643">
        <v>26200</v>
      </c>
      <c r="M3643">
        <v>34060</v>
      </c>
      <c r="N3643" t="s">
        <v>28</v>
      </c>
      <c r="O3643">
        <f t="shared" si="112"/>
        <v>9100</v>
      </c>
      <c r="P3643" s="13">
        <f t="shared" si="113"/>
        <v>1937780</v>
      </c>
      <c r="Q3643" s="13">
        <f>SUMIFS(M:M,E:E,Online_eCommerce[[#This Row],[Status]])</f>
        <v>21233992</v>
      </c>
      <c r="R3643" s="13">
        <f>SUMIFS(L:L,H:H,Online_eCommerce[[#This Row],[Brand]])</f>
        <v>4260400</v>
      </c>
      <c r="S3643" s="13">
        <f>SUMIF(H:H,Online_eCommerce[[#This Row],[Brand]],M:M)</f>
        <v>5538520</v>
      </c>
      <c r="T3643" s="13">
        <f>SUMIF(N:N,Online_eCommerce[[#This Row],[Assigned Supervisor]],L:L)</f>
        <v>12220830</v>
      </c>
    </row>
    <row r="3644" spans="1:20" hidden="1" x14ac:dyDescent="0.3">
      <c r="A3644" t="s">
        <v>5479</v>
      </c>
      <c r="B3644" t="s">
        <v>119</v>
      </c>
      <c r="C3644" t="s">
        <v>172</v>
      </c>
      <c r="D3644" t="s">
        <v>5428</v>
      </c>
      <c r="E3644" t="s">
        <v>18</v>
      </c>
      <c r="F3644" t="s">
        <v>47</v>
      </c>
      <c r="G3644" t="s">
        <v>259</v>
      </c>
      <c r="H3644" t="s">
        <v>49</v>
      </c>
      <c r="I3644">
        <v>7650</v>
      </c>
      <c r="J3644">
        <v>9945</v>
      </c>
      <c r="K3644">
        <v>2</v>
      </c>
      <c r="L3644">
        <v>15300</v>
      </c>
      <c r="M3644">
        <v>19890</v>
      </c>
      <c r="N3644" t="s">
        <v>35</v>
      </c>
      <c r="O3644">
        <f t="shared" si="112"/>
        <v>11700</v>
      </c>
      <c r="P3644" s="13">
        <f t="shared" si="113"/>
        <v>2640274</v>
      </c>
      <c r="Q3644" s="13">
        <f>SUMIFS(M:M,E:E,Online_eCommerce[[#This Row],[Status]])</f>
        <v>28340455</v>
      </c>
      <c r="R3644" s="13">
        <f>SUMIFS(L:L,H:H,Online_eCommerce[[#This Row],[Brand]])</f>
        <v>4528350</v>
      </c>
      <c r="S3644" s="13">
        <f>SUMIF(H:H,Online_eCommerce[[#This Row],[Brand]],M:M)</f>
        <v>5886855</v>
      </c>
      <c r="T3644" s="13">
        <f>SUMIF(N:N,Online_eCommerce[[#This Row],[Assigned Supervisor]],L:L)</f>
        <v>14373360</v>
      </c>
    </row>
    <row r="3645" spans="1:20" hidden="1" x14ac:dyDescent="0.3">
      <c r="A3645" t="s">
        <v>5480</v>
      </c>
      <c r="B3645" t="s">
        <v>124</v>
      </c>
      <c r="C3645" t="s">
        <v>177</v>
      </c>
      <c r="D3645" t="s">
        <v>5428</v>
      </c>
      <c r="E3645" t="s">
        <v>161</v>
      </c>
      <c r="F3645" t="s">
        <v>53</v>
      </c>
      <c r="G3645" t="s">
        <v>54</v>
      </c>
      <c r="H3645" t="s">
        <v>55</v>
      </c>
      <c r="I3645">
        <v>1150</v>
      </c>
      <c r="J3645">
        <v>1495</v>
      </c>
      <c r="K3645">
        <v>4</v>
      </c>
      <c r="L3645">
        <v>4600</v>
      </c>
      <c r="M3645">
        <v>5980</v>
      </c>
      <c r="N3645" t="s">
        <v>42</v>
      </c>
      <c r="O3645">
        <f t="shared" si="112"/>
        <v>2990</v>
      </c>
      <c r="P3645" s="13">
        <f t="shared" si="113"/>
        <v>1863810</v>
      </c>
      <c r="Q3645" s="13">
        <f>SUMIFS(M:M,E:E,Online_eCommerce[[#This Row],[Status]])</f>
        <v>21103186</v>
      </c>
      <c r="R3645" s="13">
        <f>SUMIFS(L:L,H:H,Online_eCommerce[[#This Row],[Brand]])</f>
        <v>2267380</v>
      </c>
      <c r="S3645" s="13">
        <f>SUMIF(H:H,Online_eCommerce[[#This Row],[Brand]],M:M)</f>
        <v>2947594</v>
      </c>
      <c r="T3645" s="13">
        <f>SUMIF(N:N,Online_eCommerce[[#This Row],[Assigned Supervisor]],L:L)</f>
        <v>12261500</v>
      </c>
    </row>
    <row r="3646" spans="1:20" x14ac:dyDescent="0.3">
      <c r="A3646" t="s">
        <v>5481</v>
      </c>
      <c r="B3646" t="s">
        <v>128</v>
      </c>
      <c r="C3646" t="s">
        <v>181</v>
      </c>
      <c r="D3646" t="s">
        <v>5428</v>
      </c>
      <c r="E3646" t="s">
        <v>46</v>
      </c>
      <c r="F3646" t="s">
        <v>59</v>
      </c>
      <c r="G3646" t="s">
        <v>60</v>
      </c>
      <c r="H3646" t="s">
        <v>61</v>
      </c>
      <c r="I3646">
        <v>850</v>
      </c>
      <c r="J3646">
        <v>1105</v>
      </c>
      <c r="K3646">
        <v>1</v>
      </c>
      <c r="L3646">
        <v>850</v>
      </c>
      <c r="M3646">
        <v>1105</v>
      </c>
      <c r="N3646" t="s">
        <v>50</v>
      </c>
      <c r="O3646">
        <f t="shared" si="112"/>
        <v>3315</v>
      </c>
      <c r="P3646" s="13">
        <f t="shared" si="113"/>
        <v>2577458</v>
      </c>
      <c r="Q3646" s="13">
        <f>SUMIFS(M:M,E:E,Online_eCommerce[[#This Row],[Status]])</f>
        <v>28620410</v>
      </c>
      <c r="R3646" s="13">
        <f>SUMIFS(L:L,H:H,Online_eCommerce[[#This Row],[Brand]])</f>
        <v>10950150</v>
      </c>
      <c r="S3646" s="13">
        <f>SUMIF(H:H,Online_eCommerce[[#This Row],[Brand]],M:M)</f>
        <v>14235195</v>
      </c>
      <c r="T3646" s="13">
        <f>SUMIF(N:N,Online_eCommerce[[#This Row],[Assigned Supervisor]],L:L)</f>
        <v>12100590</v>
      </c>
    </row>
    <row r="3647" spans="1:20" hidden="1" x14ac:dyDescent="0.3">
      <c r="A3647" t="s">
        <v>5482</v>
      </c>
      <c r="B3647" t="s">
        <v>131</v>
      </c>
      <c r="C3647" t="s">
        <v>185</v>
      </c>
      <c r="D3647" t="s">
        <v>5428</v>
      </c>
      <c r="E3647" t="s">
        <v>96</v>
      </c>
      <c r="F3647" t="s">
        <v>65</v>
      </c>
      <c r="G3647" t="s">
        <v>66</v>
      </c>
      <c r="H3647" t="s">
        <v>21</v>
      </c>
      <c r="I3647">
        <v>650</v>
      </c>
      <c r="J3647">
        <v>845</v>
      </c>
      <c r="K3647">
        <v>3</v>
      </c>
      <c r="L3647">
        <v>1950</v>
      </c>
      <c r="M3647">
        <v>2535</v>
      </c>
      <c r="N3647" t="s">
        <v>56</v>
      </c>
      <c r="O3647">
        <f t="shared" si="112"/>
        <v>1690</v>
      </c>
      <c r="P3647" s="13">
        <f t="shared" si="113"/>
        <v>2091596</v>
      </c>
      <c r="Q3647" s="13">
        <f>SUMIFS(M:M,E:E,Online_eCommerce[[#This Row],[Status]])</f>
        <v>21233992</v>
      </c>
      <c r="R3647" s="13">
        <f>SUMIFS(L:L,H:H,Online_eCommerce[[#This Row],[Brand]])</f>
        <v>12435650</v>
      </c>
      <c r="S3647" s="13">
        <f>SUMIF(H:H,Online_eCommerce[[#This Row],[Brand]],M:M)</f>
        <v>16166345</v>
      </c>
      <c r="T3647" s="13">
        <f>SUMIF(N:N,Online_eCommerce[[#This Row],[Assigned Supervisor]],L:L)</f>
        <v>11733610</v>
      </c>
    </row>
    <row r="3648" spans="1:20" hidden="1" x14ac:dyDescent="0.3">
      <c r="A3648" t="s">
        <v>5483</v>
      </c>
      <c r="B3648" t="s">
        <v>135</v>
      </c>
      <c r="C3648" t="s">
        <v>189</v>
      </c>
      <c r="D3648" t="s">
        <v>5428</v>
      </c>
      <c r="E3648" t="s">
        <v>18</v>
      </c>
      <c r="F3648" t="s">
        <v>70</v>
      </c>
      <c r="G3648" t="s">
        <v>71</v>
      </c>
      <c r="H3648" t="s">
        <v>61</v>
      </c>
      <c r="I3648">
        <v>7500</v>
      </c>
      <c r="J3648">
        <v>9750</v>
      </c>
      <c r="K3648">
        <v>1</v>
      </c>
      <c r="L3648">
        <v>7500</v>
      </c>
      <c r="M3648">
        <v>9750</v>
      </c>
      <c r="N3648" t="s">
        <v>22</v>
      </c>
      <c r="O3648">
        <f t="shared" si="112"/>
        <v>9750</v>
      </c>
      <c r="P3648" s="13">
        <f t="shared" si="113"/>
        <v>2740777</v>
      </c>
      <c r="Q3648" s="13">
        <f>SUMIFS(M:M,E:E,Online_eCommerce[[#This Row],[Status]])</f>
        <v>28340455</v>
      </c>
      <c r="R3648" s="13">
        <f>SUMIFS(L:L,H:H,Online_eCommerce[[#This Row],[Brand]])</f>
        <v>10950150</v>
      </c>
      <c r="S3648" s="13">
        <f>SUMIF(H:H,Online_eCommerce[[#This Row],[Brand]],M:M)</f>
        <v>14235195</v>
      </c>
      <c r="T3648" s="13">
        <f>SUMIF(N:N,Online_eCommerce[[#This Row],[Assigned Supervisor]],L:L)</f>
        <v>13693220</v>
      </c>
    </row>
    <row r="3649" spans="1:20" hidden="1" x14ac:dyDescent="0.3">
      <c r="A3649" t="s">
        <v>5484</v>
      </c>
      <c r="B3649" t="s">
        <v>139</v>
      </c>
      <c r="C3649" t="s">
        <v>193</v>
      </c>
      <c r="D3649" t="s">
        <v>5428</v>
      </c>
      <c r="E3649" t="s">
        <v>161</v>
      </c>
      <c r="F3649" t="s">
        <v>5471</v>
      </c>
      <c r="G3649" t="s">
        <v>77</v>
      </c>
      <c r="H3649" t="s">
        <v>78</v>
      </c>
      <c r="I3649">
        <v>10000</v>
      </c>
      <c r="J3649">
        <v>13000</v>
      </c>
      <c r="K3649">
        <v>3</v>
      </c>
      <c r="L3649">
        <v>30000</v>
      </c>
      <c r="M3649">
        <v>39000</v>
      </c>
      <c r="N3649" t="s">
        <v>28</v>
      </c>
      <c r="O3649">
        <f t="shared" si="112"/>
        <v>39000</v>
      </c>
      <c r="P3649" s="13">
        <f t="shared" si="113"/>
        <v>2074774</v>
      </c>
      <c r="Q3649" s="13">
        <f>SUMIFS(M:M,E:E,Online_eCommerce[[#This Row],[Status]])</f>
        <v>21103186</v>
      </c>
      <c r="R3649" s="13">
        <f>SUMIFS(L:L,H:H,Online_eCommerce[[#This Row],[Brand]])</f>
        <v>3720000</v>
      </c>
      <c r="S3649" s="13">
        <f>SUMIF(H:H,Online_eCommerce[[#This Row],[Brand]],M:M)</f>
        <v>4836000</v>
      </c>
      <c r="T3649" s="13">
        <f>SUMIF(N:N,Online_eCommerce[[#This Row],[Assigned Supervisor]],L:L)</f>
        <v>12220830</v>
      </c>
    </row>
    <row r="3650" spans="1:20" x14ac:dyDescent="0.3">
      <c r="A3650" t="s">
        <v>5485</v>
      </c>
      <c r="B3650" t="s">
        <v>144</v>
      </c>
      <c r="C3650" t="s">
        <v>197</v>
      </c>
      <c r="D3650" t="s">
        <v>5428</v>
      </c>
      <c r="E3650" t="s">
        <v>46</v>
      </c>
      <c r="F3650" t="s">
        <v>5486</v>
      </c>
      <c r="G3650" t="s">
        <v>20</v>
      </c>
      <c r="H3650" t="s">
        <v>21</v>
      </c>
      <c r="I3650">
        <v>10500</v>
      </c>
      <c r="J3650">
        <v>13650</v>
      </c>
      <c r="K3650">
        <v>1</v>
      </c>
      <c r="L3650">
        <v>10500</v>
      </c>
      <c r="M3650">
        <v>13650</v>
      </c>
      <c r="N3650" t="s">
        <v>35</v>
      </c>
      <c r="O3650">
        <f t="shared" ref="O3650:O3713" si="114">VLOOKUP(G3650,G:M,7,FALSE)</f>
        <v>8450</v>
      </c>
      <c r="P3650" s="13">
        <f t="shared" ref="P3650:P3713" si="115">SUMIFS(M:M,C:C,C3650)</f>
        <v>2829840</v>
      </c>
      <c r="Q3650" s="13">
        <f>SUMIFS(M:M,E:E,Online_eCommerce[[#This Row],[Status]])</f>
        <v>28620410</v>
      </c>
      <c r="R3650" s="13">
        <f>SUMIFS(L:L,H:H,Online_eCommerce[[#This Row],[Brand]])</f>
        <v>12435650</v>
      </c>
      <c r="S3650" s="13">
        <f>SUMIF(H:H,Online_eCommerce[[#This Row],[Brand]],M:M)</f>
        <v>16166345</v>
      </c>
      <c r="T3650" s="13">
        <f>SUMIF(N:N,Online_eCommerce[[#This Row],[Assigned Supervisor]],L:L)</f>
        <v>14373360</v>
      </c>
    </row>
    <row r="3651" spans="1:20" hidden="1" x14ac:dyDescent="0.3">
      <c r="A3651" t="s">
        <v>5487</v>
      </c>
      <c r="B3651" t="s">
        <v>149</v>
      </c>
      <c r="C3651" t="s">
        <v>199</v>
      </c>
      <c r="D3651" t="s">
        <v>5428</v>
      </c>
      <c r="E3651" t="s">
        <v>96</v>
      </c>
      <c r="F3651" t="s">
        <v>88</v>
      </c>
      <c r="G3651" t="s">
        <v>26</v>
      </c>
      <c r="H3651" t="s">
        <v>27</v>
      </c>
      <c r="I3651">
        <v>8500</v>
      </c>
      <c r="J3651">
        <v>11050</v>
      </c>
      <c r="K3651">
        <v>4</v>
      </c>
      <c r="L3651">
        <v>34000</v>
      </c>
      <c r="M3651">
        <v>44200</v>
      </c>
      <c r="N3651" t="s">
        <v>42</v>
      </c>
      <c r="O3651">
        <f t="shared" si="114"/>
        <v>33150</v>
      </c>
      <c r="P3651" s="13">
        <f t="shared" si="115"/>
        <v>1947361</v>
      </c>
      <c r="Q3651" s="13">
        <f>SUMIFS(M:M,E:E,Online_eCommerce[[#This Row],[Status]])</f>
        <v>21233992</v>
      </c>
      <c r="R3651" s="13">
        <f>SUMIFS(L:L,H:H,Online_eCommerce[[#This Row],[Brand]])</f>
        <v>14431000</v>
      </c>
      <c r="S3651" s="13">
        <f>SUMIF(H:H,Online_eCommerce[[#This Row],[Brand]],M:M)</f>
        <v>18760300</v>
      </c>
      <c r="T3651" s="13">
        <f>SUMIF(N:N,Online_eCommerce[[#This Row],[Assigned Supervisor]],L:L)</f>
        <v>12261500</v>
      </c>
    </row>
    <row r="3652" spans="1:20" hidden="1" x14ac:dyDescent="0.3">
      <c r="A3652" t="s">
        <v>5488</v>
      </c>
      <c r="B3652" t="s">
        <v>154</v>
      </c>
      <c r="C3652" t="s">
        <v>203</v>
      </c>
      <c r="D3652" t="s">
        <v>5428</v>
      </c>
      <c r="E3652" t="s">
        <v>18</v>
      </c>
      <c r="F3652" t="s">
        <v>32</v>
      </c>
      <c r="G3652" t="s">
        <v>33</v>
      </c>
      <c r="H3652" t="s">
        <v>34</v>
      </c>
      <c r="I3652">
        <v>7000</v>
      </c>
      <c r="J3652">
        <v>9100</v>
      </c>
      <c r="K3652">
        <v>3</v>
      </c>
      <c r="L3652">
        <v>21000</v>
      </c>
      <c r="M3652">
        <v>27300</v>
      </c>
      <c r="N3652" t="s">
        <v>50</v>
      </c>
      <c r="O3652">
        <f t="shared" si="114"/>
        <v>18200</v>
      </c>
      <c r="P3652" s="13">
        <f t="shared" si="115"/>
        <v>2559635</v>
      </c>
      <c r="Q3652" s="13">
        <f>SUMIFS(M:M,E:E,Online_eCommerce[[#This Row],[Status]])</f>
        <v>28340455</v>
      </c>
      <c r="R3652" s="13">
        <f>SUMIFS(L:L,H:H,Online_eCommerce[[#This Row],[Brand]])</f>
        <v>10087000</v>
      </c>
      <c r="S3652" s="13">
        <f>SUMIF(H:H,Online_eCommerce[[#This Row],[Brand]],M:M)</f>
        <v>13113100</v>
      </c>
      <c r="T3652" s="13">
        <f>SUMIF(N:N,Online_eCommerce[[#This Row],[Assigned Supervisor]],L:L)</f>
        <v>12100590</v>
      </c>
    </row>
    <row r="3653" spans="1:20" hidden="1" x14ac:dyDescent="0.3">
      <c r="A3653" t="s">
        <v>5489</v>
      </c>
      <c r="B3653" t="s">
        <v>159</v>
      </c>
      <c r="C3653" t="s">
        <v>205</v>
      </c>
      <c r="D3653" t="s">
        <v>5428</v>
      </c>
      <c r="E3653" t="s">
        <v>161</v>
      </c>
      <c r="F3653" t="s">
        <v>5490</v>
      </c>
      <c r="G3653" t="s">
        <v>256</v>
      </c>
      <c r="H3653" t="s">
        <v>41</v>
      </c>
      <c r="I3653">
        <v>1680</v>
      </c>
      <c r="J3653">
        <v>2184</v>
      </c>
      <c r="K3653">
        <v>2</v>
      </c>
      <c r="L3653">
        <v>3360</v>
      </c>
      <c r="M3653">
        <v>4368</v>
      </c>
      <c r="N3653" t="s">
        <v>56</v>
      </c>
      <c r="O3653">
        <f t="shared" si="114"/>
        <v>9100</v>
      </c>
      <c r="P3653" s="13">
        <f t="shared" si="115"/>
        <v>1983254</v>
      </c>
      <c r="Q3653" s="13">
        <f>SUMIFS(M:M,E:E,Online_eCommerce[[#This Row],[Status]])</f>
        <v>21103186</v>
      </c>
      <c r="R3653" s="13">
        <f>SUMIFS(L:L,H:H,Online_eCommerce[[#This Row],[Brand]])</f>
        <v>4260400</v>
      </c>
      <c r="S3653" s="13">
        <f>SUMIF(H:H,Online_eCommerce[[#This Row],[Brand]],M:M)</f>
        <v>5538520</v>
      </c>
      <c r="T3653" s="13">
        <f>SUMIF(N:N,Online_eCommerce[[#This Row],[Assigned Supervisor]],L:L)</f>
        <v>11733610</v>
      </c>
    </row>
    <row r="3654" spans="1:20" x14ac:dyDescent="0.3">
      <c r="A3654" t="s">
        <v>5491</v>
      </c>
      <c r="B3654" t="s">
        <v>139</v>
      </c>
      <c r="C3654" t="s">
        <v>208</v>
      </c>
      <c r="D3654" t="s">
        <v>5428</v>
      </c>
      <c r="E3654" t="s">
        <v>46</v>
      </c>
      <c r="F3654" t="s">
        <v>101</v>
      </c>
      <c r="G3654" t="s">
        <v>259</v>
      </c>
      <c r="H3654" t="s">
        <v>102</v>
      </c>
      <c r="I3654">
        <v>6540</v>
      </c>
      <c r="J3654">
        <v>8502</v>
      </c>
      <c r="K3654">
        <v>4</v>
      </c>
      <c r="L3654">
        <v>26160</v>
      </c>
      <c r="M3654">
        <v>34008</v>
      </c>
      <c r="N3654" t="s">
        <v>22</v>
      </c>
      <c r="O3654">
        <f t="shared" si="114"/>
        <v>11700</v>
      </c>
      <c r="P3654" s="13">
        <f t="shared" si="115"/>
        <v>2746575</v>
      </c>
      <c r="Q3654" s="13">
        <f>SUMIFS(M:M,E:E,Online_eCommerce[[#This Row],[Status]])</f>
        <v>28620410</v>
      </c>
      <c r="R3654" s="13">
        <f>SUMIFS(L:L,H:H,Online_eCommerce[[#This Row],[Brand]])</f>
        <v>2465580</v>
      </c>
      <c r="S3654" s="13">
        <f>SUMIF(H:H,Online_eCommerce[[#This Row],[Brand]],M:M)</f>
        <v>3205254</v>
      </c>
      <c r="T3654" s="13">
        <f>SUMIF(N:N,Online_eCommerce[[#This Row],[Assigned Supervisor]],L:L)</f>
        <v>13693220</v>
      </c>
    </row>
    <row r="3655" spans="1:20" hidden="1" x14ac:dyDescent="0.3">
      <c r="A3655" t="s">
        <v>5492</v>
      </c>
      <c r="B3655" t="s">
        <v>144</v>
      </c>
      <c r="C3655" t="s">
        <v>211</v>
      </c>
      <c r="D3655" t="s">
        <v>5428</v>
      </c>
      <c r="E3655" t="s">
        <v>96</v>
      </c>
      <c r="F3655" t="s">
        <v>107</v>
      </c>
      <c r="G3655" t="s">
        <v>54</v>
      </c>
      <c r="H3655" t="s">
        <v>55</v>
      </c>
      <c r="I3655">
        <v>2680</v>
      </c>
      <c r="J3655">
        <v>3484</v>
      </c>
      <c r="K3655">
        <v>4</v>
      </c>
      <c r="L3655">
        <v>10720</v>
      </c>
      <c r="M3655">
        <v>13936</v>
      </c>
      <c r="N3655" t="s">
        <v>28</v>
      </c>
      <c r="O3655">
        <f t="shared" si="114"/>
        <v>2990</v>
      </c>
      <c r="P3655" s="13">
        <f t="shared" si="115"/>
        <v>1809847</v>
      </c>
      <c r="Q3655" s="13">
        <f>SUMIFS(M:M,E:E,Online_eCommerce[[#This Row],[Status]])</f>
        <v>21233992</v>
      </c>
      <c r="R3655" s="13">
        <f>SUMIFS(L:L,H:H,Online_eCommerce[[#This Row],[Brand]])</f>
        <v>2267380</v>
      </c>
      <c r="S3655" s="13">
        <f>SUMIF(H:H,Online_eCommerce[[#This Row],[Brand]],M:M)</f>
        <v>2947594</v>
      </c>
      <c r="T3655" s="13">
        <f>SUMIF(N:N,Online_eCommerce[[#This Row],[Assigned Supervisor]],L:L)</f>
        <v>12220830</v>
      </c>
    </row>
    <row r="3656" spans="1:20" hidden="1" x14ac:dyDescent="0.3">
      <c r="A3656" t="s">
        <v>5493</v>
      </c>
      <c r="B3656" t="s">
        <v>235</v>
      </c>
      <c r="C3656" t="s">
        <v>16</v>
      </c>
      <c r="D3656" t="s">
        <v>5428</v>
      </c>
      <c r="E3656" t="s">
        <v>18</v>
      </c>
      <c r="F3656" t="s">
        <v>112</v>
      </c>
      <c r="G3656" t="s">
        <v>71</v>
      </c>
      <c r="H3656" t="s">
        <v>21</v>
      </c>
      <c r="I3656">
        <v>8250</v>
      </c>
      <c r="J3656">
        <v>10725</v>
      </c>
      <c r="K3656">
        <v>4</v>
      </c>
      <c r="L3656">
        <v>33000</v>
      </c>
      <c r="M3656">
        <v>42900</v>
      </c>
      <c r="N3656" t="s">
        <v>35</v>
      </c>
      <c r="O3656">
        <f t="shared" si="114"/>
        <v>9750</v>
      </c>
      <c r="P3656" s="13">
        <f t="shared" si="115"/>
        <v>2751814</v>
      </c>
      <c r="Q3656" s="13">
        <f>SUMIFS(M:M,E:E,Online_eCommerce[[#This Row],[Status]])</f>
        <v>28340455</v>
      </c>
      <c r="R3656" s="13">
        <f>SUMIFS(L:L,H:H,Online_eCommerce[[#This Row],[Brand]])</f>
        <v>12435650</v>
      </c>
      <c r="S3656" s="13">
        <f>SUMIF(H:H,Online_eCommerce[[#This Row],[Brand]],M:M)</f>
        <v>16166345</v>
      </c>
      <c r="T3656" s="13">
        <f>SUMIF(N:N,Online_eCommerce[[#This Row],[Assigned Supervisor]],L:L)</f>
        <v>14373360</v>
      </c>
    </row>
    <row r="3657" spans="1:20" hidden="1" x14ac:dyDescent="0.3">
      <c r="A3657" t="s">
        <v>5494</v>
      </c>
      <c r="B3657" t="s">
        <v>176</v>
      </c>
      <c r="C3657" t="s">
        <v>24</v>
      </c>
      <c r="D3657" t="s">
        <v>5428</v>
      </c>
      <c r="E3657" t="s">
        <v>161</v>
      </c>
      <c r="F3657" t="s">
        <v>5055</v>
      </c>
      <c r="G3657" t="s">
        <v>40</v>
      </c>
      <c r="H3657" t="s">
        <v>21</v>
      </c>
      <c r="I3657">
        <v>2650</v>
      </c>
      <c r="J3657">
        <v>3445</v>
      </c>
      <c r="K3657">
        <v>4</v>
      </c>
      <c r="L3657">
        <v>10600</v>
      </c>
      <c r="M3657">
        <v>13780</v>
      </c>
      <c r="N3657" t="s">
        <v>42</v>
      </c>
      <c r="O3657">
        <f t="shared" si="114"/>
        <v>25545</v>
      </c>
      <c r="P3657" s="13">
        <f t="shared" si="115"/>
        <v>2009540</v>
      </c>
      <c r="Q3657" s="13">
        <f>SUMIFS(M:M,E:E,Online_eCommerce[[#This Row],[Status]])</f>
        <v>21103186</v>
      </c>
      <c r="R3657" s="13">
        <f>SUMIFS(L:L,H:H,Online_eCommerce[[#This Row],[Brand]])</f>
        <v>12435650</v>
      </c>
      <c r="S3657" s="13">
        <f>SUMIF(H:H,Online_eCommerce[[#This Row],[Brand]],M:M)</f>
        <v>16166345</v>
      </c>
      <c r="T3657" s="13">
        <f>SUMIF(N:N,Online_eCommerce[[#This Row],[Assigned Supervisor]],L:L)</f>
        <v>12261500</v>
      </c>
    </row>
    <row r="3658" spans="1:20" x14ac:dyDescent="0.3">
      <c r="A3658" t="s">
        <v>5495</v>
      </c>
      <c r="B3658" t="s">
        <v>276</v>
      </c>
      <c r="C3658" t="s">
        <v>31</v>
      </c>
      <c r="D3658" t="s">
        <v>5428</v>
      </c>
      <c r="E3658" t="s">
        <v>46</v>
      </c>
      <c r="F3658" t="s">
        <v>121</v>
      </c>
      <c r="G3658" t="s">
        <v>71</v>
      </c>
      <c r="H3658" t="s">
        <v>122</v>
      </c>
      <c r="I3658">
        <v>12550</v>
      </c>
      <c r="J3658">
        <v>16315</v>
      </c>
      <c r="K3658">
        <v>3</v>
      </c>
      <c r="L3658">
        <v>37650</v>
      </c>
      <c r="M3658">
        <v>48945</v>
      </c>
      <c r="N3658" t="s">
        <v>50</v>
      </c>
      <c r="O3658">
        <f t="shared" si="114"/>
        <v>9750</v>
      </c>
      <c r="P3658" s="13">
        <f t="shared" si="115"/>
        <v>2865746</v>
      </c>
      <c r="Q3658" s="13">
        <f>SUMIFS(M:M,E:E,Online_eCommerce[[#This Row],[Status]])</f>
        <v>28620410</v>
      </c>
      <c r="R3658" s="13">
        <f>SUMIFS(L:L,H:H,Online_eCommerce[[#This Row],[Brand]])</f>
        <v>5045100</v>
      </c>
      <c r="S3658" s="13">
        <f>SUMIF(H:H,Online_eCommerce[[#This Row],[Brand]],M:M)</f>
        <v>6558630</v>
      </c>
      <c r="T3658" s="13">
        <f>SUMIF(N:N,Online_eCommerce[[#This Row],[Assigned Supervisor]],L:L)</f>
        <v>12100590</v>
      </c>
    </row>
    <row r="3659" spans="1:20" hidden="1" x14ac:dyDescent="0.3">
      <c r="A3659" t="s">
        <v>5496</v>
      </c>
      <c r="B3659" t="s">
        <v>280</v>
      </c>
      <c r="C3659" t="s">
        <v>38</v>
      </c>
      <c r="D3659" t="s">
        <v>5428</v>
      </c>
      <c r="E3659" t="s">
        <v>96</v>
      </c>
      <c r="F3659" t="s">
        <v>126</v>
      </c>
      <c r="G3659" t="s">
        <v>26</v>
      </c>
      <c r="H3659" t="s">
        <v>27</v>
      </c>
      <c r="I3659">
        <v>14500</v>
      </c>
      <c r="J3659">
        <v>18850</v>
      </c>
      <c r="K3659">
        <v>3</v>
      </c>
      <c r="L3659">
        <v>43500</v>
      </c>
      <c r="M3659">
        <v>56550</v>
      </c>
      <c r="N3659" t="s">
        <v>56</v>
      </c>
      <c r="O3659">
        <f t="shared" si="114"/>
        <v>33150</v>
      </c>
      <c r="P3659" s="13">
        <f t="shared" si="115"/>
        <v>1933997</v>
      </c>
      <c r="Q3659" s="13">
        <f>SUMIFS(M:M,E:E,Online_eCommerce[[#This Row],[Status]])</f>
        <v>21233992</v>
      </c>
      <c r="R3659" s="13">
        <f>SUMIFS(L:L,H:H,Online_eCommerce[[#This Row],[Brand]])</f>
        <v>14431000</v>
      </c>
      <c r="S3659" s="13">
        <f>SUMIF(H:H,Online_eCommerce[[#This Row],[Brand]],M:M)</f>
        <v>18760300</v>
      </c>
      <c r="T3659" s="13">
        <f>SUMIF(N:N,Online_eCommerce[[#This Row],[Assigned Supervisor]],L:L)</f>
        <v>11733610</v>
      </c>
    </row>
    <row r="3660" spans="1:20" hidden="1" x14ac:dyDescent="0.3">
      <c r="A3660" t="s">
        <v>5497</v>
      </c>
      <c r="B3660" t="s">
        <v>283</v>
      </c>
      <c r="C3660" t="s">
        <v>45</v>
      </c>
      <c r="D3660" t="s">
        <v>5428</v>
      </c>
      <c r="E3660" t="s">
        <v>18</v>
      </c>
      <c r="F3660" t="s">
        <v>129</v>
      </c>
      <c r="G3660" t="s">
        <v>60</v>
      </c>
      <c r="H3660" t="s">
        <v>61</v>
      </c>
      <c r="I3660">
        <v>800</v>
      </c>
      <c r="J3660">
        <v>1040</v>
      </c>
      <c r="K3660">
        <v>1</v>
      </c>
      <c r="L3660">
        <v>800</v>
      </c>
      <c r="M3660">
        <v>1040</v>
      </c>
      <c r="N3660" t="s">
        <v>22</v>
      </c>
      <c r="O3660">
        <f t="shared" si="114"/>
        <v>3315</v>
      </c>
      <c r="P3660" s="13">
        <f t="shared" si="115"/>
        <v>2842554</v>
      </c>
      <c r="Q3660" s="13">
        <f>SUMIFS(M:M,E:E,Online_eCommerce[[#This Row],[Status]])</f>
        <v>28340455</v>
      </c>
      <c r="R3660" s="13">
        <f>SUMIFS(L:L,H:H,Online_eCommerce[[#This Row],[Brand]])</f>
        <v>10950150</v>
      </c>
      <c r="S3660" s="13">
        <f>SUMIF(H:H,Online_eCommerce[[#This Row],[Brand]],M:M)</f>
        <v>14235195</v>
      </c>
      <c r="T3660" s="13">
        <f>SUMIF(N:N,Online_eCommerce[[#This Row],[Assigned Supervisor]],L:L)</f>
        <v>13693220</v>
      </c>
    </row>
    <row r="3661" spans="1:20" hidden="1" x14ac:dyDescent="0.3">
      <c r="A3661" t="s">
        <v>5498</v>
      </c>
      <c r="B3661" t="s">
        <v>287</v>
      </c>
      <c r="C3661" t="s">
        <v>52</v>
      </c>
      <c r="D3661" t="s">
        <v>5428</v>
      </c>
      <c r="E3661" t="s">
        <v>161</v>
      </c>
      <c r="F3661" t="s">
        <v>133</v>
      </c>
      <c r="G3661" t="s">
        <v>66</v>
      </c>
      <c r="H3661" t="s">
        <v>21</v>
      </c>
      <c r="I3661">
        <v>600</v>
      </c>
      <c r="J3661">
        <v>780</v>
      </c>
      <c r="K3661">
        <v>4</v>
      </c>
      <c r="L3661">
        <v>2400</v>
      </c>
      <c r="M3661">
        <v>3120</v>
      </c>
      <c r="N3661" t="s">
        <v>28</v>
      </c>
      <c r="O3661">
        <f t="shared" si="114"/>
        <v>1690</v>
      </c>
      <c r="P3661" s="13">
        <f t="shared" si="115"/>
        <v>1955044</v>
      </c>
      <c r="Q3661" s="13">
        <f>SUMIFS(M:M,E:E,Online_eCommerce[[#This Row],[Status]])</f>
        <v>21103186</v>
      </c>
      <c r="R3661" s="13">
        <f>SUMIFS(L:L,H:H,Online_eCommerce[[#This Row],[Brand]])</f>
        <v>12435650</v>
      </c>
      <c r="S3661" s="13">
        <f>SUMIF(H:H,Online_eCommerce[[#This Row],[Brand]],M:M)</f>
        <v>16166345</v>
      </c>
      <c r="T3661" s="13">
        <f>SUMIF(N:N,Online_eCommerce[[#This Row],[Assigned Supervisor]],L:L)</f>
        <v>12220830</v>
      </c>
    </row>
    <row r="3662" spans="1:20" x14ac:dyDescent="0.3">
      <c r="A3662" t="s">
        <v>5499</v>
      </c>
      <c r="B3662" t="s">
        <v>290</v>
      </c>
      <c r="C3662" t="s">
        <v>58</v>
      </c>
      <c r="D3662" t="s">
        <v>5428</v>
      </c>
      <c r="E3662" t="s">
        <v>46</v>
      </c>
      <c r="F3662" t="s">
        <v>137</v>
      </c>
      <c r="G3662" t="s">
        <v>71</v>
      </c>
      <c r="H3662" t="s">
        <v>61</v>
      </c>
      <c r="I3662">
        <v>10500</v>
      </c>
      <c r="J3662">
        <v>13650</v>
      </c>
      <c r="K3662">
        <v>3</v>
      </c>
      <c r="L3662">
        <v>31500</v>
      </c>
      <c r="M3662">
        <v>40950</v>
      </c>
      <c r="N3662" t="s">
        <v>35</v>
      </c>
      <c r="O3662">
        <f t="shared" si="114"/>
        <v>9750</v>
      </c>
      <c r="P3662" s="13">
        <f t="shared" si="115"/>
        <v>2629211</v>
      </c>
      <c r="Q3662" s="13">
        <f>SUMIFS(M:M,E:E,Online_eCommerce[[#This Row],[Status]])</f>
        <v>28620410</v>
      </c>
      <c r="R3662" s="13">
        <f>SUMIFS(L:L,H:H,Online_eCommerce[[#This Row],[Brand]])</f>
        <v>10950150</v>
      </c>
      <c r="S3662" s="13">
        <f>SUMIF(H:H,Online_eCommerce[[#This Row],[Brand]],M:M)</f>
        <v>14235195</v>
      </c>
      <c r="T3662" s="13">
        <f>SUMIF(N:N,Online_eCommerce[[#This Row],[Assigned Supervisor]],L:L)</f>
        <v>14373360</v>
      </c>
    </row>
    <row r="3663" spans="1:20" hidden="1" x14ac:dyDescent="0.3">
      <c r="A3663" t="s">
        <v>5500</v>
      </c>
      <c r="B3663" t="s">
        <v>15</v>
      </c>
      <c r="C3663" t="s">
        <v>63</v>
      </c>
      <c r="D3663" t="s">
        <v>5428</v>
      </c>
      <c r="E3663" t="s">
        <v>96</v>
      </c>
      <c r="F3663" t="s">
        <v>5471</v>
      </c>
      <c r="G3663" t="s">
        <v>77</v>
      </c>
      <c r="H3663" t="s">
        <v>142</v>
      </c>
      <c r="I3663">
        <v>6500</v>
      </c>
      <c r="J3663">
        <v>8450</v>
      </c>
      <c r="K3663">
        <v>3</v>
      </c>
      <c r="L3663">
        <v>19500</v>
      </c>
      <c r="M3663">
        <v>25350</v>
      </c>
      <c r="N3663" t="s">
        <v>42</v>
      </c>
      <c r="O3663">
        <f t="shared" si="114"/>
        <v>39000</v>
      </c>
      <c r="P3663" s="13">
        <f t="shared" si="115"/>
        <v>2016131</v>
      </c>
      <c r="Q3663" s="13">
        <f>SUMIFS(M:M,E:E,Online_eCommerce[[#This Row],[Status]])</f>
        <v>21233992</v>
      </c>
      <c r="R3663" s="13">
        <f>SUMIFS(L:L,H:H,Online_eCommerce[[#This Row],[Brand]])</f>
        <v>6192500</v>
      </c>
      <c r="S3663" s="13">
        <f>SUMIF(H:H,Online_eCommerce[[#This Row],[Brand]],M:M)</f>
        <v>8050250</v>
      </c>
      <c r="T3663" s="13">
        <f>SUMIF(N:N,Online_eCommerce[[#This Row],[Assigned Supervisor]],L:L)</f>
        <v>12261500</v>
      </c>
    </row>
    <row r="3664" spans="1:20" hidden="1" x14ac:dyDescent="0.3">
      <c r="A3664" t="s">
        <v>5501</v>
      </c>
      <c r="B3664" t="s">
        <v>202</v>
      </c>
      <c r="C3664" t="s">
        <v>68</v>
      </c>
      <c r="D3664" t="s">
        <v>5428</v>
      </c>
      <c r="E3664" t="s">
        <v>18</v>
      </c>
      <c r="F3664" t="s">
        <v>5502</v>
      </c>
      <c r="G3664" t="s">
        <v>20</v>
      </c>
      <c r="H3664" t="s">
        <v>21</v>
      </c>
      <c r="I3664">
        <v>4500</v>
      </c>
      <c r="J3664">
        <v>5850</v>
      </c>
      <c r="K3664">
        <v>3</v>
      </c>
      <c r="L3664">
        <v>13500</v>
      </c>
      <c r="M3664">
        <v>17550</v>
      </c>
      <c r="N3664" t="s">
        <v>50</v>
      </c>
      <c r="O3664">
        <f t="shared" si="114"/>
        <v>8450</v>
      </c>
      <c r="P3664" s="13">
        <f t="shared" si="115"/>
        <v>2974621</v>
      </c>
      <c r="Q3664" s="13">
        <f>SUMIFS(M:M,E:E,Online_eCommerce[[#This Row],[Status]])</f>
        <v>28340455</v>
      </c>
      <c r="R3664" s="13">
        <f>SUMIFS(L:L,H:H,Online_eCommerce[[#This Row],[Brand]])</f>
        <v>12435650</v>
      </c>
      <c r="S3664" s="13">
        <f>SUMIF(H:H,Online_eCommerce[[#This Row],[Brand]],M:M)</f>
        <v>16166345</v>
      </c>
      <c r="T3664" s="13">
        <f>SUMIF(N:N,Online_eCommerce[[#This Row],[Assigned Supervisor]],L:L)</f>
        <v>12100590</v>
      </c>
    </row>
    <row r="3665" spans="1:20" hidden="1" x14ac:dyDescent="0.3">
      <c r="A3665" t="s">
        <v>5503</v>
      </c>
      <c r="B3665" t="s">
        <v>30</v>
      </c>
      <c r="C3665" t="s">
        <v>74</v>
      </c>
      <c r="D3665" t="s">
        <v>5428</v>
      </c>
      <c r="E3665" t="s">
        <v>161</v>
      </c>
      <c r="F3665" t="s">
        <v>152</v>
      </c>
      <c r="G3665" t="s">
        <v>26</v>
      </c>
      <c r="H3665" t="s">
        <v>27</v>
      </c>
      <c r="I3665">
        <v>8500</v>
      </c>
      <c r="J3665">
        <v>11050</v>
      </c>
      <c r="K3665">
        <v>4</v>
      </c>
      <c r="L3665">
        <v>34000</v>
      </c>
      <c r="M3665">
        <v>44200</v>
      </c>
      <c r="N3665" t="s">
        <v>56</v>
      </c>
      <c r="O3665">
        <f t="shared" si="114"/>
        <v>33150</v>
      </c>
      <c r="P3665" s="13">
        <f t="shared" si="115"/>
        <v>2144701</v>
      </c>
      <c r="Q3665" s="13">
        <f>SUMIFS(M:M,E:E,Online_eCommerce[[#This Row],[Status]])</f>
        <v>21103186</v>
      </c>
      <c r="R3665" s="13">
        <f>SUMIFS(L:L,H:H,Online_eCommerce[[#This Row],[Brand]])</f>
        <v>14431000</v>
      </c>
      <c r="S3665" s="13">
        <f>SUMIF(H:H,Online_eCommerce[[#This Row],[Brand]],M:M)</f>
        <v>18760300</v>
      </c>
      <c r="T3665" s="13">
        <f>SUMIF(N:N,Online_eCommerce[[#This Row],[Assigned Supervisor]],L:L)</f>
        <v>11733610</v>
      </c>
    </row>
    <row r="3666" spans="1:20" x14ac:dyDescent="0.3">
      <c r="A3666" t="s">
        <v>5504</v>
      </c>
      <c r="B3666" t="s">
        <v>37</v>
      </c>
      <c r="C3666" t="s">
        <v>81</v>
      </c>
      <c r="D3666" t="s">
        <v>5428</v>
      </c>
      <c r="E3666" t="s">
        <v>46</v>
      </c>
      <c r="F3666" t="s">
        <v>157</v>
      </c>
      <c r="G3666" t="s">
        <v>33</v>
      </c>
      <c r="H3666" t="s">
        <v>34</v>
      </c>
      <c r="I3666">
        <v>12500</v>
      </c>
      <c r="J3666">
        <v>16250</v>
      </c>
      <c r="K3666">
        <v>2</v>
      </c>
      <c r="L3666">
        <v>25000</v>
      </c>
      <c r="M3666">
        <v>32500</v>
      </c>
      <c r="N3666" t="s">
        <v>22</v>
      </c>
      <c r="O3666">
        <f t="shared" si="114"/>
        <v>18200</v>
      </c>
      <c r="P3666" s="13">
        <f t="shared" si="115"/>
        <v>2595632</v>
      </c>
      <c r="Q3666" s="13">
        <f>SUMIFS(M:M,E:E,Online_eCommerce[[#This Row],[Status]])</f>
        <v>28620410</v>
      </c>
      <c r="R3666" s="13">
        <f>SUMIFS(L:L,H:H,Online_eCommerce[[#This Row],[Brand]])</f>
        <v>10087000</v>
      </c>
      <c r="S3666" s="13">
        <f>SUMIF(H:H,Online_eCommerce[[#This Row],[Brand]],M:M)</f>
        <v>13113100</v>
      </c>
      <c r="T3666" s="13">
        <f>SUMIF(N:N,Online_eCommerce[[#This Row],[Assigned Supervisor]],L:L)</f>
        <v>13693220</v>
      </c>
    </row>
    <row r="3667" spans="1:20" hidden="1" x14ac:dyDescent="0.3">
      <c r="A3667" t="s">
        <v>5505</v>
      </c>
      <c r="B3667" t="s">
        <v>44</v>
      </c>
      <c r="C3667" t="s">
        <v>86</v>
      </c>
      <c r="D3667" t="s">
        <v>5428</v>
      </c>
      <c r="E3667" t="s">
        <v>96</v>
      </c>
      <c r="F3667" t="s">
        <v>5117</v>
      </c>
      <c r="G3667" t="s">
        <v>40</v>
      </c>
      <c r="H3667" t="s">
        <v>41</v>
      </c>
      <c r="I3667">
        <v>3500</v>
      </c>
      <c r="J3667">
        <v>4550</v>
      </c>
      <c r="K3667">
        <v>3</v>
      </c>
      <c r="L3667">
        <v>10500</v>
      </c>
      <c r="M3667">
        <v>13650</v>
      </c>
      <c r="N3667" t="s">
        <v>28</v>
      </c>
      <c r="O3667">
        <f t="shared" si="114"/>
        <v>25545</v>
      </c>
      <c r="P3667" s="13">
        <f t="shared" si="115"/>
        <v>1941225</v>
      </c>
      <c r="Q3667" s="13">
        <f>SUMIFS(M:M,E:E,Online_eCommerce[[#This Row],[Status]])</f>
        <v>21233992</v>
      </c>
      <c r="R3667" s="13">
        <f>SUMIFS(L:L,H:H,Online_eCommerce[[#This Row],[Brand]])</f>
        <v>4260400</v>
      </c>
      <c r="S3667" s="13">
        <f>SUMIF(H:H,Online_eCommerce[[#This Row],[Brand]],M:M)</f>
        <v>5538520</v>
      </c>
      <c r="T3667" s="13">
        <f>SUMIF(N:N,Online_eCommerce[[#This Row],[Assigned Supervisor]],L:L)</f>
        <v>12220830</v>
      </c>
    </row>
    <row r="3668" spans="1:20" hidden="1" x14ac:dyDescent="0.3">
      <c r="A3668" t="s">
        <v>5506</v>
      </c>
      <c r="B3668" t="s">
        <v>213</v>
      </c>
      <c r="C3668" t="s">
        <v>91</v>
      </c>
      <c r="D3668" t="s">
        <v>5428</v>
      </c>
      <c r="E3668" t="s">
        <v>18</v>
      </c>
      <c r="F3668" t="s">
        <v>166</v>
      </c>
      <c r="G3668" t="s">
        <v>334</v>
      </c>
      <c r="H3668" t="s">
        <v>49</v>
      </c>
      <c r="I3668">
        <v>4500</v>
      </c>
      <c r="J3668">
        <v>5850</v>
      </c>
      <c r="K3668">
        <v>1</v>
      </c>
      <c r="L3668">
        <v>4500</v>
      </c>
      <c r="M3668">
        <v>5850</v>
      </c>
      <c r="N3668" t="s">
        <v>35</v>
      </c>
      <c r="O3668">
        <f t="shared" si="114"/>
        <v>39780</v>
      </c>
      <c r="P3668" s="13">
        <f t="shared" si="115"/>
        <v>2731963</v>
      </c>
      <c r="Q3668" s="13">
        <f>SUMIFS(M:M,E:E,Online_eCommerce[[#This Row],[Status]])</f>
        <v>28340455</v>
      </c>
      <c r="R3668" s="13">
        <f>SUMIFS(L:L,H:H,Online_eCommerce[[#This Row],[Brand]])</f>
        <v>4528350</v>
      </c>
      <c r="S3668" s="13">
        <f>SUMIF(H:H,Online_eCommerce[[#This Row],[Brand]],M:M)</f>
        <v>5886855</v>
      </c>
      <c r="T3668" s="13">
        <f>SUMIF(N:N,Online_eCommerce[[#This Row],[Assigned Supervisor]],L:L)</f>
        <v>14373360</v>
      </c>
    </row>
    <row r="3669" spans="1:20" hidden="1" x14ac:dyDescent="0.3">
      <c r="A3669" t="s">
        <v>5507</v>
      </c>
      <c r="B3669" t="s">
        <v>215</v>
      </c>
      <c r="C3669" t="s">
        <v>94</v>
      </c>
      <c r="D3669" t="s">
        <v>5428</v>
      </c>
      <c r="E3669" t="s">
        <v>161</v>
      </c>
      <c r="F3669" t="s">
        <v>5508</v>
      </c>
      <c r="G3669" t="s">
        <v>54</v>
      </c>
      <c r="H3669" t="s">
        <v>55</v>
      </c>
      <c r="I3669">
        <v>2100</v>
      </c>
      <c r="J3669">
        <v>2730</v>
      </c>
      <c r="K3669">
        <v>1</v>
      </c>
      <c r="L3669">
        <v>2100</v>
      </c>
      <c r="M3669">
        <v>2730</v>
      </c>
      <c r="N3669" t="s">
        <v>42</v>
      </c>
      <c r="O3669">
        <f t="shared" si="114"/>
        <v>2990</v>
      </c>
      <c r="P3669" s="13">
        <f t="shared" si="115"/>
        <v>1868256</v>
      </c>
      <c r="Q3669" s="13">
        <f>SUMIFS(M:M,E:E,Online_eCommerce[[#This Row],[Status]])</f>
        <v>21103186</v>
      </c>
      <c r="R3669" s="13">
        <f>SUMIFS(L:L,H:H,Online_eCommerce[[#This Row],[Brand]])</f>
        <v>2267380</v>
      </c>
      <c r="S3669" s="13">
        <f>SUMIF(H:H,Online_eCommerce[[#This Row],[Brand]],M:M)</f>
        <v>2947594</v>
      </c>
      <c r="T3669" s="13">
        <f>SUMIF(N:N,Online_eCommerce[[#This Row],[Assigned Supervisor]],L:L)</f>
        <v>12261500</v>
      </c>
    </row>
    <row r="3670" spans="1:20" x14ac:dyDescent="0.3">
      <c r="A3670" t="s">
        <v>5509</v>
      </c>
      <c r="B3670" t="s">
        <v>306</v>
      </c>
      <c r="C3670" t="s">
        <v>99</v>
      </c>
      <c r="D3670" t="s">
        <v>5428</v>
      </c>
      <c r="E3670" t="s">
        <v>46</v>
      </c>
      <c r="F3670" t="s">
        <v>174</v>
      </c>
      <c r="G3670" t="s">
        <v>60</v>
      </c>
      <c r="H3670" t="s">
        <v>61</v>
      </c>
      <c r="I3670">
        <v>1150</v>
      </c>
      <c r="J3670">
        <v>1495</v>
      </c>
      <c r="K3670">
        <v>3</v>
      </c>
      <c r="L3670">
        <v>3450</v>
      </c>
      <c r="M3670">
        <v>4485</v>
      </c>
      <c r="N3670" t="s">
        <v>50</v>
      </c>
      <c r="O3670">
        <f t="shared" si="114"/>
        <v>3315</v>
      </c>
      <c r="P3670" s="13">
        <f t="shared" si="115"/>
        <v>2651233</v>
      </c>
      <c r="Q3670" s="13">
        <f>SUMIFS(M:M,E:E,Online_eCommerce[[#This Row],[Status]])</f>
        <v>28620410</v>
      </c>
      <c r="R3670" s="13">
        <f>SUMIFS(L:L,H:H,Online_eCommerce[[#This Row],[Brand]])</f>
        <v>10950150</v>
      </c>
      <c r="S3670" s="13">
        <f>SUMIF(H:H,Online_eCommerce[[#This Row],[Brand]],M:M)</f>
        <v>14235195</v>
      </c>
      <c r="T3670" s="13">
        <f>SUMIF(N:N,Online_eCommerce[[#This Row],[Assigned Supervisor]],L:L)</f>
        <v>12100590</v>
      </c>
    </row>
    <row r="3671" spans="1:20" hidden="1" x14ac:dyDescent="0.3">
      <c r="A3671" t="s">
        <v>5510</v>
      </c>
      <c r="B3671" t="s">
        <v>528</v>
      </c>
      <c r="C3671" t="s">
        <v>105</v>
      </c>
      <c r="D3671" t="s">
        <v>5428</v>
      </c>
      <c r="E3671" t="s">
        <v>96</v>
      </c>
      <c r="F3671" t="s">
        <v>179</v>
      </c>
      <c r="G3671" t="s">
        <v>66</v>
      </c>
      <c r="H3671" t="s">
        <v>21</v>
      </c>
      <c r="I3671">
        <v>350</v>
      </c>
      <c r="J3671">
        <v>455</v>
      </c>
      <c r="K3671">
        <v>3</v>
      </c>
      <c r="L3671">
        <v>1050</v>
      </c>
      <c r="M3671">
        <v>1365</v>
      </c>
      <c r="N3671" t="s">
        <v>56</v>
      </c>
      <c r="O3671">
        <f t="shared" si="114"/>
        <v>1690</v>
      </c>
      <c r="P3671" s="13">
        <f t="shared" si="115"/>
        <v>1866852</v>
      </c>
      <c r="Q3671" s="13">
        <f>SUMIFS(M:M,E:E,Online_eCommerce[[#This Row],[Status]])</f>
        <v>21233992</v>
      </c>
      <c r="R3671" s="13">
        <f>SUMIFS(L:L,H:H,Online_eCommerce[[#This Row],[Brand]])</f>
        <v>12435650</v>
      </c>
      <c r="S3671" s="13">
        <f>SUMIF(H:H,Online_eCommerce[[#This Row],[Brand]],M:M)</f>
        <v>16166345</v>
      </c>
      <c r="T3671" s="13">
        <f>SUMIF(N:N,Online_eCommerce[[#This Row],[Assigned Supervisor]],L:L)</f>
        <v>11733610</v>
      </c>
    </row>
    <row r="3672" spans="1:20" hidden="1" x14ac:dyDescent="0.3">
      <c r="A3672" t="s">
        <v>5511</v>
      </c>
      <c r="B3672" t="s">
        <v>73</v>
      </c>
      <c r="C3672" t="s">
        <v>110</v>
      </c>
      <c r="D3672" t="s">
        <v>5428</v>
      </c>
      <c r="E3672" t="s">
        <v>18</v>
      </c>
      <c r="F3672" t="s">
        <v>183</v>
      </c>
      <c r="G3672" t="s">
        <v>71</v>
      </c>
      <c r="H3672" t="s">
        <v>61</v>
      </c>
      <c r="I3672">
        <v>9500</v>
      </c>
      <c r="J3672">
        <v>12350</v>
      </c>
      <c r="K3672">
        <v>2</v>
      </c>
      <c r="L3672">
        <v>19000</v>
      </c>
      <c r="M3672">
        <v>24700</v>
      </c>
      <c r="N3672" t="s">
        <v>22</v>
      </c>
      <c r="O3672">
        <f t="shared" si="114"/>
        <v>9750</v>
      </c>
      <c r="P3672" s="13">
        <f t="shared" si="115"/>
        <v>2598635</v>
      </c>
      <c r="Q3672" s="13">
        <f>SUMIFS(M:M,E:E,Online_eCommerce[[#This Row],[Status]])</f>
        <v>28340455</v>
      </c>
      <c r="R3672" s="13">
        <f>SUMIFS(L:L,H:H,Online_eCommerce[[#This Row],[Brand]])</f>
        <v>10950150</v>
      </c>
      <c r="S3672" s="13">
        <f>SUMIF(H:H,Online_eCommerce[[#This Row],[Brand]],M:M)</f>
        <v>14235195</v>
      </c>
      <c r="T3672" s="13">
        <f>SUMIF(N:N,Online_eCommerce[[#This Row],[Assigned Supervisor]],L:L)</f>
        <v>13693220</v>
      </c>
    </row>
    <row r="3673" spans="1:20" hidden="1" x14ac:dyDescent="0.3">
      <c r="A3673" t="s">
        <v>5512</v>
      </c>
      <c r="B3673" t="s">
        <v>80</v>
      </c>
      <c r="C3673" t="s">
        <v>115</v>
      </c>
      <c r="D3673" t="s">
        <v>5428</v>
      </c>
      <c r="E3673" t="s">
        <v>161</v>
      </c>
      <c r="F3673" t="s">
        <v>5513</v>
      </c>
      <c r="G3673" t="s">
        <v>77</v>
      </c>
      <c r="H3673" t="s">
        <v>142</v>
      </c>
      <c r="I3673">
        <v>10000</v>
      </c>
      <c r="J3673">
        <v>13000</v>
      </c>
      <c r="K3673">
        <v>3</v>
      </c>
      <c r="L3673">
        <v>30000</v>
      </c>
      <c r="M3673">
        <v>39000</v>
      </c>
      <c r="N3673" t="s">
        <v>28</v>
      </c>
      <c r="O3673">
        <f t="shared" si="114"/>
        <v>39000</v>
      </c>
      <c r="P3673" s="13">
        <f t="shared" si="115"/>
        <v>2050178</v>
      </c>
      <c r="Q3673" s="13">
        <f>SUMIFS(M:M,E:E,Online_eCommerce[[#This Row],[Status]])</f>
        <v>21103186</v>
      </c>
      <c r="R3673" s="13">
        <f>SUMIFS(L:L,H:H,Online_eCommerce[[#This Row],[Brand]])</f>
        <v>6192500</v>
      </c>
      <c r="S3673" s="13">
        <f>SUMIF(H:H,Online_eCommerce[[#This Row],[Brand]],M:M)</f>
        <v>8050250</v>
      </c>
      <c r="T3673" s="13">
        <f>SUMIF(N:N,Online_eCommerce[[#This Row],[Assigned Supervisor]],L:L)</f>
        <v>12220830</v>
      </c>
    </row>
    <row r="3674" spans="1:20" x14ac:dyDescent="0.3">
      <c r="A3674" t="s">
        <v>5514</v>
      </c>
      <c r="B3674" t="s">
        <v>85</v>
      </c>
      <c r="C3674" t="s">
        <v>120</v>
      </c>
      <c r="D3674" t="s">
        <v>5428</v>
      </c>
      <c r="E3674" t="s">
        <v>46</v>
      </c>
      <c r="F3674" t="s">
        <v>5515</v>
      </c>
      <c r="G3674" t="s">
        <v>20</v>
      </c>
      <c r="H3674" t="s">
        <v>21</v>
      </c>
      <c r="I3674">
        <v>6500</v>
      </c>
      <c r="J3674">
        <v>8450</v>
      </c>
      <c r="K3674">
        <v>3</v>
      </c>
      <c r="L3674">
        <v>19500</v>
      </c>
      <c r="M3674">
        <v>25350</v>
      </c>
      <c r="N3674" t="s">
        <v>35</v>
      </c>
      <c r="O3674">
        <f t="shared" si="114"/>
        <v>8450</v>
      </c>
      <c r="P3674" s="13">
        <f t="shared" si="115"/>
        <v>2734212</v>
      </c>
      <c r="Q3674" s="13">
        <f>SUMIFS(M:M,E:E,Online_eCommerce[[#This Row],[Status]])</f>
        <v>28620410</v>
      </c>
      <c r="R3674" s="13">
        <f>SUMIFS(L:L,H:H,Online_eCommerce[[#This Row],[Brand]])</f>
        <v>12435650</v>
      </c>
      <c r="S3674" s="13">
        <f>SUMIF(H:H,Online_eCommerce[[#This Row],[Brand]],M:M)</f>
        <v>16166345</v>
      </c>
      <c r="T3674" s="13">
        <f>SUMIF(N:N,Online_eCommerce[[#This Row],[Assigned Supervisor]],L:L)</f>
        <v>14373360</v>
      </c>
    </row>
    <row r="3675" spans="1:20" hidden="1" x14ac:dyDescent="0.3">
      <c r="A3675" t="s">
        <v>5516</v>
      </c>
      <c r="B3675" t="s">
        <v>90</v>
      </c>
      <c r="C3675" t="s">
        <v>125</v>
      </c>
      <c r="D3675" t="s">
        <v>5428</v>
      </c>
      <c r="E3675" t="s">
        <v>96</v>
      </c>
      <c r="F3675" t="s">
        <v>5517</v>
      </c>
      <c r="G3675" t="s">
        <v>26</v>
      </c>
      <c r="H3675" t="s">
        <v>27</v>
      </c>
      <c r="I3675">
        <v>8500</v>
      </c>
      <c r="J3675">
        <v>11050</v>
      </c>
      <c r="K3675">
        <v>2</v>
      </c>
      <c r="L3675">
        <v>17000</v>
      </c>
      <c r="M3675">
        <v>22100</v>
      </c>
      <c r="N3675" t="s">
        <v>42</v>
      </c>
      <c r="O3675">
        <f t="shared" si="114"/>
        <v>33150</v>
      </c>
      <c r="P3675" s="13">
        <f t="shared" si="115"/>
        <v>2091154</v>
      </c>
      <c r="Q3675" s="13">
        <f>SUMIFS(M:M,E:E,Online_eCommerce[[#This Row],[Status]])</f>
        <v>21233992</v>
      </c>
      <c r="R3675" s="13">
        <f>SUMIFS(L:L,H:H,Online_eCommerce[[#This Row],[Brand]])</f>
        <v>14431000</v>
      </c>
      <c r="S3675" s="13">
        <f>SUMIF(H:H,Online_eCommerce[[#This Row],[Brand]],M:M)</f>
        <v>18760300</v>
      </c>
      <c r="T3675" s="13">
        <f>SUMIF(N:N,Online_eCommerce[[#This Row],[Assigned Supervisor]],L:L)</f>
        <v>12261500</v>
      </c>
    </row>
    <row r="3676" spans="1:20" hidden="1" x14ac:dyDescent="0.3">
      <c r="A3676" t="s">
        <v>5518</v>
      </c>
      <c r="B3676" t="s">
        <v>232</v>
      </c>
      <c r="C3676" t="s">
        <v>22</v>
      </c>
      <c r="D3676" t="s">
        <v>5428</v>
      </c>
      <c r="E3676" t="s">
        <v>18</v>
      </c>
      <c r="F3676" t="s">
        <v>32</v>
      </c>
      <c r="G3676" t="s">
        <v>33</v>
      </c>
      <c r="H3676" t="s">
        <v>34</v>
      </c>
      <c r="I3676">
        <v>7000</v>
      </c>
      <c r="J3676">
        <v>9100</v>
      </c>
      <c r="K3676">
        <v>1</v>
      </c>
      <c r="L3676">
        <v>7000</v>
      </c>
      <c r="M3676">
        <v>9100</v>
      </c>
      <c r="N3676" t="s">
        <v>50</v>
      </c>
      <c r="O3676">
        <f t="shared" si="114"/>
        <v>18200</v>
      </c>
      <c r="P3676" s="13">
        <f t="shared" si="115"/>
        <v>2551588</v>
      </c>
      <c r="Q3676" s="13">
        <f>SUMIFS(M:M,E:E,Online_eCommerce[[#This Row],[Status]])</f>
        <v>28340455</v>
      </c>
      <c r="R3676" s="13">
        <f>SUMIFS(L:L,H:H,Online_eCommerce[[#This Row],[Brand]])</f>
        <v>10087000</v>
      </c>
      <c r="S3676" s="13">
        <f>SUMIF(H:H,Online_eCommerce[[#This Row],[Brand]],M:M)</f>
        <v>13113100</v>
      </c>
      <c r="T3676" s="13">
        <f>SUMIF(N:N,Online_eCommerce[[#This Row],[Assigned Supervisor]],L:L)</f>
        <v>12100590</v>
      </c>
    </row>
    <row r="3677" spans="1:20" hidden="1" x14ac:dyDescent="0.3">
      <c r="A3677" t="s">
        <v>5519</v>
      </c>
      <c r="B3677" t="s">
        <v>235</v>
      </c>
      <c r="C3677" t="s">
        <v>132</v>
      </c>
      <c r="D3677" t="s">
        <v>5428</v>
      </c>
      <c r="E3677" t="s">
        <v>161</v>
      </c>
      <c r="F3677" t="s">
        <v>5520</v>
      </c>
      <c r="G3677" t="s">
        <v>40</v>
      </c>
      <c r="H3677" t="s">
        <v>41</v>
      </c>
      <c r="I3677">
        <v>6550</v>
      </c>
      <c r="J3677">
        <v>8515</v>
      </c>
      <c r="K3677">
        <v>2</v>
      </c>
      <c r="L3677">
        <v>13100</v>
      </c>
      <c r="M3677">
        <v>17030</v>
      </c>
      <c r="N3677" t="s">
        <v>56</v>
      </c>
      <c r="O3677">
        <f t="shared" si="114"/>
        <v>25545</v>
      </c>
      <c r="P3677" s="13">
        <f t="shared" si="115"/>
        <v>1989065</v>
      </c>
      <c r="Q3677" s="13">
        <f>SUMIFS(M:M,E:E,Online_eCommerce[[#This Row],[Status]])</f>
        <v>21103186</v>
      </c>
      <c r="R3677" s="13">
        <f>SUMIFS(L:L,H:H,Online_eCommerce[[#This Row],[Brand]])</f>
        <v>4260400</v>
      </c>
      <c r="S3677" s="13">
        <f>SUMIF(H:H,Online_eCommerce[[#This Row],[Brand]],M:M)</f>
        <v>5538520</v>
      </c>
      <c r="T3677" s="13">
        <f>SUMIF(N:N,Online_eCommerce[[#This Row],[Assigned Supervisor]],L:L)</f>
        <v>11733610</v>
      </c>
    </row>
    <row r="3678" spans="1:20" x14ac:dyDescent="0.3">
      <c r="A3678" t="s">
        <v>5521</v>
      </c>
      <c r="B3678" t="s">
        <v>104</v>
      </c>
      <c r="C3678" t="s">
        <v>136</v>
      </c>
      <c r="D3678" t="s">
        <v>5428</v>
      </c>
      <c r="E3678" t="s">
        <v>46</v>
      </c>
      <c r="F3678" t="s">
        <v>47</v>
      </c>
      <c r="G3678" t="s">
        <v>334</v>
      </c>
      <c r="H3678" t="s">
        <v>49</v>
      </c>
      <c r="I3678">
        <v>7650</v>
      </c>
      <c r="J3678">
        <v>9945</v>
      </c>
      <c r="K3678">
        <v>1</v>
      </c>
      <c r="L3678">
        <v>7650</v>
      </c>
      <c r="M3678">
        <v>9945</v>
      </c>
      <c r="N3678" t="s">
        <v>22</v>
      </c>
      <c r="O3678">
        <f t="shared" si="114"/>
        <v>39780</v>
      </c>
      <c r="P3678" s="13">
        <f t="shared" si="115"/>
        <v>2775162</v>
      </c>
      <c r="Q3678" s="13">
        <f>SUMIFS(M:M,E:E,Online_eCommerce[[#This Row],[Status]])</f>
        <v>28620410</v>
      </c>
      <c r="R3678" s="13">
        <f>SUMIFS(L:L,H:H,Online_eCommerce[[#This Row],[Brand]])</f>
        <v>4528350</v>
      </c>
      <c r="S3678" s="13">
        <f>SUMIF(H:H,Online_eCommerce[[#This Row],[Brand]],M:M)</f>
        <v>5886855</v>
      </c>
      <c r="T3678" s="13">
        <f>SUMIF(N:N,Online_eCommerce[[#This Row],[Assigned Supervisor]],L:L)</f>
        <v>13693220</v>
      </c>
    </row>
    <row r="3679" spans="1:20" hidden="1" x14ac:dyDescent="0.3">
      <c r="A3679" t="s">
        <v>5522</v>
      </c>
      <c r="B3679" t="s">
        <v>109</v>
      </c>
      <c r="C3679" t="s">
        <v>140</v>
      </c>
      <c r="D3679" t="s">
        <v>5428</v>
      </c>
      <c r="E3679" t="s">
        <v>96</v>
      </c>
      <c r="F3679" t="s">
        <v>53</v>
      </c>
      <c r="G3679" t="s">
        <v>54</v>
      </c>
      <c r="H3679" t="s">
        <v>55</v>
      </c>
      <c r="I3679">
        <v>1150</v>
      </c>
      <c r="J3679">
        <v>1495</v>
      </c>
      <c r="K3679">
        <v>4</v>
      </c>
      <c r="L3679">
        <v>4600</v>
      </c>
      <c r="M3679">
        <v>5980</v>
      </c>
      <c r="N3679" t="s">
        <v>28</v>
      </c>
      <c r="O3679">
        <f t="shared" si="114"/>
        <v>2990</v>
      </c>
      <c r="P3679" s="13">
        <f t="shared" si="115"/>
        <v>2058264</v>
      </c>
      <c r="Q3679" s="13">
        <f>SUMIFS(M:M,E:E,Online_eCommerce[[#This Row],[Status]])</f>
        <v>21233992</v>
      </c>
      <c r="R3679" s="13">
        <f>SUMIFS(L:L,H:H,Online_eCommerce[[#This Row],[Brand]])</f>
        <v>2267380</v>
      </c>
      <c r="S3679" s="13">
        <f>SUMIF(H:H,Online_eCommerce[[#This Row],[Brand]],M:M)</f>
        <v>2947594</v>
      </c>
      <c r="T3679" s="13">
        <f>SUMIF(N:N,Online_eCommerce[[#This Row],[Assigned Supervisor]],L:L)</f>
        <v>12220830</v>
      </c>
    </row>
    <row r="3680" spans="1:20" hidden="1" x14ac:dyDescent="0.3">
      <c r="A3680" t="s">
        <v>5523</v>
      </c>
      <c r="B3680" t="s">
        <v>114</v>
      </c>
      <c r="C3680" t="s">
        <v>145</v>
      </c>
      <c r="D3680" t="s">
        <v>5428</v>
      </c>
      <c r="E3680" t="s">
        <v>18</v>
      </c>
      <c r="F3680" t="s">
        <v>59</v>
      </c>
      <c r="G3680" t="s">
        <v>60</v>
      </c>
      <c r="H3680" t="s">
        <v>61</v>
      </c>
      <c r="I3680">
        <v>850</v>
      </c>
      <c r="J3680">
        <v>1105</v>
      </c>
      <c r="K3680">
        <v>4</v>
      </c>
      <c r="L3680">
        <v>3400</v>
      </c>
      <c r="M3680">
        <v>4420</v>
      </c>
      <c r="N3680" t="s">
        <v>35</v>
      </c>
      <c r="O3680">
        <f t="shared" si="114"/>
        <v>3315</v>
      </c>
      <c r="P3680" s="13">
        <f t="shared" si="115"/>
        <v>2757859</v>
      </c>
      <c r="Q3680" s="13">
        <f>SUMIFS(M:M,E:E,Online_eCommerce[[#This Row],[Status]])</f>
        <v>28340455</v>
      </c>
      <c r="R3680" s="13">
        <f>SUMIFS(L:L,H:H,Online_eCommerce[[#This Row],[Brand]])</f>
        <v>10950150</v>
      </c>
      <c r="S3680" s="13">
        <f>SUMIF(H:H,Online_eCommerce[[#This Row],[Brand]],M:M)</f>
        <v>14235195</v>
      </c>
      <c r="T3680" s="13">
        <f>SUMIF(N:N,Online_eCommerce[[#This Row],[Assigned Supervisor]],L:L)</f>
        <v>14373360</v>
      </c>
    </row>
    <row r="3681" spans="1:20" hidden="1" x14ac:dyDescent="0.3">
      <c r="A3681" t="s">
        <v>5524</v>
      </c>
      <c r="B3681" t="s">
        <v>119</v>
      </c>
      <c r="C3681" t="s">
        <v>150</v>
      </c>
      <c r="D3681" t="s">
        <v>5428</v>
      </c>
      <c r="E3681" t="s">
        <v>161</v>
      </c>
      <c r="F3681" t="s">
        <v>65</v>
      </c>
      <c r="G3681" t="s">
        <v>66</v>
      </c>
      <c r="H3681" t="s">
        <v>21</v>
      </c>
      <c r="I3681">
        <v>650</v>
      </c>
      <c r="J3681">
        <v>845</v>
      </c>
      <c r="K3681">
        <v>4</v>
      </c>
      <c r="L3681">
        <v>2600</v>
      </c>
      <c r="M3681">
        <v>3380</v>
      </c>
      <c r="N3681" t="s">
        <v>42</v>
      </c>
      <c r="O3681">
        <f t="shared" si="114"/>
        <v>1690</v>
      </c>
      <c r="P3681" s="13">
        <f t="shared" si="115"/>
        <v>2154984</v>
      </c>
      <c r="Q3681" s="13">
        <f>SUMIFS(M:M,E:E,Online_eCommerce[[#This Row],[Status]])</f>
        <v>21103186</v>
      </c>
      <c r="R3681" s="13">
        <f>SUMIFS(L:L,H:H,Online_eCommerce[[#This Row],[Brand]])</f>
        <v>12435650</v>
      </c>
      <c r="S3681" s="13">
        <f>SUMIF(H:H,Online_eCommerce[[#This Row],[Brand]],M:M)</f>
        <v>16166345</v>
      </c>
      <c r="T3681" s="13">
        <f>SUMIF(N:N,Online_eCommerce[[#This Row],[Assigned Supervisor]],L:L)</f>
        <v>12261500</v>
      </c>
    </row>
    <row r="3682" spans="1:20" x14ac:dyDescent="0.3">
      <c r="A3682" t="s">
        <v>5525</v>
      </c>
      <c r="B3682" t="s">
        <v>124</v>
      </c>
      <c r="C3682" t="s">
        <v>155</v>
      </c>
      <c r="D3682" t="s">
        <v>5428</v>
      </c>
      <c r="E3682" t="s">
        <v>46</v>
      </c>
      <c r="F3682" t="s">
        <v>70</v>
      </c>
      <c r="G3682" t="s">
        <v>71</v>
      </c>
      <c r="H3682" t="s">
        <v>61</v>
      </c>
      <c r="I3682">
        <v>7500</v>
      </c>
      <c r="J3682">
        <v>9750</v>
      </c>
      <c r="K3682">
        <v>2</v>
      </c>
      <c r="L3682">
        <v>15000</v>
      </c>
      <c r="M3682">
        <v>19500</v>
      </c>
      <c r="N3682" t="s">
        <v>50</v>
      </c>
      <c r="O3682">
        <f t="shared" si="114"/>
        <v>9750</v>
      </c>
      <c r="P3682" s="13">
        <f t="shared" si="115"/>
        <v>2753348</v>
      </c>
      <c r="Q3682" s="13">
        <f>SUMIFS(M:M,E:E,Online_eCommerce[[#This Row],[Status]])</f>
        <v>28620410</v>
      </c>
      <c r="R3682" s="13">
        <f>SUMIFS(L:L,H:H,Online_eCommerce[[#This Row],[Brand]])</f>
        <v>10950150</v>
      </c>
      <c r="S3682" s="13">
        <f>SUMIF(H:H,Online_eCommerce[[#This Row],[Brand]],M:M)</f>
        <v>14235195</v>
      </c>
      <c r="T3682" s="13">
        <f>SUMIF(N:N,Online_eCommerce[[#This Row],[Assigned Supervisor]],L:L)</f>
        <v>12100590</v>
      </c>
    </row>
    <row r="3683" spans="1:20" hidden="1" x14ac:dyDescent="0.3">
      <c r="A3683" t="s">
        <v>5526</v>
      </c>
      <c r="B3683" t="s">
        <v>128</v>
      </c>
      <c r="C3683" t="s">
        <v>160</v>
      </c>
      <c r="D3683" t="s">
        <v>5428</v>
      </c>
      <c r="E3683" t="s">
        <v>96</v>
      </c>
      <c r="F3683" t="s">
        <v>5513</v>
      </c>
      <c r="G3683" t="s">
        <v>77</v>
      </c>
      <c r="H3683" t="s">
        <v>78</v>
      </c>
      <c r="I3683">
        <v>10000</v>
      </c>
      <c r="J3683">
        <v>13000</v>
      </c>
      <c r="K3683">
        <v>4</v>
      </c>
      <c r="L3683">
        <v>40000</v>
      </c>
      <c r="M3683">
        <v>52000</v>
      </c>
      <c r="N3683" t="s">
        <v>56</v>
      </c>
      <c r="O3683">
        <f t="shared" si="114"/>
        <v>39000</v>
      </c>
      <c r="P3683" s="13">
        <f t="shared" si="115"/>
        <v>2303483</v>
      </c>
      <c r="Q3683" s="13">
        <f>SUMIFS(M:M,E:E,Online_eCommerce[[#This Row],[Status]])</f>
        <v>21233992</v>
      </c>
      <c r="R3683" s="13">
        <f>SUMIFS(L:L,H:H,Online_eCommerce[[#This Row],[Brand]])</f>
        <v>3720000</v>
      </c>
      <c r="S3683" s="13">
        <f>SUMIF(H:H,Online_eCommerce[[#This Row],[Brand]],M:M)</f>
        <v>4836000</v>
      </c>
      <c r="T3683" s="13">
        <f>SUMIF(N:N,Online_eCommerce[[#This Row],[Assigned Supervisor]],L:L)</f>
        <v>11733610</v>
      </c>
    </row>
    <row r="3684" spans="1:20" hidden="1" x14ac:dyDescent="0.3">
      <c r="A3684" t="s">
        <v>5527</v>
      </c>
      <c r="B3684" t="s">
        <v>131</v>
      </c>
      <c r="C3684" t="s">
        <v>165</v>
      </c>
      <c r="D3684" t="s">
        <v>5428</v>
      </c>
      <c r="E3684" t="s">
        <v>18</v>
      </c>
      <c r="F3684" t="s">
        <v>5528</v>
      </c>
      <c r="G3684" t="s">
        <v>20</v>
      </c>
      <c r="H3684" t="s">
        <v>21</v>
      </c>
      <c r="I3684">
        <v>10500</v>
      </c>
      <c r="J3684">
        <v>13650</v>
      </c>
      <c r="K3684">
        <v>1</v>
      </c>
      <c r="L3684">
        <v>10500</v>
      </c>
      <c r="M3684">
        <v>13650</v>
      </c>
      <c r="N3684" t="s">
        <v>22</v>
      </c>
      <c r="O3684">
        <f t="shared" si="114"/>
        <v>8450</v>
      </c>
      <c r="P3684" s="13">
        <f t="shared" si="115"/>
        <v>2674087</v>
      </c>
      <c r="Q3684" s="13">
        <f>SUMIFS(M:M,E:E,Online_eCommerce[[#This Row],[Status]])</f>
        <v>28340455</v>
      </c>
      <c r="R3684" s="13">
        <f>SUMIFS(L:L,H:H,Online_eCommerce[[#This Row],[Brand]])</f>
        <v>12435650</v>
      </c>
      <c r="S3684" s="13">
        <f>SUMIF(H:H,Online_eCommerce[[#This Row],[Brand]],M:M)</f>
        <v>16166345</v>
      </c>
      <c r="T3684" s="13">
        <f>SUMIF(N:N,Online_eCommerce[[#This Row],[Assigned Supervisor]],L:L)</f>
        <v>13693220</v>
      </c>
    </row>
    <row r="3685" spans="1:20" hidden="1" x14ac:dyDescent="0.3">
      <c r="A3685" t="s">
        <v>5529</v>
      </c>
      <c r="B3685" t="s">
        <v>135</v>
      </c>
      <c r="C3685" t="s">
        <v>168</v>
      </c>
      <c r="D3685" t="s">
        <v>5428</v>
      </c>
      <c r="E3685" t="s">
        <v>161</v>
      </c>
      <c r="F3685" t="s">
        <v>88</v>
      </c>
      <c r="G3685" t="s">
        <v>26</v>
      </c>
      <c r="H3685" t="s">
        <v>27</v>
      </c>
      <c r="I3685">
        <v>8500</v>
      </c>
      <c r="J3685">
        <v>11050</v>
      </c>
      <c r="K3685">
        <v>2</v>
      </c>
      <c r="L3685">
        <v>17000</v>
      </c>
      <c r="M3685">
        <v>22100</v>
      </c>
      <c r="N3685" t="s">
        <v>28</v>
      </c>
      <c r="O3685">
        <f t="shared" si="114"/>
        <v>33150</v>
      </c>
      <c r="P3685" s="13">
        <f t="shared" si="115"/>
        <v>1937780</v>
      </c>
      <c r="Q3685" s="13">
        <f>SUMIFS(M:M,E:E,Online_eCommerce[[#This Row],[Status]])</f>
        <v>21103186</v>
      </c>
      <c r="R3685" s="13">
        <f>SUMIFS(L:L,H:H,Online_eCommerce[[#This Row],[Brand]])</f>
        <v>14431000</v>
      </c>
      <c r="S3685" s="13">
        <f>SUMIF(H:H,Online_eCommerce[[#This Row],[Brand]],M:M)</f>
        <v>18760300</v>
      </c>
      <c r="T3685" s="13">
        <f>SUMIF(N:N,Online_eCommerce[[#This Row],[Assigned Supervisor]],L:L)</f>
        <v>12220830</v>
      </c>
    </row>
    <row r="3686" spans="1:20" x14ac:dyDescent="0.3">
      <c r="A3686" t="s">
        <v>5530</v>
      </c>
      <c r="B3686" t="s">
        <v>139</v>
      </c>
      <c r="C3686" t="s">
        <v>172</v>
      </c>
      <c r="D3686" t="s">
        <v>5428</v>
      </c>
      <c r="E3686" t="s">
        <v>46</v>
      </c>
      <c r="F3686" t="s">
        <v>32</v>
      </c>
      <c r="G3686" t="s">
        <v>33</v>
      </c>
      <c r="H3686" t="s">
        <v>34</v>
      </c>
      <c r="I3686">
        <v>7000</v>
      </c>
      <c r="J3686">
        <v>9100</v>
      </c>
      <c r="K3686">
        <v>1</v>
      </c>
      <c r="L3686">
        <v>7000</v>
      </c>
      <c r="M3686">
        <v>9100</v>
      </c>
      <c r="N3686" t="s">
        <v>35</v>
      </c>
      <c r="O3686">
        <f t="shared" si="114"/>
        <v>18200</v>
      </c>
      <c r="P3686" s="13">
        <f t="shared" si="115"/>
        <v>2640274</v>
      </c>
      <c r="Q3686" s="13">
        <f>SUMIFS(M:M,E:E,Online_eCommerce[[#This Row],[Status]])</f>
        <v>28620410</v>
      </c>
      <c r="R3686" s="13">
        <f>SUMIFS(L:L,H:H,Online_eCommerce[[#This Row],[Brand]])</f>
        <v>10087000</v>
      </c>
      <c r="S3686" s="13">
        <f>SUMIF(H:H,Online_eCommerce[[#This Row],[Brand]],M:M)</f>
        <v>13113100</v>
      </c>
      <c r="T3686" s="13">
        <f>SUMIF(N:N,Online_eCommerce[[#This Row],[Assigned Supervisor]],L:L)</f>
        <v>14373360</v>
      </c>
    </row>
    <row r="3687" spans="1:20" hidden="1" x14ac:dyDescent="0.3">
      <c r="A3687" t="s">
        <v>5531</v>
      </c>
      <c r="B3687" t="s">
        <v>144</v>
      </c>
      <c r="C3687" t="s">
        <v>177</v>
      </c>
      <c r="D3687" t="s">
        <v>5428</v>
      </c>
      <c r="E3687" t="s">
        <v>96</v>
      </c>
      <c r="F3687" t="s">
        <v>5532</v>
      </c>
      <c r="G3687" t="s">
        <v>40</v>
      </c>
      <c r="H3687" t="s">
        <v>41</v>
      </c>
      <c r="I3687">
        <v>1680</v>
      </c>
      <c r="J3687">
        <v>2184</v>
      </c>
      <c r="K3687">
        <v>4</v>
      </c>
      <c r="L3687">
        <v>6720</v>
      </c>
      <c r="M3687">
        <v>8736</v>
      </c>
      <c r="N3687" t="s">
        <v>42</v>
      </c>
      <c r="O3687">
        <f t="shared" si="114"/>
        <v>25545</v>
      </c>
      <c r="P3687" s="13">
        <f t="shared" si="115"/>
        <v>1863810</v>
      </c>
      <c r="Q3687" s="13">
        <f>SUMIFS(M:M,E:E,Online_eCommerce[[#This Row],[Status]])</f>
        <v>21233992</v>
      </c>
      <c r="R3687" s="13">
        <f>SUMIFS(L:L,H:H,Online_eCommerce[[#This Row],[Brand]])</f>
        <v>4260400</v>
      </c>
      <c r="S3687" s="13">
        <f>SUMIF(H:H,Online_eCommerce[[#This Row],[Brand]],M:M)</f>
        <v>5538520</v>
      </c>
      <c r="T3687" s="13">
        <f>SUMIF(N:N,Online_eCommerce[[#This Row],[Assigned Supervisor]],L:L)</f>
        <v>12261500</v>
      </c>
    </row>
    <row r="3688" spans="1:20" hidden="1" x14ac:dyDescent="0.3">
      <c r="A3688" t="s">
        <v>5533</v>
      </c>
      <c r="B3688" t="s">
        <v>149</v>
      </c>
      <c r="C3688" t="s">
        <v>181</v>
      </c>
      <c r="D3688" t="s">
        <v>5428</v>
      </c>
      <c r="E3688" t="s">
        <v>18</v>
      </c>
      <c r="F3688" t="s">
        <v>101</v>
      </c>
      <c r="G3688" t="s">
        <v>334</v>
      </c>
      <c r="H3688" t="s">
        <v>102</v>
      </c>
      <c r="I3688">
        <v>6540</v>
      </c>
      <c r="J3688">
        <v>8502</v>
      </c>
      <c r="K3688">
        <v>1</v>
      </c>
      <c r="L3688">
        <v>6540</v>
      </c>
      <c r="M3688">
        <v>8502</v>
      </c>
      <c r="N3688" t="s">
        <v>50</v>
      </c>
      <c r="O3688">
        <f t="shared" si="114"/>
        <v>39780</v>
      </c>
      <c r="P3688" s="13">
        <f t="shared" si="115"/>
        <v>2577458</v>
      </c>
      <c r="Q3688" s="13">
        <f>SUMIFS(M:M,E:E,Online_eCommerce[[#This Row],[Status]])</f>
        <v>28340455</v>
      </c>
      <c r="R3688" s="13">
        <f>SUMIFS(L:L,H:H,Online_eCommerce[[#This Row],[Brand]])</f>
        <v>2465580</v>
      </c>
      <c r="S3688" s="13">
        <f>SUMIF(H:H,Online_eCommerce[[#This Row],[Brand]],M:M)</f>
        <v>3205254</v>
      </c>
      <c r="T3688" s="13">
        <f>SUMIF(N:N,Online_eCommerce[[#This Row],[Assigned Supervisor]],L:L)</f>
        <v>12100590</v>
      </c>
    </row>
    <row r="3689" spans="1:20" hidden="1" x14ac:dyDescent="0.3">
      <c r="A3689" t="s">
        <v>5534</v>
      </c>
      <c r="B3689" t="s">
        <v>154</v>
      </c>
      <c r="C3689" t="s">
        <v>185</v>
      </c>
      <c r="D3689" t="s">
        <v>5428</v>
      </c>
      <c r="E3689" t="s">
        <v>161</v>
      </c>
      <c r="F3689" t="s">
        <v>107</v>
      </c>
      <c r="G3689" t="s">
        <v>54</v>
      </c>
      <c r="H3689" t="s">
        <v>55</v>
      </c>
      <c r="I3689">
        <v>2680</v>
      </c>
      <c r="J3689">
        <v>3484</v>
      </c>
      <c r="K3689">
        <v>4</v>
      </c>
      <c r="L3689">
        <v>10720</v>
      </c>
      <c r="M3689">
        <v>13936</v>
      </c>
      <c r="N3689" t="s">
        <v>56</v>
      </c>
      <c r="O3689">
        <f t="shared" si="114"/>
        <v>2990</v>
      </c>
      <c r="P3689" s="13">
        <f t="shared" si="115"/>
        <v>2091596</v>
      </c>
      <c r="Q3689" s="13">
        <f>SUMIFS(M:M,E:E,Online_eCommerce[[#This Row],[Status]])</f>
        <v>21103186</v>
      </c>
      <c r="R3689" s="13">
        <f>SUMIFS(L:L,H:H,Online_eCommerce[[#This Row],[Brand]])</f>
        <v>2267380</v>
      </c>
      <c r="S3689" s="13">
        <f>SUMIF(H:H,Online_eCommerce[[#This Row],[Brand]],M:M)</f>
        <v>2947594</v>
      </c>
      <c r="T3689" s="13">
        <f>SUMIF(N:N,Online_eCommerce[[#This Row],[Assigned Supervisor]],L:L)</f>
        <v>11733610</v>
      </c>
    </row>
    <row r="3690" spans="1:20" x14ac:dyDescent="0.3">
      <c r="A3690" t="s">
        <v>5535</v>
      </c>
      <c r="B3690" t="s">
        <v>159</v>
      </c>
      <c r="C3690" t="s">
        <v>189</v>
      </c>
      <c r="D3690" t="s">
        <v>5428</v>
      </c>
      <c r="E3690" t="s">
        <v>46</v>
      </c>
      <c r="F3690" t="s">
        <v>112</v>
      </c>
      <c r="G3690" t="s">
        <v>71</v>
      </c>
      <c r="H3690" t="s">
        <v>21</v>
      </c>
      <c r="I3690">
        <v>8250</v>
      </c>
      <c r="J3690">
        <v>10725</v>
      </c>
      <c r="K3690">
        <v>1</v>
      </c>
      <c r="L3690">
        <v>8250</v>
      </c>
      <c r="M3690">
        <v>10725</v>
      </c>
      <c r="N3690" t="s">
        <v>22</v>
      </c>
      <c r="O3690">
        <f t="shared" si="114"/>
        <v>9750</v>
      </c>
      <c r="P3690" s="13">
        <f t="shared" si="115"/>
        <v>2740777</v>
      </c>
      <c r="Q3690" s="13">
        <f>SUMIFS(M:M,E:E,Online_eCommerce[[#This Row],[Status]])</f>
        <v>28620410</v>
      </c>
      <c r="R3690" s="13">
        <f>SUMIFS(L:L,H:H,Online_eCommerce[[#This Row],[Brand]])</f>
        <v>12435650</v>
      </c>
      <c r="S3690" s="13">
        <f>SUMIF(H:H,Online_eCommerce[[#This Row],[Brand]],M:M)</f>
        <v>16166345</v>
      </c>
      <c r="T3690" s="13">
        <f>SUMIF(N:N,Online_eCommerce[[#This Row],[Assigned Supervisor]],L:L)</f>
        <v>13693220</v>
      </c>
    </row>
    <row r="3691" spans="1:20" hidden="1" x14ac:dyDescent="0.3">
      <c r="A3691" t="s">
        <v>5536</v>
      </c>
      <c r="B3691" t="s">
        <v>139</v>
      </c>
      <c r="C3691" t="s">
        <v>193</v>
      </c>
      <c r="D3691" t="s">
        <v>5428</v>
      </c>
      <c r="E3691" t="s">
        <v>96</v>
      </c>
      <c r="F3691" t="s">
        <v>5117</v>
      </c>
      <c r="G3691" t="s">
        <v>40</v>
      </c>
      <c r="H3691" t="s">
        <v>21</v>
      </c>
      <c r="I3691">
        <v>2650</v>
      </c>
      <c r="J3691">
        <v>3445</v>
      </c>
      <c r="K3691">
        <v>4</v>
      </c>
      <c r="L3691">
        <v>10600</v>
      </c>
      <c r="M3691">
        <v>13780</v>
      </c>
      <c r="N3691" t="s">
        <v>28</v>
      </c>
      <c r="O3691">
        <f t="shared" si="114"/>
        <v>25545</v>
      </c>
      <c r="P3691" s="13">
        <f t="shared" si="115"/>
        <v>2074774</v>
      </c>
      <c r="Q3691" s="13">
        <f>SUMIFS(M:M,E:E,Online_eCommerce[[#This Row],[Status]])</f>
        <v>21233992</v>
      </c>
      <c r="R3691" s="13">
        <f>SUMIFS(L:L,H:H,Online_eCommerce[[#This Row],[Brand]])</f>
        <v>12435650</v>
      </c>
      <c r="S3691" s="13">
        <f>SUMIF(H:H,Online_eCommerce[[#This Row],[Brand]],M:M)</f>
        <v>16166345</v>
      </c>
      <c r="T3691" s="13">
        <f>SUMIF(N:N,Online_eCommerce[[#This Row],[Assigned Supervisor]],L:L)</f>
        <v>12220830</v>
      </c>
    </row>
    <row r="3692" spans="1:20" hidden="1" x14ac:dyDescent="0.3">
      <c r="A3692" t="s">
        <v>5537</v>
      </c>
      <c r="B3692" t="s">
        <v>144</v>
      </c>
      <c r="C3692" t="s">
        <v>197</v>
      </c>
      <c r="D3692" t="s">
        <v>5428</v>
      </c>
      <c r="E3692" t="s">
        <v>18</v>
      </c>
      <c r="F3692" t="s">
        <v>121</v>
      </c>
      <c r="G3692" t="s">
        <v>71</v>
      </c>
      <c r="H3692" t="s">
        <v>122</v>
      </c>
      <c r="I3692">
        <v>12550</v>
      </c>
      <c r="J3692">
        <v>16315</v>
      </c>
      <c r="K3692">
        <v>4</v>
      </c>
      <c r="L3692">
        <v>50200</v>
      </c>
      <c r="M3692">
        <v>65260</v>
      </c>
      <c r="N3692" t="s">
        <v>35</v>
      </c>
      <c r="O3692">
        <f t="shared" si="114"/>
        <v>9750</v>
      </c>
      <c r="P3692" s="13">
        <f t="shared" si="115"/>
        <v>2829840</v>
      </c>
      <c r="Q3692" s="13">
        <f>SUMIFS(M:M,E:E,Online_eCommerce[[#This Row],[Status]])</f>
        <v>28340455</v>
      </c>
      <c r="R3692" s="13">
        <f>SUMIFS(L:L,H:H,Online_eCommerce[[#This Row],[Brand]])</f>
        <v>5045100</v>
      </c>
      <c r="S3692" s="13">
        <f>SUMIF(H:H,Online_eCommerce[[#This Row],[Brand]],M:M)</f>
        <v>6558630</v>
      </c>
      <c r="T3692" s="13">
        <f>SUMIF(N:N,Online_eCommerce[[#This Row],[Assigned Supervisor]],L:L)</f>
        <v>14373360</v>
      </c>
    </row>
    <row r="3693" spans="1:20" hidden="1" x14ac:dyDescent="0.3">
      <c r="A3693" t="s">
        <v>5538</v>
      </c>
      <c r="B3693" t="s">
        <v>235</v>
      </c>
      <c r="C3693" t="s">
        <v>199</v>
      </c>
      <c r="D3693" t="s">
        <v>5428</v>
      </c>
      <c r="E3693" t="s">
        <v>161</v>
      </c>
      <c r="F3693" t="s">
        <v>126</v>
      </c>
      <c r="G3693" t="s">
        <v>26</v>
      </c>
      <c r="H3693" t="s">
        <v>27</v>
      </c>
      <c r="I3693">
        <v>14500</v>
      </c>
      <c r="J3693">
        <v>18850</v>
      </c>
      <c r="K3693">
        <v>2</v>
      </c>
      <c r="L3693">
        <v>29000</v>
      </c>
      <c r="M3693">
        <v>37700</v>
      </c>
      <c r="N3693" t="s">
        <v>42</v>
      </c>
      <c r="O3693">
        <f t="shared" si="114"/>
        <v>33150</v>
      </c>
      <c r="P3693" s="13">
        <f t="shared" si="115"/>
        <v>1947361</v>
      </c>
      <c r="Q3693" s="13">
        <f>SUMIFS(M:M,E:E,Online_eCommerce[[#This Row],[Status]])</f>
        <v>21103186</v>
      </c>
      <c r="R3693" s="13">
        <f>SUMIFS(L:L,H:H,Online_eCommerce[[#This Row],[Brand]])</f>
        <v>14431000</v>
      </c>
      <c r="S3693" s="13">
        <f>SUMIF(H:H,Online_eCommerce[[#This Row],[Brand]],M:M)</f>
        <v>18760300</v>
      </c>
      <c r="T3693" s="13">
        <f>SUMIF(N:N,Online_eCommerce[[#This Row],[Assigned Supervisor]],L:L)</f>
        <v>12261500</v>
      </c>
    </row>
    <row r="3694" spans="1:20" x14ac:dyDescent="0.3">
      <c r="A3694" t="s">
        <v>5539</v>
      </c>
      <c r="B3694" t="s">
        <v>176</v>
      </c>
      <c r="C3694" t="s">
        <v>203</v>
      </c>
      <c r="D3694" t="s">
        <v>5428</v>
      </c>
      <c r="E3694" t="s">
        <v>46</v>
      </c>
      <c r="F3694" t="s">
        <v>129</v>
      </c>
      <c r="G3694" t="s">
        <v>60</v>
      </c>
      <c r="H3694" t="s">
        <v>61</v>
      </c>
      <c r="I3694">
        <v>800</v>
      </c>
      <c r="J3694">
        <v>1040</v>
      </c>
      <c r="K3694">
        <v>2</v>
      </c>
      <c r="L3694">
        <v>1600</v>
      </c>
      <c r="M3694">
        <v>2080</v>
      </c>
      <c r="N3694" t="s">
        <v>50</v>
      </c>
      <c r="O3694">
        <f t="shared" si="114"/>
        <v>3315</v>
      </c>
      <c r="P3694" s="13">
        <f t="shared" si="115"/>
        <v>2559635</v>
      </c>
      <c r="Q3694" s="13">
        <f>SUMIFS(M:M,E:E,Online_eCommerce[[#This Row],[Status]])</f>
        <v>28620410</v>
      </c>
      <c r="R3694" s="13">
        <f>SUMIFS(L:L,H:H,Online_eCommerce[[#This Row],[Brand]])</f>
        <v>10950150</v>
      </c>
      <c r="S3694" s="13">
        <f>SUMIF(H:H,Online_eCommerce[[#This Row],[Brand]],M:M)</f>
        <v>14235195</v>
      </c>
      <c r="T3694" s="13">
        <f>SUMIF(N:N,Online_eCommerce[[#This Row],[Assigned Supervisor]],L:L)</f>
        <v>12100590</v>
      </c>
    </row>
    <row r="3695" spans="1:20" hidden="1" x14ac:dyDescent="0.3">
      <c r="A3695" t="s">
        <v>5540</v>
      </c>
      <c r="B3695" t="s">
        <v>276</v>
      </c>
      <c r="C3695" t="s">
        <v>205</v>
      </c>
      <c r="D3695" t="s">
        <v>5428</v>
      </c>
      <c r="E3695" t="s">
        <v>96</v>
      </c>
      <c r="F3695" t="s">
        <v>133</v>
      </c>
      <c r="G3695" t="s">
        <v>66</v>
      </c>
      <c r="H3695" t="s">
        <v>21</v>
      </c>
      <c r="I3695">
        <v>600</v>
      </c>
      <c r="J3695">
        <v>780</v>
      </c>
      <c r="K3695">
        <v>4</v>
      </c>
      <c r="L3695">
        <v>2400</v>
      </c>
      <c r="M3695">
        <v>3120</v>
      </c>
      <c r="N3695" t="s">
        <v>56</v>
      </c>
      <c r="O3695">
        <f t="shared" si="114"/>
        <v>1690</v>
      </c>
      <c r="P3695" s="13">
        <f t="shared" si="115"/>
        <v>1983254</v>
      </c>
      <c r="Q3695" s="13">
        <f>SUMIFS(M:M,E:E,Online_eCommerce[[#This Row],[Status]])</f>
        <v>21233992</v>
      </c>
      <c r="R3695" s="13">
        <f>SUMIFS(L:L,H:H,Online_eCommerce[[#This Row],[Brand]])</f>
        <v>12435650</v>
      </c>
      <c r="S3695" s="13">
        <f>SUMIF(H:H,Online_eCommerce[[#This Row],[Brand]],M:M)</f>
        <v>16166345</v>
      </c>
      <c r="T3695" s="13">
        <f>SUMIF(N:N,Online_eCommerce[[#This Row],[Assigned Supervisor]],L:L)</f>
        <v>11733610</v>
      </c>
    </row>
    <row r="3696" spans="1:20" hidden="1" x14ac:dyDescent="0.3">
      <c r="A3696" t="s">
        <v>5541</v>
      </c>
      <c r="B3696" t="s">
        <v>280</v>
      </c>
      <c r="C3696" t="s">
        <v>208</v>
      </c>
      <c r="D3696" t="s">
        <v>5428</v>
      </c>
      <c r="E3696" t="s">
        <v>18</v>
      </c>
      <c r="F3696" t="s">
        <v>137</v>
      </c>
      <c r="G3696" t="s">
        <v>71</v>
      </c>
      <c r="H3696" t="s">
        <v>61</v>
      </c>
      <c r="I3696">
        <v>10500</v>
      </c>
      <c r="J3696">
        <v>13650</v>
      </c>
      <c r="K3696">
        <v>1</v>
      </c>
      <c r="L3696">
        <v>10500</v>
      </c>
      <c r="M3696">
        <v>13650</v>
      </c>
      <c r="N3696" t="s">
        <v>22</v>
      </c>
      <c r="O3696">
        <f t="shared" si="114"/>
        <v>9750</v>
      </c>
      <c r="P3696" s="13">
        <f t="shared" si="115"/>
        <v>2746575</v>
      </c>
      <c r="Q3696" s="13">
        <f>SUMIFS(M:M,E:E,Online_eCommerce[[#This Row],[Status]])</f>
        <v>28340455</v>
      </c>
      <c r="R3696" s="13">
        <f>SUMIFS(L:L,H:H,Online_eCommerce[[#This Row],[Brand]])</f>
        <v>10950150</v>
      </c>
      <c r="S3696" s="13">
        <f>SUMIF(H:H,Online_eCommerce[[#This Row],[Brand]],M:M)</f>
        <v>14235195</v>
      </c>
      <c r="T3696" s="13">
        <f>SUMIF(N:N,Online_eCommerce[[#This Row],[Assigned Supervisor]],L:L)</f>
        <v>13693220</v>
      </c>
    </row>
    <row r="3697" spans="1:20" hidden="1" x14ac:dyDescent="0.3">
      <c r="A3697" t="s">
        <v>5542</v>
      </c>
      <c r="B3697" t="s">
        <v>283</v>
      </c>
      <c r="C3697" t="s">
        <v>211</v>
      </c>
      <c r="D3697" t="s">
        <v>5428</v>
      </c>
      <c r="E3697" t="s">
        <v>161</v>
      </c>
      <c r="F3697" t="s">
        <v>5513</v>
      </c>
      <c r="G3697" t="s">
        <v>77</v>
      </c>
      <c r="H3697" t="s">
        <v>142</v>
      </c>
      <c r="I3697">
        <v>6500</v>
      </c>
      <c r="J3697">
        <v>8450</v>
      </c>
      <c r="K3697">
        <v>3</v>
      </c>
      <c r="L3697">
        <v>19500</v>
      </c>
      <c r="M3697">
        <v>25350</v>
      </c>
      <c r="N3697" t="s">
        <v>28</v>
      </c>
      <c r="O3697">
        <f t="shared" si="114"/>
        <v>39000</v>
      </c>
      <c r="P3697" s="13">
        <f t="shared" si="115"/>
        <v>1809847</v>
      </c>
      <c r="Q3697" s="13">
        <f>SUMIFS(M:M,E:E,Online_eCommerce[[#This Row],[Status]])</f>
        <v>21103186</v>
      </c>
      <c r="R3697" s="13">
        <f>SUMIFS(L:L,H:H,Online_eCommerce[[#This Row],[Brand]])</f>
        <v>6192500</v>
      </c>
      <c r="S3697" s="13">
        <f>SUMIF(H:H,Online_eCommerce[[#This Row],[Brand]],M:M)</f>
        <v>8050250</v>
      </c>
      <c r="T3697" s="13">
        <f>SUMIF(N:N,Online_eCommerce[[#This Row],[Assigned Supervisor]],L:L)</f>
        <v>12220830</v>
      </c>
    </row>
    <row r="3698" spans="1:20" x14ac:dyDescent="0.3">
      <c r="A3698" t="s">
        <v>5543</v>
      </c>
      <c r="B3698" t="s">
        <v>287</v>
      </c>
      <c r="C3698" t="s">
        <v>16</v>
      </c>
      <c r="D3698" t="s">
        <v>5428</v>
      </c>
      <c r="E3698" t="s">
        <v>46</v>
      </c>
      <c r="F3698" t="s">
        <v>5544</v>
      </c>
      <c r="G3698" t="s">
        <v>20</v>
      </c>
      <c r="H3698" t="s">
        <v>21</v>
      </c>
      <c r="I3698">
        <v>4500</v>
      </c>
      <c r="J3698">
        <v>5850</v>
      </c>
      <c r="K3698">
        <v>3</v>
      </c>
      <c r="L3698">
        <v>13500</v>
      </c>
      <c r="M3698">
        <v>17550</v>
      </c>
      <c r="N3698" t="s">
        <v>35</v>
      </c>
      <c r="O3698">
        <f t="shared" si="114"/>
        <v>8450</v>
      </c>
      <c r="P3698" s="13">
        <f t="shared" si="115"/>
        <v>2751814</v>
      </c>
      <c r="Q3698" s="13">
        <f>SUMIFS(M:M,E:E,Online_eCommerce[[#This Row],[Status]])</f>
        <v>28620410</v>
      </c>
      <c r="R3698" s="13">
        <f>SUMIFS(L:L,H:H,Online_eCommerce[[#This Row],[Brand]])</f>
        <v>12435650</v>
      </c>
      <c r="S3698" s="13">
        <f>SUMIF(H:H,Online_eCommerce[[#This Row],[Brand]],M:M)</f>
        <v>16166345</v>
      </c>
      <c r="T3698" s="13">
        <f>SUMIF(N:N,Online_eCommerce[[#This Row],[Assigned Supervisor]],L:L)</f>
        <v>14373360</v>
      </c>
    </row>
    <row r="3699" spans="1:20" hidden="1" x14ac:dyDescent="0.3">
      <c r="A3699" t="s">
        <v>5545</v>
      </c>
      <c r="B3699" t="s">
        <v>290</v>
      </c>
      <c r="C3699" t="s">
        <v>24</v>
      </c>
      <c r="D3699" t="s">
        <v>5428</v>
      </c>
      <c r="E3699" t="s">
        <v>96</v>
      </c>
      <c r="F3699" t="s">
        <v>152</v>
      </c>
      <c r="G3699" t="s">
        <v>26</v>
      </c>
      <c r="H3699" t="s">
        <v>27</v>
      </c>
      <c r="I3699">
        <v>8500</v>
      </c>
      <c r="J3699">
        <v>11050</v>
      </c>
      <c r="K3699">
        <v>1</v>
      </c>
      <c r="L3699">
        <v>8500</v>
      </c>
      <c r="M3699">
        <v>11050</v>
      </c>
      <c r="N3699" t="s">
        <v>42</v>
      </c>
      <c r="O3699">
        <f t="shared" si="114"/>
        <v>33150</v>
      </c>
      <c r="P3699" s="13">
        <f t="shared" si="115"/>
        <v>2009540</v>
      </c>
      <c r="Q3699" s="13">
        <f>SUMIFS(M:M,E:E,Online_eCommerce[[#This Row],[Status]])</f>
        <v>21233992</v>
      </c>
      <c r="R3699" s="13">
        <f>SUMIFS(L:L,H:H,Online_eCommerce[[#This Row],[Brand]])</f>
        <v>14431000</v>
      </c>
      <c r="S3699" s="13">
        <f>SUMIF(H:H,Online_eCommerce[[#This Row],[Brand]],M:M)</f>
        <v>18760300</v>
      </c>
      <c r="T3699" s="13">
        <f>SUMIF(N:N,Online_eCommerce[[#This Row],[Assigned Supervisor]],L:L)</f>
        <v>12261500</v>
      </c>
    </row>
    <row r="3700" spans="1:20" hidden="1" x14ac:dyDescent="0.3">
      <c r="A3700" t="s">
        <v>5546</v>
      </c>
      <c r="B3700" t="s">
        <v>15</v>
      </c>
      <c r="C3700" t="s">
        <v>31</v>
      </c>
      <c r="D3700" t="s">
        <v>5428</v>
      </c>
      <c r="E3700" t="s">
        <v>18</v>
      </c>
      <c r="F3700" t="s">
        <v>157</v>
      </c>
      <c r="G3700" t="s">
        <v>33</v>
      </c>
      <c r="H3700" t="s">
        <v>34</v>
      </c>
      <c r="I3700">
        <v>12500</v>
      </c>
      <c r="J3700">
        <v>16250</v>
      </c>
      <c r="K3700">
        <v>1</v>
      </c>
      <c r="L3700">
        <v>12500</v>
      </c>
      <c r="M3700">
        <v>16250</v>
      </c>
      <c r="N3700" t="s">
        <v>50</v>
      </c>
      <c r="O3700">
        <f t="shared" si="114"/>
        <v>18200</v>
      </c>
      <c r="P3700" s="13">
        <f t="shared" si="115"/>
        <v>2865746</v>
      </c>
      <c r="Q3700" s="13">
        <f>SUMIFS(M:M,E:E,Online_eCommerce[[#This Row],[Status]])</f>
        <v>28340455</v>
      </c>
      <c r="R3700" s="13">
        <f>SUMIFS(L:L,H:H,Online_eCommerce[[#This Row],[Brand]])</f>
        <v>10087000</v>
      </c>
      <c r="S3700" s="13">
        <f>SUMIF(H:H,Online_eCommerce[[#This Row],[Brand]],M:M)</f>
        <v>13113100</v>
      </c>
      <c r="T3700" s="13">
        <f>SUMIF(N:N,Online_eCommerce[[#This Row],[Assigned Supervisor]],L:L)</f>
        <v>12100590</v>
      </c>
    </row>
    <row r="3701" spans="1:20" hidden="1" x14ac:dyDescent="0.3">
      <c r="A3701" t="s">
        <v>5547</v>
      </c>
      <c r="B3701" t="s">
        <v>202</v>
      </c>
      <c r="C3701" t="s">
        <v>38</v>
      </c>
      <c r="D3701" t="s">
        <v>5428</v>
      </c>
      <c r="E3701" t="s">
        <v>161</v>
      </c>
      <c r="F3701" t="s">
        <v>5188</v>
      </c>
      <c r="G3701" t="s">
        <v>163</v>
      </c>
      <c r="H3701" t="s">
        <v>41</v>
      </c>
      <c r="I3701">
        <v>3500</v>
      </c>
      <c r="J3701">
        <v>4550</v>
      </c>
      <c r="K3701">
        <v>2</v>
      </c>
      <c r="L3701">
        <v>7000</v>
      </c>
      <c r="M3701">
        <v>9100</v>
      </c>
      <c r="N3701" t="s">
        <v>56</v>
      </c>
      <c r="O3701">
        <f t="shared" si="114"/>
        <v>13650</v>
      </c>
      <c r="P3701" s="13">
        <f t="shared" si="115"/>
        <v>1933997</v>
      </c>
      <c r="Q3701" s="13">
        <f>SUMIFS(M:M,E:E,Online_eCommerce[[#This Row],[Status]])</f>
        <v>21103186</v>
      </c>
      <c r="R3701" s="13">
        <f>SUMIFS(L:L,H:H,Online_eCommerce[[#This Row],[Brand]])</f>
        <v>4260400</v>
      </c>
      <c r="S3701" s="13">
        <f>SUMIF(H:H,Online_eCommerce[[#This Row],[Brand]],M:M)</f>
        <v>5538520</v>
      </c>
      <c r="T3701" s="13">
        <f>SUMIF(N:N,Online_eCommerce[[#This Row],[Assigned Supervisor]],L:L)</f>
        <v>11733610</v>
      </c>
    </row>
    <row r="3702" spans="1:20" x14ac:dyDescent="0.3">
      <c r="A3702" t="s">
        <v>5548</v>
      </c>
      <c r="B3702" t="s">
        <v>30</v>
      </c>
      <c r="C3702" t="s">
        <v>45</v>
      </c>
      <c r="D3702" t="s">
        <v>5428</v>
      </c>
      <c r="E3702" t="s">
        <v>46</v>
      </c>
      <c r="F3702" t="s">
        <v>166</v>
      </c>
      <c r="G3702" t="s">
        <v>66</v>
      </c>
      <c r="H3702" t="s">
        <v>49</v>
      </c>
      <c r="I3702">
        <v>4500</v>
      </c>
      <c r="J3702">
        <v>5850</v>
      </c>
      <c r="K3702">
        <v>2</v>
      </c>
      <c r="L3702">
        <v>9000</v>
      </c>
      <c r="M3702">
        <v>11700</v>
      </c>
      <c r="N3702" t="s">
        <v>22</v>
      </c>
      <c r="O3702">
        <f t="shared" si="114"/>
        <v>1690</v>
      </c>
      <c r="P3702" s="13">
        <f t="shared" si="115"/>
        <v>2842554</v>
      </c>
      <c r="Q3702" s="13">
        <f>SUMIFS(M:M,E:E,Online_eCommerce[[#This Row],[Status]])</f>
        <v>28620410</v>
      </c>
      <c r="R3702" s="13">
        <f>SUMIFS(L:L,H:H,Online_eCommerce[[#This Row],[Brand]])</f>
        <v>4528350</v>
      </c>
      <c r="S3702" s="13">
        <f>SUMIF(H:H,Online_eCommerce[[#This Row],[Brand]],M:M)</f>
        <v>5886855</v>
      </c>
      <c r="T3702" s="13">
        <f>SUMIF(N:N,Online_eCommerce[[#This Row],[Assigned Supervisor]],L:L)</f>
        <v>13693220</v>
      </c>
    </row>
    <row r="3703" spans="1:20" hidden="1" x14ac:dyDescent="0.3">
      <c r="A3703" t="s">
        <v>5549</v>
      </c>
      <c r="B3703" t="s">
        <v>37</v>
      </c>
      <c r="C3703" t="s">
        <v>52</v>
      </c>
      <c r="D3703" t="s">
        <v>5428</v>
      </c>
      <c r="E3703" t="s">
        <v>96</v>
      </c>
      <c r="F3703" t="s">
        <v>5550</v>
      </c>
      <c r="G3703" t="s">
        <v>54</v>
      </c>
      <c r="H3703" t="s">
        <v>55</v>
      </c>
      <c r="I3703">
        <v>2100</v>
      </c>
      <c r="J3703">
        <v>2730</v>
      </c>
      <c r="K3703">
        <v>3</v>
      </c>
      <c r="L3703">
        <v>6300</v>
      </c>
      <c r="M3703">
        <v>8190</v>
      </c>
      <c r="N3703" t="s">
        <v>28</v>
      </c>
      <c r="O3703">
        <f t="shared" si="114"/>
        <v>2990</v>
      </c>
      <c r="P3703" s="13">
        <f t="shared" si="115"/>
        <v>1955044</v>
      </c>
      <c r="Q3703" s="13">
        <f>SUMIFS(M:M,E:E,Online_eCommerce[[#This Row],[Status]])</f>
        <v>21233992</v>
      </c>
      <c r="R3703" s="13">
        <f>SUMIFS(L:L,H:H,Online_eCommerce[[#This Row],[Brand]])</f>
        <v>2267380</v>
      </c>
      <c r="S3703" s="13">
        <f>SUMIF(H:H,Online_eCommerce[[#This Row],[Brand]],M:M)</f>
        <v>2947594</v>
      </c>
      <c r="T3703" s="13">
        <f>SUMIF(N:N,Online_eCommerce[[#This Row],[Assigned Supervisor]],L:L)</f>
        <v>12220830</v>
      </c>
    </row>
    <row r="3704" spans="1:20" hidden="1" x14ac:dyDescent="0.3">
      <c r="A3704" t="s">
        <v>5551</v>
      </c>
      <c r="B3704" t="s">
        <v>44</v>
      </c>
      <c r="C3704" t="s">
        <v>58</v>
      </c>
      <c r="D3704" t="s">
        <v>5428</v>
      </c>
      <c r="E3704" t="s">
        <v>18</v>
      </c>
      <c r="F3704" t="s">
        <v>174</v>
      </c>
      <c r="G3704" t="s">
        <v>60</v>
      </c>
      <c r="H3704" t="s">
        <v>61</v>
      </c>
      <c r="I3704">
        <v>1150</v>
      </c>
      <c r="J3704">
        <v>1495</v>
      </c>
      <c r="K3704">
        <v>1</v>
      </c>
      <c r="L3704">
        <v>1150</v>
      </c>
      <c r="M3704">
        <v>1495</v>
      </c>
      <c r="N3704" t="s">
        <v>35</v>
      </c>
      <c r="O3704">
        <f t="shared" si="114"/>
        <v>3315</v>
      </c>
      <c r="P3704" s="13">
        <f t="shared" si="115"/>
        <v>2629211</v>
      </c>
      <c r="Q3704" s="13">
        <f>SUMIFS(M:M,E:E,Online_eCommerce[[#This Row],[Status]])</f>
        <v>28340455</v>
      </c>
      <c r="R3704" s="13">
        <f>SUMIFS(L:L,H:H,Online_eCommerce[[#This Row],[Brand]])</f>
        <v>10950150</v>
      </c>
      <c r="S3704" s="13">
        <f>SUMIF(H:H,Online_eCommerce[[#This Row],[Brand]],M:M)</f>
        <v>14235195</v>
      </c>
      <c r="T3704" s="13">
        <f>SUMIF(N:N,Online_eCommerce[[#This Row],[Assigned Supervisor]],L:L)</f>
        <v>14373360</v>
      </c>
    </row>
    <row r="3705" spans="1:20" hidden="1" x14ac:dyDescent="0.3">
      <c r="A3705" t="s">
        <v>5552</v>
      </c>
      <c r="B3705" t="s">
        <v>213</v>
      </c>
      <c r="C3705" t="s">
        <v>63</v>
      </c>
      <c r="D3705" t="s">
        <v>5428</v>
      </c>
      <c r="E3705" t="s">
        <v>161</v>
      </c>
      <c r="F3705" t="s">
        <v>179</v>
      </c>
      <c r="G3705" t="s">
        <v>66</v>
      </c>
      <c r="H3705" t="s">
        <v>21</v>
      </c>
      <c r="I3705">
        <v>350</v>
      </c>
      <c r="J3705">
        <v>455</v>
      </c>
      <c r="K3705">
        <v>3</v>
      </c>
      <c r="L3705">
        <v>1050</v>
      </c>
      <c r="M3705">
        <v>1365</v>
      </c>
      <c r="N3705" t="s">
        <v>42</v>
      </c>
      <c r="O3705">
        <f t="shared" si="114"/>
        <v>1690</v>
      </c>
      <c r="P3705" s="13">
        <f t="shared" si="115"/>
        <v>2016131</v>
      </c>
      <c r="Q3705" s="13">
        <f>SUMIFS(M:M,E:E,Online_eCommerce[[#This Row],[Status]])</f>
        <v>21103186</v>
      </c>
      <c r="R3705" s="13">
        <f>SUMIFS(L:L,H:H,Online_eCommerce[[#This Row],[Brand]])</f>
        <v>12435650</v>
      </c>
      <c r="S3705" s="13">
        <f>SUMIF(H:H,Online_eCommerce[[#This Row],[Brand]],M:M)</f>
        <v>16166345</v>
      </c>
      <c r="T3705" s="13">
        <f>SUMIF(N:N,Online_eCommerce[[#This Row],[Assigned Supervisor]],L:L)</f>
        <v>12261500</v>
      </c>
    </row>
    <row r="3706" spans="1:20" x14ac:dyDescent="0.3">
      <c r="A3706" t="s">
        <v>5553</v>
      </c>
      <c r="B3706" t="s">
        <v>215</v>
      </c>
      <c r="C3706" t="s">
        <v>68</v>
      </c>
      <c r="D3706" t="s">
        <v>5428</v>
      </c>
      <c r="E3706" t="s">
        <v>46</v>
      </c>
      <c r="F3706" t="s">
        <v>183</v>
      </c>
      <c r="G3706" t="s">
        <v>71</v>
      </c>
      <c r="H3706" t="s">
        <v>61</v>
      </c>
      <c r="I3706">
        <v>9500</v>
      </c>
      <c r="J3706">
        <v>12350</v>
      </c>
      <c r="K3706">
        <v>2</v>
      </c>
      <c r="L3706">
        <v>19000</v>
      </c>
      <c r="M3706">
        <v>24700</v>
      </c>
      <c r="N3706" t="s">
        <v>50</v>
      </c>
      <c r="O3706">
        <f t="shared" si="114"/>
        <v>9750</v>
      </c>
      <c r="P3706" s="13">
        <f t="shared" si="115"/>
        <v>2974621</v>
      </c>
      <c r="Q3706" s="13">
        <f>SUMIFS(M:M,E:E,Online_eCommerce[[#This Row],[Status]])</f>
        <v>28620410</v>
      </c>
      <c r="R3706" s="13">
        <f>SUMIFS(L:L,H:H,Online_eCommerce[[#This Row],[Brand]])</f>
        <v>10950150</v>
      </c>
      <c r="S3706" s="13">
        <f>SUMIF(H:H,Online_eCommerce[[#This Row],[Brand]],M:M)</f>
        <v>14235195</v>
      </c>
      <c r="T3706" s="13">
        <f>SUMIF(N:N,Online_eCommerce[[#This Row],[Assigned Supervisor]],L:L)</f>
        <v>12100590</v>
      </c>
    </row>
    <row r="3707" spans="1:20" hidden="1" x14ac:dyDescent="0.3">
      <c r="A3707" t="s">
        <v>5554</v>
      </c>
      <c r="B3707" t="s">
        <v>306</v>
      </c>
      <c r="C3707" t="s">
        <v>74</v>
      </c>
      <c r="D3707" t="s">
        <v>5428</v>
      </c>
      <c r="E3707" t="s">
        <v>96</v>
      </c>
      <c r="F3707" t="s">
        <v>5555</v>
      </c>
      <c r="G3707" t="s">
        <v>77</v>
      </c>
      <c r="H3707" t="s">
        <v>142</v>
      </c>
      <c r="I3707">
        <v>10000</v>
      </c>
      <c r="J3707">
        <v>13000</v>
      </c>
      <c r="K3707">
        <v>2</v>
      </c>
      <c r="L3707">
        <v>20000</v>
      </c>
      <c r="M3707">
        <v>26000</v>
      </c>
      <c r="N3707" t="s">
        <v>56</v>
      </c>
      <c r="O3707">
        <f t="shared" si="114"/>
        <v>39000</v>
      </c>
      <c r="P3707" s="13">
        <f t="shared" si="115"/>
        <v>2144701</v>
      </c>
      <c r="Q3707" s="13">
        <f>SUMIFS(M:M,E:E,Online_eCommerce[[#This Row],[Status]])</f>
        <v>21233992</v>
      </c>
      <c r="R3707" s="13">
        <f>SUMIFS(L:L,H:H,Online_eCommerce[[#This Row],[Brand]])</f>
        <v>6192500</v>
      </c>
      <c r="S3707" s="13">
        <f>SUMIF(H:H,Online_eCommerce[[#This Row],[Brand]],M:M)</f>
        <v>8050250</v>
      </c>
      <c r="T3707" s="13">
        <f>SUMIF(N:N,Online_eCommerce[[#This Row],[Assigned Supervisor]],L:L)</f>
        <v>11733610</v>
      </c>
    </row>
    <row r="3708" spans="1:20" hidden="1" x14ac:dyDescent="0.3">
      <c r="A3708" t="s">
        <v>5556</v>
      </c>
      <c r="B3708" t="s">
        <v>528</v>
      </c>
      <c r="C3708" t="s">
        <v>81</v>
      </c>
      <c r="D3708" t="s">
        <v>5428</v>
      </c>
      <c r="E3708" t="s">
        <v>18</v>
      </c>
      <c r="F3708" t="s">
        <v>5557</v>
      </c>
      <c r="G3708" t="s">
        <v>20</v>
      </c>
      <c r="H3708" t="s">
        <v>21</v>
      </c>
      <c r="I3708">
        <v>6500</v>
      </c>
      <c r="J3708">
        <v>8450</v>
      </c>
      <c r="K3708">
        <v>4</v>
      </c>
      <c r="L3708">
        <v>26000</v>
      </c>
      <c r="M3708">
        <v>33800</v>
      </c>
      <c r="N3708" t="s">
        <v>22</v>
      </c>
      <c r="O3708">
        <f t="shared" si="114"/>
        <v>8450</v>
      </c>
      <c r="P3708" s="13">
        <f t="shared" si="115"/>
        <v>2595632</v>
      </c>
      <c r="Q3708" s="13">
        <f>SUMIFS(M:M,E:E,Online_eCommerce[[#This Row],[Status]])</f>
        <v>28340455</v>
      </c>
      <c r="R3708" s="13">
        <f>SUMIFS(L:L,H:H,Online_eCommerce[[#This Row],[Brand]])</f>
        <v>12435650</v>
      </c>
      <c r="S3708" s="13">
        <f>SUMIF(H:H,Online_eCommerce[[#This Row],[Brand]],M:M)</f>
        <v>16166345</v>
      </c>
      <c r="T3708" s="13">
        <f>SUMIF(N:N,Online_eCommerce[[#This Row],[Assigned Supervisor]],L:L)</f>
        <v>13693220</v>
      </c>
    </row>
    <row r="3709" spans="1:20" hidden="1" x14ac:dyDescent="0.3">
      <c r="A3709" t="s">
        <v>5558</v>
      </c>
      <c r="B3709" t="s">
        <v>73</v>
      </c>
      <c r="C3709" t="s">
        <v>86</v>
      </c>
      <c r="D3709" t="s">
        <v>5428</v>
      </c>
      <c r="E3709" t="s">
        <v>161</v>
      </c>
      <c r="F3709" t="s">
        <v>5559</v>
      </c>
      <c r="G3709" t="s">
        <v>26</v>
      </c>
      <c r="H3709" t="s">
        <v>27</v>
      </c>
      <c r="I3709">
        <v>8500</v>
      </c>
      <c r="J3709">
        <v>11050</v>
      </c>
      <c r="K3709">
        <v>1</v>
      </c>
      <c r="L3709">
        <v>8500</v>
      </c>
      <c r="M3709">
        <v>11050</v>
      </c>
      <c r="N3709" t="s">
        <v>28</v>
      </c>
      <c r="O3709">
        <f t="shared" si="114"/>
        <v>33150</v>
      </c>
      <c r="P3709" s="13">
        <f t="shared" si="115"/>
        <v>1941225</v>
      </c>
      <c r="Q3709" s="13">
        <f>SUMIFS(M:M,E:E,Online_eCommerce[[#This Row],[Status]])</f>
        <v>21103186</v>
      </c>
      <c r="R3709" s="13">
        <f>SUMIFS(L:L,H:H,Online_eCommerce[[#This Row],[Brand]])</f>
        <v>14431000</v>
      </c>
      <c r="S3709" s="13">
        <f>SUMIF(H:H,Online_eCommerce[[#This Row],[Brand]],M:M)</f>
        <v>18760300</v>
      </c>
      <c r="T3709" s="13">
        <f>SUMIF(N:N,Online_eCommerce[[#This Row],[Assigned Supervisor]],L:L)</f>
        <v>12220830</v>
      </c>
    </row>
    <row r="3710" spans="1:20" x14ac:dyDescent="0.3">
      <c r="A3710" t="s">
        <v>5560</v>
      </c>
      <c r="B3710" t="s">
        <v>80</v>
      </c>
      <c r="C3710" t="s">
        <v>91</v>
      </c>
      <c r="D3710" t="s">
        <v>5428</v>
      </c>
      <c r="E3710" t="s">
        <v>46</v>
      </c>
      <c r="F3710" t="s">
        <v>32</v>
      </c>
      <c r="G3710" t="s">
        <v>33</v>
      </c>
      <c r="H3710" t="s">
        <v>34</v>
      </c>
      <c r="I3710">
        <v>7000</v>
      </c>
      <c r="J3710">
        <v>9100</v>
      </c>
      <c r="K3710">
        <v>4</v>
      </c>
      <c r="L3710">
        <v>28000</v>
      </c>
      <c r="M3710">
        <v>36400</v>
      </c>
      <c r="N3710" t="s">
        <v>35</v>
      </c>
      <c r="O3710">
        <f t="shared" si="114"/>
        <v>18200</v>
      </c>
      <c r="P3710" s="13">
        <f t="shared" si="115"/>
        <v>2731963</v>
      </c>
      <c r="Q3710" s="13">
        <f>SUMIFS(M:M,E:E,Online_eCommerce[[#This Row],[Status]])</f>
        <v>28620410</v>
      </c>
      <c r="R3710" s="13">
        <f>SUMIFS(L:L,H:H,Online_eCommerce[[#This Row],[Brand]])</f>
        <v>10087000</v>
      </c>
      <c r="S3710" s="13">
        <f>SUMIF(H:H,Online_eCommerce[[#This Row],[Brand]],M:M)</f>
        <v>13113100</v>
      </c>
      <c r="T3710" s="13">
        <f>SUMIF(N:N,Online_eCommerce[[#This Row],[Assigned Supervisor]],L:L)</f>
        <v>14373360</v>
      </c>
    </row>
    <row r="3711" spans="1:20" hidden="1" x14ac:dyDescent="0.3">
      <c r="A3711" t="s">
        <v>5561</v>
      </c>
      <c r="B3711" t="s">
        <v>85</v>
      </c>
      <c r="C3711" t="s">
        <v>94</v>
      </c>
      <c r="D3711" t="s">
        <v>5428</v>
      </c>
      <c r="E3711" t="s">
        <v>96</v>
      </c>
      <c r="F3711" t="s">
        <v>5562</v>
      </c>
      <c r="G3711" t="s">
        <v>163</v>
      </c>
      <c r="H3711" t="s">
        <v>41</v>
      </c>
      <c r="I3711">
        <v>6550</v>
      </c>
      <c r="J3711">
        <v>8515</v>
      </c>
      <c r="K3711">
        <v>2</v>
      </c>
      <c r="L3711">
        <v>13100</v>
      </c>
      <c r="M3711">
        <v>17030</v>
      </c>
      <c r="N3711" t="s">
        <v>42</v>
      </c>
      <c r="O3711">
        <f t="shared" si="114"/>
        <v>13650</v>
      </c>
      <c r="P3711" s="13">
        <f t="shared" si="115"/>
        <v>1868256</v>
      </c>
      <c r="Q3711" s="13">
        <f>SUMIFS(M:M,E:E,Online_eCommerce[[#This Row],[Status]])</f>
        <v>21233992</v>
      </c>
      <c r="R3711" s="13">
        <f>SUMIFS(L:L,H:H,Online_eCommerce[[#This Row],[Brand]])</f>
        <v>4260400</v>
      </c>
      <c r="S3711" s="13">
        <f>SUMIF(H:H,Online_eCommerce[[#This Row],[Brand]],M:M)</f>
        <v>5538520</v>
      </c>
      <c r="T3711" s="13">
        <f>SUMIF(N:N,Online_eCommerce[[#This Row],[Assigned Supervisor]],L:L)</f>
        <v>12261500</v>
      </c>
    </row>
    <row r="3712" spans="1:20" hidden="1" x14ac:dyDescent="0.3">
      <c r="A3712" t="s">
        <v>5563</v>
      </c>
      <c r="B3712" t="s">
        <v>90</v>
      </c>
      <c r="C3712" t="s">
        <v>99</v>
      </c>
      <c r="D3712" t="s">
        <v>5428</v>
      </c>
      <c r="E3712" t="s">
        <v>18</v>
      </c>
      <c r="F3712" t="s">
        <v>47</v>
      </c>
      <c r="G3712" t="s">
        <v>66</v>
      </c>
      <c r="H3712" t="s">
        <v>49</v>
      </c>
      <c r="I3712">
        <v>7650</v>
      </c>
      <c r="J3712">
        <v>9945</v>
      </c>
      <c r="K3712">
        <v>3</v>
      </c>
      <c r="L3712">
        <v>22950</v>
      </c>
      <c r="M3712">
        <v>29835</v>
      </c>
      <c r="N3712" t="s">
        <v>50</v>
      </c>
      <c r="O3712">
        <f t="shared" si="114"/>
        <v>1690</v>
      </c>
      <c r="P3712" s="13">
        <f t="shared" si="115"/>
        <v>2651233</v>
      </c>
      <c r="Q3712" s="13">
        <f>SUMIFS(M:M,E:E,Online_eCommerce[[#This Row],[Status]])</f>
        <v>28340455</v>
      </c>
      <c r="R3712" s="13">
        <f>SUMIFS(L:L,H:H,Online_eCommerce[[#This Row],[Brand]])</f>
        <v>4528350</v>
      </c>
      <c r="S3712" s="13">
        <f>SUMIF(H:H,Online_eCommerce[[#This Row],[Brand]],M:M)</f>
        <v>5886855</v>
      </c>
      <c r="T3712" s="13">
        <f>SUMIF(N:N,Online_eCommerce[[#This Row],[Assigned Supervisor]],L:L)</f>
        <v>12100590</v>
      </c>
    </row>
    <row r="3713" spans="1:20" hidden="1" x14ac:dyDescent="0.3">
      <c r="A3713" t="s">
        <v>5564</v>
      </c>
      <c r="B3713" t="s">
        <v>232</v>
      </c>
      <c r="C3713" t="s">
        <v>105</v>
      </c>
      <c r="D3713" t="s">
        <v>5428</v>
      </c>
      <c r="E3713" t="s">
        <v>161</v>
      </c>
      <c r="F3713" t="s">
        <v>53</v>
      </c>
      <c r="G3713" t="s">
        <v>54</v>
      </c>
      <c r="H3713" t="s">
        <v>55</v>
      </c>
      <c r="I3713">
        <v>1150</v>
      </c>
      <c r="J3713">
        <v>1495</v>
      </c>
      <c r="K3713">
        <v>1</v>
      </c>
      <c r="L3713">
        <v>1150</v>
      </c>
      <c r="M3713">
        <v>1495</v>
      </c>
      <c r="N3713" t="s">
        <v>56</v>
      </c>
      <c r="O3713">
        <f t="shared" si="114"/>
        <v>2990</v>
      </c>
      <c r="P3713" s="13">
        <f t="shared" si="115"/>
        <v>1866852</v>
      </c>
      <c r="Q3713" s="13">
        <f>SUMIFS(M:M,E:E,Online_eCommerce[[#This Row],[Status]])</f>
        <v>21103186</v>
      </c>
      <c r="R3713" s="13">
        <f>SUMIFS(L:L,H:H,Online_eCommerce[[#This Row],[Brand]])</f>
        <v>2267380</v>
      </c>
      <c r="S3713" s="13">
        <f>SUMIF(H:H,Online_eCommerce[[#This Row],[Brand]],M:M)</f>
        <v>2947594</v>
      </c>
      <c r="T3713" s="13">
        <f>SUMIF(N:N,Online_eCommerce[[#This Row],[Assigned Supervisor]],L:L)</f>
        <v>11733610</v>
      </c>
    </row>
    <row r="3714" spans="1:20" x14ac:dyDescent="0.3">
      <c r="A3714" t="s">
        <v>5565</v>
      </c>
      <c r="B3714" t="s">
        <v>235</v>
      </c>
      <c r="C3714" t="s">
        <v>110</v>
      </c>
      <c r="D3714" t="s">
        <v>5428</v>
      </c>
      <c r="E3714" t="s">
        <v>46</v>
      </c>
      <c r="F3714" t="s">
        <v>59</v>
      </c>
      <c r="G3714" t="s">
        <v>60</v>
      </c>
      <c r="H3714" t="s">
        <v>61</v>
      </c>
      <c r="I3714">
        <v>850</v>
      </c>
      <c r="J3714">
        <v>1105</v>
      </c>
      <c r="K3714">
        <v>4</v>
      </c>
      <c r="L3714">
        <v>3400</v>
      </c>
      <c r="M3714">
        <v>4420</v>
      </c>
      <c r="N3714" t="s">
        <v>22</v>
      </c>
      <c r="O3714">
        <f t="shared" ref="O3714:O3777" si="116">VLOOKUP(G3714,G:M,7,FALSE)</f>
        <v>3315</v>
      </c>
      <c r="P3714" s="13">
        <f t="shared" ref="P3714:P3777" si="117">SUMIFS(M:M,C:C,C3714)</f>
        <v>2598635</v>
      </c>
      <c r="Q3714" s="13">
        <f>SUMIFS(M:M,E:E,Online_eCommerce[[#This Row],[Status]])</f>
        <v>28620410</v>
      </c>
      <c r="R3714" s="13">
        <f>SUMIFS(L:L,H:H,Online_eCommerce[[#This Row],[Brand]])</f>
        <v>10950150</v>
      </c>
      <c r="S3714" s="13">
        <f>SUMIF(H:H,Online_eCommerce[[#This Row],[Brand]],M:M)</f>
        <v>14235195</v>
      </c>
      <c r="T3714" s="13">
        <f>SUMIF(N:N,Online_eCommerce[[#This Row],[Assigned Supervisor]],L:L)</f>
        <v>13693220</v>
      </c>
    </row>
    <row r="3715" spans="1:20" hidden="1" x14ac:dyDescent="0.3">
      <c r="A3715" t="s">
        <v>5566</v>
      </c>
      <c r="B3715" t="s">
        <v>104</v>
      </c>
      <c r="C3715" t="s">
        <v>115</v>
      </c>
      <c r="D3715" t="s">
        <v>5428</v>
      </c>
      <c r="E3715" t="s">
        <v>96</v>
      </c>
      <c r="F3715" t="s">
        <v>65</v>
      </c>
      <c r="G3715" t="s">
        <v>66</v>
      </c>
      <c r="H3715" t="s">
        <v>21</v>
      </c>
      <c r="I3715">
        <v>650</v>
      </c>
      <c r="J3715">
        <v>845</v>
      </c>
      <c r="K3715">
        <v>2</v>
      </c>
      <c r="L3715">
        <v>1300</v>
      </c>
      <c r="M3715">
        <v>1690</v>
      </c>
      <c r="N3715" t="s">
        <v>28</v>
      </c>
      <c r="O3715">
        <f t="shared" si="116"/>
        <v>1690</v>
      </c>
      <c r="P3715" s="13">
        <f t="shared" si="117"/>
        <v>2050178</v>
      </c>
      <c r="Q3715" s="13">
        <f>SUMIFS(M:M,E:E,Online_eCommerce[[#This Row],[Status]])</f>
        <v>21233992</v>
      </c>
      <c r="R3715" s="13">
        <f>SUMIFS(L:L,H:H,Online_eCommerce[[#This Row],[Brand]])</f>
        <v>12435650</v>
      </c>
      <c r="S3715" s="13">
        <f>SUMIF(H:H,Online_eCommerce[[#This Row],[Brand]],M:M)</f>
        <v>16166345</v>
      </c>
      <c r="T3715" s="13">
        <f>SUMIF(N:N,Online_eCommerce[[#This Row],[Assigned Supervisor]],L:L)</f>
        <v>12220830</v>
      </c>
    </row>
    <row r="3716" spans="1:20" hidden="1" x14ac:dyDescent="0.3">
      <c r="A3716" t="s">
        <v>5567</v>
      </c>
      <c r="B3716" t="s">
        <v>109</v>
      </c>
      <c r="C3716" t="s">
        <v>120</v>
      </c>
      <c r="D3716" t="s">
        <v>5428</v>
      </c>
      <c r="E3716" t="s">
        <v>18</v>
      </c>
      <c r="F3716" t="s">
        <v>70</v>
      </c>
      <c r="G3716" t="s">
        <v>71</v>
      </c>
      <c r="H3716" t="s">
        <v>61</v>
      </c>
      <c r="I3716">
        <v>7500</v>
      </c>
      <c r="J3716">
        <v>9750</v>
      </c>
      <c r="K3716">
        <v>2</v>
      </c>
      <c r="L3716">
        <v>15000</v>
      </c>
      <c r="M3716">
        <v>19500</v>
      </c>
      <c r="N3716" t="s">
        <v>35</v>
      </c>
      <c r="O3716">
        <f t="shared" si="116"/>
        <v>9750</v>
      </c>
      <c r="P3716" s="13">
        <f t="shared" si="117"/>
        <v>2734212</v>
      </c>
      <c r="Q3716" s="13">
        <f>SUMIFS(M:M,E:E,Online_eCommerce[[#This Row],[Status]])</f>
        <v>28340455</v>
      </c>
      <c r="R3716" s="13">
        <f>SUMIFS(L:L,H:H,Online_eCommerce[[#This Row],[Brand]])</f>
        <v>10950150</v>
      </c>
      <c r="S3716" s="13">
        <f>SUMIF(H:H,Online_eCommerce[[#This Row],[Brand]],M:M)</f>
        <v>14235195</v>
      </c>
      <c r="T3716" s="13">
        <f>SUMIF(N:N,Online_eCommerce[[#This Row],[Assigned Supervisor]],L:L)</f>
        <v>14373360</v>
      </c>
    </row>
    <row r="3717" spans="1:20" hidden="1" x14ac:dyDescent="0.3">
      <c r="A3717" t="s">
        <v>5568</v>
      </c>
      <c r="B3717" t="s">
        <v>114</v>
      </c>
      <c r="C3717" t="s">
        <v>125</v>
      </c>
      <c r="D3717" t="s">
        <v>5428</v>
      </c>
      <c r="E3717" t="s">
        <v>161</v>
      </c>
      <c r="F3717" t="s">
        <v>5555</v>
      </c>
      <c r="G3717" t="s">
        <v>77</v>
      </c>
      <c r="H3717" t="s">
        <v>78</v>
      </c>
      <c r="I3717">
        <v>10000</v>
      </c>
      <c r="J3717">
        <v>13000</v>
      </c>
      <c r="K3717">
        <v>4</v>
      </c>
      <c r="L3717">
        <v>40000</v>
      </c>
      <c r="M3717">
        <v>52000</v>
      </c>
      <c r="N3717" t="s">
        <v>42</v>
      </c>
      <c r="O3717">
        <f t="shared" si="116"/>
        <v>39000</v>
      </c>
      <c r="P3717" s="13">
        <f t="shared" si="117"/>
        <v>2091154</v>
      </c>
      <c r="Q3717" s="13">
        <f>SUMIFS(M:M,E:E,Online_eCommerce[[#This Row],[Status]])</f>
        <v>21103186</v>
      </c>
      <c r="R3717" s="13">
        <f>SUMIFS(L:L,H:H,Online_eCommerce[[#This Row],[Brand]])</f>
        <v>3720000</v>
      </c>
      <c r="S3717" s="13">
        <f>SUMIF(H:H,Online_eCommerce[[#This Row],[Brand]],M:M)</f>
        <v>4836000</v>
      </c>
      <c r="T3717" s="13">
        <f>SUMIF(N:N,Online_eCommerce[[#This Row],[Assigned Supervisor]],L:L)</f>
        <v>12261500</v>
      </c>
    </row>
    <row r="3718" spans="1:20" x14ac:dyDescent="0.3">
      <c r="A3718" t="s">
        <v>5569</v>
      </c>
      <c r="B3718" t="s">
        <v>119</v>
      </c>
      <c r="C3718" t="s">
        <v>22</v>
      </c>
      <c r="D3718" t="s">
        <v>5570</v>
      </c>
      <c r="E3718" t="s">
        <v>46</v>
      </c>
      <c r="F3718" t="s">
        <v>5571</v>
      </c>
      <c r="G3718" t="s">
        <v>20</v>
      </c>
      <c r="H3718" t="s">
        <v>21</v>
      </c>
      <c r="I3718">
        <v>10500</v>
      </c>
      <c r="J3718">
        <v>13650</v>
      </c>
      <c r="K3718">
        <v>2</v>
      </c>
      <c r="L3718">
        <v>21000</v>
      </c>
      <c r="M3718">
        <v>27300</v>
      </c>
      <c r="N3718" t="s">
        <v>50</v>
      </c>
      <c r="O3718">
        <f t="shared" si="116"/>
        <v>8450</v>
      </c>
      <c r="P3718" s="13">
        <f t="shared" si="117"/>
        <v>2551588</v>
      </c>
      <c r="Q3718" s="13">
        <f>SUMIFS(M:M,E:E,Online_eCommerce[[#This Row],[Status]])</f>
        <v>28620410</v>
      </c>
      <c r="R3718" s="13">
        <f>SUMIFS(L:L,H:H,Online_eCommerce[[#This Row],[Brand]])</f>
        <v>12435650</v>
      </c>
      <c r="S3718" s="13">
        <f>SUMIF(H:H,Online_eCommerce[[#This Row],[Brand]],M:M)</f>
        <v>16166345</v>
      </c>
      <c r="T3718" s="13">
        <f>SUMIF(N:N,Online_eCommerce[[#This Row],[Assigned Supervisor]],L:L)</f>
        <v>12100590</v>
      </c>
    </row>
    <row r="3719" spans="1:20" hidden="1" x14ac:dyDescent="0.3">
      <c r="A3719" t="s">
        <v>5572</v>
      </c>
      <c r="B3719" t="s">
        <v>124</v>
      </c>
      <c r="C3719" t="s">
        <v>132</v>
      </c>
      <c r="D3719" t="s">
        <v>5570</v>
      </c>
      <c r="E3719" t="s">
        <v>96</v>
      </c>
      <c r="F3719" t="s">
        <v>88</v>
      </c>
      <c r="G3719" t="s">
        <v>26</v>
      </c>
      <c r="H3719" t="s">
        <v>27</v>
      </c>
      <c r="I3719">
        <v>8500</v>
      </c>
      <c r="J3719">
        <v>11050</v>
      </c>
      <c r="K3719">
        <v>4</v>
      </c>
      <c r="L3719">
        <v>34000</v>
      </c>
      <c r="M3719">
        <v>44200</v>
      </c>
      <c r="N3719" t="s">
        <v>56</v>
      </c>
      <c r="O3719">
        <f t="shared" si="116"/>
        <v>33150</v>
      </c>
      <c r="P3719" s="13">
        <f t="shared" si="117"/>
        <v>1989065</v>
      </c>
      <c r="Q3719" s="13">
        <f>SUMIFS(M:M,E:E,Online_eCommerce[[#This Row],[Status]])</f>
        <v>21233992</v>
      </c>
      <c r="R3719" s="13">
        <f>SUMIFS(L:L,H:H,Online_eCommerce[[#This Row],[Brand]])</f>
        <v>14431000</v>
      </c>
      <c r="S3719" s="13">
        <f>SUMIF(H:H,Online_eCommerce[[#This Row],[Brand]],M:M)</f>
        <v>18760300</v>
      </c>
      <c r="T3719" s="13">
        <f>SUMIF(N:N,Online_eCommerce[[#This Row],[Assigned Supervisor]],L:L)</f>
        <v>11733610</v>
      </c>
    </row>
    <row r="3720" spans="1:20" hidden="1" x14ac:dyDescent="0.3">
      <c r="A3720" t="s">
        <v>5573</v>
      </c>
      <c r="B3720" t="s">
        <v>128</v>
      </c>
      <c r="C3720" t="s">
        <v>136</v>
      </c>
      <c r="D3720" t="s">
        <v>5570</v>
      </c>
      <c r="E3720" t="s">
        <v>18</v>
      </c>
      <c r="F3720" t="s">
        <v>32</v>
      </c>
      <c r="G3720" t="s">
        <v>33</v>
      </c>
      <c r="H3720" t="s">
        <v>34</v>
      </c>
      <c r="I3720">
        <v>7000</v>
      </c>
      <c r="J3720">
        <v>9100</v>
      </c>
      <c r="K3720">
        <v>3</v>
      </c>
      <c r="L3720">
        <v>21000</v>
      </c>
      <c r="M3720">
        <v>27300</v>
      </c>
      <c r="N3720" t="s">
        <v>22</v>
      </c>
      <c r="O3720">
        <f t="shared" si="116"/>
        <v>18200</v>
      </c>
      <c r="P3720" s="13">
        <f t="shared" si="117"/>
        <v>2775162</v>
      </c>
      <c r="Q3720" s="13">
        <f>SUMIFS(M:M,E:E,Online_eCommerce[[#This Row],[Status]])</f>
        <v>28340455</v>
      </c>
      <c r="R3720" s="13">
        <f>SUMIFS(L:L,H:H,Online_eCommerce[[#This Row],[Brand]])</f>
        <v>10087000</v>
      </c>
      <c r="S3720" s="13">
        <f>SUMIF(H:H,Online_eCommerce[[#This Row],[Brand]],M:M)</f>
        <v>13113100</v>
      </c>
      <c r="T3720" s="13">
        <f>SUMIF(N:N,Online_eCommerce[[#This Row],[Assigned Supervisor]],L:L)</f>
        <v>13693220</v>
      </c>
    </row>
    <row r="3721" spans="1:20" hidden="1" x14ac:dyDescent="0.3">
      <c r="A3721" t="s">
        <v>5574</v>
      </c>
      <c r="B3721" t="s">
        <v>131</v>
      </c>
      <c r="C3721" t="s">
        <v>140</v>
      </c>
      <c r="D3721" t="s">
        <v>5570</v>
      </c>
      <c r="E3721" t="s">
        <v>161</v>
      </c>
      <c r="F3721" t="s">
        <v>5575</v>
      </c>
      <c r="G3721" t="s">
        <v>163</v>
      </c>
      <c r="H3721" t="s">
        <v>41</v>
      </c>
      <c r="I3721">
        <v>1680</v>
      </c>
      <c r="J3721">
        <v>2184</v>
      </c>
      <c r="K3721">
        <v>2</v>
      </c>
      <c r="L3721">
        <v>3360</v>
      </c>
      <c r="M3721">
        <v>4368</v>
      </c>
      <c r="N3721" t="s">
        <v>28</v>
      </c>
      <c r="O3721">
        <f t="shared" si="116"/>
        <v>13650</v>
      </c>
      <c r="P3721" s="13">
        <f t="shared" si="117"/>
        <v>2058264</v>
      </c>
      <c r="Q3721" s="13">
        <f>SUMIFS(M:M,E:E,Online_eCommerce[[#This Row],[Status]])</f>
        <v>21103186</v>
      </c>
      <c r="R3721" s="13">
        <f>SUMIFS(L:L,H:H,Online_eCommerce[[#This Row],[Brand]])</f>
        <v>4260400</v>
      </c>
      <c r="S3721" s="13">
        <f>SUMIF(H:H,Online_eCommerce[[#This Row],[Brand]],M:M)</f>
        <v>5538520</v>
      </c>
      <c r="T3721" s="13">
        <f>SUMIF(N:N,Online_eCommerce[[#This Row],[Assigned Supervisor]],L:L)</f>
        <v>12220830</v>
      </c>
    </row>
    <row r="3722" spans="1:20" x14ac:dyDescent="0.3">
      <c r="A3722" t="s">
        <v>5576</v>
      </c>
      <c r="B3722" t="s">
        <v>135</v>
      </c>
      <c r="C3722" t="s">
        <v>145</v>
      </c>
      <c r="D3722" t="s">
        <v>5570</v>
      </c>
      <c r="E3722" t="s">
        <v>46</v>
      </c>
      <c r="F3722" t="s">
        <v>101</v>
      </c>
      <c r="G3722" t="s">
        <v>66</v>
      </c>
      <c r="H3722" t="s">
        <v>102</v>
      </c>
      <c r="I3722">
        <v>6540</v>
      </c>
      <c r="J3722">
        <v>8502</v>
      </c>
      <c r="K3722">
        <v>1</v>
      </c>
      <c r="L3722">
        <v>6540</v>
      </c>
      <c r="M3722">
        <v>8502</v>
      </c>
      <c r="N3722" t="s">
        <v>35</v>
      </c>
      <c r="O3722">
        <f t="shared" si="116"/>
        <v>1690</v>
      </c>
      <c r="P3722" s="13">
        <f t="shared" si="117"/>
        <v>2757859</v>
      </c>
      <c r="Q3722" s="13">
        <f>SUMIFS(M:M,E:E,Online_eCommerce[[#This Row],[Status]])</f>
        <v>28620410</v>
      </c>
      <c r="R3722" s="13">
        <f>SUMIFS(L:L,H:H,Online_eCommerce[[#This Row],[Brand]])</f>
        <v>2465580</v>
      </c>
      <c r="S3722" s="13">
        <f>SUMIF(H:H,Online_eCommerce[[#This Row],[Brand]],M:M)</f>
        <v>3205254</v>
      </c>
      <c r="T3722" s="13">
        <f>SUMIF(N:N,Online_eCommerce[[#This Row],[Assigned Supervisor]],L:L)</f>
        <v>14373360</v>
      </c>
    </row>
    <row r="3723" spans="1:20" hidden="1" x14ac:dyDescent="0.3">
      <c r="A3723" t="s">
        <v>5577</v>
      </c>
      <c r="B3723" t="s">
        <v>139</v>
      </c>
      <c r="C3723" t="s">
        <v>150</v>
      </c>
      <c r="D3723" t="s">
        <v>5570</v>
      </c>
      <c r="E3723" t="s">
        <v>96</v>
      </c>
      <c r="F3723" t="s">
        <v>107</v>
      </c>
      <c r="G3723" t="s">
        <v>54</v>
      </c>
      <c r="H3723" t="s">
        <v>55</v>
      </c>
      <c r="I3723">
        <v>2680</v>
      </c>
      <c r="J3723">
        <v>3484</v>
      </c>
      <c r="K3723">
        <v>4</v>
      </c>
      <c r="L3723">
        <v>10720</v>
      </c>
      <c r="M3723">
        <v>13936</v>
      </c>
      <c r="N3723" t="s">
        <v>42</v>
      </c>
      <c r="O3723">
        <f t="shared" si="116"/>
        <v>2990</v>
      </c>
      <c r="P3723" s="13">
        <f t="shared" si="117"/>
        <v>2154984</v>
      </c>
      <c r="Q3723" s="13">
        <f>SUMIFS(M:M,E:E,Online_eCommerce[[#This Row],[Status]])</f>
        <v>21233992</v>
      </c>
      <c r="R3723" s="13">
        <f>SUMIFS(L:L,H:H,Online_eCommerce[[#This Row],[Brand]])</f>
        <v>2267380</v>
      </c>
      <c r="S3723" s="13">
        <f>SUMIF(H:H,Online_eCommerce[[#This Row],[Brand]],M:M)</f>
        <v>2947594</v>
      </c>
      <c r="T3723" s="13">
        <f>SUMIF(N:N,Online_eCommerce[[#This Row],[Assigned Supervisor]],L:L)</f>
        <v>12261500</v>
      </c>
    </row>
    <row r="3724" spans="1:20" hidden="1" x14ac:dyDescent="0.3">
      <c r="A3724" t="s">
        <v>5578</v>
      </c>
      <c r="B3724" t="s">
        <v>144</v>
      </c>
      <c r="C3724" t="s">
        <v>155</v>
      </c>
      <c r="D3724" t="s">
        <v>5570</v>
      </c>
      <c r="E3724" t="s">
        <v>18</v>
      </c>
      <c r="F3724" t="s">
        <v>112</v>
      </c>
      <c r="G3724" t="s">
        <v>71</v>
      </c>
      <c r="H3724" t="s">
        <v>21</v>
      </c>
      <c r="I3724">
        <v>8250</v>
      </c>
      <c r="J3724">
        <v>10725</v>
      </c>
      <c r="K3724">
        <v>1</v>
      </c>
      <c r="L3724">
        <v>8250</v>
      </c>
      <c r="M3724">
        <v>10725</v>
      </c>
      <c r="N3724" t="s">
        <v>50</v>
      </c>
      <c r="O3724">
        <f t="shared" si="116"/>
        <v>9750</v>
      </c>
      <c r="P3724" s="13">
        <f t="shared" si="117"/>
        <v>2753348</v>
      </c>
      <c r="Q3724" s="13">
        <f>SUMIFS(M:M,E:E,Online_eCommerce[[#This Row],[Status]])</f>
        <v>28340455</v>
      </c>
      <c r="R3724" s="13">
        <f>SUMIFS(L:L,H:H,Online_eCommerce[[#This Row],[Brand]])</f>
        <v>12435650</v>
      </c>
      <c r="S3724" s="13">
        <f>SUMIF(H:H,Online_eCommerce[[#This Row],[Brand]],M:M)</f>
        <v>16166345</v>
      </c>
      <c r="T3724" s="13">
        <f>SUMIF(N:N,Online_eCommerce[[#This Row],[Assigned Supervisor]],L:L)</f>
        <v>12100590</v>
      </c>
    </row>
    <row r="3725" spans="1:20" hidden="1" x14ac:dyDescent="0.3">
      <c r="A3725" t="s">
        <v>5579</v>
      </c>
      <c r="B3725" t="s">
        <v>149</v>
      </c>
      <c r="C3725" t="s">
        <v>160</v>
      </c>
      <c r="D3725" t="s">
        <v>5570</v>
      </c>
      <c r="E3725" t="s">
        <v>161</v>
      </c>
      <c r="F3725" t="s">
        <v>5188</v>
      </c>
      <c r="G3725" t="s">
        <v>40</v>
      </c>
      <c r="H3725" t="s">
        <v>21</v>
      </c>
      <c r="I3725">
        <v>2650</v>
      </c>
      <c r="J3725">
        <v>3445</v>
      </c>
      <c r="K3725">
        <v>2</v>
      </c>
      <c r="L3725">
        <v>5300</v>
      </c>
      <c r="M3725">
        <v>6890</v>
      </c>
      <c r="N3725" t="s">
        <v>56</v>
      </c>
      <c r="O3725">
        <f t="shared" si="116"/>
        <v>25545</v>
      </c>
      <c r="P3725" s="13">
        <f t="shared" si="117"/>
        <v>2303483</v>
      </c>
      <c r="Q3725" s="13">
        <f>SUMIFS(M:M,E:E,Online_eCommerce[[#This Row],[Status]])</f>
        <v>21103186</v>
      </c>
      <c r="R3725" s="13">
        <f>SUMIFS(L:L,H:H,Online_eCommerce[[#This Row],[Brand]])</f>
        <v>12435650</v>
      </c>
      <c r="S3725" s="13">
        <f>SUMIF(H:H,Online_eCommerce[[#This Row],[Brand]],M:M)</f>
        <v>16166345</v>
      </c>
      <c r="T3725" s="13">
        <f>SUMIF(N:N,Online_eCommerce[[#This Row],[Assigned Supervisor]],L:L)</f>
        <v>11733610</v>
      </c>
    </row>
    <row r="3726" spans="1:20" x14ac:dyDescent="0.3">
      <c r="A3726" t="s">
        <v>5580</v>
      </c>
      <c r="B3726" t="s">
        <v>154</v>
      </c>
      <c r="C3726" t="s">
        <v>165</v>
      </c>
      <c r="D3726" t="s">
        <v>5570</v>
      </c>
      <c r="E3726" t="s">
        <v>46</v>
      </c>
      <c r="F3726" t="s">
        <v>121</v>
      </c>
      <c r="G3726" t="s">
        <v>71</v>
      </c>
      <c r="H3726" t="s">
        <v>122</v>
      </c>
      <c r="I3726">
        <v>12550</v>
      </c>
      <c r="J3726">
        <v>16315</v>
      </c>
      <c r="K3726">
        <v>2</v>
      </c>
      <c r="L3726">
        <v>25100</v>
      </c>
      <c r="M3726">
        <v>32630</v>
      </c>
      <c r="N3726" t="s">
        <v>22</v>
      </c>
      <c r="O3726">
        <f t="shared" si="116"/>
        <v>9750</v>
      </c>
      <c r="P3726" s="13">
        <f t="shared" si="117"/>
        <v>2674087</v>
      </c>
      <c r="Q3726" s="13">
        <f>SUMIFS(M:M,E:E,Online_eCommerce[[#This Row],[Status]])</f>
        <v>28620410</v>
      </c>
      <c r="R3726" s="13">
        <f>SUMIFS(L:L,H:H,Online_eCommerce[[#This Row],[Brand]])</f>
        <v>5045100</v>
      </c>
      <c r="S3726" s="13">
        <f>SUMIF(H:H,Online_eCommerce[[#This Row],[Brand]],M:M)</f>
        <v>6558630</v>
      </c>
      <c r="T3726" s="13">
        <f>SUMIF(N:N,Online_eCommerce[[#This Row],[Assigned Supervisor]],L:L)</f>
        <v>13693220</v>
      </c>
    </row>
    <row r="3727" spans="1:20" hidden="1" x14ac:dyDescent="0.3">
      <c r="A3727" t="s">
        <v>5581</v>
      </c>
      <c r="B3727" t="s">
        <v>159</v>
      </c>
      <c r="C3727" t="s">
        <v>168</v>
      </c>
      <c r="D3727" t="s">
        <v>5570</v>
      </c>
      <c r="E3727" t="s">
        <v>96</v>
      </c>
      <c r="F3727" t="s">
        <v>126</v>
      </c>
      <c r="G3727" t="s">
        <v>26</v>
      </c>
      <c r="H3727" t="s">
        <v>27</v>
      </c>
      <c r="I3727">
        <v>14500</v>
      </c>
      <c r="J3727">
        <v>18850</v>
      </c>
      <c r="K3727">
        <v>3</v>
      </c>
      <c r="L3727">
        <v>43500</v>
      </c>
      <c r="M3727">
        <v>56550</v>
      </c>
      <c r="N3727" t="s">
        <v>28</v>
      </c>
      <c r="O3727">
        <f t="shared" si="116"/>
        <v>33150</v>
      </c>
      <c r="P3727" s="13">
        <f t="shared" si="117"/>
        <v>1937780</v>
      </c>
      <c r="Q3727" s="13">
        <f>SUMIFS(M:M,E:E,Online_eCommerce[[#This Row],[Status]])</f>
        <v>21233992</v>
      </c>
      <c r="R3727" s="13">
        <f>SUMIFS(L:L,H:H,Online_eCommerce[[#This Row],[Brand]])</f>
        <v>14431000</v>
      </c>
      <c r="S3727" s="13">
        <f>SUMIF(H:H,Online_eCommerce[[#This Row],[Brand]],M:M)</f>
        <v>18760300</v>
      </c>
      <c r="T3727" s="13">
        <f>SUMIF(N:N,Online_eCommerce[[#This Row],[Assigned Supervisor]],L:L)</f>
        <v>12220830</v>
      </c>
    </row>
    <row r="3728" spans="1:20" hidden="1" x14ac:dyDescent="0.3">
      <c r="A3728" t="s">
        <v>5582</v>
      </c>
      <c r="B3728" t="s">
        <v>139</v>
      </c>
      <c r="C3728" t="s">
        <v>172</v>
      </c>
      <c r="D3728" t="s">
        <v>5570</v>
      </c>
      <c r="E3728" t="s">
        <v>18</v>
      </c>
      <c r="F3728" t="s">
        <v>129</v>
      </c>
      <c r="G3728" t="s">
        <v>60</v>
      </c>
      <c r="H3728" t="s">
        <v>61</v>
      </c>
      <c r="I3728">
        <v>800</v>
      </c>
      <c r="J3728">
        <v>1040</v>
      </c>
      <c r="K3728">
        <v>1</v>
      </c>
      <c r="L3728">
        <v>800</v>
      </c>
      <c r="M3728">
        <v>1040</v>
      </c>
      <c r="N3728" t="s">
        <v>35</v>
      </c>
      <c r="O3728">
        <f t="shared" si="116"/>
        <v>3315</v>
      </c>
      <c r="P3728" s="13">
        <f t="shared" si="117"/>
        <v>2640274</v>
      </c>
      <c r="Q3728" s="13">
        <f>SUMIFS(M:M,E:E,Online_eCommerce[[#This Row],[Status]])</f>
        <v>28340455</v>
      </c>
      <c r="R3728" s="13">
        <f>SUMIFS(L:L,H:H,Online_eCommerce[[#This Row],[Brand]])</f>
        <v>10950150</v>
      </c>
      <c r="S3728" s="13">
        <f>SUMIF(H:H,Online_eCommerce[[#This Row],[Brand]],M:M)</f>
        <v>14235195</v>
      </c>
      <c r="T3728" s="13">
        <f>SUMIF(N:N,Online_eCommerce[[#This Row],[Assigned Supervisor]],L:L)</f>
        <v>14373360</v>
      </c>
    </row>
    <row r="3729" spans="1:20" hidden="1" x14ac:dyDescent="0.3">
      <c r="A3729" t="s">
        <v>5583</v>
      </c>
      <c r="B3729" t="s">
        <v>144</v>
      </c>
      <c r="C3729" t="s">
        <v>177</v>
      </c>
      <c r="D3729" t="s">
        <v>5570</v>
      </c>
      <c r="E3729" t="s">
        <v>161</v>
      </c>
      <c r="F3729" t="s">
        <v>133</v>
      </c>
      <c r="G3729" t="s">
        <v>66</v>
      </c>
      <c r="H3729" t="s">
        <v>21</v>
      </c>
      <c r="I3729">
        <v>600</v>
      </c>
      <c r="J3729">
        <v>780</v>
      </c>
      <c r="K3729">
        <v>3</v>
      </c>
      <c r="L3729">
        <v>1800</v>
      </c>
      <c r="M3729">
        <v>2340</v>
      </c>
      <c r="N3729" t="s">
        <v>42</v>
      </c>
      <c r="O3729">
        <f t="shared" si="116"/>
        <v>1690</v>
      </c>
      <c r="P3729" s="13">
        <f t="shared" si="117"/>
        <v>1863810</v>
      </c>
      <c r="Q3729" s="13">
        <f>SUMIFS(M:M,E:E,Online_eCommerce[[#This Row],[Status]])</f>
        <v>21103186</v>
      </c>
      <c r="R3729" s="13">
        <f>SUMIFS(L:L,H:H,Online_eCommerce[[#This Row],[Brand]])</f>
        <v>12435650</v>
      </c>
      <c r="S3729" s="13">
        <f>SUMIF(H:H,Online_eCommerce[[#This Row],[Brand]],M:M)</f>
        <v>16166345</v>
      </c>
      <c r="T3729" s="13">
        <f>SUMIF(N:N,Online_eCommerce[[#This Row],[Assigned Supervisor]],L:L)</f>
        <v>12261500</v>
      </c>
    </row>
    <row r="3730" spans="1:20" x14ac:dyDescent="0.3">
      <c r="A3730" t="s">
        <v>5584</v>
      </c>
      <c r="B3730" t="s">
        <v>235</v>
      </c>
      <c r="C3730" t="s">
        <v>181</v>
      </c>
      <c r="D3730" t="s">
        <v>5570</v>
      </c>
      <c r="E3730" t="s">
        <v>46</v>
      </c>
      <c r="F3730" t="s">
        <v>137</v>
      </c>
      <c r="G3730" t="s">
        <v>71</v>
      </c>
      <c r="H3730" t="s">
        <v>61</v>
      </c>
      <c r="I3730">
        <v>10500</v>
      </c>
      <c r="J3730">
        <v>13650</v>
      </c>
      <c r="K3730">
        <v>1</v>
      </c>
      <c r="L3730">
        <v>10500</v>
      </c>
      <c r="M3730">
        <v>13650</v>
      </c>
      <c r="N3730" t="s">
        <v>50</v>
      </c>
      <c r="O3730">
        <f t="shared" si="116"/>
        <v>9750</v>
      </c>
      <c r="P3730" s="13">
        <f t="shared" si="117"/>
        <v>2577458</v>
      </c>
      <c r="Q3730" s="13">
        <f>SUMIFS(M:M,E:E,Online_eCommerce[[#This Row],[Status]])</f>
        <v>28620410</v>
      </c>
      <c r="R3730" s="13">
        <f>SUMIFS(L:L,H:H,Online_eCommerce[[#This Row],[Brand]])</f>
        <v>10950150</v>
      </c>
      <c r="S3730" s="13">
        <f>SUMIF(H:H,Online_eCommerce[[#This Row],[Brand]],M:M)</f>
        <v>14235195</v>
      </c>
      <c r="T3730" s="13">
        <f>SUMIF(N:N,Online_eCommerce[[#This Row],[Assigned Supervisor]],L:L)</f>
        <v>12100590</v>
      </c>
    </row>
    <row r="3731" spans="1:20" hidden="1" x14ac:dyDescent="0.3">
      <c r="A3731" t="s">
        <v>5585</v>
      </c>
      <c r="B3731" t="s">
        <v>176</v>
      </c>
      <c r="C3731" t="s">
        <v>185</v>
      </c>
      <c r="D3731" t="s">
        <v>5570</v>
      </c>
      <c r="E3731" t="s">
        <v>96</v>
      </c>
      <c r="F3731" t="s">
        <v>5555</v>
      </c>
      <c r="G3731" t="s">
        <v>77</v>
      </c>
      <c r="H3731" t="s">
        <v>142</v>
      </c>
      <c r="I3731">
        <v>6500</v>
      </c>
      <c r="J3731">
        <v>8450</v>
      </c>
      <c r="K3731">
        <v>3</v>
      </c>
      <c r="L3731">
        <v>19500</v>
      </c>
      <c r="M3731">
        <v>25350</v>
      </c>
      <c r="N3731" t="s">
        <v>56</v>
      </c>
      <c r="O3731">
        <f t="shared" si="116"/>
        <v>39000</v>
      </c>
      <c r="P3731" s="13">
        <f t="shared" si="117"/>
        <v>2091596</v>
      </c>
      <c r="Q3731" s="13">
        <f>SUMIFS(M:M,E:E,Online_eCommerce[[#This Row],[Status]])</f>
        <v>21233992</v>
      </c>
      <c r="R3731" s="13">
        <f>SUMIFS(L:L,H:H,Online_eCommerce[[#This Row],[Brand]])</f>
        <v>6192500</v>
      </c>
      <c r="S3731" s="13">
        <f>SUMIF(H:H,Online_eCommerce[[#This Row],[Brand]],M:M)</f>
        <v>8050250</v>
      </c>
      <c r="T3731" s="13">
        <f>SUMIF(N:N,Online_eCommerce[[#This Row],[Assigned Supervisor]],L:L)</f>
        <v>11733610</v>
      </c>
    </row>
    <row r="3732" spans="1:20" hidden="1" x14ac:dyDescent="0.3">
      <c r="A3732" t="s">
        <v>5586</v>
      </c>
      <c r="B3732" t="s">
        <v>276</v>
      </c>
      <c r="C3732" t="s">
        <v>189</v>
      </c>
      <c r="D3732" t="s">
        <v>5570</v>
      </c>
      <c r="E3732" t="s">
        <v>18</v>
      </c>
      <c r="F3732" t="s">
        <v>5587</v>
      </c>
      <c r="G3732" t="s">
        <v>20</v>
      </c>
      <c r="H3732" t="s">
        <v>21</v>
      </c>
      <c r="I3732">
        <v>4500</v>
      </c>
      <c r="J3732">
        <v>5850</v>
      </c>
      <c r="K3732">
        <v>3</v>
      </c>
      <c r="L3732">
        <v>13500</v>
      </c>
      <c r="M3732">
        <v>17550</v>
      </c>
      <c r="N3732" t="s">
        <v>22</v>
      </c>
      <c r="O3732">
        <f t="shared" si="116"/>
        <v>8450</v>
      </c>
      <c r="P3732" s="13">
        <f t="shared" si="117"/>
        <v>2740777</v>
      </c>
      <c r="Q3732" s="13">
        <f>SUMIFS(M:M,E:E,Online_eCommerce[[#This Row],[Status]])</f>
        <v>28340455</v>
      </c>
      <c r="R3732" s="13">
        <f>SUMIFS(L:L,H:H,Online_eCommerce[[#This Row],[Brand]])</f>
        <v>12435650</v>
      </c>
      <c r="S3732" s="13">
        <f>SUMIF(H:H,Online_eCommerce[[#This Row],[Brand]],M:M)</f>
        <v>16166345</v>
      </c>
      <c r="T3732" s="13">
        <f>SUMIF(N:N,Online_eCommerce[[#This Row],[Assigned Supervisor]],L:L)</f>
        <v>13693220</v>
      </c>
    </row>
    <row r="3733" spans="1:20" hidden="1" x14ac:dyDescent="0.3">
      <c r="A3733" t="s">
        <v>5588</v>
      </c>
      <c r="B3733" t="s">
        <v>280</v>
      </c>
      <c r="C3733" t="s">
        <v>193</v>
      </c>
      <c r="D3733" t="s">
        <v>5570</v>
      </c>
      <c r="E3733" t="s">
        <v>161</v>
      </c>
      <c r="F3733" t="s">
        <v>152</v>
      </c>
      <c r="G3733" t="s">
        <v>26</v>
      </c>
      <c r="H3733" t="s">
        <v>27</v>
      </c>
      <c r="I3733">
        <v>8500</v>
      </c>
      <c r="J3733">
        <v>11050</v>
      </c>
      <c r="K3733">
        <v>2</v>
      </c>
      <c r="L3733">
        <v>17000</v>
      </c>
      <c r="M3733">
        <v>22100</v>
      </c>
      <c r="N3733" t="s">
        <v>28</v>
      </c>
      <c r="O3733">
        <f t="shared" si="116"/>
        <v>33150</v>
      </c>
      <c r="P3733" s="13">
        <f t="shared" si="117"/>
        <v>2074774</v>
      </c>
      <c r="Q3733" s="13">
        <f>SUMIFS(M:M,E:E,Online_eCommerce[[#This Row],[Status]])</f>
        <v>21103186</v>
      </c>
      <c r="R3733" s="13">
        <f>SUMIFS(L:L,H:H,Online_eCommerce[[#This Row],[Brand]])</f>
        <v>14431000</v>
      </c>
      <c r="S3733" s="13">
        <f>SUMIF(H:H,Online_eCommerce[[#This Row],[Brand]],M:M)</f>
        <v>18760300</v>
      </c>
      <c r="T3733" s="13">
        <f>SUMIF(N:N,Online_eCommerce[[#This Row],[Assigned Supervisor]],L:L)</f>
        <v>12220830</v>
      </c>
    </row>
    <row r="3734" spans="1:20" x14ac:dyDescent="0.3">
      <c r="A3734" t="s">
        <v>5589</v>
      </c>
      <c r="B3734" t="s">
        <v>283</v>
      </c>
      <c r="C3734" t="s">
        <v>197</v>
      </c>
      <c r="D3734" t="s">
        <v>5570</v>
      </c>
      <c r="E3734" t="s">
        <v>46</v>
      </c>
      <c r="F3734" t="s">
        <v>157</v>
      </c>
      <c r="G3734" t="s">
        <v>33</v>
      </c>
      <c r="H3734" t="s">
        <v>34</v>
      </c>
      <c r="I3734">
        <v>12500</v>
      </c>
      <c r="J3734">
        <v>16250</v>
      </c>
      <c r="K3734">
        <v>4</v>
      </c>
      <c r="L3734">
        <v>50000</v>
      </c>
      <c r="M3734">
        <v>65000</v>
      </c>
      <c r="N3734" t="s">
        <v>35</v>
      </c>
      <c r="O3734">
        <f t="shared" si="116"/>
        <v>18200</v>
      </c>
      <c r="P3734" s="13">
        <f t="shared" si="117"/>
        <v>2829840</v>
      </c>
      <c r="Q3734" s="13">
        <f>SUMIFS(M:M,E:E,Online_eCommerce[[#This Row],[Status]])</f>
        <v>28620410</v>
      </c>
      <c r="R3734" s="13">
        <f>SUMIFS(L:L,H:H,Online_eCommerce[[#This Row],[Brand]])</f>
        <v>10087000</v>
      </c>
      <c r="S3734" s="13">
        <f>SUMIF(H:H,Online_eCommerce[[#This Row],[Brand]],M:M)</f>
        <v>13113100</v>
      </c>
      <c r="T3734" s="13">
        <f>SUMIF(N:N,Online_eCommerce[[#This Row],[Assigned Supervisor]],L:L)</f>
        <v>14373360</v>
      </c>
    </row>
    <row r="3735" spans="1:20" hidden="1" x14ac:dyDescent="0.3">
      <c r="A3735" t="s">
        <v>5590</v>
      </c>
      <c r="B3735" t="s">
        <v>287</v>
      </c>
      <c r="C3735" t="s">
        <v>199</v>
      </c>
      <c r="D3735" t="s">
        <v>5570</v>
      </c>
      <c r="E3735" t="s">
        <v>96</v>
      </c>
      <c r="F3735" t="s">
        <v>5249</v>
      </c>
      <c r="G3735" t="s">
        <v>256</v>
      </c>
      <c r="H3735" t="s">
        <v>41</v>
      </c>
      <c r="I3735">
        <v>3500</v>
      </c>
      <c r="J3735">
        <v>4550</v>
      </c>
      <c r="K3735">
        <v>3</v>
      </c>
      <c r="L3735">
        <v>10500</v>
      </c>
      <c r="M3735">
        <v>13650</v>
      </c>
      <c r="N3735" t="s">
        <v>42</v>
      </c>
      <c r="O3735">
        <f t="shared" si="116"/>
        <v>9100</v>
      </c>
      <c r="P3735" s="13">
        <f t="shared" si="117"/>
        <v>1947361</v>
      </c>
      <c r="Q3735" s="13">
        <f>SUMIFS(M:M,E:E,Online_eCommerce[[#This Row],[Status]])</f>
        <v>21233992</v>
      </c>
      <c r="R3735" s="13">
        <f>SUMIFS(L:L,H:H,Online_eCommerce[[#This Row],[Brand]])</f>
        <v>4260400</v>
      </c>
      <c r="S3735" s="13">
        <f>SUMIF(H:H,Online_eCommerce[[#This Row],[Brand]],M:M)</f>
        <v>5538520</v>
      </c>
      <c r="T3735" s="13">
        <f>SUMIF(N:N,Online_eCommerce[[#This Row],[Assigned Supervisor]],L:L)</f>
        <v>12261500</v>
      </c>
    </row>
    <row r="3736" spans="1:20" hidden="1" x14ac:dyDescent="0.3">
      <c r="A3736" t="s">
        <v>5591</v>
      </c>
      <c r="B3736" t="s">
        <v>290</v>
      </c>
      <c r="C3736" t="s">
        <v>203</v>
      </c>
      <c r="D3736" t="s">
        <v>5570</v>
      </c>
      <c r="E3736" t="s">
        <v>18</v>
      </c>
      <c r="F3736" t="s">
        <v>166</v>
      </c>
      <c r="G3736" t="s">
        <v>259</v>
      </c>
      <c r="H3736" t="s">
        <v>49</v>
      </c>
      <c r="I3736">
        <v>4500</v>
      </c>
      <c r="J3736">
        <v>5850</v>
      </c>
      <c r="K3736">
        <v>1</v>
      </c>
      <c r="L3736">
        <v>4500</v>
      </c>
      <c r="M3736">
        <v>5850</v>
      </c>
      <c r="N3736" t="s">
        <v>50</v>
      </c>
      <c r="O3736">
        <f t="shared" si="116"/>
        <v>11700</v>
      </c>
      <c r="P3736" s="13">
        <f t="shared" si="117"/>
        <v>2559635</v>
      </c>
      <c r="Q3736" s="13">
        <f>SUMIFS(M:M,E:E,Online_eCommerce[[#This Row],[Status]])</f>
        <v>28340455</v>
      </c>
      <c r="R3736" s="13">
        <f>SUMIFS(L:L,H:H,Online_eCommerce[[#This Row],[Brand]])</f>
        <v>4528350</v>
      </c>
      <c r="S3736" s="13">
        <f>SUMIF(H:H,Online_eCommerce[[#This Row],[Brand]],M:M)</f>
        <v>5886855</v>
      </c>
      <c r="T3736" s="13">
        <f>SUMIF(N:N,Online_eCommerce[[#This Row],[Assigned Supervisor]],L:L)</f>
        <v>12100590</v>
      </c>
    </row>
    <row r="3737" spans="1:20" hidden="1" x14ac:dyDescent="0.3">
      <c r="A3737" t="s">
        <v>5592</v>
      </c>
      <c r="B3737" t="s">
        <v>15</v>
      </c>
      <c r="C3737" t="s">
        <v>205</v>
      </c>
      <c r="D3737" t="s">
        <v>5570</v>
      </c>
      <c r="E3737" t="s">
        <v>161</v>
      </c>
      <c r="F3737" t="s">
        <v>5593</v>
      </c>
      <c r="G3737" t="s">
        <v>54</v>
      </c>
      <c r="H3737" t="s">
        <v>55</v>
      </c>
      <c r="I3737">
        <v>2100</v>
      </c>
      <c r="J3737">
        <v>2730</v>
      </c>
      <c r="K3737">
        <v>3</v>
      </c>
      <c r="L3737">
        <v>6300</v>
      </c>
      <c r="M3737">
        <v>8190</v>
      </c>
      <c r="N3737" t="s">
        <v>56</v>
      </c>
      <c r="O3737">
        <f t="shared" si="116"/>
        <v>2990</v>
      </c>
      <c r="P3737" s="13">
        <f t="shared" si="117"/>
        <v>1983254</v>
      </c>
      <c r="Q3737" s="13">
        <f>SUMIFS(M:M,E:E,Online_eCommerce[[#This Row],[Status]])</f>
        <v>21103186</v>
      </c>
      <c r="R3737" s="13">
        <f>SUMIFS(L:L,H:H,Online_eCommerce[[#This Row],[Brand]])</f>
        <v>2267380</v>
      </c>
      <c r="S3737" s="13">
        <f>SUMIF(H:H,Online_eCommerce[[#This Row],[Brand]],M:M)</f>
        <v>2947594</v>
      </c>
      <c r="T3737" s="13">
        <f>SUMIF(N:N,Online_eCommerce[[#This Row],[Assigned Supervisor]],L:L)</f>
        <v>11733610</v>
      </c>
    </row>
    <row r="3738" spans="1:20" x14ac:dyDescent="0.3">
      <c r="A3738" t="s">
        <v>5594</v>
      </c>
      <c r="B3738" t="s">
        <v>202</v>
      </c>
      <c r="C3738" t="s">
        <v>208</v>
      </c>
      <c r="D3738" t="s">
        <v>5570</v>
      </c>
      <c r="E3738" t="s">
        <v>46</v>
      </c>
      <c r="F3738" t="s">
        <v>174</v>
      </c>
      <c r="G3738" t="s">
        <v>60</v>
      </c>
      <c r="H3738" t="s">
        <v>61</v>
      </c>
      <c r="I3738">
        <v>1150</v>
      </c>
      <c r="J3738">
        <v>1495</v>
      </c>
      <c r="K3738">
        <v>3</v>
      </c>
      <c r="L3738">
        <v>3450</v>
      </c>
      <c r="M3738">
        <v>4485</v>
      </c>
      <c r="N3738" t="s">
        <v>22</v>
      </c>
      <c r="O3738">
        <f t="shared" si="116"/>
        <v>3315</v>
      </c>
      <c r="P3738" s="13">
        <f t="shared" si="117"/>
        <v>2746575</v>
      </c>
      <c r="Q3738" s="13">
        <f>SUMIFS(M:M,E:E,Online_eCommerce[[#This Row],[Status]])</f>
        <v>28620410</v>
      </c>
      <c r="R3738" s="13">
        <f>SUMIFS(L:L,H:H,Online_eCommerce[[#This Row],[Brand]])</f>
        <v>10950150</v>
      </c>
      <c r="S3738" s="13">
        <f>SUMIF(H:H,Online_eCommerce[[#This Row],[Brand]],M:M)</f>
        <v>14235195</v>
      </c>
      <c r="T3738" s="13">
        <f>SUMIF(N:N,Online_eCommerce[[#This Row],[Assigned Supervisor]],L:L)</f>
        <v>13693220</v>
      </c>
    </row>
    <row r="3739" spans="1:20" hidden="1" x14ac:dyDescent="0.3">
      <c r="A3739" t="s">
        <v>5595</v>
      </c>
      <c r="B3739" t="s">
        <v>30</v>
      </c>
      <c r="C3739" t="s">
        <v>211</v>
      </c>
      <c r="D3739" t="s">
        <v>5570</v>
      </c>
      <c r="E3739" t="s">
        <v>96</v>
      </c>
      <c r="F3739" t="s">
        <v>179</v>
      </c>
      <c r="G3739" t="s">
        <v>66</v>
      </c>
      <c r="H3739" t="s">
        <v>21</v>
      </c>
      <c r="I3739">
        <v>350</v>
      </c>
      <c r="J3739">
        <v>455</v>
      </c>
      <c r="K3739">
        <v>1</v>
      </c>
      <c r="L3739">
        <v>350</v>
      </c>
      <c r="M3739">
        <v>455</v>
      </c>
      <c r="N3739" t="s">
        <v>28</v>
      </c>
      <c r="O3739">
        <f t="shared" si="116"/>
        <v>1690</v>
      </c>
      <c r="P3739" s="13">
        <f t="shared" si="117"/>
        <v>1809847</v>
      </c>
      <c r="Q3739" s="13">
        <f>SUMIFS(M:M,E:E,Online_eCommerce[[#This Row],[Status]])</f>
        <v>21233992</v>
      </c>
      <c r="R3739" s="13">
        <f>SUMIFS(L:L,H:H,Online_eCommerce[[#This Row],[Brand]])</f>
        <v>12435650</v>
      </c>
      <c r="S3739" s="13">
        <f>SUMIF(H:H,Online_eCommerce[[#This Row],[Brand]],M:M)</f>
        <v>16166345</v>
      </c>
      <c r="T3739" s="13">
        <f>SUMIF(N:N,Online_eCommerce[[#This Row],[Assigned Supervisor]],L:L)</f>
        <v>12220830</v>
      </c>
    </row>
    <row r="3740" spans="1:20" hidden="1" x14ac:dyDescent="0.3">
      <c r="A3740" t="s">
        <v>5596</v>
      </c>
      <c r="B3740" t="s">
        <v>37</v>
      </c>
      <c r="C3740" t="s">
        <v>16</v>
      </c>
      <c r="D3740" t="s">
        <v>5570</v>
      </c>
      <c r="E3740" t="s">
        <v>18</v>
      </c>
      <c r="F3740" t="s">
        <v>183</v>
      </c>
      <c r="G3740" t="s">
        <v>71</v>
      </c>
      <c r="H3740" t="s">
        <v>61</v>
      </c>
      <c r="I3740">
        <v>9500</v>
      </c>
      <c r="J3740">
        <v>12350</v>
      </c>
      <c r="K3740">
        <v>1</v>
      </c>
      <c r="L3740">
        <v>9500</v>
      </c>
      <c r="M3740">
        <v>12350</v>
      </c>
      <c r="N3740" t="s">
        <v>35</v>
      </c>
      <c r="O3740">
        <f t="shared" si="116"/>
        <v>9750</v>
      </c>
      <c r="P3740" s="13">
        <f t="shared" si="117"/>
        <v>2751814</v>
      </c>
      <c r="Q3740" s="13">
        <f>SUMIFS(M:M,E:E,Online_eCommerce[[#This Row],[Status]])</f>
        <v>28340455</v>
      </c>
      <c r="R3740" s="13">
        <f>SUMIFS(L:L,H:H,Online_eCommerce[[#This Row],[Brand]])</f>
        <v>10950150</v>
      </c>
      <c r="S3740" s="13">
        <f>SUMIF(H:H,Online_eCommerce[[#This Row],[Brand]],M:M)</f>
        <v>14235195</v>
      </c>
      <c r="T3740" s="13">
        <f>SUMIF(N:N,Online_eCommerce[[#This Row],[Assigned Supervisor]],L:L)</f>
        <v>14373360</v>
      </c>
    </row>
    <row r="3741" spans="1:20" hidden="1" x14ac:dyDescent="0.3">
      <c r="A3741" t="s">
        <v>5597</v>
      </c>
      <c r="B3741" t="s">
        <v>44</v>
      </c>
      <c r="C3741" t="s">
        <v>24</v>
      </c>
      <c r="D3741" t="s">
        <v>5570</v>
      </c>
      <c r="E3741" t="s">
        <v>161</v>
      </c>
      <c r="F3741" t="s">
        <v>5598</v>
      </c>
      <c r="G3741" t="s">
        <v>77</v>
      </c>
      <c r="H3741" t="s">
        <v>142</v>
      </c>
      <c r="I3741">
        <v>10000</v>
      </c>
      <c r="J3741">
        <v>13000</v>
      </c>
      <c r="K3741">
        <v>3</v>
      </c>
      <c r="L3741">
        <v>30000</v>
      </c>
      <c r="M3741">
        <v>39000</v>
      </c>
      <c r="N3741" t="s">
        <v>42</v>
      </c>
      <c r="O3741">
        <f t="shared" si="116"/>
        <v>39000</v>
      </c>
      <c r="P3741" s="13">
        <f t="shared" si="117"/>
        <v>2009540</v>
      </c>
      <c r="Q3741" s="13">
        <f>SUMIFS(M:M,E:E,Online_eCommerce[[#This Row],[Status]])</f>
        <v>21103186</v>
      </c>
      <c r="R3741" s="13">
        <f>SUMIFS(L:L,H:H,Online_eCommerce[[#This Row],[Brand]])</f>
        <v>6192500</v>
      </c>
      <c r="S3741" s="13">
        <f>SUMIF(H:H,Online_eCommerce[[#This Row],[Brand]],M:M)</f>
        <v>8050250</v>
      </c>
      <c r="T3741" s="13">
        <f>SUMIF(N:N,Online_eCommerce[[#This Row],[Assigned Supervisor]],L:L)</f>
        <v>12261500</v>
      </c>
    </row>
    <row r="3742" spans="1:20" x14ac:dyDescent="0.3">
      <c r="A3742" t="s">
        <v>5599</v>
      </c>
      <c r="B3742" t="s">
        <v>213</v>
      </c>
      <c r="C3742" t="s">
        <v>31</v>
      </c>
      <c r="D3742" t="s">
        <v>5570</v>
      </c>
      <c r="E3742" t="s">
        <v>46</v>
      </c>
      <c r="F3742" t="s">
        <v>5600</v>
      </c>
      <c r="G3742" t="s">
        <v>20</v>
      </c>
      <c r="H3742" t="s">
        <v>21</v>
      </c>
      <c r="I3742">
        <v>6500</v>
      </c>
      <c r="J3742">
        <v>8450</v>
      </c>
      <c r="K3742">
        <v>3</v>
      </c>
      <c r="L3742">
        <v>19500</v>
      </c>
      <c r="M3742">
        <v>25350</v>
      </c>
      <c r="N3742" t="s">
        <v>50</v>
      </c>
      <c r="O3742">
        <f t="shared" si="116"/>
        <v>8450</v>
      </c>
      <c r="P3742" s="13">
        <f t="shared" si="117"/>
        <v>2865746</v>
      </c>
      <c r="Q3742" s="13">
        <f>SUMIFS(M:M,E:E,Online_eCommerce[[#This Row],[Status]])</f>
        <v>28620410</v>
      </c>
      <c r="R3742" s="13">
        <f>SUMIFS(L:L,H:H,Online_eCommerce[[#This Row],[Brand]])</f>
        <v>12435650</v>
      </c>
      <c r="S3742" s="13">
        <f>SUMIF(H:H,Online_eCommerce[[#This Row],[Brand]],M:M)</f>
        <v>16166345</v>
      </c>
      <c r="T3742" s="13">
        <f>SUMIF(N:N,Online_eCommerce[[#This Row],[Assigned Supervisor]],L:L)</f>
        <v>12100590</v>
      </c>
    </row>
    <row r="3743" spans="1:20" hidden="1" x14ac:dyDescent="0.3">
      <c r="A3743" t="s">
        <v>5601</v>
      </c>
      <c r="B3743" t="s">
        <v>215</v>
      </c>
      <c r="C3743" t="s">
        <v>38</v>
      </c>
      <c r="D3743" t="s">
        <v>5570</v>
      </c>
      <c r="E3743" t="s">
        <v>96</v>
      </c>
      <c r="F3743" t="s">
        <v>5602</v>
      </c>
      <c r="G3743" t="s">
        <v>26</v>
      </c>
      <c r="H3743" t="s">
        <v>27</v>
      </c>
      <c r="I3743">
        <v>8500</v>
      </c>
      <c r="J3743">
        <v>11050</v>
      </c>
      <c r="K3743">
        <v>1</v>
      </c>
      <c r="L3743">
        <v>8500</v>
      </c>
      <c r="M3743">
        <v>11050</v>
      </c>
      <c r="N3743" t="s">
        <v>56</v>
      </c>
      <c r="O3743">
        <f t="shared" si="116"/>
        <v>33150</v>
      </c>
      <c r="P3743" s="13">
        <f t="shared" si="117"/>
        <v>1933997</v>
      </c>
      <c r="Q3743" s="13">
        <f>SUMIFS(M:M,E:E,Online_eCommerce[[#This Row],[Status]])</f>
        <v>21233992</v>
      </c>
      <c r="R3743" s="13">
        <f>SUMIFS(L:L,H:H,Online_eCommerce[[#This Row],[Brand]])</f>
        <v>14431000</v>
      </c>
      <c r="S3743" s="13">
        <f>SUMIF(H:H,Online_eCommerce[[#This Row],[Brand]],M:M)</f>
        <v>18760300</v>
      </c>
      <c r="T3743" s="13">
        <f>SUMIF(N:N,Online_eCommerce[[#This Row],[Assigned Supervisor]],L:L)</f>
        <v>11733610</v>
      </c>
    </row>
    <row r="3744" spans="1:20" hidden="1" x14ac:dyDescent="0.3">
      <c r="A3744" t="s">
        <v>5603</v>
      </c>
      <c r="B3744" t="s">
        <v>306</v>
      </c>
      <c r="C3744" t="s">
        <v>45</v>
      </c>
      <c r="D3744" t="s">
        <v>5570</v>
      </c>
      <c r="E3744" t="s">
        <v>18</v>
      </c>
      <c r="F3744" t="s">
        <v>32</v>
      </c>
      <c r="G3744" t="s">
        <v>33</v>
      </c>
      <c r="H3744" t="s">
        <v>34</v>
      </c>
      <c r="I3744">
        <v>7000</v>
      </c>
      <c r="J3744">
        <v>9100</v>
      </c>
      <c r="K3744">
        <v>4</v>
      </c>
      <c r="L3744">
        <v>28000</v>
      </c>
      <c r="M3744">
        <v>36400</v>
      </c>
      <c r="N3744" t="s">
        <v>22</v>
      </c>
      <c r="O3744">
        <f t="shared" si="116"/>
        <v>18200</v>
      </c>
      <c r="P3744" s="13">
        <f t="shared" si="117"/>
        <v>2842554</v>
      </c>
      <c r="Q3744" s="13">
        <f>SUMIFS(M:M,E:E,Online_eCommerce[[#This Row],[Status]])</f>
        <v>28340455</v>
      </c>
      <c r="R3744" s="13">
        <f>SUMIFS(L:L,H:H,Online_eCommerce[[#This Row],[Brand]])</f>
        <v>10087000</v>
      </c>
      <c r="S3744" s="13">
        <f>SUMIF(H:H,Online_eCommerce[[#This Row],[Brand]],M:M)</f>
        <v>13113100</v>
      </c>
      <c r="T3744" s="13">
        <f>SUMIF(N:N,Online_eCommerce[[#This Row],[Assigned Supervisor]],L:L)</f>
        <v>13693220</v>
      </c>
    </row>
    <row r="3745" spans="1:20" hidden="1" x14ac:dyDescent="0.3">
      <c r="A3745" t="s">
        <v>5604</v>
      </c>
      <c r="B3745" t="s">
        <v>528</v>
      </c>
      <c r="C3745" t="s">
        <v>52</v>
      </c>
      <c r="D3745" t="s">
        <v>5570</v>
      </c>
      <c r="E3745" t="s">
        <v>161</v>
      </c>
      <c r="F3745" t="s">
        <v>5605</v>
      </c>
      <c r="G3745" t="s">
        <v>256</v>
      </c>
      <c r="H3745" t="s">
        <v>41</v>
      </c>
      <c r="I3745">
        <v>6550</v>
      </c>
      <c r="J3745">
        <v>8515</v>
      </c>
      <c r="K3745">
        <v>1</v>
      </c>
      <c r="L3745">
        <v>6550</v>
      </c>
      <c r="M3745">
        <v>8515</v>
      </c>
      <c r="N3745" t="s">
        <v>28</v>
      </c>
      <c r="O3745">
        <f t="shared" si="116"/>
        <v>9100</v>
      </c>
      <c r="P3745" s="13">
        <f t="shared" si="117"/>
        <v>1955044</v>
      </c>
      <c r="Q3745" s="13">
        <f>SUMIFS(M:M,E:E,Online_eCommerce[[#This Row],[Status]])</f>
        <v>21103186</v>
      </c>
      <c r="R3745" s="13">
        <f>SUMIFS(L:L,H:H,Online_eCommerce[[#This Row],[Brand]])</f>
        <v>4260400</v>
      </c>
      <c r="S3745" s="13">
        <f>SUMIF(H:H,Online_eCommerce[[#This Row],[Brand]],M:M)</f>
        <v>5538520</v>
      </c>
      <c r="T3745" s="13">
        <f>SUMIF(N:N,Online_eCommerce[[#This Row],[Assigned Supervisor]],L:L)</f>
        <v>12220830</v>
      </c>
    </row>
    <row r="3746" spans="1:20" x14ac:dyDescent="0.3">
      <c r="A3746" t="s">
        <v>5606</v>
      </c>
      <c r="B3746" t="s">
        <v>73</v>
      </c>
      <c r="C3746" t="s">
        <v>58</v>
      </c>
      <c r="D3746" t="s">
        <v>5570</v>
      </c>
      <c r="E3746" t="s">
        <v>46</v>
      </c>
      <c r="F3746" t="s">
        <v>47</v>
      </c>
      <c r="G3746" t="s">
        <v>259</v>
      </c>
      <c r="H3746" t="s">
        <v>49</v>
      </c>
      <c r="I3746">
        <v>7650</v>
      </c>
      <c r="J3746">
        <v>9945</v>
      </c>
      <c r="K3746">
        <v>2</v>
      </c>
      <c r="L3746">
        <v>15300</v>
      </c>
      <c r="M3746">
        <v>19890</v>
      </c>
      <c r="N3746" t="s">
        <v>35</v>
      </c>
      <c r="O3746">
        <f t="shared" si="116"/>
        <v>11700</v>
      </c>
      <c r="P3746" s="13">
        <f t="shared" si="117"/>
        <v>2629211</v>
      </c>
      <c r="Q3746" s="13">
        <f>SUMIFS(M:M,E:E,Online_eCommerce[[#This Row],[Status]])</f>
        <v>28620410</v>
      </c>
      <c r="R3746" s="13">
        <f>SUMIFS(L:L,H:H,Online_eCommerce[[#This Row],[Brand]])</f>
        <v>4528350</v>
      </c>
      <c r="S3746" s="13">
        <f>SUMIF(H:H,Online_eCommerce[[#This Row],[Brand]],M:M)</f>
        <v>5886855</v>
      </c>
      <c r="T3746" s="13">
        <f>SUMIF(N:N,Online_eCommerce[[#This Row],[Assigned Supervisor]],L:L)</f>
        <v>14373360</v>
      </c>
    </row>
    <row r="3747" spans="1:20" hidden="1" x14ac:dyDescent="0.3">
      <c r="A3747" t="s">
        <v>5607</v>
      </c>
      <c r="B3747" t="s">
        <v>80</v>
      </c>
      <c r="C3747" t="s">
        <v>63</v>
      </c>
      <c r="D3747" t="s">
        <v>5570</v>
      </c>
      <c r="E3747" t="s">
        <v>96</v>
      </c>
      <c r="F3747" t="s">
        <v>53</v>
      </c>
      <c r="G3747" t="s">
        <v>54</v>
      </c>
      <c r="H3747" t="s">
        <v>55</v>
      </c>
      <c r="I3747">
        <v>1150</v>
      </c>
      <c r="J3747">
        <v>1495</v>
      </c>
      <c r="K3747">
        <v>4</v>
      </c>
      <c r="L3747">
        <v>4600</v>
      </c>
      <c r="M3747">
        <v>5980</v>
      </c>
      <c r="N3747" t="s">
        <v>42</v>
      </c>
      <c r="O3747">
        <f t="shared" si="116"/>
        <v>2990</v>
      </c>
      <c r="P3747" s="13">
        <f t="shared" si="117"/>
        <v>2016131</v>
      </c>
      <c r="Q3747" s="13">
        <f>SUMIFS(M:M,E:E,Online_eCommerce[[#This Row],[Status]])</f>
        <v>21233992</v>
      </c>
      <c r="R3747" s="13">
        <f>SUMIFS(L:L,H:H,Online_eCommerce[[#This Row],[Brand]])</f>
        <v>2267380</v>
      </c>
      <c r="S3747" s="13">
        <f>SUMIF(H:H,Online_eCommerce[[#This Row],[Brand]],M:M)</f>
        <v>2947594</v>
      </c>
      <c r="T3747" s="13">
        <f>SUMIF(N:N,Online_eCommerce[[#This Row],[Assigned Supervisor]],L:L)</f>
        <v>12261500</v>
      </c>
    </row>
    <row r="3748" spans="1:20" hidden="1" x14ac:dyDescent="0.3">
      <c r="A3748" t="s">
        <v>5608</v>
      </c>
      <c r="B3748" t="s">
        <v>85</v>
      </c>
      <c r="C3748" t="s">
        <v>68</v>
      </c>
      <c r="D3748" t="s">
        <v>5570</v>
      </c>
      <c r="E3748" t="s">
        <v>18</v>
      </c>
      <c r="F3748" t="s">
        <v>59</v>
      </c>
      <c r="G3748" t="s">
        <v>60</v>
      </c>
      <c r="H3748" t="s">
        <v>61</v>
      </c>
      <c r="I3748">
        <v>850</v>
      </c>
      <c r="J3748">
        <v>1105</v>
      </c>
      <c r="K3748">
        <v>4</v>
      </c>
      <c r="L3748">
        <v>3400</v>
      </c>
      <c r="M3748">
        <v>4420</v>
      </c>
      <c r="N3748" t="s">
        <v>50</v>
      </c>
      <c r="O3748">
        <f t="shared" si="116"/>
        <v>3315</v>
      </c>
      <c r="P3748" s="13">
        <f t="shared" si="117"/>
        <v>2974621</v>
      </c>
      <c r="Q3748" s="13">
        <f>SUMIFS(M:M,E:E,Online_eCommerce[[#This Row],[Status]])</f>
        <v>28340455</v>
      </c>
      <c r="R3748" s="13">
        <f>SUMIFS(L:L,H:H,Online_eCommerce[[#This Row],[Brand]])</f>
        <v>10950150</v>
      </c>
      <c r="S3748" s="13">
        <f>SUMIF(H:H,Online_eCommerce[[#This Row],[Brand]],M:M)</f>
        <v>14235195</v>
      </c>
      <c r="T3748" s="13">
        <f>SUMIF(N:N,Online_eCommerce[[#This Row],[Assigned Supervisor]],L:L)</f>
        <v>12100590</v>
      </c>
    </row>
    <row r="3749" spans="1:20" hidden="1" x14ac:dyDescent="0.3">
      <c r="A3749" t="s">
        <v>5609</v>
      </c>
      <c r="B3749" t="s">
        <v>90</v>
      </c>
      <c r="C3749" t="s">
        <v>74</v>
      </c>
      <c r="D3749" t="s">
        <v>5570</v>
      </c>
      <c r="E3749" t="s">
        <v>161</v>
      </c>
      <c r="F3749" t="s">
        <v>65</v>
      </c>
      <c r="G3749" t="s">
        <v>66</v>
      </c>
      <c r="H3749" t="s">
        <v>21</v>
      </c>
      <c r="I3749">
        <v>650</v>
      </c>
      <c r="J3749">
        <v>845</v>
      </c>
      <c r="K3749">
        <v>2</v>
      </c>
      <c r="L3749">
        <v>1300</v>
      </c>
      <c r="M3749">
        <v>1690</v>
      </c>
      <c r="N3749" t="s">
        <v>56</v>
      </c>
      <c r="O3749">
        <f t="shared" si="116"/>
        <v>1690</v>
      </c>
      <c r="P3749" s="13">
        <f t="shared" si="117"/>
        <v>2144701</v>
      </c>
      <c r="Q3749" s="13">
        <f>SUMIFS(M:M,E:E,Online_eCommerce[[#This Row],[Status]])</f>
        <v>21103186</v>
      </c>
      <c r="R3749" s="13">
        <f>SUMIFS(L:L,H:H,Online_eCommerce[[#This Row],[Brand]])</f>
        <v>12435650</v>
      </c>
      <c r="S3749" s="13">
        <f>SUMIF(H:H,Online_eCommerce[[#This Row],[Brand]],M:M)</f>
        <v>16166345</v>
      </c>
      <c r="T3749" s="13">
        <f>SUMIF(N:N,Online_eCommerce[[#This Row],[Assigned Supervisor]],L:L)</f>
        <v>11733610</v>
      </c>
    </row>
    <row r="3750" spans="1:20" x14ac:dyDescent="0.3">
      <c r="A3750" t="s">
        <v>5610</v>
      </c>
      <c r="B3750" t="s">
        <v>232</v>
      </c>
      <c r="C3750" t="s">
        <v>81</v>
      </c>
      <c r="D3750" t="s">
        <v>5570</v>
      </c>
      <c r="E3750" t="s">
        <v>46</v>
      </c>
      <c r="F3750" t="s">
        <v>70</v>
      </c>
      <c r="G3750" t="s">
        <v>71</v>
      </c>
      <c r="H3750" t="s">
        <v>61</v>
      </c>
      <c r="I3750">
        <v>7500</v>
      </c>
      <c r="J3750">
        <v>9750</v>
      </c>
      <c r="K3750">
        <v>3</v>
      </c>
      <c r="L3750">
        <v>22500</v>
      </c>
      <c r="M3750">
        <v>29250</v>
      </c>
      <c r="N3750" t="s">
        <v>22</v>
      </c>
      <c r="O3750">
        <f t="shared" si="116"/>
        <v>9750</v>
      </c>
      <c r="P3750" s="13">
        <f t="shared" si="117"/>
        <v>2595632</v>
      </c>
      <c r="Q3750" s="13">
        <f>SUMIFS(M:M,E:E,Online_eCommerce[[#This Row],[Status]])</f>
        <v>28620410</v>
      </c>
      <c r="R3750" s="13">
        <f>SUMIFS(L:L,H:H,Online_eCommerce[[#This Row],[Brand]])</f>
        <v>10950150</v>
      </c>
      <c r="S3750" s="13">
        <f>SUMIF(H:H,Online_eCommerce[[#This Row],[Brand]],M:M)</f>
        <v>14235195</v>
      </c>
      <c r="T3750" s="13">
        <f>SUMIF(N:N,Online_eCommerce[[#This Row],[Assigned Supervisor]],L:L)</f>
        <v>13693220</v>
      </c>
    </row>
    <row r="3751" spans="1:20" hidden="1" x14ac:dyDescent="0.3">
      <c r="A3751" t="s">
        <v>5611</v>
      </c>
      <c r="B3751" t="s">
        <v>235</v>
      </c>
      <c r="C3751" t="s">
        <v>86</v>
      </c>
      <c r="D3751" t="s">
        <v>5570</v>
      </c>
      <c r="E3751" t="s">
        <v>96</v>
      </c>
      <c r="F3751" t="s">
        <v>5598</v>
      </c>
      <c r="G3751" t="s">
        <v>77</v>
      </c>
      <c r="H3751" t="s">
        <v>78</v>
      </c>
      <c r="I3751">
        <v>10000</v>
      </c>
      <c r="J3751">
        <v>13000</v>
      </c>
      <c r="K3751">
        <v>1</v>
      </c>
      <c r="L3751">
        <v>10000</v>
      </c>
      <c r="M3751">
        <v>13000</v>
      </c>
      <c r="N3751" t="s">
        <v>28</v>
      </c>
      <c r="O3751">
        <f t="shared" si="116"/>
        <v>39000</v>
      </c>
      <c r="P3751" s="13">
        <f t="shared" si="117"/>
        <v>1941225</v>
      </c>
      <c r="Q3751" s="13">
        <f>SUMIFS(M:M,E:E,Online_eCommerce[[#This Row],[Status]])</f>
        <v>21233992</v>
      </c>
      <c r="R3751" s="13">
        <f>SUMIFS(L:L,H:H,Online_eCommerce[[#This Row],[Brand]])</f>
        <v>3720000</v>
      </c>
      <c r="S3751" s="13">
        <f>SUMIF(H:H,Online_eCommerce[[#This Row],[Brand]],M:M)</f>
        <v>4836000</v>
      </c>
      <c r="T3751" s="13">
        <f>SUMIF(N:N,Online_eCommerce[[#This Row],[Assigned Supervisor]],L:L)</f>
        <v>12220830</v>
      </c>
    </row>
    <row r="3752" spans="1:20" hidden="1" x14ac:dyDescent="0.3">
      <c r="A3752" t="s">
        <v>5612</v>
      </c>
      <c r="B3752" t="s">
        <v>104</v>
      </c>
      <c r="C3752" t="s">
        <v>91</v>
      </c>
      <c r="D3752" t="s">
        <v>5570</v>
      </c>
      <c r="E3752" t="s">
        <v>18</v>
      </c>
      <c r="F3752" t="s">
        <v>5613</v>
      </c>
      <c r="G3752" t="s">
        <v>20</v>
      </c>
      <c r="H3752" t="s">
        <v>21</v>
      </c>
      <c r="I3752">
        <v>10500</v>
      </c>
      <c r="J3752">
        <v>13650</v>
      </c>
      <c r="K3752">
        <v>1</v>
      </c>
      <c r="L3752">
        <v>10500</v>
      </c>
      <c r="M3752">
        <v>13650</v>
      </c>
      <c r="N3752" t="s">
        <v>35</v>
      </c>
      <c r="O3752">
        <f t="shared" si="116"/>
        <v>8450</v>
      </c>
      <c r="P3752" s="13">
        <f t="shared" si="117"/>
        <v>2731963</v>
      </c>
      <c r="Q3752" s="13">
        <f>SUMIFS(M:M,E:E,Online_eCommerce[[#This Row],[Status]])</f>
        <v>28340455</v>
      </c>
      <c r="R3752" s="13">
        <f>SUMIFS(L:L,H:H,Online_eCommerce[[#This Row],[Brand]])</f>
        <v>12435650</v>
      </c>
      <c r="S3752" s="13">
        <f>SUMIF(H:H,Online_eCommerce[[#This Row],[Brand]],M:M)</f>
        <v>16166345</v>
      </c>
      <c r="T3752" s="13">
        <f>SUMIF(N:N,Online_eCommerce[[#This Row],[Assigned Supervisor]],L:L)</f>
        <v>14373360</v>
      </c>
    </row>
    <row r="3753" spans="1:20" hidden="1" x14ac:dyDescent="0.3">
      <c r="A3753" t="s">
        <v>5614</v>
      </c>
      <c r="B3753" t="s">
        <v>109</v>
      </c>
      <c r="C3753" t="s">
        <v>94</v>
      </c>
      <c r="D3753" t="s">
        <v>5570</v>
      </c>
      <c r="E3753" t="s">
        <v>161</v>
      </c>
      <c r="F3753" t="s">
        <v>88</v>
      </c>
      <c r="G3753" t="s">
        <v>26</v>
      </c>
      <c r="H3753" t="s">
        <v>27</v>
      </c>
      <c r="I3753">
        <v>8500</v>
      </c>
      <c r="J3753">
        <v>11050</v>
      </c>
      <c r="K3753">
        <v>3</v>
      </c>
      <c r="L3753">
        <v>25500</v>
      </c>
      <c r="M3753">
        <v>33150</v>
      </c>
      <c r="N3753" t="s">
        <v>42</v>
      </c>
      <c r="O3753">
        <f t="shared" si="116"/>
        <v>33150</v>
      </c>
      <c r="P3753" s="13">
        <f t="shared" si="117"/>
        <v>1868256</v>
      </c>
      <c r="Q3753" s="13">
        <f>SUMIFS(M:M,E:E,Online_eCommerce[[#This Row],[Status]])</f>
        <v>21103186</v>
      </c>
      <c r="R3753" s="13">
        <f>SUMIFS(L:L,H:H,Online_eCommerce[[#This Row],[Brand]])</f>
        <v>14431000</v>
      </c>
      <c r="S3753" s="13">
        <f>SUMIF(H:H,Online_eCommerce[[#This Row],[Brand]],M:M)</f>
        <v>18760300</v>
      </c>
      <c r="T3753" s="13">
        <f>SUMIF(N:N,Online_eCommerce[[#This Row],[Assigned Supervisor]],L:L)</f>
        <v>12261500</v>
      </c>
    </row>
    <row r="3754" spans="1:20" x14ac:dyDescent="0.3">
      <c r="A3754" t="s">
        <v>5615</v>
      </c>
      <c r="B3754" t="s">
        <v>114</v>
      </c>
      <c r="C3754" t="s">
        <v>99</v>
      </c>
      <c r="D3754" t="s">
        <v>5570</v>
      </c>
      <c r="E3754" t="s">
        <v>46</v>
      </c>
      <c r="F3754" t="s">
        <v>32</v>
      </c>
      <c r="G3754" t="s">
        <v>33</v>
      </c>
      <c r="H3754" t="s">
        <v>34</v>
      </c>
      <c r="I3754">
        <v>7000</v>
      </c>
      <c r="J3754">
        <v>9100</v>
      </c>
      <c r="K3754">
        <v>4</v>
      </c>
      <c r="L3754">
        <v>28000</v>
      </c>
      <c r="M3754">
        <v>36400</v>
      </c>
      <c r="N3754" t="s">
        <v>50</v>
      </c>
      <c r="O3754">
        <f t="shared" si="116"/>
        <v>18200</v>
      </c>
      <c r="P3754" s="13">
        <f t="shared" si="117"/>
        <v>2651233</v>
      </c>
      <c r="Q3754" s="13">
        <f>SUMIFS(M:M,E:E,Online_eCommerce[[#This Row],[Status]])</f>
        <v>28620410</v>
      </c>
      <c r="R3754" s="13">
        <f>SUMIFS(L:L,H:H,Online_eCommerce[[#This Row],[Brand]])</f>
        <v>10087000</v>
      </c>
      <c r="S3754" s="13">
        <f>SUMIF(H:H,Online_eCommerce[[#This Row],[Brand]],M:M)</f>
        <v>13113100</v>
      </c>
      <c r="T3754" s="13">
        <f>SUMIF(N:N,Online_eCommerce[[#This Row],[Assigned Supervisor]],L:L)</f>
        <v>12100590</v>
      </c>
    </row>
    <row r="3755" spans="1:20" hidden="1" x14ac:dyDescent="0.3">
      <c r="A3755" t="s">
        <v>5616</v>
      </c>
      <c r="B3755" t="s">
        <v>119</v>
      </c>
      <c r="C3755" t="s">
        <v>105</v>
      </c>
      <c r="D3755" t="s">
        <v>5570</v>
      </c>
      <c r="E3755" t="s">
        <v>96</v>
      </c>
      <c r="F3755" t="s">
        <v>5617</v>
      </c>
      <c r="G3755" t="s">
        <v>256</v>
      </c>
      <c r="H3755" t="s">
        <v>41</v>
      </c>
      <c r="I3755">
        <v>1680</v>
      </c>
      <c r="J3755">
        <v>2184</v>
      </c>
      <c r="K3755">
        <v>4</v>
      </c>
      <c r="L3755">
        <v>6720</v>
      </c>
      <c r="M3755">
        <v>8736</v>
      </c>
      <c r="N3755" t="s">
        <v>56</v>
      </c>
      <c r="O3755">
        <f t="shared" si="116"/>
        <v>9100</v>
      </c>
      <c r="P3755" s="13">
        <f t="shared" si="117"/>
        <v>1866852</v>
      </c>
      <c r="Q3755" s="13">
        <f>SUMIFS(M:M,E:E,Online_eCommerce[[#This Row],[Status]])</f>
        <v>21233992</v>
      </c>
      <c r="R3755" s="13">
        <f>SUMIFS(L:L,H:H,Online_eCommerce[[#This Row],[Brand]])</f>
        <v>4260400</v>
      </c>
      <c r="S3755" s="13">
        <f>SUMIF(H:H,Online_eCommerce[[#This Row],[Brand]],M:M)</f>
        <v>5538520</v>
      </c>
      <c r="T3755" s="13">
        <f>SUMIF(N:N,Online_eCommerce[[#This Row],[Assigned Supervisor]],L:L)</f>
        <v>11733610</v>
      </c>
    </row>
    <row r="3756" spans="1:20" hidden="1" x14ac:dyDescent="0.3">
      <c r="A3756" t="s">
        <v>5618</v>
      </c>
      <c r="B3756" t="s">
        <v>124</v>
      </c>
      <c r="C3756" t="s">
        <v>110</v>
      </c>
      <c r="D3756" t="s">
        <v>5570</v>
      </c>
      <c r="E3756" t="s">
        <v>18</v>
      </c>
      <c r="F3756" t="s">
        <v>101</v>
      </c>
      <c r="G3756" t="s">
        <v>259</v>
      </c>
      <c r="H3756" t="s">
        <v>102</v>
      </c>
      <c r="I3756">
        <v>6540</v>
      </c>
      <c r="J3756">
        <v>8502</v>
      </c>
      <c r="K3756">
        <v>1</v>
      </c>
      <c r="L3756">
        <v>6540</v>
      </c>
      <c r="M3756">
        <v>8502</v>
      </c>
      <c r="N3756" t="s">
        <v>22</v>
      </c>
      <c r="O3756">
        <f t="shared" si="116"/>
        <v>11700</v>
      </c>
      <c r="P3756" s="13">
        <f t="shared" si="117"/>
        <v>2598635</v>
      </c>
      <c r="Q3756" s="13">
        <f>SUMIFS(M:M,E:E,Online_eCommerce[[#This Row],[Status]])</f>
        <v>28340455</v>
      </c>
      <c r="R3756" s="13">
        <f>SUMIFS(L:L,H:H,Online_eCommerce[[#This Row],[Brand]])</f>
        <v>2465580</v>
      </c>
      <c r="S3756" s="13">
        <f>SUMIF(H:H,Online_eCommerce[[#This Row],[Brand]],M:M)</f>
        <v>3205254</v>
      </c>
      <c r="T3756" s="13">
        <f>SUMIF(N:N,Online_eCommerce[[#This Row],[Assigned Supervisor]],L:L)</f>
        <v>13693220</v>
      </c>
    </row>
    <row r="3757" spans="1:20" hidden="1" x14ac:dyDescent="0.3">
      <c r="A3757" t="s">
        <v>5619</v>
      </c>
      <c r="B3757" t="s">
        <v>128</v>
      </c>
      <c r="C3757" t="s">
        <v>115</v>
      </c>
      <c r="D3757" t="s">
        <v>5570</v>
      </c>
      <c r="E3757" t="s">
        <v>161</v>
      </c>
      <c r="F3757" t="s">
        <v>107</v>
      </c>
      <c r="G3757" t="s">
        <v>54</v>
      </c>
      <c r="H3757" t="s">
        <v>55</v>
      </c>
      <c r="I3757">
        <v>2680</v>
      </c>
      <c r="J3757">
        <v>3484</v>
      </c>
      <c r="K3757">
        <v>2</v>
      </c>
      <c r="L3757">
        <v>5360</v>
      </c>
      <c r="M3757">
        <v>6968</v>
      </c>
      <c r="N3757" t="s">
        <v>22</v>
      </c>
      <c r="O3757">
        <f t="shared" si="116"/>
        <v>2990</v>
      </c>
      <c r="P3757" s="13">
        <f t="shared" si="117"/>
        <v>2050178</v>
      </c>
      <c r="Q3757" s="13">
        <f>SUMIFS(M:M,E:E,Online_eCommerce[[#This Row],[Status]])</f>
        <v>21103186</v>
      </c>
      <c r="R3757" s="13">
        <f>SUMIFS(L:L,H:H,Online_eCommerce[[#This Row],[Brand]])</f>
        <v>2267380</v>
      </c>
      <c r="S3757" s="13">
        <f>SUMIF(H:H,Online_eCommerce[[#This Row],[Brand]],M:M)</f>
        <v>2947594</v>
      </c>
      <c r="T3757" s="13">
        <f>SUMIF(N:N,Online_eCommerce[[#This Row],[Assigned Supervisor]],L:L)</f>
        <v>13693220</v>
      </c>
    </row>
    <row r="3758" spans="1:20" x14ac:dyDescent="0.3">
      <c r="A3758" t="s">
        <v>5620</v>
      </c>
      <c r="B3758" t="s">
        <v>131</v>
      </c>
      <c r="C3758" t="s">
        <v>120</v>
      </c>
      <c r="D3758" t="s">
        <v>5570</v>
      </c>
      <c r="E3758" t="s">
        <v>46</v>
      </c>
      <c r="F3758" t="s">
        <v>112</v>
      </c>
      <c r="G3758" t="s">
        <v>71</v>
      </c>
      <c r="H3758" t="s">
        <v>21</v>
      </c>
      <c r="I3758">
        <v>8250</v>
      </c>
      <c r="J3758">
        <v>10725</v>
      </c>
      <c r="K3758">
        <v>4</v>
      </c>
      <c r="L3758">
        <v>33000</v>
      </c>
      <c r="M3758">
        <v>42900</v>
      </c>
      <c r="N3758" t="s">
        <v>28</v>
      </c>
      <c r="O3758">
        <f t="shared" si="116"/>
        <v>9750</v>
      </c>
      <c r="P3758" s="13">
        <f t="shared" si="117"/>
        <v>2734212</v>
      </c>
      <c r="Q3758" s="13">
        <f>SUMIFS(M:M,E:E,Online_eCommerce[[#This Row],[Status]])</f>
        <v>28620410</v>
      </c>
      <c r="R3758" s="13">
        <f>SUMIFS(L:L,H:H,Online_eCommerce[[#This Row],[Brand]])</f>
        <v>12435650</v>
      </c>
      <c r="S3758" s="13">
        <f>SUMIF(H:H,Online_eCommerce[[#This Row],[Brand]],M:M)</f>
        <v>16166345</v>
      </c>
      <c r="T3758" s="13">
        <f>SUMIF(N:N,Online_eCommerce[[#This Row],[Assigned Supervisor]],L:L)</f>
        <v>12220830</v>
      </c>
    </row>
    <row r="3759" spans="1:20" hidden="1" x14ac:dyDescent="0.3">
      <c r="A3759" t="s">
        <v>5621</v>
      </c>
      <c r="B3759" t="s">
        <v>135</v>
      </c>
      <c r="C3759" t="s">
        <v>125</v>
      </c>
      <c r="D3759" t="s">
        <v>5570</v>
      </c>
      <c r="E3759" t="s">
        <v>96</v>
      </c>
      <c r="F3759" t="s">
        <v>5249</v>
      </c>
      <c r="G3759" t="s">
        <v>40</v>
      </c>
      <c r="H3759" t="s">
        <v>21</v>
      </c>
      <c r="I3759">
        <v>2650</v>
      </c>
      <c r="J3759">
        <v>3445</v>
      </c>
      <c r="K3759">
        <v>2</v>
      </c>
      <c r="L3759">
        <v>5300</v>
      </c>
      <c r="M3759">
        <v>6890</v>
      </c>
      <c r="N3759" t="s">
        <v>35</v>
      </c>
      <c r="O3759">
        <f t="shared" si="116"/>
        <v>25545</v>
      </c>
      <c r="P3759" s="13">
        <f t="shared" si="117"/>
        <v>2091154</v>
      </c>
      <c r="Q3759" s="13">
        <f>SUMIFS(M:M,E:E,Online_eCommerce[[#This Row],[Status]])</f>
        <v>21233992</v>
      </c>
      <c r="R3759" s="13">
        <f>SUMIFS(L:L,H:H,Online_eCommerce[[#This Row],[Brand]])</f>
        <v>12435650</v>
      </c>
      <c r="S3759" s="13">
        <f>SUMIF(H:H,Online_eCommerce[[#This Row],[Brand]],M:M)</f>
        <v>16166345</v>
      </c>
      <c r="T3759" s="13">
        <f>SUMIF(N:N,Online_eCommerce[[#This Row],[Assigned Supervisor]],L:L)</f>
        <v>14373360</v>
      </c>
    </row>
    <row r="3760" spans="1:20" hidden="1" x14ac:dyDescent="0.3">
      <c r="A3760" t="s">
        <v>5622</v>
      </c>
      <c r="B3760" t="s">
        <v>139</v>
      </c>
      <c r="C3760" t="s">
        <v>22</v>
      </c>
      <c r="D3760" t="s">
        <v>5570</v>
      </c>
      <c r="E3760" t="s">
        <v>18</v>
      </c>
      <c r="F3760" t="s">
        <v>121</v>
      </c>
      <c r="G3760" t="s">
        <v>71</v>
      </c>
      <c r="H3760" t="s">
        <v>122</v>
      </c>
      <c r="I3760">
        <v>12550</v>
      </c>
      <c r="J3760">
        <v>16315</v>
      </c>
      <c r="K3760">
        <v>1</v>
      </c>
      <c r="L3760">
        <v>12550</v>
      </c>
      <c r="M3760">
        <v>16315</v>
      </c>
      <c r="N3760" t="s">
        <v>42</v>
      </c>
      <c r="O3760">
        <f t="shared" si="116"/>
        <v>9750</v>
      </c>
      <c r="P3760" s="13">
        <f t="shared" si="117"/>
        <v>2551588</v>
      </c>
      <c r="Q3760" s="13">
        <f>SUMIFS(M:M,E:E,Online_eCommerce[[#This Row],[Status]])</f>
        <v>28340455</v>
      </c>
      <c r="R3760" s="13">
        <f>SUMIFS(L:L,H:H,Online_eCommerce[[#This Row],[Brand]])</f>
        <v>5045100</v>
      </c>
      <c r="S3760" s="13">
        <f>SUMIF(H:H,Online_eCommerce[[#This Row],[Brand]],M:M)</f>
        <v>6558630</v>
      </c>
      <c r="T3760" s="13">
        <f>SUMIF(N:N,Online_eCommerce[[#This Row],[Assigned Supervisor]],L:L)</f>
        <v>12261500</v>
      </c>
    </row>
    <row r="3761" spans="1:20" hidden="1" x14ac:dyDescent="0.3">
      <c r="A3761" t="s">
        <v>5623</v>
      </c>
      <c r="B3761" t="s">
        <v>144</v>
      </c>
      <c r="C3761" t="s">
        <v>132</v>
      </c>
      <c r="D3761" t="s">
        <v>5570</v>
      </c>
      <c r="E3761" t="s">
        <v>161</v>
      </c>
      <c r="F3761" t="s">
        <v>126</v>
      </c>
      <c r="G3761" t="s">
        <v>26</v>
      </c>
      <c r="H3761" t="s">
        <v>27</v>
      </c>
      <c r="I3761">
        <v>14500</v>
      </c>
      <c r="J3761">
        <v>18850</v>
      </c>
      <c r="K3761">
        <v>4</v>
      </c>
      <c r="L3761">
        <v>58000</v>
      </c>
      <c r="M3761">
        <v>75400</v>
      </c>
      <c r="N3761" t="s">
        <v>50</v>
      </c>
      <c r="O3761">
        <f t="shared" si="116"/>
        <v>33150</v>
      </c>
      <c r="P3761" s="13">
        <f t="shared" si="117"/>
        <v>1989065</v>
      </c>
      <c r="Q3761" s="13">
        <f>SUMIFS(M:M,E:E,Online_eCommerce[[#This Row],[Status]])</f>
        <v>21103186</v>
      </c>
      <c r="R3761" s="13">
        <f>SUMIFS(L:L,H:H,Online_eCommerce[[#This Row],[Brand]])</f>
        <v>14431000</v>
      </c>
      <c r="S3761" s="13">
        <f>SUMIF(H:H,Online_eCommerce[[#This Row],[Brand]],M:M)</f>
        <v>18760300</v>
      </c>
      <c r="T3761" s="13">
        <f>SUMIF(N:N,Online_eCommerce[[#This Row],[Assigned Supervisor]],L:L)</f>
        <v>12100590</v>
      </c>
    </row>
    <row r="3762" spans="1:20" x14ac:dyDescent="0.3">
      <c r="A3762" t="s">
        <v>5624</v>
      </c>
      <c r="B3762" t="s">
        <v>149</v>
      </c>
      <c r="C3762" t="s">
        <v>136</v>
      </c>
      <c r="D3762" t="s">
        <v>5570</v>
      </c>
      <c r="E3762" t="s">
        <v>46</v>
      </c>
      <c r="F3762" t="s">
        <v>129</v>
      </c>
      <c r="G3762" t="s">
        <v>60</v>
      </c>
      <c r="H3762" t="s">
        <v>61</v>
      </c>
      <c r="I3762">
        <v>800</v>
      </c>
      <c r="J3762">
        <v>1040</v>
      </c>
      <c r="K3762">
        <v>3</v>
      </c>
      <c r="L3762">
        <v>2400</v>
      </c>
      <c r="M3762">
        <v>3120</v>
      </c>
      <c r="N3762" t="s">
        <v>56</v>
      </c>
      <c r="O3762">
        <f t="shared" si="116"/>
        <v>3315</v>
      </c>
      <c r="P3762" s="13">
        <f t="shared" si="117"/>
        <v>2775162</v>
      </c>
      <c r="Q3762" s="13">
        <f>SUMIFS(M:M,E:E,Online_eCommerce[[#This Row],[Status]])</f>
        <v>28620410</v>
      </c>
      <c r="R3762" s="13">
        <f>SUMIFS(L:L,H:H,Online_eCommerce[[#This Row],[Brand]])</f>
        <v>10950150</v>
      </c>
      <c r="S3762" s="13">
        <f>SUMIF(H:H,Online_eCommerce[[#This Row],[Brand]],M:M)</f>
        <v>14235195</v>
      </c>
      <c r="T3762" s="13">
        <f>SUMIF(N:N,Online_eCommerce[[#This Row],[Assigned Supervisor]],L:L)</f>
        <v>11733610</v>
      </c>
    </row>
    <row r="3763" spans="1:20" hidden="1" x14ac:dyDescent="0.3">
      <c r="A3763" t="s">
        <v>5625</v>
      </c>
      <c r="B3763" t="s">
        <v>154</v>
      </c>
      <c r="C3763" t="s">
        <v>140</v>
      </c>
      <c r="D3763" t="s">
        <v>5570</v>
      </c>
      <c r="E3763" t="s">
        <v>96</v>
      </c>
      <c r="F3763" t="s">
        <v>133</v>
      </c>
      <c r="G3763" t="s">
        <v>66</v>
      </c>
      <c r="H3763" t="s">
        <v>21</v>
      </c>
      <c r="I3763">
        <v>600</v>
      </c>
      <c r="J3763">
        <v>780</v>
      </c>
      <c r="K3763">
        <v>1</v>
      </c>
      <c r="L3763">
        <v>600</v>
      </c>
      <c r="M3763">
        <v>780</v>
      </c>
      <c r="N3763" t="s">
        <v>22</v>
      </c>
      <c r="O3763">
        <f t="shared" si="116"/>
        <v>1690</v>
      </c>
      <c r="P3763" s="13">
        <f t="shared" si="117"/>
        <v>2058264</v>
      </c>
      <c r="Q3763" s="13">
        <f>SUMIFS(M:M,E:E,Online_eCommerce[[#This Row],[Status]])</f>
        <v>21233992</v>
      </c>
      <c r="R3763" s="13">
        <f>SUMIFS(L:L,H:H,Online_eCommerce[[#This Row],[Brand]])</f>
        <v>12435650</v>
      </c>
      <c r="S3763" s="13">
        <f>SUMIF(H:H,Online_eCommerce[[#This Row],[Brand]],M:M)</f>
        <v>16166345</v>
      </c>
      <c r="T3763" s="13">
        <f>SUMIF(N:N,Online_eCommerce[[#This Row],[Assigned Supervisor]],L:L)</f>
        <v>13693220</v>
      </c>
    </row>
    <row r="3764" spans="1:20" hidden="1" x14ac:dyDescent="0.3">
      <c r="A3764" t="s">
        <v>5626</v>
      </c>
      <c r="B3764" t="s">
        <v>159</v>
      </c>
      <c r="C3764" t="s">
        <v>145</v>
      </c>
      <c r="D3764" t="s">
        <v>5570</v>
      </c>
      <c r="E3764" t="s">
        <v>18</v>
      </c>
      <c r="F3764" t="s">
        <v>137</v>
      </c>
      <c r="G3764" t="s">
        <v>71</v>
      </c>
      <c r="H3764" t="s">
        <v>61</v>
      </c>
      <c r="I3764">
        <v>10500</v>
      </c>
      <c r="J3764">
        <v>13650</v>
      </c>
      <c r="K3764">
        <v>3</v>
      </c>
      <c r="L3764">
        <v>31500</v>
      </c>
      <c r="M3764">
        <v>40950</v>
      </c>
      <c r="N3764" t="s">
        <v>28</v>
      </c>
      <c r="O3764">
        <f t="shared" si="116"/>
        <v>9750</v>
      </c>
      <c r="P3764" s="13">
        <f t="shared" si="117"/>
        <v>2757859</v>
      </c>
      <c r="Q3764" s="13">
        <f>SUMIFS(M:M,E:E,Online_eCommerce[[#This Row],[Status]])</f>
        <v>28340455</v>
      </c>
      <c r="R3764" s="13">
        <f>SUMIFS(L:L,H:H,Online_eCommerce[[#This Row],[Brand]])</f>
        <v>10950150</v>
      </c>
      <c r="S3764" s="13">
        <f>SUMIF(H:H,Online_eCommerce[[#This Row],[Brand]],M:M)</f>
        <v>14235195</v>
      </c>
      <c r="T3764" s="13">
        <f>SUMIF(N:N,Online_eCommerce[[#This Row],[Assigned Supervisor]],L:L)</f>
        <v>12220830</v>
      </c>
    </row>
    <row r="3765" spans="1:20" hidden="1" x14ac:dyDescent="0.3">
      <c r="A3765" t="s">
        <v>5627</v>
      </c>
      <c r="B3765" t="s">
        <v>139</v>
      </c>
      <c r="C3765" t="s">
        <v>150</v>
      </c>
      <c r="D3765" t="s">
        <v>5570</v>
      </c>
      <c r="E3765" t="s">
        <v>161</v>
      </c>
      <c r="F3765" t="s">
        <v>5598</v>
      </c>
      <c r="G3765" t="s">
        <v>77</v>
      </c>
      <c r="H3765" t="s">
        <v>142</v>
      </c>
      <c r="I3765">
        <v>6500</v>
      </c>
      <c r="J3765">
        <v>8450</v>
      </c>
      <c r="K3765">
        <v>3</v>
      </c>
      <c r="L3765">
        <v>19500</v>
      </c>
      <c r="M3765">
        <v>25350</v>
      </c>
      <c r="N3765" t="s">
        <v>35</v>
      </c>
      <c r="O3765">
        <f t="shared" si="116"/>
        <v>39000</v>
      </c>
      <c r="P3765" s="13">
        <f t="shared" si="117"/>
        <v>2154984</v>
      </c>
      <c r="Q3765" s="13">
        <f>SUMIFS(M:M,E:E,Online_eCommerce[[#This Row],[Status]])</f>
        <v>21103186</v>
      </c>
      <c r="R3765" s="13">
        <f>SUMIFS(L:L,H:H,Online_eCommerce[[#This Row],[Brand]])</f>
        <v>6192500</v>
      </c>
      <c r="S3765" s="13">
        <f>SUMIF(H:H,Online_eCommerce[[#This Row],[Brand]],M:M)</f>
        <v>8050250</v>
      </c>
      <c r="T3765" s="13">
        <f>SUMIF(N:N,Online_eCommerce[[#This Row],[Assigned Supervisor]],L:L)</f>
        <v>14373360</v>
      </c>
    </row>
    <row r="3766" spans="1:20" x14ac:dyDescent="0.3">
      <c r="A3766" t="s">
        <v>5628</v>
      </c>
      <c r="B3766" t="s">
        <v>144</v>
      </c>
      <c r="C3766" t="s">
        <v>155</v>
      </c>
      <c r="D3766" t="s">
        <v>5570</v>
      </c>
      <c r="E3766" t="s">
        <v>46</v>
      </c>
      <c r="F3766" t="s">
        <v>5629</v>
      </c>
      <c r="G3766" t="s">
        <v>20</v>
      </c>
      <c r="H3766" t="s">
        <v>21</v>
      </c>
      <c r="I3766">
        <v>4500</v>
      </c>
      <c r="J3766">
        <v>5850</v>
      </c>
      <c r="K3766">
        <v>4</v>
      </c>
      <c r="L3766">
        <v>18000</v>
      </c>
      <c r="M3766">
        <v>23400</v>
      </c>
      <c r="N3766" t="s">
        <v>35</v>
      </c>
      <c r="O3766">
        <f t="shared" si="116"/>
        <v>8450</v>
      </c>
      <c r="P3766" s="13">
        <f t="shared" si="117"/>
        <v>2753348</v>
      </c>
      <c r="Q3766" s="13">
        <f>SUMIFS(M:M,E:E,Online_eCommerce[[#This Row],[Status]])</f>
        <v>28620410</v>
      </c>
      <c r="R3766" s="13">
        <f>SUMIFS(L:L,H:H,Online_eCommerce[[#This Row],[Brand]])</f>
        <v>12435650</v>
      </c>
      <c r="S3766" s="13">
        <f>SUMIF(H:H,Online_eCommerce[[#This Row],[Brand]],M:M)</f>
        <v>16166345</v>
      </c>
      <c r="T3766" s="13">
        <f>SUMIF(N:N,Online_eCommerce[[#This Row],[Assigned Supervisor]],L:L)</f>
        <v>14373360</v>
      </c>
    </row>
    <row r="3767" spans="1:20" hidden="1" x14ac:dyDescent="0.3">
      <c r="A3767" t="s">
        <v>5630</v>
      </c>
      <c r="B3767" t="s">
        <v>235</v>
      </c>
      <c r="C3767" t="s">
        <v>160</v>
      </c>
      <c r="D3767" t="s">
        <v>5570</v>
      </c>
      <c r="E3767" t="s">
        <v>96</v>
      </c>
      <c r="F3767" t="s">
        <v>152</v>
      </c>
      <c r="G3767" t="s">
        <v>26</v>
      </c>
      <c r="H3767" t="s">
        <v>27</v>
      </c>
      <c r="I3767">
        <v>8500</v>
      </c>
      <c r="J3767">
        <v>11050</v>
      </c>
      <c r="K3767">
        <v>3</v>
      </c>
      <c r="L3767">
        <v>25500</v>
      </c>
      <c r="M3767">
        <v>33150</v>
      </c>
      <c r="N3767" t="s">
        <v>35</v>
      </c>
      <c r="O3767">
        <f t="shared" si="116"/>
        <v>33150</v>
      </c>
      <c r="P3767" s="13">
        <f t="shared" si="117"/>
        <v>2303483</v>
      </c>
      <c r="Q3767" s="13">
        <f>SUMIFS(M:M,E:E,Online_eCommerce[[#This Row],[Status]])</f>
        <v>21233992</v>
      </c>
      <c r="R3767" s="13">
        <f>SUMIFS(L:L,H:H,Online_eCommerce[[#This Row],[Brand]])</f>
        <v>14431000</v>
      </c>
      <c r="S3767" s="13">
        <f>SUMIF(H:H,Online_eCommerce[[#This Row],[Brand]],M:M)</f>
        <v>18760300</v>
      </c>
      <c r="T3767" s="13">
        <f>SUMIF(N:N,Online_eCommerce[[#This Row],[Assigned Supervisor]],L:L)</f>
        <v>14373360</v>
      </c>
    </row>
    <row r="3768" spans="1:20" hidden="1" x14ac:dyDescent="0.3">
      <c r="A3768" t="s">
        <v>5631</v>
      </c>
      <c r="B3768" t="s">
        <v>176</v>
      </c>
      <c r="C3768" t="s">
        <v>165</v>
      </c>
      <c r="D3768" t="s">
        <v>5570</v>
      </c>
      <c r="E3768" t="s">
        <v>18</v>
      </c>
      <c r="F3768" t="s">
        <v>157</v>
      </c>
      <c r="G3768" t="s">
        <v>33</v>
      </c>
      <c r="H3768" t="s">
        <v>34</v>
      </c>
      <c r="I3768">
        <v>12500</v>
      </c>
      <c r="J3768">
        <v>16250</v>
      </c>
      <c r="K3768">
        <v>4</v>
      </c>
      <c r="L3768">
        <v>50000</v>
      </c>
      <c r="M3768">
        <v>65000</v>
      </c>
      <c r="N3768" t="s">
        <v>35</v>
      </c>
      <c r="O3768">
        <f t="shared" si="116"/>
        <v>18200</v>
      </c>
      <c r="P3768" s="13">
        <f t="shared" si="117"/>
        <v>2674087</v>
      </c>
      <c r="Q3768" s="13">
        <f>SUMIFS(M:M,E:E,Online_eCommerce[[#This Row],[Status]])</f>
        <v>28340455</v>
      </c>
      <c r="R3768" s="13">
        <f>SUMIFS(L:L,H:H,Online_eCommerce[[#This Row],[Brand]])</f>
        <v>10087000</v>
      </c>
      <c r="S3768" s="13">
        <f>SUMIF(H:H,Online_eCommerce[[#This Row],[Brand]],M:M)</f>
        <v>13113100</v>
      </c>
      <c r="T3768" s="13">
        <f>SUMIF(N:N,Online_eCommerce[[#This Row],[Assigned Supervisor]],L:L)</f>
        <v>14373360</v>
      </c>
    </row>
    <row r="3769" spans="1:20" hidden="1" x14ac:dyDescent="0.3">
      <c r="A3769" t="s">
        <v>5632</v>
      </c>
      <c r="B3769" t="s">
        <v>276</v>
      </c>
      <c r="C3769" t="s">
        <v>168</v>
      </c>
      <c r="D3769" t="s">
        <v>5570</v>
      </c>
      <c r="E3769" t="s">
        <v>161</v>
      </c>
      <c r="F3769" t="s">
        <v>5305</v>
      </c>
      <c r="G3769" t="s">
        <v>40</v>
      </c>
      <c r="H3769" t="s">
        <v>41</v>
      </c>
      <c r="I3769">
        <v>3500</v>
      </c>
      <c r="J3769">
        <v>4550</v>
      </c>
      <c r="K3769">
        <v>1</v>
      </c>
      <c r="L3769">
        <v>3500</v>
      </c>
      <c r="M3769">
        <v>4550</v>
      </c>
      <c r="N3769" t="s">
        <v>35</v>
      </c>
      <c r="O3769">
        <f t="shared" si="116"/>
        <v>25545</v>
      </c>
      <c r="P3769" s="13">
        <f t="shared" si="117"/>
        <v>1937780</v>
      </c>
      <c r="Q3769" s="13">
        <f>SUMIFS(M:M,E:E,Online_eCommerce[[#This Row],[Status]])</f>
        <v>21103186</v>
      </c>
      <c r="R3769" s="13">
        <f>SUMIFS(L:L,H:H,Online_eCommerce[[#This Row],[Brand]])</f>
        <v>4260400</v>
      </c>
      <c r="S3769" s="13">
        <f>SUMIF(H:H,Online_eCommerce[[#This Row],[Brand]],M:M)</f>
        <v>5538520</v>
      </c>
      <c r="T3769" s="13">
        <f>SUMIF(N:N,Online_eCommerce[[#This Row],[Assigned Supervisor]],L:L)</f>
        <v>14373360</v>
      </c>
    </row>
    <row r="3770" spans="1:20" x14ac:dyDescent="0.3">
      <c r="A3770" t="s">
        <v>5633</v>
      </c>
      <c r="B3770" t="s">
        <v>280</v>
      </c>
      <c r="C3770" t="s">
        <v>172</v>
      </c>
      <c r="D3770" t="s">
        <v>5570</v>
      </c>
      <c r="E3770" t="s">
        <v>46</v>
      </c>
      <c r="F3770" t="s">
        <v>166</v>
      </c>
      <c r="G3770" t="s">
        <v>334</v>
      </c>
      <c r="H3770" t="s">
        <v>49</v>
      </c>
      <c r="I3770">
        <v>4500</v>
      </c>
      <c r="J3770">
        <v>5850</v>
      </c>
      <c r="K3770">
        <v>1</v>
      </c>
      <c r="L3770">
        <v>4500</v>
      </c>
      <c r="M3770">
        <v>5850</v>
      </c>
      <c r="N3770" t="s">
        <v>35</v>
      </c>
      <c r="O3770">
        <f t="shared" si="116"/>
        <v>39780</v>
      </c>
      <c r="P3770" s="13">
        <f t="shared" si="117"/>
        <v>2640274</v>
      </c>
      <c r="Q3770" s="13">
        <f>SUMIFS(M:M,E:E,Online_eCommerce[[#This Row],[Status]])</f>
        <v>28620410</v>
      </c>
      <c r="R3770" s="13">
        <f>SUMIFS(L:L,H:H,Online_eCommerce[[#This Row],[Brand]])</f>
        <v>4528350</v>
      </c>
      <c r="S3770" s="13">
        <f>SUMIF(H:H,Online_eCommerce[[#This Row],[Brand]],M:M)</f>
        <v>5886855</v>
      </c>
      <c r="T3770" s="13">
        <f>SUMIF(N:N,Online_eCommerce[[#This Row],[Assigned Supervisor]],L:L)</f>
        <v>14373360</v>
      </c>
    </row>
    <row r="3771" spans="1:20" hidden="1" x14ac:dyDescent="0.3">
      <c r="A3771" t="s">
        <v>5634</v>
      </c>
      <c r="B3771" t="s">
        <v>283</v>
      </c>
      <c r="C3771" t="s">
        <v>177</v>
      </c>
      <c r="D3771" t="s">
        <v>5570</v>
      </c>
      <c r="E3771" t="s">
        <v>96</v>
      </c>
      <c r="F3771" t="s">
        <v>5635</v>
      </c>
      <c r="G3771" t="s">
        <v>54</v>
      </c>
      <c r="H3771" t="s">
        <v>55</v>
      </c>
      <c r="I3771">
        <v>2100</v>
      </c>
      <c r="J3771">
        <v>2730</v>
      </c>
      <c r="K3771">
        <v>4</v>
      </c>
      <c r="L3771">
        <v>8400</v>
      </c>
      <c r="M3771">
        <v>10920</v>
      </c>
      <c r="N3771" t="s">
        <v>35</v>
      </c>
      <c r="O3771">
        <f t="shared" si="116"/>
        <v>2990</v>
      </c>
      <c r="P3771" s="13">
        <f t="shared" si="117"/>
        <v>1863810</v>
      </c>
      <c r="Q3771" s="13">
        <f>SUMIFS(M:M,E:E,Online_eCommerce[[#This Row],[Status]])</f>
        <v>21233992</v>
      </c>
      <c r="R3771" s="13">
        <f>SUMIFS(L:L,H:H,Online_eCommerce[[#This Row],[Brand]])</f>
        <v>2267380</v>
      </c>
      <c r="S3771" s="13">
        <f>SUMIF(H:H,Online_eCommerce[[#This Row],[Brand]],M:M)</f>
        <v>2947594</v>
      </c>
      <c r="T3771" s="13">
        <f>SUMIF(N:N,Online_eCommerce[[#This Row],[Assigned Supervisor]],L:L)</f>
        <v>14373360</v>
      </c>
    </row>
    <row r="3772" spans="1:20" hidden="1" x14ac:dyDescent="0.3">
      <c r="A3772" t="s">
        <v>5636</v>
      </c>
      <c r="B3772" t="s">
        <v>287</v>
      </c>
      <c r="C3772" t="s">
        <v>181</v>
      </c>
      <c r="D3772" t="s">
        <v>5570</v>
      </c>
      <c r="E3772" t="s">
        <v>18</v>
      </c>
      <c r="F3772" t="s">
        <v>174</v>
      </c>
      <c r="G3772" t="s">
        <v>60</v>
      </c>
      <c r="H3772" t="s">
        <v>61</v>
      </c>
      <c r="I3772">
        <v>1150</v>
      </c>
      <c r="J3772">
        <v>1495</v>
      </c>
      <c r="K3772">
        <v>4</v>
      </c>
      <c r="L3772">
        <v>4600</v>
      </c>
      <c r="M3772">
        <v>5980</v>
      </c>
      <c r="N3772" t="s">
        <v>35</v>
      </c>
      <c r="O3772">
        <f t="shared" si="116"/>
        <v>3315</v>
      </c>
      <c r="P3772" s="13">
        <f t="shared" si="117"/>
        <v>2577458</v>
      </c>
      <c r="Q3772" s="13">
        <f>SUMIFS(M:M,E:E,Online_eCommerce[[#This Row],[Status]])</f>
        <v>28340455</v>
      </c>
      <c r="R3772" s="13">
        <f>SUMIFS(L:L,H:H,Online_eCommerce[[#This Row],[Brand]])</f>
        <v>10950150</v>
      </c>
      <c r="S3772" s="13">
        <f>SUMIF(H:H,Online_eCommerce[[#This Row],[Brand]],M:M)</f>
        <v>14235195</v>
      </c>
      <c r="T3772" s="13">
        <f>SUMIF(N:N,Online_eCommerce[[#This Row],[Assigned Supervisor]],L:L)</f>
        <v>14373360</v>
      </c>
    </row>
    <row r="3773" spans="1:20" hidden="1" x14ac:dyDescent="0.3">
      <c r="A3773" t="s">
        <v>5637</v>
      </c>
      <c r="B3773" t="s">
        <v>290</v>
      </c>
      <c r="C3773" t="s">
        <v>185</v>
      </c>
      <c r="D3773" t="s">
        <v>5570</v>
      </c>
      <c r="E3773" t="s">
        <v>161</v>
      </c>
      <c r="F3773" t="s">
        <v>179</v>
      </c>
      <c r="G3773" t="s">
        <v>66</v>
      </c>
      <c r="H3773" t="s">
        <v>21</v>
      </c>
      <c r="I3773">
        <v>350</v>
      </c>
      <c r="J3773">
        <v>455</v>
      </c>
      <c r="K3773">
        <v>4</v>
      </c>
      <c r="L3773">
        <v>1400</v>
      </c>
      <c r="M3773">
        <v>1820</v>
      </c>
      <c r="N3773" t="s">
        <v>35</v>
      </c>
      <c r="O3773">
        <f t="shared" si="116"/>
        <v>1690</v>
      </c>
      <c r="P3773" s="13">
        <f t="shared" si="117"/>
        <v>2091596</v>
      </c>
      <c r="Q3773" s="13">
        <f>SUMIFS(M:M,E:E,Online_eCommerce[[#This Row],[Status]])</f>
        <v>21103186</v>
      </c>
      <c r="R3773" s="13">
        <f>SUMIFS(L:L,H:H,Online_eCommerce[[#This Row],[Brand]])</f>
        <v>12435650</v>
      </c>
      <c r="S3773" s="13">
        <f>SUMIF(H:H,Online_eCommerce[[#This Row],[Brand]],M:M)</f>
        <v>16166345</v>
      </c>
      <c r="T3773" s="13">
        <f>SUMIF(N:N,Online_eCommerce[[#This Row],[Assigned Supervisor]],L:L)</f>
        <v>14373360</v>
      </c>
    </row>
    <row r="3774" spans="1:20" x14ac:dyDescent="0.3">
      <c r="A3774" t="s">
        <v>5638</v>
      </c>
      <c r="B3774" t="s">
        <v>15</v>
      </c>
      <c r="C3774" t="s">
        <v>189</v>
      </c>
      <c r="D3774" t="s">
        <v>5570</v>
      </c>
      <c r="E3774" t="s">
        <v>46</v>
      </c>
      <c r="F3774" t="s">
        <v>183</v>
      </c>
      <c r="G3774" t="s">
        <v>71</v>
      </c>
      <c r="H3774" t="s">
        <v>61</v>
      </c>
      <c r="I3774">
        <v>9500</v>
      </c>
      <c r="J3774">
        <v>12350</v>
      </c>
      <c r="K3774">
        <v>1</v>
      </c>
      <c r="L3774">
        <v>9500</v>
      </c>
      <c r="M3774">
        <v>12350</v>
      </c>
      <c r="N3774" t="s">
        <v>35</v>
      </c>
      <c r="O3774">
        <f t="shared" si="116"/>
        <v>9750</v>
      </c>
      <c r="P3774" s="13">
        <f t="shared" si="117"/>
        <v>2740777</v>
      </c>
      <c r="Q3774" s="13">
        <f>SUMIFS(M:M,E:E,Online_eCommerce[[#This Row],[Status]])</f>
        <v>28620410</v>
      </c>
      <c r="R3774" s="13">
        <f>SUMIFS(L:L,H:H,Online_eCommerce[[#This Row],[Brand]])</f>
        <v>10950150</v>
      </c>
      <c r="S3774" s="13">
        <f>SUMIF(H:H,Online_eCommerce[[#This Row],[Brand]],M:M)</f>
        <v>14235195</v>
      </c>
      <c r="T3774" s="13">
        <f>SUMIF(N:N,Online_eCommerce[[#This Row],[Assigned Supervisor]],L:L)</f>
        <v>14373360</v>
      </c>
    </row>
    <row r="3775" spans="1:20" hidden="1" x14ac:dyDescent="0.3">
      <c r="A3775" t="s">
        <v>5639</v>
      </c>
      <c r="B3775" t="s">
        <v>202</v>
      </c>
      <c r="C3775" t="s">
        <v>193</v>
      </c>
      <c r="D3775" t="s">
        <v>5570</v>
      </c>
      <c r="E3775" t="s">
        <v>96</v>
      </c>
      <c r="F3775" t="s">
        <v>5640</v>
      </c>
      <c r="G3775" t="s">
        <v>77</v>
      </c>
      <c r="H3775" t="s">
        <v>142</v>
      </c>
      <c r="I3775">
        <v>10000</v>
      </c>
      <c r="J3775">
        <v>13000</v>
      </c>
      <c r="K3775">
        <v>4</v>
      </c>
      <c r="L3775">
        <v>40000</v>
      </c>
      <c r="M3775">
        <v>52000</v>
      </c>
      <c r="N3775" t="s">
        <v>22</v>
      </c>
      <c r="O3775">
        <f t="shared" si="116"/>
        <v>39000</v>
      </c>
      <c r="P3775" s="13">
        <f t="shared" si="117"/>
        <v>2074774</v>
      </c>
      <c r="Q3775" s="13">
        <f>SUMIFS(M:M,E:E,Online_eCommerce[[#This Row],[Status]])</f>
        <v>21233992</v>
      </c>
      <c r="R3775" s="13">
        <f>SUMIFS(L:L,H:H,Online_eCommerce[[#This Row],[Brand]])</f>
        <v>6192500</v>
      </c>
      <c r="S3775" s="13">
        <f>SUMIF(H:H,Online_eCommerce[[#This Row],[Brand]],M:M)</f>
        <v>8050250</v>
      </c>
      <c r="T3775" s="13">
        <f>SUMIF(N:N,Online_eCommerce[[#This Row],[Assigned Supervisor]],L:L)</f>
        <v>13693220</v>
      </c>
    </row>
    <row r="3776" spans="1:20" hidden="1" x14ac:dyDescent="0.3">
      <c r="A3776" t="s">
        <v>5641</v>
      </c>
      <c r="B3776" t="s">
        <v>30</v>
      </c>
      <c r="C3776" t="s">
        <v>197</v>
      </c>
      <c r="D3776" t="s">
        <v>5570</v>
      </c>
      <c r="E3776" t="s">
        <v>18</v>
      </c>
      <c r="F3776" t="s">
        <v>5642</v>
      </c>
      <c r="G3776" t="s">
        <v>20</v>
      </c>
      <c r="H3776" t="s">
        <v>21</v>
      </c>
      <c r="I3776">
        <v>6500</v>
      </c>
      <c r="J3776">
        <v>8450</v>
      </c>
      <c r="K3776">
        <v>2</v>
      </c>
      <c r="L3776">
        <v>13000</v>
      </c>
      <c r="M3776">
        <v>16900</v>
      </c>
      <c r="N3776" t="s">
        <v>28</v>
      </c>
      <c r="O3776">
        <f t="shared" si="116"/>
        <v>8450</v>
      </c>
      <c r="P3776" s="13">
        <f t="shared" si="117"/>
        <v>2829840</v>
      </c>
      <c r="Q3776" s="13">
        <f>SUMIFS(M:M,E:E,Online_eCommerce[[#This Row],[Status]])</f>
        <v>28340455</v>
      </c>
      <c r="R3776" s="13">
        <f>SUMIFS(L:L,H:H,Online_eCommerce[[#This Row],[Brand]])</f>
        <v>12435650</v>
      </c>
      <c r="S3776" s="13">
        <f>SUMIF(H:H,Online_eCommerce[[#This Row],[Brand]],M:M)</f>
        <v>16166345</v>
      </c>
      <c r="T3776" s="13">
        <f>SUMIF(N:N,Online_eCommerce[[#This Row],[Assigned Supervisor]],L:L)</f>
        <v>12220830</v>
      </c>
    </row>
    <row r="3777" spans="1:20" hidden="1" x14ac:dyDescent="0.3">
      <c r="A3777" t="s">
        <v>5643</v>
      </c>
      <c r="B3777" t="s">
        <v>37</v>
      </c>
      <c r="C3777" t="s">
        <v>199</v>
      </c>
      <c r="D3777" t="s">
        <v>5570</v>
      </c>
      <c r="E3777" t="s">
        <v>161</v>
      </c>
      <c r="F3777" t="s">
        <v>5644</v>
      </c>
      <c r="G3777" t="s">
        <v>26</v>
      </c>
      <c r="H3777" t="s">
        <v>27</v>
      </c>
      <c r="I3777">
        <v>8500</v>
      </c>
      <c r="J3777">
        <v>11050</v>
      </c>
      <c r="K3777">
        <v>2</v>
      </c>
      <c r="L3777">
        <v>17000</v>
      </c>
      <c r="M3777">
        <v>22100</v>
      </c>
      <c r="N3777" t="s">
        <v>35</v>
      </c>
      <c r="O3777">
        <f t="shared" si="116"/>
        <v>33150</v>
      </c>
      <c r="P3777" s="13">
        <f t="shared" si="117"/>
        <v>1947361</v>
      </c>
      <c r="Q3777" s="13">
        <f>SUMIFS(M:M,E:E,Online_eCommerce[[#This Row],[Status]])</f>
        <v>21103186</v>
      </c>
      <c r="R3777" s="13">
        <f>SUMIFS(L:L,H:H,Online_eCommerce[[#This Row],[Brand]])</f>
        <v>14431000</v>
      </c>
      <c r="S3777" s="13">
        <f>SUMIF(H:H,Online_eCommerce[[#This Row],[Brand]],M:M)</f>
        <v>18760300</v>
      </c>
      <c r="T3777" s="13">
        <f>SUMIF(N:N,Online_eCommerce[[#This Row],[Assigned Supervisor]],L:L)</f>
        <v>14373360</v>
      </c>
    </row>
    <row r="3778" spans="1:20" x14ac:dyDescent="0.3">
      <c r="A3778" t="s">
        <v>5645</v>
      </c>
      <c r="B3778" t="s">
        <v>44</v>
      </c>
      <c r="C3778" t="s">
        <v>203</v>
      </c>
      <c r="D3778" t="s">
        <v>5570</v>
      </c>
      <c r="E3778" t="s">
        <v>46</v>
      </c>
      <c r="F3778" t="s">
        <v>32</v>
      </c>
      <c r="G3778" t="s">
        <v>33</v>
      </c>
      <c r="H3778" t="s">
        <v>34</v>
      </c>
      <c r="I3778">
        <v>7000</v>
      </c>
      <c r="J3778">
        <v>9100</v>
      </c>
      <c r="K3778">
        <v>1</v>
      </c>
      <c r="L3778">
        <v>7000</v>
      </c>
      <c r="M3778">
        <v>9100</v>
      </c>
      <c r="N3778" t="s">
        <v>42</v>
      </c>
      <c r="O3778">
        <f t="shared" ref="O3778:O3841" si="118">VLOOKUP(G3778,G:M,7,FALSE)</f>
        <v>18200</v>
      </c>
      <c r="P3778" s="13">
        <f t="shared" ref="P3778:P3841" si="119">SUMIFS(M:M,C:C,C3778)</f>
        <v>2559635</v>
      </c>
      <c r="Q3778" s="13">
        <f>SUMIFS(M:M,E:E,Online_eCommerce[[#This Row],[Status]])</f>
        <v>28620410</v>
      </c>
      <c r="R3778" s="13">
        <f>SUMIFS(L:L,H:H,Online_eCommerce[[#This Row],[Brand]])</f>
        <v>10087000</v>
      </c>
      <c r="S3778" s="13">
        <f>SUMIF(H:H,Online_eCommerce[[#This Row],[Brand]],M:M)</f>
        <v>13113100</v>
      </c>
      <c r="T3778" s="13">
        <f>SUMIF(N:N,Online_eCommerce[[#This Row],[Assigned Supervisor]],L:L)</f>
        <v>12261500</v>
      </c>
    </row>
    <row r="3779" spans="1:20" hidden="1" x14ac:dyDescent="0.3">
      <c r="A3779" t="s">
        <v>5646</v>
      </c>
      <c r="B3779" t="s">
        <v>213</v>
      </c>
      <c r="C3779" t="s">
        <v>205</v>
      </c>
      <c r="D3779" t="s">
        <v>5570</v>
      </c>
      <c r="E3779" t="s">
        <v>96</v>
      </c>
      <c r="F3779" t="s">
        <v>5647</v>
      </c>
      <c r="G3779" t="s">
        <v>40</v>
      </c>
      <c r="H3779" t="s">
        <v>41</v>
      </c>
      <c r="I3779">
        <v>6550</v>
      </c>
      <c r="J3779">
        <v>8515</v>
      </c>
      <c r="K3779">
        <v>4</v>
      </c>
      <c r="L3779">
        <v>26200</v>
      </c>
      <c r="M3779">
        <v>34060</v>
      </c>
      <c r="N3779" t="s">
        <v>50</v>
      </c>
      <c r="O3779">
        <f t="shared" si="118"/>
        <v>25545</v>
      </c>
      <c r="P3779" s="13">
        <f t="shared" si="119"/>
        <v>1983254</v>
      </c>
      <c r="Q3779" s="13">
        <f>SUMIFS(M:M,E:E,Online_eCommerce[[#This Row],[Status]])</f>
        <v>21233992</v>
      </c>
      <c r="R3779" s="13">
        <f>SUMIFS(L:L,H:H,Online_eCommerce[[#This Row],[Brand]])</f>
        <v>4260400</v>
      </c>
      <c r="S3779" s="13">
        <f>SUMIF(H:H,Online_eCommerce[[#This Row],[Brand]],M:M)</f>
        <v>5538520</v>
      </c>
      <c r="T3779" s="13">
        <f>SUMIF(N:N,Online_eCommerce[[#This Row],[Assigned Supervisor]],L:L)</f>
        <v>12100590</v>
      </c>
    </row>
    <row r="3780" spans="1:20" hidden="1" x14ac:dyDescent="0.3">
      <c r="A3780" t="s">
        <v>5648</v>
      </c>
      <c r="B3780" t="s">
        <v>215</v>
      </c>
      <c r="C3780" t="s">
        <v>208</v>
      </c>
      <c r="D3780" t="s">
        <v>5570</v>
      </c>
      <c r="E3780" t="s">
        <v>18</v>
      </c>
      <c r="F3780" t="s">
        <v>47</v>
      </c>
      <c r="G3780" t="s">
        <v>334</v>
      </c>
      <c r="H3780" t="s">
        <v>49</v>
      </c>
      <c r="I3780">
        <v>7650</v>
      </c>
      <c r="J3780">
        <v>9945</v>
      </c>
      <c r="K3780">
        <v>4</v>
      </c>
      <c r="L3780">
        <v>30600</v>
      </c>
      <c r="M3780">
        <v>39780</v>
      </c>
      <c r="N3780" t="s">
        <v>56</v>
      </c>
      <c r="O3780">
        <f t="shared" si="118"/>
        <v>39780</v>
      </c>
      <c r="P3780" s="13">
        <f t="shared" si="119"/>
        <v>2746575</v>
      </c>
      <c r="Q3780" s="13">
        <f>SUMIFS(M:M,E:E,Online_eCommerce[[#This Row],[Status]])</f>
        <v>28340455</v>
      </c>
      <c r="R3780" s="13">
        <f>SUMIFS(L:L,H:H,Online_eCommerce[[#This Row],[Brand]])</f>
        <v>4528350</v>
      </c>
      <c r="S3780" s="13">
        <f>SUMIF(H:H,Online_eCommerce[[#This Row],[Brand]],M:M)</f>
        <v>5886855</v>
      </c>
      <c r="T3780" s="13">
        <f>SUMIF(N:N,Online_eCommerce[[#This Row],[Assigned Supervisor]],L:L)</f>
        <v>11733610</v>
      </c>
    </row>
    <row r="3781" spans="1:20" hidden="1" x14ac:dyDescent="0.3">
      <c r="A3781" t="s">
        <v>5649</v>
      </c>
      <c r="B3781" t="s">
        <v>306</v>
      </c>
      <c r="C3781" t="s">
        <v>211</v>
      </c>
      <c r="D3781" t="s">
        <v>5570</v>
      </c>
      <c r="E3781" t="s">
        <v>161</v>
      </c>
      <c r="F3781" t="s">
        <v>53</v>
      </c>
      <c r="G3781" t="s">
        <v>54</v>
      </c>
      <c r="H3781" t="s">
        <v>55</v>
      </c>
      <c r="I3781">
        <v>1150</v>
      </c>
      <c r="J3781">
        <v>1495</v>
      </c>
      <c r="K3781">
        <v>4</v>
      </c>
      <c r="L3781">
        <v>4600</v>
      </c>
      <c r="M3781">
        <v>5980</v>
      </c>
      <c r="N3781" t="s">
        <v>22</v>
      </c>
      <c r="O3781">
        <f t="shared" si="118"/>
        <v>2990</v>
      </c>
      <c r="P3781" s="13">
        <f t="shared" si="119"/>
        <v>1809847</v>
      </c>
      <c r="Q3781" s="13">
        <f>SUMIFS(M:M,E:E,Online_eCommerce[[#This Row],[Status]])</f>
        <v>21103186</v>
      </c>
      <c r="R3781" s="13">
        <f>SUMIFS(L:L,H:H,Online_eCommerce[[#This Row],[Brand]])</f>
        <v>2267380</v>
      </c>
      <c r="S3781" s="13">
        <f>SUMIF(H:H,Online_eCommerce[[#This Row],[Brand]],M:M)</f>
        <v>2947594</v>
      </c>
      <c r="T3781" s="13">
        <f>SUMIF(N:N,Online_eCommerce[[#This Row],[Assigned Supervisor]],L:L)</f>
        <v>13693220</v>
      </c>
    </row>
    <row r="3782" spans="1:20" x14ac:dyDescent="0.3">
      <c r="A3782" t="s">
        <v>5650</v>
      </c>
      <c r="B3782" t="s">
        <v>528</v>
      </c>
      <c r="C3782" t="s">
        <v>16</v>
      </c>
      <c r="D3782" t="s">
        <v>5570</v>
      </c>
      <c r="E3782" t="s">
        <v>46</v>
      </c>
      <c r="F3782" t="s">
        <v>59</v>
      </c>
      <c r="G3782" t="s">
        <v>60</v>
      </c>
      <c r="H3782" t="s">
        <v>61</v>
      </c>
      <c r="I3782">
        <v>850</v>
      </c>
      <c r="J3782">
        <v>1105</v>
      </c>
      <c r="K3782">
        <v>2</v>
      </c>
      <c r="L3782">
        <v>1700</v>
      </c>
      <c r="M3782">
        <v>2210</v>
      </c>
      <c r="N3782" t="s">
        <v>28</v>
      </c>
      <c r="O3782">
        <f t="shared" si="118"/>
        <v>3315</v>
      </c>
      <c r="P3782" s="13">
        <f t="shared" si="119"/>
        <v>2751814</v>
      </c>
      <c r="Q3782" s="13">
        <f>SUMIFS(M:M,E:E,Online_eCommerce[[#This Row],[Status]])</f>
        <v>28620410</v>
      </c>
      <c r="R3782" s="13">
        <f>SUMIFS(L:L,H:H,Online_eCommerce[[#This Row],[Brand]])</f>
        <v>10950150</v>
      </c>
      <c r="S3782" s="13">
        <f>SUMIF(H:H,Online_eCommerce[[#This Row],[Brand]],M:M)</f>
        <v>14235195</v>
      </c>
      <c r="T3782" s="13">
        <f>SUMIF(N:N,Online_eCommerce[[#This Row],[Assigned Supervisor]],L:L)</f>
        <v>12220830</v>
      </c>
    </row>
    <row r="3783" spans="1:20" hidden="1" x14ac:dyDescent="0.3">
      <c r="A3783" t="s">
        <v>5651</v>
      </c>
      <c r="B3783" t="s">
        <v>73</v>
      </c>
      <c r="C3783" t="s">
        <v>24</v>
      </c>
      <c r="D3783" t="s">
        <v>5570</v>
      </c>
      <c r="E3783" t="s">
        <v>96</v>
      </c>
      <c r="F3783" t="s">
        <v>65</v>
      </c>
      <c r="G3783" t="s">
        <v>66</v>
      </c>
      <c r="H3783" t="s">
        <v>21</v>
      </c>
      <c r="I3783">
        <v>650</v>
      </c>
      <c r="J3783">
        <v>845</v>
      </c>
      <c r="K3783">
        <v>1</v>
      </c>
      <c r="L3783">
        <v>650</v>
      </c>
      <c r="M3783">
        <v>845</v>
      </c>
      <c r="N3783" t="s">
        <v>35</v>
      </c>
      <c r="O3783">
        <f t="shared" si="118"/>
        <v>1690</v>
      </c>
      <c r="P3783" s="13">
        <f t="shared" si="119"/>
        <v>2009540</v>
      </c>
      <c r="Q3783" s="13">
        <f>SUMIFS(M:M,E:E,Online_eCommerce[[#This Row],[Status]])</f>
        <v>21233992</v>
      </c>
      <c r="R3783" s="13">
        <f>SUMIFS(L:L,H:H,Online_eCommerce[[#This Row],[Brand]])</f>
        <v>12435650</v>
      </c>
      <c r="S3783" s="13">
        <f>SUMIF(H:H,Online_eCommerce[[#This Row],[Brand]],M:M)</f>
        <v>16166345</v>
      </c>
      <c r="T3783" s="13">
        <f>SUMIF(N:N,Online_eCommerce[[#This Row],[Assigned Supervisor]],L:L)</f>
        <v>14373360</v>
      </c>
    </row>
    <row r="3784" spans="1:20" hidden="1" x14ac:dyDescent="0.3">
      <c r="A3784" t="s">
        <v>5652</v>
      </c>
      <c r="B3784" t="s">
        <v>80</v>
      </c>
      <c r="C3784" t="s">
        <v>31</v>
      </c>
      <c r="D3784" t="s">
        <v>5570</v>
      </c>
      <c r="E3784" t="s">
        <v>18</v>
      </c>
      <c r="F3784" t="s">
        <v>70</v>
      </c>
      <c r="G3784" t="s">
        <v>71</v>
      </c>
      <c r="H3784" t="s">
        <v>61</v>
      </c>
      <c r="I3784">
        <v>7500</v>
      </c>
      <c r="J3784">
        <v>9750</v>
      </c>
      <c r="K3784">
        <v>1</v>
      </c>
      <c r="L3784">
        <v>7500</v>
      </c>
      <c r="M3784">
        <v>9750</v>
      </c>
      <c r="N3784" t="s">
        <v>42</v>
      </c>
      <c r="O3784">
        <f t="shared" si="118"/>
        <v>9750</v>
      </c>
      <c r="P3784" s="13">
        <f t="shared" si="119"/>
        <v>2865746</v>
      </c>
      <c r="Q3784" s="13">
        <f>SUMIFS(M:M,E:E,Online_eCommerce[[#This Row],[Status]])</f>
        <v>28340455</v>
      </c>
      <c r="R3784" s="13">
        <f>SUMIFS(L:L,H:H,Online_eCommerce[[#This Row],[Brand]])</f>
        <v>10950150</v>
      </c>
      <c r="S3784" s="13">
        <f>SUMIF(H:H,Online_eCommerce[[#This Row],[Brand]],M:M)</f>
        <v>14235195</v>
      </c>
      <c r="T3784" s="13">
        <f>SUMIF(N:N,Online_eCommerce[[#This Row],[Assigned Supervisor]],L:L)</f>
        <v>12261500</v>
      </c>
    </row>
    <row r="3785" spans="1:20" hidden="1" x14ac:dyDescent="0.3">
      <c r="A3785" t="s">
        <v>5653</v>
      </c>
      <c r="B3785" t="s">
        <v>85</v>
      </c>
      <c r="C3785" t="s">
        <v>38</v>
      </c>
      <c r="D3785" t="s">
        <v>5570</v>
      </c>
      <c r="E3785" t="s">
        <v>161</v>
      </c>
      <c r="F3785" t="s">
        <v>5640</v>
      </c>
      <c r="G3785" t="s">
        <v>77</v>
      </c>
      <c r="H3785" t="s">
        <v>78</v>
      </c>
      <c r="I3785">
        <v>10000</v>
      </c>
      <c r="J3785">
        <v>13000</v>
      </c>
      <c r="K3785">
        <v>2</v>
      </c>
      <c r="L3785">
        <v>20000</v>
      </c>
      <c r="M3785">
        <v>26000</v>
      </c>
      <c r="N3785" t="s">
        <v>50</v>
      </c>
      <c r="O3785">
        <f t="shared" si="118"/>
        <v>39000</v>
      </c>
      <c r="P3785" s="13">
        <f t="shared" si="119"/>
        <v>1933997</v>
      </c>
      <c r="Q3785" s="13">
        <f>SUMIFS(M:M,E:E,Online_eCommerce[[#This Row],[Status]])</f>
        <v>21103186</v>
      </c>
      <c r="R3785" s="13">
        <f>SUMIFS(L:L,H:H,Online_eCommerce[[#This Row],[Brand]])</f>
        <v>3720000</v>
      </c>
      <c r="S3785" s="13">
        <f>SUMIF(H:H,Online_eCommerce[[#This Row],[Brand]],M:M)</f>
        <v>4836000</v>
      </c>
      <c r="T3785" s="13">
        <f>SUMIF(N:N,Online_eCommerce[[#This Row],[Assigned Supervisor]],L:L)</f>
        <v>12100590</v>
      </c>
    </row>
    <row r="3786" spans="1:20" x14ac:dyDescent="0.3">
      <c r="A3786" t="s">
        <v>5654</v>
      </c>
      <c r="B3786" t="s">
        <v>90</v>
      </c>
      <c r="C3786" t="s">
        <v>45</v>
      </c>
      <c r="D3786" t="s">
        <v>5570</v>
      </c>
      <c r="E3786" t="s">
        <v>46</v>
      </c>
      <c r="F3786" t="s">
        <v>5655</v>
      </c>
      <c r="G3786" t="s">
        <v>20</v>
      </c>
      <c r="H3786" t="s">
        <v>21</v>
      </c>
      <c r="I3786">
        <v>10500</v>
      </c>
      <c r="J3786">
        <v>13650</v>
      </c>
      <c r="K3786">
        <v>3</v>
      </c>
      <c r="L3786">
        <v>31500</v>
      </c>
      <c r="M3786">
        <v>40950</v>
      </c>
      <c r="N3786" t="s">
        <v>56</v>
      </c>
      <c r="O3786">
        <f t="shared" si="118"/>
        <v>8450</v>
      </c>
      <c r="P3786" s="13">
        <f t="shared" si="119"/>
        <v>2842554</v>
      </c>
      <c r="Q3786" s="13">
        <f>SUMIFS(M:M,E:E,Online_eCommerce[[#This Row],[Status]])</f>
        <v>28620410</v>
      </c>
      <c r="R3786" s="13">
        <f>SUMIFS(L:L,H:H,Online_eCommerce[[#This Row],[Brand]])</f>
        <v>12435650</v>
      </c>
      <c r="S3786" s="13">
        <f>SUMIF(H:H,Online_eCommerce[[#This Row],[Brand]],M:M)</f>
        <v>16166345</v>
      </c>
      <c r="T3786" s="13">
        <f>SUMIF(N:N,Online_eCommerce[[#This Row],[Assigned Supervisor]],L:L)</f>
        <v>11733610</v>
      </c>
    </row>
    <row r="3787" spans="1:20" hidden="1" x14ac:dyDescent="0.3">
      <c r="A3787" t="s">
        <v>5656</v>
      </c>
      <c r="B3787" t="s">
        <v>232</v>
      </c>
      <c r="C3787" t="s">
        <v>52</v>
      </c>
      <c r="D3787" t="s">
        <v>5570</v>
      </c>
      <c r="E3787" t="s">
        <v>96</v>
      </c>
      <c r="F3787" t="s">
        <v>88</v>
      </c>
      <c r="G3787" t="s">
        <v>26</v>
      </c>
      <c r="H3787" t="s">
        <v>27</v>
      </c>
      <c r="I3787">
        <v>8500</v>
      </c>
      <c r="J3787">
        <v>11050</v>
      </c>
      <c r="K3787">
        <v>4</v>
      </c>
      <c r="L3787">
        <v>34000</v>
      </c>
      <c r="M3787">
        <v>44200</v>
      </c>
      <c r="N3787" t="s">
        <v>22</v>
      </c>
      <c r="O3787">
        <f t="shared" si="118"/>
        <v>33150</v>
      </c>
      <c r="P3787" s="13">
        <f t="shared" si="119"/>
        <v>1955044</v>
      </c>
      <c r="Q3787" s="13">
        <f>SUMIFS(M:M,E:E,Online_eCommerce[[#This Row],[Status]])</f>
        <v>21233992</v>
      </c>
      <c r="R3787" s="13">
        <f>SUMIFS(L:L,H:H,Online_eCommerce[[#This Row],[Brand]])</f>
        <v>14431000</v>
      </c>
      <c r="S3787" s="13">
        <f>SUMIF(H:H,Online_eCommerce[[#This Row],[Brand]],M:M)</f>
        <v>18760300</v>
      </c>
      <c r="T3787" s="13">
        <f>SUMIF(N:N,Online_eCommerce[[#This Row],[Assigned Supervisor]],L:L)</f>
        <v>13693220</v>
      </c>
    </row>
    <row r="3788" spans="1:20" hidden="1" x14ac:dyDescent="0.3">
      <c r="A3788" t="s">
        <v>5657</v>
      </c>
      <c r="B3788" t="s">
        <v>235</v>
      </c>
      <c r="C3788" t="s">
        <v>58</v>
      </c>
      <c r="D3788" t="s">
        <v>5570</v>
      </c>
      <c r="E3788" t="s">
        <v>18</v>
      </c>
      <c r="F3788" t="s">
        <v>32</v>
      </c>
      <c r="G3788" t="s">
        <v>33</v>
      </c>
      <c r="H3788" t="s">
        <v>34</v>
      </c>
      <c r="I3788">
        <v>7000</v>
      </c>
      <c r="J3788">
        <v>9100</v>
      </c>
      <c r="K3788">
        <v>4</v>
      </c>
      <c r="L3788">
        <v>28000</v>
      </c>
      <c r="M3788">
        <v>36400</v>
      </c>
      <c r="N3788" t="s">
        <v>28</v>
      </c>
      <c r="O3788">
        <f t="shared" si="118"/>
        <v>18200</v>
      </c>
      <c r="P3788" s="13">
        <f t="shared" si="119"/>
        <v>2629211</v>
      </c>
      <c r="Q3788" s="13">
        <f>SUMIFS(M:M,E:E,Online_eCommerce[[#This Row],[Status]])</f>
        <v>28340455</v>
      </c>
      <c r="R3788" s="13">
        <f>SUMIFS(L:L,H:H,Online_eCommerce[[#This Row],[Brand]])</f>
        <v>10087000</v>
      </c>
      <c r="S3788" s="13">
        <f>SUMIF(H:H,Online_eCommerce[[#This Row],[Brand]],M:M)</f>
        <v>13113100</v>
      </c>
      <c r="T3788" s="13">
        <f>SUMIF(N:N,Online_eCommerce[[#This Row],[Assigned Supervisor]],L:L)</f>
        <v>12220830</v>
      </c>
    </row>
    <row r="3789" spans="1:20" hidden="1" x14ac:dyDescent="0.3">
      <c r="A3789" t="s">
        <v>5658</v>
      </c>
      <c r="B3789" t="s">
        <v>104</v>
      </c>
      <c r="C3789" t="s">
        <v>63</v>
      </c>
      <c r="D3789" t="s">
        <v>5570</v>
      </c>
      <c r="E3789" t="s">
        <v>161</v>
      </c>
      <c r="F3789" t="s">
        <v>5659</v>
      </c>
      <c r="G3789" t="s">
        <v>40</v>
      </c>
      <c r="H3789" t="s">
        <v>41</v>
      </c>
      <c r="I3789">
        <v>1680</v>
      </c>
      <c r="J3789">
        <v>2184</v>
      </c>
      <c r="K3789">
        <v>2</v>
      </c>
      <c r="L3789">
        <v>3360</v>
      </c>
      <c r="M3789">
        <v>4368</v>
      </c>
      <c r="N3789" t="s">
        <v>35</v>
      </c>
      <c r="O3789">
        <f t="shared" si="118"/>
        <v>25545</v>
      </c>
      <c r="P3789" s="13">
        <f t="shared" si="119"/>
        <v>2016131</v>
      </c>
      <c r="Q3789" s="13">
        <f>SUMIFS(M:M,E:E,Online_eCommerce[[#This Row],[Status]])</f>
        <v>21103186</v>
      </c>
      <c r="R3789" s="13">
        <f>SUMIFS(L:L,H:H,Online_eCommerce[[#This Row],[Brand]])</f>
        <v>4260400</v>
      </c>
      <c r="S3789" s="13">
        <f>SUMIF(H:H,Online_eCommerce[[#This Row],[Brand]],M:M)</f>
        <v>5538520</v>
      </c>
      <c r="T3789" s="13">
        <f>SUMIF(N:N,Online_eCommerce[[#This Row],[Assigned Supervisor]],L:L)</f>
        <v>14373360</v>
      </c>
    </row>
    <row r="3790" spans="1:20" x14ac:dyDescent="0.3">
      <c r="A3790" t="s">
        <v>5660</v>
      </c>
      <c r="B3790" t="s">
        <v>109</v>
      </c>
      <c r="C3790" t="s">
        <v>68</v>
      </c>
      <c r="D3790" t="s">
        <v>5570</v>
      </c>
      <c r="E3790" t="s">
        <v>46</v>
      </c>
      <c r="F3790" t="s">
        <v>101</v>
      </c>
      <c r="G3790" t="s">
        <v>334</v>
      </c>
      <c r="H3790" t="s">
        <v>102</v>
      </c>
      <c r="I3790">
        <v>6540</v>
      </c>
      <c r="J3790">
        <v>8502</v>
      </c>
      <c r="K3790">
        <v>4</v>
      </c>
      <c r="L3790">
        <v>26160</v>
      </c>
      <c r="M3790">
        <v>34008</v>
      </c>
      <c r="N3790" t="s">
        <v>35</v>
      </c>
      <c r="O3790">
        <f t="shared" si="118"/>
        <v>39780</v>
      </c>
      <c r="P3790" s="13">
        <f t="shared" si="119"/>
        <v>2974621</v>
      </c>
      <c r="Q3790" s="13">
        <f>SUMIFS(M:M,E:E,Online_eCommerce[[#This Row],[Status]])</f>
        <v>28620410</v>
      </c>
      <c r="R3790" s="13">
        <f>SUMIFS(L:L,H:H,Online_eCommerce[[#This Row],[Brand]])</f>
        <v>2465580</v>
      </c>
      <c r="S3790" s="13">
        <f>SUMIF(H:H,Online_eCommerce[[#This Row],[Brand]],M:M)</f>
        <v>3205254</v>
      </c>
      <c r="T3790" s="13">
        <f>SUMIF(N:N,Online_eCommerce[[#This Row],[Assigned Supervisor]],L:L)</f>
        <v>14373360</v>
      </c>
    </row>
    <row r="3791" spans="1:20" hidden="1" x14ac:dyDescent="0.3">
      <c r="A3791" t="s">
        <v>5661</v>
      </c>
      <c r="B3791" t="s">
        <v>114</v>
      </c>
      <c r="C3791" t="s">
        <v>74</v>
      </c>
      <c r="D3791" t="s">
        <v>5570</v>
      </c>
      <c r="E3791" t="s">
        <v>96</v>
      </c>
      <c r="F3791" t="s">
        <v>107</v>
      </c>
      <c r="G3791" t="s">
        <v>54</v>
      </c>
      <c r="H3791" t="s">
        <v>55</v>
      </c>
      <c r="I3791">
        <v>2680</v>
      </c>
      <c r="J3791">
        <v>3484</v>
      </c>
      <c r="K3791">
        <v>4</v>
      </c>
      <c r="L3791">
        <v>10720</v>
      </c>
      <c r="M3791">
        <v>13936</v>
      </c>
      <c r="N3791" t="s">
        <v>35</v>
      </c>
      <c r="O3791">
        <f t="shared" si="118"/>
        <v>2990</v>
      </c>
      <c r="P3791" s="13">
        <f t="shared" si="119"/>
        <v>2144701</v>
      </c>
      <c r="Q3791" s="13">
        <f>SUMIFS(M:M,E:E,Online_eCommerce[[#This Row],[Status]])</f>
        <v>21233992</v>
      </c>
      <c r="R3791" s="13">
        <f>SUMIFS(L:L,H:H,Online_eCommerce[[#This Row],[Brand]])</f>
        <v>2267380</v>
      </c>
      <c r="S3791" s="13">
        <f>SUMIF(H:H,Online_eCommerce[[#This Row],[Brand]],M:M)</f>
        <v>2947594</v>
      </c>
      <c r="T3791" s="13">
        <f>SUMIF(N:N,Online_eCommerce[[#This Row],[Assigned Supervisor]],L:L)</f>
        <v>14373360</v>
      </c>
    </row>
    <row r="3792" spans="1:20" hidden="1" x14ac:dyDescent="0.3">
      <c r="A3792" t="s">
        <v>5662</v>
      </c>
      <c r="B3792" t="s">
        <v>119</v>
      </c>
      <c r="C3792" t="s">
        <v>81</v>
      </c>
      <c r="D3792" t="s">
        <v>5570</v>
      </c>
      <c r="E3792" t="s">
        <v>18</v>
      </c>
      <c r="F3792" t="s">
        <v>112</v>
      </c>
      <c r="G3792" t="s">
        <v>71</v>
      </c>
      <c r="H3792" t="s">
        <v>21</v>
      </c>
      <c r="I3792">
        <v>8250</v>
      </c>
      <c r="J3792">
        <v>10725</v>
      </c>
      <c r="K3792">
        <v>2</v>
      </c>
      <c r="L3792">
        <v>16500</v>
      </c>
      <c r="M3792">
        <v>21450</v>
      </c>
      <c r="N3792" t="s">
        <v>35</v>
      </c>
      <c r="O3792">
        <f t="shared" si="118"/>
        <v>9750</v>
      </c>
      <c r="P3792" s="13">
        <f t="shared" si="119"/>
        <v>2595632</v>
      </c>
      <c r="Q3792" s="13">
        <f>SUMIFS(M:M,E:E,Online_eCommerce[[#This Row],[Status]])</f>
        <v>28340455</v>
      </c>
      <c r="R3792" s="13">
        <f>SUMIFS(L:L,H:H,Online_eCommerce[[#This Row],[Brand]])</f>
        <v>12435650</v>
      </c>
      <c r="S3792" s="13">
        <f>SUMIF(H:H,Online_eCommerce[[#This Row],[Brand]],M:M)</f>
        <v>16166345</v>
      </c>
      <c r="T3792" s="13">
        <f>SUMIF(N:N,Online_eCommerce[[#This Row],[Assigned Supervisor]],L:L)</f>
        <v>14373360</v>
      </c>
    </row>
    <row r="3793" spans="1:20" hidden="1" x14ac:dyDescent="0.3">
      <c r="A3793" t="s">
        <v>5663</v>
      </c>
      <c r="B3793" t="s">
        <v>124</v>
      </c>
      <c r="C3793" t="s">
        <v>86</v>
      </c>
      <c r="D3793" t="s">
        <v>5570</v>
      </c>
      <c r="E3793" t="s">
        <v>161</v>
      </c>
      <c r="F3793" t="s">
        <v>5305</v>
      </c>
      <c r="G3793" t="s">
        <v>40</v>
      </c>
      <c r="H3793" t="s">
        <v>21</v>
      </c>
      <c r="I3793">
        <v>2650</v>
      </c>
      <c r="J3793">
        <v>3445</v>
      </c>
      <c r="K3793">
        <v>3</v>
      </c>
      <c r="L3793">
        <v>7950</v>
      </c>
      <c r="M3793">
        <v>10335</v>
      </c>
      <c r="N3793" t="s">
        <v>35</v>
      </c>
      <c r="O3793">
        <f t="shared" si="118"/>
        <v>25545</v>
      </c>
      <c r="P3793" s="13">
        <f t="shared" si="119"/>
        <v>1941225</v>
      </c>
      <c r="Q3793" s="13">
        <f>SUMIFS(M:M,E:E,Online_eCommerce[[#This Row],[Status]])</f>
        <v>21103186</v>
      </c>
      <c r="R3793" s="13">
        <f>SUMIFS(L:L,H:H,Online_eCommerce[[#This Row],[Brand]])</f>
        <v>12435650</v>
      </c>
      <c r="S3793" s="13">
        <f>SUMIF(H:H,Online_eCommerce[[#This Row],[Brand]],M:M)</f>
        <v>16166345</v>
      </c>
      <c r="T3793" s="13">
        <f>SUMIF(N:N,Online_eCommerce[[#This Row],[Assigned Supervisor]],L:L)</f>
        <v>14373360</v>
      </c>
    </row>
    <row r="3794" spans="1:20" x14ac:dyDescent="0.3">
      <c r="A3794" t="s">
        <v>5664</v>
      </c>
      <c r="B3794" t="s">
        <v>128</v>
      </c>
      <c r="C3794" t="s">
        <v>91</v>
      </c>
      <c r="D3794" t="s">
        <v>5570</v>
      </c>
      <c r="E3794" t="s">
        <v>46</v>
      </c>
      <c r="F3794" t="s">
        <v>121</v>
      </c>
      <c r="G3794" t="s">
        <v>71</v>
      </c>
      <c r="H3794" t="s">
        <v>122</v>
      </c>
      <c r="I3794">
        <v>12550</v>
      </c>
      <c r="J3794">
        <v>16315</v>
      </c>
      <c r="K3794">
        <v>4</v>
      </c>
      <c r="L3794">
        <v>50200</v>
      </c>
      <c r="M3794">
        <v>65260</v>
      </c>
      <c r="N3794" t="s">
        <v>35</v>
      </c>
      <c r="O3794">
        <f t="shared" si="118"/>
        <v>9750</v>
      </c>
      <c r="P3794" s="13">
        <f t="shared" si="119"/>
        <v>2731963</v>
      </c>
      <c r="Q3794" s="13">
        <f>SUMIFS(M:M,E:E,Online_eCommerce[[#This Row],[Status]])</f>
        <v>28620410</v>
      </c>
      <c r="R3794" s="13">
        <f>SUMIFS(L:L,H:H,Online_eCommerce[[#This Row],[Brand]])</f>
        <v>5045100</v>
      </c>
      <c r="S3794" s="13">
        <f>SUMIF(H:H,Online_eCommerce[[#This Row],[Brand]],M:M)</f>
        <v>6558630</v>
      </c>
      <c r="T3794" s="13">
        <f>SUMIF(N:N,Online_eCommerce[[#This Row],[Assigned Supervisor]],L:L)</f>
        <v>14373360</v>
      </c>
    </row>
    <row r="3795" spans="1:20" hidden="1" x14ac:dyDescent="0.3">
      <c r="A3795" t="s">
        <v>5665</v>
      </c>
      <c r="B3795" t="s">
        <v>131</v>
      </c>
      <c r="C3795" t="s">
        <v>94</v>
      </c>
      <c r="D3795" t="s">
        <v>5570</v>
      </c>
      <c r="E3795" t="s">
        <v>96</v>
      </c>
      <c r="F3795" t="s">
        <v>126</v>
      </c>
      <c r="G3795" t="s">
        <v>26</v>
      </c>
      <c r="H3795" t="s">
        <v>27</v>
      </c>
      <c r="I3795">
        <v>14500</v>
      </c>
      <c r="J3795">
        <v>18850</v>
      </c>
      <c r="K3795">
        <v>1</v>
      </c>
      <c r="L3795">
        <v>14500</v>
      </c>
      <c r="M3795">
        <v>18850</v>
      </c>
      <c r="N3795" t="s">
        <v>35</v>
      </c>
      <c r="O3795">
        <f t="shared" si="118"/>
        <v>33150</v>
      </c>
      <c r="P3795" s="13">
        <f t="shared" si="119"/>
        <v>1868256</v>
      </c>
      <c r="Q3795" s="13">
        <f>SUMIFS(M:M,E:E,Online_eCommerce[[#This Row],[Status]])</f>
        <v>21233992</v>
      </c>
      <c r="R3795" s="13">
        <f>SUMIFS(L:L,H:H,Online_eCommerce[[#This Row],[Brand]])</f>
        <v>14431000</v>
      </c>
      <c r="S3795" s="13">
        <f>SUMIF(H:H,Online_eCommerce[[#This Row],[Brand]],M:M)</f>
        <v>18760300</v>
      </c>
      <c r="T3795" s="13">
        <f>SUMIF(N:N,Online_eCommerce[[#This Row],[Assigned Supervisor]],L:L)</f>
        <v>14373360</v>
      </c>
    </row>
    <row r="3796" spans="1:20" hidden="1" x14ac:dyDescent="0.3">
      <c r="A3796" t="s">
        <v>5666</v>
      </c>
      <c r="B3796" t="s">
        <v>135</v>
      </c>
      <c r="C3796" t="s">
        <v>99</v>
      </c>
      <c r="D3796" t="s">
        <v>5570</v>
      </c>
      <c r="E3796" t="s">
        <v>18</v>
      </c>
      <c r="F3796" t="s">
        <v>129</v>
      </c>
      <c r="G3796" t="s">
        <v>60</v>
      </c>
      <c r="H3796" t="s">
        <v>61</v>
      </c>
      <c r="I3796">
        <v>800</v>
      </c>
      <c r="J3796">
        <v>1040</v>
      </c>
      <c r="K3796">
        <v>3</v>
      </c>
      <c r="L3796">
        <v>2400</v>
      </c>
      <c r="M3796">
        <v>3120</v>
      </c>
      <c r="N3796" t="s">
        <v>35</v>
      </c>
      <c r="O3796">
        <f t="shared" si="118"/>
        <v>3315</v>
      </c>
      <c r="P3796" s="13">
        <f t="shared" si="119"/>
        <v>2651233</v>
      </c>
      <c r="Q3796" s="13">
        <f>SUMIFS(M:M,E:E,Online_eCommerce[[#This Row],[Status]])</f>
        <v>28340455</v>
      </c>
      <c r="R3796" s="13">
        <f>SUMIFS(L:L,H:H,Online_eCommerce[[#This Row],[Brand]])</f>
        <v>10950150</v>
      </c>
      <c r="S3796" s="13">
        <f>SUMIF(H:H,Online_eCommerce[[#This Row],[Brand]],M:M)</f>
        <v>14235195</v>
      </c>
      <c r="T3796" s="13">
        <f>SUMIF(N:N,Online_eCommerce[[#This Row],[Assigned Supervisor]],L:L)</f>
        <v>14373360</v>
      </c>
    </row>
    <row r="3797" spans="1:20" hidden="1" x14ac:dyDescent="0.3">
      <c r="A3797" t="s">
        <v>5667</v>
      </c>
      <c r="B3797" t="s">
        <v>139</v>
      </c>
      <c r="C3797" t="s">
        <v>105</v>
      </c>
      <c r="D3797" t="s">
        <v>5570</v>
      </c>
      <c r="E3797" t="s">
        <v>161</v>
      </c>
      <c r="F3797" t="s">
        <v>133</v>
      </c>
      <c r="G3797" t="s">
        <v>66</v>
      </c>
      <c r="H3797" t="s">
        <v>21</v>
      </c>
      <c r="I3797">
        <v>600</v>
      </c>
      <c r="J3797">
        <v>780</v>
      </c>
      <c r="K3797">
        <v>3</v>
      </c>
      <c r="L3797">
        <v>1800</v>
      </c>
      <c r="M3797">
        <v>2340</v>
      </c>
      <c r="N3797" t="s">
        <v>35</v>
      </c>
      <c r="O3797">
        <f t="shared" si="118"/>
        <v>1690</v>
      </c>
      <c r="P3797" s="13">
        <f t="shared" si="119"/>
        <v>1866852</v>
      </c>
      <c r="Q3797" s="13">
        <f>SUMIFS(M:M,E:E,Online_eCommerce[[#This Row],[Status]])</f>
        <v>21103186</v>
      </c>
      <c r="R3797" s="13">
        <f>SUMIFS(L:L,H:H,Online_eCommerce[[#This Row],[Brand]])</f>
        <v>12435650</v>
      </c>
      <c r="S3797" s="13">
        <f>SUMIF(H:H,Online_eCommerce[[#This Row],[Brand]],M:M)</f>
        <v>16166345</v>
      </c>
      <c r="T3797" s="13">
        <f>SUMIF(N:N,Online_eCommerce[[#This Row],[Assigned Supervisor]],L:L)</f>
        <v>14373360</v>
      </c>
    </row>
    <row r="3798" spans="1:20" x14ac:dyDescent="0.3">
      <c r="A3798" t="s">
        <v>5668</v>
      </c>
      <c r="B3798" t="s">
        <v>144</v>
      </c>
      <c r="C3798" t="s">
        <v>110</v>
      </c>
      <c r="D3798" t="s">
        <v>5570</v>
      </c>
      <c r="E3798" t="s">
        <v>46</v>
      </c>
      <c r="F3798" t="s">
        <v>137</v>
      </c>
      <c r="G3798" t="s">
        <v>71</v>
      </c>
      <c r="H3798" t="s">
        <v>61</v>
      </c>
      <c r="I3798">
        <v>10500</v>
      </c>
      <c r="J3798">
        <v>13650</v>
      </c>
      <c r="K3798">
        <v>1</v>
      </c>
      <c r="L3798">
        <v>10500</v>
      </c>
      <c r="M3798">
        <v>13650</v>
      </c>
      <c r="N3798" t="s">
        <v>35</v>
      </c>
      <c r="O3798">
        <f t="shared" si="118"/>
        <v>9750</v>
      </c>
      <c r="P3798" s="13">
        <f t="shared" si="119"/>
        <v>2598635</v>
      </c>
      <c r="Q3798" s="13">
        <f>SUMIFS(M:M,E:E,Online_eCommerce[[#This Row],[Status]])</f>
        <v>28620410</v>
      </c>
      <c r="R3798" s="13">
        <f>SUMIFS(L:L,H:H,Online_eCommerce[[#This Row],[Brand]])</f>
        <v>10950150</v>
      </c>
      <c r="S3798" s="13">
        <f>SUMIF(H:H,Online_eCommerce[[#This Row],[Brand]],M:M)</f>
        <v>14235195</v>
      </c>
      <c r="T3798" s="13">
        <f>SUMIF(N:N,Online_eCommerce[[#This Row],[Assigned Supervisor]],L:L)</f>
        <v>14373360</v>
      </c>
    </row>
    <row r="3799" spans="1:20" hidden="1" x14ac:dyDescent="0.3">
      <c r="A3799" t="s">
        <v>5669</v>
      </c>
      <c r="B3799" t="s">
        <v>149</v>
      </c>
      <c r="C3799" t="s">
        <v>115</v>
      </c>
      <c r="D3799" t="s">
        <v>5570</v>
      </c>
      <c r="E3799" t="s">
        <v>96</v>
      </c>
      <c r="F3799" t="s">
        <v>5640</v>
      </c>
      <c r="G3799" t="s">
        <v>77</v>
      </c>
      <c r="H3799" t="s">
        <v>142</v>
      </c>
      <c r="I3799">
        <v>6500</v>
      </c>
      <c r="J3799">
        <v>8450</v>
      </c>
      <c r="K3799">
        <v>2</v>
      </c>
      <c r="L3799">
        <v>13000</v>
      </c>
      <c r="M3799">
        <v>16900</v>
      </c>
      <c r="N3799" t="s">
        <v>22</v>
      </c>
      <c r="O3799">
        <f t="shared" si="118"/>
        <v>39000</v>
      </c>
      <c r="P3799" s="13">
        <f t="shared" si="119"/>
        <v>2050178</v>
      </c>
      <c r="Q3799" s="13">
        <f>SUMIFS(M:M,E:E,Online_eCommerce[[#This Row],[Status]])</f>
        <v>21233992</v>
      </c>
      <c r="R3799" s="13">
        <f>SUMIFS(L:L,H:H,Online_eCommerce[[#This Row],[Brand]])</f>
        <v>6192500</v>
      </c>
      <c r="S3799" s="13">
        <f>SUMIF(H:H,Online_eCommerce[[#This Row],[Brand]],M:M)</f>
        <v>8050250</v>
      </c>
      <c r="T3799" s="13">
        <f>SUMIF(N:N,Online_eCommerce[[#This Row],[Assigned Supervisor]],L:L)</f>
        <v>13693220</v>
      </c>
    </row>
    <row r="3800" spans="1:20" hidden="1" x14ac:dyDescent="0.3">
      <c r="A3800" t="s">
        <v>5670</v>
      </c>
      <c r="B3800" t="s">
        <v>154</v>
      </c>
      <c r="C3800" t="s">
        <v>120</v>
      </c>
      <c r="D3800" t="s">
        <v>5570</v>
      </c>
      <c r="E3800" t="s">
        <v>18</v>
      </c>
      <c r="F3800" t="s">
        <v>5671</v>
      </c>
      <c r="G3800" t="s">
        <v>20</v>
      </c>
      <c r="H3800" t="s">
        <v>21</v>
      </c>
      <c r="I3800">
        <v>4500</v>
      </c>
      <c r="J3800">
        <v>5850</v>
      </c>
      <c r="K3800">
        <v>2</v>
      </c>
      <c r="L3800">
        <v>9000</v>
      </c>
      <c r="M3800">
        <v>11700</v>
      </c>
      <c r="N3800" t="s">
        <v>28</v>
      </c>
      <c r="O3800">
        <f t="shared" si="118"/>
        <v>8450</v>
      </c>
      <c r="P3800" s="13">
        <f t="shared" si="119"/>
        <v>2734212</v>
      </c>
      <c r="Q3800" s="13">
        <f>SUMIFS(M:M,E:E,Online_eCommerce[[#This Row],[Status]])</f>
        <v>28340455</v>
      </c>
      <c r="R3800" s="13">
        <f>SUMIFS(L:L,H:H,Online_eCommerce[[#This Row],[Brand]])</f>
        <v>12435650</v>
      </c>
      <c r="S3800" s="13">
        <f>SUMIF(H:H,Online_eCommerce[[#This Row],[Brand]],M:M)</f>
        <v>16166345</v>
      </c>
      <c r="T3800" s="13">
        <f>SUMIF(N:N,Online_eCommerce[[#This Row],[Assigned Supervisor]],L:L)</f>
        <v>12220830</v>
      </c>
    </row>
    <row r="3801" spans="1:20" hidden="1" x14ac:dyDescent="0.3">
      <c r="A3801" t="s">
        <v>5672</v>
      </c>
      <c r="B3801" t="s">
        <v>159</v>
      </c>
      <c r="C3801" t="s">
        <v>125</v>
      </c>
      <c r="D3801" t="s">
        <v>5570</v>
      </c>
      <c r="E3801" t="s">
        <v>161</v>
      </c>
      <c r="F3801" t="s">
        <v>152</v>
      </c>
      <c r="G3801" t="s">
        <v>26</v>
      </c>
      <c r="H3801" t="s">
        <v>27</v>
      </c>
      <c r="I3801">
        <v>8500</v>
      </c>
      <c r="J3801">
        <v>11050</v>
      </c>
      <c r="K3801">
        <v>1</v>
      </c>
      <c r="L3801">
        <v>8500</v>
      </c>
      <c r="M3801">
        <v>11050</v>
      </c>
      <c r="N3801" t="s">
        <v>35</v>
      </c>
      <c r="O3801">
        <f t="shared" si="118"/>
        <v>33150</v>
      </c>
      <c r="P3801" s="13">
        <f t="shared" si="119"/>
        <v>2091154</v>
      </c>
      <c r="Q3801" s="13">
        <f>SUMIFS(M:M,E:E,Online_eCommerce[[#This Row],[Status]])</f>
        <v>21103186</v>
      </c>
      <c r="R3801" s="13">
        <f>SUMIFS(L:L,H:H,Online_eCommerce[[#This Row],[Brand]])</f>
        <v>14431000</v>
      </c>
      <c r="S3801" s="13">
        <f>SUMIF(H:H,Online_eCommerce[[#This Row],[Brand]],M:M)</f>
        <v>18760300</v>
      </c>
      <c r="T3801" s="13">
        <f>SUMIF(N:N,Online_eCommerce[[#This Row],[Assigned Supervisor]],L:L)</f>
        <v>14373360</v>
      </c>
    </row>
    <row r="3802" spans="1:20" x14ac:dyDescent="0.3">
      <c r="A3802" t="s">
        <v>5673</v>
      </c>
      <c r="B3802" t="s">
        <v>139</v>
      </c>
      <c r="C3802" t="s">
        <v>22</v>
      </c>
      <c r="D3802" t="s">
        <v>5570</v>
      </c>
      <c r="E3802" t="s">
        <v>46</v>
      </c>
      <c r="F3802" t="s">
        <v>157</v>
      </c>
      <c r="G3802" t="s">
        <v>33</v>
      </c>
      <c r="H3802" t="s">
        <v>34</v>
      </c>
      <c r="I3802">
        <v>12500</v>
      </c>
      <c r="J3802">
        <v>16250</v>
      </c>
      <c r="K3802">
        <v>2</v>
      </c>
      <c r="L3802">
        <v>25000</v>
      </c>
      <c r="M3802">
        <v>32500</v>
      </c>
      <c r="N3802" t="s">
        <v>42</v>
      </c>
      <c r="O3802">
        <f t="shared" si="118"/>
        <v>18200</v>
      </c>
      <c r="P3802" s="13">
        <f t="shared" si="119"/>
        <v>2551588</v>
      </c>
      <c r="Q3802" s="13">
        <f>SUMIFS(M:M,E:E,Online_eCommerce[[#This Row],[Status]])</f>
        <v>28620410</v>
      </c>
      <c r="R3802" s="13">
        <f>SUMIFS(L:L,H:H,Online_eCommerce[[#This Row],[Brand]])</f>
        <v>10087000</v>
      </c>
      <c r="S3802" s="13">
        <f>SUMIF(H:H,Online_eCommerce[[#This Row],[Brand]],M:M)</f>
        <v>13113100</v>
      </c>
      <c r="T3802" s="13">
        <f>SUMIF(N:N,Online_eCommerce[[#This Row],[Assigned Supervisor]],L:L)</f>
        <v>12261500</v>
      </c>
    </row>
    <row r="3803" spans="1:20" hidden="1" x14ac:dyDescent="0.3">
      <c r="A3803" t="s">
        <v>5674</v>
      </c>
      <c r="B3803" t="s">
        <v>144</v>
      </c>
      <c r="C3803" t="s">
        <v>132</v>
      </c>
      <c r="D3803" t="s">
        <v>5570</v>
      </c>
      <c r="E3803" t="s">
        <v>96</v>
      </c>
      <c r="F3803" t="s">
        <v>5350</v>
      </c>
      <c r="G3803" t="s">
        <v>163</v>
      </c>
      <c r="H3803" t="s">
        <v>41</v>
      </c>
      <c r="I3803">
        <v>3500</v>
      </c>
      <c r="J3803">
        <v>4550</v>
      </c>
      <c r="K3803">
        <v>4</v>
      </c>
      <c r="L3803">
        <v>14000</v>
      </c>
      <c r="M3803">
        <v>18200</v>
      </c>
      <c r="N3803" t="s">
        <v>50</v>
      </c>
      <c r="O3803">
        <f t="shared" si="118"/>
        <v>13650</v>
      </c>
      <c r="P3803" s="13">
        <f t="shared" si="119"/>
        <v>1989065</v>
      </c>
      <c r="Q3803" s="13">
        <f>SUMIFS(M:M,E:E,Online_eCommerce[[#This Row],[Status]])</f>
        <v>21233992</v>
      </c>
      <c r="R3803" s="13">
        <f>SUMIFS(L:L,H:H,Online_eCommerce[[#This Row],[Brand]])</f>
        <v>4260400</v>
      </c>
      <c r="S3803" s="13">
        <f>SUMIF(H:H,Online_eCommerce[[#This Row],[Brand]],M:M)</f>
        <v>5538520</v>
      </c>
      <c r="T3803" s="13">
        <f>SUMIF(N:N,Online_eCommerce[[#This Row],[Assigned Supervisor]],L:L)</f>
        <v>12100590</v>
      </c>
    </row>
    <row r="3804" spans="1:20" hidden="1" x14ac:dyDescent="0.3">
      <c r="A3804" t="s">
        <v>5675</v>
      </c>
      <c r="B3804" t="s">
        <v>235</v>
      </c>
      <c r="C3804" t="s">
        <v>136</v>
      </c>
      <c r="D3804" t="s">
        <v>5570</v>
      </c>
      <c r="E3804" t="s">
        <v>18</v>
      </c>
      <c r="F3804" t="s">
        <v>166</v>
      </c>
      <c r="G3804" t="s">
        <v>66</v>
      </c>
      <c r="H3804" t="s">
        <v>49</v>
      </c>
      <c r="I3804">
        <v>4500</v>
      </c>
      <c r="J3804">
        <v>5850</v>
      </c>
      <c r="K3804">
        <v>2</v>
      </c>
      <c r="L3804">
        <v>9000</v>
      </c>
      <c r="M3804">
        <v>11700</v>
      </c>
      <c r="N3804" t="s">
        <v>56</v>
      </c>
      <c r="O3804">
        <f t="shared" si="118"/>
        <v>1690</v>
      </c>
      <c r="P3804" s="13">
        <f t="shared" si="119"/>
        <v>2775162</v>
      </c>
      <c r="Q3804" s="13">
        <f>SUMIFS(M:M,E:E,Online_eCommerce[[#This Row],[Status]])</f>
        <v>28340455</v>
      </c>
      <c r="R3804" s="13">
        <f>SUMIFS(L:L,H:H,Online_eCommerce[[#This Row],[Brand]])</f>
        <v>4528350</v>
      </c>
      <c r="S3804" s="13">
        <f>SUMIF(H:H,Online_eCommerce[[#This Row],[Brand]],M:M)</f>
        <v>5886855</v>
      </c>
      <c r="T3804" s="13">
        <f>SUMIF(N:N,Online_eCommerce[[#This Row],[Assigned Supervisor]],L:L)</f>
        <v>11733610</v>
      </c>
    </row>
    <row r="3805" spans="1:20" hidden="1" x14ac:dyDescent="0.3">
      <c r="A3805" t="s">
        <v>5676</v>
      </c>
      <c r="B3805" t="s">
        <v>176</v>
      </c>
      <c r="C3805" t="s">
        <v>140</v>
      </c>
      <c r="D3805" t="s">
        <v>5570</v>
      </c>
      <c r="E3805" t="s">
        <v>161</v>
      </c>
      <c r="F3805" t="s">
        <v>5677</v>
      </c>
      <c r="G3805" t="s">
        <v>54</v>
      </c>
      <c r="H3805" t="s">
        <v>55</v>
      </c>
      <c r="I3805">
        <v>2100</v>
      </c>
      <c r="J3805">
        <v>2730</v>
      </c>
      <c r="K3805">
        <v>1</v>
      </c>
      <c r="L3805">
        <v>2100</v>
      </c>
      <c r="M3805">
        <v>2730</v>
      </c>
      <c r="N3805" t="s">
        <v>22</v>
      </c>
      <c r="O3805">
        <f t="shared" si="118"/>
        <v>2990</v>
      </c>
      <c r="P3805" s="13">
        <f t="shared" si="119"/>
        <v>2058264</v>
      </c>
      <c r="Q3805" s="13">
        <f>SUMIFS(M:M,E:E,Online_eCommerce[[#This Row],[Status]])</f>
        <v>21103186</v>
      </c>
      <c r="R3805" s="13">
        <f>SUMIFS(L:L,H:H,Online_eCommerce[[#This Row],[Brand]])</f>
        <v>2267380</v>
      </c>
      <c r="S3805" s="13">
        <f>SUMIF(H:H,Online_eCommerce[[#This Row],[Brand]],M:M)</f>
        <v>2947594</v>
      </c>
      <c r="T3805" s="13">
        <f>SUMIF(N:N,Online_eCommerce[[#This Row],[Assigned Supervisor]],L:L)</f>
        <v>13693220</v>
      </c>
    </row>
    <row r="3806" spans="1:20" x14ac:dyDescent="0.3">
      <c r="A3806" t="s">
        <v>5678</v>
      </c>
      <c r="B3806" t="s">
        <v>276</v>
      </c>
      <c r="C3806" t="s">
        <v>145</v>
      </c>
      <c r="D3806" t="s">
        <v>5570</v>
      </c>
      <c r="E3806" t="s">
        <v>46</v>
      </c>
      <c r="F3806" t="s">
        <v>174</v>
      </c>
      <c r="G3806" t="s">
        <v>60</v>
      </c>
      <c r="H3806" t="s">
        <v>61</v>
      </c>
      <c r="I3806">
        <v>1150</v>
      </c>
      <c r="J3806">
        <v>1495</v>
      </c>
      <c r="K3806">
        <v>1</v>
      </c>
      <c r="L3806">
        <v>1150</v>
      </c>
      <c r="M3806">
        <v>1495</v>
      </c>
      <c r="N3806" t="s">
        <v>28</v>
      </c>
      <c r="O3806">
        <f t="shared" si="118"/>
        <v>3315</v>
      </c>
      <c r="P3806" s="13">
        <f t="shared" si="119"/>
        <v>2757859</v>
      </c>
      <c r="Q3806" s="13">
        <f>SUMIFS(M:M,E:E,Online_eCommerce[[#This Row],[Status]])</f>
        <v>28620410</v>
      </c>
      <c r="R3806" s="13">
        <f>SUMIFS(L:L,H:H,Online_eCommerce[[#This Row],[Brand]])</f>
        <v>10950150</v>
      </c>
      <c r="S3806" s="13">
        <f>SUMIF(H:H,Online_eCommerce[[#This Row],[Brand]],M:M)</f>
        <v>14235195</v>
      </c>
      <c r="T3806" s="13">
        <f>SUMIF(N:N,Online_eCommerce[[#This Row],[Assigned Supervisor]],L:L)</f>
        <v>12220830</v>
      </c>
    </row>
    <row r="3807" spans="1:20" hidden="1" x14ac:dyDescent="0.3">
      <c r="A3807" t="s">
        <v>5679</v>
      </c>
      <c r="B3807" t="s">
        <v>280</v>
      </c>
      <c r="C3807" t="s">
        <v>150</v>
      </c>
      <c r="D3807" t="s">
        <v>5570</v>
      </c>
      <c r="E3807" t="s">
        <v>96</v>
      </c>
      <c r="F3807" t="s">
        <v>179</v>
      </c>
      <c r="G3807" t="s">
        <v>66</v>
      </c>
      <c r="H3807" t="s">
        <v>21</v>
      </c>
      <c r="I3807">
        <v>350</v>
      </c>
      <c r="J3807">
        <v>455</v>
      </c>
      <c r="K3807">
        <v>1</v>
      </c>
      <c r="L3807">
        <v>350</v>
      </c>
      <c r="M3807">
        <v>455</v>
      </c>
      <c r="N3807" t="s">
        <v>35</v>
      </c>
      <c r="O3807">
        <f t="shared" si="118"/>
        <v>1690</v>
      </c>
      <c r="P3807" s="13">
        <f t="shared" si="119"/>
        <v>2154984</v>
      </c>
      <c r="Q3807" s="13">
        <f>SUMIFS(M:M,E:E,Online_eCommerce[[#This Row],[Status]])</f>
        <v>21233992</v>
      </c>
      <c r="R3807" s="13">
        <f>SUMIFS(L:L,H:H,Online_eCommerce[[#This Row],[Brand]])</f>
        <v>12435650</v>
      </c>
      <c r="S3807" s="13">
        <f>SUMIF(H:H,Online_eCommerce[[#This Row],[Brand]],M:M)</f>
        <v>16166345</v>
      </c>
      <c r="T3807" s="13">
        <f>SUMIF(N:N,Online_eCommerce[[#This Row],[Assigned Supervisor]],L:L)</f>
        <v>14373360</v>
      </c>
    </row>
    <row r="3808" spans="1:20" hidden="1" x14ac:dyDescent="0.3">
      <c r="A3808" t="s">
        <v>5680</v>
      </c>
      <c r="B3808" t="s">
        <v>283</v>
      </c>
      <c r="C3808" t="s">
        <v>155</v>
      </c>
      <c r="D3808" t="s">
        <v>5570</v>
      </c>
      <c r="E3808" t="s">
        <v>18</v>
      </c>
      <c r="F3808" t="s">
        <v>183</v>
      </c>
      <c r="G3808" t="s">
        <v>71</v>
      </c>
      <c r="H3808" t="s">
        <v>61</v>
      </c>
      <c r="I3808">
        <v>9500</v>
      </c>
      <c r="J3808">
        <v>12350</v>
      </c>
      <c r="K3808">
        <v>3</v>
      </c>
      <c r="L3808">
        <v>28500</v>
      </c>
      <c r="M3808">
        <v>37050</v>
      </c>
      <c r="N3808" t="s">
        <v>42</v>
      </c>
      <c r="O3808">
        <f t="shared" si="118"/>
        <v>9750</v>
      </c>
      <c r="P3808" s="13">
        <f t="shared" si="119"/>
        <v>2753348</v>
      </c>
      <c r="Q3808" s="13">
        <f>SUMIFS(M:M,E:E,Online_eCommerce[[#This Row],[Status]])</f>
        <v>28340455</v>
      </c>
      <c r="R3808" s="13">
        <f>SUMIFS(L:L,H:H,Online_eCommerce[[#This Row],[Brand]])</f>
        <v>10950150</v>
      </c>
      <c r="S3808" s="13">
        <f>SUMIF(H:H,Online_eCommerce[[#This Row],[Brand]],M:M)</f>
        <v>14235195</v>
      </c>
      <c r="T3808" s="13">
        <f>SUMIF(N:N,Online_eCommerce[[#This Row],[Assigned Supervisor]],L:L)</f>
        <v>12261500</v>
      </c>
    </row>
    <row r="3809" spans="1:20" hidden="1" x14ac:dyDescent="0.3">
      <c r="A3809" t="s">
        <v>5681</v>
      </c>
      <c r="B3809" t="s">
        <v>287</v>
      </c>
      <c r="C3809" t="s">
        <v>160</v>
      </c>
      <c r="D3809" t="s">
        <v>5570</v>
      </c>
      <c r="E3809" t="s">
        <v>161</v>
      </c>
      <c r="F3809" t="s">
        <v>5682</v>
      </c>
      <c r="G3809" t="s">
        <v>77</v>
      </c>
      <c r="H3809" t="s">
        <v>142</v>
      </c>
      <c r="I3809">
        <v>10000</v>
      </c>
      <c r="J3809">
        <v>13000</v>
      </c>
      <c r="K3809">
        <v>3</v>
      </c>
      <c r="L3809">
        <v>30000</v>
      </c>
      <c r="M3809">
        <v>39000</v>
      </c>
      <c r="N3809" t="s">
        <v>35</v>
      </c>
      <c r="O3809">
        <f t="shared" si="118"/>
        <v>39000</v>
      </c>
      <c r="P3809" s="13">
        <f t="shared" si="119"/>
        <v>2303483</v>
      </c>
      <c r="Q3809" s="13">
        <f>SUMIFS(M:M,E:E,Online_eCommerce[[#This Row],[Status]])</f>
        <v>21103186</v>
      </c>
      <c r="R3809" s="13">
        <f>SUMIFS(L:L,H:H,Online_eCommerce[[#This Row],[Brand]])</f>
        <v>6192500</v>
      </c>
      <c r="S3809" s="13">
        <f>SUMIF(H:H,Online_eCommerce[[#This Row],[Brand]],M:M)</f>
        <v>8050250</v>
      </c>
      <c r="T3809" s="13">
        <f>SUMIF(N:N,Online_eCommerce[[#This Row],[Assigned Supervisor]],L:L)</f>
        <v>14373360</v>
      </c>
    </row>
    <row r="3810" spans="1:20" x14ac:dyDescent="0.3">
      <c r="A3810" t="s">
        <v>5683</v>
      </c>
      <c r="B3810" t="s">
        <v>290</v>
      </c>
      <c r="C3810" t="s">
        <v>165</v>
      </c>
      <c r="D3810" t="s">
        <v>5570</v>
      </c>
      <c r="E3810" t="s">
        <v>46</v>
      </c>
      <c r="F3810" t="s">
        <v>5684</v>
      </c>
      <c r="G3810" t="s">
        <v>20</v>
      </c>
      <c r="H3810" t="s">
        <v>21</v>
      </c>
      <c r="I3810">
        <v>6500</v>
      </c>
      <c r="J3810">
        <v>8450</v>
      </c>
      <c r="K3810">
        <v>4</v>
      </c>
      <c r="L3810">
        <v>26000</v>
      </c>
      <c r="M3810">
        <v>33800</v>
      </c>
      <c r="N3810" t="s">
        <v>35</v>
      </c>
      <c r="O3810">
        <f t="shared" si="118"/>
        <v>8450</v>
      </c>
      <c r="P3810" s="13">
        <f t="shared" si="119"/>
        <v>2674087</v>
      </c>
      <c r="Q3810" s="13">
        <f>SUMIFS(M:M,E:E,Online_eCommerce[[#This Row],[Status]])</f>
        <v>28620410</v>
      </c>
      <c r="R3810" s="13">
        <f>SUMIFS(L:L,H:H,Online_eCommerce[[#This Row],[Brand]])</f>
        <v>12435650</v>
      </c>
      <c r="S3810" s="13">
        <f>SUMIF(H:H,Online_eCommerce[[#This Row],[Brand]],M:M)</f>
        <v>16166345</v>
      </c>
      <c r="T3810" s="13">
        <f>SUMIF(N:N,Online_eCommerce[[#This Row],[Assigned Supervisor]],L:L)</f>
        <v>14373360</v>
      </c>
    </row>
    <row r="3811" spans="1:20" hidden="1" x14ac:dyDescent="0.3">
      <c r="A3811" t="s">
        <v>5685</v>
      </c>
      <c r="B3811" t="s">
        <v>15</v>
      </c>
      <c r="C3811" t="s">
        <v>168</v>
      </c>
      <c r="D3811" t="s">
        <v>5570</v>
      </c>
      <c r="E3811" t="s">
        <v>96</v>
      </c>
      <c r="F3811" t="s">
        <v>5686</v>
      </c>
      <c r="G3811" t="s">
        <v>26</v>
      </c>
      <c r="H3811" t="s">
        <v>27</v>
      </c>
      <c r="I3811">
        <v>8500</v>
      </c>
      <c r="J3811">
        <v>11050</v>
      </c>
      <c r="K3811">
        <v>2</v>
      </c>
      <c r="L3811">
        <v>17000</v>
      </c>
      <c r="M3811">
        <v>22100</v>
      </c>
      <c r="N3811" t="s">
        <v>35</v>
      </c>
      <c r="O3811">
        <f t="shared" si="118"/>
        <v>33150</v>
      </c>
      <c r="P3811" s="13">
        <f t="shared" si="119"/>
        <v>1937780</v>
      </c>
      <c r="Q3811" s="13">
        <f>SUMIFS(M:M,E:E,Online_eCommerce[[#This Row],[Status]])</f>
        <v>21233992</v>
      </c>
      <c r="R3811" s="13">
        <f>SUMIFS(L:L,H:H,Online_eCommerce[[#This Row],[Brand]])</f>
        <v>14431000</v>
      </c>
      <c r="S3811" s="13">
        <f>SUMIF(H:H,Online_eCommerce[[#This Row],[Brand]],M:M)</f>
        <v>18760300</v>
      </c>
      <c r="T3811" s="13">
        <f>SUMIF(N:N,Online_eCommerce[[#This Row],[Assigned Supervisor]],L:L)</f>
        <v>14373360</v>
      </c>
    </row>
    <row r="3812" spans="1:20" hidden="1" x14ac:dyDescent="0.3">
      <c r="A3812" t="s">
        <v>5687</v>
      </c>
      <c r="B3812" t="s">
        <v>202</v>
      </c>
      <c r="C3812" t="s">
        <v>172</v>
      </c>
      <c r="D3812" t="s">
        <v>5570</v>
      </c>
      <c r="E3812" t="s">
        <v>18</v>
      </c>
      <c r="F3812" t="s">
        <v>32</v>
      </c>
      <c r="G3812" t="s">
        <v>33</v>
      </c>
      <c r="H3812" t="s">
        <v>34</v>
      </c>
      <c r="I3812">
        <v>7000</v>
      </c>
      <c r="J3812">
        <v>9100</v>
      </c>
      <c r="K3812">
        <v>4</v>
      </c>
      <c r="L3812">
        <v>28000</v>
      </c>
      <c r="M3812">
        <v>36400</v>
      </c>
      <c r="N3812" t="s">
        <v>35</v>
      </c>
      <c r="O3812">
        <f t="shared" si="118"/>
        <v>18200</v>
      </c>
      <c r="P3812" s="13">
        <f t="shared" si="119"/>
        <v>2640274</v>
      </c>
      <c r="Q3812" s="13">
        <f>SUMIFS(M:M,E:E,Online_eCommerce[[#This Row],[Status]])</f>
        <v>28340455</v>
      </c>
      <c r="R3812" s="13">
        <f>SUMIFS(L:L,H:H,Online_eCommerce[[#This Row],[Brand]])</f>
        <v>10087000</v>
      </c>
      <c r="S3812" s="13">
        <f>SUMIF(H:H,Online_eCommerce[[#This Row],[Brand]],M:M)</f>
        <v>13113100</v>
      </c>
      <c r="T3812" s="13">
        <f>SUMIF(N:N,Online_eCommerce[[#This Row],[Assigned Supervisor]],L:L)</f>
        <v>14373360</v>
      </c>
    </row>
    <row r="3813" spans="1:20" hidden="1" x14ac:dyDescent="0.3">
      <c r="A3813" t="s">
        <v>5688</v>
      </c>
      <c r="B3813" t="s">
        <v>30</v>
      </c>
      <c r="C3813" t="s">
        <v>177</v>
      </c>
      <c r="D3813" t="s">
        <v>5570</v>
      </c>
      <c r="E3813" t="s">
        <v>161</v>
      </c>
      <c r="F3813" t="s">
        <v>5689</v>
      </c>
      <c r="G3813" t="s">
        <v>163</v>
      </c>
      <c r="H3813" t="s">
        <v>41</v>
      </c>
      <c r="I3813">
        <v>6550</v>
      </c>
      <c r="J3813">
        <v>8515</v>
      </c>
      <c r="K3813">
        <v>4</v>
      </c>
      <c r="L3813">
        <v>26200</v>
      </c>
      <c r="M3813">
        <v>34060</v>
      </c>
      <c r="N3813" t="s">
        <v>35</v>
      </c>
      <c r="O3813">
        <f t="shared" si="118"/>
        <v>13650</v>
      </c>
      <c r="P3813" s="13">
        <f t="shared" si="119"/>
        <v>1863810</v>
      </c>
      <c r="Q3813" s="13">
        <f>SUMIFS(M:M,E:E,Online_eCommerce[[#This Row],[Status]])</f>
        <v>21103186</v>
      </c>
      <c r="R3813" s="13">
        <f>SUMIFS(L:L,H:H,Online_eCommerce[[#This Row],[Brand]])</f>
        <v>4260400</v>
      </c>
      <c r="S3813" s="13">
        <f>SUMIF(H:H,Online_eCommerce[[#This Row],[Brand]],M:M)</f>
        <v>5538520</v>
      </c>
      <c r="T3813" s="13">
        <f>SUMIF(N:N,Online_eCommerce[[#This Row],[Assigned Supervisor]],L:L)</f>
        <v>14373360</v>
      </c>
    </row>
    <row r="3814" spans="1:20" x14ac:dyDescent="0.3">
      <c r="A3814" t="s">
        <v>5690</v>
      </c>
      <c r="B3814" t="s">
        <v>37</v>
      </c>
      <c r="C3814" t="s">
        <v>181</v>
      </c>
      <c r="D3814" t="s">
        <v>5570</v>
      </c>
      <c r="E3814" t="s">
        <v>46</v>
      </c>
      <c r="F3814" t="s">
        <v>47</v>
      </c>
      <c r="G3814" t="s">
        <v>66</v>
      </c>
      <c r="H3814" t="s">
        <v>49</v>
      </c>
      <c r="I3814">
        <v>7650</v>
      </c>
      <c r="J3814">
        <v>9945</v>
      </c>
      <c r="K3814">
        <v>1</v>
      </c>
      <c r="L3814">
        <v>7650</v>
      </c>
      <c r="M3814">
        <v>9945</v>
      </c>
      <c r="N3814" t="s">
        <v>35</v>
      </c>
      <c r="O3814">
        <f t="shared" si="118"/>
        <v>1690</v>
      </c>
      <c r="P3814" s="13">
        <f t="shared" si="119"/>
        <v>2577458</v>
      </c>
      <c r="Q3814" s="13">
        <f>SUMIFS(M:M,E:E,Online_eCommerce[[#This Row],[Status]])</f>
        <v>28620410</v>
      </c>
      <c r="R3814" s="13">
        <f>SUMIFS(L:L,H:H,Online_eCommerce[[#This Row],[Brand]])</f>
        <v>4528350</v>
      </c>
      <c r="S3814" s="13">
        <f>SUMIF(H:H,Online_eCommerce[[#This Row],[Brand]],M:M)</f>
        <v>5886855</v>
      </c>
      <c r="T3814" s="13">
        <f>SUMIF(N:N,Online_eCommerce[[#This Row],[Assigned Supervisor]],L:L)</f>
        <v>14373360</v>
      </c>
    </row>
    <row r="3815" spans="1:20" hidden="1" x14ac:dyDescent="0.3">
      <c r="A3815" t="s">
        <v>5691</v>
      </c>
      <c r="B3815" t="s">
        <v>44</v>
      </c>
      <c r="C3815" t="s">
        <v>185</v>
      </c>
      <c r="D3815" t="s">
        <v>5570</v>
      </c>
      <c r="E3815" t="s">
        <v>96</v>
      </c>
      <c r="F3815" t="s">
        <v>53</v>
      </c>
      <c r="G3815" t="s">
        <v>54</v>
      </c>
      <c r="H3815" t="s">
        <v>55</v>
      </c>
      <c r="I3815">
        <v>1150</v>
      </c>
      <c r="J3815">
        <v>1495</v>
      </c>
      <c r="K3815">
        <v>2</v>
      </c>
      <c r="L3815">
        <v>2300</v>
      </c>
      <c r="M3815">
        <v>2990</v>
      </c>
      <c r="N3815" t="s">
        <v>35</v>
      </c>
      <c r="O3815">
        <f t="shared" si="118"/>
        <v>2990</v>
      </c>
      <c r="P3815" s="13">
        <f t="shared" si="119"/>
        <v>2091596</v>
      </c>
      <c r="Q3815" s="13">
        <f>SUMIFS(M:M,E:E,Online_eCommerce[[#This Row],[Status]])</f>
        <v>21233992</v>
      </c>
      <c r="R3815" s="13">
        <f>SUMIFS(L:L,H:H,Online_eCommerce[[#This Row],[Brand]])</f>
        <v>2267380</v>
      </c>
      <c r="S3815" s="13">
        <f>SUMIF(H:H,Online_eCommerce[[#This Row],[Brand]],M:M)</f>
        <v>2947594</v>
      </c>
      <c r="T3815" s="13">
        <f>SUMIF(N:N,Online_eCommerce[[#This Row],[Assigned Supervisor]],L:L)</f>
        <v>14373360</v>
      </c>
    </row>
    <row r="3816" spans="1:20" hidden="1" x14ac:dyDescent="0.3">
      <c r="A3816" t="s">
        <v>5692</v>
      </c>
      <c r="B3816" t="s">
        <v>213</v>
      </c>
      <c r="C3816" t="s">
        <v>189</v>
      </c>
      <c r="D3816" t="s">
        <v>5570</v>
      </c>
      <c r="E3816" t="s">
        <v>18</v>
      </c>
      <c r="F3816" t="s">
        <v>59</v>
      </c>
      <c r="G3816" t="s">
        <v>60</v>
      </c>
      <c r="H3816" t="s">
        <v>61</v>
      </c>
      <c r="I3816">
        <v>850</v>
      </c>
      <c r="J3816">
        <v>1105</v>
      </c>
      <c r="K3816">
        <v>4</v>
      </c>
      <c r="L3816">
        <v>3400</v>
      </c>
      <c r="M3816">
        <v>4420</v>
      </c>
      <c r="N3816" t="s">
        <v>35</v>
      </c>
      <c r="O3816">
        <f t="shared" si="118"/>
        <v>3315</v>
      </c>
      <c r="P3816" s="13">
        <f t="shared" si="119"/>
        <v>2740777</v>
      </c>
      <c r="Q3816" s="13">
        <f>SUMIFS(M:M,E:E,Online_eCommerce[[#This Row],[Status]])</f>
        <v>28340455</v>
      </c>
      <c r="R3816" s="13">
        <f>SUMIFS(L:L,H:H,Online_eCommerce[[#This Row],[Brand]])</f>
        <v>10950150</v>
      </c>
      <c r="S3816" s="13">
        <f>SUMIF(H:H,Online_eCommerce[[#This Row],[Brand]],M:M)</f>
        <v>14235195</v>
      </c>
      <c r="T3816" s="13">
        <f>SUMIF(N:N,Online_eCommerce[[#This Row],[Assigned Supervisor]],L:L)</f>
        <v>14373360</v>
      </c>
    </row>
    <row r="3817" spans="1:20" hidden="1" x14ac:dyDescent="0.3">
      <c r="A3817" t="s">
        <v>5693</v>
      </c>
      <c r="B3817" t="s">
        <v>215</v>
      </c>
      <c r="C3817" t="s">
        <v>193</v>
      </c>
      <c r="D3817" t="s">
        <v>5570</v>
      </c>
      <c r="E3817" t="s">
        <v>161</v>
      </c>
      <c r="F3817" t="s">
        <v>65</v>
      </c>
      <c r="G3817" t="s">
        <v>66</v>
      </c>
      <c r="H3817" t="s">
        <v>21</v>
      </c>
      <c r="I3817">
        <v>650</v>
      </c>
      <c r="J3817">
        <v>845</v>
      </c>
      <c r="K3817">
        <v>4</v>
      </c>
      <c r="L3817">
        <v>2600</v>
      </c>
      <c r="M3817">
        <v>3380</v>
      </c>
      <c r="N3817" t="s">
        <v>35</v>
      </c>
      <c r="O3817">
        <f t="shared" si="118"/>
        <v>1690</v>
      </c>
      <c r="P3817" s="13">
        <f t="shared" si="119"/>
        <v>2074774</v>
      </c>
      <c r="Q3817" s="13">
        <f>SUMIFS(M:M,E:E,Online_eCommerce[[#This Row],[Status]])</f>
        <v>21103186</v>
      </c>
      <c r="R3817" s="13">
        <f>SUMIFS(L:L,H:H,Online_eCommerce[[#This Row],[Brand]])</f>
        <v>12435650</v>
      </c>
      <c r="S3817" s="13">
        <f>SUMIF(H:H,Online_eCommerce[[#This Row],[Brand]],M:M)</f>
        <v>16166345</v>
      </c>
      <c r="T3817" s="13">
        <f>SUMIF(N:N,Online_eCommerce[[#This Row],[Assigned Supervisor]],L:L)</f>
        <v>14373360</v>
      </c>
    </row>
    <row r="3818" spans="1:20" x14ac:dyDescent="0.3">
      <c r="A3818" t="s">
        <v>5694</v>
      </c>
      <c r="B3818" t="s">
        <v>306</v>
      </c>
      <c r="C3818" t="s">
        <v>197</v>
      </c>
      <c r="D3818" t="s">
        <v>5570</v>
      </c>
      <c r="E3818" t="s">
        <v>46</v>
      </c>
      <c r="F3818" t="s">
        <v>70</v>
      </c>
      <c r="G3818" t="s">
        <v>71</v>
      </c>
      <c r="H3818" t="s">
        <v>61</v>
      </c>
      <c r="I3818">
        <v>7500</v>
      </c>
      <c r="J3818">
        <v>9750</v>
      </c>
      <c r="K3818">
        <v>3</v>
      </c>
      <c r="L3818">
        <v>22500</v>
      </c>
      <c r="M3818">
        <v>29250</v>
      </c>
      <c r="N3818" t="s">
        <v>35</v>
      </c>
      <c r="O3818">
        <f t="shared" si="118"/>
        <v>9750</v>
      </c>
      <c r="P3818" s="13">
        <f t="shared" si="119"/>
        <v>2829840</v>
      </c>
      <c r="Q3818" s="13">
        <f>SUMIFS(M:M,E:E,Online_eCommerce[[#This Row],[Status]])</f>
        <v>28620410</v>
      </c>
      <c r="R3818" s="13">
        <f>SUMIFS(L:L,H:H,Online_eCommerce[[#This Row],[Brand]])</f>
        <v>10950150</v>
      </c>
      <c r="S3818" s="13">
        <f>SUMIF(H:H,Online_eCommerce[[#This Row],[Brand]],M:M)</f>
        <v>14235195</v>
      </c>
      <c r="T3818" s="13">
        <f>SUMIF(N:N,Online_eCommerce[[#This Row],[Assigned Supervisor]],L:L)</f>
        <v>14373360</v>
      </c>
    </row>
    <row r="3819" spans="1:20" hidden="1" x14ac:dyDescent="0.3">
      <c r="A3819" t="s">
        <v>5695</v>
      </c>
      <c r="B3819" t="s">
        <v>528</v>
      </c>
      <c r="C3819" t="s">
        <v>199</v>
      </c>
      <c r="D3819" t="s">
        <v>5570</v>
      </c>
      <c r="E3819" t="s">
        <v>96</v>
      </c>
      <c r="F3819" t="s">
        <v>5682</v>
      </c>
      <c r="G3819" t="s">
        <v>77</v>
      </c>
      <c r="H3819" t="s">
        <v>78</v>
      </c>
      <c r="I3819">
        <v>10000</v>
      </c>
      <c r="J3819">
        <v>13000</v>
      </c>
      <c r="K3819">
        <v>4</v>
      </c>
      <c r="L3819">
        <v>40000</v>
      </c>
      <c r="M3819">
        <v>52000</v>
      </c>
      <c r="N3819" t="s">
        <v>35</v>
      </c>
      <c r="O3819">
        <f t="shared" si="118"/>
        <v>39000</v>
      </c>
      <c r="P3819" s="13">
        <f t="shared" si="119"/>
        <v>1947361</v>
      </c>
      <c r="Q3819" s="13">
        <f>SUMIFS(M:M,E:E,Online_eCommerce[[#This Row],[Status]])</f>
        <v>21233992</v>
      </c>
      <c r="R3819" s="13">
        <f>SUMIFS(L:L,H:H,Online_eCommerce[[#This Row],[Brand]])</f>
        <v>3720000</v>
      </c>
      <c r="S3819" s="13">
        <f>SUMIF(H:H,Online_eCommerce[[#This Row],[Brand]],M:M)</f>
        <v>4836000</v>
      </c>
      <c r="T3819" s="13">
        <f>SUMIF(N:N,Online_eCommerce[[#This Row],[Assigned Supervisor]],L:L)</f>
        <v>14373360</v>
      </c>
    </row>
    <row r="3820" spans="1:20" hidden="1" x14ac:dyDescent="0.3">
      <c r="A3820" t="s">
        <v>5696</v>
      </c>
      <c r="B3820" t="s">
        <v>73</v>
      </c>
      <c r="C3820" t="s">
        <v>203</v>
      </c>
      <c r="D3820" t="s">
        <v>5570</v>
      </c>
      <c r="E3820" t="s">
        <v>18</v>
      </c>
      <c r="F3820" t="s">
        <v>5697</v>
      </c>
      <c r="G3820" t="s">
        <v>20</v>
      </c>
      <c r="H3820" t="s">
        <v>21</v>
      </c>
      <c r="I3820">
        <v>10500</v>
      </c>
      <c r="J3820">
        <v>13650</v>
      </c>
      <c r="K3820">
        <v>4</v>
      </c>
      <c r="L3820">
        <v>42000</v>
      </c>
      <c r="M3820">
        <v>54600</v>
      </c>
      <c r="N3820" t="s">
        <v>42</v>
      </c>
      <c r="O3820">
        <f t="shared" si="118"/>
        <v>8450</v>
      </c>
      <c r="P3820" s="13">
        <f t="shared" si="119"/>
        <v>2559635</v>
      </c>
      <c r="Q3820" s="13">
        <f>SUMIFS(M:M,E:E,Online_eCommerce[[#This Row],[Status]])</f>
        <v>28340455</v>
      </c>
      <c r="R3820" s="13">
        <f>SUMIFS(L:L,H:H,Online_eCommerce[[#This Row],[Brand]])</f>
        <v>12435650</v>
      </c>
      <c r="S3820" s="13">
        <f>SUMIF(H:H,Online_eCommerce[[#This Row],[Brand]],M:M)</f>
        <v>16166345</v>
      </c>
      <c r="T3820" s="13">
        <f>SUMIF(N:N,Online_eCommerce[[#This Row],[Assigned Supervisor]],L:L)</f>
        <v>12261500</v>
      </c>
    </row>
    <row r="3821" spans="1:20" hidden="1" x14ac:dyDescent="0.3">
      <c r="A3821" t="s">
        <v>5698</v>
      </c>
      <c r="B3821" t="s">
        <v>80</v>
      </c>
      <c r="C3821" t="s">
        <v>205</v>
      </c>
      <c r="D3821" t="s">
        <v>5570</v>
      </c>
      <c r="E3821" t="s">
        <v>161</v>
      </c>
      <c r="F3821" t="s">
        <v>88</v>
      </c>
      <c r="G3821" t="s">
        <v>26</v>
      </c>
      <c r="H3821" t="s">
        <v>27</v>
      </c>
      <c r="I3821">
        <v>8500</v>
      </c>
      <c r="J3821">
        <v>11050</v>
      </c>
      <c r="K3821">
        <v>4</v>
      </c>
      <c r="L3821">
        <v>34000</v>
      </c>
      <c r="M3821">
        <v>44200</v>
      </c>
      <c r="N3821" t="s">
        <v>50</v>
      </c>
      <c r="O3821">
        <f t="shared" si="118"/>
        <v>33150</v>
      </c>
      <c r="P3821" s="13">
        <f t="shared" si="119"/>
        <v>1983254</v>
      </c>
      <c r="Q3821" s="13">
        <f>SUMIFS(M:M,E:E,Online_eCommerce[[#This Row],[Status]])</f>
        <v>21103186</v>
      </c>
      <c r="R3821" s="13">
        <f>SUMIFS(L:L,H:H,Online_eCommerce[[#This Row],[Brand]])</f>
        <v>14431000</v>
      </c>
      <c r="S3821" s="13">
        <f>SUMIF(H:H,Online_eCommerce[[#This Row],[Brand]],M:M)</f>
        <v>18760300</v>
      </c>
      <c r="T3821" s="13">
        <f>SUMIF(N:N,Online_eCommerce[[#This Row],[Assigned Supervisor]],L:L)</f>
        <v>12100590</v>
      </c>
    </row>
    <row r="3822" spans="1:20" x14ac:dyDescent="0.3">
      <c r="A3822" t="s">
        <v>5699</v>
      </c>
      <c r="B3822" t="s">
        <v>85</v>
      </c>
      <c r="C3822" t="s">
        <v>208</v>
      </c>
      <c r="D3822" t="s">
        <v>5570</v>
      </c>
      <c r="E3822" t="s">
        <v>46</v>
      </c>
      <c r="F3822" t="s">
        <v>32</v>
      </c>
      <c r="G3822" t="s">
        <v>33</v>
      </c>
      <c r="H3822" t="s">
        <v>34</v>
      </c>
      <c r="I3822">
        <v>7000</v>
      </c>
      <c r="J3822">
        <v>9100</v>
      </c>
      <c r="K3822">
        <v>3</v>
      </c>
      <c r="L3822">
        <v>21000</v>
      </c>
      <c r="M3822">
        <v>27300</v>
      </c>
      <c r="N3822" t="s">
        <v>56</v>
      </c>
      <c r="O3822">
        <f t="shared" si="118"/>
        <v>18200</v>
      </c>
      <c r="P3822" s="13">
        <f t="shared" si="119"/>
        <v>2746575</v>
      </c>
      <c r="Q3822" s="13">
        <f>SUMIFS(M:M,E:E,Online_eCommerce[[#This Row],[Status]])</f>
        <v>28620410</v>
      </c>
      <c r="R3822" s="13">
        <f>SUMIFS(L:L,H:H,Online_eCommerce[[#This Row],[Brand]])</f>
        <v>10087000</v>
      </c>
      <c r="S3822" s="13">
        <f>SUMIF(H:H,Online_eCommerce[[#This Row],[Brand]],M:M)</f>
        <v>13113100</v>
      </c>
      <c r="T3822" s="13">
        <f>SUMIF(N:N,Online_eCommerce[[#This Row],[Assigned Supervisor]],L:L)</f>
        <v>11733610</v>
      </c>
    </row>
    <row r="3823" spans="1:20" hidden="1" x14ac:dyDescent="0.3">
      <c r="A3823" t="s">
        <v>5700</v>
      </c>
      <c r="B3823" t="s">
        <v>90</v>
      </c>
      <c r="C3823" t="s">
        <v>211</v>
      </c>
      <c r="D3823" t="s">
        <v>5570</v>
      </c>
      <c r="E3823" t="s">
        <v>96</v>
      </c>
      <c r="F3823" t="s">
        <v>5701</v>
      </c>
      <c r="G3823" t="s">
        <v>163</v>
      </c>
      <c r="H3823" t="s">
        <v>41</v>
      </c>
      <c r="I3823">
        <v>1680</v>
      </c>
      <c r="J3823">
        <v>2184</v>
      </c>
      <c r="K3823">
        <v>1</v>
      </c>
      <c r="L3823">
        <v>1680</v>
      </c>
      <c r="M3823">
        <v>2184</v>
      </c>
      <c r="N3823" t="s">
        <v>22</v>
      </c>
      <c r="O3823">
        <f t="shared" si="118"/>
        <v>13650</v>
      </c>
      <c r="P3823" s="13">
        <f t="shared" si="119"/>
        <v>1809847</v>
      </c>
      <c r="Q3823" s="13">
        <f>SUMIFS(M:M,E:E,Online_eCommerce[[#This Row],[Status]])</f>
        <v>21233992</v>
      </c>
      <c r="R3823" s="13">
        <f>SUMIFS(L:L,H:H,Online_eCommerce[[#This Row],[Brand]])</f>
        <v>4260400</v>
      </c>
      <c r="S3823" s="13">
        <f>SUMIF(H:H,Online_eCommerce[[#This Row],[Brand]],M:M)</f>
        <v>5538520</v>
      </c>
      <c r="T3823" s="13">
        <f>SUMIF(N:N,Online_eCommerce[[#This Row],[Assigned Supervisor]],L:L)</f>
        <v>13693220</v>
      </c>
    </row>
    <row r="3824" spans="1:20" hidden="1" x14ac:dyDescent="0.3">
      <c r="A3824" t="s">
        <v>5702</v>
      </c>
      <c r="B3824" t="s">
        <v>232</v>
      </c>
      <c r="C3824" t="s">
        <v>16</v>
      </c>
      <c r="D3824" t="s">
        <v>5570</v>
      </c>
      <c r="E3824" t="s">
        <v>18</v>
      </c>
      <c r="F3824" t="s">
        <v>101</v>
      </c>
      <c r="G3824" t="s">
        <v>66</v>
      </c>
      <c r="H3824" t="s">
        <v>102</v>
      </c>
      <c r="I3824">
        <v>6540</v>
      </c>
      <c r="J3824">
        <v>8502</v>
      </c>
      <c r="K3824">
        <v>1</v>
      </c>
      <c r="L3824">
        <v>6540</v>
      </c>
      <c r="M3824">
        <v>8502</v>
      </c>
      <c r="N3824" t="s">
        <v>28</v>
      </c>
      <c r="O3824">
        <f t="shared" si="118"/>
        <v>1690</v>
      </c>
      <c r="P3824" s="13">
        <f t="shared" si="119"/>
        <v>2751814</v>
      </c>
      <c r="Q3824" s="13">
        <f>SUMIFS(M:M,E:E,Online_eCommerce[[#This Row],[Status]])</f>
        <v>28340455</v>
      </c>
      <c r="R3824" s="13">
        <f>SUMIFS(L:L,H:H,Online_eCommerce[[#This Row],[Brand]])</f>
        <v>2465580</v>
      </c>
      <c r="S3824" s="13">
        <f>SUMIF(H:H,Online_eCommerce[[#This Row],[Brand]],M:M)</f>
        <v>3205254</v>
      </c>
      <c r="T3824" s="13">
        <f>SUMIF(N:N,Online_eCommerce[[#This Row],[Assigned Supervisor]],L:L)</f>
        <v>12220830</v>
      </c>
    </row>
    <row r="3825" spans="1:20" hidden="1" x14ac:dyDescent="0.3">
      <c r="A3825" t="s">
        <v>5703</v>
      </c>
      <c r="B3825" t="s">
        <v>235</v>
      </c>
      <c r="C3825" t="s">
        <v>24</v>
      </c>
      <c r="D3825" t="s">
        <v>5570</v>
      </c>
      <c r="E3825" t="s">
        <v>161</v>
      </c>
      <c r="F3825" t="s">
        <v>107</v>
      </c>
      <c r="G3825" t="s">
        <v>54</v>
      </c>
      <c r="H3825" t="s">
        <v>55</v>
      </c>
      <c r="I3825">
        <v>2680</v>
      </c>
      <c r="J3825">
        <v>3484</v>
      </c>
      <c r="K3825">
        <v>3</v>
      </c>
      <c r="L3825">
        <v>8040</v>
      </c>
      <c r="M3825">
        <v>10452</v>
      </c>
      <c r="N3825" t="s">
        <v>35</v>
      </c>
      <c r="O3825">
        <f t="shared" si="118"/>
        <v>2990</v>
      </c>
      <c r="P3825" s="13">
        <f t="shared" si="119"/>
        <v>2009540</v>
      </c>
      <c r="Q3825" s="13">
        <f>SUMIFS(M:M,E:E,Online_eCommerce[[#This Row],[Status]])</f>
        <v>21103186</v>
      </c>
      <c r="R3825" s="13">
        <f>SUMIFS(L:L,H:H,Online_eCommerce[[#This Row],[Brand]])</f>
        <v>2267380</v>
      </c>
      <c r="S3825" s="13">
        <f>SUMIF(H:H,Online_eCommerce[[#This Row],[Brand]],M:M)</f>
        <v>2947594</v>
      </c>
      <c r="T3825" s="13">
        <f>SUMIF(N:N,Online_eCommerce[[#This Row],[Assigned Supervisor]],L:L)</f>
        <v>14373360</v>
      </c>
    </row>
    <row r="3826" spans="1:20" x14ac:dyDescent="0.3">
      <c r="A3826" t="s">
        <v>5704</v>
      </c>
      <c r="B3826" t="s">
        <v>104</v>
      </c>
      <c r="C3826" t="s">
        <v>31</v>
      </c>
      <c r="D3826" t="s">
        <v>5570</v>
      </c>
      <c r="E3826" t="s">
        <v>46</v>
      </c>
      <c r="F3826" t="s">
        <v>112</v>
      </c>
      <c r="G3826" t="s">
        <v>71</v>
      </c>
      <c r="H3826" t="s">
        <v>21</v>
      </c>
      <c r="I3826">
        <v>8250</v>
      </c>
      <c r="J3826">
        <v>10725</v>
      </c>
      <c r="K3826">
        <v>1</v>
      </c>
      <c r="L3826">
        <v>8250</v>
      </c>
      <c r="M3826">
        <v>10725</v>
      </c>
      <c r="N3826" t="s">
        <v>42</v>
      </c>
      <c r="O3826">
        <f t="shared" si="118"/>
        <v>9750</v>
      </c>
      <c r="P3826" s="13">
        <f t="shared" si="119"/>
        <v>2865746</v>
      </c>
      <c r="Q3826" s="13">
        <f>SUMIFS(M:M,E:E,Online_eCommerce[[#This Row],[Status]])</f>
        <v>28620410</v>
      </c>
      <c r="R3826" s="13">
        <f>SUMIFS(L:L,H:H,Online_eCommerce[[#This Row],[Brand]])</f>
        <v>12435650</v>
      </c>
      <c r="S3826" s="13">
        <f>SUMIF(H:H,Online_eCommerce[[#This Row],[Brand]],M:M)</f>
        <v>16166345</v>
      </c>
      <c r="T3826" s="13">
        <f>SUMIF(N:N,Online_eCommerce[[#This Row],[Assigned Supervisor]],L:L)</f>
        <v>12261500</v>
      </c>
    </row>
    <row r="3827" spans="1:20" hidden="1" x14ac:dyDescent="0.3">
      <c r="A3827" t="s">
        <v>5705</v>
      </c>
      <c r="B3827" t="s">
        <v>109</v>
      </c>
      <c r="C3827" t="s">
        <v>38</v>
      </c>
      <c r="D3827" t="s">
        <v>5570</v>
      </c>
      <c r="E3827" t="s">
        <v>96</v>
      </c>
      <c r="F3827" t="s">
        <v>5350</v>
      </c>
      <c r="G3827" t="s">
        <v>40</v>
      </c>
      <c r="H3827" t="s">
        <v>21</v>
      </c>
      <c r="I3827">
        <v>2650</v>
      </c>
      <c r="J3827">
        <v>3445</v>
      </c>
      <c r="K3827">
        <v>1</v>
      </c>
      <c r="L3827">
        <v>2650</v>
      </c>
      <c r="M3827">
        <v>3445</v>
      </c>
      <c r="N3827" t="s">
        <v>50</v>
      </c>
      <c r="O3827">
        <f t="shared" si="118"/>
        <v>25545</v>
      </c>
      <c r="P3827" s="13">
        <f t="shared" si="119"/>
        <v>1933997</v>
      </c>
      <c r="Q3827" s="13">
        <f>SUMIFS(M:M,E:E,Online_eCommerce[[#This Row],[Status]])</f>
        <v>21233992</v>
      </c>
      <c r="R3827" s="13">
        <f>SUMIFS(L:L,H:H,Online_eCommerce[[#This Row],[Brand]])</f>
        <v>12435650</v>
      </c>
      <c r="S3827" s="13">
        <f>SUMIF(H:H,Online_eCommerce[[#This Row],[Brand]],M:M)</f>
        <v>16166345</v>
      </c>
      <c r="T3827" s="13">
        <f>SUMIF(N:N,Online_eCommerce[[#This Row],[Assigned Supervisor]],L:L)</f>
        <v>12100590</v>
      </c>
    </row>
    <row r="3828" spans="1:20" hidden="1" x14ac:dyDescent="0.3">
      <c r="A3828" t="s">
        <v>5706</v>
      </c>
      <c r="B3828" t="s">
        <v>114</v>
      </c>
      <c r="C3828" t="s">
        <v>45</v>
      </c>
      <c r="D3828" t="s">
        <v>5570</v>
      </c>
      <c r="E3828" t="s">
        <v>18</v>
      </c>
      <c r="F3828" t="s">
        <v>121</v>
      </c>
      <c r="G3828" t="s">
        <v>71</v>
      </c>
      <c r="H3828" t="s">
        <v>122</v>
      </c>
      <c r="I3828">
        <v>12550</v>
      </c>
      <c r="J3828">
        <v>16315</v>
      </c>
      <c r="K3828">
        <v>4</v>
      </c>
      <c r="L3828">
        <v>50200</v>
      </c>
      <c r="M3828">
        <v>65260</v>
      </c>
      <c r="N3828" t="s">
        <v>35</v>
      </c>
      <c r="O3828">
        <f t="shared" si="118"/>
        <v>9750</v>
      </c>
      <c r="P3828" s="13">
        <f t="shared" si="119"/>
        <v>2842554</v>
      </c>
      <c r="Q3828" s="13">
        <f>SUMIFS(M:M,E:E,Online_eCommerce[[#This Row],[Status]])</f>
        <v>28340455</v>
      </c>
      <c r="R3828" s="13">
        <f>SUMIFS(L:L,H:H,Online_eCommerce[[#This Row],[Brand]])</f>
        <v>5045100</v>
      </c>
      <c r="S3828" s="13">
        <f>SUMIF(H:H,Online_eCommerce[[#This Row],[Brand]],M:M)</f>
        <v>6558630</v>
      </c>
      <c r="T3828" s="13">
        <f>SUMIF(N:N,Online_eCommerce[[#This Row],[Assigned Supervisor]],L:L)</f>
        <v>14373360</v>
      </c>
    </row>
    <row r="3829" spans="1:20" hidden="1" x14ac:dyDescent="0.3">
      <c r="A3829" t="s">
        <v>5707</v>
      </c>
      <c r="B3829" t="s">
        <v>119</v>
      </c>
      <c r="C3829" t="s">
        <v>52</v>
      </c>
      <c r="D3829" t="s">
        <v>5570</v>
      </c>
      <c r="E3829" t="s">
        <v>161</v>
      </c>
      <c r="F3829" t="s">
        <v>126</v>
      </c>
      <c r="G3829" t="s">
        <v>26</v>
      </c>
      <c r="H3829" t="s">
        <v>27</v>
      </c>
      <c r="I3829">
        <v>14500</v>
      </c>
      <c r="J3829">
        <v>18850</v>
      </c>
      <c r="K3829">
        <v>2</v>
      </c>
      <c r="L3829">
        <v>29000</v>
      </c>
      <c r="M3829">
        <v>37700</v>
      </c>
      <c r="N3829" t="s">
        <v>35</v>
      </c>
      <c r="O3829">
        <f t="shared" si="118"/>
        <v>33150</v>
      </c>
      <c r="P3829" s="13">
        <f t="shared" si="119"/>
        <v>1955044</v>
      </c>
      <c r="Q3829" s="13">
        <f>SUMIFS(M:M,E:E,Online_eCommerce[[#This Row],[Status]])</f>
        <v>21103186</v>
      </c>
      <c r="R3829" s="13">
        <f>SUMIFS(L:L,H:H,Online_eCommerce[[#This Row],[Brand]])</f>
        <v>14431000</v>
      </c>
      <c r="S3829" s="13">
        <f>SUMIF(H:H,Online_eCommerce[[#This Row],[Brand]],M:M)</f>
        <v>18760300</v>
      </c>
      <c r="T3829" s="13">
        <f>SUMIF(N:N,Online_eCommerce[[#This Row],[Assigned Supervisor]],L:L)</f>
        <v>14373360</v>
      </c>
    </row>
    <row r="3830" spans="1:20" x14ac:dyDescent="0.3">
      <c r="A3830" t="s">
        <v>5708</v>
      </c>
      <c r="B3830" t="s">
        <v>124</v>
      </c>
      <c r="C3830" t="s">
        <v>58</v>
      </c>
      <c r="D3830" t="s">
        <v>5570</v>
      </c>
      <c r="E3830" t="s">
        <v>46</v>
      </c>
      <c r="F3830" t="s">
        <v>129</v>
      </c>
      <c r="G3830" t="s">
        <v>60</v>
      </c>
      <c r="H3830" t="s">
        <v>61</v>
      </c>
      <c r="I3830">
        <v>800</v>
      </c>
      <c r="J3830">
        <v>1040</v>
      </c>
      <c r="K3830">
        <v>2</v>
      </c>
      <c r="L3830">
        <v>1600</v>
      </c>
      <c r="M3830">
        <v>2080</v>
      </c>
      <c r="N3830" t="s">
        <v>35</v>
      </c>
      <c r="O3830">
        <f t="shared" si="118"/>
        <v>3315</v>
      </c>
      <c r="P3830" s="13">
        <f t="shared" si="119"/>
        <v>2629211</v>
      </c>
      <c r="Q3830" s="13">
        <f>SUMIFS(M:M,E:E,Online_eCommerce[[#This Row],[Status]])</f>
        <v>28620410</v>
      </c>
      <c r="R3830" s="13">
        <f>SUMIFS(L:L,H:H,Online_eCommerce[[#This Row],[Brand]])</f>
        <v>10950150</v>
      </c>
      <c r="S3830" s="13">
        <f>SUMIF(H:H,Online_eCommerce[[#This Row],[Brand]],M:M)</f>
        <v>14235195</v>
      </c>
      <c r="T3830" s="13">
        <f>SUMIF(N:N,Online_eCommerce[[#This Row],[Assigned Supervisor]],L:L)</f>
        <v>14373360</v>
      </c>
    </row>
    <row r="3831" spans="1:20" hidden="1" x14ac:dyDescent="0.3">
      <c r="A3831" t="s">
        <v>5709</v>
      </c>
      <c r="B3831" t="s">
        <v>128</v>
      </c>
      <c r="C3831" t="s">
        <v>63</v>
      </c>
      <c r="D3831" t="s">
        <v>5570</v>
      </c>
      <c r="E3831" t="s">
        <v>96</v>
      </c>
      <c r="F3831" t="s">
        <v>133</v>
      </c>
      <c r="G3831" t="s">
        <v>66</v>
      </c>
      <c r="H3831" t="s">
        <v>21</v>
      </c>
      <c r="I3831">
        <v>600</v>
      </c>
      <c r="J3831">
        <v>780</v>
      </c>
      <c r="K3831">
        <v>1</v>
      </c>
      <c r="L3831">
        <v>600</v>
      </c>
      <c r="M3831">
        <v>780</v>
      </c>
      <c r="N3831" t="s">
        <v>35</v>
      </c>
      <c r="O3831">
        <f t="shared" si="118"/>
        <v>1690</v>
      </c>
      <c r="P3831" s="13">
        <f t="shared" si="119"/>
        <v>2016131</v>
      </c>
      <c r="Q3831" s="13">
        <f>SUMIFS(M:M,E:E,Online_eCommerce[[#This Row],[Status]])</f>
        <v>21233992</v>
      </c>
      <c r="R3831" s="13">
        <f>SUMIFS(L:L,H:H,Online_eCommerce[[#This Row],[Brand]])</f>
        <v>12435650</v>
      </c>
      <c r="S3831" s="13">
        <f>SUMIF(H:H,Online_eCommerce[[#This Row],[Brand]],M:M)</f>
        <v>16166345</v>
      </c>
      <c r="T3831" s="13">
        <f>SUMIF(N:N,Online_eCommerce[[#This Row],[Assigned Supervisor]],L:L)</f>
        <v>14373360</v>
      </c>
    </row>
    <row r="3832" spans="1:20" hidden="1" x14ac:dyDescent="0.3">
      <c r="A3832" t="s">
        <v>5710</v>
      </c>
      <c r="B3832" t="s">
        <v>131</v>
      </c>
      <c r="C3832" t="s">
        <v>68</v>
      </c>
      <c r="D3832" t="s">
        <v>5570</v>
      </c>
      <c r="E3832" t="s">
        <v>18</v>
      </c>
      <c r="F3832" t="s">
        <v>137</v>
      </c>
      <c r="G3832" t="s">
        <v>71</v>
      </c>
      <c r="H3832" t="s">
        <v>61</v>
      </c>
      <c r="I3832">
        <v>10500</v>
      </c>
      <c r="J3832">
        <v>13650</v>
      </c>
      <c r="K3832">
        <v>2</v>
      </c>
      <c r="L3832">
        <v>21000</v>
      </c>
      <c r="M3832">
        <v>27300</v>
      </c>
      <c r="N3832" t="s">
        <v>35</v>
      </c>
      <c r="O3832">
        <f t="shared" si="118"/>
        <v>9750</v>
      </c>
      <c r="P3832" s="13">
        <f t="shared" si="119"/>
        <v>2974621</v>
      </c>
      <c r="Q3832" s="13">
        <f>SUMIFS(M:M,E:E,Online_eCommerce[[#This Row],[Status]])</f>
        <v>28340455</v>
      </c>
      <c r="R3832" s="13">
        <f>SUMIFS(L:L,H:H,Online_eCommerce[[#This Row],[Brand]])</f>
        <v>10950150</v>
      </c>
      <c r="S3832" s="13">
        <f>SUMIF(H:H,Online_eCommerce[[#This Row],[Brand]],M:M)</f>
        <v>14235195</v>
      </c>
      <c r="T3832" s="13">
        <f>SUMIF(N:N,Online_eCommerce[[#This Row],[Assigned Supervisor]],L:L)</f>
        <v>14373360</v>
      </c>
    </row>
    <row r="3833" spans="1:20" hidden="1" x14ac:dyDescent="0.3">
      <c r="A3833" t="s">
        <v>5711</v>
      </c>
      <c r="B3833" t="s">
        <v>135</v>
      </c>
      <c r="C3833" t="s">
        <v>74</v>
      </c>
      <c r="D3833" t="s">
        <v>5570</v>
      </c>
      <c r="E3833" t="s">
        <v>161</v>
      </c>
      <c r="F3833" t="s">
        <v>5682</v>
      </c>
      <c r="G3833" t="s">
        <v>77</v>
      </c>
      <c r="H3833" t="s">
        <v>142</v>
      </c>
      <c r="I3833">
        <v>6500</v>
      </c>
      <c r="J3833">
        <v>8450</v>
      </c>
      <c r="K3833">
        <v>4</v>
      </c>
      <c r="L3833">
        <v>26000</v>
      </c>
      <c r="M3833">
        <v>33800</v>
      </c>
      <c r="N3833" t="s">
        <v>35</v>
      </c>
      <c r="O3833">
        <f t="shared" si="118"/>
        <v>39000</v>
      </c>
      <c r="P3833" s="13">
        <f t="shared" si="119"/>
        <v>2144701</v>
      </c>
      <c r="Q3833" s="13">
        <f>SUMIFS(M:M,E:E,Online_eCommerce[[#This Row],[Status]])</f>
        <v>21103186</v>
      </c>
      <c r="R3833" s="13">
        <f>SUMIFS(L:L,H:H,Online_eCommerce[[#This Row],[Brand]])</f>
        <v>6192500</v>
      </c>
      <c r="S3833" s="13">
        <f>SUMIF(H:H,Online_eCommerce[[#This Row],[Brand]],M:M)</f>
        <v>8050250</v>
      </c>
      <c r="T3833" s="13">
        <f>SUMIF(N:N,Online_eCommerce[[#This Row],[Assigned Supervisor]],L:L)</f>
        <v>14373360</v>
      </c>
    </row>
    <row r="3834" spans="1:20" x14ac:dyDescent="0.3">
      <c r="A3834" t="s">
        <v>5712</v>
      </c>
      <c r="B3834" t="s">
        <v>139</v>
      </c>
      <c r="C3834" t="s">
        <v>81</v>
      </c>
      <c r="D3834" t="s">
        <v>5570</v>
      </c>
      <c r="E3834" t="s">
        <v>46</v>
      </c>
      <c r="F3834" t="s">
        <v>5713</v>
      </c>
      <c r="G3834" t="s">
        <v>20</v>
      </c>
      <c r="H3834" t="s">
        <v>21</v>
      </c>
      <c r="I3834">
        <v>4500</v>
      </c>
      <c r="J3834">
        <v>5850</v>
      </c>
      <c r="K3834">
        <v>2</v>
      </c>
      <c r="L3834">
        <v>9000</v>
      </c>
      <c r="M3834">
        <v>11700</v>
      </c>
      <c r="N3834" t="s">
        <v>35</v>
      </c>
      <c r="O3834">
        <f t="shared" si="118"/>
        <v>8450</v>
      </c>
      <c r="P3834" s="13">
        <f t="shared" si="119"/>
        <v>2595632</v>
      </c>
      <c r="Q3834" s="13">
        <f>SUMIFS(M:M,E:E,Online_eCommerce[[#This Row],[Status]])</f>
        <v>28620410</v>
      </c>
      <c r="R3834" s="13">
        <f>SUMIFS(L:L,H:H,Online_eCommerce[[#This Row],[Brand]])</f>
        <v>12435650</v>
      </c>
      <c r="S3834" s="13">
        <f>SUMIF(H:H,Online_eCommerce[[#This Row],[Brand]],M:M)</f>
        <v>16166345</v>
      </c>
      <c r="T3834" s="13">
        <f>SUMIF(N:N,Online_eCommerce[[#This Row],[Assigned Supervisor]],L:L)</f>
        <v>14373360</v>
      </c>
    </row>
    <row r="3835" spans="1:20" hidden="1" x14ac:dyDescent="0.3">
      <c r="A3835" t="s">
        <v>5714</v>
      </c>
      <c r="B3835" t="s">
        <v>144</v>
      </c>
      <c r="C3835" t="s">
        <v>86</v>
      </c>
      <c r="D3835" t="s">
        <v>5570</v>
      </c>
      <c r="E3835" t="s">
        <v>96</v>
      </c>
      <c r="F3835" t="s">
        <v>152</v>
      </c>
      <c r="G3835" t="s">
        <v>26</v>
      </c>
      <c r="H3835" t="s">
        <v>27</v>
      </c>
      <c r="I3835">
        <v>8500</v>
      </c>
      <c r="J3835">
        <v>11050</v>
      </c>
      <c r="K3835">
        <v>3</v>
      </c>
      <c r="L3835">
        <v>25500</v>
      </c>
      <c r="M3835">
        <v>33150</v>
      </c>
      <c r="N3835" t="s">
        <v>35</v>
      </c>
      <c r="O3835">
        <f t="shared" si="118"/>
        <v>33150</v>
      </c>
      <c r="P3835" s="13">
        <f t="shared" si="119"/>
        <v>1941225</v>
      </c>
      <c r="Q3835" s="13">
        <f>SUMIFS(M:M,E:E,Online_eCommerce[[#This Row],[Status]])</f>
        <v>21233992</v>
      </c>
      <c r="R3835" s="13">
        <f>SUMIFS(L:L,H:H,Online_eCommerce[[#This Row],[Brand]])</f>
        <v>14431000</v>
      </c>
      <c r="S3835" s="13">
        <f>SUMIF(H:H,Online_eCommerce[[#This Row],[Brand]],M:M)</f>
        <v>18760300</v>
      </c>
      <c r="T3835" s="13">
        <f>SUMIF(N:N,Online_eCommerce[[#This Row],[Assigned Supervisor]],L:L)</f>
        <v>14373360</v>
      </c>
    </row>
    <row r="3836" spans="1:20" hidden="1" x14ac:dyDescent="0.3">
      <c r="A3836" t="s">
        <v>5715</v>
      </c>
      <c r="B3836" t="s">
        <v>149</v>
      </c>
      <c r="C3836" t="s">
        <v>91</v>
      </c>
      <c r="D3836" t="s">
        <v>5570</v>
      </c>
      <c r="E3836" t="s">
        <v>18</v>
      </c>
      <c r="F3836" t="s">
        <v>157</v>
      </c>
      <c r="G3836" t="s">
        <v>33</v>
      </c>
      <c r="H3836" t="s">
        <v>34</v>
      </c>
      <c r="I3836">
        <v>12500</v>
      </c>
      <c r="J3836">
        <v>16250</v>
      </c>
      <c r="K3836">
        <v>2</v>
      </c>
      <c r="L3836">
        <v>25000</v>
      </c>
      <c r="M3836">
        <v>32500</v>
      </c>
      <c r="N3836" t="s">
        <v>35</v>
      </c>
      <c r="O3836">
        <f t="shared" si="118"/>
        <v>18200</v>
      </c>
      <c r="P3836" s="13">
        <f t="shared" si="119"/>
        <v>2731963</v>
      </c>
      <c r="Q3836" s="13">
        <f>SUMIFS(M:M,E:E,Online_eCommerce[[#This Row],[Status]])</f>
        <v>28340455</v>
      </c>
      <c r="R3836" s="13">
        <f>SUMIFS(L:L,H:H,Online_eCommerce[[#This Row],[Brand]])</f>
        <v>10087000</v>
      </c>
      <c r="S3836" s="13">
        <f>SUMIF(H:H,Online_eCommerce[[#This Row],[Brand]],M:M)</f>
        <v>13113100</v>
      </c>
      <c r="T3836" s="13">
        <f>SUMIF(N:N,Online_eCommerce[[#This Row],[Assigned Supervisor]],L:L)</f>
        <v>14373360</v>
      </c>
    </row>
    <row r="3837" spans="1:20" hidden="1" x14ac:dyDescent="0.3">
      <c r="A3837" t="s">
        <v>5716</v>
      </c>
      <c r="B3837" t="s">
        <v>154</v>
      </c>
      <c r="C3837" t="s">
        <v>94</v>
      </c>
      <c r="D3837" t="s">
        <v>5570</v>
      </c>
      <c r="E3837" t="s">
        <v>161</v>
      </c>
      <c r="F3837" t="s">
        <v>5393</v>
      </c>
      <c r="G3837" t="s">
        <v>256</v>
      </c>
      <c r="H3837" t="s">
        <v>41</v>
      </c>
      <c r="I3837">
        <v>3500</v>
      </c>
      <c r="J3837">
        <v>4550</v>
      </c>
      <c r="K3837">
        <v>1</v>
      </c>
      <c r="L3837">
        <v>3500</v>
      </c>
      <c r="M3837">
        <v>4550</v>
      </c>
      <c r="N3837" t="s">
        <v>35</v>
      </c>
      <c r="O3837">
        <f t="shared" si="118"/>
        <v>9100</v>
      </c>
      <c r="P3837" s="13">
        <f t="shared" si="119"/>
        <v>1868256</v>
      </c>
      <c r="Q3837" s="13">
        <f>SUMIFS(M:M,E:E,Online_eCommerce[[#This Row],[Status]])</f>
        <v>21103186</v>
      </c>
      <c r="R3837" s="13">
        <f>SUMIFS(L:L,H:H,Online_eCommerce[[#This Row],[Brand]])</f>
        <v>4260400</v>
      </c>
      <c r="S3837" s="13">
        <f>SUMIF(H:H,Online_eCommerce[[#This Row],[Brand]],M:M)</f>
        <v>5538520</v>
      </c>
      <c r="T3837" s="13">
        <f>SUMIF(N:N,Online_eCommerce[[#This Row],[Assigned Supervisor]],L:L)</f>
        <v>14373360</v>
      </c>
    </row>
    <row r="3838" spans="1:20" x14ac:dyDescent="0.3">
      <c r="A3838" t="s">
        <v>5717</v>
      </c>
      <c r="B3838" t="s">
        <v>159</v>
      </c>
      <c r="C3838" t="s">
        <v>99</v>
      </c>
      <c r="D3838" t="s">
        <v>5570</v>
      </c>
      <c r="E3838" t="s">
        <v>46</v>
      </c>
      <c r="F3838" t="s">
        <v>166</v>
      </c>
      <c r="G3838" t="s">
        <v>259</v>
      </c>
      <c r="H3838" t="s">
        <v>49</v>
      </c>
      <c r="I3838">
        <v>4500</v>
      </c>
      <c r="J3838">
        <v>5850</v>
      </c>
      <c r="K3838">
        <v>3</v>
      </c>
      <c r="L3838">
        <v>13500</v>
      </c>
      <c r="M3838">
        <v>17550</v>
      </c>
      <c r="N3838" t="s">
        <v>42</v>
      </c>
      <c r="O3838">
        <f t="shared" si="118"/>
        <v>11700</v>
      </c>
      <c r="P3838" s="13">
        <f t="shared" si="119"/>
        <v>2651233</v>
      </c>
      <c r="Q3838" s="13">
        <f>SUMIFS(M:M,E:E,Online_eCommerce[[#This Row],[Status]])</f>
        <v>28620410</v>
      </c>
      <c r="R3838" s="13">
        <f>SUMIFS(L:L,H:H,Online_eCommerce[[#This Row],[Brand]])</f>
        <v>4528350</v>
      </c>
      <c r="S3838" s="13">
        <f>SUMIF(H:H,Online_eCommerce[[#This Row],[Brand]],M:M)</f>
        <v>5886855</v>
      </c>
      <c r="T3838" s="13">
        <f>SUMIF(N:N,Online_eCommerce[[#This Row],[Assigned Supervisor]],L:L)</f>
        <v>12261500</v>
      </c>
    </row>
    <row r="3839" spans="1:20" hidden="1" x14ac:dyDescent="0.3">
      <c r="A3839" t="s">
        <v>5718</v>
      </c>
      <c r="B3839" t="s">
        <v>139</v>
      </c>
      <c r="C3839" t="s">
        <v>105</v>
      </c>
      <c r="D3839" t="s">
        <v>5570</v>
      </c>
      <c r="E3839" t="s">
        <v>96</v>
      </c>
      <c r="F3839" t="s">
        <v>5719</v>
      </c>
      <c r="G3839" t="s">
        <v>54</v>
      </c>
      <c r="H3839" t="s">
        <v>55</v>
      </c>
      <c r="I3839">
        <v>2100</v>
      </c>
      <c r="J3839">
        <v>2730</v>
      </c>
      <c r="K3839">
        <v>4</v>
      </c>
      <c r="L3839">
        <v>8400</v>
      </c>
      <c r="M3839">
        <v>10920</v>
      </c>
      <c r="N3839" t="s">
        <v>50</v>
      </c>
      <c r="O3839">
        <f t="shared" si="118"/>
        <v>2990</v>
      </c>
      <c r="P3839" s="13">
        <f t="shared" si="119"/>
        <v>1866852</v>
      </c>
      <c r="Q3839" s="13">
        <f>SUMIFS(M:M,E:E,Online_eCommerce[[#This Row],[Status]])</f>
        <v>21233992</v>
      </c>
      <c r="R3839" s="13">
        <f>SUMIFS(L:L,H:H,Online_eCommerce[[#This Row],[Brand]])</f>
        <v>2267380</v>
      </c>
      <c r="S3839" s="13">
        <f>SUMIF(H:H,Online_eCommerce[[#This Row],[Brand]],M:M)</f>
        <v>2947594</v>
      </c>
      <c r="T3839" s="13">
        <f>SUMIF(N:N,Online_eCommerce[[#This Row],[Assigned Supervisor]],L:L)</f>
        <v>12100590</v>
      </c>
    </row>
    <row r="3840" spans="1:20" hidden="1" x14ac:dyDescent="0.3">
      <c r="A3840" t="s">
        <v>5720</v>
      </c>
      <c r="B3840" t="s">
        <v>144</v>
      </c>
      <c r="C3840" t="s">
        <v>110</v>
      </c>
      <c r="D3840" t="s">
        <v>5570</v>
      </c>
      <c r="E3840" t="s">
        <v>18</v>
      </c>
      <c r="F3840" t="s">
        <v>174</v>
      </c>
      <c r="G3840" t="s">
        <v>60</v>
      </c>
      <c r="H3840" t="s">
        <v>61</v>
      </c>
      <c r="I3840">
        <v>1150</v>
      </c>
      <c r="J3840">
        <v>1495</v>
      </c>
      <c r="K3840">
        <v>1</v>
      </c>
      <c r="L3840">
        <v>1150</v>
      </c>
      <c r="M3840">
        <v>1495</v>
      </c>
      <c r="N3840" t="s">
        <v>56</v>
      </c>
      <c r="O3840">
        <f t="shared" si="118"/>
        <v>3315</v>
      </c>
      <c r="P3840" s="13">
        <f t="shared" si="119"/>
        <v>2598635</v>
      </c>
      <c r="Q3840" s="13">
        <f>SUMIFS(M:M,E:E,Online_eCommerce[[#This Row],[Status]])</f>
        <v>28340455</v>
      </c>
      <c r="R3840" s="13">
        <f>SUMIFS(L:L,H:H,Online_eCommerce[[#This Row],[Brand]])</f>
        <v>10950150</v>
      </c>
      <c r="S3840" s="13">
        <f>SUMIF(H:H,Online_eCommerce[[#This Row],[Brand]],M:M)</f>
        <v>14235195</v>
      </c>
      <c r="T3840" s="13">
        <f>SUMIF(N:N,Online_eCommerce[[#This Row],[Assigned Supervisor]],L:L)</f>
        <v>11733610</v>
      </c>
    </row>
    <row r="3841" spans="1:20" hidden="1" x14ac:dyDescent="0.3">
      <c r="A3841" t="s">
        <v>5721</v>
      </c>
      <c r="B3841" t="s">
        <v>235</v>
      </c>
      <c r="C3841" t="s">
        <v>115</v>
      </c>
      <c r="D3841" t="s">
        <v>5570</v>
      </c>
      <c r="E3841" t="s">
        <v>161</v>
      </c>
      <c r="F3841" t="s">
        <v>179</v>
      </c>
      <c r="G3841" t="s">
        <v>66</v>
      </c>
      <c r="H3841" t="s">
        <v>21</v>
      </c>
      <c r="I3841">
        <v>350</v>
      </c>
      <c r="J3841">
        <v>455</v>
      </c>
      <c r="K3841">
        <v>3</v>
      </c>
      <c r="L3841">
        <v>1050</v>
      </c>
      <c r="M3841">
        <v>1365</v>
      </c>
      <c r="N3841" t="s">
        <v>22</v>
      </c>
      <c r="O3841">
        <f t="shared" si="118"/>
        <v>1690</v>
      </c>
      <c r="P3841" s="13">
        <f t="shared" si="119"/>
        <v>2050178</v>
      </c>
      <c r="Q3841" s="13">
        <f>SUMIFS(M:M,E:E,Online_eCommerce[[#This Row],[Status]])</f>
        <v>21103186</v>
      </c>
      <c r="R3841" s="13">
        <f>SUMIFS(L:L,H:H,Online_eCommerce[[#This Row],[Brand]])</f>
        <v>12435650</v>
      </c>
      <c r="S3841" s="13">
        <f>SUMIF(H:H,Online_eCommerce[[#This Row],[Brand]],M:M)</f>
        <v>16166345</v>
      </c>
      <c r="T3841" s="13">
        <f>SUMIF(N:N,Online_eCommerce[[#This Row],[Assigned Supervisor]],L:L)</f>
        <v>13693220</v>
      </c>
    </row>
    <row r="3842" spans="1:20" x14ac:dyDescent="0.3">
      <c r="A3842" t="s">
        <v>5722</v>
      </c>
      <c r="B3842" t="s">
        <v>176</v>
      </c>
      <c r="C3842" t="s">
        <v>120</v>
      </c>
      <c r="D3842" t="s">
        <v>5570</v>
      </c>
      <c r="E3842" t="s">
        <v>46</v>
      </c>
      <c r="F3842" t="s">
        <v>183</v>
      </c>
      <c r="G3842" t="s">
        <v>71</v>
      </c>
      <c r="H3842" t="s">
        <v>61</v>
      </c>
      <c r="I3842">
        <v>9500</v>
      </c>
      <c r="J3842">
        <v>12350</v>
      </c>
      <c r="K3842">
        <v>4</v>
      </c>
      <c r="L3842">
        <v>38000</v>
      </c>
      <c r="M3842">
        <v>49400</v>
      </c>
      <c r="N3842" t="s">
        <v>28</v>
      </c>
      <c r="O3842">
        <f t="shared" ref="O3842:O3905" si="120">VLOOKUP(G3842,G:M,7,FALSE)</f>
        <v>9750</v>
      </c>
      <c r="P3842" s="13">
        <f t="shared" ref="P3842:P3905" si="121">SUMIFS(M:M,C:C,C3842)</f>
        <v>2734212</v>
      </c>
      <c r="Q3842" s="13">
        <f>SUMIFS(M:M,E:E,Online_eCommerce[[#This Row],[Status]])</f>
        <v>28620410</v>
      </c>
      <c r="R3842" s="13">
        <f>SUMIFS(L:L,H:H,Online_eCommerce[[#This Row],[Brand]])</f>
        <v>10950150</v>
      </c>
      <c r="S3842" s="13">
        <f>SUMIF(H:H,Online_eCommerce[[#This Row],[Brand]],M:M)</f>
        <v>14235195</v>
      </c>
      <c r="T3842" s="13">
        <f>SUMIF(N:N,Online_eCommerce[[#This Row],[Assigned Supervisor]],L:L)</f>
        <v>12220830</v>
      </c>
    </row>
    <row r="3843" spans="1:20" hidden="1" x14ac:dyDescent="0.3">
      <c r="A3843" t="s">
        <v>5723</v>
      </c>
      <c r="B3843" t="s">
        <v>276</v>
      </c>
      <c r="C3843" t="s">
        <v>125</v>
      </c>
      <c r="D3843" t="s">
        <v>5570</v>
      </c>
      <c r="E3843" t="s">
        <v>96</v>
      </c>
      <c r="F3843" t="s">
        <v>5724</v>
      </c>
      <c r="G3843" t="s">
        <v>77</v>
      </c>
      <c r="H3843" t="s">
        <v>142</v>
      </c>
      <c r="I3843">
        <v>10000</v>
      </c>
      <c r="J3843">
        <v>13000</v>
      </c>
      <c r="K3843">
        <v>3</v>
      </c>
      <c r="L3843">
        <v>30000</v>
      </c>
      <c r="M3843">
        <v>39000</v>
      </c>
      <c r="N3843" t="s">
        <v>35</v>
      </c>
      <c r="O3843">
        <f t="shared" si="120"/>
        <v>39000</v>
      </c>
      <c r="P3843" s="13">
        <f t="shared" si="121"/>
        <v>2091154</v>
      </c>
      <c r="Q3843" s="13">
        <f>SUMIFS(M:M,E:E,Online_eCommerce[[#This Row],[Status]])</f>
        <v>21233992</v>
      </c>
      <c r="R3843" s="13">
        <f>SUMIFS(L:L,H:H,Online_eCommerce[[#This Row],[Brand]])</f>
        <v>6192500</v>
      </c>
      <c r="S3843" s="13">
        <f>SUMIF(H:H,Online_eCommerce[[#This Row],[Brand]],M:M)</f>
        <v>8050250</v>
      </c>
      <c r="T3843" s="13">
        <f>SUMIF(N:N,Online_eCommerce[[#This Row],[Assigned Supervisor]],L:L)</f>
        <v>14373360</v>
      </c>
    </row>
    <row r="3844" spans="1:20" hidden="1" x14ac:dyDescent="0.3">
      <c r="A3844" t="s">
        <v>5725</v>
      </c>
      <c r="B3844" t="s">
        <v>280</v>
      </c>
      <c r="C3844" t="s">
        <v>22</v>
      </c>
      <c r="D3844" t="s">
        <v>5570</v>
      </c>
      <c r="E3844" t="s">
        <v>18</v>
      </c>
      <c r="F3844" t="s">
        <v>5726</v>
      </c>
      <c r="G3844" t="s">
        <v>20</v>
      </c>
      <c r="H3844" t="s">
        <v>21</v>
      </c>
      <c r="I3844">
        <v>6500</v>
      </c>
      <c r="J3844">
        <v>8450</v>
      </c>
      <c r="K3844">
        <v>2</v>
      </c>
      <c r="L3844">
        <v>13000</v>
      </c>
      <c r="M3844">
        <v>16900</v>
      </c>
      <c r="N3844" t="s">
        <v>42</v>
      </c>
      <c r="O3844">
        <f t="shared" si="120"/>
        <v>8450</v>
      </c>
      <c r="P3844" s="13">
        <f t="shared" si="121"/>
        <v>2551588</v>
      </c>
      <c r="Q3844" s="13">
        <f>SUMIFS(M:M,E:E,Online_eCommerce[[#This Row],[Status]])</f>
        <v>28340455</v>
      </c>
      <c r="R3844" s="13">
        <f>SUMIFS(L:L,H:H,Online_eCommerce[[#This Row],[Brand]])</f>
        <v>12435650</v>
      </c>
      <c r="S3844" s="13">
        <f>SUMIF(H:H,Online_eCommerce[[#This Row],[Brand]],M:M)</f>
        <v>16166345</v>
      </c>
      <c r="T3844" s="13">
        <f>SUMIF(N:N,Online_eCommerce[[#This Row],[Assigned Supervisor]],L:L)</f>
        <v>12261500</v>
      </c>
    </row>
    <row r="3845" spans="1:20" hidden="1" x14ac:dyDescent="0.3">
      <c r="A3845" t="s">
        <v>5727</v>
      </c>
      <c r="B3845" t="s">
        <v>283</v>
      </c>
      <c r="C3845" t="s">
        <v>132</v>
      </c>
      <c r="D3845" t="s">
        <v>5570</v>
      </c>
      <c r="E3845" t="s">
        <v>161</v>
      </c>
      <c r="F3845" t="s">
        <v>5728</v>
      </c>
      <c r="G3845" t="s">
        <v>26</v>
      </c>
      <c r="H3845" t="s">
        <v>27</v>
      </c>
      <c r="I3845">
        <v>8500</v>
      </c>
      <c r="J3845">
        <v>11050</v>
      </c>
      <c r="K3845">
        <v>1</v>
      </c>
      <c r="L3845">
        <v>8500</v>
      </c>
      <c r="M3845">
        <v>11050</v>
      </c>
      <c r="N3845" t="s">
        <v>50</v>
      </c>
      <c r="O3845">
        <f t="shared" si="120"/>
        <v>33150</v>
      </c>
      <c r="P3845" s="13">
        <f t="shared" si="121"/>
        <v>1989065</v>
      </c>
      <c r="Q3845" s="13">
        <f>SUMIFS(M:M,E:E,Online_eCommerce[[#This Row],[Status]])</f>
        <v>21103186</v>
      </c>
      <c r="R3845" s="13">
        <f>SUMIFS(L:L,H:H,Online_eCommerce[[#This Row],[Brand]])</f>
        <v>14431000</v>
      </c>
      <c r="S3845" s="13">
        <f>SUMIF(H:H,Online_eCommerce[[#This Row],[Brand]],M:M)</f>
        <v>18760300</v>
      </c>
      <c r="T3845" s="13">
        <f>SUMIF(N:N,Online_eCommerce[[#This Row],[Assigned Supervisor]],L:L)</f>
        <v>12100590</v>
      </c>
    </row>
    <row r="3846" spans="1:20" x14ac:dyDescent="0.3">
      <c r="A3846" t="s">
        <v>5729</v>
      </c>
      <c r="B3846" t="s">
        <v>287</v>
      </c>
      <c r="C3846" t="s">
        <v>136</v>
      </c>
      <c r="D3846" t="s">
        <v>5570</v>
      </c>
      <c r="E3846" t="s">
        <v>46</v>
      </c>
      <c r="F3846" t="s">
        <v>32</v>
      </c>
      <c r="G3846" t="s">
        <v>33</v>
      </c>
      <c r="H3846" t="s">
        <v>34</v>
      </c>
      <c r="I3846">
        <v>7000</v>
      </c>
      <c r="J3846">
        <v>9100</v>
      </c>
      <c r="K3846">
        <v>4</v>
      </c>
      <c r="L3846">
        <v>28000</v>
      </c>
      <c r="M3846">
        <v>36400</v>
      </c>
      <c r="N3846" t="s">
        <v>56</v>
      </c>
      <c r="O3846">
        <f t="shared" si="120"/>
        <v>18200</v>
      </c>
      <c r="P3846" s="13">
        <f t="shared" si="121"/>
        <v>2775162</v>
      </c>
      <c r="Q3846" s="13">
        <f>SUMIFS(M:M,E:E,Online_eCommerce[[#This Row],[Status]])</f>
        <v>28620410</v>
      </c>
      <c r="R3846" s="13">
        <f>SUMIFS(L:L,H:H,Online_eCommerce[[#This Row],[Brand]])</f>
        <v>10087000</v>
      </c>
      <c r="S3846" s="13">
        <f>SUMIF(H:H,Online_eCommerce[[#This Row],[Brand]],M:M)</f>
        <v>13113100</v>
      </c>
      <c r="T3846" s="13">
        <f>SUMIF(N:N,Online_eCommerce[[#This Row],[Assigned Supervisor]],L:L)</f>
        <v>11733610</v>
      </c>
    </row>
    <row r="3847" spans="1:20" hidden="1" x14ac:dyDescent="0.3">
      <c r="A3847" t="s">
        <v>5730</v>
      </c>
      <c r="B3847" t="s">
        <v>290</v>
      </c>
      <c r="C3847" t="s">
        <v>140</v>
      </c>
      <c r="D3847" t="s">
        <v>5570</v>
      </c>
      <c r="E3847" t="s">
        <v>96</v>
      </c>
      <c r="F3847" t="s">
        <v>5731</v>
      </c>
      <c r="G3847" t="s">
        <v>256</v>
      </c>
      <c r="H3847" t="s">
        <v>41</v>
      </c>
      <c r="I3847">
        <v>6550</v>
      </c>
      <c r="J3847">
        <v>8515</v>
      </c>
      <c r="K3847">
        <v>2</v>
      </c>
      <c r="L3847">
        <v>13100</v>
      </c>
      <c r="M3847">
        <v>17030</v>
      </c>
      <c r="N3847" t="s">
        <v>22</v>
      </c>
      <c r="O3847">
        <f t="shared" si="120"/>
        <v>9100</v>
      </c>
      <c r="P3847" s="13">
        <f t="shared" si="121"/>
        <v>2058264</v>
      </c>
      <c r="Q3847" s="13">
        <f>SUMIFS(M:M,E:E,Online_eCommerce[[#This Row],[Status]])</f>
        <v>21233992</v>
      </c>
      <c r="R3847" s="13">
        <f>SUMIFS(L:L,H:H,Online_eCommerce[[#This Row],[Brand]])</f>
        <v>4260400</v>
      </c>
      <c r="S3847" s="13">
        <f>SUMIF(H:H,Online_eCommerce[[#This Row],[Brand]],M:M)</f>
        <v>5538520</v>
      </c>
      <c r="T3847" s="13">
        <f>SUMIF(N:N,Online_eCommerce[[#This Row],[Assigned Supervisor]],L:L)</f>
        <v>13693220</v>
      </c>
    </row>
    <row r="3848" spans="1:20" hidden="1" x14ac:dyDescent="0.3">
      <c r="A3848" t="s">
        <v>5732</v>
      </c>
      <c r="B3848" t="s">
        <v>15</v>
      </c>
      <c r="C3848" t="s">
        <v>145</v>
      </c>
      <c r="D3848" t="s">
        <v>5570</v>
      </c>
      <c r="E3848" t="s">
        <v>18</v>
      </c>
      <c r="F3848" t="s">
        <v>47</v>
      </c>
      <c r="G3848" t="s">
        <v>259</v>
      </c>
      <c r="H3848" t="s">
        <v>49</v>
      </c>
      <c r="I3848">
        <v>7650</v>
      </c>
      <c r="J3848">
        <v>9945</v>
      </c>
      <c r="K3848">
        <v>2</v>
      </c>
      <c r="L3848">
        <v>15300</v>
      </c>
      <c r="M3848">
        <v>19890</v>
      </c>
      <c r="N3848" t="s">
        <v>35</v>
      </c>
      <c r="O3848">
        <f t="shared" si="120"/>
        <v>11700</v>
      </c>
      <c r="P3848" s="13">
        <f t="shared" si="121"/>
        <v>2757859</v>
      </c>
      <c r="Q3848" s="13">
        <f>SUMIFS(M:M,E:E,Online_eCommerce[[#This Row],[Status]])</f>
        <v>28340455</v>
      </c>
      <c r="R3848" s="13">
        <f>SUMIFS(L:L,H:H,Online_eCommerce[[#This Row],[Brand]])</f>
        <v>4528350</v>
      </c>
      <c r="S3848" s="13">
        <f>SUMIF(H:H,Online_eCommerce[[#This Row],[Brand]],M:M)</f>
        <v>5886855</v>
      </c>
      <c r="T3848" s="13">
        <f>SUMIF(N:N,Online_eCommerce[[#This Row],[Assigned Supervisor]],L:L)</f>
        <v>14373360</v>
      </c>
    </row>
    <row r="3849" spans="1:20" hidden="1" x14ac:dyDescent="0.3">
      <c r="A3849" t="s">
        <v>5733</v>
      </c>
      <c r="B3849" t="s">
        <v>202</v>
      </c>
      <c r="C3849" t="s">
        <v>150</v>
      </c>
      <c r="D3849" t="s">
        <v>5570</v>
      </c>
      <c r="E3849" t="s">
        <v>161</v>
      </c>
      <c r="F3849" t="s">
        <v>53</v>
      </c>
      <c r="G3849" t="s">
        <v>54</v>
      </c>
      <c r="H3849" t="s">
        <v>55</v>
      </c>
      <c r="I3849">
        <v>1150</v>
      </c>
      <c r="J3849">
        <v>1495</v>
      </c>
      <c r="K3849">
        <v>2</v>
      </c>
      <c r="L3849">
        <v>2300</v>
      </c>
      <c r="M3849">
        <v>2990</v>
      </c>
      <c r="N3849" t="s">
        <v>35</v>
      </c>
      <c r="O3849">
        <f t="shared" si="120"/>
        <v>2990</v>
      </c>
      <c r="P3849" s="13">
        <f t="shared" si="121"/>
        <v>2154984</v>
      </c>
      <c r="Q3849" s="13">
        <f>SUMIFS(M:M,E:E,Online_eCommerce[[#This Row],[Status]])</f>
        <v>21103186</v>
      </c>
      <c r="R3849" s="13">
        <f>SUMIFS(L:L,H:H,Online_eCommerce[[#This Row],[Brand]])</f>
        <v>2267380</v>
      </c>
      <c r="S3849" s="13">
        <f>SUMIF(H:H,Online_eCommerce[[#This Row],[Brand]],M:M)</f>
        <v>2947594</v>
      </c>
      <c r="T3849" s="13">
        <f>SUMIF(N:N,Online_eCommerce[[#This Row],[Assigned Supervisor]],L:L)</f>
        <v>14373360</v>
      </c>
    </row>
    <row r="3850" spans="1:20" x14ac:dyDescent="0.3">
      <c r="A3850" t="s">
        <v>5734</v>
      </c>
      <c r="B3850" t="s">
        <v>30</v>
      </c>
      <c r="C3850" t="s">
        <v>155</v>
      </c>
      <c r="D3850" t="s">
        <v>5570</v>
      </c>
      <c r="E3850" t="s">
        <v>46</v>
      </c>
      <c r="F3850" t="s">
        <v>59</v>
      </c>
      <c r="G3850" t="s">
        <v>60</v>
      </c>
      <c r="H3850" t="s">
        <v>61</v>
      </c>
      <c r="I3850">
        <v>850</v>
      </c>
      <c r="J3850">
        <v>1105</v>
      </c>
      <c r="K3850">
        <v>1</v>
      </c>
      <c r="L3850">
        <v>850</v>
      </c>
      <c r="M3850">
        <v>1105</v>
      </c>
      <c r="N3850" t="s">
        <v>35</v>
      </c>
      <c r="O3850">
        <f t="shared" si="120"/>
        <v>3315</v>
      </c>
      <c r="P3850" s="13">
        <f t="shared" si="121"/>
        <v>2753348</v>
      </c>
      <c r="Q3850" s="13">
        <f>SUMIFS(M:M,E:E,Online_eCommerce[[#This Row],[Status]])</f>
        <v>28620410</v>
      </c>
      <c r="R3850" s="13">
        <f>SUMIFS(L:L,H:H,Online_eCommerce[[#This Row],[Brand]])</f>
        <v>10950150</v>
      </c>
      <c r="S3850" s="13">
        <f>SUMIF(H:H,Online_eCommerce[[#This Row],[Brand]],M:M)</f>
        <v>14235195</v>
      </c>
      <c r="T3850" s="13">
        <f>SUMIF(N:N,Online_eCommerce[[#This Row],[Assigned Supervisor]],L:L)</f>
        <v>14373360</v>
      </c>
    </row>
    <row r="3851" spans="1:20" hidden="1" x14ac:dyDescent="0.3">
      <c r="A3851" t="s">
        <v>5735</v>
      </c>
      <c r="B3851" t="s">
        <v>37</v>
      </c>
      <c r="C3851" t="s">
        <v>160</v>
      </c>
      <c r="D3851" t="s">
        <v>5570</v>
      </c>
      <c r="E3851" t="s">
        <v>96</v>
      </c>
      <c r="F3851" t="s">
        <v>65</v>
      </c>
      <c r="G3851" t="s">
        <v>66</v>
      </c>
      <c r="H3851" t="s">
        <v>21</v>
      </c>
      <c r="I3851">
        <v>650</v>
      </c>
      <c r="J3851">
        <v>845</v>
      </c>
      <c r="K3851">
        <v>1</v>
      </c>
      <c r="L3851">
        <v>650</v>
      </c>
      <c r="M3851">
        <v>845</v>
      </c>
      <c r="N3851" t="s">
        <v>35</v>
      </c>
      <c r="O3851">
        <f t="shared" si="120"/>
        <v>1690</v>
      </c>
      <c r="P3851" s="13">
        <f t="shared" si="121"/>
        <v>2303483</v>
      </c>
      <c r="Q3851" s="13">
        <f>SUMIFS(M:M,E:E,Online_eCommerce[[#This Row],[Status]])</f>
        <v>21233992</v>
      </c>
      <c r="R3851" s="13">
        <f>SUMIFS(L:L,H:H,Online_eCommerce[[#This Row],[Brand]])</f>
        <v>12435650</v>
      </c>
      <c r="S3851" s="13">
        <f>SUMIF(H:H,Online_eCommerce[[#This Row],[Brand]],M:M)</f>
        <v>16166345</v>
      </c>
      <c r="T3851" s="13">
        <f>SUMIF(N:N,Online_eCommerce[[#This Row],[Assigned Supervisor]],L:L)</f>
        <v>14373360</v>
      </c>
    </row>
    <row r="3852" spans="1:20" hidden="1" x14ac:dyDescent="0.3">
      <c r="A3852" t="s">
        <v>5736</v>
      </c>
      <c r="B3852" t="s">
        <v>44</v>
      </c>
      <c r="C3852" t="s">
        <v>165</v>
      </c>
      <c r="D3852" t="s">
        <v>5570</v>
      </c>
      <c r="E3852" t="s">
        <v>18</v>
      </c>
      <c r="F3852" t="s">
        <v>70</v>
      </c>
      <c r="G3852" t="s">
        <v>71</v>
      </c>
      <c r="H3852" t="s">
        <v>61</v>
      </c>
      <c r="I3852">
        <v>7500</v>
      </c>
      <c r="J3852">
        <v>9750</v>
      </c>
      <c r="K3852">
        <v>3</v>
      </c>
      <c r="L3852">
        <v>22500</v>
      </c>
      <c r="M3852">
        <v>29250</v>
      </c>
      <c r="N3852" t="s">
        <v>35</v>
      </c>
      <c r="O3852">
        <f t="shared" si="120"/>
        <v>9750</v>
      </c>
      <c r="P3852" s="13">
        <f t="shared" si="121"/>
        <v>2674087</v>
      </c>
      <c r="Q3852" s="13">
        <f>SUMIFS(M:M,E:E,Online_eCommerce[[#This Row],[Status]])</f>
        <v>28340455</v>
      </c>
      <c r="R3852" s="13">
        <f>SUMIFS(L:L,H:H,Online_eCommerce[[#This Row],[Brand]])</f>
        <v>10950150</v>
      </c>
      <c r="S3852" s="13">
        <f>SUMIF(H:H,Online_eCommerce[[#This Row],[Brand]],M:M)</f>
        <v>14235195</v>
      </c>
      <c r="T3852" s="13">
        <f>SUMIF(N:N,Online_eCommerce[[#This Row],[Assigned Supervisor]],L:L)</f>
        <v>14373360</v>
      </c>
    </row>
    <row r="3853" spans="1:20" hidden="1" x14ac:dyDescent="0.3">
      <c r="A3853" t="s">
        <v>5737</v>
      </c>
      <c r="B3853" t="s">
        <v>213</v>
      </c>
      <c r="C3853" t="s">
        <v>168</v>
      </c>
      <c r="D3853" t="s">
        <v>5570</v>
      </c>
      <c r="E3853" t="s">
        <v>161</v>
      </c>
      <c r="F3853" t="s">
        <v>5724</v>
      </c>
      <c r="G3853" t="s">
        <v>77</v>
      </c>
      <c r="H3853" t="s">
        <v>78</v>
      </c>
      <c r="I3853">
        <v>10000</v>
      </c>
      <c r="J3853">
        <v>13000</v>
      </c>
      <c r="K3853">
        <v>1</v>
      </c>
      <c r="L3853">
        <v>10000</v>
      </c>
      <c r="M3853">
        <v>13000</v>
      </c>
      <c r="N3853" t="s">
        <v>35</v>
      </c>
      <c r="O3853">
        <f t="shared" si="120"/>
        <v>39000</v>
      </c>
      <c r="P3853" s="13">
        <f t="shared" si="121"/>
        <v>1937780</v>
      </c>
      <c r="Q3853" s="13">
        <f>SUMIFS(M:M,E:E,Online_eCommerce[[#This Row],[Status]])</f>
        <v>21103186</v>
      </c>
      <c r="R3853" s="13">
        <f>SUMIFS(L:L,H:H,Online_eCommerce[[#This Row],[Brand]])</f>
        <v>3720000</v>
      </c>
      <c r="S3853" s="13">
        <f>SUMIF(H:H,Online_eCommerce[[#This Row],[Brand]],M:M)</f>
        <v>4836000</v>
      </c>
      <c r="T3853" s="13">
        <f>SUMIF(N:N,Online_eCommerce[[#This Row],[Assigned Supervisor]],L:L)</f>
        <v>14373360</v>
      </c>
    </row>
    <row r="3854" spans="1:20" x14ac:dyDescent="0.3">
      <c r="A3854" t="s">
        <v>5738</v>
      </c>
      <c r="B3854" t="s">
        <v>215</v>
      </c>
      <c r="C3854" t="s">
        <v>172</v>
      </c>
      <c r="D3854" t="s">
        <v>5570</v>
      </c>
      <c r="E3854" t="s">
        <v>46</v>
      </c>
      <c r="F3854" t="s">
        <v>5739</v>
      </c>
      <c r="G3854" t="s">
        <v>20</v>
      </c>
      <c r="H3854" t="s">
        <v>21</v>
      </c>
      <c r="I3854">
        <v>10500</v>
      </c>
      <c r="J3854">
        <v>13650</v>
      </c>
      <c r="K3854">
        <v>4</v>
      </c>
      <c r="L3854">
        <v>42000</v>
      </c>
      <c r="M3854">
        <v>54600</v>
      </c>
      <c r="N3854" t="s">
        <v>35</v>
      </c>
      <c r="O3854">
        <f t="shared" si="120"/>
        <v>8450</v>
      </c>
      <c r="P3854" s="13">
        <f t="shared" si="121"/>
        <v>2640274</v>
      </c>
      <c r="Q3854" s="13">
        <f>SUMIFS(M:M,E:E,Online_eCommerce[[#This Row],[Status]])</f>
        <v>28620410</v>
      </c>
      <c r="R3854" s="13">
        <f>SUMIFS(L:L,H:H,Online_eCommerce[[#This Row],[Brand]])</f>
        <v>12435650</v>
      </c>
      <c r="S3854" s="13">
        <f>SUMIF(H:H,Online_eCommerce[[#This Row],[Brand]],M:M)</f>
        <v>16166345</v>
      </c>
      <c r="T3854" s="13">
        <f>SUMIF(N:N,Online_eCommerce[[#This Row],[Assigned Supervisor]],L:L)</f>
        <v>14373360</v>
      </c>
    </row>
    <row r="3855" spans="1:20" hidden="1" x14ac:dyDescent="0.3">
      <c r="A3855" t="s">
        <v>5740</v>
      </c>
      <c r="B3855" t="s">
        <v>306</v>
      </c>
      <c r="C3855" t="s">
        <v>177</v>
      </c>
      <c r="D3855" t="s">
        <v>5570</v>
      </c>
      <c r="E3855" t="s">
        <v>96</v>
      </c>
      <c r="F3855" t="s">
        <v>88</v>
      </c>
      <c r="G3855" t="s">
        <v>26</v>
      </c>
      <c r="H3855" t="s">
        <v>27</v>
      </c>
      <c r="I3855">
        <v>8500</v>
      </c>
      <c r="J3855">
        <v>11050</v>
      </c>
      <c r="K3855">
        <v>3</v>
      </c>
      <c r="L3855">
        <v>25500</v>
      </c>
      <c r="M3855">
        <v>33150</v>
      </c>
      <c r="N3855" t="s">
        <v>35</v>
      </c>
      <c r="O3855">
        <f t="shared" si="120"/>
        <v>33150</v>
      </c>
      <c r="P3855" s="13">
        <f t="shared" si="121"/>
        <v>1863810</v>
      </c>
      <c r="Q3855" s="13">
        <f>SUMIFS(M:M,E:E,Online_eCommerce[[#This Row],[Status]])</f>
        <v>21233992</v>
      </c>
      <c r="R3855" s="13">
        <f>SUMIFS(L:L,H:H,Online_eCommerce[[#This Row],[Brand]])</f>
        <v>14431000</v>
      </c>
      <c r="S3855" s="13">
        <f>SUMIF(H:H,Online_eCommerce[[#This Row],[Brand]],M:M)</f>
        <v>18760300</v>
      </c>
      <c r="T3855" s="13">
        <f>SUMIF(N:N,Online_eCommerce[[#This Row],[Assigned Supervisor]],L:L)</f>
        <v>14373360</v>
      </c>
    </row>
    <row r="3856" spans="1:20" hidden="1" x14ac:dyDescent="0.3">
      <c r="A3856" t="s">
        <v>5741</v>
      </c>
      <c r="B3856" t="s">
        <v>528</v>
      </c>
      <c r="C3856" t="s">
        <v>181</v>
      </c>
      <c r="D3856" t="s">
        <v>5570</v>
      </c>
      <c r="E3856" t="s">
        <v>18</v>
      </c>
      <c r="F3856" t="s">
        <v>32</v>
      </c>
      <c r="G3856" t="s">
        <v>33</v>
      </c>
      <c r="H3856" t="s">
        <v>34</v>
      </c>
      <c r="I3856">
        <v>7000</v>
      </c>
      <c r="J3856">
        <v>9100</v>
      </c>
      <c r="K3856">
        <v>2</v>
      </c>
      <c r="L3856">
        <v>14000</v>
      </c>
      <c r="M3856">
        <v>18200</v>
      </c>
      <c r="N3856" t="s">
        <v>35</v>
      </c>
      <c r="O3856">
        <f t="shared" si="120"/>
        <v>18200</v>
      </c>
      <c r="P3856" s="13">
        <f t="shared" si="121"/>
        <v>2577458</v>
      </c>
      <c r="Q3856" s="13">
        <f>SUMIFS(M:M,E:E,Online_eCommerce[[#This Row],[Status]])</f>
        <v>28340455</v>
      </c>
      <c r="R3856" s="13">
        <f>SUMIFS(L:L,H:H,Online_eCommerce[[#This Row],[Brand]])</f>
        <v>10087000</v>
      </c>
      <c r="S3856" s="13">
        <f>SUMIF(H:H,Online_eCommerce[[#This Row],[Brand]],M:M)</f>
        <v>13113100</v>
      </c>
      <c r="T3856" s="13">
        <f>SUMIF(N:N,Online_eCommerce[[#This Row],[Assigned Supervisor]],L:L)</f>
        <v>14373360</v>
      </c>
    </row>
    <row r="3857" spans="1:20" hidden="1" x14ac:dyDescent="0.3">
      <c r="A3857" t="s">
        <v>5742</v>
      </c>
      <c r="B3857" t="s">
        <v>73</v>
      </c>
      <c r="C3857" t="s">
        <v>185</v>
      </c>
      <c r="D3857" t="s">
        <v>5743</v>
      </c>
      <c r="E3857" t="s">
        <v>161</v>
      </c>
      <c r="F3857" t="s">
        <v>5744</v>
      </c>
      <c r="G3857" t="s">
        <v>256</v>
      </c>
      <c r="H3857" t="s">
        <v>41</v>
      </c>
      <c r="I3857">
        <v>1680</v>
      </c>
      <c r="J3857">
        <v>2184</v>
      </c>
      <c r="K3857">
        <v>3</v>
      </c>
      <c r="L3857">
        <v>5040</v>
      </c>
      <c r="M3857">
        <v>6552</v>
      </c>
      <c r="N3857" t="s">
        <v>35</v>
      </c>
      <c r="O3857">
        <f t="shared" si="120"/>
        <v>9100</v>
      </c>
      <c r="P3857" s="13">
        <f t="shared" si="121"/>
        <v>2091596</v>
      </c>
      <c r="Q3857" s="13">
        <f>SUMIFS(M:M,E:E,Online_eCommerce[[#This Row],[Status]])</f>
        <v>21103186</v>
      </c>
      <c r="R3857" s="13">
        <f>SUMIFS(L:L,H:H,Online_eCommerce[[#This Row],[Brand]])</f>
        <v>4260400</v>
      </c>
      <c r="S3857" s="13">
        <f>SUMIF(H:H,Online_eCommerce[[#This Row],[Brand]],M:M)</f>
        <v>5538520</v>
      </c>
      <c r="T3857" s="13">
        <f>SUMIF(N:N,Online_eCommerce[[#This Row],[Assigned Supervisor]],L:L)</f>
        <v>14373360</v>
      </c>
    </row>
    <row r="3858" spans="1:20" x14ac:dyDescent="0.3">
      <c r="A3858" t="s">
        <v>5745</v>
      </c>
      <c r="B3858" t="s">
        <v>80</v>
      </c>
      <c r="C3858" t="s">
        <v>189</v>
      </c>
      <c r="D3858" t="s">
        <v>5743</v>
      </c>
      <c r="E3858" t="s">
        <v>46</v>
      </c>
      <c r="F3858" t="s">
        <v>101</v>
      </c>
      <c r="G3858" t="s">
        <v>259</v>
      </c>
      <c r="H3858" t="s">
        <v>102</v>
      </c>
      <c r="I3858">
        <v>6540</v>
      </c>
      <c r="J3858">
        <v>8502</v>
      </c>
      <c r="K3858">
        <v>1</v>
      </c>
      <c r="L3858">
        <v>6540</v>
      </c>
      <c r="M3858">
        <v>8502</v>
      </c>
      <c r="N3858" t="s">
        <v>56</v>
      </c>
      <c r="O3858">
        <f t="shared" si="120"/>
        <v>11700</v>
      </c>
      <c r="P3858" s="13">
        <f t="shared" si="121"/>
        <v>2740777</v>
      </c>
      <c r="Q3858" s="13">
        <f>SUMIFS(M:M,E:E,Online_eCommerce[[#This Row],[Status]])</f>
        <v>28620410</v>
      </c>
      <c r="R3858" s="13">
        <f>SUMIFS(L:L,H:H,Online_eCommerce[[#This Row],[Brand]])</f>
        <v>2465580</v>
      </c>
      <c r="S3858" s="13">
        <f>SUMIF(H:H,Online_eCommerce[[#This Row],[Brand]],M:M)</f>
        <v>3205254</v>
      </c>
      <c r="T3858" s="13">
        <f>SUMIF(N:N,Online_eCommerce[[#This Row],[Assigned Supervisor]],L:L)</f>
        <v>11733610</v>
      </c>
    </row>
    <row r="3859" spans="1:20" hidden="1" x14ac:dyDescent="0.3">
      <c r="A3859" t="s">
        <v>5746</v>
      </c>
      <c r="B3859" t="s">
        <v>85</v>
      </c>
      <c r="C3859" t="s">
        <v>193</v>
      </c>
      <c r="D3859" t="s">
        <v>5743</v>
      </c>
      <c r="E3859" t="s">
        <v>96</v>
      </c>
      <c r="F3859" t="s">
        <v>107</v>
      </c>
      <c r="G3859" t="s">
        <v>54</v>
      </c>
      <c r="H3859" t="s">
        <v>55</v>
      </c>
      <c r="I3859">
        <v>2680</v>
      </c>
      <c r="J3859">
        <v>3484</v>
      </c>
      <c r="K3859">
        <v>4</v>
      </c>
      <c r="L3859">
        <v>10720</v>
      </c>
      <c r="M3859">
        <v>13936</v>
      </c>
      <c r="N3859" t="s">
        <v>22</v>
      </c>
      <c r="O3859">
        <f t="shared" si="120"/>
        <v>2990</v>
      </c>
      <c r="P3859" s="13">
        <f t="shared" si="121"/>
        <v>2074774</v>
      </c>
      <c r="Q3859" s="13">
        <f>SUMIFS(M:M,E:E,Online_eCommerce[[#This Row],[Status]])</f>
        <v>21233992</v>
      </c>
      <c r="R3859" s="13">
        <f>SUMIFS(L:L,H:H,Online_eCommerce[[#This Row],[Brand]])</f>
        <v>2267380</v>
      </c>
      <c r="S3859" s="13">
        <f>SUMIF(H:H,Online_eCommerce[[#This Row],[Brand]],M:M)</f>
        <v>2947594</v>
      </c>
      <c r="T3859" s="13">
        <f>SUMIF(N:N,Online_eCommerce[[#This Row],[Assigned Supervisor]],L:L)</f>
        <v>13693220</v>
      </c>
    </row>
    <row r="3860" spans="1:20" hidden="1" x14ac:dyDescent="0.3">
      <c r="A3860" t="s">
        <v>5747</v>
      </c>
      <c r="B3860" t="s">
        <v>90</v>
      </c>
      <c r="C3860" t="s">
        <v>197</v>
      </c>
      <c r="D3860" t="s">
        <v>5743</v>
      </c>
      <c r="E3860" t="s">
        <v>18</v>
      </c>
      <c r="F3860" t="s">
        <v>112</v>
      </c>
      <c r="G3860" t="s">
        <v>71</v>
      </c>
      <c r="H3860" t="s">
        <v>21</v>
      </c>
      <c r="I3860">
        <v>8250</v>
      </c>
      <c r="J3860">
        <v>10725</v>
      </c>
      <c r="K3860">
        <v>4</v>
      </c>
      <c r="L3860">
        <v>33000</v>
      </c>
      <c r="M3860">
        <v>42900</v>
      </c>
      <c r="N3860" t="s">
        <v>28</v>
      </c>
      <c r="O3860">
        <f t="shared" si="120"/>
        <v>9750</v>
      </c>
      <c r="P3860" s="13">
        <f t="shared" si="121"/>
        <v>2829840</v>
      </c>
      <c r="Q3860" s="13">
        <f>SUMIFS(M:M,E:E,Online_eCommerce[[#This Row],[Status]])</f>
        <v>28340455</v>
      </c>
      <c r="R3860" s="13">
        <f>SUMIFS(L:L,H:H,Online_eCommerce[[#This Row],[Brand]])</f>
        <v>12435650</v>
      </c>
      <c r="S3860" s="13">
        <f>SUMIF(H:H,Online_eCommerce[[#This Row],[Brand]],M:M)</f>
        <v>16166345</v>
      </c>
      <c r="T3860" s="13">
        <f>SUMIF(N:N,Online_eCommerce[[#This Row],[Assigned Supervisor]],L:L)</f>
        <v>12220830</v>
      </c>
    </row>
    <row r="3861" spans="1:20" hidden="1" x14ac:dyDescent="0.3">
      <c r="A3861" t="s">
        <v>5748</v>
      </c>
      <c r="B3861" t="s">
        <v>232</v>
      </c>
      <c r="C3861" t="s">
        <v>199</v>
      </c>
      <c r="D3861" t="s">
        <v>5743</v>
      </c>
      <c r="E3861" t="s">
        <v>161</v>
      </c>
      <c r="F3861" t="s">
        <v>5393</v>
      </c>
      <c r="G3861" t="s">
        <v>40</v>
      </c>
      <c r="H3861" t="s">
        <v>21</v>
      </c>
      <c r="I3861">
        <v>2650</v>
      </c>
      <c r="J3861">
        <v>3445</v>
      </c>
      <c r="K3861">
        <v>2</v>
      </c>
      <c r="L3861">
        <v>5300</v>
      </c>
      <c r="M3861">
        <v>6890</v>
      </c>
      <c r="N3861" t="s">
        <v>35</v>
      </c>
      <c r="O3861">
        <f t="shared" si="120"/>
        <v>25545</v>
      </c>
      <c r="P3861" s="13">
        <f t="shared" si="121"/>
        <v>1947361</v>
      </c>
      <c r="Q3861" s="13">
        <f>SUMIFS(M:M,E:E,Online_eCommerce[[#This Row],[Status]])</f>
        <v>21103186</v>
      </c>
      <c r="R3861" s="13">
        <f>SUMIFS(L:L,H:H,Online_eCommerce[[#This Row],[Brand]])</f>
        <v>12435650</v>
      </c>
      <c r="S3861" s="13">
        <f>SUMIF(H:H,Online_eCommerce[[#This Row],[Brand]],M:M)</f>
        <v>16166345</v>
      </c>
      <c r="T3861" s="13">
        <f>SUMIF(N:N,Online_eCommerce[[#This Row],[Assigned Supervisor]],L:L)</f>
        <v>14373360</v>
      </c>
    </row>
    <row r="3862" spans="1:20" x14ac:dyDescent="0.3">
      <c r="A3862" t="s">
        <v>5749</v>
      </c>
      <c r="B3862" t="s">
        <v>235</v>
      </c>
      <c r="C3862" t="s">
        <v>203</v>
      </c>
      <c r="D3862" t="s">
        <v>5743</v>
      </c>
      <c r="E3862" t="s">
        <v>46</v>
      </c>
      <c r="F3862" t="s">
        <v>121</v>
      </c>
      <c r="G3862" t="s">
        <v>71</v>
      </c>
      <c r="H3862" t="s">
        <v>122</v>
      </c>
      <c r="I3862">
        <v>12550</v>
      </c>
      <c r="J3862">
        <v>16315</v>
      </c>
      <c r="K3862">
        <v>1</v>
      </c>
      <c r="L3862">
        <v>12550</v>
      </c>
      <c r="M3862">
        <v>16315</v>
      </c>
      <c r="N3862" t="s">
        <v>42</v>
      </c>
      <c r="O3862">
        <f t="shared" si="120"/>
        <v>9750</v>
      </c>
      <c r="P3862" s="13">
        <f t="shared" si="121"/>
        <v>2559635</v>
      </c>
      <c r="Q3862" s="13">
        <f>SUMIFS(M:M,E:E,Online_eCommerce[[#This Row],[Status]])</f>
        <v>28620410</v>
      </c>
      <c r="R3862" s="13">
        <f>SUMIFS(L:L,H:H,Online_eCommerce[[#This Row],[Brand]])</f>
        <v>5045100</v>
      </c>
      <c r="S3862" s="13">
        <f>SUMIF(H:H,Online_eCommerce[[#This Row],[Brand]],M:M)</f>
        <v>6558630</v>
      </c>
      <c r="T3862" s="13">
        <f>SUMIF(N:N,Online_eCommerce[[#This Row],[Assigned Supervisor]],L:L)</f>
        <v>12261500</v>
      </c>
    </row>
    <row r="3863" spans="1:20" hidden="1" x14ac:dyDescent="0.3">
      <c r="A3863" t="s">
        <v>5750</v>
      </c>
      <c r="B3863" t="s">
        <v>104</v>
      </c>
      <c r="C3863" t="s">
        <v>205</v>
      </c>
      <c r="D3863" t="s">
        <v>5743</v>
      </c>
      <c r="E3863" t="s">
        <v>96</v>
      </c>
      <c r="F3863" t="s">
        <v>126</v>
      </c>
      <c r="G3863" t="s">
        <v>26</v>
      </c>
      <c r="H3863" t="s">
        <v>27</v>
      </c>
      <c r="I3863">
        <v>14500</v>
      </c>
      <c r="J3863">
        <v>18850</v>
      </c>
      <c r="K3863">
        <v>1</v>
      </c>
      <c r="L3863">
        <v>14500</v>
      </c>
      <c r="M3863">
        <v>18850</v>
      </c>
      <c r="N3863" t="s">
        <v>50</v>
      </c>
      <c r="O3863">
        <f t="shared" si="120"/>
        <v>33150</v>
      </c>
      <c r="P3863" s="13">
        <f t="shared" si="121"/>
        <v>1983254</v>
      </c>
      <c r="Q3863" s="13">
        <f>SUMIFS(M:M,E:E,Online_eCommerce[[#This Row],[Status]])</f>
        <v>21233992</v>
      </c>
      <c r="R3863" s="13">
        <f>SUMIFS(L:L,H:H,Online_eCommerce[[#This Row],[Brand]])</f>
        <v>14431000</v>
      </c>
      <c r="S3863" s="13">
        <f>SUMIF(H:H,Online_eCommerce[[#This Row],[Brand]],M:M)</f>
        <v>18760300</v>
      </c>
      <c r="T3863" s="13">
        <f>SUMIF(N:N,Online_eCommerce[[#This Row],[Assigned Supervisor]],L:L)</f>
        <v>12100590</v>
      </c>
    </row>
    <row r="3864" spans="1:20" hidden="1" x14ac:dyDescent="0.3">
      <c r="A3864" t="s">
        <v>5751</v>
      </c>
      <c r="B3864" t="s">
        <v>109</v>
      </c>
      <c r="C3864" t="s">
        <v>208</v>
      </c>
      <c r="D3864" t="s">
        <v>5743</v>
      </c>
      <c r="E3864" t="s">
        <v>18</v>
      </c>
      <c r="F3864" t="s">
        <v>129</v>
      </c>
      <c r="G3864" t="s">
        <v>60</v>
      </c>
      <c r="H3864" t="s">
        <v>61</v>
      </c>
      <c r="I3864">
        <v>800</v>
      </c>
      <c r="J3864">
        <v>1040</v>
      </c>
      <c r="K3864">
        <v>3</v>
      </c>
      <c r="L3864">
        <v>2400</v>
      </c>
      <c r="M3864">
        <v>3120</v>
      </c>
      <c r="N3864" t="s">
        <v>56</v>
      </c>
      <c r="O3864">
        <f t="shared" si="120"/>
        <v>3315</v>
      </c>
      <c r="P3864" s="13">
        <f t="shared" si="121"/>
        <v>2746575</v>
      </c>
      <c r="Q3864" s="13">
        <f>SUMIFS(M:M,E:E,Online_eCommerce[[#This Row],[Status]])</f>
        <v>28340455</v>
      </c>
      <c r="R3864" s="13">
        <f>SUMIFS(L:L,H:H,Online_eCommerce[[#This Row],[Brand]])</f>
        <v>10950150</v>
      </c>
      <c r="S3864" s="13">
        <f>SUMIF(H:H,Online_eCommerce[[#This Row],[Brand]],M:M)</f>
        <v>14235195</v>
      </c>
      <c r="T3864" s="13">
        <f>SUMIF(N:N,Online_eCommerce[[#This Row],[Assigned Supervisor]],L:L)</f>
        <v>11733610</v>
      </c>
    </row>
    <row r="3865" spans="1:20" hidden="1" x14ac:dyDescent="0.3">
      <c r="A3865" t="s">
        <v>5752</v>
      </c>
      <c r="B3865" t="s">
        <v>114</v>
      </c>
      <c r="C3865" t="s">
        <v>211</v>
      </c>
      <c r="D3865" t="s">
        <v>5743</v>
      </c>
      <c r="E3865" t="s">
        <v>161</v>
      </c>
      <c r="F3865" t="s">
        <v>133</v>
      </c>
      <c r="G3865" t="s">
        <v>66</v>
      </c>
      <c r="H3865" t="s">
        <v>21</v>
      </c>
      <c r="I3865">
        <v>600</v>
      </c>
      <c r="J3865">
        <v>780</v>
      </c>
      <c r="K3865">
        <v>3</v>
      </c>
      <c r="L3865">
        <v>1800</v>
      </c>
      <c r="M3865">
        <v>2340</v>
      </c>
      <c r="N3865" t="s">
        <v>22</v>
      </c>
      <c r="O3865">
        <f t="shared" si="120"/>
        <v>1690</v>
      </c>
      <c r="P3865" s="13">
        <f t="shared" si="121"/>
        <v>1809847</v>
      </c>
      <c r="Q3865" s="13">
        <f>SUMIFS(M:M,E:E,Online_eCommerce[[#This Row],[Status]])</f>
        <v>21103186</v>
      </c>
      <c r="R3865" s="13">
        <f>SUMIFS(L:L,H:H,Online_eCommerce[[#This Row],[Brand]])</f>
        <v>12435650</v>
      </c>
      <c r="S3865" s="13">
        <f>SUMIF(H:H,Online_eCommerce[[#This Row],[Brand]],M:M)</f>
        <v>16166345</v>
      </c>
      <c r="T3865" s="13">
        <f>SUMIF(N:N,Online_eCommerce[[#This Row],[Assigned Supervisor]],L:L)</f>
        <v>13693220</v>
      </c>
    </row>
    <row r="3866" spans="1:20" x14ac:dyDescent="0.3">
      <c r="A3866" t="s">
        <v>5753</v>
      </c>
      <c r="B3866" t="s">
        <v>119</v>
      </c>
      <c r="C3866" t="s">
        <v>16</v>
      </c>
      <c r="D3866" t="s">
        <v>5743</v>
      </c>
      <c r="E3866" t="s">
        <v>46</v>
      </c>
      <c r="F3866" t="s">
        <v>137</v>
      </c>
      <c r="G3866" t="s">
        <v>71</v>
      </c>
      <c r="H3866" t="s">
        <v>61</v>
      </c>
      <c r="I3866">
        <v>10500</v>
      </c>
      <c r="J3866">
        <v>13650</v>
      </c>
      <c r="K3866">
        <v>2</v>
      </c>
      <c r="L3866">
        <v>21000</v>
      </c>
      <c r="M3866">
        <v>27300</v>
      </c>
      <c r="N3866" t="s">
        <v>28</v>
      </c>
      <c r="O3866">
        <f t="shared" si="120"/>
        <v>9750</v>
      </c>
      <c r="P3866" s="13">
        <f t="shared" si="121"/>
        <v>2751814</v>
      </c>
      <c r="Q3866" s="13">
        <f>SUMIFS(M:M,E:E,Online_eCommerce[[#This Row],[Status]])</f>
        <v>28620410</v>
      </c>
      <c r="R3866" s="13">
        <f>SUMIFS(L:L,H:H,Online_eCommerce[[#This Row],[Brand]])</f>
        <v>10950150</v>
      </c>
      <c r="S3866" s="13">
        <f>SUMIF(H:H,Online_eCommerce[[#This Row],[Brand]],M:M)</f>
        <v>14235195</v>
      </c>
      <c r="T3866" s="13">
        <f>SUMIF(N:N,Online_eCommerce[[#This Row],[Assigned Supervisor]],L:L)</f>
        <v>12220830</v>
      </c>
    </row>
    <row r="3867" spans="1:20" hidden="1" x14ac:dyDescent="0.3">
      <c r="A3867" t="s">
        <v>5754</v>
      </c>
      <c r="B3867" t="s">
        <v>124</v>
      </c>
      <c r="C3867" t="s">
        <v>24</v>
      </c>
      <c r="D3867" t="s">
        <v>5743</v>
      </c>
      <c r="E3867" t="s">
        <v>96</v>
      </c>
      <c r="F3867" t="s">
        <v>5724</v>
      </c>
      <c r="G3867" t="s">
        <v>77</v>
      </c>
      <c r="H3867" t="s">
        <v>142</v>
      </c>
      <c r="I3867">
        <v>6500</v>
      </c>
      <c r="J3867">
        <v>8450</v>
      </c>
      <c r="K3867">
        <v>1</v>
      </c>
      <c r="L3867">
        <v>6500</v>
      </c>
      <c r="M3867">
        <v>8450</v>
      </c>
      <c r="N3867" t="s">
        <v>35</v>
      </c>
      <c r="O3867">
        <f t="shared" si="120"/>
        <v>39000</v>
      </c>
      <c r="P3867" s="13">
        <f t="shared" si="121"/>
        <v>2009540</v>
      </c>
      <c r="Q3867" s="13">
        <f>SUMIFS(M:M,E:E,Online_eCommerce[[#This Row],[Status]])</f>
        <v>21233992</v>
      </c>
      <c r="R3867" s="13">
        <f>SUMIFS(L:L,H:H,Online_eCommerce[[#This Row],[Brand]])</f>
        <v>6192500</v>
      </c>
      <c r="S3867" s="13">
        <f>SUMIF(H:H,Online_eCommerce[[#This Row],[Brand]],M:M)</f>
        <v>8050250</v>
      </c>
      <c r="T3867" s="13">
        <f>SUMIF(N:N,Online_eCommerce[[#This Row],[Assigned Supervisor]],L:L)</f>
        <v>14373360</v>
      </c>
    </row>
    <row r="3868" spans="1:20" hidden="1" x14ac:dyDescent="0.3">
      <c r="A3868" t="s">
        <v>5755</v>
      </c>
      <c r="B3868" t="s">
        <v>128</v>
      </c>
      <c r="C3868" t="s">
        <v>31</v>
      </c>
      <c r="D3868" t="s">
        <v>5743</v>
      </c>
      <c r="E3868" t="s">
        <v>18</v>
      </c>
      <c r="F3868" t="s">
        <v>5756</v>
      </c>
      <c r="G3868" t="s">
        <v>20</v>
      </c>
      <c r="H3868" t="s">
        <v>21</v>
      </c>
      <c r="I3868">
        <v>4500</v>
      </c>
      <c r="J3868">
        <v>5850</v>
      </c>
      <c r="K3868">
        <v>3</v>
      </c>
      <c r="L3868">
        <v>13500</v>
      </c>
      <c r="M3868">
        <v>17550</v>
      </c>
      <c r="N3868" t="s">
        <v>42</v>
      </c>
      <c r="O3868">
        <f t="shared" si="120"/>
        <v>8450</v>
      </c>
      <c r="P3868" s="13">
        <f t="shared" si="121"/>
        <v>2865746</v>
      </c>
      <c r="Q3868" s="13">
        <f>SUMIFS(M:M,E:E,Online_eCommerce[[#This Row],[Status]])</f>
        <v>28340455</v>
      </c>
      <c r="R3868" s="13">
        <f>SUMIFS(L:L,H:H,Online_eCommerce[[#This Row],[Brand]])</f>
        <v>12435650</v>
      </c>
      <c r="S3868" s="13">
        <f>SUMIF(H:H,Online_eCommerce[[#This Row],[Brand]],M:M)</f>
        <v>16166345</v>
      </c>
      <c r="T3868" s="13">
        <f>SUMIF(N:N,Online_eCommerce[[#This Row],[Assigned Supervisor]],L:L)</f>
        <v>12261500</v>
      </c>
    </row>
    <row r="3869" spans="1:20" hidden="1" x14ac:dyDescent="0.3">
      <c r="A3869" t="s">
        <v>5757</v>
      </c>
      <c r="B3869" t="s">
        <v>131</v>
      </c>
      <c r="C3869" t="s">
        <v>38</v>
      </c>
      <c r="D3869" t="s">
        <v>5743</v>
      </c>
      <c r="E3869" t="s">
        <v>161</v>
      </c>
      <c r="F3869" t="s">
        <v>152</v>
      </c>
      <c r="G3869" t="s">
        <v>26</v>
      </c>
      <c r="H3869" t="s">
        <v>27</v>
      </c>
      <c r="I3869">
        <v>8500</v>
      </c>
      <c r="J3869">
        <v>11050</v>
      </c>
      <c r="K3869">
        <v>2</v>
      </c>
      <c r="L3869">
        <v>17000</v>
      </c>
      <c r="M3869">
        <v>22100</v>
      </c>
      <c r="N3869" t="s">
        <v>35</v>
      </c>
      <c r="O3869">
        <f t="shared" si="120"/>
        <v>33150</v>
      </c>
      <c r="P3869" s="13">
        <f t="shared" si="121"/>
        <v>1933997</v>
      </c>
      <c r="Q3869" s="13">
        <f>SUMIFS(M:M,E:E,Online_eCommerce[[#This Row],[Status]])</f>
        <v>21103186</v>
      </c>
      <c r="R3869" s="13">
        <f>SUMIFS(L:L,H:H,Online_eCommerce[[#This Row],[Brand]])</f>
        <v>14431000</v>
      </c>
      <c r="S3869" s="13">
        <f>SUMIF(H:H,Online_eCommerce[[#This Row],[Brand]],M:M)</f>
        <v>18760300</v>
      </c>
      <c r="T3869" s="13">
        <f>SUMIF(N:N,Online_eCommerce[[#This Row],[Assigned Supervisor]],L:L)</f>
        <v>14373360</v>
      </c>
    </row>
    <row r="3870" spans="1:20" x14ac:dyDescent="0.3">
      <c r="A3870" t="s">
        <v>5758</v>
      </c>
      <c r="B3870" t="s">
        <v>135</v>
      </c>
      <c r="C3870" t="s">
        <v>45</v>
      </c>
      <c r="D3870" t="s">
        <v>5743</v>
      </c>
      <c r="E3870" t="s">
        <v>46</v>
      </c>
      <c r="F3870" t="s">
        <v>157</v>
      </c>
      <c r="G3870" t="s">
        <v>33</v>
      </c>
      <c r="H3870" t="s">
        <v>34</v>
      </c>
      <c r="I3870">
        <v>12500</v>
      </c>
      <c r="J3870">
        <v>16250</v>
      </c>
      <c r="K3870">
        <v>2</v>
      </c>
      <c r="L3870">
        <v>25000</v>
      </c>
      <c r="M3870">
        <v>32500</v>
      </c>
      <c r="N3870" t="s">
        <v>35</v>
      </c>
      <c r="O3870">
        <f t="shared" si="120"/>
        <v>18200</v>
      </c>
      <c r="P3870" s="13">
        <f t="shared" si="121"/>
        <v>2842554</v>
      </c>
      <c r="Q3870" s="13">
        <f>SUMIFS(M:M,E:E,Online_eCommerce[[#This Row],[Status]])</f>
        <v>28620410</v>
      </c>
      <c r="R3870" s="13">
        <f>SUMIFS(L:L,H:H,Online_eCommerce[[#This Row],[Brand]])</f>
        <v>10087000</v>
      </c>
      <c r="S3870" s="13">
        <f>SUMIF(H:H,Online_eCommerce[[#This Row],[Brand]],M:M)</f>
        <v>13113100</v>
      </c>
      <c r="T3870" s="13">
        <f>SUMIF(N:N,Online_eCommerce[[#This Row],[Assigned Supervisor]],L:L)</f>
        <v>14373360</v>
      </c>
    </row>
    <row r="3871" spans="1:20" hidden="1" x14ac:dyDescent="0.3">
      <c r="A3871" t="s">
        <v>5759</v>
      </c>
      <c r="B3871" t="s">
        <v>139</v>
      </c>
      <c r="C3871" t="s">
        <v>52</v>
      </c>
      <c r="D3871" t="s">
        <v>5743</v>
      </c>
      <c r="E3871" t="s">
        <v>96</v>
      </c>
      <c r="F3871" t="s">
        <v>5436</v>
      </c>
      <c r="G3871" t="s">
        <v>40</v>
      </c>
      <c r="H3871" t="s">
        <v>41</v>
      </c>
      <c r="I3871">
        <v>3500</v>
      </c>
      <c r="J3871">
        <v>4550</v>
      </c>
      <c r="K3871">
        <v>1</v>
      </c>
      <c r="L3871">
        <v>3500</v>
      </c>
      <c r="M3871">
        <v>4550</v>
      </c>
      <c r="N3871" t="s">
        <v>35</v>
      </c>
      <c r="O3871">
        <f t="shared" si="120"/>
        <v>25545</v>
      </c>
      <c r="P3871" s="13">
        <f t="shared" si="121"/>
        <v>1955044</v>
      </c>
      <c r="Q3871" s="13">
        <f>SUMIFS(M:M,E:E,Online_eCommerce[[#This Row],[Status]])</f>
        <v>21233992</v>
      </c>
      <c r="R3871" s="13">
        <f>SUMIFS(L:L,H:H,Online_eCommerce[[#This Row],[Brand]])</f>
        <v>4260400</v>
      </c>
      <c r="S3871" s="13">
        <f>SUMIF(H:H,Online_eCommerce[[#This Row],[Brand]],M:M)</f>
        <v>5538520</v>
      </c>
      <c r="T3871" s="13">
        <f>SUMIF(N:N,Online_eCommerce[[#This Row],[Assigned Supervisor]],L:L)</f>
        <v>14373360</v>
      </c>
    </row>
    <row r="3872" spans="1:20" hidden="1" x14ac:dyDescent="0.3">
      <c r="A3872" t="s">
        <v>5760</v>
      </c>
      <c r="B3872" t="s">
        <v>144</v>
      </c>
      <c r="C3872" t="s">
        <v>58</v>
      </c>
      <c r="D3872" t="s">
        <v>5743</v>
      </c>
      <c r="E3872" t="s">
        <v>18</v>
      </c>
      <c r="F3872" t="s">
        <v>166</v>
      </c>
      <c r="G3872" t="s">
        <v>334</v>
      </c>
      <c r="H3872" t="s">
        <v>49</v>
      </c>
      <c r="I3872">
        <v>4500</v>
      </c>
      <c r="J3872">
        <v>5850</v>
      </c>
      <c r="K3872">
        <v>1</v>
      </c>
      <c r="L3872">
        <v>4500</v>
      </c>
      <c r="M3872">
        <v>5850</v>
      </c>
      <c r="N3872" t="s">
        <v>35</v>
      </c>
      <c r="O3872">
        <f t="shared" si="120"/>
        <v>39780</v>
      </c>
      <c r="P3872" s="13">
        <f t="shared" si="121"/>
        <v>2629211</v>
      </c>
      <c r="Q3872" s="13">
        <f>SUMIFS(M:M,E:E,Online_eCommerce[[#This Row],[Status]])</f>
        <v>28340455</v>
      </c>
      <c r="R3872" s="13">
        <f>SUMIFS(L:L,H:H,Online_eCommerce[[#This Row],[Brand]])</f>
        <v>4528350</v>
      </c>
      <c r="S3872" s="13">
        <f>SUMIF(H:H,Online_eCommerce[[#This Row],[Brand]],M:M)</f>
        <v>5886855</v>
      </c>
      <c r="T3872" s="13">
        <f>SUMIF(N:N,Online_eCommerce[[#This Row],[Assigned Supervisor]],L:L)</f>
        <v>14373360</v>
      </c>
    </row>
    <row r="3873" spans="1:20" hidden="1" x14ac:dyDescent="0.3">
      <c r="A3873" t="s">
        <v>5761</v>
      </c>
      <c r="B3873" t="s">
        <v>149</v>
      </c>
      <c r="C3873" t="s">
        <v>63</v>
      </c>
      <c r="D3873" t="s">
        <v>5743</v>
      </c>
      <c r="E3873" t="s">
        <v>161</v>
      </c>
      <c r="F3873" t="s">
        <v>5762</v>
      </c>
      <c r="G3873" t="s">
        <v>54</v>
      </c>
      <c r="H3873" t="s">
        <v>55</v>
      </c>
      <c r="I3873">
        <v>2100</v>
      </c>
      <c r="J3873">
        <v>2730</v>
      </c>
      <c r="K3873">
        <v>1</v>
      </c>
      <c r="L3873">
        <v>2100</v>
      </c>
      <c r="M3873">
        <v>2730</v>
      </c>
      <c r="N3873" t="s">
        <v>35</v>
      </c>
      <c r="O3873">
        <f t="shared" si="120"/>
        <v>2990</v>
      </c>
      <c r="P3873" s="13">
        <f t="shared" si="121"/>
        <v>2016131</v>
      </c>
      <c r="Q3873" s="13">
        <f>SUMIFS(M:M,E:E,Online_eCommerce[[#This Row],[Status]])</f>
        <v>21103186</v>
      </c>
      <c r="R3873" s="13">
        <f>SUMIFS(L:L,H:H,Online_eCommerce[[#This Row],[Brand]])</f>
        <v>2267380</v>
      </c>
      <c r="S3873" s="13">
        <f>SUMIF(H:H,Online_eCommerce[[#This Row],[Brand]],M:M)</f>
        <v>2947594</v>
      </c>
      <c r="T3873" s="13">
        <f>SUMIF(N:N,Online_eCommerce[[#This Row],[Assigned Supervisor]],L:L)</f>
        <v>14373360</v>
      </c>
    </row>
    <row r="3874" spans="1:20" x14ac:dyDescent="0.3">
      <c r="A3874" t="s">
        <v>5763</v>
      </c>
      <c r="B3874" t="s">
        <v>154</v>
      </c>
      <c r="C3874" t="s">
        <v>68</v>
      </c>
      <c r="D3874" t="s">
        <v>5743</v>
      </c>
      <c r="E3874" t="s">
        <v>46</v>
      </c>
      <c r="F3874" t="s">
        <v>174</v>
      </c>
      <c r="G3874" t="s">
        <v>60</v>
      </c>
      <c r="H3874" t="s">
        <v>61</v>
      </c>
      <c r="I3874">
        <v>1150</v>
      </c>
      <c r="J3874">
        <v>1495</v>
      </c>
      <c r="K3874">
        <v>4</v>
      </c>
      <c r="L3874">
        <v>4600</v>
      </c>
      <c r="M3874">
        <v>5980</v>
      </c>
      <c r="N3874" t="s">
        <v>35</v>
      </c>
      <c r="O3874">
        <f t="shared" si="120"/>
        <v>3315</v>
      </c>
      <c r="P3874" s="13">
        <f t="shared" si="121"/>
        <v>2974621</v>
      </c>
      <c r="Q3874" s="13">
        <f>SUMIFS(M:M,E:E,Online_eCommerce[[#This Row],[Status]])</f>
        <v>28620410</v>
      </c>
      <c r="R3874" s="13">
        <f>SUMIFS(L:L,H:H,Online_eCommerce[[#This Row],[Brand]])</f>
        <v>10950150</v>
      </c>
      <c r="S3874" s="13">
        <f>SUMIF(H:H,Online_eCommerce[[#This Row],[Brand]],M:M)</f>
        <v>14235195</v>
      </c>
      <c r="T3874" s="13">
        <f>SUMIF(N:N,Online_eCommerce[[#This Row],[Assigned Supervisor]],L:L)</f>
        <v>14373360</v>
      </c>
    </row>
    <row r="3875" spans="1:20" hidden="1" x14ac:dyDescent="0.3">
      <c r="A3875" t="s">
        <v>5764</v>
      </c>
      <c r="B3875" t="s">
        <v>159</v>
      </c>
      <c r="C3875" t="s">
        <v>74</v>
      </c>
      <c r="D3875" t="s">
        <v>5743</v>
      </c>
      <c r="E3875" t="s">
        <v>96</v>
      </c>
      <c r="F3875" t="s">
        <v>179</v>
      </c>
      <c r="G3875" t="s">
        <v>66</v>
      </c>
      <c r="H3875" t="s">
        <v>21</v>
      </c>
      <c r="I3875">
        <v>350</v>
      </c>
      <c r="J3875">
        <v>455</v>
      </c>
      <c r="K3875">
        <v>2</v>
      </c>
      <c r="L3875">
        <v>700</v>
      </c>
      <c r="M3875">
        <v>910</v>
      </c>
      <c r="N3875" t="s">
        <v>35</v>
      </c>
      <c r="O3875">
        <f t="shared" si="120"/>
        <v>1690</v>
      </c>
      <c r="P3875" s="13">
        <f t="shared" si="121"/>
        <v>2144701</v>
      </c>
      <c r="Q3875" s="13">
        <f>SUMIFS(M:M,E:E,Online_eCommerce[[#This Row],[Status]])</f>
        <v>21233992</v>
      </c>
      <c r="R3875" s="13">
        <f>SUMIFS(L:L,H:H,Online_eCommerce[[#This Row],[Brand]])</f>
        <v>12435650</v>
      </c>
      <c r="S3875" s="13">
        <f>SUMIF(H:H,Online_eCommerce[[#This Row],[Brand]],M:M)</f>
        <v>16166345</v>
      </c>
      <c r="T3875" s="13">
        <f>SUMIF(N:N,Online_eCommerce[[#This Row],[Assigned Supervisor]],L:L)</f>
        <v>14373360</v>
      </c>
    </row>
    <row r="3876" spans="1:20" hidden="1" x14ac:dyDescent="0.3">
      <c r="A3876" t="s">
        <v>5765</v>
      </c>
      <c r="B3876" t="s">
        <v>139</v>
      </c>
      <c r="C3876" t="s">
        <v>81</v>
      </c>
      <c r="D3876" t="s">
        <v>5743</v>
      </c>
      <c r="E3876" t="s">
        <v>18</v>
      </c>
      <c r="F3876" t="s">
        <v>183</v>
      </c>
      <c r="G3876" t="s">
        <v>71</v>
      </c>
      <c r="H3876" t="s">
        <v>61</v>
      </c>
      <c r="I3876">
        <v>9500</v>
      </c>
      <c r="J3876">
        <v>12350</v>
      </c>
      <c r="K3876">
        <v>4</v>
      </c>
      <c r="L3876">
        <v>38000</v>
      </c>
      <c r="M3876">
        <v>49400</v>
      </c>
      <c r="N3876" t="s">
        <v>35</v>
      </c>
      <c r="O3876">
        <f t="shared" si="120"/>
        <v>9750</v>
      </c>
      <c r="P3876" s="13">
        <f t="shared" si="121"/>
        <v>2595632</v>
      </c>
      <c r="Q3876" s="13">
        <f>SUMIFS(M:M,E:E,Online_eCommerce[[#This Row],[Status]])</f>
        <v>28340455</v>
      </c>
      <c r="R3876" s="13">
        <f>SUMIFS(L:L,H:H,Online_eCommerce[[#This Row],[Brand]])</f>
        <v>10950150</v>
      </c>
      <c r="S3876" s="13">
        <f>SUMIF(H:H,Online_eCommerce[[#This Row],[Brand]],M:M)</f>
        <v>14235195</v>
      </c>
      <c r="T3876" s="13">
        <f>SUMIF(N:N,Online_eCommerce[[#This Row],[Assigned Supervisor]],L:L)</f>
        <v>14373360</v>
      </c>
    </row>
    <row r="3877" spans="1:20" hidden="1" x14ac:dyDescent="0.3">
      <c r="A3877" t="s">
        <v>5766</v>
      </c>
      <c r="B3877" t="s">
        <v>144</v>
      </c>
      <c r="C3877" t="s">
        <v>86</v>
      </c>
      <c r="D3877" t="s">
        <v>5743</v>
      </c>
      <c r="E3877" t="s">
        <v>161</v>
      </c>
      <c r="F3877" t="s">
        <v>5767</v>
      </c>
      <c r="G3877" t="s">
        <v>77</v>
      </c>
      <c r="H3877" t="s">
        <v>142</v>
      </c>
      <c r="I3877">
        <v>10000</v>
      </c>
      <c r="J3877">
        <v>13000</v>
      </c>
      <c r="K3877">
        <v>4</v>
      </c>
      <c r="L3877">
        <v>40000</v>
      </c>
      <c r="M3877">
        <v>52000</v>
      </c>
      <c r="N3877" t="s">
        <v>35</v>
      </c>
      <c r="O3877">
        <f t="shared" si="120"/>
        <v>39000</v>
      </c>
      <c r="P3877" s="13">
        <f t="shared" si="121"/>
        <v>1941225</v>
      </c>
      <c r="Q3877" s="13">
        <f>SUMIFS(M:M,E:E,Online_eCommerce[[#This Row],[Status]])</f>
        <v>21103186</v>
      </c>
      <c r="R3877" s="13">
        <f>SUMIFS(L:L,H:H,Online_eCommerce[[#This Row],[Brand]])</f>
        <v>6192500</v>
      </c>
      <c r="S3877" s="13">
        <f>SUMIF(H:H,Online_eCommerce[[#This Row],[Brand]],M:M)</f>
        <v>8050250</v>
      </c>
      <c r="T3877" s="13">
        <f>SUMIF(N:N,Online_eCommerce[[#This Row],[Assigned Supervisor]],L:L)</f>
        <v>14373360</v>
      </c>
    </row>
    <row r="3878" spans="1:20" x14ac:dyDescent="0.3">
      <c r="A3878" t="s">
        <v>5768</v>
      </c>
      <c r="B3878" t="s">
        <v>235</v>
      </c>
      <c r="C3878" t="s">
        <v>91</v>
      </c>
      <c r="D3878" t="s">
        <v>5743</v>
      </c>
      <c r="E3878" t="s">
        <v>46</v>
      </c>
      <c r="F3878" t="s">
        <v>5769</v>
      </c>
      <c r="G3878" t="s">
        <v>20</v>
      </c>
      <c r="H3878" t="s">
        <v>21</v>
      </c>
      <c r="I3878">
        <v>6500</v>
      </c>
      <c r="J3878">
        <v>8450</v>
      </c>
      <c r="K3878">
        <v>3</v>
      </c>
      <c r="L3878">
        <v>19500</v>
      </c>
      <c r="M3878">
        <v>25350</v>
      </c>
      <c r="N3878" t="s">
        <v>35</v>
      </c>
      <c r="O3878">
        <f t="shared" si="120"/>
        <v>8450</v>
      </c>
      <c r="P3878" s="13">
        <f t="shared" si="121"/>
        <v>2731963</v>
      </c>
      <c r="Q3878" s="13">
        <f>SUMIFS(M:M,E:E,Online_eCommerce[[#This Row],[Status]])</f>
        <v>28620410</v>
      </c>
      <c r="R3878" s="13">
        <f>SUMIFS(L:L,H:H,Online_eCommerce[[#This Row],[Brand]])</f>
        <v>12435650</v>
      </c>
      <c r="S3878" s="13">
        <f>SUMIF(H:H,Online_eCommerce[[#This Row],[Brand]],M:M)</f>
        <v>16166345</v>
      </c>
      <c r="T3878" s="13">
        <f>SUMIF(N:N,Online_eCommerce[[#This Row],[Assigned Supervisor]],L:L)</f>
        <v>14373360</v>
      </c>
    </row>
    <row r="3879" spans="1:20" hidden="1" x14ac:dyDescent="0.3">
      <c r="A3879" t="s">
        <v>5770</v>
      </c>
      <c r="B3879" t="s">
        <v>176</v>
      </c>
      <c r="C3879" t="s">
        <v>94</v>
      </c>
      <c r="D3879" t="s">
        <v>5743</v>
      </c>
      <c r="E3879" t="s">
        <v>96</v>
      </c>
      <c r="F3879" t="s">
        <v>5771</v>
      </c>
      <c r="G3879" t="s">
        <v>26</v>
      </c>
      <c r="H3879" t="s">
        <v>27</v>
      </c>
      <c r="I3879">
        <v>8500</v>
      </c>
      <c r="J3879">
        <v>11050</v>
      </c>
      <c r="K3879">
        <v>3</v>
      </c>
      <c r="L3879">
        <v>25500</v>
      </c>
      <c r="M3879">
        <v>33150</v>
      </c>
      <c r="N3879" t="s">
        <v>35</v>
      </c>
      <c r="O3879">
        <f t="shared" si="120"/>
        <v>33150</v>
      </c>
      <c r="P3879" s="13">
        <f t="shared" si="121"/>
        <v>1868256</v>
      </c>
      <c r="Q3879" s="13">
        <f>SUMIFS(M:M,E:E,Online_eCommerce[[#This Row],[Status]])</f>
        <v>21233992</v>
      </c>
      <c r="R3879" s="13">
        <f>SUMIFS(L:L,H:H,Online_eCommerce[[#This Row],[Brand]])</f>
        <v>14431000</v>
      </c>
      <c r="S3879" s="13">
        <f>SUMIF(H:H,Online_eCommerce[[#This Row],[Brand]],M:M)</f>
        <v>18760300</v>
      </c>
      <c r="T3879" s="13">
        <f>SUMIF(N:N,Online_eCommerce[[#This Row],[Assigned Supervisor]],L:L)</f>
        <v>14373360</v>
      </c>
    </row>
    <row r="3880" spans="1:20" hidden="1" x14ac:dyDescent="0.3">
      <c r="A3880" t="s">
        <v>5772</v>
      </c>
      <c r="B3880" t="s">
        <v>276</v>
      </c>
      <c r="C3880" t="s">
        <v>99</v>
      </c>
      <c r="D3880" t="s">
        <v>5743</v>
      </c>
      <c r="E3880" t="s">
        <v>18</v>
      </c>
      <c r="F3880" t="s">
        <v>32</v>
      </c>
      <c r="G3880" t="s">
        <v>33</v>
      </c>
      <c r="H3880" t="s">
        <v>34</v>
      </c>
      <c r="I3880">
        <v>7000</v>
      </c>
      <c r="J3880">
        <v>9100</v>
      </c>
      <c r="K3880">
        <v>4</v>
      </c>
      <c r="L3880">
        <v>28000</v>
      </c>
      <c r="M3880">
        <v>36400</v>
      </c>
      <c r="N3880" t="s">
        <v>42</v>
      </c>
      <c r="O3880">
        <f t="shared" si="120"/>
        <v>18200</v>
      </c>
      <c r="P3880" s="13">
        <f t="shared" si="121"/>
        <v>2651233</v>
      </c>
      <c r="Q3880" s="13">
        <f>SUMIFS(M:M,E:E,Online_eCommerce[[#This Row],[Status]])</f>
        <v>28340455</v>
      </c>
      <c r="R3880" s="13">
        <f>SUMIFS(L:L,H:H,Online_eCommerce[[#This Row],[Brand]])</f>
        <v>10087000</v>
      </c>
      <c r="S3880" s="13">
        <f>SUMIF(H:H,Online_eCommerce[[#This Row],[Brand]],M:M)</f>
        <v>13113100</v>
      </c>
      <c r="T3880" s="13">
        <f>SUMIF(N:N,Online_eCommerce[[#This Row],[Assigned Supervisor]],L:L)</f>
        <v>12261500</v>
      </c>
    </row>
    <row r="3881" spans="1:20" hidden="1" x14ac:dyDescent="0.3">
      <c r="A3881" t="s">
        <v>5773</v>
      </c>
      <c r="B3881" t="s">
        <v>280</v>
      </c>
      <c r="C3881" t="s">
        <v>105</v>
      </c>
      <c r="D3881" t="s">
        <v>5743</v>
      </c>
      <c r="E3881" t="s">
        <v>161</v>
      </c>
      <c r="F3881" t="s">
        <v>5774</v>
      </c>
      <c r="G3881" t="s">
        <v>40</v>
      </c>
      <c r="H3881" t="s">
        <v>41</v>
      </c>
      <c r="I3881">
        <v>6550</v>
      </c>
      <c r="J3881">
        <v>8515</v>
      </c>
      <c r="K3881">
        <v>4</v>
      </c>
      <c r="L3881">
        <v>26200</v>
      </c>
      <c r="M3881">
        <v>34060</v>
      </c>
      <c r="N3881" t="s">
        <v>50</v>
      </c>
      <c r="O3881">
        <f t="shared" si="120"/>
        <v>25545</v>
      </c>
      <c r="P3881" s="13">
        <f t="shared" si="121"/>
        <v>1866852</v>
      </c>
      <c r="Q3881" s="13">
        <f>SUMIFS(M:M,E:E,Online_eCommerce[[#This Row],[Status]])</f>
        <v>21103186</v>
      </c>
      <c r="R3881" s="13">
        <f>SUMIFS(L:L,H:H,Online_eCommerce[[#This Row],[Brand]])</f>
        <v>4260400</v>
      </c>
      <c r="S3881" s="13">
        <f>SUMIF(H:H,Online_eCommerce[[#This Row],[Brand]],M:M)</f>
        <v>5538520</v>
      </c>
      <c r="T3881" s="13">
        <f>SUMIF(N:N,Online_eCommerce[[#This Row],[Assigned Supervisor]],L:L)</f>
        <v>12100590</v>
      </c>
    </row>
    <row r="3882" spans="1:20" x14ac:dyDescent="0.3">
      <c r="A3882" t="s">
        <v>5775</v>
      </c>
      <c r="B3882" t="s">
        <v>283</v>
      </c>
      <c r="C3882" t="s">
        <v>110</v>
      </c>
      <c r="D3882" t="s">
        <v>5743</v>
      </c>
      <c r="E3882" t="s">
        <v>46</v>
      </c>
      <c r="F3882" t="s">
        <v>47</v>
      </c>
      <c r="G3882" t="s">
        <v>334</v>
      </c>
      <c r="H3882" t="s">
        <v>49</v>
      </c>
      <c r="I3882">
        <v>7650</v>
      </c>
      <c r="J3882">
        <v>9945</v>
      </c>
      <c r="K3882">
        <v>4</v>
      </c>
      <c r="L3882">
        <v>30600</v>
      </c>
      <c r="M3882">
        <v>39780</v>
      </c>
      <c r="N3882" t="s">
        <v>56</v>
      </c>
      <c r="O3882">
        <f t="shared" si="120"/>
        <v>39780</v>
      </c>
      <c r="P3882" s="13">
        <f t="shared" si="121"/>
        <v>2598635</v>
      </c>
      <c r="Q3882" s="13">
        <f>SUMIFS(M:M,E:E,Online_eCommerce[[#This Row],[Status]])</f>
        <v>28620410</v>
      </c>
      <c r="R3882" s="13">
        <f>SUMIFS(L:L,H:H,Online_eCommerce[[#This Row],[Brand]])</f>
        <v>4528350</v>
      </c>
      <c r="S3882" s="13">
        <f>SUMIF(H:H,Online_eCommerce[[#This Row],[Brand]],M:M)</f>
        <v>5886855</v>
      </c>
      <c r="T3882" s="13">
        <f>SUMIF(N:N,Online_eCommerce[[#This Row],[Assigned Supervisor]],L:L)</f>
        <v>11733610</v>
      </c>
    </row>
    <row r="3883" spans="1:20" hidden="1" x14ac:dyDescent="0.3">
      <c r="A3883" t="s">
        <v>5776</v>
      </c>
      <c r="B3883" t="s">
        <v>287</v>
      </c>
      <c r="C3883" t="s">
        <v>115</v>
      </c>
      <c r="D3883" t="s">
        <v>5743</v>
      </c>
      <c r="E3883" t="s">
        <v>96</v>
      </c>
      <c r="F3883" t="s">
        <v>53</v>
      </c>
      <c r="G3883" t="s">
        <v>54</v>
      </c>
      <c r="H3883" t="s">
        <v>55</v>
      </c>
      <c r="I3883">
        <v>1150</v>
      </c>
      <c r="J3883">
        <v>1495</v>
      </c>
      <c r="K3883">
        <v>4</v>
      </c>
      <c r="L3883">
        <v>4600</v>
      </c>
      <c r="M3883">
        <v>5980</v>
      </c>
      <c r="N3883" t="s">
        <v>22</v>
      </c>
      <c r="O3883">
        <f t="shared" si="120"/>
        <v>2990</v>
      </c>
      <c r="P3883" s="13">
        <f t="shared" si="121"/>
        <v>2050178</v>
      </c>
      <c r="Q3883" s="13">
        <f>SUMIFS(M:M,E:E,Online_eCommerce[[#This Row],[Status]])</f>
        <v>21233992</v>
      </c>
      <c r="R3883" s="13">
        <f>SUMIFS(L:L,H:H,Online_eCommerce[[#This Row],[Brand]])</f>
        <v>2267380</v>
      </c>
      <c r="S3883" s="13">
        <f>SUMIF(H:H,Online_eCommerce[[#This Row],[Brand]],M:M)</f>
        <v>2947594</v>
      </c>
      <c r="T3883" s="13">
        <f>SUMIF(N:N,Online_eCommerce[[#This Row],[Assigned Supervisor]],L:L)</f>
        <v>13693220</v>
      </c>
    </row>
    <row r="3884" spans="1:20" hidden="1" x14ac:dyDescent="0.3">
      <c r="A3884" t="s">
        <v>5777</v>
      </c>
      <c r="B3884" t="s">
        <v>290</v>
      </c>
      <c r="C3884" t="s">
        <v>120</v>
      </c>
      <c r="D3884" t="s">
        <v>5743</v>
      </c>
      <c r="E3884" t="s">
        <v>18</v>
      </c>
      <c r="F3884" t="s">
        <v>59</v>
      </c>
      <c r="G3884" t="s">
        <v>60</v>
      </c>
      <c r="H3884" t="s">
        <v>61</v>
      </c>
      <c r="I3884">
        <v>850</v>
      </c>
      <c r="J3884">
        <v>1105</v>
      </c>
      <c r="K3884">
        <v>2</v>
      </c>
      <c r="L3884">
        <v>1700</v>
      </c>
      <c r="M3884">
        <v>2210</v>
      </c>
      <c r="N3884" t="s">
        <v>28</v>
      </c>
      <c r="O3884">
        <f t="shared" si="120"/>
        <v>3315</v>
      </c>
      <c r="P3884" s="13">
        <f t="shared" si="121"/>
        <v>2734212</v>
      </c>
      <c r="Q3884" s="13">
        <f>SUMIFS(M:M,E:E,Online_eCommerce[[#This Row],[Status]])</f>
        <v>28340455</v>
      </c>
      <c r="R3884" s="13">
        <f>SUMIFS(L:L,H:H,Online_eCommerce[[#This Row],[Brand]])</f>
        <v>10950150</v>
      </c>
      <c r="S3884" s="13">
        <f>SUMIF(H:H,Online_eCommerce[[#This Row],[Brand]],M:M)</f>
        <v>14235195</v>
      </c>
      <c r="T3884" s="13">
        <f>SUMIF(N:N,Online_eCommerce[[#This Row],[Assigned Supervisor]],L:L)</f>
        <v>12220830</v>
      </c>
    </row>
    <row r="3885" spans="1:20" hidden="1" x14ac:dyDescent="0.3">
      <c r="A3885" t="s">
        <v>5778</v>
      </c>
      <c r="B3885" t="s">
        <v>15</v>
      </c>
      <c r="C3885" t="s">
        <v>125</v>
      </c>
      <c r="D3885" t="s">
        <v>5743</v>
      </c>
      <c r="E3885" t="s">
        <v>161</v>
      </c>
      <c r="F3885" t="s">
        <v>65</v>
      </c>
      <c r="G3885" t="s">
        <v>66</v>
      </c>
      <c r="H3885" t="s">
        <v>21</v>
      </c>
      <c r="I3885">
        <v>650</v>
      </c>
      <c r="J3885">
        <v>845</v>
      </c>
      <c r="K3885">
        <v>1</v>
      </c>
      <c r="L3885">
        <v>650</v>
      </c>
      <c r="M3885">
        <v>845</v>
      </c>
      <c r="N3885" t="s">
        <v>35</v>
      </c>
      <c r="O3885">
        <f t="shared" si="120"/>
        <v>1690</v>
      </c>
      <c r="P3885" s="13">
        <f t="shared" si="121"/>
        <v>2091154</v>
      </c>
      <c r="Q3885" s="13">
        <f>SUMIFS(M:M,E:E,Online_eCommerce[[#This Row],[Status]])</f>
        <v>21103186</v>
      </c>
      <c r="R3885" s="13">
        <f>SUMIFS(L:L,H:H,Online_eCommerce[[#This Row],[Brand]])</f>
        <v>12435650</v>
      </c>
      <c r="S3885" s="13">
        <f>SUMIF(H:H,Online_eCommerce[[#This Row],[Brand]],M:M)</f>
        <v>16166345</v>
      </c>
      <c r="T3885" s="13">
        <f>SUMIF(N:N,Online_eCommerce[[#This Row],[Assigned Supervisor]],L:L)</f>
        <v>14373360</v>
      </c>
    </row>
    <row r="3886" spans="1:20" x14ac:dyDescent="0.3">
      <c r="A3886" t="s">
        <v>5779</v>
      </c>
      <c r="B3886" t="s">
        <v>202</v>
      </c>
      <c r="C3886" t="s">
        <v>22</v>
      </c>
      <c r="D3886" t="s">
        <v>5743</v>
      </c>
      <c r="E3886" t="s">
        <v>46</v>
      </c>
      <c r="F3886" t="s">
        <v>70</v>
      </c>
      <c r="G3886" t="s">
        <v>71</v>
      </c>
      <c r="H3886" t="s">
        <v>61</v>
      </c>
      <c r="I3886">
        <v>7500</v>
      </c>
      <c r="J3886">
        <v>9750</v>
      </c>
      <c r="K3886">
        <v>2</v>
      </c>
      <c r="L3886">
        <v>15000</v>
      </c>
      <c r="M3886">
        <v>19500</v>
      </c>
      <c r="N3886" t="s">
        <v>42</v>
      </c>
      <c r="O3886">
        <f t="shared" si="120"/>
        <v>9750</v>
      </c>
      <c r="P3886" s="13">
        <f t="shared" si="121"/>
        <v>2551588</v>
      </c>
      <c r="Q3886" s="13">
        <f>SUMIFS(M:M,E:E,Online_eCommerce[[#This Row],[Status]])</f>
        <v>28620410</v>
      </c>
      <c r="R3886" s="13">
        <f>SUMIFS(L:L,H:H,Online_eCommerce[[#This Row],[Brand]])</f>
        <v>10950150</v>
      </c>
      <c r="S3886" s="13">
        <f>SUMIF(H:H,Online_eCommerce[[#This Row],[Brand]],M:M)</f>
        <v>14235195</v>
      </c>
      <c r="T3886" s="13">
        <f>SUMIF(N:N,Online_eCommerce[[#This Row],[Assigned Supervisor]],L:L)</f>
        <v>12261500</v>
      </c>
    </row>
    <row r="3887" spans="1:20" hidden="1" x14ac:dyDescent="0.3">
      <c r="A3887" t="s">
        <v>5780</v>
      </c>
      <c r="B3887" t="s">
        <v>30</v>
      </c>
      <c r="C3887" t="s">
        <v>132</v>
      </c>
      <c r="D3887" t="s">
        <v>5743</v>
      </c>
      <c r="E3887" t="s">
        <v>96</v>
      </c>
      <c r="F3887" t="s">
        <v>5767</v>
      </c>
      <c r="G3887" t="s">
        <v>77</v>
      </c>
      <c r="H3887" t="s">
        <v>78</v>
      </c>
      <c r="I3887">
        <v>10000</v>
      </c>
      <c r="J3887">
        <v>13000</v>
      </c>
      <c r="K3887">
        <v>3</v>
      </c>
      <c r="L3887">
        <v>30000</v>
      </c>
      <c r="M3887">
        <v>39000</v>
      </c>
      <c r="N3887" t="s">
        <v>50</v>
      </c>
      <c r="O3887">
        <f t="shared" si="120"/>
        <v>39000</v>
      </c>
      <c r="P3887" s="13">
        <f t="shared" si="121"/>
        <v>1989065</v>
      </c>
      <c r="Q3887" s="13">
        <f>SUMIFS(M:M,E:E,Online_eCommerce[[#This Row],[Status]])</f>
        <v>21233992</v>
      </c>
      <c r="R3887" s="13">
        <f>SUMIFS(L:L,H:H,Online_eCommerce[[#This Row],[Brand]])</f>
        <v>3720000</v>
      </c>
      <c r="S3887" s="13">
        <f>SUMIF(H:H,Online_eCommerce[[#This Row],[Brand]],M:M)</f>
        <v>4836000</v>
      </c>
      <c r="T3887" s="13">
        <f>SUMIF(N:N,Online_eCommerce[[#This Row],[Assigned Supervisor]],L:L)</f>
        <v>12100590</v>
      </c>
    </row>
    <row r="3888" spans="1:20" hidden="1" x14ac:dyDescent="0.3">
      <c r="A3888" t="s">
        <v>5781</v>
      </c>
      <c r="B3888" t="s">
        <v>37</v>
      </c>
      <c r="C3888" t="s">
        <v>136</v>
      </c>
      <c r="D3888" t="s">
        <v>5743</v>
      </c>
      <c r="E3888" t="s">
        <v>18</v>
      </c>
      <c r="F3888" t="s">
        <v>5782</v>
      </c>
      <c r="G3888" t="s">
        <v>20</v>
      </c>
      <c r="H3888" t="s">
        <v>21</v>
      </c>
      <c r="I3888">
        <v>10500</v>
      </c>
      <c r="J3888">
        <v>13650</v>
      </c>
      <c r="K3888">
        <v>3</v>
      </c>
      <c r="L3888">
        <v>31500</v>
      </c>
      <c r="M3888">
        <v>40950</v>
      </c>
      <c r="N3888" t="s">
        <v>56</v>
      </c>
      <c r="O3888">
        <f t="shared" si="120"/>
        <v>8450</v>
      </c>
      <c r="P3888" s="13">
        <f t="shared" si="121"/>
        <v>2775162</v>
      </c>
      <c r="Q3888" s="13">
        <f>SUMIFS(M:M,E:E,Online_eCommerce[[#This Row],[Status]])</f>
        <v>28340455</v>
      </c>
      <c r="R3888" s="13">
        <f>SUMIFS(L:L,H:H,Online_eCommerce[[#This Row],[Brand]])</f>
        <v>12435650</v>
      </c>
      <c r="S3888" s="13">
        <f>SUMIF(H:H,Online_eCommerce[[#This Row],[Brand]],M:M)</f>
        <v>16166345</v>
      </c>
      <c r="T3888" s="13">
        <f>SUMIF(N:N,Online_eCommerce[[#This Row],[Assigned Supervisor]],L:L)</f>
        <v>11733610</v>
      </c>
    </row>
    <row r="3889" spans="1:20" hidden="1" x14ac:dyDescent="0.3">
      <c r="A3889" t="s">
        <v>5783</v>
      </c>
      <c r="B3889" t="s">
        <v>44</v>
      </c>
      <c r="C3889" t="s">
        <v>140</v>
      </c>
      <c r="D3889" t="s">
        <v>5743</v>
      </c>
      <c r="E3889" t="s">
        <v>161</v>
      </c>
      <c r="F3889" t="s">
        <v>88</v>
      </c>
      <c r="G3889" t="s">
        <v>26</v>
      </c>
      <c r="H3889" t="s">
        <v>27</v>
      </c>
      <c r="I3889">
        <v>8500</v>
      </c>
      <c r="J3889">
        <v>11050</v>
      </c>
      <c r="K3889">
        <v>2</v>
      </c>
      <c r="L3889">
        <v>17000</v>
      </c>
      <c r="M3889">
        <v>22100</v>
      </c>
      <c r="N3889" t="s">
        <v>35</v>
      </c>
      <c r="O3889">
        <f t="shared" si="120"/>
        <v>33150</v>
      </c>
      <c r="P3889" s="13">
        <f t="shared" si="121"/>
        <v>2058264</v>
      </c>
      <c r="Q3889" s="13">
        <f>SUMIFS(M:M,E:E,Online_eCommerce[[#This Row],[Status]])</f>
        <v>21103186</v>
      </c>
      <c r="R3889" s="13">
        <f>SUMIFS(L:L,H:H,Online_eCommerce[[#This Row],[Brand]])</f>
        <v>14431000</v>
      </c>
      <c r="S3889" s="13">
        <f>SUMIF(H:H,Online_eCommerce[[#This Row],[Brand]],M:M)</f>
        <v>18760300</v>
      </c>
      <c r="T3889" s="13">
        <f>SUMIF(N:N,Online_eCommerce[[#This Row],[Assigned Supervisor]],L:L)</f>
        <v>14373360</v>
      </c>
    </row>
    <row r="3890" spans="1:20" x14ac:dyDescent="0.3">
      <c r="A3890" t="s">
        <v>5784</v>
      </c>
      <c r="B3890" t="s">
        <v>213</v>
      </c>
      <c r="C3890" t="s">
        <v>145</v>
      </c>
      <c r="D3890" t="s">
        <v>5743</v>
      </c>
      <c r="E3890" t="s">
        <v>46</v>
      </c>
      <c r="F3890" t="s">
        <v>32</v>
      </c>
      <c r="G3890" t="s">
        <v>33</v>
      </c>
      <c r="H3890" t="s">
        <v>34</v>
      </c>
      <c r="I3890">
        <v>7000</v>
      </c>
      <c r="J3890">
        <v>9100</v>
      </c>
      <c r="K3890">
        <v>1</v>
      </c>
      <c r="L3890">
        <v>7000</v>
      </c>
      <c r="M3890">
        <v>9100</v>
      </c>
      <c r="N3890" t="s">
        <v>35</v>
      </c>
      <c r="O3890">
        <f t="shared" si="120"/>
        <v>18200</v>
      </c>
      <c r="P3890" s="13">
        <f t="shared" si="121"/>
        <v>2757859</v>
      </c>
      <c r="Q3890" s="13">
        <f>SUMIFS(M:M,E:E,Online_eCommerce[[#This Row],[Status]])</f>
        <v>28620410</v>
      </c>
      <c r="R3890" s="13">
        <f>SUMIFS(L:L,H:H,Online_eCommerce[[#This Row],[Brand]])</f>
        <v>10087000</v>
      </c>
      <c r="S3890" s="13">
        <f>SUMIF(H:H,Online_eCommerce[[#This Row],[Brand]],M:M)</f>
        <v>13113100</v>
      </c>
      <c r="T3890" s="13">
        <f>SUMIF(N:N,Online_eCommerce[[#This Row],[Assigned Supervisor]],L:L)</f>
        <v>14373360</v>
      </c>
    </row>
    <row r="3891" spans="1:20" hidden="1" x14ac:dyDescent="0.3">
      <c r="A3891" t="s">
        <v>5785</v>
      </c>
      <c r="B3891" t="s">
        <v>215</v>
      </c>
      <c r="C3891" t="s">
        <v>150</v>
      </c>
      <c r="D3891" t="s">
        <v>5743</v>
      </c>
      <c r="E3891" t="s">
        <v>96</v>
      </c>
      <c r="F3891" t="s">
        <v>5786</v>
      </c>
      <c r="G3891" t="s">
        <v>40</v>
      </c>
      <c r="H3891" t="s">
        <v>41</v>
      </c>
      <c r="I3891">
        <v>1680</v>
      </c>
      <c r="J3891">
        <v>2184</v>
      </c>
      <c r="K3891">
        <v>3</v>
      </c>
      <c r="L3891">
        <v>5040</v>
      </c>
      <c r="M3891">
        <v>6552</v>
      </c>
      <c r="N3891" t="s">
        <v>35</v>
      </c>
      <c r="O3891">
        <f t="shared" si="120"/>
        <v>25545</v>
      </c>
      <c r="P3891" s="13">
        <f t="shared" si="121"/>
        <v>2154984</v>
      </c>
      <c r="Q3891" s="13">
        <f>SUMIFS(M:M,E:E,Online_eCommerce[[#This Row],[Status]])</f>
        <v>21233992</v>
      </c>
      <c r="R3891" s="13">
        <f>SUMIFS(L:L,H:H,Online_eCommerce[[#This Row],[Brand]])</f>
        <v>4260400</v>
      </c>
      <c r="S3891" s="13">
        <f>SUMIF(H:H,Online_eCommerce[[#This Row],[Brand]],M:M)</f>
        <v>5538520</v>
      </c>
      <c r="T3891" s="13">
        <f>SUMIF(N:N,Online_eCommerce[[#This Row],[Assigned Supervisor]],L:L)</f>
        <v>14373360</v>
      </c>
    </row>
    <row r="3892" spans="1:20" hidden="1" x14ac:dyDescent="0.3">
      <c r="A3892" t="s">
        <v>5787</v>
      </c>
      <c r="B3892" t="s">
        <v>306</v>
      </c>
      <c r="C3892" t="s">
        <v>155</v>
      </c>
      <c r="D3892" t="s">
        <v>5743</v>
      </c>
      <c r="E3892" t="s">
        <v>18</v>
      </c>
      <c r="F3892" t="s">
        <v>101</v>
      </c>
      <c r="G3892" t="s">
        <v>334</v>
      </c>
      <c r="H3892" t="s">
        <v>102</v>
      </c>
      <c r="I3892">
        <v>6540</v>
      </c>
      <c r="J3892">
        <v>8502</v>
      </c>
      <c r="K3892">
        <v>3</v>
      </c>
      <c r="L3892">
        <v>19620</v>
      </c>
      <c r="M3892">
        <v>25506</v>
      </c>
      <c r="N3892" t="s">
        <v>35</v>
      </c>
      <c r="O3892">
        <f t="shared" si="120"/>
        <v>39780</v>
      </c>
      <c r="P3892" s="13">
        <f t="shared" si="121"/>
        <v>2753348</v>
      </c>
      <c r="Q3892" s="13">
        <f>SUMIFS(M:M,E:E,Online_eCommerce[[#This Row],[Status]])</f>
        <v>28340455</v>
      </c>
      <c r="R3892" s="13">
        <f>SUMIFS(L:L,H:H,Online_eCommerce[[#This Row],[Brand]])</f>
        <v>2465580</v>
      </c>
      <c r="S3892" s="13">
        <f>SUMIF(H:H,Online_eCommerce[[#This Row],[Brand]],M:M)</f>
        <v>3205254</v>
      </c>
      <c r="T3892" s="13">
        <f>SUMIF(N:N,Online_eCommerce[[#This Row],[Assigned Supervisor]],L:L)</f>
        <v>14373360</v>
      </c>
    </row>
    <row r="3893" spans="1:20" hidden="1" x14ac:dyDescent="0.3">
      <c r="A3893" t="s">
        <v>5788</v>
      </c>
      <c r="B3893" t="s">
        <v>528</v>
      </c>
      <c r="C3893" t="s">
        <v>160</v>
      </c>
      <c r="D3893" t="s">
        <v>5743</v>
      </c>
      <c r="E3893" t="s">
        <v>161</v>
      </c>
      <c r="F3893" t="s">
        <v>107</v>
      </c>
      <c r="G3893" t="s">
        <v>54</v>
      </c>
      <c r="H3893" t="s">
        <v>55</v>
      </c>
      <c r="I3893">
        <v>2680</v>
      </c>
      <c r="J3893">
        <v>3484</v>
      </c>
      <c r="K3893">
        <v>2</v>
      </c>
      <c r="L3893">
        <v>5360</v>
      </c>
      <c r="M3893">
        <v>6968</v>
      </c>
      <c r="N3893" t="s">
        <v>35</v>
      </c>
      <c r="O3893">
        <f t="shared" si="120"/>
        <v>2990</v>
      </c>
      <c r="P3893" s="13">
        <f t="shared" si="121"/>
        <v>2303483</v>
      </c>
      <c r="Q3893" s="13">
        <f>SUMIFS(M:M,E:E,Online_eCommerce[[#This Row],[Status]])</f>
        <v>21103186</v>
      </c>
      <c r="R3893" s="13">
        <f>SUMIFS(L:L,H:H,Online_eCommerce[[#This Row],[Brand]])</f>
        <v>2267380</v>
      </c>
      <c r="S3893" s="13">
        <f>SUMIF(H:H,Online_eCommerce[[#This Row],[Brand]],M:M)</f>
        <v>2947594</v>
      </c>
      <c r="T3893" s="13">
        <f>SUMIF(N:N,Online_eCommerce[[#This Row],[Assigned Supervisor]],L:L)</f>
        <v>14373360</v>
      </c>
    </row>
    <row r="3894" spans="1:20" x14ac:dyDescent="0.3">
      <c r="A3894" t="s">
        <v>5789</v>
      </c>
      <c r="B3894" t="s">
        <v>73</v>
      </c>
      <c r="C3894" t="s">
        <v>165</v>
      </c>
      <c r="D3894" t="s">
        <v>5743</v>
      </c>
      <c r="E3894" t="s">
        <v>46</v>
      </c>
      <c r="F3894" t="s">
        <v>112</v>
      </c>
      <c r="G3894" t="s">
        <v>71</v>
      </c>
      <c r="H3894" t="s">
        <v>21</v>
      </c>
      <c r="I3894">
        <v>8250</v>
      </c>
      <c r="J3894">
        <v>10725</v>
      </c>
      <c r="K3894">
        <v>2</v>
      </c>
      <c r="L3894">
        <v>16500</v>
      </c>
      <c r="M3894">
        <v>21450</v>
      </c>
      <c r="N3894" t="s">
        <v>35</v>
      </c>
      <c r="O3894">
        <f t="shared" si="120"/>
        <v>9750</v>
      </c>
      <c r="P3894" s="13">
        <f t="shared" si="121"/>
        <v>2674087</v>
      </c>
      <c r="Q3894" s="13">
        <f>SUMIFS(M:M,E:E,Online_eCommerce[[#This Row],[Status]])</f>
        <v>28620410</v>
      </c>
      <c r="R3894" s="13">
        <f>SUMIFS(L:L,H:H,Online_eCommerce[[#This Row],[Brand]])</f>
        <v>12435650</v>
      </c>
      <c r="S3894" s="13">
        <f>SUMIF(H:H,Online_eCommerce[[#This Row],[Brand]],M:M)</f>
        <v>16166345</v>
      </c>
      <c r="T3894" s="13">
        <f>SUMIF(N:N,Online_eCommerce[[#This Row],[Assigned Supervisor]],L:L)</f>
        <v>14373360</v>
      </c>
    </row>
    <row r="3895" spans="1:20" hidden="1" x14ac:dyDescent="0.3">
      <c r="A3895" t="s">
        <v>5790</v>
      </c>
      <c r="B3895" t="s">
        <v>80</v>
      </c>
      <c r="C3895" t="s">
        <v>168</v>
      </c>
      <c r="D3895" t="s">
        <v>5743</v>
      </c>
      <c r="E3895" t="s">
        <v>96</v>
      </c>
      <c r="F3895" t="s">
        <v>5436</v>
      </c>
      <c r="G3895" t="s">
        <v>40</v>
      </c>
      <c r="H3895" t="s">
        <v>21</v>
      </c>
      <c r="I3895">
        <v>2650</v>
      </c>
      <c r="J3895">
        <v>3445</v>
      </c>
      <c r="K3895">
        <v>3</v>
      </c>
      <c r="L3895">
        <v>7950</v>
      </c>
      <c r="M3895">
        <v>10335</v>
      </c>
      <c r="N3895" t="s">
        <v>35</v>
      </c>
      <c r="O3895">
        <f t="shared" si="120"/>
        <v>25545</v>
      </c>
      <c r="P3895" s="13">
        <f t="shared" si="121"/>
        <v>1937780</v>
      </c>
      <c r="Q3895" s="13">
        <f>SUMIFS(M:M,E:E,Online_eCommerce[[#This Row],[Status]])</f>
        <v>21233992</v>
      </c>
      <c r="R3895" s="13">
        <f>SUMIFS(L:L,H:H,Online_eCommerce[[#This Row],[Brand]])</f>
        <v>12435650</v>
      </c>
      <c r="S3895" s="13">
        <f>SUMIF(H:H,Online_eCommerce[[#This Row],[Brand]],M:M)</f>
        <v>16166345</v>
      </c>
      <c r="T3895" s="13">
        <f>SUMIF(N:N,Online_eCommerce[[#This Row],[Assigned Supervisor]],L:L)</f>
        <v>14373360</v>
      </c>
    </row>
    <row r="3896" spans="1:20" hidden="1" x14ac:dyDescent="0.3">
      <c r="A3896" t="s">
        <v>5791</v>
      </c>
      <c r="B3896" t="s">
        <v>85</v>
      </c>
      <c r="C3896" t="s">
        <v>172</v>
      </c>
      <c r="D3896" t="s">
        <v>5743</v>
      </c>
      <c r="E3896" t="s">
        <v>18</v>
      </c>
      <c r="F3896" t="s">
        <v>121</v>
      </c>
      <c r="G3896" t="s">
        <v>71</v>
      </c>
      <c r="H3896" t="s">
        <v>122</v>
      </c>
      <c r="I3896">
        <v>12550</v>
      </c>
      <c r="J3896">
        <v>16315</v>
      </c>
      <c r="K3896">
        <v>3</v>
      </c>
      <c r="L3896">
        <v>37650</v>
      </c>
      <c r="M3896">
        <v>48945</v>
      </c>
      <c r="N3896" t="s">
        <v>35</v>
      </c>
      <c r="O3896">
        <f t="shared" si="120"/>
        <v>9750</v>
      </c>
      <c r="P3896" s="13">
        <f t="shared" si="121"/>
        <v>2640274</v>
      </c>
      <c r="Q3896" s="13">
        <f>SUMIFS(M:M,E:E,Online_eCommerce[[#This Row],[Status]])</f>
        <v>28340455</v>
      </c>
      <c r="R3896" s="13">
        <f>SUMIFS(L:L,H:H,Online_eCommerce[[#This Row],[Brand]])</f>
        <v>5045100</v>
      </c>
      <c r="S3896" s="13">
        <f>SUMIF(H:H,Online_eCommerce[[#This Row],[Brand]],M:M)</f>
        <v>6558630</v>
      </c>
      <c r="T3896" s="13">
        <f>SUMIF(N:N,Online_eCommerce[[#This Row],[Assigned Supervisor]],L:L)</f>
        <v>14373360</v>
      </c>
    </row>
    <row r="3897" spans="1:20" hidden="1" x14ac:dyDescent="0.3">
      <c r="A3897" t="s">
        <v>5792</v>
      </c>
      <c r="B3897" t="s">
        <v>90</v>
      </c>
      <c r="C3897" t="s">
        <v>177</v>
      </c>
      <c r="D3897" t="s">
        <v>5743</v>
      </c>
      <c r="E3897" t="s">
        <v>161</v>
      </c>
      <c r="F3897" t="s">
        <v>126</v>
      </c>
      <c r="G3897" t="s">
        <v>26</v>
      </c>
      <c r="H3897" t="s">
        <v>27</v>
      </c>
      <c r="I3897">
        <v>14500</v>
      </c>
      <c r="J3897">
        <v>18850</v>
      </c>
      <c r="K3897">
        <v>1</v>
      </c>
      <c r="L3897">
        <v>14500</v>
      </c>
      <c r="M3897">
        <v>18850</v>
      </c>
      <c r="N3897" t="s">
        <v>35</v>
      </c>
      <c r="O3897">
        <f t="shared" si="120"/>
        <v>33150</v>
      </c>
      <c r="P3897" s="13">
        <f t="shared" si="121"/>
        <v>1863810</v>
      </c>
      <c r="Q3897" s="13">
        <f>SUMIFS(M:M,E:E,Online_eCommerce[[#This Row],[Status]])</f>
        <v>21103186</v>
      </c>
      <c r="R3897" s="13">
        <f>SUMIFS(L:L,H:H,Online_eCommerce[[#This Row],[Brand]])</f>
        <v>14431000</v>
      </c>
      <c r="S3897" s="13">
        <f>SUMIF(H:H,Online_eCommerce[[#This Row],[Brand]],M:M)</f>
        <v>18760300</v>
      </c>
      <c r="T3897" s="13">
        <f>SUMIF(N:N,Online_eCommerce[[#This Row],[Assigned Supervisor]],L:L)</f>
        <v>14373360</v>
      </c>
    </row>
    <row r="3898" spans="1:20" x14ac:dyDescent="0.3">
      <c r="A3898" t="s">
        <v>5793</v>
      </c>
      <c r="B3898" t="s">
        <v>232</v>
      </c>
      <c r="C3898" t="s">
        <v>181</v>
      </c>
      <c r="D3898" t="s">
        <v>5743</v>
      </c>
      <c r="E3898" t="s">
        <v>46</v>
      </c>
      <c r="F3898" t="s">
        <v>129</v>
      </c>
      <c r="G3898" t="s">
        <v>60</v>
      </c>
      <c r="H3898" t="s">
        <v>61</v>
      </c>
      <c r="I3898">
        <v>800</v>
      </c>
      <c r="J3898">
        <v>1040</v>
      </c>
      <c r="K3898">
        <v>4</v>
      </c>
      <c r="L3898">
        <v>3200</v>
      </c>
      <c r="M3898">
        <v>4160</v>
      </c>
      <c r="N3898" t="s">
        <v>35</v>
      </c>
      <c r="O3898">
        <f t="shared" si="120"/>
        <v>3315</v>
      </c>
      <c r="P3898" s="13">
        <f t="shared" si="121"/>
        <v>2577458</v>
      </c>
      <c r="Q3898" s="13">
        <f>SUMIFS(M:M,E:E,Online_eCommerce[[#This Row],[Status]])</f>
        <v>28620410</v>
      </c>
      <c r="R3898" s="13">
        <f>SUMIFS(L:L,H:H,Online_eCommerce[[#This Row],[Brand]])</f>
        <v>10950150</v>
      </c>
      <c r="S3898" s="13">
        <f>SUMIF(H:H,Online_eCommerce[[#This Row],[Brand]],M:M)</f>
        <v>14235195</v>
      </c>
      <c r="T3898" s="13">
        <f>SUMIF(N:N,Online_eCommerce[[#This Row],[Assigned Supervisor]],L:L)</f>
        <v>14373360</v>
      </c>
    </row>
    <row r="3899" spans="1:20" hidden="1" x14ac:dyDescent="0.3">
      <c r="A3899" t="s">
        <v>5794</v>
      </c>
      <c r="B3899" t="s">
        <v>235</v>
      </c>
      <c r="C3899" t="s">
        <v>185</v>
      </c>
      <c r="D3899" t="s">
        <v>5743</v>
      </c>
      <c r="E3899" t="s">
        <v>96</v>
      </c>
      <c r="F3899" t="s">
        <v>133</v>
      </c>
      <c r="G3899" t="s">
        <v>66</v>
      </c>
      <c r="H3899" t="s">
        <v>21</v>
      </c>
      <c r="I3899">
        <v>600</v>
      </c>
      <c r="J3899">
        <v>780</v>
      </c>
      <c r="K3899">
        <v>1</v>
      </c>
      <c r="L3899">
        <v>600</v>
      </c>
      <c r="M3899">
        <v>780</v>
      </c>
      <c r="N3899" t="s">
        <v>50</v>
      </c>
      <c r="O3899">
        <f t="shared" si="120"/>
        <v>1690</v>
      </c>
      <c r="P3899" s="13">
        <f t="shared" si="121"/>
        <v>2091596</v>
      </c>
      <c r="Q3899" s="13">
        <f>SUMIFS(M:M,E:E,Online_eCommerce[[#This Row],[Status]])</f>
        <v>21233992</v>
      </c>
      <c r="R3899" s="13">
        <f>SUMIFS(L:L,H:H,Online_eCommerce[[#This Row],[Brand]])</f>
        <v>12435650</v>
      </c>
      <c r="S3899" s="13">
        <f>SUMIF(H:H,Online_eCommerce[[#This Row],[Brand]],M:M)</f>
        <v>16166345</v>
      </c>
      <c r="T3899" s="13">
        <f>SUMIF(N:N,Online_eCommerce[[#This Row],[Assigned Supervisor]],L:L)</f>
        <v>12100590</v>
      </c>
    </row>
    <row r="3900" spans="1:20" hidden="1" x14ac:dyDescent="0.3">
      <c r="A3900" t="s">
        <v>5795</v>
      </c>
      <c r="B3900" t="s">
        <v>104</v>
      </c>
      <c r="C3900" t="s">
        <v>189</v>
      </c>
      <c r="D3900" t="s">
        <v>5743</v>
      </c>
      <c r="E3900" t="s">
        <v>18</v>
      </c>
      <c r="F3900" t="s">
        <v>137</v>
      </c>
      <c r="G3900" t="s">
        <v>71</v>
      </c>
      <c r="H3900" t="s">
        <v>61</v>
      </c>
      <c r="I3900">
        <v>10500</v>
      </c>
      <c r="J3900">
        <v>13650</v>
      </c>
      <c r="K3900">
        <v>4</v>
      </c>
      <c r="L3900">
        <v>42000</v>
      </c>
      <c r="M3900">
        <v>54600</v>
      </c>
      <c r="N3900" t="s">
        <v>56</v>
      </c>
      <c r="O3900">
        <f t="shared" si="120"/>
        <v>9750</v>
      </c>
      <c r="P3900" s="13">
        <f t="shared" si="121"/>
        <v>2740777</v>
      </c>
      <c r="Q3900" s="13">
        <f>SUMIFS(M:M,E:E,Online_eCommerce[[#This Row],[Status]])</f>
        <v>28340455</v>
      </c>
      <c r="R3900" s="13">
        <f>SUMIFS(L:L,H:H,Online_eCommerce[[#This Row],[Brand]])</f>
        <v>10950150</v>
      </c>
      <c r="S3900" s="13">
        <f>SUMIF(H:H,Online_eCommerce[[#This Row],[Brand]],M:M)</f>
        <v>14235195</v>
      </c>
      <c r="T3900" s="13">
        <f>SUMIF(N:N,Online_eCommerce[[#This Row],[Assigned Supervisor]],L:L)</f>
        <v>11733610</v>
      </c>
    </row>
    <row r="3901" spans="1:20" hidden="1" x14ac:dyDescent="0.3">
      <c r="A3901" t="s">
        <v>5796</v>
      </c>
      <c r="B3901" t="s">
        <v>109</v>
      </c>
      <c r="C3901" t="s">
        <v>193</v>
      </c>
      <c r="D3901" t="s">
        <v>5743</v>
      </c>
      <c r="E3901" t="s">
        <v>161</v>
      </c>
      <c r="F3901" t="s">
        <v>5767</v>
      </c>
      <c r="G3901" t="s">
        <v>77</v>
      </c>
      <c r="H3901" t="s">
        <v>142</v>
      </c>
      <c r="I3901">
        <v>6500</v>
      </c>
      <c r="J3901">
        <v>8450</v>
      </c>
      <c r="K3901">
        <v>4</v>
      </c>
      <c r="L3901">
        <v>26000</v>
      </c>
      <c r="M3901">
        <v>33800</v>
      </c>
      <c r="N3901" t="s">
        <v>22</v>
      </c>
      <c r="O3901">
        <f t="shared" si="120"/>
        <v>39000</v>
      </c>
      <c r="P3901" s="13">
        <f t="shared" si="121"/>
        <v>2074774</v>
      </c>
      <c r="Q3901" s="13">
        <f>SUMIFS(M:M,E:E,Online_eCommerce[[#This Row],[Status]])</f>
        <v>21103186</v>
      </c>
      <c r="R3901" s="13">
        <f>SUMIFS(L:L,H:H,Online_eCommerce[[#This Row],[Brand]])</f>
        <v>6192500</v>
      </c>
      <c r="S3901" s="13">
        <f>SUMIF(H:H,Online_eCommerce[[#This Row],[Brand]],M:M)</f>
        <v>8050250</v>
      </c>
      <c r="T3901" s="13">
        <f>SUMIF(N:N,Online_eCommerce[[#This Row],[Assigned Supervisor]],L:L)</f>
        <v>13693220</v>
      </c>
    </row>
    <row r="3902" spans="1:20" x14ac:dyDescent="0.3">
      <c r="A3902" t="s">
        <v>5797</v>
      </c>
      <c r="B3902" t="s">
        <v>114</v>
      </c>
      <c r="C3902" t="s">
        <v>197</v>
      </c>
      <c r="D3902" t="s">
        <v>5743</v>
      </c>
      <c r="E3902" t="s">
        <v>46</v>
      </c>
      <c r="F3902" t="s">
        <v>5798</v>
      </c>
      <c r="G3902" t="s">
        <v>20</v>
      </c>
      <c r="H3902" t="s">
        <v>21</v>
      </c>
      <c r="I3902">
        <v>4500</v>
      </c>
      <c r="J3902">
        <v>5850</v>
      </c>
      <c r="K3902">
        <v>1</v>
      </c>
      <c r="L3902">
        <v>4500</v>
      </c>
      <c r="M3902">
        <v>5850</v>
      </c>
      <c r="N3902" t="s">
        <v>28</v>
      </c>
      <c r="O3902">
        <f t="shared" si="120"/>
        <v>8450</v>
      </c>
      <c r="P3902" s="13">
        <f t="shared" si="121"/>
        <v>2829840</v>
      </c>
      <c r="Q3902" s="13">
        <f>SUMIFS(M:M,E:E,Online_eCommerce[[#This Row],[Status]])</f>
        <v>28620410</v>
      </c>
      <c r="R3902" s="13">
        <f>SUMIFS(L:L,H:H,Online_eCommerce[[#This Row],[Brand]])</f>
        <v>12435650</v>
      </c>
      <c r="S3902" s="13">
        <f>SUMIF(H:H,Online_eCommerce[[#This Row],[Brand]],M:M)</f>
        <v>16166345</v>
      </c>
      <c r="T3902" s="13">
        <f>SUMIF(N:N,Online_eCommerce[[#This Row],[Assigned Supervisor]],L:L)</f>
        <v>12220830</v>
      </c>
    </row>
    <row r="3903" spans="1:20" hidden="1" x14ac:dyDescent="0.3">
      <c r="A3903" t="s">
        <v>5799</v>
      </c>
      <c r="B3903" t="s">
        <v>119</v>
      </c>
      <c r="C3903" t="s">
        <v>199</v>
      </c>
      <c r="D3903" t="s">
        <v>5743</v>
      </c>
      <c r="E3903" t="s">
        <v>96</v>
      </c>
      <c r="F3903" t="s">
        <v>152</v>
      </c>
      <c r="G3903" t="s">
        <v>26</v>
      </c>
      <c r="H3903" t="s">
        <v>27</v>
      </c>
      <c r="I3903">
        <v>8500</v>
      </c>
      <c r="J3903">
        <v>11050</v>
      </c>
      <c r="K3903">
        <v>1</v>
      </c>
      <c r="L3903">
        <v>8500</v>
      </c>
      <c r="M3903">
        <v>11050</v>
      </c>
      <c r="N3903" t="s">
        <v>35</v>
      </c>
      <c r="O3903">
        <f t="shared" si="120"/>
        <v>33150</v>
      </c>
      <c r="P3903" s="13">
        <f t="shared" si="121"/>
        <v>1947361</v>
      </c>
      <c r="Q3903" s="13">
        <f>SUMIFS(M:M,E:E,Online_eCommerce[[#This Row],[Status]])</f>
        <v>21233992</v>
      </c>
      <c r="R3903" s="13">
        <f>SUMIFS(L:L,H:H,Online_eCommerce[[#This Row],[Brand]])</f>
        <v>14431000</v>
      </c>
      <c r="S3903" s="13">
        <f>SUMIF(H:H,Online_eCommerce[[#This Row],[Brand]],M:M)</f>
        <v>18760300</v>
      </c>
      <c r="T3903" s="13">
        <f>SUMIF(N:N,Online_eCommerce[[#This Row],[Assigned Supervisor]],L:L)</f>
        <v>14373360</v>
      </c>
    </row>
    <row r="3904" spans="1:20" hidden="1" x14ac:dyDescent="0.3">
      <c r="A3904" t="s">
        <v>5800</v>
      </c>
      <c r="B3904" t="s">
        <v>124</v>
      </c>
      <c r="C3904" t="s">
        <v>203</v>
      </c>
      <c r="D3904" t="s">
        <v>5743</v>
      </c>
      <c r="E3904" t="s">
        <v>18</v>
      </c>
      <c r="F3904" t="s">
        <v>157</v>
      </c>
      <c r="G3904" t="s">
        <v>33</v>
      </c>
      <c r="H3904" t="s">
        <v>34</v>
      </c>
      <c r="I3904">
        <v>12500</v>
      </c>
      <c r="J3904">
        <v>16250</v>
      </c>
      <c r="K3904">
        <v>2</v>
      </c>
      <c r="L3904">
        <v>25000</v>
      </c>
      <c r="M3904">
        <v>32500</v>
      </c>
      <c r="N3904" t="s">
        <v>42</v>
      </c>
      <c r="O3904">
        <f t="shared" si="120"/>
        <v>18200</v>
      </c>
      <c r="P3904" s="13">
        <f t="shared" si="121"/>
        <v>2559635</v>
      </c>
      <c r="Q3904" s="13">
        <f>SUMIFS(M:M,E:E,Online_eCommerce[[#This Row],[Status]])</f>
        <v>28340455</v>
      </c>
      <c r="R3904" s="13">
        <f>SUMIFS(L:L,H:H,Online_eCommerce[[#This Row],[Brand]])</f>
        <v>10087000</v>
      </c>
      <c r="S3904" s="13">
        <f>SUMIF(H:H,Online_eCommerce[[#This Row],[Brand]],M:M)</f>
        <v>13113100</v>
      </c>
      <c r="T3904" s="13">
        <f>SUMIF(N:N,Online_eCommerce[[#This Row],[Assigned Supervisor]],L:L)</f>
        <v>12261500</v>
      </c>
    </row>
    <row r="3905" spans="1:20" hidden="1" x14ac:dyDescent="0.3">
      <c r="A3905" t="s">
        <v>5801</v>
      </c>
      <c r="B3905" t="s">
        <v>128</v>
      </c>
      <c r="C3905" t="s">
        <v>205</v>
      </c>
      <c r="D3905" t="s">
        <v>5743</v>
      </c>
      <c r="E3905" t="s">
        <v>161</v>
      </c>
      <c r="F3905" t="s">
        <v>5478</v>
      </c>
      <c r="G3905" t="s">
        <v>163</v>
      </c>
      <c r="H3905" t="s">
        <v>41</v>
      </c>
      <c r="I3905">
        <v>3500</v>
      </c>
      <c r="J3905">
        <v>4550</v>
      </c>
      <c r="K3905">
        <v>3</v>
      </c>
      <c r="L3905">
        <v>10500</v>
      </c>
      <c r="M3905">
        <v>13650</v>
      </c>
      <c r="N3905" t="s">
        <v>50</v>
      </c>
      <c r="O3905">
        <f t="shared" si="120"/>
        <v>13650</v>
      </c>
      <c r="P3905" s="13">
        <f t="shared" si="121"/>
        <v>1983254</v>
      </c>
      <c r="Q3905" s="13">
        <f>SUMIFS(M:M,E:E,Online_eCommerce[[#This Row],[Status]])</f>
        <v>21103186</v>
      </c>
      <c r="R3905" s="13">
        <f>SUMIFS(L:L,H:H,Online_eCommerce[[#This Row],[Brand]])</f>
        <v>4260400</v>
      </c>
      <c r="S3905" s="13">
        <f>SUMIF(H:H,Online_eCommerce[[#This Row],[Brand]],M:M)</f>
        <v>5538520</v>
      </c>
      <c r="T3905" s="13">
        <f>SUMIF(N:N,Online_eCommerce[[#This Row],[Assigned Supervisor]],L:L)</f>
        <v>12100590</v>
      </c>
    </row>
    <row r="3906" spans="1:20" x14ac:dyDescent="0.3">
      <c r="A3906" t="s">
        <v>5802</v>
      </c>
      <c r="B3906" t="s">
        <v>131</v>
      </c>
      <c r="C3906" t="s">
        <v>208</v>
      </c>
      <c r="D3906" t="s">
        <v>5743</v>
      </c>
      <c r="E3906" t="s">
        <v>46</v>
      </c>
      <c r="F3906" t="s">
        <v>166</v>
      </c>
      <c r="G3906" t="s">
        <v>66</v>
      </c>
      <c r="H3906" t="s">
        <v>49</v>
      </c>
      <c r="I3906">
        <v>4500</v>
      </c>
      <c r="J3906">
        <v>5850</v>
      </c>
      <c r="K3906">
        <v>3</v>
      </c>
      <c r="L3906">
        <v>13500</v>
      </c>
      <c r="M3906">
        <v>17550</v>
      </c>
      <c r="N3906" t="s">
        <v>56</v>
      </c>
      <c r="O3906">
        <f t="shared" ref="O3906:O3969" si="122">VLOOKUP(G3906,G:M,7,FALSE)</f>
        <v>1690</v>
      </c>
      <c r="P3906" s="13">
        <f t="shared" ref="P3906:P3969" si="123">SUMIFS(M:M,C:C,C3906)</f>
        <v>2746575</v>
      </c>
      <c r="Q3906" s="13">
        <f>SUMIFS(M:M,E:E,Online_eCommerce[[#This Row],[Status]])</f>
        <v>28620410</v>
      </c>
      <c r="R3906" s="13">
        <f>SUMIFS(L:L,H:H,Online_eCommerce[[#This Row],[Brand]])</f>
        <v>4528350</v>
      </c>
      <c r="S3906" s="13">
        <f>SUMIF(H:H,Online_eCommerce[[#This Row],[Brand]],M:M)</f>
        <v>5886855</v>
      </c>
      <c r="T3906" s="13">
        <f>SUMIF(N:N,Online_eCommerce[[#This Row],[Assigned Supervisor]],L:L)</f>
        <v>11733610</v>
      </c>
    </row>
    <row r="3907" spans="1:20" hidden="1" x14ac:dyDescent="0.3">
      <c r="A3907" t="s">
        <v>5803</v>
      </c>
      <c r="B3907" t="s">
        <v>135</v>
      </c>
      <c r="C3907" t="s">
        <v>211</v>
      </c>
      <c r="D3907" t="s">
        <v>5743</v>
      </c>
      <c r="E3907" t="s">
        <v>96</v>
      </c>
      <c r="F3907" t="s">
        <v>5804</v>
      </c>
      <c r="G3907" t="s">
        <v>54</v>
      </c>
      <c r="H3907" t="s">
        <v>55</v>
      </c>
      <c r="I3907">
        <v>2100</v>
      </c>
      <c r="J3907">
        <v>2730</v>
      </c>
      <c r="K3907">
        <v>2</v>
      </c>
      <c r="L3907">
        <v>4200</v>
      </c>
      <c r="M3907">
        <v>5460</v>
      </c>
      <c r="N3907" t="s">
        <v>22</v>
      </c>
      <c r="O3907">
        <f t="shared" si="122"/>
        <v>2990</v>
      </c>
      <c r="P3907" s="13">
        <f t="shared" si="123"/>
        <v>1809847</v>
      </c>
      <c r="Q3907" s="13">
        <f>SUMIFS(M:M,E:E,Online_eCommerce[[#This Row],[Status]])</f>
        <v>21233992</v>
      </c>
      <c r="R3907" s="13">
        <f>SUMIFS(L:L,H:H,Online_eCommerce[[#This Row],[Brand]])</f>
        <v>2267380</v>
      </c>
      <c r="S3907" s="13">
        <f>SUMIF(H:H,Online_eCommerce[[#This Row],[Brand]],M:M)</f>
        <v>2947594</v>
      </c>
      <c r="T3907" s="13">
        <f>SUMIF(N:N,Online_eCommerce[[#This Row],[Assigned Supervisor]],L:L)</f>
        <v>13693220</v>
      </c>
    </row>
    <row r="3908" spans="1:20" hidden="1" x14ac:dyDescent="0.3">
      <c r="A3908" t="s">
        <v>5805</v>
      </c>
      <c r="B3908" t="s">
        <v>139</v>
      </c>
      <c r="C3908" t="s">
        <v>16</v>
      </c>
      <c r="D3908" t="s">
        <v>5743</v>
      </c>
      <c r="E3908" t="s">
        <v>18</v>
      </c>
      <c r="F3908" t="s">
        <v>174</v>
      </c>
      <c r="G3908" t="s">
        <v>60</v>
      </c>
      <c r="H3908" t="s">
        <v>61</v>
      </c>
      <c r="I3908">
        <v>1150</v>
      </c>
      <c r="J3908">
        <v>1495</v>
      </c>
      <c r="K3908">
        <v>4</v>
      </c>
      <c r="L3908">
        <v>4600</v>
      </c>
      <c r="M3908">
        <v>5980</v>
      </c>
      <c r="N3908" t="s">
        <v>28</v>
      </c>
      <c r="O3908">
        <f t="shared" si="122"/>
        <v>3315</v>
      </c>
      <c r="P3908" s="13">
        <f t="shared" si="123"/>
        <v>2751814</v>
      </c>
      <c r="Q3908" s="13">
        <f>SUMIFS(M:M,E:E,Online_eCommerce[[#This Row],[Status]])</f>
        <v>28340455</v>
      </c>
      <c r="R3908" s="13">
        <f>SUMIFS(L:L,H:H,Online_eCommerce[[#This Row],[Brand]])</f>
        <v>10950150</v>
      </c>
      <c r="S3908" s="13">
        <f>SUMIF(H:H,Online_eCommerce[[#This Row],[Brand]],M:M)</f>
        <v>14235195</v>
      </c>
      <c r="T3908" s="13">
        <f>SUMIF(N:N,Online_eCommerce[[#This Row],[Assigned Supervisor]],L:L)</f>
        <v>12220830</v>
      </c>
    </row>
    <row r="3909" spans="1:20" hidden="1" x14ac:dyDescent="0.3">
      <c r="A3909" t="s">
        <v>5806</v>
      </c>
      <c r="B3909" t="s">
        <v>144</v>
      </c>
      <c r="C3909" t="s">
        <v>24</v>
      </c>
      <c r="D3909" t="s">
        <v>5743</v>
      </c>
      <c r="E3909" t="s">
        <v>161</v>
      </c>
      <c r="F3909" t="s">
        <v>179</v>
      </c>
      <c r="G3909" t="s">
        <v>66</v>
      </c>
      <c r="H3909" t="s">
        <v>21</v>
      </c>
      <c r="I3909">
        <v>350</v>
      </c>
      <c r="J3909">
        <v>455</v>
      </c>
      <c r="K3909">
        <v>3</v>
      </c>
      <c r="L3909">
        <v>1050</v>
      </c>
      <c r="M3909">
        <v>1365</v>
      </c>
      <c r="N3909" t="s">
        <v>35</v>
      </c>
      <c r="O3909">
        <f t="shared" si="122"/>
        <v>1690</v>
      </c>
      <c r="P3909" s="13">
        <f t="shared" si="123"/>
        <v>2009540</v>
      </c>
      <c r="Q3909" s="13">
        <f>SUMIFS(M:M,E:E,Online_eCommerce[[#This Row],[Status]])</f>
        <v>21103186</v>
      </c>
      <c r="R3909" s="13">
        <f>SUMIFS(L:L,H:H,Online_eCommerce[[#This Row],[Brand]])</f>
        <v>12435650</v>
      </c>
      <c r="S3909" s="13">
        <f>SUMIF(H:H,Online_eCommerce[[#This Row],[Brand]],M:M)</f>
        <v>16166345</v>
      </c>
      <c r="T3909" s="13">
        <f>SUMIF(N:N,Online_eCommerce[[#This Row],[Assigned Supervisor]],L:L)</f>
        <v>14373360</v>
      </c>
    </row>
    <row r="3910" spans="1:20" x14ac:dyDescent="0.3">
      <c r="A3910" t="s">
        <v>5807</v>
      </c>
      <c r="B3910" t="s">
        <v>149</v>
      </c>
      <c r="C3910" t="s">
        <v>31</v>
      </c>
      <c r="D3910" t="s">
        <v>5743</v>
      </c>
      <c r="E3910" t="s">
        <v>46</v>
      </c>
      <c r="F3910" t="s">
        <v>183</v>
      </c>
      <c r="G3910" t="s">
        <v>71</v>
      </c>
      <c r="H3910" t="s">
        <v>61</v>
      </c>
      <c r="I3910">
        <v>9500</v>
      </c>
      <c r="J3910">
        <v>12350</v>
      </c>
      <c r="K3910">
        <v>2</v>
      </c>
      <c r="L3910">
        <v>19000</v>
      </c>
      <c r="M3910">
        <v>24700</v>
      </c>
      <c r="N3910" t="s">
        <v>42</v>
      </c>
      <c r="O3910">
        <f t="shared" si="122"/>
        <v>9750</v>
      </c>
      <c r="P3910" s="13">
        <f t="shared" si="123"/>
        <v>2865746</v>
      </c>
      <c r="Q3910" s="13">
        <f>SUMIFS(M:M,E:E,Online_eCommerce[[#This Row],[Status]])</f>
        <v>28620410</v>
      </c>
      <c r="R3910" s="13">
        <f>SUMIFS(L:L,H:H,Online_eCommerce[[#This Row],[Brand]])</f>
        <v>10950150</v>
      </c>
      <c r="S3910" s="13">
        <f>SUMIF(H:H,Online_eCommerce[[#This Row],[Brand]],M:M)</f>
        <v>14235195</v>
      </c>
      <c r="T3910" s="13">
        <f>SUMIF(N:N,Online_eCommerce[[#This Row],[Assigned Supervisor]],L:L)</f>
        <v>12261500</v>
      </c>
    </row>
    <row r="3911" spans="1:20" hidden="1" x14ac:dyDescent="0.3">
      <c r="A3911" t="s">
        <v>5808</v>
      </c>
      <c r="B3911" t="s">
        <v>154</v>
      </c>
      <c r="C3911" t="s">
        <v>38</v>
      </c>
      <c r="D3911" t="s">
        <v>5743</v>
      </c>
      <c r="E3911" t="s">
        <v>96</v>
      </c>
      <c r="F3911" t="s">
        <v>5809</v>
      </c>
      <c r="G3911" t="s">
        <v>77</v>
      </c>
      <c r="H3911" t="s">
        <v>142</v>
      </c>
      <c r="I3911">
        <v>10000</v>
      </c>
      <c r="J3911">
        <v>13000</v>
      </c>
      <c r="K3911">
        <v>1</v>
      </c>
      <c r="L3911">
        <v>10000</v>
      </c>
      <c r="M3911">
        <v>13000</v>
      </c>
      <c r="N3911" t="s">
        <v>35</v>
      </c>
      <c r="O3911">
        <f t="shared" si="122"/>
        <v>39000</v>
      </c>
      <c r="P3911" s="13">
        <f t="shared" si="123"/>
        <v>1933997</v>
      </c>
      <c r="Q3911" s="13">
        <f>SUMIFS(M:M,E:E,Online_eCommerce[[#This Row],[Status]])</f>
        <v>21233992</v>
      </c>
      <c r="R3911" s="13">
        <f>SUMIFS(L:L,H:H,Online_eCommerce[[#This Row],[Brand]])</f>
        <v>6192500</v>
      </c>
      <c r="S3911" s="13">
        <f>SUMIF(H:H,Online_eCommerce[[#This Row],[Brand]],M:M)</f>
        <v>8050250</v>
      </c>
      <c r="T3911" s="13">
        <f>SUMIF(N:N,Online_eCommerce[[#This Row],[Assigned Supervisor]],L:L)</f>
        <v>14373360</v>
      </c>
    </row>
    <row r="3912" spans="1:20" hidden="1" x14ac:dyDescent="0.3">
      <c r="A3912" t="s">
        <v>5810</v>
      </c>
      <c r="B3912" t="s">
        <v>159</v>
      </c>
      <c r="C3912" t="s">
        <v>45</v>
      </c>
      <c r="D3912" t="s">
        <v>5743</v>
      </c>
      <c r="E3912" t="s">
        <v>18</v>
      </c>
      <c r="F3912" t="s">
        <v>5811</v>
      </c>
      <c r="G3912" t="s">
        <v>20</v>
      </c>
      <c r="H3912" t="s">
        <v>21</v>
      </c>
      <c r="I3912">
        <v>6500</v>
      </c>
      <c r="J3912">
        <v>8450</v>
      </c>
      <c r="K3912">
        <v>1</v>
      </c>
      <c r="L3912">
        <v>6500</v>
      </c>
      <c r="M3912">
        <v>8450</v>
      </c>
      <c r="N3912" t="s">
        <v>35</v>
      </c>
      <c r="O3912">
        <f t="shared" si="122"/>
        <v>8450</v>
      </c>
      <c r="P3912" s="13">
        <f t="shared" si="123"/>
        <v>2842554</v>
      </c>
      <c r="Q3912" s="13">
        <f>SUMIFS(M:M,E:E,Online_eCommerce[[#This Row],[Status]])</f>
        <v>28340455</v>
      </c>
      <c r="R3912" s="13">
        <f>SUMIFS(L:L,H:H,Online_eCommerce[[#This Row],[Brand]])</f>
        <v>12435650</v>
      </c>
      <c r="S3912" s="13">
        <f>SUMIF(H:H,Online_eCommerce[[#This Row],[Brand]],M:M)</f>
        <v>16166345</v>
      </c>
      <c r="T3912" s="13">
        <f>SUMIF(N:N,Online_eCommerce[[#This Row],[Assigned Supervisor]],L:L)</f>
        <v>14373360</v>
      </c>
    </row>
    <row r="3913" spans="1:20" hidden="1" x14ac:dyDescent="0.3">
      <c r="A3913" t="s">
        <v>5812</v>
      </c>
      <c r="B3913" t="s">
        <v>139</v>
      </c>
      <c r="C3913" t="s">
        <v>52</v>
      </c>
      <c r="D3913" t="s">
        <v>5743</v>
      </c>
      <c r="E3913" t="s">
        <v>161</v>
      </c>
      <c r="F3913" t="s">
        <v>5813</v>
      </c>
      <c r="G3913" t="s">
        <v>26</v>
      </c>
      <c r="H3913" t="s">
        <v>27</v>
      </c>
      <c r="I3913">
        <v>8500</v>
      </c>
      <c r="J3913">
        <v>11050</v>
      </c>
      <c r="K3913">
        <v>1</v>
      </c>
      <c r="L3913">
        <v>8500</v>
      </c>
      <c r="M3913">
        <v>11050</v>
      </c>
      <c r="N3913" t="s">
        <v>35</v>
      </c>
      <c r="O3913">
        <f t="shared" si="122"/>
        <v>33150</v>
      </c>
      <c r="P3913" s="13">
        <f t="shared" si="123"/>
        <v>1955044</v>
      </c>
      <c r="Q3913" s="13">
        <f>SUMIFS(M:M,E:E,Online_eCommerce[[#This Row],[Status]])</f>
        <v>21103186</v>
      </c>
      <c r="R3913" s="13">
        <f>SUMIFS(L:L,H:H,Online_eCommerce[[#This Row],[Brand]])</f>
        <v>14431000</v>
      </c>
      <c r="S3913" s="13">
        <f>SUMIF(H:H,Online_eCommerce[[#This Row],[Brand]],M:M)</f>
        <v>18760300</v>
      </c>
      <c r="T3913" s="13">
        <f>SUMIF(N:N,Online_eCommerce[[#This Row],[Assigned Supervisor]],L:L)</f>
        <v>14373360</v>
      </c>
    </row>
    <row r="3914" spans="1:20" x14ac:dyDescent="0.3">
      <c r="A3914" t="s">
        <v>5814</v>
      </c>
      <c r="B3914" t="s">
        <v>144</v>
      </c>
      <c r="C3914" t="s">
        <v>58</v>
      </c>
      <c r="D3914" t="s">
        <v>5743</v>
      </c>
      <c r="E3914" t="s">
        <v>46</v>
      </c>
      <c r="F3914" t="s">
        <v>32</v>
      </c>
      <c r="G3914" t="s">
        <v>33</v>
      </c>
      <c r="H3914" t="s">
        <v>34</v>
      </c>
      <c r="I3914">
        <v>7000</v>
      </c>
      <c r="J3914">
        <v>9100</v>
      </c>
      <c r="K3914">
        <v>2</v>
      </c>
      <c r="L3914">
        <v>14000</v>
      </c>
      <c r="M3914">
        <v>18200</v>
      </c>
      <c r="N3914" t="s">
        <v>35</v>
      </c>
      <c r="O3914">
        <f t="shared" si="122"/>
        <v>18200</v>
      </c>
      <c r="P3914" s="13">
        <f t="shared" si="123"/>
        <v>2629211</v>
      </c>
      <c r="Q3914" s="13">
        <f>SUMIFS(M:M,E:E,Online_eCommerce[[#This Row],[Status]])</f>
        <v>28620410</v>
      </c>
      <c r="R3914" s="13">
        <f>SUMIFS(L:L,H:H,Online_eCommerce[[#This Row],[Brand]])</f>
        <v>10087000</v>
      </c>
      <c r="S3914" s="13">
        <f>SUMIF(H:H,Online_eCommerce[[#This Row],[Brand]],M:M)</f>
        <v>13113100</v>
      </c>
      <c r="T3914" s="13">
        <f>SUMIF(N:N,Online_eCommerce[[#This Row],[Assigned Supervisor]],L:L)</f>
        <v>14373360</v>
      </c>
    </row>
    <row r="3915" spans="1:20" hidden="1" x14ac:dyDescent="0.3">
      <c r="A3915" t="s">
        <v>5815</v>
      </c>
      <c r="B3915" t="s">
        <v>235</v>
      </c>
      <c r="C3915" t="s">
        <v>63</v>
      </c>
      <c r="D3915" t="s">
        <v>5743</v>
      </c>
      <c r="E3915" t="s">
        <v>96</v>
      </c>
      <c r="F3915" t="s">
        <v>5816</v>
      </c>
      <c r="G3915" t="s">
        <v>163</v>
      </c>
      <c r="H3915" t="s">
        <v>41</v>
      </c>
      <c r="I3915">
        <v>6550</v>
      </c>
      <c r="J3915">
        <v>8515</v>
      </c>
      <c r="K3915">
        <v>2</v>
      </c>
      <c r="L3915">
        <v>13100</v>
      </c>
      <c r="M3915">
        <v>17030</v>
      </c>
      <c r="N3915" t="s">
        <v>35</v>
      </c>
      <c r="O3915">
        <f t="shared" si="122"/>
        <v>13650</v>
      </c>
      <c r="P3915" s="13">
        <f t="shared" si="123"/>
        <v>2016131</v>
      </c>
      <c r="Q3915" s="13">
        <f>SUMIFS(M:M,E:E,Online_eCommerce[[#This Row],[Status]])</f>
        <v>21233992</v>
      </c>
      <c r="R3915" s="13">
        <f>SUMIFS(L:L,H:H,Online_eCommerce[[#This Row],[Brand]])</f>
        <v>4260400</v>
      </c>
      <c r="S3915" s="13">
        <f>SUMIF(H:H,Online_eCommerce[[#This Row],[Brand]],M:M)</f>
        <v>5538520</v>
      </c>
      <c r="T3915" s="13">
        <f>SUMIF(N:N,Online_eCommerce[[#This Row],[Assigned Supervisor]],L:L)</f>
        <v>14373360</v>
      </c>
    </row>
    <row r="3916" spans="1:20" hidden="1" x14ac:dyDescent="0.3">
      <c r="A3916" t="s">
        <v>5817</v>
      </c>
      <c r="B3916" t="s">
        <v>176</v>
      </c>
      <c r="C3916" t="s">
        <v>68</v>
      </c>
      <c r="D3916" t="s">
        <v>5743</v>
      </c>
      <c r="E3916" t="s">
        <v>18</v>
      </c>
      <c r="F3916" t="s">
        <v>47</v>
      </c>
      <c r="G3916" t="s">
        <v>66</v>
      </c>
      <c r="H3916" t="s">
        <v>49</v>
      </c>
      <c r="I3916">
        <v>7650</v>
      </c>
      <c r="J3916">
        <v>9945</v>
      </c>
      <c r="K3916">
        <v>3</v>
      </c>
      <c r="L3916">
        <v>22950</v>
      </c>
      <c r="M3916">
        <v>29835</v>
      </c>
      <c r="N3916" t="s">
        <v>35</v>
      </c>
      <c r="O3916">
        <f t="shared" si="122"/>
        <v>1690</v>
      </c>
      <c r="P3916" s="13">
        <f t="shared" si="123"/>
        <v>2974621</v>
      </c>
      <c r="Q3916" s="13">
        <f>SUMIFS(M:M,E:E,Online_eCommerce[[#This Row],[Status]])</f>
        <v>28340455</v>
      </c>
      <c r="R3916" s="13">
        <f>SUMIFS(L:L,H:H,Online_eCommerce[[#This Row],[Brand]])</f>
        <v>4528350</v>
      </c>
      <c r="S3916" s="13">
        <f>SUMIF(H:H,Online_eCommerce[[#This Row],[Brand]],M:M)</f>
        <v>5886855</v>
      </c>
      <c r="T3916" s="13">
        <f>SUMIF(N:N,Online_eCommerce[[#This Row],[Assigned Supervisor]],L:L)</f>
        <v>14373360</v>
      </c>
    </row>
    <row r="3917" spans="1:20" hidden="1" x14ac:dyDescent="0.3">
      <c r="A3917" t="s">
        <v>5818</v>
      </c>
      <c r="B3917" t="s">
        <v>276</v>
      </c>
      <c r="C3917" t="s">
        <v>74</v>
      </c>
      <c r="D3917" t="s">
        <v>5743</v>
      </c>
      <c r="E3917" t="s">
        <v>161</v>
      </c>
      <c r="F3917" t="s">
        <v>53</v>
      </c>
      <c r="G3917" t="s">
        <v>54</v>
      </c>
      <c r="H3917" t="s">
        <v>55</v>
      </c>
      <c r="I3917">
        <v>1150</v>
      </c>
      <c r="J3917">
        <v>1495</v>
      </c>
      <c r="K3917">
        <v>4</v>
      </c>
      <c r="L3917">
        <v>4600</v>
      </c>
      <c r="M3917">
        <v>5980</v>
      </c>
      <c r="N3917" t="s">
        <v>35</v>
      </c>
      <c r="O3917">
        <f t="shared" si="122"/>
        <v>2990</v>
      </c>
      <c r="P3917" s="13">
        <f t="shared" si="123"/>
        <v>2144701</v>
      </c>
      <c r="Q3917" s="13">
        <f>SUMIFS(M:M,E:E,Online_eCommerce[[#This Row],[Status]])</f>
        <v>21103186</v>
      </c>
      <c r="R3917" s="13">
        <f>SUMIFS(L:L,H:H,Online_eCommerce[[#This Row],[Brand]])</f>
        <v>2267380</v>
      </c>
      <c r="S3917" s="13">
        <f>SUMIF(H:H,Online_eCommerce[[#This Row],[Brand]],M:M)</f>
        <v>2947594</v>
      </c>
      <c r="T3917" s="13">
        <f>SUMIF(N:N,Online_eCommerce[[#This Row],[Assigned Supervisor]],L:L)</f>
        <v>14373360</v>
      </c>
    </row>
    <row r="3918" spans="1:20" x14ac:dyDescent="0.3">
      <c r="A3918" t="s">
        <v>5819</v>
      </c>
      <c r="B3918" t="s">
        <v>280</v>
      </c>
      <c r="C3918" t="s">
        <v>81</v>
      </c>
      <c r="D3918" t="s">
        <v>5743</v>
      </c>
      <c r="E3918" t="s">
        <v>46</v>
      </c>
      <c r="F3918" t="s">
        <v>59</v>
      </c>
      <c r="G3918" t="s">
        <v>60</v>
      </c>
      <c r="H3918" t="s">
        <v>61</v>
      </c>
      <c r="I3918">
        <v>850</v>
      </c>
      <c r="J3918">
        <v>1105</v>
      </c>
      <c r="K3918">
        <v>4</v>
      </c>
      <c r="L3918">
        <v>3400</v>
      </c>
      <c r="M3918">
        <v>4420</v>
      </c>
      <c r="N3918" t="s">
        <v>35</v>
      </c>
      <c r="O3918">
        <f t="shared" si="122"/>
        <v>3315</v>
      </c>
      <c r="P3918" s="13">
        <f t="shared" si="123"/>
        <v>2595632</v>
      </c>
      <c r="Q3918" s="13">
        <f>SUMIFS(M:M,E:E,Online_eCommerce[[#This Row],[Status]])</f>
        <v>28620410</v>
      </c>
      <c r="R3918" s="13">
        <f>SUMIFS(L:L,H:H,Online_eCommerce[[#This Row],[Brand]])</f>
        <v>10950150</v>
      </c>
      <c r="S3918" s="13">
        <f>SUMIF(H:H,Online_eCommerce[[#This Row],[Brand]],M:M)</f>
        <v>14235195</v>
      </c>
      <c r="T3918" s="13">
        <f>SUMIF(N:N,Online_eCommerce[[#This Row],[Assigned Supervisor]],L:L)</f>
        <v>14373360</v>
      </c>
    </row>
    <row r="3919" spans="1:20" hidden="1" x14ac:dyDescent="0.3">
      <c r="A3919" t="s">
        <v>5820</v>
      </c>
      <c r="B3919" t="s">
        <v>283</v>
      </c>
      <c r="C3919" t="s">
        <v>86</v>
      </c>
      <c r="D3919" t="s">
        <v>5743</v>
      </c>
      <c r="E3919" t="s">
        <v>96</v>
      </c>
      <c r="F3919" t="s">
        <v>65</v>
      </c>
      <c r="G3919" t="s">
        <v>66</v>
      </c>
      <c r="H3919" t="s">
        <v>21</v>
      </c>
      <c r="I3919">
        <v>650</v>
      </c>
      <c r="J3919">
        <v>845</v>
      </c>
      <c r="K3919">
        <v>2</v>
      </c>
      <c r="L3919">
        <v>1300</v>
      </c>
      <c r="M3919">
        <v>1690</v>
      </c>
      <c r="N3919" t="s">
        <v>35</v>
      </c>
      <c r="O3919">
        <f t="shared" si="122"/>
        <v>1690</v>
      </c>
      <c r="P3919" s="13">
        <f t="shared" si="123"/>
        <v>1941225</v>
      </c>
      <c r="Q3919" s="13">
        <f>SUMIFS(M:M,E:E,Online_eCommerce[[#This Row],[Status]])</f>
        <v>21233992</v>
      </c>
      <c r="R3919" s="13">
        <f>SUMIFS(L:L,H:H,Online_eCommerce[[#This Row],[Brand]])</f>
        <v>12435650</v>
      </c>
      <c r="S3919" s="13">
        <f>SUMIF(H:H,Online_eCommerce[[#This Row],[Brand]],M:M)</f>
        <v>16166345</v>
      </c>
      <c r="T3919" s="13">
        <f>SUMIF(N:N,Online_eCommerce[[#This Row],[Assigned Supervisor]],L:L)</f>
        <v>14373360</v>
      </c>
    </row>
    <row r="3920" spans="1:20" hidden="1" x14ac:dyDescent="0.3">
      <c r="A3920" t="s">
        <v>5821</v>
      </c>
      <c r="B3920" t="s">
        <v>287</v>
      </c>
      <c r="C3920" t="s">
        <v>91</v>
      </c>
      <c r="D3920" t="s">
        <v>5743</v>
      </c>
      <c r="E3920" t="s">
        <v>18</v>
      </c>
      <c r="F3920" t="s">
        <v>70</v>
      </c>
      <c r="G3920" t="s">
        <v>71</v>
      </c>
      <c r="H3920" t="s">
        <v>61</v>
      </c>
      <c r="I3920">
        <v>7500</v>
      </c>
      <c r="J3920">
        <v>9750</v>
      </c>
      <c r="K3920">
        <v>2</v>
      </c>
      <c r="L3920">
        <v>15000</v>
      </c>
      <c r="M3920">
        <v>19500</v>
      </c>
      <c r="N3920" t="s">
        <v>35</v>
      </c>
      <c r="O3920">
        <f t="shared" si="122"/>
        <v>9750</v>
      </c>
      <c r="P3920" s="13">
        <f t="shared" si="123"/>
        <v>2731963</v>
      </c>
      <c r="Q3920" s="13">
        <f>SUMIFS(M:M,E:E,Online_eCommerce[[#This Row],[Status]])</f>
        <v>28340455</v>
      </c>
      <c r="R3920" s="13">
        <f>SUMIFS(L:L,H:H,Online_eCommerce[[#This Row],[Brand]])</f>
        <v>10950150</v>
      </c>
      <c r="S3920" s="13">
        <f>SUMIF(H:H,Online_eCommerce[[#This Row],[Brand]],M:M)</f>
        <v>14235195</v>
      </c>
      <c r="T3920" s="13">
        <f>SUMIF(N:N,Online_eCommerce[[#This Row],[Assigned Supervisor]],L:L)</f>
        <v>14373360</v>
      </c>
    </row>
    <row r="3921" spans="1:20" hidden="1" x14ac:dyDescent="0.3">
      <c r="A3921" t="s">
        <v>5822</v>
      </c>
      <c r="B3921" t="s">
        <v>290</v>
      </c>
      <c r="C3921" t="s">
        <v>94</v>
      </c>
      <c r="D3921" t="s">
        <v>5823</v>
      </c>
      <c r="E3921" t="s">
        <v>161</v>
      </c>
      <c r="F3921" t="s">
        <v>5809</v>
      </c>
      <c r="G3921" t="s">
        <v>77</v>
      </c>
      <c r="H3921" t="s">
        <v>78</v>
      </c>
      <c r="I3921">
        <v>10000</v>
      </c>
      <c r="J3921">
        <v>13000</v>
      </c>
      <c r="K3921">
        <v>3</v>
      </c>
      <c r="L3921">
        <v>30000</v>
      </c>
      <c r="M3921">
        <v>39000</v>
      </c>
      <c r="N3921" t="s">
        <v>35</v>
      </c>
      <c r="O3921">
        <f t="shared" si="122"/>
        <v>39000</v>
      </c>
      <c r="P3921" s="13">
        <f t="shared" si="123"/>
        <v>1868256</v>
      </c>
      <c r="Q3921" s="13">
        <f>SUMIFS(M:M,E:E,Online_eCommerce[[#This Row],[Status]])</f>
        <v>21103186</v>
      </c>
      <c r="R3921" s="13">
        <f>SUMIFS(L:L,H:H,Online_eCommerce[[#This Row],[Brand]])</f>
        <v>3720000</v>
      </c>
      <c r="S3921" s="13">
        <f>SUMIF(H:H,Online_eCommerce[[#This Row],[Brand]],M:M)</f>
        <v>4836000</v>
      </c>
      <c r="T3921" s="13">
        <f>SUMIF(N:N,Online_eCommerce[[#This Row],[Assigned Supervisor]],L:L)</f>
        <v>14373360</v>
      </c>
    </row>
    <row r="3922" spans="1:20" x14ac:dyDescent="0.3">
      <c r="A3922" t="s">
        <v>5824</v>
      </c>
      <c r="B3922" t="s">
        <v>15</v>
      </c>
      <c r="C3922" t="s">
        <v>99</v>
      </c>
      <c r="D3922" t="s">
        <v>5825</v>
      </c>
      <c r="E3922" t="s">
        <v>46</v>
      </c>
      <c r="F3922" t="s">
        <v>5826</v>
      </c>
      <c r="G3922" t="s">
        <v>20</v>
      </c>
      <c r="H3922" t="s">
        <v>21</v>
      </c>
      <c r="I3922">
        <v>10500</v>
      </c>
      <c r="J3922">
        <v>13650</v>
      </c>
      <c r="K3922">
        <v>3</v>
      </c>
      <c r="L3922">
        <v>31500</v>
      </c>
      <c r="M3922">
        <v>40950</v>
      </c>
      <c r="N3922" t="s">
        <v>42</v>
      </c>
      <c r="O3922">
        <f t="shared" si="122"/>
        <v>8450</v>
      </c>
      <c r="P3922" s="13">
        <f t="shared" si="123"/>
        <v>2651233</v>
      </c>
      <c r="Q3922" s="13">
        <f>SUMIFS(M:M,E:E,Online_eCommerce[[#This Row],[Status]])</f>
        <v>28620410</v>
      </c>
      <c r="R3922" s="13">
        <f>SUMIFS(L:L,H:H,Online_eCommerce[[#This Row],[Brand]])</f>
        <v>12435650</v>
      </c>
      <c r="S3922" s="13">
        <f>SUMIF(H:H,Online_eCommerce[[#This Row],[Brand]],M:M)</f>
        <v>16166345</v>
      </c>
      <c r="T3922" s="13">
        <f>SUMIF(N:N,Online_eCommerce[[#This Row],[Assigned Supervisor]],L:L)</f>
        <v>12261500</v>
      </c>
    </row>
    <row r="3923" spans="1:20" hidden="1" x14ac:dyDescent="0.3">
      <c r="A3923" t="s">
        <v>5827</v>
      </c>
      <c r="B3923" t="s">
        <v>202</v>
      </c>
      <c r="C3923" t="s">
        <v>105</v>
      </c>
      <c r="D3923" t="s">
        <v>5828</v>
      </c>
      <c r="E3923" t="s">
        <v>96</v>
      </c>
      <c r="F3923" t="s">
        <v>88</v>
      </c>
      <c r="G3923" t="s">
        <v>26</v>
      </c>
      <c r="H3923" t="s">
        <v>27</v>
      </c>
      <c r="I3923">
        <v>8500</v>
      </c>
      <c r="J3923">
        <v>11050</v>
      </c>
      <c r="K3923">
        <v>1</v>
      </c>
      <c r="L3923">
        <v>8500</v>
      </c>
      <c r="M3923">
        <v>11050</v>
      </c>
      <c r="N3923" t="s">
        <v>50</v>
      </c>
      <c r="O3923">
        <f t="shared" si="122"/>
        <v>33150</v>
      </c>
      <c r="P3923" s="13">
        <f t="shared" si="123"/>
        <v>1866852</v>
      </c>
      <c r="Q3923" s="13">
        <f>SUMIFS(M:M,E:E,Online_eCommerce[[#This Row],[Status]])</f>
        <v>21233992</v>
      </c>
      <c r="R3923" s="13">
        <f>SUMIFS(L:L,H:H,Online_eCommerce[[#This Row],[Brand]])</f>
        <v>14431000</v>
      </c>
      <c r="S3923" s="13">
        <f>SUMIF(H:H,Online_eCommerce[[#This Row],[Brand]],M:M)</f>
        <v>18760300</v>
      </c>
      <c r="T3923" s="13">
        <f>SUMIF(N:N,Online_eCommerce[[#This Row],[Assigned Supervisor]],L:L)</f>
        <v>12100590</v>
      </c>
    </row>
    <row r="3924" spans="1:20" hidden="1" x14ac:dyDescent="0.3">
      <c r="A3924" t="s">
        <v>5829</v>
      </c>
      <c r="B3924" t="s">
        <v>30</v>
      </c>
      <c r="C3924" t="s">
        <v>110</v>
      </c>
      <c r="D3924" t="s">
        <v>5828</v>
      </c>
      <c r="E3924" t="s">
        <v>18</v>
      </c>
      <c r="F3924" t="s">
        <v>32</v>
      </c>
      <c r="G3924" t="s">
        <v>33</v>
      </c>
      <c r="H3924" t="s">
        <v>34</v>
      </c>
      <c r="I3924">
        <v>7000</v>
      </c>
      <c r="J3924">
        <v>9100</v>
      </c>
      <c r="K3924">
        <v>1</v>
      </c>
      <c r="L3924">
        <v>7000</v>
      </c>
      <c r="M3924">
        <v>9100</v>
      </c>
      <c r="N3924" t="s">
        <v>56</v>
      </c>
      <c r="O3924">
        <f t="shared" si="122"/>
        <v>18200</v>
      </c>
      <c r="P3924" s="13">
        <f t="shared" si="123"/>
        <v>2598635</v>
      </c>
      <c r="Q3924" s="13">
        <f>SUMIFS(M:M,E:E,Online_eCommerce[[#This Row],[Status]])</f>
        <v>28340455</v>
      </c>
      <c r="R3924" s="13">
        <f>SUMIFS(L:L,H:H,Online_eCommerce[[#This Row],[Brand]])</f>
        <v>10087000</v>
      </c>
      <c r="S3924" s="13">
        <f>SUMIF(H:H,Online_eCommerce[[#This Row],[Brand]],M:M)</f>
        <v>13113100</v>
      </c>
      <c r="T3924" s="13">
        <f>SUMIF(N:N,Online_eCommerce[[#This Row],[Assigned Supervisor]],L:L)</f>
        <v>11733610</v>
      </c>
    </row>
    <row r="3925" spans="1:20" hidden="1" x14ac:dyDescent="0.3">
      <c r="A3925" t="s">
        <v>5830</v>
      </c>
      <c r="B3925" t="s">
        <v>37</v>
      </c>
      <c r="C3925" t="s">
        <v>115</v>
      </c>
      <c r="D3925" t="s">
        <v>5828</v>
      </c>
      <c r="E3925" t="s">
        <v>161</v>
      </c>
      <c r="F3925" t="s">
        <v>5831</v>
      </c>
      <c r="G3925" t="s">
        <v>163</v>
      </c>
      <c r="H3925" t="s">
        <v>41</v>
      </c>
      <c r="I3925">
        <v>1680</v>
      </c>
      <c r="J3925">
        <v>2184</v>
      </c>
      <c r="K3925">
        <v>4</v>
      </c>
      <c r="L3925">
        <v>6720</v>
      </c>
      <c r="M3925">
        <v>8736</v>
      </c>
      <c r="N3925" t="s">
        <v>22</v>
      </c>
      <c r="O3925">
        <f t="shared" si="122"/>
        <v>13650</v>
      </c>
      <c r="P3925" s="13">
        <f t="shared" si="123"/>
        <v>2050178</v>
      </c>
      <c r="Q3925" s="13">
        <f>SUMIFS(M:M,E:E,Online_eCommerce[[#This Row],[Status]])</f>
        <v>21103186</v>
      </c>
      <c r="R3925" s="13">
        <f>SUMIFS(L:L,H:H,Online_eCommerce[[#This Row],[Brand]])</f>
        <v>4260400</v>
      </c>
      <c r="S3925" s="13">
        <f>SUMIF(H:H,Online_eCommerce[[#This Row],[Brand]],M:M)</f>
        <v>5538520</v>
      </c>
      <c r="T3925" s="13">
        <f>SUMIF(N:N,Online_eCommerce[[#This Row],[Assigned Supervisor]],L:L)</f>
        <v>13693220</v>
      </c>
    </row>
    <row r="3926" spans="1:20" x14ac:dyDescent="0.3">
      <c r="A3926" t="s">
        <v>5832</v>
      </c>
      <c r="B3926" t="s">
        <v>44</v>
      </c>
      <c r="C3926" t="s">
        <v>120</v>
      </c>
      <c r="D3926" t="s">
        <v>5828</v>
      </c>
      <c r="E3926" t="s">
        <v>46</v>
      </c>
      <c r="F3926" t="s">
        <v>101</v>
      </c>
      <c r="G3926" t="s">
        <v>66</v>
      </c>
      <c r="H3926" t="s">
        <v>102</v>
      </c>
      <c r="I3926">
        <v>6540</v>
      </c>
      <c r="J3926">
        <v>8502</v>
      </c>
      <c r="K3926">
        <v>2</v>
      </c>
      <c r="L3926">
        <v>13080</v>
      </c>
      <c r="M3926">
        <v>17004</v>
      </c>
      <c r="N3926" t="s">
        <v>28</v>
      </c>
      <c r="O3926">
        <f t="shared" si="122"/>
        <v>1690</v>
      </c>
      <c r="P3926" s="13">
        <f t="shared" si="123"/>
        <v>2734212</v>
      </c>
      <c r="Q3926" s="13">
        <f>SUMIFS(M:M,E:E,Online_eCommerce[[#This Row],[Status]])</f>
        <v>28620410</v>
      </c>
      <c r="R3926" s="13">
        <f>SUMIFS(L:L,H:H,Online_eCommerce[[#This Row],[Brand]])</f>
        <v>2465580</v>
      </c>
      <c r="S3926" s="13">
        <f>SUMIF(H:H,Online_eCommerce[[#This Row],[Brand]],M:M)</f>
        <v>3205254</v>
      </c>
      <c r="T3926" s="13">
        <f>SUMIF(N:N,Online_eCommerce[[#This Row],[Assigned Supervisor]],L:L)</f>
        <v>12220830</v>
      </c>
    </row>
    <row r="3927" spans="1:20" hidden="1" x14ac:dyDescent="0.3">
      <c r="A3927" t="s">
        <v>5833</v>
      </c>
      <c r="B3927" t="s">
        <v>213</v>
      </c>
      <c r="C3927" t="s">
        <v>125</v>
      </c>
      <c r="D3927" t="s">
        <v>5828</v>
      </c>
      <c r="E3927" t="s">
        <v>96</v>
      </c>
      <c r="F3927" t="s">
        <v>107</v>
      </c>
      <c r="G3927" t="s">
        <v>54</v>
      </c>
      <c r="H3927" t="s">
        <v>55</v>
      </c>
      <c r="I3927">
        <v>2680</v>
      </c>
      <c r="J3927">
        <v>3484</v>
      </c>
      <c r="K3927">
        <v>3</v>
      </c>
      <c r="L3927">
        <v>8040</v>
      </c>
      <c r="M3927">
        <v>10452</v>
      </c>
      <c r="N3927" t="s">
        <v>35</v>
      </c>
      <c r="O3927">
        <f t="shared" si="122"/>
        <v>2990</v>
      </c>
      <c r="P3927" s="13">
        <f t="shared" si="123"/>
        <v>2091154</v>
      </c>
      <c r="Q3927" s="13">
        <f>SUMIFS(M:M,E:E,Online_eCommerce[[#This Row],[Status]])</f>
        <v>21233992</v>
      </c>
      <c r="R3927" s="13">
        <f>SUMIFS(L:L,H:H,Online_eCommerce[[#This Row],[Brand]])</f>
        <v>2267380</v>
      </c>
      <c r="S3927" s="13">
        <f>SUMIF(H:H,Online_eCommerce[[#This Row],[Brand]],M:M)</f>
        <v>2947594</v>
      </c>
      <c r="T3927" s="13">
        <f>SUMIF(N:N,Online_eCommerce[[#This Row],[Assigned Supervisor]],L:L)</f>
        <v>14373360</v>
      </c>
    </row>
    <row r="3928" spans="1:20" hidden="1" x14ac:dyDescent="0.3">
      <c r="A3928" t="s">
        <v>5834</v>
      </c>
      <c r="B3928" t="s">
        <v>215</v>
      </c>
      <c r="C3928" t="s">
        <v>22</v>
      </c>
      <c r="D3928" t="s">
        <v>5828</v>
      </c>
      <c r="E3928" t="s">
        <v>18</v>
      </c>
      <c r="F3928" t="s">
        <v>112</v>
      </c>
      <c r="G3928" t="s">
        <v>71</v>
      </c>
      <c r="H3928" t="s">
        <v>21</v>
      </c>
      <c r="I3928">
        <v>8250</v>
      </c>
      <c r="J3928">
        <v>10725</v>
      </c>
      <c r="K3928">
        <v>4</v>
      </c>
      <c r="L3928">
        <v>33000</v>
      </c>
      <c r="M3928">
        <v>42900</v>
      </c>
      <c r="N3928" t="s">
        <v>42</v>
      </c>
      <c r="O3928">
        <f t="shared" si="122"/>
        <v>9750</v>
      </c>
      <c r="P3928" s="13">
        <f t="shared" si="123"/>
        <v>2551588</v>
      </c>
      <c r="Q3928" s="13">
        <f>SUMIFS(M:M,E:E,Online_eCommerce[[#This Row],[Status]])</f>
        <v>28340455</v>
      </c>
      <c r="R3928" s="13">
        <f>SUMIFS(L:L,H:H,Online_eCommerce[[#This Row],[Brand]])</f>
        <v>12435650</v>
      </c>
      <c r="S3928" s="13">
        <f>SUMIF(H:H,Online_eCommerce[[#This Row],[Brand]],M:M)</f>
        <v>16166345</v>
      </c>
      <c r="T3928" s="13">
        <f>SUMIF(N:N,Online_eCommerce[[#This Row],[Assigned Supervisor]],L:L)</f>
        <v>12261500</v>
      </c>
    </row>
    <row r="3929" spans="1:20" hidden="1" x14ac:dyDescent="0.3">
      <c r="A3929" t="s">
        <v>5835</v>
      </c>
      <c r="B3929" t="s">
        <v>306</v>
      </c>
      <c r="C3929" t="s">
        <v>132</v>
      </c>
      <c r="D3929" t="s">
        <v>5828</v>
      </c>
      <c r="E3929" t="s">
        <v>161</v>
      </c>
      <c r="F3929" t="s">
        <v>5478</v>
      </c>
      <c r="G3929" t="s">
        <v>40</v>
      </c>
      <c r="H3929" t="s">
        <v>21</v>
      </c>
      <c r="I3929">
        <v>2650</v>
      </c>
      <c r="J3929">
        <v>3445</v>
      </c>
      <c r="K3929">
        <v>1</v>
      </c>
      <c r="L3929">
        <v>2650</v>
      </c>
      <c r="M3929">
        <v>3445</v>
      </c>
      <c r="N3929" t="s">
        <v>50</v>
      </c>
      <c r="O3929">
        <f t="shared" si="122"/>
        <v>25545</v>
      </c>
      <c r="P3929" s="13">
        <f t="shared" si="123"/>
        <v>1989065</v>
      </c>
      <c r="Q3929" s="13">
        <f>SUMIFS(M:M,E:E,Online_eCommerce[[#This Row],[Status]])</f>
        <v>21103186</v>
      </c>
      <c r="R3929" s="13">
        <f>SUMIFS(L:L,H:H,Online_eCommerce[[#This Row],[Brand]])</f>
        <v>12435650</v>
      </c>
      <c r="S3929" s="13">
        <f>SUMIF(H:H,Online_eCommerce[[#This Row],[Brand]],M:M)</f>
        <v>16166345</v>
      </c>
      <c r="T3929" s="13">
        <f>SUMIF(N:N,Online_eCommerce[[#This Row],[Assigned Supervisor]],L:L)</f>
        <v>12100590</v>
      </c>
    </row>
    <row r="3930" spans="1:20" x14ac:dyDescent="0.3">
      <c r="A3930" t="s">
        <v>5836</v>
      </c>
      <c r="B3930" t="s">
        <v>528</v>
      </c>
      <c r="C3930" t="s">
        <v>136</v>
      </c>
      <c r="D3930" t="s">
        <v>5828</v>
      </c>
      <c r="E3930" t="s">
        <v>46</v>
      </c>
      <c r="F3930" t="s">
        <v>121</v>
      </c>
      <c r="G3930" t="s">
        <v>71</v>
      </c>
      <c r="H3930" t="s">
        <v>122</v>
      </c>
      <c r="I3930">
        <v>12550</v>
      </c>
      <c r="J3930">
        <v>16315</v>
      </c>
      <c r="K3930">
        <v>2</v>
      </c>
      <c r="L3930">
        <v>25100</v>
      </c>
      <c r="M3930">
        <v>32630</v>
      </c>
      <c r="N3930" t="s">
        <v>56</v>
      </c>
      <c r="O3930">
        <f t="shared" si="122"/>
        <v>9750</v>
      </c>
      <c r="P3930" s="13">
        <f t="shared" si="123"/>
        <v>2775162</v>
      </c>
      <c r="Q3930" s="13">
        <f>SUMIFS(M:M,E:E,Online_eCommerce[[#This Row],[Status]])</f>
        <v>28620410</v>
      </c>
      <c r="R3930" s="13">
        <f>SUMIFS(L:L,H:H,Online_eCommerce[[#This Row],[Brand]])</f>
        <v>5045100</v>
      </c>
      <c r="S3930" s="13">
        <f>SUMIF(H:H,Online_eCommerce[[#This Row],[Brand]],M:M)</f>
        <v>6558630</v>
      </c>
      <c r="T3930" s="13">
        <f>SUMIF(N:N,Online_eCommerce[[#This Row],[Assigned Supervisor]],L:L)</f>
        <v>11733610</v>
      </c>
    </row>
    <row r="3931" spans="1:20" hidden="1" x14ac:dyDescent="0.3">
      <c r="A3931" t="s">
        <v>5837</v>
      </c>
      <c r="B3931" t="s">
        <v>73</v>
      </c>
      <c r="C3931" t="s">
        <v>140</v>
      </c>
      <c r="D3931" t="s">
        <v>5828</v>
      </c>
      <c r="E3931" t="s">
        <v>96</v>
      </c>
      <c r="F3931" t="s">
        <v>126</v>
      </c>
      <c r="G3931" t="s">
        <v>26</v>
      </c>
      <c r="H3931" t="s">
        <v>27</v>
      </c>
      <c r="I3931">
        <v>14500</v>
      </c>
      <c r="J3931">
        <v>18850</v>
      </c>
      <c r="K3931">
        <v>1</v>
      </c>
      <c r="L3931">
        <v>14500</v>
      </c>
      <c r="M3931">
        <v>18850</v>
      </c>
      <c r="N3931" t="s">
        <v>22</v>
      </c>
      <c r="O3931">
        <f t="shared" si="122"/>
        <v>33150</v>
      </c>
      <c r="P3931" s="13">
        <f t="shared" si="123"/>
        <v>2058264</v>
      </c>
      <c r="Q3931" s="13">
        <f>SUMIFS(M:M,E:E,Online_eCommerce[[#This Row],[Status]])</f>
        <v>21233992</v>
      </c>
      <c r="R3931" s="13">
        <f>SUMIFS(L:L,H:H,Online_eCommerce[[#This Row],[Brand]])</f>
        <v>14431000</v>
      </c>
      <c r="S3931" s="13">
        <f>SUMIF(H:H,Online_eCommerce[[#This Row],[Brand]],M:M)</f>
        <v>18760300</v>
      </c>
      <c r="T3931" s="13">
        <f>SUMIF(N:N,Online_eCommerce[[#This Row],[Assigned Supervisor]],L:L)</f>
        <v>13693220</v>
      </c>
    </row>
    <row r="3932" spans="1:20" hidden="1" x14ac:dyDescent="0.3">
      <c r="A3932" t="s">
        <v>5838</v>
      </c>
      <c r="B3932" t="s">
        <v>80</v>
      </c>
      <c r="C3932" t="s">
        <v>145</v>
      </c>
      <c r="D3932" t="s">
        <v>5828</v>
      </c>
      <c r="E3932" t="s">
        <v>18</v>
      </c>
      <c r="F3932" t="s">
        <v>129</v>
      </c>
      <c r="G3932" t="s">
        <v>60</v>
      </c>
      <c r="H3932" t="s">
        <v>61</v>
      </c>
      <c r="I3932">
        <v>800</v>
      </c>
      <c r="J3932">
        <v>1040</v>
      </c>
      <c r="K3932">
        <v>2</v>
      </c>
      <c r="L3932">
        <v>1600</v>
      </c>
      <c r="M3932">
        <v>2080</v>
      </c>
      <c r="N3932" t="s">
        <v>28</v>
      </c>
      <c r="O3932">
        <f t="shared" si="122"/>
        <v>3315</v>
      </c>
      <c r="P3932" s="13">
        <f t="shared" si="123"/>
        <v>2757859</v>
      </c>
      <c r="Q3932" s="13">
        <f>SUMIFS(M:M,E:E,Online_eCommerce[[#This Row],[Status]])</f>
        <v>28340455</v>
      </c>
      <c r="R3932" s="13">
        <f>SUMIFS(L:L,H:H,Online_eCommerce[[#This Row],[Brand]])</f>
        <v>10950150</v>
      </c>
      <c r="S3932" s="13">
        <f>SUMIF(H:H,Online_eCommerce[[#This Row],[Brand]],M:M)</f>
        <v>14235195</v>
      </c>
      <c r="T3932" s="13">
        <f>SUMIF(N:N,Online_eCommerce[[#This Row],[Assigned Supervisor]],L:L)</f>
        <v>12220830</v>
      </c>
    </row>
    <row r="3933" spans="1:20" hidden="1" x14ac:dyDescent="0.3">
      <c r="A3933" t="s">
        <v>5839</v>
      </c>
      <c r="B3933" t="s">
        <v>85</v>
      </c>
      <c r="C3933" t="s">
        <v>150</v>
      </c>
      <c r="D3933" t="s">
        <v>5828</v>
      </c>
      <c r="E3933" t="s">
        <v>161</v>
      </c>
      <c r="F3933" t="s">
        <v>133</v>
      </c>
      <c r="G3933" t="s">
        <v>66</v>
      </c>
      <c r="H3933" t="s">
        <v>21</v>
      </c>
      <c r="I3933">
        <v>600</v>
      </c>
      <c r="J3933">
        <v>780</v>
      </c>
      <c r="K3933">
        <v>3</v>
      </c>
      <c r="L3933">
        <v>1800</v>
      </c>
      <c r="M3933">
        <v>2340</v>
      </c>
      <c r="N3933" t="s">
        <v>35</v>
      </c>
      <c r="O3933">
        <f t="shared" si="122"/>
        <v>1690</v>
      </c>
      <c r="P3933" s="13">
        <f t="shared" si="123"/>
        <v>2154984</v>
      </c>
      <c r="Q3933" s="13">
        <f>SUMIFS(M:M,E:E,Online_eCommerce[[#This Row],[Status]])</f>
        <v>21103186</v>
      </c>
      <c r="R3933" s="13">
        <f>SUMIFS(L:L,H:H,Online_eCommerce[[#This Row],[Brand]])</f>
        <v>12435650</v>
      </c>
      <c r="S3933" s="13">
        <f>SUMIF(H:H,Online_eCommerce[[#This Row],[Brand]],M:M)</f>
        <v>16166345</v>
      </c>
      <c r="T3933" s="13">
        <f>SUMIF(N:N,Online_eCommerce[[#This Row],[Assigned Supervisor]],L:L)</f>
        <v>14373360</v>
      </c>
    </row>
    <row r="3934" spans="1:20" x14ac:dyDescent="0.3">
      <c r="A3934" t="s">
        <v>5840</v>
      </c>
      <c r="B3934" t="s">
        <v>90</v>
      </c>
      <c r="C3934" t="s">
        <v>155</v>
      </c>
      <c r="D3934" t="s">
        <v>5828</v>
      </c>
      <c r="E3934" t="s">
        <v>46</v>
      </c>
      <c r="F3934" t="s">
        <v>137</v>
      </c>
      <c r="G3934" t="s">
        <v>71</v>
      </c>
      <c r="H3934" t="s">
        <v>61</v>
      </c>
      <c r="I3934">
        <v>10500</v>
      </c>
      <c r="J3934">
        <v>13650</v>
      </c>
      <c r="K3934">
        <v>1</v>
      </c>
      <c r="L3934">
        <v>10500</v>
      </c>
      <c r="M3934">
        <v>13650</v>
      </c>
      <c r="N3934" t="s">
        <v>35</v>
      </c>
      <c r="O3934">
        <f t="shared" si="122"/>
        <v>9750</v>
      </c>
      <c r="P3934" s="13">
        <f t="shared" si="123"/>
        <v>2753348</v>
      </c>
      <c r="Q3934" s="13">
        <f>SUMIFS(M:M,E:E,Online_eCommerce[[#This Row],[Status]])</f>
        <v>28620410</v>
      </c>
      <c r="R3934" s="13">
        <f>SUMIFS(L:L,H:H,Online_eCommerce[[#This Row],[Brand]])</f>
        <v>10950150</v>
      </c>
      <c r="S3934" s="13">
        <f>SUMIF(H:H,Online_eCommerce[[#This Row],[Brand]],M:M)</f>
        <v>14235195</v>
      </c>
      <c r="T3934" s="13">
        <f>SUMIF(N:N,Online_eCommerce[[#This Row],[Assigned Supervisor]],L:L)</f>
        <v>14373360</v>
      </c>
    </row>
    <row r="3935" spans="1:20" hidden="1" x14ac:dyDescent="0.3">
      <c r="A3935" t="s">
        <v>5841</v>
      </c>
      <c r="B3935" t="s">
        <v>232</v>
      </c>
      <c r="C3935" t="s">
        <v>160</v>
      </c>
      <c r="D3935" t="s">
        <v>5828</v>
      </c>
      <c r="E3935" t="s">
        <v>96</v>
      </c>
      <c r="F3935" t="s">
        <v>5809</v>
      </c>
      <c r="G3935" t="s">
        <v>77</v>
      </c>
      <c r="H3935" t="s">
        <v>142</v>
      </c>
      <c r="I3935">
        <v>6500</v>
      </c>
      <c r="J3935">
        <v>8450</v>
      </c>
      <c r="K3935">
        <v>3</v>
      </c>
      <c r="L3935">
        <v>19500</v>
      </c>
      <c r="M3935">
        <v>25350</v>
      </c>
      <c r="N3935" t="s">
        <v>35</v>
      </c>
      <c r="O3935">
        <f t="shared" si="122"/>
        <v>39000</v>
      </c>
      <c r="P3935" s="13">
        <f t="shared" si="123"/>
        <v>2303483</v>
      </c>
      <c r="Q3935" s="13">
        <f>SUMIFS(M:M,E:E,Online_eCommerce[[#This Row],[Status]])</f>
        <v>21233992</v>
      </c>
      <c r="R3935" s="13">
        <f>SUMIFS(L:L,H:H,Online_eCommerce[[#This Row],[Brand]])</f>
        <v>6192500</v>
      </c>
      <c r="S3935" s="13">
        <f>SUMIF(H:H,Online_eCommerce[[#This Row],[Brand]],M:M)</f>
        <v>8050250</v>
      </c>
      <c r="T3935" s="13">
        <f>SUMIF(N:N,Online_eCommerce[[#This Row],[Assigned Supervisor]],L:L)</f>
        <v>14373360</v>
      </c>
    </row>
    <row r="3936" spans="1:20" hidden="1" x14ac:dyDescent="0.3">
      <c r="A3936" t="s">
        <v>5842</v>
      </c>
      <c r="B3936" t="s">
        <v>235</v>
      </c>
      <c r="C3936" t="s">
        <v>165</v>
      </c>
      <c r="D3936" t="s">
        <v>5828</v>
      </c>
      <c r="E3936" t="s">
        <v>18</v>
      </c>
      <c r="F3936" t="s">
        <v>5843</v>
      </c>
      <c r="G3936" t="s">
        <v>20</v>
      </c>
      <c r="H3936" t="s">
        <v>21</v>
      </c>
      <c r="I3936">
        <v>4500</v>
      </c>
      <c r="J3936">
        <v>5850</v>
      </c>
      <c r="K3936">
        <v>2</v>
      </c>
      <c r="L3936">
        <v>9000</v>
      </c>
      <c r="M3936">
        <v>11700</v>
      </c>
      <c r="N3936" t="s">
        <v>35</v>
      </c>
      <c r="O3936">
        <f t="shared" si="122"/>
        <v>8450</v>
      </c>
      <c r="P3936" s="13">
        <f t="shared" si="123"/>
        <v>2674087</v>
      </c>
      <c r="Q3936" s="13">
        <f>SUMIFS(M:M,E:E,Online_eCommerce[[#This Row],[Status]])</f>
        <v>28340455</v>
      </c>
      <c r="R3936" s="13">
        <f>SUMIFS(L:L,H:H,Online_eCommerce[[#This Row],[Brand]])</f>
        <v>12435650</v>
      </c>
      <c r="S3936" s="13">
        <f>SUMIF(H:H,Online_eCommerce[[#This Row],[Brand]],M:M)</f>
        <v>16166345</v>
      </c>
      <c r="T3936" s="13">
        <f>SUMIF(N:N,Online_eCommerce[[#This Row],[Assigned Supervisor]],L:L)</f>
        <v>14373360</v>
      </c>
    </row>
    <row r="3937" spans="1:20" hidden="1" x14ac:dyDescent="0.3">
      <c r="A3937" t="s">
        <v>5844</v>
      </c>
      <c r="B3937" t="s">
        <v>104</v>
      </c>
      <c r="C3937" t="s">
        <v>168</v>
      </c>
      <c r="D3937" t="s">
        <v>5828</v>
      </c>
      <c r="E3937" t="s">
        <v>161</v>
      </c>
      <c r="F3937" t="s">
        <v>152</v>
      </c>
      <c r="G3937" t="s">
        <v>26</v>
      </c>
      <c r="H3937" t="s">
        <v>27</v>
      </c>
      <c r="I3937">
        <v>8500</v>
      </c>
      <c r="J3937">
        <v>11050</v>
      </c>
      <c r="K3937">
        <v>2</v>
      </c>
      <c r="L3937">
        <v>17000</v>
      </c>
      <c r="M3937">
        <v>22100</v>
      </c>
      <c r="N3937" t="s">
        <v>35</v>
      </c>
      <c r="O3937">
        <f t="shared" si="122"/>
        <v>33150</v>
      </c>
      <c r="P3937" s="13">
        <f t="shared" si="123"/>
        <v>1937780</v>
      </c>
      <c r="Q3937" s="13">
        <f>SUMIFS(M:M,E:E,Online_eCommerce[[#This Row],[Status]])</f>
        <v>21103186</v>
      </c>
      <c r="R3937" s="13">
        <f>SUMIFS(L:L,H:H,Online_eCommerce[[#This Row],[Brand]])</f>
        <v>14431000</v>
      </c>
      <c r="S3937" s="13">
        <f>SUMIF(H:H,Online_eCommerce[[#This Row],[Brand]],M:M)</f>
        <v>18760300</v>
      </c>
      <c r="T3937" s="13">
        <f>SUMIF(N:N,Online_eCommerce[[#This Row],[Assigned Supervisor]],L:L)</f>
        <v>14373360</v>
      </c>
    </row>
    <row r="3938" spans="1:20" x14ac:dyDescent="0.3">
      <c r="A3938" t="s">
        <v>5845</v>
      </c>
      <c r="B3938" t="s">
        <v>109</v>
      </c>
      <c r="C3938" t="s">
        <v>172</v>
      </c>
      <c r="D3938" t="s">
        <v>5828</v>
      </c>
      <c r="E3938" t="s">
        <v>46</v>
      </c>
      <c r="F3938" t="s">
        <v>157</v>
      </c>
      <c r="G3938" t="s">
        <v>33</v>
      </c>
      <c r="H3938" t="s">
        <v>34</v>
      </c>
      <c r="I3938">
        <v>12500</v>
      </c>
      <c r="J3938">
        <v>16250</v>
      </c>
      <c r="K3938">
        <v>3</v>
      </c>
      <c r="L3938">
        <v>37500</v>
      </c>
      <c r="M3938">
        <v>48750</v>
      </c>
      <c r="N3938" t="s">
        <v>35</v>
      </c>
      <c r="O3938">
        <f t="shared" si="122"/>
        <v>18200</v>
      </c>
      <c r="P3938" s="13">
        <f t="shared" si="123"/>
        <v>2640274</v>
      </c>
      <c r="Q3938" s="13">
        <f>SUMIFS(M:M,E:E,Online_eCommerce[[#This Row],[Status]])</f>
        <v>28620410</v>
      </c>
      <c r="R3938" s="13">
        <f>SUMIFS(L:L,H:H,Online_eCommerce[[#This Row],[Brand]])</f>
        <v>10087000</v>
      </c>
      <c r="S3938" s="13">
        <f>SUMIF(H:H,Online_eCommerce[[#This Row],[Brand]],M:M)</f>
        <v>13113100</v>
      </c>
      <c r="T3938" s="13">
        <f>SUMIF(N:N,Online_eCommerce[[#This Row],[Assigned Supervisor]],L:L)</f>
        <v>14373360</v>
      </c>
    </row>
    <row r="3939" spans="1:20" hidden="1" x14ac:dyDescent="0.3">
      <c r="A3939" t="s">
        <v>5846</v>
      </c>
      <c r="B3939" t="s">
        <v>114</v>
      </c>
      <c r="C3939" t="s">
        <v>177</v>
      </c>
      <c r="D3939" t="s">
        <v>5828</v>
      </c>
      <c r="E3939" t="s">
        <v>96</v>
      </c>
      <c r="F3939" t="s">
        <v>5520</v>
      </c>
      <c r="G3939" t="s">
        <v>256</v>
      </c>
      <c r="H3939" t="s">
        <v>41</v>
      </c>
      <c r="I3939">
        <v>3500</v>
      </c>
      <c r="J3939">
        <v>4550</v>
      </c>
      <c r="K3939">
        <v>2</v>
      </c>
      <c r="L3939">
        <v>7000</v>
      </c>
      <c r="M3939">
        <v>9100</v>
      </c>
      <c r="N3939" t="s">
        <v>35</v>
      </c>
      <c r="O3939">
        <f t="shared" si="122"/>
        <v>9100</v>
      </c>
      <c r="P3939" s="13">
        <f t="shared" si="123"/>
        <v>1863810</v>
      </c>
      <c r="Q3939" s="13">
        <f>SUMIFS(M:M,E:E,Online_eCommerce[[#This Row],[Status]])</f>
        <v>21233992</v>
      </c>
      <c r="R3939" s="13">
        <f>SUMIFS(L:L,H:H,Online_eCommerce[[#This Row],[Brand]])</f>
        <v>4260400</v>
      </c>
      <c r="S3939" s="13">
        <f>SUMIF(H:H,Online_eCommerce[[#This Row],[Brand]],M:M)</f>
        <v>5538520</v>
      </c>
      <c r="T3939" s="13">
        <f>SUMIF(N:N,Online_eCommerce[[#This Row],[Assigned Supervisor]],L:L)</f>
        <v>14373360</v>
      </c>
    </row>
    <row r="3940" spans="1:20" hidden="1" x14ac:dyDescent="0.3">
      <c r="A3940" t="s">
        <v>5847</v>
      </c>
      <c r="B3940" t="s">
        <v>119</v>
      </c>
      <c r="C3940" t="s">
        <v>181</v>
      </c>
      <c r="D3940" t="s">
        <v>5828</v>
      </c>
      <c r="E3940" t="s">
        <v>18</v>
      </c>
      <c r="F3940" t="s">
        <v>166</v>
      </c>
      <c r="G3940" t="s">
        <v>259</v>
      </c>
      <c r="H3940" t="s">
        <v>49</v>
      </c>
      <c r="I3940">
        <v>4500</v>
      </c>
      <c r="J3940">
        <v>5850</v>
      </c>
      <c r="K3940">
        <v>1</v>
      </c>
      <c r="L3940">
        <v>4500</v>
      </c>
      <c r="M3940">
        <v>5850</v>
      </c>
      <c r="N3940" t="s">
        <v>35</v>
      </c>
      <c r="O3940">
        <f t="shared" si="122"/>
        <v>11700</v>
      </c>
      <c r="P3940" s="13">
        <f t="shared" si="123"/>
        <v>2577458</v>
      </c>
      <c r="Q3940" s="13">
        <f>SUMIFS(M:M,E:E,Online_eCommerce[[#This Row],[Status]])</f>
        <v>28340455</v>
      </c>
      <c r="R3940" s="13">
        <f>SUMIFS(L:L,H:H,Online_eCommerce[[#This Row],[Brand]])</f>
        <v>4528350</v>
      </c>
      <c r="S3940" s="13">
        <f>SUMIF(H:H,Online_eCommerce[[#This Row],[Brand]],M:M)</f>
        <v>5886855</v>
      </c>
      <c r="T3940" s="13">
        <f>SUMIF(N:N,Online_eCommerce[[#This Row],[Assigned Supervisor]],L:L)</f>
        <v>14373360</v>
      </c>
    </row>
    <row r="3941" spans="1:20" hidden="1" x14ac:dyDescent="0.3">
      <c r="A3941" t="s">
        <v>5848</v>
      </c>
      <c r="B3941" t="s">
        <v>124</v>
      </c>
      <c r="C3941" t="s">
        <v>185</v>
      </c>
      <c r="D3941" t="s">
        <v>5828</v>
      </c>
      <c r="E3941" t="s">
        <v>161</v>
      </c>
      <c r="F3941" t="s">
        <v>5849</v>
      </c>
      <c r="G3941" t="s">
        <v>54</v>
      </c>
      <c r="H3941" t="s">
        <v>55</v>
      </c>
      <c r="I3941">
        <v>2100</v>
      </c>
      <c r="J3941">
        <v>2730</v>
      </c>
      <c r="K3941">
        <v>3</v>
      </c>
      <c r="L3941">
        <v>6300</v>
      </c>
      <c r="M3941">
        <v>8190</v>
      </c>
      <c r="N3941" t="s">
        <v>35</v>
      </c>
      <c r="O3941">
        <f t="shared" si="122"/>
        <v>2990</v>
      </c>
      <c r="P3941" s="13">
        <f t="shared" si="123"/>
        <v>2091596</v>
      </c>
      <c r="Q3941" s="13">
        <f>SUMIFS(M:M,E:E,Online_eCommerce[[#This Row],[Status]])</f>
        <v>21103186</v>
      </c>
      <c r="R3941" s="13">
        <f>SUMIFS(L:L,H:H,Online_eCommerce[[#This Row],[Brand]])</f>
        <v>2267380</v>
      </c>
      <c r="S3941" s="13">
        <f>SUMIF(H:H,Online_eCommerce[[#This Row],[Brand]],M:M)</f>
        <v>2947594</v>
      </c>
      <c r="T3941" s="13">
        <f>SUMIF(N:N,Online_eCommerce[[#This Row],[Assigned Supervisor]],L:L)</f>
        <v>14373360</v>
      </c>
    </row>
    <row r="3942" spans="1:20" x14ac:dyDescent="0.3">
      <c r="A3942" t="s">
        <v>5850</v>
      </c>
      <c r="B3942" t="s">
        <v>128</v>
      </c>
      <c r="C3942" t="s">
        <v>189</v>
      </c>
      <c r="D3942" t="s">
        <v>5828</v>
      </c>
      <c r="E3942" t="s">
        <v>46</v>
      </c>
      <c r="F3942" t="s">
        <v>174</v>
      </c>
      <c r="G3942" t="s">
        <v>60</v>
      </c>
      <c r="H3942" t="s">
        <v>61</v>
      </c>
      <c r="I3942">
        <v>1150</v>
      </c>
      <c r="J3942">
        <v>1495</v>
      </c>
      <c r="K3942">
        <v>2</v>
      </c>
      <c r="L3942">
        <v>2300</v>
      </c>
      <c r="M3942">
        <v>2990</v>
      </c>
      <c r="N3942" t="s">
        <v>35</v>
      </c>
      <c r="O3942">
        <f t="shared" si="122"/>
        <v>3315</v>
      </c>
      <c r="P3942" s="13">
        <f t="shared" si="123"/>
        <v>2740777</v>
      </c>
      <c r="Q3942" s="13">
        <f>SUMIFS(M:M,E:E,Online_eCommerce[[#This Row],[Status]])</f>
        <v>28620410</v>
      </c>
      <c r="R3942" s="13">
        <f>SUMIFS(L:L,H:H,Online_eCommerce[[#This Row],[Brand]])</f>
        <v>10950150</v>
      </c>
      <c r="S3942" s="13">
        <f>SUMIF(H:H,Online_eCommerce[[#This Row],[Brand]],M:M)</f>
        <v>14235195</v>
      </c>
      <c r="T3942" s="13">
        <f>SUMIF(N:N,Online_eCommerce[[#This Row],[Assigned Supervisor]],L:L)</f>
        <v>14373360</v>
      </c>
    </row>
    <row r="3943" spans="1:20" hidden="1" x14ac:dyDescent="0.3">
      <c r="A3943" t="s">
        <v>5851</v>
      </c>
      <c r="B3943" t="s">
        <v>131</v>
      </c>
      <c r="C3943" t="s">
        <v>193</v>
      </c>
      <c r="D3943" t="s">
        <v>5828</v>
      </c>
      <c r="E3943" t="s">
        <v>96</v>
      </c>
      <c r="F3943" t="s">
        <v>179</v>
      </c>
      <c r="G3943" t="s">
        <v>66</v>
      </c>
      <c r="H3943" t="s">
        <v>21</v>
      </c>
      <c r="I3943">
        <v>350</v>
      </c>
      <c r="J3943">
        <v>455</v>
      </c>
      <c r="K3943">
        <v>3</v>
      </c>
      <c r="L3943">
        <v>1050</v>
      </c>
      <c r="M3943">
        <v>1365</v>
      </c>
      <c r="N3943" t="s">
        <v>22</v>
      </c>
      <c r="O3943">
        <f t="shared" si="122"/>
        <v>1690</v>
      </c>
      <c r="P3943" s="13">
        <f t="shared" si="123"/>
        <v>2074774</v>
      </c>
      <c r="Q3943" s="13">
        <f>SUMIFS(M:M,E:E,Online_eCommerce[[#This Row],[Status]])</f>
        <v>21233992</v>
      </c>
      <c r="R3943" s="13">
        <f>SUMIFS(L:L,H:H,Online_eCommerce[[#This Row],[Brand]])</f>
        <v>12435650</v>
      </c>
      <c r="S3943" s="13">
        <f>SUMIF(H:H,Online_eCommerce[[#This Row],[Brand]],M:M)</f>
        <v>16166345</v>
      </c>
      <c r="T3943" s="13">
        <f>SUMIF(N:N,Online_eCommerce[[#This Row],[Assigned Supervisor]],L:L)</f>
        <v>13693220</v>
      </c>
    </row>
    <row r="3944" spans="1:20" hidden="1" x14ac:dyDescent="0.3">
      <c r="A3944" t="s">
        <v>5852</v>
      </c>
      <c r="B3944" t="s">
        <v>135</v>
      </c>
      <c r="C3944" t="s">
        <v>197</v>
      </c>
      <c r="D3944" t="s">
        <v>5828</v>
      </c>
      <c r="E3944" t="s">
        <v>18</v>
      </c>
      <c r="F3944" t="s">
        <v>183</v>
      </c>
      <c r="G3944" t="s">
        <v>71</v>
      </c>
      <c r="H3944" t="s">
        <v>61</v>
      </c>
      <c r="I3944">
        <v>9500</v>
      </c>
      <c r="J3944">
        <v>12350</v>
      </c>
      <c r="K3944">
        <v>3</v>
      </c>
      <c r="L3944">
        <v>28500</v>
      </c>
      <c r="M3944">
        <v>37050</v>
      </c>
      <c r="N3944" t="s">
        <v>28</v>
      </c>
      <c r="O3944">
        <f t="shared" si="122"/>
        <v>9750</v>
      </c>
      <c r="P3944" s="13">
        <f t="shared" si="123"/>
        <v>2829840</v>
      </c>
      <c r="Q3944" s="13">
        <f>SUMIFS(M:M,E:E,Online_eCommerce[[#This Row],[Status]])</f>
        <v>28340455</v>
      </c>
      <c r="R3944" s="13">
        <f>SUMIFS(L:L,H:H,Online_eCommerce[[#This Row],[Brand]])</f>
        <v>10950150</v>
      </c>
      <c r="S3944" s="13">
        <f>SUMIF(H:H,Online_eCommerce[[#This Row],[Brand]],M:M)</f>
        <v>14235195</v>
      </c>
      <c r="T3944" s="13">
        <f>SUMIF(N:N,Online_eCommerce[[#This Row],[Assigned Supervisor]],L:L)</f>
        <v>12220830</v>
      </c>
    </row>
    <row r="3945" spans="1:20" hidden="1" x14ac:dyDescent="0.3">
      <c r="A3945" t="s">
        <v>5853</v>
      </c>
      <c r="B3945" t="s">
        <v>139</v>
      </c>
      <c r="C3945" t="s">
        <v>199</v>
      </c>
      <c r="D3945" t="s">
        <v>5828</v>
      </c>
      <c r="E3945" t="s">
        <v>161</v>
      </c>
      <c r="F3945" t="s">
        <v>5854</v>
      </c>
      <c r="G3945" t="s">
        <v>77</v>
      </c>
      <c r="H3945" t="s">
        <v>142</v>
      </c>
      <c r="I3945">
        <v>10000</v>
      </c>
      <c r="J3945">
        <v>13000</v>
      </c>
      <c r="K3945">
        <v>3</v>
      </c>
      <c r="L3945">
        <v>30000</v>
      </c>
      <c r="M3945">
        <v>39000</v>
      </c>
      <c r="N3945" t="s">
        <v>35</v>
      </c>
      <c r="O3945">
        <f t="shared" si="122"/>
        <v>39000</v>
      </c>
      <c r="P3945" s="13">
        <f t="shared" si="123"/>
        <v>1947361</v>
      </c>
      <c r="Q3945" s="13">
        <f>SUMIFS(M:M,E:E,Online_eCommerce[[#This Row],[Status]])</f>
        <v>21103186</v>
      </c>
      <c r="R3945" s="13">
        <f>SUMIFS(L:L,H:H,Online_eCommerce[[#This Row],[Brand]])</f>
        <v>6192500</v>
      </c>
      <c r="S3945" s="13">
        <f>SUMIF(H:H,Online_eCommerce[[#This Row],[Brand]],M:M)</f>
        <v>8050250</v>
      </c>
      <c r="T3945" s="13">
        <f>SUMIF(N:N,Online_eCommerce[[#This Row],[Assigned Supervisor]],L:L)</f>
        <v>14373360</v>
      </c>
    </row>
    <row r="3946" spans="1:20" x14ac:dyDescent="0.3">
      <c r="A3946" t="s">
        <v>5855</v>
      </c>
      <c r="B3946" t="s">
        <v>144</v>
      </c>
      <c r="C3946" t="s">
        <v>203</v>
      </c>
      <c r="D3946" t="s">
        <v>5828</v>
      </c>
      <c r="E3946" t="s">
        <v>46</v>
      </c>
      <c r="F3946" t="s">
        <v>5856</v>
      </c>
      <c r="G3946" t="s">
        <v>20</v>
      </c>
      <c r="H3946" t="s">
        <v>21</v>
      </c>
      <c r="I3946">
        <v>6500</v>
      </c>
      <c r="J3946">
        <v>8450</v>
      </c>
      <c r="K3946">
        <v>3</v>
      </c>
      <c r="L3946">
        <v>19500</v>
      </c>
      <c r="M3946">
        <v>25350</v>
      </c>
      <c r="N3946" t="s">
        <v>42</v>
      </c>
      <c r="O3946">
        <f t="shared" si="122"/>
        <v>8450</v>
      </c>
      <c r="P3946" s="13">
        <f t="shared" si="123"/>
        <v>2559635</v>
      </c>
      <c r="Q3946" s="13">
        <f>SUMIFS(M:M,E:E,Online_eCommerce[[#This Row],[Status]])</f>
        <v>28620410</v>
      </c>
      <c r="R3946" s="13">
        <f>SUMIFS(L:L,H:H,Online_eCommerce[[#This Row],[Brand]])</f>
        <v>12435650</v>
      </c>
      <c r="S3946" s="13">
        <f>SUMIF(H:H,Online_eCommerce[[#This Row],[Brand]],M:M)</f>
        <v>16166345</v>
      </c>
      <c r="T3946" s="13">
        <f>SUMIF(N:N,Online_eCommerce[[#This Row],[Assigned Supervisor]],L:L)</f>
        <v>12261500</v>
      </c>
    </row>
    <row r="3947" spans="1:20" hidden="1" x14ac:dyDescent="0.3">
      <c r="A3947" t="s">
        <v>5857</v>
      </c>
      <c r="B3947" t="s">
        <v>149</v>
      </c>
      <c r="C3947" t="s">
        <v>205</v>
      </c>
      <c r="D3947" t="s">
        <v>5828</v>
      </c>
      <c r="E3947" t="s">
        <v>96</v>
      </c>
      <c r="F3947" t="s">
        <v>5858</v>
      </c>
      <c r="G3947" t="s">
        <v>26</v>
      </c>
      <c r="H3947" t="s">
        <v>27</v>
      </c>
      <c r="I3947">
        <v>8500</v>
      </c>
      <c r="J3947">
        <v>11050</v>
      </c>
      <c r="K3947">
        <v>1</v>
      </c>
      <c r="L3947">
        <v>8500</v>
      </c>
      <c r="M3947">
        <v>11050</v>
      </c>
      <c r="N3947" t="s">
        <v>50</v>
      </c>
      <c r="O3947">
        <f t="shared" si="122"/>
        <v>33150</v>
      </c>
      <c r="P3947" s="13">
        <f t="shared" si="123"/>
        <v>1983254</v>
      </c>
      <c r="Q3947" s="13">
        <f>SUMIFS(M:M,E:E,Online_eCommerce[[#This Row],[Status]])</f>
        <v>21233992</v>
      </c>
      <c r="R3947" s="13">
        <f>SUMIFS(L:L,H:H,Online_eCommerce[[#This Row],[Brand]])</f>
        <v>14431000</v>
      </c>
      <c r="S3947" s="13">
        <f>SUMIF(H:H,Online_eCommerce[[#This Row],[Brand]],M:M)</f>
        <v>18760300</v>
      </c>
      <c r="T3947" s="13">
        <f>SUMIF(N:N,Online_eCommerce[[#This Row],[Assigned Supervisor]],L:L)</f>
        <v>12100590</v>
      </c>
    </row>
    <row r="3948" spans="1:20" hidden="1" x14ac:dyDescent="0.3">
      <c r="A3948" t="s">
        <v>5859</v>
      </c>
      <c r="B3948" t="s">
        <v>154</v>
      </c>
      <c r="C3948" t="s">
        <v>208</v>
      </c>
      <c r="D3948" t="s">
        <v>5828</v>
      </c>
      <c r="E3948" t="s">
        <v>18</v>
      </c>
      <c r="F3948" t="s">
        <v>32</v>
      </c>
      <c r="G3948" t="s">
        <v>33</v>
      </c>
      <c r="H3948" t="s">
        <v>34</v>
      </c>
      <c r="I3948">
        <v>7000</v>
      </c>
      <c r="J3948">
        <v>9100</v>
      </c>
      <c r="K3948">
        <v>3</v>
      </c>
      <c r="L3948">
        <v>21000</v>
      </c>
      <c r="M3948">
        <v>27300</v>
      </c>
      <c r="N3948" t="s">
        <v>56</v>
      </c>
      <c r="O3948">
        <f t="shared" si="122"/>
        <v>18200</v>
      </c>
      <c r="P3948" s="13">
        <f t="shared" si="123"/>
        <v>2746575</v>
      </c>
      <c r="Q3948" s="13">
        <f>SUMIFS(M:M,E:E,Online_eCommerce[[#This Row],[Status]])</f>
        <v>28340455</v>
      </c>
      <c r="R3948" s="13">
        <f>SUMIFS(L:L,H:H,Online_eCommerce[[#This Row],[Brand]])</f>
        <v>10087000</v>
      </c>
      <c r="S3948" s="13">
        <f>SUMIF(H:H,Online_eCommerce[[#This Row],[Brand]],M:M)</f>
        <v>13113100</v>
      </c>
      <c r="T3948" s="13">
        <f>SUMIF(N:N,Online_eCommerce[[#This Row],[Assigned Supervisor]],L:L)</f>
        <v>11733610</v>
      </c>
    </row>
    <row r="3949" spans="1:20" hidden="1" x14ac:dyDescent="0.3">
      <c r="A3949" t="s">
        <v>5860</v>
      </c>
      <c r="B3949" t="s">
        <v>159</v>
      </c>
      <c r="C3949" t="s">
        <v>211</v>
      </c>
      <c r="D3949" t="s">
        <v>5828</v>
      </c>
      <c r="E3949" t="s">
        <v>161</v>
      </c>
      <c r="F3949" t="s">
        <v>5861</v>
      </c>
      <c r="G3949" t="s">
        <v>256</v>
      </c>
      <c r="H3949" t="s">
        <v>41</v>
      </c>
      <c r="I3949">
        <v>6550</v>
      </c>
      <c r="J3949">
        <v>8515</v>
      </c>
      <c r="K3949">
        <v>1</v>
      </c>
      <c r="L3949">
        <v>6550</v>
      </c>
      <c r="M3949">
        <v>8515</v>
      </c>
      <c r="N3949" t="s">
        <v>22</v>
      </c>
      <c r="O3949">
        <f t="shared" si="122"/>
        <v>9100</v>
      </c>
      <c r="P3949" s="13">
        <f t="shared" si="123"/>
        <v>1809847</v>
      </c>
      <c r="Q3949" s="13">
        <f>SUMIFS(M:M,E:E,Online_eCommerce[[#This Row],[Status]])</f>
        <v>21103186</v>
      </c>
      <c r="R3949" s="13">
        <f>SUMIFS(L:L,H:H,Online_eCommerce[[#This Row],[Brand]])</f>
        <v>4260400</v>
      </c>
      <c r="S3949" s="13">
        <f>SUMIF(H:H,Online_eCommerce[[#This Row],[Brand]],M:M)</f>
        <v>5538520</v>
      </c>
      <c r="T3949" s="13">
        <f>SUMIF(N:N,Online_eCommerce[[#This Row],[Assigned Supervisor]],L:L)</f>
        <v>13693220</v>
      </c>
    </row>
    <row r="3950" spans="1:20" x14ac:dyDescent="0.3">
      <c r="A3950" t="s">
        <v>5862</v>
      </c>
      <c r="B3950" t="s">
        <v>139</v>
      </c>
      <c r="C3950" t="s">
        <v>16</v>
      </c>
      <c r="D3950" t="s">
        <v>5828</v>
      </c>
      <c r="E3950" t="s">
        <v>46</v>
      </c>
      <c r="F3950" t="s">
        <v>47</v>
      </c>
      <c r="G3950" t="s">
        <v>259</v>
      </c>
      <c r="H3950" t="s">
        <v>49</v>
      </c>
      <c r="I3950">
        <v>7650</v>
      </c>
      <c r="J3950">
        <v>9945</v>
      </c>
      <c r="K3950">
        <v>1</v>
      </c>
      <c r="L3950">
        <v>7650</v>
      </c>
      <c r="M3950">
        <v>9945</v>
      </c>
      <c r="N3950" t="s">
        <v>28</v>
      </c>
      <c r="O3950">
        <f t="shared" si="122"/>
        <v>11700</v>
      </c>
      <c r="P3950" s="13">
        <f t="shared" si="123"/>
        <v>2751814</v>
      </c>
      <c r="Q3950" s="13">
        <f>SUMIFS(M:M,E:E,Online_eCommerce[[#This Row],[Status]])</f>
        <v>28620410</v>
      </c>
      <c r="R3950" s="13">
        <f>SUMIFS(L:L,H:H,Online_eCommerce[[#This Row],[Brand]])</f>
        <v>4528350</v>
      </c>
      <c r="S3950" s="13">
        <f>SUMIF(H:H,Online_eCommerce[[#This Row],[Brand]],M:M)</f>
        <v>5886855</v>
      </c>
      <c r="T3950" s="13">
        <f>SUMIF(N:N,Online_eCommerce[[#This Row],[Assigned Supervisor]],L:L)</f>
        <v>12220830</v>
      </c>
    </row>
    <row r="3951" spans="1:20" hidden="1" x14ac:dyDescent="0.3">
      <c r="A3951" t="s">
        <v>5863</v>
      </c>
      <c r="B3951" t="s">
        <v>144</v>
      </c>
      <c r="C3951" t="s">
        <v>24</v>
      </c>
      <c r="D3951" t="s">
        <v>5828</v>
      </c>
      <c r="E3951" t="s">
        <v>96</v>
      </c>
      <c r="F3951" t="s">
        <v>53</v>
      </c>
      <c r="G3951" t="s">
        <v>54</v>
      </c>
      <c r="H3951" t="s">
        <v>55</v>
      </c>
      <c r="I3951">
        <v>1150</v>
      </c>
      <c r="J3951">
        <v>1495</v>
      </c>
      <c r="K3951">
        <v>1</v>
      </c>
      <c r="L3951">
        <v>1150</v>
      </c>
      <c r="M3951">
        <v>1495</v>
      </c>
      <c r="N3951" t="s">
        <v>35</v>
      </c>
      <c r="O3951">
        <f t="shared" si="122"/>
        <v>2990</v>
      </c>
      <c r="P3951" s="13">
        <f t="shared" si="123"/>
        <v>2009540</v>
      </c>
      <c r="Q3951" s="13">
        <f>SUMIFS(M:M,E:E,Online_eCommerce[[#This Row],[Status]])</f>
        <v>21233992</v>
      </c>
      <c r="R3951" s="13">
        <f>SUMIFS(L:L,H:H,Online_eCommerce[[#This Row],[Brand]])</f>
        <v>2267380</v>
      </c>
      <c r="S3951" s="13">
        <f>SUMIF(H:H,Online_eCommerce[[#This Row],[Brand]],M:M)</f>
        <v>2947594</v>
      </c>
      <c r="T3951" s="13">
        <f>SUMIF(N:N,Online_eCommerce[[#This Row],[Assigned Supervisor]],L:L)</f>
        <v>14373360</v>
      </c>
    </row>
    <row r="3952" spans="1:20" hidden="1" x14ac:dyDescent="0.3">
      <c r="A3952" t="s">
        <v>5864</v>
      </c>
      <c r="B3952" t="s">
        <v>235</v>
      </c>
      <c r="C3952" t="s">
        <v>31</v>
      </c>
      <c r="D3952" t="s">
        <v>5828</v>
      </c>
      <c r="E3952" t="s">
        <v>18</v>
      </c>
      <c r="F3952" t="s">
        <v>59</v>
      </c>
      <c r="G3952" t="s">
        <v>60</v>
      </c>
      <c r="H3952" t="s">
        <v>61</v>
      </c>
      <c r="I3952">
        <v>850</v>
      </c>
      <c r="J3952">
        <v>1105</v>
      </c>
      <c r="K3952">
        <v>3</v>
      </c>
      <c r="L3952">
        <v>2550</v>
      </c>
      <c r="M3952">
        <v>3315</v>
      </c>
      <c r="N3952" t="s">
        <v>35</v>
      </c>
      <c r="O3952">
        <f t="shared" si="122"/>
        <v>3315</v>
      </c>
      <c r="P3952" s="13">
        <f t="shared" si="123"/>
        <v>2865746</v>
      </c>
      <c r="Q3952" s="13">
        <f>SUMIFS(M:M,E:E,Online_eCommerce[[#This Row],[Status]])</f>
        <v>28340455</v>
      </c>
      <c r="R3952" s="13">
        <f>SUMIFS(L:L,H:H,Online_eCommerce[[#This Row],[Brand]])</f>
        <v>10950150</v>
      </c>
      <c r="S3952" s="13">
        <f>SUMIF(H:H,Online_eCommerce[[#This Row],[Brand]],M:M)</f>
        <v>14235195</v>
      </c>
      <c r="T3952" s="13">
        <f>SUMIF(N:N,Online_eCommerce[[#This Row],[Assigned Supervisor]],L:L)</f>
        <v>14373360</v>
      </c>
    </row>
    <row r="3953" spans="1:20" hidden="1" x14ac:dyDescent="0.3">
      <c r="A3953" t="s">
        <v>5865</v>
      </c>
      <c r="B3953" t="s">
        <v>176</v>
      </c>
      <c r="C3953" t="s">
        <v>38</v>
      </c>
      <c r="D3953" t="s">
        <v>5828</v>
      </c>
      <c r="E3953" t="s">
        <v>161</v>
      </c>
      <c r="F3953" t="s">
        <v>65</v>
      </c>
      <c r="G3953" t="s">
        <v>66</v>
      </c>
      <c r="H3953" t="s">
        <v>21</v>
      </c>
      <c r="I3953">
        <v>650</v>
      </c>
      <c r="J3953">
        <v>845</v>
      </c>
      <c r="K3953">
        <v>3</v>
      </c>
      <c r="L3953">
        <v>1950</v>
      </c>
      <c r="M3953">
        <v>2535</v>
      </c>
      <c r="N3953" t="s">
        <v>35</v>
      </c>
      <c r="O3953">
        <f t="shared" si="122"/>
        <v>1690</v>
      </c>
      <c r="P3953" s="13">
        <f t="shared" si="123"/>
        <v>1933997</v>
      </c>
      <c r="Q3953" s="13">
        <f>SUMIFS(M:M,E:E,Online_eCommerce[[#This Row],[Status]])</f>
        <v>21103186</v>
      </c>
      <c r="R3953" s="13">
        <f>SUMIFS(L:L,H:H,Online_eCommerce[[#This Row],[Brand]])</f>
        <v>12435650</v>
      </c>
      <c r="S3953" s="13">
        <f>SUMIF(H:H,Online_eCommerce[[#This Row],[Brand]],M:M)</f>
        <v>16166345</v>
      </c>
      <c r="T3953" s="13">
        <f>SUMIF(N:N,Online_eCommerce[[#This Row],[Assigned Supervisor]],L:L)</f>
        <v>14373360</v>
      </c>
    </row>
    <row r="3954" spans="1:20" x14ac:dyDescent="0.3">
      <c r="A3954" t="s">
        <v>5866</v>
      </c>
      <c r="B3954" t="s">
        <v>276</v>
      </c>
      <c r="C3954" t="s">
        <v>45</v>
      </c>
      <c r="D3954" t="s">
        <v>5828</v>
      </c>
      <c r="E3954" t="s">
        <v>46</v>
      </c>
      <c r="F3954" t="s">
        <v>70</v>
      </c>
      <c r="G3954" t="s">
        <v>71</v>
      </c>
      <c r="H3954" t="s">
        <v>61</v>
      </c>
      <c r="I3954">
        <v>7500</v>
      </c>
      <c r="J3954">
        <v>9750</v>
      </c>
      <c r="K3954">
        <v>2</v>
      </c>
      <c r="L3954">
        <v>15000</v>
      </c>
      <c r="M3954">
        <v>19500</v>
      </c>
      <c r="N3954" t="s">
        <v>35</v>
      </c>
      <c r="O3954">
        <f t="shared" si="122"/>
        <v>9750</v>
      </c>
      <c r="P3954" s="13">
        <f t="shared" si="123"/>
        <v>2842554</v>
      </c>
      <c r="Q3954" s="13">
        <f>SUMIFS(M:M,E:E,Online_eCommerce[[#This Row],[Status]])</f>
        <v>28620410</v>
      </c>
      <c r="R3954" s="13">
        <f>SUMIFS(L:L,H:H,Online_eCommerce[[#This Row],[Brand]])</f>
        <v>10950150</v>
      </c>
      <c r="S3954" s="13">
        <f>SUMIF(H:H,Online_eCommerce[[#This Row],[Brand]],M:M)</f>
        <v>14235195</v>
      </c>
      <c r="T3954" s="13">
        <f>SUMIF(N:N,Online_eCommerce[[#This Row],[Assigned Supervisor]],L:L)</f>
        <v>14373360</v>
      </c>
    </row>
    <row r="3955" spans="1:20" hidden="1" x14ac:dyDescent="0.3">
      <c r="A3955" t="s">
        <v>5867</v>
      </c>
      <c r="B3955" t="s">
        <v>280</v>
      </c>
      <c r="C3955" t="s">
        <v>52</v>
      </c>
      <c r="D3955" t="s">
        <v>5828</v>
      </c>
      <c r="E3955" t="s">
        <v>96</v>
      </c>
      <c r="F3955" t="s">
        <v>5854</v>
      </c>
      <c r="G3955" t="s">
        <v>77</v>
      </c>
      <c r="H3955" t="s">
        <v>78</v>
      </c>
      <c r="I3955">
        <v>10000</v>
      </c>
      <c r="J3955">
        <v>13000</v>
      </c>
      <c r="K3955">
        <v>4</v>
      </c>
      <c r="L3955">
        <v>40000</v>
      </c>
      <c r="M3955">
        <v>52000</v>
      </c>
      <c r="N3955" t="s">
        <v>35</v>
      </c>
      <c r="O3955">
        <f t="shared" si="122"/>
        <v>39000</v>
      </c>
      <c r="P3955" s="13">
        <f t="shared" si="123"/>
        <v>1955044</v>
      </c>
      <c r="Q3955" s="13">
        <f>SUMIFS(M:M,E:E,Online_eCommerce[[#This Row],[Status]])</f>
        <v>21233992</v>
      </c>
      <c r="R3955" s="13">
        <f>SUMIFS(L:L,H:H,Online_eCommerce[[#This Row],[Brand]])</f>
        <v>3720000</v>
      </c>
      <c r="S3955" s="13">
        <f>SUMIF(H:H,Online_eCommerce[[#This Row],[Brand]],M:M)</f>
        <v>4836000</v>
      </c>
      <c r="T3955" s="13">
        <f>SUMIF(N:N,Online_eCommerce[[#This Row],[Assigned Supervisor]],L:L)</f>
        <v>14373360</v>
      </c>
    </row>
    <row r="3956" spans="1:20" hidden="1" x14ac:dyDescent="0.3">
      <c r="A3956" t="s">
        <v>5868</v>
      </c>
      <c r="B3956" t="s">
        <v>283</v>
      </c>
      <c r="C3956" t="s">
        <v>58</v>
      </c>
      <c r="D3956" t="s">
        <v>5828</v>
      </c>
      <c r="E3956" t="s">
        <v>18</v>
      </c>
      <c r="F3956" t="s">
        <v>5869</v>
      </c>
      <c r="G3956" t="s">
        <v>20</v>
      </c>
      <c r="H3956" t="s">
        <v>21</v>
      </c>
      <c r="I3956">
        <v>10500</v>
      </c>
      <c r="J3956">
        <v>13650</v>
      </c>
      <c r="K3956">
        <v>2</v>
      </c>
      <c r="L3956">
        <v>21000</v>
      </c>
      <c r="M3956">
        <v>27300</v>
      </c>
      <c r="N3956" t="s">
        <v>35</v>
      </c>
      <c r="O3956">
        <f t="shared" si="122"/>
        <v>8450</v>
      </c>
      <c r="P3956" s="13">
        <f t="shared" si="123"/>
        <v>2629211</v>
      </c>
      <c r="Q3956" s="13">
        <f>SUMIFS(M:M,E:E,Online_eCommerce[[#This Row],[Status]])</f>
        <v>28340455</v>
      </c>
      <c r="R3956" s="13">
        <f>SUMIFS(L:L,H:H,Online_eCommerce[[#This Row],[Brand]])</f>
        <v>12435650</v>
      </c>
      <c r="S3956" s="13">
        <f>SUMIF(H:H,Online_eCommerce[[#This Row],[Brand]],M:M)</f>
        <v>16166345</v>
      </c>
      <c r="T3956" s="13">
        <f>SUMIF(N:N,Online_eCommerce[[#This Row],[Assigned Supervisor]],L:L)</f>
        <v>14373360</v>
      </c>
    </row>
    <row r="3957" spans="1:20" hidden="1" x14ac:dyDescent="0.3">
      <c r="A3957" t="s">
        <v>5870</v>
      </c>
      <c r="B3957" t="s">
        <v>287</v>
      </c>
      <c r="C3957" t="s">
        <v>63</v>
      </c>
      <c r="D3957" t="s">
        <v>5828</v>
      </c>
      <c r="E3957" t="s">
        <v>161</v>
      </c>
      <c r="F3957" t="s">
        <v>88</v>
      </c>
      <c r="G3957" t="s">
        <v>26</v>
      </c>
      <c r="H3957" t="s">
        <v>27</v>
      </c>
      <c r="I3957">
        <v>8500</v>
      </c>
      <c r="J3957">
        <v>11050</v>
      </c>
      <c r="K3957">
        <v>3</v>
      </c>
      <c r="L3957">
        <v>25500</v>
      </c>
      <c r="M3957">
        <v>33150</v>
      </c>
      <c r="N3957" t="s">
        <v>35</v>
      </c>
      <c r="O3957">
        <f t="shared" si="122"/>
        <v>33150</v>
      </c>
      <c r="P3957" s="13">
        <f t="shared" si="123"/>
        <v>2016131</v>
      </c>
      <c r="Q3957" s="13">
        <f>SUMIFS(M:M,E:E,Online_eCommerce[[#This Row],[Status]])</f>
        <v>21103186</v>
      </c>
      <c r="R3957" s="13">
        <f>SUMIFS(L:L,H:H,Online_eCommerce[[#This Row],[Brand]])</f>
        <v>14431000</v>
      </c>
      <c r="S3957" s="13">
        <f>SUMIF(H:H,Online_eCommerce[[#This Row],[Brand]],M:M)</f>
        <v>18760300</v>
      </c>
      <c r="T3957" s="13">
        <f>SUMIF(N:N,Online_eCommerce[[#This Row],[Assigned Supervisor]],L:L)</f>
        <v>14373360</v>
      </c>
    </row>
    <row r="3958" spans="1:20" x14ac:dyDescent="0.3">
      <c r="A3958" t="s">
        <v>5871</v>
      </c>
      <c r="B3958" t="s">
        <v>290</v>
      </c>
      <c r="C3958" t="s">
        <v>68</v>
      </c>
      <c r="D3958" t="s">
        <v>5828</v>
      </c>
      <c r="E3958" t="s">
        <v>46</v>
      </c>
      <c r="F3958" t="s">
        <v>32</v>
      </c>
      <c r="G3958" t="s">
        <v>33</v>
      </c>
      <c r="H3958" t="s">
        <v>34</v>
      </c>
      <c r="I3958">
        <v>7000</v>
      </c>
      <c r="J3958">
        <v>9100</v>
      </c>
      <c r="K3958">
        <v>2</v>
      </c>
      <c r="L3958">
        <v>14000</v>
      </c>
      <c r="M3958">
        <v>18200</v>
      </c>
      <c r="N3958" t="s">
        <v>35</v>
      </c>
      <c r="O3958">
        <f t="shared" si="122"/>
        <v>18200</v>
      </c>
      <c r="P3958" s="13">
        <f t="shared" si="123"/>
        <v>2974621</v>
      </c>
      <c r="Q3958" s="13">
        <f>SUMIFS(M:M,E:E,Online_eCommerce[[#This Row],[Status]])</f>
        <v>28620410</v>
      </c>
      <c r="R3958" s="13">
        <f>SUMIFS(L:L,H:H,Online_eCommerce[[#This Row],[Brand]])</f>
        <v>10087000</v>
      </c>
      <c r="S3958" s="13">
        <f>SUMIF(H:H,Online_eCommerce[[#This Row],[Brand]],M:M)</f>
        <v>13113100</v>
      </c>
      <c r="T3958" s="13">
        <f>SUMIF(N:N,Online_eCommerce[[#This Row],[Assigned Supervisor]],L:L)</f>
        <v>14373360</v>
      </c>
    </row>
    <row r="3959" spans="1:20" hidden="1" x14ac:dyDescent="0.3">
      <c r="A3959" t="s">
        <v>5872</v>
      </c>
      <c r="B3959" t="s">
        <v>15</v>
      </c>
      <c r="C3959" t="s">
        <v>74</v>
      </c>
      <c r="D3959" t="s">
        <v>5828</v>
      </c>
      <c r="E3959" t="s">
        <v>96</v>
      </c>
      <c r="F3959" t="s">
        <v>5873</v>
      </c>
      <c r="G3959" t="s">
        <v>256</v>
      </c>
      <c r="H3959" t="s">
        <v>41</v>
      </c>
      <c r="I3959">
        <v>1680</v>
      </c>
      <c r="J3959">
        <v>2184</v>
      </c>
      <c r="K3959">
        <v>4</v>
      </c>
      <c r="L3959">
        <v>6720</v>
      </c>
      <c r="M3959">
        <v>8736</v>
      </c>
      <c r="N3959" t="s">
        <v>35</v>
      </c>
      <c r="O3959">
        <f t="shared" si="122"/>
        <v>9100</v>
      </c>
      <c r="P3959" s="13">
        <f t="shared" si="123"/>
        <v>2144701</v>
      </c>
      <c r="Q3959" s="13">
        <f>SUMIFS(M:M,E:E,Online_eCommerce[[#This Row],[Status]])</f>
        <v>21233992</v>
      </c>
      <c r="R3959" s="13">
        <f>SUMIFS(L:L,H:H,Online_eCommerce[[#This Row],[Brand]])</f>
        <v>4260400</v>
      </c>
      <c r="S3959" s="13">
        <f>SUMIF(H:H,Online_eCommerce[[#This Row],[Brand]],M:M)</f>
        <v>5538520</v>
      </c>
      <c r="T3959" s="13">
        <f>SUMIF(N:N,Online_eCommerce[[#This Row],[Assigned Supervisor]],L:L)</f>
        <v>14373360</v>
      </c>
    </row>
    <row r="3960" spans="1:20" hidden="1" x14ac:dyDescent="0.3">
      <c r="A3960" t="s">
        <v>5874</v>
      </c>
      <c r="B3960" t="s">
        <v>202</v>
      </c>
      <c r="C3960" t="s">
        <v>81</v>
      </c>
      <c r="D3960" t="s">
        <v>5828</v>
      </c>
      <c r="E3960" t="s">
        <v>18</v>
      </c>
      <c r="F3960" t="s">
        <v>101</v>
      </c>
      <c r="G3960" t="s">
        <v>259</v>
      </c>
      <c r="H3960" t="s">
        <v>102</v>
      </c>
      <c r="I3960">
        <v>6540</v>
      </c>
      <c r="J3960">
        <v>8502</v>
      </c>
      <c r="K3960">
        <v>2</v>
      </c>
      <c r="L3960">
        <v>13080</v>
      </c>
      <c r="M3960">
        <v>17004</v>
      </c>
      <c r="N3960" t="s">
        <v>35</v>
      </c>
      <c r="O3960">
        <f t="shared" si="122"/>
        <v>11700</v>
      </c>
      <c r="P3960" s="13">
        <f t="shared" si="123"/>
        <v>2595632</v>
      </c>
      <c r="Q3960" s="13">
        <f>SUMIFS(M:M,E:E,Online_eCommerce[[#This Row],[Status]])</f>
        <v>28340455</v>
      </c>
      <c r="R3960" s="13">
        <f>SUMIFS(L:L,H:H,Online_eCommerce[[#This Row],[Brand]])</f>
        <v>2465580</v>
      </c>
      <c r="S3960" s="13">
        <f>SUMIF(H:H,Online_eCommerce[[#This Row],[Brand]],M:M)</f>
        <v>3205254</v>
      </c>
      <c r="T3960" s="13">
        <f>SUMIF(N:N,Online_eCommerce[[#This Row],[Assigned Supervisor]],L:L)</f>
        <v>14373360</v>
      </c>
    </row>
    <row r="3961" spans="1:20" hidden="1" x14ac:dyDescent="0.3">
      <c r="A3961" t="s">
        <v>5875</v>
      </c>
      <c r="B3961" t="s">
        <v>30</v>
      </c>
      <c r="C3961" t="s">
        <v>86</v>
      </c>
      <c r="D3961" t="s">
        <v>5828</v>
      </c>
      <c r="E3961" t="s">
        <v>161</v>
      </c>
      <c r="F3961" t="s">
        <v>107</v>
      </c>
      <c r="G3961" t="s">
        <v>54</v>
      </c>
      <c r="H3961" t="s">
        <v>55</v>
      </c>
      <c r="I3961">
        <v>2680</v>
      </c>
      <c r="J3961">
        <v>3484</v>
      </c>
      <c r="K3961">
        <v>3</v>
      </c>
      <c r="L3961">
        <v>8040</v>
      </c>
      <c r="M3961">
        <v>10452</v>
      </c>
      <c r="N3961" t="s">
        <v>22</v>
      </c>
      <c r="O3961">
        <f t="shared" si="122"/>
        <v>2990</v>
      </c>
      <c r="P3961" s="13">
        <f t="shared" si="123"/>
        <v>1941225</v>
      </c>
      <c r="Q3961" s="13">
        <f>SUMIFS(M:M,E:E,Online_eCommerce[[#This Row],[Status]])</f>
        <v>21103186</v>
      </c>
      <c r="R3961" s="13">
        <f>SUMIFS(L:L,H:H,Online_eCommerce[[#This Row],[Brand]])</f>
        <v>2267380</v>
      </c>
      <c r="S3961" s="13">
        <f>SUMIF(H:H,Online_eCommerce[[#This Row],[Brand]],M:M)</f>
        <v>2947594</v>
      </c>
      <c r="T3961" s="13">
        <f>SUMIF(N:N,Online_eCommerce[[#This Row],[Assigned Supervisor]],L:L)</f>
        <v>13693220</v>
      </c>
    </row>
    <row r="3962" spans="1:20" x14ac:dyDescent="0.3">
      <c r="A3962" t="s">
        <v>5876</v>
      </c>
      <c r="B3962" t="s">
        <v>37</v>
      </c>
      <c r="C3962" t="s">
        <v>91</v>
      </c>
      <c r="D3962" t="s">
        <v>5828</v>
      </c>
      <c r="E3962" t="s">
        <v>46</v>
      </c>
      <c r="F3962" t="s">
        <v>112</v>
      </c>
      <c r="G3962" t="s">
        <v>71</v>
      </c>
      <c r="H3962" t="s">
        <v>21</v>
      </c>
      <c r="I3962">
        <v>8250</v>
      </c>
      <c r="J3962">
        <v>10725</v>
      </c>
      <c r="K3962">
        <v>3</v>
      </c>
      <c r="L3962">
        <v>24750</v>
      </c>
      <c r="M3962">
        <v>32175</v>
      </c>
      <c r="N3962" t="s">
        <v>28</v>
      </c>
      <c r="O3962">
        <f t="shared" si="122"/>
        <v>9750</v>
      </c>
      <c r="P3962" s="13">
        <f t="shared" si="123"/>
        <v>2731963</v>
      </c>
      <c r="Q3962" s="13">
        <f>SUMIFS(M:M,E:E,Online_eCommerce[[#This Row],[Status]])</f>
        <v>28620410</v>
      </c>
      <c r="R3962" s="13">
        <f>SUMIFS(L:L,H:H,Online_eCommerce[[#This Row],[Brand]])</f>
        <v>12435650</v>
      </c>
      <c r="S3962" s="13">
        <f>SUMIF(H:H,Online_eCommerce[[#This Row],[Brand]],M:M)</f>
        <v>16166345</v>
      </c>
      <c r="T3962" s="13">
        <f>SUMIF(N:N,Online_eCommerce[[#This Row],[Assigned Supervisor]],L:L)</f>
        <v>12220830</v>
      </c>
    </row>
    <row r="3963" spans="1:20" hidden="1" x14ac:dyDescent="0.3">
      <c r="A3963" t="s">
        <v>5877</v>
      </c>
      <c r="B3963" t="s">
        <v>44</v>
      </c>
      <c r="C3963" t="s">
        <v>94</v>
      </c>
      <c r="D3963" t="s">
        <v>5828</v>
      </c>
      <c r="E3963" t="s">
        <v>96</v>
      </c>
      <c r="F3963" t="s">
        <v>5520</v>
      </c>
      <c r="G3963" t="s">
        <v>40</v>
      </c>
      <c r="H3963" t="s">
        <v>21</v>
      </c>
      <c r="I3963">
        <v>2650</v>
      </c>
      <c r="J3963">
        <v>3445</v>
      </c>
      <c r="K3963">
        <v>1</v>
      </c>
      <c r="L3963">
        <v>2650</v>
      </c>
      <c r="M3963">
        <v>3445</v>
      </c>
      <c r="N3963" t="s">
        <v>35</v>
      </c>
      <c r="O3963">
        <f t="shared" si="122"/>
        <v>25545</v>
      </c>
      <c r="P3963" s="13">
        <f t="shared" si="123"/>
        <v>1868256</v>
      </c>
      <c r="Q3963" s="13">
        <f>SUMIFS(M:M,E:E,Online_eCommerce[[#This Row],[Status]])</f>
        <v>21233992</v>
      </c>
      <c r="R3963" s="13">
        <f>SUMIFS(L:L,H:H,Online_eCommerce[[#This Row],[Brand]])</f>
        <v>12435650</v>
      </c>
      <c r="S3963" s="13">
        <f>SUMIF(H:H,Online_eCommerce[[#This Row],[Brand]],M:M)</f>
        <v>16166345</v>
      </c>
      <c r="T3963" s="13">
        <f>SUMIF(N:N,Online_eCommerce[[#This Row],[Assigned Supervisor]],L:L)</f>
        <v>14373360</v>
      </c>
    </row>
    <row r="3964" spans="1:20" hidden="1" x14ac:dyDescent="0.3">
      <c r="A3964" t="s">
        <v>5878</v>
      </c>
      <c r="B3964" t="s">
        <v>213</v>
      </c>
      <c r="C3964" t="s">
        <v>99</v>
      </c>
      <c r="D3964" t="s">
        <v>5828</v>
      </c>
      <c r="E3964" t="s">
        <v>18</v>
      </c>
      <c r="F3964" t="s">
        <v>121</v>
      </c>
      <c r="G3964" t="s">
        <v>71</v>
      </c>
      <c r="H3964" t="s">
        <v>122</v>
      </c>
      <c r="I3964">
        <v>12550</v>
      </c>
      <c r="J3964">
        <v>16315</v>
      </c>
      <c r="K3964">
        <v>4</v>
      </c>
      <c r="L3964">
        <v>50200</v>
      </c>
      <c r="M3964">
        <v>65260</v>
      </c>
      <c r="N3964" t="s">
        <v>42</v>
      </c>
      <c r="O3964">
        <f t="shared" si="122"/>
        <v>9750</v>
      </c>
      <c r="P3964" s="13">
        <f t="shared" si="123"/>
        <v>2651233</v>
      </c>
      <c r="Q3964" s="13">
        <f>SUMIFS(M:M,E:E,Online_eCommerce[[#This Row],[Status]])</f>
        <v>28340455</v>
      </c>
      <c r="R3964" s="13">
        <f>SUMIFS(L:L,H:H,Online_eCommerce[[#This Row],[Brand]])</f>
        <v>5045100</v>
      </c>
      <c r="S3964" s="13">
        <f>SUMIF(H:H,Online_eCommerce[[#This Row],[Brand]],M:M)</f>
        <v>6558630</v>
      </c>
      <c r="T3964" s="13">
        <f>SUMIF(N:N,Online_eCommerce[[#This Row],[Assigned Supervisor]],L:L)</f>
        <v>12261500</v>
      </c>
    </row>
    <row r="3965" spans="1:20" hidden="1" x14ac:dyDescent="0.3">
      <c r="A3965" t="s">
        <v>5879</v>
      </c>
      <c r="B3965" t="s">
        <v>215</v>
      </c>
      <c r="C3965" t="s">
        <v>105</v>
      </c>
      <c r="D3965" t="s">
        <v>5828</v>
      </c>
      <c r="E3965" t="s">
        <v>161</v>
      </c>
      <c r="F3965" t="s">
        <v>126</v>
      </c>
      <c r="G3965" t="s">
        <v>26</v>
      </c>
      <c r="H3965" t="s">
        <v>27</v>
      </c>
      <c r="I3965">
        <v>14500</v>
      </c>
      <c r="J3965">
        <v>18850</v>
      </c>
      <c r="K3965">
        <v>2</v>
      </c>
      <c r="L3965">
        <v>29000</v>
      </c>
      <c r="M3965">
        <v>37700</v>
      </c>
      <c r="N3965" t="s">
        <v>50</v>
      </c>
      <c r="O3965">
        <f t="shared" si="122"/>
        <v>33150</v>
      </c>
      <c r="P3965" s="13">
        <f t="shared" si="123"/>
        <v>1866852</v>
      </c>
      <c r="Q3965" s="13">
        <f>SUMIFS(M:M,E:E,Online_eCommerce[[#This Row],[Status]])</f>
        <v>21103186</v>
      </c>
      <c r="R3965" s="13">
        <f>SUMIFS(L:L,H:H,Online_eCommerce[[#This Row],[Brand]])</f>
        <v>14431000</v>
      </c>
      <c r="S3965" s="13">
        <f>SUMIF(H:H,Online_eCommerce[[#This Row],[Brand]],M:M)</f>
        <v>18760300</v>
      </c>
      <c r="T3965" s="13">
        <f>SUMIF(N:N,Online_eCommerce[[#This Row],[Assigned Supervisor]],L:L)</f>
        <v>12100590</v>
      </c>
    </row>
    <row r="3966" spans="1:20" x14ac:dyDescent="0.3">
      <c r="A3966" t="s">
        <v>5880</v>
      </c>
      <c r="B3966" t="s">
        <v>306</v>
      </c>
      <c r="C3966" t="s">
        <v>110</v>
      </c>
      <c r="D3966" t="s">
        <v>5828</v>
      </c>
      <c r="E3966" t="s">
        <v>46</v>
      </c>
      <c r="F3966" t="s">
        <v>129</v>
      </c>
      <c r="G3966" t="s">
        <v>60</v>
      </c>
      <c r="H3966" t="s">
        <v>61</v>
      </c>
      <c r="I3966">
        <v>800</v>
      </c>
      <c r="J3966">
        <v>1040</v>
      </c>
      <c r="K3966">
        <v>4</v>
      </c>
      <c r="L3966">
        <v>3200</v>
      </c>
      <c r="M3966">
        <v>4160</v>
      </c>
      <c r="N3966" t="s">
        <v>56</v>
      </c>
      <c r="O3966">
        <f t="shared" si="122"/>
        <v>3315</v>
      </c>
      <c r="P3966" s="13">
        <f t="shared" si="123"/>
        <v>2598635</v>
      </c>
      <c r="Q3966" s="13">
        <f>SUMIFS(M:M,E:E,Online_eCommerce[[#This Row],[Status]])</f>
        <v>28620410</v>
      </c>
      <c r="R3966" s="13">
        <f>SUMIFS(L:L,H:H,Online_eCommerce[[#This Row],[Brand]])</f>
        <v>10950150</v>
      </c>
      <c r="S3966" s="13">
        <f>SUMIF(H:H,Online_eCommerce[[#This Row],[Brand]],M:M)</f>
        <v>14235195</v>
      </c>
      <c r="T3966" s="13">
        <f>SUMIF(N:N,Online_eCommerce[[#This Row],[Assigned Supervisor]],L:L)</f>
        <v>11733610</v>
      </c>
    </row>
    <row r="3967" spans="1:20" hidden="1" x14ac:dyDescent="0.3">
      <c r="A3967" t="s">
        <v>5881</v>
      </c>
      <c r="B3967" t="s">
        <v>528</v>
      </c>
      <c r="C3967" t="s">
        <v>115</v>
      </c>
      <c r="D3967" t="s">
        <v>5828</v>
      </c>
      <c r="E3967" t="s">
        <v>96</v>
      </c>
      <c r="F3967" t="s">
        <v>133</v>
      </c>
      <c r="G3967" t="s">
        <v>66</v>
      </c>
      <c r="H3967" t="s">
        <v>21</v>
      </c>
      <c r="I3967">
        <v>600</v>
      </c>
      <c r="J3967">
        <v>780</v>
      </c>
      <c r="K3967">
        <v>4</v>
      </c>
      <c r="L3967">
        <v>2400</v>
      </c>
      <c r="M3967">
        <v>3120</v>
      </c>
      <c r="N3967" t="s">
        <v>22</v>
      </c>
      <c r="O3967">
        <f t="shared" si="122"/>
        <v>1690</v>
      </c>
      <c r="P3967" s="13">
        <f t="shared" si="123"/>
        <v>2050178</v>
      </c>
      <c r="Q3967" s="13">
        <f>SUMIFS(M:M,E:E,Online_eCommerce[[#This Row],[Status]])</f>
        <v>21233992</v>
      </c>
      <c r="R3967" s="13">
        <f>SUMIFS(L:L,H:H,Online_eCommerce[[#This Row],[Brand]])</f>
        <v>12435650</v>
      </c>
      <c r="S3967" s="13">
        <f>SUMIF(H:H,Online_eCommerce[[#This Row],[Brand]],M:M)</f>
        <v>16166345</v>
      </c>
      <c r="T3967" s="13">
        <f>SUMIF(N:N,Online_eCommerce[[#This Row],[Assigned Supervisor]],L:L)</f>
        <v>13693220</v>
      </c>
    </row>
    <row r="3968" spans="1:20" hidden="1" x14ac:dyDescent="0.3">
      <c r="A3968" t="s">
        <v>5882</v>
      </c>
      <c r="B3968" t="s">
        <v>73</v>
      </c>
      <c r="C3968" t="s">
        <v>120</v>
      </c>
      <c r="D3968" t="s">
        <v>5828</v>
      </c>
      <c r="E3968" t="s">
        <v>18</v>
      </c>
      <c r="F3968" t="s">
        <v>137</v>
      </c>
      <c r="G3968" t="s">
        <v>71</v>
      </c>
      <c r="H3968" t="s">
        <v>61</v>
      </c>
      <c r="I3968">
        <v>10500</v>
      </c>
      <c r="J3968">
        <v>13650</v>
      </c>
      <c r="K3968">
        <v>4</v>
      </c>
      <c r="L3968">
        <v>42000</v>
      </c>
      <c r="M3968">
        <v>54600</v>
      </c>
      <c r="N3968" t="s">
        <v>28</v>
      </c>
      <c r="O3968">
        <f t="shared" si="122"/>
        <v>9750</v>
      </c>
      <c r="P3968" s="13">
        <f t="shared" si="123"/>
        <v>2734212</v>
      </c>
      <c r="Q3968" s="13">
        <f>SUMIFS(M:M,E:E,Online_eCommerce[[#This Row],[Status]])</f>
        <v>28340455</v>
      </c>
      <c r="R3968" s="13">
        <f>SUMIFS(L:L,H:H,Online_eCommerce[[#This Row],[Brand]])</f>
        <v>10950150</v>
      </c>
      <c r="S3968" s="13">
        <f>SUMIF(H:H,Online_eCommerce[[#This Row],[Brand]],M:M)</f>
        <v>14235195</v>
      </c>
      <c r="T3968" s="13">
        <f>SUMIF(N:N,Online_eCommerce[[#This Row],[Assigned Supervisor]],L:L)</f>
        <v>12220830</v>
      </c>
    </row>
    <row r="3969" spans="1:20" hidden="1" x14ac:dyDescent="0.3">
      <c r="A3969" t="s">
        <v>5883</v>
      </c>
      <c r="B3969" t="s">
        <v>80</v>
      </c>
      <c r="C3969" t="s">
        <v>125</v>
      </c>
      <c r="D3969" t="s">
        <v>5828</v>
      </c>
      <c r="E3969" t="s">
        <v>161</v>
      </c>
      <c r="F3969" t="s">
        <v>5854</v>
      </c>
      <c r="G3969" t="s">
        <v>77</v>
      </c>
      <c r="H3969" t="s">
        <v>142</v>
      </c>
      <c r="I3969">
        <v>6500</v>
      </c>
      <c r="J3969">
        <v>8450</v>
      </c>
      <c r="K3969">
        <v>4</v>
      </c>
      <c r="L3969">
        <v>26000</v>
      </c>
      <c r="M3969">
        <v>33800</v>
      </c>
      <c r="N3969" t="s">
        <v>35</v>
      </c>
      <c r="O3969">
        <f t="shared" si="122"/>
        <v>39000</v>
      </c>
      <c r="P3969" s="13">
        <f t="shared" si="123"/>
        <v>2091154</v>
      </c>
      <c r="Q3969" s="13">
        <f>SUMIFS(M:M,E:E,Online_eCommerce[[#This Row],[Status]])</f>
        <v>21103186</v>
      </c>
      <c r="R3969" s="13">
        <f>SUMIFS(L:L,H:H,Online_eCommerce[[#This Row],[Brand]])</f>
        <v>6192500</v>
      </c>
      <c r="S3969" s="13">
        <f>SUMIF(H:H,Online_eCommerce[[#This Row],[Brand]],M:M)</f>
        <v>8050250</v>
      </c>
      <c r="T3969" s="13">
        <f>SUMIF(N:N,Online_eCommerce[[#This Row],[Assigned Supervisor]],L:L)</f>
        <v>14373360</v>
      </c>
    </row>
    <row r="3970" spans="1:20" x14ac:dyDescent="0.3">
      <c r="A3970" t="s">
        <v>5884</v>
      </c>
      <c r="B3970" t="s">
        <v>85</v>
      </c>
      <c r="C3970" t="s">
        <v>22</v>
      </c>
      <c r="D3970" t="s">
        <v>5828</v>
      </c>
      <c r="E3970" t="s">
        <v>46</v>
      </c>
      <c r="F3970" t="s">
        <v>5885</v>
      </c>
      <c r="G3970" t="s">
        <v>20</v>
      </c>
      <c r="H3970" t="s">
        <v>21</v>
      </c>
      <c r="I3970">
        <v>4500</v>
      </c>
      <c r="J3970">
        <v>5850</v>
      </c>
      <c r="K3970">
        <v>3</v>
      </c>
      <c r="L3970">
        <v>13500</v>
      </c>
      <c r="M3970">
        <v>17550</v>
      </c>
      <c r="N3970" t="s">
        <v>42</v>
      </c>
      <c r="O3970">
        <f t="shared" ref="O3970:O4033" si="124">VLOOKUP(G3970,G:M,7,FALSE)</f>
        <v>8450</v>
      </c>
      <c r="P3970" s="13">
        <f t="shared" ref="P3970:P4033" si="125">SUMIFS(M:M,C:C,C3970)</f>
        <v>2551588</v>
      </c>
      <c r="Q3970" s="13">
        <f>SUMIFS(M:M,E:E,Online_eCommerce[[#This Row],[Status]])</f>
        <v>28620410</v>
      </c>
      <c r="R3970" s="13">
        <f>SUMIFS(L:L,H:H,Online_eCommerce[[#This Row],[Brand]])</f>
        <v>12435650</v>
      </c>
      <c r="S3970" s="13">
        <f>SUMIF(H:H,Online_eCommerce[[#This Row],[Brand]],M:M)</f>
        <v>16166345</v>
      </c>
      <c r="T3970" s="13">
        <f>SUMIF(N:N,Online_eCommerce[[#This Row],[Assigned Supervisor]],L:L)</f>
        <v>12261500</v>
      </c>
    </row>
    <row r="3971" spans="1:20" hidden="1" x14ac:dyDescent="0.3">
      <c r="A3971" t="s">
        <v>5886</v>
      </c>
      <c r="B3971" t="s">
        <v>90</v>
      </c>
      <c r="C3971" t="s">
        <v>132</v>
      </c>
      <c r="D3971" t="s">
        <v>5828</v>
      </c>
      <c r="E3971" t="s">
        <v>96</v>
      </c>
      <c r="F3971" t="s">
        <v>152</v>
      </c>
      <c r="G3971" t="s">
        <v>26</v>
      </c>
      <c r="H3971" t="s">
        <v>27</v>
      </c>
      <c r="I3971">
        <v>8500</v>
      </c>
      <c r="J3971">
        <v>11050</v>
      </c>
      <c r="K3971">
        <v>4</v>
      </c>
      <c r="L3971">
        <v>34000</v>
      </c>
      <c r="M3971">
        <v>44200</v>
      </c>
      <c r="N3971" t="s">
        <v>50</v>
      </c>
      <c r="O3971">
        <f t="shared" si="124"/>
        <v>33150</v>
      </c>
      <c r="P3971" s="13">
        <f t="shared" si="125"/>
        <v>1989065</v>
      </c>
      <c r="Q3971" s="13">
        <f>SUMIFS(M:M,E:E,Online_eCommerce[[#This Row],[Status]])</f>
        <v>21233992</v>
      </c>
      <c r="R3971" s="13">
        <f>SUMIFS(L:L,H:H,Online_eCommerce[[#This Row],[Brand]])</f>
        <v>14431000</v>
      </c>
      <c r="S3971" s="13">
        <f>SUMIF(H:H,Online_eCommerce[[#This Row],[Brand]],M:M)</f>
        <v>18760300</v>
      </c>
      <c r="T3971" s="13">
        <f>SUMIF(N:N,Online_eCommerce[[#This Row],[Assigned Supervisor]],L:L)</f>
        <v>12100590</v>
      </c>
    </row>
    <row r="3972" spans="1:20" hidden="1" x14ac:dyDescent="0.3">
      <c r="A3972" t="s">
        <v>5887</v>
      </c>
      <c r="B3972" t="s">
        <v>232</v>
      </c>
      <c r="C3972" t="s">
        <v>136</v>
      </c>
      <c r="D3972" t="s">
        <v>5828</v>
      </c>
      <c r="E3972" t="s">
        <v>18</v>
      </c>
      <c r="F3972" t="s">
        <v>157</v>
      </c>
      <c r="G3972" t="s">
        <v>33</v>
      </c>
      <c r="H3972" t="s">
        <v>34</v>
      </c>
      <c r="I3972">
        <v>12500</v>
      </c>
      <c r="J3972">
        <v>16250</v>
      </c>
      <c r="K3972">
        <v>3</v>
      </c>
      <c r="L3972">
        <v>37500</v>
      </c>
      <c r="M3972">
        <v>48750</v>
      </c>
      <c r="N3972" t="s">
        <v>35</v>
      </c>
      <c r="O3972">
        <f t="shared" si="124"/>
        <v>18200</v>
      </c>
      <c r="P3972" s="13">
        <f t="shared" si="125"/>
        <v>2775162</v>
      </c>
      <c r="Q3972" s="13">
        <f>SUMIFS(M:M,E:E,Online_eCommerce[[#This Row],[Status]])</f>
        <v>28340455</v>
      </c>
      <c r="R3972" s="13">
        <f>SUMIFS(L:L,H:H,Online_eCommerce[[#This Row],[Brand]])</f>
        <v>10087000</v>
      </c>
      <c r="S3972" s="13">
        <f>SUMIF(H:H,Online_eCommerce[[#This Row],[Brand]],M:M)</f>
        <v>13113100</v>
      </c>
      <c r="T3972" s="13">
        <f>SUMIF(N:N,Online_eCommerce[[#This Row],[Assigned Supervisor]],L:L)</f>
        <v>14373360</v>
      </c>
    </row>
    <row r="3973" spans="1:20" hidden="1" x14ac:dyDescent="0.3">
      <c r="A3973" t="s">
        <v>5888</v>
      </c>
      <c r="B3973" t="s">
        <v>235</v>
      </c>
      <c r="C3973" t="s">
        <v>140</v>
      </c>
      <c r="D3973" t="s">
        <v>5828</v>
      </c>
      <c r="E3973" t="s">
        <v>161</v>
      </c>
      <c r="F3973" t="s">
        <v>5562</v>
      </c>
      <c r="G3973" t="s">
        <v>40</v>
      </c>
      <c r="H3973" t="s">
        <v>41</v>
      </c>
      <c r="I3973">
        <v>3500</v>
      </c>
      <c r="J3973">
        <v>4550</v>
      </c>
      <c r="K3973">
        <v>3</v>
      </c>
      <c r="L3973">
        <v>10500</v>
      </c>
      <c r="M3973">
        <v>13650</v>
      </c>
      <c r="N3973" t="s">
        <v>35</v>
      </c>
      <c r="O3973">
        <f t="shared" si="124"/>
        <v>25545</v>
      </c>
      <c r="P3973" s="13">
        <f t="shared" si="125"/>
        <v>2058264</v>
      </c>
      <c r="Q3973" s="13">
        <f>SUMIFS(M:M,E:E,Online_eCommerce[[#This Row],[Status]])</f>
        <v>21103186</v>
      </c>
      <c r="R3973" s="13">
        <f>SUMIFS(L:L,H:H,Online_eCommerce[[#This Row],[Brand]])</f>
        <v>4260400</v>
      </c>
      <c r="S3973" s="13">
        <f>SUMIF(H:H,Online_eCommerce[[#This Row],[Brand]],M:M)</f>
        <v>5538520</v>
      </c>
      <c r="T3973" s="13">
        <f>SUMIF(N:N,Online_eCommerce[[#This Row],[Assigned Supervisor]],L:L)</f>
        <v>14373360</v>
      </c>
    </row>
    <row r="3974" spans="1:20" x14ac:dyDescent="0.3">
      <c r="A3974" t="s">
        <v>5889</v>
      </c>
      <c r="B3974" t="s">
        <v>104</v>
      </c>
      <c r="C3974" t="s">
        <v>145</v>
      </c>
      <c r="D3974" t="s">
        <v>5828</v>
      </c>
      <c r="E3974" t="s">
        <v>46</v>
      </c>
      <c r="F3974" t="s">
        <v>166</v>
      </c>
      <c r="G3974" t="s">
        <v>334</v>
      </c>
      <c r="H3974" t="s">
        <v>49</v>
      </c>
      <c r="I3974">
        <v>4500</v>
      </c>
      <c r="J3974">
        <v>5850</v>
      </c>
      <c r="K3974">
        <v>3</v>
      </c>
      <c r="L3974">
        <v>13500</v>
      </c>
      <c r="M3974">
        <v>17550</v>
      </c>
      <c r="N3974" t="s">
        <v>35</v>
      </c>
      <c r="O3974">
        <f t="shared" si="124"/>
        <v>39780</v>
      </c>
      <c r="P3974" s="13">
        <f t="shared" si="125"/>
        <v>2757859</v>
      </c>
      <c r="Q3974" s="13">
        <f>SUMIFS(M:M,E:E,Online_eCommerce[[#This Row],[Status]])</f>
        <v>28620410</v>
      </c>
      <c r="R3974" s="13">
        <f>SUMIFS(L:L,H:H,Online_eCommerce[[#This Row],[Brand]])</f>
        <v>4528350</v>
      </c>
      <c r="S3974" s="13">
        <f>SUMIF(H:H,Online_eCommerce[[#This Row],[Brand]],M:M)</f>
        <v>5886855</v>
      </c>
      <c r="T3974" s="13">
        <f>SUMIF(N:N,Online_eCommerce[[#This Row],[Assigned Supervisor]],L:L)</f>
        <v>14373360</v>
      </c>
    </row>
    <row r="3975" spans="1:20" hidden="1" x14ac:dyDescent="0.3">
      <c r="A3975" t="s">
        <v>5890</v>
      </c>
      <c r="B3975" t="s">
        <v>109</v>
      </c>
      <c r="C3975" t="s">
        <v>150</v>
      </c>
      <c r="D3975" t="s">
        <v>5828</v>
      </c>
      <c r="E3975" t="s">
        <v>96</v>
      </c>
      <c r="F3975" t="s">
        <v>5891</v>
      </c>
      <c r="G3975" t="s">
        <v>54</v>
      </c>
      <c r="H3975" t="s">
        <v>55</v>
      </c>
      <c r="I3975">
        <v>2100</v>
      </c>
      <c r="J3975">
        <v>2730</v>
      </c>
      <c r="K3975">
        <v>4</v>
      </c>
      <c r="L3975">
        <v>8400</v>
      </c>
      <c r="M3975">
        <v>10920</v>
      </c>
      <c r="N3975" t="s">
        <v>35</v>
      </c>
      <c r="O3975">
        <f t="shared" si="124"/>
        <v>2990</v>
      </c>
      <c r="P3975" s="13">
        <f t="shared" si="125"/>
        <v>2154984</v>
      </c>
      <c r="Q3975" s="13">
        <f>SUMIFS(M:M,E:E,Online_eCommerce[[#This Row],[Status]])</f>
        <v>21233992</v>
      </c>
      <c r="R3975" s="13">
        <f>SUMIFS(L:L,H:H,Online_eCommerce[[#This Row],[Brand]])</f>
        <v>2267380</v>
      </c>
      <c r="S3975" s="13">
        <f>SUMIF(H:H,Online_eCommerce[[#This Row],[Brand]],M:M)</f>
        <v>2947594</v>
      </c>
      <c r="T3975" s="13">
        <f>SUMIF(N:N,Online_eCommerce[[#This Row],[Assigned Supervisor]],L:L)</f>
        <v>14373360</v>
      </c>
    </row>
    <row r="3976" spans="1:20" hidden="1" x14ac:dyDescent="0.3">
      <c r="A3976" t="s">
        <v>5892</v>
      </c>
      <c r="B3976" t="s">
        <v>114</v>
      </c>
      <c r="C3976" t="s">
        <v>155</v>
      </c>
      <c r="D3976" t="s">
        <v>5828</v>
      </c>
      <c r="E3976" t="s">
        <v>18</v>
      </c>
      <c r="F3976" t="s">
        <v>174</v>
      </c>
      <c r="G3976" t="s">
        <v>60</v>
      </c>
      <c r="H3976" t="s">
        <v>61</v>
      </c>
      <c r="I3976">
        <v>1150</v>
      </c>
      <c r="J3976">
        <v>1495</v>
      </c>
      <c r="K3976">
        <v>2</v>
      </c>
      <c r="L3976">
        <v>2300</v>
      </c>
      <c r="M3976">
        <v>2990</v>
      </c>
      <c r="N3976" t="s">
        <v>35</v>
      </c>
      <c r="O3976">
        <f t="shared" si="124"/>
        <v>3315</v>
      </c>
      <c r="P3976" s="13">
        <f t="shared" si="125"/>
        <v>2753348</v>
      </c>
      <c r="Q3976" s="13">
        <f>SUMIFS(M:M,E:E,Online_eCommerce[[#This Row],[Status]])</f>
        <v>28340455</v>
      </c>
      <c r="R3976" s="13">
        <f>SUMIFS(L:L,H:H,Online_eCommerce[[#This Row],[Brand]])</f>
        <v>10950150</v>
      </c>
      <c r="S3976" s="13">
        <f>SUMIF(H:H,Online_eCommerce[[#This Row],[Brand]],M:M)</f>
        <v>14235195</v>
      </c>
      <c r="T3976" s="13">
        <f>SUMIF(N:N,Online_eCommerce[[#This Row],[Assigned Supervisor]],L:L)</f>
        <v>14373360</v>
      </c>
    </row>
    <row r="3977" spans="1:20" hidden="1" x14ac:dyDescent="0.3">
      <c r="A3977" t="s">
        <v>5893</v>
      </c>
      <c r="B3977" t="s">
        <v>119</v>
      </c>
      <c r="C3977" t="s">
        <v>160</v>
      </c>
      <c r="D3977" t="s">
        <v>5828</v>
      </c>
      <c r="E3977" t="s">
        <v>161</v>
      </c>
      <c r="F3977" t="s">
        <v>179</v>
      </c>
      <c r="G3977" t="s">
        <v>66</v>
      </c>
      <c r="H3977" t="s">
        <v>21</v>
      </c>
      <c r="I3977">
        <v>350</v>
      </c>
      <c r="J3977">
        <v>455</v>
      </c>
      <c r="K3977">
        <v>1</v>
      </c>
      <c r="L3977">
        <v>350</v>
      </c>
      <c r="M3977">
        <v>455</v>
      </c>
      <c r="N3977" t="s">
        <v>35</v>
      </c>
      <c r="O3977">
        <f t="shared" si="124"/>
        <v>1690</v>
      </c>
      <c r="P3977" s="13">
        <f t="shared" si="125"/>
        <v>2303483</v>
      </c>
      <c r="Q3977" s="13">
        <f>SUMIFS(M:M,E:E,Online_eCommerce[[#This Row],[Status]])</f>
        <v>21103186</v>
      </c>
      <c r="R3977" s="13">
        <f>SUMIFS(L:L,H:H,Online_eCommerce[[#This Row],[Brand]])</f>
        <v>12435650</v>
      </c>
      <c r="S3977" s="13">
        <f>SUMIF(H:H,Online_eCommerce[[#This Row],[Brand]],M:M)</f>
        <v>16166345</v>
      </c>
      <c r="T3977" s="13">
        <f>SUMIF(N:N,Online_eCommerce[[#This Row],[Assigned Supervisor]],L:L)</f>
        <v>14373360</v>
      </c>
    </row>
    <row r="3978" spans="1:20" x14ac:dyDescent="0.3">
      <c r="A3978" t="s">
        <v>5894</v>
      </c>
      <c r="B3978" t="s">
        <v>124</v>
      </c>
      <c r="C3978" t="s">
        <v>165</v>
      </c>
      <c r="D3978" t="s">
        <v>5828</v>
      </c>
      <c r="E3978" t="s">
        <v>46</v>
      </c>
      <c r="F3978" t="s">
        <v>183</v>
      </c>
      <c r="G3978" t="s">
        <v>71</v>
      </c>
      <c r="H3978" t="s">
        <v>61</v>
      </c>
      <c r="I3978">
        <v>9500</v>
      </c>
      <c r="J3978">
        <v>12350</v>
      </c>
      <c r="K3978">
        <v>4</v>
      </c>
      <c r="L3978">
        <v>38000</v>
      </c>
      <c r="M3978">
        <v>49400</v>
      </c>
      <c r="N3978" t="s">
        <v>35</v>
      </c>
      <c r="O3978">
        <f t="shared" si="124"/>
        <v>9750</v>
      </c>
      <c r="P3978" s="13">
        <f t="shared" si="125"/>
        <v>2674087</v>
      </c>
      <c r="Q3978" s="13">
        <f>SUMIFS(M:M,E:E,Online_eCommerce[[#This Row],[Status]])</f>
        <v>28620410</v>
      </c>
      <c r="R3978" s="13">
        <f>SUMIFS(L:L,H:H,Online_eCommerce[[#This Row],[Brand]])</f>
        <v>10950150</v>
      </c>
      <c r="S3978" s="13">
        <f>SUMIF(H:H,Online_eCommerce[[#This Row],[Brand]],M:M)</f>
        <v>14235195</v>
      </c>
      <c r="T3978" s="13">
        <f>SUMIF(N:N,Online_eCommerce[[#This Row],[Assigned Supervisor]],L:L)</f>
        <v>14373360</v>
      </c>
    </row>
    <row r="3979" spans="1:20" hidden="1" x14ac:dyDescent="0.3">
      <c r="A3979" t="s">
        <v>5895</v>
      </c>
      <c r="B3979" t="s">
        <v>128</v>
      </c>
      <c r="C3979" t="s">
        <v>168</v>
      </c>
      <c r="D3979" t="s">
        <v>5828</v>
      </c>
      <c r="E3979" t="s">
        <v>96</v>
      </c>
      <c r="F3979" t="s">
        <v>5896</v>
      </c>
      <c r="G3979" t="s">
        <v>77</v>
      </c>
      <c r="H3979" t="s">
        <v>142</v>
      </c>
      <c r="I3979">
        <v>10000</v>
      </c>
      <c r="J3979">
        <v>13000</v>
      </c>
      <c r="K3979">
        <v>4</v>
      </c>
      <c r="L3979">
        <v>40000</v>
      </c>
      <c r="M3979">
        <v>52000</v>
      </c>
      <c r="N3979" t="s">
        <v>35</v>
      </c>
      <c r="O3979">
        <f t="shared" si="124"/>
        <v>39000</v>
      </c>
      <c r="P3979" s="13">
        <f t="shared" si="125"/>
        <v>1937780</v>
      </c>
      <c r="Q3979" s="13">
        <f>SUMIFS(M:M,E:E,Online_eCommerce[[#This Row],[Status]])</f>
        <v>21233992</v>
      </c>
      <c r="R3979" s="13">
        <f>SUMIFS(L:L,H:H,Online_eCommerce[[#This Row],[Brand]])</f>
        <v>6192500</v>
      </c>
      <c r="S3979" s="13">
        <f>SUMIF(H:H,Online_eCommerce[[#This Row],[Brand]],M:M)</f>
        <v>8050250</v>
      </c>
      <c r="T3979" s="13">
        <f>SUMIF(N:N,Online_eCommerce[[#This Row],[Assigned Supervisor]],L:L)</f>
        <v>14373360</v>
      </c>
    </row>
    <row r="3980" spans="1:20" hidden="1" x14ac:dyDescent="0.3">
      <c r="A3980" t="s">
        <v>5897</v>
      </c>
      <c r="B3980" t="s">
        <v>131</v>
      </c>
      <c r="C3980" t="s">
        <v>172</v>
      </c>
      <c r="D3980" t="s">
        <v>5828</v>
      </c>
      <c r="E3980" t="s">
        <v>18</v>
      </c>
      <c r="F3980" t="s">
        <v>5898</v>
      </c>
      <c r="G3980" t="s">
        <v>20</v>
      </c>
      <c r="H3980" t="s">
        <v>21</v>
      </c>
      <c r="I3980">
        <v>6500</v>
      </c>
      <c r="J3980">
        <v>8450</v>
      </c>
      <c r="K3980">
        <v>3</v>
      </c>
      <c r="L3980">
        <v>19500</v>
      </c>
      <c r="M3980">
        <v>25350</v>
      </c>
      <c r="N3980" t="s">
        <v>35</v>
      </c>
      <c r="O3980">
        <f t="shared" si="124"/>
        <v>8450</v>
      </c>
      <c r="P3980" s="13">
        <f t="shared" si="125"/>
        <v>2640274</v>
      </c>
      <c r="Q3980" s="13">
        <f>SUMIFS(M:M,E:E,Online_eCommerce[[#This Row],[Status]])</f>
        <v>28340455</v>
      </c>
      <c r="R3980" s="13">
        <f>SUMIFS(L:L,H:H,Online_eCommerce[[#This Row],[Brand]])</f>
        <v>12435650</v>
      </c>
      <c r="S3980" s="13">
        <f>SUMIF(H:H,Online_eCommerce[[#This Row],[Brand]],M:M)</f>
        <v>16166345</v>
      </c>
      <c r="T3980" s="13">
        <f>SUMIF(N:N,Online_eCommerce[[#This Row],[Assigned Supervisor]],L:L)</f>
        <v>14373360</v>
      </c>
    </row>
    <row r="3981" spans="1:20" hidden="1" x14ac:dyDescent="0.3">
      <c r="A3981" t="s">
        <v>5899</v>
      </c>
      <c r="B3981" t="s">
        <v>135</v>
      </c>
      <c r="C3981" t="s">
        <v>177</v>
      </c>
      <c r="D3981" t="s">
        <v>5828</v>
      </c>
      <c r="E3981" t="s">
        <v>161</v>
      </c>
      <c r="F3981" t="s">
        <v>5900</v>
      </c>
      <c r="G3981" t="s">
        <v>26</v>
      </c>
      <c r="H3981" t="s">
        <v>27</v>
      </c>
      <c r="I3981">
        <v>8500</v>
      </c>
      <c r="J3981">
        <v>11050</v>
      </c>
      <c r="K3981">
        <v>1</v>
      </c>
      <c r="L3981">
        <v>8500</v>
      </c>
      <c r="M3981">
        <v>11050</v>
      </c>
      <c r="N3981" t="s">
        <v>35</v>
      </c>
      <c r="O3981">
        <f t="shared" si="124"/>
        <v>33150</v>
      </c>
      <c r="P3981" s="13">
        <f t="shared" si="125"/>
        <v>1863810</v>
      </c>
      <c r="Q3981" s="13">
        <f>SUMIFS(M:M,E:E,Online_eCommerce[[#This Row],[Status]])</f>
        <v>21103186</v>
      </c>
      <c r="R3981" s="13">
        <f>SUMIFS(L:L,H:H,Online_eCommerce[[#This Row],[Brand]])</f>
        <v>14431000</v>
      </c>
      <c r="S3981" s="13">
        <f>SUMIF(H:H,Online_eCommerce[[#This Row],[Brand]],M:M)</f>
        <v>18760300</v>
      </c>
      <c r="T3981" s="13">
        <f>SUMIF(N:N,Online_eCommerce[[#This Row],[Assigned Supervisor]],L:L)</f>
        <v>14373360</v>
      </c>
    </row>
    <row r="3982" spans="1:20" x14ac:dyDescent="0.3">
      <c r="A3982" t="s">
        <v>5901</v>
      </c>
      <c r="B3982" t="s">
        <v>139</v>
      </c>
      <c r="C3982" t="s">
        <v>181</v>
      </c>
      <c r="D3982" t="s">
        <v>5828</v>
      </c>
      <c r="E3982" t="s">
        <v>46</v>
      </c>
      <c r="F3982" t="s">
        <v>32</v>
      </c>
      <c r="G3982" t="s">
        <v>33</v>
      </c>
      <c r="H3982" t="s">
        <v>34</v>
      </c>
      <c r="I3982">
        <v>7000</v>
      </c>
      <c r="J3982">
        <v>9100</v>
      </c>
      <c r="K3982">
        <v>2</v>
      </c>
      <c r="L3982">
        <v>14000</v>
      </c>
      <c r="M3982">
        <v>18200</v>
      </c>
      <c r="N3982" t="s">
        <v>42</v>
      </c>
      <c r="O3982">
        <f t="shared" si="124"/>
        <v>18200</v>
      </c>
      <c r="P3982" s="13">
        <f t="shared" si="125"/>
        <v>2577458</v>
      </c>
      <c r="Q3982" s="13">
        <f>SUMIFS(M:M,E:E,Online_eCommerce[[#This Row],[Status]])</f>
        <v>28620410</v>
      </c>
      <c r="R3982" s="13">
        <f>SUMIFS(L:L,H:H,Online_eCommerce[[#This Row],[Brand]])</f>
        <v>10087000</v>
      </c>
      <c r="S3982" s="13">
        <f>SUMIF(H:H,Online_eCommerce[[#This Row],[Brand]],M:M)</f>
        <v>13113100</v>
      </c>
      <c r="T3982" s="13">
        <f>SUMIF(N:N,Online_eCommerce[[#This Row],[Assigned Supervisor]],L:L)</f>
        <v>12261500</v>
      </c>
    </row>
    <row r="3983" spans="1:20" hidden="1" x14ac:dyDescent="0.3">
      <c r="A3983" t="s">
        <v>5902</v>
      </c>
      <c r="B3983" t="s">
        <v>144</v>
      </c>
      <c r="C3983" t="s">
        <v>185</v>
      </c>
      <c r="D3983" t="s">
        <v>5828</v>
      </c>
      <c r="E3983" t="s">
        <v>96</v>
      </c>
      <c r="F3983" t="s">
        <v>5903</v>
      </c>
      <c r="G3983" t="s">
        <v>40</v>
      </c>
      <c r="H3983" t="s">
        <v>41</v>
      </c>
      <c r="I3983">
        <v>6550</v>
      </c>
      <c r="J3983">
        <v>8515</v>
      </c>
      <c r="K3983">
        <v>4</v>
      </c>
      <c r="L3983">
        <v>26200</v>
      </c>
      <c r="M3983">
        <v>34060</v>
      </c>
      <c r="N3983" t="s">
        <v>50</v>
      </c>
      <c r="O3983">
        <f t="shared" si="124"/>
        <v>25545</v>
      </c>
      <c r="P3983" s="13">
        <f t="shared" si="125"/>
        <v>2091596</v>
      </c>
      <c r="Q3983" s="13">
        <f>SUMIFS(M:M,E:E,Online_eCommerce[[#This Row],[Status]])</f>
        <v>21233992</v>
      </c>
      <c r="R3983" s="13">
        <f>SUMIFS(L:L,H:H,Online_eCommerce[[#This Row],[Brand]])</f>
        <v>4260400</v>
      </c>
      <c r="S3983" s="13">
        <f>SUMIF(H:H,Online_eCommerce[[#This Row],[Brand]],M:M)</f>
        <v>5538520</v>
      </c>
      <c r="T3983" s="13">
        <f>SUMIF(N:N,Online_eCommerce[[#This Row],[Assigned Supervisor]],L:L)</f>
        <v>12100590</v>
      </c>
    </row>
    <row r="3984" spans="1:20" hidden="1" x14ac:dyDescent="0.3">
      <c r="A3984" t="s">
        <v>5904</v>
      </c>
      <c r="B3984" t="s">
        <v>149</v>
      </c>
      <c r="C3984" t="s">
        <v>189</v>
      </c>
      <c r="D3984" t="s">
        <v>5828</v>
      </c>
      <c r="E3984" t="s">
        <v>18</v>
      </c>
      <c r="F3984" t="s">
        <v>47</v>
      </c>
      <c r="G3984" t="s">
        <v>334</v>
      </c>
      <c r="H3984" t="s">
        <v>49</v>
      </c>
      <c r="I3984">
        <v>7650</v>
      </c>
      <c r="J3984">
        <v>9945</v>
      </c>
      <c r="K3984">
        <v>3</v>
      </c>
      <c r="L3984">
        <v>22950</v>
      </c>
      <c r="M3984">
        <v>29835</v>
      </c>
      <c r="N3984" t="s">
        <v>56</v>
      </c>
      <c r="O3984">
        <f t="shared" si="124"/>
        <v>39780</v>
      </c>
      <c r="P3984" s="13">
        <f t="shared" si="125"/>
        <v>2740777</v>
      </c>
      <c r="Q3984" s="13">
        <f>SUMIFS(M:M,E:E,Online_eCommerce[[#This Row],[Status]])</f>
        <v>28340455</v>
      </c>
      <c r="R3984" s="13">
        <f>SUMIFS(L:L,H:H,Online_eCommerce[[#This Row],[Brand]])</f>
        <v>4528350</v>
      </c>
      <c r="S3984" s="13">
        <f>SUMIF(H:H,Online_eCommerce[[#This Row],[Brand]],M:M)</f>
        <v>5886855</v>
      </c>
      <c r="T3984" s="13">
        <f>SUMIF(N:N,Online_eCommerce[[#This Row],[Assigned Supervisor]],L:L)</f>
        <v>11733610</v>
      </c>
    </row>
    <row r="3985" spans="1:20" hidden="1" x14ac:dyDescent="0.3">
      <c r="A3985" t="s">
        <v>5905</v>
      </c>
      <c r="B3985" t="s">
        <v>154</v>
      </c>
      <c r="C3985" t="s">
        <v>193</v>
      </c>
      <c r="D3985" t="s">
        <v>5828</v>
      </c>
      <c r="E3985" t="s">
        <v>161</v>
      </c>
      <c r="F3985" t="s">
        <v>53</v>
      </c>
      <c r="G3985" t="s">
        <v>54</v>
      </c>
      <c r="H3985" t="s">
        <v>55</v>
      </c>
      <c r="I3985">
        <v>1150</v>
      </c>
      <c r="J3985">
        <v>1495</v>
      </c>
      <c r="K3985">
        <v>4</v>
      </c>
      <c r="L3985">
        <v>4600</v>
      </c>
      <c r="M3985">
        <v>5980</v>
      </c>
      <c r="N3985" t="s">
        <v>22</v>
      </c>
      <c r="O3985">
        <f t="shared" si="124"/>
        <v>2990</v>
      </c>
      <c r="P3985" s="13">
        <f t="shared" si="125"/>
        <v>2074774</v>
      </c>
      <c r="Q3985" s="13">
        <f>SUMIFS(M:M,E:E,Online_eCommerce[[#This Row],[Status]])</f>
        <v>21103186</v>
      </c>
      <c r="R3985" s="13">
        <f>SUMIFS(L:L,H:H,Online_eCommerce[[#This Row],[Brand]])</f>
        <v>2267380</v>
      </c>
      <c r="S3985" s="13">
        <f>SUMIF(H:H,Online_eCommerce[[#This Row],[Brand]],M:M)</f>
        <v>2947594</v>
      </c>
      <c r="T3985" s="13">
        <f>SUMIF(N:N,Online_eCommerce[[#This Row],[Assigned Supervisor]],L:L)</f>
        <v>13693220</v>
      </c>
    </row>
    <row r="3986" spans="1:20" x14ac:dyDescent="0.3">
      <c r="A3986" t="s">
        <v>5906</v>
      </c>
      <c r="B3986" t="s">
        <v>159</v>
      </c>
      <c r="C3986" t="s">
        <v>197</v>
      </c>
      <c r="D3986" t="s">
        <v>5828</v>
      </c>
      <c r="E3986" t="s">
        <v>46</v>
      </c>
      <c r="F3986" t="s">
        <v>59</v>
      </c>
      <c r="G3986" t="s">
        <v>60</v>
      </c>
      <c r="H3986" t="s">
        <v>61</v>
      </c>
      <c r="I3986">
        <v>850</v>
      </c>
      <c r="J3986">
        <v>1105</v>
      </c>
      <c r="K3986">
        <v>3</v>
      </c>
      <c r="L3986">
        <v>2550</v>
      </c>
      <c r="M3986">
        <v>3315</v>
      </c>
      <c r="N3986" t="s">
        <v>28</v>
      </c>
      <c r="O3986">
        <f t="shared" si="124"/>
        <v>3315</v>
      </c>
      <c r="P3986" s="13">
        <f t="shared" si="125"/>
        <v>2829840</v>
      </c>
      <c r="Q3986" s="13">
        <f>SUMIFS(M:M,E:E,Online_eCommerce[[#This Row],[Status]])</f>
        <v>28620410</v>
      </c>
      <c r="R3986" s="13">
        <f>SUMIFS(L:L,H:H,Online_eCommerce[[#This Row],[Brand]])</f>
        <v>10950150</v>
      </c>
      <c r="S3986" s="13">
        <f>SUMIF(H:H,Online_eCommerce[[#This Row],[Brand]],M:M)</f>
        <v>14235195</v>
      </c>
      <c r="T3986" s="13">
        <f>SUMIF(N:N,Online_eCommerce[[#This Row],[Assigned Supervisor]],L:L)</f>
        <v>12220830</v>
      </c>
    </row>
    <row r="3987" spans="1:20" hidden="1" x14ac:dyDescent="0.3">
      <c r="A3987" t="s">
        <v>5907</v>
      </c>
      <c r="B3987" t="s">
        <v>139</v>
      </c>
      <c r="C3987" t="s">
        <v>199</v>
      </c>
      <c r="D3987" t="s">
        <v>5828</v>
      </c>
      <c r="E3987" t="s">
        <v>96</v>
      </c>
      <c r="F3987" t="s">
        <v>65</v>
      </c>
      <c r="G3987" t="s">
        <v>66</v>
      </c>
      <c r="H3987" t="s">
        <v>21</v>
      </c>
      <c r="I3987">
        <v>650</v>
      </c>
      <c r="J3987">
        <v>845</v>
      </c>
      <c r="K3987">
        <v>4</v>
      </c>
      <c r="L3987">
        <v>2600</v>
      </c>
      <c r="M3987">
        <v>3380</v>
      </c>
      <c r="N3987" t="s">
        <v>35</v>
      </c>
      <c r="O3987">
        <f t="shared" si="124"/>
        <v>1690</v>
      </c>
      <c r="P3987" s="13">
        <f t="shared" si="125"/>
        <v>1947361</v>
      </c>
      <c r="Q3987" s="13">
        <f>SUMIFS(M:M,E:E,Online_eCommerce[[#This Row],[Status]])</f>
        <v>21233992</v>
      </c>
      <c r="R3987" s="13">
        <f>SUMIFS(L:L,H:H,Online_eCommerce[[#This Row],[Brand]])</f>
        <v>12435650</v>
      </c>
      <c r="S3987" s="13">
        <f>SUMIF(H:H,Online_eCommerce[[#This Row],[Brand]],M:M)</f>
        <v>16166345</v>
      </c>
      <c r="T3987" s="13">
        <f>SUMIF(N:N,Online_eCommerce[[#This Row],[Assigned Supervisor]],L:L)</f>
        <v>14373360</v>
      </c>
    </row>
    <row r="3988" spans="1:20" hidden="1" x14ac:dyDescent="0.3">
      <c r="A3988" t="s">
        <v>5908</v>
      </c>
      <c r="B3988" t="s">
        <v>144</v>
      </c>
      <c r="C3988" t="s">
        <v>203</v>
      </c>
      <c r="D3988" t="s">
        <v>5828</v>
      </c>
      <c r="E3988" t="s">
        <v>18</v>
      </c>
      <c r="F3988" t="s">
        <v>70</v>
      </c>
      <c r="G3988" t="s">
        <v>71</v>
      </c>
      <c r="H3988" t="s">
        <v>61</v>
      </c>
      <c r="I3988">
        <v>7500</v>
      </c>
      <c r="J3988">
        <v>9750</v>
      </c>
      <c r="K3988">
        <v>4</v>
      </c>
      <c r="L3988">
        <v>30000</v>
      </c>
      <c r="M3988">
        <v>39000</v>
      </c>
      <c r="N3988" t="s">
        <v>42</v>
      </c>
      <c r="O3988">
        <f t="shared" si="124"/>
        <v>9750</v>
      </c>
      <c r="P3988" s="13">
        <f t="shared" si="125"/>
        <v>2559635</v>
      </c>
      <c r="Q3988" s="13">
        <f>SUMIFS(M:M,E:E,Online_eCommerce[[#This Row],[Status]])</f>
        <v>28340455</v>
      </c>
      <c r="R3988" s="13">
        <f>SUMIFS(L:L,H:H,Online_eCommerce[[#This Row],[Brand]])</f>
        <v>10950150</v>
      </c>
      <c r="S3988" s="13">
        <f>SUMIF(H:H,Online_eCommerce[[#This Row],[Brand]],M:M)</f>
        <v>14235195</v>
      </c>
      <c r="T3988" s="13">
        <f>SUMIF(N:N,Online_eCommerce[[#This Row],[Assigned Supervisor]],L:L)</f>
        <v>12261500</v>
      </c>
    </row>
    <row r="3989" spans="1:20" hidden="1" x14ac:dyDescent="0.3">
      <c r="A3989" t="s">
        <v>5909</v>
      </c>
      <c r="B3989" t="s">
        <v>235</v>
      </c>
      <c r="C3989" t="s">
        <v>205</v>
      </c>
      <c r="D3989" t="s">
        <v>5828</v>
      </c>
      <c r="E3989" t="s">
        <v>161</v>
      </c>
      <c r="F3989" t="s">
        <v>5896</v>
      </c>
      <c r="G3989" t="s">
        <v>77</v>
      </c>
      <c r="H3989" t="s">
        <v>78</v>
      </c>
      <c r="I3989">
        <v>10000</v>
      </c>
      <c r="J3989">
        <v>13000</v>
      </c>
      <c r="K3989">
        <v>4</v>
      </c>
      <c r="L3989">
        <v>40000</v>
      </c>
      <c r="M3989">
        <v>52000</v>
      </c>
      <c r="N3989" t="s">
        <v>50</v>
      </c>
      <c r="O3989">
        <f t="shared" si="124"/>
        <v>39000</v>
      </c>
      <c r="P3989" s="13">
        <f t="shared" si="125"/>
        <v>1983254</v>
      </c>
      <c r="Q3989" s="13">
        <f>SUMIFS(M:M,E:E,Online_eCommerce[[#This Row],[Status]])</f>
        <v>21103186</v>
      </c>
      <c r="R3989" s="13">
        <f>SUMIFS(L:L,H:H,Online_eCommerce[[#This Row],[Brand]])</f>
        <v>3720000</v>
      </c>
      <c r="S3989" s="13">
        <f>SUMIF(H:H,Online_eCommerce[[#This Row],[Brand]],M:M)</f>
        <v>4836000</v>
      </c>
      <c r="T3989" s="13">
        <f>SUMIF(N:N,Online_eCommerce[[#This Row],[Assigned Supervisor]],L:L)</f>
        <v>12100590</v>
      </c>
    </row>
    <row r="3990" spans="1:20" x14ac:dyDescent="0.3">
      <c r="A3990" t="s">
        <v>5910</v>
      </c>
      <c r="B3990" t="s">
        <v>176</v>
      </c>
      <c r="C3990" t="s">
        <v>208</v>
      </c>
      <c r="D3990" t="s">
        <v>5828</v>
      </c>
      <c r="E3990" t="s">
        <v>46</v>
      </c>
      <c r="F3990" t="s">
        <v>5911</v>
      </c>
      <c r="G3990" t="s">
        <v>20</v>
      </c>
      <c r="H3990" t="s">
        <v>21</v>
      </c>
      <c r="I3990">
        <v>10500</v>
      </c>
      <c r="J3990">
        <v>13650</v>
      </c>
      <c r="K3990">
        <v>4</v>
      </c>
      <c r="L3990">
        <v>42000</v>
      </c>
      <c r="M3990">
        <v>54600</v>
      </c>
      <c r="N3990" t="s">
        <v>56</v>
      </c>
      <c r="O3990">
        <f t="shared" si="124"/>
        <v>8450</v>
      </c>
      <c r="P3990" s="13">
        <f t="shared" si="125"/>
        <v>2746575</v>
      </c>
      <c r="Q3990" s="13">
        <f>SUMIFS(M:M,E:E,Online_eCommerce[[#This Row],[Status]])</f>
        <v>28620410</v>
      </c>
      <c r="R3990" s="13">
        <f>SUMIFS(L:L,H:H,Online_eCommerce[[#This Row],[Brand]])</f>
        <v>12435650</v>
      </c>
      <c r="S3990" s="13">
        <f>SUMIF(H:H,Online_eCommerce[[#This Row],[Brand]],M:M)</f>
        <v>16166345</v>
      </c>
      <c r="T3990" s="13">
        <f>SUMIF(N:N,Online_eCommerce[[#This Row],[Assigned Supervisor]],L:L)</f>
        <v>11733610</v>
      </c>
    </row>
    <row r="3991" spans="1:20" hidden="1" x14ac:dyDescent="0.3">
      <c r="A3991" t="s">
        <v>5912</v>
      </c>
      <c r="B3991" t="s">
        <v>276</v>
      </c>
      <c r="C3991" t="s">
        <v>211</v>
      </c>
      <c r="D3991" t="s">
        <v>5828</v>
      </c>
      <c r="E3991" t="s">
        <v>96</v>
      </c>
      <c r="F3991" t="s">
        <v>88</v>
      </c>
      <c r="G3991" t="s">
        <v>26</v>
      </c>
      <c r="H3991" t="s">
        <v>27</v>
      </c>
      <c r="I3991">
        <v>8500</v>
      </c>
      <c r="J3991">
        <v>11050</v>
      </c>
      <c r="K3991">
        <v>1</v>
      </c>
      <c r="L3991">
        <v>8500</v>
      </c>
      <c r="M3991">
        <v>11050</v>
      </c>
      <c r="N3991" t="s">
        <v>22</v>
      </c>
      <c r="O3991">
        <f t="shared" si="124"/>
        <v>33150</v>
      </c>
      <c r="P3991" s="13">
        <f t="shared" si="125"/>
        <v>1809847</v>
      </c>
      <c r="Q3991" s="13">
        <f>SUMIFS(M:M,E:E,Online_eCommerce[[#This Row],[Status]])</f>
        <v>21233992</v>
      </c>
      <c r="R3991" s="13">
        <f>SUMIFS(L:L,H:H,Online_eCommerce[[#This Row],[Brand]])</f>
        <v>14431000</v>
      </c>
      <c r="S3991" s="13">
        <f>SUMIF(H:H,Online_eCommerce[[#This Row],[Brand]],M:M)</f>
        <v>18760300</v>
      </c>
      <c r="T3991" s="13">
        <f>SUMIF(N:N,Online_eCommerce[[#This Row],[Assigned Supervisor]],L:L)</f>
        <v>13693220</v>
      </c>
    </row>
    <row r="3992" spans="1:20" hidden="1" x14ac:dyDescent="0.3">
      <c r="A3992" t="s">
        <v>5913</v>
      </c>
      <c r="B3992" t="s">
        <v>280</v>
      </c>
      <c r="C3992" t="s">
        <v>16</v>
      </c>
      <c r="D3992" t="s">
        <v>5828</v>
      </c>
      <c r="E3992" t="s">
        <v>18</v>
      </c>
      <c r="F3992" t="s">
        <v>32</v>
      </c>
      <c r="G3992" t="s">
        <v>33</v>
      </c>
      <c r="H3992" t="s">
        <v>34</v>
      </c>
      <c r="I3992">
        <v>7000</v>
      </c>
      <c r="J3992">
        <v>9100</v>
      </c>
      <c r="K3992">
        <v>3</v>
      </c>
      <c r="L3992">
        <v>21000</v>
      </c>
      <c r="M3992">
        <v>27300</v>
      </c>
      <c r="N3992" t="s">
        <v>28</v>
      </c>
      <c r="O3992">
        <f t="shared" si="124"/>
        <v>18200</v>
      </c>
      <c r="P3992" s="13">
        <f t="shared" si="125"/>
        <v>2751814</v>
      </c>
      <c r="Q3992" s="13">
        <f>SUMIFS(M:M,E:E,Online_eCommerce[[#This Row],[Status]])</f>
        <v>28340455</v>
      </c>
      <c r="R3992" s="13">
        <f>SUMIFS(L:L,H:H,Online_eCommerce[[#This Row],[Brand]])</f>
        <v>10087000</v>
      </c>
      <c r="S3992" s="13">
        <f>SUMIF(H:H,Online_eCommerce[[#This Row],[Brand]],M:M)</f>
        <v>13113100</v>
      </c>
      <c r="T3992" s="13">
        <f>SUMIF(N:N,Online_eCommerce[[#This Row],[Assigned Supervisor]],L:L)</f>
        <v>12220830</v>
      </c>
    </row>
    <row r="3993" spans="1:20" hidden="1" x14ac:dyDescent="0.3">
      <c r="A3993" t="s">
        <v>5914</v>
      </c>
      <c r="B3993" t="s">
        <v>283</v>
      </c>
      <c r="C3993" t="s">
        <v>24</v>
      </c>
      <c r="D3993" t="s">
        <v>5828</v>
      </c>
      <c r="E3993" t="s">
        <v>161</v>
      </c>
      <c r="F3993" t="s">
        <v>5915</v>
      </c>
      <c r="G3993" t="s">
        <v>40</v>
      </c>
      <c r="H3993" t="s">
        <v>41</v>
      </c>
      <c r="I3993">
        <v>1680</v>
      </c>
      <c r="J3993">
        <v>2184</v>
      </c>
      <c r="K3993">
        <v>2</v>
      </c>
      <c r="L3993">
        <v>3360</v>
      </c>
      <c r="M3993">
        <v>4368</v>
      </c>
      <c r="N3993" t="s">
        <v>35</v>
      </c>
      <c r="O3993">
        <f t="shared" si="124"/>
        <v>25545</v>
      </c>
      <c r="P3993" s="13">
        <f t="shared" si="125"/>
        <v>2009540</v>
      </c>
      <c r="Q3993" s="13">
        <f>SUMIFS(M:M,E:E,Online_eCommerce[[#This Row],[Status]])</f>
        <v>21103186</v>
      </c>
      <c r="R3993" s="13">
        <f>SUMIFS(L:L,H:H,Online_eCommerce[[#This Row],[Brand]])</f>
        <v>4260400</v>
      </c>
      <c r="S3993" s="13">
        <f>SUMIF(H:H,Online_eCommerce[[#This Row],[Brand]],M:M)</f>
        <v>5538520</v>
      </c>
      <c r="T3993" s="13">
        <f>SUMIF(N:N,Online_eCommerce[[#This Row],[Assigned Supervisor]],L:L)</f>
        <v>14373360</v>
      </c>
    </row>
    <row r="3994" spans="1:20" x14ac:dyDescent="0.3">
      <c r="A3994" t="s">
        <v>5916</v>
      </c>
      <c r="B3994" t="s">
        <v>287</v>
      </c>
      <c r="C3994" t="s">
        <v>31</v>
      </c>
      <c r="D3994" t="s">
        <v>5828</v>
      </c>
      <c r="E3994" t="s">
        <v>46</v>
      </c>
      <c r="F3994" t="s">
        <v>101</v>
      </c>
      <c r="G3994" t="s">
        <v>334</v>
      </c>
      <c r="H3994" t="s">
        <v>102</v>
      </c>
      <c r="I3994">
        <v>6540</v>
      </c>
      <c r="J3994">
        <v>8502</v>
      </c>
      <c r="K3994">
        <v>3</v>
      </c>
      <c r="L3994">
        <v>19620</v>
      </c>
      <c r="M3994">
        <v>25506</v>
      </c>
      <c r="N3994" t="s">
        <v>42</v>
      </c>
      <c r="O3994">
        <f t="shared" si="124"/>
        <v>39780</v>
      </c>
      <c r="P3994" s="13">
        <f t="shared" si="125"/>
        <v>2865746</v>
      </c>
      <c r="Q3994" s="13">
        <f>SUMIFS(M:M,E:E,Online_eCommerce[[#This Row],[Status]])</f>
        <v>28620410</v>
      </c>
      <c r="R3994" s="13">
        <f>SUMIFS(L:L,H:H,Online_eCommerce[[#This Row],[Brand]])</f>
        <v>2465580</v>
      </c>
      <c r="S3994" s="13">
        <f>SUMIF(H:H,Online_eCommerce[[#This Row],[Brand]],M:M)</f>
        <v>3205254</v>
      </c>
      <c r="T3994" s="13">
        <f>SUMIF(N:N,Online_eCommerce[[#This Row],[Assigned Supervisor]],L:L)</f>
        <v>12261500</v>
      </c>
    </row>
    <row r="3995" spans="1:20" hidden="1" x14ac:dyDescent="0.3">
      <c r="A3995" t="s">
        <v>5917</v>
      </c>
      <c r="B3995" t="s">
        <v>290</v>
      </c>
      <c r="C3995" t="s">
        <v>38</v>
      </c>
      <c r="D3995" t="s">
        <v>5828</v>
      </c>
      <c r="E3995" t="s">
        <v>96</v>
      </c>
      <c r="F3995" t="s">
        <v>107</v>
      </c>
      <c r="G3995" t="s">
        <v>54</v>
      </c>
      <c r="H3995" t="s">
        <v>55</v>
      </c>
      <c r="I3995">
        <v>2680</v>
      </c>
      <c r="J3995">
        <v>3484</v>
      </c>
      <c r="K3995">
        <v>2</v>
      </c>
      <c r="L3995">
        <v>5360</v>
      </c>
      <c r="M3995">
        <v>6968</v>
      </c>
      <c r="N3995" t="s">
        <v>50</v>
      </c>
      <c r="O3995">
        <f t="shared" si="124"/>
        <v>2990</v>
      </c>
      <c r="P3995" s="13">
        <f t="shared" si="125"/>
        <v>1933997</v>
      </c>
      <c r="Q3995" s="13">
        <f>SUMIFS(M:M,E:E,Online_eCommerce[[#This Row],[Status]])</f>
        <v>21233992</v>
      </c>
      <c r="R3995" s="13">
        <f>SUMIFS(L:L,H:H,Online_eCommerce[[#This Row],[Brand]])</f>
        <v>2267380</v>
      </c>
      <c r="S3995" s="13">
        <f>SUMIF(H:H,Online_eCommerce[[#This Row],[Brand]],M:M)</f>
        <v>2947594</v>
      </c>
      <c r="T3995" s="13">
        <f>SUMIF(N:N,Online_eCommerce[[#This Row],[Assigned Supervisor]],L:L)</f>
        <v>12100590</v>
      </c>
    </row>
    <row r="3996" spans="1:20" hidden="1" x14ac:dyDescent="0.3">
      <c r="A3996" t="s">
        <v>5918</v>
      </c>
      <c r="B3996" t="s">
        <v>15</v>
      </c>
      <c r="C3996" t="s">
        <v>45</v>
      </c>
      <c r="D3996" t="s">
        <v>5828</v>
      </c>
      <c r="E3996" t="s">
        <v>18</v>
      </c>
      <c r="F3996" t="s">
        <v>112</v>
      </c>
      <c r="G3996" t="s">
        <v>71</v>
      </c>
      <c r="H3996" t="s">
        <v>21</v>
      </c>
      <c r="I3996">
        <v>8250</v>
      </c>
      <c r="J3996">
        <v>10725</v>
      </c>
      <c r="K3996">
        <v>2</v>
      </c>
      <c r="L3996">
        <v>16500</v>
      </c>
      <c r="M3996">
        <v>21450</v>
      </c>
      <c r="N3996" t="s">
        <v>56</v>
      </c>
      <c r="O3996">
        <f t="shared" si="124"/>
        <v>9750</v>
      </c>
      <c r="P3996" s="13">
        <f t="shared" si="125"/>
        <v>2842554</v>
      </c>
      <c r="Q3996" s="13">
        <f>SUMIFS(M:M,E:E,Online_eCommerce[[#This Row],[Status]])</f>
        <v>28340455</v>
      </c>
      <c r="R3996" s="13">
        <f>SUMIFS(L:L,H:H,Online_eCommerce[[#This Row],[Brand]])</f>
        <v>12435650</v>
      </c>
      <c r="S3996" s="13">
        <f>SUMIF(H:H,Online_eCommerce[[#This Row],[Brand]],M:M)</f>
        <v>16166345</v>
      </c>
      <c r="T3996" s="13">
        <f>SUMIF(N:N,Online_eCommerce[[#This Row],[Assigned Supervisor]],L:L)</f>
        <v>11733610</v>
      </c>
    </row>
    <row r="3997" spans="1:20" hidden="1" x14ac:dyDescent="0.3">
      <c r="A3997" t="s">
        <v>5919</v>
      </c>
      <c r="B3997" t="s">
        <v>202</v>
      </c>
      <c r="C3997" t="s">
        <v>52</v>
      </c>
      <c r="D3997" t="s">
        <v>5828</v>
      </c>
      <c r="E3997" t="s">
        <v>161</v>
      </c>
      <c r="F3997" t="s">
        <v>5562</v>
      </c>
      <c r="G3997" t="s">
        <v>40</v>
      </c>
      <c r="H3997" t="s">
        <v>21</v>
      </c>
      <c r="I3997">
        <v>2650</v>
      </c>
      <c r="J3997">
        <v>3445</v>
      </c>
      <c r="K3997">
        <v>3</v>
      </c>
      <c r="L3997">
        <v>7950</v>
      </c>
      <c r="M3997">
        <v>10335</v>
      </c>
      <c r="N3997" t="s">
        <v>22</v>
      </c>
      <c r="O3997">
        <f t="shared" si="124"/>
        <v>25545</v>
      </c>
      <c r="P3997" s="13">
        <f t="shared" si="125"/>
        <v>1955044</v>
      </c>
      <c r="Q3997" s="13">
        <f>SUMIFS(M:M,E:E,Online_eCommerce[[#This Row],[Status]])</f>
        <v>21103186</v>
      </c>
      <c r="R3997" s="13">
        <f>SUMIFS(L:L,H:H,Online_eCommerce[[#This Row],[Brand]])</f>
        <v>12435650</v>
      </c>
      <c r="S3997" s="13">
        <f>SUMIF(H:H,Online_eCommerce[[#This Row],[Brand]],M:M)</f>
        <v>16166345</v>
      </c>
      <c r="T3997" s="13">
        <f>SUMIF(N:N,Online_eCommerce[[#This Row],[Assigned Supervisor]],L:L)</f>
        <v>13693220</v>
      </c>
    </row>
    <row r="3998" spans="1:20" x14ac:dyDescent="0.3">
      <c r="A3998" t="s">
        <v>5920</v>
      </c>
      <c r="B3998" t="s">
        <v>30</v>
      </c>
      <c r="C3998" t="s">
        <v>58</v>
      </c>
      <c r="D3998" t="s">
        <v>5828</v>
      </c>
      <c r="E3998" t="s">
        <v>46</v>
      </c>
      <c r="F3998" t="s">
        <v>121</v>
      </c>
      <c r="G3998" t="s">
        <v>71</v>
      </c>
      <c r="H3998" t="s">
        <v>122</v>
      </c>
      <c r="I3998">
        <v>12550</v>
      </c>
      <c r="J3998">
        <v>16315</v>
      </c>
      <c r="K3998">
        <v>4</v>
      </c>
      <c r="L3998">
        <v>50200</v>
      </c>
      <c r="M3998">
        <v>65260</v>
      </c>
      <c r="N3998" t="s">
        <v>28</v>
      </c>
      <c r="O3998">
        <f t="shared" si="124"/>
        <v>9750</v>
      </c>
      <c r="P3998" s="13">
        <f t="shared" si="125"/>
        <v>2629211</v>
      </c>
      <c r="Q3998" s="13">
        <f>SUMIFS(M:M,E:E,Online_eCommerce[[#This Row],[Status]])</f>
        <v>28620410</v>
      </c>
      <c r="R3998" s="13">
        <f>SUMIFS(L:L,H:H,Online_eCommerce[[#This Row],[Brand]])</f>
        <v>5045100</v>
      </c>
      <c r="S3998" s="13">
        <f>SUMIF(H:H,Online_eCommerce[[#This Row],[Brand]],M:M)</f>
        <v>6558630</v>
      </c>
      <c r="T3998" s="13">
        <f>SUMIF(N:N,Online_eCommerce[[#This Row],[Assigned Supervisor]],L:L)</f>
        <v>12220830</v>
      </c>
    </row>
    <row r="3999" spans="1:20" hidden="1" x14ac:dyDescent="0.3">
      <c r="A3999" t="s">
        <v>5921</v>
      </c>
      <c r="B3999" t="s">
        <v>37</v>
      </c>
      <c r="C3999" t="s">
        <v>63</v>
      </c>
      <c r="D3999" t="s">
        <v>5828</v>
      </c>
      <c r="E3999" t="s">
        <v>96</v>
      </c>
      <c r="F3999" t="s">
        <v>126</v>
      </c>
      <c r="G3999" t="s">
        <v>26</v>
      </c>
      <c r="H3999" t="s">
        <v>27</v>
      </c>
      <c r="I3999">
        <v>14500</v>
      </c>
      <c r="J3999">
        <v>18850</v>
      </c>
      <c r="K3999">
        <v>4</v>
      </c>
      <c r="L3999">
        <v>58000</v>
      </c>
      <c r="M3999">
        <v>75400</v>
      </c>
      <c r="N3999" t="s">
        <v>35</v>
      </c>
      <c r="O3999">
        <f t="shared" si="124"/>
        <v>33150</v>
      </c>
      <c r="P3999" s="13">
        <f t="shared" si="125"/>
        <v>2016131</v>
      </c>
      <c r="Q3999" s="13">
        <f>SUMIFS(M:M,E:E,Online_eCommerce[[#This Row],[Status]])</f>
        <v>21233992</v>
      </c>
      <c r="R3999" s="13">
        <f>SUMIFS(L:L,H:H,Online_eCommerce[[#This Row],[Brand]])</f>
        <v>14431000</v>
      </c>
      <c r="S3999" s="13">
        <f>SUMIF(H:H,Online_eCommerce[[#This Row],[Brand]],M:M)</f>
        <v>18760300</v>
      </c>
      <c r="T3999" s="13">
        <f>SUMIF(N:N,Online_eCommerce[[#This Row],[Assigned Supervisor]],L:L)</f>
        <v>14373360</v>
      </c>
    </row>
    <row r="4000" spans="1:20" hidden="1" x14ac:dyDescent="0.3">
      <c r="A4000" t="s">
        <v>5922</v>
      </c>
      <c r="B4000" t="s">
        <v>44</v>
      </c>
      <c r="C4000" t="s">
        <v>68</v>
      </c>
      <c r="D4000" t="s">
        <v>5828</v>
      </c>
      <c r="E4000" t="s">
        <v>18</v>
      </c>
      <c r="F4000" t="s">
        <v>129</v>
      </c>
      <c r="G4000" t="s">
        <v>60</v>
      </c>
      <c r="H4000" t="s">
        <v>61</v>
      </c>
      <c r="I4000">
        <v>800</v>
      </c>
      <c r="J4000">
        <v>1040</v>
      </c>
      <c r="K4000">
        <v>2</v>
      </c>
      <c r="L4000">
        <v>1600</v>
      </c>
      <c r="M4000">
        <v>2080</v>
      </c>
      <c r="N4000" t="s">
        <v>42</v>
      </c>
      <c r="O4000">
        <f t="shared" si="124"/>
        <v>3315</v>
      </c>
      <c r="P4000" s="13">
        <f t="shared" si="125"/>
        <v>2974621</v>
      </c>
      <c r="Q4000" s="13">
        <f>SUMIFS(M:M,E:E,Online_eCommerce[[#This Row],[Status]])</f>
        <v>28340455</v>
      </c>
      <c r="R4000" s="13">
        <f>SUMIFS(L:L,H:H,Online_eCommerce[[#This Row],[Brand]])</f>
        <v>10950150</v>
      </c>
      <c r="S4000" s="13">
        <f>SUMIF(H:H,Online_eCommerce[[#This Row],[Brand]],M:M)</f>
        <v>14235195</v>
      </c>
      <c r="T4000" s="13">
        <f>SUMIF(N:N,Online_eCommerce[[#This Row],[Assigned Supervisor]],L:L)</f>
        <v>12261500</v>
      </c>
    </row>
    <row r="4001" spans="1:20" hidden="1" x14ac:dyDescent="0.3">
      <c r="A4001" t="s">
        <v>5923</v>
      </c>
      <c r="B4001" t="s">
        <v>213</v>
      </c>
      <c r="C4001" t="s">
        <v>74</v>
      </c>
      <c r="D4001" t="s">
        <v>5828</v>
      </c>
      <c r="E4001" t="s">
        <v>161</v>
      </c>
      <c r="F4001" t="s">
        <v>133</v>
      </c>
      <c r="G4001" t="s">
        <v>66</v>
      </c>
      <c r="H4001" t="s">
        <v>21</v>
      </c>
      <c r="I4001">
        <v>600</v>
      </c>
      <c r="J4001">
        <v>780</v>
      </c>
      <c r="K4001">
        <v>3</v>
      </c>
      <c r="L4001">
        <v>1800</v>
      </c>
      <c r="M4001">
        <v>2340</v>
      </c>
      <c r="N4001" t="s">
        <v>50</v>
      </c>
      <c r="O4001">
        <f t="shared" si="124"/>
        <v>1690</v>
      </c>
      <c r="P4001" s="13">
        <f t="shared" si="125"/>
        <v>2144701</v>
      </c>
      <c r="Q4001" s="13">
        <f>SUMIFS(M:M,E:E,Online_eCommerce[[#This Row],[Status]])</f>
        <v>21103186</v>
      </c>
      <c r="R4001" s="13">
        <f>SUMIFS(L:L,H:H,Online_eCommerce[[#This Row],[Brand]])</f>
        <v>12435650</v>
      </c>
      <c r="S4001" s="13">
        <f>SUMIF(H:H,Online_eCommerce[[#This Row],[Brand]],M:M)</f>
        <v>16166345</v>
      </c>
      <c r="T4001" s="13">
        <f>SUMIF(N:N,Online_eCommerce[[#This Row],[Assigned Supervisor]],L:L)</f>
        <v>12100590</v>
      </c>
    </row>
    <row r="4002" spans="1:20" x14ac:dyDescent="0.3">
      <c r="A4002" t="s">
        <v>5924</v>
      </c>
      <c r="B4002" t="s">
        <v>215</v>
      </c>
      <c r="C4002" t="s">
        <v>81</v>
      </c>
      <c r="D4002" t="s">
        <v>5828</v>
      </c>
      <c r="E4002" t="s">
        <v>46</v>
      </c>
      <c r="F4002" t="s">
        <v>137</v>
      </c>
      <c r="G4002" t="s">
        <v>71</v>
      </c>
      <c r="H4002" t="s">
        <v>61</v>
      </c>
      <c r="I4002">
        <v>10500</v>
      </c>
      <c r="J4002">
        <v>13650</v>
      </c>
      <c r="K4002">
        <v>1</v>
      </c>
      <c r="L4002">
        <v>10500</v>
      </c>
      <c r="M4002">
        <v>13650</v>
      </c>
      <c r="N4002" t="s">
        <v>56</v>
      </c>
      <c r="O4002">
        <f t="shared" si="124"/>
        <v>9750</v>
      </c>
      <c r="P4002" s="13">
        <f t="shared" si="125"/>
        <v>2595632</v>
      </c>
      <c r="Q4002" s="13">
        <f>SUMIFS(M:M,E:E,Online_eCommerce[[#This Row],[Status]])</f>
        <v>28620410</v>
      </c>
      <c r="R4002" s="13">
        <f>SUMIFS(L:L,H:H,Online_eCommerce[[#This Row],[Brand]])</f>
        <v>10950150</v>
      </c>
      <c r="S4002" s="13">
        <f>SUMIF(H:H,Online_eCommerce[[#This Row],[Brand]],M:M)</f>
        <v>14235195</v>
      </c>
      <c r="T4002" s="13">
        <f>SUMIF(N:N,Online_eCommerce[[#This Row],[Assigned Supervisor]],L:L)</f>
        <v>11733610</v>
      </c>
    </row>
    <row r="4003" spans="1:20" hidden="1" x14ac:dyDescent="0.3">
      <c r="A4003" t="s">
        <v>5925</v>
      </c>
      <c r="B4003" t="s">
        <v>306</v>
      </c>
      <c r="C4003" t="s">
        <v>86</v>
      </c>
      <c r="D4003" t="s">
        <v>5828</v>
      </c>
      <c r="E4003" t="s">
        <v>96</v>
      </c>
      <c r="F4003" t="s">
        <v>5896</v>
      </c>
      <c r="G4003" t="s">
        <v>77</v>
      </c>
      <c r="H4003" t="s">
        <v>142</v>
      </c>
      <c r="I4003">
        <v>6500</v>
      </c>
      <c r="J4003">
        <v>8450</v>
      </c>
      <c r="K4003">
        <v>2</v>
      </c>
      <c r="L4003">
        <v>13000</v>
      </c>
      <c r="M4003">
        <v>16900</v>
      </c>
      <c r="N4003" t="s">
        <v>22</v>
      </c>
      <c r="O4003">
        <f t="shared" si="124"/>
        <v>39000</v>
      </c>
      <c r="P4003" s="13">
        <f t="shared" si="125"/>
        <v>1941225</v>
      </c>
      <c r="Q4003" s="13">
        <f>SUMIFS(M:M,E:E,Online_eCommerce[[#This Row],[Status]])</f>
        <v>21233992</v>
      </c>
      <c r="R4003" s="13">
        <f>SUMIFS(L:L,H:H,Online_eCommerce[[#This Row],[Brand]])</f>
        <v>6192500</v>
      </c>
      <c r="S4003" s="13">
        <f>SUMIF(H:H,Online_eCommerce[[#This Row],[Brand]],M:M)</f>
        <v>8050250</v>
      </c>
      <c r="T4003" s="13">
        <f>SUMIF(N:N,Online_eCommerce[[#This Row],[Assigned Supervisor]],L:L)</f>
        <v>13693220</v>
      </c>
    </row>
    <row r="4004" spans="1:20" hidden="1" x14ac:dyDescent="0.3">
      <c r="A4004" t="s">
        <v>5926</v>
      </c>
      <c r="B4004" t="s">
        <v>528</v>
      </c>
      <c r="C4004" t="s">
        <v>91</v>
      </c>
      <c r="D4004" t="s">
        <v>5828</v>
      </c>
      <c r="E4004" t="s">
        <v>18</v>
      </c>
      <c r="F4004" t="s">
        <v>5927</v>
      </c>
      <c r="G4004" t="s">
        <v>20</v>
      </c>
      <c r="H4004" t="s">
        <v>21</v>
      </c>
      <c r="I4004">
        <v>4500</v>
      </c>
      <c r="J4004">
        <v>5850</v>
      </c>
      <c r="K4004">
        <v>3</v>
      </c>
      <c r="L4004">
        <v>13500</v>
      </c>
      <c r="M4004">
        <v>17550</v>
      </c>
      <c r="N4004" t="s">
        <v>28</v>
      </c>
      <c r="O4004">
        <f t="shared" si="124"/>
        <v>8450</v>
      </c>
      <c r="P4004" s="13">
        <f t="shared" si="125"/>
        <v>2731963</v>
      </c>
      <c r="Q4004" s="13">
        <f>SUMIFS(M:M,E:E,Online_eCommerce[[#This Row],[Status]])</f>
        <v>28340455</v>
      </c>
      <c r="R4004" s="13">
        <f>SUMIFS(L:L,H:H,Online_eCommerce[[#This Row],[Brand]])</f>
        <v>12435650</v>
      </c>
      <c r="S4004" s="13">
        <f>SUMIF(H:H,Online_eCommerce[[#This Row],[Brand]],M:M)</f>
        <v>16166345</v>
      </c>
      <c r="T4004" s="13">
        <f>SUMIF(N:N,Online_eCommerce[[#This Row],[Assigned Supervisor]],L:L)</f>
        <v>12220830</v>
      </c>
    </row>
    <row r="4005" spans="1:20" hidden="1" x14ac:dyDescent="0.3">
      <c r="A4005" t="s">
        <v>5928</v>
      </c>
      <c r="B4005" t="s">
        <v>73</v>
      </c>
      <c r="C4005" t="s">
        <v>94</v>
      </c>
      <c r="D4005" t="s">
        <v>5828</v>
      </c>
      <c r="E4005" t="s">
        <v>161</v>
      </c>
      <c r="F4005" t="s">
        <v>152</v>
      </c>
      <c r="G4005" t="s">
        <v>26</v>
      </c>
      <c r="H4005" t="s">
        <v>27</v>
      </c>
      <c r="I4005">
        <v>8500</v>
      </c>
      <c r="J4005">
        <v>11050</v>
      </c>
      <c r="K4005">
        <v>4</v>
      </c>
      <c r="L4005">
        <v>34000</v>
      </c>
      <c r="M4005">
        <v>44200</v>
      </c>
      <c r="N4005" t="s">
        <v>35</v>
      </c>
      <c r="O4005">
        <f t="shared" si="124"/>
        <v>33150</v>
      </c>
      <c r="P4005" s="13">
        <f t="shared" si="125"/>
        <v>1868256</v>
      </c>
      <c r="Q4005" s="13">
        <f>SUMIFS(M:M,E:E,Online_eCommerce[[#This Row],[Status]])</f>
        <v>21103186</v>
      </c>
      <c r="R4005" s="13">
        <f>SUMIFS(L:L,H:H,Online_eCommerce[[#This Row],[Brand]])</f>
        <v>14431000</v>
      </c>
      <c r="S4005" s="13">
        <f>SUMIF(H:H,Online_eCommerce[[#This Row],[Brand]],M:M)</f>
        <v>18760300</v>
      </c>
      <c r="T4005" s="13">
        <f>SUMIF(N:N,Online_eCommerce[[#This Row],[Assigned Supervisor]],L:L)</f>
        <v>14373360</v>
      </c>
    </row>
    <row r="4006" spans="1:20" x14ac:dyDescent="0.3">
      <c r="A4006" t="s">
        <v>5929</v>
      </c>
      <c r="B4006" t="s">
        <v>80</v>
      </c>
      <c r="C4006" t="s">
        <v>99</v>
      </c>
      <c r="D4006" t="s">
        <v>5828</v>
      </c>
      <c r="E4006" t="s">
        <v>46</v>
      </c>
      <c r="F4006" t="s">
        <v>157</v>
      </c>
      <c r="G4006" t="s">
        <v>33</v>
      </c>
      <c r="H4006" t="s">
        <v>34</v>
      </c>
      <c r="I4006">
        <v>12500</v>
      </c>
      <c r="J4006">
        <v>16250</v>
      </c>
      <c r="K4006">
        <v>3</v>
      </c>
      <c r="L4006">
        <v>37500</v>
      </c>
      <c r="M4006">
        <v>48750</v>
      </c>
      <c r="N4006" t="s">
        <v>35</v>
      </c>
      <c r="O4006">
        <f t="shared" si="124"/>
        <v>18200</v>
      </c>
      <c r="P4006" s="13">
        <f t="shared" si="125"/>
        <v>2651233</v>
      </c>
      <c r="Q4006" s="13">
        <f>SUMIFS(M:M,E:E,Online_eCommerce[[#This Row],[Status]])</f>
        <v>28620410</v>
      </c>
      <c r="R4006" s="13">
        <f>SUMIFS(L:L,H:H,Online_eCommerce[[#This Row],[Brand]])</f>
        <v>10087000</v>
      </c>
      <c r="S4006" s="13">
        <f>SUMIF(H:H,Online_eCommerce[[#This Row],[Brand]],M:M)</f>
        <v>13113100</v>
      </c>
      <c r="T4006" s="13">
        <f>SUMIF(N:N,Online_eCommerce[[#This Row],[Assigned Supervisor]],L:L)</f>
        <v>14373360</v>
      </c>
    </row>
    <row r="4007" spans="1:20" hidden="1" x14ac:dyDescent="0.3">
      <c r="A4007" t="s">
        <v>5930</v>
      </c>
      <c r="B4007" t="s">
        <v>85</v>
      </c>
      <c r="C4007" t="s">
        <v>105</v>
      </c>
      <c r="D4007" t="s">
        <v>5828</v>
      </c>
      <c r="E4007" t="s">
        <v>96</v>
      </c>
      <c r="F4007" t="s">
        <v>5605</v>
      </c>
      <c r="G4007" t="s">
        <v>163</v>
      </c>
      <c r="H4007" t="s">
        <v>41</v>
      </c>
      <c r="I4007">
        <v>3500</v>
      </c>
      <c r="J4007">
        <v>4550</v>
      </c>
      <c r="K4007">
        <v>4</v>
      </c>
      <c r="L4007">
        <v>14000</v>
      </c>
      <c r="M4007">
        <v>18200</v>
      </c>
      <c r="N4007" t="s">
        <v>35</v>
      </c>
      <c r="O4007">
        <f t="shared" si="124"/>
        <v>13650</v>
      </c>
      <c r="P4007" s="13">
        <f t="shared" si="125"/>
        <v>1866852</v>
      </c>
      <c r="Q4007" s="13">
        <f>SUMIFS(M:M,E:E,Online_eCommerce[[#This Row],[Status]])</f>
        <v>21233992</v>
      </c>
      <c r="R4007" s="13">
        <f>SUMIFS(L:L,H:H,Online_eCommerce[[#This Row],[Brand]])</f>
        <v>4260400</v>
      </c>
      <c r="S4007" s="13">
        <f>SUMIF(H:H,Online_eCommerce[[#This Row],[Brand]],M:M)</f>
        <v>5538520</v>
      </c>
      <c r="T4007" s="13">
        <f>SUMIF(N:N,Online_eCommerce[[#This Row],[Assigned Supervisor]],L:L)</f>
        <v>14373360</v>
      </c>
    </row>
    <row r="4008" spans="1:20" hidden="1" x14ac:dyDescent="0.3">
      <c r="A4008" t="s">
        <v>5931</v>
      </c>
      <c r="B4008" t="s">
        <v>90</v>
      </c>
      <c r="C4008" t="s">
        <v>110</v>
      </c>
      <c r="D4008" t="s">
        <v>5828</v>
      </c>
      <c r="E4008" t="s">
        <v>18</v>
      </c>
      <c r="F4008" t="s">
        <v>166</v>
      </c>
      <c r="G4008" t="s">
        <v>66</v>
      </c>
      <c r="H4008" t="s">
        <v>49</v>
      </c>
      <c r="I4008">
        <v>4500</v>
      </c>
      <c r="J4008">
        <v>5850</v>
      </c>
      <c r="K4008">
        <v>1</v>
      </c>
      <c r="L4008">
        <v>4500</v>
      </c>
      <c r="M4008">
        <v>5850</v>
      </c>
      <c r="N4008" t="s">
        <v>35</v>
      </c>
      <c r="O4008">
        <f t="shared" si="124"/>
        <v>1690</v>
      </c>
      <c r="P4008" s="13">
        <f t="shared" si="125"/>
        <v>2598635</v>
      </c>
      <c r="Q4008" s="13">
        <f>SUMIFS(M:M,E:E,Online_eCommerce[[#This Row],[Status]])</f>
        <v>28340455</v>
      </c>
      <c r="R4008" s="13">
        <f>SUMIFS(L:L,H:H,Online_eCommerce[[#This Row],[Brand]])</f>
        <v>4528350</v>
      </c>
      <c r="S4008" s="13">
        <f>SUMIF(H:H,Online_eCommerce[[#This Row],[Brand]],M:M)</f>
        <v>5886855</v>
      </c>
      <c r="T4008" s="13">
        <f>SUMIF(N:N,Online_eCommerce[[#This Row],[Assigned Supervisor]],L:L)</f>
        <v>14373360</v>
      </c>
    </row>
    <row r="4009" spans="1:20" hidden="1" x14ac:dyDescent="0.3">
      <c r="A4009" t="s">
        <v>5932</v>
      </c>
      <c r="B4009" t="s">
        <v>232</v>
      </c>
      <c r="C4009" t="s">
        <v>115</v>
      </c>
      <c r="D4009" t="s">
        <v>5828</v>
      </c>
      <c r="E4009" t="s">
        <v>161</v>
      </c>
      <c r="F4009" t="s">
        <v>5933</v>
      </c>
      <c r="G4009" t="s">
        <v>54</v>
      </c>
      <c r="H4009" t="s">
        <v>55</v>
      </c>
      <c r="I4009">
        <v>2100</v>
      </c>
      <c r="J4009">
        <v>2730</v>
      </c>
      <c r="K4009">
        <v>1</v>
      </c>
      <c r="L4009">
        <v>2100</v>
      </c>
      <c r="M4009">
        <v>2730</v>
      </c>
      <c r="N4009" t="s">
        <v>35</v>
      </c>
      <c r="O4009">
        <f t="shared" si="124"/>
        <v>2990</v>
      </c>
      <c r="P4009" s="13">
        <f t="shared" si="125"/>
        <v>2050178</v>
      </c>
      <c r="Q4009" s="13">
        <f>SUMIFS(M:M,E:E,Online_eCommerce[[#This Row],[Status]])</f>
        <v>21103186</v>
      </c>
      <c r="R4009" s="13">
        <f>SUMIFS(L:L,H:H,Online_eCommerce[[#This Row],[Brand]])</f>
        <v>2267380</v>
      </c>
      <c r="S4009" s="13">
        <f>SUMIF(H:H,Online_eCommerce[[#This Row],[Brand]],M:M)</f>
        <v>2947594</v>
      </c>
      <c r="T4009" s="13">
        <f>SUMIF(N:N,Online_eCommerce[[#This Row],[Assigned Supervisor]],L:L)</f>
        <v>14373360</v>
      </c>
    </row>
    <row r="4010" spans="1:20" x14ac:dyDescent="0.3">
      <c r="A4010" t="s">
        <v>5934</v>
      </c>
      <c r="B4010" t="s">
        <v>235</v>
      </c>
      <c r="C4010" t="s">
        <v>120</v>
      </c>
      <c r="D4010" t="s">
        <v>5828</v>
      </c>
      <c r="E4010" t="s">
        <v>46</v>
      </c>
      <c r="F4010" t="s">
        <v>174</v>
      </c>
      <c r="G4010" t="s">
        <v>60</v>
      </c>
      <c r="H4010" t="s">
        <v>61</v>
      </c>
      <c r="I4010">
        <v>1150</v>
      </c>
      <c r="J4010">
        <v>1495</v>
      </c>
      <c r="K4010">
        <v>1</v>
      </c>
      <c r="L4010">
        <v>1150</v>
      </c>
      <c r="M4010">
        <v>1495</v>
      </c>
      <c r="N4010" t="s">
        <v>35</v>
      </c>
      <c r="O4010">
        <f t="shared" si="124"/>
        <v>3315</v>
      </c>
      <c r="P4010" s="13">
        <f t="shared" si="125"/>
        <v>2734212</v>
      </c>
      <c r="Q4010" s="13">
        <f>SUMIFS(M:M,E:E,Online_eCommerce[[#This Row],[Status]])</f>
        <v>28620410</v>
      </c>
      <c r="R4010" s="13">
        <f>SUMIFS(L:L,H:H,Online_eCommerce[[#This Row],[Brand]])</f>
        <v>10950150</v>
      </c>
      <c r="S4010" s="13">
        <f>SUMIF(H:H,Online_eCommerce[[#This Row],[Brand]],M:M)</f>
        <v>14235195</v>
      </c>
      <c r="T4010" s="13">
        <f>SUMIF(N:N,Online_eCommerce[[#This Row],[Assigned Supervisor]],L:L)</f>
        <v>14373360</v>
      </c>
    </row>
    <row r="4011" spans="1:20" hidden="1" x14ac:dyDescent="0.3">
      <c r="A4011" t="s">
        <v>5935</v>
      </c>
      <c r="B4011" t="s">
        <v>104</v>
      </c>
      <c r="C4011" t="s">
        <v>125</v>
      </c>
      <c r="D4011" t="s">
        <v>5828</v>
      </c>
      <c r="E4011" t="s">
        <v>96</v>
      </c>
      <c r="F4011" t="s">
        <v>179</v>
      </c>
      <c r="G4011" t="s">
        <v>66</v>
      </c>
      <c r="H4011" t="s">
        <v>21</v>
      </c>
      <c r="I4011">
        <v>350</v>
      </c>
      <c r="J4011">
        <v>455</v>
      </c>
      <c r="K4011">
        <v>4</v>
      </c>
      <c r="L4011">
        <v>1400</v>
      </c>
      <c r="M4011">
        <v>1820</v>
      </c>
      <c r="N4011" t="s">
        <v>35</v>
      </c>
      <c r="O4011">
        <f t="shared" si="124"/>
        <v>1690</v>
      </c>
      <c r="P4011" s="13">
        <f t="shared" si="125"/>
        <v>2091154</v>
      </c>
      <c r="Q4011" s="13">
        <f>SUMIFS(M:M,E:E,Online_eCommerce[[#This Row],[Status]])</f>
        <v>21233992</v>
      </c>
      <c r="R4011" s="13">
        <f>SUMIFS(L:L,H:H,Online_eCommerce[[#This Row],[Brand]])</f>
        <v>12435650</v>
      </c>
      <c r="S4011" s="13">
        <f>SUMIF(H:H,Online_eCommerce[[#This Row],[Brand]],M:M)</f>
        <v>16166345</v>
      </c>
      <c r="T4011" s="13">
        <f>SUMIF(N:N,Online_eCommerce[[#This Row],[Assigned Supervisor]],L:L)</f>
        <v>14373360</v>
      </c>
    </row>
    <row r="4012" spans="1:20" hidden="1" x14ac:dyDescent="0.3">
      <c r="A4012" t="s">
        <v>5936</v>
      </c>
      <c r="B4012" t="s">
        <v>109</v>
      </c>
      <c r="C4012" t="s">
        <v>22</v>
      </c>
      <c r="D4012" t="s">
        <v>5828</v>
      </c>
      <c r="E4012" t="s">
        <v>18</v>
      </c>
      <c r="F4012" t="s">
        <v>183</v>
      </c>
      <c r="G4012" t="s">
        <v>71</v>
      </c>
      <c r="H4012" t="s">
        <v>61</v>
      </c>
      <c r="I4012">
        <v>9500</v>
      </c>
      <c r="J4012">
        <v>12350</v>
      </c>
      <c r="K4012">
        <v>3</v>
      </c>
      <c r="L4012">
        <v>28500</v>
      </c>
      <c r="M4012">
        <v>37050</v>
      </c>
      <c r="N4012" t="s">
        <v>35</v>
      </c>
      <c r="O4012">
        <f t="shared" si="124"/>
        <v>9750</v>
      </c>
      <c r="P4012" s="13">
        <f t="shared" si="125"/>
        <v>2551588</v>
      </c>
      <c r="Q4012" s="13">
        <f>SUMIFS(M:M,E:E,Online_eCommerce[[#This Row],[Status]])</f>
        <v>28340455</v>
      </c>
      <c r="R4012" s="13">
        <f>SUMIFS(L:L,H:H,Online_eCommerce[[#This Row],[Brand]])</f>
        <v>10950150</v>
      </c>
      <c r="S4012" s="13">
        <f>SUMIF(H:H,Online_eCommerce[[#This Row],[Brand]],M:M)</f>
        <v>14235195</v>
      </c>
      <c r="T4012" s="13">
        <f>SUMIF(N:N,Online_eCommerce[[#This Row],[Assigned Supervisor]],L:L)</f>
        <v>14373360</v>
      </c>
    </row>
    <row r="4013" spans="1:20" hidden="1" x14ac:dyDescent="0.3">
      <c r="A4013" t="s">
        <v>5937</v>
      </c>
      <c r="B4013" t="s">
        <v>114</v>
      </c>
      <c r="C4013" t="s">
        <v>132</v>
      </c>
      <c r="D4013" t="s">
        <v>5828</v>
      </c>
      <c r="E4013" t="s">
        <v>161</v>
      </c>
      <c r="F4013" t="s">
        <v>5938</v>
      </c>
      <c r="G4013" t="s">
        <v>77</v>
      </c>
      <c r="H4013" t="s">
        <v>142</v>
      </c>
      <c r="I4013">
        <v>10000</v>
      </c>
      <c r="J4013">
        <v>13000</v>
      </c>
      <c r="K4013">
        <v>2</v>
      </c>
      <c r="L4013">
        <v>20000</v>
      </c>
      <c r="M4013">
        <v>26000</v>
      </c>
      <c r="N4013" t="s">
        <v>35</v>
      </c>
      <c r="O4013">
        <f t="shared" si="124"/>
        <v>39000</v>
      </c>
      <c r="P4013" s="13">
        <f t="shared" si="125"/>
        <v>1989065</v>
      </c>
      <c r="Q4013" s="13">
        <f>SUMIFS(M:M,E:E,Online_eCommerce[[#This Row],[Status]])</f>
        <v>21103186</v>
      </c>
      <c r="R4013" s="13">
        <f>SUMIFS(L:L,H:H,Online_eCommerce[[#This Row],[Brand]])</f>
        <v>6192500</v>
      </c>
      <c r="S4013" s="13">
        <f>SUMIF(H:H,Online_eCommerce[[#This Row],[Brand]],M:M)</f>
        <v>8050250</v>
      </c>
      <c r="T4013" s="13">
        <f>SUMIF(N:N,Online_eCommerce[[#This Row],[Assigned Supervisor]],L:L)</f>
        <v>14373360</v>
      </c>
    </row>
    <row r="4014" spans="1:20" x14ac:dyDescent="0.3">
      <c r="A4014" t="s">
        <v>5939</v>
      </c>
      <c r="B4014" t="s">
        <v>119</v>
      </c>
      <c r="C4014" t="s">
        <v>136</v>
      </c>
      <c r="D4014" t="s">
        <v>5828</v>
      </c>
      <c r="E4014" t="s">
        <v>46</v>
      </c>
      <c r="F4014" t="s">
        <v>5940</v>
      </c>
      <c r="G4014" t="s">
        <v>20</v>
      </c>
      <c r="H4014" t="s">
        <v>21</v>
      </c>
      <c r="I4014">
        <v>6500</v>
      </c>
      <c r="J4014">
        <v>8450</v>
      </c>
      <c r="K4014">
        <v>2</v>
      </c>
      <c r="L4014">
        <v>13000</v>
      </c>
      <c r="M4014">
        <v>16900</v>
      </c>
      <c r="N4014" t="s">
        <v>35</v>
      </c>
      <c r="O4014">
        <f t="shared" si="124"/>
        <v>8450</v>
      </c>
      <c r="P4014" s="13">
        <f t="shared" si="125"/>
        <v>2775162</v>
      </c>
      <c r="Q4014" s="13">
        <f>SUMIFS(M:M,E:E,Online_eCommerce[[#This Row],[Status]])</f>
        <v>28620410</v>
      </c>
      <c r="R4014" s="13">
        <f>SUMIFS(L:L,H:H,Online_eCommerce[[#This Row],[Brand]])</f>
        <v>12435650</v>
      </c>
      <c r="S4014" s="13">
        <f>SUMIF(H:H,Online_eCommerce[[#This Row],[Brand]],M:M)</f>
        <v>16166345</v>
      </c>
      <c r="T4014" s="13">
        <f>SUMIF(N:N,Online_eCommerce[[#This Row],[Assigned Supervisor]],L:L)</f>
        <v>14373360</v>
      </c>
    </row>
    <row r="4015" spans="1:20" hidden="1" x14ac:dyDescent="0.3">
      <c r="A4015" t="s">
        <v>5941</v>
      </c>
      <c r="B4015" t="s">
        <v>124</v>
      </c>
      <c r="C4015" t="s">
        <v>140</v>
      </c>
      <c r="D4015" t="s">
        <v>5828</v>
      </c>
      <c r="E4015" t="s">
        <v>96</v>
      </c>
      <c r="F4015" t="s">
        <v>5942</v>
      </c>
      <c r="G4015" t="s">
        <v>26</v>
      </c>
      <c r="H4015" t="s">
        <v>27</v>
      </c>
      <c r="I4015">
        <v>8500</v>
      </c>
      <c r="J4015">
        <v>11050</v>
      </c>
      <c r="K4015">
        <v>1</v>
      </c>
      <c r="L4015">
        <v>8500</v>
      </c>
      <c r="M4015">
        <v>11050</v>
      </c>
      <c r="N4015" t="s">
        <v>35</v>
      </c>
      <c r="O4015">
        <f t="shared" si="124"/>
        <v>33150</v>
      </c>
      <c r="P4015" s="13">
        <f t="shared" si="125"/>
        <v>2058264</v>
      </c>
      <c r="Q4015" s="13">
        <f>SUMIFS(M:M,E:E,Online_eCommerce[[#This Row],[Status]])</f>
        <v>21233992</v>
      </c>
      <c r="R4015" s="13">
        <f>SUMIFS(L:L,H:H,Online_eCommerce[[#This Row],[Brand]])</f>
        <v>14431000</v>
      </c>
      <c r="S4015" s="13">
        <f>SUMIF(H:H,Online_eCommerce[[#This Row],[Brand]],M:M)</f>
        <v>18760300</v>
      </c>
      <c r="T4015" s="13">
        <f>SUMIF(N:N,Online_eCommerce[[#This Row],[Assigned Supervisor]],L:L)</f>
        <v>14373360</v>
      </c>
    </row>
    <row r="4016" spans="1:20" hidden="1" x14ac:dyDescent="0.3">
      <c r="A4016" t="s">
        <v>5943</v>
      </c>
      <c r="B4016" t="s">
        <v>128</v>
      </c>
      <c r="C4016" t="s">
        <v>145</v>
      </c>
      <c r="D4016" t="s">
        <v>5828</v>
      </c>
      <c r="E4016" t="s">
        <v>18</v>
      </c>
      <c r="F4016" t="s">
        <v>32</v>
      </c>
      <c r="G4016" t="s">
        <v>33</v>
      </c>
      <c r="H4016" t="s">
        <v>34</v>
      </c>
      <c r="I4016">
        <v>7000</v>
      </c>
      <c r="J4016">
        <v>9100</v>
      </c>
      <c r="K4016">
        <v>3</v>
      </c>
      <c r="L4016">
        <v>21000</v>
      </c>
      <c r="M4016">
        <v>27300</v>
      </c>
      <c r="N4016" t="s">
        <v>28</v>
      </c>
      <c r="O4016">
        <f t="shared" si="124"/>
        <v>18200</v>
      </c>
      <c r="P4016" s="13">
        <f t="shared" si="125"/>
        <v>2757859</v>
      </c>
      <c r="Q4016" s="13">
        <f>SUMIFS(M:M,E:E,Online_eCommerce[[#This Row],[Status]])</f>
        <v>28340455</v>
      </c>
      <c r="R4016" s="13">
        <f>SUMIFS(L:L,H:H,Online_eCommerce[[#This Row],[Brand]])</f>
        <v>10087000</v>
      </c>
      <c r="S4016" s="13">
        <f>SUMIF(H:H,Online_eCommerce[[#This Row],[Brand]],M:M)</f>
        <v>13113100</v>
      </c>
      <c r="T4016" s="13">
        <f>SUMIF(N:N,Online_eCommerce[[#This Row],[Assigned Supervisor]],L:L)</f>
        <v>12220830</v>
      </c>
    </row>
    <row r="4017" spans="1:20" hidden="1" x14ac:dyDescent="0.3">
      <c r="A4017" t="s">
        <v>5944</v>
      </c>
      <c r="B4017" t="s">
        <v>131</v>
      </c>
      <c r="C4017" t="s">
        <v>150</v>
      </c>
      <c r="D4017" t="s">
        <v>5828</v>
      </c>
      <c r="E4017" t="s">
        <v>161</v>
      </c>
      <c r="F4017" t="s">
        <v>5945</v>
      </c>
      <c r="G4017" t="s">
        <v>163</v>
      </c>
      <c r="H4017" t="s">
        <v>41</v>
      </c>
      <c r="I4017">
        <v>6550</v>
      </c>
      <c r="J4017">
        <v>8515</v>
      </c>
      <c r="K4017">
        <v>4</v>
      </c>
      <c r="L4017">
        <v>26200</v>
      </c>
      <c r="M4017">
        <v>34060</v>
      </c>
      <c r="N4017" t="s">
        <v>35</v>
      </c>
      <c r="O4017">
        <f t="shared" si="124"/>
        <v>13650</v>
      </c>
      <c r="P4017" s="13">
        <f t="shared" si="125"/>
        <v>2154984</v>
      </c>
      <c r="Q4017" s="13">
        <f>SUMIFS(M:M,E:E,Online_eCommerce[[#This Row],[Status]])</f>
        <v>21103186</v>
      </c>
      <c r="R4017" s="13">
        <f>SUMIFS(L:L,H:H,Online_eCommerce[[#This Row],[Brand]])</f>
        <v>4260400</v>
      </c>
      <c r="S4017" s="13">
        <f>SUMIF(H:H,Online_eCommerce[[#This Row],[Brand]],M:M)</f>
        <v>5538520</v>
      </c>
      <c r="T4017" s="13">
        <f>SUMIF(N:N,Online_eCommerce[[#This Row],[Assigned Supervisor]],L:L)</f>
        <v>14373360</v>
      </c>
    </row>
    <row r="4018" spans="1:20" x14ac:dyDescent="0.3">
      <c r="A4018" t="s">
        <v>5946</v>
      </c>
      <c r="B4018" t="s">
        <v>135</v>
      </c>
      <c r="C4018" t="s">
        <v>155</v>
      </c>
      <c r="D4018" t="s">
        <v>5828</v>
      </c>
      <c r="E4018" t="s">
        <v>46</v>
      </c>
      <c r="F4018" t="s">
        <v>47</v>
      </c>
      <c r="G4018" t="s">
        <v>66</v>
      </c>
      <c r="H4018" t="s">
        <v>49</v>
      </c>
      <c r="I4018">
        <v>7650</v>
      </c>
      <c r="J4018">
        <v>9945</v>
      </c>
      <c r="K4018">
        <v>1</v>
      </c>
      <c r="L4018">
        <v>7650</v>
      </c>
      <c r="M4018">
        <v>9945</v>
      </c>
      <c r="N4018" t="s">
        <v>42</v>
      </c>
      <c r="O4018">
        <f t="shared" si="124"/>
        <v>1690</v>
      </c>
      <c r="P4018" s="13">
        <f t="shared" si="125"/>
        <v>2753348</v>
      </c>
      <c r="Q4018" s="13">
        <f>SUMIFS(M:M,E:E,Online_eCommerce[[#This Row],[Status]])</f>
        <v>28620410</v>
      </c>
      <c r="R4018" s="13">
        <f>SUMIFS(L:L,H:H,Online_eCommerce[[#This Row],[Brand]])</f>
        <v>4528350</v>
      </c>
      <c r="S4018" s="13">
        <f>SUMIF(H:H,Online_eCommerce[[#This Row],[Brand]],M:M)</f>
        <v>5886855</v>
      </c>
      <c r="T4018" s="13">
        <f>SUMIF(N:N,Online_eCommerce[[#This Row],[Assigned Supervisor]],L:L)</f>
        <v>12261500</v>
      </c>
    </row>
    <row r="4019" spans="1:20" hidden="1" x14ac:dyDescent="0.3">
      <c r="A4019" t="s">
        <v>5947</v>
      </c>
      <c r="B4019" t="s">
        <v>139</v>
      </c>
      <c r="C4019" t="s">
        <v>160</v>
      </c>
      <c r="D4019" t="s">
        <v>5828</v>
      </c>
      <c r="E4019" t="s">
        <v>96</v>
      </c>
      <c r="F4019" t="s">
        <v>53</v>
      </c>
      <c r="G4019" t="s">
        <v>54</v>
      </c>
      <c r="H4019" t="s">
        <v>55</v>
      </c>
      <c r="I4019">
        <v>1150</v>
      </c>
      <c r="J4019">
        <v>1495</v>
      </c>
      <c r="K4019">
        <v>3</v>
      </c>
      <c r="L4019">
        <v>3450</v>
      </c>
      <c r="M4019">
        <v>4485</v>
      </c>
      <c r="N4019" t="s">
        <v>50</v>
      </c>
      <c r="O4019">
        <f t="shared" si="124"/>
        <v>2990</v>
      </c>
      <c r="P4019" s="13">
        <f t="shared" si="125"/>
        <v>2303483</v>
      </c>
      <c r="Q4019" s="13">
        <f>SUMIFS(M:M,E:E,Online_eCommerce[[#This Row],[Status]])</f>
        <v>21233992</v>
      </c>
      <c r="R4019" s="13">
        <f>SUMIFS(L:L,H:H,Online_eCommerce[[#This Row],[Brand]])</f>
        <v>2267380</v>
      </c>
      <c r="S4019" s="13">
        <f>SUMIF(H:H,Online_eCommerce[[#This Row],[Brand]],M:M)</f>
        <v>2947594</v>
      </c>
      <c r="T4019" s="13">
        <f>SUMIF(N:N,Online_eCommerce[[#This Row],[Assigned Supervisor]],L:L)</f>
        <v>12100590</v>
      </c>
    </row>
    <row r="4020" spans="1:20" hidden="1" x14ac:dyDescent="0.3">
      <c r="A4020" t="s">
        <v>5948</v>
      </c>
      <c r="B4020" t="s">
        <v>144</v>
      </c>
      <c r="C4020" t="s">
        <v>165</v>
      </c>
      <c r="D4020" t="s">
        <v>5828</v>
      </c>
      <c r="E4020" t="s">
        <v>18</v>
      </c>
      <c r="F4020" t="s">
        <v>59</v>
      </c>
      <c r="G4020" t="s">
        <v>60</v>
      </c>
      <c r="H4020" t="s">
        <v>61</v>
      </c>
      <c r="I4020">
        <v>850</v>
      </c>
      <c r="J4020">
        <v>1105</v>
      </c>
      <c r="K4020">
        <v>4</v>
      </c>
      <c r="L4020">
        <v>3400</v>
      </c>
      <c r="M4020">
        <v>4420</v>
      </c>
      <c r="N4020" t="s">
        <v>56</v>
      </c>
      <c r="O4020">
        <f t="shared" si="124"/>
        <v>3315</v>
      </c>
      <c r="P4020" s="13">
        <f t="shared" si="125"/>
        <v>2674087</v>
      </c>
      <c r="Q4020" s="13">
        <f>SUMIFS(M:M,E:E,Online_eCommerce[[#This Row],[Status]])</f>
        <v>28340455</v>
      </c>
      <c r="R4020" s="13">
        <f>SUMIFS(L:L,H:H,Online_eCommerce[[#This Row],[Brand]])</f>
        <v>10950150</v>
      </c>
      <c r="S4020" s="13">
        <f>SUMIF(H:H,Online_eCommerce[[#This Row],[Brand]],M:M)</f>
        <v>14235195</v>
      </c>
      <c r="T4020" s="13">
        <f>SUMIF(N:N,Online_eCommerce[[#This Row],[Assigned Supervisor]],L:L)</f>
        <v>11733610</v>
      </c>
    </row>
    <row r="4021" spans="1:20" hidden="1" x14ac:dyDescent="0.3">
      <c r="A4021" t="s">
        <v>5949</v>
      </c>
      <c r="B4021" t="s">
        <v>149</v>
      </c>
      <c r="C4021" t="s">
        <v>168</v>
      </c>
      <c r="D4021" t="s">
        <v>5828</v>
      </c>
      <c r="E4021" t="s">
        <v>161</v>
      </c>
      <c r="F4021" t="s">
        <v>65</v>
      </c>
      <c r="G4021" t="s">
        <v>66</v>
      </c>
      <c r="H4021" t="s">
        <v>21</v>
      </c>
      <c r="I4021">
        <v>650</v>
      </c>
      <c r="J4021">
        <v>845</v>
      </c>
      <c r="K4021">
        <v>1</v>
      </c>
      <c r="L4021">
        <v>650</v>
      </c>
      <c r="M4021">
        <v>845</v>
      </c>
      <c r="N4021" t="s">
        <v>22</v>
      </c>
      <c r="O4021">
        <f t="shared" si="124"/>
        <v>1690</v>
      </c>
      <c r="P4021" s="13">
        <f t="shared" si="125"/>
        <v>1937780</v>
      </c>
      <c r="Q4021" s="13">
        <f>SUMIFS(M:M,E:E,Online_eCommerce[[#This Row],[Status]])</f>
        <v>21103186</v>
      </c>
      <c r="R4021" s="13">
        <f>SUMIFS(L:L,H:H,Online_eCommerce[[#This Row],[Brand]])</f>
        <v>12435650</v>
      </c>
      <c r="S4021" s="13">
        <f>SUMIF(H:H,Online_eCommerce[[#This Row],[Brand]],M:M)</f>
        <v>16166345</v>
      </c>
      <c r="T4021" s="13">
        <f>SUMIF(N:N,Online_eCommerce[[#This Row],[Assigned Supervisor]],L:L)</f>
        <v>13693220</v>
      </c>
    </row>
    <row r="4022" spans="1:20" x14ac:dyDescent="0.3">
      <c r="A4022" t="s">
        <v>5950</v>
      </c>
      <c r="B4022" t="s">
        <v>154</v>
      </c>
      <c r="C4022" t="s">
        <v>172</v>
      </c>
      <c r="D4022" t="s">
        <v>5828</v>
      </c>
      <c r="E4022" t="s">
        <v>46</v>
      </c>
      <c r="F4022" t="s">
        <v>70</v>
      </c>
      <c r="G4022" t="s">
        <v>71</v>
      </c>
      <c r="H4022" t="s">
        <v>61</v>
      </c>
      <c r="I4022">
        <v>7500</v>
      </c>
      <c r="J4022">
        <v>9750</v>
      </c>
      <c r="K4022">
        <v>4</v>
      </c>
      <c r="L4022">
        <v>30000</v>
      </c>
      <c r="M4022">
        <v>39000</v>
      </c>
      <c r="N4022" t="s">
        <v>28</v>
      </c>
      <c r="O4022">
        <f t="shared" si="124"/>
        <v>9750</v>
      </c>
      <c r="P4022" s="13">
        <f t="shared" si="125"/>
        <v>2640274</v>
      </c>
      <c r="Q4022" s="13">
        <f>SUMIFS(M:M,E:E,Online_eCommerce[[#This Row],[Status]])</f>
        <v>28620410</v>
      </c>
      <c r="R4022" s="13">
        <f>SUMIFS(L:L,H:H,Online_eCommerce[[#This Row],[Brand]])</f>
        <v>10950150</v>
      </c>
      <c r="S4022" s="13">
        <f>SUMIF(H:H,Online_eCommerce[[#This Row],[Brand]],M:M)</f>
        <v>14235195</v>
      </c>
      <c r="T4022" s="13">
        <f>SUMIF(N:N,Online_eCommerce[[#This Row],[Assigned Supervisor]],L:L)</f>
        <v>12220830</v>
      </c>
    </row>
    <row r="4023" spans="1:20" hidden="1" x14ac:dyDescent="0.3">
      <c r="A4023" t="s">
        <v>5951</v>
      </c>
      <c r="B4023" t="s">
        <v>159</v>
      </c>
      <c r="C4023" t="s">
        <v>177</v>
      </c>
      <c r="D4023" t="s">
        <v>5828</v>
      </c>
      <c r="E4023" t="s">
        <v>96</v>
      </c>
      <c r="F4023" t="s">
        <v>5938</v>
      </c>
      <c r="G4023" t="s">
        <v>77</v>
      </c>
      <c r="H4023" t="s">
        <v>78</v>
      </c>
      <c r="I4023">
        <v>10000</v>
      </c>
      <c r="J4023">
        <v>13000</v>
      </c>
      <c r="K4023">
        <v>3</v>
      </c>
      <c r="L4023">
        <v>30000</v>
      </c>
      <c r="M4023">
        <v>39000</v>
      </c>
      <c r="N4023" t="s">
        <v>35</v>
      </c>
      <c r="O4023">
        <f t="shared" si="124"/>
        <v>39000</v>
      </c>
      <c r="P4023" s="13">
        <f t="shared" si="125"/>
        <v>1863810</v>
      </c>
      <c r="Q4023" s="13">
        <f>SUMIFS(M:M,E:E,Online_eCommerce[[#This Row],[Status]])</f>
        <v>21233992</v>
      </c>
      <c r="R4023" s="13">
        <f>SUMIFS(L:L,H:H,Online_eCommerce[[#This Row],[Brand]])</f>
        <v>3720000</v>
      </c>
      <c r="S4023" s="13">
        <f>SUMIF(H:H,Online_eCommerce[[#This Row],[Brand]],M:M)</f>
        <v>4836000</v>
      </c>
      <c r="T4023" s="13">
        <f>SUMIF(N:N,Online_eCommerce[[#This Row],[Assigned Supervisor]],L:L)</f>
        <v>14373360</v>
      </c>
    </row>
    <row r="4024" spans="1:20" hidden="1" x14ac:dyDescent="0.3">
      <c r="A4024" t="s">
        <v>5952</v>
      </c>
      <c r="B4024" t="s">
        <v>139</v>
      </c>
      <c r="C4024" t="s">
        <v>181</v>
      </c>
      <c r="D4024" t="s">
        <v>5828</v>
      </c>
      <c r="E4024" t="s">
        <v>18</v>
      </c>
      <c r="F4024" t="s">
        <v>5953</v>
      </c>
      <c r="G4024" t="s">
        <v>20</v>
      </c>
      <c r="H4024" t="s">
        <v>21</v>
      </c>
      <c r="I4024">
        <v>10500</v>
      </c>
      <c r="J4024">
        <v>13650</v>
      </c>
      <c r="K4024">
        <v>2</v>
      </c>
      <c r="L4024">
        <v>21000</v>
      </c>
      <c r="M4024">
        <v>27300</v>
      </c>
      <c r="N4024" t="s">
        <v>35</v>
      </c>
      <c r="O4024">
        <f t="shared" si="124"/>
        <v>8450</v>
      </c>
      <c r="P4024" s="13">
        <f t="shared" si="125"/>
        <v>2577458</v>
      </c>
      <c r="Q4024" s="13">
        <f>SUMIFS(M:M,E:E,Online_eCommerce[[#This Row],[Status]])</f>
        <v>28340455</v>
      </c>
      <c r="R4024" s="13">
        <f>SUMIFS(L:L,H:H,Online_eCommerce[[#This Row],[Brand]])</f>
        <v>12435650</v>
      </c>
      <c r="S4024" s="13">
        <f>SUMIF(H:H,Online_eCommerce[[#This Row],[Brand]],M:M)</f>
        <v>16166345</v>
      </c>
      <c r="T4024" s="13">
        <f>SUMIF(N:N,Online_eCommerce[[#This Row],[Assigned Supervisor]],L:L)</f>
        <v>14373360</v>
      </c>
    </row>
    <row r="4025" spans="1:20" hidden="1" x14ac:dyDescent="0.3">
      <c r="A4025" t="s">
        <v>5954</v>
      </c>
      <c r="B4025" t="s">
        <v>144</v>
      </c>
      <c r="C4025" t="s">
        <v>185</v>
      </c>
      <c r="D4025" t="s">
        <v>5828</v>
      </c>
      <c r="E4025" t="s">
        <v>161</v>
      </c>
      <c r="F4025" t="s">
        <v>88</v>
      </c>
      <c r="G4025" t="s">
        <v>26</v>
      </c>
      <c r="H4025" t="s">
        <v>27</v>
      </c>
      <c r="I4025">
        <v>8500</v>
      </c>
      <c r="J4025">
        <v>11050</v>
      </c>
      <c r="K4025">
        <v>4</v>
      </c>
      <c r="L4025">
        <v>34000</v>
      </c>
      <c r="M4025">
        <v>44200</v>
      </c>
      <c r="N4025" t="s">
        <v>35</v>
      </c>
      <c r="O4025">
        <f t="shared" si="124"/>
        <v>33150</v>
      </c>
      <c r="P4025" s="13">
        <f t="shared" si="125"/>
        <v>2091596</v>
      </c>
      <c r="Q4025" s="13">
        <f>SUMIFS(M:M,E:E,Online_eCommerce[[#This Row],[Status]])</f>
        <v>21103186</v>
      </c>
      <c r="R4025" s="13">
        <f>SUMIFS(L:L,H:H,Online_eCommerce[[#This Row],[Brand]])</f>
        <v>14431000</v>
      </c>
      <c r="S4025" s="13">
        <f>SUMIF(H:H,Online_eCommerce[[#This Row],[Brand]],M:M)</f>
        <v>18760300</v>
      </c>
      <c r="T4025" s="13">
        <f>SUMIF(N:N,Online_eCommerce[[#This Row],[Assigned Supervisor]],L:L)</f>
        <v>14373360</v>
      </c>
    </row>
    <row r="4026" spans="1:20" x14ac:dyDescent="0.3">
      <c r="A4026" t="s">
        <v>5955</v>
      </c>
      <c r="B4026" t="s">
        <v>235</v>
      </c>
      <c r="C4026" t="s">
        <v>189</v>
      </c>
      <c r="D4026" t="s">
        <v>5828</v>
      </c>
      <c r="E4026" t="s">
        <v>46</v>
      </c>
      <c r="F4026" t="s">
        <v>32</v>
      </c>
      <c r="G4026" t="s">
        <v>33</v>
      </c>
      <c r="H4026" t="s">
        <v>34</v>
      </c>
      <c r="I4026">
        <v>7000</v>
      </c>
      <c r="J4026">
        <v>9100</v>
      </c>
      <c r="K4026">
        <v>4</v>
      </c>
      <c r="L4026">
        <v>28000</v>
      </c>
      <c r="M4026">
        <v>36400</v>
      </c>
      <c r="N4026" t="s">
        <v>35</v>
      </c>
      <c r="O4026">
        <f t="shared" si="124"/>
        <v>18200</v>
      </c>
      <c r="P4026" s="13">
        <f t="shared" si="125"/>
        <v>2740777</v>
      </c>
      <c r="Q4026" s="13">
        <f>SUMIFS(M:M,E:E,Online_eCommerce[[#This Row],[Status]])</f>
        <v>28620410</v>
      </c>
      <c r="R4026" s="13">
        <f>SUMIFS(L:L,H:H,Online_eCommerce[[#This Row],[Brand]])</f>
        <v>10087000</v>
      </c>
      <c r="S4026" s="13">
        <f>SUMIF(H:H,Online_eCommerce[[#This Row],[Brand]],M:M)</f>
        <v>13113100</v>
      </c>
      <c r="T4026" s="13">
        <f>SUMIF(N:N,Online_eCommerce[[#This Row],[Assigned Supervisor]],L:L)</f>
        <v>14373360</v>
      </c>
    </row>
    <row r="4027" spans="1:20" hidden="1" x14ac:dyDescent="0.3">
      <c r="A4027" t="s">
        <v>5956</v>
      </c>
      <c r="B4027" t="s">
        <v>176</v>
      </c>
      <c r="C4027" t="s">
        <v>193</v>
      </c>
      <c r="D4027" t="s">
        <v>5828</v>
      </c>
      <c r="E4027" t="s">
        <v>96</v>
      </c>
      <c r="F4027" t="s">
        <v>5957</v>
      </c>
      <c r="G4027" t="s">
        <v>163</v>
      </c>
      <c r="H4027" t="s">
        <v>41</v>
      </c>
      <c r="I4027">
        <v>1680</v>
      </c>
      <c r="J4027">
        <v>2184</v>
      </c>
      <c r="K4027">
        <v>3</v>
      </c>
      <c r="L4027">
        <v>5040</v>
      </c>
      <c r="M4027">
        <v>6552</v>
      </c>
      <c r="N4027" t="s">
        <v>35</v>
      </c>
      <c r="O4027">
        <f t="shared" si="124"/>
        <v>13650</v>
      </c>
      <c r="P4027" s="13">
        <f t="shared" si="125"/>
        <v>2074774</v>
      </c>
      <c r="Q4027" s="13">
        <f>SUMIFS(M:M,E:E,Online_eCommerce[[#This Row],[Status]])</f>
        <v>21233992</v>
      </c>
      <c r="R4027" s="13">
        <f>SUMIFS(L:L,H:H,Online_eCommerce[[#This Row],[Brand]])</f>
        <v>4260400</v>
      </c>
      <c r="S4027" s="13">
        <f>SUMIF(H:H,Online_eCommerce[[#This Row],[Brand]],M:M)</f>
        <v>5538520</v>
      </c>
      <c r="T4027" s="13">
        <f>SUMIF(N:N,Online_eCommerce[[#This Row],[Assigned Supervisor]],L:L)</f>
        <v>14373360</v>
      </c>
    </row>
    <row r="4028" spans="1:20" hidden="1" x14ac:dyDescent="0.3">
      <c r="A4028" t="s">
        <v>5958</v>
      </c>
      <c r="B4028" t="s">
        <v>276</v>
      </c>
      <c r="C4028" t="s">
        <v>197</v>
      </c>
      <c r="D4028" t="s">
        <v>5828</v>
      </c>
      <c r="E4028" t="s">
        <v>18</v>
      </c>
      <c r="F4028" t="s">
        <v>101</v>
      </c>
      <c r="G4028" t="s">
        <v>66</v>
      </c>
      <c r="H4028" t="s">
        <v>102</v>
      </c>
      <c r="I4028">
        <v>6540</v>
      </c>
      <c r="J4028">
        <v>8502</v>
      </c>
      <c r="K4028">
        <v>1</v>
      </c>
      <c r="L4028">
        <v>6540</v>
      </c>
      <c r="M4028">
        <v>8502</v>
      </c>
      <c r="N4028" t="s">
        <v>35</v>
      </c>
      <c r="O4028">
        <f t="shared" si="124"/>
        <v>1690</v>
      </c>
      <c r="P4028" s="13">
        <f t="shared" si="125"/>
        <v>2829840</v>
      </c>
      <c r="Q4028" s="13">
        <f>SUMIFS(M:M,E:E,Online_eCommerce[[#This Row],[Status]])</f>
        <v>28340455</v>
      </c>
      <c r="R4028" s="13">
        <f>SUMIFS(L:L,H:H,Online_eCommerce[[#This Row],[Brand]])</f>
        <v>2465580</v>
      </c>
      <c r="S4028" s="13">
        <f>SUMIF(H:H,Online_eCommerce[[#This Row],[Brand]],M:M)</f>
        <v>3205254</v>
      </c>
      <c r="T4028" s="13">
        <f>SUMIF(N:N,Online_eCommerce[[#This Row],[Assigned Supervisor]],L:L)</f>
        <v>14373360</v>
      </c>
    </row>
    <row r="4029" spans="1:20" hidden="1" x14ac:dyDescent="0.3">
      <c r="A4029" t="s">
        <v>5959</v>
      </c>
      <c r="B4029" t="s">
        <v>280</v>
      </c>
      <c r="C4029" t="s">
        <v>199</v>
      </c>
      <c r="D4029" t="s">
        <v>5828</v>
      </c>
      <c r="E4029" t="s">
        <v>161</v>
      </c>
      <c r="F4029" t="s">
        <v>107</v>
      </c>
      <c r="G4029" t="s">
        <v>54</v>
      </c>
      <c r="H4029" t="s">
        <v>55</v>
      </c>
      <c r="I4029">
        <v>2680</v>
      </c>
      <c r="J4029">
        <v>3484</v>
      </c>
      <c r="K4029">
        <v>3</v>
      </c>
      <c r="L4029">
        <v>8040</v>
      </c>
      <c r="M4029">
        <v>10452</v>
      </c>
      <c r="N4029" t="s">
        <v>35</v>
      </c>
      <c r="O4029">
        <f t="shared" si="124"/>
        <v>2990</v>
      </c>
      <c r="P4029" s="13">
        <f t="shared" si="125"/>
        <v>1947361</v>
      </c>
      <c r="Q4029" s="13">
        <f>SUMIFS(M:M,E:E,Online_eCommerce[[#This Row],[Status]])</f>
        <v>21103186</v>
      </c>
      <c r="R4029" s="13">
        <f>SUMIFS(L:L,H:H,Online_eCommerce[[#This Row],[Brand]])</f>
        <v>2267380</v>
      </c>
      <c r="S4029" s="13">
        <f>SUMIF(H:H,Online_eCommerce[[#This Row],[Brand]],M:M)</f>
        <v>2947594</v>
      </c>
      <c r="T4029" s="13">
        <f>SUMIF(N:N,Online_eCommerce[[#This Row],[Assigned Supervisor]],L:L)</f>
        <v>14373360</v>
      </c>
    </row>
    <row r="4030" spans="1:20" x14ac:dyDescent="0.3">
      <c r="A4030" t="s">
        <v>5960</v>
      </c>
      <c r="B4030" t="s">
        <v>283</v>
      </c>
      <c r="C4030" t="s">
        <v>203</v>
      </c>
      <c r="D4030" t="s">
        <v>5828</v>
      </c>
      <c r="E4030" t="s">
        <v>46</v>
      </c>
      <c r="F4030" t="s">
        <v>112</v>
      </c>
      <c r="G4030" t="s">
        <v>71</v>
      </c>
      <c r="H4030" t="s">
        <v>21</v>
      </c>
      <c r="I4030">
        <v>8250</v>
      </c>
      <c r="J4030">
        <v>10725</v>
      </c>
      <c r="K4030">
        <v>1</v>
      </c>
      <c r="L4030">
        <v>8250</v>
      </c>
      <c r="M4030">
        <v>10725</v>
      </c>
      <c r="N4030" t="s">
        <v>35</v>
      </c>
      <c r="O4030">
        <f t="shared" si="124"/>
        <v>9750</v>
      </c>
      <c r="P4030" s="13">
        <f t="shared" si="125"/>
        <v>2559635</v>
      </c>
      <c r="Q4030" s="13">
        <f>SUMIFS(M:M,E:E,Online_eCommerce[[#This Row],[Status]])</f>
        <v>28620410</v>
      </c>
      <c r="R4030" s="13">
        <f>SUMIFS(L:L,H:H,Online_eCommerce[[#This Row],[Brand]])</f>
        <v>12435650</v>
      </c>
      <c r="S4030" s="13">
        <f>SUMIF(H:H,Online_eCommerce[[#This Row],[Brand]],M:M)</f>
        <v>16166345</v>
      </c>
      <c r="T4030" s="13">
        <f>SUMIF(N:N,Online_eCommerce[[#This Row],[Assigned Supervisor]],L:L)</f>
        <v>14373360</v>
      </c>
    </row>
    <row r="4031" spans="1:20" hidden="1" x14ac:dyDescent="0.3">
      <c r="A4031" t="s">
        <v>5961</v>
      </c>
      <c r="B4031" t="s">
        <v>287</v>
      </c>
      <c r="C4031" t="s">
        <v>205</v>
      </c>
      <c r="D4031" t="s">
        <v>5828</v>
      </c>
      <c r="E4031" t="s">
        <v>96</v>
      </c>
      <c r="F4031" t="s">
        <v>5605</v>
      </c>
      <c r="G4031" t="s">
        <v>40</v>
      </c>
      <c r="H4031" t="s">
        <v>21</v>
      </c>
      <c r="I4031">
        <v>2650</v>
      </c>
      <c r="J4031">
        <v>3445</v>
      </c>
      <c r="K4031">
        <v>3</v>
      </c>
      <c r="L4031">
        <v>7950</v>
      </c>
      <c r="M4031">
        <v>10335</v>
      </c>
      <c r="N4031" t="s">
        <v>35</v>
      </c>
      <c r="O4031">
        <f t="shared" si="124"/>
        <v>25545</v>
      </c>
      <c r="P4031" s="13">
        <f t="shared" si="125"/>
        <v>1983254</v>
      </c>
      <c r="Q4031" s="13">
        <f>SUMIFS(M:M,E:E,Online_eCommerce[[#This Row],[Status]])</f>
        <v>21233992</v>
      </c>
      <c r="R4031" s="13">
        <f>SUMIFS(L:L,H:H,Online_eCommerce[[#This Row],[Brand]])</f>
        <v>12435650</v>
      </c>
      <c r="S4031" s="13">
        <f>SUMIF(H:H,Online_eCommerce[[#This Row],[Brand]],M:M)</f>
        <v>16166345</v>
      </c>
      <c r="T4031" s="13">
        <f>SUMIF(N:N,Online_eCommerce[[#This Row],[Assigned Supervisor]],L:L)</f>
        <v>14373360</v>
      </c>
    </row>
    <row r="4032" spans="1:20" hidden="1" x14ac:dyDescent="0.3">
      <c r="A4032" t="s">
        <v>5962</v>
      </c>
      <c r="B4032" t="s">
        <v>290</v>
      </c>
      <c r="C4032" t="s">
        <v>208</v>
      </c>
      <c r="D4032" t="s">
        <v>5828</v>
      </c>
      <c r="E4032" t="s">
        <v>18</v>
      </c>
      <c r="F4032" t="s">
        <v>121</v>
      </c>
      <c r="G4032" t="s">
        <v>71</v>
      </c>
      <c r="H4032" t="s">
        <v>122</v>
      </c>
      <c r="I4032">
        <v>12550</v>
      </c>
      <c r="J4032">
        <v>16315</v>
      </c>
      <c r="K4032">
        <v>3</v>
      </c>
      <c r="L4032">
        <v>37650</v>
      </c>
      <c r="M4032">
        <v>48945</v>
      </c>
      <c r="N4032" t="s">
        <v>35</v>
      </c>
      <c r="O4032">
        <f t="shared" si="124"/>
        <v>9750</v>
      </c>
      <c r="P4032" s="13">
        <f t="shared" si="125"/>
        <v>2746575</v>
      </c>
      <c r="Q4032" s="13">
        <f>SUMIFS(M:M,E:E,Online_eCommerce[[#This Row],[Status]])</f>
        <v>28340455</v>
      </c>
      <c r="R4032" s="13">
        <f>SUMIFS(L:L,H:H,Online_eCommerce[[#This Row],[Brand]])</f>
        <v>5045100</v>
      </c>
      <c r="S4032" s="13">
        <f>SUMIF(H:H,Online_eCommerce[[#This Row],[Brand]],M:M)</f>
        <v>6558630</v>
      </c>
      <c r="T4032" s="13">
        <f>SUMIF(N:N,Online_eCommerce[[#This Row],[Assigned Supervisor]],L:L)</f>
        <v>14373360</v>
      </c>
    </row>
    <row r="4033" spans="1:20" hidden="1" x14ac:dyDescent="0.3">
      <c r="A4033" t="s">
        <v>5963</v>
      </c>
      <c r="B4033" t="s">
        <v>15</v>
      </c>
      <c r="C4033" t="s">
        <v>211</v>
      </c>
      <c r="D4033" t="s">
        <v>5828</v>
      </c>
      <c r="E4033" t="s">
        <v>161</v>
      </c>
      <c r="F4033" t="s">
        <v>126</v>
      </c>
      <c r="G4033" t="s">
        <v>26</v>
      </c>
      <c r="H4033" t="s">
        <v>27</v>
      </c>
      <c r="I4033">
        <v>14500</v>
      </c>
      <c r="J4033">
        <v>18850</v>
      </c>
      <c r="K4033">
        <v>2</v>
      </c>
      <c r="L4033">
        <v>29000</v>
      </c>
      <c r="M4033">
        <v>37700</v>
      </c>
      <c r="N4033" t="s">
        <v>35</v>
      </c>
      <c r="O4033">
        <f t="shared" si="124"/>
        <v>33150</v>
      </c>
      <c r="P4033" s="13">
        <f t="shared" si="125"/>
        <v>1809847</v>
      </c>
      <c r="Q4033" s="13">
        <f>SUMIFS(M:M,E:E,Online_eCommerce[[#This Row],[Status]])</f>
        <v>21103186</v>
      </c>
      <c r="R4033" s="13">
        <f>SUMIFS(L:L,H:H,Online_eCommerce[[#This Row],[Brand]])</f>
        <v>14431000</v>
      </c>
      <c r="S4033" s="13">
        <f>SUMIF(H:H,Online_eCommerce[[#This Row],[Brand]],M:M)</f>
        <v>18760300</v>
      </c>
      <c r="T4033" s="13">
        <f>SUMIF(N:N,Online_eCommerce[[#This Row],[Assigned Supervisor]],L:L)</f>
        <v>14373360</v>
      </c>
    </row>
    <row r="4034" spans="1:20" x14ac:dyDescent="0.3">
      <c r="A4034" t="s">
        <v>5964</v>
      </c>
      <c r="B4034" t="s">
        <v>202</v>
      </c>
      <c r="C4034" t="s">
        <v>16</v>
      </c>
      <c r="D4034" t="s">
        <v>5828</v>
      </c>
      <c r="E4034" t="s">
        <v>46</v>
      </c>
      <c r="F4034" t="s">
        <v>129</v>
      </c>
      <c r="G4034" t="s">
        <v>60</v>
      </c>
      <c r="H4034" t="s">
        <v>61</v>
      </c>
      <c r="I4034">
        <v>800</v>
      </c>
      <c r="J4034">
        <v>1040</v>
      </c>
      <c r="K4034">
        <v>2</v>
      </c>
      <c r="L4034">
        <v>1600</v>
      </c>
      <c r="M4034">
        <v>2080</v>
      </c>
      <c r="N4034" t="s">
        <v>28</v>
      </c>
      <c r="O4034">
        <f t="shared" ref="O4034:O4097" si="126">VLOOKUP(G4034,G:M,7,FALSE)</f>
        <v>3315</v>
      </c>
      <c r="P4034" s="13">
        <f t="shared" ref="P4034:P4097" si="127">SUMIFS(M:M,C:C,C4034)</f>
        <v>2751814</v>
      </c>
      <c r="Q4034" s="13">
        <f>SUMIFS(M:M,E:E,Online_eCommerce[[#This Row],[Status]])</f>
        <v>28620410</v>
      </c>
      <c r="R4034" s="13">
        <f>SUMIFS(L:L,H:H,Online_eCommerce[[#This Row],[Brand]])</f>
        <v>10950150</v>
      </c>
      <c r="S4034" s="13">
        <f>SUMIF(H:H,Online_eCommerce[[#This Row],[Brand]],M:M)</f>
        <v>14235195</v>
      </c>
      <c r="T4034" s="13">
        <f>SUMIF(N:N,Online_eCommerce[[#This Row],[Assigned Supervisor]],L:L)</f>
        <v>12220830</v>
      </c>
    </row>
    <row r="4035" spans="1:20" hidden="1" x14ac:dyDescent="0.3">
      <c r="A4035" t="s">
        <v>5965</v>
      </c>
      <c r="B4035" t="s">
        <v>30</v>
      </c>
      <c r="C4035" t="s">
        <v>24</v>
      </c>
      <c r="D4035" t="s">
        <v>5828</v>
      </c>
      <c r="E4035" t="s">
        <v>96</v>
      </c>
      <c r="F4035" t="s">
        <v>133</v>
      </c>
      <c r="G4035" t="s">
        <v>66</v>
      </c>
      <c r="H4035" t="s">
        <v>21</v>
      </c>
      <c r="I4035">
        <v>600</v>
      </c>
      <c r="J4035">
        <v>780</v>
      </c>
      <c r="K4035">
        <v>2</v>
      </c>
      <c r="L4035">
        <v>1200</v>
      </c>
      <c r="M4035">
        <v>1560</v>
      </c>
      <c r="N4035" t="s">
        <v>35</v>
      </c>
      <c r="O4035">
        <f t="shared" si="126"/>
        <v>1690</v>
      </c>
      <c r="P4035" s="13">
        <f t="shared" si="127"/>
        <v>2009540</v>
      </c>
      <c r="Q4035" s="13">
        <f>SUMIFS(M:M,E:E,Online_eCommerce[[#This Row],[Status]])</f>
        <v>21233992</v>
      </c>
      <c r="R4035" s="13">
        <f>SUMIFS(L:L,H:H,Online_eCommerce[[#This Row],[Brand]])</f>
        <v>12435650</v>
      </c>
      <c r="S4035" s="13">
        <f>SUMIF(H:H,Online_eCommerce[[#This Row],[Brand]],M:M)</f>
        <v>16166345</v>
      </c>
      <c r="T4035" s="13">
        <f>SUMIF(N:N,Online_eCommerce[[#This Row],[Assigned Supervisor]],L:L)</f>
        <v>14373360</v>
      </c>
    </row>
    <row r="4036" spans="1:20" hidden="1" x14ac:dyDescent="0.3">
      <c r="A4036" t="s">
        <v>5966</v>
      </c>
      <c r="B4036" t="s">
        <v>37</v>
      </c>
      <c r="C4036" t="s">
        <v>31</v>
      </c>
      <c r="D4036" t="s">
        <v>5828</v>
      </c>
      <c r="E4036" t="s">
        <v>18</v>
      </c>
      <c r="F4036" t="s">
        <v>137</v>
      </c>
      <c r="G4036" t="s">
        <v>71</v>
      </c>
      <c r="H4036" t="s">
        <v>61</v>
      </c>
      <c r="I4036">
        <v>10500</v>
      </c>
      <c r="J4036">
        <v>13650</v>
      </c>
      <c r="K4036">
        <v>4</v>
      </c>
      <c r="L4036">
        <v>42000</v>
      </c>
      <c r="M4036">
        <v>54600</v>
      </c>
      <c r="N4036" t="s">
        <v>42</v>
      </c>
      <c r="O4036">
        <f t="shared" si="126"/>
        <v>9750</v>
      </c>
      <c r="P4036" s="13">
        <f t="shared" si="127"/>
        <v>2865746</v>
      </c>
      <c r="Q4036" s="13">
        <f>SUMIFS(M:M,E:E,Online_eCommerce[[#This Row],[Status]])</f>
        <v>28340455</v>
      </c>
      <c r="R4036" s="13">
        <f>SUMIFS(L:L,H:H,Online_eCommerce[[#This Row],[Brand]])</f>
        <v>10950150</v>
      </c>
      <c r="S4036" s="13">
        <f>SUMIF(H:H,Online_eCommerce[[#This Row],[Brand]],M:M)</f>
        <v>14235195</v>
      </c>
      <c r="T4036" s="13">
        <f>SUMIF(N:N,Online_eCommerce[[#This Row],[Assigned Supervisor]],L:L)</f>
        <v>12261500</v>
      </c>
    </row>
    <row r="4037" spans="1:20" hidden="1" x14ac:dyDescent="0.3">
      <c r="A4037" t="s">
        <v>5967</v>
      </c>
      <c r="B4037" t="s">
        <v>44</v>
      </c>
      <c r="C4037" t="s">
        <v>38</v>
      </c>
      <c r="D4037" t="s">
        <v>5828</v>
      </c>
      <c r="E4037" t="s">
        <v>161</v>
      </c>
      <c r="F4037" t="s">
        <v>5938</v>
      </c>
      <c r="G4037" t="s">
        <v>77</v>
      </c>
      <c r="H4037" t="s">
        <v>142</v>
      </c>
      <c r="I4037">
        <v>6500</v>
      </c>
      <c r="J4037">
        <v>8450</v>
      </c>
      <c r="K4037">
        <v>3</v>
      </c>
      <c r="L4037">
        <v>19500</v>
      </c>
      <c r="M4037">
        <v>25350</v>
      </c>
      <c r="N4037" t="s">
        <v>50</v>
      </c>
      <c r="O4037">
        <f t="shared" si="126"/>
        <v>39000</v>
      </c>
      <c r="P4037" s="13">
        <f t="shared" si="127"/>
        <v>1933997</v>
      </c>
      <c r="Q4037" s="13">
        <f>SUMIFS(M:M,E:E,Online_eCommerce[[#This Row],[Status]])</f>
        <v>21103186</v>
      </c>
      <c r="R4037" s="13">
        <f>SUMIFS(L:L,H:H,Online_eCommerce[[#This Row],[Brand]])</f>
        <v>6192500</v>
      </c>
      <c r="S4037" s="13">
        <f>SUMIF(H:H,Online_eCommerce[[#This Row],[Brand]],M:M)</f>
        <v>8050250</v>
      </c>
      <c r="T4037" s="13">
        <f>SUMIF(N:N,Online_eCommerce[[#This Row],[Assigned Supervisor]],L:L)</f>
        <v>12100590</v>
      </c>
    </row>
    <row r="4038" spans="1:20" x14ac:dyDescent="0.3">
      <c r="A4038" t="s">
        <v>5968</v>
      </c>
      <c r="B4038" t="s">
        <v>213</v>
      </c>
      <c r="C4038" t="s">
        <v>45</v>
      </c>
      <c r="D4038" t="s">
        <v>5828</v>
      </c>
      <c r="E4038" t="s">
        <v>46</v>
      </c>
      <c r="F4038" t="s">
        <v>5969</v>
      </c>
      <c r="G4038" t="s">
        <v>20</v>
      </c>
      <c r="H4038" t="s">
        <v>21</v>
      </c>
      <c r="I4038">
        <v>4500</v>
      </c>
      <c r="J4038">
        <v>5850</v>
      </c>
      <c r="K4038">
        <v>4</v>
      </c>
      <c r="L4038">
        <v>18000</v>
      </c>
      <c r="M4038">
        <v>23400</v>
      </c>
      <c r="N4038" t="s">
        <v>56</v>
      </c>
      <c r="O4038">
        <f t="shared" si="126"/>
        <v>8450</v>
      </c>
      <c r="P4038" s="13">
        <f t="shared" si="127"/>
        <v>2842554</v>
      </c>
      <c r="Q4038" s="13">
        <f>SUMIFS(M:M,E:E,Online_eCommerce[[#This Row],[Status]])</f>
        <v>28620410</v>
      </c>
      <c r="R4038" s="13">
        <f>SUMIFS(L:L,H:H,Online_eCommerce[[#This Row],[Brand]])</f>
        <v>12435650</v>
      </c>
      <c r="S4038" s="13">
        <f>SUMIF(H:H,Online_eCommerce[[#This Row],[Brand]],M:M)</f>
        <v>16166345</v>
      </c>
      <c r="T4038" s="13">
        <f>SUMIF(N:N,Online_eCommerce[[#This Row],[Assigned Supervisor]],L:L)</f>
        <v>11733610</v>
      </c>
    </row>
    <row r="4039" spans="1:20" hidden="1" x14ac:dyDescent="0.3">
      <c r="A4039" t="s">
        <v>5970</v>
      </c>
      <c r="B4039" t="s">
        <v>215</v>
      </c>
      <c r="C4039" t="s">
        <v>52</v>
      </c>
      <c r="D4039" t="s">
        <v>5828</v>
      </c>
      <c r="E4039" t="s">
        <v>96</v>
      </c>
      <c r="F4039" t="s">
        <v>152</v>
      </c>
      <c r="G4039" t="s">
        <v>26</v>
      </c>
      <c r="H4039" t="s">
        <v>27</v>
      </c>
      <c r="I4039">
        <v>8500</v>
      </c>
      <c r="J4039">
        <v>11050</v>
      </c>
      <c r="K4039">
        <v>2</v>
      </c>
      <c r="L4039">
        <v>17000</v>
      </c>
      <c r="M4039">
        <v>22100</v>
      </c>
      <c r="N4039" t="s">
        <v>22</v>
      </c>
      <c r="O4039">
        <f t="shared" si="126"/>
        <v>33150</v>
      </c>
      <c r="P4039" s="13">
        <f t="shared" si="127"/>
        <v>1955044</v>
      </c>
      <c r="Q4039" s="13">
        <f>SUMIFS(M:M,E:E,Online_eCommerce[[#This Row],[Status]])</f>
        <v>21233992</v>
      </c>
      <c r="R4039" s="13">
        <f>SUMIFS(L:L,H:H,Online_eCommerce[[#This Row],[Brand]])</f>
        <v>14431000</v>
      </c>
      <c r="S4039" s="13">
        <f>SUMIF(H:H,Online_eCommerce[[#This Row],[Brand]],M:M)</f>
        <v>18760300</v>
      </c>
      <c r="T4039" s="13">
        <f>SUMIF(N:N,Online_eCommerce[[#This Row],[Assigned Supervisor]],L:L)</f>
        <v>13693220</v>
      </c>
    </row>
    <row r="4040" spans="1:20" hidden="1" x14ac:dyDescent="0.3">
      <c r="A4040" t="s">
        <v>5971</v>
      </c>
      <c r="B4040" t="s">
        <v>306</v>
      </c>
      <c r="C4040" t="s">
        <v>58</v>
      </c>
      <c r="D4040" t="s">
        <v>5828</v>
      </c>
      <c r="E4040" t="s">
        <v>18</v>
      </c>
      <c r="F4040" t="s">
        <v>157</v>
      </c>
      <c r="G4040" t="s">
        <v>33</v>
      </c>
      <c r="H4040" t="s">
        <v>34</v>
      </c>
      <c r="I4040">
        <v>12500</v>
      </c>
      <c r="J4040">
        <v>16250</v>
      </c>
      <c r="K4040">
        <v>1</v>
      </c>
      <c r="L4040">
        <v>12500</v>
      </c>
      <c r="M4040">
        <v>16250</v>
      </c>
      <c r="N4040" t="s">
        <v>28</v>
      </c>
      <c r="O4040">
        <f t="shared" si="126"/>
        <v>18200</v>
      </c>
      <c r="P4040" s="13">
        <f t="shared" si="127"/>
        <v>2629211</v>
      </c>
      <c r="Q4040" s="13">
        <f>SUMIFS(M:M,E:E,Online_eCommerce[[#This Row],[Status]])</f>
        <v>28340455</v>
      </c>
      <c r="R4040" s="13">
        <f>SUMIFS(L:L,H:H,Online_eCommerce[[#This Row],[Brand]])</f>
        <v>10087000</v>
      </c>
      <c r="S4040" s="13">
        <f>SUMIF(H:H,Online_eCommerce[[#This Row],[Brand]],M:M)</f>
        <v>13113100</v>
      </c>
      <c r="T4040" s="13">
        <f>SUMIF(N:N,Online_eCommerce[[#This Row],[Assigned Supervisor]],L:L)</f>
        <v>12220830</v>
      </c>
    </row>
    <row r="4041" spans="1:20" hidden="1" x14ac:dyDescent="0.3">
      <c r="A4041" t="s">
        <v>5972</v>
      </c>
      <c r="B4041" t="s">
        <v>528</v>
      </c>
      <c r="C4041" t="s">
        <v>63</v>
      </c>
      <c r="D4041" t="s">
        <v>5828</v>
      </c>
      <c r="E4041" t="s">
        <v>161</v>
      </c>
      <c r="F4041" t="s">
        <v>5647</v>
      </c>
      <c r="G4041" t="s">
        <v>256</v>
      </c>
      <c r="H4041" t="s">
        <v>41</v>
      </c>
      <c r="I4041">
        <v>3500</v>
      </c>
      <c r="J4041">
        <v>4550</v>
      </c>
      <c r="K4041">
        <v>4</v>
      </c>
      <c r="L4041">
        <v>14000</v>
      </c>
      <c r="M4041">
        <v>18200</v>
      </c>
      <c r="N4041" t="s">
        <v>35</v>
      </c>
      <c r="O4041">
        <f t="shared" si="126"/>
        <v>9100</v>
      </c>
      <c r="P4041" s="13">
        <f t="shared" si="127"/>
        <v>2016131</v>
      </c>
      <c r="Q4041" s="13">
        <f>SUMIFS(M:M,E:E,Online_eCommerce[[#This Row],[Status]])</f>
        <v>21103186</v>
      </c>
      <c r="R4041" s="13">
        <f>SUMIFS(L:L,H:H,Online_eCommerce[[#This Row],[Brand]])</f>
        <v>4260400</v>
      </c>
      <c r="S4041" s="13">
        <f>SUMIF(H:H,Online_eCommerce[[#This Row],[Brand]],M:M)</f>
        <v>5538520</v>
      </c>
      <c r="T4041" s="13">
        <f>SUMIF(N:N,Online_eCommerce[[#This Row],[Assigned Supervisor]],L:L)</f>
        <v>14373360</v>
      </c>
    </row>
    <row r="4042" spans="1:20" x14ac:dyDescent="0.3">
      <c r="A4042" t="s">
        <v>5973</v>
      </c>
      <c r="B4042" t="s">
        <v>73</v>
      </c>
      <c r="C4042" t="s">
        <v>68</v>
      </c>
      <c r="D4042" t="s">
        <v>5828</v>
      </c>
      <c r="E4042" t="s">
        <v>46</v>
      </c>
      <c r="F4042" t="s">
        <v>166</v>
      </c>
      <c r="G4042" t="s">
        <v>259</v>
      </c>
      <c r="H4042" t="s">
        <v>49</v>
      </c>
      <c r="I4042">
        <v>4500</v>
      </c>
      <c r="J4042">
        <v>5850</v>
      </c>
      <c r="K4042">
        <v>3</v>
      </c>
      <c r="L4042">
        <v>13500</v>
      </c>
      <c r="M4042">
        <v>17550</v>
      </c>
      <c r="N4042" t="s">
        <v>42</v>
      </c>
      <c r="O4042">
        <f t="shared" si="126"/>
        <v>11700</v>
      </c>
      <c r="P4042" s="13">
        <f t="shared" si="127"/>
        <v>2974621</v>
      </c>
      <c r="Q4042" s="13">
        <f>SUMIFS(M:M,E:E,Online_eCommerce[[#This Row],[Status]])</f>
        <v>28620410</v>
      </c>
      <c r="R4042" s="13">
        <f>SUMIFS(L:L,H:H,Online_eCommerce[[#This Row],[Brand]])</f>
        <v>4528350</v>
      </c>
      <c r="S4042" s="13">
        <f>SUMIF(H:H,Online_eCommerce[[#This Row],[Brand]],M:M)</f>
        <v>5886855</v>
      </c>
      <c r="T4042" s="13">
        <f>SUMIF(N:N,Online_eCommerce[[#This Row],[Assigned Supervisor]],L:L)</f>
        <v>12261500</v>
      </c>
    </row>
    <row r="4043" spans="1:20" hidden="1" x14ac:dyDescent="0.3">
      <c r="A4043" t="s">
        <v>5974</v>
      </c>
      <c r="B4043" t="s">
        <v>80</v>
      </c>
      <c r="C4043" t="s">
        <v>74</v>
      </c>
      <c r="D4043" t="s">
        <v>5828</v>
      </c>
      <c r="E4043" t="s">
        <v>96</v>
      </c>
      <c r="F4043" t="s">
        <v>5975</v>
      </c>
      <c r="G4043" t="s">
        <v>54</v>
      </c>
      <c r="H4043" t="s">
        <v>55</v>
      </c>
      <c r="I4043">
        <v>2100</v>
      </c>
      <c r="J4043">
        <v>2730</v>
      </c>
      <c r="K4043">
        <v>1</v>
      </c>
      <c r="L4043">
        <v>2100</v>
      </c>
      <c r="M4043">
        <v>2730</v>
      </c>
      <c r="N4043" t="s">
        <v>50</v>
      </c>
      <c r="O4043">
        <f t="shared" si="126"/>
        <v>2990</v>
      </c>
      <c r="P4043" s="13">
        <f t="shared" si="127"/>
        <v>2144701</v>
      </c>
      <c r="Q4043" s="13">
        <f>SUMIFS(M:M,E:E,Online_eCommerce[[#This Row],[Status]])</f>
        <v>21233992</v>
      </c>
      <c r="R4043" s="13">
        <f>SUMIFS(L:L,H:H,Online_eCommerce[[#This Row],[Brand]])</f>
        <v>2267380</v>
      </c>
      <c r="S4043" s="13">
        <f>SUMIF(H:H,Online_eCommerce[[#This Row],[Brand]],M:M)</f>
        <v>2947594</v>
      </c>
      <c r="T4043" s="13">
        <f>SUMIF(N:N,Online_eCommerce[[#This Row],[Assigned Supervisor]],L:L)</f>
        <v>12100590</v>
      </c>
    </row>
    <row r="4044" spans="1:20" hidden="1" x14ac:dyDescent="0.3">
      <c r="A4044" t="s">
        <v>5976</v>
      </c>
      <c r="B4044" t="s">
        <v>85</v>
      </c>
      <c r="C4044" t="s">
        <v>81</v>
      </c>
      <c r="D4044" t="s">
        <v>5828</v>
      </c>
      <c r="E4044" t="s">
        <v>18</v>
      </c>
      <c r="F4044" t="s">
        <v>174</v>
      </c>
      <c r="G4044" t="s">
        <v>60</v>
      </c>
      <c r="H4044" t="s">
        <v>61</v>
      </c>
      <c r="I4044">
        <v>1150</v>
      </c>
      <c r="J4044">
        <v>1495</v>
      </c>
      <c r="K4044">
        <v>2</v>
      </c>
      <c r="L4044">
        <v>2300</v>
      </c>
      <c r="M4044">
        <v>2990</v>
      </c>
      <c r="N4044" t="s">
        <v>56</v>
      </c>
      <c r="O4044">
        <f t="shared" si="126"/>
        <v>3315</v>
      </c>
      <c r="P4044" s="13">
        <f t="shared" si="127"/>
        <v>2595632</v>
      </c>
      <c r="Q4044" s="13">
        <f>SUMIFS(M:M,E:E,Online_eCommerce[[#This Row],[Status]])</f>
        <v>28340455</v>
      </c>
      <c r="R4044" s="13">
        <f>SUMIFS(L:L,H:H,Online_eCommerce[[#This Row],[Brand]])</f>
        <v>10950150</v>
      </c>
      <c r="S4044" s="13">
        <f>SUMIF(H:H,Online_eCommerce[[#This Row],[Brand]],M:M)</f>
        <v>14235195</v>
      </c>
      <c r="T4044" s="13">
        <f>SUMIF(N:N,Online_eCommerce[[#This Row],[Assigned Supervisor]],L:L)</f>
        <v>11733610</v>
      </c>
    </row>
    <row r="4045" spans="1:20" hidden="1" x14ac:dyDescent="0.3">
      <c r="A4045" t="s">
        <v>5977</v>
      </c>
      <c r="B4045" t="s">
        <v>90</v>
      </c>
      <c r="C4045" t="s">
        <v>86</v>
      </c>
      <c r="D4045" t="s">
        <v>5828</v>
      </c>
      <c r="E4045" t="s">
        <v>161</v>
      </c>
      <c r="F4045" t="s">
        <v>179</v>
      </c>
      <c r="G4045" t="s">
        <v>66</v>
      </c>
      <c r="H4045" t="s">
        <v>21</v>
      </c>
      <c r="I4045">
        <v>350</v>
      </c>
      <c r="J4045">
        <v>455</v>
      </c>
      <c r="K4045">
        <v>2</v>
      </c>
      <c r="L4045">
        <v>700</v>
      </c>
      <c r="M4045">
        <v>910</v>
      </c>
      <c r="N4045" t="s">
        <v>22</v>
      </c>
      <c r="O4045">
        <f t="shared" si="126"/>
        <v>1690</v>
      </c>
      <c r="P4045" s="13">
        <f t="shared" si="127"/>
        <v>1941225</v>
      </c>
      <c r="Q4045" s="13">
        <f>SUMIFS(M:M,E:E,Online_eCommerce[[#This Row],[Status]])</f>
        <v>21103186</v>
      </c>
      <c r="R4045" s="13">
        <f>SUMIFS(L:L,H:H,Online_eCommerce[[#This Row],[Brand]])</f>
        <v>12435650</v>
      </c>
      <c r="S4045" s="13">
        <f>SUMIF(H:H,Online_eCommerce[[#This Row],[Brand]],M:M)</f>
        <v>16166345</v>
      </c>
      <c r="T4045" s="13">
        <f>SUMIF(N:N,Online_eCommerce[[#This Row],[Assigned Supervisor]],L:L)</f>
        <v>13693220</v>
      </c>
    </row>
    <row r="4046" spans="1:20" x14ac:dyDescent="0.3">
      <c r="A4046" t="s">
        <v>5978</v>
      </c>
      <c r="B4046" t="s">
        <v>232</v>
      </c>
      <c r="C4046" t="s">
        <v>91</v>
      </c>
      <c r="D4046" t="s">
        <v>5828</v>
      </c>
      <c r="E4046" t="s">
        <v>46</v>
      </c>
      <c r="F4046" t="s">
        <v>183</v>
      </c>
      <c r="G4046" t="s">
        <v>71</v>
      </c>
      <c r="H4046" t="s">
        <v>61</v>
      </c>
      <c r="I4046">
        <v>9500</v>
      </c>
      <c r="J4046">
        <v>12350</v>
      </c>
      <c r="K4046">
        <v>4</v>
      </c>
      <c r="L4046">
        <v>38000</v>
      </c>
      <c r="M4046">
        <v>49400</v>
      </c>
      <c r="N4046" t="s">
        <v>28</v>
      </c>
      <c r="O4046">
        <f t="shared" si="126"/>
        <v>9750</v>
      </c>
      <c r="P4046" s="13">
        <f t="shared" si="127"/>
        <v>2731963</v>
      </c>
      <c r="Q4046" s="13">
        <f>SUMIFS(M:M,E:E,Online_eCommerce[[#This Row],[Status]])</f>
        <v>28620410</v>
      </c>
      <c r="R4046" s="13">
        <f>SUMIFS(L:L,H:H,Online_eCommerce[[#This Row],[Brand]])</f>
        <v>10950150</v>
      </c>
      <c r="S4046" s="13">
        <f>SUMIF(H:H,Online_eCommerce[[#This Row],[Brand]],M:M)</f>
        <v>14235195</v>
      </c>
      <c r="T4046" s="13">
        <f>SUMIF(N:N,Online_eCommerce[[#This Row],[Assigned Supervisor]],L:L)</f>
        <v>12220830</v>
      </c>
    </row>
    <row r="4047" spans="1:20" hidden="1" x14ac:dyDescent="0.3">
      <c r="A4047" t="s">
        <v>5979</v>
      </c>
      <c r="B4047" t="s">
        <v>235</v>
      </c>
      <c r="C4047" t="s">
        <v>94</v>
      </c>
      <c r="D4047" t="s">
        <v>5828</v>
      </c>
      <c r="E4047" t="s">
        <v>96</v>
      </c>
      <c r="F4047" t="s">
        <v>5980</v>
      </c>
      <c r="G4047" t="s">
        <v>77</v>
      </c>
      <c r="H4047" t="s">
        <v>142</v>
      </c>
      <c r="I4047">
        <v>10000</v>
      </c>
      <c r="J4047">
        <v>13000</v>
      </c>
      <c r="K4047">
        <v>3</v>
      </c>
      <c r="L4047">
        <v>30000</v>
      </c>
      <c r="M4047">
        <v>39000</v>
      </c>
      <c r="N4047" t="s">
        <v>35</v>
      </c>
      <c r="O4047">
        <f t="shared" si="126"/>
        <v>39000</v>
      </c>
      <c r="P4047" s="13">
        <f t="shared" si="127"/>
        <v>1868256</v>
      </c>
      <c r="Q4047" s="13">
        <f>SUMIFS(M:M,E:E,Online_eCommerce[[#This Row],[Status]])</f>
        <v>21233992</v>
      </c>
      <c r="R4047" s="13">
        <f>SUMIFS(L:L,H:H,Online_eCommerce[[#This Row],[Brand]])</f>
        <v>6192500</v>
      </c>
      <c r="S4047" s="13">
        <f>SUMIF(H:H,Online_eCommerce[[#This Row],[Brand]],M:M)</f>
        <v>8050250</v>
      </c>
      <c r="T4047" s="13">
        <f>SUMIF(N:N,Online_eCommerce[[#This Row],[Assigned Supervisor]],L:L)</f>
        <v>14373360</v>
      </c>
    </row>
    <row r="4048" spans="1:20" hidden="1" x14ac:dyDescent="0.3">
      <c r="A4048" t="s">
        <v>5981</v>
      </c>
      <c r="B4048" t="s">
        <v>104</v>
      </c>
      <c r="C4048" t="s">
        <v>99</v>
      </c>
      <c r="D4048" t="s">
        <v>5828</v>
      </c>
      <c r="E4048" t="s">
        <v>18</v>
      </c>
      <c r="F4048" t="s">
        <v>5982</v>
      </c>
      <c r="G4048" t="s">
        <v>20</v>
      </c>
      <c r="H4048" t="s">
        <v>21</v>
      </c>
      <c r="I4048">
        <v>6500</v>
      </c>
      <c r="J4048">
        <v>8450</v>
      </c>
      <c r="K4048">
        <v>2</v>
      </c>
      <c r="L4048">
        <v>13000</v>
      </c>
      <c r="M4048">
        <v>16900</v>
      </c>
      <c r="N4048" t="s">
        <v>35</v>
      </c>
      <c r="O4048">
        <f t="shared" si="126"/>
        <v>8450</v>
      </c>
      <c r="P4048" s="13">
        <f t="shared" si="127"/>
        <v>2651233</v>
      </c>
      <c r="Q4048" s="13">
        <f>SUMIFS(M:M,E:E,Online_eCommerce[[#This Row],[Status]])</f>
        <v>28340455</v>
      </c>
      <c r="R4048" s="13">
        <f>SUMIFS(L:L,H:H,Online_eCommerce[[#This Row],[Brand]])</f>
        <v>12435650</v>
      </c>
      <c r="S4048" s="13">
        <f>SUMIF(H:H,Online_eCommerce[[#This Row],[Brand]],M:M)</f>
        <v>16166345</v>
      </c>
      <c r="T4048" s="13">
        <f>SUMIF(N:N,Online_eCommerce[[#This Row],[Assigned Supervisor]],L:L)</f>
        <v>14373360</v>
      </c>
    </row>
    <row r="4049" spans="1:20" hidden="1" x14ac:dyDescent="0.3">
      <c r="A4049" t="s">
        <v>5983</v>
      </c>
      <c r="B4049" t="s">
        <v>109</v>
      </c>
      <c r="C4049" t="s">
        <v>105</v>
      </c>
      <c r="D4049" t="s">
        <v>5828</v>
      </c>
      <c r="E4049" t="s">
        <v>161</v>
      </c>
      <c r="F4049" t="s">
        <v>5984</v>
      </c>
      <c r="G4049" t="s">
        <v>26</v>
      </c>
      <c r="H4049" t="s">
        <v>27</v>
      </c>
      <c r="I4049">
        <v>8500</v>
      </c>
      <c r="J4049">
        <v>11050</v>
      </c>
      <c r="K4049">
        <v>1</v>
      </c>
      <c r="L4049">
        <v>8500</v>
      </c>
      <c r="M4049">
        <v>11050</v>
      </c>
      <c r="N4049" t="s">
        <v>35</v>
      </c>
      <c r="O4049">
        <f t="shared" si="126"/>
        <v>33150</v>
      </c>
      <c r="P4049" s="13">
        <f t="shared" si="127"/>
        <v>1866852</v>
      </c>
      <c r="Q4049" s="13">
        <f>SUMIFS(M:M,E:E,Online_eCommerce[[#This Row],[Status]])</f>
        <v>21103186</v>
      </c>
      <c r="R4049" s="13">
        <f>SUMIFS(L:L,H:H,Online_eCommerce[[#This Row],[Brand]])</f>
        <v>14431000</v>
      </c>
      <c r="S4049" s="13">
        <f>SUMIF(H:H,Online_eCommerce[[#This Row],[Brand]],M:M)</f>
        <v>18760300</v>
      </c>
      <c r="T4049" s="13">
        <f>SUMIF(N:N,Online_eCommerce[[#This Row],[Assigned Supervisor]],L:L)</f>
        <v>14373360</v>
      </c>
    </row>
    <row r="4050" spans="1:20" x14ac:dyDescent="0.3">
      <c r="A4050" t="s">
        <v>5985</v>
      </c>
      <c r="B4050" t="s">
        <v>114</v>
      </c>
      <c r="C4050" t="s">
        <v>110</v>
      </c>
      <c r="D4050" t="s">
        <v>5828</v>
      </c>
      <c r="E4050" t="s">
        <v>46</v>
      </c>
      <c r="F4050" t="s">
        <v>32</v>
      </c>
      <c r="G4050" t="s">
        <v>33</v>
      </c>
      <c r="H4050" t="s">
        <v>34</v>
      </c>
      <c r="I4050">
        <v>7000</v>
      </c>
      <c r="J4050">
        <v>9100</v>
      </c>
      <c r="K4050">
        <v>1</v>
      </c>
      <c r="L4050">
        <v>7000</v>
      </c>
      <c r="M4050">
        <v>9100</v>
      </c>
      <c r="N4050" t="s">
        <v>35</v>
      </c>
      <c r="O4050">
        <f t="shared" si="126"/>
        <v>18200</v>
      </c>
      <c r="P4050" s="13">
        <f t="shared" si="127"/>
        <v>2598635</v>
      </c>
      <c r="Q4050" s="13">
        <f>SUMIFS(M:M,E:E,Online_eCommerce[[#This Row],[Status]])</f>
        <v>28620410</v>
      </c>
      <c r="R4050" s="13">
        <f>SUMIFS(L:L,H:H,Online_eCommerce[[#This Row],[Brand]])</f>
        <v>10087000</v>
      </c>
      <c r="S4050" s="13">
        <f>SUMIF(H:H,Online_eCommerce[[#This Row],[Brand]],M:M)</f>
        <v>13113100</v>
      </c>
      <c r="T4050" s="13">
        <f>SUMIF(N:N,Online_eCommerce[[#This Row],[Assigned Supervisor]],L:L)</f>
        <v>14373360</v>
      </c>
    </row>
    <row r="4051" spans="1:20" hidden="1" x14ac:dyDescent="0.3">
      <c r="A4051" t="s">
        <v>5986</v>
      </c>
      <c r="B4051" t="s">
        <v>119</v>
      </c>
      <c r="C4051" t="s">
        <v>115</v>
      </c>
      <c r="D4051" t="s">
        <v>5828</v>
      </c>
      <c r="E4051" t="s">
        <v>96</v>
      </c>
      <c r="F4051" t="s">
        <v>5987</v>
      </c>
      <c r="G4051" t="s">
        <v>256</v>
      </c>
      <c r="H4051" t="s">
        <v>41</v>
      </c>
      <c r="I4051">
        <v>6550</v>
      </c>
      <c r="J4051">
        <v>8515</v>
      </c>
      <c r="K4051">
        <v>3</v>
      </c>
      <c r="L4051">
        <v>19650</v>
      </c>
      <c r="M4051">
        <v>25545</v>
      </c>
      <c r="N4051" t="s">
        <v>35</v>
      </c>
      <c r="O4051">
        <f t="shared" si="126"/>
        <v>9100</v>
      </c>
      <c r="P4051" s="13">
        <f t="shared" si="127"/>
        <v>2050178</v>
      </c>
      <c r="Q4051" s="13">
        <f>SUMIFS(M:M,E:E,Online_eCommerce[[#This Row],[Status]])</f>
        <v>21233992</v>
      </c>
      <c r="R4051" s="13">
        <f>SUMIFS(L:L,H:H,Online_eCommerce[[#This Row],[Brand]])</f>
        <v>4260400</v>
      </c>
      <c r="S4051" s="13">
        <f>SUMIF(H:H,Online_eCommerce[[#This Row],[Brand]],M:M)</f>
        <v>5538520</v>
      </c>
      <c r="T4051" s="13">
        <f>SUMIF(N:N,Online_eCommerce[[#This Row],[Assigned Supervisor]],L:L)</f>
        <v>14373360</v>
      </c>
    </row>
    <row r="4052" spans="1:20" hidden="1" x14ac:dyDescent="0.3">
      <c r="A4052" t="s">
        <v>5988</v>
      </c>
      <c r="B4052" t="s">
        <v>124</v>
      </c>
      <c r="C4052" t="s">
        <v>120</v>
      </c>
      <c r="D4052" t="s">
        <v>5828</v>
      </c>
      <c r="E4052" t="s">
        <v>18</v>
      </c>
      <c r="F4052" t="s">
        <v>47</v>
      </c>
      <c r="G4052" t="s">
        <v>259</v>
      </c>
      <c r="H4052" t="s">
        <v>49</v>
      </c>
      <c r="I4052">
        <v>7650</v>
      </c>
      <c r="J4052">
        <v>9945</v>
      </c>
      <c r="K4052">
        <v>2</v>
      </c>
      <c r="L4052">
        <v>15300</v>
      </c>
      <c r="M4052">
        <v>19890</v>
      </c>
      <c r="N4052" t="s">
        <v>35</v>
      </c>
      <c r="O4052">
        <f t="shared" si="126"/>
        <v>11700</v>
      </c>
      <c r="P4052" s="13">
        <f t="shared" si="127"/>
        <v>2734212</v>
      </c>
      <c r="Q4052" s="13">
        <f>SUMIFS(M:M,E:E,Online_eCommerce[[#This Row],[Status]])</f>
        <v>28340455</v>
      </c>
      <c r="R4052" s="13">
        <f>SUMIFS(L:L,H:H,Online_eCommerce[[#This Row],[Brand]])</f>
        <v>4528350</v>
      </c>
      <c r="S4052" s="13">
        <f>SUMIF(H:H,Online_eCommerce[[#This Row],[Brand]],M:M)</f>
        <v>5886855</v>
      </c>
      <c r="T4052" s="13">
        <f>SUMIF(N:N,Online_eCommerce[[#This Row],[Assigned Supervisor]],L:L)</f>
        <v>14373360</v>
      </c>
    </row>
    <row r="4053" spans="1:20" hidden="1" x14ac:dyDescent="0.3">
      <c r="A4053" t="s">
        <v>5989</v>
      </c>
      <c r="B4053" t="s">
        <v>128</v>
      </c>
      <c r="C4053" t="s">
        <v>125</v>
      </c>
      <c r="D4053" t="s">
        <v>5828</v>
      </c>
      <c r="E4053" t="s">
        <v>161</v>
      </c>
      <c r="F4053" t="s">
        <v>53</v>
      </c>
      <c r="G4053" t="s">
        <v>54</v>
      </c>
      <c r="H4053" t="s">
        <v>55</v>
      </c>
      <c r="I4053">
        <v>1150</v>
      </c>
      <c r="J4053">
        <v>1495</v>
      </c>
      <c r="K4053">
        <v>1</v>
      </c>
      <c r="L4053">
        <v>1150</v>
      </c>
      <c r="M4053">
        <v>1495</v>
      </c>
      <c r="N4053" t="s">
        <v>35</v>
      </c>
      <c r="O4053">
        <f t="shared" si="126"/>
        <v>2990</v>
      </c>
      <c r="P4053" s="13">
        <f t="shared" si="127"/>
        <v>2091154</v>
      </c>
      <c r="Q4053" s="13">
        <f>SUMIFS(M:M,E:E,Online_eCommerce[[#This Row],[Status]])</f>
        <v>21103186</v>
      </c>
      <c r="R4053" s="13">
        <f>SUMIFS(L:L,H:H,Online_eCommerce[[#This Row],[Brand]])</f>
        <v>2267380</v>
      </c>
      <c r="S4053" s="13">
        <f>SUMIF(H:H,Online_eCommerce[[#This Row],[Brand]],M:M)</f>
        <v>2947594</v>
      </c>
      <c r="T4053" s="13">
        <f>SUMIF(N:N,Online_eCommerce[[#This Row],[Assigned Supervisor]],L:L)</f>
        <v>14373360</v>
      </c>
    </row>
    <row r="4054" spans="1:20" x14ac:dyDescent="0.3">
      <c r="A4054" t="s">
        <v>5990</v>
      </c>
      <c r="B4054" t="s">
        <v>131</v>
      </c>
      <c r="C4054" t="s">
        <v>22</v>
      </c>
      <c r="D4054" t="s">
        <v>5828</v>
      </c>
      <c r="E4054" t="s">
        <v>46</v>
      </c>
      <c r="F4054" t="s">
        <v>59</v>
      </c>
      <c r="G4054" t="s">
        <v>60</v>
      </c>
      <c r="H4054" t="s">
        <v>61</v>
      </c>
      <c r="I4054">
        <v>850</v>
      </c>
      <c r="J4054">
        <v>1105</v>
      </c>
      <c r="K4054">
        <v>2</v>
      </c>
      <c r="L4054">
        <v>1700</v>
      </c>
      <c r="M4054">
        <v>2210</v>
      </c>
      <c r="N4054" t="s">
        <v>35</v>
      </c>
      <c r="O4054">
        <f t="shared" si="126"/>
        <v>3315</v>
      </c>
      <c r="P4054" s="13">
        <f t="shared" si="127"/>
        <v>2551588</v>
      </c>
      <c r="Q4054" s="13">
        <f>SUMIFS(M:M,E:E,Online_eCommerce[[#This Row],[Status]])</f>
        <v>28620410</v>
      </c>
      <c r="R4054" s="13">
        <f>SUMIFS(L:L,H:H,Online_eCommerce[[#This Row],[Brand]])</f>
        <v>10950150</v>
      </c>
      <c r="S4054" s="13">
        <f>SUMIF(H:H,Online_eCommerce[[#This Row],[Brand]],M:M)</f>
        <v>14235195</v>
      </c>
      <c r="T4054" s="13">
        <f>SUMIF(N:N,Online_eCommerce[[#This Row],[Assigned Supervisor]],L:L)</f>
        <v>14373360</v>
      </c>
    </row>
    <row r="4055" spans="1:20" hidden="1" x14ac:dyDescent="0.3">
      <c r="A4055" t="s">
        <v>5991</v>
      </c>
      <c r="B4055" t="s">
        <v>135</v>
      </c>
      <c r="C4055" t="s">
        <v>132</v>
      </c>
      <c r="D4055" t="s">
        <v>5828</v>
      </c>
      <c r="E4055" t="s">
        <v>96</v>
      </c>
      <c r="F4055" t="s">
        <v>65</v>
      </c>
      <c r="G4055" t="s">
        <v>66</v>
      </c>
      <c r="H4055" t="s">
        <v>21</v>
      </c>
      <c r="I4055">
        <v>650</v>
      </c>
      <c r="J4055">
        <v>845</v>
      </c>
      <c r="K4055">
        <v>1</v>
      </c>
      <c r="L4055">
        <v>650</v>
      </c>
      <c r="M4055">
        <v>845</v>
      </c>
      <c r="N4055" t="s">
        <v>35</v>
      </c>
      <c r="O4055">
        <f t="shared" si="126"/>
        <v>1690</v>
      </c>
      <c r="P4055" s="13">
        <f t="shared" si="127"/>
        <v>1989065</v>
      </c>
      <c r="Q4055" s="13">
        <f>SUMIFS(M:M,E:E,Online_eCommerce[[#This Row],[Status]])</f>
        <v>21233992</v>
      </c>
      <c r="R4055" s="13">
        <f>SUMIFS(L:L,H:H,Online_eCommerce[[#This Row],[Brand]])</f>
        <v>12435650</v>
      </c>
      <c r="S4055" s="13">
        <f>SUMIF(H:H,Online_eCommerce[[#This Row],[Brand]],M:M)</f>
        <v>16166345</v>
      </c>
      <c r="T4055" s="13">
        <f>SUMIF(N:N,Online_eCommerce[[#This Row],[Assigned Supervisor]],L:L)</f>
        <v>14373360</v>
      </c>
    </row>
    <row r="4056" spans="1:20" hidden="1" x14ac:dyDescent="0.3">
      <c r="A4056" t="s">
        <v>5992</v>
      </c>
      <c r="B4056" t="s">
        <v>139</v>
      </c>
      <c r="C4056" t="s">
        <v>136</v>
      </c>
      <c r="D4056" t="s">
        <v>5828</v>
      </c>
      <c r="E4056" t="s">
        <v>18</v>
      </c>
      <c r="F4056" t="s">
        <v>70</v>
      </c>
      <c r="G4056" t="s">
        <v>71</v>
      </c>
      <c r="H4056" t="s">
        <v>61</v>
      </c>
      <c r="I4056">
        <v>7500</v>
      </c>
      <c r="J4056">
        <v>9750</v>
      </c>
      <c r="K4056">
        <v>2</v>
      </c>
      <c r="L4056">
        <v>15000</v>
      </c>
      <c r="M4056">
        <v>19500</v>
      </c>
      <c r="N4056" t="s">
        <v>35</v>
      </c>
      <c r="O4056">
        <f t="shared" si="126"/>
        <v>9750</v>
      </c>
      <c r="P4056" s="13">
        <f t="shared" si="127"/>
        <v>2775162</v>
      </c>
      <c r="Q4056" s="13">
        <f>SUMIFS(M:M,E:E,Online_eCommerce[[#This Row],[Status]])</f>
        <v>28340455</v>
      </c>
      <c r="R4056" s="13">
        <f>SUMIFS(L:L,H:H,Online_eCommerce[[#This Row],[Brand]])</f>
        <v>10950150</v>
      </c>
      <c r="S4056" s="13">
        <f>SUMIF(H:H,Online_eCommerce[[#This Row],[Brand]],M:M)</f>
        <v>14235195</v>
      </c>
      <c r="T4056" s="13">
        <f>SUMIF(N:N,Online_eCommerce[[#This Row],[Assigned Supervisor]],L:L)</f>
        <v>14373360</v>
      </c>
    </row>
    <row r="4057" spans="1:20" hidden="1" x14ac:dyDescent="0.3">
      <c r="A4057" t="s">
        <v>5993</v>
      </c>
      <c r="B4057" t="s">
        <v>144</v>
      </c>
      <c r="C4057" t="s">
        <v>140</v>
      </c>
      <c r="D4057" t="s">
        <v>5828</v>
      </c>
      <c r="E4057" t="s">
        <v>161</v>
      </c>
      <c r="F4057" t="s">
        <v>5980</v>
      </c>
      <c r="G4057" t="s">
        <v>77</v>
      </c>
      <c r="H4057" t="s">
        <v>78</v>
      </c>
      <c r="I4057">
        <v>10000</v>
      </c>
      <c r="J4057">
        <v>13000</v>
      </c>
      <c r="K4057">
        <v>2</v>
      </c>
      <c r="L4057">
        <v>20000</v>
      </c>
      <c r="M4057">
        <v>26000</v>
      </c>
      <c r="N4057" t="s">
        <v>35</v>
      </c>
      <c r="O4057">
        <f t="shared" si="126"/>
        <v>39000</v>
      </c>
      <c r="P4057" s="13">
        <f t="shared" si="127"/>
        <v>2058264</v>
      </c>
      <c r="Q4057" s="13">
        <f>SUMIFS(M:M,E:E,Online_eCommerce[[#This Row],[Status]])</f>
        <v>21103186</v>
      </c>
      <c r="R4057" s="13">
        <f>SUMIFS(L:L,H:H,Online_eCommerce[[#This Row],[Brand]])</f>
        <v>3720000</v>
      </c>
      <c r="S4057" s="13">
        <f>SUMIF(H:H,Online_eCommerce[[#This Row],[Brand]],M:M)</f>
        <v>4836000</v>
      </c>
      <c r="T4057" s="13">
        <f>SUMIF(N:N,Online_eCommerce[[#This Row],[Assigned Supervisor]],L:L)</f>
        <v>14373360</v>
      </c>
    </row>
    <row r="4058" spans="1:20" x14ac:dyDescent="0.3">
      <c r="A4058" t="s">
        <v>5994</v>
      </c>
      <c r="B4058" t="s">
        <v>149</v>
      </c>
      <c r="C4058" t="s">
        <v>145</v>
      </c>
      <c r="D4058" t="s">
        <v>5828</v>
      </c>
      <c r="E4058" t="s">
        <v>46</v>
      </c>
      <c r="F4058" t="s">
        <v>5995</v>
      </c>
      <c r="G4058" t="s">
        <v>20</v>
      </c>
      <c r="H4058" t="s">
        <v>21</v>
      </c>
      <c r="I4058">
        <v>10500</v>
      </c>
      <c r="J4058">
        <v>13650</v>
      </c>
      <c r="K4058">
        <v>3</v>
      </c>
      <c r="L4058">
        <v>31500</v>
      </c>
      <c r="M4058">
        <v>40950</v>
      </c>
      <c r="N4058" t="s">
        <v>28</v>
      </c>
      <c r="O4058">
        <f t="shared" si="126"/>
        <v>8450</v>
      </c>
      <c r="P4058" s="13">
        <f t="shared" si="127"/>
        <v>2757859</v>
      </c>
      <c r="Q4058" s="13">
        <f>SUMIFS(M:M,E:E,Online_eCommerce[[#This Row],[Status]])</f>
        <v>28620410</v>
      </c>
      <c r="R4058" s="13">
        <f>SUMIFS(L:L,H:H,Online_eCommerce[[#This Row],[Brand]])</f>
        <v>12435650</v>
      </c>
      <c r="S4058" s="13">
        <f>SUMIF(H:H,Online_eCommerce[[#This Row],[Brand]],M:M)</f>
        <v>16166345</v>
      </c>
      <c r="T4058" s="13">
        <f>SUMIF(N:N,Online_eCommerce[[#This Row],[Assigned Supervisor]],L:L)</f>
        <v>12220830</v>
      </c>
    </row>
    <row r="4059" spans="1:20" hidden="1" x14ac:dyDescent="0.3">
      <c r="A4059" t="s">
        <v>5996</v>
      </c>
      <c r="B4059" t="s">
        <v>154</v>
      </c>
      <c r="C4059" t="s">
        <v>150</v>
      </c>
      <c r="D4059" t="s">
        <v>5828</v>
      </c>
      <c r="E4059" t="s">
        <v>96</v>
      </c>
      <c r="F4059" t="s">
        <v>88</v>
      </c>
      <c r="G4059" t="s">
        <v>26</v>
      </c>
      <c r="H4059" t="s">
        <v>27</v>
      </c>
      <c r="I4059">
        <v>8500</v>
      </c>
      <c r="J4059">
        <v>11050</v>
      </c>
      <c r="K4059">
        <v>2</v>
      </c>
      <c r="L4059">
        <v>17000</v>
      </c>
      <c r="M4059">
        <v>22100</v>
      </c>
      <c r="N4059" t="s">
        <v>35</v>
      </c>
      <c r="O4059">
        <f t="shared" si="126"/>
        <v>33150</v>
      </c>
      <c r="P4059" s="13">
        <f t="shared" si="127"/>
        <v>2154984</v>
      </c>
      <c r="Q4059" s="13">
        <f>SUMIFS(M:M,E:E,Online_eCommerce[[#This Row],[Status]])</f>
        <v>21233992</v>
      </c>
      <c r="R4059" s="13">
        <f>SUMIFS(L:L,H:H,Online_eCommerce[[#This Row],[Brand]])</f>
        <v>14431000</v>
      </c>
      <c r="S4059" s="13">
        <f>SUMIF(H:H,Online_eCommerce[[#This Row],[Brand]],M:M)</f>
        <v>18760300</v>
      </c>
      <c r="T4059" s="13">
        <f>SUMIF(N:N,Online_eCommerce[[#This Row],[Assigned Supervisor]],L:L)</f>
        <v>14373360</v>
      </c>
    </row>
    <row r="4060" spans="1:20" hidden="1" x14ac:dyDescent="0.3">
      <c r="A4060" t="s">
        <v>5997</v>
      </c>
      <c r="B4060" t="s">
        <v>159</v>
      </c>
      <c r="C4060" t="s">
        <v>155</v>
      </c>
      <c r="D4060" t="s">
        <v>5828</v>
      </c>
      <c r="E4060" t="s">
        <v>18</v>
      </c>
      <c r="F4060" t="s">
        <v>32</v>
      </c>
      <c r="G4060" t="s">
        <v>33</v>
      </c>
      <c r="H4060" t="s">
        <v>34</v>
      </c>
      <c r="I4060">
        <v>7000</v>
      </c>
      <c r="J4060">
        <v>9100</v>
      </c>
      <c r="K4060">
        <v>3</v>
      </c>
      <c r="L4060">
        <v>21000</v>
      </c>
      <c r="M4060">
        <v>27300</v>
      </c>
      <c r="N4060" t="s">
        <v>42</v>
      </c>
      <c r="O4060">
        <f t="shared" si="126"/>
        <v>18200</v>
      </c>
      <c r="P4060" s="13">
        <f t="shared" si="127"/>
        <v>2753348</v>
      </c>
      <c r="Q4060" s="13">
        <f>SUMIFS(M:M,E:E,Online_eCommerce[[#This Row],[Status]])</f>
        <v>28340455</v>
      </c>
      <c r="R4060" s="13">
        <f>SUMIFS(L:L,H:H,Online_eCommerce[[#This Row],[Brand]])</f>
        <v>10087000</v>
      </c>
      <c r="S4060" s="13">
        <f>SUMIF(H:H,Online_eCommerce[[#This Row],[Brand]],M:M)</f>
        <v>13113100</v>
      </c>
      <c r="T4060" s="13">
        <f>SUMIF(N:N,Online_eCommerce[[#This Row],[Assigned Supervisor]],L:L)</f>
        <v>12261500</v>
      </c>
    </row>
    <row r="4061" spans="1:20" hidden="1" x14ac:dyDescent="0.3">
      <c r="A4061" t="s">
        <v>5998</v>
      </c>
      <c r="B4061" t="s">
        <v>139</v>
      </c>
      <c r="C4061" t="s">
        <v>160</v>
      </c>
      <c r="D4061" t="s">
        <v>5828</v>
      </c>
      <c r="E4061" t="s">
        <v>161</v>
      </c>
      <c r="F4061" t="s">
        <v>5999</v>
      </c>
      <c r="G4061" t="s">
        <v>256</v>
      </c>
      <c r="H4061" t="s">
        <v>41</v>
      </c>
      <c r="I4061">
        <v>1680</v>
      </c>
      <c r="J4061">
        <v>2184</v>
      </c>
      <c r="K4061">
        <v>1</v>
      </c>
      <c r="L4061">
        <v>1680</v>
      </c>
      <c r="M4061">
        <v>2184</v>
      </c>
      <c r="N4061" t="s">
        <v>50</v>
      </c>
      <c r="O4061">
        <f t="shared" si="126"/>
        <v>9100</v>
      </c>
      <c r="P4061" s="13">
        <f t="shared" si="127"/>
        <v>2303483</v>
      </c>
      <c r="Q4061" s="13">
        <f>SUMIFS(M:M,E:E,Online_eCommerce[[#This Row],[Status]])</f>
        <v>21103186</v>
      </c>
      <c r="R4061" s="13">
        <f>SUMIFS(L:L,H:H,Online_eCommerce[[#This Row],[Brand]])</f>
        <v>4260400</v>
      </c>
      <c r="S4061" s="13">
        <f>SUMIF(H:H,Online_eCommerce[[#This Row],[Brand]],M:M)</f>
        <v>5538520</v>
      </c>
      <c r="T4061" s="13">
        <f>SUMIF(N:N,Online_eCommerce[[#This Row],[Assigned Supervisor]],L:L)</f>
        <v>12100590</v>
      </c>
    </row>
    <row r="4062" spans="1:20" x14ac:dyDescent="0.3">
      <c r="A4062" t="s">
        <v>6000</v>
      </c>
      <c r="B4062" t="s">
        <v>144</v>
      </c>
      <c r="C4062" t="s">
        <v>165</v>
      </c>
      <c r="D4062" t="s">
        <v>5828</v>
      </c>
      <c r="E4062" t="s">
        <v>46</v>
      </c>
      <c r="F4062" t="s">
        <v>101</v>
      </c>
      <c r="G4062" t="s">
        <v>259</v>
      </c>
      <c r="H4062" t="s">
        <v>102</v>
      </c>
      <c r="I4062">
        <v>6540</v>
      </c>
      <c r="J4062">
        <v>8502</v>
      </c>
      <c r="K4062">
        <v>2</v>
      </c>
      <c r="L4062">
        <v>13080</v>
      </c>
      <c r="M4062">
        <v>17004</v>
      </c>
      <c r="N4062" t="s">
        <v>56</v>
      </c>
      <c r="O4062">
        <f t="shared" si="126"/>
        <v>11700</v>
      </c>
      <c r="P4062" s="13">
        <f t="shared" si="127"/>
        <v>2674087</v>
      </c>
      <c r="Q4062" s="13">
        <f>SUMIFS(M:M,E:E,Online_eCommerce[[#This Row],[Status]])</f>
        <v>28620410</v>
      </c>
      <c r="R4062" s="13">
        <f>SUMIFS(L:L,H:H,Online_eCommerce[[#This Row],[Brand]])</f>
        <v>2465580</v>
      </c>
      <c r="S4062" s="13">
        <f>SUMIF(H:H,Online_eCommerce[[#This Row],[Brand]],M:M)</f>
        <v>3205254</v>
      </c>
      <c r="T4062" s="13">
        <f>SUMIF(N:N,Online_eCommerce[[#This Row],[Assigned Supervisor]],L:L)</f>
        <v>11733610</v>
      </c>
    </row>
    <row r="4063" spans="1:20" hidden="1" x14ac:dyDescent="0.3">
      <c r="A4063" t="s">
        <v>6001</v>
      </c>
      <c r="B4063" t="s">
        <v>235</v>
      </c>
      <c r="C4063" t="s">
        <v>168</v>
      </c>
      <c r="D4063" t="s">
        <v>5828</v>
      </c>
      <c r="E4063" t="s">
        <v>96</v>
      </c>
      <c r="F4063" t="s">
        <v>107</v>
      </c>
      <c r="G4063" t="s">
        <v>54</v>
      </c>
      <c r="H4063" t="s">
        <v>55</v>
      </c>
      <c r="I4063">
        <v>2680</v>
      </c>
      <c r="J4063">
        <v>3484</v>
      </c>
      <c r="K4063">
        <v>2</v>
      </c>
      <c r="L4063">
        <v>5360</v>
      </c>
      <c r="M4063">
        <v>6968</v>
      </c>
      <c r="N4063" t="s">
        <v>22</v>
      </c>
      <c r="O4063">
        <f t="shared" si="126"/>
        <v>2990</v>
      </c>
      <c r="P4063" s="13">
        <f t="shared" si="127"/>
        <v>1937780</v>
      </c>
      <c r="Q4063" s="13">
        <f>SUMIFS(M:M,E:E,Online_eCommerce[[#This Row],[Status]])</f>
        <v>21233992</v>
      </c>
      <c r="R4063" s="13">
        <f>SUMIFS(L:L,H:H,Online_eCommerce[[#This Row],[Brand]])</f>
        <v>2267380</v>
      </c>
      <c r="S4063" s="13">
        <f>SUMIF(H:H,Online_eCommerce[[#This Row],[Brand]],M:M)</f>
        <v>2947594</v>
      </c>
      <c r="T4063" s="13">
        <f>SUMIF(N:N,Online_eCommerce[[#This Row],[Assigned Supervisor]],L:L)</f>
        <v>13693220</v>
      </c>
    </row>
    <row r="4064" spans="1:20" hidden="1" x14ac:dyDescent="0.3">
      <c r="A4064" t="s">
        <v>6002</v>
      </c>
      <c r="B4064" t="s">
        <v>176</v>
      </c>
      <c r="C4064" t="s">
        <v>172</v>
      </c>
      <c r="D4064" t="s">
        <v>5828</v>
      </c>
      <c r="E4064" t="s">
        <v>18</v>
      </c>
      <c r="F4064" t="s">
        <v>112</v>
      </c>
      <c r="G4064" t="s">
        <v>71</v>
      </c>
      <c r="H4064" t="s">
        <v>21</v>
      </c>
      <c r="I4064">
        <v>8250</v>
      </c>
      <c r="J4064">
        <v>10725</v>
      </c>
      <c r="K4064">
        <v>2</v>
      </c>
      <c r="L4064">
        <v>16500</v>
      </c>
      <c r="M4064">
        <v>21450</v>
      </c>
      <c r="N4064" t="s">
        <v>28</v>
      </c>
      <c r="O4064">
        <f t="shared" si="126"/>
        <v>9750</v>
      </c>
      <c r="P4064" s="13">
        <f t="shared" si="127"/>
        <v>2640274</v>
      </c>
      <c r="Q4064" s="13">
        <f>SUMIFS(M:M,E:E,Online_eCommerce[[#This Row],[Status]])</f>
        <v>28340455</v>
      </c>
      <c r="R4064" s="13">
        <f>SUMIFS(L:L,H:H,Online_eCommerce[[#This Row],[Brand]])</f>
        <v>12435650</v>
      </c>
      <c r="S4064" s="13">
        <f>SUMIF(H:H,Online_eCommerce[[#This Row],[Brand]],M:M)</f>
        <v>16166345</v>
      </c>
      <c r="T4064" s="13">
        <f>SUMIF(N:N,Online_eCommerce[[#This Row],[Assigned Supervisor]],L:L)</f>
        <v>12220830</v>
      </c>
    </row>
    <row r="4065" spans="1:20" hidden="1" x14ac:dyDescent="0.3">
      <c r="A4065" t="s">
        <v>6003</v>
      </c>
      <c r="B4065" t="s">
        <v>276</v>
      </c>
      <c r="C4065" t="s">
        <v>177</v>
      </c>
      <c r="D4065" t="s">
        <v>5828</v>
      </c>
      <c r="E4065" t="s">
        <v>161</v>
      </c>
      <c r="F4065" t="s">
        <v>5647</v>
      </c>
      <c r="G4065" t="s">
        <v>40</v>
      </c>
      <c r="H4065" t="s">
        <v>21</v>
      </c>
      <c r="I4065">
        <v>2650</v>
      </c>
      <c r="J4065">
        <v>3445</v>
      </c>
      <c r="K4065">
        <v>3</v>
      </c>
      <c r="L4065">
        <v>7950</v>
      </c>
      <c r="M4065">
        <v>10335</v>
      </c>
      <c r="N4065" t="s">
        <v>35</v>
      </c>
      <c r="O4065">
        <f t="shared" si="126"/>
        <v>25545</v>
      </c>
      <c r="P4065" s="13">
        <f t="shared" si="127"/>
        <v>1863810</v>
      </c>
      <c r="Q4065" s="13">
        <f>SUMIFS(M:M,E:E,Online_eCommerce[[#This Row],[Status]])</f>
        <v>21103186</v>
      </c>
      <c r="R4065" s="13">
        <f>SUMIFS(L:L,H:H,Online_eCommerce[[#This Row],[Brand]])</f>
        <v>12435650</v>
      </c>
      <c r="S4065" s="13">
        <f>SUMIF(H:H,Online_eCommerce[[#This Row],[Brand]],M:M)</f>
        <v>16166345</v>
      </c>
      <c r="T4065" s="13">
        <f>SUMIF(N:N,Online_eCommerce[[#This Row],[Assigned Supervisor]],L:L)</f>
        <v>14373360</v>
      </c>
    </row>
    <row r="4066" spans="1:20" x14ac:dyDescent="0.3">
      <c r="A4066" t="s">
        <v>6004</v>
      </c>
      <c r="B4066" t="s">
        <v>280</v>
      </c>
      <c r="C4066" t="s">
        <v>181</v>
      </c>
      <c r="D4066" t="s">
        <v>5828</v>
      </c>
      <c r="E4066" t="s">
        <v>46</v>
      </c>
      <c r="F4066" t="s">
        <v>121</v>
      </c>
      <c r="G4066" t="s">
        <v>71</v>
      </c>
      <c r="H4066" t="s">
        <v>122</v>
      </c>
      <c r="I4066">
        <v>12550</v>
      </c>
      <c r="J4066">
        <v>16315</v>
      </c>
      <c r="K4066">
        <v>2</v>
      </c>
      <c r="L4066">
        <v>25100</v>
      </c>
      <c r="M4066">
        <v>32630</v>
      </c>
      <c r="N4066" t="s">
        <v>35</v>
      </c>
      <c r="O4066">
        <f t="shared" si="126"/>
        <v>9750</v>
      </c>
      <c r="P4066" s="13">
        <f t="shared" si="127"/>
        <v>2577458</v>
      </c>
      <c r="Q4066" s="13">
        <f>SUMIFS(M:M,E:E,Online_eCommerce[[#This Row],[Status]])</f>
        <v>28620410</v>
      </c>
      <c r="R4066" s="13">
        <f>SUMIFS(L:L,H:H,Online_eCommerce[[#This Row],[Brand]])</f>
        <v>5045100</v>
      </c>
      <c r="S4066" s="13">
        <f>SUMIF(H:H,Online_eCommerce[[#This Row],[Brand]],M:M)</f>
        <v>6558630</v>
      </c>
      <c r="T4066" s="13">
        <f>SUMIF(N:N,Online_eCommerce[[#This Row],[Assigned Supervisor]],L:L)</f>
        <v>14373360</v>
      </c>
    </row>
    <row r="4067" spans="1:20" hidden="1" x14ac:dyDescent="0.3">
      <c r="A4067" t="s">
        <v>6005</v>
      </c>
      <c r="B4067" t="s">
        <v>283</v>
      </c>
      <c r="C4067" t="s">
        <v>185</v>
      </c>
      <c r="D4067" t="s">
        <v>5828</v>
      </c>
      <c r="E4067" t="s">
        <v>96</v>
      </c>
      <c r="F4067" t="s">
        <v>126</v>
      </c>
      <c r="G4067" t="s">
        <v>26</v>
      </c>
      <c r="H4067" t="s">
        <v>27</v>
      </c>
      <c r="I4067">
        <v>14500</v>
      </c>
      <c r="J4067">
        <v>18850</v>
      </c>
      <c r="K4067">
        <v>1</v>
      </c>
      <c r="L4067">
        <v>14500</v>
      </c>
      <c r="M4067">
        <v>18850</v>
      </c>
      <c r="N4067" t="s">
        <v>35</v>
      </c>
      <c r="O4067">
        <f t="shared" si="126"/>
        <v>33150</v>
      </c>
      <c r="P4067" s="13">
        <f t="shared" si="127"/>
        <v>2091596</v>
      </c>
      <c r="Q4067" s="13">
        <f>SUMIFS(M:M,E:E,Online_eCommerce[[#This Row],[Status]])</f>
        <v>21233992</v>
      </c>
      <c r="R4067" s="13">
        <f>SUMIFS(L:L,H:H,Online_eCommerce[[#This Row],[Brand]])</f>
        <v>14431000</v>
      </c>
      <c r="S4067" s="13">
        <f>SUMIF(H:H,Online_eCommerce[[#This Row],[Brand]],M:M)</f>
        <v>18760300</v>
      </c>
      <c r="T4067" s="13">
        <f>SUMIF(N:N,Online_eCommerce[[#This Row],[Assigned Supervisor]],L:L)</f>
        <v>14373360</v>
      </c>
    </row>
    <row r="4068" spans="1:20" hidden="1" x14ac:dyDescent="0.3">
      <c r="A4068" t="s">
        <v>6006</v>
      </c>
      <c r="B4068" t="s">
        <v>287</v>
      </c>
      <c r="C4068" t="s">
        <v>189</v>
      </c>
      <c r="D4068" t="s">
        <v>5828</v>
      </c>
      <c r="E4068" t="s">
        <v>18</v>
      </c>
      <c r="F4068" t="s">
        <v>129</v>
      </c>
      <c r="G4068" t="s">
        <v>60</v>
      </c>
      <c r="H4068" t="s">
        <v>61</v>
      </c>
      <c r="I4068">
        <v>800</v>
      </c>
      <c r="J4068">
        <v>1040</v>
      </c>
      <c r="K4068">
        <v>2</v>
      </c>
      <c r="L4068">
        <v>1600</v>
      </c>
      <c r="M4068">
        <v>2080</v>
      </c>
      <c r="N4068" t="s">
        <v>35</v>
      </c>
      <c r="O4068">
        <f t="shared" si="126"/>
        <v>3315</v>
      </c>
      <c r="P4068" s="13">
        <f t="shared" si="127"/>
        <v>2740777</v>
      </c>
      <c r="Q4068" s="13">
        <f>SUMIFS(M:M,E:E,Online_eCommerce[[#This Row],[Status]])</f>
        <v>28340455</v>
      </c>
      <c r="R4068" s="13">
        <f>SUMIFS(L:L,H:H,Online_eCommerce[[#This Row],[Brand]])</f>
        <v>10950150</v>
      </c>
      <c r="S4068" s="13">
        <f>SUMIF(H:H,Online_eCommerce[[#This Row],[Brand]],M:M)</f>
        <v>14235195</v>
      </c>
      <c r="T4068" s="13">
        <f>SUMIF(N:N,Online_eCommerce[[#This Row],[Assigned Supervisor]],L:L)</f>
        <v>14373360</v>
      </c>
    </row>
    <row r="4069" spans="1:20" hidden="1" x14ac:dyDescent="0.3">
      <c r="A4069" t="s">
        <v>6007</v>
      </c>
      <c r="B4069" t="s">
        <v>290</v>
      </c>
      <c r="C4069" t="s">
        <v>193</v>
      </c>
      <c r="D4069" t="s">
        <v>5828</v>
      </c>
      <c r="E4069" t="s">
        <v>161</v>
      </c>
      <c r="F4069" t="s">
        <v>133</v>
      </c>
      <c r="G4069" t="s">
        <v>66</v>
      </c>
      <c r="H4069" t="s">
        <v>21</v>
      </c>
      <c r="I4069">
        <v>600</v>
      </c>
      <c r="J4069">
        <v>780</v>
      </c>
      <c r="K4069">
        <v>1</v>
      </c>
      <c r="L4069">
        <v>600</v>
      </c>
      <c r="M4069">
        <v>780</v>
      </c>
      <c r="N4069" t="s">
        <v>35</v>
      </c>
      <c r="O4069">
        <f t="shared" si="126"/>
        <v>1690</v>
      </c>
      <c r="P4069" s="13">
        <f t="shared" si="127"/>
        <v>2074774</v>
      </c>
      <c r="Q4069" s="13">
        <f>SUMIFS(M:M,E:E,Online_eCommerce[[#This Row],[Status]])</f>
        <v>21103186</v>
      </c>
      <c r="R4069" s="13">
        <f>SUMIFS(L:L,H:H,Online_eCommerce[[#This Row],[Brand]])</f>
        <v>12435650</v>
      </c>
      <c r="S4069" s="13">
        <f>SUMIF(H:H,Online_eCommerce[[#This Row],[Brand]],M:M)</f>
        <v>16166345</v>
      </c>
      <c r="T4069" s="13">
        <f>SUMIF(N:N,Online_eCommerce[[#This Row],[Assigned Supervisor]],L:L)</f>
        <v>14373360</v>
      </c>
    </row>
    <row r="4070" spans="1:20" x14ac:dyDescent="0.3">
      <c r="A4070" t="s">
        <v>6008</v>
      </c>
      <c r="B4070" t="s">
        <v>15</v>
      </c>
      <c r="C4070" t="s">
        <v>197</v>
      </c>
      <c r="D4070" t="s">
        <v>5828</v>
      </c>
      <c r="E4070" t="s">
        <v>46</v>
      </c>
      <c r="F4070" t="s">
        <v>137</v>
      </c>
      <c r="G4070" t="s">
        <v>71</v>
      </c>
      <c r="H4070" t="s">
        <v>61</v>
      </c>
      <c r="I4070">
        <v>10500</v>
      </c>
      <c r="J4070">
        <v>13650</v>
      </c>
      <c r="K4070">
        <v>4</v>
      </c>
      <c r="L4070">
        <v>42000</v>
      </c>
      <c r="M4070">
        <v>54600</v>
      </c>
      <c r="N4070" t="s">
        <v>35</v>
      </c>
      <c r="O4070">
        <f t="shared" si="126"/>
        <v>9750</v>
      </c>
      <c r="P4070" s="13">
        <f t="shared" si="127"/>
        <v>2829840</v>
      </c>
      <c r="Q4070" s="13">
        <f>SUMIFS(M:M,E:E,Online_eCommerce[[#This Row],[Status]])</f>
        <v>28620410</v>
      </c>
      <c r="R4070" s="13">
        <f>SUMIFS(L:L,H:H,Online_eCommerce[[#This Row],[Brand]])</f>
        <v>10950150</v>
      </c>
      <c r="S4070" s="13">
        <f>SUMIF(H:H,Online_eCommerce[[#This Row],[Brand]],M:M)</f>
        <v>14235195</v>
      </c>
      <c r="T4070" s="13">
        <f>SUMIF(N:N,Online_eCommerce[[#This Row],[Assigned Supervisor]],L:L)</f>
        <v>14373360</v>
      </c>
    </row>
    <row r="4071" spans="1:20" hidden="1" x14ac:dyDescent="0.3">
      <c r="A4071" t="s">
        <v>6009</v>
      </c>
      <c r="B4071" t="s">
        <v>202</v>
      </c>
      <c r="C4071" t="s">
        <v>199</v>
      </c>
      <c r="D4071" t="s">
        <v>5828</v>
      </c>
      <c r="E4071" t="s">
        <v>96</v>
      </c>
      <c r="F4071" t="s">
        <v>5980</v>
      </c>
      <c r="G4071" t="s">
        <v>77</v>
      </c>
      <c r="H4071" t="s">
        <v>142</v>
      </c>
      <c r="I4071">
        <v>6500</v>
      </c>
      <c r="J4071">
        <v>8450</v>
      </c>
      <c r="K4071">
        <v>3</v>
      </c>
      <c r="L4071">
        <v>19500</v>
      </c>
      <c r="M4071">
        <v>25350</v>
      </c>
      <c r="N4071" t="s">
        <v>35</v>
      </c>
      <c r="O4071">
        <f t="shared" si="126"/>
        <v>39000</v>
      </c>
      <c r="P4071" s="13">
        <f t="shared" si="127"/>
        <v>1947361</v>
      </c>
      <c r="Q4071" s="13">
        <f>SUMIFS(M:M,E:E,Online_eCommerce[[#This Row],[Status]])</f>
        <v>21233992</v>
      </c>
      <c r="R4071" s="13">
        <f>SUMIFS(L:L,H:H,Online_eCommerce[[#This Row],[Brand]])</f>
        <v>6192500</v>
      </c>
      <c r="S4071" s="13">
        <f>SUMIF(H:H,Online_eCommerce[[#This Row],[Brand]],M:M)</f>
        <v>8050250</v>
      </c>
      <c r="T4071" s="13">
        <f>SUMIF(N:N,Online_eCommerce[[#This Row],[Assigned Supervisor]],L:L)</f>
        <v>14373360</v>
      </c>
    </row>
    <row r="4072" spans="1:20" hidden="1" x14ac:dyDescent="0.3">
      <c r="A4072" t="s">
        <v>6010</v>
      </c>
      <c r="B4072" t="s">
        <v>30</v>
      </c>
      <c r="C4072" t="s">
        <v>203</v>
      </c>
      <c r="D4072" t="s">
        <v>5828</v>
      </c>
      <c r="E4072" t="s">
        <v>18</v>
      </c>
      <c r="F4072" t="s">
        <v>6011</v>
      </c>
      <c r="G4072" t="s">
        <v>20</v>
      </c>
      <c r="H4072" t="s">
        <v>21</v>
      </c>
      <c r="I4072">
        <v>4500</v>
      </c>
      <c r="J4072">
        <v>5850</v>
      </c>
      <c r="K4072">
        <v>3</v>
      </c>
      <c r="L4072">
        <v>13500</v>
      </c>
      <c r="M4072">
        <v>17550</v>
      </c>
      <c r="N4072" t="s">
        <v>35</v>
      </c>
      <c r="O4072">
        <f t="shared" si="126"/>
        <v>8450</v>
      </c>
      <c r="P4072" s="13">
        <f t="shared" si="127"/>
        <v>2559635</v>
      </c>
      <c r="Q4072" s="13">
        <f>SUMIFS(M:M,E:E,Online_eCommerce[[#This Row],[Status]])</f>
        <v>28340455</v>
      </c>
      <c r="R4072" s="13">
        <f>SUMIFS(L:L,H:H,Online_eCommerce[[#This Row],[Brand]])</f>
        <v>12435650</v>
      </c>
      <c r="S4072" s="13">
        <f>SUMIF(H:H,Online_eCommerce[[#This Row],[Brand]],M:M)</f>
        <v>16166345</v>
      </c>
      <c r="T4072" s="13">
        <f>SUMIF(N:N,Online_eCommerce[[#This Row],[Assigned Supervisor]],L:L)</f>
        <v>14373360</v>
      </c>
    </row>
    <row r="4073" spans="1:20" hidden="1" x14ac:dyDescent="0.3">
      <c r="A4073" t="s">
        <v>6012</v>
      </c>
      <c r="B4073" t="s">
        <v>37</v>
      </c>
      <c r="C4073" t="s">
        <v>205</v>
      </c>
      <c r="D4073" t="s">
        <v>5828</v>
      </c>
      <c r="E4073" t="s">
        <v>161</v>
      </c>
      <c r="F4073" t="s">
        <v>152</v>
      </c>
      <c r="G4073" t="s">
        <v>26</v>
      </c>
      <c r="H4073" t="s">
        <v>27</v>
      </c>
      <c r="I4073">
        <v>8500</v>
      </c>
      <c r="J4073">
        <v>11050</v>
      </c>
      <c r="K4073">
        <v>2</v>
      </c>
      <c r="L4073">
        <v>17000</v>
      </c>
      <c r="M4073">
        <v>22100</v>
      </c>
      <c r="N4073" t="s">
        <v>35</v>
      </c>
      <c r="O4073">
        <f t="shared" si="126"/>
        <v>33150</v>
      </c>
      <c r="P4073" s="13">
        <f t="shared" si="127"/>
        <v>1983254</v>
      </c>
      <c r="Q4073" s="13">
        <f>SUMIFS(M:M,E:E,Online_eCommerce[[#This Row],[Status]])</f>
        <v>21103186</v>
      </c>
      <c r="R4073" s="13">
        <f>SUMIFS(L:L,H:H,Online_eCommerce[[#This Row],[Brand]])</f>
        <v>14431000</v>
      </c>
      <c r="S4073" s="13">
        <f>SUMIF(H:H,Online_eCommerce[[#This Row],[Brand]],M:M)</f>
        <v>18760300</v>
      </c>
      <c r="T4073" s="13">
        <f>SUMIF(N:N,Online_eCommerce[[#This Row],[Assigned Supervisor]],L:L)</f>
        <v>14373360</v>
      </c>
    </row>
    <row r="4074" spans="1:20" x14ac:dyDescent="0.3">
      <c r="A4074" t="s">
        <v>6013</v>
      </c>
      <c r="B4074" t="s">
        <v>44</v>
      </c>
      <c r="C4074" t="s">
        <v>208</v>
      </c>
      <c r="D4074" t="s">
        <v>5828</v>
      </c>
      <c r="E4074" t="s">
        <v>46</v>
      </c>
      <c r="F4074" t="s">
        <v>157</v>
      </c>
      <c r="G4074" t="s">
        <v>33</v>
      </c>
      <c r="H4074" t="s">
        <v>34</v>
      </c>
      <c r="I4074">
        <v>12500</v>
      </c>
      <c r="J4074">
        <v>16250</v>
      </c>
      <c r="K4074">
        <v>2</v>
      </c>
      <c r="L4074">
        <v>25000</v>
      </c>
      <c r="M4074">
        <v>32500</v>
      </c>
      <c r="N4074" t="s">
        <v>35</v>
      </c>
      <c r="O4074">
        <f t="shared" si="126"/>
        <v>18200</v>
      </c>
      <c r="P4074" s="13">
        <f t="shared" si="127"/>
        <v>2746575</v>
      </c>
      <c r="Q4074" s="13">
        <f>SUMIFS(M:M,E:E,Online_eCommerce[[#This Row],[Status]])</f>
        <v>28620410</v>
      </c>
      <c r="R4074" s="13">
        <f>SUMIFS(L:L,H:H,Online_eCommerce[[#This Row],[Brand]])</f>
        <v>10087000</v>
      </c>
      <c r="S4074" s="13">
        <f>SUMIF(H:H,Online_eCommerce[[#This Row],[Brand]],M:M)</f>
        <v>13113100</v>
      </c>
      <c r="T4074" s="13">
        <f>SUMIF(N:N,Online_eCommerce[[#This Row],[Assigned Supervisor]],L:L)</f>
        <v>14373360</v>
      </c>
    </row>
    <row r="4075" spans="1:20" hidden="1" x14ac:dyDescent="0.3">
      <c r="A4075" t="s">
        <v>6014</v>
      </c>
      <c r="B4075" t="s">
        <v>213</v>
      </c>
      <c r="C4075" t="s">
        <v>211</v>
      </c>
      <c r="D4075" t="s">
        <v>5828</v>
      </c>
      <c r="E4075" t="s">
        <v>96</v>
      </c>
      <c r="F4075" t="s">
        <v>5689</v>
      </c>
      <c r="G4075" t="s">
        <v>40</v>
      </c>
      <c r="H4075" t="s">
        <v>41</v>
      </c>
      <c r="I4075">
        <v>3500</v>
      </c>
      <c r="J4075">
        <v>4550</v>
      </c>
      <c r="K4075">
        <v>4</v>
      </c>
      <c r="L4075">
        <v>14000</v>
      </c>
      <c r="M4075">
        <v>18200</v>
      </c>
      <c r="N4075" t="s">
        <v>35</v>
      </c>
      <c r="O4075">
        <f t="shared" si="126"/>
        <v>25545</v>
      </c>
      <c r="P4075" s="13">
        <f t="shared" si="127"/>
        <v>1809847</v>
      </c>
      <c r="Q4075" s="13">
        <f>SUMIFS(M:M,E:E,Online_eCommerce[[#This Row],[Status]])</f>
        <v>21233992</v>
      </c>
      <c r="R4075" s="13">
        <f>SUMIFS(L:L,H:H,Online_eCommerce[[#This Row],[Brand]])</f>
        <v>4260400</v>
      </c>
      <c r="S4075" s="13">
        <f>SUMIF(H:H,Online_eCommerce[[#This Row],[Brand]],M:M)</f>
        <v>5538520</v>
      </c>
      <c r="T4075" s="13">
        <f>SUMIF(N:N,Online_eCommerce[[#This Row],[Assigned Supervisor]],L:L)</f>
        <v>14373360</v>
      </c>
    </row>
    <row r="4076" spans="1:20" hidden="1" x14ac:dyDescent="0.3">
      <c r="A4076" t="s">
        <v>6015</v>
      </c>
      <c r="B4076" t="s">
        <v>215</v>
      </c>
      <c r="C4076" t="s">
        <v>16</v>
      </c>
      <c r="D4076" t="s">
        <v>5828</v>
      </c>
      <c r="E4076" t="s">
        <v>18</v>
      </c>
      <c r="F4076" t="s">
        <v>166</v>
      </c>
      <c r="G4076" t="s">
        <v>334</v>
      </c>
      <c r="H4076" t="s">
        <v>49</v>
      </c>
      <c r="I4076">
        <v>4500</v>
      </c>
      <c r="J4076">
        <v>5850</v>
      </c>
      <c r="K4076">
        <v>3</v>
      </c>
      <c r="L4076">
        <v>13500</v>
      </c>
      <c r="M4076">
        <v>17550</v>
      </c>
      <c r="N4076" t="s">
        <v>28</v>
      </c>
      <c r="O4076">
        <f t="shared" si="126"/>
        <v>39780</v>
      </c>
      <c r="P4076" s="13">
        <f t="shared" si="127"/>
        <v>2751814</v>
      </c>
      <c r="Q4076" s="13">
        <f>SUMIFS(M:M,E:E,Online_eCommerce[[#This Row],[Status]])</f>
        <v>28340455</v>
      </c>
      <c r="R4076" s="13">
        <f>SUMIFS(L:L,H:H,Online_eCommerce[[#This Row],[Brand]])</f>
        <v>4528350</v>
      </c>
      <c r="S4076" s="13">
        <f>SUMIF(H:H,Online_eCommerce[[#This Row],[Brand]],M:M)</f>
        <v>5886855</v>
      </c>
      <c r="T4076" s="13">
        <f>SUMIF(N:N,Online_eCommerce[[#This Row],[Assigned Supervisor]],L:L)</f>
        <v>12220830</v>
      </c>
    </row>
    <row r="4077" spans="1:20" hidden="1" x14ac:dyDescent="0.3">
      <c r="A4077" t="s">
        <v>6016</v>
      </c>
      <c r="B4077" t="s">
        <v>306</v>
      </c>
      <c r="C4077" t="s">
        <v>24</v>
      </c>
      <c r="D4077" t="s">
        <v>5828</v>
      </c>
      <c r="E4077" t="s">
        <v>161</v>
      </c>
      <c r="F4077" t="s">
        <v>6017</v>
      </c>
      <c r="G4077" t="s">
        <v>54</v>
      </c>
      <c r="H4077" t="s">
        <v>55</v>
      </c>
      <c r="I4077">
        <v>2100</v>
      </c>
      <c r="J4077">
        <v>2730</v>
      </c>
      <c r="K4077">
        <v>1</v>
      </c>
      <c r="L4077">
        <v>2100</v>
      </c>
      <c r="M4077">
        <v>2730</v>
      </c>
      <c r="N4077" t="s">
        <v>35</v>
      </c>
      <c r="O4077">
        <f t="shared" si="126"/>
        <v>2990</v>
      </c>
      <c r="P4077" s="13">
        <f t="shared" si="127"/>
        <v>2009540</v>
      </c>
      <c r="Q4077" s="13">
        <f>SUMIFS(M:M,E:E,Online_eCommerce[[#This Row],[Status]])</f>
        <v>21103186</v>
      </c>
      <c r="R4077" s="13">
        <f>SUMIFS(L:L,H:H,Online_eCommerce[[#This Row],[Brand]])</f>
        <v>2267380</v>
      </c>
      <c r="S4077" s="13">
        <f>SUMIF(H:H,Online_eCommerce[[#This Row],[Brand]],M:M)</f>
        <v>2947594</v>
      </c>
      <c r="T4077" s="13">
        <f>SUMIF(N:N,Online_eCommerce[[#This Row],[Assigned Supervisor]],L:L)</f>
        <v>14373360</v>
      </c>
    </row>
    <row r="4078" spans="1:20" x14ac:dyDescent="0.3">
      <c r="A4078" t="s">
        <v>6018</v>
      </c>
      <c r="B4078" t="s">
        <v>528</v>
      </c>
      <c r="C4078" t="s">
        <v>31</v>
      </c>
      <c r="D4078" t="s">
        <v>5828</v>
      </c>
      <c r="E4078" t="s">
        <v>46</v>
      </c>
      <c r="F4078" t="s">
        <v>174</v>
      </c>
      <c r="G4078" t="s">
        <v>60</v>
      </c>
      <c r="H4078" t="s">
        <v>61</v>
      </c>
      <c r="I4078">
        <v>1150</v>
      </c>
      <c r="J4078">
        <v>1495</v>
      </c>
      <c r="K4078">
        <v>4</v>
      </c>
      <c r="L4078">
        <v>4600</v>
      </c>
      <c r="M4078">
        <v>5980</v>
      </c>
      <c r="N4078" t="s">
        <v>42</v>
      </c>
      <c r="O4078">
        <f t="shared" si="126"/>
        <v>3315</v>
      </c>
      <c r="P4078" s="13">
        <f t="shared" si="127"/>
        <v>2865746</v>
      </c>
      <c r="Q4078" s="13">
        <f>SUMIFS(M:M,E:E,Online_eCommerce[[#This Row],[Status]])</f>
        <v>28620410</v>
      </c>
      <c r="R4078" s="13">
        <f>SUMIFS(L:L,H:H,Online_eCommerce[[#This Row],[Brand]])</f>
        <v>10950150</v>
      </c>
      <c r="S4078" s="13">
        <f>SUMIF(H:H,Online_eCommerce[[#This Row],[Brand]],M:M)</f>
        <v>14235195</v>
      </c>
      <c r="T4078" s="13">
        <f>SUMIF(N:N,Online_eCommerce[[#This Row],[Assigned Supervisor]],L:L)</f>
        <v>12261500</v>
      </c>
    </row>
    <row r="4079" spans="1:20" hidden="1" x14ac:dyDescent="0.3">
      <c r="A4079" t="s">
        <v>6019</v>
      </c>
      <c r="B4079" t="s">
        <v>73</v>
      </c>
      <c r="C4079" t="s">
        <v>38</v>
      </c>
      <c r="D4079" t="s">
        <v>5828</v>
      </c>
      <c r="E4079" t="s">
        <v>96</v>
      </c>
      <c r="F4079" t="s">
        <v>179</v>
      </c>
      <c r="G4079" t="s">
        <v>66</v>
      </c>
      <c r="H4079" t="s">
        <v>21</v>
      </c>
      <c r="I4079">
        <v>350</v>
      </c>
      <c r="J4079">
        <v>455</v>
      </c>
      <c r="K4079">
        <v>4</v>
      </c>
      <c r="L4079">
        <v>1400</v>
      </c>
      <c r="M4079">
        <v>1820</v>
      </c>
      <c r="N4079" t="s">
        <v>50</v>
      </c>
      <c r="O4079">
        <f t="shared" si="126"/>
        <v>1690</v>
      </c>
      <c r="P4079" s="13">
        <f t="shared" si="127"/>
        <v>1933997</v>
      </c>
      <c r="Q4079" s="13">
        <f>SUMIFS(M:M,E:E,Online_eCommerce[[#This Row],[Status]])</f>
        <v>21233992</v>
      </c>
      <c r="R4079" s="13">
        <f>SUMIFS(L:L,H:H,Online_eCommerce[[#This Row],[Brand]])</f>
        <v>12435650</v>
      </c>
      <c r="S4079" s="13">
        <f>SUMIF(H:H,Online_eCommerce[[#This Row],[Brand]],M:M)</f>
        <v>16166345</v>
      </c>
      <c r="T4079" s="13">
        <f>SUMIF(N:N,Online_eCommerce[[#This Row],[Assigned Supervisor]],L:L)</f>
        <v>12100590</v>
      </c>
    </row>
    <row r="4080" spans="1:20" hidden="1" x14ac:dyDescent="0.3">
      <c r="A4080" t="s">
        <v>6020</v>
      </c>
      <c r="B4080" t="s">
        <v>80</v>
      </c>
      <c r="C4080" t="s">
        <v>45</v>
      </c>
      <c r="D4080" t="s">
        <v>5828</v>
      </c>
      <c r="E4080" t="s">
        <v>18</v>
      </c>
      <c r="F4080" t="s">
        <v>183</v>
      </c>
      <c r="G4080" t="s">
        <v>71</v>
      </c>
      <c r="H4080" t="s">
        <v>61</v>
      </c>
      <c r="I4080">
        <v>9500</v>
      </c>
      <c r="J4080">
        <v>12350</v>
      </c>
      <c r="K4080">
        <v>2</v>
      </c>
      <c r="L4080">
        <v>19000</v>
      </c>
      <c r="M4080">
        <v>24700</v>
      </c>
      <c r="N4080" t="s">
        <v>56</v>
      </c>
      <c r="O4080">
        <f t="shared" si="126"/>
        <v>9750</v>
      </c>
      <c r="P4080" s="13">
        <f t="shared" si="127"/>
        <v>2842554</v>
      </c>
      <c r="Q4080" s="13">
        <f>SUMIFS(M:M,E:E,Online_eCommerce[[#This Row],[Status]])</f>
        <v>28340455</v>
      </c>
      <c r="R4080" s="13">
        <f>SUMIFS(L:L,H:H,Online_eCommerce[[#This Row],[Brand]])</f>
        <v>10950150</v>
      </c>
      <c r="S4080" s="13">
        <f>SUMIF(H:H,Online_eCommerce[[#This Row],[Brand]],M:M)</f>
        <v>14235195</v>
      </c>
      <c r="T4080" s="13">
        <f>SUMIF(N:N,Online_eCommerce[[#This Row],[Assigned Supervisor]],L:L)</f>
        <v>11733610</v>
      </c>
    </row>
    <row r="4081" spans="1:20" hidden="1" x14ac:dyDescent="0.3">
      <c r="A4081" t="s">
        <v>6021</v>
      </c>
      <c r="B4081" t="s">
        <v>85</v>
      </c>
      <c r="C4081" t="s">
        <v>52</v>
      </c>
      <c r="D4081" t="s">
        <v>5828</v>
      </c>
      <c r="E4081" t="s">
        <v>161</v>
      </c>
      <c r="F4081" t="s">
        <v>6022</v>
      </c>
      <c r="G4081" t="s">
        <v>77</v>
      </c>
      <c r="H4081" t="s">
        <v>142</v>
      </c>
      <c r="I4081">
        <v>10000</v>
      </c>
      <c r="J4081">
        <v>13000</v>
      </c>
      <c r="K4081">
        <v>3</v>
      </c>
      <c r="L4081">
        <v>30000</v>
      </c>
      <c r="M4081">
        <v>39000</v>
      </c>
      <c r="N4081" t="s">
        <v>22</v>
      </c>
      <c r="O4081">
        <f t="shared" si="126"/>
        <v>39000</v>
      </c>
      <c r="P4081" s="13">
        <f t="shared" si="127"/>
        <v>1955044</v>
      </c>
      <c r="Q4081" s="13">
        <f>SUMIFS(M:M,E:E,Online_eCommerce[[#This Row],[Status]])</f>
        <v>21103186</v>
      </c>
      <c r="R4081" s="13">
        <f>SUMIFS(L:L,H:H,Online_eCommerce[[#This Row],[Brand]])</f>
        <v>6192500</v>
      </c>
      <c r="S4081" s="13">
        <f>SUMIF(H:H,Online_eCommerce[[#This Row],[Brand]],M:M)</f>
        <v>8050250</v>
      </c>
      <c r="T4081" s="13">
        <f>SUMIF(N:N,Online_eCommerce[[#This Row],[Assigned Supervisor]],L:L)</f>
        <v>13693220</v>
      </c>
    </row>
    <row r="4082" spans="1:20" x14ac:dyDescent="0.3">
      <c r="A4082" t="s">
        <v>6023</v>
      </c>
      <c r="B4082" t="s">
        <v>90</v>
      </c>
      <c r="C4082" t="s">
        <v>58</v>
      </c>
      <c r="D4082" t="s">
        <v>5828</v>
      </c>
      <c r="E4082" t="s">
        <v>46</v>
      </c>
      <c r="F4082" t="s">
        <v>6024</v>
      </c>
      <c r="G4082" t="s">
        <v>20</v>
      </c>
      <c r="H4082" t="s">
        <v>21</v>
      </c>
      <c r="I4082">
        <v>6500</v>
      </c>
      <c r="J4082">
        <v>8450</v>
      </c>
      <c r="K4082">
        <v>2</v>
      </c>
      <c r="L4082">
        <v>13000</v>
      </c>
      <c r="M4082">
        <v>16900</v>
      </c>
      <c r="N4082" t="s">
        <v>28</v>
      </c>
      <c r="O4082">
        <f t="shared" si="126"/>
        <v>8450</v>
      </c>
      <c r="P4082" s="13">
        <f t="shared" si="127"/>
        <v>2629211</v>
      </c>
      <c r="Q4082" s="13">
        <f>SUMIFS(M:M,E:E,Online_eCommerce[[#This Row],[Status]])</f>
        <v>28620410</v>
      </c>
      <c r="R4082" s="13">
        <f>SUMIFS(L:L,H:H,Online_eCommerce[[#This Row],[Brand]])</f>
        <v>12435650</v>
      </c>
      <c r="S4082" s="13">
        <f>SUMIF(H:H,Online_eCommerce[[#This Row],[Brand]],M:M)</f>
        <v>16166345</v>
      </c>
      <c r="T4082" s="13">
        <f>SUMIF(N:N,Online_eCommerce[[#This Row],[Assigned Supervisor]],L:L)</f>
        <v>12220830</v>
      </c>
    </row>
    <row r="4083" spans="1:20" hidden="1" x14ac:dyDescent="0.3">
      <c r="A4083" t="s">
        <v>6025</v>
      </c>
      <c r="B4083" t="s">
        <v>232</v>
      </c>
      <c r="C4083" t="s">
        <v>63</v>
      </c>
      <c r="D4083" t="s">
        <v>5828</v>
      </c>
      <c r="E4083" t="s">
        <v>96</v>
      </c>
      <c r="F4083" t="s">
        <v>6026</v>
      </c>
      <c r="G4083" t="s">
        <v>26</v>
      </c>
      <c r="H4083" t="s">
        <v>27</v>
      </c>
      <c r="I4083">
        <v>8500</v>
      </c>
      <c r="J4083">
        <v>11050</v>
      </c>
      <c r="K4083">
        <v>1</v>
      </c>
      <c r="L4083">
        <v>8500</v>
      </c>
      <c r="M4083">
        <v>11050</v>
      </c>
      <c r="N4083" t="s">
        <v>35</v>
      </c>
      <c r="O4083">
        <f t="shared" si="126"/>
        <v>33150</v>
      </c>
      <c r="P4083" s="13">
        <f t="shared" si="127"/>
        <v>2016131</v>
      </c>
      <c r="Q4083" s="13">
        <f>SUMIFS(M:M,E:E,Online_eCommerce[[#This Row],[Status]])</f>
        <v>21233992</v>
      </c>
      <c r="R4083" s="13">
        <f>SUMIFS(L:L,H:H,Online_eCommerce[[#This Row],[Brand]])</f>
        <v>14431000</v>
      </c>
      <c r="S4083" s="13">
        <f>SUMIF(H:H,Online_eCommerce[[#This Row],[Brand]],M:M)</f>
        <v>18760300</v>
      </c>
      <c r="T4083" s="13">
        <f>SUMIF(N:N,Online_eCommerce[[#This Row],[Assigned Supervisor]],L:L)</f>
        <v>14373360</v>
      </c>
    </row>
    <row r="4084" spans="1:20" hidden="1" x14ac:dyDescent="0.3">
      <c r="A4084" t="s">
        <v>6027</v>
      </c>
      <c r="B4084" t="s">
        <v>235</v>
      </c>
      <c r="C4084" t="s">
        <v>68</v>
      </c>
      <c r="D4084" t="s">
        <v>5828</v>
      </c>
      <c r="E4084" t="s">
        <v>18</v>
      </c>
      <c r="F4084" t="s">
        <v>32</v>
      </c>
      <c r="G4084" t="s">
        <v>33</v>
      </c>
      <c r="H4084" t="s">
        <v>34</v>
      </c>
      <c r="I4084">
        <v>7000</v>
      </c>
      <c r="J4084">
        <v>9100</v>
      </c>
      <c r="K4084">
        <v>3</v>
      </c>
      <c r="L4084">
        <v>21000</v>
      </c>
      <c r="M4084">
        <v>27300</v>
      </c>
      <c r="N4084" t="s">
        <v>42</v>
      </c>
      <c r="O4084">
        <f t="shared" si="126"/>
        <v>18200</v>
      </c>
      <c r="P4084" s="13">
        <f t="shared" si="127"/>
        <v>2974621</v>
      </c>
      <c r="Q4084" s="13">
        <f>SUMIFS(M:M,E:E,Online_eCommerce[[#This Row],[Status]])</f>
        <v>28340455</v>
      </c>
      <c r="R4084" s="13">
        <f>SUMIFS(L:L,H:H,Online_eCommerce[[#This Row],[Brand]])</f>
        <v>10087000</v>
      </c>
      <c r="S4084" s="13">
        <f>SUMIF(H:H,Online_eCommerce[[#This Row],[Brand]],M:M)</f>
        <v>13113100</v>
      </c>
      <c r="T4084" s="13">
        <f>SUMIF(N:N,Online_eCommerce[[#This Row],[Assigned Supervisor]],L:L)</f>
        <v>12261500</v>
      </c>
    </row>
    <row r="4085" spans="1:20" hidden="1" x14ac:dyDescent="0.3">
      <c r="A4085" t="s">
        <v>6028</v>
      </c>
      <c r="B4085" t="s">
        <v>104</v>
      </c>
      <c r="C4085" t="s">
        <v>74</v>
      </c>
      <c r="D4085" t="s">
        <v>5828</v>
      </c>
      <c r="E4085" t="s">
        <v>161</v>
      </c>
      <c r="F4085" t="s">
        <v>6029</v>
      </c>
      <c r="G4085" t="s">
        <v>40</v>
      </c>
      <c r="H4085" t="s">
        <v>41</v>
      </c>
      <c r="I4085">
        <v>6550</v>
      </c>
      <c r="J4085">
        <v>8515</v>
      </c>
      <c r="K4085">
        <v>3</v>
      </c>
      <c r="L4085">
        <v>19650</v>
      </c>
      <c r="M4085">
        <v>25545</v>
      </c>
      <c r="N4085" t="s">
        <v>50</v>
      </c>
      <c r="O4085">
        <f t="shared" si="126"/>
        <v>25545</v>
      </c>
      <c r="P4085" s="13">
        <f t="shared" si="127"/>
        <v>2144701</v>
      </c>
      <c r="Q4085" s="13">
        <f>SUMIFS(M:M,E:E,Online_eCommerce[[#This Row],[Status]])</f>
        <v>21103186</v>
      </c>
      <c r="R4085" s="13">
        <f>SUMIFS(L:L,H:H,Online_eCommerce[[#This Row],[Brand]])</f>
        <v>4260400</v>
      </c>
      <c r="S4085" s="13">
        <f>SUMIF(H:H,Online_eCommerce[[#This Row],[Brand]],M:M)</f>
        <v>5538520</v>
      </c>
      <c r="T4085" s="13">
        <f>SUMIF(N:N,Online_eCommerce[[#This Row],[Assigned Supervisor]],L:L)</f>
        <v>12100590</v>
      </c>
    </row>
    <row r="4086" spans="1:20" x14ac:dyDescent="0.3">
      <c r="A4086" t="s">
        <v>6030</v>
      </c>
      <c r="B4086" t="s">
        <v>109</v>
      </c>
      <c r="C4086" t="s">
        <v>81</v>
      </c>
      <c r="D4086" t="s">
        <v>5828</v>
      </c>
      <c r="E4086" t="s">
        <v>46</v>
      </c>
      <c r="F4086" t="s">
        <v>47</v>
      </c>
      <c r="G4086" t="s">
        <v>334</v>
      </c>
      <c r="H4086" t="s">
        <v>49</v>
      </c>
      <c r="I4086">
        <v>7650</v>
      </c>
      <c r="J4086">
        <v>9945</v>
      </c>
      <c r="K4086">
        <v>1</v>
      </c>
      <c r="L4086">
        <v>7650</v>
      </c>
      <c r="M4086">
        <v>9945</v>
      </c>
      <c r="N4086" t="s">
        <v>35</v>
      </c>
      <c r="O4086">
        <f t="shared" si="126"/>
        <v>39780</v>
      </c>
      <c r="P4086" s="13">
        <f t="shared" si="127"/>
        <v>2595632</v>
      </c>
      <c r="Q4086" s="13">
        <f>SUMIFS(M:M,E:E,Online_eCommerce[[#This Row],[Status]])</f>
        <v>28620410</v>
      </c>
      <c r="R4086" s="13">
        <f>SUMIFS(L:L,H:H,Online_eCommerce[[#This Row],[Brand]])</f>
        <v>4528350</v>
      </c>
      <c r="S4086" s="13">
        <f>SUMIF(H:H,Online_eCommerce[[#This Row],[Brand]],M:M)</f>
        <v>5886855</v>
      </c>
      <c r="T4086" s="13">
        <f>SUMIF(N:N,Online_eCommerce[[#This Row],[Assigned Supervisor]],L:L)</f>
        <v>14373360</v>
      </c>
    </row>
    <row r="4087" spans="1:20" hidden="1" x14ac:dyDescent="0.3">
      <c r="A4087" t="s">
        <v>6031</v>
      </c>
      <c r="B4087" t="s">
        <v>114</v>
      </c>
      <c r="C4087" t="s">
        <v>86</v>
      </c>
      <c r="D4087" t="s">
        <v>5828</v>
      </c>
      <c r="E4087" t="s">
        <v>96</v>
      </c>
      <c r="F4087" t="s">
        <v>53</v>
      </c>
      <c r="G4087" t="s">
        <v>54</v>
      </c>
      <c r="H4087" t="s">
        <v>55</v>
      </c>
      <c r="I4087">
        <v>1150</v>
      </c>
      <c r="J4087">
        <v>1495</v>
      </c>
      <c r="K4087">
        <v>4</v>
      </c>
      <c r="L4087">
        <v>4600</v>
      </c>
      <c r="M4087">
        <v>5980</v>
      </c>
      <c r="N4087" t="s">
        <v>35</v>
      </c>
      <c r="O4087">
        <f t="shared" si="126"/>
        <v>2990</v>
      </c>
      <c r="P4087" s="13">
        <f t="shared" si="127"/>
        <v>1941225</v>
      </c>
      <c r="Q4087" s="13">
        <f>SUMIFS(M:M,E:E,Online_eCommerce[[#This Row],[Status]])</f>
        <v>21233992</v>
      </c>
      <c r="R4087" s="13">
        <f>SUMIFS(L:L,H:H,Online_eCommerce[[#This Row],[Brand]])</f>
        <v>2267380</v>
      </c>
      <c r="S4087" s="13">
        <f>SUMIF(H:H,Online_eCommerce[[#This Row],[Brand]],M:M)</f>
        <v>2947594</v>
      </c>
      <c r="T4087" s="13">
        <f>SUMIF(N:N,Online_eCommerce[[#This Row],[Assigned Supervisor]],L:L)</f>
        <v>14373360</v>
      </c>
    </row>
    <row r="4088" spans="1:20" hidden="1" x14ac:dyDescent="0.3">
      <c r="A4088" t="s">
        <v>6032</v>
      </c>
      <c r="B4088" t="s">
        <v>119</v>
      </c>
      <c r="C4088" t="s">
        <v>91</v>
      </c>
      <c r="D4088" t="s">
        <v>5828</v>
      </c>
      <c r="E4088" t="s">
        <v>18</v>
      </c>
      <c r="F4088" t="s">
        <v>59</v>
      </c>
      <c r="G4088" t="s">
        <v>60</v>
      </c>
      <c r="H4088" t="s">
        <v>61</v>
      </c>
      <c r="I4088">
        <v>850</v>
      </c>
      <c r="J4088">
        <v>1105</v>
      </c>
      <c r="K4088">
        <v>2</v>
      </c>
      <c r="L4088">
        <v>1700</v>
      </c>
      <c r="M4088">
        <v>2210</v>
      </c>
      <c r="N4088" t="s">
        <v>35</v>
      </c>
      <c r="O4088">
        <f t="shared" si="126"/>
        <v>3315</v>
      </c>
      <c r="P4088" s="13">
        <f t="shared" si="127"/>
        <v>2731963</v>
      </c>
      <c r="Q4088" s="13">
        <f>SUMIFS(M:M,E:E,Online_eCommerce[[#This Row],[Status]])</f>
        <v>28340455</v>
      </c>
      <c r="R4088" s="13">
        <f>SUMIFS(L:L,H:H,Online_eCommerce[[#This Row],[Brand]])</f>
        <v>10950150</v>
      </c>
      <c r="S4088" s="13">
        <f>SUMIF(H:H,Online_eCommerce[[#This Row],[Brand]],M:M)</f>
        <v>14235195</v>
      </c>
      <c r="T4088" s="13">
        <f>SUMIF(N:N,Online_eCommerce[[#This Row],[Assigned Supervisor]],L:L)</f>
        <v>14373360</v>
      </c>
    </row>
    <row r="4089" spans="1:20" hidden="1" x14ac:dyDescent="0.3">
      <c r="A4089" t="s">
        <v>6033</v>
      </c>
      <c r="B4089" t="s">
        <v>124</v>
      </c>
      <c r="C4089" t="s">
        <v>94</v>
      </c>
      <c r="D4089" t="s">
        <v>5828</v>
      </c>
      <c r="E4089" t="s">
        <v>161</v>
      </c>
      <c r="F4089" t="s">
        <v>65</v>
      </c>
      <c r="G4089" t="s">
        <v>66</v>
      </c>
      <c r="H4089" t="s">
        <v>21</v>
      </c>
      <c r="I4089">
        <v>650</v>
      </c>
      <c r="J4089">
        <v>845</v>
      </c>
      <c r="K4089">
        <v>1</v>
      </c>
      <c r="L4089">
        <v>650</v>
      </c>
      <c r="M4089">
        <v>845</v>
      </c>
      <c r="N4089" t="s">
        <v>35</v>
      </c>
      <c r="O4089">
        <f t="shared" si="126"/>
        <v>1690</v>
      </c>
      <c r="P4089" s="13">
        <f t="shared" si="127"/>
        <v>1868256</v>
      </c>
      <c r="Q4089" s="13">
        <f>SUMIFS(M:M,E:E,Online_eCommerce[[#This Row],[Status]])</f>
        <v>21103186</v>
      </c>
      <c r="R4089" s="13">
        <f>SUMIFS(L:L,H:H,Online_eCommerce[[#This Row],[Brand]])</f>
        <v>12435650</v>
      </c>
      <c r="S4089" s="13">
        <f>SUMIF(H:H,Online_eCommerce[[#This Row],[Brand]],M:M)</f>
        <v>16166345</v>
      </c>
      <c r="T4089" s="13">
        <f>SUMIF(N:N,Online_eCommerce[[#This Row],[Assigned Supervisor]],L:L)</f>
        <v>14373360</v>
      </c>
    </row>
    <row r="4090" spans="1:20" x14ac:dyDescent="0.3">
      <c r="A4090" t="s">
        <v>6034</v>
      </c>
      <c r="B4090" t="s">
        <v>128</v>
      </c>
      <c r="C4090" t="s">
        <v>99</v>
      </c>
      <c r="D4090" t="s">
        <v>5828</v>
      </c>
      <c r="E4090" t="s">
        <v>46</v>
      </c>
      <c r="F4090" t="s">
        <v>70</v>
      </c>
      <c r="G4090" t="s">
        <v>71</v>
      </c>
      <c r="H4090" t="s">
        <v>61</v>
      </c>
      <c r="I4090">
        <v>7500</v>
      </c>
      <c r="J4090">
        <v>9750</v>
      </c>
      <c r="K4090">
        <v>2</v>
      </c>
      <c r="L4090">
        <v>15000</v>
      </c>
      <c r="M4090">
        <v>19500</v>
      </c>
      <c r="N4090" t="s">
        <v>35</v>
      </c>
      <c r="O4090">
        <f t="shared" si="126"/>
        <v>9750</v>
      </c>
      <c r="P4090" s="13">
        <f t="shared" si="127"/>
        <v>2651233</v>
      </c>
      <c r="Q4090" s="13">
        <f>SUMIFS(M:M,E:E,Online_eCommerce[[#This Row],[Status]])</f>
        <v>28620410</v>
      </c>
      <c r="R4090" s="13">
        <f>SUMIFS(L:L,H:H,Online_eCommerce[[#This Row],[Brand]])</f>
        <v>10950150</v>
      </c>
      <c r="S4090" s="13">
        <f>SUMIF(H:H,Online_eCommerce[[#This Row],[Brand]],M:M)</f>
        <v>14235195</v>
      </c>
      <c r="T4090" s="13">
        <f>SUMIF(N:N,Online_eCommerce[[#This Row],[Assigned Supervisor]],L:L)</f>
        <v>14373360</v>
      </c>
    </row>
    <row r="4091" spans="1:20" hidden="1" x14ac:dyDescent="0.3">
      <c r="A4091" t="s">
        <v>6035</v>
      </c>
      <c r="B4091" t="s">
        <v>131</v>
      </c>
      <c r="C4091" t="s">
        <v>105</v>
      </c>
      <c r="D4091" t="s">
        <v>5828</v>
      </c>
      <c r="E4091" t="s">
        <v>96</v>
      </c>
      <c r="F4091" t="s">
        <v>6022</v>
      </c>
      <c r="G4091" t="s">
        <v>77</v>
      </c>
      <c r="H4091" t="s">
        <v>78</v>
      </c>
      <c r="I4091">
        <v>10000</v>
      </c>
      <c r="J4091">
        <v>13000</v>
      </c>
      <c r="K4091">
        <v>2</v>
      </c>
      <c r="L4091">
        <v>20000</v>
      </c>
      <c r="M4091">
        <v>26000</v>
      </c>
      <c r="N4091" t="s">
        <v>35</v>
      </c>
      <c r="O4091">
        <f t="shared" si="126"/>
        <v>39000</v>
      </c>
      <c r="P4091" s="13">
        <f t="shared" si="127"/>
        <v>1866852</v>
      </c>
      <c r="Q4091" s="13">
        <f>SUMIFS(M:M,E:E,Online_eCommerce[[#This Row],[Status]])</f>
        <v>21233992</v>
      </c>
      <c r="R4091" s="13">
        <f>SUMIFS(L:L,H:H,Online_eCommerce[[#This Row],[Brand]])</f>
        <v>3720000</v>
      </c>
      <c r="S4091" s="13">
        <f>SUMIF(H:H,Online_eCommerce[[#This Row],[Brand]],M:M)</f>
        <v>4836000</v>
      </c>
      <c r="T4091" s="13">
        <f>SUMIF(N:N,Online_eCommerce[[#This Row],[Assigned Supervisor]],L:L)</f>
        <v>14373360</v>
      </c>
    </row>
    <row r="4092" spans="1:20" hidden="1" x14ac:dyDescent="0.3">
      <c r="A4092" t="s">
        <v>6036</v>
      </c>
      <c r="B4092" t="s">
        <v>135</v>
      </c>
      <c r="C4092" t="s">
        <v>110</v>
      </c>
      <c r="D4092" t="s">
        <v>5828</v>
      </c>
      <c r="E4092" t="s">
        <v>18</v>
      </c>
      <c r="F4092" t="s">
        <v>6037</v>
      </c>
      <c r="G4092" t="s">
        <v>20</v>
      </c>
      <c r="H4092" t="s">
        <v>21</v>
      </c>
      <c r="I4092">
        <v>10500</v>
      </c>
      <c r="J4092">
        <v>13650</v>
      </c>
      <c r="K4092">
        <v>1</v>
      </c>
      <c r="L4092">
        <v>10500</v>
      </c>
      <c r="M4092">
        <v>13650</v>
      </c>
      <c r="N4092" t="s">
        <v>35</v>
      </c>
      <c r="O4092">
        <f t="shared" si="126"/>
        <v>8450</v>
      </c>
      <c r="P4092" s="13">
        <f t="shared" si="127"/>
        <v>2598635</v>
      </c>
      <c r="Q4092" s="13">
        <f>SUMIFS(M:M,E:E,Online_eCommerce[[#This Row],[Status]])</f>
        <v>28340455</v>
      </c>
      <c r="R4092" s="13">
        <f>SUMIFS(L:L,H:H,Online_eCommerce[[#This Row],[Brand]])</f>
        <v>12435650</v>
      </c>
      <c r="S4092" s="13">
        <f>SUMIF(H:H,Online_eCommerce[[#This Row],[Brand]],M:M)</f>
        <v>16166345</v>
      </c>
      <c r="T4092" s="13">
        <f>SUMIF(N:N,Online_eCommerce[[#This Row],[Assigned Supervisor]],L:L)</f>
        <v>14373360</v>
      </c>
    </row>
    <row r="4093" spans="1:20" hidden="1" x14ac:dyDescent="0.3">
      <c r="A4093" t="s">
        <v>6038</v>
      </c>
      <c r="B4093" t="s">
        <v>139</v>
      </c>
      <c r="C4093" t="s">
        <v>115</v>
      </c>
      <c r="D4093" t="s">
        <v>5828</v>
      </c>
      <c r="E4093" t="s">
        <v>161</v>
      </c>
      <c r="F4093" t="s">
        <v>88</v>
      </c>
      <c r="G4093" t="s">
        <v>26</v>
      </c>
      <c r="H4093" t="s">
        <v>27</v>
      </c>
      <c r="I4093">
        <v>8500</v>
      </c>
      <c r="J4093">
        <v>11050</v>
      </c>
      <c r="K4093">
        <v>2</v>
      </c>
      <c r="L4093">
        <v>17000</v>
      </c>
      <c r="M4093">
        <v>22100</v>
      </c>
      <c r="N4093" t="s">
        <v>35</v>
      </c>
      <c r="O4093">
        <f t="shared" si="126"/>
        <v>33150</v>
      </c>
      <c r="P4093" s="13">
        <f t="shared" si="127"/>
        <v>2050178</v>
      </c>
      <c r="Q4093" s="13">
        <f>SUMIFS(M:M,E:E,Online_eCommerce[[#This Row],[Status]])</f>
        <v>21103186</v>
      </c>
      <c r="R4093" s="13">
        <f>SUMIFS(L:L,H:H,Online_eCommerce[[#This Row],[Brand]])</f>
        <v>14431000</v>
      </c>
      <c r="S4093" s="13">
        <f>SUMIF(H:H,Online_eCommerce[[#This Row],[Brand]],M:M)</f>
        <v>18760300</v>
      </c>
      <c r="T4093" s="13">
        <f>SUMIF(N:N,Online_eCommerce[[#This Row],[Assigned Supervisor]],L:L)</f>
        <v>14373360</v>
      </c>
    </row>
    <row r="4094" spans="1:20" x14ac:dyDescent="0.3">
      <c r="A4094" t="s">
        <v>6039</v>
      </c>
      <c r="B4094" t="s">
        <v>144</v>
      </c>
      <c r="C4094" t="s">
        <v>120</v>
      </c>
      <c r="D4094" t="s">
        <v>5828</v>
      </c>
      <c r="E4094" t="s">
        <v>46</v>
      </c>
      <c r="F4094" t="s">
        <v>32</v>
      </c>
      <c r="G4094" t="s">
        <v>33</v>
      </c>
      <c r="H4094" t="s">
        <v>34</v>
      </c>
      <c r="I4094">
        <v>7000</v>
      </c>
      <c r="J4094">
        <v>9100</v>
      </c>
      <c r="K4094">
        <v>1</v>
      </c>
      <c r="L4094">
        <v>7000</v>
      </c>
      <c r="M4094">
        <v>9100</v>
      </c>
      <c r="N4094" t="s">
        <v>35</v>
      </c>
      <c r="O4094">
        <f t="shared" si="126"/>
        <v>18200</v>
      </c>
      <c r="P4094" s="13">
        <f t="shared" si="127"/>
        <v>2734212</v>
      </c>
      <c r="Q4094" s="13">
        <f>SUMIFS(M:M,E:E,Online_eCommerce[[#This Row],[Status]])</f>
        <v>28620410</v>
      </c>
      <c r="R4094" s="13">
        <f>SUMIFS(L:L,H:H,Online_eCommerce[[#This Row],[Brand]])</f>
        <v>10087000</v>
      </c>
      <c r="S4094" s="13">
        <f>SUMIF(H:H,Online_eCommerce[[#This Row],[Brand]],M:M)</f>
        <v>13113100</v>
      </c>
      <c r="T4094" s="13">
        <f>SUMIF(N:N,Online_eCommerce[[#This Row],[Assigned Supervisor]],L:L)</f>
        <v>14373360</v>
      </c>
    </row>
    <row r="4095" spans="1:20" hidden="1" x14ac:dyDescent="0.3">
      <c r="A4095" t="s">
        <v>6040</v>
      </c>
      <c r="B4095" t="s">
        <v>149</v>
      </c>
      <c r="C4095" t="s">
        <v>125</v>
      </c>
      <c r="D4095" t="s">
        <v>5828</v>
      </c>
      <c r="E4095" t="s">
        <v>96</v>
      </c>
      <c r="F4095" t="s">
        <v>6041</v>
      </c>
      <c r="G4095" t="s">
        <v>40</v>
      </c>
      <c r="H4095" t="s">
        <v>41</v>
      </c>
      <c r="I4095">
        <v>1680</v>
      </c>
      <c r="J4095">
        <v>2184</v>
      </c>
      <c r="K4095">
        <v>3</v>
      </c>
      <c r="L4095">
        <v>5040</v>
      </c>
      <c r="M4095">
        <v>6552</v>
      </c>
      <c r="N4095" t="s">
        <v>35</v>
      </c>
      <c r="O4095">
        <f t="shared" si="126"/>
        <v>25545</v>
      </c>
      <c r="P4095" s="13">
        <f t="shared" si="127"/>
        <v>2091154</v>
      </c>
      <c r="Q4095" s="13">
        <f>SUMIFS(M:M,E:E,Online_eCommerce[[#This Row],[Status]])</f>
        <v>21233992</v>
      </c>
      <c r="R4095" s="13">
        <f>SUMIFS(L:L,H:H,Online_eCommerce[[#This Row],[Brand]])</f>
        <v>4260400</v>
      </c>
      <c r="S4095" s="13">
        <f>SUMIF(H:H,Online_eCommerce[[#This Row],[Brand]],M:M)</f>
        <v>5538520</v>
      </c>
      <c r="T4095" s="13">
        <f>SUMIF(N:N,Online_eCommerce[[#This Row],[Assigned Supervisor]],L:L)</f>
        <v>14373360</v>
      </c>
    </row>
    <row r="4096" spans="1:20" hidden="1" x14ac:dyDescent="0.3">
      <c r="A4096" t="s">
        <v>6042</v>
      </c>
      <c r="B4096" t="s">
        <v>154</v>
      </c>
      <c r="C4096" t="s">
        <v>22</v>
      </c>
      <c r="D4096" t="s">
        <v>5828</v>
      </c>
      <c r="E4096" t="s">
        <v>18</v>
      </c>
      <c r="F4096" t="s">
        <v>101</v>
      </c>
      <c r="G4096" t="s">
        <v>334</v>
      </c>
      <c r="H4096" t="s">
        <v>102</v>
      </c>
      <c r="I4096">
        <v>6540</v>
      </c>
      <c r="J4096">
        <v>8502</v>
      </c>
      <c r="K4096">
        <v>1</v>
      </c>
      <c r="L4096">
        <v>6540</v>
      </c>
      <c r="M4096">
        <v>8502</v>
      </c>
      <c r="N4096" t="s">
        <v>42</v>
      </c>
      <c r="O4096">
        <f t="shared" si="126"/>
        <v>39780</v>
      </c>
      <c r="P4096" s="13">
        <f t="shared" si="127"/>
        <v>2551588</v>
      </c>
      <c r="Q4096" s="13">
        <f>SUMIFS(M:M,E:E,Online_eCommerce[[#This Row],[Status]])</f>
        <v>28340455</v>
      </c>
      <c r="R4096" s="13">
        <f>SUMIFS(L:L,H:H,Online_eCommerce[[#This Row],[Brand]])</f>
        <v>2465580</v>
      </c>
      <c r="S4096" s="13">
        <f>SUMIF(H:H,Online_eCommerce[[#This Row],[Brand]],M:M)</f>
        <v>3205254</v>
      </c>
      <c r="T4096" s="13">
        <f>SUMIF(N:N,Online_eCommerce[[#This Row],[Assigned Supervisor]],L:L)</f>
        <v>12261500</v>
      </c>
    </row>
    <row r="4097" spans="1:20" hidden="1" x14ac:dyDescent="0.3">
      <c r="A4097" t="s">
        <v>6043</v>
      </c>
      <c r="B4097" t="s">
        <v>159</v>
      </c>
      <c r="C4097" t="s">
        <v>132</v>
      </c>
      <c r="D4097" t="s">
        <v>5828</v>
      </c>
      <c r="E4097" t="s">
        <v>161</v>
      </c>
      <c r="F4097" t="s">
        <v>107</v>
      </c>
      <c r="G4097" t="s">
        <v>54</v>
      </c>
      <c r="H4097" t="s">
        <v>55</v>
      </c>
      <c r="I4097">
        <v>2680</v>
      </c>
      <c r="J4097">
        <v>3484</v>
      </c>
      <c r="K4097">
        <v>4</v>
      </c>
      <c r="L4097">
        <v>10720</v>
      </c>
      <c r="M4097">
        <v>13936</v>
      </c>
      <c r="N4097" t="s">
        <v>50</v>
      </c>
      <c r="O4097">
        <f t="shared" si="126"/>
        <v>2990</v>
      </c>
      <c r="P4097" s="13">
        <f t="shared" si="127"/>
        <v>1989065</v>
      </c>
      <c r="Q4097" s="13">
        <f>SUMIFS(M:M,E:E,Online_eCommerce[[#This Row],[Status]])</f>
        <v>21103186</v>
      </c>
      <c r="R4097" s="13">
        <f>SUMIFS(L:L,H:H,Online_eCommerce[[#This Row],[Brand]])</f>
        <v>2267380</v>
      </c>
      <c r="S4097" s="13">
        <f>SUMIF(H:H,Online_eCommerce[[#This Row],[Brand]],M:M)</f>
        <v>2947594</v>
      </c>
      <c r="T4097" s="13">
        <f>SUMIF(N:N,Online_eCommerce[[#This Row],[Assigned Supervisor]],L:L)</f>
        <v>12100590</v>
      </c>
    </row>
    <row r="4098" spans="1:20" x14ac:dyDescent="0.3">
      <c r="A4098" t="s">
        <v>6044</v>
      </c>
      <c r="B4098" t="s">
        <v>139</v>
      </c>
      <c r="C4098" t="s">
        <v>136</v>
      </c>
      <c r="D4098" t="s">
        <v>5828</v>
      </c>
      <c r="E4098" t="s">
        <v>46</v>
      </c>
      <c r="F4098" t="s">
        <v>112</v>
      </c>
      <c r="G4098" t="s">
        <v>71</v>
      </c>
      <c r="H4098" t="s">
        <v>21</v>
      </c>
      <c r="I4098">
        <v>8250</v>
      </c>
      <c r="J4098">
        <v>10725</v>
      </c>
      <c r="K4098">
        <v>3</v>
      </c>
      <c r="L4098">
        <v>24750</v>
      </c>
      <c r="M4098">
        <v>32175</v>
      </c>
      <c r="N4098" t="s">
        <v>56</v>
      </c>
      <c r="O4098">
        <f t="shared" ref="O4098:O4161" si="128">VLOOKUP(G4098,G:M,7,FALSE)</f>
        <v>9750</v>
      </c>
      <c r="P4098" s="13">
        <f t="shared" ref="P4098:P4161" si="129">SUMIFS(M:M,C:C,C4098)</f>
        <v>2775162</v>
      </c>
      <c r="Q4098" s="13">
        <f>SUMIFS(M:M,E:E,Online_eCommerce[[#This Row],[Status]])</f>
        <v>28620410</v>
      </c>
      <c r="R4098" s="13">
        <f>SUMIFS(L:L,H:H,Online_eCommerce[[#This Row],[Brand]])</f>
        <v>12435650</v>
      </c>
      <c r="S4098" s="13">
        <f>SUMIF(H:H,Online_eCommerce[[#This Row],[Brand]],M:M)</f>
        <v>16166345</v>
      </c>
      <c r="T4098" s="13">
        <f>SUMIF(N:N,Online_eCommerce[[#This Row],[Assigned Supervisor]],L:L)</f>
        <v>11733610</v>
      </c>
    </row>
    <row r="4099" spans="1:20" hidden="1" x14ac:dyDescent="0.3">
      <c r="A4099" t="s">
        <v>6045</v>
      </c>
      <c r="B4099" t="s">
        <v>144</v>
      </c>
      <c r="C4099" t="s">
        <v>140</v>
      </c>
      <c r="D4099" t="s">
        <v>5828</v>
      </c>
      <c r="E4099" t="s">
        <v>96</v>
      </c>
      <c r="F4099" t="s">
        <v>5689</v>
      </c>
      <c r="G4099" t="s">
        <v>40</v>
      </c>
      <c r="H4099" t="s">
        <v>21</v>
      </c>
      <c r="I4099">
        <v>2650</v>
      </c>
      <c r="J4099">
        <v>3445</v>
      </c>
      <c r="K4099">
        <v>4</v>
      </c>
      <c r="L4099">
        <v>10600</v>
      </c>
      <c r="M4099">
        <v>13780</v>
      </c>
      <c r="N4099" t="s">
        <v>22</v>
      </c>
      <c r="O4099">
        <f t="shared" si="128"/>
        <v>25545</v>
      </c>
      <c r="P4099" s="13">
        <f t="shared" si="129"/>
        <v>2058264</v>
      </c>
      <c r="Q4099" s="13">
        <f>SUMIFS(M:M,E:E,Online_eCommerce[[#This Row],[Status]])</f>
        <v>21233992</v>
      </c>
      <c r="R4099" s="13">
        <f>SUMIFS(L:L,H:H,Online_eCommerce[[#This Row],[Brand]])</f>
        <v>12435650</v>
      </c>
      <c r="S4099" s="13">
        <f>SUMIF(H:H,Online_eCommerce[[#This Row],[Brand]],M:M)</f>
        <v>16166345</v>
      </c>
      <c r="T4099" s="13">
        <f>SUMIF(N:N,Online_eCommerce[[#This Row],[Assigned Supervisor]],L:L)</f>
        <v>13693220</v>
      </c>
    </row>
    <row r="4100" spans="1:20" hidden="1" x14ac:dyDescent="0.3">
      <c r="A4100" t="s">
        <v>6046</v>
      </c>
      <c r="B4100" t="s">
        <v>235</v>
      </c>
      <c r="C4100" t="s">
        <v>145</v>
      </c>
      <c r="D4100" t="s">
        <v>5828</v>
      </c>
      <c r="E4100" t="s">
        <v>18</v>
      </c>
      <c r="F4100" t="s">
        <v>121</v>
      </c>
      <c r="G4100" t="s">
        <v>71</v>
      </c>
      <c r="H4100" t="s">
        <v>122</v>
      </c>
      <c r="I4100">
        <v>12550</v>
      </c>
      <c r="J4100">
        <v>16315</v>
      </c>
      <c r="K4100">
        <v>4</v>
      </c>
      <c r="L4100">
        <v>50200</v>
      </c>
      <c r="M4100">
        <v>65260</v>
      </c>
      <c r="N4100" t="s">
        <v>28</v>
      </c>
      <c r="O4100">
        <f t="shared" si="128"/>
        <v>9750</v>
      </c>
      <c r="P4100" s="13">
        <f t="shared" si="129"/>
        <v>2757859</v>
      </c>
      <c r="Q4100" s="13">
        <f>SUMIFS(M:M,E:E,Online_eCommerce[[#This Row],[Status]])</f>
        <v>28340455</v>
      </c>
      <c r="R4100" s="13">
        <f>SUMIFS(L:L,H:H,Online_eCommerce[[#This Row],[Brand]])</f>
        <v>5045100</v>
      </c>
      <c r="S4100" s="13">
        <f>SUMIF(H:H,Online_eCommerce[[#This Row],[Brand]],M:M)</f>
        <v>6558630</v>
      </c>
      <c r="T4100" s="13">
        <f>SUMIF(N:N,Online_eCommerce[[#This Row],[Assigned Supervisor]],L:L)</f>
        <v>12220830</v>
      </c>
    </row>
    <row r="4101" spans="1:20" hidden="1" x14ac:dyDescent="0.3">
      <c r="A4101" t="s">
        <v>6047</v>
      </c>
      <c r="B4101" t="s">
        <v>176</v>
      </c>
      <c r="C4101" t="s">
        <v>150</v>
      </c>
      <c r="D4101" t="s">
        <v>5828</v>
      </c>
      <c r="E4101" t="s">
        <v>161</v>
      </c>
      <c r="F4101" t="s">
        <v>126</v>
      </c>
      <c r="G4101" t="s">
        <v>26</v>
      </c>
      <c r="H4101" t="s">
        <v>27</v>
      </c>
      <c r="I4101">
        <v>14500</v>
      </c>
      <c r="J4101">
        <v>18850</v>
      </c>
      <c r="K4101">
        <v>4</v>
      </c>
      <c r="L4101">
        <v>58000</v>
      </c>
      <c r="M4101">
        <v>75400</v>
      </c>
      <c r="N4101" t="s">
        <v>35</v>
      </c>
      <c r="O4101">
        <f t="shared" si="128"/>
        <v>33150</v>
      </c>
      <c r="P4101" s="13">
        <f t="shared" si="129"/>
        <v>2154984</v>
      </c>
      <c r="Q4101" s="13">
        <f>SUMIFS(M:M,E:E,Online_eCommerce[[#This Row],[Status]])</f>
        <v>21103186</v>
      </c>
      <c r="R4101" s="13">
        <f>SUMIFS(L:L,H:H,Online_eCommerce[[#This Row],[Brand]])</f>
        <v>14431000</v>
      </c>
      <c r="S4101" s="13">
        <f>SUMIF(H:H,Online_eCommerce[[#This Row],[Brand]],M:M)</f>
        <v>18760300</v>
      </c>
      <c r="T4101" s="13">
        <f>SUMIF(N:N,Online_eCommerce[[#This Row],[Assigned Supervisor]],L:L)</f>
        <v>14373360</v>
      </c>
    </row>
    <row r="4102" spans="1:20" x14ac:dyDescent="0.3">
      <c r="A4102" t="s">
        <v>6048</v>
      </c>
      <c r="B4102" t="s">
        <v>276</v>
      </c>
      <c r="C4102" t="s">
        <v>155</v>
      </c>
      <c r="D4102" t="s">
        <v>5828</v>
      </c>
      <c r="E4102" t="s">
        <v>46</v>
      </c>
      <c r="F4102" t="s">
        <v>129</v>
      </c>
      <c r="G4102" t="s">
        <v>60</v>
      </c>
      <c r="H4102" t="s">
        <v>61</v>
      </c>
      <c r="I4102">
        <v>800</v>
      </c>
      <c r="J4102">
        <v>1040</v>
      </c>
      <c r="K4102">
        <v>4</v>
      </c>
      <c r="L4102">
        <v>3200</v>
      </c>
      <c r="M4102">
        <v>4160</v>
      </c>
      <c r="N4102" t="s">
        <v>42</v>
      </c>
      <c r="O4102">
        <f t="shared" si="128"/>
        <v>3315</v>
      </c>
      <c r="P4102" s="13">
        <f t="shared" si="129"/>
        <v>2753348</v>
      </c>
      <c r="Q4102" s="13">
        <f>SUMIFS(M:M,E:E,Online_eCommerce[[#This Row],[Status]])</f>
        <v>28620410</v>
      </c>
      <c r="R4102" s="13">
        <f>SUMIFS(L:L,H:H,Online_eCommerce[[#This Row],[Brand]])</f>
        <v>10950150</v>
      </c>
      <c r="S4102" s="13">
        <f>SUMIF(H:H,Online_eCommerce[[#This Row],[Brand]],M:M)</f>
        <v>14235195</v>
      </c>
      <c r="T4102" s="13">
        <f>SUMIF(N:N,Online_eCommerce[[#This Row],[Assigned Supervisor]],L:L)</f>
        <v>12261500</v>
      </c>
    </row>
    <row r="4103" spans="1:20" hidden="1" x14ac:dyDescent="0.3">
      <c r="A4103" t="s">
        <v>6049</v>
      </c>
      <c r="B4103" t="s">
        <v>280</v>
      </c>
      <c r="C4103" t="s">
        <v>160</v>
      </c>
      <c r="D4103" t="s">
        <v>5828</v>
      </c>
      <c r="E4103" t="s">
        <v>96</v>
      </c>
      <c r="F4103" t="s">
        <v>133</v>
      </c>
      <c r="G4103" t="s">
        <v>66</v>
      </c>
      <c r="H4103" t="s">
        <v>21</v>
      </c>
      <c r="I4103">
        <v>600</v>
      </c>
      <c r="J4103">
        <v>780</v>
      </c>
      <c r="K4103">
        <v>2</v>
      </c>
      <c r="L4103">
        <v>1200</v>
      </c>
      <c r="M4103">
        <v>1560</v>
      </c>
      <c r="N4103" t="s">
        <v>50</v>
      </c>
      <c r="O4103">
        <f t="shared" si="128"/>
        <v>1690</v>
      </c>
      <c r="P4103" s="13">
        <f t="shared" si="129"/>
        <v>2303483</v>
      </c>
      <c r="Q4103" s="13">
        <f>SUMIFS(M:M,E:E,Online_eCommerce[[#This Row],[Status]])</f>
        <v>21233992</v>
      </c>
      <c r="R4103" s="13">
        <f>SUMIFS(L:L,H:H,Online_eCommerce[[#This Row],[Brand]])</f>
        <v>12435650</v>
      </c>
      <c r="S4103" s="13">
        <f>SUMIF(H:H,Online_eCommerce[[#This Row],[Brand]],M:M)</f>
        <v>16166345</v>
      </c>
      <c r="T4103" s="13">
        <f>SUMIF(N:N,Online_eCommerce[[#This Row],[Assigned Supervisor]],L:L)</f>
        <v>12100590</v>
      </c>
    </row>
    <row r="4104" spans="1:20" hidden="1" x14ac:dyDescent="0.3">
      <c r="A4104" t="s">
        <v>6050</v>
      </c>
      <c r="B4104" t="s">
        <v>283</v>
      </c>
      <c r="C4104" t="s">
        <v>165</v>
      </c>
      <c r="D4104" t="s">
        <v>6051</v>
      </c>
      <c r="E4104" t="s">
        <v>18</v>
      </c>
      <c r="F4104" t="s">
        <v>137</v>
      </c>
      <c r="G4104" t="s">
        <v>71</v>
      </c>
      <c r="H4104" t="s">
        <v>61</v>
      </c>
      <c r="I4104">
        <v>10500</v>
      </c>
      <c r="J4104">
        <v>13650</v>
      </c>
      <c r="K4104">
        <v>2</v>
      </c>
      <c r="L4104">
        <v>21000</v>
      </c>
      <c r="M4104">
        <v>27300</v>
      </c>
      <c r="N4104" t="s">
        <v>56</v>
      </c>
      <c r="O4104">
        <f t="shared" si="128"/>
        <v>9750</v>
      </c>
      <c r="P4104" s="13">
        <f t="shared" si="129"/>
        <v>2674087</v>
      </c>
      <c r="Q4104" s="13">
        <f>SUMIFS(M:M,E:E,Online_eCommerce[[#This Row],[Status]])</f>
        <v>28340455</v>
      </c>
      <c r="R4104" s="13">
        <f>SUMIFS(L:L,H:H,Online_eCommerce[[#This Row],[Brand]])</f>
        <v>10950150</v>
      </c>
      <c r="S4104" s="13">
        <f>SUMIF(H:H,Online_eCommerce[[#This Row],[Brand]],M:M)</f>
        <v>14235195</v>
      </c>
      <c r="T4104" s="13">
        <f>SUMIF(N:N,Online_eCommerce[[#This Row],[Assigned Supervisor]],L:L)</f>
        <v>11733610</v>
      </c>
    </row>
    <row r="4105" spans="1:20" hidden="1" x14ac:dyDescent="0.3">
      <c r="A4105" t="s">
        <v>6052</v>
      </c>
      <c r="B4105" t="s">
        <v>287</v>
      </c>
      <c r="C4105" t="s">
        <v>168</v>
      </c>
      <c r="D4105" t="s">
        <v>6053</v>
      </c>
      <c r="E4105" t="s">
        <v>161</v>
      </c>
      <c r="F4105" t="s">
        <v>6022</v>
      </c>
      <c r="G4105" t="s">
        <v>77</v>
      </c>
      <c r="H4105" t="s">
        <v>142</v>
      </c>
      <c r="I4105">
        <v>6500</v>
      </c>
      <c r="J4105">
        <v>8450</v>
      </c>
      <c r="K4105">
        <v>2</v>
      </c>
      <c r="L4105">
        <v>13000</v>
      </c>
      <c r="M4105">
        <v>16900</v>
      </c>
      <c r="N4105" t="s">
        <v>35</v>
      </c>
      <c r="O4105">
        <f t="shared" si="128"/>
        <v>39000</v>
      </c>
      <c r="P4105" s="13">
        <f t="shared" si="129"/>
        <v>1937780</v>
      </c>
      <c r="Q4105" s="13">
        <f>SUMIFS(M:M,E:E,Online_eCommerce[[#This Row],[Status]])</f>
        <v>21103186</v>
      </c>
      <c r="R4105" s="13">
        <f>SUMIFS(L:L,H:H,Online_eCommerce[[#This Row],[Brand]])</f>
        <v>6192500</v>
      </c>
      <c r="S4105" s="13">
        <f>SUMIF(H:H,Online_eCommerce[[#This Row],[Brand]],M:M)</f>
        <v>8050250</v>
      </c>
      <c r="T4105" s="13">
        <f>SUMIF(N:N,Online_eCommerce[[#This Row],[Assigned Supervisor]],L:L)</f>
        <v>14373360</v>
      </c>
    </row>
    <row r="4106" spans="1:20" x14ac:dyDescent="0.3">
      <c r="A4106" t="s">
        <v>6054</v>
      </c>
      <c r="B4106" t="s">
        <v>290</v>
      </c>
      <c r="C4106" t="s">
        <v>172</v>
      </c>
      <c r="D4106" t="s">
        <v>6055</v>
      </c>
      <c r="E4106" t="s">
        <v>46</v>
      </c>
      <c r="F4106" t="s">
        <v>6056</v>
      </c>
      <c r="G4106" t="s">
        <v>20</v>
      </c>
      <c r="H4106" t="s">
        <v>21</v>
      </c>
      <c r="I4106">
        <v>4500</v>
      </c>
      <c r="J4106">
        <v>5850</v>
      </c>
      <c r="K4106">
        <v>3</v>
      </c>
      <c r="L4106">
        <v>13500</v>
      </c>
      <c r="M4106">
        <v>17550</v>
      </c>
      <c r="N4106" t="s">
        <v>35</v>
      </c>
      <c r="O4106">
        <f t="shared" si="128"/>
        <v>8450</v>
      </c>
      <c r="P4106" s="13">
        <f t="shared" si="129"/>
        <v>2640274</v>
      </c>
      <c r="Q4106" s="13">
        <f>SUMIFS(M:M,E:E,Online_eCommerce[[#This Row],[Status]])</f>
        <v>28620410</v>
      </c>
      <c r="R4106" s="13">
        <f>SUMIFS(L:L,H:H,Online_eCommerce[[#This Row],[Brand]])</f>
        <v>12435650</v>
      </c>
      <c r="S4106" s="13">
        <f>SUMIF(H:H,Online_eCommerce[[#This Row],[Brand]],M:M)</f>
        <v>16166345</v>
      </c>
      <c r="T4106" s="13">
        <f>SUMIF(N:N,Online_eCommerce[[#This Row],[Assigned Supervisor]],L:L)</f>
        <v>14373360</v>
      </c>
    </row>
    <row r="4107" spans="1:20" hidden="1" x14ac:dyDescent="0.3">
      <c r="A4107" t="s">
        <v>6057</v>
      </c>
      <c r="B4107" t="s">
        <v>15</v>
      </c>
      <c r="C4107" t="s">
        <v>177</v>
      </c>
      <c r="D4107" t="s">
        <v>6058</v>
      </c>
      <c r="E4107" t="s">
        <v>96</v>
      </c>
      <c r="F4107" t="s">
        <v>152</v>
      </c>
      <c r="G4107" t="s">
        <v>26</v>
      </c>
      <c r="H4107" t="s">
        <v>27</v>
      </c>
      <c r="I4107">
        <v>8500</v>
      </c>
      <c r="J4107">
        <v>11050</v>
      </c>
      <c r="K4107">
        <v>1</v>
      </c>
      <c r="L4107">
        <v>8500</v>
      </c>
      <c r="M4107">
        <v>11050</v>
      </c>
      <c r="N4107" t="s">
        <v>35</v>
      </c>
      <c r="O4107">
        <f t="shared" si="128"/>
        <v>33150</v>
      </c>
      <c r="P4107" s="13">
        <f t="shared" si="129"/>
        <v>1863810</v>
      </c>
      <c r="Q4107" s="13">
        <f>SUMIFS(M:M,E:E,Online_eCommerce[[#This Row],[Status]])</f>
        <v>21233992</v>
      </c>
      <c r="R4107" s="13">
        <f>SUMIFS(L:L,H:H,Online_eCommerce[[#This Row],[Brand]])</f>
        <v>14431000</v>
      </c>
      <c r="S4107" s="13">
        <f>SUMIF(H:H,Online_eCommerce[[#This Row],[Brand]],M:M)</f>
        <v>18760300</v>
      </c>
      <c r="T4107" s="13">
        <f>SUMIF(N:N,Online_eCommerce[[#This Row],[Assigned Supervisor]],L:L)</f>
        <v>14373360</v>
      </c>
    </row>
    <row r="4108" spans="1:20" hidden="1" x14ac:dyDescent="0.3">
      <c r="A4108" t="s">
        <v>6059</v>
      </c>
      <c r="B4108" t="s">
        <v>202</v>
      </c>
      <c r="C4108" t="s">
        <v>181</v>
      </c>
      <c r="D4108" t="s">
        <v>6060</v>
      </c>
      <c r="E4108" t="s">
        <v>18</v>
      </c>
      <c r="F4108" t="s">
        <v>157</v>
      </c>
      <c r="G4108" t="s">
        <v>33</v>
      </c>
      <c r="H4108" t="s">
        <v>34</v>
      </c>
      <c r="I4108">
        <v>12500</v>
      </c>
      <c r="J4108">
        <v>16250</v>
      </c>
      <c r="K4108">
        <v>3</v>
      </c>
      <c r="L4108">
        <v>37500</v>
      </c>
      <c r="M4108">
        <v>48750</v>
      </c>
      <c r="N4108" t="s">
        <v>35</v>
      </c>
      <c r="O4108">
        <f t="shared" si="128"/>
        <v>18200</v>
      </c>
      <c r="P4108" s="13">
        <f t="shared" si="129"/>
        <v>2577458</v>
      </c>
      <c r="Q4108" s="13">
        <f>SUMIFS(M:M,E:E,Online_eCommerce[[#This Row],[Status]])</f>
        <v>28340455</v>
      </c>
      <c r="R4108" s="13">
        <f>SUMIFS(L:L,H:H,Online_eCommerce[[#This Row],[Brand]])</f>
        <v>10087000</v>
      </c>
      <c r="S4108" s="13">
        <f>SUMIF(H:H,Online_eCommerce[[#This Row],[Brand]],M:M)</f>
        <v>13113100</v>
      </c>
      <c r="T4108" s="13">
        <f>SUMIF(N:N,Online_eCommerce[[#This Row],[Assigned Supervisor]],L:L)</f>
        <v>14373360</v>
      </c>
    </row>
    <row r="4109" spans="1:20" hidden="1" x14ac:dyDescent="0.3">
      <c r="A4109" t="s">
        <v>6061</v>
      </c>
      <c r="B4109" t="s">
        <v>30</v>
      </c>
      <c r="C4109" t="s">
        <v>185</v>
      </c>
      <c r="D4109" t="s">
        <v>6062</v>
      </c>
      <c r="E4109" t="s">
        <v>161</v>
      </c>
      <c r="F4109" t="s">
        <v>5731</v>
      </c>
      <c r="G4109" t="s">
        <v>163</v>
      </c>
      <c r="H4109" t="s">
        <v>41</v>
      </c>
      <c r="I4109">
        <v>3500</v>
      </c>
      <c r="J4109">
        <v>4550</v>
      </c>
      <c r="K4109">
        <v>3</v>
      </c>
      <c r="L4109">
        <v>10500</v>
      </c>
      <c r="M4109">
        <v>13650</v>
      </c>
      <c r="N4109" t="s">
        <v>35</v>
      </c>
      <c r="O4109">
        <f t="shared" si="128"/>
        <v>13650</v>
      </c>
      <c r="P4109" s="13">
        <f t="shared" si="129"/>
        <v>2091596</v>
      </c>
      <c r="Q4109" s="13">
        <f>SUMIFS(M:M,E:E,Online_eCommerce[[#This Row],[Status]])</f>
        <v>21103186</v>
      </c>
      <c r="R4109" s="13">
        <f>SUMIFS(L:L,H:H,Online_eCommerce[[#This Row],[Brand]])</f>
        <v>4260400</v>
      </c>
      <c r="S4109" s="13">
        <f>SUMIF(H:H,Online_eCommerce[[#This Row],[Brand]],M:M)</f>
        <v>5538520</v>
      </c>
      <c r="T4109" s="13">
        <f>SUMIF(N:N,Online_eCommerce[[#This Row],[Assigned Supervisor]],L:L)</f>
        <v>14373360</v>
      </c>
    </row>
    <row r="4110" spans="1:20" x14ac:dyDescent="0.3">
      <c r="A4110" t="s">
        <v>6063</v>
      </c>
      <c r="B4110" t="s">
        <v>37</v>
      </c>
      <c r="C4110" t="s">
        <v>189</v>
      </c>
      <c r="D4110" t="s">
        <v>6064</v>
      </c>
      <c r="E4110" t="s">
        <v>46</v>
      </c>
      <c r="F4110" t="s">
        <v>166</v>
      </c>
      <c r="G4110" t="s">
        <v>66</v>
      </c>
      <c r="H4110" t="s">
        <v>49</v>
      </c>
      <c r="I4110">
        <v>4500</v>
      </c>
      <c r="J4110">
        <v>5850</v>
      </c>
      <c r="K4110">
        <v>1</v>
      </c>
      <c r="L4110">
        <v>4500</v>
      </c>
      <c r="M4110">
        <v>5850</v>
      </c>
      <c r="N4110" t="s">
        <v>35</v>
      </c>
      <c r="O4110">
        <f t="shared" si="128"/>
        <v>1690</v>
      </c>
      <c r="P4110" s="13">
        <f t="shared" si="129"/>
        <v>2740777</v>
      </c>
      <c r="Q4110" s="13">
        <f>SUMIFS(M:M,E:E,Online_eCommerce[[#This Row],[Status]])</f>
        <v>28620410</v>
      </c>
      <c r="R4110" s="13">
        <f>SUMIFS(L:L,H:H,Online_eCommerce[[#This Row],[Brand]])</f>
        <v>4528350</v>
      </c>
      <c r="S4110" s="13">
        <f>SUMIF(H:H,Online_eCommerce[[#This Row],[Brand]],M:M)</f>
        <v>5886855</v>
      </c>
      <c r="T4110" s="13">
        <f>SUMIF(N:N,Online_eCommerce[[#This Row],[Assigned Supervisor]],L:L)</f>
        <v>14373360</v>
      </c>
    </row>
    <row r="4111" spans="1:20" hidden="1" x14ac:dyDescent="0.3">
      <c r="A4111" t="s">
        <v>6065</v>
      </c>
      <c r="B4111" t="s">
        <v>44</v>
      </c>
      <c r="C4111" t="s">
        <v>193</v>
      </c>
      <c r="D4111" t="s">
        <v>6064</v>
      </c>
      <c r="E4111" t="s">
        <v>96</v>
      </c>
      <c r="F4111" t="s">
        <v>6066</v>
      </c>
      <c r="G4111" t="s">
        <v>54</v>
      </c>
      <c r="H4111" t="s">
        <v>55</v>
      </c>
      <c r="I4111">
        <v>2100</v>
      </c>
      <c r="J4111">
        <v>2730</v>
      </c>
      <c r="K4111">
        <v>2</v>
      </c>
      <c r="L4111">
        <v>4200</v>
      </c>
      <c r="M4111">
        <v>5460</v>
      </c>
      <c r="N4111" t="s">
        <v>35</v>
      </c>
      <c r="O4111">
        <f t="shared" si="128"/>
        <v>2990</v>
      </c>
      <c r="P4111" s="13">
        <f t="shared" si="129"/>
        <v>2074774</v>
      </c>
      <c r="Q4111" s="13">
        <f>SUMIFS(M:M,E:E,Online_eCommerce[[#This Row],[Status]])</f>
        <v>21233992</v>
      </c>
      <c r="R4111" s="13">
        <f>SUMIFS(L:L,H:H,Online_eCommerce[[#This Row],[Brand]])</f>
        <v>2267380</v>
      </c>
      <c r="S4111" s="13">
        <f>SUMIF(H:H,Online_eCommerce[[#This Row],[Brand]],M:M)</f>
        <v>2947594</v>
      </c>
      <c r="T4111" s="13">
        <f>SUMIF(N:N,Online_eCommerce[[#This Row],[Assigned Supervisor]],L:L)</f>
        <v>14373360</v>
      </c>
    </row>
    <row r="4112" spans="1:20" hidden="1" x14ac:dyDescent="0.3">
      <c r="A4112" t="s">
        <v>6067</v>
      </c>
      <c r="B4112" t="s">
        <v>213</v>
      </c>
      <c r="C4112" t="s">
        <v>197</v>
      </c>
      <c r="D4112" t="s">
        <v>6064</v>
      </c>
      <c r="E4112" t="s">
        <v>18</v>
      </c>
      <c r="F4112" t="s">
        <v>174</v>
      </c>
      <c r="G4112" t="s">
        <v>60</v>
      </c>
      <c r="H4112" t="s">
        <v>61</v>
      </c>
      <c r="I4112">
        <v>1150</v>
      </c>
      <c r="J4112">
        <v>1495</v>
      </c>
      <c r="K4112">
        <v>2</v>
      </c>
      <c r="L4112">
        <v>2300</v>
      </c>
      <c r="M4112">
        <v>2990</v>
      </c>
      <c r="N4112" t="s">
        <v>35</v>
      </c>
      <c r="O4112">
        <f t="shared" si="128"/>
        <v>3315</v>
      </c>
      <c r="P4112" s="13">
        <f t="shared" si="129"/>
        <v>2829840</v>
      </c>
      <c r="Q4112" s="13">
        <f>SUMIFS(M:M,E:E,Online_eCommerce[[#This Row],[Status]])</f>
        <v>28340455</v>
      </c>
      <c r="R4112" s="13">
        <f>SUMIFS(L:L,H:H,Online_eCommerce[[#This Row],[Brand]])</f>
        <v>10950150</v>
      </c>
      <c r="S4112" s="13">
        <f>SUMIF(H:H,Online_eCommerce[[#This Row],[Brand]],M:M)</f>
        <v>14235195</v>
      </c>
      <c r="T4112" s="13">
        <f>SUMIF(N:N,Online_eCommerce[[#This Row],[Assigned Supervisor]],L:L)</f>
        <v>14373360</v>
      </c>
    </row>
    <row r="4113" spans="1:20" hidden="1" x14ac:dyDescent="0.3">
      <c r="A4113" t="s">
        <v>6068</v>
      </c>
      <c r="B4113" t="s">
        <v>215</v>
      </c>
      <c r="C4113" t="s">
        <v>199</v>
      </c>
      <c r="D4113" t="s">
        <v>6064</v>
      </c>
      <c r="E4113" t="s">
        <v>161</v>
      </c>
      <c r="F4113" t="s">
        <v>179</v>
      </c>
      <c r="G4113" t="s">
        <v>66</v>
      </c>
      <c r="H4113" t="s">
        <v>21</v>
      </c>
      <c r="I4113">
        <v>350</v>
      </c>
      <c r="J4113">
        <v>455</v>
      </c>
      <c r="K4113">
        <v>3</v>
      </c>
      <c r="L4113">
        <v>1050</v>
      </c>
      <c r="M4113">
        <v>1365</v>
      </c>
      <c r="N4113" t="s">
        <v>35</v>
      </c>
      <c r="O4113">
        <f t="shared" si="128"/>
        <v>1690</v>
      </c>
      <c r="P4113" s="13">
        <f t="shared" si="129"/>
        <v>1947361</v>
      </c>
      <c r="Q4113" s="13">
        <f>SUMIFS(M:M,E:E,Online_eCommerce[[#This Row],[Status]])</f>
        <v>21103186</v>
      </c>
      <c r="R4113" s="13">
        <f>SUMIFS(L:L,H:H,Online_eCommerce[[#This Row],[Brand]])</f>
        <v>12435650</v>
      </c>
      <c r="S4113" s="13">
        <f>SUMIF(H:H,Online_eCommerce[[#This Row],[Brand]],M:M)</f>
        <v>16166345</v>
      </c>
      <c r="T4113" s="13">
        <f>SUMIF(N:N,Online_eCommerce[[#This Row],[Assigned Supervisor]],L:L)</f>
        <v>14373360</v>
      </c>
    </row>
    <row r="4114" spans="1:20" x14ac:dyDescent="0.3">
      <c r="A4114" t="s">
        <v>6069</v>
      </c>
      <c r="B4114" t="s">
        <v>306</v>
      </c>
      <c r="C4114" t="s">
        <v>203</v>
      </c>
      <c r="D4114" t="s">
        <v>6064</v>
      </c>
      <c r="E4114" t="s">
        <v>46</v>
      </c>
      <c r="F4114" t="s">
        <v>183</v>
      </c>
      <c r="G4114" t="s">
        <v>71</v>
      </c>
      <c r="H4114" t="s">
        <v>61</v>
      </c>
      <c r="I4114">
        <v>9500</v>
      </c>
      <c r="J4114">
        <v>12350</v>
      </c>
      <c r="K4114">
        <v>1</v>
      </c>
      <c r="L4114">
        <v>9500</v>
      </c>
      <c r="M4114">
        <v>12350</v>
      </c>
      <c r="N4114" t="s">
        <v>35</v>
      </c>
      <c r="O4114">
        <f t="shared" si="128"/>
        <v>9750</v>
      </c>
      <c r="P4114" s="13">
        <f t="shared" si="129"/>
        <v>2559635</v>
      </c>
      <c r="Q4114" s="13">
        <f>SUMIFS(M:M,E:E,Online_eCommerce[[#This Row],[Status]])</f>
        <v>28620410</v>
      </c>
      <c r="R4114" s="13">
        <f>SUMIFS(L:L,H:H,Online_eCommerce[[#This Row],[Brand]])</f>
        <v>10950150</v>
      </c>
      <c r="S4114" s="13">
        <f>SUMIF(H:H,Online_eCommerce[[#This Row],[Brand]],M:M)</f>
        <v>14235195</v>
      </c>
      <c r="T4114" s="13">
        <f>SUMIF(N:N,Online_eCommerce[[#This Row],[Assigned Supervisor]],L:L)</f>
        <v>14373360</v>
      </c>
    </row>
    <row r="4115" spans="1:20" hidden="1" x14ac:dyDescent="0.3">
      <c r="A4115" t="s">
        <v>6070</v>
      </c>
      <c r="B4115" t="s">
        <v>528</v>
      </c>
      <c r="C4115" t="s">
        <v>205</v>
      </c>
      <c r="D4115" t="s">
        <v>6064</v>
      </c>
      <c r="E4115" t="s">
        <v>96</v>
      </c>
      <c r="F4115" t="s">
        <v>6071</v>
      </c>
      <c r="G4115" t="s">
        <v>77</v>
      </c>
      <c r="H4115" t="s">
        <v>142</v>
      </c>
      <c r="I4115">
        <v>10000</v>
      </c>
      <c r="J4115">
        <v>13000</v>
      </c>
      <c r="K4115">
        <v>3</v>
      </c>
      <c r="L4115">
        <v>30000</v>
      </c>
      <c r="M4115">
        <v>39000</v>
      </c>
      <c r="N4115" t="s">
        <v>50</v>
      </c>
      <c r="O4115">
        <f t="shared" si="128"/>
        <v>39000</v>
      </c>
      <c r="P4115" s="13">
        <f t="shared" si="129"/>
        <v>1983254</v>
      </c>
      <c r="Q4115" s="13">
        <f>SUMIFS(M:M,E:E,Online_eCommerce[[#This Row],[Status]])</f>
        <v>21233992</v>
      </c>
      <c r="R4115" s="13">
        <f>SUMIFS(L:L,H:H,Online_eCommerce[[#This Row],[Brand]])</f>
        <v>6192500</v>
      </c>
      <c r="S4115" s="13">
        <f>SUMIF(H:H,Online_eCommerce[[#This Row],[Brand]],M:M)</f>
        <v>8050250</v>
      </c>
      <c r="T4115" s="13">
        <f>SUMIF(N:N,Online_eCommerce[[#This Row],[Assigned Supervisor]],L:L)</f>
        <v>12100590</v>
      </c>
    </row>
    <row r="4116" spans="1:20" hidden="1" x14ac:dyDescent="0.3">
      <c r="A4116" t="s">
        <v>6072</v>
      </c>
      <c r="B4116" t="s">
        <v>73</v>
      </c>
      <c r="C4116" t="s">
        <v>208</v>
      </c>
      <c r="D4116" t="s">
        <v>6064</v>
      </c>
      <c r="E4116" t="s">
        <v>18</v>
      </c>
      <c r="F4116" t="s">
        <v>6073</v>
      </c>
      <c r="G4116" t="s">
        <v>20</v>
      </c>
      <c r="H4116" t="s">
        <v>21</v>
      </c>
      <c r="I4116">
        <v>6500</v>
      </c>
      <c r="J4116">
        <v>8450</v>
      </c>
      <c r="K4116">
        <v>1</v>
      </c>
      <c r="L4116">
        <v>6500</v>
      </c>
      <c r="M4116">
        <v>8450</v>
      </c>
      <c r="N4116" t="s">
        <v>56</v>
      </c>
      <c r="O4116">
        <f t="shared" si="128"/>
        <v>8450</v>
      </c>
      <c r="P4116" s="13">
        <f t="shared" si="129"/>
        <v>2746575</v>
      </c>
      <c r="Q4116" s="13">
        <f>SUMIFS(M:M,E:E,Online_eCommerce[[#This Row],[Status]])</f>
        <v>28340455</v>
      </c>
      <c r="R4116" s="13">
        <f>SUMIFS(L:L,H:H,Online_eCommerce[[#This Row],[Brand]])</f>
        <v>12435650</v>
      </c>
      <c r="S4116" s="13">
        <f>SUMIF(H:H,Online_eCommerce[[#This Row],[Brand]],M:M)</f>
        <v>16166345</v>
      </c>
      <c r="T4116" s="13">
        <f>SUMIF(N:N,Online_eCommerce[[#This Row],[Assigned Supervisor]],L:L)</f>
        <v>11733610</v>
      </c>
    </row>
    <row r="4117" spans="1:20" hidden="1" x14ac:dyDescent="0.3">
      <c r="A4117" t="s">
        <v>6074</v>
      </c>
      <c r="B4117" t="s">
        <v>80</v>
      </c>
      <c r="C4117" t="s">
        <v>211</v>
      </c>
      <c r="D4117" t="s">
        <v>6064</v>
      </c>
      <c r="E4117" t="s">
        <v>161</v>
      </c>
      <c r="F4117" t="s">
        <v>6075</v>
      </c>
      <c r="G4117" t="s">
        <v>26</v>
      </c>
      <c r="H4117" t="s">
        <v>27</v>
      </c>
      <c r="I4117">
        <v>8500</v>
      </c>
      <c r="J4117">
        <v>11050</v>
      </c>
      <c r="K4117">
        <v>3</v>
      </c>
      <c r="L4117">
        <v>25500</v>
      </c>
      <c r="M4117">
        <v>33150</v>
      </c>
      <c r="N4117" t="s">
        <v>22</v>
      </c>
      <c r="O4117">
        <f t="shared" si="128"/>
        <v>33150</v>
      </c>
      <c r="P4117" s="13">
        <f t="shared" si="129"/>
        <v>1809847</v>
      </c>
      <c r="Q4117" s="13">
        <f>SUMIFS(M:M,E:E,Online_eCommerce[[#This Row],[Status]])</f>
        <v>21103186</v>
      </c>
      <c r="R4117" s="13">
        <f>SUMIFS(L:L,H:H,Online_eCommerce[[#This Row],[Brand]])</f>
        <v>14431000</v>
      </c>
      <c r="S4117" s="13">
        <f>SUMIF(H:H,Online_eCommerce[[#This Row],[Brand]],M:M)</f>
        <v>18760300</v>
      </c>
      <c r="T4117" s="13">
        <f>SUMIF(N:N,Online_eCommerce[[#This Row],[Assigned Supervisor]],L:L)</f>
        <v>13693220</v>
      </c>
    </row>
    <row r="4118" spans="1:20" x14ac:dyDescent="0.3">
      <c r="A4118" t="s">
        <v>6076</v>
      </c>
      <c r="B4118" t="s">
        <v>85</v>
      </c>
      <c r="C4118" t="s">
        <v>16</v>
      </c>
      <c r="D4118" t="s">
        <v>6064</v>
      </c>
      <c r="E4118" t="s">
        <v>46</v>
      </c>
      <c r="F4118" t="s">
        <v>32</v>
      </c>
      <c r="G4118" t="s">
        <v>33</v>
      </c>
      <c r="H4118" t="s">
        <v>34</v>
      </c>
      <c r="I4118">
        <v>7000</v>
      </c>
      <c r="J4118">
        <v>9100</v>
      </c>
      <c r="K4118">
        <v>2</v>
      </c>
      <c r="L4118">
        <v>14000</v>
      </c>
      <c r="M4118">
        <v>18200</v>
      </c>
      <c r="N4118" t="s">
        <v>28</v>
      </c>
      <c r="O4118">
        <f t="shared" si="128"/>
        <v>18200</v>
      </c>
      <c r="P4118" s="13">
        <f t="shared" si="129"/>
        <v>2751814</v>
      </c>
      <c r="Q4118" s="13">
        <f>SUMIFS(M:M,E:E,Online_eCommerce[[#This Row],[Status]])</f>
        <v>28620410</v>
      </c>
      <c r="R4118" s="13">
        <f>SUMIFS(L:L,H:H,Online_eCommerce[[#This Row],[Brand]])</f>
        <v>10087000</v>
      </c>
      <c r="S4118" s="13">
        <f>SUMIF(H:H,Online_eCommerce[[#This Row],[Brand]],M:M)</f>
        <v>13113100</v>
      </c>
      <c r="T4118" s="13">
        <f>SUMIF(N:N,Online_eCommerce[[#This Row],[Assigned Supervisor]],L:L)</f>
        <v>12220830</v>
      </c>
    </row>
    <row r="4119" spans="1:20" hidden="1" x14ac:dyDescent="0.3">
      <c r="A4119" t="s">
        <v>6077</v>
      </c>
      <c r="B4119" t="s">
        <v>90</v>
      </c>
      <c r="C4119" t="s">
        <v>24</v>
      </c>
      <c r="D4119" t="s">
        <v>6064</v>
      </c>
      <c r="E4119" t="s">
        <v>96</v>
      </c>
      <c r="F4119" t="s">
        <v>6078</v>
      </c>
      <c r="G4119" t="s">
        <v>163</v>
      </c>
      <c r="H4119" t="s">
        <v>41</v>
      </c>
      <c r="I4119">
        <v>6550</v>
      </c>
      <c r="J4119">
        <v>8515</v>
      </c>
      <c r="K4119">
        <v>3</v>
      </c>
      <c r="L4119">
        <v>19650</v>
      </c>
      <c r="M4119">
        <v>25545</v>
      </c>
      <c r="N4119" t="s">
        <v>35</v>
      </c>
      <c r="O4119">
        <f t="shared" si="128"/>
        <v>13650</v>
      </c>
      <c r="P4119" s="13">
        <f t="shared" si="129"/>
        <v>2009540</v>
      </c>
      <c r="Q4119" s="13">
        <f>SUMIFS(M:M,E:E,Online_eCommerce[[#This Row],[Status]])</f>
        <v>21233992</v>
      </c>
      <c r="R4119" s="13">
        <f>SUMIFS(L:L,H:H,Online_eCommerce[[#This Row],[Brand]])</f>
        <v>4260400</v>
      </c>
      <c r="S4119" s="13">
        <f>SUMIF(H:H,Online_eCommerce[[#This Row],[Brand]],M:M)</f>
        <v>5538520</v>
      </c>
      <c r="T4119" s="13">
        <f>SUMIF(N:N,Online_eCommerce[[#This Row],[Assigned Supervisor]],L:L)</f>
        <v>14373360</v>
      </c>
    </row>
    <row r="4120" spans="1:20" hidden="1" x14ac:dyDescent="0.3">
      <c r="A4120" t="s">
        <v>6079</v>
      </c>
      <c r="B4120" t="s">
        <v>232</v>
      </c>
      <c r="C4120" t="s">
        <v>31</v>
      </c>
      <c r="D4120" t="s">
        <v>6064</v>
      </c>
      <c r="E4120" t="s">
        <v>18</v>
      </c>
      <c r="F4120" t="s">
        <v>47</v>
      </c>
      <c r="G4120" t="s">
        <v>66</v>
      </c>
      <c r="H4120" t="s">
        <v>49</v>
      </c>
      <c r="I4120">
        <v>7650</v>
      </c>
      <c r="J4120">
        <v>9945</v>
      </c>
      <c r="K4120">
        <v>4</v>
      </c>
      <c r="L4120">
        <v>30600</v>
      </c>
      <c r="M4120">
        <v>39780</v>
      </c>
      <c r="N4120" t="s">
        <v>42</v>
      </c>
      <c r="O4120">
        <f t="shared" si="128"/>
        <v>1690</v>
      </c>
      <c r="P4120" s="13">
        <f t="shared" si="129"/>
        <v>2865746</v>
      </c>
      <c r="Q4120" s="13">
        <f>SUMIFS(M:M,E:E,Online_eCommerce[[#This Row],[Status]])</f>
        <v>28340455</v>
      </c>
      <c r="R4120" s="13">
        <f>SUMIFS(L:L,H:H,Online_eCommerce[[#This Row],[Brand]])</f>
        <v>4528350</v>
      </c>
      <c r="S4120" s="13">
        <f>SUMIF(H:H,Online_eCommerce[[#This Row],[Brand]],M:M)</f>
        <v>5886855</v>
      </c>
      <c r="T4120" s="13">
        <f>SUMIF(N:N,Online_eCommerce[[#This Row],[Assigned Supervisor]],L:L)</f>
        <v>12261500</v>
      </c>
    </row>
    <row r="4121" spans="1:20" hidden="1" x14ac:dyDescent="0.3">
      <c r="A4121" t="s">
        <v>6080</v>
      </c>
      <c r="B4121" t="s">
        <v>235</v>
      </c>
      <c r="C4121" t="s">
        <v>38</v>
      </c>
      <c r="D4121" t="s">
        <v>6064</v>
      </c>
      <c r="E4121" t="s">
        <v>161</v>
      </c>
      <c r="F4121" t="s">
        <v>53</v>
      </c>
      <c r="G4121" t="s">
        <v>54</v>
      </c>
      <c r="H4121" t="s">
        <v>55</v>
      </c>
      <c r="I4121">
        <v>1150</v>
      </c>
      <c r="J4121">
        <v>1495</v>
      </c>
      <c r="K4121">
        <v>4</v>
      </c>
      <c r="L4121">
        <v>4600</v>
      </c>
      <c r="M4121">
        <v>5980</v>
      </c>
      <c r="N4121" t="s">
        <v>50</v>
      </c>
      <c r="O4121">
        <f t="shared" si="128"/>
        <v>2990</v>
      </c>
      <c r="P4121" s="13">
        <f t="shared" si="129"/>
        <v>1933997</v>
      </c>
      <c r="Q4121" s="13">
        <f>SUMIFS(M:M,E:E,Online_eCommerce[[#This Row],[Status]])</f>
        <v>21103186</v>
      </c>
      <c r="R4121" s="13">
        <f>SUMIFS(L:L,H:H,Online_eCommerce[[#This Row],[Brand]])</f>
        <v>2267380</v>
      </c>
      <c r="S4121" s="13">
        <f>SUMIF(H:H,Online_eCommerce[[#This Row],[Brand]],M:M)</f>
        <v>2947594</v>
      </c>
      <c r="T4121" s="13">
        <f>SUMIF(N:N,Online_eCommerce[[#This Row],[Assigned Supervisor]],L:L)</f>
        <v>12100590</v>
      </c>
    </row>
    <row r="4122" spans="1:20" x14ac:dyDescent="0.3">
      <c r="A4122" t="s">
        <v>6081</v>
      </c>
      <c r="B4122" t="s">
        <v>104</v>
      </c>
      <c r="C4122" t="s">
        <v>45</v>
      </c>
      <c r="D4122" t="s">
        <v>6064</v>
      </c>
      <c r="E4122" t="s">
        <v>46</v>
      </c>
      <c r="F4122" t="s">
        <v>59</v>
      </c>
      <c r="G4122" t="s">
        <v>60</v>
      </c>
      <c r="H4122" t="s">
        <v>61</v>
      </c>
      <c r="I4122">
        <v>850</v>
      </c>
      <c r="J4122">
        <v>1105</v>
      </c>
      <c r="K4122">
        <v>3</v>
      </c>
      <c r="L4122">
        <v>2550</v>
      </c>
      <c r="M4122">
        <v>3315</v>
      </c>
      <c r="N4122" t="s">
        <v>56</v>
      </c>
      <c r="O4122">
        <f t="shared" si="128"/>
        <v>3315</v>
      </c>
      <c r="P4122" s="13">
        <f t="shared" si="129"/>
        <v>2842554</v>
      </c>
      <c r="Q4122" s="13">
        <f>SUMIFS(M:M,E:E,Online_eCommerce[[#This Row],[Status]])</f>
        <v>28620410</v>
      </c>
      <c r="R4122" s="13">
        <f>SUMIFS(L:L,H:H,Online_eCommerce[[#This Row],[Brand]])</f>
        <v>10950150</v>
      </c>
      <c r="S4122" s="13">
        <f>SUMIF(H:H,Online_eCommerce[[#This Row],[Brand]],M:M)</f>
        <v>14235195</v>
      </c>
      <c r="T4122" s="13">
        <f>SUMIF(N:N,Online_eCommerce[[#This Row],[Assigned Supervisor]],L:L)</f>
        <v>11733610</v>
      </c>
    </row>
    <row r="4123" spans="1:20" hidden="1" x14ac:dyDescent="0.3">
      <c r="A4123" t="s">
        <v>6082</v>
      </c>
      <c r="B4123" t="s">
        <v>109</v>
      </c>
      <c r="C4123" t="s">
        <v>52</v>
      </c>
      <c r="D4123" t="s">
        <v>6064</v>
      </c>
      <c r="E4123" t="s">
        <v>96</v>
      </c>
      <c r="F4123" t="s">
        <v>65</v>
      </c>
      <c r="G4123" t="s">
        <v>66</v>
      </c>
      <c r="H4123" t="s">
        <v>21</v>
      </c>
      <c r="I4123">
        <v>650</v>
      </c>
      <c r="J4123">
        <v>845</v>
      </c>
      <c r="K4123">
        <v>1</v>
      </c>
      <c r="L4123">
        <v>650</v>
      </c>
      <c r="M4123">
        <v>845</v>
      </c>
      <c r="N4123" t="s">
        <v>22</v>
      </c>
      <c r="O4123">
        <f t="shared" si="128"/>
        <v>1690</v>
      </c>
      <c r="P4123" s="13">
        <f t="shared" si="129"/>
        <v>1955044</v>
      </c>
      <c r="Q4123" s="13">
        <f>SUMIFS(M:M,E:E,Online_eCommerce[[#This Row],[Status]])</f>
        <v>21233992</v>
      </c>
      <c r="R4123" s="13">
        <f>SUMIFS(L:L,H:H,Online_eCommerce[[#This Row],[Brand]])</f>
        <v>12435650</v>
      </c>
      <c r="S4123" s="13">
        <f>SUMIF(H:H,Online_eCommerce[[#This Row],[Brand]],M:M)</f>
        <v>16166345</v>
      </c>
      <c r="T4123" s="13">
        <f>SUMIF(N:N,Online_eCommerce[[#This Row],[Assigned Supervisor]],L:L)</f>
        <v>13693220</v>
      </c>
    </row>
    <row r="4124" spans="1:20" hidden="1" x14ac:dyDescent="0.3">
      <c r="A4124" t="s">
        <v>6083</v>
      </c>
      <c r="B4124" t="s">
        <v>114</v>
      </c>
      <c r="C4124" t="s">
        <v>58</v>
      </c>
      <c r="D4124" t="s">
        <v>6064</v>
      </c>
      <c r="E4124" t="s">
        <v>18</v>
      </c>
      <c r="F4124" t="s">
        <v>70</v>
      </c>
      <c r="G4124" t="s">
        <v>71</v>
      </c>
      <c r="H4124" t="s">
        <v>61</v>
      </c>
      <c r="I4124">
        <v>7500</v>
      </c>
      <c r="J4124">
        <v>9750</v>
      </c>
      <c r="K4124">
        <v>1</v>
      </c>
      <c r="L4124">
        <v>7500</v>
      </c>
      <c r="M4124">
        <v>9750</v>
      </c>
      <c r="N4124" t="s">
        <v>22</v>
      </c>
      <c r="O4124">
        <f t="shared" si="128"/>
        <v>9750</v>
      </c>
      <c r="P4124" s="13">
        <f t="shared" si="129"/>
        <v>2629211</v>
      </c>
      <c r="Q4124" s="13">
        <f>SUMIFS(M:M,E:E,Online_eCommerce[[#This Row],[Status]])</f>
        <v>28340455</v>
      </c>
      <c r="R4124" s="13">
        <f>SUMIFS(L:L,H:H,Online_eCommerce[[#This Row],[Brand]])</f>
        <v>10950150</v>
      </c>
      <c r="S4124" s="13">
        <f>SUMIF(H:H,Online_eCommerce[[#This Row],[Brand]],M:M)</f>
        <v>14235195</v>
      </c>
      <c r="T4124" s="13">
        <f>SUMIF(N:N,Online_eCommerce[[#This Row],[Assigned Supervisor]],L:L)</f>
        <v>13693220</v>
      </c>
    </row>
    <row r="4125" spans="1:20" hidden="1" x14ac:dyDescent="0.3">
      <c r="A4125" t="s">
        <v>6084</v>
      </c>
      <c r="B4125" t="s">
        <v>119</v>
      </c>
      <c r="C4125" t="s">
        <v>63</v>
      </c>
      <c r="D4125" t="s">
        <v>6064</v>
      </c>
      <c r="E4125" t="s">
        <v>161</v>
      </c>
      <c r="F4125" t="s">
        <v>6071</v>
      </c>
      <c r="G4125" t="s">
        <v>77</v>
      </c>
      <c r="H4125" t="s">
        <v>78</v>
      </c>
      <c r="I4125">
        <v>10000</v>
      </c>
      <c r="J4125">
        <v>13000</v>
      </c>
      <c r="K4125">
        <v>2</v>
      </c>
      <c r="L4125">
        <v>20000</v>
      </c>
      <c r="M4125">
        <v>26000</v>
      </c>
      <c r="N4125" t="s">
        <v>22</v>
      </c>
      <c r="O4125">
        <f t="shared" si="128"/>
        <v>39000</v>
      </c>
      <c r="P4125" s="13">
        <f t="shared" si="129"/>
        <v>2016131</v>
      </c>
      <c r="Q4125" s="13">
        <f>SUMIFS(M:M,E:E,Online_eCommerce[[#This Row],[Status]])</f>
        <v>21103186</v>
      </c>
      <c r="R4125" s="13">
        <f>SUMIFS(L:L,H:H,Online_eCommerce[[#This Row],[Brand]])</f>
        <v>3720000</v>
      </c>
      <c r="S4125" s="13">
        <f>SUMIF(H:H,Online_eCommerce[[#This Row],[Brand]],M:M)</f>
        <v>4836000</v>
      </c>
      <c r="T4125" s="13">
        <f>SUMIF(N:N,Online_eCommerce[[#This Row],[Assigned Supervisor]],L:L)</f>
        <v>13693220</v>
      </c>
    </row>
    <row r="4126" spans="1:20" x14ac:dyDescent="0.3">
      <c r="A4126" t="s">
        <v>6085</v>
      </c>
      <c r="B4126" t="s">
        <v>124</v>
      </c>
      <c r="C4126" t="s">
        <v>68</v>
      </c>
      <c r="D4126" t="s">
        <v>6064</v>
      </c>
      <c r="E4126" t="s">
        <v>46</v>
      </c>
      <c r="F4126" t="s">
        <v>6086</v>
      </c>
      <c r="G4126" t="s">
        <v>20</v>
      </c>
      <c r="H4126" t="s">
        <v>21</v>
      </c>
      <c r="I4126">
        <v>10500</v>
      </c>
      <c r="J4126">
        <v>13650</v>
      </c>
      <c r="K4126">
        <v>3</v>
      </c>
      <c r="L4126">
        <v>31500</v>
      </c>
      <c r="M4126">
        <v>40950</v>
      </c>
      <c r="N4126" t="s">
        <v>22</v>
      </c>
      <c r="O4126">
        <f t="shared" si="128"/>
        <v>8450</v>
      </c>
      <c r="P4126" s="13">
        <f t="shared" si="129"/>
        <v>2974621</v>
      </c>
      <c r="Q4126" s="13">
        <f>SUMIFS(M:M,E:E,Online_eCommerce[[#This Row],[Status]])</f>
        <v>28620410</v>
      </c>
      <c r="R4126" s="13">
        <f>SUMIFS(L:L,H:H,Online_eCommerce[[#This Row],[Brand]])</f>
        <v>12435650</v>
      </c>
      <c r="S4126" s="13">
        <f>SUMIF(H:H,Online_eCommerce[[#This Row],[Brand]],M:M)</f>
        <v>16166345</v>
      </c>
      <c r="T4126" s="13">
        <f>SUMIF(N:N,Online_eCommerce[[#This Row],[Assigned Supervisor]],L:L)</f>
        <v>13693220</v>
      </c>
    </row>
    <row r="4127" spans="1:20" hidden="1" x14ac:dyDescent="0.3">
      <c r="A4127" t="s">
        <v>6087</v>
      </c>
      <c r="B4127" t="s">
        <v>128</v>
      </c>
      <c r="C4127" t="s">
        <v>74</v>
      </c>
      <c r="D4127" t="s">
        <v>6064</v>
      </c>
      <c r="E4127" t="s">
        <v>96</v>
      </c>
      <c r="F4127" t="s">
        <v>88</v>
      </c>
      <c r="G4127" t="s">
        <v>26</v>
      </c>
      <c r="H4127" t="s">
        <v>27</v>
      </c>
      <c r="I4127">
        <v>8500</v>
      </c>
      <c r="J4127">
        <v>11050</v>
      </c>
      <c r="K4127">
        <v>1</v>
      </c>
      <c r="L4127">
        <v>8500</v>
      </c>
      <c r="M4127">
        <v>11050</v>
      </c>
      <c r="N4127" t="s">
        <v>22</v>
      </c>
      <c r="O4127">
        <f t="shared" si="128"/>
        <v>33150</v>
      </c>
      <c r="P4127" s="13">
        <f t="shared" si="129"/>
        <v>2144701</v>
      </c>
      <c r="Q4127" s="13">
        <f>SUMIFS(M:M,E:E,Online_eCommerce[[#This Row],[Status]])</f>
        <v>21233992</v>
      </c>
      <c r="R4127" s="13">
        <f>SUMIFS(L:L,H:H,Online_eCommerce[[#This Row],[Brand]])</f>
        <v>14431000</v>
      </c>
      <c r="S4127" s="13">
        <f>SUMIF(H:H,Online_eCommerce[[#This Row],[Brand]],M:M)</f>
        <v>18760300</v>
      </c>
      <c r="T4127" s="13">
        <f>SUMIF(N:N,Online_eCommerce[[#This Row],[Assigned Supervisor]],L:L)</f>
        <v>13693220</v>
      </c>
    </row>
    <row r="4128" spans="1:20" hidden="1" x14ac:dyDescent="0.3">
      <c r="A4128" t="s">
        <v>6088</v>
      </c>
      <c r="B4128" t="s">
        <v>131</v>
      </c>
      <c r="C4128" t="s">
        <v>81</v>
      </c>
      <c r="D4128" t="s">
        <v>6064</v>
      </c>
      <c r="E4128" t="s">
        <v>18</v>
      </c>
      <c r="F4128" t="s">
        <v>32</v>
      </c>
      <c r="G4128" t="s">
        <v>33</v>
      </c>
      <c r="H4128" t="s">
        <v>34</v>
      </c>
      <c r="I4128">
        <v>7000</v>
      </c>
      <c r="J4128">
        <v>9100</v>
      </c>
      <c r="K4128">
        <v>4</v>
      </c>
      <c r="L4128">
        <v>28000</v>
      </c>
      <c r="M4128">
        <v>36400</v>
      </c>
      <c r="N4128" t="s">
        <v>22</v>
      </c>
      <c r="O4128">
        <f t="shared" si="128"/>
        <v>18200</v>
      </c>
      <c r="P4128" s="13">
        <f t="shared" si="129"/>
        <v>2595632</v>
      </c>
      <c r="Q4128" s="13">
        <f>SUMIFS(M:M,E:E,Online_eCommerce[[#This Row],[Status]])</f>
        <v>28340455</v>
      </c>
      <c r="R4128" s="13">
        <f>SUMIFS(L:L,H:H,Online_eCommerce[[#This Row],[Brand]])</f>
        <v>10087000</v>
      </c>
      <c r="S4128" s="13">
        <f>SUMIF(H:H,Online_eCommerce[[#This Row],[Brand]],M:M)</f>
        <v>13113100</v>
      </c>
      <c r="T4128" s="13">
        <f>SUMIF(N:N,Online_eCommerce[[#This Row],[Assigned Supervisor]],L:L)</f>
        <v>13693220</v>
      </c>
    </row>
    <row r="4129" spans="1:20" hidden="1" x14ac:dyDescent="0.3">
      <c r="A4129" t="s">
        <v>6089</v>
      </c>
      <c r="B4129" t="s">
        <v>135</v>
      </c>
      <c r="C4129" t="s">
        <v>86</v>
      </c>
      <c r="D4129" t="s">
        <v>6064</v>
      </c>
      <c r="E4129" t="s">
        <v>161</v>
      </c>
      <c r="F4129" t="s">
        <v>6090</v>
      </c>
      <c r="G4129" t="s">
        <v>163</v>
      </c>
      <c r="H4129" t="s">
        <v>41</v>
      </c>
      <c r="I4129">
        <v>1680</v>
      </c>
      <c r="J4129">
        <v>2184</v>
      </c>
      <c r="K4129">
        <v>4</v>
      </c>
      <c r="L4129">
        <v>6720</v>
      </c>
      <c r="M4129">
        <v>8736</v>
      </c>
      <c r="N4129" t="s">
        <v>22</v>
      </c>
      <c r="O4129">
        <f t="shared" si="128"/>
        <v>13650</v>
      </c>
      <c r="P4129" s="13">
        <f t="shared" si="129"/>
        <v>1941225</v>
      </c>
      <c r="Q4129" s="13">
        <f>SUMIFS(M:M,E:E,Online_eCommerce[[#This Row],[Status]])</f>
        <v>21103186</v>
      </c>
      <c r="R4129" s="13">
        <f>SUMIFS(L:L,H:H,Online_eCommerce[[#This Row],[Brand]])</f>
        <v>4260400</v>
      </c>
      <c r="S4129" s="13">
        <f>SUMIF(H:H,Online_eCommerce[[#This Row],[Brand]],M:M)</f>
        <v>5538520</v>
      </c>
      <c r="T4129" s="13">
        <f>SUMIF(N:N,Online_eCommerce[[#This Row],[Assigned Supervisor]],L:L)</f>
        <v>13693220</v>
      </c>
    </row>
    <row r="4130" spans="1:20" x14ac:dyDescent="0.3">
      <c r="A4130" t="s">
        <v>6091</v>
      </c>
      <c r="B4130" t="s">
        <v>139</v>
      </c>
      <c r="C4130" t="s">
        <v>91</v>
      </c>
      <c r="D4130" t="s">
        <v>6064</v>
      </c>
      <c r="E4130" t="s">
        <v>46</v>
      </c>
      <c r="F4130" t="s">
        <v>101</v>
      </c>
      <c r="G4130" t="s">
        <v>66</v>
      </c>
      <c r="H4130" t="s">
        <v>102</v>
      </c>
      <c r="I4130">
        <v>6540</v>
      </c>
      <c r="J4130">
        <v>8502</v>
      </c>
      <c r="K4130">
        <v>3</v>
      </c>
      <c r="L4130">
        <v>19620</v>
      </c>
      <c r="M4130">
        <v>25506</v>
      </c>
      <c r="N4130" t="s">
        <v>22</v>
      </c>
      <c r="O4130">
        <f t="shared" si="128"/>
        <v>1690</v>
      </c>
      <c r="P4130" s="13">
        <f t="shared" si="129"/>
        <v>2731963</v>
      </c>
      <c r="Q4130" s="13">
        <f>SUMIFS(M:M,E:E,Online_eCommerce[[#This Row],[Status]])</f>
        <v>28620410</v>
      </c>
      <c r="R4130" s="13">
        <f>SUMIFS(L:L,H:H,Online_eCommerce[[#This Row],[Brand]])</f>
        <v>2465580</v>
      </c>
      <c r="S4130" s="13">
        <f>SUMIF(H:H,Online_eCommerce[[#This Row],[Brand]],M:M)</f>
        <v>3205254</v>
      </c>
      <c r="T4130" s="13">
        <f>SUMIF(N:N,Online_eCommerce[[#This Row],[Assigned Supervisor]],L:L)</f>
        <v>13693220</v>
      </c>
    </row>
    <row r="4131" spans="1:20" hidden="1" x14ac:dyDescent="0.3">
      <c r="A4131" t="s">
        <v>6092</v>
      </c>
      <c r="B4131" t="s">
        <v>144</v>
      </c>
      <c r="C4131" t="s">
        <v>94</v>
      </c>
      <c r="D4131" t="s">
        <v>6064</v>
      </c>
      <c r="E4131" t="s">
        <v>96</v>
      </c>
      <c r="F4131" t="s">
        <v>107</v>
      </c>
      <c r="G4131" t="s">
        <v>54</v>
      </c>
      <c r="H4131" t="s">
        <v>55</v>
      </c>
      <c r="I4131">
        <v>2680</v>
      </c>
      <c r="J4131">
        <v>3484</v>
      </c>
      <c r="K4131">
        <v>3</v>
      </c>
      <c r="L4131">
        <v>8040</v>
      </c>
      <c r="M4131">
        <v>10452</v>
      </c>
      <c r="N4131" t="s">
        <v>22</v>
      </c>
      <c r="O4131">
        <f t="shared" si="128"/>
        <v>2990</v>
      </c>
      <c r="P4131" s="13">
        <f t="shared" si="129"/>
        <v>1868256</v>
      </c>
      <c r="Q4131" s="13">
        <f>SUMIFS(M:M,E:E,Online_eCommerce[[#This Row],[Status]])</f>
        <v>21233992</v>
      </c>
      <c r="R4131" s="13">
        <f>SUMIFS(L:L,H:H,Online_eCommerce[[#This Row],[Brand]])</f>
        <v>2267380</v>
      </c>
      <c r="S4131" s="13">
        <f>SUMIF(H:H,Online_eCommerce[[#This Row],[Brand]],M:M)</f>
        <v>2947594</v>
      </c>
      <c r="T4131" s="13">
        <f>SUMIF(N:N,Online_eCommerce[[#This Row],[Assigned Supervisor]],L:L)</f>
        <v>13693220</v>
      </c>
    </row>
    <row r="4132" spans="1:20" hidden="1" x14ac:dyDescent="0.3">
      <c r="A4132" t="s">
        <v>6093</v>
      </c>
      <c r="B4132" t="s">
        <v>149</v>
      </c>
      <c r="C4132" t="s">
        <v>99</v>
      </c>
      <c r="D4132" t="s">
        <v>6064</v>
      </c>
      <c r="E4132" t="s">
        <v>18</v>
      </c>
      <c r="F4132" t="s">
        <v>112</v>
      </c>
      <c r="G4132" t="s">
        <v>71</v>
      </c>
      <c r="H4132" t="s">
        <v>21</v>
      </c>
      <c r="I4132">
        <v>8250</v>
      </c>
      <c r="J4132">
        <v>10725</v>
      </c>
      <c r="K4132">
        <v>1</v>
      </c>
      <c r="L4132">
        <v>8250</v>
      </c>
      <c r="M4132">
        <v>10725</v>
      </c>
      <c r="N4132" t="s">
        <v>22</v>
      </c>
      <c r="O4132">
        <f t="shared" si="128"/>
        <v>9750</v>
      </c>
      <c r="P4132" s="13">
        <f t="shared" si="129"/>
        <v>2651233</v>
      </c>
      <c r="Q4132" s="13">
        <f>SUMIFS(M:M,E:E,Online_eCommerce[[#This Row],[Status]])</f>
        <v>28340455</v>
      </c>
      <c r="R4132" s="13">
        <f>SUMIFS(L:L,H:H,Online_eCommerce[[#This Row],[Brand]])</f>
        <v>12435650</v>
      </c>
      <c r="S4132" s="13">
        <f>SUMIF(H:H,Online_eCommerce[[#This Row],[Brand]],M:M)</f>
        <v>16166345</v>
      </c>
      <c r="T4132" s="13">
        <f>SUMIF(N:N,Online_eCommerce[[#This Row],[Assigned Supervisor]],L:L)</f>
        <v>13693220</v>
      </c>
    </row>
    <row r="4133" spans="1:20" hidden="1" x14ac:dyDescent="0.3">
      <c r="A4133" t="s">
        <v>6094</v>
      </c>
      <c r="B4133" t="s">
        <v>154</v>
      </c>
      <c r="C4133" t="s">
        <v>105</v>
      </c>
      <c r="D4133" t="s">
        <v>6064</v>
      </c>
      <c r="E4133" t="s">
        <v>161</v>
      </c>
      <c r="F4133" t="s">
        <v>5731</v>
      </c>
      <c r="G4133" t="s">
        <v>40</v>
      </c>
      <c r="H4133" t="s">
        <v>21</v>
      </c>
      <c r="I4133">
        <v>2650</v>
      </c>
      <c r="J4133">
        <v>3445</v>
      </c>
      <c r="K4133">
        <v>1</v>
      </c>
      <c r="L4133">
        <v>2650</v>
      </c>
      <c r="M4133">
        <v>3445</v>
      </c>
      <c r="N4133" t="s">
        <v>22</v>
      </c>
      <c r="O4133">
        <f t="shared" si="128"/>
        <v>25545</v>
      </c>
      <c r="P4133" s="13">
        <f t="shared" si="129"/>
        <v>1866852</v>
      </c>
      <c r="Q4133" s="13">
        <f>SUMIFS(M:M,E:E,Online_eCommerce[[#This Row],[Status]])</f>
        <v>21103186</v>
      </c>
      <c r="R4133" s="13">
        <f>SUMIFS(L:L,H:H,Online_eCommerce[[#This Row],[Brand]])</f>
        <v>12435650</v>
      </c>
      <c r="S4133" s="13">
        <f>SUMIF(H:H,Online_eCommerce[[#This Row],[Brand]],M:M)</f>
        <v>16166345</v>
      </c>
      <c r="T4133" s="13">
        <f>SUMIF(N:N,Online_eCommerce[[#This Row],[Assigned Supervisor]],L:L)</f>
        <v>13693220</v>
      </c>
    </row>
    <row r="4134" spans="1:20" x14ac:dyDescent="0.3">
      <c r="A4134" t="s">
        <v>6095</v>
      </c>
      <c r="B4134" t="s">
        <v>159</v>
      </c>
      <c r="C4134" t="s">
        <v>110</v>
      </c>
      <c r="D4134" t="s">
        <v>6064</v>
      </c>
      <c r="E4134" t="s">
        <v>46</v>
      </c>
      <c r="F4134" t="s">
        <v>121</v>
      </c>
      <c r="G4134" t="s">
        <v>71</v>
      </c>
      <c r="H4134" t="s">
        <v>122</v>
      </c>
      <c r="I4134">
        <v>12550</v>
      </c>
      <c r="J4134">
        <v>16315</v>
      </c>
      <c r="K4134">
        <v>3</v>
      </c>
      <c r="L4134">
        <v>37650</v>
      </c>
      <c r="M4134">
        <v>48945</v>
      </c>
      <c r="N4134" t="s">
        <v>22</v>
      </c>
      <c r="O4134">
        <f t="shared" si="128"/>
        <v>9750</v>
      </c>
      <c r="P4134" s="13">
        <f t="shared" si="129"/>
        <v>2598635</v>
      </c>
      <c r="Q4134" s="13">
        <f>SUMIFS(M:M,E:E,Online_eCommerce[[#This Row],[Status]])</f>
        <v>28620410</v>
      </c>
      <c r="R4134" s="13">
        <f>SUMIFS(L:L,H:H,Online_eCommerce[[#This Row],[Brand]])</f>
        <v>5045100</v>
      </c>
      <c r="S4134" s="13">
        <f>SUMIF(H:H,Online_eCommerce[[#This Row],[Brand]],M:M)</f>
        <v>6558630</v>
      </c>
      <c r="T4134" s="13">
        <f>SUMIF(N:N,Online_eCommerce[[#This Row],[Assigned Supervisor]],L:L)</f>
        <v>13693220</v>
      </c>
    </row>
    <row r="4135" spans="1:20" hidden="1" x14ac:dyDescent="0.3">
      <c r="A4135" t="s">
        <v>6096</v>
      </c>
      <c r="B4135" t="s">
        <v>139</v>
      </c>
      <c r="C4135" t="s">
        <v>115</v>
      </c>
      <c r="D4135" t="s">
        <v>6064</v>
      </c>
      <c r="E4135" t="s">
        <v>96</v>
      </c>
      <c r="F4135" t="s">
        <v>126</v>
      </c>
      <c r="G4135" t="s">
        <v>26</v>
      </c>
      <c r="H4135" t="s">
        <v>27</v>
      </c>
      <c r="I4135">
        <v>14500</v>
      </c>
      <c r="J4135">
        <v>18850</v>
      </c>
      <c r="K4135">
        <v>1</v>
      </c>
      <c r="L4135">
        <v>14500</v>
      </c>
      <c r="M4135">
        <v>18850</v>
      </c>
      <c r="N4135" t="s">
        <v>22</v>
      </c>
      <c r="O4135">
        <f t="shared" si="128"/>
        <v>33150</v>
      </c>
      <c r="P4135" s="13">
        <f t="shared" si="129"/>
        <v>2050178</v>
      </c>
      <c r="Q4135" s="13">
        <f>SUMIFS(M:M,E:E,Online_eCommerce[[#This Row],[Status]])</f>
        <v>21233992</v>
      </c>
      <c r="R4135" s="13">
        <f>SUMIFS(L:L,H:H,Online_eCommerce[[#This Row],[Brand]])</f>
        <v>14431000</v>
      </c>
      <c r="S4135" s="13">
        <f>SUMIF(H:H,Online_eCommerce[[#This Row],[Brand]],M:M)</f>
        <v>18760300</v>
      </c>
      <c r="T4135" s="13">
        <f>SUMIF(N:N,Online_eCommerce[[#This Row],[Assigned Supervisor]],L:L)</f>
        <v>13693220</v>
      </c>
    </row>
    <row r="4136" spans="1:20" hidden="1" x14ac:dyDescent="0.3">
      <c r="A4136" t="s">
        <v>6097</v>
      </c>
      <c r="B4136" t="s">
        <v>144</v>
      </c>
      <c r="C4136" t="s">
        <v>120</v>
      </c>
      <c r="D4136" t="s">
        <v>6064</v>
      </c>
      <c r="E4136" t="s">
        <v>18</v>
      </c>
      <c r="F4136" t="s">
        <v>129</v>
      </c>
      <c r="G4136" t="s">
        <v>60</v>
      </c>
      <c r="H4136" t="s">
        <v>61</v>
      </c>
      <c r="I4136">
        <v>800</v>
      </c>
      <c r="J4136">
        <v>1040</v>
      </c>
      <c r="K4136">
        <v>3</v>
      </c>
      <c r="L4136">
        <v>2400</v>
      </c>
      <c r="M4136">
        <v>3120</v>
      </c>
      <c r="N4136" t="s">
        <v>22</v>
      </c>
      <c r="O4136">
        <f t="shared" si="128"/>
        <v>3315</v>
      </c>
      <c r="P4136" s="13">
        <f t="shared" si="129"/>
        <v>2734212</v>
      </c>
      <c r="Q4136" s="13">
        <f>SUMIFS(M:M,E:E,Online_eCommerce[[#This Row],[Status]])</f>
        <v>28340455</v>
      </c>
      <c r="R4136" s="13">
        <f>SUMIFS(L:L,H:H,Online_eCommerce[[#This Row],[Brand]])</f>
        <v>10950150</v>
      </c>
      <c r="S4136" s="13">
        <f>SUMIF(H:H,Online_eCommerce[[#This Row],[Brand]],M:M)</f>
        <v>14235195</v>
      </c>
      <c r="T4136" s="13">
        <f>SUMIF(N:N,Online_eCommerce[[#This Row],[Assigned Supervisor]],L:L)</f>
        <v>13693220</v>
      </c>
    </row>
    <row r="4137" spans="1:20" hidden="1" x14ac:dyDescent="0.3">
      <c r="A4137" t="s">
        <v>6098</v>
      </c>
      <c r="B4137" t="s">
        <v>235</v>
      </c>
      <c r="C4137" t="s">
        <v>125</v>
      </c>
      <c r="D4137" t="s">
        <v>6064</v>
      </c>
      <c r="E4137" t="s">
        <v>161</v>
      </c>
      <c r="F4137" t="s">
        <v>133</v>
      </c>
      <c r="G4137" t="s">
        <v>66</v>
      </c>
      <c r="H4137" t="s">
        <v>21</v>
      </c>
      <c r="I4137">
        <v>600</v>
      </c>
      <c r="J4137">
        <v>780</v>
      </c>
      <c r="K4137">
        <v>1</v>
      </c>
      <c r="L4137">
        <v>600</v>
      </c>
      <c r="M4137">
        <v>780</v>
      </c>
      <c r="N4137" t="s">
        <v>22</v>
      </c>
      <c r="O4137">
        <f t="shared" si="128"/>
        <v>1690</v>
      </c>
      <c r="P4137" s="13">
        <f t="shared" si="129"/>
        <v>2091154</v>
      </c>
      <c r="Q4137" s="13">
        <f>SUMIFS(M:M,E:E,Online_eCommerce[[#This Row],[Status]])</f>
        <v>21103186</v>
      </c>
      <c r="R4137" s="13">
        <f>SUMIFS(L:L,H:H,Online_eCommerce[[#This Row],[Brand]])</f>
        <v>12435650</v>
      </c>
      <c r="S4137" s="13">
        <f>SUMIF(H:H,Online_eCommerce[[#This Row],[Brand]],M:M)</f>
        <v>16166345</v>
      </c>
      <c r="T4137" s="13">
        <f>SUMIF(N:N,Online_eCommerce[[#This Row],[Assigned Supervisor]],L:L)</f>
        <v>13693220</v>
      </c>
    </row>
    <row r="4138" spans="1:20" x14ac:dyDescent="0.3">
      <c r="A4138" t="s">
        <v>6099</v>
      </c>
      <c r="B4138" t="s">
        <v>176</v>
      </c>
      <c r="C4138" t="s">
        <v>22</v>
      </c>
      <c r="D4138" t="s">
        <v>6100</v>
      </c>
      <c r="E4138" t="s">
        <v>46</v>
      </c>
      <c r="F4138" t="s">
        <v>137</v>
      </c>
      <c r="G4138" t="s">
        <v>71</v>
      </c>
      <c r="H4138" t="s">
        <v>61</v>
      </c>
      <c r="I4138">
        <v>10500</v>
      </c>
      <c r="J4138">
        <v>13650</v>
      </c>
      <c r="K4138">
        <v>1</v>
      </c>
      <c r="L4138">
        <v>10500</v>
      </c>
      <c r="M4138">
        <v>13650</v>
      </c>
      <c r="N4138" t="s">
        <v>22</v>
      </c>
      <c r="O4138">
        <f t="shared" si="128"/>
        <v>9750</v>
      </c>
      <c r="P4138" s="13">
        <f t="shared" si="129"/>
        <v>2551588</v>
      </c>
      <c r="Q4138" s="13">
        <f>SUMIFS(M:M,E:E,Online_eCommerce[[#This Row],[Status]])</f>
        <v>28620410</v>
      </c>
      <c r="R4138" s="13">
        <f>SUMIFS(L:L,H:H,Online_eCommerce[[#This Row],[Brand]])</f>
        <v>10950150</v>
      </c>
      <c r="S4138" s="13">
        <f>SUMIF(H:H,Online_eCommerce[[#This Row],[Brand]],M:M)</f>
        <v>14235195</v>
      </c>
      <c r="T4138" s="13">
        <f>SUMIF(N:N,Online_eCommerce[[#This Row],[Assigned Supervisor]],L:L)</f>
        <v>13693220</v>
      </c>
    </row>
    <row r="4139" spans="1:20" hidden="1" x14ac:dyDescent="0.3">
      <c r="A4139" t="s">
        <v>6101</v>
      </c>
      <c r="B4139" t="s">
        <v>276</v>
      </c>
      <c r="C4139" t="s">
        <v>132</v>
      </c>
      <c r="D4139" t="s">
        <v>6102</v>
      </c>
      <c r="E4139" t="s">
        <v>96</v>
      </c>
      <c r="F4139" t="s">
        <v>6071</v>
      </c>
      <c r="G4139" t="s">
        <v>77</v>
      </c>
      <c r="H4139" t="s">
        <v>142</v>
      </c>
      <c r="I4139">
        <v>6500</v>
      </c>
      <c r="J4139">
        <v>8450</v>
      </c>
      <c r="K4139">
        <v>2</v>
      </c>
      <c r="L4139">
        <v>13000</v>
      </c>
      <c r="M4139">
        <v>16900</v>
      </c>
      <c r="N4139" t="s">
        <v>22</v>
      </c>
      <c r="O4139">
        <f t="shared" si="128"/>
        <v>39000</v>
      </c>
      <c r="P4139" s="13">
        <f t="shared" si="129"/>
        <v>1989065</v>
      </c>
      <c r="Q4139" s="13">
        <f>SUMIFS(M:M,E:E,Online_eCommerce[[#This Row],[Status]])</f>
        <v>21233992</v>
      </c>
      <c r="R4139" s="13">
        <f>SUMIFS(L:L,H:H,Online_eCommerce[[#This Row],[Brand]])</f>
        <v>6192500</v>
      </c>
      <c r="S4139" s="13">
        <f>SUMIF(H:H,Online_eCommerce[[#This Row],[Brand]],M:M)</f>
        <v>8050250</v>
      </c>
      <c r="T4139" s="13">
        <f>SUMIF(N:N,Online_eCommerce[[#This Row],[Assigned Supervisor]],L:L)</f>
        <v>13693220</v>
      </c>
    </row>
    <row r="4140" spans="1:20" hidden="1" x14ac:dyDescent="0.3">
      <c r="A4140" t="s">
        <v>6103</v>
      </c>
      <c r="B4140" t="s">
        <v>280</v>
      </c>
      <c r="C4140" t="s">
        <v>136</v>
      </c>
      <c r="D4140" t="s">
        <v>6104</v>
      </c>
      <c r="E4140" t="s">
        <v>18</v>
      </c>
      <c r="F4140" t="s">
        <v>6105</v>
      </c>
      <c r="G4140" t="s">
        <v>20</v>
      </c>
      <c r="H4140" t="s">
        <v>21</v>
      </c>
      <c r="I4140">
        <v>4500</v>
      </c>
      <c r="J4140">
        <v>5850</v>
      </c>
      <c r="K4140">
        <v>2</v>
      </c>
      <c r="L4140">
        <v>9000</v>
      </c>
      <c r="M4140">
        <v>11700</v>
      </c>
      <c r="N4140" t="s">
        <v>22</v>
      </c>
      <c r="O4140">
        <f t="shared" si="128"/>
        <v>8450</v>
      </c>
      <c r="P4140" s="13">
        <f t="shared" si="129"/>
        <v>2775162</v>
      </c>
      <c r="Q4140" s="13">
        <f>SUMIFS(M:M,E:E,Online_eCommerce[[#This Row],[Status]])</f>
        <v>28340455</v>
      </c>
      <c r="R4140" s="13">
        <f>SUMIFS(L:L,H:H,Online_eCommerce[[#This Row],[Brand]])</f>
        <v>12435650</v>
      </c>
      <c r="S4140" s="13">
        <f>SUMIF(H:H,Online_eCommerce[[#This Row],[Brand]],M:M)</f>
        <v>16166345</v>
      </c>
      <c r="T4140" s="13">
        <f>SUMIF(N:N,Online_eCommerce[[#This Row],[Assigned Supervisor]],L:L)</f>
        <v>13693220</v>
      </c>
    </row>
    <row r="4141" spans="1:20" hidden="1" x14ac:dyDescent="0.3">
      <c r="A4141" t="s">
        <v>6106</v>
      </c>
      <c r="B4141" t="s">
        <v>283</v>
      </c>
      <c r="C4141" t="s">
        <v>140</v>
      </c>
      <c r="D4141" t="s">
        <v>6107</v>
      </c>
      <c r="E4141" t="s">
        <v>161</v>
      </c>
      <c r="F4141" t="s">
        <v>152</v>
      </c>
      <c r="G4141" t="s">
        <v>26</v>
      </c>
      <c r="H4141" t="s">
        <v>27</v>
      </c>
      <c r="I4141">
        <v>8500</v>
      </c>
      <c r="J4141">
        <v>11050</v>
      </c>
      <c r="K4141">
        <v>2</v>
      </c>
      <c r="L4141">
        <v>17000</v>
      </c>
      <c r="M4141">
        <v>22100</v>
      </c>
      <c r="N4141" t="s">
        <v>22</v>
      </c>
      <c r="O4141">
        <f t="shared" si="128"/>
        <v>33150</v>
      </c>
      <c r="P4141" s="13">
        <f t="shared" si="129"/>
        <v>2058264</v>
      </c>
      <c r="Q4141" s="13">
        <f>SUMIFS(M:M,E:E,Online_eCommerce[[#This Row],[Status]])</f>
        <v>21103186</v>
      </c>
      <c r="R4141" s="13">
        <f>SUMIFS(L:L,H:H,Online_eCommerce[[#This Row],[Brand]])</f>
        <v>14431000</v>
      </c>
      <c r="S4141" s="13">
        <f>SUMIF(H:H,Online_eCommerce[[#This Row],[Brand]],M:M)</f>
        <v>18760300</v>
      </c>
      <c r="T4141" s="13">
        <f>SUMIF(N:N,Online_eCommerce[[#This Row],[Assigned Supervisor]],L:L)</f>
        <v>13693220</v>
      </c>
    </row>
    <row r="4142" spans="1:20" x14ac:dyDescent="0.3">
      <c r="A4142" t="s">
        <v>6108</v>
      </c>
      <c r="B4142" t="s">
        <v>287</v>
      </c>
      <c r="C4142" t="s">
        <v>145</v>
      </c>
      <c r="D4142" t="s">
        <v>6109</v>
      </c>
      <c r="E4142" t="s">
        <v>46</v>
      </c>
      <c r="F4142" t="s">
        <v>157</v>
      </c>
      <c r="G4142" t="s">
        <v>33</v>
      </c>
      <c r="H4142" t="s">
        <v>34</v>
      </c>
      <c r="I4142">
        <v>12500</v>
      </c>
      <c r="J4142">
        <v>16250</v>
      </c>
      <c r="K4142">
        <v>4</v>
      </c>
      <c r="L4142">
        <v>50000</v>
      </c>
      <c r="M4142">
        <v>65000</v>
      </c>
      <c r="N4142" t="s">
        <v>22</v>
      </c>
      <c r="O4142">
        <f t="shared" si="128"/>
        <v>18200</v>
      </c>
      <c r="P4142" s="13">
        <f t="shared" si="129"/>
        <v>2757859</v>
      </c>
      <c r="Q4142" s="13">
        <f>SUMIFS(M:M,E:E,Online_eCommerce[[#This Row],[Status]])</f>
        <v>28620410</v>
      </c>
      <c r="R4142" s="13">
        <f>SUMIFS(L:L,H:H,Online_eCommerce[[#This Row],[Brand]])</f>
        <v>10087000</v>
      </c>
      <c r="S4142" s="13">
        <f>SUMIF(H:H,Online_eCommerce[[#This Row],[Brand]],M:M)</f>
        <v>13113100</v>
      </c>
      <c r="T4142" s="13">
        <f>SUMIF(N:N,Online_eCommerce[[#This Row],[Assigned Supervisor]],L:L)</f>
        <v>13693220</v>
      </c>
    </row>
    <row r="4143" spans="1:20" hidden="1" x14ac:dyDescent="0.3">
      <c r="A4143" t="s">
        <v>6110</v>
      </c>
      <c r="B4143" t="s">
        <v>290</v>
      </c>
      <c r="C4143" t="s">
        <v>150</v>
      </c>
      <c r="D4143" t="s">
        <v>6111</v>
      </c>
      <c r="E4143" t="s">
        <v>96</v>
      </c>
      <c r="F4143" t="s">
        <v>5774</v>
      </c>
      <c r="G4143" t="s">
        <v>256</v>
      </c>
      <c r="H4143" t="s">
        <v>41</v>
      </c>
      <c r="I4143">
        <v>3500</v>
      </c>
      <c r="J4143">
        <v>4550</v>
      </c>
      <c r="K4143">
        <v>3</v>
      </c>
      <c r="L4143">
        <v>10500</v>
      </c>
      <c r="M4143">
        <v>13650</v>
      </c>
      <c r="N4143" t="s">
        <v>28</v>
      </c>
      <c r="O4143">
        <f t="shared" si="128"/>
        <v>9100</v>
      </c>
      <c r="P4143" s="13">
        <f t="shared" si="129"/>
        <v>2154984</v>
      </c>
      <c r="Q4143" s="13">
        <f>SUMIFS(M:M,E:E,Online_eCommerce[[#This Row],[Status]])</f>
        <v>21233992</v>
      </c>
      <c r="R4143" s="13">
        <f>SUMIFS(L:L,H:H,Online_eCommerce[[#This Row],[Brand]])</f>
        <v>4260400</v>
      </c>
      <c r="S4143" s="13">
        <f>SUMIF(H:H,Online_eCommerce[[#This Row],[Brand]],M:M)</f>
        <v>5538520</v>
      </c>
      <c r="T4143" s="13">
        <f>SUMIF(N:N,Online_eCommerce[[#This Row],[Assigned Supervisor]],L:L)</f>
        <v>12220830</v>
      </c>
    </row>
    <row r="4144" spans="1:20" hidden="1" x14ac:dyDescent="0.3">
      <c r="A4144" t="s">
        <v>6112</v>
      </c>
      <c r="B4144" t="s">
        <v>15</v>
      </c>
      <c r="C4144" t="s">
        <v>155</v>
      </c>
      <c r="D4144" t="s">
        <v>6111</v>
      </c>
      <c r="E4144" t="s">
        <v>18</v>
      </c>
      <c r="F4144" t="s">
        <v>166</v>
      </c>
      <c r="G4144" t="s">
        <v>259</v>
      </c>
      <c r="H4144" t="s">
        <v>49</v>
      </c>
      <c r="I4144">
        <v>4500</v>
      </c>
      <c r="J4144">
        <v>5850</v>
      </c>
      <c r="K4144">
        <v>2</v>
      </c>
      <c r="L4144">
        <v>9000</v>
      </c>
      <c r="M4144">
        <v>11700</v>
      </c>
      <c r="N4144" t="s">
        <v>35</v>
      </c>
      <c r="O4144">
        <f t="shared" si="128"/>
        <v>11700</v>
      </c>
      <c r="P4144" s="13">
        <f t="shared" si="129"/>
        <v>2753348</v>
      </c>
      <c r="Q4144" s="13">
        <f>SUMIFS(M:M,E:E,Online_eCommerce[[#This Row],[Status]])</f>
        <v>28340455</v>
      </c>
      <c r="R4144" s="13">
        <f>SUMIFS(L:L,H:H,Online_eCommerce[[#This Row],[Brand]])</f>
        <v>4528350</v>
      </c>
      <c r="S4144" s="13">
        <f>SUMIF(H:H,Online_eCommerce[[#This Row],[Brand]],M:M)</f>
        <v>5886855</v>
      </c>
      <c r="T4144" s="13">
        <f>SUMIF(N:N,Online_eCommerce[[#This Row],[Assigned Supervisor]],L:L)</f>
        <v>14373360</v>
      </c>
    </row>
    <row r="4145" spans="1:20" hidden="1" x14ac:dyDescent="0.3">
      <c r="A4145" t="s">
        <v>6113</v>
      </c>
      <c r="B4145" t="s">
        <v>202</v>
      </c>
      <c r="C4145" t="s">
        <v>160</v>
      </c>
      <c r="D4145" t="s">
        <v>6111</v>
      </c>
      <c r="E4145" t="s">
        <v>161</v>
      </c>
      <c r="F4145" t="s">
        <v>6114</v>
      </c>
      <c r="G4145" t="s">
        <v>54</v>
      </c>
      <c r="H4145" t="s">
        <v>55</v>
      </c>
      <c r="I4145">
        <v>2100</v>
      </c>
      <c r="J4145">
        <v>2730</v>
      </c>
      <c r="K4145">
        <v>1</v>
      </c>
      <c r="L4145">
        <v>2100</v>
      </c>
      <c r="M4145">
        <v>2730</v>
      </c>
      <c r="N4145" t="s">
        <v>42</v>
      </c>
      <c r="O4145">
        <f t="shared" si="128"/>
        <v>2990</v>
      </c>
      <c r="P4145" s="13">
        <f t="shared" si="129"/>
        <v>2303483</v>
      </c>
      <c r="Q4145" s="13">
        <f>SUMIFS(M:M,E:E,Online_eCommerce[[#This Row],[Status]])</f>
        <v>21103186</v>
      </c>
      <c r="R4145" s="13">
        <f>SUMIFS(L:L,H:H,Online_eCommerce[[#This Row],[Brand]])</f>
        <v>2267380</v>
      </c>
      <c r="S4145" s="13">
        <f>SUMIF(H:H,Online_eCommerce[[#This Row],[Brand]],M:M)</f>
        <v>2947594</v>
      </c>
      <c r="T4145" s="13">
        <f>SUMIF(N:N,Online_eCommerce[[#This Row],[Assigned Supervisor]],L:L)</f>
        <v>12261500</v>
      </c>
    </row>
    <row r="4146" spans="1:20" x14ac:dyDescent="0.3">
      <c r="A4146" t="s">
        <v>6115</v>
      </c>
      <c r="B4146" t="s">
        <v>30</v>
      </c>
      <c r="C4146" t="s">
        <v>165</v>
      </c>
      <c r="D4146" t="s">
        <v>6111</v>
      </c>
      <c r="E4146" t="s">
        <v>46</v>
      </c>
      <c r="F4146" t="s">
        <v>174</v>
      </c>
      <c r="G4146" t="s">
        <v>60</v>
      </c>
      <c r="H4146" t="s">
        <v>61</v>
      </c>
      <c r="I4146">
        <v>1150</v>
      </c>
      <c r="J4146">
        <v>1495</v>
      </c>
      <c r="K4146">
        <v>4</v>
      </c>
      <c r="L4146">
        <v>4600</v>
      </c>
      <c r="M4146">
        <v>5980</v>
      </c>
      <c r="N4146" t="s">
        <v>50</v>
      </c>
      <c r="O4146">
        <f t="shared" si="128"/>
        <v>3315</v>
      </c>
      <c r="P4146" s="13">
        <f t="shared" si="129"/>
        <v>2674087</v>
      </c>
      <c r="Q4146" s="13">
        <f>SUMIFS(M:M,E:E,Online_eCommerce[[#This Row],[Status]])</f>
        <v>28620410</v>
      </c>
      <c r="R4146" s="13">
        <f>SUMIFS(L:L,H:H,Online_eCommerce[[#This Row],[Brand]])</f>
        <v>10950150</v>
      </c>
      <c r="S4146" s="13">
        <f>SUMIF(H:H,Online_eCommerce[[#This Row],[Brand]],M:M)</f>
        <v>14235195</v>
      </c>
      <c r="T4146" s="13">
        <f>SUMIF(N:N,Online_eCommerce[[#This Row],[Assigned Supervisor]],L:L)</f>
        <v>12100590</v>
      </c>
    </row>
    <row r="4147" spans="1:20" hidden="1" x14ac:dyDescent="0.3">
      <c r="A4147" t="s">
        <v>6116</v>
      </c>
      <c r="B4147" t="s">
        <v>37</v>
      </c>
      <c r="C4147" t="s">
        <v>168</v>
      </c>
      <c r="D4147" t="s">
        <v>6111</v>
      </c>
      <c r="E4147" t="s">
        <v>96</v>
      </c>
      <c r="F4147" t="s">
        <v>179</v>
      </c>
      <c r="G4147" t="s">
        <v>66</v>
      </c>
      <c r="H4147" t="s">
        <v>21</v>
      </c>
      <c r="I4147">
        <v>350</v>
      </c>
      <c r="J4147">
        <v>455</v>
      </c>
      <c r="K4147">
        <v>3</v>
      </c>
      <c r="L4147">
        <v>1050</v>
      </c>
      <c r="M4147">
        <v>1365</v>
      </c>
      <c r="N4147" t="s">
        <v>56</v>
      </c>
      <c r="O4147">
        <f t="shared" si="128"/>
        <v>1690</v>
      </c>
      <c r="P4147" s="13">
        <f t="shared" si="129"/>
        <v>1937780</v>
      </c>
      <c r="Q4147" s="13">
        <f>SUMIFS(M:M,E:E,Online_eCommerce[[#This Row],[Status]])</f>
        <v>21233992</v>
      </c>
      <c r="R4147" s="13">
        <f>SUMIFS(L:L,H:H,Online_eCommerce[[#This Row],[Brand]])</f>
        <v>12435650</v>
      </c>
      <c r="S4147" s="13">
        <f>SUMIF(H:H,Online_eCommerce[[#This Row],[Brand]],M:M)</f>
        <v>16166345</v>
      </c>
      <c r="T4147" s="13">
        <f>SUMIF(N:N,Online_eCommerce[[#This Row],[Assigned Supervisor]],L:L)</f>
        <v>11733610</v>
      </c>
    </row>
    <row r="4148" spans="1:20" hidden="1" x14ac:dyDescent="0.3">
      <c r="A4148" t="s">
        <v>6117</v>
      </c>
      <c r="B4148" t="s">
        <v>44</v>
      </c>
      <c r="C4148" t="s">
        <v>172</v>
      </c>
      <c r="D4148" t="s">
        <v>6111</v>
      </c>
      <c r="E4148" t="s">
        <v>18</v>
      </c>
      <c r="F4148" t="s">
        <v>183</v>
      </c>
      <c r="G4148" t="s">
        <v>71</v>
      </c>
      <c r="H4148" t="s">
        <v>61</v>
      </c>
      <c r="I4148">
        <v>9500</v>
      </c>
      <c r="J4148">
        <v>12350</v>
      </c>
      <c r="K4148">
        <v>1</v>
      </c>
      <c r="L4148">
        <v>9500</v>
      </c>
      <c r="M4148">
        <v>12350</v>
      </c>
      <c r="N4148" t="s">
        <v>22</v>
      </c>
      <c r="O4148">
        <f t="shared" si="128"/>
        <v>9750</v>
      </c>
      <c r="P4148" s="13">
        <f t="shared" si="129"/>
        <v>2640274</v>
      </c>
      <c r="Q4148" s="13">
        <f>SUMIFS(M:M,E:E,Online_eCommerce[[#This Row],[Status]])</f>
        <v>28340455</v>
      </c>
      <c r="R4148" s="13">
        <f>SUMIFS(L:L,H:H,Online_eCommerce[[#This Row],[Brand]])</f>
        <v>10950150</v>
      </c>
      <c r="S4148" s="13">
        <f>SUMIF(H:H,Online_eCommerce[[#This Row],[Brand]],M:M)</f>
        <v>14235195</v>
      </c>
      <c r="T4148" s="13">
        <f>SUMIF(N:N,Online_eCommerce[[#This Row],[Assigned Supervisor]],L:L)</f>
        <v>13693220</v>
      </c>
    </row>
    <row r="4149" spans="1:20" hidden="1" x14ac:dyDescent="0.3">
      <c r="A4149" t="s">
        <v>6118</v>
      </c>
      <c r="B4149" t="s">
        <v>213</v>
      </c>
      <c r="C4149" t="s">
        <v>177</v>
      </c>
      <c r="D4149" t="s">
        <v>6111</v>
      </c>
      <c r="E4149" t="s">
        <v>161</v>
      </c>
      <c r="F4149" t="s">
        <v>6119</v>
      </c>
      <c r="G4149" t="s">
        <v>77</v>
      </c>
      <c r="H4149" t="s">
        <v>142</v>
      </c>
      <c r="I4149">
        <v>10000</v>
      </c>
      <c r="J4149">
        <v>13000</v>
      </c>
      <c r="K4149">
        <v>3</v>
      </c>
      <c r="L4149">
        <v>30000</v>
      </c>
      <c r="M4149">
        <v>39000</v>
      </c>
      <c r="N4149" t="s">
        <v>28</v>
      </c>
      <c r="O4149">
        <f t="shared" si="128"/>
        <v>39000</v>
      </c>
      <c r="P4149" s="13">
        <f t="shared" si="129"/>
        <v>1863810</v>
      </c>
      <c r="Q4149" s="13">
        <f>SUMIFS(M:M,E:E,Online_eCommerce[[#This Row],[Status]])</f>
        <v>21103186</v>
      </c>
      <c r="R4149" s="13">
        <f>SUMIFS(L:L,H:H,Online_eCommerce[[#This Row],[Brand]])</f>
        <v>6192500</v>
      </c>
      <c r="S4149" s="13">
        <f>SUMIF(H:H,Online_eCommerce[[#This Row],[Brand]],M:M)</f>
        <v>8050250</v>
      </c>
      <c r="T4149" s="13">
        <f>SUMIF(N:N,Online_eCommerce[[#This Row],[Assigned Supervisor]],L:L)</f>
        <v>12220830</v>
      </c>
    </row>
    <row r="4150" spans="1:20" x14ac:dyDescent="0.3">
      <c r="A4150" t="s">
        <v>6120</v>
      </c>
      <c r="B4150" t="s">
        <v>215</v>
      </c>
      <c r="C4150" t="s">
        <v>181</v>
      </c>
      <c r="D4150" t="s">
        <v>6111</v>
      </c>
      <c r="E4150" t="s">
        <v>46</v>
      </c>
      <c r="F4150" t="s">
        <v>6121</v>
      </c>
      <c r="G4150" t="s">
        <v>20</v>
      </c>
      <c r="H4150" t="s">
        <v>21</v>
      </c>
      <c r="I4150">
        <v>6500</v>
      </c>
      <c r="J4150">
        <v>8450</v>
      </c>
      <c r="K4150">
        <v>2</v>
      </c>
      <c r="L4150">
        <v>13000</v>
      </c>
      <c r="M4150">
        <v>16900</v>
      </c>
      <c r="N4150" t="s">
        <v>35</v>
      </c>
      <c r="O4150">
        <f t="shared" si="128"/>
        <v>8450</v>
      </c>
      <c r="P4150" s="13">
        <f t="shared" si="129"/>
        <v>2577458</v>
      </c>
      <c r="Q4150" s="13">
        <f>SUMIFS(M:M,E:E,Online_eCommerce[[#This Row],[Status]])</f>
        <v>28620410</v>
      </c>
      <c r="R4150" s="13">
        <f>SUMIFS(L:L,H:H,Online_eCommerce[[#This Row],[Brand]])</f>
        <v>12435650</v>
      </c>
      <c r="S4150" s="13">
        <f>SUMIF(H:H,Online_eCommerce[[#This Row],[Brand]],M:M)</f>
        <v>16166345</v>
      </c>
      <c r="T4150" s="13">
        <f>SUMIF(N:N,Online_eCommerce[[#This Row],[Assigned Supervisor]],L:L)</f>
        <v>14373360</v>
      </c>
    </row>
    <row r="4151" spans="1:20" hidden="1" x14ac:dyDescent="0.3">
      <c r="A4151" t="s">
        <v>6122</v>
      </c>
      <c r="B4151" t="s">
        <v>306</v>
      </c>
      <c r="C4151" t="s">
        <v>185</v>
      </c>
      <c r="D4151" t="s">
        <v>6111</v>
      </c>
      <c r="E4151" t="s">
        <v>96</v>
      </c>
      <c r="F4151" t="s">
        <v>6123</v>
      </c>
      <c r="G4151" t="s">
        <v>26</v>
      </c>
      <c r="H4151" t="s">
        <v>27</v>
      </c>
      <c r="I4151">
        <v>8500</v>
      </c>
      <c r="J4151">
        <v>11050</v>
      </c>
      <c r="K4151">
        <v>2</v>
      </c>
      <c r="L4151">
        <v>17000</v>
      </c>
      <c r="M4151">
        <v>22100</v>
      </c>
      <c r="N4151" t="s">
        <v>42</v>
      </c>
      <c r="O4151">
        <f t="shared" si="128"/>
        <v>33150</v>
      </c>
      <c r="P4151" s="13">
        <f t="shared" si="129"/>
        <v>2091596</v>
      </c>
      <c r="Q4151" s="13">
        <f>SUMIFS(M:M,E:E,Online_eCommerce[[#This Row],[Status]])</f>
        <v>21233992</v>
      </c>
      <c r="R4151" s="13">
        <f>SUMIFS(L:L,H:H,Online_eCommerce[[#This Row],[Brand]])</f>
        <v>14431000</v>
      </c>
      <c r="S4151" s="13">
        <f>SUMIF(H:H,Online_eCommerce[[#This Row],[Brand]],M:M)</f>
        <v>18760300</v>
      </c>
      <c r="T4151" s="13">
        <f>SUMIF(N:N,Online_eCommerce[[#This Row],[Assigned Supervisor]],L:L)</f>
        <v>12261500</v>
      </c>
    </row>
    <row r="4152" spans="1:20" hidden="1" x14ac:dyDescent="0.3">
      <c r="A4152" t="s">
        <v>6124</v>
      </c>
      <c r="B4152" t="s">
        <v>528</v>
      </c>
      <c r="C4152" t="s">
        <v>189</v>
      </c>
      <c r="D4152" t="s">
        <v>6111</v>
      </c>
      <c r="E4152" t="s">
        <v>18</v>
      </c>
      <c r="F4152" t="s">
        <v>32</v>
      </c>
      <c r="G4152" t="s">
        <v>33</v>
      </c>
      <c r="H4152" t="s">
        <v>34</v>
      </c>
      <c r="I4152">
        <v>7000</v>
      </c>
      <c r="J4152">
        <v>9100</v>
      </c>
      <c r="K4152">
        <v>3</v>
      </c>
      <c r="L4152">
        <v>21000</v>
      </c>
      <c r="M4152">
        <v>27300</v>
      </c>
      <c r="N4152" t="s">
        <v>50</v>
      </c>
      <c r="O4152">
        <f t="shared" si="128"/>
        <v>18200</v>
      </c>
      <c r="P4152" s="13">
        <f t="shared" si="129"/>
        <v>2740777</v>
      </c>
      <c r="Q4152" s="13">
        <f>SUMIFS(M:M,E:E,Online_eCommerce[[#This Row],[Status]])</f>
        <v>28340455</v>
      </c>
      <c r="R4152" s="13">
        <f>SUMIFS(L:L,H:H,Online_eCommerce[[#This Row],[Brand]])</f>
        <v>10087000</v>
      </c>
      <c r="S4152" s="13">
        <f>SUMIF(H:H,Online_eCommerce[[#This Row],[Brand]],M:M)</f>
        <v>13113100</v>
      </c>
      <c r="T4152" s="13">
        <f>SUMIF(N:N,Online_eCommerce[[#This Row],[Assigned Supervisor]],L:L)</f>
        <v>12100590</v>
      </c>
    </row>
    <row r="4153" spans="1:20" hidden="1" x14ac:dyDescent="0.3">
      <c r="A4153" t="s">
        <v>6125</v>
      </c>
      <c r="B4153" t="s">
        <v>73</v>
      </c>
      <c r="C4153" t="s">
        <v>193</v>
      </c>
      <c r="D4153" t="s">
        <v>6111</v>
      </c>
      <c r="E4153" t="s">
        <v>161</v>
      </c>
      <c r="F4153" t="s">
        <v>6126</v>
      </c>
      <c r="G4153" t="s">
        <v>256</v>
      </c>
      <c r="H4153" t="s">
        <v>41</v>
      </c>
      <c r="I4153">
        <v>6550</v>
      </c>
      <c r="J4153">
        <v>8515</v>
      </c>
      <c r="K4153">
        <v>1</v>
      </c>
      <c r="L4153">
        <v>6550</v>
      </c>
      <c r="M4153">
        <v>8515</v>
      </c>
      <c r="N4153" t="s">
        <v>56</v>
      </c>
      <c r="O4153">
        <f t="shared" si="128"/>
        <v>9100</v>
      </c>
      <c r="P4153" s="13">
        <f t="shared" si="129"/>
        <v>2074774</v>
      </c>
      <c r="Q4153" s="13">
        <f>SUMIFS(M:M,E:E,Online_eCommerce[[#This Row],[Status]])</f>
        <v>21103186</v>
      </c>
      <c r="R4153" s="13">
        <f>SUMIFS(L:L,H:H,Online_eCommerce[[#This Row],[Brand]])</f>
        <v>4260400</v>
      </c>
      <c r="S4153" s="13">
        <f>SUMIF(H:H,Online_eCommerce[[#This Row],[Brand]],M:M)</f>
        <v>5538520</v>
      </c>
      <c r="T4153" s="13">
        <f>SUMIF(N:N,Online_eCommerce[[#This Row],[Assigned Supervisor]],L:L)</f>
        <v>11733610</v>
      </c>
    </row>
    <row r="4154" spans="1:20" x14ac:dyDescent="0.3">
      <c r="A4154" t="s">
        <v>6127</v>
      </c>
      <c r="B4154" t="s">
        <v>80</v>
      </c>
      <c r="C4154" t="s">
        <v>197</v>
      </c>
      <c r="D4154" t="s">
        <v>6111</v>
      </c>
      <c r="E4154" t="s">
        <v>46</v>
      </c>
      <c r="F4154" t="s">
        <v>47</v>
      </c>
      <c r="G4154" t="s">
        <v>259</v>
      </c>
      <c r="H4154" t="s">
        <v>49</v>
      </c>
      <c r="I4154">
        <v>7650</v>
      </c>
      <c r="J4154">
        <v>9945</v>
      </c>
      <c r="K4154">
        <v>1</v>
      </c>
      <c r="L4154">
        <v>7650</v>
      </c>
      <c r="M4154">
        <v>9945</v>
      </c>
      <c r="N4154" t="s">
        <v>22</v>
      </c>
      <c r="O4154">
        <f t="shared" si="128"/>
        <v>11700</v>
      </c>
      <c r="P4154" s="13">
        <f t="shared" si="129"/>
        <v>2829840</v>
      </c>
      <c r="Q4154" s="13">
        <f>SUMIFS(M:M,E:E,Online_eCommerce[[#This Row],[Status]])</f>
        <v>28620410</v>
      </c>
      <c r="R4154" s="13">
        <f>SUMIFS(L:L,H:H,Online_eCommerce[[#This Row],[Brand]])</f>
        <v>4528350</v>
      </c>
      <c r="S4154" s="13">
        <f>SUMIF(H:H,Online_eCommerce[[#This Row],[Brand]],M:M)</f>
        <v>5886855</v>
      </c>
      <c r="T4154" s="13">
        <f>SUMIF(N:N,Online_eCommerce[[#This Row],[Assigned Supervisor]],L:L)</f>
        <v>13693220</v>
      </c>
    </row>
    <row r="4155" spans="1:20" hidden="1" x14ac:dyDescent="0.3">
      <c r="A4155" t="s">
        <v>6128</v>
      </c>
      <c r="B4155" t="s">
        <v>85</v>
      </c>
      <c r="C4155" t="s">
        <v>199</v>
      </c>
      <c r="D4155" t="s">
        <v>6111</v>
      </c>
      <c r="E4155" t="s">
        <v>96</v>
      </c>
      <c r="F4155" t="s">
        <v>53</v>
      </c>
      <c r="G4155" t="s">
        <v>54</v>
      </c>
      <c r="H4155" t="s">
        <v>55</v>
      </c>
      <c r="I4155">
        <v>1150</v>
      </c>
      <c r="J4155">
        <v>1495</v>
      </c>
      <c r="K4155">
        <v>2</v>
      </c>
      <c r="L4155">
        <v>2300</v>
      </c>
      <c r="M4155">
        <v>2990</v>
      </c>
      <c r="N4155" t="s">
        <v>28</v>
      </c>
      <c r="O4155">
        <f t="shared" si="128"/>
        <v>2990</v>
      </c>
      <c r="P4155" s="13">
        <f t="shared" si="129"/>
        <v>1947361</v>
      </c>
      <c r="Q4155" s="13">
        <f>SUMIFS(M:M,E:E,Online_eCommerce[[#This Row],[Status]])</f>
        <v>21233992</v>
      </c>
      <c r="R4155" s="13">
        <f>SUMIFS(L:L,H:H,Online_eCommerce[[#This Row],[Brand]])</f>
        <v>2267380</v>
      </c>
      <c r="S4155" s="13">
        <f>SUMIF(H:H,Online_eCommerce[[#This Row],[Brand]],M:M)</f>
        <v>2947594</v>
      </c>
      <c r="T4155" s="13">
        <f>SUMIF(N:N,Online_eCommerce[[#This Row],[Assigned Supervisor]],L:L)</f>
        <v>12220830</v>
      </c>
    </row>
    <row r="4156" spans="1:20" hidden="1" x14ac:dyDescent="0.3">
      <c r="A4156" t="s">
        <v>6129</v>
      </c>
      <c r="B4156" t="s">
        <v>90</v>
      </c>
      <c r="C4156" t="s">
        <v>203</v>
      </c>
      <c r="D4156" t="s">
        <v>6111</v>
      </c>
      <c r="E4156" t="s">
        <v>18</v>
      </c>
      <c r="F4156" t="s">
        <v>59</v>
      </c>
      <c r="G4156" t="s">
        <v>60</v>
      </c>
      <c r="H4156" t="s">
        <v>61</v>
      </c>
      <c r="I4156">
        <v>850</v>
      </c>
      <c r="J4156">
        <v>1105</v>
      </c>
      <c r="K4156">
        <v>1</v>
      </c>
      <c r="L4156">
        <v>850</v>
      </c>
      <c r="M4156">
        <v>1105</v>
      </c>
      <c r="N4156" t="s">
        <v>35</v>
      </c>
      <c r="O4156">
        <f t="shared" si="128"/>
        <v>3315</v>
      </c>
      <c r="P4156" s="13">
        <f t="shared" si="129"/>
        <v>2559635</v>
      </c>
      <c r="Q4156" s="13">
        <f>SUMIFS(M:M,E:E,Online_eCommerce[[#This Row],[Status]])</f>
        <v>28340455</v>
      </c>
      <c r="R4156" s="13">
        <f>SUMIFS(L:L,H:H,Online_eCommerce[[#This Row],[Brand]])</f>
        <v>10950150</v>
      </c>
      <c r="S4156" s="13">
        <f>SUMIF(H:H,Online_eCommerce[[#This Row],[Brand]],M:M)</f>
        <v>14235195</v>
      </c>
      <c r="T4156" s="13">
        <f>SUMIF(N:N,Online_eCommerce[[#This Row],[Assigned Supervisor]],L:L)</f>
        <v>14373360</v>
      </c>
    </row>
    <row r="4157" spans="1:20" hidden="1" x14ac:dyDescent="0.3">
      <c r="A4157" t="s">
        <v>6130</v>
      </c>
      <c r="B4157" t="s">
        <v>232</v>
      </c>
      <c r="C4157" t="s">
        <v>205</v>
      </c>
      <c r="D4157" t="s">
        <v>6111</v>
      </c>
      <c r="E4157" t="s">
        <v>161</v>
      </c>
      <c r="F4157" t="s">
        <v>65</v>
      </c>
      <c r="G4157" t="s">
        <v>66</v>
      </c>
      <c r="H4157" t="s">
        <v>21</v>
      </c>
      <c r="I4157">
        <v>650</v>
      </c>
      <c r="J4157">
        <v>845</v>
      </c>
      <c r="K4157">
        <v>3</v>
      </c>
      <c r="L4157">
        <v>1950</v>
      </c>
      <c r="M4157">
        <v>2535</v>
      </c>
      <c r="N4157" t="s">
        <v>42</v>
      </c>
      <c r="O4157">
        <f t="shared" si="128"/>
        <v>1690</v>
      </c>
      <c r="P4157" s="13">
        <f t="shared" si="129"/>
        <v>1983254</v>
      </c>
      <c r="Q4157" s="13">
        <f>SUMIFS(M:M,E:E,Online_eCommerce[[#This Row],[Status]])</f>
        <v>21103186</v>
      </c>
      <c r="R4157" s="13">
        <f>SUMIFS(L:L,H:H,Online_eCommerce[[#This Row],[Brand]])</f>
        <v>12435650</v>
      </c>
      <c r="S4157" s="13">
        <f>SUMIF(H:H,Online_eCommerce[[#This Row],[Brand]],M:M)</f>
        <v>16166345</v>
      </c>
      <c r="T4157" s="13">
        <f>SUMIF(N:N,Online_eCommerce[[#This Row],[Assigned Supervisor]],L:L)</f>
        <v>12261500</v>
      </c>
    </row>
    <row r="4158" spans="1:20" x14ac:dyDescent="0.3">
      <c r="A4158" t="s">
        <v>6131</v>
      </c>
      <c r="B4158" t="s">
        <v>235</v>
      </c>
      <c r="C4158" t="s">
        <v>208</v>
      </c>
      <c r="D4158" t="s">
        <v>6111</v>
      </c>
      <c r="E4158" t="s">
        <v>46</v>
      </c>
      <c r="F4158" t="s">
        <v>70</v>
      </c>
      <c r="G4158" t="s">
        <v>71</v>
      </c>
      <c r="H4158" t="s">
        <v>61</v>
      </c>
      <c r="I4158">
        <v>7500</v>
      </c>
      <c r="J4158">
        <v>9750</v>
      </c>
      <c r="K4158">
        <v>4</v>
      </c>
      <c r="L4158">
        <v>30000</v>
      </c>
      <c r="M4158">
        <v>39000</v>
      </c>
      <c r="N4158" t="s">
        <v>50</v>
      </c>
      <c r="O4158">
        <f t="shared" si="128"/>
        <v>9750</v>
      </c>
      <c r="P4158" s="13">
        <f t="shared" si="129"/>
        <v>2746575</v>
      </c>
      <c r="Q4158" s="13">
        <f>SUMIFS(M:M,E:E,Online_eCommerce[[#This Row],[Status]])</f>
        <v>28620410</v>
      </c>
      <c r="R4158" s="13">
        <f>SUMIFS(L:L,H:H,Online_eCommerce[[#This Row],[Brand]])</f>
        <v>10950150</v>
      </c>
      <c r="S4158" s="13">
        <f>SUMIF(H:H,Online_eCommerce[[#This Row],[Brand]],M:M)</f>
        <v>14235195</v>
      </c>
      <c r="T4158" s="13">
        <f>SUMIF(N:N,Online_eCommerce[[#This Row],[Assigned Supervisor]],L:L)</f>
        <v>12100590</v>
      </c>
    </row>
    <row r="4159" spans="1:20" hidden="1" x14ac:dyDescent="0.3">
      <c r="A4159" t="s">
        <v>6132</v>
      </c>
      <c r="B4159" t="s">
        <v>104</v>
      </c>
      <c r="C4159" t="s">
        <v>211</v>
      </c>
      <c r="D4159" t="s">
        <v>6111</v>
      </c>
      <c r="E4159" t="s">
        <v>96</v>
      </c>
      <c r="F4159" t="s">
        <v>6119</v>
      </c>
      <c r="G4159" t="s">
        <v>77</v>
      </c>
      <c r="H4159" t="s">
        <v>78</v>
      </c>
      <c r="I4159">
        <v>10000</v>
      </c>
      <c r="J4159">
        <v>13000</v>
      </c>
      <c r="K4159">
        <v>1</v>
      </c>
      <c r="L4159">
        <v>10000</v>
      </c>
      <c r="M4159">
        <v>13000</v>
      </c>
      <c r="N4159" t="s">
        <v>56</v>
      </c>
      <c r="O4159">
        <f t="shared" si="128"/>
        <v>39000</v>
      </c>
      <c r="P4159" s="13">
        <f t="shared" si="129"/>
        <v>1809847</v>
      </c>
      <c r="Q4159" s="13">
        <f>SUMIFS(M:M,E:E,Online_eCommerce[[#This Row],[Status]])</f>
        <v>21233992</v>
      </c>
      <c r="R4159" s="13">
        <f>SUMIFS(L:L,H:H,Online_eCommerce[[#This Row],[Brand]])</f>
        <v>3720000</v>
      </c>
      <c r="S4159" s="13">
        <f>SUMIF(H:H,Online_eCommerce[[#This Row],[Brand]],M:M)</f>
        <v>4836000</v>
      </c>
      <c r="T4159" s="13">
        <f>SUMIF(N:N,Online_eCommerce[[#This Row],[Assigned Supervisor]],L:L)</f>
        <v>11733610</v>
      </c>
    </row>
    <row r="4160" spans="1:20" hidden="1" x14ac:dyDescent="0.3">
      <c r="A4160" t="s">
        <v>6133</v>
      </c>
      <c r="B4160" t="s">
        <v>109</v>
      </c>
      <c r="C4160" t="s">
        <v>16</v>
      </c>
      <c r="D4160" t="s">
        <v>6111</v>
      </c>
      <c r="E4160" t="s">
        <v>18</v>
      </c>
      <c r="F4160" t="s">
        <v>6134</v>
      </c>
      <c r="G4160" t="s">
        <v>20</v>
      </c>
      <c r="H4160" t="s">
        <v>21</v>
      </c>
      <c r="I4160">
        <v>10500</v>
      </c>
      <c r="J4160">
        <v>13650</v>
      </c>
      <c r="K4160">
        <v>4</v>
      </c>
      <c r="L4160">
        <v>42000</v>
      </c>
      <c r="M4160">
        <v>54600</v>
      </c>
      <c r="N4160" t="s">
        <v>22</v>
      </c>
      <c r="O4160">
        <f t="shared" si="128"/>
        <v>8450</v>
      </c>
      <c r="P4160" s="13">
        <f t="shared" si="129"/>
        <v>2751814</v>
      </c>
      <c r="Q4160" s="13">
        <f>SUMIFS(M:M,E:E,Online_eCommerce[[#This Row],[Status]])</f>
        <v>28340455</v>
      </c>
      <c r="R4160" s="13">
        <f>SUMIFS(L:L,H:H,Online_eCommerce[[#This Row],[Brand]])</f>
        <v>12435650</v>
      </c>
      <c r="S4160" s="13">
        <f>SUMIF(H:H,Online_eCommerce[[#This Row],[Brand]],M:M)</f>
        <v>16166345</v>
      </c>
      <c r="T4160" s="13">
        <f>SUMIF(N:N,Online_eCommerce[[#This Row],[Assigned Supervisor]],L:L)</f>
        <v>13693220</v>
      </c>
    </row>
    <row r="4161" spans="1:20" hidden="1" x14ac:dyDescent="0.3">
      <c r="A4161" t="s">
        <v>6135</v>
      </c>
      <c r="B4161" t="s">
        <v>114</v>
      </c>
      <c r="C4161" t="s">
        <v>24</v>
      </c>
      <c r="D4161" t="s">
        <v>6111</v>
      </c>
      <c r="E4161" t="s">
        <v>161</v>
      </c>
      <c r="F4161" t="s">
        <v>88</v>
      </c>
      <c r="G4161" t="s">
        <v>26</v>
      </c>
      <c r="H4161" t="s">
        <v>27</v>
      </c>
      <c r="I4161">
        <v>8500</v>
      </c>
      <c r="J4161">
        <v>11050</v>
      </c>
      <c r="K4161">
        <v>4</v>
      </c>
      <c r="L4161">
        <v>34000</v>
      </c>
      <c r="M4161">
        <v>44200</v>
      </c>
      <c r="N4161" t="s">
        <v>28</v>
      </c>
      <c r="O4161">
        <f t="shared" si="128"/>
        <v>33150</v>
      </c>
      <c r="P4161" s="13">
        <f t="shared" si="129"/>
        <v>2009540</v>
      </c>
      <c r="Q4161" s="13">
        <f>SUMIFS(M:M,E:E,Online_eCommerce[[#This Row],[Status]])</f>
        <v>21103186</v>
      </c>
      <c r="R4161" s="13">
        <f>SUMIFS(L:L,H:H,Online_eCommerce[[#This Row],[Brand]])</f>
        <v>14431000</v>
      </c>
      <c r="S4161" s="13">
        <f>SUMIF(H:H,Online_eCommerce[[#This Row],[Brand]],M:M)</f>
        <v>18760300</v>
      </c>
      <c r="T4161" s="13">
        <f>SUMIF(N:N,Online_eCommerce[[#This Row],[Assigned Supervisor]],L:L)</f>
        <v>12220830</v>
      </c>
    </row>
    <row r="4162" spans="1:20" x14ac:dyDescent="0.3">
      <c r="A4162" t="s">
        <v>6136</v>
      </c>
      <c r="B4162" t="s">
        <v>119</v>
      </c>
      <c r="C4162" t="s">
        <v>31</v>
      </c>
      <c r="D4162" t="s">
        <v>6111</v>
      </c>
      <c r="E4162" t="s">
        <v>46</v>
      </c>
      <c r="F4162" t="s">
        <v>32</v>
      </c>
      <c r="G4162" t="s">
        <v>33</v>
      </c>
      <c r="H4162" t="s">
        <v>34</v>
      </c>
      <c r="I4162">
        <v>7000</v>
      </c>
      <c r="J4162">
        <v>9100</v>
      </c>
      <c r="K4162">
        <v>3</v>
      </c>
      <c r="L4162">
        <v>21000</v>
      </c>
      <c r="M4162">
        <v>27300</v>
      </c>
      <c r="N4162" t="s">
        <v>35</v>
      </c>
      <c r="O4162">
        <f t="shared" ref="O4162:O4225" si="130">VLOOKUP(G4162,G:M,7,FALSE)</f>
        <v>18200</v>
      </c>
      <c r="P4162" s="13">
        <f t="shared" ref="P4162:P4225" si="131">SUMIFS(M:M,C:C,C4162)</f>
        <v>2865746</v>
      </c>
      <c r="Q4162" s="13">
        <f>SUMIFS(M:M,E:E,Online_eCommerce[[#This Row],[Status]])</f>
        <v>28620410</v>
      </c>
      <c r="R4162" s="13">
        <f>SUMIFS(L:L,H:H,Online_eCommerce[[#This Row],[Brand]])</f>
        <v>10087000</v>
      </c>
      <c r="S4162" s="13">
        <f>SUMIF(H:H,Online_eCommerce[[#This Row],[Brand]],M:M)</f>
        <v>13113100</v>
      </c>
      <c r="T4162" s="13">
        <f>SUMIF(N:N,Online_eCommerce[[#This Row],[Assigned Supervisor]],L:L)</f>
        <v>14373360</v>
      </c>
    </row>
    <row r="4163" spans="1:20" hidden="1" x14ac:dyDescent="0.3">
      <c r="A4163" t="s">
        <v>6137</v>
      </c>
      <c r="B4163" t="s">
        <v>124</v>
      </c>
      <c r="C4163" t="s">
        <v>38</v>
      </c>
      <c r="D4163" t="s">
        <v>6111</v>
      </c>
      <c r="E4163" t="s">
        <v>96</v>
      </c>
      <c r="F4163" t="s">
        <v>6138</v>
      </c>
      <c r="G4163" t="s">
        <v>256</v>
      </c>
      <c r="H4163" t="s">
        <v>41</v>
      </c>
      <c r="I4163">
        <v>1680</v>
      </c>
      <c r="J4163">
        <v>2184</v>
      </c>
      <c r="K4163">
        <v>2</v>
      </c>
      <c r="L4163">
        <v>3360</v>
      </c>
      <c r="M4163">
        <v>4368</v>
      </c>
      <c r="N4163" t="s">
        <v>42</v>
      </c>
      <c r="O4163">
        <f t="shared" si="130"/>
        <v>9100</v>
      </c>
      <c r="P4163" s="13">
        <f t="shared" si="131"/>
        <v>1933997</v>
      </c>
      <c r="Q4163" s="13">
        <f>SUMIFS(M:M,E:E,Online_eCommerce[[#This Row],[Status]])</f>
        <v>21233992</v>
      </c>
      <c r="R4163" s="13">
        <f>SUMIFS(L:L,H:H,Online_eCommerce[[#This Row],[Brand]])</f>
        <v>4260400</v>
      </c>
      <c r="S4163" s="13">
        <f>SUMIF(H:H,Online_eCommerce[[#This Row],[Brand]],M:M)</f>
        <v>5538520</v>
      </c>
      <c r="T4163" s="13">
        <f>SUMIF(N:N,Online_eCommerce[[#This Row],[Assigned Supervisor]],L:L)</f>
        <v>12261500</v>
      </c>
    </row>
    <row r="4164" spans="1:20" hidden="1" x14ac:dyDescent="0.3">
      <c r="A4164" t="s">
        <v>6139</v>
      </c>
      <c r="B4164" t="s">
        <v>128</v>
      </c>
      <c r="C4164" t="s">
        <v>45</v>
      </c>
      <c r="D4164" t="s">
        <v>6111</v>
      </c>
      <c r="E4164" t="s">
        <v>18</v>
      </c>
      <c r="F4164" t="s">
        <v>101</v>
      </c>
      <c r="G4164" t="s">
        <v>259</v>
      </c>
      <c r="H4164" t="s">
        <v>102</v>
      </c>
      <c r="I4164">
        <v>6540</v>
      </c>
      <c r="J4164">
        <v>8502</v>
      </c>
      <c r="K4164">
        <v>2</v>
      </c>
      <c r="L4164">
        <v>13080</v>
      </c>
      <c r="M4164">
        <v>17004</v>
      </c>
      <c r="N4164" t="s">
        <v>50</v>
      </c>
      <c r="O4164">
        <f t="shared" si="130"/>
        <v>11700</v>
      </c>
      <c r="P4164" s="13">
        <f t="shared" si="131"/>
        <v>2842554</v>
      </c>
      <c r="Q4164" s="13">
        <f>SUMIFS(M:M,E:E,Online_eCommerce[[#This Row],[Status]])</f>
        <v>28340455</v>
      </c>
      <c r="R4164" s="13">
        <f>SUMIFS(L:L,H:H,Online_eCommerce[[#This Row],[Brand]])</f>
        <v>2465580</v>
      </c>
      <c r="S4164" s="13">
        <f>SUMIF(H:H,Online_eCommerce[[#This Row],[Brand]],M:M)</f>
        <v>3205254</v>
      </c>
      <c r="T4164" s="13">
        <f>SUMIF(N:N,Online_eCommerce[[#This Row],[Assigned Supervisor]],L:L)</f>
        <v>12100590</v>
      </c>
    </row>
    <row r="4165" spans="1:20" hidden="1" x14ac:dyDescent="0.3">
      <c r="A4165" t="s">
        <v>6140</v>
      </c>
      <c r="B4165" t="s">
        <v>131</v>
      </c>
      <c r="C4165" t="s">
        <v>52</v>
      </c>
      <c r="D4165" t="s">
        <v>6111</v>
      </c>
      <c r="E4165" t="s">
        <v>161</v>
      </c>
      <c r="F4165" t="s">
        <v>107</v>
      </c>
      <c r="G4165" t="s">
        <v>54</v>
      </c>
      <c r="H4165" t="s">
        <v>55</v>
      </c>
      <c r="I4165">
        <v>2680</v>
      </c>
      <c r="J4165">
        <v>3484</v>
      </c>
      <c r="K4165">
        <v>2</v>
      </c>
      <c r="L4165">
        <v>5360</v>
      </c>
      <c r="M4165">
        <v>6968</v>
      </c>
      <c r="N4165" t="s">
        <v>56</v>
      </c>
      <c r="O4165">
        <f t="shared" si="130"/>
        <v>2990</v>
      </c>
      <c r="P4165" s="13">
        <f t="shared" si="131"/>
        <v>1955044</v>
      </c>
      <c r="Q4165" s="13">
        <f>SUMIFS(M:M,E:E,Online_eCommerce[[#This Row],[Status]])</f>
        <v>21103186</v>
      </c>
      <c r="R4165" s="13">
        <f>SUMIFS(L:L,H:H,Online_eCommerce[[#This Row],[Brand]])</f>
        <v>2267380</v>
      </c>
      <c r="S4165" s="13">
        <f>SUMIF(H:H,Online_eCommerce[[#This Row],[Brand]],M:M)</f>
        <v>2947594</v>
      </c>
      <c r="T4165" s="13">
        <f>SUMIF(N:N,Online_eCommerce[[#This Row],[Assigned Supervisor]],L:L)</f>
        <v>11733610</v>
      </c>
    </row>
    <row r="4166" spans="1:20" x14ac:dyDescent="0.3">
      <c r="A4166" t="s">
        <v>6141</v>
      </c>
      <c r="B4166" t="s">
        <v>135</v>
      </c>
      <c r="C4166" t="s">
        <v>58</v>
      </c>
      <c r="D4166" t="s">
        <v>6111</v>
      </c>
      <c r="E4166" t="s">
        <v>46</v>
      </c>
      <c r="F4166" t="s">
        <v>112</v>
      </c>
      <c r="G4166" t="s">
        <v>71</v>
      </c>
      <c r="H4166" t="s">
        <v>21</v>
      </c>
      <c r="I4166">
        <v>8250</v>
      </c>
      <c r="J4166">
        <v>10725</v>
      </c>
      <c r="K4166">
        <v>1</v>
      </c>
      <c r="L4166">
        <v>8250</v>
      </c>
      <c r="M4166">
        <v>10725</v>
      </c>
      <c r="N4166" t="s">
        <v>22</v>
      </c>
      <c r="O4166">
        <f t="shared" si="130"/>
        <v>9750</v>
      </c>
      <c r="P4166" s="13">
        <f t="shared" si="131"/>
        <v>2629211</v>
      </c>
      <c r="Q4166" s="13">
        <f>SUMIFS(M:M,E:E,Online_eCommerce[[#This Row],[Status]])</f>
        <v>28620410</v>
      </c>
      <c r="R4166" s="13">
        <f>SUMIFS(L:L,H:H,Online_eCommerce[[#This Row],[Brand]])</f>
        <v>12435650</v>
      </c>
      <c r="S4166" s="13">
        <f>SUMIF(H:H,Online_eCommerce[[#This Row],[Brand]],M:M)</f>
        <v>16166345</v>
      </c>
      <c r="T4166" s="13">
        <f>SUMIF(N:N,Online_eCommerce[[#This Row],[Assigned Supervisor]],L:L)</f>
        <v>13693220</v>
      </c>
    </row>
    <row r="4167" spans="1:20" hidden="1" x14ac:dyDescent="0.3">
      <c r="A4167" t="s">
        <v>6142</v>
      </c>
      <c r="B4167" t="s">
        <v>139</v>
      </c>
      <c r="C4167" t="s">
        <v>63</v>
      </c>
      <c r="D4167" t="s">
        <v>6111</v>
      </c>
      <c r="E4167" t="s">
        <v>96</v>
      </c>
      <c r="F4167" t="s">
        <v>5774</v>
      </c>
      <c r="G4167" t="s">
        <v>40</v>
      </c>
      <c r="H4167" t="s">
        <v>21</v>
      </c>
      <c r="I4167">
        <v>2650</v>
      </c>
      <c r="J4167">
        <v>3445</v>
      </c>
      <c r="K4167">
        <v>2</v>
      </c>
      <c r="L4167">
        <v>5300</v>
      </c>
      <c r="M4167">
        <v>6890</v>
      </c>
      <c r="N4167" t="s">
        <v>28</v>
      </c>
      <c r="O4167">
        <f t="shared" si="130"/>
        <v>25545</v>
      </c>
      <c r="P4167" s="13">
        <f t="shared" si="131"/>
        <v>2016131</v>
      </c>
      <c r="Q4167" s="13">
        <f>SUMIFS(M:M,E:E,Online_eCommerce[[#This Row],[Status]])</f>
        <v>21233992</v>
      </c>
      <c r="R4167" s="13">
        <f>SUMIFS(L:L,H:H,Online_eCommerce[[#This Row],[Brand]])</f>
        <v>12435650</v>
      </c>
      <c r="S4167" s="13">
        <f>SUMIF(H:H,Online_eCommerce[[#This Row],[Brand]],M:M)</f>
        <v>16166345</v>
      </c>
      <c r="T4167" s="13">
        <f>SUMIF(N:N,Online_eCommerce[[#This Row],[Assigned Supervisor]],L:L)</f>
        <v>12220830</v>
      </c>
    </row>
    <row r="4168" spans="1:20" hidden="1" x14ac:dyDescent="0.3">
      <c r="A4168" t="s">
        <v>6143</v>
      </c>
      <c r="B4168" t="s">
        <v>144</v>
      </c>
      <c r="C4168" t="s">
        <v>68</v>
      </c>
      <c r="D4168" t="s">
        <v>6111</v>
      </c>
      <c r="E4168" t="s">
        <v>18</v>
      </c>
      <c r="F4168" t="s">
        <v>121</v>
      </c>
      <c r="G4168" t="s">
        <v>71</v>
      </c>
      <c r="H4168" t="s">
        <v>122</v>
      </c>
      <c r="I4168">
        <v>12550</v>
      </c>
      <c r="J4168">
        <v>16315</v>
      </c>
      <c r="K4168">
        <v>4</v>
      </c>
      <c r="L4168">
        <v>50200</v>
      </c>
      <c r="M4168">
        <v>65260</v>
      </c>
      <c r="N4168" t="s">
        <v>35</v>
      </c>
      <c r="O4168">
        <f t="shared" si="130"/>
        <v>9750</v>
      </c>
      <c r="P4168" s="13">
        <f t="shared" si="131"/>
        <v>2974621</v>
      </c>
      <c r="Q4168" s="13">
        <f>SUMIFS(M:M,E:E,Online_eCommerce[[#This Row],[Status]])</f>
        <v>28340455</v>
      </c>
      <c r="R4168" s="13">
        <f>SUMIFS(L:L,H:H,Online_eCommerce[[#This Row],[Brand]])</f>
        <v>5045100</v>
      </c>
      <c r="S4168" s="13">
        <f>SUMIF(H:H,Online_eCommerce[[#This Row],[Brand]],M:M)</f>
        <v>6558630</v>
      </c>
      <c r="T4168" s="13">
        <f>SUMIF(N:N,Online_eCommerce[[#This Row],[Assigned Supervisor]],L:L)</f>
        <v>14373360</v>
      </c>
    </row>
    <row r="4169" spans="1:20" hidden="1" x14ac:dyDescent="0.3">
      <c r="A4169" t="s">
        <v>6144</v>
      </c>
      <c r="B4169" t="s">
        <v>149</v>
      </c>
      <c r="C4169" t="s">
        <v>74</v>
      </c>
      <c r="D4169" t="s">
        <v>6111</v>
      </c>
      <c r="E4169" t="s">
        <v>161</v>
      </c>
      <c r="F4169" t="s">
        <v>126</v>
      </c>
      <c r="G4169" t="s">
        <v>26</v>
      </c>
      <c r="H4169" t="s">
        <v>27</v>
      </c>
      <c r="I4169">
        <v>14500</v>
      </c>
      <c r="J4169">
        <v>18850</v>
      </c>
      <c r="K4169">
        <v>4</v>
      </c>
      <c r="L4169">
        <v>58000</v>
      </c>
      <c r="M4169">
        <v>75400</v>
      </c>
      <c r="N4169" t="s">
        <v>42</v>
      </c>
      <c r="O4169">
        <f t="shared" si="130"/>
        <v>33150</v>
      </c>
      <c r="P4169" s="13">
        <f t="shared" si="131"/>
        <v>2144701</v>
      </c>
      <c r="Q4169" s="13">
        <f>SUMIFS(M:M,E:E,Online_eCommerce[[#This Row],[Status]])</f>
        <v>21103186</v>
      </c>
      <c r="R4169" s="13">
        <f>SUMIFS(L:L,H:H,Online_eCommerce[[#This Row],[Brand]])</f>
        <v>14431000</v>
      </c>
      <c r="S4169" s="13">
        <f>SUMIF(H:H,Online_eCommerce[[#This Row],[Brand]],M:M)</f>
        <v>18760300</v>
      </c>
      <c r="T4169" s="13">
        <f>SUMIF(N:N,Online_eCommerce[[#This Row],[Assigned Supervisor]],L:L)</f>
        <v>12261500</v>
      </c>
    </row>
    <row r="4170" spans="1:20" x14ac:dyDescent="0.3">
      <c r="A4170" t="s">
        <v>6145</v>
      </c>
      <c r="B4170" t="s">
        <v>154</v>
      </c>
      <c r="C4170" t="s">
        <v>81</v>
      </c>
      <c r="D4170" t="s">
        <v>6111</v>
      </c>
      <c r="E4170" t="s">
        <v>46</v>
      </c>
      <c r="F4170" t="s">
        <v>129</v>
      </c>
      <c r="G4170" t="s">
        <v>60</v>
      </c>
      <c r="H4170" t="s">
        <v>61</v>
      </c>
      <c r="I4170">
        <v>800</v>
      </c>
      <c r="J4170">
        <v>1040</v>
      </c>
      <c r="K4170">
        <v>1</v>
      </c>
      <c r="L4170">
        <v>800</v>
      </c>
      <c r="M4170">
        <v>1040</v>
      </c>
      <c r="N4170" t="s">
        <v>50</v>
      </c>
      <c r="O4170">
        <f t="shared" si="130"/>
        <v>3315</v>
      </c>
      <c r="P4170" s="13">
        <f t="shared" si="131"/>
        <v>2595632</v>
      </c>
      <c r="Q4170" s="13">
        <f>SUMIFS(M:M,E:E,Online_eCommerce[[#This Row],[Status]])</f>
        <v>28620410</v>
      </c>
      <c r="R4170" s="13">
        <f>SUMIFS(L:L,H:H,Online_eCommerce[[#This Row],[Brand]])</f>
        <v>10950150</v>
      </c>
      <c r="S4170" s="13">
        <f>SUMIF(H:H,Online_eCommerce[[#This Row],[Brand]],M:M)</f>
        <v>14235195</v>
      </c>
      <c r="T4170" s="13">
        <f>SUMIF(N:N,Online_eCommerce[[#This Row],[Assigned Supervisor]],L:L)</f>
        <v>12100590</v>
      </c>
    </row>
    <row r="4171" spans="1:20" hidden="1" x14ac:dyDescent="0.3">
      <c r="A4171" t="s">
        <v>6146</v>
      </c>
      <c r="B4171" t="s">
        <v>159</v>
      </c>
      <c r="C4171" t="s">
        <v>86</v>
      </c>
      <c r="D4171" t="s">
        <v>6111</v>
      </c>
      <c r="E4171" t="s">
        <v>96</v>
      </c>
      <c r="F4171" t="s">
        <v>133</v>
      </c>
      <c r="G4171" t="s">
        <v>66</v>
      </c>
      <c r="H4171" t="s">
        <v>21</v>
      </c>
      <c r="I4171">
        <v>600</v>
      </c>
      <c r="J4171">
        <v>780</v>
      </c>
      <c r="K4171">
        <v>4</v>
      </c>
      <c r="L4171">
        <v>2400</v>
      </c>
      <c r="M4171">
        <v>3120</v>
      </c>
      <c r="N4171" t="s">
        <v>56</v>
      </c>
      <c r="O4171">
        <f t="shared" si="130"/>
        <v>1690</v>
      </c>
      <c r="P4171" s="13">
        <f t="shared" si="131"/>
        <v>1941225</v>
      </c>
      <c r="Q4171" s="13">
        <f>SUMIFS(M:M,E:E,Online_eCommerce[[#This Row],[Status]])</f>
        <v>21233992</v>
      </c>
      <c r="R4171" s="13">
        <f>SUMIFS(L:L,H:H,Online_eCommerce[[#This Row],[Brand]])</f>
        <v>12435650</v>
      </c>
      <c r="S4171" s="13">
        <f>SUMIF(H:H,Online_eCommerce[[#This Row],[Brand]],M:M)</f>
        <v>16166345</v>
      </c>
      <c r="T4171" s="13">
        <f>SUMIF(N:N,Online_eCommerce[[#This Row],[Assigned Supervisor]],L:L)</f>
        <v>11733610</v>
      </c>
    </row>
    <row r="4172" spans="1:20" hidden="1" x14ac:dyDescent="0.3">
      <c r="A4172" t="s">
        <v>6147</v>
      </c>
      <c r="B4172" t="s">
        <v>139</v>
      </c>
      <c r="C4172" t="s">
        <v>91</v>
      </c>
      <c r="D4172" t="s">
        <v>6111</v>
      </c>
      <c r="E4172" t="s">
        <v>18</v>
      </c>
      <c r="F4172" t="s">
        <v>137</v>
      </c>
      <c r="G4172" t="s">
        <v>71</v>
      </c>
      <c r="H4172" t="s">
        <v>61</v>
      </c>
      <c r="I4172">
        <v>10500</v>
      </c>
      <c r="J4172">
        <v>13650</v>
      </c>
      <c r="K4172">
        <v>1</v>
      </c>
      <c r="L4172">
        <v>10500</v>
      </c>
      <c r="M4172">
        <v>13650</v>
      </c>
      <c r="N4172" t="s">
        <v>22</v>
      </c>
      <c r="O4172">
        <f t="shared" si="130"/>
        <v>9750</v>
      </c>
      <c r="P4172" s="13">
        <f t="shared" si="131"/>
        <v>2731963</v>
      </c>
      <c r="Q4172" s="13">
        <f>SUMIFS(M:M,E:E,Online_eCommerce[[#This Row],[Status]])</f>
        <v>28340455</v>
      </c>
      <c r="R4172" s="13">
        <f>SUMIFS(L:L,H:H,Online_eCommerce[[#This Row],[Brand]])</f>
        <v>10950150</v>
      </c>
      <c r="S4172" s="13">
        <f>SUMIF(H:H,Online_eCommerce[[#This Row],[Brand]],M:M)</f>
        <v>14235195</v>
      </c>
      <c r="T4172" s="13">
        <f>SUMIF(N:N,Online_eCommerce[[#This Row],[Assigned Supervisor]],L:L)</f>
        <v>13693220</v>
      </c>
    </row>
    <row r="4173" spans="1:20" hidden="1" x14ac:dyDescent="0.3">
      <c r="A4173" t="s">
        <v>6148</v>
      </c>
      <c r="B4173" t="s">
        <v>144</v>
      </c>
      <c r="C4173" t="s">
        <v>94</v>
      </c>
      <c r="D4173" t="s">
        <v>6111</v>
      </c>
      <c r="E4173" t="s">
        <v>161</v>
      </c>
      <c r="F4173" t="s">
        <v>6119</v>
      </c>
      <c r="G4173" t="s">
        <v>77</v>
      </c>
      <c r="H4173" t="s">
        <v>142</v>
      </c>
      <c r="I4173">
        <v>6500</v>
      </c>
      <c r="J4173">
        <v>8450</v>
      </c>
      <c r="K4173">
        <v>2</v>
      </c>
      <c r="L4173">
        <v>13000</v>
      </c>
      <c r="M4173">
        <v>16900</v>
      </c>
      <c r="N4173" t="s">
        <v>28</v>
      </c>
      <c r="O4173">
        <f t="shared" si="130"/>
        <v>39000</v>
      </c>
      <c r="P4173" s="13">
        <f t="shared" si="131"/>
        <v>1868256</v>
      </c>
      <c r="Q4173" s="13">
        <f>SUMIFS(M:M,E:E,Online_eCommerce[[#This Row],[Status]])</f>
        <v>21103186</v>
      </c>
      <c r="R4173" s="13">
        <f>SUMIFS(L:L,H:H,Online_eCommerce[[#This Row],[Brand]])</f>
        <v>6192500</v>
      </c>
      <c r="S4173" s="13">
        <f>SUMIF(H:H,Online_eCommerce[[#This Row],[Brand]],M:M)</f>
        <v>8050250</v>
      </c>
      <c r="T4173" s="13">
        <f>SUMIF(N:N,Online_eCommerce[[#This Row],[Assigned Supervisor]],L:L)</f>
        <v>12220830</v>
      </c>
    </row>
    <row r="4174" spans="1:20" x14ac:dyDescent="0.3">
      <c r="A4174" t="s">
        <v>6149</v>
      </c>
      <c r="B4174" t="s">
        <v>235</v>
      </c>
      <c r="C4174" t="s">
        <v>99</v>
      </c>
      <c r="D4174" t="s">
        <v>6111</v>
      </c>
      <c r="E4174" t="s">
        <v>46</v>
      </c>
      <c r="F4174" t="s">
        <v>6150</v>
      </c>
      <c r="G4174" t="s">
        <v>20</v>
      </c>
      <c r="H4174" t="s">
        <v>21</v>
      </c>
      <c r="I4174">
        <v>4500</v>
      </c>
      <c r="J4174">
        <v>5850</v>
      </c>
      <c r="K4174">
        <v>2</v>
      </c>
      <c r="L4174">
        <v>9000</v>
      </c>
      <c r="M4174">
        <v>11700</v>
      </c>
      <c r="N4174" t="s">
        <v>35</v>
      </c>
      <c r="O4174">
        <f t="shared" si="130"/>
        <v>8450</v>
      </c>
      <c r="P4174" s="13">
        <f t="shared" si="131"/>
        <v>2651233</v>
      </c>
      <c r="Q4174" s="13">
        <f>SUMIFS(M:M,E:E,Online_eCommerce[[#This Row],[Status]])</f>
        <v>28620410</v>
      </c>
      <c r="R4174" s="13">
        <f>SUMIFS(L:L,H:H,Online_eCommerce[[#This Row],[Brand]])</f>
        <v>12435650</v>
      </c>
      <c r="S4174" s="13">
        <f>SUMIF(H:H,Online_eCommerce[[#This Row],[Brand]],M:M)</f>
        <v>16166345</v>
      </c>
      <c r="T4174" s="13">
        <f>SUMIF(N:N,Online_eCommerce[[#This Row],[Assigned Supervisor]],L:L)</f>
        <v>14373360</v>
      </c>
    </row>
    <row r="4175" spans="1:20" hidden="1" x14ac:dyDescent="0.3">
      <c r="A4175" t="s">
        <v>6151</v>
      </c>
      <c r="B4175" t="s">
        <v>176</v>
      </c>
      <c r="C4175" t="s">
        <v>105</v>
      </c>
      <c r="D4175" t="s">
        <v>6111</v>
      </c>
      <c r="E4175" t="s">
        <v>96</v>
      </c>
      <c r="F4175" t="s">
        <v>152</v>
      </c>
      <c r="G4175" t="s">
        <v>26</v>
      </c>
      <c r="H4175" t="s">
        <v>27</v>
      </c>
      <c r="I4175">
        <v>8500</v>
      </c>
      <c r="J4175">
        <v>11050</v>
      </c>
      <c r="K4175">
        <v>4</v>
      </c>
      <c r="L4175">
        <v>34000</v>
      </c>
      <c r="M4175">
        <v>44200</v>
      </c>
      <c r="N4175" t="s">
        <v>42</v>
      </c>
      <c r="O4175">
        <f t="shared" si="130"/>
        <v>33150</v>
      </c>
      <c r="P4175" s="13">
        <f t="shared" si="131"/>
        <v>1866852</v>
      </c>
      <c r="Q4175" s="13">
        <f>SUMIFS(M:M,E:E,Online_eCommerce[[#This Row],[Status]])</f>
        <v>21233992</v>
      </c>
      <c r="R4175" s="13">
        <f>SUMIFS(L:L,H:H,Online_eCommerce[[#This Row],[Brand]])</f>
        <v>14431000</v>
      </c>
      <c r="S4175" s="13">
        <f>SUMIF(H:H,Online_eCommerce[[#This Row],[Brand]],M:M)</f>
        <v>18760300</v>
      </c>
      <c r="T4175" s="13">
        <f>SUMIF(N:N,Online_eCommerce[[#This Row],[Assigned Supervisor]],L:L)</f>
        <v>12261500</v>
      </c>
    </row>
    <row r="4176" spans="1:20" hidden="1" x14ac:dyDescent="0.3">
      <c r="A4176" t="s">
        <v>6152</v>
      </c>
      <c r="B4176" t="s">
        <v>276</v>
      </c>
      <c r="C4176" t="s">
        <v>110</v>
      </c>
      <c r="D4176" t="s">
        <v>6111</v>
      </c>
      <c r="E4176" t="s">
        <v>18</v>
      </c>
      <c r="F4176" t="s">
        <v>157</v>
      </c>
      <c r="G4176" t="s">
        <v>33</v>
      </c>
      <c r="H4176" t="s">
        <v>34</v>
      </c>
      <c r="I4176">
        <v>12500</v>
      </c>
      <c r="J4176">
        <v>16250</v>
      </c>
      <c r="K4176">
        <v>4</v>
      </c>
      <c r="L4176">
        <v>50000</v>
      </c>
      <c r="M4176">
        <v>65000</v>
      </c>
      <c r="N4176" t="s">
        <v>50</v>
      </c>
      <c r="O4176">
        <f t="shared" si="130"/>
        <v>18200</v>
      </c>
      <c r="P4176" s="13">
        <f t="shared" si="131"/>
        <v>2598635</v>
      </c>
      <c r="Q4176" s="13">
        <f>SUMIFS(M:M,E:E,Online_eCommerce[[#This Row],[Status]])</f>
        <v>28340455</v>
      </c>
      <c r="R4176" s="13">
        <f>SUMIFS(L:L,H:H,Online_eCommerce[[#This Row],[Brand]])</f>
        <v>10087000</v>
      </c>
      <c r="S4176" s="13">
        <f>SUMIF(H:H,Online_eCommerce[[#This Row],[Brand]],M:M)</f>
        <v>13113100</v>
      </c>
      <c r="T4176" s="13">
        <f>SUMIF(N:N,Online_eCommerce[[#This Row],[Assigned Supervisor]],L:L)</f>
        <v>12100590</v>
      </c>
    </row>
    <row r="4177" spans="1:20" hidden="1" x14ac:dyDescent="0.3">
      <c r="A4177" t="s">
        <v>6153</v>
      </c>
      <c r="B4177" t="s">
        <v>280</v>
      </c>
      <c r="C4177" t="s">
        <v>115</v>
      </c>
      <c r="D4177" t="s">
        <v>6111</v>
      </c>
      <c r="E4177" t="s">
        <v>161</v>
      </c>
      <c r="F4177" t="s">
        <v>5816</v>
      </c>
      <c r="G4177" t="s">
        <v>40</v>
      </c>
      <c r="H4177" t="s">
        <v>41</v>
      </c>
      <c r="I4177">
        <v>3500</v>
      </c>
      <c r="J4177">
        <v>4550</v>
      </c>
      <c r="K4177">
        <v>1</v>
      </c>
      <c r="L4177">
        <v>3500</v>
      </c>
      <c r="M4177">
        <v>4550</v>
      </c>
      <c r="N4177" t="s">
        <v>56</v>
      </c>
      <c r="O4177">
        <f t="shared" si="130"/>
        <v>25545</v>
      </c>
      <c r="P4177" s="13">
        <f t="shared" si="131"/>
        <v>2050178</v>
      </c>
      <c r="Q4177" s="13">
        <f>SUMIFS(M:M,E:E,Online_eCommerce[[#This Row],[Status]])</f>
        <v>21103186</v>
      </c>
      <c r="R4177" s="13">
        <f>SUMIFS(L:L,H:H,Online_eCommerce[[#This Row],[Brand]])</f>
        <v>4260400</v>
      </c>
      <c r="S4177" s="13">
        <f>SUMIF(H:H,Online_eCommerce[[#This Row],[Brand]],M:M)</f>
        <v>5538520</v>
      </c>
      <c r="T4177" s="13">
        <f>SUMIF(N:N,Online_eCommerce[[#This Row],[Assigned Supervisor]],L:L)</f>
        <v>11733610</v>
      </c>
    </row>
    <row r="4178" spans="1:20" x14ac:dyDescent="0.3">
      <c r="A4178" t="s">
        <v>6154</v>
      </c>
      <c r="B4178" t="s">
        <v>283</v>
      </c>
      <c r="C4178" t="s">
        <v>120</v>
      </c>
      <c r="D4178" t="s">
        <v>6111</v>
      </c>
      <c r="E4178" t="s">
        <v>46</v>
      </c>
      <c r="F4178" t="s">
        <v>166</v>
      </c>
      <c r="G4178" t="s">
        <v>334</v>
      </c>
      <c r="H4178" t="s">
        <v>49</v>
      </c>
      <c r="I4178">
        <v>4500</v>
      </c>
      <c r="J4178">
        <v>5850</v>
      </c>
      <c r="K4178">
        <v>4</v>
      </c>
      <c r="L4178">
        <v>18000</v>
      </c>
      <c r="M4178">
        <v>23400</v>
      </c>
      <c r="N4178" t="s">
        <v>22</v>
      </c>
      <c r="O4178">
        <f t="shared" si="130"/>
        <v>39780</v>
      </c>
      <c r="P4178" s="13">
        <f t="shared" si="131"/>
        <v>2734212</v>
      </c>
      <c r="Q4178" s="13">
        <f>SUMIFS(M:M,E:E,Online_eCommerce[[#This Row],[Status]])</f>
        <v>28620410</v>
      </c>
      <c r="R4178" s="13">
        <f>SUMIFS(L:L,H:H,Online_eCommerce[[#This Row],[Brand]])</f>
        <v>4528350</v>
      </c>
      <c r="S4178" s="13">
        <f>SUMIF(H:H,Online_eCommerce[[#This Row],[Brand]],M:M)</f>
        <v>5886855</v>
      </c>
      <c r="T4178" s="13">
        <f>SUMIF(N:N,Online_eCommerce[[#This Row],[Assigned Supervisor]],L:L)</f>
        <v>13693220</v>
      </c>
    </row>
    <row r="4179" spans="1:20" hidden="1" x14ac:dyDescent="0.3">
      <c r="A4179" t="s">
        <v>6155</v>
      </c>
      <c r="B4179" t="s">
        <v>287</v>
      </c>
      <c r="C4179" t="s">
        <v>125</v>
      </c>
      <c r="D4179" t="s">
        <v>6111</v>
      </c>
      <c r="E4179" t="s">
        <v>96</v>
      </c>
      <c r="F4179" t="s">
        <v>6156</v>
      </c>
      <c r="G4179" t="s">
        <v>54</v>
      </c>
      <c r="H4179" t="s">
        <v>55</v>
      </c>
      <c r="I4179">
        <v>2100</v>
      </c>
      <c r="J4179">
        <v>2730</v>
      </c>
      <c r="K4179">
        <v>2</v>
      </c>
      <c r="L4179">
        <v>4200</v>
      </c>
      <c r="M4179">
        <v>5460</v>
      </c>
      <c r="N4179" t="s">
        <v>28</v>
      </c>
      <c r="O4179">
        <f t="shared" si="130"/>
        <v>2990</v>
      </c>
      <c r="P4179" s="13">
        <f t="shared" si="131"/>
        <v>2091154</v>
      </c>
      <c r="Q4179" s="13">
        <f>SUMIFS(M:M,E:E,Online_eCommerce[[#This Row],[Status]])</f>
        <v>21233992</v>
      </c>
      <c r="R4179" s="13">
        <f>SUMIFS(L:L,H:H,Online_eCommerce[[#This Row],[Brand]])</f>
        <v>2267380</v>
      </c>
      <c r="S4179" s="13">
        <f>SUMIF(H:H,Online_eCommerce[[#This Row],[Brand]],M:M)</f>
        <v>2947594</v>
      </c>
      <c r="T4179" s="13">
        <f>SUMIF(N:N,Online_eCommerce[[#This Row],[Assigned Supervisor]],L:L)</f>
        <v>12220830</v>
      </c>
    </row>
    <row r="4180" spans="1:20" hidden="1" x14ac:dyDescent="0.3">
      <c r="A4180" t="s">
        <v>6157</v>
      </c>
      <c r="B4180" t="s">
        <v>290</v>
      </c>
      <c r="C4180" t="s">
        <v>22</v>
      </c>
      <c r="D4180" t="s">
        <v>6111</v>
      </c>
      <c r="E4180" t="s">
        <v>18</v>
      </c>
      <c r="F4180" t="s">
        <v>174</v>
      </c>
      <c r="G4180" t="s">
        <v>60</v>
      </c>
      <c r="H4180" t="s">
        <v>61</v>
      </c>
      <c r="I4180">
        <v>1150</v>
      </c>
      <c r="J4180">
        <v>1495</v>
      </c>
      <c r="K4180">
        <v>2</v>
      </c>
      <c r="L4180">
        <v>2300</v>
      </c>
      <c r="M4180">
        <v>2990</v>
      </c>
      <c r="N4180" t="s">
        <v>35</v>
      </c>
      <c r="O4180">
        <f t="shared" si="130"/>
        <v>3315</v>
      </c>
      <c r="P4180" s="13">
        <f t="shared" si="131"/>
        <v>2551588</v>
      </c>
      <c r="Q4180" s="13">
        <f>SUMIFS(M:M,E:E,Online_eCommerce[[#This Row],[Status]])</f>
        <v>28340455</v>
      </c>
      <c r="R4180" s="13">
        <f>SUMIFS(L:L,H:H,Online_eCommerce[[#This Row],[Brand]])</f>
        <v>10950150</v>
      </c>
      <c r="S4180" s="13">
        <f>SUMIF(H:H,Online_eCommerce[[#This Row],[Brand]],M:M)</f>
        <v>14235195</v>
      </c>
      <c r="T4180" s="13">
        <f>SUMIF(N:N,Online_eCommerce[[#This Row],[Assigned Supervisor]],L:L)</f>
        <v>14373360</v>
      </c>
    </row>
    <row r="4181" spans="1:20" hidden="1" x14ac:dyDescent="0.3">
      <c r="A4181" t="s">
        <v>6158</v>
      </c>
      <c r="B4181" t="s">
        <v>15</v>
      </c>
      <c r="C4181" t="s">
        <v>132</v>
      </c>
      <c r="D4181" t="s">
        <v>6111</v>
      </c>
      <c r="E4181" t="s">
        <v>161</v>
      </c>
      <c r="F4181" t="s">
        <v>179</v>
      </c>
      <c r="G4181" t="s">
        <v>66</v>
      </c>
      <c r="H4181" t="s">
        <v>21</v>
      </c>
      <c r="I4181">
        <v>350</v>
      </c>
      <c r="J4181">
        <v>455</v>
      </c>
      <c r="K4181">
        <v>4</v>
      </c>
      <c r="L4181">
        <v>1400</v>
      </c>
      <c r="M4181">
        <v>1820</v>
      </c>
      <c r="N4181" t="s">
        <v>42</v>
      </c>
      <c r="O4181">
        <f t="shared" si="130"/>
        <v>1690</v>
      </c>
      <c r="P4181" s="13">
        <f t="shared" si="131"/>
        <v>1989065</v>
      </c>
      <c r="Q4181" s="13">
        <f>SUMIFS(M:M,E:E,Online_eCommerce[[#This Row],[Status]])</f>
        <v>21103186</v>
      </c>
      <c r="R4181" s="13">
        <f>SUMIFS(L:L,H:H,Online_eCommerce[[#This Row],[Brand]])</f>
        <v>12435650</v>
      </c>
      <c r="S4181" s="13">
        <f>SUMIF(H:H,Online_eCommerce[[#This Row],[Brand]],M:M)</f>
        <v>16166345</v>
      </c>
      <c r="T4181" s="13">
        <f>SUMIF(N:N,Online_eCommerce[[#This Row],[Assigned Supervisor]],L:L)</f>
        <v>12261500</v>
      </c>
    </row>
    <row r="4182" spans="1:20" x14ac:dyDescent="0.3">
      <c r="A4182" t="s">
        <v>6159</v>
      </c>
      <c r="B4182" t="s">
        <v>202</v>
      </c>
      <c r="C4182" t="s">
        <v>136</v>
      </c>
      <c r="D4182" t="s">
        <v>6111</v>
      </c>
      <c r="E4182" t="s">
        <v>46</v>
      </c>
      <c r="F4182" t="s">
        <v>183</v>
      </c>
      <c r="G4182" t="s">
        <v>71</v>
      </c>
      <c r="H4182" t="s">
        <v>61</v>
      </c>
      <c r="I4182">
        <v>9500</v>
      </c>
      <c r="J4182">
        <v>12350</v>
      </c>
      <c r="K4182">
        <v>1</v>
      </c>
      <c r="L4182">
        <v>9500</v>
      </c>
      <c r="M4182">
        <v>12350</v>
      </c>
      <c r="N4182" t="s">
        <v>50</v>
      </c>
      <c r="O4182">
        <f t="shared" si="130"/>
        <v>9750</v>
      </c>
      <c r="P4182" s="13">
        <f t="shared" si="131"/>
        <v>2775162</v>
      </c>
      <c r="Q4182" s="13">
        <f>SUMIFS(M:M,E:E,Online_eCommerce[[#This Row],[Status]])</f>
        <v>28620410</v>
      </c>
      <c r="R4182" s="13">
        <f>SUMIFS(L:L,H:H,Online_eCommerce[[#This Row],[Brand]])</f>
        <v>10950150</v>
      </c>
      <c r="S4182" s="13">
        <f>SUMIF(H:H,Online_eCommerce[[#This Row],[Brand]],M:M)</f>
        <v>14235195</v>
      </c>
      <c r="T4182" s="13">
        <f>SUMIF(N:N,Online_eCommerce[[#This Row],[Assigned Supervisor]],L:L)</f>
        <v>12100590</v>
      </c>
    </row>
    <row r="4183" spans="1:20" hidden="1" x14ac:dyDescent="0.3">
      <c r="A4183" t="s">
        <v>6160</v>
      </c>
      <c r="B4183" t="s">
        <v>30</v>
      </c>
      <c r="C4183" t="s">
        <v>140</v>
      </c>
      <c r="D4183" t="s">
        <v>6111</v>
      </c>
      <c r="E4183" t="s">
        <v>96</v>
      </c>
      <c r="F4183" t="s">
        <v>6161</v>
      </c>
      <c r="G4183" t="s">
        <v>77</v>
      </c>
      <c r="H4183" t="s">
        <v>142</v>
      </c>
      <c r="I4183">
        <v>10000</v>
      </c>
      <c r="J4183">
        <v>13000</v>
      </c>
      <c r="K4183">
        <v>3</v>
      </c>
      <c r="L4183">
        <v>30000</v>
      </c>
      <c r="M4183">
        <v>39000</v>
      </c>
      <c r="N4183" t="s">
        <v>56</v>
      </c>
      <c r="O4183">
        <f t="shared" si="130"/>
        <v>39000</v>
      </c>
      <c r="P4183" s="13">
        <f t="shared" si="131"/>
        <v>2058264</v>
      </c>
      <c r="Q4183" s="13">
        <f>SUMIFS(M:M,E:E,Online_eCommerce[[#This Row],[Status]])</f>
        <v>21233992</v>
      </c>
      <c r="R4183" s="13">
        <f>SUMIFS(L:L,H:H,Online_eCommerce[[#This Row],[Brand]])</f>
        <v>6192500</v>
      </c>
      <c r="S4183" s="13">
        <f>SUMIF(H:H,Online_eCommerce[[#This Row],[Brand]],M:M)</f>
        <v>8050250</v>
      </c>
      <c r="T4183" s="13">
        <f>SUMIF(N:N,Online_eCommerce[[#This Row],[Assigned Supervisor]],L:L)</f>
        <v>11733610</v>
      </c>
    </row>
    <row r="4184" spans="1:20" hidden="1" x14ac:dyDescent="0.3">
      <c r="A4184" t="s">
        <v>6162</v>
      </c>
      <c r="B4184" t="s">
        <v>37</v>
      </c>
      <c r="C4184" t="s">
        <v>145</v>
      </c>
      <c r="D4184" t="s">
        <v>6111</v>
      </c>
      <c r="E4184" t="s">
        <v>18</v>
      </c>
      <c r="F4184" t="s">
        <v>6163</v>
      </c>
      <c r="G4184" t="s">
        <v>20</v>
      </c>
      <c r="H4184" t="s">
        <v>21</v>
      </c>
      <c r="I4184">
        <v>6500</v>
      </c>
      <c r="J4184">
        <v>8450</v>
      </c>
      <c r="K4184">
        <v>1</v>
      </c>
      <c r="L4184">
        <v>6500</v>
      </c>
      <c r="M4184">
        <v>8450</v>
      </c>
      <c r="N4184" t="s">
        <v>22</v>
      </c>
      <c r="O4184">
        <f t="shared" si="130"/>
        <v>8450</v>
      </c>
      <c r="P4184" s="13">
        <f t="shared" si="131"/>
        <v>2757859</v>
      </c>
      <c r="Q4184" s="13">
        <f>SUMIFS(M:M,E:E,Online_eCommerce[[#This Row],[Status]])</f>
        <v>28340455</v>
      </c>
      <c r="R4184" s="13">
        <f>SUMIFS(L:L,H:H,Online_eCommerce[[#This Row],[Brand]])</f>
        <v>12435650</v>
      </c>
      <c r="S4184" s="13">
        <f>SUMIF(H:H,Online_eCommerce[[#This Row],[Brand]],M:M)</f>
        <v>16166345</v>
      </c>
      <c r="T4184" s="13">
        <f>SUMIF(N:N,Online_eCommerce[[#This Row],[Assigned Supervisor]],L:L)</f>
        <v>13693220</v>
      </c>
    </row>
    <row r="4185" spans="1:20" hidden="1" x14ac:dyDescent="0.3">
      <c r="A4185" t="s">
        <v>6164</v>
      </c>
      <c r="B4185" t="s">
        <v>44</v>
      </c>
      <c r="C4185" t="s">
        <v>150</v>
      </c>
      <c r="D4185" t="s">
        <v>6111</v>
      </c>
      <c r="E4185" t="s">
        <v>161</v>
      </c>
      <c r="F4185" t="s">
        <v>6165</v>
      </c>
      <c r="G4185" t="s">
        <v>26</v>
      </c>
      <c r="H4185" t="s">
        <v>27</v>
      </c>
      <c r="I4185">
        <v>8500</v>
      </c>
      <c r="J4185">
        <v>11050</v>
      </c>
      <c r="K4185">
        <v>3</v>
      </c>
      <c r="L4185">
        <v>25500</v>
      </c>
      <c r="M4185">
        <v>33150</v>
      </c>
      <c r="N4185" t="s">
        <v>28</v>
      </c>
      <c r="O4185">
        <f t="shared" si="130"/>
        <v>33150</v>
      </c>
      <c r="P4185" s="13">
        <f t="shared" si="131"/>
        <v>2154984</v>
      </c>
      <c r="Q4185" s="13">
        <f>SUMIFS(M:M,E:E,Online_eCommerce[[#This Row],[Status]])</f>
        <v>21103186</v>
      </c>
      <c r="R4185" s="13">
        <f>SUMIFS(L:L,H:H,Online_eCommerce[[#This Row],[Brand]])</f>
        <v>14431000</v>
      </c>
      <c r="S4185" s="13">
        <f>SUMIF(H:H,Online_eCommerce[[#This Row],[Brand]],M:M)</f>
        <v>18760300</v>
      </c>
      <c r="T4185" s="13">
        <f>SUMIF(N:N,Online_eCommerce[[#This Row],[Assigned Supervisor]],L:L)</f>
        <v>12220830</v>
      </c>
    </row>
    <row r="4186" spans="1:20" x14ac:dyDescent="0.3">
      <c r="A4186" t="s">
        <v>6166</v>
      </c>
      <c r="B4186" t="s">
        <v>213</v>
      </c>
      <c r="C4186" t="s">
        <v>155</v>
      </c>
      <c r="D4186" t="s">
        <v>6111</v>
      </c>
      <c r="E4186" t="s">
        <v>46</v>
      </c>
      <c r="F4186" t="s">
        <v>32</v>
      </c>
      <c r="G4186" t="s">
        <v>33</v>
      </c>
      <c r="H4186" t="s">
        <v>34</v>
      </c>
      <c r="I4186">
        <v>7000</v>
      </c>
      <c r="J4186">
        <v>9100</v>
      </c>
      <c r="K4186">
        <v>4</v>
      </c>
      <c r="L4186">
        <v>28000</v>
      </c>
      <c r="M4186">
        <v>36400</v>
      </c>
      <c r="N4186" t="s">
        <v>35</v>
      </c>
      <c r="O4186">
        <f t="shared" si="130"/>
        <v>18200</v>
      </c>
      <c r="P4186" s="13">
        <f t="shared" si="131"/>
        <v>2753348</v>
      </c>
      <c r="Q4186" s="13">
        <f>SUMIFS(M:M,E:E,Online_eCommerce[[#This Row],[Status]])</f>
        <v>28620410</v>
      </c>
      <c r="R4186" s="13">
        <f>SUMIFS(L:L,H:H,Online_eCommerce[[#This Row],[Brand]])</f>
        <v>10087000</v>
      </c>
      <c r="S4186" s="13">
        <f>SUMIF(H:H,Online_eCommerce[[#This Row],[Brand]],M:M)</f>
        <v>13113100</v>
      </c>
      <c r="T4186" s="13">
        <f>SUMIF(N:N,Online_eCommerce[[#This Row],[Assigned Supervisor]],L:L)</f>
        <v>14373360</v>
      </c>
    </row>
    <row r="4187" spans="1:20" hidden="1" x14ac:dyDescent="0.3">
      <c r="A4187" t="s">
        <v>6167</v>
      </c>
      <c r="B4187" t="s">
        <v>215</v>
      </c>
      <c r="C4187" t="s">
        <v>160</v>
      </c>
      <c r="D4187" t="s">
        <v>6111</v>
      </c>
      <c r="E4187" t="s">
        <v>96</v>
      </c>
      <c r="F4187" t="s">
        <v>6168</v>
      </c>
      <c r="G4187" t="s">
        <v>40</v>
      </c>
      <c r="H4187" t="s">
        <v>41</v>
      </c>
      <c r="I4187">
        <v>6550</v>
      </c>
      <c r="J4187">
        <v>8515</v>
      </c>
      <c r="K4187">
        <v>1</v>
      </c>
      <c r="L4187">
        <v>6550</v>
      </c>
      <c r="M4187">
        <v>8515</v>
      </c>
      <c r="N4187" t="s">
        <v>42</v>
      </c>
      <c r="O4187">
        <f t="shared" si="130"/>
        <v>25545</v>
      </c>
      <c r="P4187" s="13">
        <f t="shared" si="131"/>
        <v>2303483</v>
      </c>
      <c r="Q4187" s="13">
        <f>SUMIFS(M:M,E:E,Online_eCommerce[[#This Row],[Status]])</f>
        <v>21233992</v>
      </c>
      <c r="R4187" s="13">
        <f>SUMIFS(L:L,H:H,Online_eCommerce[[#This Row],[Brand]])</f>
        <v>4260400</v>
      </c>
      <c r="S4187" s="13">
        <f>SUMIF(H:H,Online_eCommerce[[#This Row],[Brand]],M:M)</f>
        <v>5538520</v>
      </c>
      <c r="T4187" s="13">
        <f>SUMIF(N:N,Online_eCommerce[[#This Row],[Assigned Supervisor]],L:L)</f>
        <v>12261500</v>
      </c>
    </row>
    <row r="4188" spans="1:20" hidden="1" x14ac:dyDescent="0.3">
      <c r="A4188" t="s">
        <v>6169</v>
      </c>
      <c r="B4188" t="s">
        <v>306</v>
      </c>
      <c r="C4188" t="s">
        <v>165</v>
      </c>
      <c r="D4188" t="s">
        <v>6111</v>
      </c>
      <c r="E4188" t="s">
        <v>18</v>
      </c>
      <c r="F4188" t="s">
        <v>47</v>
      </c>
      <c r="G4188" t="s">
        <v>334</v>
      </c>
      <c r="H4188" t="s">
        <v>49</v>
      </c>
      <c r="I4188">
        <v>7650</v>
      </c>
      <c r="J4188">
        <v>9945</v>
      </c>
      <c r="K4188">
        <v>4</v>
      </c>
      <c r="L4188">
        <v>30600</v>
      </c>
      <c r="M4188">
        <v>39780</v>
      </c>
      <c r="N4188" t="s">
        <v>50</v>
      </c>
      <c r="O4188">
        <f t="shared" si="130"/>
        <v>39780</v>
      </c>
      <c r="P4188" s="13">
        <f t="shared" si="131"/>
        <v>2674087</v>
      </c>
      <c r="Q4188" s="13">
        <f>SUMIFS(M:M,E:E,Online_eCommerce[[#This Row],[Status]])</f>
        <v>28340455</v>
      </c>
      <c r="R4188" s="13">
        <f>SUMIFS(L:L,H:H,Online_eCommerce[[#This Row],[Brand]])</f>
        <v>4528350</v>
      </c>
      <c r="S4188" s="13">
        <f>SUMIF(H:H,Online_eCommerce[[#This Row],[Brand]],M:M)</f>
        <v>5886855</v>
      </c>
      <c r="T4188" s="13">
        <f>SUMIF(N:N,Online_eCommerce[[#This Row],[Assigned Supervisor]],L:L)</f>
        <v>12100590</v>
      </c>
    </row>
    <row r="4189" spans="1:20" hidden="1" x14ac:dyDescent="0.3">
      <c r="A4189" t="s">
        <v>6170</v>
      </c>
      <c r="B4189" t="s">
        <v>528</v>
      </c>
      <c r="C4189" t="s">
        <v>168</v>
      </c>
      <c r="D4189" t="s">
        <v>6111</v>
      </c>
      <c r="E4189" t="s">
        <v>161</v>
      </c>
      <c r="F4189" t="s">
        <v>53</v>
      </c>
      <c r="G4189" t="s">
        <v>54</v>
      </c>
      <c r="H4189" t="s">
        <v>55</v>
      </c>
      <c r="I4189">
        <v>1150</v>
      </c>
      <c r="J4189">
        <v>1495</v>
      </c>
      <c r="K4189">
        <v>4</v>
      </c>
      <c r="L4189">
        <v>4600</v>
      </c>
      <c r="M4189">
        <v>5980</v>
      </c>
      <c r="N4189" t="s">
        <v>56</v>
      </c>
      <c r="O4189">
        <f t="shared" si="130"/>
        <v>2990</v>
      </c>
      <c r="P4189" s="13">
        <f t="shared" si="131"/>
        <v>1937780</v>
      </c>
      <c r="Q4189" s="13">
        <f>SUMIFS(M:M,E:E,Online_eCommerce[[#This Row],[Status]])</f>
        <v>21103186</v>
      </c>
      <c r="R4189" s="13">
        <f>SUMIFS(L:L,H:H,Online_eCommerce[[#This Row],[Brand]])</f>
        <v>2267380</v>
      </c>
      <c r="S4189" s="13">
        <f>SUMIF(H:H,Online_eCommerce[[#This Row],[Brand]],M:M)</f>
        <v>2947594</v>
      </c>
      <c r="T4189" s="13">
        <f>SUMIF(N:N,Online_eCommerce[[#This Row],[Assigned Supervisor]],L:L)</f>
        <v>11733610</v>
      </c>
    </row>
    <row r="4190" spans="1:20" x14ac:dyDescent="0.3">
      <c r="A4190" t="s">
        <v>6171</v>
      </c>
      <c r="B4190" t="s">
        <v>73</v>
      </c>
      <c r="C4190" t="s">
        <v>172</v>
      </c>
      <c r="D4190" t="s">
        <v>6111</v>
      </c>
      <c r="E4190" t="s">
        <v>46</v>
      </c>
      <c r="F4190" t="s">
        <v>59</v>
      </c>
      <c r="G4190" t="s">
        <v>60</v>
      </c>
      <c r="H4190" t="s">
        <v>61</v>
      </c>
      <c r="I4190">
        <v>850</v>
      </c>
      <c r="J4190">
        <v>1105</v>
      </c>
      <c r="K4190">
        <v>4</v>
      </c>
      <c r="L4190">
        <v>3400</v>
      </c>
      <c r="M4190">
        <v>4420</v>
      </c>
      <c r="N4190" t="s">
        <v>22</v>
      </c>
      <c r="O4190">
        <f t="shared" si="130"/>
        <v>3315</v>
      </c>
      <c r="P4190" s="13">
        <f t="shared" si="131"/>
        <v>2640274</v>
      </c>
      <c r="Q4190" s="13">
        <f>SUMIFS(M:M,E:E,Online_eCommerce[[#This Row],[Status]])</f>
        <v>28620410</v>
      </c>
      <c r="R4190" s="13">
        <f>SUMIFS(L:L,H:H,Online_eCommerce[[#This Row],[Brand]])</f>
        <v>10950150</v>
      </c>
      <c r="S4190" s="13">
        <f>SUMIF(H:H,Online_eCommerce[[#This Row],[Brand]],M:M)</f>
        <v>14235195</v>
      </c>
      <c r="T4190" s="13">
        <f>SUMIF(N:N,Online_eCommerce[[#This Row],[Assigned Supervisor]],L:L)</f>
        <v>13693220</v>
      </c>
    </row>
    <row r="4191" spans="1:20" hidden="1" x14ac:dyDescent="0.3">
      <c r="A4191" t="s">
        <v>6172</v>
      </c>
      <c r="B4191" t="s">
        <v>80</v>
      </c>
      <c r="C4191" t="s">
        <v>177</v>
      </c>
      <c r="D4191" t="s">
        <v>6111</v>
      </c>
      <c r="E4191" t="s">
        <v>96</v>
      </c>
      <c r="F4191" t="s">
        <v>65</v>
      </c>
      <c r="G4191" t="s">
        <v>66</v>
      </c>
      <c r="H4191" t="s">
        <v>21</v>
      </c>
      <c r="I4191">
        <v>650</v>
      </c>
      <c r="J4191">
        <v>845</v>
      </c>
      <c r="K4191">
        <v>4</v>
      </c>
      <c r="L4191">
        <v>2600</v>
      </c>
      <c r="M4191">
        <v>3380</v>
      </c>
      <c r="N4191" t="s">
        <v>28</v>
      </c>
      <c r="O4191">
        <f t="shared" si="130"/>
        <v>1690</v>
      </c>
      <c r="P4191" s="13">
        <f t="shared" si="131"/>
        <v>1863810</v>
      </c>
      <c r="Q4191" s="13">
        <f>SUMIFS(M:M,E:E,Online_eCommerce[[#This Row],[Status]])</f>
        <v>21233992</v>
      </c>
      <c r="R4191" s="13">
        <f>SUMIFS(L:L,H:H,Online_eCommerce[[#This Row],[Brand]])</f>
        <v>12435650</v>
      </c>
      <c r="S4191" s="13">
        <f>SUMIF(H:H,Online_eCommerce[[#This Row],[Brand]],M:M)</f>
        <v>16166345</v>
      </c>
      <c r="T4191" s="13">
        <f>SUMIF(N:N,Online_eCommerce[[#This Row],[Assigned Supervisor]],L:L)</f>
        <v>12220830</v>
      </c>
    </row>
    <row r="4192" spans="1:20" hidden="1" x14ac:dyDescent="0.3">
      <c r="A4192" t="s">
        <v>6173</v>
      </c>
      <c r="B4192" t="s">
        <v>85</v>
      </c>
      <c r="C4192" t="s">
        <v>181</v>
      </c>
      <c r="D4192" t="s">
        <v>6174</v>
      </c>
      <c r="E4192" t="s">
        <v>18</v>
      </c>
      <c r="F4192" t="s">
        <v>70</v>
      </c>
      <c r="G4192" t="s">
        <v>71</v>
      </c>
      <c r="H4192" t="s">
        <v>61</v>
      </c>
      <c r="I4192">
        <v>7500</v>
      </c>
      <c r="J4192">
        <v>9750</v>
      </c>
      <c r="K4192">
        <v>4</v>
      </c>
      <c r="L4192">
        <v>30000</v>
      </c>
      <c r="M4192">
        <v>39000</v>
      </c>
      <c r="N4192" t="s">
        <v>35</v>
      </c>
      <c r="O4192">
        <f t="shared" si="130"/>
        <v>9750</v>
      </c>
      <c r="P4192" s="13">
        <f t="shared" si="131"/>
        <v>2577458</v>
      </c>
      <c r="Q4192" s="13">
        <f>SUMIFS(M:M,E:E,Online_eCommerce[[#This Row],[Status]])</f>
        <v>28340455</v>
      </c>
      <c r="R4192" s="13">
        <f>SUMIFS(L:L,H:H,Online_eCommerce[[#This Row],[Brand]])</f>
        <v>10950150</v>
      </c>
      <c r="S4192" s="13">
        <f>SUMIF(H:H,Online_eCommerce[[#This Row],[Brand]],M:M)</f>
        <v>14235195</v>
      </c>
      <c r="T4192" s="13">
        <f>SUMIF(N:N,Online_eCommerce[[#This Row],[Assigned Supervisor]],L:L)</f>
        <v>14373360</v>
      </c>
    </row>
    <row r="4193" spans="1:20" hidden="1" x14ac:dyDescent="0.3">
      <c r="A4193" t="s">
        <v>6175</v>
      </c>
      <c r="B4193" t="s">
        <v>90</v>
      </c>
      <c r="C4193" t="s">
        <v>185</v>
      </c>
      <c r="D4193" t="s">
        <v>6174</v>
      </c>
      <c r="E4193" t="s">
        <v>161</v>
      </c>
      <c r="F4193" t="s">
        <v>6161</v>
      </c>
      <c r="G4193" t="s">
        <v>77</v>
      </c>
      <c r="H4193" t="s">
        <v>78</v>
      </c>
      <c r="I4193">
        <v>10000</v>
      </c>
      <c r="J4193">
        <v>13000</v>
      </c>
      <c r="K4193">
        <v>4</v>
      </c>
      <c r="L4193">
        <v>40000</v>
      </c>
      <c r="M4193">
        <v>52000</v>
      </c>
      <c r="N4193" t="s">
        <v>42</v>
      </c>
      <c r="O4193">
        <f t="shared" si="130"/>
        <v>39000</v>
      </c>
      <c r="P4193" s="13">
        <f t="shared" si="131"/>
        <v>2091596</v>
      </c>
      <c r="Q4193" s="13">
        <f>SUMIFS(M:M,E:E,Online_eCommerce[[#This Row],[Status]])</f>
        <v>21103186</v>
      </c>
      <c r="R4193" s="13">
        <f>SUMIFS(L:L,H:H,Online_eCommerce[[#This Row],[Brand]])</f>
        <v>3720000</v>
      </c>
      <c r="S4193" s="13">
        <f>SUMIF(H:H,Online_eCommerce[[#This Row],[Brand]],M:M)</f>
        <v>4836000</v>
      </c>
      <c r="T4193" s="13">
        <f>SUMIF(N:N,Online_eCommerce[[#This Row],[Assigned Supervisor]],L:L)</f>
        <v>12261500</v>
      </c>
    </row>
    <row r="4194" spans="1:20" x14ac:dyDescent="0.3">
      <c r="A4194" t="s">
        <v>6176</v>
      </c>
      <c r="B4194" t="s">
        <v>232</v>
      </c>
      <c r="C4194" t="s">
        <v>189</v>
      </c>
      <c r="D4194" t="s">
        <v>6174</v>
      </c>
      <c r="E4194" t="s">
        <v>46</v>
      </c>
      <c r="F4194" t="s">
        <v>6177</v>
      </c>
      <c r="G4194" t="s">
        <v>20</v>
      </c>
      <c r="H4194" t="s">
        <v>21</v>
      </c>
      <c r="I4194">
        <v>10500</v>
      </c>
      <c r="J4194">
        <v>13650</v>
      </c>
      <c r="K4194">
        <v>4</v>
      </c>
      <c r="L4194">
        <v>42000</v>
      </c>
      <c r="M4194">
        <v>54600</v>
      </c>
      <c r="N4194" t="s">
        <v>50</v>
      </c>
      <c r="O4194">
        <f t="shared" si="130"/>
        <v>8450</v>
      </c>
      <c r="P4194" s="13">
        <f t="shared" si="131"/>
        <v>2740777</v>
      </c>
      <c r="Q4194" s="13">
        <f>SUMIFS(M:M,E:E,Online_eCommerce[[#This Row],[Status]])</f>
        <v>28620410</v>
      </c>
      <c r="R4194" s="13">
        <f>SUMIFS(L:L,H:H,Online_eCommerce[[#This Row],[Brand]])</f>
        <v>12435650</v>
      </c>
      <c r="S4194" s="13">
        <f>SUMIF(H:H,Online_eCommerce[[#This Row],[Brand]],M:M)</f>
        <v>16166345</v>
      </c>
      <c r="T4194" s="13">
        <f>SUMIF(N:N,Online_eCommerce[[#This Row],[Assigned Supervisor]],L:L)</f>
        <v>12100590</v>
      </c>
    </row>
    <row r="4195" spans="1:20" hidden="1" x14ac:dyDescent="0.3">
      <c r="A4195" t="s">
        <v>6178</v>
      </c>
      <c r="B4195" t="s">
        <v>235</v>
      </c>
      <c r="C4195" t="s">
        <v>193</v>
      </c>
      <c r="D4195" t="s">
        <v>6174</v>
      </c>
      <c r="E4195" t="s">
        <v>96</v>
      </c>
      <c r="F4195" t="s">
        <v>88</v>
      </c>
      <c r="G4195" t="s">
        <v>26</v>
      </c>
      <c r="H4195" t="s">
        <v>27</v>
      </c>
      <c r="I4195">
        <v>8500</v>
      </c>
      <c r="J4195">
        <v>11050</v>
      </c>
      <c r="K4195">
        <v>2</v>
      </c>
      <c r="L4195">
        <v>17000</v>
      </c>
      <c r="M4195">
        <v>22100</v>
      </c>
      <c r="N4195" t="s">
        <v>56</v>
      </c>
      <c r="O4195">
        <f t="shared" si="130"/>
        <v>33150</v>
      </c>
      <c r="P4195" s="13">
        <f t="shared" si="131"/>
        <v>2074774</v>
      </c>
      <c r="Q4195" s="13">
        <f>SUMIFS(M:M,E:E,Online_eCommerce[[#This Row],[Status]])</f>
        <v>21233992</v>
      </c>
      <c r="R4195" s="13">
        <f>SUMIFS(L:L,H:H,Online_eCommerce[[#This Row],[Brand]])</f>
        <v>14431000</v>
      </c>
      <c r="S4195" s="13">
        <f>SUMIF(H:H,Online_eCommerce[[#This Row],[Brand]],M:M)</f>
        <v>18760300</v>
      </c>
      <c r="T4195" s="13">
        <f>SUMIF(N:N,Online_eCommerce[[#This Row],[Assigned Supervisor]],L:L)</f>
        <v>11733610</v>
      </c>
    </row>
    <row r="4196" spans="1:20" hidden="1" x14ac:dyDescent="0.3">
      <c r="A4196" t="s">
        <v>6179</v>
      </c>
      <c r="B4196" t="s">
        <v>104</v>
      </c>
      <c r="C4196" t="s">
        <v>197</v>
      </c>
      <c r="D4196" t="s">
        <v>6174</v>
      </c>
      <c r="E4196" t="s">
        <v>18</v>
      </c>
      <c r="F4196" t="s">
        <v>32</v>
      </c>
      <c r="G4196" t="s">
        <v>33</v>
      </c>
      <c r="H4196" t="s">
        <v>34</v>
      </c>
      <c r="I4196">
        <v>7000</v>
      </c>
      <c r="J4196">
        <v>9100</v>
      </c>
      <c r="K4196">
        <v>3</v>
      </c>
      <c r="L4196">
        <v>21000</v>
      </c>
      <c r="M4196">
        <v>27300</v>
      </c>
      <c r="N4196" t="s">
        <v>22</v>
      </c>
      <c r="O4196">
        <f t="shared" si="130"/>
        <v>18200</v>
      </c>
      <c r="P4196" s="13">
        <f t="shared" si="131"/>
        <v>2829840</v>
      </c>
      <c r="Q4196" s="13">
        <f>SUMIFS(M:M,E:E,Online_eCommerce[[#This Row],[Status]])</f>
        <v>28340455</v>
      </c>
      <c r="R4196" s="13">
        <f>SUMIFS(L:L,H:H,Online_eCommerce[[#This Row],[Brand]])</f>
        <v>10087000</v>
      </c>
      <c r="S4196" s="13">
        <f>SUMIF(H:H,Online_eCommerce[[#This Row],[Brand]],M:M)</f>
        <v>13113100</v>
      </c>
      <c r="T4196" s="13">
        <f>SUMIF(N:N,Online_eCommerce[[#This Row],[Assigned Supervisor]],L:L)</f>
        <v>13693220</v>
      </c>
    </row>
    <row r="4197" spans="1:20" hidden="1" x14ac:dyDescent="0.3">
      <c r="A4197" t="s">
        <v>6180</v>
      </c>
      <c r="B4197" t="s">
        <v>109</v>
      </c>
      <c r="C4197" t="s">
        <v>199</v>
      </c>
      <c r="D4197" t="s">
        <v>6174</v>
      </c>
      <c r="E4197" t="s">
        <v>161</v>
      </c>
      <c r="F4197" t="s">
        <v>6181</v>
      </c>
      <c r="G4197" t="s">
        <v>40</v>
      </c>
      <c r="H4197" t="s">
        <v>41</v>
      </c>
      <c r="I4197">
        <v>1680</v>
      </c>
      <c r="J4197">
        <v>2184</v>
      </c>
      <c r="K4197">
        <v>3</v>
      </c>
      <c r="L4197">
        <v>5040</v>
      </c>
      <c r="M4197">
        <v>6552</v>
      </c>
      <c r="N4197" t="s">
        <v>28</v>
      </c>
      <c r="O4197">
        <f t="shared" si="130"/>
        <v>25545</v>
      </c>
      <c r="P4197" s="13">
        <f t="shared" si="131"/>
        <v>1947361</v>
      </c>
      <c r="Q4197" s="13">
        <f>SUMIFS(M:M,E:E,Online_eCommerce[[#This Row],[Status]])</f>
        <v>21103186</v>
      </c>
      <c r="R4197" s="13">
        <f>SUMIFS(L:L,H:H,Online_eCommerce[[#This Row],[Brand]])</f>
        <v>4260400</v>
      </c>
      <c r="S4197" s="13">
        <f>SUMIF(H:H,Online_eCommerce[[#This Row],[Brand]],M:M)</f>
        <v>5538520</v>
      </c>
      <c r="T4197" s="13">
        <f>SUMIF(N:N,Online_eCommerce[[#This Row],[Assigned Supervisor]],L:L)</f>
        <v>12220830</v>
      </c>
    </row>
    <row r="4198" spans="1:20" x14ac:dyDescent="0.3">
      <c r="A4198" t="s">
        <v>6182</v>
      </c>
      <c r="B4198" t="s">
        <v>114</v>
      </c>
      <c r="C4198" t="s">
        <v>203</v>
      </c>
      <c r="D4198" t="s">
        <v>6174</v>
      </c>
      <c r="E4198" t="s">
        <v>46</v>
      </c>
      <c r="F4198" t="s">
        <v>101</v>
      </c>
      <c r="G4198" t="s">
        <v>334</v>
      </c>
      <c r="H4198" t="s">
        <v>102</v>
      </c>
      <c r="I4198">
        <v>6540</v>
      </c>
      <c r="J4198">
        <v>8502</v>
      </c>
      <c r="K4198">
        <v>1</v>
      </c>
      <c r="L4198">
        <v>6540</v>
      </c>
      <c r="M4198">
        <v>8502</v>
      </c>
      <c r="N4198" t="s">
        <v>35</v>
      </c>
      <c r="O4198">
        <f t="shared" si="130"/>
        <v>39780</v>
      </c>
      <c r="P4198" s="13">
        <f t="shared" si="131"/>
        <v>2559635</v>
      </c>
      <c r="Q4198" s="13">
        <f>SUMIFS(M:M,E:E,Online_eCommerce[[#This Row],[Status]])</f>
        <v>28620410</v>
      </c>
      <c r="R4198" s="13">
        <f>SUMIFS(L:L,H:H,Online_eCommerce[[#This Row],[Brand]])</f>
        <v>2465580</v>
      </c>
      <c r="S4198" s="13">
        <f>SUMIF(H:H,Online_eCommerce[[#This Row],[Brand]],M:M)</f>
        <v>3205254</v>
      </c>
      <c r="T4198" s="13">
        <f>SUMIF(N:N,Online_eCommerce[[#This Row],[Assigned Supervisor]],L:L)</f>
        <v>14373360</v>
      </c>
    </row>
    <row r="4199" spans="1:20" hidden="1" x14ac:dyDescent="0.3">
      <c r="A4199" t="s">
        <v>6183</v>
      </c>
      <c r="B4199" t="s">
        <v>119</v>
      </c>
      <c r="C4199" t="s">
        <v>205</v>
      </c>
      <c r="D4199" t="s">
        <v>6174</v>
      </c>
      <c r="E4199" t="s">
        <v>96</v>
      </c>
      <c r="F4199" t="s">
        <v>107</v>
      </c>
      <c r="G4199" t="s">
        <v>54</v>
      </c>
      <c r="H4199" t="s">
        <v>55</v>
      </c>
      <c r="I4199">
        <v>2680</v>
      </c>
      <c r="J4199">
        <v>3484</v>
      </c>
      <c r="K4199">
        <v>2</v>
      </c>
      <c r="L4199">
        <v>5360</v>
      </c>
      <c r="M4199">
        <v>6968</v>
      </c>
      <c r="N4199" t="s">
        <v>22</v>
      </c>
      <c r="O4199">
        <f t="shared" si="130"/>
        <v>2990</v>
      </c>
      <c r="P4199" s="13">
        <f t="shared" si="131"/>
        <v>1983254</v>
      </c>
      <c r="Q4199" s="13">
        <f>SUMIFS(M:M,E:E,Online_eCommerce[[#This Row],[Status]])</f>
        <v>21233992</v>
      </c>
      <c r="R4199" s="13">
        <f>SUMIFS(L:L,H:H,Online_eCommerce[[#This Row],[Brand]])</f>
        <v>2267380</v>
      </c>
      <c r="S4199" s="13">
        <f>SUMIF(H:H,Online_eCommerce[[#This Row],[Brand]],M:M)</f>
        <v>2947594</v>
      </c>
      <c r="T4199" s="13">
        <f>SUMIF(N:N,Online_eCommerce[[#This Row],[Assigned Supervisor]],L:L)</f>
        <v>13693220</v>
      </c>
    </row>
    <row r="4200" spans="1:20" hidden="1" x14ac:dyDescent="0.3">
      <c r="A4200" t="s">
        <v>6184</v>
      </c>
      <c r="B4200" t="s">
        <v>124</v>
      </c>
      <c r="C4200" t="s">
        <v>208</v>
      </c>
      <c r="D4200" t="s">
        <v>6174</v>
      </c>
      <c r="E4200" t="s">
        <v>18</v>
      </c>
      <c r="F4200" t="s">
        <v>112</v>
      </c>
      <c r="G4200" t="s">
        <v>71</v>
      </c>
      <c r="H4200" t="s">
        <v>21</v>
      </c>
      <c r="I4200">
        <v>8250</v>
      </c>
      <c r="J4200">
        <v>10725</v>
      </c>
      <c r="K4200">
        <v>1</v>
      </c>
      <c r="L4200">
        <v>8250</v>
      </c>
      <c r="M4200">
        <v>10725</v>
      </c>
      <c r="N4200" t="s">
        <v>22</v>
      </c>
      <c r="O4200">
        <f t="shared" si="130"/>
        <v>9750</v>
      </c>
      <c r="P4200" s="13">
        <f t="shared" si="131"/>
        <v>2746575</v>
      </c>
      <c r="Q4200" s="13">
        <f>SUMIFS(M:M,E:E,Online_eCommerce[[#This Row],[Status]])</f>
        <v>28340455</v>
      </c>
      <c r="R4200" s="13">
        <f>SUMIFS(L:L,H:H,Online_eCommerce[[#This Row],[Brand]])</f>
        <v>12435650</v>
      </c>
      <c r="S4200" s="13">
        <f>SUMIF(H:H,Online_eCommerce[[#This Row],[Brand]],M:M)</f>
        <v>16166345</v>
      </c>
      <c r="T4200" s="13">
        <f>SUMIF(N:N,Online_eCommerce[[#This Row],[Assigned Supervisor]],L:L)</f>
        <v>13693220</v>
      </c>
    </row>
    <row r="4201" spans="1:20" hidden="1" x14ac:dyDescent="0.3">
      <c r="A4201" t="s">
        <v>6185</v>
      </c>
      <c r="B4201" t="s">
        <v>128</v>
      </c>
      <c r="C4201" t="s">
        <v>211</v>
      </c>
      <c r="D4201" t="s">
        <v>6174</v>
      </c>
      <c r="E4201" t="s">
        <v>161</v>
      </c>
      <c r="F4201" t="s">
        <v>5816</v>
      </c>
      <c r="G4201" t="s">
        <v>40</v>
      </c>
      <c r="H4201" t="s">
        <v>21</v>
      </c>
      <c r="I4201">
        <v>2650</v>
      </c>
      <c r="J4201">
        <v>3445</v>
      </c>
      <c r="K4201">
        <v>4</v>
      </c>
      <c r="L4201">
        <v>10600</v>
      </c>
      <c r="M4201">
        <v>13780</v>
      </c>
      <c r="N4201" t="s">
        <v>22</v>
      </c>
      <c r="O4201">
        <f t="shared" si="130"/>
        <v>25545</v>
      </c>
      <c r="P4201" s="13">
        <f t="shared" si="131"/>
        <v>1809847</v>
      </c>
      <c r="Q4201" s="13">
        <f>SUMIFS(M:M,E:E,Online_eCommerce[[#This Row],[Status]])</f>
        <v>21103186</v>
      </c>
      <c r="R4201" s="13">
        <f>SUMIFS(L:L,H:H,Online_eCommerce[[#This Row],[Brand]])</f>
        <v>12435650</v>
      </c>
      <c r="S4201" s="13">
        <f>SUMIF(H:H,Online_eCommerce[[#This Row],[Brand]],M:M)</f>
        <v>16166345</v>
      </c>
      <c r="T4201" s="13">
        <f>SUMIF(N:N,Online_eCommerce[[#This Row],[Assigned Supervisor]],L:L)</f>
        <v>13693220</v>
      </c>
    </row>
    <row r="4202" spans="1:20" x14ac:dyDescent="0.3">
      <c r="A4202" t="s">
        <v>6186</v>
      </c>
      <c r="B4202" t="s">
        <v>131</v>
      </c>
      <c r="C4202" t="s">
        <v>16</v>
      </c>
      <c r="D4202" t="s">
        <v>6174</v>
      </c>
      <c r="E4202" t="s">
        <v>46</v>
      </c>
      <c r="F4202" t="s">
        <v>121</v>
      </c>
      <c r="G4202" t="s">
        <v>71</v>
      </c>
      <c r="H4202" t="s">
        <v>122</v>
      </c>
      <c r="I4202">
        <v>12550</v>
      </c>
      <c r="J4202">
        <v>16315</v>
      </c>
      <c r="K4202">
        <v>1</v>
      </c>
      <c r="L4202">
        <v>12550</v>
      </c>
      <c r="M4202">
        <v>16315</v>
      </c>
      <c r="N4202" t="s">
        <v>22</v>
      </c>
      <c r="O4202">
        <f t="shared" si="130"/>
        <v>9750</v>
      </c>
      <c r="P4202" s="13">
        <f t="shared" si="131"/>
        <v>2751814</v>
      </c>
      <c r="Q4202" s="13">
        <f>SUMIFS(M:M,E:E,Online_eCommerce[[#This Row],[Status]])</f>
        <v>28620410</v>
      </c>
      <c r="R4202" s="13">
        <f>SUMIFS(L:L,H:H,Online_eCommerce[[#This Row],[Brand]])</f>
        <v>5045100</v>
      </c>
      <c r="S4202" s="13">
        <f>SUMIF(H:H,Online_eCommerce[[#This Row],[Brand]],M:M)</f>
        <v>6558630</v>
      </c>
      <c r="T4202" s="13">
        <f>SUMIF(N:N,Online_eCommerce[[#This Row],[Assigned Supervisor]],L:L)</f>
        <v>13693220</v>
      </c>
    </row>
    <row r="4203" spans="1:20" hidden="1" x14ac:dyDescent="0.3">
      <c r="A4203" t="s">
        <v>6187</v>
      </c>
      <c r="B4203" t="s">
        <v>135</v>
      </c>
      <c r="C4203" t="s">
        <v>24</v>
      </c>
      <c r="D4203" t="s">
        <v>6188</v>
      </c>
      <c r="E4203" t="s">
        <v>96</v>
      </c>
      <c r="F4203" t="s">
        <v>126</v>
      </c>
      <c r="G4203" t="s">
        <v>26</v>
      </c>
      <c r="H4203" t="s">
        <v>27</v>
      </c>
      <c r="I4203">
        <v>14500</v>
      </c>
      <c r="J4203">
        <v>18850</v>
      </c>
      <c r="K4203">
        <v>4</v>
      </c>
      <c r="L4203">
        <v>58000</v>
      </c>
      <c r="M4203">
        <v>75400</v>
      </c>
      <c r="N4203" t="s">
        <v>22</v>
      </c>
      <c r="O4203">
        <f t="shared" si="130"/>
        <v>33150</v>
      </c>
      <c r="P4203" s="13">
        <f t="shared" si="131"/>
        <v>2009540</v>
      </c>
      <c r="Q4203" s="13">
        <f>SUMIFS(M:M,E:E,Online_eCommerce[[#This Row],[Status]])</f>
        <v>21233992</v>
      </c>
      <c r="R4203" s="13">
        <f>SUMIFS(L:L,H:H,Online_eCommerce[[#This Row],[Brand]])</f>
        <v>14431000</v>
      </c>
      <c r="S4203" s="13">
        <f>SUMIF(H:H,Online_eCommerce[[#This Row],[Brand]],M:M)</f>
        <v>18760300</v>
      </c>
      <c r="T4203" s="13">
        <f>SUMIF(N:N,Online_eCommerce[[#This Row],[Assigned Supervisor]],L:L)</f>
        <v>13693220</v>
      </c>
    </row>
    <row r="4204" spans="1:20" hidden="1" x14ac:dyDescent="0.3">
      <c r="A4204" t="s">
        <v>6189</v>
      </c>
      <c r="B4204" t="s">
        <v>139</v>
      </c>
      <c r="C4204" t="s">
        <v>31</v>
      </c>
      <c r="D4204" t="s">
        <v>6188</v>
      </c>
      <c r="E4204" t="s">
        <v>18</v>
      </c>
      <c r="F4204" t="s">
        <v>129</v>
      </c>
      <c r="G4204" t="s">
        <v>60</v>
      </c>
      <c r="H4204" t="s">
        <v>61</v>
      </c>
      <c r="I4204">
        <v>800</v>
      </c>
      <c r="J4204">
        <v>1040</v>
      </c>
      <c r="K4204">
        <v>4</v>
      </c>
      <c r="L4204">
        <v>3200</v>
      </c>
      <c r="M4204">
        <v>4160</v>
      </c>
      <c r="N4204" t="s">
        <v>22</v>
      </c>
      <c r="O4204">
        <f t="shared" si="130"/>
        <v>3315</v>
      </c>
      <c r="P4204" s="13">
        <f t="shared" si="131"/>
        <v>2865746</v>
      </c>
      <c r="Q4204" s="13">
        <f>SUMIFS(M:M,E:E,Online_eCommerce[[#This Row],[Status]])</f>
        <v>28340455</v>
      </c>
      <c r="R4204" s="13">
        <f>SUMIFS(L:L,H:H,Online_eCommerce[[#This Row],[Brand]])</f>
        <v>10950150</v>
      </c>
      <c r="S4204" s="13">
        <f>SUMIF(H:H,Online_eCommerce[[#This Row],[Brand]],M:M)</f>
        <v>14235195</v>
      </c>
      <c r="T4204" s="13">
        <f>SUMIF(N:N,Online_eCommerce[[#This Row],[Assigned Supervisor]],L:L)</f>
        <v>13693220</v>
      </c>
    </row>
    <row r="4205" spans="1:20" hidden="1" x14ac:dyDescent="0.3">
      <c r="A4205" t="s">
        <v>6190</v>
      </c>
      <c r="B4205" t="s">
        <v>144</v>
      </c>
      <c r="C4205" t="s">
        <v>38</v>
      </c>
      <c r="D4205" t="s">
        <v>6188</v>
      </c>
      <c r="E4205" t="s">
        <v>161</v>
      </c>
      <c r="F4205" t="s">
        <v>133</v>
      </c>
      <c r="G4205" t="s">
        <v>66</v>
      </c>
      <c r="H4205" t="s">
        <v>21</v>
      </c>
      <c r="I4205">
        <v>600</v>
      </c>
      <c r="J4205">
        <v>780</v>
      </c>
      <c r="K4205">
        <v>1</v>
      </c>
      <c r="L4205">
        <v>600</v>
      </c>
      <c r="M4205">
        <v>780</v>
      </c>
      <c r="N4205" t="s">
        <v>22</v>
      </c>
      <c r="O4205">
        <f t="shared" si="130"/>
        <v>1690</v>
      </c>
      <c r="P4205" s="13">
        <f t="shared" si="131"/>
        <v>1933997</v>
      </c>
      <c r="Q4205" s="13">
        <f>SUMIFS(M:M,E:E,Online_eCommerce[[#This Row],[Status]])</f>
        <v>21103186</v>
      </c>
      <c r="R4205" s="13">
        <f>SUMIFS(L:L,H:H,Online_eCommerce[[#This Row],[Brand]])</f>
        <v>12435650</v>
      </c>
      <c r="S4205" s="13">
        <f>SUMIF(H:H,Online_eCommerce[[#This Row],[Brand]],M:M)</f>
        <v>16166345</v>
      </c>
      <c r="T4205" s="13">
        <f>SUMIF(N:N,Online_eCommerce[[#This Row],[Assigned Supervisor]],L:L)</f>
        <v>13693220</v>
      </c>
    </row>
    <row r="4206" spans="1:20" x14ac:dyDescent="0.3">
      <c r="A4206" t="s">
        <v>6191</v>
      </c>
      <c r="B4206" t="s">
        <v>149</v>
      </c>
      <c r="C4206" t="s">
        <v>45</v>
      </c>
      <c r="D4206" t="s">
        <v>6188</v>
      </c>
      <c r="E4206" t="s">
        <v>46</v>
      </c>
      <c r="F4206" t="s">
        <v>137</v>
      </c>
      <c r="G4206" t="s">
        <v>71</v>
      </c>
      <c r="H4206" t="s">
        <v>61</v>
      </c>
      <c r="I4206">
        <v>10500</v>
      </c>
      <c r="J4206">
        <v>13650</v>
      </c>
      <c r="K4206">
        <v>1</v>
      </c>
      <c r="L4206">
        <v>10500</v>
      </c>
      <c r="M4206">
        <v>13650</v>
      </c>
      <c r="N4206" t="s">
        <v>22</v>
      </c>
      <c r="O4206">
        <f t="shared" si="130"/>
        <v>9750</v>
      </c>
      <c r="P4206" s="13">
        <f t="shared" si="131"/>
        <v>2842554</v>
      </c>
      <c r="Q4206" s="13">
        <f>SUMIFS(M:M,E:E,Online_eCommerce[[#This Row],[Status]])</f>
        <v>28620410</v>
      </c>
      <c r="R4206" s="13">
        <f>SUMIFS(L:L,H:H,Online_eCommerce[[#This Row],[Brand]])</f>
        <v>10950150</v>
      </c>
      <c r="S4206" s="13">
        <f>SUMIF(H:H,Online_eCommerce[[#This Row],[Brand]],M:M)</f>
        <v>14235195</v>
      </c>
      <c r="T4206" s="13">
        <f>SUMIF(N:N,Online_eCommerce[[#This Row],[Assigned Supervisor]],L:L)</f>
        <v>13693220</v>
      </c>
    </row>
    <row r="4207" spans="1:20" hidden="1" x14ac:dyDescent="0.3">
      <c r="A4207" t="s">
        <v>6192</v>
      </c>
      <c r="B4207" t="s">
        <v>154</v>
      </c>
      <c r="C4207" t="s">
        <v>52</v>
      </c>
      <c r="D4207" t="s">
        <v>6188</v>
      </c>
      <c r="E4207" t="s">
        <v>96</v>
      </c>
      <c r="F4207" t="s">
        <v>6161</v>
      </c>
      <c r="G4207" t="s">
        <v>77</v>
      </c>
      <c r="H4207" t="s">
        <v>142</v>
      </c>
      <c r="I4207">
        <v>6500</v>
      </c>
      <c r="J4207">
        <v>8450</v>
      </c>
      <c r="K4207">
        <v>1</v>
      </c>
      <c r="L4207">
        <v>6500</v>
      </c>
      <c r="M4207">
        <v>8450</v>
      </c>
      <c r="N4207" t="s">
        <v>22</v>
      </c>
      <c r="O4207">
        <f t="shared" si="130"/>
        <v>39000</v>
      </c>
      <c r="P4207" s="13">
        <f t="shared" si="131"/>
        <v>1955044</v>
      </c>
      <c r="Q4207" s="13">
        <f>SUMIFS(M:M,E:E,Online_eCommerce[[#This Row],[Status]])</f>
        <v>21233992</v>
      </c>
      <c r="R4207" s="13">
        <f>SUMIFS(L:L,H:H,Online_eCommerce[[#This Row],[Brand]])</f>
        <v>6192500</v>
      </c>
      <c r="S4207" s="13">
        <f>SUMIF(H:H,Online_eCommerce[[#This Row],[Brand]],M:M)</f>
        <v>8050250</v>
      </c>
      <c r="T4207" s="13">
        <f>SUMIF(N:N,Online_eCommerce[[#This Row],[Assigned Supervisor]],L:L)</f>
        <v>13693220</v>
      </c>
    </row>
    <row r="4208" spans="1:20" hidden="1" x14ac:dyDescent="0.3">
      <c r="A4208" t="s">
        <v>6193</v>
      </c>
      <c r="B4208" t="s">
        <v>159</v>
      </c>
      <c r="C4208" t="s">
        <v>58</v>
      </c>
      <c r="D4208" t="s">
        <v>6188</v>
      </c>
      <c r="E4208" t="s">
        <v>18</v>
      </c>
      <c r="F4208" t="s">
        <v>6194</v>
      </c>
      <c r="G4208" t="s">
        <v>20</v>
      </c>
      <c r="H4208" t="s">
        <v>21</v>
      </c>
      <c r="I4208">
        <v>4500</v>
      </c>
      <c r="J4208">
        <v>5850</v>
      </c>
      <c r="K4208">
        <v>2</v>
      </c>
      <c r="L4208">
        <v>9000</v>
      </c>
      <c r="M4208">
        <v>11700</v>
      </c>
      <c r="N4208" t="s">
        <v>22</v>
      </c>
      <c r="O4208">
        <f t="shared" si="130"/>
        <v>8450</v>
      </c>
      <c r="P4208" s="13">
        <f t="shared" si="131"/>
        <v>2629211</v>
      </c>
      <c r="Q4208" s="13">
        <f>SUMIFS(M:M,E:E,Online_eCommerce[[#This Row],[Status]])</f>
        <v>28340455</v>
      </c>
      <c r="R4208" s="13">
        <f>SUMIFS(L:L,H:H,Online_eCommerce[[#This Row],[Brand]])</f>
        <v>12435650</v>
      </c>
      <c r="S4208" s="13">
        <f>SUMIF(H:H,Online_eCommerce[[#This Row],[Brand]],M:M)</f>
        <v>16166345</v>
      </c>
      <c r="T4208" s="13">
        <f>SUMIF(N:N,Online_eCommerce[[#This Row],[Assigned Supervisor]],L:L)</f>
        <v>13693220</v>
      </c>
    </row>
    <row r="4209" spans="1:20" hidden="1" x14ac:dyDescent="0.3">
      <c r="A4209" t="s">
        <v>6195</v>
      </c>
      <c r="B4209" t="s">
        <v>139</v>
      </c>
      <c r="C4209" t="s">
        <v>63</v>
      </c>
      <c r="D4209" t="s">
        <v>6188</v>
      </c>
      <c r="E4209" t="s">
        <v>161</v>
      </c>
      <c r="F4209" t="s">
        <v>152</v>
      </c>
      <c r="G4209" t="s">
        <v>26</v>
      </c>
      <c r="H4209" t="s">
        <v>27</v>
      </c>
      <c r="I4209">
        <v>8500</v>
      </c>
      <c r="J4209">
        <v>11050</v>
      </c>
      <c r="K4209">
        <v>1</v>
      </c>
      <c r="L4209">
        <v>8500</v>
      </c>
      <c r="M4209">
        <v>11050</v>
      </c>
      <c r="N4209" t="s">
        <v>22</v>
      </c>
      <c r="O4209">
        <f t="shared" si="130"/>
        <v>33150</v>
      </c>
      <c r="P4209" s="13">
        <f t="shared" si="131"/>
        <v>2016131</v>
      </c>
      <c r="Q4209" s="13">
        <f>SUMIFS(M:M,E:E,Online_eCommerce[[#This Row],[Status]])</f>
        <v>21103186</v>
      </c>
      <c r="R4209" s="13">
        <f>SUMIFS(L:L,H:H,Online_eCommerce[[#This Row],[Brand]])</f>
        <v>14431000</v>
      </c>
      <c r="S4209" s="13">
        <f>SUMIF(H:H,Online_eCommerce[[#This Row],[Brand]],M:M)</f>
        <v>18760300</v>
      </c>
      <c r="T4209" s="13">
        <f>SUMIF(N:N,Online_eCommerce[[#This Row],[Assigned Supervisor]],L:L)</f>
        <v>13693220</v>
      </c>
    </row>
    <row r="4210" spans="1:20" x14ac:dyDescent="0.3">
      <c r="A4210" t="s">
        <v>6196</v>
      </c>
      <c r="B4210" t="s">
        <v>144</v>
      </c>
      <c r="C4210" t="s">
        <v>68</v>
      </c>
      <c r="D4210" t="s">
        <v>6188</v>
      </c>
      <c r="E4210" t="s">
        <v>46</v>
      </c>
      <c r="F4210" t="s">
        <v>157</v>
      </c>
      <c r="G4210" t="s">
        <v>33</v>
      </c>
      <c r="H4210" t="s">
        <v>34</v>
      </c>
      <c r="I4210">
        <v>12500</v>
      </c>
      <c r="J4210">
        <v>16250</v>
      </c>
      <c r="K4210">
        <v>2</v>
      </c>
      <c r="L4210">
        <v>25000</v>
      </c>
      <c r="M4210">
        <v>32500</v>
      </c>
      <c r="N4210" t="s">
        <v>22</v>
      </c>
      <c r="O4210">
        <f t="shared" si="130"/>
        <v>18200</v>
      </c>
      <c r="P4210" s="13">
        <f t="shared" si="131"/>
        <v>2974621</v>
      </c>
      <c r="Q4210" s="13">
        <f>SUMIFS(M:M,E:E,Online_eCommerce[[#This Row],[Status]])</f>
        <v>28620410</v>
      </c>
      <c r="R4210" s="13">
        <f>SUMIFS(L:L,H:H,Online_eCommerce[[#This Row],[Brand]])</f>
        <v>10087000</v>
      </c>
      <c r="S4210" s="13">
        <f>SUMIF(H:H,Online_eCommerce[[#This Row],[Brand]],M:M)</f>
        <v>13113100</v>
      </c>
      <c r="T4210" s="13">
        <f>SUMIF(N:N,Online_eCommerce[[#This Row],[Assigned Supervisor]],L:L)</f>
        <v>13693220</v>
      </c>
    </row>
    <row r="4211" spans="1:20" hidden="1" x14ac:dyDescent="0.3">
      <c r="A4211" t="s">
        <v>6197</v>
      </c>
      <c r="B4211" t="s">
        <v>235</v>
      </c>
      <c r="C4211" t="s">
        <v>74</v>
      </c>
      <c r="D4211" t="s">
        <v>6188</v>
      </c>
      <c r="E4211" t="s">
        <v>96</v>
      </c>
      <c r="F4211" t="s">
        <v>5861</v>
      </c>
      <c r="G4211" t="s">
        <v>163</v>
      </c>
      <c r="H4211" t="s">
        <v>41</v>
      </c>
      <c r="I4211">
        <v>3500</v>
      </c>
      <c r="J4211">
        <v>4550</v>
      </c>
      <c r="K4211">
        <v>1</v>
      </c>
      <c r="L4211">
        <v>3500</v>
      </c>
      <c r="M4211">
        <v>4550</v>
      </c>
      <c r="N4211" t="s">
        <v>22</v>
      </c>
      <c r="O4211">
        <f t="shared" si="130"/>
        <v>13650</v>
      </c>
      <c r="P4211" s="13">
        <f t="shared" si="131"/>
        <v>2144701</v>
      </c>
      <c r="Q4211" s="13">
        <f>SUMIFS(M:M,E:E,Online_eCommerce[[#This Row],[Status]])</f>
        <v>21233992</v>
      </c>
      <c r="R4211" s="13">
        <f>SUMIFS(L:L,H:H,Online_eCommerce[[#This Row],[Brand]])</f>
        <v>4260400</v>
      </c>
      <c r="S4211" s="13">
        <f>SUMIF(H:H,Online_eCommerce[[#This Row],[Brand]],M:M)</f>
        <v>5538520</v>
      </c>
      <c r="T4211" s="13">
        <f>SUMIF(N:N,Online_eCommerce[[#This Row],[Assigned Supervisor]],L:L)</f>
        <v>13693220</v>
      </c>
    </row>
    <row r="4212" spans="1:20" hidden="1" x14ac:dyDescent="0.3">
      <c r="A4212" t="s">
        <v>6198</v>
      </c>
      <c r="B4212" t="s">
        <v>176</v>
      </c>
      <c r="C4212" t="s">
        <v>81</v>
      </c>
      <c r="D4212" t="s">
        <v>6188</v>
      </c>
      <c r="E4212" t="s">
        <v>18</v>
      </c>
      <c r="F4212" t="s">
        <v>166</v>
      </c>
      <c r="G4212" t="s">
        <v>66</v>
      </c>
      <c r="H4212" t="s">
        <v>49</v>
      </c>
      <c r="I4212">
        <v>4500</v>
      </c>
      <c r="J4212">
        <v>5850</v>
      </c>
      <c r="K4212">
        <v>1</v>
      </c>
      <c r="L4212">
        <v>4500</v>
      </c>
      <c r="M4212">
        <v>5850</v>
      </c>
      <c r="N4212" t="s">
        <v>22</v>
      </c>
      <c r="O4212">
        <f t="shared" si="130"/>
        <v>1690</v>
      </c>
      <c r="P4212" s="13">
        <f t="shared" si="131"/>
        <v>2595632</v>
      </c>
      <c r="Q4212" s="13">
        <f>SUMIFS(M:M,E:E,Online_eCommerce[[#This Row],[Status]])</f>
        <v>28340455</v>
      </c>
      <c r="R4212" s="13">
        <f>SUMIFS(L:L,H:H,Online_eCommerce[[#This Row],[Brand]])</f>
        <v>4528350</v>
      </c>
      <c r="S4212" s="13">
        <f>SUMIF(H:H,Online_eCommerce[[#This Row],[Brand]],M:M)</f>
        <v>5886855</v>
      </c>
      <c r="T4212" s="13">
        <f>SUMIF(N:N,Online_eCommerce[[#This Row],[Assigned Supervisor]],L:L)</f>
        <v>13693220</v>
      </c>
    </row>
    <row r="4213" spans="1:20" hidden="1" x14ac:dyDescent="0.3">
      <c r="A4213" t="s">
        <v>6199</v>
      </c>
      <c r="B4213" t="s">
        <v>276</v>
      </c>
      <c r="C4213" t="s">
        <v>86</v>
      </c>
      <c r="D4213" t="s">
        <v>6188</v>
      </c>
      <c r="E4213" t="s">
        <v>161</v>
      </c>
      <c r="F4213" t="s">
        <v>6200</v>
      </c>
      <c r="G4213" t="s">
        <v>54</v>
      </c>
      <c r="H4213" t="s">
        <v>55</v>
      </c>
      <c r="I4213">
        <v>2100</v>
      </c>
      <c r="J4213">
        <v>2730</v>
      </c>
      <c r="K4213">
        <v>2</v>
      </c>
      <c r="L4213">
        <v>4200</v>
      </c>
      <c r="M4213">
        <v>5460</v>
      </c>
      <c r="N4213" t="s">
        <v>22</v>
      </c>
      <c r="O4213">
        <f t="shared" si="130"/>
        <v>2990</v>
      </c>
      <c r="P4213" s="13">
        <f t="shared" si="131"/>
        <v>1941225</v>
      </c>
      <c r="Q4213" s="13">
        <f>SUMIFS(M:M,E:E,Online_eCommerce[[#This Row],[Status]])</f>
        <v>21103186</v>
      </c>
      <c r="R4213" s="13">
        <f>SUMIFS(L:L,H:H,Online_eCommerce[[#This Row],[Brand]])</f>
        <v>2267380</v>
      </c>
      <c r="S4213" s="13">
        <f>SUMIF(H:H,Online_eCommerce[[#This Row],[Brand]],M:M)</f>
        <v>2947594</v>
      </c>
      <c r="T4213" s="13">
        <f>SUMIF(N:N,Online_eCommerce[[#This Row],[Assigned Supervisor]],L:L)</f>
        <v>13693220</v>
      </c>
    </row>
    <row r="4214" spans="1:20" x14ac:dyDescent="0.3">
      <c r="A4214" t="s">
        <v>6201</v>
      </c>
      <c r="B4214" t="s">
        <v>280</v>
      </c>
      <c r="C4214" t="s">
        <v>91</v>
      </c>
      <c r="D4214" t="s">
        <v>6188</v>
      </c>
      <c r="E4214" t="s">
        <v>46</v>
      </c>
      <c r="F4214" t="s">
        <v>174</v>
      </c>
      <c r="G4214" t="s">
        <v>60</v>
      </c>
      <c r="H4214" t="s">
        <v>61</v>
      </c>
      <c r="I4214">
        <v>1150</v>
      </c>
      <c r="J4214">
        <v>1495</v>
      </c>
      <c r="K4214">
        <v>2</v>
      </c>
      <c r="L4214">
        <v>2300</v>
      </c>
      <c r="M4214">
        <v>2990</v>
      </c>
      <c r="N4214" t="s">
        <v>22</v>
      </c>
      <c r="O4214">
        <f t="shared" si="130"/>
        <v>3315</v>
      </c>
      <c r="P4214" s="13">
        <f t="shared" si="131"/>
        <v>2731963</v>
      </c>
      <c r="Q4214" s="13">
        <f>SUMIFS(M:M,E:E,Online_eCommerce[[#This Row],[Status]])</f>
        <v>28620410</v>
      </c>
      <c r="R4214" s="13">
        <f>SUMIFS(L:L,H:H,Online_eCommerce[[#This Row],[Brand]])</f>
        <v>10950150</v>
      </c>
      <c r="S4214" s="13">
        <f>SUMIF(H:H,Online_eCommerce[[#This Row],[Brand]],M:M)</f>
        <v>14235195</v>
      </c>
      <c r="T4214" s="13">
        <f>SUMIF(N:N,Online_eCommerce[[#This Row],[Assigned Supervisor]],L:L)</f>
        <v>13693220</v>
      </c>
    </row>
    <row r="4215" spans="1:20" hidden="1" x14ac:dyDescent="0.3">
      <c r="A4215" t="s">
        <v>6202</v>
      </c>
      <c r="B4215" t="s">
        <v>283</v>
      </c>
      <c r="C4215" t="s">
        <v>94</v>
      </c>
      <c r="D4215" t="s">
        <v>6188</v>
      </c>
      <c r="E4215" t="s">
        <v>96</v>
      </c>
      <c r="F4215" t="s">
        <v>179</v>
      </c>
      <c r="G4215" t="s">
        <v>66</v>
      </c>
      <c r="H4215" t="s">
        <v>21</v>
      </c>
      <c r="I4215">
        <v>350</v>
      </c>
      <c r="J4215">
        <v>455</v>
      </c>
      <c r="K4215">
        <v>1</v>
      </c>
      <c r="L4215">
        <v>350</v>
      </c>
      <c r="M4215">
        <v>455</v>
      </c>
      <c r="N4215" t="s">
        <v>22</v>
      </c>
      <c r="O4215">
        <f t="shared" si="130"/>
        <v>1690</v>
      </c>
      <c r="P4215" s="13">
        <f t="shared" si="131"/>
        <v>1868256</v>
      </c>
      <c r="Q4215" s="13">
        <f>SUMIFS(M:M,E:E,Online_eCommerce[[#This Row],[Status]])</f>
        <v>21233992</v>
      </c>
      <c r="R4215" s="13">
        <f>SUMIFS(L:L,H:H,Online_eCommerce[[#This Row],[Brand]])</f>
        <v>12435650</v>
      </c>
      <c r="S4215" s="13">
        <f>SUMIF(H:H,Online_eCommerce[[#This Row],[Brand]],M:M)</f>
        <v>16166345</v>
      </c>
      <c r="T4215" s="13">
        <f>SUMIF(N:N,Online_eCommerce[[#This Row],[Assigned Supervisor]],L:L)</f>
        <v>13693220</v>
      </c>
    </row>
    <row r="4216" spans="1:20" hidden="1" x14ac:dyDescent="0.3">
      <c r="A4216" t="s">
        <v>6203</v>
      </c>
      <c r="B4216" t="s">
        <v>287</v>
      </c>
      <c r="C4216" t="s">
        <v>99</v>
      </c>
      <c r="D4216" t="s">
        <v>6188</v>
      </c>
      <c r="E4216" t="s">
        <v>18</v>
      </c>
      <c r="F4216" t="s">
        <v>183</v>
      </c>
      <c r="G4216" t="s">
        <v>71</v>
      </c>
      <c r="H4216" t="s">
        <v>61</v>
      </c>
      <c r="I4216">
        <v>9500</v>
      </c>
      <c r="J4216">
        <v>12350</v>
      </c>
      <c r="K4216">
        <v>1</v>
      </c>
      <c r="L4216">
        <v>9500</v>
      </c>
      <c r="M4216">
        <v>12350</v>
      </c>
      <c r="N4216" t="s">
        <v>22</v>
      </c>
      <c r="O4216">
        <f t="shared" si="130"/>
        <v>9750</v>
      </c>
      <c r="P4216" s="13">
        <f t="shared" si="131"/>
        <v>2651233</v>
      </c>
      <c r="Q4216" s="13">
        <f>SUMIFS(M:M,E:E,Online_eCommerce[[#This Row],[Status]])</f>
        <v>28340455</v>
      </c>
      <c r="R4216" s="13">
        <f>SUMIFS(L:L,H:H,Online_eCommerce[[#This Row],[Brand]])</f>
        <v>10950150</v>
      </c>
      <c r="S4216" s="13">
        <f>SUMIF(H:H,Online_eCommerce[[#This Row],[Brand]],M:M)</f>
        <v>14235195</v>
      </c>
      <c r="T4216" s="13">
        <f>SUMIF(N:N,Online_eCommerce[[#This Row],[Assigned Supervisor]],L:L)</f>
        <v>13693220</v>
      </c>
    </row>
    <row r="4217" spans="1:20" hidden="1" x14ac:dyDescent="0.3">
      <c r="A4217" t="s">
        <v>6204</v>
      </c>
      <c r="B4217" t="s">
        <v>290</v>
      </c>
      <c r="C4217" t="s">
        <v>105</v>
      </c>
      <c r="D4217" t="s">
        <v>6188</v>
      </c>
      <c r="E4217" t="s">
        <v>161</v>
      </c>
      <c r="F4217" t="s">
        <v>6205</v>
      </c>
      <c r="G4217" t="s">
        <v>77</v>
      </c>
      <c r="H4217" t="s">
        <v>142</v>
      </c>
      <c r="I4217">
        <v>10000</v>
      </c>
      <c r="J4217">
        <v>13000</v>
      </c>
      <c r="K4217">
        <v>3</v>
      </c>
      <c r="L4217">
        <v>30000</v>
      </c>
      <c r="M4217">
        <v>39000</v>
      </c>
      <c r="N4217" t="s">
        <v>22</v>
      </c>
      <c r="O4217">
        <f t="shared" si="130"/>
        <v>39000</v>
      </c>
      <c r="P4217" s="13">
        <f t="shared" si="131"/>
        <v>1866852</v>
      </c>
      <c r="Q4217" s="13">
        <f>SUMIFS(M:M,E:E,Online_eCommerce[[#This Row],[Status]])</f>
        <v>21103186</v>
      </c>
      <c r="R4217" s="13">
        <f>SUMIFS(L:L,H:H,Online_eCommerce[[#This Row],[Brand]])</f>
        <v>6192500</v>
      </c>
      <c r="S4217" s="13">
        <f>SUMIF(H:H,Online_eCommerce[[#This Row],[Brand]],M:M)</f>
        <v>8050250</v>
      </c>
      <c r="T4217" s="13">
        <f>SUMIF(N:N,Online_eCommerce[[#This Row],[Assigned Supervisor]],L:L)</f>
        <v>13693220</v>
      </c>
    </row>
    <row r="4218" spans="1:20" x14ac:dyDescent="0.3">
      <c r="A4218" t="s">
        <v>6206</v>
      </c>
      <c r="B4218" t="s">
        <v>15</v>
      </c>
      <c r="C4218" t="s">
        <v>110</v>
      </c>
      <c r="D4218" t="s">
        <v>6188</v>
      </c>
      <c r="E4218" t="s">
        <v>46</v>
      </c>
      <c r="F4218" t="s">
        <v>6207</v>
      </c>
      <c r="G4218" t="s">
        <v>20</v>
      </c>
      <c r="H4218" t="s">
        <v>21</v>
      </c>
      <c r="I4218">
        <v>6500</v>
      </c>
      <c r="J4218">
        <v>8450</v>
      </c>
      <c r="K4218">
        <v>2</v>
      </c>
      <c r="L4218">
        <v>13000</v>
      </c>
      <c r="M4218">
        <v>16900</v>
      </c>
      <c r="N4218" t="s">
        <v>22</v>
      </c>
      <c r="O4218">
        <f t="shared" si="130"/>
        <v>8450</v>
      </c>
      <c r="P4218" s="13">
        <f t="shared" si="131"/>
        <v>2598635</v>
      </c>
      <c r="Q4218" s="13">
        <f>SUMIFS(M:M,E:E,Online_eCommerce[[#This Row],[Status]])</f>
        <v>28620410</v>
      </c>
      <c r="R4218" s="13">
        <f>SUMIFS(L:L,H:H,Online_eCommerce[[#This Row],[Brand]])</f>
        <v>12435650</v>
      </c>
      <c r="S4218" s="13">
        <f>SUMIF(H:H,Online_eCommerce[[#This Row],[Brand]],M:M)</f>
        <v>16166345</v>
      </c>
      <c r="T4218" s="13">
        <f>SUMIF(N:N,Online_eCommerce[[#This Row],[Assigned Supervisor]],L:L)</f>
        <v>13693220</v>
      </c>
    </row>
    <row r="4219" spans="1:20" hidden="1" x14ac:dyDescent="0.3">
      <c r="A4219" t="s">
        <v>6208</v>
      </c>
      <c r="B4219" t="s">
        <v>202</v>
      </c>
      <c r="C4219" t="s">
        <v>115</v>
      </c>
      <c r="D4219" t="s">
        <v>6188</v>
      </c>
      <c r="E4219" t="s">
        <v>96</v>
      </c>
      <c r="F4219" t="s">
        <v>6209</v>
      </c>
      <c r="G4219" t="s">
        <v>26</v>
      </c>
      <c r="H4219" t="s">
        <v>27</v>
      </c>
      <c r="I4219">
        <v>8500</v>
      </c>
      <c r="J4219">
        <v>11050</v>
      </c>
      <c r="K4219">
        <v>1</v>
      </c>
      <c r="L4219">
        <v>8500</v>
      </c>
      <c r="M4219">
        <v>11050</v>
      </c>
      <c r="N4219" t="s">
        <v>56</v>
      </c>
      <c r="O4219">
        <f t="shared" si="130"/>
        <v>33150</v>
      </c>
      <c r="P4219" s="13">
        <f t="shared" si="131"/>
        <v>2050178</v>
      </c>
      <c r="Q4219" s="13">
        <f>SUMIFS(M:M,E:E,Online_eCommerce[[#This Row],[Status]])</f>
        <v>21233992</v>
      </c>
      <c r="R4219" s="13">
        <f>SUMIFS(L:L,H:H,Online_eCommerce[[#This Row],[Brand]])</f>
        <v>14431000</v>
      </c>
      <c r="S4219" s="13">
        <f>SUMIF(H:H,Online_eCommerce[[#This Row],[Brand]],M:M)</f>
        <v>18760300</v>
      </c>
      <c r="T4219" s="13">
        <f>SUMIF(N:N,Online_eCommerce[[#This Row],[Assigned Supervisor]],L:L)</f>
        <v>11733610</v>
      </c>
    </row>
    <row r="4220" spans="1:20" hidden="1" x14ac:dyDescent="0.3">
      <c r="A4220" t="s">
        <v>6210</v>
      </c>
      <c r="B4220" t="s">
        <v>30</v>
      </c>
      <c r="C4220" t="s">
        <v>120</v>
      </c>
      <c r="D4220" t="s">
        <v>6188</v>
      </c>
      <c r="E4220" t="s">
        <v>18</v>
      </c>
      <c r="F4220" t="s">
        <v>32</v>
      </c>
      <c r="G4220" t="s">
        <v>33</v>
      </c>
      <c r="H4220" t="s">
        <v>34</v>
      </c>
      <c r="I4220">
        <v>7000</v>
      </c>
      <c r="J4220">
        <v>9100</v>
      </c>
      <c r="K4220">
        <v>4</v>
      </c>
      <c r="L4220">
        <v>28000</v>
      </c>
      <c r="M4220">
        <v>36400</v>
      </c>
      <c r="N4220" t="s">
        <v>22</v>
      </c>
      <c r="O4220">
        <f t="shared" si="130"/>
        <v>18200</v>
      </c>
      <c r="P4220" s="13">
        <f t="shared" si="131"/>
        <v>2734212</v>
      </c>
      <c r="Q4220" s="13">
        <f>SUMIFS(M:M,E:E,Online_eCommerce[[#This Row],[Status]])</f>
        <v>28340455</v>
      </c>
      <c r="R4220" s="13">
        <f>SUMIFS(L:L,H:H,Online_eCommerce[[#This Row],[Brand]])</f>
        <v>10087000</v>
      </c>
      <c r="S4220" s="13">
        <f>SUMIF(H:H,Online_eCommerce[[#This Row],[Brand]],M:M)</f>
        <v>13113100</v>
      </c>
      <c r="T4220" s="13">
        <f>SUMIF(N:N,Online_eCommerce[[#This Row],[Assigned Supervisor]],L:L)</f>
        <v>13693220</v>
      </c>
    </row>
    <row r="4221" spans="1:20" hidden="1" x14ac:dyDescent="0.3">
      <c r="A4221" t="s">
        <v>6211</v>
      </c>
      <c r="B4221" t="s">
        <v>37</v>
      </c>
      <c r="C4221" t="s">
        <v>125</v>
      </c>
      <c r="D4221" t="s">
        <v>6188</v>
      </c>
      <c r="E4221" t="s">
        <v>161</v>
      </c>
      <c r="F4221" t="s">
        <v>6212</v>
      </c>
      <c r="G4221" t="s">
        <v>163</v>
      </c>
      <c r="H4221" t="s">
        <v>41</v>
      </c>
      <c r="I4221">
        <v>6550</v>
      </c>
      <c r="J4221">
        <v>8515</v>
      </c>
      <c r="K4221">
        <v>3</v>
      </c>
      <c r="L4221">
        <v>19650</v>
      </c>
      <c r="M4221">
        <v>25545</v>
      </c>
      <c r="N4221" t="s">
        <v>28</v>
      </c>
      <c r="O4221">
        <f t="shared" si="130"/>
        <v>13650</v>
      </c>
      <c r="P4221" s="13">
        <f t="shared" si="131"/>
        <v>2091154</v>
      </c>
      <c r="Q4221" s="13">
        <f>SUMIFS(M:M,E:E,Online_eCommerce[[#This Row],[Status]])</f>
        <v>21103186</v>
      </c>
      <c r="R4221" s="13">
        <f>SUMIFS(L:L,H:H,Online_eCommerce[[#This Row],[Brand]])</f>
        <v>4260400</v>
      </c>
      <c r="S4221" s="13">
        <f>SUMIF(H:H,Online_eCommerce[[#This Row],[Brand]],M:M)</f>
        <v>5538520</v>
      </c>
      <c r="T4221" s="13">
        <f>SUMIF(N:N,Online_eCommerce[[#This Row],[Assigned Supervisor]],L:L)</f>
        <v>12220830</v>
      </c>
    </row>
    <row r="4222" spans="1:20" x14ac:dyDescent="0.3">
      <c r="A4222" t="s">
        <v>6213</v>
      </c>
      <c r="B4222" t="s">
        <v>44</v>
      </c>
      <c r="C4222" t="s">
        <v>22</v>
      </c>
      <c r="D4222" t="s">
        <v>6188</v>
      </c>
      <c r="E4222" t="s">
        <v>46</v>
      </c>
      <c r="F4222" t="s">
        <v>47</v>
      </c>
      <c r="G4222" t="s">
        <v>66</v>
      </c>
      <c r="H4222" t="s">
        <v>49</v>
      </c>
      <c r="I4222">
        <v>7650</v>
      </c>
      <c r="J4222">
        <v>9945</v>
      </c>
      <c r="K4222">
        <v>2</v>
      </c>
      <c r="L4222">
        <v>15300</v>
      </c>
      <c r="M4222">
        <v>19890</v>
      </c>
      <c r="N4222" t="s">
        <v>35</v>
      </c>
      <c r="O4222">
        <f t="shared" si="130"/>
        <v>1690</v>
      </c>
      <c r="P4222" s="13">
        <f t="shared" si="131"/>
        <v>2551588</v>
      </c>
      <c r="Q4222" s="13">
        <f>SUMIFS(M:M,E:E,Online_eCommerce[[#This Row],[Status]])</f>
        <v>28620410</v>
      </c>
      <c r="R4222" s="13">
        <f>SUMIFS(L:L,H:H,Online_eCommerce[[#This Row],[Brand]])</f>
        <v>4528350</v>
      </c>
      <c r="S4222" s="13">
        <f>SUMIF(H:H,Online_eCommerce[[#This Row],[Brand]],M:M)</f>
        <v>5886855</v>
      </c>
      <c r="T4222" s="13">
        <f>SUMIF(N:N,Online_eCommerce[[#This Row],[Assigned Supervisor]],L:L)</f>
        <v>14373360</v>
      </c>
    </row>
    <row r="4223" spans="1:20" hidden="1" x14ac:dyDescent="0.3">
      <c r="A4223" t="s">
        <v>6214</v>
      </c>
      <c r="B4223" t="s">
        <v>213</v>
      </c>
      <c r="C4223" t="s">
        <v>132</v>
      </c>
      <c r="D4223" t="s">
        <v>6188</v>
      </c>
      <c r="E4223" t="s">
        <v>96</v>
      </c>
      <c r="F4223" t="s">
        <v>53</v>
      </c>
      <c r="G4223" t="s">
        <v>54</v>
      </c>
      <c r="H4223" t="s">
        <v>55</v>
      </c>
      <c r="I4223">
        <v>1150</v>
      </c>
      <c r="J4223">
        <v>1495</v>
      </c>
      <c r="K4223">
        <v>2</v>
      </c>
      <c r="L4223">
        <v>2300</v>
      </c>
      <c r="M4223">
        <v>2990</v>
      </c>
      <c r="N4223" t="s">
        <v>42</v>
      </c>
      <c r="O4223">
        <f t="shared" si="130"/>
        <v>2990</v>
      </c>
      <c r="P4223" s="13">
        <f t="shared" si="131"/>
        <v>1989065</v>
      </c>
      <c r="Q4223" s="13">
        <f>SUMIFS(M:M,E:E,Online_eCommerce[[#This Row],[Status]])</f>
        <v>21233992</v>
      </c>
      <c r="R4223" s="13">
        <f>SUMIFS(L:L,H:H,Online_eCommerce[[#This Row],[Brand]])</f>
        <v>2267380</v>
      </c>
      <c r="S4223" s="13">
        <f>SUMIF(H:H,Online_eCommerce[[#This Row],[Brand]],M:M)</f>
        <v>2947594</v>
      </c>
      <c r="T4223" s="13">
        <f>SUMIF(N:N,Online_eCommerce[[#This Row],[Assigned Supervisor]],L:L)</f>
        <v>12261500</v>
      </c>
    </row>
    <row r="4224" spans="1:20" hidden="1" x14ac:dyDescent="0.3">
      <c r="A4224" t="s">
        <v>6215</v>
      </c>
      <c r="B4224" t="s">
        <v>215</v>
      </c>
      <c r="C4224" t="s">
        <v>136</v>
      </c>
      <c r="D4224" t="s">
        <v>6188</v>
      </c>
      <c r="E4224" t="s">
        <v>18</v>
      </c>
      <c r="F4224" t="s">
        <v>59</v>
      </c>
      <c r="G4224" t="s">
        <v>60</v>
      </c>
      <c r="H4224" t="s">
        <v>61</v>
      </c>
      <c r="I4224">
        <v>850</v>
      </c>
      <c r="J4224">
        <v>1105</v>
      </c>
      <c r="K4224">
        <v>2</v>
      </c>
      <c r="L4224">
        <v>1700</v>
      </c>
      <c r="M4224">
        <v>2210</v>
      </c>
      <c r="N4224" t="s">
        <v>50</v>
      </c>
      <c r="O4224">
        <f t="shared" si="130"/>
        <v>3315</v>
      </c>
      <c r="P4224" s="13">
        <f t="shared" si="131"/>
        <v>2775162</v>
      </c>
      <c r="Q4224" s="13">
        <f>SUMIFS(M:M,E:E,Online_eCommerce[[#This Row],[Status]])</f>
        <v>28340455</v>
      </c>
      <c r="R4224" s="13">
        <f>SUMIFS(L:L,H:H,Online_eCommerce[[#This Row],[Brand]])</f>
        <v>10950150</v>
      </c>
      <c r="S4224" s="13">
        <f>SUMIF(H:H,Online_eCommerce[[#This Row],[Brand]],M:M)</f>
        <v>14235195</v>
      </c>
      <c r="T4224" s="13">
        <f>SUMIF(N:N,Online_eCommerce[[#This Row],[Assigned Supervisor]],L:L)</f>
        <v>12100590</v>
      </c>
    </row>
    <row r="4225" spans="1:20" hidden="1" x14ac:dyDescent="0.3">
      <c r="A4225" t="s">
        <v>6216</v>
      </c>
      <c r="B4225" t="s">
        <v>306</v>
      </c>
      <c r="C4225" t="s">
        <v>140</v>
      </c>
      <c r="D4225" t="s">
        <v>6188</v>
      </c>
      <c r="E4225" t="s">
        <v>161</v>
      </c>
      <c r="F4225" t="s">
        <v>65</v>
      </c>
      <c r="G4225" t="s">
        <v>66</v>
      </c>
      <c r="H4225" t="s">
        <v>21</v>
      </c>
      <c r="I4225">
        <v>650</v>
      </c>
      <c r="J4225">
        <v>845</v>
      </c>
      <c r="K4225">
        <v>3</v>
      </c>
      <c r="L4225">
        <v>1950</v>
      </c>
      <c r="M4225">
        <v>2535</v>
      </c>
      <c r="N4225" t="s">
        <v>56</v>
      </c>
      <c r="O4225">
        <f t="shared" si="130"/>
        <v>1690</v>
      </c>
      <c r="P4225" s="13">
        <f t="shared" si="131"/>
        <v>2058264</v>
      </c>
      <c r="Q4225" s="13">
        <f>SUMIFS(M:M,E:E,Online_eCommerce[[#This Row],[Status]])</f>
        <v>21103186</v>
      </c>
      <c r="R4225" s="13">
        <f>SUMIFS(L:L,H:H,Online_eCommerce[[#This Row],[Brand]])</f>
        <v>12435650</v>
      </c>
      <c r="S4225" s="13">
        <f>SUMIF(H:H,Online_eCommerce[[#This Row],[Brand]],M:M)</f>
        <v>16166345</v>
      </c>
      <c r="T4225" s="13">
        <f>SUMIF(N:N,Online_eCommerce[[#This Row],[Assigned Supervisor]],L:L)</f>
        <v>11733610</v>
      </c>
    </row>
    <row r="4226" spans="1:20" x14ac:dyDescent="0.3">
      <c r="A4226" t="s">
        <v>6217</v>
      </c>
      <c r="B4226" t="s">
        <v>528</v>
      </c>
      <c r="C4226" t="s">
        <v>145</v>
      </c>
      <c r="D4226" t="s">
        <v>6218</v>
      </c>
      <c r="E4226" t="s">
        <v>46</v>
      </c>
      <c r="F4226" t="s">
        <v>70</v>
      </c>
      <c r="G4226" t="s">
        <v>71</v>
      </c>
      <c r="H4226" t="s">
        <v>61</v>
      </c>
      <c r="I4226">
        <v>7500</v>
      </c>
      <c r="J4226">
        <v>9750</v>
      </c>
      <c r="K4226">
        <v>2</v>
      </c>
      <c r="L4226">
        <v>15000</v>
      </c>
      <c r="M4226">
        <v>19500</v>
      </c>
      <c r="N4226" t="s">
        <v>22</v>
      </c>
      <c r="O4226">
        <f t="shared" ref="O4226:O4289" si="132">VLOOKUP(G4226,G:M,7,FALSE)</f>
        <v>9750</v>
      </c>
      <c r="P4226" s="13">
        <f t="shared" ref="P4226:P4289" si="133">SUMIFS(M:M,C:C,C4226)</f>
        <v>2757859</v>
      </c>
      <c r="Q4226" s="13">
        <f>SUMIFS(M:M,E:E,Online_eCommerce[[#This Row],[Status]])</f>
        <v>28620410</v>
      </c>
      <c r="R4226" s="13">
        <f>SUMIFS(L:L,H:H,Online_eCommerce[[#This Row],[Brand]])</f>
        <v>10950150</v>
      </c>
      <c r="S4226" s="13">
        <f>SUMIF(H:H,Online_eCommerce[[#This Row],[Brand]],M:M)</f>
        <v>14235195</v>
      </c>
      <c r="T4226" s="13">
        <f>SUMIF(N:N,Online_eCommerce[[#This Row],[Assigned Supervisor]],L:L)</f>
        <v>13693220</v>
      </c>
    </row>
    <row r="4227" spans="1:20" hidden="1" x14ac:dyDescent="0.3">
      <c r="A4227" t="s">
        <v>6219</v>
      </c>
      <c r="B4227" t="s">
        <v>73</v>
      </c>
      <c r="C4227" t="s">
        <v>150</v>
      </c>
      <c r="D4227" t="s">
        <v>6220</v>
      </c>
      <c r="E4227" t="s">
        <v>96</v>
      </c>
      <c r="F4227" t="s">
        <v>6205</v>
      </c>
      <c r="G4227" t="s">
        <v>77</v>
      </c>
      <c r="H4227" t="s">
        <v>78</v>
      </c>
      <c r="I4227">
        <v>10000</v>
      </c>
      <c r="J4227">
        <v>13000</v>
      </c>
      <c r="K4227">
        <v>2</v>
      </c>
      <c r="L4227">
        <v>20000</v>
      </c>
      <c r="M4227">
        <v>26000</v>
      </c>
      <c r="N4227" t="s">
        <v>28</v>
      </c>
      <c r="O4227">
        <f t="shared" si="132"/>
        <v>39000</v>
      </c>
      <c r="P4227" s="13">
        <f t="shared" si="133"/>
        <v>2154984</v>
      </c>
      <c r="Q4227" s="13">
        <f>SUMIFS(M:M,E:E,Online_eCommerce[[#This Row],[Status]])</f>
        <v>21233992</v>
      </c>
      <c r="R4227" s="13">
        <f>SUMIFS(L:L,H:H,Online_eCommerce[[#This Row],[Brand]])</f>
        <v>3720000</v>
      </c>
      <c r="S4227" s="13">
        <f>SUMIF(H:H,Online_eCommerce[[#This Row],[Brand]],M:M)</f>
        <v>4836000</v>
      </c>
      <c r="T4227" s="13">
        <f>SUMIF(N:N,Online_eCommerce[[#This Row],[Assigned Supervisor]],L:L)</f>
        <v>12220830</v>
      </c>
    </row>
    <row r="4228" spans="1:20" hidden="1" x14ac:dyDescent="0.3">
      <c r="A4228" t="s">
        <v>6221</v>
      </c>
      <c r="B4228" t="s">
        <v>80</v>
      </c>
      <c r="C4228" t="s">
        <v>155</v>
      </c>
      <c r="D4228" t="s">
        <v>6222</v>
      </c>
      <c r="E4228" t="s">
        <v>18</v>
      </c>
      <c r="F4228" t="s">
        <v>6223</v>
      </c>
      <c r="G4228" t="s">
        <v>20</v>
      </c>
      <c r="H4228" t="s">
        <v>21</v>
      </c>
      <c r="I4228">
        <v>10500</v>
      </c>
      <c r="J4228">
        <v>13650</v>
      </c>
      <c r="K4228">
        <v>3</v>
      </c>
      <c r="L4228">
        <v>31500</v>
      </c>
      <c r="M4228">
        <v>40950</v>
      </c>
      <c r="N4228" t="s">
        <v>35</v>
      </c>
      <c r="O4228">
        <f t="shared" si="132"/>
        <v>8450</v>
      </c>
      <c r="P4228" s="13">
        <f t="shared" si="133"/>
        <v>2753348</v>
      </c>
      <c r="Q4228" s="13">
        <f>SUMIFS(M:M,E:E,Online_eCommerce[[#This Row],[Status]])</f>
        <v>28340455</v>
      </c>
      <c r="R4228" s="13">
        <f>SUMIFS(L:L,H:H,Online_eCommerce[[#This Row],[Brand]])</f>
        <v>12435650</v>
      </c>
      <c r="S4228" s="13">
        <f>SUMIF(H:H,Online_eCommerce[[#This Row],[Brand]],M:M)</f>
        <v>16166345</v>
      </c>
      <c r="T4228" s="13">
        <f>SUMIF(N:N,Online_eCommerce[[#This Row],[Assigned Supervisor]],L:L)</f>
        <v>14373360</v>
      </c>
    </row>
    <row r="4229" spans="1:20" hidden="1" x14ac:dyDescent="0.3">
      <c r="A4229" t="s">
        <v>6224</v>
      </c>
      <c r="B4229" t="s">
        <v>85</v>
      </c>
      <c r="C4229" t="s">
        <v>160</v>
      </c>
      <c r="D4229" t="s">
        <v>6225</v>
      </c>
      <c r="E4229" t="s">
        <v>161</v>
      </c>
      <c r="F4229" t="s">
        <v>88</v>
      </c>
      <c r="G4229" t="s">
        <v>26</v>
      </c>
      <c r="H4229" t="s">
        <v>27</v>
      </c>
      <c r="I4229">
        <v>8500</v>
      </c>
      <c r="J4229">
        <v>11050</v>
      </c>
      <c r="K4229">
        <v>4</v>
      </c>
      <c r="L4229">
        <v>34000</v>
      </c>
      <c r="M4229">
        <v>44200</v>
      </c>
      <c r="N4229" t="s">
        <v>42</v>
      </c>
      <c r="O4229">
        <f t="shared" si="132"/>
        <v>33150</v>
      </c>
      <c r="P4229" s="13">
        <f t="shared" si="133"/>
        <v>2303483</v>
      </c>
      <c r="Q4229" s="13">
        <f>SUMIFS(M:M,E:E,Online_eCommerce[[#This Row],[Status]])</f>
        <v>21103186</v>
      </c>
      <c r="R4229" s="13">
        <f>SUMIFS(L:L,H:H,Online_eCommerce[[#This Row],[Brand]])</f>
        <v>14431000</v>
      </c>
      <c r="S4229" s="13">
        <f>SUMIF(H:H,Online_eCommerce[[#This Row],[Brand]],M:M)</f>
        <v>18760300</v>
      </c>
      <c r="T4229" s="13">
        <f>SUMIF(N:N,Online_eCommerce[[#This Row],[Assigned Supervisor]],L:L)</f>
        <v>12261500</v>
      </c>
    </row>
    <row r="4230" spans="1:20" x14ac:dyDescent="0.3">
      <c r="A4230" t="s">
        <v>6226</v>
      </c>
      <c r="B4230" t="s">
        <v>90</v>
      </c>
      <c r="C4230" t="s">
        <v>165</v>
      </c>
      <c r="D4230" t="s">
        <v>6227</v>
      </c>
      <c r="E4230" t="s">
        <v>46</v>
      </c>
      <c r="F4230" t="s">
        <v>32</v>
      </c>
      <c r="G4230" t="s">
        <v>33</v>
      </c>
      <c r="H4230" t="s">
        <v>34</v>
      </c>
      <c r="I4230">
        <v>7000</v>
      </c>
      <c r="J4230">
        <v>9100</v>
      </c>
      <c r="K4230">
        <v>2</v>
      </c>
      <c r="L4230">
        <v>14000</v>
      </c>
      <c r="M4230">
        <v>18200</v>
      </c>
      <c r="N4230" t="s">
        <v>50</v>
      </c>
      <c r="O4230">
        <f t="shared" si="132"/>
        <v>18200</v>
      </c>
      <c r="P4230" s="13">
        <f t="shared" si="133"/>
        <v>2674087</v>
      </c>
      <c r="Q4230" s="13">
        <f>SUMIFS(M:M,E:E,Online_eCommerce[[#This Row],[Status]])</f>
        <v>28620410</v>
      </c>
      <c r="R4230" s="13">
        <f>SUMIFS(L:L,H:H,Online_eCommerce[[#This Row],[Brand]])</f>
        <v>10087000</v>
      </c>
      <c r="S4230" s="13">
        <f>SUMIF(H:H,Online_eCommerce[[#This Row],[Brand]],M:M)</f>
        <v>13113100</v>
      </c>
      <c r="T4230" s="13">
        <f>SUMIF(N:N,Online_eCommerce[[#This Row],[Assigned Supervisor]],L:L)</f>
        <v>12100590</v>
      </c>
    </row>
    <row r="4231" spans="1:20" hidden="1" x14ac:dyDescent="0.3">
      <c r="A4231" t="s">
        <v>6228</v>
      </c>
      <c r="B4231" t="s">
        <v>232</v>
      </c>
      <c r="C4231" t="s">
        <v>168</v>
      </c>
      <c r="D4231" t="s">
        <v>6229</v>
      </c>
      <c r="E4231" t="s">
        <v>96</v>
      </c>
      <c r="F4231" t="s">
        <v>6230</v>
      </c>
      <c r="G4231" t="s">
        <v>163</v>
      </c>
      <c r="H4231" t="s">
        <v>41</v>
      </c>
      <c r="I4231">
        <v>1680</v>
      </c>
      <c r="J4231">
        <v>2184</v>
      </c>
      <c r="K4231">
        <v>1</v>
      </c>
      <c r="L4231">
        <v>1680</v>
      </c>
      <c r="M4231">
        <v>2184</v>
      </c>
      <c r="N4231" t="s">
        <v>56</v>
      </c>
      <c r="O4231">
        <f t="shared" si="132"/>
        <v>13650</v>
      </c>
      <c r="P4231" s="13">
        <f t="shared" si="133"/>
        <v>1937780</v>
      </c>
      <c r="Q4231" s="13">
        <f>SUMIFS(M:M,E:E,Online_eCommerce[[#This Row],[Status]])</f>
        <v>21233992</v>
      </c>
      <c r="R4231" s="13">
        <f>SUMIFS(L:L,H:H,Online_eCommerce[[#This Row],[Brand]])</f>
        <v>4260400</v>
      </c>
      <c r="S4231" s="13">
        <f>SUMIF(H:H,Online_eCommerce[[#This Row],[Brand]],M:M)</f>
        <v>5538520</v>
      </c>
      <c r="T4231" s="13">
        <f>SUMIF(N:N,Online_eCommerce[[#This Row],[Assigned Supervisor]],L:L)</f>
        <v>11733610</v>
      </c>
    </row>
    <row r="4232" spans="1:20" hidden="1" x14ac:dyDescent="0.3">
      <c r="A4232" t="s">
        <v>6231</v>
      </c>
      <c r="B4232" t="s">
        <v>235</v>
      </c>
      <c r="C4232" t="s">
        <v>172</v>
      </c>
      <c r="D4232" t="s">
        <v>6232</v>
      </c>
      <c r="E4232" t="s">
        <v>18</v>
      </c>
      <c r="F4232" t="s">
        <v>101</v>
      </c>
      <c r="G4232" t="s">
        <v>66</v>
      </c>
      <c r="H4232" t="s">
        <v>102</v>
      </c>
      <c r="I4232">
        <v>6540</v>
      </c>
      <c r="J4232">
        <v>8502</v>
      </c>
      <c r="K4232">
        <v>1</v>
      </c>
      <c r="L4232">
        <v>6540</v>
      </c>
      <c r="M4232">
        <v>8502</v>
      </c>
      <c r="N4232" t="s">
        <v>22</v>
      </c>
      <c r="O4232">
        <f t="shared" si="132"/>
        <v>1690</v>
      </c>
      <c r="P4232" s="13">
        <f t="shared" si="133"/>
        <v>2640274</v>
      </c>
      <c r="Q4232" s="13">
        <f>SUMIFS(M:M,E:E,Online_eCommerce[[#This Row],[Status]])</f>
        <v>28340455</v>
      </c>
      <c r="R4232" s="13">
        <f>SUMIFS(L:L,H:H,Online_eCommerce[[#This Row],[Brand]])</f>
        <v>2465580</v>
      </c>
      <c r="S4232" s="13">
        <f>SUMIF(H:H,Online_eCommerce[[#This Row],[Brand]],M:M)</f>
        <v>3205254</v>
      </c>
      <c r="T4232" s="13">
        <f>SUMIF(N:N,Online_eCommerce[[#This Row],[Assigned Supervisor]],L:L)</f>
        <v>13693220</v>
      </c>
    </row>
    <row r="4233" spans="1:20" hidden="1" x14ac:dyDescent="0.3">
      <c r="A4233" t="s">
        <v>6233</v>
      </c>
      <c r="B4233" t="s">
        <v>104</v>
      </c>
      <c r="C4233" t="s">
        <v>177</v>
      </c>
      <c r="D4233" t="s">
        <v>6234</v>
      </c>
      <c r="E4233" t="s">
        <v>161</v>
      </c>
      <c r="F4233" t="s">
        <v>107</v>
      </c>
      <c r="G4233" t="s">
        <v>54</v>
      </c>
      <c r="H4233" t="s">
        <v>55</v>
      </c>
      <c r="I4233">
        <v>2680</v>
      </c>
      <c r="J4233">
        <v>3484</v>
      </c>
      <c r="K4233">
        <v>3</v>
      </c>
      <c r="L4233">
        <v>8040</v>
      </c>
      <c r="M4233">
        <v>10452</v>
      </c>
      <c r="N4233" t="s">
        <v>28</v>
      </c>
      <c r="O4233">
        <f t="shared" si="132"/>
        <v>2990</v>
      </c>
      <c r="P4233" s="13">
        <f t="shared" si="133"/>
        <v>1863810</v>
      </c>
      <c r="Q4233" s="13">
        <f>SUMIFS(M:M,E:E,Online_eCommerce[[#This Row],[Status]])</f>
        <v>21103186</v>
      </c>
      <c r="R4233" s="13">
        <f>SUMIFS(L:L,H:H,Online_eCommerce[[#This Row],[Brand]])</f>
        <v>2267380</v>
      </c>
      <c r="S4233" s="13">
        <f>SUMIF(H:H,Online_eCommerce[[#This Row],[Brand]],M:M)</f>
        <v>2947594</v>
      </c>
      <c r="T4233" s="13">
        <f>SUMIF(N:N,Online_eCommerce[[#This Row],[Assigned Supervisor]],L:L)</f>
        <v>12220830</v>
      </c>
    </row>
    <row r="4234" spans="1:20" x14ac:dyDescent="0.3">
      <c r="A4234" t="s">
        <v>6235</v>
      </c>
      <c r="B4234" t="s">
        <v>109</v>
      </c>
      <c r="C4234" t="s">
        <v>181</v>
      </c>
      <c r="D4234" t="s">
        <v>6234</v>
      </c>
      <c r="E4234" t="s">
        <v>46</v>
      </c>
      <c r="F4234" t="s">
        <v>112</v>
      </c>
      <c r="G4234" t="s">
        <v>71</v>
      </c>
      <c r="H4234" t="s">
        <v>21</v>
      </c>
      <c r="I4234">
        <v>8250</v>
      </c>
      <c r="J4234">
        <v>10725</v>
      </c>
      <c r="K4234">
        <v>2</v>
      </c>
      <c r="L4234">
        <v>16500</v>
      </c>
      <c r="M4234">
        <v>21450</v>
      </c>
      <c r="N4234" t="s">
        <v>35</v>
      </c>
      <c r="O4234">
        <f t="shared" si="132"/>
        <v>9750</v>
      </c>
      <c r="P4234" s="13">
        <f t="shared" si="133"/>
        <v>2577458</v>
      </c>
      <c r="Q4234" s="13">
        <f>SUMIFS(M:M,E:E,Online_eCommerce[[#This Row],[Status]])</f>
        <v>28620410</v>
      </c>
      <c r="R4234" s="13">
        <f>SUMIFS(L:L,H:H,Online_eCommerce[[#This Row],[Brand]])</f>
        <v>12435650</v>
      </c>
      <c r="S4234" s="13">
        <f>SUMIF(H:H,Online_eCommerce[[#This Row],[Brand]],M:M)</f>
        <v>16166345</v>
      </c>
      <c r="T4234" s="13">
        <f>SUMIF(N:N,Online_eCommerce[[#This Row],[Assigned Supervisor]],L:L)</f>
        <v>14373360</v>
      </c>
    </row>
    <row r="4235" spans="1:20" hidden="1" x14ac:dyDescent="0.3">
      <c r="A4235" t="s">
        <v>6236</v>
      </c>
      <c r="B4235" t="s">
        <v>114</v>
      </c>
      <c r="C4235" t="s">
        <v>185</v>
      </c>
      <c r="D4235" t="s">
        <v>6234</v>
      </c>
      <c r="E4235" t="s">
        <v>96</v>
      </c>
      <c r="F4235" t="s">
        <v>5861</v>
      </c>
      <c r="G4235" t="s">
        <v>40</v>
      </c>
      <c r="H4235" t="s">
        <v>21</v>
      </c>
      <c r="I4235">
        <v>2650</v>
      </c>
      <c r="J4235">
        <v>3445</v>
      </c>
      <c r="K4235">
        <v>2</v>
      </c>
      <c r="L4235">
        <v>5300</v>
      </c>
      <c r="M4235">
        <v>6890</v>
      </c>
      <c r="N4235" t="s">
        <v>42</v>
      </c>
      <c r="O4235">
        <f t="shared" si="132"/>
        <v>25545</v>
      </c>
      <c r="P4235" s="13">
        <f t="shared" si="133"/>
        <v>2091596</v>
      </c>
      <c r="Q4235" s="13">
        <f>SUMIFS(M:M,E:E,Online_eCommerce[[#This Row],[Status]])</f>
        <v>21233992</v>
      </c>
      <c r="R4235" s="13">
        <f>SUMIFS(L:L,H:H,Online_eCommerce[[#This Row],[Brand]])</f>
        <v>12435650</v>
      </c>
      <c r="S4235" s="13">
        <f>SUMIF(H:H,Online_eCommerce[[#This Row],[Brand]],M:M)</f>
        <v>16166345</v>
      </c>
      <c r="T4235" s="13">
        <f>SUMIF(N:N,Online_eCommerce[[#This Row],[Assigned Supervisor]],L:L)</f>
        <v>12261500</v>
      </c>
    </row>
    <row r="4236" spans="1:20" hidden="1" x14ac:dyDescent="0.3">
      <c r="A4236" t="s">
        <v>6237</v>
      </c>
      <c r="B4236" t="s">
        <v>119</v>
      </c>
      <c r="C4236" t="s">
        <v>189</v>
      </c>
      <c r="D4236" t="s">
        <v>6234</v>
      </c>
      <c r="E4236" t="s">
        <v>18</v>
      </c>
      <c r="F4236" t="s">
        <v>121</v>
      </c>
      <c r="G4236" t="s">
        <v>71</v>
      </c>
      <c r="H4236" t="s">
        <v>122</v>
      </c>
      <c r="I4236">
        <v>12550</v>
      </c>
      <c r="J4236">
        <v>16315</v>
      </c>
      <c r="K4236">
        <v>1</v>
      </c>
      <c r="L4236">
        <v>12550</v>
      </c>
      <c r="M4236">
        <v>16315</v>
      </c>
      <c r="N4236" t="s">
        <v>50</v>
      </c>
      <c r="O4236">
        <f t="shared" si="132"/>
        <v>9750</v>
      </c>
      <c r="P4236" s="13">
        <f t="shared" si="133"/>
        <v>2740777</v>
      </c>
      <c r="Q4236" s="13">
        <f>SUMIFS(M:M,E:E,Online_eCommerce[[#This Row],[Status]])</f>
        <v>28340455</v>
      </c>
      <c r="R4236" s="13">
        <f>SUMIFS(L:L,H:H,Online_eCommerce[[#This Row],[Brand]])</f>
        <v>5045100</v>
      </c>
      <c r="S4236" s="13">
        <f>SUMIF(H:H,Online_eCommerce[[#This Row],[Brand]],M:M)</f>
        <v>6558630</v>
      </c>
      <c r="T4236" s="13">
        <f>SUMIF(N:N,Online_eCommerce[[#This Row],[Assigned Supervisor]],L:L)</f>
        <v>12100590</v>
      </c>
    </row>
    <row r="4237" spans="1:20" hidden="1" x14ac:dyDescent="0.3">
      <c r="A4237" t="s">
        <v>6238</v>
      </c>
      <c r="B4237" t="s">
        <v>124</v>
      </c>
      <c r="C4237" t="s">
        <v>193</v>
      </c>
      <c r="D4237" t="s">
        <v>6234</v>
      </c>
      <c r="E4237" t="s">
        <v>161</v>
      </c>
      <c r="F4237" t="s">
        <v>126</v>
      </c>
      <c r="G4237" t="s">
        <v>26</v>
      </c>
      <c r="H4237" t="s">
        <v>27</v>
      </c>
      <c r="I4237">
        <v>14500</v>
      </c>
      <c r="J4237">
        <v>18850</v>
      </c>
      <c r="K4237">
        <v>1</v>
      </c>
      <c r="L4237">
        <v>14500</v>
      </c>
      <c r="M4237">
        <v>18850</v>
      </c>
      <c r="N4237" t="s">
        <v>56</v>
      </c>
      <c r="O4237">
        <f t="shared" si="132"/>
        <v>33150</v>
      </c>
      <c r="P4237" s="13">
        <f t="shared" si="133"/>
        <v>2074774</v>
      </c>
      <c r="Q4237" s="13">
        <f>SUMIFS(M:M,E:E,Online_eCommerce[[#This Row],[Status]])</f>
        <v>21103186</v>
      </c>
      <c r="R4237" s="13">
        <f>SUMIFS(L:L,H:H,Online_eCommerce[[#This Row],[Brand]])</f>
        <v>14431000</v>
      </c>
      <c r="S4237" s="13">
        <f>SUMIF(H:H,Online_eCommerce[[#This Row],[Brand]],M:M)</f>
        <v>18760300</v>
      </c>
      <c r="T4237" s="13">
        <f>SUMIF(N:N,Online_eCommerce[[#This Row],[Assigned Supervisor]],L:L)</f>
        <v>11733610</v>
      </c>
    </row>
    <row r="4238" spans="1:20" x14ac:dyDescent="0.3">
      <c r="A4238" t="s">
        <v>6239</v>
      </c>
      <c r="B4238" t="s">
        <v>128</v>
      </c>
      <c r="C4238" t="s">
        <v>197</v>
      </c>
      <c r="D4238" t="s">
        <v>6234</v>
      </c>
      <c r="E4238" t="s">
        <v>46</v>
      </c>
      <c r="F4238" t="s">
        <v>129</v>
      </c>
      <c r="G4238" t="s">
        <v>60</v>
      </c>
      <c r="H4238" t="s">
        <v>61</v>
      </c>
      <c r="I4238">
        <v>800</v>
      </c>
      <c r="J4238">
        <v>1040</v>
      </c>
      <c r="K4238">
        <v>1</v>
      </c>
      <c r="L4238">
        <v>800</v>
      </c>
      <c r="M4238">
        <v>1040</v>
      </c>
      <c r="N4238" t="s">
        <v>22</v>
      </c>
      <c r="O4238">
        <f t="shared" si="132"/>
        <v>3315</v>
      </c>
      <c r="P4238" s="13">
        <f t="shared" si="133"/>
        <v>2829840</v>
      </c>
      <c r="Q4238" s="13">
        <f>SUMIFS(M:M,E:E,Online_eCommerce[[#This Row],[Status]])</f>
        <v>28620410</v>
      </c>
      <c r="R4238" s="13">
        <f>SUMIFS(L:L,H:H,Online_eCommerce[[#This Row],[Brand]])</f>
        <v>10950150</v>
      </c>
      <c r="S4238" s="13">
        <f>SUMIF(H:H,Online_eCommerce[[#This Row],[Brand]],M:M)</f>
        <v>14235195</v>
      </c>
      <c r="T4238" s="13">
        <f>SUMIF(N:N,Online_eCommerce[[#This Row],[Assigned Supervisor]],L:L)</f>
        <v>13693220</v>
      </c>
    </row>
    <row r="4239" spans="1:20" hidden="1" x14ac:dyDescent="0.3">
      <c r="A4239" t="s">
        <v>6240</v>
      </c>
      <c r="B4239" t="s">
        <v>131</v>
      </c>
      <c r="C4239" t="s">
        <v>199</v>
      </c>
      <c r="D4239" t="s">
        <v>6234</v>
      </c>
      <c r="E4239" t="s">
        <v>96</v>
      </c>
      <c r="F4239" t="s">
        <v>133</v>
      </c>
      <c r="G4239" t="s">
        <v>66</v>
      </c>
      <c r="H4239" t="s">
        <v>21</v>
      </c>
      <c r="I4239">
        <v>600</v>
      </c>
      <c r="J4239">
        <v>780</v>
      </c>
      <c r="K4239">
        <v>2</v>
      </c>
      <c r="L4239">
        <v>1200</v>
      </c>
      <c r="M4239">
        <v>1560</v>
      </c>
      <c r="N4239" t="s">
        <v>28</v>
      </c>
      <c r="O4239">
        <f t="shared" si="132"/>
        <v>1690</v>
      </c>
      <c r="P4239" s="13">
        <f t="shared" si="133"/>
        <v>1947361</v>
      </c>
      <c r="Q4239" s="13">
        <f>SUMIFS(M:M,E:E,Online_eCommerce[[#This Row],[Status]])</f>
        <v>21233992</v>
      </c>
      <c r="R4239" s="13">
        <f>SUMIFS(L:L,H:H,Online_eCommerce[[#This Row],[Brand]])</f>
        <v>12435650</v>
      </c>
      <c r="S4239" s="13">
        <f>SUMIF(H:H,Online_eCommerce[[#This Row],[Brand]],M:M)</f>
        <v>16166345</v>
      </c>
      <c r="T4239" s="13">
        <f>SUMIF(N:N,Online_eCommerce[[#This Row],[Assigned Supervisor]],L:L)</f>
        <v>12220830</v>
      </c>
    </row>
    <row r="4240" spans="1:20" hidden="1" x14ac:dyDescent="0.3">
      <c r="A4240" t="s">
        <v>6241</v>
      </c>
      <c r="B4240" t="s">
        <v>135</v>
      </c>
      <c r="C4240" t="s">
        <v>203</v>
      </c>
      <c r="D4240" t="s">
        <v>6234</v>
      </c>
      <c r="E4240" t="s">
        <v>18</v>
      </c>
      <c r="F4240" t="s">
        <v>137</v>
      </c>
      <c r="G4240" t="s">
        <v>71</v>
      </c>
      <c r="H4240" t="s">
        <v>61</v>
      </c>
      <c r="I4240">
        <v>10500</v>
      </c>
      <c r="J4240">
        <v>13650</v>
      </c>
      <c r="K4240">
        <v>2</v>
      </c>
      <c r="L4240">
        <v>21000</v>
      </c>
      <c r="M4240">
        <v>27300</v>
      </c>
      <c r="N4240" t="s">
        <v>35</v>
      </c>
      <c r="O4240">
        <f t="shared" si="132"/>
        <v>9750</v>
      </c>
      <c r="P4240" s="13">
        <f t="shared" si="133"/>
        <v>2559635</v>
      </c>
      <c r="Q4240" s="13">
        <f>SUMIFS(M:M,E:E,Online_eCommerce[[#This Row],[Status]])</f>
        <v>28340455</v>
      </c>
      <c r="R4240" s="13">
        <f>SUMIFS(L:L,H:H,Online_eCommerce[[#This Row],[Brand]])</f>
        <v>10950150</v>
      </c>
      <c r="S4240" s="13">
        <f>SUMIF(H:H,Online_eCommerce[[#This Row],[Brand]],M:M)</f>
        <v>14235195</v>
      </c>
      <c r="T4240" s="13">
        <f>SUMIF(N:N,Online_eCommerce[[#This Row],[Assigned Supervisor]],L:L)</f>
        <v>14373360</v>
      </c>
    </row>
    <row r="4241" spans="1:20" hidden="1" x14ac:dyDescent="0.3">
      <c r="A4241" t="s">
        <v>6242</v>
      </c>
      <c r="B4241" t="s">
        <v>139</v>
      </c>
      <c r="C4241" t="s">
        <v>205</v>
      </c>
      <c r="D4241" t="s">
        <v>6234</v>
      </c>
      <c r="E4241" t="s">
        <v>161</v>
      </c>
      <c r="F4241" t="s">
        <v>6205</v>
      </c>
      <c r="G4241" t="s">
        <v>77</v>
      </c>
      <c r="H4241" t="s">
        <v>142</v>
      </c>
      <c r="I4241">
        <v>6500</v>
      </c>
      <c r="J4241">
        <v>8450</v>
      </c>
      <c r="K4241">
        <v>2</v>
      </c>
      <c r="L4241">
        <v>13000</v>
      </c>
      <c r="M4241">
        <v>16900</v>
      </c>
      <c r="N4241" t="s">
        <v>42</v>
      </c>
      <c r="O4241">
        <f t="shared" si="132"/>
        <v>39000</v>
      </c>
      <c r="P4241" s="13">
        <f t="shared" si="133"/>
        <v>1983254</v>
      </c>
      <c r="Q4241" s="13">
        <f>SUMIFS(M:M,E:E,Online_eCommerce[[#This Row],[Status]])</f>
        <v>21103186</v>
      </c>
      <c r="R4241" s="13">
        <f>SUMIFS(L:L,H:H,Online_eCommerce[[#This Row],[Brand]])</f>
        <v>6192500</v>
      </c>
      <c r="S4241" s="13">
        <f>SUMIF(H:H,Online_eCommerce[[#This Row],[Brand]],M:M)</f>
        <v>8050250</v>
      </c>
      <c r="T4241" s="13">
        <f>SUMIF(N:N,Online_eCommerce[[#This Row],[Assigned Supervisor]],L:L)</f>
        <v>12261500</v>
      </c>
    </row>
    <row r="4242" spans="1:20" x14ac:dyDescent="0.3">
      <c r="A4242" t="s">
        <v>6243</v>
      </c>
      <c r="B4242" t="s">
        <v>144</v>
      </c>
      <c r="C4242" t="s">
        <v>208</v>
      </c>
      <c r="D4242" t="s">
        <v>6234</v>
      </c>
      <c r="E4242" t="s">
        <v>46</v>
      </c>
      <c r="F4242" t="s">
        <v>6244</v>
      </c>
      <c r="G4242" t="s">
        <v>20</v>
      </c>
      <c r="H4242" t="s">
        <v>21</v>
      </c>
      <c r="I4242">
        <v>4500</v>
      </c>
      <c r="J4242">
        <v>5850</v>
      </c>
      <c r="K4242">
        <v>1</v>
      </c>
      <c r="L4242">
        <v>4500</v>
      </c>
      <c r="M4242">
        <v>5850</v>
      </c>
      <c r="N4242" t="s">
        <v>50</v>
      </c>
      <c r="O4242">
        <f t="shared" si="132"/>
        <v>8450</v>
      </c>
      <c r="P4242" s="13">
        <f t="shared" si="133"/>
        <v>2746575</v>
      </c>
      <c r="Q4242" s="13">
        <f>SUMIFS(M:M,E:E,Online_eCommerce[[#This Row],[Status]])</f>
        <v>28620410</v>
      </c>
      <c r="R4242" s="13">
        <f>SUMIFS(L:L,H:H,Online_eCommerce[[#This Row],[Brand]])</f>
        <v>12435650</v>
      </c>
      <c r="S4242" s="13">
        <f>SUMIF(H:H,Online_eCommerce[[#This Row],[Brand]],M:M)</f>
        <v>16166345</v>
      </c>
      <c r="T4242" s="13">
        <f>SUMIF(N:N,Online_eCommerce[[#This Row],[Assigned Supervisor]],L:L)</f>
        <v>12100590</v>
      </c>
    </row>
    <row r="4243" spans="1:20" hidden="1" x14ac:dyDescent="0.3">
      <c r="A4243" t="s">
        <v>6245</v>
      </c>
      <c r="B4243" t="s">
        <v>149</v>
      </c>
      <c r="C4243" t="s">
        <v>211</v>
      </c>
      <c r="D4243" t="s">
        <v>6234</v>
      </c>
      <c r="E4243" t="s">
        <v>96</v>
      </c>
      <c r="F4243" t="s">
        <v>152</v>
      </c>
      <c r="G4243" t="s">
        <v>26</v>
      </c>
      <c r="H4243" t="s">
        <v>27</v>
      </c>
      <c r="I4243">
        <v>8500</v>
      </c>
      <c r="J4243">
        <v>11050</v>
      </c>
      <c r="K4243">
        <v>1</v>
      </c>
      <c r="L4243">
        <v>8500</v>
      </c>
      <c r="M4243">
        <v>11050</v>
      </c>
      <c r="N4243" t="s">
        <v>56</v>
      </c>
      <c r="O4243">
        <f t="shared" si="132"/>
        <v>33150</v>
      </c>
      <c r="P4243" s="13">
        <f t="shared" si="133"/>
        <v>1809847</v>
      </c>
      <c r="Q4243" s="13">
        <f>SUMIFS(M:M,E:E,Online_eCommerce[[#This Row],[Status]])</f>
        <v>21233992</v>
      </c>
      <c r="R4243" s="13">
        <f>SUMIFS(L:L,H:H,Online_eCommerce[[#This Row],[Brand]])</f>
        <v>14431000</v>
      </c>
      <c r="S4243" s="13">
        <f>SUMIF(H:H,Online_eCommerce[[#This Row],[Brand]],M:M)</f>
        <v>18760300</v>
      </c>
      <c r="T4243" s="13">
        <f>SUMIF(N:N,Online_eCommerce[[#This Row],[Assigned Supervisor]],L:L)</f>
        <v>11733610</v>
      </c>
    </row>
    <row r="4244" spans="1:20" hidden="1" x14ac:dyDescent="0.3">
      <c r="A4244" t="s">
        <v>6246</v>
      </c>
      <c r="B4244" t="s">
        <v>154</v>
      </c>
      <c r="C4244" t="s">
        <v>16</v>
      </c>
      <c r="D4244" t="s">
        <v>6234</v>
      </c>
      <c r="E4244" t="s">
        <v>18</v>
      </c>
      <c r="F4244" t="s">
        <v>157</v>
      </c>
      <c r="G4244" t="s">
        <v>33</v>
      </c>
      <c r="H4244" t="s">
        <v>34</v>
      </c>
      <c r="I4244">
        <v>12500</v>
      </c>
      <c r="J4244">
        <v>16250</v>
      </c>
      <c r="K4244">
        <v>1</v>
      </c>
      <c r="L4244">
        <v>12500</v>
      </c>
      <c r="M4244">
        <v>16250</v>
      </c>
      <c r="N4244" t="s">
        <v>22</v>
      </c>
      <c r="O4244">
        <f t="shared" si="132"/>
        <v>18200</v>
      </c>
      <c r="P4244" s="13">
        <f t="shared" si="133"/>
        <v>2751814</v>
      </c>
      <c r="Q4244" s="13">
        <f>SUMIFS(M:M,E:E,Online_eCommerce[[#This Row],[Status]])</f>
        <v>28340455</v>
      </c>
      <c r="R4244" s="13">
        <f>SUMIFS(L:L,H:H,Online_eCommerce[[#This Row],[Brand]])</f>
        <v>10087000</v>
      </c>
      <c r="S4244" s="13">
        <f>SUMIF(H:H,Online_eCommerce[[#This Row],[Brand]],M:M)</f>
        <v>13113100</v>
      </c>
      <c r="T4244" s="13">
        <f>SUMIF(N:N,Online_eCommerce[[#This Row],[Assigned Supervisor]],L:L)</f>
        <v>13693220</v>
      </c>
    </row>
    <row r="4245" spans="1:20" hidden="1" x14ac:dyDescent="0.3">
      <c r="A4245" t="s">
        <v>6247</v>
      </c>
      <c r="B4245" t="s">
        <v>159</v>
      </c>
      <c r="C4245" t="s">
        <v>24</v>
      </c>
      <c r="D4245" t="s">
        <v>6234</v>
      </c>
      <c r="E4245" t="s">
        <v>161</v>
      </c>
      <c r="F4245" t="s">
        <v>5903</v>
      </c>
      <c r="G4245" t="s">
        <v>256</v>
      </c>
      <c r="H4245" t="s">
        <v>41</v>
      </c>
      <c r="I4245">
        <v>3500</v>
      </c>
      <c r="J4245">
        <v>4550</v>
      </c>
      <c r="K4245">
        <v>3</v>
      </c>
      <c r="L4245">
        <v>10500</v>
      </c>
      <c r="M4245">
        <v>13650</v>
      </c>
      <c r="N4245" t="s">
        <v>28</v>
      </c>
      <c r="O4245">
        <f t="shared" si="132"/>
        <v>9100</v>
      </c>
      <c r="P4245" s="13">
        <f t="shared" si="133"/>
        <v>2009540</v>
      </c>
      <c r="Q4245" s="13">
        <f>SUMIFS(M:M,E:E,Online_eCommerce[[#This Row],[Status]])</f>
        <v>21103186</v>
      </c>
      <c r="R4245" s="13">
        <f>SUMIFS(L:L,H:H,Online_eCommerce[[#This Row],[Brand]])</f>
        <v>4260400</v>
      </c>
      <c r="S4245" s="13">
        <f>SUMIF(H:H,Online_eCommerce[[#This Row],[Brand]],M:M)</f>
        <v>5538520</v>
      </c>
      <c r="T4245" s="13">
        <f>SUMIF(N:N,Online_eCommerce[[#This Row],[Assigned Supervisor]],L:L)</f>
        <v>12220830</v>
      </c>
    </row>
    <row r="4246" spans="1:20" x14ac:dyDescent="0.3">
      <c r="A4246" t="s">
        <v>6248</v>
      </c>
      <c r="B4246" t="s">
        <v>139</v>
      </c>
      <c r="C4246" t="s">
        <v>31</v>
      </c>
      <c r="D4246" t="s">
        <v>6234</v>
      </c>
      <c r="E4246" t="s">
        <v>46</v>
      </c>
      <c r="F4246" t="s">
        <v>166</v>
      </c>
      <c r="G4246" t="s">
        <v>259</v>
      </c>
      <c r="H4246" t="s">
        <v>49</v>
      </c>
      <c r="I4246">
        <v>4500</v>
      </c>
      <c r="J4246">
        <v>5850</v>
      </c>
      <c r="K4246">
        <v>1</v>
      </c>
      <c r="L4246">
        <v>4500</v>
      </c>
      <c r="M4246">
        <v>5850</v>
      </c>
      <c r="N4246" t="s">
        <v>35</v>
      </c>
      <c r="O4246">
        <f t="shared" si="132"/>
        <v>11700</v>
      </c>
      <c r="P4246" s="13">
        <f t="shared" si="133"/>
        <v>2865746</v>
      </c>
      <c r="Q4246" s="13">
        <f>SUMIFS(M:M,E:E,Online_eCommerce[[#This Row],[Status]])</f>
        <v>28620410</v>
      </c>
      <c r="R4246" s="13">
        <f>SUMIFS(L:L,H:H,Online_eCommerce[[#This Row],[Brand]])</f>
        <v>4528350</v>
      </c>
      <c r="S4246" s="13">
        <f>SUMIF(H:H,Online_eCommerce[[#This Row],[Brand]],M:M)</f>
        <v>5886855</v>
      </c>
      <c r="T4246" s="13">
        <f>SUMIF(N:N,Online_eCommerce[[#This Row],[Assigned Supervisor]],L:L)</f>
        <v>14373360</v>
      </c>
    </row>
    <row r="4247" spans="1:20" hidden="1" x14ac:dyDescent="0.3">
      <c r="A4247" t="s">
        <v>6249</v>
      </c>
      <c r="B4247" t="s">
        <v>144</v>
      </c>
      <c r="C4247" t="s">
        <v>38</v>
      </c>
      <c r="D4247" t="s">
        <v>6234</v>
      </c>
      <c r="E4247" t="s">
        <v>96</v>
      </c>
      <c r="F4247" t="s">
        <v>6250</v>
      </c>
      <c r="G4247" t="s">
        <v>54</v>
      </c>
      <c r="H4247" t="s">
        <v>55</v>
      </c>
      <c r="I4247">
        <v>2100</v>
      </c>
      <c r="J4247">
        <v>2730</v>
      </c>
      <c r="K4247">
        <v>4</v>
      </c>
      <c r="L4247">
        <v>8400</v>
      </c>
      <c r="M4247">
        <v>10920</v>
      </c>
      <c r="N4247" t="s">
        <v>42</v>
      </c>
      <c r="O4247">
        <f t="shared" si="132"/>
        <v>2990</v>
      </c>
      <c r="P4247" s="13">
        <f t="shared" si="133"/>
        <v>1933997</v>
      </c>
      <c r="Q4247" s="13">
        <f>SUMIFS(M:M,E:E,Online_eCommerce[[#This Row],[Status]])</f>
        <v>21233992</v>
      </c>
      <c r="R4247" s="13">
        <f>SUMIFS(L:L,H:H,Online_eCommerce[[#This Row],[Brand]])</f>
        <v>2267380</v>
      </c>
      <c r="S4247" s="13">
        <f>SUMIF(H:H,Online_eCommerce[[#This Row],[Brand]],M:M)</f>
        <v>2947594</v>
      </c>
      <c r="T4247" s="13">
        <f>SUMIF(N:N,Online_eCommerce[[#This Row],[Assigned Supervisor]],L:L)</f>
        <v>12261500</v>
      </c>
    </row>
    <row r="4248" spans="1:20" hidden="1" x14ac:dyDescent="0.3">
      <c r="A4248" t="s">
        <v>6251</v>
      </c>
      <c r="B4248" t="s">
        <v>235</v>
      </c>
      <c r="C4248" t="s">
        <v>45</v>
      </c>
      <c r="D4248" t="s">
        <v>6234</v>
      </c>
      <c r="E4248" t="s">
        <v>18</v>
      </c>
      <c r="F4248" t="s">
        <v>174</v>
      </c>
      <c r="G4248" t="s">
        <v>60</v>
      </c>
      <c r="H4248" t="s">
        <v>61</v>
      </c>
      <c r="I4248">
        <v>1150</v>
      </c>
      <c r="J4248">
        <v>1495</v>
      </c>
      <c r="K4248">
        <v>3</v>
      </c>
      <c r="L4248">
        <v>3450</v>
      </c>
      <c r="M4248">
        <v>4485</v>
      </c>
      <c r="N4248" t="s">
        <v>50</v>
      </c>
      <c r="O4248">
        <f t="shared" si="132"/>
        <v>3315</v>
      </c>
      <c r="P4248" s="13">
        <f t="shared" si="133"/>
        <v>2842554</v>
      </c>
      <c r="Q4248" s="13">
        <f>SUMIFS(M:M,E:E,Online_eCommerce[[#This Row],[Status]])</f>
        <v>28340455</v>
      </c>
      <c r="R4248" s="13">
        <f>SUMIFS(L:L,H:H,Online_eCommerce[[#This Row],[Brand]])</f>
        <v>10950150</v>
      </c>
      <c r="S4248" s="13">
        <f>SUMIF(H:H,Online_eCommerce[[#This Row],[Brand]],M:M)</f>
        <v>14235195</v>
      </c>
      <c r="T4248" s="13">
        <f>SUMIF(N:N,Online_eCommerce[[#This Row],[Assigned Supervisor]],L:L)</f>
        <v>12100590</v>
      </c>
    </row>
    <row r="4249" spans="1:20" hidden="1" x14ac:dyDescent="0.3">
      <c r="A4249" t="s">
        <v>6252</v>
      </c>
      <c r="B4249" t="s">
        <v>176</v>
      </c>
      <c r="C4249" t="s">
        <v>52</v>
      </c>
      <c r="D4249" t="s">
        <v>6234</v>
      </c>
      <c r="E4249" t="s">
        <v>161</v>
      </c>
      <c r="F4249" t="s">
        <v>179</v>
      </c>
      <c r="G4249" t="s">
        <v>66</v>
      </c>
      <c r="H4249" t="s">
        <v>21</v>
      </c>
      <c r="I4249">
        <v>350</v>
      </c>
      <c r="J4249">
        <v>455</v>
      </c>
      <c r="K4249">
        <v>4</v>
      </c>
      <c r="L4249">
        <v>1400</v>
      </c>
      <c r="M4249">
        <v>1820</v>
      </c>
      <c r="N4249" t="s">
        <v>56</v>
      </c>
      <c r="O4249">
        <f t="shared" si="132"/>
        <v>1690</v>
      </c>
      <c r="P4249" s="13">
        <f t="shared" si="133"/>
        <v>1955044</v>
      </c>
      <c r="Q4249" s="13">
        <f>SUMIFS(M:M,E:E,Online_eCommerce[[#This Row],[Status]])</f>
        <v>21103186</v>
      </c>
      <c r="R4249" s="13">
        <f>SUMIFS(L:L,H:H,Online_eCommerce[[#This Row],[Brand]])</f>
        <v>12435650</v>
      </c>
      <c r="S4249" s="13">
        <f>SUMIF(H:H,Online_eCommerce[[#This Row],[Brand]],M:M)</f>
        <v>16166345</v>
      </c>
      <c r="T4249" s="13">
        <f>SUMIF(N:N,Online_eCommerce[[#This Row],[Assigned Supervisor]],L:L)</f>
        <v>11733610</v>
      </c>
    </row>
    <row r="4250" spans="1:20" x14ac:dyDescent="0.3">
      <c r="A4250" t="s">
        <v>6253</v>
      </c>
      <c r="B4250" t="s">
        <v>276</v>
      </c>
      <c r="C4250" t="s">
        <v>58</v>
      </c>
      <c r="D4250" t="s">
        <v>6234</v>
      </c>
      <c r="E4250" t="s">
        <v>46</v>
      </c>
      <c r="F4250" t="s">
        <v>183</v>
      </c>
      <c r="G4250" t="s">
        <v>71</v>
      </c>
      <c r="H4250" t="s">
        <v>61</v>
      </c>
      <c r="I4250">
        <v>9500</v>
      </c>
      <c r="J4250">
        <v>12350</v>
      </c>
      <c r="K4250">
        <v>4</v>
      </c>
      <c r="L4250">
        <v>38000</v>
      </c>
      <c r="M4250">
        <v>49400</v>
      </c>
      <c r="N4250" t="s">
        <v>22</v>
      </c>
      <c r="O4250">
        <f t="shared" si="132"/>
        <v>9750</v>
      </c>
      <c r="P4250" s="13">
        <f t="shared" si="133"/>
        <v>2629211</v>
      </c>
      <c r="Q4250" s="13">
        <f>SUMIFS(M:M,E:E,Online_eCommerce[[#This Row],[Status]])</f>
        <v>28620410</v>
      </c>
      <c r="R4250" s="13">
        <f>SUMIFS(L:L,H:H,Online_eCommerce[[#This Row],[Brand]])</f>
        <v>10950150</v>
      </c>
      <c r="S4250" s="13">
        <f>SUMIF(H:H,Online_eCommerce[[#This Row],[Brand]],M:M)</f>
        <v>14235195</v>
      </c>
      <c r="T4250" s="13">
        <f>SUMIF(N:N,Online_eCommerce[[#This Row],[Assigned Supervisor]],L:L)</f>
        <v>13693220</v>
      </c>
    </row>
    <row r="4251" spans="1:20" hidden="1" x14ac:dyDescent="0.3">
      <c r="A4251" t="s">
        <v>6254</v>
      </c>
      <c r="B4251" t="s">
        <v>280</v>
      </c>
      <c r="C4251" t="s">
        <v>63</v>
      </c>
      <c r="D4251" t="s">
        <v>6234</v>
      </c>
      <c r="E4251" t="s">
        <v>96</v>
      </c>
      <c r="F4251" t="s">
        <v>6255</v>
      </c>
      <c r="G4251" t="s">
        <v>77</v>
      </c>
      <c r="H4251" t="s">
        <v>142</v>
      </c>
      <c r="I4251">
        <v>10000</v>
      </c>
      <c r="J4251">
        <v>13000</v>
      </c>
      <c r="K4251">
        <v>2</v>
      </c>
      <c r="L4251">
        <v>20000</v>
      </c>
      <c r="M4251">
        <v>26000</v>
      </c>
      <c r="N4251" t="s">
        <v>28</v>
      </c>
      <c r="O4251">
        <f t="shared" si="132"/>
        <v>39000</v>
      </c>
      <c r="P4251" s="13">
        <f t="shared" si="133"/>
        <v>2016131</v>
      </c>
      <c r="Q4251" s="13">
        <f>SUMIFS(M:M,E:E,Online_eCommerce[[#This Row],[Status]])</f>
        <v>21233992</v>
      </c>
      <c r="R4251" s="13">
        <f>SUMIFS(L:L,H:H,Online_eCommerce[[#This Row],[Brand]])</f>
        <v>6192500</v>
      </c>
      <c r="S4251" s="13">
        <f>SUMIF(H:H,Online_eCommerce[[#This Row],[Brand]],M:M)</f>
        <v>8050250</v>
      </c>
      <c r="T4251" s="13">
        <f>SUMIF(N:N,Online_eCommerce[[#This Row],[Assigned Supervisor]],L:L)</f>
        <v>12220830</v>
      </c>
    </row>
    <row r="4252" spans="1:20" hidden="1" x14ac:dyDescent="0.3">
      <c r="A4252" t="s">
        <v>6256</v>
      </c>
      <c r="B4252" t="s">
        <v>283</v>
      </c>
      <c r="C4252" t="s">
        <v>68</v>
      </c>
      <c r="D4252" t="s">
        <v>6234</v>
      </c>
      <c r="E4252" t="s">
        <v>18</v>
      </c>
      <c r="F4252" t="s">
        <v>6257</v>
      </c>
      <c r="G4252" t="s">
        <v>20</v>
      </c>
      <c r="H4252" t="s">
        <v>21</v>
      </c>
      <c r="I4252">
        <v>6500</v>
      </c>
      <c r="J4252">
        <v>8450</v>
      </c>
      <c r="K4252">
        <v>4</v>
      </c>
      <c r="L4252">
        <v>26000</v>
      </c>
      <c r="M4252">
        <v>33800</v>
      </c>
      <c r="N4252" t="s">
        <v>35</v>
      </c>
      <c r="O4252">
        <f t="shared" si="132"/>
        <v>8450</v>
      </c>
      <c r="P4252" s="13">
        <f t="shared" si="133"/>
        <v>2974621</v>
      </c>
      <c r="Q4252" s="13">
        <f>SUMIFS(M:M,E:E,Online_eCommerce[[#This Row],[Status]])</f>
        <v>28340455</v>
      </c>
      <c r="R4252" s="13">
        <f>SUMIFS(L:L,H:H,Online_eCommerce[[#This Row],[Brand]])</f>
        <v>12435650</v>
      </c>
      <c r="S4252" s="13">
        <f>SUMIF(H:H,Online_eCommerce[[#This Row],[Brand]],M:M)</f>
        <v>16166345</v>
      </c>
      <c r="T4252" s="13">
        <f>SUMIF(N:N,Online_eCommerce[[#This Row],[Assigned Supervisor]],L:L)</f>
        <v>14373360</v>
      </c>
    </row>
    <row r="4253" spans="1:20" hidden="1" x14ac:dyDescent="0.3">
      <c r="A4253" t="s">
        <v>6258</v>
      </c>
      <c r="B4253" t="s">
        <v>287</v>
      </c>
      <c r="C4253" t="s">
        <v>74</v>
      </c>
      <c r="D4253" t="s">
        <v>6259</v>
      </c>
      <c r="E4253" t="s">
        <v>161</v>
      </c>
      <c r="F4253" t="s">
        <v>6260</v>
      </c>
      <c r="G4253" t="s">
        <v>26</v>
      </c>
      <c r="H4253" t="s">
        <v>27</v>
      </c>
      <c r="I4253">
        <v>8500</v>
      </c>
      <c r="J4253">
        <v>11050</v>
      </c>
      <c r="K4253">
        <v>2</v>
      </c>
      <c r="L4253">
        <v>17000</v>
      </c>
      <c r="M4253">
        <v>22100</v>
      </c>
      <c r="N4253" t="s">
        <v>42</v>
      </c>
      <c r="O4253">
        <f t="shared" si="132"/>
        <v>33150</v>
      </c>
      <c r="P4253" s="13">
        <f t="shared" si="133"/>
        <v>2144701</v>
      </c>
      <c r="Q4253" s="13">
        <f>SUMIFS(M:M,E:E,Online_eCommerce[[#This Row],[Status]])</f>
        <v>21103186</v>
      </c>
      <c r="R4253" s="13">
        <f>SUMIFS(L:L,H:H,Online_eCommerce[[#This Row],[Brand]])</f>
        <v>14431000</v>
      </c>
      <c r="S4253" s="13">
        <f>SUMIF(H:H,Online_eCommerce[[#This Row],[Brand]],M:M)</f>
        <v>18760300</v>
      </c>
      <c r="T4253" s="13">
        <f>SUMIF(N:N,Online_eCommerce[[#This Row],[Assigned Supervisor]],L:L)</f>
        <v>12261500</v>
      </c>
    </row>
    <row r="4254" spans="1:20" x14ac:dyDescent="0.3">
      <c r="A4254" t="s">
        <v>6261</v>
      </c>
      <c r="B4254" t="s">
        <v>290</v>
      </c>
      <c r="C4254" t="s">
        <v>81</v>
      </c>
      <c r="D4254" t="s">
        <v>6259</v>
      </c>
      <c r="E4254" t="s">
        <v>46</v>
      </c>
      <c r="F4254" t="s">
        <v>32</v>
      </c>
      <c r="G4254" t="s">
        <v>33</v>
      </c>
      <c r="H4254" t="s">
        <v>34</v>
      </c>
      <c r="I4254">
        <v>7000</v>
      </c>
      <c r="J4254">
        <v>9100</v>
      </c>
      <c r="K4254">
        <v>4</v>
      </c>
      <c r="L4254">
        <v>28000</v>
      </c>
      <c r="M4254">
        <v>36400</v>
      </c>
      <c r="N4254" t="s">
        <v>22</v>
      </c>
      <c r="O4254">
        <f t="shared" si="132"/>
        <v>18200</v>
      </c>
      <c r="P4254" s="13">
        <f t="shared" si="133"/>
        <v>2595632</v>
      </c>
      <c r="Q4254" s="13">
        <f>SUMIFS(M:M,E:E,Online_eCommerce[[#This Row],[Status]])</f>
        <v>28620410</v>
      </c>
      <c r="R4254" s="13">
        <f>SUMIFS(L:L,H:H,Online_eCommerce[[#This Row],[Brand]])</f>
        <v>10087000</v>
      </c>
      <c r="S4254" s="13">
        <f>SUMIF(H:H,Online_eCommerce[[#This Row],[Brand]],M:M)</f>
        <v>13113100</v>
      </c>
      <c r="T4254" s="13">
        <f>SUMIF(N:N,Online_eCommerce[[#This Row],[Assigned Supervisor]],L:L)</f>
        <v>13693220</v>
      </c>
    </row>
    <row r="4255" spans="1:20" hidden="1" x14ac:dyDescent="0.3">
      <c r="A4255" t="s">
        <v>6262</v>
      </c>
      <c r="B4255" t="s">
        <v>15</v>
      </c>
      <c r="C4255" t="s">
        <v>86</v>
      </c>
      <c r="D4255" t="s">
        <v>6259</v>
      </c>
      <c r="E4255" t="s">
        <v>96</v>
      </c>
      <c r="F4255" t="s">
        <v>6263</v>
      </c>
      <c r="G4255" t="s">
        <v>256</v>
      </c>
      <c r="H4255" t="s">
        <v>41</v>
      </c>
      <c r="I4255">
        <v>6550</v>
      </c>
      <c r="J4255">
        <v>8515</v>
      </c>
      <c r="K4255">
        <v>4</v>
      </c>
      <c r="L4255">
        <v>26200</v>
      </c>
      <c r="M4255">
        <v>34060</v>
      </c>
      <c r="N4255" t="s">
        <v>22</v>
      </c>
      <c r="O4255">
        <f t="shared" si="132"/>
        <v>9100</v>
      </c>
      <c r="P4255" s="13">
        <f t="shared" si="133"/>
        <v>1941225</v>
      </c>
      <c r="Q4255" s="13">
        <f>SUMIFS(M:M,E:E,Online_eCommerce[[#This Row],[Status]])</f>
        <v>21233992</v>
      </c>
      <c r="R4255" s="13">
        <f>SUMIFS(L:L,H:H,Online_eCommerce[[#This Row],[Brand]])</f>
        <v>4260400</v>
      </c>
      <c r="S4255" s="13">
        <f>SUMIF(H:H,Online_eCommerce[[#This Row],[Brand]],M:M)</f>
        <v>5538520</v>
      </c>
      <c r="T4255" s="13">
        <f>SUMIF(N:N,Online_eCommerce[[#This Row],[Assigned Supervisor]],L:L)</f>
        <v>13693220</v>
      </c>
    </row>
    <row r="4256" spans="1:20" hidden="1" x14ac:dyDescent="0.3">
      <c r="A4256" t="s">
        <v>6264</v>
      </c>
      <c r="B4256" t="s">
        <v>202</v>
      </c>
      <c r="C4256" t="s">
        <v>91</v>
      </c>
      <c r="D4256" t="s">
        <v>6259</v>
      </c>
      <c r="E4256" t="s">
        <v>18</v>
      </c>
      <c r="F4256" t="s">
        <v>47</v>
      </c>
      <c r="G4256" t="s">
        <v>259</v>
      </c>
      <c r="H4256" t="s">
        <v>49</v>
      </c>
      <c r="I4256">
        <v>7650</v>
      </c>
      <c r="J4256">
        <v>9945</v>
      </c>
      <c r="K4256">
        <v>3</v>
      </c>
      <c r="L4256">
        <v>22950</v>
      </c>
      <c r="M4256">
        <v>29835</v>
      </c>
      <c r="N4256" t="s">
        <v>22</v>
      </c>
      <c r="O4256">
        <f t="shared" si="132"/>
        <v>11700</v>
      </c>
      <c r="P4256" s="13">
        <f t="shared" si="133"/>
        <v>2731963</v>
      </c>
      <c r="Q4256" s="13">
        <f>SUMIFS(M:M,E:E,Online_eCommerce[[#This Row],[Status]])</f>
        <v>28340455</v>
      </c>
      <c r="R4256" s="13">
        <f>SUMIFS(L:L,H:H,Online_eCommerce[[#This Row],[Brand]])</f>
        <v>4528350</v>
      </c>
      <c r="S4256" s="13">
        <f>SUMIF(H:H,Online_eCommerce[[#This Row],[Brand]],M:M)</f>
        <v>5886855</v>
      </c>
      <c r="T4256" s="13">
        <f>SUMIF(N:N,Online_eCommerce[[#This Row],[Assigned Supervisor]],L:L)</f>
        <v>13693220</v>
      </c>
    </row>
    <row r="4257" spans="1:20" hidden="1" x14ac:dyDescent="0.3">
      <c r="A4257" t="s">
        <v>6265</v>
      </c>
      <c r="B4257" t="s">
        <v>30</v>
      </c>
      <c r="C4257" t="s">
        <v>94</v>
      </c>
      <c r="D4257" t="s">
        <v>6259</v>
      </c>
      <c r="E4257" t="s">
        <v>161</v>
      </c>
      <c r="F4257" t="s">
        <v>53</v>
      </c>
      <c r="G4257" t="s">
        <v>54</v>
      </c>
      <c r="H4257" t="s">
        <v>55</v>
      </c>
      <c r="I4257">
        <v>1150</v>
      </c>
      <c r="J4257">
        <v>1495</v>
      </c>
      <c r="K4257">
        <v>2</v>
      </c>
      <c r="L4257">
        <v>2300</v>
      </c>
      <c r="M4257">
        <v>2990</v>
      </c>
      <c r="N4257" t="s">
        <v>22</v>
      </c>
      <c r="O4257">
        <f t="shared" si="132"/>
        <v>2990</v>
      </c>
      <c r="P4257" s="13">
        <f t="shared" si="133"/>
        <v>1868256</v>
      </c>
      <c r="Q4257" s="13">
        <f>SUMIFS(M:M,E:E,Online_eCommerce[[#This Row],[Status]])</f>
        <v>21103186</v>
      </c>
      <c r="R4257" s="13">
        <f>SUMIFS(L:L,H:H,Online_eCommerce[[#This Row],[Brand]])</f>
        <v>2267380</v>
      </c>
      <c r="S4257" s="13">
        <f>SUMIF(H:H,Online_eCommerce[[#This Row],[Brand]],M:M)</f>
        <v>2947594</v>
      </c>
      <c r="T4257" s="13">
        <f>SUMIF(N:N,Online_eCommerce[[#This Row],[Assigned Supervisor]],L:L)</f>
        <v>13693220</v>
      </c>
    </row>
    <row r="4258" spans="1:20" x14ac:dyDescent="0.3">
      <c r="A4258" t="s">
        <v>6266</v>
      </c>
      <c r="B4258" t="s">
        <v>37</v>
      </c>
      <c r="C4258" t="s">
        <v>99</v>
      </c>
      <c r="D4258" t="s">
        <v>6259</v>
      </c>
      <c r="E4258" t="s">
        <v>46</v>
      </c>
      <c r="F4258" t="s">
        <v>59</v>
      </c>
      <c r="G4258" t="s">
        <v>60</v>
      </c>
      <c r="H4258" t="s">
        <v>61</v>
      </c>
      <c r="I4258">
        <v>850</v>
      </c>
      <c r="J4258">
        <v>1105</v>
      </c>
      <c r="K4258">
        <v>4</v>
      </c>
      <c r="L4258">
        <v>3400</v>
      </c>
      <c r="M4258">
        <v>4420</v>
      </c>
      <c r="N4258" t="s">
        <v>22</v>
      </c>
      <c r="O4258">
        <f t="shared" si="132"/>
        <v>3315</v>
      </c>
      <c r="P4258" s="13">
        <f t="shared" si="133"/>
        <v>2651233</v>
      </c>
      <c r="Q4258" s="13">
        <f>SUMIFS(M:M,E:E,Online_eCommerce[[#This Row],[Status]])</f>
        <v>28620410</v>
      </c>
      <c r="R4258" s="13">
        <f>SUMIFS(L:L,H:H,Online_eCommerce[[#This Row],[Brand]])</f>
        <v>10950150</v>
      </c>
      <c r="S4258" s="13">
        <f>SUMIF(H:H,Online_eCommerce[[#This Row],[Brand]],M:M)</f>
        <v>14235195</v>
      </c>
      <c r="T4258" s="13">
        <f>SUMIF(N:N,Online_eCommerce[[#This Row],[Assigned Supervisor]],L:L)</f>
        <v>13693220</v>
      </c>
    </row>
    <row r="4259" spans="1:20" hidden="1" x14ac:dyDescent="0.3">
      <c r="A4259" t="s">
        <v>6267</v>
      </c>
      <c r="B4259" t="s">
        <v>44</v>
      </c>
      <c r="C4259" t="s">
        <v>105</v>
      </c>
      <c r="D4259" t="s">
        <v>6259</v>
      </c>
      <c r="E4259" t="s">
        <v>96</v>
      </c>
      <c r="F4259" t="s">
        <v>65</v>
      </c>
      <c r="G4259" t="s">
        <v>66</v>
      </c>
      <c r="H4259" t="s">
        <v>21</v>
      </c>
      <c r="I4259">
        <v>650</v>
      </c>
      <c r="J4259">
        <v>845</v>
      </c>
      <c r="K4259">
        <v>2</v>
      </c>
      <c r="L4259">
        <v>1300</v>
      </c>
      <c r="M4259">
        <v>1690</v>
      </c>
      <c r="N4259" t="s">
        <v>22</v>
      </c>
      <c r="O4259">
        <f t="shared" si="132"/>
        <v>1690</v>
      </c>
      <c r="P4259" s="13">
        <f t="shared" si="133"/>
        <v>1866852</v>
      </c>
      <c r="Q4259" s="13">
        <f>SUMIFS(M:M,E:E,Online_eCommerce[[#This Row],[Status]])</f>
        <v>21233992</v>
      </c>
      <c r="R4259" s="13">
        <f>SUMIFS(L:L,H:H,Online_eCommerce[[#This Row],[Brand]])</f>
        <v>12435650</v>
      </c>
      <c r="S4259" s="13">
        <f>SUMIF(H:H,Online_eCommerce[[#This Row],[Brand]],M:M)</f>
        <v>16166345</v>
      </c>
      <c r="T4259" s="13">
        <f>SUMIF(N:N,Online_eCommerce[[#This Row],[Assigned Supervisor]],L:L)</f>
        <v>13693220</v>
      </c>
    </row>
    <row r="4260" spans="1:20" hidden="1" x14ac:dyDescent="0.3">
      <c r="A4260" t="s">
        <v>6268</v>
      </c>
      <c r="B4260" t="s">
        <v>213</v>
      </c>
      <c r="C4260" t="s">
        <v>110</v>
      </c>
      <c r="D4260" t="s">
        <v>6259</v>
      </c>
      <c r="E4260" t="s">
        <v>18</v>
      </c>
      <c r="F4260" t="s">
        <v>70</v>
      </c>
      <c r="G4260" t="s">
        <v>71</v>
      </c>
      <c r="H4260" t="s">
        <v>61</v>
      </c>
      <c r="I4260">
        <v>7500</v>
      </c>
      <c r="J4260">
        <v>9750</v>
      </c>
      <c r="K4260">
        <v>2</v>
      </c>
      <c r="L4260">
        <v>15000</v>
      </c>
      <c r="M4260">
        <v>19500</v>
      </c>
      <c r="N4260" t="s">
        <v>22</v>
      </c>
      <c r="O4260">
        <f t="shared" si="132"/>
        <v>9750</v>
      </c>
      <c r="P4260" s="13">
        <f t="shared" si="133"/>
        <v>2598635</v>
      </c>
      <c r="Q4260" s="13">
        <f>SUMIFS(M:M,E:E,Online_eCommerce[[#This Row],[Status]])</f>
        <v>28340455</v>
      </c>
      <c r="R4260" s="13">
        <f>SUMIFS(L:L,H:H,Online_eCommerce[[#This Row],[Brand]])</f>
        <v>10950150</v>
      </c>
      <c r="S4260" s="13">
        <f>SUMIF(H:H,Online_eCommerce[[#This Row],[Brand]],M:M)</f>
        <v>14235195</v>
      </c>
      <c r="T4260" s="13">
        <f>SUMIF(N:N,Online_eCommerce[[#This Row],[Assigned Supervisor]],L:L)</f>
        <v>13693220</v>
      </c>
    </row>
    <row r="4261" spans="1:20" hidden="1" x14ac:dyDescent="0.3">
      <c r="A4261" t="s">
        <v>6269</v>
      </c>
      <c r="B4261" t="s">
        <v>215</v>
      </c>
      <c r="C4261" t="s">
        <v>115</v>
      </c>
      <c r="D4261" t="s">
        <v>6259</v>
      </c>
      <c r="E4261" t="s">
        <v>161</v>
      </c>
      <c r="F4261" t="s">
        <v>6255</v>
      </c>
      <c r="G4261" t="s">
        <v>77</v>
      </c>
      <c r="H4261" t="s">
        <v>78</v>
      </c>
      <c r="I4261">
        <v>10000</v>
      </c>
      <c r="J4261">
        <v>13000</v>
      </c>
      <c r="K4261">
        <v>4</v>
      </c>
      <c r="L4261">
        <v>40000</v>
      </c>
      <c r="M4261">
        <v>52000</v>
      </c>
      <c r="N4261" t="s">
        <v>22</v>
      </c>
      <c r="O4261">
        <f t="shared" si="132"/>
        <v>39000</v>
      </c>
      <c r="P4261" s="13">
        <f t="shared" si="133"/>
        <v>2050178</v>
      </c>
      <c r="Q4261" s="13">
        <f>SUMIFS(M:M,E:E,Online_eCommerce[[#This Row],[Status]])</f>
        <v>21103186</v>
      </c>
      <c r="R4261" s="13">
        <f>SUMIFS(L:L,H:H,Online_eCommerce[[#This Row],[Brand]])</f>
        <v>3720000</v>
      </c>
      <c r="S4261" s="13">
        <f>SUMIF(H:H,Online_eCommerce[[#This Row],[Brand]],M:M)</f>
        <v>4836000</v>
      </c>
      <c r="T4261" s="13">
        <f>SUMIF(N:N,Online_eCommerce[[#This Row],[Assigned Supervisor]],L:L)</f>
        <v>13693220</v>
      </c>
    </row>
    <row r="4262" spans="1:20" x14ac:dyDescent="0.3">
      <c r="A4262" t="s">
        <v>6270</v>
      </c>
      <c r="B4262" t="s">
        <v>306</v>
      </c>
      <c r="C4262" t="s">
        <v>120</v>
      </c>
      <c r="D4262" t="s">
        <v>6259</v>
      </c>
      <c r="E4262" t="s">
        <v>46</v>
      </c>
      <c r="F4262" t="s">
        <v>6271</v>
      </c>
      <c r="G4262" t="s">
        <v>20</v>
      </c>
      <c r="H4262" t="s">
        <v>21</v>
      </c>
      <c r="I4262">
        <v>10500</v>
      </c>
      <c r="J4262">
        <v>13650</v>
      </c>
      <c r="K4262">
        <v>4</v>
      </c>
      <c r="L4262">
        <v>42000</v>
      </c>
      <c r="M4262">
        <v>54600</v>
      </c>
      <c r="N4262" t="s">
        <v>22</v>
      </c>
      <c r="O4262">
        <f t="shared" si="132"/>
        <v>8450</v>
      </c>
      <c r="P4262" s="13">
        <f t="shared" si="133"/>
        <v>2734212</v>
      </c>
      <c r="Q4262" s="13">
        <f>SUMIFS(M:M,E:E,Online_eCommerce[[#This Row],[Status]])</f>
        <v>28620410</v>
      </c>
      <c r="R4262" s="13">
        <f>SUMIFS(L:L,H:H,Online_eCommerce[[#This Row],[Brand]])</f>
        <v>12435650</v>
      </c>
      <c r="S4262" s="13">
        <f>SUMIF(H:H,Online_eCommerce[[#This Row],[Brand]],M:M)</f>
        <v>16166345</v>
      </c>
      <c r="T4262" s="13">
        <f>SUMIF(N:N,Online_eCommerce[[#This Row],[Assigned Supervisor]],L:L)</f>
        <v>13693220</v>
      </c>
    </row>
    <row r="4263" spans="1:20" hidden="1" x14ac:dyDescent="0.3">
      <c r="A4263" t="s">
        <v>6272</v>
      </c>
      <c r="B4263" t="s">
        <v>528</v>
      </c>
      <c r="C4263" t="s">
        <v>125</v>
      </c>
      <c r="D4263" t="s">
        <v>6259</v>
      </c>
      <c r="E4263" t="s">
        <v>96</v>
      </c>
      <c r="F4263" t="s">
        <v>88</v>
      </c>
      <c r="G4263" t="s">
        <v>26</v>
      </c>
      <c r="H4263" t="s">
        <v>27</v>
      </c>
      <c r="I4263">
        <v>8500</v>
      </c>
      <c r="J4263">
        <v>11050</v>
      </c>
      <c r="K4263">
        <v>2</v>
      </c>
      <c r="L4263">
        <v>17000</v>
      </c>
      <c r="M4263">
        <v>22100</v>
      </c>
      <c r="N4263" t="s">
        <v>22</v>
      </c>
      <c r="O4263">
        <f t="shared" si="132"/>
        <v>33150</v>
      </c>
      <c r="P4263" s="13">
        <f t="shared" si="133"/>
        <v>2091154</v>
      </c>
      <c r="Q4263" s="13">
        <f>SUMIFS(M:M,E:E,Online_eCommerce[[#This Row],[Status]])</f>
        <v>21233992</v>
      </c>
      <c r="R4263" s="13">
        <f>SUMIFS(L:L,H:H,Online_eCommerce[[#This Row],[Brand]])</f>
        <v>14431000</v>
      </c>
      <c r="S4263" s="13">
        <f>SUMIF(H:H,Online_eCommerce[[#This Row],[Brand]],M:M)</f>
        <v>18760300</v>
      </c>
      <c r="T4263" s="13">
        <f>SUMIF(N:N,Online_eCommerce[[#This Row],[Assigned Supervisor]],L:L)</f>
        <v>13693220</v>
      </c>
    </row>
    <row r="4264" spans="1:20" hidden="1" x14ac:dyDescent="0.3">
      <c r="A4264" t="s">
        <v>6273</v>
      </c>
      <c r="B4264" t="s">
        <v>73</v>
      </c>
      <c r="C4264" t="s">
        <v>22</v>
      </c>
      <c r="D4264" t="s">
        <v>6259</v>
      </c>
      <c r="E4264" t="s">
        <v>18</v>
      </c>
      <c r="F4264" t="s">
        <v>32</v>
      </c>
      <c r="G4264" t="s">
        <v>33</v>
      </c>
      <c r="H4264" t="s">
        <v>34</v>
      </c>
      <c r="I4264">
        <v>7000</v>
      </c>
      <c r="J4264">
        <v>9100</v>
      </c>
      <c r="K4264">
        <v>2</v>
      </c>
      <c r="L4264">
        <v>14000</v>
      </c>
      <c r="M4264">
        <v>18200</v>
      </c>
      <c r="N4264" t="s">
        <v>22</v>
      </c>
      <c r="O4264">
        <f t="shared" si="132"/>
        <v>18200</v>
      </c>
      <c r="P4264" s="13">
        <f t="shared" si="133"/>
        <v>2551588</v>
      </c>
      <c r="Q4264" s="13">
        <f>SUMIFS(M:M,E:E,Online_eCommerce[[#This Row],[Status]])</f>
        <v>28340455</v>
      </c>
      <c r="R4264" s="13">
        <f>SUMIFS(L:L,H:H,Online_eCommerce[[#This Row],[Brand]])</f>
        <v>10087000</v>
      </c>
      <c r="S4264" s="13">
        <f>SUMIF(H:H,Online_eCommerce[[#This Row],[Brand]],M:M)</f>
        <v>13113100</v>
      </c>
      <c r="T4264" s="13">
        <f>SUMIF(N:N,Online_eCommerce[[#This Row],[Assigned Supervisor]],L:L)</f>
        <v>13693220</v>
      </c>
    </row>
    <row r="4265" spans="1:20" hidden="1" x14ac:dyDescent="0.3">
      <c r="A4265" t="s">
        <v>6274</v>
      </c>
      <c r="B4265" t="s">
        <v>80</v>
      </c>
      <c r="C4265" t="s">
        <v>132</v>
      </c>
      <c r="D4265" t="s">
        <v>6259</v>
      </c>
      <c r="E4265" t="s">
        <v>161</v>
      </c>
      <c r="F4265" t="s">
        <v>6275</v>
      </c>
      <c r="G4265" t="s">
        <v>256</v>
      </c>
      <c r="H4265" t="s">
        <v>41</v>
      </c>
      <c r="I4265">
        <v>1680</v>
      </c>
      <c r="J4265">
        <v>2184</v>
      </c>
      <c r="K4265">
        <v>4</v>
      </c>
      <c r="L4265">
        <v>6720</v>
      </c>
      <c r="M4265">
        <v>8736</v>
      </c>
      <c r="N4265" t="s">
        <v>22</v>
      </c>
      <c r="O4265">
        <f t="shared" si="132"/>
        <v>9100</v>
      </c>
      <c r="P4265" s="13">
        <f t="shared" si="133"/>
        <v>1989065</v>
      </c>
      <c r="Q4265" s="13">
        <f>SUMIFS(M:M,E:E,Online_eCommerce[[#This Row],[Status]])</f>
        <v>21103186</v>
      </c>
      <c r="R4265" s="13">
        <f>SUMIFS(L:L,H:H,Online_eCommerce[[#This Row],[Brand]])</f>
        <v>4260400</v>
      </c>
      <c r="S4265" s="13">
        <f>SUMIF(H:H,Online_eCommerce[[#This Row],[Brand]],M:M)</f>
        <v>5538520</v>
      </c>
      <c r="T4265" s="13">
        <f>SUMIF(N:N,Online_eCommerce[[#This Row],[Assigned Supervisor]],L:L)</f>
        <v>13693220</v>
      </c>
    </row>
    <row r="4266" spans="1:20" x14ac:dyDescent="0.3">
      <c r="A4266" t="s">
        <v>6276</v>
      </c>
      <c r="B4266" t="s">
        <v>85</v>
      </c>
      <c r="C4266" t="s">
        <v>136</v>
      </c>
      <c r="D4266" t="s">
        <v>6259</v>
      </c>
      <c r="E4266" t="s">
        <v>46</v>
      </c>
      <c r="F4266" t="s">
        <v>101</v>
      </c>
      <c r="G4266" t="s">
        <v>259</v>
      </c>
      <c r="H4266" t="s">
        <v>102</v>
      </c>
      <c r="I4266">
        <v>6540</v>
      </c>
      <c r="J4266">
        <v>8502</v>
      </c>
      <c r="K4266">
        <v>2</v>
      </c>
      <c r="L4266">
        <v>13080</v>
      </c>
      <c r="M4266">
        <v>17004</v>
      </c>
      <c r="N4266" t="s">
        <v>22</v>
      </c>
      <c r="O4266">
        <f t="shared" si="132"/>
        <v>11700</v>
      </c>
      <c r="P4266" s="13">
        <f t="shared" si="133"/>
        <v>2775162</v>
      </c>
      <c r="Q4266" s="13">
        <f>SUMIFS(M:M,E:E,Online_eCommerce[[#This Row],[Status]])</f>
        <v>28620410</v>
      </c>
      <c r="R4266" s="13">
        <f>SUMIFS(L:L,H:H,Online_eCommerce[[#This Row],[Brand]])</f>
        <v>2465580</v>
      </c>
      <c r="S4266" s="13">
        <f>SUMIF(H:H,Online_eCommerce[[#This Row],[Brand]],M:M)</f>
        <v>3205254</v>
      </c>
      <c r="T4266" s="13">
        <f>SUMIF(N:N,Online_eCommerce[[#This Row],[Assigned Supervisor]],L:L)</f>
        <v>13693220</v>
      </c>
    </row>
    <row r="4267" spans="1:20" hidden="1" x14ac:dyDescent="0.3">
      <c r="A4267" t="s">
        <v>6277</v>
      </c>
      <c r="B4267" t="s">
        <v>90</v>
      </c>
      <c r="C4267" t="s">
        <v>140</v>
      </c>
      <c r="D4267" t="s">
        <v>6259</v>
      </c>
      <c r="E4267" t="s">
        <v>96</v>
      </c>
      <c r="F4267" t="s">
        <v>107</v>
      </c>
      <c r="G4267" t="s">
        <v>54</v>
      </c>
      <c r="H4267" t="s">
        <v>55</v>
      </c>
      <c r="I4267">
        <v>2680</v>
      </c>
      <c r="J4267">
        <v>3484</v>
      </c>
      <c r="K4267">
        <v>1</v>
      </c>
      <c r="L4267">
        <v>2680</v>
      </c>
      <c r="M4267">
        <v>3484</v>
      </c>
      <c r="N4267" t="s">
        <v>22</v>
      </c>
      <c r="O4267">
        <f t="shared" si="132"/>
        <v>2990</v>
      </c>
      <c r="P4267" s="13">
        <f t="shared" si="133"/>
        <v>2058264</v>
      </c>
      <c r="Q4267" s="13">
        <f>SUMIFS(M:M,E:E,Online_eCommerce[[#This Row],[Status]])</f>
        <v>21233992</v>
      </c>
      <c r="R4267" s="13">
        <f>SUMIFS(L:L,H:H,Online_eCommerce[[#This Row],[Brand]])</f>
        <v>2267380</v>
      </c>
      <c r="S4267" s="13">
        <f>SUMIF(H:H,Online_eCommerce[[#This Row],[Brand]],M:M)</f>
        <v>2947594</v>
      </c>
      <c r="T4267" s="13">
        <f>SUMIF(N:N,Online_eCommerce[[#This Row],[Assigned Supervisor]],L:L)</f>
        <v>13693220</v>
      </c>
    </row>
    <row r="4268" spans="1:20" hidden="1" x14ac:dyDescent="0.3">
      <c r="A4268" t="s">
        <v>6278</v>
      </c>
      <c r="B4268" t="s">
        <v>232</v>
      </c>
      <c r="C4268" t="s">
        <v>145</v>
      </c>
      <c r="D4268" t="s">
        <v>6259</v>
      </c>
      <c r="E4268" t="s">
        <v>18</v>
      </c>
      <c r="F4268" t="s">
        <v>112</v>
      </c>
      <c r="G4268" t="s">
        <v>71</v>
      </c>
      <c r="H4268" t="s">
        <v>21</v>
      </c>
      <c r="I4268">
        <v>8250</v>
      </c>
      <c r="J4268">
        <v>10725</v>
      </c>
      <c r="K4268">
        <v>3</v>
      </c>
      <c r="L4268">
        <v>24750</v>
      </c>
      <c r="M4268">
        <v>32175</v>
      </c>
      <c r="N4268" t="s">
        <v>22</v>
      </c>
      <c r="O4268">
        <f t="shared" si="132"/>
        <v>9750</v>
      </c>
      <c r="P4268" s="13">
        <f t="shared" si="133"/>
        <v>2757859</v>
      </c>
      <c r="Q4268" s="13">
        <f>SUMIFS(M:M,E:E,Online_eCommerce[[#This Row],[Status]])</f>
        <v>28340455</v>
      </c>
      <c r="R4268" s="13">
        <f>SUMIFS(L:L,H:H,Online_eCommerce[[#This Row],[Brand]])</f>
        <v>12435650</v>
      </c>
      <c r="S4268" s="13">
        <f>SUMIF(H:H,Online_eCommerce[[#This Row],[Brand]],M:M)</f>
        <v>16166345</v>
      </c>
      <c r="T4268" s="13">
        <f>SUMIF(N:N,Online_eCommerce[[#This Row],[Assigned Supervisor]],L:L)</f>
        <v>13693220</v>
      </c>
    </row>
    <row r="4269" spans="1:20" hidden="1" x14ac:dyDescent="0.3">
      <c r="A4269" t="s">
        <v>6279</v>
      </c>
      <c r="B4269" t="s">
        <v>235</v>
      </c>
      <c r="C4269" t="s">
        <v>150</v>
      </c>
      <c r="D4269" t="s">
        <v>6259</v>
      </c>
      <c r="E4269" t="s">
        <v>161</v>
      </c>
      <c r="F4269" t="s">
        <v>5903</v>
      </c>
      <c r="G4269" t="s">
        <v>40</v>
      </c>
      <c r="H4269" t="s">
        <v>21</v>
      </c>
      <c r="I4269">
        <v>2650</v>
      </c>
      <c r="J4269">
        <v>3445</v>
      </c>
      <c r="K4269">
        <v>1</v>
      </c>
      <c r="L4269">
        <v>2650</v>
      </c>
      <c r="M4269">
        <v>3445</v>
      </c>
      <c r="N4269" t="s">
        <v>22</v>
      </c>
      <c r="O4269">
        <f t="shared" si="132"/>
        <v>25545</v>
      </c>
      <c r="P4269" s="13">
        <f t="shared" si="133"/>
        <v>2154984</v>
      </c>
      <c r="Q4269" s="13">
        <f>SUMIFS(M:M,E:E,Online_eCommerce[[#This Row],[Status]])</f>
        <v>21103186</v>
      </c>
      <c r="R4269" s="13">
        <f>SUMIFS(L:L,H:H,Online_eCommerce[[#This Row],[Brand]])</f>
        <v>12435650</v>
      </c>
      <c r="S4269" s="13">
        <f>SUMIF(H:H,Online_eCommerce[[#This Row],[Brand]],M:M)</f>
        <v>16166345</v>
      </c>
      <c r="T4269" s="13">
        <f>SUMIF(N:N,Online_eCommerce[[#This Row],[Assigned Supervisor]],L:L)</f>
        <v>13693220</v>
      </c>
    </row>
    <row r="4270" spans="1:20" x14ac:dyDescent="0.3">
      <c r="A4270" t="s">
        <v>6280</v>
      </c>
      <c r="B4270" t="s">
        <v>104</v>
      </c>
      <c r="C4270" t="s">
        <v>155</v>
      </c>
      <c r="D4270" t="s">
        <v>6281</v>
      </c>
      <c r="E4270" t="s">
        <v>46</v>
      </c>
      <c r="F4270" t="s">
        <v>121</v>
      </c>
      <c r="G4270" t="s">
        <v>71</v>
      </c>
      <c r="H4270" t="s">
        <v>122</v>
      </c>
      <c r="I4270">
        <v>12550</v>
      </c>
      <c r="J4270">
        <v>16315</v>
      </c>
      <c r="K4270">
        <v>3</v>
      </c>
      <c r="L4270">
        <v>37650</v>
      </c>
      <c r="M4270">
        <v>48945</v>
      </c>
      <c r="N4270" t="s">
        <v>22</v>
      </c>
      <c r="O4270">
        <f t="shared" si="132"/>
        <v>9750</v>
      </c>
      <c r="P4270" s="13">
        <f t="shared" si="133"/>
        <v>2753348</v>
      </c>
      <c r="Q4270" s="13">
        <f>SUMIFS(M:M,E:E,Online_eCommerce[[#This Row],[Status]])</f>
        <v>28620410</v>
      </c>
      <c r="R4270" s="13">
        <f>SUMIFS(L:L,H:H,Online_eCommerce[[#This Row],[Brand]])</f>
        <v>5045100</v>
      </c>
      <c r="S4270" s="13">
        <f>SUMIF(H:H,Online_eCommerce[[#This Row],[Brand]],M:M)</f>
        <v>6558630</v>
      </c>
      <c r="T4270" s="13">
        <f>SUMIF(N:N,Online_eCommerce[[#This Row],[Assigned Supervisor]],L:L)</f>
        <v>13693220</v>
      </c>
    </row>
    <row r="4271" spans="1:20" hidden="1" x14ac:dyDescent="0.3">
      <c r="A4271" t="s">
        <v>6282</v>
      </c>
      <c r="B4271" t="s">
        <v>109</v>
      </c>
      <c r="C4271" t="s">
        <v>160</v>
      </c>
      <c r="D4271" t="s">
        <v>6283</v>
      </c>
      <c r="E4271" t="s">
        <v>96</v>
      </c>
      <c r="F4271" t="s">
        <v>126</v>
      </c>
      <c r="G4271" t="s">
        <v>26</v>
      </c>
      <c r="H4271" t="s">
        <v>27</v>
      </c>
      <c r="I4271">
        <v>14500</v>
      </c>
      <c r="J4271">
        <v>18850</v>
      </c>
      <c r="K4271">
        <v>2</v>
      </c>
      <c r="L4271">
        <v>29000</v>
      </c>
      <c r="M4271">
        <v>37700</v>
      </c>
      <c r="N4271" t="s">
        <v>22</v>
      </c>
      <c r="O4271">
        <f t="shared" si="132"/>
        <v>33150</v>
      </c>
      <c r="P4271" s="13">
        <f t="shared" si="133"/>
        <v>2303483</v>
      </c>
      <c r="Q4271" s="13">
        <f>SUMIFS(M:M,E:E,Online_eCommerce[[#This Row],[Status]])</f>
        <v>21233992</v>
      </c>
      <c r="R4271" s="13">
        <f>SUMIFS(L:L,H:H,Online_eCommerce[[#This Row],[Brand]])</f>
        <v>14431000</v>
      </c>
      <c r="S4271" s="13">
        <f>SUMIF(H:H,Online_eCommerce[[#This Row],[Brand]],M:M)</f>
        <v>18760300</v>
      </c>
      <c r="T4271" s="13">
        <f>SUMIF(N:N,Online_eCommerce[[#This Row],[Assigned Supervisor]],L:L)</f>
        <v>13693220</v>
      </c>
    </row>
    <row r="4272" spans="1:20" hidden="1" x14ac:dyDescent="0.3">
      <c r="A4272" t="s">
        <v>6284</v>
      </c>
      <c r="B4272" t="s">
        <v>114</v>
      </c>
      <c r="C4272" t="s">
        <v>165</v>
      </c>
      <c r="D4272" t="s">
        <v>6285</v>
      </c>
      <c r="E4272" t="s">
        <v>18</v>
      </c>
      <c r="F4272" t="s">
        <v>129</v>
      </c>
      <c r="G4272" t="s">
        <v>60</v>
      </c>
      <c r="H4272" t="s">
        <v>61</v>
      </c>
      <c r="I4272">
        <v>800</v>
      </c>
      <c r="J4272">
        <v>1040</v>
      </c>
      <c r="K4272">
        <v>3</v>
      </c>
      <c r="L4272">
        <v>2400</v>
      </c>
      <c r="M4272">
        <v>3120</v>
      </c>
      <c r="N4272" t="s">
        <v>22</v>
      </c>
      <c r="O4272">
        <f t="shared" si="132"/>
        <v>3315</v>
      </c>
      <c r="P4272" s="13">
        <f t="shared" si="133"/>
        <v>2674087</v>
      </c>
      <c r="Q4272" s="13">
        <f>SUMIFS(M:M,E:E,Online_eCommerce[[#This Row],[Status]])</f>
        <v>28340455</v>
      </c>
      <c r="R4272" s="13">
        <f>SUMIFS(L:L,H:H,Online_eCommerce[[#This Row],[Brand]])</f>
        <v>10950150</v>
      </c>
      <c r="S4272" s="13">
        <f>SUMIF(H:H,Online_eCommerce[[#This Row],[Brand]],M:M)</f>
        <v>14235195</v>
      </c>
      <c r="T4272" s="13">
        <f>SUMIF(N:N,Online_eCommerce[[#This Row],[Assigned Supervisor]],L:L)</f>
        <v>13693220</v>
      </c>
    </row>
    <row r="4273" spans="1:20" hidden="1" x14ac:dyDescent="0.3">
      <c r="A4273" t="s">
        <v>6286</v>
      </c>
      <c r="B4273" t="s">
        <v>119</v>
      </c>
      <c r="C4273" t="s">
        <v>168</v>
      </c>
      <c r="D4273" t="s">
        <v>6285</v>
      </c>
      <c r="E4273" t="s">
        <v>161</v>
      </c>
      <c r="F4273" t="s">
        <v>133</v>
      </c>
      <c r="G4273" t="s">
        <v>66</v>
      </c>
      <c r="H4273" t="s">
        <v>21</v>
      </c>
      <c r="I4273">
        <v>600</v>
      </c>
      <c r="J4273">
        <v>780</v>
      </c>
      <c r="K4273">
        <v>2</v>
      </c>
      <c r="L4273">
        <v>1200</v>
      </c>
      <c r="M4273">
        <v>1560</v>
      </c>
      <c r="N4273" t="s">
        <v>22</v>
      </c>
      <c r="O4273">
        <f t="shared" si="132"/>
        <v>1690</v>
      </c>
      <c r="P4273" s="13">
        <f t="shared" si="133"/>
        <v>1937780</v>
      </c>
      <c r="Q4273" s="13">
        <f>SUMIFS(M:M,E:E,Online_eCommerce[[#This Row],[Status]])</f>
        <v>21103186</v>
      </c>
      <c r="R4273" s="13">
        <f>SUMIFS(L:L,H:H,Online_eCommerce[[#This Row],[Brand]])</f>
        <v>12435650</v>
      </c>
      <c r="S4273" s="13">
        <f>SUMIF(H:H,Online_eCommerce[[#This Row],[Brand]],M:M)</f>
        <v>16166345</v>
      </c>
      <c r="T4273" s="13">
        <f>SUMIF(N:N,Online_eCommerce[[#This Row],[Assigned Supervisor]],L:L)</f>
        <v>13693220</v>
      </c>
    </row>
    <row r="4274" spans="1:20" x14ac:dyDescent="0.3">
      <c r="A4274" t="s">
        <v>6287</v>
      </c>
      <c r="B4274" t="s">
        <v>124</v>
      </c>
      <c r="C4274" t="s">
        <v>172</v>
      </c>
      <c r="D4274" t="s">
        <v>6285</v>
      </c>
      <c r="E4274" t="s">
        <v>46</v>
      </c>
      <c r="F4274" t="s">
        <v>137</v>
      </c>
      <c r="G4274" t="s">
        <v>71</v>
      </c>
      <c r="H4274" t="s">
        <v>61</v>
      </c>
      <c r="I4274">
        <v>10500</v>
      </c>
      <c r="J4274">
        <v>13650</v>
      </c>
      <c r="K4274">
        <v>4</v>
      </c>
      <c r="L4274">
        <v>42000</v>
      </c>
      <c r="M4274">
        <v>54600</v>
      </c>
      <c r="N4274" t="s">
        <v>22</v>
      </c>
      <c r="O4274">
        <f t="shared" si="132"/>
        <v>9750</v>
      </c>
      <c r="P4274" s="13">
        <f t="shared" si="133"/>
        <v>2640274</v>
      </c>
      <c r="Q4274" s="13">
        <f>SUMIFS(M:M,E:E,Online_eCommerce[[#This Row],[Status]])</f>
        <v>28620410</v>
      </c>
      <c r="R4274" s="13">
        <f>SUMIFS(L:L,H:H,Online_eCommerce[[#This Row],[Brand]])</f>
        <v>10950150</v>
      </c>
      <c r="S4274" s="13">
        <f>SUMIF(H:H,Online_eCommerce[[#This Row],[Brand]],M:M)</f>
        <v>14235195</v>
      </c>
      <c r="T4274" s="13">
        <f>SUMIF(N:N,Online_eCommerce[[#This Row],[Assigned Supervisor]],L:L)</f>
        <v>13693220</v>
      </c>
    </row>
    <row r="4275" spans="1:20" hidden="1" x14ac:dyDescent="0.3">
      <c r="A4275" t="s">
        <v>6288</v>
      </c>
      <c r="B4275" t="s">
        <v>128</v>
      </c>
      <c r="C4275" t="s">
        <v>177</v>
      </c>
      <c r="D4275" t="s">
        <v>6285</v>
      </c>
      <c r="E4275" t="s">
        <v>96</v>
      </c>
      <c r="F4275" t="s">
        <v>6255</v>
      </c>
      <c r="G4275" t="s">
        <v>77</v>
      </c>
      <c r="H4275" t="s">
        <v>142</v>
      </c>
      <c r="I4275">
        <v>6500</v>
      </c>
      <c r="J4275">
        <v>8450</v>
      </c>
      <c r="K4275">
        <v>1</v>
      </c>
      <c r="L4275">
        <v>6500</v>
      </c>
      <c r="M4275">
        <v>8450</v>
      </c>
      <c r="N4275" t="s">
        <v>28</v>
      </c>
      <c r="O4275">
        <f t="shared" si="132"/>
        <v>39000</v>
      </c>
      <c r="P4275" s="13">
        <f t="shared" si="133"/>
        <v>1863810</v>
      </c>
      <c r="Q4275" s="13">
        <f>SUMIFS(M:M,E:E,Online_eCommerce[[#This Row],[Status]])</f>
        <v>21233992</v>
      </c>
      <c r="R4275" s="13">
        <f>SUMIFS(L:L,H:H,Online_eCommerce[[#This Row],[Brand]])</f>
        <v>6192500</v>
      </c>
      <c r="S4275" s="13">
        <f>SUMIF(H:H,Online_eCommerce[[#This Row],[Brand]],M:M)</f>
        <v>8050250</v>
      </c>
      <c r="T4275" s="13">
        <f>SUMIF(N:N,Online_eCommerce[[#This Row],[Assigned Supervisor]],L:L)</f>
        <v>12220830</v>
      </c>
    </row>
    <row r="4276" spans="1:20" hidden="1" x14ac:dyDescent="0.3">
      <c r="A4276" t="s">
        <v>6289</v>
      </c>
      <c r="B4276" t="s">
        <v>131</v>
      </c>
      <c r="C4276" t="s">
        <v>181</v>
      </c>
      <c r="D4276" t="s">
        <v>6285</v>
      </c>
      <c r="E4276" t="s">
        <v>18</v>
      </c>
      <c r="F4276" t="s">
        <v>6290</v>
      </c>
      <c r="G4276" t="s">
        <v>20</v>
      </c>
      <c r="H4276" t="s">
        <v>21</v>
      </c>
      <c r="I4276">
        <v>4500</v>
      </c>
      <c r="J4276">
        <v>5850</v>
      </c>
      <c r="K4276">
        <v>4</v>
      </c>
      <c r="L4276">
        <v>18000</v>
      </c>
      <c r="M4276">
        <v>23400</v>
      </c>
      <c r="N4276" t="s">
        <v>35</v>
      </c>
      <c r="O4276">
        <f t="shared" si="132"/>
        <v>8450</v>
      </c>
      <c r="P4276" s="13">
        <f t="shared" si="133"/>
        <v>2577458</v>
      </c>
      <c r="Q4276" s="13">
        <f>SUMIFS(M:M,E:E,Online_eCommerce[[#This Row],[Status]])</f>
        <v>28340455</v>
      </c>
      <c r="R4276" s="13">
        <f>SUMIFS(L:L,H:H,Online_eCommerce[[#This Row],[Brand]])</f>
        <v>12435650</v>
      </c>
      <c r="S4276" s="13">
        <f>SUMIF(H:H,Online_eCommerce[[#This Row],[Brand]],M:M)</f>
        <v>16166345</v>
      </c>
      <c r="T4276" s="13">
        <f>SUMIF(N:N,Online_eCommerce[[#This Row],[Assigned Supervisor]],L:L)</f>
        <v>14373360</v>
      </c>
    </row>
    <row r="4277" spans="1:20" hidden="1" x14ac:dyDescent="0.3">
      <c r="A4277" t="s">
        <v>6291</v>
      </c>
      <c r="B4277" t="s">
        <v>135</v>
      </c>
      <c r="C4277" t="s">
        <v>185</v>
      </c>
      <c r="D4277" t="s">
        <v>6285</v>
      </c>
      <c r="E4277" t="s">
        <v>161</v>
      </c>
      <c r="F4277" t="s">
        <v>152</v>
      </c>
      <c r="G4277" t="s">
        <v>26</v>
      </c>
      <c r="H4277" t="s">
        <v>27</v>
      </c>
      <c r="I4277">
        <v>8500</v>
      </c>
      <c r="J4277">
        <v>11050</v>
      </c>
      <c r="K4277">
        <v>4</v>
      </c>
      <c r="L4277">
        <v>34000</v>
      </c>
      <c r="M4277">
        <v>44200</v>
      </c>
      <c r="N4277" t="s">
        <v>42</v>
      </c>
      <c r="O4277">
        <f t="shared" si="132"/>
        <v>33150</v>
      </c>
      <c r="P4277" s="13">
        <f t="shared" si="133"/>
        <v>2091596</v>
      </c>
      <c r="Q4277" s="13">
        <f>SUMIFS(M:M,E:E,Online_eCommerce[[#This Row],[Status]])</f>
        <v>21103186</v>
      </c>
      <c r="R4277" s="13">
        <f>SUMIFS(L:L,H:H,Online_eCommerce[[#This Row],[Brand]])</f>
        <v>14431000</v>
      </c>
      <c r="S4277" s="13">
        <f>SUMIF(H:H,Online_eCommerce[[#This Row],[Brand]],M:M)</f>
        <v>18760300</v>
      </c>
      <c r="T4277" s="13">
        <f>SUMIF(N:N,Online_eCommerce[[#This Row],[Assigned Supervisor]],L:L)</f>
        <v>12261500</v>
      </c>
    </row>
    <row r="4278" spans="1:20" x14ac:dyDescent="0.3">
      <c r="A4278" t="s">
        <v>6292</v>
      </c>
      <c r="B4278" t="s">
        <v>139</v>
      </c>
      <c r="C4278" t="s">
        <v>189</v>
      </c>
      <c r="D4278" t="s">
        <v>6285</v>
      </c>
      <c r="E4278" t="s">
        <v>46</v>
      </c>
      <c r="F4278" t="s">
        <v>157</v>
      </c>
      <c r="G4278" t="s">
        <v>33</v>
      </c>
      <c r="H4278" t="s">
        <v>34</v>
      </c>
      <c r="I4278">
        <v>12500</v>
      </c>
      <c r="J4278">
        <v>16250</v>
      </c>
      <c r="K4278">
        <v>3</v>
      </c>
      <c r="L4278">
        <v>37500</v>
      </c>
      <c r="M4278">
        <v>48750</v>
      </c>
      <c r="N4278" t="s">
        <v>50</v>
      </c>
      <c r="O4278">
        <f t="shared" si="132"/>
        <v>18200</v>
      </c>
      <c r="P4278" s="13">
        <f t="shared" si="133"/>
        <v>2740777</v>
      </c>
      <c r="Q4278" s="13">
        <f>SUMIFS(M:M,E:E,Online_eCommerce[[#This Row],[Status]])</f>
        <v>28620410</v>
      </c>
      <c r="R4278" s="13">
        <f>SUMIFS(L:L,H:H,Online_eCommerce[[#This Row],[Brand]])</f>
        <v>10087000</v>
      </c>
      <c r="S4278" s="13">
        <f>SUMIF(H:H,Online_eCommerce[[#This Row],[Brand]],M:M)</f>
        <v>13113100</v>
      </c>
      <c r="T4278" s="13">
        <f>SUMIF(N:N,Online_eCommerce[[#This Row],[Assigned Supervisor]],L:L)</f>
        <v>12100590</v>
      </c>
    </row>
    <row r="4279" spans="1:20" hidden="1" x14ac:dyDescent="0.3">
      <c r="A4279" t="s">
        <v>6293</v>
      </c>
      <c r="B4279" t="s">
        <v>144</v>
      </c>
      <c r="C4279" t="s">
        <v>193</v>
      </c>
      <c r="D4279" t="s">
        <v>6285</v>
      </c>
      <c r="E4279" t="s">
        <v>96</v>
      </c>
      <c r="F4279" t="s">
        <v>5945</v>
      </c>
      <c r="G4279" t="s">
        <v>40</v>
      </c>
      <c r="H4279" t="s">
        <v>41</v>
      </c>
      <c r="I4279">
        <v>3500</v>
      </c>
      <c r="J4279">
        <v>4550</v>
      </c>
      <c r="K4279">
        <v>3</v>
      </c>
      <c r="L4279">
        <v>10500</v>
      </c>
      <c r="M4279">
        <v>13650</v>
      </c>
      <c r="N4279" t="s">
        <v>56</v>
      </c>
      <c r="O4279">
        <f t="shared" si="132"/>
        <v>25545</v>
      </c>
      <c r="P4279" s="13">
        <f t="shared" si="133"/>
        <v>2074774</v>
      </c>
      <c r="Q4279" s="13">
        <f>SUMIFS(M:M,E:E,Online_eCommerce[[#This Row],[Status]])</f>
        <v>21233992</v>
      </c>
      <c r="R4279" s="13">
        <f>SUMIFS(L:L,H:H,Online_eCommerce[[#This Row],[Brand]])</f>
        <v>4260400</v>
      </c>
      <c r="S4279" s="13">
        <f>SUMIF(H:H,Online_eCommerce[[#This Row],[Brand]],M:M)</f>
        <v>5538520</v>
      </c>
      <c r="T4279" s="13">
        <f>SUMIF(N:N,Online_eCommerce[[#This Row],[Assigned Supervisor]],L:L)</f>
        <v>11733610</v>
      </c>
    </row>
    <row r="4280" spans="1:20" hidden="1" x14ac:dyDescent="0.3">
      <c r="A4280" t="s">
        <v>6294</v>
      </c>
      <c r="B4280" t="s">
        <v>149</v>
      </c>
      <c r="C4280" t="s">
        <v>197</v>
      </c>
      <c r="D4280" t="s">
        <v>6285</v>
      </c>
      <c r="E4280" t="s">
        <v>18</v>
      </c>
      <c r="F4280" t="s">
        <v>166</v>
      </c>
      <c r="G4280" t="s">
        <v>334</v>
      </c>
      <c r="H4280" t="s">
        <v>49</v>
      </c>
      <c r="I4280">
        <v>4500</v>
      </c>
      <c r="J4280">
        <v>5850</v>
      </c>
      <c r="K4280">
        <v>2</v>
      </c>
      <c r="L4280">
        <v>9000</v>
      </c>
      <c r="M4280">
        <v>11700</v>
      </c>
      <c r="N4280" t="s">
        <v>22</v>
      </c>
      <c r="O4280">
        <f t="shared" si="132"/>
        <v>39780</v>
      </c>
      <c r="P4280" s="13">
        <f t="shared" si="133"/>
        <v>2829840</v>
      </c>
      <c r="Q4280" s="13">
        <f>SUMIFS(M:M,E:E,Online_eCommerce[[#This Row],[Status]])</f>
        <v>28340455</v>
      </c>
      <c r="R4280" s="13">
        <f>SUMIFS(L:L,H:H,Online_eCommerce[[#This Row],[Brand]])</f>
        <v>4528350</v>
      </c>
      <c r="S4280" s="13">
        <f>SUMIF(H:H,Online_eCommerce[[#This Row],[Brand]],M:M)</f>
        <v>5886855</v>
      </c>
      <c r="T4280" s="13">
        <f>SUMIF(N:N,Online_eCommerce[[#This Row],[Assigned Supervisor]],L:L)</f>
        <v>13693220</v>
      </c>
    </row>
    <row r="4281" spans="1:20" hidden="1" x14ac:dyDescent="0.3">
      <c r="A4281" t="s">
        <v>6295</v>
      </c>
      <c r="B4281" t="s">
        <v>154</v>
      </c>
      <c r="C4281" t="s">
        <v>199</v>
      </c>
      <c r="D4281" t="s">
        <v>6285</v>
      </c>
      <c r="E4281" t="s">
        <v>161</v>
      </c>
      <c r="F4281" t="s">
        <v>6296</v>
      </c>
      <c r="G4281" t="s">
        <v>54</v>
      </c>
      <c r="H4281" t="s">
        <v>55</v>
      </c>
      <c r="I4281">
        <v>2100</v>
      </c>
      <c r="J4281">
        <v>2730</v>
      </c>
      <c r="K4281">
        <v>2</v>
      </c>
      <c r="L4281">
        <v>4200</v>
      </c>
      <c r="M4281">
        <v>5460</v>
      </c>
      <c r="N4281" t="s">
        <v>28</v>
      </c>
      <c r="O4281">
        <f t="shared" si="132"/>
        <v>2990</v>
      </c>
      <c r="P4281" s="13">
        <f t="shared" si="133"/>
        <v>1947361</v>
      </c>
      <c r="Q4281" s="13">
        <f>SUMIFS(M:M,E:E,Online_eCommerce[[#This Row],[Status]])</f>
        <v>21103186</v>
      </c>
      <c r="R4281" s="13">
        <f>SUMIFS(L:L,H:H,Online_eCommerce[[#This Row],[Brand]])</f>
        <v>2267380</v>
      </c>
      <c r="S4281" s="13">
        <f>SUMIF(H:H,Online_eCommerce[[#This Row],[Brand]],M:M)</f>
        <v>2947594</v>
      </c>
      <c r="T4281" s="13">
        <f>SUMIF(N:N,Online_eCommerce[[#This Row],[Assigned Supervisor]],L:L)</f>
        <v>12220830</v>
      </c>
    </row>
    <row r="4282" spans="1:20" x14ac:dyDescent="0.3">
      <c r="A4282" t="s">
        <v>6297</v>
      </c>
      <c r="B4282" t="s">
        <v>159</v>
      </c>
      <c r="C4282" t="s">
        <v>203</v>
      </c>
      <c r="D4282" t="s">
        <v>6285</v>
      </c>
      <c r="E4282" t="s">
        <v>46</v>
      </c>
      <c r="F4282" t="s">
        <v>174</v>
      </c>
      <c r="G4282" t="s">
        <v>60</v>
      </c>
      <c r="H4282" t="s">
        <v>61</v>
      </c>
      <c r="I4282">
        <v>1150</v>
      </c>
      <c r="J4282">
        <v>1495</v>
      </c>
      <c r="K4282">
        <v>1</v>
      </c>
      <c r="L4282">
        <v>1150</v>
      </c>
      <c r="M4282">
        <v>1495</v>
      </c>
      <c r="N4282" t="s">
        <v>35</v>
      </c>
      <c r="O4282">
        <f t="shared" si="132"/>
        <v>3315</v>
      </c>
      <c r="P4282" s="13">
        <f t="shared" si="133"/>
        <v>2559635</v>
      </c>
      <c r="Q4282" s="13">
        <f>SUMIFS(M:M,E:E,Online_eCommerce[[#This Row],[Status]])</f>
        <v>28620410</v>
      </c>
      <c r="R4282" s="13">
        <f>SUMIFS(L:L,H:H,Online_eCommerce[[#This Row],[Brand]])</f>
        <v>10950150</v>
      </c>
      <c r="S4282" s="13">
        <f>SUMIF(H:H,Online_eCommerce[[#This Row],[Brand]],M:M)</f>
        <v>14235195</v>
      </c>
      <c r="T4282" s="13">
        <f>SUMIF(N:N,Online_eCommerce[[#This Row],[Assigned Supervisor]],L:L)</f>
        <v>14373360</v>
      </c>
    </row>
    <row r="4283" spans="1:20" hidden="1" x14ac:dyDescent="0.3">
      <c r="A4283" t="s">
        <v>6298</v>
      </c>
      <c r="B4283" t="s">
        <v>139</v>
      </c>
      <c r="C4283" t="s">
        <v>205</v>
      </c>
      <c r="D4283" t="s">
        <v>6285</v>
      </c>
      <c r="E4283" t="s">
        <v>96</v>
      </c>
      <c r="F4283" t="s">
        <v>179</v>
      </c>
      <c r="G4283" t="s">
        <v>66</v>
      </c>
      <c r="H4283" t="s">
        <v>21</v>
      </c>
      <c r="I4283">
        <v>350</v>
      </c>
      <c r="J4283">
        <v>455</v>
      </c>
      <c r="K4283">
        <v>1</v>
      </c>
      <c r="L4283">
        <v>350</v>
      </c>
      <c r="M4283">
        <v>455</v>
      </c>
      <c r="N4283" t="s">
        <v>42</v>
      </c>
      <c r="O4283">
        <f t="shared" si="132"/>
        <v>1690</v>
      </c>
      <c r="P4283" s="13">
        <f t="shared" si="133"/>
        <v>1983254</v>
      </c>
      <c r="Q4283" s="13">
        <f>SUMIFS(M:M,E:E,Online_eCommerce[[#This Row],[Status]])</f>
        <v>21233992</v>
      </c>
      <c r="R4283" s="13">
        <f>SUMIFS(L:L,H:H,Online_eCommerce[[#This Row],[Brand]])</f>
        <v>12435650</v>
      </c>
      <c r="S4283" s="13">
        <f>SUMIF(H:H,Online_eCommerce[[#This Row],[Brand]],M:M)</f>
        <v>16166345</v>
      </c>
      <c r="T4283" s="13">
        <f>SUMIF(N:N,Online_eCommerce[[#This Row],[Assigned Supervisor]],L:L)</f>
        <v>12261500</v>
      </c>
    </row>
    <row r="4284" spans="1:20" hidden="1" x14ac:dyDescent="0.3">
      <c r="A4284" t="s">
        <v>6299</v>
      </c>
      <c r="B4284" t="s">
        <v>144</v>
      </c>
      <c r="C4284" t="s">
        <v>208</v>
      </c>
      <c r="D4284" t="s">
        <v>6285</v>
      </c>
      <c r="E4284" t="s">
        <v>18</v>
      </c>
      <c r="F4284" t="s">
        <v>183</v>
      </c>
      <c r="G4284" t="s">
        <v>71</v>
      </c>
      <c r="H4284" t="s">
        <v>61</v>
      </c>
      <c r="I4284">
        <v>9500</v>
      </c>
      <c r="J4284">
        <v>12350</v>
      </c>
      <c r="K4284">
        <v>4</v>
      </c>
      <c r="L4284">
        <v>38000</v>
      </c>
      <c r="M4284">
        <v>49400</v>
      </c>
      <c r="N4284" t="s">
        <v>50</v>
      </c>
      <c r="O4284">
        <f t="shared" si="132"/>
        <v>9750</v>
      </c>
      <c r="P4284" s="13">
        <f t="shared" si="133"/>
        <v>2746575</v>
      </c>
      <c r="Q4284" s="13">
        <f>SUMIFS(M:M,E:E,Online_eCommerce[[#This Row],[Status]])</f>
        <v>28340455</v>
      </c>
      <c r="R4284" s="13">
        <f>SUMIFS(L:L,H:H,Online_eCommerce[[#This Row],[Brand]])</f>
        <v>10950150</v>
      </c>
      <c r="S4284" s="13">
        <f>SUMIF(H:H,Online_eCommerce[[#This Row],[Brand]],M:M)</f>
        <v>14235195</v>
      </c>
      <c r="T4284" s="13">
        <f>SUMIF(N:N,Online_eCommerce[[#This Row],[Assigned Supervisor]],L:L)</f>
        <v>12100590</v>
      </c>
    </row>
    <row r="4285" spans="1:20" hidden="1" x14ac:dyDescent="0.3">
      <c r="A4285" t="s">
        <v>6300</v>
      </c>
      <c r="B4285" t="s">
        <v>235</v>
      </c>
      <c r="C4285" t="s">
        <v>211</v>
      </c>
      <c r="D4285" t="s">
        <v>6285</v>
      </c>
      <c r="E4285" t="s">
        <v>161</v>
      </c>
      <c r="F4285" t="s">
        <v>6301</v>
      </c>
      <c r="G4285" t="s">
        <v>77</v>
      </c>
      <c r="H4285" t="s">
        <v>142</v>
      </c>
      <c r="I4285">
        <v>10000</v>
      </c>
      <c r="J4285">
        <v>13000</v>
      </c>
      <c r="K4285">
        <v>1</v>
      </c>
      <c r="L4285">
        <v>10000</v>
      </c>
      <c r="M4285">
        <v>13000</v>
      </c>
      <c r="N4285" t="s">
        <v>56</v>
      </c>
      <c r="O4285">
        <f t="shared" si="132"/>
        <v>39000</v>
      </c>
      <c r="P4285" s="13">
        <f t="shared" si="133"/>
        <v>1809847</v>
      </c>
      <c r="Q4285" s="13">
        <f>SUMIFS(M:M,E:E,Online_eCommerce[[#This Row],[Status]])</f>
        <v>21103186</v>
      </c>
      <c r="R4285" s="13">
        <f>SUMIFS(L:L,H:H,Online_eCommerce[[#This Row],[Brand]])</f>
        <v>6192500</v>
      </c>
      <c r="S4285" s="13">
        <f>SUMIF(H:H,Online_eCommerce[[#This Row],[Brand]],M:M)</f>
        <v>8050250</v>
      </c>
      <c r="T4285" s="13">
        <f>SUMIF(N:N,Online_eCommerce[[#This Row],[Assigned Supervisor]],L:L)</f>
        <v>11733610</v>
      </c>
    </row>
    <row r="4286" spans="1:20" x14ac:dyDescent="0.3">
      <c r="A4286" t="s">
        <v>6302</v>
      </c>
      <c r="B4286" t="s">
        <v>176</v>
      </c>
      <c r="C4286" t="s">
        <v>16</v>
      </c>
      <c r="D4286" t="s">
        <v>6285</v>
      </c>
      <c r="E4286" t="s">
        <v>46</v>
      </c>
      <c r="F4286" t="s">
        <v>6303</v>
      </c>
      <c r="G4286" t="s">
        <v>20</v>
      </c>
      <c r="H4286" t="s">
        <v>21</v>
      </c>
      <c r="I4286">
        <v>6500</v>
      </c>
      <c r="J4286">
        <v>8450</v>
      </c>
      <c r="K4286">
        <v>2</v>
      </c>
      <c r="L4286">
        <v>13000</v>
      </c>
      <c r="M4286">
        <v>16900</v>
      </c>
      <c r="N4286" t="s">
        <v>22</v>
      </c>
      <c r="O4286">
        <f t="shared" si="132"/>
        <v>8450</v>
      </c>
      <c r="P4286" s="13">
        <f t="shared" si="133"/>
        <v>2751814</v>
      </c>
      <c r="Q4286" s="13">
        <f>SUMIFS(M:M,E:E,Online_eCommerce[[#This Row],[Status]])</f>
        <v>28620410</v>
      </c>
      <c r="R4286" s="13">
        <f>SUMIFS(L:L,H:H,Online_eCommerce[[#This Row],[Brand]])</f>
        <v>12435650</v>
      </c>
      <c r="S4286" s="13">
        <f>SUMIF(H:H,Online_eCommerce[[#This Row],[Brand]],M:M)</f>
        <v>16166345</v>
      </c>
      <c r="T4286" s="13">
        <f>SUMIF(N:N,Online_eCommerce[[#This Row],[Assigned Supervisor]],L:L)</f>
        <v>13693220</v>
      </c>
    </row>
    <row r="4287" spans="1:20" hidden="1" x14ac:dyDescent="0.3">
      <c r="A4287" t="s">
        <v>6304</v>
      </c>
      <c r="B4287" t="s">
        <v>276</v>
      </c>
      <c r="C4287" t="s">
        <v>24</v>
      </c>
      <c r="D4287" t="s">
        <v>6285</v>
      </c>
      <c r="E4287" t="s">
        <v>96</v>
      </c>
      <c r="F4287" t="s">
        <v>6305</v>
      </c>
      <c r="G4287" t="s">
        <v>26</v>
      </c>
      <c r="H4287" t="s">
        <v>27</v>
      </c>
      <c r="I4287">
        <v>8500</v>
      </c>
      <c r="J4287">
        <v>11050</v>
      </c>
      <c r="K4287">
        <v>4</v>
      </c>
      <c r="L4287">
        <v>34000</v>
      </c>
      <c r="M4287">
        <v>44200</v>
      </c>
      <c r="N4287" t="s">
        <v>28</v>
      </c>
      <c r="O4287">
        <f t="shared" si="132"/>
        <v>33150</v>
      </c>
      <c r="P4287" s="13">
        <f t="shared" si="133"/>
        <v>2009540</v>
      </c>
      <c r="Q4287" s="13">
        <f>SUMIFS(M:M,E:E,Online_eCommerce[[#This Row],[Status]])</f>
        <v>21233992</v>
      </c>
      <c r="R4287" s="13">
        <f>SUMIFS(L:L,H:H,Online_eCommerce[[#This Row],[Brand]])</f>
        <v>14431000</v>
      </c>
      <c r="S4287" s="13">
        <f>SUMIF(H:H,Online_eCommerce[[#This Row],[Brand]],M:M)</f>
        <v>18760300</v>
      </c>
      <c r="T4287" s="13">
        <f>SUMIF(N:N,Online_eCommerce[[#This Row],[Assigned Supervisor]],L:L)</f>
        <v>12220830</v>
      </c>
    </row>
    <row r="4288" spans="1:20" hidden="1" x14ac:dyDescent="0.3">
      <c r="A4288" t="s">
        <v>6306</v>
      </c>
      <c r="B4288" t="s">
        <v>280</v>
      </c>
      <c r="C4288" t="s">
        <v>31</v>
      </c>
      <c r="D4288" t="s">
        <v>6285</v>
      </c>
      <c r="E4288" t="s">
        <v>18</v>
      </c>
      <c r="F4288" t="s">
        <v>32</v>
      </c>
      <c r="G4288" t="s">
        <v>33</v>
      </c>
      <c r="H4288" t="s">
        <v>34</v>
      </c>
      <c r="I4288">
        <v>7000</v>
      </c>
      <c r="J4288">
        <v>9100</v>
      </c>
      <c r="K4288">
        <v>3</v>
      </c>
      <c r="L4288">
        <v>21000</v>
      </c>
      <c r="M4288">
        <v>27300</v>
      </c>
      <c r="N4288" t="s">
        <v>35</v>
      </c>
      <c r="O4288">
        <f t="shared" si="132"/>
        <v>18200</v>
      </c>
      <c r="P4288" s="13">
        <f t="shared" si="133"/>
        <v>2865746</v>
      </c>
      <c r="Q4288" s="13">
        <f>SUMIFS(M:M,E:E,Online_eCommerce[[#This Row],[Status]])</f>
        <v>28340455</v>
      </c>
      <c r="R4288" s="13">
        <f>SUMIFS(L:L,H:H,Online_eCommerce[[#This Row],[Brand]])</f>
        <v>10087000</v>
      </c>
      <c r="S4288" s="13">
        <f>SUMIF(H:H,Online_eCommerce[[#This Row],[Brand]],M:M)</f>
        <v>13113100</v>
      </c>
      <c r="T4288" s="13">
        <f>SUMIF(N:N,Online_eCommerce[[#This Row],[Assigned Supervisor]],L:L)</f>
        <v>14373360</v>
      </c>
    </row>
    <row r="4289" spans="1:20" hidden="1" x14ac:dyDescent="0.3">
      <c r="A4289" t="s">
        <v>6307</v>
      </c>
      <c r="B4289" t="s">
        <v>283</v>
      </c>
      <c r="C4289" t="s">
        <v>38</v>
      </c>
      <c r="D4289" t="s">
        <v>6285</v>
      </c>
      <c r="E4289" t="s">
        <v>161</v>
      </c>
      <c r="F4289" t="s">
        <v>6308</v>
      </c>
      <c r="G4289" t="s">
        <v>40</v>
      </c>
      <c r="H4289" t="s">
        <v>41</v>
      </c>
      <c r="I4289">
        <v>6550</v>
      </c>
      <c r="J4289">
        <v>8515</v>
      </c>
      <c r="K4289">
        <v>2</v>
      </c>
      <c r="L4289">
        <v>13100</v>
      </c>
      <c r="M4289">
        <v>17030</v>
      </c>
      <c r="N4289" t="s">
        <v>42</v>
      </c>
      <c r="O4289">
        <f t="shared" si="132"/>
        <v>25545</v>
      </c>
      <c r="P4289" s="13">
        <f t="shared" si="133"/>
        <v>1933997</v>
      </c>
      <c r="Q4289" s="13">
        <f>SUMIFS(M:M,E:E,Online_eCommerce[[#This Row],[Status]])</f>
        <v>21103186</v>
      </c>
      <c r="R4289" s="13">
        <f>SUMIFS(L:L,H:H,Online_eCommerce[[#This Row],[Brand]])</f>
        <v>4260400</v>
      </c>
      <c r="S4289" s="13">
        <f>SUMIF(H:H,Online_eCommerce[[#This Row],[Brand]],M:M)</f>
        <v>5538520</v>
      </c>
      <c r="T4289" s="13">
        <f>SUMIF(N:N,Online_eCommerce[[#This Row],[Assigned Supervisor]],L:L)</f>
        <v>12261500</v>
      </c>
    </row>
    <row r="4290" spans="1:20" x14ac:dyDescent="0.3">
      <c r="A4290" t="s">
        <v>6309</v>
      </c>
      <c r="B4290" t="s">
        <v>287</v>
      </c>
      <c r="C4290" t="s">
        <v>45</v>
      </c>
      <c r="D4290" t="s">
        <v>6285</v>
      </c>
      <c r="E4290" t="s">
        <v>46</v>
      </c>
      <c r="F4290" t="s">
        <v>47</v>
      </c>
      <c r="G4290" t="s">
        <v>334</v>
      </c>
      <c r="H4290" t="s">
        <v>49</v>
      </c>
      <c r="I4290">
        <v>7650</v>
      </c>
      <c r="J4290">
        <v>9945</v>
      </c>
      <c r="K4290">
        <v>1</v>
      </c>
      <c r="L4290">
        <v>7650</v>
      </c>
      <c r="M4290">
        <v>9945</v>
      </c>
      <c r="N4290" t="s">
        <v>50</v>
      </c>
      <c r="O4290">
        <f t="shared" ref="O4290:O4353" si="134">VLOOKUP(G4290,G:M,7,FALSE)</f>
        <v>39780</v>
      </c>
      <c r="P4290" s="13">
        <f t="shared" ref="P4290:P4353" si="135">SUMIFS(M:M,C:C,C4290)</f>
        <v>2842554</v>
      </c>
      <c r="Q4290" s="13">
        <f>SUMIFS(M:M,E:E,Online_eCommerce[[#This Row],[Status]])</f>
        <v>28620410</v>
      </c>
      <c r="R4290" s="13">
        <f>SUMIFS(L:L,H:H,Online_eCommerce[[#This Row],[Brand]])</f>
        <v>4528350</v>
      </c>
      <c r="S4290" s="13">
        <f>SUMIF(H:H,Online_eCommerce[[#This Row],[Brand]],M:M)</f>
        <v>5886855</v>
      </c>
      <c r="T4290" s="13">
        <f>SUMIF(N:N,Online_eCommerce[[#This Row],[Assigned Supervisor]],L:L)</f>
        <v>12100590</v>
      </c>
    </row>
    <row r="4291" spans="1:20" hidden="1" x14ac:dyDescent="0.3">
      <c r="A4291" t="s">
        <v>6310</v>
      </c>
      <c r="B4291" t="s">
        <v>290</v>
      </c>
      <c r="C4291" t="s">
        <v>52</v>
      </c>
      <c r="D4291" t="s">
        <v>6285</v>
      </c>
      <c r="E4291" t="s">
        <v>96</v>
      </c>
      <c r="F4291" t="s">
        <v>53</v>
      </c>
      <c r="G4291" t="s">
        <v>54</v>
      </c>
      <c r="H4291" t="s">
        <v>55</v>
      </c>
      <c r="I4291">
        <v>1150</v>
      </c>
      <c r="J4291">
        <v>1495</v>
      </c>
      <c r="K4291">
        <v>4</v>
      </c>
      <c r="L4291">
        <v>4600</v>
      </c>
      <c r="M4291">
        <v>5980</v>
      </c>
      <c r="N4291" t="s">
        <v>56</v>
      </c>
      <c r="O4291">
        <f t="shared" si="134"/>
        <v>2990</v>
      </c>
      <c r="P4291" s="13">
        <f t="shared" si="135"/>
        <v>1955044</v>
      </c>
      <c r="Q4291" s="13">
        <f>SUMIFS(M:M,E:E,Online_eCommerce[[#This Row],[Status]])</f>
        <v>21233992</v>
      </c>
      <c r="R4291" s="13">
        <f>SUMIFS(L:L,H:H,Online_eCommerce[[#This Row],[Brand]])</f>
        <v>2267380</v>
      </c>
      <c r="S4291" s="13">
        <f>SUMIF(H:H,Online_eCommerce[[#This Row],[Brand]],M:M)</f>
        <v>2947594</v>
      </c>
      <c r="T4291" s="13">
        <f>SUMIF(N:N,Online_eCommerce[[#This Row],[Assigned Supervisor]],L:L)</f>
        <v>11733610</v>
      </c>
    </row>
    <row r="4292" spans="1:20" hidden="1" x14ac:dyDescent="0.3">
      <c r="A4292" t="s">
        <v>6311</v>
      </c>
      <c r="B4292" t="s">
        <v>15</v>
      </c>
      <c r="C4292" t="s">
        <v>58</v>
      </c>
      <c r="D4292" t="s">
        <v>6285</v>
      </c>
      <c r="E4292" t="s">
        <v>18</v>
      </c>
      <c r="F4292" t="s">
        <v>59</v>
      </c>
      <c r="G4292" t="s">
        <v>60</v>
      </c>
      <c r="H4292" t="s">
        <v>61</v>
      </c>
      <c r="I4292">
        <v>850</v>
      </c>
      <c r="J4292">
        <v>1105</v>
      </c>
      <c r="K4292">
        <v>2</v>
      </c>
      <c r="L4292">
        <v>1700</v>
      </c>
      <c r="M4292">
        <v>2210</v>
      </c>
      <c r="N4292" t="s">
        <v>22</v>
      </c>
      <c r="O4292">
        <f t="shared" si="134"/>
        <v>3315</v>
      </c>
      <c r="P4292" s="13">
        <f t="shared" si="135"/>
        <v>2629211</v>
      </c>
      <c r="Q4292" s="13">
        <f>SUMIFS(M:M,E:E,Online_eCommerce[[#This Row],[Status]])</f>
        <v>28340455</v>
      </c>
      <c r="R4292" s="13">
        <f>SUMIFS(L:L,H:H,Online_eCommerce[[#This Row],[Brand]])</f>
        <v>10950150</v>
      </c>
      <c r="S4292" s="13">
        <f>SUMIF(H:H,Online_eCommerce[[#This Row],[Brand]],M:M)</f>
        <v>14235195</v>
      </c>
      <c r="T4292" s="13">
        <f>SUMIF(N:N,Online_eCommerce[[#This Row],[Assigned Supervisor]],L:L)</f>
        <v>13693220</v>
      </c>
    </row>
    <row r="4293" spans="1:20" hidden="1" x14ac:dyDescent="0.3">
      <c r="A4293" t="s">
        <v>6312</v>
      </c>
      <c r="B4293" t="s">
        <v>202</v>
      </c>
      <c r="C4293" t="s">
        <v>63</v>
      </c>
      <c r="D4293" t="s">
        <v>6285</v>
      </c>
      <c r="E4293" t="s">
        <v>161</v>
      </c>
      <c r="F4293" t="s">
        <v>65</v>
      </c>
      <c r="G4293" t="s">
        <v>66</v>
      </c>
      <c r="H4293" t="s">
        <v>21</v>
      </c>
      <c r="I4293">
        <v>650</v>
      </c>
      <c r="J4293">
        <v>845</v>
      </c>
      <c r="K4293">
        <v>1</v>
      </c>
      <c r="L4293">
        <v>650</v>
      </c>
      <c r="M4293">
        <v>845</v>
      </c>
      <c r="N4293" t="s">
        <v>28</v>
      </c>
      <c r="O4293">
        <f t="shared" si="134"/>
        <v>1690</v>
      </c>
      <c r="P4293" s="13">
        <f t="shared" si="135"/>
        <v>2016131</v>
      </c>
      <c r="Q4293" s="13">
        <f>SUMIFS(M:M,E:E,Online_eCommerce[[#This Row],[Status]])</f>
        <v>21103186</v>
      </c>
      <c r="R4293" s="13">
        <f>SUMIFS(L:L,H:H,Online_eCommerce[[#This Row],[Brand]])</f>
        <v>12435650</v>
      </c>
      <c r="S4293" s="13">
        <f>SUMIF(H:H,Online_eCommerce[[#This Row],[Brand]],M:M)</f>
        <v>16166345</v>
      </c>
      <c r="T4293" s="13">
        <f>SUMIF(N:N,Online_eCommerce[[#This Row],[Assigned Supervisor]],L:L)</f>
        <v>12220830</v>
      </c>
    </row>
    <row r="4294" spans="1:20" x14ac:dyDescent="0.3">
      <c r="A4294" t="s">
        <v>6313</v>
      </c>
      <c r="B4294" t="s">
        <v>30</v>
      </c>
      <c r="C4294" t="s">
        <v>68</v>
      </c>
      <c r="D4294" t="s">
        <v>6285</v>
      </c>
      <c r="E4294" t="s">
        <v>46</v>
      </c>
      <c r="F4294" t="s">
        <v>70</v>
      </c>
      <c r="G4294" t="s">
        <v>71</v>
      </c>
      <c r="H4294" t="s">
        <v>61</v>
      </c>
      <c r="I4294">
        <v>7500</v>
      </c>
      <c r="J4294">
        <v>9750</v>
      </c>
      <c r="K4294">
        <v>2</v>
      </c>
      <c r="L4294">
        <v>15000</v>
      </c>
      <c r="M4294">
        <v>19500</v>
      </c>
      <c r="N4294" t="s">
        <v>35</v>
      </c>
      <c r="O4294">
        <f t="shared" si="134"/>
        <v>9750</v>
      </c>
      <c r="P4294" s="13">
        <f t="shared" si="135"/>
        <v>2974621</v>
      </c>
      <c r="Q4294" s="13">
        <f>SUMIFS(M:M,E:E,Online_eCommerce[[#This Row],[Status]])</f>
        <v>28620410</v>
      </c>
      <c r="R4294" s="13">
        <f>SUMIFS(L:L,H:H,Online_eCommerce[[#This Row],[Brand]])</f>
        <v>10950150</v>
      </c>
      <c r="S4294" s="13">
        <f>SUMIF(H:H,Online_eCommerce[[#This Row],[Brand]],M:M)</f>
        <v>14235195</v>
      </c>
      <c r="T4294" s="13">
        <f>SUMIF(N:N,Online_eCommerce[[#This Row],[Assigned Supervisor]],L:L)</f>
        <v>14373360</v>
      </c>
    </row>
    <row r="4295" spans="1:20" hidden="1" x14ac:dyDescent="0.3">
      <c r="A4295" t="s">
        <v>6314</v>
      </c>
      <c r="B4295" t="s">
        <v>37</v>
      </c>
      <c r="C4295" t="s">
        <v>74</v>
      </c>
      <c r="D4295" t="s">
        <v>6285</v>
      </c>
      <c r="E4295" t="s">
        <v>96</v>
      </c>
      <c r="F4295" t="s">
        <v>6301</v>
      </c>
      <c r="G4295" t="s">
        <v>77</v>
      </c>
      <c r="H4295" t="s">
        <v>78</v>
      </c>
      <c r="I4295">
        <v>10000</v>
      </c>
      <c r="J4295">
        <v>13000</v>
      </c>
      <c r="K4295">
        <v>2</v>
      </c>
      <c r="L4295">
        <v>20000</v>
      </c>
      <c r="M4295">
        <v>26000</v>
      </c>
      <c r="N4295" t="s">
        <v>42</v>
      </c>
      <c r="O4295">
        <f t="shared" si="134"/>
        <v>39000</v>
      </c>
      <c r="P4295" s="13">
        <f t="shared" si="135"/>
        <v>2144701</v>
      </c>
      <c r="Q4295" s="13">
        <f>SUMIFS(M:M,E:E,Online_eCommerce[[#This Row],[Status]])</f>
        <v>21233992</v>
      </c>
      <c r="R4295" s="13">
        <f>SUMIFS(L:L,H:H,Online_eCommerce[[#This Row],[Brand]])</f>
        <v>3720000</v>
      </c>
      <c r="S4295" s="13">
        <f>SUMIF(H:H,Online_eCommerce[[#This Row],[Brand]],M:M)</f>
        <v>4836000</v>
      </c>
      <c r="T4295" s="13">
        <f>SUMIF(N:N,Online_eCommerce[[#This Row],[Assigned Supervisor]],L:L)</f>
        <v>12261500</v>
      </c>
    </row>
    <row r="4296" spans="1:20" hidden="1" x14ac:dyDescent="0.3">
      <c r="A4296" t="s">
        <v>6315</v>
      </c>
      <c r="B4296" t="s">
        <v>44</v>
      </c>
      <c r="C4296" t="s">
        <v>81</v>
      </c>
      <c r="D4296" t="s">
        <v>6285</v>
      </c>
      <c r="E4296" t="s">
        <v>18</v>
      </c>
      <c r="F4296" t="s">
        <v>6316</v>
      </c>
      <c r="G4296" t="s">
        <v>20</v>
      </c>
      <c r="H4296" t="s">
        <v>21</v>
      </c>
      <c r="I4296">
        <v>10500</v>
      </c>
      <c r="J4296">
        <v>13650</v>
      </c>
      <c r="K4296">
        <v>2</v>
      </c>
      <c r="L4296">
        <v>21000</v>
      </c>
      <c r="M4296">
        <v>27300</v>
      </c>
      <c r="N4296" t="s">
        <v>50</v>
      </c>
      <c r="O4296">
        <f t="shared" si="134"/>
        <v>8450</v>
      </c>
      <c r="P4296" s="13">
        <f t="shared" si="135"/>
        <v>2595632</v>
      </c>
      <c r="Q4296" s="13">
        <f>SUMIFS(M:M,E:E,Online_eCommerce[[#This Row],[Status]])</f>
        <v>28340455</v>
      </c>
      <c r="R4296" s="13">
        <f>SUMIFS(L:L,H:H,Online_eCommerce[[#This Row],[Brand]])</f>
        <v>12435650</v>
      </c>
      <c r="S4296" s="13">
        <f>SUMIF(H:H,Online_eCommerce[[#This Row],[Brand]],M:M)</f>
        <v>16166345</v>
      </c>
      <c r="T4296" s="13">
        <f>SUMIF(N:N,Online_eCommerce[[#This Row],[Assigned Supervisor]],L:L)</f>
        <v>12100590</v>
      </c>
    </row>
    <row r="4297" spans="1:20" hidden="1" x14ac:dyDescent="0.3">
      <c r="A4297" t="s">
        <v>6317</v>
      </c>
      <c r="B4297" t="s">
        <v>213</v>
      </c>
      <c r="C4297" t="s">
        <v>86</v>
      </c>
      <c r="D4297" t="s">
        <v>6285</v>
      </c>
      <c r="E4297" t="s">
        <v>161</v>
      </c>
      <c r="F4297" t="s">
        <v>88</v>
      </c>
      <c r="G4297" t="s">
        <v>26</v>
      </c>
      <c r="H4297" t="s">
        <v>27</v>
      </c>
      <c r="I4297">
        <v>8500</v>
      </c>
      <c r="J4297">
        <v>11050</v>
      </c>
      <c r="K4297">
        <v>2</v>
      </c>
      <c r="L4297">
        <v>17000</v>
      </c>
      <c r="M4297">
        <v>22100</v>
      </c>
      <c r="N4297" t="s">
        <v>56</v>
      </c>
      <c r="O4297">
        <f t="shared" si="134"/>
        <v>33150</v>
      </c>
      <c r="P4297" s="13">
        <f t="shared" si="135"/>
        <v>1941225</v>
      </c>
      <c r="Q4297" s="13">
        <f>SUMIFS(M:M,E:E,Online_eCommerce[[#This Row],[Status]])</f>
        <v>21103186</v>
      </c>
      <c r="R4297" s="13">
        <f>SUMIFS(L:L,H:H,Online_eCommerce[[#This Row],[Brand]])</f>
        <v>14431000</v>
      </c>
      <c r="S4297" s="13">
        <f>SUMIF(H:H,Online_eCommerce[[#This Row],[Brand]],M:M)</f>
        <v>18760300</v>
      </c>
      <c r="T4297" s="13">
        <f>SUMIF(N:N,Online_eCommerce[[#This Row],[Assigned Supervisor]],L:L)</f>
        <v>11733610</v>
      </c>
    </row>
    <row r="4298" spans="1:20" x14ac:dyDescent="0.3">
      <c r="A4298" t="s">
        <v>6318</v>
      </c>
      <c r="B4298" t="s">
        <v>215</v>
      </c>
      <c r="C4298" t="s">
        <v>91</v>
      </c>
      <c r="D4298" t="s">
        <v>6285</v>
      </c>
      <c r="E4298" t="s">
        <v>46</v>
      </c>
      <c r="F4298" t="s">
        <v>32</v>
      </c>
      <c r="G4298" t="s">
        <v>33</v>
      </c>
      <c r="H4298" t="s">
        <v>34</v>
      </c>
      <c r="I4298">
        <v>7000</v>
      </c>
      <c r="J4298">
        <v>9100</v>
      </c>
      <c r="K4298">
        <v>1</v>
      </c>
      <c r="L4298">
        <v>7000</v>
      </c>
      <c r="M4298">
        <v>9100</v>
      </c>
      <c r="N4298" t="s">
        <v>22</v>
      </c>
      <c r="O4298">
        <f t="shared" si="134"/>
        <v>18200</v>
      </c>
      <c r="P4298" s="13">
        <f t="shared" si="135"/>
        <v>2731963</v>
      </c>
      <c r="Q4298" s="13">
        <f>SUMIFS(M:M,E:E,Online_eCommerce[[#This Row],[Status]])</f>
        <v>28620410</v>
      </c>
      <c r="R4298" s="13">
        <f>SUMIFS(L:L,H:H,Online_eCommerce[[#This Row],[Brand]])</f>
        <v>10087000</v>
      </c>
      <c r="S4298" s="13">
        <f>SUMIF(H:H,Online_eCommerce[[#This Row],[Brand]],M:M)</f>
        <v>13113100</v>
      </c>
      <c r="T4298" s="13">
        <f>SUMIF(N:N,Online_eCommerce[[#This Row],[Assigned Supervisor]],L:L)</f>
        <v>13693220</v>
      </c>
    </row>
    <row r="4299" spans="1:20" hidden="1" x14ac:dyDescent="0.3">
      <c r="A4299" t="s">
        <v>6319</v>
      </c>
      <c r="B4299" t="s">
        <v>306</v>
      </c>
      <c r="C4299" t="s">
        <v>94</v>
      </c>
      <c r="D4299" t="s">
        <v>6285</v>
      </c>
      <c r="E4299" t="s">
        <v>96</v>
      </c>
      <c r="F4299" t="s">
        <v>6320</v>
      </c>
      <c r="G4299" t="s">
        <v>40</v>
      </c>
      <c r="H4299" t="s">
        <v>41</v>
      </c>
      <c r="I4299">
        <v>1680</v>
      </c>
      <c r="J4299">
        <v>2184</v>
      </c>
      <c r="K4299">
        <v>3</v>
      </c>
      <c r="L4299">
        <v>5040</v>
      </c>
      <c r="M4299">
        <v>6552</v>
      </c>
      <c r="N4299" t="s">
        <v>28</v>
      </c>
      <c r="O4299">
        <f t="shared" si="134"/>
        <v>25545</v>
      </c>
      <c r="P4299" s="13">
        <f t="shared" si="135"/>
        <v>1868256</v>
      </c>
      <c r="Q4299" s="13">
        <f>SUMIFS(M:M,E:E,Online_eCommerce[[#This Row],[Status]])</f>
        <v>21233992</v>
      </c>
      <c r="R4299" s="13">
        <f>SUMIFS(L:L,H:H,Online_eCommerce[[#This Row],[Brand]])</f>
        <v>4260400</v>
      </c>
      <c r="S4299" s="13">
        <f>SUMIF(H:H,Online_eCommerce[[#This Row],[Brand]],M:M)</f>
        <v>5538520</v>
      </c>
      <c r="T4299" s="13">
        <f>SUMIF(N:N,Online_eCommerce[[#This Row],[Assigned Supervisor]],L:L)</f>
        <v>12220830</v>
      </c>
    </row>
    <row r="4300" spans="1:20" hidden="1" x14ac:dyDescent="0.3">
      <c r="A4300" t="s">
        <v>6321</v>
      </c>
      <c r="B4300" t="s">
        <v>528</v>
      </c>
      <c r="C4300" t="s">
        <v>99</v>
      </c>
      <c r="D4300" t="s">
        <v>6285</v>
      </c>
      <c r="E4300" t="s">
        <v>18</v>
      </c>
      <c r="F4300" t="s">
        <v>101</v>
      </c>
      <c r="G4300" t="s">
        <v>334</v>
      </c>
      <c r="H4300" t="s">
        <v>102</v>
      </c>
      <c r="I4300">
        <v>6540</v>
      </c>
      <c r="J4300">
        <v>8502</v>
      </c>
      <c r="K4300">
        <v>4</v>
      </c>
      <c r="L4300">
        <v>26160</v>
      </c>
      <c r="M4300">
        <v>34008</v>
      </c>
      <c r="N4300" t="s">
        <v>35</v>
      </c>
      <c r="O4300">
        <f t="shared" si="134"/>
        <v>39780</v>
      </c>
      <c r="P4300" s="13">
        <f t="shared" si="135"/>
        <v>2651233</v>
      </c>
      <c r="Q4300" s="13">
        <f>SUMIFS(M:M,E:E,Online_eCommerce[[#This Row],[Status]])</f>
        <v>28340455</v>
      </c>
      <c r="R4300" s="13">
        <f>SUMIFS(L:L,H:H,Online_eCommerce[[#This Row],[Brand]])</f>
        <v>2465580</v>
      </c>
      <c r="S4300" s="13">
        <f>SUMIF(H:H,Online_eCommerce[[#This Row],[Brand]],M:M)</f>
        <v>3205254</v>
      </c>
      <c r="T4300" s="13">
        <f>SUMIF(N:N,Online_eCommerce[[#This Row],[Assigned Supervisor]],L:L)</f>
        <v>14373360</v>
      </c>
    </row>
    <row r="4301" spans="1:20" hidden="1" x14ac:dyDescent="0.3">
      <c r="A4301" t="s">
        <v>6322</v>
      </c>
      <c r="B4301" t="s">
        <v>73</v>
      </c>
      <c r="C4301" t="s">
        <v>105</v>
      </c>
      <c r="D4301" t="s">
        <v>6285</v>
      </c>
      <c r="E4301" t="s">
        <v>161</v>
      </c>
      <c r="F4301" t="s">
        <v>107</v>
      </c>
      <c r="G4301" t="s">
        <v>54</v>
      </c>
      <c r="H4301" t="s">
        <v>55</v>
      </c>
      <c r="I4301">
        <v>2680</v>
      </c>
      <c r="J4301">
        <v>3484</v>
      </c>
      <c r="K4301">
        <v>3</v>
      </c>
      <c r="L4301">
        <v>8040</v>
      </c>
      <c r="M4301">
        <v>10452</v>
      </c>
      <c r="N4301" t="s">
        <v>42</v>
      </c>
      <c r="O4301">
        <f t="shared" si="134"/>
        <v>2990</v>
      </c>
      <c r="P4301" s="13">
        <f t="shared" si="135"/>
        <v>1866852</v>
      </c>
      <c r="Q4301" s="13">
        <f>SUMIFS(M:M,E:E,Online_eCommerce[[#This Row],[Status]])</f>
        <v>21103186</v>
      </c>
      <c r="R4301" s="13">
        <f>SUMIFS(L:L,H:H,Online_eCommerce[[#This Row],[Brand]])</f>
        <v>2267380</v>
      </c>
      <c r="S4301" s="13">
        <f>SUMIF(H:H,Online_eCommerce[[#This Row],[Brand]],M:M)</f>
        <v>2947594</v>
      </c>
      <c r="T4301" s="13">
        <f>SUMIF(N:N,Online_eCommerce[[#This Row],[Assigned Supervisor]],L:L)</f>
        <v>12261500</v>
      </c>
    </row>
    <row r="4302" spans="1:20" x14ac:dyDescent="0.3">
      <c r="A4302" t="s">
        <v>6323</v>
      </c>
      <c r="B4302" t="s">
        <v>80</v>
      </c>
      <c r="C4302" t="s">
        <v>110</v>
      </c>
      <c r="D4302" t="s">
        <v>6285</v>
      </c>
      <c r="E4302" t="s">
        <v>46</v>
      </c>
      <c r="F4302" t="s">
        <v>112</v>
      </c>
      <c r="G4302" t="s">
        <v>71</v>
      </c>
      <c r="H4302" t="s">
        <v>21</v>
      </c>
      <c r="I4302">
        <v>8250</v>
      </c>
      <c r="J4302">
        <v>10725</v>
      </c>
      <c r="K4302">
        <v>3</v>
      </c>
      <c r="L4302">
        <v>24750</v>
      </c>
      <c r="M4302">
        <v>32175</v>
      </c>
      <c r="N4302" t="s">
        <v>50</v>
      </c>
      <c r="O4302">
        <f t="shared" si="134"/>
        <v>9750</v>
      </c>
      <c r="P4302" s="13">
        <f t="shared" si="135"/>
        <v>2598635</v>
      </c>
      <c r="Q4302" s="13">
        <f>SUMIFS(M:M,E:E,Online_eCommerce[[#This Row],[Status]])</f>
        <v>28620410</v>
      </c>
      <c r="R4302" s="13">
        <f>SUMIFS(L:L,H:H,Online_eCommerce[[#This Row],[Brand]])</f>
        <v>12435650</v>
      </c>
      <c r="S4302" s="13">
        <f>SUMIF(H:H,Online_eCommerce[[#This Row],[Brand]],M:M)</f>
        <v>16166345</v>
      </c>
      <c r="T4302" s="13">
        <f>SUMIF(N:N,Online_eCommerce[[#This Row],[Assigned Supervisor]],L:L)</f>
        <v>12100590</v>
      </c>
    </row>
    <row r="4303" spans="1:20" hidden="1" x14ac:dyDescent="0.3">
      <c r="A4303" t="s">
        <v>6324</v>
      </c>
      <c r="B4303" t="s">
        <v>85</v>
      </c>
      <c r="C4303" t="s">
        <v>115</v>
      </c>
      <c r="D4303" t="s">
        <v>6285</v>
      </c>
      <c r="E4303" t="s">
        <v>96</v>
      </c>
      <c r="F4303" t="s">
        <v>5945</v>
      </c>
      <c r="G4303" t="s">
        <v>40</v>
      </c>
      <c r="H4303" t="s">
        <v>21</v>
      </c>
      <c r="I4303">
        <v>2650</v>
      </c>
      <c r="J4303">
        <v>3445</v>
      </c>
      <c r="K4303">
        <v>4</v>
      </c>
      <c r="L4303">
        <v>10600</v>
      </c>
      <c r="M4303">
        <v>13780</v>
      </c>
      <c r="N4303" t="s">
        <v>56</v>
      </c>
      <c r="O4303">
        <f t="shared" si="134"/>
        <v>25545</v>
      </c>
      <c r="P4303" s="13">
        <f t="shared" si="135"/>
        <v>2050178</v>
      </c>
      <c r="Q4303" s="13">
        <f>SUMIFS(M:M,E:E,Online_eCommerce[[#This Row],[Status]])</f>
        <v>21233992</v>
      </c>
      <c r="R4303" s="13">
        <f>SUMIFS(L:L,H:H,Online_eCommerce[[#This Row],[Brand]])</f>
        <v>12435650</v>
      </c>
      <c r="S4303" s="13">
        <f>SUMIF(H:H,Online_eCommerce[[#This Row],[Brand]],M:M)</f>
        <v>16166345</v>
      </c>
      <c r="T4303" s="13">
        <f>SUMIF(N:N,Online_eCommerce[[#This Row],[Assigned Supervisor]],L:L)</f>
        <v>11733610</v>
      </c>
    </row>
    <row r="4304" spans="1:20" hidden="1" x14ac:dyDescent="0.3">
      <c r="A4304" t="s">
        <v>6325</v>
      </c>
      <c r="B4304" t="s">
        <v>90</v>
      </c>
      <c r="C4304" t="s">
        <v>120</v>
      </c>
      <c r="D4304" t="s">
        <v>6285</v>
      </c>
      <c r="E4304" t="s">
        <v>18</v>
      </c>
      <c r="F4304" t="s">
        <v>121</v>
      </c>
      <c r="G4304" t="s">
        <v>71</v>
      </c>
      <c r="H4304" t="s">
        <v>122</v>
      </c>
      <c r="I4304">
        <v>12550</v>
      </c>
      <c r="J4304">
        <v>16315</v>
      </c>
      <c r="K4304">
        <v>4</v>
      </c>
      <c r="L4304">
        <v>50200</v>
      </c>
      <c r="M4304">
        <v>65260</v>
      </c>
      <c r="N4304" t="s">
        <v>22</v>
      </c>
      <c r="O4304">
        <f t="shared" si="134"/>
        <v>9750</v>
      </c>
      <c r="P4304" s="13">
        <f t="shared" si="135"/>
        <v>2734212</v>
      </c>
      <c r="Q4304" s="13">
        <f>SUMIFS(M:M,E:E,Online_eCommerce[[#This Row],[Status]])</f>
        <v>28340455</v>
      </c>
      <c r="R4304" s="13">
        <f>SUMIFS(L:L,H:H,Online_eCommerce[[#This Row],[Brand]])</f>
        <v>5045100</v>
      </c>
      <c r="S4304" s="13">
        <f>SUMIF(H:H,Online_eCommerce[[#This Row],[Brand]],M:M)</f>
        <v>6558630</v>
      </c>
      <c r="T4304" s="13">
        <f>SUMIF(N:N,Online_eCommerce[[#This Row],[Assigned Supervisor]],L:L)</f>
        <v>13693220</v>
      </c>
    </row>
    <row r="4305" spans="1:20" hidden="1" x14ac:dyDescent="0.3">
      <c r="A4305" t="s">
        <v>6326</v>
      </c>
      <c r="B4305" t="s">
        <v>232</v>
      </c>
      <c r="C4305" t="s">
        <v>125</v>
      </c>
      <c r="D4305" t="s">
        <v>6285</v>
      </c>
      <c r="E4305" t="s">
        <v>161</v>
      </c>
      <c r="F4305" t="s">
        <v>126</v>
      </c>
      <c r="G4305" t="s">
        <v>26</v>
      </c>
      <c r="H4305" t="s">
        <v>27</v>
      </c>
      <c r="I4305">
        <v>14500</v>
      </c>
      <c r="J4305">
        <v>18850</v>
      </c>
      <c r="K4305">
        <v>4</v>
      </c>
      <c r="L4305">
        <v>58000</v>
      </c>
      <c r="M4305">
        <v>75400</v>
      </c>
      <c r="N4305" t="s">
        <v>28</v>
      </c>
      <c r="O4305">
        <f t="shared" si="134"/>
        <v>33150</v>
      </c>
      <c r="P4305" s="13">
        <f t="shared" si="135"/>
        <v>2091154</v>
      </c>
      <c r="Q4305" s="13">
        <f>SUMIFS(M:M,E:E,Online_eCommerce[[#This Row],[Status]])</f>
        <v>21103186</v>
      </c>
      <c r="R4305" s="13">
        <f>SUMIFS(L:L,H:H,Online_eCommerce[[#This Row],[Brand]])</f>
        <v>14431000</v>
      </c>
      <c r="S4305" s="13">
        <f>SUMIF(H:H,Online_eCommerce[[#This Row],[Brand]],M:M)</f>
        <v>18760300</v>
      </c>
      <c r="T4305" s="13">
        <f>SUMIF(N:N,Online_eCommerce[[#This Row],[Assigned Supervisor]],L:L)</f>
        <v>12220830</v>
      </c>
    </row>
    <row r="4306" spans="1:20" x14ac:dyDescent="0.3">
      <c r="A4306" t="s">
        <v>6327</v>
      </c>
      <c r="B4306" t="s">
        <v>235</v>
      </c>
      <c r="C4306" t="s">
        <v>22</v>
      </c>
      <c r="D4306" t="s">
        <v>6285</v>
      </c>
      <c r="E4306" t="s">
        <v>46</v>
      </c>
      <c r="F4306" t="s">
        <v>129</v>
      </c>
      <c r="G4306" t="s">
        <v>60</v>
      </c>
      <c r="H4306" t="s">
        <v>61</v>
      </c>
      <c r="I4306">
        <v>800</v>
      </c>
      <c r="J4306">
        <v>1040</v>
      </c>
      <c r="K4306">
        <v>4</v>
      </c>
      <c r="L4306">
        <v>3200</v>
      </c>
      <c r="M4306">
        <v>4160</v>
      </c>
      <c r="N4306" t="s">
        <v>35</v>
      </c>
      <c r="O4306">
        <f t="shared" si="134"/>
        <v>3315</v>
      </c>
      <c r="P4306" s="13">
        <f t="shared" si="135"/>
        <v>2551588</v>
      </c>
      <c r="Q4306" s="13">
        <f>SUMIFS(M:M,E:E,Online_eCommerce[[#This Row],[Status]])</f>
        <v>28620410</v>
      </c>
      <c r="R4306" s="13">
        <f>SUMIFS(L:L,H:H,Online_eCommerce[[#This Row],[Brand]])</f>
        <v>10950150</v>
      </c>
      <c r="S4306" s="13">
        <f>SUMIF(H:H,Online_eCommerce[[#This Row],[Brand]],M:M)</f>
        <v>14235195</v>
      </c>
      <c r="T4306" s="13">
        <f>SUMIF(N:N,Online_eCommerce[[#This Row],[Assigned Supervisor]],L:L)</f>
        <v>14373360</v>
      </c>
    </row>
    <row r="4307" spans="1:20" hidden="1" x14ac:dyDescent="0.3">
      <c r="A4307" t="s">
        <v>6328</v>
      </c>
      <c r="B4307" t="s">
        <v>104</v>
      </c>
      <c r="C4307" t="s">
        <v>132</v>
      </c>
      <c r="D4307" t="s">
        <v>6285</v>
      </c>
      <c r="E4307" t="s">
        <v>96</v>
      </c>
      <c r="F4307" t="s">
        <v>133</v>
      </c>
      <c r="G4307" t="s">
        <v>66</v>
      </c>
      <c r="H4307" t="s">
        <v>21</v>
      </c>
      <c r="I4307">
        <v>600</v>
      </c>
      <c r="J4307">
        <v>780</v>
      </c>
      <c r="K4307">
        <v>4</v>
      </c>
      <c r="L4307">
        <v>2400</v>
      </c>
      <c r="M4307">
        <v>3120</v>
      </c>
      <c r="N4307" t="s">
        <v>42</v>
      </c>
      <c r="O4307">
        <f t="shared" si="134"/>
        <v>1690</v>
      </c>
      <c r="P4307" s="13">
        <f t="shared" si="135"/>
        <v>1989065</v>
      </c>
      <c r="Q4307" s="13">
        <f>SUMIFS(M:M,E:E,Online_eCommerce[[#This Row],[Status]])</f>
        <v>21233992</v>
      </c>
      <c r="R4307" s="13">
        <f>SUMIFS(L:L,H:H,Online_eCommerce[[#This Row],[Brand]])</f>
        <v>12435650</v>
      </c>
      <c r="S4307" s="13">
        <f>SUMIF(H:H,Online_eCommerce[[#This Row],[Brand]],M:M)</f>
        <v>16166345</v>
      </c>
      <c r="T4307" s="13">
        <f>SUMIF(N:N,Online_eCommerce[[#This Row],[Assigned Supervisor]],L:L)</f>
        <v>12261500</v>
      </c>
    </row>
    <row r="4308" spans="1:20" hidden="1" x14ac:dyDescent="0.3">
      <c r="A4308" t="s">
        <v>6329</v>
      </c>
      <c r="B4308" t="s">
        <v>109</v>
      </c>
      <c r="C4308" t="s">
        <v>136</v>
      </c>
      <c r="D4308" t="s">
        <v>6330</v>
      </c>
      <c r="E4308" t="s">
        <v>18</v>
      </c>
      <c r="F4308" t="s">
        <v>137</v>
      </c>
      <c r="G4308" t="s">
        <v>71</v>
      </c>
      <c r="H4308" t="s">
        <v>61</v>
      </c>
      <c r="I4308">
        <v>10500</v>
      </c>
      <c r="J4308">
        <v>13650</v>
      </c>
      <c r="K4308">
        <v>4</v>
      </c>
      <c r="L4308">
        <v>42000</v>
      </c>
      <c r="M4308">
        <v>54600</v>
      </c>
      <c r="N4308" t="s">
        <v>50</v>
      </c>
      <c r="O4308">
        <f t="shared" si="134"/>
        <v>9750</v>
      </c>
      <c r="P4308" s="13">
        <f t="shared" si="135"/>
        <v>2775162</v>
      </c>
      <c r="Q4308" s="13">
        <f>SUMIFS(M:M,E:E,Online_eCommerce[[#This Row],[Status]])</f>
        <v>28340455</v>
      </c>
      <c r="R4308" s="13">
        <f>SUMIFS(L:L,H:H,Online_eCommerce[[#This Row],[Brand]])</f>
        <v>10950150</v>
      </c>
      <c r="S4308" s="13">
        <f>SUMIF(H:H,Online_eCommerce[[#This Row],[Brand]],M:M)</f>
        <v>14235195</v>
      </c>
      <c r="T4308" s="13">
        <f>SUMIF(N:N,Online_eCommerce[[#This Row],[Assigned Supervisor]],L:L)</f>
        <v>12100590</v>
      </c>
    </row>
    <row r="4309" spans="1:20" hidden="1" x14ac:dyDescent="0.3">
      <c r="A4309" t="s">
        <v>6331</v>
      </c>
      <c r="B4309" t="s">
        <v>114</v>
      </c>
      <c r="C4309" t="s">
        <v>140</v>
      </c>
      <c r="D4309" t="s">
        <v>6332</v>
      </c>
      <c r="E4309" t="s">
        <v>161</v>
      </c>
      <c r="F4309" t="s">
        <v>6301</v>
      </c>
      <c r="G4309" t="s">
        <v>77</v>
      </c>
      <c r="H4309" t="s">
        <v>142</v>
      </c>
      <c r="I4309">
        <v>6500</v>
      </c>
      <c r="J4309">
        <v>8450</v>
      </c>
      <c r="K4309">
        <v>1</v>
      </c>
      <c r="L4309">
        <v>6500</v>
      </c>
      <c r="M4309">
        <v>8450</v>
      </c>
      <c r="N4309" t="s">
        <v>56</v>
      </c>
      <c r="O4309">
        <f t="shared" si="134"/>
        <v>39000</v>
      </c>
      <c r="P4309" s="13">
        <f t="shared" si="135"/>
        <v>2058264</v>
      </c>
      <c r="Q4309" s="13">
        <f>SUMIFS(M:M,E:E,Online_eCommerce[[#This Row],[Status]])</f>
        <v>21103186</v>
      </c>
      <c r="R4309" s="13">
        <f>SUMIFS(L:L,H:H,Online_eCommerce[[#This Row],[Brand]])</f>
        <v>6192500</v>
      </c>
      <c r="S4309" s="13">
        <f>SUMIF(H:H,Online_eCommerce[[#This Row],[Brand]],M:M)</f>
        <v>8050250</v>
      </c>
      <c r="T4309" s="13">
        <f>SUMIF(N:N,Online_eCommerce[[#This Row],[Assigned Supervisor]],L:L)</f>
        <v>11733610</v>
      </c>
    </row>
    <row r="4310" spans="1:20" x14ac:dyDescent="0.3">
      <c r="A4310" t="s">
        <v>6333</v>
      </c>
      <c r="B4310" t="s">
        <v>119</v>
      </c>
      <c r="C4310" t="s">
        <v>145</v>
      </c>
      <c r="D4310" t="s">
        <v>6334</v>
      </c>
      <c r="E4310" t="s">
        <v>46</v>
      </c>
      <c r="F4310" t="s">
        <v>6335</v>
      </c>
      <c r="G4310" t="s">
        <v>20</v>
      </c>
      <c r="H4310" t="s">
        <v>21</v>
      </c>
      <c r="I4310">
        <v>4500</v>
      </c>
      <c r="J4310">
        <v>5850</v>
      </c>
      <c r="K4310">
        <v>2</v>
      </c>
      <c r="L4310">
        <v>9000</v>
      </c>
      <c r="M4310">
        <v>11700</v>
      </c>
      <c r="N4310" t="s">
        <v>22</v>
      </c>
      <c r="O4310">
        <f t="shared" si="134"/>
        <v>8450</v>
      </c>
      <c r="P4310" s="13">
        <f t="shared" si="135"/>
        <v>2757859</v>
      </c>
      <c r="Q4310" s="13">
        <f>SUMIFS(M:M,E:E,Online_eCommerce[[#This Row],[Status]])</f>
        <v>28620410</v>
      </c>
      <c r="R4310" s="13">
        <f>SUMIFS(L:L,H:H,Online_eCommerce[[#This Row],[Brand]])</f>
        <v>12435650</v>
      </c>
      <c r="S4310" s="13">
        <f>SUMIF(H:H,Online_eCommerce[[#This Row],[Brand]],M:M)</f>
        <v>16166345</v>
      </c>
      <c r="T4310" s="13">
        <f>SUMIF(N:N,Online_eCommerce[[#This Row],[Assigned Supervisor]],L:L)</f>
        <v>13693220</v>
      </c>
    </row>
    <row r="4311" spans="1:20" hidden="1" x14ac:dyDescent="0.3">
      <c r="A4311" t="s">
        <v>6336</v>
      </c>
      <c r="B4311" t="s">
        <v>124</v>
      </c>
      <c r="C4311" t="s">
        <v>150</v>
      </c>
      <c r="D4311" t="s">
        <v>6337</v>
      </c>
      <c r="E4311" t="s">
        <v>96</v>
      </c>
      <c r="F4311" t="s">
        <v>152</v>
      </c>
      <c r="G4311" t="s">
        <v>26</v>
      </c>
      <c r="H4311" t="s">
        <v>27</v>
      </c>
      <c r="I4311">
        <v>8500</v>
      </c>
      <c r="J4311">
        <v>11050</v>
      </c>
      <c r="K4311">
        <v>1</v>
      </c>
      <c r="L4311">
        <v>8500</v>
      </c>
      <c r="M4311">
        <v>11050</v>
      </c>
      <c r="N4311" t="s">
        <v>28</v>
      </c>
      <c r="O4311">
        <f t="shared" si="134"/>
        <v>33150</v>
      </c>
      <c r="P4311" s="13">
        <f t="shared" si="135"/>
        <v>2154984</v>
      </c>
      <c r="Q4311" s="13">
        <f>SUMIFS(M:M,E:E,Online_eCommerce[[#This Row],[Status]])</f>
        <v>21233992</v>
      </c>
      <c r="R4311" s="13">
        <f>SUMIFS(L:L,H:H,Online_eCommerce[[#This Row],[Brand]])</f>
        <v>14431000</v>
      </c>
      <c r="S4311" s="13">
        <f>SUMIF(H:H,Online_eCommerce[[#This Row],[Brand]],M:M)</f>
        <v>18760300</v>
      </c>
      <c r="T4311" s="13">
        <f>SUMIF(N:N,Online_eCommerce[[#This Row],[Assigned Supervisor]],L:L)</f>
        <v>12220830</v>
      </c>
    </row>
    <row r="4312" spans="1:20" hidden="1" x14ac:dyDescent="0.3">
      <c r="A4312" t="s">
        <v>6338</v>
      </c>
      <c r="B4312" t="s">
        <v>128</v>
      </c>
      <c r="C4312" t="s">
        <v>155</v>
      </c>
      <c r="D4312" t="s">
        <v>6339</v>
      </c>
      <c r="E4312" t="s">
        <v>18</v>
      </c>
      <c r="F4312" t="s">
        <v>157</v>
      </c>
      <c r="G4312" t="s">
        <v>33</v>
      </c>
      <c r="H4312" t="s">
        <v>34</v>
      </c>
      <c r="I4312">
        <v>12500</v>
      </c>
      <c r="J4312">
        <v>16250</v>
      </c>
      <c r="K4312">
        <v>1</v>
      </c>
      <c r="L4312">
        <v>12500</v>
      </c>
      <c r="M4312">
        <v>16250</v>
      </c>
      <c r="N4312" t="s">
        <v>22</v>
      </c>
      <c r="O4312">
        <f t="shared" si="134"/>
        <v>18200</v>
      </c>
      <c r="P4312" s="13">
        <f t="shared" si="135"/>
        <v>2753348</v>
      </c>
      <c r="Q4312" s="13">
        <f>SUMIFS(M:M,E:E,Online_eCommerce[[#This Row],[Status]])</f>
        <v>28340455</v>
      </c>
      <c r="R4312" s="13">
        <f>SUMIFS(L:L,H:H,Online_eCommerce[[#This Row],[Brand]])</f>
        <v>10087000</v>
      </c>
      <c r="S4312" s="13">
        <f>SUMIF(H:H,Online_eCommerce[[#This Row],[Brand]],M:M)</f>
        <v>13113100</v>
      </c>
      <c r="T4312" s="13">
        <f>SUMIF(N:N,Online_eCommerce[[#This Row],[Assigned Supervisor]],L:L)</f>
        <v>13693220</v>
      </c>
    </row>
    <row r="4313" spans="1:20" hidden="1" x14ac:dyDescent="0.3">
      <c r="A4313" t="s">
        <v>6340</v>
      </c>
      <c r="B4313" t="s">
        <v>131</v>
      </c>
      <c r="C4313" t="s">
        <v>160</v>
      </c>
      <c r="D4313" t="s">
        <v>6339</v>
      </c>
      <c r="E4313" t="s">
        <v>161</v>
      </c>
      <c r="F4313" t="s">
        <v>5987</v>
      </c>
      <c r="G4313" t="s">
        <v>163</v>
      </c>
      <c r="H4313" t="s">
        <v>41</v>
      </c>
      <c r="I4313">
        <v>3500</v>
      </c>
      <c r="J4313">
        <v>4550</v>
      </c>
      <c r="K4313">
        <v>4</v>
      </c>
      <c r="L4313">
        <v>14000</v>
      </c>
      <c r="M4313">
        <v>18200</v>
      </c>
      <c r="N4313" t="s">
        <v>22</v>
      </c>
      <c r="O4313">
        <f t="shared" si="134"/>
        <v>13650</v>
      </c>
      <c r="P4313" s="13">
        <f t="shared" si="135"/>
        <v>2303483</v>
      </c>
      <c r="Q4313" s="13">
        <f>SUMIFS(M:M,E:E,Online_eCommerce[[#This Row],[Status]])</f>
        <v>21103186</v>
      </c>
      <c r="R4313" s="13">
        <f>SUMIFS(L:L,H:H,Online_eCommerce[[#This Row],[Brand]])</f>
        <v>4260400</v>
      </c>
      <c r="S4313" s="13">
        <f>SUMIF(H:H,Online_eCommerce[[#This Row],[Brand]],M:M)</f>
        <v>5538520</v>
      </c>
      <c r="T4313" s="13">
        <f>SUMIF(N:N,Online_eCommerce[[#This Row],[Assigned Supervisor]],L:L)</f>
        <v>13693220</v>
      </c>
    </row>
    <row r="4314" spans="1:20" x14ac:dyDescent="0.3">
      <c r="A4314" t="s">
        <v>6341</v>
      </c>
      <c r="B4314" t="s">
        <v>135</v>
      </c>
      <c r="C4314" t="s">
        <v>165</v>
      </c>
      <c r="D4314" t="s">
        <v>6339</v>
      </c>
      <c r="E4314" t="s">
        <v>46</v>
      </c>
      <c r="F4314" t="s">
        <v>166</v>
      </c>
      <c r="G4314" t="s">
        <v>66</v>
      </c>
      <c r="H4314" t="s">
        <v>49</v>
      </c>
      <c r="I4314">
        <v>4500</v>
      </c>
      <c r="J4314">
        <v>5850</v>
      </c>
      <c r="K4314">
        <v>4</v>
      </c>
      <c r="L4314">
        <v>18000</v>
      </c>
      <c r="M4314">
        <v>23400</v>
      </c>
      <c r="N4314" t="s">
        <v>22</v>
      </c>
      <c r="O4314">
        <f t="shared" si="134"/>
        <v>1690</v>
      </c>
      <c r="P4314" s="13">
        <f t="shared" si="135"/>
        <v>2674087</v>
      </c>
      <c r="Q4314" s="13">
        <f>SUMIFS(M:M,E:E,Online_eCommerce[[#This Row],[Status]])</f>
        <v>28620410</v>
      </c>
      <c r="R4314" s="13">
        <f>SUMIFS(L:L,H:H,Online_eCommerce[[#This Row],[Brand]])</f>
        <v>4528350</v>
      </c>
      <c r="S4314" s="13">
        <f>SUMIF(H:H,Online_eCommerce[[#This Row],[Brand]],M:M)</f>
        <v>5886855</v>
      </c>
      <c r="T4314" s="13">
        <f>SUMIF(N:N,Online_eCommerce[[#This Row],[Assigned Supervisor]],L:L)</f>
        <v>13693220</v>
      </c>
    </row>
    <row r="4315" spans="1:20" hidden="1" x14ac:dyDescent="0.3">
      <c r="A4315" t="s">
        <v>6342</v>
      </c>
      <c r="B4315" t="s">
        <v>139</v>
      </c>
      <c r="C4315" t="s">
        <v>168</v>
      </c>
      <c r="D4315" t="s">
        <v>6339</v>
      </c>
      <c r="E4315" t="s">
        <v>96</v>
      </c>
      <c r="F4315" t="s">
        <v>6343</v>
      </c>
      <c r="G4315" t="s">
        <v>54</v>
      </c>
      <c r="H4315" t="s">
        <v>55</v>
      </c>
      <c r="I4315">
        <v>2100</v>
      </c>
      <c r="J4315">
        <v>2730</v>
      </c>
      <c r="K4315">
        <v>3</v>
      </c>
      <c r="L4315">
        <v>6300</v>
      </c>
      <c r="M4315">
        <v>8190</v>
      </c>
      <c r="N4315" t="s">
        <v>22</v>
      </c>
      <c r="O4315">
        <f t="shared" si="134"/>
        <v>2990</v>
      </c>
      <c r="P4315" s="13">
        <f t="shared" si="135"/>
        <v>1937780</v>
      </c>
      <c r="Q4315" s="13">
        <f>SUMIFS(M:M,E:E,Online_eCommerce[[#This Row],[Status]])</f>
        <v>21233992</v>
      </c>
      <c r="R4315" s="13">
        <f>SUMIFS(L:L,H:H,Online_eCommerce[[#This Row],[Brand]])</f>
        <v>2267380</v>
      </c>
      <c r="S4315" s="13">
        <f>SUMIF(H:H,Online_eCommerce[[#This Row],[Brand]],M:M)</f>
        <v>2947594</v>
      </c>
      <c r="T4315" s="13">
        <f>SUMIF(N:N,Online_eCommerce[[#This Row],[Assigned Supervisor]],L:L)</f>
        <v>13693220</v>
      </c>
    </row>
    <row r="4316" spans="1:20" hidden="1" x14ac:dyDescent="0.3">
      <c r="A4316" t="s">
        <v>6344</v>
      </c>
      <c r="B4316" t="s">
        <v>144</v>
      </c>
      <c r="C4316" t="s">
        <v>172</v>
      </c>
      <c r="D4316" t="s">
        <v>6339</v>
      </c>
      <c r="E4316" t="s">
        <v>18</v>
      </c>
      <c r="F4316" t="s">
        <v>174</v>
      </c>
      <c r="G4316" t="s">
        <v>60</v>
      </c>
      <c r="H4316" t="s">
        <v>61</v>
      </c>
      <c r="I4316">
        <v>1150</v>
      </c>
      <c r="J4316">
        <v>1495</v>
      </c>
      <c r="K4316">
        <v>2</v>
      </c>
      <c r="L4316">
        <v>2300</v>
      </c>
      <c r="M4316">
        <v>2990</v>
      </c>
      <c r="N4316" t="s">
        <v>22</v>
      </c>
      <c r="O4316">
        <f t="shared" si="134"/>
        <v>3315</v>
      </c>
      <c r="P4316" s="13">
        <f t="shared" si="135"/>
        <v>2640274</v>
      </c>
      <c r="Q4316" s="13">
        <f>SUMIFS(M:M,E:E,Online_eCommerce[[#This Row],[Status]])</f>
        <v>28340455</v>
      </c>
      <c r="R4316" s="13">
        <f>SUMIFS(L:L,H:H,Online_eCommerce[[#This Row],[Brand]])</f>
        <v>10950150</v>
      </c>
      <c r="S4316" s="13">
        <f>SUMIF(H:H,Online_eCommerce[[#This Row],[Brand]],M:M)</f>
        <v>14235195</v>
      </c>
      <c r="T4316" s="13">
        <f>SUMIF(N:N,Online_eCommerce[[#This Row],[Assigned Supervisor]],L:L)</f>
        <v>13693220</v>
      </c>
    </row>
    <row r="4317" spans="1:20" hidden="1" x14ac:dyDescent="0.3">
      <c r="A4317" t="s">
        <v>6345</v>
      </c>
      <c r="B4317" t="s">
        <v>149</v>
      </c>
      <c r="C4317" t="s">
        <v>177</v>
      </c>
      <c r="D4317" t="s">
        <v>6339</v>
      </c>
      <c r="E4317" t="s">
        <v>161</v>
      </c>
      <c r="F4317" t="s">
        <v>179</v>
      </c>
      <c r="G4317" t="s">
        <v>66</v>
      </c>
      <c r="H4317" t="s">
        <v>21</v>
      </c>
      <c r="I4317">
        <v>350</v>
      </c>
      <c r="J4317">
        <v>455</v>
      </c>
      <c r="K4317">
        <v>3</v>
      </c>
      <c r="L4317">
        <v>1050</v>
      </c>
      <c r="M4317">
        <v>1365</v>
      </c>
      <c r="N4317" t="s">
        <v>22</v>
      </c>
      <c r="O4317">
        <f t="shared" si="134"/>
        <v>1690</v>
      </c>
      <c r="P4317" s="13">
        <f t="shared" si="135"/>
        <v>1863810</v>
      </c>
      <c r="Q4317" s="13">
        <f>SUMIFS(M:M,E:E,Online_eCommerce[[#This Row],[Status]])</f>
        <v>21103186</v>
      </c>
      <c r="R4317" s="13">
        <f>SUMIFS(L:L,H:H,Online_eCommerce[[#This Row],[Brand]])</f>
        <v>12435650</v>
      </c>
      <c r="S4317" s="13">
        <f>SUMIF(H:H,Online_eCommerce[[#This Row],[Brand]],M:M)</f>
        <v>16166345</v>
      </c>
      <c r="T4317" s="13">
        <f>SUMIF(N:N,Online_eCommerce[[#This Row],[Assigned Supervisor]],L:L)</f>
        <v>13693220</v>
      </c>
    </row>
    <row r="4318" spans="1:20" x14ac:dyDescent="0.3">
      <c r="A4318" t="s">
        <v>6346</v>
      </c>
      <c r="B4318" t="s">
        <v>154</v>
      </c>
      <c r="C4318" t="s">
        <v>181</v>
      </c>
      <c r="D4318" t="s">
        <v>6339</v>
      </c>
      <c r="E4318" t="s">
        <v>46</v>
      </c>
      <c r="F4318" t="s">
        <v>183</v>
      </c>
      <c r="G4318" t="s">
        <v>71</v>
      </c>
      <c r="H4318" t="s">
        <v>61</v>
      </c>
      <c r="I4318">
        <v>9500</v>
      </c>
      <c r="J4318">
        <v>12350</v>
      </c>
      <c r="K4318">
        <v>4</v>
      </c>
      <c r="L4318">
        <v>38000</v>
      </c>
      <c r="M4318">
        <v>49400</v>
      </c>
      <c r="N4318" t="s">
        <v>22</v>
      </c>
      <c r="O4318">
        <f t="shared" si="134"/>
        <v>9750</v>
      </c>
      <c r="P4318" s="13">
        <f t="shared" si="135"/>
        <v>2577458</v>
      </c>
      <c r="Q4318" s="13">
        <f>SUMIFS(M:M,E:E,Online_eCommerce[[#This Row],[Status]])</f>
        <v>28620410</v>
      </c>
      <c r="R4318" s="13">
        <f>SUMIFS(L:L,H:H,Online_eCommerce[[#This Row],[Brand]])</f>
        <v>10950150</v>
      </c>
      <c r="S4318" s="13">
        <f>SUMIF(H:H,Online_eCommerce[[#This Row],[Brand]],M:M)</f>
        <v>14235195</v>
      </c>
      <c r="T4318" s="13">
        <f>SUMIF(N:N,Online_eCommerce[[#This Row],[Assigned Supervisor]],L:L)</f>
        <v>13693220</v>
      </c>
    </row>
    <row r="4319" spans="1:20" hidden="1" x14ac:dyDescent="0.3">
      <c r="A4319" t="s">
        <v>6347</v>
      </c>
      <c r="B4319" t="s">
        <v>159</v>
      </c>
      <c r="C4319" t="s">
        <v>185</v>
      </c>
      <c r="D4319" t="s">
        <v>6339</v>
      </c>
      <c r="E4319" t="s">
        <v>96</v>
      </c>
      <c r="F4319" t="s">
        <v>6348</v>
      </c>
      <c r="G4319" t="s">
        <v>77</v>
      </c>
      <c r="H4319" t="s">
        <v>142</v>
      </c>
      <c r="I4319">
        <v>10000</v>
      </c>
      <c r="J4319">
        <v>13000</v>
      </c>
      <c r="K4319">
        <v>1</v>
      </c>
      <c r="L4319">
        <v>10000</v>
      </c>
      <c r="M4319">
        <v>13000</v>
      </c>
      <c r="N4319" t="s">
        <v>22</v>
      </c>
      <c r="O4319">
        <f t="shared" si="134"/>
        <v>39000</v>
      </c>
      <c r="P4319" s="13">
        <f t="shared" si="135"/>
        <v>2091596</v>
      </c>
      <c r="Q4319" s="13">
        <f>SUMIFS(M:M,E:E,Online_eCommerce[[#This Row],[Status]])</f>
        <v>21233992</v>
      </c>
      <c r="R4319" s="13">
        <f>SUMIFS(L:L,H:H,Online_eCommerce[[#This Row],[Brand]])</f>
        <v>6192500</v>
      </c>
      <c r="S4319" s="13">
        <f>SUMIF(H:H,Online_eCommerce[[#This Row],[Brand]],M:M)</f>
        <v>8050250</v>
      </c>
      <c r="T4319" s="13">
        <f>SUMIF(N:N,Online_eCommerce[[#This Row],[Assigned Supervisor]],L:L)</f>
        <v>13693220</v>
      </c>
    </row>
    <row r="4320" spans="1:20" hidden="1" x14ac:dyDescent="0.3">
      <c r="A4320" t="s">
        <v>6349</v>
      </c>
      <c r="B4320" t="s">
        <v>139</v>
      </c>
      <c r="C4320" t="s">
        <v>189</v>
      </c>
      <c r="D4320" t="s">
        <v>6339</v>
      </c>
      <c r="E4320" t="s">
        <v>18</v>
      </c>
      <c r="F4320" t="s">
        <v>6350</v>
      </c>
      <c r="G4320" t="s">
        <v>20</v>
      </c>
      <c r="H4320" t="s">
        <v>21</v>
      </c>
      <c r="I4320">
        <v>6500</v>
      </c>
      <c r="J4320">
        <v>8450</v>
      </c>
      <c r="K4320">
        <v>4</v>
      </c>
      <c r="L4320">
        <v>26000</v>
      </c>
      <c r="M4320">
        <v>33800</v>
      </c>
      <c r="N4320" t="s">
        <v>22</v>
      </c>
      <c r="O4320">
        <f t="shared" si="134"/>
        <v>8450</v>
      </c>
      <c r="P4320" s="13">
        <f t="shared" si="135"/>
        <v>2740777</v>
      </c>
      <c r="Q4320" s="13">
        <f>SUMIFS(M:M,E:E,Online_eCommerce[[#This Row],[Status]])</f>
        <v>28340455</v>
      </c>
      <c r="R4320" s="13">
        <f>SUMIFS(L:L,H:H,Online_eCommerce[[#This Row],[Brand]])</f>
        <v>12435650</v>
      </c>
      <c r="S4320" s="13">
        <f>SUMIF(H:H,Online_eCommerce[[#This Row],[Brand]],M:M)</f>
        <v>16166345</v>
      </c>
      <c r="T4320" s="13">
        <f>SUMIF(N:N,Online_eCommerce[[#This Row],[Assigned Supervisor]],L:L)</f>
        <v>13693220</v>
      </c>
    </row>
    <row r="4321" spans="1:20" hidden="1" x14ac:dyDescent="0.3">
      <c r="A4321" t="s">
        <v>6351</v>
      </c>
      <c r="B4321" t="s">
        <v>144</v>
      </c>
      <c r="C4321" t="s">
        <v>193</v>
      </c>
      <c r="D4321" t="s">
        <v>6352</v>
      </c>
      <c r="E4321" t="s">
        <v>161</v>
      </c>
      <c r="F4321" t="s">
        <v>6353</v>
      </c>
      <c r="G4321" t="s">
        <v>26</v>
      </c>
      <c r="H4321" t="s">
        <v>27</v>
      </c>
      <c r="I4321">
        <v>8500</v>
      </c>
      <c r="J4321">
        <v>11050</v>
      </c>
      <c r="K4321">
        <v>1</v>
      </c>
      <c r="L4321">
        <v>8500</v>
      </c>
      <c r="M4321">
        <v>11050</v>
      </c>
      <c r="N4321" t="s">
        <v>22</v>
      </c>
      <c r="O4321">
        <f t="shared" si="134"/>
        <v>33150</v>
      </c>
      <c r="P4321" s="13">
        <f t="shared" si="135"/>
        <v>2074774</v>
      </c>
      <c r="Q4321" s="13">
        <f>SUMIFS(M:M,E:E,Online_eCommerce[[#This Row],[Status]])</f>
        <v>21103186</v>
      </c>
      <c r="R4321" s="13">
        <f>SUMIFS(L:L,H:H,Online_eCommerce[[#This Row],[Brand]])</f>
        <v>14431000</v>
      </c>
      <c r="S4321" s="13">
        <f>SUMIF(H:H,Online_eCommerce[[#This Row],[Brand]],M:M)</f>
        <v>18760300</v>
      </c>
      <c r="T4321" s="13">
        <f>SUMIF(N:N,Online_eCommerce[[#This Row],[Assigned Supervisor]],L:L)</f>
        <v>13693220</v>
      </c>
    </row>
    <row r="4322" spans="1:20" x14ac:dyDescent="0.3">
      <c r="A4322" t="s">
        <v>6354</v>
      </c>
      <c r="B4322" t="s">
        <v>235</v>
      </c>
      <c r="C4322" t="s">
        <v>197</v>
      </c>
      <c r="D4322" t="s">
        <v>6355</v>
      </c>
      <c r="E4322" t="s">
        <v>46</v>
      </c>
      <c r="F4322" t="s">
        <v>32</v>
      </c>
      <c r="G4322" t="s">
        <v>33</v>
      </c>
      <c r="H4322" t="s">
        <v>34</v>
      </c>
      <c r="I4322">
        <v>7000</v>
      </c>
      <c r="J4322">
        <v>9100</v>
      </c>
      <c r="K4322">
        <v>2</v>
      </c>
      <c r="L4322">
        <v>14000</v>
      </c>
      <c r="M4322">
        <v>18200</v>
      </c>
      <c r="N4322" t="s">
        <v>22</v>
      </c>
      <c r="O4322">
        <f t="shared" si="134"/>
        <v>18200</v>
      </c>
      <c r="P4322" s="13">
        <f t="shared" si="135"/>
        <v>2829840</v>
      </c>
      <c r="Q4322" s="13">
        <f>SUMIFS(M:M,E:E,Online_eCommerce[[#This Row],[Status]])</f>
        <v>28620410</v>
      </c>
      <c r="R4322" s="13">
        <f>SUMIFS(L:L,H:H,Online_eCommerce[[#This Row],[Brand]])</f>
        <v>10087000</v>
      </c>
      <c r="S4322" s="13">
        <f>SUMIF(H:H,Online_eCommerce[[#This Row],[Brand]],M:M)</f>
        <v>13113100</v>
      </c>
      <c r="T4322" s="13">
        <f>SUMIF(N:N,Online_eCommerce[[#This Row],[Assigned Supervisor]],L:L)</f>
        <v>13693220</v>
      </c>
    </row>
    <row r="4323" spans="1:20" hidden="1" x14ac:dyDescent="0.3">
      <c r="A4323" t="s">
        <v>6356</v>
      </c>
      <c r="B4323" t="s">
        <v>176</v>
      </c>
      <c r="C4323" t="s">
        <v>199</v>
      </c>
      <c r="D4323" t="s">
        <v>6357</v>
      </c>
      <c r="E4323" t="s">
        <v>96</v>
      </c>
      <c r="F4323" t="s">
        <v>6358</v>
      </c>
      <c r="G4323" t="s">
        <v>163</v>
      </c>
      <c r="H4323" t="s">
        <v>41</v>
      </c>
      <c r="I4323">
        <v>6550</v>
      </c>
      <c r="J4323">
        <v>8515</v>
      </c>
      <c r="K4323">
        <v>4</v>
      </c>
      <c r="L4323">
        <v>26200</v>
      </c>
      <c r="M4323">
        <v>34060</v>
      </c>
      <c r="N4323" t="s">
        <v>22</v>
      </c>
      <c r="O4323">
        <f t="shared" si="134"/>
        <v>13650</v>
      </c>
      <c r="P4323" s="13">
        <f t="shared" si="135"/>
        <v>1947361</v>
      </c>
      <c r="Q4323" s="13">
        <f>SUMIFS(M:M,E:E,Online_eCommerce[[#This Row],[Status]])</f>
        <v>21233992</v>
      </c>
      <c r="R4323" s="13">
        <f>SUMIFS(L:L,H:H,Online_eCommerce[[#This Row],[Brand]])</f>
        <v>4260400</v>
      </c>
      <c r="S4323" s="13">
        <f>SUMIF(H:H,Online_eCommerce[[#This Row],[Brand]],M:M)</f>
        <v>5538520</v>
      </c>
      <c r="T4323" s="13">
        <f>SUMIF(N:N,Online_eCommerce[[#This Row],[Assigned Supervisor]],L:L)</f>
        <v>13693220</v>
      </c>
    </row>
    <row r="4324" spans="1:20" hidden="1" x14ac:dyDescent="0.3">
      <c r="A4324" t="s">
        <v>6359</v>
      </c>
      <c r="B4324" t="s">
        <v>276</v>
      </c>
      <c r="C4324" t="s">
        <v>203</v>
      </c>
      <c r="D4324" t="s">
        <v>6360</v>
      </c>
      <c r="E4324" t="s">
        <v>18</v>
      </c>
      <c r="F4324" t="s">
        <v>47</v>
      </c>
      <c r="G4324" t="s">
        <v>66</v>
      </c>
      <c r="H4324" t="s">
        <v>49</v>
      </c>
      <c r="I4324">
        <v>7650</v>
      </c>
      <c r="J4324">
        <v>9945</v>
      </c>
      <c r="K4324">
        <v>4</v>
      </c>
      <c r="L4324">
        <v>30600</v>
      </c>
      <c r="M4324">
        <v>39780</v>
      </c>
      <c r="N4324" t="s">
        <v>22</v>
      </c>
      <c r="O4324">
        <f t="shared" si="134"/>
        <v>1690</v>
      </c>
      <c r="P4324" s="13">
        <f t="shared" si="135"/>
        <v>2559635</v>
      </c>
      <c r="Q4324" s="13">
        <f>SUMIFS(M:M,E:E,Online_eCommerce[[#This Row],[Status]])</f>
        <v>28340455</v>
      </c>
      <c r="R4324" s="13">
        <f>SUMIFS(L:L,H:H,Online_eCommerce[[#This Row],[Brand]])</f>
        <v>4528350</v>
      </c>
      <c r="S4324" s="13">
        <f>SUMIF(H:H,Online_eCommerce[[#This Row],[Brand]],M:M)</f>
        <v>5886855</v>
      </c>
      <c r="T4324" s="13">
        <f>SUMIF(N:N,Online_eCommerce[[#This Row],[Assigned Supervisor]],L:L)</f>
        <v>13693220</v>
      </c>
    </row>
    <row r="4325" spans="1:20" hidden="1" x14ac:dyDescent="0.3">
      <c r="A4325" t="s">
        <v>6361</v>
      </c>
      <c r="B4325" t="s">
        <v>280</v>
      </c>
      <c r="C4325" t="s">
        <v>205</v>
      </c>
      <c r="D4325" t="s">
        <v>6360</v>
      </c>
      <c r="E4325" t="s">
        <v>161</v>
      </c>
      <c r="F4325" t="s">
        <v>53</v>
      </c>
      <c r="G4325" t="s">
        <v>54</v>
      </c>
      <c r="H4325" t="s">
        <v>55</v>
      </c>
      <c r="I4325">
        <v>1150</v>
      </c>
      <c r="J4325">
        <v>1495</v>
      </c>
      <c r="K4325">
        <v>3</v>
      </c>
      <c r="L4325">
        <v>3450</v>
      </c>
      <c r="M4325">
        <v>4485</v>
      </c>
      <c r="N4325" t="s">
        <v>22</v>
      </c>
      <c r="O4325">
        <f t="shared" si="134"/>
        <v>2990</v>
      </c>
      <c r="P4325" s="13">
        <f t="shared" si="135"/>
        <v>1983254</v>
      </c>
      <c r="Q4325" s="13">
        <f>SUMIFS(M:M,E:E,Online_eCommerce[[#This Row],[Status]])</f>
        <v>21103186</v>
      </c>
      <c r="R4325" s="13">
        <f>SUMIFS(L:L,H:H,Online_eCommerce[[#This Row],[Brand]])</f>
        <v>2267380</v>
      </c>
      <c r="S4325" s="13">
        <f>SUMIF(H:H,Online_eCommerce[[#This Row],[Brand]],M:M)</f>
        <v>2947594</v>
      </c>
      <c r="T4325" s="13">
        <f>SUMIF(N:N,Online_eCommerce[[#This Row],[Assigned Supervisor]],L:L)</f>
        <v>13693220</v>
      </c>
    </row>
    <row r="4326" spans="1:20" x14ac:dyDescent="0.3">
      <c r="A4326" t="s">
        <v>6362</v>
      </c>
      <c r="B4326" t="s">
        <v>283</v>
      </c>
      <c r="C4326" t="s">
        <v>208</v>
      </c>
      <c r="D4326" t="s">
        <v>6360</v>
      </c>
      <c r="E4326" t="s">
        <v>46</v>
      </c>
      <c r="F4326" t="s">
        <v>59</v>
      </c>
      <c r="G4326" t="s">
        <v>60</v>
      </c>
      <c r="H4326" t="s">
        <v>61</v>
      </c>
      <c r="I4326">
        <v>850</v>
      </c>
      <c r="J4326">
        <v>1105</v>
      </c>
      <c r="K4326">
        <v>3</v>
      </c>
      <c r="L4326">
        <v>2550</v>
      </c>
      <c r="M4326">
        <v>3315</v>
      </c>
      <c r="N4326" t="s">
        <v>22</v>
      </c>
      <c r="O4326">
        <f t="shared" si="134"/>
        <v>3315</v>
      </c>
      <c r="P4326" s="13">
        <f t="shared" si="135"/>
        <v>2746575</v>
      </c>
      <c r="Q4326" s="13">
        <f>SUMIFS(M:M,E:E,Online_eCommerce[[#This Row],[Status]])</f>
        <v>28620410</v>
      </c>
      <c r="R4326" s="13">
        <f>SUMIFS(L:L,H:H,Online_eCommerce[[#This Row],[Brand]])</f>
        <v>10950150</v>
      </c>
      <c r="S4326" s="13">
        <f>SUMIF(H:H,Online_eCommerce[[#This Row],[Brand]],M:M)</f>
        <v>14235195</v>
      </c>
      <c r="T4326" s="13">
        <f>SUMIF(N:N,Online_eCommerce[[#This Row],[Assigned Supervisor]],L:L)</f>
        <v>13693220</v>
      </c>
    </row>
    <row r="4327" spans="1:20" hidden="1" x14ac:dyDescent="0.3">
      <c r="A4327" t="s">
        <v>6363</v>
      </c>
      <c r="B4327" t="s">
        <v>287</v>
      </c>
      <c r="C4327" t="s">
        <v>211</v>
      </c>
      <c r="D4327" t="s">
        <v>6360</v>
      </c>
      <c r="E4327" t="s">
        <v>96</v>
      </c>
      <c r="F4327" t="s">
        <v>65</v>
      </c>
      <c r="G4327" t="s">
        <v>66</v>
      </c>
      <c r="H4327" t="s">
        <v>21</v>
      </c>
      <c r="I4327">
        <v>650</v>
      </c>
      <c r="J4327">
        <v>845</v>
      </c>
      <c r="K4327">
        <v>3</v>
      </c>
      <c r="L4327">
        <v>1950</v>
      </c>
      <c r="M4327">
        <v>2535</v>
      </c>
      <c r="N4327" t="s">
        <v>22</v>
      </c>
      <c r="O4327">
        <f t="shared" si="134"/>
        <v>1690</v>
      </c>
      <c r="P4327" s="13">
        <f t="shared" si="135"/>
        <v>1809847</v>
      </c>
      <c r="Q4327" s="13">
        <f>SUMIFS(M:M,E:E,Online_eCommerce[[#This Row],[Status]])</f>
        <v>21233992</v>
      </c>
      <c r="R4327" s="13">
        <f>SUMIFS(L:L,H:H,Online_eCommerce[[#This Row],[Brand]])</f>
        <v>12435650</v>
      </c>
      <c r="S4327" s="13">
        <f>SUMIF(H:H,Online_eCommerce[[#This Row],[Brand]],M:M)</f>
        <v>16166345</v>
      </c>
      <c r="T4327" s="13">
        <f>SUMIF(N:N,Online_eCommerce[[#This Row],[Assigned Supervisor]],L:L)</f>
        <v>13693220</v>
      </c>
    </row>
    <row r="4328" spans="1:20" hidden="1" x14ac:dyDescent="0.3">
      <c r="A4328" t="s">
        <v>6364</v>
      </c>
      <c r="B4328" t="s">
        <v>290</v>
      </c>
      <c r="C4328" t="s">
        <v>16</v>
      </c>
      <c r="D4328" t="s">
        <v>6360</v>
      </c>
      <c r="E4328" t="s">
        <v>18</v>
      </c>
      <c r="F4328" t="s">
        <v>70</v>
      </c>
      <c r="G4328" t="s">
        <v>71</v>
      </c>
      <c r="H4328" t="s">
        <v>61</v>
      </c>
      <c r="I4328">
        <v>7500</v>
      </c>
      <c r="J4328">
        <v>9750</v>
      </c>
      <c r="K4328">
        <v>3</v>
      </c>
      <c r="L4328">
        <v>22500</v>
      </c>
      <c r="M4328">
        <v>29250</v>
      </c>
      <c r="N4328" t="s">
        <v>22</v>
      </c>
      <c r="O4328">
        <f t="shared" si="134"/>
        <v>9750</v>
      </c>
      <c r="P4328" s="13">
        <f t="shared" si="135"/>
        <v>2751814</v>
      </c>
      <c r="Q4328" s="13">
        <f>SUMIFS(M:M,E:E,Online_eCommerce[[#This Row],[Status]])</f>
        <v>28340455</v>
      </c>
      <c r="R4328" s="13">
        <f>SUMIFS(L:L,H:H,Online_eCommerce[[#This Row],[Brand]])</f>
        <v>10950150</v>
      </c>
      <c r="S4328" s="13">
        <f>SUMIF(H:H,Online_eCommerce[[#This Row],[Brand]],M:M)</f>
        <v>14235195</v>
      </c>
      <c r="T4328" s="13">
        <f>SUMIF(N:N,Online_eCommerce[[#This Row],[Assigned Supervisor]],L:L)</f>
        <v>13693220</v>
      </c>
    </row>
    <row r="4329" spans="1:20" hidden="1" x14ac:dyDescent="0.3">
      <c r="A4329" t="s">
        <v>6365</v>
      </c>
      <c r="B4329" t="s">
        <v>15</v>
      </c>
      <c r="C4329" t="s">
        <v>24</v>
      </c>
      <c r="D4329" t="s">
        <v>6360</v>
      </c>
      <c r="E4329" t="s">
        <v>161</v>
      </c>
      <c r="F4329" t="s">
        <v>6348</v>
      </c>
      <c r="G4329" t="s">
        <v>77</v>
      </c>
      <c r="H4329" t="s">
        <v>78</v>
      </c>
      <c r="I4329">
        <v>10000</v>
      </c>
      <c r="J4329">
        <v>13000</v>
      </c>
      <c r="K4329">
        <v>1</v>
      </c>
      <c r="L4329">
        <v>10000</v>
      </c>
      <c r="M4329">
        <v>13000</v>
      </c>
      <c r="N4329" t="s">
        <v>22</v>
      </c>
      <c r="O4329">
        <f t="shared" si="134"/>
        <v>39000</v>
      </c>
      <c r="P4329" s="13">
        <f t="shared" si="135"/>
        <v>2009540</v>
      </c>
      <c r="Q4329" s="13">
        <f>SUMIFS(M:M,E:E,Online_eCommerce[[#This Row],[Status]])</f>
        <v>21103186</v>
      </c>
      <c r="R4329" s="13">
        <f>SUMIFS(L:L,H:H,Online_eCommerce[[#This Row],[Brand]])</f>
        <v>3720000</v>
      </c>
      <c r="S4329" s="13">
        <f>SUMIF(H:H,Online_eCommerce[[#This Row],[Brand]],M:M)</f>
        <v>4836000</v>
      </c>
      <c r="T4329" s="13">
        <f>SUMIF(N:N,Online_eCommerce[[#This Row],[Assigned Supervisor]],L:L)</f>
        <v>13693220</v>
      </c>
    </row>
    <row r="4330" spans="1:20" x14ac:dyDescent="0.3">
      <c r="A4330" t="s">
        <v>6366</v>
      </c>
      <c r="B4330" t="s">
        <v>202</v>
      </c>
      <c r="C4330" t="s">
        <v>31</v>
      </c>
      <c r="D4330" t="s">
        <v>6360</v>
      </c>
      <c r="E4330" t="s">
        <v>46</v>
      </c>
      <c r="F4330" t="s">
        <v>6367</v>
      </c>
      <c r="G4330" t="s">
        <v>20</v>
      </c>
      <c r="H4330" t="s">
        <v>21</v>
      </c>
      <c r="I4330">
        <v>10500</v>
      </c>
      <c r="J4330">
        <v>13650</v>
      </c>
      <c r="K4330">
        <v>1</v>
      </c>
      <c r="L4330">
        <v>10500</v>
      </c>
      <c r="M4330">
        <v>13650</v>
      </c>
      <c r="N4330" t="s">
        <v>22</v>
      </c>
      <c r="O4330">
        <f t="shared" si="134"/>
        <v>8450</v>
      </c>
      <c r="P4330" s="13">
        <f t="shared" si="135"/>
        <v>2865746</v>
      </c>
      <c r="Q4330" s="13">
        <f>SUMIFS(M:M,E:E,Online_eCommerce[[#This Row],[Status]])</f>
        <v>28620410</v>
      </c>
      <c r="R4330" s="13">
        <f>SUMIFS(L:L,H:H,Online_eCommerce[[#This Row],[Brand]])</f>
        <v>12435650</v>
      </c>
      <c r="S4330" s="13">
        <f>SUMIF(H:H,Online_eCommerce[[#This Row],[Brand]],M:M)</f>
        <v>16166345</v>
      </c>
      <c r="T4330" s="13">
        <f>SUMIF(N:N,Online_eCommerce[[#This Row],[Assigned Supervisor]],L:L)</f>
        <v>13693220</v>
      </c>
    </row>
    <row r="4331" spans="1:20" hidden="1" x14ac:dyDescent="0.3">
      <c r="A4331" t="s">
        <v>6368</v>
      </c>
      <c r="B4331" t="s">
        <v>30</v>
      </c>
      <c r="C4331" t="s">
        <v>38</v>
      </c>
      <c r="D4331" t="s">
        <v>6360</v>
      </c>
      <c r="E4331" t="s">
        <v>96</v>
      </c>
      <c r="F4331" t="s">
        <v>88</v>
      </c>
      <c r="G4331" t="s">
        <v>26</v>
      </c>
      <c r="H4331" t="s">
        <v>27</v>
      </c>
      <c r="I4331">
        <v>8500</v>
      </c>
      <c r="J4331">
        <v>11050</v>
      </c>
      <c r="K4331">
        <v>1</v>
      </c>
      <c r="L4331">
        <v>8500</v>
      </c>
      <c r="M4331">
        <v>11050</v>
      </c>
      <c r="N4331" t="s">
        <v>22</v>
      </c>
      <c r="O4331">
        <f t="shared" si="134"/>
        <v>33150</v>
      </c>
      <c r="P4331" s="13">
        <f t="shared" si="135"/>
        <v>1933997</v>
      </c>
      <c r="Q4331" s="13">
        <f>SUMIFS(M:M,E:E,Online_eCommerce[[#This Row],[Status]])</f>
        <v>21233992</v>
      </c>
      <c r="R4331" s="13">
        <f>SUMIFS(L:L,H:H,Online_eCommerce[[#This Row],[Brand]])</f>
        <v>14431000</v>
      </c>
      <c r="S4331" s="13">
        <f>SUMIF(H:H,Online_eCommerce[[#This Row],[Brand]],M:M)</f>
        <v>18760300</v>
      </c>
      <c r="T4331" s="13">
        <f>SUMIF(N:N,Online_eCommerce[[#This Row],[Assigned Supervisor]],L:L)</f>
        <v>13693220</v>
      </c>
    </row>
    <row r="4332" spans="1:20" hidden="1" x14ac:dyDescent="0.3">
      <c r="A4332" t="s">
        <v>6369</v>
      </c>
      <c r="B4332" t="s">
        <v>37</v>
      </c>
      <c r="C4332" t="s">
        <v>45</v>
      </c>
      <c r="D4332" t="s">
        <v>6360</v>
      </c>
      <c r="E4332" t="s">
        <v>18</v>
      </c>
      <c r="F4332" t="s">
        <v>32</v>
      </c>
      <c r="G4332" t="s">
        <v>33</v>
      </c>
      <c r="H4332" t="s">
        <v>34</v>
      </c>
      <c r="I4332">
        <v>7000</v>
      </c>
      <c r="J4332">
        <v>9100</v>
      </c>
      <c r="K4332">
        <v>4</v>
      </c>
      <c r="L4332">
        <v>28000</v>
      </c>
      <c r="M4332">
        <v>36400</v>
      </c>
      <c r="N4332" t="s">
        <v>50</v>
      </c>
      <c r="O4332">
        <f t="shared" si="134"/>
        <v>18200</v>
      </c>
      <c r="P4332" s="13">
        <f t="shared" si="135"/>
        <v>2842554</v>
      </c>
      <c r="Q4332" s="13">
        <f>SUMIFS(M:M,E:E,Online_eCommerce[[#This Row],[Status]])</f>
        <v>28340455</v>
      </c>
      <c r="R4332" s="13">
        <f>SUMIFS(L:L,H:H,Online_eCommerce[[#This Row],[Brand]])</f>
        <v>10087000</v>
      </c>
      <c r="S4332" s="13">
        <f>SUMIF(H:H,Online_eCommerce[[#This Row],[Brand]],M:M)</f>
        <v>13113100</v>
      </c>
      <c r="T4332" s="13">
        <f>SUMIF(N:N,Online_eCommerce[[#This Row],[Assigned Supervisor]],L:L)</f>
        <v>12100590</v>
      </c>
    </row>
    <row r="4333" spans="1:20" hidden="1" x14ac:dyDescent="0.3">
      <c r="A4333" t="s">
        <v>6370</v>
      </c>
      <c r="B4333" t="s">
        <v>44</v>
      </c>
      <c r="C4333" t="s">
        <v>52</v>
      </c>
      <c r="D4333" t="s">
        <v>6360</v>
      </c>
      <c r="E4333" t="s">
        <v>161</v>
      </c>
      <c r="F4333" t="s">
        <v>6371</v>
      </c>
      <c r="G4333" t="s">
        <v>163</v>
      </c>
      <c r="H4333" t="s">
        <v>41</v>
      </c>
      <c r="I4333">
        <v>1680</v>
      </c>
      <c r="J4333">
        <v>2184</v>
      </c>
      <c r="K4333">
        <v>4</v>
      </c>
      <c r="L4333">
        <v>6720</v>
      </c>
      <c r="M4333">
        <v>8736</v>
      </c>
      <c r="N4333" t="s">
        <v>56</v>
      </c>
      <c r="O4333">
        <f t="shared" si="134"/>
        <v>13650</v>
      </c>
      <c r="P4333" s="13">
        <f t="shared" si="135"/>
        <v>1955044</v>
      </c>
      <c r="Q4333" s="13">
        <f>SUMIFS(M:M,E:E,Online_eCommerce[[#This Row],[Status]])</f>
        <v>21103186</v>
      </c>
      <c r="R4333" s="13">
        <f>SUMIFS(L:L,H:H,Online_eCommerce[[#This Row],[Brand]])</f>
        <v>4260400</v>
      </c>
      <c r="S4333" s="13">
        <f>SUMIF(H:H,Online_eCommerce[[#This Row],[Brand]],M:M)</f>
        <v>5538520</v>
      </c>
      <c r="T4333" s="13">
        <f>SUMIF(N:N,Online_eCommerce[[#This Row],[Assigned Supervisor]],L:L)</f>
        <v>11733610</v>
      </c>
    </row>
    <row r="4334" spans="1:20" x14ac:dyDescent="0.3">
      <c r="A4334" t="s">
        <v>6372</v>
      </c>
      <c r="B4334" t="s">
        <v>213</v>
      </c>
      <c r="C4334" t="s">
        <v>58</v>
      </c>
      <c r="D4334" t="s">
        <v>6360</v>
      </c>
      <c r="E4334" t="s">
        <v>46</v>
      </c>
      <c r="F4334" t="s">
        <v>101</v>
      </c>
      <c r="G4334" t="s">
        <v>66</v>
      </c>
      <c r="H4334" t="s">
        <v>102</v>
      </c>
      <c r="I4334">
        <v>6540</v>
      </c>
      <c r="J4334">
        <v>8502</v>
      </c>
      <c r="K4334">
        <v>4</v>
      </c>
      <c r="L4334">
        <v>26160</v>
      </c>
      <c r="M4334">
        <v>34008</v>
      </c>
      <c r="N4334" t="s">
        <v>22</v>
      </c>
      <c r="O4334">
        <f t="shared" si="134"/>
        <v>1690</v>
      </c>
      <c r="P4334" s="13">
        <f t="shared" si="135"/>
        <v>2629211</v>
      </c>
      <c r="Q4334" s="13">
        <f>SUMIFS(M:M,E:E,Online_eCommerce[[#This Row],[Status]])</f>
        <v>28620410</v>
      </c>
      <c r="R4334" s="13">
        <f>SUMIFS(L:L,H:H,Online_eCommerce[[#This Row],[Brand]])</f>
        <v>2465580</v>
      </c>
      <c r="S4334" s="13">
        <f>SUMIF(H:H,Online_eCommerce[[#This Row],[Brand]],M:M)</f>
        <v>3205254</v>
      </c>
      <c r="T4334" s="13">
        <f>SUMIF(N:N,Online_eCommerce[[#This Row],[Assigned Supervisor]],L:L)</f>
        <v>13693220</v>
      </c>
    </row>
    <row r="4335" spans="1:20" hidden="1" x14ac:dyDescent="0.3">
      <c r="A4335" t="s">
        <v>6373</v>
      </c>
      <c r="B4335" t="s">
        <v>215</v>
      </c>
      <c r="C4335" t="s">
        <v>63</v>
      </c>
      <c r="D4335" t="s">
        <v>6360</v>
      </c>
      <c r="E4335" t="s">
        <v>96</v>
      </c>
      <c r="F4335" t="s">
        <v>107</v>
      </c>
      <c r="G4335" t="s">
        <v>54</v>
      </c>
      <c r="H4335" t="s">
        <v>55</v>
      </c>
      <c r="I4335">
        <v>2680</v>
      </c>
      <c r="J4335">
        <v>3484</v>
      </c>
      <c r="K4335">
        <v>3</v>
      </c>
      <c r="L4335">
        <v>8040</v>
      </c>
      <c r="M4335">
        <v>10452</v>
      </c>
      <c r="N4335" t="s">
        <v>28</v>
      </c>
      <c r="O4335">
        <f t="shared" si="134"/>
        <v>2990</v>
      </c>
      <c r="P4335" s="13">
        <f t="shared" si="135"/>
        <v>2016131</v>
      </c>
      <c r="Q4335" s="13">
        <f>SUMIFS(M:M,E:E,Online_eCommerce[[#This Row],[Status]])</f>
        <v>21233992</v>
      </c>
      <c r="R4335" s="13">
        <f>SUMIFS(L:L,H:H,Online_eCommerce[[#This Row],[Brand]])</f>
        <v>2267380</v>
      </c>
      <c r="S4335" s="13">
        <f>SUMIF(H:H,Online_eCommerce[[#This Row],[Brand]],M:M)</f>
        <v>2947594</v>
      </c>
      <c r="T4335" s="13">
        <f>SUMIF(N:N,Online_eCommerce[[#This Row],[Assigned Supervisor]],L:L)</f>
        <v>12220830</v>
      </c>
    </row>
    <row r="4336" spans="1:20" hidden="1" x14ac:dyDescent="0.3">
      <c r="A4336" t="s">
        <v>6374</v>
      </c>
      <c r="B4336" t="s">
        <v>306</v>
      </c>
      <c r="C4336" t="s">
        <v>68</v>
      </c>
      <c r="D4336" t="s">
        <v>6360</v>
      </c>
      <c r="E4336" t="s">
        <v>18</v>
      </c>
      <c r="F4336" t="s">
        <v>112</v>
      </c>
      <c r="G4336" t="s">
        <v>71</v>
      </c>
      <c r="H4336" t="s">
        <v>21</v>
      </c>
      <c r="I4336">
        <v>8250</v>
      </c>
      <c r="J4336">
        <v>10725</v>
      </c>
      <c r="K4336">
        <v>2</v>
      </c>
      <c r="L4336">
        <v>16500</v>
      </c>
      <c r="M4336">
        <v>21450</v>
      </c>
      <c r="N4336" t="s">
        <v>35</v>
      </c>
      <c r="O4336">
        <f t="shared" si="134"/>
        <v>9750</v>
      </c>
      <c r="P4336" s="13">
        <f t="shared" si="135"/>
        <v>2974621</v>
      </c>
      <c r="Q4336" s="13">
        <f>SUMIFS(M:M,E:E,Online_eCommerce[[#This Row],[Status]])</f>
        <v>28340455</v>
      </c>
      <c r="R4336" s="13">
        <f>SUMIFS(L:L,H:H,Online_eCommerce[[#This Row],[Brand]])</f>
        <v>12435650</v>
      </c>
      <c r="S4336" s="13">
        <f>SUMIF(H:H,Online_eCommerce[[#This Row],[Brand]],M:M)</f>
        <v>16166345</v>
      </c>
      <c r="T4336" s="13">
        <f>SUMIF(N:N,Online_eCommerce[[#This Row],[Assigned Supervisor]],L:L)</f>
        <v>14373360</v>
      </c>
    </row>
    <row r="4337" spans="1:20" hidden="1" x14ac:dyDescent="0.3">
      <c r="A4337" t="s">
        <v>6375</v>
      </c>
      <c r="B4337" t="s">
        <v>528</v>
      </c>
      <c r="C4337" t="s">
        <v>74</v>
      </c>
      <c r="D4337" t="s">
        <v>6360</v>
      </c>
      <c r="E4337" t="s">
        <v>161</v>
      </c>
      <c r="F4337" t="s">
        <v>5987</v>
      </c>
      <c r="G4337" t="s">
        <v>40</v>
      </c>
      <c r="H4337" t="s">
        <v>21</v>
      </c>
      <c r="I4337">
        <v>2650</v>
      </c>
      <c r="J4337">
        <v>3445</v>
      </c>
      <c r="K4337">
        <v>2</v>
      </c>
      <c r="L4337">
        <v>5300</v>
      </c>
      <c r="M4337">
        <v>6890</v>
      </c>
      <c r="N4337" t="s">
        <v>42</v>
      </c>
      <c r="O4337">
        <f t="shared" si="134"/>
        <v>25545</v>
      </c>
      <c r="P4337" s="13">
        <f t="shared" si="135"/>
        <v>2144701</v>
      </c>
      <c r="Q4337" s="13">
        <f>SUMIFS(M:M,E:E,Online_eCommerce[[#This Row],[Status]])</f>
        <v>21103186</v>
      </c>
      <c r="R4337" s="13">
        <f>SUMIFS(L:L,H:H,Online_eCommerce[[#This Row],[Brand]])</f>
        <v>12435650</v>
      </c>
      <c r="S4337" s="13">
        <f>SUMIF(H:H,Online_eCommerce[[#This Row],[Brand]],M:M)</f>
        <v>16166345</v>
      </c>
      <c r="T4337" s="13">
        <f>SUMIF(N:N,Online_eCommerce[[#This Row],[Assigned Supervisor]],L:L)</f>
        <v>12261500</v>
      </c>
    </row>
    <row r="4338" spans="1:20" x14ac:dyDescent="0.3">
      <c r="A4338" t="s">
        <v>6376</v>
      </c>
      <c r="B4338" t="s">
        <v>73</v>
      </c>
      <c r="C4338" t="s">
        <v>81</v>
      </c>
      <c r="D4338" t="s">
        <v>6360</v>
      </c>
      <c r="E4338" t="s">
        <v>46</v>
      </c>
      <c r="F4338" t="s">
        <v>121</v>
      </c>
      <c r="G4338" t="s">
        <v>71</v>
      </c>
      <c r="H4338" t="s">
        <v>122</v>
      </c>
      <c r="I4338">
        <v>12550</v>
      </c>
      <c r="J4338">
        <v>16315</v>
      </c>
      <c r="K4338">
        <v>1</v>
      </c>
      <c r="L4338">
        <v>12550</v>
      </c>
      <c r="M4338">
        <v>16315</v>
      </c>
      <c r="N4338" t="s">
        <v>50</v>
      </c>
      <c r="O4338">
        <f t="shared" si="134"/>
        <v>9750</v>
      </c>
      <c r="P4338" s="13">
        <f t="shared" si="135"/>
        <v>2595632</v>
      </c>
      <c r="Q4338" s="13">
        <f>SUMIFS(M:M,E:E,Online_eCommerce[[#This Row],[Status]])</f>
        <v>28620410</v>
      </c>
      <c r="R4338" s="13">
        <f>SUMIFS(L:L,H:H,Online_eCommerce[[#This Row],[Brand]])</f>
        <v>5045100</v>
      </c>
      <c r="S4338" s="13">
        <f>SUMIF(H:H,Online_eCommerce[[#This Row],[Brand]],M:M)</f>
        <v>6558630</v>
      </c>
      <c r="T4338" s="13">
        <f>SUMIF(N:N,Online_eCommerce[[#This Row],[Assigned Supervisor]],L:L)</f>
        <v>12100590</v>
      </c>
    </row>
    <row r="4339" spans="1:20" hidden="1" x14ac:dyDescent="0.3">
      <c r="A4339" t="s">
        <v>6377</v>
      </c>
      <c r="B4339" t="s">
        <v>80</v>
      </c>
      <c r="C4339" t="s">
        <v>86</v>
      </c>
      <c r="D4339" t="s">
        <v>6360</v>
      </c>
      <c r="E4339" t="s">
        <v>96</v>
      </c>
      <c r="F4339" t="s">
        <v>126</v>
      </c>
      <c r="G4339" t="s">
        <v>26</v>
      </c>
      <c r="H4339" t="s">
        <v>27</v>
      </c>
      <c r="I4339">
        <v>14500</v>
      </c>
      <c r="J4339">
        <v>18850</v>
      </c>
      <c r="K4339">
        <v>2</v>
      </c>
      <c r="L4339">
        <v>29000</v>
      </c>
      <c r="M4339">
        <v>37700</v>
      </c>
      <c r="N4339" t="s">
        <v>56</v>
      </c>
      <c r="O4339">
        <f t="shared" si="134"/>
        <v>33150</v>
      </c>
      <c r="P4339" s="13">
        <f t="shared" si="135"/>
        <v>1941225</v>
      </c>
      <c r="Q4339" s="13">
        <f>SUMIFS(M:M,E:E,Online_eCommerce[[#This Row],[Status]])</f>
        <v>21233992</v>
      </c>
      <c r="R4339" s="13">
        <f>SUMIFS(L:L,H:H,Online_eCommerce[[#This Row],[Brand]])</f>
        <v>14431000</v>
      </c>
      <c r="S4339" s="13">
        <f>SUMIF(H:H,Online_eCommerce[[#This Row],[Brand]],M:M)</f>
        <v>18760300</v>
      </c>
      <c r="T4339" s="13">
        <f>SUMIF(N:N,Online_eCommerce[[#This Row],[Assigned Supervisor]],L:L)</f>
        <v>11733610</v>
      </c>
    </row>
    <row r="4340" spans="1:20" hidden="1" x14ac:dyDescent="0.3">
      <c r="A4340" t="s">
        <v>6378</v>
      </c>
      <c r="B4340" t="s">
        <v>85</v>
      </c>
      <c r="C4340" t="s">
        <v>91</v>
      </c>
      <c r="D4340" t="s">
        <v>6360</v>
      </c>
      <c r="E4340" t="s">
        <v>18</v>
      </c>
      <c r="F4340" t="s">
        <v>129</v>
      </c>
      <c r="G4340" t="s">
        <v>60</v>
      </c>
      <c r="H4340" t="s">
        <v>61</v>
      </c>
      <c r="I4340">
        <v>800</v>
      </c>
      <c r="J4340">
        <v>1040</v>
      </c>
      <c r="K4340">
        <v>1</v>
      </c>
      <c r="L4340">
        <v>800</v>
      </c>
      <c r="M4340">
        <v>1040</v>
      </c>
      <c r="N4340" t="s">
        <v>22</v>
      </c>
      <c r="O4340">
        <f t="shared" si="134"/>
        <v>3315</v>
      </c>
      <c r="P4340" s="13">
        <f t="shared" si="135"/>
        <v>2731963</v>
      </c>
      <c r="Q4340" s="13">
        <f>SUMIFS(M:M,E:E,Online_eCommerce[[#This Row],[Status]])</f>
        <v>28340455</v>
      </c>
      <c r="R4340" s="13">
        <f>SUMIFS(L:L,H:H,Online_eCommerce[[#This Row],[Brand]])</f>
        <v>10950150</v>
      </c>
      <c r="S4340" s="13">
        <f>SUMIF(H:H,Online_eCommerce[[#This Row],[Brand]],M:M)</f>
        <v>14235195</v>
      </c>
      <c r="T4340" s="13">
        <f>SUMIF(N:N,Online_eCommerce[[#This Row],[Assigned Supervisor]],L:L)</f>
        <v>13693220</v>
      </c>
    </row>
    <row r="4341" spans="1:20" hidden="1" x14ac:dyDescent="0.3">
      <c r="A4341" t="s">
        <v>6379</v>
      </c>
      <c r="B4341" t="s">
        <v>90</v>
      </c>
      <c r="C4341" t="s">
        <v>94</v>
      </c>
      <c r="D4341" t="s">
        <v>6360</v>
      </c>
      <c r="E4341" t="s">
        <v>161</v>
      </c>
      <c r="F4341" t="s">
        <v>133</v>
      </c>
      <c r="G4341" t="s">
        <v>66</v>
      </c>
      <c r="H4341" t="s">
        <v>21</v>
      </c>
      <c r="I4341">
        <v>600</v>
      </c>
      <c r="J4341">
        <v>780</v>
      </c>
      <c r="K4341">
        <v>3</v>
      </c>
      <c r="L4341">
        <v>1800</v>
      </c>
      <c r="M4341">
        <v>2340</v>
      </c>
      <c r="N4341" t="s">
        <v>28</v>
      </c>
      <c r="O4341">
        <f t="shared" si="134"/>
        <v>1690</v>
      </c>
      <c r="P4341" s="13">
        <f t="shared" si="135"/>
        <v>1868256</v>
      </c>
      <c r="Q4341" s="13">
        <f>SUMIFS(M:M,E:E,Online_eCommerce[[#This Row],[Status]])</f>
        <v>21103186</v>
      </c>
      <c r="R4341" s="13">
        <f>SUMIFS(L:L,H:H,Online_eCommerce[[#This Row],[Brand]])</f>
        <v>12435650</v>
      </c>
      <c r="S4341" s="13">
        <f>SUMIF(H:H,Online_eCommerce[[#This Row],[Brand]],M:M)</f>
        <v>16166345</v>
      </c>
      <c r="T4341" s="13">
        <f>SUMIF(N:N,Online_eCommerce[[#This Row],[Assigned Supervisor]],L:L)</f>
        <v>12220830</v>
      </c>
    </row>
    <row r="4342" spans="1:20" x14ac:dyDescent="0.3">
      <c r="A4342" t="s">
        <v>6380</v>
      </c>
      <c r="B4342" t="s">
        <v>232</v>
      </c>
      <c r="C4342" t="s">
        <v>99</v>
      </c>
      <c r="D4342" t="s">
        <v>6360</v>
      </c>
      <c r="E4342" t="s">
        <v>46</v>
      </c>
      <c r="F4342" t="s">
        <v>137</v>
      </c>
      <c r="G4342" t="s">
        <v>71</v>
      </c>
      <c r="H4342" t="s">
        <v>61</v>
      </c>
      <c r="I4342">
        <v>10500</v>
      </c>
      <c r="J4342">
        <v>13650</v>
      </c>
      <c r="K4342">
        <v>2</v>
      </c>
      <c r="L4342">
        <v>21000</v>
      </c>
      <c r="M4342">
        <v>27300</v>
      </c>
      <c r="N4342" t="s">
        <v>35</v>
      </c>
      <c r="O4342">
        <f t="shared" si="134"/>
        <v>9750</v>
      </c>
      <c r="P4342" s="13">
        <f t="shared" si="135"/>
        <v>2651233</v>
      </c>
      <c r="Q4342" s="13">
        <f>SUMIFS(M:M,E:E,Online_eCommerce[[#This Row],[Status]])</f>
        <v>28620410</v>
      </c>
      <c r="R4342" s="13">
        <f>SUMIFS(L:L,H:H,Online_eCommerce[[#This Row],[Brand]])</f>
        <v>10950150</v>
      </c>
      <c r="S4342" s="13">
        <f>SUMIF(H:H,Online_eCommerce[[#This Row],[Brand]],M:M)</f>
        <v>14235195</v>
      </c>
      <c r="T4342" s="13">
        <f>SUMIF(N:N,Online_eCommerce[[#This Row],[Assigned Supervisor]],L:L)</f>
        <v>14373360</v>
      </c>
    </row>
    <row r="4343" spans="1:20" hidden="1" x14ac:dyDescent="0.3">
      <c r="A4343" t="s">
        <v>6381</v>
      </c>
      <c r="B4343" t="s">
        <v>235</v>
      </c>
      <c r="C4343" t="s">
        <v>105</v>
      </c>
      <c r="D4343" t="s">
        <v>6360</v>
      </c>
      <c r="E4343" t="s">
        <v>96</v>
      </c>
      <c r="F4343" t="s">
        <v>6348</v>
      </c>
      <c r="G4343" t="s">
        <v>77</v>
      </c>
      <c r="H4343" t="s">
        <v>142</v>
      </c>
      <c r="I4343">
        <v>6500</v>
      </c>
      <c r="J4343">
        <v>8450</v>
      </c>
      <c r="K4343">
        <v>4</v>
      </c>
      <c r="L4343">
        <v>26000</v>
      </c>
      <c r="M4343">
        <v>33800</v>
      </c>
      <c r="N4343" t="s">
        <v>42</v>
      </c>
      <c r="O4343">
        <f t="shared" si="134"/>
        <v>39000</v>
      </c>
      <c r="P4343" s="13">
        <f t="shared" si="135"/>
        <v>1866852</v>
      </c>
      <c r="Q4343" s="13">
        <f>SUMIFS(M:M,E:E,Online_eCommerce[[#This Row],[Status]])</f>
        <v>21233992</v>
      </c>
      <c r="R4343" s="13">
        <f>SUMIFS(L:L,H:H,Online_eCommerce[[#This Row],[Brand]])</f>
        <v>6192500</v>
      </c>
      <c r="S4343" s="13">
        <f>SUMIF(H:H,Online_eCommerce[[#This Row],[Brand]],M:M)</f>
        <v>8050250</v>
      </c>
      <c r="T4343" s="13">
        <f>SUMIF(N:N,Online_eCommerce[[#This Row],[Assigned Supervisor]],L:L)</f>
        <v>12261500</v>
      </c>
    </row>
    <row r="4344" spans="1:20" hidden="1" x14ac:dyDescent="0.3">
      <c r="A4344" t="s">
        <v>6382</v>
      </c>
      <c r="B4344" t="s">
        <v>104</v>
      </c>
      <c r="C4344" t="s">
        <v>110</v>
      </c>
      <c r="D4344" t="s">
        <v>6360</v>
      </c>
      <c r="E4344" t="s">
        <v>18</v>
      </c>
      <c r="F4344" t="s">
        <v>6383</v>
      </c>
      <c r="G4344" t="s">
        <v>20</v>
      </c>
      <c r="H4344" t="s">
        <v>21</v>
      </c>
      <c r="I4344">
        <v>4500</v>
      </c>
      <c r="J4344">
        <v>5850</v>
      </c>
      <c r="K4344">
        <v>1</v>
      </c>
      <c r="L4344">
        <v>4500</v>
      </c>
      <c r="M4344">
        <v>5850</v>
      </c>
      <c r="N4344" t="s">
        <v>50</v>
      </c>
      <c r="O4344">
        <f t="shared" si="134"/>
        <v>8450</v>
      </c>
      <c r="P4344" s="13">
        <f t="shared" si="135"/>
        <v>2598635</v>
      </c>
      <c r="Q4344" s="13">
        <f>SUMIFS(M:M,E:E,Online_eCommerce[[#This Row],[Status]])</f>
        <v>28340455</v>
      </c>
      <c r="R4344" s="13">
        <f>SUMIFS(L:L,H:H,Online_eCommerce[[#This Row],[Brand]])</f>
        <v>12435650</v>
      </c>
      <c r="S4344" s="13">
        <f>SUMIF(H:H,Online_eCommerce[[#This Row],[Brand]],M:M)</f>
        <v>16166345</v>
      </c>
      <c r="T4344" s="13">
        <f>SUMIF(N:N,Online_eCommerce[[#This Row],[Assigned Supervisor]],L:L)</f>
        <v>12100590</v>
      </c>
    </row>
    <row r="4345" spans="1:20" hidden="1" x14ac:dyDescent="0.3">
      <c r="A4345" t="s">
        <v>6384</v>
      </c>
      <c r="B4345" t="s">
        <v>109</v>
      </c>
      <c r="C4345" t="s">
        <v>115</v>
      </c>
      <c r="D4345" t="s">
        <v>6360</v>
      </c>
      <c r="E4345" t="s">
        <v>161</v>
      </c>
      <c r="F4345" t="s">
        <v>152</v>
      </c>
      <c r="G4345" t="s">
        <v>26</v>
      </c>
      <c r="H4345" t="s">
        <v>27</v>
      </c>
      <c r="I4345">
        <v>8500</v>
      </c>
      <c r="J4345">
        <v>11050</v>
      </c>
      <c r="K4345">
        <v>4</v>
      </c>
      <c r="L4345">
        <v>34000</v>
      </c>
      <c r="M4345">
        <v>44200</v>
      </c>
      <c r="N4345" t="s">
        <v>56</v>
      </c>
      <c r="O4345">
        <f t="shared" si="134"/>
        <v>33150</v>
      </c>
      <c r="P4345" s="13">
        <f t="shared" si="135"/>
        <v>2050178</v>
      </c>
      <c r="Q4345" s="13">
        <f>SUMIFS(M:M,E:E,Online_eCommerce[[#This Row],[Status]])</f>
        <v>21103186</v>
      </c>
      <c r="R4345" s="13">
        <f>SUMIFS(L:L,H:H,Online_eCommerce[[#This Row],[Brand]])</f>
        <v>14431000</v>
      </c>
      <c r="S4345" s="13">
        <f>SUMIF(H:H,Online_eCommerce[[#This Row],[Brand]],M:M)</f>
        <v>18760300</v>
      </c>
      <c r="T4345" s="13">
        <f>SUMIF(N:N,Online_eCommerce[[#This Row],[Assigned Supervisor]],L:L)</f>
        <v>11733610</v>
      </c>
    </row>
    <row r="4346" spans="1:20" x14ac:dyDescent="0.3">
      <c r="A4346" t="s">
        <v>6385</v>
      </c>
      <c r="B4346" t="s">
        <v>114</v>
      </c>
      <c r="C4346" t="s">
        <v>120</v>
      </c>
      <c r="D4346" t="s">
        <v>6360</v>
      </c>
      <c r="E4346" t="s">
        <v>46</v>
      </c>
      <c r="F4346" t="s">
        <v>157</v>
      </c>
      <c r="G4346" t="s">
        <v>33</v>
      </c>
      <c r="H4346" t="s">
        <v>34</v>
      </c>
      <c r="I4346">
        <v>12500</v>
      </c>
      <c r="J4346">
        <v>16250</v>
      </c>
      <c r="K4346">
        <v>2</v>
      </c>
      <c r="L4346">
        <v>25000</v>
      </c>
      <c r="M4346">
        <v>32500</v>
      </c>
      <c r="N4346" t="s">
        <v>22</v>
      </c>
      <c r="O4346">
        <f t="shared" si="134"/>
        <v>18200</v>
      </c>
      <c r="P4346" s="13">
        <f t="shared" si="135"/>
        <v>2734212</v>
      </c>
      <c r="Q4346" s="13">
        <f>SUMIFS(M:M,E:E,Online_eCommerce[[#This Row],[Status]])</f>
        <v>28620410</v>
      </c>
      <c r="R4346" s="13">
        <f>SUMIFS(L:L,H:H,Online_eCommerce[[#This Row],[Brand]])</f>
        <v>10087000</v>
      </c>
      <c r="S4346" s="13">
        <f>SUMIF(H:H,Online_eCommerce[[#This Row],[Brand]],M:M)</f>
        <v>13113100</v>
      </c>
      <c r="T4346" s="13">
        <f>SUMIF(N:N,Online_eCommerce[[#This Row],[Assigned Supervisor]],L:L)</f>
        <v>13693220</v>
      </c>
    </row>
    <row r="4347" spans="1:20" hidden="1" x14ac:dyDescent="0.3">
      <c r="A4347" t="s">
        <v>6386</v>
      </c>
      <c r="B4347" t="s">
        <v>119</v>
      </c>
      <c r="C4347" t="s">
        <v>125</v>
      </c>
      <c r="D4347" t="s">
        <v>6360</v>
      </c>
      <c r="E4347" t="s">
        <v>96</v>
      </c>
      <c r="F4347" t="s">
        <v>6029</v>
      </c>
      <c r="G4347" t="s">
        <v>256</v>
      </c>
      <c r="H4347" t="s">
        <v>41</v>
      </c>
      <c r="I4347">
        <v>3500</v>
      </c>
      <c r="J4347">
        <v>4550</v>
      </c>
      <c r="K4347">
        <v>1</v>
      </c>
      <c r="L4347">
        <v>3500</v>
      </c>
      <c r="M4347">
        <v>4550</v>
      </c>
      <c r="N4347" t="s">
        <v>28</v>
      </c>
      <c r="O4347">
        <f t="shared" si="134"/>
        <v>9100</v>
      </c>
      <c r="P4347" s="13">
        <f t="shared" si="135"/>
        <v>2091154</v>
      </c>
      <c r="Q4347" s="13">
        <f>SUMIFS(M:M,E:E,Online_eCommerce[[#This Row],[Status]])</f>
        <v>21233992</v>
      </c>
      <c r="R4347" s="13">
        <f>SUMIFS(L:L,H:H,Online_eCommerce[[#This Row],[Brand]])</f>
        <v>4260400</v>
      </c>
      <c r="S4347" s="13">
        <f>SUMIF(H:H,Online_eCommerce[[#This Row],[Brand]],M:M)</f>
        <v>5538520</v>
      </c>
      <c r="T4347" s="13">
        <f>SUMIF(N:N,Online_eCommerce[[#This Row],[Assigned Supervisor]],L:L)</f>
        <v>12220830</v>
      </c>
    </row>
    <row r="4348" spans="1:20" hidden="1" x14ac:dyDescent="0.3">
      <c r="A4348" t="s">
        <v>6387</v>
      </c>
      <c r="B4348" t="s">
        <v>124</v>
      </c>
      <c r="C4348" t="s">
        <v>22</v>
      </c>
      <c r="D4348" t="s">
        <v>6360</v>
      </c>
      <c r="E4348" t="s">
        <v>18</v>
      </c>
      <c r="F4348" t="s">
        <v>166</v>
      </c>
      <c r="G4348" t="s">
        <v>259</v>
      </c>
      <c r="H4348" t="s">
        <v>49</v>
      </c>
      <c r="I4348">
        <v>4500</v>
      </c>
      <c r="J4348">
        <v>5850</v>
      </c>
      <c r="K4348">
        <v>2</v>
      </c>
      <c r="L4348">
        <v>9000</v>
      </c>
      <c r="M4348">
        <v>11700</v>
      </c>
      <c r="N4348" t="s">
        <v>35</v>
      </c>
      <c r="O4348">
        <f t="shared" si="134"/>
        <v>11700</v>
      </c>
      <c r="P4348" s="13">
        <f t="shared" si="135"/>
        <v>2551588</v>
      </c>
      <c r="Q4348" s="13">
        <f>SUMIFS(M:M,E:E,Online_eCommerce[[#This Row],[Status]])</f>
        <v>28340455</v>
      </c>
      <c r="R4348" s="13">
        <f>SUMIFS(L:L,H:H,Online_eCommerce[[#This Row],[Brand]])</f>
        <v>4528350</v>
      </c>
      <c r="S4348" s="13">
        <f>SUMIF(H:H,Online_eCommerce[[#This Row],[Brand]],M:M)</f>
        <v>5886855</v>
      </c>
      <c r="T4348" s="13">
        <f>SUMIF(N:N,Online_eCommerce[[#This Row],[Assigned Supervisor]],L:L)</f>
        <v>14373360</v>
      </c>
    </row>
    <row r="4349" spans="1:20" hidden="1" x14ac:dyDescent="0.3">
      <c r="A4349" t="s">
        <v>6388</v>
      </c>
      <c r="B4349" t="s">
        <v>128</v>
      </c>
      <c r="C4349" t="s">
        <v>132</v>
      </c>
      <c r="D4349" t="s">
        <v>6360</v>
      </c>
      <c r="E4349" t="s">
        <v>161</v>
      </c>
      <c r="F4349" t="s">
        <v>6389</v>
      </c>
      <c r="G4349" t="s">
        <v>54</v>
      </c>
      <c r="H4349" t="s">
        <v>55</v>
      </c>
      <c r="I4349">
        <v>2100</v>
      </c>
      <c r="J4349">
        <v>2730</v>
      </c>
      <c r="K4349">
        <v>1</v>
      </c>
      <c r="L4349">
        <v>2100</v>
      </c>
      <c r="M4349">
        <v>2730</v>
      </c>
      <c r="N4349" t="s">
        <v>42</v>
      </c>
      <c r="O4349">
        <f t="shared" si="134"/>
        <v>2990</v>
      </c>
      <c r="P4349" s="13">
        <f t="shared" si="135"/>
        <v>1989065</v>
      </c>
      <c r="Q4349" s="13">
        <f>SUMIFS(M:M,E:E,Online_eCommerce[[#This Row],[Status]])</f>
        <v>21103186</v>
      </c>
      <c r="R4349" s="13">
        <f>SUMIFS(L:L,H:H,Online_eCommerce[[#This Row],[Brand]])</f>
        <v>2267380</v>
      </c>
      <c r="S4349" s="13">
        <f>SUMIF(H:H,Online_eCommerce[[#This Row],[Brand]],M:M)</f>
        <v>2947594</v>
      </c>
      <c r="T4349" s="13">
        <f>SUMIF(N:N,Online_eCommerce[[#This Row],[Assigned Supervisor]],L:L)</f>
        <v>12261500</v>
      </c>
    </row>
    <row r="4350" spans="1:20" x14ac:dyDescent="0.3">
      <c r="A4350" t="s">
        <v>6390</v>
      </c>
      <c r="B4350" t="s">
        <v>131</v>
      </c>
      <c r="C4350" t="s">
        <v>136</v>
      </c>
      <c r="D4350" t="s">
        <v>6360</v>
      </c>
      <c r="E4350" t="s">
        <v>46</v>
      </c>
      <c r="F4350" t="s">
        <v>174</v>
      </c>
      <c r="G4350" t="s">
        <v>60</v>
      </c>
      <c r="H4350" t="s">
        <v>61</v>
      </c>
      <c r="I4350">
        <v>1150</v>
      </c>
      <c r="J4350">
        <v>1495</v>
      </c>
      <c r="K4350">
        <v>3</v>
      </c>
      <c r="L4350">
        <v>3450</v>
      </c>
      <c r="M4350">
        <v>4485</v>
      </c>
      <c r="N4350" t="s">
        <v>50</v>
      </c>
      <c r="O4350">
        <f t="shared" si="134"/>
        <v>3315</v>
      </c>
      <c r="P4350" s="13">
        <f t="shared" si="135"/>
        <v>2775162</v>
      </c>
      <c r="Q4350" s="13">
        <f>SUMIFS(M:M,E:E,Online_eCommerce[[#This Row],[Status]])</f>
        <v>28620410</v>
      </c>
      <c r="R4350" s="13">
        <f>SUMIFS(L:L,H:H,Online_eCommerce[[#This Row],[Brand]])</f>
        <v>10950150</v>
      </c>
      <c r="S4350" s="13">
        <f>SUMIF(H:H,Online_eCommerce[[#This Row],[Brand]],M:M)</f>
        <v>14235195</v>
      </c>
      <c r="T4350" s="13">
        <f>SUMIF(N:N,Online_eCommerce[[#This Row],[Assigned Supervisor]],L:L)</f>
        <v>12100590</v>
      </c>
    </row>
    <row r="4351" spans="1:20" hidden="1" x14ac:dyDescent="0.3">
      <c r="A4351" t="s">
        <v>6391</v>
      </c>
      <c r="B4351" t="s">
        <v>135</v>
      </c>
      <c r="C4351" t="s">
        <v>140</v>
      </c>
      <c r="D4351" t="s">
        <v>6360</v>
      </c>
      <c r="E4351" t="s">
        <v>96</v>
      </c>
      <c r="F4351" t="s">
        <v>179</v>
      </c>
      <c r="G4351" t="s">
        <v>66</v>
      </c>
      <c r="H4351" t="s">
        <v>21</v>
      </c>
      <c r="I4351">
        <v>350</v>
      </c>
      <c r="J4351">
        <v>455</v>
      </c>
      <c r="K4351">
        <v>2</v>
      </c>
      <c r="L4351">
        <v>700</v>
      </c>
      <c r="M4351">
        <v>910</v>
      </c>
      <c r="N4351" t="s">
        <v>56</v>
      </c>
      <c r="O4351">
        <f t="shared" si="134"/>
        <v>1690</v>
      </c>
      <c r="P4351" s="13">
        <f t="shared" si="135"/>
        <v>2058264</v>
      </c>
      <c r="Q4351" s="13">
        <f>SUMIFS(M:M,E:E,Online_eCommerce[[#This Row],[Status]])</f>
        <v>21233992</v>
      </c>
      <c r="R4351" s="13">
        <f>SUMIFS(L:L,H:H,Online_eCommerce[[#This Row],[Brand]])</f>
        <v>12435650</v>
      </c>
      <c r="S4351" s="13">
        <f>SUMIF(H:H,Online_eCommerce[[#This Row],[Brand]],M:M)</f>
        <v>16166345</v>
      </c>
      <c r="T4351" s="13">
        <f>SUMIF(N:N,Online_eCommerce[[#This Row],[Assigned Supervisor]],L:L)</f>
        <v>11733610</v>
      </c>
    </row>
    <row r="4352" spans="1:20" hidden="1" x14ac:dyDescent="0.3">
      <c r="A4352" t="s">
        <v>6392</v>
      </c>
      <c r="B4352" t="s">
        <v>139</v>
      </c>
      <c r="C4352" t="s">
        <v>145</v>
      </c>
      <c r="D4352" t="s">
        <v>6360</v>
      </c>
      <c r="E4352" t="s">
        <v>18</v>
      </c>
      <c r="F4352" t="s">
        <v>183</v>
      </c>
      <c r="G4352" t="s">
        <v>71</v>
      </c>
      <c r="H4352" t="s">
        <v>61</v>
      </c>
      <c r="I4352">
        <v>9500</v>
      </c>
      <c r="J4352">
        <v>12350</v>
      </c>
      <c r="K4352">
        <v>3</v>
      </c>
      <c r="L4352">
        <v>28500</v>
      </c>
      <c r="M4352">
        <v>37050</v>
      </c>
      <c r="N4352" t="s">
        <v>22</v>
      </c>
      <c r="O4352">
        <f t="shared" si="134"/>
        <v>9750</v>
      </c>
      <c r="P4352" s="13">
        <f t="shared" si="135"/>
        <v>2757859</v>
      </c>
      <c r="Q4352" s="13">
        <f>SUMIFS(M:M,E:E,Online_eCommerce[[#This Row],[Status]])</f>
        <v>28340455</v>
      </c>
      <c r="R4352" s="13">
        <f>SUMIFS(L:L,H:H,Online_eCommerce[[#This Row],[Brand]])</f>
        <v>10950150</v>
      </c>
      <c r="S4352" s="13">
        <f>SUMIF(H:H,Online_eCommerce[[#This Row],[Brand]],M:M)</f>
        <v>14235195</v>
      </c>
      <c r="T4352" s="13">
        <f>SUMIF(N:N,Online_eCommerce[[#This Row],[Assigned Supervisor]],L:L)</f>
        <v>13693220</v>
      </c>
    </row>
    <row r="4353" spans="1:20" hidden="1" x14ac:dyDescent="0.3">
      <c r="A4353" t="s">
        <v>6393</v>
      </c>
      <c r="B4353" t="s">
        <v>144</v>
      </c>
      <c r="C4353" t="s">
        <v>150</v>
      </c>
      <c r="D4353" t="s">
        <v>6360</v>
      </c>
      <c r="E4353" t="s">
        <v>161</v>
      </c>
      <c r="F4353" t="s">
        <v>6394</v>
      </c>
      <c r="G4353" t="s">
        <v>77</v>
      </c>
      <c r="H4353" t="s">
        <v>142</v>
      </c>
      <c r="I4353">
        <v>10000</v>
      </c>
      <c r="J4353">
        <v>13000</v>
      </c>
      <c r="K4353">
        <v>2</v>
      </c>
      <c r="L4353">
        <v>20000</v>
      </c>
      <c r="M4353">
        <v>26000</v>
      </c>
      <c r="N4353" t="s">
        <v>28</v>
      </c>
      <c r="O4353">
        <f t="shared" si="134"/>
        <v>39000</v>
      </c>
      <c r="P4353" s="13">
        <f t="shared" si="135"/>
        <v>2154984</v>
      </c>
      <c r="Q4353" s="13">
        <f>SUMIFS(M:M,E:E,Online_eCommerce[[#This Row],[Status]])</f>
        <v>21103186</v>
      </c>
      <c r="R4353" s="13">
        <f>SUMIFS(L:L,H:H,Online_eCommerce[[#This Row],[Brand]])</f>
        <v>6192500</v>
      </c>
      <c r="S4353" s="13">
        <f>SUMIF(H:H,Online_eCommerce[[#This Row],[Brand]],M:M)</f>
        <v>8050250</v>
      </c>
      <c r="T4353" s="13">
        <f>SUMIF(N:N,Online_eCommerce[[#This Row],[Assigned Supervisor]],L:L)</f>
        <v>12220830</v>
      </c>
    </row>
    <row r="4354" spans="1:20" x14ac:dyDescent="0.3">
      <c r="A4354" t="s">
        <v>6395</v>
      </c>
      <c r="B4354" t="s">
        <v>149</v>
      </c>
      <c r="C4354" t="s">
        <v>155</v>
      </c>
      <c r="D4354" t="s">
        <v>6360</v>
      </c>
      <c r="E4354" t="s">
        <v>46</v>
      </c>
      <c r="F4354" t="s">
        <v>6396</v>
      </c>
      <c r="G4354" t="s">
        <v>20</v>
      </c>
      <c r="H4354" t="s">
        <v>21</v>
      </c>
      <c r="I4354">
        <v>6500</v>
      </c>
      <c r="J4354">
        <v>8450</v>
      </c>
      <c r="K4354">
        <v>2</v>
      </c>
      <c r="L4354">
        <v>13000</v>
      </c>
      <c r="M4354">
        <v>16900</v>
      </c>
      <c r="N4354" t="s">
        <v>35</v>
      </c>
      <c r="O4354">
        <f t="shared" ref="O4354:O4417" si="136">VLOOKUP(G4354,G:M,7,FALSE)</f>
        <v>8450</v>
      </c>
      <c r="P4354" s="13">
        <f t="shared" ref="P4354:P4417" si="137">SUMIFS(M:M,C:C,C4354)</f>
        <v>2753348</v>
      </c>
      <c r="Q4354" s="13">
        <f>SUMIFS(M:M,E:E,Online_eCommerce[[#This Row],[Status]])</f>
        <v>28620410</v>
      </c>
      <c r="R4354" s="13">
        <f>SUMIFS(L:L,H:H,Online_eCommerce[[#This Row],[Brand]])</f>
        <v>12435650</v>
      </c>
      <c r="S4354" s="13">
        <f>SUMIF(H:H,Online_eCommerce[[#This Row],[Brand]],M:M)</f>
        <v>16166345</v>
      </c>
      <c r="T4354" s="13">
        <f>SUMIF(N:N,Online_eCommerce[[#This Row],[Assigned Supervisor]],L:L)</f>
        <v>14373360</v>
      </c>
    </row>
    <row r="4355" spans="1:20" hidden="1" x14ac:dyDescent="0.3">
      <c r="A4355" t="s">
        <v>6397</v>
      </c>
      <c r="B4355" t="s">
        <v>154</v>
      </c>
      <c r="C4355" t="s">
        <v>160</v>
      </c>
      <c r="D4355" t="s">
        <v>6360</v>
      </c>
      <c r="E4355" t="s">
        <v>96</v>
      </c>
      <c r="F4355" t="s">
        <v>6398</v>
      </c>
      <c r="G4355" t="s">
        <v>26</v>
      </c>
      <c r="H4355" t="s">
        <v>27</v>
      </c>
      <c r="I4355">
        <v>8500</v>
      </c>
      <c r="J4355">
        <v>11050</v>
      </c>
      <c r="K4355">
        <v>2</v>
      </c>
      <c r="L4355">
        <v>17000</v>
      </c>
      <c r="M4355">
        <v>22100</v>
      </c>
      <c r="N4355" t="s">
        <v>42</v>
      </c>
      <c r="O4355">
        <f t="shared" si="136"/>
        <v>33150</v>
      </c>
      <c r="P4355" s="13">
        <f t="shared" si="137"/>
        <v>2303483</v>
      </c>
      <c r="Q4355" s="13">
        <f>SUMIFS(M:M,E:E,Online_eCommerce[[#This Row],[Status]])</f>
        <v>21233992</v>
      </c>
      <c r="R4355" s="13">
        <f>SUMIFS(L:L,H:H,Online_eCommerce[[#This Row],[Brand]])</f>
        <v>14431000</v>
      </c>
      <c r="S4355" s="13">
        <f>SUMIF(H:H,Online_eCommerce[[#This Row],[Brand]],M:M)</f>
        <v>18760300</v>
      </c>
      <c r="T4355" s="13">
        <f>SUMIF(N:N,Online_eCommerce[[#This Row],[Assigned Supervisor]],L:L)</f>
        <v>12261500</v>
      </c>
    </row>
    <row r="4356" spans="1:20" hidden="1" x14ac:dyDescent="0.3">
      <c r="A4356" t="s">
        <v>6399</v>
      </c>
      <c r="B4356" t="s">
        <v>159</v>
      </c>
      <c r="C4356" t="s">
        <v>165</v>
      </c>
      <c r="D4356" t="s">
        <v>6360</v>
      </c>
      <c r="E4356" t="s">
        <v>18</v>
      </c>
      <c r="F4356" t="s">
        <v>32</v>
      </c>
      <c r="G4356" t="s">
        <v>33</v>
      </c>
      <c r="H4356" t="s">
        <v>34</v>
      </c>
      <c r="I4356">
        <v>7000</v>
      </c>
      <c r="J4356">
        <v>9100</v>
      </c>
      <c r="K4356">
        <v>2</v>
      </c>
      <c r="L4356">
        <v>14000</v>
      </c>
      <c r="M4356">
        <v>18200</v>
      </c>
      <c r="N4356" t="s">
        <v>50</v>
      </c>
      <c r="O4356">
        <f t="shared" si="136"/>
        <v>18200</v>
      </c>
      <c r="P4356" s="13">
        <f t="shared" si="137"/>
        <v>2674087</v>
      </c>
      <c r="Q4356" s="13">
        <f>SUMIFS(M:M,E:E,Online_eCommerce[[#This Row],[Status]])</f>
        <v>28340455</v>
      </c>
      <c r="R4356" s="13">
        <f>SUMIFS(L:L,H:H,Online_eCommerce[[#This Row],[Brand]])</f>
        <v>10087000</v>
      </c>
      <c r="S4356" s="13">
        <f>SUMIF(H:H,Online_eCommerce[[#This Row],[Brand]],M:M)</f>
        <v>13113100</v>
      </c>
      <c r="T4356" s="13">
        <f>SUMIF(N:N,Online_eCommerce[[#This Row],[Assigned Supervisor]],L:L)</f>
        <v>12100590</v>
      </c>
    </row>
    <row r="4357" spans="1:20" hidden="1" x14ac:dyDescent="0.3">
      <c r="A4357" t="s">
        <v>6400</v>
      </c>
      <c r="B4357" t="s">
        <v>139</v>
      </c>
      <c r="C4357" t="s">
        <v>168</v>
      </c>
      <c r="D4357" t="s">
        <v>6360</v>
      </c>
      <c r="E4357" t="s">
        <v>161</v>
      </c>
      <c r="F4357" t="s">
        <v>6401</v>
      </c>
      <c r="G4357" t="s">
        <v>256</v>
      </c>
      <c r="H4357" t="s">
        <v>41</v>
      </c>
      <c r="I4357">
        <v>6550</v>
      </c>
      <c r="J4357">
        <v>8515</v>
      </c>
      <c r="K4357">
        <v>1</v>
      </c>
      <c r="L4357">
        <v>6550</v>
      </c>
      <c r="M4357">
        <v>8515</v>
      </c>
      <c r="N4357" t="s">
        <v>56</v>
      </c>
      <c r="O4357">
        <f t="shared" si="136"/>
        <v>9100</v>
      </c>
      <c r="P4357" s="13">
        <f t="shared" si="137"/>
        <v>1937780</v>
      </c>
      <c r="Q4357" s="13">
        <f>SUMIFS(M:M,E:E,Online_eCommerce[[#This Row],[Status]])</f>
        <v>21103186</v>
      </c>
      <c r="R4357" s="13">
        <f>SUMIFS(L:L,H:H,Online_eCommerce[[#This Row],[Brand]])</f>
        <v>4260400</v>
      </c>
      <c r="S4357" s="13">
        <f>SUMIF(H:H,Online_eCommerce[[#This Row],[Brand]],M:M)</f>
        <v>5538520</v>
      </c>
      <c r="T4357" s="13">
        <f>SUMIF(N:N,Online_eCommerce[[#This Row],[Assigned Supervisor]],L:L)</f>
        <v>11733610</v>
      </c>
    </row>
    <row r="4358" spans="1:20" x14ac:dyDescent="0.3">
      <c r="A4358" t="s">
        <v>6402</v>
      </c>
      <c r="B4358" t="s">
        <v>144</v>
      </c>
      <c r="C4358" t="s">
        <v>172</v>
      </c>
      <c r="D4358" t="s">
        <v>6360</v>
      </c>
      <c r="E4358" t="s">
        <v>46</v>
      </c>
      <c r="F4358" t="s">
        <v>47</v>
      </c>
      <c r="G4358" t="s">
        <v>259</v>
      </c>
      <c r="H4358" t="s">
        <v>49</v>
      </c>
      <c r="I4358">
        <v>7650</v>
      </c>
      <c r="J4358">
        <v>9945</v>
      </c>
      <c r="K4358">
        <v>1</v>
      </c>
      <c r="L4358">
        <v>7650</v>
      </c>
      <c r="M4358">
        <v>9945</v>
      </c>
      <c r="N4358" t="s">
        <v>22</v>
      </c>
      <c r="O4358">
        <f t="shared" si="136"/>
        <v>11700</v>
      </c>
      <c r="P4358" s="13">
        <f t="shared" si="137"/>
        <v>2640274</v>
      </c>
      <c r="Q4358" s="13">
        <f>SUMIFS(M:M,E:E,Online_eCommerce[[#This Row],[Status]])</f>
        <v>28620410</v>
      </c>
      <c r="R4358" s="13">
        <f>SUMIFS(L:L,H:H,Online_eCommerce[[#This Row],[Brand]])</f>
        <v>4528350</v>
      </c>
      <c r="S4358" s="13">
        <f>SUMIF(H:H,Online_eCommerce[[#This Row],[Brand]],M:M)</f>
        <v>5886855</v>
      </c>
      <c r="T4358" s="13">
        <f>SUMIF(N:N,Online_eCommerce[[#This Row],[Assigned Supervisor]],L:L)</f>
        <v>13693220</v>
      </c>
    </row>
    <row r="4359" spans="1:20" hidden="1" x14ac:dyDescent="0.3">
      <c r="A4359" t="s">
        <v>6403</v>
      </c>
      <c r="B4359" t="s">
        <v>235</v>
      </c>
      <c r="C4359" t="s">
        <v>177</v>
      </c>
      <c r="D4359" t="s">
        <v>6360</v>
      </c>
      <c r="E4359" t="s">
        <v>96</v>
      </c>
      <c r="F4359" t="s">
        <v>53</v>
      </c>
      <c r="G4359" t="s">
        <v>54</v>
      </c>
      <c r="H4359" t="s">
        <v>55</v>
      </c>
      <c r="I4359">
        <v>1150</v>
      </c>
      <c r="J4359">
        <v>1495</v>
      </c>
      <c r="K4359">
        <v>1</v>
      </c>
      <c r="L4359">
        <v>1150</v>
      </c>
      <c r="M4359">
        <v>1495</v>
      </c>
      <c r="N4359" t="s">
        <v>28</v>
      </c>
      <c r="O4359">
        <f t="shared" si="136"/>
        <v>2990</v>
      </c>
      <c r="P4359" s="13">
        <f t="shared" si="137"/>
        <v>1863810</v>
      </c>
      <c r="Q4359" s="13">
        <f>SUMIFS(M:M,E:E,Online_eCommerce[[#This Row],[Status]])</f>
        <v>21233992</v>
      </c>
      <c r="R4359" s="13">
        <f>SUMIFS(L:L,H:H,Online_eCommerce[[#This Row],[Brand]])</f>
        <v>2267380</v>
      </c>
      <c r="S4359" s="13">
        <f>SUMIF(H:H,Online_eCommerce[[#This Row],[Brand]],M:M)</f>
        <v>2947594</v>
      </c>
      <c r="T4359" s="13">
        <f>SUMIF(N:N,Online_eCommerce[[#This Row],[Assigned Supervisor]],L:L)</f>
        <v>12220830</v>
      </c>
    </row>
    <row r="4360" spans="1:20" hidden="1" x14ac:dyDescent="0.3">
      <c r="A4360" t="s">
        <v>6404</v>
      </c>
      <c r="B4360" t="s">
        <v>176</v>
      </c>
      <c r="C4360" t="s">
        <v>181</v>
      </c>
      <c r="D4360" t="s">
        <v>6360</v>
      </c>
      <c r="E4360" t="s">
        <v>18</v>
      </c>
      <c r="F4360" t="s">
        <v>59</v>
      </c>
      <c r="G4360" t="s">
        <v>60</v>
      </c>
      <c r="H4360" t="s">
        <v>61</v>
      </c>
      <c r="I4360">
        <v>850</v>
      </c>
      <c r="J4360">
        <v>1105</v>
      </c>
      <c r="K4360">
        <v>1</v>
      </c>
      <c r="L4360">
        <v>850</v>
      </c>
      <c r="M4360">
        <v>1105</v>
      </c>
      <c r="N4360" t="s">
        <v>22</v>
      </c>
      <c r="O4360">
        <f t="shared" si="136"/>
        <v>3315</v>
      </c>
      <c r="P4360" s="13">
        <f t="shared" si="137"/>
        <v>2577458</v>
      </c>
      <c r="Q4360" s="13">
        <f>SUMIFS(M:M,E:E,Online_eCommerce[[#This Row],[Status]])</f>
        <v>28340455</v>
      </c>
      <c r="R4360" s="13">
        <f>SUMIFS(L:L,H:H,Online_eCommerce[[#This Row],[Brand]])</f>
        <v>10950150</v>
      </c>
      <c r="S4360" s="13">
        <f>SUMIF(H:H,Online_eCommerce[[#This Row],[Brand]],M:M)</f>
        <v>14235195</v>
      </c>
      <c r="T4360" s="13">
        <f>SUMIF(N:N,Online_eCommerce[[#This Row],[Assigned Supervisor]],L:L)</f>
        <v>13693220</v>
      </c>
    </row>
    <row r="4361" spans="1:20" hidden="1" x14ac:dyDescent="0.3">
      <c r="A4361" t="s">
        <v>6405</v>
      </c>
      <c r="B4361" t="s">
        <v>276</v>
      </c>
      <c r="C4361" t="s">
        <v>185</v>
      </c>
      <c r="D4361" t="s">
        <v>6360</v>
      </c>
      <c r="E4361" t="s">
        <v>161</v>
      </c>
      <c r="F4361" t="s">
        <v>65</v>
      </c>
      <c r="G4361" t="s">
        <v>66</v>
      </c>
      <c r="H4361" t="s">
        <v>21</v>
      </c>
      <c r="I4361">
        <v>650</v>
      </c>
      <c r="J4361">
        <v>845</v>
      </c>
      <c r="K4361">
        <v>1</v>
      </c>
      <c r="L4361">
        <v>650</v>
      </c>
      <c r="M4361">
        <v>845</v>
      </c>
      <c r="N4361" t="s">
        <v>22</v>
      </c>
      <c r="O4361">
        <f t="shared" si="136"/>
        <v>1690</v>
      </c>
      <c r="P4361" s="13">
        <f t="shared" si="137"/>
        <v>2091596</v>
      </c>
      <c r="Q4361" s="13">
        <f>SUMIFS(M:M,E:E,Online_eCommerce[[#This Row],[Status]])</f>
        <v>21103186</v>
      </c>
      <c r="R4361" s="13">
        <f>SUMIFS(L:L,H:H,Online_eCommerce[[#This Row],[Brand]])</f>
        <v>12435650</v>
      </c>
      <c r="S4361" s="13">
        <f>SUMIF(H:H,Online_eCommerce[[#This Row],[Brand]],M:M)</f>
        <v>16166345</v>
      </c>
      <c r="T4361" s="13">
        <f>SUMIF(N:N,Online_eCommerce[[#This Row],[Assigned Supervisor]],L:L)</f>
        <v>13693220</v>
      </c>
    </row>
    <row r="4362" spans="1:20" x14ac:dyDescent="0.3">
      <c r="A4362" t="s">
        <v>6406</v>
      </c>
      <c r="B4362" t="s">
        <v>280</v>
      </c>
      <c r="C4362" t="s">
        <v>189</v>
      </c>
      <c r="D4362" t="s">
        <v>6407</v>
      </c>
      <c r="E4362" t="s">
        <v>46</v>
      </c>
      <c r="F4362" t="s">
        <v>70</v>
      </c>
      <c r="G4362" t="s">
        <v>71</v>
      </c>
      <c r="H4362" t="s">
        <v>61</v>
      </c>
      <c r="I4362">
        <v>7500</v>
      </c>
      <c r="J4362">
        <v>9750</v>
      </c>
      <c r="K4362">
        <v>1</v>
      </c>
      <c r="L4362">
        <v>7500</v>
      </c>
      <c r="M4362">
        <v>9750</v>
      </c>
      <c r="N4362" t="s">
        <v>22</v>
      </c>
      <c r="O4362">
        <f t="shared" si="136"/>
        <v>9750</v>
      </c>
      <c r="P4362" s="13">
        <f t="shared" si="137"/>
        <v>2740777</v>
      </c>
      <c r="Q4362" s="13">
        <f>SUMIFS(M:M,E:E,Online_eCommerce[[#This Row],[Status]])</f>
        <v>28620410</v>
      </c>
      <c r="R4362" s="13">
        <f>SUMIFS(L:L,H:H,Online_eCommerce[[#This Row],[Brand]])</f>
        <v>10950150</v>
      </c>
      <c r="S4362" s="13">
        <f>SUMIF(H:H,Online_eCommerce[[#This Row],[Brand]],M:M)</f>
        <v>14235195</v>
      </c>
      <c r="T4362" s="13">
        <f>SUMIF(N:N,Online_eCommerce[[#This Row],[Assigned Supervisor]],L:L)</f>
        <v>13693220</v>
      </c>
    </row>
    <row r="4363" spans="1:20" hidden="1" x14ac:dyDescent="0.3">
      <c r="A4363" t="s">
        <v>6408</v>
      </c>
      <c r="B4363" t="s">
        <v>283</v>
      </c>
      <c r="C4363" t="s">
        <v>193</v>
      </c>
      <c r="D4363" t="s">
        <v>6407</v>
      </c>
      <c r="E4363" t="s">
        <v>96</v>
      </c>
      <c r="F4363" t="s">
        <v>6394</v>
      </c>
      <c r="G4363" t="s">
        <v>77</v>
      </c>
      <c r="H4363" t="s">
        <v>78</v>
      </c>
      <c r="I4363">
        <v>10000</v>
      </c>
      <c r="J4363">
        <v>13000</v>
      </c>
      <c r="K4363">
        <v>1</v>
      </c>
      <c r="L4363">
        <v>10000</v>
      </c>
      <c r="M4363">
        <v>13000</v>
      </c>
      <c r="N4363" t="s">
        <v>22</v>
      </c>
      <c r="O4363">
        <f t="shared" si="136"/>
        <v>39000</v>
      </c>
      <c r="P4363" s="13">
        <f t="shared" si="137"/>
        <v>2074774</v>
      </c>
      <c r="Q4363" s="13">
        <f>SUMIFS(M:M,E:E,Online_eCommerce[[#This Row],[Status]])</f>
        <v>21233992</v>
      </c>
      <c r="R4363" s="13">
        <f>SUMIFS(L:L,H:H,Online_eCommerce[[#This Row],[Brand]])</f>
        <v>3720000</v>
      </c>
      <c r="S4363" s="13">
        <f>SUMIF(H:H,Online_eCommerce[[#This Row],[Brand]],M:M)</f>
        <v>4836000</v>
      </c>
      <c r="T4363" s="13">
        <f>SUMIF(N:N,Online_eCommerce[[#This Row],[Assigned Supervisor]],L:L)</f>
        <v>13693220</v>
      </c>
    </row>
    <row r="4364" spans="1:20" hidden="1" x14ac:dyDescent="0.3">
      <c r="A4364" t="s">
        <v>6409</v>
      </c>
      <c r="B4364" t="s">
        <v>287</v>
      </c>
      <c r="C4364" t="s">
        <v>197</v>
      </c>
      <c r="D4364" t="s">
        <v>6407</v>
      </c>
      <c r="E4364" t="s">
        <v>18</v>
      </c>
      <c r="F4364" t="s">
        <v>6410</v>
      </c>
      <c r="G4364" t="s">
        <v>20</v>
      </c>
      <c r="H4364" t="s">
        <v>21</v>
      </c>
      <c r="I4364">
        <v>10500</v>
      </c>
      <c r="J4364">
        <v>13650</v>
      </c>
      <c r="K4364">
        <v>4</v>
      </c>
      <c r="L4364">
        <v>42000</v>
      </c>
      <c r="M4364">
        <v>54600</v>
      </c>
      <c r="N4364" t="s">
        <v>22</v>
      </c>
      <c r="O4364">
        <f t="shared" si="136"/>
        <v>8450</v>
      </c>
      <c r="P4364" s="13">
        <f t="shared" si="137"/>
        <v>2829840</v>
      </c>
      <c r="Q4364" s="13">
        <f>SUMIFS(M:M,E:E,Online_eCommerce[[#This Row],[Status]])</f>
        <v>28340455</v>
      </c>
      <c r="R4364" s="13">
        <f>SUMIFS(L:L,H:H,Online_eCommerce[[#This Row],[Brand]])</f>
        <v>12435650</v>
      </c>
      <c r="S4364" s="13">
        <f>SUMIF(H:H,Online_eCommerce[[#This Row],[Brand]],M:M)</f>
        <v>16166345</v>
      </c>
      <c r="T4364" s="13">
        <f>SUMIF(N:N,Online_eCommerce[[#This Row],[Assigned Supervisor]],L:L)</f>
        <v>13693220</v>
      </c>
    </row>
    <row r="4365" spans="1:20" hidden="1" x14ac:dyDescent="0.3">
      <c r="A4365" t="s">
        <v>6411</v>
      </c>
      <c r="B4365" t="s">
        <v>290</v>
      </c>
      <c r="C4365" t="s">
        <v>199</v>
      </c>
      <c r="D4365" t="s">
        <v>6407</v>
      </c>
      <c r="E4365" t="s">
        <v>161</v>
      </c>
      <c r="F4365" t="s">
        <v>88</v>
      </c>
      <c r="G4365" t="s">
        <v>26</v>
      </c>
      <c r="H4365" t="s">
        <v>27</v>
      </c>
      <c r="I4365">
        <v>8500</v>
      </c>
      <c r="J4365">
        <v>11050</v>
      </c>
      <c r="K4365">
        <v>3</v>
      </c>
      <c r="L4365">
        <v>25500</v>
      </c>
      <c r="M4365">
        <v>33150</v>
      </c>
      <c r="N4365" t="s">
        <v>22</v>
      </c>
      <c r="O4365">
        <f t="shared" si="136"/>
        <v>33150</v>
      </c>
      <c r="P4365" s="13">
        <f t="shared" si="137"/>
        <v>1947361</v>
      </c>
      <c r="Q4365" s="13">
        <f>SUMIFS(M:M,E:E,Online_eCommerce[[#This Row],[Status]])</f>
        <v>21103186</v>
      </c>
      <c r="R4365" s="13">
        <f>SUMIFS(L:L,H:H,Online_eCommerce[[#This Row],[Brand]])</f>
        <v>14431000</v>
      </c>
      <c r="S4365" s="13">
        <f>SUMIF(H:H,Online_eCommerce[[#This Row],[Brand]],M:M)</f>
        <v>18760300</v>
      </c>
      <c r="T4365" s="13">
        <f>SUMIF(N:N,Online_eCommerce[[#This Row],[Assigned Supervisor]],L:L)</f>
        <v>13693220</v>
      </c>
    </row>
    <row r="4366" spans="1:20" x14ac:dyDescent="0.3">
      <c r="A4366" t="s">
        <v>6412</v>
      </c>
      <c r="B4366" t="s">
        <v>15</v>
      </c>
      <c r="C4366" t="s">
        <v>203</v>
      </c>
      <c r="D4366" t="s">
        <v>6407</v>
      </c>
      <c r="E4366" t="s">
        <v>46</v>
      </c>
      <c r="F4366" t="s">
        <v>32</v>
      </c>
      <c r="G4366" t="s">
        <v>33</v>
      </c>
      <c r="H4366" t="s">
        <v>34</v>
      </c>
      <c r="I4366">
        <v>7000</v>
      </c>
      <c r="J4366">
        <v>9100</v>
      </c>
      <c r="K4366">
        <v>1</v>
      </c>
      <c r="L4366">
        <v>7000</v>
      </c>
      <c r="M4366">
        <v>9100</v>
      </c>
      <c r="N4366" t="s">
        <v>22</v>
      </c>
      <c r="O4366">
        <f t="shared" si="136"/>
        <v>18200</v>
      </c>
      <c r="P4366" s="13">
        <f t="shared" si="137"/>
        <v>2559635</v>
      </c>
      <c r="Q4366" s="13">
        <f>SUMIFS(M:M,E:E,Online_eCommerce[[#This Row],[Status]])</f>
        <v>28620410</v>
      </c>
      <c r="R4366" s="13">
        <f>SUMIFS(L:L,H:H,Online_eCommerce[[#This Row],[Brand]])</f>
        <v>10087000</v>
      </c>
      <c r="S4366" s="13">
        <f>SUMIF(H:H,Online_eCommerce[[#This Row],[Brand]],M:M)</f>
        <v>13113100</v>
      </c>
      <c r="T4366" s="13">
        <f>SUMIF(N:N,Online_eCommerce[[#This Row],[Assigned Supervisor]],L:L)</f>
        <v>13693220</v>
      </c>
    </row>
    <row r="4367" spans="1:20" hidden="1" x14ac:dyDescent="0.3">
      <c r="A4367" t="s">
        <v>6413</v>
      </c>
      <c r="B4367" t="s">
        <v>202</v>
      </c>
      <c r="C4367" t="s">
        <v>205</v>
      </c>
      <c r="D4367" t="s">
        <v>6407</v>
      </c>
      <c r="E4367" t="s">
        <v>96</v>
      </c>
      <c r="F4367" t="s">
        <v>6414</v>
      </c>
      <c r="G4367" t="s">
        <v>256</v>
      </c>
      <c r="H4367" t="s">
        <v>41</v>
      </c>
      <c r="I4367">
        <v>1680</v>
      </c>
      <c r="J4367">
        <v>2184</v>
      </c>
      <c r="K4367">
        <v>2</v>
      </c>
      <c r="L4367">
        <v>3360</v>
      </c>
      <c r="M4367">
        <v>4368</v>
      </c>
      <c r="N4367" t="s">
        <v>22</v>
      </c>
      <c r="O4367">
        <f t="shared" si="136"/>
        <v>9100</v>
      </c>
      <c r="P4367" s="13">
        <f t="shared" si="137"/>
        <v>1983254</v>
      </c>
      <c r="Q4367" s="13">
        <f>SUMIFS(M:M,E:E,Online_eCommerce[[#This Row],[Status]])</f>
        <v>21233992</v>
      </c>
      <c r="R4367" s="13">
        <f>SUMIFS(L:L,H:H,Online_eCommerce[[#This Row],[Brand]])</f>
        <v>4260400</v>
      </c>
      <c r="S4367" s="13">
        <f>SUMIF(H:H,Online_eCommerce[[#This Row],[Brand]],M:M)</f>
        <v>5538520</v>
      </c>
      <c r="T4367" s="13">
        <f>SUMIF(N:N,Online_eCommerce[[#This Row],[Assigned Supervisor]],L:L)</f>
        <v>13693220</v>
      </c>
    </row>
    <row r="4368" spans="1:20" hidden="1" x14ac:dyDescent="0.3">
      <c r="A4368" t="s">
        <v>6415</v>
      </c>
      <c r="B4368" t="s">
        <v>30</v>
      </c>
      <c r="C4368" t="s">
        <v>208</v>
      </c>
      <c r="D4368" t="s">
        <v>6407</v>
      </c>
      <c r="E4368" t="s">
        <v>18</v>
      </c>
      <c r="F4368" t="s">
        <v>101</v>
      </c>
      <c r="G4368" t="s">
        <v>259</v>
      </c>
      <c r="H4368" t="s">
        <v>102</v>
      </c>
      <c r="I4368">
        <v>6540</v>
      </c>
      <c r="J4368">
        <v>8502</v>
      </c>
      <c r="K4368">
        <v>3</v>
      </c>
      <c r="L4368">
        <v>19620</v>
      </c>
      <c r="M4368">
        <v>25506</v>
      </c>
      <c r="N4368" t="s">
        <v>22</v>
      </c>
      <c r="O4368">
        <f t="shared" si="136"/>
        <v>11700</v>
      </c>
      <c r="P4368" s="13">
        <f t="shared" si="137"/>
        <v>2746575</v>
      </c>
      <c r="Q4368" s="13">
        <f>SUMIFS(M:M,E:E,Online_eCommerce[[#This Row],[Status]])</f>
        <v>28340455</v>
      </c>
      <c r="R4368" s="13">
        <f>SUMIFS(L:L,H:H,Online_eCommerce[[#This Row],[Brand]])</f>
        <v>2465580</v>
      </c>
      <c r="S4368" s="13">
        <f>SUMIF(H:H,Online_eCommerce[[#This Row],[Brand]],M:M)</f>
        <v>3205254</v>
      </c>
      <c r="T4368" s="13">
        <f>SUMIF(N:N,Online_eCommerce[[#This Row],[Assigned Supervisor]],L:L)</f>
        <v>13693220</v>
      </c>
    </row>
    <row r="4369" spans="1:20" hidden="1" x14ac:dyDescent="0.3">
      <c r="A4369" t="s">
        <v>6416</v>
      </c>
      <c r="B4369" t="s">
        <v>37</v>
      </c>
      <c r="C4369" t="s">
        <v>211</v>
      </c>
      <c r="D4369" t="s">
        <v>6407</v>
      </c>
      <c r="E4369" t="s">
        <v>161</v>
      </c>
      <c r="F4369" t="s">
        <v>107</v>
      </c>
      <c r="G4369" t="s">
        <v>54</v>
      </c>
      <c r="H4369" t="s">
        <v>55</v>
      </c>
      <c r="I4369">
        <v>2680</v>
      </c>
      <c r="J4369">
        <v>3484</v>
      </c>
      <c r="K4369">
        <v>2</v>
      </c>
      <c r="L4369">
        <v>5360</v>
      </c>
      <c r="M4369">
        <v>6968</v>
      </c>
      <c r="N4369" t="s">
        <v>22</v>
      </c>
      <c r="O4369">
        <f t="shared" si="136"/>
        <v>2990</v>
      </c>
      <c r="P4369" s="13">
        <f t="shared" si="137"/>
        <v>1809847</v>
      </c>
      <c r="Q4369" s="13">
        <f>SUMIFS(M:M,E:E,Online_eCommerce[[#This Row],[Status]])</f>
        <v>21103186</v>
      </c>
      <c r="R4369" s="13">
        <f>SUMIFS(L:L,H:H,Online_eCommerce[[#This Row],[Brand]])</f>
        <v>2267380</v>
      </c>
      <c r="S4369" s="13">
        <f>SUMIF(H:H,Online_eCommerce[[#This Row],[Brand]],M:M)</f>
        <v>2947594</v>
      </c>
      <c r="T4369" s="13">
        <f>SUMIF(N:N,Online_eCommerce[[#This Row],[Assigned Supervisor]],L:L)</f>
        <v>13693220</v>
      </c>
    </row>
    <row r="4370" spans="1:20" x14ac:dyDescent="0.3">
      <c r="A4370" t="s">
        <v>6417</v>
      </c>
      <c r="B4370" t="s">
        <v>44</v>
      </c>
      <c r="C4370" t="s">
        <v>16</v>
      </c>
      <c r="D4370" t="s">
        <v>6407</v>
      </c>
      <c r="E4370" t="s">
        <v>46</v>
      </c>
      <c r="F4370" t="s">
        <v>112</v>
      </c>
      <c r="G4370" t="s">
        <v>71</v>
      </c>
      <c r="H4370" t="s">
        <v>21</v>
      </c>
      <c r="I4370">
        <v>8250</v>
      </c>
      <c r="J4370">
        <v>10725</v>
      </c>
      <c r="K4370">
        <v>3</v>
      </c>
      <c r="L4370">
        <v>24750</v>
      </c>
      <c r="M4370">
        <v>32175</v>
      </c>
      <c r="N4370" t="s">
        <v>22</v>
      </c>
      <c r="O4370">
        <f t="shared" si="136"/>
        <v>9750</v>
      </c>
      <c r="P4370" s="13">
        <f t="shared" si="137"/>
        <v>2751814</v>
      </c>
      <c r="Q4370" s="13">
        <f>SUMIFS(M:M,E:E,Online_eCommerce[[#This Row],[Status]])</f>
        <v>28620410</v>
      </c>
      <c r="R4370" s="13">
        <f>SUMIFS(L:L,H:H,Online_eCommerce[[#This Row],[Brand]])</f>
        <v>12435650</v>
      </c>
      <c r="S4370" s="13">
        <f>SUMIF(H:H,Online_eCommerce[[#This Row],[Brand]],M:M)</f>
        <v>16166345</v>
      </c>
      <c r="T4370" s="13">
        <f>SUMIF(N:N,Online_eCommerce[[#This Row],[Assigned Supervisor]],L:L)</f>
        <v>13693220</v>
      </c>
    </row>
    <row r="4371" spans="1:20" hidden="1" x14ac:dyDescent="0.3">
      <c r="A4371" t="s">
        <v>6418</v>
      </c>
      <c r="B4371" t="s">
        <v>213</v>
      </c>
      <c r="C4371" t="s">
        <v>24</v>
      </c>
      <c r="D4371" t="s">
        <v>6407</v>
      </c>
      <c r="E4371" t="s">
        <v>96</v>
      </c>
      <c r="F4371" t="s">
        <v>6029</v>
      </c>
      <c r="G4371" t="s">
        <v>40</v>
      </c>
      <c r="H4371" t="s">
        <v>21</v>
      </c>
      <c r="I4371">
        <v>2650</v>
      </c>
      <c r="J4371">
        <v>3445</v>
      </c>
      <c r="K4371">
        <v>1</v>
      </c>
      <c r="L4371">
        <v>2650</v>
      </c>
      <c r="M4371">
        <v>3445</v>
      </c>
      <c r="N4371" t="s">
        <v>22</v>
      </c>
      <c r="O4371">
        <f t="shared" si="136"/>
        <v>25545</v>
      </c>
      <c r="P4371" s="13">
        <f t="shared" si="137"/>
        <v>2009540</v>
      </c>
      <c r="Q4371" s="13">
        <f>SUMIFS(M:M,E:E,Online_eCommerce[[#This Row],[Status]])</f>
        <v>21233992</v>
      </c>
      <c r="R4371" s="13">
        <f>SUMIFS(L:L,H:H,Online_eCommerce[[#This Row],[Brand]])</f>
        <v>12435650</v>
      </c>
      <c r="S4371" s="13">
        <f>SUMIF(H:H,Online_eCommerce[[#This Row],[Brand]],M:M)</f>
        <v>16166345</v>
      </c>
      <c r="T4371" s="13">
        <f>SUMIF(N:N,Online_eCommerce[[#This Row],[Assigned Supervisor]],L:L)</f>
        <v>13693220</v>
      </c>
    </row>
    <row r="4372" spans="1:20" hidden="1" x14ac:dyDescent="0.3">
      <c r="A4372" t="s">
        <v>6419</v>
      </c>
      <c r="B4372" t="s">
        <v>215</v>
      </c>
      <c r="C4372" t="s">
        <v>31</v>
      </c>
      <c r="D4372" t="s">
        <v>6407</v>
      </c>
      <c r="E4372" t="s">
        <v>18</v>
      </c>
      <c r="F4372" t="s">
        <v>121</v>
      </c>
      <c r="G4372" t="s">
        <v>71</v>
      </c>
      <c r="H4372" t="s">
        <v>122</v>
      </c>
      <c r="I4372">
        <v>12550</v>
      </c>
      <c r="J4372">
        <v>16315</v>
      </c>
      <c r="K4372">
        <v>2</v>
      </c>
      <c r="L4372">
        <v>25100</v>
      </c>
      <c r="M4372">
        <v>32630</v>
      </c>
      <c r="N4372" t="s">
        <v>22</v>
      </c>
      <c r="O4372">
        <f t="shared" si="136"/>
        <v>9750</v>
      </c>
      <c r="P4372" s="13">
        <f t="shared" si="137"/>
        <v>2865746</v>
      </c>
      <c r="Q4372" s="13">
        <f>SUMIFS(M:M,E:E,Online_eCommerce[[#This Row],[Status]])</f>
        <v>28340455</v>
      </c>
      <c r="R4372" s="13">
        <f>SUMIFS(L:L,H:H,Online_eCommerce[[#This Row],[Brand]])</f>
        <v>5045100</v>
      </c>
      <c r="S4372" s="13">
        <f>SUMIF(H:H,Online_eCommerce[[#This Row],[Brand]],M:M)</f>
        <v>6558630</v>
      </c>
      <c r="T4372" s="13">
        <f>SUMIF(N:N,Online_eCommerce[[#This Row],[Assigned Supervisor]],L:L)</f>
        <v>13693220</v>
      </c>
    </row>
    <row r="4373" spans="1:20" hidden="1" x14ac:dyDescent="0.3">
      <c r="A4373" t="s">
        <v>6420</v>
      </c>
      <c r="B4373" t="s">
        <v>306</v>
      </c>
      <c r="C4373" t="s">
        <v>38</v>
      </c>
      <c r="D4373" t="s">
        <v>6407</v>
      </c>
      <c r="E4373" t="s">
        <v>161</v>
      </c>
      <c r="F4373" t="s">
        <v>126</v>
      </c>
      <c r="G4373" t="s">
        <v>26</v>
      </c>
      <c r="H4373" t="s">
        <v>27</v>
      </c>
      <c r="I4373">
        <v>14500</v>
      </c>
      <c r="J4373">
        <v>18850</v>
      </c>
      <c r="K4373">
        <v>1</v>
      </c>
      <c r="L4373">
        <v>14500</v>
      </c>
      <c r="M4373">
        <v>18850</v>
      </c>
      <c r="N4373" t="s">
        <v>22</v>
      </c>
      <c r="O4373">
        <f t="shared" si="136"/>
        <v>33150</v>
      </c>
      <c r="P4373" s="13">
        <f t="shared" si="137"/>
        <v>1933997</v>
      </c>
      <c r="Q4373" s="13">
        <f>SUMIFS(M:M,E:E,Online_eCommerce[[#This Row],[Status]])</f>
        <v>21103186</v>
      </c>
      <c r="R4373" s="13">
        <f>SUMIFS(L:L,H:H,Online_eCommerce[[#This Row],[Brand]])</f>
        <v>14431000</v>
      </c>
      <c r="S4373" s="13">
        <f>SUMIF(H:H,Online_eCommerce[[#This Row],[Brand]],M:M)</f>
        <v>18760300</v>
      </c>
      <c r="T4373" s="13">
        <f>SUMIF(N:N,Online_eCommerce[[#This Row],[Assigned Supervisor]],L:L)</f>
        <v>13693220</v>
      </c>
    </row>
    <row r="4374" spans="1:20" x14ac:dyDescent="0.3">
      <c r="A4374" t="s">
        <v>6421</v>
      </c>
      <c r="B4374" t="s">
        <v>528</v>
      </c>
      <c r="C4374" t="s">
        <v>45</v>
      </c>
      <c r="D4374" t="s">
        <v>6407</v>
      </c>
      <c r="E4374" t="s">
        <v>46</v>
      </c>
      <c r="F4374" t="s">
        <v>129</v>
      </c>
      <c r="G4374" t="s">
        <v>60</v>
      </c>
      <c r="H4374" t="s">
        <v>61</v>
      </c>
      <c r="I4374">
        <v>800</v>
      </c>
      <c r="J4374">
        <v>1040</v>
      </c>
      <c r="K4374">
        <v>1</v>
      </c>
      <c r="L4374">
        <v>800</v>
      </c>
      <c r="M4374">
        <v>1040</v>
      </c>
      <c r="N4374" t="s">
        <v>22</v>
      </c>
      <c r="O4374">
        <f t="shared" si="136"/>
        <v>3315</v>
      </c>
      <c r="P4374" s="13">
        <f t="shared" si="137"/>
        <v>2842554</v>
      </c>
      <c r="Q4374" s="13">
        <f>SUMIFS(M:M,E:E,Online_eCommerce[[#This Row],[Status]])</f>
        <v>28620410</v>
      </c>
      <c r="R4374" s="13">
        <f>SUMIFS(L:L,H:H,Online_eCommerce[[#This Row],[Brand]])</f>
        <v>10950150</v>
      </c>
      <c r="S4374" s="13">
        <f>SUMIF(H:H,Online_eCommerce[[#This Row],[Brand]],M:M)</f>
        <v>14235195</v>
      </c>
      <c r="T4374" s="13">
        <f>SUMIF(N:N,Online_eCommerce[[#This Row],[Assigned Supervisor]],L:L)</f>
        <v>13693220</v>
      </c>
    </row>
    <row r="4375" spans="1:20" hidden="1" x14ac:dyDescent="0.3">
      <c r="A4375" t="s">
        <v>6422</v>
      </c>
      <c r="B4375" t="s">
        <v>73</v>
      </c>
      <c r="C4375" t="s">
        <v>52</v>
      </c>
      <c r="D4375" t="s">
        <v>6407</v>
      </c>
      <c r="E4375" t="s">
        <v>96</v>
      </c>
      <c r="F4375" t="s">
        <v>133</v>
      </c>
      <c r="G4375" t="s">
        <v>66</v>
      </c>
      <c r="H4375" t="s">
        <v>21</v>
      </c>
      <c r="I4375">
        <v>600</v>
      </c>
      <c r="J4375">
        <v>780</v>
      </c>
      <c r="K4375">
        <v>1</v>
      </c>
      <c r="L4375">
        <v>600</v>
      </c>
      <c r="M4375">
        <v>780</v>
      </c>
      <c r="N4375" t="s">
        <v>22</v>
      </c>
      <c r="O4375">
        <f t="shared" si="136"/>
        <v>1690</v>
      </c>
      <c r="P4375" s="13">
        <f t="shared" si="137"/>
        <v>1955044</v>
      </c>
      <c r="Q4375" s="13">
        <f>SUMIFS(M:M,E:E,Online_eCommerce[[#This Row],[Status]])</f>
        <v>21233992</v>
      </c>
      <c r="R4375" s="13">
        <f>SUMIFS(L:L,H:H,Online_eCommerce[[#This Row],[Brand]])</f>
        <v>12435650</v>
      </c>
      <c r="S4375" s="13">
        <f>SUMIF(H:H,Online_eCommerce[[#This Row],[Brand]],M:M)</f>
        <v>16166345</v>
      </c>
      <c r="T4375" s="13">
        <f>SUMIF(N:N,Online_eCommerce[[#This Row],[Assigned Supervisor]],L:L)</f>
        <v>13693220</v>
      </c>
    </row>
    <row r="4376" spans="1:20" hidden="1" x14ac:dyDescent="0.3">
      <c r="A4376" t="s">
        <v>6423</v>
      </c>
      <c r="B4376" t="s">
        <v>80</v>
      </c>
      <c r="C4376" t="s">
        <v>58</v>
      </c>
      <c r="D4376" t="s">
        <v>6407</v>
      </c>
      <c r="E4376" t="s">
        <v>18</v>
      </c>
      <c r="F4376" t="s">
        <v>137</v>
      </c>
      <c r="G4376" t="s">
        <v>71</v>
      </c>
      <c r="H4376" t="s">
        <v>61</v>
      </c>
      <c r="I4376">
        <v>10500</v>
      </c>
      <c r="J4376">
        <v>13650</v>
      </c>
      <c r="K4376">
        <v>2</v>
      </c>
      <c r="L4376">
        <v>21000</v>
      </c>
      <c r="M4376">
        <v>27300</v>
      </c>
      <c r="N4376" t="s">
        <v>22</v>
      </c>
      <c r="O4376">
        <f t="shared" si="136"/>
        <v>9750</v>
      </c>
      <c r="P4376" s="13">
        <f t="shared" si="137"/>
        <v>2629211</v>
      </c>
      <c r="Q4376" s="13">
        <f>SUMIFS(M:M,E:E,Online_eCommerce[[#This Row],[Status]])</f>
        <v>28340455</v>
      </c>
      <c r="R4376" s="13">
        <f>SUMIFS(L:L,H:H,Online_eCommerce[[#This Row],[Brand]])</f>
        <v>10950150</v>
      </c>
      <c r="S4376" s="13">
        <f>SUMIF(H:H,Online_eCommerce[[#This Row],[Brand]],M:M)</f>
        <v>14235195</v>
      </c>
      <c r="T4376" s="13">
        <f>SUMIF(N:N,Online_eCommerce[[#This Row],[Assigned Supervisor]],L:L)</f>
        <v>13693220</v>
      </c>
    </row>
    <row r="4377" spans="1:20" hidden="1" x14ac:dyDescent="0.3">
      <c r="A4377" t="s">
        <v>6424</v>
      </c>
      <c r="B4377" t="s">
        <v>85</v>
      </c>
      <c r="C4377" t="s">
        <v>63</v>
      </c>
      <c r="D4377" t="s">
        <v>6407</v>
      </c>
      <c r="E4377" t="s">
        <v>161</v>
      </c>
      <c r="F4377" t="s">
        <v>6394</v>
      </c>
      <c r="G4377" t="s">
        <v>77</v>
      </c>
      <c r="H4377" t="s">
        <v>142</v>
      </c>
      <c r="I4377">
        <v>6500</v>
      </c>
      <c r="J4377">
        <v>8450</v>
      </c>
      <c r="K4377">
        <v>1</v>
      </c>
      <c r="L4377">
        <v>6500</v>
      </c>
      <c r="M4377">
        <v>8450</v>
      </c>
      <c r="N4377" t="s">
        <v>22</v>
      </c>
      <c r="O4377">
        <f t="shared" si="136"/>
        <v>39000</v>
      </c>
      <c r="P4377" s="13">
        <f t="shared" si="137"/>
        <v>2016131</v>
      </c>
      <c r="Q4377" s="13">
        <f>SUMIFS(M:M,E:E,Online_eCommerce[[#This Row],[Status]])</f>
        <v>21103186</v>
      </c>
      <c r="R4377" s="13">
        <f>SUMIFS(L:L,H:H,Online_eCommerce[[#This Row],[Brand]])</f>
        <v>6192500</v>
      </c>
      <c r="S4377" s="13">
        <f>SUMIF(H:H,Online_eCommerce[[#This Row],[Brand]],M:M)</f>
        <v>8050250</v>
      </c>
      <c r="T4377" s="13">
        <f>SUMIF(N:N,Online_eCommerce[[#This Row],[Assigned Supervisor]],L:L)</f>
        <v>13693220</v>
      </c>
    </row>
    <row r="4378" spans="1:20" x14ac:dyDescent="0.3">
      <c r="A4378" t="s">
        <v>6425</v>
      </c>
      <c r="B4378" t="s">
        <v>90</v>
      </c>
      <c r="C4378" t="s">
        <v>68</v>
      </c>
      <c r="D4378" t="s">
        <v>6407</v>
      </c>
      <c r="E4378" t="s">
        <v>46</v>
      </c>
      <c r="F4378" t="s">
        <v>6426</v>
      </c>
      <c r="G4378" t="s">
        <v>20</v>
      </c>
      <c r="H4378" t="s">
        <v>21</v>
      </c>
      <c r="I4378">
        <v>4500</v>
      </c>
      <c r="J4378">
        <v>5850</v>
      </c>
      <c r="K4378">
        <v>3</v>
      </c>
      <c r="L4378">
        <v>13500</v>
      </c>
      <c r="M4378">
        <v>17550</v>
      </c>
      <c r="N4378" t="s">
        <v>22</v>
      </c>
      <c r="O4378">
        <f t="shared" si="136"/>
        <v>8450</v>
      </c>
      <c r="P4378" s="13">
        <f t="shared" si="137"/>
        <v>2974621</v>
      </c>
      <c r="Q4378" s="13">
        <f>SUMIFS(M:M,E:E,Online_eCommerce[[#This Row],[Status]])</f>
        <v>28620410</v>
      </c>
      <c r="R4378" s="13">
        <f>SUMIFS(L:L,H:H,Online_eCommerce[[#This Row],[Brand]])</f>
        <v>12435650</v>
      </c>
      <c r="S4378" s="13">
        <f>SUMIF(H:H,Online_eCommerce[[#This Row],[Brand]],M:M)</f>
        <v>16166345</v>
      </c>
      <c r="T4378" s="13">
        <f>SUMIF(N:N,Online_eCommerce[[#This Row],[Assigned Supervisor]],L:L)</f>
        <v>13693220</v>
      </c>
    </row>
    <row r="4379" spans="1:20" hidden="1" x14ac:dyDescent="0.3">
      <c r="A4379" t="s">
        <v>6427</v>
      </c>
      <c r="B4379" t="s">
        <v>232</v>
      </c>
      <c r="C4379" t="s">
        <v>74</v>
      </c>
      <c r="D4379" t="s">
        <v>6407</v>
      </c>
      <c r="E4379" t="s">
        <v>96</v>
      </c>
      <c r="F4379" t="s">
        <v>152</v>
      </c>
      <c r="G4379" t="s">
        <v>26</v>
      </c>
      <c r="H4379" t="s">
        <v>27</v>
      </c>
      <c r="I4379">
        <v>8500</v>
      </c>
      <c r="J4379">
        <v>11050</v>
      </c>
      <c r="K4379">
        <v>4</v>
      </c>
      <c r="L4379">
        <v>34000</v>
      </c>
      <c r="M4379">
        <v>44200</v>
      </c>
      <c r="N4379" t="s">
        <v>22</v>
      </c>
      <c r="O4379">
        <f t="shared" si="136"/>
        <v>33150</v>
      </c>
      <c r="P4379" s="13">
        <f t="shared" si="137"/>
        <v>2144701</v>
      </c>
      <c r="Q4379" s="13">
        <f>SUMIFS(M:M,E:E,Online_eCommerce[[#This Row],[Status]])</f>
        <v>21233992</v>
      </c>
      <c r="R4379" s="13">
        <f>SUMIFS(L:L,H:H,Online_eCommerce[[#This Row],[Brand]])</f>
        <v>14431000</v>
      </c>
      <c r="S4379" s="13">
        <f>SUMIF(H:H,Online_eCommerce[[#This Row],[Brand]],M:M)</f>
        <v>18760300</v>
      </c>
      <c r="T4379" s="13">
        <f>SUMIF(N:N,Online_eCommerce[[#This Row],[Assigned Supervisor]],L:L)</f>
        <v>13693220</v>
      </c>
    </row>
    <row r="4380" spans="1:20" hidden="1" x14ac:dyDescent="0.3">
      <c r="A4380" t="s">
        <v>6428</v>
      </c>
      <c r="B4380" t="s">
        <v>235</v>
      </c>
      <c r="C4380" t="s">
        <v>81</v>
      </c>
      <c r="D4380" t="s">
        <v>6407</v>
      </c>
      <c r="E4380" t="s">
        <v>18</v>
      </c>
      <c r="F4380" t="s">
        <v>157</v>
      </c>
      <c r="G4380" t="s">
        <v>33</v>
      </c>
      <c r="H4380" t="s">
        <v>34</v>
      </c>
      <c r="I4380">
        <v>12500</v>
      </c>
      <c r="J4380">
        <v>16250</v>
      </c>
      <c r="K4380">
        <v>1</v>
      </c>
      <c r="L4380">
        <v>12500</v>
      </c>
      <c r="M4380">
        <v>16250</v>
      </c>
      <c r="N4380" t="s">
        <v>50</v>
      </c>
      <c r="O4380">
        <f t="shared" si="136"/>
        <v>18200</v>
      </c>
      <c r="P4380" s="13">
        <f t="shared" si="137"/>
        <v>2595632</v>
      </c>
      <c r="Q4380" s="13">
        <f>SUMIFS(M:M,E:E,Online_eCommerce[[#This Row],[Status]])</f>
        <v>28340455</v>
      </c>
      <c r="R4380" s="13">
        <f>SUMIFS(L:L,H:H,Online_eCommerce[[#This Row],[Brand]])</f>
        <v>10087000</v>
      </c>
      <c r="S4380" s="13">
        <f>SUMIF(H:H,Online_eCommerce[[#This Row],[Brand]],M:M)</f>
        <v>13113100</v>
      </c>
      <c r="T4380" s="13">
        <f>SUMIF(N:N,Online_eCommerce[[#This Row],[Assigned Supervisor]],L:L)</f>
        <v>12100590</v>
      </c>
    </row>
    <row r="4381" spans="1:20" hidden="1" x14ac:dyDescent="0.3">
      <c r="A4381" t="s">
        <v>6429</v>
      </c>
      <c r="B4381" t="s">
        <v>104</v>
      </c>
      <c r="C4381" t="s">
        <v>86</v>
      </c>
      <c r="D4381" t="s">
        <v>6407</v>
      </c>
      <c r="E4381" t="s">
        <v>161</v>
      </c>
      <c r="F4381" t="s">
        <v>6078</v>
      </c>
      <c r="G4381" t="s">
        <v>40</v>
      </c>
      <c r="H4381" t="s">
        <v>41</v>
      </c>
      <c r="I4381">
        <v>3500</v>
      </c>
      <c r="J4381">
        <v>4550</v>
      </c>
      <c r="K4381">
        <v>4</v>
      </c>
      <c r="L4381">
        <v>14000</v>
      </c>
      <c r="M4381">
        <v>18200</v>
      </c>
      <c r="N4381" t="s">
        <v>56</v>
      </c>
      <c r="O4381">
        <f t="shared" si="136"/>
        <v>25545</v>
      </c>
      <c r="P4381" s="13">
        <f t="shared" si="137"/>
        <v>1941225</v>
      </c>
      <c r="Q4381" s="13">
        <f>SUMIFS(M:M,E:E,Online_eCommerce[[#This Row],[Status]])</f>
        <v>21103186</v>
      </c>
      <c r="R4381" s="13">
        <f>SUMIFS(L:L,H:H,Online_eCommerce[[#This Row],[Brand]])</f>
        <v>4260400</v>
      </c>
      <c r="S4381" s="13">
        <f>SUMIF(H:H,Online_eCommerce[[#This Row],[Brand]],M:M)</f>
        <v>5538520</v>
      </c>
      <c r="T4381" s="13">
        <f>SUMIF(N:N,Online_eCommerce[[#This Row],[Assigned Supervisor]],L:L)</f>
        <v>11733610</v>
      </c>
    </row>
    <row r="4382" spans="1:20" x14ac:dyDescent="0.3">
      <c r="A4382" t="s">
        <v>6430</v>
      </c>
      <c r="B4382" t="s">
        <v>109</v>
      </c>
      <c r="C4382" t="s">
        <v>91</v>
      </c>
      <c r="D4382" t="s">
        <v>6407</v>
      </c>
      <c r="E4382" t="s">
        <v>46</v>
      </c>
      <c r="F4382" t="s">
        <v>166</v>
      </c>
      <c r="G4382" t="s">
        <v>334</v>
      </c>
      <c r="H4382" t="s">
        <v>49</v>
      </c>
      <c r="I4382">
        <v>4500</v>
      </c>
      <c r="J4382">
        <v>5850</v>
      </c>
      <c r="K4382">
        <v>3</v>
      </c>
      <c r="L4382">
        <v>13500</v>
      </c>
      <c r="M4382">
        <v>17550</v>
      </c>
      <c r="N4382" t="s">
        <v>22</v>
      </c>
      <c r="O4382">
        <f t="shared" si="136"/>
        <v>39780</v>
      </c>
      <c r="P4382" s="13">
        <f t="shared" si="137"/>
        <v>2731963</v>
      </c>
      <c r="Q4382" s="13">
        <f>SUMIFS(M:M,E:E,Online_eCommerce[[#This Row],[Status]])</f>
        <v>28620410</v>
      </c>
      <c r="R4382" s="13">
        <f>SUMIFS(L:L,H:H,Online_eCommerce[[#This Row],[Brand]])</f>
        <v>4528350</v>
      </c>
      <c r="S4382" s="13">
        <f>SUMIF(H:H,Online_eCommerce[[#This Row],[Brand]],M:M)</f>
        <v>5886855</v>
      </c>
      <c r="T4382" s="13">
        <f>SUMIF(N:N,Online_eCommerce[[#This Row],[Assigned Supervisor]],L:L)</f>
        <v>13693220</v>
      </c>
    </row>
    <row r="4383" spans="1:20" hidden="1" x14ac:dyDescent="0.3">
      <c r="A4383" t="s">
        <v>6431</v>
      </c>
      <c r="B4383" t="s">
        <v>114</v>
      </c>
      <c r="C4383" t="s">
        <v>94</v>
      </c>
      <c r="D4383" t="s">
        <v>6407</v>
      </c>
      <c r="E4383" t="s">
        <v>96</v>
      </c>
      <c r="F4383" t="s">
        <v>6432</v>
      </c>
      <c r="G4383" t="s">
        <v>54</v>
      </c>
      <c r="H4383" t="s">
        <v>55</v>
      </c>
      <c r="I4383">
        <v>2100</v>
      </c>
      <c r="J4383">
        <v>2730</v>
      </c>
      <c r="K4383">
        <v>2</v>
      </c>
      <c r="L4383">
        <v>4200</v>
      </c>
      <c r="M4383">
        <v>5460</v>
      </c>
      <c r="N4383" t="s">
        <v>28</v>
      </c>
      <c r="O4383">
        <f t="shared" si="136"/>
        <v>2990</v>
      </c>
      <c r="P4383" s="13">
        <f t="shared" si="137"/>
        <v>1868256</v>
      </c>
      <c r="Q4383" s="13">
        <f>SUMIFS(M:M,E:E,Online_eCommerce[[#This Row],[Status]])</f>
        <v>21233992</v>
      </c>
      <c r="R4383" s="13">
        <f>SUMIFS(L:L,H:H,Online_eCommerce[[#This Row],[Brand]])</f>
        <v>2267380</v>
      </c>
      <c r="S4383" s="13">
        <f>SUMIF(H:H,Online_eCommerce[[#This Row],[Brand]],M:M)</f>
        <v>2947594</v>
      </c>
      <c r="T4383" s="13">
        <f>SUMIF(N:N,Online_eCommerce[[#This Row],[Assigned Supervisor]],L:L)</f>
        <v>12220830</v>
      </c>
    </row>
    <row r="4384" spans="1:20" hidden="1" x14ac:dyDescent="0.3">
      <c r="A4384" t="s">
        <v>6433</v>
      </c>
      <c r="B4384" t="s">
        <v>119</v>
      </c>
      <c r="C4384" t="s">
        <v>99</v>
      </c>
      <c r="D4384" t="s">
        <v>6407</v>
      </c>
      <c r="E4384" t="s">
        <v>18</v>
      </c>
      <c r="F4384" t="s">
        <v>174</v>
      </c>
      <c r="G4384" t="s">
        <v>60</v>
      </c>
      <c r="H4384" t="s">
        <v>61</v>
      </c>
      <c r="I4384">
        <v>1150</v>
      </c>
      <c r="J4384">
        <v>1495</v>
      </c>
      <c r="K4384">
        <v>4</v>
      </c>
      <c r="L4384">
        <v>4600</v>
      </c>
      <c r="M4384">
        <v>5980</v>
      </c>
      <c r="N4384" t="s">
        <v>35</v>
      </c>
      <c r="O4384">
        <f t="shared" si="136"/>
        <v>3315</v>
      </c>
      <c r="P4384" s="13">
        <f t="shared" si="137"/>
        <v>2651233</v>
      </c>
      <c r="Q4384" s="13">
        <f>SUMIFS(M:M,E:E,Online_eCommerce[[#This Row],[Status]])</f>
        <v>28340455</v>
      </c>
      <c r="R4384" s="13">
        <f>SUMIFS(L:L,H:H,Online_eCommerce[[#This Row],[Brand]])</f>
        <v>10950150</v>
      </c>
      <c r="S4384" s="13">
        <f>SUMIF(H:H,Online_eCommerce[[#This Row],[Brand]],M:M)</f>
        <v>14235195</v>
      </c>
      <c r="T4384" s="13">
        <f>SUMIF(N:N,Online_eCommerce[[#This Row],[Assigned Supervisor]],L:L)</f>
        <v>14373360</v>
      </c>
    </row>
    <row r="4385" spans="1:20" hidden="1" x14ac:dyDescent="0.3">
      <c r="A4385" t="s">
        <v>6434</v>
      </c>
      <c r="B4385" t="s">
        <v>124</v>
      </c>
      <c r="C4385" t="s">
        <v>105</v>
      </c>
      <c r="D4385" t="s">
        <v>6407</v>
      </c>
      <c r="E4385" t="s">
        <v>161</v>
      </c>
      <c r="F4385" t="s">
        <v>179</v>
      </c>
      <c r="G4385" t="s">
        <v>66</v>
      </c>
      <c r="H4385" t="s">
        <v>21</v>
      </c>
      <c r="I4385">
        <v>350</v>
      </c>
      <c r="J4385">
        <v>455</v>
      </c>
      <c r="K4385">
        <v>1</v>
      </c>
      <c r="L4385">
        <v>350</v>
      </c>
      <c r="M4385">
        <v>455</v>
      </c>
      <c r="N4385" t="s">
        <v>42</v>
      </c>
      <c r="O4385">
        <f t="shared" si="136"/>
        <v>1690</v>
      </c>
      <c r="P4385" s="13">
        <f t="shared" si="137"/>
        <v>1866852</v>
      </c>
      <c r="Q4385" s="13">
        <f>SUMIFS(M:M,E:E,Online_eCommerce[[#This Row],[Status]])</f>
        <v>21103186</v>
      </c>
      <c r="R4385" s="13">
        <f>SUMIFS(L:L,H:H,Online_eCommerce[[#This Row],[Brand]])</f>
        <v>12435650</v>
      </c>
      <c r="S4385" s="13">
        <f>SUMIF(H:H,Online_eCommerce[[#This Row],[Brand]],M:M)</f>
        <v>16166345</v>
      </c>
      <c r="T4385" s="13">
        <f>SUMIF(N:N,Online_eCommerce[[#This Row],[Assigned Supervisor]],L:L)</f>
        <v>12261500</v>
      </c>
    </row>
    <row r="4386" spans="1:20" x14ac:dyDescent="0.3">
      <c r="A4386" t="s">
        <v>6435</v>
      </c>
      <c r="B4386" t="s">
        <v>128</v>
      </c>
      <c r="C4386" t="s">
        <v>110</v>
      </c>
      <c r="D4386" t="s">
        <v>6407</v>
      </c>
      <c r="E4386" t="s">
        <v>46</v>
      </c>
      <c r="F4386" t="s">
        <v>183</v>
      </c>
      <c r="G4386" t="s">
        <v>71</v>
      </c>
      <c r="H4386" t="s">
        <v>61</v>
      </c>
      <c r="I4386">
        <v>9500</v>
      </c>
      <c r="J4386">
        <v>12350</v>
      </c>
      <c r="K4386">
        <v>3</v>
      </c>
      <c r="L4386">
        <v>28500</v>
      </c>
      <c r="M4386">
        <v>37050</v>
      </c>
      <c r="N4386" t="s">
        <v>50</v>
      </c>
      <c r="O4386">
        <f t="shared" si="136"/>
        <v>9750</v>
      </c>
      <c r="P4386" s="13">
        <f t="shared" si="137"/>
        <v>2598635</v>
      </c>
      <c r="Q4386" s="13">
        <f>SUMIFS(M:M,E:E,Online_eCommerce[[#This Row],[Status]])</f>
        <v>28620410</v>
      </c>
      <c r="R4386" s="13">
        <f>SUMIFS(L:L,H:H,Online_eCommerce[[#This Row],[Brand]])</f>
        <v>10950150</v>
      </c>
      <c r="S4386" s="13">
        <f>SUMIF(H:H,Online_eCommerce[[#This Row],[Brand]],M:M)</f>
        <v>14235195</v>
      </c>
      <c r="T4386" s="13">
        <f>SUMIF(N:N,Online_eCommerce[[#This Row],[Assigned Supervisor]],L:L)</f>
        <v>12100590</v>
      </c>
    </row>
    <row r="4387" spans="1:20" hidden="1" x14ac:dyDescent="0.3">
      <c r="A4387" t="s">
        <v>6436</v>
      </c>
      <c r="B4387" t="s">
        <v>131</v>
      </c>
      <c r="C4387" t="s">
        <v>115</v>
      </c>
      <c r="D4387" t="s">
        <v>6407</v>
      </c>
      <c r="E4387" t="s">
        <v>96</v>
      </c>
      <c r="F4387" t="s">
        <v>6437</v>
      </c>
      <c r="G4387" t="s">
        <v>77</v>
      </c>
      <c r="H4387" t="s">
        <v>142</v>
      </c>
      <c r="I4387">
        <v>10000</v>
      </c>
      <c r="J4387">
        <v>13000</v>
      </c>
      <c r="K4387">
        <v>4</v>
      </c>
      <c r="L4387">
        <v>40000</v>
      </c>
      <c r="M4387">
        <v>52000</v>
      </c>
      <c r="N4387" t="s">
        <v>56</v>
      </c>
      <c r="O4387">
        <f t="shared" si="136"/>
        <v>39000</v>
      </c>
      <c r="P4387" s="13">
        <f t="shared" si="137"/>
        <v>2050178</v>
      </c>
      <c r="Q4387" s="13">
        <f>SUMIFS(M:M,E:E,Online_eCommerce[[#This Row],[Status]])</f>
        <v>21233992</v>
      </c>
      <c r="R4387" s="13">
        <f>SUMIFS(L:L,H:H,Online_eCommerce[[#This Row],[Brand]])</f>
        <v>6192500</v>
      </c>
      <c r="S4387" s="13">
        <f>SUMIF(H:H,Online_eCommerce[[#This Row],[Brand]],M:M)</f>
        <v>8050250</v>
      </c>
      <c r="T4387" s="13">
        <f>SUMIF(N:N,Online_eCommerce[[#This Row],[Assigned Supervisor]],L:L)</f>
        <v>11733610</v>
      </c>
    </row>
    <row r="4388" spans="1:20" hidden="1" x14ac:dyDescent="0.3">
      <c r="A4388" t="s">
        <v>6438</v>
      </c>
      <c r="B4388" t="s">
        <v>135</v>
      </c>
      <c r="C4388" t="s">
        <v>120</v>
      </c>
      <c r="D4388" t="s">
        <v>6407</v>
      </c>
      <c r="E4388" t="s">
        <v>18</v>
      </c>
      <c r="F4388" t="s">
        <v>6439</v>
      </c>
      <c r="G4388" t="s">
        <v>20</v>
      </c>
      <c r="H4388" t="s">
        <v>21</v>
      </c>
      <c r="I4388">
        <v>6500</v>
      </c>
      <c r="J4388">
        <v>8450</v>
      </c>
      <c r="K4388">
        <v>1</v>
      </c>
      <c r="L4388">
        <v>6500</v>
      </c>
      <c r="M4388">
        <v>8450</v>
      </c>
      <c r="N4388" t="s">
        <v>22</v>
      </c>
      <c r="O4388">
        <f t="shared" si="136"/>
        <v>8450</v>
      </c>
      <c r="P4388" s="13">
        <f t="shared" si="137"/>
        <v>2734212</v>
      </c>
      <c r="Q4388" s="13">
        <f>SUMIFS(M:M,E:E,Online_eCommerce[[#This Row],[Status]])</f>
        <v>28340455</v>
      </c>
      <c r="R4388" s="13">
        <f>SUMIFS(L:L,H:H,Online_eCommerce[[#This Row],[Brand]])</f>
        <v>12435650</v>
      </c>
      <c r="S4388" s="13">
        <f>SUMIF(H:H,Online_eCommerce[[#This Row],[Brand]],M:M)</f>
        <v>16166345</v>
      </c>
      <c r="T4388" s="13">
        <f>SUMIF(N:N,Online_eCommerce[[#This Row],[Assigned Supervisor]],L:L)</f>
        <v>13693220</v>
      </c>
    </row>
    <row r="4389" spans="1:20" hidden="1" x14ac:dyDescent="0.3">
      <c r="A4389" t="s">
        <v>6440</v>
      </c>
      <c r="B4389" t="s">
        <v>139</v>
      </c>
      <c r="C4389" t="s">
        <v>125</v>
      </c>
      <c r="D4389" t="s">
        <v>6407</v>
      </c>
      <c r="E4389" t="s">
        <v>161</v>
      </c>
      <c r="F4389" t="s">
        <v>6441</v>
      </c>
      <c r="G4389" t="s">
        <v>26</v>
      </c>
      <c r="H4389" t="s">
        <v>27</v>
      </c>
      <c r="I4389">
        <v>8500</v>
      </c>
      <c r="J4389">
        <v>11050</v>
      </c>
      <c r="K4389">
        <v>1</v>
      </c>
      <c r="L4389">
        <v>8500</v>
      </c>
      <c r="M4389">
        <v>11050</v>
      </c>
      <c r="N4389" t="s">
        <v>28</v>
      </c>
      <c r="O4389">
        <f t="shared" si="136"/>
        <v>33150</v>
      </c>
      <c r="P4389" s="13">
        <f t="shared" si="137"/>
        <v>2091154</v>
      </c>
      <c r="Q4389" s="13">
        <f>SUMIFS(M:M,E:E,Online_eCommerce[[#This Row],[Status]])</f>
        <v>21103186</v>
      </c>
      <c r="R4389" s="13">
        <f>SUMIFS(L:L,H:H,Online_eCommerce[[#This Row],[Brand]])</f>
        <v>14431000</v>
      </c>
      <c r="S4389" s="13">
        <f>SUMIF(H:H,Online_eCommerce[[#This Row],[Brand]],M:M)</f>
        <v>18760300</v>
      </c>
      <c r="T4389" s="13">
        <f>SUMIF(N:N,Online_eCommerce[[#This Row],[Assigned Supervisor]],L:L)</f>
        <v>12220830</v>
      </c>
    </row>
    <row r="4390" spans="1:20" x14ac:dyDescent="0.3">
      <c r="A4390" t="s">
        <v>6442</v>
      </c>
      <c r="B4390" t="s">
        <v>144</v>
      </c>
      <c r="C4390" t="s">
        <v>22</v>
      </c>
      <c r="D4390" t="s">
        <v>6407</v>
      </c>
      <c r="E4390" t="s">
        <v>46</v>
      </c>
      <c r="F4390" t="s">
        <v>32</v>
      </c>
      <c r="G4390" t="s">
        <v>33</v>
      </c>
      <c r="H4390" t="s">
        <v>34</v>
      </c>
      <c r="I4390">
        <v>7000</v>
      </c>
      <c r="J4390">
        <v>9100</v>
      </c>
      <c r="K4390">
        <v>4</v>
      </c>
      <c r="L4390">
        <v>28000</v>
      </c>
      <c r="M4390">
        <v>36400</v>
      </c>
      <c r="N4390" t="s">
        <v>35</v>
      </c>
      <c r="O4390">
        <f t="shared" si="136"/>
        <v>18200</v>
      </c>
      <c r="P4390" s="13">
        <f t="shared" si="137"/>
        <v>2551588</v>
      </c>
      <c r="Q4390" s="13">
        <f>SUMIFS(M:M,E:E,Online_eCommerce[[#This Row],[Status]])</f>
        <v>28620410</v>
      </c>
      <c r="R4390" s="13">
        <f>SUMIFS(L:L,H:H,Online_eCommerce[[#This Row],[Brand]])</f>
        <v>10087000</v>
      </c>
      <c r="S4390" s="13">
        <f>SUMIF(H:H,Online_eCommerce[[#This Row],[Brand]],M:M)</f>
        <v>13113100</v>
      </c>
      <c r="T4390" s="13">
        <f>SUMIF(N:N,Online_eCommerce[[#This Row],[Assigned Supervisor]],L:L)</f>
        <v>14373360</v>
      </c>
    </row>
    <row r="4391" spans="1:20" hidden="1" x14ac:dyDescent="0.3">
      <c r="A4391" t="s">
        <v>6443</v>
      </c>
      <c r="B4391" t="s">
        <v>149</v>
      </c>
      <c r="C4391" t="s">
        <v>132</v>
      </c>
      <c r="D4391" t="s">
        <v>6407</v>
      </c>
      <c r="E4391" t="s">
        <v>96</v>
      </c>
      <c r="F4391" t="s">
        <v>6444</v>
      </c>
      <c r="G4391" t="s">
        <v>40</v>
      </c>
      <c r="H4391" t="s">
        <v>41</v>
      </c>
      <c r="I4391">
        <v>6550</v>
      </c>
      <c r="J4391">
        <v>8515</v>
      </c>
      <c r="K4391">
        <v>2</v>
      </c>
      <c r="L4391">
        <v>13100</v>
      </c>
      <c r="M4391">
        <v>17030</v>
      </c>
      <c r="N4391" t="s">
        <v>42</v>
      </c>
      <c r="O4391">
        <f t="shared" si="136"/>
        <v>25545</v>
      </c>
      <c r="P4391" s="13">
        <f t="shared" si="137"/>
        <v>1989065</v>
      </c>
      <c r="Q4391" s="13">
        <f>SUMIFS(M:M,E:E,Online_eCommerce[[#This Row],[Status]])</f>
        <v>21233992</v>
      </c>
      <c r="R4391" s="13">
        <f>SUMIFS(L:L,H:H,Online_eCommerce[[#This Row],[Brand]])</f>
        <v>4260400</v>
      </c>
      <c r="S4391" s="13">
        <f>SUMIF(H:H,Online_eCommerce[[#This Row],[Brand]],M:M)</f>
        <v>5538520</v>
      </c>
      <c r="T4391" s="13">
        <f>SUMIF(N:N,Online_eCommerce[[#This Row],[Assigned Supervisor]],L:L)</f>
        <v>12261500</v>
      </c>
    </row>
    <row r="4392" spans="1:20" hidden="1" x14ac:dyDescent="0.3">
      <c r="A4392" t="s">
        <v>6445</v>
      </c>
      <c r="B4392" t="s">
        <v>154</v>
      </c>
      <c r="C4392" t="s">
        <v>136</v>
      </c>
      <c r="D4392" t="s">
        <v>6407</v>
      </c>
      <c r="E4392" t="s">
        <v>18</v>
      </c>
      <c r="F4392" t="s">
        <v>47</v>
      </c>
      <c r="G4392" t="s">
        <v>334</v>
      </c>
      <c r="H4392" t="s">
        <v>49</v>
      </c>
      <c r="I4392">
        <v>7650</v>
      </c>
      <c r="J4392">
        <v>9945</v>
      </c>
      <c r="K4392">
        <v>4</v>
      </c>
      <c r="L4392">
        <v>30600</v>
      </c>
      <c r="M4392">
        <v>39780</v>
      </c>
      <c r="N4392" t="s">
        <v>50</v>
      </c>
      <c r="O4392">
        <f t="shared" si="136"/>
        <v>39780</v>
      </c>
      <c r="P4392" s="13">
        <f t="shared" si="137"/>
        <v>2775162</v>
      </c>
      <c r="Q4392" s="13">
        <f>SUMIFS(M:M,E:E,Online_eCommerce[[#This Row],[Status]])</f>
        <v>28340455</v>
      </c>
      <c r="R4392" s="13">
        <f>SUMIFS(L:L,H:H,Online_eCommerce[[#This Row],[Brand]])</f>
        <v>4528350</v>
      </c>
      <c r="S4392" s="13">
        <f>SUMIF(H:H,Online_eCommerce[[#This Row],[Brand]],M:M)</f>
        <v>5886855</v>
      </c>
      <c r="T4392" s="13">
        <f>SUMIF(N:N,Online_eCommerce[[#This Row],[Assigned Supervisor]],L:L)</f>
        <v>12100590</v>
      </c>
    </row>
    <row r="4393" spans="1:20" hidden="1" x14ac:dyDescent="0.3">
      <c r="A4393" t="s">
        <v>6446</v>
      </c>
      <c r="B4393" t="s">
        <v>159</v>
      </c>
      <c r="C4393" t="s">
        <v>140</v>
      </c>
      <c r="D4393" t="s">
        <v>6447</v>
      </c>
      <c r="E4393" t="s">
        <v>161</v>
      </c>
      <c r="F4393" t="s">
        <v>53</v>
      </c>
      <c r="G4393" t="s">
        <v>54</v>
      </c>
      <c r="H4393" t="s">
        <v>55</v>
      </c>
      <c r="I4393">
        <v>1150</v>
      </c>
      <c r="J4393">
        <v>1495</v>
      </c>
      <c r="K4393">
        <v>3</v>
      </c>
      <c r="L4393">
        <v>3450</v>
      </c>
      <c r="M4393">
        <v>4485</v>
      </c>
      <c r="N4393" t="s">
        <v>56</v>
      </c>
      <c r="O4393">
        <f t="shared" si="136"/>
        <v>2990</v>
      </c>
      <c r="P4393" s="13">
        <f t="shared" si="137"/>
        <v>2058264</v>
      </c>
      <c r="Q4393" s="13">
        <f>SUMIFS(M:M,E:E,Online_eCommerce[[#This Row],[Status]])</f>
        <v>21103186</v>
      </c>
      <c r="R4393" s="13">
        <f>SUMIFS(L:L,H:H,Online_eCommerce[[#This Row],[Brand]])</f>
        <v>2267380</v>
      </c>
      <c r="S4393" s="13">
        <f>SUMIF(H:H,Online_eCommerce[[#This Row],[Brand]],M:M)</f>
        <v>2947594</v>
      </c>
      <c r="T4393" s="13">
        <f>SUMIF(N:N,Online_eCommerce[[#This Row],[Assigned Supervisor]],L:L)</f>
        <v>11733610</v>
      </c>
    </row>
    <row r="4394" spans="1:20" x14ac:dyDescent="0.3">
      <c r="A4394" t="s">
        <v>6448</v>
      </c>
      <c r="B4394" t="s">
        <v>139</v>
      </c>
      <c r="C4394" t="s">
        <v>145</v>
      </c>
      <c r="D4394" t="s">
        <v>6447</v>
      </c>
      <c r="E4394" t="s">
        <v>46</v>
      </c>
      <c r="F4394" t="s">
        <v>59</v>
      </c>
      <c r="G4394" t="s">
        <v>60</v>
      </c>
      <c r="H4394" t="s">
        <v>61</v>
      </c>
      <c r="I4394">
        <v>850</v>
      </c>
      <c r="J4394">
        <v>1105</v>
      </c>
      <c r="K4394">
        <v>3</v>
      </c>
      <c r="L4394">
        <v>2550</v>
      </c>
      <c r="M4394">
        <v>3315</v>
      </c>
      <c r="N4394" t="s">
        <v>22</v>
      </c>
      <c r="O4394">
        <f t="shared" si="136"/>
        <v>3315</v>
      </c>
      <c r="P4394" s="13">
        <f t="shared" si="137"/>
        <v>2757859</v>
      </c>
      <c r="Q4394" s="13">
        <f>SUMIFS(M:M,E:E,Online_eCommerce[[#This Row],[Status]])</f>
        <v>28620410</v>
      </c>
      <c r="R4394" s="13">
        <f>SUMIFS(L:L,H:H,Online_eCommerce[[#This Row],[Brand]])</f>
        <v>10950150</v>
      </c>
      <c r="S4394" s="13">
        <f>SUMIF(H:H,Online_eCommerce[[#This Row],[Brand]],M:M)</f>
        <v>14235195</v>
      </c>
      <c r="T4394" s="13">
        <f>SUMIF(N:N,Online_eCommerce[[#This Row],[Assigned Supervisor]],L:L)</f>
        <v>13693220</v>
      </c>
    </row>
    <row r="4395" spans="1:20" hidden="1" x14ac:dyDescent="0.3">
      <c r="A4395" t="s">
        <v>6449</v>
      </c>
      <c r="B4395" t="s">
        <v>144</v>
      </c>
      <c r="C4395" t="s">
        <v>150</v>
      </c>
      <c r="D4395" t="s">
        <v>6447</v>
      </c>
      <c r="E4395" t="s">
        <v>96</v>
      </c>
      <c r="F4395" t="s">
        <v>65</v>
      </c>
      <c r="G4395" t="s">
        <v>66</v>
      </c>
      <c r="H4395" t="s">
        <v>21</v>
      </c>
      <c r="I4395">
        <v>650</v>
      </c>
      <c r="J4395">
        <v>845</v>
      </c>
      <c r="K4395">
        <v>1</v>
      </c>
      <c r="L4395">
        <v>650</v>
      </c>
      <c r="M4395">
        <v>845</v>
      </c>
      <c r="N4395" t="s">
        <v>28</v>
      </c>
      <c r="O4395">
        <f t="shared" si="136"/>
        <v>1690</v>
      </c>
      <c r="P4395" s="13">
        <f t="shared" si="137"/>
        <v>2154984</v>
      </c>
      <c r="Q4395" s="13">
        <f>SUMIFS(M:M,E:E,Online_eCommerce[[#This Row],[Status]])</f>
        <v>21233992</v>
      </c>
      <c r="R4395" s="13">
        <f>SUMIFS(L:L,H:H,Online_eCommerce[[#This Row],[Brand]])</f>
        <v>12435650</v>
      </c>
      <c r="S4395" s="13">
        <f>SUMIF(H:H,Online_eCommerce[[#This Row],[Brand]],M:M)</f>
        <v>16166345</v>
      </c>
      <c r="T4395" s="13">
        <f>SUMIF(N:N,Online_eCommerce[[#This Row],[Assigned Supervisor]],L:L)</f>
        <v>12220830</v>
      </c>
    </row>
    <row r="4396" spans="1:20" hidden="1" x14ac:dyDescent="0.3">
      <c r="A4396" t="s">
        <v>6450</v>
      </c>
      <c r="B4396" t="s">
        <v>235</v>
      </c>
      <c r="C4396" t="s">
        <v>155</v>
      </c>
      <c r="D4396" t="s">
        <v>6447</v>
      </c>
      <c r="E4396" t="s">
        <v>18</v>
      </c>
      <c r="F4396" t="s">
        <v>70</v>
      </c>
      <c r="G4396" t="s">
        <v>71</v>
      </c>
      <c r="H4396" t="s">
        <v>61</v>
      </c>
      <c r="I4396">
        <v>7500</v>
      </c>
      <c r="J4396">
        <v>9750</v>
      </c>
      <c r="K4396">
        <v>2</v>
      </c>
      <c r="L4396">
        <v>15000</v>
      </c>
      <c r="M4396">
        <v>19500</v>
      </c>
      <c r="N4396" t="s">
        <v>35</v>
      </c>
      <c r="O4396">
        <f t="shared" si="136"/>
        <v>9750</v>
      </c>
      <c r="P4396" s="13">
        <f t="shared" si="137"/>
        <v>2753348</v>
      </c>
      <c r="Q4396" s="13">
        <f>SUMIFS(M:M,E:E,Online_eCommerce[[#This Row],[Status]])</f>
        <v>28340455</v>
      </c>
      <c r="R4396" s="13">
        <f>SUMIFS(L:L,H:H,Online_eCommerce[[#This Row],[Brand]])</f>
        <v>10950150</v>
      </c>
      <c r="S4396" s="13">
        <f>SUMIF(H:H,Online_eCommerce[[#This Row],[Brand]],M:M)</f>
        <v>14235195</v>
      </c>
      <c r="T4396" s="13">
        <f>SUMIF(N:N,Online_eCommerce[[#This Row],[Assigned Supervisor]],L:L)</f>
        <v>14373360</v>
      </c>
    </row>
    <row r="4397" spans="1:20" hidden="1" x14ac:dyDescent="0.3">
      <c r="A4397" t="s">
        <v>6451</v>
      </c>
      <c r="B4397" t="s">
        <v>176</v>
      </c>
      <c r="C4397" t="s">
        <v>160</v>
      </c>
      <c r="D4397" t="s">
        <v>6447</v>
      </c>
      <c r="E4397" t="s">
        <v>161</v>
      </c>
      <c r="F4397" t="s">
        <v>6437</v>
      </c>
      <c r="G4397" t="s">
        <v>77</v>
      </c>
      <c r="H4397" t="s">
        <v>78</v>
      </c>
      <c r="I4397">
        <v>10000</v>
      </c>
      <c r="J4397">
        <v>13000</v>
      </c>
      <c r="K4397">
        <v>3</v>
      </c>
      <c r="L4397">
        <v>30000</v>
      </c>
      <c r="M4397">
        <v>39000</v>
      </c>
      <c r="N4397" t="s">
        <v>42</v>
      </c>
      <c r="O4397">
        <f t="shared" si="136"/>
        <v>39000</v>
      </c>
      <c r="P4397" s="13">
        <f t="shared" si="137"/>
        <v>2303483</v>
      </c>
      <c r="Q4397" s="13">
        <f>SUMIFS(M:M,E:E,Online_eCommerce[[#This Row],[Status]])</f>
        <v>21103186</v>
      </c>
      <c r="R4397" s="13">
        <f>SUMIFS(L:L,H:H,Online_eCommerce[[#This Row],[Brand]])</f>
        <v>3720000</v>
      </c>
      <c r="S4397" s="13">
        <f>SUMIF(H:H,Online_eCommerce[[#This Row],[Brand]],M:M)</f>
        <v>4836000</v>
      </c>
      <c r="T4397" s="13">
        <f>SUMIF(N:N,Online_eCommerce[[#This Row],[Assigned Supervisor]],L:L)</f>
        <v>12261500</v>
      </c>
    </row>
    <row r="4398" spans="1:20" x14ac:dyDescent="0.3">
      <c r="A4398" t="s">
        <v>6452</v>
      </c>
      <c r="B4398" t="s">
        <v>276</v>
      </c>
      <c r="C4398" t="s">
        <v>165</v>
      </c>
      <c r="D4398" t="s">
        <v>6447</v>
      </c>
      <c r="E4398" t="s">
        <v>46</v>
      </c>
      <c r="F4398" t="s">
        <v>6453</v>
      </c>
      <c r="G4398" t="s">
        <v>20</v>
      </c>
      <c r="H4398" t="s">
        <v>21</v>
      </c>
      <c r="I4398">
        <v>10500</v>
      </c>
      <c r="J4398">
        <v>13650</v>
      </c>
      <c r="K4398">
        <v>1</v>
      </c>
      <c r="L4398">
        <v>10500</v>
      </c>
      <c r="M4398">
        <v>13650</v>
      </c>
      <c r="N4398" t="s">
        <v>50</v>
      </c>
      <c r="O4398">
        <f t="shared" si="136"/>
        <v>8450</v>
      </c>
      <c r="P4398" s="13">
        <f t="shared" si="137"/>
        <v>2674087</v>
      </c>
      <c r="Q4398" s="13">
        <f>SUMIFS(M:M,E:E,Online_eCommerce[[#This Row],[Status]])</f>
        <v>28620410</v>
      </c>
      <c r="R4398" s="13">
        <f>SUMIFS(L:L,H:H,Online_eCommerce[[#This Row],[Brand]])</f>
        <v>12435650</v>
      </c>
      <c r="S4398" s="13">
        <f>SUMIF(H:H,Online_eCommerce[[#This Row],[Brand]],M:M)</f>
        <v>16166345</v>
      </c>
      <c r="T4398" s="13">
        <f>SUMIF(N:N,Online_eCommerce[[#This Row],[Assigned Supervisor]],L:L)</f>
        <v>12100590</v>
      </c>
    </row>
    <row r="4399" spans="1:20" hidden="1" x14ac:dyDescent="0.3">
      <c r="A4399" t="s">
        <v>6454</v>
      </c>
      <c r="B4399" t="s">
        <v>280</v>
      </c>
      <c r="C4399" t="s">
        <v>168</v>
      </c>
      <c r="D4399" t="s">
        <v>6447</v>
      </c>
      <c r="E4399" t="s">
        <v>96</v>
      </c>
      <c r="F4399" t="s">
        <v>88</v>
      </c>
      <c r="G4399" t="s">
        <v>26</v>
      </c>
      <c r="H4399" t="s">
        <v>27</v>
      </c>
      <c r="I4399">
        <v>8500</v>
      </c>
      <c r="J4399">
        <v>11050</v>
      </c>
      <c r="K4399">
        <v>1</v>
      </c>
      <c r="L4399">
        <v>8500</v>
      </c>
      <c r="M4399">
        <v>11050</v>
      </c>
      <c r="N4399" t="s">
        <v>56</v>
      </c>
      <c r="O4399">
        <f t="shared" si="136"/>
        <v>33150</v>
      </c>
      <c r="P4399" s="13">
        <f t="shared" si="137"/>
        <v>1937780</v>
      </c>
      <c r="Q4399" s="13">
        <f>SUMIFS(M:M,E:E,Online_eCommerce[[#This Row],[Status]])</f>
        <v>21233992</v>
      </c>
      <c r="R4399" s="13">
        <f>SUMIFS(L:L,H:H,Online_eCommerce[[#This Row],[Brand]])</f>
        <v>14431000</v>
      </c>
      <c r="S4399" s="13">
        <f>SUMIF(H:H,Online_eCommerce[[#This Row],[Brand]],M:M)</f>
        <v>18760300</v>
      </c>
      <c r="T4399" s="13">
        <f>SUMIF(N:N,Online_eCommerce[[#This Row],[Assigned Supervisor]],L:L)</f>
        <v>11733610</v>
      </c>
    </row>
    <row r="4400" spans="1:20" hidden="1" x14ac:dyDescent="0.3">
      <c r="A4400" t="s">
        <v>6455</v>
      </c>
      <c r="B4400" t="s">
        <v>283</v>
      </c>
      <c r="C4400" t="s">
        <v>172</v>
      </c>
      <c r="D4400" t="s">
        <v>6447</v>
      </c>
      <c r="E4400" t="s">
        <v>18</v>
      </c>
      <c r="F4400" t="s">
        <v>32</v>
      </c>
      <c r="G4400" t="s">
        <v>33</v>
      </c>
      <c r="H4400" t="s">
        <v>34</v>
      </c>
      <c r="I4400">
        <v>7000</v>
      </c>
      <c r="J4400">
        <v>9100</v>
      </c>
      <c r="K4400">
        <v>3</v>
      </c>
      <c r="L4400">
        <v>21000</v>
      </c>
      <c r="M4400">
        <v>27300</v>
      </c>
      <c r="N4400" t="s">
        <v>22</v>
      </c>
      <c r="O4400">
        <f t="shared" si="136"/>
        <v>18200</v>
      </c>
      <c r="P4400" s="13">
        <f t="shared" si="137"/>
        <v>2640274</v>
      </c>
      <c r="Q4400" s="13">
        <f>SUMIFS(M:M,E:E,Online_eCommerce[[#This Row],[Status]])</f>
        <v>28340455</v>
      </c>
      <c r="R4400" s="13">
        <f>SUMIFS(L:L,H:H,Online_eCommerce[[#This Row],[Brand]])</f>
        <v>10087000</v>
      </c>
      <c r="S4400" s="13">
        <f>SUMIF(H:H,Online_eCommerce[[#This Row],[Brand]],M:M)</f>
        <v>13113100</v>
      </c>
      <c r="T4400" s="13">
        <f>SUMIF(N:N,Online_eCommerce[[#This Row],[Assigned Supervisor]],L:L)</f>
        <v>13693220</v>
      </c>
    </row>
    <row r="4401" spans="1:20" hidden="1" x14ac:dyDescent="0.3">
      <c r="A4401" t="s">
        <v>6456</v>
      </c>
      <c r="B4401" t="s">
        <v>287</v>
      </c>
      <c r="C4401" t="s">
        <v>177</v>
      </c>
      <c r="D4401" t="s">
        <v>6447</v>
      </c>
      <c r="E4401" t="s">
        <v>161</v>
      </c>
      <c r="F4401" t="s">
        <v>6457</v>
      </c>
      <c r="G4401" t="s">
        <v>40</v>
      </c>
      <c r="H4401" t="s">
        <v>41</v>
      </c>
      <c r="I4401">
        <v>1680</v>
      </c>
      <c r="J4401">
        <v>2184</v>
      </c>
      <c r="K4401">
        <v>3</v>
      </c>
      <c r="L4401">
        <v>5040</v>
      </c>
      <c r="M4401">
        <v>6552</v>
      </c>
      <c r="N4401" t="s">
        <v>28</v>
      </c>
      <c r="O4401">
        <f t="shared" si="136"/>
        <v>25545</v>
      </c>
      <c r="P4401" s="13">
        <f t="shared" si="137"/>
        <v>1863810</v>
      </c>
      <c r="Q4401" s="13">
        <f>SUMIFS(M:M,E:E,Online_eCommerce[[#This Row],[Status]])</f>
        <v>21103186</v>
      </c>
      <c r="R4401" s="13">
        <f>SUMIFS(L:L,H:H,Online_eCommerce[[#This Row],[Brand]])</f>
        <v>4260400</v>
      </c>
      <c r="S4401" s="13">
        <f>SUMIF(H:H,Online_eCommerce[[#This Row],[Brand]],M:M)</f>
        <v>5538520</v>
      </c>
      <c r="T4401" s="13">
        <f>SUMIF(N:N,Online_eCommerce[[#This Row],[Assigned Supervisor]],L:L)</f>
        <v>12220830</v>
      </c>
    </row>
    <row r="4402" spans="1:20" x14ac:dyDescent="0.3">
      <c r="A4402" t="s">
        <v>6458</v>
      </c>
      <c r="B4402" t="s">
        <v>290</v>
      </c>
      <c r="C4402" t="s">
        <v>181</v>
      </c>
      <c r="D4402" t="s">
        <v>6447</v>
      </c>
      <c r="E4402" t="s">
        <v>46</v>
      </c>
      <c r="F4402" t="s">
        <v>101</v>
      </c>
      <c r="G4402" t="s">
        <v>334</v>
      </c>
      <c r="H4402" t="s">
        <v>102</v>
      </c>
      <c r="I4402">
        <v>6540</v>
      </c>
      <c r="J4402">
        <v>8502</v>
      </c>
      <c r="K4402">
        <v>1</v>
      </c>
      <c r="L4402">
        <v>6540</v>
      </c>
      <c r="M4402">
        <v>8502</v>
      </c>
      <c r="N4402" t="s">
        <v>35</v>
      </c>
      <c r="O4402">
        <f t="shared" si="136"/>
        <v>39780</v>
      </c>
      <c r="P4402" s="13">
        <f t="shared" si="137"/>
        <v>2577458</v>
      </c>
      <c r="Q4402" s="13">
        <f>SUMIFS(M:M,E:E,Online_eCommerce[[#This Row],[Status]])</f>
        <v>28620410</v>
      </c>
      <c r="R4402" s="13">
        <f>SUMIFS(L:L,H:H,Online_eCommerce[[#This Row],[Brand]])</f>
        <v>2465580</v>
      </c>
      <c r="S4402" s="13">
        <f>SUMIF(H:H,Online_eCommerce[[#This Row],[Brand]],M:M)</f>
        <v>3205254</v>
      </c>
      <c r="T4402" s="13">
        <f>SUMIF(N:N,Online_eCommerce[[#This Row],[Assigned Supervisor]],L:L)</f>
        <v>14373360</v>
      </c>
    </row>
    <row r="4403" spans="1:20" hidden="1" x14ac:dyDescent="0.3">
      <c r="A4403" t="s">
        <v>6459</v>
      </c>
      <c r="B4403" t="s">
        <v>15</v>
      </c>
      <c r="C4403" t="s">
        <v>185</v>
      </c>
      <c r="D4403" t="s">
        <v>6447</v>
      </c>
      <c r="E4403" t="s">
        <v>96</v>
      </c>
      <c r="F4403" t="s">
        <v>107</v>
      </c>
      <c r="G4403" t="s">
        <v>54</v>
      </c>
      <c r="H4403" t="s">
        <v>55</v>
      </c>
      <c r="I4403">
        <v>2680</v>
      </c>
      <c r="J4403">
        <v>3484</v>
      </c>
      <c r="K4403">
        <v>2</v>
      </c>
      <c r="L4403">
        <v>5360</v>
      </c>
      <c r="M4403">
        <v>6968</v>
      </c>
      <c r="N4403" t="s">
        <v>42</v>
      </c>
      <c r="O4403">
        <f t="shared" si="136"/>
        <v>2990</v>
      </c>
      <c r="P4403" s="13">
        <f t="shared" si="137"/>
        <v>2091596</v>
      </c>
      <c r="Q4403" s="13">
        <f>SUMIFS(M:M,E:E,Online_eCommerce[[#This Row],[Status]])</f>
        <v>21233992</v>
      </c>
      <c r="R4403" s="13">
        <f>SUMIFS(L:L,H:H,Online_eCommerce[[#This Row],[Brand]])</f>
        <v>2267380</v>
      </c>
      <c r="S4403" s="13">
        <f>SUMIF(H:H,Online_eCommerce[[#This Row],[Brand]],M:M)</f>
        <v>2947594</v>
      </c>
      <c r="T4403" s="13">
        <f>SUMIF(N:N,Online_eCommerce[[#This Row],[Assigned Supervisor]],L:L)</f>
        <v>12261500</v>
      </c>
    </row>
    <row r="4404" spans="1:20" hidden="1" x14ac:dyDescent="0.3">
      <c r="A4404" t="s">
        <v>6460</v>
      </c>
      <c r="B4404" t="s">
        <v>202</v>
      </c>
      <c r="C4404" t="s">
        <v>189</v>
      </c>
      <c r="D4404" t="s">
        <v>6447</v>
      </c>
      <c r="E4404" t="s">
        <v>18</v>
      </c>
      <c r="F4404" t="s">
        <v>112</v>
      </c>
      <c r="G4404" t="s">
        <v>71</v>
      </c>
      <c r="H4404" t="s">
        <v>21</v>
      </c>
      <c r="I4404">
        <v>8250</v>
      </c>
      <c r="J4404">
        <v>10725</v>
      </c>
      <c r="K4404">
        <v>4</v>
      </c>
      <c r="L4404">
        <v>33000</v>
      </c>
      <c r="M4404">
        <v>42900</v>
      </c>
      <c r="N4404" t="s">
        <v>50</v>
      </c>
      <c r="O4404">
        <f t="shared" si="136"/>
        <v>9750</v>
      </c>
      <c r="P4404" s="13">
        <f t="shared" si="137"/>
        <v>2740777</v>
      </c>
      <c r="Q4404" s="13">
        <f>SUMIFS(M:M,E:E,Online_eCommerce[[#This Row],[Status]])</f>
        <v>28340455</v>
      </c>
      <c r="R4404" s="13">
        <f>SUMIFS(L:L,H:H,Online_eCommerce[[#This Row],[Brand]])</f>
        <v>12435650</v>
      </c>
      <c r="S4404" s="13">
        <f>SUMIF(H:H,Online_eCommerce[[#This Row],[Brand]],M:M)</f>
        <v>16166345</v>
      </c>
      <c r="T4404" s="13">
        <f>SUMIF(N:N,Online_eCommerce[[#This Row],[Assigned Supervisor]],L:L)</f>
        <v>12100590</v>
      </c>
    </row>
    <row r="4405" spans="1:20" hidden="1" x14ac:dyDescent="0.3">
      <c r="A4405" t="s">
        <v>6461</v>
      </c>
      <c r="B4405" t="s">
        <v>30</v>
      </c>
      <c r="C4405" t="s">
        <v>193</v>
      </c>
      <c r="D4405" t="s">
        <v>6447</v>
      </c>
      <c r="E4405" t="s">
        <v>161</v>
      </c>
      <c r="F4405" t="s">
        <v>6078</v>
      </c>
      <c r="G4405" t="s">
        <v>40</v>
      </c>
      <c r="H4405" t="s">
        <v>21</v>
      </c>
      <c r="I4405">
        <v>2650</v>
      </c>
      <c r="J4405">
        <v>3445</v>
      </c>
      <c r="K4405">
        <v>3</v>
      </c>
      <c r="L4405">
        <v>7950</v>
      </c>
      <c r="M4405">
        <v>10335</v>
      </c>
      <c r="N4405" t="s">
        <v>56</v>
      </c>
      <c r="O4405">
        <f t="shared" si="136"/>
        <v>25545</v>
      </c>
      <c r="P4405" s="13">
        <f t="shared" si="137"/>
        <v>2074774</v>
      </c>
      <c r="Q4405" s="13">
        <f>SUMIFS(M:M,E:E,Online_eCommerce[[#This Row],[Status]])</f>
        <v>21103186</v>
      </c>
      <c r="R4405" s="13">
        <f>SUMIFS(L:L,H:H,Online_eCommerce[[#This Row],[Brand]])</f>
        <v>12435650</v>
      </c>
      <c r="S4405" s="13">
        <f>SUMIF(H:H,Online_eCommerce[[#This Row],[Brand]],M:M)</f>
        <v>16166345</v>
      </c>
      <c r="T4405" s="13">
        <f>SUMIF(N:N,Online_eCommerce[[#This Row],[Assigned Supervisor]],L:L)</f>
        <v>11733610</v>
      </c>
    </row>
    <row r="4406" spans="1:20" x14ac:dyDescent="0.3">
      <c r="A4406" t="s">
        <v>6462</v>
      </c>
      <c r="B4406" t="s">
        <v>37</v>
      </c>
      <c r="C4406" t="s">
        <v>197</v>
      </c>
      <c r="D4406" t="s">
        <v>6447</v>
      </c>
      <c r="E4406" t="s">
        <v>46</v>
      </c>
      <c r="F4406" t="s">
        <v>121</v>
      </c>
      <c r="G4406" t="s">
        <v>71</v>
      </c>
      <c r="H4406" t="s">
        <v>122</v>
      </c>
      <c r="I4406">
        <v>12550</v>
      </c>
      <c r="J4406">
        <v>16315</v>
      </c>
      <c r="K4406">
        <v>1</v>
      </c>
      <c r="L4406">
        <v>12550</v>
      </c>
      <c r="M4406">
        <v>16315</v>
      </c>
      <c r="N4406" t="s">
        <v>22</v>
      </c>
      <c r="O4406">
        <f t="shared" si="136"/>
        <v>9750</v>
      </c>
      <c r="P4406" s="13">
        <f t="shared" si="137"/>
        <v>2829840</v>
      </c>
      <c r="Q4406" s="13">
        <f>SUMIFS(M:M,E:E,Online_eCommerce[[#This Row],[Status]])</f>
        <v>28620410</v>
      </c>
      <c r="R4406" s="13">
        <f>SUMIFS(L:L,H:H,Online_eCommerce[[#This Row],[Brand]])</f>
        <v>5045100</v>
      </c>
      <c r="S4406" s="13">
        <f>SUMIF(H:H,Online_eCommerce[[#This Row],[Brand]],M:M)</f>
        <v>6558630</v>
      </c>
      <c r="T4406" s="13">
        <f>SUMIF(N:N,Online_eCommerce[[#This Row],[Assigned Supervisor]],L:L)</f>
        <v>13693220</v>
      </c>
    </row>
    <row r="4407" spans="1:20" hidden="1" x14ac:dyDescent="0.3">
      <c r="A4407" t="s">
        <v>6463</v>
      </c>
      <c r="B4407" t="s">
        <v>44</v>
      </c>
      <c r="C4407" t="s">
        <v>199</v>
      </c>
      <c r="D4407" t="s">
        <v>6447</v>
      </c>
      <c r="E4407" t="s">
        <v>96</v>
      </c>
      <c r="F4407" t="s">
        <v>126</v>
      </c>
      <c r="G4407" t="s">
        <v>26</v>
      </c>
      <c r="H4407" t="s">
        <v>27</v>
      </c>
      <c r="I4407">
        <v>14500</v>
      </c>
      <c r="J4407">
        <v>18850</v>
      </c>
      <c r="K4407">
        <v>1</v>
      </c>
      <c r="L4407">
        <v>14500</v>
      </c>
      <c r="M4407">
        <v>18850</v>
      </c>
      <c r="N4407" t="s">
        <v>28</v>
      </c>
      <c r="O4407">
        <f t="shared" si="136"/>
        <v>33150</v>
      </c>
      <c r="P4407" s="13">
        <f t="shared" si="137"/>
        <v>1947361</v>
      </c>
      <c r="Q4407" s="13">
        <f>SUMIFS(M:M,E:E,Online_eCommerce[[#This Row],[Status]])</f>
        <v>21233992</v>
      </c>
      <c r="R4407" s="13">
        <f>SUMIFS(L:L,H:H,Online_eCommerce[[#This Row],[Brand]])</f>
        <v>14431000</v>
      </c>
      <c r="S4407" s="13">
        <f>SUMIF(H:H,Online_eCommerce[[#This Row],[Brand]],M:M)</f>
        <v>18760300</v>
      </c>
      <c r="T4407" s="13">
        <f>SUMIF(N:N,Online_eCommerce[[#This Row],[Assigned Supervisor]],L:L)</f>
        <v>12220830</v>
      </c>
    </row>
    <row r="4408" spans="1:20" hidden="1" x14ac:dyDescent="0.3">
      <c r="A4408" t="s">
        <v>6464</v>
      </c>
      <c r="B4408" t="s">
        <v>213</v>
      </c>
      <c r="C4408" t="s">
        <v>203</v>
      </c>
      <c r="D4408" t="s">
        <v>6447</v>
      </c>
      <c r="E4408" t="s">
        <v>18</v>
      </c>
      <c r="F4408" t="s">
        <v>129</v>
      </c>
      <c r="G4408" t="s">
        <v>60</v>
      </c>
      <c r="H4408" t="s">
        <v>61</v>
      </c>
      <c r="I4408">
        <v>800</v>
      </c>
      <c r="J4408">
        <v>1040</v>
      </c>
      <c r="K4408">
        <v>2</v>
      </c>
      <c r="L4408">
        <v>1600</v>
      </c>
      <c r="M4408">
        <v>2080</v>
      </c>
      <c r="N4408" t="s">
        <v>35</v>
      </c>
      <c r="O4408">
        <f t="shared" si="136"/>
        <v>3315</v>
      </c>
      <c r="P4408" s="13">
        <f t="shared" si="137"/>
        <v>2559635</v>
      </c>
      <c r="Q4408" s="13">
        <f>SUMIFS(M:M,E:E,Online_eCommerce[[#This Row],[Status]])</f>
        <v>28340455</v>
      </c>
      <c r="R4408" s="13">
        <f>SUMIFS(L:L,H:H,Online_eCommerce[[#This Row],[Brand]])</f>
        <v>10950150</v>
      </c>
      <c r="S4408" s="13">
        <f>SUMIF(H:H,Online_eCommerce[[#This Row],[Brand]],M:M)</f>
        <v>14235195</v>
      </c>
      <c r="T4408" s="13">
        <f>SUMIF(N:N,Online_eCommerce[[#This Row],[Assigned Supervisor]],L:L)</f>
        <v>14373360</v>
      </c>
    </row>
    <row r="4409" spans="1:20" hidden="1" x14ac:dyDescent="0.3">
      <c r="A4409" t="s">
        <v>6465</v>
      </c>
      <c r="B4409" t="s">
        <v>215</v>
      </c>
      <c r="C4409" t="s">
        <v>205</v>
      </c>
      <c r="D4409" t="s">
        <v>6447</v>
      </c>
      <c r="E4409" t="s">
        <v>161</v>
      </c>
      <c r="F4409" t="s">
        <v>133</v>
      </c>
      <c r="G4409" t="s">
        <v>66</v>
      </c>
      <c r="H4409" t="s">
        <v>21</v>
      </c>
      <c r="I4409">
        <v>600</v>
      </c>
      <c r="J4409">
        <v>780</v>
      </c>
      <c r="K4409">
        <v>3</v>
      </c>
      <c r="L4409">
        <v>1800</v>
      </c>
      <c r="M4409">
        <v>2340</v>
      </c>
      <c r="N4409" t="s">
        <v>42</v>
      </c>
      <c r="O4409">
        <f t="shared" si="136"/>
        <v>1690</v>
      </c>
      <c r="P4409" s="13">
        <f t="shared" si="137"/>
        <v>1983254</v>
      </c>
      <c r="Q4409" s="13">
        <f>SUMIFS(M:M,E:E,Online_eCommerce[[#This Row],[Status]])</f>
        <v>21103186</v>
      </c>
      <c r="R4409" s="13">
        <f>SUMIFS(L:L,H:H,Online_eCommerce[[#This Row],[Brand]])</f>
        <v>12435650</v>
      </c>
      <c r="S4409" s="13">
        <f>SUMIF(H:H,Online_eCommerce[[#This Row],[Brand]],M:M)</f>
        <v>16166345</v>
      </c>
      <c r="T4409" s="13">
        <f>SUMIF(N:N,Online_eCommerce[[#This Row],[Assigned Supervisor]],L:L)</f>
        <v>12261500</v>
      </c>
    </row>
    <row r="4410" spans="1:20" x14ac:dyDescent="0.3">
      <c r="A4410" t="s">
        <v>6466</v>
      </c>
      <c r="B4410" t="s">
        <v>306</v>
      </c>
      <c r="C4410" t="s">
        <v>208</v>
      </c>
      <c r="D4410" t="s">
        <v>6447</v>
      </c>
      <c r="E4410" t="s">
        <v>46</v>
      </c>
      <c r="F4410" t="s">
        <v>137</v>
      </c>
      <c r="G4410" t="s">
        <v>71</v>
      </c>
      <c r="H4410" t="s">
        <v>61</v>
      </c>
      <c r="I4410">
        <v>10500</v>
      </c>
      <c r="J4410">
        <v>13650</v>
      </c>
      <c r="K4410">
        <v>1</v>
      </c>
      <c r="L4410">
        <v>10500</v>
      </c>
      <c r="M4410">
        <v>13650</v>
      </c>
      <c r="N4410" t="s">
        <v>50</v>
      </c>
      <c r="O4410">
        <f t="shared" si="136"/>
        <v>9750</v>
      </c>
      <c r="P4410" s="13">
        <f t="shared" si="137"/>
        <v>2746575</v>
      </c>
      <c r="Q4410" s="13">
        <f>SUMIFS(M:M,E:E,Online_eCommerce[[#This Row],[Status]])</f>
        <v>28620410</v>
      </c>
      <c r="R4410" s="13">
        <f>SUMIFS(L:L,H:H,Online_eCommerce[[#This Row],[Brand]])</f>
        <v>10950150</v>
      </c>
      <c r="S4410" s="13">
        <f>SUMIF(H:H,Online_eCommerce[[#This Row],[Brand]],M:M)</f>
        <v>14235195</v>
      </c>
      <c r="T4410" s="13">
        <f>SUMIF(N:N,Online_eCommerce[[#This Row],[Assigned Supervisor]],L:L)</f>
        <v>12100590</v>
      </c>
    </row>
    <row r="4411" spans="1:20" hidden="1" x14ac:dyDescent="0.3">
      <c r="A4411" t="s">
        <v>6467</v>
      </c>
      <c r="B4411" t="s">
        <v>528</v>
      </c>
      <c r="C4411" t="s">
        <v>211</v>
      </c>
      <c r="D4411" t="s">
        <v>6447</v>
      </c>
      <c r="E4411" t="s">
        <v>96</v>
      </c>
      <c r="F4411" t="s">
        <v>6437</v>
      </c>
      <c r="G4411" t="s">
        <v>77</v>
      </c>
      <c r="H4411" t="s">
        <v>142</v>
      </c>
      <c r="I4411">
        <v>6500</v>
      </c>
      <c r="J4411">
        <v>8450</v>
      </c>
      <c r="K4411">
        <v>1</v>
      </c>
      <c r="L4411">
        <v>6500</v>
      </c>
      <c r="M4411">
        <v>8450</v>
      </c>
      <c r="N4411" t="s">
        <v>22</v>
      </c>
      <c r="O4411">
        <f t="shared" si="136"/>
        <v>39000</v>
      </c>
      <c r="P4411" s="13">
        <f t="shared" si="137"/>
        <v>1809847</v>
      </c>
      <c r="Q4411" s="13">
        <f>SUMIFS(M:M,E:E,Online_eCommerce[[#This Row],[Status]])</f>
        <v>21233992</v>
      </c>
      <c r="R4411" s="13">
        <f>SUMIFS(L:L,H:H,Online_eCommerce[[#This Row],[Brand]])</f>
        <v>6192500</v>
      </c>
      <c r="S4411" s="13">
        <f>SUMIF(H:H,Online_eCommerce[[#This Row],[Brand]],M:M)</f>
        <v>8050250</v>
      </c>
      <c r="T4411" s="13">
        <f>SUMIF(N:N,Online_eCommerce[[#This Row],[Assigned Supervisor]],L:L)</f>
        <v>13693220</v>
      </c>
    </row>
    <row r="4412" spans="1:20" hidden="1" x14ac:dyDescent="0.3">
      <c r="A4412" t="s">
        <v>6468</v>
      </c>
      <c r="B4412" t="s">
        <v>73</v>
      </c>
      <c r="C4412" t="s">
        <v>16</v>
      </c>
      <c r="D4412" t="s">
        <v>6447</v>
      </c>
      <c r="E4412" t="s">
        <v>18</v>
      </c>
      <c r="F4412" t="s">
        <v>6469</v>
      </c>
      <c r="G4412" t="s">
        <v>20</v>
      </c>
      <c r="H4412" t="s">
        <v>21</v>
      </c>
      <c r="I4412">
        <v>4500</v>
      </c>
      <c r="J4412">
        <v>5850</v>
      </c>
      <c r="K4412">
        <v>3</v>
      </c>
      <c r="L4412">
        <v>13500</v>
      </c>
      <c r="M4412">
        <v>17550</v>
      </c>
      <c r="N4412" t="s">
        <v>22</v>
      </c>
      <c r="O4412">
        <f t="shared" si="136"/>
        <v>8450</v>
      </c>
      <c r="P4412" s="13">
        <f t="shared" si="137"/>
        <v>2751814</v>
      </c>
      <c r="Q4412" s="13">
        <f>SUMIFS(M:M,E:E,Online_eCommerce[[#This Row],[Status]])</f>
        <v>28340455</v>
      </c>
      <c r="R4412" s="13">
        <f>SUMIFS(L:L,H:H,Online_eCommerce[[#This Row],[Brand]])</f>
        <v>12435650</v>
      </c>
      <c r="S4412" s="13">
        <f>SUMIF(H:H,Online_eCommerce[[#This Row],[Brand]],M:M)</f>
        <v>16166345</v>
      </c>
      <c r="T4412" s="13">
        <f>SUMIF(N:N,Online_eCommerce[[#This Row],[Assigned Supervisor]],L:L)</f>
        <v>13693220</v>
      </c>
    </row>
    <row r="4413" spans="1:20" hidden="1" x14ac:dyDescent="0.3">
      <c r="A4413" t="s">
        <v>6470</v>
      </c>
      <c r="B4413" t="s">
        <v>80</v>
      </c>
      <c r="C4413" t="s">
        <v>24</v>
      </c>
      <c r="D4413" t="s">
        <v>6447</v>
      </c>
      <c r="E4413" t="s">
        <v>161</v>
      </c>
      <c r="F4413" t="s">
        <v>152</v>
      </c>
      <c r="G4413" t="s">
        <v>26</v>
      </c>
      <c r="H4413" t="s">
        <v>27</v>
      </c>
      <c r="I4413">
        <v>8500</v>
      </c>
      <c r="J4413">
        <v>11050</v>
      </c>
      <c r="K4413">
        <v>2</v>
      </c>
      <c r="L4413">
        <v>17000</v>
      </c>
      <c r="M4413">
        <v>22100</v>
      </c>
      <c r="N4413" t="s">
        <v>22</v>
      </c>
      <c r="O4413">
        <f t="shared" si="136"/>
        <v>33150</v>
      </c>
      <c r="P4413" s="13">
        <f t="shared" si="137"/>
        <v>2009540</v>
      </c>
      <c r="Q4413" s="13">
        <f>SUMIFS(M:M,E:E,Online_eCommerce[[#This Row],[Status]])</f>
        <v>21103186</v>
      </c>
      <c r="R4413" s="13">
        <f>SUMIFS(L:L,H:H,Online_eCommerce[[#This Row],[Brand]])</f>
        <v>14431000</v>
      </c>
      <c r="S4413" s="13">
        <f>SUMIF(H:H,Online_eCommerce[[#This Row],[Brand]],M:M)</f>
        <v>18760300</v>
      </c>
      <c r="T4413" s="13">
        <f>SUMIF(N:N,Online_eCommerce[[#This Row],[Assigned Supervisor]],L:L)</f>
        <v>13693220</v>
      </c>
    </row>
    <row r="4414" spans="1:20" x14ac:dyDescent="0.3">
      <c r="A4414" t="s">
        <v>6471</v>
      </c>
      <c r="B4414" t="s">
        <v>85</v>
      </c>
      <c r="C4414" t="s">
        <v>31</v>
      </c>
      <c r="D4414" t="s">
        <v>6447</v>
      </c>
      <c r="E4414" t="s">
        <v>46</v>
      </c>
      <c r="F4414" t="s">
        <v>157</v>
      </c>
      <c r="G4414" t="s">
        <v>33</v>
      </c>
      <c r="H4414" t="s">
        <v>34</v>
      </c>
      <c r="I4414">
        <v>12500</v>
      </c>
      <c r="J4414">
        <v>16250</v>
      </c>
      <c r="K4414">
        <v>1</v>
      </c>
      <c r="L4414">
        <v>12500</v>
      </c>
      <c r="M4414">
        <v>16250</v>
      </c>
      <c r="N4414" t="s">
        <v>22</v>
      </c>
      <c r="O4414">
        <f t="shared" si="136"/>
        <v>18200</v>
      </c>
      <c r="P4414" s="13">
        <f t="shared" si="137"/>
        <v>2865746</v>
      </c>
      <c r="Q4414" s="13">
        <f>SUMIFS(M:M,E:E,Online_eCommerce[[#This Row],[Status]])</f>
        <v>28620410</v>
      </c>
      <c r="R4414" s="13">
        <f>SUMIFS(L:L,H:H,Online_eCommerce[[#This Row],[Brand]])</f>
        <v>10087000</v>
      </c>
      <c r="S4414" s="13">
        <f>SUMIF(H:H,Online_eCommerce[[#This Row],[Brand]],M:M)</f>
        <v>13113100</v>
      </c>
      <c r="T4414" s="13">
        <f>SUMIF(N:N,Online_eCommerce[[#This Row],[Assigned Supervisor]],L:L)</f>
        <v>13693220</v>
      </c>
    </row>
    <row r="4415" spans="1:20" hidden="1" x14ac:dyDescent="0.3">
      <c r="A4415" t="s">
        <v>6472</v>
      </c>
      <c r="B4415" t="s">
        <v>90</v>
      </c>
      <c r="C4415" t="s">
        <v>38</v>
      </c>
      <c r="D4415" t="s">
        <v>6447</v>
      </c>
      <c r="E4415" t="s">
        <v>96</v>
      </c>
      <c r="F4415" t="s">
        <v>6126</v>
      </c>
      <c r="G4415" t="s">
        <v>163</v>
      </c>
      <c r="H4415" t="s">
        <v>41</v>
      </c>
      <c r="I4415">
        <v>3500</v>
      </c>
      <c r="J4415">
        <v>4550</v>
      </c>
      <c r="K4415">
        <v>4</v>
      </c>
      <c r="L4415">
        <v>14000</v>
      </c>
      <c r="M4415">
        <v>18200</v>
      </c>
      <c r="N4415" t="s">
        <v>22</v>
      </c>
      <c r="O4415">
        <f t="shared" si="136"/>
        <v>13650</v>
      </c>
      <c r="P4415" s="13">
        <f t="shared" si="137"/>
        <v>1933997</v>
      </c>
      <c r="Q4415" s="13">
        <f>SUMIFS(M:M,E:E,Online_eCommerce[[#This Row],[Status]])</f>
        <v>21233992</v>
      </c>
      <c r="R4415" s="13">
        <f>SUMIFS(L:L,H:H,Online_eCommerce[[#This Row],[Brand]])</f>
        <v>4260400</v>
      </c>
      <c r="S4415" s="13">
        <f>SUMIF(H:H,Online_eCommerce[[#This Row],[Brand]],M:M)</f>
        <v>5538520</v>
      </c>
      <c r="T4415" s="13">
        <f>SUMIF(N:N,Online_eCommerce[[#This Row],[Assigned Supervisor]],L:L)</f>
        <v>13693220</v>
      </c>
    </row>
    <row r="4416" spans="1:20" hidden="1" x14ac:dyDescent="0.3">
      <c r="A4416" t="s">
        <v>6473</v>
      </c>
      <c r="B4416" t="s">
        <v>232</v>
      </c>
      <c r="C4416" t="s">
        <v>45</v>
      </c>
      <c r="D4416" t="s">
        <v>6447</v>
      </c>
      <c r="E4416" t="s">
        <v>18</v>
      </c>
      <c r="F4416" t="s">
        <v>166</v>
      </c>
      <c r="G4416" t="s">
        <v>66</v>
      </c>
      <c r="H4416" t="s">
        <v>49</v>
      </c>
      <c r="I4416">
        <v>4500</v>
      </c>
      <c r="J4416">
        <v>5850</v>
      </c>
      <c r="K4416">
        <v>2</v>
      </c>
      <c r="L4416">
        <v>9000</v>
      </c>
      <c r="M4416">
        <v>11700</v>
      </c>
      <c r="N4416" t="s">
        <v>22</v>
      </c>
      <c r="O4416">
        <f t="shared" si="136"/>
        <v>1690</v>
      </c>
      <c r="P4416" s="13">
        <f t="shared" si="137"/>
        <v>2842554</v>
      </c>
      <c r="Q4416" s="13">
        <f>SUMIFS(M:M,E:E,Online_eCommerce[[#This Row],[Status]])</f>
        <v>28340455</v>
      </c>
      <c r="R4416" s="13">
        <f>SUMIFS(L:L,H:H,Online_eCommerce[[#This Row],[Brand]])</f>
        <v>4528350</v>
      </c>
      <c r="S4416" s="13">
        <f>SUMIF(H:H,Online_eCommerce[[#This Row],[Brand]],M:M)</f>
        <v>5886855</v>
      </c>
      <c r="T4416" s="13">
        <f>SUMIF(N:N,Online_eCommerce[[#This Row],[Assigned Supervisor]],L:L)</f>
        <v>13693220</v>
      </c>
    </row>
    <row r="4417" spans="1:20" hidden="1" x14ac:dyDescent="0.3">
      <c r="A4417" t="s">
        <v>6474</v>
      </c>
      <c r="B4417" t="s">
        <v>235</v>
      </c>
      <c r="C4417" t="s">
        <v>52</v>
      </c>
      <c r="D4417" t="s">
        <v>6447</v>
      </c>
      <c r="E4417" t="s">
        <v>161</v>
      </c>
      <c r="F4417" t="s">
        <v>6475</v>
      </c>
      <c r="G4417" t="s">
        <v>54</v>
      </c>
      <c r="H4417" t="s">
        <v>55</v>
      </c>
      <c r="I4417">
        <v>2100</v>
      </c>
      <c r="J4417">
        <v>2730</v>
      </c>
      <c r="K4417">
        <v>1</v>
      </c>
      <c r="L4417">
        <v>2100</v>
      </c>
      <c r="M4417">
        <v>2730</v>
      </c>
      <c r="N4417" t="s">
        <v>22</v>
      </c>
      <c r="O4417">
        <f t="shared" si="136"/>
        <v>2990</v>
      </c>
      <c r="P4417" s="13">
        <f t="shared" si="137"/>
        <v>1955044</v>
      </c>
      <c r="Q4417" s="13">
        <f>SUMIFS(M:M,E:E,Online_eCommerce[[#This Row],[Status]])</f>
        <v>21103186</v>
      </c>
      <c r="R4417" s="13">
        <f>SUMIFS(L:L,H:H,Online_eCommerce[[#This Row],[Brand]])</f>
        <v>2267380</v>
      </c>
      <c r="S4417" s="13">
        <f>SUMIF(H:H,Online_eCommerce[[#This Row],[Brand]],M:M)</f>
        <v>2947594</v>
      </c>
      <c r="T4417" s="13">
        <f>SUMIF(N:N,Online_eCommerce[[#This Row],[Assigned Supervisor]],L:L)</f>
        <v>13693220</v>
      </c>
    </row>
    <row r="4418" spans="1:20" x14ac:dyDescent="0.3">
      <c r="A4418" t="s">
        <v>6476</v>
      </c>
      <c r="B4418" t="s">
        <v>104</v>
      </c>
      <c r="C4418" t="s">
        <v>58</v>
      </c>
      <c r="D4418" t="s">
        <v>6447</v>
      </c>
      <c r="E4418" t="s">
        <v>46</v>
      </c>
      <c r="F4418" t="s">
        <v>174</v>
      </c>
      <c r="G4418" t="s">
        <v>60</v>
      </c>
      <c r="H4418" t="s">
        <v>61</v>
      </c>
      <c r="I4418">
        <v>1150</v>
      </c>
      <c r="J4418">
        <v>1495</v>
      </c>
      <c r="K4418">
        <v>2</v>
      </c>
      <c r="L4418">
        <v>2300</v>
      </c>
      <c r="M4418">
        <v>2990</v>
      </c>
      <c r="N4418" t="s">
        <v>22</v>
      </c>
      <c r="O4418">
        <f t="shared" ref="O4418:O4481" si="138">VLOOKUP(G4418,G:M,7,FALSE)</f>
        <v>3315</v>
      </c>
      <c r="P4418" s="13">
        <f t="shared" ref="P4418:P4481" si="139">SUMIFS(M:M,C:C,C4418)</f>
        <v>2629211</v>
      </c>
      <c r="Q4418" s="13">
        <f>SUMIFS(M:M,E:E,Online_eCommerce[[#This Row],[Status]])</f>
        <v>28620410</v>
      </c>
      <c r="R4418" s="13">
        <f>SUMIFS(L:L,H:H,Online_eCommerce[[#This Row],[Brand]])</f>
        <v>10950150</v>
      </c>
      <c r="S4418" s="13">
        <f>SUMIF(H:H,Online_eCommerce[[#This Row],[Brand]],M:M)</f>
        <v>14235195</v>
      </c>
      <c r="T4418" s="13">
        <f>SUMIF(N:N,Online_eCommerce[[#This Row],[Assigned Supervisor]],L:L)</f>
        <v>13693220</v>
      </c>
    </row>
    <row r="4419" spans="1:20" hidden="1" x14ac:dyDescent="0.3">
      <c r="A4419" t="s">
        <v>6477</v>
      </c>
      <c r="B4419" t="s">
        <v>109</v>
      </c>
      <c r="C4419" t="s">
        <v>63</v>
      </c>
      <c r="D4419" t="s">
        <v>6447</v>
      </c>
      <c r="E4419" t="s">
        <v>96</v>
      </c>
      <c r="F4419" t="s">
        <v>179</v>
      </c>
      <c r="G4419" t="s">
        <v>66</v>
      </c>
      <c r="H4419" t="s">
        <v>21</v>
      </c>
      <c r="I4419">
        <v>350</v>
      </c>
      <c r="J4419">
        <v>455</v>
      </c>
      <c r="K4419">
        <v>3</v>
      </c>
      <c r="L4419">
        <v>1050</v>
      </c>
      <c r="M4419">
        <v>1365</v>
      </c>
      <c r="N4419" t="s">
        <v>22</v>
      </c>
      <c r="O4419">
        <f t="shared" si="138"/>
        <v>1690</v>
      </c>
      <c r="P4419" s="13">
        <f t="shared" si="139"/>
        <v>2016131</v>
      </c>
      <c r="Q4419" s="13">
        <f>SUMIFS(M:M,E:E,Online_eCommerce[[#This Row],[Status]])</f>
        <v>21233992</v>
      </c>
      <c r="R4419" s="13">
        <f>SUMIFS(L:L,H:H,Online_eCommerce[[#This Row],[Brand]])</f>
        <v>12435650</v>
      </c>
      <c r="S4419" s="13">
        <f>SUMIF(H:H,Online_eCommerce[[#This Row],[Brand]],M:M)</f>
        <v>16166345</v>
      </c>
      <c r="T4419" s="13">
        <f>SUMIF(N:N,Online_eCommerce[[#This Row],[Assigned Supervisor]],L:L)</f>
        <v>13693220</v>
      </c>
    </row>
    <row r="4420" spans="1:20" hidden="1" x14ac:dyDescent="0.3">
      <c r="A4420" t="s">
        <v>6478</v>
      </c>
      <c r="B4420" t="s">
        <v>114</v>
      </c>
      <c r="C4420" t="s">
        <v>68</v>
      </c>
      <c r="D4420" t="s">
        <v>6447</v>
      </c>
      <c r="E4420" t="s">
        <v>18</v>
      </c>
      <c r="F4420" t="s">
        <v>183</v>
      </c>
      <c r="G4420" t="s">
        <v>71</v>
      </c>
      <c r="H4420" t="s">
        <v>61</v>
      </c>
      <c r="I4420">
        <v>9500</v>
      </c>
      <c r="J4420">
        <v>12350</v>
      </c>
      <c r="K4420">
        <v>3</v>
      </c>
      <c r="L4420">
        <v>28500</v>
      </c>
      <c r="M4420">
        <v>37050</v>
      </c>
      <c r="N4420" t="s">
        <v>22</v>
      </c>
      <c r="O4420">
        <f t="shared" si="138"/>
        <v>9750</v>
      </c>
      <c r="P4420" s="13">
        <f t="shared" si="139"/>
        <v>2974621</v>
      </c>
      <c r="Q4420" s="13">
        <f>SUMIFS(M:M,E:E,Online_eCommerce[[#This Row],[Status]])</f>
        <v>28340455</v>
      </c>
      <c r="R4420" s="13">
        <f>SUMIFS(L:L,H:H,Online_eCommerce[[#This Row],[Brand]])</f>
        <v>10950150</v>
      </c>
      <c r="S4420" s="13">
        <f>SUMIF(H:H,Online_eCommerce[[#This Row],[Brand]],M:M)</f>
        <v>14235195</v>
      </c>
      <c r="T4420" s="13">
        <f>SUMIF(N:N,Online_eCommerce[[#This Row],[Assigned Supervisor]],L:L)</f>
        <v>13693220</v>
      </c>
    </row>
    <row r="4421" spans="1:20" hidden="1" x14ac:dyDescent="0.3">
      <c r="A4421" t="s">
        <v>6479</v>
      </c>
      <c r="B4421" t="s">
        <v>119</v>
      </c>
      <c r="C4421" t="s">
        <v>74</v>
      </c>
      <c r="D4421" t="s">
        <v>6447</v>
      </c>
      <c r="E4421" t="s">
        <v>161</v>
      </c>
      <c r="F4421" t="s">
        <v>6480</v>
      </c>
      <c r="G4421" t="s">
        <v>77</v>
      </c>
      <c r="H4421" t="s">
        <v>142</v>
      </c>
      <c r="I4421">
        <v>10000</v>
      </c>
      <c r="J4421">
        <v>13000</v>
      </c>
      <c r="K4421">
        <v>3</v>
      </c>
      <c r="L4421">
        <v>30000</v>
      </c>
      <c r="M4421">
        <v>39000</v>
      </c>
      <c r="N4421" t="s">
        <v>22</v>
      </c>
      <c r="O4421">
        <f t="shared" si="138"/>
        <v>39000</v>
      </c>
      <c r="P4421" s="13">
        <f t="shared" si="139"/>
        <v>2144701</v>
      </c>
      <c r="Q4421" s="13">
        <f>SUMIFS(M:M,E:E,Online_eCommerce[[#This Row],[Status]])</f>
        <v>21103186</v>
      </c>
      <c r="R4421" s="13">
        <f>SUMIFS(L:L,H:H,Online_eCommerce[[#This Row],[Brand]])</f>
        <v>6192500</v>
      </c>
      <c r="S4421" s="13">
        <f>SUMIF(H:H,Online_eCommerce[[#This Row],[Brand]],M:M)</f>
        <v>8050250</v>
      </c>
      <c r="T4421" s="13">
        <f>SUMIF(N:N,Online_eCommerce[[#This Row],[Assigned Supervisor]],L:L)</f>
        <v>13693220</v>
      </c>
    </row>
    <row r="4422" spans="1:20" x14ac:dyDescent="0.3">
      <c r="A4422" t="s">
        <v>6481</v>
      </c>
      <c r="B4422" t="s">
        <v>124</v>
      </c>
      <c r="C4422" t="s">
        <v>81</v>
      </c>
      <c r="D4422" t="s">
        <v>6447</v>
      </c>
      <c r="E4422" t="s">
        <v>46</v>
      </c>
      <c r="F4422" t="s">
        <v>6482</v>
      </c>
      <c r="G4422" t="s">
        <v>20</v>
      </c>
      <c r="H4422" t="s">
        <v>21</v>
      </c>
      <c r="I4422">
        <v>6500</v>
      </c>
      <c r="J4422">
        <v>8450</v>
      </c>
      <c r="K4422">
        <v>2</v>
      </c>
      <c r="L4422">
        <v>13000</v>
      </c>
      <c r="M4422">
        <v>16900</v>
      </c>
      <c r="N4422" t="s">
        <v>22</v>
      </c>
      <c r="O4422">
        <f t="shared" si="138"/>
        <v>8450</v>
      </c>
      <c r="P4422" s="13">
        <f t="shared" si="139"/>
        <v>2595632</v>
      </c>
      <c r="Q4422" s="13">
        <f>SUMIFS(M:M,E:E,Online_eCommerce[[#This Row],[Status]])</f>
        <v>28620410</v>
      </c>
      <c r="R4422" s="13">
        <f>SUMIFS(L:L,H:H,Online_eCommerce[[#This Row],[Brand]])</f>
        <v>12435650</v>
      </c>
      <c r="S4422" s="13">
        <f>SUMIF(H:H,Online_eCommerce[[#This Row],[Brand]],M:M)</f>
        <v>16166345</v>
      </c>
      <c r="T4422" s="13">
        <f>SUMIF(N:N,Online_eCommerce[[#This Row],[Assigned Supervisor]],L:L)</f>
        <v>13693220</v>
      </c>
    </row>
    <row r="4423" spans="1:20" hidden="1" x14ac:dyDescent="0.3">
      <c r="A4423" t="s">
        <v>6483</v>
      </c>
      <c r="B4423" t="s">
        <v>128</v>
      </c>
      <c r="C4423" t="s">
        <v>86</v>
      </c>
      <c r="D4423" t="s">
        <v>6447</v>
      </c>
      <c r="E4423" t="s">
        <v>96</v>
      </c>
      <c r="F4423" t="s">
        <v>6484</v>
      </c>
      <c r="G4423" t="s">
        <v>26</v>
      </c>
      <c r="H4423" t="s">
        <v>27</v>
      </c>
      <c r="I4423">
        <v>8500</v>
      </c>
      <c r="J4423">
        <v>11050</v>
      </c>
      <c r="K4423">
        <v>3</v>
      </c>
      <c r="L4423">
        <v>25500</v>
      </c>
      <c r="M4423">
        <v>33150</v>
      </c>
      <c r="N4423" t="s">
        <v>22</v>
      </c>
      <c r="O4423">
        <f t="shared" si="138"/>
        <v>33150</v>
      </c>
      <c r="P4423" s="13">
        <f t="shared" si="139"/>
        <v>1941225</v>
      </c>
      <c r="Q4423" s="13">
        <f>SUMIFS(M:M,E:E,Online_eCommerce[[#This Row],[Status]])</f>
        <v>21233992</v>
      </c>
      <c r="R4423" s="13">
        <f>SUMIFS(L:L,H:H,Online_eCommerce[[#This Row],[Brand]])</f>
        <v>14431000</v>
      </c>
      <c r="S4423" s="13">
        <f>SUMIF(H:H,Online_eCommerce[[#This Row],[Brand]],M:M)</f>
        <v>18760300</v>
      </c>
      <c r="T4423" s="13">
        <f>SUMIF(N:N,Online_eCommerce[[#This Row],[Assigned Supervisor]],L:L)</f>
        <v>13693220</v>
      </c>
    </row>
    <row r="4424" spans="1:20" hidden="1" x14ac:dyDescent="0.3">
      <c r="A4424" t="s">
        <v>6485</v>
      </c>
      <c r="B4424" t="s">
        <v>131</v>
      </c>
      <c r="C4424" t="s">
        <v>91</v>
      </c>
      <c r="D4424" t="s">
        <v>6447</v>
      </c>
      <c r="E4424" t="s">
        <v>18</v>
      </c>
      <c r="F4424" t="s">
        <v>32</v>
      </c>
      <c r="G4424" t="s">
        <v>33</v>
      </c>
      <c r="H4424" t="s">
        <v>34</v>
      </c>
      <c r="I4424">
        <v>7000</v>
      </c>
      <c r="J4424">
        <v>9100</v>
      </c>
      <c r="K4424">
        <v>4</v>
      </c>
      <c r="L4424">
        <v>28000</v>
      </c>
      <c r="M4424">
        <v>36400</v>
      </c>
      <c r="N4424" t="s">
        <v>22</v>
      </c>
      <c r="O4424">
        <f t="shared" si="138"/>
        <v>18200</v>
      </c>
      <c r="P4424" s="13">
        <f t="shared" si="139"/>
        <v>2731963</v>
      </c>
      <c r="Q4424" s="13">
        <f>SUMIFS(M:M,E:E,Online_eCommerce[[#This Row],[Status]])</f>
        <v>28340455</v>
      </c>
      <c r="R4424" s="13">
        <f>SUMIFS(L:L,H:H,Online_eCommerce[[#This Row],[Brand]])</f>
        <v>10087000</v>
      </c>
      <c r="S4424" s="13">
        <f>SUMIF(H:H,Online_eCommerce[[#This Row],[Brand]],M:M)</f>
        <v>13113100</v>
      </c>
      <c r="T4424" s="13">
        <f>SUMIF(N:N,Online_eCommerce[[#This Row],[Assigned Supervisor]],L:L)</f>
        <v>13693220</v>
      </c>
    </row>
    <row r="4425" spans="1:20" hidden="1" x14ac:dyDescent="0.3">
      <c r="A4425" t="s">
        <v>6486</v>
      </c>
      <c r="B4425" t="s">
        <v>135</v>
      </c>
      <c r="C4425" t="s">
        <v>94</v>
      </c>
      <c r="D4425" t="s">
        <v>6447</v>
      </c>
      <c r="E4425" t="s">
        <v>161</v>
      </c>
      <c r="F4425" t="s">
        <v>6487</v>
      </c>
      <c r="G4425" t="s">
        <v>163</v>
      </c>
      <c r="H4425" t="s">
        <v>41</v>
      </c>
      <c r="I4425">
        <v>6550</v>
      </c>
      <c r="J4425">
        <v>8515</v>
      </c>
      <c r="K4425">
        <v>4</v>
      </c>
      <c r="L4425">
        <v>26200</v>
      </c>
      <c r="M4425">
        <v>34060</v>
      </c>
      <c r="N4425" t="s">
        <v>22</v>
      </c>
      <c r="O4425">
        <f t="shared" si="138"/>
        <v>13650</v>
      </c>
      <c r="P4425" s="13">
        <f t="shared" si="139"/>
        <v>1868256</v>
      </c>
      <c r="Q4425" s="13">
        <f>SUMIFS(M:M,E:E,Online_eCommerce[[#This Row],[Status]])</f>
        <v>21103186</v>
      </c>
      <c r="R4425" s="13">
        <f>SUMIFS(L:L,H:H,Online_eCommerce[[#This Row],[Brand]])</f>
        <v>4260400</v>
      </c>
      <c r="S4425" s="13">
        <f>SUMIF(H:H,Online_eCommerce[[#This Row],[Brand]],M:M)</f>
        <v>5538520</v>
      </c>
      <c r="T4425" s="13">
        <f>SUMIF(N:N,Online_eCommerce[[#This Row],[Assigned Supervisor]],L:L)</f>
        <v>13693220</v>
      </c>
    </row>
    <row r="4426" spans="1:20" x14ac:dyDescent="0.3">
      <c r="A4426" t="s">
        <v>6488</v>
      </c>
      <c r="B4426" t="s">
        <v>139</v>
      </c>
      <c r="C4426" t="s">
        <v>99</v>
      </c>
      <c r="D4426" t="s">
        <v>6447</v>
      </c>
      <c r="E4426" t="s">
        <v>46</v>
      </c>
      <c r="F4426" t="s">
        <v>47</v>
      </c>
      <c r="G4426" t="s">
        <v>66</v>
      </c>
      <c r="H4426" t="s">
        <v>49</v>
      </c>
      <c r="I4426">
        <v>7650</v>
      </c>
      <c r="J4426">
        <v>9945</v>
      </c>
      <c r="K4426">
        <v>4</v>
      </c>
      <c r="L4426">
        <v>30600</v>
      </c>
      <c r="M4426">
        <v>39780</v>
      </c>
      <c r="N4426" t="s">
        <v>22</v>
      </c>
      <c r="O4426">
        <f t="shared" si="138"/>
        <v>1690</v>
      </c>
      <c r="P4426" s="13">
        <f t="shared" si="139"/>
        <v>2651233</v>
      </c>
      <c r="Q4426" s="13">
        <f>SUMIFS(M:M,E:E,Online_eCommerce[[#This Row],[Status]])</f>
        <v>28620410</v>
      </c>
      <c r="R4426" s="13">
        <f>SUMIFS(L:L,H:H,Online_eCommerce[[#This Row],[Brand]])</f>
        <v>4528350</v>
      </c>
      <c r="S4426" s="13">
        <f>SUMIF(H:H,Online_eCommerce[[#This Row],[Brand]],M:M)</f>
        <v>5886855</v>
      </c>
      <c r="T4426" s="13">
        <f>SUMIF(N:N,Online_eCommerce[[#This Row],[Assigned Supervisor]],L:L)</f>
        <v>13693220</v>
      </c>
    </row>
    <row r="4427" spans="1:20" hidden="1" x14ac:dyDescent="0.3">
      <c r="A4427" t="s">
        <v>6489</v>
      </c>
      <c r="B4427" t="s">
        <v>144</v>
      </c>
      <c r="C4427" t="s">
        <v>105</v>
      </c>
      <c r="D4427" t="s">
        <v>6447</v>
      </c>
      <c r="E4427" t="s">
        <v>96</v>
      </c>
      <c r="F4427" t="s">
        <v>53</v>
      </c>
      <c r="G4427" t="s">
        <v>54</v>
      </c>
      <c r="H4427" t="s">
        <v>55</v>
      </c>
      <c r="I4427">
        <v>1150</v>
      </c>
      <c r="J4427">
        <v>1495</v>
      </c>
      <c r="K4427">
        <v>4</v>
      </c>
      <c r="L4427">
        <v>4600</v>
      </c>
      <c r="M4427">
        <v>5980</v>
      </c>
      <c r="N4427" t="s">
        <v>22</v>
      </c>
      <c r="O4427">
        <f t="shared" si="138"/>
        <v>2990</v>
      </c>
      <c r="P4427" s="13">
        <f t="shared" si="139"/>
        <v>1866852</v>
      </c>
      <c r="Q4427" s="13">
        <f>SUMIFS(M:M,E:E,Online_eCommerce[[#This Row],[Status]])</f>
        <v>21233992</v>
      </c>
      <c r="R4427" s="13">
        <f>SUMIFS(L:L,H:H,Online_eCommerce[[#This Row],[Brand]])</f>
        <v>2267380</v>
      </c>
      <c r="S4427" s="13">
        <f>SUMIF(H:H,Online_eCommerce[[#This Row],[Brand]],M:M)</f>
        <v>2947594</v>
      </c>
      <c r="T4427" s="13">
        <f>SUMIF(N:N,Online_eCommerce[[#This Row],[Assigned Supervisor]],L:L)</f>
        <v>13693220</v>
      </c>
    </row>
    <row r="4428" spans="1:20" hidden="1" x14ac:dyDescent="0.3">
      <c r="A4428" t="s">
        <v>6490</v>
      </c>
      <c r="B4428" t="s">
        <v>149</v>
      </c>
      <c r="C4428" t="s">
        <v>110</v>
      </c>
      <c r="D4428" t="s">
        <v>6447</v>
      </c>
      <c r="E4428" t="s">
        <v>18</v>
      </c>
      <c r="F4428" t="s">
        <v>59</v>
      </c>
      <c r="G4428" t="s">
        <v>60</v>
      </c>
      <c r="H4428" t="s">
        <v>61</v>
      </c>
      <c r="I4428">
        <v>850</v>
      </c>
      <c r="J4428">
        <v>1105</v>
      </c>
      <c r="K4428">
        <v>3</v>
      </c>
      <c r="L4428">
        <v>2550</v>
      </c>
      <c r="M4428">
        <v>3315</v>
      </c>
      <c r="N4428" t="s">
        <v>22</v>
      </c>
      <c r="O4428">
        <f t="shared" si="138"/>
        <v>3315</v>
      </c>
      <c r="P4428" s="13">
        <f t="shared" si="139"/>
        <v>2598635</v>
      </c>
      <c r="Q4428" s="13">
        <f>SUMIFS(M:M,E:E,Online_eCommerce[[#This Row],[Status]])</f>
        <v>28340455</v>
      </c>
      <c r="R4428" s="13">
        <f>SUMIFS(L:L,H:H,Online_eCommerce[[#This Row],[Brand]])</f>
        <v>10950150</v>
      </c>
      <c r="S4428" s="13">
        <f>SUMIF(H:H,Online_eCommerce[[#This Row],[Brand]],M:M)</f>
        <v>14235195</v>
      </c>
      <c r="T4428" s="13">
        <f>SUMIF(N:N,Online_eCommerce[[#This Row],[Assigned Supervisor]],L:L)</f>
        <v>13693220</v>
      </c>
    </row>
    <row r="4429" spans="1:20" hidden="1" x14ac:dyDescent="0.3">
      <c r="A4429" t="s">
        <v>6491</v>
      </c>
      <c r="B4429" t="s">
        <v>154</v>
      </c>
      <c r="C4429" t="s">
        <v>115</v>
      </c>
      <c r="D4429" t="s">
        <v>6447</v>
      </c>
      <c r="E4429" t="s">
        <v>161</v>
      </c>
      <c r="F4429" t="s">
        <v>65</v>
      </c>
      <c r="G4429" t="s">
        <v>66</v>
      </c>
      <c r="H4429" t="s">
        <v>21</v>
      </c>
      <c r="I4429">
        <v>650</v>
      </c>
      <c r="J4429">
        <v>845</v>
      </c>
      <c r="K4429">
        <v>1</v>
      </c>
      <c r="L4429">
        <v>650</v>
      </c>
      <c r="M4429">
        <v>845</v>
      </c>
      <c r="N4429" t="s">
        <v>22</v>
      </c>
      <c r="O4429">
        <f t="shared" si="138"/>
        <v>1690</v>
      </c>
      <c r="P4429" s="13">
        <f t="shared" si="139"/>
        <v>2050178</v>
      </c>
      <c r="Q4429" s="13">
        <f>SUMIFS(M:M,E:E,Online_eCommerce[[#This Row],[Status]])</f>
        <v>21103186</v>
      </c>
      <c r="R4429" s="13">
        <f>SUMIFS(L:L,H:H,Online_eCommerce[[#This Row],[Brand]])</f>
        <v>12435650</v>
      </c>
      <c r="S4429" s="13">
        <f>SUMIF(H:H,Online_eCommerce[[#This Row],[Brand]],M:M)</f>
        <v>16166345</v>
      </c>
      <c r="T4429" s="13">
        <f>SUMIF(N:N,Online_eCommerce[[#This Row],[Assigned Supervisor]],L:L)</f>
        <v>13693220</v>
      </c>
    </row>
    <row r="4430" spans="1:20" x14ac:dyDescent="0.3">
      <c r="A4430" t="s">
        <v>6492</v>
      </c>
      <c r="B4430" t="s">
        <v>159</v>
      </c>
      <c r="C4430" t="s">
        <v>120</v>
      </c>
      <c r="D4430" t="s">
        <v>6447</v>
      </c>
      <c r="E4430" t="s">
        <v>46</v>
      </c>
      <c r="F4430" t="s">
        <v>70</v>
      </c>
      <c r="G4430" t="s">
        <v>71</v>
      </c>
      <c r="H4430" t="s">
        <v>61</v>
      </c>
      <c r="I4430">
        <v>7500</v>
      </c>
      <c r="J4430">
        <v>9750</v>
      </c>
      <c r="K4430">
        <v>1</v>
      </c>
      <c r="L4430">
        <v>7500</v>
      </c>
      <c r="M4430">
        <v>9750</v>
      </c>
      <c r="N4430" t="s">
        <v>22</v>
      </c>
      <c r="O4430">
        <f t="shared" si="138"/>
        <v>9750</v>
      </c>
      <c r="P4430" s="13">
        <f t="shared" si="139"/>
        <v>2734212</v>
      </c>
      <c r="Q4430" s="13">
        <f>SUMIFS(M:M,E:E,Online_eCommerce[[#This Row],[Status]])</f>
        <v>28620410</v>
      </c>
      <c r="R4430" s="13">
        <f>SUMIFS(L:L,H:H,Online_eCommerce[[#This Row],[Brand]])</f>
        <v>10950150</v>
      </c>
      <c r="S4430" s="13">
        <f>SUMIF(H:H,Online_eCommerce[[#This Row],[Brand]],M:M)</f>
        <v>14235195</v>
      </c>
      <c r="T4430" s="13">
        <f>SUMIF(N:N,Online_eCommerce[[#This Row],[Assigned Supervisor]],L:L)</f>
        <v>13693220</v>
      </c>
    </row>
    <row r="4431" spans="1:20" hidden="1" x14ac:dyDescent="0.3">
      <c r="A4431" t="s">
        <v>6493</v>
      </c>
      <c r="B4431" t="s">
        <v>139</v>
      </c>
      <c r="C4431" t="s">
        <v>125</v>
      </c>
      <c r="D4431" t="s">
        <v>6447</v>
      </c>
      <c r="E4431" t="s">
        <v>96</v>
      </c>
      <c r="F4431" t="s">
        <v>6480</v>
      </c>
      <c r="G4431" t="s">
        <v>77</v>
      </c>
      <c r="H4431" t="s">
        <v>78</v>
      </c>
      <c r="I4431">
        <v>10000</v>
      </c>
      <c r="J4431">
        <v>13000</v>
      </c>
      <c r="K4431">
        <v>1</v>
      </c>
      <c r="L4431">
        <v>10000</v>
      </c>
      <c r="M4431">
        <v>13000</v>
      </c>
      <c r="N4431" t="s">
        <v>28</v>
      </c>
      <c r="O4431">
        <f t="shared" si="138"/>
        <v>39000</v>
      </c>
      <c r="P4431" s="13">
        <f t="shared" si="139"/>
        <v>2091154</v>
      </c>
      <c r="Q4431" s="13">
        <f>SUMIFS(M:M,E:E,Online_eCommerce[[#This Row],[Status]])</f>
        <v>21233992</v>
      </c>
      <c r="R4431" s="13">
        <f>SUMIFS(L:L,H:H,Online_eCommerce[[#This Row],[Brand]])</f>
        <v>3720000</v>
      </c>
      <c r="S4431" s="13">
        <f>SUMIF(H:H,Online_eCommerce[[#This Row],[Brand]],M:M)</f>
        <v>4836000</v>
      </c>
      <c r="T4431" s="13">
        <f>SUMIF(N:N,Online_eCommerce[[#This Row],[Assigned Supervisor]],L:L)</f>
        <v>12220830</v>
      </c>
    </row>
    <row r="4432" spans="1:20" hidden="1" x14ac:dyDescent="0.3">
      <c r="A4432" t="s">
        <v>6494</v>
      </c>
      <c r="B4432" t="s">
        <v>144</v>
      </c>
      <c r="C4432" t="s">
        <v>22</v>
      </c>
      <c r="D4432" t="s">
        <v>6447</v>
      </c>
      <c r="E4432" t="s">
        <v>18</v>
      </c>
      <c r="F4432" t="s">
        <v>6495</v>
      </c>
      <c r="G4432" t="s">
        <v>20</v>
      </c>
      <c r="H4432" t="s">
        <v>21</v>
      </c>
      <c r="I4432">
        <v>10500</v>
      </c>
      <c r="J4432">
        <v>13650</v>
      </c>
      <c r="K4432">
        <v>1</v>
      </c>
      <c r="L4432">
        <v>10500</v>
      </c>
      <c r="M4432">
        <v>13650</v>
      </c>
      <c r="N4432" t="s">
        <v>35</v>
      </c>
      <c r="O4432">
        <f t="shared" si="138"/>
        <v>8450</v>
      </c>
      <c r="P4432" s="13">
        <f t="shared" si="139"/>
        <v>2551588</v>
      </c>
      <c r="Q4432" s="13">
        <f>SUMIFS(M:M,E:E,Online_eCommerce[[#This Row],[Status]])</f>
        <v>28340455</v>
      </c>
      <c r="R4432" s="13">
        <f>SUMIFS(L:L,H:H,Online_eCommerce[[#This Row],[Brand]])</f>
        <v>12435650</v>
      </c>
      <c r="S4432" s="13">
        <f>SUMIF(H:H,Online_eCommerce[[#This Row],[Brand]],M:M)</f>
        <v>16166345</v>
      </c>
      <c r="T4432" s="13">
        <f>SUMIF(N:N,Online_eCommerce[[#This Row],[Assigned Supervisor]],L:L)</f>
        <v>14373360</v>
      </c>
    </row>
    <row r="4433" spans="1:20" hidden="1" x14ac:dyDescent="0.3">
      <c r="A4433" t="s">
        <v>6496</v>
      </c>
      <c r="B4433" t="s">
        <v>235</v>
      </c>
      <c r="C4433" t="s">
        <v>132</v>
      </c>
      <c r="D4433" t="s">
        <v>6447</v>
      </c>
      <c r="E4433" t="s">
        <v>161</v>
      </c>
      <c r="F4433" t="s">
        <v>88</v>
      </c>
      <c r="G4433" t="s">
        <v>26</v>
      </c>
      <c r="H4433" t="s">
        <v>27</v>
      </c>
      <c r="I4433">
        <v>8500</v>
      </c>
      <c r="J4433">
        <v>11050</v>
      </c>
      <c r="K4433">
        <v>2</v>
      </c>
      <c r="L4433">
        <v>17000</v>
      </c>
      <c r="M4433">
        <v>22100</v>
      </c>
      <c r="N4433" t="s">
        <v>42</v>
      </c>
      <c r="O4433">
        <f t="shared" si="138"/>
        <v>33150</v>
      </c>
      <c r="P4433" s="13">
        <f t="shared" si="139"/>
        <v>1989065</v>
      </c>
      <c r="Q4433" s="13">
        <f>SUMIFS(M:M,E:E,Online_eCommerce[[#This Row],[Status]])</f>
        <v>21103186</v>
      </c>
      <c r="R4433" s="13">
        <f>SUMIFS(L:L,H:H,Online_eCommerce[[#This Row],[Brand]])</f>
        <v>14431000</v>
      </c>
      <c r="S4433" s="13">
        <f>SUMIF(H:H,Online_eCommerce[[#This Row],[Brand]],M:M)</f>
        <v>18760300</v>
      </c>
      <c r="T4433" s="13">
        <f>SUMIF(N:N,Online_eCommerce[[#This Row],[Assigned Supervisor]],L:L)</f>
        <v>12261500</v>
      </c>
    </row>
    <row r="4434" spans="1:20" x14ac:dyDescent="0.3">
      <c r="A4434" t="s">
        <v>6497</v>
      </c>
      <c r="B4434" t="s">
        <v>176</v>
      </c>
      <c r="C4434" t="s">
        <v>136</v>
      </c>
      <c r="D4434" t="s">
        <v>6447</v>
      </c>
      <c r="E4434" t="s">
        <v>46</v>
      </c>
      <c r="F4434" t="s">
        <v>32</v>
      </c>
      <c r="G4434" t="s">
        <v>33</v>
      </c>
      <c r="H4434" t="s">
        <v>34</v>
      </c>
      <c r="I4434">
        <v>7000</v>
      </c>
      <c r="J4434">
        <v>9100</v>
      </c>
      <c r="K4434">
        <v>4</v>
      </c>
      <c r="L4434">
        <v>28000</v>
      </c>
      <c r="M4434">
        <v>36400</v>
      </c>
      <c r="N4434" t="s">
        <v>50</v>
      </c>
      <c r="O4434">
        <f t="shared" si="138"/>
        <v>18200</v>
      </c>
      <c r="P4434" s="13">
        <f t="shared" si="139"/>
        <v>2775162</v>
      </c>
      <c r="Q4434" s="13">
        <f>SUMIFS(M:M,E:E,Online_eCommerce[[#This Row],[Status]])</f>
        <v>28620410</v>
      </c>
      <c r="R4434" s="13">
        <f>SUMIFS(L:L,H:H,Online_eCommerce[[#This Row],[Brand]])</f>
        <v>10087000</v>
      </c>
      <c r="S4434" s="13">
        <f>SUMIF(H:H,Online_eCommerce[[#This Row],[Brand]],M:M)</f>
        <v>13113100</v>
      </c>
      <c r="T4434" s="13">
        <f>SUMIF(N:N,Online_eCommerce[[#This Row],[Assigned Supervisor]],L:L)</f>
        <v>12100590</v>
      </c>
    </row>
    <row r="4435" spans="1:20" hidden="1" x14ac:dyDescent="0.3">
      <c r="A4435" t="s">
        <v>6498</v>
      </c>
      <c r="B4435" t="s">
        <v>276</v>
      </c>
      <c r="C4435" t="s">
        <v>140</v>
      </c>
      <c r="D4435" t="s">
        <v>6447</v>
      </c>
      <c r="E4435" t="s">
        <v>96</v>
      </c>
      <c r="F4435" t="s">
        <v>6499</v>
      </c>
      <c r="G4435" t="s">
        <v>163</v>
      </c>
      <c r="H4435" t="s">
        <v>41</v>
      </c>
      <c r="I4435">
        <v>1680</v>
      </c>
      <c r="J4435">
        <v>2184</v>
      </c>
      <c r="K4435">
        <v>4</v>
      </c>
      <c r="L4435">
        <v>6720</v>
      </c>
      <c r="M4435">
        <v>8736</v>
      </c>
      <c r="N4435" t="s">
        <v>56</v>
      </c>
      <c r="O4435">
        <f t="shared" si="138"/>
        <v>13650</v>
      </c>
      <c r="P4435" s="13">
        <f t="shared" si="139"/>
        <v>2058264</v>
      </c>
      <c r="Q4435" s="13">
        <f>SUMIFS(M:M,E:E,Online_eCommerce[[#This Row],[Status]])</f>
        <v>21233992</v>
      </c>
      <c r="R4435" s="13">
        <f>SUMIFS(L:L,H:H,Online_eCommerce[[#This Row],[Brand]])</f>
        <v>4260400</v>
      </c>
      <c r="S4435" s="13">
        <f>SUMIF(H:H,Online_eCommerce[[#This Row],[Brand]],M:M)</f>
        <v>5538520</v>
      </c>
      <c r="T4435" s="13">
        <f>SUMIF(N:N,Online_eCommerce[[#This Row],[Assigned Supervisor]],L:L)</f>
        <v>11733610</v>
      </c>
    </row>
    <row r="4436" spans="1:20" hidden="1" x14ac:dyDescent="0.3">
      <c r="A4436" t="s">
        <v>6500</v>
      </c>
      <c r="B4436" t="s">
        <v>280</v>
      </c>
      <c r="C4436" t="s">
        <v>145</v>
      </c>
      <c r="D4436" t="s">
        <v>6447</v>
      </c>
      <c r="E4436" t="s">
        <v>18</v>
      </c>
      <c r="F4436" t="s">
        <v>101</v>
      </c>
      <c r="G4436" t="s">
        <v>66</v>
      </c>
      <c r="H4436" t="s">
        <v>102</v>
      </c>
      <c r="I4436">
        <v>6540</v>
      </c>
      <c r="J4436">
        <v>8502</v>
      </c>
      <c r="K4436">
        <v>3</v>
      </c>
      <c r="L4436">
        <v>19620</v>
      </c>
      <c r="M4436">
        <v>25506</v>
      </c>
      <c r="N4436" t="s">
        <v>22</v>
      </c>
      <c r="O4436">
        <f t="shared" si="138"/>
        <v>1690</v>
      </c>
      <c r="P4436" s="13">
        <f t="shared" si="139"/>
        <v>2757859</v>
      </c>
      <c r="Q4436" s="13">
        <f>SUMIFS(M:M,E:E,Online_eCommerce[[#This Row],[Status]])</f>
        <v>28340455</v>
      </c>
      <c r="R4436" s="13">
        <f>SUMIFS(L:L,H:H,Online_eCommerce[[#This Row],[Brand]])</f>
        <v>2465580</v>
      </c>
      <c r="S4436" s="13">
        <f>SUMIF(H:H,Online_eCommerce[[#This Row],[Brand]],M:M)</f>
        <v>3205254</v>
      </c>
      <c r="T4436" s="13">
        <f>SUMIF(N:N,Online_eCommerce[[#This Row],[Assigned Supervisor]],L:L)</f>
        <v>13693220</v>
      </c>
    </row>
    <row r="4437" spans="1:20" hidden="1" x14ac:dyDescent="0.3">
      <c r="A4437" t="s">
        <v>6501</v>
      </c>
      <c r="B4437" t="s">
        <v>283</v>
      </c>
      <c r="C4437" t="s">
        <v>150</v>
      </c>
      <c r="D4437" t="s">
        <v>6447</v>
      </c>
      <c r="E4437" t="s">
        <v>161</v>
      </c>
      <c r="F4437" t="s">
        <v>107</v>
      </c>
      <c r="G4437" t="s">
        <v>54</v>
      </c>
      <c r="H4437" t="s">
        <v>55</v>
      </c>
      <c r="I4437">
        <v>2680</v>
      </c>
      <c r="J4437">
        <v>3484</v>
      </c>
      <c r="K4437">
        <v>4</v>
      </c>
      <c r="L4437">
        <v>10720</v>
      </c>
      <c r="M4437">
        <v>13936</v>
      </c>
      <c r="N4437" t="s">
        <v>28</v>
      </c>
      <c r="O4437">
        <f t="shared" si="138"/>
        <v>2990</v>
      </c>
      <c r="P4437" s="13">
        <f t="shared" si="139"/>
        <v>2154984</v>
      </c>
      <c r="Q4437" s="13">
        <f>SUMIFS(M:M,E:E,Online_eCommerce[[#This Row],[Status]])</f>
        <v>21103186</v>
      </c>
      <c r="R4437" s="13">
        <f>SUMIFS(L:L,H:H,Online_eCommerce[[#This Row],[Brand]])</f>
        <v>2267380</v>
      </c>
      <c r="S4437" s="13">
        <f>SUMIF(H:H,Online_eCommerce[[#This Row],[Brand]],M:M)</f>
        <v>2947594</v>
      </c>
      <c r="T4437" s="13">
        <f>SUMIF(N:N,Online_eCommerce[[#This Row],[Assigned Supervisor]],L:L)</f>
        <v>12220830</v>
      </c>
    </row>
    <row r="4438" spans="1:20" x14ac:dyDescent="0.3">
      <c r="A4438" t="s">
        <v>6502</v>
      </c>
      <c r="B4438" t="s">
        <v>287</v>
      </c>
      <c r="C4438" t="s">
        <v>155</v>
      </c>
      <c r="D4438" t="s">
        <v>6447</v>
      </c>
      <c r="E4438" t="s">
        <v>46</v>
      </c>
      <c r="F4438" t="s">
        <v>112</v>
      </c>
      <c r="G4438" t="s">
        <v>71</v>
      </c>
      <c r="H4438" t="s">
        <v>21</v>
      </c>
      <c r="I4438">
        <v>8250</v>
      </c>
      <c r="J4438">
        <v>10725</v>
      </c>
      <c r="K4438">
        <v>2</v>
      </c>
      <c r="L4438">
        <v>16500</v>
      </c>
      <c r="M4438">
        <v>21450</v>
      </c>
      <c r="N4438" t="s">
        <v>35</v>
      </c>
      <c r="O4438">
        <f t="shared" si="138"/>
        <v>9750</v>
      </c>
      <c r="P4438" s="13">
        <f t="shared" si="139"/>
        <v>2753348</v>
      </c>
      <c r="Q4438" s="13">
        <f>SUMIFS(M:M,E:E,Online_eCommerce[[#This Row],[Status]])</f>
        <v>28620410</v>
      </c>
      <c r="R4438" s="13">
        <f>SUMIFS(L:L,H:H,Online_eCommerce[[#This Row],[Brand]])</f>
        <v>12435650</v>
      </c>
      <c r="S4438" s="13">
        <f>SUMIF(H:H,Online_eCommerce[[#This Row],[Brand]],M:M)</f>
        <v>16166345</v>
      </c>
      <c r="T4438" s="13">
        <f>SUMIF(N:N,Online_eCommerce[[#This Row],[Assigned Supervisor]],L:L)</f>
        <v>14373360</v>
      </c>
    </row>
    <row r="4439" spans="1:20" hidden="1" x14ac:dyDescent="0.3">
      <c r="A4439" t="s">
        <v>6503</v>
      </c>
      <c r="B4439" t="s">
        <v>290</v>
      </c>
      <c r="C4439" t="s">
        <v>160</v>
      </c>
      <c r="D4439" t="s">
        <v>6447</v>
      </c>
      <c r="E4439" t="s">
        <v>96</v>
      </c>
      <c r="F4439" t="s">
        <v>6126</v>
      </c>
      <c r="G4439" t="s">
        <v>40</v>
      </c>
      <c r="H4439" t="s">
        <v>21</v>
      </c>
      <c r="I4439">
        <v>2650</v>
      </c>
      <c r="J4439">
        <v>3445</v>
      </c>
      <c r="K4439">
        <v>2</v>
      </c>
      <c r="L4439">
        <v>5300</v>
      </c>
      <c r="M4439">
        <v>6890</v>
      </c>
      <c r="N4439" t="s">
        <v>42</v>
      </c>
      <c r="O4439">
        <f t="shared" si="138"/>
        <v>25545</v>
      </c>
      <c r="P4439" s="13">
        <f t="shared" si="139"/>
        <v>2303483</v>
      </c>
      <c r="Q4439" s="13">
        <f>SUMIFS(M:M,E:E,Online_eCommerce[[#This Row],[Status]])</f>
        <v>21233992</v>
      </c>
      <c r="R4439" s="13">
        <f>SUMIFS(L:L,H:H,Online_eCommerce[[#This Row],[Brand]])</f>
        <v>12435650</v>
      </c>
      <c r="S4439" s="13">
        <f>SUMIF(H:H,Online_eCommerce[[#This Row],[Brand]],M:M)</f>
        <v>16166345</v>
      </c>
      <c r="T4439" s="13">
        <f>SUMIF(N:N,Online_eCommerce[[#This Row],[Assigned Supervisor]],L:L)</f>
        <v>12261500</v>
      </c>
    </row>
    <row r="4440" spans="1:20" hidden="1" x14ac:dyDescent="0.3">
      <c r="A4440" t="s">
        <v>6504</v>
      </c>
      <c r="B4440" t="s">
        <v>15</v>
      </c>
      <c r="C4440" t="s">
        <v>165</v>
      </c>
      <c r="D4440" t="s">
        <v>6447</v>
      </c>
      <c r="E4440" t="s">
        <v>18</v>
      </c>
      <c r="F4440" t="s">
        <v>121</v>
      </c>
      <c r="G4440" t="s">
        <v>71</v>
      </c>
      <c r="H4440" t="s">
        <v>122</v>
      </c>
      <c r="I4440">
        <v>12550</v>
      </c>
      <c r="J4440">
        <v>16315</v>
      </c>
      <c r="K4440">
        <v>2</v>
      </c>
      <c r="L4440">
        <v>25100</v>
      </c>
      <c r="M4440">
        <v>32630</v>
      </c>
      <c r="N4440" t="s">
        <v>50</v>
      </c>
      <c r="O4440">
        <f t="shared" si="138"/>
        <v>9750</v>
      </c>
      <c r="P4440" s="13">
        <f t="shared" si="139"/>
        <v>2674087</v>
      </c>
      <c r="Q4440" s="13">
        <f>SUMIFS(M:M,E:E,Online_eCommerce[[#This Row],[Status]])</f>
        <v>28340455</v>
      </c>
      <c r="R4440" s="13">
        <f>SUMIFS(L:L,H:H,Online_eCommerce[[#This Row],[Brand]])</f>
        <v>5045100</v>
      </c>
      <c r="S4440" s="13">
        <f>SUMIF(H:H,Online_eCommerce[[#This Row],[Brand]],M:M)</f>
        <v>6558630</v>
      </c>
      <c r="T4440" s="13">
        <f>SUMIF(N:N,Online_eCommerce[[#This Row],[Assigned Supervisor]],L:L)</f>
        <v>12100590</v>
      </c>
    </row>
    <row r="4441" spans="1:20" hidden="1" x14ac:dyDescent="0.3">
      <c r="A4441" t="s">
        <v>6505</v>
      </c>
      <c r="B4441" t="s">
        <v>202</v>
      </c>
      <c r="C4441" t="s">
        <v>168</v>
      </c>
      <c r="D4441" t="s">
        <v>6506</v>
      </c>
      <c r="E4441" t="s">
        <v>161</v>
      </c>
      <c r="F4441" t="s">
        <v>126</v>
      </c>
      <c r="G4441" t="s">
        <v>26</v>
      </c>
      <c r="H4441" t="s">
        <v>27</v>
      </c>
      <c r="I4441">
        <v>14500</v>
      </c>
      <c r="J4441">
        <v>18850</v>
      </c>
      <c r="K4441">
        <v>2</v>
      </c>
      <c r="L4441">
        <v>29000</v>
      </c>
      <c r="M4441">
        <v>37700</v>
      </c>
      <c r="N4441" t="s">
        <v>56</v>
      </c>
      <c r="O4441">
        <f t="shared" si="138"/>
        <v>33150</v>
      </c>
      <c r="P4441" s="13">
        <f t="shared" si="139"/>
        <v>1937780</v>
      </c>
      <c r="Q4441" s="13">
        <f>SUMIFS(M:M,E:E,Online_eCommerce[[#This Row],[Status]])</f>
        <v>21103186</v>
      </c>
      <c r="R4441" s="13">
        <f>SUMIFS(L:L,H:H,Online_eCommerce[[#This Row],[Brand]])</f>
        <v>14431000</v>
      </c>
      <c r="S4441" s="13">
        <f>SUMIF(H:H,Online_eCommerce[[#This Row],[Brand]],M:M)</f>
        <v>18760300</v>
      </c>
      <c r="T4441" s="13">
        <f>SUMIF(N:N,Online_eCommerce[[#This Row],[Assigned Supervisor]],L:L)</f>
        <v>11733610</v>
      </c>
    </row>
    <row r="4442" spans="1:20" x14ac:dyDescent="0.3">
      <c r="A4442" t="s">
        <v>6507</v>
      </c>
      <c r="B4442" t="s">
        <v>30</v>
      </c>
      <c r="C4442" t="s">
        <v>172</v>
      </c>
      <c r="D4442" t="s">
        <v>6508</v>
      </c>
      <c r="E4442" t="s">
        <v>46</v>
      </c>
      <c r="F4442" t="s">
        <v>129</v>
      </c>
      <c r="G4442" t="s">
        <v>60</v>
      </c>
      <c r="H4442" t="s">
        <v>61</v>
      </c>
      <c r="I4442">
        <v>800</v>
      </c>
      <c r="J4442">
        <v>1040</v>
      </c>
      <c r="K4442">
        <v>2</v>
      </c>
      <c r="L4442">
        <v>1600</v>
      </c>
      <c r="M4442">
        <v>2080</v>
      </c>
      <c r="N4442" t="s">
        <v>22</v>
      </c>
      <c r="O4442">
        <f t="shared" si="138"/>
        <v>3315</v>
      </c>
      <c r="P4442" s="13">
        <f t="shared" si="139"/>
        <v>2640274</v>
      </c>
      <c r="Q4442" s="13">
        <f>SUMIFS(M:M,E:E,Online_eCommerce[[#This Row],[Status]])</f>
        <v>28620410</v>
      </c>
      <c r="R4442" s="13">
        <f>SUMIFS(L:L,H:H,Online_eCommerce[[#This Row],[Brand]])</f>
        <v>10950150</v>
      </c>
      <c r="S4442" s="13">
        <f>SUMIF(H:H,Online_eCommerce[[#This Row],[Brand]],M:M)</f>
        <v>14235195</v>
      </c>
      <c r="T4442" s="13">
        <f>SUMIF(N:N,Online_eCommerce[[#This Row],[Assigned Supervisor]],L:L)</f>
        <v>13693220</v>
      </c>
    </row>
    <row r="4443" spans="1:20" hidden="1" x14ac:dyDescent="0.3">
      <c r="A4443" t="s">
        <v>6509</v>
      </c>
      <c r="B4443" t="s">
        <v>37</v>
      </c>
      <c r="C4443" t="s">
        <v>177</v>
      </c>
      <c r="D4443" t="s">
        <v>6510</v>
      </c>
      <c r="E4443" t="s">
        <v>96</v>
      </c>
      <c r="F4443" t="s">
        <v>133</v>
      </c>
      <c r="G4443" t="s">
        <v>66</v>
      </c>
      <c r="H4443" t="s">
        <v>21</v>
      </c>
      <c r="I4443">
        <v>600</v>
      </c>
      <c r="J4443">
        <v>780</v>
      </c>
      <c r="K4443">
        <v>4</v>
      </c>
      <c r="L4443">
        <v>2400</v>
      </c>
      <c r="M4443">
        <v>3120</v>
      </c>
      <c r="N4443" t="s">
        <v>28</v>
      </c>
      <c r="O4443">
        <f t="shared" si="138"/>
        <v>1690</v>
      </c>
      <c r="P4443" s="13">
        <f t="shared" si="139"/>
        <v>1863810</v>
      </c>
      <c r="Q4443" s="13">
        <f>SUMIFS(M:M,E:E,Online_eCommerce[[#This Row],[Status]])</f>
        <v>21233992</v>
      </c>
      <c r="R4443" s="13">
        <f>SUMIFS(L:L,H:H,Online_eCommerce[[#This Row],[Brand]])</f>
        <v>12435650</v>
      </c>
      <c r="S4443" s="13">
        <f>SUMIF(H:H,Online_eCommerce[[#This Row],[Brand]],M:M)</f>
        <v>16166345</v>
      </c>
      <c r="T4443" s="13">
        <f>SUMIF(N:N,Online_eCommerce[[#This Row],[Assigned Supervisor]],L:L)</f>
        <v>12220830</v>
      </c>
    </row>
    <row r="4444" spans="1:20" hidden="1" x14ac:dyDescent="0.3">
      <c r="A4444" t="s">
        <v>6511</v>
      </c>
      <c r="B4444" t="s">
        <v>44</v>
      </c>
      <c r="C4444" t="s">
        <v>181</v>
      </c>
      <c r="D4444" t="s">
        <v>6512</v>
      </c>
      <c r="E4444" t="s">
        <v>18</v>
      </c>
      <c r="F4444" t="s">
        <v>137</v>
      </c>
      <c r="G4444" t="s">
        <v>71</v>
      </c>
      <c r="H4444" t="s">
        <v>61</v>
      </c>
      <c r="I4444">
        <v>10500</v>
      </c>
      <c r="J4444">
        <v>13650</v>
      </c>
      <c r="K4444">
        <v>1</v>
      </c>
      <c r="L4444">
        <v>10500</v>
      </c>
      <c r="M4444">
        <v>13650</v>
      </c>
      <c r="N4444" t="s">
        <v>35</v>
      </c>
      <c r="O4444">
        <f t="shared" si="138"/>
        <v>9750</v>
      </c>
      <c r="P4444" s="13">
        <f t="shared" si="139"/>
        <v>2577458</v>
      </c>
      <c r="Q4444" s="13">
        <f>SUMIFS(M:M,E:E,Online_eCommerce[[#This Row],[Status]])</f>
        <v>28340455</v>
      </c>
      <c r="R4444" s="13">
        <f>SUMIFS(L:L,H:H,Online_eCommerce[[#This Row],[Brand]])</f>
        <v>10950150</v>
      </c>
      <c r="S4444" s="13">
        <f>SUMIF(H:H,Online_eCommerce[[#This Row],[Brand]],M:M)</f>
        <v>14235195</v>
      </c>
      <c r="T4444" s="13">
        <f>SUMIF(N:N,Online_eCommerce[[#This Row],[Assigned Supervisor]],L:L)</f>
        <v>14373360</v>
      </c>
    </row>
    <row r="4445" spans="1:20" hidden="1" x14ac:dyDescent="0.3">
      <c r="A4445" t="s">
        <v>6513</v>
      </c>
      <c r="B4445" t="s">
        <v>213</v>
      </c>
      <c r="C4445" t="s">
        <v>185</v>
      </c>
      <c r="D4445" t="s">
        <v>6514</v>
      </c>
      <c r="E4445" t="s">
        <v>161</v>
      </c>
      <c r="F4445" t="s">
        <v>6480</v>
      </c>
      <c r="G4445" t="s">
        <v>77</v>
      </c>
      <c r="H4445" t="s">
        <v>142</v>
      </c>
      <c r="I4445">
        <v>6500</v>
      </c>
      <c r="J4445">
        <v>8450</v>
      </c>
      <c r="K4445">
        <v>2</v>
      </c>
      <c r="L4445">
        <v>13000</v>
      </c>
      <c r="M4445">
        <v>16900</v>
      </c>
      <c r="N4445" t="s">
        <v>42</v>
      </c>
      <c r="O4445">
        <f t="shared" si="138"/>
        <v>39000</v>
      </c>
      <c r="P4445" s="13">
        <f t="shared" si="139"/>
        <v>2091596</v>
      </c>
      <c r="Q4445" s="13">
        <f>SUMIFS(M:M,E:E,Online_eCommerce[[#This Row],[Status]])</f>
        <v>21103186</v>
      </c>
      <c r="R4445" s="13">
        <f>SUMIFS(L:L,H:H,Online_eCommerce[[#This Row],[Brand]])</f>
        <v>6192500</v>
      </c>
      <c r="S4445" s="13">
        <f>SUMIF(H:H,Online_eCommerce[[#This Row],[Brand]],M:M)</f>
        <v>8050250</v>
      </c>
      <c r="T4445" s="13">
        <f>SUMIF(N:N,Online_eCommerce[[#This Row],[Assigned Supervisor]],L:L)</f>
        <v>12261500</v>
      </c>
    </row>
    <row r="4446" spans="1:20" x14ac:dyDescent="0.3">
      <c r="A4446" t="s">
        <v>6515</v>
      </c>
      <c r="B4446" t="s">
        <v>215</v>
      </c>
      <c r="C4446" t="s">
        <v>189</v>
      </c>
      <c r="D4446" t="s">
        <v>6516</v>
      </c>
      <c r="E4446" t="s">
        <v>46</v>
      </c>
      <c r="F4446" t="s">
        <v>6517</v>
      </c>
      <c r="G4446" t="s">
        <v>20</v>
      </c>
      <c r="H4446" t="s">
        <v>21</v>
      </c>
      <c r="I4446">
        <v>4500</v>
      </c>
      <c r="J4446">
        <v>5850</v>
      </c>
      <c r="K4446">
        <v>4</v>
      </c>
      <c r="L4446">
        <v>18000</v>
      </c>
      <c r="M4446">
        <v>23400</v>
      </c>
      <c r="N4446" t="s">
        <v>50</v>
      </c>
      <c r="O4446">
        <f t="shared" si="138"/>
        <v>8450</v>
      </c>
      <c r="P4446" s="13">
        <f t="shared" si="139"/>
        <v>2740777</v>
      </c>
      <c r="Q4446" s="13">
        <f>SUMIFS(M:M,E:E,Online_eCommerce[[#This Row],[Status]])</f>
        <v>28620410</v>
      </c>
      <c r="R4446" s="13">
        <f>SUMIFS(L:L,H:H,Online_eCommerce[[#This Row],[Brand]])</f>
        <v>12435650</v>
      </c>
      <c r="S4446" s="13">
        <f>SUMIF(H:H,Online_eCommerce[[#This Row],[Brand]],M:M)</f>
        <v>16166345</v>
      </c>
      <c r="T4446" s="13">
        <f>SUMIF(N:N,Online_eCommerce[[#This Row],[Assigned Supervisor]],L:L)</f>
        <v>12100590</v>
      </c>
    </row>
    <row r="4447" spans="1:20" hidden="1" x14ac:dyDescent="0.3">
      <c r="A4447" t="s">
        <v>6518</v>
      </c>
      <c r="B4447" t="s">
        <v>306</v>
      </c>
      <c r="C4447" t="s">
        <v>193</v>
      </c>
      <c r="D4447" t="s">
        <v>6519</v>
      </c>
      <c r="E4447" t="s">
        <v>96</v>
      </c>
      <c r="F4447" t="s">
        <v>152</v>
      </c>
      <c r="G4447" t="s">
        <v>26</v>
      </c>
      <c r="H4447" t="s">
        <v>27</v>
      </c>
      <c r="I4447">
        <v>8500</v>
      </c>
      <c r="J4447">
        <v>11050</v>
      </c>
      <c r="K4447">
        <v>2</v>
      </c>
      <c r="L4447">
        <v>17000</v>
      </c>
      <c r="M4447">
        <v>22100</v>
      </c>
      <c r="N4447" t="s">
        <v>56</v>
      </c>
      <c r="O4447">
        <f t="shared" si="138"/>
        <v>33150</v>
      </c>
      <c r="P4447" s="13">
        <f t="shared" si="139"/>
        <v>2074774</v>
      </c>
      <c r="Q4447" s="13">
        <f>SUMIFS(M:M,E:E,Online_eCommerce[[#This Row],[Status]])</f>
        <v>21233992</v>
      </c>
      <c r="R4447" s="13">
        <f>SUMIFS(L:L,H:H,Online_eCommerce[[#This Row],[Brand]])</f>
        <v>14431000</v>
      </c>
      <c r="S4447" s="13">
        <f>SUMIF(H:H,Online_eCommerce[[#This Row],[Brand]],M:M)</f>
        <v>18760300</v>
      </c>
      <c r="T4447" s="13">
        <f>SUMIF(N:N,Online_eCommerce[[#This Row],[Assigned Supervisor]],L:L)</f>
        <v>11733610</v>
      </c>
    </row>
    <row r="4448" spans="1:20" hidden="1" x14ac:dyDescent="0.3">
      <c r="A4448" t="s">
        <v>6520</v>
      </c>
      <c r="B4448" t="s">
        <v>528</v>
      </c>
      <c r="C4448" t="s">
        <v>197</v>
      </c>
      <c r="D4448" t="s">
        <v>6521</v>
      </c>
      <c r="E4448" t="s">
        <v>18</v>
      </c>
      <c r="F4448" t="s">
        <v>157</v>
      </c>
      <c r="G4448" t="s">
        <v>33</v>
      </c>
      <c r="H4448" t="s">
        <v>34</v>
      </c>
      <c r="I4448">
        <v>12500</v>
      </c>
      <c r="J4448">
        <v>16250</v>
      </c>
      <c r="K4448">
        <v>2</v>
      </c>
      <c r="L4448">
        <v>25000</v>
      </c>
      <c r="M4448">
        <v>32500</v>
      </c>
      <c r="N4448" t="s">
        <v>22</v>
      </c>
      <c r="O4448">
        <f t="shared" si="138"/>
        <v>18200</v>
      </c>
      <c r="P4448" s="13">
        <f t="shared" si="139"/>
        <v>2829840</v>
      </c>
      <c r="Q4448" s="13">
        <f>SUMIFS(M:M,E:E,Online_eCommerce[[#This Row],[Status]])</f>
        <v>28340455</v>
      </c>
      <c r="R4448" s="13">
        <f>SUMIFS(L:L,H:H,Online_eCommerce[[#This Row],[Brand]])</f>
        <v>10087000</v>
      </c>
      <c r="S4448" s="13">
        <f>SUMIF(H:H,Online_eCommerce[[#This Row],[Brand]],M:M)</f>
        <v>13113100</v>
      </c>
      <c r="T4448" s="13">
        <f>SUMIF(N:N,Online_eCommerce[[#This Row],[Assigned Supervisor]],L:L)</f>
        <v>13693220</v>
      </c>
    </row>
    <row r="4449" spans="1:20" hidden="1" x14ac:dyDescent="0.3">
      <c r="A4449" t="s">
        <v>6522</v>
      </c>
      <c r="B4449" t="s">
        <v>73</v>
      </c>
      <c r="C4449" t="s">
        <v>199</v>
      </c>
      <c r="D4449" t="s">
        <v>6521</v>
      </c>
      <c r="E4449" t="s">
        <v>161</v>
      </c>
      <c r="F4449" t="s">
        <v>6168</v>
      </c>
      <c r="G4449" t="s">
        <v>256</v>
      </c>
      <c r="H4449" t="s">
        <v>41</v>
      </c>
      <c r="I4449">
        <v>3500</v>
      </c>
      <c r="J4449">
        <v>4550</v>
      </c>
      <c r="K4449">
        <v>4</v>
      </c>
      <c r="L4449">
        <v>14000</v>
      </c>
      <c r="M4449">
        <v>18200</v>
      </c>
      <c r="N4449" t="s">
        <v>28</v>
      </c>
      <c r="O4449">
        <f t="shared" si="138"/>
        <v>9100</v>
      </c>
      <c r="P4449" s="13">
        <f t="shared" si="139"/>
        <v>1947361</v>
      </c>
      <c r="Q4449" s="13">
        <f>SUMIFS(M:M,E:E,Online_eCommerce[[#This Row],[Status]])</f>
        <v>21103186</v>
      </c>
      <c r="R4449" s="13">
        <f>SUMIFS(L:L,H:H,Online_eCommerce[[#This Row],[Brand]])</f>
        <v>4260400</v>
      </c>
      <c r="S4449" s="13">
        <f>SUMIF(H:H,Online_eCommerce[[#This Row],[Brand]],M:M)</f>
        <v>5538520</v>
      </c>
      <c r="T4449" s="13">
        <f>SUMIF(N:N,Online_eCommerce[[#This Row],[Assigned Supervisor]],L:L)</f>
        <v>12220830</v>
      </c>
    </row>
    <row r="4450" spans="1:20" x14ac:dyDescent="0.3">
      <c r="A4450" t="s">
        <v>6523</v>
      </c>
      <c r="B4450" t="s">
        <v>80</v>
      </c>
      <c r="C4450" t="s">
        <v>203</v>
      </c>
      <c r="D4450" t="s">
        <v>6521</v>
      </c>
      <c r="E4450" t="s">
        <v>46</v>
      </c>
      <c r="F4450" t="s">
        <v>166</v>
      </c>
      <c r="G4450" t="s">
        <v>259</v>
      </c>
      <c r="H4450" t="s">
        <v>49</v>
      </c>
      <c r="I4450">
        <v>4500</v>
      </c>
      <c r="J4450">
        <v>5850</v>
      </c>
      <c r="K4450">
        <v>4</v>
      </c>
      <c r="L4450">
        <v>18000</v>
      </c>
      <c r="M4450">
        <v>23400</v>
      </c>
      <c r="N4450" t="s">
        <v>35</v>
      </c>
      <c r="O4450">
        <f t="shared" si="138"/>
        <v>11700</v>
      </c>
      <c r="P4450" s="13">
        <f t="shared" si="139"/>
        <v>2559635</v>
      </c>
      <c r="Q4450" s="13">
        <f>SUMIFS(M:M,E:E,Online_eCommerce[[#This Row],[Status]])</f>
        <v>28620410</v>
      </c>
      <c r="R4450" s="13">
        <f>SUMIFS(L:L,H:H,Online_eCommerce[[#This Row],[Brand]])</f>
        <v>4528350</v>
      </c>
      <c r="S4450" s="13">
        <f>SUMIF(H:H,Online_eCommerce[[#This Row],[Brand]],M:M)</f>
        <v>5886855</v>
      </c>
      <c r="T4450" s="13">
        <f>SUMIF(N:N,Online_eCommerce[[#This Row],[Assigned Supervisor]],L:L)</f>
        <v>14373360</v>
      </c>
    </row>
    <row r="4451" spans="1:20" hidden="1" x14ac:dyDescent="0.3">
      <c r="A4451" t="s">
        <v>6524</v>
      </c>
      <c r="B4451" t="s">
        <v>85</v>
      </c>
      <c r="C4451" t="s">
        <v>205</v>
      </c>
      <c r="D4451" t="s">
        <v>6521</v>
      </c>
      <c r="E4451" t="s">
        <v>96</v>
      </c>
      <c r="F4451" t="s">
        <v>6525</v>
      </c>
      <c r="G4451" t="s">
        <v>54</v>
      </c>
      <c r="H4451" t="s">
        <v>55</v>
      </c>
      <c r="I4451">
        <v>2100</v>
      </c>
      <c r="J4451">
        <v>2730</v>
      </c>
      <c r="K4451">
        <v>2</v>
      </c>
      <c r="L4451">
        <v>4200</v>
      </c>
      <c r="M4451">
        <v>5460</v>
      </c>
      <c r="N4451" t="s">
        <v>42</v>
      </c>
      <c r="O4451">
        <f t="shared" si="138"/>
        <v>2990</v>
      </c>
      <c r="P4451" s="13">
        <f t="shared" si="139"/>
        <v>1983254</v>
      </c>
      <c r="Q4451" s="13">
        <f>SUMIFS(M:M,E:E,Online_eCommerce[[#This Row],[Status]])</f>
        <v>21233992</v>
      </c>
      <c r="R4451" s="13">
        <f>SUMIFS(L:L,H:H,Online_eCommerce[[#This Row],[Brand]])</f>
        <v>2267380</v>
      </c>
      <c r="S4451" s="13">
        <f>SUMIF(H:H,Online_eCommerce[[#This Row],[Brand]],M:M)</f>
        <v>2947594</v>
      </c>
      <c r="T4451" s="13">
        <f>SUMIF(N:N,Online_eCommerce[[#This Row],[Assigned Supervisor]],L:L)</f>
        <v>12261500</v>
      </c>
    </row>
    <row r="4452" spans="1:20" hidden="1" x14ac:dyDescent="0.3">
      <c r="A4452" t="s">
        <v>6526</v>
      </c>
      <c r="B4452" t="s">
        <v>90</v>
      </c>
      <c r="C4452" t="s">
        <v>208</v>
      </c>
      <c r="D4452" t="s">
        <v>6521</v>
      </c>
      <c r="E4452" t="s">
        <v>18</v>
      </c>
      <c r="F4452" t="s">
        <v>174</v>
      </c>
      <c r="G4452" t="s">
        <v>60</v>
      </c>
      <c r="H4452" t="s">
        <v>61</v>
      </c>
      <c r="I4452">
        <v>1150</v>
      </c>
      <c r="J4452">
        <v>1495</v>
      </c>
      <c r="K4452">
        <v>2</v>
      </c>
      <c r="L4452">
        <v>2300</v>
      </c>
      <c r="M4452">
        <v>2990</v>
      </c>
      <c r="N4452" t="s">
        <v>50</v>
      </c>
      <c r="O4452">
        <f t="shared" si="138"/>
        <v>3315</v>
      </c>
      <c r="P4452" s="13">
        <f t="shared" si="139"/>
        <v>2746575</v>
      </c>
      <c r="Q4452" s="13">
        <f>SUMIFS(M:M,E:E,Online_eCommerce[[#This Row],[Status]])</f>
        <v>28340455</v>
      </c>
      <c r="R4452" s="13">
        <f>SUMIFS(L:L,H:H,Online_eCommerce[[#This Row],[Brand]])</f>
        <v>10950150</v>
      </c>
      <c r="S4452" s="13">
        <f>SUMIF(H:H,Online_eCommerce[[#This Row],[Brand]],M:M)</f>
        <v>14235195</v>
      </c>
      <c r="T4452" s="13">
        <f>SUMIF(N:N,Online_eCommerce[[#This Row],[Assigned Supervisor]],L:L)</f>
        <v>12100590</v>
      </c>
    </row>
    <row r="4453" spans="1:20" hidden="1" x14ac:dyDescent="0.3">
      <c r="A4453" t="s">
        <v>6527</v>
      </c>
      <c r="B4453" t="s">
        <v>232</v>
      </c>
      <c r="C4453" t="s">
        <v>211</v>
      </c>
      <c r="D4453" t="s">
        <v>6521</v>
      </c>
      <c r="E4453" t="s">
        <v>161</v>
      </c>
      <c r="F4453" t="s">
        <v>179</v>
      </c>
      <c r="G4453" t="s">
        <v>66</v>
      </c>
      <c r="H4453" t="s">
        <v>21</v>
      </c>
      <c r="I4453">
        <v>350</v>
      </c>
      <c r="J4453">
        <v>455</v>
      </c>
      <c r="K4453">
        <v>2</v>
      </c>
      <c r="L4453">
        <v>700</v>
      </c>
      <c r="M4453">
        <v>910</v>
      </c>
      <c r="N4453" t="s">
        <v>56</v>
      </c>
      <c r="O4453">
        <f t="shared" si="138"/>
        <v>1690</v>
      </c>
      <c r="P4453" s="13">
        <f t="shared" si="139"/>
        <v>1809847</v>
      </c>
      <c r="Q4453" s="13">
        <f>SUMIFS(M:M,E:E,Online_eCommerce[[#This Row],[Status]])</f>
        <v>21103186</v>
      </c>
      <c r="R4453" s="13">
        <f>SUMIFS(L:L,H:H,Online_eCommerce[[#This Row],[Brand]])</f>
        <v>12435650</v>
      </c>
      <c r="S4453" s="13">
        <f>SUMIF(H:H,Online_eCommerce[[#This Row],[Brand]],M:M)</f>
        <v>16166345</v>
      </c>
      <c r="T4453" s="13">
        <f>SUMIF(N:N,Online_eCommerce[[#This Row],[Assigned Supervisor]],L:L)</f>
        <v>11733610</v>
      </c>
    </row>
    <row r="4454" spans="1:20" x14ac:dyDescent="0.3">
      <c r="A4454" t="s">
        <v>6528</v>
      </c>
      <c r="B4454" t="s">
        <v>235</v>
      </c>
      <c r="C4454" t="s">
        <v>16</v>
      </c>
      <c r="D4454" t="s">
        <v>6521</v>
      </c>
      <c r="E4454" t="s">
        <v>46</v>
      </c>
      <c r="F4454" t="s">
        <v>183</v>
      </c>
      <c r="G4454" t="s">
        <v>71</v>
      </c>
      <c r="H4454" t="s">
        <v>61</v>
      </c>
      <c r="I4454">
        <v>9500</v>
      </c>
      <c r="J4454">
        <v>12350</v>
      </c>
      <c r="K4454">
        <v>3</v>
      </c>
      <c r="L4454">
        <v>28500</v>
      </c>
      <c r="M4454">
        <v>37050</v>
      </c>
      <c r="N4454" t="s">
        <v>22</v>
      </c>
      <c r="O4454">
        <f t="shared" si="138"/>
        <v>9750</v>
      </c>
      <c r="P4454" s="13">
        <f t="shared" si="139"/>
        <v>2751814</v>
      </c>
      <c r="Q4454" s="13">
        <f>SUMIFS(M:M,E:E,Online_eCommerce[[#This Row],[Status]])</f>
        <v>28620410</v>
      </c>
      <c r="R4454" s="13">
        <f>SUMIFS(L:L,H:H,Online_eCommerce[[#This Row],[Brand]])</f>
        <v>10950150</v>
      </c>
      <c r="S4454" s="13">
        <f>SUMIF(H:H,Online_eCommerce[[#This Row],[Brand]],M:M)</f>
        <v>14235195</v>
      </c>
      <c r="T4454" s="13">
        <f>SUMIF(N:N,Online_eCommerce[[#This Row],[Assigned Supervisor]],L:L)</f>
        <v>13693220</v>
      </c>
    </row>
    <row r="4455" spans="1:20" hidden="1" x14ac:dyDescent="0.3">
      <c r="A4455" t="s">
        <v>6529</v>
      </c>
      <c r="B4455" t="s">
        <v>104</v>
      </c>
      <c r="C4455" t="s">
        <v>24</v>
      </c>
      <c r="D4455" t="s">
        <v>6521</v>
      </c>
      <c r="E4455" t="s">
        <v>96</v>
      </c>
      <c r="F4455" t="s">
        <v>6530</v>
      </c>
      <c r="G4455" t="s">
        <v>77</v>
      </c>
      <c r="H4455" t="s">
        <v>142</v>
      </c>
      <c r="I4455">
        <v>10000</v>
      </c>
      <c r="J4455">
        <v>13000</v>
      </c>
      <c r="K4455">
        <v>3</v>
      </c>
      <c r="L4455">
        <v>30000</v>
      </c>
      <c r="M4455">
        <v>39000</v>
      </c>
      <c r="N4455" t="s">
        <v>28</v>
      </c>
      <c r="O4455">
        <f t="shared" si="138"/>
        <v>39000</v>
      </c>
      <c r="P4455" s="13">
        <f t="shared" si="139"/>
        <v>2009540</v>
      </c>
      <c r="Q4455" s="13">
        <f>SUMIFS(M:M,E:E,Online_eCommerce[[#This Row],[Status]])</f>
        <v>21233992</v>
      </c>
      <c r="R4455" s="13">
        <f>SUMIFS(L:L,H:H,Online_eCommerce[[#This Row],[Brand]])</f>
        <v>6192500</v>
      </c>
      <c r="S4455" s="13">
        <f>SUMIF(H:H,Online_eCommerce[[#This Row],[Brand]],M:M)</f>
        <v>8050250</v>
      </c>
      <c r="T4455" s="13">
        <f>SUMIF(N:N,Online_eCommerce[[#This Row],[Assigned Supervisor]],L:L)</f>
        <v>12220830</v>
      </c>
    </row>
    <row r="4456" spans="1:20" hidden="1" x14ac:dyDescent="0.3">
      <c r="A4456" t="s">
        <v>6531</v>
      </c>
      <c r="B4456" t="s">
        <v>109</v>
      </c>
      <c r="C4456" t="s">
        <v>31</v>
      </c>
      <c r="D4456" t="s">
        <v>6521</v>
      </c>
      <c r="E4456" t="s">
        <v>18</v>
      </c>
      <c r="F4456" t="s">
        <v>6532</v>
      </c>
      <c r="G4456" t="s">
        <v>20</v>
      </c>
      <c r="H4456" t="s">
        <v>21</v>
      </c>
      <c r="I4456">
        <v>6500</v>
      </c>
      <c r="J4456">
        <v>8450</v>
      </c>
      <c r="K4456">
        <v>3</v>
      </c>
      <c r="L4456">
        <v>19500</v>
      </c>
      <c r="M4456">
        <v>25350</v>
      </c>
      <c r="N4456" t="s">
        <v>35</v>
      </c>
      <c r="O4456">
        <f t="shared" si="138"/>
        <v>8450</v>
      </c>
      <c r="P4456" s="13">
        <f t="shared" si="139"/>
        <v>2865746</v>
      </c>
      <c r="Q4456" s="13">
        <f>SUMIFS(M:M,E:E,Online_eCommerce[[#This Row],[Status]])</f>
        <v>28340455</v>
      </c>
      <c r="R4456" s="13">
        <f>SUMIFS(L:L,H:H,Online_eCommerce[[#This Row],[Brand]])</f>
        <v>12435650</v>
      </c>
      <c r="S4456" s="13">
        <f>SUMIF(H:H,Online_eCommerce[[#This Row],[Brand]],M:M)</f>
        <v>16166345</v>
      </c>
      <c r="T4456" s="13">
        <f>SUMIF(N:N,Online_eCommerce[[#This Row],[Assigned Supervisor]],L:L)</f>
        <v>14373360</v>
      </c>
    </row>
    <row r="4457" spans="1:20" hidden="1" x14ac:dyDescent="0.3">
      <c r="A4457" t="s">
        <v>6533</v>
      </c>
      <c r="B4457" t="s">
        <v>114</v>
      </c>
      <c r="C4457" t="s">
        <v>38</v>
      </c>
      <c r="D4457" t="s">
        <v>6521</v>
      </c>
      <c r="E4457" t="s">
        <v>161</v>
      </c>
      <c r="F4457" t="s">
        <v>6534</v>
      </c>
      <c r="G4457" t="s">
        <v>26</v>
      </c>
      <c r="H4457" t="s">
        <v>27</v>
      </c>
      <c r="I4457">
        <v>8500</v>
      </c>
      <c r="J4457">
        <v>11050</v>
      </c>
      <c r="K4457">
        <v>3</v>
      </c>
      <c r="L4457">
        <v>25500</v>
      </c>
      <c r="M4457">
        <v>33150</v>
      </c>
      <c r="N4457" t="s">
        <v>42</v>
      </c>
      <c r="O4457">
        <f t="shared" si="138"/>
        <v>33150</v>
      </c>
      <c r="P4457" s="13">
        <f t="shared" si="139"/>
        <v>1933997</v>
      </c>
      <c r="Q4457" s="13">
        <f>SUMIFS(M:M,E:E,Online_eCommerce[[#This Row],[Status]])</f>
        <v>21103186</v>
      </c>
      <c r="R4457" s="13">
        <f>SUMIFS(L:L,H:H,Online_eCommerce[[#This Row],[Brand]])</f>
        <v>14431000</v>
      </c>
      <c r="S4457" s="13">
        <f>SUMIF(H:H,Online_eCommerce[[#This Row],[Brand]],M:M)</f>
        <v>18760300</v>
      </c>
      <c r="T4457" s="13">
        <f>SUMIF(N:N,Online_eCommerce[[#This Row],[Assigned Supervisor]],L:L)</f>
        <v>12261500</v>
      </c>
    </row>
    <row r="4458" spans="1:20" x14ac:dyDescent="0.3">
      <c r="A4458" t="s">
        <v>6535</v>
      </c>
      <c r="B4458" t="s">
        <v>119</v>
      </c>
      <c r="C4458" t="s">
        <v>45</v>
      </c>
      <c r="D4458" t="s">
        <v>6521</v>
      </c>
      <c r="E4458" t="s">
        <v>46</v>
      </c>
      <c r="F4458" t="s">
        <v>32</v>
      </c>
      <c r="G4458" t="s">
        <v>33</v>
      </c>
      <c r="H4458" t="s">
        <v>34</v>
      </c>
      <c r="I4458">
        <v>7000</v>
      </c>
      <c r="J4458">
        <v>9100</v>
      </c>
      <c r="K4458">
        <v>3</v>
      </c>
      <c r="L4458">
        <v>21000</v>
      </c>
      <c r="M4458">
        <v>27300</v>
      </c>
      <c r="N4458" t="s">
        <v>50</v>
      </c>
      <c r="O4458">
        <f t="shared" si="138"/>
        <v>18200</v>
      </c>
      <c r="P4458" s="13">
        <f t="shared" si="139"/>
        <v>2842554</v>
      </c>
      <c r="Q4458" s="13">
        <f>SUMIFS(M:M,E:E,Online_eCommerce[[#This Row],[Status]])</f>
        <v>28620410</v>
      </c>
      <c r="R4458" s="13">
        <f>SUMIFS(L:L,H:H,Online_eCommerce[[#This Row],[Brand]])</f>
        <v>10087000</v>
      </c>
      <c r="S4458" s="13">
        <f>SUMIF(H:H,Online_eCommerce[[#This Row],[Brand]],M:M)</f>
        <v>13113100</v>
      </c>
      <c r="T4458" s="13">
        <f>SUMIF(N:N,Online_eCommerce[[#This Row],[Assigned Supervisor]],L:L)</f>
        <v>12100590</v>
      </c>
    </row>
    <row r="4459" spans="1:20" hidden="1" x14ac:dyDescent="0.3">
      <c r="A4459" t="s">
        <v>6536</v>
      </c>
      <c r="B4459" t="s">
        <v>124</v>
      </c>
      <c r="C4459" t="s">
        <v>52</v>
      </c>
      <c r="D4459" t="s">
        <v>6521</v>
      </c>
      <c r="E4459" t="s">
        <v>96</v>
      </c>
      <c r="F4459" t="s">
        <v>6537</v>
      </c>
      <c r="G4459" t="s">
        <v>256</v>
      </c>
      <c r="H4459" t="s">
        <v>41</v>
      </c>
      <c r="I4459">
        <v>6550</v>
      </c>
      <c r="J4459">
        <v>8515</v>
      </c>
      <c r="K4459">
        <v>1</v>
      </c>
      <c r="L4459">
        <v>6550</v>
      </c>
      <c r="M4459">
        <v>8515</v>
      </c>
      <c r="N4459" t="s">
        <v>22</v>
      </c>
      <c r="O4459">
        <f t="shared" si="138"/>
        <v>9100</v>
      </c>
      <c r="P4459" s="13">
        <f t="shared" si="139"/>
        <v>1955044</v>
      </c>
      <c r="Q4459" s="13">
        <f>SUMIFS(M:M,E:E,Online_eCommerce[[#This Row],[Status]])</f>
        <v>21233992</v>
      </c>
      <c r="R4459" s="13">
        <f>SUMIFS(L:L,H:H,Online_eCommerce[[#This Row],[Brand]])</f>
        <v>4260400</v>
      </c>
      <c r="S4459" s="13">
        <f>SUMIF(H:H,Online_eCommerce[[#This Row],[Brand]],M:M)</f>
        <v>5538520</v>
      </c>
      <c r="T4459" s="13">
        <f>SUMIF(N:N,Online_eCommerce[[#This Row],[Assigned Supervisor]],L:L)</f>
        <v>13693220</v>
      </c>
    </row>
    <row r="4460" spans="1:20" hidden="1" x14ac:dyDescent="0.3">
      <c r="A4460" t="s">
        <v>6538</v>
      </c>
      <c r="B4460" t="s">
        <v>128</v>
      </c>
      <c r="C4460" t="s">
        <v>58</v>
      </c>
      <c r="D4460" t="s">
        <v>6521</v>
      </c>
      <c r="E4460" t="s">
        <v>18</v>
      </c>
      <c r="F4460" t="s">
        <v>47</v>
      </c>
      <c r="G4460" t="s">
        <v>259</v>
      </c>
      <c r="H4460" t="s">
        <v>49</v>
      </c>
      <c r="I4460">
        <v>7650</v>
      </c>
      <c r="J4460">
        <v>9945</v>
      </c>
      <c r="K4460">
        <v>3</v>
      </c>
      <c r="L4460">
        <v>22950</v>
      </c>
      <c r="M4460">
        <v>29835</v>
      </c>
      <c r="N4460" t="s">
        <v>22</v>
      </c>
      <c r="O4460">
        <f t="shared" si="138"/>
        <v>11700</v>
      </c>
      <c r="P4460" s="13">
        <f t="shared" si="139"/>
        <v>2629211</v>
      </c>
      <c r="Q4460" s="13">
        <f>SUMIFS(M:M,E:E,Online_eCommerce[[#This Row],[Status]])</f>
        <v>28340455</v>
      </c>
      <c r="R4460" s="13">
        <f>SUMIFS(L:L,H:H,Online_eCommerce[[#This Row],[Brand]])</f>
        <v>4528350</v>
      </c>
      <c r="S4460" s="13">
        <f>SUMIF(H:H,Online_eCommerce[[#This Row],[Brand]],M:M)</f>
        <v>5886855</v>
      </c>
      <c r="T4460" s="13">
        <f>SUMIF(N:N,Online_eCommerce[[#This Row],[Assigned Supervisor]],L:L)</f>
        <v>13693220</v>
      </c>
    </row>
    <row r="4461" spans="1:20" hidden="1" x14ac:dyDescent="0.3">
      <c r="A4461" t="s">
        <v>6539</v>
      </c>
      <c r="B4461" t="s">
        <v>131</v>
      </c>
      <c r="C4461" t="s">
        <v>63</v>
      </c>
      <c r="D4461" t="s">
        <v>6521</v>
      </c>
      <c r="E4461" t="s">
        <v>161</v>
      </c>
      <c r="F4461" t="s">
        <v>53</v>
      </c>
      <c r="G4461" t="s">
        <v>54</v>
      </c>
      <c r="H4461" t="s">
        <v>55</v>
      </c>
      <c r="I4461">
        <v>1150</v>
      </c>
      <c r="J4461">
        <v>1495</v>
      </c>
      <c r="K4461">
        <v>2</v>
      </c>
      <c r="L4461">
        <v>2300</v>
      </c>
      <c r="M4461">
        <v>2990</v>
      </c>
      <c r="N4461" t="s">
        <v>22</v>
      </c>
      <c r="O4461">
        <f t="shared" si="138"/>
        <v>2990</v>
      </c>
      <c r="P4461" s="13">
        <f t="shared" si="139"/>
        <v>2016131</v>
      </c>
      <c r="Q4461" s="13">
        <f>SUMIFS(M:M,E:E,Online_eCommerce[[#This Row],[Status]])</f>
        <v>21103186</v>
      </c>
      <c r="R4461" s="13">
        <f>SUMIFS(L:L,H:H,Online_eCommerce[[#This Row],[Brand]])</f>
        <v>2267380</v>
      </c>
      <c r="S4461" s="13">
        <f>SUMIF(H:H,Online_eCommerce[[#This Row],[Brand]],M:M)</f>
        <v>2947594</v>
      </c>
      <c r="T4461" s="13">
        <f>SUMIF(N:N,Online_eCommerce[[#This Row],[Assigned Supervisor]],L:L)</f>
        <v>13693220</v>
      </c>
    </row>
    <row r="4462" spans="1:20" x14ac:dyDescent="0.3">
      <c r="A4462" t="s">
        <v>6540</v>
      </c>
      <c r="B4462" t="s">
        <v>135</v>
      </c>
      <c r="C4462" t="s">
        <v>68</v>
      </c>
      <c r="D4462" t="s">
        <v>6521</v>
      </c>
      <c r="E4462" t="s">
        <v>46</v>
      </c>
      <c r="F4462" t="s">
        <v>59</v>
      </c>
      <c r="G4462" t="s">
        <v>60</v>
      </c>
      <c r="H4462" t="s">
        <v>61</v>
      </c>
      <c r="I4462">
        <v>850</v>
      </c>
      <c r="J4462">
        <v>1105</v>
      </c>
      <c r="K4462">
        <v>2</v>
      </c>
      <c r="L4462">
        <v>1700</v>
      </c>
      <c r="M4462">
        <v>2210</v>
      </c>
      <c r="N4462" t="s">
        <v>22</v>
      </c>
      <c r="O4462">
        <f t="shared" si="138"/>
        <v>3315</v>
      </c>
      <c r="P4462" s="13">
        <f t="shared" si="139"/>
        <v>2974621</v>
      </c>
      <c r="Q4462" s="13">
        <f>SUMIFS(M:M,E:E,Online_eCommerce[[#This Row],[Status]])</f>
        <v>28620410</v>
      </c>
      <c r="R4462" s="13">
        <f>SUMIFS(L:L,H:H,Online_eCommerce[[#This Row],[Brand]])</f>
        <v>10950150</v>
      </c>
      <c r="S4462" s="13">
        <f>SUMIF(H:H,Online_eCommerce[[#This Row],[Brand]],M:M)</f>
        <v>14235195</v>
      </c>
      <c r="T4462" s="13">
        <f>SUMIF(N:N,Online_eCommerce[[#This Row],[Assigned Supervisor]],L:L)</f>
        <v>13693220</v>
      </c>
    </row>
    <row r="4463" spans="1:20" hidden="1" x14ac:dyDescent="0.3">
      <c r="A4463" t="s">
        <v>6541</v>
      </c>
      <c r="B4463" t="s">
        <v>139</v>
      </c>
      <c r="C4463" t="s">
        <v>74</v>
      </c>
      <c r="D4463" t="s">
        <v>6521</v>
      </c>
      <c r="E4463" t="s">
        <v>96</v>
      </c>
      <c r="F4463" t="s">
        <v>65</v>
      </c>
      <c r="G4463" t="s">
        <v>66</v>
      </c>
      <c r="H4463" t="s">
        <v>21</v>
      </c>
      <c r="I4463">
        <v>650</v>
      </c>
      <c r="J4463">
        <v>845</v>
      </c>
      <c r="K4463">
        <v>2</v>
      </c>
      <c r="L4463">
        <v>1300</v>
      </c>
      <c r="M4463">
        <v>1690</v>
      </c>
      <c r="N4463" t="s">
        <v>22</v>
      </c>
      <c r="O4463">
        <f t="shared" si="138"/>
        <v>1690</v>
      </c>
      <c r="P4463" s="13">
        <f t="shared" si="139"/>
        <v>2144701</v>
      </c>
      <c r="Q4463" s="13">
        <f>SUMIFS(M:M,E:E,Online_eCommerce[[#This Row],[Status]])</f>
        <v>21233992</v>
      </c>
      <c r="R4463" s="13">
        <f>SUMIFS(L:L,H:H,Online_eCommerce[[#This Row],[Brand]])</f>
        <v>12435650</v>
      </c>
      <c r="S4463" s="13">
        <f>SUMIF(H:H,Online_eCommerce[[#This Row],[Brand]],M:M)</f>
        <v>16166345</v>
      </c>
      <c r="T4463" s="13">
        <f>SUMIF(N:N,Online_eCommerce[[#This Row],[Assigned Supervisor]],L:L)</f>
        <v>13693220</v>
      </c>
    </row>
    <row r="4464" spans="1:20" hidden="1" x14ac:dyDescent="0.3">
      <c r="A4464" t="s">
        <v>6542</v>
      </c>
      <c r="B4464" t="s">
        <v>144</v>
      </c>
      <c r="C4464" t="s">
        <v>81</v>
      </c>
      <c r="D4464" t="s">
        <v>6521</v>
      </c>
      <c r="E4464" t="s">
        <v>18</v>
      </c>
      <c r="F4464" t="s">
        <v>70</v>
      </c>
      <c r="G4464" t="s">
        <v>71</v>
      </c>
      <c r="H4464" t="s">
        <v>61</v>
      </c>
      <c r="I4464">
        <v>7500</v>
      </c>
      <c r="J4464">
        <v>9750</v>
      </c>
      <c r="K4464">
        <v>2</v>
      </c>
      <c r="L4464">
        <v>15000</v>
      </c>
      <c r="M4464">
        <v>19500</v>
      </c>
      <c r="N4464" t="s">
        <v>22</v>
      </c>
      <c r="O4464">
        <f t="shared" si="138"/>
        <v>9750</v>
      </c>
      <c r="P4464" s="13">
        <f t="shared" si="139"/>
        <v>2595632</v>
      </c>
      <c r="Q4464" s="13">
        <f>SUMIFS(M:M,E:E,Online_eCommerce[[#This Row],[Status]])</f>
        <v>28340455</v>
      </c>
      <c r="R4464" s="13">
        <f>SUMIFS(L:L,H:H,Online_eCommerce[[#This Row],[Brand]])</f>
        <v>10950150</v>
      </c>
      <c r="S4464" s="13">
        <f>SUMIF(H:H,Online_eCommerce[[#This Row],[Brand]],M:M)</f>
        <v>14235195</v>
      </c>
      <c r="T4464" s="13">
        <f>SUMIF(N:N,Online_eCommerce[[#This Row],[Assigned Supervisor]],L:L)</f>
        <v>13693220</v>
      </c>
    </row>
    <row r="4465" spans="1:20" hidden="1" x14ac:dyDescent="0.3">
      <c r="A4465" t="s">
        <v>6543</v>
      </c>
      <c r="B4465" t="s">
        <v>149</v>
      </c>
      <c r="C4465" t="s">
        <v>86</v>
      </c>
      <c r="D4465" t="s">
        <v>6521</v>
      </c>
      <c r="E4465" t="s">
        <v>161</v>
      </c>
      <c r="F4465" t="s">
        <v>6530</v>
      </c>
      <c r="G4465" t="s">
        <v>77</v>
      </c>
      <c r="H4465" t="s">
        <v>78</v>
      </c>
      <c r="I4465">
        <v>10000</v>
      </c>
      <c r="J4465">
        <v>13000</v>
      </c>
      <c r="K4465">
        <v>1</v>
      </c>
      <c r="L4465">
        <v>10000</v>
      </c>
      <c r="M4465">
        <v>13000</v>
      </c>
      <c r="N4465" t="s">
        <v>22</v>
      </c>
      <c r="O4465">
        <f t="shared" si="138"/>
        <v>39000</v>
      </c>
      <c r="P4465" s="13">
        <f t="shared" si="139"/>
        <v>1941225</v>
      </c>
      <c r="Q4465" s="13">
        <f>SUMIFS(M:M,E:E,Online_eCommerce[[#This Row],[Status]])</f>
        <v>21103186</v>
      </c>
      <c r="R4465" s="13">
        <f>SUMIFS(L:L,H:H,Online_eCommerce[[#This Row],[Brand]])</f>
        <v>3720000</v>
      </c>
      <c r="S4465" s="13">
        <f>SUMIF(H:H,Online_eCommerce[[#This Row],[Brand]],M:M)</f>
        <v>4836000</v>
      </c>
      <c r="T4465" s="13">
        <f>SUMIF(N:N,Online_eCommerce[[#This Row],[Assigned Supervisor]],L:L)</f>
        <v>13693220</v>
      </c>
    </row>
    <row r="4466" spans="1:20" x14ac:dyDescent="0.3">
      <c r="A4466" t="s">
        <v>6544</v>
      </c>
      <c r="B4466" t="s">
        <v>154</v>
      </c>
      <c r="C4466" t="s">
        <v>91</v>
      </c>
      <c r="D4466" t="s">
        <v>6521</v>
      </c>
      <c r="E4466" t="s">
        <v>46</v>
      </c>
      <c r="F4466" t="s">
        <v>6545</v>
      </c>
      <c r="G4466" t="s">
        <v>20</v>
      </c>
      <c r="H4466" t="s">
        <v>21</v>
      </c>
      <c r="I4466">
        <v>10500</v>
      </c>
      <c r="J4466">
        <v>13650</v>
      </c>
      <c r="K4466">
        <v>1</v>
      </c>
      <c r="L4466">
        <v>10500</v>
      </c>
      <c r="M4466">
        <v>13650</v>
      </c>
      <c r="N4466" t="s">
        <v>22</v>
      </c>
      <c r="O4466">
        <f t="shared" si="138"/>
        <v>8450</v>
      </c>
      <c r="P4466" s="13">
        <f t="shared" si="139"/>
        <v>2731963</v>
      </c>
      <c r="Q4466" s="13">
        <f>SUMIFS(M:M,E:E,Online_eCommerce[[#This Row],[Status]])</f>
        <v>28620410</v>
      </c>
      <c r="R4466" s="13">
        <f>SUMIFS(L:L,H:H,Online_eCommerce[[#This Row],[Brand]])</f>
        <v>12435650</v>
      </c>
      <c r="S4466" s="13">
        <f>SUMIF(H:H,Online_eCommerce[[#This Row],[Brand]],M:M)</f>
        <v>16166345</v>
      </c>
      <c r="T4466" s="13">
        <f>SUMIF(N:N,Online_eCommerce[[#This Row],[Assigned Supervisor]],L:L)</f>
        <v>13693220</v>
      </c>
    </row>
    <row r="4467" spans="1:20" hidden="1" x14ac:dyDescent="0.3">
      <c r="A4467" t="s">
        <v>6546</v>
      </c>
      <c r="B4467" t="s">
        <v>159</v>
      </c>
      <c r="C4467" t="s">
        <v>94</v>
      </c>
      <c r="D4467" t="s">
        <v>6521</v>
      </c>
      <c r="E4467" t="s">
        <v>96</v>
      </c>
      <c r="F4467" t="s">
        <v>88</v>
      </c>
      <c r="G4467" t="s">
        <v>26</v>
      </c>
      <c r="H4467" t="s">
        <v>27</v>
      </c>
      <c r="I4467">
        <v>8500</v>
      </c>
      <c r="J4467">
        <v>11050</v>
      </c>
      <c r="K4467">
        <v>1</v>
      </c>
      <c r="L4467">
        <v>8500</v>
      </c>
      <c r="M4467">
        <v>11050</v>
      </c>
      <c r="N4467" t="s">
        <v>22</v>
      </c>
      <c r="O4467">
        <f t="shared" si="138"/>
        <v>33150</v>
      </c>
      <c r="P4467" s="13">
        <f t="shared" si="139"/>
        <v>1868256</v>
      </c>
      <c r="Q4467" s="13">
        <f>SUMIFS(M:M,E:E,Online_eCommerce[[#This Row],[Status]])</f>
        <v>21233992</v>
      </c>
      <c r="R4467" s="13">
        <f>SUMIFS(L:L,H:H,Online_eCommerce[[#This Row],[Brand]])</f>
        <v>14431000</v>
      </c>
      <c r="S4467" s="13">
        <f>SUMIF(H:H,Online_eCommerce[[#This Row],[Brand]],M:M)</f>
        <v>18760300</v>
      </c>
      <c r="T4467" s="13">
        <f>SUMIF(N:N,Online_eCommerce[[#This Row],[Assigned Supervisor]],L:L)</f>
        <v>13693220</v>
      </c>
    </row>
    <row r="4468" spans="1:20" hidden="1" x14ac:dyDescent="0.3">
      <c r="A4468" t="s">
        <v>6547</v>
      </c>
      <c r="B4468" t="s">
        <v>139</v>
      </c>
      <c r="C4468" t="s">
        <v>99</v>
      </c>
      <c r="D4468" t="s">
        <v>6521</v>
      </c>
      <c r="E4468" t="s">
        <v>18</v>
      </c>
      <c r="F4468" t="s">
        <v>32</v>
      </c>
      <c r="G4468" t="s">
        <v>33</v>
      </c>
      <c r="H4468" t="s">
        <v>34</v>
      </c>
      <c r="I4468">
        <v>7000</v>
      </c>
      <c r="J4468">
        <v>9100</v>
      </c>
      <c r="K4468">
        <v>3</v>
      </c>
      <c r="L4468">
        <v>21000</v>
      </c>
      <c r="M4468">
        <v>27300</v>
      </c>
      <c r="N4468" t="s">
        <v>22</v>
      </c>
      <c r="O4468">
        <f t="shared" si="138"/>
        <v>18200</v>
      </c>
      <c r="P4468" s="13">
        <f t="shared" si="139"/>
        <v>2651233</v>
      </c>
      <c r="Q4468" s="13">
        <f>SUMIFS(M:M,E:E,Online_eCommerce[[#This Row],[Status]])</f>
        <v>28340455</v>
      </c>
      <c r="R4468" s="13">
        <f>SUMIFS(L:L,H:H,Online_eCommerce[[#This Row],[Brand]])</f>
        <v>10087000</v>
      </c>
      <c r="S4468" s="13">
        <f>SUMIF(H:H,Online_eCommerce[[#This Row],[Brand]],M:M)</f>
        <v>13113100</v>
      </c>
      <c r="T4468" s="13">
        <f>SUMIF(N:N,Online_eCommerce[[#This Row],[Assigned Supervisor]],L:L)</f>
        <v>13693220</v>
      </c>
    </row>
    <row r="4469" spans="1:20" hidden="1" x14ac:dyDescent="0.3">
      <c r="A4469" t="s">
        <v>6548</v>
      </c>
      <c r="B4469" t="s">
        <v>144</v>
      </c>
      <c r="C4469" t="s">
        <v>105</v>
      </c>
      <c r="D4469" t="s">
        <v>6521</v>
      </c>
      <c r="E4469" t="s">
        <v>161</v>
      </c>
      <c r="F4469" t="s">
        <v>6549</v>
      </c>
      <c r="G4469" t="s">
        <v>256</v>
      </c>
      <c r="H4469" t="s">
        <v>41</v>
      </c>
      <c r="I4469">
        <v>1680</v>
      </c>
      <c r="J4469">
        <v>2184</v>
      </c>
      <c r="K4469">
        <v>1</v>
      </c>
      <c r="L4469">
        <v>1680</v>
      </c>
      <c r="M4469">
        <v>2184</v>
      </c>
      <c r="N4469" t="s">
        <v>22</v>
      </c>
      <c r="O4469">
        <f t="shared" si="138"/>
        <v>9100</v>
      </c>
      <c r="P4469" s="13">
        <f t="shared" si="139"/>
        <v>1866852</v>
      </c>
      <c r="Q4469" s="13">
        <f>SUMIFS(M:M,E:E,Online_eCommerce[[#This Row],[Status]])</f>
        <v>21103186</v>
      </c>
      <c r="R4469" s="13">
        <f>SUMIFS(L:L,H:H,Online_eCommerce[[#This Row],[Brand]])</f>
        <v>4260400</v>
      </c>
      <c r="S4469" s="13">
        <f>SUMIF(H:H,Online_eCommerce[[#This Row],[Brand]],M:M)</f>
        <v>5538520</v>
      </c>
      <c r="T4469" s="13">
        <f>SUMIF(N:N,Online_eCommerce[[#This Row],[Assigned Supervisor]],L:L)</f>
        <v>13693220</v>
      </c>
    </row>
    <row r="4470" spans="1:20" x14ac:dyDescent="0.3">
      <c r="A4470" t="s">
        <v>6550</v>
      </c>
      <c r="B4470" t="s">
        <v>235</v>
      </c>
      <c r="C4470" t="s">
        <v>110</v>
      </c>
      <c r="D4470" t="s">
        <v>6521</v>
      </c>
      <c r="E4470" t="s">
        <v>46</v>
      </c>
      <c r="F4470" t="s">
        <v>101</v>
      </c>
      <c r="G4470" t="s">
        <v>259</v>
      </c>
      <c r="H4470" t="s">
        <v>102</v>
      </c>
      <c r="I4470">
        <v>6540</v>
      </c>
      <c r="J4470">
        <v>8502</v>
      </c>
      <c r="K4470">
        <v>1</v>
      </c>
      <c r="L4470">
        <v>6540</v>
      </c>
      <c r="M4470">
        <v>8502</v>
      </c>
      <c r="N4470" t="s">
        <v>22</v>
      </c>
      <c r="O4470">
        <f t="shared" si="138"/>
        <v>11700</v>
      </c>
      <c r="P4470" s="13">
        <f t="shared" si="139"/>
        <v>2598635</v>
      </c>
      <c r="Q4470" s="13">
        <f>SUMIFS(M:M,E:E,Online_eCommerce[[#This Row],[Status]])</f>
        <v>28620410</v>
      </c>
      <c r="R4470" s="13">
        <f>SUMIFS(L:L,H:H,Online_eCommerce[[#This Row],[Brand]])</f>
        <v>2465580</v>
      </c>
      <c r="S4470" s="13">
        <f>SUMIF(H:H,Online_eCommerce[[#This Row],[Brand]],M:M)</f>
        <v>3205254</v>
      </c>
      <c r="T4470" s="13">
        <f>SUMIF(N:N,Online_eCommerce[[#This Row],[Assigned Supervisor]],L:L)</f>
        <v>13693220</v>
      </c>
    </row>
    <row r="4471" spans="1:20" hidden="1" x14ac:dyDescent="0.3">
      <c r="A4471" t="s">
        <v>6551</v>
      </c>
      <c r="B4471" t="s">
        <v>176</v>
      </c>
      <c r="C4471" t="s">
        <v>115</v>
      </c>
      <c r="D4471" t="s">
        <v>6521</v>
      </c>
      <c r="E4471" t="s">
        <v>96</v>
      </c>
      <c r="F4471" t="s">
        <v>107</v>
      </c>
      <c r="G4471" t="s">
        <v>54</v>
      </c>
      <c r="H4471" t="s">
        <v>55</v>
      </c>
      <c r="I4471">
        <v>2680</v>
      </c>
      <c r="J4471">
        <v>3484</v>
      </c>
      <c r="K4471">
        <v>1</v>
      </c>
      <c r="L4471">
        <v>2680</v>
      </c>
      <c r="M4471">
        <v>3484</v>
      </c>
      <c r="N4471" t="s">
        <v>22</v>
      </c>
      <c r="O4471">
        <f t="shared" si="138"/>
        <v>2990</v>
      </c>
      <c r="P4471" s="13">
        <f t="shared" si="139"/>
        <v>2050178</v>
      </c>
      <c r="Q4471" s="13">
        <f>SUMIFS(M:M,E:E,Online_eCommerce[[#This Row],[Status]])</f>
        <v>21233992</v>
      </c>
      <c r="R4471" s="13">
        <f>SUMIFS(L:L,H:H,Online_eCommerce[[#This Row],[Brand]])</f>
        <v>2267380</v>
      </c>
      <c r="S4471" s="13">
        <f>SUMIF(H:H,Online_eCommerce[[#This Row],[Brand]],M:M)</f>
        <v>2947594</v>
      </c>
      <c r="T4471" s="13">
        <f>SUMIF(N:N,Online_eCommerce[[#This Row],[Assigned Supervisor]],L:L)</f>
        <v>13693220</v>
      </c>
    </row>
    <row r="4472" spans="1:20" hidden="1" x14ac:dyDescent="0.3">
      <c r="A4472" t="s">
        <v>6552</v>
      </c>
      <c r="B4472" t="s">
        <v>276</v>
      </c>
      <c r="C4472" t="s">
        <v>120</v>
      </c>
      <c r="D4472" t="s">
        <v>6521</v>
      </c>
      <c r="E4472" t="s">
        <v>18</v>
      </c>
      <c r="F4472" t="s">
        <v>112</v>
      </c>
      <c r="G4472" t="s">
        <v>71</v>
      </c>
      <c r="H4472" t="s">
        <v>21</v>
      </c>
      <c r="I4472">
        <v>8250</v>
      </c>
      <c r="J4472">
        <v>10725</v>
      </c>
      <c r="K4472">
        <v>2</v>
      </c>
      <c r="L4472">
        <v>16500</v>
      </c>
      <c r="M4472">
        <v>21450</v>
      </c>
      <c r="N4472" t="s">
        <v>22</v>
      </c>
      <c r="O4472">
        <f t="shared" si="138"/>
        <v>9750</v>
      </c>
      <c r="P4472" s="13">
        <f t="shared" si="139"/>
        <v>2734212</v>
      </c>
      <c r="Q4472" s="13">
        <f>SUMIFS(M:M,E:E,Online_eCommerce[[#This Row],[Status]])</f>
        <v>28340455</v>
      </c>
      <c r="R4472" s="13">
        <f>SUMIFS(L:L,H:H,Online_eCommerce[[#This Row],[Brand]])</f>
        <v>12435650</v>
      </c>
      <c r="S4472" s="13">
        <f>SUMIF(H:H,Online_eCommerce[[#This Row],[Brand]],M:M)</f>
        <v>16166345</v>
      </c>
      <c r="T4472" s="13">
        <f>SUMIF(N:N,Online_eCommerce[[#This Row],[Assigned Supervisor]],L:L)</f>
        <v>13693220</v>
      </c>
    </row>
    <row r="4473" spans="1:20" hidden="1" x14ac:dyDescent="0.3">
      <c r="A4473" t="s">
        <v>6553</v>
      </c>
      <c r="B4473" t="s">
        <v>280</v>
      </c>
      <c r="C4473" t="s">
        <v>125</v>
      </c>
      <c r="D4473" t="s">
        <v>6521</v>
      </c>
      <c r="E4473" t="s">
        <v>161</v>
      </c>
      <c r="F4473" t="s">
        <v>6168</v>
      </c>
      <c r="G4473" t="s">
        <v>40</v>
      </c>
      <c r="H4473" t="s">
        <v>21</v>
      </c>
      <c r="I4473">
        <v>2650</v>
      </c>
      <c r="J4473">
        <v>3445</v>
      </c>
      <c r="K4473">
        <v>3</v>
      </c>
      <c r="L4473">
        <v>7950</v>
      </c>
      <c r="M4473">
        <v>10335</v>
      </c>
      <c r="N4473" t="s">
        <v>22</v>
      </c>
      <c r="O4473">
        <f t="shared" si="138"/>
        <v>25545</v>
      </c>
      <c r="P4473" s="13">
        <f t="shared" si="139"/>
        <v>2091154</v>
      </c>
      <c r="Q4473" s="13">
        <f>SUMIFS(M:M,E:E,Online_eCommerce[[#This Row],[Status]])</f>
        <v>21103186</v>
      </c>
      <c r="R4473" s="13">
        <f>SUMIFS(L:L,H:H,Online_eCommerce[[#This Row],[Brand]])</f>
        <v>12435650</v>
      </c>
      <c r="S4473" s="13">
        <f>SUMIF(H:H,Online_eCommerce[[#This Row],[Brand]],M:M)</f>
        <v>16166345</v>
      </c>
      <c r="T4473" s="13">
        <f>SUMIF(N:N,Online_eCommerce[[#This Row],[Assigned Supervisor]],L:L)</f>
        <v>13693220</v>
      </c>
    </row>
    <row r="4474" spans="1:20" x14ac:dyDescent="0.3">
      <c r="A4474" t="s">
        <v>6554</v>
      </c>
      <c r="B4474" t="s">
        <v>283</v>
      </c>
      <c r="C4474" t="s">
        <v>22</v>
      </c>
      <c r="D4474" t="s">
        <v>6521</v>
      </c>
      <c r="E4474" t="s">
        <v>46</v>
      </c>
      <c r="F4474" t="s">
        <v>121</v>
      </c>
      <c r="G4474" t="s">
        <v>71</v>
      </c>
      <c r="H4474" t="s">
        <v>122</v>
      </c>
      <c r="I4474">
        <v>12550</v>
      </c>
      <c r="J4474">
        <v>16315</v>
      </c>
      <c r="K4474">
        <v>2</v>
      </c>
      <c r="L4474">
        <v>25100</v>
      </c>
      <c r="M4474">
        <v>32630</v>
      </c>
      <c r="N4474" t="s">
        <v>22</v>
      </c>
      <c r="O4474">
        <f t="shared" si="138"/>
        <v>9750</v>
      </c>
      <c r="P4474" s="13">
        <f t="shared" si="139"/>
        <v>2551588</v>
      </c>
      <c r="Q4474" s="13">
        <f>SUMIFS(M:M,E:E,Online_eCommerce[[#This Row],[Status]])</f>
        <v>28620410</v>
      </c>
      <c r="R4474" s="13">
        <f>SUMIFS(L:L,H:H,Online_eCommerce[[#This Row],[Brand]])</f>
        <v>5045100</v>
      </c>
      <c r="S4474" s="13">
        <f>SUMIF(H:H,Online_eCommerce[[#This Row],[Brand]],M:M)</f>
        <v>6558630</v>
      </c>
      <c r="T4474" s="13">
        <f>SUMIF(N:N,Online_eCommerce[[#This Row],[Assigned Supervisor]],L:L)</f>
        <v>13693220</v>
      </c>
    </row>
    <row r="4475" spans="1:20" hidden="1" x14ac:dyDescent="0.3">
      <c r="A4475" t="s">
        <v>6555</v>
      </c>
      <c r="B4475" t="s">
        <v>287</v>
      </c>
      <c r="C4475" t="s">
        <v>132</v>
      </c>
      <c r="D4475" t="s">
        <v>6521</v>
      </c>
      <c r="E4475" t="s">
        <v>96</v>
      </c>
      <c r="F4475" t="s">
        <v>126</v>
      </c>
      <c r="G4475" t="s">
        <v>26</v>
      </c>
      <c r="H4475" t="s">
        <v>27</v>
      </c>
      <c r="I4475">
        <v>14500</v>
      </c>
      <c r="J4475">
        <v>18850</v>
      </c>
      <c r="K4475">
        <v>1</v>
      </c>
      <c r="L4475">
        <v>14500</v>
      </c>
      <c r="M4475">
        <v>18850</v>
      </c>
      <c r="N4475" t="s">
        <v>22</v>
      </c>
      <c r="O4475">
        <f t="shared" si="138"/>
        <v>33150</v>
      </c>
      <c r="P4475" s="13">
        <f t="shared" si="139"/>
        <v>1989065</v>
      </c>
      <c r="Q4475" s="13">
        <f>SUMIFS(M:M,E:E,Online_eCommerce[[#This Row],[Status]])</f>
        <v>21233992</v>
      </c>
      <c r="R4475" s="13">
        <f>SUMIFS(L:L,H:H,Online_eCommerce[[#This Row],[Brand]])</f>
        <v>14431000</v>
      </c>
      <c r="S4475" s="13">
        <f>SUMIF(H:H,Online_eCommerce[[#This Row],[Brand]],M:M)</f>
        <v>18760300</v>
      </c>
      <c r="T4475" s="13">
        <f>SUMIF(N:N,Online_eCommerce[[#This Row],[Assigned Supervisor]],L:L)</f>
        <v>13693220</v>
      </c>
    </row>
    <row r="4476" spans="1:20" hidden="1" x14ac:dyDescent="0.3">
      <c r="A4476" t="s">
        <v>6556</v>
      </c>
      <c r="B4476" t="s">
        <v>290</v>
      </c>
      <c r="C4476" t="s">
        <v>136</v>
      </c>
      <c r="D4476" t="s">
        <v>6521</v>
      </c>
      <c r="E4476" t="s">
        <v>18</v>
      </c>
      <c r="F4476" t="s">
        <v>129</v>
      </c>
      <c r="G4476" t="s">
        <v>60</v>
      </c>
      <c r="H4476" t="s">
        <v>61</v>
      </c>
      <c r="I4476">
        <v>800</v>
      </c>
      <c r="J4476">
        <v>1040</v>
      </c>
      <c r="K4476">
        <v>3</v>
      </c>
      <c r="L4476">
        <v>2400</v>
      </c>
      <c r="M4476">
        <v>3120</v>
      </c>
      <c r="N4476" t="s">
        <v>22</v>
      </c>
      <c r="O4476">
        <f t="shared" si="138"/>
        <v>3315</v>
      </c>
      <c r="P4476" s="13">
        <f t="shared" si="139"/>
        <v>2775162</v>
      </c>
      <c r="Q4476" s="13">
        <f>SUMIFS(M:M,E:E,Online_eCommerce[[#This Row],[Status]])</f>
        <v>28340455</v>
      </c>
      <c r="R4476" s="13">
        <f>SUMIFS(L:L,H:H,Online_eCommerce[[#This Row],[Brand]])</f>
        <v>10950150</v>
      </c>
      <c r="S4476" s="13">
        <f>SUMIF(H:H,Online_eCommerce[[#This Row],[Brand]],M:M)</f>
        <v>14235195</v>
      </c>
      <c r="T4476" s="13">
        <f>SUMIF(N:N,Online_eCommerce[[#This Row],[Assigned Supervisor]],L:L)</f>
        <v>13693220</v>
      </c>
    </row>
    <row r="4477" spans="1:20" hidden="1" x14ac:dyDescent="0.3">
      <c r="A4477" t="s">
        <v>6557</v>
      </c>
      <c r="B4477" t="s">
        <v>15</v>
      </c>
      <c r="C4477" t="s">
        <v>140</v>
      </c>
      <c r="D4477" t="s">
        <v>6521</v>
      </c>
      <c r="E4477" t="s">
        <v>161</v>
      </c>
      <c r="F4477" t="s">
        <v>133</v>
      </c>
      <c r="G4477" t="s">
        <v>66</v>
      </c>
      <c r="H4477" t="s">
        <v>21</v>
      </c>
      <c r="I4477">
        <v>600</v>
      </c>
      <c r="J4477">
        <v>780</v>
      </c>
      <c r="K4477">
        <v>2</v>
      </c>
      <c r="L4477">
        <v>1200</v>
      </c>
      <c r="M4477">
        <v>1560</v>
      </c>
      <c r="N4477" t="s">
        <v>22</v>
      </c>
      <c r="O4477">
        <f t="shared" si="138"/>
        <v>1690</v>
      </c>
      <c r="P4477" s="13">
        <f t="shared" si="139"/>
        <v>2058264</v>
      </c>
      <c r="Q4477" s="13">
        <f>SUMIFS(M:M,E:E,Online_eCommerce[[#This Row],[Status]])</f>
        <v>21103186</v>
      </c>
      <c r="R4477" s="13">
        <f>SUMIFS(L:L,H:H,Online_eCommerce[[#This Row],[Brand]])</f>
        <v>12435650</v>
      </c>
      <c r="S4477" s="13">
        <f>SUMIF(H:H,Online_eCommerce[[#This Row],[Brand]],M:M)</f>
        <v>16166345</v>
      </c>
      <c r="T4477" s="13">
        <f>SUMIF(N:N,Online_eCommerce[[#This Row],[Assigned Supervisor]],L:L)</f>
        <v>13693220</v>
      </c>
    </row>
    <row r="4478" spans="1:20" x14ac:dyDescent="0.3">
      <c r="A4478" t="s">
        <v>6558</v>
      </c>
      <c r="B4478" t="s">
        <v>202</v>
      </c>
      <c r="C4478" t="s">
        <v>145</v>
      </c>
      <c r="D4478" t="s">
        <v>6521</v>
      </c>
      <c r="E4478" t="s">
        <v>46</v>
      </c>
      <c r="F4478" t="s">
        <v>137</v>
      </c>
      <c r="G4478" t="s">
        <v>71</v>
      </c>
      <c r="H4478" t="s">
        <v>61</v>
      </c>
      <c r="I4478">
        <v>10500</v>
      </c>
      <c r="J4478">
        <v>13650</v>
      </c>
      <c r="K4478">
        <v>4</v>
      </c>
      <c r="L4478">
        <v>42000</v>
      </c>
      <c r="M4478">
        <v>54600</v>
      </c>
      <c r="N4478" t="s">
        <v>22</v>
      </c>
      <c r="O4478">
        <f t="shared" si="138"/>
        <v>9750</v>
      </c>
      <c r="P4478" s="13">
        <f t="shared" si="139"/>
        <v>2757859</v>
      </c>
      <c r="Q4478" s="13">
        <f>SUMIFS(M:M,E:E,Online_eCommerce[[#This Row],[Status]])</f>
        <v>28620410</v>
      </c>
      <c r="R4478" s="13">
        <f>SUMIFS(L:L,H:H,Online_eCommerce[[#This Row],[Brand]])</f>
        <v>10950150</v>
      </c>
      <c r="S4478" s="13">
        <f>SUMIF(H:H,Online_eCommerce[[#This Row],[Brand]],M:M)</f>
        <v>14235195</v>
      </c>
      <c r="T4478" s="13">
        <f>SUMIF(N:N,Online_eCommerce[[#This Row],[Assigned Supervisor]],L:L)</f>
        <v>13693220</v>
      </c>
    </row>
    <row r="4479" spans="1:20" hidden="1" x14ac:dyDescent="0.3">
      <c r="A4479" t="s">
        <v>6559</v>
      </c>
      <c r="B4479" t="s">
        <v>30</v>
      </c>
      <c r="C4479" t="s">
        <v>150</v>
      </c>
      <c r="D4479" t="s">
        <v>6521</v>
      </c>
      <c r="E4479" t="s">
        <v>96</v>
      </c>
      <c r="F4479" t="s">
        <v>6530</v>
      </c>
      <c r="G4479" t="s">
        <v>77</v>
      </c>
      <c r="H4479" t="s">
        <v>142</v>
      </c>
      <c r="I4479">
        <v>6500</v>
      </c>
      <c r="J4479">
        <v>8450</v>
      </c>
      <c r="K4479">
        <v>1</v>
      </c>
      <c r="L4479">
        <v>6500</v>
      </c>
      <c r="M4479">
        <v>8450</v>
      </c>
      <c r="N4479" t="s">
        <v>28</v>
      </c>
      <c r="O4479">
        <f t="shared" si="138"/>
        <v>39000</v>
      </c>
      <c r="P4479" s="13">
        <f t="shared" si="139"/>
        <v>2154984</v>
      </c>
      <c r="Q4479" s="13">
        <f>SUMIFS(M:M,E:E,Online_eCommerce[[#This Row],[Status]])</f>
        <v>21233992</v>
      </c>
      <c r="R4479" s="13">
        <f>SUMIFS(L:L,H:H,Online_eCommerce[[#This Row],[Brand]])</f>
        <v>6192500</v>
      </c>
      <c r="S4479" s="13">
        <f>SUMIF(H:H,Online_eCommerce[[#This Row],[Brand]],M:M)</f>
        <v>8050250</v>
      </c>
      <c r="T4479" s="13">
        <f>SUMIF(N:N,Online_eCommerce[[#This Row],[Assigned Supervisor]],L:L)</f>
        <v>12220830</v>
      </c>
    </row>
    <row r="4480" spans="1:20" hidden="1" x14ac:dyDescent="0.3">
      <c r="A4480" t="s">
        <v>6560</v>
      </c>
      <c r="B4480" t="s">
        <v>37</v>
      </c>
      <c r="C4480" t="s">
        <v>155</v>
      </c>
      <c r="D4480" t="s">
        <v>6521</v>
      </c>
      <c r="E4480" t="s">
        <v>18</v>
      </c>
      <c r="F4480" t="s">
        <v>6561</v>
      </c>
      <c r="G4480" t="s">
        <v>20</v>
      </c>
      <c r="H4480" t="s">
        <v>21</v>
      </c>
      <c r="I4480">
        <v>4500</v>
      </c>
      <c r="J4480">
        <v>5850</v>
      </c>
      <c r="K4480">
        <v>4</v>
      </c>
      <c r="L4480">
        <v>18000</v>
      </c>
      <c r="M4480">
        <v>23400</v>
      </c>
      <c r="N4480" t="s">
        <v>35</v>
      </c>
      <c r="O4480">
        <f t="shared" si="138"/>
        <v>8450</v>
      </c>
      <c r="P4480" s="13">
        <f t="shared" si="139"/>
        <v>2753348</v>
      </c>
      <c r="Q4480" s="13">
        <f>SUMIFS(M:M,E:E,Online_eCommerce[[#This Row],[Status]])</f>
        <v>28340455</v>
      </c>
      <c r="R4480" s="13">
        <f>SUMIFS(L:L,H:H,Online_eCommerce[[#This Row],[Brand]])</f>
        <v>12435650</v>
      </c>
      <c r="S4480" s="13">
        <f>SUMIF(H:H,Online_eCommerce[[#This Row],[Brand]],M:M)</f>
        <v>16166345</v>
      </c>
      <c r="T4480" s="13">
        <f>SUMIF(N:N,Online_eCommerce[[#This Row],[Assigned Supervisor]],L:L)</f>
        <v>14373360</v>
      </c>
    </row>
    <row r="4481" spans="1:20" hidden="1" x14ac:dyDescent="0.3">
      <c r="A4481" t="s">
        <v>6562</v>
      </c>
      <c r="B4481" t="s">
        <v>44</v>
      </c>
      <c r="C4481" t="s">
        <v>160</v>
      </c>
      <c r="D4481" t="s">
        <v>6521</v>
      </c>
      <c r="E4481" t="s">
        <v>161</v>
      </c>
      <c r="F4481" t="s">
        <v>152</v>
      </c>
      <c r="G4481" t="s">
        <v>26</v>
      </c>
      <c r="H4481" t="s">
        <v>27</v>
      </c>
      <c r="I4481">
        <v>8500</v>
      </c>
      <c r="J4481">
        <v>11050</v>
      </c>
      <c r="K4481">
        <v>3</v>
      </c>
      <c r="L4481">
        <v>25500</v>
      </c>
      <c r="M4481">
        <v>33150</v>
      </c>
      <c r="N4481" t="s">
        <v>42</v>
      </c>
      <c r="O4481">
        <f t="shared" si="138"/>
        <v>33150</v>
      </c>
      <c r="P4481" s="13">
        <f t="shared" si="139"/>
        <v>2303483</v>
      </c>
      <c r="Q4481" s="13">
        <f>SUMIFS(M:M,E:E,Online_eCommerce[[#This Row],[Status]])</f>
        <v>21103186</v>
      </c>
      <c r="R4481" s="13">
        <f>SUMIFS(L:L,H:H,Online_eCommerce[[#This Row],[Brand]])</f>
        <v>14431000</v>
      </c>
      <c r="S4481" s="13">
        <f>SUMIF(H:H,Online_eCommerce[[#This Row],[Brand]],M:M)</f>
        <v>18760300</v>
      </c>
      <c r="T4481" s="13">
        <f>SUMIF(N:N,Online_eCommerce[[#This Row],[Assigned Supervisor]],L:L)</f>
        <v>12261500</v>
      </c>
    </row>
    <row r="4482" spans="1:20" x14ac:dyDescent="0.3">
      <c r="A4482" t="s">
        <v>6563</v>
      </c>
      <c r="B4482" t="s">
        <v>213</v>
      </c>
      <c r="C4482" t="s">
        <v>165</v>
      </c>
      <c r="D4482" t="s">
        <v>6521</v>
      </c>
      <c r="E4482" t="s">
        <v>46</v>
      </c>
      <c r="F4482" t="s">
        <v>157</v>
      </c>
      <c r="G4482" t="s">
        <v>33</v>
      </c>
      <c r="H4482" t="s">
        <v>34</v>
      </c>
      <c r="I4482">
        <v>12500</v>
      </c>
      <c r="J4482">
        <v>16250</v>
      </c>
      <c r="K4482">
        <v>2</v>
      </c>
      <c r="L4482">
        <v>25000</v>
      </c>
      <c r="M4482">
        <v>32500</v>
      </c>
      <c r="N4482" t="s">
        <v>50</v>
      </c>
      <c r="O4482">
        <f t="shared" ref="O4482:O4545" si="140">VLOOKUP(G4482,G:M,7,FALSE)</f>
        <v>18200</v>
      </c>
      <c r="P4482" s="13">
        <f t="shared" ref="P4482:P4545" si="141">SUMIFS(M:M,C:C,C4482)</f>
        <v>2674087</v>
      </c>
      <c r="Q4482" s="13">
        <f>SUMIFS(M:M,E:E,Online_eCommerce[[#This Row],[Status]])</f>
        <v>28620410</v>
      </c>
      <c r="R4482" s="13">
        <f>SUMIFS(L:L,H:H,Online_eCommerce[[#This Row],[Brand]])</f>
        <v>10087000</v>
      </c>
      <c r="S4482" s="13">
        <f>SUMIF(H:H,Online_eCommerce[[#This Row],[Brand]],M:M)</f>
        <v>13113100</v>
      </c>
      <c r="T4482" s="13">
        <f>SUMIF(N:N,Online_eCommerce[[#This Row],[Assigned Supervisor]],L:L)</f>
        <v>12100590</v>
      </c>
    </row>
    <row r="4483" spans="1:20" hidden="1" x14ac:dyDescent="0.3">
      <c r="A4483" t="s">
        <v>6564</v>
      </c>
      <c r="B4483" t="s">
        <v>215</v>
      </c>
      <c r="C4483" t="s">
        <v>168</v>
      </c>
      <c r="D4483" t="s">
        <v>6521</v>
      </c>
      <c r="E4483" t="s">
        <v>96</v>
      </c>
      <c r="F4483" t="s">
        <v>6212</v>
      </c>
      <c r="G4483" t="s">
        <v>40</v>
      </c>
      <c r="H4483" t="s">
        <v>41</v>
      </c>
      <c r="I4483">
        <v>3500</v>
      </c>
      <c r="J4483">
        <v>4550</v>
      </c>
      <c r="K4483">
        <v>1</v>
      </c>
      <c r="L4483">
        <v>3500</v>
      </c>
      <c r="M4483">
        <v>4550</v>
      </c>
      <c r="N4483" t="s">
        <v>56</v>
      </c>
      <c r="O4483">
        <f t="shared" si="140"/>
        <v>25545</v>
      </c>
      <c r="P4483" s="13">
        <f t="shared" si="141"/>
        <v>1937780</v>
      </c>
      <c r="Q4483" s="13">
        <f>SUMIFS(M:M,E:E,Online_eCommerce[[#This Row],[Status]])</f>
        <v>21233992</v>
      </c>
      <c r="R4483" s="13">
        <f>SUMIFS(L:L,H:H,Online_eCommerce[[#This Row],[Brand]])</f>
        <v>4260400</v>
      </c>
      <c r="S4483" s="13">
        <f>SUMIF(H:H,Online_eCommerce[[#This Row],[Brand]],M:M)</f>
        <v>5538520</v>
      </c>
      <c r="T4483" s="13">
        <f>SUMIF(N:N,Online_eCommerce[[#This Row],[Assigned Supervisor]],L:L)</f>
        <v>11733610</v>
      </c>
    </row>
    <row r="4484" spans="1:20" hidden="1" x14ac:dyDescent="0.3">
      <c r="A4484" t="s">
        <v>6565</v>
      </c>
      <c r="B4484" t="s">
        <v>306</v>
      </c>
      <c r="C4484" t="s">
        <v>172</v>
      </c>
      <c r="D4484" t="s">
        <v>6521</v>
      </c>
      <c r="E4484" t="s">
        <v>18</v>
      </c>
      <c r="F4484" t="s">
        <v>166</v>
      </c>
      <c r="G4484" t="s">
        <v>334</v>
      </c>
      <c r="H4484" t="s">
        <v>49</v>
      </c>
      <c r="I4484">
        <v>4500</v>
      </c>
      <c r="J4484">
        <v>5850</v>
      </c>
      <c r="K4484">
        <v>1</v>
      </c>
      <c r="L4484">
        <v>4500</v>
      </c>
      <c r="M4484">
        <v>5850</v>
      </c>
      <c r="N4484" t="s">
        <v>22</v>
      </c>
      <c r="O4484">
        <f t="shared" si="140"/>
        <v>39780</v>
      </c>
      <c r="P4484" s="13">
        <f t="shared" si="141"/>
        <v>2640274</v>
      </c>
      <c r="Q4484" s="13">
        <f>SUMIFS(M:M,E:E,Online_eCommerce[[#This Row],[Status]])</f>
        <v>28340455</v>
      </c>
      <c r="R4484" s="13">
        <f>SUMIFS(L:L,H:H,Online_eCommerce[[#This Row],[Brand]])</f>
        <v>4528350</v>
      </c>
      <c r="S4484" s="13">
        <f>SUMIF(H:H,Online_eCommerce[[#This Row],[Brand]],M:M)</f>
        <v>5886855</v>
      </c>
      <c r="T4484" s="13">
        <f>SUMIF(N:N,Online_eCommerce[[#This Row],[Assigned Supervisor]],L:L)</f>
        <v>13693220</v>
      </c>
    </row>
    <row r="4485" spans="1:20" hidden="1" x14ac:dyDescent="0.3">
      <c r="A4485" t="s">
        <v>6566</v>
      </c>
      <c r="B4485" t="s">
        <v>528</v>
      </c>
      <c r="C4485" t="s">
        <v>177</v>
      </c>
      <c r="D4485" t="s">
        <v>6521</v>
      </c>
      <c r="E4485" t="s">
        <v>161</v>
      </c>
      <c r="F4485" t="s">
        <v>6567</v>
      </c>
      <c r="G4485" t="s">
        <v>54</v>
      </c>
      <c r="H4485" t="s">
        <v>55</v>
      </c>
      <c r="I4485">
        <v>2100</v>
      </c>
      <c r="J4485">
        <v>2730</v>
      </c>
      <c r="K4485">
        <v>1</v>
      </c>
      <c r="L4485">
        <v>2100</v>
      </c>
      <c r="M4485">
        <v>2730</v>
      </c>
      <c r="N4485" t="s">
        <v>28</v>
      </c>
      <c r="O4485">
        <f t="shared" si="140"/>
        <v>2990</v>
      </c>
      <c r="P4485" s="13">
        <f t="shared" si="141"/>
        <v>1863810</v>
      </c>
      <c r="Q4485" s="13">
        <f>SUMIFS(M:M,E:E,Online_eCommerce[[#This Row],[Status]])</f>
        <v>21103186</v>
      </c>
      <c r="R4485" s="13">
        <f>SUMIFS(L:L,H:H,Online_eCommerce[[#This Row],[Brand]])</f>
        <v>2267380</v>
      </c>
      <c r="S4485" s="13">
        <f>SUMIF(H:H,Online_eCommerce[[#This Row],[Brand]],M:M)</f>
        <v>2947594</v>
      </c>
      <c r="T4485" s="13">
        <f>SUMIF(N:N,Online_eCommerce[[#This Row],[Assigned Supervisor]],L:L)</f>
        <v>12220830</v>
      </c>
    </row>
    <row r="4486" spans="1:20" x14ac:dyDescent="0.3">
      <c r="A4486" t="s">
        <v>6568</v>
      </c>
      <c r="B4486" t="s">
        <v>73</v>
      </c>
      <c r="C4486" t="s">
        <v>181</v>
      </c>
      <c r="D4486" t="s">
        <v>6569</v>
      </c>
      <c r="E4486" t="s">
        <v>46</v>
      </c>
      <c r="F4486" t="s">
        <v>174</v>
      </c>
      <c r="G4486" t="s">
        <v>60</v>
      </c>
      <c r="H4486" t="s">
        <v>61</v>
      </c>
      <c r="I4486">
        <v>1150</v>
      </c>
      <c r="J4486">
        <v>1495</v>
      </c>
      <c r="K4486">
        <v>4</v>
      </c>
      <c r="L4486">
        <v>4600</v>
      </c>
      <c r="M4486">
        <v>5980</v>
      </c>
      <c r="N4486" t="s">
        <v>35</v>
      </c>
      <c r="O4486">
        <f t="shared" si="140"/>
        <v>3315</v>
      </c>
      <c r="P4486" s="13">
        <f t="shared" si="141"/>
        <v>2577458</v>
      </c>
      <c r="Q4486" s="13">
        <f>SUMIFS(M:M,E:E,Online_eCommerce[[#This Row],[Status]])</f>
        <v>28620410</v>
      </c>
      <c r="R4486" s="13">
        <f>SUMIFS(L:L,H:H,Online_eCommerce[[#This Row],[Brand]])</f>
        <v>10950150</v>
      </c>
      <c r="S4486" s="13">
        <f>SUMIF(H:H,Online_eCommerce[[#This Row],[Brand]],M:M)</f>
        <v>14235195</v>
      </c>
      <c r="T4486" s="13">
        <f>SUMIF(N:N,Online_eCommerce[[#This Row],[Assigned Supervisor]],L:L)</f>
        <v>14373360</v>
      </c>
    </row>
    <row r="4487" spans="1:20" hidden="1" x14ac:dyDescent="0.3">
      <c r="A4487" t="s">
        <v>6570</v>
      </c>
      <c r="B4487" t="s">
        <v>80</v>
      </c>
      <c r="C4487" t="s">
        <v>185</v>
      </c>
      <c r="D4487" t="s">
        <v>6571</v>
      </c>
      <c r="E4487" t="s">
        <v>96</v>
      </c>
      <c r="F4487" t="s">
        <v>179</v>
      </c>
      <c r="G4487" t="s">
        <v>66</v>
      </c>
      <c r="H4487" t="s">
        <v>21</v>
      </c>
      <c r="I4487">
        <v>350</v>
      </c>
      <c r="J4487">
        <v>455</v>
      </c>
      <c r="K4487">
        <v>3</v>
      </c>
      <c r="L4487">
        <v>1050</v>
      </c>
      <c r="M4487">
        <v>1365</v>
      </c>
      <c r="N4487" t="s">
        <v>42</v>
      </c>
      <c r="O4487">
        <f t="shared" si="140"/>
        <v>1690</v>
      </c>
      <c r="P4487" s="13">
        <f t="shared" si="141"/>
        <v>2091596</v>
      </c>
      <c r="Q4487" s="13">
        <f>SUMIFS(M:M,E:E,Online_eCommerce[[#This Row],[Status]])</f>
        <v>21233992</v>
      </c>
      <c r="R4487" s="13">
        <f>SUMIFS(L:L,H:H,Online_eCommerce[[#This Row],[Brand]])</f>
        <v>12435650</v>
      </c>
      <c r="S4487" s="13">
        <f>SUMIF(H:H,Online_eCommerce[[#This Row],[Brand]],M:M)</f>
        <v>16166345</v>
      </c>
      <c r="T4487" s="13">
        <f>SUMIF(N:N,Online_eCommerce[[#This Row],[Assigned Supervisor]],L:L)</f>
        <v>12261500</v>
      </c>
    </row>
    <row r="4488" spans="1:20" hidden="1" x14ac:dyDescent="0.3">
      <c r="A4488" t="s">
        <v>6572</v>
      </c>
      <c r="B4488" t="s">
        <v>85</v>
      </c>
      <c r="C4488" t="s">
        <v>189</v>
      </c>
      <c r="D4488" t="s">
        <v>6573</v>
      </c>
      <c r="E4488" t="s">
        <v>18</v>
      </c>
      <c r="F4488" t="s">
        <v>183</v>
      </c>
      <c r="G4488" t="s">
        <v>71</v>
      </c>
      <c r="H4488" t="s">
        <v>61</v>
      </c>
      <c r="I4488">
        <v>9500</v>
      </c>
      <c r="J4488">
        <v>12350</v>
      </c>
      <c r="K4488">
        <v>3</v>
      </c>
      <c r="L4488">
        <v>28500</v>
      </c>
      <c r="M4488">
        <v>37050</v>
      </c>
      <c r="N4488" t="s">
        <v>50</v>
      </c>
      <c r="O4488">
        <f t="shared" si="140"/>
        <v>9750</v>
      </c>
      <c r="P4488" s="13">
        <f t="shared" si="141"/>
        <v>2740777</v>
      </c>
      <c r="Q4488" s="13">
        <f>SUMIFS(M:M,E:E,Online_eCommerce[[#This Row],[Status]])</f>
        <v>28340455</v>
      </c>
      <c r="R4488" s="13">
        <f>SUMIFS(L:L,H:H,Online_eCommerce[[#This Row],[Brand]])</f>
        <v>10950150</v>
      </c>
      <c r="S4488" s="13">
        <f>SUMIF(H:H,Online_eCommerce[[#This Row],[Brand]],M:M)</f>
        <v>14235195</v>
      </c>
      <c r="T4488" s="13">
        <f>SUMIF(N:N,Online_eCommerce[[#This Row],[Assigned Supervisor]],L:L)</f>
        <v>12100590</v>
      </c>
    </row>
    <row r="4489" spans="1:20" hidden="1" x14ac:dyDescent="0.3">
      <c r="A4489" t="s">
        <v>6574</v>
      </c>
      <c r="B4489" t="s">
        <v>90</v>
      </c>
      <c r="C4489" t="s">
        <v>193</v>
      </c>
      <c r="D4489" t="s">
        <v>6575</v>
      </c>
      <c r="E4489" t="s">
        <v>161</v>
      </c>
      <c r="F4489" t="s">
        <v>6576</v>
      </c>
      <c r="G4489" t="s">
        <v>77</v>
      </c>
      <c r="H4489" t="s">
        <v>142</v>
      </c>
      <c r="I4489">
        <v>10000</v>
      </c>
      <c r="J4489">
        <v>13000</v>
      </c>
      <c r="K4489">
        <v>1</v>
      </c>
      <c r="L4489">
        <v>10000</v>
      </c>
      <c r="M4489">
        <v>13000</v>
      </c>
      <c r="N4489" t="s">
        <v>56</v>
      </c>
      <c r="O4489">
        <f t="shared" si="140"/>
        <v>39000</v>
      </c>
      <c r="P4489" s="13">
        <f t="shared" si="141"/>
        <v>2074774</v>
      </c>
      <c r="Q4489" s="13">
        <f>SUMIFS(M:M,E:E,Online_eCommerce[[#This Row],[Status]])</f>
        <v>21103186</v>
      </c>
      <c r="R4489" s="13">
        <f>SUMIFS(L:L,H:H,Online_eCommerce[[#This Row],[Brand]])</f>
        <v>6192500</v>
      </c>
      <c r="S4489" s="13">
        <f>SUMIF(H:H,Online_eCommerce[[#This Row],[Brand]],M:M)</f>
        <v>8050250</v>
      </c>
      <c r="T4489" s="13">
        <f>SUMIF(N:N,Online_eCommerce[[#This Row],[Assigned Supervisor]],L:L)</f>
        <v>11733610</v>
      </c>
    </row>
    <row r="4490" spans="1:20" x14ac:dyDescent="0.3">
      <c r="A4490" t="s">
        <v>6577</v>
      </c>
      <c r="B4490" t="s">
        <v>232</v>
      </c>
      <c r="C4490" t="s">
        <v>197</v>
      </c>
      <c r="D4490" t="s">
        <v>6578</v>
      </c>
      <c r="E4490" t="s">
        <v>46</v>
      </c>
      <c r="F4490" t="s">
        <v>6579</v>
      </c>
      <c r="G4490" t="s">
        <v>20</v>
      </c>
      <c r="H4490" t="s">
        <v>21</v>
      </c>
      <c r="I4490">
        <v>6500</v>
      </c>
      <c r="J4490">
        <v>8450</v>
      </c>
      <c r="K4490">
        <v>1</v>
      </c>
      <c r="L4490">
        <v>6500</v>
      </c>
      <c r="M4490">
        <v>8450</v>
      </c>
      <c r="N4490" t="s">
        <v>22</v>
      </c>
      <c r="O4490">
        <f t="shared" si="140"/>
        <v>8450</v>
      </c>
      <c r="P4490" s="13">
        <f t="shared" si="141"/>
        <v>2829840</v>
      </c>
      <c r="Q4490" s="13">
        <f>SUMIFS(M:M,E:E,Online_eCommerce[[#This Row],[Status]])</f>
        <v>28620410</v>
      </c>
      <c r="R4490" s="13">
        <f>SUMIFS(L:L,H:H,Online_eCommerce[[#This Row],[Brand]])</f>
        <v>12435650</v>
      </c>
      <c r="S4490" s="13">
        <f>SUMIF(H:H,Online_eCommerce[[#This Row],[Brand]],M:M)</f>
        <v>16166345</v>
      </c>
      <c r="T4490" s="13">
        <f>SUMIF(N:N,Online_eCommerce[[#This Row],[Assigned Supervisor]],L:L)</f>
        <v>13693220</v>
      </c>
    </row>
    <row r="4491" spans="1:20" hidden="1" x14ac:dyDescent="0.3">
      <c r="A4491" t="s">
        <v>6580</v>
      </c>
      <c r="B4491" t="s">
        <v>235</v>
      </c>
      <c r="C4491" t="s">
        <v>199</v>
      </c>
      <c r="D4491" t="s">
        <v>6578</v>
      </c>
      <c r="E4491" t="s">
        <v>96</v>
      </c>
      <c r="F4491" t="s">
        <v>6581</v>
      </c>
      <c r="G4491" t="s">
        <v>26</v>
      </c>
      <c r="H4491" t="s">
        <v>27</v>
      </c>
      <c r="I4491">
        <v>8500</v>
      </c>
      <c r="J4491">
        <v>11050</v>
      </c>
      <c r="K4491">
        <v>2</v>
      </c>
      <c r="L4491">
        <v>17000</v>
      </c>
      <c r="M4491">
        <v>22100</v>
      </c>
      <c r="N4491" t="s">
        <v>28</v>
      </c>
      <c r="O4491">
        <f t="shared" si="140"/>
        <v>33150</v>
      </c>
      <c r="P4491" s="13">
        <f t="shared" si="141"/>
        <v>1947361</v>
      </c>
      <c r="Q4491" s="13">
        <f>SUMIFS(M:M,E:E,Online_eCommerce[[#This Row],[Status]])</f>
        <v>21233992</v>
      </c>
      <c r="R4491" s="13">
        <f>SUMIFS(L:L,H:H,Online_eCommerce[[#This Row],[Brand]])</f>
        <v>14431000</v>
      </c>
      <c r="S4491" s="13">
        <f>SUMIF(H:H,Online_eCommerce[[#This Row],[Brand]],M:M)</f>
        <v>18760300</v>
      </c>
      <c r="T4491" s="13">
        <f>SUMIF(N:N,Online_eCommerce[[#This Row],[Assigned Supervisor]],L:L)</f>
        <v>12220830</v>
      </c>
    </row>
    <row r="4492" spans="1:20" hidden="1" x14ac:dyDescent="0.3">
      <c r="A4492" t="s">
        <v>6582</v>
      </c>
      <c r="B4492" t="s">
        <v>104</v>
      </c>
      <c r="C4492" t="s">
        <v>203</v>
      </c>
      <c r="D4492" t="s">
        <v>6578</v>
      </c>
      <c r="E4492" t="s">
        <v>18</v>
      </c>
      <c r="F4492" t="s">
        <v>32</v>
      </c>
      <c r="G4492" t="s">
        <v>33</v>
      </c>
      <c r="H4492" t="s">
        <v>34</v>
      </c>
      <c r="I4492">
        <v>7000</v>
      </c>
      <c r="J4492">
        <v>9100</v>
      </c>
      <c r="K4492">
        <v>4</v>
      </c>
      <c r="L4492">
        <v>28000</v>
      </c>
      <c r="M4492">
        <v>36400</v>
      </c>
      <c r="N4492" t="s">
        <v>35</v>
      </c>
      <c r="O4492">
        <f t="shared" si="140"/>
        <v>18200</v>
      </c>
      <c r="P4492" s="13">
        <f t="shared" si="141"/>
        <v>2559635</v>
      </c>
      <c r="Q4492" s="13">
        <f>SUMIFS(M:M,E:E,Online_eCommerce[[#This Row],[Status]])</f>
        <v>28340455</v>
      </c>
      <c r="R4492" s="13">
        <f>SUMIFS(L:L,H:H,Online_eCommerce[[#This Row],[Brand]])</f>
        <v>10087000</v>
      </c>
      <c r="S4492" s="13">
        <f>SUMIF(H:H,Online_eCommerce[[#This Row],[Brand]],M:M)</f>
        <v>13113100</v>
      </c>
      <c r="T4492" s="13">
        <f>SUMIF(N:N,Online_eCommerce[[#This Row],[Assigned Supervisor]],L:L)</f>
        <v>14373360</v>
      </c>
    </row>
    <row r="4493" spans="1:20" hidden="1" x14ac:dyDescent="0.3">
      <c r="A4493" t="s">
        <v>6583</v>
      </c>
      <c r="B4493" t="s">
        <v>109</v>
      </c>
      <c r="C4493" t="s">
        <v>205</v>
      </c>
      <c r="D4493" t="s">
        <v>6578</v>
      </c>
      <c r="E4493" t="s">
        <v>161</v>
      </c>
      <c r="F4493" t="s">
        <v>6584</v>
      </c>
      <c r="G4493" t="s">
        <v>40</v>
      </c>
      <c r="H4493" t="s">
        <v>41</v>
      </c>
      <c r="I4493">
        <v>6550</v>
      </c>
      <c r="J4493">
        <v>8515</v>
      </c>
      <c r="K4493">
        <v>4</v>
      </c>
      <c r="L4493">
        <v>26200</v>
      </c>
      <c r="M4493">
        <v>34060</v>
      </c>
      <c r="N4493" t="s">
        <v>42</v>
      </c>
      <c r="O4493">
        <f t="shared" si="140"/>
        <v>25545</v>
      </c>
      <c r="P4493" s="13">
        <f t="shared" si="141"/>
        <v>1983254</v>
      </c>
      <c r="Q4493" s="13">
        <f>SUMIFS(M:M,E:E,Online_eCommerce[[#This Row],[Status]])</f>
        <v>21103186</v>
      </c>
      <c r="R4493" s="13">
        <f>SUMIFS(L:L,H:H,Online_eCommerce[[#This Row],[Brand]])</f>
        <v>4260400</v>
      </c>
      <c r="S4493" s="13">
        <f>SUMIF(H:H,Online_eCommerce[[#This Row],[Brand]],M:M)</f>
        <v>5538520</v>
      </c>
      <c r="T4493" s="13">
        <f>SUMIF(N:N,Online_eCommerce[[#This Row],[Assigned Supervisor]],L:L)</f>
        <v>12261500</v>
      </c>
    </row>
    <row r="4494" spans="1:20" x14ac:dyDescent="0.3">
      <c r="A4494" t="s">
        <v>6585</v>
      </c>
      <c r="B4494" t="s">
        <v>114</v>
      </c>
      <c r="C4494" t="s">
        <v>208</v>
      </c>
      <c r="D4494" t="s">
        <v>6578</v>
      </c>
      <c r="E4494" t="s">
        <v>46</v>
      </c>
      <c r="F4494" t="s">
        <v>47</v>
      </c>
      <c r="G4494" t="s">
        <v>334</v>
      </c>
      <c r="H4494" t="s">
        <v>49</v>
      </c>
      <c r="I4494">
        <v>7650</v>
      </c>
      <c r="J4494">
        <v>9945</v>
      </c>
      <c r="K4494">
        <v>4</v>
      </c>
      <c r="L4494">
        <v>30600</v>
      </c>
      <c r="M4494">
        <v>39780</v>
      </c>
      <c r="N4494" t="s">
        <v>50</v>
      </c>
      <c r="O4494">
        <f t="shared" si="140"/>
        <v>39780</v>
      </c>
      <c r="P4494" s="13">
        <f t="shared" si="141"/>
        <v>2746575</v>
      </c>
      <c r="Q4494" s="13">
        <f>SUMIFS(M:M,E:E,Online_eCommerce[[#This Row],[Status]])</f>
        <v>28620410</v>
      </c>
      <c r="R4494" s="13">
        <f>SUMIFS(L:L,H:H,Online_eCommerce[[#This Row],[Brand]])</f>
        <v>4528350</v>
      </c>
      <c r="S4494" s="13">
        <f>SUMIF(H:H,Online_eCommerce[[#This Row],[Brand]],M:M)</f>
        <v>5886855</v>
      </c>
      <c r="T4494" s="13">
        <f>SUMIF(N:N,Online_eCommerce[[#This Row],[Assigned Supervisor]],L:L)</f>
        <v>12100590</v>
      </c>
    </row>
    <row r="4495" spans="1:20" hidden="1" x14ac:dyDescent="0.3">
      <c r="A4495" t="s">
        <v>6586</v>
      </c>
      <c r="B4495" t="s">
        <v>119</v>
      </c>
      <c r="C4495" t="s">
        <v>211</v>
      </c>
      <c r="D4495" t="s">
        <v>6578</v>
      </c>
      <c r="E4495" t="s">
        <v>96</v>
      </c>
      <c r="F4495" t="s">
        <v>53</v>
      </c>
      <c r="G4495" t="s">
        <v>54</v>
      </c>
      <c r="H4495" t="s">
        <v>55</v>
      </c>
      <c r="I4495">
        <v>1150</v>
      </c>
      <c r="J4495">
        <v>1495</v>
      </c>
      <c r="K4495">
        <v>2</v>
      </c>
      <c r="L4495">
        <v>2300</v>
      </c>
      <c r="M4495">
        <v>2990</v>
      </c>
      <c r="N4495" t="s">
        <v>56</v>
      </c>
      <c r="O4495">
        <f t="shared" si="140"/>
        <v>2990</v>
      </c>
      <c r="P4495" s="13">
        <f t="shared" si="141"/>
        <v>1809847</v>
      </c>
      <c r="Q4495" s="13">
        <f>SUMIFS(M:M,E:E,Online_eCommerce[[#This Row],[Status]])</f>
        <v>21233992</v>
      </c>
      <c r="R4495" s="13">
        <f>SUMIFS(L:L,H:H,Online_eCommerce[[#This Row],[Brand]])</f>
        <v>2267380</v>
      </c>
      <c r="S4495" s="13">
        <f>SUMIF(H:H,Online_eCommerce[[#This Row],[Brand]],M:M)</f>
        <v>2947594</v>
      </c>
      <c r="T4495" s="13">
        <f>SUMIF(N:N,Online_eCommerce[[#This Row],[Assigned Supervisor]],L:L)</f>
        <v>11733610</v>
      </c>
    </row>
    <row r="4496" spans="1:20" hidden="1" x14ac:dyDescent="0.3">
      <c r="A4496" t="s">
        <v>6587</v>
      </c>
      <c r="B4496" t="s">
        <v>124</v>
      </c>
      <c r="C4496" t="s">
        <v>16</v>
      </c>
      <c r="D4496" t="s">
        <v>6578</v>
      </c>
      <c r="E4496" t="s">
        <v>18</v>
      </c>
      <c r="F4496" t="s">
        <v>59</v>
      </c>
      <c r="G4496" t="s">
        <v>60</v>
      </c>
      <c r="H4496" t="s">
        <v>61</v>
      </c>
      <c r="I4496">
        <v>850</v>
      </c>
      <c r="J4496">
        <v>1105</v>
      </c>
      <c r="K4496">
        <v>1</v>
      </c>
      <c r="L4496">
        <v>850</v>
      </c>
      <c r="M4496">
        <v>1105</v>
      </c>
      <c r="N4496" t="s">
        <v>22</v>
      </c>
      <c r="O4496">
        <f t="shared" si="140"/>
        <v>3315</v>
      </c>
      <c r="P4496" s="13">
        <f t="shared" si="141"/>
        <v>2751814</v>
      </c>
      <c r="Q4496" s="13">
        <f>SUMIFS(M:M,E:E,Online_eCommerce[[#This Row],[Status]])</f>
        <v>28340455</v>
      </c>
      <c r="R4496" s="13">
        <f>SUMIFS(L:L,H:H,Online_eCommerce[[#This Row],[Brand]])</f>
        <v>10950150</v>
      </c>
      <c r="S4496" s="13">
        <f>SUMIF(H:H,Online_eCommerce[[#This Row],[Brand]],M:M)</f>
        <v>14235195</v>
      </c>
      <c r="T4496" s="13">
        <f>SUMIF(N:N,Online_eCommerce[[#This Row],[Assigned Supervisor]],L:L)</f>
        <v>13693220</v>
      </c>
    </row>
    <row r="4497" spans="1:20" hidden="1" x14ac:dyDescent="0.3">
      <c r="A4497" t="s">
        <v>6588</v>
      </c>
      <c r="B4497" t="s">
        <v>128</v>
      </c>
      <c r="C4497" t="s">
        <v>24</v>
      </c>
      <c r="D4497" t="s">
        <v>6578</v>
      </c>
      <c r="E4497" t="s">
        <v>161</v>
      </c>
      <c r="F4497" t="s">
        <v>65</v>
      </c>
      <c r="G4497" t="s">
        <v>66</v>
      </c>
      <c r="H4497" t="s">
        <v>21</v>
      </c>
      <c r="I4497">
        <v>650</v>
      </c>
      <c r="J4497">
        <v>845</v>
      </c>
      <c r="K4497">
        <v>3</v>
      </c>
      <c r="L4497">
        <v>1950</v>
      </c>
      <c r="M4497">
        <v>2535</v>
      </c>
      <c r="N4497" t="s">
        <v>28</v>
      </c>
      <c r="O4497">
        <f t="shared" si="140"/>
        <v>1690</v>
      </c>
      <c r="P4497" s="13">
        <f t="shared" si="141"/>
        <v>2009540</v>
      </c>
      <c r="Q4497" s="13">
        <f>SUMIFS(M:M,E:E,Online_eCommerce[[#This Row],[Status]])</f>
        <v>21103186</v>
      </c>
      <c r="R4497" s="13">
        <f>SUMIFS(L:L,H:H,Online_eCommerce[[#This Row],[Brand]])</f>
        <v>12435650</v>
      </c>
      <c r="S4497" s="13">
        <f>SUMIF(H:H,Online_eCommerce[[#This Row],[Brand]],M:M)</f>
        <v>16166345</v>
      </c>
      <c r="T4497" s="13">
        <f>SUMIF(N:N,Online_eCommerce[[#This Row],[Assigned Supervisor]],L:L)</f>
        <v>12220830</v>
      </c>
    </row>
    <row r="4498" spans="1:20" x14ac:dyDescent="0.3">
      <c r="A4498" t="s">
        <v>6589</v>
      </c>
      <c r="B4498" t="s">
        <v>131</v>
      </c>
      <c r="C4498" t="s">
        <v>31</v>
      </c>
      <c r="D4498" t="s">
        <v>6578</v>
      </c>
      <c r="E4498" t="s">
        <v>46</v>
      </c>
      <c r="F4498" t="s">
        <v>70</v>
      </c>
      <c r="G4498" t="s">
        <v>71</v>
      </c>
      <c r="H4498" t="s">
        <v>61</v>
      </c>
      <c r="I4498">
        <v>7500</v>
      </c>
      <c r="J4498">
        <v>9750</v>
      </c>
      <c r="K4498">
        <v>2</v>
      </c>
      <c r="L4498">
        <v>15000</v>
      </c>
      <c r="M4498">
        <v>19500</v>
      </c>
      <c r="N4498" t="s">
        <v>35</v>
      </c>
      <c r="O4498">
        <f t="shared" si="140"/>
        <v>9750</v>
      </c>
      <c r="P4498" s="13">
        <f t="shared" si="141"/>
        <v>2865746</v>
      </c>
      <c r="Q4498" s="13">
        <f>SUMIFS(M:M,E:E,Online_eCommerce[[#This Row],[Status]])</f>
        <v>28620410</v>
      </c>
      <c r="R4498" s="13">
        <f>SUMIFS(L:L,H:H,Online_eCommerce[[#This Row],[Brand]])</f>
        <v>10950150</v>
      </c>
      <c r="S4498" s="13">
        <f>SUMIF(H:H,Online_eCommerce[[#This Row],[Brand]],M:M)</f>
        <v>14235195</v>
      </c>
      <c r="T4498" s="13">
        <f>SUMIF(N:N,Online_eCommerce[[#This Row],[Assigned Supervisor]],L:L)</f>
        <v>14373360</v>
      </c>
    </row>
    <row r="4499" spans="1:20" hidden="1" x14ac:dyDescent="0.3">
      <c r="A4499" t="s">
        <v>6590</v>
      </c>
      <c r="B4499" t="s">
        <v>135</v>
      </c>
      <c r="C4499" t="s">
        <v>38</v>
      </c>
      <c r="D4499" t="s">
        <v>6578</v>
      </c>
      <c r="E4499" t="s">
        <v>96</v>
      </c>
      <c r="F4499" t="s">
        <v>6576</v>
      </c>
      <c r="G4499" t="s">
        <v>77</v>
      </c>
      <c r="H4499" t="s">
        <v>78</v>
      </c>
      <c r="I4499">
        <v>10000</v>
      </c>
      <c r="J4499">
        <v>13000</v>
      </c>
      <c r="K4499">
        <v>3</v>
      </c>
      <c r="L4499">
        <v>30000</v>
      </c>
      <c r="M4499">
        <v>39000</v>
      </c>
      <c r="N4499" t="s">
        <v>42</v>
      </c>
      <c r="O4499">
        <f t="shared" si="140"/>
        <v>39000</v>
      </c>
      <c r="P4499" s="13">
        <f t="shared" si="141"/>
        <v>1933997</v>
      </c>
      <c r="Q4499" s="13">
        <f>SUMIFS(M:M,E:E,Online_eCommerce[[#This Row],[Status]])</f>
        <v>21233992</v>
      </c>
      <c r="R4499" s="13">
        <f>SUMIFS(L:L,H:H,Online_eCommerce[[#This Row],[Brand]])</f>
        <v>3720000</v>
      </c>
      <c r="S4499" s="13">
        <f>SUMIF(H:H,Online_eCommerce[[#This Row],[Brand]],M:M)</f>
        <v>4836000</v>
      </c>
      <c r="T4499" s="13">
        <f>SUMIF(N:N,Online_eCommerce[[#This Row],[Assigned Supervisor]],L:L)</f>
        <v>12261500</v>
      </c>
    </row>
    <row r="4500" spans="1:20" hidden="1" x14ac:dyDescent="0.3">
      <c r="A4500" t="s">
        <v>6591</v>
      </c>
      <c r="B4500" t="s">
        <v>139</v>
      </c>
      <c r="C4500" t="s">
        <v>45</v>
      </c>
      <c r="D4500" t="s">
        <v>6578</v>
      </c>
      <c r="E4500" t="s">
        <v>18</v>
      </c>
      <c r="F4500" t="s">
        <v>6592</v>
      </c>
      <c r="G4500" t="s">
        <v>20</v>
      </c>
      <c r="H4500" t="s">
        <v>21</v>
      </c>
      <c r="I4500">
        <v>10500</v>
      </c>
      <c r="J4500">
        <v>13650</v>
      </c>
      <c r="K4500">
        <v>3</v>
      </c>
      <c r="L4500">
        <v>31500</v>
      </c>
      <c r="M4500">
        <v>40950</v>
      </c>
      <c r="N4500" t="s">
        <v>50</v>
      </c>
      <c r="O4500">
        <f t="shared" si="140"/>
        <v>8450</v>
      </c>
      <c r="P4500" s="13">
        <f t="shared" si="141"/>
        <v>2842554</v>
      </c>
      <c r="Q4500" s="13">
        <f>SUMIFS(M:M,E:E,Online_eCommerce[[#This Row],[Status]])</f>
        <v>28340455</v>
      </c>
      <c r="R4500" s="13">
        <f>SUMIFS(L:L,H:H,Online_eCommerce[[#This Row],[Brand]])</f>
        <v>12435650</v>
      </c>
      <c r="S4500" s="13">
        <f>SUMIF(H:H,Online_eCommerce[[#This Row],[Brand]],M:M)</f>
        <v>16166345</v>
      </c>
      <c r="T4500" s="13">
        <f>SUMIF(N:N,Online_eCommerce[[#This Row],[Assigned Supervisor]],L:L)</f>
        <v>12100590</v>
      </c>
    </row>
    <row r="4501" spans="1:20" hidden="1" x14ac:dyDescent="0.3">
      <c r="A4501" t="s">
        <v>6593</v>
      </c>
      <c r="B4501" t="s">
        <v>144</v>
      </c>
      <c r="C4501" t="s">
        <v>52</v>
      </c>
      <c r="D4501" t="s">
        <v>6578</v>
      </c>
      <c r="E4501" t="s">
        <v>161</v>
      </c>
      <c r="F4501" t="s">
        <v>88</v>
      </c>
      <c r="G4501" t="s">
        <v>26</v>
      </c>
      <c r="H4501" t="s">
        <v>27</v>
      </c>
      <c r="I4501">
        <v>8500</v>
      </c>
      <c r="J4501">
        <v>11050</v>
      </c>
      <c r="K4501">
        <v>3</v>
      </c>
      <c r="L4501">
        <v>25500</v>
      </c>
      <c r="M4501">
        <v>33150</v>
      </c>
      <c r="N4501" t="s">
        <v>56</v>
      </c>
      <c r="O4501">
        <f t="shared" si="140"/>
        <v>33150</v>
      </c>
      <c r="P4501" s="13">
        <f t="shared" si="141"/>
        <v>1955044</v>
      </c>
      <c r="Q4501" s="13">
        <f>SUMIFS(M:M,E:E,Online_eCommerce[[#This Row],[Status]])</f>
        <v>21103186</v>
      </c>
      <c r="R4501" s="13">
        <f>SUMIFS(L:L,H:H,Online_eCommerce[[#This Row],[Brand]])</f>
        <v>14431000</v>
      </c>
      <c r="S4501" s="13">
        <f>SUMIF(H:H,Online_eCommerce[[#This Row],[Brand]],M:M)</f>
        <v>18760300</v>
      </c>
      <c r="T4501" s="13">
        <f>SUMIF(N:N,Online_eCommerce[[#This Row],[Assigned Supervisor]],L:L)</f>
        <v>11733610</v>
      </c>
    </row>
    <row r="4502" spans="1:20" x14ac:dyDescent="0.3">
      <c r="A4502" t="s">
        <v>6594</v>
      </c>
      <c r="B4502" t="s">
        <v>149</v>
      </c>
      <c r="C4502" t="s">
        <v>58</v>
      </c>
      <c r="D4502" t="s">
        <v>6578</v>
      </c>
      <c r="E4502" t="s">
        <v>46</v>
      </c>
      <c r="F4502" t="s">
        <v>32</v>
      </c>
      <c r="G4502" t="s">
        <v>33</v>
      </c>
      <c r="H4502" t="s">
        <v>34</v>
      </c>
      <c r="I4502">
        <v>7000</v>
      </c>
      <c r="J4502">
        <v>9100</v>
      </c>
      <c r="K4502">
        <v>2</v>
      </c>
      <c r="L4502">
        <v>14000</v>
      </c>
      <c r="M4502">
        <v>18200</v>
      </c>
      <c r="N4502" t="s">
        <v>22</v>
      </c>
      <c r="O4502">
        <f t="shared" si="140"/>
        <v>18200</v>
      </c>
      <c r="P4502" s="13">
        <f t="shared" si="141"/>
        <v>2629211</v>
      </c>
      <c r="Q4502" s="13">
        <f>SUMIFS(M:M,E:E,Online_eCommerce[[#This Row],[Status]])</f>
        <v>28620410</v>
      </c>
      <c r="R4502" s="13">
        <f>SUMIFS(L:L,H:H,Online_eCommerce[[#This Row],[Brand]])</f>
        <v>10087000</v>
      </c>
      <c r="S4502" s="13">
        <f>SUMIF(H:H,Online_eCommerce[[#This Row],[Brand]],M:M)</f>
        <v>13113100</v>
      </c>
      <c r="T4502" s="13">
        <f>SUMIF(N:N,Online_eCommerce[[#This Row],[Assigned Supervisor]],L:L)</f>
        <v>13693220</v>
      </c>
    </row>
    <row r="4503" spans="1:20" hidden="1" x14ac:dyDescent="0.3">
      <c r="A4503" t="s">
        <v>6595</v>
      </c>
      <c r="B4503" t="s">
        <v>154</v>
      </c>
      <c r="C4503" t="s">
        <v>63</v>
      </c>
      <c r="D4503" t="s">
        <v>6578</v>
      </c>
      <c r="E4503" t="s">
        <v>96</v>
      </c>
      <c r="F4503" t="s">
        <v>6596</v>
      </c>
      <c r="G4503" t="s">
        <v>40</v>
      </c>
      <c r="H4503" t="s">
        <v>41</v>
      </c>
      <c r="I4503">
        <v>1680</v>
      </c>
      <c r="J4503">
        <v>2184</v>
      </c>
      <c r="K4503">
        <v>3</v>
      </c>
      <c r="L4503">
        <v>5040</v>
      </c>
      <c r="M4503">
        <v>6552</v>
      </c>
      <c r="N4503" t="s">
        <v>22</v>
      </c>
      <c r="O4503">
        <f t="shared" si="140"/>
        <v>25545</v>
      </c>
      <c r="P4503" s="13">
        <f t="shared" si="141"/>
        <v>2016131</v>
      </c>
      <c r="Q4503" s="13">
        <f>SUMIFS(M:M,E:E,Online_eCommerce[[#This Row],[Status]])</f>
        <v>21233992</v>
      </c>
      <c r="R4503" s="13">
        <f>SUMIFS(L:L,H:H,Online_eCommerce[[#This Row],[Brand]])</f>
        <v>4260400</v>
      </c>
      <c r="S4503" s="13">
        <f>SUMIF(H:H,Online_eCommerce[[#This Row],[Brand]],M:M)</f>
        <v>5538520</v>
      </c>
      <c r="T4503" s="13">
        <f>SUMIF(N:N,Online_eCommerce[[#This Row],[Assigned Supervisor]],L:L)</f>
        <v>13693220</v>
      </c>
    </row>
    <row r="4504" spans="1:20" hidden="1" x14ac:dyDescent="0.3">
      <c r="A4504" t="s">
        <v>6597</v>
      </c>
      <c r="B4504" t="s">
        <v>159</v>
      </c>
      <c r="C4504" t="s">
        <v>68</v>
      </c>
      <c r="D4504" t="s">
        <v>6598</v>
      </c>
      <c r="E4504" t="s">
        <v>18</v>
      </c>
      <c r="F4504" t="s">
        <v>101</v>
      </c>
      <c r="G4504" t="s">
        <v>334</v>
      </c>
      <c r="H4504" t="s">
        <v>102</v>
      </c>
      <c r="I4504">
        <v>6540</v>
      </c>
      <c r="J4504">
        <v>8502</v>
      </c>
      <c r="K4504">
        <v>4</v>
      </c>
      <c r="L4504">
        <v>26160</v>
      </c>
      <c r="M4504">
        <v>34008</v>
      </c>
      <c r="N4504" t="s">
        <v>28</v>
      </c>
      <c r="O4504">
        <f t="shared" si="140"/>
        <v>39780</v>
      </c>
      <c r="P4504" s="13">
        <f t="shared" si="141"/>
        <v>2974621</v>
      </c>
      <c r="Q4504" s="13">
        <f>SUMIFS(M:M,E:E,Online_eCommerce[[#This Row],[Status]])</f>
        <v>28340455</v>
      </c>
      <c r="R4504" s="13">
        <f>SUMIFS(L:L,H:H,Online_eCommerce[[#This Row],[Brand]])</f>
        <v>2465580</v>
      </c>
      <c r="S4504" s="13">
        <f>SUMIF(H:H,Online_eCommerce[[#This Row],[Brand]],M:M)</f>
        <v>3205254</v>
      </c>
      <c r="T4504" s="13">
        <f>SUMIF(N:N,Online_eCommerce[[#This Row],[Assigned Supervisor]],L:L)</f>
        <v>12220830</v>
      </c>
    </row>
    <row r="4505" spans="1:20" hidden="1" x14ac:dyDescent="0.3">
      <c r="A4505" t="s">
        <v>6599</v>
      </c>
      <c r="B4505" t="s">
        <v>139</v>
      </c>
      <c r="C4505" t="s">
        <v>74</v>
      </c>
      <c r="D4505" t="s">
        <v>6600</v>
      </c>
      <c r="E4505" t="s">
        <v>161</v>
      </c>
      <c r="F4505" t="s">
        <v>107</v>
      </c>
      <c r="G4505" t="s">
        <v>54</v>
      </c>
      <c r="H4505" t="s">
        <v>55</v>
      </c>
      <c r="I4505">
        <v>2680</v>
      </c>
      <c r="J4505">
        <v>3484</v>
      </c>
      <c r="K4505">
        <v>2</v>
      </c>
      <c r="L4505">
        <v>5360</v>
      </c>
      <c r="M4505">
        <v>6968</v>
      </c>
      <c r="N4505" t="s">
        <v>35</v>
      </c>
      <c r="O4505">
        <f t="shared" si="140"/>
        <v>2990</v>
      </c>
      <c r="P4505" s="13">
        <f t="shared" si="141"/>
        <v>2144701</v>
      </c>
      <c r="Q4505" s="13">
        <f>SUMIFS(M:M,E:E,Online_eCommerce[[#This Row],[Status]])</f>
        <v>21103186</v>
      </c>
      <c r="R4505" s="13">
        <f>SUMIFS(L:L,H:H,Online_eCommerce[[#This Row],[Brand]])</f>
        <v>2267380</v>
      </c>
      <c r="S4505" s="13">
        <f>SUMIF(H:H,Online_eCommerce[[#This Row],[Brand]],M:M)</f>
        <v>2947594</v>
      </c>
      <c r="T4505" s="13">
        <f>SUMIF(N:N,Online_eCommerce[[#This Row],[Assigned Supervisor]],L:L)</f>
        <v>14373360</v>
      </c>
    </row>
    <row r="4506" spans="1:20" x14ac:dyDescent="0.3">
      <c r="A4506" t="s">
        <v>6601</v>
      </c>
      <c r="B4506" t="s">
        <v>144</v>
      </c>
      <c r="C4506" t="s">
        <v>81</v>
      </c>
      <c r="D4506" t="s">
        <v>6602</v>
      </c>
      <c r="E4506" t="s">
        <v>46</v>
      </c>
      <c r="F4506" t="s">
        <v>112</v>
      </c>
      <c r="G4506" t="s">
        <v>71</v>
      </c>
      <c r="H4506" t="s">
        <v>21</v>
      </c>
      <c r="I4506">
        <v>8250</v>
      </c>
      <c r="J4506">
        <v>10725</v>
      </c>
      <c r="K4506">
        <v>1</v>
      </c>
      <c r="L4506">
        <v>8250</v>
      </c>
      <c r="M4506">
        <v>10725</v>
      </c>
      <c r="N4506" t="s">
        <v>42</v>
      </c>
      <c r="O4506">
        <f t="shared" si="140"/>
        <v>9750</v>
      </c>
      <c r="P4506" s="13">
        <f t="shared" si="141"/>
        <v>2595632</v>
      </c>
      <c r="Q4506" s="13">
        <f>SUMIFS(M:M,E:E,Online_eCommerce[[#This Row],[Status]])</f>
        <v>28620410</v>
      </c>
      <c r="R4506" s="13">
        <f>SUMIFS(L:L,H:H,Online_eCommerce[[#This Row],[Brand]])</f>
        <v>12435650</v>
      </c>
      <c r="S4506" s="13">
        <f>SUMIF(H:H,Online_eCommerce[[#This Row],[Brand]],M:M)</f>
        <v>16166345</v>
      </c>
      <c r="T4506" s="13">
        <f>SUMIF(N:N,Online_eCommerce[[#This Row],[Assigned Supervisor]],L:L)</f>
        <v>12261500</v>
      </c>
    </row>
    <row r="4507" spans="1:20" hidden="1" x14ac:dyDescent="0.3">
      <c r="A4507" t="s">
        <v>6603</v>
      </c>
      <c r="B4507" t="s">
        <v>235</v>
      </c>
      <c r="C4507" t="s">
        <v>86</v>
      </c>
      <c r="D4507" t="s">
        <v>6602</v>
      </c>
      <c r="E4507" t="s">
        <v>96</v>
      </c>
      <c r="F4507" t="s">
        <v>6212</v>
      </c>
      <c r="G4507" t="s">
        <v>40</v>
      </c>
      <c r="H4507" t="s">
        <v>21</v>
      </c>
      <c r="I4507">
        <v>2650</v>
      </c>
      <c r="J4507">
        <v>3445</v>
      </c>
      <c r="K4507">
        <v>3</v>
      </c>
      <c r="L4507">
        <v>7950</v>
      </c>
      <c r="M4507">
        <v>10335</v>
      </c>
      <c r="N4507" t="s">
        <v>50</v>
      </c>
      <c r="O4507">
        <f t="shared" si="140"/>
        <v>25545</v>
      </c>
      <c r="P4507" s="13">
        <f t="shared" si="141"/>
        <v>1941225</v>
      </c>
      <c r="Q4507" s="13">
        <f>SUMIFS(M:M,E:E,Online_eCommerce[[#This Row],[Status]])</f>
        <v>21233992</v>
      </c>
      <c r="R4507" s="13">
        <f>SUMIFS(L:L,H:H,Online_eCommerce[[#This Row],[Brand]])</f>
        <v>12435650</v>
      </c>
      <c r="S4507" s="13">
        <f>SUMIF(H:H,Online_eCommerce[[#This Row],[Brand]],M:M)</f>
        <v>16166345</v>
      </c>
      <c r="T4507" s="13">
        <f>SUMIF(N:N,Online_eCommerce[[#This Row],[Assigned Supervisor]],L:L)</f>
        <v>12100590</v>
      </c>
    </row>
    <row r="4508" spans="1:20" hidden="1" x14ac:dyDescent="0.3">
      <c r="A4508" t="s">
        <v>6604</v>
      </c>
      <c r="B4508" t="s">
        <v>176</v>
      </c>
      <c r="C4508" t="s">
        <v>91</v>
      </c>
      <c r="D4508" t="s">
        <v>6602</v>
      </c>
      <c r="E4508" t="s">
        <v>18</v>
      </c>
      <c r="F4508" t="s">
        <v>121</v>
      </c>
      <c r="G4508" t="s">
        <v>71</v>
      </c>
      <c r="H4508" t="s">
        <v>122</v>
      </c>
      <c r="I4508">
        <v>12550</v>
      </c>
      <c r="J4508">
        <v>16315</v>
      </c>
      <c r="K4508">
        <v>4</v>
      </c>
      <c r="L4508">
        <v>50200</v>
      </c>
      <c r="M4508">
        <v>65260</v>
      </c>
      <c r="N4508" t="s">
        <v>56</v>
      </c>
      <c r="O4508">
        <f t="shared" si="140"/>
        <v>9750</v>
      </c>
      <c r="P4508" s="13">
        <f t="shared" si="141"/>
        <v>2731963</v>
      </c>
      <c r="Q4508" s="13">
        <f>SUMIFS(M:M,E:E,Online_eCommerce[[#This Row],[Status]])</f>
        <v>28340455</v>
      </c>
      <c r="R4508" s="13">
        <f>SUMIFS(L:L,H:H,Online_eCommerce[[#This Row],[Brand]])</f>
        <v>5045100</v>
      </c>
      <c r="S4508" s="13">
        <f>SUMIF(H:H,Online_eCommerce[[#This Row],[Brand]],M:M)</f>
        <v>6558630</v>
      </c>
      <c r="T4508" s="13">
        <f>SUMIF(N:N,Online_eCommerce[[#This Row],[Assigned Supervisor]],L:L)</f>
        <v>11733610</v>
      </c>
    </row>
    <row r="4509" spans="1:20" hidden="1" x14ac:dyDescent="0.3">
      <c r="A4509" t="s">
        <v>6605</v>
      </c>
      <c r="B4509" t="s">
        <v>276</v>
      </c>
      <c r="C4509" t="s">
        <v>94</v>
      </c>
      <c r="D4509" t="s">
        <v>6602</v>
      </c>
      <c r="E4509" t="s">
        <v>161</v>
      </c>
      <c r="F4509" t="s">
        <v>126</v>
      </c>
      <c r="G4509" t="s">
        <v>26</v>
      </c>
      <c r="H4509" t="s">
        <v>27</v>
      </c>
      <c r="I4509">
        <v>14500</v>
      </c>
      <c r="J4509">
        <v>18850</v>
      </c>
      <c r="K4509">
        <v>2</v>
      </c>
      <c r="L4509">
        <v>29000</v>
      </c>
      <c r="M4509">
        <v>37700</v>
      </c>
      <c r="N4509" t="s">
        <v>22</v>
      </c>
      <c r="O4509">
        <f t="shared" si="140"/>
        <v>33150</v>
      </c>
      <c r="P4509" s="13">
        <f t="shared" si="141"/>
        <v>1868256</v>
      </c>
      <c r="Q4509" s="13">
        <f>SUMIFS(M:M,E:E,Online_eCommerce[[#This Row],[Status]])</f>
        <v>21103186</v>
      </c>
      <c r="R4509" s="13">
        <f>SUMIFS(L:L,H:H,Online_eCommerce[[#This Row],[Brand]])</f>
        <v>14431000</v>
      </c>
      <c r="S4509" s="13">
        <f>SUMIF(H:H,Online_eCommerce[[#This Row],[Brand]],M:M)</f>
        <v>18760300</v>
      </c>
      <c r="T4509" s="13">
        <f>SUMIF(N:N,Online_eCommerce[[#This Row],[Assigned Supervisor]],L:L)</f>
        <v>13693220</v>
      </c>
    </row>
    <row r="4510" spans="1:20" x14ac:dyDescent="0.3">
      <c r="A4510" t="s">
        <v>6606</v>
      </c>
      <c r="B4510" t="s">
        <v>280</v>
      </c>
      <c r="C4510" t="s">
        <v>99</v>
      </c>
      <c r="D4510" t="s">
        <v>6602</v>
      </c>
      <c r="E4510" t="s">
        <v>46</v>
      </c>
      <c r="F4510" t="s">
        <v>129</v>
      </c>
      <c r="G4510" t="s">
        <v>60</v>
      </c>
      <c r="H4510" t="s">
        <v>61</v>
      </c>
      <c r="I4510">
        <v>800</v>
      </c>
      <c r="J4510">
        <v>1040</v>
      </c>
      <c r="K4510">
        <v>1</v>
      </c>
      <c r="L4510">
        <v>800</v>
      </c>
      <c r="M4510">
        <v>1040</v>
      </c>
      <c r="N4510" t="s">
        <v>28</v>
      </c>
      <c r="O4510">
        <f t="shared" si="140"/>
        <v>3315</v>
      </c>
      <c r="P4510" s="13">
        <f t="shared" si="141"/>
        <v>2651233</v>
      </c>
      <c r="Q4510" s="13">
        <f>SUMIFS(M:M,E:E,Online_eCommerce[[#This Row],[Status]])</f>
        <v>28620410</v>
      </c>
      <c r="R4510" s="13">
        <f>SUMIFS(L:L,H:H,Online_eCommerce[[#This Row],[Brand]])</f>
        <v>10950150</v>
      </c>
      <c r="S4510" s="13">
        <f>SUMIF(H:H,Online_eCommerce[[#This Row],[Brand]],M:M)</f>
        <v>14235195</v>
      </c>
      <c r="T4510" s="13">
        <f>SUMIF(N:N,Online_eCommerce[[#This Row],[Assigned Supervisor]],L:L)</f>
        <v>12220830</v>
      </c>
    </row>
    <row r="4511" spans="1:20" hidden="1" x14ac:dyDescent="0.3">
      <c r="A4511" t="s">
        <v>6607</v>
      </c>
      <c r="B4511" t="s">
        <v>283</v>
      </c>
      <c r="C4511" t="s">
        <v>105</v>
      </c>
      <c r="D4511" t="s">
        <v>6602</v>
      </c>
      <c r="E4511" t="s">
        <v>96</v>
      </c>
      <c r="F4511" t="s">
        <v>133</v>
      </c>
      <c r="G4511" t="s">
        <v>66</v>
      </c>
      <c r="H4511" t="s">
        <v>21</v>
      </c>
      <c r="I4511">
        <v>600</v>
      </c>
      <c r="J4511">
        <v>780</v>
      </c>
      <c r="K4511">
        <v>2</v>
      </c>
      <c r="L4511">
        <v>1200</v>
      </c>
      <c r="M4511">
        <v>1560</v>
      </c>
      <c r="N4511" t="s">
        <v>35</v>
      </c>
      <c r="O4511">
        <f t="shared" si="140"/>
        <v>1690</v>
      </c>
      <c r="P4511" s="13">
        <f t="shared" si="141"/>
        <v>1866852</v>
      </c>
      <c r="Q4511" s="13">
        <f>SUMIFS(M:M,E:E,Online_eCommerce[[#This Row],[Status]])</f>
        <v>21233992</v>
      </c>
      <c r="R4511" s="13">
        <f>SUMIFS(L:L,H:H,Online_eCommerce[[#This Row],[Brand]])</f>
        <v>12435650</v>
      </c>
      <c r="S4511" s="13">
        <f>SUMIF(H:H,Online_eCommerce[[#This Row],[Brand]],M:M)</f>
        <v>16166345</v>
      </c>
      <c r="T4511" s="13">
        <f>SUMIF(N:N,Online_eCommerce[[#This Row],[Assigned Supervisor]],L:L)</f>
        <v>14373360</v>
      </c>
    </row>
    <row r="4512" spans="1:20" hidden="1" x14ac:dyDescent="0.3">
      <c r="A4512" t="s">
        <v>6608</v>
      </c>
      <c r="B4512" t="s">
        <v>287</v>
      </c>
      <c r="C4512" t="s">
        <v>110</v>
      </c>
      <c r="D4512" t="s">
        <v>6602</v>
      </c>
      <c r="E4512" t="s">
        <v>18</v>
      </c>
      <c r="F4512" t="s">
        <v>137</v>
      </c>
      <c r="G4512" t="s">
        <v>71</v>
      </c>
      <c r="H4512" t="s">
        <v>61</v>
      </c>
      <c r="I4512">
        <v>10500</v>
      </c>
      <c r="J4512">
        <v>13650</v>
      </c>
      <c r="K4512">
        <v>3</v>
      </c>
      <c r="L4512">
        <v>31500</v>
      </c>
      <c r="M4512">
        <v>40950</v>
      </c>
      <c r="N4512" t="s">
        <v>42</v>
      </c>
      <c r="O4512">
        <f t="shared" si="140"/>
        <v>9750</v>
      </c>
      <c r="P4512" s="13">
        <f t="shared" si="141"/>
        <v>2598635</v>
      </c>
      <c r="Q4512" s="13">
        <f>SUMIFS(M:M,E:E,Online_eCommerce[[#This Row],[Status]])</f>
        <v>28340455</v>
      </c>
      <c r="R4512" s="13">
        <f>SUMIFS(L:L,H:H,Online_eCommerce[[#This Row],[Brand]])</f>
        <v>10950150</v>
      </c>
      <c r="S4512" s="13">
        <f>SUMIF(H:H,Online_eCommerce[[#This Row],[Brand]],M:M)</f>
        <v>14235195</v>
      </c>
      <c r="T4512" s="13">
        <f>SUMIF(N:N,Online_eCommerce[[#This Row],[Assigned Supervisor]],L:L)</f>
        <v>12261500</v>
      </c>
    </row>
    <row r="4513" spans="1:20" hidden="1" x14ac:dyDescent="0.3">
      <c r="A4513" t="s">
        <v>6609</v>
      </c>
      <c r="B4513" t="s">
        <v>290</v>
      </c>
      <c r="C4513" t="s">
        <v>115</v>
      </c>
      <c r="D4513" t="s">
        <v>6602</v>
      </c>
      <c r="E4513" t="s">
        <v>161</v>
      </c>
      <c r="F4513" t="s">
        <v>6576</v>
      </c>
      <c r="G4513" t="s">
        <v>77</v>
      </c>
      <c r="H4513" t="s">
        <v>142</v>
      </c>
      <c r="I4513">
        <v>6500</v>
      </c>
      <c r="J4513">
        <v>8450</v>
      </c>
      <c r="K4513">
        <v>2</v>
      </c>
      <c r="L4513">
        <v>13000</v>
      </c>
      <c r="M4513">
        <v>16900</v>
      </c>
      <c r="N4513" t="s">
        <v>50</v>
      </c>
      <c r="O4513">
        <f t="shared" si="140"/>
        <v>39000</v>
      </c>
      <c r="P4513" s="13">
        <f t="shared" si="141"/>
        <v>2050178</v>
      </c>
      <c r="Q4513" s="13">
        <f>SUMIFS(M:M,E:E,Online_eCommerce[[#This Row],[Status]])</f>
        <v>21103186</v>
      </c>
      <c r="R4513" s="13">
        <f>SUMIFS(L:L,H:H,Online_eCommerce[[#This Row],[Brand]])</f>
        <v>6192500</v>
      </c>
      <c r="S4513" s="13">
        <f>SUMIF(H:H,Online_eCommerce[[#This Row],[Brand]],M:M)</f>
        <v>8050250</v>
      </c>
      <c r="T4513" s="13">
        <f>SUMIF(N:N,Online_eCommerce[[#This Row],[Assigned Supervisor]],L:L)</f>
        <v>12100590</v>
      </c>
    </row>
    <row r="4514" spans="1:20" x14ac:dyDescent="0.3">
      <c r="A4514" t="s">
        <v>6610</v>
      </c>
      <c r="B4514" t="s">
        <v>15</v>
      </c>
      <c r="C4514" t="s">
        <v>120</v>
      </c>
      <c r="D4514" t="s">
        <v>6602</v>
      </c>
      <c r="E4514" t="s">
        <v>46</v>
      </c>
      <c r="F4514" t="s">
        <v>6611</v>
      </c>
      <c r="G4514" t="s">
        <v>20</v>
      </c>
      <c r="H4514" t="s">
        <v>21</v>
      </c>
      <c r="I4514">
        <v>4500</v>
      </c>
      <c r="J4514">
        <v>5850</v>
      </c>
      <c r="K4514">
        <v>2</v>
      </c>
      <c r="L4514">
        <v>9000</v>
      </c>
      <c r="M4514">
        <v>11700</v>
      </c>
      <c r="N4514" t="s">
        <v>56</v>
      </c>
      <c r="O4514">
        <f t="shared" si="140"/>
        <v>8450</v>
      </c>
      <c r="P4514" s="13">
        <f t="shared" si="141"/>
        <v>2734212</v>
      </c>
      <c r="Q4514" s="13">
        <f>SUMIFS(M:M,E:E,Online_eCommerce[[#This Row],[Status]])</f>
        <v>28620410</v>
      </c>
      <c r="R4514" s="13">
        <f>SUMIFS(L:L,H:H,Online_eCommerce[[#This Row],[Brand]])</f>
        <v>12435650</v>
      </c>
      <c r="S4514" s="13">
        <f>SUMIF(H:H,Online_eCommerce[[#This Row],[Brand]],M:M)</f>
        <v>16166345</v>
      </c>
      <c r="T4514" s="13">
        <f>SUMIF(N:N,Online_eCommerce[[#This Row],[Assigned Supervisor]],L:L)</f>
        <v>11733610</v>
      </c>
    </row>
    <row r="4515" spans="1:20" hidden="1" x14ac:dyDescent="0.3">
      <c r="A4515" t="s">
        <v>6612</v>
      </c>
      <c r="B4515" t="s">
        <v>202</v>
      </c>
      <c r="C4515" t="s">
        <v>125</v>
      </c>
      <c r="D4515" t="s">
        <v>6602</v>
      </c>
      <c r="E4515" t="s">
        <v>96</v>
      </c>
      <c r="F4515" t="s">
        <v>152</v>
      </c>
      <c r="G4515" t="s">
        <v>26</v>
      </c>
      <c r="H4515" t="s">
        <v>27</v>
      </c>
      <c r="I4515">
        <v>8500</v>
      </c>
      <c r="J4515">
        <v>11050</v>
      </c>
      <c r="K4515">
        <v>3</v>
      </c>
      <c r="L4515">
        <v>25500</v>
      </c>
      <c r="M4515">
        <v>33150</v>
      </c>
      <c r="N4515" t="s">
        <v>22</v>
      </c>
      <c r="O4515">
        <f t="shared" si="140"/>
        <v>33150</v>
      </c>
      <c r="P4515" s="13">
        <f t="shared" si="141"/>
        <v>2091154</v>
      </c>
      <c r="Q4515" s="13">
        <f>SUMIFS(M:M,E:E,Online_eCommerce[[#This Row],[Status]])</f>
        <v>21233992</v>
      </c>
      <c r="R4515" s="13">
        <f>SUMIFS(L:L,H:H,Online_eCommerce[[#This Row],[Brand]])</f>
        <v>14431000</v>
      </c>
      <c r="S4515" s="13">
        <f>SUMIF(H:H,Online_eCommerce[[#This Row],[Brand]],M:M)</f>
        <v>18760300</v>
      </c>
      <c r="T4515" s="13">
        <f>SUMIF(N:N,Online_eCommerce[[#This Row],[Assigned Supervisor]],L:L)</f>
        <v>13693220</v>
      </c>
    </row>
    <row r="4516" spans="1:20" hidden="1" x14ac:dyDescent="0.3">
      <c r="A4516" t="s">
        <v>6613</v>
      </c>
      <c r="B4516" t="s">
        <v>30</v>
      </c>
      <c r="C4516" t="s">
        <v>22</v>
      </c>
      <c r="D4516" t="s">
        <v>6614</v>
      </c>
      <c r="E4516" t="s">
        <v>18</v>
      </c>
      <c r="F4516" t="s">
        <v>157</v>
      </c>
      <c r="G4516" t="s">
        <v>33</v>
      </c>
      <c r="H4516" t="s">
        <v>34</v>
      </c>
      <c r="I4516">
        <v>12500</v>
      </c>
      <c r="J4516">
        <v>16250</v>
      </c>
      <c r="K4516">
        <v>2</v>
      </c>
      <c r="L4516">
        <v>25000</v>
      </c>
      <c r="M4516">
        <v>32500</v>
      </c>
      <c r="N4516" t="s">
        <v>28</v>
      </c>
      <c r="O4516">
        <f t="shared" si="140"/>
        <v>18200</v>
      </c>
      <c r="P4516" s="13">
        <f t="shared" si="141"/>
        <v>2551588</v>
      </c>
      <c r="Q4516" s="13">
        <f>SUMIFS(M:M,E:E,Online_eCommerce[[#This Row],[Status]])</f>
        <v>28340455</v>
      </c>
      <c r="R4516" s="13">
        <f>SUMIFS(L:L,H:H,Online_eCommerce[[#This Row],[Brand]])</f>
        <v>10087000</v>
      </c>
      <c r="S4516" s="13">
        <f>SUMIF(H:H,Online_eCommerce[[#This Row],[Brand]],M:M)</f>
        <v>13113100</v>
      </c>
      <c r="T4516" s="13">
        <f>SUMIF(N:N,Online_eCommerce[[#This Row],[Assigned Supervisor]],L:L)</f>
        <v>12220830</v>
      </c>
    </row>
    <row r="4517" spans="1:20" hidden="1" x14ac:dyDescent="0.3">
      <c r="A4517" t="s">
        <v>6615</v>
      </c>
      <c r="B4517" t="s">
        <v>37</v>
      </c>
      <c r="C4517" t="s">
        <v>132</v>
      </c>
      <c r="D4517" t="s">
        <v>6616</v>
      </c>
      <c r="E4517" t="s">
        <v>161</v>
      </c>
      <c r="F4517" t="s">
        <v>6263</v>
      </c>
      <c r="G4517" t="s">
        <v>163</v>
      </c>
      <c r="H4517" t="s">
        <v>41</v>
      </c>
      <c r="I4517">
        <v>3500</v>
      </c>
      <c r="J4517">
        <v>4550</v>
      </c>
      <c r="K4517">
        <v>3</v>
      </c>
      <c r="L4517">
        <v>10500</v>
      </c>
      <c r="M4517">
        <v>13650</v>
      </c>
      <c r="N4517" t="s">
        <v>35</v>
      </c>
      <c r="O4517">
        <f t="shared" si="140"/>
        <v>13650</v>
      </c>
      <c r="P4517" s="13">
        <f t="shared" si="141"/>
        <v>1989065</v>
      </c>
      <c r="Q4517" s="13">
        <f>SUMIFS(M:M,E:E,Online_eCommerce[[#This Row],[Status]])</f>
        <v>21103186</v>
      </c>
      <c r="R4517" s="13">
        <f>SUMIFS(L:L,H:H,Online_eCommerce[[#This Row],[Brand]])</f>
        <v>4260400</v>
      </c>
      <c r="S4517" s="13">
        <f>SUMIF(H:H,Online_eCommerce[[#This Row],[Brand]],M:M)</f>
        <v>5538520</v>
      </c>
      <c r="T4517" s="13">
        <f>SUMIF(N:N,Online_eCommerce[[#This Row],[Assigned Supervisor]],L:L)</f>
        <v>14373360</v>
      </c>
    </row>
    <row r="4518" spans="1:20" x14ac:dyDescent="0.3">
      <c r="A4518" t="s">
        <v>6617</v>
      </c>
      <c r="B4518" t="s">
        <v>44</v>
      </c>
      <c r="C4518" t="s">
        <v>136</v>
      </c>
      <c r="D4518" t="s">
        <v>6618</v>
      </c>
      <c r="E4518" t="s">
        <v>46</v>
      </c>
      <c r="F4518" t="s">
        <v>166</v>
      </c>
      <c r="G4518" t="s">
        <v>66</v>
      </c>
      <c r="H4518" t="s">
        <v>49</v>
      </c>
      <c r="I4518">
        <v>4500</v>
      </c>
      <c r="J4518">
        <v>5850</v>
      </c>
      <c r="K4518">
        <v>2</v>
      </c>
      <c r="L4518">
        <v>9000</v>
      </c>
      <c r="M4518">
        <v>11700</v>
      </c>
      <c r="N4518" t="s">
        <v>42</v>
      </c>
      <c r="O4518">
        <f t="shared" si="140"/>
        <v>1690</v>
      </c>
      <c r="P4518" s="13">
        <f t="shared" si="141"/>
        <v>2775162</v>
      </c>
      <c r="Q4518" s="13">
        <f>SUMIFS(M:M,E:E,Online_eCommerce[[#This Row],[Status]])</f>
        <v>28620410</v>
      </c>
      <c r="R4518" s="13">
        <f>SUMIFS(L:L,H:H,Online_eCommerce[[#This Row],[Brand]])</f>
        <v>4528350</v>
      </c>
      <c r="S4518" s="13">
        <f>SUMIF(H:H,Online_eCommerce[[#This Row],[Brand]],M:M)</f>
        <v>5886855</v>
      </c>
      <c r="T4518" s="13">
        <f>SUMIF(N:N,Online_eCommerce[[#This Row],[Assigned Supervisor]],L:L)</f>
        <v>12261500</v>
      </c>
    </row>
    <row r="4519" spans="1:20" hidden="1" x14ac:dyDescent="0.3">
      <c r="A4519" t="s">
        <v>6619</v>
      </c>
      <c r="B4519" t="s">
        <v>213</v>
      </c>
      <c r="C4519" t="s">
        <v>140</v>
      </c>
      <c r="D4519" t="s">
        <v>6620</v>
      </c>
      <c r="E4519" t="s">
        <v>96</v>
      </c>
      <c r="F4519" t="s">
        <v>6621</v>
      </c>
      <c r="G4519" t="s">
        <v>54</v>
      </c>
      <c r="H4519" t="s">
        <v>55</v>
      </c>
      <c r="I4519">
        <v>2100</v>
      </c>
      <c r="J4519">
        <v>2730</v>
      </c>
      <c r="K4519">
        <v>2</v>
      </c>
      <c r="L4519">
        <v>4200</v>
      </c>
      <c r="M4519">
        <v>5460</v>
      </c>
      <c r="N4519" t="s">
        <v>50</v>
      </c>
      <c r="O4519">
        <f t="shared" si="140"/>
        <v>2990</v>
      </c>
      <c r="P4519" s="13">
        <f t="shared" si="141"/>
        <v>2058264</v>
      </c>
      <c r="Q4519" s="13">
        <f>SUMIFS(M:M,E:E,Online_eCommerce[[#This Row],[Status]])</f>
        <v>21233992</v>
      </c>
      <c r="R4519" s="13">
        <f>SUMIFS(L:L,H:H,Online_eCommerce[[#This Row],[Brand]])</f>
        <v>2267380</v>
      </c>
      <c r="S4519" s="13">
        <f>SUMIF(H:H,Online_eCommerce[[#This Row],[Brand]],M:M)</f>
        <v>2947594</v>
      </c>
      <c r="T4519" s="13">
        <f>SUMIF(N:N,Online_eCommerce[[#This Row],[Assigned Supervisor]],L:L)</f>
        <v>12100590</v>
      </c>
    </row>
    <row r="4520" spans="1:20" hidden="1" x14ac:dyDescent="0.3">
      <c r="A4520" t="s">
        <v>6622</v>
      </c>
      <c r="B4520" t="s">
        <v>215</v>
      </c>
      <c r="C4520" t="s">
        <v>145</v>
      </c>
      <c r="D4520" t="s">
        <v>6623</v>
      </c>
      <c r="E4520" t="s">
        <v>18</v>
      </c>
      <c r="F4520" t="s">
        <v>174</v>
      </c>
      <c r="G4520" t="s">
        <v>60</v>
      </c>
      <c r="H4520" t="s">
        <v>61</v>
      </c>
      <c r="I4520">
        <v>1150</v>
      </c>
      <c r="J4520">
        <v>1495</v>
      </c>
      <c r="K4520">
        <v>1</v>
      </c>
      <c r="L4520">
        <v>1150</v>
      </c>
      <c r="M4520">
        <v>1495</v>
      </c>
      <c r="N4520" t="s">
        <v>56</v>
      </c>
      <c r="O4520">
        <f t="shared" si="140"/>
        <v>3315</v>
      </c>
      <c r="P4520" s="13">
        <f t="shared" si="141"/>
        <v>2757859</v>
      </c>
      <c r="Q4520" s="13">
        <f>SUMIFS(M:M,E:E,Online_eCommerce[[#This Row],[Status]])</f>
        <v>28340455</v>
      </c>
      <c r="R4520" s="13">
        <f>SUMIFS(L:L,H:H,Online_eCommerce[[#This Row],[Brand]])</f>
        <v>10950150</v>
      </c>
      <c r="S4520" s="13">
        <f>SUMIF(H:H,Online_eCommerce[[#This Row],[Brand]],M:M)</f>
        <v>14235195</v>
      </c>
      <c r="T4520" s="13">
        <f>SUMIF(N:N,Online_eCommerce[[#This Row],[Assigned Supervisor]],L:L)</f>
        <v>11733610</v>
      </c>
    </row>
    <row r="4521" spans="1:20" hidden="1" x14ac:dyDescent="0.3">
      <c r="A4521" t="s">
        <v>6624</v>
      </c>
      <c r="B4521" t="s">
        <v>306</v>
      </c>
      <c r="C4521" t="s">
        <v>150</v>
      </c>
      <c r="D4521" t="s">
        <v>6625</v>
      </c>
      <c r="E4521" t="s">
        <v>161</v>
      </c>
      <c r="F4521" t="s">
        <v>179</v>
      </c>
      <c r="G4521" t="s">
        <v>66</v>
      </c>
      <c r="H4521" t="s">
        <v>21</v>
      </c>
      <c r="I4521">
        <v>350</v>
      </c>
      <c r="J4521">
        <v>455</v>
      </c>
      <c r="K4521">
        <v>3</v>
      </c>
      <c r="L4521">
        <v>1050</v>
      </c>
      <c r="M4521">
        <v>1365</v>
      </c>
      <c r="N4521" t="s">
        <v>22</v>
      </c>
      <c r="O4521">
        <f t="shared" si="140"/>
        <v>1690</v>
      </c>
      <c r="P4521" s="13">
        <f t="shared" si="141"/>
        <v>2154984</v>
      </c>
      <c r="Q4521" s="13">
        <f>SUMIFS(M:M,E:E,Online_eCommerce[[#This Row],[Status]])</f>
        <v>21103186</v>
      </c>
      <c r="R4521" s="13">
        <f>SUMIFS(L:L,H:H,Online_eCommerce[[#This Row],[Brand]])</f>
        <v>12435650</v>
      </c>
      <c r="S4521" s="13">
        <f>SUMIF(H:H,Online_eCommerce[[#This Row],[Brand]],M:M)</f>
        <v>16166345</v>
      </c>
      <c r="T4521" s="13">
        <f>SUMIF(N:N,Online_eCommerce[[#This Row],[Assigned Supervisor]],L:L)</f>
        <v>13693220</v>
      </c>
    </row>
    <row r="4522" spans="1:20" x14ac:dyDescent="0.3">
      <c r="A4522" t="s">
        <v>6626</v>
      </c>
      <c r="B4522" t="s">
        <v>528</v>
      </c>
      <c r="C4522" t="s">
        <v>155</v>
      </c>
      <c r="D4522" t="s">
        <v>6627</v>
      </c>
      <c r="E4522" t="s">
        <v>46</v>
      </c>
      <c r="F4522" t="s">
        <v>183</v>
      </c>
      <c r="G4522" t="s">
        <v>71</v>
      </c>
      <c r="H4522" t="s">
        <v>61</v>
      </c>
      <c r="I4522">
        <v>9500</v>
      </c>
      <c r="J4522">
        <v>12350</v>
      </c>
      <c r="K4522">
        <v>2</v>
      </c>
      <c r="L4522">
        <v>19000</v>
      </c>
      <c r="M4522">
        <v>24700</v>
      </c>
      <c r="N4522" t="s">
        <v>28</v>
      </c>
      <c r="O4522">
        <f t="shared" si="140"/>
        <v>9750</v>
      </c>
      <c r="P4522" s="13">
        <f t="shared" si="141"/>
        <v>2753348</v>
      </c>
      <c r="Q4522" s="13">
        <f>SUMIFS(M:M,E:E,Online_eCommerce[[#This Row],[Status]])</f>
        <v>28620410</v>
      </c>
      <c r="R4522" s="13">
        <f>SUMIFS(L:L,H:H,Online_eCommerce[[#This Row],[Brand]])</f>
        <v>10950150</v>
      </c>
      <c r="S4522" s="13">
        <f>SUMIF(H:H,Online_eCommerce[[#This Row],[Brand]],M:M)</f>
        <v>14235195</v>
      </c>
      <c r="T4522" s="13">
        <f>SUMIF(N:N,Online_eCommerce[[#This Row],[Assigned Supervisor]],L:L)</f>
        <v>12220830</v>
      </c>
    </row>
    <row r="4523" spans="1:20" hidden="1" x14ac:dyDescent="0.3">
      <c r="A4523" t="s">
        <v>6628</v>
      </c>
      <c r="B4523" t="s">
        <v>73</v>
      </c>
      <c r="C4523" t="s">
        <v>160</v>
      </c>
      <c r="D4523" t="s">
        <v>6629</v>
      </c>
      <c r="E4523" t="s">
        <v>96</v>
      </c>
      <c r="F4523" t="s">
        <v>6630</v>
      </c>
      <c r="G4523" t="s">
        <v>77</v>
      </c>
      <c r="H4523" t="s">
        <v>142</v>
      </c>
      <c r="I4523">
        <v>10000</v>
      </c>
      <c r="J4523">
        <v>13000</v>
      </c>
      <c r="K4523">
        <v>4</v>
      </c>
      <c r="L4523">
        <v>40000</v>
      </c>
      <c r="M4523">
        <v>52000</v>
      </c>
      <c r="N4523" t="s">
        <v>35</v>
      </c>
      <c r="O4523">
        <f t="shared" si="140"/>
        <v>39000</v>
      </c>
      <c r="P4523" s="13">
        <f t="shared" si="141"/>
        <v>2303483</v>
      </c>
      <c r="Q4523" s="13">
        <f>SUMIFS(M:M,E:E,Online_eCommerce[[#This Row],[Status]])</f>
        <v>21233992</v>
      </c>
      <c r="R4523" s="13">
        <f>SUMIFS(L:L,H:H,Online_eCommerce[[#This Row],[Brand]])</f>
        <v>6192500</v>
      </c>
      <c r="S4523" s="13">
        <f>SUMIF(H:H,Online_eCommerce[[#This Row],[Brand]],M:M)</f>
        <v>8050250</v>
      </c>
      <c r="T4523" s="13">
        <f>SUMIF(N:N,Online_eCommerce[[#This Row],[Assigned Supervisor]],L:L)</f>
        <v>14373360</v>
      </c>
    </row>
    <row r="4524" spans="1:20" hidden="1" x14ac:dyDescent="0.3">
      <c r="A4524" t="s">
        <v>6631</v>
      </c>
      <c r="B4524" t="s">
        <v>80</v>
      </c>
      <c r="C4524" t="s">
        <v>165</v>
      </c>
      <c r="D4524" t="s">
        <v>6632</v>
      </c>
      <c r="E4524" t="s">
        <v>18</v>
      </c>
      <c r="F4524" t="s">
        <v>6633</v>
      </c>
      <c r="G4524" t="s">
        <v>20</v>
      </c>
      <c r="H4524" t="s">
        <v>21</v>
      </c>
      <c r="I4524">
        <v>6500</v>
      </c>
      <c r="J4524">
        <v>8450</v>
      </c>
      <c r="K4524">
        <v>1</v>
      </c>
      <c r="L4524">
        <v>6500</v>
      </c>
      <c r="M4524">
        <v>8450</v>
      </c>
      <c r="N4524" t="s">
        <v>42</v>
      </c>
      <c r="O4524">
        <f t="shared" si="140"/>
        <v>8450</v>
      </c>
      <c r="P4524" s="13">
        <f t="shared" si="141"/>
        <v>2674087</v>
      </c>
      <c r="Q4524" s="13">
        <f>SUMIFS(M:M,E:E,Online_eCommerce[[#This Row],[Status]])</f>
        <v>28340455</v>
      </c>
      <c r="R4524" s="13">
        <f>SUMIFS(L:L,H:H,Online_eCommerce[[#This Row],[Brand]])</f>
        <v>12435650</v>
      </c>
      <c r="S4524" s="13">
        <f>SUMIF(H:H,Online_eCommerce[[#This Row],[Brand]],M:M)</f>
        <v>16166345</v>
      </c>
      <c r="T4524" s="13">
        <f>SUMIF(N:N,Online_eCommerce[[#This Row],[Assigned Supervisor]],L:L)</f>
        <v>12261500</v>
      </c>
    </row>
    <row r="4525" spans="1:20" hidden="1" x14ac:dyDescent="0.3">
      <c r="A4525" t="s">
        <v>6634</v>
      </c>
      <c r="B4525" t="s">
        <v>85</v>
      </c>
      <c r="C4525" t="s">
        <v>168</v>
      </c>
      <c r="D4525" t="s">
        <v>6635</v>
      </c>
      <c r="E4525" t="s">
        <v>161</v>
      </c>
      <c r="F4525" t="s">
        <v>6636</v>
      </c>
      <c r="G4525" t="s">
        <v>26</v>
      </c>
      <c r="H4525" t="s">
        <v>27</v>
      </c>
      <c r="I4525">
        <v>8500</v>
      </c>
      <c r="J4525">
        <v>11050</v>
      </c>
      <c r="K4525">
        <v>1</v>
      </c>
      <c r="L4525">
        <v>8500</v>
      </c>
      <c r="M4525">
        <v>11050</v>
      </c>
      <c r="N4525" t="s">
        <v>50</v>
      </c>
      <c r="O4525">
        <f t="shared" si="140"/>
        <v>33150</v>
      </c>
      <c r="P4525" s="13">
        <f t="shared" si="141"/>
        <v>1937780</v>
      </c>
      <c r="Q4525" s="13">
        <f>SUMIFS(M:M,E:E,Online_eCommerce[[#This Row],[Status]])</f>
        <v>21103186</v>
      </c>
      <c r="R4525" s="13">
        <f>SUMIFS(L:L,H:H,Online_eCommerce[[#This Row],[Brand]])</f>
        <v>14431000</v>
      </c>
      <c r="S4525" s="13">
        <f>SUMIF(H:H,Online_eCommerce[[#This Row],[Brand]],M:M)</f>
        <v>18760300</v>
      </c>
      <c r="T4525" s="13">
        <f>SUMIF(N:N,Online_eCommerce[[#This Row],[Assigned Supervisor]],L:L)</f>
        <v>12100590</v>
      </c>
    </row>
    <row r="4526" spans="1:20" x14ac:dyDescent="0.3">
      <c r="A4526" t="s">
        <v>6637</v>
      </c>
      <c r="B4526" t="s">
        <v>90</v>
      </c>
      <c r="C4526" t="s">
        <v>172</v>
      </c>
      <c r="D4526" t="s">
        <v>6638</v>
      </c>
      <c r="E4526" t="s">
        <v>46</v>
      </c>
      <c r="F4526" t="s">
        <v>32</v>
      </c>
      <c r="G4526" t="s">
        <v>33</v>
      </c>
      <c r="H4526" t="s">
        <v>34</v>
      </c>
      <c r="I4526">
        <v>7000</v>
      </c>
      <c r="J4526">
        <v>9100</v>
      </c>
      <c r="K4526">
        <v>3</v>
      </c>
      <c r="L4526">
        <v>21000</v>
      </c>
      <c r="M4526">
        <v>27300</v>
      </c>
      <c r="N4526" t="s">
        <v>56</v>
      </c>
      <c r="O4526">
        <f t="shared" si="140"/>
        <v>18200</v>
      </c>
      <c r="P4526" s="13">
        <f t="shared" si="141"/>
        <v>2640274</v>
      </c>
      <c r="Q4526" s="13">
        <f>SUMIFS(M:M,E:E,Online_eCommerce[[#This Row],[Status]])</f>
        <v>28620410</v>
      </c>
      <c r="R4526" s="13">
        <f>SUMIFS(L:L,H:H,Online_eCommerce[[#This Row],[Brand]])</f>
        <v>10087000</v>
      </c>
      <c r="S4526" s="13">
        <f>SUMIF(H:H,Online_eCommerce[[#This Row],[Brand]],M:M)</f>
        <v>13113100</v>
      </c>
      <c r="T4526" s="13">
        <f>SUMIF(N:N,Online_eCommerce[[#This Row],[Assigned Supervisor]],L:L)</f>
        <v>11733610</v>
      </c>
    </row>
    <row r="4527" spans="1:20" hidden="1" x14ac:dyDescent="0.3">
      <c r="A4527" t="s">
        <v>6639</v>
      </c>
      <c r="B4527" t="s">
        <v>232</v>
      </c>
      <c r="C4527" t="s">
        <v>177</v>
      </c>
      <c r="D4527" t="s">
        <v>6640</v>
      </c>
      <c r="E4527" t="s">
        <v>96</v>
      </c>
      <c r="F4527" t="s">
        <v>6641</v>
      </c>
      <c r="G4527" t="s">
        <v>163</v>
      </c>
      <c r="H4527" t="s">
        <v>41</v>
      </c>
      <c r="I4527">
        <v>6550</v>
      </c>
      <c r="J4527">
        <v>8515</v>
      </c>
      <c r="K4527">
        <v>2</v>
      </c>
      <c r="L4527">
        <v>13100</v>
      </c>
      <c r="M4527">
        <v>17030</v>
      </c>
      <c r="N4527" t="s">
        <v>22</v>
      </c>
      <c r="O4527">
        <f t="shared" si="140"/>
        <v>13650</v>
      </c>
      <c r="P4527" s="13">
        <f t="shared" si="141"/>
        <v>1863810</v>
      </c>
      <c r="Q4527" s="13">
        <f>SUMIFS(M:M,E:E,Online_eCommerce[[#This Row],[Status]])</f>
        <v>21233992</v>
      </c>
      <c r="R4527" s="13">
        <f>SUMIFS(L:L,H:H,Online_eCommerce[[#This Row],[Brand]])</f>
        <v>4260400</v>
      </c>
      <c r="S4527" s="13">
        <f>SUMIF(H:H,Online_eCommerce[[#This Row],[Brand]],M:M)</f>
        <v>5538520</v>
      </c>
      <c r="T4527" s="13">
        <f>SUMIF(N:N,Online_eCommerce[[#This Row],[Assigned Supervisor]],L:L)</f>
        <v>13693220</v>
      </c>
    </row>
    <row r="4528" spans="1:20" hidden="1" x14ac:dyDescent="0.3">
      <c r="A4528" t="s">
        <v>6642</v>
      </c>
      <c r="B4528" t="s">
        <v>235</v>
      </c>
      <c r="C4528" t="s">
        <v>181</v>
      </c>
      <c r="D4528" t="s">
        <v>6643</v>
      </c>
      <c r="E4528" t="s">
        <v>18</v>
      </c>
      <c r="F4528" t="s">
        <v>47</v>
      </c>
      <c r="G4528" t="s">
        <v>66</v>
      </c>
      <c r="H4528" t="s">
        <v>49</v>
      </c>
      <c r="I4528">
        <v>7650</v>
      </c>
      <c r="J4528">
        <v>9945</v>
      </c>
      <c r="K4528">
        <v>3</v>
      </c>
      <c r="L4528">
        <v>22950</v>
      </c>
      <c r="M4528">
        <v>29835</v>
      </c>
      <c r="N4528" t="s">
        <v>28</v>
      </c>
      <c r="O4528">
        <f t="shared" si="140"/>
        <v>1690</v>
      </c>
      <c r="P4528" s="13">
        <f t="shared" si="141"/>
        <v>2577458</v>
      </c>
      <c r="Q4528" s="13">
        <f>SUMIFS(M:M,E:E,Online_eCommerce[[#This Row],[Status]])</f>
        <v>28340455</v>
      </c>
      <c r="R4528" s="13">
        <f>SUMIFS(L:L,H:H,Online_eCommerce[[#This Row],[Brand]])</f>
        <v>4528350</v>
      </c>
      <c r="S4528" s="13">
        <f>SUMIF(H:H,Online_eCommerce[[#This Row],[Brand]],M:M)</f>
        <v>5886855</v>
      </c>
      <c r="T4528" s="13">
        <f>SUMIF(N:N,Online_eCommerce[[#This Row],[Assigned Supervisor]],L:L)</f>
        <v>12220830</v>
      </c>
    </row>
    <row r="4529" spans="1:20" hidden="1" x14ac:dyDescent="0.3">
      <c r="A4529" t="s">
        <v>6644</v>
      </c>
      <c r="B4529" t="s">
        <v>104</v>
      </c>
      <c r="C4529" t="s">
        <v>185</v>
      </c>
      <c r="D4529" t="s">
        <v>6645</v>
      </c>
      <c r="E4529" t="s">
        <v>161</v>
      </c>
      <c r="F4529" t="s">
        <v>53</v>
      </c>
      <c r="G4529" t="s">
        <v>54</v>
      </c>
      <c r="H4529" t="s">
        <v>55</v>
      </c>
      <c r="I4529">
        <v>1150</v>
      </c>
      <c r="J4529">
        <v>1495</v>
      </c>
      <c r="K4529">
        <v>1</v>
      </c>
      <c r="L4529">
        <v>1150</v>
      </c>
      <c r="M4529">
        <v>1495</v>
      </c>
      <c r="N4529" t="s">
        <v>35</v>
      </c>
      <c r="O4529">
        <f t="shared" si="140"/>
        <v>2990</v>
      </c>
      <c r="P4529" s="13">
        <f t="shared" si="141"/>
        <v>2091596</v>
      </c>
      <c r="Q4529" s="13">
        <f>SUMIFS(M:M,E:E,Online_eCommerce[[#This Row],[Status]])</f>
        <v>21103186</v>
      </c>
      <c r="R4529" s="13">
        <f>SUMIFS(L:L,H:H,Online_eCommerce[[#This Row],[Brand]])</f>
        <v>2267380</v>
      </c>
      <c r="S4529" s="13">
        <f>SUMIF(H:H,Online_eCommerce[[#This Row],[Brand]],M:M)</f>
        <v>2947594</v>
      </c>
      <c r="T4529" s="13">
        <f>SUMIF(N:N,Online_eCommerce[[#This Row],[Assigned Supervisor]],L:L)</f>
        <v>14373360</v>
      </c>
    </row>
    <row r="4530" spans="1:20" x14ac:dyDescent="0.3">
      <c r="A4530" t="s">
        <v>6646</v>
      </c>
      <c r="B4530" t="s">
        <v>109</v>
      </c>
      <c r="C4530" t="s">
        <v>189</v>
      </c>
      <c r="D4530" t="s">
        <v>6647</v>
      </c>
      <c r="E4530" t="s">
        <v>46</v>
      </c>
      <c r="F4530" t="s">
        <v>59</v>
      </c>
      <c r="G4530" t="s">
        <v>60</v>
      </c>
      <c r="H4530" t="s">
        <v>61</v>
      </c>
      <c r="I4530">
        <v>850</v>
      </c>
      <c r="J4530">
        <v>1105</v>
      </c>
      <c r="K4530">
        <v>2</v>
      </c>
      <c r="L4530">
        <v>1700</v>
      </c>
      <c r="M4530">
        <v>2210</v>
      </c>
      <c r="N4530" t="s">
        <v>42</v>
      </c>
      <c r="O4530">
        <f t="shared" si="140"/>
        <v>3315</v>
      </c>
      <c r="P4530" s="13">
        <f t="shared" si="141"/>
        <v>2740777</v>
      </c>
      <c r="Q4530" s="13">
        <f>SUMIFS(M:M,E:E,Online_eCommerce[[#This Row],[Status]])</f>
        <v>28620410</v>
      </c>
      <c r="R4530" s="13">
        <f>SUMIFS(L:L,H:H,Online_eCommerce[[#This Row],[Brand]])</f>
        <v>10950150</v>
      </c>
      <c r="S4530" s="13">
        <f>SUMIF(H:H,Online_eCommerce[[#This Row],[Brand]],M:M)</f>
        <v>14235195</v>
      </c>
      <c r="T4530" s="13">
        <f>SUMIF(N:N,Online_eCommerce[[#This Row],[Assigned Supervisor]],L:L)</f>
        <v>12261500</v>
      </c>
    </row>
    <row r="4531" spans="1:20" hidden="1" x14ac:dyDescent="0.3">
      <c r="A4531" t="s">
        <v>6648</v>
      </c>
      <c r="B4531" t="s">
        <v>114</v>
      </c>
      <c r="C4531" t="s">
        <v>193</v>
      </c>
      <c r="D4531" t="s">
        <v>6649</v>
      </c>
      <c r="E4531" t="s">
        <v>96</v>
      </c>
      <c r="F4531" t="s">
        <v>65</v>
      </c>
      <c r="G4531" t="s">
        <v>66</v>
      </c>
      <c r="H4531" t="s">
        <v>21</v>
      </c>
      <c r="I4531">
        <v>650</v>
      </c>
      <c r="J4531">
        <v>845</v>
      </c>
      <c r="K4531">
        <v>4</v>
      </c>
      <c r="L4531">
        <v>2600</v>
      </c>
      <c r="M4531">
        <v>3380</v>
      </c>
      <c r="N4531" t="s">
        <v>50</v>
      </c>
      <c r="O4531">
        <f t="shared" si="140"/>
        <v>1690</v>
      </c>
      <c r="P4531" s="13">
        <f t="shared" si="141"/>
        <v>2074774</v>
      </c>
      <c r="Q4531" s="13">
        <f>SUMIFS(M:M,E:E,Online_eCommerce[[#This Row],[Status]])</f>
        <v>21233992</v>
      </c>
      <c r="R4531" s="13">
        <f>SUMIFS(L:L,H:H,Online_eCommerce[[#This Row],[Brand]])</f>
        <v>12435650</v>
      </c>
      <c r="S4531" s="13">
        <f>SUMIF(H:H,Online_eCommerce[[#This Row],[Brand]],M:M)</f>
        <v>16166345</v>
      </c>
      <c r="T4531" s="13">
        <f>SUMIF(N:N,Online_eCommerce[[#This Row],[Assigned Supervisor]],L:L)</f>
        <v>12100590</v>
      </c>
    </row>
    <row r="4532" spans="1:20" hidden="1" x14ac:dyDescent="0.3">
      <c r="A4532" t="s">
        <v>6650</v>
      </c>
      <c r="B4532" t="s">
        <v>119</v>
      </c>
      <c r="C4532" t="s">
        <v>197</v>
      </c>
      <c r="D4532" t="s">
        <v>6651</v>
      </c>
      <c r="E4532" t="s">
        <v>18</v>
      </c>
      <c r="F4532" t="s">
        <v>70</v>
      </c>
      <c r="G4532" t="s">
        <v>71</v>
      </c>
      <c r="H4532" t="s">
        <v>61</v>
      </c>
      <c r="I4532">
        <v>7500</v>
      </c>
      <c r="J4532">
        <v>9750</v>
      </c>
      <c r="K4532">
        <v>2</v>
      </c>
      <c r="L4532">
        <v>15000</v>
      </c>
      <c r="M4532">
        <v>19500</v>
      </c>
      <c r="N4532" t="s">
        <v>56</v>
      </c>
      <c r="O4532">
        <f t="shared" si="140"/>
        <v>9750</v>
      </c>
      <c r="P4532" s="13">
        <f t="shared" si="141"/>
        <v>2829840</v>
      </c>
      <c r="Q4532" s="13">
        <f>SUMIFS(M:M,E:E,Online_eCommerce[[#This Row],[Status]])</f>
        <v>28340455</v>
      </c>
      <c r="R4532" s="13">
        <f>SUMIFS(L:L,H:H,Online_eCommerce[[#This Row],[Brand]])</f>
        <v>10950150</v>
      </c>
      <c r="S4532" s="13">
        <f>SUMIF(H:H,Online_eCommerce[[#This Row],[Brand]],M:M)</f>
        <v>14235195</v>
      </c>
      <c r="T4532" s="13">
        <f>SUMIF(N:N,Online_eCommerce[[#This Row],[Assigned Supervisor]],L:L)</f>
        <v>11733610</v>
      </c>
    </row>
    <row r="4533" spans="1:20" hidden="1" x14ac:dyDescent="0.3">
      <c r="A4533" t="s">
        <v>6652</v>
      </c>
      <c r="B4533" t="s">
        <v>124</v>
      </c>
      <c r="C4533" t="s">
        <v>199</v>
      </c>
      <c r="D4533" t="s">
        <v>6653</v>
      </c>
      <c r="E4533" t="s">
        <v>161</v>
      </c>
      <c r="F4533" t="s">
        <v>6630</v>
      </c>
      <c r="G4533" t="s">
        <v>77</v>
      </c>
      <c r="H4533" t="s">
        <v>78</v>
      </c>
      <c r="I4533">
        <v>10000</v>
      </c>
      <c r="J4533">
        <v>13000</v>
      </c>
      <c r="K4533">
        <v>1</v>
      </c>
      <c r="L4533">
        <v>10000</v>
      </c>
      <c r="M4533">
        <v>13000</v>
      </c>
      <c r="N4533" t="s">
        <v>22</v>
      </c>
      <c r="O4533">
        <f t="shared" si="140"/>
        <v>39000</v>
      </c>
      <c r="P4533" s="13">
        <f t="shared" si="141"/>
        <v>1947361</v>
      </c>
      <c r="Q4533" s="13">
        <f>SUMIFS(M:M,E:E,Online_eCommerce[[#This Row],[Status]])</f>
        <v>21103186</v>
      </c>
      <c r="R4533" s="13">
        <f>SUMIFS(L:L,H:H,Online_eCommerce[[#This Row],[Brand]])</f>
        <v>3720000</v>
      </c>
      <c r="S4533" s="13">
        <f>SUMIF(H:H,Online_eCommerce[[#This Row],[Brand]],M:M)</f>
        <v>4836000</v>
      </c>
      <c r="T4533" s="13">
        <f>SUMIF(N:N,Online_eCommerce[[#This Row],[Assigned Supervisor]],L:L)</f>
        <v>13693220</v>
      </c>
    </row>
    <row r="4534" spans="1:20" x14ac:dyDescent="0.3">
      <c r="A4534" t="s">
        <v>6654</v>
      </c>
      <c r="B4534" t="s">
        <v>128</v>
      </c>
      <c r="C4534" t="s">
        <v>203</v>
      </c>
      <c r="D4534" t="s">
        <v>6655</v>
      </c>
      <c r="E4534" t="s">
        <v>46</v>
      </c>
      <c r="F4534" t="s">
        <v>6656</v>
      </c>
      <c r="G4534" t="s">
        <v>20</v>
      </c>
      <c r="H4534" t="s">
        <v>21</v>
      </c>
      <c r="I4534">
        <v>10500</v>
      </c>
      <c r="J4534">
        <v>13650</v>
      </c>
      <c r="K4534">
        <v>1</v>
      </c>
      <c r="L4534">
        <v>10500</v>
      </c>
      <c r="M4534">
        <v>13650</v>
      </c>
      <c r="N4534" t="s">
        <v>28</v>
      </c>
      <c r="O4534">
        <f t="shared" si="140"/>
        <v>8450</v>
      </c>
      <c r="P4534" s="13">
        <f t="shared" si="141"/>
        <v>2559635</v>
      </c>
      <c r="Q4534" s="13">
        <f>SUMIFS(M:M,E:E,Online_eCommerce[[#This Row],[Status]])</f>
        <v>28620410</v>
      </c>
      <c r="R4534" s="13">
        <f>SUMIFS(L:L,H:H,Online_eCommerce[[#This Row],[Brand]])</f>
        <v>12435650</v>
      </c>
      <c r="S4534" s="13">
        <f>SUMIF(H:H,Online_eCommerce[[#This Row],[Brand]],M:M)</f>
        <v>16166345</v>
      </c>
      <c r="T4534" s="13">
        <f>SUMIF(N:N,Online_eCommerce[[#This Row],[Assigned Supervisor]],L:L)</f>
        <v>12220830</v>
      </c>
    </row>
    <row r="4535" spans="1:20" hidden="1" x14ac:dyDescent="0.3">
      <c r="A4535" t="s">
        <v>6657</v>
      </c>
      <c r="B4535" t="s">
        <v>131</v>
      </c>
      <c r="C4535" t="s">
        <v>205</v>
      </c>
      <c r="D4535" t="s">
        <v>6658</v>
      </c>
      <c r="E4535" t="s">
        <v>96</v>
      </c>
      <c r="F4535" t="s">
        <v>88</v>
      </c>
      <c r="G4535" t="s">
        <v>26</v>
      </c>
      <c r="H4535" t="s">
        <v>27</v>
      </c>
      <c r="I4535">
        <v>8500</v>
      </c>
      <c r="J4535">
        <v>11050</v>
      </c>
      <c r="K4535">
        <v>1</v>
      </c>
      <c r="L4535">
        <v>8500</v>
      </c>
      <c r="M4535">
        <v>11050</v>
      </c>
      <c r="N4535" t="s">
        <v>35</v>
      </c>
      <c r="O4535">
        <f t="shared" si="140"/>
        <v>33150</v>
      </c>
      <c r="P4535" s="13">
        <f t="shared" si="141"/>
        <v>1983254</v>
      </c>
      <c r="Q4535" s="13">
        <f>SUMIFS(M:M,E:E,Online_eCommerce[[#This Row],[Status]])</f>
        <v>21233992</v>
      </c>
      <c r="R4535" s="13">
        <f>SUMIFS(L:L,H:H,Online_eCommerce[[#This Row],[Brand]])</f>
        <v>14431000</v>
      </c>
      <c r="S4535" s="13">
        <f>SUMIF(H:H,Online_eCommerce[[#This Row],[Brand]],M:M)</f>
        <v>18760300</v>
      </c>
      <c r="T4535" s="13">
        <f>SUMIF(N:N,Online_eCommerce[[#This Row],[Assigned Supervisor]],L:L)</f>
        <v>14373360</v>
      </c>
    </row>
    <row r="4536" spans="1:20" hidden="1" x14ac:dyDescent="0.3">
      <c r="A4536" t="s">
        <v>6659</v>
      </c>
      <c r="B4536" t="s">
        <v>135</v>
      </c>
      <c r="C4536" t="s">
        <v>208</v>
      </c>
      <c r="D4536" t="s">
        <v>6660</v>
      </c>
      <c r="E4536" t="s">
        <v>18</v>
      </c>
      <c r="F4536" t="s">
        <v>32</v>
      </c>
      <c r="G4536" t="s">
        <v>33</v>
      </c>
      <c r="H4536" t="s">
        <v>34</v>
      </c>
      <c r="I4536">
        <v>7000</v>
      </c>
      <c r="J4536">
        <v>9100</v>
      </c>
      <c r="K4536">
        <v>2</v>
      </c>
      <c r="L4536">
        <v>14000</v>
      </c>
      <c r="M4536">
        <v>18200</v>
      </c>
      <c r="N4536" t="s">
        <v>42</v>
      </c>
      <c r="O4536">
        <f t="shared" si="140"/>
        <v>18200</v>
      </c>
      <c r="P4536" s="13">
        <f t="shared" si="141"/>
        <v>2746575</v>
      </c>
      <c r="Q4536" s="13">
        <f>SUMIFS(M:M,E:E,Online_eCommerce[[#This Row],[Status]])</f>
        <v>28340455</v>
      </c>
      <c r="R4536" s="13">
        <f>SUMIFS(L:L,H:H,Online_eCommerce[[#This Row],[Brand]])</f>
        <v>10087000</v>
      </c>
      <c r="S4536" s="13">
        <f>SUMIF(H:H,Online_eCommerce[[#This Row],[Brand]],M:M)</f>
        <v>13113100</v>
      </c>
      <c r="T4536" s="13">
        <f>SUMIF(N:N,Online_eCommerce[[#This Row],[Assigned Supervisor]],L:L)</f>
        <v>12261500</v>
      </c>
    </row>
    <row r="4537" spans="1:20" hidden="1" x14ac:dyDescent="0.3">
      <c r="A4537" t="s">
        <v>6661</v>
      </c>
      <c r="B4537" t="s">
        <v>139</v>
      </c>
      <c r="C4537" t="s">
        <v>211</v>
      </c>
      <c r="D4537" t="s">
        <v>6662</v>
      </c>
      <c r="E4537" t="s">
        <v>161</v>
      </c>
      <c r="F4537" t="s">
        <v>6663</v>
      </c>
      <c r="G4537" t="s">
        <v>163</v>
      </c>
      <c r="H4537" t="s">
        <v>41</v>
      </c>
      <c r="I4537">
        <v>1680</v>
      </c>
      <c r="J4537">
        <v>2184</v>
      </c>
      <c r="K4537">
        <v>1</v>
      </c>
      <c r="L4537">
        <v>1680</v>
      </c>
      <c r="M4537">
        <v>2184</v>
      </c>
      <c r="N4537" t="s">
        <v>50</v>
      </c>
      <c r="O4537">
        <f t="shared" si="140"/>
        <v>13650</v>
      </c>
      <c r="P4537" s="13">
        <f t="shared" si="141"/>
        <v>1809847</v>
      </c>
      <c r="Q4537" s="13">
        <f>SUMIFS(M:M,E:E,Online_eCommerce[[#This Row],[Status]])</f>
        <v>21103186</v>
      </c>
      <c r="R4537" s="13">
        <f>SUMIFS(L:L,H:H,Online_eCommerce[[#This Row],[Brand]])</f>
        <v>4260400</v>
      </c>
      <c r="S4537" s="13">
        <f>SUMIF(H:H,Online_eCommerce[[#This Row],[Brand]],M:M)</f>
        <v>5538520</v>
      </c>
      <c r="T4537" s="13">
        <f>SUMIF(N:N,Online_eCommerce[[#This Row],[Assigned Supervisor]],L:L)</f>
        <v>12100590</v>
      </c>
    </row>
    <row r="4538" spans="1:20" x14ac:dyDescent="0.3">
      <c r="A4538" t="s">
        <v>6664</v>
      </c>
      <c r="B4538" t="s">
        <v>144</v>
      </c>
      <c r="C4538" t="s">
        <v>16</v>
      </c>
      <c r="D4538" t="s">
        <v>6665</v>
      </c>
      <c r="E4538" t="s">
        <v>46</v>
      </c>
      <c r="F4538" t="s">
        <v>101</v>
      </c>
      <c r="G4538" t="s">
        <v>66</v>
      </c>
      <c r="H4538" t="s">
        <v>102</v>
      </c>
      <c r="I4538">
        <v>6540</v>
      </c>
      <c r="J4538">
        <v>8502</v>
      </c>
      <c r="K4538">
        <v>1</v>
      </c>
      <c r="L4538">
        <v>6540</v>
      </c>
      <c r="M4538">
        <v>8502</v>
      </c>
      <c r="N4538" t="s">
        <v>56</v>
      </c>
      <c r="O4538">
        <f t="shared" si="140"/>
        <v>1690</v>
      </c>
      <c r="P4538" s="13">
        <f t="shared" si="141"/>
        <v>2751814</v>
      </c>
      <c r="Q4538" s="13">
        <f>SUMIFS(M:M,E:E,Online_eCommerce[[#This Row],[Status]])</f>
        <v>28620410</v>
      </c>
      <c r="R4538" s="13">
        <f>SUMIFS(L:L,H:H,Online_eCommerce[[#This Row],[Brand]])</f>
        <v>2465580</v>
      </c>
      <c r="S4538" s="13">
        <f>SUMIF(H:H,Online_eCommerce[[#This Row],[Brand]],M:M)</f>
        <v>3205254</v>
      </c>
      <c r="T4538" s="13">
        <f>SUMIF(N:N,Online_eCommerce[[#This Row],[Assigned Supervisor]],L:L)</f>
        <v>11733610</v>
      </c>
    </row>
    <row r="4539" spans="1:20" hidden="1" x14ac:dyDescent="0.3">
      <c r="A4539" t="s">
        <v>6666</v>
      </c>
      <c r="B4539" t="s">
        <v>149</v>
      </c>
      <c r="C4539" t="s">
        <v>24</v>
      </c>
      <c r="D4539" t="s">
        <v>6667</v>
      </c>
      <c r="E4539" t="s">
        <v>96</v>
      </c>
      <c r="F4539" t="s">
        <v>107</v>
      </c>
      <c r="G4539" t="s">
        <v>54</v>
      </c>
      <c r="H4539" t="s">
        <v>55</v>
      </c>
      <c r="I4539">
        <v>2680</v>
      </c>
      <c r="J4539">
        <v>3484</v>
      </c>
      <c r="K4539">
        <v>1</v>
      </c>
      <c r="L4539">
        <v>2680</v>
      </c>
      <c r="M4539">
        <v>3484</v>
      </c>
      <c r="N4539" t="s">
        <v>22</v>
      </c>
      <c r="O4539">
        <f t="shared" si="140"/>
        <v>2990</v>
      </c>
      <c r="P4539" s="13">
        <f t="shared" si="141"/>
        <v>2009540</v>
      </c>
      <c r="Q4539" s="13">
        <f>SUMIFS(M:M,E:E,Online_eCommerce[[#This Row],[Status]])</f>
        <v>21233992</v>
      </c>
      <c r="R4539" s="13">
        <f>SUMIFS(L:L,H:H,Online_eCommerce[[#This Row],[Brand]])</f>
        <v>2267380</v>
      </c>
      <c r="S4539" s="13">
        <f>SUMIF(H:H,Online_eCommerce[[#This Row],[Brand]],M:M)</f>
        <v>2947594</v>
      </c>
      <c r="T4539" s="13">
        <f>SUMIF(N:N,Online_eCommerce[[#This Row],[Assigned Supervisor]],L:L)</f>
        <v>13693220</v>
      </c>
    </row>
    <row r="4540" spans="1:20" hidden="1" x14ac:dyDescent="0.3">
      <c r="A4540" t="s">
        <v>6668</v>
      </c>
      <c r="B4540" t="s">
        <v>154</v>
      </c>
      <c r="C4540" t="s">
        <v>31</v>
      </c>
      <c r="D4540" t="s">
        <v>6667</v>
      </c>
      <c r="E4540" t="s">
        <v>18</v>
      </c>
      <c r="F4540" t="s">
        <v>112</v>
      </c>
      <c r="G4540" t="s">
        <v>71</v>
      </c>
      <c r="H4540" t="s">
        <v>21</v>
      </c>
      <c r="I4540">
        <v>8250</v>
      </c>
      <c r="J4540">
        <v>10725</v>
      </c>
      <c r="K4540">
        <v>1</v>
      </c>
      <c r="L4540">
        <v>8250</v>
      </c>
      <c r="M4540">
        <v>10725</v>
      </c>
      <c r="N4540" t="s">
        <v>28</v>
      </c>
      <c r="O4540">
        <f t="shared" si="140"/>
        <v>9750</v>
      </c>
      <c r="P4540" s="13">
        <f t="shared" si="141"/>
        <v>2865746</v>
      </c>
      <c r="Q4540" s="13">
        <f>SUMIFS(M:M,E:E,Online_eCommerce[[#This Row],[Status]])</f>
        <v>28340455</v>
      </c>
      <c r="R4540" s="13">
        <f>SUMIFS(L:L,H:H,Online_eCommerce[[#This Row],[Brand]])</f>
        <v>12435650</v>
      </c>
      <c r="S4540" s="13">
        <f>SUMIF(H:H,Online_eCommerce[[#This Row],[Brand]],M:M)</f>
        <v>16166345</v>
      </c>
      <c r="T4540" s="13">
        <f>SUMIF(N:N,Online_eCommerce[[#This Row],[Assigned Supervisor]],L:L)</f>
        <v>12220830</v>
      </c>
    </row>
    <row r="4541" spans="1:20" hidden="1" x14ac:dyDescent="0.3">
      <c r="A4541" t="s">
        <v>6669</v>
      </c>
      <c r="B4541" t="s">
        <v>159</v>
      </c>
      <c r="C4541" t="s">
        <v>38</v>
      </c>
      <c r="D4541" t="s">
        <v>6667</v>
      </c>
      <c r="E4541" t="s">
        <v>161</v>
      </c>
      <c r="F4541" t="s">
        <v>6263</v>
      </c>
      <c r="G4541" t="s">
        <v>40</v>
      </c>
      <c r="H4541" t="s">
        <v>21</v>
      </c>
      <c r="I4541">
        <v>2650</v>
      </c>
      <c r="J4541">
        <v>3445</v>
      </c>
      <c r="K4541">
        <v>2</v>
      </c>
      <c r="L4541">
        <v>5300</v>
      </c>
      <c r="M4541">
        <v>6890</v>
      </c>
      <c r="N4541" t="s">
        <v>35</v>
      </c>
      <c r="O4541">
        <f t="shared" si="140"/>
        <v>25545</v>
      </c>
      <c r="P4541" s="13">
        <f t="shared" si="141"/>
        <v>1933997</v>
      </c>
      <c r="Q4541" s="13">
        <f>SUMIFS(M:M,E:E,Online_eCommerce[[#This Row],[Status]])</f>
        <v>21103186</v>
      </c>
      <c r="R4541" s="13">
        <f>SUMIFS(L:L,H:H,Online_eCommerce[[#This Row],[Brand]])</f>
        <v>12435650</v>
      </c>
      <c r="S4541" s="13">
        <f>SUMIF(H:H,Online_eCommerce[[#This Row],[Brand]],M:M)</f>
        <v>16166345</v>
      </c>
      <c r="T4541" s="13">
        <f>SUMIF(N:N,Online_eCommerce[[#This Row],[Assigned Supervisor]],L:L)</f>
        <v>14373360</v>
      </c>
    </row>
    <row r="4542" spans="1:20" x14ac:dyDescent="0.3">
      <c r="A4542" t="s">
        <v>6670</v>
      </c>
      <c r="B4542" t="s">
        <v>139</v>
      </c>
      <c r="C4542" t="s">
        <v>45</v>
      </c>
      <c r="D4542" t="s">
        <v>6667</v>
      </c>
      <c r="E4542" t="s">
        <v>46</v>
      </c>
      <c r="F4542" t="s">
        <v>121</v>
      </c>
      <c r="G4542" t="s">
        <v>71</v>
      </c>
      <c r="H4542" t="s">
        <v>122</v>
      </c>
      <c r="I4542">
        <v>12550</v>
      </c>
      <c r="J4542">
        <v>16315</v>
      </c>
      <c r="K4542">
        <v>4</v>
      </c>
      <c r="L4542">
        <v>50200</v>
      </c>
      <c r="M4542">
        <v>65260</v>
      </c>
      <c r="N4542" t="s">
        <v>42</v>
      </c>
      <c r="O4542">
        <f t="shared" si="140"/>
        <v>9750</v>
      </c>
      <c r="P4542" s="13">
        <f t="shared" si="141"/>
        <v>2842554</v>
      </c>
      <c r="Q4542" s="13">
        <f>SUMIFS(M:M,E:E,Online_eCommerce[[#This Row],[Status]])</f>
        <v>28620410</v>
      </c>
      <c r="R4542" s="13">
        <f>SUMIFS(L:L,H:H,Online_eCommerce[[#This Row],[Brand]])</f>
        <v>5045100</v>
      </c>
      <c r="S4542" s="13">
        <f>SUMIF(H:H,Online_eCommerce[[#This Row],[Brand]],M:M)</f>
        <v>6558630</v>
      </c>
      <c r="T4542" s="13">
        <f>SUMIF(N:N,Online_eCommerce[[#This Row],[Assigned Supervisor]],L:L)</f>
        <v>12261500</v>
      </c>
    </row>
    <row r="4543" spans="1:20" hidden="1" x14ac:dyDescent="0.3">
      <c r="A4543" t="s">
        <v>6671</v>
      </c>
      <c r="B4543" t="s">
        <v>144</v>
      </c>
      <c r="C4543" t="s">
        <v>52</v>
      </c>
      <c r="D4543" t="s">
        <v>6667</v>
      </c>
      <c r="E4543" t="s">
        <v>96</v>
      </c>
      <c r="F4543" t="s">
        <v>126</v>
      </c>
      <c r="G4543" t="s">
        <v>26</v>
      </c>
      <c r="H4543" t="s">
        <v>27</v>
      </c>
      <c r="I4543">
        <v>14500</v>
      </c>
      <c r="J4543">
        <v>18850</v>
      </c>
      <c r="K4543">
        <v>4</v>
      </c>
      <c r="L4543">
        <v>58000</v>
      </c>
      <c r="M4543">
        <v>75400</v>
      </c>
      <c r="N4543" t="s">
        <v>50</v>
      </c>
      <c r="O4543">
        <f t="shared" si="140"/>
        <v>33150</v>
      </c>
      <c r="P4543" s="13">
        <f t="shared" si="141"/>
        <v>1955044</v>
      </c>
      <c r="Q4543" s="13">
        <f>SUMIFS(M:M,E:E,Online_eCommerce[[#This Row],[Status]])</f>
        <v>21233992</v>
      </c>
      <c r="R4543" s="13">
        <f>SUMIFS(L:L,H:H,Online_eCommerce[[#This Row],[Brand]])</f>
        <v>14431000</v>
      </c>
      <c r="S4543" s="13">
        <f>SUMIF(H:H,Online_eCommerce[[#This Row],[Brand]],M:M)</f>
        <v>18760300</v>
      </c>
      <c r="T4543" s="13">
        <f>SUMIF(N:N,Online_eCommerce[[#This Row],[Assigned Supervisor]],L:L)</f>
        <v>12100590</v>
      </c>
    </row>
    <row r="4544" spans="1:20" hidden="1" x14ac:dyDescent="0.3">
      <c r="A4544" t="s">
        <v>6672</v>
      </c>
      <c r="B4544" t="s">
        <v>235</v>
      </c>
      <c r="C4544" t="s">
        <v>58</v>
      </c>
      <c r="D4544" t="s">
        <v>6667</v>
      </c>
      <c r="E4544" t="s">
        <v>18</v>
      </c>
      <c r="F4544" t="s">
        <v>129</v>
      </c>
      <c r="G4544" t="s">
        <v>60</v>
      </c>
      <c r="H4544" t="s">
        <v>61</v>
      </c>
      <c r="I4544">
        <v>800</v>
      </c>
      <c r="J4544">
        <v>1040</v>
      </c>
      <c r="K4544">
        <v>1</v>
      </c>
      <c r="L4544">
        <v>800</v>
      </c>
      <c r="M4544">
        <v>1040</v>
      </c>
      <c r="N4544" t="s">
        <v>56</v>
      </c>
      <c r="O4544">
        <f t="shared" si="140"/>
        <v>3315</v>
      </c>
      <c r="P4544" s="13">
        <f t="shared" si="141"/>
        <v>2629211</v>
      </c>
      <c r="Q4544" s="13">
        <f>SUMIFS(M:M,E:E,Online_eCommerce[[#This Row],[Status]])</f>
        <v>28340455</v>
      </c>
      <c r="R4544" s="13">
        <f>SUMIFS(L:L,H:H,Online_eCommerce[[#This Row],[Brand]])</f>
        <v>10950150</v>
      </c>
      <c r="S4544" s="13">
        <f>SUMIF(H:H,Online_eCommerce[[#This Row],[Brand]],M:M)</f>
        <v>14235195</v>
      </c>
      <c r="T4544" s="13">
        <f>SUMIF(N:N,Online_eCommerce[[#This Row],[Assigned Supervisor]],L:L)</f>
        <v>11733610</v>
      </c>
    </row>
    <row r="4545" spans="1:20" hidden="1" x14ac:dyDescent="0.3">
      <c r="A4545" t="s">
        <v>6673</v>
      </c>
      <c r="B4545" t="s">
        <v>176</v>
      </c>
      <c r="C4545" t="s">
        <v>63</v>
      </c>
      <c r="D4545" t="s">
        <v>6667</v>
      </c>
      <c r="E4545" t="s">
        <v>161</v>
      </c>
      <c r="F4545" t="s">
        <v>133</v>
      </c>
      <c r="G4545" t="s">
        <v>66</v>
      </c>
      <c r="H4545" t="s">
        <v>21</v>
      </c>
      <c r="I4545">
        <v>600</v>
      </c>
      <c r="J4545">
        <v>780</v>
      </c>
      <c r="K4545">
        <v>1</v>
      </c>
      <c r="L4545">
        <v>600</v>
      </c>
      <c r="M4545">
        <v>780</v>
      </c>
      <c r="N4545" t="s">
        <v>22</v>
      </c>
      <c r="O4545">
        <f t="shared" si="140"/>
        <v>1690</v>
      </c>
      <c r="P4545" s="13">
        <f t="shared" si="141"/>
        <v>2016131</v>
      </c>
      <c r="Q4545" s="13">
        <f>SUMIFS(M:M,E:E,Online_eCommerce[[#This Row],[Status]])</f>
        <v>21103186</v>
      </c>
      <c r="R4545" s="13">
        <f>SUMIFS(L:L,H:H,Online_eCommerce[[#This Row],[Brand]])</f>
        <v>12435650</v>
      </c>
      <c r="S4545" s="13">
        <f>SUMIF(H:H,Online_eCommerce[[#This Row],[Brand]],M:M)</f>
        <v>16166345</v>
      </c>
      <c r="T4545" s="13">
        <f>SUMIF(N:N,Online_eCommerce[[#This Row],[Assigned Supervisor]],L:L)</f>
        <v>13693220</v>
      </c>
    </row>
    <row r="4546" spans="1:20" x14ac:dyDescent="0.3">
      <c r="A4546" t="s">
        <v>6674</v>
      </c>
      <c r="B4546" t="s">
        <v>276</v>
      </c>
      <c r="C4546" t="s">
        <v>68</v>
      </c>
      <c r="D4546" t="s">
        <v>6675</v>
      </c>
      <c r="E4546" t="s">
        <v>46</v>
      </c>
      <c r="F4546" t="s">
        <v>137</v>
      </c>
      <c r="G4546" t="s">
        <v>71</v>
      </c>
      <c r="H4546" t="s">
        <v>61</v>
      </c>
      <c r="I4546">
        <v>10500</v>
      </c>
      <c r="J4546">
        <v>13650</v>
      </c>
      <c r="K4546">
        <v>2</v>
      </c>
      <c r="L4546">
        <v>21000</v>
      </c>
      <c r="M4546">
        <v>27300</v>
      </c>
      <c r="N4546" t="s">
        <v>28</v>
      </c>
      <c r="O4546">
        <f t="shared" ref="O4546:O4609" si="142">VLOOKUP(G4546,G:M,7,FALSE)</f>
        <v>9750</v>
      </c>
      <c r="P4546" s="13">
        <f t="shared" ref="P4546:P4609" si="143">SUMIFS(M:M,C:C,C4546)</f>
        <v>2974621</v>
      </c>
      <c r="Q4546" s="13">
        <f>SUMIFS(M:M,E:E,Online_eCommerce[[#This Row],[Status]])</f>
        <v>28620410</v>
      </c>
      <c r="R4546" s="13">
        <f>SUMIFS(L:L,H:H,Online_eCommerce[[#This Row],[Brand]])</f>
        <v>10950150</v>
      </c>
      <c r="S4546" s="13">
        <f>SUMIF(H:H,Online_eCommerce[[#This Row],[Brand]],M:M)</f>
        <v>14235195</v>
      </c>
      <c r="T4546" s="13">
        <f>SUMIF(N:N,Online_eCommerce[[#This Row],[Assigned Supervisor]],L:L)</f>
        <v>12220830</v>
      </c>
    </row>
    <row r="4547" spans="1:20" hidden="1" x14ac:dyDescent="0.3">
      <c r="A4547" t="s">
        <v>6676</v>
      </c>
      <c r="B4547" t="s">
        <v>280</v>
      </c>
      <c r="C4547" t="s">
        <v>74</v>
      </c>
      <c r="D4547" t="s">
        <v>6677</v>
      </c>
      <c r="E4547" t="s">
        <v>96</v>
      </c>
      <c r="F4547" t="s">
        <v>6630</v>
      </c>
      <c r="G4547" t="s">
        <v>77</v>
      </c>
      <c r="H4547" t="s">
        <v>142</v>
      </c>
      <c r="I4547">
        <v>6500</v>
      </c>
      <c r="J4547">
        <v>8450</v>
      </c>
      <c r="K4547">
        <v>4</v>
      </c>
      <c r="L4547">
        <v>26000</v>
      </c>
      <c r="M4547">
        <v>33800</v>
      </c>
      <c r="N4547" t="s">
        <v>35</v>
      </c>
      <c r="O4547">
        <f t="shared" si="142"/>
        <v>39000</v>
      </c>
      <c r="P4547" s="13">
        <f t="shared" si="143"/>
        <v>2144701</v>
      </c>
      <c r="Q4547" s="13">
        <f>SUMIFS(M:M,E:E,Online_eCommerce[[#This Row],[Status]])</f>
        <v>21233992</v>
      </c>
      <c r="R4547" s="13">
        <f>SUMIFS(L:L,H:H,Online_eCommerce[[#This Row],[Brand]])</f>
        <v>6192500</v>
      </c>
      <c r="S4547" s="13">
        <f>SUMIF(H:H,Online_eCommerce[[#This Row],[Brand]],M:M)</f>
        <v>8050250</v>
      </c>
      <c r="T4547" s="13">
        <f>SUMIF(N:N,Online_eCommerce[[#This Row],[Assigned Supervisor]],L:L)</f>
        <v>14373360</v>
      </c>
    </row>
    <row r="4548" spans="1:20" hidden="1" x14ac:dyDescent="0.3">
      <c r="A4548" t="s">
        <v>6678</v>
      </c>
      <c r="B4548" t="s">
        <v>283</v>
      </c>
      <c r="C4548" t="s">
        <v>81</v>
      </c>
      <c r="D4548" t="s">
        <v>6679</v>
      </c>
      <c r="E4548" t="s">
        <v>18</v>
      </c>
      <c r="F4548" t="s">
        <v>6680</v>
      </c>
      <c r="G4548" t="s">
        <v>20</v>
      </c>
      <c r="H4548" t="s">
        <v>21</v>
      </c>
      <c r="I4548">
        <v>4500</v>
      </c>
      <c r="J4548">
        <v>5850</v>
      </c>
      <c r="K4548">
        <v>4</v>
      </c>
      <c r="L4548">
        <v>18000</v>
      </c>
      <c r="M4548">
        <v>23400</v>
      </c>
      <c r="N4548" t="s">
        <v>42</v>
      </c>
      <c r="O4548">
        <f t="shared" si="142"/>
        <v>8450</v>
      </c>
      <c r="P4548" s="13">
        <f t="shared" si="143"/>
        <v>2595632</v>
      </c>
      <c r="Q4548" s="13">
        <f>SUMIFS(M:M,E:E,Online_eCommerce[[#This Row],[Status]])</f>
        <v>28340455</v>
      </c>
      <c r="R4548" s="13">
        <f>SUMIFS(L:L,H:H,Online_eCommerce[[#This Row],[Brand]])</f>
        <v>12435650</v>
      </c>
      <c r="S4548" s="13">
        <f>SUMIF(H:H,Online_eCommerce[[#This Row],[Brand]],M:M)</f>
        <v>16166345</v>
      </c>
      <c r="T4548" s="13">
        <f>SUMIF(N:N,Online_eCommerce[[#This Row],[Assigned Supervisor]],L:L)</f>
        <v>12261500</v>
      </c>
    </row>
    <row r="4549" spans="1:20" hidden="1" x14ac:dyDescent="0.3">
      <c r="A4549" t="s">
        <v>6681</v>
      </c>
      <c r="B4549" t="s">
        <v>287</v>
      </c>
      <c r="C4549" t="s">
        <v>86</v>
      </c>
      <c r="D4549" t="s">
        <v>6682</v>
      </c>
      <c r="E4549" t="s">
        <v>161</v>
      </c>
      <c r="F4549" t="s">
        <v>152</v>
      </c>
      <c r="G4549" t="s">
        <v>26</v>
      </c>
      <c r="H4549" t="s">
        <v>27</v>
      </c>
      <c r="I4549">
        <v>8500</v>
      </c>
      <c r="J4549">
        <v>11050</v>
      </c>
      <c r="K4549">
        <v>2</v>
      </c>
      <c r="L4549">
        <v>17000</v>
      </c>
      <c r="M4549">
        <v>22100</v>
      </c>
      <c r="N4549" t="s">
        <v>50</v>
      </c>
      <c r="O4549">
        <f t="shared" si="142"/>
        <v>33150</v>
      </c>
      <c r="P4549" s="13">
        <f t="shared" si="143"/>
        <v>1941225</v>
      </c>
      <c r="Q4549" s="13">
        <f>SUMIFS(M:M,E:E,Online_eCommerce[[#This Row],[Status]])</f>
        <v>21103186</v>
      </c>
      <c r="R4549" s="13">
        <f>SUMIFS(L:L,H:H,Online_eCommerce[[#This Row],[Brand]])</f>
        <v>14431000</v>
      </c>
      <c r="S4549" s="13">
        <f>SUMIF(H:H,Online_eCommerce[[#This Row],[Brand]],M:M)</f>
        <v>18760300</v>
      </c>
      <c r="T4549" s="13">
        <f>SUMIF(N:N,Online_eCommerce[[#This Row],[Assigned Supervisor]],L:L)</f>
        <v>12100590</v>
      </c>
    </row>
    <row r="4550" spans="1:20" x14ac:dyDescent="0.3">
      <c r="A4550" t="s">
        <v>6683</v>
      </c>
      <c r="B4550" t="s">
        <v>290</v>
      </c>
      <c r="C4550" t="s">
        <v>91</v>
      </c>
      <c r="D4550" t="s">
        <v>6684</v>
      </c>
      <c r="E4550" t="s">
        <v>46</v>
      </c>
      <c r="F4550" t="s">
        <v>157</v>
      </c>
      <c r="G4550" t="s">
        <v>33</v>
      </c>
      <c r="H4550" t="s">
        <v>34</v>
      </c>
      <c r="I4550">
        <v>12500</v>
      </c>
      <c r="J4550">
        <v>16250</v>
      </c>
      <c r="K4550">
        <v>1</v>
      </c>
      <c r="L4550">
        <v>12500</v>
      </c>
      <c r="M4550">
        <v>16250</v>
      </c>
      <c r="N4550" t="s">
        <v>56</v>
      </c>
      <c r="O4550">
        <f t="shared" si="142"/>
        <v>18200</v>
      </c>
      <c r="P4550" s="13">
        <f t="shared" si="143"/>
        <v>2731963</v>
      </c>
      <c r="Q4550" s="13">
        <f>SUMIFS(M:M,E:E,Online_eCommerce[[#This Row],[Status]])</f>
        <v>28620410</v>
      </c>
      <c r="R4550" s="13">
        <f>SUMIFS(L:L,H:H,Online_eCommerce[[#This Row],[Brand]])</f>
        <v>10087000</v>
      </c>
      <c r="S4550" s="13">
        <f>SUMIF(H:H,Online_eCommerce[[#This Row],[Brand]],M:M)</f>
        <v>13113100</v>
      </c>
      <c r="T4550" s="13">
        <f>SUMIF(N:N,Online_eCommerce[[#This Row],[Assigned Supervisor]],L:L)</f>
        <v>11733610</v>
      </c>
    </row>
    <row r="4551" spans="1:20" hidden="1" x14ac:dyDescent="0.3">
      <c r="A4551" t="s">
        <v>6685</v>
      </c>
      <c r="B4551" t="s">
        <v>15</v>
      </c>
      <c r="C4551" t="s">
        <v>94</v>
      </c>
      <c r="D4551" t="s">
        <v>6686</v>
      </c>
      <c r="E4551" t="s">
        <v>96</v>
      </c>
      <c r="F4551" t="s">
        <v>6308</v>
      </c>
      <c r="G4551" t="s">
        <v>256</v>
      </c>
      <c r="H4551" t="s">
        <v>41</v>
      </c>
      <c r="I4551">
        <v>3500</v>
      </c>
      <c r="J4551">
        <v>4550</v>
      </c>
      <c r="K4551">
        <v>1</v>
      </c>
      <c r="L4551">
        <v>3500</v>
      </c>
      <c r="M4551">
        <v>4550</v>
      </c>
      <c r="N4551" t="s">
        <v>22</v>
      </c>
      <c r="O4551">
        <f t="shared" si="142"/>
        <v>9100</v>
      </c>
      <c r="P4551" s="13">
        <f t="shared" si="143"/>
        <v>1868256</v>
      </c>
      <c r="Q4551" s="13">
        <f>SUMIFS(M:M,E:E,Online_eCommerce[[#This Row],[Status]])</f>
        <v>21233992</v>
      </c>
      <c r="R4551" s="13">
        <f>SUMIFS(L:L,H:H,Online_eCommerce[[#This Row],[Brand]])</f>
        <v>4260400</v>
      </c>
      <c r="S4551" s="13">
        <f>SUMIF(H:H,Online_eCommerce[[#This Row],[Brand]],M:M)</f>
        <v>5538520</v>
      </c>
      <c r="T4551" s="13">
        <f>SUMIF(N:N,Online_eCommerce[[#This Row],[Assigned Supervisor]],L:L)</f>
        <v>13693220</v>
      </c>
    </row>
    <row r="4552" spans="1:20" hidden="1" x14ac:dyDescent="0.3">
      <c r="A4552" t="s">
        <v>6687</v>
      </c>
      <c r="B4552" t="s">
        <v>202</v>
      </c>
      <c r="C4552" t="s">
        <v>99</v>
      </c>
      <c r="D4552" t="s">
        <v>6686</v>
      </c>
      <c r="E4552" t="s">
        <v>18</v>
      </c>
      <c r="F4552" t="s">
        <v>166</v>
      </c>
      <c r="G4552" t="s">
        <v>259</v>
      </c>
      <c r="H4552" t="s">
        <v>49</v>
      </c>
      <c r="I4552">
        <v>4500</v>
      </c>
      <c r="J4552">
        <v>5850</v>
      </c>
      <c r="K4552">
        <v>2</v>
      </c>
      <c r="L4552">
        <v>9000</v>
      </c>
      <c r="M4552">
        <v>11700</v>
      </c>
      <c r="N4552" t="s">
        <v>28</v>
      </c>
      <c r="O4552">
        <f t="shared" si="142"/>
        <v>11700</v>
      </c>
      <c r="P4552" s="13">
        <f t="shared" si="143"/>
        <v>2651233</v>
      </c>
      <c r="Q4552" s="13">
        <f>SUMIFS(M:M,E:E,Online_eCommerce[[#This Row],[Status]])</f>
        <v>28340455</v>
      </c>
      <c r="R4552" s="13">
        <f>SUMIFS(L:L,H:H,Online_eCommerce[[#This Row],[Brand]])</f>
        <v>4528350</v>
      </c>
      <c r="S4552" s="13">
        <f>SUMIF(H:H,Online_eCommerce[[#This Row],[Brand]],M:M)</f>
        <v>5886855</v>
      </c>
      <c r="T4552" s="13">
        <f>SUMIF(N:N,Online_eCommerce[[#This Row],[Assigned Supervisor]],L:L)</f>
        <v>12220830</v>
      </c>
    </row>
    <row r="4553" spans="1:20" hidden="1" x14ac:dyDescent="0.3">
      <c r="A4553" t="s">
        <v>6688</v>
      </c>
      <c r="B4553" t="s">
        <v>30</v>
      </c>
      <c r="C4553" t="s">
        <v>105</v>
      </c>
      <c r="D4553" t="s">
        <v>6686</v>
      </c>
      <c r="E4553" t="s">
        <v>161</v>
      </c>
      <c r="F4553" t="s">
        <v>6689</v>
      </c>
      <c r="G4553" t="s">
        <v>54</v>
      </c>
      <c r="H4553" t="s">
        <v>55</v>
      </c>
      <c r="I4553">
        <v>2100</v>
      </c>
      <c r="J4553">
        <v>2730</v>
      </c>
      <c r="K4553">
        <v>2</v>
      </c>
      <c r="L4553">
        <v>4200</v>
      </c>
      <c r="M4553">
        <v>5460</v>
      </c>
      <c r="N4553" t="s">
        <v>35</v>
      </c>
      <c r="O4553">
        <f t="shared" si="142"/>
        <v>2990</v>
      </c>
      <c r="P4553" s="13">
        <f t="shared" si="143"/>
        <v>1866852</v>
      </c>
      <c r="Q4553" s="13">
        <f>SUMIFS(M:M,E:E,Online_eCommerce[[#This Row],[Status]])</f>
        <v>21103186</v>
      </c>
      <c r="R4553" s="13">
        <f>SUMIFS(L:L,H:H,Online_eCommerce[[#This Row],[Brand]])</f>
        <v>2267380</v>
      </c>
      <c r="S4553" s="13">
        <f>SUMIF(H:H,Online_eCommerce[[#This Row],[Brand]],M:M)</f>
        <v>2947594</v>
      </c>
      <c r="T4553" s="13">
        <f>SUMIF(N:N,Online_eCommerce[[#This Row],[Assigned Supervisor]],L:L)</f>
        <v>14373360</v>
      </c>
    </row>
    <row r="4554" spans="1:20" x14ac:dyDescent="0.3">
      <c r="A4554" t="s">
        <v>6690</v>
      </c>
      <c r="B4554" t="s">
        <v>37</v>
      </c>
      <c r="C4554" t="s">
        <v>110</v>
      </c>
      <c r="D4554" t="s">
        <v>6686</v>
      </c>
      <c r="E4554" t="s">
        <v>46</v>
      </c>
      <c r="F4554" t="s">
        <v>174</v>
      </c>
      <c r="G4554" t="s">
        <v>60</v>
      </c>
      <c r="H4554" t="s">
        <v>61</v>
      </c>
      <c r="I4554">
        <v>1150</v>
      </c>
      <c r="J4554">
        <v>1495</v>
      </c>
      <c r="K4554">
        <v>4</v>
      </c>
      <c r="L4554">
        <v>4600</v>
      </c>
      <c r="M4554">
        <v>5980</v>
      </c>
      <c r="N4554" t="s">
        <v>42</v>
      </c>
      <c r="O4554">
        <f t="shared" si="142"/>
        <v>3315</v>
      </c>
      <c r="P4554" s="13">
        <f t="shared" si="143"/>
        <v>2598635</v>
      </c>
      <c r="Q4554" s="13">
        <f>SUMIFS(M:M,E:E,Online_eCommerce[[#This Row],[Status]])</f>
        <v>28620410</v>
      </c>
      <c r="R4554" s="13">
        <f>SUMIFS(L:L,H:H,Online_eCommerce[[#This Row],[Brand]])</f>
        <v>10950150</v>
      </c>
      <c r="S4554" s="13">
        <f>SUMIF(H:H,Online_eCommerce[[#This Row],[Brand]],M:M)</f>
        <v>14235195</v>
      </c>
      <c r="T4554" s="13">
        <f>SUMIF(N:N,Online_eCommerce[[#This Row],[Assigned Supervisor]],L:L)</f>
        <v>12261500</v>
      </c>
    </row>
    <row r="4555" spans="1:20" hidden="1" x14ac:dyDescent="0.3">
      <c r="A4555" t="s">
        <v>6691</v>
      </c>
      <c r="B4555" t="s">
        <v>44</v>
      </c>
      <c r="C4555" t="s">
        <v>115</v>
      </c>
      <c r="D4555" t="s">
        <v>6686</v>
      </c>
      <c r="E4555" t="s">
        <v>96</v>
      </c>
      <c r="F4555" t="s">
        <v>179</v>
      </c>
      <c r="G4555" t="s">
        <v>66</v>
      </c>
      <c r="H4555" t="s">
        <v>21</v>
      </c>
      <c r="I4555">
        <v>350</v>
      </c>
      <c r="J4555">
        <v>455</v>
      </c>
      <c r="K4555">
        <v>1</v>
      </c>
      <c r="L4555">
        <v>350</v>
      </c>
      <c r="M4555">
        <v>455</v>
      </c>
      <c r="N4555" t="s">
        <v>50</v>
      </c>
      <c r="O4555">
        <f t="shared" si="142"/>
        <v>1690</v>
      </c>
      <c r="P4555" s="13">
        <f t="shared" si="143"/>
        <v>2050178</v>
      </c>
      <c r="Q4555" s="13">
        <f>SUMIFS(M:M,E:E,Online_eCommerce[[#This Row],[Status]])</f>
        <v>21233992</v>
      </c>
      <c r="R4555" s="13">
        <f>SUMIFS(L:L,H:H,Online_eCommerce[[#This Row],[Brand]])</f>
        <v>12435650</v>
      </c>
      <c r="S4555" s="13">
        <f>SUMIF(H:H,Online_eCommerce[[#This Row],[Brand]],M:M)</f>
        <v>16166345</v>
      </c>
      <c r="T4555" s="13">
        <f>SUMIF(N:N,Online_eCommerce[[#This Row],[Assigned Supervisor]],L:L)</f>
        <v>12100590</v>
      </c>
    </row>
    <row r="4556" spans="1:20" hidden="1" x14ac:dyDescent="0.3">
      <c r="A4556" t="s">
        <v>6692</v>
      </c>
      <c r="B4556" t="s">
        <v>213</v>
      </c>
      <c r="C4556" t="s">
        <v>120</v>
      </c>
      <c r="D4556" t="s">
        <v>6686</v>
      </c>
      <c r="E4556" t="s">
        <v>18</v>
      </c>
      <c r="F4556" t="s">
        <v>183</v>
      </c>
      <c r="G4556" t="s">
        <v>71</v>
      </c>
      <c r="H4556" t="s">
        <v>61</v>
      </c>
      <c r="I4556">
        <v>9500</v>
      </c>
      <c r="J4556">
        <v>12350</v>
      </c>
      <c r="K4556">
        <v>2</v>
      </c>
      <c r="L4556">
        <v>19000</v>
      </c>
      <c r="M4556">
        <v>24700</v>
      </c>
      <c r="N4556" t="s">
        <v>56</v>
      </c>
      <c r="O4556">
        <f t="shared" si="142"/>
        <v>9750</v>
      </c>
      <c r="P4556" s="13">
        <f t="shared" si="143"/>
        <v>2734212</v>
      </c>
      <c r="Q4556" s="13">
        <f>SUMIFS(M:M,E:E,Online_eCommerce[[#This Row],[Status]])</f>
        <v>28340455</v>
      </c>
      <c r="R4556" s="13">
        <f>SUMIFS(L:L,H:H,Online_eCommerce[[#This Row],[Brand]])</f>
        <v>10950150</v>
      </c>
      <c r="S4556" s="13">
        <f>SUMIF(H:H,Online_eCommerce[[#This Row],[Brand]],M:M)</f>
        <v>14235195</v>
      </c>
      <c r="T4556" s="13">
        <f>SUMIF(N:N,Online_eCommerce[[#This Row],[Assigned Supervisor]],L:L)</f>
        <v>11733610</v>
      </c>
    </row>
    <row r="4557" spans="1:20" hidden="1" x14ac:dyDescent="0.3">
      <c r="A4557" t="s">
        <v>6693</v>
      </c>
      <c r="B4557" t="s">
        <v>215</v>
      </c>
      <c r="C4557" t="s">
        <v>125</v>
      </c>
      <c r="D4557" t="s">
        <v>6686</v>
      </c>
      <c r="E4557" t="s">
        <v>161</v>
      </c>
      <c r="F4557" t="s">
        <v>6694</v>
      </c>
      <c r="G4557" t="s">
        <v>77</v>
      </c>
      <c r="H4557" t="s">
        <v>142</v>
      </c>
      <c r="I4557">
        <v>10000</v>
      </c>
      <c r="J4557">
        <v>13000</v>
      </c>
      <c r="K4557">
        <v>4</v>
      </c>
      <c r="L4557">
        <v>40000</v>
      </c>
      <c r="M4557">
        <v>52000</v>
      </c>
      <c r="N4557" t="s">
        <v>22</v>
      </c>
      <c r="O4557">
        <f t="shared" si="142"/>
        <v>39000</v>
      </c>
      <c r="P4557" s="13">
        <f t="shared" si="143"/>
        <v>2091154</v>
      </c>
      <c r="Q4557" s="13">
        <f>SUMIFS(M:M,E:E,Online_eCommerce[[#This Row],[Status]])</f>
        <v>21103186</v>
      </c>
      <c r="R4557" s="13">
        <f>SUMIFS(L:L,H:H,Online_eCommerce[[#This Row],[Brand]])</f>
        <v>6192500</v>
      </c>
      <c r="S4557" s="13">
        <f>SUMIF(H:H,Online_eCommerce[[#This Row],[Brand]],M:M)</f>
        <v>8050250</v>
      </c>
      <c r="T4557" s="13">
        <f>SUMIF(N:N,Online_eCommerce[[#This Row],[Assigned Supervisor]],L:L)</f>
        <v>13693220</v>
      </c>
    </row>
    <row r="4558" spans="1:20" x14ac:dyDescent="0.3">
      <c r="A4558" t="s">
        <v>6695</v>
      </c>
      <c r="B4558" t="s">
        <v>306</v>
      </c>
      <c r="C4558" t="s">
        <v>22</v>
      </c>
      <c r="D4558" t="s">
        <v>6686</v>
      </c>
      <c r="E4558" t="s">
        <v>46</v>
      </c>
      <c r="F4558" t="s">
        <v>6696</v>
      </c>
      <c r="G4558" t="s">
        <v>20</v>
      </c>
      <c r="H4558" t="s">
        <v>21</v>
      </c>
      <c r="I4558">
        <v>6500</v>
      </c>
      <c r="J4558">
        <v>8450</v>
      </c>
      <c r="K4558">
        <v>1</v>
      </c>
      <c r="L4558">
        <v>6500</v>
      </c>
      <c r="M4558">
        <v>8450</v>
      </c>
      <c r="N4558" t="s">
        <v>28</v>
      </c>
      <c r="O4558">
        <f t="shared" si="142"/>
        <v>8450</v>
      </c>
      <c r="P4558" s="13">
        <f t="shared" si="143"/>
        <v>2551588</v>
      </c>
      <c r="Q4558" s="13">
        <f>SUMIFS(M:M,E:E,Online_eCommerce[[#This Row],[Status]])</f>
        <v>28620410</v>
      </c>
      <c r="R4558" s="13">
        <f>SUMIFS(L:L,H:H,Online_eCommerce[[#This Row],[Brand]])</f>
        <v>12435650</v>
      </c>
      <c r="S4558" s="13">
        <f>SUMIF(H:H,Online_eCommerce[[#This Row],[Brand]],M:M)</f>
        <v>16166345</v>
      </c>
      <c r="T4558" s="13">
        <f>SUMIF(N:N,Online_eCommerce[[#This Row],[Assigned Supervisor]],L:L)</f>
        <v>12220830</v>
      </c>
    </row>
    <row r="4559" spans="1:20" hidden="1" x14ac:dyDescent="0.3">
      <c r="A4559" t="s">
        <v>6697</v>
      </c>
      <c r="B4559" t="s">
        <v>528</v>
      </c>
      <c r="C4559" t="s">
        <v>132</v>
      </c>
      <c r="D4559" t="s">
        <v>6686</v>
      </c>
      <c r="E4559" t="s">
        <v>96</v>
      </c>
      <c r="F4559" t="s">
        <v>6698</v>
      </c>
      <c r="G4559" t="s">
        <v>26</v>
      </c>
      <c r="H4559" t="s">
        <v>27</v>
      </c>
      <c r="I4559">
        <v>8500</v>
      </c>
      <c r="J4559">
        <v>11050</v>
      </c>
      <c r="K4559">
        <v>4</v>
      </c>
      <c r="L4559">
        <v>34000</v>
      </c>
      <c r="M4559">
        <v>44200</v>
      </c>
      <c r="N4559" t="s">
        <v>35</v>
      </c>
      <c r="O4559">
        <f t="shared" si="142"/>
        <v>33150</v>
      </c>
      <c r="P4559" s="13">
        <f t="shared" si="143"/>
        <v>1989065</v>
      </c>
      <c r="Q4559" s="13">
        <f>SUMIFS(M:M,E:E,Online_eCommerce[[#This Row],[Status]])</f>
        <v>21233992</v>
      </c>
      <c r="R4559" s="13">
        <f>SUMIFS(L:L,H:H,Online_eCommerce[[#This Row],[Brand]])</f>
        <v>14431000</v>
      </c>
      <c r="S4559" s="13">
        <f>SUMIF(H:H,Online_eCommerce[[#This Row],[Brand]],M:M)</f>
        <v>18760300</v>
      </c>
      <c r="T4559" s="13">
        <f>SUMIF(N:N,Online_eCommerce[[#This Row],[Assigned Supervisor]],L:L)</f>
        <v>14373360</v>
      </c>
    </row>
    <row r="4560" spans="1:20" hidden="1" x14ac:dyDescent="0.3">
      <c r="A4560" t="s">
        <v>6699</v>
      </c>
      <c r="B4560" t="s">
        <v>73</v>
      </c>
      <c r="C4560" t="s">
        <v>136</v>
      </c>
      <c r="D4560" t="s">
        <v>6686</v>
      </c>
      <c r="E4560" t="s">
        <v>18</v>
      </c>
      <c r="F4560" t="s">
        <v>32</v>
      </c>
      <c r="G4560" t="s">
        <v>33</v>
      </c>
      <c r="H4560" t="s">
        <v>34</v>
      </c>
      <c r="I4560">
        <v>7000</v>
      </c>
      <c r="J4560">
        <v>9100</v>
      </c>
      <c r="K4560">
        <v>4</v>
      </c>
      <c r="L4560">
        <v>28000</v>
      </c>
      <c r="M4560">
        <v>36400</v>
      </c>
      <c r="N4560" t="s">
        <v>42</v>
      </c>
      <c r="O4560">
        <f t="shared" si="142"/>
        <v>18200</v>
      </c>
      <c r="P4560" s="13">
        <f t="shared" si="143"/>
        <v>2775162</v>
      </c>
      <c r="Q4560" s="13">
        <f>SUMIFS(M:M,E:E,Online_eCommerce[[#This Row],[Status]])</f>
        <v>28340455</v>
      </c>
      <c r="R4560" s="13">
        <f>SUMIFS(L:L,H:H,Online_eCommerce[[#This Row],[Brand]])</f>
        <v>10087000</v>
      </c>
      <c r="S4560" s="13">
        <f>SUMIF(H:H,Online_eCommerce[[#This Row],[Brand]],M:M)</f>
        <v>13113100</v>
      </c>
      <c r="T4560" s="13">
        <f>SUMIF(N:N,Online_eCommerce[[#This Row],[Assigned Supervisor]],L:L)</f>
        <v>12261500</v>
      </c>
    </row>
    <row r="4561" spans="1:20" hidden="1" x14ac:dyDescent="0.3">
      <c r="A4561" t="s">
        <v>6700</v>
      </c>
      <c r="B4561" t="s">
        <v>80</v>
      </c>
      <c r="C4561" t="s">
        <v>140</v>
      </c>
      <c r="D4561" t="s">
        <v>6686</v>
      </c>
      <c r="E4561" t="s">
        <v>161</v>
      </c>
      <c r="F4561" t="s">
        <v>6701</v>
      </c>
      <c r="G4561" t="s">
        <v>256</v>
      </c>
      <c r="H4561" t="s">
        <v>41</v>
      </c>
      <c r="I4561">
        <v>6550</v>
      </c>
      <c r="J4561">
        <v>8515</v>
      </c>
      <c r="K4561">
        <v>4</v>
      </c>
      <c r="L4561">
        <v>26200</v>
      </c>
      <c r="M4561">
        <v>34060</v>
      </c>
      <c r="N4561" t="s">
        <v>50</v>
      </c>
      <c r="O4561">
        <f t="shared" si="142"/>
        <v>9100</v>
      </c>
      <c r="P4561" s="13">
        <f t="shared" si="143"/>
        <v>2058264</v>
      </c>
      <c r="Q4561" s="13">
        <f>SUMIFS(M:M,E:E,Online_eCommerce[[#This Row],[Status]])</f>
        <v>21103186</v>
      </c>
      <c r="R4561" s="13">
        <f>SUMIFS(L:L,H:H,Online_eCommerce[[#This Row],[Brand]])</f>
        <v>4260400</v>
      </c>
      <c r="S4561" s="13">
        <f>SUMIF(H:H,Online_eCommerce[[#This Row],[Brand]],M:M)</f>
        <v>5538520</v>
      </c>
      <c r="T4561" s="13">
        <f>SUMIF(N:N,Online_eCommerce[[#This Row],[Assigned Supervisor]],L:L)</f>
        <v>12100590</v>
      </c>
    </row>
    <row r="4562" spans="1:20" x14ac:dyDescent="0.3">
      <c r="A4562" t="s">
        <v>6702</v>
      </c>
      <c r="B4562" t="s">
        <v>85</v>
      </c>
      <c r="C4562" t="s">
        <v>145</v>
      </c>
      <c r="D4562" t="s">
        <v>6686</v>
      </c>
      <c r="E4562" t="s">
        <v>46</v>
      </c>
      <c r="F4562" t="s">
        <v>47</v>
      </c>
      <c r="G4562" t="s">
        <v>259</v>
      </c>
      <c r="H4562" t="s">
        <v>49</v>
      </c>
      <c r="I4562">
        <v>7650</v>
      </c>
      <c r="J4562">
        <v>9945</v>
      </c>
      <c r="K4562">
        <v>1</v>
      </c>
      <c r="L4562">
        <v>7650</v>
      </c>
      <c r="M4562">
        <v>9945</v>
      </c>
      <c r="N4562" t="s">
        <v>56</v>
      </c>
      <c r="O4562">
        <f t="shared" si="142"/>
        <v>11700</v>
      </c>
      <c r="P4562" s="13">
        <f t="shared" si="143"/>
        <v>2757859</v>
      </c>
      <c r="Q4562" s="13">
        <f>SUMIFS(M:M,E:E,Online_eCommerce[[#This Row],[Status]])</f>
        <v>28620410</v>
      </c>
      <c r="R4562" s="13">
        <f>SUMIFS(L:L,H:H,Online_eCommerce[[#This Row],[Brand]])</f>
        <v>4528350</v>
      </c>
      <c r="S4562" s="13">
        <f>SUMIF(H:H,Online_eCommerce[[#This Row],[Brand]],M:M)</f>
        <v>5886855</v>
      </c>
      <c r="T4562" s="13">
        <f>SUMIF(N:N,Online_eCommerce[[#This Row],[Assigned Supervisor]],L:L)</f>
        <v>11733610</v>
      </c>
    </row>
    <row r="4563" spans="1:20" hidden="1" x14ac:dyDescent="0.3">
      <c r="A4563" t="s">
        <v>6703</v>
      </c>
      <c r="B4563" t="s">
        <v>90</v>
      </c>
      <c r="C4563" t="s">
        <v>150</v>
      </c>
      <c r="D4563" t="s">
        <v>6686</v>
      </c>
      <c r="E4563" t="s">
        <v>96</v>
      </c>
      <c r="F4563" t="s">
        <v>53</v>
      </c>
      <c r="G4563" t="s">
        <v>54</v>
      </c>
      <c r="H4563" t="s">
        <v>55</v>
      </c>
      <c r="I4563">
        <v>1150</v>
      </c>
      <c r="J4563">
        <v>1495</v>
      </c>
      <c r="K4563">
        <v>1</v>
      </c>
      <c r="L4563">
        <v>1150</v>
      </c>
      <c r="M4563">
        <v>1495</v>
      </c>
      <c r="N4563" t="s">
        <v>22</v>
      </c>
      <c r="O4563">
        <f t="shared" si="142"/>
        <v>2990</v>
      </c>
      <c r="P4563" s="13">
        <f t="shared" si="143"/>
        <v>2154984</v>
      </c>
      <c r="Q4563" s="13">
        <f>SUMIFS(M:M,E:E,Online_eCommerce[[#This Row],[Status]])</f>
        <v>21233992</v>
      </c>
      <c r="R4563" s="13">
        <f>SUMIFS(L:L,H:H,Online_eCommerce[[#This Row],[Brand]])</f>
        <v>2267380</v>
      </c>
      <c r="S4563" s="13">
        <f>SUMIF(H:H,Online_eCommerce[[#This Row],[Brand]],M:M)</f>
        <v>2947594</v>
      </c>
      <c r="T4563" s="13">
        <f>SUMIF(N:N,Online_eCommerce[[#This Row],[Assigned Supervisor]],L:L)</f>
        <v>13693220</v>
      </c>
    </row>
    <row r="4564" spans="1:20" hidden="1" x14ac:dyDescent="0.3">
      <c r="A4564" t="s">
        <v>6704</v>
      </c>
      <c r="B4564" t="s">
        <v>232</v>
      </c>
      <c r="C4564" t="s">
        <v>155</v>
      </c>
      <c r="D4564" t="s">
        <v>6686</v>
      </c>
      <c r="E4564" t="s">
        <v>18</v>
      </c>
      <c r="F4564" t="s">
        <v>59</v>
      </c>
      <c r="G4564" t="s">
        <v>60</v>
      </c>
      <c r="H4564" t="s">
        <v>61</v>
      </c>
      <c r="I4564">
        <v>850</v>
      </c>
      <c r="J4564">
        <v>1105</v>
      </c>
      <c r="K4564">
        <v>2</v>
      </c>
      <c r="L4564">
        <v>1700</v>
      </c>
      <c r="M4564">
        <v>2210</v>
      </c>
      <c r="N4564" t="s">
        <v>28</v>
      </c>
      <c r="O4564">
        <f t="shared" si="142"/>
        <v>3315</v>
      </c>
      <c r="P4564" s="13">
        <f t="shared" si="143"/>
        <v>2753348</v>
      </c>
      <c r="Q4564" s="13">
        <f>SUMIFS(M:M,E:E,Online_eCommerce[[#This Row],[Status]])</f>
        <v>28340455</v>
      </c>
      <c r="R4564" s="13">
        <f>SUMIFS(L:L,H:H,Online_eCommerce[[#This Row],[Brand]])</f>
        <v>10950150</v>
      </c>
      <c r="S4564" s="13">
        <f>SUMIF(H:H,Online_eCommerce[[#This Row],[Brand]],M:M)</f>
        <v>14235195</v>
      </c>
      <c r="T4564" s="13">
        <f>SUMIF(N:N,Online_eCommerce[[#This Row],[Assigned Supervisor]],L:L)</f>
        <v>12220830</v>
      </c>
    </row>
    <row r="4565" spans="1:20" hidden="1" x14ac:dyDescent="0.3">
      <c r="A4565" t="s">
        <v>6705</v>
      </c>
      <c r="B4565" t="s">
        <v>235</v>
      </c>
      <c r="C4565" t="s">
        <v>160</v>
      </c>
      <c r="D4565" t="s">
        <v>6686</v>
      </c>
      <c r="E4565" t="s">
        <v>161</v>
      </c>
      <c r="F4565" t="s">
        <v>65</v>
      </c>
      <c r="G4565" t="s">
        <v>66</v>
      </c>
      <c r="H4565" t="s">
        <v>21</v>
      </c>
      <c r="I4565">
        <v>650</v>
      </c>
      <c r="J4565">
        <v>845</v>
      </c>
      <c r="K4565">
        <v>3</v>
      </c>
      <c r="L4565">
        <v>1950</v>
      </c>
      <c r="M4565">
        <v>2535</v>
      </c>
      <c r="N4565" t="s">
        <v>35</v>
      </c>
      <c r="O4565">
        <f t="shared" si="142"/>
        <v>1690</v>
      </c>
      <c r="P4565" s="13">
        <f t="shared" si="143"/>
        <v>2303483</v>
      </c>
      <c r="Q4565" s="13">
        <f>SUMIFS(M:M,E:E,Online_eCommerce[[#This Row],[Status]])</f>
        <v>21103186</v>
      </c>
      <c r="R4565" s="13">
        <f>SUMIFS(L:L,H:H,Online_eCommerce[[#This Row],[Brand]])</f>
        <v>12435650</v>
      </c>
      <c r="S4565" s="13">
        <f>SUMIF(H:H,Online_eCommerce[[#This Row],[Brand]],M:M)</f>
        <v>16166345</v>
      </c>
      <c r="T4565" s="13">
        <f>SUMIF(N:N,Online_eCommerce[[#This Row],[Assigned Supervisor]],L:L)</f>
        <v>14373360</v>
      </c>
    </row>
    <row r="4566" spans="1:20" x14ac:dyDescent="0.3">
      <c r="A4566" t="s">
        <v>6706</v>
      </c>
      <c r="B4566" t="s">
        <v>104</v>
      </c>
      <c r="C4566" t="s">
        <v>165</v>
      </c>
      <c r="D4566" t="s">
        <v>6707</v>
      </c>
      <c r="E4566" t="s">
        <v>46</v>
      </c>
      <c r="F4566" t="s">
        <v>70</v>
      </c>
      <c r="G4566" t="s">
        <v>71</v>
      </c>
      <c r="H4566" t="s">
        <v>61</v>
      </c>
      <c r="I4566">
        <v>7500</v>
      </c>
      <c r="J4566">
        <v>9750</v>
      </c>
      <c r="K4566">
        <v>4</v>
      </c>
      <c r="L4566">
        <v>30000</v>
      </c>
      <c r="M4566">
        <v>39000</v>
      </c>
      <c r="N4566" t="s">
        <v>42</v>
      </c>
      <c r="O4566">
        <f t="shared" si="142"/>
        <v>9750</v>
      </c>
      <c r="P4566" s="13">
        <f t="shared" si="143"/>
        <v>2674087</v>
      </c>
      <c r="Q4566" s="13">
        <f>SUMIFS(M:M,E:E,Online_eCommerce[[#This Row],[Status]])</f>
        <v>28620410</v>
      </c>
      <c r="R4566" s="13">
        <f>SUMIFS(L:L,H:H,Online_eCommerce[[#This Row],[Brand]])</f>
        <v>10950150</v>
      </c>
      <c r="S4566" s="13">
        <f>SUMIF(H:H,Online_eCommerce[[#This Row],[Brand]],M:M)</f>
        <v>14235195</v>
      </c>
      <c r="T4566" s="13">
        <f>SUMIF(N:N,Online_eCommerce[[#This Row],[Assigned Supervisor]],L:L)</f>
        <v>12261500</v>
      </c>
    </row>
    <row r="4567" spans="1:20" hidden="1" x14ac:dyDescent="0.3">
      <c r="A4567" t="s">
        <v>6708</v>
      </c>
      <c r="B4567" t="s">
        <v>109</v>
      </c>
      <c r="C4567" t="s">
        <v>168</v>
      </c>
      <c r="D4567" t="s">
        <v>6707</v>
      </c>
      <c r="E4567" t="s">
        <v>96</v>
      </c>
      <c r="F4567" t="s">
        <v>6694</v>
      </c>
      <c r="G4567" t="s">
        <v>77</v>
      </c>
      <c r="H4567" t="s">
        <v>78</v>
      </c>
      <c r="I4567">
        <v>10000</v>
      </c>
      <c r="J4567">
        <v>13000</v>
      </c>
      <c r="K4567">
        <v>4</v>
      </c>
      <c r="L4567">
        <v>40000</v>
      </c>
      <c r="M4567">
        <v>52000</v>
      </c>
      <c r="N4567" t="s">
        <v>50</v>
      </c>
      <c r="O4567">
        <f t="shared" si="142"/>
        <v>39000</v>
      </c>
      <c r="P4567" s="13">
        <f t="shared" si="143"/>
        <v>1937780</v>
      </c>
      <c r="Q4567" s="13">
        <f>SUMIFS(M:M,E:E,Online_eCommerce[[#This Row],[Status]])</f>
        <v>21233992</v>
      </c>
      <c r="R4567" s="13">
        <f>SUMIFS(L:L,H:H,Online_eCommerce[[#This Row],[Brand]])</f>
        <v>3720000</v>
      </c>
      <c r="S4567" s="13">
        <f>SUMIF(H:H,Online_eCommerce[[#This Row],[Brand]],M:M)</f>
        <v>4836000</v>
      </c>
      <c r="T4567" s="13">
        <f>SUMIF(N:N,Online_eCommerce[[#This Row],[Assigned Supervisor]],L:L)</f>
        <v>12100590</v>
      </c>
    </row>
    <row r="4568" spans="1:20" hidden="1" x14ac:dyDescent="0.3">
      <c r="A4568" t="s">
        <v>6709</v>
      </c>
      <c r="B4568" t="s">
        <v>114</v>
      </c>
      <c r="C4568" t="s">
        <v>172</v>
      </c>
      <c r="D4568" t="s">
        <v>6707</v>
      </c>
      <c r="E4568" t="s">
        <v>18</v>
      </c>
      <c r="F4568" t="s">
        <v>6710</v>
      </c>
      <c r="G4568" t="s">
        <v>20</v>
      </c>
      <c r="H4568" t="s">
        <v>21</v>
      </c>
      <c r="I4568">
        <v>10500</v>
      </c>
      <c r="J4568">
        <v>13650</v>
      </c>
      <c r="K4568">
        <v>3</v>
      </c>
      <c r="L4568">
        <v>31500</v>
      </c>
      <c r="M4568">
        <v>40950</v>
      </c>
      <c r="N4568" t="s">
        <v>56</v>
      </c>
      <c r="O4568">
        <f t="shared" si="142"/>
        <v>8450</v>
      </c>
      <c r="P4568" s="13">
        <f t="shared" si="143"/>
        <v>2640274</v>
      </c>
      <c r="Q4568" s="13">
        <f>SUMIFS(M:M,E:E,Online_eCommerce[[#This Row],[Status]])</f>
        <v>28340455</v>
      </c>
      <c r="R4568" s="13">
        <f>SUMIFS(L:L,H:H,Online_eCommerce[[#This Row],[Brand]])</f>
        <v>12435650</v>
      </c>
      <c r="S4568" s="13">
        <f>SUMIF(H:H,Online_eCommerce[[#This Row],[Brand]],M:M)</f>
        <v>16166345</v>
      </c>
      <c r="T4568" s="13">
        <f>SUMIF(N:N,Online_eCommerce[[#This Row],[Assigned Supervisor]],L:L)</f>
        <v>11733610</v>
      </c>
    </row>
    <row r="4569" spans="1:20" hidden="1" x14ac:dyDescent="0.3">
      <c r="A4569" t="s">
        <v>6711</v>
      </c>
      <c r="B4569" t="s">
        <v>119</v>
      </c>
      <c r="C4569" t="s">
        <v>177</v>
      </c>
      <c r="D4569" t="s">
        <v>6707</v>
      </c>
      <c r="E4569" t="s">
        <v>161</v>
      </c>
      <c r="F4569" t="s">
        <v>88</v>
      </c>
      <c r="G4569" t="s">
        <v>26</v>
      </c>
      <c r="H4569" t="s">
        <v>27</v>
      </c>
      <c r="I4569">
        <v>8500</v>
      </c>
      <c r="J4569">
        <v>11050</v>
      </c>
      <c r="K4569">
        <v>1</v>
      </c>
      <c r="L4569">
        <v>8500</v>
      </c>
      <c r="M4569">
        <v>11050</v>
      </c>
      <c r="N4569" t="s">
        <v>22</v>
      </c>
      <c r="O4569">
        <f t="shared" si="142"/>
        <v>33150</v>
      </c>
      <c r="P4569" s="13">
        <f t="shared" si="143"/>
        <v>1863810</v>
      </c>
      <c r="Q4569" s="13">
        <f>SUMIFS(M:M,E:E,Online_eCommerce[[#This Row],[Status]])</f>
        <v>21103186</v>
      </c>
      <c r="R4569" s="13">
        <f>SUMIFS(L:L,H:H,Online_eCommerce[[#This Row],[Brand]])</f>
        <v>14431000</v>
      </c>
      <c r="S4569" s="13">
        <f>SUMIF(H:H,Online_eCommerce[[#This Row],[Brand]],M:M)</f>
        <v>18760300</v>
      </c>
      <c r="T4569" s="13">
        <f>SUMIF(N:N,Online_eCommerce[[#This Row],[Assigned Supervisor]],L:L)</f>
        <v>13693220</v>
      </c>
    </row>
    <row r="4570" spans="1:20" x14ac:dyDescent="0.3">
      <c r="A4570" t="s">
        <v>6712</v>
      </c>
      <c r="B4570" t="s">
        <v>124</v>
      </c>
      <c r="C4570" t="s">
        <v>181</v>
      </c>
      <c r="D4570" t="s">
        <v>6707</v>
      </c>
      <c r="E4570" t="s">
        <v>46</v>
      </c>
      <c r="F4570" t="s">
        <v>32</v>
      </c>
      <c r="G4570" t="s">
        <v>33</v>
      </c>
      <c r="H4570" t="s">
        <v>34</v>
      </c>
      <c r="I4570">
        <v>7000</v>
      </c>
      <c r="J4570">
        <v>9100</v>
      </c>
      <c r="K4570">
        <v>1</v>
      </c>
      <c r="L4570">
        <v>7000</v>
      </c>
      <c r="M4570">
        <v>9100</v>
      </c>
      <c r="N4570" t="s">
        <v>28</v>
      </c>
      <c r="O4570">
        <f t="shared" si="142"/>
        <v>18200</v>
      </c>
      <c r="P4570" s="13">
        <f t="shared" si="143"/>
        <v>2577458</v>
      </c>
      <c r="Q4570" s="13">
        <f>SUMIFS(M:M,E:E,Online_eCommerce[[#This Row],[Status]])</f>
        <v>28620410</v>
      </c>
      <c r="R4570" s="13">
        <f>SUMIFS(L:L,H:H,Online_eCommerce[[#This Row],[Brand]])</f>
        <v>10087000</v>
      </c>
      <c r="S4570" s="13">
        <f>SUMIF(H:H,Online_eCommerce[[#This Row],[Brand]],M:M)</f>
        <v>13113100</v>
      </c>
      <c r="T4570" s="13">
        <f>SUMIF(N:N,Online_eCommerce[[#This Row],[Assigned Supervisor]],L:L)</f>
        <v>12220830</v>
      </c>
    </row>
    <row r="4571" spans="1:20" hidden="1" x14ac:dyDescent="0.3">
      <c r="A4571" t="s">
        <v>6713</v>
      </c>
      <c r="B4571" t="s">
        <v>128</v>
      </c>
      <c r="C4571" t="s">
        <v>185</v>
      </c>
      <c r="D4571" t="s">
        <v>6707</v>
      </c>
      <c r="E4571" t="s">
        <v>96</v>
      </c>
      <c r="F4571" t="s">
        <v>6714</v>
      </c>
      <c r="G4571" t="s">
        <v>256</v>
      </c>
      <c r="H4571" t="s">
        <v>41</v>
      </c>
      <c r="I4571">
        <v>1680</v>
      </c>
      <c r="J4571">
        <v>2184</v>
      </c>
      <c r="K4571">
        <v>3</v>
      </c>
      <c r="L4571">
        <v>5040</v>
      </c>
      <c r="M4571">
        <v>6552</v>
      </c>
      <c r="N4571" t="s">
        <v>35</v>
      </c>
      <c r="O4571">
        <f t="shared" si="142"/>
        <v>9100</v>
      </c>
      <c r="P4571" s="13">
        <f t="shared" si="143"/>
        <v>2091596</v>
      </c>
      <c r="Q4571" s="13">
        <f>SUMIFS(M:M,E:E,Online_eCommerce[[#This Row],[Status]])</f>
        <v>21233992</v>
      </c>
      <c r="R4571" s="13">
        <f>SUMIFS(L:L,H:H,Online_eCommerce[[#This Row],[Brand]])</f>
        <v>4260400</v>
      </c>
      <c r="S4571" s="13">
        <f>SUMIF(H:H,Online_eCommerce[[#This Row],[Brand]],M:M)</f>
        <v>5538520</v>
      </c>
      <c r="T4571" s="13">
        <f>SUMIF(N:N,Online_eCommerce[[#This Row],[Assigned Supervisor]],L:L)</f>
        <v>14373360</v>
      </c>
    </row>
    <row r="4572" spans="1:20" hidden="1" x14ac:dyDescent="0.3">
      <c r="A4572" t="s">
        <v>6715</v>
      </c>
      <c r="B4572" t="s">
        <v>131</v>
      </c>
      <c r="C4572" t="s">
        <v>189</v>
      </c>
      <c r="D4572" t="s">
        <v>6707</v>
      </c>
      <c r="E4572" t="s">
        <v>18</v>
      </c>
      <c r="F4572" t="s">
        <v>101</v>
      </c>
      <c r="G4572" t="s">
        <v>259</v>
      </c>
      <c r="H4572" t="s">
        <v>102</v>
      </c>
      <c r="I4572">
        <v>6540</v>
      </c>
      <c r="J4572">
        <v>8502</v>
      </c>
      <c r="K4572">
        <v>2</v>
      </c>
      <c r="L4572">
        <v>13080</v>
      </c>
      <c r="M4572">
        <v>17004</v>
      </c>
      <c r="N4572" t="s">
        <v>42</v>
      </c>
      <c r="O4572">
        <f t="shared" si="142"/>
        <v>11700</v>
      </c>
      <c r="P4572" s="13">
        <f t="shared" si="143"/>
        <v>2740777</v>
      </c>
      <c r="Q4572" s="13">
        <f>SUMIFS(M:M,E:E,Online_eCommerce[[#This Row],[Status]])</f>
        <v>28340455</v>
      </c>
      <c r="R4572" s="13">
        <f>SUMIFS(L:L,H:H,Online_eCommerce[[#This Row],[Brand]])</f>
        <v>2465580</v>
      </c>
      <c r="S4572" s="13">
        <f>SUMIF(H:H,Online_eCommerce[[#This Row],[Brand]],M:M)</f>
        <v>3205254</v>
      </c>
      <c r="T4572" s="13">
        <f>SUMIF(N:N,Online_eCommerce[[#This Row],[Assigned Supervisor]],L:L)</f>
        <v>12261500</v>
      </c>
    </row>
    <row r="4573" spans="1:20" hidden="1" x14ac:dyDescent="0.3">
      <c r="A4573" t="s">
        <v>6716</v>
      </c>
      <c r="B4573" t="s">
        <v>135</v>
      </c>
      <c r="C4573" t="s">
        <v>193</v>
      </c>
      <c r="D4573" t="s">
        <v>6707</v>
      </c>
      <c r="E4573" t="s">
        <v>161</v>
      </c>
      <c r="F4573" t="s">
        <v>107</v>
      </c>
      <c r="G4573" t="s">
        <v>54</v>
      </c>
      <c r="H4573" t="s">
        <v>55</v>
      </c>
      <c r="I4573">
        <v>2680</v>
      </c>
      <c r="J4573">
        <v>3484</v>
      </c>
      <c r="K4573">
        <v>2</v>
      </c>
      <c r="L4573">
        <v>5360</v>
      </c>
      <c r="M4573">
        <v>6968</v>
      </c>
      <c r="N4573" t="s">
        <v>50</v>
      </c>
      <c r="O4573">
        <f t="shared" si="142"/>
        <v>2990</v>
      </c>
      <c r="P4573" s="13">
        <f t="shared" si="143"/>
        <v>2074774</v>
      </c>
      <c r="Q4573" s="13">
        <f>SUMIFS(M:M,E:E,Online_eCommerce[[#This Row],[Status]])</f>
        <v>21103186</v>
      </c>
      <c r="R4573" s="13">
        <f>SUMIFS(L:L,H:H,Online_eCommerce[[#This Row],[Brand]])</f>
        <v>2267380</v>
      </c>
      <c r="S4573" s="13">
        <f>SUMIF(H:H,Online_eCommerce[[#This Row],[Brand]],M:M)</f>
        <v>2947594</v>
      </c>
      <c r="T4573" s="13">
        <f>SUMIF(N:N,Online_eCommerce[[#This Row],[Assigned Supervisor]],L:L)</f>
        <v>12100590</v>
      </c>
    </row>
    <row r="4574" spans="1:20" x14ac:dyDescent="0.3">
      <c r="A4574" t="s">
        <v>6717</v>
      </c>
      <c r="B4574" t="s">
        <v>139</v>
      </c>
      <c r="C4574" t="s">
        <v>197</v>
      </c>
      <c r="D4574" t="s">
        <v>6707</v>
      </c>
      <c r="E4574" t="s">
        <v>46</v>
      </c>
      <c r="F4574" t="s">
        <v>112</v>
      </c>
      <c r="G4574" t="s">
        <v>71</v>
      </c>
      <c r="H4574" t="s">
        <v>21</v>
      </c>
      <c r="I4574">
        <v>8250</v>
      </c>
      <c r="J4574">
        <v>10725</v>
      </c>
      <c r="K4574">
        <v>4</v>
      </c>
      <c r="L4574">
        <v>33000</v>
      </c>
      <c r="M4574">
        <v>42900</v>
      </c>
      <c r="N4574" t="s">
        <v>56</v>
      </c>
      <c r="O4574">
        <f t="shared" si="142"/>
        <v>9750</v>
      </c>
      <c r="P4574" s="13">
        <f t="shared" si="143"/>
        <v>2829840</v>
      </c>
      <c r="Q4574" s="13">
        <f>SUMIFS(M:M,E:E,Online_eCommerce[[#This Row],[Status]])</f>
        <v>28620410</v>
      </c>
      <c r="R4574" s="13">
        <f>SUMIFS(L:L,H:H,Online_eCommerce[[#This Row],[Brand]])</f>
        <v>12435650</v>
      </c>
      <c r="S4574" s="13">
        <f>SUMIF(H:H,Online_eCommerce[[#This Row],[Brand]],M:M)</f>
        <v>16166345</v>
      </c>
      <c r="T4574" s="13">
        <f>SUMIF(N:N,Online_eCommerce[[#This Row],[Assigned Supervisor]],L:L)</f>
        <v>11733610</v>
      </c>
    </row>
    <row r="4575" spans="1:20" hidden="1" x14ac:dyDescent="0.3">
      <c r="A4575" t="s">
        <v>6718</v>
      </c>
      <c r="B4575" t="s">
        <v>144</v>
      </c>
      <c r="C4575" t="s">
        <v>199</v>
      </c>
      <c r="D4575" t="s">
        <v>6707</v>
      </c>
      <c r="E4575" t="s">
        <v>96</v>
      </c>
      <c r="F4575" t="s">
        <v>6308</v>
      </c>
      <c r="G4575" t="s">
        <v>40</v>
      </c>
      <c r="H4575" t="s">
        <v>21</v>
      </c>
      <c r="I4575">
        <v>2650</v>
      </c>
      <c r="J4575">
        <v>3445</v>
      </c>
      <c r="K4575">
        <v>1</v>
      </c>
      <c r="L4575">
        <v>2650</v>
      </c>
      <c r="M4575">
        <v>3445</v>
      </c>
      <c r="N4575" t="s">
        <v>22</v>
      </c>
      <c r="O4575">
        <f t="shared" si="142"/>
        <v>25545</v>
      </c>
      <c r="P4575" s="13">
        <f t="shared" si="143"/>
        <v>1947361</v>
      </c>
      <c r="Q4575" s="13">
        <f>SUMIFS(M:M,E:E,Online_eCommerce[[#This Row],[Status]])</f>
        <v>21233992</v>
      </c>
      <c r="R4575" s="13">
        <f>SUMIFS(L:L,H:H,Online_eCommerce[[#This Row],[Brand]])</f>
        <v>12435650</v>
      </c>
      <c r="S4575" s="13">
        <f>SUMIF(H:H,Online_eCommerce[[#This Row],[Brand]],M:M)</f>
        <v>16166345</v>
      </c>
      <c r="T4575" s="13">
        <f>SUMIF(N:N,Online_eCommerce[[#This Row],[Assigned Supervisor]],L:L)</f>
        <v>13693220</v>
      </c>
    </row>
    <row r="4576" spans="1:20" hidden="1" x14ac:dyDescent="0.3">
      <c r="A4576" t="s">
        <v>6719</v>
      </c>
      <c r="B4576" t="s">
        <v>149</v>
      </c>
      <c r="C4576" t="s">
        <v>203</v>
      </c>
      <c r="D4576" t="s">
        <v>6720</v>
      </c>
      <c r="E4576" t="s">
        <v>18</v>
      </c>
      <c r="F4576" t="s">
        <v>121</v>
      </c>
      <c r="G4576" t="s">
        <v>71</v>
      </c>
      <c r="H4576" t="s">
        <v>122</v>
      </c>
      <c r="I4576">
        <v>12550</v>
      </c>
      <c r="J4576">
        <v>16315</v>
      </c>
      <c r="K4576">
        <v>3</v>
      </c>
      <c r="L4576">
        <v>37650</v>
      </c>
      <c r="M4576">
        <v>48945</v>
      </c>
      <c r="N4576" t="s">
        <v>28</v>
      </c>
      <c r="O4576">
        <f t="shared" si="142"/>
        <v>9750</v>
      </c>
      <c r="P4576" s="13">
        <f t="shared" si="143"/>
        <v>2559635</v>
      </c>
      <c r="Q4576" s="13">
        <f>SUMIFS(M:M,E:E,Online_eCommerce[[#This Row],[Status]])</f>
        <v>28340455</v>
      </c>
      <c r="R4576" s="13">
        <f>SUMIFS(L:L,H:H,Online_eCommerce[[#This Row],[Brand]])</f>
        <v>5045100</v>
      </c>
      <c r="S4576" s="13">
        <f>SUMIF(H:H,Online_eCommerce[[#This Row],[Brand]],M:M)</f>
        <v>6558630</v>
      </c>
      <c r="T4576" s="13">
        <f>SUMIF(N:N,Online_eCommerce[[#This Row],[Assigned Supervisor]],L:L)</f>
        <v>12220830</v>
      </c>
    </row>
    <row r="4577" spans="1:20" hidden="1" x14ac:dyDescent="0.3">
      <c r="A4577" t="s">
        <v>6721</v>
      </c>
      <c r="B4577" t="s">
        <v>154</v>
      </c>
      <c r="C4577" t="s">
        <v>205</v>
      </c>
      <c r="D4577" t="s">
        <v>6722</v>
      </c>
      <c r="E4577" t="s">
        <v>161</v>
      </c>
      <c r="F4577" t="s">
        <v>126</v>
      </c>
      <c r="G4577" t="s">
        <v>26</v>
      </c>
      <c r="H4577" t="s">
        <v>27</v>
      </c>
      <c r="I4577">
        <v>14500</v>
      </c>
      <c r="J4577">
        <v>18850</v>
      </c>
      <c r="K4577">
        <v>4</v>
      </c>
      <c r="L4577">
        <v>58000</v>
      </c>
      <c r="M4577">
        <v>75400</v>
      </c>
      <c r="N4577" t="s">
        <v>35</v>
      </c>
      <c r="O4577">
        <f t="shared" si="142"/>
        <v>33150</v>
      </c>
      <c r="P4577" s="13">
        <f t="shared" si="143"/>
        <v>1983254</v>
      </c>
      <c r="Q4577" s="13">
        <f>SUMIFS(M:M,E:E,Online_eCommerce[[#This Row],[Status]])</f>
        <v>21103186</v>
      </c>
      <c r="R4577" s="13">
        <f>SUMIFS(L:L,H:H,Online_eCommerce[[#This Row],[Brand]])</f>
        <v>14431000</v>
      </c>
      <c r="S4577" s="13">
        <f>SUMIF(H:H,Online_eCommerce[[#This Row],[Brand]],M:M)</f>
        <v>18760300</v>
      </c>
      <c r="T4577" s="13">
        <f>SUMIF(N:N,Online_eCommerce[[#This Row],[Assigned Supervisor]],L:L)</f>
        <v>14373360</v>
      </c>
    </row>
    <row r="4578" spans="1:20" x14ac:dyDescent="0.3">
      <c r="A4578" t="s">
        <v>6723</v>
      </c>
      <c r="B4578" t="s">
        <v>159</v>
      </c>
      <c r="C4578" t="s">
        <v>208</v>
      </c>
      <c r="D4578" t="s">
        <v>6724</v>
      </c>
      <c r="E4578" t="s">
        <v>46</v>
      </c>
      <c r="F4578" t="s">
        <v>129</v>
      </c>
      <c r="G4578" t="s">
        <v>60</v>
      </c>
      <c r="H4578" t="s">
        <v>61</v>
      </c>
      <c r="I4578">
        <v>800</v>
      </c>
      <c r="J4578">
        <v>1040</v>
      </c>
      <c r="K4578">
        <v>4</v>
      </c>
      <c r="L4578">
        <v>3200</v>
      </c>
      <c r="M4578">
        <v>4160</v>
      </c>
      <c r="N4578" t="s">
        <v>42</v>
      </c>
      <c r="O4578">
        <f t="shared" si="142"/>
        <v>3315</v>
      </c>
      <c r="P4578" s="13">
        <f t="shared" si="143"/>
        <v>2746575</v>
      </c>
      <c r="Q4578" s="13">
        <f>SUMIFS(M:M,E:E,Online_eCommerce[[#This Row],[Status]])</f>
        <v>28620410</v>
      </c>
      <c r="R4578" s="13">
        <f>SUMIFS(L:L,H:H,Online_eCommerce[[#This Row],[Brand]])</f>
        <v>10950150</v>
      </c>
      <c r="S4578" s="13">
        <f>SUMIF(H:H,Online_eCommerce[[#This Row],[Brand]],M:M)</f>
        <v>14235195</v>
      </c>
      <c r="T4578" s="13">
        <f>SUMIF(N:N,Online_eCommerce[[#This Row],[Assigned Supervisor]],L:L)</f>
        <v>12261500</v>
      </c>
    </row>
    <row r="4579" spans="1:20" hidden="1" x14ac:dyDescent="0.3">
      <c r="A4579" t="s">
        <v>6725</v>
      </c>
      <c r="B4579" t="s">
        <v>139</v>
      </c>
      <c r="C4579" t="s">
        <v>211</v>
      </c>
      <c r="D4579" t="s">
        <v>6726</v>
      </c>
      <c r="E4579" t="s">
        <v>96</v>
      </c>
      <c r="F4579" t="s">
        <v>133</v>
      </c>
      <c r="G4579" t="s">
        <v>66</v>
      </c>
      <c r="H4579" t="s">
        <v>21</v>
      </c>
      <c r="I4579">
        <v>600</v>
      </c>
      <c r="J4579">
        <v>780</v>
      </c>
      <c r="K4579">
        <v>3</v>
      </c>
      <c r="L4579">
        <v>1800</v>
      </c>
      <c r="M4579">
        <v>2340</v>
      </c>
      <c r="N4579" t="s">
        <v>50</v>
      </c>
      <c r="O4579">
        <f t="shared" si="142"/>
        <v>1690</v>
      </c>
      <c r="P4579" s="13">
        <f t="shared" si="143"/>
        <v>1809847</v>
      </c>
      <c r="Q4579" s="13">
        <f>SUMIFS(M:M,E:E,Online_eCommerce[[#This Row],[Status]])</f>
        <v>21233992</v>
      </c>
      <c r="R4579" s="13">
        <f>SUMIFS(L:L,H:H,Online_eCommerce[[#This Row],[Brand]])</f>
        <v>12435650</v>
      </c>
      <c r="S4579" s="13">
        <f>SUMIF(H:H,Online_eCommerce[[#This Row],[Brand]],M:M)</f>
        <v>16166345</v>
      </c>
      <c r="T4579" s="13">
        <f>SUMIF(N:N,Online_eCommerce[[#This Row],[Assigned Supervisor]],L:L)</f>
        <v>12100590</v>
      </c>
    </row>
    <row r="4580" spans="1:20" hidden="1" x14ac:dyDescent="0.3">
      <c r="A4580" t="s">
        <v>6727</v>
      </c>
      <c r="B4580" t="s">
        <v>144</v>
      </c>
      <c r="C4580" t="s">
        <v>16</v>
      </c>
      <c r="D4580" t="s">
        <v>6728</v>
      </c>
      <c r="E4580" t="s">
        <v>18</v>
      </c>
      <c r="F4580" t="s">
        <v>137</v>
      </c>
      <c r="G4580" t="s">
        <v>71</v>
      </c>
      <c r="H4580" t="s">
        <v>61</v>
      </c>
      <c r="I4580">
        <v>10500</v>
      </c>
      <c r="J4580">
        <v>13650</v>
      </c>
      <c r="K4580">
        <v>3</v>
      </c>
      <c r="L4580">
        <v>31500</v>
      </c>
      <c r="M4580">
        <v>40950</v>
      </c>
      <c r="N4580" t="s">
        <v>56</v>
      </c>
      <c r="O4580">
        <f t="shared" si="142"/>
        <v>9750</v>
      </c>
      <c r="P4580" s="13">
        <f t="shared" si="143"/>
        <v>2751814</v>
      </c>
      <c r="Q4580" s="13">
        <f>SUMIFS(M:M,E:E,Online_eCommerce[[#This Row],[Status]])</f>
        <v>28340455</v>
      </c>
      <c r="R4580" s="13">
        <f>SUMIFS(L:L,H:H,Online_eCommerce[[#This Row],[Brand]])</f>
        <v>10950150</v>
      </c>
      <c r="S4580" s="13">
        <f>SUMIF(H:H,Online_eCommerce[[#This Row],[Brand]],M:M)</f>
        <v>14235195</v>
      </c>
      <c r="T4580" s="13">
        <f>SUMIF(N:N,Online_eCommerce[[#This Row],[Assigned Supervisor]],L:L)</f>
        <v>11733610</v>
      </c>
    </row>
    <row r="4581" spans="1:20" hidden="1" x14ac:dyDescent="0.3">
      <c r="A4581" t="s">
        <v>6729</v>
      </c>
      <c r="B4581" t="s">
        <v>235</v>
      </c>
      <c r="C4581" t="s">
        <v>24</v>
      </c>
      <c r="D4581" t="s">
        <v>6730</v>
      </c>
      <c r="E4581" t="s">
        <v>161</v>
      </c>
      <c r="F4581" t="s">
        <v>6694</v>
      </c>
      <c r="G4581" t="s">
        <v>77</v>
      </c>
      <c r="H4581" t="s">
        <v>142</v>
      </c>
      <c r="I4581">
        <v>6500</v>
      </c>
      <c r="J4581">
        <v>8450</v>
      </c>
      <c r="K4581">
        <v>2</v>
      </c>
      <c r="L4581">
        <v>13000</v>
      </c>
      <c r="M4581">
        <v>16900</v>
      </c>
      <c r="N4581" t="s">
        <v>22</v>
      </c>
      <c r="O4581">
        <f t="shared" si="142"/>
        <v>39000</v>
      </c>
      <c r="P4581" s="13">
        <f t="shared" si="143"/>
        <v>2009540</v>
      </c>
      <c r="Q4581" s="13">
        <f>SUMIFS(M:M,E:E,Online_eCommerce[[#This Row],[Status]])</f>
        <v>21103186</v>
      </c>
      <c r="R4581" s="13">
        <f>SUMIFS(L:L,H:H,Online_eCommerce[[#This Row],[Brand]])</f>
        <v>6192500</v>
      </c>
      <c r="S4581" s="13">
        <f>SUMIF(H:H,Online_eCommerce[[#This Row],[Brand]],M:M)</f>
        <v>8050250</v>
      </c>
      <c r="T4581" s="13">
        <f>SUMIF(N:N,Online_eCommerce[[#This Row],[Assigned Supervisor]],L:L)</f>
        <v>13693220</v>
      </c>
    </row>
    <row r="4582" spans="1:20" x14ac:dyDescent="0.3">
      <c r="A4582" t="s">
        <v>6731</v>
      </c>
      <c r="B4582" t="s">
        <v>176</v>
      </c>
      <c r="C4582" t="s">
        <v>31</v>
      </c>
      <c r="D4582" t="s">
        <v>6732</v>
      </c>
      <c r="E4582" t="s">
        <v>46</v>
      </c>
      <c r="F4582" t="s">
        <v>6733</v>
      </c>
      <c r="G4582" t="s">
        <v>20</v>
      </c>
      <c r="H4582" t="s">
        <v>21</v>
      </c>
      <c r="I4582">
        <v>4500</v>
      </c>
      <c r="J4582">
        <v>5850</v>
      </c>
      <c r="K4582">
        <v>4</v>
      </c>
      <c r="L4582">
        <v>18000</v>
      </c>
      <c r="M4582">
        <v>23400</v>
      </c>
      <c r="N4582" t="s">
        <v>28</v>
      </c>
      <c r="O4582">
        <f t="shared" si="142"/>
        <v>8450</v>
      </c>
      <c r="P4582" s="13">
        <f t="shared" si="143"/>
        <v>2865746</v>
      </c>
      <c r="Q4582" s="13">
        <f>SUMIFS(M:M,E:E,Online_eCommerce[[#This Row],[Status]])</f>
        <v>28620410</v>
      </c>
      <c r="R4582" s="13">
        <f>SUMIFS(L:L,H:H,Online_eCommerce[[#This Row],[Brand]])</f>
        <v>12435650</v>
      </c>
      <c r="S4582" s="13">
        <f>SUMIF(H:H,Online_eCommerce[[#This Row],[Brand]],M:M)</f>
        <v>16166345</v>
      </c>
      <c r="T4582" s="13">
        <f>SUMIF(N:N,Online_eCommerce[[#This Row],[Assigned Supervisor]],L:L)</f>
        <v>12220830</v>
      </c>
    </row>
    <row r="4583" spans="1:20" hidden="1" x14ac:dyDescent="0.3">
      <c r="A4583" t="s">
        <v>6734</v>
      </c>
      <c r="B4583" t="s">
        <v>276</v>
      </c>
      <c r="C4583" t="s">
        <v>38</v>
      </c>
      <c r="D4583" t="s">
        <v>6735</v>
      </c>
      <c r="E4583" t="s">
        <v>96</v>
      </c>
      <c r="F4583" t="s">
        <v>152</v>
      </c>
      <c r="G4583" t="s">
        <v>26</v>
      </c>
      <c r="H4583" t="s">
        <v>27</v>
      </c>
      <c r="I4583">
        <v>8500</v>
      </c>
      <c r="J4583">
        <v>11050</v>
      </c>
      <c r="K4583">
        <v>4</v>
      </c>
      <c r="L4583">
        <v>34000</v>
      </c>
      <c r="M4583">
        <v>44200</v>
      </c>
      <c r="N4583" t="s">
        <v>35</v>
      </c>
      <c r="O4583">
        <f t="shared" si="142"/>
        <v>33150</v>
      </c>
      <c r="P4583" s="13">
        <f t="shared" si="143"/>
        <v>1933997</v>
      </c>
      <c r="Q4583" s="13">
        <f>SUMIFS(M:M,E:E,Online_eCommerce[[#This Row],[Status]])</f>
        <v>21233992</v>
      </c>
      <c r="R4583" s="13">
        <f>SUMIFS(L:L,H:H,Online_eCommerce[[#This Row],[Brand]])</f>
        <v>14431000</v>
      </c>
      <c r="S4583" s="13">
        <f>SUMIF(H:H,Online_eCommerce[[#This Row],[Brand]],M:M)</f>
        <v>18760300</v>
      </c>
      <c r="T4583" s="13">
        <f>SUMIF(N:N,Online_eCommerce[[#This Row],[Assigned Supervisor]],L:L)</f>
        <v>14373360</v>
      </c>
    </row>
    <row r="4584" spans="1:20" hidden="1" x14ac:dyDescent="0.3">
      <c r="A4584" t="s">
        <v>6736</v>
      </c>
      <c r="B4584" t="s">
        <v>280</v>
      </c>
      <c r="C4584" t="s">
        <v>45</v>
      </c>
      <c r="D4584" t="s">
        <v>6737</v>
      </c>
      <c r="E4584" t="s">
        <v>18</v>
      </c>
      <c r="F4584" t="s">
        <v>157</v>
      </c>
      <c r="G4584" t="s">
        <v>33</v>
      </c>
      <c r="H4584" t="s">
        <v>34</v>
      </c>
      <c r="I4584">
        <v>12500</v>
      </c>
      <c r="J4584">
        <v>16250</v>
      </c>
      <c r="K4584">
        <v>1</v>
      </c>
      <c r="L4584">
        <v>12500</v>
      </c>
      <c r="M4584">
        <v>16250</v>
      </c>
      <c r="N4584" t="s">
        <v>42</v>
      </c>
      <c r="O4584">
        <f t="shared" si="142"/>
        <v>18200</v>
      </c>
      <c r="P4584" s="13">
        <f t="shared" si="143"/>
        <v>2842554</v>
      </c>
      <c r="Q4584" s="13">
        <f>SUMIFS(M:M,E:E,Online_eCommerce[[#This Row],[Status]])</f>
        <v>28340455</v>
      </c>
      <c r="R4584" s="13">
        <f>SUMIFS(L:L,H:H,Online_eCommerce[[#This Row],[Brand]])</f>
        <v>10087000</v>
      </c>
      <c r="S4584" s="13">
        <f>SUMIF(H:H,Online_eCommerce[[#This Row],[Brand]],M:M)</f>
        <v>13113100</v>
      </c>
      <c r="T4584" s="13">
        <f>SUMIF(N:N,Online_eCommerce[[#This Row],[Assigned Supervisor]],L:L)</f>
        <v>12261500</v>
      </c>
    </row>
    <row r="4585" spans="1:20" hidden="1" x14ac:dyDescent="0.3">
      <c r="A4585" t="s">
        <v>6738</v>
      </c>
      <c r="B4585" t="s">
        <v>283</v>
      </c>
      <c r="C4585" t="s">
        <v>52</v>
      </c>
      <c r="D4585" t="s">
        <v>6739</v>
      </c>
      <c r="E4585" t="s">
        <v>161</v>
      </c>
      <c r="F4585" t="s">
        <v>6358</v>
      </c>
      <c r="G4585" t="s">
        <v>40</v>
      </c>
      <c r="H4585" t="s">
        <v>41</v>
      </c>
      <c r="I4585">
        <v>3500</v>
      </c>
      <c r="J4585">
        <v>4550</v>
      </c>
      <c r="K4585">
        <v>2</v>
      </c>
      <c r="L4585">
        <v>7000</v>
      </c>
      <c r="M4585">
        <v>9100</v>
      </c>
      <c r="N4585" t="s">
        <v>50</v>
      </c>
      <c r="O4585">
        <f t="shared" si="142"/>
        <v>25545</v>
      </c>
      <c r="P4585" s="13">
        <f t="shared" si="143"/>
        <v>1955044</v>
      </c>
      <c r="Q4585" s="13">
        <f>SUMIFS(M:M,E:E,Online_eCommerce[[#This Row],[Status]])</f>
        <v>21103186</v>
      </c>
      <c r="R4585" s="13">
        <f>SUMIFS(L:L,H:H,Online_eCommerce[[#This Row],[Brand]])</f>
        <v>4260400</v>
      </c>
      <c r="S4585" s="13">
        <f>SUMIF(H:H,Online_eCommerce[[#This Row],[Brand]],M:M)</f>
        <v>5538520</v>
      </c>
      <c r="T4585" s="13">
        <f>SUMIF(N:N,Online_eCommerce[[#This Row],[Assigned Supervisor]],L:L)</f>
        <v>12100590</v>
      </c>
    </row>
    <row r="4586" spans="1:20" x14ac:dyDescent="0.3">
      <c r="A4586" t="s">
        <v>6740</v>
      </c>
      <c r="B4586" t="s">
        <v>287</v>
      </c>
      <c r="C4586" t="s">
        <v>58</v>
      </c>
      <c r="D4586" t="s">
        <v>6739</v>
      </c>
      <c r="E4586" t="s">
        <v>46</v>
      </c>
      <c r="F4586" t="s">
        <v>166</v>
      </c>
      <c r="G4586" t="s">
        <v>334</v>
      </c>
      <c r="H4586" t="s">
        <v>49</v>
      </c>
      <c r="I4586">
        <v>4500</v>
      </c>
      <c r="J4586">
        <v>5850</v>
      </c>
      <c r="K4586">
        <v>1</v>
      </c>
      <c r="L4586">
        <v>4500</v>
      </c>
      <c r="M4586">
        <v>5850</v>
      </c>
      <c r="N4586" t="s">
        <v>56</v>
      </c>
      <c r="O4586">
        <f t="shared" si="142"/>
        <v>39780</v>
      </c>
      <c r="P4586" s="13">
        <f t="shared" si="143"/>
        <v>2629211</v>
      </c>
      <c r="Q4586" s="13">
        <f>SUMIFS(M:M,E:E,Online_eCommerce[[#This Row],[Status]])</f>
        <v>28620410</v>
      </c>
      <c r="R4586" s="13">
        <f>SUMIFS(L:L,H:H,Online_eCommerce[[#This Row],[Brand]])</f>
        <v>4528350</v>
      </c>
      <c r="S4586" s="13">
        <f>SUMIF(H:H,Online_eCommerce[[#This Row],[Brand]],M:M)</f>
        <v>5886855</v>
      </c>
      <c r="T4586" s="13">
        <f>SUMIF(N:N,Online_eCommerce[[#This Row],[Assigned Supervisor]],L:L)</f>
        <v>11733610</v>
      </c>
    </row>
    <row r="4587" spans="1:20" hidden="1" x14ac:dyDescent="0.3">
      <c r="A4587" t="s">
        <v>6741</v>
      </c>
      <c r="B4587" t="s">
        <v>290</v>
      </c>
      <c r="C4587" t="s">
        <v>63</v>
      </c>
      <c r="D4587" t="s">
        <v>6739</v>
      </c>
      <c r="E4587" t="s">
        <v>96</v>
      </c>
      <c r="F4587" t="s">
        <v>6742</v>
      </c>
      <c r="G4587" t="s">
        <v>54</v>
      </c>
      <c r="H4587" t="s">
        <v>55</v>
      </c>
      <c r="I4587">
        <v>2100</v>
      </c>
      <c r="J4587">
        <v>2730</v>
      </c>
      <c r="K4587">
        <v>4</v>
      </c>
      <c r="L4587">
        <v>8400</v>
      </c>
      <c r="M4587">
        <v>10920</v>
      </c>
      <c r="N4587" t="s">
        <v>22</v>
      </c>
      <c r="O4587">
        <f t="shared" si="142"/>
        <v>2990</v>
      </c>
      <c r="P4587" s="13">
        <f t="shared" si="143"/>
        <v>2016131</v>
      </c>
      <c r="Q4587" s="13">
        <f>SUMIFS(M:M,E:E,Online_eCommerce[[#This Row],[Status]])</f>
        <v>21233992</v>
      </c>
      <c r="R4587" s="13">
        <f>SUMIFS(L:L,H:H,Online_eCommerce[[#This Row],[Brand]])</f>
        <v>2267380</v>
      </c>
      <c r="S4587" s="13">
        <f>SUMIF(H:H,Online_eCommerce[[#This Row],[Brand]],M:M)</f>
        <v>2947594</v>
      </c>
      <c r="T4587" s="13">
        <f>SUMIF(N:N,Online_eCommerce[[#This Row],[Assigned Supervisor]],L:L)</f>
        <v>13693220</v>
      </c>
    </row>
    <row r="4588" spans="1:20" hidden="1" x14ac:dyDescent="0.3">
      <c r="A4588" t="s">
        <v>6743</v>
      </c>
      <c r="B4588" t="s">
        <v>15</v>
      </c>
      <c r="C4588" t="s">
        <v>68</v>
      </c>
      <c r="D4588" t="s">
        <v>6739</v>
      </c>
      <c r="E4588" t="s">
        <v>18</v>
      </c>
      <c r="F4588" t="s">
        <v>174</v>
      </c>
      <c r="G4588" t="s">
        <v>60</v>
      </c>
      <c r="H4588" t="s">
        <v>61</v>
      </c>
      <c r="I4588">
        <v>1150</v>
      </c>
      <c r="J4588">
        <v>1495</v>
      </c>
      <c r="K4588">
        <v>3</v>
      </c>
      <c r="L4588">
        <v>3450</v>
      </c>
      <c r="M4588">
        <v>4485</v>
      </c>
      <c r="N4588" t="s">
        <v>28</v>
      </c>
      <c r="O4588">
        <f t="shared" si="142"/>
        <v>3315</v>
      </c>
      <c r="P4588" s="13">
        <f t="shared" si="143"/>
        <v>2974621</v>
      </c>
      <c r="Q4588" s="13">
        <f>SUMIFS(M:M,E:E,Online_eCommerce[[#This Row],[Status]])</f>
        <v>28340455</v>
      </c>
      <c r="R4588" s="13">
        <f>SUMIFS(L:L,H:H,Online_eCommerce[[#This Row],[Brand]])</f>
        <v>10950150</v>
      </c>
      <c r="S4588" s="13">
        <f>SUMIF(H:H,Online_eCommerce[[#This Row],[Brand]],M:M)</f>
        <v>14235195</v>
      </c>
      <c r="T4588" s="13">
        <f>SUMIF(N:N,Online_eCommerce[[#This Row],[Assigned Supervisor]],L:L)</f>
        <v>12220830</v>
      </c>
    </row>
    <row r="4589" spans="1:20" hidden="1" x14ac:dyDescent="0.3">
      <c r="A4589" t="s">
        <v>6744</v>
      </c>
      <c r="B4589" t="s">
        <v>202</v>
      </c>
      <c r="C4589" t="s">
        <v>74</v>
      </c>
      <c r="D4589" t="s">
        <v>6739</v>
      </c>
      <c r="E4589" t="s">
        <v>161</v>
      </c>
      <c r="F4589" t="s">
        <v>179</v>
      </c>
      <c r="G4589" t="s">
        <v>66</v>
      </c>
      <c r="H4589" t="s">
        <v>21</v>
      </c>
      <c r="I4589">
        <v>350</v>
      </c>
      <c r="J4589">
        <v>455</v>
      </c>
      <c r="K4589">
        <v>3</v>
      </c>
      <c r="L4589">
        <v>1050</v>
      </c>
      <c r="M4589">
        <v>1365</v>
      </c>
      <c r="N4589" t="s">
        <v>35</v>
      </c>
      <c r="O4589">
        <f t="shared" si="142"/>
        <v>1690</v>
      </c>
      <c r="P4589" s="13">
        <f t="shared" si="143"/>
        <v>2144701</v>
      </c>
      <c r="Q4589" s="13">
        <f>SUMIFS(M:M,E:E,Online_eCommerce[[#This Row],[Status]])</f>
        <v>21103186</v>
      </c>
      <c r="R4589" s="13">
        <f>SUMIFS(L:L,H:H,Online_eCommerce[[#This Row],[Brand]])</f>
        <v>12435650</v>
      </c>
      <c r="S4589" s="13">
        <f>SUMIF(H:H,Online_eCommerce[[#This Row],[Brand]],M:M)</f>
        <v>16166345</v>
      </c>
      <c r="T4589" s="13">
        <f>SUMIF(N:N,Online_eCommerce[[#This Row],[Assigned Supervisor]],L:L)</f>
        <v>14373360</v>
      </c>
    </row>
    <row r="4590" spans="1:20" x14ac:dyDescent="0.3">
      <c r="A4590" t="s">
        <v>6745</v>
      </c>
      <c r="B4590" t="s">
        <v>30</v>
      </c>
      <c r="C4590" t="s">
        <v>81</v>
      </c>
      <c r="D4590" t="s">
        <v>6739</v>
      </c>
      <c r="E4590" t="s">
        <v>46</v>
      </c>
      <c r="F4590" t="s">
        <v>183</v>
      </c>
      <c r="G4590" t="s">
        <v>71</v>
      </c>
      <c r="H4590" t="s">
        <v>61</v>
      </c>
      <c r="I4590">
        <v>9500</v>
      </c>
      <c r="J4590">
        <v>12350</v>
      </c>
      <c r="K4590">
        <v>2</v>
      </c>
      <c r="L4590">
        <v>19000</v>
      </c>
      <c r="M4590">
        <v>24700</v>
      </c>
      <c r="N4590" t="s">
        <v>42</v>
      </c>
      <c r="O4590">
        <f t="shared" si="142"/>
        <v>9750</v>
      </c>
      <c r="P4590" s="13">
        <f t="shared" si="143"/>
        <v>2595632</v>
      </c>
      <c r="Q4590" s="13">
        <f>SUMIFS(M:M,E:E,Online_eCommerce[[#This Row],[Status]])</f>
        <v>28620410</v>
      </c>
      <c r="R4590" s="13">
        <f>SUMIFS(L:L,H:H,Online_eCommerce[[#This Row],[Brand]])</f>
        <v>10950150</v>
      </c>
      <c r="S4590" s="13">
        <f>SUMIF(H:H,Online_eCommerce[[#This Row],[Brand]],M:M)</f>
        <v>14235195</v>
      </c>
      <c r="T4590" s="13">
        <f>SUMIF(N:N,Online_eCommerce[[#This Row],[Assigned Supervisor]],L:L)</f>
        <v>12261500</v>
      </c>
    </row>
    <row r="4591" spans="1:20" hidden="1" x14ac:dyDescent="0.3">
      <c r="A4591" t="s">
        <v>6746</v>
      </c>
      <c r="B4591" t="s">
        <v>37</v>
      </c>
      <c r="C4591" t="s">
        <v>86</v>
      </c>
      <c r="D4591" t="s">
        <v>6739</v>
      </c>
      <c r="E4591" t="s">
        <v>96</v>
      </c>
      <c r="F4591" t="s">
        <v>6747</v>
      </c>
      <c r="G4591" t="s">
        <v>77</v>
      </c>
      <c r="H4591" t="s">
        <v>142</v>
      </c>
      <c r="I4591">
        <v>10000</v>
      </c>
      <c r="J4591">
        <v>13000</v>
      </c>
      <c r="K4591">
        <v>3</v>
      </c>
      <c r="L4591">
        <v>30000</v>
      </c>
      <c r="M4591">
        <v>39000</v>
      </c>
      <c r="N4591" t="s">
        <v>50</v>
      </c>
      <c r="O4591">
        <f t="shared" si="142"/>
        <v>39000</v>
      </c>
      <c r="P4591" s="13">
        <f t="shared" si="143"/>
        <v>1941225</v>
      </c>
      <c r="Q4591" s="13">
        <f>SUMIFS(M:M,E:E,Online_eCommerce[[#This Row],[Status]])</f>
        <v>21233992</v>
      </c>
      <c r="R4591" s="13">
        <f>SUMIFS(L:L,H:H,Online_eCommerce[[#This Row],[Brand]])</f>
        <v>6192500</v>
      </c>
      <c r="S4591" s="13">
        <f>SUMIF(H:H,Online_eCommerce[[#This Row],[Brand]],M:M)</f>
        <v>8050250</v>
      </c>
      <c r="T4591" s="13">
        <f>SUMIF(N:N,Online_eCommerce[[#This Row],[Assigned Supervisor]],L:L)</f>
        <v>12100590</v>
      </c>
    </row>
    <row r="4592" spans="1:20" hidden="1" x14ac:dyDescent="0.3">
      <c r="A4592" t="s">
        <v>6748</v>
      </c>
      <c r="B4592" t="s">
        <v>44</v>
      </c>
      <c r="C4592" t="s">
        <v>91</v>
      </c>
      <c r="D4592" t="s">
        <v>6739</v>
      </c>
      <c r="E4592" t="s">
        <v>18</v>
      </c>
      <c r="F4592" t="s">
        <v>6749</v>
      </c>
      <c r="G4592" t="s">
        <v>20</v>
      </c>
      <c r="H4592" t="s">
        <v>21</v>
      </c>
      <c r="I4592">
        <v>6500</v>
      </c>
      <c r="J4592">
        <v>8450</v>
      </c>
      <c r="K4592">
        <v>2</v>
      </c>
      <c r="L4592">
        <v>13000</v>
      </c>
      <c r="M4592">
        <v>16900</v>
      </c>
      <c r="N4592" t="s">
        <v>56</v>
      </c>
      <c r="O4592">
        <f t="shared" si="142"/>
        <v>8450</v>
      </c>
      <c r="P4592" s="13">
        <f t="shared" si="143"/>
        <v>2731963</v>
      </c>
      <c r="Q4592" s="13">
        <f>SUMIFS(M:M,E:E,Online_eCommerce[[#This Row],[Status]])</f>
        <v>28340455</v>
      </c>
      <c r="R4592" s="13">
        <f>SUMIFS(L:L,H:H,Online_eCommerce[[#This Row],[Brand]])</f>
        <v>12435650</v>
      </c>
      <c r="S4592" s="13">
        <f>SUMIF(H:H,Online_eCommerce[[#This Row],[Brand]],M:M)</f>
        <v>16166345</v>
      </c>
      <c r="T4592" s="13">
        <f>SUMIF(N:N,Online_eCommerce[[#This Row],[Assigned Supervisor]],L:L)</f>
        <v>11733610</v>
      </c>
    </row>
    <row r="4593" spans="1:20" hidden="1" x14ac:dyDescent="0.3">
      <c r="A4593" t="s">
        <v>6750</v>
      </c>
      <c r="B4593" t="s">
        <v>213</v>
      </c>
      <c r="C4593" t="s">
        <v>94</v>
      </c>
      <c r="D4593" t="s">
        <v>6739</v>
      </c>
      <c r="E4593" t="s">
        <v>161</v>
      </c>
      <c r="F4593" t="s">
        <v>6751</v>
      </c>
      <c r="G4593" t="s">
        <v>26</v>
      </c>
      <c r="H4593" t="s">
        <v>27</v>
      </c>
      <c r="I4593">
        <v>8500</v>
      </c>
      <c r="J4593">
        <v>11050</v>
      </c>
      <c r="K4593">
        <v>4</v>
      </c>
      <c r="L4593">
        <v>34000</v>
      </c>
      <c r="M4593">
        <v>44200</v>
      </c>
      <c r="N4593" t="s">
        <v>22</v>
      </c>
      <c r="O4593">
        <f t="shared" si="142"/>
        <v>33150</v>
      </c>
      <c r="P4593" s="13">
        <f t="shared" si="143"/>
        <v>1868256</v>
      </c>
      <c r="Q4593" s="13">
        <f>SUMIFS(M:M,E:E,Online_eCommerce[[#This Row],[Status]])</f>
        <v>21103186</v>
      </c>
      <c r="R4593" s="13">
        <f>SUMIFS(L:L,H:H,Online_eCommerce[[#This Row],[Brand]])</f>
        <v>14431000</v>
      </c>
      <c r="S4593" s="13">
        <f>SUMIF(H:H,Online_eCommerce[[#This Row],[Brand]],M:M)</f>
        <v>18760300</v>
      </c>
      <c r="T4593" s="13">
        <f>SUMIF(N:N,Online_eCommerce[[#This Row],[Assigned Supervisor]],L:L)</f>
        <v>13693220</v>
      </c>
    </row>
    <row r="4594" spans="1:20" x14ac:dyDescent="0.3">
      <c r="A4594" t="s">
        <v>6752</v>
      </c>
      <c r="B4594" t="s">
        <v>215</v>
      </c>
      <c r="C4594" t="s">
        <v>99</v>
      </c>
      <c r="D4594" t="s">
        <v>6739</v>
      </c>
      <c r="E4594" t="s">
        <v>46</v>
      </c>
      <c r="F4594" t="s">
        <v>32</v>
      </c>
      <c r="G4594" t="s">
        <v>33</v>
      </c>
      <c r="H4594" t="s">
        <v>34</v>
      </c>
      <c r="I4594">
        <v>7000</v>
      </c>
      <c r="J4594">
        <v>9100</v>
      </c>
      <c r="K4594">
        <v>2</v>
      </c>
      <c r="L4594">
        <v>14000</v>
      </c>
      <c r="M4594">
        <v>18200</v>
      </c>
      <c r="N4594" t="s">
        <v>28</v>
      </c>
      <c r="O4594">
        <f t="shared" si="142"/>
        <v>18200</v>
      </c>
      <c r="P4594" s="13">
        <f t="shared" si="143"/>
        <v>2651233</v>
      </c>
      <c r="Q4594" s="13">
        <f>SUMIFS(M:M,E:E,Online_eCommerce[[#This Row],[Status]])</f>
        <v>28620410</v>
      </c>
      <c r="R4594" s="13">
        <f>SUMIFS(L:L,H:H,Online_eCommerce[[#This Row],[Brand]])</f>
        <v>10087000</v>
      </c>
      <c r="S4594" s="13">
        <f>SUMIF(H:H,Online_eCommerce[[#This Row],[Brand]],M:M)</f>
        <v>13113100</v>
      </c>
      <c r="T4594" s="13">
        <f>SUMIF(N:N,Online_eCommerce[[#This Row],[Assigned Supervisor]],L:L)</f>
        <v>12220830</v>
      </c>
    </row>
    <row r="4595" spans="1:20" hidden="1" x14ac:dyDescent="0.3">
      <c r="A4595" t="s">
        <v>6753</v>
      </c>
      <c r="B4595" t="s">
        <v>306</v>
      </c>
      <c r="C4595" t="s">
        <v>105</v>
      </c>
      <c r="D4595" t="s">
        <v>6739</v>
      </c>
      <c r="E4595" t="s">
        <v>96</v>
      </c>
      <c r="F4595" t="s">
        <v>6754</v>
      </c>
      <c r="G4595" t="s">
        <v>40</v>
      </c>
      <c r="H4595" t="s">
        <v>41</v>
      </c>
      <c r="I4595">
        <v>6550</v>
      </c>
      <c r="J4595">
        <v>8515</v>
      </c>
      <c r="K4595">
        <v>4</v>
      </c>
      <c r="L4595">
        <v>26200</v>
      </c>
      <c r="M4595">
        <v>34060</v>
      </c>
      <c r="N4595" t="s">
        <v>35</v>
      </c>
      <c r="O4595">
        <f t="shared" si="142"/>
        <v>25545</v>
      </c>
      <c r="P4595" s="13">
        <f t="shared" si="143"/>
        <v>1866852</v>
      </c>
      <c r="Q4595" s="13">
        <f>SUMIFS(M:M,E:E,Online_eCommerce[[#This Row],[Status]])</f>
        <v>21233992</v>
      </c>
      <c r="R4595" s="13">
        <f>SUMIFS(L:L,H:H,Online_eCommerce[[#This Row],[Brand]])</f>
        <v>4260400</v>
      </c>
      <c r="S4595" s="13">
        <f>SUMIF(H:H,Online_eCommerce[[#This Row],[Brand]],M:M)</f>
        <v>5538520</v>
      </c>
      <c r="T4595" s="13">
        <f>SUMIF(N:N,Online_eCommerce[[#This Row],[Assigned Supervisor]],L:L)</f>
        <v>14373360</v>
      </c>
    </row>
    <row r="4596" spans="1:20" hidden="1" x14ac:dyDescent="0.3">
      <c r="A4596" t="s">
        <v>6755</v>
      </c>
      <c r="B4596" t="s">
        <v>528</v>
      </c>
      <c r="C4596" t="s">
        <v>110</v>
      </c>
      <c r="D4596" t="s">
        <v>6739</v>
      </c>
      <c r="E4596" t="s">
        <v>18</v>
      </c>
      <c r="F4596" t="s">
        <v>47</v>
      </c>
      <c r="G4596" t="s">
        <v>334</v>
      </c>
      <c r="H4596" t="s">
        <v>49</v>
      </c>
      <c r="I4596">
        <v>7650</v>
      </c>
      <c r="J4596">
        <v>9945</v>
      </c>
      <c r="K4596">
        <v>4</v>
      </c>
      <c r="L4596">
        <v>30600</v>
      </c>
      <c r="M4596">
        <v>39780</v>
      </c>
      <c r="N4596" t="s">
        <v>42</v>
      </c>
      <c r="O4596">
        <f t="shared" si="142"/>
        <v>39780</v>
      </c>
      <c r="P4596" s="13">
        <f t="shared" si="143"/>
        <v>2598635</v>
      </c>
      <c r="Q4596" s="13">
        <f>SUMIFS(M:M,E:E,Online_eCommerce[[#This Row],[Status]])</f>
        <v>28340455</v>
      </c>
      <c r="R4596" s="13">
        <f>SUMIFS(L:L,H:H,Online_eCommerce[[#This Row],[Brand]])</f>
        <v>4528350</v>
      </c>
      <c r="S4596" s="13">
        <f>SUMIF(H:H,Online_eCommerce[[#This Row],[Brand]],M:M)</f>
        <v>5886855</v>
      </c>
      <c r="T4596" s="13">
        <f>SUMIF(N:N,Online_eCommerce[[#This Row],[Assigned Supervisor]],L:L)</f>
        <v>12261500</v>
      </c>
    </row>
    <row r="4597" spans="1:20" hidden="1" x14ac:dyDescent="0.3">
      <c r="A4597" t="s">
        <v>6756</v>
      </c>
      <c r="B4597" t="s">
        <v>73</v>
      </c>
      <c r="C4597" t="s">
        <v>115</v>
      </c>
      <c r="D4597" t="s">
        <v>6757</v>
      </c>
      <c r="E4597" t="s">
        <v>161</v>
      </c>
      <c r="F4597" t="s">
        <v>53</v>
      </c>
      <c r="G4597" t="s">
        <v>54</v>
      </c>
      <c r="H4597" t="s">
        <v>55</v>
      </c>
      <c r="I4597">
        <v>1150</v>
      </c>
      <c r="J4597">
        <v>1495</v>
      </c>
      <c r="K4597">
        <v>2</v>
      </c>
      <c r="L4597">
        <v>2300</v>
      </c>
      <c r="M4597">
        <v>2990</v>
      </c>
      <c r="N4597" t="s">
        <v>50</v>
      </c>
      <c r="O4597">
        <f t="shared" si="142"/>
        <v>2990</v>
      </c>
      <c r="P4597" s="13">
        <f t="shared" si="143"/>
        <v>2050178</v>
      </c>
      <c r="Q4597" s="13">
        <f>SUMIFS(M:M,E:E,Online_eCommerce[[#This Row],[Status]])</f>
        <v>21103186</v>
      </c>
      <c r="R4597" s="13">
        <f>SUMIFS(L:L,H:H,Online_eCommerce[[#This Row],[Brand]])</f>
        <v>2267380</v>
      </c>
      <c r="S4597" s="13">
        <f>SUMIF(H:H,Online_eCommerce[[#This Row],[Brand]],M:M)</f>
        <v>2947594</v>
      </c>
      <c r="T4597" s="13">
        <f>SUMIF(N:N,Online_eCommerce[[#This Row],[Assigned Supervisor]],L:L)</f>
        <v>12100590</v>
      </c>
    </row>
    <row r="4598" spans="1:20" x14ac:dyDescent="0.3">
      <c r="A4598" t="s">
        <v>6758</v>
      </c>
      <c r="B4598" t="s">
        <v>80</v>
      </c>
      <c r="C4598" t="s">
        <v>120</v>
      </c>
      <c r="D4598" t="s">
        <v>6759</v>
      </c>
      <c r="E4598" t="s">
        <v>46</v>
      </c>
      <c r="F4598" t="s">
        <v>59</v>
      </c>
      <c r="G4598" t="s">
        <v>60</v>
      </c>
      <c r="H4598" t="s">
        <v>61</v>
      </c>
      <c r="I4598">
        <v>850</v>
      </c>
      <c r="J4598">
        <v>1105</v>
      </c>
      <c r="K4598">
        <v>4</v>
      </c>
      <c r="L4598">
        <v>3400</v>
      </c>
      <c r="M4598">
        <v>4420</v>
      </c>
      <c r="N4598" t="s">
        <v>56</v>
      </c>
      <c r="O4598">
        <f t="shared" si="142"/>
        <v>3315</v>
      </c>
      <c r="P4598" s="13">
        <f t="shared" si="143"/>
        <v>2734212</v>
      </c>
      <c r="Q4598" s="13">
        <f>SUMIFS(M:M,E:E,Online_eCommerce[[#This Row],[Status]])</f>
        <v>28620410</v>
      </c>
      <c r="R4598" s="13">
        <f>SUMIFS(L:L,H:H,Online_eCommerce[[#This Row],[Brand]])</f>
        <v>10950150</v>
      </c>
      <c r="S4598" s="13">
        <f>SUMIF(H:H,Online_eCommerce[[#This Row],[Brand]],M:M)</f>
        <v>14235195</v>
      </c>
      <c r="T4598" s="13">
        <f>SUMIF(N:N,Online_eCommerce[[#This Row],[Assigned Supervisor]],L:L)</f>
        <v>11733610</v>
      </c>
    </row>
    <row r="4599" spans="1:20" hidden="1" x14ac:dyDescent="0.3">
      <c r="A4599" t="s">
        <v>6760</v>
      </c>
      <c r="B4599" t="s">
        <v>85</v>
      </c>
      <c r="C4599" t="s">
        <v>125</v>
      </c>
      <c r="D4599" t="s">
        <v>6761</v>
      </c>
      <c r="E4599" t="s">
        <v>96</v>
      </c>
      <c r="F4599" t="s">
        <v>65</v>
      </c>
      <c r="G4599" t="s">
        <v>66</v>
      </c>
      <c r="H4599" t="s">
        <v>21</v>
      </c>
      <c r="I4599">
        <v>650</v>
      </c>
      <c r="J4599">
        <v>845</v>
      </c>
      <c r="K4599">
        <v>2</v>
      </c>
      <c r="L4599">
        <v>1300</v>
      </c>
      <c r="M4599">
        <v>1690</v>
      </c>
      <c r="N4599" t="s">
        <v>22</v>
      </c>
      <c r="O4599">
        <f t="shared" si="142"/>
        <v>1690</v>
      </c>
      <c r="P4599" s="13">
        <f t="shared" si="143"/>
        <v>2091154</v>
      </c>
      <c r="Q4599" s="13">
        <f>SUMIFS(M:M,E:E,Online_eCommerce[[#This Row],[Status]])</f>
        <v>21233992</v>
      </c>
      <c r="R4599" s="13">
        <f>SUMIFS(L:L,H:H,Online_eCommerce[[#This Row],[Brand]])</f>
        <v>12435650</v>
      </c>
      <c r="S4599" s="13">
        <f>SUMIF(H:H,Online_eCommerce[[#This Row],[Brand]],M:M)</f>
        <v>16166345</v>
      </c>
      <c r="T4599" s="13">
        <f>SUMIF(N:N,Online_eCommerce[[#This Row],[Assigned Supervisor]],L:L)</f>
        <v>13693220</v>
      </c>
    </row>
    <row r="4600" spans="1:20" hidden="1" x14ac:dyDescent="0.3">
      <c r="A4600" t="s">
        <v>6762</v>
      </c>
      <c r="B4600" t="s">
        <v>90</v>
      </c>
      <c r="C4600" t="s">
        <v>22</v>
      </c>
      <c r="D4600" t="s">
        <v>6763</v>
      </c>
      <c r="E4600" t="s">
        <v>18</v>
      </c>
      <c r="F4600" t="s">
        <v>70</v>
      </c>
      <c r="G4600" t="s">
        <v>71</v>
      </c>
      <c r="H4600" t="s">
        <v>61</v>
      </c>
      <c r="I4600">
        <v>7500</v>
      </c>
      <c r="J4600">
        <v>9750</v>
      </c>
      <c r="K4600">
        <v>1</v>
      </c>
      <c r="L4600">
        <v>7500</v>
      </c>
      <c r="M4600">
        <v>9750</v>
      </c>
      <c r="N4600" t="s">
        <v>28</v>
      </c>
      <c r="O4600">
        <f t="shared" si="142"/>
        <v>9750</v>
      </c>
      <c r="P4600" s="13">
        <f t="shared" si="143"/>
        <v>2551588</v>
      </c>
      <c r="Q4600" s="13">
        <f>SUMIFS(M:M,E:E,Online_eCommerce[[#This Row],[Status]])</f>
        <v>28340455</v>
      </c>
      <c r="R4600" s="13">
        <f>SUMIFS(L:L,H:H,Online_eCommerce[[#This Row],[Brand]])</f>
        <v>10950150</v>
      </c>
      <c r="S4600" s="13">
        <f>SUMIF(H:H,Online_eCommerce[[#This Row],[Brand]],M:M)</f>
        <v>14235195</v>
      </c>
      <c r="T4600" s="13">
        <f>SUMIF(N:N,Online_eCommerce[[#This Row],[Assigned Supervisor]],L:L)</f>
        <v>12220830</v>
      </c>
    </row>
    <row r="4601" spans="1:20" hidden="1" x14ac:dyDescent="0.3">
      <c r="A4601" t="s">
        <v>6764</v>
      </c>
      <c r="B4601" t="s">
        <v>232</v>
      </c>
      <c r="C4601" t="s">
        <v>132</v>
      </c>
      <c r="D4601" t="s">
        <v>6765</v>
      </c>
      <c r="E4601" t="s">
        <v>161</v>
      </c>
      <c r="F4601" t="s">
        <v>6747</v>
      </c>
      <c r="G4601" t="s">
        <v>77</v>
      </c>
      <c r="H4601" t="s">
        <v>78</v>
      </c>
      <c r="I4601">
        <v>10000</v>
      </c>
      <c r="J4601">
        <v>13000</v>
      </c>
      <c r="K4601">
        <v>3</v>
      </c>
      <c r="L4601">
        <v>30000</v>
      </c>
      <c r="M4601">
        <v>39000</v>
      </c>
      <c r="N4601" t="s">
        <v>35</v>
      </c>
      <c r="O4601">
        <f t="shared" si="142"/>
        <v>39000</v>
      </c>
      <c r="P4601" s="13">
        <f t="shared" si="143"/>
        <v>1989065</v>
      </c>
      <c r="Q4601" s="13">
        <f>SUMIFS(M:M,E:E,Online_eCommerce[[#This Row],[Status]])</f>
        <v>21103186</v>
      </c>
      <c r="R4601" s="13">
        <f>SUMIFS(L:L,H:H,Online_eCommerce[[#This Row],[Brand]])</f>
        <v>3720000</v>
      </c>
      <c r="S4601" s="13">
        <f>SUMIF(H:H,Online_eCommerce[[#This Row],[Brand]],M:M)</f>
        <v>4836000</v>
      </c>
      <c r="T4601" s="13">
        <f>SUMIF(N:N,Online_eCommerce[[#This Row],[Assigned Supervisor]],L:L)</f>
        <v>14373360</v>
      </c>
    </row>
    <row r="4602" spans="1:20" x14ac:dyDescent="0.3">
      <c r="A4602" t="s">
        <v>6766</v>
      </c>
      <c r="B4602" t="s">
        <v>235</v>
      </c>
      <c r="C4602" t="s">
        <v>136</v>
      </c>
      <c r="D4602" t="s">
        <v>6767</v>
      </c>
      <c r="E4602" t="s">
        <v>46</v>
      </c>
      <c r="F4602" t="s">
        <v>6768</v>
      </c>
      <c r="G4602" t="s">
        <v>20</v>
      </c>
      <c r="H4602" t="s">
        <v>21</v>
      </c>
      <c r="I4602">
        <v>10500</v>
      </c>
      <c r="J4602">
        <v>13650</v>
      </c>
      <c r="K4602">
        <v>1</v>
      </c>
      <c r="L4602">
        <v>10500</v>
      </c>
      <c r="M4602">
        <v>13650</v>
      </c>
      <c r="N4602" t="s">
        <v>42</v>
      </c>
      <c r="O4602">
        <f t="shared" si="142"/>
        <v>8450</v>
      </c>
      <c r="P4602" s="13">
        <f t="shared" si="143"/>
        <v>2775162</v>
      </c>
      <c r="Q4602" s="13">
        <f>SUMIFS(M:M,E:E,Online_eCommerce[[#This Row],[Status]])</f>
        <v>28620410</v>
      </c>
      <c r="R4602" s="13">
        <f>SUMIFS(L:L,H:H,Online_eCommerce[[#This Row],[Brand]])</f>
        <v>12435650</v>
      </c>
      <c r="S4602" s="13">
        <f>SUMIF(H:H,Online_eCommerce[[#This Row],[Brand]],M:M)</f>
        <v>16166345</v>
      </c>
      <c r="T4602" s="13">
        <f>SUMIF(N:N,Online_eCommerce[[#This Row],[Assigned Supervisor]],L:L)</f>
        <v>12261500</v>
      </c>
    </row>
    <row r="4603" spans="1:20" hidden="1" x14ac:dyDescent="0.3">
      <c r="A4603" t="s">
        <v>6769</v>
      </c>
      <c r="B4603" t="s">
        <v>104</v>
      </c>
      <c r="C4603" t="s">
        <v>140</v>
      </c>
      <c r="D4603" t="s">
        <v>6770</v>
      </c>
      <c r="E4603" t="s">
        <v>96</v>
      </c>
      <c r="F4603" t="s">
        <v>88</v>
      </c>
      <c r="G4603" t="s">
        <v>26</v>
      </c>
      <c r="H4603" t="s">
        <v>27</v>
      </c>
      <c r="I4603">
        <v>8500</v>
      </c>
      <c r="J4603">
        <v>11050</v>
      </c>
      <c r="K4603">
        <v>2</v>
      </c>
      <c r="L4603">
        <v>17000</v>
      </c>
      <c r="M4603">
        <v>22100</v>
      </c>
      <c r="N4603" t="s">
        <v>50</v>
      </c>
      <c r="O4603">
        <f t="shared" si="142"/>
        <v>33150</v>
      </c>
      <c r="P4603" s="13">
        <f t="shared" si="143"/>
        <v>2058264</v>
      </c>
      <c r="Q4603" s="13">
        <f>SUMIFS(M:M,E:E,Online_eCommerce[[#This Row],[Status]])</f>
        <v>21233992</v>
      </c>
      <c r="R4603" s="13">
        <f>SUMIFS(L:L,H:H,Online_eCommerce[[#This Row],[Brand]])</f>
        <v>14431000</v>
      </c>
      <c r="S4603" s="13">
        <f>SUMIF(H:H,Online_eCommerce[[#This Row],[Brand]],M:M)</f>
        <v>18760300</v>
      </c>
      <c r="T4603" s="13">
        <f>SUMIF(N:N,Online_eCommerce[[#This Row],[Assigned Supervisor]],L:L)</f>
        <v>12100590</v>
      </c>
    </row>
    <row r="4604" spans="1:20" hidden="1" x14ac:dyDescent="0.3">
      <c r="A4604" t="s">
        <v>6771</v>
      </c>
      <c r="B4604" t="s">
        <v>109</v>
      </c>
      <c r="C4604" t="s">
        <v>145</v>
      </c>
      <c r="D4604" t="s">
        <v>6772</v>
      </c>
      <c r="E4604" t="s">
        <v>18</v>
      </c>
      <c r="F4604" t="s">
        <v>32</v>
      </c>
      <c r="G4604" t="s">
        <v>33</v>
      </c>
      <c r="H4604" t="s">
        <v>34</v>
      </c>
      <c r="I4604">
        <v>7000</v>
      </c>
      <c r="J4604">
        <v>9100</v>
      </c>
      <c r="K4604">
        <v>4</v>
      </c>
      <c r="L4604">
        <v>28000</v>
      </c>
      <c r="M4604">
        <v>36400</v>
      </c>
      <c r="N4604" t="s">
        <v>56</v>
      </c>
      <c r="O4604">
        <f t="shared" si="142"/>
        <v>18200</v>
      </c>
      <c r="P4604" s="13">
        <f t="shared" si="143"/>
        <v>2757859</v>
      </c>
      <c r="Q4604" s="13">
        <f>SUMIFS(M:M,E:E,Online_eCommerce[[#This Row],[Status]])</f>
        <v>28340455</v>
      </c>
      <c r="R4604" s="13">
        <f>SUMIFS(L:L,H:H,Online_eCommerce[[#This Row],[Brand]])</f>
        <v>10087000</v>
      </c>
      <c r="S4604" s="13">
        <f>SUMIF(H:H,Online_eCommerce[[#This Row],[Brand]],M:M)</f>
        <v>13113100</v>
      </c>
      <c r="T4604" s="13">
        <f>SUMIF(N:N,Online_eCommerce[[#This Row],[Assigned Supervisor]],L:L)</f>
        <v>11733610</v>
      </c>
    </row>
    <row r="4605" spans="1:20" hidden="1" x14ac:dyDescent="0.3">
      <c r="A4605" t="s">
        <v>6773</v>
      </c>
      <c r="B4605" t="s">
        <v>114</v>
      </c>
      <c r="C4605" t="s">
        <v>150</v>
      </c>
      <c r="D4605" t="s">
        <v>6774</v>
      </c>
      <c r="E4605" t="s">
        <v>161</v>
      </c>
      <c r="F4605" t="s">
        <v>6775</v>
      </c>
      <c r="G4605" t="s">
        <v>40</v>
      </c>
      <c r="H4605" t="s">
        <v>41</v>
      </c>
      <c r="I4605">
        <v>1680</v>
      </c>
      <c r="J4605">
        <v>2184</v>
      </c>
      <c r="K4605">
        <v>4</v>
      </c>
      <c r="L4605">
        <v>6720</v>
      </c>
      <c r="M4605">
        <v>8736</v>
      </c>
      <c r="N4605" t="s">
        <v>22</v>
      </c>
      <c r="O4605">
        <f t="shared" si="142"/>
        <v>25545</v>
      </c>
      <c r="P4605" s="13">
        <f t="shared" si="143"/>
        <v>2154984</v>
      </c>
      <c r="Q4605" s="13">
        <f>SUMIFS(M:M,E:E,Online_eCommerce[[#This Row],[Status]])</f>
        <v>21103186</v>
      </c>
      <c r="R4605" s="13">
        <f>SUMIFS(L:L,H:H,Online_eCommerce[[#This Row],[Brand]])</f>
        <v>4260400</v>
      </c>
      <c r="S4605" s="13">
        <f>SUMIF(H:H,Online_eCommerce[[#This Row],[Brand]],M:M)</f>
        <v>5538520</v>
      </c>
      <c r="T4605" s="13">
        <f>SUMIF(N:N,Online_eCommerce[[#This Row],[Assigned Supervisor]],L:L)</f>
        <v>13693220</v>
      </c>
    </row>
    <row r="4606" spans="1:20" x14ac:dyDescent="0.3">
      <c r="A4606" t="s">
        <v>6776</v>
      </c>
      <c r="B4606" t="s">
        <v>119</v>
      </c>
      <c r="C4606" t="s">
        <v>155</v>
      </c>
      <c r="D4606" t="s">
        <v>6777</v>
      </c>
      <c r="E4606" t="s">
        <v>46</v>
      </c>
      <c r="F4606" t="s">
        <v>101</v>
      </c>
      <c r="G4606" t="s">
        <v>334</v>
      </c>
      <c r="H4606" t="s">
        <v>102</v>
      </c>
      <c r="I4606">
        <v>6540</v>
      </c>
      <c r="J4606">
        <v>8502</v>
      </c>
      <c r="K4606">
        <v>3</v>
      </c>
      <c r="L4606">
        <v>19620</v>
      </c>
      <c r="M4606">
        <v>25506</v>
      </c>
      <c r="N4606" t="s">
        <v>28</v>
      </c>
      <c r="O4606">
        <f t="shared" si="142"/>
        <v>39780</v>
      </c>
      <c r="P4606" s="13">
        <f t="shared" si="143"/>
        <v>2753348</v>
      </c>
      <c r="Q4606" s="13">
        <f>SUMIFS(M:M,E:E,Online_eCommerce[[#This Row],[Status]])</f>
        <v>28620410</v>
      </c>
      <c r="R4606" s="13">
        <f>SUMIFS(L:L,H:H,Online_eCommerce[[#This Row],[Brand]])</f>
        <v>2465580</v>
      </c>
      <c r="S4606" s="13">
        <f>SUMIF(H:H,Online_eCommerce[[#This Row],[Brand]],M:M)</f>
        <v>3205254</v>
      </c>
      <c r="T4606" s="13">
        <f>SUMIF(N:N,Online_eCommerce[[#This Row],[Assigned Supervisor]],L:L)</f>
        <v>12220830</v>
      </c>
    </row>
    <row r="4607" spans="1:20" hidden="1" x14ac:dyDescent="0.3">
      <c r="A4607" t="s">
        <v>6778</v>
      </c>
      <c r="B4607" t="s">
        <v>124</v>
      </c>
      <c r="C4607" t="s">
        <v>160</v>
      </c>
      <c r="D4607" t="s">
        <v>6779</v>
      </c>
      <c r="E4607" t="s">
        <v>96</v>
      </c>
      <c r="F4607" t="s">
        <v>107</v>
      </c>
      <c r="G4607" t="s">
        <v>54</v>
      </c>
      <c r="H4607" t="s">
        <v>55</v>
      </c>
      <c r="I4607">
        <v>2680</v>
      </c>
      <c r="J4607">
        <v>3484</v>
      </c>
      <c r="K4607">
        <v>2</v>
      </c>
      <c r="L4607">
        <v>5360</v>
      </c>
      <c r="M4607">
        <v>6968</v>
      </c>
      <c r="N4607" t="s">
        <v>35</v>
      </c>
      <c r="O4607">
        <f t="shared" si="142"/>
        <v>2990</v>
      </c>
      <c r="P4607" s="13">
        <f t="shared" si="143"/>
        <v>2303483</v>
      </c>
      <c r="Q4607" s="13">
        <f>SUMIFS(M:M,E:E,Online_eCommerce[[#This Row],[Status]])</f>
        <v>21233992</v>
      </c>
      <c r="R4607" s="13">
        <f>SUMIFS(L:L,H:H,Online_eCommerce[[#This Row],[Brand]])</f>
        <v>2267380</v>
      </c>
      <c r="S4607" s="13">
        <f>SUMIF(H:H,Online_eCommerce[[#This Row],[Brand]],M:M)</f>
        <v>2947594</v>
      </c>
      <c r="T4607" s="13">
        <f>SUMIF(N:N,Online_eCommerce[[#This Row],[Assigned Supervisor]],L:L)</f>
        <v>14373360</v>
      </c>
    </row>
    <row r="4608" spans="1:20" hidden="1" x14ac:dyDescent="0.3">
      <c r="A4608" t="s">
        <v>6780</v>
      </c>
      <c r="B4608" t="s">
        <v>128</v>
      </c>
      <c r="C4608" t="s">
        <v>165</v>
      </c>
      <c r="D4608" t="s">
        <v>6781</v>
      </c>
      <c r="E4608" t="s">
        <v>18</v>
      </c>
      <c r="F4608" t="s">
        <v>112</v>
      </c>
      <c r="G4608" t="s">
        <v>71</v>
      </c>
      <c r="H4608" t="s">
        <v>21</v>
      </c>
      <c r="I4608">
        <v>8250</v>
      </c>
      <c r="J4608">
        <v>10725</v>
      </c>
      <c r="K4608">
        <v>2</v>
      </c>
      <c r="L4608">
        <v>16500</v>
      </c>
      <c r="M4608">
        <v>21450</v>
      </c>
      <c r="N4608" t="s">
        <v>42</v>
      </c>
      <c r="O4608">
        <f t="shared" si="142"/>
        <v>9750</v>
      </c>
      <c r="P4608" s="13">
        <f t="shared" si="143"/>
        <v>2674087</v>
      </c>
      <c r="Q4608" s="13">
        <f>SUMIFS(M:M,E:E,Online_eCommerce[[#This Row],[Status]])</f>
        <v>28340455</v>
      </c>
      <c r="R4608" s="13">
        <f>SUMIFS(L:L,H:H,Online_eCommerce[[#This Row],[Brand]])</f>
        <v>12435650</v>
      </c>
      <c r="S4608" s="13">
        <f>SUMIF(H:H,Online_eCommerce[[#This Row],[Brand]],M:M)</f>
        <v>16166345</v>
      </c>
      <c r="T4608" s="13">
        <f>SUMIF(N:N,Online_eCommerce[[#This Row],[Assigned Supervisor]],L:L)</f>
        <v>12261500</v>
      </c>
    </row>
    <row r="4609" spans="1:20" hidden="1" x14ac:dyDescent="0.3">
      <c r="A4609" t="s">
        <v>6782</v>
      </c>
      <c r="B4609" t="s">
        <v>131</v>
      </c>
      <c r="C4609" t="s">
        <v>168</v>
      </c>
      <c r="D4609" t="s">
        <v>6783</v>
      </c>
      <c r="E4609" t="s">
        <v>161</v>
      </c>
      <c r="F4609" t="s">
        <v>6358</v>
      </c>
      <c r="G4609" t="s">
        <v>40</v>
      </c>
      <c r="H4609" t="s">
        <v>21</v>
      </c>
      <c r="I4609">
        <v>2650</v>
      </c>
      <c r="J4609">
        <v>3445</v>
      </c>
      <c r="K4609">
        <v>2</v>
      </c>
      <c r="L4609">
        <v>5300</v>
      </c>
      <c r="M4609">
        <v>6890</v>
      </c>
      <c r="N4609" t="s">
        <v>50</v>
      </c>
      <c r="O4609">
        <f t="shared" si="142"/>
        <v>25545</v>
      </c>
      <c r="P4609" s="13">
        <f t="shared" si="143"/>
        <v>1937780</v>
      </c>
      <c r="Q4609" s="13">
        <f>SUMIFS(M:M,E:E,Online_eCommerce[[#This Row],[Status]])</f>
        <v>21103186</v>
      </c>
      <c r="R4609" s="13">
        <f>SUMIFS(L:L,H:H,Online_eCommerce[[#This Row],[Brand]])</f>
        <v>12435650</v>
      </c>
      <c r="S4609" s="13">
        <f>SUMIF(H:H,Online_eCommerce[[#This Row],[Brand]],M:M)</f>
        <v>16166345</v>
      </c>
      <c r="T4609" s="13">
        <f>SUMIF(N:N,Online_eCommerce[[#This Row],[Assigned Supervisor]],L:L)</f>
        <v>12100590</v>
      </c>
    </row>
    <row r="4610" spans="1:20" x14ac:dyDescent="0.3">
      <c r="A4610" t="s">
        <v>6784</v>
      </c>
      <c r="B4610" t="s">
        <v>135</v>
      </c>
      <c r="C4610" t="s">
        <v>172</v>
      </c>
      <c r="D4610" t="s">
        <v>6785</v>
      </c>
      <c r="E4610" t="s">
        <v>46</v>
      </c>
      <c r="F4610" t="s">
        <v>121</v>
      </c>
      <c r="G4610" t="s">
        <v>71</v>
      </c>
      <c r="H4610" t="s">
        <v>122</v>
      </c>
      <c r="I4610">
        <v>12550</v>
      </c>
      <c r="J4610">
        <v>16315</v>
      </c>
      <c r="K4610">
        <v>1</v>
      </c>
      <c r="L4610">
        <v>12550</v>
      </c>
      <c r="M4610">
        <v>16315</v>
      </c>
      <c r="N4610" t="s">
        <v>56</v>
      </c>
      <c r="O4610">
        <f t="shared" ref="O4610:O4673" si="144">VLOOKUP(G4610,G:M,7,FALSE)</f>
        <v>9750</v>
      </c>
      <c r="P4610" s="13">
        <f t="shared" ref="P4610:P4673" si="145">SUMIFS(M:M,C:C,C4610)</f>
        <v>2640274</v>
      </c>
      <c r="Q4610" s="13">
        <f>SUMIFS(M:M,E:E,Online_eCommerce[[#This Row],[Status]])</f>
        <v>28620410</v>
      </c>
      <c r="R4610" s="13">
        <f>SUMIFS(L:L,H:H,Online_eCommerce[[#This Row],[Brand]])</f>
        <v>5045100</v>
      </c>
      <c r="S4610" s="13">
        <f>SUMIF(H:H,Online_eCommerce[[#This Row],[Brand]],M:M)</f>
        <v>6558630</v>
      </c>
      <c r="T4610" s="13">
        <f>SUMIF(N:N,Online_eCommerce[[#This Row],[Assigned Supervisor]],L:L)</f>
        <v>11733610</v>
      </c>
    </row>
    <row r="4611" spans="1:20" hidden="1" x14ac:dyDescent="0.3">
      <c r="A4611" t="s">
        <v>6786</v>
      </c>
      <c r="B4611" t="s">
        <v>139</v>
      </c>
      <c r="C4611" t="s">
        <v>177</v>
      </c>
      <c r="D4611" t="s">
        <v>6787</v>
      </c>
      <c r="E4611" t="s">
        <v>96</v>
      </c>
      <c r="F4611" t="s">
        <v>126</v>
      </c>
      <c r="G4611" t="s">
        <v>26</v>
      </c>
      <c r="H4611" t="s">
        <v>27</v>
      </c>
      <c r="I4611">
        <v>14500</v>
      </c>
      <c r="J4611">
        <v>18850</v>
      </c>
      <c r="K4611">
        <v>1</v>
      </c>
      <c r="L4611">
        <v>14500</v>
      </c>
      <c r="M4611">
        <v>18850</v>
      </c>
      <c r="N4611" t="s">
        <v>22</v>
      </c>
      <c r="O4611">
        <f t="shared" si="144"/>
        <v>33150</v>
      </c>
      <c r="P4611" s="13">
        <f t="shared" si="145"/>
        <v>1863810</v>
      </c>
      <c r="Q4611" s="13">
        <f>SUMIFS(M:M,E:E,Online_eCommerce[[#This Row],[Status]])</f>
        <v>21233992</v>
      </c>
      <c r="R4611" s="13">
        <f>SUMIFS(L:L,H:H,Online_eCommerce[[#This Row],[Brand]])</f>
        <v>14431000</v>
      </c>
      <c r="S4611" s="13">
        <f>SUMIF(H:H,Online_eCommerce[[#This Row],[Brand]],M:M)</f>
        <v>18760300</v>
      </c>
      <c r="T4611" s="13">
        <f>SUMIF(N:N,Online_eCommerce[[#This Row],[Assigned Supervisor]],L:L)</f>
        <v>13693220</v>
      </c>
    </row>
    <row r="4612" spans="1:20" hidden="1" x14ac:dyDescent="0.3">
      <c r="A4612" t="s">
        <v>6788</v>
      </c>
      <c r="B4612" t="s">
        <v>144</v>
      </c>
      <c r="C4612" t="s">
        <v>181</v>
      </c>
      <c r="D4612" t="s">
        <v>6787</v>
      </c>
      <c r="E4612" t="s">
        <v>18</v>
      </c>
      <c r="F4612" t="s">
        <v>129</v>
      </c>
      <c r="G4612" t="s">
        <v>60</v>
      </c>
      <c r="H4612" t="s">
        <v>61</v>
      </c>
      <c r="I4612">
        <v>800</v>
      </c>
      <c r="J4612">
        <v>1040</v>
      </c>
      <c r="K4612">
        <v>1</v>
      </c>
      <c r="L4612">
        <v>800</v>
      </c>
      <c r="M4612">
        <v>1040</v>
      </c>
      <c r="N4612" t="s">
        <v>28</v>
      </c>
      <c r="O4612">
        <f t="shared" si="144"/>
        <v>3315</v>
      </c>
      <c r="P4612" s="13">
        <f t="shared" si="145"/>
        <v>2577458</v>
      </c>
      <c r="Q4612" s="13">
        <f>SUMIFS(M:M,E:E,Online_eCommerce[[#This Row],[Status]])</f>
        <v>28340455</v>
      </c>
      <c r="R4612" s="13">
        <f>SUMIFS(L:L,H:H,Online_eCommerce[[#This Row],[Brand]])</f>
        <v>10950150</v>
      </c>
      <c r="S4612" s="13">
        <f>SUMIF(H:H,Online_eCommerce[[#This Row],[Brand]],M:M)</f>
        <v>14235195</v>
      </c>
      <c r="T4612" s="13">
        <f>SUMIF(N:N,Online_eCommerce[[#This Row],[Assigned Supervisor]],L:L)</f>
        <v>12220830</v>
      </c>
    </row>
    <row r="4613" spans="1:20" hidden="1" x14ac:dyDescent="0.3">
      <c r="A4613" t="s">
        <v>6789</v>
      </c>
      <c r="B4613" t="s">
        <v>149</v>
      </c>
      <c r="C4613" t="s">
        <v>185</v>
      </c>
      <c r="D4613" t="s">
        <v>6787</v>
      </c>
      <c r="E4613" t="s">
        <v>161</v>
      </c>
      <c r="F4613" t="s">
        <v>133</v>
      </c>
      <c r="G4613" t="s">
        <v>66</v>
      </c>
      <c r="H4613" t="s">
        <v>21</v>
      </c>
      <c r="I4613">
        <v>600</v>
      </c>
      <c r="J4613">
        <v>780</v>
      </c>
      <c r="K4613">
        <v>1</v>
      </c>
      <c r="L4613">
        <v>600</v>
      </c>
      <c r="M4613">
        <v>780</v>
      </c>
      <c r="N4613" t="s">
        <v>35</v>
      </c>
      <c r="O4613">
        <f t="shared" si="144"/>
        <v>1690</v>
      </c>
      <c r="P4613" s="13">
        <f t="shared" si="145"/>
        <v>2091596</v>
      </c>
      <c r="Q4613" s="13">
        <f>SUMIFS(M:M,E:E,Online_eCommerce[[#This Row],[Status]])</f>
        <v>21103186</v>
      </c>
      <c r="R4613" s="13">
        <f>SUMIFS(L:L,H:H,Online_eCommerce[[#This Row],[Brand]])</f>
        <v>12435650</v>
      </c>
      <c r="S4613" s="13">
        <f>SUMIF(H:H,Online_eCommerce[[#This Row],[Brand]],M:M)</f>
        <v>16166345</v>
      </c>
      <c r="T4613" s="13">
        <f>SUMIF(N:N,Online_eCommerce[[#This Row],[Assigned Supervisor]],L:L)</f>
        <v>14373360</v>
      </c>
    </row>
    <row r="4614" spans="1:20" x14ac:dyDescent="0.3">
      <c r="A4614" t="s">
        <v>6790</v>
      </c>
      <c r="B4614" t="s">
        <v>154</v>
      </c>
      <c r="C4614" t="s">
        <v>189</v>
      </c>
      <c r="D4614" t="s">
        <v>6787</v>
      </c>
      <c r="E4614" t="s">
        <v>46</v>
      </c>
      <c r="F4614" t="s">
        <v>137</v>
      </c>
      <c r="G4614" t="s">
        <v>71</v>
      </c>
      <c r="H4614" t="s">
        <v>61</v>
      </c>
      <c r="I4614">
        <v>10500</v>
      </c>
      <c r="J4614">
        <v>13650</v>
      </c>
      <c r="K4614">
        <v>4</v>
      </c>
      <c r="L4614">
        <v>42000</v>
      </c>
      <c r="M4614">
        <v>54600</v>
      </c>
      <c r="N4614" t="s">
        <v>42</v>
      </c>
      <c r="O4614">
        <f t="shared" si="144"/>
        <v>9750</v>
      </c>
      <c r="P4614" s="13">
        <f t="shared" si="145"/>
        <v>2740777</v>
      </c>
      <c r="Q4614" s="13">
        <f>SUMIFS(M:M,E:E,Online_eCommerce[[#This Row],[Status]])</f>
        <v>28620410</v>
      </c>
      <c r="R4614" s="13">
        <f>SUMIFS(L:L,H:H,Online_eCommerce[[#This Row],[Brand]])</f>
        <v>10950150</v>
      </c>
      <c r="S4614" s="13">
        <f>SUMIF(H:H,Online_eCommerce[[#This Row],[Brand]],M:M)</f>
        <v>14235195</v>
      </c>
      <c r="T4614" s="13">
        <f>SUMIF(N:N,Online_eCommerce[[#This Row],[Assigned Supervisor]],L:L)</f>
        <v>12261500</v>
      </c>
    </row>
    <row r="4615" spans="1:20" hidden="1" x14ac:dyDescent="0.3">
      <c r="A4615" t="s">
        <v>6791</v>
      </c>
      <c r="B4615" t="s">
        <v>159</v>
      </c>
      <c r="C4615" t="s">
        <v>193</v>
      </c>
      <c r="D4615" t="s">
        <v>6787</v>
      </c>
      <c r="E4615" t="s">
        <v>96</v>
      </c>
      <c r="F4615" t="s">
        <v>6747</v>
      </c>
      <c r="G4615" t="s">
        <v>77</v>
      </c>
      <c r="H4615" t="s">
        <v>142</v>
      </c>
      <c r="I4615">
        <v>6500</v>
      </c>
      <c r="J4615">
        <v>8450</v>
      </c>
      <c r="K4615">
        <v>2</v>
      </c>
      <c r="L4615">
        <v>13000</v>
      </c>
      <c r="M4615">
        <v>16900</v>
      </c>
      <c r="N4615" t="s">
        <v>50</v>
      </c>
      <c r="O4615">
        <f t="shared" si="144"/>
        <v>39000</v>
      </c>
      <c r="P4615" s="13">
        <f t="shared" si="145"/>
        <v>2074774</v>
      </c>
      <c r="Q4615" s="13">
        <f>SUMIFS(M:M,E:E,Online_eCommerce[[#This Row],[Status]])</f>
        <v>21233992</v>
      </c>
      <c r="R4615" s="13">
        <f>SUMIFS(L:L,H:H,Online_eCommerce[[#This Row],[Brand]])</f>
        <v>6192500</v>
      </c>
      <c r="S4615" s="13">
        <f>SUMIF(H:H,Online_eCommerce[[#This Row],[Brand]],M:M)</f>
        <v>8050250</v>
      </c>
      <c r="T4615" s="13">
        <f>SUMIF(N:N,Online_eCommerce[[#This Row],[Assigned Supervisor]],L:L)</f>
        <v>12100590</v>
      </c>
    </row>
    <row r="4616" spans="1:20" hidden="1" x14ac:dyDescent="0.3">
      <c r="A4616" t="s">
        <v>6792</v>
      </c>
      <c r="B4616" t="s">
        <v>139</v>
      </c>
      <c r="C4616" t="s">
        <v>197</v>
      </c>
      <c r="D4616" t="s">
        <v>6793</v>
      </c>
      <c r="E4616" t="s">
        <v>18</v>
      </c>
      <c r="F4616" t="s">
        <v>6794</v>
      </c>
      <c r="G4616" t="s">
        <v>20</v>
      </c>
      <c r="H4616" t="s">
        <v>21</v>
      </c>
      <c r="I4616">
        <v>4500</v>
      </c>
      <c r="J4616">
        <v>5850</v>
      </c>
      <c r="K4616">
        <v>1</v>
      </c>
      <c r="L4616">
        <v>4500</v>
      </c>
      <c r="M4616">
        <v>5850</v>
      </c>
      <c r="N4616" t="s">
        <v>56</v>
      </c>
      <c r="O4616">
        <f t="shared" si="144"/>
        <v>8450</v>
      </c>
      <c r="P4616" s="13">
        <f t="shared" si="145"/>
        <v>2829840</v>
      </c>
      <c r="Q4616" s="13">
        <f>SUMIFS(M:M,E:E,Online_eCommerce[[#This Row],[Status]])</f>
        <v>28340455</v>
      </c>
      <c r="R4616" s="13">
        <f>SUMIFS(L:L,H:H,Online_eCommerce[[#This Row],[Brand]])</f>
        <v>12435650</v>
      </c>
      <c r="S4616" s="13">
        <f>SUMIF(H:H,Online_eCommerce[[#This Row],[Brand]],M:M)</f>
        <v>16166345</v>
      </c>
      <c r="T4616" s="13">
        <f>SUMIF(N:N,Online_eCommerce[[#This Row],[Assigned Supervisor]],L:L)</f>
        <v>11733610</v>
      </c>
    </row>
    <row r="4617" spans="1:20" hidden="1" x14ac:dyDescent="0.3">
      <c r="A4617" t="s">
        <v>6795</v>
      </c>
      <c r="B4617" t="s">
        <v>144</v>
      </c>
      <c r="C4617" t="s">
        <v>199</v>
      </c>
      <c r="D4617" t="s">
        <v>6796</v>
      </c>
      <c r="E4617" t="s">
        <v>161</v>
      </c>
      <c r="F4617" t="s">
        <v>152</v>
      </c>
      <c r="G4617" t="s">
        <v>26</v>
      </c>
      <c r="H4617" t="s">
        <v>27</v>
      </c>
      <c r="I4617">
        <v>8500</v>
      </c>
      <c r="J4617">
        <v>11050</v>
      </c>
      <c r="K4617">
        <v>1</v>
      </c>
      <c r="L4617">
        <v>8500</v>
      </c>
      <c r="M4617">
        <v>11050</v>
      </c>
      <c r="N4617" t="s">
        <v>22</v>
      </c>
      <c r="O4617">
        <f t="shared" si="144"/>
        <v>33150</v>
      </c>
      <c r="P4617" s="13">
        <f t="shared" si="145"/>
        <v>1947361</v>
      </c>
      <c r="Q4617" s="13">
        <f>SUMIFS(M:M,E:E,Online_eCommerce[[#This Row],[Status]])</f>
        <v>21103186</v>
      </c>
      <c r="R4617" s="13">
        <f>SUMIFS(L:L,H:H,Online_eCommerce[[#This Row],[Brand]])</f>
        <v>14431000</v>
      </c>
      <c r="S4617" s="13">
        <f>SUMIF(H:H,Online_eCommerce[[#This Row],[Brand]],M:M)</f>
        <v>18760300</v>
      </c>
      <c r="T4617" s="13">
        <f>SUMIF(N:N,Online_eCommerce[[#This Row],[Assigned Supervisor]],L:L)</f>
        <v>13693220</v>
      </c>
    </row>
    <row r="4618" spans="1:20" x14ac:dyDescent="0.3">
      <c r="A4618" t="s">
        <v>6797</v>
      </c>
      <c r="B4618" t="s">
        <v>235</v>
      </c>
      <c r="C4618" t="s">
        <v>203</v>
      </c>
      <c r="D4618" t="s">
        <v>6798</v>
      </c>
      <c r="E4618" t="s">
        <v>46</v>
      </c>
      <c r="F4618" t="s">
        <v>157</v>
      </c>
      <c r="G4618" t="s">
        <v>33</v>
      </c>
      <c r="H4618" t="s">
        <v>34</v>
      </c>
      <c r="I4618">
        <v>12500</v>
      </c>
      <c r="J4618">
        <v>16250</v>
      </c>
      <c r="K4618">
        <v>4</v>
      </c>
      <c r="L4618">
        <v>50000</v>
      </c>
      <c r="M4618">
        <v>65000</v>
      </c>
      <c r="N4618" t="s">
        <v>28</v>
      </c>
      <c r="O4618">
        <f t="shared" si="144"/>
        <v>18200</v>
      </c>
      <c r="P4618" s="13">
        <f t="shared" si="145"/>
        <v>2559635</v>
      </c>
      <c r="Q4618" s="13">
        <f>SUMIFS(M:M,E:E,Online_eCommerce[[#This Row],[Status]])</f>
        <v>28620410</v>
      </c>
      <c r="R4618" s="13">
        <f>SUMIFS(L:L,H:H,Online_eCommerce[[#This Row],[Brand]])</f>
        <v>10087000</v>
      </c>
      <c r="S4618" s="13">
        <f>SUMIF(H:H,Online_eCommerce[[#This Row],[Brand]],M:M)</f>
        <v>13113100</v>
      </c>
      <c r="T4618" s="13">
        <f>SUMIF(N:N,Online_eCommerce[[#This Row],[Assigned Supervisor]],L:L)</f>
        <v>12220830</v>
      </c>
    </row>
    <row r="4619" spans="1:20" hidden="1" x14ac:dyDescent="0.3">
      <c r="A4619" t="s">
        <v>6799</v>
      </c>
      <c r="B4619" t="s">
        <v>176</v>
      </c>
      <c r="C4619" t="s">
        <v>205</v>
      </c>
      <c r="D4619" t="s">
        <v>6800</v>
      </c>
      <c r="E4619" t="s">
        <v>96</v>
      </c>
      <c r="F4619" t="s">
        <v>6401</v>
      </c>
      <c r="G4619" t="s">
        <v>163</v>
      </c>
      <c r="H4619" t="s">
        <v>41</v>
      </c>
      <c r="I4619">
        <v>3500</v>
      </c>
      <c r="J4619">
        <v>4550</v>
      </c>
      <c r="K4619">
        <v>2</v>
      </c>
      <c r="L4619">
        <v>7000</v>
      </c>
      <c r="M4619">
        <v>9100</v>
      </c>
      <c r="N4619" t="s">
        <v>35</v>
      </c>
      <c r="O4619">
        <f t="shared" si="144"/>
        <v>13650</v>
      </c>
      <c r="P4619" s="13">
        <f t="shared" si="145"/>
        <v>1983254</v>
      </c>
      <c r="Q4619" s="13">
        <f>SUMIFS(M:M,E:E,Online_eCommerce[[#This Row],[Status]])</f>
        <v>21233992</v>
      </c>
      <c r="R4619" s="13">
        <f>SUMIFS(L:L,H:H,Online_eCommerce[[#This Row],[Brand]])</f>
        <v>4260400</v>
      </c>
      <c r="S4619" s="13">
        <f>SUMIF(H:H,Online_eCommerce[[#This Row],[Brand]],M:M)</f>
        <v>5538520</v>
      </c>
      <c r="T4619" s="13">
        <f>SUMIF(N:N,Online_eCommerce[[#This Row],[Assigned Supervisor]],L:L)</f>
        <v>14373360</v>
      </c>
    </row>
    <row r="4620" spans="1:20" hidden="1" x14ac:dyDescent="0.3">
      <c r="A4620" t="s">
        <v>6801</v>
      </c>
      <c r="B4620" t="s">
        <v>276</v>
      </c>
      <c r="C4620" t="s">
        <v>208</v>
      </c>
      <c r="D4620" t="s">
        <v>6802</v>
      </c>
      <c r="E4620" t="s">
        <v>18</v>
      </c>
      <c r="F4620" t="s">
        <v>166</v>
      </c>
      <c r="G4620" t="s">
        <v>66</v>
      </c>
      <c r="H4620" t="s">
        <v>49</v>
      </c>
      <c r="I4620">
        <v>4500</v>
      </c>
      <c r="J4620">
        <v>5850</v>
      </c>
      <c r="K4620">
        <v>2</v>
      </c>
      <c r="L4620">
        <v>9000</v>
      </c>
      <c r="M4620">
        <v>11700</v>
      </c>
      <c r="N4620" t="s">
        <v>42</v>
      </c>
      <c r="O4620">
        <f t="shared" si="144"/>
        <v>1690</v>
      </c>
      <c r="P4620" s="13">
        <f t="shared" si="145"/>
        <v>2746575</v>
      </c>
      <c r="Q4620" s="13">
        <f>SUMIFS(M:M,E:E,Online_eCommerce[[#This Row],[Status]])</f>
        <v>28340455</v>
      </c>
      <c r="R4620" s="13">
        <f>SUMIFS(L:L,H:H,Online_eCommerce[[#This Row],[Brand]])</f>
        <v>4528350</v>
      </c>
      <c r="S4620" s="13">
        <f>SUMIF(H:H,Online_eCommerce[[#This Row],[Brand]],M:M)</f>
        <v>5886855</v>
      </c>
      <c r="T4620" s="13">
        <f>SUMIF(N:N,Online_eCommerce[[#This Row],[Assigned Supervisor]],L:L)</f>
        <v>12261500</v>
      </c>
    </row>
    <row r="4621" spans="1:20" hidden="1" x14ac:dyDescent="0.3">
      <c r="A4621" t="s">
        <v>6803</v>
      </c>
      <c r="B4621" t="s">
        <v>280</v>
      </c>
      <c r="C4621" t="s">
        <v>211</v>
      </c>
      <c r="D4621" t="s">
        <v>6804</v>
      </c>
      <c r="E4621" t="s">
        <v>161</v>
      </c>
      <c r="F4621" t="s">
        <v>6805</v>
      </c>
      <c r="G4621" t="s">
        <v>54</v>
      </c>
      <c r="H4621" t="s">
        <v>55</v>
      </c>
      <c r="I4621">
        <v>2100</v>
      </c>
      <c r="J4621">
        <v>2730</v>
      </c>
      <c r="K4621">
        <v>4</v>
      </c>
      <c r="L4621">
        <v>8400</v>
      </c>
      <c r="M4621">
        <v>10920</v>
      </c>
      <c r="N4621" t="s">
        <v>50</v>
      </c>
      <c r="O4621">
        <f t="shared" si="144"/>
        <v>2990</v>
      </c>
      <c r="P4621" s="13">
        <f t="shared" si="145"/>
        <v>1809847</v>
      </c>
      <c r="Q4621" s="13">
        <f>SUMIFS(M:M,E:E,Online_eCommerce[[#This Row],[Status]])</f>
        <v>21103186</v>
      </c>
      <c r="R4621" s="13">
        <f>SUMIFS(L:L,H:H,Online_eCommerce[[#This Row],[Brand]])</f>
        <v>2267380</v>
      </c>
      <c r="S4621" s="13">
        <f>SUMIF(H:H,Online_eCommerce[[#This Row],[Brand]],M:M)</f>
        <v>2947594</v>
      </c>
      <c r="T4621" s="13">
        <f>SUMIF(N:N,Online_eCommerce[[#This Row],[Assigned Supervisor]],L:L)</f>
        <v>12100590</v>
      </c>
    </row>
    <row r="4622" spans="1:20" x14ac:dyDescent="0.3">
      <c r="A4622" t="s">
        <v>6806</v>
      </c>
      <c r="B4622" t="s">
        <v>283</v>
      </c>
      <c r="C4622" t="s">
        <v>16</v>
      </c>
      <c r="D4622" t="s">
        <v>6807</v>
      </c>
      <c r="E4622" t="s">
        <v>46</v>
      </c>
      <c r="F4622" t="s">
        <v>174</v>
      </c>
      <c r="G4622" t="s">
        <v>60</v>
      </c>
      <c r="H4622" t="s">
        <v>61</v>
      </c>
      <c r="I4622">
        <v>1150</v>
      </c>
      <c r="J4622">
        <v>1495</v>
      </c>
      <c r="K4622">
        <v>1</v>
      </c>
      <c r="L4622">
        <v>1150</v>
      </c>
      <c r="M4622">
        <v>1495</v>
      </c>
      <c r="N4622" t="s">
        <v>56</v>
      </c>
      <c r="O4622">
        <f t="shared" si="144"/>
        <v>3315</v>
      </c>
      <c r="P4622" s="13">
        <f t="shared" si="145"/>
        <v>2751814</v>
      </c>
      <c r="Q4622" s="13">
        <f>SUMIFS(M:M,E:E,Online_eCommerce[[#This Row],[Status]])</f>
        <v>28620410</v>
      </c>
      <c r="R4622" s="13">
        <f>SUMIFS(L:L,H:H,Online_eCommerce[[#This Row],[Brand]])</f>
        <v>10950150</v>
      </c>
      <c r="S4622" s="13">
        <f>SUMIF(H:H,Online_eCommerce[[#This Row],[Brand]],M:M)</f>
        <v>14235195</v>
      </c>
      <c r="T4622" s="13">
        <f>SUMIF(N:N,Online_eCommerce[[#This Row],[Assigned Supervisor]],L:L)</f>
        <v>11733610</v>
      </c>
    </row>
    <row r="4623" spans="1:20" hidden="1" x14ac:dyDescent="0.3">
      <c r="A4623" t="s">
        <v>6808</v>
      </c>
      <c r="B4623" t="s">
        <v>287</v>
      </c>
      <c r="C4623" t="s">
        <v>24</v>
      </c>
      <c r="D4623" t="s">
        <v>6809</v>
      </c>
      <c r="E4623" t="s">
        <v>96</v>
      </c>
      <c r="F4623" t="s">
        <v>179</v>
      </c>
      <c r="G4623" t="s">
        <v>66</v>
      </c>
      <c r="H4623" t="s">
        <v>21</v>
      </c>
      <c r="I4623">
        <v>350</v>
      </c>
      <c r="J4623">
        <v>455</v>
      </c>
      <c r="K4623">
        <v>4</v>
      </c>
      <c r="L4623">
        <v>1400</v>
      </c>
      <c r="M4623">
        <v>1820</v>
      </c>
      <c r="N4623" t="s">
        <v>22</v>
      </c>
      <c r="O4623">
        <f t="shared" si="144"/>
        <v>1690</v>
      </c>
      <c r="P4623" s="13">
        <f t="shared" si="145"/>
        <v>2009540</v>
      </c>
      <c r="Q4623" s="13">
        <f>SUMIFS(M:M,E:E,Online_eCommerce[[#This Row],[Status]])</f>
        <v>21233992</v>
      </c>
      <c r="R4623" s="13">
        <f>SUMIFS(L:L,H:H,Online_eCommerce[[#This Row],[Brand]])</f>
        <v>12435650</v>
      </c>
      <c r="S4623" s="13">
        <f>SUMIF(H:H,Online_eCommerce[[#This Row],[Brand]],M:M)</f>
        <v>16166345</v>
      </c>
      <c r="T4623" s="13">
        <f>SUMIF(N:N,Online_eCommerce[[#This Row],[Assigned Supervisor]],L:L)</f>
        <v>13693220</v>
      </c>
    </row>
    <row r="4624" spans="1:20" hidden="1" x14ac:dyDescent="0.3">
      <c r="A4624" t="s">
        <v>6810</v>
      </c>
      <c r="B4624" t="s">
        <v>290</v>
      </c>
      <c r="C4624" t="s">
        <v>31</v>
      </c>
      <c r="D4624" t="s">
        <v>6811</v>
      </c>
      <c r="E4624" t="s">
        <v>18</v>
      </c>
      <c r="F4624" t="s">
        <v>183</v>
      </c>
      <c r="G4624" t="s">
        <v>71</v>
      </c>
      <c r="H4624" t="s">
        <v>61</v>
      </c>
      <c r="I4624">
        <v>9500</v>
      </c>
      <c r="J4624">
        <v>12350</v>
      </c>
      <c r="K4624">
        <v>4</v>
      </c>
      <c r="L4624">
        <v>38000</v>
      </c>
      <c r="M4624">
        <v>49400</v>
      </c>
      <c r="N4624" t="s">
        <v>28</v>
      </c>
      <c r="O4624">
        <f t="shared" si="144"/>
        <v>9750</v>
      </c>
      <c r="P4624" s="13">
        <f t="shared" si="145"/>
        <v>2865746</v>
      </c>
      <c r="Q4624" s="13">
        <f>SUMIFS(M:M,E:E,Online_eCommerce[[#This Row],[Status]])</f>
        <v>28340455</v>
      </c>
      <c r="R4624" s="13">
        <f>SUMIFS(L:L,H:H,Online_eCommerce[[#This Row],[Brand]])</f>
        <v>10950150</v>
      </c>
      <c r="S4624" s="13">
        <f>SUMIF(H:H,Online_eCommerce[[#This Row],[Brand]],M:M)</f>
        <v>14235195</v>
      </c>
      <c r="T4624" s="13">
        <f>SUMIF(N:N,Online_eCommerce[[#This Row],[Assigned Supervisor]],L:L)</f>
        <v>12220830</v>
      </c>
    </row>
    <row r="4625" spans="1:20" hidden="1" x14ac:dyDescent="0.3">
      <c r="A4625" t="s">
        <v>6812</v>
      </c>
      <c r="B4625" t="s">
        <v>15</v>
      </c>
      <c r="C4625" t="s">
        <v>38</v>
      </c>
      <c r="D4625" t="s">
        <v>6813</v>
      </c>
      <c r="E4625" t="s">
        <v>161</v>
      </c>
      <c r="F4625" t="s">
        <v>6814</v>
      </c>
      <c r="G4625" t="s">
        <v>77</v>
      </c>
      <c r="H4625" t="s">
        <v>142</v>
      </c>
      <c r="I4625">
        <v>10000</v>
      </c>
      <c r="J4625">
        <v>13000</v>
      </c>
      <c r="K4625">
        <v>1</v>
      </c>
      <c r="L4625">
        <v>10000</v>
      </c>
      <c r="M4625">
        <v>13000</v>
      </c>
      <c r="N4625" t="s">
        <v>35</v>
      </c>
      <c r="O4625">
        <f t="shared" si="144"/>
        <v>39000</v>
      </c>
      <c r="P4625" s="13">
        <f t="shared" si="145"/>
        <v>1933997</v>
      </c>
      <c r="Q4625" s="13">
        <f>SUMIFS(M:M,E:E,Online_eCommerce[[#This Row],[Status]])</f>
        <v>21103186</v>
      </c>
      <c r="R4625" s="13">
        <f>SUMIFS(L:L,H:H,Online_eCommerce[[#This Row],[Brand]])</f>
        <v>6192500</v>
      </c>
      <c r="S4625" s="13">
        <f>SUMIF(H:H,Online_eCommerce[[#This Row],[Brand]],M:M)</f>
        <v>8050250</v>
      </c>
      <c r="T4625" s="13">
        <f>SUMIF(N:N,Online_eCommerce[[#This Row],[Assigned Supervisor]],L:L)</f>
        <v>14373360</v>
      </c>
    </row>
    <row r="4626" spans="1:20" x14ac:dyDescent="0.3">
      <c r="A4626" t="s">
        <v>6815</v>
      </c>
      <c r="B4626" t="s">
        <v>202</v>
      </c>
      <c r="C4626" t="s">
        <v>45</v>
      </c>
      <c r="D4626" t="s">
        <v>6816</v>
      </c>
      <c r="E4626" t="s">
        <v>46</v>
      </c>
      <c r="F4626" t="s">
        <v>6817</v>
      </c>
      <c r="G4626" t="s">
        <v>20</v>
      </c>
      <c r="H4626" t="s">
        <v>21</v>
      </c>
      <c r="I4626">
        <v>6500</v>
      </c>
      <c r="J4626">
        <v>8450</v>
      </c>
      <c r="K4626">
        <v>2</v>
      </c>
      <c r="L4626">
        <v>13000</v>
      </c>
      <c r="M4626">
        <v>16900</v>
      </c>
      <c r="N4626" t="s">
        <v>42</v>
      </c>
      <c r="O4626">
        <f t="shared" si="144"/>
        <v>8450</v>
      </c>
      <c r="P4626" s="13">
        <f t="shared" si="145"/>
        <v>2842554</v>
      </c>
      <c r="Q4626" s="13">
        <f>SUMIFS(M:M,E:E,Online_eCommerce[[#This Row],[Status]])</f>
        <v>28620410</v>
      </c>
      <c r="R4626" s="13">
        <f>SUMIFS(L:L,H:H,Online_eCommerce[[#This Row],[Brand]])</f>
        <v>12435650</v>
      </c>
      <c r="S4626" s="13">
        <f>SUMIF(H:H,Online_eCommerce[[#This Row],[Brand]],M:M)</f>
        <v>16166345</v>
      </c>
      <c r="T4626" s="13">
        <f>SUMIF(N:N,Online_eCommerce[[#This Row],[Assigned Supervisor]],L:L)</f>
        <v>12261500</v>
      </c>
    </row>
    <row r="4627" spans="1:20" hidden="1" x14ac:dyDescent="0.3">
      <c r="A4627" t="s">
        <v>6818</v>
      </c>
      <c r="B4627" t="s">
        <v>30</v>
      </c>
      <c r="C4627" t="s">
        <v>52</v>
      </c>
      <c r="D4627" t="s">
        <v>6819</v>
      </c>
      <c r="E4627" t="s">
        <v>96</v>
      </c>
      <c r="F4627" t="s">
        <v>6820</v>
      </c>
      <c r="G4627" t="s">
        <v>26</v>
      </c>
      <c r="H4627" t="s">
        <v>27</v>
      </c>
      <c r="I4627">
        <v>8500</v>
      </c>
      <c r="J4627">
        <v>11050</v>
      </c>
      <c r="K4627">
        <v>1</v>
      </c>
      <c r="L4627">
        <v>8500</v>
      </c>
      <c r="M4627">
        <v>11050</v>
      </c>
      <c r="N4627" t="s">
        <v>50</v>
      </c>
      <c r="O4627">
        <f t="shared" si="144"/>
        <v>33150</v>
      </c>
      <c r="P4627" s="13">
        <f t="shared" si="145"/>
        <v>1955044</v>
      </c>
      <c r="Q4627" s="13">
        <f>SUMIFS(M:M,E:E,Online_eCommerce[[#This Row],[Status]])</f>
        <v>21233992</v>
      </c>
      <c r="R4627" s="13">
        <f>SUMIFS(L:L,H:H,Online_eCommerce[[#This Row],[Brand]])</f>
        <v>14431000</v>
      </c>
      <c r="S4627" s="13">
        <f>SUMIF(H:H,Online_eCommerce[[#This Row],[Brand]],M:M)</f>
        <v>18760300</v>
      </c>
      <c r="T4627" s="13">
        <f>SUMIF(N:N,Online_eCommerce[[#This Row],[Assigned Supervisor]],L:L)</f>
        <v>12100590</v>
      </c>
    </row>
    <row r="4628" spans="1:20" hidden="1" x14ac:dyDescent="0.3">
      <c r="A4628" t="s">
        <v>6821</v>
      </c>
      <c r="B4628" t="s">
        <v>37</v>
      </c>
      <c r="C4628" t="s">
        <v>58</v>
      </c>
      <c r="D4628" t="s">
        <v>6822</v>
      </c>
      <c r="E4628" t="s">
        <v>18</v>
      </c>
      <c r="F4628" t="s">
        <v>32</v>
      </c>
      <c r="G4628" t="s">
        <v>33</v>
      </c>
      <c r="H4628" t="s">
        <v>34</v>
      </c>
      <c r="I4628">
        <v>7000</v>
      </c>
      <c r="J4628">
        <v>9100</v>
      </c>
      <c r="K4628">
        <v>1</v>
      </c>
      <c r="L4628">
        <v>7000</v>
      </c>
      <c r="M4628">
        <v>9100</v>
      </c>
      <c r="N4628" t="s">
        <v>56</v>
      </c>
      <c r="O4628">
        <f t="shared" si="144"/>
        <v>18200</v>
      </c>
      <c r="P4628" s="13">
        <f t="shared" si="145"/>
        <v>2629211</v>
      </c>
      <c r="Q4628" s="13">
        <f>SUMIFS(M:M,E:E,Online_eCommerce[[#This Row],[Status]])</f>
        <v>28340455</v>
      </c>
      <c r="R4628" s="13">
        <f>SUMIFS(L:L,H:H,Online_eCommerce[[#This Row],[Brand]])</f>
        <v>10087000</v>
      </c>
      <c r="S4628" s="13">
        <f>SUMIF(H:H,Online_eCommerce[[#This Row],[Brand]],M:M)</f>
        <v>13113100</v>
      </c>
      <c r="T4628" s="13">
        <f>SUMIF(N:N,Online_eCommerce[[#This Row],[Assigned Supervisor]],L:L)</f>
        <v>11733610</v>
      </c>
    </row>
    <row r="4629" spans="1:20" hidden="1" x14ac:dyDescent="0.3">
      <c r="A4629" t="s">
        <v>6823</v>
      </c>
      <c r="B4629" t="s">
        <v>44</v>
      </c>
      <c r="C4629" t="s">
        <v>63</v>
      </c>
      <c r="D4629" t="s">
        <v>6824</v>
      </c>
      <c r="E4629" t="s">
        <v>161</v>
      </c>
      <c r="F4629" t="s">
        <v>6825</v>
      </c>
      <c r="G4629" t="s">
        <v>163</v>
      </c>
      <c r="H4629" t="s">
        <v>41</v>
      </c>
      <c r="I4629">
        <v>6550</v>
      </c>
      <c r="J4629">
        <v>8515</v>
      </c>
      <c r="K4629">
        <v>3</v>
      </c>
      <c r="L4629">
        <v>19650</v>
      </c>
      <c r="M4629">
        <v>25545</v>
      </c>
      <c r="N4629" t="s">
        <v>22</v>
      </c>
      <c r="O4629">
        <f t="shared" si="144"/>
        <v>13650</v>
      </c>
      <c r="P4629" s="13">
        <f t="shared" si="145"/>
        <v>2016131</v>
      </c>
      <c r="Q4629" s="13">
        <f>SUMIFS(M:M,E:E,Online_eCommerce[[#This Row],[Status]])</f>
        <v>21103186</v>
      </c>
      <c r="R4629" s="13">
        <f>SUMIFS(L:L,H:H,Online_eCommerce[[#This Row],[Brand]])</f>
        <v>4260400</v>
      </c>
      <c r="S4629" s="13">
        <f>SUMIF(H:H,Online_eCommerce[[#This Row],[Brand]],M:M)</f>
        <v>5538520</v>
      </c>
      <c r="T4629" s="13">
        <f>SUMIF(N:N,Online_eCommerce[[#This Row],[Assigned Supervisor]],L:L)</f>
        <v>13693220</v>
      </c>
    </row>
    <row r="4630" spans="1:20" x14ac:dyDescent="0.3">
      <c r="A4630" t="s">
        <v>6826</v>
      </c>
      <c r="B4630" t="s">
        <v>213</v>
      </c>
      <c r="C4630" t="s">
        <v>68</v>
      </c>
      <c r="D4630" t="s">
        <v>6827</v>
      </c>
      <c r="E4630" t="s">
        <v>46</v>
      </c>
      <c r="F4630" t="s">
        <v>47</v>
      </c>
      <c r="G4630" t="s">
        <v>66</v>
      </c>
      <c r="H4630" t="s">
        <v>49</v>
      </c>
      <c r="I4630">
        <v>7650</v>
      </c>
      <c r="J4630">
        <v>9945</v>
      </c>
      <c r="K4630">
        <v>4</v>
      </c>
      <c r="L4630">
        <v>30600</v>
      </c>
      <c r="M4630">
        <v>39780</v>
      </c>
      <c r="N4630" t="s">
        <v>28</v>
      </c>
      <c r="O4630">
        <f t="shared" si="144"/>
        <v>1690</v>
      </c>
      <c r="P4630" s="13">
        <f t="shared" si="145"/>
        <v>2974621</v>
      </c>
      <c r="Q4630" s="13">
        <f>SUMIFS(M:M,E:E,Online_eCommerce[[#This Row],[Status]])</f>
        <v>28620410</v>
      </c>
      <c r="R4630" s="13">
        <f>SUMIFS(L:L,H:H,Online_eCommerce[[#This Row],[Brand]])</f>
        <v>4528350</v>
      </c>
      <c r="S4630" s="13">
        <f>SUMIF(H:H,Online_eCommerce[[#This Row],[Brand]],M:M)</f>
        <v>5886855</v>
      </c>
      <c r="T4630" s="13">
        <f>SUMIF(N:N,Online_eCommerce[[#This Row],[Assigned Supervisor]],L:L)</f>
        <v>12220830</v>
      </c>
    </row>
    <row r="4631" spans="1:20" hidden="1" x14ac:dyDescent="0.3">
      <c r="A4631" t="s">
        <v>6828</v>
      </c>
      <c r="B4631" t="s">
        <v>215</v>
      </c>
      <c r="C4631" t="s">
        <v>74</v>
      </c>
      <c r="D4631" t="s">
        <v>6829</v>
      </c>
      <c r="E4631" t="s">
        <v>96</v>
      </c>
      <c r="F4631" t="s">
        <v>53</v>
      </c>
      <c r="G4631" t="s">
        <v>54</v>
      </c>
      <c r="H4631" t="s">
        <v>55</v>
      </c>
      <c r="I4631">
        <v>1150</v>
      </c>
      <c r="J4631">
        <v>1495</v>
      </c>
      <c r="K4631">
        <v>1</v>
      </c>
      <c r="L4631">
        <v>1150</v>
      </c>
      <c r="M4631">
        <v>1495</v>
      </c>
      <c r="N4631" t="s">
        <v>35</v>
      </c>
      <c r="O4631">
        <f t="shared" si="144"/>
        <v>2990</v>
      </c>
      <c r="P4631" s="13">
        <f t="shared" si="145"/>
        <v>2144701</v>
      </c>
      <c r="Q4631" s="13">
        <f>SUMIFS(M:M,E:E,Online_eCommerce[[#This Row],[Status]])</f>
        <v>21233992</v>
      </c>
      <c r="R4631" s="13">
        <f>SUMIFS(L:L,H:H,Online_eCommerce[[#This Row],[Brand]])</f>
        <v>2267380</v>
      </c>
      <c r="S4631" s="13">
        <f>SUMIF(H:H,Online_eCommerce[[#This Row],[Brand]],M:M)</f>
        <v>2947594</v>
      </c>
      <c r="T4631" s="13">
        <f>SUMIF(N:N,Online_eCommerce[[#This Row],[Assigned Supervisor]],L:L)</f>
        <v>14373360</v>
      </c>
    </row>
    <row r="4632" spans="1:20" hidden="1" x14ac:dyDescent="0.3">
      <c r="A4632" t="s">
        <v>6830</v>
      </c>
      <c r="B4632" t="s">
        <v>306</v>
      </c>
      <c r="C4632" t="s">
        <v>81</v>
      </c>
      <c r="D4632" t="s">
        <v>6831</v>
      </c>
      <c r="E4632" t="s">
        <v>18</v>
      </c>
      <c r="F4632" t="s">
        <v>59</v>
      </c>
      <c r="G4632" t="s">
        <v>60</v>
      </c>
      <c r="H4632" t="s">
        <v>61</v>
      </c>
      <c r="I4632">
        <v>850</v>
      </c>
      <c r="J4632">
        <v>1105</v>
      </c>
      <c r="K4632">
        <v>4</v>
      </c>
      <c r="L4632">
        <v>3400</v>
      </c>
      <c r="M4632">
        <v>4420</v>
      </c>
      <c r="N4632" t="s">
        <v>42</v>
      </c>
      <c r="O4632">
        <f t="shared" si="144"/>
        <v>3315</v>
      </c>
      <c r="P4632" s="13">
        <f t="shared" si="145"/>
        <v>2595632</v>
      </c>
      <c r="Q4632" s="13">
        <f>SUMIFS(M:M,E:E,Online_eCommerce[[#This Row],[Status]])</f>
        <v>28340455</v>
      </c>
      <c r="R4632" s="13">
        <f>SUMIFS(L:L,H:H,Online_eCommerce[[#This Row],[Brand]])</f>
        <v>10950150</v>
      </c>
      <c r="S4632" s="13">
        <f>SUMIF(H:H,Online_eCommerce[[#This Row],[Brand]],M:M)</f>
        <v>14235195</v>
      </c>
      <c r="T4632" s="13">
        <f>SUMIF(N:N,Online_eCommerce[[#This Row],[Assigned Supervisor]],L:L)</f>
        <v>12261500</v>
      </c>
    </row>
    <row r="4633" spans="1:20" hidden="1" x14ac:dyDescent="0.3">
      <c r="A4633" t="s">
        <v>6832</v>
      </c>
      <c r="B4633" t="s">
        <v>528</v>
      </c>
      <c r="C4633" t="s">
        <v>86</v>
      </c>
      <c r="D4633" t="s">
        <v>6833</v>
      </c>
      <c r="E4633" t="s">
        <v>161</v>
      </c>
      <c r="F4633" t="s">
        <v>65</v>
      </c>
      <c r="G4633" t="s">
        <v>66</v>
      </c>
      <c r="H4633" t="s">
        <v>21</v>
      </c>
      <c r="I4633">
        <v>650</v>
      </c>
      <c r="J4633">
        <v>845</v>
      </c>
      <c r="K4633">
        <v>1</v>
      </c>
      <c r="L4633">
        <v>650</v>
      </c>
      <c r="M4633">
        <v>845</v>
      </c>
      <c r="N4633" t="s">
        <v>50</v>
      </c>
      <c r="O4633">
        <f t="shared" si="144"/>
        <v>1690</v>
      </c>
      <c r="P4633" s="13">
        <f t="shared" si="145"/>
        <v>1941225</v>
      </c>
      <c r="Q4633" s="13">
        <f>SUMIFS(M:M,E:E,Online_eCommerce[[#This Row],[Status]])</f>
        <v>21103186</v>
      </c>
      <c r="R4633" s="13">
        <f>SUMIFS(L:L,H:H,Online_eCommerce[[#This Row],[Brand]])</f>
        <v>12435650</v>
      </c>
      <c r="S4633" s="13">
        <f>SUMIF(H:H,Online_eCommerce[[#This Row],[Brand]],M:M)</f>
        <v>16166345</v>
      </c>
      <c r="T4633" s="13">
        <f>SUMIF(N:N,Online_eCommerce[[#This Row],[Assigned Supervisor]],L:L)</f>
        <v>12100590</v>
      </c>
    </row>
    <row r="4634" spans="1:20" x14ac:dyDescent="0.3">
      <c r="A4634" t="s">
        <v>6834</v>
      </c>
      <c r="B4634" t="s">
        <v>73</v>
      </c>
      <c r="C4634" t="s">
        <v>91</v>
      </c>
      <c r="D4634" t="s">
        <v>6835</v>
      </c>
      <c r="E4634" t="s">
        <v>46</v>
      </c>
      <c r="F4634" t="s">
        <v>70</v>
      </c>
      <c r="G4634" t="s">
        <v>71</v>
      </c>
      <c r="H4634" t="s">
        <v>61</v>
      </c>
      <c r="I4634">
        <v>7500</v>
      </c>
      <c r="J4634">
        <v>9750</v>
      </c>
      <c r="K4634">
        <v>1</v>
      </c>
      <c r="L4634">
        <v>7500</v>
      </c>
      <c r="M4634">
        <v>9750</v>
      </c>
      <c r="N4634" t="s">
        <v>56</v>
      </c>
      <c r="O4634">
        <f t="shared" si="144"/>
        <v>9750</v>
      </c>
      <c r="P4634" s="13">
        <f t="shared" si="145"/>
        <v>2731963</v>
      </c>
      <c r="Q4634" s="13">
        <f>SUMIFS(M:M,E:E,Online_eCommerce[[#This Row],[Status]])</f>
        <v>28620410</v>
      </c>
      <c r="R4634" s="13">
        <f>SUMIFS(L:L,H:H,Online_eCommerce[[#This Row],[Brand]])</f>
        <v>10950150</v>
      </c>
      <c r="S4634" s="13">
        <f>SUMIF(H:H,Online_eCommerce[[#This Row],[Brand]],M:M)</f>
        <v>14235195</v>
      </c>
      <c r="T4634" s="13">
        <f>SUMIF(N:N,Online_eCommerce[[#This Row],[Assigned Supervisor]],L:L)</f>
        <v>11733610</v>
      </c>
    </row>
    <row r="4635" spans="1:20" hidden="1" x14ac:dyDescent="0.3">
      <c r="A4635" t="s">
        <v>6836</v>
      </c>
      <c r="B4635" t="s">
        <v>80</v>
      </c>
      <c r="C4635" t="s">
        <v>94</v>
      </c>
      <c r="D4635" t="s">
        <v>6837</v>
      </c>
      <c r="E4635" t="s">
        <v>96</v>
      </c>
      <c r="F4635" t="s">
        <v>6814</v>
      </c>
      <c r="G4635" t="s">
        <v>77</v>
      </c>
      <c r="H4635" t="s">
        <v>78</v>
      </c>
      <c r="I4635">
        <v>10000</v>
      </c>
      <c r="J4635">
        <v>13000</v>
      </c>
      <c r="K4635">
        <v>1</v>
      </c>
      <c r="L4635">
        <v>10000</v>
      </c>
      <c r="M4635">
        <v>13000</v>
      </c>
      <c r="N4635" t="s">
        <v>22</v>
      </c>
      <c r="O4635">
        <f t="shared" si="144"/>
        <v>39000</v>
      </c>
      <c r="P4635" s="13">
        <f t="shared" si="145"/>
        <v>1868256</v>
      </c>
      <c r="Q4635" s="13">
        <f>SUMIFS(M:M,E:E,Online_eCommerce[[#This Row],[Status]])</f>
        <v>21233992</v>
      </c>
      <c r="R4635" s="13">
        <f>SUMIFS(L:L,H:H,Online_eCommerce[[#This Row],[Brand]])</f>
        <v>3720000</v>
      </c>
      <c r="S4635" s="13">
        <f>SUMIF(H:H,Online_eCommerce[[#This Row],[Brand]],M:M)</f>
        <v>4836000</v>
      </c>
      <c r="T4635" s="13">
        <f>SUMIF(N:N,Online_eCommerce[[#This Row],[Assigned Supervisor]],L:L)</f>
        <v>13693220</v>
      </c>
    </row>
    <row r="4636" spans="1:20" hidden="1" x14ac:dyDescent="0.3">
      <c r="A4636" t="s">
        <v>6838</v>
      </c>
      <c r="B4636" t="s">
        <v>85</v>
      </c>
      <c r="C4636" t="s">
        <v>99</v>
      </c>
      <c r="D4636" t="s">
        <v>6839</v>
      </c>
      <c r="E4636" t="s">
        <v>18</v>
      </c>
      <c r="F4636" t="s">
        <v>6840</v>
      </c>
      <c r="G4636" t="s">
        <v>20</v>
      </c>
      <c r="H4636" t="s">
        <v>21</v>
      </c>
      <c r="I4636">
        <v>10500</v>
      </c>
      <c r="J4636">
        <v>13650</v>
      </c>
      <c r="K4636">
        <v>1</v>
      </c>
      <c r="L4636">
        <v>10500</v>
      </c>
      <c r="M4636">
        <v>13650</v>
      </c>
      <c r="N4636" t="s">
        <v>28</v>
      </c>
      <c r="O4636">
        <f t="shared" si="144"/>
        <v>8450</v>
      </c>
      <c r="P4636" s="13">
        <f t="shared" si="145"/>
        <v>2651233</v>
      </c>
      <c r="Q4636" s="13">
        <f>SUMIFS(M:M,E:E,Online_eCommerce[[#This Row],[Status]])</f>
        <v>28340455</v>
      </c>
      <c r="R4636" s="13">
        <f>SUMIFS(L:L,H:H,Online_eCommerce[[#This Row],[Brand]])</f>
        <v>12435650</v>
      </c>
      <c r="S4636" s="13">
        <f>SUMIF(H:H,Online_eCommerce[[#This Row],[Brand]],M:M)</f>
        <v>16166345</v>
      </c>
      <c r="T4636" s="13">
        <f>SUMIF(N:N,Online_eCommerce[[#This Row],[Assigned Supervisor]],L:L)</f>
        <v>12220830</v>
      </c>
    </row>
    <row r="4637" spans="1:20" hidden="1" x14ac:dyDescent="0.3">
      <c r="A4637" t="s">
        <v>6841</v>
      </c>
      <c r="B4637" t="s">
        <v>90</v>
      </c>
      <c r="C4637" t="s">
        <v>105</v>
      </c>
      <c r="D4637" t="s">
        <v>6842</v>
      </c>
      <c r="E4637" t="s">
        <v>161</v>
      </c>
      <c r="F4637" t="s">
        <v>88</v>
      </c>
      <c r="G4637" t="s">
        <v>26</v>
      </c>
      <c r="H4637" t="s">
        <v>27</v>
      </c>
      <c r="I4637">
        <v>8500</v>
      </c>
      <c r="J4637">
        <v>11050</v>
      </c>
      <c r="K4637">
        <v>1</v>
      </c>
      <c r="L4637">
        <v>8500</v>
      </c>
      <c r="M4637">
        <v>11050</v>
      </c>
      <c r="N4637" t="s">
        <v>35</v>
      </c>
      <c r="O4637">
        <f t="shared" si="144"/>
        <v>33150</v>
      </c>
      <c r="P4637" s="13">
        <f t="shared" si="145"/>
        <v>1866852</v>
      </c>
      <c r="Q4637" s="13">
        <f>SUMIFS(M:M,E:E,Online_eCommerce[[#This Row],[Status]])</f>
        <v>21103186</v>
      </c>
      <c r="R4637" s="13">
        <f>SUMIFS(L:L,H:H,Online_eCommerce[[#This Row],[Brand]])</f>
        <v>14431000</v>
      </c>
      <c r="S4637" s="13">
        <f>SUMIF(H:H,Online_eCommerce[[#This Row],[Brand]],M:M)</f>
        <v>18760300</v>
      </c>
      <c r="T4637" s="13">
        <f>SUMIF(N:N,Online_eCommerce[[#This Row],[Assigned Supervisor]],L:L)</f>
        <v>14373360</v>
      </c>
    </row>
    <row r="4638" spans="1:20" x14ac:dyDescent="0.3">
      <c r="A4638" t="s">
        <v>6843</v>
      </c>
      <c r="B4638" t="s">
        <v>232</v>
      </c>
      <c r="C4638" t="s">
        <v>110</v>
      </c>
      <c r="D4638" t="s">
        <v>6844</v>
      </c>
      <c r="E4638" t="s">
        <v>46</v>
      </c>
      <c r="F4638" t="s">
        <v>32</v>
      </c>
      <c r="G4638" t="s">
        <v>33</v>
      </c>
      <c r="H4638" t="s">
        <v>34</v>
      </c>
      <c r="I4638">
        <v>7000</v>
      </c>
      <c r="J4638">
        <v>9100</v>
      </c>
      <c r="K4638">
        <v>4</v>
      </c>
      <c r="L4638">
        <v>28000</v>
      </c>
      <c r="M4638">
        <v>36400</v>
      </c>
      <c r="N4638" t="s">
        <v>42</v>
      </c>
      <c r="O4638">
        <f t="shared" si="144"/>
        <v>18200</v>
      </c>
      <c r="P4638" s="13">
        <f t="shared" si="145"/>
        <v>2598635</v>
      </c>
      <c r="Q4638" s="13">
        <f>SUMIFS(M:M,E:E,Online_eCommerce[[#This Row],[Status]])</f>
        <v>28620410</v>
      </c>
      <c r="R4638" s="13">
        <f>SUMIFS(L:L,H:H,Online_eCommerce[[#This Row],[Brand]])</f>
        <v>10087000</v>
      </c>
      <c r="S4638" s="13">
        <f>SUMIF(H:H,Online_eCommerce[[#This Row],[Brand]],M:M)</f>
        <v>13113100</v>
      </c>
      <c r="T4638" s="13">
        <f>SUMIF(N:N,Online_eCommerce[[#This Row],[Assigned Supervisor]],L:L)</f>
        <v>12261500</v>
      </c>
    </row>
    <row r="4639" spans="1:20" hidden="1" x14ac:dyDescent="0.3">
      <c r="A4639" t="s">
        <v>6845</v>
      </c>
      <c r="B4639" t="s">
        <v>235</v>
      </c>
      <c r="C4639" t="s">
        <v>115</v>
      </c>
      <c r="D4639" t="s">
        <v>6846</v>
      </c>
      <c r="E4639" t="s">
        <v>96</v>
      </c>
      <c r="F4639" t="s">
        <v>6847</v>
      </c>
      <c r="G4639" t="s">
        <v>163</v>
      </c>
      <c r="H4639" t="s">
        <v>41</v>
      </c>
      <c r="I4639">
        <v>1680</v>
      </c>
      <c r="J4639">
        <v>2184</v>
      </c>
      <c r="K4639">
        <v>3</v>
      </c>
      <c r="L4639">
        <v>5040</v>
      </c>
      <c r="M4639">
        <v>6552</v>
      </c>
      <c r="N4639" t="s">
        <v>50</v>
      </c>
      <c r="O4639">
        <f t="shared" si="144"/>
        <v>13650</v>
      </c>
      <c r="P4639" s="13">
        <f t="shared" si="145"/>
        <v>2050178</v>
      </c>
      <c r="Q4639" s="13">
        <f>SUMIFS(M:M,E:E,Online_eCommerce[[#This Row],[Status]])</f>
        <v>21233992</v>
      </c>
      <c r="R4639" s="13">
        <f>SUMIFS(L:L,H:H,Online_eCommerce[[#This Row],[Brand]])</f>
        <v>4260400</v>
      </c>
      <c r="S4639" s="13">
        <f>SUMIF(H:H,Online_eCommerce[[#This Row],[Brand]],M:M)</f>
        <v>5538520</v>
      </c>
      <c r="T4639" s="13">
        <f>SUMIF(N:N,Online_eCommerce[[#This Row],[Assigned Supervisor]],L:L)</f>
        <v>12100590</v>
      </c>
    </row>
    <row r="4640" spans="1:20" hidden="1" x14ac:dyDescent="0.3">
      <c r="A4640" t="s">
        <v>6848</v>
      </c>
      <c r="B4640" t="s">
        <v>104</v>
      </c>
      <c r="C4640" t="s">
        <v>120</v>
      </c>
      <c r="D4640" t="s">
        <v>6849</v>
      </c>
      <c r="E4640" t="s">
        <v>18</v>
      </c>
      <c r="F4640" t="s">
        <v>101</v>
      </c>
      <c r="G4640" t="s">
        <v>66</v>
      </c>
      <c r="H4640" t="s">
        <v>102</v>
      </c>
      <c r="I4640">
        <v>6540</v>
      </c>
      <c r="J4640">
        <v>8502</v>
      </c>
      <c r="K4640">
        <v>3</v>
      </c>
      <c r="L4640">
        <v>19620</v>
      </c>
      <c r="M4640">
        <v>25506</v>
      </c>
      <c r="N4640" t="s">
        <v>56</v>
      </c>
      <c r="O4640">
        <f t="shared" si="144"/>
        <v>1690</v>
      </c>
      <c r="P4640" s="13">
        <f t="shared" si="145"/>
        <v>2734212</v>
      </c>
      <c r="Q4640" s="13">
        <f>SUMIFS(M:M,E:E,Online_eCommerce[[#This Row],[Status]])</f>
        <v>28340455</v>
      </c>
      <c r="R4640" s="13">
        <f>SUMIFS(L:L,H:H,Online_eCommerce[[#This Row],[Brand]])</f>
        <v>2465580</v>
      </c>
      <c r="S4640" s="13">
        <f>SUMIF(H:H,Online_eCommerce[[#This Row],[Brand]],M:M)</f>
        <v>3205254</v>
      </c>
      <c r="T4640" s="13">
        <f>SUMIF(N:N,Online_eCommerce[[#This Row],[Assigned Supervisor]],L:L)</f>
        <v>11733610</v>
      </c>
    </row>
    <row r="4641" spans="1:20" hidden="1" x14ac:dyDescent="0.3">
      <c r="A4641" t="s">
        <v>6850</v>
      </c>
      <c r="B4641" t="s">
        <v>109</v>
      </c>
      <c r="C4641" t="s">
        <v>125</v>
      </c>
      <c r="D4641" t="s">
        <v>6851</v>
      </c>
      <c r="E4641" t="s">
        <v>161</v>
      </c>
      <c r="F4641" t="s">
        <v>107</v>
      </c>
      <c r="G4641" t="s">
        <v>54</v>
      </c>
      <c r="H4641" t="s">
        <v>55</v>
      </c>
      <c r="I4641">
        <v>2680</v>
      </c>
      <c r="J4641">
        <v>3484</v>
      </c>
      <c r="K4641">
        <v>1</v>
      </c>
      <c r="L4641">
        <v>2680</v>
      </c>
      <c r="M4641">
        <v>3484</v>
      </c>
      <c r="N4641" t="s">
        <v>22</v>
      </c>
      <c r="O4641">
        <f t="shared" si="144"/>
        <v>2990</v>
      </c>
      <c r="P4641" s="13">
        <f t="shared" si="145"/>
        <v>2091154</v>
      </c>
      <c r="Q4641" s="13">
        <f>SUMIFS(M:M,E:E,Online_eCommerce[[#This Row],[Status]])</f>
        <v>21103186</v>
      </c>
      <c r="R4641" s="13">
        <f>SUMIFS(L:L,H:H,Online_eCommerce[[#This Row],[Brand]])</f>
        <v>2267380</v>
      </c>
      <c r="S4641" s="13">
        <f>SUMIF(H:H,Online_eCommerce[[#This Row],[Brand]],M:M)</f>
        <v>2947594</v>
      </c>
      <c r="T4641" s="13">
        <f>SUMIF(N:N,Online_eCommerce[[#This Row],[Assigned Supervisor]],L:L)</f>
        <v>13693220</v>
      </c>
    </row>
    <row r="4642" spans="1:20" x14ac:dyDescent="0.3">
      <c r="A4642" t="s">
        <v>6852</v>
      </c>
      <c r="B4642" t="s">
        <v>114</v>
      </c>
      <c r="C4642" t="s">
        <v>22</v>
      </c>
      <c r="D4642" t="s">
        <v>6853</v>
      </c>
      <c r="E4642" t="s">
        <v>46</v>
      </c>
      <c r="F4642" t="s">
        <v>112</v>
      </c>
      <c r="G4642" t="s">
        <v>71</v>
      </c>
      <c r="H4642" t="s">
        <v>21</v>
      </c>
      <c r="I4642">
        <v>8250</v>
      </c>
      <c r="J4642">
        <v>10725</v>
      </c>
      <c r="K4642">
        <v>2</v>
      </c>
      <c r="L4642">
        <v>16500</v>
      </c>
      <c r="M4642">
        <v>21450</v>
      </c>
      <c r="N4642" t="s">
        <v>28</v>
      </c>
      <c r="O4642">
        <f t="shared" si="144"/>
        <v>9750</v>
      </c>
      <c r="P4642" s="13">
        <f t="shared" si="145"/>
        <v>2551588</v>
      </c>
      <c r="Q4642" s="13">
        <f>SUMIFS(M:M,E:E,Online_eCommerce[[#This Row],[Status]])</f>
        <v>28620410</v>
      </c>
      <c r="R4642" s="13">
        <f>SUMIFS(L:L,H:H,Online_eCommerce[[#This Row],[Brand]])</f>
        <v>12435650</v>
      </c>
      <c r="S4642" s="13">
        <f>SUMIF(H:H,Online_eCommerce[[#This Row],[Brand]],M:M)</f>
        <v>16166345</v>
      </c>
      <c r="T4642" s="13">
        <f>SUMIF(N:N,Online_eCommerce[[#This Row],[Assigned Supervisor]],L:L)</f>
        <v>12220830</v>
      </c>
    </row>
    <row r="4643" spans="1:20" hidden="1" x14ac:dyDescent="0.3">
      <c r="A4643" t="s">
        <v>6854</v>
      </c>
      <c r="B4643" t="s">
        <v>119</v>
      </c>
      <c r="C4643" t="s">
        <v>132</v>
      </c>
      <c r="D4643" t="s">
        <v>6855</v>
      </c>
      <c r="E4643" t="s">
        <v>96</v>
      </c>
      <c r="F4643" t="s">
        <v>6401</v>
      </c>
      <c r="G4643" t="s">
        <v>40</v>
      </c>
      <c r="H4643" t="s">
        <v>21</v>
      </c>
      <c r="I4643">
        <v>2650</v>
      </c>
      <c r="J4643">
        <v>3445</v>
      </c>
      <c r="K4643">
        <v>1</v>
      </c>
      <c r="L4643">
        <v>2650</v>
      </c>
      <c r="M4643">
        <v>3445</v>
      </c>
      <c r="N4643" t="s">
        <v>35</v>
      </c>
      <c r="O4643">
        <f t="shared" si="144"/>
        <v>25545</v>
      </c>
      <c r="P4643" s="13">
        <f t="shared" si="145"/>
        <v>1989065</v>
      </c>
      <c r="Q4643" s="13">
        <f>SUMIFS(M:M,E:E,Online_eCommerce[[#This Row],[Status]])</f>
        <v>21233992</v>
      </c>
      <c r="R4643" s="13">
        <f>SUMIFS(L:L,H:H,Online_eCommerce[[#This Row],[Brand]])</f>
        <v>12435650</v>
      </c>
      <c r="S4643" s="13">
        <f>SUMIF(H:H,Online_eCommerce[[#This Row],[Brand]],M:M)</f>
        <v>16166345</v>
      </c>
      <c r="T4643" s="13">
        <f>SUMIF(N:N,Online_eCommerce[[#This Row],[Assigned Supervisor]],L:L)</f>
        <v>14373360</v>
      </c>
    </row>
    <row r="4644" spans="1:20" hidden="1" x14ac:dyDescent="0.3">
      <c r="A4644" t="s">
        <v>6856</v>
      </c>
      <c r="B4644" t="s">
        <v>124</v>
      </c>
      <c r="C4644" t="s">
        <v>136</v>
      </c>
      <c r="D4644" t="s">
        <v>6857</v>
      </c>
      <c r="E4644" t="s">
        <v>18</v>
      </c>
      <c r="F4644" t="s">
        <v>121</v>
      </c>
      <c r="G4644" t="s">
        <v>71</v>
      </c>
      <c r="H4644" t="s">
        <v>122</v>
      </c>
      <c r="I4644">
        <v>12550</v>
      </c>
      <c r="J4644">
        <v>16315</v>
      </c>
      <c r="K4644">
        <v>3</v>
      </c>
      <c r="L4644">
        <v>37650</v>
      </c>
      <c r="M4644">
        <v>48945</v>
      </c>
      <c r="N4644" t="s">
        <v>42</v>
      </c>
      <c r="O4644">
        <f t="shared" si="144"/>
        <v>9750</v>
      </c>
      <c r="P4644" s="13">
        <f t="shared" si="145"/>
        <v>2775162</v>
      </c>
      <c r="Q4644" s="13">
        <f>SUMIFS(M:M,E:E,Online_eCommerce[[#This Row],[Status]])</f>
        <v>28340455</v>
      </c>
      <c r="R4644" s="13">
        <f>SUMIFS(L:L,H:H,Online_eCommerce[[#This Row],[Brand]])</f>
        <v>5045100</v>
      </c>
      <c r="S4644" s="13">
        <f>SUMIF(H:H,Online_eCommerce[[#This Row],[Brand]],M:M)</f>
        <v>6558630</v>
      </c>
      <c r="T4644" s="13">
        <f>SUMIF(N:N,Online_eCommerce[[#This Row],[Assigned Supervisor]],L:L)</f>
        <v>12261500</v>
      </c>
    </row>
    <row r="4645" spans="1:20" hidden="1" x14ac:dyDescent="0.3">
      <c r="A4645" t="s">
        <v>6858</v>
      </c>
      <c r="B4645" t="s">
        <v>128</v>
      </c>
      <c r="C4645" t="s">
        <v>140</v>
      </c>
      <c r="D4645" t="s">
        <v>6859</v>
      </c>
      <c r="E4645" t="s">
        <v>161</v>
      </c>
      <c r="F4645" t="s">
        <v>126</v>
      </c>
      <c r="G4645" t="s">
        <v>26</v>
      </c>
      <c r="H4645" t="s">
        <v>27</v>
      </c>
      <c r="I4645">
        <v>14500</v>
      </c>
      <c r="J4645">
        <v>18850</v>
      </c>
      <c r="K4645">
        <v>2</v>
      </c>
      <c r="L4645">
        <v>29000</v>
      </c>
      <c r="M4645">
        <v>37700</v>
      </c>
      <c r="N4645" t="s">
        <v>50</v>
      </c>
      <c r="O4645">
        <f t="shared" si="144"/>
        <v>33150</v>
      </c>
      <c r="P4645" s="13">
        <f t="shared" si="145"/>
        <v>2058264</v>
      </c>
      <c r="Q4645" s="13">
        <f>SUMIFS(M:M,E:E,Online_eCommerce[[#This Row],[Status]])</f>
        <v>21103186</v>
      </c>
      <c r="R4645" s="13">
        <f>SUMIFS(L:L,H:H,Online_eCommerce[[#This Row],[Brand]])</f>
        <v>14431000</v>
      </c>
      <c r="S4645" s="13">
        <f>SUMIF(H:H,Online_eCommerce[[#This Row],[Brand]],M:M)</f>
        <v>18760300</v>
      </c>
      <c r="T4645" s="13">
        <f>SUMIF(N:N,Online_eCommerce[[#This Row],[Assigned Supervisor]],L:L)</f>
        <v>12100590</v>
      </c>
    </row>
    <row r="4646" spans="1:20" x14ac:dyDescent="0.3">
      <c r="A4646" t="s">
        <v>6860</v>
      </c>
      <c r="B4646" t="s">
        <v>131</v>
      </c>
      <c r="C4646" t="s">
        <v>145</v>
      </c>
      <c r="D4646" t="s">
        <v>6861</v>
      </c>
      <c r="E4646" t="s">
        <v>46</v>
      </c>
      <c r="F4646" t="s">
        <v>129</v>
      </c>
      <c r="G4646" t="s">
        <v>60</v>
      </c>
      <c r="H4646" t="s">
        <v>61</v>
      </c>
      <c r="I4646">
        <v>800</v>
      </c>
      <c r="J4646">
        <v>1040</v>
      </c>
      <c r="K4646">
        <v>1</v>
      </c>
      <c r="L4646">
        <v>800</v>
      </c>
      <c r="M4646">
        <v>1040</v>
      </c>
      <c r="N4646" t="s">
        <v>56</v>
      </c>
      <c r="O4646">
        <f t="shared" si="144"/>
        <v>3315</v>
      </c>
      <c r="P4646" s="13">
        <f t="shared" si="145"/>
        <v>2757859</v>
      </c>
      <c r="Q4646" s="13">
        <f>SUMIFS(M:M,E:E,Online_eCommerce[[#This Row],[Status]])</f>
        <v>28620410</v>
      </c>
      <c r="R4646" s="13">
        <f>SUMIFS(L:L,H:H,Online_eCommerce[[#This Row],[Brand]])</f>
        <v>10950150</v>
      </c>
      <c r="S4646" s="13">
        <f>SUMIF(H:H,Online_eCommerce[[#This Row],[Brand]],M:M)</f>
        <v>14235195</v>
      </c>
      <c r="T4646" s="13">
        <f>SUMIF(N:N,Online_eCommerce[[#This Row],[Assigned Supervisor]],L:L)</f>
        <v>11733610</v>
      </c>
    </row>
    <row r="4647" spans="1:20" hidden="1" x14ac:dyDescent="0.3">
      <c r="A4647" t="s">
        <v>6862</v>
      </c>
      <c r="B4647" t="s">
        <v>135</v>
      </c>
      <c r="C4647" t="s">
        <v>150</v>
      </c>
      <c r="D4647" t="s">
        <v>6863</v>
      </c>
      <c r="E4647" t="s">
        <v>96</v>
      </c>
      <c r="F4647" t="s">
        <v>133</v>
      </c>
      <c r="G4647" t="s">
        <v>66</v>
      </c>
      <c r="H4647" t="s">
        <v>21</v>
      </c>
      <c r="I4647">
        <v>600</v>
      </c>
      <c r="J4647">
        <v>780</v>
      </c>
      <c r="K4647">
        <v>2</v>
      </c>
      <c r="L4647">
        <v>1200</v>
      </c>
      <c r="M4647">
        <v>1560</v>
      </c>
      <c r="N4647" t="s">
        <v>22</v>
      </c>
      <c r="O4647">
        <f t="shared" si="144"/>
        <v>1690</v>
      </c>
      <c r="P4647" s="13">
        <f t="shared" si="145"/>
        <v>2154984</v>
      </c>
      <c r="Q4647" s="13">
        <f>SUMIFS(M:M,E:E,Online_eCommerce[[#This Row],[Status]])</f>
        <v>21233992</v>
      </c>
      <c r="R4647" s="13">
        <f>SUMIFS(L:L,H:H,Online_eCommerce[[#This Row],[Brand]])</f>
        <v>12435650</v>
      </c>
      <c r="S4647" s="13">
        <f>SUMIF(H:H,Online_eCommerce[[#This Row],[Brand]],M:M)</f>
        <v>16166345</v>
      </c>
      <c r="T4647" s="13">
        <f>SUMIF(N:N,Online_eCommerce[[#This Row],[Assigned Supervisor]],L:L)</f>
        <v>13693220</v>
      </c>
    </row>
    <row r="4648" spans="1:20" hidden="1" x14ac:dyDescent="0.3">
      <c r="A4648" t="s">
        <v>6864</v>
      </c>
      <c r="B4648" t="s">
        <v>139</v>
      </c>
      <c r="C4648" t="s">
        <v>155</v>
      </c>
      <c r="D4648" t="s">
        <v>6865</v>
      </c>
      <c r="E4648" t="s">
        <v>18</v>
      </c>
      <c r="F4648" t="s">
        <v>137</v>
      </c>
      <c r="G4648" t="s">
        <v>71</v>
      </c>
      <c r="H4648" t="s">
        <v>61</v>
      </c>
      <c r="I4648">
        <v>10500</v>
      </c>
      <c r="J4648">
        <v>13650</v>
      </c>
      <c r="K4648">
        <v>3</v>
      </c>
      <c r="L4648">
        <v>31500</v>
      </c>
      <c r="M4648">
        <v>40950</v>
      </c>
      <c r="N4648" t="s">
        <v>28</v>
      </c>
      <c r="O4648">
        <f t="shared" si="144"/>
        <v>9750</v>
      </c>
      <c r="P4648" s="13">
        <f t="shared" si="145"/>
        <v>2753348</v>
      </c>
      <c r="Q4648" s="13">
        <f>SUMIFS(M:M,E:E,Online_eCommerce[[#This Row],[Status]])</f>
        <v>28340455</v>
      </c>
      <c r="R4648" s="13">
        <f>SUMIFS(L:L,H:H,Online_eCommerce[[#This Row],[Brand]])</f>
        <v>10950150</v>
      </c>
      <c r="S4648" s="13">
        <f>SUMIF(H:H,Online_eCommerce[[#This Row],[Brand]],M:M)</f>
        <v>14235195</v>
      </c>
      <c r="T4648" s="13">
        <f>SUMIF(N:N,Online_eCommerce[[#This Row],[Assigned Supervisor]],L:L)</f>
        <v>12220830</v>
      </c>
    </row>
    <row r="4649" spans="1:20" hidden="1" x14ac:dyDescent="0.3">
      <c r="A4649" t="s">
        <v>6866</v>
      </c>
      <c r="B4649" t="s">
        <v>144</v>
      </c>
      <c r="C4649" t="s">
        <v>160</v>
      </c>
      <c r="D4649" t="s">
        <v>6867</v>
      </c>
      <c r="E4649" t="s">
        <v>161</v>
      </c>
      <c r="F4649" t="s">
        <v>6814</v>
      </c>
      <c r="G4649" t="s">
        <v>77</v>
      </c>
      <c r="H4649" t="s">
        <v>142</v>
      </c>
      <c r="I4649">
        <v>6500</v>
      </c>
      <c r="J4649">
        <v>8450</v>
      </c>
      <c r="K4649">
        <v>3</v>
      </c>
      <c r="L4649">
        <v>19500</v>
      </c>
      <c r="M4649">
        <v>25350</v>
      </c>
      <c r="N4649" t="s">
        <v>35</v>
      </c>
      <c r="O4649">
        <f t="shared" si="144"/>
        <v>39000</v>
      </c>
      <c r="P4649" s="13">
        <f t="shared" si="145"/>
        <v>2303483</v>
      </c>
      <c r="Q4649" s="13">
        <f>SUMIFS(M:M,E:E,Online_eCommerce[[#This Row],[Status]])</f>
        <v>21103186</v>
      </c>
      <c r="R4649" s="13">
        <f>SUMIFS(L:L,H:H,Online_eCommerce[[#This Row],[Brand]])</f>
        <v>6192500</v>
      </c>
      <c r="S4649" s="13">
        <f>SUMIF(H:H,Online_eCommerce[[#This Row],[Brand]],M:M)</f>
        <v>8050250</v>
      </c>
      <c r="T4649" s="13">
        <f>SUMIF(N:N,Online_eCommerce[[#This Row],[Assigned Supervisor]],L:L)</f>
        <v>14373360</v>
      </c>
    </row>
    <row r="4650" spans="1:20" x14ac:dyDescent="0.3">
      <c r="A4650" t="s">
        <v>6868</v>
      </c>
      <c r="B4650" t="s">
        <v>149</v>
      </c>
      <c r="C4650" t="s">
        <v>165</v>
      </c>
      <c r="D4650" t="s">
        <v>6869</v>
      </c>
      <c r="E4650" t="s">
        <v>46</v>
      </c>
      <c r="F4650" t="s">
        <v>6870</v>
      </c>
      <c r="G4650" t="s">
        <v>20</v>
      </c>
      <c r="H4650" t="s">
        <v>21</v>
      </c>
      <c r="I4650">
        <v>4500</v>
      </c>
      <c r="J4650">
        <v>5850</v>
      </c>
      <c r="K4650">
        <v>1</v>
      </c>
      <c r="L4650">
        <v>4500</v>
      </c>
      <c r="M4650">
        <v>5850</v>
      </c>
      <c r="N4650" t="s">
        <v>42</v>
      </c>
      <c r="O4650">
        <f t="shared" si="144"/>
        <v>8450</v>
      </c>
      <c r="P4650" s="13">
        <f t="shared" si="145"/>
        <v>2674087</v>
      </c>
      <c r="Q4650" s="13">
        <f>SUMIFS(M:M,E:E,Online_eCommerce[[#This Row],[Status]])</f>
        <v>28620410</v>
      </c>
      <c r="R4650" s="13">
        <f>SUMIFS(L:L,H:H,Online_eCommerce[[#This Row],[Brand]])</f>
        <v>12435650</v>
      </c>
      <c r="S4650" s="13">
        <f>SUMIF(H:H,Online_eCommerce[[#This Row],[Brand]],M:M)</f>
        <v>16166345</v>
      </c>
      <c r="T4650" s="13">
        <f>SUMIF(N:N,Online_eCommerce[[#This Row],[Assigned Supervisor]],L:L)</f>
        <v>12261500</v>
      </c>
    </row>
    <row r="4651" spans="1:20" hidden="1" x14ac:dyDescent="0.3">
      <c r="A4651" t="s">
        <v>6871</v>
      </c>
      <c r="B4651" t="s">
        <v>154</v>
      </c>
      <c r="C4651" t="s">
        <v>168</v>
      </c>
      <c r="D4651" t="s">
        <v>6872</v>
      </c>
      <c r="E4651" t="s">
        <v>96</v>
      </c>
      <c r="F4651" t="s">
        <v>152</v>
      </c>
      <c r="G4651" t="s">
        <v>26</v>
      </c>
      <c r="H4651" t="s">
        <v>27</v>
      </c>
      <c r="I4651">
        <v>8500</v>
      </c>
      <c r="J4651">
        <v>11050</v>
      </c>
      <c r="K4651">
        <v>2</v>
      </c>
      <c r="L4651">
        <v>17000</v>
      </c>
      <c r="M4651">
        <v>22100</v>
      </c>
      <c r="N4651" t="s">
        <v>50</v>
      </c>
      <c r="O4651">
        <f t="shared" si="144"/>
        <v>33150</v>
      </c>
      <c r="P4651" s="13">
        <f t="shared" si="145"/>
        <v>1937780</v>
      </c>
      <c r="Q4651" s="13">
        <f>SUMIFS(M:M,E:E,Online_eCommerce[[#This Row],[Status]])</f>
        <v>21233992</v>
      </c>
      <c r="R4651" s="13">
        <f>SUMIFS(L:L,H:H,Online_eCommerce[[#This Row],[Brand]])</f>
        <v>14431000</v>
      </c>
      <c r="S4651" s="13">
        <f>SUMIF(H:H,Online_eCommerce[[#This Row],[Brand]],M:M)</f>
        <v>18760300</v>
      </c>
      <c r="T4651" s="13">
        <f>SUMIF(N:N,Online_eCommerce[[#This Row],[Assigned Supervisor]],L:L)</f>
        <v>12100590</v>
      </c>
    </row>
    <row r="4652" spans="1:20" hidden="1" x14ac:dyDescent="0.3">
      <c r="A4652" t="s">
        <v>6873</v>
      </c>
      <c r="B4652" t="s">
        <v>159</v>
      </c>
      <c r="C4652" t="s">
        <v>172</v>
      </c>
      <c r="D4652" t="s">
        <v>6874</v>
      </c>
      <c r="E4652" t="s">
        <v>18</v>
      </c>
      <c r="F4652" t="s">
        <v>157</v>
      </c>
      <c r="G4652" t="s">
        <v>33</v>
      </c>
      <c r="H4652" t="s">
        <v>34</v>
      </c>
      <c r="I4652">
        <v>12500</v>
      </c>
      <c r="J4652">
        <v>16250</v>
      </c>
      <c r="K4652">
        <v>1</v>
      </c>
      <c r="L4652">
        <v>12500</v>
      </c>
      <c r="M4652">
        <v>16250</v>
      </c>
      <c r="N4652" t="s">
        <v>56</v>
      </c>
      <c r="O4652">
        <f t="shared" si="144"/>
        <v>18200</v>
      </c>
      <c r="P4652" s="13">
        <f t="shared" si="145"/>
        <v>2640274</v>
      </c>
      <c r="Q4652" s="13">
        <f>SUMIFS(M:M,E:E,Online_eCommerce[[#This Row],[Status]])</f>
        <v>28340455</v>
      </c>
      <c r="R4652" s="13">
        <f>SUMIFS(L:L,H:H,Online_eCommerce[[#This Row],[Brand]])</f>
        <v>10087000</v>
      </c>
      <c r="S4652" s="13">
        <f>SUMIF(H:H,Online_eCommerce[[#This Row],[Brand]],M:M)</f>
        <v>13113100</v>
      </c>
      <c r="T4652" s="13">
        <f>SUMIF(N:N,Online_eCommerce[[#This Row],[Assigned Supervisor]],L:L)</f>
        <v>11733610</v>
      </c>
    </row>
    <row r="4653" spans="1:20" hidden="1" x14ac:dyDescent="0.3">
      <c r="A4653" t="s">
        <v>6875</v>
      </c>
      <c r="B4653" t="s">
        <v>139</v>
      </c>
      <c r="C4653" t="s">
        <v>177</v>
      </c>
      <c r="D4653" t="s">
        <v>6876</v>
      </c>
      <c r="E4653" t="s">
        <v>161</v>
      </c>
      <c r="F4653" t="s">
        <v>6444</v>
      </c>
      <c r="G4653" t="s">
        <v>256</v>
      </c>
      <c r="H4653" t="s">
        <v>41</v>
      </c>
      <c r="I4653">
        <v>3500</v>
      </c>
      <c r="J4653">
        <v>4550</v>
      </c>
      <c r="K4653">
        <v>4</v>
      </c>
      <c r="L4653">
        <v>14000</v>
      </c>
      <c r="M4653">
        <v>18200</v>
      </c>
      <c r="N4653" t="s">
        <v>22</v>
      </c>
      <c r="O4653">
        <f t="shared" si="144"/>
        <v>9100</v>
      </c>
      <c r="P4653" s="13">
        <f t="shared" si="145"/>
        <v>1863810</v>
      </c>
      <c r="Q4653" s="13">
        <f>SUMIFS(M:M,E:E,Online_eCommerce[[#This Row],[Status]])</f>
        <v>21103186</v>
      </c>
      <c r="R4653" s="13">
        <f>SUMIFS(L:L,H:H,Online_eCommerce[[#This Row],[Brand]])</f>
        <v>4260400</v>
      </c>
      <c r="S4653" s="13">
        <f>SUMIF(H:H,Online_eCommerce[[#This Row],[Brand]],M:M)</f>
        <v>5538520</v>
      </c>
      <c r="T4653" s="13">
        <f>SUMIF(N:N,Online_eCommerce[[#This Row],[Assigned Supervisor]],L:L)</f>
        <v>13693220</v>
      </c>
    </row>
    <row r="4654" spans="1:20" x14ac:dyDescent="0.3">
      <c r="A4654" t="s">
        <v>6877</v>
      </c>
      <c r="B4654" t="s">
        <v>144</v>
      </c>
      <c r="C4654" t="s">
        <v>181</v>
      </c>
      <c r="D4654" t="s">
        <v>6878</v>
      </c>
      <c r="E4654" t="s">
        <v>46</v>
      </c>
      <c r="F4654" t="s">
        <v>166</v>
      </c>
      <c r="G4654" t="s">
        <v>259</v>
      </c>
      <c r="H4654" t="s">
        <v>49</v>
      </c>
      <c r="I4654">
        <v>4500</v>
      </c>
      <c r="J4654">
        <v>5850</v>
      </c>
      <c r="K4654">
        <v>4</v>
      </c>
      <c r="L4654">
        <v>18000</v>
      </c>
      <c r="M4654">
        <v>23400</v>
      </c>
      <c r="N4654" t="s">
        <v>28</v>
      </c>
      <c r="O4654">
        <f t="shared" si="144"/>
        <v>11700</v>
      </c>
      <c r="P4654" s="13">
        <f t="shared" si="145"/>
        <v>2577458</v>
      </c>
      <c r="Q4654" s="13">
        <f>SUMIFS(M:M,E:E,Online_eCommerce[[#This Row],[Status]])</f>
        <v>28620410</v>
      </c>
      <c r="R4654" s="13">
        <f>SUMIFS(L:L,H:H,Online_eCommerce[[#This Row],[Brand]])</f>
        <v>4528350</v>
      </c>
      <c r="S4654" s="13">
        <f>SUMIF(H:H,Online_eCommerce[[#This Row],[Brand]],M:M)</f>
        <v>5886855</v>
      </c>
      <c r="T4654" s="13">
        <f>SUMIF(N:N,Online_eCommerce[[#This Row],[Assigned Supervisor]],L:L)</f>
        <v>12220830</v>
      </c>
    </row>
    <row r="4655" spans="1:20" hidden="1" x14ac:dyDescent="0.3">
      <c r="A4655" t="s">
        <v>6879</v>
      </c>
      <c r="B4655" t="s">
        <v>235</v>
      </c>
      <c r="C4655" t="s">
        <v>185</v>
      </c>
      <c r="D4655" t="s">
        <v>6880</v>
      </c>
      <c r="E4655" t="s">
        <v>96</v>
      </c>
      <c r="F4655" t="s">
        <v>6881</v>
      </c>
      <c r="G4655" t="s">
        <v>54</v>
      </c>
      <c r="H4655" t="s">
        <v>55</v>
      </c>
      <c r="I4655">
        <v>2100</v>
      </c>
      <c r="J4655">
        <v>2730</v>
      </c>
      <c r="K4655">
        <v>2</v>
      </c>
      <c r="L4655">
        <v>4200</v>
      </c>
      <c r="M4655">
        <v>5460</v>
      </c>
      <c r="N4655" t="s">
        <v>35</v>
      </c>
      <c r="O4655">
        <f t="shared" si="144"/>
        <v>2990</v>
      </c>
      <c r="P4655" s="13">
        <f t="shared" si="145"/>
        <v>2091596</v>
      </c>
      <c r="Q4655" s="13">
        <f>SUMIFS(M:M,E:E,Online_eCommerce[[#This Row],[Status]])</f>
        <v>21233992</v>
      </c>
      <c r="R4655" s="13">
        <f>SUMIFS(L:L,H:H,Online_eCommerce[[#This Row],[Brand]])</f>
        <v>2267380</v>
      </c>
      <c r="S4655" s="13">
        <f>SUMIF(H:H,Online_eCommerce[[#This Row],[Brand]],M:M)</f>
        <v>2947594</v>
      </c>
      <c r="T4655" s="13">
        <f>SUMIF(N:N,Online_eCommerce[[#This Row],[Assigned Supervisor]],L:L)</f>
        <v>14373360</v>
      </c>
    </row>
    <row r="4656" spans="1:20" hidden="1" x14ac:dyDescent="0.3">
      <c r="A4656" t="s">
        <v>6882</v>
      </c>
      <c r="B4656" t="s">
        <v>176</v>
      </c>
      <c r="C4656" t="s">
        <v>189</v>
      </c>
      <c r="D4656" t="s">
        <v>6883</v>
      </c>
      <c r="E4656" t="s">
        <v>18</v>
      </c>
      <c r="F4656" t="s">
        <v>174</v>
      </c>
      <c r="G4656" t="s">
        <v>60</v>
      </c>
      <c r="H4656" t="s">
        <v>61</v>
      </c>
      <c r="I4656">
        <v>1150</v>
      </c>
      <c r="J4656">
        <v>1495</v>
      </c>
      <c r="K4656">
        <v>1</v>
      </c>
      <c r="L4656">
        <v>1150</v>
      </c>
      <c r="M4656">
        <v>1495</v>
      </c>
      <c r="N4656" t="s">
        <v>42</v>
      </c>
      <c r="O4656">
        <f t="shared" si="144"/>
        <v>3315</v>
      </c>
      <c r="P4656" s="13">
        <f t="shared" si="145"/>
        <v>2740777</v>
      </c>
      <c r="Q4656" s="13">
        <f>SUMIFS(M:M,E:E,Online_eCommerce[[#This Row],[Status]])</f>
        <v>28340455</v>
      </c>
      <c r="R4656" s="13">
        <f>SUMIFS(L:L,H:H,Online_eCommerce[[#This Row],[Brand]])</f>
        <v>10950150</v>
      </c>
      <c r="S4656" s="13">
        <f>SUMIF(H:H,Online_eCommerce[[#This Row],[Brand]],M:M)</f>
        <v>14235195</v>
      </c>
      <c r="T4656" s="13">
        <f>SUMIF(N:N,Online_eCommerce[[#This Row],[Assigned Supervisor]],L:L)</f>
        <v>12261500</v>
      </c>
    </row>
    <row r="4657" spans="1:20" hidden="1" x14ac:dyDescent="0.3">
      <c r="A4657" t="s">
        <v>6884</v>
      </c>
      <c r="B4657" t="s">
        <v>276</v>
      </c>
      <c r="C4657" t="s">
        <v>193</v>
      </c>
      <c r="D4657" t="s">
        <v>6885</v>
      </c>
      <c r="E4657" t="s">
        <v>161</v>
      </c>
      <c r="F4657" t="s">
        <v>179</v>
      </c>
      <c r="G4657" t="s">
        <v>66</v>
      </c>
      <c r="H4657" t="s">
        <v>21</v>
      </c>
      <c r="I4657">
        <v>350</v>
      </c>
      <c r="J4657">
        <v>455</v>
      </c>
      <c r="K4657">
        <v>2</v>
      </c>
      <c r="L4657">
        <v>700</v>
      </c>
      <c r="M4657">
        <v>910</v>
      </c>
      <c r="N4657" t="s">
        <v>50</v>
      </c>
      <c r="O4657">
        <f t="shared" si="144"/>
        <v>1690</v>
      </c>
      <c r="P4657" s="13">
        <f t="shared" si="145"/>
        <v>2074774</v>
      </c>
      <c r="Q4657" s="13">
        <f>SUMIFS(M:M,E:E,Online_eCommerce[[#This Row],[Status]])</f>
        <v>21103186</v>
      </c>
      <c r="R4657" s="13">
        <f>SUMIFS(L:L,H:H,Online_eCommerce[[#This Row],[Brand]])</f>
        <v>12435650</v>
      </c>
      <c r="S4657" s="13">
        <f>SUMIF(H:H,Online_eCommerce[[#This Row],[Brand]],M:M)</f>
        <v>16166345</v>
      </c>
      <c r="T4657" s="13">
        <f>SUMIF(N:N,Online_eCommerce[[#This Row],[Assigned Supervisor]],L:L)</f>
        <v>12100590</v>
      </c>
    </row>
    <row r="4658" spans="1:20" x14ac:dyDescent="0.3">
      <c r="A4658" t="s">
        <v>6886</v>
      </c>
      <c r="B4658" t="s">
        <v>280</v>
      </c>
      <c r="C4658" t="s">
        <v>197</v>
      </c>
      <c r="D4658" t="s">
        <v>6887</v>
      </c>
      <c r="E4658" t="s">
        <v>46</v>
      </c>
      <c r="F4658" t="s">
        <v>183</v>
      </c>
      <c r="G4658" t="s">
        <v>71</v>
      </c>
      <c r="H4658" t="s">
        <v>61</v>
      </c>
      <c r="I4658">
        <v>9500</v>
      </c>
      <c r="J4658">
        <v>12350</v>
      </c>
      <c r="K4658">
        <v>1</v>
      </c>
      <c r="L4658">
        <v>9500</v>
      </c>
      <c r="M4658">
        <v>12350</v>
      </c>
      <c r="N4658" t="s">
        <v>56</v>
      </c>
      <c r="O4658">
        <f t="shared" si="144"/>
        <v>9750</v>
      </c>
      <c r="P4658" s="13">
        <f t="shared" si="145"/>
        <v>2829840</v>
      </c>
      <c r="Q4658" s="13">
        <f>SUMIFS(M:M,E:E,Online_eCommerce[[#This Row],[Status]])</f>
        <v>28620410</v>
      </c>
      <c r="R4658" s="13">
        <f>SUMIFS(L:L,H:H,Online_eCommerce[[#This Row],[Brand]])</f>
        <v>10950150</v>
      </c>
      <c r="S4658" s="13">
        <f>SUMIF(H:H,Online_eCommerce[[#This Row],[Brand]],M:M)</f>
        <v>14235195</v>
      </c>
      <c r="T4658" s="13">
        <f>SUMIF(N:N,Online_eCommerce[[#This Row],[Assigned Supervisor]],L:L)</f>
        <v>11733610</v>
      </c>
    </row>
    <row r="4659" spans="1:20" hidden="1" x14ac:dyDescent="0.3">
      <c r="A4659" t="s">
        <v>6888</v>
      </c>
      <c r="B4659" t="s">
        <v>283</v>
      </c>
      <c r="C4659" t="s">
        <v>199</v>
      </c>
      <c r="D4659" t="s">
        <v>6889</v>
      </c>
      <c r="E4659" t="s">
        <v>96</v>
      </c>
      <c r="F4659" t="s">
        <v>6890</v>
      </c>
      <c r="G4659" t="s">
        <v>77</v>
      </c>
      <c r="H4659" t="s">
        <v>142</v>
      </c>
      <c r="I4659">
        <v>10000</v>
      </c>
      <c r="J4659">
        <v>13000</v>
      </c>
      <c r="K4659">
        <v>2</v>
      </c>
      <c r="L4659">
        <v>20000</v>
      </c>
      <c r="M4659">
        <v>26000</v>
      </c>
      <c r="N4659" t="s">
        <v>22</v>
      </c>
      <c r="O4659">
        <f t="shared" si="144"/>
        <v>39000</v>
      </c>
      <c r="P4659" s="13">
        <f t="shared" si="145"/>
        <v>1947361</v>
      </c>
      <c r="Q4659" s="13">
        <f>SUMIFS(M:M,E:E,Online_eCommerce[[#This Row],[Status]])</f>
        <v>21233992</v>
      </c>
      <c r="R4659" s="13">
        <f>SUMIFS(L:L,H:H,Online_eCommerce[[#This Row],[Brand]])</f>
        <v>6192500</v>
      </c>
      <c r="S4659" s="13">
        <f>SUMIF(H:H,Online_eCommerce[[#This Row],[Brand]],M:M)</f>
        <v>8050250</v>
      </c>
      <c r="T4659" s="13">
        <f>SUMIF(N:N,Online_eCommerce[[#This Row],[Assigned Supervisor]],L:L)</f>
        <v>13693220</v>
      </c>
    </row>
    <row r="4660" spans="1:20" hidden="1" x14ac:dyDescent="0.3">
      <c r="A4660" t="s">
        <v>6891</v>
      </c>
      <c r="B4660" t="s">
        <v>287</v>
      </c>
      <c r="C4660" t="s">
        <v>203</v>
      </c>
      <c r="D4660" t="s">
        <v>6892</v>
      </c>
      <c r="E4660" t="s">
        <v>18</v>
      </c>
      <c r="F4660" t="s">
        <v>6893</v>
      </c>
      <c r="G4660" t="s">
        <v>20</v>
      </c>
      <c r="H4660" t="s">
        <v>21</v>
      </c>
      <c r="I4660">
        <v>6500</v>
      </c>
      <c r="J4660">
        <v>8450</v>
      </c>
      <c r="K4660">
        <v>4</v>
      </c>
      <c r="L4660">
        <v>26000</v>
      </c>
      <c r="M4660">
        <v>33800</v>
      </c>
      <c r="N4660" t="s">
        <v>28</v>
      </c>
      <c r="O4660">
        <f t="shared" si="144"/>
        <v>8450</v>
      </c>
      <c r="P4660" s="13">
        <f t="shared" si="145"/>
        <v>2559635</v>
      </c>
      <c r="Q4660" s="13">
        <f>SUMIFS(M:M,E:E,Online_eCommerce[[#This Row],[Status]])</f>
        <v>28340455</v>
      </c>
      <c r="R4660" s="13">
        <f>SUMIFS(L:L,H:H,Online_eCommerce[[#This Row],[Brand]])</f>
        <v>12435650</v>
      </c>
      <c r="S4660" s="13">
        <f>SUMIF(H:H,Online_eCommerce[[#This Row],[Brand]],M:M)</f>
        <v>16166345</v>
      </c>
      <c r="T4660" s="13">
        <f>SUMIF(N:N,Online_eCommerce[[#This Row],[Assigned Supervisor]],L:L)</f>
        <v>12220830</v>
      </c>
    </row>
    <row r="4661" spans="1:20" hidden="1" x14ac:dyDescent="0.3">
      <c r="A4661" t="s">
        <v>6894</v>
      </c>
      <c r="B4661" t="s">
        <v>290</v>
      </c>
      <c r="C4661" t="s">
        <v>205</v>
      </c>
      <c r="D4661" t="s">
        <v>6895</v>
      </c>
      <c r="E4661" t="s">
        <v>161</v>
      </c>
      <c r="F4661" t="s">
        <v>6896</v>
      </c>
      <c r="G4661" t="s">
        <v>26</v>
      </c>
      <c r="H4661" t="s">
        <v>27</v>
      </c>
      <c r="I4661">
        <v>8500</v>
      </c>
      <c r="J4661">
        <v>11050</v>
      </c>
      <c r="K4661">
        <v>2</v>
      </c>
      <c r="L4661">
        <v>17000</v>
      </c>
      <c r="M4661">
        <v>22100</v>
      </c>
      <c r="N4661" t="s">
        <v>35</v>
      </c>
      <c r="O4661">
        <f t="shared" si="144"/>
        <v>33150</v>
      </c>
      <c r="P4661" s="13">
        <f t="shared" si="145"/>
        <v>1983254</v>
      </c>
      <c r="Q4661" s="13">
        <f>SUMIFS(M:M,E:E,Online_eCommerce[[#This Row],[Status]])</f>
        <v>21103186</v>
      </c>
      <c r="R4661" s="13">
        <f>SUMIFS(L:L,H:H,Online_eCommerce[[#This Row],[Brand]])</f>
        <v>14431000</v>
      </c>
      <c r="S4661" s="13">
        <f>SUMIF(H:H,Online_eCommerce[[#This Row],[Brand]],M:M)</f>
        <v>18760300</v>
      </c>
      <c r="T4661" s="13">
        <f>SUMIF(N:N,Online_eCommerce[[#This Row],[Assigned Supervisor]],L:L)</f>
        <v>14373360</v>
      </c>
    </row>
    <row r="4662" spans="1:20" x14ac:dyDescent="0.3">
      <c r="A4662" t="s">
        <v>6897</v>
      </c>
      <c r="B4662" t="s">
        <v>15</v>
      </c>
      <c r="C4662" t="s">
        <v>208</v>
      </c>
      <c r="D4662" t="s">
        <v>6898</v>
      </c>
      <c r="E4662" t="s">
        <v>46</v>
      </c>
      <c r="F4662" t="s">
        <v>32</v>
      </c>
      <c r="G4662" t="s">
        <v>33</v>
      </c>
      <c r="H4662" t="s">
        <v>34</v>
      </c>
      <c r="I4662">
        <v>7000</v>
      </c>
      <c r="J4662">
        <v>9100</v>
      </c>
      <c r="K4662">
        <v>2</v>
      </c>
      <c r="L4662">
        <v>14000</v>
      </c>
      <c r="M4662">
        <v>18200</v>
      </c>
      <c r="N4662" t="s">
        <v>42</v>
      </c>
      <c r="O4662">
        <f t="shared" si="144"/>
        <v>18200</v>
      </c>
      <c r="P4662" s="13">
        <f t="shared" si="145"/>
        <v>2746575</v>
      </c>
      <c r="Q4662" s="13">
        <f>SUMIFS(M:M,E:E,Online_eCommerce[[#This Row],[Status]])</f>
        <v>28620410</v>
      </c>
      <c r="R4662" s="13">
        <f>SUMIFS(L:L,H:H,Online_eCommerce[[#This Row],[Brand]])</f>
        <v>10087000</v>
      </c>
      <c r="S4662" s="13">
        <f>SUMIF(H:H,Online_eCommerce[[#This Row],[Brand]],M:M)</f>
        <v>13113100</v>
      </c>
      <c r="T4662" s="13">
        <f>SUMIF(N:N,Online_eCommerce[[#This Row],[Assigned Supervisor]],L:L)</f>
        <v>12261500</v>
      </c>
    </row>
    <row r="4663" spans="1:20" hidden="1" x14ac:dyDescent="0.3">
      <c r="A4663" t="s">
        <v>6899</v>
      </c>
      <c r="B4663" t="s">
        <v>202</v>
      </c>
      <c r="C4663" t="s">
        <v>211</v>
      </c>
      <c r="D4663" t="s">
        <v>6898</v>
      </c>
      <c r="E4663" t="s">
        <v>96</v>
      </c>
      <c r="F4663" t="s">
        <v>6900</v>
      </c>
      <c r="G4663" t="s">
        <v>256</v>
      </c>
      <c r="H4663" t="s">
        <v>41</v>
      </c>
      <c r="I4663">
        <v>6550</v>
      </c>
      <c r="J4663">
        <v>8515</v>
      </c>
      <c r="K4663">
        <v>1</v>
      </c>
      <c r="L4663">
        <v>6550</v>
      </c>
      <c r="M4663">
        <v>8515</v>
      </c>
      <c r="N4663" t="s">
        <v>50</v>
      </c>
      <c r="O4663">
        <f t="shared" si="144"/>
        <v>9100</v>
      </c>
      <c r="P4663" s="13">
        <f t="shared" si="145"/>
        <v>1809847</v>
      </c>
      <c r="Q4663" s="13">
        <f>SUMIFS(M:M,E:E,Online_eCommerce[[#This Row],[Status]])</f>
        <v>21233992</v>
      </c>
      <c r="R4663" s="13">
        <f>SUMIFS(L:L,H:H,Online_eCommerce[[#This Row],[Brand]])</f>
        <v>4260400</v>
      </c>
      <c r="S4663" s="13">
        <f>SUMIF(H:H,Online_eCommerce[[#This Row],[Brand]],M:M)</f>
        <v>5538520</v>
      </c>
      <c r="T4663" s="13">
        <f>SUMIF(N:N,Online_eCommerce[[#This Row],[Assigned Supervisor]],L:L)</f>
        <v>12100590</v>
      </c>
    </row>
    <row r="4664" spans="1:20" hidden="1" x14ac:dyDescent="0.3">
      <c r="A4664" t="s">
        <v>6901</v>
      </c>
      <c r="B4664" t="s">
        <v>30</v>
      </c>
      <c r="C4664" t="s">
        <v>16</v>
      </c>
      <c r="D4664" t="s">
        <v>6898</v>
      </c>
      <c r="E4664" t="s">
        <v>18</v>
      </c>
      <c r="F4664" t="s">
        <v>47</v>
      </c>
      <c r="G4664" t="s">
        <v>259</v>
      </c>
      <c r="H4664" t="s">
        <v>49</v>
      </c>
      <c r="I4664">
        <v>7650</v>
      </c>
      <c r="J4664">
        <v>9945</v>
      </c>
      <c r="K4664">
        <v>3</v>
      </c>
      <c r="L4664">
        <v>22950</v>
      </c>
      <c r="M4664">
        <v>29835</v>
      </c>
      <c r="N4664" t="s">
        <v>56</v>
      </c>
      <c r="O4664">
        <f t="shared" si="144"/>
        <v>11700</v>
      </c>
      <c r="P4664" s="13">
        <f t="shared" si="145"/>
        <v>2751814</v>
      </c>
      <c r="Q4664" s="13">
        <f>SUMIFS(M:M,E:E,Online_eCommerce[[#This Row],[Status]])</f>
        <v>28340455</v>
      </c>
      <c r="R4664" s="13">
        <f>SUMIFS(L:L,H:H,Online_eCommerce[[#This Row],[Brand]])</f>
        <v>4528350</v>
      </c>
      <c r="S4664" s="13">
        <f>SUMIF(H:H,Online_eCommerce[[#This Row],[Brand]],M:M)</f>
        <v>5886855</v>
      </c>
      <c r="T4664" s="13">
        <f>SUMIF(N:N,Online_eCommerce[[#This Row],[Assigned Supervisor]],L:L)</f>
        <v>11733610</v>
      </c>
    </row>
    <row r="4665" spans="1:20" hidden="1" x14ac:dyDescent="0.3">
      <c r="A4665" t="s">
        <v>6902</v>
      </c>
      <c r="B4665" t="s">
        <v>37</v>
      </c>
      <c r="C4665" t="s">
        <v>24</v>
      </c>
      <c r="D4665" t="s">
        <v>6898</v>
      </c>
      <c r="E4665" t="s">
        <v>161</v>
      </c>
      <c r="F4665" t="s">
        <v>53</v>
      </c>
      <c r="G4665" t="s">
        <v>54</v>
      </c>
      <c r="H4665" t="s">
        <v>55</v>
      </c>
      <c r="I4665">
        <v>1150</v>
      </c>
      <c r="J4665">
        <v>1495</v>
      </c>
      <c r="K4665">
        <v>3</v>
      </c>
      <c r="L4665">
        <v>3450</v>
      </c>
      <c r="M4665">
        <v>4485</v>
      </c>
      <c r="N4665" t="s">
        <v>22</v>
      </c>
      <c r="O4665">
        <f t="shared" si="144"/>
        <v>2990</v>
      </c>
      <c r="P4665" s="13">
        <f t="shared" si="145"/>
        <v>2009540</v>
      </c>
      <c r="Q4665" s="13">
        <f>SUMIFS(M:M,E:E,Online_eCommerce[[#This Row],[Status]])</f>
        <v>21103186</v>
      </c>
      <c r="R4665" s="13">
        <f>SUMIFS(L:L,H:H,Online_eCommerce[[#This Row],[Brand]])</f>
        <v>2267380</v>
      </c>
      <c r="S4665" s="13">
        <f>SUMIF(H:H,Online_eCommerce[[#This Row],[Brand]],M:M)</f>
        <v>2947594</v>
      </c>
      <c r="T4665" s="13">
        <f>SUMIF(N:N,Online_eCommerce[[#This Row],[Assigned Supervisor]],L:L)</f>
        <v>13693220</v>
      </c>
    </row>
    <row r="4666" spans="1:20" x14ac:dyDescent="0.3">
      <c r="A4666" t="s">
        <v>6903</v>
      </c>
      <c r="B4666" t="s">
        <v>44</v>
      </c>
      <c r="C4666" t="s">
        <v>31</v>
      </c>
      <c r="D4666" t="s">
        <v>6898</v>
      </c>
      <c r="E4666" t="s">
        <v>46</v>
      </c>
      <c r="F4666" t="s">
        <v>59</v>
      </c>
      <c r="G4666" t="s">
        <v>60</v>
      </c>
      <c r="H4666" t="s">
        <v>61</v>
      </c>
      <c r="I4666">
        <v>850</v>
      </c>
      <c r="J4666">
        <v>1105</v>
      </c>
      <c r="K4666">
        <v>2</v>
      </c>
      <c r="L4666">
        <v>1700</v>
      </c>
      <c r="M4666">
        <v>2210</v>
      </c>
      <c r="N4666" t="s">
        <v>28</v>
      </c>
      <c r="O4666">
        <f t="shared" si="144"/>
        <v>3315</v>
      </c>
      <c r="P4666" s="13">
        <f t="shared" si="145"/>
        <v>2865746</v>
      </c>
      <c r="Q4666" s="13">
        <f>SUMIFS(M:M,E:E,Online_eCommerce[[#This Row],[Status]])</f>
        <v>28620410</v>
      </c>
      <c r="R4666" s="13">
        <f>SUMIFS(L:L,H:H,Online_eCommerce[[#This Row],[Brand]])</f>
        <v>10950150</v>
      </c>
      <c r="S4666" s="13">
        <f>SUMIF(H:H,Online_eCommerce[[#This Row],[Brand]],M:M)</f>
        <v>14235195</v>
      </c>
      <c r="T4666" s="13">
        <f>SUMIF(N:N,Online_eCommerce[[#This Row],[Assigned Supervisor]],L:L)</f>
        <v>12220830</v>
      </c>
    </row>
    <row r="4667" spans="1:20" hidden="1" x14ac:dyDescent="0.3">
      <c r="A4667" t="s">
        <v>6904</v>
      </c>
      <c r="B4667" t="s">
        <v>213</v>
      </c>
      <c r="C4667" t="s">
        <v>38</v>
      </c>
      <c r="D4667" t="s">
        <v>6898</v>
      </c>
      <c r="E4667" t="s">
        <v>96</v>
      </c>
      <c r="F4667" t="s">
        <v>65</v>
      </c>
      <c r="G4667" t="s">
        <v>66</v>
      </c>
      <c r="H4667" t="s">
        <v>21</v>
      </c>
      <c r="I4667">
        <v>650</v>
      </c>
      <c r="J4667">
        <v>845</v>
      </c>
      <c r="K4667">
        <v>4</v>
      </c>
      <c r="L4667">
        <v>2600</v>
      </c>
      <c r="M4667">
        <v>3380</v>
      </c>
      <c r="N4667" t="s">
        <v>35</v>
      </c>
      <c r="O4667">
        <f t="shared" si="144"/>
        <v>1690</v>
      </c>
      <c r="P4667" s="13">
        <f t="shared" si="145"/>
        <v>1933997</v>
      </c>
      <c r="Q4667" s="13">
        <f>SUMIFS(M:M,E:E,Online_eCommerce[[#This Row],[Status]])</f>
        <v>21233992</v>
      </c>
      <c r="R4667" s="13">
        <f>SUMIFS(L:L,H:H,Online_eCommerce[[#This Row],[Brand]])</f>
        <v>12435650</v>
      </c>
      <c r="S4667" s="13">
        <f>SUMIF(H:H,Online_eCommerce[[#This Row],[Brand]],M:M)</f>
        <v>16166345</v>
      </c>
      <c r="T4667" s="13">
        <f>SUMIF(N:N,Online_eCommerce[[#This Row],[Assigned Supervisor]],L:L)</f>
        <v>14373360</v>
      </c>
    </row>
    <row r="4668" spans="1:20" hidden="1" x14ac:dyDescent="0.3">
      <c r="A4668" t="s">
        <v>6905</v>
      </c>
      <c r="B4668" t="s">
        <v>215</v>
      </c>
      <c r="C4668" t="s">
        <v>45</v>
      </c>
      <c r="D4668" t="s">
        <v>6898</v>
      </c>
      <c r="E4668" t="s">
        <v>18</v>
      </c>
      <c r="F4668" t="s">
        <v>70</v>
      </c>
      <c r="G4668" t="s">
        <v>71</v>
      </c>
      <c r="H4668" t="s">
        <v>61</v>
      </c>
      <c r="I4668">
        <v>7500</v>
      </c>
      <c r="J4668">
        <v>9750</v>
      </c>
      <c r="K4668">
        <v>4</v>
      </c>
      <c r="L4668">
        <v>30000</v>
      </c>
      <c r="M4668">
        <v>39000</v>
      </c>
      <c r="N4668" t="s">
        <v>42</v>
      </c>
      <c r="O4668">
        <f t="shared" si="144"/>
        <v>9750</v>
      </c>
      <c r="P4668" s="13">
        <f t="shared" si="145"/>
        <v>2842554</v>
      </c>
      <c r="Q4668" s="13">
        <f>SUMIFS(M:M,E:E,Online_eCommerce[[#This Row],[Status]])</f>
        <v>28340455</v>
      </c>
      <c r="R4668" s="13">
        <f>SUMIFS(L:L,H:H,Online_eCommerce[[#This Row],[Brand]])</f>
        <v>10950150</v>
      </c>
      <c r="S4668" s="13">
        <f>SUMIF(H:H,Online_eCommerce[[#This Row],[Brand]],M:M)</f>
        <v>14235195</v>
      </c>
      <c r="T4668" s="13">
        <f>SUMIF(N:N,Online_eCommerce[[#This Row],[Assigned Supervisor]],L:L)</f>
        <v>12261500</v>
      </c>
    </row>
    <row r="4669" spans="1:20" hidden="1" x14ac:dyDescent="0.3">
      <c r="A4669" t="s">
        <v>6906</v>
      </c>
      <c r="B4669" t="s">
        <v>306</v>
      </c>
      <c r="C4669" t="s">
        <v>52</v>
      </c>
      <c r="D4669" t="s">
        <v>6898</v>
      </c>
      <c r="E4669" t="s">
        <v>161</v>
      </c>
      <c r="F4669" t="s">
        <v>6890</v>
      </c>
      <c r="G4669" t="s">
        <v>77</v>
      </c>
      <c r="H4669" t="s">
        <v>78</v>
      </c>
      <c r="I4669">
        <v>10000</v>
      </c>
      <c r="J4669">
        <v>13000</v>
      </c>
      <c r="K4669">
        <v>3</v>
      </c>
      <c r="L4669">
        <v>30000</v>
      </c>
      <c r="M4669">
        <v>39000</v>
      </c>
      <c r="N4669" t="s">
        <v>50</v>
      </c>
      <c r="O4669">
        <f t="shared" si="144"/>
        <v>39000</v>
      </c>
      <c r="P4669" s="13">
        <f t="shared" si="145"/>
        <v>1955044</v>
      </c>
      <c r="Q4669" s="13">
        <f>SUMIFS(M:M,E:E,Online_eCommerce[[#This Row],[Status]])</f>
        <v>21103186</v>
      </c>
      <c r="R4669" s="13">
        <f>SUMIFS(L:L,H:H,Online_eCommerce[[#This Row],[Brand]])</f>
        <v>3720000</v>
      </c>
      <c r="S4669" s="13">
        <f>SUMIF(H:H,Online_eCommerce[[#This Row],[Brand]],M:M)</f>
        <v>4836000</v>
      </c>
      <c r="T4669" s="13">
        <f>SUMIF(N:N,Online_eCommerce[[#This Row],[Assigned Supervisor]],L:L)</f>
        <v>12100590</v>
      </c>
    </row>
    <row r="4670" spans="1:20" x14ac:dyDescent="0.3">
      <c r="A4670" t="s">
        <v>6907</v>
      </c>
      <c r="B4670" t="s">
        <v>528</v>
      </c>
      <c r="C4670" t="s">
        <v>58</v>
      </c>
      <c r="D4670" t="s">
        <v>6898</v>
      </c>
      <c r="E4670" t="s">
        <v>46</v>
      </c>
      <c r="F4670" t="s">
        <v>6908</v>
      </c>
      <c r="G4670" t="s">
        <v>20</v>
      </c>
      <c r="H4670" t="s">
        <v>21</v>
      </c>
      <c r="I4670">
        <v>10500</v>
      </c>
      <c r="J4670">
        <v>13650</v>
      </c>
      <c r="K4670">
        <v>4</v>
      </c>
      <c r="L4670">
        <v>42000</v>
      </c>
      <c r="M4670">
        <v>54600</v>
      </c>
      <c r="N4670" t="s">
        <v>56</v>
      </c>
      <c r="O4670">
        <f t="shared" si="144"/>
        <v>8450</v>
      </c>
      <c r="P4670" s="13">
        <f t="shared" si="145"/>
        <v>2629211</v>
      </c>
      <c r="Q4670" s="13">
        <f>SUMIFS(M:M,E:E,Online_eCommerce[[#This Row],[Status]])</f>
        <v>28620410</v>
      </c>
      <c r="R4670" s="13">
        <f>SUMIFS(L:L,H:H,Online_eCommerce[[#This Row],[Brand]])</f>
        <v>12435650</v>
      </c>
      <c r="S4670" s="13">
        <f>SUMIF(H:H,Online_eCommerce[[#This Row],[Brand]],M:M)</f>
        <v>16166345</v>
      </c>
      <c r="T4670" s="13">
        <f>SUMIF(N:N,Online_eCommerce[[#This Row],[Assigned Supervisor]],L:L)</f>
        <v>11733610</v>
      </c>
    </row>
    <row r="4671" spans="1:20" hidden="1" x14ac:dyDescent="0.3">
      <c r="A4671" t="s">
        <v>6909</v>
      </c>
      <c r="B4671" t="s">
        <v>73</v>
      </c>
      <c r="C4671" t="s">
        <v>63</v>
      </c>
      <c r="D4671" t="s">
        <v>6898</v>
      </c>
      <c r="E4671" t="s">
        <v>96</v>
      </c>
      <c r="F4671" t="s">
        <v>88</v>
      </c>
      <c r="G4671" t="s">
        <v>26</v>
      </c>
      <c r="H4671" t="s">
        <v>27</v>
      </c>
      <c r="I4671">
        <v>8500</v>
      </c>
      <c r="J4671">
        <v>11050</v>
      </c>
      <c r="K4671">
        <v>4</v>
      </c>
      <c r="L4671">
        <v>34000</v>
      </c>
      <c r="M4671">
        <v>44200</v>
      </c>
      <c r="N4671" t="s">
        <v>22</v>
      </c>
      <c r="O4671">
        <f t="shared" si="144"/>
        <v>33150</v>
      </c>
      <c r="P4671" s="13">
        <f t="shared" si="145"/>
        <v>2016131</v>
      </c>
      <c r="Q4671" s="13">
        <f>SUMIFS(M:M,E:E,Online_eCommerce[[#This Row],[Status]])</f>
        <v>21233992</v>
      </c>
      <c r="R4671" s="13">
        <f>SUMIFS(L:L,H:H,Online_eCommerce[[#This Row],[Brand]])</f>
        <v>14431000</v>
      </c>
      <c r="S4671" s="13">
        <f>SUMIF(H:H,Online_eCommerce[[#This Row],[Brand]],M:M)</f>
        <v>18760300</v>
      </c>
      <c r="T4671" s="13">
        <f>SUMIF(N:N,Online_eCommerce[[#This Row],[Assigned Supervisor]],L:L)</f>
        <v>13693220</v>
      </c>
    </row>
    <row r="4672" spans="1:20" hidden="1" x14ac:dyDescent="0.3">
      <c r="A4672" t="s">
        <v>6910</v>
      </c>
      <c r="B4672" t="s">
        <v>80</v>
      </c>
      <c r="C4672" t="s">
        <v>68</v>
      </c>
      <c r="D4672" t="s">
        <v>6898</v>
      </c>
      <c r="E4672" t="s">
        <v>18</v>
      </c>
      <c r="F4672" t="s">
        <v>32</v>
      </c>
      <c r="G4672" t="s">
        <v>33</v>
      </c>
      <c r="H4672" t="s">
        <v>34</v>
      </c>
      <c r="I4672">
        <v>7000</v>
      </c>
      <c r="J4672">
        <v>9100</v>
      </c>
      <c r="K4672">
        <v>2</v>
      </c>
      <c r="L4672">
        <v>14000</v>
      </c>
      <c r="M4672">
        <v>18200</v>
      </c>
      <c r="N4672" t="s">
        <v>28</v>
      </c>
      <c r="O4672">
        <f t="shared" si="144"/>
        <v>18200</v>
      </c>
      <c r="P4672" s="13">
        <f t="shared" si="145"/>
        <v>2974621</v>
      </c>
      <c r="Q4672" s="13">
        <f>SUMIFS(M:M,E:E,Online_eCommerce[[#This Row],[Status]])</f>
        <v>28340455</v>
      </c>
      <c r="R4672" s="13">
        <f>SUMIFS(L:L,H:H,Online_eCommerce[[#This Row],[Brand]])</f>
        <v>10087000</v>
      </c>
      <c r="S4672" s="13">
        <f>SUMIF(H:H,Online_eCommerce[[#This Row],[Brand]],M:M)</f>
        <v>13113100</v>
      </c>
      <c r="T4672" s="13">
        <f>SUMIF(N:N,Online_eCommerce[[#This Row],[Assigned Supervisor]],L:L)</f>
        <v>12220830</v>
      </c>
    </row>
    <row r="4673" spans="1:20" hidden="1" x14ac:dyDescent="0.3">
      <c r="A4673" t="s">
        <v>6911</v>
      </c>
      <c r="B4673" t="s">
        <v>85</v>
      </c>
      <c r="C4673" t="s">
        <v>74</v>
      </c>
      <c r="D4673" t="s">
        <v>6898</v>
      </c>
      <c r="E4673" t="s">
        <v>161</v>
      </c>
      <c r="F4673" t="s">
        <v>6912</v>
      </c>
      <c r="G4673" t="s">
        <v>256</v>
      </c>
      <c r="H4673" t="s">
        <v>41</v>
      </c>
      <c r="I4673">
        <v>1680</v>
      </c>
      <c r="J4673">
        <v>2184</v>
      </c>
      <c r="K4673">
        <v>3</v>
      </c>
      <c r="L4673">
        <v>5040</v>
      </c>
      <c r="M4673">
        <v>6552</v>
      </c>
      <c r="N4673" t="s">
        <v>35</v>
      </c>
      <c r="O4673">
        <f t="shared" si="144"/>
        <v>9100</v>
      </c>
      <c r="P4673" s="13">
        <f t="shared" si="145"/>
        <v>2144701</v>
      </c>
      <c r="Q4673" s="13">
        <f>SUMIFS(M:M,E:E,Online_eCommerce[[#This Row],[Status]])</f>
        <v>21103186</v>
      </c>
      <c r="R4673" s="13">
        <f>SUMIFS(L:L,H:H,Online_eCommerce[[#This Row],[Brand]])</f>
        <v>4260400</v>
      </c>
      <c r="S4673" s="13">
        <f>SUMIF(H:H,Online_eCommerce[[#This Row],[Brand]],M:M)</f>
        <v>5538520</v>
      </c>
      <c r="T4673" s="13">
        <f>SUMIF(N:N,Online_eCommerce[[#This Row],[Assigned Supervisor]],L:L)</f>
        <v>14373360</v>
      </c>
    </row>
    <row r="4674" spans="1:20" x14ac:dyDescent="0.3">
      <c r="A4674" t="s">
        <v>6913</v>
      </c>
      <c r="B4674" t="s">
        <v>90</v>
      </c>
      <c r="C4674" t="s">
        <v>81</v>
      </c>
      <c r="D4674" t="s">
        <v>6898</v>
      </c>
      <c r="E4674" t="s">
        <v>46</v>
      </c>
      <c r="F4674" t="s">
        <v>101</v>
      </c>
      <c r="G4674" t="s">
        <v>259</v>
      </c>
      <c r="H4674" t="s">
        <v>102</v>
      </c>
      <c r="I4674">
        <v>6540</v>
      </c>
      <c r="J4674">
        <v>8502</v>
      </c>
      <c r="K4674">
        <v>3</v>
      </c>
      <c r="L4674">
        <v>19620</v>
      </c>
      <c r="M4674">
        <v>25506</v>
      </c>
      <c r="N4674" t="s">
        <v>42</v>
      </c>
      <c r="O4674">
        <f t="shared" ref="O4674:O4737" si="146">VLOOKUP(G4674,G:M,7,FALSE)</f>
        <v>11700</v>
      </c>
      <c r="P4674" s="13">
        <f t="shared" ref="P4674:P4737" si="147">SUMIFS(M:M,C:C,C4674)</f>
        <v>2595632</v>
      </c>
      <c r="Q4674" s="13">
        <f>SUMIFS(M:M,E:E,Online_eCommerce[[#This Row],[Status]])</f>
        <v>28620410</v>
      </c>
      <c r="R4674" s="13">
        <f>SUMIFS(L:L,H:H,Online_eCommerce[[#This Row],[Brand]])</f>
        <v>2465580</v>
      </c>
      <c r="S4674" s="13">
        <f>SUMIF(H:H,Online_eCommerce[[#This Row],[Brand]],M:M)</f>
        <v>3205254</v>
      </c>
      <c r="T4674" s="13">
        <f>SUMIF(N:N,Online_eCommerce[[#This Row],[Assigned Supervisor]],L:L)</f>
        <v>12261500</v>
      </c>
    </row>
    <row r="4675" spans="1:20" hidden="1" x14ac:dyDescent="0.3">
      <c r="A4675" t="s">
        <v>6914</v>
      </c>
      <c r="B4675" t="s">
        <v>232</v>
      </c>
      <c r="C4675" t="s">
        <v>86</v>
      </c>
      <c r="D4675" t="s">
        <v>6898</v>
      </c>
      <c r="E4675" t="s">
        <v>96</v>
      </c>
      <c r="F4675" t="s">
        <v>107</v>
      </c>
      <c r="G4675" t="s">
        <v>54</v>
      </c>
      <c r="H4675" t="s">
        <v>55</v>
      </c>
      <c r="I4675">
        <v>2680</v>
      </c>
      <c r="J4675">
        <v>3484</v>
      </c>
      <c r="K4675">
        <v>1</v>
      </c>
      <c r="L4675">
        <v>2680</v>
      </c>
      <c r="M4675">
        <v>3484</v>
      </c>
      <c r="N4675" t="s">
        <v>50</v>
      </c>
      <c r="O4675">
        <f t="shared" si="146"/>
        <v>2990</v>
      </c>
      <c r="P4675" s="13">
        <f t="shared" si="147"/>
        <v>1941225</v>
      </c>
      <c r="Q4675" s="13">
        <f>SUMIFS(M:M,E:E,Online_eCommerce[[#This Row],[Status]])</f>
        <v>21233992</v>
      </c>
      <c r="R4675" s="13">
        <f>SUMIFS(L:L,H:H,Online_eCommerce[[#This Row],[Brand]])</f>
        <v>2267380</v>
      </c>
      <c r="S4675" s="13">
        <f>SUMIF(H:H,Online_eCommerce[[#This Row],[Brand]],M:M)</f>
        <v>2947594</v>
      </c>
      <c r="T4675" s="13">
        <f>SUMIF(N:N,Online_eCommerce[[#This Row],[Assigned Supervisor]],L:L)</f>
        <v>12100590</v>
      </c>
    </row>
    <row r="4676" spans="1:20" hidden="1" x14ac:dyDescent="0.3">
      <c r="A4676" t="s">
        <v>6915</v>
      </c>
      <c r="B4676" t="s">
        <v>235</v>
      </c>
      <c r="C4676" t="s">
        <v>91</v>
      </c>
      <c r="D4676" t="s">
        <v>6898</v>
      </c>
      <c r="E4676" t="s">
        <v>18</v>
      </c>
      <c r="F4676" t="s">
        <v>112</v>
      </c>
      <c r="G4676" t="s">
        <v>71</v>
      </c>
      <c r="H4676" t="s">
        <v>21</v>
      </c>
      <c r="I4676">
        <v>8250</v>
      </c>
      <c r="J4676">
        <v>10725</v>
      </c>
      <c r="K4676">
        <v>3</v>
      </c>
      <c r="L4676">
        <v>24750</v>
      </c>
      <c r="M4676">
        <v>32175</v>
      </c>
      <c r="N4676" t="s">
        <v>56</v>
      </c>
      <c r="O4676">
        <f t="shared" si="146"/>
        <v>9750</v>
      </c>
      <c r="P4676" s="13">
        <f t="shared" si="147"/>
        <v>2731963</v>
      </c>
      <c r="Q4676" s="13">
        <f>SUMIFS(M:M,E:E,Online_eCommerce[[#This Row],[Status]])</f>
        <v>28340455</v>
      </c>
      <c r="R4676" s="13">
        <f>SUMIFS(L:L,H:H,Online_eCommerce[[#This Row],[Brand]])</f>
        <v>12435650</v>
      </c>
      <c r="S4676" s="13">
        <f>SUMIF(H:H,Online_eCommerce[[#This Row],[Brand]],M:M)</f>
        <v>16166345</v>
      </c>
      <c r="T4676" s="13">
        <f>SUMIF(N:N,Online_eCommerce[[#This Row],[Assigned Supervisor]],L:L)</f>
        <v>11733610</v>
      </c>
    </row>
    <row r="4677" spans="1:20" hidden="1" x14ac:dyDescent="0.3">
      <c r="A4677" t="s">
        <v>6916</v>
      </c>
      <c r="B4677" t="s">
        <v>104</v>
      </c>
      <c r="C4677" t="s">
        <v>94</v>
      </c>
      <c r="D4677" t="s">
        <v>6898</v>
      </c>
      <c r="E4677" t="s">
        <v>161</v>
      </c>
      <c r="F4677" t="s">
        <v>6444</v>
      </c>
      <c r="G4677" t="s">
        <v>40</v>
      </c>
      <c r="H4677" t="s">
        <v>21</v>
      </c>
      <c r="I4677">
        <v>2650</v>
      </c>
      <c r="J4677">
        <v>3445</v>
      </c>
      <c r="K4677">
        <v>1</v>
      </c>
      <c r="L4677">
        <v>2650</v>
      </c>
      <c r="M4677">
        <v>3445</v>
      </c>
      <c r="N4677" t="s">
        <v>22</v>
      </c>
      <c r="O4677">
        <f t="shared" si="146"/>
        <v>25545</v>
      </c>
      <c r="P4677" s="13">
        <f t="shared" si="147"/>
        <v>1868256</v>
      </c>
      <c r="Q4677" s="13">
        <f>SUMIFS(M:M,E:E,Online_eCommerce[[#This Row],[Status]])</f>
        <v>21103186</v>
      </c>
      <c r="R4677" s="13">
        <f>SUMIFS(L:L,H:H,Online_eCommerce[[#This Row],[Brand]])</f>
        <v>12435650</v>
      </c>
      <c r="S4677" s="13">
        <f>SUMIF(H:H,Online_eCommerce[[#This Row],[Brand]],M:M)</f>
        <v>16166345</v>
      </c>
      <c r="T4677" s="13">
        <f>SUMIF(N:N,Online_eCommerce[[#This Row],[Assigned Supervisor]],L:L)</f>
        <v>13693220</v>
      </c>
    </row>
    <row r="4678" spans="1:20" x14ac:dyDescent="0.3">
      <c r="A4678" t="s">
        <v>6917</v>
      </c>
      <c r="B4678" t="s">
        <v>109</v>
      </c>
      <c r="C4678" t="s">
        <v>99</v>
      </c>
      <c r="D4678" t="s">
        <v>6898</v>
      </c>
      <c r="E4678" t="s">
        <v>46</v>
      </c>
      <c r="F4678" t="s">
        <v>121</v>
      </c>
      <c r="G4678" t="s">
        <v>71</v>
      </c>
      <c r="H4678" t="s">
        <v>122</v>
      </c>
      <c r="I4678">
        <v>12550</v>
      </c>
      <c r="J4678">
        <v>16315</v>
      </c>
      <c r="K4678">
        <v>3</v>
      </c>
      <c r="L4678">
        <v>37650</v>
      </c>
      <c r="M4678">
        <v>48945</v>
      </c>
      <c r="N4678" t="s">
        <v>28</v>
      </c>
      <c r="O4678">
        <f t="shared" si="146"/>
        <v>9750</v>
      </c>
      <c r="P4678" s="13">
        <f t="shared" si="147"/>
        <v>2651233</v>
      </c>
      <c r="Q4678" s="13">
        <f>SUMIFS(M:M,E:E,Online_eCommerce[[#This Row],[Status]])</f>
        <v>28620410</v>
      </c>
      <c r="R4678" s="13">
        <f>SUMIFS(L:L,H:H,Online_eCommerce[[#This Row],[Brand]])</f>
        <v>5045100</v>
      </c>
      <c r="S4678" s="13">
        <f>SUMIF(H:H,Online_eCommerce[[#This Row],[Brand]],M:M)</f>
        <v>6558630</v>
      </c>
      <c r="T4678" s="13">
        <f>SUMIF(N:N,Online_eCommerce[[#This Row],[Assigned Supervisor]],L:L)</f>
        <v>12220830</v>
      </c>
    </row>
    <row r="4679" spans="1:20" hidden="1" x14ac:dyDescent="0.3">
      <c r="A4679" t="s">
        <v>6918</v>
      </c>
      <c r="B4679" t="s">
        <v>114</v>
      </c>
      <c r="C4679" t="s">
        <v>105</v>
      </c>
      <c r="D4679" t="s">
        <v>6898</v>
      </c>
      <c r="E4679" t="s">
        <v>96</v>
      </c>
      <c r="F4679" t="s">
        <v>126</v>
      </c>
      <c r="G4679" t="s">
        <v>26</v>
      </c>
      <c r="H4679" t="s">
        <v>27</v>
      </c>
      <c r="I4679">
        <v>14500</v>
      </c>
      <c r="J4679">
        <v>18850</v>
      </c>
      <c r="K4679">
        <v>3</v>
      </c>
      <c r="L4679">
        <v>43500</v>
      </c>
      <c r="M4679">
        <v>56550</v>
      </c>
      <c r="N4679" t="s">
        <v>35</v>
      </c>
      <c r="O4679">
        <f t="shared" si="146"/>
        <v>33150</v>
      </c>
      <c r="P4679" s="13">
        <f t="shared" si="147"/>
        <v>1866852</v>
      </c>
      <c r="Q4679" s="13">
        <f>SUMIFS(M:M,E:E,Online_eCommerce[[#This Row],[Status]])</f>
        <v>21233992</v>
      </c>
      <c r="R4679" s="13">
        <f>SUMIFS(L:L,H:H,Online_eCommerce[[#This Row],[Brand]])</f>
        <v>14431000</v>
      </c>
      <c r="S4679" s="13">
        <f>SUMIF(H:H,Online_eCommerce[[#This Row],[Brand]],M:M)</f>
        <v>18760300</v>
      </c>
      <c r="T4679" s="13">
        <f>SUMIF(N:N,Online_eCommerce[[#This Row],[Assigned Supervisor]],L:L)</f>
        <v>14373360</v>
      </c>
    </row>
    <row r="4680" spans="1:20" hidden="1" x14ac:dyDescent="0.3">
      <c r="A4680" t="s">
        <v>6919</v>
      </c>
      <c r="B4680" t="s">
        <v>119</v>
      </c>
      <c r="C4680" t="s">
        <v>110</v>
      </c>
      <c r="D4680" t="s">
        <v>6898</v>
      </c>
      <c r="E4680" t="s">
        <v>18</v>
      </c>
      <c r="F4680" t="s">
        <v>129</v>
      </c>
      <c r="G4680" t="s">
        <v>60</v>
      </c>
      <c r="H4680" t="s">
        <v>61</v>
      </c>
      <c r="I4680">
        <v>800</v>
      </c>
      <c r="J4680">
        <v>1040</v>
      </c>
      <c r="K4680">
        <v>2</v>
      </c>
      <c r="L4680">
        <v>1600</v>
      </c>
      <c r="M4680">
        <v>2080</v>
      </c>
      <c r="N4680" t="s">
        <v>42</v>
      </c>
      <c r="O4680">
        <f t="shared" si="146"/>
        <v>3315</v>
      </c>
      <c r="P4680" s="13">
        <f t="shared" si="147"/>
        <v>2598635</v>
      </c>
      <c r="Q4680" s="13">
        <f>SUMIFS(M:M,E:E,Online_eCommerce[[#This Row],[Status]])</f>
        <v>28340455</v>
      </c>
      <c r="R4680" s="13">
        <f>SUMIFS(L:L,H:H,Online_eCommerce[[#This Row],[Brand]])</f>
        <v>10950150</v>
      </c>
      <c r="S4680" s="13">
        <f>SUMIF(H:H,Online_eCommerce[[#This Row],[Brand]],M:M)</f>
        <v>14235195</v>
      </c>
      <c r="T4680" s="13">
        <f>SUMIF(N:N,Online_eCommerce[[#This Row],[Assigned Supervisor]],L:L)</f>
        <v>12261500</v>
      </c>
    </row>
    <row r="4681" spans="1:20" hidden="1" x14ac:dyDescent="0.3">
      <c r="A4681" t="s">
        <v>6920</v>
      </c>
      <c r="B4681" t="s">
        <v>124</v>
      </c>
      <c r="C4681" t="s">
        <v>115</v>
      </c>
      <c r="D4681" t="s">
        <v>6898</v>
      </c>
      <c r="E4681" t="s">
        <v>161</v>
      </c>
      <c r="F4681" t="s">
        <v>133</v>
      </c>
      <c r="G4681" t="s">
        <v>66</v>
      </c>
      <c r="H4681" t="s">
        <v>21</v>
      </c>
      <c r="I4681">
        <v>600</v>
      </c>
      <c r="J4681">
        <v>780</v>
      </c>
      <c r="K4681">
        <v>2</v>
      </c>
      <c r="L4681">
        <v>1200</v>
      </c>
      <c r="M4681">
        <v>1560</v>
      </c>
      <c r="N4681" t="s">
        <v>50</v>
      </c>
      <c r="O4681">
        <f t="shared" si="146"/>
        <v>1690</v>
      </c>
      <c r="P4681" s="13">
        <f t="shared" si="147"/>
        <v>2050178</v>
      </c>
      <c r="Q4681" s="13">
        <f>SUMIFS(M:M,E:E,Online_eCommerce[[#This Row],[Status]])</f>
        <v>21103186</v>
      </c>
      <c r="R4681" s="13">
        <f>SUMIFS(L:L,H:H,Online_eCommerce[[#This Row],[Brand]])</f>
        <v>12435650</v>
      </c>
      <c r="S4681" s="13">
        <f>SUMIF(H:H,Online_eCommerce[[#This Row],[Brand]],M:M)</f>
        <v>16166345</v>
      </c>
      <c r="T4681" s="13">
        <f>SUMIF(N:N,Online_eCommerce[[#This Row],[Assigned Supervisor]],L:L)</f>
        <v>12100590</v>
      </c>
    </row>
    <row r="4682" spans="1:20" x14ac:dyDescent="0.3">
      <c r="A4682" t="s">
        <v>6921</v>
      </c>
      <c r="B4682" t="s">
        <v>128</v>
      </c>
      <c r="C4682" t="s">
        <v>120</v>
      </c>
      <c r="D4682" t="s">
        <v>6898</v>
      </c>
      <c r="E4682" t="s">
        <v>46</v>
      </c>
      <c r="F4682" t="s">
        <v>137</v>
      </c>
      <c r="G4682" t="s">
        <v>71</v>
      </c>
      <c r="H4682" t="s">
        <v>61</v>
      </c>
      <c r="I4682">
        <v>10500</v>
      </c>
      <c r="J4682">
        <v>13650</v>
      </c>
      <c r="K4682">
        <v>1</v>
      </c>
      <c r="L4682">
        <v>10500</v>
      </c>
      <c r="M4682">
        <v>13650</v>
      </c>
      <c r="N4682" t="s">
        <v>56</v>
      </c>
      <c r="O4682">
        <f t="shared" si="146"/>
        <v>9750</v>
      </c>
      <c r="P4682" s="13">
        <f t="shared" si="147"/>
        <v>2734212</v>
      </c>
      <c r="Q4682" s="13">
        <f>SUMIFS(M:M,E:E,Online_eCommerce[[#This Row],[Status]])</f>
        <v>28620410</v>
      </c>
      <c r="R4682" s="13">
        <f>SUMIFS(L:L,H:H,Online_eCommerce[[#This Row],[Brand]])</f>
        <v>10950150</v>
      </c>
      <c r="S4682" s="13">
        <f>SUMIF(H:H,Online_eCommerce[[#This Row],[Brand]],M:M)</f>
        <v>14235195</v>
      </c>
      <c r="T4682" s="13">
        <f>SUMIF(N:N,Online_eCommerce[[#This Row],[Assigned Supervisor]],L:L)</f>
        <v>11733610</v>
      </c>
    </row>
    <row r="4683" spans="1:20" hidden="1" x14ac:dyDescent="0.3">
      <c r="A4683" t="s">
        <v>6922</v>
      </c>
      <c r="B4683" t="s">
        <v>131</v>
      </c>
      <c r="C4683" t="s">
        <v>125</v>
      </c>
      <c r="D4683" t="s">
        <v>6898</v>
      </c>
      <c r="E4683" t="s">
        <v>96</v>
      </c>
      <c r="F4683" t="s">
        <v>6890</v>
      </c>
      <c r="G4683" t="s">
        <v>77</v>
      </c>
      <c r="H4683" t="s">
        <v>142</v>
      </c>
      <c r="I4683">
        <v>6500</v>
      </c>
      <c r="J4683">
        <v>8450</v>
      </c>
      <c r="K4683">
        <v>1</v>
      </c>
      <c r="L4683">
        <v>6500</v>
      </c>
      <c r="M4683">
        <v>8450</v>
      </c>
      <c r="N4683" t="s">
        <v>22</v>
      </c>
      <c r="O4683">
        <f t="shared" si="146"/>
        <v>39000</v>
      </c>
      <c r="P4683" s="13">
        <f t="shared" si="147"/>
        <v>2091154</v>
      </c>
      <c r="Q4683" s="13">
        <f>SUMIFS(M:M,E:E,Online_eCommerce[[#This Row],[Status]])</f>
        <v>21233992</v>
      </c>
      <c r="R4683" s="13">
        <f>SUMIFS(L:L,H:H,Online_eCommerce[[#This Row],[Brand]])</f>
        <v>6192500</v>
      </c>
      <c r="S4683" s="13">
        <f>SUMIF(H:H,Online_eCommerce[[#This Row],[Brand]],M:M)</f>
        <v>8050250</v>
      </c>
      <c r="T4683" s="13">
        <f>SUMIF(N:N,Online_eCommerce[[#This Row],[Assigned Supervisor]],L:L)</f>
        <v>13693220</v>
      </c>
    </row>
    <row r="4684" spans="1:20" hidden="1" x14ac:dyDescent="0.3">
      <c r="A4684" t="s">
        <v>6923</v>
      </c>
      <c r="B4684" t="s">
        <v>135</v>
      </c>
      <c r="C4684" t="s">
        <v>22</v>
      </c>
      <c r="D4684" t="s">
        <v>6898</v>
      </c>
      <c r="E4684" t="s">
        <v>18</v>
      </c>
      <c r="F4684" t="s">
        <v>6924</v>
      </c>
      <c r="G4684" t="s">
        <v>20</v>
      </c>
      <c r="H4684" t="s">
        <v>21</v>
      </c>
      <c r="I4684">
        <v>4500</v>
      </c>
      <c r="J4684">
        <v>5850</v>
      </c>
      <c r="K4684">
        <v>1</v>
      </c>
      <c r="L4684">
        <v>4500</v>
      </c>
      <c r="M4684">
        <v>5850</v>
      </c>
      <c r="N4684" t="s">
        <v>28</v>
      </c>
      <c r="O4684">
        <f t="shared" si="146"/>
        <v>8450</v>
      </c>
      <c r="P4684" s="13">
        <f t="shared" si="147"/>
        <v>2551588</v>
      </c>
      <c r="Q4684" s="13">
        <f>SUMIFS(M:M,E:E,Online_eCommerce[[#This Row],[Status]])</f>
        <v>28340455</v>
      </c>
      <c r="R4684" s="13">
        <f>SUMIFS(L:L,H:H,Online_eCommerce[[#This Row],[Brand]])</f>
        <v>12435650</v>
      </c>
      <c r="S4684" s="13">
        <f>SUMIF(H:H,Online_eCommerce[[#This Row],[Brand]],M:M)</f>
        <v>16166345</v>
      </c>
      <c r="T4684" s="13">
        <f>SUMIF(N:N,Online_eCommerce[[#This Row],[Assigned Supervisor]],L:L)</f>
        <v>12220830</v>
      </c>
    </row>
    <row r="4685" spans="1:20" hidden="1" x14ac:dyDescent="0.3">
      <c r="A4685" t="s">
        <v>6925</v>
      </c>
      <c r="B4685" t="s">
        <v>139</v>
      </c>
      <c r="C4685" t="s">
        <v>132</v>
      </c>
      <c r="D4685" t="s">
        <v>6898</v>
      </c>
      <c r="E4685" t="s">
        <v>161</v>
      </c>
      <c r="F4685" t="s">
        <v>152</v>
      </c>
      <c r="G4685" t="s">
        <v>26</v>
      </c>
      <c r="H4685" t="s">
        <v>27</v>
      </c>
      <c r="I4685">
        <v>8500</v>
      </c>
      <c r="J4685">
        <v>11050</v>
      </c>
      <c r="K4685">
        <v>2</v>
      </c>
      <c r="L4685">
        <v>17000</v>
      </c>
      <c r="M4685">
        <v>22100</v>
      </c>
      <c r="N4685" t="s">
        <v>35</v>
      </c>
      <c r="O4685">
        <f t="shared" si="146"/>
        <v>33150</v>
      </c>
      <c r="P4685" s="13">
        <f t="shared" si="147"/>
        <v>1989065</v>
      </c>
      <c r="Q4685" s="13">
        <f>SUMIFS(M:M,E:E,Online_eCommerce[[#This Row],[Status]])</f>
        <v>21103186</v>
      </c>
      <c r="R4685" s="13">
        <f>SUMIFS(L:L,H:H,Online_eCommerce[[#This Row],[Brand]])</f>
        <v>14431000</v>
      </c>
      <c r="S4685" s="13">
        <f>SUMIF(H:H,Online_eCommerce[[#This Row],[Brand]],M:M)</f>
        <v>18760300</v>
      </c>
      <c r="T4685" s="13">
        <f>SUMIF(N:N,Online_eCommerce[[#This Row],[Assigned Supervisor]],L:L)</f>
        <v>14373360</v>
      </c>
    </row>
    <row r="4686" spans="1:20" x14ac:dyDescent="0.3">
      <c r="A4686" t="s">
        <v>6926</v>
      </c>
      <c r="B4686" t="s">
        <v>144</v>
      </c>
      <c r="C4686" t="s">
        <v>136</v>
      </c>
      <c r="D4686" t="s">
        <v>6898</v>
      </c>
      <c r="E4686" t="s">
        <v>46</v>
      </c>
      <c r="F4686" t="s">
        <v>157</v>
      </c>
      <c r="G4686" t="s">
        <v>33</v>
      </c>
      <c r="H4686" t="s">
        <v>34</v>
      </c>
      <c r="I4686">
        <v>12500</v>
      </c>
      <c r="J4686">
        <v>16250</v>
      </c>
      <c r="K4686">
        <v>1</v>
      </c>
      <c r="L4686">
        <v>12500</v>
      </c>
      <c r="M4686">
        <v>16250</v>
      </c>
      <c r="N4686" t="s">
        <v>42</v>
      </c>
      <c r="O4686">
        <f t="shared" si="146"/>
        <v>18200</v>
      </c>
      <c r="P4686" s="13">
        <f t="shared" si="147"/>
        <v>2775162</v>
      </c>
      <c r="Q4686" s="13">
        <f>SUMIFS(M:M,E:E,Online_eCommerce[[#This Row],[Status]])</f>
        <v>28620410</v>
      </c>
      <c r="R4686" s="13">
        <f>SUMIFS(L:L,H:H,Online_eCommerce[[#This Row],[Brand]])</f>
        <v>10087000</v>
      </c>
      <c r="S4686" s="13">
        <f>SUMIF(H:H,Online_eCommerce[[#This Row],[Brand]],M:M)</f>
        <v>13113100</v>
      </c>
      <c r="T4686" s="13">
        <f>SUMIF(N:N,Online_eCommerce[[#This Row],[Assigned Supervisor]],L:L)</f>
        <v>12261500</v>
      </c>
    </row>
    <row r="4687" spans="1:20" hidden="1" x14ac:dyDescent="0.3">
      <c r="A4687" t="s">
        <v>6927</v>
      </c>
      <c r="B4687" t="s">
        <v>149</v>
      </c>
      <c r="C4687" t="s">
        <v>140</v>
      </c>
      <c r="D4687" t="s">
        <v>6898</v>
      </c>
      <c r="E4687" t="s">
        <v>96</v>
      </c>
      <c r="F4687" t="s">
        <v>6487</v>
      </c>
      <c r="G4687" t="s">
        <v>40</v>
      </c>
      <c r="H4687" t="s">
        <v>41</v>
      </c>
      <c r="I4687">
        <v>3500</v>
      </c>
      <c r="J4687">
        <v>4550</v>
      </c>
      <c r="K4687">
        <v>3</v>
      </c>
      <c r="L4687">
        <v>10500</v>
      </c>
      <c r="M4687">
        <v>13650</v>
      </c>
      <c r="N4687" t="s">
        <v>50</v>
      </c>
      <c r="O4687">
        <f t="shared" si="146"/>
        <v>25545</v>
      </c>
      <c r="P4687" s="13">
        <f t="shared" si="147"/>
        <v>2058264</v>
      </c>
      <c r="Q4687" s="13">
        <f>SUMIFS(M:M,E:E,Online_eCommerce[[#This Row],[Status]])</f>
        <v>21233992</v>
      </c>
      <c r="R4687" s="13">
        <f>SUMIFS(L:L,H:H,Online_eCommerce[[#This Row],[Brand]])</f>
        <v>4260400</v>
      </c>
      <c r="S4687" s="13">
        <f>SUMIF(H:H,Online_eCommerce[[#This Row],[Brand]],M:M)</f>
        <v>5538520</v>
      </c>
      <c r="T4687" s="13">
        <f>SUMIF(N:N,Online_eCommerce[[#This Row],[Assigned Supervisor]],L:L)</f>
        <v>12100590</v>
      </c>
    </row>
    <row r="4688" spans="1:20" hidden="1" x14ac:dyDescent="0.3">
      <c r="A4688" t="s">
        <v>6928</v>
      </c>
      <c r="B4688" t="s">
        <v>154</v>
      </c>
      <c r="C4688" t="s">
        <v>145</v>
      </c>
      <c r="D4688" t="s">
        <v>6898</v>
      </c>
      <c r="E4688" t="s">
        <v>18</v>
      </c>
      <c r="F4688" t="s">
        <v>166</v>
      </c>
      <c r="G4688" t="s">
        <v>334</v>
      </c>
      <c r="H4688" t="s">
        <v>49</v>
      </c>
      <c r="I4688">
        <v>4500</v>
      </c>
      <c r="J4688">
        <v>5850</v>
      </c>
      <c r="K4688">
        <v>3</v>
      </c>
      <c r="L4688">
        <v>13500</v>
      </c>
      <c r="M4688">
        <v>17550</v>
      </c>
      <c r="N4688" t="s">
        <v>56</v>
      </c>
      <c r="O4688">
        <f t="shared" si="146"/>
        <v>39780</v>
      </c>
      <c r="P4688" s="13">
        <f t="shared" si="147"/>
        <v>2757859</v>
      </c>
      <c r="Q4688" s="13">
        <f>SUMIFS(M:M,E:E,Online_eCommerce[[#This Row],[Status]])</f>
        <v>28340455</v>
      </c>
      <c r="R4688" s="13">
        <f>SUMIFS(L:L,H:H,Online_eCommerce[[#This Row],[Brand]])</f>
        <v>4528350</v>
      </c>
      <c r="S4688" s="13">
        <f>SUMIF(H:H,Online_eCommerce[[#This Row],[Brand]],M:M)</f>
        <v>5886855</v>
      </c>
      <c r="T4688" s="13">
        <f>SUMIF(N:N,Online_eCommerce[[#This Row],[Assigned Supervisor]],L:L)</f>
        <v>11733610</v>
      </c>
    </row>
    <row r="4689" spans="1:20" hidden="1" x14ac:dyDescent="0.3">
      <c r="A4689" t="s">
        <v>6929</v>
      </c>
      <c r="B4689" t="s">
        <v>159</v>
      </c>
      <c r="C4689" t="s">
        <v>150</v>
      </c>
      <c r="D4689" t="s">
        <v>6898</v>
      </c>
      <c r="E4689" t="s">
        <v>161</v>
      </c>
      <c r="F4689" t="s">
        <v>6930</v>
      </c>
      <c r="G4689" t="s">
        <v>54</v>
      </c>
      <c r="H4689" t="s">
        <v>55</v>
      </c>
      <c r="I4689">
        <v>2100</v>
      </c>
      <c r="J4689">
        <v>2730</v>
      </c>
      <c r="K4689">
        <v>1</v>
      </c>
      <c r="L4689">
        <v>2100</v>
      </c>
      <c r="M4689">
        <v>2730</v>
      </c>
      <c r="N4689" t="s">
        <v>22</v>
      </c>
      <c r="O4689">
        <f t="shared" si="146"/>
        <v>2990</v>
      </c>
      <c r="P4689" s="13">
        <f t="shared" si="147"/>
        <v>2154984</v>
      </c>
      <c r="Q4689" s="13">
        <f>SUMIFS(M:M,E:E,Online_eCommerce[[#This Row],[Status]])</f>
        <v>21103186</v>
      </c>
      <c r="R4689" s="13">
        <f>SUMIFS(L:L,H:H,Online_eCommerce[[#This Row],[Brand]])</f>
        <v>2267380</v>
      </c>
      <c r="S4689" s="13">
        <f>SUMIF(H:H,Online_eCommerce[[#This Row],[Brand]],M:M)</f>
        <v>2947594</v>
      </c>
      <c r="T4689" s="13">
        <f>SUMIF(N:N,Online_eCommerce[[#This Row],[Assigned Supervisor]],L:L)</f>
        <v>13693220</v>
      </c>
    </row>
    <row r="4690" spans="1:20" x14ac:dyDescent="0.3">
      <c r="A4690" t="s">
        <v>6931</v>
      </c>
      <c r="B4690" t="s">
        <v>139</v>
      </c>
      <c r="C4690" t="s">
        <v>155</v>
      </c>
      <c r="D4690" t="s">
        <v>6898</v>
      </c>
      <c r="E4690" t="s">
        <v>46</v>
      </c>
      <c r="F4690" t="s">
        <v>174</v>
      </c>
      <c r="G4690" t="s">
        <v>60</v>
      </c>
      <c r="H4690" t="s">
        <v>61</v>
      </c>
      <c r="I4690">
        <v>1150</v>
      </c>
      <c r="J4690">
        <v>1495</v>
      </c>
      <c r="K4690">
        <v>4</v>
      </c>
      <c r="L4690">
        <v>4600</v>
      </c>
      <c r="M4690">
        <v>5980</v>
      </c>
      <c r="N4690" t="s">
        <v>28</v>
      </c>
      <c r="O4690">
        <f t="shared" si="146"/>
        <v>3315</v>
      </c>
      <c r="P4690" s="13">
        <f t="shared" si="147"/>
        <v>2753348</v>
      </c>
      <c r="Q4690" s="13">
        <f>SUMIFS(M:M,E:E,Online_eCommerce[[#This Row],[Status]])</f>
        <v>28620410</v>
      </c>
      <c r="R4690" s="13">
        <f>SUMIFS(L:L,H:H,Online_eCommerce[[#This Row],[Brand]])</f>
        <v>10950150</v>
      </c>
      <c r="S4690" s="13">
        <f>SUMIF(H:H,Online_eCommerce[[#This Row],[Brand]],M:M)</f>
        <v>14235195</v>
      </c>
      <c r="T4690" s="13">
        <f>SUMIF(N:N,Online_eCommerce[[#This Row],[Assigned Supervisor]],L:L)</f>
        <v>12220830</v>
      </c>
    </row>
    <row r="4691" spans="1:20" hidden="1" x14ac:dyDescent="0.3">
      <c r="A4691" t="s">
        <v>6932</v>
      </c>
      <c r="B4691" t="s">
        <v>144</v>
      </c>
      <c r="C4691" t="s">
        <v>160</v>
      </c>
      <c r="D4691" t="s">
        <v>6898</v>
      </c>
      <c r="E4691" t="s">
        <v>96</v>
      </c>
      <c r="F4691" t="s">
        <v>179</v>
      </c>
      <c r="G4691" t="s">
        <v>66</v>
      </c>
      <c r="H4691" t="s">
        <v>21</v>
      </c>
      <c r="I4691">
        <v>350</v>
      </c>
      <c r="J4691">
        <v>455</v>
      </c>
      <c r="K4691">
        <v>3</v>
      </c>
      <c r="L4691">
        <v>1050</v>
      </c>
      <c r="M4691">
        <v>1365</v>
      </c>
      <c r="N4691" t="s">
        <v>35</v>
      </c>
      <c r="O4691">
        <f t="shared" si="146"/>
        <v>1690</v>
      </c>
      <c r="P4691" s="13">
        <f t="shared" si="147"/>
        <v>2303483</v>
      </c>
      <c r="Q4691" s="13">
        <f>SUMIFS(M:M,E:E,Online_eCommerce[[#This Row],[Status]])</f>
        <v>21233992</v>
      </c>
      <c r="R4691" s="13">
        <f>SUMIFS(L:L,H:H,Online_eCommerce[[#This Row],[Brand]])</f>
        <v>12435650</v>
      </c>
      <c r="S4691" s="13">
        <f>SUMIF(H:H,Online_eCommerce[[#This Row],[Brand]],M:M)</f>
        <v>16166345</v>
      </c>
      <c r="T4691" s="13">
        <f>SUMIF(N:N,Online_eCommerce[[#This Row],[Assigned Supervisor]],L:L)</f>
        <v>14373360</v>
      </c>
    </row>
    <row r="4692" spans="1:20" hidden="1" x14ac:dyDescent="0.3">
      <c r="A4692" t="s">
        <v>6933</v>
      </c>
      <c r="B4692" t="s">
        <v>235</v>
      </c>
      <c r="C4692" t="s">
        <v>165</v>
      </c>
      <c r="D4692" t="s">
        <v>6898</v>
      </c>
      <c r="E4692" t="s">
        <v>18</v>
      </c>
      <c r="F4692" t="s">
        <v>183</v>
      </c>
      <c r="G4692" t="s">
        <v>71</v>
      </c>
      <c r="H4692" t="s">
        <v>61</v>
      </c>
      <c r="I4692">
        <v>9500</v>
      </c>
      <c r="J4692">
        <v>12350</v>
      </c>
      <c r="K4692">
        <v>1</v>
      </c>
      <c r="L4692">
        <v>9500</v>
      </c>
      <c r="M4692">
        <v>12350</v>
      </c>
      <c r="N4692" t="s">
        <v>42</v>
      </c>
      <c r="O4692">
        <f t="shared" si="146"/>
        <v>9750</v>
      </c>
      <c r="P4692" s="13">
        <f t="shared" si="147"/>
        <v>2674087</v>
      </c>
      <c r="Q4692" s="13">
        <f>SUMIFS(M:M,E:E,Online_eCommerce[[#This Row],[Status]])</f>
        <v>28340455</v>
      </c>
      <c r="R4692" s="13">
        <f>SUMIFS(L:L,H:H,Online_eCommerce[[#This Row],[Brand]])</f>
        <v>10950150</v>
      </c>
      <c r="S4692" s="13">
        <f>SUMIF(H:H,Online_eCommerce[[#This Row],[Brand]],M:M)</f>
        <v>14235195</v>
      </c>
      <c r="T4692" s="13">
        <f>SUMIF(N:N,Online_eCommerce[[#This Row],[Assigned Supervisor]],L:L)</f>
        <v>12261500</v>
      </c>
    </row>
    <row r="4693" spans="1:20" hidden="1" x14ac:dyDescent="0.3">
      <c r="A4693" t="s">
        <v>6934</v>
      </c>
      <c r="B4693" t="s">
        <v>176</v>
      </c>
      <c r="C4693" t="s">
        <v>168</v>
      </c>
      <c r="D4693" t="s">
        <v>6898</v>
      </c>
      <c r="E4693" t="s">
        <v>161</v>
      </c>
      <c r="F4693" t="s">
        <v>6935</v>
      </c>
      <c r="G4693" t="s">
        <v>77</v>
      </c>
      <c r="H4693" t="s">
        <v>142</v>
      </c>
      <c r="I4693">
        <v>10000</v>
      </c>
      <c r="J4693">
        <v>13000</v>
      </c>
      <c r="K4693">
        <v>1</v>
      </c>
      <c r="L4693">
        <v>10000</v>
      </c>
      <c r="M4693">
        <v>13000</v>
      </c>
      <c r="N4693" t="s">
        <v>50</v>
      </c>
      <c r="O4693">
        <f t="shared" si="146"/>
        <v>39000</v>
      </c>
      <c r="P4693" s="13">
        <f t="shared" si="147"/>
        <v>1937780</v>
      </c>
      <c r="Q4693" s="13">
        <f>SUMIFS(M:M,E:E,Online_eCommerce[[#This Row],[Status]])</f>
        <v>21103186</v>
      </c>
      <c r="R4693" s="13">
        <f>SUMIFS(L:L,H:H,Online_eCommerce[[#This Row],[Brand]])</f>
        <v>6192500</v>
      </c>
      <c r="S4693" s="13">
        <f>SUMIF(H:H,Online_eCommerce[[#This Row],[Brand]],M:M)</f>
        <v>8050250</v>
      </c>
      <c r="T4693" s="13">
        <f>SUMIF(N:N,Online_eCommerce[[#This Row],[Assigned Supervisor]],L:L)</f>
        <v>12100590</v>
      </c>
    </row>
    <row r="4694" spans="1:20" x14ac:dyDescent="0.3">
      <c r="A4694" t="s">
        <v>6936</v>
      </c>
      <c r="B4694" t="s">
        <v>276</v>
      </c>
      <c r="C4694" t="s">
        <v>172</v>
      </c>
      <c r="D4694" t="s">
        <v>6898</v>
      </c>
      <c r="E4694" t="s">
        <v>46</v>
      </c>
      <c r="F4694" t="s">
        <v>6937</v>
      </c>
      <c r="G4694" t="s">
        <v>20</v>
      </c>
      <c r="H4694" t="s">
        <v>21</v>
      </c>
      <c r="I4694">
        <v>6500</v>
      </c>
      <c r="J4694">
        <v>8450</v>
      </c>
      <c r="K4694">
        <v>3</v>
      </c>
      <c r="L4694">
        <v>19500</v>
      </c>
      <c r="M4694">
        <v>25350</v>
      </c>
      <c r="N4694" t="s">
        <v>56</v>
      </c>
      <c r="O4694">
        <f t="shared" si="146"/>
        <v>8450</v>
      </c>
      <c r="P4694" s="13">
        <f t="shared" si="147"/>
        <v>2640274</v>
      </c>
      <c r="Q4694" s="13">
        <f>SUMIFS(M:M,E:E,Online_eCommerce[[#This Row],[Status]])</f>
        <v>28620410</v>
      </c>
      <c r="R4694" s="13">
        <f>SUMIFS(L:L,H:H,Online_eCommerce[[#This Row],[Brand]])</f>
        <v>12435650</v>
      </c>
      <c r="S4694" s="13">
        <f>SUMIF(H:H,Online_eCommerce[[#This Row],[Brand]],M:M)</f>
        <v>16166345</v>
      </c>
      <c r="T4694" s="13">
        <f>SUMIF(N:N,Online_eCommerce[[#This Row],[Assigned Supervisor]],L:L)</f>
        <v>11733610</v>
      </c>
    </row>
    <row r="4695" spans="1:20" hidden="1" x14ac:dyDescent="0.3">
      <c r="A4695" t="s">
        <v>6938</v>
      </c>
      <c r="B4695" t="s">
        <v>280</v>
      </c>
      <c r="C4695" t="s">
        <v>177</v>
      </c>
      <c r="D4695" t="s">
        <v>6898</v>
      </c>
      <c r="E4695" t="s">
        <v>96</v>
      </c>
      <c r="F4695" t="s">
        <v>6939</v>
      </c>
      <c r="G4695" t="s">
        <v>26</v>
      </c>
      <c r="H4695" t="s">
        <v>27</v>
      </c>
      <c r="I4695">
        <v>8500</v>
      </c>
      <c r="J4695">
        <v>11050</v>
      </c>
      <c r="K4695">
        <v>2</v>
      </c>
      <c r="L4695">
        <v>17000</v>
      </c>
      <c r="M4695">
        <v>22100</v>
      </c>
      <c r="N4695" t="s">
        <v>22</v>
      </c>
      <c r="O4695">
        <f t="shared" si="146"/>
        <v>33150</v>
      </c>
      <c r="P4695" s="13">
        <f t="shared" si="147"/>
        <v>1863810</v>
      </c>
      <c r="Q4695" s="13">
        <f>SUMIFS(M:M,E:E,Online_eCommerce[[#This Row],[Status]])</f>
        <v>21233992</v>
      </c>
      <c r="R4695" s="13">
        <f>SUMIFS(L:L,H:H,Online_eCommerce[[#This Row],[Brand]])</f>
        <v>14431000</v>
      </c>
      <c r="S4695" s="13">
        <f>SUMIF(H:H,Online_eCommerce[[#This Row],[Brand]],M:M)</f>
        <v>18760300</v>
      </c>
      <c r="T4695" s="13">
        <f>SUMIF(N:N,Online_eCommerce[[#This Row],[Assigned Supervisor]],L:L)</f>
        <v>13693220</v>
      </c>
    </row>
    <row r="4696" spans="1:20" hidden="1" x14ac:dyDescent="0.3">
      <c r="A4696" t="s">
        <v>6940</v>
      </c>
      <c r="B4696" t="s">
        <v>283</v>
      </c>
      <c r="C4696" t="s">
        <v>181</v>
      </c>
      <c r="D4696" t="s">
        <v>6898</v>
      </c>
      <c r="E4696" t="s">
        <v>18</v>
      </c>
      <c r="F4696" t="s">
        <v>32</v>
      </c>
      <c r="G4696" t="s">
        <v>33</v>
      </c>
      <c r="H4696" t="s">
        <v>34</v>
      </c>
      <c r="I4696">
        <v>7000</v>
      </c>
      <c r="J4696">
        <v>9100</v>
      </c>
      <c r="K4696">
        <v>1</v>
      </c>
      <c r="L4696">
        <v>7000</v>
      </c>
      <c r="M4696">
        <v>9100</v>
      </c>
      <c r="N4696" t="s">
        <v>28</v>
      </c>
      <c r="O4696">
        <f t="shared" si="146"/>
        <v>18200</v>
      </c>
      <c r="P4696" s="13">
        <f t="shared" si="147"/>
        <v>2577458</v>
      </c>
      <c r="Q4696" s="13">
        <f>SUMIFS(M:M,E:E,Online_eCommerce[[#This Row],[Status]])</f>
        <v>28340455</v>
      </c>
      <c r="R4696" s="13">
        <f>SUMIFS(L:L,H:H,Online_eCommerce[[#This Row],[Brand]])</f>
        <v>10087000</v>
      </c>
      <c r="S4696" s="13">
        <f>SUMIF(H:H,Online_eCommerce[[#This Row],[Brand]],M:M)</f>
        <v>13113100</v>
      </c>
      <c r="T4696" s="13">
        <f>SUMIF(N:N,Online_eCommerce[[#This Row],[Assigned Supervisor]],L:L)</f>
        <v>12220830</v>
      </c>
    </row>
    <row r="4697" spans="1:20" hidden="1" x14ac:dyDescent="0.3">
      <c r="A4697" t="s">
        <v>6941</v>
      </c>
      <c r="B4697" t="s">
        <v>287</v>
      </c>
      <c r="C4697" t="s">
        <v>185</v>
      </c>
      <c r="D4697" t="s">
        <v>6898</v>
      </c>
      <c r="E4697" t="s">
        <v>161</v>
      </c>
      <c r="F4697" t="s">
        <v>6942</v>
      </c>
      <c r="G4697" t="s">
        <v>40</v>
      </c>
      <c r="H4697" t="s">
        <v>41</v>
      </c>
      <c r="I4697">
        <v>6550</v>
      </c>
      <c r="J4697">
        <v>8515</v>
      </c>
      <c r="K4697">
        <v>3</v>
      </c>
      <c r="L4697">
        <v>19650</v>
      </c>
      <c r="M4697">
        <v>25545</v>
      </c>
      <c r="N4697" t="s">
        <v>35</v>
      </c>
      <c r="O4697">
        <f t="shared" si="146"/>
        <v>25545</v>
      </c>
      <c r="P4697" s="13">
        <f t="shared" si="147"/>
        <v>2091596</v>
      </c>
      <c r="Q4697" s="13">
        <f>SUMIFS(M:M,E:E,Online_eCommerce[[#This Row],[Status]])</f>
        <v>21103186</v>
      </c>
      <c r="R4697" s="13">
        <f>SUMIFS(L:L,H:H,Online_eCommerce[[#This Row],[Brand]])</f>
        <v>4260400</v>
      </c>
      <c r="S4697" s="13">
        <f>SUMIF(H:H,Online_eCommerce[[#This Row],[Brand]],M:M)</f>
        <v>5538520</v>
      </c>
      <c r="T4697" s="13">
        <f>SUMIF(N:N,Online_eCommerce[[#This Row],[Assigned Supervisor]],L:L)</f>
        <v>14373360</v>
      </c>
    </row>
    <row r="4698" spans="1:20" x14ac:dyDescent="0.3">
      <c r="A4698" t="s">
        <v>6943</v>
      </c>
      <c r="B4698" t="s">
        <v>290</v>
      </c>
      <c r="C4698" t="s">
        <v>189</v>
      </c>
      <c r="D4698" t="s">
        <v>6898</v>
      </c>
      <c r="E4698" t="s">
        <v>46</v>
      </c>
      <c r="F4698" t="s">
        <v>47</v>
      </c>
      <c r="G4698" t="s">
        <v>334</v>
      </c>
      <c r="H4698" t="s">
        <v>49</v>
      </c>
      <c r="I4698">
        <v>7650</v>
      </c>
      <c r="J4698">
        <v>9945</v>
      </c>
      <c r="K4698">
        <v>4</v>
      </c>
      <c r="L4698">
        <v>30600</v>
      </c>
      <c r="M4698">
        <v>39780</v>
      </c>
      <c r="N4698" t="s">
        <v>42</v>
      </c>
      <c r="O4698">
        <f t="shared" si="146"/>
        <v>39780</v>
      </c>
      <c r="P4698" s="13">
        <f t="shared" si="147"/>
        <v>2740777</v>
      </c>
      <c r="Q4698" s="13">
        <f>SUMIFS(M:M,E:E,Online_eCommerce[[#This Row],[Status]])</f>
        <v>28620410</v>
      </c>
      <c r="R4698" s="13">
        <f>SUMIFS(L:L,H:H,Online_eCommerce[[#This Row],[Brand]])</f>
        <v>4528350</v>
      </c>
      <c r="S4698" s="13">
        <f>SUMIF(H:H,Online_eCommerce[[#This Row],[Brand]],M:M)</f>
        <v>5886855</v>
      </c>
      <c r="T4698" s="13">
        <f>SUMIF(N:N,Online_eCommerce[[#This Row],[Assigned Supervisor]],L:L)</f>
        <v>12261500</v>
      </c>
    </row>
    <row r="4699" spans="1:20" hidden="1" x14ac:dyDescent="0.3">
      <c r="A4699" t="s">
        <v>6944</v>
      </c>
      <c r="B4699" t="s">
        <v>15</v>
      </c>
      <c r="C4699" t="s">
        <v>193</v>
      </c>
      <c r="D4699" t="s">
        <v>6898</v>
      </c>
      <c r="E4699" t="s">
        <v>96</v>
      </c>
      <c r="F4699" t="s">
        <v>53</v>
      </c>
      <c r="G4699" t="s">
        <v>54</v>
      </c>
      <c r="H4699" t="s">
        <v>55</v>
      </c>
      <c r="I4699">
        <v>1150</v>
      </c>
      <c r="J4699">
        <v>1495</v>
      </c>
      <c r="K4699">
        <v>2</v>
      </c>
      <c r="L4699">
        <v>2300</v>
      </c>
      <c r="M4699">
        <v>2990</v>
      </c>
      <c r="N4699" t="s">
        <v>50</v>
      </c>
      <c r="O4699">
        <f t="shared" si="146"/>
        <v>2990</v>
      </c>
      <c r="P4699" s="13">
        <f t="shared" si="147"/>
        <v>2074774</v>
      </c>
      <c r="Q4699" s="13">
        <f>SUMIFS(M:M,E:E,Online_eCommerce[[#This Row],[Status]])</f>
        <v>21233992</v>
      </c>
      <c r="R4699" s="13">
        <f>SUMIFS(L:L,H:H,Online_eCommerce[[#This Row],[Brand]])</f>
        <v>2267380</v>
      </c>
      <c r="S4699" s="13">
        <f>SUMIF(H:H,Online_eCommerce[[#This Row],[Brand]],M:M)</f>
        <v>2947594</v>
      </c>
      <c r="T4699" s="13">
        <f>SUMIF(N:N,Online_eCommerce[[#This Row],[Assigned Supervisor]],L:L)</f>
        <v>12100590</v>
      </c>
    </row>
    <row r="4700" spans="1:20" hidden="1" x14ac:dyDescent="0.3">
      <c r="A4700" t="s">
        <v>6945</v>
      </c>
      <c r="B4700" t="s">
        <v>202</v>
      </c>
      <c r="C4700" t="s">
        <v>197</v>
      </c>
      <c r="D4700" t="s">
        <v>6898</v>
      </c>
      <c r="E4700" t="s">
        <v>18</v>
      </c>
      <c r="F4700" t="s">
        <v>59</v>
      </c>
      <c r="G4700" t="s">
        <v>60</v>
      </c>
      <c r="H4700" t="s">
        <v>61</v>
      </c>
      <c r="I4700">
        <v>850</v>
      </c>
      <c r="J4700">
        <v>1105</v>
      </c>
      <c r="K4700">
        <v>2</v>
      </c>
      <c r="L4700">
        <v>1700</v>
      </c>
      <c r="M4700">
        <v>2210</v>
      </c>
      <c r="N4700" t="s">
        <v>56</v>
      </c>
      <c r="O4700">
        <f t="shared" si="146"/>
        <v>3315</v>
      </c>
      <c r="P4700" s="13">
        <f t="shared" si="147"/>
        <v>2829840</v>
      </c>
      <c r="Q4700" s="13">
        <f>SUMIFS(M:M,E:E,Online_eCommerce[[#This Row],[Status]])</f>
        <v>28340455</v>
      </c>
      <c r="R4700" s="13">
        <f>SUMIFS(L:L,H:H,Online_eCommerce[[#This Row],[Brand]])</f>
        <v>10950150</v>
      </c>
      <c r="S4700" s="13">
        <f>SUMIF(H:H,Online_eCommerce[[#This Row],[Brand]],M:M)</f>
        <v>14235195</v>
      </c>
      <c r="T4700" s="13">
        <f>SUMIF(N:N,Online_eCommerce[[#This Row],[Assigned Supervisor]],L:L)</f>
        <v>11733610</v>
      </c>
    </row>
    <row r="4701" spans="1:20" hidden="1" x14ac:dyDescent="0.3">
      <c r="A4701" t="s">
        <v>6946</v>
      </c>
      <c r="B4701" t="s">
        <v>30</v>
      </c>
      <c r="C4701" t="s">
        <v>199</v>
      </c>
      <c r="D4701" t="s">
        <v>6898</v>
      </c>
      <c r="E4701" t="s">
        <v>161</v>
      </c>
      <c r="F4701" t="s">
        <v>65</v>
      </c>
      <c r="G4701" t="s">
        <v>66</v>
      </c>
      <c r="H4701" t="s">
        <v>21</v>
      </c>
      <c r="I4701">
        <v>650</v>
      </c>
      <c r="J4701">
        <v>845</v>
      </c>
      <c r="K4701">
        <v>3</v>
      </c>
      <c r="L4701">
        <v>1950</v>
      </c>
      <c r="M4701">
        <v>2535</v>
      </c>
      <c r="N4701" t="s">
        <v>22</v>
      </c>
      <c r="O4701">
        <f t="shared" si="146"/>
        <v>1690</v>
      </c>
      <c r="P4701" s="13">
        <f t="shared" si="147"/>
        <v>1947361</v>
      </c>
      <c r="Q4701" s="13">
        <f>SUMIFS(M:M,E:E,Online_eCommerce[[#This Row],[Status]])</f>
        <v>21103186</v>
      </c>
      <c r="R4701" s="13">
        <f>SUMIFS(L:L,H:H,Online_eCommerce[[#This Row],[Brand]])</f>
        <v>12435650</v>
      </c>
      <c r="S4701" s="13">
        <f>SUMIF(H:H,Online_eCommerce[[#This Row],[Brand]],M:M)</f>
        <v>16166345</v>
      </c>
      <c r="T4701" s="13">
        <f>SUMIF(N:N,Online_eCommerce[[#This Row],[Assigned Supervisor]],L:L)</f>
        <v>13693220</v>
      </c>
    </row>
    <row r="4702" spans="1:20" x14ac:dyDescent="0.3">
      <c r="A4702" t="s">
        <v>6947</v>
      </c>
      <c r="B4702" t="s">
        <v>37</v>
      </c>
      <c r="C4702" t="s">
        <v>203</v>
      </c>
      <c r="D4702" t="s">
        <v>6898</v>
      </c>
      <c r="E4702" t="s">
        <v>46</v>
      </c>
      <c r="F4702" t="s">
        <v>70</v>
      </c>
      <c r="G4702" t="s">
        <v>71</v>
      </c>
      <c r="H4702" t="s">
        <v>61</v>
      </c>
      <c r="I4702">
        <v>7500</v>
      </c>
      <c r="J4702">
        <v>9750</v>
      </c>
      <c r="K4702">
        <v>4</v>
      </c>
      <c r="L4702">
        <v>30000</v>
      </c>
      <c r="M4702">
        <v>39000</v>
      </c>
      <c r="N4702" t="s">
        <v>28</v>
      </c>
      <c r="O4702">
        <f t="shared" si="146"/>
        <v>9750</v>
      </c>
      <c r="P4702" s="13">
        <f t="shared" si="147"/>
        <v>2559635</v>
      </c>
      <c r="Q4702" s="13">
        <f>SUMIFS(M:M,E:E,Online_eCommerce[[#This Row],[Status]])</f>
        <v>28620410</v>
      </c>
      <c r="R4702" s="13">
        <f>SUMIFS(L:L,H:H,Online_eCommerce[[#This Row],[Brand]])</f>
        <v>10950150</v>
      </c>
      <c r="S4702" s="13">
        <f>SUMIF(H:H,Online_eCommerce[[#This Row],[Brand]],M:M)</f>
        <v>14235195</v>
      </c>
      <c r="T4702" s="13">
        <f>SUMIF(N:N,Online_eCommerce[[#This Row],[Assigned Supervisor]],L:L)</f>
        <v>12220830</v>
      </c>
    </row>
    <row r="4703" spans="1:20" hidden="1" x14ac:dyDescent="0.3">
      <c r="A4703" t="s">
        <v>6948</v>
      </c>
      <c r="B4703" t="s">
        <v>44</v>
      </c>
      <c r="C4703" t="s">
        <v>205</v>
      </c>
      <c r="D4703" t="s">
        <v>6898</v>
      </c>
      <c r="E4703" t="s">
        <v>96</v>
      </c>
      <c r="F4703" t="s">
        <v>6935</v>
      </c>
      <c r="G4703" t="s">
        <v>77</v>
      </c>
      <c r="H4703" t="s">
        <v>78</v>
      </c>
      <c r="I4703">
        <v>10000</v>
      </c>
      <c r="J4703">
        <v>13000</v>
      </c>
      <c r="K4703">
        <v>3</v>
      </c>
      <c r="L4703">
        <v>30000</v>
      </c>
      <c r="M4703">
        <v>39000</v>
      </c>
      <c r="N4703" t="s">
        <v>35</v>
      </c>
      <c r="O4703">
        <f t="shared" si="146"/>
        <v>39000</v>
      </c>
      <c r="P4703" s="13">
        <f t="shared" si="147"/>
        <v>1983254</v>
      </c>
      <c r="Q4703" s="13">
        <f>SUMIFS(M:M,E:E,Online_eCommerce[[#This Row],[Status]])</f>
        <v>21233992</v>
      </c>
      <c r="R4703" s="13">
        <f>SUMIFS(L:L,H:H,Online_eCommerce[[#This Row],[Brand]])</f>
        <v>3720000</v>
      </c>
      <c r="S4703" s="13">
        <f>SUMIF(H:H,Online_eCommerce[[#This Row],[Brand]],M:M)</f>
        <v>4836000</v>
      </c>
      <c r="T4703" s="13">
        <f>SUMIF(N:N,Online_eCommerce[[#This Row],[Assigned Supervisor]],L:L)</f>
        <v>14373360</v>
      </c>
    </row>
    <row r="4704" spans="1:20" hidden="1" x14ac:dyDescent="0.3">
      <c r="A4704" t="s">
        <v>6949</v>
      </c>
      <c r="B4704" t="s">
        <v>213</v>
      </c>
      <c r="C4704" t="s">
        <v>208</v>
      </c>
      <c r="D4704" t="s">
        <v>6898</v>
      </c>
      <c r="E4704" t="s">
        <v>18</v>
      </c>
      <c r="F4704" t="s">
        <v>6950</v>
      </c>
      <c r="G4704" t="s">
        <v>20</v>
      </c>
      <c r="H4704" t="s">
        <v>21</v>
      </c>
      <c r="I4704">
        <v>10500</v>
      </c>
      <c r="J4704">
        <v>13650</v>
      </c>
      <c r="K4704">
        <v>1</v>
      </c>
      <c r="L4704">
        <v>10500</v>
      </c>
      <c r="M4704">
        <v>13650</v>
      </c>
      <c r="N4704" t="s">
        <v>42</v>
      </c>
      <c r="O4704">
        <f t="shared" si="146"/>
        <v>8450</v>
      </c>
      <c r="P4704" s="13">
        <f t="shared" si="147"/>
        <v>2746575</v>
      </c>
      <c r="Q4704" s="13">
        <f>SUMIFS(M:M,E:E,Online_eCommerce[[#This Row],[Status]])</f>
        <v>28340455</v>
      </c>
      <c r="R4704" s="13">
        <f>SUMIFS(L:L,H:H,Online_eCommerce[[#This Row],[Brand]])</f>
        <v>12435650</v>
      </c>
      <c r="S4704" s="13">
        <f>SUMIF(H:H,Online_eCommerce[[#This Row],[Brand]],M:M)</f>
        <v>16166345</v>
      </c>
      <c r="T4704" s="13">
        <f>SUMIF(N:N,Online_eCommerce[[#This Row],[Assigned Supervisor]],L:L)</f>
        <v>12261500</v>
      </c>
    </row>
    <row r="4705" spans="1:20" hidden="1" x14ac:dyDescent="0.3">
      <c r="A4705" t="s">
        <v>6951</v>
      </c>
      <c r="B4705" t="s">
        <v>215</v>
      </c>
      <c r="C4705" t="s">
        <v>211</v>
      </c>
      <c r="D4705" t="s">
        <v>6898</v>
      </c>
      <c r="E4705" t="s">
        <v>161</v>
      </c>
      <c r="F4705" t="s">
        <v>88</v>
      </c>
      <c r="G4705" t="s">
        <v>26</v>
      </c>
      <c r="H4705" t="s">
        <v>27</v>
      </c>
      <c r="I4705">
        <v>8500</v>
      </c>
      <c r="J4705">
        <v>11050</v>
      </c>
      <c r="K4705">
        <v>2</v>
      </c>
      <c r="L4705">
        <v>17000</v>
      </c>
      <c r="M4705">
        <v>22100</v>
      </c>
      <c r="N4705" t="s">
        <v>50</v>
      </c>
      <c r="O4705">
        <f t="shared" si="146"/>
        <v>33150</v>
      </c>
      <c r="P4705" s="13">
        <f t="shared" si="147"/>
        <v>1809847</v>
      </c>
      <c r="Q4705" s="13">
        <f>SUMIFS(M:M,E:E,Online_eCommerce[[#This Row],[Status]])</f>
        <v>21103186</v>
      </c>
      <c r="R4705" s="13">
        <f>SUMIFS(L:L,H:H,Online_eCommerce[[#This Row],[Brand]])</f>
        <v>14431000</v>
      </c>
      <c r="S4705" s="13">
        <f>SUMIF(H:H,Online_eCommerce[[#This Row],[Brand]],M:M)</f>
        <v>18760300</v>
      </c>
      <c r="T4705" s="13">
        <f>SUMIF(N:N,Online_eCommerce[[#This Row],[Assigned Supervisor]],L:L)</f>
        <v>12100590</v>
      </c>
    </row>
    <row r="4706" spans="1:20" x14ac:dyDescent="0.3">
      <c r="A4706" t="s">
        <v>6952</v>
      </c>
      <c r="B4706" t="s">
        <v>306</v>
      </c>
      <c r="C4706" t="s">
        <v>16</v>
      </c>
      <c r="D4706" t="s">
        <v>6898</v>
      </c>
      <c r="E4706" t="s">
        <v>46</v>
      </c>
      <c r="F4706" t="s">
        <v>32</v>
      </c>
      <c r="G4706" t="s">
        <v>33</v>
      </c>
      <c r="H4706" t="s">
        <v>34</v>
      </c>
      <c r="I4706">
        <v>7000</v>
      </c>
      <c r="J4706">
        <v>9100</v>
      </c>
      <c r="K4706">
        <v>1</v>
      </c>
      <c r="L4706">
        <v>7000</v>
      </c>
      <c r="M4706">
        <v>9100</v>
      </c>
      <c r="N4706" t="s">
        <v>56</v>
      </c>
      <c r="O4706">
        <f t="shared" si="146"/>
        <v>18200</v>
      </c>
      <c r="P4706" s="13">
        <f t="shared" si="147"/>
        <v>2751814</v>
      </c>
      <c r="Q4706" s="13">
        <f>SUMIFS(M:M,E:E,Online_eCommerce[[#This Row],[Status]])</f>
        <v>28620410</v>
      </c>
      <c r="R4706" s="13">
        <f>SUMIFS(L:L,H:H,Online_eCommerce[[#This Row],[Brand]])</f>
        <v>10087000</v>
      </c>
      <c r="S4706" s="13">
        <f>SUMIF(H:H,Online_eCommerce[[#This Row],[Brand]],M:M)</f>
        <v>13113100</v>
      </c>
      <c r="T4706" s="13">
        <f>SUMIF(N:N,Online_eCommerce[[#This Row],[Assigned Supervisor]],L:L)</f>
        <v>11733610</v>
      </c>
    </row>
    <row r="4707" spans="1:20" hidden="1" x14ac:dyDescent="0.3">
      <c r="A4707" t="s">
        <v>6953</v>
      </c>
      <c r="B4707" t="s">
        <v>528</v>
      </c>
      <c r="C4707" t="s">
        <v>24</v>
      </c>
      <c r="D4707" t="s">
        <v>6898</v>
      </c>
      <c r="E4707" t="s">
        <v>96</v>
      </c>
      <c r="F4707" t="s">
        <v>6954</v>
      </c>
      <c r="G4707" t="s">
        <v>40</v>
      </c>
      <c r="H4707" t="s">
        <v>41</v>
      </c>
      <c r="I4707">
        <v>1680</v>
      </c>
      <c r="J4707">
        <v>2184</v>
      </c>
      <c r="K4707">
        <v>4</v>
      </c>
      <c r="L4707">
        <v>6720</v>
      </c>
      <c r="M4707">
        <v>8736</v>
      </c>
      <c r="N4707" t="s">
        <v>22</v>
      </c>
      <c r="O4707">
        <f t="shared" si="146"/>
        <v>25545</v>
      </c>
      <c r="P4707" s="13">
        <f t="shared" si="147"/>
        <v>2009540</v>
      </c>
      <c r="Q4707" s="13">
        <f>SUMIFS(M:M,E:E,Online_eCommerce[[#This Row],[Status]])</f>
        <v>21233992</v>
      </c>
      <c r="R4707" s="13">
        <f>SUMIFS(L:L,H:H,Online_eCommerce[[#This Row],[Brand]])</f>
        <v>4260400</v>
      </c>
      <c r="S4707" s="13">
        <f>SUMIF(H:H,Online_eCommerce[[#This Row],[Brand]],M:M)</f>
        <v>5538520</v>
      </c>
      <c r="T4707" s="13">
        <f>SUMIF(N:N,Online_eCommerce[[#This Row],[Assigned Supervisor]],L:L)</f>
        <v>13693220</v>
      </c>
    </row>
    <row r="4708" spans="1:20" hidden="1" x14ac:dyDescent="0.3">
      <c r="A4708" t="s">
        <v>6955</v>
      </c>
      <c r="B4708" t="s">
        <v>73</v>
      </c>
      <c r="C4708" t="s">
        <v>31</v>
      </c>
      <c r="D4708" t="s">
        <v>6898</v>
      </c>
      <c r="E4708" t="s">
        <v>18</v>
      </c>
      <c r="F4708" t="s">
        <v>101</v>
      </c>
      <c r="G4708" t="s">
        <v>334</v>
      </c>
      <c r="H4708" t="s">
        <v>102</v>
      </c>
      <c r="I4708">
        <v>6540</v>
      </c>
      <c r="J4708">
        <v>8502</v>
      </c>
      <c r="K4708">
        <v>4</v>
      </c>
      <c r="L4708">
        <v>26160</v>
      </c>
      <c r="M4708">
        <v>34008</v>
      </c>
      <c r="N4708" t="s">
        <v>28</v>
      </c>
      <c r="O4708">
        <f t="shared" si="146"/>
        <v>39780</v>
      </c>
      <c r="P4708" s="13">
        <f t="shared" si="147"/>
        <v>2865746</v>
      </c>
      <c r="Q4708" s="13">
        <f>SUMIFS(M:M,E:E,Online_eCommerce[[#This Row],[Status]])</f>
        <v>28340455</v>
      </c>
      <c r="R4708" s="13">
        <f>SUMIFS(L:L,H:H,Online_eCommerce[[#This Row],[Brand]])</f>
        <v>2465580</v>
      </c>
      <c r="S4708" s="13">
        <f>SUMIF(H:H,Online_eCommerce[[#This Row],[Brand]],M:M)</f>
        <v>3205254</v>
      </c>
      <c r="T4708" s="13">
        <f>SUMIF(N:N,Online_eCommerce[[#This Row],[Assigned Supervisor]],L:L)</f>
        <v>12220830</v>
      </c>
    </row>
    <row r="4709" spans="1:20" hidden="1" x14ac:dyDescent="0.3">
      <c r="A4709" t="s">
        <v>6956</v>
      </c>
      <c r="B4709" t="s">
        <v>80</v>
      </c>
      <c r="C4709" t="s">
        <v>38</v>
      </c>
      <c r="D4709" t="s">
        <v>6898</v>
      </c>
      <c r="E4709" t="s">
        <v>161</v>
      </c>
      <c r="F4709" t="s">
        <v>107</v>
      </c>
      <c r="G4709" t="s">
        <v>54</v>
      </c>
      <c r="H4709" t="s">
        <v>55</v>
      </c>
      <c r="I4709">
        <v>2680</v>
      </c>
      <c r="J4709">
        <v>3484</v>
      </c>
      <c r="K4709">
        <v>2</v>
      </c>
      <c r="L4709">
        <v>5360</v>
      </c>
      <c r="M4709">
        <v>6968</v>
      </c>
      <c r="N4709" t="s">
        <v>35</v>
      </c>
      <c r="O4709">
        <f t="shared" si="146"/>
        <v>2990</v>
      </c>
      <c r="P4709" s="13">
        <f t="shared" si="147"/>
        <v>1933997</v>
      </c>
      <c r="Q4709" s="13">
        <f>SUMIFS(M:M,E:E,Online_eCommerce[[#This Row],[Status]])</f>
        <v>21103186</v>
      </c>
      <c r="R4709" s="13">
        <f>SUMIFS(L:L,H:H,Online_eCommerce[[#This Row],[Brand]])</f>
        <v>2267380</v>
      </c>
      <c r="S4709" s="13">
        <f>SUMIF(H:H,Online_eCommerce[[#This Row],[Brand]],M:M)</f>
        <v>2947594</v>
      </c>
      <c r="T4709" s="13">
        <f>SUMIF(N:N,Online_eCommerce[[#This Row],[Assigned Supervisor]],L:L)</f>
        <v>14373360</v>
      </c>
    </row>
    <row r="4710" spans="1:20" x14ac:dyDescent="0.3">
      <c r="A4710" t="s">
        <v>6957</v>
      </c>
      <c r="B4710" t="s">
        <v>85</v>
      </c>
      <c r="C4710" t="s">
        <v>45</v>
      </c>
      <c r="D4710" t="s">
        <v>6898</v>
      </c>
      <c r="E4710" t="s">
        <v>46</v>
      </c>
      <c r="F4710" t="s">
        <v>112</v>
      </c>
      <c r="G4710" t="s">
        <v>71</v>
      </c>
      <c r="H4710" t="s">
        <v>21</v>
      </c>
      <c r="I4710">
        <v>8250</v>
      </c>
      <c r="J4710">
        <v>10725</v>
      </c>
      <c r="K4710">
        <v>4</v>
      </c>
      <c r="L4710">
        <v>33000</v>
      </c>
      <c r="M4710">
        <v>42900</v>
      </c>
      <c r="N4710" t="s">
        <v>42</v>
      </c>
      <c r="O4710">
        <f t="shared" si="146"/>
        <v>9750</v>
      </c>
      <c r="P4710" s="13">
        <f t="shared" si="147"/>
        <v>2842554</v>
      </c>
      <c r="Q4710" s="13">
        <f>SUMIFS(M:M,E:E,Online_eCommerce[[#This Row],[Status]])</f>
        <v>28620410</v>
      </c>
      <c r="R4710" s="13">
        <f>SUMIFS(L:L,H:H,Online_eCommerce[[#This Row],[Brand]])</f>
        <v>12435650</v>
      </c>
      <c r="S4710" s="13">
        <f>SUMIF(H:H,Online_eCommerce[[#This Row],[Brand]],M:M)</f>
        <v>16166345</v>
      </c>
      <c r="T4710" s="13">
        <f>SUMIF(N:N,Online_eCommerce[[#This Row],[Assigned Supervisor]],L:L)</f>
        <v>12261500</v>
      </c>
    </row>
    <row r="4711" spans="1:20" hidden="1" x14ac:dyDescent="0.3">
      <c r="A4711" t="s">
        <v>6958</v>
      </c>
      <c r="B4711" t="s">
        <v>90</v>
      </c>
      <c r="C4711" t="s">
        <v>52</v>
      </c>
      <c r="D4711" t="s">
        <v>6898</v>
      </c>
      <c r="E4711" t="s">
        <v>96</v>
      </c>
      <c r="F4711" t="s">
        <v>6487</v>
      </c>
      <c r="G4711" t="s">
        <v>40</v>
      </c>
      <c r="H4711" t="s">
        <v>21</v>
      </c>
      <c r="I4711">
        <v>2650</v>
      </c>
      <c r="J4711">
        <v>3445</v>
      </c>
      <c r="K4711">
        <v>1</v>
      </c>
      <c r="L4711">
        <v>2650</v>
      </c>
      <c r="M4711">
        <v>3445</v>
      </c>
      <c r="N4711" t="s">
        <v>50</v>
      </c>
      <c r="O4711">
        <f t="shared" si="146"/>
        <v>25545</v>
      </c>
      <c r="P4711" s="13">
        <f t="shared" si="147"/>
        <v>1955044</v>
      </c>
      <c r="Q4711" s="13">
        <f>SUMIFS(M:M,E:E,Online_eCommerce[[#This Row],[Status]])</f>
        <v>21233992</v>
      </c>
      <c r="R4711" s="13">
        <f>SUMIFS(L:L,H:H,Online_eCommerce[[#This Row],[Brand]])</f>
        <v>12435650</v>
      </c>
      <c r="S4711" s="13">
        <f>SUMIF(H:H,Online_eCommerce[[#This Row],[Brand]],M:M)</f>
        <v>16166345</v>
      </c>
      <c r="T4711" s="13">
        <f>SUMIF(N:N,Online_eCommerce[[#This Row],[Assigned Supervisor]],L:L)</f>
        <v>12100590</v>
      </c>
    </row>
    <row r="4712" spans="1:20" hidden="1" x14ac:dyDescent="0.3">
      <c r="A4712" t="s">
        <v>6959</v>
      </c>
      <c r="B4712" t="s">
        <v>232</v>
      </c>
      <c r="C4712" t="s">
        <v>58</v>
      </c>
      <c r="D4712" t="s">
        <v>6898</v>
      </c>
      <c r="E4712" t="s">
        <v>18</v>
      </c>
      <c r="F4712" t="s">
        <v>121</v>
      </c>
      <c r="G4712" t="s">
        <v>71</v>
      </c>
      <c r="H4712" t="s">
        <v>122</v>
      </c>
      <c r="I4712">
        <v>12550</v>
      </c>
      <c r="J4712">
        <v>16315</v>
      </c>
      <c r="K4712">
        <v>1</v>
      </c>
      <c r="L4712">
        <v>12550</v>
      </c>
      <c r="M4712">
        <v>16315</v>
      </c>
      <c r="N4712" t="s">
        <v>56</v>
      </c>
      <c r="O4712">
        <f t="shared" si="146"/>
        <v>9750</v>
      </c>
      <c r="P4712" s="13">
        <f t="shared" si="147"/>
        <v>2629211</v>
      </c>
      <c r="Q4712" s="13">
        <f>SUMIFS(M:M,E:E,Online_eCommerce[[#This Row],[Status]])</f>
        <v>28340455</v>
      </c>
      <c r="R4712" s="13">
        <f>SUMIFS(L:L,H:H,Online_eCommerce[[#This Row],[Brand]])</f>
        <v>5045100</v>
      </c>
      <c r="S4712" s="13">
        <f>SUMIF(H:H,Online_eCommerce[[#This Row],[Brand]],M:M)</f>
        <v>6558630</v>
      </c>
      <c r="T4712" s="13">
        <f>SUMIF(N:N,Online_eCommerce[[#This Row],[Assigned Supervisor]],L:L)</f>
        <v>11733610</v>
      </c>
    </row>
    <row r="4713" spans="1:20" hidden="1" x14ac:dyDescent="0.3">
      <c r="A4713" t="s">
        <v>6960</v>
      </c>
      <c r="B4713" t="s">
        <v>235</v>
      </c>
      <c r="C4713" t="s">
        <v>63</v>
      </c>
      <c r="D4713" t="s">
        <v>6898</v>
      </c>
      <c r="E4713" t="s">
        <v>161</v>
      </c>
      <c r="F4713" t="s">
        <v>126</v>
      </c>
      <c r="G4713" t="s">
        <v>26</v>
      </c>
      <c r="H4713" t="s">
        <v>27</v>
      </c>
      <c r="I4713">
        <v>14500</v>
      </c>
      <c r="J4713">
        <v>18850</v>
      </c>
      <c r="K4713">
        <v>2</v>
      </c>
      <c r="L4713">
        <v>29000</v>
      </c>
      <c r="M4713">
        <v>37700</v>
      </c>
      <c r="N4713" t="s">
        <v>22</v>
      </c>
      <c r="O4713">
        <f t="shared" si="146"/>
        <v>33150</v>
      </c>
      <c r="P4713" s="13">
        <f t="shared" si="147"/>
        <v>2016131</v>
      </c>
      <c r="Q4713" s="13">
        <f>SUMIFS(M:M,E:E,Online_eCommerce[[#This Row],[Status]])</f>
        <v>21103186</v>
      </c>
      <c r="R4713" s="13">
        <f>SUMIFS(L:L,H:H,Online_eCommerce[[#This Row],[Brand]])</f>
        <v>14431000</v>
      </c>
      <c r="S4713" s="13">
        <f>SUMIF(H:H,Online_eCommerce[[#This Row],[Brand]],M:M)</f>
        <v>18760300</v>
      </c>
      <c r="T4713" s="13">
        <f>SUMIF(N:N,Online_eCommerce[[#This Row],[Assigned Supervisor]],L:L)</f>
        <v>13693220</v>
      </c>
    </row>
    <row r="4714" spans="1:20" x14ac:dyDescent="0.3">
      <c r="A4714" t="s">
        <v>6961</v>
      </c>
      <c r="B4714" t="s">
        <v>104</v>
      </c>
      <c r="C4714" t="s">
        <v>68</v>
      </c>
      <c r="D4714" t="s">
        <v>6898</v>
      </c>
      <c r="E4714" t="s">
        <v>46</v>
      </c>
      <c r="F4714" t="s">
        <v>129</v>
      </c>
      <c r="G4714" t="s">
        <v>60</v>
      </c>
      <c r="H4714" t="s">
        <v>61</v>
      </c>
      <c r="I4714">
        <v>800</v>
      </c>
      <c r="J4714">
        <v>1040</v>
      </c>
      <c r="K4714">
        <v>4</v>
      </c>
      <c r="L4714">
        <v>3200</v>
      </c>
      <c r="M4714">
        <v>4160</v>
      </c>
      <c r="N4714" t="s">
        <v>28</v>
      </c>
      <c r="O4714">
        <f t="shared" si="146"/>
        <v>3315</v>
      </c>
      <c r="P4714" s="13">
        <f t="shared" si="147"/>
        <v>2974621</v>
      </c>
      <c r="Q4714" s="13">
        <f>SUMIFS(M:M,E:E,Online_eCommerce[[#This Row],[Status]])</f>
        <v>28620410</v>
      </c>
      <c r="R4714" s="13">
        <f>SUMIFS(L:L,H:H,Online_eCommerce[[#This Row],[Brand]])</f>
        <v>10950150</v>
      </c>
      <c r="S4714" s="13">
        <f>SUMIF(H:H,Online_eCommerce[[#This Row],[Brand]],M:M)</f>
        <v>14235195</v>
      </c>
      <c r="T4714" s="13">
        <f>SUMIF(N:N,Online_eCommerce[[#This Row],[Assigned Supervisor]],L:L)</f>
        <v>12220830</v>
      </c>
    </row>
    <row r="4715" spans="1:20" hidden="1" x14ac:dyDescent="0.3">
      <c r="A4715" t="s">
        <v>6962</v>
      </c>
      <c r="B4715" t="s">
        <v>109</v>
      </c>
      <c r="C4715" t="s">
        <v>74</v>
      </c>
      <c r="D4715" t="s">
        <v>6898</v>
      </c>
      <c r="E4715" t="s">
        <v>96</v>
      </c>
      <c r="F4715" t="s">
        <v>133</v>
      </c>
      <c r="G4715" t="s">
        <v>66</v>
      </c>
      <c r="H4715" t="s">
        <v>21</v>
      </c>
      <c r="I4715">
        <v>600</v>
      </c>
      <c r="J4715">
        <v>780</v>
      </c>
      <c r="K4715">
        <v>2</v>
      </c>
      <c r="L4715">
        <v>1200</v>
      </c>
      <c r="M4715">
        <v>1560</v>
      </c>
      <c r="N4715" t="s">
        <v>35</v>
      </c>
      <c r="O4715">
        <f t="shared" si="146"/>
        <v>1690</v>
      </c>
      <c r="P4715" s="13">
        <f t="shared" si="147"/>
        <v>2144701</v>
      </c>
      <c r="Q4715" s="13">
        <f>SUMIFS(M:M,E:E,Online_eCommerce[[#This Row],[Status]])</f>
        <v>21233992</v>
      </c>
      <c r="R4715" s="13">
        <f>SUMIFS(L:L,H:H,Online_eCommerce[[#This Row],[Brand]])</f>
        <v>12435650</v>
      </c>
      <c r="S4715" s="13">
        <f>SUMIF(H:H,Online_eCommerce[[#This Row],[Brand]],M:M)</f>
        <v>16166345</v>
      </c>
      <c r="T4715" s="13">
        <f>SUMIF(N:N,Online_eCommerce[[#This Row],[Assigned Supervisor]],L:L)</f>
        <v>14373360</v>
      </c>
    </row>
    <row r="4716" spans="1:20" hidden="1" x14ac:dyDescent="0.3">
      <c r="A4716" t="s">
        <v>6963</v>
      </c>
      <c r="B4716" t="s">
        <v>114</v>
      </c>
      <c r="C4716" t="s">
        <v>81</v>
      </c>
      <c r="D4716" t="s">
        <v>6898</v>
      </c>
      <c r="E4716" t="s">
        <v>18</v>
      </c>
      <c r="F4716" t="s">
        <v>137</v>
      </c>
      <c r="G4716" t="s">
        <v>71</v>
      </c>
      <c r="H4716" t="s">
        <v>61</v>
      </c>
      <c r="I4716">
        <v>10500</v>
      </c>
      <c r="J4716">
        <v>13650</v>
      </c>
      <c r="K4716">
        <v>2</v>
      </c>
      <c r="L4716">
        <v>21000</v>
      </c>
      <c r="M4716">
        <v>27300</v>
      </c>
      <c r="N4716" t="s">
        <v>42</v>
      </c>
      <c r="O4716">
        <f t="shared" si="146"/>
        <v>9750</v>
      </c>
      <c r="P4716" s="13">
        <f t="shared" si="147"/>
        <v>2595632</v>
      </c>
      <c r="Q4716" s="13">
        <f>SUMIFS(M:M,E:E,Online_eCommerce[[#This Row],[Status]])</f>
        <v>28340455</v>
      </c>
      <c r="R4716" s="13">
        <f>SUMIFS(L:L,H:H,Online_eCommerce[[#This Row],[Brand]])</f>
        <v>10950150</v>
      </c>
      <c r="S4716" s="13">
        <f>SUMIF(H:H,Online_eCommerce[[#This Row],[Brand]],M:M)</f>
        <v>14235195</v>
      </c>
      <c r="T4716" s="13">
        <f>SUMIF(N:N,Online_eCommerce[[#This Row],[Assigned Supervisor]],L:L)</f>
        <v>12261500</v>
      </c>
    </row>
    <row r="4717" spans="1:20" hidden="1" x14ac:dyDescent="0.3">
      <c r="A4717" t="s">
        <v>6964</v>
      </c>
      <c r="B4717" t="s">
        <v>119</v>
      </c>
      <c r="C4717" t="s">
        <v>86</v>
      </c>
      <c r="D4717" t="s">
        <v>6898</v>
      </c>
      <c r="E4717" t="s">
        <v>161</v>
      </c>
      <c r="F4717" t="s">
        <v>6935</v>
      </c>
      <c r="G4717" t="s">
        <v>77</v>
      </c>
      <c r="H4717" t="s">
        <v>142</v>
      </c>
      <c r="I4717">
        <v>6500</v>
      </c>
      <c r="J4717">
        <v>8450</v>
      </c>
      <c r="K4717">
        <v>1</v>
      </c>
      <c r="L4717">
        <v>6500</v>
      </c>
      <c r="M4717">
        <v>8450</v>
      </c>
      <c r="N4717" t="s">
        <v>50</v>
      </c>
      <c r="O4717">
        <f t="shared" si="146"/>
        <v>39000</v>
      </c>
      <c r="P4717" s="13">
        <f t="shared" si="147"/>
        <v>1941225</v>
      </c>
      <c r="Q4717" s="13">
        <f>SUMIFS(M:M,E:E,Online_eCommerce[[#This Row],[Status]])</f>
        <v>21103186</v>
      </c>
      <c r="R4717" s="13">
        <f>SUMIFS(L:L,H:H,Online_eCommerce[[#This Row],[Brand]])</f>
        <v>6192500</v>
      </c>
      <c r="S4717" s="13">
        <f>SUMIF(H:H,Online_eCommerce[[#This Row],[Brand]],M:M)</f>
        <v>8050250</v>
      </c>
      <c r="T4717" s="13">
        <f>SUMIF(N:N,Online_eCommerce[[#This Row],[Assigned Supervisor]],L:L)</f>
        <v>12100590</v>
      </c>
    </row>
    <row r="4718" spans="1:20" x14ac:dyDescent="0.3">
      <c r="A4718" t="s">
        <v>6965</v>
      </c>
      <c r="B4718" t="s">
        <v>124</v>
      </c>
      <c r="C4718" t="s">
        <v>91</v>
      </c>
      <c r="D4718" t="s">
        <v>6898</v>
      </c>
      <c r="E4718" t="s">
        <v>46</v>
      </c>
      <c r="F4718" t="s">
        <v>6966</v>
      </c>
      <c r="G4718" t="s">
        <v>20</v>
      </c>
      <c r="H4718" t="s">
        <v>21</v>
      </c>
      <c r="I4718">
        <v>4500</v>
      </c>
      <c r="J4718">
        <v>5850</v>
      </c>
      <c r="K4718">
        <v>3</v>
      </c>
      <c r="L4718">
        <v>13500</v>
      </c>
      <c r="M4718">
        <v>17550</v>
      </c>
      <c r="N4718" t="s">
        <v>56</v>
      </c>
      <c r="O4718">
        <f t="shared" si="146"/>
        <v>8450</v>
      </c>
      <c r="P4718" s="13">
        <f t="shared" si="147"/>
        <v>2731963</v>
      </c>
      <c r="Q4718" s="13">
        <f>SUMIFS(M:M,E:E,Online_eCommerce[[#This Row],[Status]])</f>
        <v>28620410</v>
      </c>
      <c r="R4718" s="13">
        <f>SUMIFS(L:L,H:H,Online_eCommerce[[#This Row],[Brand]])</f>
        <v>12435650</v>
      </c>
      <c r="S4718" s="13">
        <f>SUMIF(H:H,Online_eCommerce[[#This Row],[Brand]],M:M)</f>
        <v>16166345</v>
      </c>
      <c r="T4718" s="13">
        <f>SUMIF(N:N,Online_eCommerce[[#This Row],[Assigned Supervisor]],L:L)</f>
        <v>11733610</v>
      </c>
    </row>
    <row r="4719" spans="1:20" hidden="1" x14ac:dyDescent="0.3">
      <c r="A4719" t="s">
        <v>6967</v>
      </c>
      <c r="B4719" t="s">
        <v>128</v>
      </c>
      <c r="C4719" t="s">
        <v>94</v>
      </c>
      <c r="D4719" t="s">
        <v>6898</v>
      </c>
      <c r="E4719" t="s">
        <v>96</v>
      </c>
      <c r="F4719" t="s">
        <v>152</v>
      </c>
      <c r="G4719" t="s">
        <v>26</v>
      </c>
      <c r="H4719" t="s">
        <v>27</v>
      </c>
      <c r="I4719">
        <v>8500</v>
      </c>
      <c r="J4719">
        <v>11050</v>
      </c>
      <c r="K4719">
        <v>2</v>
      </c>
      <c r="L4719">
        <v>17000</v>
      </c>
      <c r="M4719">
        <v>22100</v>
      </c>
      <c r="N4719" t="s">
        <v>22</v>
      </c>
      <c r="O4719">
        <f t="shared" si="146"/>
        <v>33150</v>
      </c>
      <c r="P4719" s="13">
        <f t="shared" si="147"/>
        <v>1868256</v>
      </c>
      <c r="Q4719" s="13">
        <f>SUMIFS(M:M,E:E,Online_eCommerce[[#This Row],[Status]])</f>
        <v>21233992</v>
      </c>
      <c r="R4719" s="13">
        <f>SUMIFS(L:L,H:H,Online_eCommerce[[#This Row],[Brand]])</f>
        <v>14431000</v>
      </c>
      <c r="S4719" s="13">
        <f>SUMIF(H:H,Online_eCommerce[[#This Row],[Brand]],M:M)</f>
        <v>18760300</v>
      </c>
      <c r="T4719" s="13">
        <f>SUMIF(N:N,Online_eCommerce[[#This Row],[Assigned Supervisor]],L:L)</f>
        <v>13693220</v>
      </c>
    </row>
    <row r="4720" spans="1:20" hidden="1" x14ac:dyDescent="0.3">
      <c r="A4720" t="s">
        <v>6968</v>
      </c>
      <c r="B4720" t="s">
        <v>131</v>
      </c>
      <c r="C4720" t="s">
        <v>99</v>
      </c>
      <c r="D4720" t="s">
        <v>6898</v>
      </c>
      <c r="E4720" t="s">
        <v>18</v>
      </c>
      <c r="F4720" t="s">
        <v>157</v>
      </c>
      <c r="G4720" t="s">
        <v>33</v>
      </c>
      <c r="H4720" t="s">
        <v>34</v>
      </c>
      <c r="I4720">
        <v>12500</v>
      </c>
      <c r="J4720">
        <v>16250</v>
      </c>
      <c r="K4720">
        <v>3</v>
      </c>
      <c r="L4720">
        <v>37500</v>
      </c>
      <c r="M4720">
        <v>48750</v>
      </c>
      <c r="N4720" t="s">
        <v>28</v>
      </c>
      <c r="O4720">
        <f t="shared" si="146"/>
        <v>18200</v>
      </c>
      <c r="P4720" s="13">
        <f t="shared" si="147"/>
        <v>2651233</v>
      </c>
      <c r="Q4720" s="13">
        <f>SUMIFS(M:M,E:E,Online_eCommerce[[#This Row],[Status]])</f>
        <v>28340455</v>
      </c>
      <c r="R4720" s="13">
        <f>SUMIFS(L:L,H:H,Online_eCommerce[[#This Row],[Brand]])</f>
        <v>10087000</v>
      </c>
      <c r="S4720" s="13">
        <f>SUMIF(H:H,Online_eCommerce[[#This Row],[Brand]],M:M)</f>
        <v>13113100</v>
      </c>
      <c r="T4720" s="13">
        <f>SUMIF(N:N,Online_eCommerce[[#This Row],[Assigned Supervisor]],L:L)</f>
        <v>12220830</v>
      </c>
    </row>
    <row r="4721" spans="1:20" hidden="1" x14ac:dyDescent="0.3">
      <c r="A4721" t="s">
        <v>6969</v>
      </c>
      <c r="B4721" t="s">
        <v>135</v>
      </c>
      <c r="C4721" t="s">
        <v>105</v>
      </c>
      <c r="D4721" t="s">
        <v>6898</v>
      </c>
      <c r="E4721" t="s">
        <v>161</v>
      </c>
      <c r="F4721" t="s">
        <v>6537</v>
      </c>
      <c r="G4721" t="s">
        <v>163</v>
      </c>
      <c r="H4721" t="s">
        <v>41</v>
      </c>
      <c r="I4721">
        <v>3500</v>
      </c>
      <c r="J4721">
        <v>4550</v>
      </c>
      <c r="K4721">
        <v>3</v>
      </c>
      <c r="L4721">
        <v>10500</v>
      </c>
      <c r="M4721">
        <v>13650</v>
      </c>
      <c r="N4721" t="s">
        <v>35</v>
      </c>
      <c r="O4721">
        <f t="shared" si="146"/>
        <v>13650</v>
      </c>
      <c r="P4721" s="13">
        <f t="shared" si="147"/>
        <v>1866852</v>
      </c>
      <c r="Q4721" s="13">
        <f>SUMIFS(M:M,E:E,Online_eCommerce[[#This Row],[Status]])</f>
        <v>21103186</v>
      </c>
      <c r="R4721" s="13">
        <f>SUMIFS(L:L,H:H,Online_eCommerce[[#This Row],[Brand]])</f>
        <v>4260400</v>
      </c>
      <c r="S4721" s="13">
        <f>SUMIF(H:H,Online_eCommerce[[#This Row],[Brand]],M:M)</f>
        <v>5538520</v>
      </c>
      <c r="T4721" s="13">
        <f>SUMIF(N:N,Online_eCommerce[[#This Row],[Assigned Supervisor]],L:L)</f>
        <v>14373360</v>
      </c>
    </row>
    <row r="4722" spans="1:20" x14ac:dyDescent="0.3">
      <c r="A4722" t="s">
        <v>6970</v>
      </c>
      <c r="B4722" t="s">
        <v>139</v>
      </c>
      <c r="C4722" t="s">
        <v>110</v>
      </c>
      <c r="D4722" t="s">
        <v>6898</v>
      </c>
      <c r="E4722" t="s">
        <v>46</v>
      </c>
      <c r="F4722" t="s">
        <v>166</v>
      </c>
      <c r="G4722" t="s">
        <v>66</v>
      </c>
      <c r="H4722" t="s">
        <v>49</v>
      </c>
      <c r="I4722">
        <v>4500</v>
      </c>
      <c r="J4722">
        <v>5850</v>
      </c>
      <c r="K4722">
        <v>3</v>
      </c>
      <c r="L4722">
        <v>13500</v>
      </c>
      <c r="M4722">
        <v>17550</v>
      </c>
      <c r="N4722" t="s">
        <v>42</v>
      </c>
      <c r="O4722">
        <f t="shared" si="146"/>
        <v>1690</v>
      </c>
      <c r="P4722" s="13">
        <f t="shared" si="147"/>
        <v>2598635</v>
      </c>
      <c r="Q4722" s="13">
        <f>SUMIFS(M:M,E:E,Online_eCommerce[[#This Row],[Status]])</f>
        <v>28620410</v>
      </c>
      <c r="R4722" s="13">
        <f>SUMIFS(L:L,H:H,Online_eCommerce[[#This Row],[Brand]])</f>
        <v>4528350</v>
      </c>
      <c r="S4722" s="13">
        <f>SUMIF(H:H,Online_eCommerce[[#This Row],[Brand]],M:M)</f>
        <v>5886855</v>
      </c>
      <c r="T4722" s="13">
        <f>SUMIF(N:N,Online_eCommerce[[#This Row],[Assigned Supervisor]],L:L)</f>
        <v>12261500</v>
      </c>
    </row>
    <row r="4723" spans="1:20" hidden="1" x14ac:dyDescent="0.3">
      <c r="A4723" t="s">
        <v>6971</v>
      </c>
      <c r="B4723" t="s">
        <v>144</v>
      </c>
      <c r="C4723" t="s">
        <v>115</v>
      </c>
      <c r="D4723" t="s">
        <v>6898</v>
      </c>
      <c r="E4723" t="s">
        <v>96</v>
      </c>
      <c r="F4723" t="s">
        <v>6972</v>
      </c>
      <c r="G4723" t="s">
        <v>54</v>
      </c>
      <c r="H4723" t="s">
        <v>55</v>
      </c>
      <c r="I4723">
        <v>2100</v>
      </c>
      <c r="J4723">
        <v>2730</v>
      </c>
      <c r="K4723">
        <v>2</v>
      </c>
      <c r="L4723">
        <v>4200</v>
      </c>
      <c r="M4723">
        <v>5460</v>
      </c>
      <c r="N4723" t="s">
        <v>50</v>
      </c>
      <c r="O4723">
        <f t="shared" si="146"/>
        <v>2990</v>
      </c>
      <c r="P4723" s="13">
        <f t="shared" si="147"/>
        <v>2050178</v>
      </c>
      <c r="Q4723" s="13">
        <f>SUMIFS(M:M,E:E,Online_eCommerce[[#This Row],[Status]])</f>
        <v>21233992</v>
      </c>
      <c r="R4723" s="13">
        <f>SUMIFS(L:L,H:H,Online_eCommerce[[#This Row],[Brand]])</f>
        <v>2267380</v>
      </c>
      <c r="S4723" s="13">
        <f>SUMIF(H:H,Online_eCommerce[[#This Row],[Brand]],M:M)</f>
        <v>2947594</v>
      </c>
      <c r="T4723" s="13">
        <f>SUMIF(N:N,Online_eCommerce[[#This Row],[Assigned Supervisor]],L:L)</f>
        <v>12100590</v>
      </c>
    </row>
    <row r="4724" spans="1:20" hidden="1" x14ac:dyDescent="0.3">
      <c r="A4724" t="s">
        <v>6973</v>
      </c>
      <c r="B4724" t="s">
        <v>149</v>
      </c>
      <c r="C4724" t="s">
        <v>120</v>
      </c>
      <c r="D4724" t="s">
        <v>6898</v>
      </c>
      <c r="E4724" t="s">
        <v>18</v>
      </c>
      <c r="F4724" t="s">
        <v>174</v>
      </c>
      <c r="G4724" t="s">
        <v>60</v>
      </c>
      <c r="H4724" t="s">
        <v>61</v>
      </c>
      <c r="I4724">
        <v>1150</v>
      </c>
      <c r="J4724">
        <v>1495</v>
      </c>
      <c r="K4724">
        <v>2</v>
      </c>
      <c r="L4724">
        <v>2300</v>
      </c>
      <c r="M4724">
        <v>2990</v>
      </c>
      <c r="N4724" t="s">
        <v>56</v>
      </c>
      <c r="O4724">
        <f t="shared" si="146"/>
        <v>3315</v>
      </c>
      <c r="P4724" s="13">
        <f t="shared" si="147"/>
        <v>2734212</v>
      </c>
      <c r="Q4724" s="13">
        <f>SUMIFS(M:M,E:E,Online_eCommerce[[#This Row],[Status]])</f>
        <v>28340455</v>
      </c>
      <c r="R4724" s="13">
        <f>SUMIFS(L:L,H:H,Online_eCommerce[[#This Row],[Brand]])</f>
        <v>10950150</v>
      </c>
      <c r="S4724" s="13">
        <f>SUMIF(H:H,Online_eCommerce[[#This Row],[Brand]],M:M)</f>
        <v>14235195</v>
      </c>
      <c r="T4724" s="13">
        <f>SUMIF(N:N,Online_eCommerce[[#This Row],[Assigned Supervisor]],L:L)</f>
        <v>11733610</v>
      </c>
    </row>
    <row r="4725" spans="1:20" hidden="1" x14ac:dyDescent="0.3">
      <c r="A4725" t="s">
        <v>6974</v>
      </c>
      <c r="B4725" t="s">
        <v>154</v>
      </c>
      <c r="C4725" t="s">
        <v>125</v>
      </c>
      <c r="D4725" t="s">
        <v>6898</v>
      </c>
      <c r="E4725" t="s">
        <v>161</v>
      </c>
      <c r="F4725" t="s">
        <v>179</v>
      </c>
      <c r="G4725" t="s">
        <v>66</v>
      </c>
      <c r="H4725" t="s">
        <v>21</v>
      </c>
      <c r="I4725">
        <v>350</v>
      </c>
      <c r="J4725">
        <v>455</v>
      </c>
      <c r="K4725">
        <v>2</v>
      </c>
      <c r="L4725">
        <v>700</v>
      </c>
      <c r="M4725">
        <v>910</v>
      </c>
      <c r="N4725" t="s">
        <v>22</v>
      </c>
      <c r="O4725">
        <f t="shared" si="146"/>
        <v>1690</v>
      </c>
      <c r="P4725" s="13">
        <f t="shared" si="147"/>
        <v>2091154</v>
      </c>
      <c r="Q4725" s="13">
        <f>SUMIFS(M:M,E:E,Online_eCommerce[[#This Row],[Status]])</f>
        <v>21103186</v>
      </c>
      <c r="R4725" s="13">
        <f>SUMIFS(L:L,H:H,Online_eCommerce[[#This Row],[Brand]])</f>
        <v>12435650</v>
      </c>
      <c r="S4725" s="13">
        <f>SUMIF(H:H,Online_eCommerce[[#This Row],[Brand]],M:M)</f>
        <v>16166345</v>
      </c>
      <c r="T4725" s="13">
        <f>SUMIF(N:N,Online_eCommerce[[#This Row],[Assigned Supervisor]],L:L)</f>
        <v>13693220</v>
      </c>
    </row>
    <row r="4726" spans="1:20" x14ac:dyDescent="0.3">
      <c r="A4726" t="s">
        <v>6975</v>
      </c>
      <c r="B4726" t="s">
        <v>159</v>
      </c>
      <c r="C4726" t="s">
        <v>22</v>
      </c>
      <c r="D4726" t="s">
        <v>6898</v>
      </c>
      <c r="E4726" t="s">
        <v>46</v>
      </c>
      <c r="F4726" t="s">
        <v>183</v>
      </c>
      <c r="G4726" t="s">
        <v>71</v>
      </c>
      <c r="H4726" t="s">
        <v>61</v>
      </c>
      <c r="I4726">
        <v>9500</v>
      </c>
      <c r="J4726">
        <v>12350</v>
      </c>
      <c r="K4726">
        <v>4</v>
      </c>
      <c r="L4726">
        <v>38000</v>
      </c>
      <c r="M4726">
        <v>49400</v>
      </c>
      <c r="N4726" t="s">
        <v>28</v>
      </c>
      <c r="O4726">
        <f t="shared" si="146"/>
        <v>9750</v>
      </c>
      <c r="P4726" s="13">
        <f t="shared" si="147"/>
        <v>2551588</v>
      </c>
      <c r="Q4726" s="13">
        <f>SUMIFS(M:M,E:E,Online_eCommerce[[#This Row],[Status]])</f>
        <v>28620410</v>
      </c>
      <c r="R4726" s="13">
        <f>SUMIFS(L:L,H:H,Online_eCommerce[[#This Row],[Brand]])</f>
        <v>10950150</v>
      </c>
      <c r="S4726" s="13">
        <f>SUMIF(H:H,Online_eCommerce[[#This Row],[Brand]],M:M)</f>
        <v>14235195</v>
      </c>
      <c r="T4726" s="13">
        <f>SUMIF(N:N,Online_eCommerce[[#This Row],[Assigned Supervisor]],L:L)</f>
        <v>12220830</v>
      </c>
    </row>
    <row r="4727" spans="1:20" hidden="1" x14ac:dyDescent="0.3">
      <c r="A4727" t="s">
        <v>6976</v>
      </c>
      <c r="B4727" t="s">
        <v>139</v>
      </c>
      <c r="C4727" t="s">
        <v>132</v>
      </c>
      <c r="D4727" t="s">
        <v>6898</v>
      </c>
      <c r="E4727" t="s">
        <v>96</v>
      </c>
      <c r="F4727" t="s">
        <v>6977</v>
      </c>
      <c r="G4727" t="s">
        <v>77</v>
      </c>
      <c r="H4727" t="s">
        <v>142</v>
      </c>
      <c r="I4727">
        <v>10000</v>
      </c>
      <c r="J4727">
        <v>13000</v>
      </c>
      <c r="K4727">
        <v>1</v>
      </c>
      <c r="L4727">
        <v>10000</v>
      </c>
      <c r="M4727">
        <v>13000</v>
      </c>
      <c r="N4727" t="s">
        <v>35</v>
      </c>
      <c r="O4727">
        <f t="shared" si="146"/>
        <v>39000</v>
      </c>
      <c r="P4727" s="13">
        <f t="shared" si="147"/>
        <v>1989065</v>
      </c>
      <c r="Q4727" s="13">
        <f>SUMIFS(M:M,E:E,Online_eCommerce[[#This Row],[Status]])</f>
        <v>21233992</v>
      </c>
      <c r="R4727" s="13">
        <f>SUMIFS(L:L,H:H,Online_eCommerce[[#This Row],[Brand]])</f>
        <v>6192500</v>
      </c>
      <c r="S4727" s="13">
        <f>SUMIF(H:H,Online_eCommerce[[#This Row],[Brand]],M:M)</f>
        <v>8050250</v>
      </c>
      <c r="T4727" s="13">
        <f>SUMIF(N:N,Online_eCommerce[[#This Row],[Assigned Supervisor]],L:L)</f>
        <v>14373360</v>
      </c>
    </row>
    <row r="4728" spans="1:20" hidden="1" x14ac:dyDescent="0.3">
      <c r="A4728" t="s">
        <v>6978</v>
      </c>
      <c r="B4728" t="s">
        <v>144</v>
      </c>
      <c r="C4728" t="s">
        <v>136</v>
      </c>
      <c r="D4728" t="s">
        <v>6898</v>
      </c>
      <c r="E4728" t="s">
        <v>18</v>
      </c>
      <c r="F4728" t="s">
        <v>6979</v>
      </c>
      <c r="G4728" t="s">
        <v>20</v>
      </c>
      <c r="H4728" t="s">
        <v>21</v>
      </c>
      <c r="I4728">
        <v>6500</v>
      </c>
      <c r="J4728">
        <v>8450</v>
      </c>
      <c r="K4728">
        <v>1</v>
      </c>
      <c r="L4728">
        <v>6500</v>
      </c>
      <c r="M4728">
        <v>8450</v>
      </c>
      <c r="N4728" t="s">
        <v>42</v>
      </c>
      <c r="O4728">
        <f t="shared" si="146"/>
        <v>8450</v>
      </c>
      <c r="P4728" s="13">
        <f t="shared" si="147"/>
        <v>2775162</v>
      </c>
      <c r="Q4728" s="13">
        <f>SUMIFS(M:M,E:E,Online_eCommerce[[#This Row],[Status]])</f>
        <v>28340455</v>
      </c>
      <c r="R4728" s="13">
        <f>SUMIFS(L:L,H:H,Online_eCommerce[[#This Row],[Brand]])</f>
        <v>12435650</v>
      </c>
      <c r="S4728" s="13">
        <f>SUMIF(H:H,Online_eCommerce[[#This Row],[Brand]],M:M)</f>
        <v>16166345</v>
      </c>
      <c r="T4728" s="13">
        <f>SUMIF(N:N,Online_eCommerce[[#This Row],[Assigned Supervisor]],L:L)</f>
        <v>12261500</v>
      </c>
    </row>
    <row r="4729" spans="1:20" hidden="1" x14ac:dyDescent="0.3">
      <c r="A4729" t="s">
        <v>6980</v>
      </c>
      <c r="B4729" t="s">
        <v>235</v>
      </c>
      <c r="C4729" t="s">
        <v>140</v>
      </c>
      <c r="D4729" t="s">
        <v>6898</v>
      </c>
      <c r="E4729" t="s">
        <v>161</v>
      </c>
      <c r="F4729" t="s">
        <v>6981</v>
      </c>
      <c r="G4729" t="s">
        <v>26</v>
      </c>
      <c r="H4729" t="s">
        <v>27</v>
      </c>
      <c r="I4729">
        <v>8500</v>
      </c>
      <c r="J4729">
        <v>11050</v>
      </c>
      <c r="K4729">
        <v>4</v>
      </c>
      <c r="L4729">
        <v>34000</v>
      </c>
      <c r="M4729">
        <v>44200</v>
      </c>
      <c r="N4729" t="s">
        <v>50</v>
      </c>
      <c r="O4729">
        <f t="shared" si="146"/>
        <v>33150</v>
      </c>
      <c r="P4729" s="13">
        <f t="shared" si="147"/>
        <v>2058264</v>
      </c>
      <c r="Q4729" s="13">
        <f>SUMIFS(M:M,E:E,Online_eCommerce[[#This Row],[Status]])</f>
        <v>21103186</v>
      </c>
      <c r="R4729" s="13">
        <f>SUMIFS(L:L,H:H,Online_eCommerce[[#This Row],[Brand]])</f>
        <v>14431000</v>
      </c>
      <c r="S4729" s="13">
        <f>SUMIF(H:H,Online_eCommerce[[#This Row],[Brand]],M:M)</f>
        <v>18760300</v>
      </c>
      <c r="T4729" s="13">
        <f>SUMIF(N:N,Online_eCommerce[[#This Row],[Assigned Supervisor]],L:L)</f>
        <v>12100590</v>
      </c>
    </row>
    <row r="4730" spans="1:20" x14ac:dyDescent="0.3">
      <c r="A4730" t="s">
        <v>6982</v>
      </c>
      <c r="B4730" t="s">
        <v>176</v>
      </c>
      <c r="C4730" t="s">
        <v>145</v>
      </c>
      <c r="D4730" t="s">
        <v>6898</v>
      </c>
      <c r="E4730" t="s">
        <v>46</v>
      </c>
      <c r="F4730" t="s">
        <v>32</v>
      </c>
      <c r="G4730" t="s">
        <v>33</v>
      </c>
      <c r="H4730" t="s">
        <v>34</v>
      </c>
      <c r="I4730">
        <v>7000</v>
      </c>
      <c r="J4730">
        <v>9100</v>
      </c>
      <c r="K4730">
        <v>1</v>
      </c>
      <c r="L4730">
        <v>7000</v>
      </c>
      <c r="M4730">
        <v>9100</v>
      </c>
      <c r="N4730" t="s">
        <v>56</v>
      </c>
      <c r="O4730">
        <f t="shared" si="146"/>
        <v>18200</v>
      </c>
      <c r="P4730" s="13">
        <f t="shared" si="147"/>
        <v>2757859</v>
      </c>
      <c r="Q4730" s="13">
        <f>SUMIFS(M:M,E:E,Online_eCommerce[[#This Row],[Status]])</f>
        <v>28620410</v>
      </c>
      <c r="R4730" s="13">
        <f>SUMIFS(L:L,H:H,Online_eCommerce[[#This Row],[Brand]])</f>
        <v>10087000</v>
      </c>
      <c r="S4730" s="13">
        <f>SUMIF(H:H,Online_eCommerce[[#This Row],[Brand]],M:M)</f>
        <v>13113100</v>
      </c>
      <c r="T4730" s="13">
        <f>SUMIF(N:N,Online_eCommerce[[#This Row],[Assigned Supervisor]],L:L)</f>
        <v>11733610</v>
      </c>
    </row>
    <row r="4731" spans="1:20" hidden="1" x14ac:dyDescent="0.3">
      <c r="A4731" t="s">
        <v>6983</v>
      </c>
      <c r="B4731" t="s">
        <v>276</v>
      </c>
      <c r="C4731" t="s">
        <v>150</v>
      </c>
      <c r="D4731" t="s">
        <v>6898</v>
      </c>
      <c r="E4731" t="s">
        <v>96</v>
      </c>
      <c r="F4731" t="s">
        <v>6984</v>
      </c>
      <c r="G4731" t="s">
        <v>163</v>
      </c>
      <c r="H4731" t="s">
        <v>41</v>
      </c>
      <c r="I4731">
        <v>6550</v>
      </c>
      <c r="J4731">
        <v>8515</v>
      </c>
      <c r="K4731">
        <v>2</v>
      </c>
      <c r="L4731">
        <v>13100</v>
      </c>
      <c r="M4731">
        <v>17030</v>
      </c>
      <c r="N4731" t="s">
        <v>22</v>
      </c>
      <c r="O4731">
        <f t="shared" si="146"/>
        <v>13650</v>
      </c>
      <c r="P4731" s="13">
        <f t="shared" si="147"/>
        <v>2154984</v>
      </c>
      <c r="Q4731" s="13">
        <f>SUMIFS(M:M,E:E,Online_eCommerce[[#This Row],[Status]])</f>
        <v>21233992</v>
      </c>
      <c r="R4731" s="13">
        <f>SUMIFS(L:L,H:H,Online_eCommerce[[#This Row],[Brand]])</f>
        <v>4260400</v>
      </c>
      <c r="S4731" s="13">
        <f>SUMIF(H:H,Online_eCommerce[[#This Row],[Brand]],M:M)</f>
        <v>5538520</v>
      </c>
      <c r="T4731" s="13">
        <f>SUMIF(N:N,Online_eCommerce[[#This Row],[Assigned Supervisor]],L:L)</f>
        <v>13693220</v>
      </c>
    </row>
    <row r="4732" spans="1:20" hidden="1" x14ac:dyDescent="0.3">
      <c r="A4732" t="s">
        <v>6985</v>
      </c>
      <c r="B4732" t="s">
        <v>280</v>
      </c>
      <c r="C4732" t="s">
        <v>155</v>
      </c>
      <c r="D4732" t="s">
        <v>6898</v>
      </c>
      <c r="E4732" t="s">
        <v>18</v>
      </c>
      <c r="F4732" t="s">
        <v>47</v>
      </c>
      <c r="G4732" t="s">
        <v>66</v>
      </c>
      <c r="H4732" t="s">
        <v>49</v>
      </c>
      <c r="I4732">
        <v>7650</v>
      </c>
      <c r="J4732">
        <v>9945</v>
      </c>
      <c r="K4732">
        <v>4</v>
      </c>
      <c r="L4732">
        <v>30600</v>
      </c>
      <c r="M4732">
        <v>39780</v>
      </c>
      <c r="N4732" t="s">
        <v>28</v>
      </c>
      <c r="O4732">
        <f t="shared" si="146"/>
        <v>1690</v>
      </c>
      <c r="P4732" s="13">
        <f t="shared" si="147"/>
        <v>2753348</v>
      </c>
      <c r="Q4732" s="13">
        <f>SUMIFS(M:M,E:E,Online_eCommerce[[#This Row],[Status]])</f>
        <v>28340455</v>
      </c>
      <c r="R4732" s="13">
        <f>SUMIFS(L:L,H:H,Online_eCommerce[[#This Row],[Brand]])</f>
        <v>4528350</v>
      </c>
      <c r="S4732" s="13">
        <f>SUMIF(H:H,Online_eCommerce[[#This Row],[Brand]],M:M)</f>
        <v>5886855</v>
      </c>
      <c r="T4732" s="13">
        <f>SUMIF(N:N,Online_eCommerce[[#This Row],[Assigned Supervisor]],L:L)</f>
        <v>12220830</v>
      </c>
    </row>
    <row r="4733" spans="1:20" hidden="1" x14ac:dyDescent="0.3">
      <c r="A4733" t="s">
        <v>6986</v>
      </c>
      <c r="B4733" t="s">
        <v>283</v>
      </c>
      <c r="C4733" t="s">
        <v>160</v>
      </c>
      <c r="D4733" t="s">
        <v>6898</v>
      </c>
      <c r="E4733" t="s">
        <v>161</v>
      </c>
      <c r="F4733" t="s">
        <v>53</v>
      </c>
      <c r="G4733" t="s">
        <v>54</v>
      </c>
      <c r="H4733" t="s">
        <v>55</v>
      </c>
      <c r="I4733">
        <v>1150</v>
      </c>
      <c r="J4733">
        <v>1495</v>
      </c>
      <c r="K4733">
        <v>3</v>
      </c>
      <c r="L4733">
        <v>3450</v>
      </c>
      <c r="M4733">
        <v>4485</v>
      </c>
      <c r="N4733" t="s">
        <v>35</v>
      </c>
      <c r="O4733">
        <f t="shared" si="146"/>
        <v>2990</v>
      </c>
      <c r="P4733" s="13">
        <f t="shared" si="147"/>
        <v>2303483</v>
      </c>
      <c r="Q4733" s="13">
        <f>SUMIFS(M:M,E:E,Online_eCommerce[[#This Row],[Status]])</f>
        <v>21103186</v>
      </c>
      <c r="R4733" s="13">
        <f>SUMIFS(L:L,H:H,Online_eCommerce[[#This Row],[Brand]])</f>
        <v>2267380</v>
      </c>
      <c r="S4733" s="13">
        <f>SUMIF(H:H,Online_eCommerce[[#This Row],[Brand]],M:M)</f>
        <v>2947594</v>
      </c>
      <c r="T4733" s="13">
        <f>SUMIF(N:N,Online_eCommerce[[#This Row],[Assigned Supervisor]],L:L)</f>
        <v>14373360</v>
      </c>
    </row>
    <row r="4734" spans="1:20" x14ac:dyDescent="0.3">
      <c r="A4734" t="s">
        <v>6987</v>
      </c>
      <c r="B4734" t="s">
        <v>287</v>
      </c>
      <c r="C4734" t="s">
        <v>165</v>
      </c>
      <c r="D4734" t="s">
        <v>6898</v>
      </c>
      <c r="E4734" t="s">
        <v>46</v>
      </c>
      <c r="F4734" t="s">
        <v>59</v>
      </c>
      <c r="G4734" t="s">
        <v>60</v>
      </c>
      <c r="H4734" t="s">
        <v>61</v>
      </c>
      <c r="I4734">
        <v>850</v>
      </c>
      <c r="J4734">
        <v>1105</v>
      </c>
      <c r="K4734">
        <v>1</v>
      </c>
      <c r="L4734">
        <v>850</v>
      </c>
      <c r="M4734">
        <v>1105</v>
      </c>
      <c r="N4734" t="s">
        <v>42</v>
      </c>
      <c r="O4734">
        <f t="shared" si="146"/>
        <v>3315</v>
      </c>
      <c r="P4734" s="13">
        <f t="shared" si="147"/>
        <v>2674087</v>
      </c>
      <c r="Q4734" s="13">
        <f>SUMIFS(M:M,E:E,Online_eCommerce[[#This Row],[Status]])</f>
        <v>28620410</v>
      </c>
      <c r="R4734" s="13">
        <f>SUMIFS(L:L,H:H,Online_eCommerce[[#This Row],[Brand]])</f>
        <v>10950150</v>
      </c>
      <c r="S4734" s="13">
        <f>SUMIF(H:H,Online_eCommerce[[#This Row],[Brand]],M:M)</f>
        <v>14235195</v>
      </c>
      <c r="T4734" s="13">
        <f>SUMIF(N:N,Online_eCommerce[[#This Row],[Assigned Supervisor]],L:L)</f>
        <v>12261500</v>
      </c>
    </row>
    <row r="4735" spans="1:20" hidden="1" x14ac:dyDescent="0.3">
      <c r="A4735" t="s">
        <v>6988</v>
      </c>
      <c r="B4735" t="s">
        <v>290</v>
      </c>
      <c r="C4735" t="s">
        <v>168</v>
      </c>
      <c r="D4735" t="s">
        <v>6898</v>
      </c>
      <c r="E4735" t="s">
        <v>96</v>
      </c>
      <c r="F4735" t="s">
        <v>65</v>
      </c>
      <c r="G4735" t="s">
        <v>66</v>
      </c>
      <c r="H4735" t="s">
        <v>21</v>
      </c>
      <c r="I4735">
        <v>650</v>
      </c>
      <c r="J4735">
        <v>845</v>
      </c>
      <c r="K4735">
        <v>4</v>
      </c>
      <c r="L4735">
        <v>2600</v>
      </c>
      <c r="M4735">
        <v>3380</v>
      </c>
      <c r="N4735" t="s">
        <v>50</v>
      </c>
      <c r="O4735">
        <f t="shared" si="146"/>
        <v>1690</v>
      </c>
      <c r="P4735" s="13">
        <f t="shared" si="147"/>
        <v>1937780</v>
      </c>
      <c r="Q4735" s="13">
        <f>SUMIFS(M:M,E:E,Online_eCommerce[[#This Row],[Status]])</f>
        <v>21233992</v>
      </c>
      <c r="R4735" s="13">
        <f>SUMIFS(L:L,H:H,Online_eCommerce[[#This Row],[Brand]])</f>
        <v>12435650</v>
      </c>
      <c r="S4735" s="13">
        <f>SUMIF(H:H,Online_eCommerce[[#This Row],[Brand]],M:M)</f>
        <v>16166345</v>
      </c>
      <c r="T4735" s="13">
        <f>SUMIF(N:N,Online_eCommerce[[#This Row],[Assigned Supervisor]],L:L)</f>
        <v>12100590</v>
      </c>
    </row>
    <row r="4736" spans="1:20" hidden="1" x14ac:dyDescent="0.3">
      <c r="A4736" t="s">
        <v>6989</v>
      </c>
      <c r="B4736" t="s">
        <v>15</v>
      </c>
      <c r="C4736" t="s">
        <v>172</v>
      </c>
      <c r="D4736" t="s">
        <v>6898</v>
      </c>
      <c r="E4736" t="s">
        <v>18</v>
      </c>
      <c r="F4736" t="s">
        <v>70</v>
      </c>
      <c r="G4736" t="s">
        <v>71</v>
      </c>
      <c r="H4736" t="s">
        <v>61</v>
      </c>
      <c r="I4736">
        <v>7500</v>
      </c>
      <c r="J4736">
        <v>9750</v>
      </c>
      <c r="K4736">
        <v>2</v>
      </c>
      <c r="L4736">
        <v>15000</v>
      </c>
      <c r="M4736">
        <v>19500</v>
      </c>
      <c r="N4736" t="s">
        <v>56</v>
      </c>
      <c r="O4736">
        <f t="shared" si="146"/>
        <v>9750</v>
      </c>
      <c r="P4736" s="13">
        <f t="shared" si="147"/>
        <v>2640274</v>
      </c>
      <c r="Q4736" s="13">
        <f>SUMIFS(M:M,E:E,Online_eCommerce[[#This Row],[Status]])</f>
        <v>28340455</v>
      </c>
      <c r="R4736" s="13">
        <f>SUMIFS(L:L,H:H,Online_eCommerce[[#This Row],[Brand]])</f>
        <v>10950150</v>
      </c>
      <c r="S4736" s="13">
        <f>SUMIF(H:H,Online_eCommerce[[#This Row],[Brand]],M:M)</f>
        <v>14235195</v>
      </c>
      <c r="T4736" s="13">
        <f>SUMIF(N:N,Online_eCommerce[[#This Row],[Assigned Supervisor]],L:L)</f>
        <v>11733610</v>
      </c>
    </row>
    <row r="4737" spans="1:20" hidden="1" x14ac:dyDescent="0.3">
      <c r="A4737" t="s">
        <v>6990</v>
      </c>
      <c r="B4737" t="s">
        <v>202</v>
      </c>
      <c r="C4737" t="s">
        <v>177</v>
      </c>
      <c r="D4737" t="s">
        <v>6898</v>
      </c>
      <c r="E4737" t="s">
        <v>161</v>
      </c>
      <c r="F4737" t="s">
        <v>6977</v>
      </c>
      <c r="G4737" t="s">
        <v>77</v>
      </c>
      <c r="H4737" t="s">
        <v>78</v>
      </c>
      <c r="I4737">
        <v>10000</v>
      </c>
      <c r="J4737">
        <v>13000</v>
      </c>
      <c r="K4737">
        <v>4</v>
      </c>
      <c r="L4737">
        <v>40000</v>
      </c>
      <c r="M4737">
        <v>52000</v>
      </c>
      <c r="N4737" t="s">
        <v>22</v>
      </c>
      <c r="O4737">
        <f t="shared" si="146"/>
        <v>39000</v>
      </c>
      <c r="P4737" s="13">
        <f t="shared" si="147"/>
        <v>1863810</v>
      </c>
      <c r="Q4737" s="13">
        <f>SUMIFS(M:M,E:E,Online_eCommerce[[#This Row],[Status]])</f>
        <v>21103186</v>
      </c>
      <c r="R4737" s="13">
        <f>SUMIFS(L:L,H:H,Online_eCommerce[[#This Row],[Brand]])</f>
        <v>3720000</v>
      </c>
      <c r="S4737" s="13">
        <f>SUMIF(H:H,Online_eCommerce[[#This Row],[Brand]],M:M)</f>
        <v>4836000</v>
      </c>
      <c r="T4737" s="13">
        <f>SUMIF(N:N,Online_eCommerce[[#This Row],[Assigned Supervisor]],L:L)</f>
        <v>13693220</v>
      </c>
    </row>
    <row r="4738" spans="1:20" x14ac:dyDescent="0.3">
      <c r="A4738" t="s">
        <v>6991</v>
      </c>
      <c r="B4738" t="s">
        <v>30</v>
      </c>
      <c r="C4738" t="s">
        <v>181</v>
      </c>
      <c r="D4738" t="s">
        <v>6898</v>
      </c>
      <c r="E4738" t="s">
        <v>46</v>
      </c>
      <c r="F4738" t="s">
        <v>6992</v>
      </c>
      <c r="G4738" t="s">
        <v>20</v>
      </c>
      <c r="H4738" t="s">
        <v>21</v>
      </c>
      <c r="I4738">
        <v>10500</v>
      </c>
      <c r="J4738">
        <v>13650</v>
      </c>
      <c r="K4738">
        <v>3</v>
      </c>
      <c r="L4738">
        <v>31500</v>
      </c>
      <c r="M4738">
        <v>40950</v>
      </c>
      <c r="N4738" t="s">
        <v>28</v>
      </c>
      <c r="O4738">
        <f t="shared" ref="O4738:O4801" si="148">VLOOKUP(G4738,G:M,7,FALSE)</f>
        <v>8450</v>
      </c>
      <c r="P4738" s="13">
        <f t="shared" ref="P4738:P4801" si="149">SUMIFS(M:M,C:C,C4738)</f>
        <v>2577458</v>
      </c>
      <c r="Q4738" s="13">
        <f>SUMIFS(M:M,E:E,Online_eCommerce[[#This Row],[Status]])</f>
        <v>28620410</v>
      </c>
      <c r="R4738" s="13">
        <f>SUMIFS(L:L,H:H,Online_eCommerce[[#This Row],[Brand]])</f>
        <v>12435650</v>
      </c>
      <c r="S4738" s="13">
        <f>SUMIF(H:H,Online_eCommerce[[#This Row],[Brand]],M:M)</f>
        <v>16166345</v>
      </c>
      <c r="T4738" s="13">
        <f>SUMIF(N:N,Online_eCommerce[[#This Row],[Assigned Supervisor]],L:L)</f>
        <v>12220830</v>
      </c>
    </row>
    <row r="4739" spans="1:20" hidden="1" x14ac:dyDescent="0.3">
      <c r="A4739" t="s">
        <v>6993</v>
      </c>
      <c r="B4739" t="s">
        <v>37</v>
      </c>
      <c r="C4739" t="s">
        <v>185</v>
      </c>
      <c r="D4739" t="s">
        <v>6898</v>
      </c>
      <c r="E4739" t="s">
        <v>96</v>
      </c>
      <c r="F4739" t="s">
        <v>88</v>
      </c>
      <c r="G4739" t="s">
        <v>26</v>
      </c>
      <c r="H4739" t="s">
        <v>27</v>
      </c>
      <c r="I4739">
        <v>8500</v>
      </c>
      <c r="J4739">
        <v>11050</v>
      </c>
      <c r="K4739">
        <v>3</v>
      </c>
      <c r="L4739">
        <v>25500</v>
      </c>
      <c r="M4739">
        <v>33150</v>
      </c>
      <c r="N4739" t="s">
        <v>35</v>
      </c>
      <c r="O4739">
        <f t="shared" si="148"/>
        <v>33150</v>
      </c>
      <c r="P4739" s="13">
        <f t="shared" si="149"/>
        <v>2091596</v>
      </c>
      <c r="Q4739" s="13">
        <f>SUMIFS(M:M,E:E,Online_eCommerce[[#This Row],[Status]])</f>
        <v>21233992</v>
      </c>
      <c r="R4739" s="13">
        <f>SUMIFS(L:L,H:H,Online_eCommerce[[#This Row],[Brand]])</f>
        <v>14431000</v>
      </c>
      <c r="S4739" s="13">
        <f>SUMIF(H:H,Online_eCommerce[[#This Row],[Brand]],M:M)</f>
        <v>18760300</v>
      </c>
      <c r="T4739" s="13">
        <f>SUMIF(N:N,Online_eCommerce[[#This Row],[Assigned Supervisor]],L:L)</f>
        <v>14373360</v>
      </c>
    </row>
    <row r="4740" spans="1:20" hidden="1" x14ac:dyDescent="0.3">
      <c r="A4740" t="s">
        <v>6994</v>
      </c>
      <c r="B4740" t="s">
        <v>44</v>
      </c>
      <c r="C4740" t="s">
        <v>189</v>
      </c>
      <c r="D4740" t="s">
        <v>6898</v>
      </c>
      <c r="E4740" t="s">
        <v>18</v>
      </c>
      <c r="F4740" t="s">
        <v>32</v>
      </c>
      <c r="G4740" t="s">
        <v>33</v>
      </c>
      <c r="H4740" t="s">
        <v>34</v>
      </c>
      <c r="I4740">
        <v>7000</v>
      </c>
      <c r="J4740">
        <v>9100</v>
      </c>
      <c r="K4740">
        <v>2</v>
      </c>
      <c r="L4740">
        <v>14000</v>
      </c>
      <c r="M4740">
        <v>18200</v>
      </c>
      <c r="N4740" t="s">
        <v>42</v>
      </c>
      <c r="O4740">
        <f t="shared" si="148"/>
        <v>18200</v>
      </c>
      <c r="P4740" s="13">
        <f t="shared" si="149"/>
        <v>2740777</v>
      </c>
      <c r="Q4740" s="13">
        <f>SUMIFS(M:M,E:E,Online_eCommerce[[#This Row],[Status]])</f>
        <v>28340455</v>
      </c>
      <c r="R4740" s="13">
        <f>SUMIFS(L:L,H:H,Online_eCommerce[[#This Row],[Brand]])</f>
        <v>10087000</v>
      </c>
      <c r="S4740" s="13">
        <f>SUMIF(H:H,Online_eCommerce[[#This Row],[Brand]],M:M)</f>
        <v>13113100</v>
      </c>
      <c r="T4740" s="13">
        <f>SUMIF(N:N,Online_eCommerce[[#This Row],[Assigned Supervisor]],L:L)</f>
        <v>12261500</v>
      </c>
    </row>
    <row r="4741" spans="1:20" hidden="1" x14ac:dyDescent="0.3">
      <c r="A4741" t="s">
        <v>6995</v>
      </c>
      <c r="B4741" t="s">
        <v>213</v>
      </c>
      <c r="C4741" t="s">
        <v>193</v>
      </c>
      <c r="D4741" t="s">
        <v>6898</v>
      </c>
      <c r="E4741" t="s">
        <v>161</v>
      </c>
      <c r="F4741" t="s">
        <v>6996</v>
      </c>
      <c r="G4741" t="s">
        <v>163</v>
      </c>
      <c r="H4741" t="s">
        <v>41</v>
      </c>
      <c r="I4741">
        <v>1680</v>
      </c>
      <c r="J4741">
        <v>2184</v>
      </c>
      <c r="K4741">
        <v>1</v>
      </c>
      <c r="L4741">
        <v>1680</v>
      </c>
      <c r="M4741">
        <v>2184</v>
      </c>
      <c r="N4741" t="s">
        <v>50</v>
      </c>
      <c r="O4741">
        <f t="shared" si="148"/>
        <v>13650</v>
      </c>
      <c r="P4741" s="13">
        <f t="shared" si="149"/>
        <v>2074774</v>
      </c>
      <c r="Q4741" s="13">
        <f>SUMIFS(M:M,E:E,Online_eCommerce[[#This Row],[Status]])</f>
        <v>21103186</v>
      </c>
      <c r="R4741" s="13">
        <f>SUMIFS(L:L,H:H,Online_eCommerce[[#This Row],[Brand]])</f>
        <v>4260400</v>
      </c>
      <c r="S4741" s="13">
        <f>SUMIF(H:H,Online_eCommerce[[#This Row],[Brand]],M:M)</f>
        <v>5538520</v>
      </c>
      <c r="T4741" s="13">
        <f>SUMIF(N:N,Online_eCommerce[[#This Row],[Assigned Supervisor]],L:L)</f>
        <v>12100590</v>
      </c>
    </row>
    <row r="4742" spans="1:20" x14ac:dyDescent="0.3">
      <c r="A4742" t="s">
        <v>6997</v>
      </c>
      <c r="B4742" t="s">
        <v>215</v>
      </c>
      <c r="C4742" t="s">
        <v>197</v>
      </c>
      <c r="D4742" t="s">
        <v>6898</v>
      </c>
      <c r="E4742" t="s">
        <v>46</v>
      </c>
      <c r="F4742" t="s">
        <v>101</v>
      </c>
      <c r="G4742" t="s">
        <v>66</v>
      </c>
      <c r="H4742" t="s">
        <v>102</v>
      </c>
      <c r="I4742">
        <v>6540</v>
      </c>
      <c r="J4742">
        <v>8502</v>
      </c>
      <c r="K4742">
        <v>1</v>
      </c>
      <c r="L4742">
        <v>6540</v>
      </c>
      <c r="M4742">
        <v>8502</v>
      </c>
      <c r="N4742" t="s">
        <v>56</v>
      </c>
      <c r="O4742">
        <f t="shared" si="148"/>
        <v>1690</v>
      </c>
      <c r="P4742" s="13">
        <f t="shared" si="149"/>
        <v>2829840</v>
      </c>
      <c r="Q4742" s="13">
        <f>SUMIFS(M:M,E:E,Online_eCommerce[[#This Row],[Status]])</f>
        <v>28620410</v>
      </c>
      <c r="R4742" s="13">
        <f>SUMIFS(L:L,H:H,Online_eCommerce[[#This Row],[Brand]])</f>
        <v>2465580</v>
      </c>
      <c r="S4742" s="13">
        <f>SUMIF(H:H,Online_eCommerce[[#This Row],[Brand]],M:M)</f>
        <v>3205254</v>
      </c>
      <c r="T4742" s="13">
        <f>SUMIF(N:N,Online_eCommerce[[#This Row],[Assigned Supervisor]],L:L)</f>
        <v>11733610</v>
      </c>
    </row>
    <row r="4743" spans="1:20" hidden="1" x14ac:dyDescent="0.3">
      <c r="A4743" t="s">
        <v>6998</v>
      </c>
      <c r="B4743" t="s">
        <v>306</v>
      </c>
      <c r="C4743" t="s">
        <v>199</v>
      </c>
      <c r="D4743" t="s">
        <v>6898</v>
      </c>
      <c r="E4743" t="s">
        <v>96</v>
      </c>
      <c r="F4743" t="s">
        <v>107</v>
      </c>
      <c r="G4743" t="s">
        <v>54</v>
      </c>
      <c r="H4743" t="s">
        <v>55</v>
      </c>
      <c r="I4743">
        <v>2680</v>
      </c>
      <c r="J4743">
        <v>3484</v>
      </c>
      <c r="K4743">
        <v>2</v>
      </c>
      <c r="L4743">
        <v>5360</v>
      </c>
      <c r="M4743">
        <v>6968</v>
      </c>
      <c r="N4743" t="s">
        <v>22</v>
      </c>
      <c r="O4743">
        <f t="shared" si="148"/>
        <v>2990</v>
      </c>
      <c r="P4743" s="13">
        <f t="shared" si="149"/>
        <v>1947361</v>
      </c>
      <c r="Q4743" s="13">
        <f>SUMIFS(M:M,E:E,Online_eCommerce[[#This Row],[Status]])</f>
        <v>21233992</v>
      </c>
      <c r="R4743" s="13">
        <f>SUMIFS(L:L,H:H,Online_eCommerce[[#This Row],[Brand]])</f>
        <v>2267380</v>
      </c>
      <c r="S4743" s="13">
        <f>SUMIF(H:H,Online_eCommerce[[#This Row],[Brand]],M:M)</f>
        <v>2947594</v>
      </c>
      <c r="T4743" s="13">
        <f>SUMIF(N:N,Online_eCommerce[[#This Row],[Assigned Supervisor]],L:L)</f>
        <v>13693220</v>
      </c>
    </row>
    <row r="4744" spans="1:20" hidden="1" x14ac:dyDescent="0.3">
      <c r="A4744" t="s">
        <v>6999</v>
      </c>
      <c r="B4744" t="s">
        <v>528</v>
      </c>
      <c r="C4744" t="s">
        <v>203</v>
      </c>
      <c r="D4744" t="s">
        <v>6898</v>
      </c>
      <c r="E4744" t="s">
        <v>18</v>
      </c>
      <c r="F4744" t="s">
        <v>112</v>
      </c>
      <c r="G4744" t="s">
        <v>71</v>
      </c>
      <c r="H4744" t="s">
        <v>21</v>
      </c>
      <c r="I4744">
        <v>8250</v>
      </c>
      <c r="J4744">
        <v>10725</v>
      </c>
      <c r="K4744">
        <v>2</v>
      </c>
      <c r="L4744">
        <v>16500</v>
      </c>
      <c r="M4744">
        <v>21450</v>
      </c>
      <c r="N4744" t="s">
        <v>28</v>
      </c>
      <c r="O4744">
        <f t="shared" si="148"/>
        <v>9750</v>
      </c>
      <c r="P4744" s="13">
        <f t="shared" si="149"/>
        <v>2559635</v>
      </c>
      <c r="Q4744" s="13">
        <f>SUMIFS(M:M,E:E,Online_eCommerce[[#This Row],[Status]])</f>
        <v>28340455</v>
      </c>
      <c r="R4744" s="13">
        <f>SUMIFS(L:L,H:H,Online_eCommerce[[#This Row],[Brand]])</f>
        <v>12435650</v>
      </c>
      <c r="S4744" s="13">
        <f>SUMIF(H:H,Online_eCommerce[[#This Row],[Brand]],M:M)</f>
        <v>16166345</v>
      </c>
      <c r="T4744" s="13">
        <f>SUMIF(N:N,Online_eCommerce[[#This Row],[Assigned Supervisor]],L:L)</f>
        <v>12220830</v>
      </c>
    </row>
    <row r="4745" spans="1:20" hidden="1" x14ac:dyDescent="0.3">
      <c r="A4745" t="s">
        <v>7000</v>
      </c>
      <c r="B4745" t="s">
        <v>73</v>
      </c>
      <c r="C4745" t="s">
        <v>205</v>
      </c>
      <c r="D4745" t="s">
        <v>6898</v>
      </c>
      <c r="E4745" t="s">
        <v>161</v>
      </c>
      <c r="F4745" t="s">
        <v>6537</v>
      </c>
      <c r="G4745" t="s">
        <v>40</v>
      </c>
      <c r="H4745" t="s">
        <v>21</v>
      </c>
      <c r="I4745">
        <v>2650</v>
      </c>
      <c r="J4745">
        <v>3445</v>
      </c>
      <c r="K4745">
        <v>4</v>
      </c>
      <c r="L4745">
        <v>10600</v>
      </c>
      <c r="M4745">
        <v>13780</v>
      </c>
      <c r="N4745" t="s">
        <v>35</v>
      </c>
      <c r="O4745">
        <f t="shared" si="148"/>
        <v>25545</v>
      </c>
      <c r="P4745" s="13">
        <f t="shared" si="149"/>
        <v>1983254</v>
      </c>
      <c r="Q4745" s="13">
        <f>SUMIFS(M:M,E:E,Online_eCommerce[[#This Row],[Status]])</f>
        <v>21103186</v>
      </c>
      <c r="R4745" s="13">
        <f>SUMIFS(L:L,H:H,Online_eCommerce[[#This Row],[Brand]])</f>
        <v>12435650</v>
      </c>
      <c r="S4745" s="13">
        <f>SUMIF(H:H,Online_eCommerce[[#This Row],[Brand]],M:M)</f>
        <v>16166345</v>
      </c>
      <c r="T4745" s="13">
        <f>SUMIF(N:N,Online_eCommerce[[#This Row],[Assigned Supervisor]],L:L)</f>
        <v>14373360</v>
      </c>
    </row>
    <row r="4746" spans="1:20" x14ac:dyDescent="0.3">
      <c r="A4746" t="s">
        <v>7001</v>
      </c>
      <c r="B4746" t="s">
        <v>80</v>
      </c>
      <c r="C4746" t="s">
        <v>208</v>
      </c>
      <c r="D4746" t="s">
        <v>6898</v>
      </c>
      <c r="E4746" t="s">
        <v>46</v>
      </c>
      <c r="F4746" t="s">
        <v>121</v>
      </c>
      <c r="G4746" t="s">
        <v>71</v>
      </c>
      <c r="H4746" t="s">
        <v>122</v>
      </c>
      <c r="I4746">
        <v>12550</v>
      </c>
      <c r="J4746">
        <v>16315</v>
      </c>
      <c r="K4746">
        <v>1</v>
      </c>
      <c r="L4746">
        <v>12550</v>
      </c>
      <c r="M4746">
        <v>16315</v>
      </c>
      <c r="N4746" t="s">
        <v>42</v>
      </c>
      <c r="O4746">
        <f t="shared" si="148"/>
        <v>9750</v>
      </c>
      <c r="P4746" s="13">
        <f t="shared" si="149"/>
        <v>2746575</v>
      </c>
      <c r="Q4746" s="13">
        <f>SUMIFS(M:M,E:E,Online_eCommerce[[#This Row],[Status]])</f>
        <v>28620410</v>
      </c>
      <c r="R4746" s="13">
        <f>SUMIFS(L:L,H:H,Online_eCommerce[[#This Row],[Brand]])</f>
        <v>5045100</v>
      </c>
      <c r="S4746" s="13">
        <f>SUMIF(H:H,Online_eCommerce[[#This Row],[Brand]],M:M)</f>
        <v>6558630</v>
      </c>
      <c r="T4746" s="13">
        <f>SUMIF(N:N,Online_eCommerce[[#This Row],[Assigned Supervisor]],L:L)</f>
        <v>12261500</v>
      </c>
    </row>
    <row r="4747" spans="1:20" hidden="1" x14ac:dyDescent="0.3">
      <c r="A4747" t="s">
        <v>7002</v>
      </c>
      <c r="B4747" t="s">
        <v>85</v>
      </c>
      <c r="C4747" t="s">
        <v>211</v>
      </c>
      <c r="D4747" t="s">
        <v>6898</v>
      </c>
      <c r="E4747" t="s">
        <v>96</v>
      </c>
      <c r="F4747" t="s">
        <v>126</v>
      </c>
      <c r="G4747" t="s">
        <v>26</v>
      </c>
      <c r="H4747" t="s">
        <v>27</v>
      </c>
      <c r="I4747">
        <v>14500</v>
      </c>
      <c r="J4747">
        <v>18850</v>
      </c>
      <c r="K4747">
        <v>2</v>
      </c>
      <c r="L4747">
        <v>29000</v>
      </c>
      <c r="M4747">
        <v>37700</v>
      </c>
      <c r="N4747" t="s">
        <v>50</v>
      </c>
      <c r="O4747">
        <f t="shared" si="148"/>
        <v>33150</v>
      </c>
      <c r="P4747" s="13">
        <f t="shared" si="149"/>
        <v>1809847</v>
      </c>
      <c r="Q4747" s="13">
        <f>SUMIFS(M:M,E:E,Online_eCommerce[[#This Row],[Status]])</f>
        <v>21233992</v>
      </c>
      <c r="R4747" s="13">
        <f>SUMIFS(L:L,H:H,Online_eCommerce[[#This Row],[Brand]])</f>
        <v>14431000</v>
      </c>
      <c r="S4747" s="13">
        <f>SUMIF(H:H,Online_eCommerce[[#This Row],[Brand]],M:M)</f>
        <v>18760300</v>
      </c>
      <c r="T4747" s="13">
        <f>SUMIF(N:N,Online_eCommerce[[#This Row],[Assigned Supervisor]],L:L)</f>
        <v>12100590</v>
      </c>
    </row>
    <row r="4748" spans="1:20" hidden="1" x14ac:dyDescent="0.3">
      <c r="A4748" t="s">
        <v>7003</v>
      </c>
      <c r="B4748" t="s">
        <v>90</v>
      </c>
      <c r="C4748" t="s">
        <v>16</v>
      </c>
      <c r="D4748" t="s">
        <v>6898</v>
      </c>
      <c r="E4748" t="s">
        <v>18</v>
      </c>
      <c r="F4748" t="s">
        <v>129</v>
      </c>
      <c r="G4748" t="s">
        <v>60</v>
      </c>
      <c r="H4748" t="s">
        <v>61</v>
      </c>
      <c r="I4748">
        <v>800</v>
      </c>
      <c r="J4748">
        <v>1040</v>
      </c>
      <c r="K4748">
        <v>3</v>
      </c>
      <c r="L4748">
        <v>2400</v>
      </c>
      <c r="M4748">
        <v>3120</v>
      </c>
      <c r="N4748" t="s">
        <v>56</v>
      </c>
      <c r="O4748">
        <f t="shared" si="148"/>
        <v>3315</v>
      </c>
      <c r="P4748" s="13">
        <f t="shared" si="149"/>
        <v>2751814</v>
      </c>
      <c r="Q4748" s="13">
        <f>SUMIFS(M:M,E:E,Online_eCommerce[[#This Row],[Status]])</f>
        <v>28340455</v>
      </c>
      <c r="R4748" s="13">
        <f>SUMIFS(L:L,H:H,Online_eCommerce[[#This Row],[Brand]])</f>
        <v>10950150</v>
      </c>
      <c r="S4748" s="13">
        <f>SUMIF(H:H,Online_eCommerce[[#This Row],[Brand]],M:M)</f>
        <v>14235195</v>
      </c>
      <c r="T4748" s="13">
        <f>SUMIF(N:N,Online_eCommerce[[#This Row],[Assigned Supervisor]],L:L)</f>
        <v>11733610</v>
      </c>
    </row>
    <row r="4749" spans="1:20" hidden="1" x14ac:dyDescent="0.3">
      <c r="A4749" t="s">
        <v>7004</v>
      </c>
      <c r="B4749" t="s">
        <v>232</v>
      </c>
      <c r="C4749" t="s">
        <v>24</v>
      </c>
      <c r="D4749" t="s">
        <v>6898</v>
      </c>
      <c r="E4749" t="s">
        <v>161</v>
      </c>
      <c r="F4749" t="s">
        <v>133</v>
      </c>
      <c r="G4749" t="s">
        <v>66</v>
      </c>
      <c r="H4749" t="s">
        <v>21</v>
      </c>
      <c r="I4749">
        <v>600</v>
      </c>
      <c r="J4749">
        <v>780</v>
      </c>
      <c r="K4749">
        <v>4</v>
      </c>
      <c r="L4749">
        <v>2400</v>
      </c>
      <c r="M4749">
        <v>3120</v>
      </c>
      <c r="N4749" t="s">
        <v>22</v>
      </c>
      <c r="O4749">
        <f t="shared" si="148"/>
        <v>1690</v>
      </c>
      <c r="P4749" s="13">
        <f t="shared" si="149"/>
        <v>2009540</v>
      </c>
      <c r="Q4749" s="13">
        <f>SUMIFS(M:M,E:E,Online_eCommerce[[#This Row],[Status]])</f>
        <v>21103186</v>
      </c>
      <c r="R4749" s="13">
        <f>SUMIFS(L:L,H:H,Online_eCommerce[[#This Row],[Brand]])</f>
        <v>12435650</v>
      </c>
      <c r="S4749" s="13">
        <f>SUMIF(H:H,Online_eCommerce[[#This Row],[Brand]],M:M)</f>
        <v>16166345</v>
      </c>
      <c r="T4749" s="13">
        <f>SUMIF(N:N,Online_eCommerce[[#This Row],[Assigned Supervisor]],L:L)</f>
        <v>13693220</v>
      </c>
    </row>
    <row r="4750" spans="1:20" x14ac:dyDescent="0.3">
      <c r="A4750" t="s">
        <v>7005</v>
      </c>
      <c r="B4750" t="s">
        <v>235</v>
      </c>
      <c r="C4750" t="s">
        <v>31</v>
      </c>
      <c r="D4750" t="s">
        <v>6898</v>
      </c>
      <c r="E4750" t="s">
        <v>46</v>
      </c>
      <c r="F4750" t="s">
        <v>137</v>
      </c>
      <c r="G4750" t="s">
        <v>71</v>
      </c>
      <c r="H4750" t="s">
        <v>61</v>
      </c>
      <c r="I4750">
        <v>10500</v>
      </c>
      <c r="J4750">
        <v>13650</v>
      </c>
      <c r="K4750">
        <v>1</v>
      </c>
      <c r="L4750">
        <v>10500</v>
      </c>
      <c r="M4750">
        <v>13650</v>
      </c>
      <c r="N4750" t="s">
        <v>28</v>
      </c>
      <c r="O4750">
        <f t="shared" si="148"/>
        <v>9750</v>
      </c>
      <c r="P4750" s="13">
        <f t="shared" si="149"/>
        <v>2865746</v>
      </c>
      <c r="Q4750" s="13">
        <f>SUMIFS(M:M,E:E,Online_eCommerce[[#This Row],[Status]])</f>
        <v>28620410</v>
      </c>
      <c r="R4750" s="13">
        <f>SUMIFS(L:L,H:H,Online_eCommerce[[#This Row],[Brand]])</f>
        <v>10950150</v>
      </c>
      <c r="S4750" s="13">
        <f>SUMIF(H:H,Online_eCommerce[[#This Row],[Brand]],M:M)</f>
        <v>14235195</v>
      </c>
      <c r="T4750" s="13">
        <f>SUMIF(N:N,Online_eCommerce[[#This Row],[Assigned Supervisor]],L:L)</f>
        <v>12220830</v>
      </c>
    </row>
    <row r="4751" spans="1:20" hidden="1" x14ac:dyDescent="0.3">
      <c r="A4751" t="s">
        <v>7006</v>
      </c>
      <c r="B4751" t="s">
        <v>104</v>
      </c>
      <c r="C4751" t="s">
        <v>38</v>
      </c>
      <c r="D4751" t="s">
        <v>6898</v>
      </c>
      <c r="E4751" t="s">
        <v>96</v>
      </c>
      <c r="F4751" t="s">
        <v>6977</v>
      </c>
      <c r="G4751" t="s">
        <v>77</v>
      </c>
      <c r="H4751" t="s">
        <v>142</v>
      </c>
      <c r="I4751">
        <v>6500</v>
      </c>
      <c r="J4751">
        <v>8450</v>
      </c>
      <c r="K4751">
        <v>2</v>
      </c>
      <c r="L4751">
        <v>13000</v>
      </c>
      <c r="M4751">
        <v>16900</v>
      </c>
      <c r="N4751" t="s">
        <v>35</v>
      </c>
      <c r="O4751">
        <f t="shared" si="148"/>
        <v>39000</v>
      </c>
      <c r="P4751" s="13">
        <f t="shared" si="149"/>
        <v>1933997</v>
      </c>
      <c r="Q4751" s="13">
        <f>SUMIFS(M:M,E:E,Online_eCommerce[[#This Row],[Status]])</f>
        <v>21233992</v>
      </c>
      <c r="R4751" s="13">
        <f>SUMIFS(L:L,H:H,Online_eCommerce[[#This Row],[Brand]])</f>
        <v>6192500</v>
      </c>
      <c r="S4751" s="13">
        <f>SUMIF(H:H,Online_eCommerce[[#This Row],[Brand]],M:M)</f>
        <v>8050250</v>
      </c>
      <c r="T4751" s="13">
        <f>SUMIF(N:N,Online_eCommerce[[#This Row],[Assigned Supervisor]],L:L)</f>
        <v>14373360</v>
      </c>
    </row>
    <row r="4752" spans="1:20" hidden="1" x14ac:dyDescent="0.3">
      <c r="A4752" t="s">
        <v>7007</v>
      </c>
      <c r="B4752" t="s">
        <v>109</v>
      </c>
      <c r="C4752" t="s">
        <v>45</v>
      </c>
      <c r="D4752" t="s">
        <v>6898</v>
      </c>
      <c r="E4752" t="s">
        <v>18</v>
      </c>
      <c r="F4752" t="s">
        <v>7008</v>
      </c>
      <c r="G4752" t="s">
        <v>20</v>
      </c>
      <c r="H4752" t="s">
        <v>21</v>
      </c>
      <c r="I4752">
        <v>4500</v>
      </c>
      <c r="J4752">
        <v>5850</v>
      </c>
      <c r="K4752">
        <v>3</v>
      </c>
      <c r="L4752">
        <v>13500</v>
      </c>
      <c r="M4752">
        <v>17550</v>
      </c>
      <c r="N4752" t="s">
        <v>42</v>
      </c>
      <c r="O4752">
        <f t="shared" si="148"/>
        <v>8450</v>
      </c>
      <c r="P4752" s="13">
        <f t="shared" si="149"/>
        <v>2842554</v>
      </c>
      <c r="Q4752" s="13">
        <f>SUMIFS(M:M,E:E,Online_eCommerce[[#This Row],[Status]])</f>
        <v>28340455</v>
      </c>
      <c r="R4752" s="13">
        <f>SUMIFS(L:L,H:H,Online_eCommerce[[#This Row],[Brand]])</f>
        <v>12435650</v>
      </c>
      <c r="S4752" s="13">
        <f>SUMIF(H:H,Online_eCommerce[[#This Row],[Brand]],M:M)</f>
        <v>16166345</v>
      </c>
      <c r="T4752" s="13">
        <f>SUMIF(N:N,Online_eCommerce[[#This Row],[Assigned Supervisor]],L:L)</f>
        <v>12261500</v>
      </c>
    </row>
    <row r="4753" spans="1:20" hidden="1" x14ac:dyDescent="0.3">
      <c r="A4753" t="s">
        <v>7009</v>
      </c>
      <c r="B4753" t="s">
        <v>114</v>
      </c>
      <c r="C4753" t="s">
        <v>52</v>
      </c>
      <c r="D4753" t="s">
        <v>6898</v>
      </c>
      <c r="E4753" t="s">
        <v>161</v>
      </c>
      <c r="F4753" t="s">
        <v>152</v>
      </c>
      <c r="G4753" t="s">
        <v>26</v>
      </c>
      <c r="H4753" t="s">
        <v>27</v>
      </c>
      <c r="I4753">
        <v>8500</v>
      </c>
      <c r="J4753">
        <v>11050</v>
      </c>
      <c r="K4753">
        <v>1</v>
      </c>
      <c r="L4753">
        <v>8500</v>
      </c>
      <c r="M4753">
        <v>11050</v>
      </c>
      <c r="N4753" t="s">
        <v>50</v>
      </c>
      <c r="O4753">
        <f t="shared" si="148"/>
        <v>33150</v>
      </c>
      <c r="P4753" s="13">
        <f t="shared" si="149"/>
        <v>1955044</v>
      </c>
      <c r="Q4753" s="13">
        <f>SUMIFS(M:M,E:E,Online_eCommerce[[#This Row],[Status]])</f>
        <v>21103186</v>
      </c>
      <c r="R4753" s="13">
        <f>SUMIFS(L:L,H:H,Online_eCommerce[[#This Row],[Brand]])</f>
        <v>14431000</v>
      </c>
      <c r="S4753" s="13">
        <f>SUMIF(H:H,Online_eCommerce[[#This Row],[Brand]],M:M)</f>
        <v>18760300</v>
      </c>
      <c r="T4753" s="13">
        <f>SUMIF(N:N,Online_eCommerce[[#This Row],[Assigned Supervisor]],L:L)</f>
        <v>12100590</v>
      </c>
    </row>
    <row r="4754" spans="1:20" x14ac:dyDescent="0.3">
      <c r="A4754" t="s">
        <v>7010</v>
      </c>
      <c r="B4754" t="s">
        <v>119</v>
      </c>
      <c r="C4754" t="s">
        <v>58</v>
      </c>
      <c r="D4754" t="s">
        <v>6898</v>
      </c>
      <c r="E4754" t="s">
        <v>46</v>
      </c>
      <c r="F4754" t="s">
        <v>157</v>
      </c>
      <c r="G4754" t="s">
        <v>33</v>
      </c>
      <c r="H4754" t="s">
        <v>34</v>
      </c>
      <c r="I4754">
        <v>12500</v>
      </c>
      <c r="J4754">
        <v>16250</v>
      </c>
      <c r="K4754">
        <v>2</v>
      </c>
      <c r="L4754">
        <v>25000</v>
      </c>
      <c r="M4754">
        <v>32500</v>
      </c>
      <c r="N4754" t="s">
        <v>56</v>
      </c>
      <c r="O4754">
        <f t="shared" si="148"/>
        <v>18200</v>
      </c>
      <c r="P4754" s="13">
        <f t="shared" si="149"/>
        <v>2629211</v>
      </c>
      <c r="Q4754" s="13">
        <f>SUMIFS(M:M,E:E,Online_eCommerce[[#This Row],[Status]])</f>
        <v>28620410</v>
      </c>
      <c r="R4754" s="13">
        <f>SUMIFS(L:L,H:H,Online_eCommerce[[#This Row],[Brand]])</f>
        <v>10087000</v>
      </c>
      <c r="S4754" s="13">
        <f>SUMIF(H:H,Online_eCommerce[[#This Row],[Brand]],M:M)</f>
        <v>13113100</v>
      </c>
      <c r="T4754" s="13">
        <f>SUMIF(N:N,Online_eCommerce[[#This Row],[Assigned Supervisor]],L:L)</f>
        <v>11733610</v>
      </c>
    </row>
    <row r="4755" spans="1:20" hidden="1" x14ac:dyDescent="0.3">
      <c r="A4755" t="s">
        <v>7011</v>
      </c>
      <c r="B4755" t="s">
        <v>124</v>
      </c>
      <c r="C4755" t="s">
        <v>63</v>
      </c>
      <c r="D4755" t="s">
        <v>6898</v>
      </c>
      <c r="E4755" t="s">
        <v>96</v>
      </c>
      <c r="F4755" t="s">
        <v>6584</v>
      </c>
      <c r="G4755" t="s">
        <v>256</v>
      </c>
      <c r="H4755" t="s">
        <v>41</v>
      </c>
      <c r="I4755">
        <v>3500</v>
      </c>
      <c r="J4755">
        <v>4550</v>
      </c>
      <c r="K4755">
        <v>1</v>
      </c>
      <c r="L4755">
        <v>3500</v>
      </c>
      <c r="M4755">
        <v>4550</v>
      </c>
      <c r="N4755" t="s">
        <v>22</v>
      </c>
      <c r="O4755">
        <f t="shared" si="148"/>
        <v>9100</v>
      </c>
      <c r="P4755" s="13">
        <f t="shared" si="149"/>
        <v>2016131</v>
      </c>
      <c r="Q4755" s="13">
        <f>SUMIFS(M:M,E:E,Online_eCommerce[[#This Row],[Status]])</f>
        <v>21233992</v>
      </c>
      <c r="R4755" s="13">
        <f>SUMIFS(L:L,H:H,Online_eCommerce[[#This Row],[Brand]])</f>
        <v>4260400</v>
      </c>
      <c r="S4755" s="13">
        <f>SUMIF(H:H,Online_eCommerce[[#This Row],[Brand]],M:M)</f>
        <v>5538520</v>
      </c>
      <c r="T4755" s="13">
        <f>SUMIF(N:N,Online_eCommerce[[#This Row],[Assigned Supervisor]],L:L)</f>
        <v>13693220</v>
      </c>
    </row>
    <row r="4756" spans="1:20" hidden="1" x14ac:dyDescent="0.3">
      <c r="A4756" t="s">
        <v>7012</v>
      </c>
      <c r="B4756" t="s">
        <v>128</v>
      </c>
      <c r="C4756" t="s">
        <v>68</v>
      </c>
      <c r="D4756" t="s">
        <v>6898</v>
      </c>
      <c r="E4756" t="s">
        <v>18</v>
      </c>
      <c r="F4756" t="s">
        <v>166</v>
      </c>
      <c r="G4756" t="s">
        <v>259</v>
      </c>
      <c r="H4756" t="s">
        <v>49</v>
      </c>
      <c r="I4756">
        <v>4500</v>
      </c>
      <c r="J4756">
        <v>5850</v>
      </c>
      <c r="K4756">
        <v>4</v>
      </c>
      <c r="L4756">
        <v>18000</v>
      </c>
      <c r="M4756">
        <v>23400</v>
      </c>
      <c r="N4756" t="s">
        <v>28</v>
      </c>
      <c r="O4756">
        <f t="shared" si="148"/>
        <v>11700</v>
      </c>
      <c r="P4756" s="13">
        <f t="shared" si="149"/>
        <v>2974621</v>
      </c>
      <c r="Q4756" s="13">
        <f>SUMIFS(M:M,E:E,Online_eCommerce[[#This Row],[Status]])</f>
        <v>28340455</v>
      </c>
      <c r="R4756" s="13">
        <f>SUMIFS(L:L,H:H,Online_eCommerce[[#This Row],[Brand]])</f>
        <v>4528350</v>
      </c>
      <c r="S4756" s="13">
        <f>SUMIF(H:H,Online_eCommerce[[#This Row],[Brand]],M:M)</f>
        <v>5886855</v>
      </c>
      <c r="T4756" s="13">
        <f>SUMIF(N:N,Online_eCommerce[[#This Row],[Assigned Supervisor]],L:L)</f>
        <v>12220830</v>
      </c>
    </row>
    <row r="4757" spans="1:20" hidden="1" x14ac:dyDescent="0.3">
      <c r="A4757" t="s">
        <v>7013</v>
      </c>
      <c r="B4757" t="s">
        <v>131</v>
      </c>
      <c r="C4757" t="s">
        <v>74</v>
      </c>
      <c r="D4757" t="s">
        <v>6898</v>
      </c>
      <c r="E4757" t="s">
        <v>161</v>
      </c>
      <c r="F4757" t="s">
        <v>7014</v>
      </c>
      <c r="G4757" t="s">
        <v>54</v>
      </c>
      <c r="H4757" t="s">
        <v>55</v>
      </c>
      <c r="I4757">
        <v>2100</v>
      </c>
      <c r="J4757">
        <v>2730</v>
      </c>
      <c r="K4757">
        <v>4</v>
      </c>
      <c r="L4757">
        <v>8400</v>
      </c>
      <c r="M4757">
        <v>10920</v>
      </c>
      <c r="N4757" t="s">
        <v>35</v>
      </c>
      <c r="O4757">
        <f t="shared" si="148"/>
        <v>2990</v>
      </c>
      <c r="P4757" s="13">
        <f t="shared" si="149"/>
        <v>2144701</v>
      </c>
      <c r="Q4757" s="13">
        <f>SUMIFS(M:M,E:E,Online_eCommerce[[#This Row],[Status]])</f>
        <v>21103186</v>
      </c>
      <c r="R4757" s="13">
        <f>SUMIFS(L:L,H:H,Online_eCommerce[[#This Row],[Brand]])</f>
        <v>2267380</v>
      </c>
      <c r="S4757" s="13">
        <f>SUMIF(H:H,Online_eCommerce[[#This Row],[Brand]],M:M)</f>
        <v>2947594</v>
      </c>
      <c r="T4757" s="13">
        <f>SUMIF(N:N,Online_eCommerce[[#This Row],[Assigned Supervisor]],L:L)</f>
        <v>14373360</v>
      </c>
    </row>
    <row r="4758" spans="1:20" x14ac:dyDescent="0.3">
      <c r="A4758" t="s">
        <v>7015</v>
      </c>
      <c r="B4758" t="s">
        <v>135</v>
      </c>
      <c r="C4758" t="s">
        <v>81</v>
      </c>
      <c r="D4758" t="s">
        <v>7016</v>
      </c>
      <c r="E4758" t="s">
        <v>46</v>
      </c>
      <c r="F4758" t="s">
        <v>174</v>
      </c>
      <c r="G4758" t="s">
        <v>60</v>
      </c>
      <c r="H4758" t="s">
        <v>61</v>
      </c>
      <c r="I4758">
        <v>1150</v>
      </c>
      <c r="J4758">
        <v>1495</v>
      </c>
      <c r="K4758">
        <v>4</v>
      </c>
      <c r="L4758">
        <v>4600</v>
      </c>
      <c r="M4758">
        <v>5980</v>
      </c>
      <c r="N4758" t="s">
        <v>42</v>
      </c>
      <c r="O4758">
        <f t="shared" si="148"/>
        <v>3315</v>
      </c>
      <c r="P4758" s="13">
        <f t="shared" si="149"/>
        <v>2595632</v>
      </c>
      <c r="Q4758" s="13">
        <f>SUMIFS(M:M,E:E,Online_eCommerce[[#This Row],[Status]])</f>
        <v>28620410</v>
      </c>
      <c r="R4758" s="13">
        <f>SUMIFS(L:L,H:H,Online_eCommerce[[#This Row],[Brand]])</f>
        <v>10950150</v>
      </c>
      <c r="S4758" s="13">
        <f>SUMIF(H:H,Online_eCommerce[[#This Row],[Brand]],M:M)</f>
        <v>14235195</v>
      </c>
      <c r="T4758" s="13">
        <f>SUMIF(N:N,Online_eCommerce[[#This Row],[Assigned Supervisor]],L:L)</f>
        <v>12261500</v>
      </c>
    </row>
    <row r="4759" spans="1:20" hidden="1" x14ac:dyDescent="0.3">
      <c r="A4759" t="s">
        <v>7017</v>
      </c>
      <c r="B4759" t="s">
        <v>139</v>
      </c>
      <c r="C4759" t="s">
        <v>86</v>
      </c>
      <c r="D4759" t="s">
        <v>7018</v>
      </c>
      <c r="E4759" t="s">
        <v>96</v>
      </c>
      <c r="F4759" t="s">
        <v>179</v>
      </c>
      <c r="G4759" t="s">
        <v>66</v>
      </c>
      <c r="H4759" t="s">
        <v>21</v>
      </c>
      <c r="I4759">
        <v>350</v>
      </c>
      <c r="J4759">
        <v>455</v>
      </c>
      <c r="K4759">
        <v>4</v>
      </c>
      <c r="L4759">
        <v>1400</v>
      </c>
      <c r="M4759">
        <v>1820</v>
      </c>
      <c r="N4759" t="s">
        <v>50</v>
      </c>
      <c r="O4759">
        <f t="shared" si="148"/>
        <v>1690</v>
      </c>
      <c r="P4759" s="13">
        <f t="shared" si="149"/>
        <v>1941225</v>
      </c>
      <c r="Q4759" s="13">
        <f>SUMIFS(M:M,E:E,Online_eCommerce[[#This Row],[Status]])</f>
        <v>21233992</v>
      </c>
      <c r="R4759" s="13">
        <f>SUMIFS(L:L,H:H,Online_eCommerce[[#This Row],[Brand]])</f>
        <v>12435650</v>
      </c>
      <c r="S4759" s="13">
        <f>SUMIF(H:H,Online_eCommerce[[#This Row],[Brand]],M:M)</f>
        <v>16166345</v>
      </c>
      <c r="T4759" s="13">
        <f>SUMIF(N:N,Online_eCommerce[[#This Row],[Assigned Supervisor]],L:L)</f>
        <v>12100590</v>
      </c>
    </row>
    <row r="4760" spans="1:20" hidden="1" x14ac:dyDescent="0.3">
      <c r="A4760" t="s">
        <v>7019</v>
      </c>
      <c r="B4760" t="s">
        <v>144</v>
      </c>
      <c r="C4760" t="s">
        <v>91</v>
      </c>
      <c r="D4760" t="s">
        <v>7020</v>
      </c>
      <c r="E4760" t="s">
        <v>18</v>
      </c>
      <c r="F4760" t="s">
        <v>183</v>
      </c>
      <c r="G4760" t="s">
        <v>71</v>
      </c>
      <c r="H4760" t="s">
        <v>61</v>
      </c>
      <c r="I4760">
        <v>9500</v>
      </c>
      <c r="J4760">
        <v>12350</v>
      </c>
      <c r="K4760">
        <v>4</v>
      </c>
      <c r="L4760">
        <v>38000</v>
      </c>
      <c r="M4760">
        <v>49400</v>
      </c>
      <c r="N4760" t="s">
        <v>56</v>
      </c>
      <c r="O4760">
        <f t="shared" si="148"/>
        <v>9750</v>
      </c>
      <c r="P4760" s="13">
        <f t="shared" si="149"/>
        <v>2731963</v>
      </c>
      <c r="Q4760" s="13">
        <f>SUMIFS(M:M,E:E,Online_eCommerce[[#This Row],[Status]])</f>
        <v>28340455</v>
      </c>
      <c r="R4760" s="13">
        <f>SUMIFS(L:L,H:H,Online_eCommerce[[#This Row],[Brand]])</f>
        <v>10950150</v>
      </c>
      <c r="S4760" s="13">
        <f>SUMIF(H:H,Online_eCommerce[[#This Row],[Brand]],M:M)</f>
        <v>14235195</v>
      </c>
      <c r="T4760" s="13">
        <f>SUMIF(N:N,Online_eCommerce[[#This Row],[Assigned Supervisor]],L:L)</f>
        <v>11733610</v>
      </c>
    </row>
    <row r="4761" spans="1:20" hidden="1" x14ac:dyDescent="0.3">
      <c r="A4761" t="s">
        <v>7021</v>
      </c>
      <c r="B4761" t="s">
        <v>149</v>
      </c>
      <c r="C4761" t="s">
        <v>94</v>
      </c>
      <c r="D4761" t="s">
        <v>7020</v>
      </c>
      <c r="E4761" t="s">
        <v>161</v>
      </c>
      <c r="F4761" t="s">
        <v>7022</v>
      </c>
      <c r="G4761" t="s">
        <v>77</v>
      </c>
      <c r="H4761" t="s">
        <v>142</v>
      </c>
      <c r="I4761">
        <v>10000</v>
      </c>
      <c r="J4761">
        <v>13000</v>
      </c>
      <c r="K4761">
        <v>4</v>
      </c>
      <c r="L4761">
        <v>40000</v>
      </c>
      <c r="M4761">
        <v>52000</v>
      </c>
      <c r="N4761" t="s">
        <v>22</v>
      </c>
      <c r="O4761">
        <f t="shared" si="148"/>
        <v>39000</v>
      </c>
      <c r="P4761" s="13">
        <f t="shared" si="149"/>
        <v>1868256</v>
      </c>
      <c r="Q4761" s="13">
        <f>SUMIFS(M:M,E:E,Online_eCommerce[[#This Row],[Status]])</f>
        <v>21103186</v>
      </c>
      <c r="R4761" s="13">
        <f>SUMIFS(L:L,H:H,Online_eCommerce[[#This Row],[Brand]])</f>
        <v>6192500</v>
      </c>
      <c r="S4761" s="13">
        <f>SUMIF(H:H,Online_eCommerce[[#This Row],[Brand]],M:M)</f>
        <v>8050250</v>
      </c>
      <c r="T4761" s="13">
        <f>SUMIF(N:N,Online_eCommerce[[#This Row],[Assigned Supervisor]],L:L)</f>
        <v>13693220</v>
      </c>
    </row>
    <row r="4762" spans="1:20" x14ac:dyDescent="0.3">
      <c r="A4762" t="s">
        <v>7023</v>
      </c>
      <c r="B4762" t="s">
        <v>154</v>
      </c>
      <c r="C4762" t="s">
        <v>99</v>
      </c>
      <c r="D4762" t="s">
        <v>7020</v>
      </c>
      <c r="E4762" t="s">
        <v>46</v>
      </c>
      <c r="F4762" t="s">
        <v>7024</v>
      </c>
      <c r="G4762" t="s">
        <v>20</v>
      </c>
      <c r="H4762" t="s">
        <v>21</v>
      </c>
      <c r="I4762">
        <v>6500</v>
      </c>
      <c r="J4762">
        <v>8450</v>
      </c>
      <c r="K4762">
        <v>2</v>
      </c>
      <c r="L4762">
        <v>13000</v>
      </c>
      <c r="M4762">
        <v>16900</v>
      </c>
      <c r="N4762" t="s">
        <v>28</v>
      </c>
      <c r="O4762">
        <f t="shared" si="148"/>
        <v>8450</v>
      </c>
      <c r="P4762" s="13">
        <f t="shared" si="149"/>
        <v>2651233</v>
      </c>
      <c r="Q4762" s="13">
        <f>SUMIFS(M:M,E:E,Online_eCommerce[[#This Row],[Status]])</f>
        <v>28620410</v>
      </c>
      <c r="R4762" s="13">
        <f>SUMIFS(L:L,H:H,Online_eCommerce[[#This Row],[Brand]])</f>
        <v>12435650</v>
      </c>
      <c r="S4762" s="13">
        <f>SUMIF(H:H,Online_eCommerce[[#This Row],[Brand]],M:M)</f>
        <v>16166345</v>
      </c>
      <c r="T4762" s="13">
        <f>SUMIF(N:N,Online_eCommerce[[#This Row],[Assigned Supervisor]],L:L)</f>
        <v>12220830</v>
      </c>
    </row>
    <row r="4763" spans="1:20" hidden="1" x14ac:dyDescent="0.3">
      <c r="A4763" t="s">
        <v>7025</v>
      </c>
      <c r="B4763" t="s">
        <v>159</v>
      </c>
      <c r="C4763" t="s">
        <v>105</v>
      </c>
      <c r="D4763" t="s">
        <v>7020</v>
      </c>
      <c r="E4763" t="s">
        <v>96</v>
      </c>
      <c r="F4763" t="s">
        <v>7026</v>
      </c>
      <c r="G4763" t="s">
        <v>26</v>
      </c>
      <c r="H4763" t="s">
        <v>27</v>
      </c>
      <c r="I4763">
        <v>8500</v>
      </c>
      <c r="J4763">
        <v>11050</v>
      </c>
      <c r="K4763">
        <v>1</v>
      </c>
      <c r="L4763">
        <v>8500</v>
      </c>
      <c r="M4763">
        <v>11050</v>
      </c>
      <c r="N4763" t="s">
        <v>35</v>
      </c>
      <c r="O4763">
        <f t="shared" si="148"/>
        <v>33150</v>
      </c>
      <c r="P4763" s="13">
        <f t="shared" si="149"/>
        <v>1866852</v>
      </c>
      <c r="Q4763" s="13">
        <f>SUMIFS(M:M,E:E,Online_eCommerce[[#This Row],[Status]])</f>
        <v>21233992</v>
      </c>
      <c r="R4763" s="13">
        <f>SUMIFS(L:L,H:H,Online_eCommerce[[#This Row],[Brand]])</f>
        <v>14431000</v>
      </c>
      <c r="S4763" s="13">
        <f>SUMIF(H:H,Online_eCommerce[[#This Row],[Brand]],M:M)</f>
        <v>18760300</v>
      </c>
      <c r="T4763" s="13">
        <f>SUMIF(N:N,Online_eCommerce[[#This Row],[Assigned Supervisor]],L:L)</f>
        <v>14373360</v>
      </c>
    </row>
    <row r="4764" spans="1:20" hidden="1" x14ac:dyDescent="0.3">
      <c r="A4764" t="s">
        <v>7027</v>
      </c>
      <c r="B4764" t="s">
        <v>139</v>
      </c>
      <c r="C4764" t="s">
        <v>110</v>
      </c>
      <c r="D4764" t="s">
        <v>7020</v>
      </c>
      <c r="E4764" t="s">
        <v>18</v>
      </c>
      <c r="F4764" t="s">
        <v>32</v>
      </c>
      <c r="G4764" t="s">
        <v>33</v>
      </c>
      <c r="H4764" t="s">
        <v>34</v>
      </c>
      <c r="I4764">
        <v>7000</v>
      </c>
      <c r="J4764">
        <v>9100</v>
      </c>
      <c r="K4764">
        <v>2</v>
      </c>
      <c r="L4764">
        <v>14000</v>
      </c>
      <c r="M4764">
        <v>18200</v>
      </c>
      <c r="N4764" t="s">
        <v>42</v>
      </c>
      <c r="O4764">
        <f t="shared" si="148"/>
        <v>18200</v>
      </c>
      <c r="P4764" s="13">
        <f t="shared" si="149"/>
        <v>2598635</v>
      </c>
      <c r="Q4764" s="13">
        <f>SUMIFS(M:M,E:E,Online_eCommerce[[#This Row],[Status]])</f>
        <v>28340455</v>
      </c>
      <c r="R4764" s="13">
        <f>SUMIFS(L:L,H:H,Online_eCommerce[[#This Row],[Brand]])</f>
        <v>10087000</v>
      </c>
      <c r="S4764" s="13">
        <f>SUMIF(H:H,Online_eCommerce[[#This Row],[Brand]],M:M)</f>
        <v>13113100</v>
      </c>
      <c r="T4764" s="13">
        <f>SUMIF(N:N,Online_eCommerce[[#This Row],[Assigned Supervisor]],L:L)</f>
        <v>12261500</v>
      </c>
    </row>
    <row r="4765" spans="1:20" hidden="1" x14ac:dyDescent="0.3">
      <c r="A4765" t="s">
        <v>7028</v>
      </c>
      <c r="B4765" t="s">
        <v>144</v>
      </c>
      <c r="C4765" t="s">
        <v>115</v>
      </c>
      <c r="D4765" t="s">
        <v>7020</v>
      </c>
      <c r="E4765" t="s">
        <v>161</v>
      </c>
      <c r="F4765" t="s">
        <v>7029</v>
      </c>
      <c r="G4765" t="s">
        <v>256</v>
      </c>
      <c r="H4765" t="s">
        <v>41</v>
      </c>
      <c r="I4765">
        <v>6550</v>
      </c>
      <c r="J4765">
        <v>8515</v>
      </c>
      <c r="K4765">
        <v>1</v>
      </c>
      <c r="L4765">
        <v>6550</v>
      </c>
      <c r="M4765">
        <v>8515</v>
      </c>
      <c r="N4765" t="s">
        <v>50</v>
      </c>
      <c r="O4765">
        <f t="shared" si="148"/>
        <v>9100</v>
      </c>
      <c r="P4765" s="13">
        <f t="shared" si="149"/>
        <v>2050178</v>
      </c>
      <c r="Q4765" s="13">
        <f>SUMIFS(M:M,E:E,Online_eCommerce[[#This Row],[Status]])</f>
        <v>21103186</v>
      </c>
      <c r="R4765" s="13">
        <f>SUMIFS(L:L,H:H,Online_eCommerce[[#This Row],[Brand]])</f>
        <v>4260400</v>
      </c>
      <c r="S4765" s="13">
        <f>SUMIF(H:H,Online_eCommerce[[#This Row],[Brand]],M:M)</f>
        <v>5538520</v>
      </c>
      <c r="T4765" s="13">
        <f>SUMIF(N:N,Online_eCommerce[[#This Row],[Assigned Supervisor]],L:L)</f>
        <v>12100590</v>
      </c>
    </row>
    <row r="4766" spans="1:20" x14ac:dyDescent="0.3">
      <c r="A4766" t="s">
        <v>7030</v>
      </c>
      <c r="B4766" t="s">
        <v>235</v>
      </c>
      <c r="C4766" t="s">
        <v>120</v>
      </c>
      <c r="D4766" t="s">
        <v>7020</v>
      </c>
      <c r="E4766" t="s">
        <v>46</v>
      </c>
      <c r="F4766" t="s">
        <v>47</v>
      </c>
      <c r="G4766" t="s">
        <v>259</v>
      </c>
      <c r="H4766" t="s">
        <v>49</v>
      </c>
      <c r="I4766">
        <v>7650</v>
      </c>
      <c r="J4766">
        <v>9945</v>
      </c>
      <c r="K4766">
        <v>1</v>
      </c>
      <c r="L4766">
        <v>7650</v>
      </c>
      <c r="M4766">
        <v>9945</v>
      </c>
      <c r="N4766" t="s">
        <v>56</v>
      </c>
      <c r="O4766">
        <f t="shared" si="148"/>
        <v>11700</v>
      </c>
      <c r="P4766" s="13">
        <f t="shared" si="149"/>
        <v>2734212</v>
      </c>
      <c r="Q4766" s="13">
        <f>SUMIFS(M:M,E:E,Online_eCommerce[[#This Row],[Status]])</f>
        <v>28620410</v>
      </c>
      <c r="R4766" s="13">
        <f>SUMIFS(L:L,H:H,Online_eCommerce[[#This Row],[Brand]])</f>
        <v>4528350</v>
      </c>
      <c r="S4766" s="13">
        <f>SUMIF(H:H,Online_eCommerce[[#This Row],[Brand]],M:M)</f>
        <v>5886855</v>
      </c>
      <c r="T4766" s="13">
        <f>SUMIF(N:N,Online_eCommerce[[#This Row],[Assigned Supervisor]],L:L)</f>
        <v>11733610</v>
      </c>
    </row>
    <row r="4767" spans="1:20" hidden="1" x14ac:dyDescent="0.3">
      <c r="A4767" t="s">
        <v>7031</v>
      </c>
      <c r="B4767" t="s">
        <v>176</v>
      </c>
      <c r="C4767" t="s">
        <v>125</v>
      </c>
      <c r="D4767" t="s">
        <v>7020</v>
      </c>
      <c r="E4767" t="s">
        <v>96</v>
      </c>
      <c r="F4767" t="s">
        <v>53</v>
      </c>
      <c r="G4767" t="s">
        <v>54</v>
      </c>
      <c r="H4767" t="s">
        <v>55</v>
      </c>
      <c r="I4767">
        <v>1150</v>
      </c>
      <c r="J4767">
        <v>1495</v>
      </c>
      <c r="K4767">
        <v>1</v>
      </c>
      <c r="L4767">
        <v>1150</v>
      </c>
      <c r="M4767">
        <v>1495</v>
      </c>
      <c r="N4767" t="s">
        <v>22</v>
      </c>
      <c r="O4767">
        <f t="shared" si="148"/>
        <v>2990</v>
      </c>
      <c r="P4767" s="13">
        <f t="shared" si="149"/>
        <v>2091154</v>
      </c>
      <c r="Q4767" s="13">
        <f>SUMIFS(M:M,E:E,Online_eCommerce[[#This Row],[Status]])</f>
        <v>21233992</v>
      </c>
      <c r="R4767" s="13">
        <f>SUMIFS(L:L,H:H,Online_eCommerce[[#This Row],[Brand]])</f>
        <v>2267380</v>
      </c>
      <c r="S4767" s="13">
        <f>SUMIF(H:H,Online_eCommerce[[#This Row],[Brand]],M:M)</f>
        <v>2947594</v>
      </c>
      <c r="T4767" s="13">
        <f>SUMIF(N:N,Online_eCommerce[[#This Row],[Assigned Supervisor]],L:L)</f>
        <v>13693220</v>
      </c>
    </row>
    <row r="4768" spans="1:20" hidden="1" x14ac:dyDescent="0.3">
      <c r="A4768" t="s">
        <v>7032</v>
      </c>
      <c r="B4768" t="s">
        <v>276</v>
      </c>
      <c r="C4768" t="s">
        <v>22</v>
      </c>
      <c r="D4768" t="s">
        <v>7020</v>
      </c>
      <c r="E4768" t="s">
        <v>18</v>
      </c>
      <c r="F4768" t="s">
        <v>59</v>
      </c>
      <c r="G4768" t="s">
        <v>60</v>
      </c>
      <c r="H4768" t="s">
        <v>61</v>
      </c>
      <c r="I4768">
        <v>850</v>
      </c>
      <c r="J4768">
        <v>1105</v>
      </c>
      <c r="K4768">
        <v>4</v>
      </c>
      <c r="L4768">
        <v>3400</v>
      </c>
      <c r="M4768">
        <v>4420</v>
      </c>
      <c r="N4768" t="s">
        <v>28</v>
      </c>
      <c r="O4768">
        <f t="shared" si="148"/>
        <v>3315</v>
      </c>
      <c r="P4768" s="13">
        <f t="shared" si="149"/>
        <v>2551588</v>
      </c>
      <c r="Q4768" s="13">
        <f>SUMIFS(M:M,E:E,Online_eCommerce[[#This Row],[Status]])</f>
        <v>28340455</v>
      </c>
      <c r="R4768" s="13">
        <f>SUMIFS(L:L,H:H,Online_eCommerce[[#This Row],[Brand]])</f>
        <v>10950150</v>
      </c>
      <c r="S4768" s="13">
        <f>SUMIF(H:H,Online_eCommerce[[#This Row],[Brand]],M:M)</f>
        <v>14235195</v>
      </c>
      <c r="T4768" s="13">
        <f>SUMIF(N:N,Online_eCommerce[[#This Row],[Assigned Supervisor]],L:L)</f>
        <v>12220830</v>
      </c>
    </row>
    <row r="4769" spans="1:20" hidden="1" x14ac:dyDescent="0.3">
      <c r="A4769" t="s">
        <v>7033</v>
      </c>
      <c r="B4769" t="s">
        <v>280</v>
      </c>
      <c r="C4769" t="s">
        <v>132</v>
      </c>
      <c r="D4769" t="s">
        <v>7020</v>
      </c>
      <c r="E4769" t="s">
        <v>161</v>
      </c>
      <c r="F4769" t="s">
        <v>65</v>
      </c>
      <c r="G4769" t="s">
        <v>66</v>
      </c>
      <c r="H4769" t="s">
        <v>21</v>
      </c>
      <c r="I4769">
        <v>650</v>
      </c>
      <c r="J4769">
        <v>845</v>
      </c>
      <c r="K4769">
        <v>4</v>
      </c>
      <c r="L4769">
        <v>2600</v>
      </c>
      <c r="M4769">
        <v>3380</v>
      </c>
      <c r="N4769" t="s">
        <v>35</v>
      </c>
      <c r="O4769">
        <f t="shared" si="148"/>
        <v>1690</v>
      </c>
      <c r="P4769" s="13">
        <f t="shared" si="149"/>
        <v>1989065</v>
      </c>
      <c r="Q4769" s="13">
        <f>SUMIFS(M:M,E:E,Online_eCommerce[[#This Row],[Status]])</f>
        <v>21103186</v>
      </c>
      <c r="R4769" s="13">
        <f>SUMIFS(L:L,H:H,Online_eCommerce[[#This Row],[Brand]])</f>
        <v>12435650</v>
      </c>
      <c r="S4769" s="13">
        <f>SUMIF(H:H,Online_eCommerce[[#This Row],[Brand]],M:M)</f>
        <v>16166345</v>
      </c>
      <c r="T4769" s="13">
        <f>SUMIF(N:N,Online_eCommerce[[#This Row],[Assigned Supervisor]],L:L)</f>
        <v>14373360</v>
      </c>
    </row>
    <row r="4770" spans="1:20" x14ac:dyDescent="0.3">
      <c r="A4770" t="s">
        <v>7034</v>
      </c>
      <c r="B4770" t="s">
        <v>283</v>
      </c>
      <c r="C4770" t="s">
        <v>136</v>
      </c>
      <c r="D4770" t="s">
        <v>7020</v>
      </c>
      <c r="E4770" t="s">
        <v>46</v>
      </c>
      <c r="F4770" t="s">
        <v>70</v>
      </c>
      <c r="G4770" t="s">
        <v>71</v>
      </c>
      <c r="H4770" t="s">
        <v>61</v>
      </c>
      <c r="I4770">
        <v>7500</v>
      </c>
      <c r="J4770">
        <v>9750</v>
      </c>
      <c r="K4770">
        <v>3</v>
      </c>
      <c r="L4770">
        <v>22500</v>
      </c>
      <c r="M4770">
        <v>29250</v>
      </c>
      <c r="N4770" t="s">
        <v>42</v>
      </c>
      <c r="O4770">
        <f t="shared" si="148"/>
        <v>9750</v>
      </c>
      <c r="P4770" s="13">
        <f t="shared" si="149"/>
        <v>2775162</v>
      </c>
      <c r="Q4770" s="13">
        <f>SUMIFS(M:M,E:E,Online_eCommerce[[#This Row],[Status]])</f>
        <v>28620410</v>
      </c>
      <c r="R4770" s="13">
        <f>SUMIFS(L:L,H:H,Online_eCommerce[[#This Row],[Brand]])</f>
        <v>10950150</v>
      </c>
      <c r="S4770" s="13">
        <f>SUMIF(H:H,Online_eCommerce[[#This Row],[Brand]],M:M)</f>
        <v>14235195</v>
      </c>
      <c r="T4770" s="13">
        <f>SUMIF(N:N,Online_eCommerce[[#This Row],[Assigned Supervisor]],L:L)</f>
        <v>12261500</v>
      </c>
    </row>
    <row r="4771" spans="1:20" hidden="1" x14ac:dyDescent="0.3">
      <c r="A4771" t="s">
        <v>7035</v>
      </c>
      <c r="B4771" t="s">
        <v>287</v>
      </c>
      <c r="C4771" t="s">
        <v>140</v>
      </c>
      <c r="D4771" t="s">
        <v>7020</v>
      </c>
      <c r="E4771" t="s">
        <v>96</v>
      </c>
      <c r="F4771" t="s">
        <v>7022</v>
      </c>
      <c r="G4771" t="s">
        <v>77</v>
      </c>
      <c r="H4771" t="s">
        <v>78</v>
      </c>
      <c r="I4771">
        <v>10000</v>
      </c>
      <c r="J4771">
        <v>13000</v>
      </c>
      <c r="K4771">
        <v>4</v>
      </c>
      <c r="L4771">
        <v>40000</v>
      </c>
      <c r="M4771">
        <v>52000</v>
      </c>
      <c r="N4771" t="s">
        <v>50</v>
      </c>
      <c r="O4771">
        <f t="shared" si="148"/>
        <v>39000</v>
      </c>
      <c r="P4771" s="13">
        <f t="shared" si="149"/>
        <v>2058264</v>
      </c>
      <c r="Q4771" s="13">
        <f>SUMIFS(M:M,E:E,Online_eCommerce[[#This Row],[Status]])</f>
        <v>21233992</v>
      </c>
      <c r="R4771" s="13">
        <f>SUMIFS(L:L,H:H,Online_eCommerce[[#This Row],[Brand]])</f>
        <v>3720000</v>
      </c>
      <c r="S4771" s="13">
        <f>SUMIF(H:H,Online_eCommerce[[#This Row],[Brand]],M:M)</f>
        <v>4836000</v>
      </c>
      <c r="T4771" s="13">
        <f>SUMIF(N:N,Online_eCommerce[[#This Row],[Assigned Supervisor]],L:L)</f>
        <v>12100590</v>
      </c>
    </row>
    <row r="4772" spans="1:20" hidden="1" x14ac:dyDescent="0.3">
      <c r="A4772" t="s">
        <v>7036</v>
      </c>
      <c r="B4772" t="s">
        <v>290</v>
      </c>
      <c r="C4772" t="s">
        <v>145</v>
      </c>
      <c r="D4772" t="s">
        <v>7020</v>
      </c>
      <c r="E4772" t="s">
        <v>18</v>
      </c>
      <c r="F4772" t="s">
        <v>7037</v>
      </c>
      <c r="G4772" t="s">
        <v>20</v>
      </c>
      <c r="H4772" t="s">
        <v>21</v>
      </c>
      <c r="I4772">
        <v>10500</v>
      </c>
      <c r="J4772">
        <v>13650</v>
      </c>
      <c r="K4772">
        <v>4</v>
      </c>
      <c r="L4772">
        <v>42000</v>
      </c>
      <c r="M4772">
        <v>54600</v>
      </c>
      <c r="N4772" t="s">
        <v>56</v>
      </c>
      <c r="O4772">
        <f t="shared" si="148"/>
        <v>8450</v>
      </c>
      <c r="P4772" s="13">
        <f t="shared" si="149"/>
        <v>2757859</v>
      </c>
      <c r="Q4772" s="13">
        <f>SUMIFS(M:M,E:E,Online_eCommerce[[#This Row],[Status]])</f>
        <v>28340455</v>
      </c>
      <c r="R4772" s="13">
        <f>SUMIFS(L:L,H:H,Online_eCommerce[[#This Row],[Brand]])</f>
        <v>12435650</v>
      </c>
      <c r="S4772" s="13">
        <f>SUMIF(H:H,Online_eCommerce[[#This Row],[Brand]],M:M)</f>
        <v>16166345</v>
      </c>
      <c r="T4772" s="13">
        <f>SUMIF(N:N,Online_eCommerce[[#This Row],[Assigned Supervisor]],L:L)</f>
        <v>11733610</v>
      </c>
    </row>
    <row r="4773" spans="1:20" hidden="1" x14ac:dyDescent="0.3">
      <c r="A4773" t="s">
        <v>7038</v>
      </c>
      <c r="B4773" t="s">
        <v>15</v>
      </c>
      <c r="C4773" t="s">
        <v>150</v>
      </c>
      <c r="D4773" t="s">
        <v>7020</v>
      </c>
      <c r="E4773" t="s">
        <v>161</v>
      </c>
      <c r="F4773" t="s">
        <v>88</v>
      </c>
      <c r="G4773" t="s">
        <v>26</v>
      </c>
      <c r="H4773" t="s">
        <v>27</v>
      </c>
      <c r="I4773">
        <v>8500</v>
      </c>
      <c r="J4773">
        <v>11050</v>
      </c>
      <c r="K4773">
        <v>2</v>
      </c>
      <c r="L4773">
        <v>17000</v>
      </c>
      <c r="M4773">
        <v>22100</v>
      </c>
      <c r="N4773" t="s">
        <v>22</v>
      </c>
      <c r="O4773">
        <f t="shared" si="148"/>
        <v>33150</v>
      </c>
      <c r="P4773" s="13">
        <f t="shared" si="149"/>
        <v>2154984</v>
      </c>
      <c r="Q4773" s="13">
        <f>SUMIFS(M:M,E:E,Online_eCommerce[[#This Row],[Status]])</f>
        <v>21103186</v>
      </c>
      <c r="R4773" s="13">
        <f>SUMIFS(L:L,H:H,Online_eCommerce[[#This Row],[Brand]])</f>
        <v>14431000</v>
      </c>
      <c r="S4773" s="13">
        <f>SUMIF(H:H,Online_eCommerce[[#This Row],[Brand]],M:M)</f>
        <v>18760300</v>
      </c>
      <c r="T4773" s="13">
        <f>SUMIF(N:N,Online_eCommerce[[#This Row],[Assigned Supervisor]],L:L)</f>
        <v>13693220</v>
      </c>
    </row>
    <row r="4774" spans="1:20" x14ac:dyDescent="0.3">
      <c r="A4774" t="s">
        <v>7039</v>
      </c>
      <c r="B4774" t="s">
        <v>202</v>
      </c>
      <c r="C4774" t="s">
        <v>155</v>
      </c>
      <c r="D4774" t="s">
        <v>7020</v>
      </c>
      <c r="E4774" t="s">
        <v>46</v>
      </c>
      <c r="F4774" t="s">
        <v>32</v>
      </c>
      <c r="G4774" t="s">
        <v>33</v>
      </c>
      <c r="H4774" t="s">
        <v>34</v>
      </c>
      <c r="I4774">
        <v>7000</v>
      </c>
      <c r="J4774">
        <v>9100</v>
      </c>
      <c r="K4774">
        <v>4</v>
      </c>
      <c r="L4774">
        <v>28000</v>
      </c>
      <c r="M4774">
        <v>36400</v>
      </c>
      <c r="N4774" t="s">
        <v>28</v>
      </c>
      <c r="O4774">
        <f t="shared" si="148"/>
        <v>18200</v>
      </c>
      <c r="P4774" s="13">
        <f t="shared" si="149"/>
        <v>2753348</v>
      </c>
      <c r="Q4774" s="13">
        <f>SUMIFS(M:M,E:E,Online_eCommerce[[#This Row],[Status]])</f>
        <v>28620410</v>
      </c>
      <c r="R4774" s="13">
        <f>SUMIFS(L:L,H:H,Online_eCommerce[[#This Row],[Brand]])</f>
        <v>10087000</v>
      </c>
      <c r="S4774" s="13">
        <f>SUMIF(H:H,Online_eCommerce[[#This Row],[Brand]],M:M)</f>
        <v>13113100</v>
      </c>
      <c r="T4774" s="13">
        <f>SUMIF(N:N,Online_eCommerce[[#This Row],[Assigned Supervisor]],L:L)</f>
        <v>12220830</v>
      </c>
    </row>
    <row r="4775" spans="1:20" hidden="1" x14ac:dyDescent="0.3">
      <c r="A4775" t="s">
        <v>7040</v>
      </c>
      <c r="B4775" t="s">
        <v>30</v>
      </c>
      <c r="C4775" t="s">
        <v>160</v>
      </c>
      <c r="D4775" t="s">
        <v>7020</v>
      </c>
      <c r="E4775" t="s">
        <v>96</v>
      </c>
      <c r="F4775" t="s">
        <v>7041</v>
      </c>
      <c r="G4775" t="s">
        <v>256</v>
      </c>
      <c r="H4775" t="s">
        <v>41</v>
      </c>
      <c r="I4775">
        <v>1680</v>
      </c>
      <c r="J4775">
        <v>2184</v>
      </c>
      <c r="K4775">
        <v>2</v>
      </c>
      <c r="L4775">
        <v>3360</v>
      </c>
      <c r="M4775">
        <v>4368</v>
      </c>
      <c r="N4775" t="s">
        <v>35</v>
      </c>
      <c r="O4775">
        <f t="shared" si="148"/>
        <v>9100</v>
      </c>
      <c r="P4775" s="13">
        <f t="shared" si="149"/>
        <v>2303483</v>
      </c>
      <c r="Q4775" s="13">
        <f>SUMIFS(M:M,E:E,Online_eCommerce[[#This Row],[Status]])</f>
        <v>21233992</v>
      </c>
      <c r="R4775" s="13">
        <f>SUMIFS(L:L,H:H,Online_eCommerce[[#This Row],[Brand]])</f>
        <v>4260400</v>
      </c>
      <c r="S4775" s="13">
        <f>SUMIF(H:H,Online_eCommerce[[#This Row],[Brand]],M:M)</f>
        <v>5538520</v>
      </c>
      <c r="T4775" s="13">
        <f>SUMIF(N:N,Online_eCommerce[[#This Row],[Assigned Supervisor]],L:L)</f>
        <v>14373360</v>
      </c>
    </row>
    <row r="4776" spans="1:20" hidden="1" x14ac:dyDescent="0.3">
      <c r="A4776" t="s">
        <v>7042</v>
      </c>
      <c r="B4776" t="s">
        <v>37</v>
      </c>
      <c r="C4776" t="s">
        <v>165</v>
      </c>
      <c r="D4776" t="s">
        <v>7020</v>
      </c>
      <c r="E4776" t="s">
        <v>18</v>
      </c>
      <c r="F4776" t="s">
        <v>101</v>
      </c>
      <c r="G4776" t="s">
        <v>259</v>
      </c>
      <c r="H4776" t="s">
        <v>102</v>
      </c>
      <c r="I4776">
        <v>6540</v>
      </c>
      <c r="J4776">
        <v>8502</v>
      </c>
      <c r="K4776">
        <v>3</v>
      </c>
      <c r="L4776">
        <v>19620</v>
      </c>
      <c r="M4776">
        <v>25506</v>
      </c>
      <c r="N4776" t="s">
        <v>42</v>
      </c>
      <c r="O4776">
        <f t="shared" si="148"/>
        <v>11700</v>
      </c>
      <c r="P4776" s="13">
        <f t="shared" si="149"/>
        <v>2674087</v>
      </c>
      <c r="Q4776" s="13">
        <f>SUMIFS(M:M,E:E,Online_eCommerce[[#This Row],[Status]])</f>
        <v>28340455</v>
      </c>
      <c r="R4776" s="13">
        <f>SUMIFS(L:L,H:H,Online_eCommerce[[#This Row],[Brand]])</f>
        <v>2465580</v>
      </c>
      <c r="S4776" s="13">
        <f>SUMIF(H:H,Online_eCommerce[[#This Row],[Brand]],M:M)</f>
        <v>3205254</v>
      </c>
      <c r="T4776" s="13">
        <f>SUMIF(N:N,Online_eCommerce[[#This Row],[Assigned Supervisor]],L:L)</f>
        <v>12261500</v>
      </c>
    </row>
    <row r="4777" spans="1:20" hidden="1" x14ac:dyDescent="0.3">
      <c r="A4777" t="s">
        <v>7043</v>
      </c>
      <c r="B4777" t="s">
        <v>44</v>
      </c>
      <c r="C4777" t="s">
        <v>168</v>
      </c>
      <c r="D4777" t="s">
        <v>7020</v>
      </c>
      <c r="E4777" t="s">
        <v>161</v>
      </c>
      <c r="F4777" t="s">
        <v>107</v>
      </c>
      <c r="G4777" t="s">
        <v>54</v>
      </c>
      <c r="H4777" t="s">
        <v>55</v>
      </c>
      <c r="I4777">
        <v>2680</v>
      </c>
      <c r="J4777">
        <v>3484</v>
      </c>
      <c r="K4777">
        <v>3</v>
      </c>
      <c r="L4777">
        <v>8040</v>
      </c>
      <c r="M4777">
        <v>10452</v>
      </c>
      <c r="N4777" t="s">
        <v>50</v>
      </c>
      <c r="O4777">
        <f t="shared" si="148"/>
        <v>2990</v>
      </c>
      <c r="P4777" s="13">
        <f t="shared" si="149"/>
        <v>1937780</v>
      </c>
      <c r="Q4777" s="13">
        <f>SUMIFS(M:M,E:E,Online_eCommerce[[#This Row],[Status]])</f>
        <v>21103186</v>
      </c>
      <c r="R4777" s="13">
        <f>SUMIFS(L:L,H:H,Online_eCommerce[[#This Row],[Brand]])</f>
        <v>2267380</v>
      </c>
      <c r="S4777" s="13">
        <f>SUMIF(H:H,Online_eCommerce[[#This Row],[Brand]],M:M)</f>
        <v>2947594</v>
      </c>
      <c r="T4777" s="13">
        <f>SUMIF(N:N,Online_eCommerce[[#This Row],[Assigned Supervisor]],L:L)</f>
        <v>12100590</v>
      </c>
    </row>
    <row r="4778" spans="1:20" x14ac:dyDescent="0.3">
      <c r="A4778" t="s">
        <v>7044</v>
      </c>
      <c r="B4778" t="s">
        <v>213</v>
      </c>
      <c r="C4778" t="s">
        <v>172</v>
      </c>
      <c r="D4778" t="s">
        <v>7020</v>
      </c>
      <c r="E4778" t="s">
        <v>46</v>
      </c>
      <c r="F4778" t="s">
        <v>112</v>
      </c>
      <c r="G4778" t="s">
        <v>71</v>
      </c>
      <c r="H4778" t="s">
        <v>21</v>
      </c>
      <c r="I4778">
        <v>8250</v>
      </c>
      <c r="J4778">
        <v>10725</v>
      </c>
      <c r="K4778">
        <v>1</v>
      </c>
      <c r="L4778">
        <v>8250</v>
      </c>
      <c r="M4778">
        <v>10725</v>
      </c>
      <c r="N4778" t="s">
        <v>56</v>
      </c>
      <c r="O4778">
        <f t="shared" si="148"/>
        <v>9750</v>
      </c>
      <c r="P4778" s="13">
        <f t="shared" si="149"/>
        <v>2640274</v>
      </c>
      <c r="Q4778" s="13">
        <f>SUMIFS(M:M,E:E,Online_eCommerce[[#This Row],[Status]])</f>
        <v>28620410</v>
      </c>
      <c r="R4778" s="13">
        <f>SUMIFS(L:L,H:H,Online_eCommerce[[#This Row],[Brand]])</f>
        <v>12435650</v>
      </c>
      <c r="S4778" s="13">
        <f>SUMIF(H:H,Online_eCommerce[[#This Row],[Brand]],M:M)</f>
        <v>16166345</v>
      </c>
      <c r="T4778" s="13">
        <f>SUMIF(N:N,Online_eCommerce[[#This Row],[Assigned Supervisor]],L:L)</f>
        <v>11733610</v>
      </c>
    </row>
    <row r="4779" spans="1:20" hidden="1" x14ac:dyDescent="0.3">
      <c r="A4779" t="s">
        <v>7045</v>
      </c>
      <c r="B4779" t="s">
        <v>215</v>
      </c>
      <c r="C4779" t="s">
        <v>177</v>
      </c>
      <c r="D4779" t="s">
        <v>7020</v>
      </c>
      <c r="E4779" t="s">
        <v>96</v>
      </c>
      <c r="F4779" t="s">
        <v>6584</v>
      </c>
      <c r="G4779" t="s">
        <v>40</v>
      </c>
      <c r="H4779" t="s">
        <v>21</v>
      </c>
      <c r="I4779">
        <v>2650</v>
      </c>
      <c r="J4779">
        <v>3445</v>
      </c>
      <c r="K4779">
        <v>2</v>
      </c>
      <c r="L4779">
        <v>5300</v>
      </c>
      <c r="M4779">
        <v>6890</v>
      </c>
      <c r="N4779" t="s">
        <v>22</v>
      </c>
      <c r="O4779">
        <f t="shared" si="148"/>
        <v>25545</v>
      </c>
      <c r="P4779" s="13">
        <f t="shared" si="149"/>
        <v>1863810</v>
      </c>
      <c r="Q4779" s="13">
        <f>SUMIFS(M:M,E:E,Online_eCommerce[[#This Row],[Status]])</f>
        <v>21233992</v>
      </c>
      <c r="R4779" s="13">
        <f>SUMIFS(L:L,H:H,Online_eCommerce[[#This Row],[Brand]])</f>
        <v>12435650</v>
      </c>
      <c r="S4779" s="13">
        <f>SUMIF(H:H,Online_eCommerce[[#This Row],[Brand]],M:M)</f>
        <v>16166345</v>
      </c>
      <c r="T4779" s="13">
        <f>SUMIF(N:N,Online_eCommerce[[#This Row],[Assigned Supervisor]],L:L)</f>
        <v>13693220</v>
      </c>
    </row>
    <row r="4780" spans="1:20" hidden="1" x14ac:dyDescent="0.3">
      <c r="A4780" t="s">
        <v>7046</v>
      </c>
      <c r="B4780" t="s">
        <v>306</v>
      </c>
      <c r="C4780" t="s">
        <v>181</v>
      </c>
      <c r="D4780" t="s">
        <v>7020</v>
      </c>
      <c r="E4780" t="s">
        <v>18</v>
      </c>
      <c r="F4780" t="s">
        <v>121</v>
      </c>
      <c r="G4780" t="s">
        <v>71</v>
      </c>
      <c r="H4780" t="s">
        <v>122</v>
      </c>
      <c r="I4780">
        <v>12550</v>
      </c>
      <c r="J4780">
        <v>16315</v>
      </c>
      <c r="K4780">
        <v>1</v>
      </c>
      <c r="L4780">
        <v>12550</v>
      </c>
      <c r="M4780">
        <v>16315</v>
      </c>
      <c r="N4780" t="s">
        <v>28</v>
      </c>
      <c r="O4780">
        <f t="shared" si="148"/>
        <v>9750</v>
      </c>
      <c r="P4780" s="13">
        <f t="shared" si="149"/>
        <v>2577458</v>
      </c>
      <c r="Q4780" s="13">
        <f>SUMIFS(M:M,E:E,Online_eCommerce[[#This Row],[Status]])</f>
        <v>28340455</v>
      </c>
      <c r="R4780" s="13">
        <f>SUMIFS(L:L,H:H,Online_eCommerce[[#This Row],[Brand]])</f>
        <v>5045100</v>
      </c>
      <c r="S4780" s="13">
        <f>SUMIF(H:H,Online_eCommerce[[#This Row],[Brand]],M:M)</f>
        <v>6558630</v>
      </c>
      <c r="T4780" s="13">
        <f>SUMIF(N:N,Online_eCommerce[[#This Row],[Assigned Supervisor]],L:L)</f>
        <v>12220830</v>
      </c>
    </row>
    <row r="4781" spans="1:20" hidden="1" x14ac:dyDescent="0.3">
      <c r="A4781" t="s">
        <v>7047</v>
      </c>
      <c r="B4781" t="s">
        <v>528</v>
      </c>
      <c r="C4781" t="s">
        <v>185</v>
      </c>
      <c r="D4781" t="s">
        <v>7020</v>
      </c>
      <c r="E4781" t="s">
        <v>161</v>
      </c>
      <c r="F4781" t="s">
        <v>126</v>
      </c>
      <c r="G4781" t="s">
        <v>26</v>
      </c>
      <c r="H4781" t="s">
        <v>27</v>
      </c>
      <c r="I4781">
        <v>14500</v>
      </c>
      <c r="J4781">
        <v>18850</v>
      </c>
      <c r="K4781">
        <v>1</v>
      </c>
      <c r="L4781">
        <v>14500</v>
      </c>
      <c r="M4781">
        <v>18850</v>
      </c>
      <c r="N4781" t="s">
        <v>35</v>
      </c>
      <c r="O4781">
        <f t="shared" si="148"/>
        <v>33150</v>
      </c>
      <c r="P4781" s="13">
        <f t="shared" si="149"/>
        <v>2091596</v>
      </c>
      <c r="Q4781" s="13">
        <f>SUMIFS(M:M,E:E,Online_eCommerce[[#This Row],[Status]])</f>
        <v>21103186</v>
      </c>
      <c r="R4781" s="13">
        <f>SUMIFS(L:L,H:H,Online_eCommerce[[#This Row],[Brand]])</f>
        <v>14431000</v>
      </c>
      <c r="S4781" s="13">
        <f>SUMIF(H:H,Online_eCommerce[[#This Row],[Brand]],M:M)</f>
        <v>18760300</v>
      </c>
      <c r="T4781" s="13">
        <f>SUMIF(N:N,Online_eCommerce[[#This Row],[Assigned Supervisor]],L:L)</f>
        <v>14373360</v>
      </c>
    </row>
    <row r="4782" spans="1:20" x14ac:dyDescent="0.3">
      <c r="A4782" t="s">
        <v>7048</v>
      </c>
      <c r="B4782" t="s">
        <v>73</v>
      </c>
      <c r="C4782" t="s">
        <v>189</v>
      </c>
      <c r="D4782" t="s">
        <v>7020</v>
      </c>
      <c r="E4782" t="s">
        <v>46</v>
      </c>
      <c r="F4782" t="s">
        <v>129</v>
      </c>
      <c r="G4782" t="s">
        <v>60</v>
      </c>
      <c r="H4782" t="s">
        <v>61</v>
      </c>
      <c r="I4782">
        <v>800</v>
      </c>
      <c r="J4782">
        <v>1040</v>
      </c>
      <c r="K4782">
        <v>1</v>
      </c>
      <c r="L4782">
        <v>800</v>
      </c>
      <c r="M4782">
        <v>1040</v>
      </c>
      <c r="N4782" t="s">
        <v>42</v>
      </c>
      <c r="O4782">
        <f t="shared" si="148"/>
        <v>3315</v>
      </c>
      <c r="P4782" s="13">
        <f t="shared" si="149"/>
        <v>2740777</v>
      </c>
      <c r="Q4782" s="13">
        <f>SUMIFS(M:M,E:E,Online_eCommerce[[#This Row],[Status]])</f>
        <v>28620410</v>
      </c>
      <c r="R4782" s="13">
        <f>SUMIFS(L:L,H:H,Online_eCommerce[[#This Row],[Brand]])</f>
        <v>10950150</v>
      </c>
      <c r="S4782" s="13">
        <f>SUMIF(H:H,Online_eCommerce[[#This Row],[Brand]],M:M)</f>
        <v>14235195</v>
      </c>
      <c r="T4782" s="13">
        <f>SUMIF(N:N,Online_eCommerce[[#This Row],[Assigned Supervisor]],L:L)</f>
        <v>12261500</v>
      </c>
    </row>
    <row r="4783" spans="1:20" hidden="1" x14ac:dyDescent="0.3">
      <c r="A4783" t="s">
        <v>7049</v>
      </c>
      <c r="B4783" t="s">
        <v>80</v>
      </c>
      <c r="C4783" t="s">
        <v>193</v>
      </c>
      <c r="D4783" t="s">
        <v>7020</v>
      </c>
      <c r="E4783" t="s">
        <v>96</v>
      </c>
      <c r="F4783" t="s">
        <v>133</v>
      </c>
      <c r="G4783" t="s">
        <v>66</v>
      </c>
      <c r="H4783" t="s">
        <v>21</v>
      </c>
      <c r="I4783">
        <v>600</v>
      </c>
      <c r="J4783">
        <v>780</v>
      </c>
      <c r="K4783">
        <v>3</v>
      </c>
      <c r="L4783">
        <v>1800</v>
      </c>
      <c r="M4783">
        <v>2340</v>
      </c>
      <c r="N4783" t="s">
        <v>50</v>
      </c>
      <c r="O4783">
        <f t="shared" si="148"/>
        <v>1690</v>
      </c>
      <c r="P4783" s="13">
        <f t="shared" si="149"/>
        <v>2074774</v>
      </c>
      <c r="Q4783" s="13">
        <f>SUMIFS(M:M,E:E,Online_eCommerce[[#This Row],[Status]])</f>
        <v>21233992</v>
      </c>
      <c r="R4783" s="13">
        <f>SUMIFS(L:L,H:H,Online_eCommerce[[#This Row],[Brand]])</f>
        <v>12435650</v>
      </c>
      <c r="S4783" s="13">
        <f>SUMIF(H:H,Online_eCommerce[[#This Row],[Brand]],M:M)</f>
        <v>16166345</v>
      </c>
      <c r="T4783" s="13">
        <f>SUMIF(N:N,Online_eCommerce[[#This Row],[Assigned Supervisor]],L:L)</f>
        <v>12100590</v>
      </c>
    </row>
    <row r="4784" spans="1:20" hidden="1" x14ac:dyDescent="0.3">
      <c r="A4784" t="s">
        <v>7050</v>
      </c>
      <c r="B4784" t="s">
        <v>85</v>
      </c>
      <c r="C4784" t="s">
        <v>197</v>
      </c>
      <c r="D4784" t="s">
        <v>7020</v>
      </c>
      <c r="E4784" t="s">
        <v>18</v>
      </c>
      <c r="F4784" t="s">
        <v>137</v>
      </c>
      <c r="G4784" t="s">
        <v>71</v>
      </c>
      <c r="H4784" t="s">
        <v>61</v>
      </c>
      <c r="I4784">
        <v>10500</v>
      </c>
      <c r="J4784">
        <v>13650</v>
      </c>
      <c r="K4784">
        <v>3</v>
      </c>
      <c r="L4784">
        <v>31500</v>
      </c>
      <c r="M4784">
        <v>40950</v>
      </c>
      <c r="N4784" t="s">
        <v>56</v>
      </c>
      <c r="O4784">
        <f t="shared" si="148"/>
        <v>9750</v>
      </c>
      <c r="P4784" s="13">
        <f t="shared" si="149"/>
        <v>2829840</v>
      </c>
      <c r="Q4784" s="13">
        <f>SUMIFS(M:M,E:E,Online_eCommerce[[#This Row],[Status]])</f>
        <v>28340455</v>
      </c>
      <c r="R4784" s="13">
        <f>SUMIFS(L:L,H:H,Online_eCommerce[[#This Row],[Brand]])</f>
        <v>10950150</v>
      </c>
      <c r="S4784" s="13">
        <f>SUMIF(H:H,Online_eCommerce[[#This Row],[Brand]],M:M)</f>
        <v>14235195</v>
      </c>
      <c r="T4784" s="13">
        <f>SUMIF(N:N,Online_eCommerce[[#This Row],[Assigned Supervisor]],L:L)</f>
        <v>11733610</v>
      </c>
    </row>
    <row r="4785" spans="1:20" hidden="1" x14ac:dyDescent="0.3">
      <c r="A4785" t="s">
        <v>7051</v>
      </c>
      <c r="B4785" t="s">
        <v>90</v>
      </c>
      <c r="C4785" t="s">
        <v>199</v>
      </c>
      <c r="D4785" t="s">
        <v>7020</v>
      </c>
      <c r="E4785" t="s">
        <v>161</v>
      </c>
      <c r="F4785" t="s">
        <v>7022</v>
      </c>
      <c r="G4785" t="s">
        <v>77</v>
      </c>
      <c r="H4785" t="s">
        <v>142</v>
      </c>
      <c r="I4785">
        <v>6500</v>
      </c>
      <c r="J4785">
        <v>8450</v>
      </c>
      <c r="K4785">
        <v>2</v>
      </c>
      <c r="L4785">
        <v>13000</v>
      </c>
      <c r="M4785">
        <v>16900</v>
      </c>
      <c r="N4785" t="s">
        <v>22</v>
      </c>
      <c r="O4785">
        <f t="shared" si="148"/>
        <v>39000</v>
      </c>
      <c r="P4785" s="13">
        <f t="shared" si="149"/>
        <v>1947361</v>
      </c>
      <c r="Q4785" s="13">
        <f>SUMIFS(M:M,E:E,Online_eCommerce[[#This Row],[Status]])</f>
        <v>21103186</v>
      </c>
      <c r="R4785" s="13">
        <f>SUMIFS(L:L,H:H,Online_eCommerce[[#This Row],[Brand]])</f>
        <v>6192500</v>
      </c>
      <c r="S4785" s="13">
        <f>SUMIF(H:H,Online_eCommerce[[#This Row],[Brand]],M:M)</f>
        <v>8050250</v>
      </c>
      <c r="T4785" s="13">
        <f>SUMIF(N:N,Online_eCommerce[[#This Row],[Assigned Supervisor]],L:L)</f>
        <v>13693220</v>
      </c>
    </row>
    <row r="4786" spans="1:20" x14ac:dyDescent="0.3">
      <c r="A4786" t="s">
        <v>7052</v>
      </c>
      <c r="B4786" t="s">
        <v>232</v>
      </c>
      <c r="C4786" t="s">
        <v>203</v>
      </c>
      <c r="D4786" t="s">
        <v>7020</v>
      </c>
      <c r="E4786" t="s">
        <v>46</v>
      </c>
      <c r="F4786" t="s">
        <v>7053</v>
      </c>
      <c r="G4786" t="s">
        <v>20</v>
      </c>
      <c r="H4786" t="s">
        <v>21</v>
      </c>
      <c r="I4786">
        <v>4500</v>
      </c>
      <c r="J4786">
        <v>5850</v>
      </c>
      <c r="K4786">
        <v>3</v>
      </c>
      <c r="L4786">
        <v>13500</v>
      </c>
      <c r="M4786">
        <v>17550</v>
      </c>
      <c r="N4786" t="s">
        <v>28</v>
      </c>
      <c r="O4786">
        <f t="shared" si="148"/>
        <v>8450</v>
      </c>
      <c r="P4786" s="13">
        <f t="shared" si="149"/>
        <v>2559635</v>
      </c>
      <c r="Q4786" s="13">
        <f>SUMIFS(M:M,E:E,Online_eCommerce[[#This Row],[Status]])</f>
        <v>28620410</v>
      </c>
      <c r="R4786" s="13">
        <f>SUMIFS(L:L,H:H,Online_eCommerce[[#This Row],[Brand]])</f>
        <v>12435650</v>
      </c>
      <c r="S4786" s="13">
        <f>SUMIF(H:H,Online_eCommerce[[#This Row],[Brand]],M:M)</f>
        <v>16166345</v>
      </c>
      <c r="T4786" s="13">
        <f>SUMIF(N:N,Online_eCommerce[[#This Row],[Assigned Supervisor]],L:L)</f>
        <v>12220830</v>
      </c>
    </row>
    <row r="4787" spans="1:20" hidden="1" x14ac:dyDescent="0.3">
      <c r="A4787" t="s">
        <v>7054</v>
      </c>
      <c r="B4787" t="s">
        <v>235</v>
      </c>
      <c r="C4787" t="s">
        <v>205</v>
      </c>
      <c r="D4787" t="s">
        <v>7020</v>
      </c>
      <c r="E4787" t="s">
        <v>96</v>
      </c>
      <c r="F4787" t="s">
        <v>152</v>
      </c>
      <c r="G4787" t="s">
        <v>26</v>
      </c>
      <c r="H4787" t="s">
        <v>27</v>
      </c>
      <c r="I4787">
        <v>8500</v>
      </c>
      <c r="J4787">
        <v>11050</v>
      </c>
      <c r="K4787">
        <v>4</v>
      </c>
      <c r="L4787">
        <v>34000</v>
      </c>
      <c r="M4787">
        <v>44200</v>
      </c>
      <c r="N4787" t="s">
        <v>35</v>
      </c>
      <c r="O4787">
        <f t="shared" si="148"/>
        <v>33150</v>
      </c>
      <c r="P4787" s="13">
        <f t="shared" si="149"/>
        <v>1983254</v>
      </c>
      <c r="Q4787" s="13">
        <f>SUMIFS(M:M,E:E,Online_eCommerce[[#This Row],[Status]])</f>
        <v>21233992</v>
      </c>
      <c r="R4787" s="13">
        <f>SUMIFS(L:L,H:H,Online_eCommerce[[#This Row],[Brand]])</f>
        <v>14431000</v>
      </c>
      <c r="S4787" s="13">
        <f>SUMIF(H:H,Online_eCommerce[[#This Row],[Brand]],M:M)</f>
        <v>18760300</v>
      </c>
      <c r="T4787" s="13">
        <f>SUMIF(N:N,Online_eCommerce[[#This Row],[Assigned Supervisor]],L:L)</f>
        <v>14373360</v>
      </c>
    </row>
    <row r="4788" spans="1:20" hidden="1" x14ac:dyDescent="0.3">
      <c r="A4788" t="s">
        <v>7055</v>
      </c>
      <c r="B4788" t="s">
        <v>104</v>
      </c>
      <c r="C4788" t="s">
        <v>208</v>
      </c>
      <c r="D4788" t="s">
        <v>7020</v>
      </c>
      <c r="E4788" t="s">
        <v>18</v>
      </c>
      <c r="F4788" t="s">
        <v>157</v>
      </c>
      <c r="G4788" t="s">
        <v>33</v>
      </c>
      <c r="H4788" t="s">
        <v>34</v>
      </c>
      <c r="I4788">
        <v>12500</v>
      </c>
      <c r="J4788">
        <v>16250</v>
      </c>
      <c r="K4788">
        <v>4</v>
      </c>
      <c r="L4788">
        <v>50000</v>
      </c>
      <c r="M4788">
        <v>65000</v>
      </c>
      <c r="N4788" t="s">
        <v>42</v>
      </c>
      <c r="O4788">
        <f t="shared" si="148"/>
        <v>18200</v>
      </c>
      <c r="P4788" s="13">
        <f t="shared" si="149"/>
        <v>2746575</v>
      </c>
      <c r="Q4788" s="13">
        <f>SUMIFS(M:M,E:E,Online_eCommerce[[#This Row],[Status]])</f>
        <v>28340455</v>
      </c>
      <c r="R4788" s="13">
        <f>SUMIFS(L:L,H:H,Online_eCommerce[[#This Row],[Brand]])</f>
        <v>10087000</v>
      </c>
      <c r="S4788" s="13">
        <f>SUMIF(H:H,Online_eCommerce[[#This Row],[Brand]],M:M)</f>
        <v>13113100</v>
      </c>
      <c r="T4788" s="13">
        <f>SUMIF(N:N,Online_eCommerce[[#This Row],[Assigned Supervisor]],L:L)</f>
        <v>12261500</v>
      </c>
    </row>
    <row r="4789" spans="1:20" hidden="1" x14ac:dyDescent="0.3">
      <c r="A4789" t="s">
        <v>7056</v>
      </c>
      <c r="B4789" t="s">
        <v>109</v>
      </c>
      <c r="C4789" t="s">
        <v>211</v>
      </c>
      <c r="D4789" t="s">
        <v>7020</v>
      </c>
      <c r="E4789" t="s">
        <v>161</v>
      </c>
      <c r="F4789" t="s">
        <v>6641</v>
      </c>
      <c r="G4789" t="s">
        <v>40</v>
      </c>
      <c r="H4789" t="s">
        <v>41</v>
      </c>
      <c r="I4789">
        <v>3500</v>
      </c>
      <c r="J4789">
        <v>4550</v>
      </c>
      <c r="K4789">
        <v>2</v>
      </c>
      <c r="L4789">
        <v>7000</v>
      </c>
      <c r="M4789">
        <v>9100</v>
      </c>
      <c r="N4789" t="s">
        <v>50</v>
      </c>
      <c r="O4789">
        <f t="shared" si="148"/>
        <v>25545</v>
      </c>
      <c r="P4789" s="13">
        <f t="shared" si="149"/>
        <v>1809847</v>
      </c>
      <c r="Q4789" s="13">
        <f>SUMIFS(M:M,E:E,Online_eCommerce[[#This Row],[Status]])</f>
        <v>21103186</v>
      </c>
      <c r="R4789" s="13">
        <f>SUMIFS(L:L,H:H,Online_eCommerce[[#This Row],[Brand]])</f>
        <v>4260400</v>
      </c>
      <c r="S4789" s="13">
        <f>SUMIF(H:H,Online_eCommerce[[#This Row],[Brand]],M:M)</f>
        <v>5538520</v>
      </c>
      <c r="T4789" s="13">
        <f>SUMIF(N:N,Online_eCommerce[[#This Row],[Assigned Supervisor]],L:L)</f>
        <v>12100590</v>
      </c>
    </row>
    <row r="4790" spans="1:20" x14ac:dyDescent="0.3">
      <c r="A4790" t="s">
        <v>7057</v>
      </c>
      <c r="B4790" t="s">
        <v>114</v>
      </c>
      <c r="C4790" t="s">
        <v>16</v>
      </c>
      <c r="D4790" t="s">
        <v>7020</v>
      </c>
      <c r="E4790" t="s">
        <v>46</v>
      </c>
      <c r="F4790" t="s">
        <v>166</v>
      </c>
      <c r="G4790" t="s">
        <v>334</v>
      </c>
      <c r="H4790" t="s">
        <v>49</v>
      </c>
      <c r="I4790">
        <v>4500</v>
      </c>
      <c r="J4790">
        <v>5850</v>
      </c>
      <c r="K4790">
        <v>2</v>
      </c>
      <c r="L4790">
        <v>9000</v>
      </c>
      <c r="M4790">
        <v>11700</v>
      </c>
      <c r="N4790" t="s">
        <v>56</v>
      </c>
      <c r="O4790">
        <f t="shared" si="148"/>
        <v>39780</v>
      </c>
      <c r="P4790" s="13">
        <f t="shared" si="149"/>
        <v>2751814</v>
      </c>
      <c r="Q4790" s="13">
        <f>SUMIFS(M:M,E:E,Online_eCommerce[[#This Row],[Status]])</f>
        <v>28620410</v>
      </c>
      <c r="R4790" s="13">
        <f>SUMIFS(L:L,H:H,Online_eCommerce[[#This Row],[Brand]])</f>
        <v>4528350</v>
      </c>
      <c r="S4790" s="13">
        <f>SUMIF(H:H,Online_eCommerce[[#This Row],[Brand]],M:M)</f>
        <v>5886855</v>
      </c>
      <c r="T4790" s="13">
        <f>SUMIF(N:N,Online_eCommerce[[#This Row],[Assigned Supervisor]],L:L)</f>
        <v>11733610</v>
      </c>
    </row>
    <row r="4791" spans="1:20" hidden="1" x14ac:dyDescent="0.3">
      <c r="A4791" t="s">
        <v>7058</v>
      </c>
      <c r="B4791" t="s">
        <v>119</v>
      </c>
      <c r="C4791" t="s">
        <v>24</v>
      </c>
      <c r="D4791" t="s">
        <v>7020</v>
      </c>
      <c r="E4791" t="s">
        <v>96</v>
      </c>
      <c r="F4791" t="s">
        <v>7059</v>
      </c>
      <c r="G4791" t="s">
        <v>54</v>
      </c>
      <c r="H4791" t="s">
        <v>55</v>
      </c>
      <c r="I4791">
        <v>2100</v>
      </c>
      <c r="J4791">
        <v>2730</v>
      </c>
      <c r="K4791">
        <v>2</v>
      </c>
      <c r="L4791">
        <v>4200</v>
      </c>
      <c r="M4791">
        <v>5460</v>
      </c>
      <c r="N4791" t="s">
        <v>22</v>
      </c>
      <c r="O4791">
        <f t="shared" si="148"/>
        <v>2990</v>
      </c>
      <c r="P4791" s="13">
        <f t="shared" si="149"/>
        <v>2009540</v>
      </c>
      <c r="Q4791" s="13">
        <f>SUMIFS(M:M,E:E,Online_eCommerce[[#This Row],[Status]])</f>
        <v>21233992</v>
      </c>
      <c r="R4791" s="13">
        <f>SUMIFS(L:L,H:H,Online_eCommerce[[#This Row],[Brand]])</f>
        <v>2267380</v>
      </c>
      <c r="S4791" s="13">
        <f>SUMIF(H:H,Online_eCommerce[[#This Row],[Brand]],M:M)</f>
        <v>2947594</v>
      </c>
      <c r="T4791" s="13">
        <f>SUMIF(N:N,Online_eCommerce[[#This Row],[Assigned Supervisor]],L:L)</f>
        <v>13693220</v>
      </c>
    </row>
    <row r="4792" spans="1:20" hidden="1" x14ac:dyDescent="0.3">
      <c r="A4792" t="s">
        <v>7060</v>
      </c>
      <c r="B4792" t="s">
        <v>124</v>
      </c>
      <c r="C4792" t="s">
        <v>31</v>
      </c>
      <c r="D4792" t="s">
        <v>7020</v>
      </c>
      <c r="E4792" t="s">
        <v>18</v>
      </c>
      <c r="F4792" t="s">
        <v>174</v>
      </c>
      <c r="G4792" t="s">
        <v>60</v>
      </c>
      <c r="H4792" t="s">
        <v>61</v>
      </c>
      <c r="I4792">
        <v>1150</v>
      </c>
      <c r="J4792">
        <v>1495</v>
      </c>
      <c r="K4792">
        <v>1</v>
      </c>
      <c r="L4792">
        <v>1150</v>
      </c>
      <c r="M4792">
        <v>1495</v>
      </c>
      <c r="N4792" t="s">
        <v>28</v>
      </c>
      <c r="O4792">
        <f t="shared" si="148"/>
        <v>3315</v>
      </c>
      <c r="P4792" s="13">
        <f t="shared" si="149"/>
        <v>2865746</v>
      </c>
      <c r="Q4792" s="13">
        <f>SUMIFS(M:M,E:E,Online_eCommerce[[#This Row],[Status]])</f>
        <v>28340455</v>
      </c>
      <c r="R4792" s="13">
        <f>SUMIFS(L:L,H:H,Online_eCommerce[[#This Row],[Brand]])</f>
        <v>10950150</v>
      </c>
      <c r="S4792" s="13">
        <f>SUMIF(H:H,Online_eCommerce[[#This Row],[Brand]],M:M)</f>
        <v>14235195</v>
      </c>
      <c r="T4792" s="13">
        <f>SUMIF(N:N,Online_eCommerce[[#This Row],[Assigned Supervisor]],L:L)</f>
        <v>12220830</v>
      </c>
    </row>
    <row r="4793" spans="1:20" hidden="1" x14ac:dyDescent="0.3">
      <c r="A4793" t="s">
        <v>7061</v>
      </c>
      <c r="B4793" t="s">
        <v>128</v>
      </c>
      <c r="C4793" t="s">
        <v>38</v>
      </c>
      <c r="D4793" t="s">
        <v>7020</v>
      </c>
      <c r="E4793" t="s">
        <v>161</v>
      </c>
      <c r="F4793" t="s">
        <v>179</v>
      </c>
      <c r="G4793" t="s">
        <v>66</v>
      </c>
      <c r="H4793" t="s">
        <v>21</v>
      </c>
      <c r="I4793">
        <v>350</v>
      </c>
      <c r="J4793">
        <v>455</v>
      </c>
      <c r="K4793">
        <v>2</v>
      </c>
      <c r="L4793">
        <v>700</v>
      </c>
      <c r="M4793">
        <v>910</v>
      </c>
      <c r="N4793" t="s">
        <v>35</v>
      </c>
      <c r="O4793">
        <f t="shared" si="148"/>
        <v>1690</v>
      </c>
      <c r="P4793" s="13">
        <f t="shared" si="149"/>
        <v>1933997</v>
      </c>
      <c r="Q4793" s="13">
        <f>SUMIFS(M:M,E:E,Online_eCommerce[[#This Row],[Status]])</f>
        <v>21103186</v>
      </c>
      <c r="R4793" s="13">
        <f>SUMIFS(L:L,H:H,Online_eCommerce[[#This Row],[Brand]])</f>
        <v>12435650</v>
      </c>
      <c r="S4793" s="13">
        <f>SUMIF(H:H,Online_eCommerce[[#This Row],[Brand]],M:M)</f>
        <v>16166345</v>
      </c>
      <c r="T4793" s="13">
        <f>SUMIF(N:N,Online_eCommerce[[#This Row],[Assigned Supervisor]],L:L)</f>
        <v>14373360</v>
      </c>
    </row>
    <row r="4794" spans="1:20" x14ac:dyDescent="0.3">
      <c r="A4794" t="s">
        <v>7062</v>
      </c>
      <c r="B4794" t="s">
        <v>131</v>
      </c>
      <c r="C4794" t="s">
        <v>45</v>
      </c>
      <c r="D4794" t="s">
        <v>7020</v>
      </c>
      <c r="E4794" t="s">
        <v>46</v>
      </c>
      <c r="F4794" t="s">
        <v>183</v>
      </c>
      <c r="G4794" t="s">
        <v>71</v>
      </c>
      <c r="H4794" t="s">
        <v>61</v>
      </c>
      <c r="I4794">
        <v>9500</v>
      </c>
      <c r="J4794">
        <v>12350</v>
      </c>
      <c r="K4794">
        <v>3</v>
      </c>
      <c r="L4794">
        <v>28500</v>
      </c>
      <c r="M4794">
        <v>37050</v>
      </c>
      <c r="N4794" t="s">
        <v>42</v>
      </c>
      <c r="O4794">
        <f t="shared" si="148"/>
        <v>9750</v>
      </c>
      <c r="P4794" s="13">
        <f t="shared" si="149"/>
        <v>2842554</v>
      </c>
      <c r="Q4794" s="13">
        <f>SUMIFS(M:M,E:E,Online_eCommerce[[#This Row],[Status]])</f>
        <v>28620410</v>
      </c>
      <c r="R4794" s="13">
        <f>SUMIFS(L:L,H:H,Online_eCommerce[[#This Row],[Brand]])</f>
        <v>10950150</v>
      </c>
      <c r="S4794" s="13">
        <f>SUMIF(H:H,Online_eCommerce[[#This Row],[Brand]],M:M)</f>
        <v>14235195</v>
      </c>
      <c r="T4794" s="13">
        <f>SUMIF(N:N,Online_eCommerce[[#This Row],[Assigned Supervisor]],L:L)</f>
        <v>12261500</v>
      </c>
    </row>
    <row r="4795" spans="1:20" hidden="1" x14ac:dyDescent="0.3">
      <c r="A4795" t="s">
        <v>7063</v>
      </c>
      <c r="B4795" t="s">
        <v>135</v>
      </c>
      <c r="C4795" t="s">
        <v>52</v>
      </c>
      <c r="D4795" t="s">
        <v>7020</v>
      </c>
      <c r="E4795" t="s">
        <v>96</v>
      </c>
      <c r="F4795" t="s">
        <v>7064</v>
      </c>
      <c r="G4795" t="s">
        <v>77</v>
      </c>
      <c r="H4795" t="s">
        <v>142</v>
      </c>
      <c r="I4795">
        <v>10000</v>
      </c>
      <c r="J4795">
        <v>13000</v>
      </c>
      <c r="K4795">
        <v>3</v>
      </c>
      <c r="L4795">
        <v>30000</v>
      </c>
      <c r="M4795">
        <v>39000</v>
      </c>
      <c r="N4795" t="s">
        <v>50</v>
      </c>
      <c r="O4795">
        <f t="shared" si="148"/>
        <v>39000</v>
      </c>
      <c r="P4795" s="13">
        <f t="shared" si="149"/>
        <v>1955044</v>
      </c>
      <c r="Q4795" s="13">
        <f>SUMIFS(M:M,E:E,Online_eCommerce[[#This Row],[Status]])</f>
        <v>21233992</v>
      </c>
      <c r="R4795" s="13">
        <f>SUMIFS(L:L,H:H,Online_eCommerce[[#This Row],[Brand]])</f>
        <v>6192500</v>
      </c>
      <c r="S4795" s="13">
        <f>SUMIF(H:H,Online_eCommerce[[#This Row],[Brand]],M:M)</f>
        <v>8050250</v>
      </c>
      <c r="T4795" s="13">
        <f>SUMIF(N:N,Online_eCommerce[[#This Row],[Assigned Supervisor]],L:L)</f>
        <v>12100590</v>
      </c>
    </row>
    <row r="4796" spans="1:20" hidden="1" x14ac:dyDescent="0.3">
      <c r="A4796" t="s">
        <v>7065</v>
      </c>
      <c r="B4796" t="s">
        <v>139</v>
      </c>
      <c r="C4796" t="s">
        <v>58</v>
      </c>
      <c r="D4796" t="s">
        <v>7020</v>
      </c>
      <c r="E4796" t="s">
        <v>18</v>
      </c>
      <c r="F4796" t="s">
        <v>7066</v>
      </c>
      <c r="G4796" t="s">
        <v>20</v>
      </c>
      <c r="H4796" t="s">
        <v>21</v>
      </c>
      <c r="I4796">
        <v>6500</v>
      </c>
      <c r="J4796">
        <v>8450</v>
      </c>
      <c r="K4796">
        <v>2</v>
      </c>
      <c r="L4796">
        <v>13000</v>
      </c>
      <c r="M4796">
        <v>16900</v>
      </c>
      <c r="N4796" t="s">
        <v>56</v>
      </c>
      <c r="O4796">
        <f t="shared" si="148"/>
        <v>8450</v>
      </c>
      <c r="P4796" s="13">
        <f t="shared" si="149"/>
        <v>2629211</v>
      </c>
      <c r="Q4796" s="13">
        <f>SUMIFS(M:M,E:E,Online_eCommerce[[#This Row],[Status]])</f>
        <v>28340455</v>
      </c>
      <c r="R4796" s="13">
        <f>SUMIFS(L:L,H:H,Online_eCommerce[[#This Row],[Brand]])</f>
        <v>12435650</v>
      </c>
      <c r="S4796" s="13">
        <f>SUMIF(H:H,Online_eCommerce[[#This Row],[Brand]],M:M)</f>
        <v>16166345</v>
      </c>
      <c r="T4796" s="13">
        <f>SUMIF(N:N,Online_eCommerce[[#This Row],[Assigned Supervisor]],L:L)</f>
        <v>11733610</v>
      </c>
    </row>
    <row r="4797" spans="1:20" hidden="1" x14ac:dyDescent="0.3">
      <c r="A4797" t="s">
        <v>7067</v>
      </c>
      <c r="B4797" t="s">
        <v>144</v>
      </c>
      <c r="C4797" t="s">
        <v>63</v>
      </c>
      <c r="D4797" t="s">
        <v>7020</v>
      </c>
      <c r="E4797" t="s">
        <v>161</v>
      </c>
      <c r="F4797" t="s">
        <v>7068</v>
      </c>
      <c r="G4797" t="s">
        <v>26</v>
      </c>
      <c r="H4797" t="s">
        <v>27</v>
      </c>
      <c r="I4797">
        <v>8500</v>
      </c>
      <c r="J4797">
        <v>11050</v>
      </c>
      <c r="K4797">
        <v>3</v>
      </c>
      <c r="L4797">
        <v>25500</v>
      </c>
      <c r="M4797">
        <v>33150</v>
      </c>
      <c r="N4797" t="s">
        <v>22</v>
      </c>
      <c r="O4797">
        <f t="shared" si="148"/>
        <v>33150</v>
      </c>
      <c r="P4797" s="13">
        <f t="shared" si="149"/>
        <v>2016131</v>
      </c>
      <c r="Q4797" s="13">
        <f>SUMIFS(M:M,E:E,Online_eCommerce[[#This Row],[Status]])</f>
        <v>21103186</v>
      </c>
      <c r="R4797" s="13">
        <f>SUMIFS(L:L,H:H,Online_eCommerce[[#This Row],[Brand]])</f>
        <v>14431000</v>
      </c>
      <c r="S4797" s="13">
        <f>SUMIF(H:H,Online_eCommerce[[#This Row],[Brand]],M:M)</f>
        <v>18760300</v>
      </c>
      <c r="T4797" s="13">
        <f>SUMIF(N:N,Online_eCommerce[[#This Row],[Assigned Supervisor]],L:L)</f>
        <v>13693220</v>
      </c>
    </row>
    <row r="4798" spans="1:20" x14ac:dyDescent="0.3">
      <c r="A4798" t="s">
        <v>7069</v>
      </c>
      <c r="B4798" t="s">
        <v>149</v>
      </c>
      <c r="C4798" t="s">
        <v>68</v>
      </c>
      <c r="D4798" t="s">
        <v>7020</v>
      </c>
      <c r="E4798" t="s">
        <v>46</v>
      </c>
      <c r="F4798" t="s">
        <v>32</v>
      </c>
      <c r="G4798" t="s">
        <v>33</v>
      </c>
      <c r="H4798" t="s">
        <v>34</v>
      </c>
      <c r="I4798">
        <v>7000</v>
      </c>
      <c r="J4798">
        <v>9100</v>
      </c>
      <c r="K4798">
        <v>3</v>
      </c>
      <c r="L4798">
        <v>21000</v>
      </c>
      <c r="M4798">
        <v>27300</v>
      </c>
      <c r="N4798" t="s">
        <v>28</v>
      </c>
      <c r="O4798">
        <f t="shared" si="148"/>
        <v>18200</v>
      </c>
      <c r="P4798" s="13">
        <f t="shared" si="149"/>
        <v>2974621</v>
      </c>
      <c r="Q4798" s="13">
        <f>SUMIFS(M:M,E:E,Online_eCommerce[[#This Row],[Status]])</f>
        <v>28620410</v>
      </c>
      <c r="R4798" s="13">
        <f>SUMIFS(L:L,H:H,Online_eCommerce[[#This Row],[Brand]])</f>
        <v>10087000</v>
      </c>
      <c r="S4798" s="13">
        <f>SUMIF(H:H,Online_eCommerce[[#This Row],[Brand]],M:M)</f>
        <v>13113100</v>
      </c>
      <c r="T4798" s="13">
        <f>SUMIF(N:N,Online_eCommerce[[#This Row],[Assigned Supervisor]],L:L)</f>
        <v>12220830</v>
      </c>
    </row>
    <row r="4799" spans="1:20" hidden="1" x14ac:dyDescent="0.3">
      <c r="A4799" t="s">
        <v>7070</v>
      </c>
      <c r="B4799" t="s">
        <v>154</v>
      </c>
      <c r="C4799" t="s">
        <v>74</v>
      </c>
      <c r="D4799" t="s">
        <v>7020</v>
      </c>
      <c r="E4799" t="s">
        <v>96</v>
      </c>
      <c r="F4799" t="s">
        <v>7071</v>
      </c>
      <c r="G4799" t="s">
        <v>40</v>
      </c>
      <c r="H4799" t="s">
        <v>41</v>
      </c>
      <c r="I4799">
        <v>6550</v>
      </c>
      <c r="J4799">
        <v>8515</v>
      </c>
      <c r="K4799">
        <v>1</v>
      </c>
      <c r="L4799">
        <v>6550</v>
      </c>
      <c r="M4799">
        <v>8515</v>
      </c>
      <c r="N4799" t="s">
        <v>35</v>
      </c>
      <c r="O4799">
        <f t="shared" si="148"/>
        <v>25545</v>
      </c>
      <c r="P4799" s="13">
        <f t="shared" si="149"/>
        <v>2144701</v>
      </c>
      <c r="Q4799" s="13">
        <f>SUMIFS(M:M,E:E,Online_eCommerce[[#This Row],[Status]])</f>
        <v>21233992</v>
      </c>
      <c r="R4799" s="13">
        <f>SUMIFS(L:L,H:H,Online_eCommerce[[#This Row],[Brand]])</f>
        <v>4260400</v>
      </c>
      <c r="S4799" s="13">
        <f>SUMIF(H:H,Online_eCommerce[[#This Row],[Brand]],M:M)</f>
        <v>5538520</v>
      </c>
      <c r="T4799" s="13">
        <f>SUMIF(N:N,Online_eCommerce[[#This Row],[Assigned Supervisor]],L:L)</f>
        <v>14373360</v>
      </c>
    </row>
    <row r="4800" spans="1:20" hidden="1" x14ac:dyDescent="0.3">
      <c r="A4800" t="s">
        <v>7072</v>
      </c>
      <c r="B4800" t="s">
        <v>159</v>
      </c>
      <c r="C4800" t="s">
        <v>81</v>
      </c>
      <c r="D4800" t="s">
        <v>7073</v>
      </c>
      <c r="E4800" t="s">
        <v>18</v>
      </c>
      <c r="F4800" t="s">
        <v>47</v>
      </c>
      <c r="G4800" t="s">
        <v>334</v>
      </c>
      <c r="H4800" t="s">
        <v>49</v>
      </c>
      <c r="I4800">
        <v>7650</v>
      </c>
      <c r="J4800">
        <v>9945</v>
      </c>
      <c r="K4800">
        <v>4</v>
      </c>
      <c r="L4800">
        <v>30600</v>
      </c>
      <c r="M4800">
        <v>39780</v>
      </c>
      <c r="N4800" t="s">
        <v>42</v>
      </c>
      <c r="O4800">
        <f t="shared" si="148"/>
        <v>39780</v>
      </c>
      <c r="P4800" s="13">
        <f t="shared" si="149"/>
        <v>2595632</v>
      </c>
      <c r="Q4800" s="13">
        <f>SUMIFS(M:M,E:E,Online_eCommerce[[#This Row],[Status]])</f>
        <v>28340455</v>
      </c>
      <c r="R4800" s="13">
        <f>SUMIFS(L:L,H:H,Online_eCommerce[[#This Row],[Brand]])</f>
        <v>4528350</v>
      </c>
      <c r="S4800" s="13">
        <f>SUMIF(H:H,Online_eCommerce[[#This Row],[Brand]],M:M)</f>
        <v>5886855</v>
      </c>
      <c r="T4800" s="13">
        <f>SUMIF(N:N,Online_eCommerce[[#This Row],[Assigned Supervisor]],L:L)</f>
        <v>12261500</v>
      </c>
    </row>
    <row r="4801" spans="1:20" hidden="1" x14ac:dyDescent="0.3">
      <c r="A4801" t="s">
        <v>7074</v>
      </c>
      <c r="B4801" t="s">
        <v>139</v>
      </c>
      <c r="C4801" t="s">
        <v>86</v>
      </c>
      <c r="D4801" t="s">
        <v>7075</v>
      </c>
      <c r="E4801" t="s">
        <v>161</v>
      </c>
      <c r="F4801" t="s">
        <v>53</v>
      </c>
      <c r="G4801" t="s">
        <v>54</v>
      </c>
      <c r="H4801" t="s">
        <v>55</v>
      </c>
      <c r="I4801">
        <v>1150</v>
      </c>
      <c r="J4801">
        <v>1495</v>
      </c>
      <c r="K4801">
        <v>1</v>
      </c>
      <c r="L4801">
        <v>1150</v>
      </c>
      <c r="M4801">
        <v>1495</v>
      </c>
      <c r="N4801" t="s">
        <v>50</v>
      </c>
      <c r="O4801">
        <f t="shared" si="148"/>
        <v>2990</v>
      </c>
      <c r="P4801" s="13">
        <f t="shared" si="149"/>
        <v>1941225</v>
      </c>
      <c r="Q4801" s="13">
        <f>SUMIFS(M:M,E:E,Online_eCommerce[[#This Row],[Status]])</f>
        <v>21103186</v>
      </c>
      <c r="R4801" s="13">
        <f>SUMIFS(L:L,H:H,Online_eCommerce[[#This Row],[Brand]])</f>
        <v>2267380</v>
      </c>
      <c r="S4801" s="13">
        <f>SUMIF(H:H,Online_eCommerce[[#This Row],[Brand]],M:M)</f>
        <v>2947594</v>
      </c>
      <c r="T4801" s="13">
        <f>SUMIF(N:N,Online_eCommerce[[#This Row],[Assigned Supervisor]],L:L)</f>
        <v>12100590</v>
      </c>
    </row>
    <row r="4802" spans="1:20" x14ac:dyDescent="0.3">
      <c r="A4802" t="s">
        <v>7076</v>
      </c>
      <c r="B4802" t="s">
        <v>144</v>
      </c>
      <c r="C4802" t="s">
        <v>91</v>
      </c>
      <c r="D4802" t="s">
        <v>7077</v>
      </c>
      <c r="E4802" t="s">
        <v>46</v>
      </c>
      <c r="F4802" t="s">
        <v>59</v>
      </c>
      <c r="G4802" t="s">
        <v>60</v>
      </c>
      <c r="H4802" t="s">
        <v>61</v>
      </c>
      <c r="I4802">
        <v>850</v>
      </c>
      <c r="J4802">
        <v>1105</v>
      </c>
      <c r="K4802">
        <v>3</v>
      </c>
      <c r="L4802">
        <v>2550</v>
      </c>
      <c r="M4802">
        <v>3315</v>
      </c>
      <c r="N4802" t="s">
        <v>56</v>
      </c>
      <c r="O4802">
        <f t="shared" ref="O4802:O4865" si="150">VLOOKUP(G4802,G:M,7,FALSE)</f>
        <v>3315</v>
      </c>
      <c r="P4802" s="13">
        <f t="shared" ref="P4802:P4865" si="151">SUMIFS(M:M,C:C,C4802)</f>
        <v>2731963</v>
      </c>
      <c r="Q4802" s="13">
        <f>SUMIFS(M:M,E:E,Online_eCommerce[[#This Row],[Status]])</f>
        <v>28620410</v>
      </c>
      <c r="R4802" s="13">
        <f>SUMIFS(L:L,H:H,Online_eCommerce[[#This Row],[Brand]])</f>
        <v>10950150</v>
      </c>
      <c r="S4802" s="13">
        <f>SUMIF(H:H,Online_eCommerce[[#This Row],[Brand]],M:M)</f>
        <v>14235195</v>
      </c>
      <c r="T4802" s="13">
        <f>SUMIF(N:N,Online_eCommerce[[#This Row],[Assigned Supervisor]],L:L)</f>
        <v>11733610</v>
      </c>
    </row>
    <row r="4803" spans="1:20" hidden="1" x14ac:dyDescent="0.3">
      <c r="A4803" t="s">
        <v>7078</v>
      </c>
      <c r="B4803" t="s">
        <v>235</v>
      </c>
      <c r="C4803" t="s">
        <v>94</v>
      </c>
      <c r="D4803" t="s">
        <v>7079</v>
      </c>
      <c r="E4803" t="s">
        <v>96</v>
      </c>
      <c r="F4803" t="s">
        <v>65</v>
      </c>
      <c r="G4803" t="s">
        <v>66</v>
      </c>
      <c r="H4803" t="s">
        <v>21</v>
      </c>
      <c r="I4803">
        <v>650</v>
      </c>
      <c r="J4803">
        <v>845</v>
      </c>
      <c r="K4803">
        <v>1</v>
      </c>
      <c r="L4803">
        <v>650</v>
      </c>
      <c r="M4803">
        <v>845</v>
      </c>
      <c r="N4803" t="s">
        <v>22</v>
      </c>
      <c r="O4803">
        <f t="shared" si="150"/>
        <v>1690</v>
      </c>
      <c r="P4803" s="13">
        <f t="shared" si="151"/>
        <v>1868256</v>
      </c>
      <c r="Q4803" s="13">
        <f>SUMIFS(M:M,E:E,Online_eCommerce[[#This Row],[Status]])</f>
        <v>21233992</v>
      </c>
      <c r="R4803" s="13">
        <f>SUMIFS(L:L,H:H,Online_eCommerce[[#This Row],[Brand]])</f>
        <v>12435650</v>
      </c>
      <c r="S4803" s="13">
        <f>SUMIF(H:H,Online_eCommerce[[#This Row],[Brand]],M:M)</f>
        <v>16166345</v>
      </c>
      <c r="T4803" s="13">
        <f>SUMIF(N:N,Online_eCommerce[[#This Row],[Assigned Supervisor]],L:L)</f>
        <v>13693220</v>
      </c>
    </row>
    <row r="4804" spans="1:20" hidden="1" x14ac:dyDescent="0.3">
      <c r="A4804" t="s">
        <v>7080</v>
      </c>
      <c r="B4804" t="s">
        <v>176</v>
      </c>
      <c r="C4804" t="s">
        <v>99</v>
      </c>
      <c r="D4804" t="s">
        <v>7081</v>
      </c>
      <c r="E4804" t="s">
        <v>18</v>
      </c>
      <c r="F4804" t="s">
        <v>70</v>
      </c>
      <c r="G4804" t="s">
        <v>71</v>
      </c>
      <c r="H4804" t="s">
        <v>61</v>
      </c>
      <c r="I4804">
        <v>7500</v>
      </c>
      <c r="J4804">
        <v>9750</v>
      </c>
      <c r="K4804">
        <v>4</v>
      </c>
      <c r="L4804">
        <v>30000</v>
      </c>
      <c r="M4804">
        <v>39000</v>
      </c>
      <c r="N4804" t="s">
        <v>28</v>
      </c>
      <c r="O4804">
        <f t="shared" si="150"/>
        <v>9750</v>
      </c>
      <c r="P4804" s="13">
        <f t="shared" si="151"/>
        <v>2651233</v>
      </c>
      <c r="Q4804" s="13">
        <f>SUMIFS(M:M,E:E,Online_eCommerce[[#This Row],[Status]])</f>
        <v>28340455</v>
      </c>
      <c r="R4804" s="13">
        <f>SUMIFS(L:L,H:H,Online_eCommerce[[#This Row],[Brand]])</f>
        <v>10950150</v>
      </c>
      <c r="S4804" s="13">
        <f>SUMIF(H:H,Online_eCommerce[[#This Row],[Brand]],M:M)</f>
        <v>14235195</v>
      </c>
      <c r="T4804" s="13">
        <f>SUMIF(N:N,Online_eCommerce[[#This Row],[Assigned Supervisor]],L:L)</f>
        <v>12220830</v>
      </c>
    </row>
    <row r="4805" spans="1:20" hidden="1" x14ac:dyDescent="0.3">
      <c r="A4805" t="s">
        <v>7082</v>
      </c>
      <c r="B4805" t="s">
        <v>276</v>
      </c>
      <c r="C4805" t="s">
        <v>105</v>
      </c>
      <c r="D4805" t="s">
        <v>7083</v>
      </c>
      <c r="E4805" t="s">
        <v>161</v>
      </c>
      <c r="F4805" t="s">
        <v>7064</v>
      </c>
      <c r="G4805" t="s">
        <v>77</v>
      </c>
      <c r="H4805" t="s">
        <v>78</v>
      </c>
      <c r="I4805">
        <v>10000</v>
      </c>
      <c r="J4805">
        <v>13000</v>
      </c>
      <c r="K4805">
        <v>1</v>
      </c>
      <c r="L4805">
        <v>10000</v>
      </c>
      <c r="M4805">
        <v>13000</v>
      </c>
      <c r="N4805" t="s">
        <v>35</v>
      </c>
      <c r="O4805">
        <f t="shared" si="150"/>
        <v>39000</v>
      </c>
      <c r="P4805" s="13">
        <f t="shared" si="151"/>
        <v>1866852</v>
      </c>
      <c r="Q4805" s="13">
        <f>SUMIFS(M:M,E:E,Online_eCommerce[[#This Row],[Status]])</f>
        <v>21103186</v>
      </c>
      <c r="R4805" s="13">
        <f>SUMIFS(L:L,H:H,Online_eCommerce[[#This Row],[Brand]])</f>
        <v>3720000</v>
      </c>
      <c r="S4805" s="13">
        <f>SUMIF(H:H,Online_eCommerce[[#This Row],[Brand]],M:M)</f>
        <v>4836000</v>
      </c>
      <c r="T4805" s="13">
        <f>SUMIF(N:N,Online_eCommerce[[#This Row],[Assigned Supervisor]],L:L)</f>
        <v>14373360</v>
      </c>
    </row>
    <row r="4806" spans="1:20" x14ac:dyDescent="0.3">
      <c r="A4806" t="s">
        <v>7084</v>
      </c>
      <c r="B4806" t="s">
        <v>280</v>
      </c>
      <c r="C4806" t="s">
        <v>110</v>
      </c>
      <c r="D4806" t="s">
        <v>7085</v>
      </c>
      <c r="E4806" t="s">
        <v>46</v>
      </c>
      <c r="F4806" t="s">
        <v>7086</v>
      </c>
      <c r="G4806" t="s">
        <v>20</v>
      </c>
      <c r="H4806" t="s">
        <v>21</v>
      </c>
      <c r="I4806">
        <v>10500</v>
      </c>
      <c r="J4806">
        <v>13650</v>
      </c>
      <c r="K4806">
        <v>4</v>
      </c>
      <c r="L4806">
        <v>42000</v>
      </c>
      <c r="M4806">
        <v>54600</v>
      </c>
      <c r="N4806" t="s">
        <v>42</v>
      </c>
      <c r="O4806">
        <f t="shared" si="150"/>
        <v>8450</v>
      </c>
      <c r="P4806" s="13">
        <f t="shared" si="151"/>
        <v>2598635</v>
      </c>
      <c r="Q4806" s="13">
        <f>SUMIFS(M:M,E:E,Online_eCommerce[[#This Row],[Status]])</f>
        <v>28620410</v>
      </c>
      <c r="R4806" s="13">
        <f>SUMIFS(L:L,H:H,Online_eCommerce[[#This Row],[Brand]])</f>
        <v>12435650</v>
      </c>
      <c r="S4806" s="13">
        <f>SUMIF(H:H,Online_eCommerce[[#This Row],[Brand]],M:M)</f>
        <v>16166345</v>
      </c>
      <c r="T4806" s="13">
        <f>SUMIF(N:N,Online_eCommerce[[#This Row],[Assigned Supervisor]],L:L)</f>
        <v>12261500</v>
      </c>
    </row>
    <row r="4807" spans="1:20" hidden="1" x14ac:dyDescent="0.3">
      <c r="A4807" t="s">
        <v>7087</v>
      </c>
      <c r="B4807" t="s">
        <v>283</v>
      </c>
      <c r="C4807" t="s">
        <v>115</v>
      </c>
      <c r="D4807" t="s">
        <v>7088</v>
      </c>
      <c r="E4807" t="s">
        <v>96</v>
      </c>
      <c r="F4807" t="s">
        <v>88</v>
      </c>
      <c r="G4807" t="s">
        <v>26</v>
      </c>
      <c r="H4807" t="s">
        <v>27</v>
      </c>
      <c r="I4807">
        <v>8500</v>
      </c>
      <c r="J4807">
        <v>11050</v>
      </c>
      <c r="K4807">
        <v>3</v>
      </c>
      <c r="L4807">
        <v>25500</v>
      </c>
      <c r="M4807">
        <v>33150</v>
      </c>
      <c r="N4807" t="s">
        <v>50</v>
      </c>
      <c r="O4807">
        <f t="shared" si="150"/>
        <v>33150</v>
      </c>
      <c r="P4807" s="13">
        <f t="shared" si="151"/>
        <v>2050178</v>
      </c>
      <c r="Q4807" s="13">
        <f>SUMIFS(M:M,E:E,Online_eCommerce[[#This Row],[Status]])</f>
        <v>21233992</v>
      </c>
      <c r="R4807" s="13">
        <f>SUMIFS(L:L,H:H,Online_eCommerce[[#This Row],[Brand]])</f>
        <v>14431000</v>
      </c>
      <c r="S4807" s="13">
        <f>SUMIF(H:H,Online_eCommerce[[#This Row],[Brand]],M:M)</f>
        <v>18760300</v>
      </c>
      <c r="T4807" s="13">
        <f>SUMIF(N:N,Online_eCommerce[[#This Row],[Assigned Supervisor]],L:L)</f>
        <v>12100590</v>
      </c>
    </row>
    <row r="4808" spans="1:20" hidden="1" x14ac:dyDescent="0.3">
      <c r="A4808" t="s">
        <v>7089</v>
      </c>
      <c r="B4808" t="s">
        <v>287</v>
      </c>
      <c r="C4808" t="s">
        <v>120</v>
      </c>
      <c r="D4808" t="s">
        <v>7090</v>
      </c>
      <c r="E4808" t="s">
        <v>18</v>
      </c>
      <c r="F4808" t="s">
        <v>32</v>
      </c>
      <c r="G4808" t="s">
        <v>33</v>
      </c>
      <c r="H4808" t="s">
        <v>34</v>
      </c>
      <c r="I4808">
        <v>7000</v>
      </c>
      <c r="J4808">
        <v>9100</v>
      </c>
      <c r="K4808">
        <v>2</v>
      </c>
      <c r="L4808">
        <v>14000</v>
      </c>
      <c r="M4808">
        <v>18200</v>
      </c>
      <c r="N4808" t="s">
        <v>56</v>
      </c>
      <c r="O4808">
        <f t="shared" si="150"/>
        <v>18200</v>
      </c>
      <c r="P4808" s="13">
        <f t="shared" si="151"/>
        <v>2734212</v>
      </c>
      <c r="Q4808" s="13">
        <f>SUMIFS(M:M,E:E,Online_eCommerce[[#This Row],[Status]])</f>
        <v>28340455</v>
      </c>
      <c r="R4808" s="13">
        <f>SUMIFS(L:L,H:H,Online_eCommerce[[#This Row],[Brand]])</f>
        <v>10087000</v>
      </c>
      <c r="S4808" s="13">
        <f>SUMIF(H:H,Online_eCommerce[[#This Row],[Brand]],M:M)</f>
        <v>13113100</v>
      </c>
      <c r="T4808" s="13">
        <f>SUMIF(N:N,Online_eCommerce[[#This Row],[Assigned Supervisor]],L:L)</f>
        <v>11733610</v>
      </c>
    </row>
    <row r="4809" spans="1:20" hidden="1" x14ac:dyDescent="0.3">
      <c r="A4809" t="s">
        <v>7091</v>
      </c>
      <c r="B4809" t="s">
        <v>290</v>
      </c>
      <c r="C4809" t="s">
        <v>125</v>
      </c>
      <c r="D4809" t="s">
        <v>7092</v>
      </c>
      <c r="E4809" t="s">
        <v>161</v>
      </c>
      <c r="F4809" t="s">
        <v>7093</v>
      </c>
      <c r="G4809" t="s">
        <v>40</v>
      </c>
      <c r="H4809" t="s">
        <v>41</v>
      </c>
      <c r="I4809">
        <v>1680</v>
      </c>
      <c r="J4809">
        <v>2184</v>
      </c>
      <c r="K4809">
        <v>4</v>
      </c>
      <c r="L4809">
        <v>6720</v>
      </c>
      <c r="M4809">
        <v>8736</v>
      </c>
      <c r="N4809" t="s">
        <v>22</v>
      </c>
      <c r="O4809">
        <f t="shared" si="150"/>
        <v>25545</v>
      </c>
      <c r="P4809" s="13">
        <f t="shared" si="151"/>
        <v>2091154</v>
      </c>
      <c r="Q4809" s="13">
        <f>SUMIFS(M:M,E:E,Online_eCommerce[[#This Row],[Status]])</f>
        <v>21103186</v>
      </c>
      <c r="R4809" s="13">
        <f>SUMIFS(L:L,H:H,Online_eCommerce[[#This Row],[Brand]])</f>
        <v>4260400</v>
      </c>
      <c r="S4809" s="13">
        <f>SUMIF(H:H,Online_eCommerce[[#This Row],[Brand]],M:M)</f>
        <v>5538520</v>
      </c>
      <c r="T4809" s="13">
        <f>SUMIF(N:N,Online_eCommerce[[#This Row],[Assigned Supervisor]],L:L)</f>
        <v>13693220</v>
      </c>
    </row>
    <row r="4810" spans="1:20" x14ac:dyDescent="0.3">
      <c r="A4810" t="s">
        <v>7094</v>
      </c>
      <c r="B4810" t="s">
        <v>15</v>
      </c>
      <c r="C4810" t="s">
        <v>22</v>
      </c>
      <c r="D4810" t="s">
        <v>7095</v>
      </c>
      <c r="E4810" t="s">
        <v>46</v>
      </c>
      <c r="F4810" t="s">
        <v>101</v>
      </c>
      <c r="G4810" t="s">
        <v>334</v>
      </c>
      <c r="H4810" t="s">
        <v>102</v>
      </c>
      <c r="I4810">
        <v>6540</v>
      </c>
      <c r="J4810">
        <v>8502</v>
      </c>
      <c r="K4810">
        <v>1</v>
      </c>
      <c r="L4810">
        <v>6540</v>
      </c>
      <c r="M4810">
        <v>8502</v>
      </c>
      <c r="N4810" t="s">
        <v>28</v>
      </c>
      <c r="O4810">
        <f t="shared" si="150"/>
        <v>39780</v>
      </c>
      <c r="P4810" s="13">
        <f t="shared" si="151"/>
        <v>2551588</v>
      </c>
      <c r="Q4810" s="13">
        <f>SUMIFS(M:M,E:E,Online_eCommerce[[#This Row],[Status]])</f>
        <v>28620410</v>
      </c>
      <c r="R4810" s="13">
        <f>SUMIFS(L:L,H:H,Online_eCommerce[[#This Row],[Brand]])</f>
        <v>2465580</v>
      </c>
      <c r="S4810" s="13">
        <f>SUMIF(H:H,Online_eCommerce[[#This Row],[Brand]],M:M)</f>
        <v>3205254</v>
      </c>
      <c r="T4810" s="13">
        <f>SUMIF(N:N,Online_eCommerce[[#This Row],[Assigned Supervisor]],L:L)</f>
        <v>12220830</v>
      </c>
    </row>
    <row r="4811" spans="1:20" hidden="1" x14ac:dyDescent="0.3">
      <c r="A4811" t="s">
        <v>7096</v>
      </c>
      <c r="B4811" t="s">
        <v>202</v>
      </c>
      <c r="C4811" t="s">
        <v>132</v>
      </c>
      <c r="D4811" t="s">
        <v>7097</v>
      </c>
      <c r="E4811" t="s">
        <v>96</v>
      </c>
      <c r="F4811" t="s">
        <v>107</v>
      </c>
      <c r="G4811" t="s">
        <v>54</v>
      </c>
      <c r="H4811" t="s">
        <v>55</v>
      </c>
      <c r="I4811">
        <v>2680</v>
      </c>
      <c r="J4811">
        <v>3484</v>
      </c>
      <c r="K4811">
        <v>2</v>
      </c>
      <c r="L4811">
        <v>5360</v>
      </c>
      <c r="M4811">
        <v>6968</v>
      </c>
      <c r="N4811" t="s">
        <v>35</v>
      </c>
      <c r="O4811">
        <f t="shared" si="150"/>
        <v>2990</v>
      </c>
      <c r="P4811" s="13">
        <f t="shared" si="151"/>
        <v>1989065</v>
      </c>
      <c r="Q4811" s="13">
        <f>SUMIFS(M:M,E:E,Online_eCommerce[[#This Row],[Status]])</f>
        <v>21233992</v>
      </c>
      <c r="R4811" s="13">
        <f>SUMIFS(L:L,H:H,Online_eCommerce[[#This Row],[Brand]])</f>
        <v>2267380</v>
      </c>
      <c r="S4811" s="13">
        <f>SUMIF(H:H,Online_eCommerce[[#This Row],[Brand]],M:M)</f>
        <v>2947594</v>
      </c>
      <c r="T4811" s="13">
        <f>SUMIF(N:N,Online_eCommerce[[#This Row],[Assigned Supervisor]],L:L)</f>
        <v>14373360</v>
      </c>
    </row>
    <row r="4812" spans="1:20" hidden="1" x14ac:dyDescent="0.3">
      <c r="A4812" t="s">
        <v>7098</v>
      </c>
      <c r="B4812" t="s">
        <v>30</v>
      </c>
      <c r="C4812" t="s">
        <v>136</v>
      </c>
      <c r="D4812" t="s">
        <v>7099</v>
      </c>
      <c r="E4812" t="s">
        <v>18</v>
      </c>
      <c r="F4812" t="s">
        <v>112</v>
      </c>
      <c r="G4812" t="s">
        <v>71</v>
      </c>
      <c r="H4812" t="s">
        <v>21</v>
      </c>
      <c r="I4812">
        <v>8250</v>
      </c>
      <c r="J4812">
        <v>10725</v>
      </c>
      <c r="K4812">
        <v>4</v>
      </c>
      <c r="L4812">
        <v>33000</v>
      </c>
      <c r="M4812">
        <v>42900</v>
      </c>
      <c r="N4812" t="s">
        <v>42</v>
      </c>
      <c r="O4812">
        <f t="shared" si="150"/>
        <v>9750</v>
      </c>
      <c r="P4812" s="13">
        <f t="shared" si="151"/>
        <v>2775162</v>
      </c>
      <c r="Q4812" s="13">
        <f>SUMIFS(M:M,E:E,Online_eCommerce[[#This Row],[Status]])</f>
        <v>28340455</v>
      </c>
      <c r="R4812" s="13">
        <f>SUMIFS(L:L,H:H,Online_eCommerce[[#This Row],[Brand]])</f>
        <v>12435650</v>
      </c>
      <c r="S4812" s="13">
        <f>SUMIF(H:H,Online_eCommerce[[#This Row],[Brand]],M:M)</f>
        <v>16166345</v>
      </c>
      <c r="T4812" s="13">
        <f>SUMIF(N:N,Online_eCommerce[[#This Row],[Assigned Supervisor]],L:L)</f>
        <v>12261500</v>
      </c>
    </row>
    <row r="4813" spans="1:20" hidden="1" x14ac:dyDescent="0.3">
      <c r="A4813" t="s">
        <v>7100</v>
      </c>
      <c r="B4813" t="s">
        <v>37</v>
      </c>
      <c r="C4813" t="s">
        <v>140</v>
      </c>
      <c r="D4813" t="s">
        <v>7101</v>
      </c>
      <c r="E4813" t="s">
        <v>161</v>
      </c>
      <c r="F4813" t="s">
        <v>6641</v>
      </c>
      <c r="G4813" t="s">
        <v>40</v>
      </c>
      <c r="H4813" t="s">
        <v>21</v>
      </c>
      <c r="I4813">
        <v>2650</v>
      </c>
      <c r="J4813">
        <v>3445</v>
      </c>
      <c r="K4813">
        <v>1</v>
      </c>
      <c r="L4813">
        <v>2650</v>
      </c>
      <c r="M4813">
        <v>3445</v>
      </c>
      <c r="N4813" t="s">
        <v>50</v>
      </c>
      <c r="O4813">
        <f t="shared" si="150"/>
        <v>25545</v>
      </c>
      <c r="P4813" s="13">
        <f t="shared" si="151"/>
        <v>2058264</v>
      </c>
      <c r="Q4813" s="13">
        <f>SUMIFS(M:M,E:E,Online_eCommerce[[#This Row],[Status]])</f>
        <v>21103186</v>
      </c>
      <c r="R4813" s="13">
        <f>SUMIFS(L:L,H:H,Online_eCommerce[[#This Row],[Brand]])</f>
        <v>12435650</v>
      </c>
      <c r="S4813" s="13">
        <f>SUMIF(H:H,Online_eCommerce[[#This Row],[Brand]],M:M)</f>
        <v>16166345</v>
      </c>
      <c r="T4813" s="13">
        <f>SUMIF(N:N,Online_eCommerce[[#This Row],[Assigned Supervisor]],L:L)</f>
        <v>12100590</v>
      </c>
    </row>
    <row r="4814" spans="1:20" x14ac:dyDescent="0.3">
      <c r="A4814" t="s">
        <v>7102</v>
      </c>
      <c r="B4814" t="s">
        <v>44</v>
      </c>
      <c r="C4814" t="s">
        <v>145</v>
      </c>
      <c r="D4814" t="s">
        <v>7103</v>
      </c>
      <c r="E4814" t="s">
        <v>46</v>
      </c>
      <c r="F4814" t="s">
        <v>121</v>
      </c>
      <c r="G4814" t="s">
        <v>71</v>
      </c>
      <c r="H4814" t="s">
        <v>122</v>
      </c>
      <c r="I4814">
        <v>12550</v>
      </c>
      <c r="J4814">
        <v>16315</v>
      </c>
      <c r="K4814">
        <v>4</v>
      </c>
      <c r="L4814">
        <v>50200</v>
      </c>
      <c r="M4814">
        <v>65260</v>
      </c>
      <c r="N4814" t="s">
        <v>56</v>
      </c>
      <c r="O4814">
        <f t="shared" si="150"/>
        <v>9750</v>
      </c>
      <c r="P4814" s="13">
        <f t="shared" si="151"/>
        <v>2757859</v>
      </c>
      <c r="Q4814" s="13">
        <f>SUMIFS(M:M,E:E,Online_eCommerce[[#This Row],[Status]])</f>
        <v>28620410</v>
      </c>
      <c r="R4814" s="13">
        <f>SUMIFS(L:L,H:H,Online_eCommerce[[#This Row],[Brand]])</f>
        <v>5045100</v>
      </c>
      <c r="S4814" s="13">
        <f>SUMIF(H:H,Online_eCommerce[[#This Row],[Brand]],M:M)</f>
        <v>6558630</v>
      </c>
      <c r="T4814" s="13">
        <f>SUMIF(N:N,Online_eCommerce[[#This Row],[Assigned Supervisor]],L:L)</f>
        <v>11733610</v>
      </c>
    </row>
    <row r="4815" spans="1:20" hidden="1" x14ac:dyDescent="0.3">
      <c r="A4815" t="s">
        <v>7104</v>
      </c>
      <c r="B4815" t="s">
        <v>213</v>
      </c>
      <c r="C4815" t="s">
        <v>150</v>
      </c>
      <c r="D4815" t="s">
        <v>7105</v>
      </c>
      <c r="E4815" t="s">
        <v>96</v>
      </c>
      <c r="F4815" t="s">
        <v>126</v>
      </c>
      <c r="G4815" t="s">
        <v>26</v>
      </c>
      <c r="H4815" t="s">
        <v>27</v>
      </c>
      <c r="I4815">
        <v>14500</v>
      </c>
      <c r="J4815">
        <v>18850</v>
      </c>
      <c r="K4815">
        <v>2</v>
      </c>
      <c r="L4815">
        <v>29000</v>
      </c>
      <c r="M4815">
        <v>37700</v>
      </c>
      <c r="N4815" t="s">
        <v>22</v>
      </c>
      <c r="O4815">
        <f t="shared" si="150"/>
        <v>33150</v>
      </c>
      <c r="P4815" s="13">
        <f t="shared" si="151"/>
        <v>2154984</v>
      </c>
      <c r="Q4815" s="13">
        <f>SUMIFS(M:M,E:E,Online_eCommerce[[#This Row],[Status]])</f>
        <v>21233992</v>
      </c>
      <c r="R4815" s="13">
        <f>SUMIFS(L:L,H:H,Online_eCommerce[[#This Row],[Brand]])</f>
        <v>14431000</v>
      </c>
      <c r="S4815" s="13">
        <f>SUMIF(H:H,Online_eCommerce[[#This Row],[Brand]],M:M)</f>
        <v>18760300</v>
      </c>
      <c r="T4815" s="13">
        <f>SUMIF(N:N,Online_eCommerce[[#This Row],[Assigned Supervisor]],L:L)</f>
        <v>13693220</v>
      </c>
    </row>
    <row r="4816" spans="1:20" hidden="1" x14ac:dyDescent="0.3">
      <c r="A4816" t="s">
        <v>7106</v>
      </c>
      <c r="B4816" t="s">
        <v>215</v>
      </c>
      <c r="C4816" t="s">
        <v>155</v>
      </c>
      <c r="D4816" t="s">
        <v>7107</v>
      </c>
      <c r="E4816" t="s">
        <v>18</v>
      </c>
      <c r="F4816" t="s">
        <v>129</v>
      </c>
      <c r="G4816" t="s">
        <v>60</v>
      </c>
      <c r="H4816" t="s">
        <v>61</v>
      </c>
      <c r="I4816">
        <v>800</v>
      </c>
      <c r="J4816">
        <v>1040</v>
      </c>
      <c r="K4816">
        <v>2</v>
      </c>
      <c r="L4816">
        <v>1600</v>
      </c>
      <c r="M4816">
        <v>2080</v>
      </c>
      <c r="N4816" t="s">
        <v>28</v>
      </c>
      <c r="O4816">
        <f t="shared" si="150"/>
        <v>3315</v>
      </c>
      <c r="P4816" s="13">
        <f t="shared" si="151"/>
        <v>2753348</v>
      </c>
      <c r="Q4816" s="13">
        <f>SUMIFS(M:M,E:E,Online_eCommerce[[#This Row],[Status]])</f>
        <v>28340455</v>
      </c>
      <c r="R4816" s="13">
        <f>SUMIFS(L:L,H:H,Online_eCommerce[[#This Row],[Brand]])</f>
        <v>10950150</v>
      </c>
      <c r="S4816" s="13">
        <f>SUMIF(H:H,Online_eCommerce[[#This Row],[Brand]],M:M)</f>
        <v>14235195</v>
      </c>
      <c r="T4816" s="13">
        <f>SUMIF(N:N,Online_eCommerce[[#This Row],[Assigned Supervisor]],L:L)</f>
        <v>12220830</v>
      </c>
    </row>
    <row r="4817" spans="1:20" hidden="1" x14ac:dyDescent="0.3">
      <c r="A4817" t="s">
        <v>7108</v>
      </c>
      <c r="B4817" t="s">
        <v>306</v>
      </c>
      <c r="C4817" t="s">
        <v>160</v>
      </c>
      <c r="D4817" t="s">
        <v>7109</v>
      </c>
      <c r="E4817" t="s">
        <v>161</v>
      </c>
      <c r="F4817" t="s">
        <v>133</v>
      </c>
      <c r="G4817" t="s">
        <v>66</v>
      </c>
      <c r="H4817" t="s">
        <v>21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t="s">
        <v>35</v>
      </c>
      <c r="O4817">
        <f t="shared" si="150"/>
        <v>1690</v>
      </c>
      <c r="P4817" s="13">
        <f t="shared" si="151"/>
        <v>2303483</v>
      </c>
      <c r="Q4817" s="13">
        <f>SUMIFS(M:M,E:E,Online_eCommerce[[#This Row],[Status]])</f>
        <v>21103186</v>
      </c>
      <c r="R4817" s="13">
        <f>SUMIFS(L:L,H:H,Online_eCommerce[[#This Row],[Brand]])</f>
        <v>12435650</v>
      </c>
      <c r="S4817" s="13">
        <f>SUMIF(H:H,Online_eCommerce[[#This Row],[Brand]],M:M)</f>
        <v>16166345</v>
      </c>
      <c r="T4817" s="13">
        <f>SUMIF(N:N,Online_eCommerce[[#This Row],[Assigned Supervisor]],L:L)</f>
        <v>14373360</v>
      </c>
    </row>
    <row r="4818" spans="1:20" x14ac:dyDescent="0.3">
      <c r="A4818" t="s">
        <v>7110</v>
      </c>
      <c r="B4818" t="s">
        <v>528</v>
      </c>
      <c r="C4818" t="s">
        <v>165</v>
      </c>
      <c r="D4818" t="s">
        <v>7111</v>
      </c>
      <c r="E4818" t="s">
        <v>46</v>
      </c>
      <c r="F4818" t="s">
        <v>137</v>
      </c>
      <c r="G4818" t="s">
        <v>71</v>
      </c>
      <c r="H4818" t="s">
        <v>61</v>
      </c>
      <c r="I4818">
        <v>10500</v>
      </c>
      <c r="J4818">
        <v>13650</v>
      </c>
      <c r="K4818">
        <v>4</v>
      </c>
      <c r="L4818">
        <v>42000</v>
      </c>
      <c r="M4818">
        <v>54600</v>
      </c>
      <c r="N4818" t="s">
        <v>42</v>
      </c>
      <c r="O4818">
        <f t="shared" si="150"/>
        <v>9750</v>
      </c>
      <c r="P4818" s="13">
        <f t="shared" si="151"/>
        <v>2674087</v>
      </c>
      <c r="Q4818" s="13">
        <f>SUMIFS(M:M,E:E,Online_eCommerce[[#This Row],[Status]])</f>
        <v>28620410</v>
      </c>
      <c r="R4818" s="13">
        <f>SUMIFS(L:L,H:H,Online_eCommerce[[#This Row],[Brand]])</f>
        <v>10950150</v>
      </c>
      <c r="S4818" s="13">
        <f>SUMIF(H:H,Online_eCommerce[[#This Row],[Brand]],M:M)</f>
        <v>14235195</v>
      </c>
      <c r="T4818" s="13">
        <f>SUMIF(N:N,Online_eCommerce[[#This Row],[Assigned Supervisor]],L:L)</f>
        <v>12261500</v>
      </c>
    </row>
    <row r="4819" spans="1:20" hidden="1" x14ac:dyDescent="0.3">
      <c r="A4819" t="s">
        <v>7112</v>
      </c>
      <c r="B4819" t="s">
        <v>73</v>
      </c>
      <c r="C4819" t="s">
        <v>168</v>
      </c>
      <c r="D4819" t="s">
        <v>7113</v>
      </c>
      <c r="E4819" t="s">
        <v>96</v>
      </c>
      <c r="F4819" t="s">
        <v>7064</v>
      </c>
      <c r="G4819" t="s">
        <v>77</v>
      </c>
      <c r="H4819" t="s">
        <v>142</v>
      </c>
      <c r="I4819">
        <v>6500</v>
      </c>
      <c r="J4819">
        <v>8450</v>
      </c>
      <c r="K4819">
        <v>2</v>
      </c>
      <c r="L4819">
        <v>13000</v>
      </c>
      <c r="M4819">
        <v>16900</v>
      </c>
      <c r="N4819" t="s">
        <v>50</v>
      </c>
      <c r="O4819">
        <f t="shared" si="150"/>
        <v>39000</v>
      </c>
      <c r="P4819" s="13">
        <f t="shared" si="151"/>
        <v>1937780</v>
      </c>
      <c r="Q4819" s="13">
        <f>SUMIFS(M:M,E:E,Online_eCommerce[[#This Row],[Status]])</f>
        <v>21233992</v>
      </c>
      <c r="R4819" s="13">
        <f>SUMIFS(L:L,H:H,Online_eCommerce[[#This Row],[Brand]])</f>
        <v>6192500</v>
      </c>
      <c r="S4819" s="13">
        <f>SUMIF(H:H,Online_eCommerce[[#This Row],[Brand]],M:M)</f>
        <v>8050250</v>
      </c>
      <c r="T4819" s="13">
        <f>SUMIF(N:N,Online_eCommerce[[#This Row],[Assigned Supervisor]],L:L)</f>
        <v>12100590</v>
      </c>
    </row>
    <row r="4820" spans="1:20" hidden="1" x14ac:dyDescent="0.3">
      <c r="A4820" t="s">
        <v>7114</v>
      </c>
      <c r="B4820" t="s">
        <v>80</v>
      </c>
      <c r="C4820" t="s">
        <v>172</v>
      </c>
      <c r="D4820" t="s">
        <v>7115</v>
      </c>
      <c r="E4820" t="s">
        <v>18</v>
      </c>
      <c r="F4820" t="s">
        <v>7116</v>
      </c>
      <c r="G4820" t="s">
        <v>20</v>
      </c>
      <c r="H4820" t="s">
        <v>21</v>
      </c>
      <c r="I4820">
        <v>4500</v>
      </c>
      <c r="J4820">
        <v>5850</v>
      </c>
      <c r="K4820">
        <v>2</v>
      </c>
      <c r="L4820">
        <v>9000</v>
      </c>
      <c r="M4820">
        <v>11700</v>
      </c>
      <c r="N4820" t="s">
        <v>56</v>
      </c>
      <c r="O4820">
        <f t="shared" si="150"/>
        <v>8450</v>
      </c>
      <c r="P4820" s="13">
        <f t="shared" si="151"/>
        <v>2640274</v>
      </c>
      <c r="Q4820" s="13">
        <f>SUMIFS(M:M,E:E,Online_eCommerce[[#This Row],[Status]])</f>
        <v>28340455</v>
      </c>
      <c r="R4820" s="13">
        <f>SUMIFS(L:L,H:H,Online_eCommerce[[#This Row],[Brand]])</f>
        <v>12435650</v>
      </c>
      <c r="S4820" s="13">
        <f>SUMIF(H:H,Online_eCommerce[[#This Row],[Brand]],M:M)</f>
        <v>16166345</v>
      </c>
      <c r="T4820" s="13">
        <f>SUMIF(N:N,Online_eCommerce[[#This Row],[Assigned Supervisor]],L:L)</f>
        <v>11733610</v>
      </c>
    </row>
    <row r="4821" spans="1:20" hidden="1" x14ac:dyDescent="0.3">
      <c r="A4821" t="s">
        <v>7117</v>
      </c>
      <c r="B4821" t="s">
        <v>85</v>
      </c>
      <c r="C4821" t="s">
        <v>177</v>
      </c>
      <c r="D4821" t="s">
        <v>7118</v>
      </c>
      <c r="E4821" t="s">
        <v>161</v>
      </c>
      <c r="F4821" t="s">
        <v>152</v>
      </c>
      <c r="G4821" t="s">
        <v>26</v>
      </c>
      <c r="H4821" t="s">
        <v>27</v>
      </c>
      <c r="I4821">
        <v>8500</v>
      </c>
      <c r="J4821">
        <v>11050</v>
      </c>
      <c r="K4821">
        <v>1</v>
      </c>
      <c r="L4821">
        <v>8500</v>
      </c>
      <c r="M4821">
        <v>11050</v>
      </c>
      <c r="N4821" t="s">
        <v>22</v>
      </c>
      <c r="O4821">
        <f t="shared" si="150"/>
        <v>33150</v>
      </c>
      <c r="P4821" s="13">
        <f t="shared" si="151"/>
        <v>1863810</v>
      </c>
      <c r="Q4821" s="13">
        <f>SUMIFS(M:M,E:E,Online_eCommerce[[#This Row],[Status]])</f>
        <v>21103186</v>
      </c>
      <c r="R4821" s="13">
        <f>SUMIFS(L:L,H:H,Online_eCommerce[[#This Row],[Brand]])</f>
        <v>14431000</v>
      </c>
      <c r="S4821" s="13">
        <f>SUMIF(H:H,Online_eCommerce[[#This Row],[Brand]],M:M)</f>
        <v>18760300</v>
      </c>
      <c r="T4821" s="13">
        <f>SUMIF(N:N,Online_eCommerce[[#This Row],[Assigned Supervisor]],L:L)</f>
        <v>13693220</v>
      </c>
    </row>
    <row r="4822" spans="1:20" x14ac:dyDescent="0.3">
      <c r="A4822" t="s">
        <v>7119</v>
      </c>
      <c r="B4822" t="s">
        <v>90</v>
      </c>
      <c r="C4822" t="s">
        <v>181</v>
      </c>
      <c r="D4822" t="s">
        <v>7120</v>
      </c>
      <c r="E4822" t="s">
        <v>46</v>
      </c>
      <c r="F4822" t="s">
        <v>157</v>
      </c>
      <c r="G4822" t="s">
        <v>33</v>
      </c>
      <c r="H4822" t="s">
        <v>34</v>
      </c>
      <c r="I4822">
        <v>12500</v>
      </c>
      <c r="J4822">
        <v>16250</v>
      </c>
      <c r="K4822">
        <v>4</v>
      </c>
      <c r="L4822">
        <v>50000</v>
      </c>
      <c r="M4822">
        <v>65000</v>
      </c>
      <c r="N4822" t="s">
        <v>28</v>
      </c>
      <c r="O4822">
        <f t="shared" si="150"/>
        <v>18200</v>
      </c>
      <c r="P4822" s="13">
        <f t="shared" si="151"/>
        <v>2577458</v>
      </c>
      <c r="Q4822" s="13">
        <f>SUMIFS(M:M,E:E,Online_eCommerce[[#This Row],[Status]])</f>
        <v>28620410</v>
      </c>
      <c r="R4822" s="13">
        <f>SUMIFS(L:L,H:H,Online_eCommerce[[#This Row],[Brand]])</f>
        <v>10087000</v>
      </c>
      <c r="S4822" s="13">
        <f>SUMIF(H:H,Online_eCommerce[[#This Row],[Brand]],M:M)</f>
        <v>13113100</v>
      </c>
      <c r="T4822" s="13">
        <f>SUMIF(N:N,Online_eCommerce[[#This Row],[Assigned Supervisor]],L:L)</f>
        <v>12220830</v>
      </c>
    </row>
    <row r="4823" spans="1:20" hidden="1" x14ac:dyDescent="0.3">
      <c r="A4823" t="s">
        <v>7121</v>
      </c>
      <c r="B4823" t="s">
        <v>232</v>
      </c>
      <c r="C4823" t="s">
        <v>185</v>
      </c>
      <c r="D4823" t="s">
        <v>7122</v>
      </c>
      <c r="E4823" t="s">
        <v>96</v>
      </c>
      <c r="F4823" t="s">
        <v>6701</v>
      </c>
      <c r="G4823" t="s">
        <v>163</v>
      </c>
      <c r="H4823" t="s">
        <v>41</v>
      </c>
      <c r="I4823">
        <v>3500</v>
      </c>
      <c r="J4823">
        <v>4550</v>
      </c>
      <c r="K4823">
        <v>4</v>
      </c>
      <c r="L4823">
        <v>14000</v>
      </c>
      <c r="M4823">
        <v>18200</v>
      </c>
      <c r="N4823" t="s">
        <v>35</v>
      </c>
      <c r="O4823">
        <f t="shared" si="150"/>
        <v>13650</v>
      </c>
      <c r="P4823" s="13">
        <f t="shared" si="151"/>
        <v>2091596</v>
      </c>
      <c r="Q4823" s="13">
        <f>SUMIFS(M:M,E:E,Online_eCommerce[[#This Row],[Status]])</f>
        <v>21233992</v>
      </c>
      <c r="R4823" s="13">
        <f>SUMIFS(L:L,H:H,Online_eCommerce[[#This Row],[Brand]])</f>
        <v>4260400</v>
      </c>
      <c r="S4823" s="13">
        <f>SUMIF(H:H,Online_eCommerce[[#This Row],[Brand]],M:M)</f>
        <v>5538520</v>
      </c>
      <c r="T4823" s="13">
        <f>SUMIF(N:N,Online_eCommerce[[#This Row],[Assigned Supervisor]],L:L)</f>
        <v>14373360</v>
      </c>
    </row>
    <row r="4824" spans="1:20" hidden="1" x14ac:dyDescent="0.3">
      <c r="A4824" t="s">
        <v>7123</v>
      </c>
      <c r="B4824" t="s">
        <v>235</v>
      </c>
      <c r="C4824" t="s">
        <v>189</v>
      </c>
      <c r="D4824" t="s">
        <v>7124</v>
      </c>
      <c r="E4824" t="s">
        <v>18</v>
      </c>
      <c r="F4824" t="s">
        <v>166</v>
      </c>
      <c r="G4824" t="s">
        <v>66</v>
      </c>
      <c r="H4824" t="s">
        <v>49</v>
      </c>
      <c r="I4824">
        <v>4500</v>
      </c>
      <c r="J4824">
        <v>5850</v>
      </c>
      <c r="K4824">
        <v>3</v>
      </c>
      <c r="L4824">
        <v>13500</v>
      </c>
      <c r="M4824">
        <v>17550</v>
      </c>
      <c r="N4824" t="s">
        <v>42</v>
      </c>
      <c r="O4824">
        <f t="shared" si="150"/>
        <v>1690</v>
      </c>
      <c r="P4824" s="13">
        <f t="shared" si="151"/>
        <v>2740777</v>
      </c>
      <c r="Q4824" s="13">
        <f>SUMIFS(M:M,E:E,Online_eCommerce[[#This Row],[Status]])</f>
        <v>28340455</v>
      </c>
      <c r="R4824" s="13">
        <f>SUMIFS(L:L,H:H,Online_eCommerce[[#This Row],[Brand]])</f>
        <v>4528350</v>
      </c>
      <c r="S4824" s="13">
        <f>SUMIF(H:H,Online_eCommerce[[#This Row],[Brand]],M:M)</f>
        <v>5886855</v>
      </c>
      <c r="T4824" s="13">
        <f>SUMIF(N:N,Online_eCommerce[[#This Row],[Assigned Supervisor]],L:L)</f>
        <v>12261500</v>
      </c>
    </row>
    <row r="4825" spans="1:20" hidden="1" x14ac:dyDescent="0.3">
      <c r="A4825" t="s">
        <v>7125</v>
      </c>
      <c r="B4825" t="s">
        <v>104</v>
      </c>
      <c r="C4825" t="s">
        <v>193</v>
      </c>
      <c r="D4825" t="s">
        <v>7126</v>
      </c>
      <c r="E4825" t="s">
        <v>161</v>
      </c>
      <c r="F4825" t="s">
        <v>7127</v>
      </c>
      <c r="G4825" t="s">
        <v>54</v>
      </c>
      <c r="H4825" t="s">
        <v>55</v>
      </c>
      <c r="I4825">
        <v>2100</v>
      </c>
      <c r="J4825">
        <v>2730</v>
      </c>
      <c r="K4825">
        <v>4</v>
      </c>
      <c r="L4825">
        <v>8400</v>
      </c>
      <c r="M4825">
        <v>10920</v>
      </c>
      <c r="N4825" t="s">
        <v>50</v>
      </c>
      <c r="O4825">
        <f t="shared" si="150"/>
        <v>2990</v>
      </c>
      <c r="P4825" s="13">
        <f t="shared" si="151"/>
        <v>2074774</v>
      </c>
      <c r="Q4825" s="13">
        <f>SUMIFS(M:M,E:E,Online_eCommerce[[#This Row],[Status]])</f>
        <v>21103186</v>
      </c>
      <c r="R4825" s="13">
        <f>SUMIFS(L:L,H:H,Online_eCommerce[[#This Row],[Brand]])</f>
        <v>2267380</v>
      </c>
      <c r="S4825" s="13">
        <f>SUMIF(H:H,Online_eCommerce[[#This Row],[Brand]],M:M)</f>
        <v>2947594</v>
      </c>
      <c r="T4825" s="13">
        <f>SUMIF(N:N,Online_eCommerce[[#This Row],[Assigned Supervisor]],L:L)</f>
        <v>12100590</v>
      </c>
    </row>
    <row r="4826" spans="1:20" x14ac:dyDescent="0.3">
      <c r="A4826" t="s">
        <v>7128</v>
      </c>
      <c r="B4826" t="s">
        <v>109</v>
      </c>
      <c r="C4826" t="s">
        <v>197</v>
      </c>
      <c r="D4826" t="s">
        <v>7129</v>
      </c>
      <c r="E4826" t="s">
        <v>46</v>
      </c>
      <c r="F4826" t="s">
        <v>174</v>
      </c>
      <c r="G4826" t="s">
        <v>60</v>
      </c>
      <c r="H4826" t="s">
        <v>61</v>
      </c>
      <c r="I4826">
        <v>1150</v>
      </c>
      <c r="J4826">
        <v>1495</v>
      </c>
      <c r="K4826">
        <v>2</v>
      </c>
      <c r="L4826">
        <v>2300</v>
      </c>
      <c r="M4826">
        <v>2990</v>
      </c>
      <c r="N4826" t="s">
        <v>56</v>
      </c>
      <c r="O4826">
        <f t="shared" si="150"/>
        <v>3315</v>
      </c>
      <c r="P4826" s="13">
        <f t="shared" si="151"/>
        <v>2829840</v>
      </c>
      <c r="Q4826" s="13">
        <f>SUMIFS(M:M,E:E,Online_eCommerce[[#This Row],[Status]])</f>
        <v>28620410</v>
      </c>
      <c r="R4826" s="13">
        <f>SUMIFS(L:L,H:H,Online_eCommerce[[#This Row],[Brand]])</f>
        <v>10950150</v>
      </c>
      <c r="S4826" s="13">
        <f>SUMIF(H:H,Online_eCommerce[[#This Row],[Brand]],M:M)</f>
        <v>14235195</v>
      </c>
      <c r="T4826" s="13">
        <f>SUMIF(N:N,Online_eCommerce[[#This Row],[Assigned Supervisor]],L:L)</f>
        <v>11733610</v>
      </c>
    </row>
    <row r="4827" spans="1:20" hidden="1" x14ac:dyDescent="0.3">
      <c r="A4827" t="s">
        <v>7130</v>
      </c>
      <c r="B4827" t="s">
        <v>114</v>
      </c>
      <c r="C4827" t="s">
        <v>199</v>
      </c>
      <c r="D4827" t="s">
        <v>7131</v>
      </c>
      <c r="E4827" t="s">
        <v>96</v>
      </c>
      <c r="F4827" t="s">
        <v>179</v>
      </c>
      <c r="G4827" t="s">
        <v>66</v>
      </c>
      <c r="H4827" t="s">
        <v>21</v>
      </c>
      <c r="I4827">
        <v>350</v>
      </c>
      <c r="J4827">
        <v>455</v>
      </c>
      <c r="K4827">
        <v>4</v>
      </c>
      <c r="L4827">
        <v>1400</v>
      </c>
      <c r="M4827">
        <v>1820</v>
      </c>
      <c r="N4827" t="s">
        <v>22</v>
      </c>
      <c r="O4827">
        <f t="shared" si="150"/>
        <v>1690</v>
      </c>
      <c r="P4827" s="13">
        <f t="shared" si="151"/>
        <v>1947361</v>
      </c>
      <c r="Q4827" s="13">
        <f>SUMIFS(M:M,E:E,Online_eCommerce[[#This Row],[Status]])</f>
        <v>21233992</v>
      </c>
      <c r="R4827" s="13">
        <f>SUMIFS(L:L,H:H,Online_eCommerce[[#This Row],[Brand]])</f>
        <v>12435650</v>
      </c>
      <c r="S4827" s="13">
        <f>SUMIF(H:H,Online_eCommerce[[#This Row],[Brand]],M:M)</f>
        <v>16166345</v>
      </c>
      <c r="T4827" s="13">
        <f>SUMIF(N:N,Online_eCommerce[[#This Row],[Assigned Supervisor]],L:L)</f>
        <v>13693220</v>
      </c>
    </row>
    <row r="4828" spans="1:20" hidden="1" x14ac:dyDescent="0.3">
      <c r="A4828" t="s">
        <v>7132</v>
      </c>
      <c r="B4828" t="s">
        <v>119</v>
      </c>
      <c r="C4828" t="s">
        <v>203</v>
      </c>
      <c r="D4828" t="s">
        <v>7133</v>
      </c>
      <c r="E4828" t="s">
        <v>18</v>
      </c>
      <c r="F4828" t="s">
        <v>183</v>
      </c>
      <c r="G4828" t="s">
        <v>71</v>
      </c>
      <c r="H4828" t="s">
        <v>61</v>
      </c>
      <c r="I4828">
        <v>9500</v>
      </c>
      <c r="J4828">
        <v>12350</v>
      </c>
      <c r="K4828">
        <v>2</v>
      </c>
      <c r="L4828">
        <v>19000</v>
      </c>
      <c r="M4828">
        <v>24700</v>
      </c>
      <c r="N4828" t="s">
        <v>28</v>
      </c>
      <c r="O4828">
        <f t="shared" si="150"/>
        <v>9750</v>
      </c>
      <c r="P4828" s="13">
        <f t="shared" si="151"/>
        <v>2559635</v>
      </c>
      <c r="Q4828" s="13">
        <f>SUMIFS(M:M,E:E,Online_eCommerce[[#This Row],[Status]])</f>
        <v>28340455</v>
      </c>
      <c r="R4828" s="13">
        <f>SUMIFS(L:L,H:H,Online_eCommerce[[#This Row],[Brand]])</f>
        <v>10950150</v>
      </c>
      <c r="S4828" s="13">
        <f>SUMIF(H:H,Online_eCommerce[[#This Row],[Brand]],M:M)</f>
        <v>14235195</v>
      </c>
      <c r="T4828" s="13">
        <f>SUMIF(N:N,Online_eCommerce[[#This Row],[Assigned Supervisor]],L:L)</f>
        <v>12220830</v>
      </c>
    </row>
    <row r="4829" spans="1:20" hidden="1" x14ac:dyDescent="0.3">
      <c r="A4829" t="s">
        <v>7134</v>
      </c>
      <c r="B4829" t="s">
        <v>124</v>
      </c>
      <c r="C4829" t="s">
        <v>205</v>
      </c>
      <c r="D4829" t="s">
        <v>7135</v>
      </c>
      <c r="E4829" t="s">
        <v>161</v>
      </c>
      <c r="F4829" t="s">
        <v>7136</v>
      </c>
      <c r="G4829" t="s">
        <v>77</v>
      </c>
      <c r="H4829" t="s">
        <v>142</v>
      </c>
      <c r="I4829">
        <v>10000</v>
      </c>
      <c r="J4829">
        <v>13000</v>
      </c>
      <c r="K4829">
        <v>1</v>
      </c>
      <c r="L4829">
        <v>10000</v>
      </c>
      <c r="M4829">
        <v>13000</v>
      </c>
      <c r="N4829" t="s">
        <v>35</v>
      </c>
      <c r="O4829">
        <f t="shared" si="150"/>
        <v>39000</v>
      </c>
      <c r="P4829" s="13">
        <f t="shared" si="151"/>
        <v>1983254</v>
      </c>
      <c r="Q4829" s="13">
        <f>SUMIFS(M:M,E:E,Online_eCommerce[[#This Row],[Status]])</f>
        <v>21103186</v>
      </c>
      <c r="R4829" s="13">
        <f>SUMIFS(L:L,H:H,Online_eCommerce[[#This Row],[Brand]])</f>
        <v>6192500</v>
      </c>
      <c r="S4829" s="13">
        <f>SUMIF(H:H,Online_eCommerce[[#This Row],[Brand]],M:M)</f>
        <v>8050250</v>
      </c>
      <c r="T4829" s="13">
        <f>SUMIF(N:N,Online_eCommerce[[#This Row],[Assigned Supervisor]],L:L)</f>
        <v>14373360</v>
      </c>
    </row>
    <row r="4830" spans="1:20" x14ac:dyDescent="0.3">
      <c r="A4830" t="s">
        <v>7137</v>
      </c>
      <c r="B4830" t="s">
        <v>128</v>
      </c>
      <c r="C4830" t="s">
        <v>208</v>
      </c>
      <c r="D4830" t="s">
        <v>7138</v>
      </c>
      <c r="E4830" t="s">
        <v>46</v>
      </c>
      <c r="F4830" t="s">
        <v>7139</v>
      </c>
      <c r="G4830" t="s">
        <v>20</v>
      </c>
      <c r="H4830" t="s">
        <v>21</v>
      </c>
      <c r="I4830">
        <v>6500</v>
      </c>
      <c r="J4830">
        <v>8450</v>
      </c>
      <c r="K4830">
        <v>1</v>
      </c>
      <c r="L4830">
        <v>6500</v>
      </c>
      <c r="M4830">
        <v>8450</v>
      </c>
      <c r="N4830" t="s">
        <v>42</v>
      </c>
      <c r="O4830">
        <f t="shared" si="150"/>
        <v>8450</v>
      </c>
      <c r="P4830" s="13">
        <f t="shared" si="151"/>
        <v>2746575</v>
      </c>
      <c r="Q4830" s="13">
        <f>SUMIFS(M:M,E:E,Online_eCommerce[[#This Row],[Status]])</f>
        <v>28620410</v>
      </c>
      <c r="R4830" s="13">
        <f>SUMIFS(L:L,H:H,Online_eCommerce[[#This Row],[Brand]])</f>
        <v>12435650</v>
      </c>
      <c r="S4830" s="13">
        <f>SUMIF(H:H,Online_eCommerce[[#This Row],[Brand]],M:M)</f>
        <v>16166345</v>
      </c>
      <c r="T4830" s="13">
        <f>SUMIF(N:N,Online_eCommerce[[#This Row],[Assigned Supervisor]],L:L)</f>
        <v>12261500</v>
      </c>
    </row>
    <row r="4831" spans="1:20" hidden="1" x14ac:dyDescent="0.3">
      <c r="A4831" t="s">
        <v>7140</v>
      </c>
      <c r="B4831" t="s">
        <v>131</v>
      </c>
      <c r="C4831" t="s">
        <v>211</v>
      </c>
      <c r="D4831" t="s">
        <v>7141</v>
      </c>
      <c r="E4831" t="s">
        <v>96</v>
      </c>
      <c r="F4831" t="s">
        <v>7142</v>
      </c>
      <c r="G4831" t="s">
        <v>26</v>
      </c>
      <c r="H4831" t="s">
        <v>27</v>
      </c>
      <c r="I4831">
        <v>8500</v>
      </c>
      <c r="J4831">
        <v>11050</v>
      </c>
      <c r="K4831">
        <v>1</v>
      </c>
      <c r="L4831">
        <v>8500</v>
      </c>
      <c r="M4831">
        <v>11050</v>
      </c>
      <c r="N4831" t="s">
        <v>50</v>
      </c>
      <c r="O4831">
        <f t="shared" si="150"/>
        <v>33150</v>
      </c>
      <c r="P4831" s="13">
        <f t="shared" si="151"/>
        <v>1809847</v>
      </c>
      <c r="Q4831" s="13">
        <f>SUMIFS(M:M,E:E,Online_eCommerce[[#This Row],[Status]])</f>
        <v>21233992</v>
      </c>
      <c r="R4831" s="13">
        <f>SUMIFS(L:L,H:H,Online_eCommerce[[#This Row],[Brand]])</f>
        <v>14431000</v>
      </c>
      <c r="S4831" s="13">
        <f>SUMIF(H:H,Online_eCommerce[[#This Row],[Brand]],M:M)</f>
        <v>18760300</v>
      </c>
      <c r="T4831" s="13">
        <f>SUMIF(N:N,Online_eCommerce[[#This Row],[Assigned Supervisor]],L:L)</f>
        <v>12100590</v>
      </c>
    </row>
    <row r="4832" spans="1:20" hidden="1" x14ac:dyDescent="0.3">
      <c r="A4832" t="s">
        <v>7143</v>
      </c>
      <c r="B4832" t="s">
        <v>135</v>
      </c>
      <c r="C4832" t="s">
        <v>16</v>
      </c>
      <c r="D4832" t="s">
        <v>7144</v>
      </c>
      <c r="E4832" t="s">
        <v>18</v>
      </c>
      <c r="F4832" t="s">
        <v>32</v>
      </c>
      <c r="G4832" t="s">
        <v>33</v>
      </c>
      <c r="H4832" t="s">
        <v>34</v>
      </c>
      <c r="I4832">
        <v>7000</v>
      </c>
      <c r="J4832">
        <v>9100</v>
      </c>
      <c r="K4832">
        <v>3</v>
      </c>
      <c r="L4832">
        <v>21000</v>
      </c>
      <c r="M4832">
        <v>27300</v>
      </c>
      <c r="N4832" t="s">
        <v>56</v>
      </c>
      <c r="O4832">
        <f t="shared" si="150"/>
        <v>18200</v>
      </c>
      <c r="P4832" s="13">
        <f t="shared" si="151"/>
        <v>2751814</v>
      </c>
      <c r="Q4832" s="13">
        <f>SUMIFS(M:M,E:E,Online_eCommerce[[#This Row],[Status]])</f>
        <v>28340455</v>
      </c>
      <c r="R4832" s="13">
        <f>SUMIFS(L:L,H:H,Online_eCommerce[[#This Row],[Brand]])</f>
        <v>10087000</v>
      </c>
      <c r="S4832" s="13">
        <f>SUMIF(H:H,Online_eCommerce[[#This Row],[Brand]],M:M)</f>
        <v>13113100</v>
      </c>
      <c r="T4832" s="13">
        <f>SUMIF(N:N,Online_eCommerce[[#This Row],[Assigned Supervisor]],L:L)</f>
        <v>11733610</v>
      </c>
    </row>
    <row r="4833" spans="1:20" hidden="1" x14ac:dyDescent="0.3">
      <c r="A4833" t="s">
        <v>7145</v>
      </c>
      <c r="B4833" t="s">
        <v>139</v>
      </c>
      <c r="C4833" t="s">
        <v>24</v>
      </c>
      <c r="D4833" t="s">
        <v>7146</v>
      </c>
      <c r="E4833" t="s">
        <v>161</v>
      </c>
      <c r="F4833" t="s">
        <v>7147</v>
      </c>
      <c r="G4833" t="s">
        <v>163</v>
      </c>
      <c r="H4833" t="s">
        <v>41</v>
      </c>
      <c r="I4833">
        <v>6550</v>
      </c>
      <c r="J4833">
        <v>8515</v>
      </c>
      <c r="K4833">
        <v>1</v>
      </c>
      <c r="L4833">
        <v>6550</v>
      </c>
      <c r="M4833">
        <v>8515</v>
      </c>
      <c r="N4833" t="s">
        <v>22</v>
      </c>
      <c r="O4833">
        <f t="shared" si="150"/>
        <v>13650</v>
      </c>
      <c r="P4833" s="13">
        <f t="shared" si="151"/>
        <v>2009540</v>
      </c>
      <c r="Q4833" s="13">
        <f>SUMIFS(M:M,E:E,Online_eCommerce[[#This Row],[Status]])</f>
        <v>21103186</v>
      </c>
      <c r="R4833" s="13">
        <f>SUMIFS(L:L,H:H,Online_eCommerce[[#This Row],[Brand]])</f>
        <v>4260400</v>
      </c>
      <c r="S4833" s="13">
        <f>SUMIF(H:H,Online_eCommerce[[#This Row],[Brand]],M:M)</f>
        <v>5538520</v>
      </c>
      <c r="T4833" s="13">
        <f>SUMIF(N:N,Online_eCommerce[[#This Row],[Assigned Supervisor]],L:L)</f>
        <v>13693220</v>
      </c>
    </row>
    <row r="4834" spans="1:20" x14ac:dyDescent="0.3">
      <c r="A4834" t="s">
        <v>7148</v>
      </c>
      <c r="B4834" t="s">
        <v>144</v>
      </c>
      <c r="C4834" t="s">
        <v>31</v>
      </c>
      <c r="D4834" t="s">
        <v>7149</v>
      </c>
      <c r="E4834" t="s">
        <v>46</v>
      </c>
      <c r="F4834" t="s">
        <v>47</v>
      </c>
      <c r="G4834" t="s">
        <v>66</v>
      </c>
      <c r="H4834" t="s">
        <v>49</v>
      </c>
      <c r="I4834">
        <v>7650</v>
      </c>
      <c r="J4834">
        <v>9945</v>
      </c>
      <c r="K4834">
        <v>1</v>
      </c>
      <c r="L4834">
        <v>7650</v>
      </c>
      <c r="M4834">
        <v>9945</v>
      </c>
      <c r="N4834" t="s">
        <v>28</v>
      </c>
      <c r="O4834">
        <f t="shared" si="150"/>
        <v>1690</v>
      </c>
      <c r="P4834" s="13">
        <f t="shared" si="151"/>
        <v>2865746</v>
      </c>
      <c r="Q4834" s="13">
        <f>SUMIFS(M:M,E:E,Online_eCommerce[[#This Row],[Status]])</f>
        <v>28620410</v>
      </c>
      <c r="R4834" s="13">
        <f>SUMIFS(L:L,H:H,Online_eCommerce[[#This Row],[Brand]])</f>
        <v>4528350</v>
      </c>
      <c r="S4834" s="13">
        <f>SUMIF(H:H,Online_eCommerce[[#This Row],[Brand]],M:M)</f>
        <v>5886855</v>
      </c>
      <c r="T4834" s="13">
        <f>SUMIF(N:N,Online_eCommerce[[#This Row],[Assigned Supervisor]],L:L)</f>
        <v>12220830</v>
      </c>
    </row>
    <row r="4835" spans="1:20" hidden="1" x14ac:dyDescent="0.3">
      <c r="A4835" t="s">
        <v>7150</v>
      </c>
      <c r="B4835" t="s">
        <v>149</v>
      </c>
      <c r="C4835" t="s">
        <v>38</v>
      </c>
      <c r="D4835" t="s">
        <v>7151</v>
      </c>
      <c r="E4835" t="s">
        <v>96</v>
      </c>
      <c r="F4835" t="s">
        <v>53</v>
      </c>
      <c r="G4835" t="s">
        <v>54</v>
      </c>
      <c r="H4835" t="s">
        <v>55</v>
      </c>
      <c r="I4835">
        <v>1150</v>
      </c>
      <c r="J4835">
        <v>1495</v>
      </c>
      <c r="K4835">
        <v>2</v>
      </c>
      <c r="L4835">
        <v>2300</v>
      </c>
      <c r="M4835">
        <v>2990</v>
      </c>
      <c r="N4835" t="s">
        <v>35</v>
      </c>
      <c r="O4835">
        <f t="shared" si="150"/>
        <v>2990</v>
      </c>
      <c r="P4835" s="13">
        <f t="shared" si="151"/>
        <v>1933997</v>
      </c>
      <c r="Q4835" s="13">
        <f>SUMIFS(M:M,E:E,Online_eCommerce[[#This Row],[Status]])</f>
        <v>21233992</v>
      </c>
      <c r="R4835" s="13">
        <f>SUMIFS(L:L,H:H,Online_eCommerce[[#This Row],[Brand]])</f>
        <v>2267380</v>
      </c>
      <c r="S4835" s="13">
        <f>SUMIF(H:H,Online_eCommerce[[#This Row],[Brand]],M:M)</f>
        <v>2947594</v>
      </c>
      <c r="T4835" s="13">
        <f>SUMIF(N:N,Online_eCommerce[[#This Row],[Assigned Supervisor]],L:L)</f>
        <v>14373360</v>
      </c>
    </row>
    <row r="4836" spans="1:20" hidden="1" x14ac:dyDescent="0.3">
      <c r="A4836" t="s">
        <v>7152</v>
      </c>
      <c r="B4836" t="s">
        <v>154</v>
      </c>
      <c r="C4836" t="s">
        <v>45</v>
      </c>
      <c r="D4836" t="s">
        <v>7153</v>
      </c>
      <c r="E4836" t="s">
        <v>18</v>
      </c>
      <c r="F4836" t="s">
        <v>59</v>
      </c>
      <c r="G4836" t="s">
        <v>60</v>
      </c>
      <c r="H4836" t="s">
        <v>61</v>
      </c>
      <c r="I4836">
        <v>850</v>
      </c>
      <c r="J4836">
        <v>1105</v>
      </c>
      <c r="K4836">
        <v>1</v>
      </c>
      <c r="L4836">
        <v>850</v>
      </c>
      <c r="M4836">
        <v>1105</v>
      </c>
      <c r="N4836" t="s">
        <v>42</v>
      </c>
      <c r="O4836">
        <f t="shared" si="150"/>
        <v>3315</v>
      </c>
      <c r="P4836" s="13">
        <f t="shared" si="151"/>
        <v>2842554</v>
      </c>
      <c r="Q4836" s="13">
        <f>SUMIFS(M:M,E:E,Online_eCommerce[[#This Row],[Status]])</f>
        <v>28340455</v>
      </c>
      <c r="R4836" s="13">
        <f>SUMIFS(L:L,H:H,Online_eCommerce[[#This Row],[Brand]])</f>
        <v>10950150</v>
      </c>
      <c r="S4836" s="13">
        <f>SUMIF(H:H,Online_eCommerce[[#This Row],[Brand]],M:M)</f>
        <v>14235195</v>
      </c>
      <c r="T4836" s="13">
        <f>SUMIF(N:N,Online_eCommerce[[#This Row],[Assigned Supervisor]],L:L)</f>
        <v>12261500</v>
      </c>
    </row>
    <row r="4837" spans="1:20" hidden="1" x14ac:dyDescent="0.3">
      <c r="A4837" t="s">
        <v>7154</v>
      </c>
      <c r="B4837" t="s">
        <v>159</v>
      </c>
      <c r="C4837" t="s">
        <v>52</v>
      </c>
      <c r="D4837" t="s">
        <v>7155</v>
      </c>
      <c r="E4837" t="s">
        <v>161</v>
      </c>
      <c r="F4837" t="s">
        <v>65</v>
      </c>
      <c r="G4837" t="s">
        <v>66</v>
      </c>
      <c r="H4837" t="s">
        <v>21</v>
      </c>
      <c r="I4837">
        <v>650</v>
      </c>
      <c r="J4837">
        <v>845</v>
      </c>
      <c r="K4837">
        <v>3</v>
      </c>
      <c r="L4837">
        <v>1950</v>
      </c>
      <c r="M4837">
        <v>2535</v>
      </c>
      <c r="N4837" t="s">
        <v>50</v>
      </c>
      <c r="O4837">
        <f t="shared" si="150"/>
        <v>1690</v>
      </c>
      <c r="P4837" s="13">
        <f t="shared" si="151"/>
        <v>1955044</v>
      </c>
      <c r="Q4837" s="13">
        <f>SUMIFS(M:M,E:E,Online_eCommerce[[#This Row],[Status]])</f>
        <v>21103186</v>
      </c>
      <c r="R4837" s="13">
        <f>SUMIFS(L:L,H:H,Online_eCommerce[[#This Row],[Brand]])</f>
        <v>12435650</v>
      </c>
      <c r="S4837" s="13">
        <f>SUMIF(H:H,Online_eCommerce[[#This Row],[Brand]],M:M)</f>
        <v>16166345</v>
      </c>
      <c r="T4837" s="13">
        <f>SUMIF(N:N,Online_eCommerce[[#This Row],[Assigned Supervisor]],L:L)</f>
        <v>12100590</v>
      </c>
    </row>
    <row r="4838" spans="1:20" x14ac:dyDescent="0.3">
      <c r="A4838" t="s">
        <v>7156</v>
      </c>
      <c r="B4838" t="s">
        <v>139</v>
      </c>
      <c r="C4838" t="s">
        <v>58</v>
      </c>
      <c r="D4838" t="s">
        <v>7157</v>
      </c>
      <c r="E4838" t="s">
        <v>46</v>
      </c>
      <c r="F4838" t="s">
        <v>70</v>
      </c>
      <c r="G4838" t="s">
        <v>71</v>
      </c>
      <c r="H4838" t="s">
        <v>61</v>
      </c>
      <c r="I4838">
        <v>7500</v>
      </c>
      <c r="J4838">
        <v>9750</v>
      </c>
      <c r="K4838">
        <v>4</v>
      </c>
      <c r="L4838">
        <v>30000</v>
      </c>
      <c r="M4838">
        <v>39000</v>
      </c>
      <c r="N4838" t="s">
        <v>56</v>
      </c>
      <c r="O4838">
        <f t="shared" si="150"/>
        <v>9750</v>
      </c>
      <c r="P4838" s="13">
        <f t="shared" si="151"/>
        <v>2629211</v>
      </c>
      <c r="Q4838" s="13">
        <f>SUMIFS(M:M,E:E,Online_eCommerce[[#This Row],[Status]])</f>
        <v>28620410</v>
      </c>
      <c r="R4838" s="13">
        <f>SUMIFS(L:L,H:H,Online_eCommerce[[#This Row],[Brand]])</f>
        <v>10950150</v>
      </c>
      <c r="S4838" s="13">
        <f>SUMIF(H:H,Online_eCommerce[[#This Row],[Brand]],M:M)</f>
        <v>14235195</v>
      </c>
      <c r="T4838" s="13">
        <f>SUMIF(N:N,Online_eCommerce[[#This Row],[Assigned Supervisor]],L:L)</f>
        <v>11733610</v>
      </c>
    </row>
    <row r="4839" spans="1:20" hidden="1" x14ac:dyDescent="0.3">
      <c r="A4839" t="s">
        <v>7158</v>
      </c>
      <c r="B4839" t="s">
        <v>144</v>
      </c>
      <c r="C4839" t="s">
        <v>63</v>
      </c>
      <c r="D4839" t="s">
        <v>7159</v>
      </c>
      <c r="E4839" t="s">
        <v>96</v>
      </c>
      <c r="F4839" t="s">
        <v>7136</v>
      </c>
      <c r="G4839" t="s">
        <v>77</v>
      </c>
      <c r="H4839" t="s">
        <v>78</v>
      </c>
      <c r="I4839">
        <v>10000</v>
      </c>
      <c r="J4839">
        <v>13000</v>
      </c>
      <c r="K4839">
        <v>4</v>
      </c>
      <c r="L4839">
        <v>40000</v>
      </c>
      <c r="M4839">
        <v>52000</v>
      </c>
      <c r="N4839" t="s">
        <v>22</v>
      </c>
      <c r="O4839">
        <f t="shared" si="150"/>
        <v>39000</v>
      </c>
      <c r="P4839" s="13">
        <f t="shared" si="151"/>
        <v>2016131</v>
      </c>
      <c r="Q4839" s="13">
        <f>SUMIFS(M:M,E:E,Online_eCommerce[[#This Row],[Status]])</f>
        <v>21233992</v>
      </c>
      <c r="R4839" s="13">
        <f>SUMIFS(L:L,H:H,Online_eCommerce[[#This Row],[Brand]])</f>
        <v>3720000</v>
      </c>
      <c r="S4839" s="13">
        <f>SUMIF(H:H,Online_eCommerce[[#This Row],[Brand]],M:M)</f>
        <v>4836000</v>
      </c>
      <c r="T4839" s="13">
        <f>SUMIF(N:N,Online_eCommerce[[#This Row],[Assigned Supervisor]],L:L)</f>
        <v>13693220</v>
      </c>
    </row>
    <row r="4840" spans="1:20" hidden="1" x14ac:dyDescent="0.3">
      <c r="A4840" t="s">
        <v>7160</v>
      </c>
      <c r="B4840" t="s">
        <v>235</v>
      </c>
      <c r="C4840" t="s">
        <v>68</v>
      </c>
      <c r="D4840" t="s">
        <v>7161</v>
      </c>
      <c r="E4840" t="s">
        <v>18</v>
      </c>
      <c r="F4840" t="s">
        <v>7162</v>
      </c>
      <c r="G4840" t="s">
        <v>20</v>
      </c>
      <c r="H4840" t="s">
        <v>21</v>
      </c>
      <c r="I4840">
        <v>10500</v>
      </c>
      <c r="J4840">
        <v>13650</v>
      </c>
      <c r="K4840">
        <v>4</v>
      </c>
      <c r="L4840">
        <v>42000</v>
      </c>
      <c r="M4840">
        <v>54600</v>
      </c>
      <c r="N4840" t="s">
        <v>28</v>
      </c>
      <c r="O4840">
        <f t="shared" si="150"/>
        <v>8450</v>
      </c>
      <c r="P4840" s="13">
        <f t="shared" si="151"/>
        <v>2974621</v>
      </c>
      <c r="Q4840" s="13">
        <f>SUMIFS(M:M,E:E,Online_eCommerce[[#This Row],[Status]])</f>
        <v>28340455</v>
      </c>
      <c r="R4840" s="13">
        <f>SUMIFS(L:L,H:H,Online_eCommerce[[#This Row],[Brand]])</f>
        <v>12435650</v>
      </c>
      <c r="S4840" s="13">
        <f>SUMIF(H:H,Online_eCommerce[[#This Row],[Brand]],M:M)</f>
        <v>16166345</v>
      </c>
      <c r="T4840" s="13">
        <f>SUMIF(N:N,Online_eCommerce[[#This Row],[Assigned Supervisor]],L:L)</f>
        <v>12220830</v>
      </c>
    </row>
    <row r="4841" spans="1:20" hidden="1" x14ac:dyDescent="0.3">
      <c r="A4841" t="s">
        <v>7163</v>
      </c>
      <c r="B4841" t="s">
        <v>176</v>
      </c>
      <c r="C4841" t="s">
        <v>74</v>
      </c>
      <c r="D4841" t="s">
        <v>7164</v>
      </c>
      <c r="E4841" t="s">
        <v>161</v>
      </c>
      <c r="F4841" t="s">
        <v>88</v>
      </c>
      <c r="G4841" t="s">
        <v>26</v>
      </c>
      <c r="H4841" t="s">
        <v>27</v>
      </c>
      <c r="I4841">
        <v>8500</v>
      </c>
      <c r="J4841">
        <v>11050</v>
      </c>
      <c r="K4841">
        <v>2</v>
      </c>
      <c r="L4841">
        <v>17000</v>
      </c>
      <c r="M4841">
        <v>22100</v>
      </c>
      <c r="N4841" t="s">
        <v>35</v>
      </c>
      <c r="O4841">
        <f t="shared" si="150"/>
        <v>33150</v>
      </c>
      <c r="P4841" s="13">
        <f t="shared" si="151"/>
        <v>2144701</v>
      </c>
      <c r="Q4841" s="13">
        <f>SUMIFS(M:M,E:E,Online_eCommerce[[#This Row],[Status]])</f>
        <v>21103186</v>
      </c>
      <c r="R4841" s="13">
        <f>SUMIFS(L:L,H:H,Online_eCommerce[[#This Row],[Brand]])</f>
        <v>14431000</v>
      </c>
      <c r="S4841" s="13">
        <f>SUMIF(H:H,Online_eCommerce[[#This Row],[Brand]],M:M)</f>
        <v>18760300</v>
      </c>
      <c r="T4841" s="13">
        <f>SUMIF(N:N,Online_eCommerce[[#This Row],[Assigned Supervisor]],L:L)</f>
        <v>14373360</v>
      </c>
    </row>
    <row r="4842" spans="1:20" x14ac:dyDescent="0.3">
      <c r="A4842" t="s">
        <v>7165</v>
      </c>
      <c r="B4842" t="s">
        <v>276</v>
      </c>
      <c r="C4842" t="s">
        <v>81</v>
      </c>
      <c r="D4842" t="s">
        <v>7166</v>
      </c>
      <c r="E4842" t="s">
        <v>46</v>
      </c>
      <c r="F4842" t="s">
        <v>32</v>
      </c>
      <c r="G4842" t="s">
        <v>33</v>
      </c>
      <c r="H4842" t="s">
        <v>34</v>
      </c>
      <c r="I4842">
        <v>7000</v>
      </c>
      <c r="J4842">
        <v>9100</v>
      </c>
      <c r="K4842">
        <v>3</v>
      </c>
      <c r="L4842">
        <v>21000</v>
      </c>
      <c r="M4842">
        <v>27300</v>
      </c>
      <c r="N4842" t="s">
        <v>42</v>
      </c>
      <c r="O4842">
        <f t="shared" si="150"/>
        <v>18200</v>
      </c>
      <c r="P4842" s="13">
        <f t="shared" si="151"/>
        <v>2595632</v>
      </c>
      <c r="Q4842" s="13">
        <f>SUMIFS(M:M,E:E,Online_eCommerce[[#This Row],[Status]])</f>
        <v>28620410</v>
      </c>
      <c r="R4842" s="13">
        <f>SUMIFS(L:L,H:H,Online_eCommerce[[#This Row],[Brand]])</f>
        <v>10087000</v>
      </c>
      <c r="S4842" s="13">
        <f>SUMIF(H:H,Online_eCommerce[[#This Row],[Brand]],M:M)</f>
        <v>13113100</v>
      </c>
      <c r="T4842" s="13">
        <f>SUMIF(N:N,Online_eCommerce[[#This Row],[Assigned Supervisor]],L:L)</f>
        <v>12261500</v>
      </c>
    </row>
    <row r="4843" spans="1:20" hidden="1" x14ac:dyDescent="0.3">
      <c r="A4843" t="s">
        <v>7167</v>
      </c>
      <c r="B4843" t="s">
        <v>280</v>
      </c>
      <c r="C4843" t="s">
        <v>86</v>
      </c>
      <c r="D4843" t="s">
        <v>7168</v>
      </c>
      <c r="E4843" t="s">
        <v>96</v>
      </c>
      <c r="F4843" t="s">
        <v>7169</v>
      </c>
      <c r="G4843" t="s">
        <v>163</v>
      </c>
      <c r="H4843" t="s">
        <v>41</v>
      </c>
      <c r="I4843">
        <v>1680</v>
      </c>
      <c r="J4843">
        <v>2184</v>
      </c>
      <c r="K4843">
        <v>3</v>
      </c>
      <c r="L4843">
        <v>5040</v>
      </c>
      <c r="M4843">
        <v>6552</v>
      </c>
      <c r="N4843" t="s">
        <v>50</v>
      </c>
      <c r="O4843">
        <f t="shared" si="150"/>
        <v>13650</v>
      </c>
      <c r="P4843" s="13">
        <f t="shared" si="151"/>
        <v>1941225</v>
      </c>
      <c r="Q4843" s="13">
        <f>SUMIFS(M:M,E:E,Online_eCommerce[[#This Row],[Status]])</f>
        <v>21233992</v>
      </c>
      <c r="R4843" s="13">
        <f>SUMIFS(L:L,H:H,Online_eCommerce[[#This Row],[Brand]])</f>
        <v>4260400</v>
      </c>
      <c r="S4843" s="13">
        <f>SUMIF(H:H,Online_eCommerce[[#This Row],[Brand]],M:M)</f>
        <v>5538520</v>
      </c>
      <c r="T4843" s="13">
        <f>SUMIF(N:N,Online_eCommerce[[#This Row],[Assigned Supervisor]],L:L)</f>
        <v>12100590</v>
      </c>
    </row>
    <row r="4844" spans="1:20" hidden="1" x14ac:dyDescent="0.3">
      <c r="A4844" t="s">
        <v>7170</v>
      </c>
      <c r="B4844" t="s">
        <v>283</v>
      </c>
      <c r="C4844" t="s">
        <v>91</v>
      </c>
      <c r="D4844" t="s">
        <v>7171</v>
      </c>
      <c r="E4844" t="s">
        <v>18</v>
      </c>
      <c r="F4844" t="s">
        <v>101</v>
      </c>
      <c r="G4844" t="s">
        <v>66</v>
      </c>
      <c r="H4844" t="s">
        <v>102</v>
      </c>
      <c r="I4844">
        <v>6540</v>
      </c>
      <c r="J4844">
        <v>8502</v>
      </c>
      <c r="K4844">
        <v>3</v>
      </c>
      <c r="L4844">
        <v>19620</v>
      </c>
      <c r="M4844">
        <v>25506</v>
      </c>
      <c r="N4844" t="s">
        <v>56</v>
      </c>
      <c r="O4844">
        <f t="shared" si="150"/>
        <v>1690</v>
      </c>
      <c r="P4844" s="13">
        <f t="shared" si="151"/>
        <v>2731963</v>
      </c>
      <c r="Q4844" s="13">
        <f>SUMIFS(M:M,E:E,Online_eCommerce[[#This Row],[Status]])</f>
        <v>28340455</v>
      </c>
      <c r="R4844" s="13">
        <f>SUMIFS(L:L,H:H,Online_eCommerce[[#This Row],[Brand]])</f>
        <v>2465580</v>
      </c>
      <c r="S4844" s="13">
        <f>SUMIF(H:H,Online_eCommerce[[#This Row],[Brand]],M:M)</f>
        <v>3205254</v>
      </c>
      <c r="T4844" s="13">
        <f>SUMIF(N:N,Online_eCommerce[[#This Row],[Assigned Supervisor]],L:L)</f>
        <v>11733610</v>
      </c>
    </row>
    <row r="4845" spans="1:20" hidden="1" x14ac:dyDescent="0.3">
      <c r="A4845" t="s">
        <v>7172</v>
      </c>
      <c r="B4845" t="s">
        <v>287</v>
      </c>
      <c r="C4845" t="s">
        <v>94</v>
      </c>
      <c r="D4845" t="s">
        <v>7171</v>
      </c>
      <c r="E4845" t="s">
        <v>161</v>
      </c>
      <c r="F4845" t="s">
        <v>107</v>
      </c>
      <c r="G4845" t="s">
        <v>54</v>
      </c>
      <c r="H4845" t="s">
        <v>55</v>
      </c>
      <c r="I4845">
        <v>2680</v>
      </c>
      <c r="J4845">
        <v>3484</v>
      </c>
      <c r="K4845">
        <v>3</v>
      </c>
      <c r="L4845">
        <v>8040</v>
      </c>
      <c r="M4845">
        <v>10452</v>
      </c>
      <c r="N4845" t="s">
        <v>22</v>
      </c>
      <c r="O4845">
        <f t="shared" si="150"/>
        <v>2990</v>
      </c>
      <c r="P4845" s="13">
        <f t="shared" si="151"/>
        <v>1868256</v>
      </c>
      <c r="Q4845" s="13">
        <f>SUMIFS(M:M,E:E,Online_eCommerce[[#This Row],[Status]])</f>
        <v>21103186</v>
      </c>
      <c r="R4845" s="13">
        <f>SUMIFS(L:L,H:H,Online_eCommerce[[#This Row],[Brand]])</f>
        <v>2267380</v>
      </c>
      <c r="S4845" s="13">
        <f>SUMIF(H:H,Online_eCommerce[[#This Row],[Brand]],M:M)</f>
        <v>2947594</v>
      </c>
      <c r="T4845" s="13">
        <f>SUMIF(N:N,Online_eCommerce[[#This Row],[Assigned Supervisor]],L:L)</f>
        <v>13693220</v>
      </c>
    </row>
    <row r="4846" spans="1:20" x14ac:dyDescent="0.3">
      <c r="A4846" t="s">
        <v>7173</v>
      </c>
      <c r="B4846" t="s">
        <v>290</v>
      </c>
      <c r="C4846" t="s">
        <v>99</v>
      </c>
      <c r="D4846" t="s">
        <v>7171</v>
      </c>
      <c r="E4846" t="s">
        <v>46</v>
      </c>
      <c r="F4846" t="s">
        <v>112</v>
      </c>
      <c r="G4846" t="s">
        <v>71</v>
      </c>
      <c r="H4846" t="s">
        <v>21</v>
      </c>
      <c r="I4846">
        <v>8250</v>
      </c>
      <c r="J4846">
        <v>10725</v>
      </c>
      <c r="K4846">
        <v>2</v>
      </c>
      <c r="L4846">
        <v>16500</v>
      </c>
      <c r="M4846">
        <v>21450</v>
      </c>
      <c r="N4846" t="s">
        <v>28</v>
      </c>
      <c r="O4846">
        <f t="shared" si="150"/>
        <v>9750</v>
      </c>
      <c r="P4846" s="13">
        <f t="shared" si="151"/>
        <v>2651233</v>
      </c>
      <c r="Q4846" s="13">
        <f>SUMIFS(M:M,E:E,Online_eCommerce[[#This Row],[Status]])</f>
        <v>28620410</v>
      </c>
      <c r="R4846" s="13">
        <f>SUMIFS(L:L,H:H,Online_eCommerce[[#This Row],[Brand]])</f>
        <v>12435650</v>
      </c>
      <c r="S4846" s="13">
        <f>SUMIF(H:H,Online_eCommerce[[#This Row],[Brand]],M:M)</f>
        <v>16166345</v>
      </c>
      <c r="T4846" s="13">
        <f>SUMIF(N:N,Online_eCommerce[[#This Row],[Assigned Supervisor]],L:L)</f>
        <v>12220830</v>
      </c>
    </row>
    <row r="4847" spans="1:20" hidden="1" x14ac:dyDescent="0.3">
      <c r="A4847" t="s">
        <v>7174</v>
      </c>
      <c r="B4847" t="s">
        <v>15</v>
      </c>
      <c r="C4847" t="s">
        <v>105</v>
      </c>
      <c r="D4847" t="s">
        <v>7171</v>
      </c>
      <c r="E4847" t="s">
        <v>96</v>
      </c>
      <c r="F4847" t="s">
        <v>6701</v>
      </c>
      <c r="G4847" t="s">
        <v>40</v>
      </c>
      <c r="H4847" t="s">
        <v>21</v>
      </c>
      <c r="I4847">
        <v>2650</v>
      </c>
      <c r="J4847">
        <v>3445</v>
      </c>
      <c r="K4847">
        <v>2</v>
      </c>
      <c r="L4847">
        <v>5300</v>
      </c>
      <c r="M4847">
        <v>6890</v>
      </c>
      <c r="N4847" t="s">
        <v>35</v>
      </c>
      <c r="O4847">
        <f t="shared" si="150"/>
        <v>25545</v>
      </c>
      <c r="P4847" s="13">
        <f t="shared" si="151"/>
        <v>1866852</v>
      </c>
      <c r="Q4847" s="13">
        <f>SUMIFS(M:M,E:E,Online_eCommerce[[#This Row],[Status]])</f>
        <v>21233992</v>
      </c>
      <c r="R4847" s="13">
        <f>SUMIFS(L:L,H:H,Online_eCommerce[[#This Row],[Brand]])</f>
        <v>12435650</v>
      </c>
      <c r="S4847" s="13">
        <f>SUMIF(H:H,Online_eCommerce[[#This Row],[Brand]],M:M)</f>
        <v>16166345</v>
      </c>
      <c r="T4847" s="13">
        <f>SUMIF(N:N,Online_eCommerce[[#This Row],[Assigned Supervisor]],L:L)</f>
        <v>14373360</v>
      </c>
    </row>
    <row r="4848" spans="1:20" hidden="1" x14ac:dyDescent="0.3">
      <c r="A4848" t="s">
        <v>7175</v>
      </c>
      <c r="B4848" t="s">
        <v>202</v>
      </c>
      <c r="C4848" t="s">
        <v>110</v>
      </c>
      <c r="D4848" t="s">
        <v>7171</v>
      </c>
      <c r="E4848" t="s">
        <v>18</v>
      </c>
      <c r="F4848" t="s">
        <v>121</v>
      </c>
      <c r="G4848" t="s">
        <v>71</v>
      </c>
      <c r="H4848" t="s">
        <v>122</v>
      </c>
      <c r="I4848">
        <v>12550</v>
      </c>
      <c r="J4848">
        <v>16315</v>
      </c>
      <c r="K4848">
        <v>4</v>
      </c>
      <c r="L4848">
        <v>50200</v>
      </c>
      <c r="M4848">
        <v>65260</v>
      </c>
      <c r="N4848" t="s">
        <v>42</v>
      </c>
      <c r="O4848">
        <f t="shared" si="150"/>
        <v>9750</v>
      </c>
      <c r="P4848" s="13">
        <f t="shared" si="151"/>
        <v>2598635</v>
      </c>
      <c r="Q4848" s="13">
        <f>SUMIFS(M:M,E:E,Online_eCommerce[[#This Row],[Status]])</f>
        <v>28340455</v>
      </c>
      <c r="R4848" s="13">
        <f>SUMIFS(L:L,H:H,Online_eCommerce[[#This Row],[Brand]])</f>
        <v>5045100</v>
      </c>
      <c r="S4848" s="13">
        <f>SUMIF(H:H,Online_eCommerce[[#This Row],[Brand]],M:M)</f>
        <v>6558630</v>
      </c>
      <c r="T4848" s="13">
        <f>SUMIF(N:N,Online_eCommerce[[#This Row],[Assigned Supervisor]],L:L)</f>
        <v>12261500</v>
      </c>
    </row>
    <row r="4849" spans="1:20" hidden="1" x14ac:dyDescent="0.3">
      <c r="A4849" t="s">
        <v>7176</v>
      </c>
      <c r="B4849" t="s">
        <v>30</v>
      </c>
      <c r="C4849" t="s">
        <v>115</v>
      </c>
      <c r="D4849" t="s">
        <v>7171</v>
      </c>
      <c r="E4849" t="s">
        <v>161</v>
      </c>
      <c r="F4849" t="s">
        <v>126</v>
      </c>
      <c r="G4849" t="s">
        <v>26</v>
      </c>
      <c r="H4849" t="s">
        <v>27</v>
      </c>
      <c r="I4849">
        <v>14500</v>
      </c>
      <c r="J4849">
        <v>18850</v>
      </c>
      <c r="K4849">
        <v>1</v>
      </c>
      <c r="L4849">
        <v>14500</v>
      </c>
      <c r="M4849">
        <v>18850</v>
      </c>
      <c r="N4849" t="s">
        <v>50</v>
      </c>
      <c r="O4849">
        <f t="shared" si="150"/>
        <v>33150</v>
      </c>
      <c r="P4849" s="13">
        <f t="shared" si="151"/>
        <v>2050178</v>
      </c>
      <c r="Q4849" s="13">
        <f>SUMIFS(M:M,E:E,Online_eCommerce[[#This Row],[Status]])</f>
        <v>21103186</v>
      </c>
      <c r="R4849" s="13">
        <f>SUMIFS(L:L,H:H,Online_eCommerce[[#This Row],[Brand]])</f>
        <v>14431000</v>
      </c>
      <c r="S4849" s="13">
        <f>SUMIF(H:H,Online_eCommerce[[#This Row],[Brand]],M:M)</f>
        <v>18760300</v>
      </c>
      <c r="T4849" s="13">
        <f>SUMIF(N:N,Online_eCommerce[[#This Row],[Assigned Supervisor]],L:L)</f>
        <v>12100590</v>
      </c>
    </row>
    <row r="4850" spans="1:20" x14ac:dyDescent="0.3">
      <c r="A4850" t="s">
        <v>7177</v>
      </c>
      <c r="B4850" t="s">
        <v>37</v>
      </c>
      <c r="C4850" t="s">
        <v>120</v>
      </c>
      <c r="D4850" t="s">
        <v>7171</v>
      </c>
      <c r="E4850" t="s">
        <v>46</v>
      </c>
      <c r="F4850" t="s">
        <v>129</v>
      </c>
      <c r="G4850" t="s">
        <v>60</v>
      </c>
      <c r="H4850" t="s">
        <v>61</v>
      </c>
      <c r="I4850">
        <v>800</v>
      </c>
      <c r="J4850">
        <v>1040</v>
      </c>
      <c r="K4850">
        <v>3</v>
      </c>
      <c r="L4850">
        <v>2400</v>
      </c>
      <c r="M4850">
        <v>3120</v>
      </c>
      <c r="N4850" t="s">
        <v>56</v>
      </c>
      <c r="O4850">
        <f t="shared" si="150"/>
        <v>3315</v>
      </c>
      <c r="P4850" s="13">
        <f t="shared" si="151"/>
        <v>2734212</v>
      </c>
      <c r="Q4850" s="13">
        <f>SUMIFS(M:M,E:E,Online_eCommerce[[#This Row],[Status]])</f>
        <v>28620410</v>
      </c>
      <c r="R4850" s="13">
        <f>SUMIFS(L:L,H:H,Online_eCommerce[[#This Row],[Brand]])</f>
        <v>10950150</v>
      </c>
      <c r="S4850" s="13">
        <f>SUMIF(H:H,Online_eCommerce[[#This Row],[Brand]],M:M)</f>
        <v>14235195</v>
      </c>
      <c r="T4850" s="13">
        <f>SUMIF(N:N,Online_eCommerce[[#This Row],[Assigned Supervisor]],L:L)</f>
        <v>11733610</v>
      </c>
    </row>
    <row r="4851" spans="1:20" hidden="1" x14ac:dyDescent="0.3">
      <c r="A4851" t="s">
        <v>7178</v>
      </c>
      <c r="B4851" t="s">
        <v>44</v>
      </c>
      <c r="C4851" t="s">
        <v>125</v>
      </c>
      <c r="D4851" t="s">
        <v>7171</v>
      </c>
      <c r="E4851" t="s">
        <v>96</v>
      </c>
      <c r="F4851" t="s">
        <v>133</v>
      </c>
      <c r="G4851" t="s">
        <v>66</v>
      </c>
      <c r="H4851" t="s">
        <v>21</v>
      </c>
      <c r="I4851">
        <v>600</v>
      </c>
      <c r="J4851">
        <v>780</v>
      </c>
      <c r="K4851">
        <v>4</v>
      </c>
      <c r="L4851">
        <v>2400</v>
      </c>
      <c r="M4851">
        <v>3120</v>
      </c>
      <c r="N4851" t="s">
        <v>22</v>
      </c>
      <c r="O4851">
        <f t="shared" si="150"/>
        <v>1690</v>
      </c>
      <c r="P4851" s="13">
        <f t="shared" si="151"/>
        <v>2091154</v>
      </c>
      <c r="Q4851" s="13">
        <f>SUMIFS(M:M,E:E,Online_eCommerce[[#This Row],[Status]])</f>
        <v>21233992</v>
      </c>
      <c r="R4851" s="13">
        <f>SUMIFS(L:L,H:H,Online_eCommerce[[#This Row],[Brand]])</f>
        <v>12435650</v>
      </c>
      <c r="S4851" s="13">
        <f>SUMIF(H:H,Online_eCommerce[[#This Row],[Brand]],M:M)</f>
        <v>16166345</v>
      </c>
      <c r="T4851" s="13">
        <f>SUMIF(N:N,Online_eCommerce[[#This Row],[Assigned Supervisor]],L:L)</f>
        <v>13693220</v>
      </c>
    </row>
    <row r="4852" spans="1:20" hidden="1" x14ac:dyDescent="0.3">
      <c r="A4852" t="s">
        <v>7179</v>
      </c>
      <c r="B4852" t="s">
        <v>213</v>
      </c>
      <c r="C4852" t="s">
        <v>22</v>
      </c>
      <c r="D4852" t="s">
        <v>7180</v>
      </c>
      <c r="E4852" t="s">
        <v>18</v>
      </c>
      <c r="F4852" t="s">
        <v>137</v>
      </c>
      <c r="G4852" t="s">
        <v>71</v>
      </c>
      <c r="H4852" t="s">
        <v>61</v>
      </c>
      <c r="I4852">
        <v>10500</v>
      </c>
      <c r="J4852">
        <v>13650</v>
      </c>
      <c r="K4852">
        <v>1</v>
      </c>
      <c r="L4852">
        <v>10500</v>
      </c>
      <c r="M4852">
        <v>13650</v>
      </c>
      <c r="N4852" t="s">
        <v>28</v>
      </c>
      <c r="O4852">
        <f t="shared" si="150"/>
        <v>9750</v>
      </c>
      <c r="P4852" s="13">
        <f t="shared" si="151"/>
        <v>2551588</v>
      </c>
      <c r="Q4852" s="13">
        <f>SUMIFS(M:M,E:E,Online_eCommerce[[#This Row],[Status]])</f>
        <v>28340455</v>
      </c>
      <c r="R4852" s="13">
        <f>SUMIFS(L:L,H:H,Online_eCommerce[[#This Row],[Brand]])</f>
        <v>10950150</v>
      </c>
      <c r="S4852" s="13">
        <f>SUMIF(H:H,Online_eCommerce[[#This Row],[Brand]],M:M)</f>
        <v>14235195</v>
      </c>
      <c r="T4852" s="13">
        <f>SUMIF(N:N,Online_eCommerce[[#This Row],[Assigned Supervisor]],L:L)</f>
        <v>12220830</v>
      </c>
    </row>
    <row r="4853" spans="1:20" hidden="1" x14ac:dyDescent="0.3">
      <c r="A4853" t="s">
        <v>7181</v>
      </c>
      <c r="B4853" t="s">
        <v>215</v>
      </c>
      <c r="C4853" t="s">
        <v>132</v>
      </c>
      <c r="D4853" t="s">
        <v>7182</v>
      </c>
      <c r="E4853" t="s">
        <v>161</v>
      </c>
      <c r="F4853" t="s">
        <v>7136</v>
      </c>
      <c r="G4853" t="s">
        <v>77</v>
      </c>
      <c r="H4853" t="s">
        <v>142</v>
      </c>
      <c r="I4853">
        <v>6500</v>
      </c>
      <c r="J4853">
        <v>8450</v>
      </c>
      <c r="K4853">
        <v>2</v>
      </c>
      <c r="L4853">
        <v>13000</v>
      </c>
      <c r="M4853">
        <v>16900</v>
      </c>
      <c r="N4853" t="s">
        <v>35</v>
      </c>
      <c r="O4853">
        <f t="shared" si="150"/>
        <v>39000</v>
      </c>
      <c r="P4853" s="13">
        <f t="shared" si="151"/>
        <v>1989065</v>
      </c>
      <c r="Q4853" s="13">
        <f>SUMIFS(M:M,E:E,Online_eCommerce[[#This Row],[Status]])</f>
        <v>21103186</v>
      </c>
      <c r="R4853" s="13">
        <f>SUMIFS(L:L,H:H,Online_eCommerce[[#This Row],[Brand]])</f>
        <v>6192500</v>
      </c>
      <c r="S4853" s="13">
        <f>SUMIF(H:H,Online_eCommerce[[#This Row],[Brand]],M:M)</f>
        <v>8050250</v>
      </c>
      <c r="T4853" s="13">
        <f>SUMIF(N:N,Online_eCommerce[[#This Row],[Assigned Supervisor]],L:L)</f>
        <v>14373360</v>
      </c>
    </row>
    <row r="4854" spans="1:20" x14ac:dyDescent="0.3">
      <c r="A4854" t="s">
        <v>7183</v>
      </c>
      <c r="B4854" t="s">
        <v>306</v>
      </c>
      <c r="C4854" t="s">
        <v>136</v>
      </c>
      <c r="D4854" t="s">
        <v>7184</v>
      </c>
      <c r="E4854" t="s">
        <v>46</v>
      </c>
      <c r="F4854" t="s">
        <v>7185</v>
      </c>
      <c r="G4854" t="s">
        <v>20</v>
      </c>
      <c r="H4854" t="s">
        <v>21</v>
      </c>
      <c r="I4854">
        <v>4500</v>
      </c>
      <c r="J4854">
        <v>5850</v>
      </c>
      <c r="K4854">
        <v>3</v>
      </c>
      <c r="L4854">
        <v>13500</v>
      </c>
      <c r="M4854">
        <v>17550</v>
      </c>
      <c r="N4854" t="s">
        <v>42</v>
      </c>
      <c r="O4854">
        <f t="shared" si="150"/>
        <v>8450</v>
      </c>
      <c r="P4854" s="13">
        <f t="shared" si="151"/>
        <v>2775162</v>
      </c>
      <c r="Q4854" s="13">
        <f>SUMIFS(M:M,E:E,Online_eCommerce[[#This Row],[Status]])</f>
        <v>28620410</v>
      </c>
      <c r="R4854" s="13">
        <f>SUMIFS(L:L,H:H,Online_eCommerce[[#This Row],[Brand]])</f>
        <v>12435650</v>
      </c>
      <c r="S4854" s="13">
        <f>SUMIF(H:H,Online_eCommerce[[#This Row],[Brand]],M:M)</f>
        <v>16166345</v>
      </c>
      <c r="T4854" s="13">
        <f>SUMIF(N:N,Online_eCommerce[[#This Row],[Assigned Supervisor]],L:L)</f>
        <v>12261500</v>
      </c>
    </row>
    <row r="4855" spans="1:20" hidden="1" x14ac:dyDescent="0.3">
      <c r="A4855" t="s">
        <v>7186</v>
      </c>
      <c r="B4855" t="s">
        <v>528</v>
      </c>
      <c r="C4855" t="s">
        <v>140</v>
      </c>
      <c r="D4855" t="s">
        <v>7187</v>
      </c>
      <c r="E4855" t="s">
        <v>96</v>
      </c>
      <c r="F4855" t="s">
        <v>152</v>
      </c>
      <c r="G4855" t="s">
        <v>26</v>
      </c>
      <c r="H4855" t="s">
        <v>27</v>
      </c>
      <c r="I4855">
        <v>8500</v>
      </c>
      <c r="J4855">
        <v>11050</v>
      </c>
      <c r="K4855">
        <v>3</v>
      </c>
      <c r="L4855">
        <v>25500</v>
      </c>
      <c r="M4855">
        <v>33150</v>
      </c>
      <c r="N4855" t="s">
        <v>50</v>
      </c>
      <c r="O4855">
        <f t="shared" si="150"/>
        <v>33150</v>
      </c>
      <c r="P4855" s="13">
        <f t="shared" si="151"/>
        <v>2058264</v>
      </c>
      <c r="Q4855" s="13">
        <f>SUMIFS(M:M,E:E,Online_eCommerce[[#This Row],[Status]])</f>
        <v>21233992</v>
      </c>
      <c r="R4855" s="13">
        <f>SUMIFS(L:L,H:H,Online_eCommerce[[#This Row],[Brand]])</f>
        <v>14431000</v>
      </c>
      <c r="S4855" s="13">
        <f>SUMIF(H:H,Online_eCommerce[[#This Row],[Brand]],M:M)</f>
        <v>18760300</v>
      </c>
      <c r="T4855" s="13">
        <f>SUMIF(N:N,Online_eCommerce[[#This Row],[Assigned Supervisor]],L:L)</f>
        <v>12100590</v>
      </c>
    </row>
    <row r="4856" spans="1:20" hidden="1" x14ac:dyDescent="0.3">
      <c r="A4856" t="s">
        <v>7188</v>
      </c>
      <c r="B4856" t="s">
        <v>73</v>
      </c>
      <c r="C4856" t="s">
        <v>145</v>
      </c>
      <c r="D4856" t="s">
        <v>7189</v>
      </c>
      <c r="E4856" t="s">
        <v>18</v>
      </c>
      <c r="F4856" t="s">
        <v>157</v>
      </c>
      <c r="G4856" t="s">
        <v>33</v>
      </c>
      <c r="H4856" t="s">
        <v>34</v>
      </c>
      <c r="I4856">
        <v>12500</v>
      </c>
      <c r="J4856">
        <v>16250</v>
      </c>
      <c r="K4856">
        <v>3</v>
      </c>
      <c r="L4856">
        <v>37500</v>
      </c>
      <c r="M4856">
        <v>48750</v>
      </c>
      <c r="N4856" t="s">
        <v>56</v>
      </c>
      <c r="O4856">
        <f t="shared" si="150"/>
        <v>18200</v>
      </c>
      <c r="P4856" s="13">
        <f t="shared" si="151"/>
        <v>2757859</v>
      </c>
      <c r="Q4856" s="13">
        <f>SUMIFS(M:M,E:E,Online_eCommerce[[#This Row],[Status]])</f>
        <v>28340455</v>
      </c>
      <c r="R4856" s="13">
        <f>SUMIFS(L:L,H:H,Online_eCommerce[[#This Row],[Brand]])</f>
        <v>10087000</v>
      </c>
      <c r="S4856" s="13">
        <f>SUMIF(H:H,Online_eCommerce[[#This Row],[Brand]],M:M)</f>
        <v>13113100</v>
      </c>
      <c r="T4856" s="13">
        <f>SUMIF(N:N,Online_eCommerce[[#This Row],[Assigned Supervisor]],L:L)</f>
        <v>11733610</v>
      </c>
    </row>
    <row r="4857" spans="1:20" hidden="1" x14ac:dyDescent="0.3">
      <c r="A4857" t="s">
        <v>7190</v>
      </c>
      <c r="B4857" t="s">
        <v>80</v>
      </c>
      <c r="C4857" t="s">
        <v>150</v>
      </c>
      <c r="D4857" t="s">
        <v>7191</v>
      </c>
      <c r="E4857" t="s">
        <v>161</v>
      </c>
      <c r="F4857" t="s">
        <v>6754</v>
      </c>
      <c r="G4857" t="s">
        <v>256</v>
      </c>
      <c r="H4857" t="s">
        <v>41</v>
      </c>
      <c r="I4857">
        <v>3500</v>
      </c>
      <c r="J4857">
        <v>4550</v>
      </c>
      <c r="K4857">
        <v>3</v>
      </c>
      <c r="L4857">
        <v>10500</v>
      </c>
      <c r="M4857">
        <v>13650</v>
      </c>
      <c r="N4857" t="s">
        <v>22</v>
      </c>
      <c r="O4857">
        <f t="shared" si="150"/>
        <v>9100</v>
      </c>
      <c r="P4857" s="13">
        <f t="shared" si="151"/>
        <v>2154984</v>
      </c>
      <c r="Q4857" s="13">
        <f>SUMIFS(M:M,E:E,Online_eCommerce[[#This Row],[Status]])</f>
        <v>21103186</v>
      </c>
      <c r="R4857" s="13">
        <f>SUMIFS(L:L,H:H,Online_eCommerce[[#This Row],[Brand]])</f>
        <v>4260400</v>
      </c>
      <c r="S4857" s="13">
        <f>SUMIF(H:H,Online_eCommerce[[#This Row],[Brand]],M:M)</f>
        <v>5538520</v>
      </c>
      <c r="T4857" s="13">
        <f>SUMIF(N:N,Online_eCommerce[[#This Row],[Assigned Supervisor]],L:L)</f>
        <v>13693220</v>
      </c>
    </row>
    <row r="4858" spans="1:20" x14ac:dyDescent="0.3">
      <c r="A4858" t="s">
        <v>7192</v>
      </c>
      <c r="B4858" t="s">
        <v>85</v>
      </c>
      <c r="C4858" t="s">
        <v>155</v>
      </c>
      <c r="D4858" t="s">
        <v>7193</v>
      </c>
      <c r="E4858" t="s">
        <v>46</v>
      </c>
      <c r="F4858" t="s">
        <v>166</v>
      </c>
      <c r="G4858" t="s">
        <v>259</v>
      </c>
      <c r="H4858" t="s">
        <v>49</v>
      </c>
      <c r="I4858">
        <v>4500</v>
      </c>
      <c r="J4858">
        <v>5850</v>
      </c>
      <c r="K4858">
        <v>2</v>
      </c>
      <c r="L4858">
        <v>9000</v>
      </c>
      <c r="M4858">
        <v>11700</v>
      </c>
      <c r="N4858" t="s">
        <v>28</v>
      </c>
      <c r="O4858">
        <f t="shared" si="150"/>
        <v>11700</v>
      </c>
      <c r="P4858" s="13">
        <f t="shared" si="151"/>
        <v>2753348</v>
      </c>
      <c r="Q4858" s="13">
        <f>SUMIFS(M:M,E:E,Online_eCommerce[[#This Row],[Status]])</f>
        <v>28620410</v>
      </c>
      <c r="R4858" s="13">
        <f>SUMIFS(L:L,H:H,Online_eCommerce[[#This Row],[Brand]])</f>
        <v>4528350</v>
      </c>
      <c r="S4858" s="13">
        <f>SUMIF(H:H,Online_eCommerce[[#This Row],[Brand]],M:M)</f>
        <v>5886855</v>
      </c>
      <c r="T4858" s="13">
        <f>SUMIF(N:N,Online_eCommerce[[#This Row],[Assigned Supervisor]],L:L)</f>
        <v>12220830</v>
      </c>
    </row>
    <row r="4859" spans="1:20" hidden="1" x14ac:dyDescent="0.3">
      <c r="A4859" t="s">
        <v>7194</v>
      </c>
      <c r="B4859" t="s">
        <v>90</v>
      </c>
      <c r="C4859" t="s">
        <v>160</v>
      </c>
      <c r="D4859" t="s">
        <v>7195</v>
      </c>
      <c r="E4859" t="s">
        <v>96</v>
      </c>
      <c r="F4859" t="s">
        <v>7196</v>
      </c>
      <c r="G4859" t="s">
        <v>54</v>
      </c>
      <c r="H4859" t="s">
        <v>55</v>
      </c>
      <c r="I4859">
        <v>2100</v>
      </c>
      <c r="J4859">
        <v>2730</v>
      </c>
      <c r="K4859">
        <v>4</v>
      </c>
      <c r="L4859">
        <v>8400</v>
      </c>
      <c r="M4859">
        <v>10920</v>
      </c>
      <c r="N4859" t="s">
        <v>35</v>
      </c>
      <c r="O4859">
        <f t="shared" si="150"/>
        <v>2990</v>
      </c>
      <c r="P4859" s="13">
        <f t="shared" si="151"/>
        <v>2303483</v>
      </c>
      <c r="Q4859" s="13">
        <f>SUMIFS(M:M,E:E,Online_eCommerce[[#This Row],[Status]])</f>
        <v>21233992</v>
      </c>
      <c r="R4859" s="13">
        <f>SUMIFS(L:L,H:H,Online_eCommerce[[#This Row],[Brand]])</f>
        <v>2267380</v>
      </c>
      <c r="S4859" s="13">
        <f>SUMIF(H:H,Online_eCommerce[[#This Row],[Brand]],M:M)</f>
        <v>2947594</v>
      </c>
      <c r="T4859" s="13">
        <f>SUMIF(N:N,Online_eCommerce[[#This Row],[Assigned Supervisor]],L:L)</f>
        <v>14373360</v>
      </c>
    </row>
    <row r="4860" spans="1:20" hidden="1" x14ac:dyDescent="0.3">
      <c r="A4860" t="s">
        <v>7197</v>
      </c>
      <c r="B4860" t="s">
        <v>232</v>
      </c>
      <c r="C4860" t="s">
        <v>165</v>
      </c>
      <c r="D4860" t="s">
        <v>7198</v>
      </c>
      <c r="E4860" t="s">
        <v>18</v>
      </c>
      <c r="F4860" t="s">
        <v>174</v>
      </c>
      <c r="G4860" t="s">
        <v>60</v>
      </c>
      <c r="H4860" t="s">
        <v>61</v>
      </c>
      <c r="I4860">
        <v>1150</v>
      </c>
      <c r="J4860">
        <v>1495</v>
      </c>
      <c r="K4860">
        <v>3</v>
      </c>
      <c r="L4860">
        <v>3450</v>
      </c>
      <c r="M4860">
        <v>4485</v>
      </c>
      <c r="N4860" t="s">
        <v>42</v>
      </c>
      <c r="O4860">
        <f t="shared" si="150"/>
        <v>3315</v>
      </c>
      <c r="P4860" s="13">
        <f t="shared" si="151"/>
        <v>2674087</v>
      </c>
      <c r="Q4860" s="13">
        <f>SUMIFS(M:M,E:E,Online_eCommerce[[#This Row],[Status]])</f>
        <v>28340455</v>
      </c>
      <c r="R4860" s="13">
        <f>SUMIFS(L:L,H:H,Online_eCommerce[[#This Row],[Brand]])</f>
        <v>10950150</v>
      </c>
      <c r="S4860" s="13">
        <f>SUMIF(H:H,Online_eCommerce[[#This Row],[Brand]],M:M)</f>
        <v>14235195</v>
      </c>
      <c r="T4860" s="13">
        <f>SUMIF(N:N,Online_eCommerce[[#This Row],[Assigned Supervisor]],L:L)</f>
        <v>12261500</v>
      </c>
    </row>
    <row r="4861" spans="1:20" hidden="1" x14ac:dyDescent="0.3">
      <c r="A4861" t="s">
        <v>7199</v>
      </c>
      <c r="B4861" t="s">
        <v>235</v>
      </c>
      <c r="C4861" t="s">
        <v>168</v>
      </c>
      <c r="D4861" t="s">
        <v>7200</v>
      </c>
      <c r="E4861" t="s">
        <v>161</v>
      </c>
      <c r="F4861" t="s">
        <v>179</v>
      </c>
      <c r="G4861" t="s">
        <v>66</v>
      </c>
      <c r="H4861" t="s">
        <v>21</v>
      </c>
      <c r="I4861">
        <v>350</v>
      </c>
      <c r="J4861">
        <v>455</v>
      </c>
      <c r="K4861">
        <v>3</v>
      </c>
      <c r="L4861">
        <v>1050</v>
      </c>
      <c r="M4861">
        <v>1365</v>
      </c>
      <c r="N4861" t="s">
        <v>50</v>
      </c>
      <c r="O4861">
        <f t="shared" si="150"/>
        <v>1690</v>
      </c>
      <c r="P4861" s="13">
        <f t="shared" si="151"/>
        <v>1937780</v>
      </c>
      <c r="Q4861" s="13">
        <f>SUMIFS(M:M,E:E,Online_eCommerce[[#This Row],[Status]])</f>
        <v>21103186</v>
      </c>
      <c r="R4861" s="13">
        <f>SUMIFS(L:L,H:H,Online_eCommerce[[#This Row],[Brand]])</f>
        <v>12435650</v>
      </c>
      <c r="S4861" s="13">
        <f>SUMIF(H:H,Online_eCommerce[[#This Row],[Brand]],M:M)</f>
        <v>16166345</v>
      </c>
      <c r="T4861" s="13">
        <f>SUMIF(N:N,Online_eCommerce[[#This Row],[Assigned Supervisor]],L:L)</f>
        <v>12100590</v>
      </c>
    </row>
    <row r="4862" spans="1:20" x14ac:dyDescent="0.3">
      <c r="A4862" t="s">
        <v>7201</v>
      </c>
      <c r="B4862" t="s">
        <v>104</v>
      </c>
      <c r="C4862" t="s">
        <v>172</v>
      </c>
      <c r="D4862" t="s">
        <v>7202</v>
      </c>
      <c r="E4862" t="s">
        <v>46</v>
      </c>
      <c r="F4862" t="s">
        <v>183</v>
      </c>
      <c r="G4862" t="s">
        <v>71</v>
      </c>
      <c r="H4862" t="s">
        <v>61</v>
      </c>
      <c r="I4862">
        <v>9500</v>
      </c>
      <c r="J4862">
        <v>12350</v>
      </c>
      <c r="K4862">
        <v>2</v>
      </c>
      <c r="L4862">
        <v>19000</v>
      </c>
      <c r="M4862">
        <v>24700</v>
      </c>
      <c r="N4862" t="s">
        <v>56</v>
      </c>
      <c r="O4862">
        <f t="shared" si="150"/>
        <v>9750</v>
      </c>
      <c r="P4862" s="13">
        <f t="shared" si="151"/>
        <v>2640274</v>
      </c>
      <c r="Q4862" s="13">
        <f>SUMIFS(M:M,E:E,Online_eCommerce[[#This Row],[Status]])</f>
        <v>28620410</v>
      </c>
      <c r="R4862" s="13">
        <f>SUMIFS(L:L,H:H,Online_eCommerce[[#This Row],[Brand]])</f>
        <v>10950150</v>
      </c>
      <c r="S4862" s="13">
        <f>SUMIF(H:H,Online_eCommerce[[#This Row],[Brand]],M:M)</f>
        <v>14235195</v>
      </c>
      <c r="T4862" s="13">
        <f>SUMIF(N:N,Online_eCommerce[[#This Row],[Assigned Supervisor]],L:L)</f>
        <v>11733610</v>
      </c>
    </row>
    <row r="4863" spans="1:20" hidden="1" x14ac:dyDescent="0.3">
      <c r="A4863" t="s">
        <v>7203</v>
      </c>
      <c r="B4863" t="s">
        <v>109</v>
      </c>
      <c r="C4863" t="s">
        <v>177</v>
      </c>
      <c r="D4863" t="s">
        <v>7202</v>
      </c>
      <c r="E4863" t="s">
        <v>96</v>
      </c>
      <c r="F4863" t="s">
        <v>7204</v>
      </c>
      <c r="G4863" t="s">
        <v>77</v>
      </c>
      <c r="H4863" t="s">
        <v>142</v>
      </c>
      <c r="I4863">
        <v>10000</v>
      </c>
      <c r="J4863">
        <v>13000</v>
      </c>
      <c r="K4863">
        <v>2</v>
      </c>
      <c r="L4863">
        <v>20000</v>
      </c>
      <c r="M4863">
        <v>26000</v>
      </c>
      <c r="N4863" t="s">
        <v>22</v>
      </c>
      <c r="O4863">
        <f t="shared" si="150"/>
        <v>39000</v>
      </c>
      <c r="P4863" s="13">
        <f t="shared" si="151"/>
        <v>1863810</v>
      </c>
      <c r="Q4863" s="13">
        <f>SUMIFS(M:M,E:E,Online_eCommerce[[#This Row],[Status]])</f>
        <v>21233992</v>
      </c>
      <c r="R4863" s="13">
        <f>SUMIFS(L:L,H:H,Online_eCommerce[[#This Row],[Brand]])</f>
        <v>6192500</v>
      </c>
      <c r="S4863" s="13">
        <f>SUMIF(H:H,Online_eCommerce[[#This Row],[Brand]],M:M)</f>
        <v>8050250</v>
      </c>
      <c r="T4863" s="13">
        <f>SUMIF(N:N,Online_eCommerce[[#This Row],[Assigned Supervisor]],L:L)</f>
        <v>13693220</v>
      </c>
    </row>
    <row r="4864" spans="1:20" hidden="1" x14ac:dyDescent="0.3">
      <c r="A4864" t="s">
        <v>7205</v>
      </c>
      <c r="B4864" t="s">
        <v>114</v>
      </c>
      <c r="C4864" t="s">
        <v>181</v>
      </c>
      <c r="D4864" t="s">
        <v>7202</v>
      </c>
      <c r="E4864" t="s">
        <v>18</v>
      </c>
      <c r="F4864" t="s">
        <v>7206</v>
      </c>
      <c r="G4864" t="s">
        <v>20</v>
      </c>
      <c r="H4864" t="s">
        <v>21</v>
      </c>
      <c r="I4864">
        <v>6500</v>
      </c>
      <c r="J4864">
        <v>8450</v>
      </c>
      <c r="K4864">
        <v>2</v>
      </c>
      <c r="L4864">
        <v>13000</v>
      </c>
      <c r="M4864">
        <v>16900</v>
      </c>
      <c r="N4864" t="s">
        <v>28</v>
      </c>
      <c r="O4864">
        <f t="shared" si="150"/>
        <v>8450</v>
      </c>
      <c r="P4864" s="13">
        <f t="shared" si="151"/>
        <v>2577458</v>
      </c>
      <c r="Q4864" s="13">
        <f>SUMIFS(M:M,E:E,Online_eCommerce[[#This Row],[Status]])</f>
        <v>28340455</v>
      </c>
      <c r="R4864" s="13">
        <f>SUMIFS(L:L,H:H,Online_eCommerce[[#This Row],[Brand]])</f>
        <v>12435650</v>
      </c>
      <c r="S4864" s="13">
        <f>SUMIF(H:H,Online_eCommerce[[#This Row],[Brand]],M:M)</f>
        <v>16166345</v>
      </c>
      <c r="T4864" s="13">
        <f>SUMIF(N:N,Online_eCommerce[[#This Row],[Assigned Supervisor]],L:L)</f>
        <v>12220830</v>
      </c>
    </row>
    <row r="4865" spans="1:20" hidden="1" x14ac:dyDescent="0.3">
      <c r="A4865" t="s">
        <v>7207</v>
      </c>
      <c r="B4865" t="s">
        <v>119</v>
      </c>
      <c r="C4865" t="s">
        <v>185</v>
      </c>
      <c r="D4865" t="s">
        <v>7202</v>
      </c>
      <c r="E4865" t="s">
        <v>161</v>
      </c>
      <c r="F4865" t="s">
        <v>7208</v>
      </c>
      <c r="G4865" t="s">
        <v>26</v>
      </c>
      <c r="H4865" t="s">
        <v>27</v>
      </c>
      <c r="I4865">
        <v>8500</v>
      </c>
      <c r="J4865">
        <v>11050</v>
      </c>
      <c r="K4865">
        <v>4</v>
      </c>
      <c r="L4865">
        <v>34000</v>
      </c>
      <c r="M4865">
        <v>44200</v>
      </c>
      <c r="N4865" t="s">
        <v>35</v>
      </c>
      <c r="O4865">
        <f t="shared" si="150"/>
        <v>33150</v>
      </c>
      <c r="P4865" s="13">
        <f t="shared" si="151"/>
        <v>2091596</v>
      </c>
      <c r="Q4865" s="13">
        <f>SUMIFS(M:M,E:E,Online_eCommerce[[#This Row],[Status]])</f>
        <v>21103186</v>
      </c>
      <c r="R4865" s="13">
        <f>SUMIFS(L:L,H:H,Online_eCommerce[[#This Row],[Brand]])</f>
        <v>14431000</v>
      </c>
      <c r="S4865" s="13">
        <f>SUMIF(H:H,Online_eCommerce[[#This Row],[Brand]],M:M)</f>
        <v>18760300</v>
      </c>
      <c r="T4865" s="13">
        <f>SUMIF(N:N,Online_eCommerce[[#This Row],[Assigned Supervisor]],L:L)</f>
        <v>14373360</v>
      </c>
    </row>
    <row r="4866" spans="1:20" x14ac:dyDescent="0.3">
      <c r="A4866" t="s">
        <v>7209</v>
      </c>
      <c r="B4866" t="s">
        <v>124</v>
      </c>
      <c r="C4866" t="s">
        <v>189</v>
      </c>
      <c r="D4866" t="s">
        <v>7202</v>
      </c>
      <c r="E4866" t="s">
        <v>46</v>
      </c>
      <c r="F4866" t="s">
        <v>32</v>
      </c>
      <c r="G4866" t="s">
        <v>33</v>
      </c>
      <c r="H4866" t="s">
        <v>34</v>
      </c>
      <c r="I4866">
        <v>7000</v>
      </c>
      <c r="J4866">
        <v>9100</v>
      </c>
      <c r="K4866">
        <v>4</v>
      </c>
      <c r="L4866">
        <v>28000</v>
      </c>
      <c r="M4866">
        <v>36400</v>
      </c>
      <c r="N4866" t="s">
        <v>42</v>
      </c>
      <c r="O4866">
        <f t="shared" ref="O4866:O4929" si="152">VLOOKUP(G4866,G:M,7,FALSE)</f>
        <v>18200</v>
      </c>
      <c r="P4866" s="13">
        <f t="shared" ref="P4866:P4929" si="153">SUMIFS(M:M,C:C,C4866)</f>
        <v>2740777</v>
      </c>
      <c r="Q4866" s="13">
        <f>SUMIFS(M:M,E:E,Online_eCommerce[[#This Row],[Status]])</f>
        <v>28620410</v>
      </c>
      <c r="R4866" s="13">
        <f>SUMIFS(L:L,H:H,Online_eCommerce[[#This Row],[Brand]])</f>
        <v>10087000</v>
      </c>
      <c r="S4866" s="13">
        <f>SUMIF(H:H,Online_eCommerce[[#This Row],[Brand]],M:M)</f>
        <v>13113100</v>
      </c>
      <c r="T4866" s="13">
        <f>SUMIF(N:N,Online_eCommerce[[#This Row],[Assigned Supervisor]],L:L)</f>
        <v>12261500</v>
      </c>
    </row>
    <row r="4867" spans="1:20" hidden="1" x14ac:dyDescent="0.3">
      <c r="A4867" t="s">
        <v>7210</v>
      </c>
      <c r="B4867" t="s">
        <v>128</v>
      </c>
      <c r="C4867" t="s">
        <v>193</v>
      </c>
      <c r="D4867" t="s">
        <v>7202</v>
      </c>
      <c r="E4867" t="s">
        <v>96</v>
      </c>
      <c r="F4867" t="s">
        <v>7211</v>
      </c>
      <c r="G4867" t="s">
        <v>256</v>
      </c>
      <c r="H4867" t="s">
        <v>41</v>
      </c>
      <c r="I4867">
        <v>6550</v>
      </c>
      <c r="J4867">
        <v>8515</v>
      </c>
      <c r="K4867">
        <v>3</v>
      </c>
      <c r="L4867">
        <v>19650</v>
      </c>
      <c r="M4867">
        <v>25545</v>
      </c>
      <c r="N4867" t="s">
        <v>50</v>
      </c>
      <c r="O4867">
        <f t="shared" si="152"/>
        <v>9100</v>
      </c>
      <c r="P4867" s="13">
        <f t="shared" si="153"/>
        <v>2074774</v>
      </c>
      <c r="Q4867" s="13">
        <f>SUMIFS(M:M,E:E,Online_eCommerce[[#This Row],[Status]])</f>
        <v>21233992</v>
      </c>
      <c r="R4867" s="13">
        <f>SUMIFS(L:L,H:H,Online_eCommerce[[#This Row],[Brand]])</f>
        <v>4260400</v>
      </c>
      <c r="S4867" s="13">
        <f>SUMIF(H:H,Online_eCommerce[[#This Row],[Brand]],M:M)</f>
        <v>5538520</v>
      </c>
      <c r="T4867" s="13">
        <f>SUMIF(N:N,Online_eCommerce[[#This Row],[Assigned Supervisor]],L:L)</f>
        <v>12100590</v>
      </c>
    </row>
    <row r="4868" spans="1:20" hidden="1" x14ac:dyDescent="0.3">
      <c r="A4868" t="s">
        <v>7212</v>
      </c>
      <c r="B4868" t="s">
        <v>131</v>
      </c>
      <c r="C4868" t="s">
        <v>197</v>
      </c>
      <c r="D4868" t="s">
        <v>7202</v>
      </c>
      <c r="E4868" t="s">
        <v>18</v>
      </c>
      <c r="F4868" t="s">
        <v>47</v>
      </c>
      <c r="G4868" t="s">
        <v>259</v>
      </c>
      <c r="H4868" t="s">
        <v>49</v>
      </c>
      <c r="I4868">
        <v>7650</v>
      </c>
      <c r="J4868">
        <v>9945</v>
      </c>
      <c r="K4868">
        <v>1</v>
      </c>
      <c r="L4868">
        <v>7650</v>
      </c>
      <c r="M4868">
        <v>9945</v>
      </c>
      <c r="N4868" t="s">
        <v>56</v>
      </c>
      <c r="O4868">
        <f t="shared" si="152"/>
        <v>11700</v>
      </c>
      <c r="P4868" s="13">
        <f t="shared" si="153"/>
        <v>2829840</v>
      </c>
      <c r="Q4868" s="13">
        <f>SUMIFS(M:M,E:E,Online_eCommerce[[#This Row],[Status]])</f>
        <v>28340455</v>
      </c>
      <c r="R4868" s="13">
        <f>SUMIFS(L:L,H:H,Online_eCommerce[[#This Row],[Brand]])</f>
        <v>4528350</v>
      </c>
      <c r="S4868" s="13">
        <f>SUMIF(H:H,Online_eCommerce[[#This Row],[Brand]],M:M)</f>
        <v>5886855</v>
      </c>
      <c r="T4868" s="13">
        <f>SUMIF(N:N,Online_eCommerce[[#This Row],[Assigned Supervisor]],L:L)</f>
        <v>11733610</v>
      </c>
    </row>
    <row r="4869" spans="1:20" hidden="1" x14ac:dyDescent="0.3">
      <c r="A4869" t="s">
        <v>7213</v>
      </c>
      <c r="B4869" t="s">
        <v>135</v>
      </c>
      <c r="C4869" t="s">
        <v>199</v>
      </c>
      <c r="D4869" t="s">
        <v>7202</v>
      </c>
      <c r="E4869" t="s">
        <v>161</v>
      </c>
      <c r="F4869" t="s">
        <v>53</v>
      </c>
      <c r="G4869" t="s">
        <v>54</v>
      </c>
      <c r="H4869" t="s">
        <v>55</v>
      </c>
      <c r="I4869">
        <v>1150</v>
      </c>
      <c r="J4869">
        <v>1495</v>
      </c>
      <c r="K4869">
        <v>3</v>
      </c>
      <c r="L4869">
        <v>3450</v>
      </c>
      <c r="M4869">
        <v>4485</v>
      </c>
      <c r="N4869" t="s">
        <v>22</v>
      </c>
      <c r="O4869">
        <f t="shared" si="152"/>
        <v>2990</v>
      </c>
      <c r="P4869" s="13">
        <f t="shared" si="153"/>
        <v>1947361</v>
      </c>
      <c r="Q4869" s="13">
        <f>SUMIFS(M:M,E:E,Online_eCommerce[[#This Row],[Status]])</f>
        <v>21103186</v>
      </c>
      <c r="R4869" s="13">
        <f>SUMIFS(L:L,H:H,Online_eCommerce[[#This Row],[Brand]])</f>
        <v>2267380</v>
      </c>
      <c r="S4869" s="13">
        <f>SUMIF(H:H,Online_eCommerce[[#This Row],[Brand]],M:M)</f>
        <v>2947594</v>
      </c>
      <c r="T4869" s="13">
        <f>SUMIF(N:N,Online_eCommerce[[#This Row],[Assigned Supervisor]],L:L)</f>
        <v>13693220</v>
      </c>
    </row>
    <row r="4870" spans="1:20" x14ac:dyDescent="0.3">
      <c r="A4870" t="s">
        <v>7214</v>
      </c>
      <c r="B4870" t="s">
        <v>139</v>
      </c>
      <c r="C4870" t="s">
        <v>203</v>
      </c>
      <c r="D4870" t="s">
        <v>7202</v>
      </c>
      <c r="E4870" t="s">
        <v>46</v>
      </c>
      <c r="F4870" t="s">
        <v>59</v>
      </c>
      <c r="G4870" t="s">
        <v>60</v>
      </c>
      <c r="H4870" t="s">
        <v>61</v>
      </c>
      <c r="I4870">
        <v>850</v>
      </c>
      <c r="J4870">
        <v>1105</v>
      </c>
      <c r="K4870">
        <v>3</v>
      </c>
      <c r="L4870">
        <v>2550</v>
      </c>
      <c r="M4870">
        <v>3315</v>
      </c>
      <c r="N4870" t="s">
        <v>28</v>
      </c>
      <c r="O4870">
        <f t="shared" si="152"/>
        <v>3315</v>
      </c>
      <c r="P4870" s="13">
        <f t="shared" si="153"/>
        <v>2559635</v>
      </c>
      <c r="Q4870" s="13">
        <f>SUMIFS(M:M,E:E,Online_eCommerce[[#This Row],[Status]])</f>
        <v>28620410</v>
      </c>
      <c r="R4870" s="13">
        <f>SUMIFS(L:L,H:H,Online_eCommerce[[#This Row],[Brand]])</f>
        <v>10950150</v>
      </c>
      <c r="S4870" s="13">
        <f>SUMIF(H:H,Online_eCommerce[[#This Row],[Brand]],M:M)</f>
        <v>14235195</v>
      </c>
      <c r="T4870" s="13">
        <f>SUMIF(N:N,Online_eCommerce[[#This Row],[Assigned Supervisor]],L:L)</f>
        <v>12220830</v>
      </c>
    </row>
    <row r="4871" spans="1:20" hidden="1" x14ac:dyDescent="0.3">
      <c r="A4871" t="s">
        <v>7215</v>
      </c>
      <c r="B4871" t="s">
        <v>144</v>
      </c>
      <c r="C4871" t="s">
        <v>205</v>
      </c>
      <c r="D4871" t="s">
        <v>7202</v>
      </c>
      <c r="E4871" t="s">
        <v>96</v>
      </c>
      <c r="F4871" t="s">
        <v>65</v>
      </c>
      <c r="G4871" t="s">
        <v>66</v>
      </c>
      <c r="H4871" t="s">
        <v>21</v>
      </c>
      <c r="I4871">
        <v>650</v>
      </c>
      <c r="J4871">
        <v>845</v>
      </c>
      <c r="K4871">
        <v>3</v>
      </c>
      <c r="L4871">
        <v>1950</v>
      </c>
      <c r="M4871">
        <v>2535</v>
      </c>
      <c r="N4871" t="s">
        <v>35</v>
      </c>
      <c r="O4871">
        <f t="shared" si="152"/>
        <v>1690</v>
      </c>
      <c r="P4871" s="13">
        <f t="shared" si="153"/>
        <v>1983254</v>
      </c>
      <c r="Q4871" s="13">
        <f>SUMIFS(M:M,E:E,Online_eCommerce[[#This Row],[Status]])</f>
        <v>21233992</v>
      </c>
      <c r="R4871" s="13">
        <f>SUMIFS(L:L,H:H,Online_eCommerce[[#This Row],[Brand]])</f>
        <v>12435650</v>
      </c>
      <c r="S4871" s="13">
        <f>SUMIF(H:H,Online_eCommerce[[#This Row],[Brand]],M:M)</f>
        <v>16166345</v>
      </c>
      <c r="T4871" s="13">
        <f>SUMIF(N:N,Online_eCommerce[[#This Row],[Assigned Supervisor]],L:L)</f>
        <v>14373360</v>
      </c>
    </row>
    <row r="4872" spans="1:20" hidden="1" x14ac:dyDescent="0.3">
      <c r="A4872" t="s">
        <v>7216</v>
      </c>
      <c r="B4872" t="s">
        <v>149</v>
      </c>
      <c r="C4872" t="s">
        <v>208</v>
      </c>
      <c r="D4872" t="s">
        <v>7202</v>
      </c>
      <c r="E4872" t="s">
        <v>18</v>
      </c>
      <c r="F4872" t="s">
        <v>70</v>
      </c>
      <c r="G4872" t="s">
        <v>71</v>
      </c>
      <c r="H4872" t="s">
        <v>61</v>
      </c>
      <c r="I4872">
        <v>7500</v>
      </c>
      <c r="J4872">
        <v>9750</v>
      </c>
      <c r="K4872">
        <v>1</v>
      </c>
      <c r="L4872">
        <v>7500</v>
      </c>
      <c r="M4872">
        <v>9750</v>
      </c>
      <c r="N4872" t="s">
        <v>42</v>
      </c>
      <c r="O4872">
        <f t="shared" si="152"/>
        <v>9750</v>
      </c>
      <c r="P4872" s="13">
        <f t="shared" si="153"/>
        <v>2746575</v>
      </c>
      <c r="Q4872" s="13">
        <f>SUMIFS(M:M,E:E,Online_eCommerce[[#This Row],[Status]])</f>
        <v>28340455</v>
      </c>
      <c r="R4872" s="13">
        <f>SUMIFS(L:L,H:H,Online_eCommerce[[#This Row],[Brand]])</f>
        <v>10950150</v>
      </c>
      <c r="S4872" s="13">
        <f>SUMIF(H:H,Online_eCommerce[[#This Row],[Brand]],M:M)</f>
        <v>14235195</v>
      </c>
      <c r="T4872" s="13">
        <f>SUMIF(N:N,Online_eCommerce[[#This Row],[Assigned Supervisor]],L:L)</f>
        <v>12261500</v>
      </c>
    </row>
    <row r="4873" spans="1:20" hidden="1" x14ac:dyDescent="0.3">
      <c r="A4873" t="s">
        <v>7217</v>
      </c>
      <c r="B4873" t="s">
        <v>154</v>
      </c>
      <c r="C4873" t="s">
        <v>211</v>
      </c>
      <c r="D4873" t="s">
        <v>7202</v>
      </c>
      <c r="E4873" t="s">
        <v>161</v>
      </c>
      <c r="F4873" t="s">
        <v>7204</v>
      </c>
      <c r="G4873" t="s">
        <v>77</v>
      </c>
      <c r="H4873" t="s">
        <v>78</v>
      </c>
      <c r="I4873">
        <v>10000</v>
      </c>
      <c r="J4873">
        <v>13000</v>
      </c>
      <c r="K4873">
        <v>2</v>
      </c>
      <c r="L4873">
        <v>20000</v>
      </c>
      <c r="M4873">
        <v>26000</v>
      </c>
      <c r="N4873" t="s">
        <v>50</v>
      </c>
      <c r="O4873">
        <f t="shared" si="152"/>
        <v>39000</v>
      </c>
      <c r="P4873" s="13">
        <f t="shared" si="153"/>
        <v>1809847</v>
      </c>
      <c r="Q4873" s="13">
        <f>SUMIFS(M:M,E:E,Online_eCommerce[[#This Row],[Status]])</f>
        <v>21103186</v>
      </c>
      <c r="R4873" s="13">
        <f>SUMIFS(L:L,H:H,Online_eCommerce[[#This Row],[Brand]])</f>
        <v>3720000</v>
      </c>
      <c r="S4873" s="13">
        <f>SUMIF(H:H,Online_eCommerce[[#This Row],[Brand]],M:M)</f>
        <v>4836000</v>
      </c>
      <c r="T4873" s="13">
        <f>SUMIF(N:N,Online_eCommerce[[#This Row],[Assigned Supervisor]],L:L)</f>
        <v>12100590</v>
      </c>
    </row>
    <row r="4874" spans="1:20" x14ac:dyDescent="0.3">
      <c r="A4874" t="s">
        <v>7218</v>
      </c>
      <c r="B4874" t="s">
        <v>159</v>
      </c>
      <c r="C4874" t="s">
        <v>16</v>
      </c>
      <c r="D4874" t="s">
        <v>7202</v>
      </c>
      <c r="E4874" t="s">
        <v>46</v>
      </c>
      <c r="F4874" t="s">
        <v>7219</v>
      </c>
      <c r="G4874" t="s">
        <v>20</v>
      </c>
      <c r="H4874" t="s">
        <v>21</v>
      </c>
      <c r="I4874">
        <v>10500</v>
      </c>
      <c r="J4874">
        <v>13650</v>
      </c>
      <c r="K4874">
        <v>2</v>
      </c>
      <c r="L4874">
        <v>21000</v>
      </c>
      <c r="M4874">
        <v>27300</v>
      </c>
      <c r="N4874" t="s">
        <v>56</v>
      </c>
      <c r="O4874">
        <f t="shared" si="152"/>
        <v>8450</v>
      </c>
      <c r="P4874" s="13">
        <f t="shared" si="153"/>
        <v>2751814</v>
      </c>
      <c r="Q4874" s="13">
        <f>SUMIFS(M:M,E:E,Online_eCommerce[[#This Row],[Status]])</f>
        <v>28620410</v>
      </c>
      <c r="R4874" s="13">
        <f>SUMIFS(L:L,H:H,Online_eCommerce[[#This Row],[Brand]])</f>
        <v>12435650</v>
      </c>
      <c r="S4874" s="13">
        <f>SUMIF(H:H,Online_eCommerce[[#This Row],[Brand]],M:M)</f>
        <v>16166345</v>
      </c>
      <c r="T4874" s="13">
        <f>SUMIF(N:N,Online_eCommerce[[#This Row],[Assigned Supervisor]],L:L)</f>
        <v>11733610</v>
      </c>
    </row>
    <row r="4875" spans="1:20" hidden="1" x14ac:dyDescent="0.3">
      <c r="A4875" t="s">
        <v>7220</v>
      </c>
      <c r="B4875" t="s">
        <v>139</v>
      </c>
      <c r="C4875" t="s">
        <v>24</v>
      </c>
      <c r="D4875" t="s">
        <v>7202</v>
      </c>
      <c r="E4875" t="s">
        <v>96</v>
      </c>
      <c r="F4875" t="s">
        <v>88</v>
      </c>
      <c r="G4875" t="s">
        <v>26</v>
      </c>
      <c r="H4875" t="s">
        <v>27</v>
      </c>
      <c r="I4875">
        <v>8500</v>
      </c>
      <c r="J4875">
        <v>11050</v>
      </c>
      <c r="K4875">
        <v>2</v>
      </c>
      <c r="L4875">
        <v>17000</v>
      </c>
      <c r="M4875">
        <v>22100</v>
      </c>
      <c r="N4875" t="s">
        <v>22</v>
      </c>
      <c r="O4875">
        <f t="shared" si="152"/>
        <v>33150</v>
      </c>
      <c r="P4875" s="13">
        <f t="shared" si="153"/>
        <v>2009540</v>
      </c>
      <c r="Q4875" s="13">
        <f>SUMIFS(M:M,E:E,Online_eCommerce[[#This Row],[Status]])</f>
        <v>21233992</v>
      </c>
      <c r="R4875" s="13">
        <f>SUMIFS(L:L,H:H,Online_eCommerce[[#This Row],[Brand]])</f>
        <v>14431000</v>
      </c>
      <c r="S4875" s="13">
        <f>SUMIF(H:H,Online_eCommerce[[#This Row],[Brand]],M:M)</f>
        <v>18760300</v>
      </c>
      <c r="T4875" s="13">
        <f>SUMIF(N:N,Online_eCommerce[[#This Row],[Assigned Supervisor]],L:L)</f>
        <v>13693220</v>
      </c>
    </row>
    <row r="4876" spans="1:20" hidden="1" x14ac:dyDescent="0.3">
      <c r="A4876" t="s">
        <v>7221</v>
      </c>
      <c r="B4876" t="s">
        <v>144</v>
      </c>
      <c r="C4876" t="s">
        <v>31</v>
      </c>
      <c r="D4876" t="s">
        <v>7202</v>
      </c>
      <c r="E4876" t="s">
        <v>18</v>
      </c>
      <c r="F4876" t="s">
        <v>32</v>
      </c>
      <c r="G4876" t="s">
        <v>33</v>
      </c>
      <c r="H4876" t="s">
        <v>34</v>
      </c>
      <c r="I4876">
        <v>7000</v>
      </c>
      <c r="J4876">
        <v>9100</v>
      </c>
      <c r="K4876">
        <v>4</v>
      </c>
      <c r="L4876">
        <v>28000</v>
      </c>
      <c r="M4876">
        <v>36400</v>
      </c>
      <c r="N4876" t="s">
        <v>22</v>
      </c>
      <c r="O4876">
        <f t="shared" si="152"/>
        <v>18200</v>
      </c>
      <c r="P4876" s="13">
        <f t="shared" si="153"/>
        <v>2865746</v>
      </c>
      <c r="Q4876" s="13">
        <f>SUMIFS(M:M,E:E,Online_eCommerce[[#This Row],[Status]])</f>
        <v>28340455</v>
      </c>
      <c r="R4876" s="13">
        <f>SUMIFS(L:L,H:H,Online_eCommerce[[#This Row],[Brand]])</f>
        <v>10087000</v>
      </c>
      <c r="S4876" s="13">
        <f>SUMIF(H:H,Online_eCommerce[[#This Row],[Brand]],M:M)</f>
        <v>13113100</v>
      </c>
      <c r="T4876" s="13">
        <f>SUMIF(N:N,Online_eCommerce[[#This Row],[Assigned Supervisor]],L:L)</f>
        <v>13693220</v>
      </c>
    </row>
    <row r="4877" spans="1:20" hidden="1" x14ac:dyDescent="0.3">
      <c r="A4877" t="s">
        <v>7222</v>
      </c>
      <c r="B4877" t="s">
        <v>235</v>
      </c>
      <c r="C4877" t="s">
        <v>38</v>
      </c>
      <c r="D4877" t="s">
        <v>7202</v>
      </c>
      <c r="E4877" t="s">
        <v>161</v>
      </c>
      <c r="F4877" t="s">
        <v>7223</v>
      </c>
      <c r="G4877" t="s">
        <v>256</v>
      </c>
      <c r="H4877" t="s">
        <v>41</v>
      </c>
      <c r="I4877">
        <v>1680</v>
      </c>
      <c r="J4877">
        <v>2184</v>
      </c>
      <c r="K4877">
        <v>4</v>
      </c>
      <c r="L4877">
        <v>6720</v>
      </c>
      <c r="M4877">
        <v>8736</v>
      </c>
      <c r="N4877" t="s">
        <v>28</v>
      </c>
      <c r="O4877">
        <f t="shared" si="152"/>
        <v>9100</v>
      </c>
      <c r="P4877" s="13">
        <f t="shared" si="153"/>
        <v>1933997</v>
      </c>
      <c r="Q4877" s="13">
        <f>SUMIFS(M:M,E:E,Online_eCommerce[[#This Row],[Status]])</f>
        <v>21103186</v>
      </c>
      <c r="R4877" s="13">
        <f>SUMIFS(L:L,H:H,Online_eCommerce[[#This Row],[Brand]])</f>
        <v>4260400</v>
      </c>
      <c r="S4877" s="13">
        <f>SUMIF(H:H,Online_eCommerce[[#This Row],[Brand]],M:M)</f>
        <v>5538520</v>
      </c>
      <c r="T4877" s="13">
        <f>SUMIF(N:N,Online_eCommerce[[#This Row],[Assigned Supervisor]],L:L)</f>
        <v>12220830</v>
      </c>
    </row>
    <row r="4878" spans="1:20" x14ac:dyDescent="0.3">
      <c r="A4878" t="s">
        <v>7224</v>
      </c>
      <c r="B4878" t="s">
        <v>176</v>
      </c>
      <c r="C4878" t="s">
        <v>45</v>
      </c>
      <c r="D4878" t="s">
        <v>7202</v>
      </c>
      <c r="E4878" t="s">
        <v>46</v>
      </c>
      <c r="F4878" t="s">
        <v>101</v>
      </c>
      <c r="G4878" t="s">
        <v>259</v>
      </c>
      <c r="H4878" t="s">
        <v>102</v>
      </c>
      <c r="I4878">
        <v>6540</v>
      </c>
      <c r="J4878">
        <v>8502</v>
      </c>
      <c r="K4878">
        <v>3</v>
      </c>
      <c r="L4878">
        <v>19620</v>
      </c>
      <c r="M4878">
        <v>25506</v>
      </c>
      <c r="N4878" t="s">
        <v>35</v>
      </c>
      <c r="O4878">
        <f t="shared" si="152"/>
        <v>11700</v>
      </c>
      <c r="P4878" s="13">
        <f t="shared" si="153"/>
        <v>2842554</v>
      </c>
      <c r="Q4878" s="13">
        <f>SUMIFS(M:M,E:E,Online_eCommerce[[#This Row],[Status]])</f>
        <v>28620410</v>
      </c>
      <c r="R4878" s="13">
        <f>SUMIFS(L:L,H:H,Online_eCommerce[[#This Row],[Brand]])</f>
        <v>2465580</v>
      </c>
      <c r="S4878" s="13">
        <f>SUMIF(H:H,Online_eCommerce[[#This Row],[Brand]],M:M)</f>
        <v>3205254</v>
      </c>
      <c r="T4878" s="13">
        <f>SUMIF(N:N,Online_eCommerce[[#This Row],[Assigned Supervisor]],L:L)</f>
        <v>14373360</v>
      </c>
    </row>
    <row r="4879" spans="1:20" hidden="1" x14ac:dyDescent="0.3">
      <c r="A4879" t="s">
        <v>7225</v>
      </c>
      <c r="B4879" t="s">
        <v>276</v>
      </c>
      <c r="C4879" t="s">
        <v>52</v>
      </c>
      <c r="D4879" t="s">
        <v>7202</v>
      </c>
      <c r="E4879" t="s">
        <v>96</v>
      </c>
      <c r="F4879" t="s">
        <v>107</v>
      </c>
      <c r="G4879" t="s">
        <v>54</v>
      </c>
      <c r="H4879" t="s">
        <v>55</v>
      </c>
      <c r="I4879">
        <v>2680</v>
      </c>
      <c r="J4879">
        <v>3484</v>
      </c>
      <c r="K4879">
        <v>1</v>
      </c>
      <c r="L4879">
        <v>2680</v>
      </c>
      <c r="M4879">
        <v>3484</v>
      </c>
      <c r="N4879" t="s">
        <v>42</v>
      </c>
      <c r="O4879">
        <f t="shared" si="152"/>
        <v>2990</v>
      </c>
      <c r="P4879" s="13">
        <f t="shared" si="153"/>
        <v>1955044</v>
      </c>
      <c r="Q4879" s="13">
        <f>SUMIFS(M:M,E:E,Online_eCommerce[[#This Row],[Status]])</f>
        <v>21233992</v>
      </c>
      <c r="R4879" s="13">
        <f>SUMIFS(L:L,H:H,Online_eCommerce[[#This Row],[Brand]])</f>
        <v>2267380</v>
      </c>
      <c r="S4879" s="13">
        <f>SUMIF(H:H,Online_eCommerce[[#This Row],[Brand]],M:M)</f>
        <v>2947594</v>
      </c>
      <c r="T4879" s="13">
        <f>SUMIF(N:N,Online_eCommerce[[#This Row],[Assigned Supervisor]],L:L)</f>
        <v>12261500</v>
      </c>
    </row>
    <row r="4880" spans="1:20" hidden="1" x14ac:dyDescent="0.3">
      <c r="A4880" t="s">
        <v>7226</v>
      </c>
      <c r="B4880" t="s">
        <v>280</v>
      </c>
      <c r="C4880" t="s">
        <v>58</v>
      </c>
      <c r="D4880" t="s">
        <v>7202</v>
      </c>
      <c r="E4880" t="s">
        <v>18</v>
      </c>
      <c r="F4880" t="s">
        <v>112</v>
      </c>
      <c r="G4880" t="s">
        <v>71</v>
      </c>
      <c r="H4880" t="s">
        <v>21</v>
      </c>
      <c r="I4880">
        <v>8250</v>
      </c>
      <c r="J4880">
        <v>10725</v>
      </c>
      <c r="K4880">
        <v>1</v>
      </c>
      <c r="L4880">
        <v>8250</v>
      </c>
      <c r="M4880">
        <v>10725</v>
      </c>
      <c r="N4880" t="s">
        <v>50</v>
      </c>
      <c r="O4880">
        <f t="shared" si="152"/>
        <v>9750</v>
      </c>
      <c r="P4880" s="13">
        <f t="shared" si="153"/>
        <v>2629211</v>
      </c>
      <c r="Q4880" s="13">
        <f>SUMIFS(M:M,E:E,Online_eCommerce[[#This Row],[Status]])</f>
        <v>28340455</v>
      </c>
      <c r="R4880" s="13">
        <f>SUMIFS(L:L,H:H,Online_eCommerce[[#This Row],[Brand]])</f>
        <v>12435650</v>
      </c>
      <c r="S4880" s="13">
        <f>SUMIF(H:H,Online_eCommerce[[#This Row],[Brand]],M:M)</f>
        <v>16166345</v>
      </c>
      <c r="T4880" s="13">
        <f>SUMIF(N:N,Online_eCommerce[[#This Row],[Assigned Supervisor]],L:L)</f>
        <v>12100590</v>
      </c>
    </row>
    <row r="4881" spans="1:20" hidden="1" x14ac:dyDescent="0.3">
      <c r="A4881" t="s">
        <v>7227</v>
      </c>
      <c r="B4881" t="s">
        <v>283</v>
      </c>
      <c r="C4881" t="s">
        <v>63</v>
      </c>
      <c r="D4881" t="s">
        <v>7202</v>
      </c>
      <c r="E4881" t="s">
        <v>161</v>
      </c>
      <c r="F4881" t="s">
        <v>6754</v>
      </c>
      <c r="G4881" t="s">
        <v>40</v>
      </c>
      <c r="H4881" t="s">
        <v>21</v>
      </c>
      <c r="I4881">
        <v>2650</v>
      </c>
      <c r="J4881">
        <v>3445</v>
      </c>
      <c r="K4881">
        <v>2</v>
      </c>
      <c r="L4881">
        <v>5300</v>
      </c>
      <c r="M4881">
        <v>6890</v>
      </c>
      <c r="N4881" t="s">
        <v>56</v>
      </c>
      <c r="O4881">
        <f t="shared" si="152"/>
        <v>25545</v>
      </c>
      <c r="P4881" s="13">
        <f t="shared" si="153"/>
        <v>2016131</v>
      </c>
      <c r="Q4881" s="13">
        <f>SUMIFS(M:M,E:E,Online_eCommerce[[#This Row],[Status]])</f>
        <v>21103186</v>
      </c>
      <c r="R4881" s="13">
        <f>SUMIFS(L:L,H:H,Online_eCommerce[[#This Row],[Brand]])</f>
        <v>12435650</v>
      </c>
      <c r="S4881" s="13">
        <f>SUMIF(H:H,Online_eCommerce[[#This Row],[Brand]],M:M)</f>
        <v>16166345</v>
      </c>
      <c r="T4881" s="13">
        <f>SUMIF(N:N,Online_eCommerce[[#This Row],[Assigned Supervisor]],L:L)</f>
        <v>11733610</v>
      </c>
    </row>
    <row r="4882" spans="1:20" x14ac:dyDescent="0.3">
      <c r="A4882" t="s">
        <v>7228</v>
      </c>
      <c r="B4882" t="s">
        <v>287</v>
      </c>
      <c r="C4882" t="s">
        <v>68</v>
      </c>
      <c r="D4882" t="s">
        <v>7202</v>
      </c>
      <c r="E4882" t="s">
        <v>46</v>
      </c>
      <c r="F4882" t="s">
        <v>121</v>
      </c>
      <c r="G4882" t="s">
        <v>71</v>
      </c>
      <c r="H4882" t="s">
        <v>122</v>
      </c>
      <c r="I4882">
        <v>12550</v>
      </c>
      <c r="J4882">
        <v>16315</v>
      </c>
      <c r="K4882">
        <v>3</v>
      </c>
      <c r="L4882">
        <v>37650</v>
      </c>
      <c r="M4882">
        <v>48945</v>
      </c>
      <c r="N4882" t="s">
        <v>22</v>
      </c>
      <c r="O4882">
        <f t="shared" si="152"/>
        <v>9750</v>
      </c>
      <c r="P4882" s="13">
        <f t="shared" si="153"/>
        <v>2974621</v>
      </c>
      <c r="Q4882" s="13">
        <f>SUMIFS(M:M,E:E,Online_eCommerce[[#This Row],[Status]])</f>
        <v>28620410</v>
      </c>
      <c r="R4882" s="13">
        <f>SUMIFS(L:L,H:H,Online_eCommerce[[#This Row],[Brand]])</f>
        <v>5045100</v>
      </c>
      <c r="S4882" s="13">
        <f>SUMIF(H:H,Online_eCommerce[[#This Row],[Brand]],M:M)</f>
        <v>6558630</v>
      </c>
      <c r="T4882" s="13">
        <f>SUMIF(N:N,Online_eCommerce[[#This Row],[Assigned Supervisor]],L:L)</f>
        <v>13693220</v>
      </c>
    </row>
    <row r="4883" spans="1:20" hidden="1" x14ac:dyDescent="0.3">
      <c r="A4883" t="s">
        <v>7229</v>
      </c>
      <c r="B4883" t="s">
        <v>290</v>
      </c>
      <c r="C4883" t="s">
        <v>74</v>
      </c>
      <c r="D4883" t="s">
        <v>7202</v>
      </c>
      <c r="E4883" t="s">
        <v>96</v>
      </c>
      <c r="F4883" t="s">
        <v>126</v>
      </c>
      <c r="G4883" t="s">
        <v>26</v>
      </c>
      <c r="H4883" t="s">
        <v>27</v>
      </c>
      <c r="I4883">
        <v>14500</v>
      </c>
      <c r="J4883">
        <v>18850</v>
      </c>
      <c r="K4883">
        <v>3</v>
      </c>
      <c r="L4883">
        <v>43500</v>
      </c>
      <c r="M4883">
        <v>56550</v>
      </c>
      <c r="N4883" t="s">
        <v>28</v>
      </c>
      <c r="O4883">
        <f t="shared" si="152"/>
        <v>33150</v>
      </c>
      <c r="P4883" s="13">
        <f t="shared" si="153"/>
        <v>2144701</v>
      </c>
      <c r="Q4883" s="13">
        <f>SUMIFS(M:M,E:E,Online_eCommerce[[#This Row],[Status]])</f>
        <v>21233992</v>
      </c>
      <c r="R4883" s="13">
        <f>SUMIFS(L:L,H:H,Online_eCommerce[[#This Row],[Brand]])</f>
        <v>14431000</v>
      </c>
      <c r="S4883" s="13">
        <f>SUMIF(H:H,Online_eCommerce[[#This Row],[Brand]],M:M)</f>
        <v>18760300</v>
      </c>
      <c r="T4883" s="13">
        <f>SUMIF(N:N,Online_eCommerce[[#This Row],[Assigned Supervisor]],L:L)</f>
        <v>12220830</v>
      </c>
    </row>
    <row r="4884" spans="1:20" hidden="1" x14ac:dyDescent="0.3">
      <c r="A4884" t="s">
        <v>7230</v>
      </c>
      <c r="B4884" t="s">
        <v>15</v>
      </c>
      <c r="C4884" t="s">
        <v>81</v>
      </c>
      <c r="D4884" t="s">
        <v>7202</v>
      </c>
      <c r="E4884" t="s">
        <v>18</v>
      </c>
      <c r="F4884" t="s">
        <v>129</v>
      </c>
      <c r="G4884" t="s">
        <v>60</v>
      </c>
      <c r="H4884" t="s">
        <v>61</v>
      </c>
      <c r="I4884">
        <v>800</v>
      </c>
      <c r="J4884">
        <v>1040</v>
      </c>
      <c r="K4884">
        <v>4</v>
      </c>
      <c r="L4884">
        <v>3200</v>
      </c>
      <c r="M4884">
        <v>4160</v>
      </c>
      <c r="N4884" t="s">
        <v>35</v>
      </c>
      <c r="O4884">
        <f t="shared" si="152"/>
        <v>3315</v>
      </c>
      <c r="P4884" s="13">
        <f t="shared" si="153"/>
        <v>2595632</v>
      </c>
      <c r="Q4884" s="13">
        <f>SUMIFS(M:M,E:E,Online_eCommerce[[#This Row],[Status]])</f>
        <v>28340455</v>
      </c>
      <c r="R4884" s="13">
        <f>SUMIFS(L:L,H:H,Online_eCommerce[[#This Row],[Brand]])</f>
        <v>10950150</v>
      </c>
      <c r="S4884" s="13">
        <f>SUMIF(H:H,Online_eCommerce[[#This Row],[Brand]],M:M)</f>
        <v>14235195</v>
      </c>
      <c r="T4884" s="13">
        <f>SUMIF(N:N,Online_eCommerce[[#This Row],[Assigned Supervisor]],L:L)</f>
        <v>14373360</v>
      </c>
    </row>
    <row r="4885" spans="1:20" hidden="1" x14ac:dyDescent="0.3">
      <c r="A4885" t="s">
        <v>7231</v>
      </c>
      <c r="B4885" t="s">
        <v>202</v>
      </c>
      <c r="C4885" t="s">
        <v>86</v>
      </c>
      <c r="D4885" t="s">
        <v>7202</v>
      </c>
      <c r="E4885" t="s">
        <v>161</v>
      </c>
      <c r="F4885" t="s">
        <v>133</v>
      </c>
      <c r="G4885" t="s">
        <v>66</v>
      </c>
      <c r="H4885" t="s">
        <v>21</v>
      </c>
      <c r="I4885">
        <v>600</v>
      </c>
      <c r="J4885">
        <v>780</v>
      </c>
      <c r="K4885">
        <v>2</v>
      </c>
      <c r="L4885">
        <v>1200</v>
      </c>
      <c r="M4885">
        <v>1560</v>
      </c>
      <c r="N4885" t="s">
        <v>42</v>
      </c>
      <c r="O4885">
        <f t="shared" si="152"/>
        <v>1690</v>
      </c>
      <c r="P4885" s="13">
        <f t="shared" si="153"/>
        <v>1941225</v>
      </c>
      <c r="Q4885" s="13">
        <f>SUMIFS(M:M,E:E,Online_eCommerce[[#This Row],[Status]])</f>
        <v>21103186</v>
      </c>
      <c r="R4885" s="13">
        <f>SUMIFS(L:L,H:H,Online_eCommerce[[#This Row],[Brand]])</f>
        <v>12435650</v>
      </c>
      <c r="S4885" s="13">
        <f>SUMIF(H:H,Online_eCommerce[[#This Row],[Brand]],M:M)</f>
        <v>16166345</v>
      </c>
      <c r="T4885" s="13">
        <f>SUMIF(N:N,Online_eCommerce[[#This Row],[Assigned Supervisor]],L:L)</f>
        <v>12261500</v>
      </c>
    </row>
    <row r="4886" spans="1:20" x14ac:dyDescent="0.3">
      <c r="A4886" t="s">
        <v>7232</v>
      </c>
      <c r="B4886" t="s">
        <v>30</v>
      </c>
      <c r="C4886" t="s">
        <v>91</v>
      </c>
      <c r="D4886" t="s">
        <v>7202</v>
      </c>
      <c r="E4886" t="s">
        <v>46</v>
      </c>
      <c r="F4886" t="s">
        <v>137</v>
      </c>
      <c r="G4886" t="s">
        <v>71</v>
      </c>
      <c r="H4886" t="s">
        <v>61</v>
      </c>
      <c r="I4886">
        <v>10500</v>
      </c>
      <c r="J4886">
        <v>13650</v>
      </c>
      <c r="K4886">
        <v>2</v>
      </c>
      <c r="L4886">
        <v>21000</v>
      </c>
      <c r="M4886">
        <v>27300</v>
      </c>
      <c r="N4886" t="s">
        <v>50</v>
      </c>
      <c r="O4886">
        <f t="shared" si="152"/>
        <v>9750</v>
      </c>
      <c r="P4886" s="13">
        <f t="shared" si="153"/>
        <v>2731963</v>
      </c>
      <c r="Q4886" s="13">
        <f>SUMIFS(M:M,E:E,Online_eCommerce[[#This Row],[Status]])</f>
        <v>28620410</v>
      </c>
      <c r="R4886" s="13">
        <f>SUMIFS(L:L,H:H,Online_eCommerce[[#This Row],[Brand]])</f>
        <v>10950150</v>
      </c>
      <c r="S4886" s="13">
        <f>SUMIF(H:H,Online_eCommerce[[#This Row],[Brand]],M:M)</f>
        <v>14235195</v>
      </c>
      <c r="T4886" s="13">
        <f>SUMIF(N:N,Online_eCommerce[[#This Row],[Assigned Supervisor]],L:L)</f>
        <v>12100590</v>
      </c>
    </row>
    <row r="4887" spans="1:20" hidden="1" x14ac:dyDescent="0.3">
      <c r="A4887" t="s">
        <v>7233</v>
      </c>
      <c r="B4887" t="s">
        <v>37</v>
      </c>
      <c r="C4887" t="s">
        <v>94</v>
      </c>
      <c r="D4887" t="s">
        <v>7202</v>
      </c>
      <c r="E4887" t="s">
        <v>96</v>
      </c>
      <c r="F4887" t="s">
        <v>7204</v>
      </c>
      <c r="G4887" t="s">
        <v>77</v>
      </c>
      <c r="H4887" t="s">
        <v>142</v>
      </c>
      <c r="I4887">
        <v>6500</v>
      </c>
      <c r="J4887">
        <v>8450</v>
      </c>
      <c r="K4887">
        <v>2</v>
      </c>
      <c r="L4887">
        <v>13000</v>
      </c>
      <c r="M4887">
        <v>16900</v>
      </c>
      <c r="N4887" t="s">
        <v>56</v>
      </c>
      <c r="O4887">
        <f t="shared" si="152"/>
        <v>39000</v>
      </c>
      <c r="P4887" s="13">
        <f t="shared" si="153"/>
        <v>1868256</v>
      </c>
      <c r="Q4887" s="13">
        <f>SUMIFS(M:M,E:E,Online_eCommerce[[#This Row],[Status]])</f>
        <v>21233992</v>
      </c>
      <c r="R4887" s="13">
        <f>SUMIFS(L:L,H:H,Online_eCommerce[[#This Row],[Brand]])</f>
        <v>6192500</v>
      </c>
      <c r="S4887" s="13">
        <f>SUMIF(H:H,Online_eCommerce[[#This Row],[Brand]],M:M)</f>
        <v>8050250</v>
      </c>
      <c r="T4887" s="13">
        <f>SUMIF(N:N,Online_eCommerce[[#This Row],[Assigned Supervisor]],L:L)</f>
        <v>11733610</v>
      </c>
    </row>
    <row r="4888" spans="1:20" hidden="1" x14ac:dyDescent="0.3">
      <c r="A4888" t="s">
        <v>7234</v>
      </c>
      <c r="B4888" t="s">
        <v>44</v>
      </c>
      <c r="C4888" t="s">
        <v>99</v>
      </c>
      <c r="D4888" t="s">
        <v>7202</v>
      </c>
      <c r="E4888" t="s">
        <v>18</v>
      </c>
      <c r="F4888" t="s">
        <v>7235</v>
      </c>
      <c r="G4888" t="s">
        <v>20</v>
      </c>
      <c r="H4888" t="s">
        <v>21</v>
      </c>
      <c r="I4888">
        <v>4500</v>
      </c>
      <c r="J4888">
        <v>5850</v>
      </c>
      <c r="K4888">
        <v>2</v>
      </c>
      <c r="L4888">
        <v>9000</v>
      </c>
      <c r="M4888">
        <v>11700</v>
      </c>
      <c r="N4888" t="s">
        <v>22</v>
      </c>
      <c r="O4888">
        <f t="shared" si="152"/>
        <v>8450</v>
      </c>
      <c r="P4888" s="13">
        <f t="shared" si="153"/>
        <v>2651233</v>
      </c>
      <c r="Q4888" s="13">
        <f>SUMIFS(M:M,E:E,Online_eCommerce[[#This Row],[Status]])</f>
        <v>28340455</v>
      </c>
      <c r="R4888" s="13">
        <f>SUMIFS(L:L,H:H,Online_eCommerce[[#This Row],[Brand]])</f>
        <v>12435650</v>
      </c>
      <c r="S4888" s="13">
        <f>SUMIF(H:H,Online_eCommerce[[#This Row],[Brand]],M:M)</f>
        <v>16166345</v>
      </c>
      <c r="T4888" s="13">
        <f>SUMIF(N:N,Online_eCommerce[[#This Row],[Assigned Supervisor]],L:L)</f>
        <v>13693220</v>
      </c>
    </row>
    <row r="4889" spans="1:20" hidden="1" x14ac:dyDescent="0.3">
      <c r="A4889" t="s">
        <v>7236</v>
      </c>
      <c r="B4889" t="s">
        <v>213</v>
      </c>
      <c r="C4889" t="s">
        <v>105</v>
      </c>
      <c r="D4889" t="s">
        <v>7202</v>
      </c>
      <c r="E4889" t="s">
        <v>161</v>
      </c>
      <c r="F4889" t="s">
        <v>152</v>
      </c>
      <c r="G4889" t="s">
        <v>26</v>
      </c>
      <c r="H4889" t="s">
        <v>27</v>
      </c>
      <c r="I4889">
        <v>8500</v>
      </c>
      <c r="J4889">
        <v>11050</v>
      </c>
      <c r="K4889">
        <v>1</v>
      </c>
      <c r="L4889">
        <v>8500</v>
      </c>
      <c r="M4889">
        <v>11050</v>
      </c>
      <c r="N4889" t="s">
        <v>28</v>
      </c>
      <c r="O4889">
        <f t="shared" si="152"/>
        <v>33150</v>
      </c>
      <c r="P4889" s="13">
        <f t="shared" si="153"/>
        <v>1866852</v>
      </c>
      <c r="Q4889" s="13">
        <f>SUMIFS(M:M,E:E,Online_eCommerce[[#This Row],[Status]])</f>
        <v>21103186</v>
      </c>
      <c r="R4889" s="13">
        <f>SUMIFS(L:L,H:H,Online_eCommerce[[#This Row],[Brand]])</f>
        <v>14431000</v>
      </c>
      <c r="S4889" s="13">
        <f>SUMIF(H:H,Online_eCommerce[[#This Row],[Brand]],M:M)</f>
        <v>18760300</v>
      </c>
      <c r="T4889" s="13">
        <f>SUMIF(N:N,Online_eCommerce[[#This Row],[Assigned Supervisor]],L:L)</f>
        <v>12220830</v>
      </c>
    </row>
    <row r="4890" spans="1:20" x14ac:dyDescent="0.3">
      <c r="A4890" t="s">
        <v>7237</v>
      </c>
      <c r="B4890" t="s">
        <v>215</v>
      </c>
      <c r="C4890" t="s">
        <v>110</v>
      </c>
      <c r="D4890" t="s">
        <v>7202</v>
      </c>
      <c r="E4890" t="s">
        <v>46</v>
      </c>
      <c r="F4890" t="s">
        <v>157</v>
      </c>
      <c r="G4890" t="s">
        <v>33</v>
      </c>
      <c r="H4890" t="s">
        <v>34</v>
      </c>
      <c r="I4890">
        <v>12500</v>
      </c>
      <c r="J4890">
        <v>16250</v>
      </c>
      <c r="K4890">
        <v>2</v>
      </c>
      <c r="L4890">
        <v>25000</v>
      </c>
      <c r="M4890">
        <v>32500</v>
      </c>
      <c r="N4890" t="s">
        <v>35</v>
      </c>
      <c r="O4890">
        <f t="shared" si="152"/>
        <v>18200</v>
      </c>
      <c r="P4890" s="13">
        <f t="shared" si="153"/>
        <v>2598635</v>
      </c>
      <c r="Q4890" s="13">
        <f>SUMIFS(M:M,E:E,Online_eCommerce[[#This Row],[Status]])</f>
        <v>28620410</v>
      </c>
      <c r="R4890" s="13">
        <f>SUMIFS(L:L,H:H,Online_eCommerce[[#This Row],[Brand]])</f>
        <v>10087000</v>
      </c>
      <c r="S4890" s="13">
        <f>SUMIF(H:H,Online_eCommerce[[#This Row],[Brand]],M:M)</f>
        <v>13113100</v>
      </c>
      <c r="T4890" s="13">
        <f>SUMIF(N:N,Online_eCommerce[[#This Row],[Assigned Supervisor]],L:L)</f>
        <v>14373360</v>
      </c>
    </row>
    <row r="4891" spans="1:20" hidden="1" x14ac:dyDescent="0.3">
      <c r="A4891" t="s">
        <v>7238</v>
      </c>
      <c r="B4891" t="s">
        <v>306</v>
      </c>
      <c r="C4891" t="s">
        <v>115</v>
      </c>
      <c r="D4891" t="s">
        <v>7202</v>
      </c>
      <c r="E4891" t="s">
        <v>96</v>
      </c>
      <c r="F4891" t="s">
        <v>6825</v>
      </c>
      <c r="G4891" t="s">
        <v>40</v>
      </c>
      <c r="H4891" t="s">
        <v>41</v>
      </c>
      <c r="I4891">
        <v>3500</v>
      </c>
      <c r="J4891">
        <v>4550</v>
      </c>
      <c r="K4891">
        <v>2</v>
      </c>
      <c r="L4891">
        <v>7000</v>
      </c>
      <c r="M4891">
        <v>9100</v>
      </c>
      <c r="N4891" t="s">
        <v>42</v>
      </c>
      <c r="O4891">
        <f t="shared" si="152"/>
        <v>25545</v>
      </c>
      <c r="P4891" s="13">
        <f t="shared" si="153"/>
        <v>2050178</v>
      </c>
      <c r="Q4891" s="13">
        <f>SUMIFS(M:M,E:E,Online_eCommerce[[#This Row],[Status]])</f>
        <v>21233992</v>
      </c>
      <c r="R4891" s="13">
        <f>SUMIFS(L:L,H:H,Online_eCommerce[[#This Row],[Brand]])</f>
        <v>4260400</v>
      </c>
      <c r="S4891" s="13">
        <f>SUMIF(H:H,Online_eCommerce[[#This Row],[Brand]],M:M)</f>
        <v>5538520</v>
      </c>
      <c r="T4891" s="13">
        <f>SUMIF(N:N,Online_eCommerce[[#This Row],[Assigned Supervisor]],L:L)</f>
        <v>12261500</v>
      </c>
    </row>
    <row r="4892" spans="1:20" hidden="1" x14ac:dyDescent="0.3">
      <c r="A4892" t="s">
        <v>7239</v>
      </c>
      <c r="B4892" t="s">
        <v>528</v>
      </c>
      <c r="C4892" t="s">
        <v>120</v>
      </c>
      <c r="D4892" t="s">
        <v>7202</v>
      </c>
      <c r="E4892" t="s">
        <v>18</v>
      </c>
      <c r="F4892" t="s">
        <v>166</v>
      </c>
      <c r="G4892" t="s">
        <v>334</v>
      </c>
      <c r="H4892" t="s">
        <v>49</v>
      </c>
      <c r="I4892">
        <v>4500</v>
      </c>
      <c r="J4892">
        <v>5850</v>
      </c>
      <c r="K4892">
        <v>3</v>
      </c>
      <c r="L4892">
        <v>13500</v>
      </c>
      <c r="M4892">
        <v>17550</v>
      </c>
      <c r="N4892" t="s">
        <v>50</v>
      </c>
      <c r="O4892">
        <f t="shared" si="152"/>
        <v>39780</v>
      </c>
      <c r="P4892" s="13">
        <f t="shared" si="153"/>
        <v>2734212</v>
      </c>
      <c r="Q4892" s="13">
        <f>SUMIFS(M:M,E:E,Online_eCommerce[[#This Row],[Status]])</f>
        <v>28340455</v>
      </c>
      <c r="R4892" s="13">
        <f>SUMIFS(L:L,H:H,Online_eCommerce[[#This Row],[Brand]])</f>
        <v>4528350</v>
      </c>
      <c r="S4892" s="13">
        <f>SUMIF(H:H,Online_eCommerce[[#This Row],[Brand]],M:M)</f>
        <v>5886855</v>
      </c>
      <c r="T4892" s="13">
        <f>SUMIF(N:N,Online_eCommerce[[#This Row],[Assigned Supervisor]],L:L)</f>
        <v>12100590</v>
      </c>
    </row>
    <row r="4893" spans="1:20" hidden="1" x14ac:dyDescent="0.3">
      <c r="A4893" t="s">
        <v>7240</v>
      </c>
      <c r="B4893" t="s">
        <v>73</v>
      </c>
      <c r="C4893" t="s">
        <v>125</v>
      </c>
      <c r="D4893" t="s">
        <v>7241</v>
      </c>
      <c r="E4893" t="s">
        <v>161</v>
      </c>
      <c r="F4893" t="s">
        <v>7242</v>
      </c>
      <c r="G4893" t="s">
        <v>54</v>
      </c>
      <c r="H4893" t="s">
        <v>55</v>
      </c>
      <c r="I4893">
        <v>2100</v>
      </c>
      <c r="J4893">
        <v>2730</v>
      </c>
      <c r="K4893">
        <v>3</v>
      </c>
      <c r="L4893">
        <v>6300</v>
      </c>
      <c r="M4893">
        <v>8190</v>
      </c>
      <c r="N4893" t="s">
        <v>56</v>
      </c>
      <c r="O4893">
        <f t="shared" si="152"/>
        <v>2990</v>
      </c>
      <c r="P4893" s="13">
        <f t="shared" si="153"/>
        <v>2091154</v>
      </c>
      <c r="Q4893" s="13">
        <f>SUMIFS(M:M,E:E,Online_eCommerce[[#This Row],[Status]])</f>
        <v>21103186</v>
      </c>
      <c r="R4893" s="13">
        <f>SUMIFS(L:L,H:H,Online_eCommerce[[#This Row],[Brand]])</f>
        <v>2267380</v>
      </c>
      <c r="S4893" s="13">
        <f>SUMIF(H:H,Online_eCommerce[[#This Row],[Brand]],M:M)</f>
        <v>2947594</v>
      </c>
      <c r="T4893" s="13">
        <f>SUMIF(N:N,Online_eCommerce[[#This Row],[Assigned Supervisor]],L:L)</f>
        <v>11733610</v>
      </c>
    </row>
    <row r="4894" spans="1:20" x14ac:dyDescent="0.3">
      <c r="A4894" t="s">
        <v>7243</v>
      </c>
      <c r="B4894" t="s">
        <v>80</v>
      </c>
      <c r="C4894" t="s">
        <v>22</v>
      </c>
      <c r="D4894" t="s">
        <v>7244</v>
      </c>
      <c r="E4894" t="s">
        <v>46</v>
      </c>
      <c r="F4894" t="s">
        <v>174</v>
      </c>
      <c r="G4894" t="s">
        <v>60</v>
      </c>
      <c r="H4894" t="s">
        <v>61</v>
      </c>
      <c r="I4894">
        <v>1150</v>
      </c>
      <c r="J4894">
        <v>1495</v>
      </c>
      <c r="K4894">
        <v>2</v>
      </c>
      <c r="L4894">
        <v>2300</v>
      </c>
      <c r="M4894">
        <v>2990</v>
      </c>
      <c r="N4894" t="s">
        <v>22</v>
      </c>
      <c r="O4894">
        <f t="shared" si="152"/>
        <v>3315</v>
      </c>
      <c r="P4894" s="13">
        <f t="shared" si="153"/>
        <v>2551588</v>
      </c>
      <c r="Q4894" s="13">
        <f>SUMIFS(M:M,E:E,Online_eCommerce[[#This Row],[Status]])</f>
        <v>28620410</v>
      </c>
      <c r="R4894" s="13">
        <f>SUMIFS(L:L,H:H,Online_eCommerce[[#This Row],[Brand]])</f>
        <v>10950150</v>
      </c>
      <c r="S4894" s="13">
        <f>SUMIF(H:H,Online_eCommerce[[#This Row],[Brand]],M:M)</f>
        <v>14235195</v>
      </c>
      <c r="T4894" s="13">
        <f>SUMIF(N:N,Online_eCommerce[[#This Row],[Assigned Supervisor]],L:L)</f>
        <v>13693220</v>
      </c>
    </row>
    <row r="4895" spans="1:20" hidden="1" x14ac:dyDescent="0.3">
      <c r="A4895" t="s">
        <v>7245</v>
      </c>
      <c r="B4895" t="s">
        <v>85</v>
      </c>
      <c r="C4895" t="s">
        <v>132</v>
      </c>
      <c r="D4895" t="s">
        <v>7246</v>
      </c>
      <c r="E4895" t="s">
        <v>96</v>
      </c>
      <c r="F4895" t="s">
        <v>179</v>
      </c>
      <c r="G4895" t="s">
        <v>66</v>
      </c>
      <c r="H4895" t="s">
        <v>21</v>
      </c>
      <c r="I4895">
        <v>350</v>
      </c>
      <c r="J4895">
        <v>455</v>
      </c>
      <c r="K4895">
        <v>1</v>
      </c>
      <c r="L4895">
        <v>350</v>
      </c>
      <c r="M4895">
        <v>455</v>
      </c>
      <c r="N4895" t="s">
        <v>28</v>
      </c>
      <c r="O4895">
        <f t="shared" si="152"/>
        <v>1690</v>
      </c>
      <c r="P4895" s="13">
        <f t="shared" si="153"/>
        <v>1989065</v>
      </c>
      <c r="Q4895" s="13">
        <f>SUMIFS(M:M,E:E,Online_eCommerce[[#This Row],[Status]])</f>
        <v>21233992</v>
      </c>
      <c r="R4895" s="13">
        <f>SUMIFS(L:L,H:H,Online_eCommerce[[#This Row],[Brand]])</f>
        <v>12435650</v>
      </c>
      <c r="S4895" s="13">
        <f>SUMIF(H:H,Online_eCommerce[[#This Row],[Brand]],M:M)</f>
        <v>16166345</v>
      </c>
      <c r="T4895" s="13">
        <f>SUMIF(N:N,Online_eCommerce[[#This Row],[Assigned Supervisor]],L:L)</f>
        <v>12220830</v>
      </c>
    </row>
    <row r="4896" spans="1:20" hidden="1" x14ac:dyDescent="0.3">
      <c r="A4896" t="s">
        <v>7247</v>
      </c>
      <c r="B4896" t="s">
        <v>90</v>
      </c>
      <c r="C4896" t="s">
        <v>136</v>
      </c>
      <c r="D4896" t="s">
        <v>7248</v>
      </c>
      <c r="E4896" t="s">
        <v>18</v>
      </c>
      <c r="F4896" t="s">
        <v>183</v>
      </c>
      <c r="G4896" t="s">
        <v>71</v>
      </c>
      <c r="H4896" t="s">
        <v>61</v>
      </c>
      <c r="I4896">
        <v>9500</v>
      </c>
      <c r="J4896">
        <v>12350</v>
      </c>
      <c r="K4896">
        <v>1</v>
      </c>
      <c r="L4896">
        <v>9500</v>
      </c>
      <c r="M4896">
        <v>12350</v>
      </c>
      <c r="N4896" t="s">
        <v>35</v>
      </c>
      <c r="O4896">
        <f t="shared" si="152"/>
        <v>9750</v>
      </c>
      <c r="P4896" s="13">
        <f t="shared" si="153"/>
        <v>2775162</v>
      </c>
      <c r="Q4896" s="13">
        <f>SUMIFS(M:M,E:E,Online_eCommerce[[#This Row],[Status]])</f>
        <v>28340455</v>
      </c>
      <c r="R4896" s="13">
        <f>SUMIFS(L:L,H:H,Online_eCommerce[[#This Row],[Brand]])</f>
        <v>10950150</v>
      </c>
      <c r="S4896" s="13">
        <f>SUMIF(H:H,Online_eCommerce[[#This Row],[Brand]],M:M)</f>
        <v>14235195</v>
      </c>
      <c r="T4896" s="13">
        <f>SUMIF(N:N,Online_eCommerce[[#This Row],[Assigned Supervisor]],L:L)</f>
        <v>14373360</v>
      </c>
    </row>
    <row r="4897" spans="1:20" hidden="1" x14ac:dyDescent="0.3">
      <c r="A4897" t="s">
        <v>7249</v>
      </c>
      <c r="B4897" t="s">
        <v>232</v>
      </c>
      <c r="C4897" t="s">
        <v>140</v>
      </c>
      <c r="D4897" t="s">
        <v>7250</v>
      </c>
      <c r="E4897" t="s">
        <v>161</v>
      </c>
      <c r="F4897" t="s">
        <v>7251</v>
      </c>
      <c r="G4897" t="s">
        <v>77</v>
      </c>
      <c r="H4897" t="s">
        <v>142</v>
      </c>
      <c r="I4897">
        <v>10000</v>
      </c>
      <c r="J4897">
        <v>13000</v>
      </c>
      <c r="K4897">
        <v>3</v>
      </c>
      <c r="L4897">
        <v>30000</v>
      </c>
      <c r="M4897">
        <v>39000</v>
      </c>
      <c r="N4897" t="s">
        <v>42</v>
      </c>
      <c r="O4897">
        <f t="shared" si="152"/>
        <v>39000</v>
      </c>
      <c r="P4897" s="13">
        <f t="shared" si="153"/>
        <v>2058264</v>
      </c>
      <c r="Q4897" s="13">
        <f>SUMIFS(M:M,E:E,Online_eCommerce[[#This Row],[Status]])</f>
        <v>21103186</v>
      </c>
      <c r="R4897" s="13">
        <f>SUMIFS(L:L,H:H,Online_eCommerce[[#This Row],[Brand]])</f>
        <v>6192500</v>
      </c>
      <c r="S4897" s="13">
        <f>SUMIF(H:H,Online_eCommerce[[#This Row],[Brand]],M:M)</f>
        <v>8050250</v>
      </c>
      <c r="T4897" s="13">
        <f>SUMIF(N:N,Online_eCommerce[[#This Row],[Assigned Supervisor]],L:L)</f>
        <v>12261500</v>
      </c>
    </row>
    <row r="4898" spans="1:20" x14ac:dyDescent="0.3">
      <c r="A4898" t="s">
        <v>7252</v>
      </c>
      <c r="B4898" t="s">
        <v>235</v>
      </c>
      <c r="C4898" t="s">
        <v>145</v>
      </c>
      <c r="D4898" t="s">
        <v>7253</v>
      </c>
      <c r="E4898" t="s">
        <v>46</v>
      </c>
      <c r="F4898" t="s">
        <v>7254</v>
      </c>
      <c r="G4898" t="s">
        <v>20</v>
      </c>
      <c r="H4898" t="s">
        <v>21</v>
      </c>
      <c r="I4898">
        <v>6500</v>
      </c>
      <c r="J4898">
        <v>8450</v>
      </c>
      <c r="K4898">
        <v>4</v>
      </c>
      <c r="L4898">
        <v>26000</v>
      </c>
      <c r="M4898">
        <v>33800</v>
      </c>
      <c r="N4898" t="s">
        <v>50</v>
      </c>
      <c r="O4898">
        <f t="shared" si="152"/>
        <v>8450</v>
      </c>
      <c r="P4898" s="13">
        <f t="shared" si="153"/>
        <v>2757859</v>
      </c>
      <c r="Q4898" s="13">
        <f>SUMIFS(M:M,E:E,Online_eCommerce[[#This Row],[Status]])</f>
        <v>28620410</v>
      </c>
      <c r="R4898" s="13">
        <f>SUMIFS(L:L,H:H,Online_eCommerce[[#This Row],[Brand]])</f>
        <v>12435650</v>
      </c>
      <c r="S4898" s="13">
        <f>SUMIF(H:H,Online_eCommerce[[#This Row],[Brand]],M:M)</f>
        <v>16166345</v>
      </c>
      <c r="T4898" s="13">
        <f>SUMIF(N:N,Online_eCommerce[[#This Row],[Assigned Supervisor]],L:L)</f>
        <v>12100590</v>
      </c>
    </row>
    <row r="4899" spans="1:20" hidden="1" x14ac:dyDescent="0.3">
      <c r="A4899" t="s">
        <v>7255</v>
      </c>
      <c r="B4899" t="s">
        <v>104</v>
      </c>
      <c r="C4899" t="s">
        <v>150</v>
      </c>
      <c r="D4899" t="s">
        <v>7256</v>
      </c>
      <c r="E4899" t="s">
        <v>96</v>
      </c>
      <c r="F4899" t="s">
        <v>7257</v>
      </c>
      <c r="G4899" t="s">
        <v>26</v>
      </c>
      <c r="H4899" t="s">
        <v>27</v>
      </c>
      <c r="I4899">
        <v>8500</v>
      </c>
      <c r="J4899">
        <v>11050</v>
      </c>
      <c r="K4899">
        <v>2</v>
      </c>
      <c r="L4899">
        <v>17000</v>
      </c>
      <c r="M4899">
        <v>22100</v>
      </c>
      <c r="N4899" t="s">
        <v>56</v>
      </c>
      <c r="O4899">
        <f t="shared" si="152"/>
        <v>33150</v>
      </c>
      <c r="P4899" s="13">
        <f t="shared" si="153"/>
        <v>2154984</v>
      </c>
      <c r="Q4899" s="13">
        <f>SUMIFS(M:M,E:E,Online_eCommerce[[#This Row],[Status]])</f>
        <v>21233992</v>
      </c>
      <c r="R4899" s="13">
        <f>SUMIFS(L:L,H:H,Online_eCommerce[[#This Row],[Brand]])</f>
        <v>14431000</v>
      </c>
      <c r="S4899" s="13">
        <f>SUMIF(H:H,Online_eCommerce[[#This Row],[Brand]],M:M)</f>
        <v>18760300</v>
      </c>
      <c r="T4899" s="13">
        <f>SUMIF(N:N,Online_eCommerce[[#This Row],[Assigned Supervisor]],L:L)</f>
        <v>11733610</v>
      </c>
    </row>
    <row r="4900" spans="1:20" hidden="1" x14ac:dyDescent="0.3">
      <c r="A4900" t="s">
        <v>7258</v>
      </c>
      <c r="B4900" t="s">
        <v>109</v>
      </c>
      <c r="C4900" t="s">
        <v>155</v>
      </c>
      <c r="D4900" t="s">
        <v>7259</v>
      </c>
      <c r="E4900" t="s">
        <v>18</v>
      </c>
      <c r="F4900" t="s">
        <v>32</v>
      </c>
      <c r="G4900" t="s">
        <v>33</v>
      </c>
      <c r="H4900" t="s">
        <v>34</v>
      </c>
      <c r="I4900">
        <v>7000</v>
      </c>
      <c r="J4900">
        <v>9100</v>
      </c>
      <c r="K4900">
        <v>3</v>
      </c>
      <c r="L4900">
        <v>21000</v>
      </c>
      <c r="M4900">
        <v>27300</v>
      </c>
      <c r="N4900" t="s">
        <v>22</v>
      </c>
      <c r="O4900">
        <f t="shared" si="152"/>
        <v>18200</v>
      </c>
      <c r="P4900" s="13">
        <f t="shared" si="153"/>
        <v>2753348</v>
      </c>
      <c r="Q4900" s="13">
        <f>SUMIFS(M:M,E:E,Online_eCommerce[[#This Row],[Status]])</f>
        <v>28340455</v>
      </c>
      <c r="R4900" s="13">
        <f>SUMIFS(L:L,H:H,Online_eCommerce[[#This Row],[Brand]])</f>
        <v>10087000</v>
      </c>
      <c r="S4900" s="13">
        <f>SUMIF(H:H,Online_eCommerce[[#This Row],[Brand]],M:M)</f>
        <v>13113100</v>
      </c>
      <c r="T4900" s="13">
        <f>SUMIF(N:N,Online_eCommerce[[#This Row],[Assigned Supervisor]],L:L)</f>
        <v>13693220</v>
      </c>
    </row>
    <row r="4901" spans="1:20" hidden="1" x14ac:dyDescent="0.3">
      <c r="A4901" t="s">
        <v>7260</v>
      </c>
      <c r="B4901" t="s">
        <v>114</v>
      </c>
      <c r="C4901" t="s">
        <v>160</v>
      </c>
      <c r="D4901" t="s">
        <v>7261</v>
      </c>
      <c r="E4901" t="s">
        <v>161</v>
      </c>
      <c r="F4901" t="s">
        <v>7262</v>
      </c>
      <c r="G4901" t="s">
        <v>40</v>
      </c>
      <c r="H4901" t="s">
        <v>41</v>
      </c>
      <c r="I4901">
        <v>6550</v>
      </c>
      <c r="J4901">
        <v>8515</v>
      </c>
      <c r="K4901">
        <v>3</v>
      </c>
      <c r="L4901">
        <v>19650</v>
      </c>
      <c r="M4901">
        <v>25545</v>
      </c>
      <c r="N4901" t="s">
        <v>28</v>
      </c>
      <c r="O4901">
        <f t="shared" si="152"/>
        <v>25545</v>
      </c>
      <c r="P4901" s="13">
        <f t="shared" si="153"/>
        <v>2303483</v>
      </c>
      <c r="Q4901" s="13">
        <f>SUMIFS(M:M,E:E,Online_eCommerce[[#This Row],[Status]])</f>
        <v>21103186</v>
      </c>
      <c r="R4901" s="13">
        <f>SUMIFS(L:L,H:H,Online_eCommerce[[#This Row],[Brand]])</f>
        <v>4260400</v>
      </c>
      <c r="S4901" s="13">
        <f>SUMIF(H:H,Online_eCommerce[[#This Row],[Brand]],M:M)</f>
        <v>5538520</v>
      </c>
      <c r="T4901" s="13">
        <f>SUMIF(N:N,Online_eCommerce[[#This Row],[Assigned Supervisor]],L:L)</f>
        <v>12220830</v>
      </c>
    </row>
    <row r="4902" spans="1:20" x14ac:dyDescent="0.3">
      <c r="A4902" t="s">
        <v>7263</v>
      </c>
      <c r="B4902" t="s">
        <v>119</v>
      </c>
      <c r="C4902" t="s">
        <v>165</v>
      </c>
      <c r="D4902" t="s">
        <v>7264</v>
      </c>
      <c r="E4902" t="s">
        <v>46</v>
      </c>
      <c r="F4902" t="s">
        <v>47</v>
      </c>
      <c r="G4902" t="s">
        <v>334</v>
      </c>
      <c r="H4902" t="s">
        <v>49</v>
      </c>
      <c r="I4902">
        <v>7650</v>
      </c>
      <c r="J4902">
        <v>9945</v>
      </c>
      <c r="K4902">
        <v>2</v>
      </c>
      <c r="L4902">
        <v>15300</v>
      </c>
      <c r="M4902">
        <v>19890</v>
      </c>
      <c r="N4902" t="s">
        <v>35</v>
      </c>
      <c r="O4902">
        <f t="shared" si="152"/>
        <v>39780</v>
      </c>
      <c r="P4902" s="13">
        <f t="shared" si="153"/>
        <v>2674087</v>
      </c>
      <c r="Q4902" s="13">
        <f>SUMIFS(M:M,E:E,Online_eCommerce[[#This Row],[Status]])</f>
        <v>28620410</v>
      </c>
      <c r="R4902" s="13">
        <f>SUMIFS(L:L,H:H,Online_eCommerce[[#This Row],[Brand]])</f>
        <v>4528350</v>
      </c>
      <c r="S4902" s="13">
        <f>SUMIF(H:H,Online_eCommerce[[#This Row],[Brand]],M:M)</f>
        <v>5886855</v>
      </c>
      <c r="T4902" s="13">
        <f>SUMIF(N:N,Online_eCommerce[[#This Row],[Assigned Supervisor]],L:L)</f>
        <v>14373360</v>
      </c>
    </row>
    <row r="4903" spans="1:20" hidden="1" x14ac:dyDescent="0.3">
      <c r="A4903" t="s">
        <v>7265</v>
      </c>
      <c r="B4903" t="s">
        <v>124</v>
      </c>
      <c r="C4903" t="s">
        <v>168</v>
      </c>
      <c r="D4903" t="s">
        <v>7266</v>
      </c>
      <c r="E4903" t="s">
        <v>96</v>
      </c>
      <c r="F4903" t="s">
        <v>53</v>
      </c>
      <c r="G4903" t="s">
        <v>54</v>
      </c>
      <c r="H4903" t="s">
        <v>55</v>
      </c>
      <c r="I4903">
        <v>1150</v>
      </c>
      <c r="J4903">
        <v>1495</v>
      </c>
      <c r="K4903">
        <v>4</v>
      </c>
      <c r="L4903">
        <v>4600</v>
      </c>
      <c r="M4903">
        <v>5980</v>
      </c>
      <c r="N4903" t="s">
        <v>42</v>
      </c>
      <c r="O4903">
        <f t="shared" si="152"/>
        <v>2990</v>
      </c>
      <c r="P4903" s="13">
        <f t="shared" si="153"/>
        <v>1937780</v>
      </c>
      <c r="Q4903" s="13">
        <f>SUMIFS(M:M,E:E,Online_eCommerce[[#This Row],[Status]])</f>
        <v>21233992</v>
      </c>
      <c r="R4903" s="13">
        <f>SUMIFS(L:L,H:H,Online_eCommerce[[#This Row],[Brand]])</f>
        <v>2267380</v>
      </c>
      <c r="S4903" s="13">
        <f>SUMIF(H:H,Online_eCommerce[[#This Row],[Brand]],M:M)</f>
        <v>2947594</v>
      </c>
      <c r="T4903" s="13">
        <f>SUMIF(N:N,Online_eCommerce[[#This Row],[Assigned Supervisor]],L:L)</f>
        <v>12261500</v>
      </c>
    </row>
    <row r="4904" spans="1:20" hidden="1" x14ac:dyDescent="0.3">
      <c r="A4904" t="s">
        <v>7267</v>
      </c>
      <c r="B4904" t="s">
        <v>128</v>
      </c>
      <c r="C4904" t="s">
        <v>172</v>
      </c>
      <c r="D4904" t="s">
        <v>7268</v>
      </c>
      <c r="E4904" t="s">
        <v>18</v>
      </c>
      <c r="F4904" t="s">
        <v>59</v>
      </c>
      <c r="G4904" t="s">
        <v>60</v>
      </c>
      <c r="H4904" t="s">
        <v>61</v>
      </c>
      <c r="I4904">
        <v>850</v>
      </c>
      <c r="J4904">
        <v>1105</v>
      </c>
      <c r="K4904">
        <v>3</v>
      </c>
      <c r="L4904">
        <v>2550</v>
      </c>
      <c r="M4904">
        <v>3315</v>
      </c>
      <c r="N4904" t="s">
        <v>50</v>
      </c>
      <c r="O4904">
        <f t="shared" si="152"/>
        <v>3315</v>
      </c>
      <c r="P4904" s="13">
        <f t="shared" si="153"/>
        <v>2640274</v>
      </c>
      <c r="Q4904" s="13">
        <f>SUMIFS(M:M,E:E,Online_eCommerce[[#This Row],[Status]])</f>
        <v>28340455</v>
      </c>
      <c r="R4904" s="13">
        <f>SUMIFS(L:L,H:H,Online_eCommerce[[#This Row],[Brand]])</f>
        <v>10950150</v>
      </c>
      <c r="S4904" s="13">
        <f>SUMIF(H:H,Online_eCommerce[[#This Row],[Brand]],M:M)</f>
        <v>14235195</v>
      </c>
      <c r="T4904" s="13">
        <f>SUMIF(N:N,Online_eCommerce[[#This Row],[Assigned Supervisor]],L:L)</f>
        <v>12100590</v>
      </c>
    </row>
    <row r="4905" spans="1:20" hidden="1" x14ac:dyDescent="0.3">
      <c r="A4905" t="s">
        <v>7269</v>
      </c>
      <c r="B4905" t="s">
        <v>131</v>
      </c>
      <c r="C4905" t="s">
        <v>177</v>
      </c>
      <c r="D4905" t="s">
        <v>7270</v>
      </c>
      <c r="E4905" t="s">
        <v>161</v>
      </c>
      <c r="F4905" t="s">
        <v>65</v>
      </c>
      <c r="G4905" t="s">
        <v>66</v>
      </c>
      <c r="H4905" t="s">
        <v>21</v>
      </c>
      <c r="I4905">
        <v>650</v>
      </c>
      <c r="J4905">
        <v>845</v>
      </c>
      <c r="K4905">
        <v>1</v>
      </c>
      <c r="L4905">
        <v>650</v>
      </c>
      <c r="M4905">
        <v>845</v>
      </c>
      <c r="N4905" t="s">
        <v>56</v>
      </c>
      <c r="O4905">
        <f t="shared" si="152"/>
        <v>1690</v>
      </c>
      <c r="P4905" s="13">
        <f t="shared" si="153"/>
        <v>1863810</v>
      </c>
      <c r="Q4905" s="13">
        <f>SUMIFS(M:M,E:E,Online_eCommerce[[#This Row],[Status]])</f>
        <v>21103186</v>
      </c>
      <c r="R4905" s="13">
        <f>SUMIFS(L:L,H:H,Online_eCommerce[[#This Row],[Brand]])</f>
        <v>12435650</v>
      </c>
      <c r="S4905" s="13">
        <f>SUMIF(H:H,Online_eCommerce[[#This Row],[Brand]],M:M)</f>
        <v>16166345</v>
      </c>
      <c r="T4905" s="13">
        <f>SUMIF(N:N,Online_eCommerce[[#This Row],[Assigned Supervisor]],L:L)</f>
        <v>11733610</v>
      </c>
    </row>
    <row r="4906" spans="1:20" x14ac:dyDescent="0.3">
      <c r="A4906" t="s">
        <v>7271</v>
      </c>
      <c r="B4906" t="s">
        <v>135</v>
      </c>
      <c r="C4906" t="s">
        <v>181</v>
      </c>
      <c r="D4906" t="s">
        <v>7272</v>
      </c>
      <c r="E4906" t="s">
        <v>46</v>
      </c>
      <c r="F4906" t="s">
        <v>70</v>
      </c>
      <c r="G4906" t="s">
        <v>71</v>
      </c>
      <c r="H4906" t="s">
        <v>61</v>
      </c>
      <c r="I4906">
        <v>7500</v>
      </c>
      <c r="J4906">
        <v>9750</v>
      </c>
      <c r="K4906">
        <v>2</v>
      </c>
      <c r="L4906">
        <v>15000</v>
      </c>
      <c r="M4906">
        <v>19500</v>
      </c>
      <c r="N4906" t="s">
        <v>22</v>
      </c>
      <c r="O4906">
        <f t="shared" si="152"/>
        <v>9750</v>
      </c>
      <c r="P4906" s="13">
        <f t="shared" si="153"/>
        <v>2577458</v>
      </c>
      <c r="Q4906" s="13">
        <f>SUMIFS(M:M,E:E,Online_eCommerce[[#This Row],[Status]])</f>
        <v>28620410</v>
      </c>
      <c r="R4906" s="13">
        <f>SUMIFS(L:L,H:H,Online_eCommerce[[#This Row],[Brand]])</f>
        <v>10950150</v>
      </c>
      <c r="S4906" s="13">
        <f>SUMIF(H:H,Online_eCommerce[[#This Row],[Brand]],M:M)</f>
        <v>14235195</v>
      </c>
      <c r="T4906" s="13">
        <f>SUMIF(N:N,Online_eCommerce[[#This Row],[Assigned Supervisor]],L:L)</f>
        <v>13693220</v>
      </c>
    </row>
    <row r="4907" spans="1:20" hidden="1" x14ac:dyDescent="0.3">
      <c r="A4907" t="s">
        <v>7273</v>
      </c>
      <c r="B4907" t="s">
        <v>139</v>
      </c>
      <c r="C4907" t="s">
        <v>185</v>
      </c>
      <c r="D4907" t="s">
        <v>7274</v>
      </c>
      <c r="E4907" t="s">
        <v>96</v>
      </c>
      <c r="F4907" t="s">
        <v>7251</v>
      </c>
      <c r="G4907" t="s">
        <v>77</v>
      </c>
      <c r="H4907" t="s">
        <v>78</v>
      </c>
      <c r="I4907">
        <v>10000</v>
      </c>
      <c r="J4907">
        <v>13000</v>
      </c>
      <c r="K4907">
        <v>3</v>
      </c>
      <c r="L4907">
        <v>30000</v>
      </c>
      <c r="M4907">
        <v>39000</v>
      </c>
      <c r="N4907" t="s">
        <v>28</v>
      </c>
      <c r="O4907">
        <f t="shared" si="152"/>
        <v>39000</v>
      </c>
      <c r="P4907" s="13">
        <f t="shared" si="153"/>
        <v>2091596</v>
      </c>
      <c r="Q4907" s="13">
        <f>SUMIFS(M:M,E:E,Online_eCommerce[[#This Row],[Status]])</f>
        <v>21233992</v>
      </c>
      <c r="R4907" s="13">
        <f>SUMIFS(L:L,H:H,Online_eCommerce[[#This Row],[Brand]])</f>
        <v>3720000</v>
      </c>
      <c r="S4907" s="13">
        <f>SUMIF(H:H,Online_eCommerce[[#This Row],[Brand]],M:M)</f>
        <v>4836000</v>
      </c>
      <c r="T4907" s="13">
        <f>SUMIF(N:N,Online_eCommerce[[#This Row],[Assigned Supervisor]],L:L)</f>
        <v>12220830</v>
      </c>
    </row>
    <row r="4908" spans="1:20" hidden="1" x14ac:dyDescent="0.3">
      <c r="A4908" t="s">
        <v>7275</v>
      </c>
      <c r="B4908" t="s">
        <v>144</v>
      </c>
      <c r="C4908" t="s">
        <v>189</v>
      </c>
      <c r="D4908" t="s">
        <v>7276</v>
      </c>
      <c r="E4908" t="s">
        <v>18</v>
      </c>
      <c r="F4908" t="s">
        <v>7277</v>
      </c>
      <c r="G4908" t="s">
        <v>20</v>
      </c>
      <c r="H4908" t="s">
        <v>21</v>
      </c>
      <c r="I4908">
        <v>10500</v>
      </c>
      <c r="J4908">
        <v>13650</v>
      </c>
      <c r="K4908">
        <v>4</v>
      </c>
      <c r="L4908">
        <v>42000</v>
      </c>
      <c r="M4908">
        <v>54600</v>
      </c>
      <c r="N4908" t="s">
        <v>35</v>
      </c>
      <c r="O4908">
        <f t="shared" si="152"/>
        <v>8450</v>
      </c>
      <c r="P4908" s="13">
        <f t="shared" si="153"/>
        <v>2740777</v>
      </c>
      <c r="Q4908" s="13">
        <f>SUMIFS(M:M,E:E,Online_eCommerce[[#This Row],[Status]])</f>
        <v>28340455</v>
      </c>
      <c r="R4908" s="13">
        <f>SUMIFS(L:L,H:H,Online_eCommerce[[#This Row],[Brand]])</f>
        <v>12435650</v>
      </c>
      <c r="S4908" s="13">
        <f>SUMIF(H:H,Online_eCommerce[[#This Row],[Brand]],M:M)</f>
        <v>16166345</v>
      </c>
      <c r="T4908" s="13">
        <f>SUMIF(N:N,Online_eCommerce[[#This Row],[Assigned Supervisor]],L:L)</f>
        <v>14373360</v>
      </c>
    </row>
    <row r="4909" spans="1:20" hidden="1" x14ac:dyDescent="0.3">
      <c r="A4909" t="s">
        <v>7278</v>
      </c>
      <c r="B4909" t="s">
        <v>149</v>
      </c>
      <c r="C4909" t="s">
        <v>193</v>
      </c>
      <c r="D4909" t="s">
        <v>7279</v>
      </c>
      <c r="E4909" t="s">
        <v>161</v>
      </c>
      <c r="F4909" t="s">
        <v>88</v>
      </c>
      <c r="G4909" t="s">
        <v>26</v>
      </c>
      <c r="H4909" t="s">
        <v>27</v>
      </c>
      <c r="I4909">
        <v>8500</v>
      </c>
      <c r="J4909">
        <v>11050</v>
      </c>
      <c r="K4909">
        <v>1</v>
      </c>
      <c r="L4909">
        <v>8500</v>
      </c>
      <c r="M4909">
        <v>11050</v>
      </c>
      <c r="N4909" t="s">
        <v>42</v>
      </c>
      <c r="O4909">
        <f t="shared" si="152"/>
        <v>33150</v>
      </c>
      <c r="P4909" s="13">
        <f t="shared" si="153"/>
        <v>2074774</v>
      </c>
      <c r="Q4909" s="13">
        <f>SUMIFS(M:M,E:E,Online_eCommerce[[#This Row],[Status]])</f>
        <v>21103186</v>
      </c>
      <c r="R4909" s="13">
        <f>SUMIFS(L:L,H:H,Online_eCommerce[[#This Row],[Brand]])</f>
        <v>14431000</v>
      </c>
      <c r="S4909" s="13">
        <f>SUMIF(H:H,Online_eCommerce[[#This Row],[Brand]],M:M)</f>
        <v>18760300</v>
      </c>
      <c r="T4909" s="13">
        <f>SUMIF(N:N,Online_eCommerce[[#This Row],[Assigned Supervisor]],L:L)</f>
        <v>12261500</v>
      </c>
    </row>
    <row r="4910" spans="1:20" x14ac:dyDescent="0.3">
      <c r="A4910" t="s">
        <v>7280</v>
      </c>
      <c r="B4910" t="s">
        <v>154</v>
      </c>
      <c r="C4910" t="s">
        <v>197</v>
      </c>
      <c r="D4910" t="s">
        <v>7279</v>
      </c>
      <c r="E4910" t="s">
        <v>46</v>
      </c>
      <c r="F4910" t="s">
        <v>32</v>
      </c>
      <c r="G4910" t="s">
        <v>33</v>
      </c>
      <c r="H4910" t="s">
        <v>34</v>
      </c>
      <c r="I4910">
        <v>7000</v>
      </c>
      <c r="J4910">
        <v>9100</v>
      </c>
      <c r="K4910">
        <v>4</v>
      </c>
      <c r="L4910">
        <v>28000</v>
      </c>
      <c r="M4910">
        <v>36400</v>
      </c>
      <c r="N4910" t="s">
        <v>50</v>
      </c>
      <c r="O4910">
        <f t="shared" si="152"/>
        <v>18200</v>
      </c>
      <c r="P4910" s="13">
        <f t="shared" si="153"/>
        <v>2829840</v>
      </c>
      <c r="Q4910" s="13">
        <f>SUMIFS(M:M,E:E,Online_eCommerce[[#This Row],[Status]])</f>
        <v>28620410</v>
      </c>
      <c r="R4910" s="13">
        <f>SUMIFS(L:L,H:H,Online_eCommerce[[#This Row],[Brand]])</f>
        <v>10087000</v>
      </c>
      <c r="S4910" s="13">
        <f>SUMIF(H:H,Online_eCommerce[[#This Row],[Brand]],M:M)</f>
        <v>13113100</v>
      </c>
      <c r="T4910" s="13">
        <f>SUMIF(N:N,Online_eCommerce[[#This Row],[Assigned Supervisor]],L:L)</f>
        <v>12100590</v>
      </c>
    </row>
    <row r="4911" spans="1:20" hidden="1" x14ac:dyDescent="0.3">
      <c r="A4911" t="s">
        <v>7281</v>
      </c>
      <c r="B4911" t="s">
        <v>159</v>
      </c>
      <c r="C4911" t="s">
        <v>199</v>
      </c>
      <c r="D4911" t="s">
        <v>7279</v>
      </c>
      <c r="E4911" t="s">
        <v>96</v>
      </c>
      <c r="F4911" t="s">
        <v>7282</v>
      </c>
      <c r="G4911" t="s">
        <v>40</v>
      </c>
      <c r="H4911" t="s">
        <v>41</v>
      </c>
      <c r="I4911">
        <v>1680</v>
      </c>
      <c r="J4911">
        <v>2184</v>
      </c>
      <c r="K4911">
        <v>3</v>
      </c>
      <c r="L4911">
        <v>5040</v>
      </c>
      <c r="M4911">
        <v>6552</v>
      </c>
      <c r="N4911" t="s">
        <v>56</v>
      </c>
      <c r="O4911">
        <f t="shared" si="152"/>
        <v>25545</v>
      </c>
      <c r="P4911" s="13">
        <f t="shared" si="153"/>
        <v>1947361</v>
      </c>
      <c r="Q4911" s="13">
        <f>SUMIFS(M:M,E:E,Online_eCommerce[[#This Row],[Status]])</f>
        <v>21233992</v>
      </c>
      <c r="R4911" s="13">
        <f>SUMIFS(L:L,H:H,Online_eCommerce[[#This Row],[Brand]])</f>
        <v>4260400</v>
      </c>
      <c r="S4911" s="13">
        <f>SUMIF(H:H,Online_eCommerce[[#This Row],[Brand]],M:M)</f>
        <v>5538520</v>
      </c>
      <c r="T4911" s="13">
        <f>SUMIF(N:N,Online_eCommerce[[#This Row],[Assigned Supervisor]],L:L)</f>
        <v>11733610</v>
      </c>
    </row>
    <row r="4912" spans="1:20" hidden="1" x14ac:dyDescent="0.3">
      <c r="A4912" t="s">
        <v>7283</v>
      </c>
      <c r="B4912" t="s">
        <v>139</v>
      </c>
      <c r="C4912" t="s">
        <v>203</v>
      </c>
      <c r="D4912" t="s">
        <v>7279</v>
      </c>
      <c r="E4912" t="s">
        <v>18</v>
      </c>
      <c r="F4912" t="s">
        <v>101</v>
      </c>
      <c r="G4912" t="s">
        <v>334</v>
      </c>
      <c r="H4912" t="s">
        <v>102</v>
      </c>
      <c r="I4912">
        <v>6540</v>
      </c>
      <c r="J4912">
        <v>8502</v>
      </c>
      <c r="K4912">
        <v>3</v>
      </c>
      <c r="L4912">
        <v>19620</v>
      </c>
      <c r="M4912">
        <v>25506</v>
      </c>
      <c r="N4912" t="s">
        <v>22</v>
      </c>
      <c r="O4912">
        <f t="shared" si="152"/>
        <v>39780</v>
      </c>
      <c r="P4912" s="13">
        <f t="shared" si="153"/>
        <v>2559635</v>
      </c>
      <c r="Q4912" s="13">
        <f>SUMIFS(M:M,E:E,Online_eCommerce[[#This Row],[Status]])</f>
        <v>28340455</v>
      </c>
      <c r="R4912" s="13">
        <f>SUMIFS(L:L,H:H,Online_eCommerce[[#This Row],[Brand]])</f>
        <v>2465580</v>
      </c>
      <c r="S4912" s="13">
        <f>SUMIF(H:H,Online_eCommerce[[#This Row],[Brand]],M:M)</f>
        <v>3205254</v>
      </c>
      <c r="T4912" s="13">
        <f>SUMIF(N:N,Online_eCommerce[[#This Row],[Assigned Supervisor]],L:L)</f>
        <v>13693220</v>
      </c>
    </row>
    <row r="4913" spans="1:20" hidden="1" x14ac:dyDescent="0.3">
      <c r="A4913" t="s">
        <v>7284</v>
      </c>
      <c r="B4913" t="s">
        <v>144</v>
      </c>
      <c r="C4913" t="s">
        <v>205</v>
      </c>
      <c r="D4913" t="s">
        <v>7279</v>
      </c>
      <c r="E4913" t="s">
        <v>161</v>
      </c>
      <c r="F4913" t="s">
        <v>107</v>
      </c>
      <c r="G4913" t="s">
        <v>54</v>
      </c>
      <c r="H4913" t="s">
        <v>55</v>
      </c>
      <c r="I4913">
        <v>2680</v>
      </c>
      <c r="J4913">
        <v>3484</v>
      </c>
      <c r="K4913">
        <v>3</v>
      </c>
      <c r="L4913">
        <v>8040</v>
      </c>
      <c r="M4913">
        <v>10452</v>
      </c>
      <c r="N4913" t="s">
        <v>28</v>
      </c>
      <c r="O4913">
        <f t="shared" si="152"/>
        <v>2990</v>
      </c>
      <c r="P4913" s="13">
        <f t="shared" si="153"/>
        <v>1983254</v>
      </c>
      <c r="Q4913" s="13">
        <f>SUMIFS(M:M,E:E,Online_eCommerce[[#This Row],[Status]])</f>
        <v>21103186</v>
      </c>
      <c r="R4913" s="13">
        <f>SUMIFS(L:L,H:H,Online_eCommerce[[#This Row],[Brand]])</f>
        <v>2267380</v>
      </c>
      <c r="S4913" s="13">
        <f>SUMIF(H:H,Online_eCommerce[[#This Row],[Brand]],M:M)</f>
        <v>2947594</v>
      </c>
      <c r="T4913" s="13">
        <f>SUMIF(N:N,Online_eCommerce[[#This Row],[Assigned Supervisor]],L:L)</f>
        <v>12220830</v>
      </c>
    </row>
    <row r="4914" spans="1:20" x14ac:dyDescent="0.3">
      <c r="A4914" t="s">
        <v>7285</v>
      </c>
      <c r="B4914" t="s">
        <v>235</v>
      </c>
      <c r="C4914" t="s">
        <v>208</v>
      </c>
      <c r="D4914" t="s">
        <v>7279</v>
      </c>
      <c r="E4914" t="s">
        <v>46</v>
      </c>
      <c r="F4914" t="s">
        <v>112</v>
      </c>
      <c r="G4914" t="s">
        <v>71</v>
      </c>
      <c r="H4914" t="s">
        <v>21</v>
      </c>
      <c r="I4914">
        <v>8250</v>
      </c>
      <c r="J4914">
        <v>10725</v>
      </c>
      <c r="K4914">
        <v>2</v>
      </c>
      <c r="L4914">
        <v>16500</v>
      </c>
      <c r="M4914">
        <v>21450</v>
      </c>
      <c r="N4914" t="s">
        <v>35</v>
      </c>
      <c r="O4914">
        <f t="shared" si="152"/>
        <v>9750</v>
      </c>
      <c r="P4914" s="13">
        <f t="shared" si="153"/>
        <v>2746575</v>
      </c>
      <c r="Q4914" s="13">
        <f>SUMIFS(M:M,E:E,Online_eCommerce[[#This Row],[Status]])</f>
        <v>28620410</v>
      </c>
      <c r="R4914" s="13">
        <f>SUMIFS(L:L,H:H,Online_eCommerce[[#This Row],[Brand]])</f>
        <v>12435650</v>
      </c>
      <c r="S4914" s="13">
        <f>SUMIF(H:H,Online_eCommerce[[#This Row],[Brand]],M:M)</f>
        <v>16166345</v>
      </c>
      <c r="T4914" s="13">
        <f>SUMIF(N:N,Online_eCommerce[[#This Row],[Assigned Supervisor]],L:L)</f>
        <v>14373360</v>
      </c>
    </row>
    <row r="4915" spans="1:20" hidden="1" x14ac:dyDescent="0.3">
      <c r="A4915" t="s">
        <v>7286</v>
      </c>
      <c r="B4915" t="s">
        <v>176</v>
      </c>
      <c r="C4915" t="s">
        <v>211</v>
      </c>
      <c r="D4915" t="s">
        <v>7279</v>
      </c>
      <c r="E4915" t="s">
        <v>96</v>
      </c>
      <c r="F4915" t="s">
        <v>6825</v>
      </c>
      <c r="G4915" t="s">
        <v>40</v>
      </c>
      <c r="H4915" t="s">
        <v>21</v>
      </c>
      <c r="I4915">
        <v>2650</v>
      </c>
      <c r="J4915">
        <v>3445</v>
      </c>
      <c r="K4915">
        <v>1</v>
      </c>
      <c r="L4915">
        <v>2650</v>
      </c>
      <c r="M4915">
        <v>3445</v>
      </c>
      <c r="N4915" t="s">
        <v>42</v>
      </c>
      <c r="O4915">
        <f t="shared" si="152"/>
        <v>25545</v>
      </c>
      <c r="P4915" s="13">
        <f t="shared" si="153"/>
        <v>1809847</v>
      </c>
      <c r="Q4915" s="13">
        <f>SUMIFS(M:M,E:E,Online_eCommerce[[#This Row],[Status]])</f>
        <v>21233992</v>
      </c>
      <c r="R4915" s="13">
        <f>SUMIFS(L:L,H:H,Online_eCommerce[[#This Row],[Brand]])</f>
        <v>12435650</v>
      </c>
      <c r="S4915" s="13">
        <f>SUMIF(H:H,Online_eCommerce[[#This Row],[Brand]],M:M)</f>
        <v>16166345</v>
      </c>
      <c r="T4915" s="13">
        <f>SUMIF(N:N,Online_eCommerce[[#This Row],[Assigned Supervisor]],L:L)</f>
        <v>12261500</v>
      </c>
    </row>
    <row r="4916" spans="1:20" hidden="1" x14ac:dyDescent="0.3">
      <c r="A4916" t="s">
        <v>7287</v>
      </c>
      <c r="B4916" t="s">
        <v>276</v>
      </c>
      <c r="C4916" t="s">
        <v>16</v>
      </c>
      <c r="D4916" t="s">
        <v>7279</v>
      </c>
      <c r="E4916" t="s">
        <v>18</v>
      </c>
      <c r="F4916" t="s">
        <v>121</v>
      </c>
      <c r="G4916" t="s">
        <v>71</v>
      </c>
      <c r="H4916" t="s">
        <v>122</v>
      </c>
      <c r="I4916">
        <v>12550</v>
      </c>
      <c r="J4916">
        <v>16315</v>
      </c>
      <c r="K4916">
        <v>1</v>
      </c>
      <c r="L4916">
        <v>12550</v>
      </c>
      <c r="M4916">
        <v>16315</v>
      </c>
      <c r="N4916" t="s">
        <v>50</v>
      </c>
      <c r="O4916">
        <f t="shared" si="152"/>
        <v>9750</v>
      </c>
      <c r="P4916" s="13">
        <f t="shared" si="153"/>
        <v>2751814</v>
      </c>
      <c r="Q4916" s="13">
        <f>SUMIFS(M:M,E:E,Online_eCommerce[[#This Row],[Status]])</f>
        <v>28340455</v>
      </c>
      <c r="R4916" s="13">
        <f>SUMIFS(L:L,H:H,Online_eCommerce[[#This Row],[Brand]])</f>
        <v>5045100</v>
      </c>
      <c r="S4916" s="13">
        <f>SUMIF(H:H,Online_eCommerce[[#This Row],[Brand]],M:M)</f>
        <v>6558630</v>
      </c>
      <c r="T4916" s="13">
        <f>SUMIF(N:N,Online_eCommerce[[#This Row],[Assigned Supervisor]],L:L)</f>
        <v>12100590</v>
      </c>
    </row>
    <row r="4917" spans="1:20" hidden="1" x14ac:dyDescent="0.3">
      <c r="A4917" t="s">
        <v>7288</v>
      </c>
      <c r="B4917" t="s">
        <v>280</v>
      </c>
      <c r="C4917" t="s">
        <v>24</v>
      </c>
      <c r="D4917" t="s">
        <v>7279</v>
      </c>
      <c r="E4917" t="s">
        <v>161</v>
      </c>
      <c r="F4917" t="s">
        <v>126</v>
      </c>
      <c r="G4917" t="s">
        <v>26</v>
      </c>
      <c r="H4917" t="s">
        <v>27</v>
      </c>
      <c r="I4917">
        <v>14500</v>
      </c>
      <c r="J4917">
        <v>18850</v>
      </c>
      <c r="K4917">
        <v>4</v>
      </c>
      <c r="L4917">
        <v>58000</v>
      </c>
      <c r="M4917">
        <v>75400</v>
      </c>
      <c r="N4917" t="s">
        <v>56</v>
      </c>
      <c r="O4917">
        <f t="shared" si="152"/>
        <v>33150</v>
      </c>
      <c r="P4917" s="13">
        <f t="shared" si="153"/>
        <v>2009540</v>
      </c>
      <c r="Q4917" s="13">
        <f>SUMIFS(M:M,E:E,Online_eCommerce[[#This Row],[Status]])</f>
        <v>21103186</v>
      </c>
      <c r="R4917" s="13">
        <f>SUMIFS(L:L,H:H,Online_eCommerce[[#This Row],[Brand]])</f>
        <v>14431000</v>
      </c>
      <c r="S4917" s="13">
        <f>SUMIF(H:H,Online_eCommerce[[#This Row],[Brand]],M:M)</f>
        <v>18760300</v>
      </c>
      <c r="T4917" s="13">
        <f>SUMIF(N:N,Online_eCommerce[[#This Row],[Assigned Supervisor]],L:L)</f>
        <v>11733610</v>
      </c>
    </row>
    <row r="4918" spans="1:20" x14ac:dyDescent="0.3">
      <c r="A4918" t="s">
        <v>7289</v>
      </c>
      <c r="B4918" t="s">
        <v>283</v>
      </c>
      <c r="C4918" t="s">
        <v>31</v>
      </c>
      <c r="D4918" t="s">
        <v>7279</v>
      </c>
      <c r="E4918" t="s">
        <v>46</v>
      </c>
      <c r="F4918" t="s">
        <v>129</v>
      </c>
      <c r="G4918" t="s">
        <v>60</v>
      </c>
      <c r="H4918" t="s">
        <v>61</v>
      </c>
      <c r="I4918">
        <v>800</v>
      </c>
      <c r="J4918">
        <v>1040</v>
      </c>
      <c r="K4918">
        <v>3</v>
      </c>
      <c r="L4918">
        <v>2400</v>
      </c>
      <c r="M4918">
        <v>3120</v>
      </c>
      <c r="N4918" t="s">
        <v>22</v>
      </c>
      <c r="O4918">
        <f t="shared" si="152"/>
        <v>3315</v>
      </c>
      <c r="P4918" s="13">
        <f t="shared" si="153"/>
        <v>2865746</v>
      </c>
      <c r="Q4918" s="13">
        <f>SUMIFS(M:M,E:E,Online_eCommerce[[#This Row],[Status]])</f>
        <v>28620410</v>
      </c>
      <c r="R4918" s="13">
        <f>SUMIFS(L:L,H:H,Online_eCommerce[[#This Row],[Brand]])</f>
        <v>10950150</v>
      </c>
      <c r="S4918" s="13">
        <f>SUMIF(H:H,Online_eCommerce[[#This Row],[Brand]],M:M)</f>
        <v>14235195</v>
      </c>
      <c r="T4918" s="13">
        <f>SUMIF(N:N,Online_eCommerce[[#This Row],[Assigned Supervisor]],L:L)</f>
        <v>13693220</v>
      </c>
    </row>
    <row r="4919" spans="1:20" hidden="1" x14ac:dyDescent="0.3">
      <c r="A4919" t="s">
        <v>7290</v>
      </c>
      <c r="B4919" t="s">
        <v>287</v>
      </c>
      <c r="C4919" t="s">
        <v>38</v>
      </c>
      <c r="D4919" t="s">
        <v>7279</v>
      </c>
      <c r="E4919" t="s">
        <v>96</v>
      </c>
      <c r="F4919" t="s">
        <v>133</v>
      </c>
      <c r="G4919" t="s">
        <v>66</v>
      </c>
      <c r="H4919" t="s">
        <v>21</v>
      </c>
      <c r="I4919">
        <v>600</v>
      </c>
      <c r="J4919">
        <v>780</v>
      </c>
      <c r="K4919">
        <v>3</v>
      </c>
      <c r="L4919">
        <v>1800</v>
      </c>
      <c r="M4919">
        <v>2340</v>
      </c>
      <c r="N4919" t="s">
        <v>28</v>
      </c>
      <c r="O4919">
        <f t="shared" si="152"/>
        <v>1690</v>
      </c>
      <c r="P4919" s="13">
        <f t="shared" si="153"/>
        <v>1933997</v>
      </c>
      <c r="Q4919" s="13">
        <f>SUMIFS(M:M,E:E,Online_eCommerce[[#This Row],[Status]])</f>
        <v>21233992</v>
      </c>
      <c r="R4919" s="13">
        <f>SUMIFS(L:L,H:H,Online_eCommerce[[#This Row],[Brand]])</f>
        <v>12435650</v>
      </c>
      <c r="S4919" s="13">
        <f>SUMIF(H:H,Online_eCommerce[[#This Row],[Brand]],M:M)</f>
        <v>16166345</v>
      </c>
      <c r="T4919" s="13">
        <f>SUMIF(N:N,Online_eCommerce[[#This Row],[Assigned Supervisor]],L:L)</f>
        <v>12220830</v>
      </c>
    </row>
    <row r="4920" spans="1:20" hidden="1" x14ac:dyDescent="0.3">
      <c r="A4920" t="s">
        <v>7291</v>
      </c>
      <c r="B4920" t="s">
        <v>290</v>
      </c>
      <c r="C4920" t="s">
        <v>45</v>
      </c>
      <c r="D4920" t="s">
        <v>7279</v>
      </c>
      <c r="E4920" t="s">
        <v>18</v>
      </c>
      <c r="F4920" t="s">
        <v>137</v>
      </c>
      <c r="G4920" t="s">
        <v>71</v>
      </c>
      <c r="H4920" t="s">
        <v>61</v>
      </c>
      <c r="I4920">
        <v>10500</v>
      </c>
      <c r="J4920">
        <v>13650</v>
      </c>
      <c r="K4920">
        <v>4</v>
      </c>
      <c r="L4920">
        <v>42000</v>
      </c>
      <c r="M4920">
        <v>54600</v>
      </c>
      <c r="N4920" t="s">
        <v>35</v>
      </c>
      <c r="O4920">
        <f t="shared" si="152"/>
        <v>9750</v>
      </c>
      <c r="P4920" s="13">
        <f t="shared" si="153"/>
        <v>2842554</v>
      </c>
      <c r="Q4920" s="13">
        <f>SUMIFS(M:M,E:E,Online_eCommerce[[#This Row],[Status]])</f>
        <v>28340455</v>
      </c>
      <c r="R4920" s="13">
        <f>SUMIFS(L:L,H:H,Online_eCommerce[[#This Row],[Brand]])</f>
        <v>10950150</v>
      </c>
      <c r="S4920" s="13">
        <f>SUMIF(H:H,Online_eCommerce[[#This Row],[Brand]],M:M)</f>
        <v>14235195</v>
      </c>
      <c r="T4920" s="13">
        <f>SUMIF(N:N,Online_eCommerce[[#This Row],[Assigned Supervisor]],L:L)</f>
        <v>14373360</v>
      </c>
    </row>
    <row r="4921" spans="1:20" hidden="1" x14ac:dyDescent="0.3">
      <c r="A4921" t="s">
        <v>7292</v>
      </c>
      <c r="B4921" t="s">
        <v>15</v>
      </c>
      <c r="C4921" t="s">
        <v>52</v>
      </c>
      <c r="D4921" t="s">
        <v>7279</v>
      </c>
      <c r="E4921" t="s">
        <v>161</v>
      </c>
      <c r="F4921" t="s">
        <v>7251</v>
      </c>
      <c r="G4921" t="s">
        <v>77</v>
      </c>
      <c r="H4921" t="s">
        <v>142</v>
      </c>
      <c r="I4921">
        <v>6500</v>
      </c>
      <c r="J4921">
        <v>8450</v>
      </c>
      <c r="K4921">
        <v>1</v>
      </c>
      <c r="L4921">
        <v>6500</v>
      </c>
      <c r="M4921">
        <v>8450</v>
      </c>
      <c r="N4921" t="s">
        <v>42</v>
      </c>
      <c r="O4921">
        <f t="shared" si="152"/>
        <v>39000</v>
      </c>
      <c r="P4921" s="13">
        <f t="shared" si="153"/>
        <v>1955044</v>
      </c>
      <c r="Q4921" s="13">
        <f>SUMIFS(M:M,E:E,Online_eCommerce[[#This Row],[Status]])</f>
        <v>21103186</v>
      </c>
      <c r="R4921" s="13">
        <f>SUMIFS(L:L,H:H,Online_eCommerce[[#This Row],[Brand]])</f>
        <v>6192500</v>
      </c>
      <c r="S4921" s="13">
        <f>SUMIF(H:H,Online_eCommerce[[#This Row],[Brand]],M:M)</f>
        <v>8050250</v>
      </c>
      <c r="T4921" s="13">
        <f>SUMIF(N:N,Online_eCommerce[[#This Row],[Assigned Supervisor]],L:L)</f>
        <v>12261500</v>
      </c>
    </row>
    <row r="4922" spans="1:20" x14ac:dyDescent="0.3">
      <c r="A4922" t="s">
        <v>7293</v>
      </c>
      <c r="B4922" t="s">
        <v>202</v>
      </c>
      <c r="C4922" t="s">
        <v>58</v>
      </c>
      <c r="D4922" t="s">
        <v>7279</v>
      </c>
      <c r="E4922" t="s">
        <v>46</v>
      </c>
      <c r="F4922" t="s">
        <v>7294</v>
      </c>
      <c r="G4922" t="s">
        <v>20</v>
      </c>
      <c r="H4922" t="s">
        <v>21</v>
      </c>
      <c r="I4922">
        <v>4500</v>
      </c>
      <c r="J4922">
        <v>5850</v>
      </c>
      <c r="K4922">
        <v>1</v>
      </c>
      <c r="L4922">
        <v>4500</v>
      </c>
      <c r="M4922">
        <v>5850</v>
      </c>
      <c r="N4922" t="s">
        <v>50</v>
      </c>
      <c r="O4922">
        <f t="shared" si="152"/>
        <v>8450</v>
      </c>
      <c r="P4922" s="13">
        <f t="shared" si="153"/>
        <v>2629211</v>
      </c>
      <c r="Q4922" s="13">
        <f>SUMIFS(M:M,E:E,Online_eCommerce[[#This Row],[Status]])</f>
        <v>28620410</v>
      </c>
      <c r="R4922" s="13">
        <f>SUMIFS(L:L,H:H,Online_eCommerce[[#This Row],[Brand]])</f>
        <v>12435650</v>
      </c>
      <c r="S4922" s="13">
        <f>SUMIF(H:H,Online_eCommerce[[#This Row],[Brand]],M:M)</f>
        <v>16166345</v>
      </c>
      <c r="T4922" s="13">
        <f>SUMIF(N:N,Online_eCommerce[[#This Row],[Assigned Supervisor]],L:L)</f>
        <v>12100590</v>
      </c>
    </row>
    <row r="4923" spans="1:20" hidden="1" x14ac:dyDescent="0.3">
      <c r="A4923" t="s">
        <v>7295</v>
      </c>
      <c r="B4923" t="s">
        <v>30</v>
      </c>
      <c r="C4923" t="s">
        <v>63</v>
      </c>
      <c r="D4923" t="s">
        <v>7279</v>
      </c>
      <c r="E4923" t="s">
        <v>96</v>
      </c>
      <c r="F4923" t="s">
        <v>152</v>
      </c>
      <c r="G4923" t="s">
        <v>26</v>
      </c>
      <c r="H4923" t="s">
        <v>27</v>
      </c>
      <c r="I4923">
        <v>8500</v>
      </c>
      <c r="J4923">
        <v>11050</v>
      </c>
      <c r="K4923">
        <v>2</v>
      </c>
      <c r="L4923">
        <v>17000</v>
      </c>
      <c r="M4923">
        <v>22100</v>
      </c>
      <c r="N4923" t="s">
        <v>56</v>
      </c>
      <c r="O4923">
        <f t="shared" si="152"/>
        <v>33150</v>
      </c>
      <c r="P4923" s="13">
        <f t="shared" si="153"/>
        <v>2016131</v>
      </c>
      <c r="Q4923" s="13">
        <f>SUMIFS(M:M,E:E,Online_eCommerce[[#This Row],[Status]])</f>
        <v>21233992</v>
      </c>
      <c r="R4923" s="13">
        <f>SUMIFS(L:L,H:H,Online_eCommerce[[#This Row],[Brand]])</f>
        <v>14431000</v>
      </c>
      <c r="S4923" s="13">
        <f>SUMIF(H:H,Online_eCommerce[[#This Row],[Brand]],M:M)</f>
        <v>18760300</v>
      </c>
      <c r="T4923" s="13">
        <f>SUMIF(N:N,Online_eCommerce[[#This Row],[Assigned Supervisor]],L:L)</f>
        <v>11733610</v>
      </c>
    </row>
    <row r="4924" spans="1:20" hidden="1" x14ac:dyDescent="0.3">
      <c r="A4924" t="s">
        <v>7296</v>
      </c>
      <c r="B4924" t="s">
        <v>37</v>
      </c>
      <c r="C4924" t="s">
        <v>68</v>
      </c>
      <c r="D4924" t="s">
        <v>7279</v>
      </c>
      <c r="E4924" t="s">
        <v>18</v>
      </c>
      <c r="F4924" t="s">
        <v>157</v>
      </c>
      <c r="G4924" t="s">
        <v>33</v>
      </c>
      <c r="H4924" t="s">
        <v>34</v>
      </c>
      <c r="I4924">
        <v>12500</v>
      </c>
      <c r="J4924">
        <v>16250</v>
      </c>
      <c r="K4924">
        <v>2</v>
      </c>
      <c r="L4924">
        <v>25000</v>
      </c>
      <c r="M4924">
        <v>32500</v>
      </c>
      <c r="N4924" t="s">
        <v>22</v>
      </c>
      <c r="O4924">
        <f t="shared" si="152"/>
        <v>18200</v>
      </c>
      <c r="P4924" s="13">
        <f t="shared" si="153"/>
        <v>2974621</v>
      </c>
      <c r="Q4924" s="13">
        <f>SUMIFS(M:M,E:E,Online_eCommerce[[#This Row],[Status]])</f>
        <v>28340455</v>
      </c>
      <c r="R4924" s="13">
        <f>SUMIFS(L:L,H:H,Online_eCommerce[[#This Row],[Brand]])</f>
        <v>10087000</v>
      </c>
      <c r="S4924" s="13">
        <f>SUMIF(H:H,Online_eCommerce[[#This Row],[Brand]],M:M)</f>
        <v>13113100</v>
      </c>
      <c r="T4924" s="13">
        <f>SUMIF(N:N,Online_eCommerce[[#This Row],[Assigned Supervisor]],L:L)</f>
        <v>13693220</v>
      </c>
    </row>
    <row r="4925" spans="1:20" hidden="1" x14ac:dyDescent="0.3">
      <c r="A4925" t="s">
        <v>7297</v>
      </c>
      <c r="B4925" t="s">
        <v>44</v>
      </c>
      <c r="C4925" t="s">
        <v>74</v>
      </c>
      <c r="D4925" t="s">
        <v>7279</v>
      </c>
      <c r="E4925" t="s">
        <v>161</v>
      </c>
      <c r="F4925" t="s">
        <v>6900</v>
      </c>
      <c r="G4925" t="s">
        <v>163</v>
      </c>
      <c r="H4925" t="s">
        <v>41</v>
      </c>
      <c r="I4925">
        <v>3500</v>
      </c>
      <c r="J4925">
        <v>4550</v>
      </c>
      <c r="K4925">
        <v>1</v>
      </c>
      <c r="L4925">
        <v>3500</v>
      </c>
      <c r="M4925">
        <v>4550</v>
      </c>
      <c r="N4925" t="s">
        <v>28</v>
      </c>
      <c r="O4925">
        <f t="shared" si="152"/>
        <v>13650</v>
      </c>
      <c r="P4925" s="13">
        <f t="shared" si="153"/>
        <v>2144701</v>
      </c>
      <c r="Q4925" s="13">
        <f>SUMIFS(M:M,E:E,Online_eCommerce[[#This Row],[Status]])</f>
        <v>21103186</v>
      </c>
      <c r="R4925" s="13">
        <f>SUMIFS(L:L,H:H,Online_eCommerce[[#This Row],[Brand]])</f>
        <v>4260400</v>
      </c>
      <c r="S4925" s="13">
        <f>SUMIF(H:H,Online_eCommerce[[#This Row],[Brand]],M:M)</f>
        <v>5538520</v>
      </c>
      <c r="T4925" s="13">
        <f>SUMIF(N:N,Online_eCommerce[[#This Row],[Assigned Supervisor]],L:L)</f>
        <v>12220830</v>
      </c>
    </row>
    <row r="4926" spans="1:20" x14ac:dyDescent="0.3">
      <c r="A4926" t="s">
        <v>7298</v>
      </c>
      <c r="B4926" t="s">
        <v>213</v>
      </c>
      <c r="C4926" t="s">
        <v>81</v>
      </c>
      <c r="D4926" t="s">
        <v>7279</v>
      </c>
      <c r="E4926" t="s">
        <v>46</v>
      </c>
      <c r="F4926" t="s">
        <v>166</v>
      </c>
      <c r="G4926" t="s">
        <v>66</v>
      </c>
      <c r="H4926" t="s">
        <v>49</v>
      </c>
      <c r="I4926">
        <v>4500</v>
      </c>
      <c r="J4926">
        <v>5850</v>
      </c>
      <c r="K4926">
        <v>4</v>
      </c>
      <c r="L4926">
        <v>18000</v>
      </c>
      <c r="M4926">
        <v>23400</v>
      </c>
      <c r="N4926" t="s">
        <v>35</v>
      </c>
      <c r="O4926">
        <f t="shared" si="152"/>
        <v>1690</v>
      </c>
      <c r="P4926" s="13">
        <f t="shared" si="153"/>
        <v>2595632</v>
      </c>
      <c r="Q4926" s="13">
        <f>SUMIFS(M:M,E:E,Online_eCommerce[[#This Row],[Status]])</f>
        <v>28620410</v>
      </c>
      <c r="R4926" s="13">
        <f>SUMIFS(L:L,H:H,Online_eCommerce[[#This Row],[Brand]])</f>
        <v>4528350</v>
      </c>
      <c r="S4926" s="13">
        <f>SUMIF(H:H,Online_eCommerce[[#This Row],[Brand]],M:M)</f>
        <v>5886855</v>
      </c>
      <c r="T4926" s="13">
        <f>SUMIF(N:N,Online_eCommerce[[#This Row],[Assigned Supervisor]],L:L)</f>
        <v>14373360</v>
      </c>
    </row>
    <row r="4927" spans="1:20" hidden="1" x14ac:dyDescent="0.3">
      <c r="A4927" t="s">
        <v>7299</v>
      </c>
      <c r="B4927" t="s">
        <v>215</v>
      </c>
      <c r="C4927" t="s">
        <v>86</v>
      </c>
      <c r="D4927" t="s">
        <v>7279</v>
      </c>
      <c r="E4927" t="s">
        <v>96</v>
      </c>
      <c r="F4927" t="s">
        <v>7300</v>
      </c>
      <c r="G4927" t="s">
        <v>54</v>
      </c>
      <c r="H4927" t="s">
        <v>55</v>
      </c>
      <c r="I4927">
        <v>2100</v>
      </c>
      <c r="J4927">
        <v>2730</v>
      </c>
      <c r="K4927">
        <v>3</v>
      </c>
      <c r="L4927">
        <v>6300</v>
      </c>
      <c r="M4927">
        <v>8190</v>
      </c>
      <c r="N4927" t="s">
        <v>42</v>
      </c>
      <c r="O4927">
        <f t="shared" si="152"/>
        <v>2990</v>
      </c>
      <c r="P4927" s="13">
        <f t="shared" si="153"/>
        <v>1941225</v>
      </c>
      <c r="Q4927" s="13">
        <f>SUMIFS(M:M,E:E,Online_eCommerce[[#This Row],[Status]])</f>
        <v>21233992</v>
      </c>
      <c r="R4927" s="13">
        <f>SUMIFS(L:L,H:H,Online_eCommerce[[#This Row],[Brand]])</f>
        <v>2267380</v>
      </c>
      <c r="S4927" s="13">
        <f>SUMIF(H:H,Online_eCommerce[[#This Row],[Brand]],M:M)</f>
        <v>2947594</v>
      </c>
      <c r="T4927" s="13">
        <f>SUMIF(N:N,Online_eCommerce[[#This Row],[Assigned Supervisor]],L:L)</f>
        <v>12261500</v>
      </c>
    </row>
    <row r="4928" spans="1:20" hidden="1" x14ac:dyDescent="0.3">
      <c r="A4928" t="s">
        <v>7301</v>
      </c>
      <c r="B4928" t="s">
        <v>306</v>
      </c>
      <c r="C4928" t="s">
        <v>91</v>
      </c>
      <c r="D4928" t="s">
        <v>7302</v>
      </c>
      <c r="E4928" t="s">
        <v>18</v>
      </c>
      <c r="F4928" t="s">
        <v>174</v>
      </c>
      <c r="G4928" t="s">
        <v>60</v>
      </c>
      <c r="H4928" t="s">
        <v>61</v>
      </c>
      <c r="I4928">
        <v>1150</v>
      </c>
      <c r="J4928">
        <v>1495</v>
      </c>
      <c r="K4928">
        <v>2</v>
      </c>
      <c r="L4928">
        <v>2300</v>
      </c>
      <c r="M4928">
        <v>2990</v>
      </c>
      <c r="N4928" t="s">
        <v>50</v>
      </c>
      <c r="O4928">
        <f t="shared" si="152"/>
        <v>3315</v>
      </c>
      <c r="P4928" s="13">
        <f t="shared" si="153"/>
        <v>2731963</v>
      </c>
      <c r="Q4928" s="13">
        <f>SUMIFS(M:M,E:E,Online_eCommerce[[#This Row],[Status]])</f>
        <v>28340455</v>
      </c>
      <c r="R4928" s="13">
        <f>SUMIFS(L:L,H:H,Online_eCommerce[[#This Row],[Brand]])</f>
        <v>10950150</v>
      </c>
      <c r="S4928" s="13">
        <f>SUMIF(H:H,Online_eCommerce[[#This Row],[Brand]],M:M)</f>
        <v>14235195</v>
      </c>
      <c r="T4928" s="13">
        <f>SUMIF(N:N,Online_eCommerce[[#This Row],[Assigned Supervisor]],L:L)</f>
        <v>12100590</v>
      </c>
    </row>
    <row r="4929" spans="1:20" hidden="1" x14ac:dyDescent="0.3">
      <c r="A4929" t="s">
        <v>7303</v>
      </c>
      <c r="B4929" t="s">
        <v>528</v>
      </c>
      <c r="C4929" t="s">
        <v>94</v>
      </c>
      <c r="D4929" t="s">
        <v>7304</v>
      </c>
      <c r="E4929" t="s">
        <v>161</v>
      </c>
      <c r="F4929" t="s">
        <v>179</v>
      </c>
      <c r="G4929" t="s">
        <v>66</v>
      </c>
      <c r="H4929" t="s">
        <v>21</v>
      </c>
      <c r="I4929">
        <v>350</v>
      </c>
      <c r="J4929">
        <v>455</v>
      </c>
      <c r="K4929">
        <v>2</v>
      </c>
      <c r="L4929">
        <v>700</v>
      </c>
      <c r="M4929">
        <v>910</v>
      </c>
      <c r="N4929" t="s">
        <v>56</v>
      </c>
      <c r="O4929">
        <f t="shared" si="152"/>
        <v>1690</v>
      </c>
      <c r="P4929" s="13">
        <f t="shared" si="153"/>
        <v>1868256</v>
      </c>
      <c r="Q4929" s="13">
        <f>SUMIFS(M:M,E:E,Online_eCommerce[[#This Row],[Status]])</f>
        <v>21103186</v>
      </c>
      <c r="R4929" s="13">
        <f>SUMIFS(L:L,H:H,Online_eCommerce[[#This Row],[Brand]])</f>
        <v>12435650</v>
      </c>
      <c r="S4929" s="13">
        <f>SUMIF(H:H,Online_eCommerce[[#This Row],[Brand]],M:M)</f>
        <v>16166345</v>
      </c>
      <c r="T4929" s="13">
        <f>SUMIF(N:N,Online_eCommerce[[#This Row],[Assigned Supervisor]],L:L)</f>
        <v>11733610</v>
      </c>
    </row>
    <row r="4930" spans="1:20" x14ac:dyDescent="0.3">
      <c r="A4930" t="s">
        <v>7305</v>
      </c>
      <c r="B4930" t="s">
        <v>73</v>
      </c>
      <c r="C4930" t="s">
        <v>99</v>
      </c>
      <c r="D4930" t="s">
        <v>7306</v>
      </c>
      <c r="E4930" t="s">
        <v>46</v>
      </c>
      <c r="F4930" t="s">
        <v>183</v>
      </c>
      <c r="G4930" t="s">
        <v>71</v>
      </c>
      <c r="H4930" t="s">
        <v>61</v>
      </c>
      <c r="I4930">
        <v>9500</v>
      </c>
      <c r="J4930">
        <v>12350</v>
      </c>
      <c r="K4930">
        <v>2</v>
      </c>
      <c r="L4930">
        <v>19000</v>
      </c>
      <c r="M4930">
        <v>24700</v>
      </c>
      <c r="N4930" t="s">
        <v>22</v>
      </c>
      <c r="O4930">
        <f t="shared" ref="O4930:O4993" si="154">VLOOKUP(G4930,G:M,7,FALSE)</f>
        <v>9750</v>
      </c>
      <c r="P4930" s="13">
        <f t="shared" ref="P4930:P4993" si="155">SUMIFS(M:M,C:C,C4930)</f>
        <v>2651233</v>
      </c>
      <c r="Q4930" s="13">
        <f>SUMIFS(M:M,E:E,Online_eCommerce[[#This Row],[Status]])</f>
        <v>28620410</v>
      </c>
      <c r="R4930" s="13">
        <f>SUMIFS(L:L,H:H,Online_eCommerce[[#This Row],[Brand]])</f>
        <v>10950150</v>
      </c>
      <c r="S4930" s="13">
        <f>SUMIF(H:H,Online_eCommerce[[#This Row],[Brand]],M:M)</f>
        <v>14235195</v>
      </c>
      <c r="T4930" s="13">
        <f>SUMIF(N:N,Online_eCommerce[[#This Row],[Assigned Supervisor]],L:L)</f>
        <v>13693220</v>
      </c>
    </row>
    <row r="4931" spans="1:20" hidden="1" x14ac:dyDescent="0.3">
      <c r="A4931" t="s">
        <v>7307</v>
      </c>
      <c r="B4931" t="s">
        <v>80</v>
      </c>
      <c r="C4931" t="s">
        <v>105</v>
      </c>
      <c r="D4931" t="s">
        <v>7308</v>
      </c>
      <c r="E4931" t="s">
        <v>96</v>
      </c>
      <c r="F4931" t="s">
        <v>7309</v>
      </c>
      <c r="G4931" t="s">
        <v>77</v>
      </c>
      <c r="H4931" t="s">
        <v>142</v>
      </c>
      <c r="I4931">
        <v>10000</v>
      </c>
      <c r="J4931">
        <v>13000</v>
      </c>
      <c r="K4931">
        <v>4</v>
      </c>
      <c r="L4931">
        <v>40000</v>
      </c>
      <c r="M4931">
        <v>52000</v>
      </c>
      <c r="N4931" t="s">
        <v>28</v>
      </c>
      <c r="O4931">
        <f t="shared" si="154"/>
        <v>39000</v>
      </c>
      <c r="P4931" s="13">
        <f t="shared" si="155"/>
        <v>1866852</v>
      </c>
      <c r="Q4931" s="13">
        <f>SUMIFS(M:M,E:E,Online_eCommerce[[#This Row],[Status]])</f>
        <v>21233992</v>
      </c>
      <c r="R4931" s="13">
        <f>SUMIFS(L:L,H:H,Online_eCommerce[[#This Row],[Brand]])</f>
        <v>6192500</v>
      </c>
      <c r="S4931" s="13">
        <f>SUMIF(H:H,Online_eCommerce[[#This Row],[Brand]],M:M)</f>
        <v>8050250</v>
      </c>
      <c r="T4931" s="13">
        <f>SUMIF(N:N,Online_eCommerce[[#This Row],[Assigned Supervisor]],L:L)</f>
        <v>12220830</v>
      </c>
    </row>
    <row r="4932" spans="1:20" hidden="1" x14ac:dyDescent="0.3">
      <c r="A4932" t="s">
        <v>7310</v>
      </c>
      <c r="B4932" t="s">
        <v>85</v>
      </c>
      <c r="C4932" t="s">
        <v>110</v>
      </c>
      <c r="D4932" t="s">
        <v>7311</v>
      </c>
      <c r="E4932" t="s">
        <v>18</v>
      </c>
      <c r="F4932" t="s">
        <v>7312</v>
      </c>
      <c r="G4932" t="s">
        <v>20</v>
      </c>
      <c r="H4932" t="s">
        <v>21</v>
      </c>
      <c r="I4932">
        <v>6500</v>
      </c>
      <c r="J4932">
        <v>8450</v>
      </c>
      <c r="K4932">
        <v>4</v>
      </c>
      <c r="L4932">
        <v>26000</v>
      </c>
      <c r="M4932">
        <v>33800</v>
      </c>
      <c r="N4932" t="s">
        <v>35</v>
      </c>
      <c r="O4932">
        <f t="shared" si="154"/>
        <v>8450</v>
      </c>
      <c r="P4932" s="13">
        <f t="shared" si="155"/>
        <v>2598635</v>
      </c>
      <c r="Q4932" s="13">
        <f>SUMIFS(M:M,E:E,Online_eCommerce[[#This Row],[Status]])</f>
        <v>28340455</v>
      </c>
      <c r="R4932" s="13">
        <f>SUMIFS(L:L,H:H,Online_eCommerce[[#This Row],[Brand]])</f>
        <v>12435650</v>
      </c>
      <c r="S4932" s="13">
        <f>SUMIF(H:H,Online_eCommerce[[#This Row],[Brand]],M:M)</f>
        <v>16166345</v>
      </c>
      <c r="T4932" s="13">
        <f>SUMIF(N:N,Online_eCommerce[[#This Row],[Assigned Supervisor]],L:L)</f>
        <v>14373360</v>
      </c>
    </row>
    <row r="4933" spans="1:20" hidden="1" x14ac:dyDescent="0.3">
      <c r="A4933" t="s">
        <v>7313</v>
      </c>
      <c r="B4933" t="s">
        <v>90</v>
      </c>
      <c r="C4933" t="s">
        <v>115</v>
      </c>
      <c r="D4933" t="s">
        <v>7314</v>
      </c>
      <c r="E4933" t="s">
        <v>161</v>
      </c>
      <c r="F4933" t="s">
        <v>7315</v>
      </c>
      <c r="G4933" t="s">
        <v>26</v>
      </c>
      <c r="H4933" t="s">
        <v>27</v>
      </c>
      <c r="I4933">
        <v>8500</v>
      </c>
      <c r="J4933">
        <v>11050</v>
      </c>
      <c r="K4933">
        <v>3</v>
      </c>
      <c r="L4933">
        <v>25500</v>
      </c>
      <c r="M4933">
        <v>33150</v>
      </c>
      <c r="N4933" t="s">
        <v>42</v>
      </c>
      <c r="O4933">
        <f t="shared" si="154"/>
        <v>33150</v>
      </c>
      <c r="P4933" s="13">
        <f t="shared" si="155"/>
        <v>2050178</v>
      </c>
      <c r="Q4933" s="13">
        <f>SUMIFS(M:M,E:E,Online_eCommerce[[#This Row],[Status]])</f>
        <v>21103186</v>
      </c>
      <c r="R4933" s="13">
        <f>SUMIFS(L:L,H:H,Online_eCommerce[[#This Row],[Brand]])</f>
        <v>14431000</v>
      </c>
      <c r="S4933" s="13">
        <f>SUMIF(H:H,Online_eCommerce[[#This Row],[Brand]],M:M)</f>
        <v>18760300</v>
      </c>
      <c r="T4933" s="13">
        <f>SUMIF(N:N,Online_eCommerce[[#This Row],[Assigned Supervisor]],L:L)</f>
        <v>12261500</v>
      </c>
    </row>
    <row r="4934" spans="1:20" x14ac:dyDescent="0.3">
      <c r="A4934" t="s">
        <v>7316</v>
      </c>
      <c r="B4934" t="s">
        <v>232</v>
      </c>
      <c r="C4934" t="s">
        <v>120</v>
      </c>
      <c r="D4934" t="s">
        <v>7317</v>
      </c>
      <c r="E4934" t="s">
        <v>46</v>
      </c>
      <c r="F4934" t="s">
        <v>32</v>
      </c>
      <c r="G4934" t="s">
        <v>33</v>
      </c>
      <c r="H4934" t="s">
        <v>34</v>
      </c>
      <c r="I4934">
        <v>7000</v>
      </c>
      <c r="J4934">
        <v>9100</v>
      </c>
      <c r="K4934">
        <v>3</v>
      </c>
      <c r="L4934">
        <v>21000</v>
      </c>
      <c r="M4934">
        <v>27300</v>
      </c>
      <c r="N4934" t="s">
        <v>50</v>
      </c>
      <c r="O4934">
        <f t="shared" si="154"/>
        <v>18200</v>
      </c>
      <c r="P4934" s="13">
        <f t="shared" si="155"/>
        <v>2734212</v>
      </c>
      <c r="Q4934" s="13">
        <f>SUMIFS(M:M,E:E,Online_eCommerce[[#This Row],[Status]])</f>
        <v>28620410</v>
      </c>
      <c r="R4934" s="13">
        <f>SUMIFS(L:L,H:H,Online_eCommerce[[#This Row],[Brand]])</f>
        <v>10087000</v>
      </c>
      <c r="S4934" s="13">
        <f>SUMIF(H:H,Online_eCommerce[[#This Row],[Brand]],M:M)</f>
        <v>13113100</v>
      </c>
      <c r="T4934" s="13">
        <f>SUMIF(N:N,Online_eCommerce[[#This Row],[Assigned Supervisor]],L:L)</f>
        <v>12100590</v>
      </c>
    </row>
    <row r="4935" spans="1:20" hidden="1" x14ac:dyDescent="0.3">
      <c r="A4935" t="s">
        <v>7318</v>
      </c>
      <c r="B4935" t="s">
        <v>235</v>
      </c>
      <c r="C4935" t="s">
        <v>125</v>
      </c>
      <c r="D4935" t="s">
        <v>7319</v>
      </c>
      <c r="E4935" t="s">
        <v>96</v>
      </c>
      <c r="F4935" t="s">
        <v>7320</v>
      </c>
      <c r="G4935" t="s">
        <v>163</v>
      </c>
      <c r="H4935" t="s">
        <v>41</v>
      </c>
      <c r="I4935">
        <v>6550</v>
      </c>
      <c r="J4935">
        <v>8515</v>
      </c>
      <c r="K4935">
        <v>1</v>
      </c>
      <c r="L4935">
        <v>6550</v>
      </c>
      <c r="M4935">
        <v>8515</v>
      </c>
      <c r="N4935" t="s">
        <v>56</v>
      </c>
      <c r="O4935">
        <f t="shared" si="154"/>
        <v>13650</v>
      </c>
      <c r="P4935" s="13">
        <f t="shared" si="155"/>
        <v>2091154</v>
      </c>
      <c r="Q4935" s="13">
        <f>SUMIFS(M:M,E:E,Online_eCommerce[[#This Row],[Status]])</f>
        <v>21233992</v>
      </c>
      <c r="R4935" s="13">
        <f>SUMIFS(L:L,H:H,Online_eCommerce[[#This Row],[Brand]])</f>
        <v>4260400</v>
      </c>
      <c r="S4935" s="13">
        <f>SUMIF(H:H,Online_eCommerce[[#This Row],[Brand]],M:M)</f>
        <v>5538520</v>
      </c>
      <c r="T4935" s="13">
        <f>SUMIF(N:N,Online_eCommerce[[#This Row],[Assigned Supervisor]],L:L)</f>
        <v>11733610</v>
      </c>
    </row>
    <row r="4936" spans="1:20" hidden="1" x14ac:dyDescent="0.3">
      <c r="A4936" t="s">
        <v>7321</v>
      </c>
      <c r="B4936" t="s">
        <v>104</v>
      </c>
      <c r="C4936" t="s">
        <v>22</v>
      </c>
      <c r="D4936" t="s">
        <v>7322</v>
      </c>
      <c r="E4936" t="s">
        <v>18</v>
      </c>
      <c r="F4936" t="s">
        <v>47</v>
      </c>
      <c r="G4936" t="s">
        <v>66</v>
      </c>
      <c r="H4936" t="s">
        <v>49</v>
      </c>
      <c r="I4936">
        <v>7650</v>
      </c>
      <c r="J4936">
        <v>9945</v>
      </c>
      <c r="K4936">
        <v>4</v>
      </c>
      <c r="L4936">
        <v>30600</v>
      </c>
      <c r="M4936">
        <v>39780</v>
      </c>
      <c r="N4936" t="s">
        <v>22</v>
      </c>
      <c r="O4936">
        <f t="shared" si="154"/>
        <v>1690</v>
      </c>
      <c r="P4936" s="13">
        <f t="shared" si="155"/>
        <v>2551588</v>
      </c>
      <c r="Q4936" s="13">
        <f>SUMIFS(M:M,E:E,Online_eCommerce[[#This Row],[Status]])</f>
        <v>28340455</v>
      </c>
      <c r="R4936" s="13">
        <f>SUMIFS(L:L,H:H,Online_eCommerce[[#This Row],[Brand]])</f>
        <v>4528350</v>
      </c>
      <c r="S4936" s="13">
        <f>SUMIF(H:H,Online_eCommerce[[#This Row],[Brand]],M:M)</f>
        <v>5886855</v>
      </c>
      <c r="T4936" s="13">
        <f>SUMIF(N:N,Online_eCommerce[[#This Row],[Assigned Supervisor]],L:L)</f>
        <v>13693220</v>
      </c>
    </row>
    <row r="4937" spans="1:20" hidden="1" x14ac:dyDescent="0.3">
      <c r="A4937" t="s">
        <v>7323</v>
      </c>
      <c r="B4937" t="s">
        <v>109</v>
      </c>
      <c r="C4937" t="s">
        <v>132</v>
      </c>
      <c r="D4937" t="s">
        <v>7324</v>
      </c>
      <c r="E4937" t="s">
        <v>161</v>
      </c>
      <c r="F4937" t="s">
        <v>53</v>
      </c>
      <c r="G4937" t="s">
        <v>54</v>
      </c>
      <c r="H4937" t="s">
        <v>55</v>
      </c>
      <c r="I4937">
        <v>1150</v>
      </c>
      <c r="J4937">
        <v>1495</v>
      </c>
      <c r="K4937">
        <v>2</v>
      </c>
      <c r="L4937">
        <v>2300</v>
      </c>
      <c r="M4937">
        <v>2990</v>
      </c>
      <c r="N4937" t="s">
        <v>28</v>
      </c>
      <c r="O4937">
        <f t="shared" si="154"/>
        <v>2990</v>
      </c>
      <c r="P4937" s="13">
        <f t="shared" si="155"/>
        <v>1989065</v>
      </c>
      <c r="Q4937" s="13">
        <f>SUMIFS(M:M,E:E,Online_eCommerce[[#This Row],[Status]])</f>
        <v>21103186</v>
      </c>
      <c r="R4937" s="13">
        <f>SUMIFS(L:L,H:H,Online_eCommerce[[#This Row],[Brand]])</f>
        <v>2267380</v>
      </c>
      <c r="S4937" s="13">
        <f>SUMIF(H:H,Online_eCommerce[[#This Row],[Brand]],M:M)</f>
        <v>2947594</v>
      </c>
      <c r="T4937" s="13">
        <f>SUMIF(N:N,Online_eCommerce[[#This Row],[Assigned Supervisor]],L:L)</f>
        <v>12220830</v>
      </c>
    </row>
    <row r="4938" spans="1:20" x14ac:dyDescent="0.3">
      <c r="A4938" t="s">
        <v>7325</v>
      </c>
      <c r="B4938" t="s">
        <v>114</v>
      </c>
      <c r="C4938" t="s">
        <v>136</v>
      </c>
      <c r="D4938" t="s">
        <v>7326</v>
      </c>
      <c r="E4938" t="s">
        <v>46</v>
      </c>
      <c r="F4938" t="s">
        <v>59</v>
      </c>
      <c r="G4938" t="s">
        <v>60</v>
      </c>
      <c r="H4938" t="s">
        <v>61</v>
      </c>
      <c r="I4938">
        <v>850</v>
      </c>
      <c r="J4938">
        <v>1105</v>
      </c>
      <c r="K4938">
        <v>4</v>
      </c>
      <c r="L4938">
        <v>3400</v>
      </c>
      <c r="M4938">
        <v>4420</v>
      </c>
      <c r="N4938" t="s">
        <v>35</v>
      </c>
      <c r="O4938">
        <f t="shared" si="154"/>
        <v>3315</v>
      </c>
      <c r="P4938" s="13">
        <f t="shared" si="155"/>
        <v>2775162</v>
      </c>
      <c r="Q4938" s="13">
        <f>SUMIFS(M:M,E:E,Online_eCommerce[[#This Row],[Status]])</f>
        <v>28620410</v>
      </c>
      <c r="R4938" s="13">
        <f>SUMIFS(L:L,H:H,Online_eCommerce[[#This Row],[Brand]])</f>
        <v>10950150</v>
      </c>
      <c r="S4938" s="13">
        <f>SUMIF(H:H,Online_eCommerce[[#This Row],[Brand]],M:M)</f>
        <v>14235195</v>
      </c>
      <c r="T4938" s="13">
        <f>SUMIF(N:N,Online_eCommerce[[#This Row],[Assigned Supervisor]],L:L)</f>
        <v>14373360</v>
      </c>
    </row>
    <row r="4939" spans="1:20" hidden="1" x14ac:dyDescent="0.3">
      <c r="A4939" t="s">
        <v>7327</v>
      </c>
      <c r="B4939" t="s">
        <v>119</v>
      </c>
      <c r="C4939" t="s">
        <v>140</v>
      </c>
      <c r="D4939" t="s">
        <v>7328</v>
      </c>
      <c r="E4939" t="s">
        <v>96</v>
      </c>
      <c r="F4939" t="s">
        <v>65</v>
      </c>
      <c r="G4939" t="s">
        <v>66</v>
      </c>
      <c r="H4939" t="s">
        <v>21</v>
      </c>
      <c r="I4939">
        <v>650</v>
      </c>
      <c r="J4939">
        <v>845</v>
      </c>
      <c r="K4939">
        <v>2</v>
      </c>
      <c r="L4939">
        <v>1300</v>
      </c>
      <c r="M4939">
        <v>1690</v>
      </c>
      <c r="N4939" t="s">
        <v>42</v>
      </c>
      <c r="O4939">
        <f t="shared" si="154"/>
        <v>1690</v>
      </c>
      <c r="P4939" s="13">
        <f t="shared" si="155"/>
        <v>2058264</v>
      </c>
      <c r="Q4939" s="13">
        <f>SUMIFS(M:M,E:E,Online_eCommerce[[#This Row],[Status]])</f>
        <v>21233992</v>
      </c>
      <c r="R4939" s="13">
        <f>SUMIFS(L:L,H:H,Online_eCommerce[[#This Row],[Brand]])</f>
        <v>12435650</v>
      </c>
      <c r="S4939" s="13">
        <f>SUMIF(H:H,Online_eCommerce[[#This Row],[Brand]],M:M)</f>
        <v>16166345</v>
      </c>
      <c r="T4939" s="13">
        <f>SUMIF(N:N,Online_eCommerce[[#This Row],[Assigned Supervisor]],L:L)</f>
        <v>12261500</v>
      </c>
    </row>
    <row r="4940" spans="1:20" hidden="1" x14ac:dyDescent="0.3">
      <c r="A4940" t="s">
        <v>7329</v>
      </c>
      <c r="B4940" t="s">
        <v>124</v>
      </c>
      <c r="C4940" t="s">
        <v>145</v>
      </c>
      <c r="D4940" t="s">
        <v>7330</v>
      </c>
      <c r="E4940" t="s">
        <v>18</v>
      </c>
      <c r="F4940" t="s">
        <v>70</v>
      </c>
      <c r="G4940" t="s">
        <v>71</v>
      </c>
      <c r="H4940" t="s">
        <v>61</v>
      </c>
      <c r="I4940">
        <v>7500</v>
      </c>
      <c r="J4940">
        <v>9750</v>
      </c>
      <c r="K4940">
        <v>3</v>
      </c>
      <c r="L4940">
        <v>22500</v>
      </c>
      <c r="M4940">
        <v>29250</v>
      </c>
      <c r="N4940" t="s">
        <v>50</v>
      </c>
      <c r="O4940">
        <f t="shared" si="154"/>
        <v>9750</v>
      </c>
      <c r="P4940" s="13">
        <f t="shared" si="155"/>
        <v>2757859</v>
      </c>
      <c r="Q4940" s="13">
        <f>SUMIFS(M:M,E:E,Online_eCommerce[[#This Row],[Status]])</f>
        <v>28340455</v>
      </c>
      <c r="R4940" s="13">
        <f>SUMIFS(L:L,H:H,Online_eCommerce[[#This Row],[Brand]])</f>
        <v>10950150</v>
      </c>
      <c r="S4940" s="13">
        <f>SUMIF(H:H,Online_eCommerce[[#This Row],[Brand]],M:M)</f>
        <v>14235195</v>
      </c>
      <c r="T4940" s="13">
        <f>SUMIF(N:N,Online_eCommerce[[#This Row],[Assigned Supervisor]],L:L)</f>
        <v>12100590</v>
      </c>
    </row>
    <row r="4941" spans="1:20" hidden="1" x14ac:dyDescent="0.3">
      <c r="A4941" t="s">
        <v>7331</v>
      </c>
      <c r="B4941" t="s">
        <v>128</v>
      </c>
      <c r="C4941" t="s">
        <v>150</v>
      </c>
      <c r="D4941" t="s">
        <v>7332</v>
      </c>
      <c r="E4941" t="s">
        <v>161</v>
      </c>
      <c r="F4941" t="s">
        <v>7309</v>
      </c>
      <c r="G4941" t="s">
        <v>77</v>
      </c>
      <c r="H4941" t="s">
        <v>78</v>
      </c>
      <c r="I4941">
        <v>10000</v>
      </c>
      <c r="J4941">
        <v>13000</v>
      </c>
      <c r="K4941">
        <v>1</v>
      </c>
      <c r="L4941">
        <v>10000</v>
      </c>
      <c r="M4941">
        <v>13000</v>
      </c>
      <c r="N4941" t="s">
        <v>56</v>
      </c>
      <c r="O4941">
        <f t="shared" si="154"/>
        <v>39000</v>
      </c>
      <c r="P4941" s="13">
        <f t="shared" si="155"/>
        <v>2154984</v>
      </c>
      <c r="Q4941" s="13">
        <f>SUMIFS(M:M,E:E,Online_eCommerce[[#This Row],[Status]])</f>
        <v>21103186</v>
      </c>
      <c r="R4941" s="13">
        <f>SUMIFS(L:L,H:H,Online_eCommerce[[#This Row],[Brand]])</f>
        <v>3720000</v>
      </c>
      <c r="S4941" s="13">
        <f>SUMIF(H:H,Online_eCommerce[[#This Row],[Brand]],M:M)</f>
        <v>4836000</v>
      </c>
      <c r="T4941" s="13">
        <f>SUMIF(N:N,Online_eCommerce[[#This Row],[Assigned Supervisor]],L:L)</f>
        <v>11733610</v>
      </c>
    </row>
    <row r="4942" spans="1:20" x14ac:dyDescent="0.3">
      <c r="A4942" t="s">
        <v>7333</v>
      </c>
      <c r="B4942" t="s">
        <v>131</v>
      </c>
      <c r="C4942" t="s">
        <v>155</v>
      </c>
      <c r="D4942" t="s">
        <v>7334</v>
      </c>
      <c r="E4942" t="s">
        <v>46</v>
      </c>
      <c r="F4942" t="s">
        <v>7335</v>
      </c>
      <c r="G4942" t="s">
        <v>20</v>
      </c>
      <c r="H4942" t="s">
        <v>21</v>
      </c>
      <c r="I4942">
        <v>10500</v>
      </c>
      <c r="J4942">
        <v>13650</v>
      </c>
      <c r="K4942">
        <v>1</v>
      </c>
      <c r="L4942">
        <v>10500</v>
      </c>
      <c r="M4942">
        <v>13650</v>
      </c>
      <c r="N4942" t="s">
        <v>22</v>
      </c>
      <c r="O4942">
        <f t="shared" si="154"/>
        <v>8450</v>
      </c>
      <c r="P4942" s="13">
        <f t="shared" si="155"/>
        <v>2753348</v>
      </c>
      <c r="Q4942" s="13">
        <f>SUMIFS(M:M,E:E,Online_eCommerce[[#This Row],[Status]])</f>
        <v>28620410</v>
      </c>
      <c r="R4942" s="13">
        <f>SUMIFS(L:L,H:H,Online_eCommerce[[#This Row],[Brand]])</f>
        <v>12435650</v>
      </c>
      <c r="S4942" s="13">
        <f>SUMIF(H:H,Online_eCommerce[[#This Row],[Brand]],M:M)</f>
        <v>16166345</v>
      </c>
      <c r="T4942" s="13">
        <f>SUMIF(N:N,Online_eCommerce[[#This Row],[Assigned Supervisor]],L:L)</f>
        <v>13693220</v>
      </c>
    </row>
    <row r="4943" spans="1:20" hidden="1" x14ac:dyDescent="0.3">
      <c r="A4943" t="s">
        <v>7336</v>
      </c>
      <c r="B4943" t="s">
        <v>135</v>
      </c>
      <c r="C4943" t="s">
        <v>160</v>
      </c>
      <c r="D4943" t="s">
        <v>7337</v>
      </c>
      <c r="E4943" t="s">
        <v>96</v>
      </c>
      <c r="F4943" t="s">
        <v>88</v>
      </c>
      <c r="G4943" t="s">
        <v>26</v>
      </c>
      <c r="H4943" t="s">
        <v>27</v>
      </c>
      <c r="I4943">
        <v>8500</v>
      </c>
      <c r="J4943">
        <v>11050</v>
      </c>
      <c r="K4943">
        <v>2</v>
      </c>
      <c r="L4943">
        <v>17000</v>
      </c>
      <c r="M4943">
        <v>22100</v>
      </c>
      <c r="N4943" t="s">
        <v>28</v>
      </c>
      <c r="O4943">
        <f t="shared" si="154"/>
        <v>33150</v>
      </c>
      <c r="P4943" s="13">
        <f t="shared" si="155"/>
        <v>2303483</v>
      </c>
      <c r="Q4943" s="13">
        <f>SUMIFS(M:M,E:E,Online_eCommerce[[#This Row],[Status]])</f>
        <v>21233992</v>
      </c>
      <c r="R4943" s="13">
        <f>SUMIFS(L:L,H:H,Online_eCommerce[[#This Row],[Brand]])</f>
        <v>14431000</v>
      </c>
      <c r="S4943" s="13">
        <f>SUMIF(H:H,Online_eCommerce[[#This Row],[Brand]],M:M)</f>
        <v>18760300</v>
      </c>
      <c r="T4943" s="13">
        <f>SUMIF(N:N,Online_eCommerce[[#This Row],[Assigned Supervisor]],L:L)</f>
        <v>12220830</v>
      </c>
    </row>
    <row r="4944" spans="1:20" hidden="1" x14ac:dyDescent="0.3">
      <c r="A4944" t="s">
        <v>7338</v>
      </c>
      <c r="B4944" t="s">
        <v>139</v>
      </c>
      <c r="C4944" t="s">
        <v>165</v>
      </c>
      <c r="D4944" t="s">
        <v>7339</v>
      </c>
      <c r="E4944" t="s">
        <v>18</v>
      </c>
      <c r="F4944" t="s">
        <v>32</v>
      </c>
      <c r="G4944" t="s">
        <v>33</v>
      </c>
      <c r="H4944" t="s">
        <v>34</v>
      </c>
      <c r="I4944">
        <v>7000</v>
      </c>
      <c r="J4944">
        <v>9100</v>
      </c>
      <c r="K4944">
        <v>4</v>
      </c>
      <c r="L4944">
        <v>28000</v>
      </c>
      <c r="M4944">
        <v>36400</v>
      </c>
      <c r="N4944" t="s">
        <v>35</v>
      </c>
      <c r="O4944">
        <f t="shared" si="154"/>
        <v>18200</v>
      </c>
      <c r="P4944" s="13">
        <f t="shared" si="155"/>
        <v>2674087</v>
      </c>
      <c r="Q4944" s="13">
        <f>SUMIFS(M:M,E:E,Online_eCommerce[[#This Row],[Status]])</f>
        <v>28340455</v>
      </c>
      <c r="R4944" s="13">
        <f>SUMIFS(L:L,H:H,Online_eCommerce[[#This Row],[Brand]])</f>
        <v>10087000</v>
      </c>
      <c r="S4944" s="13">
        <f>SUMIF(H:H,Online_eCommerce[[#This Row],[Brand]],M:M)</f>
        <v>13113100</v>
      </c>
      <c r="T4944" s="13">
        <f>SUMIF(N:N,Online_eCommerce[[#This Row],[Assigned Supervisor]],L:L)</f>
        <v>14373360</v>
      </c>
    </row>
    <row r="4945" spans="1:20" hidden="1" x14ac:dyDescent="0.3">
      <c r="A4945" t="s">
        <v>7340</v>
      </c>
      <c r="B4945" t="s">
        <v>144</v>
      </c>
      <c r="C4945" t="s">
        <v>168</v>
      </c>
      <c r="D4945" t="s">
        <v>7341</v>
      </c>
      <c r="E4945" t="s">
        <v>161</v>
      </c>
      <c r="F4945" t="s">
        <v>7342</v>
      </c>
      <c r="G4945" t="s">
        <v>163</v>
      </c>
      <c r="H4945" t="s">
        <v>41</v>
      </c>
      <c r="I4945">
        <v>1680</v>
      </c>
      <c r="J4945">
        <v>2184</v>
      </c>
      <c r="K4945">
        <v>2</v>
      </c>
      <c r="L4945">
        <v>3360</v>
      </c>
      <c r="M4945">
        <v>4368</v>
      </c>
      <c r="N4945" t="s">
        <v>42</v>
      </c>
      <c r="O4945">
        <f t="shared" si="154"/>
        <v>13650</v>
      </c>
      <c r="P4945" s="13">
        <f t="shared" si="155"/>
        <v>1937780</v>
      </c>
      <c r="Q4945" s="13">
        <f>SUMIFS(M:M,E:E,Online_eCommerce[[#This Row],[Status]])</f>
        <v>21103186</v>
      </c>
      <c r="R4945" s="13">
        <f>SUMIFS(L:L,H:H,Online_eCommerce[[#This Row],[Brand]])</f>
        <v>4260400</v>
      </c>
      <c r="S4945" s="13">
        <f>SUMIF(H:H,Online_eCommerce[[#This Row],[Brand]],M:M)</f>
        <v>5538520</v>
      </c>
      <c r="T4945" s="13">
        <f>SUMIF(N:N,Online_eCommerce[[#This Row],[Assigned Supervisor]],L:L)</f>
        <v>12261500</v>
      </c>
    </row>
    <row r="4946" spans="1:20" x14ac:dyDescent="0.3">
      <c r="A4946" t="s">
        <v>7343</v>
      </c>
      <c r="B4946" t="s">
        <v>149</v>
      </c>
      <c r="C4946" t="s">
        <v>172</v>
      </c>
      <c r="D4946" t="s">
        <v>7341</v>
      </c>
      <c r="E4946" t="s">
        <v>46</v>
      </c>
      <c r="F4946" t="s">
        <v>101</v>
      </c>
      <c r="G4946" t="s">
        <v>66</v>
      </c>
      <c r="H4946" t="s">
        <v>102</v>
      </c>
      <c r="I4946">
        <v>6540</v>
      </c>
      <c r="J4946">
        <v>8502</v>
      </c>
      <c r="K4946">
        <v>2</v>
      </c>
      <c r="L4946">
        <v>13080</v>
      </c>
      <c r="M4946">
        <v>17004</v>
      </c>
      <c r="N4946" t="s">
        <v>50</v>
      </c>
      <c r="O4946">
        <f t="shared" si="154"/>
        <v>1690</v>
      </c>
      <c r="P4946" s="13">
        <f t="shared" si="155"/>
        <v>2640274</v>
      </c>
      <c r="Q4946" s="13">
        <f>SUMIFS(M:M,E:E,Online_eCommerce[[#This Row],[Status]])</f>
        <v>28620410</v>
      </c>
      <c r="R4946" s="13">
        <f>SUMIFS(L:L,H:H,Online_eCommerce[[#This Row],[Brand]])</f>
        <v>2465580</v>
      </c>
      <c r="S4946" s="13">
        <f>SUMIF(H:H,Online_eCommerce[[#This Row],[Brand]],M:M)</f>
        <v>3205254</v>
      </c>
      <c r="T4946" s="13">
        <f>SUMIF(N:N,Online_eCommerce[[#This Row],[Assigned Supervisor]],L:L)</f>
        <v>12100590</v>
      </c>
    </row>
    <row r="4947" spans="1:20" hidden="1" x14ac:dyDescent="0.3">
      <c r="A4947" t="s">
        <v>7344</v>
      </c>
      <c r="B4947" t="s">
        <v>154</v>
      </c>
      <c r="C4947" t="s">
        <v>177</v>
      </c>
      <c r="D4947" t="s">
        <v>7341</v>
      </c>
      <c r="E4947" t="s">
        <v>96</v>
      </c>
      <c r="F4947" t="s">
        <v>107</v>
      </c>
      <c r="G4947" t="s">
        <v>54</v>
      </c>
      <c r="H4947" t="s">
        <v>55</v>
      </c>
      <c r="I4947">
        <v>2680</v>
      </c>
      <c r="J4947">
        <v>3484</v>
      </c>
      <c r="K4947">
        <v>3</v>
      </c>
      <c r="L4947">
        <v>8040</v>
      </c>
      <c r="M4947">
        <v>10452</v>
      </c>
      <c r="N4947" t="s">
        <v>56</v>
      </c>
      <c r="O4947">
        <f t="shared" si="154"/>
        <v>2990</v>
      </c>
      <c r="P4947" s="13">
        <f t="shared" si="155"/>
        <v>1863810</v>
      </c>
      <c r="Q4947" s="13">
        <f>SUMIFS(M:M,E:E,Online_eCommerce[[#This Row],[Status]])</f>
        <v>21233992</v>
      </c>
      <c r="R4947" s="13">
        <f>SUMIFS(L:L,H:H,Online_eCommerce[[#This Row],[Brand]])</f>
        <v>2267380</v>
      </c>
      <c r="S4947" s="13">
        <f>SUMIF(H:H,Online_eCommerce[[#This Row],[Brand]],M:M)</f>
        <v>2947594</v>
      </c>
      <c r="T4947" s="13">
        <f>SUMIF(N:N,Online_eCommerce[[#This Row],[Assigned Supervisor]],L:L)</f>
        <v>11733610</v>
      </c>
    </row>
    <row r="4948" spans="1:20" hidden="1" x14ac:dyDescent="0.3">
      <c r="A4948" t="s">
        <v>7345</v>
      </c>
      <c r="B4948" t="s">
        <v>159</v>
      </c>
      <c r="C4948" t="s">
        <v>181</v>
      </c>
      <c r="D4948" t="s">
        <v>7341</v>
      </c>
      <c r="E4948" t="s">
        <v>18</v>
      </c>
      <c r="F4948" t="s">
        <v>112</v>
      </c>
      <c r="G4948" t="s">
        <v>71</v>
      </c>
      <c r="H4948" t="s">
        <v>21</v>
      </c>
      <c r="I4948">
        <v>8250</v>
      </c>
      <c r="J4948">
        <v>10725</v>
      </c>
      <c r="K4948">
        <v>2</v>
      </c>
      <c r="L4948">
        <v>16500</v>
      </c>
      <c r="M4948">
        <v>21450</v>
      </c>
      <c r="N4948" t="s">
        <v>22</v>
      </c>
      <c r="O4948">
        <f t="shared" si="154"/>
        <v>9750</v>
      </c>
      <c r="P4948" s="13">
        <f t="shared" si="155"/>
        <v>2577458</v>
      </c>
      <c r="Q4948" s="13">
        <f>SUMIFS(M:M,E:E,Online_eCommerce[[#This Row],[Status]])</f>
        <v>28340455</v>
      </c>
      <c r="R4948" s="13">
        <f>SUMIFS(L:L,H:H,Online_eCommerce[[#This Row],[Brand]])</f>
        <v>12435650</v>
      </c>
      <c r="S4948" s="13">
        <f>SUMIF(H:H,Online_eCommerce[[#This Row],[Brand]],M:M)</f>
        <v>16166345</v>
      </c>
      <c r="T4948" s="13">
        <f>SUMIF(N:N,Online_eCommerce[[#This Row],[Assigned Supervisor]],L:L)</f>
        <v>13693220</v>
      </c>
    </row>
    <row r="4949" spans="1:20" hidden="1" x14ac:dyDescent="0.3">
      <c r="A4949" t="s">
        <v>7346</v>
      </c>
      <c r="B4949" t="s">
        <v>139</v>
      </c>
      <c r="C4949" t="s">
        <v>185</v>
      </c>
      <c r="D4949" t="s">
        <v>7341</v>
      </c>
      <c r="E4949" t="s">
        <v>161</v>
      </c>
      <c r="F4949" t="s">
        <v>6900</v>
      </c>
      <c r="G4949" t="s">
        <v>40</v>
      </c>
      <c r="H4949" t="s">
        <v>21</v>
      </c>
      <c r="I4949">
        <v>2650</v>
      </c>
      <c r="J4949">
        <v>3445</v>
      </c>
      <c r="K4949">
        <v>3</v>
      </c>
      <c r="L4949">
        <v>7950</v>
      </c>
      <c r="M4949">
        <v>10335</v>
      </c>
      <c r="N4949" t="s">
        <v>28</v>
      </c>
      <c r="O4949">
        <f t="shared" si="154"/>
        <v>25545</v>
      </c>
      <c r="P4949" s="13">
        <f t="shared" si="155"/>
        <v>2091596</v>
      </c>
      <c r="Q4949" s="13">
        <f>SUMIFS(M:M,E:E,Online_eCommerce[[#This Row],[Status]])</f>
        <v>21103186</v>
      </c>
      <c r="R4949" s="13">
        <f>SUMIFS(L:L,H:H,Online_eCommerce[[#This Row],[Brand]])</f>
        <v>12435650</v>
      </c>
      <c r="S4949" s="13">
        <f>SUMIF(H:H,Online_eCommerce[[#This Row],[Brand]],M:M)</f>
        <v>16166345</v>
      </c>
      <c r="T4949" s="13">
        <f>SUMIF(N:N,Online_eCommerce[[#This Row],[Assigned Supervisor]],L:L)</f>
        <v>12220830</v>
      </c>
    </row>
    <row r="4950" spans="1:20" x14ac:dyDescent="0.3">
      <c r="A4950" t="s">
        <v>7347</v>
      </c>
      <c r="B4950" t="s">
        <v>144</v>
      </c>
      <c r="C4950" t="s">
        <v>189</v>
      </c>
      <c r="D4950" t="s">
        <v>7341</v>
      </c>
      <c r="E4950" t="s">
        <v>46</v>
      </c>
      <c r="F4950" t="s">
        <v>121</v>
      </c>
      <c r="G4950" t="s">
        <v>71</v>
      </c>
      <c r="H4950" t="s">
        <v>122</v>
      </c>
      <c r="I4950">
        <v>12550</v>
      </c>
      <c r="J4950">
        <v>16315</v>
      </c>
      <c r="K4950">
        <v>3</v>
      </c>
      <c r="L4950">
        <v>37650</v>
      </c>
      <c r="M4950">
        <v>48945</v>
      </c>
      <c r="N4950" t="s">
        <v>35</v>
      </c>
      <c r="O4950">
        <f t="shared" si="154"/>
        <v>9750</v>
      </c>
      <c r="P4950" s="13">
        <f t="shared" si="155"/>
        <v>2740777</v>
      </c>
      <c r="Q4950" s="13">
        <f>SUMIFS(M:M,E:E,Online_eCommerce[[#This Row],[Status]])</f>
        <v>28620410</v>
      </c>
      <c r="R4950" s="13">
        <f>SUMIFS(L:L,H:H,Online_eCommerce[[#This Row],[Brand]])</f>
        <v>5045100</v>
      </c>
      <c r="S4950" s="13">
        <f>SUMIF(H:H,Online_eCommerce[[#This Row],[Brand]],M:M)</f>
        <v>6558630</v>
      </c>
      <c r="T4950" s="13">
        <f>SUMIF(N:N,Online_eCommerce[[#This Row],[Assigned Supervisor]],L:L)</f>
        <v>14373360</v>
      </c>
    </row>
    <row r="4951" spans="1:20" hidden="1" x14ac:dyDescent="0.3">
      <c r="A4951" t="s">
        <v>7348</v>
      </c>
      <c r="B4951" t="s">
        <v>235</v>
      </c>
      <c r="C4951" t="s">
        <v>193</v>
      </c>
      <c r="D4951" t="s">
        <v>7341</v>
      </c>
      <c r="E4951" t="s">
        <v>96</v>
      </c>
      <c r="F4951" t="s">
        <v>126</v>
      </c>
      <c r="G4951" t="s">
        <v>26</v>
      </c>
      <c r="H4951" t="s">
        <v>27</v>
      </c>
      <c r="I4951">
        <v>14500</v>
      </c>
      <c r="J4951">
        <v>18850</v>
      </c>
      <c r="K4951">
        <v>1</v>
      </c>
      <c r="L4951">
        <v>14500</v>
      </c>
      <c r="M4951">
        <v>18850</v>
      </c>
      <c r="N4951" t="s">
        <v>42</v>
      </c>
      <c r="O4951">
        <f t="shared" si="154"/>
        <v>33150</v>
      </c>
      <c r="P4951" s="13">
        <f t="shared" si="155"/>
        <v>2074774</v>
      </c>
      <c r="Q4951" s="13">
        <f>SUMIFS(M:M,E:E,Online_eCommerce[[#This Row],[Status]])</f>
        <v>21233992</v>
      </c>
      <c r="R4951" s="13">
        <f>SUMIFS(L:L,H:H,Online_eCommerce[[#This Row],[Brand]])</f>
        <v>14431000</v>
      </c>
      <c r="S4951" s="13">
        <f>SUMIF(H:H,Online_eCommerce[[#This Row],[Brand]],M:M)</f>
        <v>18760300</v>
      </c>
      <c r="T4951" s="13">
        <f>SUMIF(N:N,Online_eCommerce[[#This Row],[Assigned Supervisor]],L:L)</f>
        <v>12261500</v>
      </c>
    </row>
    <row r="4952" spans="1:20" hidden="1" x14ac:dyDescent="0.3">
      <c r="A4952" t="s">
        <v>7349</v>
      </c>
      <c r="B4952" t="s">
        <v>176</v>
      </c>
      <c r="C4952" t="s">
        <v>197</v>
      </c>
      <c r="D4952" t="s">
        <v>7350</v>
      </c>
      <c r="E4952" t="s">
        <v>18</v>
      </c>
      <c r="F4952" t="s">
        <v>129</v>
      </c>
      <c r="G4952" t="s">
        <v>60</v>
      </c>
      <c r="H4952" t="s">
        <v>61</v>
      </c>
      <c r="I4952">
        <v>800</v>
      </c>
      <c r="J4952">
        <v>1040</v>
      </c>
      <c r="K4952">
        <v>2</v>
      </c>
      <c r="L4952">
        <v>1600</v>
      </c>
      <c r="M4952">
        <v>2080</v>
      </c>
      <c r="N4952" t="s">
        <v>50</v>
      </c>
      <c r="O4952">
        <f t="shared" si="154"/>
        <v>3315</v>
      </c>
      <c r="P4952" s="13">
        <f t="shared" si="155"/>
        <v>2829840</v>
      </c>
      <c r="Q4952" s="13">
        <f>SUMIFS(M:M,E:E,Online_eCommerce[[#This Row],[Status]])</f>
        <v>28340455</v>
      </c>
      <c r="R4952" s="13">
        <f>SUMIFS(L:L,H:H,Online_eCommerce[[#This Row],[Brand]])</f>
        <v>10950150</v>
      </c>
      <c r="S4952" s="13">
        <f>SUMIF(H:H,Online_eCommerce[[#This Row],[Brand]],M:M)</f>
        <v>14235195</v>
      </c>
      <c r="T4952" s="13">
        <f>SUMIF(N:N,Online_eCommerce[[#This Row],[Assigned Supervisor]],L:L)</f>
        <v>12100590</v>
      </c>
    </row>
    <row r="4953" spans="1:20" hidden="1" x14ac:dyDescent="0.3">
      <c r="A4953" t="s">
        <v>7351</v>
      </c>
      <c r="B4953" t="s">
        <v>276</v>
      </c>
      <c r="C4953" t="s">
        <v>199</v>
      </c>
      <c r="D4953" t="s">
        <v>7352</v>
      </c>
      <c r="E4953" t="s">
        <v>161</v>
      </c>
      <c r="F4953" t="s">
        <v>133</v>
      </c>
      <c r="G4953" t="s">
        <v>66</v>
      </c>
      <c r="H4953" t="s">
        <v>21</v>
      </c>
      <c r="I4953">
        <v>600</v>
      </c>
      <c r="J4953">
        <v>780</v>
      </c>
      <c r="K4953">
        <v>3</v>
      </c>
      <c r="L4953">
        <v>1800</v>
      </c>
      <c r="M4953">
        <v>2340</v>
      </c>
      <c r="N4953" t="s">
        <v>56</v>
      </c>
      <c r="O4953">
        <f t="shared" si="154"/>
        <v>1690</v>
      </c>
      <c r="P4953" s="13">
        <f t="shared" si="155"/>
        <v>1947361</v>
      </c>
      <c r="Q4953" s="13">
        <f>SUMIFS(M:M,E:E,Online_eCommerce[[#This Row],[Status]])</f>
        <v>21103186</v>
      </c>
      <c r="R4953" s="13">
        <f>SUMIFS(L:L,H:H,Online_eCommerce[[#This Row],[Brand]])</f>
        <v>12435650</v>
      </c>
      <c r="S4953" s="13">
        <f>SUMIF(H:H,Online_eCommerce[[#This Row],[Brand]],M:M)</f>
        <v>16166345</v>
      </c>
      <c r="T4953" s="13">
        <f>SUMIF(N:N,Online_eCommerce[[#This Row],[Assigned Supervisor]],L:L)</f>
        <v>11733610</v>
      </c>
    </row>
    <row r="4954" spans="1:20" x14ac:dyDescent="0.3">
      <c r="A4954" t="s">
        <v>7353</v>
      </c>
      <c r="B4954" t="s">
        <v>280</v>
      </c>
      <c r="C4954" t="s">
        <v>203</v>
      </c>
      <c r="D4954" t="s">
        <v>7354</v>
      </c>
      <c r="E4954" t="s">
        <v>46</v>
      </c>
      <c r="F4954" t="s">
        <v>137</v>
      </c>
      <c r="G4954" t="s">
        <v>71</v>
      </c>
      <c r="H4954" t="s">
        <v>61</v>
      </c>
      <c r="I4954">
        <v>10500</v>
      </c>
      <c r="J4954">
        <v>13650</v>
      </c>
      <c r="K4954">
        <v>2</v>
      </c>
      <c r="L4954">
        <v>21000</v>
      </c>
      <c r="M4954">
        <v>27300</v>
      </c>
      <c r="N4954" t="s">
        <v>22</v>
      </c>
      <c r="O4954">
        <f t="shared" si="154"/>
        <v>9750</v>
      </c>
      <c r="P4954" s="13">
        <f t="shared" si="155"/>
        <v>2559635</v>
      </c>
      <c r="Q4954" s="13">
        <f>SUMIFS(M:M,E:E,Online_eCommerce[[#This Row],[Status]])</f>
        <v>28620410</v>
      </c>
      <c r="R4954" s="13">
        <f>SUMIFS(L:L,H:H,Online_eCommerce[[#This Row],[Brand]])</f>
        <v>10950150</v>
      </c>
      <c r="S4954" s="13">
        <f>SUMIF(H:H,Online_eCommerce[[#This Row],[Brand]],M:M)</f>
        <v>14235195</v>
      </c>
      <c r="T4954" s="13">
        <f>SUMIF(N:N,Online_eCommerce[[#This Row],[Assigned Supervisor]],L:L)</f>
        <v>13693220</v>
      </c>
    </row>
    <row r="4955" spans="1:20" hidden="1" x14ac:dyDescent="0.3">
      <c r="A4955" t="s">
        <v>7355</v>
      </c>
      <c r="B4955" t="s">
        <v>283</v>
      </c>
      <c r="C4955" t="s">
        <v>205</v>
      </c>
      <c r="D4955" t="s">
        <v>7356</v>
      </c>
      <c r="E4955" t="s">
        <v>96</v>
      </c>
      <c r="F4955" t="s">
        <v>7309</v>
      </c>
      <c r="G4955" t="s">
        <v>77</v>
      </c>
      <c r="H4955" t="s">
        <v>142</v>
      </c>
      <c r="I4955">
        <v>6500</v>
      </c>
      <c r="J4955">
        <v>8450</v>
      </c>
      <c r="K4955">
        <v>3</v>
      </c>
      <c r="L4955">
        <v>19500</v>
      </c>
      <c r="M4955">
        <v>25350</v>
      </c>
      <c r="N4955" t="s">
        <v>28</v>
      </c>
      <c r="O4955">
        <f t="shared" si="154"/>
        <v>39000</v>
      </c>
      <c r="P4955" s="13">
        <f t="shared" si="155"/>
        <v>1983254</v>
      </c>
      <c r="Q4955" s="13">
        <f>SUMIFS(M:M,E:E,Online_eCommerce[[#This Row],[Status]])</f>
        <v>21233992</v>
      </c>
      <c r="R4955" s="13">
        <f>SUMIFS(L:L,H:H,Online_eCommerce[[#This Row],[Brand]])</f>
        <v>6192500</v>
      </c>
      <c r="S4955" s="13">
        <f>SUMIF(H:H,Online_eCommerce[[#This Row],[Brand]],M:M)</f>
        <v>8050250</v>
      </c>
      <c r="T4955" s="13">
        <f>SUMIF(N:N,Online_eCommerce[[#This Row],[Assigned Supervisor]],L:L)</f>
        <v>12220830</v>
      </c>
    </row>
    <row r="4956" spans="1:20" hidden="1" x14ac:dyDescent="0.3">
      <c r="A4956" t="s">
        <v>7357</v>
      </c>
      <c r="B4956" t="s">
        <v>287</v>
      </c>
      <c r="C4956" t="s">
        <v>208</v>
      </c>
      <c r="D4956" t="s">
        <v>7358</v>
      </c>
      <c r="E4956" t="s">
        <v>18</v>
      </c>
      <c r="F4956" t="s">
        <v>7359</v>
      </c>
      <c r="G4956" t="s">
        <v>20</v>
      </c>
      <c r="H4956" t="s">
        <v>21</v>
      </c>
      <c r="I4956">
        <v>4500</v>
      </c>
      <c r="J4956">
        <v>5850</v>
      </c>
      <c r="K4956">
        <v>1</v>
      </c>
      <c r="L4956">
        <v>4500</v>
      </c>
      <c r="M4956">
        <v>5850</v>
      </c>
      <c r="N4956" t="s">
        <v>35</v>
      </c>
      <c r="O4956">
        <f t="shared" si="154"/>
        <v>8450</v>
      </c>
      <c r="P4956" s="13">
        <f t="shared" si="155"/>
        <v>2746575</v>
      </c>
      <c r="Q4956" s="13">
        <f>SUMIFS(M:M,E:E,Online_eCommerce[[#This Row],[Status]])</f>
        <v>28340455</v>
      </c>
      <c r="R4956" s="13">
        <f>SUMIFS(L:L,H:H,Online_eCommerce[[#This Row],[Brand]])</f>
        <v>12435650</v>
      </c>
      <c r="S4956" s="13">
        <f>SUMIF(H:H,Online_eCommerce[[#This Row],[Brand]],M:M)</f>
        <v>16166345</v>
      </c>
      <c r="T4956" s="13">
        <f>SUMIF(N:N,Online_eCommerce[[#This Row],[Assigned Supervisor]],L:L)</f>
        <v>14373360</v>
      </c>
    </row>
    <row r="4957" spans="1:20" hidden="1" x14ac:dyDescent="0.3">
      <c r="A4957" t="s">
        <v>7360</v>
      </c>
      <c r="B4957" t="s">
        <v>290</v>
      </c>
      <c r="C4957" t="s">
        <v>211</v>
      </c>
      <c r="D4957" t="s">
        <v>7361</v>
      </c>
      <c r="E4957" t="s">
        <v>161</v>
      </c>
      <c r="F4957" t="s">
        <v>152</v>
      </c>
      <c r="G4957" t="s">
        <v>26</v>
      </c>
      <c r="H4957" t="s">
        <v>27</v>
      </c>
      <c r="I4957">
        <v>8500</v>
      </c>
      <c r="J4957">
        <v>11050</v>
      </c>
      <c r="K4957">
        <v>4</v>
      </c>
      <c r="L4957">
        <v>34000</v>
      </c>
      <c r="M4957">
        <v>44200</v>
      </c>
      <c r="N4957" t="s">
        <v>42</v>
      </c>
      <c r="O4957">
        <f t="shared" si="154"/>
        <v>33150</v>
      </c>
      <c r="P4957" s="13">
        <f t="shared" si="155"/>
        <v>1809847</v>
      </c>
      <c r="Q4957" s="13">
        <f>SUMIFS(M:M,E:E,Online_eCommerce[[#This Row],[Status]])</f>
        <v>21103186</v>
      </c>
      <c r="R4957" s="13">
        <f>SUMIFS(L:L,H:H,Online_eCommerce[[#This Row],[Brand]])</f>
        <v>14431000</v>
      </c>
      <c r="S4957" s="13">
        <f>SUMIF(H:H,Online_eCommerce[[#This Row],[Brand]],M:M)</f>
        <v>18760300</v>
      </c>
      <c r="T4957" s="13">
        <f>SUMIF(N:N,Online_eCommerce[[#This Row],[Assigned Supervisor]],L:L)</f>
        <v>12261500</v>
      </c>
    </row>
    <row r="4958" spans="1:20" x14ac:dyDescent="0.3">
      <c r="A4958" t="s">
        <v>7362</v>
      </c>
      <c r="B4958" t="s">
        <v>15</v>
      </c>
      <c r="C4958" t="s">
        <v>16</v>
      </c>
      <c r="D4958" t="s">
        <v>7363</v>
      </c>
      <c r="E4958" t="s">
        <v>46</v>
      </c>
      <c r="F4958" t="s">
        <v>157</v>
      </c>
      <c r="G4958" t="s">
        <v>33</v>
      </c>
      <c r="H4958" t="s">
        <v>34</v>
      </c>
      <c r="I4958">
        <v>12500</v>
      </c>
      <c r="J4958">
        <v>16250</v>
      </c>
      <c r="K4958">
        <v>2</v>
      </c>
      <c r="L4958">
        <v>25000</v>
      </c>
      <c r="M4958">
        <v>32500</v>
      </c>
      <c r="N4958" t="s">
        <v>50</v>
      </c>
      <c r="O4958">
        <f t="shared" si="154"/>
        <v>18200</v>
      </c>
      <c r="P4958" s="13">
        <f t="shared" si="155"/>
        <v>2751814</v>
      </c>
      <c r="Q4958" s="13">
        <f>SUMIFS(M:M,E:E,Online_eCommerce[[#This Row],[Status]])</f>
        <v>28620410</v>
      </c>
      <c r="R4958" s="13">
        <f>SUMIFS(L:L,H:H,Online_eCommerce[[#This Row],[Brand]])</f>
        <v>10087000</v>
      </c>
      <c r="S4958" s="13">
        <f>SUMIF(H:H,Online_eCommerce[[#This Row],[Brand]],M:M)</f>
        <v>13113100</v>
      </c>
      <c r="T4958" s="13">
        <f>SUMIF(N:N,Online_eCommerce[[#This Row],[Assigned Supervisor]],L:L)</f>
        <v>12100590</v>
      </c>
    </row>
    <row r="4959" spans="1:20" hidden="1" x14ac:dyDescent="0.3">
      <c r="A4959" t="s">
        <v>7364</v>
      </c>
      <c r="B4959" t="s">
        <v>202</v>
      </c>
      <c r="C4959" t="s">
        <v>24</v>
      </c>
      <c r="D4959" t="s">
        <v>7363</v>
      </c>
      <c r="E4959" t="s">
        <v>96</v>
      </c>
      <c r="F4959" t="s">
        <v>6942</v>
      </c>
      <c r="G4959" t="s">
        <v>256</v>
      </c>
      <c r="H4959" t="s">
        <v>41</v>
      </c>
      <c r="I4959">
        <v>3500</v>
      </c>
      <c r="J4959">
        <v>4550</v>
      </c>
      <c r="K4959">
        <v>2</v>
      </c>
      <c r="L4959">
        <v>7000</v>
      </c>
      <c r="M4959">
        <v>9100</v>
      </c>
      <c r="N4959" t="s">
        <v>56</v>
      </c>
      <c r="O4959">
        <f t="shared" si="154"/>
        <v>9100</v>
      </c>
      <c r="P4959" s="13">
        <f t="shared" si="155"/>
        <v>2009540</v>
      </c>
      <c r="Q4959" s="13">
        <f>SUMIFS(M:M,E:E,Online_eCommerce[[#This Row],[Status]])</f>
        <v>21233992</v>
      </c>
      <c r="R4959" s="13">
        <f>SUMIFS(L:L,H:H,Online_eCommerce[[#This Row],[Brand]])</f>
        <v>4260400</v>
      </c>
      <c r="S4959" s="13">
        <f>SUMIF(H:H,Online_eCommerce[[#This Row],[Brand]],M:M)</f>
        <v>5538520</v>
      </c>
      <c r="T4959" s="13">
        <f>SUMIF(N:N,Online_eCommerce[[#This Row],[Assigned Supervisor]],L:L)</f>
        <v>11733610</v>
      </c>
    </row>
    <row r="4960" spans="1:20" hidden="1" x14ac:dyDescent="0.3">
      <c r="A4960" t="s">
        <v>7365</v>
      </c>
      <c r="B4960" t="s">
        <v>30</v>
      </c>
      <c r="C4960" t="s">
        <v>31</v>
      </c>
      <c r="D4960" t="s">
        <v>7363</v>
      </c>
      <c r="E4960" t="s">
        <v>18</v>
      </c>
      <c r="F4960" t="s">
        <v>166</v>
      </c>
      <c r="G4960" t="s">
        <v>259</v>
      </c>
      <c r="H4960" t="s">
        <v>49</v>
      </c>
      <c r="I4960">
        <v>4500</v>
      </c>
      <c r="J4960">
        <v>5850</v>
      </c>
      <c r="K4960">
        <v>2</v>
      </c>
      <c r="L4960">
        <v>9000</v>
      </c>
      <c r="M4960">
        <v>11700</v>
      </c>
      <c r="N4960" t="s">
        <v>22</v>
      </c>
      <c r="O4960">
        <f t="shared" si="154"/>
        <v>11700</v>
      </c>
      <c r="P4960" s="13">
        <f t="shared" si="155"/>
        <v>2865746</v>
      </c>
      <c r="Q4960" s="13">
        <f>SUMIFS(M:M,E:E,Online_eCommerce[[#This Row],[Status]])</f>
        <v>28340455</v>
      </c>
      <c r="R4960" s="13">
        <f>SUMIFS(L:L,H:H,Online_eCommerce[[#This Row],[Brand]])</f>
        <v>4528350</v>
      </c>
      <c r="S4960" s="13">
        <f>SUMIF(H:H,Online_eCommerce[[#This Row],[Brand]],M:M)</f>
        <v>5886855</v>
      </c>
      <c r="T4960" s="13">
        <f>SUMIF(N:N,Online_eCommerce[[#This Row],[Assigned Supervisor]],L:L)</f>
        <v>13693220</v>
      </c>
    </row>
    <row r="4961" spans="1:20" hidden="1" x14ac:dyDescent="0.3">
      <c r="A4961" t="s">
        <v>7366</v>
      </c>
      <c r="B4961" t="s">
        <v>37</v>
      </c>
      <c r="C4961" t="s">
        <v>38</v>
      </c>
      <c r="D4961" t="s">
        <v>7363</v>
      </c>
      <c r="E4961" t="s">
        <v>161</v>
      </c>
      <c r="F4961" t="s">
        <v>7367</v>
      </c>
      <c r="G4961" t="s">
        <v>54</v>
      </c>
      <c r="H4961" t="s">
        <v>55</v>
      </c>
      <c r="I4961">
        <v>2100</v>
      </c>
      <c r="J4961">
        <v>2730</v>
      </c>
      <c r="K4961">
        <v>3</v>
      </c>
      <c r="L4961">
        <v>6300</v>
      </c>
      <c r="M4961">
        <v>8190</v>
      </c>
      <c r="N4961" t="s">
        <v>28</v>
      </c>
      <c r="O4961">
        <f t="shared" si="154"/>
        <v>2990</v>
      </c>
      <c r="P4961" s="13">
        <f t="shared" si="155"/>
        <v>1933997</v>
      </c>
      <c r="Q4961" s="13">
        <f>SUMIFS(M:M,E:E,Online_eCommerce[[#This Row],[Status]])</f>
        <v>21103186</v>
      </c>
      <c r="R4961" s="13">
        <f>SUMIFS(L:L,H:H,Online_eCommerce[[#This Row],[Brand]])</f>
        <v>2267380</v>
      </c>
      <c r="S4961" s="13">
        <f>SUMIF(H:H,Online_eCommerce[[#This Row],[Brand]],M:M)</f>
        <v>2947594</v>
      </c>
      <c r="T4961" s="13">
        <f>SUMIF(N:N,Online_eCommerce[[#This Row],[Assigned Supervisor]],L:L)</f>
        <v>12220830</v>
      </c>
    </row>
    <row r="4962" spans="1:20" x14ac:dyDescent="0.3">
      <c r="A4962" t="s">
        <v>7368</v>
      </c>
      <c r="B4962" t="s">
        <v>44</v>
      </c>
      <c r="C4962" t="s">
        <v>45</v>
      </c>
      <c r="D4962" t="s">
        <v>7363</v>
      </c>
      <c r="E4962" t="s">
        <v>46</v>
      </c>
      <c r="F4962" t="s">
        <v>174</v>
      </c>
      <c r="G4962" t="s">
        <v>60</v>
      </c>
      <c r="H4962" t="s">
        <v>61</v>
      </c>
      <c r="I4962">
        <v>1150</v>
      </c>
      <c r="J4962">
        <v>1495</v>
      </c>
      <c r="K4962">
        <v>4</v>
      </c>
      <c r="L4962">
        <v>4600</v>
      </c>
      <c r="M4962">
        <v>5980</v>
      </c>
      <c r="N4962" t="s">
        <v>35</v>
      </c>
      <c r="O4962">
        <f t="shared" si="154"/>
        <v>3315</v>
      </c>
      <c r="P4962" s="13">
        <f t="shared" si="155"/>
        <v>2842554</v>
      </c>
      <c r="Q4962" s="13">
        <f>SUMIFS(M:M,E:E,Online_eCommerce[[#This Row],[Status]])</f>
        <v>28620410</v>
      </c>
      <c r="R4962" s="13">
        <f>SUMIFS(L:L,H:H,Online_eCommerce[[#This Row],[Brand]])</f>
        <v>10950150</v>
      </c>
      <c r="S4962" s="13">
        <f>SUMIF(H:H,Online_eCommerce[[#This Row],[Brand]],M:M)</f>
        <v>14235195</v>
      </c>
      <c r="T4962" s="13">
        <f>SUMIF(N:N,Online_eCommerce[[#This Row],[Assigned Supervisor]],L:L)</f>
        <v>14373360</v>
      </c>
    </row>
    <row r="4963" spans="1:20" hidden="1" x14ac:dyDescent="0.3">
      <c r="A4963" t="s">
        <v>7369</v>
      </c>
      <c r="B4963" t="s">
        <v>213</v>
      </c>
      <c r="C4963" t="s">
        <v>52</v>
      </c>
      <c r="D4963" t="s">
        <v>7363</v>
      </c>
      <c r="E4963" t="s">
        <v>96</v>
      </c>
      <c r="F4963" t="s">
        <v>179</v>
      </c>
      <c r="G4963" t="s">
        <v>66</v>
      </c>
      <c r="H4963" t="s">
        <v>21</v>
      </c>
      <c r="I4963">
        <v>350</v>
      </c>
      <c r="J4963">
        <v>455</v>
      </c>
      <c r="K4963">
        <v>1</v>
      </c>
      <c r="L4963">
        <v>350</v>
      </c>
      <c r="M4963">
        <v>455</v>
      </c>
      <c r="N4963" t="s">
        <v>42</v>
      </c>
      <c r="O4963">
        <f t="shared" si="154"/>
        <v>1690</v>
      </c>
      <c r="P4963" s="13">
        <f t="shared" si="155"/>
        <v>1955044</v>
      </c>
      <c r="Q4963" s="13">
        <f>SUMIFS(M:M,E:E,Online_eCommerce[[#This Row],[Status]])</f>
        <v>21233992</v>
      </c>
      <c r="R4963" s="13">
        <f>SUMIFS(L:L,H:H,Online_eCommerce[[#This Row],[Brand]])</f>
        <v>12435650</v>
      </c>
      <c r="S4963" s="13">
        <f>SUMIF(H:H,Online_eCommerce[[#This Row],[Brand]],M:M)</f>
        <v>16166345</v>
      </c>
      <c r="T4963" s="13">
        <f>SUMIF(N:N,Online_eCommerce[[#This Row],[Assigned Supervisor]],L:L)</f>
        <v>12261500</v>
      </c>
    </row>
    <row r="4964" spans="1:20" hidden="1" x14ac:dyDescent="0.3">
      <c r="A4964" t="s">
        <v>7370</v>
      </c>
      <c r="B4964" t="s">
        <v>215</v>
      </c>
      <c r="C4964" t="s">
        <v>58</v>
      </c>
      <c r="D4964" t="s">
        <v>7363</v>
      </c>
      <c r="E4964" t="s">
        <v>18</v>
      </c>
      <c r="F4964" t="s">
        <v>183</v>
      </c>
      <c r="G4964" t="s">
        <v>71</v>
      </c>
      <c r="H4964" t="s">
        <v>61</v>
      </c>
      <c r="I4964">
        <v>9500</v>
      </c>
      <c r="J4964">
        <v>12350</v>
      </c>
      <c r="K4964">
        <v>1</v>
      </c>
      <c r="L4964">
        <v>9500</v>
      </c>
      <c r="M4964">
        <v>12350</v>
      </c>
      <c r="N4964" t="s">
        <v>50</v>
      </c>
      <c r="O4964">
        <f t="shared" si="154"/>
        <v>9750</v>
      </c>
      <c r="P4964" s="13">
        <f t="shared" si="155"/>
        <v>2629211</v>
      </c>
      <c r="Q4964" s="13">
        <f>SUMIFS(M:M,E:E,Online_eCommerce[[#This Row],[Status]])</f>
        <v>28340455</v>
      </c>
      <c r="R4964" s="13">
        <f>SUMIFS(L:L,H:H,Online_eCommerce[[#This Row],[Brand]])</f>
        <v>10950150</v>
      </c>
      <c r="S4964" s="13">
        <f>SUMIF(H:H,Online_eCommerce[[#This Row],[Brand]],M:M)</f>
        <v>14235195</v>
      </c>
      <c r="T4964" s="13">
        <f>SUMIF(N:N,Online_eCommerce[[#This Row],[Assigned Supervisor]],L:L)</f>
        <v>12100590</v>
      </c>
    </row>
    <row r="4965" spans="1:20" hidden="1" x14ac:dyDescent="0.3">
      <c r="A4965" t="s">
        <v>7371</v>
      </c>
      <c r="B4965" t="s">
        <v>306</v>
      </c>
      <c r="C4965" t="s">
        <v>63</v>
      </c>
      <c r="D4965" t="s">
        <v>7363</v>
      </c>
      <c r="E4965" t="s">
        <v>161</v>
      </c>
      <c r="F4965" t="s">
        <v>7372</v>
      </c>
      <c r="G4965" t="s">
        <v>77</v>
      </c>
      <c r="H4965" t="s">
        <v>142</v>
      </c>
      <c r="I4965">
        <v>10000</v>
      </c>
      <c r="J4965">
        <v>13000</v>
      </c>
      <c r="K4965">
        <v>2</v>
      </c>
      <c r="L4965">
        <v>20000</v>
      </c>
      <c r="M4965">
        <v>26000</v>
      </c>
      <c r="N4965" t="s">
        <v>56</v>
      </c>
      <c r="O4965">
        <f t="shared" si="154"/>
        <v>39000</v>
      </c>
      <c r="P4965" s="13">
        <f t="shared" si="155"/>
        <v>2016131</v>
      </c>
      <c r="Q4965" s="13">
        <f>SUMIFS(M:M,E:E,Online_eCommerce[[#This Row],[Status]])</f>
        <v>21103186</v>
      </c>
      <c r="R4965" s="13">
        <f>SUMIFS(L:L,H:H,Online_eCommerce[[#This Row],[Brand]])</f>
        <v>6192500</v>
      </c>
      <c r="S4965" s="13">
        <f>SUMIF(H:H,Online_eCommerce[[#This Row],[Brand]],M:M)</f>
        <v>8050250</v>
      </c>
      <c r="T4965" s="13">
        <f>SUMIF(N:N,Online_eCommerce[[#This Row],[Assigned Supervisor]],L:L)</f>
        <v>11733610</v>
      </c>
    </row>
    <row r="4966" spans="1:20" x14ac:dyDescent="0.3">
      <c r="A4966" t="s">
        <v>7373</v>
      </c>
      <c r="B4966" t="s">
        <v>528</v>
      </c>
      <c r="C4966" t="s">
        <v>68</v>
      </c>
      <c r="D4966" t="s">
        <v>7363</v>
      </c>
      <c r="E4966" t="s">
        <v>46</v>
      </c>
      <c r="F4966" t="s">
        <v>7374</v>
      </c>
      <c r="G4966" t="s">
        <v>20</v>
      </c>
      <c r="H4966" t="s">
        <v>21</v>
      </c>
      <c r="I4966">
        <v>6500</v>
      </c>
      <c r="J4966">
        <v>8450</v>
      </c>
      <c r="K4966">
        <v>3</v>
      </c>
      <c r="L4966">
        <v>19500</v>
      </c>
      <c r="M4966">
        <v>25350</v>
      </c>
      <c r="N4966" t="s">
        <v>22</v>
      </c>
      <c r="O4966">
        <f t="shared" si="154"/>
        <v>8450</v>
      </c>
      <c r="P4966" s="13">
        <f t="shared" si="155"/>
        <v>2974621</v>
      </c>
      <c r="Q4966" s="13">
        <f>SUMIFS(M:M,E:E,Online_eCommerce[[#This Row],[Status]])</f>
        <v>28620410</v>
      </c>
      <c r="R4966" s="13">
        <f>SUMIFS(L:L,H:H,Online_eCommerce[[#This Row],[Brand]])</f>
        <v>12435650</v>
      </c>
      <c r="S4966" s="13">
        <f>SUMIF(H:H,Online_eCommerce[[#This Row],[Brand]],M:M)</f>
        <v>16166345</v>
      </c>
      <c r="T4966" s="13">
        <f>SUMIF(N:N,Online_eCommerce[[#This Row],[Assigned Supervisor]],L:L)</f>
        <v>13693220</v>
      </c>
    </row>
    <row r="4967" spans="1:20" hidden="1" x14ac:dyDescent="0.3">
      <c r="A4967" t="s">
        <v>7375</v>
      </c>
      <c r="B4967" t="s">
        <v>73</v>
      </c>
      <c r="C4967" t="s">
        <v>74</v>
      </c>
      <c r="D4967" t="s">
        <v>7363</v>
      </c>
      <c r="E4967" t="s">
        <v>96</v>
      </c>
      <c r="F4967" t="s">
        <v>7376</v>
      </c>
      <c r="G4967" t="s">
        <v>26</v>
      </c>
      <c r="H4967" t="s">
        <v>27</v>
      </c>
      <c r="I4967">
        <v>8500</v>
      </c>
      <c r="J4967">
        <v>11050</v>
      </c>
      <c r="K4967">
        <v>4</v>
      </c>
      <c r="L4967">
        <v>34000</v>
      </c>
      <c r="M4967">
        <v>44200</v>
      </c>
      <c r="N4967" t="s">
        <v>28</v>
      </c>
      <c r="O4967">
        <f t="shared" si="154"/>
        <v>33150</v>
      </c>
      <c r="P4967" s="13">
        <f t="shared" si="155"/>
        <v>2144701</v>
      </c>
      <c r="Q4967" s="13">
        <f>SUMIFS(M:M,E:E,Online_eCommerce[[#This Row],[Status]])</f>
        <v>21233992</v>
      </c>
      <c r="R4967" s="13">
        <f>SUMIFS(L:L,H:H,Online_eCommerce[[#This Row],[Brand]])</f>
        <v>14431000</v>
      </c>
      <c r="S4967" s="13">
        <f>SUMIF(H:H,Online_eCommerce[[#This Row],[Brand]],M:M)</f>
        <v>18760300</v>
      </c>
      <c r="T4967" s="13">
        <f>SUMIF(N:N,Online_eCommerce[[#This Row],[Assigned Supervisor]],L:L)</f>
        <v>12220830</v>
      </c>
    </row>
    <row r="4968" spans="1:20" hidden="1" x14ac:dyDescent="0.3">
      <c r="A4968" t="s">
        <v>7377</v>
      </c>
      <c r="B4968" t="s">
        <v>80</v>
      </c>
      <c r="C4968" t="s">
        <v>81</v>
      </c>
      <c r="D4968" t="s">
        <v>7363</v>
      </c>
      <c r="E4968" t="s">
        <v>18</v>
      </c>
      <c r="F4968" t="s">
        <v>32</v>
      </c>
      <c r="G4968" t="s">
        <v>33</v>
      </c>
      <c r="H4968" t="s">
        <v>34</v>
      </c>
      <c r="I4968">
        <v>7000</v>
      </c>
      <c r="J4968">
        <v>9100</v>
      </c>
      <c r="K4968">
        <v>4</v>
      </c>
      <c r="L4968">
        <v>28000</v>
      </c>
      <c r="M4968">
        <v>36400</v>
      </c>
      <c r="N4968" t="s">
        <v>35</v>
      </c>
      <c r="O4968">
        <f t="shared" si="154"/>
        <v>18200</v>
      </c>
      <c r="P4968" s="13">
        <f t="shared" si="155"/>
        <v>2595632</v>
      </c>
      <c r="Q4968" s="13">
        <f>SUMIFS(M:M,E:E,Online_eCommerce[[#This Row],[Status]])</f>
        <v>28340455</v>
      </c>
      <c r="R4968" s="13">
        <f>SUMIFS(L:L,H:H,Online_eCommerce[[#This Row],[Brand]])</f>
        <v>10087000</v>
      </c>
      <c r="S4968" s="13">
        <f>SUMIF(H:H,Online_eCommerce[[#This Row],[Brand]],M:M)</f>
        <v>13113100</v>
      </c>
      <c r="T4968" s="13">
        <f>SUMIF(N:N,Online_eCommerce[[#This Row],[Assigned Supervisor]],L:L)</f>
        <v>14373360</v>
      </c>
    </row>
    <row r="4969" spans="1:20" hidden="1" x14ac:dyDescent="0.3">
      <c r="A4969" t="s">
        <v>7378</v>
      </c>
      <c r="B4969" t="s">
        <v>85</v>
      </c>
      <c r="C4969" t="s">
        <v>86</v>
      </c>
      <c r="D4969" t="s">
        <v>7363</v>
      </c>
      <c r="E4969" t="s">
        <v>161</v>
      </c>
      <c r="F4969" t="s">
        <v>7379</v>
      </c>
      <c r="G4969" t="s">
        <v>256</v>
      </c>
      <c r="H4969" t="s">
        <v>41</v>
      </c>
      <c r="I4969">
        <v>6550</v>
      </c>
      <c r="J4969">
        <v>8515</v>
      </c>
      <c r="K4969">
        <v>3</v>
      </c>
      <c r="L4969">
        <v>19650</v>
      </c>
      <c r="M4969">
        <v>25545</v>
      </c>
      <c r="N4969" t="s">
        <v>42</v>
      </c>
      <c r="O4969">
        <f t="shared" si="154"/>
        <v>9100</v>
      </c>
      <c r="P4969" s="13">
        <f t="shared" si="155"/>
        <v>1941225</v>
      </c>
      <c r="Q4969" s="13">
        <f>SUMIFS(M:M,E:E,Online_eCommerce[[#This Row],[Status]])</f>
        <v>21103186</v>
      </c>
      <c r="R4969" s="13">
        <f>SUMIFS(L:L,H:H,Online_eCommerce[[#This Row],[Brand]])</f>
        <v>4260400</v>
      </c>
      <c r="S4969" s="13">
        <f>SUMIF(H:H,Online_eCommerce[[#This Row],[Brand]],M:M)</f>
        <v>5538520</v>
      </c>
      <c r="T4969" s="13">
        <f>SUMIF(N:N,Online_eCommerce[[#This Row],[Assigned Supervisor]],L:L)</f>
        <v>12261500</v>
      </c>
    </row>
    <row r="4970" spans="1:20" x14ac:dyDescent="0.3">
      <c r="A4970" t="s">
        <v>7380</v>
      </c>
      <c r="B4970" t="s">
        <v>90</v>
      </c>
      <c r="C4970" t="s">
        <v>91</v>
      </c>
      <c r="D4970" t="s">
        <v>7363</v>
      </c>
      <c r="E4970" t="s">
        <v>46</v>
      </c>
      <c r="F4970" t="s">
        <v>47</v>
      </c>
      <c r="G4970" t="s">
        <v>259</v>
      </c>
      <c r="H4970" t="s">
        <v>49</v>
      </c>
      <c r="I4970">
        <v>7650</v>
      </c>
      <c r="J4970">
        <v>9945</v>
      </c>
      <c r="K4970">
        <v>1</v>
      </c>
      <c r="L4970">
        <v>7650</v>
      </c>
      <c r="M4970">
        <v>9945</v>
      </c>
      <c r="N4970" t="s">
        <v>50</v>
      </c>
      <c r="O4970">
        <f t="shared" si="154"/>
        <v>11700</v>
      </c>
      <c r="P4970" s="13">
        <f t="shared" si="155"/>
        <v>2731963</v>
      </c>
      <c r="Q4970" s="13">
        <f>SUMIFS(M:M,E:E,Online_eCommerce[[#This Row],[Status]])</f>
        <v>28620410</v>
      </c>
      <c r="R4970" s="13">
        <f>SUMIFS(L:L,H:H,Online_eCommerce[[#This Row],[Brand]])</f>
        <v>4528350</v>
      </c>
      <c r="S4970" s="13">
        <f>SUMIF(H:H,Online_eCommerce[[#This Row],[Brand]],M:M)</f>
        <v>5886855</v>
      </c>
      <c r="T4970" s="13">
        <f>SUMIF(N:N,Online_eCommerce[[#This Row],[Assigned Supervisor]],L:L)</f>
        <v>12100590</v>
      </c>
    </row>
    <row r="4971" spans="1:20" hidden="1" x14ac:dyDescent="0.3">
      <c r="A4971" t="s">
        <v>7381</v>
      </c>
      <c r="B4971" t="s">
        <v>232</v>
      </c>
      <c r="C4971" t="s">
        <v>94</v>
      </c>
      <c r="D4971" t="s">
        <v>7382</v>
      </c>
      <c r="E4971" t="s">
        <v>96</v>
      </c>
      <c r="F4971" t="s">
        <v>53</v>
      </c>
      <c r="G4971" t="s">
        <v>54</v>
      </c>
      <c r="H4971" t="s">
        <v>55</v>
      </c>
      <c r="I4971">
        <v>1150</v>
      </c>
      <c r="J4971">
        <v>1495</v>
      </c>
      <c r="K4971">
        <v>2</v>
      </c>
      <c r="L4971">
        <v>2300</v>
      </c>
      <c r="M4971">
        <v>2990</v>
      </c>
      <c r="N4971" t="s">
        <v>56</v>
      </c>
      <c r="O4971">
        <f t="shared" si="154"/>
        <v>2990</v>
      </c>
      <c r="P4971" s="13">
        <f t="shared" si="155"/>
        <v>1868256</v>
      </c>
      <c r="Q4971" s="13">
        <f>SUMIFS(M:M,E:E,Online_eCommerce[[#This Row],[Status]])</f>
        <v>21233992</v>
      </c>
      <c r="R4971" s="13">
        <f>SUMIFS(L:L,H:H,Online_eCommerce[[#This Row],[Brand]])</f>
        <v>2267380</v>
      </c>
      <c r="S4971" s="13">
        <f>SUMIF(H:H,Online_eCommerce[[#This Row],[Brand]],M:M)</f>
        <v>2947594</v>
      </c>
      <c r="T4971" s="13">
        <f>SUMIF(N:N,Online_eCommerce[[#This Row],[Assigned Supervisor]],L:L)</f>
        <v>11733610</v>
      </c>
    </row>
    <row r="4972" spans="1:20" hidden="1" x14ac:dyDescent="0.3">
      <c r="A4972" t="s">
        <v>7383</v>
      </c>
      <c r="B4972" t="s">
        <v>235</v>
      </c>
      <c r="C4972" t="s">
        <v>99</v>
      </c>
      <c r="D4972" t="s">
        <v>7384</v>
      </c>
      <c r="E4972" t="s">
        <v>18</v>
      </c>
      <c r="F4972" t="s">
        <v>59</v>
      </c>
      <c r="G4972" t="s">
        <v>60</v>
      </c>
      <c r="H4972" t="s">
        <v>61</v>
      </c>
      <c r="I4972">
        <v>850</v>
      </c>
      <c r="J4972">
        <v>1105</v>
      </c>
      <c r="K4972">
        <v>3</v>
      </c>
      <c r="L4972">
        <v>2550</v>
      </c>
      <c r="M4972">
        <v>3315</v>
      </c>
      <c r="N4972" t="s">
        <v>22</v>
      </c>
      <c r="O4972">
        <f t="shared" si="154"/>
        <v>3315</v>
      </c>
      <c r="P4972" s="13">
        <f t="shared" si="155"/>
        <v>2651233</v>
      </c>
      <c r="Q4972" s="13">
        <f>SUMIFS(M:M,E:E,Online_eCommerce[[#This Row],[Status]])</f>
        <v>28340455</v>
      </c>
      <c r="R4972" s="13">
        <f>SUMIFS(L:L,H:H,Online_eCommerce[[#This Row],[Brand]])</f>
        <v>10950150</v>
      </c>
      <c r="S4972" s="13">
        <f>SUMIF(H:H,Online_eCommerce[[#This Row],[Brand]],M:M)</f>
        <v>14235195</v>
      </c>
      <c r="T4972" s="13">
        <f>SUMIF(N:N,Online_eCommerce[[#This Row],[Assigned Supervisor]],L:L)</f>
        <v>13693220</v>
      </c>
    </row>
    <row r="4973" spans="1:20" hidden="1" x14ac:dyDescent="0.3">
      <c r="A4973" t="s">
        <v>7385</v>
      </c>
      <c r="B4973" t="s">
        <v>104</v>
      </c>
      <c r="C4973" t="s">
        <v>105</v>
      </c>
      <c r="D4973" t="s">
        <v>7386</v>
      </c>
      <c r="E4973" t="s">
        <v>161</v>
      </c>
      <c r="F4973" t="s">
        <v>65</v>
      </c>
      <c r="G4973" t="s">
        <v>66</v>
      </c>
      <c r="H4973" t="s">
        <v>21</v>
      </c>
      <c r="I4973">
        <v>650</v>
      </c>
      <c r="J4973">
        <v>845</v>
      </c>
      <c r="K4973">
        <v>3</v>
      </c>
      <c r="L4973">
        <v>1950</v>
      </c>
      <c r="M4973">
        <v>2535</v>
      </c>
      <c r="N4973" t="s">
        <v>28</v>
      </c>
      <c r="O4973">
        <f t="shared" si="154"/>
        <v>1690</v>
      </c>
      <c r="P4973" s="13">
        <f t="shared" si="155"/>
        <v>1866852</v>
      </c>
      <c r="Q4973" s="13">
        <f>SUMIFS(M:M,E:E,Online_eCommerce[[#This Row],[Status]])</f>
        <v>21103186</v>
      </c>
      <c r="R4973" s="13">
        <f>SUMIFS(L:L,H:H,Online_eCommerce[[#This Row],[Brand]])</f>
        <v>12435650</v>
      </c>
      <c r="S4973" s="13">
        <f>SUMIF(H:H,Online_eCommerce[[#This Row],[Brand]],M:M)</f>
        <v>16166345</v>
      </c>
      <c r="T4973" s="13">
        <f>SUMIF(N:N,Online_eCommerce[[#This Row],[Assigned Supervisor]],L:L)</f>
        <v>12220830</v>
      </c>
    </row>
    <row r="4974" spans="1:20" x14ac:dyDescent="0.3">
      <c r="A4974" t="s">
        <v>7387</v>
      </c>
      <c r="B4974" t="s">
        <v>109</v>
      </c>
      <c r="C4974" t="s">
        <v>110</v>
      </c>
      <c r="D4974" t="s">
        <v>7388</v>
      </c>
      <c r="E4974" t="s">
        <v>46</v>
      </c>
      <c r="F4974" t="s">
        <v>70</v>
      </c>
      <c r="G4974" t="s">
        <v>71</v>
      </c>
      <c r="H4974" t="s">
        <v>61</v>
      </c>
      <c r="I4974">
        <v>7500</v>
      </c>
      <c r="J4974">
        <v>9750</v>
      </c>
      <c r="K4974">
        <v>1</v>
      </c>
      <c r="L4974">
        <v>7500</v>
      </c>
      <c r="M4974">
        <v>9750</v>
      </c>
      <c r="N4974" t="s">
        <v>35</v>
      </c>
      <c r="O4974">
        <f t="shared" si="154"/>
        <v>9750</v>
      </c>
      <c r="P4974" s="13">
        <f t="shared" si="155"/>
        <v>2598635</v>
      </c>
      <c r="Q4974" s="13">
        <f>SUMIFS(M:M,E:E,Online_eCommerce[[#This Row],[Status]])</f>
        <v>28620410</v>
      </c>
      <c r="R4974" s="13">
        <f>SUMIFS(L:L,H:H,Online_eCommerce[[#This Row],[Brand]])</f>
        <v>10950150</v>
      </c>
      <c r="S4974" s="13">
        <f>SUMIF(H:H,Online_eCommerce[[#This Row],[Brand]],M:M)</f>
        <v>14235195</v>
      </c>
      <c r="T4974" s="13">
        <f>SUMIF(N:N,Online_eCommerce[[#This Row],[Assigned Supervisor]],L:L)</f>
        <v>14373360</v>
      </c>
    </row>
    <row r="4975" spans="1:20" hidden="1" x14ac:dyDescent="0.3">
      <c r="A4975" t="s">
        <v>7389</v>
      </c>
      <c r="B4975" t="s">
        <v>114</v>
      </c>
      <c r="C4975" t="s">
        <v>115</v>
      </c>
      <c r="D4975" t="s">
        <v>7390</v>
      </c>
      <c r="E4975" t="s">
        <v>96</v>
      </c>
      <c r="F4975" t="s">
        <v>7372</v>
      </c>
      <c r="G4975" t="s">
        <v>77</v>
      </c>
      <c r="H4975" t="s">
        <v>78</v>
      </c>
      <c r="I4975">
        <v>10000</v>
      </c>
      <c r="J4975">
        <v>13000</v>
      </c>
      <c r="K4975">
        <v>3</v>
      </c>
      <c r="L4975">
        <v>30000</v>
      </c>
      <c r="M4975">
        <v>39000</v>
      </c>
      <c r="N4975" t="s">
        <v>42</v>
      </c>
      <c r="O4975">
        <f t="shared" si="154"/>
        <v>39000</v>
      </c>
      <c r="P4975" s="13">
        <f t="shared" si="155"/>
        <v>2050178</v>
      </c>
      <c r="Q4975" s="13">
        <f>SUMIFS(M:M,E:E,Online_eCommerce[[#This Row],[Status]])</f>
        <v>21233992</v>
      </c>
      <c r="R4975" s="13">
        <f>SUMIFS(L:L,H:H,Online_eCommerce[[#This Row],[Brand]])</f>
        <v>3720000</v>
      </c>
      <c r="S4975" s="13">
        <f>SUMIF(H:H,Online_eCommerce[[#This Row],[Brand]],M:M)</f>
        <v>4836000</v>
      </c>
      <c r="T4975" s="13">
        <f>SUMIF(N:N,Online_eCommerce[[#This Row],[Assigned Supervisor]],L:L)</f>
        <v>12261500</v>
      </c>
    </row>
    <row r="4976" spans="1:20" hidden="1" x14ac:dyDescent="0.3">
      <c r="A4976" t="s">
        <v>7391</v>
      </c>
      <c r="B4976" t="s">
        <v>119</v>
      </c>
      <c r="C4976" t="s">
        <v>120</v>
      </c>
      <c r="D4976" t="s">
        <v>7390</v>
      </c>
      <c r="E4976" t="s">
        <v>18</v>
      </c>
      <c r="F4976" t="s">
        <v>7392</v>
      </c>
      <c r="G4976" t="s">
        <v>20</v>
      </c>
      <c r="H4976" t="s">
        <v>21</v>
      </c>
      <c r="I4976">
        <v>10500</v>
      </c>
      <c r="J4976">
        <v>13650</v>
      </c>
      <c r="K4976">
        <v>1</v>
      </c>
      <c r="L4976">
        <v>10500</v>
      </c>
      <c r="M4976">
        <v>13650</v>
      </c>
      <c r="N4976" t="s">
        <v>50</v>
      </c>
      <c r="O4976">
        <f t="shared" si="154"/>
        <v>8450</v>
      </c>
      <c r="P4976" s="13">
        <f t="shared" si="155"/>
        <v>2734212</v>
      </c>
      <c r="Q4976" s="13">
        <f>SUMIFS(M:M,E:E,Online_eCommerce[[#This Row],[Status]])</f>
        <v>28340455</v>
      </c>
      <c r="R4976" s="13">
        <f>SUMIFS(L:L,H:H,Online_eCommerce[[#This Row],[Brand]])</f>
        <v>12435650</v>
      </c>
      <c r="S4976" s="13">
        <f>SUMIF(H:H,Online_eCommerce[[#This Row],[Brand]],M:M)</f>
        <v>16166345</v>
      </c>
      <c r="T4976" s="13">
        <f>SUMIF(N:N,Online_eCommerce[[#This Row],[Assigned Supervisor]],L:L)</f>
        <v>12100590</v>
      </c>
    </row>
    <row r="4977" spans="1:20" hidden="1" x14ac:dyDescent="0.3">
      <c r="A4977" t="s">
        <v>7393</v>
      </c>
      <c r="B4977" t="s">
        <v>124</v>
      </c>
      <c r="C4977" t="s">
        <v>125</v>
      </c>
      <c r="D4977" t="s">
        <v>7390</v>
      </c>
      <c r="E4977" t="s">
        <v>161</v>
      </c>
      <c r="F4977" t="s">
        <v>88</v>
      </c>
      <c r="G4977" t="s">
        <v>26</v>
      </c>
      <c r="H4977" t="s">
        <v>27</v>
      </c>
      <c r="I4977">
        <v>8500</v>
      </c>
      <c r="J4977">
        <v>11050</v>
      </c>
      <c r="K4977">
        <v>3</v>
      </c>
      <c r="L4977">
        <v>25500</v>
      </c>
      <c r="M4977">
        <v>33150</v>
      </c>
      <c r="N4977" t="s">
        <v>56</v>
      </c>
      <c r="O4977">
        <f t="shared" si="154"/>
        <v>33150</v>
      </c>
      <c r="P4977" s="13">
        <f t="shared" si="155"/>
        <v>2091154</v>
      </c>
      <c r="Q4977" s="13">
        <f>SUMIFS(M:M,E:E,Online_eCommerce[[#This Row],[Status]])</f>
        <v>21103186</v>
      </c>
      <c r="R4977" s="13">
        <f>SUMIFS(L:L,H:H,Online_eCommerce[[#This Row],[Brand]])</f>
        <v>14431000</v>
      </c>
      <c r="S4977" s="13">
        <f>SUMIF(H:H,Online_eCommerce[[#This Row],[Brand]],M:M)</f>
        <v>18760300</v>
      </c>
      <c r="T4977" s="13">
        <f>SUMIF(N:N,Online_eCommerce[[#This Row],[Assigned Supervisor]],L:L)</f>
        <v>11733610</v>
      </c>
    </row>
    <row r="4978" spans="1:20" x14ac:dyDescent="0.3">
      <c r="A4978" t="s">
        <v>7394</v>
      </c>
      <c r="B4978" t="s">
        <v>128</v>
      </c>
      <c r="C4978" t="s">
        <v>22</v>
      </c>
      <c r="D4978" t="s">
        <v>7390</v>
      </c>
      <c r="E4978" t="s">
        <v>46</v>
      </c>
      <c r="F4978" t="s">
        <v>32</v>
      </c>
      <c r="G4978" t="s">
        <v>33</v>
      </c>
      <c r="H4978" t="s">
        <v>34</v>
      </c>
      <c r="I4978">
        <v>7000</v>
      </c>
      <c r="J4978">
        <v>9100</v>
      </c>
      <c r="K4978">
        <v>4</v>
      </c>
      <c r="L4978">
        <v>28000</v>
      </c>
      <c r="M4978">
        <v>36400</v>
      </c>
      <c r="N4978" t="s">
        <v>22</v>
      </c>
      <c r="O4978">
        <f t="shared" si="154"/>
        <v>18200</v>
      </c>
      <c r="P4978" s="13">
        <f t="shared" si="155"/>
        <v>2551588</v>
      </c>
      <c r="Q4978" s="13">
        <f>SUMIFS(M:M,E:E,Online_eCommerce[[#This Row],[Status]])</f>
        <v>28620410</v>
      </c>
      <c r="R4978" s="13">
        <f>SUMIFS(L:L,H:H,Online_eCommerce[[#This Row],[Brand]])</f>
        <v>10087000</v>
      </c>
      <c r="S4978" s="13">
        <f>SUMIF(H:H,Online_eCommerce[[#This Row],[Brand]],M:M)</f>
        <v>13113100</v>
      </c>
      <c r="T4978" s="13">
        <f>SUMIF(N:N,Online_eCommerce[[#This Row],[Assigned Supervisor]],L:L)</f>
        <v>13693220</v>
      </c>
    </row>
    <row r="4979" spans="1:20" hidden="1" x14ac:dyDescent="0.3">
      <c r="A4979" t="s">
        <v>7395</v>
      </c>
      <c r="B4979" t="s">
        <v>131</v>
      </c>
      <c r="C4979" t="s">
        <v>132</v>
      </c>
      <c r="D4979" t="s">
        <v>7390</v>
      </c>
      <c r="E4979" t="s">
        <v>96</v>
      </c>
      <c r="F4979" t="s">
        <v>7396</v>
      </c>
      <c r="G4979" t="s">
        <v>256</v>
      </c>
      <c r="H4979" t="s">
        <v>41</v>
      </c>
      <c r="I4979">
        <v>1680</v>
      </c>
      <c r="J4979">
        <v>2184</v>
      </c>
      <c r="K4979">
        <v>2</v>
      </c>
      <c r="L4979">
        <v>3360</v>
      </c>
      <c r="M4979">
        <v>4368</v>
      </c>
      <c r="N4979" t="s">
        <v>28</v>
      </c>
      <c r="O4979">
        <f t="shared" si="154"/>
        <v>9100</v>
      </c>
      <c r="P4979" s="13">
        <f t="shared" si="155"/>
        <v>1989065</v>
      </c>
      <c r="Q4979" s="13">
        <f>SUMIFS(M:M,E:E,Online_eCommerce[[#This Row],[Status]])</f>
        <v>21233992</v>
      </c>
      <c r="R4979" s="13">
        <f>SUMIFS(L:L,H:H,Online_eCommerce[[#This Row],[Brand]])</f>
        <v>4260400</v>
      </c>
      <c r="S4979" s="13">
        <f>SUMIF(H:H,Online_eCommerce[[#This Row],[Brand]],M:M)</f>
        <v>5538520</v>
      </c>
      <c r="T4979" s="13">
        <f>SUMIF(N:N,Online_eCommerce[[#This Row],[Assigned Supervisor]],L:L)</f>
        <v>12220830</v>
      </c>
    </row>
    <row r="4980" spans="1:20" hidden="1" x14ac:dyDescent="0.3">
      <c r="A4980" t="s">
        <v>7397</v>
      </c>
      <c r="B4980" t="s">
        <v>135</v>
      </c>
      <c r="C4980" t="s">
        <v>136</v>
      </c>
      <c r="D4980" t="s">
        <v>7390</v>
      </c>
      <c r="E4980" t="s">
        <v>18</v>
      </c>
      <c r="F4980" t="s">
        <v>101</v>
      </c>
      <c r="G4980" t="s">
        <v>259</v>
      </c>
      <c r="H4980" t="s">
        <v>102</v>
      </c>
      <c r="I4980">
        <v>6540</v>
      </c>
      <c r="J4980">
        <v>8502</v>
      </c>
      <c r="K4980">
        <v>1</v>
      </c>
      <c r="L4980">
        <v>6540</v>
      </c>
      <c r="M4980">
        <v>8502</v>
      </c>
      <c r="N4980" t="s">
        <v>35</v>
      </c>
      <c r="O4980">
        <f t="shared" si="154"/>
        <v>11700</v>
      </c>
      <c r="P4980" s="13">
        <f t="shared" si="155"/>
        <v>2775162</v>
      </c>
      <c r="Q4980" s="13">
        <f>SUMIFS(M:M,E:E,Online_eCommerce[[#This Row],[Status]])</f>
        <v>28340455</v>
      </c>
      <c r="R4980" s="13">
        <f>SUMIFS(L:L,H:H,Online_eCommerce[[#This Row],[Brand]])</f>
        <v>2465580</v>
      </c>
      <c r="S4980" s="13">
        <f>SUMIF(H:H,Online_eCommerce[[#This Row],[Brand]],M:M)</f>
        <v>3205254</v>
      </c>
      <c r="T4980" s="13">
        <f>SUMIF(N:N,Online_eCommerce[[#This Row],[Assigned Supervisor]],L:L)</f>
        <v>14373360</v>
      </c>
    </row>
    <row r="4981" spans="1:20" hidden="1" x14ac:dyDescent="0.3">
      <c r="A4981" t="s">
        <v>7398</v>
      </c>
      <c r="B4981" t="s">
        <v>139</v>
      </c>
      <c r="C4981" t="s">
        <v>140</v>
      </c>
      <c r="D4981" t="s">
        <v>7390</v>
      </c>
      <c r="E4981" t="s">
        <v>161</v>
      </c>
      <c r="F4981" t="s">
        <v>107</v>
      </c>
      <c r="G4981" t="s">
        <v>54</v>
      </c>
      <c r="H4981" t="s">
        <v>55</v>
      </c>
      <c r="I4981">
        <v>2680</v>
      </c>
      <c r="J4981">
        <v>3484</v>
      </c>
      <c r="K4981">
        <v>2</v>
      </c>
      <c r="L4981">
        <v>5360</v>
      </c>
      <c r="M4981">
        <v>6968</v>
      </c>
      <c r="N4981" t="s">
        <v>42</v>
      </c>
      <c r="O4981">
        <f t="shared" si="154"/>
        <v>2990</v>
      </c>
      <c r="P4981" s="13">
        <f t="shared" si="155"/>
        <v>2058264</v>
      </c>
      <c r="Q4981" s="13">
        <f>SUMIFS(M:M,E:E,Online_eCommerce[[#This Row],[Status]])</f>
        <v>21103186</v>
      </c>
      <c r="R4981" s="13">
        <f>SUMIFS(L:L,H:H,Online_eCommerce[[#This Row],[Brand]])</f>
        <v>2267380</v>
      </c>
      <c r="S4981" s="13">
        <f>SUMIF(H:H,Online_eCommerce[[#This Row],[Brand]],M:M)</f>
        <v>2947594</v>
      </c>
      <c r="T4981" s="13">
        <f>SUMIF(N:N,Online_eCommerce[[#This Row],[Assigned Supervisor]],L:L)</f>
        <v>12261500</v>
      </c>
    </row>
    <row r="4982" spans="1:20" x14ac:dyDescent="0.3">
      <c r="A4982" t="s">
        <v>7399</v>
      </c>
      <c r="B4982" t="s">
        <v>144</v>
      </c>
      <c r="C4982" t="s">
        <v>145</v>
      </c>
      <c r="D4982" t="s">
        <v>7390</v>
      </c>
      <c r="E4982" t="s">
        <v>46</v>
      </c>
      <c r="F4982" t="s">
        <v>112</v>
      </c>
      <c r="G4982" t="s">
        <v>71</v>
      </c>
      <c r="H4982" t="s">
        <v>21</v>
      </c>
      <c r="I4982">
        <v>8250</v>
      </c>
      <c r="J4982">
        <v>10725</v>
      </c>
      <c r="K4982">
        <v>3</v>
      </c>
      <c r="L4982">
        <v>24750</v>
      </c>
      <c r="M4982">
        <v>32175</v>
      </c>
      <c r="N4982" t="s">
        <v>50</v>
      </c>
      <c r="O4982">
        <f t="shared" si="154"/>
        <v>9750</v>
      </c>
      <c r="P4982" s="13">
        <f t="shared" si="155"/>
        <v>2757859</v>
      </c>
      <c r="Q4982" s="13">
        <f>SUMIFS(M:M,E:E,Online_eCommerce[[#This Row],[Status]])</f>
        <v>28620410</v>
      </c>
      <c r="R4982" s="13">
        <f>SUMIFS(L:L,H:H,Online_eCommerce[[#This Row],[Brand]])</f>
        <v>12435650</v>
      </c>
      <c r="S4982" s="13">
        <f>SUMIF(H:H,Online_eCommerce[[#This Row],[Brand]],M:M)</f>
        <v>16166345</v>
      </c>
      <c r="T4982" s="13">
        <f>SUMIF(N:N,Online_eCommerce[[#This Row],[Assigned Supervisor]],L:L)</f>
        <v>12100590</v>
      </c>
    </row>
    <row r="4983" spans="1:20" hidden="1" x14ac:dyDescent="0.3">
      <c r="A4983" t="s">
        <v>7400</v>
      </c>
      <c r="B4983" t="s">
        <v>149</v>
      </c>
      <c r="C4983" t="s">
        <v>150</v>
      </c>
      <c r="D4983" t="s">
        <v>7390</v>
      </c>
      <c r="E4983" t="s">
        <v>96</v>
      </c>
      <c r="F4983" t="s">
        <v>6942</v>
      </c>
      <c r="G4983" t="s">
        <v>40</v>
      </c>
      <c r="H4983" t="s">
        <v>21</v>
      </c>
      <c r="I4983">
        <v>2650</v>
      </c>
      <c r="J4983">
        <v>3445</v>
      </c>
      <c r="K4983">
        <v>4</v>
      </c>
      <c r="L4983">
        <v>10600</v>
      </c>
      <c r="M4983">
        <v>13780</v>
      </c>
      <c r="N4983" t="s">
        <v>56</v>
      </c>
      <c r="O4983">
        <f t="shared" si="154"/>
        <v>25545</v>
      </c>
      <c r="P4983" s="13">
        <f t="shared" si="155"/>
        <v>2154984</v>
      </c>
      <c r="Q4983" s="13">
        <f>SUMIFS(M:M,E:E,Online_eCommerce[[#This Row],[Status]])</f>
        <v>21233992</v>
      </c>
      <c r="R4983" s="13">
        <f>SUMIFS(L:L,H:H,Online_eCommerce[[#This Row],[Brand]])</f>
        <v>12435650</v>
      </c>
      <c r="S4983" s="13">
        <f>SUMIF(H:H,Online_eCommerce[[#This Row],[Brand]],M:M)</f>
        <v>16166345</v>
      </c>
      <c r="T4983" s="13">
        <f>SUMIF(N:N,Online_eCommerce[[#This Row],[Assigned Supervisor]],L:L)</f>
        <v>11733610</v>
      </c>
    </row>
    <row r="4984" spans="1:20" hidden="1" x14ac:dyDescent="0.3">
      <c r="A4984" t="s">
        <v>7401</v>
      </c>
      <c r="B4984" t="s">
        <v>154</v>
      </c>
      <c r="C4984" t="s">
        <v>155</v>
      </c>
      <c r="D4984" t="s">
        <v>7390</v>
      </c>
      <c r="E4984" t="s">
        <v>18</v>
      </c>
      <c r="F4984" t="s">
        <v>121</v>
      </c>
      <c r="G4984" t="s">
        <v>71</v>
      </c>
      <c r="H4984" t="s">
        <v>122</v>
      </c>
      <c r="I4984">
        <v>12550</v>
      </c>
      <c r="J4984">
        <v>16315</v>
      </c>
      <c r="K4984">
        <v>1</v>
      </c>
      <c r="L4984">
        <v>12550</v>
      </c>
      <c r="M4984">
        <v>16315</v>
      </c>
      <c r="N4984" t="s">
        <v>22</v>
      </c>
      <c r="O4984">
        <f t="shared" si="154"/>
        <v>9750</v>
      </c>
      <c r="P4984" s="13">
        <f t="shared" si="155"/>
        <v>2753348</v>
      </c>
      <c r="Q4984" s="13">
        <f>SUMIFS(M:M,E:E,Online_eCommerce[[#This Row],[Status]])</f>
        <v>28340455</v>
      </c>
      <c r="R4984" s="13">
        <f>SUMIFS(L:L,H:H,Online_eCommerce[[#This Row],[Brand]])</f>
        <v>5045100</v>
      </c>
      <c r="S4984" s="13">
        <f>SUMIF(H:H,Online_eCommerce[[#This Row],[Brand]],M:M)</f>
        <v>6558630</v>
      </c>
      <c r="T4984" s="13">
        <f>SUMIF(N:N,Online_eCommerce[[#This Row],[Assigned Supervisor]],L:L)</f>
        <v>13693220</v>
      </c>
    </row>
    <row r="4985" spans="1:20" hidden="1" x14ac:dyDescent="0.3">
      <c r="A4985" t="s">
        <v>7402</v>
      </c>
      <c r="B4985" t="s">
        <v>159</v>
      </c>
      <c r="C4985" t="s">
        <v>160</v>
      </c>
      <c r="D4985" t="s">
        <v>7390</v>
      </c>
      <c r="E4985" t="s">
        <v>161</v>
      </c>
      <c r="F4985" t="s">
        <v>126</v>
      </c>
      <c r="G4985" t="s">
        <v>26</v>
      </c>
      <c r="H4985" t="s">
        <v>27</v>
      </c>
      <c r="I4985">
        <v>14500</v>
      </c>
      <c r="J4985">
        <v>18850</v>
      </c>
      <c r="K4985">
        <v>4</v>
      </c>
      <c r="L4985">
        <v>58000</v>
      </c>
      <c r="M4985">
        <v>75400</v>
      </c>
      <c r="N4985" t="s">
        <v>28</v>
      </c>
      <c r="O4985">
        <f t="shared" si="154"/>
        <v>33150</v>
      </c>
      <c r="P4985" s="13">
        <f t="shared" si="155"/>
        <v>2303483</v>
      </c>
      <c r="Q4985" s="13">
        <f>SUMIFS(M:M,E:E,Online_eCommerce[[#This Row],[Status]])</f>
        <v>21103186</v>
      </c>
      <c r="R4985" s="13">
        <f>SUMIFS(L:L,H:H,Online_eCommerce[[#This Row],[Brand]])</f>
        <v>14431000</v>
      </c>
      <c r="S4985" s="13">
        <f>SUMIF(H:H,Online_eCommerce[[#This Row],[Brand]],M:M)</f>
        <v>18760300</v>
      </c>
      <c r="T4985" s="13">
        <f>SUMIF(N:N,Online_eCommerce[[#This Row],[Assigned Supervisor]],L:L)</f>
        <v>12220830</v>
      </c>
    </row>
    <row r="4986" spans="1:20" x14ac:dyDescent="0.3">
      <c r="A4986" t="s">
        <v>7403</v>
      </c>
      <c r="B4986" t="s">
        <v>139</v>
      </c>
      <c r="C4986" t="s">
        <v>165</v>
      </c>
      <c r="D4986" t="s">
        <v>7390</v>
      </c>
      <c r="E4986" t="s">
        <v>46</v>
      </c>
      <c r="F4986" t="s">
        <v>129</v>
      </c>
      <c r="G4986" t="s">
        <v>60</v>
      </c>
      <c r="H4986" t="s">
        <v>61</v>
      </c>
      <c r="I4986">
        <v>800</v>
      </c>
      <c r="J4986">
        <v>1040</v>
      </c>
      <c r="K4986">
        <v>1</v>
      </c>
      <c r="L4986">
        <v>800</v>
      </c>
      <c r="M4986">
        <v>1040</v>
      </c>
      <c r="N4986" t="s">
        <v>35</v>
      </c>
      <c r="O4986">
        <f t="shared" si="154"/>
        <v>3315</v>
      </c>
      <c r="P4986" s="13">
        <f t="shared" si="155"/>
        <v>2674087</v>
      </c>
      <c r="Q4986" s="13">
        <f>SUMIFS(M:M,E:E,Online_eCommerce[[#This Row],[Status]])</f>
        <v>28620410</v>
      </c>
      <c r="R4986" s="13">
        <f>SUMIFS(L:L,H:H,Online_eCommerce[[#This Row],[Brand]])</f>
        <v>10950150</v>
      </c>
      <c r="S4986" s="13">
        <f>SUMIF(H:H,Online_eCommerce[[#This Row],[Brand]],M:M)</f>
        <v>14235195</v>
      </c>
      <c r="T4986" s="13">
        <f>SUMIF(N:N,Online_eCommerce[[#This Row],[Assigned Supervisor]],L:L)</f>
        <v>14373360</v>
      </c>
    </row>
    <row r="4987" spans="1:20" hidden="1" x14ac:dyDescent="0.3">
      <c r="A4987" t="s">
        <v>7404</v>
      </c>
      <c r="B4987" t="s">
        <v>144</v>
      </c>
      <c r="C4987" t="s">
        <v>168</v>
      </c>
      <c r="D4987" t="s">
        <v>7390</v>
      </c>
      <c r="E4987" t="s">
        <v>96</v>
      </c>
      <c r="F4987" t="s">
        <v>133</v>
      </c>
      <c r="G4987" t="s">
        <v>66</v>
      </c>
      <c r="H4987" t="s">
        <v>21</v>
      </c>
      <c r="I4987">
        <v>600</v>
      </c>
      <c r="J4987">
        <v>780</v>
      </c>
      <c r="K4987">
        <v>1</v>
      </c>
      <c r="L4987">
        <v>600</v>
      </c>
      <c r="M4987">
        <v>780</v>
      </c>
      <c r="N4987" t="s">
        <v>42</v>
      </c>
      <c r="O4987">
        <f t="shared" si="154"/>
        <v>1690</v>
      </c>
      <c r="P4987" s="13">
        <f t="shared" si="155"/>
        <v>1937780</v>
      </c>
      <c r="Q4987" s="13">
        <f>SUMIFS(M:M,E:E,Online_eCommerce[[#This Row],[Status]])</f>
        <v>21233992</v>
      </c>
      <c r="R4987" s="13">
        <f>SUMIFS(L:L,H:H,Online_eCommerce[[#This Row],[Brand]])</f>
        <v>12435650</v>
      </c>
      <c r="S4987" s="13">
        <f>SUMIF(H:H,Online_eCommerce[[#This Row],[Brand]],M:M)</f>
        <v>16166345</v>
      </c>
      <c r="T4987" s="13">
        <f>SUMIF(N:N,Online_eCommerce[[#This Row],[Assigned Supervisor]],L:L)</f>
        <v>12261500</v>
      </c>
    </row>
    <row r="4988" spans="1:20" hidden="1" x14ac:dyDescent="0.3">
      <c r="A4988" t="s">
        <v>7405</v>
      </c>
      <c r="B4988" t="s">
        <v>235</v>
      </c>
      <c r="C4988" t="s">
        <v>172</v>
      </c>
      <c r="D4988" t="s">
        <v>7390</v>
      </c>
      <c r="E4988" t="s">
        <v>18</v>
      </c>
      <c r="F4988" t="s">
        <v>137</v>
      </c>
      <c r="G4988" t="s">
        <v>71</v>
      </c>
      <c r="H4988" t="s">
        <v>61</v>
      </c>
      <c r="I4988">
        <v>10500</v>
      </c>
      <c r="J4988">
        <v>13650</v>
      </c>
      <c r="K4988">
        <v>3</v>
      </c>
      <c r="L4988">
        <v>31500</v>
      </c>
      <c r="M4988">
        <v>40950</v>
      </c>
      <c r="N4988" t="s">
        <v>50</v>
      </c>
      <c r="O4988">
        <f t="shared" si="154"/>
        <v>9750</v>
      </c>
      <c r="P4988" s="13">
        <f t="shared" si="155"/>
        <v>2640274</v>
      </c>
      <c r="Q4988" s="13">
        <f>SUMIFS(M:M,E:E,Online_eCommerce[[#This Row],[Status]])</f>
        <v>28340455</v>
      </c>
      <c r="R4988" s="13">
        <f>SUMIFS(L:L,H:H,Online_eCommerce[[#This Row],[Brand]])</f>
        <v>10950150</v>
      </c>
      <c r="S4988" s="13">
        <f>SUMIF(H:H,Online_eCommerce[[#This Row],[Brand]],M:M)</f>
        <v>14235195</v>
      </c>
      <c r="T4988" s="13">
        <f>SUMIF(N:N,Online_eCommerce[[#This Row],[Assigned Supervisor]],L:L)</f>
        <v>12100590</v>
      </c>
    </row>
    <row r="4989" spans="1:20" hidden="1" x14ac:dyDescent="0.3">
      <c r="A4989" t="s">
        <v>7406</v>
      </c>
      <c r="B4989" t="s">
        <v>176</v>
      </c>
      <c r="C4989" t="s">
        <v>177</v>
      </c>
      <c r="D4989" t="s">
        <v>7390</v>
      </c>
      <c r="E4989" t="s">
        <v>161</v>
      </c>
      <c r="F4989" t="s">
        <v>7372</v>
      </c>
      <c r="G4989" t="s">
        <v>77</v>
      </c>
      <c r="H4989" t="s">
        <v>142</v>
      </c>
      <c r="I4989">
        <v>6500</v>
      </c>
      <c r="J4989">
        <v>8450</v>
      </c>
      <c r="K4989">
        <v>4</v>
      </c>
      <c r="L4989">
        <v>26000</v>
      </c>
      <c r="M4989">
        <v>33800</v>
      </c>
      <c r="N4989" t="s">
        <v>56</v>
      </c>
      <c r="O4989">
        <f t="shared" si="154"/>
        <v>39000</v>
      </c>
      <c r="P4989" s="13">
        <f t="shared" si="155"/>
        <v>1863810</v>
      </c>
      <c r="Q4989" s="13">
        <f>SUMIFS(M:M,E:E,Online_eCommerce[[#This Row],[Status]])</f>
        <v>21103186</v>
      </c>
      <c r="R4989" s="13">
        <f>SUMIFS(L:L,H:H,Online_eCommerce[[#This Row],[Brand]])</f>
        <v>6192500</v>
      </c>
      <c r="S4989" s="13">
        <f>SUMIF(H:H,Online_eCommerce[[#This Row],[Brand]],M:M)</f>
        <v>8050250</v>
      </c>
      <c r="T4989" s="13">
        <f>SUMIF(N:N,Online_eCommerce[[#This Row],[Assigned Supervisor]],L:L)</f>
        <v>11733610</v>
      </c>
    </row>
    <row r="4990" spans="1:20" x14ac:dyDescent="0.3">
      <c r="A4990" t="s">
        <v>7407</v>
      </c>
      <c r="B4990" t="s">
        <v>276</v>
      </c>
      <c r="C4990" t="s">
        <v>181</v>
      </c>
      <c r="D4990" t="s">
        <v>7390</v>
      </c>
      <c r="E4990" t="s">
        <v>46</v>
      </c>
      <c r="F4990" t="s">
        <v>7408</v>
      </c>
      <c r="G4990" t="s">
        <v>20</v>
      </c>
      <c r="H4990" t="s">
        <v>21</v>
      </c>
      <c r="I4990">
        <v>4500</v>
      </c>
      <c r="J4990">
        <v>5850</v>
      </c>
      <c r="K4990">
        <v>1</v>
      </c>
      <c r="L4990">
        <v>4500</v>
      </c>
      <c r="M4990">
        <v>5850</v>
      </c>
      <c r="N4990" t="s">
        <v>22</v>
      </c>
      <c r="O4990">
        <f t="shared" si="154"/>
        <v>8450</v>
      </c>
      <c r="P4990" s="13">
        <f t="shared" si="155"/>
        <v>2577458</v>
      </c>
      <c r="Q4990" s="13">
        <f>SUMIFS(M:M,E:E,Online_eCommerce[[#This Row],[Status]])</f>
        <v>28620410</v>
      </c>
      <c r="R4990" s="13">
        <f>SUMIFS(L:L,H:H,Online_eCommerce[[#This Row],[Brand]])</f>
        <v>12435650</v>
      </c>
      <c r="S4990" s="13">
        <f>SUMIF(H:H,Online_eCommerce[[#This Row],[Brand]],M:M)</f>
        <v>16166345</v>
      </c>
      <c r="T4990" s="13">
        <f>SUMIF(N:N,Online_eCommerce[[#This Row],[Assigned Supervisor]],L:L)</f>
        <v>13693220</v>
      </c>
    </row>
    <row r="4991" spans="1:20" hidden="1" x14ac:dyDescent="0.3">
      <c r="A4991" t="s">
        <v>7409</v>
      </c>
      <c r="B4991" t="s">
        <v>280</v>
      </c>
      <c r="C4991" t="s">
        <v>185</v>
      </c>
      <c r="D4991" t="s">
        <v>7390</v>
      </c>
      <c r="E4991" t="s">
        <v>96</v>
      </c>
      <c r="F4991" t="s">
        <v>152</v>
      </c>
      <c r="G4991" t="s">
        <v>26</v>
      </c>
      <c r="H4991" t="s">
        <v>27</v>
      </c>
      <c r="I4991">
        <v>8500</v>
      </c>
      <c r="J4991">
        <v>11050</v>
      </c>
      <c r="K4991">
        <v>2</v>
      </c>
      <c r="L4991">
        <v>17000</v>
      </c>
      <c r="M4991">
        <v>22100</v>
      </c>
      <c r="N4991" t="s">
        <v>28</v>
      </c>
      <c r="O4991">
        <f t="shared" si="154"/>
        <v>33150</v>
      </c>
      <c r="P4991" s="13">
        <f t="shared" si="155"/>
        <v>2091596</v>
      </c>
      <c r="Q4991" s="13">
        <f>SUMIFS(M:M,E:E,Online_eCommerce[[#This Row],[Status]])</f>
        <v>21233992</v>
      </c>
      <c r="R4991" s="13">
        <f>SUMIFS(L:L,H:H,Online_eCommerce[[#This Row],[Brand]])</f>
        <v>14431000</v>
      </c>
      <c r="S4991" s="13">
        <f>SUMIF(H:H,Online_eCommerce[[#This Row],[Brand]],M:M)</f>
        <v>18760300</v>
      </c>
      <c r="T4991" s="13">
        <f>SUMIF(N:N,Online_eCommerce[[#This Row],[Assigned Supervisor]],L:L)</f>
        <v>12220830</v>
      </c>
    </row>
    <row r="4992" spans="1:20" hidden="1" x14ac:dyDescent="0.3">
      <c r="A4992" t="s">
        <v>7410</v>
      </c>
      <c r="B4992" t="s">
        <v>283</v>
      </c>
      <c r="C4992" t="s">
        <v>189</v>
      </c>
      <c r="D4992" t="s">
        <v>7390</v>
      </c>
      <c r="E4992" t="s">
        <v>18</v>
      </c>
      <c r="F4992" t="s">
        <v>157</v>
      </c>
      <c r="G4992" t="s">
        <v>33</v>
      </c>
      <c r="H4992" t="s">
        <v>34</v>
      </c>
      <c r="I4992">
        <v>12500</v>
      </c>
      <c r="J4992">
        <v>16250</v>
      </c>
      <c r="K4992">
        <v>3</v>
      </c>
      <c r="L4992">
        <v>37500</v>
      </c>
      <c r="M4992">
        <v>48750</v>
      </c>
      <c r="N4992" t="s">
        <v>35</v>
      </c>
      <c r="O4992">
        <f t="shared" si="154"/>
        <v>18200</v>
      </c>
      <c r="P4992" s="13">
        <f t="shared" si="155"/>
        <v>2740777</v>
      </c>
      <c r="Q4992" s="13">
        <f>SUMIFS(M:M,E:E,Online_eCommerce[[#This Row],[Status]])</f>
        <v>28340455</v>
      </c>
      <c r="R4992" s="13">
        <f>SUMIFS(L:L,H:H,Online_eCommerce[[#This Row],[Brand]])</f>
        <v>10087000</v>
      </c>
      <c r="S4992" s="13">
        <f>SUMIF(H:H,Online_eCommerce[[#This Row],[Brand]],M:M)</f>
        <v>13113100</v>
      </c>
      <c r="T4992" s="13">
        <f>SUMIF(N:N,Online_eCommerce[[#This Row],[Assigned Supervisor]],L:L)</f>
        <v>14373360</v>
      </c>
    </row>
    <row r="4993" spans="1:20" hidden="1" x14ac:dyDescent="0.3">
      <c r="A4993" t="s">
        <v>7411</v>
      </c>
      <c r="B4993" t="s">
        <v>287</v>
      </c>
      <c r="C4993" t="s">
        <v>193</v>
      </c>
      <c r="D4993" t="s">
        <v>7390</v>
      </c>
      <c r="E4993" t="s">
        <v>161</v>
      </c>
      <c r="F4993" t="s">
        <v>6984</v>
      </c>
      <c r="G4993" t="s">
        <v>40</v>
      </c>
      <c r="H4993" t="s">
        <v>41</v>
      </c>
      <c r="I4993">
        <v>3500</v>
      </c>
      <c r="J4993">
        <v>4550</v>
      </c>
      <c r="K4993">
        <v>3</v>
      </c>
      <c r="L4993">
        <v>10500</v>
      </c>
      <c r="M4993">
        <v>13650</v>
      </c>
      <c r="N4993" t="s">
        <v>42</v>
      </c>
      <c r="O4993">
        <f t="shared" si="154"/>
        <v>25545</v>
      </c>
      <c r="P4993" s="13">
        <f t="shared" si="155"/>
        <v>2074774</v>
      </c>
      <c r="Q4993" s="13">
        <f>SUMIFS(M:M,E:E,Online_eCommerce[[#This Row],[Status]])</f>
        <v>21103186</v>
      </c>
      <c r="R4993" s="13">
        <f>SUMIFS(L:L,H:H,Online_eCommerce[[#This Row],[Brand]])</f>
        <v>4260400</v>
      </c>
      <c r="S4993" s="13">
        <f>SUMIF(H:H,Online_eCommerce[[#This Row],[Brand]],M:M)</f>
        <v>5538520</v>
      </c>
      <c r="T4993" s="13">
        <f>SUMIF(N:N,Online_eCommerce[[#This Row],[Assigned Supervisor]],L:L)</f>
        <v>12261500</v>
      </c>
    </row>
    <row r="4994" spans="1:20" x14ac:dyDescent="0.3">
      <c r="A4994" t="s">
        <v>7412</v>
      </c>
      <c r="B4994" t="s">
        <v>290</v>
      </c>
      <c r="C4994" t="s">
        <v>197</v>
      </c>
      <c r="D4994" t="s">
        <v>7390</v>
      </c>
      <c r="E4994" t="s">
        <v>46</v>
      </c>
      <c r="F4994" t="s">
        <v>166</v>
      </c>
      <c r="G4994" t="s">
        <v>334</v>
      </c>
      <c r="H4994" t="s">
        <v>49</v>
      </c>
      <c r="I4994">
        <v>4500</v>
      </c>
      <c r="J4994">
        <v>5850</v>
      </c>
      <c r="K4994">
        <v>3</v>
      </c>
      <c r="L4994">
        <v>13500</v>
      </c>
      <c r="M4994">
        <v>17550</v>
      </c>
      <c r="N4994" t="s">
        <v>50</v>
      </c>
      <c r="O4994">
        <f t="shared" ref="O4994:O5057" si="156">VLOOKUP(G4994,G:M,7,FALSE)</f>
        <v>39780</v>
      </c>
      <c r="P4994" s="13">
        <f t="shared" ref="P4994:P5057" si="157">SUMIFS(M:M,C:C,C4994)</f>
        <v>2829840</v>
      </c>
      <c r="Q4994" s="13">
        <f>SUMIFS(M:M,E:E,Online_eCommerce[[#This Row],[Status]])</f>
        <v>28620410</v>
      </c>
      <c r="R4994" s="13">
        <f>SUMIFS(L:L,H:H,Online_eCommerce[[#This Row],[Brand]])</f>
        <v>4528350</v>
      </c>
      <c r="S4994" s="13">
        <f>SUMIF(H:H,Online_eCommerce[[#This Row],[Brand]],M:M)</f>
        <v>5886855</v>
      </c>
      <c r="T4994" s="13">
        <f>SUMIF(N:N,Online_eCommerce[[#This Row],[Assigned Supervisor]],L:L)</f>
        <v>12100590</v>
      </c>
    </row>
    <row r="4995" spans="1:20" hidden="1" x14ac:dyDescent="0.3">
      <c r="A4995" t="s">
        <v>7413</v>
      </c>
      <c r="B4995" t="s">
        <v>15</v>
      </c>
      <c r="C4995" t="s">
        <v>199</v>
      </c>
      <c r="D4995" t="s">
        <v>7414</v>
      </c>
      <c r="E4995" t="s">
        <v>96</v>
      </c>
      <c r="F4995" t="s">
        <v>7415</v>
      </c>
      <c r="G4995" t="s">
        <v>54</v>
      </c>
      <c r="H4995" t="s">
        <v>55</v>
      </c>
      <c r="I4995">
        <v>2100</v>
      </c>
      <c r="J4995">
        <v>2730</v>
      </c>
      <c r="K4995">
        <v>4</v>
      </c>
      <c r="L4995">
        <v>8400</v>
      </c>
      <c r="M4995">
        <v>10920</v>
      </c>
      <c r="N4995" t="s">
        <v>56</v>
      </c>
      <c r="O4995">
        <f t="shared" si="156"/>
        <v>2990</v>
      </c>
      <c r="P4995" s="13">
        <f t="shared" si="157"/>
        <v>1947361</v>
      </c>
      <c r="Q4995" s="13">
        <f>SUMIFS(M:M,E:E,Online_eCommerce[[#This Row],[Status]])</f>
        <v>21233992</v>
      </c>
      <c r="R4995" s="13">
        <f>SUMIFS(L:L,H:H,Online_eCommerce[[#This Row],[Brand]])</f>
        <v>2267380</v>
      </c>
      <c r="S4995" s="13">
        <f>SUMIF(H:H,Online_eCommerce[[#This Row],[Brand]],M:M)</f>
        <v>2947594</v>
      </c>
      <c r="T4995" s="13">
        <f>SUMIF(N:N,Online_eCommerce[[#This Row],[Assigned Supervisor]],L:L)</f>
        <v>11733610</v>
      </c>
    </row>
    <row r="4996" spans="1:20" hidden="1" x14ac:dyDescent="0.3">
      <c r="A4996" t="s">
        <v>7416</v>
      </c>
      <c r="B4996" t="s">
        <v>202</v>
      </c>
      <c r="C4996" t="s">
        <v>203</v>
      </c>
      <c r="D4996" t="s">
        <v>7417</v>
      </c>
      <c r="E4996" t="s">
        <v>18</v>
      </c>
      <c r="F4996" t="s">
        <v>174</v>
      </c>
      <c r="G4996" t="s">
        <v>60</v>
      </c>
      <c r="H4996" t="s">
        <v>61</v>
      </c>
      <c r="I4996">
        <v>1150</v>
      </c>
      <c r="J4996">
        <v>1495</v>
      </c>
      <c r="K4996">
        <v>1</v>
      </c>
      <c r="L4996">
        <v>1150</v>
      </c>
      <c r="M4996">
        <v>1495</v>
      </c>
      <c r="N4996" t="s">
        <v>22</v>
      </c>
      <c r="O4996">
        <f t="shared" si="156"/>
        <v>3315</v>
      </c>
      <c r="P4996" s="13">
        <f t="shared" si="157"/>
        <v>2559635</v>
      </c>
      <c r="Q4996" s="13">
        <f>SUMIFS(M:M,E:E,Online_eCommerce[[#This Row],[Status]])</f>
        <v>28340455</v>
      </c>
      <c r="R4996" s="13">
        <f>SUMIFS(L:L,H:H,Online_eCommerce[[#This Row],[Brand]])</f>
        <v>10950150</v>
      </c>
      <c r="S4996" s="13">
        <f>SUMIF(H:H,Online_eCommerce[[#This Row],[Brand]],M:M)</f>
        <v>14235195</v>
      </c>
      <c r="T4996" s="13">
        <f>SUMIF(N:N,Online_eCommerce[[#This Row],[Assigned Supervisor]],L:L)</f>
        <v>13693220</v>
      </c>
    </row>
    <row r="4997" spans="1:20" hidden="1" x14ac:dyDescent="0.3">
      <c r="A4997" t="s">
        <v>7418</v>
      </c>
      <c r="B4997" t="s">
        <v>30</v>
      </c>
      <c r="C4997" t="s">
        <v>205</v>
      </c>
      <c r="D4997" t="s">
        <v>7419</v>
      </c>
      <c r="E4997" t="s">
        <v>161</v>
      </c>
      <c r="F4997" t="s">
        <v>179</v>
      </c>
      <c r="G4997" t="s">
        <v>66</v>
      </c>
      <c r="H4997" t="s">
        <v>21</v>
      </c>
      <c r="I4997">
        <v>350</v>
      </c>
      <c r="J4997">
        <v>455</v>
      </c>
      <c r="K4997">
        <v>2</v>
      </c>
      <c r="L4997">
        <v>700</v>
      </c>
      <c r="M4997">
        <v>910</v>
      </c>
      <c r="N4997" t="s">
        <v>28</v>
      </c>
      <c r="O4997">
        <f t="shared" si="156"/>
        <v>1690</v>
      </c>
      <c r="P4997" s="13">
        <f t="shared" si="157"/>
        <v>1983254</v>
      </c>
      <c r="Q4997" s="13">
        <f>SUMIFS(M:M,E:E,Online_eCommerce[[#This Row],[Status]])</f>
        <v>21103186</v>
      </c>
      <c r="R4997" s="13">
        <f>SUMIFS(L:L,H:H,Online_eCommerce[[#This Row],[Brand]])</f>
        <v>12435650</v>
      </c>
      <c r="S4997" s="13">
        <f>SUMIF(H:H,Online_eCommerce[[#This Row],[Brand]],M:M)</f>
        <v>16166345</v>
      </c>
      <c r="T4997" s="13">
        <f>SUMIF(N:N,Online_eCommerce[[#This Row],[Assigned Supervisor]],L:L)</f>
        <v>12220830</v>
      </c>
    </row>
    <row r="4998" spans="1:20" x14ac:dyDescent="0.3">
      <c r="A4998" t="s">
        <v>7420</v>
      </c>
      <c r="B4998" t="s">
        <v>37</v>
      </c>
      <c r="C4998" t="s">
        <v>208</v>
      </c>
      <c r="D4998" t="s">
        <v>7421</v>
      </c>
      <c r="E4998" t="s">
        <v>46</v>
      </c>
      <c r="F4998" t="s">
        <v>183</v>
      </c>
      <c r="G4998" t="s">
        <v>71</v>
      </c>
      <c r="H4998" t="s">
        <v>61</v>
      </c>
      <c r="I4998">
        <v>9500</v>
      </c>
      <c r="J4998">
        <v>12350</v>
      </c>
      <c r="K4998">
        <v>3</v>
      </c>
      <c r="L4998">
        <v>28500</v>
      </c>
      <c r="M4998">
        <v>37050</v>
      </c>
      <c r="N4998" t="s">
        <v>35</v>
      </c>
      <c r="O4998">
        <f t="shared" si="156"/>
        <v>9750</v>
      </c>
      <c r="P4998" s="13">
        <f t="shared" si="157"/>
        <v>2746575</v>
      </c>
      <c r="Q4998" s="13">
        <f>SUMIFS(M:M,E:E,Online_eCommerce[[#This Row],[Status]])</f>
        <v>28620410</v>
      </c>
      <c r="R4998" s="13">
        <f>SUMIFS(L:L,H:H,Online_eCommerce[[#This Row],[Brand]])</f>
        <v>10950150</v>
      </c>
      <c r="S4998" s="13">
        <f>SUMIF(H:H,Online_eCommerce[[#This Row],[Brand]],M:M)</f>
        <v>14235195</v>
      </c>
      <c r="T4998" s="13">
        <f>SUMIF(N:N,Online_eCommerce[[#This Row],[Assigned Supervisor]],L:L)</f>
        <v>14373360</v>
      </c>
    </row>
    <row r="4999" spans="1:20" hidden="1" x14ac:dyDescent="0.3">
      <c r="A4999" t="s">
        <v>7422</v>
      </c>
      <c r="B4999" t="s">
        <v>44</v>
      </c>
      <c r="C4999" t="s">
        <v>211</v>
      </c>
      <c r="D4999" t="s">
        <v>7423</v>
      </c>
      <c r="E4999" t="s">
        <v>96</v>
      </c>
      <c r="F4999" t="s">
        <v>7424</v>
      </c>
      <c r="G4999" t="s">
        <v>77</v>
      </c>
      <c r="H4999" t="s">
        <v>142</v>
      </c>
      <c r="I4999">
        <v>10000</v>
      </c>
      <c r="J4999">
        <v>13000</v>
      </c>
      <c r="K4999">
        <v>3</v>
      </c>
      <c r="L4999">
        <v>30000</v>
      </c>
      <c r="M4999">
        <v>39000</v>
      </c>
      <c r="N4999" t="s">
        <v>42</v>
      </c>
      <c r="O4999">
        <f t="shared" si="156"/>
        <v>39000</v>
      </c>
      <c r="P4999" s="13">
        <f t="shared" si="157"/>
        <v>1809847</v>
      </c>
      <c r="Q4999" s="13">
        <f>SUMIFS(M:M,E:E,Online_eCommerce[[#This Row],[Status]])</f>
        <v>21233992</v>
      </c>
      <c r="R4999" s="13">
        <f>SUMIFS(L:L,H:H,Online_eCommerce[[#This Row],[Brand]])</f>
        <v>6192500</v>
      </c>
      <c r="S4999" s="13">
        <f>SUMIF(H:H,Online_eCommerce[[#This Row],[Brand]],M:M)</f>
        <v>8050250</v>
      </c>
      <c r="T4999" s="13">
        <f>SUMIF(N:N,Online_eCommerce[[#This Row],[Assigned Supervisor]],L:L)</f>
        <v>12261500</v>
      </c>
    </row>
    <row r="5000" spans="1:20" hidden="1" x14ac:dyDescent="0.3">
      <c r="A5000" t="s">
        <v>7425</v>
      </c>
      <c r="B5000" t="s">
        <v>213</v>
      </c>
      <c r="C5000" t="s">
        <v>16</v>
      </c>
      <c r="D5000" t="s">
        <v>7423</v>
      </c>
      <c r="E5000" t="s">
        <v>18</v>
      </c>
      <c r="F5000" t="s">
        <v>7426</v>
      </c>
      <c r="G5000" t="s">
        <v>20</v>
      </c>
      <c r="H5000" t="s">
        <v>21</v>
      </c>
      <c r="I5000">
        <v>6500</v>
      </c>
      <c r="J5000">
        <v>8450</v>
      </c>
      <c r="K5000">
        <v>3</v>
      </c>
      <c r="L5000">
        <v>19500</v>
      </c>
      <c r="M5000">
        <v>25350</v>
      </c>
      <c r="N5000" t="s">
        <v>50</v>
      </c>
      <c r="O5000">
        <f t="shared" si="156"/>
        <v>8450</v>
      </c>
      <c r="P5000" s="13">
        <f t="shared" si="157"/>
        <v>2751814</v>
      </c>
      <c r="Q5000" s="13">
        <f>SUMIFS(M:M,E:E,Online_eCommerce[[#This Row],[Status]])</f>
        <v>28340455</v>
      </c>
      <c r="R5000" s="13">
        <f>SUMIFS(L:L,H:H,Online_eCommerce[[#This Row],[Brand]])</f>
        <v>12435650</v>
      </c>
      <c r="S5000" s="13">
        <f>SUMIF(H:H,Online_eCommerce[[#This Row],[Brand]],M:M)</f>
        <v>16166345</v>
      </c>
      <c r="T5000" s="13">
        <f>SUMIF(N:N,Online_eCommerce[[#This Row],[Assigned Supervisor]],L:L)</f>
        <v>12100590</v>
      </c>
    </row>
    <row r="5001" spans="1:20" hidden="1" x14ac:dyDescent="0.3">
      <c r="A5001" t="s">
        <v>7427</v>
      </c>
      <c r="B5001" t="s">
        <v>215</v>
      </c>
      <c r="C5001" t="s">
        <v>24</v>
      </c>
      <c r="D5001" t="s">
        <v>7423</v>
      </c>
      <c r="E5001" t="s">
        <v>161</v>
      </c>
      <c r="F5001" t="s">
        <v>7428</v>
      </c>
      <c r="G5001" t="s">
        <v>26</v>
      </c>
      <c r="H5001" t="s">
        <v>27</v>
      </c>
      <c r="I5001">
        <v>8500</v>
      </c>
      <c r="J5001">
        <v>11050</v>
      </c>
      <c r="K5001">
        <v>1</v>
      </c>
      <c r="L5001">
        <v>8500</v>
      </c>
      <c r="M5001">
        <v>11050</v>
      </c>
      <c r="N5001" t="s">
        <v>56</v>
      </c>
      <c r="O5001">
        <f t="shared" si="156"/>
        <v>33150</v>
      </c>
      <c r="P5001" s="13">
        <f t="shared" si="157"/>
        <v>2009540</v>
      </c>
      <c r="Q5001" s="13">
        <f>SUMIFS(M:M,E:E,Online_eCommerce[[#This Row],[Status]])</f>
        <v>21103186</v>
      </c>
      <c r="R5001" s="13">
        <f>SUMIFS(L:L,H:H,Online_eCommerce[[#This Row],[Brand]])</f>
        <v>14431000</v>
      </c>
      <c r="S5001" s="13">
        <f>SUMIF(H:H,Online_eCommerce[[#This Row],[Brand]],M:M)</f>
        <v>18760300</v>
      </c>
      <c r="T5001" s="13">
        <f>SUMIF(N:N,Online_eCommerce[[#This Row],[Assigned Supervisor]],L:L)</f>
        <v>11733610</v>
      </c>
    </row>
    <row r="5002" spans="1:20" x14ac:dyDescent="0.3">
      <c r="A5002" t="s">
        <v>7429</v>
      </c>
      <c r="B5002" t="s">
        <v>306</v>
      </c>
      <c r="C5002" t="s">
        <v>31</v>
      </c>
      <c r="D5002" t="s">
        <v>7423</v>
      </c>
      <c r="E5002" t="s">
        <v>46</v>
      </c>
      <c r="F5002" t="s">
        <v>32</v>
      </c>
      <c r="G5002" t="s">
        <v>33</v>
      </c>
      <c r="H5002" t="s">
        <v>34</v>
      </c>
      <c r="I5002">
        <v>7000</v>
      </c>
      <c r="J5002">
        <v>9100</v>
      </c>
      <c r="K5002">
        <v>4</v>
      </c>
      <c r="L5002">
        <v>28000</v>
      </c>
      <c r="M5002">
        <v>36400</v>
      </c>
      <c r="N5002" t="s">
        <v>22</v>
      </c>
      <c r="O5002">
        <f t="shared" si="156"/>
        <v>18200</v>
      </c>
      <c r="P5002" s="13">
        <f t="shared" si="157"/>
        <v>2865746</v>
      </c>
      <c r="Q5002" s="13">
        <f>SUMIFS(M:M,E:E,Online_eCommerce[[#This Row],[Status]])</f>
        <v>28620410</v>
      </c>
      <c r="R5002" s="13">
        <f>SUMIFS(L:L,H:H,Online_eCommerce[[#This Row],[Brand]])</f>
        <v>10087000</v>
      </c>
      <c r="S5002" s="13">
        <f>SUMIF(H:H,Online_eCommerce[[#This Row],[Brand]],M:M)</f>
        <v>13113100</v>
      </c>
      <c r="T5002" s="13">
        <f>SUMIF(N:N,Online_eCommerce[[#This Row],[Assigned Supervisor]],L:L)</f>
        <v>13693220</v>
      </c>
    </row>
    <row r="5003" spans="1:20" hidden="1" x14ac:dyDescent="0.3">
      <c r="A5003" t="s">
        <v>7430</v>
      </c>
      <c r="B5003" t="s">
        <v>528</v>
      </c>
      <c r="C5003" t="s">
        <v>38</v>
      </c>
      <c r="D5003" t="s">
        <v>7423</v>
      </c>
      <c r="E5003" t="s">
        <v>96</v>
      </c>
      <c r="F5003" t="s">
        <v>7431</v>
      </c>
      <c r="G5003" t="s">
        <v>40</v>
      </c>
      <c r="H5003" t="s">
        <v>41</v>
      </c>
      <c r="I5003">
        <v>6550</v>
      </c>
      <c r="J5003">
        <v>8515</v>
      </c>
      <c r="K5003">
        <v>4</v>
      </c>
      <c r="L5003">
        <v>26200</v>
      </c>
      <c r="M5003">
        <v>34060</v>
      </c>
      <c r="N5003" t="s">
        <v>28</v>
      </c>
      <c r="O5003">
        <f t="shared" si="156"/>
        <v>25545</v>
      </c>
      <c r="P5003" s="13">
        <f t="shared" si="157"/>
        <v>1933997</v>
      </c>
      <c r="Q5003" s="13">
        <f>SUMIFS(M:M,E:E,Online_eCommerce[[#This Row],[Status]])</f>
        <v>21233992</v>
      </c>
      <c r="R5003" s="13">
        <f>SUMIFS(L:L,H:H,Online_eCommerce[[#This Row],[Brand]])</f>
        <v>4260400</v>
      </c>
      <c r="S5003" s="13">
        <f>SUMIF(H:H,Online_eCommerce[[#This Row],[Brand]],M:M)</f>
        <v>5538520</v>
      </c>
      <c r="T5003" s="13">
        <f>SUMIF(N:N,Online_eCommerce[[#This Row],[Assigned Supervisor]],L:L)</f>
        <v>12220830</v>
      </c>
    </row>
    <row r="5004" spans="1:20" hidden="1" x14ac:dyDescent="0.3">
      <c r="A5004" t="s">
        <v>7432</v>
      </c>
      <c r="B5004" t="s">
        <v>73</v>
      </c>
      <c r="C5004" t="s">
        <v>45</v>
      </c>
      <c r="D5004" t="s">
        <v>7423</v>
      </c>
      <c r="E5004" t="s">
        <v>18</v>
      </c>
      <c r="F5004" t="s">
        <v>47</v>
      </c>
      <c r="G5004" t="s">
        <v>334</v>
      </c>
      <c r="H5004" t="s">
        <v>49</v>
      </c>
      <c r="I5004">
        <v>7650</v>
      </c>
      <c r="J5004">
        <v>9945</v>
      </c>
      <c r="K5004">
        <v>2</v>
      </c>
      <c r="L5004">
        <v>15300</v>
      </c>
      <c r="M5004">
        <v>19890</v>
      </c>
      <c r="N5004" t="s">
        <v>35</v>
      </c>
      <c r="O5004">
        <f t="shared" si="156"/>
        <v>39780</v>
      </c>
      <c r="P5004" s="13">
        <f t="shared" si="157"/>
        <v>2842554</v>
      </c>
      <c r="Q5004" s="13">
        <f>SUMIFS(M:M,E:E,Online_eCommerce[[#This Row],[Status]])</f>
        <v>28340455</v>
      </c>
      <c r="R5004" s="13">
        <f>SUMIFS(L:L,H:H,Online_eCommerce[[#This Row],[Brand]])</f>
        <v>4528350</v>
      </c>
      <c r="S5004" s="13">
        <f>SUMIF(H:H,Online_eCommerce[[#This Row],[Brand]],M:M)</f>
        <v>5886855</v>
      </c>
      <c r="T5004" s="13">
        <f>SUMIF(N:N,Online_eCommerce[[#This Row],[Assigned Supervisor]],L:L)</f>
        <v>14373360</v>
      </c>
    </row>
    <row r="5005" spans="1:20" hidden="1" x14ac:dyDescent="0.3">
      <c r="A5005" t="s">
        <v>7433</v>
      </c>
      <c r="B5005" t="s">
        <v>80</v>
      </c>
      <c r="C5005" t="s">
        <v>52</v>
      </c>
      <c r="D5005" t="s">
        <v>7423</v>
      </c>
      <c r="E5005" t="s">
        <v>161</v>
      </c>
      <c r="F5005" t="s">
        <v>53</v>
      </c>
      <c r="G5005" t="s">
        <v>54</v>
      </c>
      <c r="H5005" t="s">
        <v>55</v>
      </c>
      <c r="I5005">
        <v>1150</v>
      </c>
      <c r="J5005">
        <v>1495</v>
      </c>
      <c r="K5005">
        <v>4</v>
      </c>
      <c r="L5005">
        <v>4600</v>
      </c>
      <c r="M5005">
        <v>5980</v>
      </c>
      <c r="N5005" t="s">
        <v>42</v>
      </c>
      <c r="O5005">
        <f t="shared" si="156"/>
        <v>2990</v>
      </c>
      <c r="P5005" s="13">
        <f t="shared" si="157"/>
        <v>1955044</v>
      </c>
      <c r="Q5005" s="13">
        <f>SUMIFS(M:M,E:E,Online_eCommerce[[#This Row],[Status]])</f>
        <v>21103186</v>
      </c>
      <c r="R5005" s="13">
        <f>SUMIFS(L:L,H:H,Online_eCommerce[[#This Row],[Brand]])</f>
        <v>2267380</v>
      </c>
      <c r="S5005" s="13">
        <f>SUMIF(H:H,Online_eCommerce[[#This Row],[Brand]],M:M)</f>
        <v>2947594</v>
      </c>
      <c r="T5005" s="13">
        <f>SUMIF(N:N,Online_eCommerce[[#This Row],[Assigned Supervisor]],L:L)</f>
        <v>12261500</v>
      </c>
    </row>
    <row r="5006" spans="1:20" x14ac:dyDescent="0.3">
      <c r="A5006" t="s">
        <v>7434</v>
      </c>
      <c r="B5006" t="s">
        <v>85</v>
      </c>
      <c r="C5006" t="s">
        <v>58</v>
      </c>
      <c r="D5006" t="s">
        <v>7423</v>
      </c>
      <c r="E5006" t="s">
        <v>46</v>
      </c>
      <c r="F5006" t="s">
        <v>59</v>
      </c>
      <c r="G5006" t="s">
        <v>60</v>
      </c>
      <c r="H5006" t="s">
        <v>61</v>
      </c>
      <c r="I5006">
        <v>850</v>
      </c>
      <c r="J5006">
        <v>1105</v>
      </c>
      <c r="K5006">
        <v>4</v>
      </c>
      <c r="L5006">
        <v>3400</v>
      </c>
      <c r="M5006">
        <v>4420</v>
      </c>
      <c r="N5006" t="s">
        <v>50</v>
      </c>
      <c r="O5006">
        <f t="shared" si="156"/>
        <v>3315</v>
      </c>
      <c r="P5006" s="13">
        <f t="shared" si="157"/>
        <v>2629211</v>
      </c>
      <c r="Q5006" s="13">
        <f>SUMIFS(M:M,E:E,Online_eCommerce[[#This Row],[Status]])</f>
        <v>28620410</v>
      </c>
      <c r="R5006" s="13">
        <f>SUMIFS(L:L,H:H,Online_eCommerce[[#This Row],[Brand]])</f>
        <v>10950150</v>
      </c>
      <c r="S5006" s="13">
        <f>SUMIF(H:H,Online_eCommerce[[#This Row],[Brand]],M:M)</f>
        <v>14235195</v>
      </c>
      <c r="T5006" s="13">
        <f>SUMIF(N:N,Online_eCommerce[[#This Row],[Assigned Supervisor]],L:L)</f>
        <v>12100590</v>
      </c>
    </row>
    <row r="5007" spans="1:20" hidden="1" x14ac:dyDescent="0.3">
      <c r="A5007" t="s">
        <v>7435</v>
      </c>
      <c r="B5007" t="s">
        <v>90</v>
      </c>
      <c r="C5007" t="s">
        <v>63</v>
      </c>
      <c r="D5007" t="s">
        <v>7423</v>
      </c>
      <c r="E5007" t="s">
        <v>96</v>
      </c>
      <c r="F5007" t="s">
        <v>65</v>
      </c>
      <c r="G5007" t="s">
        <v>66</v>
      </c>
      <c r="H5007" t="s">
        <v>21</v>
      </c>
      <c r="I5007">
        <v>650</v>
      </c>
      <c r="J5007">
        <v>845</v>
      </c>
      <c r="K5007">
        <v>1</v>
      </c>
      <c r="L5007">
        <v>650</v>
      </c>
      <c r="M5007">
        <v>845</v>
      </c>
      <c r="N5007" t="s">
        <v>56</v>
      </c>
      <c r="O5007">
        <f t="shared" si="156"/>
        <v>1690</v>
      </c>
      <c r="P5007" s="13">
        <f t="shared" si="157"/>
        <v>2016131</v>
      </c>
      <c r="Q5007" s="13">
        <f>SUMIFS(M:M,E:E,Online_eCommerce[[#This Row],[Status]])</f>
        <v>21233992</v>
      </c>
      <c r="R5007" s="13">
        <f>SUMIFS(L:L,H:H,Online_eCommerce[[#This Row],[Brand]])</f>
        <v>12435650</v>
      </c>
      <c r="S5007" s="13">
        <f>SUMIF(H:H,Online_eCommerce[[#This Row],[Brand]],M:M)</f>
        <v>16166345</v>
      </c>
      <c r="T5007" s="13">
        <f>SUMIF(N:N,Online_eCommerce[[#This Row],[Assigned Supervisor]],L:L)</f>
        <v>11733610</v>
      </c>
    </row>
    <row r="5008" spans="1:20" hidden="1" x14ac:dyDescent="0.3">
      <c r="A5008" t="s">
        <v>7436</v>
      </c>
      <c r="B5008" t="s">
        <v>232</v>
      </c>
      <c r="C5008" t="s">
        <v>68</v>
      </c>
      <c r="D5008" t="s">
        <v>7423</v>
      </c>
      <c r="E5008" t="s">
        <v>18</v>
      </c>
      <c r="F5008" t="s">
        <v>70</v>
      </c>
      <c r="G5008" t="s">
        <v>71</v>
      </c>
      <c r="H5008" t="s">
        <v>61</v>
      </c>
      <c r="I5008">
        <v>7500</v>
      </c>
      <c r="J5008">
        <v>9750</v>
      </c>
      <c r="K5008">
        <v>3</v>
      </c>
      <c r="L5008">
        <v>22500</v>
      </c>
      <c r="M5008">
        <v>29250</v>
      </c>
      <c r="N5008" t="s">
        <v>22</v>
      </c>
      <c r="O5008">
        <f t="shared" si="156"/>
        <v>9750</v>
      </c>
      <c r="P5008" s="13">
        <f t="shared" si="157"/>
        <v>2974621</v>
      </c>
      <c r="Q5008" s="13">
        <f>SUMIFS(M:M,E:E,Online_eCommerce[[#This Row],[Status]])</f>
        <v>28340455</v>
      </c>
      <c r="R5008" s="13">
        <f>SUMIFS(L:L,H:H,Online_eCommerce[[#This Row],[Brand]])</f>
        <v>10950150</v>
      </c>
      <c r="S5008" s="13">
        <f>SUMIF(H:H,Online_eCommerce[[#This Row],[Brand]],M:M)</f>
        <v>14235195</v>
      </c>
      <c r="T5008" s="13">
        <f>SUMIF(N:N,Online_eCommerce[[#This Row],[Assigned Supervisor]],L:L)</f>
        <v>13693220</v>
      </c>
    </row>
    <row r="5009" spans="1:20" hidden="1" x14ac:dyDescent="0.3">
      <c r="A5009" t="s">
        <v>7437</v>
      </c>
      <c r="B5009" t="s">
        <v>235</v>
      </c>
      <c r="C5009" t="s">
        <v>74</v>
      </c>
      <c r="D5009" t="s">
        <v>7423</v>
      </c>
      <c r="E5009" t="s">
        <v>161</v>
      </c>
      <c r="F5009" t="s">
        <v>7424</v>
      </c>
      <c r="G5009" t="s">
        <v>77</v>
      </c>
      <c r="H5009" t="s">
        <v>78</v>
      </c>
      <c r="I5009">
        <v>10000</v>
      </c>
      <c r="J5009">
        <v>13000</v>
      </c>
      <c r="K5009">
        <v>3</v>
      </c>
      <c r="L5009">
        <v>30000</v>
      </c>
      <c r="M5009">
        <v>39000</v>
      </c>
      <c r="N5009" t="s">
        <v>28</v>
      </c>
      <c r="O5009">
        <f t="shared" si="156"/>
        <v>39000</v>
      </c>
      <c r="P5009" s="13">
        <f t="shared" si="157"/>
        <v>2144701</v>
      </c>
      <c r="Q5009" s="13">
        <f>SUMIFS(M:M,E:E,Online_eCommerce[[#This Row],[Status]])</f>
        <v>21103186</v>
      </c>
      <c r="R5009" s="13">
        <f>SUMIFS(L:L,H:H,Online_eCommerce[[#This Row],[Brand]])</f>
        <v>3720000</v>
      </c>
      <c r="S5009" s="13">
        <f>SUMIF(H:H,Online_eCommerce[[#This Row],[Brand]],M:M)</f>
        <v>4836000</v>
      </c>
      <c r="T5009" s="13">
        <f>SUMIF(N:N,Online_eCommerce[[#This Row],[Assigned Supervisor]],L:L)</f>
        <v>12220830</v>
      </c>
    </row>
    <row r="5010" spans="1:20" x14ac:dyDescent="0.3">
      <c r="A5010" t="s">
        <v>7438</v>
      </c>
      <c r="B5010" t="s">
        <v>104</v>
      </c>
      <c r="C5010" t="s">
        <v>81</v>
      </c>
      <c r="D5010" t="s">
        <v>7423</v>
      </c>
      <c r="E5010" t="s">
        <v>46</v>
      </c>
      <c r="F5010" t="s">
        <v>7439</v>
      </c>
      <c r="G5010" t="s">
        <v>20</v>
      </c>
      <c r="H5010" t="s">
        <v>21</v>
      </c>
      <c r="I5010">
        <v>10500</v>
      </c>
      <c r="J5010">
        <v>13650</v>
      </c>
      <c r="K5010">
        <v>1</v>
      </c>
      <c r="L5010">
        <v>10500</v>
      </c>
      <c r="M5010">
        <v>13650</v>
      </c>
      <c r="N5010" t="s">
        <v>35</v>
      </c>
      <c r="O5010">
        <f t="shared" si="156"/>
        <v>8450</v>
      </c>
      <c r="P5010" s="13">
        <f t="shared" si="157"/>
        <v>2595632</v>
      </c>
      <c r="Q5010" s="13">
        <f>SUMIFS(M:M,E:E,Online_eCommerce[[#This Row],[Status]])</f>
        <v>28620410</v>
      </c>
      <c r="R5010" s="13">
        <f>SUMIFS(L:L,H:H,Online_eCommerce[[#This Row],[Brand]])</f>
        <v>12435650</v>
      </c>
      <c r="S5010" s="13">
        <f>SUMIF(H:H,Online_eCommerce[[#This Row],[Brand]],M:M)</f>
        <v>16166345</v>
      </c>
      <c r="T5010" s="13">
        <f>SUMIF(N:N,Online_eCommerce[[#This Row],[Assigned Supervisor]],L:L)</f>
        <v>14373360</v>
      </c>
    </row>
    <row r="5011" spans="1:20" hidden="1" x14ac:dyDescent="0.3">
      <c r="A5011" t="s">
        <v>7440</v>
      </c>
      <c r="B5011" t="s">
        <v>109</v>
      </c>
      <c r="C5011" t="s">
        <v>86</v>
      </c>
      <c r="D5011" t="s">
        <v>7423</v>
      </c>
      <c r="E5011" t="s">
        <v>96</v>
      </c>
      <c r="F5011" t="s">
        <v>88</v>
      </c>
      <c r="G5011" t="s">
        <v>26</v>
      </c>
      <c r="H5011" t="s">
        <v>27</v>
      </c>
      <c r="I5011">
        <v>8500</v>
      </c>
      <c r="J5011">
        <v>11050</v>
      </c>
      <c r="K5011">
        <v>2</v>
      </c>
      <c r="L5011">
        <v>17000</v>
      </c>
      <c r="M5011">
        <v>22100</v>
      </c>
      <c r="N5011" t="s">
        <v>42</v>
      </c>
      <c r="O5011">
        <f t="shared" si="156"/>
        <v>33150</v>
      </c>
      <c r="P5011" s="13">
        <f t="shared" si="157"/>
        <v>1941225</v>
      </c>
      <c r="Q5011" s="13">
        <f>SUMIFS(M:M,E:E,Online_eCommerce[[#This Row],[Status]])</f>
        <v>21233992</v>
      </c>
      <c r="R5011" s="13">
        <f>SUMIFS(L:L,H:H,Online_eCommerce[[#This Row],[Brand]])</f>
        <v>14431000</v>
      </c>
      <c r="S5011" s="13">
        <f>SUMIF(H:H,Online_eCommerce[[#This Row],[Brand]],M:M)</f>
        <v>18760300</v>
      </c>
      <c r="T5011" s="13">
        <f>SUMIF(N:N,Online_eCommerce[[#This Row],[Assigned Supervisor]],L:L)</f>
        <v>12261500</v>
      </c>
    </row>
    <row r="5012" spans="1:20" hidden="1" x14ac:dyDescent="0.3">
      <c r="A5012" t="s">
        <v>7441</v>
      </c>
      <c r="B5012" t="s">
        <v>114</v>
      </c>
      <c r="C5012" t="s">
        <v>91</v>
      </c>
      <c r="D5012" t="s">
        <v>7423</v>
      </c>
      <c r="E5012" t="s">
        <v>18</v>
      </c>
      <c r="F5012" t="s">
        <v>32</v>
      </c>
      <c r="G5012" t="s">
        <v>33</v>
      </c>
      <c r="H5012" t="s">
        <v>34</v>
      </c>
      <c r="I5012">
        <v>7000</v>
      </c>
      <c r="J5012">
        <v>9100</v>
      </c>
      <c r="K5012">
        <v>1</v>
      </c>
      <c r="L5012">
        <v>7000</v>
      </c>
      <c r="M5012">
        <v>9100</v>
      </c>
      <c r="N5012" t="s">
        <v>50</v>
      </c>
      <c r="O5012">
        <f t="shared" si="156"/>
        <v>18200</v>
      </c>
      <c r="P5012" s="13">
        <f t="shared" si="157"/>
        <v>2731963</v>
      </c>
      <c r="Q5012" s="13">
        <f>SUMIFS(M:M,E:E,Online_eCommerce[[#This Row],[Status]])</f>
        <v>28340455</v>
      </c>
      <c r="R5012" s="13">
        <f>SUMIFS(L:L,H:H,Online_eCommerce[[#This Row],[Brand]])</f>
        <v>10087000</v>
      </c>
      <c r="S5012" s="13">
        <f>SUMIF(H:H,Online_eCommerce[[#This Row],[Brand]],M:M)</f>
        <v>13113100</v>
      </c>
      <c r="T5012" s="13">
        <f>SUMIF(N:N,Online_eCommerce[[#This Row],[Assigned Supervisor]],L:L)</f>
        <v>12100590</v>
      </c>
    </row>
    <row r="5013" spans="1:20" hidden="1" x14ac:dyDescent="0.3">
      <c r="A5013" t="s">
        <v>7442</v>
      </c>
      <c r="B5013" t="s">
        <v>119</v>
      </c>
      <c r="C5013" t="s">
        <v>94</v>
      </c>
      <c r="D5013" t="s">
        <v>7423</v>
      </c>
      <c r="E5013" t="s">
        <v>161</v>
      </c>
      <c r="F5013" t="s">
        <v>7443</v>
      </c>
      <c r="G5013" t="s">
        <v>40</v>
      </c>
      <c r="H5013" t="s">
        <v>41</v>
      </c>
      <c r="I5013">
        <v>1680</v>
      </c>
      <c r="J5013">
        <v>2184</v>
      </c>
      <c r="K5013">
        <v>2</v>
      </c>
      <c r="L5013">
        <v>3360</v>
      </c>
      <c r="M5013">
        <v>4368</v>
      </c>
      <c r="N5013" t="s">
        <v>56</v>
      </c>
      <c r="O5013">
        <f t="shared" si="156"/>
        <v>25545</v>
      </c>
      <c r="P5013" s="13">
        <f t="shared" si="157"/>
        <v>1868256</v>
      </c>
      <c r="Q5013" s="13">
        <f>SUMIFS(M:M,E:E,Online_eCommerce[[#This Row],[Status]])</f>
        <v>21103186</v>
      </c>
      <c r="R5013" s="13">
        <f>SUMIFS(L:L,H:H,Online_eCommerce[[#This Row],[Brand]])</f>
        <v>4260400</v>
      </c>
      <c r="S5013" s="13">
        <f>SUMIF(H:H,Online_eCommerce[[#This Row],[Brand]],M:M)</f>
        <v>5538520</v>
      </c>
      <c r="T5013" s="13">
        <f>SUMIF(N:N,Online_eCommerce[[#This Row],[Assigned Supervisor]],L:L)</f>
        <v>11733610</v>
      </c>
    </row>
    <row r="5014" spans="1:20" x14ac:dyDescent="0.3">
      <c r="A5014" t="s">
        <v>7444</v>
      </c>
      <c r="B5014" t="s">
        <v>124</v>
      </c>
      <c r="C5014" t="s">
        <v>99</v>
      </c>
      <c r="D5014" t="s">
        <v>7423</v>
      </c>
      <c r="E5014" t="s">
        <v>46</v>
      </c>
      <c r="F5014" t="s">
        <v>101</v>
      </c>
      <c r="G5014" t="s">
        <v>334</v>
      </c>
      <c r="H5014" t="s">
        <v>102</v>
      </c>
      <c r="I5014">
        <v>6540</v>
      </c>
      <c r="J5014">
        <v>8502</v>
      </c>
      <c r="K5014">
        <v>4</v>
      </c>
      <c r="L5014">
        <v>26160</v>
      </c>
      <c r="M5014">
        <v>34008</v>
      </c>
      <c r="N5014" t="s">
        <v>22</v>
      </c>
      <c r="O5014">
        <f t="shared" si="156"/>
        <v>39780</v>
      </c>
      <c r="P5014" s="13">
        <f t="shared" si="157"/>
        <v>2651233</v>
      </c>
      <c r="Q5014" s="13">
        <f>SUMIFS(M:M,E:E,Online_eCommerce[[#This Row],[Status]])</f>
        <v>28620410</v>
      </c>
      <c r="R5014" s="13">
        <f>SUMIFS(L:L,H:H,Online_eCommerce[[#This Row],[Brand]])</f>
        <v>2465580</v>
      </c>
      <c r="S5014" s="13">
        <f>SUMIF(H:H,Online_eCommerce[[#This Row],[Brand]],M:M)</f>
        <v>3205254</v>
      </c>
      <c r="T5014" s="13">
        <f>SUMIF(N:N,Online_eCommerce[[#This Row],[Assigned Supervisor]],L:L)</f>
        <v>13693220</v>
      </c>
    </row>
    <row r="5015" spans="1:20" hidden="1" x14ac:dyDescent="0.3">
      <c r="A5015" t="s">
        <v>7445</v>
      </c>
      <c r="B5015" t="s">
        <v>128</v>
      </c>
      <c r="C5015" t="s">
        <v>105</v>
      </c>
      <c r="D5015" t="s">
        <v>7423</v>
      </c>
      <c r="E5015" t="s">
        <v>96</v>
      </c>
      <c r="F5015" t="s">
        <v>107</v>
      </c>
      <c r="G5015" t="s">
        <v>54</v>
      </c>
      <c r="H5015" t="s">
        <v>55</v>
      </c>
      <c r="I5015">
        <v>2680</v>
      </c>
      <c r="J5015">
        <v>3484</v>
      </c>
      <c r="K5015">
        <v>4</v>
      </c>
      <c r="L5015">
        <v>10720</v>
      </c>
      <c r="M5015">
        <v>13936</v>
      </c>
      <c r="N5015" t="s">
        <v>28</v>
      </c>
      <c r="O5015">
        <f t="shared" si="156"/>
        <v>2990</v>
      </c>
      <c r="P5015" s="13">
        <f t="shared" si="157"/>
        <v>1866852</v>
      </c>
      <c r="Q5015" s="13">
        <f>SUMIFS(M:M,E:E,Online_eCommerce[[#This Row],[Status]])</f>
        <v>21233992</v>
      </c>
      <c r="R5015" s="13">
        <f>SUMIFS(L:L,H:H,Online_eCommerce[[#This Row],[Brand]])</f>
        <v>2267380</v>
      </c>
      <c r="S5015" s="13">
        <f>SUMIF(H:H,Online_eCommerce[[#This Row],[Brand]],M:M)</f>
        <v>2947594</v>
      </c>
      <c r="T5015" s="13">
        <f>SUMIF(N:N,Online_eCommerce[[#This Row],[Assigned Supervisor]],L:L)</f>
        <v>12220830</v>
      </c>
    </row>
    <row r="5016" spans="1:20" hidden="1" x14ac:dyDescent="0.3">
      <c r="A5016" t="s">
        <v>7446</v>
      </c>
      <c r="B5016" t="s">
        <v>131</v>
      </c>
      <c r="C5016" t="s">
        <v>110</v>
      </c>
      <c r="D5016" t="s">
        <v>7423</v>
      </c>
      <c r="E5016" t="s">
        <v>18</v>
      </c>
      <c r="F5016" t="s">
        <v>112</v>
      </c>
      <c r="G5016" t="s">
        <v>71</v>
      </c>
      <c r="H5016" t="s">
        <v>21</v>
      </c>
      <c r="I5016">
        <v>8250</v>
      </c>
      <c r="J5016">
        <v>10725</v>
      </c>
      <c r="K5016">
        <v>2</v>
      </c>
      <c r="L5016">
        <v>16500</v>
      </c>
      <c r="M5016">
        <v>21450</v>
      </c>
      <c r="N5016" t="s">
        <v>35</v>
      </c>
      <c r="O5016">
        <f t="shared" si="156"/>
        <v>9750</v>
      </c>
      <c r="P5016" s="13">
        <f t="shared" si="157"/>
        <v>2598635</v>
      </c>
      <c r="Q5016" s="13">
        <f>SUMIFS(M:M,E:E,Online_eCommerce[[#This Row],[Status]])</f>
        <v>28340455</v>
      </c>
      <c r="R5016" s="13">
        <f>SUMIFS(L:L,H:H,Online_eCommerce[[#This Row],[Brand]])</f>
        <v>12435650</v>
      </c>
      <c r="S5016" s="13">
        <f>SUMIF(H:H,Online_eCommerce[[#This Row],[Brand]],M:M)</f>
        <v>16166345</v>
      </c>
      <c r="T5016" s="13">
        <f>SUMIF(N:N,Online_eCommerce[[#This Row],[Assigned Supervisor]],L:L)</f>
        <v>14373360</v>
      </c>
    </row>
    <row r="5017" spans="1:20" hidden="1" x14ac:dyDescent="0.3">
      <c r="A5017" t="s">
        <v>7447</v>
      </c>
      <c r="B5017" t="s">
        <v>135</v>
      </c>
      <c r="C5017" t="s">
        <v>115</v>
      </c>
      <c r="D5017" t="s">
        <v>7423</v>
      </c>
      <c r="E5017" t="s">
        <v>161</v>
      </c>
      <c r="F5017" t="s">
        <v>6984</v>
      </c>
      <c r="G5017" t="s">
        <v>40</v>
      </c>
      <c r="H5017" t="s">
        <v>21</v>
      </c>
      <c r="I5017">
        <v>2650</v>
      </c>
      <c r="J5017">
        <v>3445</v>
      </c>
      <c r="K5017">
        <v>3</v>
      </c>
      <c r="L5017">
        <v>7950</v>
      </c>
      <c r="M5017">
        <v>10335</v>
      </c>
      <c r="N5017" t="s">
        <v>42</v>
      </c>
      <c r="O5017">
        <f t="shared" si="156"/>
        <v>25545</v>
      </c>
      <c r="P5017" s="13">
        <f t="shared" si="157"/>
        <v>2050178</v>
      </c>
      <c r="Q5017" s="13">
        <f>SUMIFS(M:M,E:E,Online_eCommerce[[#This Row],[Status]])</f>
        <v>21103186</v>
      </c>
      <c r="R5017" s="13">
        <f>SUMIFS(L:L,H:H,Online_eCommerce[[#This Row],[Brand]])</f>
        <v>12435650</v>
      </c>
      <c r="S5017" s="13">
        <f>SUMIF(H:H,Online_eCommerce[[#This Row],[Brand]],M:M)</f>
        <v>16166345</v>
      </c>
      <c r="T5017" s="13">
        <f>SUMIF(N:N,Online_eCommerce[[#This Row],[Assigned Supervisor]],L:L)</f>
        <v>12261500</v>
      </c>
    </row>
    <row r="5018" spans="1:20" x14ac:dyDescent="0.3">
      <c r="A5018" t="s">
        <v>7448</v>
      </c>
      <c r="B5018" t="s">
        <v>139</v>
      </c>
      <c r="C5018" t="s">
        <v>120</v>
      </c>
      <c r="D5018" t="s">
        <v>7423</v>
      </c>
      <c r="E5018" t="s">
        <v>46</v>
      </c>
      <c r="F5018" t="s">
        <v>121</v>
      </c>
      <c r="G5018" t="s">
        <v>71</v>
      </c>
      <c r="H5018" t="s">
        <v>122</v>
      </c>
      <c r="I5018">
        <v>12550</v>
      </c>
      <c r="J5018">
        <v>16315</v>
      </c>
      <c r="K5018">
        <v>3</v>
      </c>
      <c r="L5018">
        <v>37650</v>
      </c>
      <c r="M5018">
        <v>48945</v>
      </c>
      <c r="N5018" t="s">
        <v>50</v>
      </c>
      <c r="O5018">
        <f t="shared" si="156"/>
        <v>9750</v>
      </c>
      <c r="P5018" s="13">
        <f t="shared" si="157"/>
        <v>2734212</v>
      </c>
      <c r="Q5018" s="13">
        <f>SUMIFS(M:M,E:E,Online_eCommerce[[#This Row],[Status]])</f>
        <v>28620410</v>
      </c>
      <c r="R5018" s="13">
        <f>SUMIFS(L:L,H:H,Online_eCommerce[[#This Row],[Brand]])</f>
        <v>5045100</v>
      </c>
      <c r="S5018" s="13">
        <f>SUMIF(H:H,Online_eCommerce[[#This Row],[Brand]],M:M)</f>
        <v>6558630</v>
      </c>
      <c r="T5018" s="13">
        <f>SUMIF(N:N,Online_eCommerce[[#This Row],[Assigned Supervisor]],L:L)</f>
        <v>12100590</v>
      </c>
    </row>
    <row r="5019" spans="1:20" hidden="1" x14ac:dyDescent="0.3">
      <c r="A5019" t="s">
        <v>7449</v>
      </c>
      <c r="B5019" t="s">
        <v>144</v>
      </c>
      <c r="C5019" t="s">
        <v>125</v>
      </c>
      <c r="D5019" t="s">
        <v>7423</v>
      </c>
      <c r="E5019" t="s">
        <v>96</v>
      </c>
      <c r="F5019" t="s">
        <v>126</v>
      </c>
      <c r="G5019" t="s">
        <v>26</v>
      </c>
      <c r="H5019" t="s">
        <v>27</v>
      </c>
      <c r="I5019">
        <v>14500</v>
      </c>
      <c r="J5019">
        <v>18850</v>
      </c>
      <c r="K5019">
        <v>2</v>
      </c>
      <c r="L5019">
        <v>29000</v>
      </c>
      <c r="M5019">
        <v>37700</v>
      </c>
      <c r="N5019" t="s">
        <v>56</v>
      </c>
      <c r="O5019">
        <f t="shared" si="156"/>
        <v>33150</v>
      </c>
      <c r="P5019" s="13">
        <f t="shared" si="157"/>
        <v>2091154</v>
      </c>
      <c r="Q5019" s="13">
        <f>SUMIFS(M:M,E:E,Online_eCommerce[[#This Row],[Status]])</f>
        <v>21233992</v>
      </c>
      <c r="R5019" s="13">
        <f>SUMIFS(L:L,H:H,Online_eCommerce[[#This Row],[Brand]])</f>
        <v>14431000</v>
      </c>
      <c r="S5019" s="13">
        <f>SUMIF(H:H,Online_eCommerce[[#This Row],[Brand]],M:M)</f>
        <v>18760300</v>
      </c>
      <c r="T5019" s="13">
        <f>SUMIF(N:N,Online_eCommerce[[#This Row],[Assigned Supervisor]],L:L)</f>
        <v>11733610</v>
      </c>
    </row>
    <row r="5020" spans="1:20" hidden="1" x14ac:dyDescent="0.3">
      <c r="A5020" t="s">
        <v>7450</v>
      </c>
      <c r="B5020" t="s">
        <v>149</v>
      </c>
      <c r="C5020" t="s">
        <v>22</v>
      </c>
      <c r="D5020" t="s">
        <v>7423</v>
      </c>
      <c r="E5020" t="s">
        <v>18</v>
      </c>
      <c r="F5020" t="s">
        <v>129</v>
      </c>
      <c r="G5020" t="s">
        <v>60</v>
      </c>
      <c r="H5020" t="s">
        <v>61</v>
      </c>
      <c r="I5020">
        <v>800</v>
      </c>
      <c r="J5020">
        <v>1040</v>
      </c>
      <c r="K5020">
        <v>3</v>
      </c>
      <c r="L5020">
        <v>2400</v>
      </c>
      <c r="M5020">
        <v>3120</v>
      </c>
      <c r="N5020" t="s">
        <v>22</v>
      </c>
      <c r="O5020">
        <f t="shared" si="156"/>
        <v>3315</v>
      </c>
      <c r="P5020" s="13">
        <f t="shared" si="157"/>
        <v>2551588</v>
      </c>
      <c r="Q5020" s="13">
        <f>SUMIFS(M:M,E:E,Online_eCommerce[[#This Row],[Status]])</f>
        <v>28340455</v>
      </c>
      <c r="R5020" s="13">
        <f>SUMIFS(L:L,H:H,Online_eCommerce[[#This Row],[Brand]])</f>
        <v>10950150</v>
      </c>
      <c r="S5020" s="13">
        <f>SUMIF(H:H,Online_eCommerce[[#This Row],[Brand]],M:M)</f>
        <v>14235195</v>
      </c>
      <c r="T5020" s="13">
        <f>SUMIF(N:N,Online_eCommerce[[#This Row],[Assigned Supervisor]],L:L)</f>
        <v>13693220</v>
      </c>
    </row>
    <row r="5021" spans="1:20" hidden="1" x14ac:dyDescent="0.3">
      <c r="A5021" t="s">
        <v>7451</v>
      </c>
      <c r="B5021" t="s">
        <v>154</v>
      </c>
      <c r="C5021" t="s">
        <v>132</v>
      </c>
      <c r="D5021" t="s">
        <v>7452</v>
      </c>
      <c r="E5021" t="s">
        <v>161</v>
      </c>
      <c r="F5021" t="s">
        <v>133</v>
      </c>
      <c r="G5021" t="s">
        <v>66</v>
      </c>
      <c r="H5021" t="s">
        <v>21</v>
      </c>
      <c r="I5021">
        <v>600</v>
      </c>
      <c r="J5021">
        <v>780</v>
      </c>
      <c r="K5021">
        <v>3</v>
      </c>
      <c r="L5021">
        <v>1800</v>
      </c>
      <c r="M5021">
        <v>2340</v>
      </c>
      <c r="N5021" t="s">
        <v>28</v>
      </c>
      <c r="O5021">
        <f t="shared" si="156"/>
        <v>1690</v>
      </c>
      <c r="P5021" s="13">
        <f t="shared" si="157"/>
        <v>1989065</v>
      </c>
      <c r="Q5021" s="13">
        <f>SUMIFS(M:M,E:E,Online_eCommerce[[#This Row],[Status]])</f>
        <v>21103186</v>
      </c>
      <c r="R5021" s="13">
        <f>SUMIFS(L:L,H:H,Online_eCommerce[[#This Row],[Brand]])</f>
        <v>12435650</v>
      </c>
      <c r="S5021" s="13">
        <f>SUMIF(H:H,Online_eCommerce[[#This Row],[Brand]],M:M)</f>
        <v>16166345</v>
      </c>
      <c r="T5021" s="13">
        <f>SUMIF(N:N,Online_eCommerce[[#This Row],[Assigned Supervisor]],L:L)</f>
        <v>12220830</v>
      </c>
    </row>
    <row r="5022" spans="1:20" x14ac:dyDescent="0.3">
      <c r="A5022" t="s">
        <v>7453</v>
      </c>
      <c r="B5022" t="s">
        <v>159</v>
      </c>
      <c r="C5022" t="s">
        <v>136</v>
      </c>
      <c r="D5022" t="s">
        <v>7454</v>
      </c>
      <c r="E5022" t="s">
        <v>46</v>
      </c>
      <c r="F5022" t="s">
        <v>137</v>
      </c>
      <c r="G5022" t="s">
        <v>71</v>
      </c>
      <c r="H5022" t="s">
        <v>61</v>
      </c>
      <c r="I5022">
        <v>10500</v>
      </c>
      <c r="J5022">
        <v>13650</v>
      </c>
      <c r="K5022">
        <v>2</v>
      </c>
      <c r="L5022">
        <v>21000</v>
      </c>
      <c r="M5022">
        <v>27300</v>
      </c>
      <c r="N5022" t="s">
        <v>35</v>
      </c>
      <c r="O5022">
        <f t="shared" si="156"/>
        <v>9750</v>
      </c>
      <c r="P5022" s="13">
        <f t="shared" si="157"/>
        <v>2775162</v>
      </c>
      <c r="Q5022" s="13">
        <f>SUMIFS(M:M,E:E,Online_eCommerce[[#This Row],[Status]])</f>
        <v>28620410</v>
      </c>
      <c r="R5022" s="13">
        <f>SUMIFS(L:L,H:H,Online_eCommerce[[#This Row],[Brand]])</f>
        <v>10950150</v>
      </c>
      <c r="S5022" s="13">
        <f>SUMIF(H:H,Online_eCommerce[[#This Row],[Brand]],M:M)</f>
        <v>14235195</v>
      </c>
      <c r="T5022" s="13">
        <f>SUMIF(N:N,Online_eCommerce[[#This Row],[Assigned Supervisor]],L:L)</f>
        <v>14373360</v>
      </c>
    </row>
    <row r="5023" spans="1:20" hidden="1" x14ac:dyDescent="0.3">
      <c r="A5023" t="s">
        <v>7455</v>
      </c>
      <c r="B5023" t="s">
        <v>139</v>
      </c>
      <c r="C5023" t="s">
        <v>140</v>
      </c>
      <c r="D5023" t="s">
        <v>7456</v>
      </c>
      <c r="E5023" t="s">
        <v>96</v>
      </c>
      <c r="F5023" t="s">
        <v>7424</v>
      </c>
      <c r="G5023" t="s">
        <v>77</v>
      </c>
      <c r="H5023" t="s">
        <v>142</v>
      </c>
      <c r="I5023">
        <v>6500</v>
      </c>
      <c r="J5023">
        <v>8450</v>
      </c>
      <c r="K5023">
        <v>4</v>
      </c>
      <c r="L5023">
        <v>26000</v>
      </c>
      <c r="M5023">
        <v>33800</v>
      </c>
      <c r="N5023" t="s">
        <v>42</v>
      </c>
      <c r="O5023">
        <f t="shared" si="156"/>
        <v>39000</v>
      </c>
      <c r="P5023" s="13">
        <f t="shared" si="157"/>
        <v>2058264</v>
      </c>
      <c r="Q5023" s="13">
        <f>SUMIFS(M:M,E:E,Online_eCommerce[[#This Row],[Status]])</f>
        <v>21233992</v>
      </c>
      <c r="R5023" s="13">
        <f>SUMIFS(L:L,H:H,Online_eCommerce[[#This Row],[Brand]])</f>
        <v>6192500</v>
      </c>
      <c r="S5023" s="13">
        <f>SUMIF(H:H,Online_eCommerce[[#This Row],[Brand]],M:M)</f>
        <v>8050250</v>
      </c>
      <c r="T5023" s="13">
        <f>SUMIF(N:N,Online_eCommerce[[#This Row],[Assigned Supervisor]],L:L)</f>
        <v>12261500</v>
      </c>
    </row>
    <row r="5024" spans="1:20" hidden="1" x14ac:dyDescent="0.3">
      <c r="A5024" t="s">
        <v>7457</v>
      </c>
      <c r="B5024" t="s">
        <v>144</v>
      </c>
      <c r="C5024" t="s">
        <v>145</v>
      </c>
      <c r="D5024" t="s">
        <v>7458</v>
      </c>
      <c r="E5024" t="s">
        <v>18</v>
      </c>
      <c r="F5024" t="s">
        <v>7459</v>
      </c>
      <c r="G5024" t="s">
        <v>20</v>
      </c>
      <c r="H5024" t="s">
        <v>21</v>
      </c>
      <c r="I5024">
        <v>4500</v>
      </c>
      <c r="J5024">
        <v>5850</v>
      </c>
      <c r="K5024">
        <v>3</v>
      </c>
      <c r="L5024">
        <v>13500</v>
      </c>
      <c r="M5024">
        <v>17550</v>
      </c>
      <c r="N5024" t="s">
        <v>50</v>
      </c>
      <c r="O5024">
        <f t="shared" si="156"/>
        <v>8450</v>
      </c>
      <c r="P5024" s="13">
        <f t="shared" si="157"/>
        <v>2757859</v>
      </c>
      <c r="Q5024" s="13">
        <f>SUMIFS(M:M,E:E,Online_eCommerce[[#This Row],[Status]])</f>
        <v>28340455</v>
      </c>
      <c r="R5024" s="13">
        <f>SUMIFS(L:L,H:H,Online_eCommerce[[#This Row],[Brand]])</f>
        <v>12435650</v>
      </c>
      <c r="S5024" s="13">
        <f>SUMIF(H:H,Online_eCommerce[[#This Row],[Brand]],M:M)</f>
        <v>16166345</v>
      </c>
      <c r="T5024" s="13">
        <f>SUMIF(N:N,Online_eCommerce[[#This Row],[Assigned Supervisor]],L:L)</f>
        <v>12100590</v>
      </c>
    </row>
    <row r="5025" spans="1:20" hidden="1" x14ac:dyDescent="0.3">
      <c r="A5025" t="s">
        <v>7460</v>
      </c>
      <c r="B5025" t="s">
        <v>235</v>
      </c>
      <c r="C5025" t="s">
        <v>150</v>
      </c>
      <c r="D5025" t="s">
        <v>7458</v>
      </c>
      <c r="E5025" t="s">
        <v>161</v>
      </c>
      <c r="F5025" t="s">
        <v>152</v>
      </c>
      <c r="G5025" t="s">
        <v>26</v>
      </c>
      <c r="H5025" t="s">
        <v>27</v>
      </c>
      <c r="I5025">
        <v>8500</v>
      </c>
      <c r="J5025">
        <v>11050</v>
      </c>
      <c r="K5025">
        <v>4</v>
      </c>
      <c r="L5025">
        <v>34000</v>
      </c>
      <c r="M5025">
        <v>44200</v>
      </c>
      <c r="N5025" t="s">
        <v>56</v>
      </c>
      <c r="O5025">
        <f t="shared" si="156"/>
        <v>33150</v>
      </c>
      <c r="P5025" s="13">
        <f t="shared" si="157"/>
        <v>2154984</v>
      </c>
      <c r="Q5025" s="13">
        <f>SUMIFS(M:M,E:E,Online_eCommerce[[#This Row],[Status]])</f>
        <v>21103186</v>
      </c>
      <c r="R5025" s="13">
        <f>SUMIFS(L:L,H:H,Online_eCommerce[[#This Row],[Brand]])</f>
        <v>14431000</v>
      </c>
      <c r="S5025" s="13">
        <f>SUMIF(H:H,Online_eCommerce[[#This Row],[Brand]],M:M)</f>
        <v>18760300</v>
      </c>
      <c r="T5025" s="13">
        <f>SUMIF(N:N,Online_eCommerce[[#This Row],[Assigned Supervisor]],L:L)</f>
        <v>11733610</v>
      </c>
    </row>
    <row r="5026" spans="1:20" x14ac:dyDescent="0.3">
      <c r="A5026" t="s">
        <v>7461</v>
      </c>
      <c r="B5026" t="s">
        <v>176</v>
      </c>
      <c r="C5026" t="s">
        <v>155</v>
      </c>
      <c r="D5026" t="s">
        <v>7458</v>
      </c>
      <c r="E5026" t="s">
        <v>46</v>
      </c>
      <c r="F5026" t="s">
        <v>157</v>
      </c>
      <c r="G5026" t="s">
        <v>33</v>
      </c>
      <c r="H5026" t="s">
        <v>34</v>
      </c>
      <c r="I5026">
        <v>12500</v>
      </c>
      <c r="J5026">
        <v>16250</v>
      </c>
      <c r="K5026">
        <v>1</v>
      </c>
      <c r="L5026">
        <v>12500</v>
      </c>
      <c r="M5026">
        <v>16250</v>
      </c>
      <c r="N5026" t="s">
        <v>22</v>
      </c>
      <c r="O5026">
        <f t="shared" si="156"/>
        <v>18200</v>
      </c>
      <c r="P5026" s="13">
        <f t="shared" si="157"/>
        <v>2753348</v>
      </c>
      <c r="Q5026" s="13">
        <f>SUMIFS(M:M,E:E,Online_eCommerce[[#This Row],[Status]])</f>
        <v>28620410</v>
      </c>
      <c r="R5026" s="13">
        <f>SUMIFS(L:L,H:H,Online_eCommerce[[#This Row],[Brand]])</f>
        <v>10087000</v>
      </c>
      <c r="S5026" s="13">
        <f>SUMIF(H:H,Online_eCommerce[[#This Row],[Brand]],M:M)</f>
        <v>13113100</v>
      </c>
      <c r="T5026" s="13">
        <f>SUMIF(N:N,Online_eCommerce[[#This Row],[Assigned Supervisor]],L:L)</f>
        <v>13693220</v>
      </c>
    </row>
    <row r="5027" spans="1:20" hidden="1" x14ac:dyDescent="0.3">
      <c r="A5027" t="s">
        <v>7462</v>
      </c>
      <c r="B5027" t="s">
        <v>276</v>
      </c>
      <c r="C5027" t="s">
        <v>160</v>
      </c>
      <c r="D5027" t="s">
        <v>7458</v>
      </c>
      <c r="E5027" t="s">
        <v>96</v>
      </c>
      <c r="F5027" t="s">
        <v>7029</v>
      </c>
      <c r="G5027" t="s">
        <v>163</v>
      </c>
      <c r="H5027" t="s">
        <v>41</v>
      </c>
      <c r="I5027">
        <v>3500</v>
      </c>
      <c r="J5027">
        <v>4550</v>
      </c>
      <c r="K5027">
        <v>2</v>
      </c>
      <c r="L5027">
        <v>7000</v>
      </c>
      <c r="M5027">
        <v>9100</v>
      </c>
      <c r="N5027" t="s">
        <v>28</v>
      </c>
      <c r="O5027">
        <f t="shared" si="156"/>
        <v>13650</v>
      </c>
      <c r="P5027" s="13">
        <f t="shared" si="157"/>
        <v>2303483</v>
      </c>
      <c r="Q5027" s="13">
        <f>SUMIFS(M:M,E:E,Online_eCommerce[[#This Row],[Status]])</f>
        <v>21233992</v>
      </c>
      <c r="R5027" s="13">
        <f>SUMIFS(L:L,H:H,Online_eCommerce[[#This Row],[Brand]])</f>
        <v>4260400</v>
      </c>
      <c r="S5027" s="13">
        <f>SUMIF(H:H,Online_eCommerce[[#This Row],[Brand]],M:M)</f>
        <v>5538520</v>
      </c>
      <c r="T5027" s="13">
        <f>SUMIF(N:N,Online_eCommerce[[#This Row],[Assigned Supervisor]],L:L)</f>
        <v>12220830</v>
      </c>
    </row>
    <row r="5028" spans="1:20" hidden="1" x14ac:dyDescent="0.3">
      <c r="A5028" t="s">
        <v>7463</v>
      </c>
      <c r="B5028" t="s">
        <v>280</v>
      </c>
      <c r="C5028" t="s">
        <v>165</v>
      </c>
      <c r="D5028" t="s">
        <v>7458</v>
      </c>
      <c r="E5028" t="s">
        <v>18</v>
      </c>
      <c r="F5028" t="s">
        <v>166</v>
      </c>
      <c r="G5028" t="s">
        <v>66</v>
      </c>
      <c r="H5028" t="s">
        <v>49</v>
      </c>
      <c r="I5028">
        <v>4500</v>
      </c>
      <c r="J5028">
        <v>5850</v>
      </c>
      <c r="K5028">
        <v>1</v>
      </c>
      <c r="L5028">
        <v>4500</v>
      </c>
      <c r="M5028">
        <v>5850</v>
      </c>
      <c r="N5028" t="s">
        <v>35</v>
      </c>
      <c r="O5028">
        <f t="shared" si="156"/>
        <v>1690</v>
      </c>
      <c r="P5028" s="13">
        <f t="shared" si="157"/>
        <v>2674087</v>
      </c>
      <c r="Q5028" s="13">
        <f>SUMIFS(M:M,E:E,Online_eCommerce[[#This Row],[Status]])</f>
        <v>28340455</v>
      </c>
      <c r="R5028" s="13">
        <f>SUMIFS(L:L,H:H,Online_eCommerce[[#This Row],[Brand]])</f>
        <v>4528350</v>
      </c>
      <c r="S5028" s="13">
        <f>SUMIF(H:H,Online_eCommerce[[#This Row],[Brand]],M:M)</f>
        <v>5886855</v>
      </c>
      <c r="T5028" s="13">
        <f>SUMIF(N:N,Online_eCommerce[[#This Row],[Assigned Supervisor]],L:L)</f>
        <v>14373360</v>
      </c>
    </row>
    <row r="5029" spans="1:20" hidden="1" x14ac:dyDescent="0.3">
      <c r="A5029" t="s">
        <v>7464</v>
      </c>
      <c r="B5029" t="s">
        <v>283</v>
      </c>
      <c r="C5029" t="s">
        <v>168</v>
      </c>
      <c r="D5029" t="s">
        <v>7458</v>
      </c>
      <c r="E5029" t="s">
        <v>161</v>
      </c>
      <c r="F5029" t="s">
        <v>7465</v>
      </c>
      <c r="G5029" t="s">
        <v>54</v>
      </c>
      <c r="H5029" t="s">
        <v>55</v>
      </c>
      <c r="I5029">
        <v>2100</v>
      </c>
      <c r="J5029">
        <v>2730</v>
      </c>
      <c r="K5029">
        <v>4</v>
      </c>
      <c r="L5029">
        <v>8400</v>
      </c>
      <c r="M5029">
        <v>10920</v>
      </c>
      <c r="N5029" t="s">
        <v>42</v>
      </c>
      <c r="O5029">
        <f t="shared" si="156"/>
        <v>2990</v>
      </c>
      <c r="P5029" s="13">
        <f t="shared" si="157"/>
        <v>1937780</v>
      </c>
      <c r="Q5029" s="13">
        <f>SUMIFS(M:M,E:E,Online_eCommerce[[#This Row],[Status]])</f>
        <v>21103186</v>
      </c>
      <c r="R5029" s="13">
        <f>SUMIFS(L:L,H:H,Online_eCommerce[[#This Row],[Brand]])</f>
        <v>2267380</v>
      </c>
      <c r="S5029" s="13">
        <f>SUMIF(H:H,Online_eCommerce[[#This Row],[Brand]],M:M)</f>
        <v>2947594</v>
      </c>
      <c r="T5029" s="13">
        <f>SUMIF(N:N,Online_eCommerce[[#This Row],[Assigned Supervisor]],L:L)</f>
        <v>12261500</v>
      </c>
    </row>
    <row r="5030" spans="1:20" x14ac:dyDescent="0.3">
      <c r="A5030" t="s">
        <v>7466</v>
      </c>
      <c r="B5030" t="s">
        <v>287</v>
      </c>
      <c r="C5030" t="s">
        <v>172</v>
      </c>
      <c r="D5030" t="s">
        <v>7458</v>
      </c>
      <c r="E5030" t="s">
        <v>46</v>
      </c>
      <c r="F5030" t="s">
        <v>174</v>
      </c>
      <c r="G5030" t="s">
        <v>60</v>
      </c>
      <c r="H5030" t="s">
        <v>61</v>
      </c>
      <c r="I5030">
        <v>1150</v>
      </c>
      <c r="J5030">
        <v>1495</v>
      </c>
      <c r="K5030">
        <v>4</v>
      </c>
      <c r="L5030">
        <v>4600</v>
      </c>
      <c r="M5030">
        <v>5980</v>
      </c>
      <c r="N5030" t="s">
        <v>50</v>
      </c>
      <c r="O5030">
        <f t="shared" si="156"/>
        <v>3315</v>
      </c>
      <c r="P5030" s="13">
        <f t="shared" si="157"/>
        <v>2640274</v>
      </c>
      <c r="Q5030" s="13">
        <f>SUMIFS(M:M,E:E,Online_eCommerce[[#This Row],[Status]])</f>
        <v>28620410</v>
      </c>
      <c r="R5030" s="13">
        <f>SUMIFS(L:L,H:H,Online_eCommerce[[#This Row],[Brand]])</f>
        <v>10950150</v>
      </c>
      <c r="S5030" s="13">
        <f>SUMIF(H:H,Online_eCommerce[[#This Row],[Brand]],M:M)</f>
        <v>14235195</v>
      </c>
      <c r="T5030" s="13">
        <f>SUMIF(N:N,Online_eCommerce[[#This Row],[Assigned Supervisor]],L:L)</f>
        <v>12100590</v>
      </c>
    </row>
    <row r="5031" spans="1:20" hidden="1" x14ac:dyDescent="0.3">
      <c r="A5031" t="s">
        <v>7467</v>
      </c>
      <c r="B5031" t="s">
        <v>290</v>
      </c>
      <c r="C5031" t="s">
        <v>177</v>
      </c>
      <c r="D5031" t="s">
        <v>7458</v>
      </c>
      <c r="E5031" t="s">
        <v>96</v>
      </c>
      <c r="F5031" t="s">
        <v>179</v>
      </c>
      <c r="G5031" t="s">
        <v>66</v>
      </c>
      <c r="H5031" t="s">
        <v>21</v>
      </c>
      <c r="I5031">
        <v>350</v>
      </c>
      <c r="J5031">
        <v>455</v>
      </c>
      <c r="K5031">
        <v>4</v>
      </c>
      <c r="L5031">
        <v>1400</v>
      </c>
      <c r="M5031">
        <v>1820</v>
      </c>
      <c r="N5031" t="s">
        <v>56</v>
      </c>
      <c r="O5031">
        <f t="shared" si="156"/>
        <v>1690</v>
      </c>
      <c r="P5031" s="13">
        <f t="shared" si="157"/>
        <v>1863810</v>
      </c>
      <c r="Q5031" s="13">
        <f>SUMIFS(M:M,E:E,Online_eCommerce[[#This Row],[Status]])</f>
        <v>21233992</v>
      </c>
      <c r="R5031" s="13">
        <f>SUMIFS(L:L,H:H,Online_eCommerce[[#This Row],[Brand]])</f>
        <v>12435650</v>
      </c>
      <c r="S5031" s="13">
        <f>SUMIF(H:H,Online_eCommerce[[#This Row],[Brand]],M:M)</f>
        <v>16166345</v>
      </c>
      <c r="T5031" s="13">
        <f>SUMIF(N:N,Online_eCommerce[[#This Row],[Assigned Supervisor]],L:L)</f>
        <v>11733610</v>
      </c>
    </row>
    <row r="5032" spans="1:20" hidden="1" x14ac:dyDescent="0.3">
      <c r="A5032" t="s">
        <v>7468</v>
      </c>
      <c r="B5032" t="s">
        <v>15</v>
      </c>
      <c r="C5032" t="s">
        <v>181</v>
      </c>
      <c r="D5032" t="s">
        <v>7458</v>
      </c>
      <c r="E5032" t="s">
        <v>18</v>
      </c>
      <c r="F5032" t="s">
        <v>183</v>
      </c>
      <c r="G5032" t="s">
        <v>71</v>
      </c>
      <c r="H5032" t="s">
        <v>61</v>
      </c>
      <c r="I5032">
        <v>9500</v>
      </c>
      <c r="J5032">
        <v>12350</v>
      </c>
      <c r="K5032">
        <v>4</v>
      </c>
      <c r="L5032">
        <v>38000</v>
      </c>
      <c r="M5032">
        <v>49400</v>
      </c>
      <c r="N5032" t="s">
        <v>22</v>
      </c>
      <c r="O5032">
        <f t="shared" si="156"/>
        <v>9750</v>
      </c>
      <c r="P5032" s="13">
        <f t="shared" si="157"/>
        <v>2577458</v>
      </c>
      <c r="Q5032" s="13">
        <f>SUMIFS(M:M,E:E,Online_eCommerce[[#This Row],[Status]])</f>
        <v>28340455</v>
      </c>
      <c r="R5032" s="13">
        <f>SUMIFS(L:L,H:H,Online_eCommerce[[#This Row],[Brand]])</f>
        <v>10950150</v>
      </c>
      <c r="S5032" s="13">
        <f>SUMIF(H:H,Online_eCommerce[[#This Row],[Brand]],M:M)</f>
        <v>14235195</v>
      </c>
      <c r="T5032" s="13">
        <f>SUMIF(N:N,Online_eCommerce[[#This Row],[Assigned Supervisor]],L:L)</f>
        <v>13693220</v>
      </c>
    </row>
    <row r="5033" spans="1:20" hidden="1" x14ac:dyDescent="0.3">
      <c r="A5033" t="s">
        <v>7469</v>
      </c>
      <c r="B5033" t="s">
        <v>202</v>
      </c>
      <c r="C5033" t="s">
        <v>185</v>
      </c>
      <c r="D5033" t="s">
        <v>7458</v>
      </c>
      <c r="E5033" t="s">
        <v>161</v>
      </c>
      <c r="F5033" t="s">
        <v>7470</v>
      </c>
      <c r="G5033" t="s">
        <v>77</v>
      </c>
      <c r="H5033" t="s">
        <v>142</v>
      </c>
      <c r="I5033">
        <v>10000</v>
      </c>
      <c r="J5033">
        <v>13000</v>
      </c>
      <c r="K5033">
        <v>4</v>
      </c>
      <c r="L5033">
        <v>40000</v>
      </c>
      <c r="M5033">
        <v>52000</v>
      </c>
      <c r="N5033" t="s">
        <v>28</v>
      </c>
      <c r="O5033">
        <f t="shared" si="156"/>
        <v>39000</v>
      </c>
      <c r="P5033" s="13">
        <f t="shared" si="157"/>
        <v>2091596</v>
      </c>
      <c r="Q5033" s="13">
        <f>SUMIFS(M:M,E:E,Online_eCommerce[[#This Row],[Status]])</f>
        <v>21103186</v>
      </c>
      <c r="R5033" s="13">
        <f>SUMIFS(L:L,H:H,Online_eCommerce[[#This Row],[Brand]])</f>
        <v>6192500</v>
      </c>
      <c r="S5033" s="13">
        <f>SUMIF(H:H,Online_eCommerce[[#This Row],[Brand]],M:M)</f>
        <v>8050250</v>
      </c>
      <c r="T5033" s="13">
        <f>SUMIF(N:N,Online_eCommerce[[#This Row],[Assigned Supervisor]],L:L)</f>
        <v>12220830</v>
      </c>
    </row>
    <row r="5034" spans="1:20" x14ac:dyDescent="0.3">
      <c r="A5034" t="s">
        <v>7471</v>
      </c>
      <c r="B5034" t="s">
        <v>30</v>
      </c>
      <c r="C5034" t="s">
        <v>189</v>
      </c>
      <c r="D5034" t="s">
        <v>7458</v>
      </c>
      <c r="E5034" t="s">
        <v>46</v>
      </c>
      <c r="F5034" t="s">
        <v>7472</v>
      </c>
      <c r="G5034" t="s">
        <v>20</v>
      </c>
      <c r="H5034" t="s">
        <v>21</v>
      </c>
      <c r="I5034">
        <v>6500</v>
      </c>
      <c r="J5034">
        <v>8450</v>
      </c>
      <c r="K5034">
        <v>1</v>
      </c>
      <c r="L5034">
        <v>6500</v>
      </c>
      <c r="M5034">
        <v>8450</v>
      </c>
      <c r="N5034" t="s">
        <v>35</v>
      </c>
      <c r="O5034">
        <f t="shared" si="156"/>
        <v>8450</v>
      </c>
      <c r="P5034" s="13">
        <f t="shared" si="157"/>
        <v>2740777</v>
      </c>
      <c r="Q5034" s="13">
        <f>SUMIFS(M:M,E:E,Online_eCommerce[[#This Row],[Status]])</f>
        <v>28620410</v>
      </c>
      <c r="R5034" s="13">
        <f>SUMIFS(L:L,H:H,Online_eCommerce[[#This Row],[Brand]])</f>
        <v>12435650</v>
      </c>
      <c r="S5034" s="13">
        <f>SUMIF(H:H,Online_eCommerce[[#This Row],[Brand]],M:M)</f>
        <v>16166345</v>
      </c>
      <c r="T5034" s="13">
        <f>SUMIF(N:N,Online_eCommerce[[#This Row],[Assigned Supervisor]],L:L)</f>
        <v>14373360</v>
      </c>
    </row>
    <row r="5035" spans="1:20" hidden="1" x14ac:dyDescent="0.3">
      <c r="A5035" t="s">
        <v>7473</v>
      </c>
      <c r="B5035" t="s">
        <v>37</v>
      </c>
      <c r="C5035" t="s">
        <v>193</v>
      </c>
      <c r="D5035" t="s">
        <v>7458</v>
      </c>
      <c r="E5035" t="s">
        <v>96</v>
      </c>
      <c r="F5035" t="s">
        <v>7474</v>
      </c>
      <c r="G5035" t="s">
        <v>26</v>
      </c>
      <c r="H5035" t="s">
        <v>27</v>
      </c>
      <c r="I5035">
        <v>8500</v>
      </c>
      <c r="J5035">
        <v>11050</v>
      </c>
      <c r="K5035">
        <v>1</v>
      </c>
      <c r="L5035">
        <v>8500</v>
      </c>
      <c r="M5035">
        <v>11050</v>
      </c>
      <c r="N5035" t="s">
        <v>42</v>
      </c>
      <c r="O5035">
        <f t="shared" si="156"/>
        <v>33150</v>
      </c>
      <c r="P5035" s="13">
        <f t="shared" si="157"/>
        <v>2074774</v>
      </c>
      <c r="Q5035" s="13">
        <f>SUMIFS(M:M,E:E,Online_eCommerce[[#This Row],[Status]])</f>
        <v>21233992</v>
      </c>
      <c r="R5035" s="13">
        <f>SUMIFS(L:L,H:H,Online_eCommerce[[#This Row],[Brand]])</f>
        <v>14431000</v>
      </c>
      <c r="S5035" s="13">
        <f>SUMIF(H:H,Online_eCommerce[[#This Row],[Brand]],M:M)</f>
        <v>18760300</v>
      </c>
      <c r="T5035" s="13">
        <f>SUMIF(N:N,Online_eCommerce[[#This Row],[Assigned Supervisor]],L:L)</f>
        <v>12261500</v>
      </c>
    </row>
    <row r="5036" spans="1:20" hidden="1" x14ac:dyDescent="0.3">
      <c r="A5036" t="s">
        <v>7475</v>
      </c>
      <c r="B5036" t="s">
        <v>44</v>
      </c>
      <c r="C5036" t="s">
        <v>197</v>
      </c>
      <c r="D5036" t="s">
        <v>7458</v>
      </c>
      <c r="E5036" t="s">
        <v>18</v>
      </c>
      <c r="F5036" t="s">
        <v>32</v>
      </c>
      <c r="G5036" t="s">
        <v>33</v>
      </c>
      <c r="H5036" t="s">
        <v>34</v>
      </c>
      <c r="I5036">
        <v>7000</v>
      </c>
      <c r="J5036">
        <v>9100</v>
      </c>
      <c r="K5036">
        <v>4</v>
      </c>
      <c r="L5036">
        <v>28000</v>
      </c>
      <c r="M5036">
        <v>36400</v>
      </c>
      <c r="N5036" t="s">
        <v>50</v>
      </c>
      <c r="O5036">
        <f t="shared" si="156"/>
        <v>18200</v>
      </c>
      <c r="P5036" s="13">
        <f t="shared" si="157"/>
        <v>2829840</v>
      </c>
      <c r="Q5036" s="13">
        <f>SUMIFS(M:M,E:E,Online_eCommerce[[#This Row],[Status]])</f>
        <v>28340455</v>
      </c>
      <c r="R5036" s="13">
        <f>SUMIFS(L:L,H:H,Online_eCommerce[[#This Row],[Brand]])</f>
        <v>10087000</v>
      </c>
      <c r="S5036" s="13">
        <f>SUMIF(H:H,Online_eCommerce[[#This Row],[Brand]],M:M)</f>
        <v>13113100</v>
      </c>
      <c r="T5036" s="13">
        <f>SUMIF(N:N,Online_eCommerce[[#This Row],[Assigned Supervisor]],L:L)</f>
        <v>12100590</v>
      </c>
    </row>
    <row r="5037" spans="1:20" hidden="1" x14ac:dyDescent="0.3">
      <c r="A5037" t="s">
        <v>7476</v>
      </c>
      <c r="B5037" t="s">
        <v>213</v>
      </c>
      <c r="C5037" t="s">
        <v>199</v>
      </c>
      <c r="D5037" t="s">
        <v>7458</v>
      </c>
      <c r="E5037" t="s">
        <v>161</v>
      </c>
      <c r="F5037" t="s">
        <v>7477</v>
      </c>
      <c r="G5037" t="s">
        <v>163</v>
      </c>
      <c r="H5037" t="s">
        <v>41</v>
      </c>
      <c r="I5037">
        <v>6550</v>
      </c>
      <c r="J5037">
        <v>8515</v>
      </c>
      <c r="K5037">
        <v>2</v>
      </c>
      <c r="L5037">
        <v>13100</v>
      </c>
      <c r="M5037">
        <v>17030</v>
      </c>
      <c r="N5037" t="s">
        <v>56</v>
      </c>
      <c r="O5037">
        <f t="shared" si="156"/>
        <v>13650</v>
      </c>
      <c r="P5037" s="13">
        <f t="shared" si="157"/>
        <v>1947361</v>
      </c>
      <c r="Q5037" s="13">
        <f>SUMIFS(M:M,E:E,Online_eCommerce[[#This Row],[Status]])</f>
        <v>21103186</v>
      </c>
      <c r="R5037" s="13">
        <f>SUMIFS(L:L,H:H,Online_eCommerce[[#This Row],[Brand]])</f>
        <v>4260400</v>
      </c>
      <c r="S5037" s="13">
        <f>SUMIF(H:H,Online_eCommerce[[#This Row],[Brand]],M:M)</f>
        <v>5538520</v>
      </c>
      <c r="T5037" s="13">
        <f>SUMIF(N:N,Online_eCommerce[[#This Row],[Assigned Supervisor]],L:L)</f>
        <v>11733610</v>
      </c>
    </row>
    <row r="5038" spans="1:20" x14ac:dyDescent="0.3">
      <c r="A5038" t="s">
        <v>7478</v>
      </c>
      <c r="B5038" t="s">
        <v>215</v>
      </c>
      <c r="C5038" t="s">
        <v>203</v>
      </c>
      <c r="D5038" t="s">
        <v>7458</v>
      </c>
      <c r="E5038" t="s">
        <v>46</v>
      </c>
      <c r="F5038" t="s">
        <v>47</v>
      </c>
      <c r="G5038" t="s">
        <v>66</v>
      </c>
      <c r="H5038" t="s">
        <v>49</v>
      </c>
      <c r="I5038">
        <v>7650</v>
      </c>
      <c r="J5038">
        <v>9945</v>
      </c>
      <c r="K5038">
        <v>2</v>
      </c>
      <c r="L5038">
        <v>15300</v>
      </c>
      <c r="M5038">
        <v>19890</v>
      </c>
      <c r="N5038" t="s">
        <v>22</v>
      </c>
      <c r="O5038">
        <f t="shared" si="156"/>
        <v>1690</v>
      </c>
      <c r="P5038" s="13">
        <f t="shared" si="157"/>
        <v>2559635</v>
      </c>
      <c r="Q5038" s="13">
        <f>SUMIFS(M:M,E:E,Online_eCommerce[[#This Row],[Status]])</f>
        <v>28620410</v>
      </c>
      <c r="R5038" s="13">
        <f>SUMIFS(L:L,H:H,Online_eCommerce[[#This Row],[Brand]])</f>
        <v>4528350</v>
      </c>
      <c r="S5038" s="13">
        <f>SUMIF(H:H,Online_eCommerce[[#This Row],[Brand]],M:M)</f>
        <v>5886855</v>
      </c>
      <c r="T5038" s="13">
        <f>SUMIF(N:N,Online_eCommerce[[#This Row],[Assigned Supervisor]],L:L)</f>
        <v>13693220</v>
      </c>
    </row>
    <row r="5039" spans="1:20" hidden="1" x14ac:dyDescent="0.3">
      <c r="A5039" t="s">
        <v>7479</v>
      </c>
      <c r="B5039" t="s">
        <v>306</v>
      </c>
      <c r="C5039" t="s">
        <v>205</v>
      </c>
      <c r="D5039" t="s">
        <v>7458</v>
      </c>
      <c r="E5039" t="s">
        <v>96</v>
      </c>
      <c r="F5039" t="s">
        <v>53</v>
      </c>
      <c r="G5039" t="s">
        <v>54</v>
      </c>
      <c r="H5039" t="s">
        <v>55</v>
      </c>
      <c r="I5039">
        <v>1150</v>
      </c>
      <c r="J5039">
        <v>1495</v>
      </c>
      <c r="K5039">
        <v>4</v>
      </c>
      <c r="L5039">
        <v>4600</v>
      </c>
      <c r="M5039">
        <v>5980</v>
      </c>
      <c r="N5039" t="s">
        <v>28</v>
      </c>
      <c r="O5039">
        <f t="shared" si="156"/>
        <v>2990</v>
      </c>
      <c r="P5039" s="13">
        <f t="shared" si="157"/>
        <v>1983254</v>
      </c>
      <c r="Q5039" s="13">
        <f>SUMIFS(M:M,E:E,Online_eCommerce[[#This Row],[Status]])</f>
        <v>21233992</v>
      </c>
      <c r="R5039" s="13">
        <f>SUMIFS(L:L,H:H,Online_eCommerce[[#This Row],[Brand]])</f>
        <v>2267380</v>
      </c>
      <c r="S5039" s="13">
        <f>SUMIF(H:H,Online_eCommerce[[#This Row],[Brand]],M:M)</f>
        <v>2947594</v>
      </c>
      <c r="T5039" s="13">
        <f>SUMIF(N:N,Online_eCommerce[[#This Row],[Assigned Supervisor]],L:L)</f>
        <v>12220830</v>
      </c>
    </row>
    <row r="5040" spans="1:20" hidden="1" x14ac:dyDescent="0.3">
      <c r="A5040" t="s">
        <v>7480</v>
      </c>
      <c r="B5040" t="s">
        <v>528</v>
      </c>
      <c r="C5040" t="s">
        <v>208</v>
      </c>
      <c r="D5040" t="s">
        <v>7458</v>
      </c>
      <c r="E5040" t="s">
        <v>18</v>
      </c>
      <c r="F5040" t="s">
        <v>59</v>
      </c>
      <c r="G5040" t="s">
        <v>60</v>
      </c>
      <c r="H5040" t="s">
        <v>61</v>
      </c>
      <c r="I5040">
        <v>850</v>
      </c>
      <c r="J5040">
        <v>1105</v>
      </c>
      <c r="K5040">
        <v>3</v>
      </c>
      <c r="L5040">
        <v>2550</v>
      </c>
      <c r="M5040">
        <v>3315</v>
      </c>
      <c r="N5040" t="s">
        <v>35</v>
      </c>
      <c r="O5040">
        <f t="shared" si="156"/>
        <v>3315</v>
      </c>
      <c r="P5040" s="13">
        <f t="shared" si="157"/>
        <v>2746575</v>
      </c>
      <c r="Q5040" s="13">
        <f>SUMIFS(M:M,E:E,Online_eCommerce[[#This Row],[Status]])</f>
        <v>28340455</v>
      </c>
      <c r="R5040" s="13">
        <f>SUMIFS(L:L,H:H,Online_eCommerce[[#This Row],[Brand]])</f>
        <v>10950150</v>
      </c>
      <c r="S5040" s="13">
        <f>SUMIF(H:H,Online_eCommerce[[#This Row],[Brand]],M:M)</f>
        <v>14235195</v>
      </c>
      <c r="T5040" s="13">
        <f>SUMIF(N:N,Online_eCommerce[[#This Row],[Assigned Supervisor]],L:L)</f>
        <v>14373360</v>
      </c>
    </row>
    <row r="5041" spans="1:20" hidden="1" x14ac:dyDescent="0.3">
      <c r="A5041" t="s">
        <v>7481</v>
      </c>
      <c r="B5041" t="s">
        <v>73</v>
      </c>
      <c r="C5041" t="s">
        <v>211</v>
      </c>
      <c r="D5041" t="s">
        <v>7458</v>
      </c>
      <c r="E5041" t="s">
        <v>161</v>
      </c>
      <c r="F5041" t="s">
        <v>65</v>
      </c>
      <c r="G5041" t="s">
        <v>66</v>
      </c>
      <c r="H5041" t="s">
        <v>21</v>
      </c>
      <c r="I5041">
        <v>650</v>
      </c>
      <c r="J5041">
        <v>845</v>
      </c>
      <c r="K5041">
        <v>1</v>
      </c>
      <c r="L5041">
        <v>650</v>
      </c>
      <c r="M5041">
        <v>845</v>
      </c>
      <c r="N5041" t="s">
        <v>42</v>
      </c>
      <c r="O5041">
        <f t="shared" si="156"/>
        <v>1690</v>
      </c>
      <c r="P5041" s="13">
        <f t="shared" si="157"/>
        <v>1809847</v>
      </c>
      <c r="Q5041" s="13">
        <f>SUMIFS(M:M,E:E,Online_eCommerce[[#This Row],[Status]])</f>
        <v>21103186</v>
      </c>
      <c r="R5041" s="13">
        <f>SUMIFS(L:L,H:H,Online_eCommerce[[#This Row],[Brand]])</f>
        <v>12435650</v>
      </c>
      <c r="S5041" s="13">
        <f>SUMIF(H:H,Online_eCommerce[[#This Row],[Brand]],M:M)</f>
        <v>16166345</v>
      </c>
      <c r="T5041" s="13">
        <f>SUMIF(N:N,Online_eCommerce[[#This Row],[Assigned Supervisor]],L:L)</f>
        <v>12261500</v>
      </c>
    </row>
    <row r="5042" spans="1:20" x14ac:dyDescent="0.3">
      <c r="A5042" t="s">
        <v>7482</v>
      </c>
      <c r="B5042" t="s">
        <v>80</v>
      </c>
      <c r="C5042" t="s">
        <v>16</v>
      </c>
      <c r="D5042" t="s">
        <v>7458</v>
      </c>
      <c r="E5042" t="s">
        <v>46</v>
      </c>
      <c r="F5042" t="s">
        <v>70</v>
      </c>
      <c r="G5042" t="s">
        <v>71</v>
      </c>
      <c r="H5042" t="s">
        <v>61</v>
      </c>
      <c r="I5042">
        <v>7500</v>
      </c>
      <c r="J5042">
        <v>9750</v>
      </c>
      <c r="K5042">
        <v>2</v>
      </c>
      <c r="L5042">
        <v>15000</v>
      </c>
      <c r="M5042">
        <v>19500</v>
      </c>
      <c r="N5042" t="s">
        <v>50</v>
      </c>
      <c r="O5042">
        <f t="shared" si="156"/>
        <v>9750</v>
      </c>
      <c r="P5042" s="13">
        <f t="shared" si="157"/>
        <v>2751814</v>
      </c>
      <c r="Q5042" s="13">
        <f>SUMIFS(M:M,E:E,Online_eCommerce[[#This Row],[Status]])</f>
        <v>28620410</v>
      </c>
      <c r="R5042" s="13">
        <f>SUMIFS(L:L,H:H,Online_eCommerce[[#This Row],[Brand]])</f>
        <v>10950150</v>
      </c>
      <c r="S5042" s="13">
        <f>SUMIF(H:H,Online_eCommerce[[#This Row],[Brand]],M:M)</f>
        <v>14235195</v>
      </c>
      <c r="T5042" s="13">
        <f>SUMIF(N:N,Online_eCommerce[[#This Row],[Assigned Supervisor]],L:L)</f>
        <v>12100590</v>
      </c>
    </row>
    <row r="5043" spans="1:20" hidden="1" x14ac:dyDescent="0.3">
      <c r="A5043" t="s">
        <v>7483</v>
      </c>
      <c r="B5043" t="s">
        <v>85</v>
      </c>
      <c r="C5043" t="s">
        <v>24</v>
      </c>
      <c r="D5043" t="s">
        <v>7458</v>
      </c>
      <c r="E5043" t="s">
        <v>96</v>
      </c>
      <c r="F5043" t="s">
        <v>7470</v>
      </c>
      <c r="G5043" t="s">
        <v>77</v>
      </c>
      <c r="H5043" t="s">
        <v>78</v>
      </c>
      <c r="I5043">
        <v>10000</v>
      </c>
      <c r="J5043">
        <v>13000</v>
      </c>
      <c r="K5043">
        <v>2</v>
      </c>
      <c r="L5043">
        <v>20000</v>
      </c>
      <c r="M5043">
        <v>26000</v>
      </c>
      <c r="N5043" t="s">
        <v>56</v>
      </c>
      <c r="O5043">
        <f t="shared" si="156"/>
        <v>39000</v>
      </c>
      <c r="P5043" s="13">
        <f t="shared" si="157"/>
        <v>2009540</v>
      </c>
      <c r="Q5043" s="13">
        <f>SUMIFS(M:M,E:E,Online_eCommerce[[#This Row],[Status]])</f>
        <v>21233992</v>
      </c>
      <c r="R5043" s="13">
        <f>SUMIFS(L:L,H:H,Online_eCommerce[[#This Row],[Brand]])</f>
        <v>3720000</v>
      </c>
      <c r="S5043" s="13">
        <f>SUMIF(H:H,Online_eCommerce[[#This Row],[Brand]],M:M)</f>
        <v>4836000</v>
      </c>
      <c r="T5043" s="13">
        <f>SUMIF(N:N,Online_eCommerce[[#This Row],[Assigned Supervisor]],L:L)</f>
        <v>11733610</v>
      </c>
    </row>
    <row r="5044" spans="1:20" hidden="1" x14ac:dyDescent="0.3">
      <c r="A5044" t="s">
        <v>7484</v>
      </c>
      <c r="B5044" t="s">
        <v>90</v>
      </c>
      <c r="C5044" t="s">
        <v>31</v>
      </c>
      <c r="D5044" t="s">
        <v>7458</v>
      </c>
      <c r="E5044" t="s">
        <v>18</v>
      </c>
      <c r="F5044" t="s">
        <v>7485</v>
      </c>
      <c r="G5044" t="s">
        <v>20</v>
      </c>
      <c r="H5044" t="s">
        <v>21</v>
      </c>
      <c r="I5044">
        <v>10500</v>
      </c>
      <c r="J5044">
        <v>13650</v>
      </c>
      <c r="K5044">
        <v>3</v>
      </c>
      <c r="L5044">
        <v>31500</v>
      </c>
      <c r="M5044">
        <v>40950</v>
      </c>
      <c r="N5044" t="s">
        <v>22</v>
      </c>
      <c r="O5044">
        <f t="shared" si="156"/>
        <v>8450</v>
      </c>
      <c r="P5044" s="13">
        <f t="shared" si="157"/>
        <v>2865746</v>
      </c>
      <c r="Q5044" s="13">
        <f>SUMIFS(M:M,E:E,Online_eCommerce[[#This Row],[Status]])</f>
        <v>28340455</v>
      </c>
      <c r="R5044" s="13">
        <f>SUMIFS(L:L,H:H,Online_eCommerce[[#This Row],[Brand]])</f>
        <v>12435650</v>
      </c>
      <c r="S5044" s="13">
        <f>SUMIF(H:H,Online_eCommerce[[#This Row],[Brand]],M:M)</f>
        <v>16166345</v>
      </c>
      <c r="T5044" s="13">
        <f>SUMIF(N:N,Online_eCommerce[[#This Row],[Assigned Supervisor]],L:L)</f>
        <v>13693220</v>
      </c>
    </row>
    <row r="5045" spans="1:20" hidden="1" x14ac:dyDescent="0.3">
      <c r="A5045" t="s">
        <v>7486</v>
      </c>
      <c r="B5045" t="s">
        <v>232</v>
      </c>
      <c r="C5045" t="s">
        <v>38</v>
      </c>
      <c r="D5045" t="s">
        <v>7458</v>
      </c>
      <c r="E5045" t="s">
        <v>161</v>
      </c>
      <c r="F5045" t="s">
        <v>88</v>
      </c>
      <c r="G5045" t="s">
        <v>26</v>
      </c>
      <c r="H5045" t="s">
        <v>27</v>
      </c>
      <c r="I5045">
        <v>8500</v>
      </c>
      <c r="J5045">
        <v>11050</v>
      </c>
      <c r="K5045">
        <v>2</v>
      </c>
      <c r="L5045">
        <v>17000</v>
      </c>
      <c r="M5045">
        <v>22100</v>
      </c>
      <c r="N5045" t="s">
        <v>28</v>
      </c>
      <c r="O5045">
        <f t="shared" si="156"/>
        <v>33150</v>
      </c>
      <c r="P5045" s="13">
        <f t="shared" si="157"/>
        <v>1933997</v>
      </c>
      <c r="Q5045" s="13">
        <f>SUMIFS(M:M,E:E,Online_eCommerce[[#This Row],[Status]])</f>
        <v>21103186</v>
      </c>
      <c r="R5045" s="13">
        <f>SUMIFS(L:L,H:H,Online_eCommerce[[#This Row],[Brand]])</f>
        <v>14431000</v>
      </c>
      <c r="S5045" s="13">
        <f>SUMIF(H:H,Online_eCommerce[[#This Row],[Brand]],M:M)</f>
        <v>18760300</v>
      </c>
      <c r="T5045" s="13">
        <f>SUMIF(N:N,Online_eCommerce[[#This Row],[Assigned Supervisor]],L:L)</f>
        <v>12220830</v>
      </c>
    </row>
    <row r="5046" spans="1:20" x14ac:dyDescent="0.3">
      <c r="A5046" t="s">
        <v>7487</v>
      </c>
      <c r="B5046" t="s">
        <v>235</v>
      </c>
      <c r="C5046" t="s">
        <v>45</v>
      </c>
      <c r="D5046" t="s">
        <v>7458</v>
      </c>
      <c r="E5046" t="s">
        <v>46</v>
      </c>
      <c r="F5046" t="s">
        <v>32</v>
      </c>
      <c r="G5046" t="s">
        <v>33</v>
      </c>
      <c r="H5046" t="s">
        <v>34</v>
      </c>
      <c r="I5046">
        <v>7000</v>
      </c>
      <c r="J5046">
        <v>9100</v>
      </c>
      <c r="K5046">
        <v>4</v>
      </c>
      <c r="L5046">
        <v>28000</v>
      </c>
      <c r="M5046">
        <v>36400</v>
      </c>
      <c r="N5046" t="s">
        <v>35</v>
      </c>
      <c r="O5046">
        <f t="shared" si="156"/>
        <v>18200</v>
      </c>
      <c r="P5046" s="13">
        <f t="shared" si="157"/>
        <v>2842554</v>
      </c>
      <c r="Q5046" s="13">
        <f>SUMIFS(M:M,E:E,Online_eCommerce[[#This Row],[Status]])</f>
        <v>28620410</v>
      </c>
      <c r="R5046" s="13">
        <f>SUMIFS(L:L,H:H,Online_eCommerce[[#This Row],[Brand]])</f>
        <v>10087000</v>
      </c>
      <c r="S5046" s="13">
        <f>SUMIF(H:H,Online_eCommerce[[#This Row],[Brand]],M:M)</f>
        <v>13113100</v>
      </c>
      <c r="T5046" s="13">
        <f>SUMIF(N:N,Online_eCommerce[[#This Row],[Assigned Supervisor]],L:L)</f>
        <v>14373360</v>
      </c>
    </row>
    <row r="5047" spans="1:20" hidden="1" x14ac:dyDescent="0.3">
      <c r="A5047" t="s">
        <v>7488</v>
      </c>
      <c r="B5047" t="s">
        <v>104</v>
      </c>
      <c r="C5047" t="s">
        <v>52</v>
      </c>
      <c r="D5047" t="s">
        <v>7458</v>
      </c>
      <c r="E5047" t="s">
        <v>96</v>
      </c>
      <c r="F5047" t="s">
        <v>7489</v>
      </c>
      <c r="G5047" t="s">
        <v>163</v>
      </c>
      <c r="H5047" t="s">
        <v>41</v>
      </c>
      <c r="I5047">
        <v>1680</v>
      </c>
      <c r="J5047">
        <v>2184</v>
      </c>
      <c r="K5047">
        <v>2</v>
      </c>
      <c r="L5047">
        <v>3360</v>
      </c>
      <c r="M5047">
        <v>4368</v>
      </c>
      <c r="N5047" t="s">
        <v>42</v>
      </c>
      <c r="O5047">
        <f t="shared" si="156"/>
        <v>13650</v>
      </c>
      <c r="P5047" s="13">
        <f t="shared" si="157"/>
        <v>1955044</v>
      </c>
      <c r="Q5047" s="13">
        <f>SUMIFS(M:M,E:E,Online_eCommerce[[#This Row],[Status]])</f>
        <v>21233992</v>
      </c>
      <c r="R5047" s="13">
        <f>SUMIFS(L:L,H:H,Online_eCommerce[[#This Row],[Brand]])</f>
        <v>4260400</v>
      </c>
      <c r="S5047" s="13">
        <f>SUMIF(H:H,Online_eCommerce[[#This Row],[Brand]],M:M)</f>
        <v>5538520</v>
      </c>
      <c r="T5047" s="13">
        <f>SUMIF(N:N,Online_eCommerce[[#This Row],[Assigned Supervisor]],L:L)</f>
        <v>12261500</v>
      </c>
    </row>
    <row r="5048" spans="1:20" hidden="1" x14ac:dyDescent="0.3">
      <c r="A5048" t="s">
        <v>7490</v>
      </c>
      <c r="B5048" t="s">
        <v>109</v>
      </c>
      <c r="C5048" t="s">
        <v>58</v>
      </c>
      <c r="D5048" t="s">
        <v>7458</v>
      </c>
      <c r="E5048" t="s">
        <v>18</v>
      </c>
      <c r="F5048" t="s">
        <v>101</v>
      </c>
      <c r="G5048" t="s">
        <v>66</v>
      </c>
      <c r="H5048" t="s">
        <v>102</v>
      </c>
      <c r="I5048">
        <v>6540</v>
      </c>
      <c r="J5048">
        <v>8502</v>
      </c>
      <c r="K5048">
        <v>3</v>
      </c>
      <c r="L5048">
        <v>19620</v>
      </c>
      <c r="M5048">
        <v>25506</v>
      </c>
      <c r="N5048" t="s">
        <v>50</v>
      </c>
      <c r="O5048">
        <f t="shared" si="156"/>
        <v>1690</v>
      </c>
      <c r="P5048" s="13">
        <f t="shared" si="157"/>
        <v>2629211</v>
      </c>
      <c r="Q5048" s="13">
        <f>SUMIFS(M:M,E:E,Online_eCommerce[[#This Row],[Status]])</f>
        <v>28340455</v>
      </c>
      <c r="R5048" s="13">
        <f>SUMIFS(L:L,H:H,Online_eCommerce[[#This Row],[Brand]])</f>
        <v>2465580</v>
      </c>
      <c r="S5048" s="13">
        <f>SUMIF(H:H,Online_eCommerce[[#This Row],[Brand]],M:M)</f>
        <v>3205254</v>
      </c>
      <c r="T5048" s="13">
        <f>SUMIF(N:N,Online_eCommerce[[#This Row],[Assigned Supervisor]],L:L)</f>
        <v>12100590</v>
      </c>
    </row>
    <row r="5049" spans="1:20" hidden="1" x14ac:dyDescent="0.3">
      <c r="A5049" t="s">
        <v>7491</v>
      </c>
      <c r="B5049" t="s">
        <v>114</v>
      </c>
      <c r="C5049" t="s">
        <v>63</v>
      </c>
      <c r="D5049" t="s">
        <v>7458</v>
      </c>
      <c r="E5049" t="s">
        <v>161</v>
      </c>
      <c r="F5049" t="s">
        <v>107</v>
      </c>
      <c r="G5049" t="s">
        <v>54</v>
      </c>
      <c r="H5049" t="s">
        <v>55</v>
      </c>
      <c r="I5049">
        <v>2680</v>
      </c>
      <c r="J5049">
        <v>3484</v>
      </c>
      <c r="K5049">
        <v>4</v>
      </c>
      <c r="L5049">
        <v>10720</v>
      </c>
      <c r="M5049">
        <v>13936</v>
      </c>
      <c r="N5049" t="s">
        <v>56</v>
      </c>
      <c r="O5049">
        <f t="shared" si="156"/>
        <v>2990</v>
      </c>
      <c r="P5049" s="13">
        <f t="shared" si="157"/>
        <v>2016131</v>
      </c>
      <c r="Q5049" s="13">
        <f>SUMIFS(M:M,E:E,Online_eCommerce[[#This Row],[Status]])</f>
        <v>21103186</v>
      </c>
      <c r="R5049" s="13">
        <f>SUMIFS(L:L,H:H,Online_eCommerce[[#This Row],[Brand]])</f>
        <v>2267380</v>
      </c>
      <c r="S5049" s="13">
        <f>SUMIF(H:H,Online_eCommerce[[#This Row],[Brand]],M:M)</f>
        <v>2947594</v>
      </c>
      <c r="T5049" s="13">
        <f>SUMIF(N:N,Online_eCommerce[[#This Row],[Assigned Supervisor]],L:L)</f>
        <v>11733610</v>
      </c>
    </row>
    <row r="5050" spans="1:20" x14ac:dyDescent="0.3">
      <c r="A5050" t="s">
        <v>7492</v>
      </c>
      <c r="B5050" t="s">
        <v>119</v>
      </c>
      <c r="C5050" t="s">
        <v>68</v>
      </c>
      <c r="D5050" t="s">
        <v>7458</v>
      </c>
      <c r="E5050" t="s">
        <v>46</v>
      </c>
      <c r="F5050" t="s">
        <v>112</v>
      </c>
      <c r="G5050" t="s">
        <v>71</v>
      </c>
      <c r="H5050" t="s">
        <v>21</v>
      </c>
      <c r="I5050">
        <v>8250</v>
      </c>
      <c r="J5050">
        <v>10725</v>
      </c>
      <c r="K5050">
        <v>2</v>
      </c>
      <c r="L5050">
        <v>16500</v>
      </c>
      <c r="M5050">
        <v>21450</v>
      </c>
      <c r="N5050" t="s">
        <v>22</v>
      </c>
      <c r="O5050">
        <f t="shared" si="156"/>
        <v>9750</v>
      </c>
      <c r="P5050" s="13">
        <f t="shared" si="157"/>
        <v>2974621</v>
      </c>
      <c r="Q5050" s="13">
        <f>SUMIFS(M:M,E:E,Online_eCommerce[[#This Row],[Status]])</f>
        <v>28620410</v>
      </c>
      <c r="R5050" s="13">
        <f>SUMIFS(L:L,H:H,Online_eCommerce[[#This Row],[Brand]])</f>
        <v>12435650</v>
      </c>
      <c r="S5050" s="13">
        <f>SUMIF(H:H,Online_eCommerce[[#This Row],[Brand]],M:M)</f>
        <v>16166345</v>
      </c>
      <c r="T5050" s="13">
        <f>SUMIF(N:N,Online_eCommerce[[#This Row],[Assigned Supervisor]],L:L)</f>
        <v>13693220</v>
      </c>
    </row>
    <row r="5051" spans="1:20" hidden="1" x14ac:dyDescent="0.3">
      <c r="A5051" t="s">
        <v>7493</v>
      </c>
      <c r="B5051" t="s">
        <v>124</v>
      </c>
      <c r="C5051" t="s">
        <v>74</v>
      </c>
      <c r="D5051" t="s">
        <v>7458</v>
      </c>
      <c r="E5051" t="s">
        <v>96</v>
      </c>
      <c r="F5051" t="s">
        <v>7029</v>
      </c>
      <c r="G5051" t="s">
        <v>40</v>
      </c>
      <c r="H5051" t="s">
        <v>21</v>
      </c>
      <c r="I5051">
        <v>2650</v>
      </c>
      <c r="J5051">
        <v>3445</v>
      </c>
      <c r="K5051">
        <v>3</v>
      </c>
      <c r="L5051">
        <v>7950</v>
      </c>
      <c r="M5051">
        <v>10335</v>
      </c>
      <c r="N5051" t="s">
        <v>28</v>
      </c>
      <c r="O5051">
        <f t="shared" si="156"/>
        <v>25545</v>
      </c>
      <c r="P5051" s="13">
        <f t="shared" si="157"/>
        <v>2144701</v>
      </c>
      <c r="Q5051" s="13">
        <f>SUMIFS(M:M,E:E,Online_eCommerce[[#This Row],[Status]])</f>
        <v>21233992</v>
      </c>
      <c r="R5051" s="13">
        <f>SUMIFS(L:L,H:H,Online_eCommerce[[#This Row],[Brand]])</f>
        <v>12435650</v>
      </c>
      <c r="S5051" s="13">
        <f>SUMIF(H:H,Online_eCommerce[[#This Row],[Brand]],M:M)</f>
        <v>16166345</v>
      </c>
      <c r="T5051" s="13">
        <f>SUMIF(N:N,Online_eCommerce[[#This Row],[Assigned Supervisor]],L:L)</f>
        <v>12220830</v>
      </c>
    </row>
    <row r="5052" spans="1:20" hidden="1" x14ac:dyDescent="0.3">
      <c r="A5052" t="s">
        <v>7494</v>
      </c>
      <c r="B5052" t="s">
        <v>128</v>
      </c>
      <c r="C5052" t="s">
        <v>81</v>
      </c>
      <c r="D5052" t="s">
        <v>7458</v>
      </c>
      <c r="E5052" t="s">
        <v>18</v>
      </c>
      <c r="F5052" t="s">
        <v>121</v>
      </c>
      <c r="G5052" t="s">
        <v>71</v>
      </c>
      <c r="H5052" t="s">
        <v>122</v>
      </c>
      <c r="I5052">
        <v>12550</v>
      </c>
      <c r="J5052">
        <v>16315</v>
      </c>
      <c r="K5052">
        <v>1</v>
      </c>
      <c r="L5052">
        <v>12550</v>
      </c>
      <c r="M5052">
        <v>16315</v>
      </c>
      <c r="N5052" t="s">
        <v>35</v>
      </c>
      <c r="O5052">
        <f t="shared" si="156"/>
        <v>9750</v>
      </c>
      <c r="P5052" s="13">
        <f t="shared" si="157"/>
        <v>2595632</v>
      </c>
      <c r="Q5052" s="13">
        <f>SUMIFS(M:M,E:E,Online_eCommerce[[#This Row],[Status]])</f>
        <v>28340455</v>
      </c>
      <c r="R5052" s="13">
        <f>SUMIFS(L:L,H:H,Online_eCommerce[[#This Row],[Brand]])</f>
        <v>5045100</v>
      </c>
      <c r="S5052" s="13">
        <f>SUMIF(H:H,Online_eCommerce[[#This Row],[Brand]],M:M)</f>
        <v>6558630</v>
      </c>
      <c r="T5052" s="13">
        <f>SUMIF(N:N,Online_eCommerce[[#This Row],[Assigned Supervisor]],L:L)</f>
        <v>14373360</v>
      </c>
    </row>
    <row r="5053" spans="1:20" hidden="1" x14ac:dyDescent="0.3">
      <c r="A5053" t="s">
        <v>7495</v>
      </c>
      <c r="B5053" t="s">
        <v>131</v>
      </c>
      <c r="C5053" t="s">
        <v>86</v>
      </c>
      <c r="D5053" t="s">
        <v>7458</v>
      </c>
      <c r="E5053" t="s">
        <v>161</v>
      </c>
      <c r="F5053" t="s">
        <v>126</v>
      </c>
      <c r="G5053" t="s">
        <v>26</v>
      </c>
      <c r="H5053" t="s">
        <v>27</v>
      </c>
      <c r="I5053">
        <v>14500</v>
      </c>
      <c r="J5053">
        <v>18850</v>
      </c>
      <c r="K5053">
        <v>2</v>
      </c>
      <c r="L5053">
        <v>29000</v>
      </c>
      <c r="M5053">
        <v>37700</v>
      </c>
      <c r="N5053" t="s">
        <v>42</v>
      </c>
      <c r="O5053">
        <f t="shared" si="156"/>
        <v>33150</v>
      </c>
      <c r="P5053" s="13">
        <f t="shared" si="157"/>
        <v>1941225</v>
      </c>
      <c r="Q5053" s="13">
        <f>SUMIFS(M:M,E:E,Online_eCommerce[[#This Row],[Status]])</f>
        <v>21103186</v>
      </c>
      <c r="R5053" s="13">
        <f>SUMIFS(L:L,H:H,Online_eCommerce[[#This Row],[Brand]])</f>
        <v>14431000</v>
      </c>
      <c r="S5053" s="13">
        <f>SUMIF(H:H,Online_eCommerce[[#This Row],[Brand]],M:M)</f>
        <v>18760300</v>
      </c>
      <c r="T5053" s="13">
        <f>SUMIF(N:N,Online_eCommerce[[#This Row],[Assigned Supervisor]],L:L)</f>
        <v>12261500</v>
      </c>
    </row>
    <row r="5054" spans="1:20" x14ac:dyDescent="0.3">
      <c r="A5054" t="s">
        <v>7496</v>
      </c>
      <c r="B5054" t="s">
        <v>135</v>
      </c>
      <c r="C5054" t="s">
        <v>91</v>
      </c>
      <c r="D5054" t="s">
        <v>7458</v>
      </c>
      <c r="E5054" t="s">
        <v>46</v>
      </c>
      <c r="F5054" t="s">
        <v>129</v>
      </c>
      <c r="G5054" t="s">
        <v>60</v>
      </c>
      <c r="H5054" t="s">
        <v>61</v>
      </c>
      <c r="I5054">
        <v>800</v>
      </c>
      <c r="J5054">
        <v>1040</v>
      </c>
      <c r="K5054">
        <v>4</v>
      </c>
      <c r="L5054">
        <v>3200</v>
      </c>
      <c r="M5054">
        <v>4160</v>
      </c>
      <c r="N5054" t="s">
        <v>50</v>
      </c>
      <c r="O5054">
        <f t="shared" si="156"/>
        <v>3315</v>
      </c>
      <c r="P5054" s="13">
        <f t="shared" si="157"/>
        <v>2731963</v>
      </c>
      <c r="Q5054" s="13">
        <f>SUMIFS(M:M,E:E,Online_eCommerce[[#This Row],[Status]])</f>
        <v>28620410</v>
      </c>
      <c r="R5054" s="13">
        <f>SUMIFS(L:L,H:H,Online_eCommerce[[#This Row],[Brand]])</f>
        <v>10950150</v>
      </c>
      <c r="S5054" s="13">
        <f>SUMIF(H:H,Online_eCommerce[[#This Row],[Brand]],M:M)</f>
        <v>14235195</v>
      </c>
      <c r="T5054" s="13">
        <f>SUMIF(N:N,Online_eCommerce[[#This Row],[Assigned Supervisor]],L:L)</f>
        <v>12100590</v>
      </c>
    </row>
    <row r="5055" spans="1:20" hidden="1" x14ac:dyDescent="0.3">
      <c r="A5055" t="s">
        <v>7497</v>
      </c>
      <c r="B5055" t="s">
        <v>139</v>
      </c>
      <c r="C5055" t="s">
        <v>94</v>
      </c>
      <c r="D5055" t="s">
        <v>7458</v>
      </c>
      <c r="E5055" t="s">
        <v>96</v>
      </c>
      <c r="F5055" t="s">
        <v>133</v>
      </c>
      <c r="G5055" t="s">
        <v>66</v>
      </c>
      <c r="H5055" t="s">
        <v>21</v>
      </c>
      <c r="I5055">
        <v>600</v>
      </c>
      <c r="J5055">
        <v>780</v>
      </c>
      <c r="K5055">
        <v>3</v>
      </c>
      <c r="L5055">
        <v>1800</v>
      </c>
      <c r="M5055">
        <v>2340</v>
      </c>
      <c r="N5055" t="s">
        <v>56</v>
      </c>
      <c r="O5055">
        <f t="shared" si="156"/>
        <v>1690</v>
      </c>
      <c r="P5055" s="13">
        <f t="shared" si="157"/>
        <v>1868256</v>
      </c>
      <c r="Q5055" s="13">
        <f>SUMIFS(M:M,E:E,Online_eCommerce[[#This Row],[Status]])</f>
        <v>21233992</v>
      </c>
      <c r="R5055" s="13">
        <f>SUMIFS(L:L,H:H,Online_eCommerce[[#This Row],[Brand]])</f>
        <v>12435650</v>
      </c>
      <c r="S5055" s="13">
        <f>SUMIF(H:H,Online_eCommerce[[#This Row],[Brand]],M:M)</f>
        <v>16166345</v>
      </c>
      <c r="T5055" s="13">
        <f>SUMIF(N:N,Online_eCommerce[[#This Row],[Assigned Supervisor]],L:L)</f>
        <v>11733610</v>
      </c>
    </row>
    <row r="5056" spans="1:20" hidden="1" x14ac:dyDescent="0.3">
      <c r="A5056" t="s">
        <v>7498</v>
      </c>
      <c r="B5056" t="s">
        <v>144</v>
      </c>
      <c r="C5056" t="s">
        <v>99</v>
      </c>
      <c r="D5056" t="s">
        <v>7458</v>
      </c>
      <c r="E5056" t="s">
        <v>18</v>
      </c>
      <c r="F5056" t="s">
        <v>137</v>
      </c>
      <c r="G5056" t="s">
        <v>71</v>
      </c>
      <c r="H5056" t="s">
        <v>61</v>
      </c>
      <c r="I5056">
        <v>10500</v>
      </c>
      <c r="J5056">
        <v>13650</v>
      </c>
      <c r="K5056">
        <v>2</v>
      </c>
      <c r="L5056">
        <v>21000</v>
      </c>
      <c r="M5056">
        <v>27300</v>
      </c>
      <c r="N5056" t="s">
        <v>22</v>
      </c>
      <c r="O5056">
        <f t="shared" si="156"/>
        <v>9750</v>
      </c>
      <c r="P5056" s="13">
        <f t="shared" si="157"/>
        <v>2651233</v>
      </c>
      <c r="Q5056" s="13">
        <f>SUMIFS(M:M,E:E,Online_eCommerce[[#This Row],[Status]])</f>
        <v>28340455</v>
      </c>
      <c r="R5056" s="13">
        <f>SUMIFS(L:L,H:H,Online_eCommerce[[#This Row],[Brand]])</f>
        <v>10950150</v>
      </c>
      <c r="S5056" s="13">
        <f>SUMIF(H:H,Online_eCommerce[[#This Row],[Brand]],M:M)</f>
        <v>14235195</v>
      </c>
      <c r="T5056" s="13">
        <f>SUMIF(N:N,Online_eCommerce[[#This Row],[Assigned Supervisor]],L:L)</f>
        <v>13693220</v>
      </c>
    </row>
    <row r="5057" spans="1:20" hidden="1" x14ac:dyDescent="0.3">
      <c r="A5057" t="s">
        <v>7499</v>
      </c>
      <c r="B5057" t="s">
        <v>149</v>
      </c>
      <c r="C5057" t="s">
        <v>105</v>
      </c>
      <c r="D5057" t="s">
        <v>7458</v>
      </c>
      <c r="E5057" t="s">
        <v>161</v>
      </c>
      <c r="F5057" t="s">
        <v>7470</v>
      </c>
      <c r="G5057" t="s">
        <v>77</v>
      </c>
      <c r="H5057" t="s">
        <v>142</v>
      </c>
      <c r="I5057">
        <v>6500</v>
      </c>
      <c r="J5057">
        <v>8450</v>
      </c>
      <c r="K5057">
        <v>2</v>
      </c>
      <c r="L5057">
        <v>13000</v>
      </c>
      <c r="M5057">
        <v>16900</v>
      </c>
      <c r="N5057" t="s">
        <v>28</v>
      </c>
      <c r="O5057">
        <f t="shared" si="156"/>
        <v>39000</v>
      </c>
      <c r="P5057" s="13">
        <f t="shared" si="157"/>
        <v>1866852</v>
      </c>
      <c r="Q5057" s="13">
        <f>SUMIFS(M:M,E:E,Online_eCommerce[[#This Row],[Status]])</f>
        <v>21103186</v>
      </c>
      <c r="R5057" s="13">
        <f>SUMIFS(L:L,H:H,Online_eCommerce[[#This Row],[Brand]])</f>
        <v>6192500</v>
      </c>
      <c r="S5057" s="13">
        <f>SUMIF(H:H,Online_eCommerce[[#This Row],[Brand]],M:M)</f>
        <v>8050250</v>
      </c>
      <c r="T5057" s="13">
        <f>SUMIF(N:N,Online_eCommerce[[#This Row],[Assigned Supervisor]],L:L)</f>
        <v>12220830</v>
      </c>
    </row>
    <row r="5058" spans="1:20" x14ac:dyDescent="0.3">
      <c r="A5058" t="s">
        <v>7500</v>
      </c>
      <c r="B5058" t="s">
        <v>154</v>
      </c>
      <c r="C5058" t="s">
        <v>110</v>
      </c>
      <c r="D5058" t="s">
        <v>7458</v>
      </c>
      <c r="E5058" t="s">
        <v>46</v>
      </c>
      <c r="F5058" t="s">
        <v>7501</v>
      </c>
      <c r="G5058" t="s">
        <v>20</v>
      </c>
      <c r="H5058" t="s">
        <v>21</v>
      </c>
      <c r="I5058">
        <v>4500</v>
      </c>
      <c r="J5058">
        <v>5850</v>
      </c>
      <c r="K5058">
        <v>1</v>
      </c>
      <c r="L5058">
        <v>4500</v>
      </c>
      <c r="M5058">
        <v>5850</v>
      </c>
      <c r="N5058" t="s">
        <v>35</v>
      </c>
      <c r="O5058">
        <f t="shared" ref="O5058:O5096" si="158">VLOOKUP(G5058,G:M,7,FALSE)</f>
        <v>8450</v>
      </c>
      <c r="P5058" s="13">
        <f t="shared" ref="P5058:P5096" si="159">SUMIFS(M:M,C:C,C5058)</f>
        <v>2598635</v>
      </c>
      <c r="Q5058" s="13">
        <f>SUMIFS(M:M,E:E,Online_eCommerce[[#This Row],[Status]])</f>
        <v>28620410</v>
      </c>
      <c r="R5058" s="13">
        <f>SUMIFS(L:L,H:H,Online_eCommerce[[#This Row],[Brand]])</f>
        <v>12435650</v>
      </c>
      <c r="S5058" s="13">
        <f>SUMIF(H:H,Online_eCommerce[[#This Row],[Brand]],M:M)</f>
        <v>16166345</v>
      </c>
      <c r="T5058" s="13">
        <f>SUMIF(N:N,Online_eCommerce[[#This Row],[Assigned Supervisor]],L:L)</f>
        <v>14373360</v>
      </c>
    </row>
    <row r="5059" spans="1:20" hidden="1" x14ac:dyDescent="0.3">
      <c r="A5059" t="s">
        <v>7502</v>
      </c>
      <c r="B5059" t="s">
        <v>159</v>
      </c>
      <c r="C5059" t="s">
        <v>115</v>
      </c>
      <c r="D5059" t="s">
        <v>7458</v>
      </c>
      <c r="E5059" t="s">
        <v>96</v>
      </c>
      <c r="F5059" t="s">
        <v>152</v>
      </c>
      <c r="G5059" t="s">
        <v>26</v>
      </c>
      <c r="H5059" t="s">
        <v>27</v>
      </c>
      <c r="I5059">
        <v>8500</v>
      </c>
      <c r="J5059">
        <v>11050</v>
      </c>
      <c r="K5059">
        <v>2</v>
      </c>
      <c r="L5059">
        <v>17000</v>
      </c>
      <c r="M5059">
        <v>22100</v>
      </c>
      <c r="N5059" t="s">
        <v>42</v>
      </c>
      <c r="O5059">
        <f t="shared" si="158"/>
        <v>33150</v>
      </c>
      <c r="P5059" s="13">
        <f t="shared" si="159"/>
        <v>2050178</v>
      </c>
      <c r="Q5059" s="13">
        <f>SUMIFS(M:M,E:E,Online_eCommerce[[#This Row],[Status]])</f>
        <v>21233992</v>
      </c>
      <c r="R5059" s="13">
        <f>SUMIFS(L:L,H:H,Online_eCommerce[[#This Row],[Brand]])</f>
        <v>14431000</v>
      </c>
      <c r="S5059" s="13">
        <f>SUMIF(H:H,Online_eCommerce[[#This Row],[Brand]],M:M)</f>
        <v>18760300</v>
      </c>
      <c r="T5059" s="13">
        <f>SUMIF(N:N,Online_eCommerce[[#This Row],[Assigned Supervisor]],L:L)</f>
        <v>12261500</v>
      </c>
    </row>
    <row r="5060" spans="1:20" hidden="1" x14ac:dyDescent="0.3">
      <c r="A5060" t="s">
        <v>7503</v>
      </c>
      <c r="B5060" t="s">
        <v>139</v>
      </c>
      <c r="C5060" t="s">
        <v>120</v>
      </c>
      <c r="D5060" t="s">
        <v>7458</v>
      </c>
      <c r="E5060" t="s">
        <v>18</v>
      </c>
      <c r="F5060" t="s">
        <v>157</v>
      </c>
      <c r="G5060" t="s">
        <v>33</v>
      </c>
      <c r="H5060" t="s">
        <v>34</v>
      </c>
      <c r="I5060">
        <v>12500</v>
      </c>
      <c r="J5060">
        <v>16250</v>
      </c>
      <c r="K5060">
        <v>2</v>
      </c>
      <c r="L5060">
        <v>25000</v>
      </c>
      <c r="M5060">
        <v>32500</v>
      </c>
      <c r="N5060" t="s">
        <v>50</v>
      </c>
      <c r="O5060">
        <f t="shared" si="158"/>
        <v>18200</v>
      </c>
      <c r="P5060" s="13">
        <f t="shared" si="159"/>
        <v>2734212</v>
      </c>
      <c r="Q5060" s="13">
        <f>SUMIFS(M:M,E:E,Online_eCommerce[[#This Row],[Status]])</f>
        <v>28340455</v>
      </c>
      <c r="R5060" s="13">
        <f>SUMIFS(L:L,H:H,Online_eCommerce[[#This Row],[Brand]])</f>
        <v>10087000</v>
      </c>
      <c r="S5060" s="13">
        <f>SUMIF(H:H,Online_eCommerce[[#This Row],[Brand]],M:M)</f>
        <v>13113100</v>
      </c>
      <c r="T5060" s="13">
        <f>SUMIF(N:N,Online_eCommerce[[#This Row],[Assigned Supervisor]],L:L)</f>
        <v>12100590</v>
      </c>
    </row>
    <row r="5061" spans="1:20" hidden="1" x14ac:dyDescent="0.3">
      <c r="A5061" t="s">
        <v>7504</v>
      </c>
      <c r="B5061" t="s">
        <v>144</v>
      </c>
      <c r="C5061" t="s">
        <v>125</v>
      </c>
      <c r="D5061" t="s">
        <v>7458</v>
      </c>
      <c r="E5061" t="s">
        <v>161</v>
      </c>
      <c r="F5061" t="s">
        <v>7071</v>
      </c>
      <c r="G5061" t="s">
        <v>256</v>
      </c>
      <c r="H5061" t="s">
        <v>41</v>
      </c>
      <c r="I5061">
        <v>3500</v>
      </c>
      <c r="J5061">
        <v>4550</v>
      </c>
      <c r="K5061">
        <v>1</v>
      </c>
      <c r="L5061">
        <v>3500</v>
      </c>
      <c r="M5061">
        <v>4550</v>
      </c>
      <c r="N5061" t="s">
        <v>56</v>
      </c>
      <c r="O5061">
        <f t="shared" si="158"/>
        <v>9100</v>
      </c>
      <c r="P5061" s="13">
        <f t="shared" si="159"/>
        <v>2091154</v>
      </c>
      <c r="Q5061" s="13">
        <f>SUMIFS(M:M,E:E,Online_eCommerce[[#This Row],[Status]])</f>
        <v>21103186</v>
      </c>
      <c r="R5061" s="13">
        <f>SUMIFS(L:L,H:H,Online_eCommerce[[#This Row],[Brand]])</f>
        <v>4260400</v>
      </c>
      <c r="S5061" s="13">
        <f>SUMIF(H:H,Online_eCommerce[[#This Row],[Brand]],M:M)</f>
        <v>5538520</v>
      </c>
      <c r="T5061" s="13">
        <f>SUMIF(N:N,Online_eCommerce[[#This Row],[Assigned Supervisor]],L:L)</f>
        <v>11733610</v>
      </c>
    </row>
    <row r="5062" spans="1:20" x14ac:dyDescent="0.3">
      <c r="A5062" t="s">
        <v>7505</v>
      </c>
      <c r="B5062" t="s">
        <v>235</v>
      </c>
      <c r="C5062" t="s">
        <v>22</v>
      </c>
      <c r="D5062" t="s">
        <v>7458</v>
      </c>
      <c r="E5062" t="s">
        <v>46</v>
      </c>
      <c r="F5062" t="s">
        <v>166</v>
      </c>
      <c r="G5062" t="s">
        <v>259</v>
      </c>
      <c r="H5062" t="s">
        <v>49</v>
      </c>
      <c r="I5062">
        <v>4500</v>
      </c>
      <c r="J5062">
        <v>5850</v>
      </c>
      <c r="K5062">
        <v>2</v>
      </c>
      <c r="L5062">
        <v>9000</v>
      </c>
      <c r="M5062">
        <v>11700</v>
      </c>
      <c r="N5062" t="s">
        <v>22</v>
      </c>
      <c r="O5062">
        <f t="shared" si="158"/>
        <v>11700</v>
      </c>
      <c r="P5062" s="13">
        <f t="shared" si="159"/>
        <v>2551588</v>
      </c>
      <c r="Q5062" s="13">
        <f>SUMIFS(M:M,E:E,Online_eCommerce[[#This Row],[Status]])</f>
        <v>28620410</v>
      </c>
      <c r="R5062" s="13">
        <f>SUMIFS(L:L,H:H,Online_eCommerce[[#This Row],[Brand]])</f>
        <v>4528350</v>
      </c>
      <c r="S5062" s="13">
        <f>SUMIF(H:H,Online_eCommerce[[#This Row],[Brand]],M:M)</f>
        <v>5886855</v>
      </c>
      <c r="T5062" s="13">
        <f>SUMIF(N:N,Online_eCommerce[[#This Row],[Assigned Supervisor]],L:L)</f>
        <v>13693220</v>
      </c>
    </row>
    <row r="5063" spans="1:20" hidden="1" x14ac:dyDescent="0.3">
      <c r="A5063" t="s">
        <v>7506</v>
      </c>
      <c r="B5063" t="s">
        <v>176</v>
      </c>
      <c r="C5063" t="s">
        <v>132</v>
      </c>
      <c r="D5063" t="s">
        <v>7458</v>
      </c>
      <c r="E5063" t="s">
        <v>96</v>
      </c>
      <c r="F5063" t="s">
        <v>7507</v>
      </c>
      <c r="G5063" t="s">
        <v>54</v>
      </c>
      <c r="H5063" t="s">
        <v>55</v>
      </c>
      <c r="I5063">
        <v>2100</v>
      </c>
      <c r="J5063">
        <v>2730</v>
      </c>
      <c r="K5063">
        <v>3</v>
      </c>
      <c r="L5063">
        <v>6300</v>
      </c>
      <c r="M5063">
        <v>8190</v>
      </c>
      <c r="N5063" t="s">
        <v>28</v>
      </c>
      <c r="O5063">
        <f t="shared" si="158"/>
        <v>2990</v>
      </c>
      <c r="P5063" s="13">
        <f t="shared" si="159"/>
        <v>1989065</v>
      </c>
      <c r="Q5063" s="13">
        <f>SUMIFS(M:M,E:E,Online_eCommerce[[#This Row],[Status]])</f>
        <v>21233992</v>
      </c>
      <c r="R5063" s="13">
        <f>SUMIFS(L:L,H:H,Online_eCommerce[[#This Row],[Brand]])</f>
        <v>2267380</v>
      </c>
      <c r="S5063" s="13">
        <f>SUMIF(H:H,Online_eCommerce[[#This Row],[Brand]],M:M)</f>
        <v>2947594</v>
      </c>
      <c r="T5063" s="13">
        <f>SUMIF(N:N,Online_eCommerce[[#This Row],[Assigned Supervisor]],L:L)</f>
        <v>12220830</v>
      </c>
    </row>
    <row r="5064" spans="1:20" hidden="1" x14ac:dyDescent="0.3">
      <c r="A5064" t="s">
        <v>7508</v>
      </c>
      <c r="B5064" t="s">
        <v>276</v>
      </c>
      <c r="C5064" t="s">
        <v>136</v>
      </c>
      <c r="D5064" t="s">
        <v>7458</v>
      </c>
      <c r="E5064" t="s">
        <v>18</v>
      </c>
      <c r="F5064" t="s">
        <v>174</v>
      </c>
      <c r="G5064" t="s">
        <v>60</v>
      </c>
      <c r="H5064" t="s">
        <v>61</v>
      </c>
      <c r="I5064">
        <v>1150</v>
      </c>
      <c r="J5064">
        <v>1495</v>
      </c>
      <c r="K5064">
        <v>1</v>
      </c>
      <c r="L5064">
        <v>1150</v>
      </c>
      <c r="M5064">
        <v>1495</v>
      </c>
      <c r="N5064" t="s">
        <v>35</v>
      </c>
      <c r="O5064">
        <f t="shared" si="158"/>
        <v>3315</v>
      </c>
      <c r="P5064" s="13">
        <f t="shared" si="159"/>
        <v>2775162</v>
      </c>
      <c r="Q5064" s="13">
        <f>SUMIFS(M:M,E:E,Online_eCommerce[[#This Row],[Status]])</f>
        <v>28340455</v>
      </c>
      <c r="R5064" s="13">
        <f>SUMIFS(L:L,H:H,Online_eCommerce[[#This Row],[Brand]])</f>
        <v>10950150</v>
      </c>
      <c r="S5064" s="13">
        <f>SUMIF(H:H,Online_eCommerce[[#This Row],[Brand]],M:M)</f>
        <v>14235195</v>
      </c>
      <c r="T5064" s="13">
        <f>SUMIF(N:N,Online_eCommerce[[#This Row],[Assigned Supervisor]],L:L)</f>
        <v>14373360</v>
      </c>
    </row>
    <row r="5065" spans="1:20" hidden="1" x14ac:dyDescent="0.3">
      <c r="A5065" t="s">
        <v>7509</v>
      </c>
      <c r="B5065" t="s">
        <v>280</v>
      </c>
      <c r="C5065" t="s">
        <v>140</v>
      </c>
      <c r="D5065" t="s">
        <v>7458</v>
      </c>
      <c r="E5065" t="s">
        <v>161</v>
      </c>
      <c r="F5065" t="s">
        <v>179</v>
      </c>
      <c r="G5065" t="s">
        <v>66</v>
      </c>
      <c r="H5065" t="s">
        <v>21</v>
      </c>
      <c r="I5065">
        <v>350</v>
      </c>
      <c r="J5065">
        <v>455</v>
      </c>
      <c r="K5065">
        <v>1</v>
      </c>
      <c r="L5065">
        <v>350</v>
      </c>
      <c r="M5065">
        <v>455</v>
      </c>
      <c r="N5065" t="s">
        <v>42</v>
      </c>
      <c r="O5065">
        <f t="shared" si="158"/>
        <v>1690</v>
      </c>
      <c r="P5065" s="13">
        <f t="shared" si="159"/>
        <v>2058264</v>
      </c>
      <c r="Q5065" s="13">
        <f>SUMIFS(M:M,E:E,Online_eCommerce[[#This Row],[Status]])</f>
        <v>21103186</v>
      </c>
      <c r="R5065" s="13">
        <f>SUMIFS(L:L,H:H,Online_eCommerce[[#This Row],[Brand]])</f>
        <v>12435650</v>
      </c>
      <c r="S5065" s="13">
        <f>SUMIF(H:H,Online_eCommerce[[#This Row],[Brand]],M:M)</f>
        <v>16166345</v>
      </c>
      <c r="T5065" s="13">
        <f>SUMIF(N:N,Online_eCommerce[[#This Row],[Assigned Supervisor]],L:L)</f>
        <v>12261500</v>
      </c>
    </row>
    <row r="5066" spans="1:20" x14ac:dyDescent="0.3">
      <c r="A5066" t="s">
        <v>7510</v>
      </c>
      <c r="B5066" t="s">
        <v>283</v>
      </c>
      <c r="C5066" t="s">
        <v>145</v>
      </c>
      <c r="D5066" t="s">
        <v>7458</v>
      </c>
      <c r="E5066" t="s">
        <v>46</v>
      </c>
      <c r="F5066" t="s">
        <v>183</v>
      </c>
      <c r="G5066" t="s">
        <v>71</v>
      </c>
      <c r="H5066" t="s">
        <v>61</v>
      </c>
      <c r="I5066">
        <v>9500</v>
      </c>
      <c r="J5066">
        <v>12350</v>
      </c>
      <c r="K5066">
        <v>2</v>
      </c>
      <c r="L5066">
        <v>19000</v>
      </c>
      <c r="M5066">
        <v>24700</v>
      </c>
      <c r="N5066" t="s">
        <v>50</v>
      </c>
      <c r="O5066">
        <f t="shared" si="158"/>
        <v>9750</v>
      </c>
      <c r="P5066" s="13">
        <f t="shared" si="159"/>
        <v>2757859</v>
      </c>
      <c r="Q5066" s="13">
        <f>SUMIFS(M:M,E:E,Online_eCommerce[[#This Row],[Status]])</f>
        <v>28620410</v>
      </c>
      <c r="R5066" s="13">
        <f>SUMIFS(L:L,H:H,Online_eCommerce[[#This Row],[Brand]])</f>
        <v>10950150</v>
      </c>
      <c r="S5066" s="13">
        <f>SUMIF(H:H,Online_eCommerce[[#This Row],[Brand]],M:M)</f>
        <v>14235195</v>
      </c>
      <c r="T5066" s="13">
        <f>SUMIF(N:N,Online_eCommerce[[#This Row],[Assigned Supervisor]],L:L)</f>
        <v>12100590</v>
      </c>
    </row>
    <row r="5067" spans="1:20" hidden="1" x14ac:dyDescent="0.3">
      <c r="A5067" t="s">
        <v>7511</v>
      </c>
      <c r="B5067" t="s">
        <v>287</v>
      </c>
      <c r="C5067" t="s">
        <v>150</v>
      </c>
      <c r="D5067" t="s">
        <v>7458</v>
      </c>
      <c r="E5067" t="s">
        <v>96</v>
      </c>
      <c r="F5067" t="s">
        <v>7512</v>
      </c>
      <c r="G5067" t="s">
        <v>77</v>
      </c>
      <c r="H5067" t="s">
        <v>142</v>
      </c>
      <c r="I5067">
        <v>10000</v>
      </c>
      <c r="J5067">
        <v>13000</v>
      </c>
      <c r="K5067">
        <v>2</v>
      </c>
      <c r="L5067">
        <v>20000</v>
      </c>
      <c r="M5067">
        <v>26000</v>
      </c>
      <c r="N5067" t="s">
        <v>56</v>
      </c>
      <c r="O5067">
        <f t="shared" si="158"/>
        <v>39000</v>
      </c>
      <c r="P5067" s="13">
        <f t="shared" si="159"/>
        <v>2154984</v>
      </c>
      <c r="Q5067" s="13">
        <f>SUMIFS(M:M,E:E,Online_eCommerce[[#This Row],[Status]])</f>
        <v>21233992</v>
      </c>
      <c r="R5067" s="13">
        <f>SUMIFS(L:L,H:H,Online_eCommerce[[#This Row],[Brand]])</f>
        <v>6192500</v>
      </c>
      <c r="S5067" s="13">
        <f>SUMIF(H:H,Online_eCommerce[[#This Row],[Brand]],M:M)</f>
        <v>8050250</v>
      </c>
      <c r="T5067" s="13">
        <f>SUMIF(N:N,Online_eCommerce[[#This Row],[Assigned Supervisor]],L:L)</f>
        <v>11733610</v>
      </c>
    </row>
    <row r="5068" spans="1:20" hidden="1" x14ac:dyDescent="0.3">
      <c r="A5068" t="s">
        <v>7513</v>
      </c>
      <c r="B5068" t="s">
        <v>290</v>
      </c>
      <c r="C5068" t="s">
        <v>155</v>
      </c>
      <c r="D5068" t="s">
        <v>7458</v>
      </c>
      <c r="E5068" t="s">
        <v>18</v>
      </c>
      <c r="F5068" t="s">
        <v>7514</v>
      </c>
      <c r="G5068" t="s">
        <v>20</v>
      </c>
      <c r="H5068" t="s">
        <v>21</v>
      </c>
      <c r="I5068">
        <v>6500</v>
      </c>
      <c r="J5068">
        <v>8450</v>
      </c>
      <c r="K5068">
        <v>2</v>
      </c>
      <c r="L5068">
        <v>13000</v>
      </c>
      <c r="M5068">
        <v>16900</v>
      </c>
      <c r="N5068" t="s">
        <v>22</v>
      </c>
      <c r="O5068">
        <f t="shared" si="158"/>
        <v>8450</v>
      </c>
      <c r="P5068" s="13">
        <f t="shared" si="159"/>
        <v>2753348</v>
      </c>
      <c r="Q5068" s="13">
        <f>SUMIFS(M:M,E:E,Online_eCommerce[[#This Row],[Status]])</f>
        <v>28340455</v>
      </c>
      <c r="R5068" s="13">
        <f>SUMIFS(L:L,H:H,Online_eCommerce[[#This Row],[Brand]])</f>
        <v>12435650</v>
      </c>
      <c r="S5068" s="13">
        <f>SUMIF(H:H,Online_eCommerce[[#This Row],[Brand]],M:M)</f>
        <v>16166345</v>
      </c>
      <c r="T5068" s="13">
        <f>SUMIF(N:N,Online_eCommerce[[#This Row],[Assigned Supervisor]],L:L)</f>
        <v>13693220</v>
      </c>
    </row>
    <row r="5069" spans="1:20" hidden="1" x14ac:dyDescent="0.3">
      <c r="A5069" t="s">
        <v>7515</v>
      </c>
      <c r="B5069" t="s">
        <v>15</v>
      </c>
      <c r="C5069" t="s">
        <v>160</v>
      </c>
      <c r="D5069" t="s">
        <v>7458</v>
      </c>
      <c r="E5069" t="s">
        <v>161</v>
      </c>
      <c r="F5069" t="s">
        <v>7516</v>
      </c>
      <c r="G5069" t="s">
        <v>26</v>
      </c>
      <c r="H5069" t="s">
        <v>27</v>
      </c>
      <c r="I5069">
        <v>8500</v>
      </c>
      <c r="J5069">
        <v>11050</v>
      </c>
      <c r="K5069">
        <v>3</v>
      </c>
      <c r="L5069">
        <v>25500</v>
      </c>
      <c r="M5069">
        <v>33150</v>
      </c>
      <c r="N5069" t="s">
        <v>28</v>
      </c>
      <c r="O5069">
        <f t="shared" si="158"/>
        <v>33150</v>
      </c>
      <c r="P5069" s="13">
        <f t="shared" si="159"/>
        <v>2303483</v>
      </c>
      <c r="Q5069" s="13">
        <f>SUMIFS(M:M,E:E,Online_eCommerce[[#This Row],[Status]])</f>
        <v>21103186</v>
      </c>
      <c r="R5069" s="13">
        <f>SUMIFS(L:L,H:H,Online_eCommerce[[#This Row],[Brand]])</f>
        <v>14431000</v>
      </c>
      <c r="S5069" s="13">
        <f>SUMIF(H:H,Online_eCommerce[[#This Row],[Brand]],M:M)</f>
        <v>18760300</v>
      </c>
      <c r="T5069" s="13">
        <f>SUMIF(N:N,Online_eCommerce[[#This Row],[Assigned Supervisor]],L:L)</f>
        <v>12220830</v>
      </c>
    </row>
    <row r="5070" spans="1:20" x14ac:dyDescent="0.3">
      <c r="A5070" t="s">
        <v>7517</v>
      </c>
      <c r="B5070" t="s">
        <v>202</v>
      </c>
      <c r="C5070" t="s">
        <v>165</v>
      </c>
      <c r="D5070" t="s">
        <v>7458</v>
      </c>
      <c r="E5070" t="s">
        <v>46</v>
      </c>
      <c r="F5070" t="s">
        <v>32</v>
      </c>
      <c r="G5070" t="s">
        <v>33</v>
      </c>
      <c r="H5070" t="s">
        <v>34</v>
      </c>
      <c r="I5070">
        <v>7000</v>
      </c>
      <c r="J5070">
        <v>9100</v>
      </c>
      <c r="K5070">
        <v>4</v>
      </c>
      <c r="L5070">
        <v>28000</v>
      </c>
      <c r="M5070">
        <v>36400</v>
      </c>
      <c r="N5070" t="s">
        <v>35</v>
      </c>
      <c r="O5070">
        <f t="shared" si="158"/>
        <v>18200</v>
      </c>
      <c r="P5070" s="13">
        <f t="shared" si="159"/>
        <v>2674087</v>
      </c>
      <c r="Q5070" s="13">
        <f>SUMIFS(M:M,E:E,Online_eCommerce[[#This Row],[Status]])</f>
        <v>28620410</v>
      </c>
      <c r="R5070" s="13">
        <f>SUMIFS(L:L,H:H,Online_eCommerce[[#This Row],[Brand]])</f>
        <v>10087000</v>
      </c>
      <c r="S5070" s="13">
        <f>SUMIF(H:H,Online_eCommerce[[#This Row],[Brand]],M:M)</f>
        <v>13113100</v>
      </c>
      <c r="T5070" s="13">
        <f>SUMIF(N:N,Online_eCommerce[[#This Row],[Assigned Supervisor]],L:L)</f>
        <v>14373360</v>
      </c>
    </row>
    <row r="5071" spans="1:20" hidden="1" x14ac:dyDescent="0.3">
      <c r="A5071" t="s">
        <v>7518</v>
      </c>
      <c r="B5071" t="s">
        <v>30</v>
      </c>
      <c r="C5071" t="s">
        <v>168</v>
      </c>
      <c r="D5071" t="s">
        <v>7458</v>
      </c>
      <c r="E5071" t="s">
        <v>96</v>
      </c>
      <c r="F5071" t="s">
        <v>7519</v>
      </c>
      <c r="G5071" t="s">
        <v>256</v>
      </c>
      <c r="H5071" t="s">
        <v>41</v>
      </c>
      <c r="I5071">
        <v>6550</v>
      </c>
      <c r="J5071">
        <v>8515</v>
      </c>
      <c r="K5071">
        <v>2</v>
      </c>
      <c r="L5071">
        <v>13100</v>
      </c>
      <c r="M5071">
        <v>17030</v>
      </c>
      <c r="N5071" t="s">
        <v>42</v>
      </c>
      <c r="O5071">
        <f t="shared" si="158"/>
        <v>9100</v>
      </c>
      <c r="P5071" s="13">
        <f t="shared" si="159"/>
        <v>1937780</v>
      </c>
      <c r="Q5071" s="13">
        <f>SUMIFS(M:M,E:E,Online_eCommerce[[#This Row],[Status]])</f>
        <v>21233992</v>
      </c>
      <c r="R5071" s="13">
        <f>SUMIFS(L:L,H:H,Online_eCommerce[[#This Row],[Brand]])</f>
        <v>4260400</v>
      </c>
      <c r="S5071" s="13">
        <f>SUMIF(H:H,Online_eCommerce[[#This Row],[Brand]],M:M)</f>
        <v>5538520</v>
      </c>
      <c r="T5071" s="13">
        <f>SUMIF(N:N,Online_eCommerce[[#This Row],[Assigned Supervisor]],L:L)</f>
        <v>12261500</v>
      </c>
    </row>
    <row r="5072" spans="1:20" hidden="1" x14ac:dyDescent="0.3">
      <c r="A5072" t="s">
        <v>7520</v>
      </c>
      <c r="B5072" t="s">
        <v>37</v>
      </c>
      <c r="C5072" t="s">
        <v>172</v>
      </c>
      <c r="D5072" t="s">
        <v>7458</v>
      </c>
      <c r="E5072" t="s">
        <v>18</v>
      </c>
      <c r="F5072" t="s">
        <v>47</v>
      </c>
      <c r="G5072" t="s">
        <v>259</v>
      </c>
      <c r="H5072" t="s">
        <v>49</v>
      </c>
      <c r="I5072">
        <v>7650</v>
      </c>
      <c r="J5072">
        <v>9945</v>
      </c>
      <c r="K5072">
        <v>2</v>
      </c>
      <c r="L5072">
        <v>15300</v>
      </c>
      <c r="M5072">
        <v>19890</v>
      </c>
      <c r="N5072" t="s">
        <v>50</v>
      </c>
      <c r="O5072">
        <f t="shared" si="158"/>
        <v>11700</v>
      </c>
      <c r="P5072" s="13">
        <f t="shared" si="159"/>
        <v>2640274</v>
      </c>
      <c r="Q5072" s="13">
        <f>SUMIFS(M:M,E:E,Online_eCommerce[[#This Row],[Status]])</f>
        <v>28340455</v>
      </c>
      <c r="R5072" s="13">
        <f>SUMIFS(L:L,H:H,Online_eCommerce[[#This Row],[Brand]])</f>
        <v>4528350</v>
      </c>
      <c r="S5072" s="13">
        <f>SUMIF(H:H,Online_eCommerce[[#This Row],[Brand]],M:M)</f>
        <v>5886855</v>
      </c>
      <c r="T5072" s="13">
        <f>SUMIF(N:N,Online_eCommerce[[#This Row],[Assigned Supervisor]],L:L)</f>
        <v>12100590</v>
      </c>
    </row>
    <row r="5073" spans="1:20" hidden="1" x14ac:dyDescent="0.3">
      <c r="A5073" t="s">
        <v>7521</v>
      </c>
      <c r="B5073" t="s">
        <v>44</v>
      </c>
      <c r="C5073" t="s">
        <v>177</v>
      </c>
      <c r="D5073" t="s">
        <v>7458</v>
      </c>
      <c r="E5073" t="s">
        <v>161</v>
      </c>
      <c r="F5073" t="s">
        <v>53</v>
      </c>
      <c r="G5073" t="s">
        <v>54</v>
      </c>
      <c r="H5073" t="s">
        <v>55</v>
      </c>
      <c r="I5073">
        <v>1150</v>
      </c>
      <c r="J5073">
        <v>1495</v>
      </c>
      <c r="K5073">
        <v>2</v>
      </c>
      <c r="L5073">
        <v>2300</v>
      </c>
      <c r="M5073">
        <v>2990</v>
      </c>
      <c r="N5073" t="s">
        <v>56</v>
      </c>
      <c r="O5073">
        <f t="shared" si="158"/>
        <v>2990</v>
      </c>
      <c r="P5073" s="13">
        <f t="shared" si="159"/>
        <v>1863810</v>
      </c>
      <c r="Q5073" s="13">
        <f>SUMIFS(M:M,E:E,Online_eCommerce[[#This Row],[Status]])</f>
        <v>21103186</v>
      </c>
      <c r="R5073" s="13">
        <f>SUMIFS(L:L,H:H,Online_eCommerce[[#This Row],[Brand]])</f>
        <v>2267380</v>
      </c>
      <c r="S5073" s="13">
        <f>SUMIF(H:H,Online_eCommerce[[#This Row],[Brand]],M:M)</f>
        <v>2947594</v>
      </c>
      <c r="T5073" s="13">
        <f>SUMIF(N:N,Online_eCommerce[[#This Row],[Assigned Supervisor]],L:L)</f>
        <v>11733610</v>
      </c>
    </row>
    <row r="5074" spans="1:20" x14ac:dyDescent="0.3">
      <c r="A5074" t="s">
        <v>7522</v>
      </c>
      <c r="B5074" t="s">
        <v>213</v>
      </c>
      <c r="C5074" t="s">
        <v>181</v>
      </c>
      <c r="D5074" t="s">
        <v>7458</v>
      </c>
      <c r="E5074" t="s">
        <v>46</v>
      </c>
      <c r="F5074" t="s">
        <v>59</v>
      </c>
      <c r="G5074" t="s">
        <v>60</v>
      </c>
      <c r="H5074" t="s">
        <v>61</v>
      </c>
      <c r="I5074">
        <v>850</v>
      </c>
      <c r="J5074">
        <v>1105</v>
      </c>
      <c r="K5074">
        <v>2</v>
      </c>
      <c r="L5074">
        <v>1700</v>
      </c>
      <c r="M5074">
        <v>2210</v>
      </c>
      <c r="N5074" t="s">
        <v>22</v>
      </c>
      <c r="O5074">
        <f t="shared" si="158"/>
        <v>3315</v>
      </c>
      <c r="P5074" s="13">
        <f t="shared" si="159"/>
        <v>2577458</v>
      </c>
      <c r="Q5074" s="13">
        <f>SUMIFS(M:M,E:E,Online_eCommerce[[#This Row],[Status]])</f>
        <v>28620410</v>
      </c>
      <c r="R5074" s="13">
        <f>SUMIFS(L:L,H:H,Online_eCommerce[[#This Row],[Brand]])</f>
        <v>10950150</v>
      </c>
      <c r="S5074" s="13">
        <f>SUMIF(H:H,Online_eCommerce[[#This Row],[Brand]],M:M)</f>
        <v>14235195</v>
      </c>
      <c r="T5074" s="13">
        <f>SUMIF(N:N,Online_eCommerce[[#This Row],[Assigned Supervisor]],L:L)</f>
        <v>13693220</v>
      </c>
    </row>
    <row r="5075" spans="1:20" hidden="1" x14ac:dyDescent="0.3">
      <c r="A5075" t="s">
        <v>7523</v>
      </c>
      <c r="B5075" t="s">
        <v>215</v>
      </c>
      <c r="C5075" t="s">
        <v>185</v>
      </c>
      <c r="D5075" t="s">
        <v>7458</v>
      </c>
      <c r="E5075" t="s">
        <v>96</v>
      </c>
      <c r="F5075" t="s">
        <v>65</v>
      </c>
      <c r="G5075" t="s">
        <v>66</v>
      </c>
      <c r="H5075" t="s">
        <v>21</v>
      </c>
      <c r="I5075">
        <v>650</v>
      </c>
      <c r="J5075">
        <v>845</v>
      </c>
      <c r="K5075">
        <v>4</v>
      </c>
      <c r="L5075">
        <v>2600</v>
      </c>
      <c r="M5075">
        <v>3380</v>
      </c>
      <c r="N5075" t="s">
        <v>28</v>
      </c>
      <c r="O5075">
        <f t="shared" si="158"/>
        <v>1690</v>
      </c>
      <c r="P5075" s="13">
        <f t="shared" si="159"/>
        <v>2091596</v>
      </c>
      <c r="Q5075" s="13">
        <f>SUMIFS(M:M,E:E,Online_eCommerce[[#This Row],[Status]])</f>
        <v>21233992</v>
      </c>
      <c r="R5075" s="13">
        <f>SUMIFS(L:L,H:H,Online_eCommerce[[#This Row],[Brand]])</f>
        <v>12435650</v>
      </c>
      <c r="S5075" s="13">
        <f>SUMIF(H:H,Online_eCommerce[[#This Row],[Brand]],M:M)</f>
        <v>16166345</v>
      </c>
      <c r="T5075" s="13">
        <f>SUMIF(N:N,Online_eCommerce[[#This Row],[Assigned Supervisor]],L:L)</f>
        <v>12220830</v>
      </c>
    </row>
    <row r="5076" spans="1:20" hidden="1" x14ac:dyDescent="0.3">
      <c r="A5076" t="s">
        <v>7524</v>
      </c>
      <c r="B5076" t="s">
        <v>306</v>
      </c>
      <c r="C5076" t="s">
        <v>189</v>
      </c>
      <c r="D5076" t="s">
        <v>7458</v>
      </c>
      <c r="E5076" t="s">
        <v>18</v>
      </c>
      <c r="F5076" t="s">
        <v>70</v>
      </c>
      <c r="G5076" t="s">
        <v>71</v>
      </c>
      <c r="H5076" t="s">
        <v>61</v>
      </c>
      <c r="I5076">
        <v>7500</v>
      </c>
      <c r="J5076">
        <v>9750</v>
      </c>
      <c r="K5076">
        <v>1</v>
      </c>
      <c r="L5076">
        <v>7500</v>
      </c>
      <c r="M5076">
        <v>9750</v>
      </c>
      <c r="N5076" t="s">
        <v>35</v>
      </c>
      <c r="O5076">
        <f t="shared" si="158"/>
        <v>9750</v>
      </c>
      <c r="P5076" s="13">
        <f t="shared" si="159"/>
        <v>2740777</v>
      </c>
      <c r="Q5076" s="13">
        <f>SUMIFS(M:M,E:E,Online_eCommerce[[#This Row],[Status]])</f>
        <v>28340455</v>
      </c>
      <c r="R5076" s="13">
        <f>SUMIFS(L:L,H:H,Online_eCommerce[[#This Row],[Brand]])</f>
        <v>10950150</v>
      </c>
      <c r="S5076" s="13">
        <f>SUMIF(H:H,Online_eCommerce[[#This Row],[Brand]],M:M)</f>
        <v>14235195</v>
      </c>
      <c r="T5076" s="13">
        <f>SUMIF(N:N,Online_eCommerce[[#This Row],[Assigned Supervisor]],L:L)</f>
        <v>14373360</v>
      </c>
    </row>
    <row r="5077" spans="1:20" hidden="1" x14ac:dyDescent="0.3">
      <c r="A5077" t="s">
        <v>7525</v>
      </c>
      <c r="B5077" t="s">
        <v>528</v>
      </c>
      <c r="C5077" t="s">
        <v>193</v>
      </c>
      <c r="D5077" t="s">
        <v>7458</v>
      </c>
      <c r="E5077" t="s">
        <v>161</v>
      </c>
      <c r="F5077" t="s">
        <v>7512</v>
      </c>
      <c r="G5077" t="s">
        <v>77</v>
      </c>
      <c r="H5077" t="s">
        <v>78</v>
      </c>
      <c r="I5077">
        <v>10000</v>
      </c>
      <c r="J5077">
        <v>13000</v>
      </c>
      <c r="K5077">
        <v>1</v>
      </c>
      <c r="L5077">
        <v>10000</v>
      </c>
      <c r="M5077">
        <v>13000</v>
      </c>
      <c r="N5077" t="s">
        <v>42</v>
      </c>
      <c r="O5077">
        <f t="shared" si="158"/>
        <v>39000</v>
      </c>
      <c r="P5077" s="13">
        <f t="shared" si="159"/>
        <v>2074774</v>
      </c>
      <c r="Q5077" s="13">
        <f>SUMIFS(M:M,E:E,Online_eCommerce[[#This Row],[Status]])</f>
        <v>21103186</v>
      </c>
      <c r="R5077" s="13">
        <f>SUMIFS(L:L,H:H,Online_eCommerce[[#This Row],[Brand]])</f>
        <v>3720000</v>
      </c>
      <c r="S5077" s="13">
        <f>SUMIF(H:H,Online_eCommerce[[#This Row],[Brand]],M:M)</f>
        <v>4836000</v>
      </c>
      <c r="T5077" s="13">
        <f>SUMIF(N:N,Online_eCommerce[[#This Row],[Assigned Supervisor]],L:L)</f>
        <v>12261500</v>
      </c>
    </row>
    <row r="5078" spans="1:20" x14ac:dyDescent="0.3">
      <c r="A5078" t="s">
        <v>7526</v>
      </c>
      <c r="B5078" t="s">
        <v>73</v>
      </c>
      <c r="C5078" t="s">
        <v>197</v>
      </c>
      <c r="D5078" t="s">
        <v>7458</v>
      </c>
      <c r="E5078" t="s">
        <v>46</v>
      </c>
      <c r="F5078" t="s">
        <v>7527</v>
      </c>
      <c r="G5078" t="s">
        <v>20</v>
      </c>
      <c r="H5078" t="s">
        <v>21</v>
      </c>
      <c r="I5078">
        <v>10500</v>
      </c>
      <c r="J5078">
        <v>13650</v>
      </c>
      <c r="K5078">
        <v>4</v>
      </c>
      <c r="L5078">
        <v>42000</v>
      </c>
      <c r="M5078">
        <v>54600</v>
      </c>
      <c r="N5078" t="s">
        <v>50</v>
      </c>
      <c r="O5078">
        <f t="shared" si="158"/>
        <v>8450</v>
      </c>
      <c r="P5078" s="13">
        <f t="shared" si="159"/>
        <v>2829840</v>
      </c>
      <c r="Q5078" s="13">
        <f>SUMIFS(M:M,E:E,Online_eCommerce[[#This Row],[Status]])</f>
        <v>28620410</v>
      </c>
      <c r="R5078" s="13">
        <f>SUMIFS(L:L,H:H,Online_eCommerce[[#This Row],[Brand]])</f>
        <v>12435650</v>
      </c>
      <c r="S5078" s="13">
        <f>SUMIF(H:H,Online_eCommerce[[#This Row],[Brand]],M:M)</f>
        <v>16166345</v>
      </c>
      <c r="T5078" s="13">
        <f>SUMIF(N:N,Online_eCommerce[[#This Row],[Assigned Supervisor]],L:L)</f>
        <v>12100590</v>
      </c>
    </row>
    <row r="5079" spans="1:20" hidden="1" x14ac:dyDescent="0.3">
      <c r="A5079" t="s">
        <v>7528</v>
      </c>
      <c r="B5079" t="s">
        <v>80</v>
      </c>
      <c r="C5079" t="s">
        <v>199</v>
      </c>
      <c r="D5079" t="s">
        <v>7458</v>
      </c>
      <c r="E5079" t="s">
        <v>96</v>
      </c>
      <c r="F5079" t="s">
        <v>88</v>
      </c>
      <c r="G5079" t="s">
        <v>26</v>
      </c>
      <c r="H5079" t="s">
        <v>27</v>
      </c>
      <c r="I5079">
        <v>8500</v>
      </c>
      <c r="J5079">
        <v>11050</v>
      </c>
      <c r="K5079">
        <v>1</v>
      </c>
      <c r="L5079">
        <v>8500</v>
      </c>
      <c r="M5079">
        <v>11050</v>
      </c>
      <c r="N5079" t="s">
        <v>56</v>
      </c>
      <c r="O5079">
        <f t="shared" si="158"/>
        <v>33150</v>
      </c>
      <c r="P5079" s="13">
        <f t="shared" si="159"/>
        <v>1947361</v>
      </c>
      <c r="Q5079" s="13">
        <f>SUMIFS(M:M,E:E,Online_eCommerce[[#This Row],[Status]])</f>
        <v>21233992</v>
      </c>
      <c r="R5079" s="13">
        <f>SUMIFS(L:L,H:H,Online_eCommerce[[#This Row],[Brand]])</f>
        <v>14431000</v>
      </c>
      <c r="S5079" s="13">
        <f>SUMIF(H:H,Online_eCommerce[[#This Row],[Brand]],M:M)</f>
        <v>18760300</v>
      </c>
      <c r="T5079" s="13">
        <f>SUMIF(N:N,Online_eCommerce[[#This Row],[Assigned Supervisor]],L:L)</f>
        <v>11733610</v>
      </c>
    </row>
    <row r="5080" spans="1:20" hidden="1" x14ac:dyDescent="0.3">
      <c r="A5080" t="s">
        <v>7529</v>
      </c>
      <c r="B5080" t="s">
        <v>85</v>
      </c>
      <c r="C5080" t="s">
        <v>203</v>
      </c>
      <c r="D5080" t="s">
        <v>7458</v>
      </c>
      <c r="E5080" t="s">
        <v>18</v>
      </c>
      <c r="F5080" t="s">
        <v>32</v>
      </c>
      <c r="G5080" t="s">
        <v>33</v>
      </c>
      <c r="H5080" t="s">
        <v>34</v>
      </c>
      <c r="I5080">
        <v>7000</v>
      </c>
      <c r="J5080">
        <v>9100</v>
      </c>
      <c r="K5080">
        <v>2</v>
      </c>
      <c r="L5080">
        <v>14000</v>
      </c>
      <c r="M5080">
        <v>18200</v>
      </c>
      <c r="N5080" t="s">
        <v>22</v>
      </c>
      <c r="O5080">
        <f t="shared" si="158"/>
        <v>18200</v>
      </c>
      <c r="P5080" s="13">
        <f t="shared" si="159"/>
        <v>2559635</v>
      </c>
      <c r="Q5080" s="13">
        <f>SUMIFS(M:M,E:E,Online_eCommerce[[#This Row],[Status]])</f>
        <v>28340455</v>
      </c>
      <c r="R5080" s="13">
        <f>SUMIFS(L:L,H:H,Online_eCommerce[[#This Row],[Brand]])</f>
        <v>10087000</v>
      </c>
      <c r="S5080" s="13">
        <f>SUMIF(H:H,Online_eCommerce[[#This Row],[Brand]],M:M)</f>
        <v>13113100</v>
      </c>
      <c r="T5080" s="13">
        <f>SUMIF(N:N,Online_eCommerce[[#This Row],[Assigned Supervisor]],L:L)</f>
        <v>13693220</v>
      </c>
    </row>
    <row r="5081" spans="1:20" hidden="1" x14ac:dyDescent="0.3">
      <c r="A5081" t="s">
        <v>7530</v>
      </c>
      <c r="B5081" t="s">
        <v>90</v>
      </c>
      <c r="C5081" t="s">
        <v>205</v>
      </c>
      <c r="D5081" t="s">
        <v>7458</v>
      </c>
      <c r="E5081" t="s">
        <v>161</v>
      </c>
      <c r="F5081" t="s">
        <v>7531</v>
      </c>
      <c r="G5081" t="s">
        <v>256</v>
      </c>
      <c r="H5081" t="s">
        <v>41</v>
      </c>
      <c r="I5081">
        <v>1680</v>
      </c>
      <c r="J5081">
        <v>2184</v>
      </c>
      <c r="K5081">
        <v>4</v>
      </c>
      <c r="L5081">
        <v>6720</v>
      </c>
      <c r="M5081">
        <v>8736</v>
      </c>
      <c r="N5081" t="s">
        <v>28</v>
      </c>
      <c r="O5081">
        <f t="shared" si="158"/>
        <v>9100</v>
      </c>
      <c r="P5081" s="13">
        <f t="shared" si="159"/>
        <v>1983254</v>
      </c>
      <c r="Q5081" s="13">
        <f>SUMIFS(M:M,E:E,Online_eCommerce[[#This Row],[Status]])</f>
        <v>21103186</v>
      </c>
      <c r="R5081" s="13">
        <f>SUMIFS(L:L,H:H,Online_eCommerce[[#This Row],[Brand]])</f>
        <v>4260400</v>
      </c>
      <c r="S5081" s="13">
        <f>SUMIF(H:H,Online_eCommerce[[#This Row],[Brand]],M:M)</f>
        <v>5538520</v>
      </c>
      <c r="T5081" s="13">
        <f>SUMIF(N:N,Online_eCommerce[[#This Row],[Assigned Supervisor]],L:L)</f>
        <v>12220830</v>
      </c>
    </row>
    <row r="5082" spans="1:20" x14ac:dyDescent="0.3">
      <c r="A5082" t="s">
        <v>7532</v>
      </c>
      <c r="B5082" t="s">
        <v>232</v>
      </c>
      <c r="C5082" t="s">
        <v>208</v>
      </c>
      <c r="D5082" t="s">
        <v>7458</v>
      </c>
      <c r="E5082" t="s">
        <v>46</v>
      </c>
      <c r="F5082" t="s">
        <v>101</v>
      </c>
      <c r="G5082" t="s">
        <v>259</v>
      </c>
      <c r="H5082" t="s">
        <v>102</v>
      </c>
      <c r="I5082">
        <v>6540</v>
      </c>
      <c r="J5082">
        <v>8502</v>
      </c>
      <c r="K5082">
        <v>4</v>
      </c>
      <c r="L5082">
        <v>26160</v>
      </c>
      <c r="M5082">
        <v>34008</v>
      </c>
      <c r="N5082" t="s">
        <v>35</v>
      </c>
      <c r="O5082">
        <f t="shared" si="158"/>
        <v>11700</v>
      </c>
      <c r="P5082" s="13">
        <f t="shared" si="159"/>
        <v>2746575</v>
      </c>
      <c r="Q5082" s="13">
        <f>SUMIFS(M:M,E:E,Online_eCommerce[[#This Row],[Status]])</f>
        <v>28620410</v>
      </c>
      <c r="R5082" s="13">
        <f>SUMIFS(L:L,H:H,Online_eCommerce[[#This Row],[Brand]])</f>
        <v>2465580</v>
      </c>
      <c r="S5082" s="13">
        <f>SUMIF(H:H,Online_eCommerce[[#This Row],[Brand]],M:M)</f>
        <v>3205254</v>
      </c>
      <c r="T5082" s="13">
        <f>SUMIF(N:N,Online_eCommerce[[#This Row],[Assigned Supervisor]],L:L)</f>
        <v>14373360</v>
      </c>
    </row>
    <row r="5083" spans="1:20" hidden="1" x14ac:dyDescent="0.3">
      <c r="A5083" t="s">
        <v>7533</v>
      </c>
      <c r="B5083" t="s">
        <v>235</v>
      </c>
      <c r="C5083" t="s">
        <v>211</v>
      </c>
      <c r="D5083" t="s">
        <v>7458</v>
      </c>
      <c r="E5083" t="s">
        <v>96</v>
      </c>
      <c r="F5083" t="s">
        <v>107</v>
      </c>
      <c r="G5083" t="s">
        <v>54</v>
      </c>
      <c r="H5083" t="s">
        <v>55</v>
      </c>
      <c r="I5083">
        <v>2680</v>
      </c>
      <c r="J5083">
        <v>3484</v>
      </c>
      <c r="K5083">
        <v>2</v>
      </c>
      <c r="L5083">
        <v>5360</v>
      </c>
      <c r="M5083">
        <v>6968</v>
      </c>
      <c r="N5083" t="s">
        <v>42</v>
      </c>
      <c r="O5083">
        <f t="shared" si="158"/>
        <v>2990</v>
      </c>
      <c r="P5083" s="13">
        <f t="shared" si="159"/>
        <v>1809847</v>
      </c>
      <c r="Q5083" s="13">
        <f>SUMIFS(M:M,E:E,Online_eCommerce[[#This Row],[Status]])</f>
        <v>21233992</v>
      </c>
      <c r="R5083" s="13">
        <f>SUMIFS(L:L,H:H,Online_eCommerce[[#This Row],[Brand]])</f>
        <v>2267380</v>
      </c>
      <c r="S5083" s="13">
        <f>SUMIF(H:H,Online_eCommerce[[#This Row],[Brand]],M:M)</f>
        <v>2947594</v>
      </c>
      <c r="T5083" s="13">
        <f>SUMIF(N:N,Online_eCommerce[[#This Row],[Assigned Supervisor]],L:L)</f>
        <v>12261500</v>
      </c>
    </row>
    <row r="5084" spans="1:20" hidden="1" x14ac:dyDescent="0.3">
      <c r="A5084" t="s">
        <v>7534</v>
      </c>
      <c r="B5084" t="s">
        <v>104</v>
      </c>
      <c r="C5084" t="s">
        <v>16</v>
      </c>
      <c r="D5084" t="s">
        <v>7458</v>
      </c>
      <c r="E5084" t="s">
        <v>18</v>
      </c>
      <c r="F5084" t="s">
        <v>112</v>
      </c>
      <c r="G5084" t="s">
        <v>71</v>
      </c>
      <c r="H5084" t="s">
        <v>21</v>
      </c>
      <c r="I5084">
        <v>8250</v>
      </c>
      <c r="J5084">
        <v>10725</v>
      </c>
      <c r="K5084">
        <v>4</v>
      </c>
      <c r="L5084">
        <v>33000</v>
      </c>
      <c r="M5084">
        <v>42900</v>
      </c>
      <c r="N5084" t="s">
        <v>50</v>
      </c>
      <c r="O5084">
        <f t="shared" si="158"/>
        <v>9750</v>
      </c>
      <c r="P5084" s="13">
        <f t="shared" si="159"/>
        <v>2751814</v>
      </c>
      <c r="Q5084" s="13">
        <f>SUMIFS(M:M,E:E,Online_eCommerce[[#This Row],[Status]])</f>
        <v>28340455</v>
      </c>
      <c r="R5084" s="13">
        <f>SUMIFS(L:L,H:H,Online_eCommerce[[#This Row],[Brand]])</f>
        <v>12435650</v>
      </c>
      <c r="S5084" s="13">
        <f>SUMIF(H:H,Online_eCommerce[[#This Row],[Brand]],M:M)</f>
        <v>16166345</v>
      </c>
      <c r="T5084" s="13">
        <f>SUMIF(N:N,Online_eCommerce[[#This Row],[Assigned Supervisor]],L:L)</f>
        <v>12100590</v>
      </c>
    </row>
    <row r="5085" spans="1:20" hidden="1" x14ac:dyDescent="0.3">
      <c r="A5085" t="s">
        <v>7535</v>
      </c>
      <c r="B5085" t="s">
        <v>109</v>
      </c>
      <c r="C5085" t="s">
        <v>24</v>
      </c>
      <c r="D5085" t="s">
        <v>7458</v>
      </c>
      <c r="E5085" t="s">
        <v>161</v>
      </c>
      <c r="F5085" t="s">
        <v>7071</v>
      </c>
      <c r="G5085" t="s">
        <v>40</v>
      </c>
      <c r="H5085" t="s">
        <v>21</v>
      </c>
      <c r="I5085">
        <v>2650</v>
      </c>
      <c r="J5085">
        <v>3445</v>
      </c>
      <c r="K5085">
        <v>2</v>
      </c>
      <c r="L5085">
        <v>5300</v>
      </c>
      <c r="M5085">
        <v>6890</v>
      </c>
      <c r="N5085" t="s">
        <v>56</v>
      </c>
      <c r="O5085">
        <f t="shared" si="158"/>
        <v>25545</v>
      </c>
      <c r="P5085" s="13">
        <f t="shared" si="159"/>
        <v>2009540</v>
      </c>
      <c r="Q5085" s="13">
        <f>SUMIFS(M:M,E:E,Online_eCommerce[[#This Row],[Status]])</f>
        <v>21103186</v>
      </c>
      <c r="R5085" s="13">
        <f>SUMIFS(L:L,H:H,Online_eCommerce[[#This Row],[Brand]])</f>
        <v>12435650</v>
      </c>
      <c r="S5085" s="13">
        <f>SUMIF(H:H,Online_eCommerce[[#This Row],[Brand]],M:M)</f>
        <v>16166345</v>
      </c>
      <c r="T5085" s="13">
        <f>SUMIF(N:N,Online_eCommerce[[#This Row],[Assigned Supervisor]],L:L)</f>
        <v>11733610</v>
      </c>
    </row>
    <row r="5086" spans="1:20" x14ac:dyDescent="0.3">
      <c r="A5086" t="s">
        <v>7536</v>
      </c>
      <c r="B5086" t="s">
        <v>114</v>
      </c>
      <c r="C5086" t="s">
        <v>31</v>
      </c>
      <c r="D5086" t="s">
        <v>7458</v>
      </c>
      <c r="E5086" t="s">
        <v>46</v>
      </c>
      <c r="F5086" t="s">
        <v>121</v>
      </c>
      <c r="G5086" t="s">
        <v>71</v>
      </c>
      <c r="H5086" t="s">
        <v>122</v>
      </c>
      <c r="I5086">
        <v>12550</v>
      </c>
      <c r="J5086">
        <v>16315</v>
      </c>
      <c r="K5086">
        <v>2</v>
      </c>
      <c r="L5086">
        <v>25100</v>
      </c>
      <c r="M5086">
        <v>32630</v>
      </c>
      <c r="N5086" t="s">
        <v>22</v>
      </c>
      <c r="O5086">
        <f t="shared" si="158"/>
        <v>9750</v>
      </c>
      <c r="P5086" s="13">
        <f t="shared" si="159"/>
        <v>2865746</v>
      </c>
      <c r="Q5086" s="13">
        <f>SUMIFS(M:M,E:E,Online_eCommerce[[#This Row],[Status]])</f>
        <v>28620410</v>
      </c>
      <c r="R5086" s="13">
        <f>SUMIFS(L:L,H:H,Online_eCommerce[[#This Row],[Brand]])</f>
        <v>5045100</v>
      </c>
      <c r="S5086" s="13">
        <f>SUMIF(H:H,Online_eCommerce[[#This Row],[Brand]],M:M)</f>
        <v>6558630</v>
      </c>
      <c r="T5086" s="13">
        <f>SUMIF(N:N,Online_eCommerce[[#This Row],[Assigned Supervisor]],L:L)</f>
        <v>13693220</v>
      </c>
    </row>
    <row r="5087" spans="1:20" hidden="1" x14ac:dyDescent="0.3">
      <c r="A5087" t="s">
        <v>7537</v>
      </c>
      <c r="B5087" t="s">
        <v>119</v>
      </c>
      <c r="C5087" t="s">
        <v>38</v>
      </c>
      <c r="D5087" t="s">
        <v>7458</v>
      </c>
      <c r="E5087" t="s">
        <v>96</v>
      </c>
      <c r="F5087" t="s">
        <v>126</v>
      </c>
      <c r="G5087" t="s">
        <v>26</v>
      </c>
      <c r="H5087" t="s">
        <v>27</v>
      </c>
      <c r="I5087">
        <v>14500</v>
      </c>
      <c r="J5087">
        <v>18850</v>
      </c>
      <c r="K5087">
        <v>2</v>
      </c>
      <c r="L5087">
        <v>29000</v>
      </c>
      <c r="M5087">
        <v>37700</v>
      </c>
      <c r="N5087" t="s">
        <v>28</v>
      </c>
      <c r="O5087">
        <f t="shared" si="158"/>
        <v>33150</v>
      </c>
      <c r="P5087" s="13">
        <f t="shared" si="159"/>
        <v>1933997</v>
      </c>
      <c r="Q5087" s="13">
        <f>SUMIFS(M:M,E:E,Online_eCommerce[[#This Row],[Status]])</f>
        <v>21233992</v>
      </c>
      <c r="R5087" s="13">
        <f>SUMIFS(L:L,H:H,Online_eCommerce[[#This Row],[Brand]])</f>
        <v>14431000</v>
      </c>
      <c r="S5087" s="13">
        <f>SUMIF(H:H,Online_eCommerce[[#This Row],[Brand]],M:M)</f>
        <v>18760300</v>
      </c>
      <c r="T5087" s="13">
        <f>SUMIF(N:N,Online_eCommerce[[#This Row],[Assigned Supervisor]],L:L)</f>
        <v>12220830</v>
      </c>
    </row>
    <row r="5088" spans="1:20" hidden="1" x14ac:dyDescent="0.3">
      <c r="A5088" t="s">
        <v>7538</v>
      </c>
      <c r="B5088" t="s">
        <v>124</v>
      </c>
      <c r="C5088" t="s">
        <v>45</v>
      </c>
      <c r="D5088" t="s">
        <v>7458</v>
      </c>
      <c r="E5088" t="s">
        <v>18</v>
      </c>
      <c r="F5088" t="s">
        <v>129</v>
      </c>
      <c r="G5088" t="s">
        <v>60</v>
      </c>
      <c r="H5088" t="s">
        <v>61</v>
      </c>
      <c r="I5088">
        <v>800</v>
      </c>
      <c r="J5088">
        <v>1040</v>
      </c>
      <c r="K5088">
        <v>1</v>
      </c>
      <c r="L5088">
        <v>800</v>
      </c>
      <c r="M5088">
        <v>1040</v>
      </c>
      <c r="N5088" t="s">
        <v>35</v>
      </c>
      <c r="O5088">
        <f t="shared" si="158"/>
        <v>3315</v>
      </c>
      <c r="P5088" s="13">
        <f t="shared" si="159"/>
        <v>2842554</v>
      </c>
      <c r="Q5088" s="13">
        <f>SUMIFS(M:M,E:E,Online_eCommerce[[#This Row],[Status]])</f>
        <v>28340455</v>
      </c>
      <c r="R5088" s="13">
        <f>SUMIFS(L:L,H:H,Online_eCommerce[[#This Row],[Brand]])</f>
        <v>10950150</v>
      </c>
      <c r="S5088" s="13">
        <f>SUMIF(H:H,Online_eCommerce[[#This Row],[Brand]],M:M)</f>
        <v>14235195</v>
      </c>
      <c r="T5088" s="13">
        <f>SUMIF(N:N,Online_eCommerce[[#This Row],[Assigned Supervisor]],L:L)</f>
        <v>14373360</v>
      </c>
    </row>
    <row r="5089" spans="1:20" hidden="1" x14ac:dyDescent="0.3">
      <c r="A5089" t="s">
        <v>7539</v>
      </c>
      <c r="B5089" t="s">
        <v>128</v>
      </c>
      <c r="C5089" t="s">
        <v>52</v>
      </c>
      <c r="D5089" t="s">
        <v>7458</v>
      </c>
      <c r="E5089" t="s">
        <v>161</v>
      </c>
      <c r="F5089" t="s">
        <v>133</v>
      </c>
      <c r="G5089" t="s">
        <v>66</v>
      </c>
      <c r="H5089" t="s">
        <v>21</v>
      </c>
      <c r="I5089">
        <v>600</v>
      </c>
      <c r="J5089">
        <v>780</v>
      </c>
      <c r="K5089">
        <v>2</v>
      </c>
      <c r="L5089">
        <v>1200</v>
      </c>
      <c r="M5089">
        <v>1560</v>
      </c>
      <c r="N5089" t="s">
        <v>42</v>
      </c>
      <c r="O5089">
        <f t="shared" si="158"/>
        <v>1690</v>
      </c>
      <c r="P5089" s="13">
        <f t="shared" si="159"/>
        <v>1955044</v>
      </c>
      <c r="Q5089" s="13">
        <f>SUMIFS(M:M,E:E,Online_eCommerce[[#This Row],[Status]])</f>
        <v>21103186</v>
      </c>
      <c r="R5089" s="13">
        <f>SUMIFS(L:L,H:H,Online_eCommerce[[#This Row],[Brand]])</f>
        <v>12435650</v>
      </c>
      <c r="S5089" s="13">
        <f>SUMIF(H:H,Online_eCommerce[[#This Row],[Brand]],M:M)</f>
        <v>16166345</v>
      </c>
      <c r="T5089" s="13">
        <f>SUMIF(N:N,Online_eCommerce[[#This Row],[Assigned Supervisor]],L:L)</f>
        <v>12261500</v>
      </c>
    </row>
    <row r="5090" spans="1:20" x14ac:dyDescent="0.3">
      <c r="A5090" t="s">
        <v>7540</v>
      </c>
      <c r="B5090" t="s">
        <v>131</v>
      </c>
      <c r="C5090" t="s">
        <v>58</v>
      </c>
      <c r="D5090" t="s">
        <v>7458</v>
      </c>
      <c r="E5090" t="s">
        <v>46</v>
      </c>
      <c r="F5090" t="s">
        <v>137</v>
      </c>
      <c r="G5090" t="s">
        <v>71</v>
      </c>
      <c r="H5090" t="s">
        <v>61</v>
      </c>
      <c r="I5090">
        <v>10500</v>
      </c>
      <c r="J5090">
        <v>13650</v>
      </c>
      <c r="K5090">
        <v>4</v>
      </c>
      <c r="L5090">
        <v>42000</v>
      </c>
      <c r="M5090">
        <v>54600</v>
      </c>
      <c r="N5090" t="s">
        <v>50</v>
      </c>
      <c r="O5090">
        <f t="shared" si="158"/>
        <v>9750</v>
      </c>
      <c r="P5090" s="13">
        <f t="shared" si="159"/>
        <v>2629211</v>
      </c>
      <c r="Q5090" s="13">
        <f>SUMIFS(M:M,E:E,Online_eCommerce[[#This Row],[Status]])</f>
        <v>28620410</v>
      </c>
      <c r="R5090" s="13">
        <f>SUMIFS(L:L,H:H,Online_eCommerce[[#This Row],[Brand]])</f>
        <v>10950150</v>
      </c>
      <c r="S5090" s="13">
        <f>SUMIF(H:H,Online_eCommerce[[#This Row],[Brand]],M:M)</f>
        <v>14235195</v>
      </c>
      <c r="T5090" s="13">
        <f>SUMIF(N:N,Online_eCommerce[[#This Row],[Assigned Supervisor]],L:L)</f>
        <v>12100590</v>
      </c>
    </row>
    <row r="5091" spans="1:20" hidden="1" x14ac:dyDescent="0.3">
      <c r="A5091" t="s">
        <v>7541</v>
      </c>
      <c r="B5091" t="s">
        <v>135</v>
      </c>
      <c r="C5091" t="s">
        <v>63</v>
      </c>
      <c r="D5091" t="s">
        <v>7458</v>
      </c>
      <c r="E5091" t="s">
        <v>96</v>
      </c>
      <c r="F5091" t="s">
        <v>7512</v>
      </c>
      <c r="G5091" t="s">
        <v>77</v>
      </c>
      <c r="H5091" t="s">
        <v>142</v>
      </c>
      <c r="I5091">
        <v>6500</v>
      </c>
      <c r="J5091">
        <v>8450</v>
      </c>
      <c r="K5091">
        <v>1</v>
      </c>
      <c r="L5091">
        <v>6500</v>
      </c>
      <c r="M5091">
        <v>8450</v>
      </c>
      <c r="N5091" t="s">
        <v>56</v>
      </c>
      <c r="O5091">
        <f t="shared" si="158"/>
        <v>39000</v>
      </c>
      <c r="P5091" s="13">
        <f t="shared" si="159"/>
        <v>2016131</v>
      </c>
      <c r="Q5091" s="13">
        <f>SUMIFS(M:M,E:E,Online_eCommerce[[#This Row],[Status]])</f>
        <v>21233992</v>
      </c>
      <c r="R5091" s="13">
        <f>SUMIFS(L:L,H:H,Online_eCommerce[[#This Row],[Brand]])</f>
        <v>6192500</v>
      </c>
      <c r="S5091" s="13">
        <f>SUMIF(H:H,Online_eCommerce[[#This Row],[Brand]],M:M)</f>
        <v>8050250</v>
      </c>
      <c r="T5091" s="13">
        <f>SUMIF(N:N,Online_eCommerce[[#This Row],[Assigned Supervisor]],L:L)</f>
        <v>11733610</v>
      </c>
    </row>
    <row r="5092" spans="1:20" hidden="1" x14ac:dyDescent="0.3">
      <c r="A5092" t="s">
        <v>7542</v>
      </c>
      <c r="B5092" t="s">
        <v>139</v>
      </c>
      <c r="C5092" t="s">
        <v>68</v>
      </c>
      <c r="D5092" t="s">
        <v>7458</v>
      </c>
      <c r="E5092" t="s">
        <v>18</v>
      </c>
      <c r="F5092" t="s">
        <v>7543</v>
      </c>
      <c r="G5092" t="s">
        <v>20</v>
      </c>
      <c r="H5092" t="s">
        <v>21</v>
      </c>
      <c r="I5092">
        <v>4500</v>
      </c>
      <c r="J5092">
        <v>5850</v>
      </c>
      <c r="K5092">
        <v>1</v>
      </c>
      <c r="L5092">
        <v>4500</v>
      </c>
      <c r="M5092">
        <v>5850</v>
      </c>
      <c r="N5092" t="s">
        <v>22</v>
      </c>
      <c r="O5092">
        <f t="shared" si="158"/>
        <v>8450</v>
      </c>
      <c r="P5092" s="13">
        <f t="shared" si="159"/>
        <v>2974621</v>
      </c>
      <c r="Q5092" s="13">
        <f>SUMIFS(M:M,E:E,Online_eCommerce[[#This Row],[Status]])</f>
        <v>28340455</v>
      </c>
      <c r="R5092" s="13">
        <f>SUMIFS(L:L,H:H,Online_eCommerce[[#This Row],[Brand]])</f>
        <v>12435650</v>
      </c>
      <c r="S5092" s="13">
        <f>SUMIF(H:H,Online_eCommerce[[#This Row],[Brand]],M:M)</f>
        <v>16166345</v>
      </c>
      <c r="T5092" s="13">
        <f>SUMIF(N:N,Online_eCommerce[[#This Row],[Assigned Supervisor]],L:L)</f>
        <v>13693220</v>
      </c>
    </row>
    <row r="5093" spans="1:20" hidden="1" x14ac:dyDescent="0.3">
      <c r="A5093" t="s">
        <v>7544</v>
      </c>
      <c r="B5093" t="s">
        <v>144</v>
      </c>
      <c r="C5093" t="s">
        <v>74</v>
      </c>
      <c r="D5093" t="s">
        <v>7458</v>
      </c>
      <c r="E5093" t="s">
        <v>161</v>
      </c>
      <c r="F5093" t="s">
        <v>152</v>
      </c>
      <c r="G5093" t="s">
        <v>26</v>
      </c>
      <c r="H5093" t="s">
        <v>27</v>
      </c>
      <c r="I5093">
        <v>8500</v>
      </c>
      <c r="J5093">
        <v>11050</v>
      </c>
      <c r="K5093">
        <v>4</v>
      </c>
      <c r="L5093">
        <v>34000</v>
      </c>
      <c r="M5093">
        <v>44200</v>
      </c>
      <c r="N5093" t="s">
        <v>28</v>
      </c>
      <c r="O5093">
        <f t="shared" si="158"/>
        <v>33150</v>
      </c>
      <c r="P5093" s="13">
        <f t="shared" si="159"/>
        <v>2144701</v>
      </c>
      <c r="Q5093" s="13">
        <f>SUMIFS(M:M,E:E,Online_eCommerce[[#This Row],[Status]])</f>
        <v>21103186</v>
      </c>
      <c r="R5093" s="13">
        <f>SUMIFS(L:L,H:H,Online_eCommerce[[#This Row],[Brand]])</f>
        <v>14431000</v>
      </c>
      <c r="S5093" s="13">
        <f>SUMIF(H:H,Online_eCommerce[[#This Row],[Brand]],M:M)</f>
        <v>18760300</v>
      </c>
      <c r="T5093" s="13">
        <f>SUMIF(N:N,Online_eCommerce[[#This Row],[Assigned Supervisor]],L:L)</f>
        <v>12220830</v>
      </c>
    </row>
    <row r="5094" spans="1:20" x14ac:dyDescent="0.3">
      <c r="A5094" t="s">
        <v>7545</v>
      </c>
      <c r="B5094" t="s">
        <v>149</v>
      </c>
      <c r="C5094" t="s">
        <v>81</v>
      </c>
      <c r="D5094" t="s">
        <v>7458</v>
      </c>
      <c r="E5094" t="s">
        <v>46</v>
      </c>
      <c r="F5094" t="s">
        <v>157</v>
      </c>
      <c r="G5094" t="s">
        <v>33</v>
      </c>
      <c r="H5094" t="s">
        <v>34</v>
      </c>
      <c r="I5094">
        <v>12500</v>
      </c>
      <c r="J5094">
        <v>16250</v>
      </c>
      <c r="K5094">
        <v>2</v>
      </c>
      <c r="L5094">
        <v>25000</v>
      </c>
      <c r="M5094">
        <v>32500</v>
      </c>
      <c r="N5094" t="s">
        <v>35</v>
      </c>
      <c r="O5094">
        <f t="shared" si="158"/>
        <v>18200</v>
      </c>
      <c r="P5094" s="13">
        <f t="shared" si="159"/>
        <v>2595632</v>
      </c>
      <c r="Q5094" s="13">
        <f>SUMIFS(M:M,E:E,Online_eCommerce[[#This Row],[Status]])</f>
        <v>28620410</v>
      </c>
      <c r="R5094" s="13">
        <f>SUMIFS(L:L,H:H,Online_eCommerce[[#This Row],[Brand]])</f>
        <v>10087000</v>
      </c>
      <c r="S5094" s="13">
        <f>SUMIF(H:H,Online_eCommerce[[#This Row],[Brand]],M:M)</f>
        <v>13113100</v>
      </c>
      <c r="T5094" s="13">
        <f>SUMIF(N:N,Online_eCommerce[[#This Row],[Assigned Supervisor]],L:L)</f>
        <v>14373360</v>
      </c>
    </row>
    <row r="5095" spans="1:20" hidden="1" x14ac:dyDescent="0.3">
      <c r="A5095" t="s">
        <v>7546</v>
      </c>
      <c r="B5095" t="s">
        <v>154</v>
      </c>
      <c r="C5095" t="s">
        <v>86</v>
      </c>
      <c r="D5095" t="s">
        <v>7458</v>
      </c>
      <c r="E5095" t="s">
        <v>96</v>
      </c>
      <c r="F5095" t="s">
        <v>7147</v>
      </c>
      <c r="G5095" t="s">
        <v>40</v>
      </c>
      <c r="H5095" t="s">
        <v>41</v>
      </c>
      <c r="I5095">
        <v>3500</v>
      </c>
      <c r="J5095">
        <v>4550</v>
      </c>
      <c r="K5095">
        <v>2</v>
      </c>
      <c r="L5095">
        <v>7000</v>
      </c>
      <c r="M5095">
        <v>9100</v>
      </c>
      <c r="N5095" t="s">
        <v>42</v>
      </c>
      <c r="O5095">
        <f t="shared" si="158"/>
        <v>25545</v>
      </c>
      <c r="P5095" s="13">
        <f t="shared" si="159"/>
        <v>1941225</v>
      </c>
      <c r="Q5095" s="13">
        <f>SUMIFS(M:M,E:E,Online_eCommerce[[#This Row],[Status]])</f>
        <v>21233992</v>
      </c>
      <c r="R5095" s="13">
        <f>SUMIFS(L:L,H:H,Online_eCommerce[[#This Row],[Brand]])</f>
        <v>4260400</v>
      </c>
      <c r="S5095" s="13">
        <f>SUMIF(H:H,Online_eCommerce[[#This Row],[Brand]],M:M)</f>
        <v>5538520</v>
      </c>
      <c r="T5095" s="13">
        <f>SUMIF(N:N,Online_eCommerce[[#This Row],[Assigned Supervisor]],L:L)</f>
        <v>12261500</v>
      </c>
    </row>
    <row r="5096" spans="1:20" hidden="1" x14ac:dyDescent="0.3">
      <c r="A5096" t="s">
        <v>7547</v>
      </c>
      <c r="B5096" t="s">
        <v>159</v>
      </c>
      <c r="C5096" t="s">
        <v>91</v>
      </c>
      <c r="D5096" t="s">
        <v>7458</v>
      </c>
      <c r="E5096" t="s">
        <v>18</v>
      </c>
      <c r="F5096" t="s">
        <v>166</v>
      </c>
      <c r="G5096" t="s">
        <v>334</v>
      </c>
      <c r="H5096" t="s">
        <v>49</v>
      </c>
      <c r="I5096">
        <v>4500</v>
      </c>
      <c r="J5096">
        <v>5850</v>
      </c>
      <c r="K5096">
        <v>3</v>
      </c>
      <c r="L5096">
        <v>13500</v>
      </c>
      <c r="M5096">
        <v>17550</v>
      </c>
      <c r="N5096" t="s">
        <v>50</v>
      </c>
      <c r="O5096">
        <f t="shared" si="158"/>
        <v>39780</v>
      </c>
      <c r="P5096" s="13">
        <f t="shared" si="159"/>
        <v>2731963</v>
      </c>
      <c r="Q5096" s="13">
        <f>SUMIFS(M:M,E:E,Online_eCommerce[[#This Row],[Status]])</f>
        <v>28340455</v>
      </c>
      <c r="R5096" s="13">
        <f>SUMIFS(L:L,H:H,Online_eCommerce[[#This Row],[Brand]])</f>
        <v>4528350</v>
      </c>
      <c r="S5096" s="13">
        <f>SUMIF(H:H,Online_eCommerce[[#This Row],[Brand]],M:M)</f>
        <v>5886855</v>
      </c>
      <c r="T5096" s="13">
        <f>SUMIF(N:N,Online_eCommerce[[#This Row],[Assigned Supervisor]],L:L)</f>
        <v>12100590</v>
      </c>
    </row>
  </sheetData>
  <phoneticPr fontId="1" type="noConversion"/>
  <conditionalFormatting sqref="E1:E1048576">
    <cfRule type="containsText" dxfId="0" priority="1" operator="containsText" text="Delivered">
      <formula>NOT(ISERROR(SEARCH("Delivered",E1)))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9A44-28B5-4085-8F82-111ADEF1EC10}">
  <dimension ref="A2:B5"/>
  <sheetViews>
    <sheetView workbookViewId="0">
      <selection activeCell="A3" sqref="A3"/>
    </sheetView>
  </sheetViews>
  <sheetFormatPr defaultRowHeight="14.4" x14ac:dyDescent="0.3"/>
  <sheetData>
    <row r="2" spans="1:2" x14ac:dyDescent="0.3">
      <c r="A2" t="s">
        <v>7548</v>
      </c>
      <c r="B2" t="s">
        <v>7549</v>
      </c>
    </row>
    <row r="3" spans="1:2" x14ac:dyDescent="0.3">
      <c r="A3">
        <v>1</v>
      </c>
      <c r="B3" t="str">
        <f>VLOOKUP(A3,Sheet2!A2:B5,2,FALSE)</f>
        <v xml:space="preserve">rohit </v>
      </c>
    </row>
    <row r="4" spans="1:2" x14ac:dyDescent="0.3">
      <c r="A4">
        <v>4</v>
      </c>
      <c r="B4" t="str">
        <f>VLOOKUP(A4,Sheet2!A3:B6,2,FALSE)</f>
        <v xml:space="preserve">mohit </v>
      </c>
    </row>
    <row r="5" spans="1:2" x14ac:dyDescent="0.3">
      <c r="A5">
        <v>4</v>
      </c>
      <c r="B5" t="str">
        <f>VLOOKUP(A5,Sheet2!A4:B7,2,FALSE)</f>
        <v xml:space="preserve">mohit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A442-5E74-4A54-9133-037611365FA4}">
  <dimension ref="A2:B5"/>
  <sheetViews>
    <sheetView workbookViewId="0">
      <selection activeCell="B3" sqref="B3:B5"/>
    </sheetView>
  </sheetViews>
  <sheetFormatPr defaultRowHeight="14.4" x14ac:dyDescent="0.3"/>
  <sheetData>
    <row r="2" spans="1:2" x14ac:dyDescent="0.3">
      <c r="A2" t="s">
        <v>7550</v>
      </c>
      <c r="B2" t="s">
        <v>7549</v>
      </c>
    </row>
    <row r="3" spans="1:2" x14ac:dyDescent="0.3">
      <c r="A3">
        <v>1</v>
      </c>
      <c r="B3" t="s">
        <v>7551</v>
      </c>
    </row>
    <row r="4" spans="1:2" x14ac:dyDescent="0.3">
      <c r="A4">
        <v>4</v>
      </c>
      <c r="B4" t="s">
        <v>7552</v>
      </c>
    </row>
    <row r="5" spans="1:2" x14ac:dyDescent="0.3">
      <c r="A5">
        <v>4</v>
      </c>
      <c r="B5" t="s">
        <v>7553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546A11-4DDE-4A2B-87B1-1C0B277EEE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Online-eCommerce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2026-06-15T14:49:44Z</dcterms:created>
  <dcterms:modified xsi:type="dcterms:W3CDTF">2026-06-15T15:26:16Z</dcterms:modified>
</cp:coreProperties>
</file>